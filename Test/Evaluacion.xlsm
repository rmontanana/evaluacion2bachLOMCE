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n_y_Cajal/Chko/Herramienta/src/Test/"/>
    </mc:Choice>
  </mc:AlternateContent>
  <xr:revisionPtr revIDLastSave="0" documentId="13_ncr:1_{550250D1-53B9-0F41-8998-7B2864AE51FB}" xr6:coauthVersionLast="47" xr6:coauthVersionMax="47" xr10:uidLastSave="{00000000-0000-0000-0000-000000000000}"/>
  <workbookProtection lockStructure="1"/>
  <bookViews>
    <workbookView xWindow="5960" yWindow="3040" windowWidth="27000" windowHeight="18680" activeTab="9" xr2:uid="{F6059330-3B13-1742-AC58-1D6250A18E41}"/>
  </bookViews>
  <sheets>
    <sheet name="Primera" sheetId="1" r:id="rId1"/>
    <sheet name="Recu1" sheetId="16" r:id="rId2"/>
    <sheet name="Segunda" sheetId="12" r:id="rId3"/>
    <sheet name="Recu2" sheetId="17" r:id="rId4"/>
    <sheet name="Tercera" sheetId="19" r:id="rId5"/>
    <sheet name="Recu3" sheetId="18" r:id="rId6"/>
    <sheet name="Ordinaria" sheetId="11" r:id="rId7"/>
    <sheet name="Extraordinaria" sheetId="13" r:id="rId8"/>
    <sheet name="Estructura" sheetId="15" r:id="rId9"/>
    <sheet name="Informes" sheetId="20" r:id="rId10"/>
    <sheet name="inf_alumno" sheetId="21" state="hidden" r:id="rId11"/>
  </sheets>
  <functionGroups builtInGroupCount="19"/>
  <externalReferences>
    <externalReference r:id="rId12"/>
    <externalReference r:id="rId13"/>
  </externalReferences>
  <definedNames>
    <definedName name="Alumno" localSheetId="10">[1]Informes!$D$21</definedName>
    <definedName name="Alumno">Informes!$D$21</definedName>
    <definedName name="Alumnos" localSheetId="10">[1]Informes!$K$2:$K$32</definedName>
    <definedName name="Alumnos">Informes!$K$2:$K$32</definedName>
    <definedName name="email">Informes!$C$13</definedName>
    <definedName name="emails">Informes!$L$3:$L$32</definedName>
    <definedName name="Evaluacion" localSheetId="10">[1]Informes!$D$22</definedName>
    <definedName name="Evaluacion">Informes!$D$22</definedName>
    <definedName name="Evaluaciones" localSheetId="10">[1]Informes!$M$4:$M$11</definedName>
    <definedName name="Evaluaciones">Informes!$N$4:$N$11</definedName>
    <definedName name="inf_all">inf_alumno!$A$1:$D$85</definedName>
    <definedName name="inf_evaluacion">inf_alumno!$A$1</definedName>
    <definedName name="inf_nombre">inf_alumno!$C$1</definedName>
    <definedName name="passwd">Informes!$C$19</definedName>
    <definedName name="Profesor">Informes!$C$11</definedName>
    <definedName name="Servidor">Informes!$C$15</definedName>
    <definedName name="Tipo" localSheetId="10">[1]Informes!$D$23</definedName>
    <definedName name="Tipo">Informes!$D$23</definedName>
    <definedName name="Tipos" localSheetId="10">[1]Informes!$M$14:$M$15</definedName>
    <definedName name="Tipos">Informes!$N$14:$N$15</definedName>
    <definedName name="usuario">Informes!$C$17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8" i="21" l="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4" i="21"/>
  <c r="B3" i="21" s="1"/>
  <c r="A3" i="21" a="1"/>
  <c r="A3" i="21" s="1"/>
  <c r="L4" i="20" l="1"/>
  <c r="L5" i="20"/>
  <c r="L6" i="20"/>
  <c r="L7" i="20"/>
  <c r="L8" i="20"/>
  <c r="L9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" i="20"/>
  <c r="K32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K15" i="20"/>
  <c r="K14" i="20"/>
  <c r="K13" i="20"/>
  <c r="K12" i="20"/>
  <c r="K11" i="20"/>
  <c r="K10" i="20"/>
  <c r="K9" i="20"/>
  <c r="K8" i="20"/>
  <c r="K7" i="20"/>
  <c r="K6" i="20"/>
  <c r="K5" i="20"/>
  <c r="K4" i="20"/>
  <c r="K3" i="20"/>
  <c r="D13" i="15" a="1"/>
  <c r="D13" i="15" s="1"/>
  <c r="BI6" i="18"/>
  <c r="BI6" i="11" s="1"/>
  <c r="BI6" i="13" s="1"/>
  <c r="BI5" i="18"/>
  <c r="BI5" i="11" s="1"/>
  <c r="BI5" i="13" s="1"/>
  <c r="BH6" i="18"/>
  <c r="BG6" i="18"/>
  <c r="BG6" i="11" s="1"/>
  <c r="BG6" i="13" s="1"/>
  <c r="BH5" i="18"/>
  <c r="BG5" i="18"/>
  <c r="BG5" i="11" s="1"/>
  <c r="BG5" i="13" s="1"/>
  <c r="BG4" i="18"/>
  <c r="BE6" i="18"/>
  <c r="BE6" i="11" s="1"/>
  <c r="BE6" i="13" s="1"/>
  <c r="BE5" i="18"/>
  <c r="BE5" i="11" s="1"/>
  <c r="BE5" i="13" s="1"/>
  <c r="BC6" i="18"/>
  <c r="BC6" i="11" s="1"/>
  <c r="BC6" i="13" s="1"/>
  <c r="BC5" i="18"/>
  <c r="BC5" i="11" s="1"/>
  <c r="BC5" i="13" s="1"/>
  <c r="BA6" i="18"/>
  <c r="BA6" i="11" s="1"/>
  <c r="BA6" i="13" s="1"/>
  <c r="BA5" i="18"/>
  <c r="BA5" i="11" s="1"/>
  <c r="BA5" i="13" s="1"/>
  <c r="AZ6" i="18"/>
  <c r="AY6" i="18"/>
  <c r="AY6" i="11" s="1"/>
  <c r="AY6" i="13" s="1"/>
  <c r="AZ5" i="18"/>
  <c r="AY5" i="18"/>
  <c r="AY5" i="11" s="1"/>
  <c r="AY5" i="13" s="1"/>
  <c r="AY4" i="18"/>
  <c r="AW6" i="18"/>
  <c r="AW6" i="11" s="1"/>
  <c r="AW6" i="13" s="1"/>
  <c r="AW5" i="18"/>
  <c r="AW5" i="11" s="1"/>
  <c r="AW5" i="13" s="1"/>
  <c r="AU6" i="18"/>
  <c r="AU6" i="11" s="1"/>
  <c r="AU6" i="13" s="1"/>
  <c r="AU5" i="18"/>
  <c r="AU5" i="11" s="1"/>
  <c r="AU5" i="13" s="1"/>
  <c r="AT6" i="18"/>
  <c r="AS6" i="18"/>
  <c r="AS6" i="11" s="1"/>
  <c r="AS6" i="13" s="1"/>
  <c r="AT5" i="18"/>
  <c r="AS5" i="18"/>
  <c r="AS5" i="11" s="1"/>
  <c r="AS5" i="13" s="1"/>
  <c r="AS4" i="18"/>
  <c r="AR6" i="18"/>
  <c r="AQ6" i="18"/>
  <c r="AQ6" i="11" s="1"/>
  <c r="AQ6" i="13" s="1"/>
  <c r="AQ5" i="18"/>
  <c r="AQ5" i="11" s="1"/>
  <c r="AQ5" i="13" s="1"/>
  <c r="AO6" i="18"/>
  <c r="AO6" i="11" s="1"/>
  <c r="AO6" i="13" s="1"/>
  <c r="AO5" i="18"/>
  <c r="AO5" i="11" s="1"/>
  <c r="AO5" i="13" s="1"/>
  <c r="AN6" i="18"/>
  <c r="AM6" i="18"/>
  <c r="AM6" i="11" s="1"/>
  <c r="AM6" i="13" s="1"/>
  <c r="AN5" i="18"/>
  <c r="AM5" i="18"/>
  <c r="AM5" i="11" s="1"/>
  <c r="AM5" i="13" s="1"/>
  <c r="AM4" i="18"/>
  <c r="AL6" i="18"/>
  <c r="AK6" i="18"/>
  <c r="AK6" i="11" s="1"/>
  <c r="AK6" i="13" s="1"/>
  <c r="AK5" i="18"/>
  <c r="AK5" i="11" s="1"/>
  <c r="AK5" i="13" s="1"/>
  <c r="AI6" i="18"/>
  <c r="AI6" i="11" s="1"/>
  <c r="AI6" i="13" s="1"/>
  <c r="AI5" i="18"/>
  <c r="AI5" i="11" s="1"/>
  <c r="AI5" i="13" s="1"/>
  <c r="AH6" i="18"/>
  <c r="AG6" i="18"/>
  <c r="AG6" i="11" s="1"/>
  <c r="AG6" i="13" s="1"/>
  <c r="AG5" i="18"/>
  <c r="AG5" i="11" s="1"/>
  <c r="AG5" i="13" s="1"/>
  <c r="AG4" i="18"/>
  <c r="AF6" i="18"/>
  <c r="AE6" i="18"/>
  <c r="AE6" i="11" s="1"/>
  <c r="AE6" i="13" s="1"/>
  <c r="AF5" i="18"/>
  <c r="AE5" i="18"/>
  <c r="AE5" i="11" s="1"/>
  <c r="AE5" i="13" s="1"/>
  <c r="AC6" i="18"/>
  <c r="AC6" i="11" s="1"/>
  <c r="AC6" i="13" s="1"/>
  <c r="AC5" i="18"/>
  <c r="AC5" i="11" s="1"/>
  <c r="AC5" i="13" s="1"/>
  <c r="AB6" i="18"/>
  <c r="AA6" i="18"/>
  <c r="AA6" i="11" s="1"/>
  <c r="AA6" i="13" s="1"/>
  <c r="AA5" i="18"/>
  <c r="AA5" i="11" s="1"/>
  <c r="AA5" i="13" s="1"/>
  <c r="AA4" i="18"/>
  <c r="Z6" i="18"/>
  <c r="Y6" i="18"/>
  <c r="Y6" i="11" s="1"/>
  <c r="Y6" i="13" s="1"/>
  <c r="Z5" i="18"/>
  <c r="Y5" i="18"/>
  <c r="Y5" i="11" s="1"/>
  <c r="Y5" i="13" s="1"/>
  <c r="W6" i="18"/>
  <c r="W6" i="11" s="1"/>
  <c r="W6" i="13" s="1"/>
  <c r="W5" i="18"/>
  <c r="W5" i="11" s="1"/>
  <c r="W5" i="13" s="1"/>
  <c r="U6" i="18"/>
  <c r="U6" i="11" s="1"/>
  <c r="U6" i="13" s="1"/>
  <c r="U5" i="18"/>
  <c r="U5" i="11" s="1"/>
  <c r="U5" i="13" s="1"/>
  <c r="U4" i="18"/>
  <c r="T6" i="18"/>
  <c r="S6" i="18"/>
  <c r="S6" i="11" s="1"/>
  <c r="S6" i="13" s="1"/>
  <c r="T5" i="18"/>
  <c r="S5" i="18"/>
  <c r="S5" i="11" s="1"/>
  <c r="S5" i="13" s="1"/>
  <c r="S4" i="18"/>
  <c r="Q6" i="18"/>
  <c r="Q6" i="11" s="1"/>
  <c r="Q6" i="13" s="1"/>
  <c r="Q5" i="18"/>
  <c r="Q5" i="11" s="1"/>
  <c r="Q5" i="13" s="1"/>
  <c r="O6" i="18"/>
  <c r="O6" i="11" s="1"/>
  <c r="O6" i="13" s="1"/>
  <c r="O5" i="18"/>
  <c r="O5" i="11" s="1"/>
  <c r="O5" i="13" s="1"/>
  <c r="O4" i="18"/>
  <c r="N6" i="18"/>
  <c r="M6" i="18"/>
  <c r="M6" i="11" s="1"/>
  <c r="M6" i="13" s="1"/>
  <c r="N5" i="18"/>
  <c r="M5" i="18"/>
  <c r="M5" i="11" s="1"/>
  <c r="M5" i="13" s="1"/>
  <c r="M4" i="18"/>
  <c r="L6" i="18"/>
  <c r="K6" i="18"/>
  <c r="K6" i="11" s="1"/>
  <c r="K6" i="13" s="1"/>
  <c r="K5" i="18"/>
  <c r="K5" i="11" s="1"/>
  <c r="K5" i="13" s="1"/>
  <c r="I6" i="18"/>
  <c r="I6" i="11" s="1"/>
  <c r="I6" i="13" s="1"/>
  <c r="I5" i="18"/>
  <c r="I5" i="11" s="1"/>
  <c r="I5" i="13" s="1"/>
  <c r="H6" i="18"/>
  <c r="G6" i="18"/>
  <c r="G6" i="11" s="1"/>
  <c r="G6" i="13" s="1"/>
  <c r="H5" i="18"/>
  <c r="G5" i="18"/>
  <c r="G5" i="11" s="1"/>
  <c r="G5" i="13" s="1"/>
  <c r="G4" i="18"/>
  <c r="F6" i="18"/>
  <c r="E6" i="18"/>
  <c r="E6" i="11" s="1"/>
  <c r="E6" i="13" s="1"/>
  <c r="E5" i="18"/>
  <c r="E5" i="11" s="1"/>
  <c r="E5" i="13" s="1"/>
  <c r="C6" i="18"/>
  <c r="C6" i="11" s="1"/>
  <c r="C6" i="13" s="1"/>
  <c r="B6" i="18"/>
  <c r="BB6" i="18" s="1"/>
  <c r="C5" i="18"/>
  <c r="C5" i="11" s="1"/>
  <c r="C5" i="13" s="1"/>
  <c r="B5" i="18"/>
  <c r="BI4" i="18" s="1"/>
  <c r="C4" i="18"/>
  <c r="BI6" i="17"/>
  <c r="BI5" i="17"/>
  <c r="BG6" i="17"/>
  <c r="BG5" i="17"/>
  <c r="BE6" i="17"/>
  <c r="BE5" i="17"/>
  <c r="BC6" i="17"/>
  <c r="BC5" i="17"/>
  <c r="BA6" i="17"/>
  <c r="BA5" i="17"/>
  <c r="BA4" i="17"/>
  <c r="AZ6" i="17"/>
  <c r="AY6" i="17"/>
  <c r="AY5" i="17"/>
  <c r="AW6" i="17"/>
  <c r="AW5" i="17"/>
  <c r="AU6" i="17"/>
  <c r="AU5" i="17"/>
  <c r="AT6" i="17"/>
  <c r="AS6" i="17"/>
  <c r="AS5" i="17"/>
  <c r="AQ6" i="17"/>
  <c r="AQ5" i="17"/>
  <c r="AO6" i="17"/>
  <c r="AO5" i="17"/>
  <c r="AM6" i="17"/>
  <c r="AN5" i="17"/>
  <c r="AM5" i="17"/>
  <c r="AK6" i="17"/>
  <c r="AK5" i="17"/>
  <c r="AI6" i="17"/>
  <c r="AI5" i="17"/>
  <c r="AG6" i="17"/>
  <c r="AH5" i="17"/>
  <c r="AG5" i="17"/>
  <c r="AE6" i="17"/>
  <c r="AE5" i="17"/>
  <c r="AC6" i="17"/>
  <c r="AC5" i="17"/>
  <c r="AA6" i="17"/>
  <c r="AB5" i="17"/>
  <c r="AA5" i="17"/>
  <c r="AA4" i="17"/>
  <c r="Y6" i="17"/>
  <c r="Y5" i="17"/>
  <c r="W6" i="17"/>
  <c r="W5" i="17"/>
  <c r="U6" i="17"/>
  <c r="U5" i="17"/>
  <c r="U4" i="17"/>
  <c r="T6" i="17"/>
  <c r="S6" i="17"/>
  <c r="S5" i="17"/>
  <c r="Q6" i="17"/>
  <c r="Q5" i="17"/>
  <c r="O6" i="17"/>
  <c r="O5" i="17"/>
  <c r="N6" i="17"/>
  <c r="M6" i="17"/>
  <c r="M5" i="17"/>
  <c r="K6" i="17"/>
  <c r="K5" i="17"/>
  <c r="I6" i="17"/>
  <c r="I5" i="17"/>
  <c r="G6" i="17"/>
  <c r="H5" i="17"/>
  <c r="G5" i="17"/>
  <c r="E6" i="17"/>
  <c r="E5" i="17"/>
  <c r="C6" i="17"/>
  <c r="B6" i="17"/>
  <c r="BF6" i="17" s="1"/>
  <c r="C5" i="17"/>
  <c r="B5" i="17"/>
  <c r="AT5" i="17" s="1"/>
  <c r="C4" i="17"/>
  <c r="BI6" i="16"/>
  <c r="BI5" i="16"/>
  <c r="BG6" i="16"/>
  <c r="BG5" i="16"/>
  <c r="BE6" i="16"/>
  <c r="BE5" i="16"/>
  <c r="BC6" i="16"/>
  <c r="BC5" i="16"/>
  <c r="BA6" i="16"/>
  <c r="BA5" i="16"/>
  <c r="AY6" i="16"/>
  <c r="AY5" i="16"/>
  <c r="AW6" i="16"/>
  <c r="AW5" i="16"/>
  <c r="AU6" i="16"/>
  <c r="AU5" i="16"/>
  <c r="AS6" i="16"/>
  <c r="AS5" i="16"/>
  <c r="AQ6" i="16"/>
  <c r="AQ5" i="16"/>
  <c r="AO6" i="16"/>
  <c r="AO5" i="16"/>
  <c r="AM6" i="16"/>
  <c r="AM5" i="16"/>
  <c r="AK6" i="16"/>
  <c r="AK5" i="16"/>
  <c r="AI6" i="16"/>
  <c r="AI5" i="16"/>
  <c r="AG6" i="16"/>
  <c r="AG5" i="16"/>
  <c r="AE6" i="16"/>
  <c r="AE5" i="16"/>
  <c r="AC6" i="16"/>
  <c r="AC5" i="16"/>
  <c r="AA6" i="16"/>
  <c r="AA5" i="16"/>
  <c r="Y6" i="16"/>
  <c r="Y5" i="16"/>
  <c r="W6" i="16"/>
  <c r="W5" i="16"/>
  <c r="U6" i="16"/>
  <c r="U5" i="16"/>
  <c r="S6" i="16"/>
  <c r="S5" i="16"/>
  <c r="Q6" i="16"/>
  <c r="Q5" i="16"/>
  <c r="O6" i="16"/>
  <c r="O5" i="16"/>
  <c r="M6" i="16"/>
  <c r="M5" i="16"/>
  <c r="K6" i="16"/>
  <c r="K5" i="16"/>
  <c r="I6" i="16"/>
  <c r="I5" i="16"/>
  <c r="G6" i="16"/>
  <c r="G5" i="16"/>
  <c r="E6" i="16"/>
  <c r="E5" i="16"/>
  <c r="C6" i="16"/>
  <c r="B6" i="16"/>
  <c r="BB6" i="16" s="1"/>
  <c r="C5" i="16"/>
  <c r="B5" i="16"/>
  <c r="BI4" i="16" s="1"/>
  <c r="BI85" i="19"/>
  <c r="BI85" i="18" s="1"/>
  <c r="BI85" i="11" s="1"/>
  <c r="BI85" i="13" s="1"/>
  <c r="BI84" i="19"/>
  <c r="BI84" i="18" s="1"/>
  <c r="BI84" i="11" s="1"/>
  <c r="BI84" i="13" s="1"/>
  <c r="BI83" i="19"/>
  <c r="BI83" i="18" s="1"/>
  <c r="BI83" i="11" s="1"/>
  <c r="BI83" i="13" s="1"/>
  <c r="BI82" i="19"/>
  <c r="BI82" i="18" s="1"/>
  <c r="BI82" i="11" s="1"/>
  <c r="BI82" i="13" s="1"/>
  <c r="BI81" i="19"/>
  <c r="BI81" i="18" s="1"/>
  <c r="BI81" i="11" s="1"/>
  <c r="BI81" i="13" s="1"/>
  <c r="BI80" i="19"/>
  <c r="BI80" i="18" s="1"/>
  <c r="BI80" i="11" s="1"/>
  <c r="BI80" i="13" s="1"/>
  <c r="BI79" i="19"/>
  <c r="BI79" i="18" s="1"/>
  <c r="BI79" i="11" s="1"/>
  <c r="BI79" i="13" s="1"/>
  <c r="BI78" i="19"/>
  <c r="BI78" i="18" s="1"/>
  <c r="BI78" i="11" s="1"/>
  <c r="BI78" i="13" s="1"/>
  <c r="BI77" i="19"/>
  <c r="BI77" i="18" s="1"/>
  <c r="BI77" i="11" s="1"/>
  <c r="BI77" i="13" s="1"/>
  <c r="BI76" i="19"/>
  <c r="BI76" i="18" s="1"/>
  <c r="BI76" i="11" s="1"/>
  <c r="BI76" i="13" s="1"/>
  <c r="BI75" i="19"/>
  <c r="BI75" i="18" s="1"/>
  <c r="BI75" i="11" s="1"/>
  <c r="BI75" i="13" s="1"/>
  <c r="BI74" i="19"/>
  <c r="BI74" i="18" s="1"/>
  <c r="BI74" i="11" s="1"/>
  <c r="BI74" i="13" s="1"/>
  <c r="BI73" i="19"/>
  <c r="BI73" i="18" s="1"/>
  <c r="BI73" i="11" s="1"/>
  <c r="BI73" i="13" s="1"/>
  <c r="BI72" i="19"/>
  <c r="BI72" i="18" s="1"/>
  <c r="BI72" i="11" s="1"/>
  <c r="BI72" i="13" s="1"/>
  <c r="BI71" i="19"/>
  <c r="BI71" i="18" s="1"/>
  <c r="BI71" i="11" s="1"/>
  <c r="BI71" i="13" s="1"/>
  <c r="BI70" i="19"/>
  <c r="BI70" i="18" s="1"/>
  <c r="BI70" i="11" s="1"/>
  <c r="BI70" i="13" s="1"/>
  <c r="BI69" i="19"/>
  <c r="BI69" i="18" s="1"/>
  <c r="BI69" i="11" s="1"/>
  <c r="BI69" i="13" s="1"/>
  <c r="BI68" i="19"/>
  <c r="BI68" i="18" s="1"/>
  <c r="BI68" i="11" s="1"/>
  <c r="BI68" i="13" s="1"/>
  <c r="BI67" i="19"/>
  <c r="BI67" i="18" s="1"/>
  <c r="BI67" i="11" s="1"/>
  <c r="BI67" i="13" s="1"/>
  <c r="BI66" i="19"/>
  <c r="BI66" i="18" s="1"/>
  <c r="BI66" i="11" s="1"/>
  <c r="BI66" i="13" s="1"/>
  <c r="BI65" i="19"/>
  <c r="BI65" i="18" s="1"/>
  <c r="BI65" i="11" s="1"/>
  <c r="BI65" i="13" s="1"/>
  <c r="BG85" i="19"/>
  <c r="BG85" i="18" s="1"/>
  <c r="BG85" i="11" s="1"/>
  <c r="BG85" i="13" s="1"/>
  <c r="BG84" i="19"/>
  <c r="BG84" i="18" s="1"/>
  <c r="BG84" i="11" s="1"/>
  <c r="BG84" i="13" s="1"/>
  <c r="BG83" i="19"/>
  <c r="BG83" i="18" s="1"/>
  <c r="BG83" i="11" s="1"/>
  <c r="BG83" i="13" s="1"/>
  <c r="BG82" i="19"/>
  <c r="BG82" i="18" s="1"/>
  <c r="BG82" i="11" s="1"/>
  <c r="BG82" i="13" s="1"/>
  <c r="BG81" i="19"/>
  <c r="BG81" i="18" s="1"/>
  <c r="BG81" i="11" s="1"/>
  <c r="BG81" i="13" s="1"/>
  <c r="BG80" i="19"/>
  <c r="BG80" i="18" s="1"/>
  <c r="BG80" i="11" s="1"/>
  <c r="BG80" i="13" s="1"/>
  <c r="BG79" i="19"/>
  <c r="BG79" i="18" s="1"/>
  <c r="BG79" i="11" s="1"/>
  <c r="BG79" i="13" s="1"/>
  <c r="BG78" i="19"/>
  <c r="BG78" i="18" s="1"/>
  <c r="BG78" i="11" s="1"/>
  <c r="BG78" i="13" s="1"/>
  <c r="BG77" i="19"/>
  <c r="BG77" i="18" s="1"/>
  <c r="BG77" i="11" s="1"/>
  <c r="BG77" i="13" s="1"/>
  <c r="BG76" i="19"/>
  <c r="BG76" i="18" s="1"/>
  <c r="BG76" i="11" s="1"/>
  <c r="BG76" i="13" s="1"/>
  <c r="BG75" i="19"/>
  <c r="BG75" i="18" s="1"/>
  <c r="BG75" i="11" s="1"/>
  <c r="BG75" i="13" s="1"/>
  <c r="BG74" i="19"/>
  <c r="BG74" i="18" s="1"/>
  <c r="BG74" i="11" s="1"/>
  <c r="BG74" i="13" s="1"/>
  <c r="BG73" i="19"/>
  <c r="BG73" i="18" s="1"/>
  <c r="BG73" i="11" s="1"/>
  <c r="BG73" i="13" s="1"/>
  <c r="BG72" i="19"/>
  <c r="BG72" i="18" s="1"/>
  <c r="BG72" i="11" s="1"/>
  <c r="BG72" i="13" s="1"/>
  <c r="BG71" i="19"/>
  <c r="BG71" i="18" s="1"/>
  <c r="BG71" i="11" s="1"/>
  <c r="BG71" i="13" s="1"/>
  <c r="BG70" i="19"/>
  <c r="BG70" i="18" s="1"/>
  <c r="BG70" i="11" s="1"/>
  <c r="BG70" i="13" s="1"/>
  <c r="BG69" i="19"/>
  <c r="BG69" i="18" s="1"/>
  <c r="BG69" i="11" s="1"/>
  <c r="BG69" i="13" s="1"/>
  <c r="BG68" i="19"/>
  <c r="BG68" i="18" s="1"/>
  <c r="BG68" i="11" s="1"/>
  <c r="BG68" i="13" s="1"/>
  <c r="BG67" i="19"/>
  <c r="BG67" i="18" s="1"/>
  <c r="BG67" i="11" s="1"/>
  <c r="BG67" i="13" s="1"/>
  <c r="BG66" i="19"/>
  <c r="BG66" i="18" s="1"/>
  <c r="BG66" i="11" s="1"/>
  <c r="BG66" i="13" s="1"/>
  <c r="BG65" i="19"/>
  <c r="BG65" i="18" s="1"/>
  <c r="BG65" i="11" s="1"/>
  <c r="BG65" i="13" s="1"/>
  <c r="BE85" i="19"/>
  <c r="BE85" i="18" s="1"/>
  <c r="BE85" i="11" s="1"/>
  <c r="BE85" i="13" s="1"/>
  <c r="BE84" i="19"/>
  <c r="BE84" i="18" s="1"/>
  <c r="BE84" i="11" s="1"/>
  <c r="BE84" i="13" s="1"/>
  <c r="BE83" i="19"/>
  <c r="BE83" i="18" s="1"/>
  <c r="BE83" i="11" s="1"/>
  <c r="BE83" i="13" s="1"/>
  <c r="BE82" i="19"/>
  <c r="BE82" i="18" s="1"/>
  <c r="BE82" i="11" s="1"/>
  <c r="BE82" i="13" s="1"/>
  <c r="BE81" i="19"/>
  <c r="BE81" i="18" s="1"/>
  <c r="BE81" i="11" s="1"/>
  <c r="BE81" i="13" s="1"/>
  <c r="BE80" i="19"/>
  <c r="BE80" i="18" s="1"/>
  <c r="BE80" i="11" s="1"/>
  <c r="BE80" i="13" s="1"/>
  <c r="BE79" i="19"/>
  <c r="BE79" i="18" s="1"/>
  <c r="BE79" i="11" s="1"/>
  <c r="BE79" i="13" s="1"/>
  <c r="BE78" i="19"/>
  <c r="BE78" i="18" s="1"/>
  <c r="BE78" i="11" s="1"/>
  <c r="BE78" i="13" s="1"/>
  <c r="BE77" i="19"/>
  <c r="BE77" i="18" s="1"/>
  <c r="BE77" i="11" s="1"/>
  <c r="BE77" i="13" s="1"/>
  <c r="BE76" i="19"/>
  <c r="BE76" i="18" s="1"/>
  <c r="BE76" i="11" s="1"/>
  <c r="BE76" i="13" s="1"/>
  <c r="BE75" i="19"/>
  <c r="BE75" i="18" s="1"/>
  <c r="BE75" i="11" s="1"/>
  <c r="BE75" i="13" s="1"/>
  <c r="BE74" i="19"/>
  <c r="BE74" i="18" s="1"/>
  <c r="BE74" i="11" s="1"/>
  <c r="BE74" i="13" s="1"/>
  <c r="BE73" i="19"/>
  <c r="BE73" i="18" s="1"/>
  <c r="BE73" i="11" s="1"/>
  <c r="BE73" i="13" s="1"/>
  <c r="BE72" i="19"/>
  <c r="BE72" i="18" s="1"/>
  <c r="BE72" i="11" s="1"/>
  <c r="BE72" i="13" s="1"/>
  <c r="BE71" i="19"/>
  <c r="BE71" i="18" s="1"/>
  <c r="BE71" i="11" s="1"/>
  <c r="BE71" i="13" s="1"/>
  <c r="BE70" i="19"/>
  <c r="BE70" i="18" s="1"/>
  <c r="BE70" i="11" s="1"/>
  <c r="BE70" i="13" s="1"/>
  <c r="BE69" i="19"/>
  <c r="BE69" i="18" s="1"/>
  <c r="BE69" i="11" s="1"/>
  <c r="BE69" i="13" s="1"/>
  <c r="BE68" i="19"/>
  <c r="BE68" i="18" s="1"/>
  <c r="BE68" i="11" s="1"/>
  <c r="BE68" i="13" s="1"/>
  <c r="BE67" i="19"/>
  <c r="BE67" i="18" s="1"/>
  <c r="BE67" i="11" s="1"/>
  <c r="BE67" i="13" s="1"/>
  <c r="BE66" i="19"/>
  <c r="BE66" i="18" s="1"/>
  <c r="BE66" i="11" s="1"/>
  <c r="BE66" i="13" s="1"/>
  <c r="BE65" i="19"/>
  <c r="BE65" i="18" s="1"/>
  <c r="BE65" i="11" s="1"/>
  <c r="BE65" i="13" s="1"/>
  <c r="BC85" i="19"/>
  <c r="BC85" i="18" s="1"/>
  <c r="BC85" i="11" s="1"/>
  <c r="BC85" i="13" s="1"/>
  <c r="BC84" i="19"/>
  <c r="BC84" i="18" s="1"/>
  <c r="BC84" i="11" s="1"/>
  <c r="BC84" i="13" s="1"/>
  <c r="BC83" i="19"/>
  <c r="BC83" i="18" s="1"/>
  <c r="BC83" i="11" s="1"/>
  <c r="BC83" i="13" s="1"/>
  <c r="BC82" i="19"/>
  <c r="BC82" i="18" s="1"/>
  <c r="BC82" i="11" s="1"/>
  <c r="BC82" i="13" s="1"/>
  <c r="BC81" i="19"/>
  <c r="BC81" i="18" s="1"/>
  <c r="BC81" i="11" s="1"/>
  <c r="BC81" i="13" s="1"/>
  <c r="BC80" i="19"/>
  <c r="BC80" i="18" s="1"/>
  <c r="BC80" i="11" s="1"/>
  <c r="BC80" i="13" s="1"/>
  <c r="BC79" i="19"/>
  <c r="BC79" i="18" s="1"/>
  <c r="BC79" i="11" s="1"/>
  <c r="BC79" i="13" s="1"/>
  <c r="BC78" i="19"/>
  <c r="BC78" i="18" s="1"/>
  <c r="BC78" i="11" s="1"/>
  <c r="BC78" i="13" s="1"/>
  <c r="BC77" i="19"/>
  <c r="BC77" i="18" s="1"/>
  <c r="BC77" i="11" s="1"/>
  <c r="BC77" i="13" s="1"/>
  <c r="BC76" i="19"/>
  <c r="BC76" i="18" s="1"/>
  <c r="BC76" i="11" s="1"/>
  <c r="BC76" i="13" s="1"/>
  <c r="BC75" i="19"/>
  <c r="BC75" i="18" s="1"/>
  <c r="BC75" i="11" s="1"/>
  <c r="BC75" i="13" s="1"/>
  <c r="BC74" i="19"/>
  <c r="BC74" i="18" s="1"/>
  <c r="BC74" i="11" s="1"/>
  <c r="BC74" i="13" s="1"/>
  <c r="BC73" i="19"/>
  <c r="BC73" i="18" s="1"/>
  <c r="BC73" i="11" s="1"/>
  <c r="BC73" i="13" s="1"/>
  <c r="BC72" i="19"/>
  <c r="BC72" i="18" s="1"/>
  <c r="BC72" i="11" s="1"/>
  <c r="BC72" i="13" s="1"/>
  <c r="BC71" i="19"/>
  <c r="BC71" i="18" s="1"/>
  <c r="BC71" i="11" s="1"/>
  <c r="BC71" i="13" s="1"/>
  <c r="BC70" i="19"/>
  <c r="BC70" i="18" s="1"/>
  <c r="BC70" i="11" s="1"/>
  <c r="BC70" i="13" s="1"/>
  <c r="BC69" i="19"/>
  <c r="BC69" i="18" s="1"/>
  <c r="BC69" i="11" s="1"/>
  <c r="BC69" i="13" s="1"/>
  <c r="BC68" i="19"/>
  <c r="BC68" i="18" s="1"/>
  <c r="BC68" i="11" s="1"/>
  <c r="BC68" i="13" s="1"/>
  <c r="BC67" i="19"/>
  <c r="BC67" i="18" s="1"/>
  <c r="BC67" i="11" s="1"/>
  <c r="BC67" i="13" s="1"/>
  <c r="BC66" i="19"/>
  <c r="BC66" i="18" s="1"/>
  <c r="BC66" i="11" s="1"/>
  <c r="BC66" i="13" s="1"/>
  <c r="BC65" i="19"/>
  <c r="BC65" i="18" s="1"/>
  <c r="BC65" i="11" s="1"/>
  <c r="BC65" i="13" s="1"/>
  <c r="BA85" i="19"/>
  <c r="BA85" i="18" s="1"/>
  <c r="BA85" i="11" s="1"/>
  <c r="BA85" i="13" s="1"/>
  <c r="BA84" i="19"/>
  <c r="BA84" i="18" s="1"/>
  <c r="BA84" i="11" s="1"/>
  <c r="BA84" i="13" s="1"/>
  <c r="BA83" i="19"/>
  <c r="BA83" i="18" s="1"/>
  <c r="BA83" i="11" s="1"/>
  <c r="BA83" i="13" s="1"/>
  <c r="BA82" i="19"/>
  <c r="BA82" i="18" s="1"/>
  <c r="BA82" i="11" s="1"/>
  <c r="BA82" i="13" s="1"/>
  <c r="BA81" i="19"/>
  <c r="BA81" i="18" s="1"/>
  <c r="BA81" i="11" s="1"/>
  <c r="BA81" i="13" s="1"/>
  <c r="BA80" i="19"/>
  <c r="BA80" i="18" s="1"/>
  <c r="BA80" i="11" s="1"/>
  <c r="BA80" i="13" s="1"/>
  <c r="BA79" i="19"/>
  <c r="BA79" i="18" s="1"/>
  <c r="BA79" i="11" s="1"/>
  <c r="BA79" i="13" s="1"/>
  <c r="BA78" i="19"/>
  <c r="BA78" i="18" s="1"/>
  <c r="BA78" i="11" s="1"/>
  <c r="BA78" i="13" s="1"/>
  <c r="BA77" i="19"/>
  <c r="BA77" i="18" s="1"/>
  <c r="BA77" i="11" s="1"/>
  <c r="BA77" i="13" s="1"/>
  <c r="BA76" i="19"/>
  <c r="BA76" i="18" s="1"/>
  <c r="BA76" i="11" s="1"/>
  <c r="BA76" i="13" s="1"/>
  <c r="BA75" i="19"/>
  <c r="BA75" i="18" s="1"/>
  <c r="BA75" i="11" s="1"/>
  <c r="BA75" i="13" s="1"/>
  <c r="BA74" i="19"/>
  <c r="BA74" i="18" s="1"/>
  <c r="BA74" i="11" s="1"/>
  <c r="BA74" i="13" s="1"/>
  <c r="BA73" i="19"/>
  <c r="BA73" i="18" s="1"/>
  <c r="BA73" i="11" s="1"/>
  <c r="BA73" i="13" s="1"/>
  <c r="BA72" i="19"/>
  <c r="BA72" i="18" s="1"/>
  <c r="BA72" i="11" s="1"/>
  <c r="BA72" i="13" s="1"/>
  <c r="BA71" i="19"/>
  <c r="BA71" i="18" s="1"/>
  <c r="BA71" i="11" s="1"/>
  <c r="BA71" i="13" s="1"/>
  <c r="BA70" i="19"/>
  <c r="BA70" i="18" s="1"/>
  <c r="BA70" i="11" s="1"/>
  <c r="BA70" i="13" s="1"/>
  <c r="BA69" i="19"/>
  <c r="BA69" i="18" s="1"/>
  <c r="BA69" i="11" s="1"/>
  <c r="BA69" i="13" s="1"/>
  <c r="BA68" i="19"/>
  <c r="BA68" i="18" s="1"/>
  <c r="BA68" i="11" s="1"/>
  <c r="BA68" i="13" s="1"/>
  <c r="BA67" i="19"/>
  <c r="BA67" i="18" s="1"/>
  <c r="BA67" i="11" s="1"/>
  <c r="BA67" i="13" s="1"/>
  <c r="BA66" i="19"/>
  <c r="BA66" i="18" s="1"/>
  <c r="BA66" i="11" s="1"/>
  <c r="BA66" i="13" s="1"/>
  <c r="BA65" i="19"/>
  <c r="BA65" i="18" s="1"/>
  <c r="BA65" i="11" s="1"/>
  <c r="BA65" i="13" s="1"/>
  <c r="AY85" i="19"/>
  <c r="AY85" i="18" s="1"/>
  <c r="AY85" i="11" s="1"/>
  <c r="AY85" i="13" s="1"/>
  <c r="AY84" i="19"/>
  <c r="AY84" i="18" s="1"/>
  <c r="AY84" i="11" s="1"/>
  <c r="AY84" i="13" s="1"/>
  <c r="AY83" i="19"/>
  <c r="AY83" i="18" s="1"/>
  <c r="AY83" i="11" s="1"/>
  <c r="AY83" i="13" s="1"/>
  <c r="AY82" i="19"/>
  <c r="AY82" i="18" s="1"/>
  <c r="AY82" i="11" s="1"/>
  <c r="AY82" i="13" s="1"/>
  <c r="AY81" i="19"/>
  <c r="AY81" i="18" s="1"/>
  <c r="AY81" i="11" s="1"/>
  <c r="AY81" i="13" s="1"/>
  <c r="AY80" i="19"/>
  <c r="AY80" i="18" s="1"/>
  <c r="AY80" i="11" s="1"/>
  <c r="AY80" i="13" s="1"/>
  <c r="AY79" i="19"/>
  <c r="AY79" i="18" s="1"/>
  <c r="AY79" i="11" s="1"/>
  <c r="AY79" i="13" s="1"/>
  <c r="AY78" i="19"/>
  <c r="AY78" i="18" s="1"/>
  <c r="AY78" i="11" s="1"/>
  <c r="AY78" i="13" s="1"/>
  <c r="AY77" i="19"/>
  <c r="AY77" i="18" s="1"/>
  <c r="AY77" i="11" s="1"/>
  <c r="AY77" i="13" s="1"/>
  <c r="AY76" i="19"/>
  <c r="AY76" i="18" s="1"/>
  <c r="AY76" i="11" s="1"/>
  <c r="AY76" i="13" s="1"/>
  <c r="AY75" i="19"/>
  <c r="AY75" i="18" s="1"/>
  <c r="AY75" i="11" s="1"/>
  <c r="AY75" i="13" s="1"/>
  <c r="AY74" i="19"/>
  <c r="AY74" i="18" s="1"/>
  <c r="AY74" i="11" s="1"/>
  <c r="AY74" i="13" s="1"/>
  <c r="AY73" i="19"/>
  <c r="AY73" i="18" s="1"/>
  <c r="AY73" i="11" s="1"/>
  <c r="AY73" i="13" s="1"/>
  <c r="AY72" i="19"/>
  <c r="AY72" i="18" s="1"/>
  <c r="AY72" i="11" s="1"/>
  <c r="AY72" i="13" s="1"/>
  <c r="AY71" i="19"/>
  <c r="AY71" i="18" s="1"/>
  <c r="AY71" i="11" s="1"/>
  <c r="AY71" i="13" s="1"/>
  <c r="AY70" i="19"/>
  <c r="AY70" i="18" s="1"/>
  <c r="AY70" i="11" s="1"/>
  <c r="AY70" i="13" s="1"/>
  <c r="AY69" i="19"/>
  <c r="AY69" i="18" s="1"/>
  <c r="AY69" i="11" s="1"/>
  <c r="AY69" i="13" s="1"/>
  <c r="AY68" i="19"/>
  <c r="AY68" i="18" s="1"/>
  <c r="AY68" i="11" s="1"/>
  <c r="AY68" i="13" s="1"/>
  <c r="AY67" i="19"/>
  <c r="AY67" i="18" s="1"/>
  <c r="AY67" i="11" s="1"/>
  <c r="AY67" i="13" s="1"/>
  <c r="AY66" i="19"/>
  <c r="AY66" i="18" s="1"/>
  <c r="AY66" i="11" s="1"/>
  <c r="AY66" i="13" s="1"/>
  <c r="AY65" i="19"/>
  <c r="AY65" i="18" s="1"/>
  <c r="AY65" i="11" s="1"/>
  <c r="AY65" i="13" s="1"/>
  <c r="AW85" i="19"/>
  <c r="AW85" i="18" s="1"/>
  <c r="AW85" i="11" s="1"/>
  <c r="AW85" i="13" s="1"/>
  <c r="AW84" i="19"/>
  <c r="AW84" i="18" s="1"/>
  <c r="AW84" i="11" s="1"/>
  <c r="AW84" i="13" s="1"/>
  <c r="AW83" i="19"/>
  <c r="AW83" i="18" s="1"/>
  <c r="AW83" i="11" s="1"/>
  <c r="AW83" i="13" s="1"/>
  <c r="AW82" i="19"/>
  <c r="AW82" i="18" s="1"/>
  <c r="AW82" i="11" s="1"/>
  <c r="AW82" i="13" s="1"/>
  <c r="AW81" i="19"/>
  <c r="AW81" i="18" s="1"/>
  <c r="AW81" i="11" s="1"/>
  <c r="AW81" i="13" s="1"/>
  <c r="AW80" i="19"/>
  <c r="AW80" i="18" s="1"/>
  <c r="AW80" i="11" s="1"/>
  <c r="AW80" i="13" s="1"/>
  <c r="AW79" i="19"/>
  <c r="AW79" i="18" s="1"/>
  <c r="AW79" i="11" s="1"/>
  <c r="AW79" i="13" s="1"/>
  <c r="AW78" i="19"/>
  <c r="AW78" i="18" s="1"/>
  <c r="AW78" i="11" s="1"/>
  <c r="AW78" i="13" s="1"/>
  <c r="AW77" i="19"/>
  <c r="AW77" i="18" s="1"/>
  <c r="AW77" i="11" s="1"/>
  <c r="AW77" i="13" s="1"/>
  <c r="AW76" i="19"/>
  <c r="AW76" i="18" s="1"/>
  <c r="AW76" i="11" s="1"/>
  <c r="AW76" i="13" s="1"/>
  <c r="AW75" i="19"/>
  <c r="AW75" i="18" s="1"/>
  <c r="AW75" i="11" s="1"/>
  <c r="AW75" i="13" s="1"/>
  <c r="AW74" i="19"/>
  <c r="AW74" i="18" s="1"/>
  <c r="AW74" i="11" s="1"/>
  <c r="AW74" i="13" s="1"/>
  <c r="AW73" i="19"/>
  <c r="AW73" i="18" s="1"/>
  <c r="AW73" i="11" s="1"/>
  <c r="AW73" i="13" s="1"/>
  <c r="AW72" i="19"/>
  <c r="AW72" i="18" s="1"/>
  <c r="AW72" i="11" s="1"/>
  <c r="AW72" i="13" s="1"/>
  <c r="AW71" i="19"/>
  <c r="AW71" i="18" s="1"/>
  <c r="AW71" i="11" s="1"/>
  <c r="AW71" i="13" s="1"/>
  <c r="AW70" i="19"/>
  <c r="AW70" i="18" s="1"/>
  <c r="AW70" i="11" s="1"/>
  <c r="AW70" i="13" s="1"/>
  <c r="AW69" i="19"/>
  <c r="AW69" i="18" s="1"/>
  <c r="AW69" i="11" s="1"/>
  <c r="AW69" i="13" s="1"/>
  <c r="AW68" i="19"/>
  <c r="AW68" i="18" s="1"/>
  <c r="AW68" i="11" s="1"/>
  <c r="AW68" i="13" s="1"/>
  <c r="AW67" i="19"/>
  <c r="AW67" i="18" s="1"/>
  <c r="AW67" i="11" s="1"/>
  <c r="AW67" i="13" s="1"/>
  <c r="AW66" i="19"/>
  <c r="AW66" i="18" s="1"/>
  <c r="AW66" i="11" s="1"/>
  <c r="AW66" i="13" s="1"/>
  <c r="AW65" i="19"/>
  <c r="AW65" i="18" s="1"/>
  <c r="AW65" i="11" s="1"/>
  <c r="AW65" i="13" s="1"/>
  <c r="AU85" i="19"/>
  <c r="AU85" i="18" s="1"/>
  <c r="AU85" i="11" s="1"/>
  <c r="AU85" i="13" s="1"/>
  <c r="AU84" i="19"/>
  <c r="AU84" i="18" s="1"/>
  <c r="AU84" i="11" s="1"/>
  <c r="AU84" i="13" s="1"/>
  <c r="AU83" i="19"/>
  <c r="AU83" i="18" s="1"/>
  <c r="AU83" i="11" s="1"/>
  <c r="AU83" i="13" s="1"/>
  <c r="AU82" i="19"/>
  <c r="AU82" i="18" s="1"/>
  <c r="AU82" i="11" s="1"/>
  <c r="AU82" i="13" s="1"/>
  <c r="AU81" i="19"/>
  <c r="AU81" i="18" s="1"/>
  <c r="AU81" i="11" s="1"/>
  <c r="AU81" i="13" s="1"/>
  <c r="AU80" i="19"/>
  <c r="AU80" i="18" s="1"/>
  <c r="AU80" i="11" s="1"/>
  <c r="AU80" i="13" s="1"/>
  <c r="AU79" i="19"/>
  <c r="AU79" i="18" s="1"/>
  <c r="AU79" i="11" s="1"/>
  <c r="AU79" i="13" s="1"/>
  <c r="AU78" i="19"/>
  <c r="AU78" i="18" s="1"/>
  <c r="AU78" i="11" s="1"/>
  <c r="AU78" i="13" s="1"/>
  <c r="AU77" i="19"/>
  <c r="AU77" i="18" s="1"/>
  <c r="AU77" i="11" s="1"/>
  <c r="AU77" i="13" s="1"/>
  <c r="AU76" i="19"/>
  <c r="AU76" i="18" s="1"/>
  <c r="AU76" i="11" s="1"/>
  <c r="AU76" i="13" s="1"/>
  <c r="AU75" i="19"/>
  <c r="AU75" i="18" s="1"/>
  <c r="AU75" i="11" s="1"/>
  <c r="AU75" i="13" s="1"/>
  <c r="AU74" i="19"/>
  <c r="AU74" i="18" s="1"/>
  <c r="AU74" i="11" s="1"/>
  <c r="AU74" i="13" s="1"/>
  <c r="AU73" i="19"/>
  <c r="AU73" i="18" s="1"/>
  <c r="AU73" i="11" s="1"/>
  <c r="AU73" i="13" s="1"/>
  <c r="AU72" i="19"/>
  <c r="AU72" i="18" s="1"/>
  <c r="AU72" i="11" s="1"/>
  <c r="AU72" i="13" s="1"/>
  <c r="AU71" i="19"/>
  <c r="AU71" i="18" s="1"/>
  <c r="AU71" i="11" s="1"/>
  <c r="AU71" i="13" s="1"/>
  <c r="AU70" i="19"/>
  <c r="AU70" i="18" s="1"/>
  <c r="AU70" i="11" s="1"/>
  <c r="AU70" i="13" s="1"/>
  <c r="AU69" i="19"/>
  <c r="AU69" i="18" s="1"/>
  <c r="AU69" i="11" s="1"/>
  <c r="AU69" i="13" s="1"/>
  <c r="AU68" i="19"/>
  <c r="AU68" i="18" s="1"/>
  <c r="AU68" i="11" s="1"/>
  <c r="AU68" i="13" s="1"/>
  <c r="AU67" i="19"/>
  <c r="AU67" i="18" s="1"/>
  <c r="AU67" i="11" s="1"/>
  <c r="AU67" i="13" s="1"/>
  <c r="AU66" i="19"/>
  <c r="AU66" i="18" s="1"/>
  <c r="AU66" i="11" s="1"/>
  <c r="AU66" i="13" s="1"/>
  <c r="AU65" i="19"/>
  <c r="AU65" i="18" s="1"/>
  <c r="AU65" i="11" s="1"/>
  <c r="AU65" i="13" s="1"/>
  <c r="AS85" i="19"/>
  <c r="AS85" i="18" s="1"/>
  <c r="AS85" i="11" s="1"/>
  <c r="AS85" i="13" s="1"/>
  <c r="AS84" i="19"/>
  <c r="AS84" i="18" s="1"/>
  <c r="AS84" i="11" s="1"/>
  <c r="AS84" i="13" s="1"/>
  <c r="AS83" i="19"/>
  <c r="AS83" i="18" s="1"/>
  <c r="AS83" i="11" s="1"/>
  <c r="AS83" i="13" s="1"/>
  <c r="AS82" i="19"/>
  <c r="AS82" i="18" s="1"/>
  <c r="AS82" i="11" s="1"/>
  <c r="AS82" i="13" s="1"/>
  <c r="AS81" i="19"/>
  <c r="AS81" i="18" s="1"/>
  <c r="AS81" i="11" s="1"/>
  <c r="AS81" i="13" s="1"/>
  <c r="AS80" i="19"/>
  <c r="AS80" i="18" s="1"/>
  <c r="AS80" i="11" s="1"/>
  <c r="AS80" i="13" s="1"/>
  <c r="AS79" i="19"/>
  <c r="AS79" i="18" s="1"/>
  <c r="AS79" i="11" s="1"/>
  <c r="AS79" i="13" s="1"/>
  <c r="AS78" i="19"/>
  <c r="AS78" i="18" s="1"/>
  <c r="AS78" i="11" s="1"/>
  <c r="AS78" i="13" s="1"/>
  <c r="AS77" i="19"/>
  <c r="AS77" i="18" s="1"/>
  <c r="AS77" i="11" s="1"/>
  <c r="AS77" i="13" s="1"/>
  <c r="AS76" i="19"/>
  <c r="AS76" i="18" s="1"/>
  <c r="AS76" i="11" s="1"/>
  <c r="AS76" i="13" s="1"/>
  <c r="AS75" i="19"/>
  <c r="AS75" i="18" s="1"/>
  <c r="AS75" i="11" s="1"/>
  <c r="AS75" i="13" s="1"/>
  <c r="AS74" i="19"/>
  <c r="AS74" i="18" s="1"/>
  <c r="AS74" i="11" s="1"/>
  <c r="AS74" i="13" s="1"/>
  <c r="AS73" i="19"/>
  <c r="AS73" i="18" s="1"/>
  <c r="AS73" i="11" s="1"/>
  <c r="AS73" i="13" s="1"/>
  <c r="AS72" i="19"/>
  <c r="AS72" i="18" s="1"/>
  <c r="AS72" i="11" s="1"/>
  <c r="AS72" i="13" s="1"/>
  <c r="AS71" i="19"/>
  <c r="AS71" i="18" s="1"/>
  <c r="AS71" i="11" s="1"/>
  <c r="AS71" i="13" s="1"/>
  <c r="AS70" i="19"/>
  <c r="AS70" i="18" s="1"/>
  <c r="AS70" i="11" s="1"/>
  <c r="AS70" i="13" s="1"/>
  <c r="AS69" i="19"/>
  <c r="AS69" i="18" s="1"/>
  <c r="AS69" i="11" s="1"/>
  <c r="AS69" i="13" s="1"/>
  <c r="AS68" i="19"/>
  <c r="AS68" i="18" s="1"/>
  <c r="AS68" i="11" s="1"/>
  <c r="AS68" i="13" s="1"/>
  <c r="AS67" i="19"/>
  <c r="AS67" i="18" s="1"/>
  <c r="AS67" i="11" s="1"/>
  <c r="AS67" i="13" s="1"/>
  <c r="AS66" i="19"/>
  <c r="AS66" i="18" s="1"/>
  <c r="AS66" i="11" s="1"/>
  <c r="AS66" i="13" s="1"/>
  <c r="AS65" i="19"/>
  <c r="AS65" i="18" s="1"/>
  <c r="AS65" i="11" s="1"/>
  <c r="AS65" i="13" s="1"/>
  <c r="AQ85" i="19"/>
  <c r="AQ85" i="18" s="1"/>
  <c r="AQ85" i="11" s="1"/>
  <c r="AQ85" i="13" s="1"/>
  <c r="AQ84" i="19"/>
  <c r="AQ84" i="18" s="1"/>
  <c r="AQ84" i="11" s="1"/>
  <c r="AQ84" i="13" s="1"/>
  <c r="AQ83" i="19"/>
  <c r="AQ83" i="18" s="1"/>
  <c r="AQ83" i="11" s="1"/>
  <c r="AQ83" i="13" s="1"/>
  <c r="AQ82" i="19"/>
  <c r="AQ82" i="18" s="1"/>
  <c r="AQ82" i="11" s="1"/>
  <c r="AQ82" i="13" s="1"/>
  <c r="AQ81" i="19"/>
  <c r="AQ81" i="18" s="1"/>
  <c r="AQ81" i="11" s="1"/>
  <c r="AQ81" i="13" s="1"/>
  <c r="AQ80" i="19"/>
  <c r="AQ80" i="18" s="1"/>
  <c r="AQ80" i="11" s="1"/>
  <c r="AQ80" i="13" s="1"/>
  <c r="AQ79" i="19"/>
  <c r="AQ79" i="18" s="1"/>
  <c r="AQ79" i="11" s="1"/>
  <c r="AQ79" i="13" s="1"/>
  <c r="AQ78" i="19"/>
  <c r="AQ78" i="18" s="1"/>
  <c r="AQ78" i="11" s="1"/>
  <c r="AQ78" i="13" s="1"/>
  <c r="AQ77" i="19"/>
  <c r="AQ77" i="18" s="1"/>
  <c r="AQ77" i="11" s="1"/>
  <c r="AQ77" i="13" s="1"/>
  <c r="AQ76" i="19"/>
  <c r="AQ76" i="18" s="1"/>
  <c r="AQ76" i="11" s="1"/>
  <c r="AQ76" i="13" s="1"/>
  <c r="AQ75" i="19"/>
  <c r="AQ75" i="18" s="1"/>
  <c r="AQ75" i="11" s="1"/>
  <c r="AQ75" i="13" s="1"/>
  <c r="AQ74" i="19"/>
  <c r="AQ74" i="18" s="1"/>
  <c r="AQ74" i="11" s="1"/>
  <c r="AQ74" i="13" s="1"/>
  <c r="AQ73" i="19"/>
  <c r="AQ73" i="18" s="1"/>
  <c r="AQ73" i="11" s="1"/>
  <c r="AQ73" i="13" s="1"/>
  <c r="AQ72" i="19"/>
  <c r="AQ72" i="18" s="1"/>
  <c r="AQ72" i="11" s="1"/>
  <c r="AQ72" i="13" s="1"/>
  <c r="AQ71" i="19"/>
  <c r="AQ71" i="18" s="1"/>
  <c r="AQ71" i="11" s="1"/>
  <c r="AQ71" i="13" s="1"/>
  <c r="AQ70" i="19"/>
  <c r="AQ70" i="18" s="1"/>
  <c r="AQ70" i="11" s="1"/>
  <c r="AQ70" i="13" s="1"/>
  <c r="AQ69" i="19"/>
  <c r="AQ69" i="18" s="1"/>
  <c r="AQ69" i="11" s="1"/>
  <c r="AQ69" i="13" s="1"/>
  <c r="AQ68" i="19"/>
  <c r="AQ68" i="18" s="1"/>
  <c r="AQ68" i="11" s="1"/>
  <c r="AQ68" i="13" s="1"/>
  <c r="AQ67" i="19"/>
  <c r="AQ67" i="18" s="1"/>
  <c r="AQ67" i="11" s="1"/>
  <c r="AQ67" i="13" s="1"/>
  <c r="AQ66" i="19"/>
  <c r="AQ66" i="18" s="1"/>
  <c r="AQ66" i="11" s="1"/>
  <c r="AQ66" i="13" s="1"/>
  <c r="AQ65" i="19"/>
  <c r="AQ65" i="18" s="1"/>
  <c r="AQ65" i="11" s="1"/>
  <c r="AQ65" i="13" s="1"/>
  <c r="AO85" i="19"/>
  <c r="AO85" i="18" s="1"/>
  <c r="AO85" i="11" s="1"/>
  <c r="AO85" i="13" s="1"/>
  <c r="AO84" i="19"/>
  <c r="AO84" i="18" s="1"/>
  <c r="AO84" i="11" s="1"/>
  <c r="AO84" i="13" s="1"/>
  <c r="AO83" i="19"/>
  <c r="AO83" i="18" s="1"/>
  <c r="AO83" i="11" s="1"/>
  <c r="AO83" i="13" s="1"/>
  <c r="AO82" i="19"/>
  <c r="AO82" i="18" s="1"/>
  <c r="AO82" i="11" s="1"/>
  <c r="AO82" i="13" s="1"/>
  <c r="AO81" i="19"/>
  <c r="AO81" i="18" s="1"/>
  <c r="AO81" i="11" s="1"/>
  <c r="AO81" i="13" s="1"/>
  <c r="AO80" i="19"/>
  <c r="AO80" i="18" s="1"/>
  <c r="AO80" i="11" s="1"/>
  <c r="AO80" i="13" s="1"/>
  <c r="AO79" i="19"/>
  <c r="AO79" i="18" s="1"/>
  <c r="AO79" i="11" s="1"/>
  <c r="AO79" i="13" s="1"/>
  <c r="AO78" i="19"/>
  <c r="AO78" i="18" s="1"/>
  <c r="AO78" i="11" s="1"/>
  <c r="AO78" i="13" s="1"/>
  <c r="AO77" i="19"/>
  <c r="AO77" i="18" s="1"/>
  <c r="AO77" i="11" s="1"/>
  <c r="AO77" i="13" s="1"/>
  <c r="AO76" i="19"/>
  <c r="AO76" i="18" s="1"/>
  <c r="AO76" i="11" s="1"/>
  <c r="AO76" i="13" s="1"/>
  <c r="AO75" i="19"/>
  <c r="AO75" i="18" s="1"/>
  <c r="AO75" i="11" s="1"/>
  <c r="AO75" i="13" s="1"/>
  <c r="AO74" i="19"/>
  <c r="AO74" i="18" s="1"/>
  <c r="AO74" i="11" s="1"/>
  <c r="AO74" i="13" s="1"/>
  <c r="AO73" i="19"/>
  <c r="AO73" i="18" s="1"/>
  <c r="AO73" i="11" s="1"/>
  <c r="AO73" i="13" s="1"/>
  <c r="AO72" i="19"/>
  <c r="AO72" i="18" s="1"/>
  <c r="AO72" i="11" s="1"/>
  <c r="AO72" i="13" s="1"/>
  <c r="AO71" i="19"/>
  <c r="AO71" i="18" s="1"/>
  <c r="AO71" i="11" s="1"/>
  <c r="AO71" i="13" s="1"/>
  <c r="AO70" i="19"/>
  <c r="AO70" i="18" s="1"/>
  <c r="AO70" i="11" s="1"/>
  <c r="AO70" i="13" s="1"/>
  <c r="AO69" i="19"/>
  <c r="AO69" i="18" s="1"/>
  <c r="AO69" i="11" s="1"/>
  <c r="AO69" i="13" s="1"/>
  <c r="AO68" i="19"/>
  <c r="AO68" i="18" s="1"/>
  <c r="AO68" i="11" s="1"/>
  <c r="AO68" i="13" s="1"/>
  <c r="AO67" i="19"/>
  <c r="AO67" i="18" s="1"/>
  <c r="AO67" i="11" s="1"/>
  <c r="AO67" i="13" s="1"/>
  <c r="AO66" i="19"/>
  <c r="AO66" i="18" s="1"/>
  <c r="AO66" i="11" s="1"/>
  <c r="AO66" i="13" s="1"/>
  <c r="AO65" i="19"/>
  <c r="AO65" i="18" s="1"/>
  <c r="AO65" i="11" s="1"/>
  <c r="AO65" i="13" s="1"/>
  <c r="AM85" i="19"/>
  <c r="AM85" i="18" s="1"/>
  <c r="AM85" i="11" s="1"/>
  <c r="AM85" i="13" s="1"/>
  <c r="AM84" i="19"/>
  <c r="AM84" i="18" s="1"/>
  <c r="AM84" i="11" s="1"/>
  <c r="AM84" i="13" s="1"/>
  <c r="AM83" i="19"/>
  <c r="AM83" i="18" s="1"/>
  <c r="AM83" i="11" s="1"/>
  <c r="AM83" i="13" s="1"/>
  <c r="AM82" i="19"/>
  <c r="AM82" i="18" s="1"/>
  <c r="AM82" i="11" s="1"/>
  <c r="AM82" i="13" s="1"/>
  <c r="AM81" i="19"/>
  <c r="AM81" i="18" s="1"/>
  <c r="AM81" i="11" s="1"/>
  <c r="AM81" i="13" s="1"/>
  <c r="AM80" i="19"/>
  <c r="AM80" i="18" s="1"/>
  <c r="AM80" i="11" s="1"/>
  <c r="AM80" i="13" s="1"/>
  <c r="AM79" i="19"/>
  <c r="AM79" i="18" s="1"/>
  <c r="AM79" i="11" s="1"/>
  <c r="AM79" i="13" s="1"/>
  <c r="AM78" i="19"/>
  <c r="AM78" i="18" s="1"/>
  <c r="AM78" i="11" s="1"/>
  <c r="AM78" i="13" s="1"/>
  <c r="AM77" i="19"/>
  <c r="AM77" i="18" s="1"/>
  <c r="AM77" i="11" s="1"/>
  <c r="AM77" i="13" s="1"/>
  <c r="AM76" i="19"/>
  <c r="AM76" i="18" s="1"/>
  <c r="AM76" i="11" s="1"/>
  <c r="AM76" i="13" s="1"/>
  <c r="AM75" i="19"/>
  <c r="AM75" i="18" s="1"/>
  <c r="AM75" i="11" s="1"/>
  <c r="AM75" i="13" s="1"/>
  <c r="AM74" i="19"/>
  <c r="AM74" i="18" s="1"/>
  <c r="AM74" i="11" s="1"/>
  <c r="AM74" i="13" s="1"/>
  <c r="AM73" i="19"/>
  <c r="AM73" i="18" s="1"/>
  <c r="AM73" i="11" s="1"/>
  <c r="AM73" i="13" s="1"/>
  <c r="AM72" i="19"/>
  <c r="AM72" i="18" s="1"/>
  <c r="AM72" i="11" s="1"/>
  <c r="AM72" i="13" s="1"/>
  <c r="AM71" i="19"/>
  <c r="AM71" i="18" s="1"/>
  <c r="AM71" i="11" s="1"/>
  <c r="AM71" i="13" s="1"/>
  <c r="AM70" i="19"/>
  <c r="AM70" i="18" s="1"/>
  <c r="AM70" i="11" s="1"/>
  <c r="AM70" i="13" s="1"/>
  <c r="AM69" i="19"/>
  <c r="AM69" i="18" s="1"/>
  <c r="AM69" i="11" s="1"/>
  <c r="AM69" i="13" s="1"/>
  <c r="AM68" i="19"/>
  <c r="AM68" i="18" s="1"/>
  <c r="AM68" i="11" s="1"/>
  <c r="AM68" i="13" s="1"/>
  <c r="AM67" i="19"/>
  <c r="AM67" i="18" s="1"/>
  <c r="AM67" i="11" s="1"/>
  <c r="AM67" i="13" s="1"/>
  <c r="AM66" i="19"/>
  <c r="AM66" i="18" s="1"/>
  <c r="AM66" i="11" s="1"/>
  <c r="AM66" i="13" s="1"/>
  <c r="AM65" i="19"/>
  <c r="AM65" i="18" s="1"/>
  <c r="AM65" i="11" s="1"/>
  <c r="AM65" i="13" s="1"/>
  <c r="AK85" i="19"/>
  <c r="AK85" i="18" s="1"/>
  <c r="AK85" i="11" s="1"/>
  <c r="AK85" i="13" s="1"/>
  <c r="AK84" i="19"/>
  <c r="AK84" i="18" s="1"/>
  <c r="AK84" i="11" s="1"/>
  <c r="AK84" i="13" s="1"/>
  <c r="AK83" i="19"/>
  <c r="AK83" i="18" s="1"/>
  <c r="AK83" i="11" s="1"/>
  <c r="AK83" i="13" s="1"/>
  <c r="AK82" i="19"/>
  <c r="AK82" i="18" s="1"/>
  <c r="AK82" i="11" s="1"/>
  <c r="AK82" i="13" s="1"/>
  <c r="AK81" i="19"/>
  <c r="AK81" i="18" s="1"/>
  <c r="AK81" i="11" s="1"/>
  <c r="AK81" i="13" s="1"/>
  <c r="AK80" i="19"/>
  <c r="AK80" i="18" s="1"/>
  <c r="AK80" i="11" s="1"/>
  <c r="AK80" i="13" s="1"/>
  <c r="AK79" i="19"/>
  <c r="AK79" i="18" s="1"/>
  <c r="AK79" i="11" s="1"/>
  <c r="AK79" i="13" s="1"/>
  <c r="AK78" i="19"/>
  <c r="AK78" i="18" s="1"/>
  <c r="AK78" i="11" s="1"/>
  <c r="AK78" i="13" s="1"/>
  <c r="AK77" i="19"/>
  <c r="AK77" i="18" s="1"/>
  <c r="AK77" i="11" s="1"/>
  <c r="AK77" i="13" s="1"/>
  <c r="AK76" i="19"/>
  <c r="AK76" i="18" s="1"/>
  <c r="AK76" i="11" s="1"/>
  <c r="AK76" i="13" s="1"/>
  <c r="AK75" i="19"/>
  <c r="AK75" i="18" s="1"/>
  <c r="AK75" i="11" s="1"/>
  <c r="AK75" i="13" s="1"/>
  <c r="AK74" i="19"/>
  <c r="AK74" i="18" s="1"/>
  <c r="AK74" i="11" s="1"/>
  <c r="AK74" i="13" s="1"/>
  <c r="AK73" i="19"/>
  <c r="AK73" i="18" s="1"/>
  <c r="AK73" i="11" s="1"/>
  <c r="AK73" i="13" s="1"/>
  <c r="AK72" i="19"/>
  <c r="AK72" i="18" s="1"/>
  <c r="AK72" i="11" s="1"/>
  <c r="AK72" i="13" s="1"/>
  <c r="AK71" i="19"/>
  <c r="AK71" i="18" s="1"/>
  <c r="AK71" i="11" s="1"/>
  <c r="AK71" i="13" s="1"/>
  <c r="AK70" i="19"/>
  <c r="AK70" i="18" s="1"/>
  <c r="AK70" i="11" s="1"/>
  <c r="AK70" i="13" s="1"/>
  <c r="AK69" i="19"/>
  <c r="AK69" i="18" s="1"/>
  <c r="AK69" i="11" s="1"/>
  <c r="AK69" i="13" s="1"/>
  <c r="AK68" i="19"/>
  <c r="AK68" i="18" s="1"/>
  <c r="AK68" i="11" s="1"/>
  <c r="AK68" i="13" s="1"/>
  <c r="AK67" i="19"/>
  <c r="AK67" i="18" s="1"/>
  <c r="AK67" i="11" s="1"/>
  <c r="AK67" i="13" s="1"/>
  <c r="AK66" i="19"/>
  <c r="AK66" i="18" s="1"/>
  <c r="AK66" i="11" s="1"/>
  <c r="AK66" i="13" s="1"/>
  <c r="AK65" i="19"/>
  <c r="AK65" i="18" s="1"/>
  <c r="AK65" i="11" s="1"/>
  <c r="AK65" i="13" s="1"/>
  <c r="AI85" i="19"/>
  <c r="AI85" i="18" s="1"/>
  <c r="AI85" i="11" s="1"/>
  <c r="AI85" i="13" s="1"/>
  <c r="AI84" i="19"/>
  <c r="AI84" i="18" s="1"/>
  <c r="AI84" i="11" s="1"/>
  <c r="AI84" i="13" s="1"/>
  <c r="AI83" i="19"/>
  <c r="AI83" i="18" s="1"/>
  <c r="AI83" i="11" s="1"/>
  <c r="AI83" i="13" s="1"/>
  <c r="AI82" i="19"/>
  <c r="AI82" i="18" s="1"/>
  <c r="AI82" i="11" s="1"/>
  <c r="AI82" i="13" s="1"/>
  <c r="AI81" i="19"/>
  <c r="AI81" i="18" s="1"/>
  <c r="AI81" i="11" s="1"/>
  <c r="AI81" i="13" s="1"/>
  <c r="AI80" i="19"/>
  <c r="AI80" i="18" s="1"/>
  <c r="AI80" i="11" s="1"/>
  <c r="AI80" i="13" s="1"/>
  <c r="AI79" i="19"/>
  <c r="AI79" i="18" s="1"/>
  <c r="AI79" i="11" s="1"/>
  <c r="AI79" i="13" s="1"/>
  <c r="AI78" i="19"/>
  <c r="AI78" i="18" s="1"/>
  <c r="AI78" i="11" s="1"/>
  <c r="AI78" i="13" s="1"/>
  <c r="AI77" i="19"/>
  <c r="AI77" i="18" s="1"/>
  <c r="AI77" i="11" s="1"/>
  <c r="AI77" i="13" s="1"/>
  <c r="AI76" i="19"/>
  <c r="AI76" i="18" s="1"/>
  <c r="AI76" i="11" s="1"/>
  <c r="AI76" i="13" s="1"/>
  <c r="AI75" i="19"/>
  <c r="AI75" i="18" s="1"/>
  <c r="AI75" i="11" s="1"/>
  <c r="AI75" i="13" s="1"/>
  <c r="AI74" i="19"/>
  <c r="AI74" i="18" s="1"/>
  <c r="AI74" i="11" s="1"/>
  <c r="AI74" i="13" s="1"/>
  <c r="AI73" i="19"/>
  <c r="AI73" i="18" s="1"/>
  <c r="AI73" i="11" s="1"/>
  <c r="AI73" i="13" s="1"/>
  <c r="AI72" i="19"/>
  <c r="AI72" i="18" s="1"/>
  <c r="AI72" i="11" s="1"/>
  <c r="AI72" i="13" s="1"/>
  <c r="AI71" i="19"/>
  <c r="AI71" i="18" s="1"/>
  <c r="AI71" i="11" s="1"/>
  <c r="AI71" i="13" s="1"/>
  <c r="AI70" i="19"/>
  <c r="AI70" i="18" s="1"/>
  <c r="AI70" i="11" s="1"/>
  <c r="AI70" i="13" s="1"/>
  <c r="AI69" i="19"/>
  <c r="AI69" i="18" s="1"/>
  <c r="AI69" i="11" s="1"/>
  <c r="AI69" i="13" s="1"/>
  <c r="AI68" i="19"/>
  <c r="AI68" i="18" s="1"/>
  <c r="AI68" i="11" s="1"/>
  <c r="AI68" i="13" s="1"/>
  <c r="AI67" i="19"/>
  <c r="AI67" i="18" s="1"/>
  <c r="AI67" i="11" s="1"/>
  <c r="AI67" i="13" s="1"/>
  <c r="AI66" i="19"/>
  <c r="AI66" i="18" s="1"/>
  <c r="AI66" i="11" s="1"/>
  <c r="AI66" i="13" s="1"/>
  <c r="AI65" i="19"/>
  <c r="AI65" i="18" s="1"/>
  <c r="AI65" i="11" s="1"/>
  <c r="AI65" i="13" s="1"/>
  <c r="AG85" i="19"/>
  <c r="AG85" i="18" s="1"/>
  <c r="AG85" i="11" s="1"/>
  <c r="AG85" i="13" s="1"/>
  <c r="AG84" i="19"/>
  <c r="AG84" i="18" s="1"/>
  <c r="AG84" i="11" s="1"/>
  <c r="AG84" i="13" s="1"/>
  <c r="AG83" i="19"/>
  <c r="AG83" i="18" s="1"/>
  <c r="AG83" i="11" s="1"/>
  <c r="AG83" i="13" s="1"/>
  <c r="AG82" i="19"/>
  <c r="AG82" i="18" s="1"/>
  <c r="AG82" i="11" s="1"/>
  <c r="AG82" i="13" s="1"/>
  <c r="AG81" i="19"/>
  <c r="AG81" i="18" s="1"/>
  <c r="AG81" i="11" s="1"/>
  <c r="AG81" i="13" s="1"/>
  <c r="AG80" i="19"/>
  <c r="AG80" i="18" s="1"/>
  <c r="AG80" i="11" s="1"/>
  <c r="AG80" i="13" s="1"/>
  <c r="AG79" i="19"/>
  <c r="AG79" i="18" s="1"/>
  <c r="AG79" i="11" s="1"/>
  <c r="AG79" i="13" s="1"/>
  <c r="AG78" i="19"/>
  <c r="AG78" i="18" s="1"/>
  <c r="AG78" i="11" s="1"/>
  <c r="AG78" i="13" s="1"/>
  <c r="AG77" i="19"/>
  <c r="AG77" i="18" s="1"/>
  <c r="AG77" i="11" s="1"/>
  <c r="AG77" i="13" s="1"/>
  <c r="AG76" i="19"/>
  <c r="AG76" i="18" s="1"/>
  <c r="AG76" i="11" s="1"/>
  <c r="AG76" i="13" s="1"/>
  <c r="AG75" i="19"/>
  <c r="AG75" i="18" s="1"/>
  <c r="AG75" i="11" s="1"/>
  <c r="AG75" i="13" s="1"/>
  <c r="AG74" i="19"/>
  <c r="AG74" i="18" s="1"/>
  <c r="AG74" i="11" s="1"/>
  <c r="AG74" i="13" s="1"/>
  <c r="AG73" i="19"/>
  <c r="AG73" i="18" s="1"/>
  <c r="AG73" i="11" s="1"/>
  <c r="AG73" i="13" s="1"/>
  <c r="AG72" i="19"/>
  <c r="AG72" i="18" s="1"/>
  <c r="AG72" i="11" s="1"/>
  <c r="AG72" i="13" s="1"/>
  <c r="AG71" i="19"/>
  <c r="AG71" i="18" s="1"/>
  <c r="AG71" i="11" s="1"/>
  <c r="AG71" i="13" s="1"/>
  <c r="AG70" i="19"/>
  <c r="AG70" i="18" s="1"/>
  <c r="AG70" i="11" s="1"/>
  <c r="AG70" i="13" s="1"/>
  <c r="AG69" i="19"/>
  <c r="AG69" i="18" s="1"/>
  <c r="AG69" i="11" s="1"/>
  <c r="AG69" i="13" s="1"/>
  <c r="AG68" i="19"/>
  <c r="AG68" i="18" s="1"/>
  <c r="AG68" i="11" s="1"/>
  <c r="AG68" i="13" s="1"/>
  <c r="AG67" i="19"/>
  <c r="AG67" i="18" s="1"/>
  <c r="AG67" i="11" s="1"/>
  <c r="AG67" i="13" s="1"/>
  <c r="AG66" i="19"/>
  <c r="AG66" i="18" s="1"/>
  <c r="AG66" i="11" s="1"/>
  <c r="AG66" i="13" s="1"/>
  <c r="AG65" i="19"/>
  <c r="AG65" i="18" s="1"/>
  <c r="AG65" i="11" s="1"/>
  <c r="AG65" i="13" s="1"/>
  <c r="AE85" i="19"/>
  <c r="AE85" i="18" s="1"/>
  <c r="AE85" i="11" s="1"/>
  <c r="AE85" i="13" s="1"/>
  <c r="AE84" i="19"/>
  <c r="AE84" i="18" s="1"/>
  <c r="AE84" i="11" s="1"/>
  <c r="AE84" i="13" s="1"/>
  <c r="AE83" i="19"/>
  <c r="AE83" i="18" s="1"/>
  <c r="AE83" i="11" s="1"/>
  <c r="AE83" i="13" s="1"/>
  <c r="AE82" i="19"/>
  <c r="AE82" i="18" s="1"/>
  <c r="AE82" i="11" s="1"/>
  <c r="AE82" i="13" s="1"/>
  <c r="AE81" i="19"/>
  <c r="AE81" i="18" s="1"/>
  <c r="AE81" i="11" s="1"/>
  <c r="AE81" i="13" s="1"/>
  <c r="AE80" i="19"/>
  <c r="AE80" i="18" s="1"/>
  <c r="AE80" i="11" s="1"/>
  <c r="AE80" i="13" s="1"/>
  <c r="AE79" i="19"/>
  <c r="AE79" i="18" s="1"/>
  <c r="AE79" i="11" s="1"/>
  <c r="AE79" i="13" s="1"/>
  <c r="AE78" i="19"/>
  <c r="AE78" i="18" s="1"/>
  <c r="AE78" i="11" s="1"/>
  <c r="AE78" i="13" s="1"/>
  <c r="AE77" i="19"/>
  <c r="AE77" i="18" s="1"/>
  <c r="AE77" i="11" s="1"/>
  <c r="AE77" i="13" s="1"/>
  <c r="AE76" i="19"/>
  <c r="AE76" i="18" s="1"/>
  <c r="AE76" i="11" s="1"/>
  <c r="AE76" i="13" s="1"/>
  <c r="AE75" i="19"/>
  <c r="AE75" i="18" s="1"/>
  <c r="AE75" i="11" s="1"/>
  <c r="AE75" i="13" s="1"/>
  <c r="AE74" i="19"/>
  <c r="AE74" i="18" s="1"/>
  <c r="AE74" i="11" s="1"/>
  <c r="AE74" i="13" s="1"/>
  <c r="AE73" i="19"/>
  <c r="AE73" i="18" s="1"/>
  <c r="AE73" i="11" s="1"/>
  <c r="AE73" i="13" s="1"/>
  <c r="AE72" i="19"/>
  <c r="AE72" i="18" s="1"/>
  <c r="AE72" i="11" s="1"/>
  <c r="AE72" i="13" s="1"/>
  <c r="AE71" i="19"/>
  <c r="AE71" i="18" s="1"/>
  <c r="AE71" i="11" s="1"/>
  <c r="AE71" i="13" s="1"/>
  <c r="AE70" i="19"/>
  <c r="AE70" i="18" s="1"/>
  <c r="AE70" i="11" s="1"/>
  <c r="AE70" i="13" s="1"/>
  <c r="AE69" i="19"/>
  <c r="AE69" i="18" s="1"/>
  <c r="AE69" i="11" s="1"/>
  <c r="AE69" i="13" s="1"/>
  <c r="AE68" i="19"/>
  <c r="AE68" i="18" s="1"/>
  <c r="AE68" i="11" s="1"/>
  <c r="AE68" i="13" s="1"/>
  <c r="AE67" i="19"/>
  <c r="AE67" i="18" s="1"/>
  <c r="AE67" i="11" s="1"/>
  <c r="AE67" i="13" s="1"/>
  <c r="AE66" i="19"/>
  <c r="AE66" i="18" s="1"/>
  <c r="AE66" i="11" s="1"/>
  <c r="AE66" i="13" s="1"/>
  <c r="AE65" i="19"/>
  <c r="AE65" i="18" s="1"/>
  <c r="AE65" i="11" s="1"/>
  <c r="AE65" i="13" s="1"/>
  <c r="AC85" i="19"/>
  <c r="AC85" i="18" s="1"/>
  <c r="AC85" i="11" s="1"/>
  <c r="AC85" i="13" s="1"/>
  <c r="AC84" i="19"/>
  <c r="AC84" i="18" s="1"/>
  <c r="AC84" i="11" s="1"/>
  <c r="AC84" i="13" s="1"/>
  <c r="AC83" i="19"/>
  <c r="AC83" i="18" s="1"/>
  <c r="AC83" i="11" s="1"/>
  <c r="AC83" i="13" s="1"/>
  <c r="AC82" i="19"/>
  <c r="AC82" i="18" s="1"/>
  <c r="AC82" i="11" s="1"/>
  <c r="AC82" i="13" s="1"/>
  <c r="AC81" i="19"/>
  <c r="AC81" i="18" s="1"/>
  <c r="AC81" i="11" s="1"/>
  <c r="AC81" i="13" s="1"/>
  <c r="AC80" i="19"/>
  <c r="AC80" i="18" s="1"/>
  <c r="AC80" i="11" s="1"/>
  <c r="AC80" i="13" s="1"/>
  <c r="AC79" i="19"/>
  <c r="AC79" i="18" s="1"/>
  <c r="AC79" i="11" s="1"/>
  <c r="AC79" i="13" s="1"/>
  <c r="AC78" i="19"/>
  <c r="AC78" i="18" s="1"/>
  <c r="AC78" i="11" s="1"/>
  <c r="AC78" i="13" s="1"/>
  <c r="AC77" i="19"/>
  <c r="AC77" i="18" s="1"/>
  <c r="AC77" i="11" s="1"/>
  <c r="AC77" i="13" s="1"/>
  <c r="AC76" i="19"/>
  <c r="AC76" i="18" s="1"/>
  <c r="AC76" i="11" s="1"/>
  <c r="AC76" i="13" s="1"/>
  <c r="AC75" i="19"/>
  <c r="AC75" i="18" s="1"/>
  <c r="AC75" i="11" s="1"/>
  <c r="AC75" i="13" s="1"/>
  <c r="AC74" i="19"/>
  <c r="AC74" i="18" s="1"/>
  <c r="AC74" i="11" s="1"/>
  <c r="AC74" i="13" s="1"/>
  <c r="AC73" i="19"/>
  <c r="AC73" i="18" s="1"/>
  <c r="AC73" i="11" s="1"/>
  <c r="AC73" i="13" s="1"/>
  <c r="AC72" i="19"/>
  <c r="AC72" i="18" s="1"/>
  <c r="AC72" i="11" s="1"/>
  <c r="AC72" i="13" s="1"/>
  <c r="AC71" i="19"/>
  <c r="AC71" i="18" s="1"/>
  <c r="AC71" i="11" s="1"/>
  <c r="AC71" i="13" s="1"/>
  <c r="AC70" i="19"/>
  <c r="AC70" i="18" s="1"/>
  <c r="AC70" i="11" s="1"/>
  <c r="AC70" i="13" s="1"/>
  <c r="AC69" i="19"/>
  <c r="AC69" i="18" s="1"/>
  <c r="AC69" i="11" s="1"/>
  <c r="AC69" i="13" s="1"/>
  <c r="AC68" i="19"/>
  <c r="AC68" i="18" s="1"/>
  <c r="AC68" i="11" s="1"/>
  <c r="AC68" i="13" s="1"/>
  <c r="AC67" i="19"/>
  <c r="AC67" i="18" s="1"/>
  <c r="AC67" i="11" s="1"/>
  <c r="AC67" i="13" s="1"/>
  <c r="AC66" i="19"/>
  <c r="AC66" i="18" s="1"/>
  <c r="AC66" i="11" s="1"/>
  <c r="AC66" i="13" s="1"/>
  <c r="AC65" i="19"/>
  <c r="AC65" i="18" s="1"/>
  <c r="AC65" i="11" s="1"/>
  <c r="AC65" i="13" s="1"/>
  <c r="AA85" i="19"/>
  <c r="AA85" i="18" s="1"/>
  <c r="AA85" i="11" s="1"/>
  <c r="AA85" i="13" s="1"/>
  <c r="AA84" i="19"/>
  <c r="AA84" i="18" s="1"/>
  <c r="AA84" i="11" s="1"/>
  <c r="AA84" i="13" s="1"/>
  <c r="AA83" i="19"/>
  <c r="AA83" i="18" s="1"/>
  <c r="AA83" i="11" s="1"/>
  <c r="AA83" i="13" s="1"/>
  <c r="AA82" i="19"/>
  <c r="AA82" i="18" s="1"/>
  <c r="AA82" i="11" s="1"/>
  <c r="AA82" i="13" s="1"/>
  <c r="AA81" i="19"/>
  <c r="AA81" i="18" s="1"/>
  <c r="AA81" i="11" s="1"/>
  <c r="AA81" i="13" s="1"/>
  <c r="AA80" i="19"/>
  <c r="AA80" i="18" s="1"/>
  <c r="AA80" i="11" s="1"/>
  <c r="AA80" i="13" s="1"/>
  <c r="AA79" i="19"/>
  <c r="AA79" i="18" s="1"/>
  <c r="AA79" i="11" s="1"/>
  <c r="AA79" i="13" s="1"/>
  <c r="AA78" i="19"/>
  <c r="AA78" i="18" s="1"/>
  <c r="AA78" i="11" s="1"/>
  <c r="AA78" i="13" s="1"/>
  <c r="AA77" i="19"/>
  <c r="AA77" i="18" s="1"/>
  <c r="AA77" i="11" s="1"/>
  <c r="AA77" i="13" s="1"/>
  <c r="AA76" i="19"/>
  <c r="AA76" i="18" s="1"/>
  <c r="AA76" i="11" s="1"/>
  <c r="AA76" i="13" s="1"/>
  <c r="AA75" i="19"/>
  <c r="AA75" i="18" s="1"/>
  <c r="AA75" i="11" s="1"/>
  <c r="AA75" i="13" s="1"/>
  <c r="AA74" i="19"/>
  <c r="AA74" i="18" s="1"/>
  <c r="AA74" i="11" s="1"/>
  <c r="AA74" i="13" s="1"/>
  <c r="AA73" i="19"/>
  <c r="AA73" i="18" s="1"/>
  <c r="AA73" i="11" s="1"/>
  <c r="AA73" i="13" s="1"/>
  <c r="AA72" i="19"/>
  <c r="AA72" i="18" s="1"/>
  <c r="AA72" i="11" s="1"/>
  <c r="AA72" i="13" s="1"/>
  <c r="AA71" i="19"/>
  <c r="AA71" i="18" s="1"/>
  <c r="AA71" i="11" s="1"/>
  <c r="AA71" i="13" s="1"/>
  <c r="AA70" i="19"/>
  <c r="AA70" i="18" s="1"/>
  <c r="AA70" i="11" s="1"/>
  <c r="AA70" i="13" s="1"/>
  <c r="AA69" i="19"/>
  <c r="AA69" i="18" s="1"/>
  <c r="AA69" i="11" s="1"/>
  <c r="AA69" i="13" s="1"/>
  <c r="AA68" i="19"/>
  <c r="AA68" i="18" s="1"/>
  <c r="AA68" i="11" s="1"/>
  <c r="AA68" i="13" s="1"/>
  <c r="AA67" i="19"/>
  <c r="AA67" i="18" s="1"/>
  <c r="AA67" i="11" s="1"/>
  <c r="AA67" i="13" s="1"/>
  <c r="AA66" i="19"/>
  <c r="AA66" i="18" s="1"/>
  <c r="AA66" i="11" s="1"/>
  <c r="AA66" i="13" s="1"/>
  <c r="AA65" i="19"/>
  <c r="AA65" i="18" s="1"/>
  <c r="AA65" i="11" s="1"/>
  <c r="AA65" i="13" s="1"/>
  <c r="Y85" i="19"/>
  <c r="Y85" i="18" s="1"/>
  <c r="Y85" i="11" s="1"/>
  <c r="Y85" i="13" s="1"/>
  <c r="Y84" i="19"/>
  <c r="Y84" i="18" s="1"/>
  <c r="Y84" i="11" s="1"/>
  <c r="Y84" i="13" s="1"/>
  <c r="Y83" i="19"/>
  <c r="Y83" i="18" s="1"/>
  <c r="Y83" i="11" s="1"/>
  <c r="Y83" i="13" s="1"/>
  <c r="Y82" i="19"/>
  <c r="Y82" i="18" s="1"/>
  <c r="Y82" i="11" s="1"/>
  <c r="Y82" i="13" s="1"/>
  <c r="Y81" i="19"/>
  <c r="Y81" i="18" s="1"/>
  <c r="Y81" i="11" s="1"/>
  <c r="Y81" i="13" s="1"/>
  <c r="Y80" i="19"/>
  <c r="Y80" i="18" s="1"/>
  <c r="Y80" i="11" s="1"/>
  <c r="Y80" i="13" s="1"/>
  <c r="Y79" i="19"/>
  <c r="Y79" i="18" s="1"/>
  <c r="Y79" i="11" s="1"/>
  <c r="Y79" i="13" s="1"/>
  <c r="Y78" i="19"/>
  <c r="Y78" i="18" s="1"/>
  <c r="Y78" i="11" s="1"/>
  <c r="Y78" i="13" s="1"/>
  <c r="Y77" i="19"/>
  <c r="Y77" i="18" s="1"/>
  <c r="Y77" i="11" s="1"/>
  <c r="Y77" i="13" s="1"/>
  <c r="Y76" i="19"/>
  <c r="Y76" i="18" s="1"/>
  <c r="Y76" i="11" s="1"/>
  <c r="Y76" i="13" s="1"/>
  <c r="Y75" i="19"/>
  <c r="Y75" i="18" s="1"/>
  <c r="Y75" i="11" s="1"/>
  <c r="Y75" i="13" s="1"/>
  <c r="Y74" i="19"/>
  <c r="Y74" i="18" s="1"/>
  <c r="Y74" i="11" s="1"/>
  <c r="Y74" i="13" s="1"/>
  <c r="Y73" i="19"/>
  <c r="Y73" i="18" s="1"/>
  <c r="Y73" i="11" s="1"/>
  <c r="Y73" i="13" s="1"/>
  <c r="Y72" i="19"/>
  <c r="Y72" i="18" s="1"/>
  <c r="Y72" i="11" s="1"/>
  <c r="Y72" i="13" s="1"/>
  <c r="Y71" i="19"/>
  <c r="Y71" i="18" s="1"/>
  <c r="Y71" i="11" s="1"/>
  <c r="Y71" i="13" s="1"/>
  <c r="Y70" i="19"/>
  <c r="Y70" i="18" s="1"/>
  <c r="Y70" i="11" s="1"/>
  <c r="Y70" i="13" s="1"/>
  <c r="Y69" i="19"/>
  <c r="Y69" i="18" s="1"/>
  <c r="Y69" i="11" s="1"/>
  <c r="Y69" i="13" s="1"/>
  <c r="Y68" i="19"/>
  <c r="Y68" i="18" s="1"/>
  <c r="Y68" i="11" s="1"/>
  <c r="Y68" i="13" s="1"/>
  <c r="Y67" i="19"/>
  <c r="Y67" i="18" s="1"/>
  <c r="Y67" i="11" s="1"/>
  <c r="Y67" i="13" s="1"/>
  <c r="Y66" i="19"/>
  <c r="Y66" i="18" s="1"/>
  <c r="Y66" i="11" s="1"/>
  <c r="Y66" i="13" s="1"/>
  <c r="Y65" i="19"/>
  <c r="Y65" i="18" s="1"/>
  <c r="Y65" i="11" s="1"/>
  <c r="Y65" i="13" s="1"/>
  <c r="W85" i="19"/>
  <c r="W85" i="18" s="1"/>
  <c r="W85" i="11" s="1"/>
  <c r="W85" i="13" s="1"/>
  <c r="W84" i="19"/>
  <c r="W84" i="18" s="1"/>
  <c r="W84" i="11" s="1"/>
  <c r="W84" i="13" s="1"/>
  <c r="W83" i="19"/>
  <c r="W83" i="18" s="1"/>
  <c r="W83" i="11" s="1"/>
  <c r="W83" i="13" s="1"/>
  <c r="W82" i="19"/>
  <c r="W82" i="18" s="1"/>
  <c r="W82" i="11" s="1"/>
  <c r="W82" i="13" s="1"/>
  <c r="W81" i="19"/>
  <c r="W81" i="18" s="1"/>
  <c r="W81" i="11" s="1"/>
  <c r="W81" i="13" s="1"/>
  <c r="W80" i="19"/>
  <c r="W80" i="18" s="1"/>
  <c r="W80" i="11" s="1"/>
  <c r="W80" i="13" s="1"/>
  <c r="W79" i="19"/>
  <c r="W79" i="18" s="1"/>
  <c r="W79" i="11" s="1"/>
  <c r="W79" i="13" s="1"/>
  <c r="W78" i="19"/>
  <c r="W78" i="18" s="1"/>
  <c r="W78" i="11" s="1"/>
  <c r="W78" i="13" s="1"/>
  <c r="W77" i="19"/>
  <c r="W77" i="18" s="1"/>
  <c r="W77" i="11" s="1"/>
  <c r="W77" i="13" s="1"/>
  <c r="W76" i="19"/>
  <c r="W76" i="18" s="1"/>
  <c r="W76" i="11" s="1"/>
  <c r="W76" i="13" s="1"/>
  <c r="W75" i="19"/>
  <c r="W75" i="18" s="1"/>
  <c r="W75" i="11" s="1"/>
  <c r="W75" i="13" s="1"/>
  <c r="W74" i="19"/>
  <c r="W74" i="18" s="1"/>
  <c r="W74" i="11" s="1"/>
  <c r="W74" i="13" s="1"/>
  <c r="W73" i="19"/>
  <c r="W73" i="18" s="1"/>
  <c r="W73" i="11" s="1"/>
  <c r="W73" i="13" s="1"/>
  <c r="W72" i="19"/>
  <c r="W72" i="18" s="1"/>
  <c r="W72" i="11" s="1"/>
  <c r="W72" i="13" s="1"/>
  <c r="W71" i="19"/>
  <c r="W71" i="18" s="1"/>
  <c r="W71" i="11" s="1"/>
  <c r="W71" i="13" s="1"/>
  <c r="W70" i="19"/>
  <c r="W70" i="18" s="1"/>
  <c r="W70" i="11" s="1"/>
  <c r="W70" i="13" s="1"/>
  <c r="W69" i="19"/>
  <c r="W69" i="18" s="1"/>
  <c r="W69" i="11" s="1"/>
  <c r="W69" i="13" s="1"/>
  <c r="W68" i="19"/>
  <c r="W68" i="18" s="1"/>
  <c r="W68" i="11" s="1"/>
  <c r="W68" i="13" s="1"/>
  <c r="W67" i="19"/>
  <c r="W67" i="18" s="1"/>
  <c r="W67" i="11" s="1"/>
  <c r="W67" i="13" s="1"/>
  <c r="W66" i="19"/>
  <c r="W66" i="18" s="1"/>
  <c r="W66" i="11" s="1"/>
  <c r="W66" i="13" s="1"/>
  <c r="W65" i="19"/>
  <c r="W65" i="18" s="1"/>
  <c r="W65" i="11" s="1"/>
  <c r="W65" i="13" s="1"/>
  <c r="U85" i="19"/>
  <c r="U85" i="18" s="1"/>
  <c r="U85" i="11" s="1"/>
  <c r="U85" i="13" s="1"/>
  <c r="U84" i="19"/>
  <c r="U84" i="18" s="1"/>
  <c r="U84" i="11" s="1"/>
  <c r="U84" i="13" s="1"/>
  <c r="U83" i="19"/>
  <c r="U83" i="18" s="1"/>
  <c r="U83" i="11" s="1"/>
  <c r="U83" i="13" s="1"/>
  <c r="U82" i="19"/>
  <c r="U82" i="18" s="1"/>
  <c r="U82" i="11" s="1"/>
  <c r="U82" i="13" s="1"/>
  <c r="U81" i="19"/>
  <c r="U81" i="18" s="1"/>
  <c r="U81" i="11" s="1"/>
  <c r="U81" i="13" s="1"/>
  <c r="U80" i="19"/>
  <c r="U80" i="18" s="1"/>
  <c r="U80" i="11" s="1"/>
  <c r="U80" i="13" s="1"/>
  <c r="U79" i="19"/>
  <c r="U79" i="18" s="1"/>
  <c r="U79" i="11" s="1"/>
  <c r="U79" i="13" s="1"/>
  <c r="U78" i="19"/>
  <c r="U78" i="18" s="1"/>
  <c r="U78" i="11" s="1"/>
  <c r="U78" i="13" s="1"/>
  <c r="U77" i="19"/>
  <c r="U77" i="18" s="1"/>
  <c r="U77" i="11" s="1"/>
  <c r="U77" i="13" s="1"/>
  <c r="U76" i="19"/>
  <c r="U76" i="18" s="1"/>
  <c r="U76" i="11" s="1"/>
  <c r="U76" i="13" s="1"/>
  <c r="U75" i="19"/>
  <c r="U75" i="18" s="1"/>
  <c r="U75" i="11" s="1"/>
  <c r="U75" i="13" s="1"/>
  <c r="U74" i="19"/>
  <c r="U74" i="18" s="1"/>
  <c r="U74" i="11" s="1"/>
  <c r="U74" i="13" s="1"/>
  <c r="U73" i="19"/>
  <c r="U73" i="18" s="1"/>
  <c r="U73" i="11" s="1"/>
  <c r="U73" i="13" s="1"/>
  <c r="U72" i="19"/>
  <c r="U72" i="18" s="1"/>
  <c r="U72" i="11" s="1"/>
  <c r="U72" i="13" s="1"/>
  <c r="U71" i="19"/>
  <c r="U71" i="18" s="1"/>
  <c r="U71" i="11" s="1"/>
  <c r="U71" i="13" s="1"/>
  <c r="U70" i="19"/>
  <c r="U70" i="18" s="1"/>
  <c r="U70" i="11" s="1"/>
  <c r="U70" i="13" s="1"/>
  <c r="U69" i="19"/>
  <c r="U69" i="18" s="1"/>
  <c r="U69" i="11" s="1"/>
  <c r="U69" i="13" s="1"/>
  <c r="U68" i="19"/>
  <c r="U68" i="18" s="1"/>
  <c r="U68" i="11" s="1"/>
  <c r="U68" i="13" s="1"/>
  <c r="U67" i="19"/>
  <c r="U67" i="18" s="1"/>
  <c r="U67" i="11" s="1"/>
  <c r="U67" i="13" s="1"/>
  <c r="U66" i="19"/>
  <c r="U66" i="18" s="1"/>
  <c r="U66" i="11" s="1"/>
  <c r="U66" i="13" s="1"/>
  <c r="U65" i="19"/>
  <c r="U65" i="18" s="1"/>
  <c r="U65" i="11" s="1"/>
  <c r="U65" i="13" s="1"/>
  <c r="S85" i="19"/>
  <c r="S85" i="18" s="1"/>
  <c r="S85" i="11" s="1"/>
  <c r="S85" i="13" s="1"/>
  <c r="S84" i="19"/>
  <c r="S84" i="18" s="1"/>
  <c r="S84" i="11" s="1"/>
  <c r="S84" i="13" s="1"/>
  <c r="S83" i="19"/>
  <c r="S83" i="18" s="1"/>
  <c r="S83" i="11" s="1"/>
  <c r="S83" i="13" s="1"/>
  <c r="S82" i="19"/>
  <c r="S82" i="18" s="1"/>
  <c r="S82" i="11" s="1"/>
  <c r="S82" i="13" s="1"/>
  <c r="S81" i="19"/>
  <c r="S81" i="18" s="1"/>
  <c r="S81" i="11" s="1"/>
  <c r="S81" i="13" s="1"/>
  <c r="S80" i="19"/>
  <c r="S80" i="18" s="1"/>
  <c r="S80" i="11" s="1"/>
  <c r="S80" i="13" s="1"/>
  <c r="S79" i="19"/>
  <c r="S79" i="18" s="1"/>
  <c r="S79" i="11" s="1"/>
  <c r="S79" i="13" s="1"/>
  <c r="S78" i="19"/>
  <c r="S78" i="18" s="1"/>
  <c r="S78" i="11" s="1"/>
  <c r="S78" i="13" s="1"/>
  <c r="S77" i="19"/>
  <c r="S77" i="18" s="1"/>
  <c r="S77" i="11" s="1"/>
  <c r="S77" i="13" s="1"/>
  <c r="S76" i="19"/>
  <c r="S76" i="18" s="1"/>
  <c r="S76" i="11" s="1"/>
  <c r="S76" i="13" s="1"/>
  <c r="S75" i="19"/>
  <c r="S75" i="18" s="1"/>
  <c r="S75" i="11" s="1"/>
  <c r="S75" i="13" s="1"/>
  <c r="S74" i="19"/>
  <c r="S74" i="18" s="1"/>
  <c r="S74" i="11" s="1"/>
  <c r="S74" i="13" s="1"/>
  <c r="S73" i="19"/>
  <c r="S73" i="18" s="1"/>
  <c r="S73" i="11" s="1"/>
  <c r="S73" i="13" s="1"/>
  <c r="S72" i="19"/>
  <c r="S72" i="18" s="1"/>
  <c r="S72" i="11" s="1"/>
  <c r="S72" i="13" s="1"/>
  <c r="S71" i="19"/>
  <c r="S71" i="18" s="1"/>
  <c r="S71" i="11" s="1"/>
  <c r="S71" i="13" s="1"/>
  <c r="S70" i="19"/>
  <c r="S70" i="18" s="1"/>
  <c r="S70" i="11" s="1"/>
  <c r="S70" i="13" s="1"/>
  <c r="S69" i="19"/>
  <c r="S69" i="18" s="1"/>
  <c r="S69" i="11" s="1"/>
  <c r="S69" i="13" s="1"/>
  <c r="S68" i="19"/>
  <c r="S68" i="18" s="1"/>
  <c r="S68" i="11" s="1"/>
  <c r="S68" i="13" s="1"/>
  <c r="S67" i="19"/>
  <c r="S67" i="18" s="1"/>
  <c r="S67" i="11" s="1"/>
  <c r="S67" i="13" s="1"/>
  <c r="S66" i="19"/>
  <c r="S66" i="18" s="1"/>
  <c r="S66" i="11" s="1"/>
  <c r="S66" i="13" s="1"/>
  <c r="S65" i="19"/>
  <c r="S65" i="18" s="1"/>
  <c r="S65" i="11" s="1"/>
  <c r="S65" i="13" s="1"/>
  <c r="Q85" i="19"/>
  <c r="Q85" i="18" s="1"/>
  <c r="Q85" i="11" s="1"/>
  <c r="Q85" i="13" s="1"/>
  <c r="Q84" i="19"/>
  <c r="Q84" i="18" s="1"/>
  <c r="Q84" i="11" s="1"/>
  <c r="Q84" i="13" s="1"/>
  <c r="Q83" i="19"/>
  <c r="Q83" i="18" s="1"/>
  <c r="Q83" i="11" s="1"/>
  <c r="Q83" i="13" s="1"/>
  <c r="Q82" i="19"/>
  <c r="Q82" i="18" s="1"/>
  <c r="Q82" i="11" s="1"/>
  <c r="Q82" i="13" s="1"/>
  <c r="Q81" i="19"/>
  <c r="Q81" i="18" s="1"/>
  <c r="Q81" i="11" s="1"/>
  <c r="Q81" i="13" s="1"/>
  <c r="Q80" i="19"/>
  <c r="Q80" i="18" s="1"/>
  <c r="Q80" i="11" s="1"/>
  <c r="Q80" i="13" s="1"/>
  <c r="Q79" i="19"/>
  <c r="Q79" i="18" s="1"/>
  <c r="Q79" i="11" s="1"/>
  <c r="Q79" i="13" s="1"/>
  <c r="Q78" i="19"/>
  <c r="Q78" i="18" s="1"/>
  <c r="Q78" i="11" s="1"/>
  <c r="Q78" i="13" s="1"/>
  <c r="Q77" i="19"/>
  <c r="Q77" i="18" s="1"/>
  <c r="Q77" i="11" s="1"/>
  <c r="Q77" i="13" s="1"/>
  <c r="Q76" i="19"/>
  <c r="Q76" i="18" s="1"/>
  <c r="Q76" i="11" s="1"/>
  <c r="Q76" i="13" s="1"/>
  <c r="Q75" i="19"/>
  <c r="Q75" i="18" s="1"/>
  <c r="Q75" i="11" s="1"/>
  <c r="Q75" i="13" s="1"/>
  <c r="Q74" i="19"/>
  <c r="Q74" i="18" s="1"/>
  <c r="Q74" i="11" s="1"/>
  <c r="Q74" i="13" s="1"/>
  <c r="Q73" i="19"/>
  <c r="Q73" i="18" s="1"/>
  <c r="Q73" i="11" s="1"/>
  <c r="Q73" i="13" s="1"/>
  <c r="Q72" i="19"/>
  <c r="Q72" i="18" s="1"/>
  <c r="Q72" i="11" s="1"/>
  <c r="Q72" i="13" s="1"/>
  <c r="Q71" i="19"/>
  <c r="Q71" i="18" s="1"/>
  <c r="Q71" i="11" s="1"/>
  <c r="Q71" i="13" s="1"/>
  <c r="Q70" i="19"/>
  <c r="Q70" i="18" s="1"/>
  <c r="Q70" i="11" s="1"/>
  <c r="Q70" i="13" s="1"/>
  <c r="Q69" i="19"/>
  <c r="Q69" i="18" s="1"/>
  <c r="Q69" i="11" s="1"/>
  <c r="Q69" i="13" s="1"/>
  <c r="Q68" i="19"/>
  <c r="Q68" i="18" s="1"/>
  <c r="Q68" i="11" s="1"/>
  <c r="Q68" i="13" s="1"/>
  <c r="Q67" i="19"/>
  <c r="Q67" i="18" s="1"/>
  <c r="Q67" i="11" s="1"/>
  <c r="Q67" i="13" s="1"/>
  <c r="Q66" i="19"/>
  <c r="Q66" i="18" s="1"/>
  <c r="Q66" i="11" s="1"/>
  <c r="Q66" i="13" s="1"/>
  <c r="Q65" i="19"/>
  <c r="Q65" i="18" s="1"/>
  <c r="Q65" i="11" s="1"/>
  <c r="Q65" i="13" s="1"/>
  <c r="O85" i="19"/>
  <c r="O85" i="18" s="1"/>
  <c r="O85" i="11" s="1"/>
  <c r="O85" i="13" s="1"/>
  <c r="O84" i="19"/>
  <c r="O84" i="18" s="1"/>
  <c r="O84" i="11" s="1"/>
  <c r="O84" i="13" s="1"/>
  <c r="O83" i="19"/>
  <c r="O83" i="18" s="1"/>
  <c r="O83" i="11" s="1"/>
  <c r="O83" i="13" s="1"/>
  <c r="O82" i="19"/>
  <c r="O82" i="18" s="1"/>
  <c r="O82" i="11" s="1"/>
  <c r="O82" i="13" s="1"/>
  <c r="O81" i="19"/>
  <c r="O81" i="18" s="1"/>
  <c r="O81" i="11" s="1"/>
  <c r="O81" i="13" s="1"/>
  <c r="O80" i="19"/>
  <c r="O80" i="18" s="1"/>
  <c r="O80" i="11" s="1"/>
  <c r="O80" i="13" s="1"/>
  <c r="O79" i="19"/>
  <c r="O79" i="18" s="1"/>
  <c r="O79" i="11" s="1"/>
  <c r="O79" i="13" s="1"/>
  <c r="O78" i="19"/>
  <c r="O78" i="18" s="1"/>
  <c r="O78" i="11" s="1"/>
  <c r="O78" i="13" s="1"/>
  <c r="O77" i="19"/>
  <c r="O77" i="18" s="1"/>
  <c r="O77" i="11" s="1"/>
  <c r="O77" i="13" s="1"/>
  <c r="O76" i="19"/>
  <c r="O76" i="18" s="1"/>
  <c r="O76" i="11" s="1"/>
  <c r="O76" i="13" s="1"/>
  <c r="O75" i="19"/>
  <c r="O75" i="18" s="1"/>
  <c r="O75" i="11" s="1"/>
  <c r="O75" i="13" s="1"/>
  <c r="O74" i="19"/>
  <c r="O74" i="18" s="1"/>
  <c r="O74" i="11" s="1"/>
  <c r="O74" i="13" s="1"/>
  <c r="O73" i="19"/>
  <c r="O73" i="18" s="1"/>
  <c r="O73" i="11" s="1"/>
  <c r="O73" i="13" s="1"/>
  <c r="O72" i="19"/>
  <c r="O72" i="18" s="1"/>
  <c r="O72" i="11" s="1"/>
  <c r="O72" i="13" s="1"/>
  <c r="O71" i="19"/>
  <c r="O71" i="18" s="1"/>
  <c r="O71" i="11" s="1"/>
  <c r="O71" i="13" s="1"/>
  <c r="O70" i="19"/>
  <c r="O70" i="18" s="1"/>
  <c r="O70" i="11" s="1"/>
  <c r="O70" i="13" s="1"/>
  <c r="O69" i="19"/>
  <c r="O69" i="18" s="1"/>
  <c r="O69" i="11" s="1"/>
  <c r="O69" i="13" s="1"/>
  <c r="O68" i="19"/>
  <c r="O68" i="18" s="1"/>
  <c r="O68" i="11" s="1"/>
  <c r="O68" i="13" s="1"/>
  <c r="O67" i="19"/>
  <c r="O67" i="18" s="1"/>
  <c r="O67" i="11" s="1"/>
  <c r="O67" i="13" s="1"/>
  <c r="O66" i="19"/>
  <c r="O66" i="18" s="1"/>
  <c r="O66" i="11" s="1"/>
  <c r="O66" i="13" s="1"/>
  <c r="O65" i="19"/>
  <c r="O65" i="18" s="1"/>
  <c r="O65" i="11" s="1"/>
  <c r="O65" i="13" s="1"/>
  <c r="M85" i="19"/>
  <c r="M85" i="18" s="1"/>
  <c r="M85" i="11" s="1"/>
  <c r="M85" i="13" s="1"/>
  <c r="M84" i="19"/>
  <c r="M84" i="18" s="1"/>
  <c r="M84" i="11" s="1"/>
  <c r="M84" i="13" s="1"/>
  <c r="M83" i="19"/>
  <c r="M83" i="18" s="1"/>
  <c r="M83" i="11" s="1"/>
  <c r="M83" i="13" s="1"/>
  <c r="M82" i="19"/>
  <c r="M82" i="18" s="1"/>
  <c r="M82" i="11" s="1"/>
  <c r="M82" i="13" s="1"/>
  <c r="M81" i="19"/>
  <c r="M81" i="18" s="1"/>
  <c r="M81" i="11" s="1"/>
  <c r="M81" i="13" s="1"/>
  <c r="M80" i="19"/>
  <c r="M80" i="18" s="1"/>
  <c r="M80" i="11" s="1"/>
  <c r="M80" i="13" s="1"/>
  <c r="M79" i="19"/>
  <c r="M79" i="18" s="1"/>
  <c r="M79" i="11" s="1"/>
  <c r="M79" i="13" s="1"/>
  <c r="M78" i="19"/>
  <c r="M78" i="18" s="1"/>
  <c r="M78" i="11" s="1"/>
  <c r="M78" i="13" s="1"/>
  <c r="M77" i="19"/>
  <c r="M77" i="18" s="1"/>
  <c r="M77" i="11" s="1"/>
  <c r="M77" i="13" s="1"/>
  <c r="M76" i="19"/>
  <c r="M76" i="18" s="1"/>
  <c r="M76" i="11" s="1"/>
  <c r="M76" i="13" s="1"/>
  <c r="M75" i="19"/>
  <c r="M75" i="18" s="1"/>
  <c r="M75" i="11" s="1"/>
  <c r="M75" i="13" s="1"/>
  <c r="M74" i="19"/>
  <c r="M74" i="18" s="1"/>
  <c r="M74" i="11" s="1"/>
  <c r="M74" i="13" s="1"/>
  <c r="M73" i="19"/>
  <c r="M73" i="18" s="1"/>
  <c r="M73" i="11" s="1"/>
  <c r="M73" i="13" s="1"/>
  <c r="M72" i="19"/>
  <c r="M72" i="18" s="1"/>
  <c r="M72" i="11" s="1"/>
  <c r="M72" i="13" s="1"/>
  <c r="M71" i="19"/>
  <c r="M71" i="18" s="1"/>
  <c r="M71" i="11" s="1"/>
  <c r="M71" i="13" s="1"/>
  <c r="M70" i="19"/>
  <c r="M70" i="18" s="1"/>
  <c r="M70" i="11" s="1"/>
  <c r="M70" i="13" s="1"/>
  <c r="M69" i="19"/>
  <c r="M69" i="18" s="1"/>
  <c r="M69" i="11" s="1"/>
  <c r="M69" i="13" s="1"/>
  <c r="M68" i="19"/>
  <c r="M68" i="18" s="1"/>
  <c r="M68" i="11" s="1"/>
  <c r="M68" i="13" s="1"/>
  <c r="M67" i="19"/>
  <c r="M67" i="18" s="1"/>
  <c r="M67" i="11" s="1"/>
  <c r="M67" i="13" s="1"/>
  <c r="M66" i="19"/>
  <c r="M66" i="18" s="1"/>
  <c r="M66" i="11" s="1"/>
  <c r="M66" i="13" s="1"/>
  <c r="M65" i="19"/>
  <c r="M65" i="18" s="1"/>
  <c r="M65" i="11" s="1"/>
  <c r="M65" i="13" s="1"/>
  <c r="K85" i="19"/>
  <c r="K85" i="18" s="1"/>
  <c r="K85" i="11" s="1"/>
  <c r="K85" i="13" s="1"/>
  <c r="K84" i="19"/>
  <c r="K84" i="18" s="1"/>
  <c r="K84" i="11" s="1"/>
  <c r="K84" i="13" s="1"/>
  <c r="K83" i="19"/>
  <c r="K83" i="18" s="1"/>
  <c r="K83" i="11" s="1"/>
  <c r="K83" i="13" s="1"/>
  <c r="K82" i="19"/>
  <c r="K82" i="18" s="1"/>
  <c r="K82" i="11" s="1"/>
  <c r="K82" i="13" s="1"/>
  <c r="K81" i="19"/>
  <c r="K81" i="18" s="1"/>
  <c r="K81" i="11" s="1"/>
  <c r="K81" i="13" s="1"/>
  <c r="K80" i="19"/>
  <c r="K80" i="18" s="1"/>
  <c r="K80" i="11" s="1"/>
  <c r="K80" i="13" s="1"/>
  <c r="K79" i="19"/>
  <c r="K79" i="18" s="1"/>
  <c r="K79" i="11" s="1"/>
  <c r="K79" i="13" s="1"/>
  <c r="K78" i="19"/>
  <c r="K78" i="18" s="1"/>
  <c r="K78" i="11" s="1"/>
  <c r="K78" i="13" s="1"/>
  <c r="K77" i="19"/>
  <c r="K77" i="18" s="1"/>
  <c r="K77" i="11" s="1"/>
  <c r="K77" i="13" s="1"/>
  <c r="K76" i="19"/>
  <c r="K76" i="18" s="1"/>
  <c r="K76" i="11" s="1"/>
  <c r="K76" i="13" s="1"/>
  <c r="K75" i="19"/>
  <c r="K75" i="18" s="1"/>
  <c r="K75" i="11" s="1"/>
  <c r="K75" i="13" s="1"/>
  <c r="K74" i="19"/>
  <c r="K74" i="18" s="1"/>
  <c r="K74" i="11" s="1"/>
  <c r="K74" i="13" s="1"/>
  <c r="K73" i="19"/>
  <c r="K73" i="18" s="1"/>
  <c r="K73" i="11" s="1"/>
  <c r="K73" i="13" s="1"/>
  <c r="K72" i="19"/>
  <c r="K72" i="18" s="1"/>
  <c r="K72" i="11" s="1"/>
  <c r="K72" i="13" s="1"/>
  <c r="K71" i="19"/>
  <c r="K71" i="18" s="1"/>
  <c r="K71" i="11" s="1"/>
  <c r="K71" i="13" s="1"/>
  <c r="K70" i="19"/>
  <c r="K70" i="18" s="1"/>
  <c r="K70" i="11" s="1"/>
  <c r="K70" i="13" s="1"/>
  <c r="K69" i="19"/>
  <c r="K69" i="18" s="1"/>
  <c r="K69" i="11" s="1"/>
  <c r="K69" i="13" s="1"/>
  <c r="K68" i="19"/>
  <c r="K68" i="18" s="1"/>
  <c r="K68" i="11" s="1"/>
  <c r="K68" i="13" s="1"/>
  <c r="K67" i="19"/>
  <c r="K67" i="18" s="1"/>
  <c r="K67" i="11" s="1"/>
  <c r="K67" i="13" s="1"/>
  <c r="K66" i="19"/>
  <c r="K66" i="18" s="1"/>
  <c r="K66" i="11" s="1"/>
  <c r="K66" i="13" s="1"/>
  <c r="K65" i="19"/>
  <c r="K65" i="18" s="1"/>
  <c r="K65" i="11" s="1"/>
  <c r="K65" i="13" s="1"/>
  <c r="I85" i="19"/>
  <c r="I85" i="18" s="1"/>
  <c r="I85" i="11" s="1"/>
  <c r="I85" i="13" s="1"/>
  <c r="I84" i="19"/>
  <c r="I84" i="18" s="1"/>
  <c r="I84" i="11" s="1"/>
  <c r="I84" i="13" s="1"/>
  <c r="I83" i="19"/>
  <c r="I83" i="18" s="1"/>
  <c r="I83" i="11" s="1"/>
  <c r="I83" i="13" s="1"/>
  <c r="I82" i="19"/>
  <c r="I82" i="18" s="1"/>
  <c r="I82" i="11" s="1"/>
  <c r="I82" i="13" s="1"/>
  <c r="I81" i="19"/>
  <c r="I81" i="18" s="1"/>
  <c r="I81" i="11" s="1"/>
  <c r="I81" i="13" s="1"/>
  <c r="I80" i="19"/>
  <c r="I80" i="18" s="1"/>
  <c r="I80" i="11" s="1"/>
  <c r="I80" i="13" s="1"/>
  <c r="I79" i="19"/>
  <c r="I79" i="18" s="1"/>
  <c r="I79" i="11" s="1"/>
  <c r="I79" i="13" s="1"/>
  <c r="I78" i="19"/>
  <c r="I78" i="18" s="1"/>
  <c r="I78" i="11" s="1"/>
  <c r="I78" i="13" s="1"/>
  <c r="I77" i="19"/>
  <c r="I77" i="18" s="1"/>
  <c r="I77" i="11" s="1"/>
  <c r="I77" i="13" s="1"/>
  <c r="I76" i="19"/>
  <c r="I76" i="18" s="1"/>
  <c r="I76" i="11" s="1"/>
  <c r="I76" i="13" s="1"/>
  <c r="I75" i="19"/>
  <c r="I75" i="18" s="1"/>
  <c r="I75" i="11" s="1"/>
  <c r="I75" i="13" s="1"/>
  <c r="I74" i="19"/>
  <c r="I74" i="18" s="1"/>
  <c r="I74" i="11" s="1"/>
  <c r="I74" i="13" s="1"/>
  <c r="I73" i="19"/>
  <c r="I73" i="18" s="1"/>
  <c r="I73" i="11" s="1"/>
  <c r="I73" i="13" s="1"/>
  <c r="I72" i="19"/>
  <c r="I72" i="18" s="1"/>
  <c r="I72" i="11" s="1"/>
  <c r="I72" i="13" s="1"/>
  <c r="I71" i="19"/>
  <c r="I71" i="18" s="1"/>
  <c r="I71" i="11" s="1"/>
  <c r="I71" i="13" s="1"/>
  <c r="I70" i="19"/>
  <c r="I70" i="18" s="1"/>
  <c r="I70" i="11" s="1"/>
  <c r="I70" i="13" s="1"/>
  <c r="I69" i="19"/>
  <c r="I69" i="18" s="1"/>
  <c r="I69" i="11" s="1"/>
  <c r="I69" i="13" s="1"/>
  <c r="I68" i="19"/>
  <c r="I68" i="18" s="1"/>
  <c r="I68" i="11" s="1"/>
  <c r="I68" i="13" s="1"/>
  <c r="I67" i="19"/>
  <c r="I67" i="18" s="1"/>
  <c r="I67" i="11" s="1"/>
  <c r="I67" i="13" s="1"/>
  <c r="I66" i="19"/>
  <c r="I66" i="18" s="1"/>
  <c r="I66" i="11" s="1"/>
  <c r="I66" i="13" s="1"/>
  <c r="I65" i="19"/>
  <c r="I65" i="18" s="1"/>
  <c r="I65" i="11" s="1"/>
  <c r="I65" i="13" s="1"/>
  <c r="G85" i="19"/>
  <c r="G85" i="18" s="1"/>
  <c r="G85" i="11" s="1"/>
  <c r="G85" i="13" s="1"/>
  <c r="G84" i="19"/>
  <c r="G84" i="18" s="1"/>
  <c r="G84" i="11" s="1"/>
  <c r="G84" i="13" s="1"/>
  <c r="G83" i="19"/>
  <c r="G83" i="18" s="1"/>
  <c r="G83" i="11" s="1"/>
  <c r="G83" i="13" s="1"/>
  <c r="G82" i="19"/>
  <c r="G82" i="18" s="1"/>
  <c r="G82" i="11" s="1"/>
  <c r="G82" i="13" s="1"/>
  <c r="G81" i="19"/>
  <c r="G81" i="18" s="1"/>
  <c r="G81" i="11" s="1"/>
  <c r="G81" i="13" s="1"/>
  <c r="G80" i="19"/>
  <c r="G80" i="18" s="1"/>
  <c r="G80" i="11" s="1"/>
  <c r="G80" i="13" s="1"/>
  <c r="G79" i="19"/>
  <c r="G79" i="18" s="1"/>
  <c r="G79" i="11" s="1"/>
  <c r="G79" i="13" s="1"/>
  <c r="G78" i="19"/>
  <c r="G78" i="18" s="1"/>
  <c r="G78" i="11" s="1"/>
  <c r="G78" i="13" s="1"/>
  <c r="G77" i="19"/>
  <c r="G77" i="18" s="1"/>
  <c r="G77" i="11" s="1"/>
  <c r="G77" i="13" s="1"/>
  <c r="G76" i="19"/>
  <c r="G76" i="18" s="1"/>
  <c r="G76" i="11" s="1"/>
  <c r="G76" i="13" s="1"/>
  <c r="G75" i="19"/>
  <c r="G75" i="18" s="1"/>
  <c r="G75" i="11" s="1"/>
  <c r="G75" i="13" s="1"/>
  <c r="G74" i="19"/>
  <c r="G74" i="18" s="1"/>
  <c r="G74" i="11" s="1"/>
  <c r="G74" i="13" s="1"/>
  <c r="G73" i="19"/>
  <c r="G73" i="18" s="1"/>
  <c r="G73" i="11" s="1"/>
  <c r="G73" i="13" s="1"/>
  <c r="G72" i="19"/>
  <c r="G72" i="18" s="1"/>
  <c r="G72" i="11" s="1"/>
  <c r="G72" i="13" s="1"/>
  <c r="G71" i="19"/>
  <c r="G71" i="18" s="1"/>
  <c r="G71" i="11" s="1"/>
  <c r="G71" i="13" s="1"/>
  <c r="G70" i="19"/>
  <c r="G70" i="18" s="1"/>
  <c r="G70" i="11" s="1"/>
  <c r="G70" i="13" s="1"/>
  <c r="G69" i="19"/>
  <c r="G69" i="18" s="1"/>
  <c r="G69" i="11" s="1"/>
  <c r="G69" i="13" s="1"/>
  <c r="G68" i="19"/>
  <c r="G68" i="18" s="1"/>
  <c r="G68" i="11" s="1"/>
  <c r="G68" i="13" s="1"/>
  <c r="G67" i="19"/>
  <c r="G67" i="18" s="1"/>
  <c r="G67" i="11" s="1"/>
  <c r="G67" i="13" s="1"/>
  <c r="G66" i="19"/>
  <c r="G66" i="18" s="1"/>
  <c r="G66" i="11" s="1"/>
  <c r="G66" i="13" s="1"/>
  <c r="G65" i="19"/>
  <c r="G65" i="18" s="1"/>
  <c r="G65" i="11" s="1"/>
  <c r="G65" i="13" s="1"/>
  <c r="E85" i="19"/>
  <c r="E85" i="18" s="1"/>
  <c r="E85" i="11" s="1"/>
  <c r="E85" i="13" s="1"/>
  <c r="E84" i="19"/>
  <c r="E84" i="18" s="1"/>
  <c r="E84" i="11" s="1"/>
  <c r="E84" i="13" s="1"/>
  <c r="E83" i="19"/>
  <c r="E83" i="18" s="1"/>
  <c r="E83" i="11" s="1"/>
  <c r="E83" i="13" s="1"/>
  <c r="E82" i="19"/>
  <c r="E82" i="18" s="1"/>
  <c r="E82" i="11" s="1"/>
  <c r="E82" i="13" s="1"/>
  <c r="E81" i="19"/>
  <c r="E81" i="18" s="1"/>
  <c r="E81" i="11" s="1"/>
  <c r="E81" i="13" s="1"/>
  <c r="E80" i="19"/>
  <c r="E80" i="18" s="1"/>
  <c r="E80" i="11" s="1"/>
  <c r="E80" i="13" s="1"/>
  <c r="E79" i="19"/>
  <c r="E79" i="18" s="1"/>
  <c r="E79" i="11" s="1"/>
  <c r="E79" i="13" s="1"/>
  <c r="E78" i="19"/>
  <c r="E78" i="18" s="1"/>
  <c r="E78" i="11" s="1"/>
  <c r="E78" i="13" s="1"/>
  <c r="E77" i="19"/>
  <c r="E77" i="18" s="1"/>
  <c r="E77" i="11" s="1"/>
  <c r="E77" i="13" s="1"/>
  <c r="E76" i="19"/>
  <c r="E76" i="18" s="1"/>
  <c r="E76" i="11" s="1"/>
  <c r="E76" i="13" s="1"/>
  <c r="E75" i="19"/>
  <c r="E75" i="18" s="1"/>
  <c r="E75" i="11" s="1"/>
  <c r="E75" i="13" s="1"/>
  <c r="E74" i="19"/>
  <c r="E74" i="18" s="1"/>
  <c r="E74" i="11" s="1"/>
  <c r="E74" i="13" s="1"/>
  <c r="E73" i="19"/>
  <c r="E73" i="18" s="1"/>
  <c r="E73" i="11" s="1"/>
  <c r="E73" i="13" s="1"/>
  <c r="E72" i="19"/>
  <c r="E72" i="18" s="1"/>
  <c r="E72" i="11" s="1"/>
  <c r="E72" i="13" s="1"/>
  <c r="E71" i="19"/>
  <c r="E71" i="18" s="1"/>
  <c r="E71" i="11" s="1"/>
  <c r="E71" i="13" s="1"/>
  <c r="E70" i="19"/>
  <c r="E70" i="18" s="1"/>
  <c r="E70" i="11" s="1"/>
  <c r="E70" i="13" s="1"/>
  <c r="E69" i="19"/>
  <c r="E69" i="18" s="1"/>
  <c r="E69" i="11" s="1"/>
  <c r="E69" i="13" s="1"/>
  <c r="E68" i="19"/>
  <c r="E68" i="18" s="1"/>
  <c r="E68" i="11" s="1"/>
  <c r="E68" i="13" s="1"/>
  <c r="E67" i="19"/>
  <c r="E67" i="18" s="1"/>
  <c r="E67" i="11" s="1"/>
  <c r="E67" i="13" s="1"/>
  <c r="E66" i="19"/>
  <c r="E66" i="18" s="1"/>
  <c r="E66" i="11" s="1"/>
  <c r="E66" i="13" s="1"/>
  <c r="E65" i="19"/>
  <c r="E65" i="18" s="1"/>
  <c r="E65" i="11" s="1"/>
  <c r="E65" i="13" s="1"/>
  <c r="C85" i="19"/>
  <c r="C85" i="18" s="1"/>
  <c r="C85" i="11" s="1"/>
  <c r="C85" i="13" s="1"/>
  <c r="B85" i="19"/>
  <c r="R85" i="19" s="1"/>
  <c r="C84" i="19"/>
  <c r="C84" i="18" s="1"/>
  <c r="C84" i="11" s="1"/>
  <c r="C84" i="13" s="1"/>
  <c r="B84" i="19"/>
  <c r="AF84" i="19" s="1"/>
  <c r="C83" i="19"/>
  <c r="C83" i="18" s="1"/>
  <c r="C83" i="11" s="1"/>
  <c r="C83" i="13" s="1"/>
  <c r="B83" i="19"/>
  <c r="F83" i="19" s="1"/>
  <c r="C82" i="19"/>
  <c r="C82" i="18" s="1"/>
  <c r="C82" i="11" s="1"/>
  <c r="C82" i="13" s="1"/>
  <c r="B82" i="19"/>
  <c r="C81" i="19"/>
  <c r="C81" i="18" s="1"/>
  <c r="C81" i="11" s="1"/>
  <c r="C81" i="13" s="1"/>
  <c r="B81" i="19"/>
  <c r="T81" i="19" s="1"/>
  <c r="C80" i="19"/>
  <c r="C80" i="18" s="1"/>
  <c r="C80" i="11" s="1"/>
  <c r="C80" i="13" s="1"/>
  <c r="B80" i="19"/>
  <c r="T80" i="19" s="1"/>
  <c r="C79" i="19"/>
  <c r="C79" i="18" s="1"/>
  <c r="C79" i="11" s="1"/>
  <c r="C79" i="13" s="1"/>
  <c r="B79" i="19"/>
  <c r="N79" i="19" s="1"/>
  <c r="C78" i="19"/>
  <c r="C78" i="18" s="1"/>
  <c r="C78" i="11" s="1"/>
  <c r="C78" i="13" s="1"/>
  <c r="B78" i="19"/>
  <c r="N78" i="19" s="1"/>
  <c r="C77" i="19"/>
  <c r="C77" i="18" s="1"/>
  <c r="C77" i="11" s="1"/>
  <c r="C77" i="13" s="1"/>
  <c r="B77" i="19"/>
  <c r="V77" i="19" s="1"/>
  <c r="C76" i="19"/>
  <c r="C76" i="18" s="1"/>
  <c r="C76" i="11" s="1"/>
  <c r="C76" i="13" s="1"/>
  <c r="B76" i="19"/>
  <c r="F76" i="19" s="1"/>
  <c r="C75" i="19"/>
  <c r="C75" i="18" s="1"/>
  <c r="C75" i="11" s="1"/>
  <c r="C75" i="13" s="1"/>
  <c r="B75" i="19"/>
  <c r="V75" i="19" s="1"/>
  <c r="C74" i="19"/>
  <c r="C74" i="18" s="1"/>
  <c r="C74" i="11" s="1"/>
  <c r="C74" i="13" s="1"/>
  <c r="B74" i="19"/>
  <c r="BD74" i="19" s="1"/>
  <c r="C73" i="19"/>
  <c r="C73" i="18" s="1"/>
  <c r="C73" i="11" s="1"/>
  <c r="C73" i="13" s="1"/>
  <c r="B73" i="19"/>
  <c r="R73" i="19" s="1"/>
  <c r="C72" i="19"/>
  <c r="C72" i="18" s="1"/>
  <c r="C72" i="11" s="1"/>
  <c r="C72" i="13" s="1"/>
  <c r="B72" i="19"/>
  <c r="R72" i="19" s="1"/>
  <c r="C71" i="19"/>
  <c r="C71" i="18" s="1"/>
  <c r="C71" i="11" s="1"/>
  <c r="C71" i="13" s="1"/>
  <c r="B71" i="19"/>
  <c r="C70" i="19"/>
  <c r="C70" i="18" s="1"/>
  <c r="C70" i="11" s="1"/>
  <c r="C70" i="13" s="1"/>
  <c r="B70" i="19"/>
  <c r="R70" i="19" s="1"/>
  <c r="C69" i="19"/>
  <c r="C69" i="18" s="1"/>
  <c r="C69" i="11" s="1"/>
  <c r="C69" i="13" s="1"/>
  <c r="B69" i="19"/>
  <c r="R69" i="19" s="1"/>
  <c r="C68" i="19"/>
  <c r="C68" i="18" s="1"/>
  <c r="C68" i="11" s="1"/>
  <c r="C68" i="13" s="1"/>
  <c r="B68" i="19"/>
  <c r="L68" i="19" s="1"/>
  <c r="C67" i="19"/>
  <c r="C67" i="18" s="1"/>
  <c r="C67" i="11" s="1"/>
  <c r="C67" i="13" s="1"/>
  <c r="B67" i="19"/>
  <c r="F67" i="19" s="1"/>
  <c r="C66" i="19"/>
  <c r="C66" i="18" s="1"/>
  <c r="C66" i="11" s="1"/>
  <c r="C66" i="13" s="1"/>
  <c r="B66" i="19"/>
  <c r="BD66" i="19" s="1"/>
  <c r="C65" i="19"/>
  <c r="C65" i="18" s="1"/>
  <c r="C65" i="11" s="1"/>
  <c r="C65" i="13" s="1"/>
  <c r="B65" i="19"/>
  <c r="J65" i="19" s="1"/>
  <c r="BI63" i="19"/>
  <c r="BI63" i="18" s="1"/>
  <c r="BI63" i="11" s="1"/>
  <c r="BI63" i="13" s="1"/>
  <c r="BI62" i="19"/>
  <c r="BI62" i="18" s="1"/>
  <c r="BI62" i="11" s="1"/>
  <c r="BI62" i="13" s="1"/>
  <c r="BI61" i="19"/>
  <c r="BI61" i="18" s="1"/>
  <c r="BI61" i="11" s="1"/>
  <c r="BI61" i="13" s="1"/>
  <c r="BI60" i="19"/>
  <c r="BI60" i="18" s="1"/>
  <c r="BI60" i="11" s="1"/>
  <c r="BI60" i="13" s="1"/>
  <c r="BG63" i="19"/>
  <c r="BG63" i="18" s="1"/>
  <c r="BG63" i="11" s="1"/>
  <c r="BG63" i="13" s="1"/>
  <c r="BG62" i="19"/>
  <c r="BG62" i="18" s="1"/>
  <c r="BG62" i="11" s="1"/>
  <c r="BG62" i="13" s="1"/>
  <c r="BG61" i="19"/>
  <c r="BG61" i="18" s="1"/>
  <c r="BG61" i="11" s="1"/>
  <c r="BG61" i="13" s="1"/>
  <c r="BG60" i="19"/>
  <c r="BG60" i="18" s="1"/>
  <c r="BG60" i="11" s="1"/>
  <c r="BG60" i="13" s="1"/>
  <c r="BE63" i="19"/>
  <c r="BE63" i="18" s="1"/>
  <c r="BE63" i="11" s="1"/>
  <c r="BE63" i="13" s="1"/>
  <c r="BE62" i="19"/>
  <c r="BE62" i="18" s="1"/>
  <c r="BE62" i="11" s="1"/>
  <c r="BE62" i="13" s="1"/>
  <c r="BE61" i="19"/>
  <c r="BE61" i="18" s="1"/>
  <c r="BE61" i="11" s="1"/>
  <c r="BE61" i="13" s="1"/>
  <c r="BE60" i="19"/>
  <c r="BE60" i="18" s="1"/>
  <c r="BE60" i="11" s="1"/>
  <c r="BE60" i="13" s="1"/>
  <c r="BC63" i="19"/>
  <c r="BC63" i="18" s="1"/>
  <c r="BC63" i="11" s="1"/>
  <c r="BC63" i="13" s="1"/>
  <c r="BC62" i="19"/>
  <c r="BC62" i="18" s="1"/>
  <c r="BC62" i="11" s="1"/>
  <c r="BC62" i="13" s="1"/>
  <c r="BC61" i="19"/>
  <c r="BC61" i="18" s="1"/>
  <c r="BC61" i="11" s="1"/>
  <c r="BC61" i="13" s="1"/>
  <c r="BC60" i="19"/>
  <c r="BC60" i="18" s="1"/>
  <c r="BC60" i="11" s="1"/>
  <c r="BC60" i="13" s="1"/>
  <c r="BA63" i="19"/>
  <c r="BA63" i="18" s="1"/>
  <c r="BA63" i="11" s="1"/>
  <c r="BA63" i="13" s="1"/>
  <c r="BA62" i="19"/>
  <c r="BA62" i="18" s="1"/>
  <c r="BA62" i="11" s="1"/>
  <c r="BA62" i="13" s="1"/>
  <c r="BA61" i="19"/>
  <c r="BA61" i="18" s="1"/>
  <c r="BA61" i="11" s="1"/>
  <c r="BA61" i="13" s="1"/>
  <c r="BA60" i="19"/>
  <c r="BA60" i="18" s="1"/>
  <c r="BA60" i="11" s="1"/>
  <c r="BA60" i="13" s="1"/>
  <c r="AY63" i="19"/>
  <c r="AY63" i="18" s="1"/>
  <c r="AY63" i="11" s="1"/>
  <c r="AY63" i="13" s="1"/>
  <c r="AY62" i="19"/>
  <c r="AY62" i="18" s="1"/>
  <c r="AY62" i="11" s="1"/>
  <c r="AY62" i="13" s="1"/>
  <c r="AY61" i="19"/>
  <c r="AY61" i="18" s="1"/>
  <c r="AY61" i="11" s="1"/>
  <c r="AY61" i="13" s="1"/>
  <c r="AY60" i="19"/>
  <c r="AY60" i="18" s="1"/>
  <c r="AY60" i="11" s="1"/>
  <c r="AY60" i="13" s="1"/>
  <c r="AW63" i="19"/>
  <c r="AW63" i="18" s="1"/>
  <c r="AW63" i="11" s="1"/>
  <c r="AW63" i="13" s="1"/>
  <c r="AW62" i="19"/>
  <c r="AW62" i="18" s="1"/>
  <c r="AW62" i="11" s="1"/>
  <c r="AW62" i="13" s="1"/>
  <c r="AW61" i="19"/>
  <c r="AW61" i="18" s="1"/>
  <c r="AW61" i="11" s="1"/>
  <c r="AW61" i="13" s="1"/>
  <c r="AW60" i="19"/>
  <c r="AW60" i="18" s="1"/>
  <c r="AW60" i="11" s="1"/>
  <c r="AW60" i="13" s="1"/>
  <c r="AU63" i="19"/>
  <c r="AU63" i="18" s="1"/>
  <c r="AU63" i="11" s="1"/>
  <c r="AU63" i="13" s="1"/>
  <c r="AU62" i="19"/>
  <c r="AU62" i="18" s="1"/>
  <c r="AU62" i="11" s="1"/>
  <c r="AU62" i="13" s="1"/>
  <c r="AU61" i="19"/>
  <c r="AU61" i="18" s="1"/>
  <c r="AU61" i="11" s="1"/>
  <c r="AU61" i="13" s="1"/>
  <c r="AU60" i="19"/>
  <c r="AU60" i="18" s="1"/>
  <c r="AU60" i="11" s="1"/>
  <c r="AU60" i="13" s="1"/>
  <c r="AS63" i="19"/>
  <c r="AS63" i="18" s="1"/>
  <c r="AS63" i="11" s="1"/>
  <c r="AS63" i="13" s="1"/>
  <c r="AS62" i="19"/>
  <c r="AS62" i="18" s="1"/>
  <c r="AS62" i="11" s="1"/>
  <c r="AS62" i="13" s="1"/>
  <c r="AS61" i="19"/>
  <c r="AS61" i="18" s="1"/>
  <c r="AS61" i="11" s="1"/>
  <c r="AS61" i="13" s="1"/>
  <c r="AS60" i="19"/>
  <c r="AS60" i="18" s="1"/>
  <c r="AS60" i="11" s="1"/>
  <c r="AS60" i="13" s="1"/>
  <c r="AQ63" i="19"/>
  <c r="AQ63" i="18" s="1"/>
  <c r="AQ63" i="11" s="1"/>
  <c r="AQ63" i="13" s="1"/>
  <c r="AQ62" i="19"/>
  <c r="AQ62" i="18" s="1"/>
  <c r="AQ62" i="11" s="1"/>
  <c r="AQ62" i="13" s="1"/>
  <c r="AQ61" i="19"/>
  <c r="AQ61" i="18" s="1"/>
  <c r="AQ61" i="11" s="1"/>
  <c r="AQ61" i="13" s="1"/>
  <c r="AQ60" i="19"/>
  <c r="AQ60" i="18" s="1"/>
  <c r="AQ60" i="11" s="1"/>
  <c r="AQ60" i="13" s="1"/>
  <c r="AO63" i="19"/>
  <c r="AO63" i="18" s="1"/>
  <c r="AO63" i="11" s="1"/>
  <c r="AO63" i="13" s="1"/>
  <c r="AO62" i="19"/>
  <c r="AO62" i="18" s="1"/>
  <c r="AO62" i="11" s="1"/>
  <c r="AO62" i="13" s="1"/>
  <c r="AO61" i="19"/>
  <c r="AO61" i="18" s="1"/>
  <c r="AO61" i="11" s="1"/>
  <c r="AO61" i="13" s="1"/>
  <c r="AO60" i="19"/>
  <c r="AO60" i="18" s="1"/>
  <c r="AO60" i="11" s="1"/>
  <c r="AO60" i="13" s="1"/>
  <c r="AM63" i="19"/>
  <c r="AM63" i="18" s="1"/>
  <c r="AM63" i="11" s="1"/>
  <c r="AM63" i="13" s="1"/>
  <c r="AM62" i="19"/>
  <c r="AM62" i="18" s="1"/>
  <c r="AM62" i="11" s="1"/>
  <c r="AM62" i="13" s="1"/>
  <c r="AM61" i="19"/>
  <c r="AM61" i="18" s="1"/>
  <c r="AM61" i="11" s="1"/>
  <c r="AM61" i="13" s="1"/>
  <c r="AM60" i="19"/>
  <c r="AM60" i="18" s="1"/>
  <c r="AM60" i="11" s="1"/>
  <c r="AM60" i="13" s="1"/>
  <c r="AK63" i="19"/>
  <c r="AK63" i="18" s="1"/>
  <c r="AK63" i="11" s="1"/>
  <c r="AK63" i="13" s="1"/>
  <c r="AK62" i="19"/>
  <c r="AK62" i="18" s="1"/>
  <c r="AK62" i="11" s="1"/>
  <c r="AK62" i="13" s="1"/>
  <c r="AK61" i="19"/>
  <c r="AK61" i="18" s="1"/>
  <c r="AK61" i="11" s="1"/>
  <c r="AK61" i="13" s="1"/>
  <c r="AK60" i="19"/>
  <c r="AK60" i="18" s="1"/>
  <c r="AK60" i="11" s="1"/>
  <c r="AK60" i="13" s="1"/>
  <c r="AI63" i="19"/>
  <c r="AI63" i="18" s="1"/>
  <c r="AI63" i="11" s="1"/>
  <c r="AI63" i="13" s="1"/>
  <c r="AI62" i="19"/>
  <c r="AI62" i="18" s="1"/>
  <c r="AI62" i="11" s="1"/>
  <c r="AI62" i="13" s="1"/>
  <c r="AI61" i="19"/>
  <c r="AI61" i="18" s="1"/>
  <c r="AI61" i="11" s="1"/>
  <c r="AI61" i="13" s="1"/>
  <c r="AI60" i="19"/>
  <c r="AI60" i="18" s="1"/>
  <c r="AI60" i="11" s="1"/>
  <c r="AI60" i="13" s="1"/>
  <c r="AG63" i="19"/>
  <c r="AG63" i="18" s="1"/>
  <c r="AG63" i="11" s="1"/>
  <c r="AG63" i="13" s="1"/>
  <c r="AG62" i="19"/>
  <c r="AG62" i="18" s="1"/>
  <c r="AG62" i="11" s="1"/>
  <c r="AG62" i="13" s="1"/>
  <c r="AG61" i="19"/>
  <c r="AG61" i="18" s="1"/>
  <c r="AG61" i="11" s="1"/>
  <c r="AG61" i="13" s="1"/>
  <c r="AG60" i="19"/>
  <c r="AG60" i="18" s="1"/>
  <c r="AG60" i="11" s="1"/>
  <c r="AG60" i="13" s="1"/>
  <c r="AE63" i="19"/>
  <c r="AE63" i="18" s="1"/>
  <c r="AE63" i="11" s="1"/>
  <c r="AE63" i="13" s="1"/>
  <c r="AE62" i="19"/>
  <c r="AE62" i="18" s="1"/>
  <c r="AE62" i="11" s="1"/>
  <c r="AE62" i="13" s="1"/>
  <c r="AE61" i="19"/>
  <c r="AE61" i="18" s="1"/>
  <c r="AE61" i="11" s="1"/>
  <c r="AE61" i="13" s="1"/>
  <c r="AE60" i="19"/>
  <c r="AE60" i="18" s="1"/>
  <c r="AE60" i="11" s="1"/>
  <c r="AE60" i="13" s="1"/>
  <c r="AC63" i="19"/>
  <c r="AC63" i="18" s="1"/>
  <c r="AC63" i="11" s="1"/>
  <c r="AC63" i="13" s="1"/>
  <c r="AC62" i="19"/>
  <c r="AC62" i="18" s="1"/>
  <c r="AC62" i="11" s="1"/>
  <c r="AC62" i="13" s="1"/>
  <c r="AC61" i="19"/>
  <c r="AC61" i="18" s="1"/>
  <c r="AC61" i="11" s="1"/>
  <c r="AC61" i="13" s="1"/>
  <c r="AC60" i="19"/>
  <c r="AC60" i="18" s="1"/>
  <c r="AC60" i="11" s="1"/>
  <c r="AC60" i="13" s="1"/>
  <c r="AA63" i="19"/>
  <c r="AA63" i="18" s="1"/>
  <c r="AA63" i="11" s="1"/>
  <c r="AA63" i="13" s="1"/>
  <c r="AA62" i="19"/>
  <c r="AA62" i="18" s="1"/>
  <c r="AA62" i="11" s="1"/>
  <c r="AA62" i="13" s="1"/>
  <c r="AA61" i="19"/>
  <c r="AA61" i="18" s="1"/>
  <c r="AA61" i="11" s="1"/>
  <c r="AA61" i="13" s="1"/>
  <c r="AA60" i="19"/>
  <c r="AA60" i="18" s="1"/>
  <c r="AA60" i="11" s="1"/>
  <c r="AA60" i="13" s="1"/>
  <c r="Y63" i="19"/>
  <c r="Y63" i="18" s="1"/>
  <c r="Y63" i="11" s="1"/>
  <c r="Y63" i="13" s="1"/>
  <c r="Y62" i="19"/>
  <c r="Y62" i="18" s="1"/>
  <c r="Y62" i="11" s="1"/>
  <c r="Y62" i="13" s="1"/>
  <c r="Y61" i="19"/>
  <c r="Y61" i="18" s="1"/>
  <c r="Y61" i="11" s="1"/>
  <c r="Y61" i="13" s="1"/>
  <c r="Y60" i="19"/>
  <c r="Y60" i="18" s="1"/>
  <c r="Y60" i="11" s="1"/>
  <c r="Y60" i="13" s="1"/>
  <c r="W63" i="19"/>
  <c r="W63" i="18" s="1"/>
  <c r="W63" i="11" s="1"/>
  <c r="W63" i="13" s="1"/>
  <c r="W62" i="19"/>
  <c r="W62" i="18" s="1"/>
  <c r="W62" i="11" s="1"/>
  <c r="W62" i="13" s="1"/>
  <c r="W61" i="19"/>
  <c r="W61" i="18" s="1"/>
  <c r="W61" i="11" s="1"/>
  <c r="W61" i="13" s="1"/>
  <c r="W60" i="19"/>
  <c r="W60" i="18" s="1"/>
  <c r="W60" i="11" s="1"/>
  <c r="W60" i="13" s="1"/>
  <c r="U63" i="19"/>
  <c r="U63" i="18" s="1"/>
  <c r="U63" i="11" s="1"/>
  <c r="U63" i="13" s="1"/>
  <c r="U62" i="19"/>
  <c r="U62" i="18" s="1"/>
  <c r="U62" i="11" s="1"/>
  <c r="U62" i="13" s="1"/>
  <c r="U61" i="19"/>
  <c r="U61" i="18" s="1"/>
  <c r="U61" i="11" s="1"/>
  <c r="U61" i="13" s="1"/>
  <c r="U60" i="19"/>
  <c r="U60" i="18" s="1"/>
  <c r="U60" i="11" s="1"/>
  <c r="U60" i="13" s="1"/>
  <c r="S63" i="19"/>
  <c r="S63" i="18" s="1"/>
  <c r="S63" i="11" s="1"/>
  <c r="S63" i="13" s="1"/>
  <c r="S62" i="19"/>
  <c r="S62" i="18" s="1"/>
  <c r="S62" i="11" s="1"/>
  <c r="S62" i="13" s="1"/>
  <c r="S61" i="19"/>
  <c r="S61" i="18" s="1"/>
  <c r="S61" i="11" s="1"/>
  <c r="S61" i="13" s="1"/>
  <c r="S60" i="19"/>
  <c r="S60" i="18" s="1"/>
  <c r="S60" i="11" s="1"/>
  <c r="S60" i="13" s="1"/>
  <c r="Q63" i="19"/>
  <c r="Q63" i="18" s="1"/>
  <c r="Q63" i="11" s="1"/>
  <c r="Q63" i="13" s="1"/>
  <c r="Q62" i="19"/>
  <c r="Q62" i="18" s="1"/>
  <c r="Q62" i="11" s="1"/>
  <c r="Q62" i="13" s="1"/>
  <c r="Q61" i="19"/>
  <c r="Q61" i="18" s="1"/>
  <c r="Q61" i="11" s="1"/>
  <c r="Q61" i="13" s="1"/>
  <c r="Q60" i="19"/>
  <c r="Q60" i="18" s="1"/>
  <c r="Q60" i="11" s="1"/>
  <c r="Q60" i="13" s="1"/>
  <c r="O63" i="19"/>
  <c r="O63" i="18" s="1"/>
  <c r="O63" i="11" s="1"/>
  <c r="O63" i="13" s="1"/>
  <c r="O62" i="19"/>
  <c r="O62" i="18" s="1"/>
  <c r="O62" i="11" s="1"/>
  <c r="O62" i="13" s="1"/>
  <c r="O61" i="19"/>
  <c r="O61" i="18" s="1"/>
  <c r="O61" i="11" s="1"/>
  <c r="O61" i="13" s="1"/>
  <c r="O60" i="19"/>
  <c r="O60" i="18" s="1"/>
  <c r="O60" i="11" s="1"/>
  <c r="O60" i="13" s="1"/>
  <c r="M63" i="19"/>
  <c r="M63" i="18" s="1"/>
  <c r="M63" i="11" s="1"/>
  <c r="M63" i="13" s="1"/>
  <c r="M62" i="19"/>
  <c r="M62" i="18" s="1"/>
  <c r="M62" i="11" s="1"/>
  <c r="M62" i="13" s="1"/>
  <c r="M61" i="19"/>
  <c r="M61" i="18" s="1"/>
  <c r="M61" i="11" s="1"/>
  <c r="M61" i="13" s="1"/>
  <c r="M60" i="19"/>
  <c r="M60" i="18" s="1"/>
  <c r="M60" i="11" s="1"/>
  <c r="M60" i="13" s="1"/>
  <c r="K63" i="19"/>
  <c r="K63" i="18" s="1"/>
  <c r="K63" i="11" s="1"/>
  <c r="K63" i="13" s="1"/>
  <c r="K62" i="19"/>
  <c r="K62" i="18" s="1"/>
  <c r="K62" i="11" s="1"/>
  <c r="K62" i="13" s="1"/>
  <c r="K61" i="19"/>
  <c r="K61" i="18" s="1"/>
  <c r="K61" i="11" s="1"/>
  <c r="K61" i="13" s="1"/>
  <c r="K60" i="19"/>
  <c r="K60" i="18" s="1"/>
  <c r="K60" i="11" s="1"/>
  <c r="K60" i="13" s="1"/>
  <c r="I63" i="19"/>
  <c r="I63" i="18" s="1"/>
  <c r="I63" i="11" s="1"/>
  <c r="I63" i="13" s="1"/>
  <c r="I62" i="19"/>
  <c r="I62" i="18" s="1"/>
  <c r="I62" i="11" s="1"/>
  <c r="I62" i="13" s="1"/>
  <c r="I61" i="19"/>
  <c r="I61" i="18" s="1"/>
  <c r="I61" i="11" s="1"/>
  <c r="I61" i="13" s="1"/>
  <c r="I60" i="19"/>
  <c r="I60" i="18" s="1"/>
  <c r="I60" i="11" s="1"/>
  <c r="I60" i="13" s="1"/>
  <c r="G63" i="19"/>
  <c r="G63" i="18" s="1"/>
  <c r="G63" i="11" s="1"/>
  <c r="G63" i="13" s="1"/>
  <c r="G62" i="19"/>
  <c r="G62" i="18" s="1"/>
  <c r="G62" i="11" s="1"/>
  <c r="G62" i="13" s="1"/>
  <c r="G61" i="19"/>
  <c r="G61" i="18" s="1"/>
  <c r="G61" i="11" s="1"/>
  <c r="G61" i="13" s="1"/>
  <c r="G60" i="19"/>
  <c r="G60" i="18" s="1"/>
  <c r="G60" i="11" s="1"/>
  <c r="G60" i="13" s="1"/>
  <c r="E63" i="19"/>
  <c r="E63" i="18" s="1"/>
  <c r="E63" i="11" s="1"/>
  <c r="E63" i="13" s="1"/>
  <c r="E62" i="19"/>
  <c r="E62" i="18" s="1"/>
  <c r="E62" i="11" s="1"/>
  <c r="E62" i="13" s="1"/>
  <c r="E61" i="19"/>
  <c r="E61" i="18" s="1"/>
  <c r="E61" i="11" s="1"/>
  <c r="E61" i="13" s="1"/>
  <c r="E60" i="19"/>
  <c r="E60" i="18" s="1"/>
  <c r="E60" i="11" s="1"/>
  <c r="E60" i="13" s="1"/>
  <c r="C63" i="19"/>
  <c r="C63" i="18" s="1"/>
  <c r="C63" i="11" s="1"/>
  <c r="C63" i="13" s="1"/>
  <c r="B63" i="19"/>
  <c r="C62" i="19"/>
  <c r="C62" i="18" s="1"/>
  <c r="C62" i="11" s="1"/>
  <c r="C62" i="13" s="1"/>
  <c r="B62" i="19"/>
  <c r="B62" i="18" s="1"/>
  <c r="C61" i="19"/>
  <c r="C61" i="18" s="1"/>
  <c r="C61" i="11" s="1"/>
  <c r="C61" i="13" s="1"/>
  <c r="B61" i="19"/>
  <c r="B61" i="18" s="1"/>
  <c r="C60" i="19"/>
  <c r="C60" i="18" s="1"/>
  <c r="C60" i="11" s="1"/>
  <c r="C60" i="13" s="1"/>
  <c r="B60" i="19"/>
  <c r="B60" i="18" s="1"/>
  <c r="BJ6" i="19"/>
  <c r="BJ5" i="19"/>
  <c r="BI4" i="19"/>
  <c r="BH6" i="19"/>
  <c r="BH5" i="19"/>
  <c r="BG4" i="19"/>
  <c r="BF6" i="19"/>
  <c r="BF5" i="19"/>
  <c r="BE4" i="19"/>
  <c r="BD6" i="19"/>
  <c r="BD5" i="19"/>
  <c r="BC4" i="19"/>
  <c r="BB6" i="19"/>
  <c r="BB5" i="19"/>
  <c r="BA4" i="19"/>
  <c r="AZ6" i="19"/>
  <c r="AZ5" i="19"/>
  <c r="AY4" i="19"/>
  <c r="AX6" i="19"/>
  <c r="AX5" i="19"/>
  <c r="AW4" i="19"/>
  <c r="AV6" i="19"/>
  <c r="AV5" i="19"/>
  <c r="AU4" i="19"/>
  <c r="AT6" i="19"/>
  <c r="AT5" i="19"/>
  <c r="AS4" i="19"/>
  <c r="AR6" i="19"/>
  <c r="AR5" i="19"/>
  <c r="AQ4" i="19"/>
  <c r="AP6" i="19"/>
  <c r="AP5" i="19"/>
  <c r="AO4" i="19"/>
  <c r="AN6" i="19"/>
  <c r="AN5" i="19"/>
  <c r="AM4" i="19"/>
  <c r="AL6" i="19"/>
  <c r="AL5" i="19"/>
  <c r="AK4" i="19"/>
  <c r="AJ6" i="19"/>
  <c r="AJ5" i="19"/>
  <c r="AI4" i="19"/>
  <c r="AH6" i="19"/>
  <c r="AH5" i="19"/>
  <c r="AG4" i="19"/>
  <c r="AF6" i="19"/>
  <c r="AF5" i="19"/>
  <c r="AE4" i="19"/>
  <c r="AD6" i="19"/>
  <c r="AD5" i="19"/>
  <c r="AC4" i="19"/>
  <c r="AB6" i="19"/>
  <c r="AB5" i="19"/>
  <c r="AA4" i="19"/>
  <c r="Z6" i="19"/>
  <c r="Z5" i="19"/>
  <c r="Y4" i="19"/>
  <c r="X6" i="19"/>
  <c r="X5" i="19"/>
  <c r="W4" i="19"/>
  <c r="V6" i="19"/>
  <c r="V5" i="19"/>
  <c r="U4" i="19"/>
  <c r="T6" i="19"/>
  <c r="T5" i="19"/>
  <c r="S4" i="19"/>
  <c r="R6" i="19"/>
  <c r="R5" i="19"/>
  <c r="Q4" i="19"/>
  <c r="P6" i="19"/>
  <c r="P5" i="19"/>
  <c r="O4" i="19"/>
  <c r="N6" i="19"/>
  <c r="N5" i="19"/>
  <c r="M4" i="19"/>
  <c r="L6" i="19"/>
  <c r="L5" i="19"/>
  <c r="K4" i="19"/>
  <c r="J6" i="19"/>
  <c r="J5" i="19"/>
  <c r="I4" i="19"/>
  <c r="H6" i="19"/>
  <c r="H5" i="19"/>
  <c r="G4" i="19"/>
  <c r="F6" i="19"/>
  <c r="F5" i="19"/>
  <c r="E4" i="19"/>
  <c r="D6" i="19"/>
  <c r="D5" i="19"/>
  <c r="C4" i="19"/>
  <c r="BI58" i="12"/>
  <c r="BI58" i="17" s="1"/>
  <c r="BI58" i="19" s="1"/>
  <c r="BI58" i="18" s="1"/>
  <c r="BI58" i="11" s="1"/>
  <c r="BI58" i="13" s="1"/>
  <c r="BI57" i="12"/>
  <c r="BI57" i="17" s="1"/>
  <c r="BI57" i="19" s="1"/>
  <c r="BI57" i="18" s="1"/>
  <c r="BI57" i="11" s="1"/>
  <c r="BI57" i="13" s="1"/>
  <c r="BI56" i="12"/>
  <c r="BI56" i="17" s="1"/>
  <c r="BI56" i="19" s="1"/>
  <c r="BI56" i="18" s="1"/>
  <c r="BI56" i="11" s="1"/>
  <c r="BI56" i="13" s="1"/>
  <c r="BI55" i="12"/>
  <c r="BI55" i="17" s="1"/>
  <c r="BI55" i="19" s="1"/>
  <c r="BI55" i="18" s="1"/>
  <c r="BI55" i="11" s="1"/>
  <c r="BI55" i="13" s="1"/>
  <c r="BI54" i="12"/>
  <c r="BI54" i="17" s="1"/>
  <c r="BI54" i="19" s="1"/>
  <c r="BI54" i="18" s="1"/>
  <c r="BI54" i="11" s="1"/>
  <c r="BI54" i="13" s="1"/>
  <c r="BI53" i="12"/>
  <c r="BI53" i="17" s="1"/>
  <c r="BI53" i="19" s="1"/>
  <c r="BI53" i="18" s="1"/>
  <c r="BI53" i="11" s="1"/>
  <c r="BI53" i="13" s="1"/>
  <c r="BI52" i="12"/>
  <c r="BI52" i="17" s="1"/>
  <c r="BI52" i="19" s="1"/>
  <c r="BI52" i="18" s="1"/>
  <c r="BI52" i="11" s="1"/>
  <c r="BI52" i="13" s="1"/>
  <c r="BI51" i="12"/>
  <c r="BI51" i="17" s="1"/>
  <c r="BI51" i="19" s="1"/>
  <c r="BI51" i="18" s="1"/>
  <c r="BI51" i="11" s="1"/>
  <c r="BI51" i="13" s="1"/>
  <c r="BI50" i="12"/>
  <c r="BI50" i="17" s="1"/>
  <c r="BI50" i="19" s="1"/>
  <c r="BI50" i="18" s="1"/>
  <c r="BI50" i="11" s="1"/>
  <c r="BI50" i="13" s="1"/>
  <c r="BI49" i="12"/>
  <c r="BI49" i="17" s="1"/>
  <c r="BI49" i="19" s="1"/>
  <c r="BI49" i="18" s="1"/>
  <c r="BI49" i="11" s="1"/>
  <c r="BI49" i="13" s="1"/>
  <c r="BI48" i="12"/>
  <c r="BI48" i="17" s="1"/>
  <c r="BI48" i="19" s="1"/>
  <c r="BI48" i="18" s="1"/>
  <c r="BI48" i="11" s="1"/>
  <c r="BI48" i="13" s="1"/>
  <c r="BI47" i="12"/>
  <c r="BI47" i="17" s="1"/>
  <c r="BI47" i="19" s="1"/>
  <c r="BI47" i="18" s="1"/>
  <c r="BI47" i="11" s="1"/>
  <c r="BI47" i="13" s="1"/>
  <c r="BI46" i="12"/>
  <c r="BI46" i="17" s="1"/>
  <c r="BI46" i="19" s="1"/>
  <c r="BI46" i="18" s="1"/>
  <c r="BI46" i="11" s="1"/>
  <c r="BI46" i="13" s="1"/>
  <c r="BI45" i="12"/>
  <c r="BI45" i="17" s="1"/>
  <c r="BI45" i="19" s="1"/>
  <c r="BI45" i="18" s="1"/>
  <c r="BI45" i="11" s="1"/>
  <c r="BI45" i="13" s="1"/>
  <c r="BI44" i="12"/>
  <c r="BI44" i="17" s="1"/>
  <c r="BI44" i="19" s="1"/>
  <c r="BI44" i="18" s="1"/>
  <c r="BI44" i="11" s="1"/>
  <c r="BI44" i="13" s="1"/>
  <c r="BI43" i="12"/>
  <c r="BI43" i="17" s="1"/>
  <c r="BI43" i="19" s="1"/>
  <c r="BI43" i="18" s="1"/>
  <c r="BI43" i="11" s="1"/>
  <c r="BI43" i="13" s="1"/>
  <c r="BI42" i="12"/>
  <c r="BI42" i="17" s="1"/>
  <c r="BI42" i="19" s="1"/>
  <c r="BI42" i="18" s="1"/>
  <c r="BI42" i="11" s="1"/>
  <c r="BI42" i="13" s="1"/>
  <c r="BI41" i="12"/>
  <c r="BI41" i="17" s="1"/>
  <c r="BI41" i="19" s="1"/>
  <c r="BI41" i="18" s="1"/>
  <c r="BI41" i="11" s="1"/>
  <c r="BI41" i="13" s="1"/>
  <c r="BI40" i="12"/>
  <c r="BI40" i="17" s="1"/>
  <c r="BI40" i="19" s="1"/>
  <c r="BI40" i="18" s="1"/>
  <c r="BI40" i="11" s="1"/>
  <c r="BI40" i="13" s="1"/>
  <c r="BI39" i="12"/>
  <c r="BI39" i="17" s="1"/>
  <c r="BI39" i="19" s="1"/>
  <c r="BI39" i="18" s="1"/>
  <c r="BI39" i="11" s="1"/>
  <c r="BI39" i="13" s="1"/>
  <c r="BG58" i="12"/>
  <c r="BG58" i="17" s="1"/>
  <c r="BG58" i="19" s="1"/>
  <c r="BG58" i="18" s="1"/>
  <c r="BG58" i="11" s="1"/>
  <c r="BG58" i="13" s="1"/>
  <c r="BG57" i="12"/>
  <c r="BG57" i="17" s="1"/>
  <c r="BG57" i="19" s="1"/>
  <c r="BG57" i="18" s="1"/>
  <c r="BG57" i="11" s="1"/>
  <c r="BG57" i="13" s="1"/>
  <c r="BG56" i="12"/>
  <c r="BG56" i="17" s="1"/>
  <c r="BG56" i="19" s="1"/>
  <c r="BG56" i="18" s="1"/>
  <c r="BG56" i="11" s="1"/>
  <c r="BG56" i="13" s="1"/>
  <c r="BG55" i="12"/>
  <c r="BG55" i="17" s="1"/>
  <c r="BG55" i="19" s="1"/>
  <c r="BG55" i="18" s="1"/>
  <c r="BG55" i="11" s="1"/>
  <c r="BG55" i="13" s="1"/>
  <c r="BG54" i="12"/>
  <c r="BG54" i="17" s="1"/>
  <c r="BG54" i="19" s="1"/>
  <c r="BG54" i="18" s="1"/>
  <c r="BG54" i="11" s="1"/>
  <c r="BG54" i="13" s="1"/>
  <c r="BG53" i="12"/>
  <c r="BG53" i="17" s="1"/>
  <c r="BG53" i="19" s="1"/>
  <c r="BG53" i="18" s="1"/>
  <c r="BG53" i="11" s="1"/>
  <c r="BG53" i="13" s="1"/>
  <c r="BG52" i="12"/>
  <c r="BG52" i="17" s="1"/>
  <c r="BG52" i="19" s="1"/>
  <c r="BG52" i="18" s="1"/>
  <c r="BG52" i="11" s="1"/>
  <c r="BG52" i="13" s="1"/>
  <c r="BG51" i="12"/>
  <c r="BG51" i="17" s="1"/>
  <c r="BG51" i="19" s="1"/>
  <c r="BG51" i="18" s="1"/>
  <c r="BG51" i="11" s="1"/>
  <c r="BG51" i="13" s="1"/>
  <c r="BG50" i="12"/>
  <c r="BG50" i="17" s="1"/>
  <c r="BG50" i="19" s="1"/>
  <c r="BG50" i="18" s="1"/>
  <c r="BG50" i="11" s="1"/>
  <c r="BG50" i="13" s="1"/>
  <c r="BG49" i="12"/>
  <c r="BG49" i="17" s="1"/>
  <c r="BG49" i="19" s="1"/>
  <c r="BG49" i="18" s="1"/>
  <c r="BG49" i="11" s="1"/>
  <c r="BG49" i="13" s="1"/>
  <c r="BG48" i="12"/>
  <c r="BG48" i="17" s="1"/>
  <c r="BG48" i="19" s="1"/>
  <c r="BG48" i="18" s="1"/>
  <c r="BG48" i="11" s="1"/>
  <c r="BG48" i="13" s="1"/>
  <c r="BG47" i="12"/>
  <c r="BG47" i="17" s="1"/>
  <c r="BG47" i="19" s="1"/>
  <c r="BG47" i="18" s="1"/>
  <c r="BG47" i="11" s="1"/>
  <c r="BG47" i="13" s="1"/>
  <c r="BG46" i="12"/>
  <c r="BG46" i="17" s="1"/>
  <c r="BG46" i="19" s="1"/>
  <c r="BG46" i="18" s="1"/>
  <c r="BG46" i="11" s="1"/>
  <c r="BG46" i="13" s="1"/>
  <c r="BG45" i="12"/>
  <c r="BG45" i="17" s="1"/>
  <c r="BG45" i="19" s="1"/>
  <c r="BG45" i="18" s="1"/>
  <c r="BG45" i="11" s="1"/>
  <c r="BG45" i="13" s="1"/>
  <c r="BG44" i="12"/>
  <c r="BG44" i="17" s="1"/>
  <c r="BG44" i="19" s="1"/>
  <c r="BG44" i="18" s="1"/>
  <c r="BG44" i="11" s="1"/>
  <c r="BG44" i="13" s="1"/>
  <c r="BG43" i="12"/>
  <c r="BG43" i="17" s="1"/>
  <c r="BG43" i="19" s="1"/>
  <c r="BG43" i="18" s="1"/>
  <c r="BG43" i="11" s="1"/>
  <c r="BG43" i="13" s="1"/>
  <c r="BG42" i="12"/>
  <c r="BG42" i="17" s="1"/>
  <c r="BG42" i="19" s="1"/>
  <c r="BG42" i="18" s="1"/>
  <c r="BG42" i="11" s="1"/>
  <c r="BG42" i="13" s="1"/>
  <c r="BG41" i="12"/>
  <c r="BG41" i="17" s="1"/>
  <c r="BG41" i="19" s="1"/>
  <c r="BG41" i="18" s="1"/>
  <c r="BG41" i="11" s="1"/>
  <c r="BG41" i="13" s="1"/>
  <c r="BG40" i="12"/>
  <c r="BG40" i="17" s="1"/>
  <c r="BG40" i="19" s="1"/>
  <c r="BG40" i="18" s="1"/>
  <c r="BG40" i="11" s="1"/>
  <c r="BG40" i="13" s="1"/>
  <c r="BG39" i="12"/>
  <c r="BG39" i="17" s="1"/>
  <c r="BG39" i="19" s="1"/>
  <c r="BG39" i="18" s="1"/>
  <c r="BG39" i="11" s="1"/>
  <c r="BG39" i="13" s="1"/>
  <c r="BE58" i="12"/>
  <c r="BE58" i="17" s="1"/>
  <c r="BE58" i="19" s="1"/>
  <c r="BE58" i="18" s="1"/>
  <c r="BE58" i="11" s="1"/>
  <c r="BE58" i="13" s="1"/>
  <c r="BE57" i="12"/>
  <c r="BE57" i="17" s="1"/>
  <c r="BE57" i="19" s="1"/>
  <c r="BE57" i="18" s="1"/>
  <c r="BE57" i="11" s="1"/>
  <c r="BE57" i="13" s="1"/>
  <c r="BE56" i="12"/>
  <c r="BE56" i="17" s="1"/>
  <c r="BE56" i="19" s="1"/>
  <c r="BE56" i="18" s="1"/>
  <c r="BE56" i="11" s="1"/>
  <c r="BE56" i="13" s="1"/>
  <c r="BE55" i="12"/>
  <c r="BE55" i="17" s="1"/>
  <c r="BE55" i="19" s="1"/>
  <c r="BE55" i="18" s="1"/>
  <c r="BE55" i="11" s="1"/>
  <c r="BE55" i="13" s="1"/>
  <c r="BE54" i="12"/>
  <c r="BE54" i="17" s="1"/>
  <c r="BE54" i="19" s="1"/>
  <c r="BE54" i="18" s="1"/>
  <c r="BE54" i="11" s="1"/>
  <c r="BE54" i="13" s="1"/>
  <c r="BE53" i="12"/>
  <c r="BE53" i="17" s="1"/>
  <c r="BE53" i="19" s="1"/>
  <c r="BE53" i="18" s="1"/>
  <c r="BE53" i="11" s="1"/>
  <c r="BE53" i="13" s="1"/>
  <c r="BE52" i="12"/>
  <c r="BE52" i="17" s="1"/>
  <c r="BE52" i="19" s="1"/>
  <c r="BE52" i="18" s="1"/>
  <c r="BE52" i="11" s="1"/>
  <c r="BE52" i="13" s="1"/>
  <c r="BE51" i="12"/>
  <c r="BE51" i="17" s="1"/>
  <c r="BE51" i="19" s="1"/>
  <c r="BE51" i="18" s="1"/>
  <c r="BE51" i="11" s="1"/>
  <c r="BE51" i="13" s="1"/>
  <c r="BE50" i="12"/>
  <c r="BE50" i="17" s="1"/>
  <c r="BE50" i="19" s="1"/>
  <c r="BE50" i="18" s="1"/>
  <c r="BE50" i="11" s="1"/>
  <c r="BE50" i="13" s="1"/>
  <c r="BE49" i="12"/>
  <c r="BE49" i="17" s="1"/>
  <c r="BE49" i="19" s="1"/>
  <c r="BE49" i="18" s="1"/>
  <c r="BE49" i="11" s="1"/>
  <c r="BE49" i="13" s="1"/>
  <c r="BE48" i="12"/>
  <c r="BE48" i="17" s="1"/>
  <c r="BE48" i="19" s="1"/>
  <c r="BE48" i="18" s="1"/>
  <c r="BE48" i="11" s="1"/>
  <c r="BE48" i="13" s="1"/>
  <c r="BE47" i="12"/>
  <c r="BE47" i="17" s="1"/>
  <c r="BE47" i="19" s="1"/>
  <c r="BE47" i="18" s="1"/>
  <c r="BE47" i="11" s="1"/>
  <c r="BE47" i="13" s="1"/>
  <c r="BE46" i="12"/>
  <c r="BE46" i="17" s="1"/>
  <c r="BE46" i="19" s="1"/>
  <c r="BE46" i="18" s="1"/>
  <c r="BE46" i="11" s="1"/>
  <c r="BE46" i="13" s="1"/>
  <c r="BE45" i="12"/>
  <c r="BE45" i="17" s="1"/>
  <c r="BE45" i="19" s="1"/>
  <c r="BE45" i="18" s="1"/>
  <c r="BE45" i="11" s="1"/>
  <c r="BE45" i="13" s="1"/>
  <c r="BE44" i="12"/>
  <c r="BE44" i="17" s="1"/>
  <c r="BE44" i="19" s="1"/>
  <c r="BE44" i="18" s="1"/>
  <c r="BE44" i="11" s="1"/>
  <c r="BE44" i="13" s="1"/>
  <c r="BE43" i="12"/>
  <c r="BE43" i="17" s="1"/>
  <c r="BE43" i="19" s="1"/>
  <c r="BE43" i="18" s="1"/>
  <c r="BE43" i="11" s="1"/>
  <c r="BE43" i="13" s="1"/>
  <c r="BE42" i="12"/>
  <c r="BE42" i="17" s="1"/>
  <c r="BE42" i="19" s="1"/>
  <c r="BE42" i="18" s="1"/>
  <c r="BE42" i="11" s="1"/>
  <c r="BE42" i="13" s="1"/>
  <c r="BE41" i="12"/>
  <c r="BE41" i="17" s="1"/>
  <c r="BE41" i="19" s="1"/>
  <c r="BE41" i="18" s="1"/>
  <c r="BE41" i="11" s="1"/>
  <c r="BE41" i="13" s="1"/>
  <c r="BE40" i="12"/>
  <c r="BE40" i="17" s="1"/>
  <c r="BE40" i="19" s="1"/>
  <c r="BE40" i="18" s="1"/>
  <c r="BE40" i="11" s="1"/>
  <c r="BE40" i="13" s="1"/>
  <c r="BE39" i="12"/>
  <c r="BE39" i="17" s="1"/>
  <c r="BE39" i="19" s="1"/>
  <c r="BE39" i="18" s="1"/>
  <c r="BE39" i="11" s="1"/>
  <c r="BE39" i="13" s="1"/>
  <c r="BC58" i="12"/>
  <c r="BC58" i="17" s="1"/>
  <c r="BC58" i="19" s="1"/>
  <c r="BC58" i="18" s="1"/>
  <c r="BC58" i="11" s="1"/>
  <c r="BC58" i="13" s="1"/>
  <c r="BC57" i="12"/>
  <c r="BC57" i="17" s="1"/>
  <c r="BC57" i="19" s="1"/>
  <c r="BC57" i="18" s="1"/>
  <c r="BC57" i="11" s="1"/>
  <c r="BC57" i="13" s="1"/>
  <c r="BC56" i="12"/>
  <c r="BC56" i="17" s="1"/>
  <c r="BC56" i="19" s="1"/>
  <c r="BC56" i="18" s="1"/>
  <c r="BC56" i="11" s="1"/>
  <c r="BC56" i="13" s="1"/>
  <c r="BC55" i="12"/>
  <c r="BC55" i="17" s="1"/>
  <c r="BC55" i="19" s="1"/>
  <c r="BC55" i="18" s="1"/>
  <c r="BC55" i="11" s="1"/>
  <c r="BC55" i="13" s="1"/>
  <c r="BC54" i="12"/>
  <c r="BC54" i="17" s="1"/>
  <c r="BC54" i="19" s="1"/>
  <c r="BC54" i="18" s="1"/>
  <c r="BC54" i="11" s="1"/>
  <c r="BC54" i="13" s="1"/>
  <c r="BC53" i="12"/>
  <c r="BC53" i="17" s="1"/>
  <c r="BC53" i="19" s="1"/>
  <c r="BC53" i="18" s="1"/>
  <c r="BC53" i="11" s="1"/>
  <c r="BC53" i="13" s="1"/>
  <c r="BC52" i="12"/>
  <c r="BC52" i="17" s="1"/>
  <c r="BC52" i="19" s="1"/>
  <c r="BC52" i="18" s="1"/>
  <c r="BC52" i="11" s="1"/>
  <c r="BC52" i="13" s="1"/>
  <c r="BC51" i="12"/>
  <c r="BC51" i="17" s="1"/>
  <c r="BC51" i="19" s="1"/>
  <c r="BC51" i="18" s="1"/>
  <c r="BC51" i="11" s="1"/>
  <c r="BC51" i="13" s="1"/>
  <c r="BC50" i="12"/>
  <c r="BC50" i="17" s="1"/>
  <c r="BC50" i="19" s="1"/>
  <c r="BC50" i="18" s="1"/>
  <c r="BC50" i="11" s="1"/>
  <c r="BC50" i="13" s="1"/>
  <c r="BC49" i="12"/>
  <c r="BC49" i="17" s="1"/>
  <c r="BC49" i="19" s="1"/>
  <c r="BC49" i="18" s="1"/>
  <c r="BC49" i="11" s="1"/>
  <c r="BC49" i="13" s="1"/>
  <c r="BC48" i="12"/>
  <c r="BC48" i="17" s="1"/>
  <c r="BC48" i="19" s="1"/>
  <c r="BC48" i="18" s="1"/>
  <c r="BC48" i="11" s="1"/>
  <c r="BC48" i="13" s="1"/>
  <c r="BC47" i="12"/>
  <c r="BC47" i="17" s="1"/>
  <c r="BC47" i="19" s="1"/>
  <c r="BC47" i="18" s="1"/>
  <c r="BC47" i="11" s="1"/>
  <c r="BC47" i="13" s="1"/>
  <c r="BC46" i="12"/>
  <c r="BC46" i="17" s="1"/>
  <c r="BC46" i="19" s="1"/>
  <c r="BC46" i="18" s="1"/>
  <c r="BC46" i="11" s="1"/>
  <c r="BC46" i="13" s="1"/>
  <c r="BC45" i="12"/>
  <c r="BC45" i="17" s="1"/>
  <c r="BC45" i="19" s="1"/>
  <c r="BC45" i="18" s="1"/>
  <c r="BC45" i="11" s="1"/>
  <c r="BC45" i="13" s="1"/>
  <c r="BC44" i="12"/>
  <c r="BC44" i="17" s="1"/>
  <c r="BC44" i="19" s="1"/>
  <c r="BC44" i="18" s="1"/>
  <c r="BC44" i="11" s="1"/>
  <c r="BC44" i="13" s="1"/>
  <c r="BC43" i="12"/>
  <c r="BC43" i="17" s="1"/>
  <c r="BC43" i="19" s="1"/>
  <c r="BC43" i="18" s="1"/>
  <c r="BC43" i="11" s="1"/>
  <c r="BC43" i="13" s="1"/>
  <c r="BC42" i="12"/>
  <c r="BC42" i="17" s="1"/>
  <c r="BC42" i="19" s="1"/>
  <c r="BC42" i="18" s="1"/>
  <c r="BC42" i="11" s="1"/>
  <c r="BC42" i="13" s="1"/>
  <c r="BC41" i="12"/>
  <c r="BC41" i="17" s="1"/>
  <c r="BC41" i="19" s="1"/>
  <c r="BC41" i="18" s="1"/>
  <c r="BC41" i="11" s="1"/>
  <c r="BC41" i="13" s="1"/>
  <c r="BC40" i="12"/>
  <c r="BC40" i="17" s="1"/>
  <c r="BC40" i="19" s="1"/>
  <c r="BC40" i="18" s="1"/>
  <c r="BC40" i="11" s="1"/>
  <c r="BC40" i="13" s="1"/>
  <c r="BC39" i="12"/>
  <c r="BC39" i="17" s="1"/>
  <c r="BC39" i="19" s="1"/>
  <c r="BC39" i="18" s="1"/>
  <c r="BC39" i="11" s="1"/>
  <c r="BC39" i="13" s="1"/>
  <c r="BA58" i="12"/>
  <c r="BA58" i="17" s="1"/>
  <c r="BA58" i="19" s="1"/>
  <c r="BA58" i="18" s="1"/>
  <c r="BA58" i="11" s="1"/>
  <c r="BA58" i="13" s="1"/>
  <c r="BA57" i="12"/>
  <c r="BA57" i="17" s="1"/>
  <c r="BA57" i="19" s="1"/>
  <c r="BA57" i="18" s="1"/>
  <c r="BA57" i="11" s="1"/>
  <c r="BA57" i="13" s="1"/>
  <c r="BA56" i="12"/>
  <c r="BA56" i="17" s="1"/>
  <c r="BA56" i="19" s="1"/>
  <c r="BA56" i="18" s="1"/>
  <c r="BA56" i="11" s="1"/>
  <c r="BA56" i="13" s="1"/>
  <c r="BA55" i="12"/>
  <c r="BA55" i="17" s="1"/>
  <c r="BA55" i="19" s="1"/>
  <c r="BA55" i="18" s="1"/>
  <c r="BA55" i="11" s="1"/>
  <c r="BA55" i="13" s="1"/>
  <c r="BA54" i="12"/>
  <c r="BA54" i="17" s="1"/>
  <c r="BA54" i="19" s="1"/>
  <c r="BA54" i="18" s="1"/>
  <c r="BA54" i="11" s="1"/>
  <c r="BA54" i="13" s="1"/>
  <c r="BA53" i="12"/>
  <c r="BA53" i="17" s="1"/>
  <c r="BA53" i="19" s="1"/>
  <c r="BA53" i="18" s="1"/>
  <c r="BA53" i="11" s="1"/>
  <c r="BA53" i="13" s="1"/>
  <c r="BA52" i="12"/>
  <c r="BA52" i="17" s="1"/>
  <c r="BA52" i="19" s="1"/>
  <c r="BA52" i="18" s="1"/>
  <c r="BA52" i="11" s="1"/>
  <c r="BA52" i="13" s="1"/>
  <c r="BA51" i="12"/>
  <c r="BA51" i="17" s="1"/>
  <c r="BA51" i="19" s="1"/>
  <c r="BA51" i="18" s="1"/>
  <c r="BA51" i="11" s="1"/>
  <c r="BA51" i="13" s="1"/>
  <c r="BA50" i="12"/>
  <c r="BA50" i="17" s="1"/>
  <c r="BA50" i="19" s="1"/>
  <c r="BA50" i="18" s="1"/>
  <c r="BA50" i="11" s="1"/>
  <c r="BA50" i="13" s="1"/>
  <c r="BA49" i="12"/>
  <c r="BA49" i="17" s="1"/>
  <c r="BA49" i="19" s="1"/>
  <c r="BA49" i="18" s="1"/>
  <c r="BA49" i="11" s="1"/>
  <c r="BA49" i="13" s="1"/>
  <c r="BA48" i="12"/>
  <c r="BA48" i="17" s="1"/>
  <c r="BA48" i="19" s="1"/>
  <c r="BA48" i="18" s="1"/>
  <c r="BA48" i="11" s="1"/>
  <c r="BA48" i="13" s="1"/>
  <c r="BA47" i="12"/>
  <c r="BA47" i="17" s="1"/>
  <c r="BA47" i="19" s="1"/>
  <c r="BA47" i="18" s="1"/>
  <c r="BA47" i="11" s="1"/>
  <c r="BA47" i="13" s="1"/>
  <c r="BA46" i="12"/>
  <c r="BA46" i="17" s="1"/>
  <c r="BA46" i="19" s="1"/>
  <c r="BA46" i="18" s="1"/>
  <c r="BA46" i="11" s="1"/>
  <c r="BA46" i="13" s="1"/>
  <c r="BA45" i="12"/>
  <c r="BA45" i="17" s="1"/>
  <c r="BA45" i="19" s="1"/>
  <c r="BA45" i="18" s="1"/>
  <c r="BA45" i="11" s="1"/>
  <c r="BA45" i="13" s="1"/>
  <c r="BA44" i="12"/>
  <c r="BA44" i="17" s="1"/>
  <c r="BA44" i="19" s="1"/>
  <c r="BA44" i="18" s="1"/>
  <c r="BA44" i="11" s="1"/>
  <c r="BA44" i="13" s="1"/>
  <c r="BA43" i="12"/>
  <c r="BA43" i="17" s="1"/>
  <c r="BA43" i="19" s="1"/>
  <c r="BA43" i="18" s="1"/>
  <c r="BA43" i="11" s="1"/>
  <c r="BA43" i="13" s="1"/>
  <c r="BA42" i="12"/>
  <c r="BA42" i="17" s="1"/>
  <c r="BA42" i="19" s="1"/>
  <c r="BA42" i="18" s="1"/>
  <c r="BA42" i="11" s="1"/>
  <c r="BA42" i="13" s="1"/>
  <c r="BA41" i="12"/>
  <c r="BA41" i="17" s="1"/>
  <c r="BA41" i="19" s="1"/>
  <c r="BA41" i="18" s="1"/>
  <c r="BA41" i="11" s="1"/>
  <c r="BA41" i="13" s="1"/>
  <c r="BA40" i="12"/>
  <c r="BA40" i="17" s="1"/>
  <c r="BA40" i="19" s="1"/>
  <c r="BA40" i="18" s="1"/>
  <c r="BA40" i="11" s="1"/>
  <c r="BA40" i="13" s="1"/>
  <c r="BA39" i="12"/>
  <c r="BA39" i="17" s="1"/>
  <c r="BA39" i="19" s="1"/>
  <c r="BA39" i="18" s="1"/>
  <c r="BA39" i="11" s="1"/>
  <c r="BA39" i="13" s="1"/>
  <c r="AY58" i="12"/>
  <c r="AY58" i="17" s="1"/>
  <c r="AY58" i="19" s="1"/>
  <c r="AY58" i="18" s="1"/>
  <c r="AY58" i="11" s="1"/>
  <c r="AY58" i="13" s="1"/>
  <c r="AY57" i="12"/>
  <c r="AY57" i="17" s="1"/>
  <c r="AY57" i="19" s="1"/>
  <c r="AY57" i="18" s="1"/>
  <c r="AY57" i="11" s="1"/>
  <c r="AY57" i="13" s="1"/>
  <c r="AY56" i="12"/>
  <c r="AY56" i="17" s="1"/>
  <c r="AY56" i="19" s="1"/>
  <c r="AY56" i="18" s="1"/>
  <c r="AY56" i="11" s="1"/>
  <c r="AY56" i="13" s="1"/>
  <c r="AY55" i="12"/>
  <c r="AY55" i="17" s="1"/>
  <c r="AY55" i="19" s="1"/>
  <c r="AY55" i="18" s="1"/>
  <c r="AY55" i="11" s="1"/>
  <c r="AY55" i="13" s="1"/>
  <c r="AY54" i="12"/>
  <c r="AY54" i="17" s="1"/>
  <c r="AY54" i="19" s="1"/>
  <c r="AY54" i="18" s="1"/>
  <c r="AY54" i="11" s="1"/>
  <c r="AY54" i="13" s="1"/>
  <c r="AY53" i="12"/>
  <c r="AY53" i="17" s="1"/>
  <c r="AY53" i="19" s="1"/>
  <c r="AY53" i="18" s="1"/>
  <c r="AY53" i="11" s="1"/>
  <c r="AY53" i="13" s="1"/>
  <c r="AY52" i="12"/>
  <c r="AY52" i="17" s="1"/>
  <c r="AY52" i="19" s="1"/>
  <c r="AY52" i="18" s="1"/>
  <c r="AY52" i="11" s="1"/>
  <c r="AY52" i="13" s="1"/>
  <c r="AY51" i="12"/>
  <c r="AY51" i="17" s="1"/>
  <c r="AY51" i="19" s="1"/>
  <c r="AY51" i="18" s="1"/>
  <c r="AY51" i="11" s="1"/>
  <c r="AY51" i="13" s="1"/>
  <c r="AY50" i="12"/>
  <c r="AY50" i="17" s="1"/>
  <c r="AY50" i="19" s="1"/>
  <c r="AY50" i="18" s="1"/>
  <c r="AY50" i="11" s="1"/>
  <c r="AY50" i="13" s="1"/>
  <c r="AY49" i="12"/>
  <c r="AY49" i="17" s="1"/>
  <c r="AY49" i="19" s="1"/>
  <c r="AY49" i="18" s="1"/>
  <c r="AY49" i="11" s="1"/>
  <c r="AY49" i="13" s="1"/>
  <c r="AY48" i="12"/>
  <c r="AY48" i="17" s="1"/>
  <c r="AY48" i="19" s="1"/>
  <c r="AY48" i="18" s="1"/>
  <c r="AY48" i="11" s="1"/>
  <c r="AY48" i="13" s="1"/>
  <c r="AY47" i="12"/>
  <c r="AY47" i="17" s="1"/>
  <c r="AY47" i="19" s="1"/>
  <c r="AY47" i="18" s="1"/>
  <c r="AY47" i="11" s="1"/>
  <c r="AY47" i="13" s="1"/>
  <c r="AY46" i="12"/>
  <c r="AY46" i="17" s="1"/>
  <c r="AY46" i="19" s="1"/>
  <c r="AY46" i="18" s="1"/>
  <c r="AY46" i="11" s="1"/>
  <c r="AY46" i="13" s="1"/>
  <c r="AY45" i="12"/>
  <c r="AY45" i="17" s="1"/>
  <c r="AY45" i="19" s="1"/>
  <c r="AY45" i="18" s="1"/>
  <c r="AY45" i="11" s="1"/>
  <c r="AY45" i="13" s="1"/>
  <c r="AY44" i="12"/>
  <c r="AY44" i="17" s="1"/>
  <c r="AY44" i="19" s="1"/>
  <c r="AY44" i="18" s="1"/>
  <c r="AY44" i="11" s="1"/>
  <c r="AY44" i="13" s="1"/>
  <c r="AY43" i="12"/>
  <c r="AY43" i="17" s="1"/>
  <c r="AY43" i="19" s="1"/>
  <c r="AY43" i="18" s="1"/>
  <c r="AY43" i="11" s="1"/>
  <c r="AY43" i="13" s="1"/>
  <c r="AY42" i="12"/>
  <c r="AY42" i="17" s="1"/>
  <c r="AY42" i="19" s="1"/>
  <c r="AY42" i="18" s="1"/>
  <c r="AY42" i="11" s="1"/>
  <c r="AY42" i="13" s="1"/>
  <c r="AY41" i="12"/>
  <c r="AY41" i="17" s="1"/>
  <c r="AY41" i="19" s="1"/>
  <c r="AY41" i="18" s="1"/>
  <c r="AY41" i="11" s="1"/>
  <c r="AY41" i="13" s="1"/>
  <c r="AY40" i="12"/>
  <c r="AY40" i="17" s="1"/>
  <c r="AY40" i="19" s="1"/>
  <c r="AY40" i="18" s="1"/>
  <c r="AY40" i="11" s="1"/>
  <c r="AY40" i="13" s="1"/>
  <c r="AY39" i="12"/>
  <c r="AY39" i="17" s="1"/>
  <c r="AY39" i="19" s="1"/>
  <c r="AY39" i="18" s="1"/>
  <c r="AY39" i="11" s="1"/>
  <c r="AY39" i="13" s="1"/>
  <c r="AW58" i="12"/>
  <c r="AW58" i="17" s="1"/>
  <c r="AW58" i="19" s="1"/>
  <c r="AW58" i="18" s="1"/>
  <c r="AW58" i="11" s="1"/>
  <c r="AW58" i="13" s="1"/>
  <c r="AW57" i="12"/>
  <c r="AW57" i="17" s="1"/>
  <c r="AW57" i="19" s="1"/>
  <c r="AW57" i="18" s="1"/>
  <c r="AW57" i="11" s="1"/>
  <c r="AW57" i="13" s="1"/>
  <c r="AW56" i="12"/>
  <c r="AW56" i="17" s="1"/>
  <c r="AW56" i="19" s="1"/>
  <c r="AW56" i="18" s="1"/>
  <c r="AW56" i="11" s="1"/>
  <c r="AW56" i="13" s="1"/>
  <c r="AW55" i="12"/>
  <c r="AW55" i="17" s="1"/>
  <c r="AW55" i="19" s="1"/>
  <c r="AW55" i="18" s="1"/>
  <c r="AW55" i="11" s="1"/>
  <c r="AW55" i="13" s="1"/>
  <c r="AW54" i="12"/>
  <c r="AW54" i="17" s="1"/>
  <c r="AW54" i="19" s="1"/>
  <c r="AW54" i="18" s="1"/>
  <c r="AW54" i="11" s="1"/>
  <c r="AW54" i="13" s="1"/>
  <c r="AW53" i="12"/>
  <c r="AW53" i="17" s="1"/>
  <c r="AW53" i="19" s="1"/>
  <c r="AW53" i="18" s="1"/>
  <c r="AW53" i="11" s="1"/>
  <c r="AW53" i="13" s="1"/>
  <c r="AW52" i="12"/>
  <c r="AW52" i="17" s="1"/>
  <c r="AW52" i="19" s="1"/>
  <c r="AW52" i="18" s="1"/>
  <c r="AW52" i="11" s="1"/>
  <c r="AW52" i="13" s="1"/>
  <c r="AW51" i="12"/>
  <c r="AW51" i="17" s="1"/>
  <c r="AW51" i="19" s="1"/>
  <c r="AW51" i="18" s="1"/>
  <c r="AW51" i="11" s="1"/>
  <c r="AW51" i="13" s="1"/>
  <c r="AW50" i="12"/>
  <c r="AW50" i="17" s="1"/>
  <c r="AW50" i="19" s="1"/>
  <c r="AW50" i="18" s="1"/>
  <c r="AW50" i="11" s="1"/>
  <c r="AW50" i="13" s="1"/>
  <c r="AW49" i="12"/>
  <c r="AW49" i="17" s="1"/>
  <c r="AW49" i="19" s="1"/>
  <c r="AW49" i="18" s="1"/>
  <c r="AW49" i="11" s="1"/>
  <c r="AW49" i="13" s="1"/>
  <c r="AW48" i="12"/>
  <c r="AW48" i="17" s="1"/>
  <c r="AW48" i="19" s="1"/>
  <c r="AW48" i="18" s="1"/>
  <c r="AW48" i="11" s="1"/>
  <c r="AW48" i="13" s="1"/>
  <c r="AW47" i="12"/>
  <c r="AW47" i="17" s="1"/>
  <c r="AW47" i="19" s="1"/>
  <c r="AW47" i="18" s="1"/>
  <c r="AW47" i="11" s="1"/>
  <c r="AW47" i="13" s="1"/>
  <c r="AW46" i="12"/>
  <c r="AW46" i="17" s="1"/>
  <c r="AW46" i="19" s="1"/>
  <c r="AW46" i="18" s="1"/>
  <c r="AW46" i="11" s="1"/>
  <c r="AW46" i="13" s="1"/>
  <c r="AW45" i="12"/>
  <c r="AW45" i="17" s="1"/>
  <c r="AW45" i="19" s="1"/>
  <c r="AW45" i="18" s="1"/>
  <c r="AW45" i="11" s="1"/>
  <c r="AW45" i="13" s="1"/>
  <c r="AW44" i="12"/>
  <c r="AW44" i="17" s="1"/>
  <c r="AW44" i="19" s="1"/>
  <c r="AW44" i="18" s="1"/>
  <c r="AW44" i="11" s="1"/>
  <c r="AW44" i="13" s="1"/>
  <c r="AW43" i="12"/>
  <c r="AW43" i="17" s="1"/>
  <c r="AW43" i="19" s="1"/>
  <c r="AW43" i="18" s="1"/>
  <c r="AW43" i="11" s="1"/>
  <c r="AW43" i="13" s="1"/>
  <c r="AW42" i="12"/>
  <c r="AW42" i="17" s="1"/>
  <c r="AW42" i="19" s="1"/>
  <c r="AW42" i="18" s="1"/>
  <c r="AW42" i="11" s="1"/>
  <c r="AW42" i="13" s="1"/>
  <c r="AW41" i="12"/>
  <c r="AW41" i="17" s="1"/>
  <c r="AW41" i="19" s="1"/>
  <c r="AW41" i="18" s="1"/>
  <c r="AW41" i="11" s="1"/>
  <c r="AW41" i="13" s="1"/>
  <c r="AW40" i="12"/>
  <c r="AW40" i="17" s="1"/>
  <c r="AW40" i="19" s="1"/>
  <c r="AW40" i="18" s="1"/>
  <c r="AW40" i="11" s="1"/>
  <c r="AW40" i="13" s="1"/>
  <c r="AW39" i="12"/>
  <c r="AW39" i="17" s="1"/>
  <c r="AW39" i="19" s="1"/>
  <c r="AW39" i="18" s="1"/>
  <c r="AW39" i="11" s="1"/>
  <c r="AW39" i="13" s="1"/>
  <c r="AU58" i="12"/>
  <c r="AU58" i="17" s="1"/>
  <c r="AU58" i="19" s="1"/>
  <c r="AU58" i="18" s="1"/>
  <c r="AU58" i="11" s="1"/>
  <c r="AU58" i="13" s="1"/>
  <c r="AU57" i="12"/>
  <c r="AU57" i="17" s="1"/>
  <c r="AU57" i="19" s="1"/>
  <c r="AU57" i="18" s="1"/>
  <c r="AU57" i="11" s="1"/>
  <c r="AU57" i="13" s="1"/>
  <c r="AU56" i="12"/>
  <c r="AU56" i="17" s="1"/>
  <c r="AU56" i="19" s="1"/>
  <c r="AU56" i="18" s="1"/>
  <c r="AU56" i="11" s="1"/>
  <c r="AU56" i="13" s="1"/>
  <c r="AU55" i="12"/>
  <c r="AU55" i="17" s="1"/>
  <c r="AU55" i="19" s="1"/>
  <c r="AU55" i="18" s="1"/>
  <c r="AU55" i="11" s="1"/>
  <c r="AU55" i="13" s="1"/>
  <c r="AU54" i="12"/>
  <c r="AU54" i="17" s="1"/>
  <c r="AU54" i="19" s="1"/>
  <c r="AU54" i="18" s="1"/>
  <c r="AU54" i="11" s="1"/>
  <c r="AU54" i="13" s="1"/>
  <c r="AU53" i="12"/>
  <c r="AU53" i="17" s="1"/>
  <c r="AU53" i="19" s="1"/>
  <c r="AU53" i="18" s="1"/>
  <c r="AU53" i="11" s="1"/>
  <c r="AU53" i="13" s="1"/>
  <c r="AU52" i="12"/>
  <c r="AU52" i="17" s="1"/>
  <c r="AU52" i="19" s="1"/>
  <c r="AU52" i="18" s="1"/>
  <c r="AU52" i="11" s="1"/>
  <c r="AU52" i="13" s="1"/>
  <c r="AU51" i="12"/>
  <c r="AU51" i="17" s="1"/>
  <c r="AU51" i="19" s="1"/>
  <c r="AU51" i="18" s="1"/>
  <c r="AU51" i="11" s="1"/>
  <c r="AU51" i="13" s="1"/>
  <c r="AU50" i="12"/>
  <c r="AU50" i="17" s="1"/>
  <c r="AU50" i="19" s="1"/>
  <c r="AU50" i="18" s="1"/>
  <c r="AU50" i="11" s="1"/>
  <c r="AU50" i="13" s="1"/>
  <c r="AU49" i="12"/>
  <c r="AU49" i="17" s="1"/>
  <c r="AU49" i="19" s="1"/>
  <c r="AU49" i="18" s="1"/>
  <c r="AU49" i="11" s="1"/>
  <c r="AU49" i="13" s="1"/>
  <c r="AU48" i="12"/>
  <c r="AU48" i="17" s="1"/>
  <c r="AU48" i="19" s="1"/>
  <c r="AU48" i="18" s="1"/>
  <c r="AU48" i="11" s="1"/>
  <c r="AU48" i="13" s="1"/>
  <c r="AU47" i="12"/>
  <c r="AU47" i="17" s="1"/>
  <c r="AU47" i="19" s="1"/>
  <c r="AU47" i="18" s="1"/>
  <c r="AU47" i="11" s="1"/>
  <c r="AU47" i="13" s="1"/>
  <c r="AU46" i="12"/>
  <c r="AU46" i="17" s="1"/>
  <c r="AU46" i="19" s="1"/>
  <c r="AU46" i="18" s="1"/>
  <c r="AU46" i="11" s="1"/>
  <c r="AU46" i="13" s="1"/>
  <c r="AU45" i="12"/>
  <c r="AU45" i="17" s="1"/>
  <c r="AU45" i="19" s="1"/>
  <c r="AU45" i="18" s="1"/>
  <c r="AU45" i="11" s="1"/>
  <c r="AU45" i="13" s="1"/>
  <c r="AU44" i="12"/>
  <c r="AU44" i="17" s="1"/>
  <c r="AU44" i="19" s="1"/>
  <c r="AU44" i="18" s="1"/>
  <c r="AU44" i="11" s="1"/>
  <c r="AU44" i="13" s="1"/>
  <c r="AU43" i="12"/>
  <c r="AU43" i="17" s="1"/>
  <c r="AU43" i="19" s="1"/>
  <c r="AU43" i="18" s="1"/>
  <c r="AU43" i="11" s="1"/>
  <c r="AU43" i="13" s="1"/>
  <c r="AU42" i="12"/>
  <c r="AU42" i="17" s="1"/>
  <c r="AU42" i="19" s="1"/>
  <c r="AU42" i="18" s="1"/>
  <c r="AU42" i="11" s="1"/>
  <c r="AU42" i="13" s="1"/>
  <c r="AU41" i="12"/>
  <c r="AU41" i="17" s="1"/>
  <c r="AU41" i="19" s="1"/>
  <c r="AU41" i="18" s="1"/>
  <c r="AU41" i="11" s="1"/>
  <c r="AU41" i="13" s="1"/>
  <c r="AU40" i="12"/>
  <c r="AU40" i="17" s="1"/>
  <c r="AU40" i="19" s="1"/>
  <c r="AU40" i="18" s="1"/>
  <c r="AU40" i="11" s="1"/>
  <c r="AU40" i="13" s="1"/>
  <c r="AU39" i="12"/>
  <c r="AU39" i="17" s="1"/>
  <c r="AU39" i="19" s="1"/>
  <c r="AU39" i="18" s="1"/>
  <c r="AU39" i="11" s="1"/>
  <c r="AU39" i="13" s="1"/>
  <c r="AS58" i="12"/>
  <c r="AS58" i="17" s="1"/>
  <c r="AS58" i="19" s="1"/>
  <c r="AS58" i="18" s="1"/>
  <c r="AS58" i="11" s="1"/>
  <c r="AS58" i="13" s="1"/>
  <c r="AS57" i="12"/>
  <c r="AS57" i="17" s="1"/>
  <c r="AS57" i="19" s="1"/>
  <c r="AS57" i="18" s="1"/>
  <c r="AS57" i="11" s="1"/>
  <c r="AS57" i="13" s="1"/>
  <c r="AS56" i="12"/>
  <c r="AS56" i="17" s="1"/>
  <c r="AS56" i="19" s="1"/>
  <c r="AS56" i="18" s="1"/>
  <c r="AS56" i="11" s="1"/>
  <c r="AS56" i="13" s="1"/>
  <c r="AS55" i="12"/>
  <c r="AS55" i="17" s="1"/>
  <c r="AS55" i="19" s="1"/>
  <c r="AS55" i="18" s="1"/>
  <c r="AS55" i="11" s="1"/>
  <c r="AS55" i="13" s="1"/>
  <c r="AS54" i="12"/>
  <c r="AS54" i="17" s="1"/>
  <c r="AS54" i="19" s="1"/>
  <c r="AS54" i="18" s="1"/>
  <c r="AS54" i="11" s="1"/>
  <c r="AS54" i="13" s="1"/>
  <c r="AS53" i="12"/>
  <c r="AS53" i="17" s="1"/>
  <c r="AS53" i="19" s="1"/>
  <c r="AS53" i="18" s="1"/>
  <c r="AS53" i="11" s="1"/>
  <c r="AS53" i="13" s="1"/>
  <c r="AS52" i="12"/>
  <c r="AS52" i="17" s="1"/>
  <c r="AS52" i="19" s="1"/>
  <c r="AS52" i="18" s="1"/>
  <c r="AS52" i="11" s="1"/>
  <c r="AS52" i="13" s="1"/>
  <c r="AS51" i="12"/>
  <c r="AS51" i="17" s="1"/>
  <c r="AS51" i="19" s="1"/>
  <c r="AS51" i="18" s="1"/>
  <c r="AS51" i="11" s="1"/>
  <c r="AS51" i="13" s="1"/>
  <c r="AS50" i="12"/>
  <c r="AS50" i="17" s="1"/>
  <c r="AS50" i="19" s="1"/>
  <c r="AS50" i="18" s="1"/>
  <c r="AS50" i="11" s="1"/>
  <c r="AS50" i="13" s="1"/>
  <c r="AS49" i="12"/>
  <c r="AS49" i="17" s="1"/>
  <c r="AS49" i="19" s="1"/>
  <c r="AS49" i="18" s="1"/>
  <c r="AS49" i="11" s="1"/>
  <c r="AS49" i="13" s="1"/>
  <c r="AS48" i="12"/>
  <c r="AS48" i="17" s="1"/>
  <c r="AS48" i="19" s="1"/>
  <c r="AS48" i="18" s="1"/>
  <c r="AS48" i="11" s="1"/>
  <c r="AS48" i="13" s="1"/>
  <c r="AS47" i="12"/>
  <c r="AS47" i="17" s="1"/>
  <c r="AS47" i="19" s="1"/>
  <c r="AS47" i="18" s="1"/>
  <c r="AS47" i="11" s="1"/>
  <c r="AS47" i="13" s="1"/>
  <c r="AS46" i="12"/>
  <c r="AS46" i="17" s="1"/>
  <c r="AS46" i="19" s="1"/>
  <c r="AS46" i="18" s="1"/>
  <c r="AS46" i="11" s="1"/>
  <c r="AS46" i="13" s="1"/>
  <c r="AS45" i="12"/>
  <c r="AS45" i="17" s="1"/>
  <c r="AS45" i="19" s="1"/>
  <c r="AS45" i="18" s="1"/>
  <c r="AS45" i="11" s="1"/>
  <c r="AS45" i="13" s="1"/>
  <c r="AS44" i="12"/>
  <c r="AS44" i="17" s="1"/>
  <c r="AS44" i="19" s="1"/>
  <c r="AS44" i="18" s="1"/>
  <c r="AS44" i="11" s="1"/>
  <c r="AS44" i="13" s="1"/>
  <c r="AS43" i="12"/>
  <c r="AS43" i="17" s="1"/>
  <c r="AS43" i="19" s="1"/>
  <c r="AS43" i="18" s="1"/>
  <c r="AS43" i="11" s="1"/>
  <c r="AS43" i="13" s="1"/>
  <c r="AS42" i="12"/>
  <c r="AS42" i="17" s="1"/>
  <c r="AS42" i="19" s="1"/>
  <c r="AS42" i="18" s="1"/>
  <c r="AS42" i="11" s="1"/>
  <c r="AS42" i="13" s="1"/>
  <c r="AS41" i="12"/>
  <c r="AS41" i="17" s="1"/>
  <c r="AS41" i="19" s="1"/>
  <c r="AS41" i="18" s="1"/>
  <c r="AS41" i="11" s="1"/>
  <c r="AS41" i="13" s="1"/>
  <c r="AS40" i="12"/>
  <c r="AS40" i="17" s="1"/>
  <c r="AS40" i="19" s="1"/>
  <c r="AS40" i="18" s="1"/>
  <c r="AS40" i="11" s="1"/>
  <c r="AS40" i="13" s="1"/>
  <c r="AS39" i="12"/>
  <c r="AS39" i="17" s="1"/>
  <c r="AS39" i="19" s="1"/>
  <c r="AS39" i="18" s="1"/>
  <c r="AS39" i="11" s="1"/>
  <c r="AS39" i="13" s="1"/>
  <c r="AQ58" i="12"/>
  <c r="AQ58" i="17" s="1"/>
  <c r="AQ58" i="19" s="1"/>
  <c r="AQ58" i="18" s="1"/>
  <c r="AQ58" i="11" s="1"/>
  <c r="AQ58" i="13" s="1"/>
  <c r="AQ57" i="12"/>
  <c r="AQ57" i="17" s="1"/>
  <c r="AQ57" i="19" s="1"/>
  <c r="AQ57" i="18" s="1"/>
  <c r="AQ57" i="11" s="1"/>
  <c r="AQ57" i="13" s="1"/>
  <c r="AQ56" i="12"/>
  <c r="AQ56" i="17" s="1"/>
  <c r="AQ56" i="19" s="1"/>
  <c r="AQ56" i="18" s="1"/>
  <c r="AQ56" i="11" s="1"/>
  <c r="AQ56" i="13" s="1"/>
  <c r="AQ55" i="12"/>
  <c r="AQ55" i="17" s="1"/>
  <c r="AQ55" i="19" s="1"/>
  <c r="AQ55" i="18" s="1"/>
  <c r="AQ55" i="11" s="1"/>
  <c r="AQ55" i="13" s="1"/>
  <c r="AQ54" i="12"/>
  <c r="AQ54" i="17" s="1"/>
  <c r="AQ54" i="19" s="1"/>
  <c r="AQ54" i="18" s="1"/>
  <c r="AQ54" i="11" s="1"/>
  <c r="AQ54" i="13" s="1"/>
  <c r="AQ53" i="12"/>
  <c r="AQ53" i="17" s="1"/>
  <c r="AQ53" i="19" s="1"/>
  <c r="AQ53" i="18" s="1"/>
  <c r="AQ53" i="11" s="1"/>
  <c r="AQ53" i="13" s="1"/>
  <c r="AQ52" i="12"/>
  <c r="AQ52" i="17" s="1"/>
  <c r="AQ52" i="19" s="1"/>
  <c r="AQ52" i="18" s="1"/>
  <c r="AQ52" i="11" s="1"/>
  <c r="AQ52" i="13" s="1"/>
  <c r="AQ51" i="12"/>
  <c r="AQ51" i="17" s="1"/>
  <c r="AQ51" i="19" s="1"/>
  <c r="AQ51" i="18" s="1"/>
  <c r="AQ51" i="11" s="1"/>
  <c r="AQ51" i="13" s="1"/>
  <c r="AQ50" i="12"/>
  <c r="AQ50" i="17" s="1"/>
  <c r="AQ50" i="19" s="1"/>
  <c r="AQ50" i="18" s="1"/>
  <c r="AQ50" i="11" s="1"/>
  <c r="AQ50" i="13" s="1"/>
  <c r="AQ49" i="12"/>
  <c r="AQ49" i="17" s="1"/>
  <c r="AQ49" i="19" s="1"/>
  <c r="AQ49" i="18" s="1"/>
  <c r="AQ49" i="11" s="1"/>
  <c r="AQ49" i="13" s="1"/>
  <c r="AQ48" i="12"/>
  <c r="AQ48" i="17" s="1"/>
  <c r="AQ48" i="19" s="1"/>
  <c r="AQ48" i="18" s="1"/>
  <c r="AQ48" i="11" s="1"/>
  <c r="AQ48" i="13" s="1"/>
  <c r="AQ47" i="12"/>
  <c r="AQ47" i="17" s="1"/>
  <c r="AQ47" i="19" s="1"/>
  <c r="AQ47" i="18" s="1"/>
  <c r="AQ47" i="11" s="1"/>
  <c r="AQ47" i="13" s="1"/>
  <c r="AQ46" i="12"/>
  <c r="AQ46" i="17" s="1"/>
  <c r="AQ46" i="19" s="1"/>
  <c r="AQ46" i="18" s="1"/>
  <c r="AQ46" i="11" s="1"/>
  <c r="AQ46" i="13" s="1"/>
  <c r="AQ45" i="12"/>
  <c r="AQ45" i="17" s="1"/>
  <c r="AQ45" i="19" s="1"/>
  <c r="AQ45" i="18" s="1"/>
  <c r="AQ45" i="11" s="1"/>
  <c r="AQ45" i="13" s="1"/>
  <c r="AQ44" i="12"/>
  <c r="AQ44" i="17" s="1"/>
  <c r="AQ44" i="19" s="1"/>
  <c r="AQ44" i="18" s="1"/>
  <c r="AQ44" i="11" s="1"/>
  <c r="AQ44" i="13" s="1"/>
  <c r="AQ43" i="12"/>
  <c r="AQ43" i="17" s="1"/>
  <c r="AQ43" i="19" s="1"/>
  <c r="AQ43" i="18" s="1"/>
  <c r="AQ43" i="11" s="1"/>
  <c r="AQ43" i="13" s="1"/>
  <c r="AQ42" i="12"/>
  <c r="AQ42" i="17" s="1"/>
  <c r="AQ42" i="19" s="1"/>
  <c r="AQ42" i="18" s="1"/>
  <c r="AQ42" i="11" s="1"/>
  <c r="AQ42" i="13" s="1"/>
  <c r="AQ41" i="12"/>
  <c r="AQ41" i="17" s="1"/>
  <c r="AQ41" i="19" s="1"/>
  <c r="AQ41" i="18" s="1"/>
  <c r="AQ41" i="11" s="1"/>
  <c r="AQ41" i="13" s="1"/>
  <c r="AQ40" i="12"/>
  <c r="AQ40" i="17" s="1"/>
  <c r="AQ40" i="19" s="1"/>
  <c r="AQ40" i="18" s="1"/>
  <c r="AQ40" i="11" s="1"/>
  <c r="AQ40" i="13" s="1"/>
  <c r="AQ39" i="12"/>
  <c r="AQ39" i="17" s="1"/>
  <c r="AQ39" i="19" s="1"/>
  <c r="AQ39" i="18" s="1"/>
  <c r="AQ39" i="11" s="1"/>
  <c r="AQ39" i="13" s="1"/>
  <c r="AO58" i="12"/>
  <c r="AO58" i="17" s="1"/>
  <c r="AO58" i="19" s="1"/>
  <c r="AO58" i="18" s="1"/>
  <c r="AO58" i="11" s="1"/>
  <c r="AO58" i="13" s="1"/>
  <c r="AO57" i="12"/>
  <c r="AO57" i="17" s="1"/>
  <c r="AO57" i="19" s="1"/>
  <c r="AO57" i="18" s="1"/>
  <c r="AO57" i="11" s="1"/>
  <c r="AO57" i="13" s="1"/>
  <c r="AO56" i="12"/>
  <c r="AO56" i="17" s="1"/>
  <c r="AO56" i="19" s="1"/>
  <c r="AO56" i="18" s="1"/>
  <c r="AO56" i="11" s="1"/>
  <c r="AO56" i="13" s="1"/>
  <c r="AO55" i="12"/>
  <c r="AO55" i="17" s="1"/>
  <c r="AO55" i="19" s="1"/>
  <c r="AO55" i="18" s="1"/>
  <c r="AO55" i="11" s="1"/>
  <c r="AO55" i="13" s="1"/>
  <c r="AO54" i="12"/>
  <c r="AO54" i="17" s="1"/>
  <c r="AO54" i="19" s="1"/>
  <c r="AO54" i="18" s="1"/>
  <c r="AO54" i="11" s="1"/>
  <c r="AO54" i="13" s="1"/>
  <c r="AO53" i="12"/>
  <c r="AO53" i="17" s="1"/>
  <c r="AO53" i="19" s="1"/>
  <c r="AO53" i="18" s="1"/>
  <c r="AO53" i="11" s="1"/>
  <c r="AO53" i="13" s="1"/>
  <c r="AO52" i="12"/>
  <c r="AO52" i="17" s="1"/>
  <c r="AO52" i="19" s="1"/>
  <c r="AO52" i="18" s="1"/>
  <c r="AO52" i="11" s="1"/>
  <c r="AO52" i="13" s="1"/>
  <c r="AO51" i="12"/>
  <c r="AO51" i="17" s="1"/>
  <c r="AO51" i="19" s="1"/>
  <c r="AO51" i="18" s="1"/>
  <c r="AO51" i="11" s="1"/>
  <c r="AO51" i="13" s="1"/>
  <c r="AO50" i="12"/>
  <c r="AO50" i="17" s="1"/>
  <c r="AO50" i="19" s="1"/>
  <c r="AO50" i="18" s="1"/>
  <c r="AO50" i="11" s="1"/>
  <c r="AO50" i="13" s="1"/>
  <c r="AO49" i="12"/>
  <c r="AO49" i="17" s="1"/>
  <c r="AO49" i="19" s="1"/>
  <c r="AO49" i="18" s="1"/>
  <c r="AO49" i="11" s="1"/>
  <c r="AO49" i="13" s="1"/>
  <c r="AO48" i="12"/>
  <c r="AO48" i="17" s="1"/>
  <c r="AO48" i="19" s="1"/>
  <c r="AO48" i="18" s="1"/>
  <c r="AO48" i="11" s="1"/>
  <c r="AO48" i="13" s="1"/>
  <c r="AO47" i="12"/>
  <c r="AO47" i="17" s="1"/>
  <c r="AO47" i="19" s="1"/>
  <c r="AO47" i="18" s="1"/>
  <c r="AO47" i="11" s="1"/>
  <c r="AO47" i="13" s="1"/>
  <c r="AO46" i="12"/>
  <c r="AO46" i="17" s="1"/>
  <c r="AO46" i="19" s="1"/>
  <c r="AO46" i="18" s="1"/>
  <c r="AO46" i="11" s="1"/>
  <c r="AO46" i="13" s="1"/>
  <c r="AO45" i="12"/>
  <c r="AO45" i="17" s="1"/>
  <c r="AO45" i="19" s="1"/>
  <c r="AO45" i="18" s="1"/>
  <c r="AO45" i="11" s="1"/>
  <c r="AO45" i="13" s="1"/>
  <c r="AO44" i="12"/>
  <c r="AO44" i="17" s="1"/>
  <c r="AO44" i="19" s="1"/>
  <c r="AO44" i="18" s="1"/>
  <c r="AO44" i="11" s="1"/>
  <c r="AO44" i="13" s="1"/>
  <c r="AO43" i="12"/>
  <c r="AO43" i="17" s="1"/>
  <c r="AO43" i="19" s="1"/>
  <c r="AO43" i="18" s="1"/>
  <c r="AO43" i="11" s="1"/>
  <c r="AO43" i="13" s="1"/>
  <c r="AO42" i="12"/>
  <c r="AO42" i="17" s="1"/>
  <c r="AO42" i="19" s="1"/>
  <c r="AO42" i="18" s="1"/>
  <c r="AO42" i="11" s="1"/>
  <c r="AO42" i="13" s="1"/>
  <c r="AO41" i="12"/>
  <c r="AO41" i="17" s="1"/>
  <c r="AO41" i="19" s="1"/>
  <c r="AO41" i="18" s="1"/>
  <c r="AO41" i="11" s="1"/>
  <c r="AO41" i="13" s="1"/>
  <c r="AO40" i="12"/>
  <c r="AO40" i="17" s="1"/>
  <c r="AO40" i="19" s="1"/>
  <c r="AO40" i="18" s="1"/>
  <c r="AO40" i="11" s="1"/>
  <c r="AO40" i="13" s="1"/>
  <c r="AO39" i="12"/>
  <c r="AO39" i="17" s="1"/>
  <c r="AO39" i="19" s="1"/>
  <c r="AO39" i="18" s="1"/>
  <c r="AO39" i="11" s="1"/>
  <c r="AO39" i="13" s="1"/>
  <c r="AM58" i="12"/>
  <c r="AM58" i="17" s="1"/>
  <c r="AM58" i="19" s="1"/>
  <c r="AM58" i="18" s="1"/>
  <c r="AM58" i="11" s="1"/>
  <c r="AM58" i="13" s="1"/>
  <c r="AM57" i="12"/>
  <c r="AM57" i="17" s="1"/>
  <c r="AM57" i="19" s="1"/>
  <c r="AM57" i="18" s="1"/>
  <c r="AM57" i="11" s="1"/>
  <c r="AM57" i="13" s="1"/>
  <c r="AM56" i="12"/>
  <c r="AM56" i="17" s="1"/>
  <c r="AM56" i="19" s="1"/>
  <c r="AM56" i="18" s="1"/>
  <c r="AM56" i="11" s="1"/>
  <c r="AM56" i="13" s="1"/>
  <c r="AM55" i="12"/>
  <c r="AM55" i="17" s="1"/>
  <c r="AM55" i="19" s="1"/>
  <c r="AM55" i="18" s="1"/>
  <c r="AM55" i="11" s="1"/>
  <c r="AM55" i="13" s="1"/>
  <c r="AM54" i="12"/>
  <c r="AM54" i="17" s="1"/>
  <c r="AM54" i="19" s="1"/>
  <c r="AM54" i="18" s="1"/>
  <c r="AM54" i="11" s="1"/>
  <c r="AM54" i="13" s="1"/>
  <c r="AM53" i="12"/>
  <c r="AM53" i="17" s="1"/>
  <c r="AM53" i="19" s="1"/>
  <c r="AM53" i="18" s="1"/>
  <c r="AM53" i="11" s="1"/>
  <c r="AM53" i="13" s="1"/>
  <c r="AM52" i="12"/>
  <c r="AM52" i="17" s="1"/>
  <c r="AM52" i="19" s="1"/>
  <c r="AM52" i="18" s="1"/>
  <c r="AM52" i="11" s="1"/>
  <c r="AM52" i="13" s="1"/>
  <c r="AM51" i="12"/>
  <c r="AM51" i="17" s="1"/>
  <c r="AM51" i="19" s="1"/>
  <c r="AM51" i="18" s="1"/>
  <c r="AM51" i="11" s="1"/>
  <c r="AM51" i="13" s="1"/>
  <c r="AM50" i="12"/>
  <c r="AM50" i="17" s="1"/>
  <c r="AM50" i="19" s="1"/>
  <c r="AM50" i="18" s="1"/>
  <c r="AM50" i="11" s="1"/>
  <c r="AM50" i="13" s="1"/>
  <c r="AM49" i="12"/>
  <c r="AM49" i="17" s="1"/>
  <c r="AM49" i="19" s="1"/>
  <c r="AM49" i="18" s="1"/>
  <c r="AM49" i="11" s="1"/>
  <c r="AM49" i="13" s="1"/>
  <c r="AM48" i="12"/>
  <c r="AM48" i="17" s="1"/>
  <c r="AM48" i="19" s="1"/>
  <c r="AM48" i="18" s="1"/>
  <c r="AM48" i="11" s="1"/>
  <c r="AM48" i="13" s="1"/>
  <c r="AM47" i="12"/>
  <c r="AM47" i="17" s="1"/>
  <c r="AM47" i="19" s="1"/>
  <c r="AM47" i="18" s="1"/>
  <c r="AM47" i="11" s="1"/>
  <c r="AM47" i="13" s="1"/>
  <c r="AM46" i="12"/>
  <c r="AM46" i="17" s="1"/>
  <c r="AM46" i="19" s="1"/>
  <c r="AM46" i="18" s="1"/>
  <c r="AM46" i="11" s="1"/>
  <c r="AM46" i="13" s="1"/>
  <c r="AM45" i="12"/>
  <c r="AM45" i="17" s="1"/>
  <c r="AM45" i="19" s="1"/>
  <c r="AM45" i="18" s="1"/>
  <c r="AM45" i="11" s="1"/>
  <c r="AM45" i="13" s="1"/>
  <c r="AM44" i="12"/>
  <c r="AM44" i="17" s="1"/>
  <c r="AM44" i="19" s="1"/>
  <c r="AM44" i="18" s="1"/>
  <c r="AM44" i="11" s="1"/>
  <c r="AM44" i="13" s="1"/>
  <c r="AM43" i="12"/>
  <c r="AM43" i="17" s="1"/>
  <c r="AM43" i="19" s="1"/>
  <c r="AM43" i="18" s="1"/>
  <c r="AM43" i="11" s="1"/>
  <c r="AM43" i="13" s="1"/>
  <c r="AM42" i="12"/>
  <c r="AM42" i="17" s="1"/>
  <c r="AM42" i="19" s="1"/>
  <c r="AM42" i="18" s="1"/>
  <c r="AM42" i="11" s="1"/>
  <c r="AM42" i="13" s="1"/>
  <c r="AM41" i="12"/>
  <c r="AM41" i="17" s="1"/>
  <c r="AM41" i="19" s="1"/>
  <c r="AM41" i="18" s="1"/>
  <c r="AM41" i="11" s="1"/>
  <c r="AM41" i="13" s="1"/>
  <c r="AM40" i="12"/>
  <c r="AM40" i="17" s="1"/>
  <c r="AM40" i="19" s="1"/>
  <c r="AM40" i="18" s="1"/>
  <c r="AM40" i="11" s="1"/>
  <c r="AM40" i="13" s="1"/>
  <c r="AM39" i="12"/>
  <c r="AM39" i="17" s="1"/>
  <c r="AM39" i="19" s="1"/>
  <c r="AM39" i="18" s="1"/>
  <c r="AM39" i="11" s="1"/>
  <c r="AM39" i="13" s="1"/>
  <c r="AK58" i="12"/>
  <c r="AK58" i="17" s="1"/>
  <c r="AK58" i="19" s="1"/>
  <c r="AK58" i="18" s="1"/>
  <c r="AK58" i="11" s="1"/>
  <c r="AK58" i="13" s="1"/>
  <c r="AK57" i="12"/>
  <c r="AK57" i="17" s="1"/>
  <c r="AK57" i="19" s="1"/>
  <c r="AK57" i="18" s="1"/>
  <c r="AK57" i="11" s="1"/>
  <c r="AK57" i="13" s="1"/>
  <c r="AK56" i="12"/>
  <c r="AK56" i="17" s="1"/>
  <c r="AK56" i="19" s="1"/>
  <c r="AK56" i="18" s="1"/>
  <c r="AK56" i="11" s="1"/>
  <c r="AK56" i="13" s="1"/>
  <c r="AK55" i="12"/>
  <c r="AK55" i="17" s="1"/>
  <c r="AK55" i="19" s="1"/>
  <c r="AK55" i="18" s="1"/>
  <c r="AK55" i="11" s="1"/>
  <c r="AK55" i="13" s="1"/>
  <c r="AK54" i="12"/>
  <c r="AK54" i="17" s="1"/>
  <c r="AK54" i="19" s="1"/>
  <c r="AK54" i="18" s="1"/>
  <c r="AK54" i="11" s="1"/>
  <c r="AK54" i="13" s="1"/>
  <c r="AK53" i="12"/>
  <c r="AK53" i="17" s="1"/>
  <c r="AK53" i="19" s="1"/>
  <c r="AK53" i="18" s="1"/>
  <c r="AK53" i="11" s="1"/>
  <c r="AK53" i="13" s="1"/>
  <c r="AK52" i="12"/>
  <c r="AK52" i="17" s="1"/>
  <c r="AK52" i="19" s="1"/>
  <c r="AK52" i="18" s="1"/>
  <c r="AK52" i="11" s="1"/>
  <c r="AK52" i="13" s="1"/>
  <c r="AK51" i="12"/>
  <c r="AK51" i="17" s="1"/>
  <c r="AK51" i="19" s="1"/>
  <c r="AK51" i="18" s="1"/>
  <c r="AK51" i="11" s="1"/>
  <c r="AK51" i="13" s="1"/>
  <c r="AK50" i="12"/>
  <c r="AK50" i="17" s="1"/>
  <c r="AK50" i="19" s="1"/>
  <c r="AK50" i="18" s="1"/>
  <c r="AK50" i="11" s="1"/>
  <c r="AK50" i="13" s="1"/>
  <c r="AK49" i="12"/>
  <c r="AK49" i="17" s="1"/>
  <c r="AK49" i="19" s="1"/>
  <c r="AK49" i="18" s="1"/>
  <c r="AK49" i="11" s="1"/>
  <c r="AK49" i="13" s="1"/>
  <c r="AK48" i="12"/>
  <c r="AK48" i="17" s="1"/>
  <c r="AK48" i="19" s="1"/>
  <c r="AK48" i="18" s="1"/>
  <c r="AK48" i="11" s="1"/>
  <c r="AK48" i="13" s="1"/>
  <c r="AK47" i="12"/>
  <c r="AK47" i="17" s="1"/>
  <c r="AK47" i="19" s="1"/>
  <c r="AK47" i="18" s="1"/>
  <c r="AK47" i="11" s="1"/>
  <c r="AK47" i="13" s="1"/>
  <c r="AK46" i="12"/>
  <c r="AK46" i="17" s="1"/>
  <c r="AK46" i="19" s="1"/>
  <c r="AK46" i="18" s="1"/>
  <c r="AK46" i="11" s="1"/>
  <c r="AK46" i="13" s="1"/>
  <c r="AK45" i="12"/>
  <c r="AK45" i="17" s="1"/>
  <c r="AK45" i="19" s="1"/>
  <c r="AK45" i="18" s="1"/>
  <c r="AK45" i="11" s="1"/>
  <c r="AK45" i="13" s="1"/>
  <c r="AK44" i="12"/>
  <c r="AK44" i="17" s="1"/>
  <c r="AK44" i="19" s="1"/>
  <c r="AK44" i="18" s="1"/>
  <c r="AK44" i="11" s="1"/>
  <c r="AK44" i="13" s="1"/>
  <c r="AK43" i="12"/>
  <c r="AK43" i="17" s="1"/>
  <c r="AK43" i="19" s="1"/>
  <c r="AK43" i="18" s="1"/>
  <c r="AK43" i="11" s="1"/>
  <c r="AK43" i="13" s="1"/>
  <c r="AK42" i="12"/>
  <c r="AK42" i="17" s="1"/>
  <c r="AK42" i="19" s="1"/>
  <c r="AK42" i="18" s="1"/>
  <c r="AK42" i="11" s="1"/>
  <c r="AK42" i="13" s="1"/>
  <c r="AK41" i="12"/>
  <c r="AK41" i="17" s="1"/>
  <c r="AK41" i="19" s="1"/>
  <c r="AK41" i="18" s="1"/>
  <c r="AK41" i="11" s="1"/>
  <c r="AK41" i="13" s="1"/>
  <c r="AK40" i="12"/>
  <c r="AK40" i="17" s="1"/>
  <c r="AK40" i="19" s="1"/>
  <c r="AK40" i="18" s="1"/>
  <c r="AK40" i="11" s="1"/>
  <c r="AK40" i="13" s="1"/>
  <c r="AK39" i="12"/>
  <c r="AK39" i="17" s="1"/>
  <c r="AK39" i="19" s="1"/>
  <c r="AK39" i="18" s="1"/>
  <c r="AK39" i="11" s="1"/>
  <c r="AK39" i="13" s="1"/>
  <c r="AI58" i="12"/>
  <c r="AI58" i="17" s="1"/>
  <c r="AI58" i="19" s="1"/>
  <c r="AI58" i="18" s="1"/>
  <c r="AI58" i="11" s="1"/>
  <c r="AI58" i="13" s="1"/>
  <c r="AI57" i="12"/>
  <c r="AI57" i="17" s="1"/>
  <c r="AI57" i="19" s="1"/>
  <c r="AI57" i="18" s="1"/>
  <c r="AI57" i="11" s="1"/>
  <c r="AI57" i="13" s="1"/>
  <c r="AI56" i="12"/>
  <c r="AI56" i="17" s="1"/>
  <c r="AI56" i="19" s="1"/>
  <c r="AI56" i="18" s="1"/>
  <c r="AI56" i="11" s="1"/>
  <c r="AI56" i="13" s="1"/>
  <c r="AI55" i="12"/>
  <c r="AI55" i="17" s="1"/>
  <c r="AI55" i="19" s="1"/>
  <c r="AI55" i="18" s="1"/>
  <c r="AI55" i="11" s="1"/>
  <c r="AI55" i="13" s="1"/>
  <c r="AI54" i="12"/>
  <c r="AI54" i="17" s="1"/>
  <c r="AI54" i="19" s="1"/>
  <c r="AI54" i="18" s="1"/>
  <c r="AI54" i="11" s="1"/>
  <c r="AI54" i="13" s="1"/>
  <c r="AI53" i="12"/>
  <c r="AI53" i="17" s="1"/>
  <c r="AI53" i="19" s="1"/>
  <c r="AI53" i="18" s="1"/>
  <c r="AI53" i="11" s="1"/>
  <c r="AI53" i="13" s="1"/>
  <c r="AI52" i="12"/>
  <c r="AI52" i="17" s="1"/>
  <c r="AI52" i="19" s="1"/>
  <c r="AI52" i="18" s="1"/>
  <c r="AI52" i="11" s="1"/>
  <c r="AI52" i="13" s="1"/>
  <c r="AI51" i="12"/>
  <c r="AI51" i="17" s="1"/>
  <c r="AI51" i="19" s="1"/>
  <c r="AI51" i="18" s="1"/>
  <c r="AI51" i="11" s="1"/>
  <c r="AI51" i="13" s="1"/>
  <c r="AI50" i="12"/>
  <c r="AI50" i="17" s="1"/>
  <c r="AI50" i="19" s="1"/>
  <c r="AI50" i="18" s="1"/>
  <c r="AI50" i="11" s="1"/>
  <c r="AI50" i="13" s="1"/>
  <c r="AI49" i="12"/>
  <c r="AI49" i="17" s="1"/>
  <c r="AI49" i="19" s="1"/>
  <c r="AI49" i="18" s="1"/>
  <c r="AI49" i="11" s="1"/>
  <c r="AI49" i="13" s="1"/>
  <c r="AI48" i="12"/>
  <c r="AI48" i="17" s="1"/>
  <c r="AI48" i="19" s="1"/>
  <c r="AI48" i="18" s="1"/>
  <c r="AI48" i="11" s="1"/>
  <c r="AI48" i="13" s="1"/>
  <c r="AI47" i="12"/>
  <c r="AI47" i="17" s="1"/>
  <c r="AI47" i="19" s="1"/>
  <c r="AI47" i="18" s="1"/>
  <c r="AI47" i="11" s="1"/>
  <c r="AI47" i="13" s="1"/>
  <c r="AI46" i="12"/>
  <c r="AI46" i="17" s="1"/>
  <c r="AI46" i="19" s="1"/>
  <c r="AI46" i="18" s="1"/>
  <c r="AI46" i="11" s="1"/>
  <c r="AI46" i="13" s="1"/>
  <c r="AI45" i="12"/>
  <c r="AI45" i="17" s="1"/>
  <c r="AI45" i="19" s="1"/>
  <c r="AI45" i="18" s="1"/>
  <c r="AI45" i="11" s="1"/>
  <c r="AI45" i="13" s="1"/>
  <c r="AI44" i="12"/>
  <c r="AI44" i="17" s="1"/>
  <c r="AI44" i="19" s="1"/>
  <c r="AI44" i="18" s="1"/>
  <c r="AI44" i="11" s="1"/>
  <c r="AI44" i="13" s="1"/>
  <c r="AI43" i="12"/>
  <c r="AI43" i="17" s="1"/>
  <c r="AI43" i="19" s="1"/>
  <c r="AI43" i="18" s="1"/>
  <c r="AI43" i="11" s="1"/>
  <c r="AI43" i="13" s="1"/>
  <c r="AI42" i="12"/>
  <c r="AI42" i="17" s="1"/>
  <c r="AI42" i="19" s="1"/>
  <c r="AI42" i="18" s="1"/>
  <c r="AI42" i="11" s="1"/>
  <c r="AI42" i="13" s="1"/>
  <c r="AI41" i="12"/>
  <c r="AI41" i="17" s="1"/>
  <c r="AI41" i="19" s="1"/>
  <c r="AI41" i="18" s="1"/>
  <c r="AI41" i="11" s="1"/>
  <c r="AI41" i="13" s="1"/>
  <c r="AI40" i="12"/>
  <c r="AI40" i="17" s="1"/>
  <c r="AI40" i="19" s="1"/>
  <c r="AI40" i="18" s="1"/>
  <c r="AI40" i="11" s="1"/>
  <c r="AI40" i="13" s="1"/>
  <c r="AI39" i="12"/>
  <c r="AI39" i="17" s="1"/>
  <c r="AI39" i="19" s="1"/>
  <c r="AI39" i="18" s="1"/>
  <c r="AI39" i="11" s="1"/>
  <c r="AI39" i="13" s="1"/>
  <c r="AG58" i="12"/>
  <c r="AG58" i="17" s="1"/>
  <c r="AG58" i="19" s="1"/>
  <c r="AG58" i="18" s="1"/>
  <c r="AG58" i="11" s="1"/>
  <c r="AG58" i="13" s="1"/>
  <c r="AG57" i="12"/>
  <c r="AG57" i="17" s="1"/>
  <c r="AG57" i="19" s="1"/>
  <c r="AG57" i="18" s="1"/>
  <c r="AG57" i="11" s="1"/>
  <c r="AG57" i="13" s="1"/>
  <c r="AG56" i="12"/>
  <c r="AG56" i="17" s="1"/>
  <c r="AG56" i="19" s="1"/>
  <c r="AG56" i="18" s="1"/>
  <c r="AG56" i="11" s="1"/>
  <c r="AG56" i="13" s="1"/>
  <c r="AG55" i="12"/>
  <c r="AG55" i="17" s="1"/>
  <c r="AG55" i="19" s="1"/>
  <c r="AG55" i="18" s="1"/>
  <c r="AG55" i="11" s="1"/>
  <c r="AG55" i="13" s="1"/>
  <c r="AG54" i="12"/>
  <c r="AG54" i="17" s="1"/>
  <c r="AG54" i="19" s="1"/>
  <c r="AG54" i="18" s="1"/>
  <c r="AG54" i="11" s="1"/>
  <c r="AG54" i="13" s="1"/>
  <c r="AG53" i="12"/>
  <c r="AG53" i="17" s="1"/>
  <c r="AG53" i="19" s="1"/>
  <c r="AG53" i="18" s="1"/>
  <c r="AG53" i="11" s="1"/>
  <c r="AG53" i="13" s="1"/>
  <c r="AG52" i="12"/>
  <c r="AG52" i="17" s="1"/>
  <c r="AG52" i="19" s="1"/>
  <c r="AG52" i="18" s="1"/>
  <c r="AG52" i="11" s="1"/>
  <c r="AG52" i="13" s="1"/>
  <c r="AG51" i="12"/>
  <c r="AG51" i="17" s="1"/>
  <c r="AG51" i="19" s="1"/>
  <c r="AG51" i="18" s="1"/>
  <c r="AG51" i="11" s="1"/>
  <c r="AG51" i="13" s="1"/>
  <c r="AG50" i="12"/>
  <c r="AG50" i="17" s="1"/>
  <c r="AG50" i="19" s="1"/>
  <c r="AG50" i="18" s="1"/>
  <c r="AG50" i="11" s="1"/>
  <c r="AG50" i="13" s="1"/>
  <c r="AG49" i="12"/>
  <c r="AG49" i="17" s="1"/>
  <c r="AG49" i="19" s="1"/>
  <c r="AG49" i="18" s="1"/>
  <c r="AG49" i="11" s="1"/>
  <c r="AG49" i="13" s="1"/>
  <c r="AG48" i="12"/>
  <c r="AG48" i="17" s="1"/>
  <c r="AG48" i="19" s="1"/>
  <c r="AG48" i="18" s="1"/>
  <c r="AG48" i="11" s="1"/>
  <c r="AG48" i="13" s="1"/>
  <c r="AG47" i="12"/>
  <c r="AG47" i="17" s="1"/>
  <c r="AG47" i="19" s="1"/>
  <c r="AG47" i="18" s="1"/>
  <c r="AG47" i="11" s="1"/>
  <c r="AG47" i="13" s="1"/>
  <c r="AG46" i="12"/>
  <c r="AG46" i="17" s="1"/>
  <c r="AG46" i="19" s="1"/>
  <c r="AG46" i="18" s="1"/>
  <c r="AG46" i="11" s="1"/>
  <c r="AG46" i="13" s="1"/>
  <c r="AG45" i="12"/>
  <c r="AG45" i="17" s="1"/>
  <c r="AG45" i="19" s="1"/>
  <c r="AG45" i="18" s="1"/>
  <c r="AG45" i="11" s="1"/>
  <c r="AG45" i="13" s="1"/>
  <c r="AG44" i="12"/>
  <c r="AG44" i="17" s="1"/>
  <c r="AG44" i="19" s="1"/>
  <c r="AG44" i="18" s="1"/>
  <c r="AG44" i="11" s="1"/>
  <c r="AG44" i="13" s="1"/>
  <c r="AG43" i="12"/>
  <c r="AG43" i="17" s="1"/>
  <c r="AG43" i="19" s="1"/>
  <c r="AG43" i="18" s="1"/>
  <c r="AG43" i="11" s="1"/>
  <c r="AG43" i="13" s="1"/>
  <c r="AG42" i="12"/>
  <c r="AG42" i="17" s="1"/>
  <c r="AG42" i="19" s="1"/>
  <c r="AG42" i="18" s="1"/>
  <c r="AG42" i="11" s="1"/>
  <c r="AG42" i="13" s="1"/>
  <c r="AG41" i="12"/>
  <c r="AG41" i="17" s="1"/>
  <c r="AG41" i="19" s="1"/>
  <c r="AG41" i="18" s="1"/>
  <c r="AG41" i="11" s="1"/>
  <c r="AG41" i="13" s="1"/>
  <c r="AG40" i="12"/>
  <c r="AG40" i="17" s="1"/>
  <c r="AG40" i="19" s="1"/>
  <c r="AG40" i="18" s="1"/>
  <c r="AG40" i="11" s="1"/>
  <c r="AG40" i="13" s="1"/>
  <c r="AG39" i="12"/>
  <c r="AG39" i="17" s="1"/>
  <c r="AG39" i="19" s="1"/>
  <c r="AG39" i="18" s="1"/>
  <c r="AG39" i="11" s="1"/>
  <c r="AG39" i="13" s="1"/>
  <c r="AE58" i="12"/>
  <c r="AE58" i="17" s="1"/>
  <c r="AE58" i="19" s="1"/>
  <c r="AE58" i="18" s="1"/>
  <c r="AE58" i="11" s="1"/>
  <c r="AE58" i="13" s="1"/>
  <c r="AE57" i="12"/>
  <c r="AE57" i="17" s="1"/>
  <c r="AE57" i="19" s="1"/>
  <c r="AE57" i="18" s="1"/>
  <c r="AE57" i="11" s="1"/>
  <c r="AE57" i="13" s="1"/>
  <c r="AE56" i="12"/>
  <c r="AE56" i="17" s="1"/>
  <c r="AE56" i="19" s="1"/>
  <c r="AE56" i="18" s="1"/>
  <c r="AE56" i="11" s="1"/>
  <c r="AE56" i="13" s="1"/>
  <c r="AE55" i="12"/>
  <c r="AE55" i="17" s="1"/>
  <c r="AE55" i="19" s="1"/>
  <c r="AE55" i="18" s="1"/>
  <c r="AE55" i="11" s="1"/>
  <c r="AE55" i="13" s="1"/>
  <c r="AE54" i="12"/>
  <c r="AE54" i="17" s="1"/>
  <c r="AE54" i="19" s="1"/>
  <c r="AE54" i="18" s="1"/>
  <c r="AE54" i="11" s="1"/>
  <c r="AE54" i="13" s="1"/>
  <c r="AE53" i="12"/>
  <c r="AE53" i="17" s="1"/>
  <c r="AE53" i="19" s="1"/>
  <c r="AE53" i="18" s="1"/>
  <c r="AE53" i="11" s="1"/>
  <c r="AE53" i="13" s="1"/>
  <c r="AE52" i="12"/>
  <c r="AE52" i="17" s="1"/>
  <c r="AE52" i="19" s="1"/>
  <c r="AE52" i="18" s="1"/>
  <c r="AE52" i="11" s="1"/>
  <c r="AE52" i="13" s="1"/>
  <c r="AE51" i="12"/>
  <c r="AE51" i="17" s="1"/>
  <c r="AE51" i="19" s="1"/>
  <c r="AE51" i="18" s="1"/>
  <c r="AE51" i="11" s="1"/>
  <c r="AE51" i="13" s="1"/>
  <c r="AE50" i="12"/>
  <c r="AE50" i="17" s="1"/>
  <c r="AE50" i="19" s="1"/>
  <c r="AE50" i="18" s="1"/>
  <c r="AE50" i="11" s="1"/>
  <c r="AE50" i="13" s="1"/>
  <c r="AE49" i="12"/>
  <c r="AE49" i="17" s="1"/>
  <c r="AE49" i="19" s="1"/>
  <c r="AE49" i="18" s="1"/>
  <c r="AE49" i="11" s="1"/>
  <c r="AE49" i="13" s="1"/>
  <c r="AE48" i="12"/>
  <c r="AE48" i="17" s="1"/>
  <c r="AE48" i="19" s="1"/>
  <c r="AE48" i="18" s="1"/>
  <c r="AE48" i="11" s="1"/>
  <c r="AE48" i="13" s="1"/>
  <c r="AE47" i="12"/>
  <c r="AE47" i="17" s="1"/>
  <c r="AE47" i="19" s="1"/>
  <c r="AE47" i="18" s="1"/>
  <c r="AE47" i="11" s="1"/>
  <c r="AE47" i="13" s="1"/>
  <c r="AE46" i="12"/>
  <c r="AE46" i="17" s="1"/>
  <c r="AE46" i="19" s="1"/>
  <c r="AE46" i="18" s="1"/>
  <c r="AE46" i="11" s="1"/>
  <c r="AE46" i="13" s="1"/>
  <c r="AE45" i="12"/>
  <c r="AE45" i="17" s="1"/>
  <c r="AE45" i="19" s="1"/>
  <c r="AE45" i="18" s="1"/>
  <c r="AE45" i="11" s="1"/>
  <c r="AE45" i="13" s="1"/>
  <c r="AE44" i="12"/>
  <c r="AE44" i="17" s="1"/>
  <c r="AE44" i="19" s="1"/>
  <c r="AE44" i="18" s="1"/>
  <c r="AE44" i="11" s="1"/>
  <c r="AE44" i="13" s="1"/>
  <c r="AE43" i="12"/>
  <c r="AE43" i="17" s="1"/>
  <c r="AE43" i="19" s="1"/>
  <c r="AE43" i="18" s="1"/>
  <c r="AE43" i="11" s="1"/>
  <c r="AE43" i="13" s="1"/>
  <c r="AE42" i="12"/>
  <c r="AE42" i="17" s="1"/>
  <c r="AE42" i="19" s="1"/>
  <c r="AE42" i="18" s="1"/>
  <c r="AE42" i="11" s="1"/>
  <c r="AE42" i="13" s="1"/>
  <c r="AE41" i="12"/>
  <c r="AE41" i="17" s="1"/>
  <c r="AE41" i="19" s="1"/>
  <c r="AE41" i="18" s="1"/>
  <c r="AE41" i="11" s="1"/>
  <c r="AE41" i="13" s="1"/>
  <c r="AE40" i="12"/>
  <c r="AE40" i="17" s="1"/>
  <c r="AE40" i="19" s="1"/>
  <c r="AE40" i="18" s="1"/>
  <c r="AE40" i="11" s="1"/>
  <c r="AE40" i="13" s="1"/>
  <c r="AE39" i="12"/>
  <c r="AE39" i="17" s="1"/>
  <c r="AE39" i="19" s="1"/>
  <c r="AE39" i="18" s="1"/>
  <c r="AE39" i="11" s="1"/>
  <c r="AE39" i="13" s="1"/>
  <c r="AC58" i="12"/>
  <c r="AC58" i="17" s="1"/>
  <c r="AC58" i="19" s="1"/>
  <c r="AC58" i="18" s="1"/>
  <c r="AC58" i="11" s="1"/>
  <c r="AC58" i="13" s="1"/>
  <c r="AC57" i="12"/>
  <c r="AC57" i="17" s="1"/>
  <c r="AC57" i="19" s="1"/>
  <c r="AC57" i="18" s="1"/>
  <c r="AC57" i="11" s="1"/>
  <c r="AC57" i="13" s="1"/>
  <c r="AC56" i="12"/>
  <c r="AC56" i="17" s="1"/>
  <c r="AC56" i="19" s="1"/>
  <c r="AC56" i="18" s="1"/>
  <c r="AC56" i="11" s="1"/>
  <c r="AC56" i="13" s="1"/>
  <c r="AC55" i="12"/>
  <c r="AC55" i="17" s="1"/>
  <c r="AC55" i="19" s="1"/>
  <c r="AC55" i="18" s="1"/>
  <c r="AC55" i="11" s="1"/>
  <c r="AC55" i="13" s="1"/>
  <c r="AC54" i="12"/>
  <c r="AC54" i="17" s="1"/>
  <c r="AC54" i="19" s="1"/>
  <c r="AC54" i="18" s="1"/>
  <c r="AC54" i="11" s="1"/>
  <c r="AC54" i="13" s="1"/>
  <c r="AC53" i="12"/>
  <c r="AC53" i="17" s="1"/>
  <c r="AC53" i="19" s="1"/>
  <c r="AC53" i="18" s="1"/>
  <c r="AC53" i="11" s="1"/>
  <c r="AC53" i="13" s="1"/>
  <c r="AC52" i="12"/>
  <c r="AC52" i="17" s="1"/>
  <c r="AC52" i="19" s="1"/>
  <c r="AC52" i="18" s="1"/>
  <c r="AC52" i="11" s="1"/>
  <c r="AC52" i="13" s="1"/>
  <c r="AC51" i="12"/>
  <c r="AC51" i="17" s="1"/>
  <c r="AC51" i="19" s="1"/>
  <c r="AC51" i="18" s="1"/>
  <c r="AC51" i="11" s="1"/>
  <c r="AC51" i="13" s="1"/>
  <c r="AC50" i="12"/>
  <c r="AC50" i="17" s="1"/>
  <c r="AC50" i="19" s="1"/>
  <c r="AC50" i="18" s="1"/>
  <c r="AC50" i="11" s="1"/>
  <c r="AC50" i="13" s="1"/>
  <c r="AC49" i="12"/>
  <c r="AC49" i="17" s="1"/>
  <c r="AC49" i="19" s="1"/>
  <c r="AC49" i="18" s="1"/>
  <c r="AC49" i="11" s="1"/>
  <c r="AC49" i="13" s="1"/>
  <c r="AC48" i="12"/>
  <c r="AC48" i="17" s="1"/>
  <c r="AC48" i="19" s="1"/>
  <c r="AC48" i="18" s="1"/>
  <c r="AC48" i="11" s="1"/>
  <c r="AC48" i="13" s="1"/>
  <c r="AC47" i="12"/>
  <c r="AC47" i="17" s="1"/>
  <c r="AC47" i="19" s="1"/>
  <c r="AC47" i="18" s="1"/>
  <c r="AC47" i="11" s="1"/>
  <c r="AC47" i="13" s="1"/>
  <c r="AC46" i="12"/>
  <c r="AC46" i="17" s="1"/>
  <c r="AC46" i="19" s="1"/>
  <c r="AC46" i="18" s="1"/>
  <c r="AC46" i="11" s="1"/>
  <c r="AC46" i="13" s="1"/>
  <c r="AC45" i="12"/>
  <c r="AC45" i="17" s="1"/>
  <c r="AC45" i="19" s="1"/>
  <c r="AC45" i="18" s="1"/>
  <c r="AC45" i="11" s="1"/>
  <c r="AC45" i="13" s="1"/>
  <c r="AC44" i="12"/>
  <c r="AC44" i="17" s="1"/>
  <c r="AC44" i="19" s="1"/>
  <c r="AC44" i="18" s="1"/>
  <c r="AC44" i="11" s="1"/>
  <c r="AC44" i="13" s="1"/>
  <c r="AC43" i="12"/>
  <c r="AC43" i="17" s="1"/>
  <c r="AC43" i="19" s="1"/>
  <c r="AC43" i="18" s="1"/>
  <c r="AC43" i="11" s="1"/>
  <c r="AC43" i="13" s="1"/>
  <c r="AC42" i="12"/>
  <c r="AC42" i="17" s="1"/>
  <c r="AC42" i="19" s="1"/>
  <c r="AC42" i="18" s="1"/>
  <c r="AC42" i="11" s="1"/>
  <c r="AC42" i="13" s="1"/>
  <c r="AC41" i="12"/>
  <c r="AC41" i="17" s="1"/>
  <c r="AC41" i="19" s="1"/>
  <c r="AC41" i="18" s="1"/>
  <c r="AC41" i="11" s="1"/>
  <c r="AC41" i="13" s="1"/>
  <c r="AC40" i="12"/>
  <c r="AC40" i="17" s="1"/>
  <c r="AC40" i="19" s="1"/>
  <c r="AC40" i="18" s="1"/>
  <c r="AC40" i="11" s="1"/>
  <c r="AC40" i="13" s="1"/>
  <c r="AC39" i="12"/>
  <c r="AC39" i="17" s="1"/>
  <c r="AC39" i="19" s="1"/>
  <c r="AC39" i="18" s="1"/>
  <c r="AC39" i="11" s="1"/>
  <c r="AC39" i="13" s="1"/>
  <c r="AA58" i="12"/>
  <c r="AA58" i="17" s="1"/>
  <c r="AA58" i="19" s="1"/>
  <c r="AA58" i="18" s="1"/>
  <c r="AA58" i="11" s="1"/>
  <c r="AA58" i="13" s="1"/>
  <c r="AA57" i="12"/>
  <c r="AA57" i="17" s="1"/>
  <c r="AA57" i="19" s="1"/>
  <c r="AA57" i="18" s="1"/>
  <c r="AA57" i="11" s="1"/>
  <c r="AA57" i="13" s="1"/>
  <c r="AA56" i="12"/>
  <c r="AA56" i="17" s="1"/>
  <c r="AA56" i="19" s="1"/>
  <c r="AA56" i="18" s="1"/>
  <c r="AA56" i="11" s="1"/>
  <c r="AA56" i="13" s="1"/>
  <c r="AA55" i="12"/>
  <c r="AA55" i="17" s="1"/>
  <c r="AA55" i="19" s="1"/>
  <c r="AA55" i="18" s="1"/>
  <c r="AA55" i="11" s="1"/>
  <c r="AA55" i="13" s="1"/>
  <c r="AA54" i="12"/>
  <c r="AA54" i="17" s="1"/>
  <c r="AA54" i="19" s="1"/>
  <c r="AA54" i="18" s="1"/>
  <c r="AA54" i="11" s="1"/>
  <c r="AA54" i="13" s="1"/>
  <c r="AA53" i="12"/>
  <c r="AA53" i="17" s="1"/>
  <c r="AA53" i="19" s="1"/>
  <c r="AA53" i="18" s="1"/>
  <c r="AA53" i="11" s="1"/>
  <c r="AA53" i="13" s="1"/>
  <c r="AA52" i="12"/>
  <c r="AA52" i="17" s="1"/>
  <c r="AA52" i="19" s="1"/>
  <c r="AA52" i="18" s="1"/>
  <c r="AA52" i="11" s="1"/>
  <c r="AA52" i="13" s="1"/>
  <c r="AA51" i="12"/>
  <c r="AA51" i="17" s="1"/>
  <c r="AA51" i="19" s="1"/>
  <c r="AA51" i="18" s="1"/>
  <c r="AA51" i="11" s="1"/>
  <c r="AA51" i="13" s="1"/>
  <c r="AA50" i="12"/>
  <c r="AA50" i="17" s="1"/>
  <c r="AA50" i="19" s="1"/>
  <c r="AA50" i="18" s="1"/>
  <c r="AA50" i="11" s="1"/>
  <c r="AA50" i="13" s="1"/>
  <c r="AA49" i="12"/>
  <c r="AA49" i="17" s="1"/>
  <c r="AA49" i="19" s="1"/>
  <c r="AA49" i="18" s="1"/>
  <c r="AA49" i="11" s="1"/>
  <c r="AA49" i="13" s="1"/>
  <c r="AA48" i="12"/>
  <c r="AA48" i="17" s="1"/>
  <c r="AA48" i="19" s="1"/>
  <c r="AA48" i="18" s="1"/>
  <c r="AA48" i="11" s="1"/>
  <c r="AA48" i="13" s="1"/>
  <c r="AA47" i="12"/>
  <c r="AA47" i="17" s="1"/>
  <c r="AA47" i="19" s="1"/>
  <c r="AA47" i="18" s="1"/>
  <c r="AA47" i="11" s="1"/>
  <c r="AA47" i="13" s="1"/>
  <c r="AA46" i="12"/>
  <c r="AA46" i="17" s="1"/>
  <c r="AA46" i="19" s="1"/>
  <c r="AA46" i="18" s="1"/>
  <c r="AA46" i="11" s="1"/>
  <c r="AA46" i="13" s="1"/>
  <c r="AA45" i="12"/>
  <c r="AA45" i="17" s="1"/>
  <c r="AA45" i="19" s="1"/>
  <c r="AA45" i="18" s="1"/>
  <c r="AA45" i="11" s="1"/>
  <c r="AA45" i="13" s="1"/>
  <c r="AA44" i="12"/>
  <c r="AA44" i="17" s="1"/>
  <c r="AA44" i="19" s="1"/>
  <c r="AA44" i="18" s="1"/>
  <c r="AA44" i="11" s="1"/>
  <c r="AA44" i="13" s="1"/>
  <c r="AA43" i="12"/>
  <c r="AA43" i="17" s="1"/>
  <c r="AA43" i="19" s="1"/>
  <c r="AA43" i="18" s="1"/>
  <c r="AA43" i="11" s="1"/>
  <c r="AA43" i="13" s="1"/>
  <c r="AA42" i="12"/>
  <c r="AA42" i="17" s="1"/>
  <c r="AA42" i="19" s="1"/>
  <c r="AA42" i="18" s="1"/>
  <c r="AA42" i="11" s="1"/>
  <c r="AA42" i="13" s="1"/>
  <c r="AA41" i="12"/>
  <c r="AA41" i="17" s="1"/>
  <c r="AA41" i="19" s="1"/>
  <c r="AA41" i="18" s="1"/>
  <c r="AA41" i="11" s="1"/>
  <c r="AA41" i="13" s="1"/>
  <c r="AA40" i="12"/>
  <c r="AA40" i="17" s="1"/>
  <c r="AA40" i="19" s="1"/>
  <c r="AA40" i="18" s="1"/>
  <c r="AA40" i="11" s="1"/>
  <c r="AA40" i="13" s="1"/>
  <c r="AA39" i="12"/>
  <c r="AA39" i="17" s="1"/>
  <c r="AA39" i="19" s="1"/>
  <c r="AA39" i="18" s="1"/>
  <c r="AA39" i="11" s="1"/>
  <c r="AA39" i="13" s="1"/>
  <c r="Y58" i="12"/>
  <c r="Y58" i="17" s="1"/>
  <c r="Y58" i="19" s="1"/>
  <c r="Y58" i="18" s="1"/>
  <c r="Y58" i="11" s="1"/>
  <c r="Y58" i="13" s="1"/>
  <c r="Y57" i="12"/>
  <c r="Y57" i="17" s="1"/>
  <c r="Y57" i="19" s="1"/>
  <c r="Y57" i="18" s="1"/>
  <c r="Y57" i="11" s="1"/>
  <c r="Y57" i="13" s="1"/>
  <c r="Y56" i="12"/>
  <c r="Y56" i="17" s="1"/>
  <c r="Y56" i="19" s="1"/>
  <c r="Y56" i="18" s="1"/>
  <c r="Y56" i="11" s="1"/>
  <c r="Y56" i="13" s="1"/>
  <c r="Y55" i="12"/>
  <c r="Y55" i="17" s="1"/>
  <c r="Y55" i="19" s="1"/>
  <c r="Y55" i="18" s="1"/>
  <c r="Y55" i="11" s="1"/>
  <c r="Y55" i="13" s="1"/>
  <c r="Y54" i="12"/>
  <c r="Y54" i="17" s="1"/>
  <c r="Y54" i="19" s="1"/>
  <c r="Y54" i="18" s="1"/>
  <c r="Y54" i="11" s="1"/>
  <c r="Y54" i="13" s="1"/>
  <c r="Y53" i="12"/>
  <c r="Y53" i="17" s="1"/>
  <c r="Y53" i="19" s="1"/>
  <c r="Y53" i="18" s="1"/>
  <c r="Y53" i="11" s="1"/>
  <c r="Y53" i="13" s="1"/>
  <c r="Y52" i="12"/>
  <c r="Y52" i="17" s="1"/>
  <c r="Y52" i="19" s="1"/>
  <c r="Y52" i="18" s="1"/>
  <c r="Y52" i="11" s="1"/>
  <c r="Y52" i="13" s="1"/>
  <c r="Y51" i="12"/>
  <c r="Y51" i="17" s="1"/>
  <c r="Y51" i="19" s="1"/>
  <c r="Y51" i="18" s="1"/>
  <c r="Y51" i="11" s="1"/>
  <c r="Y51" i="13" s="1"/>
  <c r="Y50" i="12"/>
  <c r="Y50" i="17" s="1"/>
  <c r="Y50" i="19" s="1"/>
  <c r="Y50" i="18" s="1"/>
  <c r="Y50" i="11" s="1"/>
  <c r="Y50" i="13" s="1"/>
  <c r="Y49" i="12"/>
  <c r="Y49" i="17" s="1"/>
  <c r="Y49" i="19" s="1"/>
  <c r="Y49" i="18" s="1"/>
  <c r="Y49" i="11" s="1"/>
  <c r="Y49" i="13" s="1"/>
  <c r="Y48" i="12"/>
  <c r="Y48" i="17" s="1"/>
  <c r="Y48" i="19" s="1"/>
  <c r="Y48" i="18" s="1"/>
  <c r="Y48" i="11" s="1"/>
  <c r="Y48" i="13" s="1"/>
  <c r="Y47" i="12"/>
  <c r="Y47" i="17" s="1"/>
  <c r="Y47" i="19" s="1"/>
  <c r="Y47" i="18" s="1"/>
  <c r="Y47" i="11" s="1"/>
  <c r="Y47" i="13" s="1"/>
  <c r="Y46" i="12"/>
  <c r="Y46" i="17" s="1"/>
  <c r="Y46" i="19" s="1"/>
  <c r="Y46" i="18" s="1"/>
  <c r="Y46" i="11" s="1"/>
  <c r="Y46" i="13" s="1"/>
  <c r="Y45" i="12"/>
  <c r="Y45" i="17" s="1"/>
  <c r="Y45" i="19" s="1"/>
  <c r="Y45" i="18" s="1"/>
  <c r="Y45" i="11" s="1"/>
  <c r="Y45" i="13" s="1"/>
  <c r="Y44" i="12"/>
  <c r="Y44" i="17" s="1"/>
  <c r="Y44" i="19" s="1"/>
  <c r="Y44" i="18" s="1"/>
  <c r="Y44" i="11" s="1"/>
  <c r="Y44" i="13" s="1"/>
  <c r="Y43" i="12"/>
  <c r="Y43" i="17" s="1"/>
  <c r="Y43" i="19" s="1"/>
  <c r="Y43" i="18" s="1"/>
  <c r="Y43" i="11" s="1"/>
  <c r="Y43" i="13" s="1"/>
  <c r="Y42" i="12"/>
  <c r="Y42" i="17" s="1"/>
  <c r="Y42" i="19" s="1"/>
  <c r="Y42" i="18" s="1"/>
  <c r="Y42" i="11" s="1"/>
  <c r="Y42" i="13" s="1"/>
  <c r="Y41" i="12"/>
  <c r="Y41" i="17" s="1"/>
  <c r="Y41" i="19" s="1"/>
  <c r="Y41" i="18" s="1"/>
  <c r="Y41" i="11" s="1"/>
  <c r="Y41" i="13" s="1"/>
  <c r="Y40" i="12"/>
  <c r="Y40" i="17" s="1"/>
  <c r="Y40" i="19" s="1"/>
  <c r="Y40" i="18" s="1"/>
  <c r="Y40" i="11" s="1"/>
  <c r="Y40" i="13" s="1"/>
  <c r="Y39" i="12"/>
  <c r="Y39" i="17" s="1"/>
  <c r="Y39" i="19" s="1"/>
  <c r="Y39" i="18" s="1"/>
  <c r="Y39" i="11" s="1"/>
  <c r="Y39" i="13" s="1"/>
  <c r="W58" i="12"/>
  <c r="W58" i="17" s="1"/>
  <c r="W58" i="19" s="1"/>
  <c r="W58" i="18" s="1"/>
  <c r="W58" i="11" s="1"/>
  <c r="W58" i="13" s="1"/>
  <c r="W57" i="12"/>
  <c r="W57" i="17" s="1"/>
  <c r="W57" i="19" s="1"/>
  <c r="W57" i="18" s="1"/>
  <c r="W57" i="11" s="1"/>
  <c r="W57" i="13" s="1"/>
  <c r="W56" i="12"/>
  <c r="W56" i="17" s="1"/>
  <c r="W56" i="19" s="1"/>
  <c r="W56" i="18" s="1"/>
  <c r="W56" i="11" s="1"/>
  <c r="W56" i="13" s="1"/>
  <c r="W55" i="12"/>
  <c r="W55" i="17" s="1"/>
  <c r="W55" i="19" s="1"/>
  <c r="W55" i="18" s="1"/>
  <c r="W55" i="11" s="1"/>
  <c r="W55" i="13" s="1"/>
  <c r="W54" i="12"/>
  <c r="W54" i="17" s="1"/>
  <c r="W54" i="19" s="1"/>
  <c r="W54" i="18" s="1"/>
  <c r="W54" i="11" s="1"/>
  <c r="W54" i="13" s="1"/>
  <c r="W53" i="12"/>
  <c r="W53" i="17" s="1"/>
  <c r="W53" i="19" s="1"/>
  <c r="W53" i="18" s="1"/>
  <c r="W53" i="11" s="1"/>
  <c r="W53" i="13" s="1"/>
  <c r="W52" i="12"/>
  <c r="W52" i="17" s="1"/>
  <c r="W52" i="19" s="1"/>
  <c r="W52" i="18" s="1"/>
  <c r="W52" i="11" s="1"/>
  <c r="W52" i="13" s="1"/>
  <c r="W51" i="12"/>
  <c r="W51" i="17" s="1"/>
  <c r="W51" i="19" s="1"/>
  <c r="W51" i="18" s="1"/>
  <c r="W51" i="11" s="1"/>
  <c r="W51" i="13" s="1"/>
  <c r="W50" i="12"/>
  <c r="W50" i="17" s="1"/>
  <c r="W50" i="19" s="1"/>
  <c r="W50" i="18" s="1"/>
  <c r="W50" i="11" s="1"/>
  <c r="W50" i="13" s="1"/>
  <c r="W49" i="12"/>
  <c r="W49" i="17" s="1"/>
  <c r="W49" i="19" s="1"/>
  <c r="W49" i="18" s="1"/>
  <c r="W49" i="11" s="1"/>
  <c r="W49" i="13" s="1"/>
  <c r="W48" i="12"/>
  <c r="W48" i="17" s="1"/>
  <c r="W48" i="19" s="1"/>
  <c r="W48" i="18" s="1"/>
  <c r="W48" i="11" s="1"/>
  <c r="W48" i="13" s="1"/>
  <c r="W47" i="12"/>
  <c r="W47" i="17" s="1"/>
  <c r="W47" i="19" s="1"/>
  <c r="W47" i="18" s="1"/>
  <c r="W47" i="11" s="1"/>
  <c r="W47" i="13" s="1"/>
  <c r="W46" i="12"/>
  <c r="W46" i="17" s="1"/>
  <c r="W46" i="19" s="1"/>
  <c r="W46" i="18" s="1"/>
  <c r="W46" i="11" s="1"/>
  <c r="W46" i="13" s="1"/>
  <c r="W45" i="12"/>
  <c r="W45" i="17" s="1"/>
  <c r="W45" i="19" s="1"/>
  <c r="W45" i="18" s="1"/>
  <c r="W45" i="11" s="1"/>
  <c r="W45" i="13" s="1"/>
  <c r="W44" i="12"/>
  <c r="W44" i="17" s="1"/>
  <c r="W44" i="19" s="1"/>
  <c r="W44" i="18" s="1"/>
  <c r="W44" i="11" s="1"/>
  <c r="W44" i="13" s="1"/>
  <c r="W43" i="12"/>
  <c r="W43" i="17" s="1"/>
  <c r="W43" i="19" s="1"/>
  <c r="W43" i="18" s="1"/>
  <c r="W43" i="11" s="1"/>
  <c r="W43" i="13" s="1"/>
  <c r="W42" i="12"/>
  <c r="W42" i="17" s="1"/>
  <c r="W42" i="19" s="1"/>
  <c r="W42" i="18" s="1"/>
  <c r="W42" i="11" s="1"/>
  <c r="W42" i="13" s="1"/>
  <c r="W41" i="12"/>
  <c r="W41" i="17" s="1"/>
  <c r="W41" i="19" s="1"/>
  <c r="W41" i="18" s="1"/>
  <c r="W41" i="11" s="1"/>
  <c r="W41" i="13" s="1"/>
  <c r="W40" i="12"/>
  <c r="W40" i="17" s="1"/>
  <c r="W40" i="19" s="1"/>
  <c r="W40" i="18" s="1"/>
  <c r="W40" i="11" s="1"/>
  <c r="W40" i="13" s="1"/>
  <c r="W39" i="12"/>
  <c r="W39" i="17" s="1"/>
  <c r="W39" i="19" s="1"/>
  <c r="W39" i="18" s="1"/>
  <c r="W39" i="11" s="1"/>
  <c r="W39" i="13" s="1"/>
  <c r="U58" i="12"/>
  <c r="U58" i="17" s="1"/>
  <c r="U58" i="19" s="1"/>
  <c r="U58" i="18" s="1"/>
  <c r="U58" i="11" s="1"/>
  <c r="U58" i="13" s="1"/>
  <c r="U57" i="12"/>
  <c r="U57" i="17" s="1"/>
  <c r="U57" i="19" s="1"/>
  <c r="U57" i="18" s="1"/>
  <c r="U57" i="11" s="1"/>
  <c r="U57" i="13" s="1"/>
  <c r="U56" i="12"/>
  <c r="U56" i="17" s="1"/>
  <c r="U56" i="19" s="1"/>
  <c r="U56" i="18" s="1"/>
  <c r="U56" i="11" s="1"/>
  <c r="U56" i="13" s="1"/>
  <c r="U55" i="12"/>
  <c r="U55" i="17" s="1"/>
  <c r="U55" i="19" s="1"/>
  <c r="U55" i="18" s="1"/>
  <c r="U55" i="11" s="1"/>
  <c r="U55" i="13" s="1"/>
  <c r="U54" i="12"/>
  <c r="U54" i="17" s="1"/>
  <c r="U54" i="19" s="1"/>
  <c r="U54" i="18" s="1"/>
  <c r="U54" i="11" s="1"/>
  <c r="U54" i="13" s="1"/>
  <c r="U53" i="12"/>
  <c r="U53" i="17" s="1"/>
  <c r="U53" i="19" s="1"/>
  <c r="U53" i="18" s="1"/>
  <c r="U53" i="11" s="1"/>
  <c r="U53" i="13" s="1"/>
  <c r="U52" i="12"/>
  <c r="U52" i="17" s="1"/>
  <c r="U52" i="19" s="1"/>
  <c r="U52" i="18" s="1"/>
  <c r="U52" i="11" s="1"/>
  <c r="U52" i="13" s="1"/>
  <c r="U51" i="12"/>
  <c r="U51" i="17" s="1"/>
  <c r="U51" i="19" s="1"/>
  <c r="U51" i="18" s="1"/>
  <c r="U51" i="11" s="1"/>
  <c r="U51" i="13" s="1"/>
  <c r="U50" i="12"/>
  <c r="U50" i="17" s="1"/>
  <c r="U50" i="19" s="1"/>
  <c r="U50" i="18" s="1"/>
  <c r="U50" i="11" s="1"/>
  <c r="U50" i="13" s="1"/>
  <c r="U49" i="12"/>
  <c r="U49" i="17" s="1"/>
  <c r="U49" i="19" s="1"/>
  <c r="U49" i="18" s="1"/>
  <c r="U49" i="11" s="1"/>
  <c r="U49" i="13" s="1"/>
  <c r="U48" i="12"/>
  <c r="U48" i="17" s="1"/>
  <c r="U48" i="19" s="1"/>
  <c r="U48" i="18" s="1"/>
  <c r="U48" i="11" s="1"/>
  <c r="U48" i="13" s="1"/>
  <c r="U47" i="12"/>
  <c r="U47" i="17" s="1"/>
  <c r="U47" i="19" s="1"/>
  <c r="U47" i="18" s="1"/>
  <c r="U47" i="11" s="1"/>
  <c r="U47" i="13" s="1"/>
  <c r="U46" i="12"/>
  <c r="U46" i="17" s="1"/>
  <c r="U46" i="19" s="1"/>
  <c r="U46" i="18" s="1"/>
  <c r="U46" i="11" s="1"/>
  <c r="U46" i="13" s="1"/>
  <c r="U45" i="12"/>
  <c r="U45" i="17" s="1"/>
  <c r="U45" i="19" s="1"/>
  <c r="U45" i="18" s="1"/>
  <c r="U45" i="11" s="1"/>
  <c r="U45" i="13" s="1"/>
  <c r="U44" i="12"/>
  <c r="U44" i="17" s="1"/>
  <c r="U44" i="19" s="1"/>
  <c r="U44" i="18" s="1"/>
  <c r="U44" i="11" s="1"/>
  <c r="U44" i="13" s="1"/>
  <c r="U43" i="12"/>
  <c r="U43" i="17" s="1"/>
  <c r="U43" i="19" s="1"/>
  <c r="U43" i="18" s="1"/>
  <c r="U43" i="11" s="1"/>
  <c r="U43" i="13" s="1"/>
  <c r="U42" i="12"/>
  <c r="U42" i="17" s="1"/>
  <c r="U42" i="19" s="1"/>
  <c r="U42" i="18" s="1"/>
  <c r="U42" i="11" s="1"/>
  <c r="U42" i="13" s="1"/>
  <c r="U41" i="12"/>
  <c r="U41" i="17" s="1"/>
  <c r="U41" i="19" s="1"/>
  <c r="U41" i="18" s="1"/>
  <c r="U41" i="11" s="1"/>
  <c r="U41" i="13" s="1"/>
  <c r="U40" i="12"/>
  <c r="U40" i="17" s="1"/>
  <c r="U40" i="19" s="1"/>
  <c r="U40" i="18" s="1"/>
  <c r="U40" i="11" s="1"/>
  <c r="U40" i="13" s="1"/>
  <c r="U39" i="12"/>
  <c r="U39" i="17" s="1"/>
  <c r="U39" i="19" s="1"/>
  <c r="U39" i="18" s="1"/>
  <c r="U39" i="11" s="1"/>
  <c r="U39" i="13" s="1"/>
  <c r="S58" i="12"/>
  <c r="S58" i="17" s="1"/>
  <c r="S58" i="19" s="1"/>
  <c r="S58" i="18" s="1"/>
  <c r="S58" i="11" s="1"/>
  <c r="S58" i="13" s="1"/>
  <c r="S57" i="12"/>
  <c r="S57" i="17" s="1"/>
  <c r="S57" i="19" s="1"/>
  <c r="S57" i="18" s="1"/>
  <c r="S57" i="11" s="1"/>
  <c r="S57" i="13" s="1"/>
  <c r="S56" i="12"/>
  <c r="S56" i="17" s="1"/>
  <c r="S56" i="19" s="1"/>
  <c r="S56" i="18" s="1"/>
  <c r="S56" i="11" s="1"/>
  <c r="S56" i="13" s="1"/>
  <c r="S55" i="12"/>
  <c r="S55" i="17" s="1"/>
  <c r="S55" i="19" s="1"/>
  <c r="S55" i="18" s="1"/>
  <c r="S55" i="11" s="1"/>
  <c r="S55" i="13" s="1"/>
  <c r="S54" i="12"/>
  <c r="S54" i="17" s="1"/>
  <c r="S54" i="19" s="1"/>
  <c r="S54" i="18" s="1"/>
  <c r="S54" i="11" s="1"/>
  <c r="S54" i="13" s="1"/>
  <c r="S53" i="12"/>
  <c r="S53" i="17" s="1"/>
  <c r="S53" i="19" s="1"/>
  <c r="S53" i="18" s="1"/>
  <c r="S53" i="11" s="1"/>
  <c r="S53" i="13" s="1"/>
  <c r="S52" i="12"/>
  <c r="S52" i="17" s="1"/>
  <c r="S52" i="19" s="1"/>
  <c r="S52" i="18" s="1"/>
  <c r="S52" i="11" s="1"/>
  <c r="S52" i="13" s="1"/>
  <c r="S51" i="12"/>
  <c r="S51" i="17" s="1"/>
  <c r="S51" i="19" s="1"/>
  <c r="S51" i="18" s="1"/>
  <c r="S51" i="11" s="1"/>
  <c r="S51" i="13" s="1"/>
  <c r="S50" i="12"/>
  <c r="S50" i="17" s="1"/>
  <c r="S50" i="19" s="1"/>
  <c r="S50" i="18" s="1"/>
  <c r="S50" i="11" s="1"/>
  <c r="S50" i="13" s="1"/>
  <c r="S49" i="12"/>
  <c r="S49" i="17" s="1"/>
  <c r="S49" i="19" s="1"/>
  <c r="S49" i="18" s="1"/>
  <c r="S49" i="11" s="1"/>
  <c r="S49" i="13" s="1"/>
  <c r="S48" i="12"/>
  <c r="S48" i="17" s="1"/>
  <c r="S48" i="19" s="1"/>
  <c r="S48" i="18" s="1"/>
  <c r="S48" i="11" s="1"/>
  <c r="S48" i="13" s="1"/>
  <c r="S47" i="12"/>
  <c r="S47" i="17" s="1"/>
  <c r="S47" i="19" s="1"/>
  <c r="S47" i="18" s="1"/>
  <c r="S47" i="11" s="1"/>
  <c r="S47" i="13" s="1"/>
  <c r="S46" i="12"/>
  <c r="S46" i="17" s="1"/>
  <c r="S46" i="19" s="1"/>
  <c r="S46" i="18" s="1"/>
  <c r="S46" i="11" s="1"/>
  <c r="S46" i="13" s="1"/>
  <c r="S45" i="12"/>
  <c r="S45" i="17" s="1"/>
  <c r="S45" i="19" s="1"/>
  <c r="S45" i="18" s="1"/>
  <c r="S45" i="11" s="1"/>
  <c r="S45" i="13" s="1"/>
  <c r="S44" i="12"/>
  <c r="S44" i="17" s="1"/>
  <c r="S44" i="19" s="1"/>
  <c r="S44" i="18" s="1"/>
  <c r="S44" i="11" s="1"/>
  <c r="S44" i="13" s="1"/>
  <c r="S43" i="12"/>
  <c r="S43" i="17" s="1"/>
  <c r="S43" i="19" s="1"/>
  <c r="S43" i="18" s="1"/>
  <c r="S43" i="11" s="1"/>
  <c r="S43" i="13" s="1"/>
  <c r="S42" i="12"/>
  <c r="S42" i="17" s="1"/>
  <c r="S42" i="19" s="1"/>
  <c r="S42" i="18" s="1"/>
  <c r="S42" i="11" s="1"/>
  <c r="S42" i="13" s="1"/>
  <c r="S41" i="12"/>
  <c r="S41" i="17" s="1"/>
  <c r="S41" i="19" s="1"/>
  <c r="S41" i="18" s="1"/>
  <c r="S41" i="11" s="1"/>
  <c r="S41" i="13" s="1"/>
  <c r="S40" i="12"/>
  <c r="S40" i="17" s="1"/>
  <c r="S40" i="19" s="1"/>
  <c r="S40" i="18" s="1"/>
  <c r="S40" i="11" s="1"/>
  <c r="S40" i="13" s="1"/>
  <c r="S39" i="12"/>
  <c r="S39" i="17" s="1"/>
  <c r="S39" i="19" s="1"/>
  <c r="S39" i="18" s="1"/>
  <c r="S39" i="11" s="1"/>
  <c r="S39" i="13" s="1"/>
  <c r="Q58" i="12"/>
  <c r="Q58" i="17" s="1"/>
  <c r="Q58" i="19" s="1"/>
  <c r="Q58" i="18" s="1"/>
  <c r="Q58" i="11" s="1"/>
  <c r="Q58" i="13" s="1"/>
  <c r="Q57" i="12"/>
  <c r="Q57" i="17" s="1"/>
  <c r="Q57" i="19" s="1"/>
  <c r="Q57" i="18" s="1"/>
  <c r="Q57" i="11" s="1"/>
  <c r="Q57" i="13" s="1"/>
  <c r="Q56" i="12"/>
  <c r="Q56" i="17" s="1"/>
  <c r="Q56" i="19" s="1"/>
  <c r="Q56" i="18" s="1"/>
  <c r="Q56" i="11" s="1"/>
  <c r="Q56" i="13" s="1"/>
  <c r="Q55" i="12"/>
  <c r="Q55" i="17" s="1"/>
  <c r="Q55" i="19" s="1"/>
  <c r="Q55" i="18" s="1"/>
  <c r="Q55" i="11" s="1"/>
  <c r="Q55" i="13" s="1"/>
  <c r="Q54" i="12"/>
  <c r="Q54" i="17" s="1"/>
  <c r="Q54" i="19" s="1"/>
  <c r="Q54" i="18" s="1"/>
  <c r="Q54" i="11" s="1"/>
  <c r="Q54" i="13" s="1"/>
  <c r="Q53" i="12"/>
  <c r="Q53" i="17" s="1"/>
  <c r="Q53" i="19" s="1"/>
  <c r="Q53" i="18" s="1"/>
  <c r="Q53" i="11" s="1"/>
  <c r="Q53" i="13" s="1"/>
  <c r="Q52" i="12"/>
  <c r="Q52" i="17" s="1"/>
  <c r="Q52" i="19" s="1"/>
  <c r="Q52" i="18" s="1"/>
  <c r="Q52" i="11" s="1"/>
  <c r="Q52" i="13" s="1"/>
  <c r="Q51" i="12"/>
  <c r="Q51" i="17" s="1"/>
  <c r="Q51" i="19" s="1"/>
  <c r="Q51" i="18" s="1"/>
  <c r="Q51" i="11" s="1"/>
  <c r="Q51" i="13" s="1"/>
  <c r="Q50" i="12"/>
  <c r="Q50" i="17" s="1"/>
  <c r="Q50" i="19" s="1"/>
  <c r="Q50" i="18" s="1"/>
  <c r="Q50" i="11" s="1"/>
  <c r="Q50" i="13" s="1"/>
  <c r="Q49" i="12"/>
  <c r="Q49" i="17" s="1"/>
  <c r="Q49" i="19" s="1"/>
  <c r="Q49" i="18" s="1"/>
  <c r="Q49" i="11" s="1"/>
  <c r="Q49" i="13" s="1"/>
  <c r="Q48" i="12"/>
  <c r="Q48" i="17" s="1"/>
  <c r="Q48" i="19" s="1"/>
  <c r="Q48" i="18" s="1"/>
  <c r="Q48" i="11" s="1"/>
  <c r="Q48" i="13" s="1"/>
  <c r="Q47" i="12"/>
  <c r="Q47" i="17" s="1"/>
  <c r="Q47" i="19" s="1"/>
  <c r="Q47" i="18" s="1"/>
  <c r="Q47" i="11" s="1"/>
  <c r="Q47" i="13" s="1"/>
  <c r="Q46" i="12"/>
  <c r="Q46" i="17" s="1"/>
  <c r="Q46" i="19" s="1"/>
  <c r="Q46" i="18" s="1"/>
  <c r="Q46" i="11" s="1"/>
  <c r="Q46" i="13" s="1"/>
  <c r="Q45" i="12"/>
  <c r="Q45" i="17" s="1"/>
  <c r="Q45" i="19" s="1"/>
  <c r="Q45" i="18" s="1"/>
  <c r="Q45" i="11" s="1"/>
  <c r="Q45" i="13" s="1"/>
  <c r="Q44" i="12"/>
  <c r="Q44" i="17" s="1"/>
  <c r="Q44" i="19" s="1"/>
  <c r="Q44" i="18" s="1"/>
  <c r="Q44" i="11" s="1"/>
  <c r="Q44" i="13" s="1"/>
  <c r="Q43" i="12"/>
  <c r="Q43" i="17" s="1"/>
  <c r="Q43" i="19" s="1"/>
  <c r="Q43" i="18" s="1"/>
  <c r="Q43" i="11" s="1"/>
  <c r="Q43" i="13" s="1"/>
  <c r="Q42" i="12"/>
  <c r="Q42" i="17" s="1"/>
  <c r="Q42" i="19" s="1"/>
  <c r="Q42" i="18" s="1"/>
  <c r="Q42" i="11" s="1"/>
  <c r="Q42" i="13" s="1"/>
  <c r="Q41" i="12"/>
  <c r="Q41" i="17" s="1"/>
  <c r="Q41" i="19" s="1"/>
  <c r="Q41" i="18" s="1"/>
  <c r="Q41" i="11" s="1"/>
  <c r="Q41" i="13" s="1"/>
  <c r="Q40" i="12"/>
  <c r="Q40" i="17" s="1"/>
  <c r="Q40" i="19" s="1"/>
  <c r="Q40" i="18" s="1"/>
  <c r="Q40" i="11" s="1"/>
  <c r="Q40" i="13" s="1"/>
  <c r="Q39" i="12"/>
  <c r="Q39" i="17" s="1"/>
  <c r="Q39" i="19" s="1"/>
  <c r="Q39" i="18" s="1"/>
  <c r="Q39" i="11" s="1"/>
  <c r="Q39" i="13" s="1"/>
  <c r="O58" i="12"/>
  <c r="O58" i="17" s="1"/>
  <c r="O58" i="19" s="1"/>
  <c r="O58" i="18" s="1"/>
  <c r="O58" i="11" s="1"/>
  <c r="O58" i="13" s="1"/>
  <c r="O57" i="12"/>
  <c r="O57" i="17" s="1"/>
  <c r="O57" i="19" s="1"/>
  <c r="O57" i="18" s="1"/>
  <c r="O57" i="11" s="1"/>
  <c r="O57" i="13" s="1"/>
  <c r="O56" i="12"/>
  <c r="O56" i="17" s="1"/>
  <c r="O56" i="19" s="1"/>
  <c r="O56" i="18" s="1"/>
  <c r="O56" i="11" s="1"/>
  <c r="O56" i="13" s="1"/>
  <c r="O55" i="12"/>
  <c r="O55" i="17" s="1"/>
  <c r="O55" i="19" s="1"/>
  <c r="O55" i="18" s="1"/>
  <c r="O55" i="11" s="1"/>
  <c r="O55" i="13" s="1"/>
  <c r="O54" i="12"/>
  <c r="O54" i="17" s="1"/>
  <c r="O54" i="19" s="1"/>
  <c r="O54" i="18" s="1"/>
  <c r="O54" i="11" s="1"/>
  <c r="O54" i="13" s="1"/>
  <c r="O53" i="12"/>
  <c r="O53" i="17" s="1"/>
  <c r="O53" i="19" s="1"/>
  <c r="O53" i="18" s="1"/>
  <c r="O53" i="11" s="1"/>
  <c r="O53" i="13" s="1"/>
  <c r="O52" i="12"/>
  <c r="O52" i="17" s="1"/>
  <c r="O52" i="19" s="1"/>
  <c r="O52" i="18" s="1"/>
  <c r="O52" i="11" s="1"/>
  <c r="O52" i="13" s="1"/>
  <c r="O51" i="12"/>
  <c r="O51" i="17" s="1"/>
  <c r="O51" i="19" s="1"/>
  <c r="O51" i="18" s="1"/>
  <c r="O51" i="11" s="1"/>
  <c r="O51" i="13" s="1"/>
  <c r="O50" i="12"/>
  <c r="O50" i="17" s="1"/>
  <c r="O50" i="19" s="1"/>
  <c r="O50" i="18" s="1"/>
  <c r="O50" i="11" s="1"/>
  <c r="O50" i="13" s="1"/>
  <c r="O49" i="12"/>
  <c r="O49" i="17" s="1"/>
  <c r="O49" i="19" s="1"/>
  <c r="O49" i="18" s="1"/>
  <c r="O49" i="11" s="1"/>
  <c r="O49" i="13" s="1"/>
  <c r="O48" i="12"/>
  <c r="O48" i="17" s="1"/>
  <c r="O48" i="19" s="1"/>
  <c r="O48" i="18" s="1"/>
  <c r="O48" i="11" s="1"/>
  <c r="O48" i="13" s="1"/>
  <c r="O47" i="12"/>
  <c r="O47" i="17" s="1"/>
  <c r="O47" i="19" s="1"/>
  <c r="O47" i="18" s="1"/>
  <c r="O47" i="11" s="1"/>
  <c r="O47" i="13" s="1"/>
  <c r="O46" i="12"/>
  <c r="O46" i="17" s="1"/>
  <c r="O46" i="19" s="1"/>
  <c r="O46" i="18" s="1"/>
  <c r="O46" i="11" s="1"/>
  <c r="O46" i="13" s="1"/>
  <c r="O45" i="12"/>
  <c r="O45" i="17" s="1"/>
  <c r="O45" i="19" s="1"/>
  <c r="O45" i="18" s="1"/>
  <c r="O45" i="11" s="1"/>
  <c r="O45" i="13" s="1"/>
  <c r="O44" i="12"/>
  <c r="O44" i="17" s="1"/>
  <c r="O44" i="19" s="1"/>
  <c r="O44" i="18" s="1"/>
  <c r="O44" i="11" s="1"/>
  <c r="O44" i="13" s="1"/>
  <c r="O43" i="12"/>
  <c r="O43" i="17" s="1"/>
  <c r="O43" i="19" s="1"/>
  <c r="O43" i="18" s="1"/>
  <c r="O43" i="11" s="1"/>
  <c r="O43" i="13" s="1"/>
  <c r="O42" i="12"/>
  <c r="O42" i="17" s="1"/>
  <c r="O42" i="19" s="1"/>
  <c r="O42" i="18" s="1"/>
  <c r="O42" i="11" s="1"/>
  <c r="O42" i="13" s="1"/>
  <c r="O41" i="12"/>
  <c r="O41" i="17" s="1"/>
  <c r="O41" i="19" s="1"/>
  <c r="O41" i="18" s="1"/>
  <c r="O41" i="11" s="1"/>
  <c r="O41" i="13" s="1"/>
  <c r="O40" i="12"/>
  <c r="O40" i="17" s="1"/>
  <c r="O40" i="19" s="1"/>
  <c r="O40" i="18" s="1"/>
  <c r="O40" i="11" s="1"/>
  <c r="O40" i="13" s="1"/>
  <c r="O39" i="12"/>
  <c r="O39" i="17" s="1"/>
  <c r="O39" i="19" s="1"/>
  <c r="O39" i="18" s="1"/>
  <c r="O39" i="11" s="1"/>
  <c r="O39" i="13" s="1"/>
  <c r="M58" i="12"/>
  <c r="M58" i="17" s="1"/>
  <c r="M58" i="19" s="1"/>
  <c r="M58" i="18" s="1"/>
  <c r="M58" i="11" s="1"/>
  <c r="M58" i="13" s="1"/>
  <c r="M57" i="12"/>
  <c r="M57" i="17" s="1"/>
  <c r="M57" i="19" s="1"/>
  <c r="M57" i="18" s="1"/>
  <c r="M57" i="11" s="1"/>
  <c r="M57" i="13" s="1"/>
  <c r="M56" i="12"/>
  <c r="M56" i="17" s="1"/>
  <c r="M56" i="19" s="1"/>
  <c r="M56" i="18" s="1"/>
  <c r="M56" i="11" s="1"/>
  <c r="M56" i="13" s="1"/>
  <c r="M55" i="12"/>
  <c r="M55" i="17" s="1"/>
  <c r="M55" i="19" s="1"/>
  <c r="M55" i="18" s="1"/>
  <c r="M55" i="11" s="1"/>
  <c r="M55" i="13" s="1"/>
  <c r="M54" i="12"/>
  <c r="M54" i="17" s="1"/>
  <c r="M54" i="19" s="1"/>
  <c r="M54" i="18" s="1"/>
  <c r="M54" i="11" s="1"/>
  <c r="M54" i="13" s="1"/>
  <c r="M53" i="12"/>
  <c r="M53" i="17" s="1"/>
  <c r="M53" i="19" s="1"/>
  <c r="M53" i="18" s="1"/>
  <c r="M53" i="11" s="1"/>
  <c r="M53" i="13" s="1"/>
  <c r="M52" i="12"/>
  <c r="M52" i="17" s="1"/>
  <c r="M52" i="19" s="1"/>
  <c r="M52" i="18" s="1"/>
  <c r="M52" i="11" s="1"/>
  <c r="M52" i="13" s="1"/>
  <c r="M51" i="12"/>
  <c r="M51" i="17" s="1"/>
  <c r="M51" i="19" s="1"/>
  <c r="M51" i="18" s="1"/>
  <c r="M51" i="11" s="1"/>
  <c r="M51" i="13" s="1"/>
  <c r="M50" i="12"/>
  <c r="M50" i="17" s="1"/>
  <c r="M50" i="19" s="1"/>
  <c r="M50" i="18" s="1"/>
  <c r="M50" i="11" s="1"/>
  <c r="M50" i="13" s="1"/>
  <c r="M49" i="12"/>
  <c r="M49" i="17" s="1"/>
  <c r="M49" i="19" s="1"/>
  <c r="M49" i="18" s="1"/>
  <c r="M49" i="11" s="1"/>
  <c r="M49" i="13" s="1"/>
  <c r="M48" i="12"/>
  <c r="M48" i="17" s="1"/>
  <c r="M48" i="19" s="1"/>
  <c r="M48" i="18" s="1"/>
  <c r="M48" i="11" s="1"/>
  <c r="M48" i="13" s="1"/>
  <c r="M47" i="12"/>
  <c r="M47" i="17" s="1"/>
  <c r="M47" i="19" s="1"/>
  <c r="M47" i="18" s="1"/>
  <c r="M47" i="11" s="1"/>
  <c r="M47" i="13" s="1"/>
  <c r="M46" i="12"/>
  <c r="M46" i="17" s="1"/>
  <c r="M46" i="19" s="1"/>
  <c r="M46" i="18" s="1"/>
  <c r="M46" i="11" s="1"/>
  <c r="M46" i="13" s="1"/>
  <c r="M45" i="12"/>
  <c r="M45" i="17" s="1"/>
  <c r="M45" i="19" s="1"/>
  <c r="M45" i="18" s="1"/>
  <c r="M45" i="11" s="1"/>
  <c r="M45" i="13" s="1"/>
  <c r="M44" i="12"/>
  <c r="M44" i="17" s="1"/>
  <c r="M44" i="19" s="1"/>
  <c r="M44" i="18" s="1"/>
  <c r="M44" i="11" s="1"/>
  <c r="M44" i="13" s="1"/>
  <c r="M43" i="12"/>
  <c r="M43" i="17" s="1"/>
  <c r="M43" i="19" s="1"/>
  <c r="M43" i="18" s="1"/>
  <c r="M43" i="11" s="1"/>
  <c r="M43" i="13" s="1"/>
  <c r="M42" i="12"/>
  <c r="M42" i="17" s="1"/>
  <c r="M42" i="19" s="1"/>
  <c r="M42" i="18" s="1"/>
  <c r="M42" i="11" s="1"/>
  <c r="M42" i="13" s="1"/>
  <c r="M41" i="12"/>
  <c r="M41" i="17" s="1"/>
  <c r="M41" i="19" s="1"/>
  <c r="M41" i="18" s="1"/>
  <c r="M41" i="11" s="1"/>
  <c r="M41" i="13" s="1"/>
  <c r="M40" i="12"/>
  <c r="M40" i="17" s="1"/>
  <c r="M40" i="19" s="1"/>
  <c r="M40" i="18" s="1"/>
  <c r="M40" i="11" s="1"/>
  <c r="M40" i="13" s="1"/>
  <c r="M39" i="12"/>
  <c r="M39" i="17" s="1"/>
  <c r="M39" i="19" s="1"/>
  <c r="M39" i="18" s="1"/>
  <c r="M39" i="11" s="1"/>
  <c r="M39" i="13" s="1"/>
  <c r="K58" i="12"/>
  <c r="K58" i="17" s="1"/>
  <c r="K58" i="19" s="1"/>
  <c r="K58" i="18" s="1"/>
  <c r="K58" i="11" s="1"/>
  <c r="K58" i="13" s="1"/>
  <c r="K57" i="12"/>
  <c r="K57" i="17" s="1"/>
  <c r="K57" i="19" s="1"/>
  <c r="K57" i="18" s="1"/>
  <c r="K57" i="11" s="1"/>
  <c r="K57" i="13" s="1"/>
  <c r="K56" i="12"/>
  <c r="K56" i="17" s="1"/>
  <c r="K56" i="19" s="1"/>
  <c r="K56" i="18" s="1"/>
  <c r="K56" i="11" s="1"/>
  <c r="K56" i="13" s="1"/>
  <c r="K55" i="12"/>
  <c r="K55" i="17" s="1"/>
  <c r="K55" i="19" s="1"/>
  <c r="K55" i="18" s="1"/>
  <c r="K55" i="11" s="1"/>
  <c r="K55" i="13" s="1"/>
  <c r="K54" i="12"/>
  <c r="K54" i="17" s="1"/>
  <c r="K54" i="19" s="1"/>
  <c r="K54" i="18" s="1"/>
  <c r="K54" i="11" s="1"/>
  <c r="K54" i="13" s="1"/>
  <c r="K53" i="12"/>
  <c r="K53" i="17" s="1"/>
  <c r="K53" i="19" s="1"/>
  <c r="K53" i="18" s="1"/>
  <c r="K53" i="11" s="1"/>
  <c r="K53" i="13" s="1"/>
  <c r="K52" i="12"/>
  <c r="K52" i="17" s="1"/>
  <c r="K52" i="19" s="1"/>
  <c r="K52" i="18" s="1"/>
  <c r="K52" i="11" s="1"/>
  <c r="K52" i="13" s="1"/>
  <c r="K51" i="12"/>
  <c r="K51" i="17" s="1"/>
  <c r="K51" i="19" s="1"/>
  <c r="K51" i="18" s="1"/>
  <c r="K51" i="11" s="1"/>
  <c r="K51" i="13" s="1"/>
  <c r="K50" i="12"/>
  <c r="K50" i="17" s="1"/>
  <c r="K50" i="19" s="1"/>
  <c r="K50" i="18" s="1"/>
  <c r="K50" i="11" s="1"/>
  <c r="K50" i="13" s="1"/>
  <c r="K49" i="12"/>
  <c r="K49" i="17" s="1"/>
  <c r="K49" i="19" s="1"/>
  <c r="K49" i="18" s="1"/>
  <c r="K49" i="11" s="1"/>
  <c r="K49" i="13" s="1"/>
  <c r="K48" i="12"/>
  <c r="K48" i="17" s="1"/>
  <c r="K48" i="19" s="1"/>
  <c r="K48" i="18" s="1"/>
  <c r="K48" i="11" s="1"/>
  <c r="K48" i="13" s="1"/>
  <c r="K47" i="12"/>
  <c r="K47" i="17" s="1"/>
  <c r="K47" i="19" s="1"/>
  <c r="K47" i="18" s="1"/>
  <c r="K47" i="11" s="1"/>
  <c r="K47" i="13" s="1"/>
  <c r="K46" i="12"/>
  <c r="K46" i="17" s="1"/>
  <c r="K46" i="19" s="1"/>
  <c r="K46" i="18" s="1"/>
  <c r="K46" i="11" s="1"/>
  <c r="K46" i="13" s="1"/>
  <c r="K45" i="12"/>
  <c r="K45" i="17" s="1"/>
  <c r="K45" i="19" s="1"/>
  <c r="K45" i="18" s="1"/>
  <c r="K45" i="11" s="1"/>
  <c r="K45" i="13" s="1"/>
  <c r="K44" i="12"/>
  <c r="K44" i="17" s="1"/>
  <c r="K44" i="19" s="1"/>
  <c r="K44" i="18" s="1"/>
  <c r="K44" i="11" s="1"/>
  <c r="K44" i="13" s="1"/>
  <c r="K43" i="12"/>
  <c r="K43" i="17" s="1"/>
  <c r="K43" i="19" s="1"/>
  <c r="K43" i="18" s="1"/>
  <c r="K43" i="11" s="1"/>
  <c r="K43" i="13" s="1"/>
  <c r="K42" i="12"/>
  <c r="K42" i="17" s="1"/>
  <c r="K42" i="19" s="1"/>
  <c r="K42" i="18" s="1"/>
  <c r="K42" i="11" s="1"/>
  <c r="K42" i="13" s="1"/>
  <c r="K41" i="12"/>
  <c r="K41" i="17" s="1"/>
  <c r="K41" i="19" s="1"/>
  <c r="K41" i="18" s="1"/>
  <c r="K41" i="11" s="1"/>
  <c r="K41" i="13" s="1"/>
  <c r="K40" i="12"/>
  <c r="K40" i="17" s="1"/>
  <c r="K40" i="19" s="1"/>
  <c r="K40" i="18" s="1"/>
  <c r="K40" i="11" s="1"/>
  <c r="K40" i="13" s="1"/>
  <c r="K39" i="12"/>
  <c r="K39" i="17" s="1"/>
  <c r="K39" i="19" s="1"/>
  <c r="K39" i="18" s="1"/>
  <c r="K39" i="11" s="1"/>
  <c r="K39" i="13" s="1"/>
  <c r="I58" i="12"/>
  <c r="I58" i="17" s="1"/>
  <c r="I58" i="19" s="1"/>
  <c r="I58" i="18" s="1"/>
  <c r="I58" i="11" s="1"/>
  <c r="I58" i="13" s="1"/>
  <c r="I57" i="12"/>
  <c r="I57" i="17" s="1"/>
  <c r="I57" i="19" s="1"/>
  <c r="I57" i="18" s="1"/>
  <c r="I57" i="11" s="1"/>
  <c r="I57" i="13" s="1"/>
  <c r="I56" i="12"/>
  <c r="I56" i="17" s="1"/>
  <c r="I56" i="19" s="1"/>
  <c r="I56" i="18" s="1"/>
  <c r="I56" i="11" s="1"/>
  <c r="I56" i="13" s="1"/>
  <c r="I55" i="12"/>
  <c r="I55" i="17" s="1"/>
  <c r="I55" i="19" s="1"/>
  <c r="I55" i="18" s="1"/>
  <c r="I55" i="11" s="1"/>
  <c r="I55" i="13" s="1"/>
  <c r="I54" i="12"/>
  <c r="I54" i="17" s="1"/>
  <c r="I54" i="19" s="1"/>
  <c r="I54" i="18" s="1"/>
  <c r="I54" i="11" s="1"/>
  <c r="I54" i="13" s="1"/>
  <c r="I53" i="12"/>
  <c r="I53" i="17" s="1"/>
  <c r="I53" i="19" s="1"/>
  <c r="I53" i="18" s="1"/>
  <c r="I53" i="11" s="1"/>
  <c r="I53" i="13" s="1"/>
  <c r="I52" i="12"/>
  <c r="I52" i="17" s="1"/>
  <c r="I52" i="19" s="1"/>
  <c r="I52" i="18" s="1"/>
  <c r="I52" i="11" s="1"/>
  <c r="I52" i="13" s="1"/>
  <c r="I51" i="12"/>
  <c r="I51" i="17" s="1"/>
  <c r="I51" i="19" s="1"/>
  <c r="I51" i="18" s="1"/>
  <c r="I51" i="11" s="1"/>
  <c r="I51" i="13" s="1"/>
  <c r="I50" i="12"/>
  <c r="I50" i="17" s="1"/>
  <c r="I50" i="19" s="1"/>
  <c r="I50" i="18" s="1"/>
  <c r="I50" i="11" s="1"/>
  <c r="I50" i="13" s="1"/>
  <c r="I49" i="12"/>
  <c r="I49" i="17" s="1"/>
  <c r="I49" i="19" s="1"/>
  <c r="I49" i="18" s="1"/>
  <c r="I49" i="11" s="1"/>
  <c r="I49" i="13" s="1"/>
  <c r="I48" i="12"/>
  <c r="I48" i="17" s="1"/>
  <c r="I48" i="19" s="1"/>
  <c r="I48" i="18" s="1"/>
  <c r="I48" i="11" s="1"/>
  <c r="I48" i="13" s="1"/>
  <c r="I47" i="12"/>
  <c r="I47" i="17" s="1"/>
  <c r="I47" i="19" s="1"/>
  <c r="I47" i="18" s="1"/>
  <c r="I47" i="11" s="1"/>
  <c r="I47" i="13" s="1"/>
  <c r="I46" i="12"/>
  <c r="I46" i="17" s="1"/>
  <c r="I46" i="19" s="1"/>
  <c r="I46" i="18" s="1"/>
  <c r="I46" i="11" s="1"/>
  <c r="I46" i="13" s="1"/>
  <c r="I45" i="12"/>
  <c r="I45" i="17" s="1"/>
  <c r="I45" i="19" s="1"/>
  <c r="I45" i="18" s="1"/>
  <c r="I45" i="11" s="1"/>
  <c r="I45" i="13" s="1"/>
  <c r="I44" i="12"/>
  <c r="I44" i="17" s="1"/>
  <c r="I44" i="19" s="1"/>
  <c r="I44" i="18" s="1"/>
  <c r="I44" i="11" s="1"/>
  <c r="I44" i="13" s="1"/>
  <c r="I43" i="12"/>
  <c r="I43" i="17" s="1"/>
  <c r="I43" i="19" s="1"/>
  <c r="I43" i="18" s="1"/>
  <c r="I43" i="11" s="1"/>
  <c r="I43" i="13" s="1"/>
  <c r="I42" i="12"/>
  <c r="I42" i="17" s="1"/>
  <c r="I42" i="19" s="1"/>
  <c r="I42" i="18" s="1"/>
  <c r="I42" i="11" s="1"/>
  <c r="I42" i="13" s="1"/>
  <c r="I41" i="12"/>
  <c r="I41" i="17" s="1"/>
  <c r="I41" i="19" s="1"/>
  <c r="I41" i="18" s="1"/>
  <c r="I41" i="11" s="1"/>
  <c r="I41" i="13" s="1"/>
  <c r="I40" i="12"/>
  <c r="I40" i="17" s="1"/>
  <c r="I40" i="19" s="1"/>
  <c r="I40" i="18" s="1"/>
  <c r="I40" i="11" s="1"/>
  <c r="I40" i="13" s="1"/>
  <c r="I39" i="12"/>
  <c r="I39" i="17" s="1"/>
  <c r="I39" i="19" s="1"/>
  <c r="I39" i="18" s="1"/>
  <c r="I39" i="11" s="1"/>
  <c r="I39" i="13" s="1"/>
  <c r="G58" i="12"/>
  <c r="G58" i="17" s="1"/>
  <c r="G58" i="19" s="1"/>
  <c r="G58" i="18" s="1"/>
  <c r="G58" i="11" s="1"/>
  <c r="G58" i="13" s="1"/>
  <c r="G57" i="12"/>
  <c r="G57" i="17" s="1"/>
  <c r="G57" i="19" s="1"/>
  <c r="G57" i="18" s="1"/>
  <c r="G57" i="11" s="1"/>
  <c r="G57" i="13" s="1"/>
  <c r="G56" i="12"/>
  <c r="G56" i="17" s="1"/>
  <c r="G56" i="19" s="1"/>
  <c r="G56" i="18" s="1"/>
  <c r="G56" i="11" s="1"/>
  <c r="G56" i="13" s="1"/>
  <c r="G55" i="12"/>
  <c r="G55" i="17" s="1"/>
  <c r="G55" i="19" s="1"/>
  <c r="G55" i="18" s="1"/>
  <c r="G55" i="11" s="1"/>
  <c r="G55" i="13" s="1"/>
  <c r="G54" i="12"/>
  <c r="G54" i="17" s="1"/>
  <c r="G54" i="19" s="1"/>
  <c r="G54" i="18" s="1"/>
  <c r="G54" i="11" s="1"/>
  <c r="G54" i="13" s="1"/>
  <c r="G53" i="12"/>
  <c r="G53" i="17" s="1"/>
  <c r="G53" i="19" s="1"/>
  <c r="G53" i="18" s="1"/>
  <c r="G53" i="11" s="1"/>
  <c r="G53" i="13" s="1"/>
  <c r="G52" i="12"/>
  <c r="G52" i="17" s="1"/>
  <c r="G52" i="19" s="1"/>
  <c r="G52" i="18" s="1"/>
  <c r="G52" i="11" s="1"/>
  <c r="G52" i="13" s="1"/>
  <c r="G51" i="12"/>
  <c r="G51" i="17" s="1"/>
  <c r="G51" i="19" s="1"/>
  <c r="G51" i="18" s="1"/>
  <c r="G51" i="11" s="1"/>
  <c r="G51" i="13" s="1"/>
  <c r="G50" i="12"/>
  <c r="G50" i="17" s="1"/>
  <c r="G50" i="19" s="1"/>
  <c r="G50" i="18" s="1"/>
  <c r="G50" i="11" s="1"/>
  <c r="G50" i="13" s="1"/>
  <c r="G49" i="12"/>
  <c r="G49" i="17" s="1"/>
  <c r="G49" i="19" s="1"/>
  <c r="G49" i="18" s="1"/>
  <c r="G49" i="11" s="1"/>
  <c r="G49" i="13" s="1"/>
  <c r="G48" i="12"/>
  <c r="G48" i="17" s="1"/>
  <c r="G48" i="19" s="1"/>
  <c r="G48" i="18" s="1"/>
  <c r="G48" i="11" s="1"/>
  <c r="G48" i="13" s="1"/>
  <c r="G47" i="12"/>
  <c r="G47" i="17" s="1"/>
  <c r="G47" i="19" s="1"/>
  <c r="G47" i="18" s="1"/>
  <c r="G47" i="11" s="1"/>
  <c r="G47" i="13" s="1"/>
  <c r="G46" i="12"/>
  <c r="G46" i="17" s="1"/>
  <c r="G46" i="19" s="1"/>
  <c r="G46" i="18" s="1"/>
  <c r="G46" i="11" s="1"/>
  <c r="G46" i="13" s="1"/>
  <c r="G45" i="12"/>
  <c r="G45" i="17" s="1"/>
  <c r="G45" i="19" s="1"/>
  <c r="G45" i="18" s="1"/>
  <c r="G45" i="11" s="1"/>
  <c r="G45" i="13" s="1"/>
  <c r="G44" i="12"/>
  <c r="G44" i="17" s="1"/>
  <c r="G44" i="19" s="1"/>
  <c r="G44" i="18" s="1"/>
  <c r="G44" i="11" s="1"/>
  <c r="G44" i="13" s="1"/>
  <c r="G43" i="12"/>
  <c r="G43" i="17" s="1"/>
  <c r="G43" i="19" s="1"/>
  <c r="G43" i="18" s="1"/>
  <c r="G43" i="11" s="1"/>
  <c r="G43" i="13" s="1"/>
  <c r="G42" i="12"/>
  <c r="G42" i="17" s="1"/>
  <c r="G42" i="19" s="1"/>
  <c r="G42" i="18" s="1"/>
  <c r="G42" i="11" s="1"/>
  <c r="G42" i="13" s="1"/>
  <c r="G41" i="12"/>
  <c r="G41" i="17" s="1"/>
  <c r="G41" i="19" s="1"/>
  <c r="G41" i="18" s="1"/>
  <c r="G41" i="11" s="1"/>
  <c r="G41" i="13" s="1"/>
  <c r="G40" i="12"/>
  <c r="G40" i="17" s="1"/>
  <c r="G40" i="19" s="1"/>
  <c r="G40" i="18" s="1"/>
  <c r="G40" i="11" s="1"/>
  <c r="G40" i="13" s="1"/>
  <c r="G39" i="12"/>
  <c r="G39" i="17" s="1"/>
  <c r="G39" i="19" s="1"/>
  <c r="G39" i="18" s="1"/>
  <c r="G39" i="11" s="1"/>
  <c r="G39" i="13" s="1"/>
  <c r="E58" i="12"/>
  <c r="E58" i="17" s="1"/>
  <c r="E58" i="19" s="1"/>
  <c r="E58" i="18" s="1"/>
  <c r="E58" i="11" s="1"/>
  <c r="E58" i="13" s="1"/>
  <c r="E57" i="12"/>
  <c r="E57" i="17" s="1"/>
  <c r="E57" i="19" s="1"/>
  <c r="E57" i="18" s="1"/>
  <c r="E57" i="11" s="1"/>
  <c r="E57" i="13" s="1"/>
  <c r="E56" i="12"/>
  <c r="E56" i="17" s="1"/>
  <c r="E56" i="19" s="1"/>
  <c r="E56" i="18" s="1"/>
  <c r="E56" i="11" s="1"/>
  <c r="E56" i="13" s="1"/>
  <c r="E55" i="12"/>
  <c r="E55" i="17" s="1"/>
  <c r="E55" i="19" s="1"/>
  <c r="E55" i="18" s="1"/>
  <c r="E55" i="11" s="1"/>
  <c r="E55" i="13" s="1"/>
  <c r="E54" i="12"/>
  <c r="E54" i="17" s="1"/>
  <c r="E54" i="19" s="1"/>
  <c r="E54" i="18" s="1"/>
  <c r="E54" i="11" s="1"/>
  <c r="E54" i="13" s="1"/>
  <c r="E53" i="12"/>
  <c r="E53" i="17" s="1"/>
  <c r="E53" i="19" s="1"/>
  <c r="E53" i="18" s="1"/>
  <c r="E53" i="11" s="1"/>
  <c r="E53" i="13" s="1"/>
  <c r="E52" i="12"/>
  <c r="E52" i="17" s="1"/>
  <c r="E52" i="19" s="1"/>
  <c r="E52" i="18" s="1"/>
  <c r="E52" i="11" s="1"/>
  <c r="E52" i="13" s="1"/>
  <c r="E51" i="12"/>
  <c r="E51" i="17" s="1"/>
  <c r="E51" i="19" s="1"/>
  <c r="E51" i="18" s="1"/>
  <c r="E51" i="11" s="1"/>
  <c r="E51" i="13" s="1"/>
  <c r="E50" i="12"/>
  <c r="E50" i="17" s="1"/>
  <c r="E50" i="19" s="1"/>
  <c r="E50" i="18" s="1"/>
  <c r="E50" i="11" s="1"/>
  <c r="E50" i="13" s="1"/>
  <c r="E49" i="12"/>
  <c r="E49" i="17" s="1"/>
  <c r="E49" i="19" s="1"/>
  <c r="E49" i="18" s="1"/>
  <c r="E49" i="11" s="1"/>
  <c r="E49" i="13" s="1"/>
  <c r="E48" i="12"/>
  <c r="E48" i="17" s="1"/>
  <c r="E48" i="19" s="1"/>
  <c r="E48" i="18" s="1"/>
  <c r="E48" i="11" s="1"/>
  <c r="E48" i="13" s="1"/>
  <c r="E47" i="12"/>
  <c r="E47" i="17" s="1"/>
  <c r="E47" i="19" s="1"/>
  <c r="E47" i="18" s="1"/>
  <c r="E47" i="11" s="1"/>
  <c r="E47" i="13" s="1"/>
  <c r="E46" i="12"/>
  <c r="E46" i="17" s="1"/>
  <c r="E46" i="19" s="1"/>
  <c r="E46" i="18" s="1"/>
  <c r="E46" i="11" s="1"/>
  <c r="E46" i="13" s="1"/>
  <c r="E45" i="12"/>
  <c r="E45" i="17" s="1"/>
  <c r="E45" i="19" s="1"/>
  <c r="E45" i="18" s="1"/>
  <c r="E45" i="11" s="1"/>
  <c r="E45" i="13" s="1"/>
  <c r="E44" i="12"/>
  <c r="E44" i="17" s="1"/>
  <c r="E44" i="19" s="1"/>
  <c r="E44" i="18" s="1"/>
  <c r="E44" i="11" s="1"/>
  <c r="E44" i="13" s="1"/>
  <c r="E43" i="12"/>
  <c r="E43" i="17" s="1"/>
  <c r="E43" i="19" s="1"/>
  <c r="E43" i="18" s="1"/>
  <c r="E43" i="11" s="1"/>
  <c r="E43" i="13" s="1"/>
  <c r="E42" i="12"/>
  <c r="E42" i="17" s="1"/>
  <c r="E42" i="19" s="1"/>
  <c r="E42" i="18" s="1"/>
  <c r="E42" i="11" s="1"/>
  <c r="E42" i="13" s="1"/>
  <c r="E41" i="12"/>
  <c r="E41" i="17" s="1"/>
  <c r="E41" i="19" s="1"/>
  <c r="E41" i="18" s="1"/>
  <c r="E41" i="11" s="1"/>
  <c r="E41" i="13" s="1"/>
  <c r="E40" i="12"/>
  <c r="E40" i="17" s="1"/>
  <c r="E40" i="19" s="1"/>
  <c r="E40" i="18" s="1"/>
  <c r="E40" i="11" s="1"/>
  <c r="E40" i="13" s="1"/>
  <c r="E39" i="12"/>
  <c r="E39" i="17" s="1"/>
  <c r="E39" i="19" s="1"/>
  <c r="E39" i="18" s="1"/>
  <c r="E39" i="11" s="1"/>
  <c r="E39" i="13" s="1"/>
  <c r="C58" i="12"/>
  <c r="C58" i="17" s="1"/>
  <c r="C58" i="19" s="1"/>
  <c r="C58" i="18" s="1"/>
  <c r="C58" i="11" s="1"/>
  <c r="C58" i="13" s="1"/>
  <c r="B58" i="12"/>
  <c r="B58" i="17" s="1"/>
  <c r="C57" i="12"/>
  <c r="C57" i="17" s="1"/>
  <c r="C57" i="19" s="1"/>
  <c r="C57" i="18" s="1"/>
  <c r="C57" i="11" s="1"/>
  <c r="C57" i="13" s="1"/>
  <c r="B57" i="12"/>
  <c r="B57" i="17" s="1"/>
  <c r="C56" i="12"/>
  <c r="C56" i="17" s="1"/>
  <c r="C56" i="19" s="1"/>
  <c r="C56" i="18" s="1"/>
  <c r="C56" i="11" s="1"/>
  <c r="C56" i="13" s="1"/>
  <c r="B56" i="12"/>
  <c r="B56" i="17" s="1"/>
  <c r="C55" i="12"/>
  <c r="C55" i="17" s="1"/>
  <c r="C55" i="19" s="1"/>
  <c r="C55" i="18" s="1"/>
  <c r="C55" i="11" s="1"/>
  <c r="C55" i="13" s="1"/>
  <c r="B55" i="12"/>
  <c r="B55" i="17" s="1"/>
  <c r="C54" i="12"/>
  <c r="C54" i="17" s="1"/>
  <c r="C54" i="19" s="1"/>
  <c r="C54" i="18" s="1"/>
  <c r="C54" i="11" s="1"/>
  <c r="C54" i="13" s="1"/>
  <c r="B54" i="12"/>
  <c r="B54" i="17" s="1"/>
  <c r="C53" i="12"/>
  <c r="C53" i="17" s="1"/>
  <c r="C53" i="19" s="1"/>
  <c r="C53" i="18" s="1"/>
  <c r="C53" i="11" s="1"/>
  <c r="C53" i="13" s="1"/>
  <c r="B53" i="12"/>
  <c r="B53" i="17" s="1"/>
  <c r="C52" i="12"/>
  <c r="C52" i="17" s="1"/>
  <c r="C52" i="19" s="1"/>
  <c r="C52" i="18" s="1"/>
  <c r="C52" i="11" s="1"/>
  <c r="C52" i="13" s="1"/>
  <c r="B52" i="12"/>
  <c r="B52" i="17" s="1"/>
  <c r="C51" i="12"/>
  <c r="C51" i="17" s="1"/>
  <c r="C51" i="19" s="1"/>
  <c r="C51" i="18" s="1"/>
  <c r="C51" i="11" s="1"/>
  <c r="C51" i="13" s="1"/>
  <c r="B51" i="12"/>
  <c r="B51" i="17" s="1"/>
  <c r="C50" i="12"/>
  <c r="C50" i="17" s="1"/>
  <c r="C50" i="19" s="1"/>
  <c r="C50" i="18" s="1"/>
  <c r="C50" i="11" s="1"/>
  <c r="C50" i="13" s="1"/>
  <c r="B50" i="12"/>
  <c r="B50" i="17" s="1"/>
  <c r="C49" i="12"/>
  <c r="C49" i="17" s="1"/>
  <c r="C49" i="19" s="1"/>
  <c r="C49" i="18" s="1"/>
  <c r="C49" i="11" s="1"/>
  <c r="C49" i="13" s="1"/>
  <c r="B49" i="12"/>
  <c r="B49" i="17" s="1"/>
  <c r="C48" i="12"/>
  <c r="C48" i="17" s="1"/>
  <c r="C48" i="19" s="1"/>
  <c r="C48" i="18" s="1"/>
  <c r="C48" i="11" s="1"/>
  <c r="C48" i="13" s="1"/>
  <c r="B48" i="12"/>
  <c r="B48" i="17" s="1"/>
  <c r="B48" i="19" s="1"/>
  <c r="C47" i="12"/>
  <c r="C47" i="17" s="1"/>
  <c r="C47" i="19" s="1"/>
  <c r="C47" i="18" s="1"/>
  <c r="C47" i="11" s="1"/>
  <c r="C47" i="13" s="1"/>
  <c r="B47" i="12"/>
  <c r="B47" i="17" s="1"/>
  <c r="C46" i="12"/>
  <c r="C46" i="17" s="1"/>
  <c r="C46" i="19" s="1"/>
  <c r="C46" i="18" s="1"/>
  <c r="C46" i="11" s="1"/>
  <c r="C46" i="13" s="1"/>
  <c r="B46" i="12"/>
  <c r="B46" i="17" s="1"/>
  <c r="C45" i="12"/>
  <c r="C45" i="17" s="1"/>
  <c r="C45" i="19" s="1"/>
  <c r="C45" i="18" s="1"/>
  <c r="C45" i="11" s="1"/>
  <c r="C45" i="13" s="1"/>
  <c r="B45" i="12"/>
  <c r="B45" i="17" s="1"/>
  <c r="C44" i="12"/>
  <c r="C44" i="17" s="1"/>
  <c r="C44" i="19" s="1"/>
  <c r="C44" i="18" s="1"/>
  <c r="C44" i="11" s="1"/>
  <c r="C44" i="13" s="1"/>
  <c r="B44" i="12"/>
  <c r="B44" i="17" s="1"/>
  <c r="C43" i="12"/>
  <c r="C43" i="17" s="1"/>
  <c r="C43" i="19" s="1"/>
  <c r="C43" i="18" s="1"/>
  <c r="C43" i="11" s="1"/>
  <c r="C43" i="13" s="1"/>
  <c r="B43" i="12"/>
  <c r="B43" i="17" s="1"/>
  <c r="C42" i="12"/>
  <c r="C42" i="17" s="1"/>
  <c r="C42" i="19" s="1"/>
  <c r="C42" i="18" s="1"/>
  <c r="C42" i="11" s="1"/>
  <c r="C42" i="13" s="1"/>
  <c r="B42" i="12"/>
  <c r="B42" i="17" s="1"/>
  <c r="C41" i="12"/>
  <c r="C41" i="17" s="1"/>
  <c r="C41" i="19" s="1"/>
  <c r="C41" i="18" s="1"/>
  <c r="C41" i="11" s="1"/>
  <c r="C41" i="13" s="1"/>
  <c r="B41" i="12"/>
  <c r="B41" i="17" s="1"/>
  <c r="C40" i="12"/>
  <c r="C40" i="17" s="1"/>
  <c r="C40" i="19" s="1"/>
  <c r="C40" i="18" s="1"/>
  <c r="C40" i="11" s="1"/>
  <c r="C40" i="13" s="1"/>
  <c r="B40" i="12"/>
  <c r="B40" i="17" s="1"/>
  <c r="C39" i="12"/>
  <c r="C39" i="17" s="1"/>
  <c r="C39" i="19" s="1"/>
  <c r="C39" i="18" s="1"/>
  <c r="C39" i="11" s="1"/>
  <c r="C39" i="13" s="1"/>
  <c r="B39" i="12"/>
  <c r="B39" i="17" s="1"/>
  <c r="BI37" i="12"/>
  <c r="BI37" i="17" s="1"/>
  <c r="BI37" i="19" s="1"/>
  <c r="BI37" i="18" s="1"/>
  <c r="BI37" i="11" s="1"/>
  <c r="BI37" i="13" s="1"/>
  <c r="BI36" i="12"/>
  <c r="BI36" i="17" s="1"/>
  <c r="BI36" i="19" s="1"/>
  <c r="BI36" i="18" s="1"/>
  <c r="BI36" i="11" s="1"/>
  <c r="BI36" i="13" s="1"/>
  <c r="BI35" i="12"/>
  <c r="BI35" i="17" s="1"/>
  <c r="BI35" i="19" s="1"/>
  <c r="BI35" i="18" s="1"/>
  <c r="BI35" i="11" s="1"/>
  <c r="BI35" i="13" s="1"/>
  <c r="BI34" i="12"/>
  <c r="BI34" i="17" s="1"/>
  <c r="BI34" i="19" s="1"/>
  <c r="BI34" i="18" s="1"/>
  <c r="BI34" i="11" s="1"/>
  <c r="BI34" i="13" s="1"/>
  <c r="BI33" i="12"/>
  <c r="BI33" i="17" s="1"/>
  <c r="BI33" i="19" s="1"/>
  <c r="BI33" i="18" s="1"/>
  <c r="BI33" i="11" s="1"/>
  <c r="BI33" i="13" s="1"/>
  <c r="BI32" i="12"/>
  <c r="BI32" i="17" s="1"/>
  <c r="BI32" i="19" s="1"/>
  <c r="BI32" i="18" s="1"/>
  <c r="BI32" i="11" s="1"/>
  <c r="BI32" i="13" s="1"/>
  <c r="BI31" i="12"/>
  <c r="BI31" i="17" s="1"/>
  <c r="BI31" i="19" s="1"/>
  <c r="BI31" i="18" s="1"/>
  <c r="BI31" i="11" s="1"/>
  <c r="BI31" i="13" s="1"/>
  <c r="BI30" i="12"/>
  <c r="BI30" i="17" s="1"/>
  <c r="BI30" i="19" s="1"/>
  <c r="BI30" i="18" s="1"/>
  <c r="BI30" i="11" s="1"/>
  <c r="BI30" i="13" s="1"/>
  <c r="BI29" i="12"/>
  <c r="BI29" i="17" s="1"/>
  <c r="BI29" i="19" s="1"/>
  <c r="BI29" i="18" s="1"/>
  <c r="BI29" i="11" s="1"/>
  <c r="BI29" i="13" s="1"/>
  <c r="BI28" i="12"/>
  <c r="BI28" i="17" s="1"/>
  <c r="BI28" i="19" s="1"/>
  <c r="BI28" i="18" s="1"/>
  <c r="BI28" i="11" s="1"/>
  <c r="BI28" i="13" s="1"/>
  <c r="BI27" i="12"/>
  <c r="BI27" i="17" s="1"/>
  <c r="BI27" i="19" s="1"/>
  <c r="BI27" i="18" s="1"/>
  <c r="BI27" i="11" s="1"/>
  <c r="BI27" i="13" s="1"/>
  <c r="BI26" i="12"/>
  <c r="BI26" i="17" s="1"/>
  <c r="BI26" i="19" s="1"/>
  <c r="BI26" i="18" s="1"/>
  <c r="BI26" i="11" s="1"/>
  <c r="BI26" i="13" s="1"/>
  <c r="BG37" i="12"/>
  <c r="BG37" i="17" s="1"/>
  <c r="BG37" i="19" s="1"/>
  <c r="BG37" i="18" s="1"/>
  <c r="BG37" i="11" s="1"/>
  <c r="BG37" i="13" s="1"/>
  <c r="BG36" i="12"/>
  <c r="BG36" i="17" s="1"/>
  <c r="BG36" i="19" s="1"/>
  <c r="BG36" i="18" s="1"/>
  <c r="BG36" i="11" s="1"/>
  <c r="BG36" i="13" s="1"/>
  <c r="BG35" i="12"/>
  <c r="BG35" i="17" s="1"/>
  <c r="BG35" i="19" s="1"/>
  <c r="BG35" i="18" s="1"/>
  <c r="BG35" i="11" s="1"/>
  <c r="BG35" i="13" s="1"/>
  <c r="BG34" i="12"/>
  <c r="BG34" i="17" s="1"/>
  <c r="BG34" i="19" s="1"/>
  <c r="BG34" i="18" s="1"/>
  <c r="BG34" i="11" s="1"/>
  <c r="BG34" i="13" s="1"/>
  <c r="BG33" i="12"/>
  <c r="BG33" i="17" s="1"/>
  <c r="BG33" i="19" s="1"/>
  <c r="BG33" i="18" s="1"/>
  <c r="BG33" i="11" s="1"/>
  <c r="BG33" i="13" s="1"/>
  <c r="BG32" i="12"/>
  <c r="BG32" i="17" s="1"/>
  <c r="BG32" i="19" s="1"/>
  <c r="BG32" i="18" s="1"/>
  <c r="BG32" i="11" s="1"/>
  <c r="BG32" i="13" s="1"/>
  <c r="BG31" i="12"/>
  <c r="BG31" i="17" s="1"/>
  <c r="BG31" i="19" s="1"/>
  <c r="BG31" i="18" s="1"/>
  <c r="BG31" i="11" s="1"/>
  <c r="BG31" i="13" s="1"/>
  <c r="BG30" i="12"/>
  <c r="BG30" i="17" s="1"/>
  <c r="BG30" i="19" s="1"/>
  <c r="BG30" i="18" s="1"/>
  <c r="BG30" i="11" s="1"/>
  <c r="BG30" i="13" s="1"/>
  <c r="BG29" i="12"/>
  <c r="BG29" i="17" s="1"/>
  <c r="BG29" i="19" s="1"/>
  <c r="BG29" i="18" s="1"/>
  <c r="BG29" i="11" s="1"/>
  <c r="BG29" i="13" s="1"/>
  <c r="BG28" i="12"/>
  <c r="BG28" i="17" s="1"/>
  <c r="BG28" i="19" s="1"/>
  <c r="BG28" i="18" s="1"/>
  <c r="BG28" i="11" s="1"/>
  <c r="BG28" i="13" s="1"/>
  <c r="BG27" i="12"/>
  <c r="BG27" i="17" s="1"/>
  <c r="BG27" i="19" s="1"/>
  <c r="BG27" i="18" s="1"/>
  <c r="BG27" i="11" s="1"/>
  <c r="BG27" i="13" s="1"/>
  <c r="BG26" i="12"/>
  <c r="BG26" i="17" s="1"/>
  <c r="BG26" i="19" s="1"/>
  <c r="BG26" i="18" s="1"/>
  <c r="BG26" i="11" s="1"/>
  <c r="BG26" i="13" s="1"/>
  <c r="BE37" i="12"/>
  <c r="BE37" i="17" s="1"/>
  <c r="BE37" i="19" s="1"/>
  <c r="BE37" i="18" s="1"/>
  <c r="BE37" i="11" s="1"/>
  <c r="BE37" i="13" s="1"/>
  <c r="BE36" i="12"/>
  <c r="BE36" i="17" s="1"/>
  <c r="BE36" i="19" s="1"/>
  <c r="BE36" i="18" s="1"/>
  <c r="BE36" i="11" s="1"/>
  <c r="BE36" i="13" s="1"/>
  <c r="BE35" i="12"/>
  <c r="BE35" i="17" s="1"/>
  <c r="BE35" i="19" s="1"/>
  <c r="BE35" i="18" s="1"/>
  <c r="BE35" i="11" s="1"/>
  <c r="BE35" i="13" s="1"/>
  <c r="BE34" i="12"/>
  <c r="BE34" i="17" s="1"/>
  <c r="BE34" i="19" s="1"/>
  <c r="BE34" i="18" s="1"/>
  <c r="BE34" i="11" s="1"/>
  <c r="BE34" i="13" s="1"/>
  <c r="BE33" i="12"/>
  <c r="BE33" i="17" s="1"/>
  <c r="BE33" i="19" s="1"/>
  <c r="BE33" i="18" s="1"/>
  <c r="BE33" i="11" s="1"/>
  <c r="BE33" i="13" s="1"/>
  <c r="BE32" i="12"/>
  <c r="BE32" i="17" s="1"/>
  <c r="BE32" i="19" s="1"/>
  <c r="BE32" i="18" s="1"/>
  <c r="BE32" i="11" s="1"/>
  <c r="BE32" i="13" s="1"/>
  <c r="BE31" i="12"/>
  <c r="BE31" i="17" s="1"/>
  <c r="BE31" i="19" s="1"/>
  <c r="BE31" i="18" s="1"/>
  <c r="BE31" i="11" s="1"/>
  <c r="BE31" i="13" s="1"/>
  <c r="BE30" i="12"/>
  <c r="BE30" i="17" s="1"/>
  <c r="BE30" i="19" s="1"/>
  <c r="BE30" i="18" s="1"/>
  <c r="BE30" i="11" s="1"/>
  <c r="BE30" i="13" s="1"/>
  <c r="BE29" i="12"/>
  <c r="BE29" i="17" s="1"/>
  <c r="BE29" i="19" s="1"/>
  <c r="BE29" i="18" s="1"/>
  <c r="BE29" i="11" s="1"/>
  <c r="BE29" i="13" s="1"/>
  <c r="BE28" i="12"/>
  <c r="BE28" i="17" s="1"/>
  <c r="BE28" i="19" s="1"/>
  <c r="BE28" i="18" s="1"/>
  <c r="BE28" i="11" s="1"/>
  <c r="BE28" i="13" s="1"/>
  <c r="BE27" i="12"/>
  <c r="BE27" i="17" s="1"/>
  <c r="BE27" i="19" s="1"/>
  <c r="BE27" i="18" s="1"/>
  <c r="BE27" i="11" s="1"/>
  <c r="BE27" i="13" s="1"/>
  <c r="BE26" i="12"/>
  <c r="BE26" i="17" s="1"/>
  <c r="BE26" i="19" s="1"/>
  <c r="BE26" i="18" s="1"/>
  <c r="BE26" i="11" s="1"/>
  <c r="BE26" i="13" s="1"/>
  <c r="BC37" i="12"/>
  <c r="BC37" i="17" s="1"/>
  <c r="BC37" i="19" s="1"/>
  <c r="BC37" i="18" s="1"/>
  <c r="BC37" i="11" s="1"/>
  <c r="BC37" i="13" s="1"/>
  <c r="BC36" i="12"/>
  <c r="BC36" i="17" s="1"/>
  <c r="BC36" i="19" s="1"/>
  <c r="BC36" i="18" s="1"/>
  <c r="BC36" i="11" s="1"/>
  <c r="BC36" i="13" s="1"/>
  <c r="BC35" i="12"/>
  <c r="BC35" i="17" s="1"/>
  <c r="BC35" i="19" s="1"/>
  <c r="BC35" i="18" s="1"/>
  <c r="BC35" i="11" s="1"/>
  <c r="BC35" i="13" s="1"/>
  <c r="BC34" i="12"/>
  <c r="BC34" i="17" s="1"/>
  <c r="BC34" i="19" s="1"/>
  <c r="BC34" i="18" s="1"/>
  <c r="BC34" i="11" s="1"/>
  <c r="BC34" i="13" s="1"/>
  <c r="BC33" i="12"/>
  <c r="BC33" i="17" s="1"/>
  <c r="BC33" i="19" s="1"/>
  <c r="BC33" i="18" s="1"/>
  <c r="BC33" i="11" s="1"/>
  <c r="BC33" i="13" s="1"/>
  <c r="BC32" i="12"/>
  <c r="BC32" i="17" s="1"/>
  <c r="BC32" i="19" s="1"/>
  <c r="BC32" i="18" s="1"/>
  <c r="BC32" i="11" s="1"/>
  <c r="BC32" i="13" s="1"/>
  <c r="BC31" i="12"/>
  <c r="BC31" i="17" s="1"/>
  <c r="BC31" i="19" s="1"/>
  <c r="BC31" i="18" s="1"/>
  <c r="BC31" i="11" s="1"/>
  <c r="BC31" i="13" s="1"/>
  <c r="BC30" i="12"/>
  <c r="BC30" i="17" s="1"/>
  <c r="BC30" i="19" s="1"/>
  <c r="BC30" i="18" s="1"/>
  <c r="BC30" i="11" s="1"/>
  <c r="BC30" i="13" s="1"/>
  <c r="BC29" i="12"/>
  <c r="BC29" i="17" s="1"/>
  <c r="BC29" i="19" s="1"/>
  <c r="BC29" i="18" s="1"/>
  <c r="BC29" i="11" s="1"/>
  <c r="BC29" i="13" s="1"/>
  <c r="BC28" i="12"/>
  <c r="BC28" i="17" s="1"/>
  <c r="BC28" i="19" s="1"/>
  <c r="BC28" i="18" s="1"/>
  <c r="BC28" i="11" s="1"/>
  <c r="BC28" i="13" s="1"/>
  <c r="BC27" i="12"/>
  <c r="BC27" i="17" s="1"/>
  <c r="BC27" i="19" s="1"/>
  <c r="BC27" i="18" s="1"/>
  <c r="BC27" i="11" s="1"/>
  <c r="BC27" i="13" s="1"/>
  <c r="BC26" i="12"/>
  <c r="BC26" i="17" s="1"/>
  <c r="BC26" i="19" s="1"/>
  <c r="BC26" i="18" s="1"/>
  <c r="BC26" i="11" s="1"/>
  <c r="BC26" i="13" s="1"/>
  <c r="BA37" i="12"/>
  <c r="BA37" i="17" s="1"/>
  <c r="BA37" i="19" s="1"/>
  <c r="BA37" i="18" s="1"/>
  <c r="BA37" i="11" s="1"/>
  <c r="BA37" i="13" s="1"/>
  <c r="BA36" i="12"/>
  <c r="BA36" i="17" s="1"/>
  <c r="BA36" i="19" s="1"/>
  <c r="BA36" i="18" s="1"/>
  <c r="BA36" i="11" s="1"/>
  <c r="BA36" i="13" s="1"/>
  <c r="BA35" i="12"/>
  <c r="BA35" i="17" s="1"/>
  <c r="BA35" i="19" s="1"/>
  <c r="BA35" i="18" s="1"/>
  <c r="BA35" i="11" s="1"/>
  <c r="BA35" i="13" s="1"/>
  <c r="BA34" i="12"/>
  <c r="BA34" i="17" s="1"/>
  <c r="BA34" i="19" s="1"/>
  <c r="BA34" i="18" s="1"/>
  <c r="BA34" i="11" s="1"/>
  <c r="BA34" i="13" s="1"/>
  <c r="BA33" i="12"/>
  <c r="BA33" i="17" s="1"/>
  <c r="BA33" i="19" s="1"/>
  <c r="BA33" i="18" s="1"/>
  <c r="BA33" i="11" s="1"/>
  <c r="BA33" i="13" s="1"/>
  <c r="BA32" i="12"/>
  <c r="BA32" i="17" s="1"/>
  <c r="BA32" i="19" s="1"/>
  <c r="BA32" i="18" s="1"/>
  <c r="BA32" i="11" s="1"/>
  <c r="BA32" i="13" s="1"/>
  <c r="BA31" i="12"/>
  <c r="BA31" i="17" s="1"/>
  <c r="BA31" i="19" s="1"/>
  <c r="BA31" i="18" s="1"/>
  <c r="BA31" i="11" s="1"/>
  <c r="BA31" i="13" s="1"/>
  <c r="BA30" i="12"/>
  <c r="BA30" i="17" s="1"/>
  <c r="BA30" i="19" s="1"/>
  <c r="BA30" i="18" s="1"/>
  <c r="BA30" i="11" s="1"/>
  <c r="BA30" i="13" s="1"/>
  <c r="BA29" i="12"/>
  <c r="BA29" i="17" s="1"/>
  <c r="BA29" i="19" s="1"/>
  <c r="BA29" i="18" s="1"/>
  <c r="BA29" i="11" s="1"/>
  <c r="BA29" i="13" s="1"/>
  <c r="BA28" i="12"/>
  <c r="BA28" i="17" s="1"/>
  <c r="BA28" i="19" s="1"/>
  <c r="BA28" i="18" s="1"/>
  <c r="BA28" i="11" s="1"/>
  <c r="BA28" i="13" s="1"/>
  <c r="BA27" i="12"/>
  <c r="BA27" i="17" s="1"/>
  <c r="BA27" i="19" s="1"/>
  <c r="BA27" i="18" s="1"/>
  <c r="BA27" i="11" s="1"/>
  <c r="BA27" i="13" s="1"/>
  <c r="BA26" i="12"/>
  <c r="BA26" i="17" s="1"/>
  <c r="BA26" i="19" s="1"/>
  <c r="BA26" i="18" s="1"/>
  <c r="BA26" i="11" s="1"/>
  <c r="BA26" i="13" s="1"/>
  <c r="AY37" i="12"/>
  <c r="AY37" i="17" s="1"/>
  <c r="AY37" i="19" s="1"/>
  <c r="AY37" i="18" s="1"/>
  <c r="AY37" i="11" s="1"/>
  <c r="AY37" i="13" s="1"/>
  <c r="AY36" i="12"/>
  <c r="AY36" i="17" s="1"/>
  <c r="AY36" i="19" s="1"/>
  <c r="AY36" i="18" s="1"/>
  <c r="AY36" i="11" s="1"/>
  <c r="AY36" i="13" s="1"/>
  <c r="AY35" i="12"/>
  <c r="AY35" i="17" s="1"/>
  <c r="AY35" i="19" s="1"/>
  <c r="AY35" i="18" s="1"/>
  <c r="AY35" i="11" s="1"/>
  <c r="AY35" i="13" s="1"/>
  <c r="AY34" i="12"/>
  <c r="AY34" i="17" s="1"/>
  <c r="AY34" i="19" s="1"/>
  <c r="AY34" i="18" s="1"/>
  <c r="AY34" i="11" s="1"/>
  <c r="AY34" i="13" s="1"/>
  <c r="AY33" i="12"/>
  <c r="AY33" i="17" s="1"/>
  <c r="AY33" i="19" s="1"/>
  <c r="AY33" i="18" s="1"/>
  <c r="AY33" i="11" s="1"/>
  <c r="AY33" i="13" s="1"/>
  <c r="AY32" i="12"/>
  <c r="AY32" i="17" s="1"/>
  <c r="AY32" i="19" s="1"/>
  <c r="AY32" i="18" s="1"/>
  <c r="AY32" i="11" s="1"/>
  <c r="AY32" i="13" s="1"/>
  <c r="AY31" i="12"/>
  <c r="AY31" i="17" s="1"/>
  <c r="AY31" i="19" s="1"/>
  <c r="AY31" i="18" s="1"/>
  <c r="AY31" i="11" s="1"/>
  <c r="AY31" i="13" s="1"/>
  <c r="AY30" i="12"/>
  <c r="AY30" i="17" s="1"/>
  <c r="AY30" i="19" s="1"/>
  <c r="AY30" i="18" s="1"/>
  <c r="AY30" i="11" s="1"/>
  <c r="AY30" i="13" s="1"/>
  <c r="AY29" i="12"/>
  <c r="AY29" i="17" s="1"/>
  <c r="AY29" i="19" s="1"/>
  <c r="AY29" i="18" s="1"/>
  <c r="AY29" i="11" s="1"/>
  <c r="AY29" i="13" s="1"/>
  <c r="AY28" i="12"/>
  <c r="AY28" i="17" s="1"/>
  <c r="AY28" i="19" s="1"/>
  <c r="AY28" i="18" s="1"/>
  <c r="AY28" i="11" s="1"/>
  <c r="AY28" i="13" s="1"/>
  <c r="AY27" i="12"/>
  <c r="AY27" i="17" s="1"/>
  <c r="AY27" i="19" s="1"/>
  <c r="AY27" i="18" s="1"/>
  <c r="AY27" i="11" s="1"/>
  <c r="AY27" i="13" s="1"/>
  <c r="AY26" i="12"/>
  <c r="AY26" i="17" s="1"/>
  <c r="AY26" i="19" s="1"/>
  <c r="AY26" i="18" s="1"/>
  <c r="AY26" i="11" s="1"/>
  <c r="AY26" i="13" s="1"/>
  <c r="AW37" i="12"/>
  <c r="AW37" i="17" s="1"/>
  <c r="AW37" i="19" s="1"/>
  <c r="AW37" i="18" s="1"/>
  <c r="AW37" i="11" s="1"/>
  <c r="AW37" i="13" s="1"/>
  <c r="AW36" i="12"/>
  <c r="AW36" i="17" s="1"/>
  <c r="AW36" i="19" s="1"/>
  <c r="AW36" i="18" s="1"/>
  <c r="AW36" i="11" s="1"/>
  <c r="AW36" i="13" s="1"/>
  <c r="AW35" i="12"/>
  <c r="AW35" i="17" s="1"/>
  <c r="AW35" i="19" s="1"/>
  <c r="AW35" i="18" s="1"/>
  <c r="AW35" i="11" s="1"/>
  <c r="AW35" i="13" s="1"/>
  <c r="AW34" i="12"/>
  <c r="AW34" i="17" s="1"/>
  <c r="AW34" i="19" s="1"/>
  <c r="AW34" i="18" s="1"/>
  <c r="AW34" i="11" s="1"/>
  <c r="AW34" i="13" s="1"/>
  <c r="AW33" i="12"/>
  <c r="AW33" i="17" s="1"/>
  <c r="AW33" i="19" s="1"/>
  <c r="AW33" i="18" s="1"/>
  <c r="AW33" i="11" s="1"/>
  <c r="AW33" i="13" s="1"/>
  <c r="AW32" i="12"/>
  <c r="AW32" i="17" s="1"/>
  <c r="AW32" i="19" s="1"/>
  <c r="AW32" i="18" s="1"/>
  <c r="AW32" i="11" s="1"/>
  <c r="AW32" i="13" s="1"/>
  <c r="AW31" i="12"/>
  <c r="AW31" i="17" s="1"/>
  <c r="AW31" i="19" s="1"/>
  <c r="AW31" i="18" s="1"/>
  <c r="AW31" i="11" s="1"/>
  <c r="AW31" i="13" s="1"/>
  <c r="AW30" i="12"/>
  <c r="AW30" i="17" s="1"/>
  <c r="AW30" i="19" s="1"/>
  <c r="AW30" i="18" s="1"/>
  <c r="AW30" i="11" s="1"/>
  <c r="AW30" i="13" s="1"/>
  <c r="AW29" i="12"/>
  <c r="AW29" i="17" s="1"/>
  <c r="AW29" i="19" s="1"/>
  <c r="AW29" i="18" s="1"/>
  <c r="AW29" i="11" s="1"/>
  <c r="AW29" i="13" s="1"/>
  <c r="AW28" i="12"/>
  <c r="AW28" i="17" s="1"/>
  <c r="AW28" i="19" s="1"/>
  <c r="AW28" i="18" s="1"/>
  <c r="AW28" i="11" s="1"/>
  <c r="AW28" i="13" s="1"/>
  <c r="AW27" i="12"/>
  <c r="AW27" i="17" s="1"/>
  <c r="AW27" i="19" s="1"/>
  <c r="AW27" i="18" s="1"/>
  <c r="AW27" i="11" s="1"/>
  <c r="AW27" i="13" s="1"/>
  <c r="AW26" i="12"/>
  <c r="AW26" i="17" s="1"/>
  <c r="AW26" i="19" s="1"/>
  <c r="AW26" i="18" s="1"/>
  <c r="AW26" i="11" s="1"/>
  <c r="AW26" i="13" s="1"/>
  <c r="AU37" i="12"/>
  <c r="AU37" i="17" s="1"/>
  <c r="AU37" i="19" s="1"/>
  <c r="AU37" i="18" s="1"/>
  <c r="AU37" i="11" s="1"/>
  <c r="AU37" i="13" s="1"/>
  <c r="AU36" i="12"/>
  <c r="AU36" i="17" s="1"/>
  <c r="AU36" i="19" s="1"/>
  <c r="AU36" i="18" s="1"/>
  <c r="AU36" i="11" s="1"/>
  <c r="AU36" i="13" s="1"/>
  <c r="AU35" i="12"/>
  <c r="AU35" i="17" s="1"/>
  <c r="AU35" i="19" s="1"/>
  <c r="AU35" i="18" s="1"/>
  <c r="AU35" i="11" s="1"/>
  <c r="AU35" i="13" s="1"/>
  <c r="AU34" i="12"/>
  <c r="AU34" i="17" s="1"/>
  <c r="AU34" i="19" s="1"/>
  <c r="AU34" i="18" s="1"/>
  <c r="AU34" i="11" s="1"/>
  <c r="AU34" i="13" s="1"/>
  <c r="AU33" i="12"/>
  <c r="AU33" i="17" s="1"/>
  <c r="AU33" i="19" s="1"/>
  <c r="AU33" i="18" s="1"/>
  <c r="AU33" i="11" s="1"/>
  <c r="AU33" i="13" s="1"/>
  <c r="AU32" i="12"/>
  <c r="AU32" i="17" s="1"/>
  <c r="AU32" i="19" s="1"/>
  <c r="AU32" i="18" s="1"/>
  <c r="AU32" i="11" s="1"/>
  <c r="AU32" i="13" s="1"/>
  <c r="AU31" i="12"/>
  <c r="AU31" i="17" s="1"/>
  <c r="AU31" i="19" s="1"/>
  <c r="AU31" i="18" s="1"/>
  <c r="AU31" i="11" s="1"/>
  <c r="AU31" i="13" s="1"/>
  <c r="AU30" i="12"/>
  <c r="AU30" i="17" s="1"/>
  <c r="AU30" i="19" s="1"/>
  <c r="AU30" i="18" s="1"/>
  <c r="AU30" i="11" s="1"/>
  <c r="AU30" i="13" s="1"/>
  <c r="AU29" i="12"/>
  <c r="AU29" i="17" s="1"/>
  <c r="AU29" i="19" s="1"/>
  <c r="AU29" i="18" s="1"/>
  <c r="AU29" i="11" s="1"/>
  <c r="AU29" i="13" s="1"/>
  <c r="AU28" i="12"/>
  <c r="AU28" i="17" s="1"/>
  <c r="AU28" i="19" s="1"/>
  <c r="AU28" i="18" s="1"/>
  <c r="AU28" i="11" s="1"/>
  <c r="AU28" i="13" s="1"/>
  <c r="AU27" i="12"/>
  <c r="AU27" i="17" s="1"/>
  <c r="AU27" i="19" s="1"/>
  <c r="AU27" i="18" s="1"/>
  <c r="AU27" i="11" s="1"/>
  <c r="AU27" i="13" s="1"/>
  <c r="AU26" i="12"/>
  <c r="AU26" i="17" s="1"/>
  <c r="AU26" i="19" s="1"/>
  <c r="AU26" i="18" s="1"/>
  <c r="AU26" i="11" s="1"/>
  <c r="AU26" i="13" s="1"/>
  <c r="AS37" i="12"/>
  <c r="AS37" i="17" s="1"/>
  <c r="AS37" i="19" s="1"/>
  <c r="AS37" i="18" s="1"/>
  <c r="AS37" i="11" s="1"/>
  <c r="AS37" i="13" s="1"/>
  <c r="AS36" i="12"/>
  <c r="AS36" i="17" s="1"/>
  <c r="AS36" i="19" s="1"/>
  <c r="AS36" i="18" s="1"/>
  <c r="AS36" i="11" s="1"/>
  <c r="AS36" i="13" s="1"/>
  <c r="AS35" i="12"/>
  <c r="AS35" i="17" s="1"/>
  <c r="AS35" i="19" s="1"/>
  <c r="AS35" i="18" s="1"/>
  <c r="AS35" i="11" s="1"/>
  <c r="AS35" i="13" s="1"/>
  <c r="AS34" i="12"/>
  <c r="AS34" i="17" s="1"/>
  <c r="AS34" i="19" s="1"/>
  <c r="AS34" i="18" s="1"/>
  <c r="AS34" i="11" s="1"/>
  <c r="AS34" i="13" s="1"/>
  <c r="AS33" i="12"/>
  <c r="AS33" i="17" s="1"/>
  <c r="AS33" i="19" s="1"/>
  <c r="AS33" i="18" s="1"/>
  <c r="AS33" i="11" s="1"/>
  <c r="AS33" i="13" s="1"/>
  <c r="AS32" i="12"/>
  <c r="AS32" i="17" s="1"/>
  <c r="AS32" i="19" s="1"/>
  <c r="AS32" i="18" s="1"/>
  <c r="AS32" i="11" s="1"/>
  <c r="AS32" i="13" s="1"/>
  <c r="AS31" i="12"/>
  <c r="AS31" i="17" s="1"/>
  <c r="AS31" i="19" s="1"/>
  <c r="AS31" i="18" s="1"/>
  <c r="AS31" i="11" s="1"/>
  <c r="AS31" i="13" s="1"/>
  <c r="AS30" i="12"/>
  <c r="AS30" i="17" s="1"/>
  <c r="AS30" i="19" s="1"/>
  <c r="AS30" i="18" s="1"/>
  <c r="AS30" i="11" s="1"/>
  <c r="AS30" i="13" s="1"/>
  <c r="AS29" i="12"/>
  <c r="AS29" i="17" s="1"/>
  <c r="AS29" i="19" s="1"/>
  <c r="AS29" i="18" s="1"/>
  <c r="AS29" i="11" s="1"/>
  <c r="AS29" i="13" s="1"/>
  <c r="AS28" i="12"/>
  <c r="AS28" i="17" s="1"/>
  <c r="AS28" i="19" s="1"/>
  <c r="AS28" i="18" s="1"/>
  <c r="AS28" i="11" s="1"/>
  <c r="AS28" i="13" s="1"/>
  <c r="AS27" i="12"/>
  <c r="AS27" i="17" s="1"/>
  <c r="AS27" i="19" s="1"/>
  <c r="AS27" i="18" s="1"/>
  <c r="AS27" i="11" s="1"/>
  <c r="AS27" i="13" s="1"/>
  <c r="AS26" i="12"/>
  <c r="AS26" i="17" s="1"/>
  <c r="AS26" i="19" s="1"/>
  <c r="AS26" i="18" s="1"/>
  <c r="AS26" i="11" s="1"/>
  <c r="AS26" i="13" s="1"/>
  <c r="AQ37" i="12"/>
  <c r="AQ37" i="17" s="1"/>
  <c r="AQ37" i="19" s="1"/>
  <c r="AQ37" i="18" s="1"/>
  <c r="AQ37" i="11" s="1"/>
  <c r="AQ37" i="13" s="1"/>
  <c r="AQ36" i="12"/>
  <c r="AQ36" i="17" s="1"/>
  <c r="AQ36" i="19" s="1"/>
  <c r="AQ36" i="18" s="1"/>
  <c r="AQ36" i="11" s="1"/>
  <c r="AQ36" i="13" s="1"/>
  <c r="AQ35" i="12"/>
  <c r="AQ35" i="17" s="1"/>
  <c r="AQ35" i="19" s="1"/>
  <c r="AQ35" i="18" s="1"/>
  <c r="AQ35" i="11" s="1"/>
  <c r="AQ35" i="13" s="1"/>
  <c r="AQ34" i="12"/>
  <c r="AQ34" i="17" s="1"/>
  <c r="AQ34" i="19" s="1"/>
  <c r="AQ34" i="18" s="1"/>
  <c r="AQ34" i="11" s="1"/>
  <c r="AQ34" i="13" s="1"/>
  <c r="AQ33" i="12"/>
  <c r="AQ33" i="17" s="1"/>
  <c r="AQ33" i="19" s="1"/>
  <c r="AQ33" i="18" s="1"/>
  <c r="AQ33" i="11" s="1"/>
  <c r="AQ33" i="13" s="1"/>
  <c r="AQ32" i="12"/>
  <c r="AQ32" i="17" s="1"/>
  <c r="AQ32" i="19" s="1"/>
  <c r="AQ32" i="18" s="1"/>
  <c r="AQ32" i="11" s="1"/>
  <c r="AQ32" i="13" s="1"/>
  <c r="AQ31" i="12"/>
  <c r="AQ31" i="17" s="1"/>
  <c r="AQ31" i="19" s="1"/>
  <c r="AQ31" i="18" s="1"/>
  <c r="AQ31" i="11" s="1"/>
  <c r="AQ31" i="13" s="1"/>
  <c r="AQ30" i="12"/>
  <c r="AQ30" i="17" s="1"/>
  <c r="AQ30" i="19" s="1"/>
  <c r="AQ30" i="18" s="1"/>
  <c r="AQ30" i="11" s="1"/>
  <c r="AQ30" i="13" s="1"/>
  <c r="AQ29" i="12"/>
  <c r="AQ29" i="17" s="1"/>
  <c r="AQ29" i="19" s="1"/>
  <c r="AQ29" i="18" s="1"/>
  <c r="AQ29" i="11" s="1"/>
  <c r="AQ29" i="13" s="1"/>
  <c r="AQ28" i="12"/>
  <c r="AQ28" i="17" s="1"/>
  <c r="AQ28" i="19" s="1"/>
  <c r="AQ28" i="18" s="1"/>
  <c r="AQ28" i="11" s="1"/>
  <c r="AQ28" i="13" s="1"/>
  <c r="AQ27" i="12"/>
  <c r="AQ27" i="17" s="1"/>
  <c r="AQ27" i="19" s="1"/>
  <c r="AQ27" i="18" s="1"/>
  <c r="AQ27" i="11" s="1"/>
  <c r="AQ27" i="13" s="1"/>
  <c r="AQ26" i="12"/>
  <c r="AQ26" i="17" s="1"/>
  <c r="AQ26" i="19" s="1"/>
  <c r="AQ26" i="18" s="1"/>
  <c r="AQ26" i="11" s="1"/>
  <c r="AQ26" i="13" s="1"/>
  <c r="AO37" i="12"/>
  <c r="AO37" i="17" s="1"/>
  <c r="AO37" i="19" s="1"/>
  <c r="AO37" i="18" s="1"/>
  <c r="AO37" i="11" s="1"/>
  <c r="AO37" i="13" s="1"/>
  <c r="AO36" i="12"/>
  <c r="AO36" i="17" s="1"/>
  <c r="AO36" i="19" s="1"/>
  <c r="AO36" i="18" s="1"/>
  <c r="AO36" i="11" s="1"/>
  <c r="AO36" i="13" s="1"/>
  <c r="AO35" i="12"/>
  <c r="AO35" i="17" s="1"/>
  <c r="AO35" i="19" s="1"/>
  <c r="AO35" i="18" s="1"/>
  <c r="AO35" i="11" s="1"/>
  <c r="AO35" i="13" s="1"/>
  <c r="AO34" i="12"/>
  <c r="AO34" i="17" s="1"/>
  <c r="AO34" i="19" s="1"/>
  <c r="AO34" i="18" s="1"/>
  <c r="AO34" i="11" s="1"/>
  <c r="AO34" i="13" s="1"/>
  <c r="AO33" i="12"/>
  <c r="AO33" i="17" s="1"/>
  <c r="AO33" i="19" s="1"/>
  <c r="AO33" i="18" s="1"/>
  <c r="AO33" i="11" s="1"/>
  <c r="AO33" i="13" s="1"/>
  <c r="AO32" i="12"/>
  <c r="AO32" i="17" s="1"/>
  <c r="AO32" i="19" s="1"/>
  <c r="AO32" i="18" s="1"/>
  <c r="AO32" i="11" s="1"/>
  <c r="AO32" i="13" s="1"/>
  <c r="AO31" i="12"/>
  <c r="AO31" i="17" s="1"/>
  <c r="AO31" i="19" s="1"/>
  <c r="AO31" i="18" s="1"/>
  <c r="AO31" i="11" s="1"/>
  <c r="AO31" i="13" s="1"/>
  <c r="AO30" i="12"/>
  <c r="AO30" i="17" s="1"/>
  <c r="AO30" i="19" s="1"/>
  <c r="AO30" i="18" s="1"/>
  <c r="AO30" i="11" s="1"/>
  <c r="AO30" i="13" s="1"/>
  <c r="AO29" i="12"/>
  <c r="AO29" i="17" s="1"/>
  <c r="AO29" i="19" s="1"/>
  <c r="AO29" i="18" s="1"/>
  <c r="AO29" i="11" s="1"/>
  <c r="AO29" i="13" s="1"/>
  <c r="AO28" i="12"/>
  <c r="AO28" i="17" s="1"/>
  <c r="AO28" i="19" s="1"/>
  <c r="AO28" i="18" s="1"/>
  <c r="AO28" i="11" s="1"/>
  <c r="AO28" i="13" s="1"/>
  <c r="AO27" i="12"/>
  <c r="AO27" i="17" s="1"/>
  <c r="AO27" i="19" s="1"/>
  <c r="AO27" i="18" s="1"/>
  <c r="AO27" i="11" s="1"/>
  <c r="AO27" i="13" s="1"/>
  <c r="AO26" i="12"/>
  <c r="AO26" i="17" s="1"/>
  <c r="AO26" i="19" s="1"/>
  <c r="AO26" i="18" s="1"/>
  <c r="AO26" i="11" s="1"/>
  <c r="AO26" i="13" s="1"/>
  <c r="AM37" i="12"/>
  <c r="AM37" i="17" s="1"/>
  <c r="AM37" i="19" s="1"/>
  <c r="AM37" i="18" s="1"/>
  <c r="AM37" i="11" s="1"/>
  <c r="AM37" i="13" s="1"/>
  <c r="AM36" i="12"/>
  <c r="AM36" i="17" s="1"/>
  <c r="AM36" i="19" s="1"/>
  <c r="AM36" i="18" s="1"/>
  <c r="AM36" i="11" s="1"/>
  <c r="AM36" i="13" s="1"/>
  <c r="AM35" i="12"/>
  <c r="AM35" i="17" s="1"/>
  <c r="AM35" i="19" s="1"/>
  <c r="AM35" i="18" s="1"/>
  <c r="AM35" i="11" s="1"/>
  <c r="AM35" i="13" s="1"/>
  <c r="AM34" i="12"/>
  <c r="AM34" i="17" s="1"/>
  <c r="AM34" i="19" s="1"/>
  <c r="AM34" i="18" s="1"/>
  <c r="AM34" i="11" s="1"/>
  <c r="AM34" i="13" s="1"/>
  <c r="AM33" i="12"/>
  <c r="AM33" i="17" s="1"/>
  <c r="AM33" i="19" s="1"/>
  <c r="AM33" i="18" s="1"/>
  <c r="AM33" i="11" s="1"/>
  <c r="AM33" i="13" s="1"/>
  <c r="AM32" i="12"/>
  <c r="AM32" i="17" s="1"/>
  <c r="AM32" i="19" s="1"/>
  <c r="AM32" i="18" s="1"/>
  <c r="AM32" i="11" s="1"/>
  <c r="AM32" i="13" s="1"/>
  <c r="AM31" i="12"/>
  <c r="AM31" i="17" s="1"/>
  <c r="AM31" i="19" s="1"/>
  <c r="AM31" i="18" s="1"/>
  <c r="AM31" i="11" s="1"/>
  <c r="AM31" i="13" s="1"/>
  <c r="AM30" i="12"/>
  <c r="AM30" i="17" s="1"/>
  <c r="AM30" i="19" s="1"/>
  <c r="AM30" i="18" s="1"/>
  <c r="AM30" i="11" s="1"/>
  <c r="AM30" i="13" s="1"/>
  <c r="AM29" i="12"/>
  <c r="AM29" i="17" s="1"/>
  <c r="AM29" i="19" s="1"/>
  <c r="AM29" i="18" s="1"/>
  <c r="AM29" i="11" s="1"/>
  <c r="AM29" i="13" s="1"/>
  <c r="AM28" i="12"/>
  <c r="AM28" i="17" s="1"/>
  <c r="AM28" i="19" s="1"/>
  <c r="AM28" i="18" s="1"/>
  <c r="AM28" i="11" s="1"/>
  <c r="AM28" i="13" s="1"/>
  <c r="AM27" i="12"/>
  <c r="AM27" i="17" s="1"/>
  <c r="AM27" i="19" s="1"/>
  <c r="AM27" i="18" s="1"/>
  <c r="AM27" i="11" s="1"/>
  <c r="AM27" i="13" s="1"/>
  <c r="AM26" i="12"/>
  <c r="AM26" i="17" s="1"/>
  <c r="AM26" i="19" s="1"/>
  <c r="AM26" i="18" s="1"/>
  <c r="AM26" i="11" s="1"/>
  <c r="AM26" i="13" s="1"/>
  <c r="AK37" i="12"/>
  <c r="AK37" i="17" s="1"/>
  <c r="AK37" i="19" s="1"/>
  <c r="AK37" i="18" s="1"/>
  <c r="AK37" i="11" s="1"/>
  <c r="AK37" i="13" s="1"/>
  <c r="AK36" i="12"/>
  <c r="AK36" i="17" s="1"/>
  <c r="AK36" i="19" s="1"/>
  <c r="AK36" i="18" s="1"/>
  <c r="AK36" i="11" s="1"/>
  <c r="AK36" i="13" s="1"/>
  <c r="AK35" i="12"/>
  <c r="AK35" i="17" s="1"/>
  <c r="AK35" i="19" s="1"/>
  <c r="AK35" i="18" s="1"/>
  <c r="AK35" i="11" s="1"/>
  <c r="AK35" i="13" s="1"/>
  <c r="AK34" i="12"/>
  <c r="AK34" i="17" s="1"/>
  <c r="AK34" i="19" s="1"/>
  <c r="AK34" i="18" s="1"/>
  <c r="AK34" i="11" s="1"/>
  <c r="AK34" i="13" s="1"/>
  <c r="AK33" i="12"/>
  <c r="AK33" i="17" s="1"/>
  <c r="AK33" i="19" s="1"/>
  <c r="AK33" i="18" s="1"/>
  <c r="AK33" i="11" s="1"/>
  <c r="AK33" i="13" s="1"/>
  <c r="AK32" i="12"/>
  <c r="AK32" i="17" s="1"/>
  <c r="AK32" i="19" s="1"/>
  <c r="AK32" i="18" s="1"/>
  <c r="AK32" i="11" s="1"/>
  <c r="AK32" i="13" s="1"/>
  <c r="AK31" i="12"/>
  <c r="AK31" i="17" s="1"/>
  <c r="AK31" i="19" s="1"/>
  <c r="AK31" i="18" s="1"/>
  <c r="AK31" i="11" s="1"/>
  <c r="AK31" i="13" s="1"/>
  <c r="AK30" i="12"/>
  <c r="AK30" i="17" s="1"/>
  <c r="AK30" i="19" s="1"/>
  <c r="AK30" i="18" s="1"/>
  <c r="AK30" i="11" s="1"/>
  <c r="AK30" i="13" s="1"/>
  <c r="AK29" i="12"/>
  <c r="AK29" i="17" s="1"/>
  <c r="AK29" i="19" s="1"/>
  <c r="AK29" i="18" s="1"/>
  <c r="AK29" i="11" s="1"/>
  <c r="AK29" i="13" s="1"/>
  <c r="AK28" i="12"/>
  <c r="AK28" i="17" s="1"/>
  <c r="AK28" i="19" s="1"/>
  <c r="AK28" i="18" s="1"/>
  <c r="AK28" i="11" s="1"/>
  <c r="AK28" i="13" s="1"/>
  <c r="AK27" i="12"/>
  <c r="AK27" i="17" s="1"/>
  <c r="AK27" i="19" s="1"/>
  <c r="AK27" i="18" s="1"/>
  <c r="AK27" i="11" s="1"/>
  <c r="AK27" i="13" s="1"/>
  <c r="AK26" i="12"/>
  <c r="AK26" i="17" s="1"/>
  <c r="AK26" i="19" s="1"/>
  <c r="AK26" i="18" s="1"/>
  <c r="AK26" i="11" s="1"/>
  <c r="AK26" i="13" s="1"/>
  <c r="AI37" i="12"/>
  <c r="AI37" i="17" s="1"/>
  <c r="AI37" i="19" s="1"/>
  <c r="AI37" i="18" s="1"/>
  <c r="AI37" i="11" s="1"/>
  <c r="AI37" i="13" s="1"/>
  <c r="AI36" i="12"/>
  <c r="AI36" i="17" s="1"/>
  <c r="AI36" i="19" s="1"/>
  <c r="AI36" i="18" s="1"/>
  <c r="AI36" i="11" s="1"/>
  <c r="AI36" i="13" s="1"/>
  <c r="AI35" i="12"/>
  <c r="AI35" i="17" s="1"/>
  <c r="AI35" i="19" s="1"/>
  <c r="AI35" i="18" s="1"/>
  <c r="AI35" i="11" s="1"/>
  <c r="AI35" i="13" s="1"/>
  <c r="AI34" i="12"/>
  <c r="AI34" i="17" s="1"/>
  <c r="AI34" i="19" s="1"/>
  <c r="AI34" i="18" s="1"/>
  <c r="AI34" i="11" s="1"/>
  <c r="AI34" i="13" s="1"/>
  <c r="AI33" i="12"/>
  <c r="AI33" i="17" s="1"/>
  <c r="AI33" i="19" s="1"/>
  <c r="AI33" i="18" s="1"/>
  <c r="AI33" i="11" s="1"/>
  <c r="AI33" i="13" s="1"/>
  <c r="AI32" i="12"/>
  <c r="AI32" i="17" s="1"/>
  <c r="AI32" i="19" s="1"/>
  <c r="AI32" i="18" s="1"/>
  <c r="AI32" i="11" s="1"/>
  <c r="AI32" i="13" s="1"/>
  <c r="AI31" i="12"/>
  <c r="AI31" i="17" s="1"/>
  <c r="AI31" i="19" s="1"/>
  <c r="AI31" i="18" s="1"/>
  <c r="AI31" i="11" s="1"/>
  <c r="AI31" i="13" s="1"/>
  <c r="AI30" i="12"/>
  <c r="AI30" i="17" s="1"/>
  <c r="AI30" i="19" s="1"/>
  <c r="AI30" i="18" s="1"/>
  <c r="AI30" i="11" s="1"/>
  <c r="AI30" i="13" s="1"/>
  <c r="AI29" i="12"/>
  <c r="AI29" i="17" s="1"/>
  <c r="AI29" i="19" s="1"/>
  <c r="AI29" i="18" s="1"/>
  <c r="AI29" i="11" s="1"/>
  <c r="AI29" i="13" s="1"/>
  <c r="AI28" i="12"/>
  <c r="AI28" i="17" s="1"/>
  <c r="AI28" i="19" s="1"/>
  <c r="AI28" i="18" s="1"/>
  <c r="AI28" i="11" s="1"/>
  <c r="AI28" i="13" s="1"/>
  <c r="AI27" i="12"/>
  <c r="AI27" i="17" s="1"/>
  <c r="AI27" i="19" s="1"/>
  <c r="AI27" i="18" s="1"/>
  <c r="AI27" i="11" s="1"/>
  <c r="AI27" i="13" s="1"/>
  <c r="AI26" i="12"/>
  <c r="AI26" i="17" s="1"/>
  <c r="AI26" i="19" s="1"/>
  <c r="AI26" i="18" s="1"/>
  <c r="AI26" i="11" s="1"/>
  <c r="AI26" i="13" s="1"/>
  <c r="AG37" i="12"/>
  <c r="AG37" i="17" s="1"/>
  <c r="AG37" i="19" s="1"/>
  <c r="AG37" i="18" s="1"/>
  <c r="AG37" i="11" s="1"/>
  <c r="AG37" i="13" s="1"/>
  <c r="AG36" i="12"/>
  <c r="AG36" i="17" s="1"/>
  <c r="AG36" i="19" s="1"/>
  <c r="AG36" i="18" s="1"/>
  <c r="AG36" i="11" s="1"/>
  <c r="AG36" i="13" s="1"/>
  <c r="AG35" i="12"/>
  <c r="AG35" i="17" s="1"/>
  <c r="AG35" i="19" s="1"/>
  <c r="AG35" i="18" s="1"/>
  <c r="AG35" i="11" s="1"/>
  <c r="AG35" i="13" s="1"/>
  <c r="AG34" i="12"/>
  <c r="AG34" i="17" s="1"/>
  <c r="AG34" i="19" s="1"/>
  <c r="AG34" i="18" s="1"/>
  <c r="AG34" i="11" s="1"/>
  <c r="AG34" i="13" s="1"/>
  <c r="AG33" i="12"/>
  <c r="AG33" i="17" s="1"/>
  <c r="AG33" i="19" s="1"/>
  <c r="AG33" i="18" s="1"/>
  <c r="AG33" i="11" s="1"/>
  <c r="AG33" i="13" s="1"/>
  <c r="AG32" i="12"/>
  <c r="AG32" i="17" s="1"/>
  <c r="AG32" i="19" s="1"/>
  <c r="AG32" i="18" s="1"/>
  <c r="AG32" i="11" s="1"/>
  <c r="AG32" i="13" s="1"/>
  <c r="AG31" i="12"/>
  <c r="AG31" i="17" s="1"/>
  <c r="AG31" i="19" s="1"/>
  <c r="AG31" i="18" s="1"/>
  <c r="AG31" i="11" s="1"/>
  <c r="AG31" i="13" s="1"/>
  <c r="AG30" i="12"/>
  <c r="AG30" i="17" s="1"/>
  <c r="AG30" i="19" s="1"/>
  <c r="AG30" i="18" s="1"/>
  <c r="AG30" i="11" s="1"/>
  <c r="AG30" i="13" s="1"/>
  <c r="AG29" i="12"/>
  <c r="AG29" i="17" s="1"/>
  <c r="AG29" i="19" s="1"/>
  <c r="AG29" i="18" s="1"/>
  <c r="AG29" i="11" s="1"/>
  <c r="AG29" i="13" s="1"/>
  <c r="AG28" i="12"/>
  <c r="AG28" i="17" s="1"/>
  <c r="AG28" i="19" s="1"/>
  <c r="AG28" i="18" s="1"/>
  <c r="AG28" i="11" s="1"/>
  <c r="AG28" i="13" s="1"/>
  <c r="AG27" i="12"/>
  <c r="AG27" i="17" s="1"/>
  <c r="AG27" i="19" s="1"/>
  <c r="AG27" i="18" s="1"/>
  <c r="AG27" i="11" s="1"/>
  <c r="AG27" i="13" s="1"/>
  <c r="AG26" i="12"/>
  <c r="AG26" i="17" s="1"/>
  <c r="AG26" i="19" s="1"/>
  <c r="AG26" i="18" s="1"/>
  <c r="AG26" i="11" s="1"/>
  <c r="AG26" i="13" s="1"/>
  <c r="AE37" i="12"/>
  <c r="AE37" i="17" s="1"/>
  <c r="AE37" i="19" s="1"/>
  <c r="AE37" i="18" s="1"/>
  <c r="AE37" i="11" s="1"/>
  <c r="AE37" i="13" s="1"/>
  <c r="AE36" i="12"/>
  <c r="AE36" i="17" s="1"/>
  <c r="AE36" i="19" s="1"/>
  <c r="AE36" i="18" s="1"/>
  <c r="AE36" i="11" s="1"/>
  <c r="AE36" i="13" s="1"/>
  <c r="AE35" i="12"/>
  <c r="AE35" i="17" s="1"/>
  <c r="AE35" i="19" s="1"/>
  <c r="AE35" i="18" s="1"/>
  <c r="AE35" i="11" s="1"/>
  <c r="AE35" i="13" s="1"/>
  <c r="AE34" i="12"/>
  <c r="AE34" i="17" s="1"/>
  <c r="AE34" i="19" s="1"/>
  <c r="AE34" i="18" s="1"/>
  <c r="AE34" i="11" s="1"/>
  <c r="AE34" i="13" s="1"/>
  <c r="AE33" i="12"/>
  <c r="AE33" i="17" s="1"/>
  <c r="AE33" i="19" s="1"/>
  <c r="AE33" i="18" s="1"/>
  <c r="AE33" i="11" s="1"/>
  <c r="AE33" i="13" s="1"/>
  <c r="AE32" i="12"/>
  <c r="AE32" i="17" s="1"/>
  <c r="AE32" i="19" s="1"/>
  <c r="AE32" i="18" s="1"/>
  <c r="AE32" i="11" s="1"/>
  <c r="AE32" i="13" s="1"/>
  <c r="AE31" i="12"/>
  <c r="AE31" i="17" s="1"/>
  <c r="AE31" i="19" s="1"/>
  <c r="AE31" i="18" s="1"/>
  <c r="AE31" i="11" s="1"/>
  <c r="AE31" i="13" s="1"/>
  <c r="AE30" i="12"/>
  <c r="AE30" i="17" s="1"/>
  <c r="AE30" i="19" s="1"/>
  <c r="AE30" i="18" s="1"/>
  <c r="AE30" i="11" s="1"/>
  <c r="AE30" i="13" s="1"/>
  <c r="AE29" i="12"/>
  <c r="AE29" i="17" s="1"/>
  <c r="AE29" i="19" s="1"/>
  <c r="AE29" i="18" s="1"/>
  <c r="AE29" i="11" s="1"/>
  <c r="AE29" i="13" s="1"/>
  <c r="AE28" i="12"/>
  <c r="AE28" i="17" s="1"/>
  <c r="AE28" i="19" s="1"/>
  <c r="AE28" i="18" s="1"/>
  <c r="AE28" i="11" s="1"/>
  <c r="AE28" i="13" s="1"/>
  <c r="AE27" i="12"/>
  <c r="AE27" i="17" s="1"/>
  <c r="AE27" i="19" s="1"/>
  <c r="AE27" i="18" s="1"/>
  <c r="AE27" i="11" s="1"/>
  <c r="AE27" i="13" s="1"/>
  <c r="AE26" i="12"/>
  <c r="AE26" i="17" s="1"/>
  <c r="AE26" i="19" s="1"/>
  <c r="AE26" i="18" s="1"/>
  <c r="AE26" i="11" s="1"/>
  <c r="AE26" i="13" s="1"/>
  <c r="AC37" i="12"/>
  <c r="AC37" i="17" s="1"/>
  <c r="AC37" i="19" s="1"/>
  <c r="AC37" i="18" s="1"/>
  <c r="AC37" i="11" s="1"/>
  <c r="AC37" i="13" s="1"/>
  <c r="AC36" i="12"/>
  <c r="AC36" i="17" s="1"/>
  <c r="AC36" i="19" s="1"/>
  <c r="AC36" i="18" s="1"/>
  <c r="AC36" i="11" s="1"/>
  <c r="AC36" i="13" s="1"/>
  <c r="AC35" i="12"/>
  <c r="AC35" i="17" s="1"/>
  <c r="AC35" i="19" s="1"/>
  <c r="AC35" i="18" s="1"/>
  <c r="AC35" i="11" s="1"/>
  <c r="AC35" i="13" s="1"/>
  <c r="AC34" i="12"/>
  <c r="AC34" i="17" s="1"/>
  <c r="AC34" i="19" s="1"/>
  <c r="AC34" i="18" s="1"/>
  <c r="AC34" i="11" s="1"/>
  <c r="AC34" i="13" s="1"/>
  <c r="AC33" i="12"/>
  <c r="AC33" i="17" s="1"/>
  <c r="AC33" i="19" s="1"/>
  <c r="AC33" i="18" s="1"/>
  <c r="AC33" i="11" s="1"/>
  <c r="AC33" i="13" s="1"/>
  <c r="AC32" i="12"/>
  <c r="AC32" i="17" s="1"/>
  <c r="AC32" i="19" s="1"/>
  <c r="AC32" i="18" s="1"/>
  <c r="AC32" i="11" s="1"/>
  <c r="AC32" i="13" s="1"/>
  <c r="AC31" i="12"/>
  <c r="AC31" i="17" s="1"/>
  <c r="AC31" i="19" s="1"/>
  <c r="AC31" i="18" s="1"/>
  <c r="AC31" i="11" s="1"/>
  <c r="AC31" i="13" s="1"/>
  <c r="AC30" i="12"/>
  <c r="AC30" i="17" s="1"/>
  <c r="AC30" i="19" s="1"/>
  <c r="AC30" i="18" s="1"/>
  <c r="AC30" i="11" s="1"/>
  <c r="AC30" i="13" s="1"/>
  <c r="AC29" i="12"/>
  <c r="AC29" i="17" s="1"/>
  <c r="AC29" i="19" s="1"/>
  <c r="AC29" i="18" s="1"/>
  <c r="AC29" i="11" s="1"/>
  <c r="AC29" i="13" s="1"/>
  <c r="AC28" i="12"/>
  <c r="AC28" i="17" s="1"/>
  <c r="AC28" i="19" s="1"/>
  <c r="AC28" i="18" s="1"/>
  <c r="AC28" i="11" s="1"/>
  <c r="AC28" i="13" s="1"/>
  <c r="AC27" i="12"/>
  <c r="AC27" i="17" s="1"/>
  <c r="AC27" i="19" s="1"/>
  <c r="AC27" i="18" s="1"/>
  <c r="AC27" i="11" s="1"/>
  <c r="AC27" i="13" s="1"/>
  <c r="AC26" i="12"/>
  <c r="AC26" i="17" s="1"/>
  <c r="AC26" i="19" s="1"/>
  <c r="AC26" i="18" s="1"/>
  <c r="AC26" i="11" s="1"/>
  <c r="AC26" i="13" s="1"/>
  <c r="AA37" i="12"/>
  <c r="AA37" i="17" s="1"/>
  <c r="AA37" i="19" s="1"/>
  <c r="AA37" i="18" s="1"/>
  <c r="AA37" i="11" s="1"/>
  <c r="AA37" i="13" s="1"/>
  <c r="AA36" i="12"/>
  <c r="AA36" i="17" s="1"/>
  <c r="AA36" i="19" s="1"/>
  <c r="AA36" i="18" s="1"/>
  <c r="AA36" i="11" s="1"/>
  <c r="AA36" i="13" s="1"/>
  <c r="AA35" i="12"/>
  <c r="AA35" i="17" s="1"/>
  <c r="AA35" i="19" s="1"/>
  <c r="AA35" i="18" s="1"/>
  <c r="AA35" i="11" s="1"/>
  <c r="AA35" i="13" s="1"/>
  <c r="AA34" i="12"/>
  <c r="AA34" i="17" s="1"/>
  <c r="AA34" i="19" s="1"/>
  <c r="AA34" i="18" s="1"/>
  <c r="AA34" i="11" s="1"/>
  <c r="AA34" i="13" s="1"/>
  <c r="AA33" i="12"/>
  <c r="AA33" i="17" s="1"/>
  <c r="AA33" i="19" s="1"/>
  <c r="AA33" i="18" s="1"/>
  <c r="AA33" i="11" s="1"/>
  <c r="AA33" i="13" s="1"/>
  <c r="AA32" i="12"/>
  <c r="AA32" i="17" s="1"/>
  <c r="AA32" i="19" s="1"/>
  <c r="AA32" i="18" s="1"/>
  <c r="AA32" i="11" s="1"/>
  <c r="AA32" i="13" s="1"/>
  <c r="AA31" i="12"/>
  <c r="AA31" i="17" s="1"/>
  <c r="AA31" i="19" s="1"/>
  <c r="AA31" i="18" s="1"/>
  <c r="AA31" i="11" s="1"/>
  <c r="AA31" i="13" s="1"/>
  <c r="AA30" i="12"/>
  <c r="AA30" i="17" s="1"/>
  <c r="AA30" i="19" s="1"/>
  <c r="AA30" i="18" s="1"/>
  <c r="AA30" i="11" s="1"/>
  <c r="AA30" i="13" s="1"/>
  <c r="AA29" i="12"/>
  <c r="AA29" i="17" s="1"/>
  <c r="AA29" i="19" s="1"/>
  <c r="AA29" i="18" s="1"/>
  <c r="AA29" i="11" s="1"/>
  <c r="AA29" i="13" s="1"/>
  <c r="AA28" i="12"/>
  <c r="AA28" i="17" s="1"/>
  <c r="AA28" i="19" s="1"/>
  <c r="AA28" i="18" s="1"/>
  <c r="AA28" i="11" s="1"/>
  <c r="AA28" i="13" s="1"/>
  <c r="AA27" i="12"/>
  <c r="AA27" i="17" s="1"/>
  <c r="AA27" i="19" s="1"/>
  <c r="AA27" i="18" s="1"/>
  <c r="AA27" i="11" s="1"/>
  <c r="AA27" i="13" s="1"/>
  <c r="AA26" i="12"/>
  <c r="AA26" i="17" s="1"/>
  <c r="AA26" i="19" s="1"/>
  <c r="AA26" i="18" s="1"/>
  <c r="AA26" i="11" s="1"/>
  <c r="AA26" i="13" s="1"/>
  <c r="Y37" i="12"/>
  <c r="Y37" i="17" s="1"/>
  <c r="Y37" i="19" s="1"/>
  <c r="Y37" i="18" s="1"/>
  <c r="Y37" i="11" s="1"/>
  <c r="Y37" i="13" s="1"/>
  <c r="Y36" i="12"/>
  <c r="Y36" i="17" s="1"/>
  <c r="Y36" i="19" s="1"/>
  <c r="Y36" i="18" s="1"/>
  <c r="Y36" i="11" s="1"/>
  <c r="Y36" i="13" s="1"/>
  <c r="Y35" i="12"/>
  <c r="Y35" i="17" s="1"/>
  <c r="Y35" i="19" s="1"/>
  <c r="Y35" i="18" s="1"/>
  <c r="Y35" i="11" s="1"/>
  <c r="Y35" i="13" s="1"/>
  <c r="Y34" i="12"/>
  <c r="Y34" i="17" s="1"/>
  <c r="Y34" i="19" s="1"/>
  <c r="Y34" i="18" s="1"/>
  <c r="Y34" i="11" s="1"/>
  <c r="Y34" i="13" s="1"/>
  <c r="Y33" i="12"/>
  <c r="Y33" i="17" s="1"/>
  <c r="Y33" i="19" s="1"/>
  <c r="Y33" i="18" s="1"/>
  <c r="Y33" i="11" s="1"/>
  <c r="Y33" i="13" s="1"/>
  <c r="Y32" i="12"/>
  <c r="Y32" i="17" s="1"/>
  <c r="Y32" i="19" s="1"/>
  <c r="Y32" i="18" s="1"/>
  <c r="Y32" i="11" s="1"/>
  <c r="Y32" i="13" s="1"/>
  <c r="Y31" i="12"/>
  <c r="Y31" i="17" s="1"/>
  <c r="Y31" i="19" s="1"/>
  <c r="Y31" i="18" s="1"/>
  <c r="Y31" i="11" s="1"/>
  <c r="Y31" i="13" s="1"/>
  <c r="Y30" i="12"/>
  <c r="Y30" i="17" s="1"/>
  <c r="Y30" i="19" s="1"/>
  <c r="Y30" i="18" s="1"/>
  <c r="Y30" i="11" s="1"/>
  <c r="Y30" i="13" s="1"/>
  <c r="Y29" i="12"/>
  <c r="Y29" i="17" s="1"/>
  <c r="Y29" i="19" s="1"/>
  <c r="Y29" i="18" s="1"/>
  <c r="Y29" i="11" s="1"/>
  <c r="Y29" i="13" s="1"/>
  <c r="Y28" i="12"/>
  <c r="Y28" i="17" s="1"/>
  <c r="Y28" i="19" s="1"/>
  <c r="Y28" i="18" s="1"/>
  <c r="Y28" i="11" s="1"/>
  <c r="Y28" i="13" s="1"/>
  <c r="Y27" i="12"/>
  <c r="Y27" i="17" s="1"/>
  <c r="Y27" i="19" s="1"/>
  <c r="Y27" i="18" s="1"/>
  <c r="Y27" i="11" s="1"/>
  <c r="Y27" i="13" s="1"/>
  <c r="Y26" i="12"/>
  <c r="Y26" i="17" s="1"/>
  <c r="Y26" i="19" s="1"/>
  <c r="Y26" i="18" s="1"/>
  <c r="Y26" i="11" s="1"/>
  <c r="Y26" i="13" s="1"/>
  <c r="W37" i="12"/>
  <c r="W37" i="17" s="1"/>
  <c r="W37" i="19" s="1"/>
  <c r="W37" i="18" s="1"/>
  <c r="W37" i="11" s="1"/>
  <c r="W37" i="13" s="1"/>
  <c r="W36" i="12"/>
  <c r="W36" i="17" s="1"/>
  <c r="W36" i="19" s="1"/>
  <c r="W36" i="18" s="1"/>
  <c r="W36" i="11" s="1"/>
  <c r="W36" i="13" s="1"/>
  <c r="W35" i="12"/>
  <c r="W35" i="17" s="1"/>
  <c r="W35" i="19" s="1"/>
  <c r="W35" i="18" s="1"/>
  <c r="W35" i="11" s="1"/>
  <c r="W35" i="13" s="1"/>
  <c r="W34" i="12"/>
  <c r="W34" i="17" s="1"/>
  <c r="W34" i="19" s="1"/>
  <c r="W34" i="18" s="1"/>
  <c r="W34" i="11" s="1"/>
  <c r="W34" i="13" s="1"/>
  <c r="W33" i="12"/>
  <c r="W33" i="17" s="1"/>
  <c r="W33" i="19" s="1"/>
  <c r="W33" i="18" s="1"/>
  <c r="W33" i="11" s="1"/>
  <c r="W33" i="13" s="1"/>
  <c r="W32" i="12"/>
  <c r="W32" i="17" s="1"/>
  <c r="W32" i="19" s="1"/>
  <c r="W32" i="18" s="1"/>
  <c r="W32" i="11" s="1"/>
  <c r="W32" i="13" s="1"/>
  <c r="W31" i="12"/>
  <c r="W31" i="17" s="1"/>
  <c r="W31" i="19" s="1"/>
  <c r="W31" i="18" s="1"/>
  <c r="W31" i="11" s="1"/>
  <c r="W31" i="13" s="1"/>
  <c r="W30" i="12"/>
  <c r="W30" i="17" s="1"/>
  <c r="W30" i="19" s="1"/>
  <c r="W30" i="18" s="1"/>
  <c r="W30" i="11" s="1"/>
  <c r="W30" i="13" s="1"/>
  <c r="W29" i="12"/>
  <c r="W29" i="17" s="1"/>
  <c r="W29" i="19" s="1"/>
  <c r="W29" i="18" s="1"/>
  <c r="W29" i="11" s="1"/>
  <c r="W29" i="13" s="1"/>
  <c r="W28" i="12"/>
  <c r="W28" i="17" s="1"/>
  <c r="W28" i="19" s="1"/>
  <c r="W28" i="18" s="1"/>
  <c r="W28" i="11" s="1"/>
  <c r="W28" i="13" s="1"/>
  <c r="W27" i="12"/>
  <c r="W27" i="17" s="1"/>
  <c r="W27" i="19" s="1"/>
  <c r="W27" i="18" s="1"/>
  <c r="W27" i="11" s="1"/>
  <c r="W27" i="13" s="1"/>
  <c r="W26" i="12"/>
  <c r="W26" i="17" s="1"/>
  <c r="W26" i="19" s="1"/>
  <c r="W26" i="18" s="1"/>
  <c r="W26" i="11" s="1"/>
  <c r="W26" i="13" s="1"/>
  <c r="U37" i="12"/>
  <c r="U37" i="17" s="1"/>
  <c r="U37" i="19" s="1"/>
  <c r="U37" i="18" s="1"/>
  <c r="U37" i="11" s="1"/>
  <c r="U37" i="13" s="1"/>
  <c r="U36" i="12"/>
  <c r="U36" i="17" s="1"/>
  <c r="U36" i="19" s="1"/>
  <c r="U36" i="18" s="1"/>
  <c r="U36" i="11" s="1"/>
  <c r="U36" i="13" s="1"/>
  <c r="U35" i="12"/>
  <c r="U35" i="17" s="1"/>
  <c r="U35" i="19" s="1"/>
  <c r="U35" i="18" s="1"/>
  <c r="U35" i="11" s="1"/>
  <c r="U35" i="13" s="1"/>
  <c r="U34" i="12"/>
  <c r="U34" i="17" s="1"/>
  <c r="U34" i="19" s="1"/>
  <c r="U34" i="18" s="1"/>
  <c r="U34" i="11" s="1"/>
  <c r="U34" i="13" s="1"/>
  <c r="U33" i="12"/>
  <c r="U33" i="17" s="1"/>
  <c r="U33" i="19" s="1"/>
  <c r="U33" i="18" s="1"/>
  <c r="U33" i="11" s="1"/>
  <c r="U33" i="13" s="1"/>
  <c r="U32" i="12"/>
  <c r="U32" i="17" s="1"/>
  <c r="U32" i="19" s="1"/>
  <c r="U32" i="18" s="1"/>
  <c r="U32" i="11" s="1"/>
  <c r="U32" i="13" s="1"/>
  <c r="U31" i="12"/>
  <c r="U31" i="17" s="1"/>
  <c r="U31" i="19" s="1"/>
  <c r="U31" i="18" s="1"/>
  <c r="U31" i="11" s="1"/>
  <c r="U31" i="13" s="1"/>
  <c r="U30" i="12"/>
  <c r="U30" i="17" s="1"/>
  <c r="U30" i="19" s="1"/>
  <c r="U30" i="18" s="1"/>
  <c r="U30" i="11" s="1"/>
  <c r="U30" i="13" s="1"/>
  <c r="U29" i="12"/>
  <c r="U29" i="17" s="1"/>
  <c r="U29" i="19" s="1"/>
  <c r="U29" i="18" s="1"/>
  <c r="U29" i="11" s="1"/>
  <c r="U29" i="13" s="1"/>
  <c r="U28" i="12"/>
  <c r="U28" i="17" s="1"/>
  <c r="U28" i="19" s="1"/>
  <c r="U28" i="18" s="1"/>
  <c r="U28" i="11" s="1"/>
  <c r="U28" i="13" s="1"/>
  <c r="U27" i="12"/>
  <c r="U27" i="17" s="1"/>
  <c r="U27" i="19" s="1"/>
  <c r="U27" i="18" s="1"/>
  <c r="U27" i="11" s="1"/>
  <c r="U27" i="13" s="1"/>
  <c r="U26" i="12"/>
  <c r="U26" i="17" s="1"/>
  <c r="U26" i="19" s="1"/>
  <c r="U26" i="18" s="1"/>
  <c r="U26" i="11" s="1"/>
  <c r="U26" i="13" s="1"/>
  <c r="S37" i="12"/>
  <c r="S37" i="17" s="1"/>
  <c r="S37" i="19" s="1"/>
  <c r="S37" i="18" s="1"/>
  <c r="S37" i="11" s="1"/>
  <c r="S37" i="13" s="1"/>
  <c r="S36" i="12"/>
  <c r="S36" i="17" s="1"/>
  <c r="S36" i="19" s="1"/>
  <c r="S36" i="18" s="1"/>
  <c r="S36" i="11" s="1"/>
  <c r="S36" i="13" s="1"/>
  <c r="S35" i="12"/>
  <c r="S35" i="17" s="1"/>
  <c r="S35" i="19" s="1"/>
  <c r="S35" i="18" s="1"/>
  <c r="S35" i="11" s="1"/>
  <c r="S35" i="13" s="1"/>
  <c r="S34" i="12"/>
  <c r="S34" i="17" s="1"/>
  <c r="S34" i="19" s="1"/>
  <c r="S34" i="18" s="1"/>
  <c r="S34" i="11" s="1"/>
  <c r="S34" i="13" s="1"/>
  <c r="S33" i="12"/>
  <c r="S33" i="17" s="1"/>
  <c r="S33" i="19" s="1"/>
  <c r="S33" i="18" s="1"/>
  <c r="S33" i="11" s="1"/>
  <c r="S33" i="13" s="1"/>
  <c r="S32" i="12"/>
  <c r="S32" i="17" s="1"/>
  <c r="S32" i="19" s="1"/>
  <c r="S32" i="18" s="1"/>
  <c r="S32" i="11" s="1"/>
  <c r="S32" i="13" s="1"/>
  <c r="S31" i="12"/>
  <c r="S31" i="17" s="1"/>
  <c r="S31" i="19" s="1"/>
  <c r="S31" i="18" s="1"/>
  <c r="S31" i="11" s="1"/>
  <c r="S31" i="13" s="1"/>
  <c r="S30" i="12"/>
  <c r="S30" i="17" s="1"/>
  <c r="S30" i="19" s="1"/>
  <c r="S30" i="18" s="1"/>
  <c r="S30" i="11" s="1"/>
  <c r="S30" i="13" s="1"/>
  <c r="S29" i="12"/>
  <c r="S29" i="17" s="1"/>
  <c r="S29" i="19" s="1"/>
  <c r="S29" i="18" s="1"/>
  <c r="S29" i="11" s="1"/>
  <c r="S29" i="13" s="1"/>
  <c r="S28" i="12"/>
  <c r="S28" i="17" s="1"/>
  <c r="S28" i="19" s="1"/>
  <c r="S28" i="18" s="1"/>
  <c r="S28" i="11" s="1"/>
  <c r="S28" i="13" s="1"/>
  <c r="S27" i="12"/>
  <c r="S27" i="17" s="1"/>
  <c r="S27" i="19" s="1"/>
  <c r="S27" i="18" s="1"/>
  <c r="S27" i="11" s="1"/>
  <c r="S27" i="13" s="1"/>
  <c r="S26" i="12"/>
  <c r="S26" i="17" s="1"/>
  <c r="S26" i="19" s="1"/>
  <c r="S26" i="18" s="1"/>
  <c r="S26" i="11" s="1"/>
  <c r="S26" i="13" s="1"/>
  <c r="Q37" i="12"/>
  <c r="Q37" i="17" s="1"/>
  <c r="Q37" i="19" s="1"/>
  <c r="Q37" i="18" s="1"/>
  <c r="Q37" i="11" s="1"/>
  <c r="Q37" i="13" s="1"/>
  <c r="Q36" i="12"/>
  <c r="Q36" i="17" s="1"/>
  <c r="Q36" i="19" s="1"/>
  <c r="Q36" i="18" s="1"/>
  <c r="Q36" i="11" s="1"/>
  <c r="Q36" i="13" s="1"/>
  <c r="Q35" i="12"/>
  <c r="Q35" i="17" s="1"/>
  <c r="Q35" i="19" s="1"/>
  <c r="Q35" i="18" s="1"/>
  <c r="Q35" i="11" s="1"/>
  <c r="Q35" i="13" s="1"/>
  <c r="Q34" i="12"/>
  <c r="Q34" i="17" s="1"/>
  <c r="Q34" i="19" s="1"/>
  <c r="Q34" i="18" s="1"/>
  <c r="Q34" i="11" s="1"/>
  <c r="Q34" i="13" s="1"/>
  <c r="Q33" i="12"/>
  <c r="Q33" i="17" s="1"/>
  <c r="Q33" i="19" s="1"/>
  <c r="Q33" i="18" s="1"/>
  <c r="Q33" i="11" s="1"/>
  <c r="Q33" i="13" s="1"/>
  <c r="Q32" i="12"/>
  <c r="Q32" i="17" s="1"/>
  <c r="Q32" i="19" s="1"/>
  <c r="Q32" i="18" s="1"/>
  <c r="Q32" i="11" s="1"/>
  <c r="Q32" i="13" s="1"/>
  <c r="Q31" i="12"/>
  <c r="Q31" i="17" s="1"/>
  <c r="Q31" i="19" s="1"/>
  <c r="Q31" i="18" s="1"/>
  <c r="Q31" i="11" s="1"/>
  <c r="Q31" i="13" s="1"/>
  <c r="Q30" i="12"/>
  <c r="Q30" i="17" s="1"/>
  <c r="Q30" i="19" s="1"/>
  <c r="Q30" i="18" s="1"/>
  <c r="Q30" i="11" s="1"/>
  <c r="Q30" i="13" s="1"/>
  <c r="Q29" i="12"/>
  <c r="Q29" i="17" s="1"/>
  <c r="Q29" i="19" s="1"/>
  <c r="Q29" i="18" s="1"/>
  <c r="Q29" i="11" s="1"/>
  <c r="Q29" i="13" s="1"/>
  <c r="Q28" i="12"/>
  <c r="Q28" i="17" s="1"/>
  <c r="Q28" i="19" s="1"/>
  <c r="Q28" i="18" s="1"/>
  <c r="Q28" i="11" s="1"/>
  <c r="Q28" i="13" s="1"/>
  <c r="Q27" i="12"/>
  <c r="Q27" i="17" s="1"/>
  <c r="Q27" i="19" s="1"/>
  <c r="Q27" i="18" s="1"/>
  <c r="Q27" i="11" s="1"/>
  <c r="Q27" i="13" s="1"/>
  <c r="Q26" i="12"/>
  <c r="Q26" i="17" s="1"/>
  <c r="Q26" i="19" s="1"/>
  <c r="Q26" i="18" s="1"/>
  <c r="Q26" i="11" s="1"/>
  <c r="Q26" i="13" s="1"/>
  <c r="O37" i="12"/>
  <c r="O37" i="17" s="1"/>
  <c r="O37" i="19" s="1"/>
  <c r="O37" i="18" s="1"/>
  <c r="O37" i="11" s="1"/>
  <c r="O37" i="13" s="1"/>
  <c r="O36" i="12"/>
  <c r="O36" i="17" s="1"/>
  <c r="O36" i="19" s="1"/>
  <c r="O36" i="18" s="1"/>
  <c r="O36" i="11" s="1"/>
  <c r="O36" i="13" s="1"/>
  <c r="O35" i="12"/>
  <c r="O35" i="17" s="1"/>
  <c r="O35" i="19" s="1"/>
  <c r="O35" i="18" s="1"/>
  <c r="O35" i="11" s="1"/>
  <c r="O35" i="13" s="1"/>
  <c r="O34" i="12"/>
  <c r="O34" i="17" s="1"/>
  <c r="O34" i="19" s="1"/>
  <c r="O34" i="18" s="1"/>
  <c r="O34" i="11" s="1"/>
  <c r="O34" i="13" s="1"/>
  <c r="O33" i="12"/>
  <c r="O33" i="17" s="1"/>
  <c r="O33" i="19" s="1"/>
  <c r="O33" i="18" s="1"/>
  <c r="O33" i="11" s="1"/>
  <c r="O33" i="13" s="1"/>
  <c r="O32" i="12"/>
  <c r="O32" i="17" s="1"/>
  <c r="O32" i="19" s="1"/>
  <c r="O32" i="18" s="1"/>
  <c r="O32" i="11" s="1"/>
  <c r="O32" i="13" s="1"/>
  <c r="O31" i="12"/>
  <c r="O31" i="17" s="1"/>
  <c r="O31" i="19" s="1"/>
  <c r="O31" i="18" s="1"/>
  <c r="O31" i="11" s="1"/>
  <c r="O31" i="13" s="1"/>
  <c r="O30" i="12"/>
  <c r="O30" i="17" s="1"/>
  <c r="O30" i="19" s="1"/>
  <c r="O30" i="18" s="1"/>
  <c r="O30" i="11" s="1"/>
  <c r="O30" i="13" s="1"/>
  <c r="O29" i="12"/>
  <c r="O29" i="17" s="1"/>
  <c r="O29" i="19" s="1"/>
  <c r="O29" i="18" s="1"/>
  <c r="O29" i="11" s="1"/>
  <c r="O29" i="13" s="1"/>
  <c r="O28" i="12"/>
  <c r="O28" i="17" s="1"/>
  <c r="O28" i="19" s="1"/>
  <c r="O28" i="18" s="1"/>
  <c r="O28" i="11" s="1"/>
  <c r="O28" i="13" s="1"/>
  <c r="O27" i="12"/>
  <c r="O27" i="17" s="1"/>
  <c r="O27" i="19" s="1"/>
  <c r="O27" i="18" s="1"/>
  <c r="O27" i="11" s="1"/>
  <c r="O27" i="13" s="1"/>
  <c r="O26" i="12"/>
  <c r="O26" i="17" s="1"/>
  <c r="O26" i="19" s="1"/>
  <c r="O26" i="18" s="1"/>
  <c r="O26" i="11" s="1"/>
  <c r="O26" i="13" s="1"/>
  <c r="M37" i="12"/>
  <c r="M37" i="17" s="1"/>
  <c r="M37" i="19" s="1"/>
  <c r="M37" i="18" s="1"/>
  <c r="M37" i="11" s="1"/>
  <c r="M37" i="13" s="1"/>
  <c r="M36" i="12"/>
  <c r="M36" i="17" s="1"/>
  <c r="M36" i="19" s="1"/>
  <c r="M36" i="18" s="1"/>
  <c r="M36" i="11" s="1"/>
  <c r="M36" i="13" s="1"/>
  <c r="M35" i="12"/>
  <c r="M35" i="17" s="1"/>
  <c r="M35" i="19" s="1"/>
  <c r="M35" i="18" s="1"/>
  <c r="M35" i="11" s="1"/>
  <c r="M35" i="13" s="1"/>
  <c r="M34" i="12"/>
  <c r="M34" i="17" s="1"/>
  <c r="M34" i="19" s="1"/>
  <c r="M34" i="18" s="1"/>
  <c r="M34" i="11" s="1"/>
  <c r="M34" i="13" s="1"/>
  <c r="M33" i="12"/>
  <c r="M33" i="17" s="1"/>
  <c r="M33" i="19" s="1"/>
  <c r="M33" i="18" s="1"/>
  <c r="M33" i="11" s="1"/>
  <c r="M33" i="13" s="1"/>
  <c r="M32" i="12"/>
  <c r="M32" i="17" s="1"/>
  <c r="M32" i="19" s="1"/>
  <c r="M32" i="18" s="1"/>
  <c r="M32" i="11" s="1"/>
  <c r="M32" i="13" s="1"/>
  <c r="M31" i="12"/>
  <c r="M31" i="17" s="1"/>
  <c r="M31" i="19" s="1"/>
  <c r="M31" i="18" s="1"/>
  <c r="M31" i="11" s="1"/>
  <c r="M31" i="13" s="1"/>
  <c r="M30" i="12"/>
  <c r="M30" i="17" s="1"/>
  <c r="M30" i="19" s="1"/>
  <c r="M30" i="18" s="1"/>
  <c r="M30" i="11" s="1"/>
  <c r="M30" i="13" s="1"/>
  <c r="M29" i="12"/>
  <c r="M29" i="17" s="1"/>
  <c r="M29" i="19" s="1"/>
  <c r="M29" i="18" s="1"/>
  <c r="M29" i="11" s="1"/>
  <c r="M29" i="13" s="1"/>
  <c r="M28" i="12"/>
  <c r="M28" i="17" s="1"/>
  <c r="M28" i="19" s="1"/>
  <c r="M28" i="18" s="1"/>
  <c r="M28" i="11" s="1"/>
  <c r="M28" i="13" s="1"/>
  <c r="M27" i="12"/>
  <c r="M27" i="17" s="1"/>
  <c r="M27" i="19" s="1"/>
  <c r="M27" i="18" s="1"/>
  <c r="M27" i="11" s="1"/>
  <c r="M27" i="13" s="1"/>
  <c r="M26" i="12"/>
  <c r="M26" i="17" s="1"/>
  <c r="M26" i="19" s="1"/>
  <c r="M26" i="18" s="1"/>
  <c r="M26" i="11" s="1"/>
  <c r="M26" i="13" s="1"/>
  <c r="K37" i="12"/>
  <c r="K37" i="17" s="1"/>
  <c r="K37" i="19" s="1"/>
  <c r="K37" i="18" s="1"/>
  <c r="K37" i="11" s="1"/>
  <c r="K37" i="13" s="1"/>
  <c r="K36" i="12"/>
  <c r="K36" i="17" s="1"/>
  <c r="K36" i="19" s="1"/>
  <c r="K36" i="18" s="1"/>
  <c r="K36" i="11" s="1"/>
  <c r="K36" i="13" s="1"/>
  <c r="K35" i="12"/>
  <c r="K35" i="17" s="1"/>
  <c r="K35" i="19" s="1"/>
  <c r="K35" i="18" s="1"/>
  <c r="K35" i="11" s="1"/>
  <c r="K35" i="13" s="1"/>
  <c r="K34" i="12"/>
  <c r="K34" i="17" s="1"/>
  <c r="K34" i="19" s="1"/>
  <c r="K34" i="18" s="1"/>
  <c r="K34" i="11" s="1"/>
  <c r="K34" i="13" s="1"/>
  <c r="K33" i="12"/>
  <c r="K33" i="17" s="1"/>
  <c r="K33" i="19" s="1"/>
  <c r="K33" i="18" s="1"/>
  <c r="K33" i="11" s="1"/>
  <c r="K33" i="13" s="1"/>
  <c r="K32" i="12"/>
  <c r="K32" i="17" s="1"/>
  <c r="K32" i="19" s="1"/>
  <c r="K32" i="18" s="1"/>
  <c r="K32" i="11" s="1"/>
  <c r="K32" i="13" s="1"/>
  <c r="K31" i="12"/>
  <c r="K31" i="17" s="1"/>
  <c r="K31" i="19" s="1"/>
  <c r="K31" i="18" s="1"/>
  <c r="K31" i="11" s="1"/>
  <c r="K31" i="13" s="1"/>
  <c r="K30" i="12"/>
  <c r="K30" i="17" s="1"/>
  <c r="K30" i="19" s="1"/>
  <c r="K30" i="18" s="1"/>
  <c r="K30" i="11" s="1"/>
  <c r="K30" i="13" s="1"/>
  <c r="K29" i="12"/>
  <c r="K29" i="17" s="1"/>
  <c r="K29" i="19" s="1"/>
  <c r="K29" i="18" s="1"/>
  <c r="K29" i="11" s="1"/>
  <c r="K29" i="13" s="1"/>
  <c r="K28" i="12"/>
  <c r="K28" i="17" s="1"/>
  <c r="K28" i="19" s="1"/>
  <c r="K28" i="18" s="1"/>
  <c r="K28" i="11" s="1"/>
  <c r="K28" i="13" s="1"/>
  <c r="K27" i="12"/>
  <c r="K27" i="17" s="1"/>
  <c r="K27" i="19" s="1"/>
  <c r="K27" i="18" s="1"/>
  <c r="K27" i="11" s="1"/>
  <c r="K27" i="13" s="1"/>
  <c r="K26" i="12"/>
  <c r="K26" i="17" s="1"/>
  <c r="K26" i="19" s="1"/>
  <c r="K26" i="18" s="1"/>
  <c r="K26" i="11" s="1"/>
  <c r="K26" i="13" s="1"/>
  <c r="I37" i="12"/>
  <c r="I37" i="17" s="1"/>
  <c r="I37" i="19" s="1"/>
  <c r="I37" i="18" s="1"/>
  <c r="I37" i="11" s="1"/>
  <c r="I37" i="13" s="1"/>
  <c r="I36" i="12"/>
  <c r="I36" i="17" s="1"/>
  <c r="I36" i="19" s="1"/>
  <c r="I36" i="18" s="1"/>
  <c r="I36" i="11" s="1"/>
  <c r="I36" i="13" s="1"/>
  <c r="I35" i="12"/>
  <c r="I35" i="17" s="1"/>
  <c r="I35" i="19" s="1"/>
  <c r="I35" i="18" s="1"/>
  <c r="I35" i="11" s="1"/>
  <c r="I35" i="13" s="1"/>
  <c r="I34" i="12"/>
  <c r="I34" i="17" s="1"/>
  <c r="I34" i="19" s="1"/>
  <c r="I34" i="18" s="1"/>
  <c r="I34" i="11" s="1"/>
  <c r="I34" i="13" s="1"/>
  <c r="I33" i="12"/>
  <c r="I33" i="17" s="1"/>
  <c r="I33" i="19" s="1"/>
  <c r="I33" i="18" s="1"/>
  <c r="I33" i="11" s="1"/>
  <c r="I33" i="13" s="1"/>
  <c r="I32" i="12"/>
  <c r="I32" i="17" s="1"/>
  <c r="I32" i="19" s="1"/>
  <c r="I32" i="18" s="1"/>
  <c r="I32" i="11" s="1"/>
  <c r="I32" i="13" s="1"/>
  <c r="I31" i="12"/>
  <c r="I31" i="17" s="1"/>
  <c r="I31" i="19" s="1"/>
  <c r="I31" i="18" s="1"/>
  <c r="I31" i="11" s="1"/>
  <c r="I31" i="13" s="1"/>
  <c r="I30" i="12"/>
  <c r="I30" i="17" s="1"/>
  <c r="I30" i="19" s="1"/>
  <c r="I30" i="18" s="1"/>
  <c r="I30" i="11" s="1"/>
  <c r="I30" i="13" s="1"/>
  <c r="I29" i="12"/>
  <c r="I29" i="17" s="1"/>
  <c r="I29" i="19" s="1"/>
  <c r="I29" i="18" s="1"/>
  <c r="I29" i="11" s="1"/>
  <c r="I29" i="13" s="1"/>
  <c r="I28" i="12"/>
  <c r="I28" i="17" s="1"/>
  <c r="I28" i="19" s="1"/>
  <c r="I28" i="18" s="1"/>
  <c r="I28" i="11" s="1"/>
  <c r="I28" i="13" s="1"/>
  <c r="I27" i="12"/>
  <c r="I27" i="17" s="1"/>
  <c r="I27" i="19" s="1"/>
  <c r="I27" i="18" s="1"/>
  <c r="I27" i="11" s="1"/>
  <c r="I27" i="13" s="1"/>
  <c r="I26" i="12"/>
  <c r="I26" i="17" s="1"/>
  <c r="I26" i="19" s="1"/>
  <c r="I26" i="18" s="1"/>
  <c r="I26" i="11" s="1"/>
  <c r="I26" i="13" s="1"/>
  <c r="G37" i="12"/>
  <c r="G37" i="17" s="1"/>
  <c r="G37" i="19" s="1"/>
  <c r="G37" i="18" s="1"/>
  <c r="G37" i="11" s="1"/>
  <c r="G37" i="13" s="1"/>
  <c r="G36" i="12"/>
  <c r="G36" i="17" s="1"/>
  <c r="G36" i="19" s="1"/>
  <c r="G36" i="18" s="1"/>
  <c r="G36" i="11" s="1"/>
  <c r="G36" i="13" s="1"/>
  <c r="G35" i="12"/>
  <c r="G35" i="17" s="1"/>
  <c r="G35" i="19" s="1"/>
  <c r="G35" i="18" s="1"/>
  <c r="G35" i="11" s="1"/>
  <c r="G35" i="13" s="1"/>
  <c r="G34" i="12"/>
  <c r="G34" i="17" s="1"/>
  <c r="G34" i="19" s="1"/>
  <c r="G34" i="18" s="1"/>
  <c r="G34" i="11" s="1"/>
  <c r="G34" i="13" s="1"/>
  <c r="G33" i="12"/>
  <c r="G33" i="17" s="1"/>
  <c r="G33" i="19" s="1"/>
  <c r="G33" i="18" s="1"/>
  <c r="G33" i="11" s="1"/>
  <c r="G33" i="13" s="1"/>
  <c r="G32" i="12"/>
  <c r="G32" i="17" s="1"/>
  <c r="G32" i="19" s="1"/>
  <c r="G32" i="18" s="1"/>
  <c r="G32" i="11" s="1"/>
  <c r="G32" i="13" s="1"/>
  <c r="G31" i="12"/>
  <c r="G31" i="17" s="1"/>
  <c r="G31" i="19" s="1"/>
  <c r="G31" i="18" s="1"/>
  <c r="G31" i="11" s="1"/>
  <c r="G31" i="13" s="1"/>
  <c r="G30" i="12"/>
  <c r="G30" i="17" s="1"/>
  <c r="G30" i="19" s="1"/>
  <c r="G30" i="18" s="1"/>
  <c r="G30" i="11" s="1"/>
  <c r="G30" i="13" s="1"/>
  <c r="G29" i="12"/>
  <c r="G29" i="17" s="1"/>
  <c r="G29" i="19" s="1"/>
  <c r="G29" i="18" s="1"/>
  <c r="G29" i="11" s="1"/>
  <c r="G29" i="13" s="1"/>
  <c r="G28" i="12"/>
  <c r="G28" i="17" s="1"/>
  <c r="G28" i="19" s="1"/>
  <c r="G28" i="18" s="1"/>
  <c r="G28" i="11" s="1"/>
  <c r="G28" i="13" s="1"/>
  <c r="G27" i="12"/>
  <c r="G27" i="17" s="1"/>
  <c r="G27" i="19" s="1"/>
  <c r="G27" i="18" s="1"/>
  <c r="G27" i="11" s="1"/>
  <c r="G27" i="13" s="1"/>
  <c r="G26" i="12"/>
  <c r="G26" i="17" s="1"/>
  <c r="G26" i="19" s="1"/>
  <c r="G26" i="18" s="1"/>
  <c r="G26" i="11" s="1"/>
  <c r="G26" i="13" s="1"/>
  <c r="E37" i="12"/>
  <c r="E37" i="17" s="1"/>
  <c r="E37" i="19" s="1"/>
  <c r="E37" i="18" s="1"/>
  <c r="E37" i="11" s="1"/>
  <c r="E37" i="13" s="1"/>
  <c r="E36" i="12"/>
  <c r="E36" i="17" s="1"/>
  <c r="E36" i="19" s="1"/>
  <c r="E36" i="18" s="1"/>
  <c r="E36" i="11" s="1"/>
  <c r="E36" i="13" s="1"/>
  <c r="E35" i="12"/>
  <c r="E35" i="17" s="1"/>
  <c r="E35" i="19" s="1"/>
  <c r="E35" i="18" s="1"/>
  <c r="E35" i="11" s="1"/>
  <c r="E35" i="13" s="1"/>
  <c r="E34" i="12"/>
  <c r="E34" i="17" s="1"/>
  <c r="E34" i="19" s="1"/>
  <c r="E34" i="18" s="1"/>
  <c r="E34" i="11" s="1"/>
  <c r="E34" i="13" s="1"/>
  <c r="E33" i="12"/>
  <c r="E33" i="17" s="1"/>
  <c r="E33" i="19" s="1"/>
  <c r="E33" i="18" s="1"/>
  <c r="E33" i="11" s="1"/>
  <c r="E33" i="13" s="1"/>
  <c r="E32" i="12"/>
  <c r="E32" i="17" s="1"/>
  <c r="E32" i="19" s="1"/>
  <c r="E32" i="18" s="1"/>
  <c r="E32" i="11" s="1"/>
  <c r="E32" i="13" s="1"/>
  <c r="E31" i="12"/>
  <c r="E31" i="17" s="1"/>
  <c r="E31" i="19" s="1"/>
  <c r="E31" i="18" s="1"/>
  <c r="E31" i="11" s="1"/>
  <c r="E31" i="13" s="1"/>
  <c r="E30" i="12"/>
  <c r="E30" i="17" s="1"/>
  <c r="E30" i="19" s="1"/>
  <c r="E30" i="18" s="1"/>
  <c r="E30" i="11" s="1"/>
  <c r="E30" i="13" s="1"/>
  <c r="E29" i="12"/>
  <c r="E29" i="17" s="1"/>
  <c r="E29" i="19" s="1"/>
  <c r="E29" i="18" s="1"/>
  <c r="E29" i="11" s="1"/>
  <c r="E29" i="13" s="1"/>
  <c r="E28" i="12"/>
  <c r="E28" i="17" s="1"/>
  <c r="E28" i="19" s="1"/>
  <c r="E28" i="18" s="1"/>
  <c r="E28" i="11" s="1"/>
  <c r="E28" i="13" s="1"/>
  <c r="E27" i="12"/>
  <c r="E27" i="17" s="1"/>
  <c r="E27" i="19" s="1"/>
  <c r="E27" i="18" s="1"/>
  <c r="E27" i="11" s="1"/>
  <c r="E27" i="13" s="1"/>
  <c r="E26" i="12"/>
  <c r="E26" i="17" s="1"/>
  <c r="E26" i="19" s="1"/>
  <c r="E26" i="18" s="1"/>
  <c r="E26" i="11" s="1"/>
  <c r="E26" i="13" s="1"/>
  <c r="C37" i="12"/>
  <c r="C37" i="17" s="1"/>
  <c r="C37" i="19" s="1"/>
  <c r="C37" i="18" s="1"/>
  <c r="C37" i="11" s="1"/>
  <c r="C37" i="13" s="1"/>
  <c r="B37" i="12"/>
  <c r="C36" i="12"/>
  <c r="C36" i="17" s="1"/>
  <c r="C36" i="19" s="1"/>
  <c r="C36" i="18" s="1"/>
  <c r="C36" i="11" s="1"/>
  <c r="C36" i="13" s="1"/>
  <c r="B36" i="12"/>
  <c r="J36" i="12" s="1"/>
  <c r="C35" i="12"/>
  <c r="C35" i="17" s="1"/>
  <c r="C35" i="19" s="1"/>
  <c r="C35" i="18" s="1"/>
  <c r="C35" i="11" s="1"/>
  <c r="C35" i="13" s="1"/>
  <c r="B35" i="12"/>
  <c r="Z35" i="12" s="1"/>
  <c r="C34" i="12"/>
  <c r="C34" i="17" s="1"/>
  <c r="C34" i="19" s="1"/>
  <c r="C34" i="18" s="1"/>
  <c r="C34" i="11" s="1"/>
  <c r="C34" i="13" s="1"/>
  <c r="B34" i="12"/>
  <c r="X34" i="12" s="1"/>
  <c r="C33" i="12"/>
  <c r="C33" i="17" s="1"/>
  <c r="C33" i="19" s="1"/>
  <c r="C33" i="18" s="1"/>
  <c r="C33" i="11" s="1"/>
  <c r="C33" i="13" s="1"/>
  <c r="B33" i="12"/>
  <c r="T33" i="12" s="1"/>
  <c r="C32" i="12"/>
  <c r="C32" i="17" s="1"/>
  <c r="C32" i="19" s="1"/>
  <c r="C32" i="18" s="1"/>
  <c r="C32" i="11" s="1"/>
  <c r="C32" i="13" s="1"/>
  <c r="B32" i="12"/>
  <c r="C31" i="12"/>
  <c r="C31" i="17" s="1"/>
  <c r="C31" i="19" s="1"/>
  <c r="C31" i="18" s="1"/>
  <c r="C31" i="11" s="1"/>
  <c r="C31" i="13" s="1"/>
  <c r="B31" i="12"/>
  <c r="B31" i="17" s="1"/>
  <c r="C30" i="12"/>
  <c r="C30" i="17" s="1"/>
  <c r="C30" i="19" s="1"/>
  <c r="C30" i="18" s="1"/>
  <c r="C30" i="11" s="1"/>
  <c r="C30" i="13" s="1"/>
  <c r="B30" i="12"/>
  <c r="L30" i="12" s="1"/>
  <c r="C29" i="12"/>
  <c r="C29" i="17" s="1"/>
  <c r="C29" i="19" s="1"/>
  <c r="C29" i="18" s="1"/>
  <c r="C29" i="11" s="1"/>
  <c r="C29" i="13" s="1"/>
  <c r="B29" i="12"/>
  <c r="C28" i="12"/>
  <c r="C28" i="17" s="1"/>
  <c r="C28" i="19" s="1"/>
  <c r="C28" i="18" s="1"/>
  <c r="C28" i="11" s="1"/>
  <c r="C28" i="13" s="1"/>
  <c r="B28" i="12"/>
  <c r="C27" i="12"/>
  <c r="C27" i="17" s="1"/>
  <c r="C27" i="19" s="1"/>
  <c r="C27" i="18" s="1"/>
  <c r="C27" i="11" s="1"/>
  <c r="C27" i="13" s="1"/>
  <c r="B27" i="12"/>
  <c r="C26" i="12"/>
  <c r="C26" i="17" s="1"/>
  <c r="C26" i="19" s="1"/>
  <c r="C26" i="18" s="1"/>
  <c r="C26" i="11" s="1"/>
  <c r="C26" i="13" s="1"/>
  <c r="B26" i="12"/>
  <c r="R26" i="12" s="1"/>
  <c r="BJ6" i="12"/>
  <c r="BJ5" i="12"/>
  <c r="BI4" i="12"/>
  <c r="BH6" i="12"/>
  <c r="BH5" i="12"/>
  <c r="BG4" i="12"/>
  <c r="BF6" i="12"/>
  <c r="BF5" i="12"/>
  <c r="BE4" i="12"/>
  <c r="BD6" i="12"/>
  <c r="BD5" i="12"/>
  <c r="BC4" i="12"/>
  <c r="BB6" i="12"/>
  <c r="BB5" i="12"/>
  <c r="BA4" i="12"/>
  <c r="AZ6" i="12"/>
  <c r="AZ5" i="12"/>
  <c r="AY4" i="12"/>
  <c r="AX6" i="12"/>
  <c r="AX5" i="12"/>
  <c r="AW4" i="12"/>
  <c r="AV6" i="12"/>
  <c r="AV5" i="12"/>
  <c r="AU4" i="12"/>
  <c r="AT6" i="12"/>
  <c r="AT5" i="12"/>
  <c r="AS4" i="12"/>
  <c r="AR6" i="12"/>
  <c r="AR5" i="12"/>
  <c r="AQ4" i="12"/>
  <c r="AP6" i="12"/>
  <c r="AP5" i="12"/>
  <c r="AO4" i="12"/>
  <c r="AN6" i="12"/>
  <c r="AN5" i="12"/>
  <c r="AM4" i="12"/>
  <c r="AL6" i="12"/>
  <c r="AL5" i="12"/>
  <c r="AK4" i="12"/>
  <c r="AJ6" i="12"/>
  <c r="AJ5" i="12"/>
  <c r="AI4" i="12"/>
  <c r="AH6" i="12"/>
  <c r="AH5" i="12"/>
  <c r="AG4" i="12"/>
  <c r="AF6" i="12"/>
  <c r="AF5" i="12"/>
  <c r="AE4" i="12"/>
  <c r="AD6" i="12"/>
  <c r="AD5" i="12"/>
  <c r="AC4" i="12"/>
  <c r="AB6" i="12"/>
  <c r="AB5" i="12"/>
  <c r="AA4" i="12"/>
  <c r="Z6" i="12"/>
  <c r="Z5" i="12"/>
  <c r="Y4" i="12"/>
  <c r="X6" i="12"/>
  <c r="X5" i="12"/>
  <c r="W4" i="12"/>
  <c r="V6" i="12"/>
  <c r="V5" i="12"/>
  <c r="U4" i="12"/>
  <c r="T6" i="12"/>
  <c r="T5" i="12"/>
  <c r="S4" i="12"/>
  <c r="R6" i="12"/>
  <c r="R5" i="12"/>
  <c r="Q4" i="12"/>
  <c r="P6" i="12"/>
  <c r="P5" i="12"/>
  <c r="O4" i="12"/>
  <c r="N6" i="12"/>
  <c r="N5" i="12"/>
  <c r="M4" i="12"/>
  <c r="L6" i="12"/>
  <c r="L5" i="12"/>
  <c r="K4" i="12"/>
  <c r="J6" i="12"/>
  <c r="J5" i="12"/>
  <c r="I4" i="12"/>
  <c r="H6" i="12"/>
  <c r="H5" i="12"/>
  <c r="G4" i="12"/>
  <c r="F6" i="12"/>
  <c r="F5" i="12"/>
  <c r="E4" i="12"/>
  <c r="D6" i="12"/>
  <c r="D5" i="12"/>
  <c r="C4" i="12"/>
  <c r="BI25" i="1"/>
  <c r="BI25" i="16" s="1"/>
  <c r="BI25" i="12" s="1"/>
  <c r="BI25" i="17" s="1"/>
  <c r="BI25" i="19" s="1"/>
  <c r="BI25" i="18" s="1"/>
  <c r="BI25" i="11" s="1"/>
  <c r="BI25" i="13" s="1"/>
  <c r="BI24" i="1"/>
  <c r="BI24" i="16" s="1"/>
  <c r="BI24" i="12" s="1"/>
  <c r="BI24" i="17" s="1"/>
  <c r="BI24" i="19" s="1"/>
  <c r="BI24" i="18" s="1"/>
  <c r="BI24" i="11" s="1"/>
  <c r="BI24" i="13" s="1"/>
  <c r="BI23" i="1"/>
  <c r="BI23" i="16" s="1"/>
  <c r="BI23" i="12" s="1"/>
  <c r="BI23" i="17" s="1"/>
  <c r="BI23" i="19" s="1"/>
  <c r="BI23" i="18" s="1"/>
  <c r="BI23" i="11" s="1"/>
  <c r="BI23" i="13" s="1"/>
  <c r="BI22" i="1"/>
  <c r="BI22" i="16" s="1"/>
  <c r="BI22" i="12" s="1"/>
  <c r="BI22" i="17" s="1"/>
  <c r="BI22" i="19" s="1"/>
  <c r="BI22" i="18" s="1"/>
  <c r="BI22" i="11" s="1"/>
  <c r="BI22" i="13" s="1"/>
  <c r="BI21" i="1"/>
  <c r="BI21" i="16" s="1"/>
  <c r="BI21" i="12" s="1"/>
  <c r="BI21" i="17" s="1"/>
  <c r="BI21" i="19" s="1"/>
  <c r="BI21" i="18" s="1"/>
  <c r="BI21" i="11" s="1"/>
  <c r="BI21" i="13" s="1"/>
  <c r="BI20" i="1"/>
  <c r="BI20" i="16" s="1"/>
  <c r="BI20" i="12" s="1"/>
  <c r="BI20" i="17" s="1"/>
  <c r="BI20" i="19" s="1"/>
  <c r="BI20" i="18" s="1"/>
  <c r="BI20" i="11" s="1"/>
  <c r="BI20" i="13" s="1"/>
  <c r="BI19" i="1"/>
  <c r="BI19" i="16" s="1"/>
  <c r="BI19" i="12" s="1"/>
  <c r="BI19" i="17" s="1"/>
  <c r="BI19" i="19" s="1"/>
  <c r="BI19" i="18" s="1"/>
  <c r="BI19" i="11" s="1"/>
  <c r="BI19" i="13" s="1"/>
  <c r="BI18" i="1"/>
  <c r="BI18" i="16" s="1"/>
  <c r="BI18" i="12" s="1"/>
  <c r="BI18" i="17" s="1"/>
  <c r="BI18" i="19" s="1"/>
  <c r="BI18" i="18" s="1"/>
  <c r="BI18" i="11" s="1"/>
  <c r="BI18" i="13" s="1"/>
  <c r="BI17" i="1"/>
  <c r="BI17" i="16" s="1"/>
  <c r="BI17" i="12" s="1"/>
  <c r="BI17" i="17" s="1"/>
  <c r="BI17" i="19" s="1"/>
  <c r="BI17" i="18" s="1"/>
  <c r="BI17" i="11" s="1"/>
  <c r="BI17" i="13" s="1"/>
  <c r="BG25" i="1"/>
  <c r="BG25" i="16" s="1"/>
  <c r="BG25" i="12" s="1"/>
  <c r="BG25" i="17" s="1"/>
  <c r="BG25" i="19" s="1"/>
  <c r="BG25" i="18" s="1"/>
  <c r="BG25" i="11" s="1"/>
  <c r="BG25" i="13" s="1"/>
  <c r="BG24" i="1"/>
  <c r="BG24" i="16" s="1"/>
  <c r="BG24" i="12" s="1"/>
  <c r="BG24" i="17" s="1"/>
  <c r="BG24" i="19" s="1"/>
  <c r="BG24" i="18" s="1"/>
  <c r="BG24" i="11" s="1"/>
  <c r="BG24" i="13" s="1"/>
  <c r="BG23" i="1"/>
  <c r="BG23" i="16" s="1"/>
  <c r="BG23" i="12" s="1"/>
  <c r="BG23" i="17" s="1"/>
  <c r="BG23" i="19" s="1"/>
  <c r="BG23" i="18" s="1"/>
  <c r="BG23" i="11" s="1"/>
  <c r="BG23" i="13" s="1"/>
  <c r="BG22" i="1"/>
  <c r="BG22" i="16" s="1"/>
  <c r="BG22" i="12" s="1"/>
  <c r="BG22" i="17" s="1"/>
  <c r="BG22" i="19" s="1"/>
  <c r="BG22" i="18" s="1"/>
  <c r="BG22" i="11" s="1"/>
  <c r="BG22" i="13" s="1"/>
  <c r="BG21" i="1"/>
  <c r="BG21" i="16" s="1"/>
  <c r="BG21" i="12" s="1"/>
  <c r="BG21" i="17" s="1"/>
  <c r="BG21" i="19" s="1"/>
  <c r="BG21" i="18" s="1"/>
  <c r="BG21" i="11" s="1"/>
  <c r="BG21" i="13" s="1"/>
  <c r="BG20" i="1"/>
  <c r="BG20" i="16" s="1"/>
  <c r="BG20" i="12" s="1"/>
  <c r="BG20" i="17" s="1"/>
  <c r="BG20" i="19" s="1"/>
  <c r="BG20" i="18" s="1"/>
  <c r="BG20" i="11" s="1"/>
  <c r="BG20" i="13" s="1"/>
  <c r="BG19" i="1"/>
  <c r="BG19" i="16" s="1"/>
  <c r="BG19" i="12" s="1"/>
  <c r="BG19" i="17" s="1"/>
  <c r="BG19" i="19" s="1"/>
  <c r="BG19" i="18" s="1"/>
  <c r="BG19" i="11" s="1"/>
  <c r="BG19" i="13" s="1"/>
  <c r="BG18" i="1"/>
  <c r="BG18" i="16" s="1"/>
  <c r="BG18" i="12" s="1"/>
  <c r="BG18" i="17" s="1"/>
  <c r="BG18" i="19" s="1"/>
  <c r="BG18" i="18" s="1"/>
  <c r="BG18" i="11" s="1"/>
  <c r="BG18" i="13" s="1"/>
  <c r="BG17" i="1"/>
  <c r="BG17" i="16" s="1"/>
  <c r="BG17" i="12" s="1"/>
  <c r="BG17" i="17" s="1"/>
  <c r="BG17" i="19" s="1"/>
  <c r="BG17" i="18" s="1"/>
  <c r="BG17" i="11" s="1"/>
  <c r="BG17" i="13" s="1"/>
  <c r="BE25" i="1"/>
  <c r="BE25" i="16" s="1"/>
  <c r="BE25" i="12" s="1"/>
  <c r="BE25" i="17" s="1"/>
  <c r="BE25" i="19" s="1"/>
  <c r="BE25" i="18" s="1"/>
  <c r="BE25" i="11" s="1"/>
  <c r="BE25" i="13" s="1"/>
  <c r="BE24" i="1"/>
  <c r="BE24" i="16" s="1"/>
  <c r="BE24" i="12" s="1"/>
  <c r="BE24" i="17" s="1"/>
  <c r="BE24" i="19" s="1"/>
  <c r="BE24" i="18" s="1"/>
  <c r="BE24" i="11" s="1"/>
  <c r="BE24" i="13" s="1"/>
  <c r="BE23" i="1"/>
  <c r="BE23" i="16" s="1"/>
  <c r="BE23" i="12" s="1"/>
  <c r="BE23" i="17" s="1"/>
  <c r="BE23" i="19" s="1"/>
  <c r="BE23" i="18" s="1"/>
  <c r="BE23" i="11" s="1"/>
  <c r="BE23" i="13" s="1"/>
  <c r="BE22" i="1"/>
  <c r="BE22" i="16" s="1"/>
  <c r="BE22" i="12" s="1"/>
  <c r="BE22" i="17" s="1"/>
  <c r="BE22" i="19" s="1"/>
  <c r="BE22" i="18" s="1"/>
  <c r="BE22" i="11" s="1"/>
  <c r="BE22" i="13" s="1"/>
  <c r="BE21" i="1"/>
  <c r="BE21" i="16" s="1"/>
  <c r="BE21" i="12" s="1"/>
  <c r="BE21" i="17" s="1"/>
  <c r="BE21" i="19" s="1"/>
  <c r="BE21" i="18" s="1"/>
  <c r="BE21" i="11" s="1"/>
  <c r="BE21" i="13" s="1"/>
  <c r="BE20" i="1"/>
  <c r="BE20" i="16" s="1"/>
  <c r="BE20" i="12" s="1"/>
  <c r="BE20" i="17" s="1"/>
  <c r="BE20" i="19" s="1"/>
  <c r="BE20" i="18" s="1"/>
  <c r="BE20" i="11" s="1"/>
  <c r="BE20" i="13" s="1"/>
  <c r="BE19" i="1"/>
  <c r="BE19" i="16" s="1"/>
  <c r="BE19" i="12" s="1"/>
  <c r="BE19" i="17" s="1"/>
  <c r="BE19" i="19" s="1"/>
  <c r="BE19" i="18" s="1"/>
  <c r="BE19" i="11" s="1"/>
  <c r="BE19" i="13" s="1"/>
  <c r="BE18" i="1"/>
  <c r="BE18" i="16" s="1"/>
  <c r="BE18" i="12" s="1"/>
  <c r="BE18" i="17" s="1"/>
  <c r="BE18" i="19" s="1"/>
  <c r="BE18" i="18" s="1"/>
  <c r="BE18" i="11" s="1"/>
  <c r="BE18" i="13" s="1"/>
  <c r="BE17" i="1"/>
  <c r="BE17" i="16" s="1"/>
  <c r="BE17" i="12" s="1"/>
  <c r="BE17" i="17" s="1"/>
  <c r="BE17" i="19" s="1"/>
  <c r="BE17" i="18" s="1"/>
  <c r="BE17" i="11" s="1"/>
  <c r="BE17" i="13" s="1"/>
  <c r="BC25" i="1"/>
  <c r="BC25" i="16" s="1"/>
  <c r="BC25" i="12" s="1"/>
  <c r="BC25" i="17" s="1"/>
  <c r="BC25" i="19" s="1"/>
  <c r="BC25" i="18" s="1"/>
  <c r="BC25" i="11" s="1"/>
  <c r="BC25" i="13" s="1"/>
  <c r="BC24" i="1"/>
  <c r="BC24" i="16" s="1"/>
  <c r="BC24" i="12" s="1"/>
  <c r="BC24" i="17" s="1"/>
  <c r="BC24" i="19" s="1"/>
  <c r="BC24" i="18" s="1"/>
  <c r="BC24" i="11" s="1"/>
  <c r="BC24" i="13" s="1"/>
  <c r="BC23" i="1"/>
  <c r="BC23" i="16" s="1"/>
  <c r="BC23" i="12" s="1"/>
  <c r="BC23" i="17" s="1"/>
  <c r="BC23" i="19" s="1"/>
  <c r="BC23" i="18" s="1"/>
  <c r="BC23" i="11" s="1"/>
  <c r="BC23" i="13" s="1"/>
  <c r="BC22" i="1"/>
  <c r="BC22" i="16" s="1"/>
  <c r="BC22" i="12" s="1"/>
  <c r="BC22" i="17" s="1"/>
  <c r="BC22" i="19" s="1"/>
  <c r="BC22" i="18" s="1"/>
  <c r="BC22" i="11" s="1"/>
  <c r="BC22" i="13" s="1"/>
  <c r="BC21" i="1"/>
  <c r="BC21" i="16" s="1"/>
  <c r="BC21" i="12" s="1"/>
  <c r="BC21" i="17" s="1"/>
  <c r="BC21" i="19" s="1"/>
  <c r="BC21" i="18" s="1"/>
  <c r="BC21" i="11" s="1"/>
  <c r="BC21" i="13" s="1"/>
  <c r="BC20" i="1"/>
  <c r="BC20" i="16" s="1"/>
  <c r="BC20" i="12" s="1"/>
  <c r="BC20" i="17" s="1"/>
  <c r="BC20" i="19" s="1"/>
  <c r="BC20" i="18" s="1"/>
  <c r="BC20" i="11" s="1"/>
  <c r="BC20" i="13" s="1"/>
  <c r="BC19" i="1"/>
  <c r="BC19" i="16" s="1"/>
  <c r="BC19" i="12" s="1"/>
  <c r="BC19" i="17" s="1"/>
  <c r="BC19" i="19" s="1"/>
  <c r="BC19" i="18" s="1"/>
  <c r="BC19" i="11" s="1"/>
  <c r="BC19" i="13" s="1"/>
  <c r="BC18" i="1"/>
  <c r="BC18" i="16" s="1"/>
  <c r="BC18" i="12" s="1"/>
  <c r="BC18" i="17" s="1"/>
  <c r="BC18" i="19" s="1"/>
  <c r="BC18" i="18" s="1"/>
  <c r="BC18" i="11" s="1"/>
  <c r="BC18" i="13" s="1"/>
  <c r="BC17" i="1"/>
  <c r="BC17" i="16" s="1"/>
  <c r="BC17" i="12" s="1"/>
  <c r="BC17" i="17" s="1"/>
  <c r="BC17" i="19" s="1"/>
  <c r="BC17" i="18" s="1"/>
  <c r="BC17" i="11" s="1"/>
  <c r="BC17" i="13" s="1"/>
  <c r="BA25" i="1"/>
  <c r="BA25" i="16" s="1"/>
  <c r="BA25" i="12" s="1"/>
  <c r="BA25" i="17" s="1"/>
  <c r="BA25" i="19" s="1"/>
  <c r="BA25" i="18" s="1"/>
  <c r="BA25" i="11" s="1"/>
  <c r="BA25" i="13" s="1"/>
  <c r="BA24" i="1"/>
  <c r="BA24" i="16" s="1"/>
  <c r="BA24" i="12" s="1"/>
  <c r="BA24" i="17" s="1"/>
  <c r="BA24" i="19" s="1"/>
  <c r="BA24" i="18" s="1"/>
  <c r="BA24" i="11" s="1"/>
  <c r="BA24" i="13" s="1"/>
  <c r="BA23" i="1"/>
  <c r="BA23" i="16" s="1"/>
  <c r="BA23" i="12" s="1"/>
  <c r="BA23" i="17" s="1"/>
  <c r="BA23" i="19" s="1"/>
  <c r="BA23" i="18" s="1"/>
  <c r="BA23" i="11" s="1"/>
  <c r="BA23" i="13" s="1"/>
  <c r="BA22" i="1"/>
  <c r="BA22" i="16" s="1"/>
  <c r="BA22" i="12" s="1"/>
  <c r="BA22" i="17" s="1"/>
  <c r="BA22" i="19" s="1"/>
  <c r="BA22" i="18" s="1"/>
  <c r="BA22" i="11" s="1"/>
  <c r="BA22" i="13" s="1"/>
  <c r="BA21" i="1"/>
  <c r="BA21" i="16" s="1"/>
  <c r="BA21" i="12" s="1"/>
  <c r="BA21" i="17" s="1"/>
  <c r="BA21" i="19" s="1"/>
  <c r="BA21" i="18" s="1"/>
  <c r="BA21" i="11" s="1"/>
  <c r="BA21" i="13" s="1"/>
  <c r="BA20" i="1"/>
  <c r="BA20" i="16" s="1"/>
  <c r="BA20" i="12" s="1"/>
  <c r="BA20" i="17" s="1"/>
  <c r="BA20" i="19" s="1"/>
  <c r="BA20" i="18" s="1"/>
  <c r="BA20" i="11" s="1"/>
  <c r="BA20" i="13" s="1"/>
  <c r="BA19" i="1"/>
  <c r="BA19" i="16" s="1"/>
  <c r="BA19" i="12" s="1"/>
  <c r="BA19" i="17" s="1"/>
  <c r="BA19" i="19" s="1"/>
  <c r="BA19" i="18" s="1"/>
  <c r="BA19" i="11" s="1"/>
  <c r="BA19" i="13" s="1"/>
  <c r="BA18" i="1"/>
  <c r="BA18" i="16" s="1"/>
  <c r="BA18" i="12" s="1"/>
  <c r="BA18" i="17" s="1"/>
  <c r="BA18" i="19" s="1"/>
  <c r="BA18" i="18" s="1"/>
  <c r="BA18" i="11" s="1"/>
  <c r="BA18" i="13" s="1"/>
  <c r="BA17" i="1"/>
  <c r="BA17" i="16" s="1"/>
  <c r="BA17" i="12" s="1"/>
  <c r="BA17" i="17" s="1"/>
  <c r="BA17" i="19" s="1"/>
  <c r="BA17" i="18" s="1"/>
  <c r="BA17" i="11" s="1"/>
  <c r="BA17" i="13" s="1"/>
  <c r="AY25" i="1"/>
  <c r="AY25" i="16" s="1"/>
  <c r="AY25" i="12" s="1"/>
  <c r="AY25" i="17" s="1"/>
  <c r="AY25" i="19" s="1"/>
  <c r="AY25" i="18" s="1"/>
  <c r="AY25" i="11" s="1"/>
  <c r="AY25" i="13" s="1"/>
  <c r="AY24" i="1"/>
  <c r="AY24" i="16" s="1"/>
  <c r="AY24" i="12" s="1"/>
  <c r="AY24" i="17" s="1"/>
  <c r="AY24" i="19" s="1"/>
  <c r="AY24" i="18" s="1"/>
  <c r="AY24" i="11" s="1"/>
  <c r="AY24" i="13" s="1"/>
  <c r="AY23" i="1"/>
  <c r="AY23" i="16" s="1"/>
  <c r="AY23" i="12" s="1"/>
  <c r="AY23" i="17" s="1"/>
  <c r="AY23" i="19" s="1"/>
  <c r="AY23" i="18" s="1"/>
  <c r="AY23" i="11" s="1"/>
  <c r="AY23" i="13" s="1"/>
  <c r="AY22" i="1"/>
  <c r="AY22" i="16" s="1"/>
  <c r="AY22" i="12" s="1"/>
  <c r="AY22" i="17" s="1"/>
  <c r="AY22" i="19" s="1"/>
  <c r="AY22" i="18" s="1"/>
  <c r="AY22" i="11" s="1"/>
  <c r="AY22" i="13" s="1"/>
  <c r="AY21" i="1"/>
  <c r="AY21" i="16" s="1"/>
  <c r="AY21" i="12" s="1"/>
  <c r="AY21" i="17" s="1"/>
  <c r="AY21" i="19" s="1"/>
  <c r="AY21" i="18" s="1"/>
  <c r="AY21" i="11" s="1"/>
  <c r="AY21" i="13" s="1"/>
  <c r="AY20" i="1"/>
  <c r="AY20" i="16" s="1"/>
  <c r="AY20" i="12" s="1"/>
  <c r="AY20" i="17" s="1"/>
  <c r="AY20" i="19" s="1"/>
  <c r="AY20" i="18" s="1"/>
  <c r="AY20" i="11" s="1"/>
  <c r="AY20" i="13" s="1"/>
  <c r="AY19" i="1"/>
  <c r="AY19" i="16" s="1"/>
  <c r="AY19" i="12" s="1"/>
  <c r="AY19" i="17" s="1"/>
  <c r="AY19" i="19" s="1"/>
  <c r="AY19" i="18" s="1"/>
  <c r="AY19" i="11" s="1"/>
  <c r="AY19" i="13" s="1"/>
  <c r="AY18" i="1"/>
  <c r="AY18" i="16" s="1"/>
  <c r="AY18" i="12" s="1"/>
  <c r="AY18" i="17" s="1"/>
  <c r="AY18" i="19" s="1"/>
  <c r="AY18" i="18" s="1"/>
  <c r="AY18" i="11" s="1"/>
  <c r="AY18" i="13" s="1"/>
  <c r="AY17" i="1"/>
  <c r="AY17" i="16" s="1"/>
  <c r="AY17" i="12" s="1"/>
  <c r="AY17" i="17" s="1"/>
  <c r="AY17" i="19" s="1"/>
  <c r="AY17" i="18" s="1"/>
  <c r="AY17" i="11" s="1"/>
  <c r="AY17" i="13" s="1"/>
  <c r="AW25" i="1"/>
  <c r="AW25" i="16" s="1"/>
  <c r="AW25" i="12" s="1"/>
  <c r="AW25" i="17" s="1"/>
  <c r="AW25" i="19" s="1"/>
  <c r="AW25" i="18" s="1"/>
  <c r="AW25" i="11" s="1"/>
  <c r="AW25" i="13" s="1"/>
  <c r="AW24" i="1"/>
  <c r="AW24" i="16" s="1"/>
  <c r="AW24" i="12" s="1"/>
  <c r="AW24" i="17" s="1"/>
  <c r="AW24" i="19" s="1"/>
  <c r="AW24" i="18" s="1"/>
  <c r="AW24" i="11" s="1"/>
  <c r="AW24" i="13" s="1"/>
  <c r="AW23" i="1"/>
  <c r="AW23" i="16" s="1"/>
  <c r="AW23" i="12" s="1"/>
  <c r="AW23" i="17" s="1"/>
  <c r="AW23" i="19" s="1"/>
  <c r="AW23" i="18" s="1"/>
  <c r="AW23" i="11" s="1"/>
  <c r="AW23" i="13" s="1"/>
  <c r="AW22" i="1"/>
  <c r="AW22" i="16" s="1"/>
  <c r="AW22" i="12" s="1"/>
  <c r="AW22" i="17" s="1"/>
  <c r="AW22" i="19" s="1"/>
  <c r="AW22" i="18" s="1"/>
  <c r="AW22" i="11" s="1"/>
  <c r="AW22" i="13" s="1"/>
  <c r="AW21" i="1"/>
  <c r="AW21" i="16" s="1"/>
  <c r="AW21" i="12" s="1"/>
  <c r="AW21" i="17" s="1"/>
  <c r="AW21" i="19" s="1"/>
  <c r="AW21" i="18" s="1"/>
  <c r="AW21" i="11" s="1"/>
  <c r="AW21" i="13" s="1"/>
  <c r="AW20" i="1"/>
  <c r="AW20" i="16" s="1"/>
  <c r="AW20" i="12" s="1"/>
  <c r="AW20" i="17" s="1"/>
  <c r="AW20" i="19" s="1"/>
  <c r="AW20" i="18" s="1"/>
  <c r="AW20" i="11" s="1"/>
  <c r="AW20" i="13" s="1"/>
  <c r="AW19" i="1"/>
  <c r="AW19" i="16" s="1"/>
  <c r="AW19" i="12" s="1"/>
  <c r="AW19" i="17" s="1"/>
  <c r="AW19" i="19" s="1"/>
  <c r="AW19" i="18" s="1"/>
  <c r="AW19" i="11" s="1"/>
  <c r="AW19" i="13" s="1"/>
  <c r="AW18" i="1"/>
  <c r="AW18" i="16" s="1"/>
  <c r="AW18" i="12" s="1"/>
  <c r="AW18" i="17" s="1"/>
  <c r="AW18" i="19" s="1"/>
  <c r="AW18" i="18" s="1"/>
  <c r="AW18" i="11" s="1"/>
  <c r="AW18" i="13" s="1"/>
  <c r="AW17" i="1"/>
  <c r="AW17" i="16" s="1"/>
  <c r="AW17" i="12" s="1"/>
  <c r="AW17" i="17" s="1"/>
  <c r="AW17" i="19" s="1"/>
  <c r="AW17" i="18" s="1"/>
  <c r="AW17" i="11" s="1"/>
  <c r="AW17" i="13" s="1"/>
  <c r="AU25" i="1"/>
  <c r="AU25" i="16" s="1"/>
  <c r="AU25" i="12" s="1"/>
  <c r="AU25" i="17" s="1"/>
  <c r="AU25" i="19" s="1"/>
  <c r="AU25" i="18" s="1"/>
  <c r="AU25" i="11" s="1"/>
  <c r="AU25" i="13" s="1"/>
  <c r="AU24" i="1"/>
  <c r="AU24" i="16" s="1"/>
  <c r="AU24" i="12" s="1"/>
  <c r="AU24" i="17" s="1"/>
  <c r="AU24" i="19" s="1"/>
  <c r="AU24" i="18" s="1"/>
  <c r="AU24" i="11" s="1"/>
  <c r="AU24" i="13" s="1"/>
  <c r="AU23" i="1"/>
  <c r="AU23" i="16" s="1"/>
  <c r="AU23" i="12" s="1"/>
  <c r="AU23" i="17" s="1"/>
  <c r="AU23" i="19" s="1"/>
  <c r="AU23" i="18" s="1"/>
  <c r="AU23" i="11" s="1"/>
  <c r="AU23" i="13" s="1"/>
  <c r="AU22" i="1"/>
  <c r="AU22" i="16" s="1"/>
  <c r="AU22" i="12" s="1"/>
  <c r="AU22" i="17" s="1"/>
  <c r="AU22" i="19" s="1"/>
  <c r="AU22" i="18" s="1"/>
  <c r="AU22" i="11" s="1"/>
  <c r="AU22" i="13" s="1"/>
  <c r="AU21" i="1"/>
  <c r="AU21" i="16" s="1"/>
  <c r="AU21" i="12" s="1"/>
  <c r="AU21" i="17" s="1"/>
  <c r="AU21" i="19" s="1"/>
  <c r="AU21" i="18" s="1"/>
  <c r="AU21" i="11" s="1"/>
  <c r="AU21" i="13" s="1"/>
  <c r="AU20" i="1"/>
  <c r="AU20" i="16" s="1"/>
  <c r="AU20" i="12" s="1"/>
  <c r="AU20" i="17" s="1"/>
  <c r="AU20" i="19" s="1"/>
  <c r="AU20" i="18" s="1"/>
  <c r="AU20" i="11" s="1"/>
  <c r="AU20" i="13" s="1"/>
  <c r="AU19" i="1"/>
  <c r="AU19" i="16" s="1"/>
  <c r="AU19" i="12" s="1"/>
  <c r="AU19" i="17" s="1"/>
  <c r="AU19" i="19" s="1"/>
  <c r="AU19" i="18" s="1"/>
  <c r="AU19" i="11" s="1"/>
  <c r="AU19" i="13" s="1"/>
  <c r="AU18" i="1"/>
  <c r="AU18" i="16" s="1"/>
  <c r="AU18" i="12" s="1"/>
  <c r="AU18" i="17" s="1"/>
  <c r="AU18" i="19" s="1"/>
  <c r="AU18" i="18" s="1"/>
  <c r="AU18" i="11" s="1"/>
  <c r="AU18" i="13" s="1"/>
  <c r="AU17" i="1"/>
  <c r="AU17" i="16" s="1"/>
  <c r="AU17" i="12" s="1"/>
  <c r="AU17" i="17" s="1"/>
  <c r="AU17" i="19" s="1"/>
  <c r="AU17" i="18" s="1"/>
  <c r="AU17" i="11" s="1"/>
  <c r="AU17" i="13" s="1"/>
  <c r="AS25" i="1"/>
  <c r="AS25" i="16" s="1"/>
  <c r="AS25" i="12" s="1"/>
  <c r="AS25" i="17" s="1"/>
  <c r="AS25" i="19" s="1"/>
  <c r="AS25" i="18" s="1"/>
  <c r="AS25" i="11" s="1"/>
  <c r="AS25" i="13" s="1"/>
  <c r="AS24" i="1"/>
  <c r="AS24" i="16" s="1"/>
  <c r="AS24" i="12" s="1"/>
  <c r="AS24" i="17" s="1"/>
  <c r="AS24" i="19" s="1"/>
  <c r="AS24" i="18" s="1"/>
  <c r="AS24" i="11" s="1"/>
  <c r="AS24" i="13" s="1"/>
  <c r="AS23" i="1"/>
  <c r="AS23" i="16" s="1"/>
  <c r="AS23" i="12" s="1"/>
  <c r="AS23" i="17" s="1"/>
  <c r="AS23" i="19" s="1"/>
  <c r="AS23" i="18" s="1"/>
  <c r="AS23" i="11" s="1"/>
  <c r="AS23" i="13" s="1"/>
  <c r="AS22" i="1"/>
  <c r="AS22" i="16" s="1"/>
  <c r="AS22" i="12" s="1"/>
  <c r="AS22" i="17" s="1"/>
  <c r="AS22" i="19" s="1"/>
  <c r="AS22" i="18" s="1"/>
  <c r="AS22" i="11" s="1"/>
  <c r="AS22" i="13" s="1"/>
  <c r="AS21" i="1"/>
  <c r="AS21" i="16" s="1"/>
  <c r="AS21" i="12" s="1"/>
  <c r="AS21" i="17" s="1"/>
  <c r="AS21" i="19" s="1"/>
  <c r="AS21" i="18" s="1"/>
  <c r="AS21" i="11" s="1"/>
  <c r="AS21" i="13" s="1"/>
  <c r="AS20" i="1"/>
  <c r="AS20" i="16" s="1"/>
  <c r="AS20" i="12" s="1"/>
  <c r="AS20" i="17" s="1"/>
  <c r="AS20" i="19" s="1"/>
  <c r="AS20" i="18" s="1"/>
  <c r="AS20" i="11" s="1"/>
  <c r="AS20" i="13" s="1"/>
  <c r="AS19" i="1"/>
  <c r="AS19" i="16" s="1"/>
  <c r="AS19" i="12" s="1"/>
  <c r="AS19" i="17" s="1"/>
  <c r="AS19" i="19" s="1"/>
  <c r="AS19" i="18" s="1"/>
  <c r="AS19" i="11" s="1"/>
  <c r="AS19" i="13" s="1"/>
  <c r="AS18" i="1"/>
  <c r="AS18" i="16" s="1"/>
  <c r="AS18" i="12" s="1"/>
  <c r="AS18" i="17" s="1"/>
  <c r="AS18" i="19" s="1"/>
  <c r="AS18" i="18" s="1"/>
  <c r="AS18" i="11" s="1"/>
  <c r="AS18" i="13" s="1"/>
  <c r="AS17" i="1"/>
  <c r="AS17" i="16" s="1"/>
  <c r="AS17" i="12" s="1"/>
  <c r="AS17" i="17" s="1"/>
  <c r="AS17" i="19" s="1"/>
  <c r="AS17" i="18" s="1"/>
  <c r="AS17" i="11" s="1"/>
  <c r="AS17" i="13" s="1"/>
  <c r="AQ25" i="1"/>
  <c r="AQ25" i="16" s="1"/>
  <c r="AQ25" i="12" s="1"/>
  <c r="AQ25" i="17" s="1"/>
  <c r="AQ25" i="19" s="1"/>
  <c r="AQ25" i="18" s="1"/>
  <c r="AQ25" i="11" s="1"/>
  <c r="AQ25" i="13" s="1"/>
  <c r="AQ24" i="1"/>
  <c r="AQ24" i="16" s="1"/>
  <c r="AQ24" i="12" s="1"/>
  <c r="AQ24" i="17" s="1"/>
  <c r="AQ24" i="19" s="1"/>
  <c r="AQ24" i="18" s="1"/>
  <c r="AQ24" i="11" s="1"/>
  <c r="AQ24" i="13" s="1"/>
  <c r="AQ23" i="1"/>
  <c r="AQ23" i="16" s="1"/>
  <c r="AQ23" i="12" s="1"/>
  <c r="AQ23" i="17" s="1"/>
  <c r="AQ23" i="19" s="1"/>
  <c r="AQ23" i="18" s="1"/>
  <c r="AQ23" i="11" s="1"/>
  <c r="AQ23" i="13" s="1"/>
  <c r="AQ22" i="1"/>
  <c r="AQ22" i="16" s="1"/>
  <c r="AQ22" i="12" s="1"/>
  <c r="AQ22" i="17" s="1"/>
  <c r="AQ22" i="19" s="1"/>
  <c r="AQ22" i="18" s="1"/>
  <c r="AQ22" i="11" s="1"/>
  <c r="AQ22" i="13" s="1"/>
  <c r="AQ21" i="1"/>
  <c r="AQ21" i="16" s="1"/>
  <c r="AQ21" i="12" s="1"/>
  <c r="AQ21" i="17" s="1"/>
  <c r="AQ21" i="19" s="1"/>
  <c r="AQ21" i="18" s="1"/>
  <c r="AQ21" i="11" s="1"/>
  <c r="AQ21" i="13" s="1"/>
  <c r="AQ20" i="1"/>
  <c r="AQ20" i="16" s="1"/>
  <c r="AQ20" i="12" s="1"/>
  <c r="AQ20" i="17" s="1"/>
  <c r="AQ20" i="19" s="1"/>
  <c r="AQ20" i="18" s="1"/>
  <c r="AQ20" i="11" s="1"/>
  <c r="AQ20" i="13" s="1"/>
  <c r="AQ19" i="1"/>
  <c r="AQ19" i="16" s="1"/>
  <c r="AQ19" i="12" s="1"/>
  <c r="AQ19" i="17" s="1"/>
  <c r="AQ19" i="19" s="1"/>
  <c r="AQ19" i="18" s="1"/>
  <c r="AQ19" i="11" s="1"/>
  <c r="AQ19" i="13" s="1"/>
  <c r="AQ18" i="1"/>
  <c r="AQ18" i="16" s="1"/>
  <c r="AQ18" i="12" s="1"/>
  <c r="AQ18" i="17" s="1"/>
  <c r="AQ18" i="19" s="1"/>
  <c r="AQ18" i="18" s="1"/>
  <c r="AQ18" i="11" s="1"/>
  <c r="AQ18" i="13" s="1"/>
  <c r="AQ17" i="1"/>
  <c r="AQ17" i="16" s="1"/>
  <c r="AQ17" i="12" s="1"/>
  <c r="AQ17" i="17" s="1"/>
  <c r="AQ17" i="19" s="1"/>
  <c r="AQ17" i="18" s="1"/>
  <c r="AQ17" i="11" s="1"/>
  <c r="AQ17" i="13" s="1"/>
  <c r="AO25" i="1"/>
  <c r="AO25" i="16" s="1"/>
  <c r="AO25" i="12" s="1"/>
  <c r="AO25" i="17" s="1"/>
  <c r="AO25" i="19" s="1"/>
  <c r="AO25" i="18" s="1"/>
  <c r="AO25" i="11" s="1"/>
  <c r="AO25" i="13" s="1"/>
  <c r="AO24" i="1"/>
  <c r="AO24" i="16" s="1"/>
  <c r="AO24" i="12" s="1"/>
  <c r="AO24" i="17" s="1"/>
  <c r="AO24" i="19" s="1"/>
  <c r="AO24" i="18" s="1"/>
  <c r="AO24" i="11" s="1"/>
  <c r="AO24" i="13" s="1"/>
  <c r="AO23" i="1"/>
  <c r="AO23" i="16" s="1"/>
  <c r="AO23" i="12" s="1"/>
  <c r="AO23" i="17" s="1"/>
  <c r="AO23" i="19" s="1"/>
  <c r="AO23" i="18" s="1"/>
  <c r="AO23" i="11" s="1"/>
  <c r="AO23" i="13" s="1"/>
  <c r="AO22" i="1"/>
  <c r="AO22" i="16" s="1"/>
  <c r="AO22" i="12" s="1"/>
  <c r="AO22" i="17" s="1"/>
  <c r="AO22" i="19" s="1"/>
  <c r="AO22" i="18" s="1"/>
  <c r="AO22" i="11" s="1"/>
  <c r="AO22" i="13" s="1"/>
  <c r="AO21" i="1"/>
  <c r="AO21" i="16" s="1"/>
  <c r="AO21" i="12" s="1"/>
  <c r="AO21" i="17" s="1"/>
  <c r="AO21" i="19" s="1"/>
  <c r="AO21" i="18" s="1"/>
  <c r="AO21" i="11" s="1"/>
  <c r="AO21" i="13" s="1"/>
  <c r="AO20" i="1"/>
  <c r="AO20" i="16" s="1"/>
  <c r="AO20" i="12" s="1"/>
  <c r="AO20" i="17" s="1"/>
  <c r="AO20" i="19" s="1"/>
  <c r="AO20" i="18" s="1"/>
  <c r="AO20" i="11" s="1"/>
  <c r="AO20" i="13" s="1"/>
  <c r="AO19" i="1"/>
  <c r="AO19" i="16" s="1"/>
  <c r="AO19" i="12" s="1"/>
  <c r="AO19" i="17" s="1"/>
  <c r="AO19" i="19" s="1"/>
  <c r="AO19" i="18" s="1"/>
  <c r="AO19" i="11" s="1"/>
  <c r="AO19" i="13" s="1"/>
  <c r="AO18" i="1"/>
  <c r="AO18" i="16" s="1"/>
  <c r="AO18" i="12" s="1"/>
  <c r="AO18" i="17" s="1"/>
  <c r="AO18" i="19" s="1"/>
  <c r="AO18" i="18" s="1"/>
  <c r="AO18" i="11" s="1"/>
  <c r="AO18" i="13" s="1"/>
  <c r="AO17" i="1"/>
  <c r="AO17" i="16" s="1"/>
  <c r="AO17" i="12" s="1"/>
  <c r="AO17" i="17" s="1"/>
  <c r="AO17" i="19" s="1"/>
  <c r="AO17" i="18" s="1"/>
  <c r="AO17" i="11" s="1"/>
  <c r="AO17" i="13" s="1"/>
  <c r="AM25" i="1"/>
  <c r="AM25" i="16" s="1"/>
  <c r="AM25" i="12" s="1"/>
  <c r="AM25" i="17" s="1"/>
  <c r="AM25" i="19" s="1"/>
  <c r="AM25" i="18" s="1"/>
  <c r="AM25" i="11" s="1"/>
  <c r="AM25" i="13" s="1"/>
  <c r="AM24" i="1"/>
  <c r="AM24" i="16" s="1"/>
  <c r="AM24" i="12" s="1"/>
  <c r="AM24" i="17" s="1"/>
  <c r="AM24" i="19" s="1"/>
  <c r="AM24" i="18" s="1"/>
  <c r="AM24" i="11" s="1"/>
  <c r="AM24" i="13" s="1"/>
  <c r="AM23" i="1"/>
  <c r="AM23" i="16" s="1"/>
  <c r="AM23" i="12" s="1"/>
  <c r="AM23" i="17" s="1"/>
  <c r="AM23" i="19" s="1"/>
  <c r="AM23" i="18" s="1"/>
  <c r="AM23" i="11" s="1"/>
  <c r="AM23" i="13" s="1"/>
  <c r="AM22" i="1"/>
  <c r="AM22" i="16" s="1"/>
  <c r="AM22" i="12" s="1"/>
  <c r="AM22" i="17" s="1"/>
  <c r="AM22" i="19" s="1"/>
  <c r="AM22" i="18" s="1"/>
  <c r="AM22" i="11" s="1"/>
  <c r="AM22" i="13" s="1"/>
  <c r="AM21" i="1"/>
  <c r="AM21" i="16" s="1"/>
  <c r="AM21" i="12" s="1"/>
  <c r="AM21" i="17" s="1"/>
  <c r="AM21" i="19" s="1"/>
  <c r="AM21" i="18" s="1"/>
  <c r="AM21" i="11" s="1"/>
  <c r="AM21" i="13" s="1"/>
  <c r="AM20" i="1"/>
  <c r="AM20" i="16" s="1"/>
  <c r="AM20" i="12" s="1"/>
  <c r="AM20" i="17" s="1"/>
  <c r="AM20" i="19" s="1"/>
  <c r="AM20" i="18" s="1"/>
  <c r="AM20" i="11" s="1"/>
  <c r="AM20" i="13" s="1"/>
  <c r="AM19" i="1"/>
  <c r="AM19" i="16" s="1"/>
  <c r="AM19" i="12" s="1"/>
  <c r="AM19" i="17" s="1"/>
  <c r="AM19" i="19" s="1"/>
  <c r="AM19" i="18" s="1"/>
  <c r="AM19" i="11" s="1"/>
  <c r="AM19" i="13" s="1"/>
  <c r="AM18" i="1"/>
  <c r="AM18" i="16" s="1"/>
  <c r="AM18" i="12" s="1"/>
  <c r="AM18" i="17" s="1"/>
  <c r="AM18" i="19" s="1"/>
  <c r="AM18" i="18" s="1"/>
  <c r="AM18" i="11" s="1"/>
  <c r="AM18" i="13" s="1"/>
  <c r="AM17" i="1"/>
  <c r="AM17" i="16" s="1"/>
  <c r="AM17" i="12" s="1"/>
  <c r="AM17" i="17" s="1"/>
  <c r="AM17" i="19" s="1"/>
  <c r="AM17" i="18" s="1"/>
  <c r="AM17" i="11" s="1"/>
  <c r="AM17" i="13" s="1"/>
  <c r="AK25" i="1"/>
  <c r="AK25" i="16" s="1"/>
  <c r="AK25" i="12" s="1"/>
  <c r="AK25" i="17" s="1"/>
  <c r="AK25" i="19" s="1"/>
  <c r="AK25" i="18" s="1"/>
  <c r="AK25" i="11" s="1"/>
  <c r="AK25" i="13" s="1"/>
  <c r="AK24" i="1"/>
  <c r="AK24" i="16" s="1"/>
  <c r="AK24" i="12" s="1"/>
  <c r="AK24" i="17" s="1"/>
  <c r="AK24" i="19" s="1"/>
  <c r="AK24" i="18" s="1"/>
  <c r="AK24" i="11" s="1"/>
  <c r="AK24" i="13" s="1"/>
  <c r="AK23" i="1"/>
  <c r="AK23" i="16" s="1"/>
  <c r="AK23" i="12" s="1"/>
  <c r="AK23" i="17" s="1"/>
  <c r="AK23" i="19" s="1"/>
  <c r="AK23" i="18" s="1"/>
  <c r="AK23" i="11" s="1"/>
  <c r="AK23" i="13" s="1"/>
  <c r="AK22" i="1"/>
  <c r="AK22" i="16" s="1"/>
  <c r="AK22" i="12" s="1"/>
  <c r="AK22" i="17" s="1"/>
  <c r="AK22" i="19" s="1"/>
  <c r="AK22" i="18" s="1"/>
  <c r="AK22" i="11" s="1"/>
  <c r="AK22" i="13" s="1"/>
  <c r="AK21" i="1"/>
  <c r="AK21" i="16" s="1"/>
  <c r="AK21" i="12" s="1"/>
  <c r="AK21" i="17" s="1"/>
  <c r="AK21" i="19" s="1"/>
  <c r="AK21" i="18" s="1"/>
  <c r="AK21" i="11" s="1"/>
  <c r="AK21" i="13" s="1"/>
  <c r="AK20" i="1"/>
  <c r="AK20" i="16" s="1"/>
  <c r="AK20" i="12" s="1"/>
  <c r="AK20" i="17" s="1"/>
  <c r="AK20" i="19" s="1"/>
  <c r="AK20" i="18" s="1"/>
  <c r="AK20" i="11" s="1"/>
  <c r="AK20" i="13" s="1"/>
  <c r="AK19" i="1"/>
  <c r="AK19" i="16" s="1"/>
  <c r="AK19" i="12" s="1"/>
  <c r="AK19" i="17" s="1"/>
  <c r="AK19" i="19" s="1"/>
  <c r="AK19" i="18" s="1"/>
  <c r="AK19" i="11" s="1"/>
  <c r="AK19" i="13" s="1"/>
  <c r="AK18" i="1"/>
  <c r="AK18" i="16" s="1"/>
  <c r="AK18" i="12" s="1"/>
  <c r="AK18" i="17" s="1"/>
  <c r="AK18" i="19" s="1"/>
  <c r="AK18" i="18" s="1"/>
  <c r="AK18" i="11" s="1"/>
  <c r="AK18" i="13" s="1"/>
  <c r="AK17" i="1"/>
  <c r="AK17" i="16" s="1"/>
  <c r="AK17" i="12" s="1"/>
  <c r="AK17" i="17" s="1"/>
  <c r="AK17" i="19" s="1"/>
  <c r="AK17" i="18" s="1"/>
  <c r="AK17" i="11" s="1"/>
  <c r="AK17" i="13" s="1"/>
  <c r="AI25" i="1"/>
  <c r="AI25" i="16" s="1"/>
  <c r="AI25" i="12" s="1"/>
  <c r="AI25" i="17" s="1"/>
  <c r="AI25" i="19" s="1"/>
  <c r="AI25" i="18" s="1"/>
  <c r="AI25" i="11" s="1"/>
  <c r="AI25" i="13" s="1"/>
  <c r="AI24" i="1"/>
  <c r="AI24" i="16" s="1"/>
  <c r="AI24" i="12" s="1"/>
  <c r="AI24" i="17" s="1"/>
  <c r="AI24" i="19" s="1"/>
  <c r="AI24" i="18" s="1"/>
  <c r="AI24" i="11" s="1"/>
  <c r="AI24" i="13" s="1"/>
  <c r="AI23" i="1"/>
  <c r="AI23" i="16" s="1"/>
  <c r="AI23" i="12" s="1"/>
  <c r="AI23" i="17" s="1"/>
  <c r="AI23" i="19" s="1"/>
  <c r="AI23" i="18" s="1"/>
  <c r="AI23" i="11" s="1"/>
  <c r="AI23" i="13" s="1"/>
  <c r="AI22" i="1"/>
  <c r="AI22" i="16" s="1"/>
  <c r="AI22" i="12" s="1"/>
  <c r="AI22" i="17" s="1"/>
  <c r="AI22" i="19" s="1"/>
  <c r="AI22" i="18" s="1"/>
  <c r="AI22" i="11" s="1"/>
  <c r="AI22" i="13" s="1"/>
  <c r="AI21" i="1"/>
  <c r="AI21" i="16" s="1"/>
  <c r="AI21" i="12" s="1"/>
  <c r="AI21" i="17" s="1"/>
  <c r="AI21" i="19" s="1"/>
  <c r="AI21" i="18" s="1"/>
  <c r="AI21" i="11" s="1"/>
  <c r="AI21" i="13" s="1"/>
  <c r="AI20" i="1"/>
  <c r="AI20" i="16" s="1"/>
  <c r="AI20" i="12" s="1"/>
  <c r="AI20" i="17" s="1"/>
  <c r="AI20" i="19" s="1"/>
  <c r="AI20" i="18" s="1"/>
  <c r="AI20" i="11" s="1"/>
  <c r="AI20" i="13" s="1"/>
  <c r="AI19" i="1"/>
  <c r="AI19" i="16" s="1"/>
  <c r="AI19" i="12" s="1"/>
  <c r="AI19" i="17" s="1"/>
  <c r="AI19" i="19" s="1"/>
  <c r="AI19" i="18" s="1"/>
  <c r="AI19" i="11" s="1"/>
  <c r="AI19" i="13" s="1"/>
  <c r="AI18" i="1"/>
  <c r="AI18" i="16" s="1"/>
  <c r="AI18" i="12" s="1"/>
  <c r="AI18" i="17" s="1"/>
  <c r="AI18" i="19" s="1"/>
  <c r="AI18" i="18" s="1"/>
  <c r="AI18" i="11" s="1"/>
  <c r="AI18" i="13" s="1"/>
  <c r="AI17" i="1"/>
  <c r="AI17" i="16" s="1"/>
  <c r="AI17" i="12" s="1"/>
  <c r="AI17" i="17" s="1"/>
  <c r="AI17" i="19" s="1"/>
  <c r="AI17" i="18" s="1"/>
  <c r="AI17" i="11" s="1"/>
  <c r="AI17" i="13" s="1"/>
  <c r="AG25" i="1"/>
  <c r="AG25" i="16" s="1"/>
  <c r="AG25" i="12" s="1"/>
  <c r="AG25" i="17" s="1"/>
  <c r="AG25" i="19" s="1"/>
  <c r="AG25" i="18" s="1"/>
  <c r="AG25" i="11" s="1"/>
  <c r="AG25" i="13" s="1"/>
  <c r="AG24" i="1"/>
  <c r="AG24" i="16" s="1"/>
  <c r="AG24" i="12" s="1"/>
  <c r="AG24" i="17" s="1"/>
  <c r="AG24" i="19" s="1"/>
  <c r="AG24" i="18" s="1"/>
  <c r="AG24" i="11" s="1"/>
  <c r="AG24" i="13" s="1"/>
  <c r="AG23" i="1"/>
  <c r="AG23" i="16" s="1"/>
  <c r="AG23" i="12" s="1"/>
  <c r="AG23" i="17" s="1"/>
  <c r="AG23" i="19" s="1"/>
  <c r="AG23" i="18" s="1"/>
  <c r="AG23" i="11" s="1"/>
  <c r="AG23" i="13" s="1"/>
  <c r="AG22" i="1"/>
  <c r="AG22" i="16" s="1"/>
  <c r="AG22" i="12" s="1"/>
  <c r="AG22" i="17" s="1"/>
  <c r="AG22" i="19" s="1"/>
  <c r="AG22" i="18" s="1"/>
  <c r="AG22" i="11" s="1"/>
  <c r="AG22" i="13" s="1"/>
  <c r="AG21" i="1"/>
  <c r="AG21" i="16" s="1"/>
  <c r="AG21" i="12" s="1"/>
  <c r="AG21" i="17" s="1"/>
  <c r="AG21" i="19" s="1"/>
  <c r="AG21" i="18" s="1"/>
  <c r="AG21" i="11" s="1"/>
  <c r="AG21" i="13" s="1"/>
  <c r="AG20" i="1"/>
  <c r="AG20" i="16" s="1"/>
  <c r="AG20" i="12" s="1"/>
  <c r="AG20" i="17" s="1"/>
  <c r="AG20" i="19" s="1"/>
  <c r="AG20" i="18" s="1"/>
  <c r="AG20" i="11" s="1"/>
  <c r="AG20" i="13" s="1"/>
  <c r="AG19" i="1"/>
  <c r="AG19" i="16" s="1"/>
  <c r="AG19" i="12" s="1"/>
  <c r="AG19" i="17" s="1"/>
  <c r="AG19" i="19" s="1"/>
  <c r="AG19" i="18" s="1"/>
  <c r="AG19" i="11" s="1"/>
  <c r="AG19" i="13" s="1"/>
  <c r="AG18" i="1"/>
  <c r="AG18" i="16" s="1"/>
  <c r="AG18" i="12" s="1"/>
  <c r="AG18" i="17" s="1"/>
  <c r="AG18" i="19" s="1"/>
  <c r="AG18" i="18" s="1"/>
  <c r="AG18" i="11" s="1"/>
  <c r="AG18" i="13" s="1"/>
  <c r="AG17" i="1"/>
  <c r="AG17" i="16" s="1"/>
  <c r="AG17" i="12" s="1"/>
  <c r="AG17" i="17" s="1"/>
  <c r="AG17" i="19" s="1"/>
  <c r="AG17" i="18" s="1"/>
  <c r="AG17" i="11" s="1"/>
  <c r="AG17" i="13" s="1"/>
  <c r="AE25" i="1"/>
  <c r="AE25" i="16" s="1"/>
  <c r="AE25" i="12" s="1"/>
  <c r="AE25" i="17" s="1"/>
  <c r="AE25" i="19" s="1"/>
  <c r="AE25" i="18" s="1"/>
  <c r="AE25" i="11" s="1"/>
  <c r="AE25" i="13" s="1"/>
  <c r="AE24" i="1"/>
  <c r="AE24" i="16" s="1"/>
  <c r="AE24" i="12" s="1"/>
  <c r="AE24" i="17" s="1"/>
  <c r="AE24" i="19" s="1"/>
  <c r="AE24" i="18" s="1"/>
  <c r="AE24" i="11" s="1"/>
  <c r="AE24" i="13" s="1"/>
  <c r="AE23" i="1"/>
  <c r="AE23" i="16" s="1"/>
  <c r="AE23" i="12" s="1"/>
  <c r="AE23" i="17" s="1"/>
  <c r="AE23" i="19" s="1"/>
  <c r="AE23" i="18" s="1"/>
  <c r="AE23" i="11" s="1"/>
  <c r="AE23" i="13" s="1"/>
  <c r="AE22" i="1"/>
  <c r="AE22" i="16" s="1"/>
  <c r="AE22" i="12" s="1"/>
  <c r="AE22" i="17" s="1"/>
  <c r="AE22" i="19" s="1"/>
  <c r="AE22" i="18" s="1"/>
  <c r="AE22" i="11" s="1"/>
  <c r="AE22" i="13" s="1"/>
  <c r="AE21" i="1"/>
  <c r="AE21" i="16" s="1"/>
  <c r="AE21" i="12" s="1"/>
  <c r="AE21" i="17" s="1"/>
  <c r="AE21" i="19" s="1"/>
  <c r="AE21" i="18" s="1"/>
  <c r="AE21" i="11" s="1"/>
  <c r="AE21" i="13" s="1"/>
  <c r="AE20" i="1"/>
  <c r="AE20" i="16" s="1"/>
  <c r="AE20" i="12" s="1"/>
  <c r="AE20" i="17" s="1"/>
  <c r="AE20" i="19" s="1"/>
  <c r="AE20" i="18" s="1"/>
  <c r="AE20" i="11" s="1"/>
  <c r="AE20" i="13" s="1"/>
  <c r="AE19" i="1"/>
  <c r="AE19" i="16" s="1"/>
  <c r="AE19" i="12" s="1"/>
  <c r="AE19" i="17" s="1"/>
  <c r="AE19" i="19" s="1"/>
  <c r="AE19" i="18" s="1"/>
  <c r="AE19" i="11" s="1"/>
  <c r="AE19" i="13" s="1"/>
  <c r="AE18" i="1"/>
  <c r="AE18" i="16" s="1"/>
  <c r="AE18" i="12" s="1"/>
  <c r="AE18" i="17" s="1"/>
  <c r="AE18" i="19" s="1"/>
  <c r="AE18" i="18" s="1"/>
  <c r="AE18" i="11" s="1"/>
  <c r="AE18" i="13" s="1"/>
  <c r="AE17" i="1"/>
  <c r="AE17" i="16" s="1"/>
  <c r="AE17" i="12" s="1"/>
  <c r="AE17" i="17" s="1"/>
  <c r="AE17" i="19" s="1"/>
  <c r="AE17" i="18" s="1"/>
  <c r="AE17" i="11" s="1"/>
  <c r="AE17" i="13" s="1"/>
  <c r="AC25" i="1"/>
  <c r="AC25" i="16" s="1"/>
  <c r="AC25" i="12" s="1"/>
  <c r="AC25" i="17" s="1"/>
  <c r="AC25" i="19" s="1"/>
  <c r="AC25" i="18" s="1"/>
  <c r="AC25" i="11" s="1"/>
  <c r="AC25" i="13" s="1"/>
  <c r="AC24" i="1"/>
  <c r="AC24" i="16" s="1"/>
  <c r="AC24" i="12" s="1"/>
  <c r="AC24" i="17" s="1"/>
  <c r="AC24" i="19" s="1"/>
  <c r="AC24" i="18" s="1"/>
  <c r="AC24" i="11" s="1"/>
  <c r="AC24" i="13" s="1"/>
  <c r="AC23" i="1"/>
  <c r="AC23" i="16" s="1"/>
  <c r="AC23" i="12" s="1"/>
  <c r="AC23" i="17" s="1"/>
  <c r="AC23" i="19" s="1"/>
  <c r="AC23" i="18" s="1"/>
  <c r="AC23" i="11" s="1"/>
  <c r="AC23" i="13" s="1"/>
  <c r="AC22" i="1"/>
  <c r="AC22" i="16" s="1"/>
  <c r="AC22" i="12" s="1"/>
  <c r="AC22" i="17" s="1"/>
  <c r="AC22" i="19" s="1"/>
  <c r="AC22" i="18" s="1"/>
  <c r="AC22" i="11" s="1"/>
  <c r="AC22" i="13" s="1"/>
  <c r="AC21" i="1"/>
  <c r="AC21" i="16" s="1"/>
  <c r="AC21" i="12" s="1"/>
  <c r="AC21" i="17" s="1"/>
  <c r="AC21" i="19" s="1"/>
  <c r="AC21" i="18" s="1"/>
  <c r="AC21" i="11" s="1"/>
  <c r="AC21" i="13" s="1"/>
  <c r="AC20" i="1"/>
  <c r="AC20" i="16" s="1"/>
  <c r="AC20" i="12" s="1"/>
  <c r="AC20" i="17" s="1"/>
  <c r="AC20" i="19" s="1"/>
  <c r="AC20" i="18" s="1"/>
  <c r="AC20" i="11" s="1"/>
  <c r="AC20" i="13" s="1"/>
  <c r="AC19" i="1"/>
  <c r="AC19" i="16" s="1"/>
  <c r="AC19" i="12" s="1"/>
  <c r="AC19" i="17" s="1"/>
  <c r="AC19" i="19" s="1"/>
  <c r="AC19" i="18" s="1"/>
  <c r="AC19" i="11" s="1"/>
  <c r="AC19" i="13" s="1"/>
  <c r="AC18" i="1"/>
  <c r="AC18" i="16" s="1"/>
  <c r="AC18" i="12" s="1"/>
  <c r="AC18" i="17" s="1"/>
  <c r="AC18" i="19" s="1"/>
  <c r="AC18" i="18" s="1"/>
  <c r="AC18" i="11" s="1"/>
  <c r="AC18" i="13" s="1"/>
  <c r="AC17" i="1"/>
  <c r="AC17" i="16" s="1"/>
  <c r="AC17" i="12" s="1"/>
  <c r="AC17" i="17" s="1"/>
  <c r="AC17" i="19" s="1"/>
  <c r="AC17" i="18" s="1"/>
  <c r="AC17" i="11" s="1"/>
  <c r="AC17" i="13" s="1"/>
  <c r="AA25" i="1"/>
  <c r="AA25" i="16" s="1"/>
  <c r="AA25" i="12" s="1"/>
  <c r="AA25" i="17" s="1"/>
  <c r="AA25" i="19" s="1"/>
  <c r="AA25" i="18" s="1"/>
  <c r="AA25" i="11" s="1"/>
  <c r="AA25" i="13" s="1"/>
  <c r="AA24" i="1"/>
  <c r="AA24" i="16" s="1"/>
  <c r="AA24" i="12" s="1"/>
  <c r="AA24" i="17" s="1"/>
  <c r="AA24" i="19" s="1"/>
  <c r="AA24" i="18" s="1"/>
  <c r="AA24" i="11" s="1"/>
  <c r="AA24" i="13" s="1"/>
  <c r="AA23" i="1"/>
  <c r="AA23" i="16" s="1"/>
  <c r="AA23" i="12" s="1"/>
  <c r="AA23" i="17" s="1"/>
  <c r="AA23" i="19" s="1"/>
  <c r="AA23" i="18" s="1"/>
  <c r="AA23" i="11" s="1"/>
  <c r="AA23" i="13" s="1"/>
  <c r="AA22" i="1"/>
  <c r="AA22" i="16" s="1"/>
  <c r="AA22" i="12" s="1"/>
  <c r="AA22" i="17" s="1"/>
  <c r="AA22" i="19" s="1"/>
  <c r="AA22" i="18" s="1"/>
  <c r="AA22" i="11" s="1"/>
  <c r="AA22" i="13" s="1"/>
  <c r="AA21" i="1"/>
  <c r="AA21" i="16" s="1"/>
  <c r="AA21" i="12" s="1"/>
  <c r="AA21" i="17" s="1"/>
  <c r="AA21" i="19" s="1"/>
  <c r="AA21" i="18" s="1"/>
  <c r="AA21" i="11" s="1"/>
  <c r="AA21" i="13" s="1"/>
  <c r="AA20" i="1"/>
  <c r="AA20" i="16" s="1"/>
  <c r="AA20" i="12" s="1"/>
  <c r="AA20" i="17" s="1"/>
  <c r="AA20" i="19" s="1"/>
  <c r="AA20" i="18" s="1"/>
  <c r="AA20" i="11" s="1"/>
  <c r="AA20" i="13" s="1"/>
  <c r="AA19" i="1"/>
  <c r="AA19" i="16" s="1"/>
  <c r="AA19" i="12" s="1"/>
  <c r="AA19" i="17" s="1"/>
  <c r="AA19" i="19" s="1"/>
  <c r="AA19" i="18" s="1"/>
  <c r="AA19" i="11" s="1"/>
  <c r="AA19" i="13" s="1"/>
  <c r="AA18" i="1"/>
  <c r="AA18" i="16" s="1"/>
  <c r="AA18" i="12" s="1"/>
  <c r="AA18" i="17" s="1"/>
  <c r="AA18" i="19" s="1"/>
  <c r="AA18" i="18" s="1"/>
  <c r="AA18" i="11" s="1"/>
  <c r="AA18" i="13" s="1"/>
  <c r="AA17" i="1"/>
  <c r="AA17" i="16" s="1"/>
  <c r="AA17" i="12" s="1"/>
  <c r="AA17" i="17" s="1"/>
  <c r="AA17" i="19" s="1"/>
  <c r="AA17" i="18" s="1"/>
  <c r="AA17" i="11" s="1"/>
  <c r="AA17" i="13" s="1"/>
  <c r="Y25" i="1"/>
  <c r="Y25" i="16" s="1"/>
  <c r="Y25" i="12" s="1"/>
  <c r="Y25" i="17" s="1"/>
  <c r="Y25" i="19" s="1"/>
  <c r="Y25" i="18" s="1"/>
  <c r="Y25" i="11" s="1"/>
  <c r="Y25" i="13" s="1"/>
  <c r="Y24" i="1"/>
  <c r="Y24" i="16" s="1"/>
  <c r="Y24" i="12" s="1"/>
  <c r="Y24" i="17" s="1"/>
  <c r="Y24" i="19" s="1"/>
  <c r="Y24" i="18" s="1"/>
  <c r="Y24" i="11" s="1"/>
  <c r="Y24" i="13" s="1"/>
  <c r="Y23" i="1"/>
  <c r="Y23" i="16" s="1"/>
  <c r="Y23" i="12" s="1"/>
  <c r="Y23" i="17" s="1"/>
  <c r="Y23" i="19" s="1"/>
  <c r="Y23" i="18" s="1"/>
  <c r="Y23" i="11" s="1"/>
  <c r="Y23" i="13" s="1"/>
  <c r="Y22" i="1"/>
  <c r="Y22" i="16" s="1"/>
  <c r="Y22" i="12" s="1"/>
  <c r="Y22" i="17" s="1"/>
  <c r="Y22" i="19" s="1"/>
  <c r="Y22" i="18" s="1"/>
  <c r="Y22" i="11" s="1"/>
  <c r="Y22" i="13" s="1"/>
  <c r="Y21" i="1"/>
  <c r="Y21" i="16" s="1"/>
  <c r="Y21" i="12" s="1"/>
  <c r="Y21" i="17" s="1"/>
  <c r="Y21" i="19" s="1"/>
  <c r="Y21" i="18" s="1"/>
  <c r="Y21" i="11" s="1"/>
  <c r="Y21" i="13" s="1"/>
  <c r="Y20" i="1"/>
  <c r="Y20" i="16" s="1"/>
  <c r="Y20" i="12" s="1"/>
  <c r="Y20" i="17" s="1"/>
  <c r="Y20" i="19" s="1"/>
  <c r="Y20" i="18" s="1"/>
  <c r="Y20" i="11" s="1"/>
  <c r="Y20" i="13" s="1"/>
  <c r="Y19" i="1"/>
  <c r="Y19" i="16" s="1"/>
  <c r="Y19" i="12" s="1"/>
  <c r="Y19" i="17" s="1"/>
  <c r="Y19" i="19" s="1"/>
  <c r="Y19" i="18" s="1"/>
  <c r="Y19" i="11" s="1"/>
  <c r="Y19" i="13" s="1"/>
  <c r="Y18" i="1"/>
  <c r="Y18" i="16" s="1"/>
  <c r="Y18" i="12" s="1"/>
  <c r="Y18" i="17" s="1"/>
  <c r="Y18" i="19" s="1"/>
  <c r="Y18" i="18" s="1"/>
  <c r="Y18" i="11" s="1"/>
  <c r="Y18" i="13" s="1"/>
  <c r="Y17" i="1"/>
  <c r="Y17" i="16" s="1"/>
  <c r="Y17" i="12" s="1"/>
  <c r="Y17" i="17" s="1"/>
  <c r="Y17" i="19" s="1"/>
  <c r="Y17" i="18" s="1"/>
  <c r="Y17" i="11" s="1"/>
  <c r="Y17" i="13" s="1"/>
  <c r="W25" i="1"/>
  <c r="W25" i="16" s="1"/>
  <c r="W25" i="12" s="1"/>
  <c r="W25" i="17" s="1"/>
  <c r="W25" i="19" s="1"/>
  <c r="W25" i="18" s="1"/>
  <c r="W25" i="11" s="1"/>
  <c r="W25" i="13" s="1"/>
  <c r="W24" i="1"/>
  <c r="W24" i="16" s="1"/>
  <c r="W24" i="12" s="1"/>
  <c r="W24" i="17" s="1"/>
  <c r="W24" i="19" s="1"/>
  <c r="W24" i="18" s="1"/>
  <c r="W24" i="11" s="1"/>
  <c r="W24" i="13" s="1"/>
  <c r="W23" i="1"/>
  <c r="W23" i="16" s="1"/>
  <c r="W23" i="12" s="1"/>
  <c r="W23" i="17" s="1"/>
  <c r="W23" i="19" s="1"/>
  <c r="W23" i="18" s="1"/>
  <c r="W23" i="11" s="1"/>
  <c r="W23" i="13" s="1"/>
  <c r="W22" i="1"/>
  <c r="W22" i="16" s="1"/>
  <c r="W22" i="12" s="1"/>
  <c r="W22" i="17" s="1"/>
  <c r="W22" i="19" s="1"/>
  <c r="W22" i="18" s="1"/>
  <c r="W22" i="11" s="1"/>
  <c r="W22" i="13" s="1"/>
  <c r="W21" i="1"/>
  <c r="W21" i="16" s="1"/>
  <c r="W21" i="12" s="1"/>
  <c r="W21" i="17" s="1"/>
  <c r="W21" i="19" s="1"/>
  <c r="W21" i="18" s="1"/>
  <c r="W21" i="11" s="1"/>
  <c r="W21" i="13" s="1"/>
  <c r="W20" i="1"/>
  <c r="W20" i="16" s="1"/>
  <c r="W20" i="12" s="1"/>
  <c r="W20" i="17" s="1"/>
  <c r="W20" i="19" s="1"/>
  <c r="W20" i="18" s="1"/>
  <c r="W20" i="11" s="1"/>
  <c r="W20" i="13" s="1"/>
  <c r="W19" i="1"/>
  <c r="W19" i="16" s="1"/>
  <c r="W19" i="12" s="1"/>
  <c r="W19" i="17" s="1"/>
  <c r="W19" i="19" s="1"/>
  <c r="W19" i="18" s="1"/>
  <c r="W19" i="11" s="1"/>
  <c r="W19" i="13" s="1"/>
  <c r="W18" i="1"/>
  <c r="W18" i="16" s="1"/>
  <c r="W18" i="12" s="1"/>
  <c r="W18" i="17" s="1"/>
  <c r="W18" i="19" s="1"/>
  <c r="W18" i="18" s="1"/>
  <c r="W18" i="11" s="1"/>
  <c r="W18" i="13" s="1"/>
  <c r="W17" i="1"/>
  <c r="W17" i="16" s="1"/>
  <c r="W17" i="12" s="1"/>
  <c r="W17" i="17" s="1"/>
  <c r="W17" i="19" s="1"/>
  <c r="W17" i="18" s="1"/>
  <c r="W17" i="11" s="1"/>
  <c r="W17" i="13" s="1"/>
  <c r="U25" i="1"/>
  <c r="U25" i="16" s="1"/>
  <c r="U25" i="12" s="1"/>
  <c r="U25" i="17" s="1"/>
  <c r="U25" i="19" s="1"/>
  <c r="U25" i="18" s="1"/>
  <c r="U25" i="11" s="1"/>
  <c r="U25" i="13" s="1"/>
  <c r="U24" i="1"/>
  <c r="U24" i="16" s="1"/>
  <c r="U24" i="12" s="1"/>
  <c r="U24" i="17" s="1"/>
  <c r="U24" i="19" s="1"/>
  <c r="U24" i="18" s="1"/>
  <c r="U24" i="11" s="1"/>
  <c r="U24" i="13" s="1"/>
  <c r="U23" i="1"/>
  <c r="U23" i="16" s="1"/>
  <c r="U23" i="12" s="1"/>
  <c r="U23" i="17" s="1"/>
  <c r="U23" i="19" s="1"/>
  <c r="U23" i="18" s="1"/>
  <c r="U23" i="11" s="1"/>
  <c r="U23" i="13" s="1"/>
  <c r="U22" i="1"/>
  <c r="U22" i="16" s="1"/>
  <c r="U22" i="12" s="1"/>
  <c r="U22" i="17" s="1"/>
  <c r="U22" i="19" s="1"/>
  <c r="U22" i="18" s="1"/>
  <c r="U22" i="11" s="1"/>
  <c r="U22" i="13" s="1"/>
  <c r="U21" i="1"/>
  <c r="U21" i="16" s="1"/>
  <c r="U21" i="12" s="1"/>
  <c r="U21" i="17" s="1"/>
  <c r="U21" i="19" s="1"/>
  <c r="U21" i="18" s="1"/>
  <c r="U21" i="11" s="1"/>
  <c r="U21" i="13" s="1"/>
  <c r="U20" i="1"/>
  <c r="U20" i="16" s="1"/>
  <c r="U20" i="12" s="1"/>
  <c r="U20" i="17" s="1"/>
  <c r="U20" i="19" s="1"/>
  <c r="U20" i="18" s="1"/>
  <c r="U20" i="11" s="1"/>
  <c r="U20" i="13" s="1"/>
  <c r="U19" i="1"/>
  <c r="U19" i="16" s="1"/>
  <c r="U19" i="12" s="1"/>
  <c r="U19" i="17" s="1"/>
  <c r="U19" i="19" s="1"/>
  <c r="U19" i="18" s="1"/>
  <c r="U19" i="11" s="1"/>
  <c r="U19" i="13" s="1"/>
  <c r="U18" i="1"/>
  <c r="U18" i="16" s="1"/>
  <c r="U18" i="12" s="1"/>
  <c r="U18" i="17" s="1"/>
  <c r="U18" i="19" s="1"/>
  <c r="U18" i="18" s="1"/>
  <c r="U18" i="11" s="1"/>
  <c r="U18" i="13" s="1"/>
  <c r="U17" i="1"/>
  <c r="U17" i="16" s="1"/>
  <c r="U17" i="12" s="1"/>
  <c r="U17" i="17" s="1"/>
  <c r="U17" i="19" s="1"/>
  <c r="U17" i="18" s="1"/>
  <c r="U17" i="11" s="1"/>
  <c r="U17" i="13" s="1"/>
  <c r="S25" i="1"/>
  <c r="S25" i="16" s="1"/>
  <c r="S25" i="12" s="1"/>
  <c r="S25" i="17" s="1"/>
  <c r="S25" i="19" s="1"/>
  <c r="S25" i="18" s="1"/>
  <c r="S25" i="11" s="1"/>
  <c r="S25" i="13" s="1"/>
  <c r="S24" i="1"/>
  <c r="S24" i="16" s="1"/>
  <c r="S24" i="12" s="1"/>
  <c r="S24" i="17" s="1"/>
  <c r="S24" i="19" s="1"/>
  <c r="S24" i="18" s="1"/>
  <c r="S24" i="11" s="1"/>
  <c r="S24" i="13" s="1"/>
  <c r="S23" i="1"/>
  <c r="S23" i="16" s="1"/>
  <c r="S23" i="12" s="1"/>
  <c r="S23" i="17" s="1"/>
  <c r="S23" i="19" s="1"/>
  <c r="S23" i="18" s="1"/>
  <c r="S23" i="11" s="1"/>
  <c r="S23" i="13" s="1"/>
  <c r="S22" i="1"/>
  <c r="S22" i="16" s="1"/>
  <c r="S22" i="12" s="1"/>
  <c r="S22" i="17" s="1"/>
  <c r="S22" i="19" s="1"/>
  <c r="S22" i="18" s="1"/>
  <c r="S22" i="11" s="1"/>
  <c r="S22" i="13" s="1"/>
  <c r="S21" i="1"/>
  <c r="S21" i="16" s="1"/>
  <c r="S21" i="12" s="1"/>
  <c r="S21" i="17" s="1"/>
  <c r="S21" i="19" s="1"/>
  <c r="S21" i="18" s="1"/>
  <c r="S21" i="11" s="1"/>
  <c r="S21" i="13" s="1"/>
  <c r="S20" i="1"/>
  <c r="S20" i="16" s="1"/>
  <c r="S20" i="12" s="1"/>
  <c r="S20" i="17" s="1"/>
  <c r="S20" i="19" s="1"/>
  <c r="S20" i="18" s="1"/>
  <c r="S20" i="11" s="1"/>
  <c r="S20" i="13" s="1"/>
  <c r="S19" i="1"/>
  <c r="S19" i="16" s="1"/>
  <c r="S19" i="12" s="1"/>
  <c r="S19" i="17" s="1"/>
  <c r="S19" i="19" s="1"/>
  <c r="S19" i="18" s="1"/>
  <c r="S19" i="11" s="1"/>
  <c r="S19" i="13" s="1"/>
  <c r="S18" i="1"/>
  <c r="S18" i="16" s="1"/>
  <c r="S18" i="12" s="1"/>
  <c r="S18" i="17" s="1"/>
  <c r="S18" i="19" s="1"/>
  <c r="S18" i="18" s="1"/>
  <c r="S18" i="11" s="1"/>
  <c r="S18" i="13" s="1"/>
  <c r="S17" i="1"/>
  <c r="S17" i="16" s="1"/>
  <c r="S17" i="12" s="1"/>
  <c r="S17" i="17" s="1"/>
  <c r="S17" i="19" s="1"/>
  <c r="S17" i="18" s="1"/>
  <c r="S17" i="11" s="1"/>
  <c r="S17" i="13" s="1"/>
  <c r="Q25" i="1"/>
  <c r="Q25" i="16" s="1"/>
  <c r="Q25" i="12" s="1"/>
  <c r="Q25" i="17" s="1"/>
  <c r="Q25" i="19" s="1"/>
  <c r="Q25" i="18" s="1"/>
  <c r="Q25" i="11" s="1"/>
  <c r="Q25" i="13" s="1"/>
  <c r="Q24" i="1"/>
  <c r="Q24" i="16" s="1"/>
  <c r="Q24" i="12" s="1"/>
  <c r="Q24" i="17" s="1"/>
  <c r="Q24" i="19" s="1"/>
  <c r="Q24" i="18" s="1"/>
  <c r="Q24" i="11" s="1"/>
  <c r="Q24" i="13" s="1"/>
  <c r="Q23" i="1"/>
  <c r="Q23" i="16" s="1"/>
  <c r="Q23" i="12" s="1"/>
  <c r="Q23" i="17" s="1"/>
  <c r="Q23" i="19" s="1"/>
  <c r="Q23" i="18" s="1"/>
  <c r="Q23" i="11" s="1"/>
  <c r="Q23" i="13" s="1"/>
  <c r="Q22" i="1"/>
  <c r="Q22" i="16" s="1"/>
  <c r="Q22" i="12" s="1"/>
  <c r="Q22" i="17" s="1"/>
  <c r="Q22" i="19" s="1"/>
  <c r="Q22" i="18" s="1"/>
  <c r="Q22" i="11" s="1"/>
  <c r="Q22" i="13" s="1"/>
  <c r="Q21" i="1"/>
  <c r="Q21" i="16" s="1"/>
  <c r="Q21" i="12" s="1"/>
  <c r="Q21" i="17" s="1"/>
  <c r="Q21" i="19" s="1"/>
  <c r="Q21" i="18" s="1"/>
  <c r="Q21" i="11" s="1"/>
  <c r="Q21" i="13" s="1"/>
  <c r="Q20" i="1"/>
  <c r="Q20" i="16" s="1"/>
  <c r="Q20" i="12" s="1"/>
  <c r="Q20" i="17" s="1"/>
  <c r="Q20" i="19" s="1"/>
  <c r="Q20" i="18" s="1"/>
  <c r="Q20" i="11" s="1"/>
  <c r="Q20" i="13" s="1"/>
  <c r="Q19" i="1"/>
  <c r="Q19" i="16" s="1"/>
  <c r="Q19" i="12" s="1"/>
  <c r="Q19" i="17" s="1"/>
  <c r="Q19" i="19" s="1"/>
  <c r="Q19" i="18" s="1"/>
  <c r="Q19" i="11" s="1"/>
  <c r="Q19" i="13" s="1"/>
  <c r="Q18" i="1"/>
  <c r="Q18" i="16" s="1"/>
  <c r="Q18" i="12" s="1"/>
  <c r="Q18" i="17" s="1"/>
  <c r="Q18" i="19" s="1"/>
  <c r="Q18" i="18" s="1"/>
  <c r="Q18" i="11" s="1"/>
  <c r="Q18" i="13" s="1"/>
  <c r="Q17" i="1"/>
  <c r="Q17" i="16" s="1"/>
  <c r="Q17" i="12" s="1"/>
  <c r="Q17" i="17" s="1"/>
  <c r="Q17" i="19" s="1"/>
  <c r="Q17" i="18" s="1"/>
  <c r="Q17" i="11" s="1"/>
  <c r="Q17" i="13" s="1"/>
  <c r="O25" i="1"/>
  <c r="O25" i="16" s="1"/>
  <c r="O25" i="12" s="1"/>
  <c r="O25" i="17" s="1"/>
  <c r="O25" i="19" s="1"/>
  <c r="O25" i="18" s="1"/>
  <c r="O25" i="11" s="1"/>
  <c r="O25" i="13" s="1"/>
  <c r="O24" i="1"/>
  <c r="O24" i="16" s="1"/>
  <c r="O24" i="12" s="1"/>
  <c r="O24" i="17" s="1"/>
  <c r="O24" i="19" s="1"/>
  <c r="O24" i="18" s="1"/>
  <c r="O24" i="11" s="1"/>
  <c r="O24" i="13" s="1"/>
  <c r="O23" i="1"/>
  <c r="O23" i="16" s="1"/>
  <c r="O23" i="12" s="1"/>
  <c r="O23" i="17" s="1"/>
  <c r="O23" i="19" s="1"/>
  <c r="O23" i="18" s="1"/>
  <c r="O23" i="11" s="1"/>
  <c r="O23" i="13" s="1"/>
  <c r="O22" i="1"/>
  <c r="O22" i="16" s="1"/>
  <c r="O22" i="12" s="1"/>
  <c r="O22" i="17" s="1"/>
  <c r="O22" i="19" s="1"/>
  <c r="O22" i="18" s="1"/>
  <c r="O22" i="11" s="1"/>
  <c r="O22" i="13" s="1"/>
  <c r="O21" i="1"/>
  <c r="O21" i="16" s="1"/>
  <c r="O21" i="12" s="1"/>
  <c r="O21" i="17" s="1"/>
  <c r="O21" i="19" s="1"/>
  <c r="O21" i="18" s="1"/>
  <c r="O21" i="11" s="1"/>
  <c r="O21" i="13" s="1"/>
  <c r="O20" i="1"/>
  <c r="O20" i="16" s="1"/>
  <c r="O20" i="12" s="1"/>
  <c r="O20" i="17" s="1"/>
  <c r="O20" i="19" s="1"/>
  <c r="O20" i="18" s="1"/>
  <c r="O20" i="11" s="1"/>
  <c r="O20" i="13" s="1"/>
  <c r="O19" i="1"/>
  <c r="O19" i="16" s="1"/>
  <c r="O19" i="12" s="1"/>
  <c r="O19" i="17" s="1"/>
  <c r="O19" i="19" s="1"/>
  <c r="O19" i="18" s="1"/>
  <c r="O19" i="11" s="1"/>
  <c r="O19" i="13" s="1"/>
  <c r="O18" i="1"/>
  <c r="O18" i="16" s="1"/>
  <c r="O18" i="12" s="1"/>
  <c r="O18" i="17" s="1"/>
  <c r="O18" i="19" s="1"/>
  <c r="O18" i="18" s="1"/>
  <c r="O18" i="11" s="1"/>
  <c r="O18" i="13" s="1"/>
  <c r="O17" i="1"/>
  <c r="O17" i="16" s="1"/>
  <c r="O17" i="12" s="1"/>
  <c r="O17" i="17" s="1"/>
  <c r="O17" i="19" s="1"/>
  <c r="O17" i="18" s="1"/>
  <c r="O17" i="11" s="1"/>
  <c r="O17" i="13" s="1"/>
  <c r="M25" i="1"/>
  <c r="M25" i="16" s="1"/>
  <c r="M25" i="12" s="1"/>
  <c r="M25" i="17" s="1"/>
  <c r="M25" i="19" s="1"/>
  <c r="M25" i="18" s="1"/>
  <c r="M25" i="11" s="1"/>
  <c r="M25" i="13" s="1"/>
  <c r="M24" i="1"/>
  <c r="M24" i="16" s="1"/>
  <c r="M24" i="12" s="1"/>
  <c r="M24" i="17" s="1"/>
  <c r="M24" i="19" s="1"/>
  <c r="M24" i="18" s="1"/>
  <c r="M24" i="11" s="1"/>
  <c r="M24" i="13" s="1"/>
  <c r="M23" i="1"/>
  <c r="M23" i="16" s="1"/>
  <c r="M23" i="12" s="1"/>
  <c r="M23" i="17" s="1"/>
  <c r="M23" i="19" s="1"/>
  <c r="M23" i="18" s="1"/>
  <c r="M23" i="11" s="1"/>
  <c r="M23" i="13" s="1"/>
  <c r="M22" i="1"/>
  <c r="M22" i="16" s="1"/>
  <c r="M22" i="12" s="1"/>
  <c r="M22" i="17" s="1"/>
  <c r="M22" i="19" s="1"/>
  <c r="M22" i="18" s="1"/>
  <c r="M22" i="11" s="1"/>
  <c r="M22" i="13" s="1"/>
  <c r="M21" i="1"/>
  <c r="M21" i="16" s="1"/>
  <c r="M21" i="12" s="1"/>
  <c r="M21" i="17" s="1"/>
  <c r="M21" i="19" s="1"/>
  <c r="M21" i="18" s="1"/>
  <c r="M21" i="11" s="1"/>
  <c r="M21" i="13" s="1"/>
  <c r="M20" i="1"/>
  <c r="M20" i="16" s="1"/>
  <c r="M20" i="12" s="1"/>
  <c r="M20" i="17" s="1"/>
  <c r="M20" i="19" s="1"/>
  <c r="M20" i="18" s="1"/>
  <c r="M20" i="11" s="1"/>
  <c r="M20" i="13" s="1"/>
  <c r="M19" i="1"/>
  <c r="M19" i="16" s="1"/>
  <c r="M19" i="12" s="1"/>
  <c r="M19" i="17" s="1"/>
  <c r="M19" i="19" s="1"/>
  <c r="M19" i="18" s="1"/>
  <c r="M19" i="11" s="1"/>
  <c r="M19" i="13" s="1"/>
  <c r="M18" i="1"/>
  <c r="M18" i="16" s="1"/>
  <c r="M18" i="12" s="1"/>
  <c r="M18" i="17" s="1"/>
  <c r="M18" i="19" s="1"/>
  <c r="M18" i="18" s="1"/>
  <c r="M18" i="11" s="1"/>
  <c r="M18" i="13" s="1"/>
  <c r="M17" i="1"/>
  <c r="M17" i="16" s="1"/>
  <c r="M17" i="12" s="1"/>
  <c r="M17" i="17" s="1"/>
  <c r="M17" i="19" s="1"/>
  <c r="M17" i="18" s="1"/>
  <c r="M17" i="11" s="1"/>
  <c r="M17" i="13" s="1"/>
  <c r="K25" i="1"/>
  <c r="K25" i="16" s="1"/>
  <c r="K25" i="12" s="1"/>
  <c r="K25" i="17" s="1"/>
  <c r="K25" i="19" s="1"/>
  <c r="K25" i="18" s="1"/>
  <c r="K25" i="11" s="1"/>
  <c r="K25" i="13" s="1"/>
  <c r="K24" i="1"/>
  <c r="K24" i="16" s="1"/>
  <c r="K24" i="12" s="1"/>
  <c r="K24" i="17" s="1"/>
  <c r="K24" i="19" s="1"/>
  <c r="K24" i="18" s="1"/>
  <c r="K24" i="11" s="1"/>
  <c r="K24" i="13" s="1"/>
  <c r="K23" i="1"/>
  <c r="K23" i="16" s="1"/>
  <c r="K23" i="12" s="1"/>
  <c r="K23" i="17" s="1"/>
  <c r="K23" i="19" s="1"/>
  <c r="K23" i="18" s="1"/>
  <c r="K23" i="11" s="1"/>
  <c r="K23" i="13" s="1"/>
  <c r="K22" i="1"/>
  <c r="K22" i="16" s="1"/>
  <c r="K22" i="12" s="1"/>
  <c r="K22" i="17" s="1"/>
  <c r="K22" i="19" s="1"/>
  <c r="K22" i="18" s="1"/>
  <c r="K22" i="11" s="1"/>
  <c r="K22" i="13" s="1"/>
  <c r="K21" i="1"/>
  <c r="K21" i="16" s="1"/>
  <c r="K21" i="12" s="1"/>
  <c r="K21" i="17" s="1"/>
  <c r="K21" i="19" s="1"/>
  <c r="K21" i="18" s="1"/>
  <c r="K21" i="11" s="1"/>
  <c r="K21" i="13" s="1"/>
  <c r="K20" i="1"/>
  <c r="K20" i="16" s="1"/>
  <c r="K20" i="12" s="1"/>
  <c r="K20" i="17" s="1"/>
  <c r="K20" i="19" s="1"/>
  <c r="K20" i="18" s="1"/>
  <c r="K20" i="11" s="1"/>
  <c r="K20" i="13" s="1"/>
  <c r="K19" i="1"/>
  <c r="K19" i="16" s="1"/>
  <c r="K19" i="12" s="1"/>
  <c r="K19" i="17" s="1"/>
  <c r="K19" i="19" s="1"/>
  <c r="K19" i="18" s="1"/>
  <c r="K19" i="11" s="1"/>
  <c r="K19" i="13" s="1"/>
  <c r="K18" i="1"/>
  <c r="K18" i="16" s="1"/>
  <c r="K18" i="12" s="1"/>
  <c r="K18" i="17" s="1"/>
  <c r="K18" i="19" s="1"/>
  <c r="K18" i="18" s="1"/>
  <c r="K18" i="11" s="1"/>
  <c r="K18" i="13" s="1"/>
  <c r="K17" i="1"/>
  <c r="K17" i="16" s="1"/>
  <c r="K17" i="12" s="1"/>
  <c r="K17" i="17" s="1"/>
  <c r="K17" i="19" s="1"/>
  <c r="K17" i="18" s="1"/>
  <c r="K17" i="11" s="1"/>
  <c r="K17" i="13" s="1"/>
  <c r="I25" i="1"/>
  <c r="I25" i="16" s="1"/>
  <c r="I25" i="12" s="1"/>
  <c r="I25" i="17" s="1"/>
  <c r="I25" i="19" s="1"/>
  <c r="I25" i="18" s="1"/>
  <c r="I25" i="11" s="1"/>
  <c r="I25" i="13" s="1"/>
  <c r="I24" i="1"/>
  <c r="I24" i="16" s="1"/>
  <c r="I24" i="12" s="1"/>
  <c r="I24" i="17" s="1"/>
  <c r="I24" i="19" s="1"/>
  <c r="I24" i="18" s="1"/>
  <c r="I24" i="11" s="1"/>
  <c r="I24" i="13" s="1"/>
  <c r="I23" i="1"/>
  <c r="I23" i="16" s="1"/>
  <c r="I23" i="12" s="1"/>
  <c r="I23" i="17" s="1"/>
  <c r="I23" i="19" s="1"/>
  <c r="I23" i="18" s="1"/>
  <c r="I23" i="11" s="1"/>
  <c r="I23" i="13" s="1"/>
  <c r="I22" i="1"/>
  <c r="I22" i="16" s="1"/>
  <c r="I22" i="12" s="1"/>
  <c r="I22" i="17" s="1"/>
  <c r="I22" i="19" s="1"/>
  <c r="I22" i="18" s="1"/>
  <c r="I22" i="11" s="1"/>
  <c r="I22" i="13" s="1"/>
  <c r="I21" i="1"/>
  <c r="I21" i="16" s="1"/>
  <c r="I21" i="12" s="1"/>
  <c r="I21" i="17" s="1"/>
  <c r="I21" i="19" s="1"/>
  <c r="I21" i="18" s="1"/>
  <c r="I21" i="11" s="1"/>
  <c r="I21" i="13" s="1"/>
  <c r="I20" i="1"/>
  <c r="I20" i="16" s="1"/>
  <c r="I20" i="12" s="1"/>
  <c r="I20" i="17" s="1"/>
  <c r="I20" i="19" s="1"/>
  <c r="I20" i="18" s="1"/>
  <c r="I20" i="11" s="1"/>
  <c r="I20" i="13" s="1"/>
  <c r="I19" i="1"/>
  <c r="I19" i="16" s="1"/>
  <c r="I19" i="12" s="1"/>
  <c r="I19" i="17" s="1"/>
  <c r="I19" i="19" s="1"/>
  <c r="I19" i="18" s="1"/>
  <c r="I19" i="11" s="1"/>
  <c r="I19" i="13" s="1"/>
  <c r="I18" i="1"/>
  <c r="I18" i="16" s="1"/>
  <c r="I18" i="12" s="1"/>
  <c r="I18" i="17" s="1"/>
  <c r="I18" i="19" s="1"/>
  <c r="I18" i="18" s="1"/>
  <c r="I18" i="11" s="1"/>
  <c r="I18" i="13" s="1"/>
  <c r="I17" i="1"/>
  <c r="I17" i="16" s="1"/>
  <c r="I17" i="12" s="1"/>
  <c r="I17" i="17" s="1"/>
  <c r="I17" i="19" s="1"/>
  <c r="I17" i="18" s="1"/>
  <c r="I17" i="11" s="1"/>
  <c r="I17" i="13" s="1"/>
  <c r="G25" i="1"/>
  <c r="G25" i="16" s="1"/>
  <c r="G25" i="12" s="1"/>
  <c r="G25" i="17" s="1"/>
  <c r="G25" i="19" s="1"/>
  <c r="G25" i="18" s="1"/>
  <c r="G25" i="11" s="1"/>
  <c r="G25" i="13" s="1"/>
  <c r="G24" i="1"/>
  <c r="G24" i="16" s="1"/>
  <c r="G24" i="12" s="1"/>
  <c r="G24" i="17" s="1"/>
  <c r="G24" i="19" s="1"/>
  <c r="G24" i="18" s="1"/>
  <c r="G24" i="11" s="1"/>
  <c r="G24" i="13" s="1"/>
  <c r="G23" i="1"/>
  <c r="G23" i="16" s="1"/>
  <c r="G23" i="12" s="1"/>
  <c r="G23" i="17" s="1"/>
  <c r="G23" i="19" s="1"/>
  <c r="G23" i="18" s="1"/>
  <c r="G23" i="11" s="1"/>
  <c r="G23" i="13" s="1"/>
  <c r="G22" i="1"/>
  <c r="G22" i="16" s="1"/>
  <c r="G22" i="12" s="1"/>
  <c r="G22" i="17" s="1"/>
  <c r="G22" i="19" s="1"/>
  <c r="G22" i="18" s="1"/>
  <c r="G22" i="11" s="1"/>
  <c r="G22" i="13" s="1"/>
  <c r="G21" i="1"/>
  <c r="G21" i="16" s="1"/>
  <c r="G21" i="12" s="1"/>
  <c r="G21" i="17" s="1"/>
  <c r="G21" i="19" s="1"/>
  <c r="G21" i="18" s="1"/>
  <c r="G21" i="11" s="1"/>
  <c r="G21" i="13" s="1"/>
  <c r="G20" i="1"/>
  <c r="G20" i="16" s="1"/>
  <c r="G20" i="12" s="1"/>
  <c r="G20" i="17" s="1"/>
  <c r="G20" i="19" s="1"/>
  <c r="G20" i="18" s="1"/>
  <c r="G20" i="11" s="1"/>
  <c r="G20" i="13" s="1"/>
  <c r="G19" i="1"/>
  <c r="G19" i="16" s="1"/>
  <c r="G19" i="12" s="1"/>
  <c r="G19" i="17" s="1"/>
  <c r="G19" i="19" s="1"/>
  <c r="G19" i="18" s="1"/>
  <c r="G19" i="11" s="1"/>
  <c r="G19" i="13" s="1"/>
  <c r="G18" i="1"/>
  <c r="G18" i="16" s="1"/>
  <c r="G18" i="12" s="1"/>
  <c r="G18" i="17" s="1"/>
  <c r="G18" i="19" s="1"/>
  <c r="G18" i="18" s="1"/>
  <c r="G18" i="11" s="1"/>
  <c r="G18" i="13" s="1"/>
  <c r="G17" i="1"/>
  <c r="G17" i="16" s="1"/>
  <c r="G17" i="12" s="1"/>
  <c r="G17" i="17" s="1"/>
  <c r="G17" i="19" s="1"/>
  <c r="G17" i="18" s="1"/>
  <c r="G17" i="11" s="1"/>
  <c r="G17" i="13" s="1"/>
  <c r="E25" i="1"/>
  <c r="E25" i="16" s="1"/>
  <c r="E25" i="12" s="1"/>
  <c r="E25" i="17" s="1"/>
  <c r="E25" i="19" s="1"/>
  <c r="E25" i="18" s="1"/>
  <c r="E25" i="11" s="1"/>
  <c r="E25" i="13" s="1"/>
  <c r="E24" i="1"/>
  <c r="E24" i="16" s="1"/>
  <c r="E24" i="12" s="1"/>
  <c r="E24" i="17" s="1"/>
  <c r="E24" i="19" s="1"/>
  <c r="E24" i="18" s="1"/>
  <c r="E24" i="11" s="1"/>
  <c r="E24" i="13" s="1"/>
  <c r="E23" i="1"/>
  <c r="E23" i="16" s="1"/>
  <c r="E23" i="12" s="1"/>
  <c r="E23" i="17" s="1"/>
  <c r="E23" i="19" s="1"/>
  <c r="E23" i="18" s="1"/>
  <c r="E23" i="11" s="1"/>
  <c r="E23" i="13" s="1"/>
  <c r="E22" i="1"/>
  <c r="E22" i="16" s="1"/>
  <c r="E22" i="12" s="1"/>
  <c r="E22" i="17" s="1"/>
  <c r="E22" i="19" s="1"/>
  <c r="E22" i="18" s="1"/>
  <c r="E22" i="11" s="1"/>
  <c r="E22" i="13" s="1"/>
  <c r="E21" i="1"/>
  <c r="E21" i="16" s="1"/>
  <c r="E21" i="12" s="1"/>
  <c r="E21" i="17" s="1"/>
  <c r="E21" i="19" s="1"/>
  <c r="E21" i="18" s="1"/>
  <c r="E21" i="11" s="1"/>
  <c r="E21" i="13" s="1"/>
  <c r="E20" i="1"/>
  <c r="E20" i="16" s="1"/>
  <c r="E20" i="12" s="1"/>
  <c r="E20" i="17" s="1"/>
  <c r="E20" i="19" s="1"/>
  <c r="E20" i="18" s="1"/>
  <c r="E20" i="11" s="1"/>
  <c r="E20" i="13" s="1"/>
  <c r="E19" i="1"/>
  <c r="E19" i="16" s="1"/>
  <c r="E19" i="12" s="1"/>
  <c r="E19" i="17" s="1"/>
  <c r="E19" i="19" s="1"/>
  <c r="E19" i="18" s="1"/>
  <c r="E19" i="11" s="1"/>
  <c r="E19" i="13" s="1"/>
  <c r="E18" i="1"/>
  <c r="E18" i="16" s="1"/>
  <c r="E18" i="12" s="1"/>
  <c r="E18" i="17" s="1"/>
  <c r="E18" i="19" s="1"/>
  <c r="E18" i="18" s="1"/>
  <c r="E18" i="11" s="1"/>
  <c r="E18" i="13" s="1"/>
  <c r="E17" i="1"/>
  <c r="E17" i="16" s="1"/>
  <c r="E17" i="12" s="1"/>
  <c r="E17" i="17" s="1"/>
  <c r="E17" i="19" s="1"/>
  <c r="E17" i="18" s="1"/>
  <c r="E17" i="11" s="1"/>
  <c r="E17" i="13" s="1"/>
  <c r="C25" i="1"/>
  <c r="C25" i="16" s="1"/>
  <c r="B25" i="1"/>
  <c r="B25" i="16" s="1"/>
  <c r="C24" i="1"/>
  <c r="C24" i="16" s="1"/>
  <c r="B24" i="1"/>
  <c r="B24" i="16" s="1"/>
  <c r="C23" i="1"/>
  <c r="C23" i="16" s="1"/>
  <c r="B23" i="1"/>
  <c r="B23" i="16" s="1"/>
  <c r="C22" i="1"/>
  <c r="C22" i="16" s="1"/>
  <c r="B22" i="1"/>
  <c r="B22" i="16" s="1"/>
  <c r="C21" i="1"/>
  <c r="C21" i="16" s="1"/>
  <c r="B21" i="1"/>
  <c r="B21" i="16" s="1"/>
  <c r="C20" i="1"/>
  <c r="C20" i="16" s="1"/>
  <c r="B20" i="1"/>
  <c r="B20" i="16" s="1"/>
  <c r="C19" i="1"/>
  <c r="C19" i="16" s="1"/>
  <c r="B19" i="1"/>
  <c r="B19" i="16" s="1"/>
  <c r="C18" i="1"/>
  <c r="C18" i="16" s="1"/>
  <c r="B18" i="1"/>
  <c r="B18" i="16" s="1"/>
  <c r="C17" i="1"/>
  <c r="C17" i="16" s="1"/>
  <c r="B17" i="1"/>
  <c r="B17" i="16" s="1"/>
  <c r="BI15" i="1"/>
  <c r="BI15" i="16" s="1"/>
  <c r="BI15" i="12" s="1"/>
  <c r="BI15" i="17" s="1"/>
  <c r="BI15" i="19" s="1"/>
  <c r="BI15" i="18" s="1"/>
  <c r="BI15" i="11" s="1"/>
  <c r="BI15" i="13" s="1"/>
  <c r="BI14" i="1"/>
  <c r="BI14" i="16" s="1"/>
  <c r="BI14" i="12" s="1"/>
  <c r="BI14" i="17" s="1"/>
  <c r="BI14" i="19" s="1"/>
  <c r="BI14" i="18" s="1"/>
  <c r="BI14" i="11" s="1"/>
  <c r="BI14" i="13" s="1"/>
  <c r="BI13" i="1"/>
  <c r="BI13" i="16" s="1"/>
  <c r="BI13" i="12" s="1"/>
  <c r="BI13" i="17" s="1"/>
  <c r="BI13" i="19" s="1"/>
  <c r="BI13" i="18" s="1"/>
  <c r="BI13" i="11" s="1"/>
  <c r="BI13" i="13" s="1"/>
  <c r="BI12" i="1"/>
  <c r="BI12" i="16" s="1"/>
  <c r="BI12" i="12" s="1"/>
  <c r="BI12" i="17" s="1"/>
  <c r="BI12" i="19" s="1"/>
  <c r="BI12" i="18" s="1"/>
  <c r="BI12" i="11" s="1"/>
  <c r="BI12" i="13" s="1"/>
  <c r="BI11" i="1"/>
  <c r="BI11" i="16" s="1"/>
  <c r="BI11" i="12" s="1"/>
  <c r="BI11" i="17" s="1"/>
  <c r="BI11" i="19" s="1"/>
  <c r="BI11" i="18" s="1"/>
  <c r="BI11" i="11" s="1"/>
  <c r="BI11" i="13" s="1"/>
  <c r="BI10" i="1"/>
  <c r="BI10" i="16" s="1"/>
  <c r="BI10" i="12" s="1"/>
  <c r="BI10" i="17" s="1"/>
  <c r="BI10" i="19" s="1"/>
  <c r="BI10" i="18" s="1"/>
  <c r="BI10" i="11" s="1"/>
  <c r="BI10" i="13" s="1"/>
  <c r="BI9" i="1"/>
  <c r="BI9" i="16" s="1"/>
  <c r="BI9" i="12" s="1"/>
  <c r="BI9" i="17" s="1"/>
  <c r="BI9" i="19" s="1"/>
  <c r="BI9" i="18" s="1"/>
  <c r="BI9" i="11" s="1"/>
  <c r="BI9" i="13" s="1"/>
  <c r="BI8" i="1"/>
  <c r="BI8" i="16" s="1"/>
  <c r="BI8" i="12" s="1"/>
  <c r="BI8" i="17" s="1"/>
  <c r="BI8" i="19" s="1"/>
  <c r="BI8" i="18" s="1"/>
  <c r="BI8" i="11" s="1"/>
  <c r="BI8" i="13" s="1"/>
  <c r="BG15" i="1"/>
  <c r="BG15" i="16" s="1"/>
  <c r="BG15" i="12" s="1"/>
  <c r="BG15" i="17" s="1"/>
  <c r="BG15" i="19" s="1"/>
  <c r="BG15" i="18" s="1"/>
  <c r="BG15" i="11" s="1"/>
  <c r="BG15" i="13" s="1"/>
  <c r="BG14" i="1"/>
  <c r="BG14" i="16" s="1"/>
  <c r="BG14" i="12" s="1"/>
  <c r="BG14" i="17" s="1"/>
  <c r="BG14" i="19" s="1"/>
  <c r="BG14" i="18" s="1"/>
  <c r="BG14" i="11" s="1"/>
  <c r="BG14" i="13" s="1"/>
  <c r="BG13" i="1"/>
  <c r="BG13" i="16" s="1"/>
  <c r="BG13" i="12" s="1"/>
  <c r="BG13" i="17" s="1"/>
  <c r="BG13" i="19" s="1"/>
  <c r="BG13" i="18" s="1"/>
  <c r="BG13" i="11" s="1"/>
  <c r="BG13" i="13" s="1"/>
  <c r="BG12" i="1"/>
  <c r="BG12" i="16" s="1"/>
  <c r="BG12" i="12" s="1"/>
  <c r="BG12" i="17" s="1"/>
  <c r="BG12" i="19" s="1"/>
  <c r="BG12" i="18" s="1"/>
  <c r="BG12" i="11" s="1"/>
  <c r="BG12" i="13" s="1"/>
  <c r="BG11" i="1"/>
  <c r="BG11" i="16" s="1"/>
  <c r="BG11" i="12" s="1"/>
  <c r="BG11" i="17" s="1"/>
  <c r="BG11" i="19" s="1"/>
  <c r="BG11" i="18" s="1"/>
  <c r="BG11" i="11" s="1"/>
  <c r="BG11" i="13" s="1"/>
  <c r="BG10" i="1"/>
  <c r="BG10" i="16" s="1"/>
  <c r="BG10" i="12" s="1"/>
  <c r="BG10" i="17" s="1"/>
  <c r="BG10" i="19" s="1"/>
  <c r="BG10" i="18" s="1"/>
  <c r="BG10" i="11" s="1"/>
  <c r="BG10" i="13" s="1"/>
  <c r="BG9" i="1"/>
  <c r="BG9" i="16" s="1"/>
  <c r="BG9" i="12" s="1"/>
  <c r="BG9" i="17" s="1"/>
  <c r="BG9" i="19" s="1"/>
  <c r="BG9" i="18" s="1"/>
  <c r="BG9" i="11" s="1"/>
  <c r="BG9" i="13" s="1"/>
  <c r="BG8" i="1"/>
  <c r="BG8" i="16" s="1"/>
  <c r="BG8" i="12" s="1"/>
  <c r="BG8" i="17" s="1"/>
  <c r="BG8" i="19" s="1"/>
  <c r="BG8" i="18" s="1"/>
  <c r="BG8" i="11" s="1"/>
  <c r="BG8" i="13" s="1"/>
  <c r="BE15" i="1"/>
  <c r="BE15" i="16" s="1"/>
  <c r="BE15" i="12" s="1"/>
  <c r="BE15" i="17" s="1"/>
  <c r="BE15" i="19" s="1"/>
  <c r="BE15" i="18" s="1"/>
  <c r="BE15" i="11" s="1"/>
  <c r="BE15" i="13" s="1"/>
  <c r="BE14" i="1"/>
  <c r="BE14" i="16" s="1"/>
  <c r="BE14" i="12" s="1"/>
  <c r="BE14" i="17" s="1"/>
  <c r="BE14" i="19" s="1"/>
  <c r="BE14" i="18" s="1"/>
  <c r="BE14" i="11" s="1"/>
  <c r="BE14" i="13" s="1"/>
  <c r="BE13" i="1"/>
  <c r="BE13" i="16" s="1"/>
  <c r="BE13" i="12" s="1"/>
  <c r="BE13" i="17" s="1"/>
  <c r="BE13" i="19" s="1"/>
  <c r="BE13" i="18" s="1"/>
  <c r="BE13" i="11" s="1"/>
  <c r="BE13" i="13" s="1"/>
  <c r="BE12" i="1"/>
  <c r="BE12" i="16" s="1"/>
  <c r="BE12" i="12" s="1"/>
  <c r="BE12" i="17" s="1"/>
  <c r="BE12" i="19" s="1"/>
  <c r="BE12" i="18" s="1"/>
  <c r="BE12" i="11" s="1"/>
  <c r="BE12" i="13" s="1"/>
  <c r="BE11" i="1"/>
  <c r="BE11" i="16" s="1"/>
  <c r="BE11" i="12" s="1"/>
  <c r="BE11" i="17" s="1"/>
  <c r="BE11" i="19" s="1"/>
  <c r="BE11" i="18" s="1"/>
  <c r="BE11" i="11" s="1"/>
  <c r="BE11" i="13" s="1"/>
  <c r="BE10" i="1"/>
  <c r="BE10" i="16" s="1"/>
  <c r="BE10" i="12" s="1"/>
  <c r="BE10" i="17" s="1"/>
  <c r="BE10" i="19" s="1"/>
  <c r="BE10" i="18" s="1"/>
  <c r="BE10" i="11" s="1"/>
  <c r="BE10" i="13" s="1"/>
  <c r="BE9" i="1"/>
  <c r="BE9" i="16" s="1"/>
  <c r="BE9" i="12" s="1"/>
  <c r="BE9" i="17" s="1"/>
  <c r="BE9" i="19" s="1"/>
  <c r="BE9" i="18" s="1"/>
  <c r="BE9" i="11" s="1"/>
  <c r="BE9" i="13" s="1"/>
  <c r="BE8" i="1"/>
  <c r="BE8" i="16" s="1"/>
  <c r="BE8" i="12" s="1"/>
  <c r="BE8" i="17" s="1"/>
  <c r="BE8" i="19" s="1"/>
  <c r="BE8" i="18" s="1"/>
  <c r="BE8" i="11" s="1"/>
  <c r="BE8" i="13" s="1"/>
  <c r="BC15" i="1"/>
  <c r="BC15" i="16" s="1"/>
  <c r="BC15" i="12" s="1"/>
  <c r="BC15" i="17" s="1"/>
  <c r="BC15" i="19" s="1"/>
  <c r="BC15" i="18" s="1"/>
  <c r="BC15" i="11" s="1"/>
  <c r="BC15" i="13" s="1"/>
  <c r="BC14" i="1"/>
  <c r="BC14" i="16" s="1"/>
  <c r="BC14" i="12" s="1"/>
  <c r="BC14" i="17" s="1"/>
  <c r="BC14" i="19" s="1"/>
  <c r="BC14" i="18" s="1"/>
  <c r="BC14" i="11" s="1"/>
  <c r="BC14" i="13" s="1"/>
  <c r="BC13" i="1"/>
  <c r="BC13" i="16" s="1"/>
  <c r="BC13" i="12" s="1"/>
  <c r="BC13" i="17" s="1"/>
  <c r="BC13" i="19" s="1"/>
  <c r="BC13" i="18" s="1"/>
  <c r="BC13" i="11" s="1"/>
  <c r="BC13" i="13" s="1"/>
  <c r="BC12" i="1"/>
  <c r="BC12" i="16" s="1"/>
  <c r="BC12" i="12" s="1"/>
  <c r="BC12" i="17" s="1"/>
  <c r="BC12" i="19" s="1"/>
  <c r="BC12" i="18" s="1"/>
  <c r="BC12" i="11" s="1"/>
  <c r="BC12" i="13" s="1"/>
  <c r="BC11" i="1"/>
  <c r="BC11" i="16" s="1"/>
  <c r="BC11" i="12" s="1"/>
  <c r="BC11" i="17" s="1"/>
  <c r="BC11" i="19" s="1"/>
  <c r="BC11" i="18" s="1"/>
  <c r="BC11" i="11" s="1"/>
  <c r="BC11" i="13" s="1"/>
  <c r="BC10" i="1"/>
  <c r="BC10" i="16" s="1"/>
  <c r="BC10" i="12" s="1"/>
  <c r="BC10" i="17" s="1"/>
  <c r="BC10" i="19" s="1"/>
  <c r="BC10" i="18" s="1"/>
  <c r="BC10" i="11" s="1"/>
  <c r="BC10" i="13" s="1"/>
  <c r="BC9" i="1"/>
  <c r="BC9" i="16" s="1"/>
  <c r="BC9" i="12" s="1"/>
  <c r="BC9" i="17" s="1"/>
  <c r="BC9" i="19" s="1"/>
  <c r="BC9" i="18" s="1"/>
  <c r="BC9" i="11" s="1"/>
  <c r="BC9" i="13" s="1"/>
  <c r="BC8" i="1"/>
  <c r="BC8" i="16" s="1"/>
  <c r="BC8" i="12" s="1"/>
  <c r="BC8" i="17" s="1"/>
  <c r="BC8" i="19" s="1"/>
  <c r="BC8" i="18" s="1"/>
  <c r="BC8" i="11" s="1"/>
  <c r="BC8" i="13" s="1"/>
  <c r="BA15" i="1"/>
  <c r="BA15" i="16" s="1"/>
  <c r="BA15" i="12" s="1"/>
  <c r="BA15" i="17" s="1"/>
  <c r="BA15" i="19" s="1"/>
  <c r="BA15" i="18" s="1"/>
  <c r="BA15" i="11" s="1"/>
  <c r="BA15" i="13" s="1"/>
  <c r="BA14" i="1"/>
  <c r="BA14" i="16" s="1"/>
  <c r="BA14" i="12" s="1"/>
  <c r="BA14" i="17" s="1"/>
  <c r="BA14" i="19" s="1"/>
  <c r="BA14" i="18" s="1"/>
  <c r="BA14" i="11" s="1"/>
  <c r="BA14" i="13" s="1"/>
  <c r="BA13" i="1"/>
  <c r="BA13" i="16" s="1"/>
  <c r="BA13" i="12" s="1"/>
  <c r="BA13" i="17" s="1"/>
  <c r="BA13" i="19" s="1"/>
  <c r="BA13" i="18" s="1"/>
  <c r="BA13" i="11" s="1"/>
  <c r="BA13" i="13" s="1"/>
  <c r="BA12" i="1"/>
  <c r="BA12" i="16" s="1"/>
  <c r="BA12" i="12" s="1"/>
  <c r="BA12" i="17" s="1"/>
  <c r="BA12" i="19" s="1"/>
  <c r="BA12" i="18" s="1"/>
  <c r="BA12" i="11" s="1"/>
  <c r="BA12" i="13" s="1"/>
  <c r="BA11" i="1"/>
  <c r="BA11" i="16" s="1"/>
  <c r="BA11" i="12" s="1"/>
  <c r="BA11" i="17" s="1"/>
  <c r="BA11" i="19" s="1"/>
  <c r="BA11" i="18" s="1"/>
  <c r="BA11" i="11" s="1"/>
  <c r="BA11" i="13" s="1"/>
  <c r="BA10" i="1"/>
  <c r="BA10" i="16" s="1"/>
  <c r="BA10" i="12" s="1"/>
  <c r="BA10" i="17" s="1"/>
  <c r="BA10" i="19" s="1"/>
  <c r="BA10" i="18" s="1"/>
  <c r="BA10" i="11" s="1"/>
  <c r="BA10" i="13" s="1"/>
  <c r="BA9" i="1"/>
  <c r="BA9" i="16" s="1"/>
  <c r="BA9" i="12" s="1"/>
  <c r="BA9" i="17" s="1"/>
  <c r="BA9" i="19" s="1"/>
  <c r="BA9" i="18" s="1"/>
  <c r="BA9" i="11" s="1"/>
  <c r="BA9" i="13" s="1"/>
  <c r="BA8" i="1"/>
  <c r="BA8" i="16" s="1"/>
  <c r="BA8" i="12" s="1"/>
  <c r="BA8" i="17" s="1"/>
  <c r="BA8" i="19" s="1"/>
  <c r="BA8" i="18" s="1"/>
  <c r="BA8" i="11" s="1"/>
  <c r="BA8" i="13" s="1"/>
  <c r="AY15" i="1"/>
  <c r="AY15" i="16" s="1"/>
  <c r="AY15" i="12" s="1"/>
  <c r="AY15" i="17" s="1"/>
  <c r="AY15" i="19" s="1"/>
  <c r="AY15" i="18" s="1"/>
  <c r="AY15" i="11" s="1"/>
  <c r="AY15" i="13" s="1"/>
  <c r="AY14" i="1"/>
  <c r="AY14" i="16" s="1"/>
  <c r="AY14" i="12" s="1"/>
  <c r="AY14" i="17" s="1"/>
  <c r="AY14" i="19" s="1"/>
  <c r="AY14" i="18" s="1"/>
  <c r="AY14" i="11" s="1"/>
  <c r="AY14" i="13" s="1"/>
  <c r="AY13" i="1"/>
  <c r="AY13" i="16" s="1"/>
  <c r="AY13" i="12" s="1"/>
  <c r="AY13" i="17" s="1"/>
  <c r="AY13" i="19" s="1"/>
  <c r="AY13" i="18" s="1"/>
  <c r="AY13" i="11" s="1"/>
  <c r="AY13" i="13" s="1"/>
  <c r="AY12" i="1"/>
  <c r="AY12" i="16" s="1"/>
  <c r="AY12" i="12" s="1"/>
  <c r="AY12" i="17" s="1"/>
  <c r="AY12" i="19" s="1"/>
  <c r="AY12" i="18" s="1"/>
  <c r="AY12" i="11" s="1"/>
  <c r="AY12" i="13" s="1"/>
  <c r="AY11" i="1"/>
  <c r="AY11" i="16" s="1"/>
  <c r="AY11" i="12" s="1"/>
  <c r="AY11" i="17" s="1"/>
  <c r="AY11" i="19" s="1"/>
  <c r="AY11" i="18" s="1"/>
  <c r="AY11" i="11" s="1"/>
  <c r="AY11" i="13" s="1"/>
  <c r="AY10" i="1"/>
  <c r="AY10" i="16" s="1"/>
  <c r="AY10" i="12" s="1"/>
  <c r="AY10" i="17" s="1"/>
  <c r="AY10" i="19" s="1"/>
  <c r="AY10" i="18" s="1"/>
  <c r="AY10" i="11" s="1"/>
  <c r="AY10" i="13" s="1"/>
  <c r="AY9" i="1"/>
  <c r="AY9" i="16" s="1"/>
  <c r="AY9" i="12" s="1"/>
  <c r="AY9" i="17" s="1"/>
  <c r="AY9" i="19" s="1"/>
  <c r="AY9" i="18" s="1"/>
  <c r="AY9" i="11" s="1"/>
  <c r="AY9" i="13" s="1"/>
  <c r="AY8" i="1"/>
  <c r="AY8" i="16" s="1"/>
  <c r="AY8" i="12" s="1"/>
  <c r="AY8" i="17" s="1"/>
  <c r="AY8" i="19" s="1"/>
  <c r="AY8" i="18" s="1"/>
  <c r="AY8" i="11" s="1"/>
  <c r="AY8" i="13" s="1"/>
  <c r="AW15" i="1"/>
  <c r="AW15" i="16" s="1"/>
  <c r="AW15" i="12" s="1"/>
  <c r="AW15" i="17" s="1"/>
  <c r="AW15" i="19" s="1"/>
  <c r="AW15" i="18" s="1"/>
  <c r="AW15" i="11" s="1"/>
  <c r="AW15" i="13" s="1"/>
  <c r="AW14" i="1"/>
  <c r="AW14" i="16" s="1"/>
  <c r="AW14" i="12" s="1"/>
  <c r="AW14" i="17" s="1"/>
  <c r="AW14" i="19" s="1"/>
  <c r="AW14" i="18" s="1"/>
  <c r="AW14" i="11" s="1"/>
  <c r="AW14" i="13" s="1"/>
  <c r="AW13" i="1"/>
  <c r="AW13" i="16" s="1"/>
  <c r="AW13" i="12" s="1"/>
  <c r="AW13" i="17" s="1"/>
  <c r="AW13" i="19" s="1"/>
  <c r="AW13" i="18" s="1"/>
  <c r="AW13" i="11" s="1"/>
  <c r="AW13" i="13" s="1"/>
  <c r="AW12" i="1"/>
  <c r="AW12" i="16" s="1"/>
  <c r="AW12" i="12" s="1"/>
  <c r="AW12" i="17" s="1"/>
  <c r="AW12" i="19" s="1"/>
  <c r="AW12" i="18" s="1"/>
  <c r="AW12" i="11" s="1"/>
  <c r="AW12" i="13" s="1"/>
  <c r="AW11" i="1"/>
  <c r="AW11" i="16" s="1"/>
  <c r="AW11" i="12" s="1"/>
  <c r="AW11" i="17" s="1"/>
  <c r="AW11" i="19" s="1"/>
  <c r="AW11" i="18" s="1"/>
  <c r="AW11" i="11" s="1"/>
  <c r="AW11" i="13" s="1"/>
  <c r="AW10" i="1"/>
  <c r="AW10" i="16" s="1"/>
  <c r="AW10" i="12" s="1"/>
  <c r="AW10" i="17" s="1"/>
  <c r="AW10" i="19" s="1"/>
  <c r="AW10" i="18" s="1"/>
  <c r="AW10" i="11" s="1"/>
  <c r="AW10" i="13" s="1"/>
  <c r="AW9" i="1"/>
  <c r="AW9" i="16" s="1"/>
  <c r="AW9" i="12" s="1"/>
  <c r="AW9" i="17" s="1"/>
  <c r="AW9" i="19" s="1"/>
  <c r="AW9" i="18" s="1"/>
  <c r="AW9" i="11" s="1"/>
  <c r="AW9" i="13" s="1"/>
  <c r="AW8" i="1"/>
  <c r="AW8" i="16" s="1"/>
  <c r="AW8" i="12" s="1"/>
  <c r="AW8" i="17" s="1"/>
  <c r="AW8" i="19" s="1"/>
  <c r="AW8" i="18" s="1"/>
  <c r="AW8" i="11" s="1"/>
  <c r="AW8" i="13" s="1"/>
  <c r="AU15" i="1"/>
  <c r="AU15" i="16" s="1"/>
  <c r="AU15" i="12" s="1"/>
  <c r="AU15" i="17" s="1"/>
  <c r="AU15" i="19" s="1"/>
  <c r="AU15" i="18" s="1"/>
  <c r="AU15" i="11" s="1"/>
  <c r="AU15" i="13" s="1"/>
  <c r="AU14" i="1"/>
  <c r="AU14" i="16" s="1"/>
  <c r="AU14" i="12" s="1"/>
  <c r="AU14" i="17" s="1"/>
  <c r="AU14" i="19" s="1"/>
  <c r="AU14" i="18" s="1"/>
  <c r="AU14" i="11" s="1"/>
  <c r="AU14" i="13" s="1"/>
  <c r="AU13" i="1"/>
  <c r="AU13" i="16" s="1"/>
  <c r="AU13" i="12" s="1"/>
  <c r="AU13" i="17" s="1"/>
  <c r="AU13" i="19" s="1"/>
  <c r="AU13" i="18" s="1"/>
  <c r="AU13" i="11" s="1"/>
  <c r="AU13" i="13" s="1"/>
  <c r="AU12" i="1"/>
  <c r="AU12" i="16" s="1"/>
  <c r="AU12" i="12" s="1"/>
  <c r="AU12" i="17" s="1"/>
  <c r="AU12" i="19" s="1"/>
  <c r="AU12" i="18" s="1"/>
  <c r="AU12" i="11" s="1"/>
  <c r="AU12" i="13" s="1"/>
  <c r="AU11" i="1"/>
  <c r="AU11" i="16" s="1"/>
  <c r="AU11" i="12" s="1"/>
  <c r="AU11" i="17" s="1"/>
  <c r="AU11" i="19" s="1"/>
  <c r="AU11" i="18" s="1"/>
  <c r="AU11" i="11" s="1"/>
  <c r="AU11" i="13" s="1"/>
  <c r="AU10" i="1"/>
  <c r="AU10" i="16" s="1"/>
  <c r="AU10" i="12" s="1"/>
  <c r="AU10" i="17" s="1"/>
  <c r="AU10" i="19" s="1"/>
  <c r="AU10" i="18" s="1"/>
  <c r="AU10" i="11" s="1"/>
  <c r="AU10" i="13" s="1"/>
  <c r="AU9" i="1"/>
  <c r="AU9" i="16" s="1"/>
  <c r="AU9" i="12" s="1"/>
  <c r="AU9" i="17" s="1"/>
  <c r="AU9" i="19" s="1"/>
  <c r="AU9" i="18" s="1"/>
  <c r="AU9" i="11" s="1"/>
  <c r="AU9" i="13" s="1"/>
  <c r="AU8" i="1"/>
  <c r="AU8" i="16" s="1"/>
  <c r="AU8" i="12" s="1"/>
  <c r="AU8" i="17" s="1"/>
  <c r="AU8" i="19" s="1"/>
  <c r="AU8" i="18" s="1"/>
  <c r="AU8" i="11" s="1"/>
  <c r="AU8" i="13" s="1"/>
  <c r="AS15" i="1"/>
  <c r="AS15" i="16" s="1"/>
  <c r="AS15" i="12" s="1"/>
  <c r="AS15" i="17" s="1"/>
  <c r="AS15" i="19" s="1"/>
  <c r="AS15" i="18" s="1"/>
  <c r="AS15" i="11" s="1"/>
  <c r="AS15" i="13" s="1"/>
  <c r="AS14" i="1"/>
  <c r="AS14" i="16" s="1"/>
  <c r="AS14" i="12" s="1"/>
  <c r="AS14" i="17" s="1"/>
  <c r="AS14" i="19" s="1"/>
  <c r="AS14" i="18" s="1"/>
  <c r="AS14" i="11" s="1"/>
  <c r="AS14" i="13" s="1"/>
  <c r="AS13" i="1"/>
  <c r="AS13" i="16" s="1"/>
  <c r="AS13" i="12" s="1"/>
  <c r="AS13" i="17" s="1"/>
  <c r="AS13" i="19" s="1"/>
  <c r="AS13" i="18" s="1"/>
  <c r="AS13" i="11" s="1"/>
  <c r="AS13" i="13" s="1"/>
  <c r="AS12" i="1"/>
  <c r="AS12" i="16" s="1"/>
  <c r="AS12" i="12" s="1"/>
  <c r="AS12" i="17" s="1"/>
  <c r="AS12" i="19" s="1"/>
  <c r="AS12" i="18" s="1"/>
  <c r="AS12" i="11" s="1"/>
  <c r="AS12" i="13" s="1"/>
  <c r="AS11" i="1"/>
  <c r="AS11" i="16" s="1"/>
  <c r="AS11" i="12" s="1"/>
  <c r="AS11" i="17" s="1"/>
  <c r="AS11" i="19" s="1"/>
  <c r="AS11" i="18" s="1"/>
  <c r="AS11" i="11" s="1"/>
  <c r="AS11" i="13" s="1"/>
  <c r="AS10" i="1"/>
  <c r="AS10" i="16" s="1"/>
  <c r="AS10" i="12" s="1"/>
  <c r="AS10" i="17" s="1"/>
  <c r="AS10" i="19" s="1"/>
  <c r="AS10" i="18" s="1"/>
  <c r="AS10" i="11" s="1"/>
  <c r="AS10" i="13" s="1"/>
  <c r="AS9" i="1"/>
  <c r="AS9" i="16" s="1"/>
  <c r="AS9" i="12" s="1"/>
  <c r="AS9" i="17" s="1"/>
  <c r="AS9" i="19" s="1"/>
  <c r="AS9" i="18" s="1"/>
  <c r="AS9" i="11" s="1"/>
  <c r="AS9" i="13" s="1"/>
  <c r="AS8" i="1"/>
  <c r="AS8" i="16" s="1"/>
  <c r="AS8" i="12" s="1"/>
  <c r="AS8" i="17" s="1"/>
  <c r="AS8" i="19" s="1"/>
  <c r="AS8" i="18" s="1"/>
  <c r="AS8" i="11" s="1"/>
  <c r="AS8" i="13" s="1"/>
  <c r="AQ15" i="1"/>
  <c r="AQ15" i="16" s="1"/>
  <c r="AQ15" i="12" s="1"/>
  <c r="AQ15" i="17" s="1"/>
  <c r="AQ15" i="19" s="1"/>
  <c r="AQ15" i="18" s="1"/>
  <c r="AQ15" i="11" s="1"/>
  <c r="AQ15" i="13" s="1"/>
  <c r="AQ14" i="1"/>
  <c r="AQ14" i="16" s="1"/>
  <c r="AQ14" i="12" s="1"/>
  <c r="AQ14" i="17" s="1"/>
  <c r="AQ14" i="19" s="1"/>
  <c r="AQ14" i="18" s="1"/>
  <c r="AQ14" i="11" s="1"/>
  <c r="AQ14" i="13" s="1"/>
  <c r="AQ13" i="1"/>
  <c r="AQ13" i="16" s="1"/>
  <c r="AQ13" i="12" s="1"/>
  <c r="AQ13" i="17" s="1"/>
  <c r="AQ13" i="19" s="1"/>
  <c r="AQ13" i="18" s="1"/>
  <c r="AQ13" i="11" s="1"/>
  <c r="AQ13" i="13" s="1"/>
  <c r="AQ12" i="1"/>
  <c r="AQ12" i="16" s="1"/>
  <c r="AQ12" i="12" s="1"/>
  <c r="AQ12" i="17" s="1"/>
  <c r="AQ12" i="19" s="1"/>
  <c r="AQ12" i="18" s="1"/>
  <c r="AQ12" i="11" s="1"/>
  <c r="AQ12" i="13" s="1"/>
  <c r="AQ11" i="1"/>
  <c r="AQ11" i="16" s="1"/>
  <c r="AQ11" i="12" s="1"/>
  <c r="AQ11" i="17" s="1"/>
  <c r="AQ11" i="19" s="1"/>
  <c r="AQ11" i="18" s="1"/>
  <c r="AQ11" i="11" s="1"/>
  <c r="AQ11" i="13" s="1"/>
  <c r="AQ10" i="1"/>
  <c r="AQ10" i="16" s="1"/>
  <c r="AQ10" i="12" s="1"/>
  <c r="AQ10" i="17" s="1"/>
  <c r="AQ10" i="19" s="1"/>
  <c r="AQ10" i="18" s="1"/>
  <c r="AQ10" i="11" s="1"/>
  <c r="AQ10" i="13" s="1"/>
  <c r="AQ9" i="1"/>
  <c r="AQ9" i="16" s="1"/>
  <c r="AQ9" i="12" s="1"/>
  <c r="AQ9" i="17" s="1"/>
  <c r="AQ9" i="19" s="1"/>
  <c r="AQ9" i="18" s="1"/>
  <c r="AQ9" i="11" s="1"/>
  <c r="AQ9" i="13" s="1"/>
  <c r="AQ8" i="1"/>
  <c r="AQ8" i="16" s="1"/>
  <c r="AQ8" i="12" s="1"/>
  <c r="AQ8" i="17" s="1"/>
  <c r="AQ8" i="19" s="1"/>
  <c r="AQ8" i="18" s="1"/>
  <c r="AQ8" i="11" s="1"/>
  <c r="AQ8" i="13" s="1"/>
  <c r="AO15" i="1"/>
  <c r="AO15" i="16" s="1"/>
  <c r="AO15" i="12" s="1"/>
  <c r="AO15" i="17" s="1"/>
  <c r="AO15" i="19" s="1"/>
  <c r="AO15" i="18" s="1"/>
  <c r="AO15" i="11" s="1"/>
  <c r="AO15" i="13" s="1"/>
  <c r="AO14" i="1"/>
  <c r="AO14" i="16" s="1"/>
  <c r="AO14" i="12" s="1"/>
  <c r="AO14" i="17" s="1"/>
  <c r="AO14" i="19" s="1"/>
  <c r="AO14" i="18" s="1"/>
  <c r="AO14" i="11" s="1"/>
  <c r="AO14" i="13" s="1"/>
  <c r="AO13" i="1"/>
  <c r="AO13" i="16" s="1"/>
  <c r="AO13" i="12" s="1"/>
  <c r="AO13" i="17" s="1"/>
  <c r="AO13" i="19" s="1"/>
  <c r="AO13" i="18" s="1"/>
  <c r="AO13" i="11" s="1"/>
  <c r="AO13" i="13" s="1"/>
  <c r="AO12" i="1"/>
  <c r="AO12" i="16" s="1"/>
  <c r="AO12" i="12" s="1"/>
  <c r="AO12" i="17" s="1"/>
  <c r="AO12" i="19" s="1"/>
  <c r="AO12" i="18" s="1"/>
  <c r="AO12" i="11" s="1"/>
  <c r="AO12" i="13" s="1"/>
  <c r="AO11" i="1"/>
  <c r="AO11" i="16" s="1"/>
  <c r="AO11" i="12" s="1"/>
  <c r="AO11" i="17" s="1"/>
  <c r="AO11" i="19" s="1"/>
  <c r="AO11" i="18" s="1"/>
  <c r="AO11" i="11" s="1"/>
  <c r="AO11" i="13" s="1"/>
  <c r="AO10" i="1"/>
  <c r="AO10" i="16" s="1"/>
  <c r="AO10" i="12" s="1"/>
  <c r="AO10" i="17" s="1"/>
  <c r="AO10" i="19" s="1"/>
  <c r="AO10" i="18" s="1"/>
  <c r="AO10" i="11" s="1"/>
  <c r="AO10" i="13" s="1"/>
  <c r="AO9" i="1"/>
  <c r="AO9" i="16" s="1"/>
  <c r="AO9" i="12" s="1"/>
  <c r="AO9" i="17" s="1"/>
  <c r="AO9" i="19" s="1"/>
  <c r="AO9" i="18" s="1"/>
  <c r="AO9" i="11" s="1"/>
  <c r="AO9" i="13" s="1"/>
  <c r="AO8" i="1"/>
  <c r="AO8" i="16" s="1"/>
  <c r="AO8" i="12" s="1"/>
  <c r="AO8" i="17" s="1"/>
  <c r="AO8" i="19" s="1"/>
  <c r="AO8" i="18" s="1"/>
  <c r="AO8" i="11" s="1"/>
  <c r="AO8" i="13" s="1"/>
  <c r="AM15" i="1"/>
  <c r="AM15" i="16" s="1"/>
  <c r="AM15" i="12" s="1"/>
  <c r="AM15" i="17" s="1"/>
  <c r="AM15" i="19" s="1"/>
  <c r="AM15" i="18" s="1"/>
  <c r="AM15" i="11" s="1"/>
  <c r="AM15" i="13" s="1"/>
  <c r="AM14" i="1"/>
  <c r="AM14" i="16" s="1"/>
  <c r="AM14" i="12" s="1"/>
  <c r="AM14" i="17" s="1"/>
  <c r="AM14" i="19" s="1"/>
  <c r="AM14" i="18" s="1"/>
  <c r="AM14" i="11" s="1"/>
  <c r="AM14" i="13" s="1"/>
  <c r="AM13" i="1"/>
  <c r="AM13" i="16" s="1"/>
  <c r="AM13" i="12" s="1"/>
  <c r="AM13" i="17" s="1"/>
  <c r="AM13" i="19" s="1"/>
  <c r="AM13" i="18" s="1"/>
  <c r="AM13" i="11" s="1"/>
  <c r="AM13" i="13" s="1"/>
  <c r="AM12" i="1"/>
  <c r="AM12" i="16" s="1"/>
  <c r="AM12" i="12" s="1"/>
  <c r="AM12" i="17" s="1"/>
  <c r="AM12" i="19" s="1"/>
  <c r="AM12" i="18" s="1"/>
  <c r="AM12" i="11" s="1"/>
  <c r="AM12" i="13" s="1"/>
  <c r="AM11" i="1"/>
  <c r="AM11" i="16" s="1"/>
  <c r="AM11" i="12" s="1"/>
  <c r="AM11" i="17" s="1"/>
  <c r="AM11" i="19" s="1"/>
  <c r="AM11" i="18" s="1"/>
  <c r="AM11" i="11" s="1"/>
  <c r="AM11" i="13" s="1"/>
  <c r="AM10" i="1"/>
  <c r="AM10" i="16" s="1"/>
  <c r="AM10" i="12" s="1"/>
  <c r="AM10" i="17" s="1"/>
  <c r="AM10" i="19" s="1"/>
  <c r="AM10" i="18" s="1"/>
  <c r="AM10" i="11" s="1"/>
  <c r="AM10" i="13" s="1"/>
  <c r="AM9" i="1"/>
  <c r="AM9" i="16" s="1"/>
  <c r="AM9" i="12" s="1"/>
  <c r="AM9" i="17" s="1"/>
  <c r="AM9" i="19" s="1"/>
  <c r="AM9" i="18" s="1"/>
  <c r="AM9" i="11" s="1"/>
  <c r="AM9" i="13" s="1"/>
  <c r="AM8" i="1"/>
  <c r="AM8" i="16" s="1"/>
  <c r="AM8" i="12" s="1"/>
  <c r="AM8" i="17" s="1"/>
  <c r="AM8" i="19" s="1"/>
  <c r="AM8" i="18" s="1"/>
  <c r="AM8" i="11" s="1"/>
  <c r="AM8" i="13" s="1"/>
  <c r="AK15" i="1"/>
  <c r="AK15" i="16" s="1"/>
  <c r="AK15" i="12" s="1"/>
  <c r="AK15" i="17" s="1"/>
  <c r="AK15" i="19" s="1"/>
  <c r="AK15" i="18" s="1"/>
  <c r="AK15" i="11" s="1"/>
  <c r="AK15" i="13" s="1"/>
  <c r="AK14" i="1"/>
  <c r="AK14" i="16" s="1"/>
  <c r="AK14" i="12" s="1"/>
  <c r="AK14" i="17" s="1"/>
  <c r="AK14" i="19" s="1"/>
  <c r="AK14" i="18" s="1"/>
  <c r="AK14" i="11" s="1"/>
  <c r="AK14" i="13" s="1"/>
  <c r="AK13" i="1"/>
  <c r="AK13" i="16" s="1"/>
  <c r="AK13" i="12" s="1"/>
  <c r="AK13" i="17" s="1"/>
  <c r="AK13" i="19" s="1"/>
  <c r="AK13" i="18" s="1"/>
  <c r="AK13" i="11" s="1"/>
  <c r="AK13" i="13" s="1"/>
  <c r="AK12" i="1"/>
  <c r="AK12" i="16" s="1"/>
  <c r="AK12" i="12" s="1"/>
  <c r="AK12" i="17" s="1"/>
  <c r="AK12" i="19" s="1"/>
  <c r="AK12" i="18" s="1"/>
  <c r="AK12" i="11" s="1"/>
  <c r="AK12" i="13" s="1"/>
  <c r="AK11" i="1"/>
  <c r="AK11" i="16" s="1"/>
  <c r="AK11" i="12" s="1"/>
  <c r="AK11" i="17" s="1"/>
  <c r="AK11" i="19" s="1"/>
  <c r="AK11" i="18" s="1"/>
  <c r="AK11" i="11" s="1"/>
  <c r="AK11" i="13" s="1"/>
  <c r="AK10" i="1"/>
  <c r="AK10" i="16" s="1"/>
  <c r="AK10" i="12" s="1"/>
  <c r="AK10" i="17" s="1"/>
  <c r="AK10" i="19" s="1"/>
  <c r="AK10" i="18" s="1"/>
  <c r="AK10" i="11" s="1"/>
  <c r="AK10" i="13" s="1"/>
  <c r="AK9" i="1"/>
  <c r="AK9" i="16" s="1"/>
  <c r="AK9" i="12" s="1"/>
  <c r="AK9" i="17" s="1"/>
  <c r="AK9" i="19" s="1"/>
  <c r="AK9" i="18" s="1"/>
  <c r="AK9" i="11" s="1"/>
  <c r="AK9" i="13" s="1"/>
  <c r="AK8" i="1"/>
  <c r="AK8" i="16" s="1"/>
  <c r="AK8" i="12" s="1"/>
  <c r="AK8" i="17" s="1"/>
  <c r="AK8" i="19" s="1"/>
  <c r="AK8" i="18" s="1"/>
  <c r="AK8" i="11" s="1"/>
  <c r="AK8" i="13" s="1"/>
  <c r="AI15" i="1"/>
  <c r="AI15" i="16" s="1"/>
  <c r="AI15" i="12" s="1"/>
  <c r="AI15" i="17" s="1"/>
  <c r="AI15" i="19" s="1"/>
  <c r="AI15" i="18" s="1"/>
  <c r="AI15" i="11" s="1"/>
  <c r="AI15" i="13" s="1"/>
  <c r="AI14" i="1"/>
  <c r="AI14" i="16" s="1"/>
  <c r="AI14" i="12" s="1"/>
  <c r="AI14" i="17" s="1"/>
  <c r="AI14" i="19" s="1"/>
  <c r="AI14" i="18" s="1"/>
  <c r="AI14" i="11" s="1"/>
  <c r="AI14" i="13" s="1"/>
  <c r="AI13" i="1"/>
  <c r="AI13" i="16" s="1"/>
  <c r="AI13" i="12" s="1"/>
  <c r="AI13" i="17" s="1"/>
  <c r="AI13" i="19" s="1"/>
  <c r="AI13" i="18" s="1"/>
  <c r="AI13" i="11" s="1"/>
  <c r="AI13" i="13" s="1"/>
  <c r="AI12" i="1"/>
  <c r="AI12" i="16" s="1"/>
  <c r="AI12" i="12" s="1"/>
  <c r="AI12" i="17" s="1"/>
  <c r="AI12" i="19" s="1"/>
  <c r="AI12" i="18" s="1"/>
  <c r="AI12" i="11" s="1"/>
  <c r="AI12" i="13" s="1"/>
  <c r="AI11" i="1"/>
  <c r="AI11" i="16" s="1"/>
  <c r="AI11" i="12" s="1"/>
  <c r="AI11" i="17" s="1"/>
  <c r="AI11" i="19" s="1"/>
  <c r="AI11" i="18" s="1"/>
  <c r="AI11" i="11" s="1"/>
  <c r="AI11" i="13" s="1"/>
  <c r="AI10" i="1"/>
  <c r="AI10" i="16" s="1"/>
  <c r="AI10" i="12" s="1"/>
  <c r="AI10" i="17" s="1"/>
  <c r="AI10" i="19" s="1"/>
  <c r="AI10" i="18" s="1"/>
  <c r="AI10" i="11" s="1"/>
  <c r="AI10" i="13" s="1"/>
  <c r="AI9" i="1"/>
  <c r="AI9" i="16" s="1"/>
  <c r="AI9" i="12" s="1"/>
  <c r="AI9" i="17" s="1"/>
  <c r="AI9" i="19" s="1"/>
  <c r="AI9" i="18" s="1"/>
  <c r="AI9" i="11" s="1"/>
  <c r="AI9" i="13" s="1"/>
  <c r="AI8" i="1"/>
  <c r="AI8" i="16" s="1"/>
  <c r="AI8" i="12" s="1"/>
  <c r="AI8" i="17" s="1"/>
  <c r="AI8" i="19" s="1"/>
  <c r="AI8" i="18" s="1"/>
  <c r="AI8" i="11" s="1"/>
  <c r="AI8" i="13" s="1"/>
  <c r="AG15" i="1"/>
  <c r="AG15" i="16" s="1"/>
  <c r="AG15" i="12" s="1"/>
  <c r="AG15" i="17" s="1"/>
  <c r="AG15" i="19" s="1"/>
  <c r="AG15" i="18" s="1"/>
  <c r="AG15" i="11" s="1"/>
  <c r="AG15" i="13" s="1"/>
  <c r="AG14" i="1"/>
  <c r="AG14" i="16" s="1"/>
  <c r="AG14" i="12" s="1"/>
  <c r="AG14" i="17" s="1"/>
  <c r="AG14" i="19" s="1"/>
  <c r="AG14" i="18" s="1"/>
  <c r="AG14" i="11" s="1"/>
  <c r="AG14" i="13" s="1"/>
  <c r="AG13" i="1"/>
  <c r="AG13" i="16" s="1"/>
  <c r="AG13" i="12" s="1"/>
  <c r="AG13" i="17" s="1"/>
  <c r="AG13" i="19" s="1"/>
  <c r="AG13" i="18" s="1"/>
  <c r="AG13" i="11" s="1"/>
  <c r="AG13" i="13" s="1"/>
  <c r="AG12" i="1"/>
  <c r="AG12" i="16" s="1"/>
  <c r="AG12" i="12" s="1"/>
  <c r="AG12" i="17" s="1"/>
  <c r="AG12" i="19" s="1"/>
  <c r="AG12" i="18" s="1"/>
  <c r="AG12" i="11" s="1"/>
  <c r="AG12" i="13" s="1"/>
  <c r="AG11" i="1"/>
  <c r="AG11" i="16" s="1"/>
  <c r="AG11" i="12" s="1"/>
  <c r="AG11" i="17" s="1"/>
  <c r="AG11" i="19" s="1"/>
  <c r="AG11" i="18" s="1"/>
  <c r="AG11" i="11" s="1"/>
  <c r="AG11" i="13" s="1"/>
  <c r="AG10" i="1"/>
  <c r="AG10" i="16" s="1"/>
  <c r="AG10" i="12" s="1"/>
  <c r="AG10" i="17" s="1"/>
  <c r="AG10" i="19" s="1"/>
  <c r="AG10" i="18" s="1"/>
  <c r="AG10" i="11" s="1"/>
  <c r="AG10" i="13" s="1"/>
  <c r="AG9" i="1"/>
  <c r="AG9" i="16" s="1"/>
  <c r="AG9" i="12" s="1"/>
  <c r="AG9" i="17" s="1"/>
  <c r="AG9" i="19" s="1"/>
  <c r="AG9" i="18" s="1"/>
  <c r="AG9" i="11" s="1"/>
  <c r="AG9" i="13" s="1"/>
  <c r="AG8" i="1"/>
  <c r="AG8" i="16" s="1"/>
  <c r="AG8" i="12" s="1"/>
  <c r="AG8" i="17" s="1"/>
  <c r="AG8" i="19" s="1"/>
  <c r="AG8" i="18" s="1"/>
  <c r="AG8" i="11" s="1"/>
  <c r="AG8" i="13" s="1"/>
  <c r="AE15" i="1"/>
  <c r="AE15" i="16" s="1"/>
  <c r="AE15" i="12" s="1"/>
  <c r="AE15" i="17" s="1"/>
  <c r="AE15" i="19" s="1"/>
  <c r="AE15" i="18" s="1"/>
  <c r="AE15" i="11" s="1"/>
  <c r="AE15" i="13" s="1"/>
  <c r="AE14" i="1"/>
  <c r="AE14" i="16" s="1"/>
  <c r="AE14" i="12" s="1"/>
  <c r="AE14" i="17" s="1"/>
  <c r="AE14" i="19" s="1"/>
  <c r="AE14" i="18" s="1"/>
  <c r="AE14" i="11" s="1"/>
  <c r="AE14" i="13" s="1"/>
  <c r="AE13" i="1"/>
  <c r="AE13" i="16" s="1"/>
  <c r="AE13" i="12" s="1"/>
  <c r="AE13" i="17" s="1"/>
  <c r="AE13" i="19" s="1"/>
  <c r="AE13" i="18" s="1"/>
  <c r="AE13" i="11" s="1"/>
  <c r="AE13" i="13" s="1"/>
  <c r="AE12" i="1"/>
  <c r="AE12" i="16" s="1"/>
  <c r="AE12" i="12" s="1"/>
  <c r="AE12" i="17" s="1"/>
  <c r="AE12" i="19" s="1"/>
  <c r="AE12" i="18" s="1"/>
  <c r="AE12" i="11" s="1"/>
  <c r="AE12" i="13" s="1"/>
  <c r="AE11" i="1"/>
  <c r="AE11" i="16" s="1"/>
  <c r="AE11" i="12" s="1"/>
  <c r="AE11" i="17" s="1"/>
  <c r="AE11" i="19" s="1"/>
  <c r="AE11" i="18" s="1"/>
  <c r="AE11" i="11" s="1"/>
  <c r="AE11" i="13" s="1"/>
  <c r="AE10" i="1"/>
  <c r="AE10" i="16" s="1"/>
  <c r="AE10" i="12" s="1"/>
  <c r="AE10" i="17" s="1"/>
  <c r="AE10" i="19" s="1"/>
  <c r="AE10" i="18" s="1"/>
  <c r="AE10" i="11" s="1"/>
  <c r="AE10" i="13" s="1"/>
  <c r="AE9" i="1"/>
  <c r="AE9" i="16" s="1"/>
  <c r="AE9" i="12" s="1"/>
  <c r="AE9" i="17" s="1"/>
  <c r="AE9" i="19" s="1"/>
  <c r="AE9" i="18" s="1"/>
  <c r="AE9" i="11" s="1"/>
  <c r="AE9" i="13" s="1"/>
  <c r="AE8" i="1"/>
  <c r="AE8" i="16" s="1"/>
  <c r="AE8" i="12" s="1"/>
  <c r="AE8" i="17" s="1"/>
  <c r="AE8" i="19" s="1"/>
  <c r="AE8" i="18" s="1"/>
  <c r="AE8" i="11" s="1"/>
  <c r="AE8" i="13" s="1"/>
  <c r="AC15" i="1"/>
  <c r="AC15" i="16" s="1"/>
  <c r="AC15" i="12" s="1"/>
  <c r="AC15" i="17" s="1"/>
  <c r="AC15" i="19" s="1"/>
  <c r="AC15" i="18" s="1"/>
  <c r="AC15" i="11" s="1"/>
  <c r="AC15" i="13" s="1"/>
  <c r="AC14" i="1"/>
  <c r="AC14" i="16" s="1"/>
  <c r="AC14" i="12" s="1"/>
  <c r="AC14" i="17" s="1"/>
  <c r="AC14" i="19" s="1"/>
  <c r="AC14" i="18" s="1"/>
  <c r="AC14" i="11" s="1"/>
  <c r="AC14" i="13" s="1"/>
  <c r="AC13" i="1"/>
  <c r="AC13" i="16" s="1"/>
  <c r="AC13" i="12" s="1"/>
  <c r="AC13" i="17" s="1"/>
  <c r="AC13" i="19" s="1"/>
  <c r="AC13" i="18" s="1"/>
  <c r="AC13" i="11" s="1"/>
  <c r="AC13" i="13" s="1"/>
  <c r="AC12" i="1"/>
  <c r="AC12" i="16" s="1"/>
  <c r="AC12" i="12" s="1"/>
  <c r="AC12" i="17" s="1"/>
  <c r="AC12" i="19" s="1"/>
  <c r="AC12" i="18" s="1"/>
  <c r="AC12" i="11" s="1"/>
  <c r="AC12" i="13" s="1"/>
  <c r="AC11" i="1"/>
  <c r="AC11" i="16" s="1"/>
  <c r="AC11" i="12" s="1"/>
  <c r="AC11" i="17" s="1"/>
  <c r="AC11" i="19" s="1"/>
  <c r="AC11" i="18" s="1"/>
  <c r="AC11" i="11" s="1"/>
  <c r="AC11" i="13" s="1"/>
  <c r="AC10" i="1"/>
  <c r="AC10" i="16" s="1"/>
  <c r="AC10" i="12" s="1"/>
  <c r="AC10" i="17" s="1"/>
  <c r="AC10" i="19" s="1"/>
  <c r="AC10" i="18" s="1"/>
  <c r="AC10" i="11" s="1"/>
  <c r="AC10" i="13" s="1"/>
  <c r="AC9" i="1"/>
  <c r="AC9" i="16" s="1"/>
  <c r="AC9" i="12" s="1"/>
  <c r="AC9" i="17" s="1"/>
  <c r="AC9" i="19" s="1"/>
  <c r="AC9" i="18" s="1"/>
  <c r="AC9" i="11" s="1"/>
  <c r="AC9" i="13" s="1"/>
  <c r="AC8" i="1"/>
  <c r="AC8" i="16" s="1"/>
  <c r="AC8" i="12" s="1"/>
  <c r="AC8" i="17" s="1"/>
  <c r="AC8" i="19" s="1"/>
  <c r="AC8" i="18" s="1"/>
  <c r="AC8" i="11" s="1"/>
  <c r="AC8" i="13" s="1"/>
  <c r="AA15" i="1"/>
  <c r="AA15" i="16" s="1"/>
  <c r="AA15" i="12" s="1"/>
  <c r="AA15" i="17" s="1"/>
  <c r="AA15" i="19" s="1"/>
  <c r="AA15" i="18" s="1"/>
  <c r="AA15" i="11" s="1"/>
  <c r="AA15" i="13" s="1"/>
  <c r="AA14" i="1"/>
  <c r="AA14" i="16" s="1"/>
  <c r="AA14" i="12" s="1"/>
  <c r="AA14" i="17" s="1"/>
  <c r="AA14" i="19" s="1"/>
  <c r="AA14" i="18" s="1"/>
  <c r="AA14" i="11" s="1"/>
  <c r="AA14" i="13" s="1"/>
  <c r="AA13" i="1"/>
  <c r="AA13" i="16" s="1"/>
  <c r="AA13" i="12" s="1"/>
  <c r="AA13" i="17" s="1"/>
  <c r="AA13" i="19" s="1"/>
  <c r="AA13" i="18" s="1"/>
  <c r="AA13" i="11" s="1"/>
  <c r="AA13" i="13" s="1"/>
  <c r="AA12" i="1"/>
  <c r="AA12" i="16" s="1"/>
  <c r="AA12" i="12" s="1"/>
  <c r="AA12" i="17" s="1"/>
  <c r="AA12" i="19" s="1"/>
  <c r="AA12" i="18" s="1"/>
  <c r="AA12" i="11" s="1"/>
  <c r="AA12" i="13" s="1"/>
  <c r="AA11" i="1"/>
  <c r="AA11" i="16" s="1"/>
  <c r="AA11" i="12" s="1"/>
  <c r="AA11" i="17" s="1"/>
  <c r="AA11" i="19" s="1"/>
  <c r="AA11" i="18" s="1"/>
  <c r="AA11" i="11" s="1"/>
  <c r="AA11" i="13" s="1"/>
  <c r="AA10" i="1"/>
  <c r="AA10" i="16" s="1"/>
  <c r="AA10" i="12" s="1"/>
  <c r="AA10" i="17" s="1"/>
  <c r="AA10" i="19" s="1"/>
  <c r="AA10" i="18" s="1"/>
  <c r="AA10" i="11" s="1"/>
  <c r="AA10" i="13" s="1"/>
  <c r="AA9" i="1"/>
  <c r="AA9" i="16" s="1"/>
  <c r="AA9" i="12" s="1"/>
  <c r="AA9" i="17" s="1"/>
  <c r="AA9" i="19" s="1"/>
  <c r="AA9" i="18" s="1"/>
  <c r="AA9" i="11" s="1"/>
  <c r="AA9" i="13" s="1"/>
  <c r="AA8" i="1"/>
  <c r="AA8" i="16" s="1"/>
  <c r="AA8" i="12" s="1"/>
  <c r="AA8" i="17" s="1"/>
  <c r="AA8" i="19" s="1"/>
  <c r="AA8" i="18" s="1"/>
  <c r="AA8" i="11" s="1"/>
  <c r="AA8" i="13" s="1"/>
  <c r="Y15" i="1"/>
  <c r="Y15" i="16" s="1"/>
  <c r="Y15" i="12" s="1"/>
  <c r="Y15" i="17" s="1"/>
  <c r="Y15" i="19" s="1"/>
  <c r="Y15" i="18" s="1"/>
  <c r="Y15" i="11" s="1"/>
  <c r="Y15" i="13" s="1"/>
  <c r="Y14" i="1"/>
  <c r="Y14" i="16" s="1"/>
  <c r="Y14" i="12" s="1"/>
  <c r="Y14" i="17" s="1"/>
  <c r="Y14" i="19" s="1"/>
  <c r="Y14" i="18" s="1"/>
  <c r="Y14" i="11" s="1"/>
  <c r="Y14" i="13" s="1"/>
  <c r="Y13" i="1"/>
  <c r="Y13" i="16" s="1"/>
  <c r="Y13" i="12" s="1"/>
  <c r="Y13" i="17" s="1"/>
  <c r="Y13" i="19" s="1"/>
  <c r="Y13" i="18" s="1"/>
  <c r="Y13" i="11" s="1"/>
  <c r="Y13" i="13" s="1"/>
  <c r="Y12" i="1"/>
  <c r="Y12" i="16" s="1"/>
  <c r="Y12" i="12" s="1"/>
  <c r="Y12" i="17" s="1"/>
  <c r="Y12" i="19" s="1"/>
  <c r="Y12" i="18" s="1"/>
  <c r="Y12" i="11" s="1"/>
  <c r="Y12" i="13" s="1"/>
  <c r="Y11" i="1"/>
  <c r="Y11" i="16" s="1"/>
  <c r="Y11" i="12" s="1"/>
  <c r="Y11" i="17" s="1"/>
  <c r="Y11" i="19" s="1"/>
  <c r="Y11" i="18" s="1"/>
  <c r="Y11" i="11" s="1"/>
  <c r="Y11" i="13" s="1"/>
  <c r="Y10" i="1"/>
  <c r="Y10" i="16" s="1"/>
  <c r="Y10" i="12" s="1"/>
  <c r="Y10" i="17" s="1"/>
  <c r="Y10" i="19" s="1"/>
  <c r="Y10" i="18" s="1"/>
  <c r="Y10" i="11" s="1"/>
  <c r="Y10" i="13" s="1"/>
  <c r="Y9" i="1"/>
  <c r="Y9" i="16" s="1"/>
  <c r="Y9" i="12" s="1"/>
  <c r="Y9" i="17" s="1"/>
  <c r="Y9" i="19" s="1"/>
  <c r="Y9" i="18" s="1"/>
  <c r="Y9" i="11" s="1"/>
  <c r="Y9" i="13" s="1"/>
  <c r="Y8" i="1"/>
  <c r="Y8" i="16" s="1"/>
  <c r="Y8" i="12" s="1"/>
  <c r="Y8" i="17" s="1"/>
  <c r="Y8" i="19" s="1"/>
  <c r="Y8" i="18" s="1"/>
  <c r="Y8" i="11" s="1"/>
  <c r="Y8" i="13" s="1"/>
  <c r="W15" i="1"/>
  <c r="W15" i="16" s="1"/>
  <c r="W15" i="12" s="1"/>
  <c r="W15" i="17" s="1"/>
  <c r="W15" i="19" s="1"/>
  <c r="W15" i="18" s="1"/>
  <c r="W15" i="11" s="1"/>
  <c r="W15" i="13" s="1"/>
  <c r="W14" i="1"/>
  <c r="W14" i="16" s="1"/>
  <c r="W14" i="12" s="1"/>
  <c r="W14" i="17" s="1"/>
  <c r="W14" i="19" s="1"/>
  <c r="W14" i="18" s="1"/>
  <c r="W14" i="11" s="1"/>
  <c r="W14" i="13" s="1"/>
  <c r="W13" i="1"/>
  <c r="W13" i="16" s="1"/>
  <c r="W13" i="12" s="1"/>
  <c r="W13" i="17" s="1"/>
  <c r="W13" i="19" s="1"/>
  <c r="W13" i="18" s="1"/>
  <c r="W13" i="11" s="1"/>
  <c r="W13" i="13" s="1"/>
  <c r="W12" i="1"/>
  <c r="W12" i="16" s="1"/>
  <c r="W12" i="12" s="1"/>
  <c r="W12" i="17" s="1"/>
  <c r="W12" i="19" s="1"/>
  <c r="W12" i="18" s="1"/>
  <c r="W12" i="11" s="1"/>
  <c r="W12" i="13" s="1"/>
  <c r="W11" i="1"/>
  <c r="W11" i="16" s="1"/>
  <c r="W11" i="12" s="1"/>
  <c r="W11" i="17" s="1"/>
  <c r="W11" i="19" s="1"/>
  <c r="W11" i="18" s="1"/>
  <c r="W11" i="11" s="1"/>
  <c r="W11" i="13" s="1"/>
  <c r="W10" i="1"/>
  <c r="W10" i="16" s="1"/>
  <c r="W10" i="12" s="1"/>
  <c r="W10" i="17" s="1"/>
  <c r="W10" i="19" s="1"/>
  <c r="W10" i="18" s="1"/>
  <c r="W10" i="11" s="1"/>
  <c r="W10" i="13" s="1"/>
  <c r="W9" i="1"/>
  <c r="W9" i="16" s="1"/>
  <c r="W9" i="12" s="1"/>
  <c r="W9" i="17" s="1"/>
  <c r="W9" i="19" s="1"/>
  <c r="W9" i="18" s="1"/>
  <c r="W9" i="11" s="1"/>
  <c r="W9" i="13" s="1"/>
  <c r="W8" i="1"/>
  <c r="W8" i="16" s="1"/>
  <c r="W8" i="12" s="1"/>
  <c r="W8" i="17" s="1"/>
  <c r="W8" i="19" s="1"/>
  <c r="W8" i="18" s="1"/>
  <c r="W8" i="11" s="1"/>
  <c r="W8" i="13" s="1"/>
  <c r="U15" i="1"/>
  <c r="U15" i="16" s="1"/>
  <c r="U15" i="12" s="1"/>
  <c r="U15" i="17" s="1"/>
  <c r="U15" i="19" s="1"/>
  <c r="U15" i="18" s="1"/>
  <c r="U15" i="11" s="1"/>
  <c r="U15" i="13" s="1"/>
  <c r="U14" i="1"/>
  <c r="U14" i="16" s="1"/>
  <c r="U14" i="12" s="1"/>
  <c r="U14" i="17" s="1"/>
  <c r="U14" i="19" s="1"/>
  <c r="U14" i="18" s="1"/>
  <c r="U14" i="11" s="1"/>
  <c r="U14" i="13" s="1"/>
  <c r="U13" i="1"/>
  <c r="U13" i="16" s="1"/>
  <c r="U13" i="12" s="1"/>
  <c r="U13" i="17" s="1"/>
  <c r="U13" i="19" s="1"/>
  <c r="U13" i="18" s="1"/>
  <c r="U13" i="11" s="1"/>
  <c r="U13" i="13" s="1"/>
  <c r="U12" i="1"/>
  <c r="U12" i="16" s="1"/>
  <c r="U12" i="12" s="1"/>
  <c r="U12" i="17" s="1"/>
  <c r="U12" i="19" s="1"/>
  <c r="U12" i="18" s="1"/>
  <c r="U12" i="11" s="1"/>
  <c r="U12" i="13" s="1"/>
  <c r="U11" i="1"/>
  <c r="U11" i="16" s="1"/>
  <c r="U11" i="12" s="1"/>
  <c r="U11" i="17" s="1"/>
  <c r="U11" i="19" s="1"/>
  <c r="U11" i="18" s="1"/>
  <c r="U11" i="11" s="1"/>
  <c r="U11" i="13" s="1"/>
  <c r="U10" i="1"/>
  <c r="U10" i="16" s="1"/>
  <c r="U10" i="12" s="1"/>
  <c r="U10" i="17" s="1"/>
  <c r="U10" i="19" s="1"/>
  <c r="U10" i="18" s="1"/>
  <c r="U10" i="11" s="1"/>
  <c r="U10" i="13" s="1"/>
  <c r="U9" i="1"/>
  <c r="U9" i="16" s="1"/>
  <c r="U9" i="12" s="1"/>
  <c r="U9" i="17" s="1"/>
  <c r="U9" i="19" s="1"/>
  <c r="U9" i="18" s="1"/>
  <c r="U9" i="11" s="1"/>
  <c r="U9" i="13" s="1"/>
  <c r="U8" i="1"/>
  <c r="U8" i="16" s="1"/>
  <c r="U8" i="12" s="1"/>
  <c r="U8" i="17" s="1"/>
  <c r="U8" i="19" s="1"/>
  <c r="U8" i="18" s="1"/>
  <c r="U8" i="11" s="1"/>
  <c r="U8" i="13" s="1"/>
  <c r="S15" i="1"/>
  <c r="S15" i="16" s="1"/>
  <c r="S15" i="12" s="1"/>
  <c r="S15" i="17" s="1"/>
  <c r="S15" i="19" s="1"/>
  <c r="S15" i="18" s="1"/>
  <c r="S15" i="11" s="1"/>
  <c r="S15" i="13" s="1"/>
  <c r="S14" i="1"/>
  <c r="S14" i="16" s="1"/>
  <c r="S14" i="12" s="1"/>
  <c r="S14" i="17" s="1"/>
  <c r="S14" i="19" s="1"/>
  <c r="S14" i="18" s="1"/>
  <c r="S14" i="11" s="1"/>
  <c r="S14" i="13" s="1"/>
  <c r="S13" i="1"/>
  <c r="S13" i="16" s="1"/>
  <c r="S13" i="12" s="1"/>
  <c r="S13" i="17" s="1"/>
  <c r="S13" i="19" s="1"/>
  <c r="S13" i="18" s="1"/>
  <c r="S13" i="11" s="1"/>
  <c r="S13" i="13" s="1"/>
  <c r="S12" i="1"/>
  <c r="S12" i="16" s="1"/>
  <c r="S12" i="12" s="1"/>
  <c r="S12" i="17" s="1"/>
  <c r="S12" i="19" s="1"/>
  <c r="S12" i="18" s="1"/>
  <c r="S12" i="11" s="1"/>
  <c r="S12" i="13" s="1"/>
  <c r="S11" i="1"/>
  <c r="S11" i="16" s="1"/>
  <c r="S11" i="12" s="1"/>
  <c r="S11" i="17" s="1"/>
  <c r="S11" i="19" s="1"/>
  <c r="S11" i="18" s="1"/>
  <c r="S11" i="11" s="1"/>
  <c r="S11" i="13" s="1"/>
  <c r="S10" i="1"/>
  <c r="S10" i="16" s="1"/>
  <c r="S10" i="12" s="1"/>
  <c r="S10" i="17" s="1"/>
  <c r="S10" i="19" s="1"/>
  <c r="S10" i="18" s="1"/>
  <c r="S10" i="11" s="1"/>
  <c r="S10" i="13" s="1"/>
  <c r="S9" i="1"/>
  <c r="S9" i="16" s="1"/>
  <c r="S9" i="12" s="1"/>
  <c r="S9" i="17" s="1"/>
  <c r="S9" i="19" s="1"/>
  <c r="S9" i="18" s="1"/>
  <c r="S9" i="11" s="1"/>
  <c r="S9" i="13" s="1"/>
  <c r="S8" i="1"/>
  <c r="S8" i="16" s="1"/>
  <c r="S8" i="12" s="1"/>
  <c r="S8" i="17" s="1"/>
  <c r="S8" i="19" s="1"/>
  <c r="S8" i="18" s="1"/>
  <c r="S8" i="11" s="1"/>
  <c r="S8" i="13" s="1"/>
  <c r="Q15" i="1"/>
  <c r="Q15" i="16" s="1"/>
  <c r="Q15" i="12" s="1"/>
  <c r="Q15" i="17" s="1"/>
  <c r="Q15" i="19" s="1"/>
  <c r="Q15" i="18" s="1"/>
  <c r="Q15" i="11" s="1"/>
  <c r="Q15" i="13" s="1"/>
  <c r="Q14" i="1"/>
  <c r="Q14" i="16" s="1"/>
  <c r="Q14" i="12" s="1"/>
  <c r="Q14" i="17" s="1"/>
  <c r="Q14" i="19" s="1"/>
  <c r="Q14" i="18" s="1"/>
  <c r="Q14" i="11" s="1"/>
  <c r="Q14" i="13" s="1"/>
  <c r="Q13" i="1"/>
  <c r="Q13" i="16" s="1"/>
  <c r="Q13" i="12" s="1"/>
  <c r="Q13" i="17" s="1"/>
  <c r="Q13" i="19" s="1"/>
  <c r="Q13" i="18" s="1"/>
  <c r="Q13" i="11" s="1"/>
  <c r="Q13" i="13" s="1"/>
  <c r="Q12" i="1"/>
  <c r="Q12" i="16" s="1"/>
  <c r="Q12" i="12" s="1"/>
  <c r="Q12" i="17" s="1"/>
  <c r="Q12" i="19" s="1"/>
  <c r="Q12" i="18" s="1"/>
  <c r="Q12" i="11" s="1"/>
  <c r="Q12" i="13" s="1"/>
  <c r="Q11" i="1"/>
  <c r="Q11" i="16" s="1"/>
  <c r="Q11" i="12" s="1"/>
  <c r="Q11" i="17" s="1"/>
  <c r="Q11" i="19" s="1"/>
  <c r="Q11" i="18" s="1"/>
  <c r="Q11" i="11" s="1"/>
  <c r="Q11" i="13" s="1"/>
  <c r="Q10" i="1"/>
  <c r="Q10" i="16" s="1"/>
  <c r="Q10" i="12" s="1"/>
  <c r="Q10" i="17" s="1"/>
  <c r="Q10" i="19" s="1"/>
  <c r="Q10" i="18" s="1"/>
  <c r="Q10" i="11" s="1"/>
  <c r="Q10" i="13" s="1"/>
  <c r="Q9" i="1"/>
  <c r="Q9" i="16" s="1"/>
  <c r="Q9" i="12" s="1"/>
  <c r="Q9" i="17" s="1"/>
  <c r="Q9" i="19" s="1"/>
  <c r="Q9" i="18" s="1"/>
  <c r="Q9" i="11" s="1"/>
  <c r="Q9" i="13" s="1"/>
  <c r="Q8" i="1"/>
  <c r="Q8" i="16" s="1"/>
  <c r="Q8" i="12" s="1"/>
  <c r="Q8" i="17" s="1"/>
  <c r="Q8" i="19" s="1"/>
  <c r="Q8" i="18" s="1"/>
  <c r="Q8" i="11" s="1"/>
  <c r="Q8" i="13" s="1"/>
  <c r="O15" i="1"/>
  <c r="O15" i="16" s="1"/>
  <c r="O15" i="12" s="1"/>
  <c r="O15" i="17" s="1"/>
  <c r="O15" i="19" s="1"/>
  <c r="O15" i="18" s="1"/>
  <c r="O15" i="11" s="1"/>
  <c r="O15" i="13" s="1"/>
  <c r="O14" i="1"/>
  <c r="O14" i="16" s="1"/>
  <c r="O14" i="12" s="1"/>
  <c r="O14" i="17" s="1"/>
  <c r="O14" i="19" s="1"/>
  <c r="O14" i="18" s="1"/>
  <c r="O14" i="11" s="1"/>
  <c r="O14" i="13" s="1"/>
  <c r="O13" i="1"/>
  <c r="O13" i="16" s="1"/>
  <c r="O13" i="12" s="1"/>
  <c r="O13" i="17" s="1"/>
  <c r="O13" i="19" s="1"/>
  <c r="O13" i="18" s="1"/>
  <c r="O13" i="11" s="1"/>
  <c r="O13" i="13" s="1"/>
  <c r="O12" i="1"/>
  <c r="O12" i="16" s="1"/>
  <c r="O12" i="12" s="1"/>
  <c r="O12" i="17" s="1"/>
  <c r="O12" i="19" s="1"/>
  <c r="O12" i="18" s="1"/>
  <c r="O12" i="11" s="1"/>
  <c r="O12" i="13" s="1"/>
  <c r="O11" i="1"/>
  <c r="O11" i="16" s="1"/>
  <c r="O11" i="12" s="1"/>
  <c r="O11" i="17" s="1"/>
  <c r="O11" i="19" s="1"/>
  <c r="O11" i="18" s="1"/>
  <c r="O11" i="11" s="1"/>
  <c r="O11" i="13" s="1"/>
  <c r="O10" i="1"/>
  <c r="O10" i="16" s="1"/>
  <c r="O10" i="12" s="1"/>
  <c r="O10" i="17" s="1"/>
  <c r="O10" i="19" s="1"/>
  <c r="O10" i="18" s="1"/>
  <c r="O10" i="11" s="1"/>
  <c r="O10" i="13" s="1"/>
  <c r="O9" i="1"/>
  <c r="O9" i="16" s="1"/>
  <c r="O9" i="12" s="1"/>
  <c r="O9" i="17" s="1"/>
  <c r="O9" i="19" s="1"/>
  <c r="O9" i="18" s="1"/>
  <c r="O9" i="11" s="1"/>
  <c r="O9" i="13" s="1"/>
  <c r="O8" i="1"/>
  <c r="O8" i="16" s="1"/>
  <c r="O8" i="12" s="1"/>
  <c r="O8" i="17" s="1"/>
  <c r="O8" i="19" s="1"/>
  <c r="O8" i="18" s="1"/>
  <c r="O8" i="11" s="1"/>
  <c r="O8" i="13" s="1"/>
  <c r="M15" i="1"/>
  <c r="M15" i="16" s="1"/>
  <c r="M15" i="12" s="1"/>
  <c r="M15" i="17" s="1"/>
  <c r="M15" i="19" s="1"/>
  <c r="M15" i="18" s="1"/>
  <c r="M15" i="11" s="1"/>
  <c r="M15" i="13" s="1"/>
  <c r="M14" i="1"/>
  <c r="M14" i="16" s="1"/>
  <c r="M14" i="12" s="1"/>
  <c r="M14" i="17" s="1"/>
  <c r="M14" i="19" s="1"/>
  <c r="M14" i="18" s="1"/>
  <c r="M14" i="11" s="1"/>
  <c r="M14" i="13" s="1"/>
  <c r="M13" i="1"/>
  <c r="M13" i="16" s="1"/>
  <c r="M13" i="12" s="1"/>
  <c r="M13" i="17" s="1"/>
  <c r="M13" i="19" s="1"/>
  <c r="M13" i="18" s="1"/>
  <c r="M13" i="11" s="1"/>
  <c r="M13" i="13" s="1"/>
  <c r="M12" i="1"/>
  <c r="M12" i="16" s="1"/>
  <c r="M12" i="12" s="1"/>
  <c r="M12" i="17" s="1"/>
  <c r="M12" i="19" s="1"/>
  <c r="M12" i="18" s="1"/>
  <c r="M12" i="11" s="1"/>
  <c r="M12" i="13" s="1"/>
  <c r="M11" i="1"/>
  <c r="M11" i="16" s="1"/>
  <c r="M11" i="12" s="1"/>
  <c r="M11" i="17" s="1"/>
  <c r="M11" i="19" s="1"/>
  <c r="M11" i="18" s="1"/>
  <c r="M11" i="11" s="1"/>
  <c r="M11" i="13" s="1"/>
  <c r="M10" i="1"/>
  <c r="M10" i="16" s="1"/>
  <c r="M10" i="12" s="1"/>
  <c r="M10" i="17" s="1"/>
  <c r="M10" i="19" s="1"/>
  <c r="M10" i="18" s="1"/>
  <c r="M10" i="11" s="1"/>
  <c r="M10" i="13" s="1"/>
  <c r="M9" i="1"/>
  <c r="M9" i="16" s="1"/>
  <c r="M9" i="12" s="1"/>
  <c r="M9" i="17" s="1"/>
  <c r="M9" i="19" s="1"/>
  <c r="M9" i="18" s="1"/>
  <c r="M9" i="11" s="1"/>
  <c r="M9" i="13" s="1"/>
  <c r="M8" i="1"/>
  <c r="M8" i="16" s="1"/>
  <c r="M8" i="12" s="1"/>
  <c r="M8" i="17" s="1"/>
  <c r="M8" i="19" s="1"/>
  <c r="M8" i="18" s="1"/>
  <c r="M8" i="11" s="1"/>
  <c r="M8" i="13" s="1"/>
  <c r="K15" i="1"/>
  <c r="K15" i="16" s="1"/>
  <c r="K15" i="12" s="1"/>
  <c r="K15" i="17" s="1"/>
  <c r="K15" i="19" s="1"/>
  <c r="K15" i="18" s="1"/>
  <c r="K15" i="11" s="1"/>
  <c r="K15" i="13" s="1"/>
  <c r="K14" i="1"/>
  <c r="K14" i="16" s="1"/>
  <c r="K14" i="12" s="1"/>
  <c r="K14" i="17" s="1"/>
  <c r="K14" i="19" s="1"/>
  <c r="K14" i="18" s="1"/>
  <c r="K14" i="11" s="1"/>
  <c r="K14" i="13" s="1"/>
  <c r="K13" i="1"/>
  <c r="K13" i="16" s="1"/>
  <c r="K13" i="12" s="1"/>
  <c r="K13" i="17" s="1"/>
  <c r="K13" i="19" s="1"/>
  <c r="K13" i="18" s="1"/>
  <c r="K13" i="11" s="1"/>
  <c r="K13" i="13" s="1"/>
  <c r="K12" i="1"/>
  <c r="K12" i="16" s="1"/>
  <c r="K12" i="12" s="1"/>
  <c r="K12" i="17" s="1"/>
  <c r="K12" i="19" s="1"/>
  <c r="K12" i="18" s="1"/>
  <c r="K12" i="11" s="1"/>
  <c r="K12" i="13" s="1"/>
  <c r="K11" i="1"/>
  <c r="K11" i="16" s="1"/>
  <c r="K11" i="12" s="1"/>
  <c r="K11" i="17" s="1"/>
  <c r="K11" i="19" s="1"/>
  <c r="K11" i="18" s="1"/>
  <c r="K11" i="11" s="1"/>
  <c r="K11" i="13" s="1"/>
  <c r="K10" i="1"/>
  <c r="K10" i="16" s="1"/>
  <c r="K10" i="12" s="1"/>
  <c r="K10" i="17" s="1"/>
  <c r="K10" i="19" s="1"/>
  <c r="K10" i="18" s="1"/>
  <c r="K10" i="11" s="1"/>
  <c r="K10" i="13" s="1"/>
  <c r="K9" i="1"/>
  <c r="K9" i="16" s="1"/>
  <c r="K9" i="12" s="1"/>
  <c r="K9" i="17" s="1"/>
  <c r="K9" i="19" s="1"/>
  <c r="K9" i="18" s="1"/>
  <c r="K9" i="11" s="1"/>
  <c r="K9" i="13" s="1"/>
  <c r="K8" i="1"/>
  <c r="K8" i="16" s="1"/>
  <c r="K8" i="12" s="1"/>
  <c r="K8" i="17" s="1"/>
  <c r="K8" i="19" s="1"/>
  <c r="K8" i="18" s="1"/>
  <c r="K8" i="11" s="1"/>
  <c r="K8" i="13" s="1"/>
  <c r="I15" i="1"/>
  <c r="I15" i="16" s="1"/>
  <c r="I15" i="12" s="1"/>
  <c r="I15" i="17" s="1"/>
  <c r="I15" i="19" s="1"/>
  <c r="I15" i="18" s="1"/>
  <c r="I15" i="11" s="1"/>
  <c r="I15" i="13" s="1"/>
  <c r="I14" i="1"/>
  <c r="I14" i="16" s="1"/>
  <c r="I14" i="12" s="1"/>
  <c r="I14" i="17" s="1"/>
  <c r="I14" i="19" s="1"/>
  <c r="I14" i="18" s="1"/>
  <c r="I14" i="11" s="1"/>
  <c r="I14" i="13" s="1"/>
  <c r="I13" i="1"/>
  <c r="I13" i="16" s="1"/>
  <c r="I13" i="12" s="1"/>
  <c r="I13" i="17" s="1"/>
  <c r="I13" i="19" s="1"/>
  <c r="I13" i="18" s="1"/>
  <c r="I13" i="11" s="1"/>
  <c r="I13" i="13" s="1"/>
  <c r="I12" i="1"/>
  <c r="I12" i="16" s="1"/>
  <c r="I12" i="12" s="1"/>
  <c r="I12" i="17" s="1"/>
  <c r="I12" i="19" s="1"/>
  <c r="I12" i="18" s="1"/>
  <c r="I12" i="11" s="1"/>
  <c r="I12" i="13" s="1"/>
  <c r="I11" i="1"/>
  <c r="I11" i="16" s="1"/>
  <c r="I11" i="12" s="1"/>
  <c r="I11" i="17" s="1"/>
  <c r="I11" i="19" s="1"/>
  <c r="I11" i="18" s="1"/>
  <c r="I11" i="11" s="1"/>
  <c r="I11" i="13" s="1"/>
  <c r="I10" i="1"/>
  <c r="I10" i="16" s="1"/>
  <c r="I10" i="12" s="1"/>
  <c r="I10" i="17" s="1"/>
  <c r="I10" i="19" s="1"/>
  <c r="I10" i="18" s="1"/>
  <c r="I10" i="11" s="1"/>
  <c r="I10" i="13" s="1"/>
  <c r="I9" i="1"/>
  <c r="I9" i="16" s="1"/>
  <c r="I9" i="12" s="1"/>
  <c r="I9" i="17" s="1"/>
  <c r="I9" i="19" s="1"/>
  <c r="I9" i="18" s="1"/>
  <c r="I9" i="11" s="1"/>
  <c r="I9" i="13" s="1"/>
  <c r="I8" i="1"/>
  <c r="I8" i="16" s="1"/>
  <c r="I8" i="12" s="1"/>
  <c r="I8" i="17" s="1"/>
  <c r="I8" i="19" s="1"/>
  <c r="I8" i="18" s="1"/>
  <c r="I8" i="11" s="1"/>
  <c r="I8" i="13" s="1"/>
  <c r="G15" i="1"/>
  <c r="G15" i="16" s="1"/>
  <c r="G15" i="12" s="1"/>
  <c r="G15" i="17" s="1"/>
  <c r="G15" i="19" s="1"/>
  <c r="G15" i="18" s="1"/>
  <c r="G15" i="11" s="1"/>
  <c r="G15" i="13" s="1"/>
  <c r="G14" i="1"/>
  <c r="G14" i="16" s="1"/>
  <c r="G14" i="12" s="1"/>
  <c r="G14" i="17" s="1"/>
  <c r="G14" i="19" s="1"/>
  <c r="G14" i="18" s="1"/>
  <c r="G14" i="11" s="1"/>
  <c r="G14" i="13" s="1"/>
  <c r="G13" i="1"/>
  <c r="G13" i="16" s="1"/>
  <c r="G13" i="12" s="1"/>
  <c r="G13" i="17" s="1"/>
  <c r="G13" i="19" s="1"/>
  <c r="G13" i="18" s="1"/>
  <c r="G13" i="11" s="1"/>
  <c r="G13" i="13" s="1"/>
  <c r="G12" i="1"/>
  <c r="G12" i="16" s="1"/>
  <c r="G12" i="12" s="1"/>
  <c r="G12" i="17" s="1"/>
  <c r="G12" i="19" s="1"/>
  <c r="G12" i="18" s="1"/>
  <c r="G12" i="11" s="1"/>
  <c r="G12" i="13" s="1"/>
  <c r="G11" i="1"/>
  <c r="G11" i="16" s="1"/>
  <c r="G11" i="12" s="1"/>
  <c r="G11" i="17" s="1"/>
  <c r="G11" i="19" s="1"/>
  <c r="G11" i="18" s="1"/>
  <c r="G11" i="11" s="1"/>
  <c r="G11" i="13" s="1"/>
  <c r="G10" i="1"/>
  <c r="G10" i="16" s="1"/>
  <c r="G10" i="12" s="1"/>
  <c r="G10" i="17" s="1"/>
  <c r="G10" i="19" s="1"/>
  <c r="G10" i="18" s="1"/>
  <c r="G10" i="11" s="1"/>
  <c r="G10" i="13" s="1"/>
  <c r="G9" i="1"/>
  <c r="G9" i="16" s="1"/>
  <c r="G9" i="12" s="1"/>
  <c r="G9" i="17" s="1"/>
  <c r="G9" i="19" s="1"/>
  <c r="G9" i="18" s="1"/>
  <c r="G9" i="11" s="1"/>
  <c r="G9" i="13" s="1"/>
  <c r="G8" i="1"/>
  <c r="G8" i="16" s="1"/>
  <c r="G8" i="12" s="1"/>
  <c r="G8" i="17" s="1"/>
  <c r="G8" i="19" s="1"/>
  <c r="G8" i="18" s="1"/>
  <c r="G8" i="11" s="1"/>
  <c r="G8" i="13" s="1"/>
  <c r="E15" i="1"/>
  <c r="E15" i="16" s="1"/>
  <c r="E15" i="12" s="1"/>
  <c r="E15" i="17" s="1"/>
  <c r="E15" i="19" s="1"/>
  <c r="E15" i="18" s="1"/>
  <c r="E15" i="11" s="1"/>
  <c r="E15" i="13" s="1"/>
  <c r="E14" i="1"/>
  <c r="E14" i="16" s="1"/>
  <c r="E14" i="12" s="1"/>
  <c r="E14" i="17" s="1"/>
  <c r="E14" i="19" s="1"/>
  <c r="E14" i="18" s="1"/>
  <c r="E14" i="11" s="1"/>
  <c r="E14" i="13" s="1"/>
  <c r="E13" i="1"/>
  <c r="E13" i="16" s="1"/>
  <c r="E13" i="12" s="1"/>
  <c r="E13" i="17" s="1"/>
  <c r="E13" i="19" s="1"/>
  <c r="E13" i="18" s="1"/>
  <c r="E13" i="11" s="1"/>
  <c r="E13" i="13" s="1"/>
  <c r="E12" i="1"/>
  <c r="E12" i="16" s="1"/>
  <c r="E12" i="12" s="1"/>
  <c r="E12" i="17" s="1"/>
  <c r="E12" i="19" s="1"/>
  <c r="E12" i="18" s="1"/>
  <c r="E12" i="11" s="1"/>
  <c r="E12" i="13" s="1"/>
  <c r="E11" i="1"/>
  <c r="E11" i="16" s="1"/>
  <c r="E11" i="12" s="1"/>
  <c r="E11" i="17" s="1"/>
  <c r="E11" i="19" s="1"/>
  <c r="E11" i="18" s="1"/>
  <c r="E11" i="11" s="1"/>
  <c r="E11" i="13" s="1"/>
  <c r="E10" i="1"/>
  <c r="E10" i="16" s="1"/>
  <c r="E10" i="12" s="1"/>
  <c r="E10" i="17" s="1"/>
  <c r="E10" i="19" s="1"/>
  <c r="E10" i="18" s="1"/>
  <c r="E10" i="11" s="1"/>
  <c r="E10" i="13" s="1"/>
  <c r="E9" i="1"/>
  <c r="E9" i="16" s="1"/>
  <c r="E9" i="12" s="1"/>
  <c r="E9" i="17" s="1"/>
  <c r="E9" i="19" s="1"/>
  <c r="E9" i="18" s="1"/>
  <c r="E9" i="11" s="1"/>
  <c r="E9" i="13" s="1"/>
  <c r="E8" i="1"/>
  <c r="E8" i="16" s="1"/>
  <c r="E8" i="12" s="1"/>
  <c r="E8" i="17" s="1"/>
  <c r="E8" i="19" s="1"/>
  <c r="E8" i="18" s="1"/>
  <c r="E8" i="11" s="1"/>
  <c r="E8" i="13" s="1"/>
  <c r="C15" i="1"/>
  <c r="C15" i="16" s="1"/>
  <c r="B15" i="1"/>
  <c r="B15" i="16" s="1"/>
  <c r="C14" i="1"/>
  <c r="C14" i="16" s="1"/>
  <c r="B14" i="1"/>
  <c r="B14" i="16" s="1"/>
  <c r="C13" i="1"/>
  <c r="C13" i="16" s="1"/>
  <c r="B13" i="1"/>
  <c r="B13" i="16" s="1"/>
  <c r="C12" i="1"/>
  <c r="C12" i="16" s="1"/>
  <c r="B12" i="1"/>
  <c r="B12" i="16" s="1"/>
  <c r="C11" i="1"/>
  <c r="C11" i="16" s="1"/>
  <c r="B11" i="1"/>
  <c r="B11" i="16" s="1"/>
  <c r="C10" i="1"/>
  <c r="C10" i="16" s="1"/>
  <c r="B10" i="1"/>
  <c r="B10" i="16" s="1"/>
  <c r="C9" i="1"/>
  <c r="C9" i="16" s="1"/>
  <c r="B9" i="1"/>
  <c r="B9" i="16" s="1"/>
  <c r="C8" i="1"/>
  <c r="C8" i="16" s="1"/>
  <c r="B8" i="1"/>
  <c r="B8" i="16" s="1"/>
  <c r="BJ6" i="1"/>
  <c r="BJ5" i="1"/>
  <c r="BI4" i="1"/>
  <c r="BH6" i="1"/>
  <c r="BH5" i="1"/>
  <c r="BG4" i="1"/>
  <c r="BF6" i="1"/>
  <c r="BF5" i="1"/>
  <c r="BE4" i="1"/>
  <c r="BD6" i="1"/>
  <c r="BD5" i="1"/>
  <c r="BC4" i="1"/>
  <c r="BB6" i="1"/>
  <c r="BB5" i="1"/>
  <c r="BA4" i="1"/>
  <c r="AZ6" i="1"/>
  <c r="AZ5" i="1"/>
  <c r="AY4" i="1"/>
  <c r="AX6" i="1"/>
  <c r="AX5" i="1"/>
  <c r="AW4" i="1"/>
  <c r="AV6" i="1"/>
  <c r="AV5" i="1"/>
  <c r="AU4" i="1"/>
  <c r="AT6" i="1"/>
  <c r="AT5" i="1"/>
  <c r="AS4" i="1"/>
  <c r="AR6" i="1"/>
  <c r="AR5" i="1"/>
  <c r="AQ4" i="1"/>
  <c r="AP6" i="1"/>
  <c r="AP5" i="1"/>
  <c r="AO4" i="1"/>
  <c r="AN6" i="1"/>
  <c r="AN5" i="1"/>
  <c r="AM4" i="1"/>
  <c r="AL6" i="1"/>
  <c r="AL5" i="1"/>
  <c r="AK4" i="1"/>
  <c r="AJ6" i="1"/>
  <c r="AJ5" i="1"/>
  <c r="AI4" i="1"/>
  <c r="AH6" i="1"/>
  <c r="AH5" i="1"/>
  <c r="AG4" i="1"/>
  <c r="AF6" i="1"/>
  <c r="AF5" i="1"/>
  <c r="AE4" i="1"/>
  <c r="AD6" i="1"/>
  <c r="AD5" i="1"/>
  <c r="AC4" i="1"/>
  <c r="AB6" i="1"/>
  <c r="AB5" i="1"/>
  <c r="AA4" i="1"/>
  <c r="Z6" i="1"/>
  <c r="Z5" i="1"/>
  <c r="Y4" i="1"/>
  <c r="X6" i="1"/>
  <c r="X5" i="1"/>
  <c r="W4" i="1"/>
  <c r="V6" i="1"/>
  <c r="V5" i="1"/>
  <c r="U4" i="1"/>
  <c r="T6" i="1"/>
  <c r="T5" i="1"/>
  <c r="S4" i="1"/>
  <c r="R6" i="1"/>
  <c r="R5" i="1"/>
  <c r="Q4" i="1"/>
  <c r="P6" i="1"/>
  <c r="P5" i="1"/>
  <c r="O4" i="1"/>
  <c r="N6" i="1"/>
  <c r="N5" i="1"/>
  <c r="M4" i="1"/>
  <c r="L6" i="1"/>
  <c r="L5" i="1"/>
  <c r="K4" i="1"/>
  <c r="J6" i="1"/>
  <c r="J5" i="1"/>
  <c r="I4" i="1"/>
  <c r="H6" i="1"/>
  <c r="H5" i="1"/>
  <c r="G4" i="1"/>
  <c r="F6" i="1"/>
  <c r="F5" i="1"/>
  <c r="E4" i="1"/>
  <c r="D6" i="1"/>
  <c r="D5" i="1"/>
  <c r="C4" i="1"/>
  <c r="H29" i="12" l="1"/>
  <c r="AF63" i="19"/>
  <c r="V28" i="12"/>
  <c r="AE4" i="16"/>
  <c r="BJ5" i="16"/>
  <c r="AX5" i="16"/>
  <c r="AJ5" i="16"/>
  <c r="X5" i="16"/>
  <c r="X6" i="16"/>
  <c r="L5" i="16"/>
  <c r="BD5" i="16"/>
  <c r="D5" i="16"/>
  <c r="AD5" i="16"/>
  <c r="R5" i="16"/>
  <c r="AR5" i="16"/>
  <c r="BD6" i="16"/>
  <c r="B9" i="12"/>
  <c r="AB9" i="12" s="1"/>
  <c r="B22" i="12"/>
  <c r="AJ22" i="12" s="1"/>
  <c r="C9" i="12"/>
  <c r="C9" i="17" s="1"/>
  <c r="C9" i="19" s="1"/>
  <c r="C9" i="18" s="1"/>
  <c r="C9" i="11" s="1"/>
  <c r="C9" i="13" s="1"/>
  <c r="C22" i="12"/>
  <c r="C22" i="17" s="1"/>
  <c r="C22" i="19" s="1"/>
  <c r="C22" i="18" s="1"/>
  <c r="C22" i="11" s="1"/>
  <c r="C22" i="13" s="1"/>
  <c r="B10" i="12"/>
  <c r="AR10" i="12" s="1"/>
  <c r="C10" i="12"/>
  <c r="C10" i="17" s="1"/>
  <c r="C10" i="19" s="1"/>
  <c r="C10" i="18" s="1"/>
  <c r="C10" i="11" s="1"/>
  <c r="C10" i="13" s="1"/>
  <c r="C23" i="12"/>
  <c r="C23" i="17" s="1"/>
  <c r="C23" i="19" s="1"/>
  <c r="C23" i="18" s="1"/>
  <c r="C23" i="11" s="1"/>
  <c r="C23" i="13" s="1"/>
  <c r="B11" i="12"/>
  <c r="P11" i="12" s="1"/>
  <c r="C11" i="12"/>
  <c r="C11" i="17" s="1"/>
  <c r="C11" i="19" s="1"/>
  <c r="C11" i="18" s="1"/>
  <c r="C11" i="11" s="1"/>
  <c r="C11" i="13" s="1"/>
  <c r="C24" i="12"/>
  <c r="C24" i="17" s="1"/>
  <c r="C24" i="19" s="1"/>
  <c r="C24" i="18" s="1"/>
  <c r="C24" i="11" s="1"/>
  <c r="C24" i="13" s="1"/>
  <c r="B12" i="12"/>
  <c r="P12" i="12" s="1"/>
  <c r="B17" i="12"/>
  <c r="AZ17" i="12" s="1"/>
  <c r="C12" i="12"/>
  <c r="C12" i="17" s="1"/>
  <c r="C12" i="19" s="1"/>
  <c r="C12" i="18" s="1"/>
  <c r="C12" i="11" s="1"/>
  <c r="C12" i="13" s="1"/>
  <c r="C17" i="12"/>
  <c r="C17" i="17" s="1"/>
  <c r="C17" i="19" s="1"/>
  <c r="C17" i="18" s="1"/>
  <c r="C17" i="11" s="1"/>
  <c r="C17" i="13" s="1"/>
  <c r="C25" i="12"/>
  <c r="C25" i="17" s="1"/>
  <c r="C25" i="19" s="1"/>
  <c r="C25" i="18" s="1"/>
  <c r="C25" i="11" s="1"/>
  <c r="C25" i="13" s="1"/>
  <c r="B13" i="12"/>
  <c r="AF13" i="12" s="1"/>
  <c r="C13" i="12"/>
  <c r="C13" i="17" s="1"/>
  <c r="C13" i="19" s="1"/>
  <c r="C13" i="18" s="1"/>
  <c r="C13" i="11" s="1"/>
  <c r="C13" i="13" s="1"/>
  <c r="C18" i="12"/>
  <c r="C18" i="17" s="1"/>
  <c r="C18" i="19" s="1"/>
  <c r="C18" i="18" s="1"/>
  <c r="C18" i="11" s="1"/>
  <c r="C18" i="13" s="1"/>
  <c r="B14" i="12"/>
  <c r="BF14" i="12" s="1"/>
  <c r="C14" i="12"/>
  <c r="C14" i="17" s="1"/>
  <c r="C14" i="19" s="1"/>
  <c r="C14" i="18" s="1"/>
  <c r="C14" i="11" s="1"/>
  <c r="C14" i="13" s="1"/>
  <c r="C19" i="12"/>
  <c r="C19" i="17" s="1"/>
  <c r="C19" i="19" s="1"/>
  <c r="C19" i="18" s="1"/>
  <c r="C19" i="11" s="1"/>
  <c r="C19" i="13" s="1"/>
  <c r="B15" i="12"/>
  <c r="AJ15" i="12" s="1"/>
  <c r="C15" i="12"/>
  <c r="C15" i="17" s="1"/>
  <c r="C15" i="19" s="1"/>
  <c r="C15" i="18" s="1"/>
  <c r="C15" i="11" s="1"/>
  <c r="C15" i="13" s="1"/>
  <c r="C20" i="12"/>
  <c r="C20" i="17" s="1"/>
  <c r="C20" i="19" s="1"/>
  <c r="C20" i="18" s="1"/>
  <c r="C20" i="11" s="1"/>
  <c r="C20" i="13" s="1"/>
  <c r="B21" i="12"/>
  <c r="AJ21" i="12" s="1"/>
  <c r="B8" i="12"/>
  <c r="BJ8" i="12" s="1"/>
  <c r="C8" i="12"/>
  <c r="C8" i="17" s="1"/>
  <c r="C8" i="19" s="1"/>
  <c r="C8" i="18" s="1"/>
  <c r="C8" i="11" s="1"/>
  <c r="C8" i="13" s="1"/>
  <c r="C21" i="12"/>
  <c r="C21" i="17" s="1"/>
  <c r="C21" i="19" s="1"/>
  <c r="C21" i="18" s="1"/>
  <c r="C21" i="11" s="1"/>
  <c r="C21" i="13" s="1"/>
  <c r="D36" i="12"/>
  <c r="D68" i="19"/>
  <c r="F65" i="19"/>
  <c r="D65" i="19"/>
  <c r="AJ60" i="19"/>
  <c r="D17" i="1"/>
  <c r="D15" i="1"/>
  <c r="F24" i="1"/>
  <c r="X31" i="12"/>
  <c r="H61" i="19"/>
  <c r="D70" i="19"/>
  <c r="AB62" i="19"/>
  <c r="D9" i="1"/>
  <c r="N31" i="12"/>
  <c r="N61" i="19"/>
  <c r="F11" i="1"/>
  <c r="V27" i="12"/>
  <c r="D44" i="12"/>
  <c r="F13" i="1"/>
  <c r="H84" i="19"/>
  <c r="F9" i="1"/>
  <c r="L9" i="1"/>
  <c r="P48" i="12"/>
  <c r="D72" i="19"/>
  <c r="D10" i="1"/>
  <c r="N15" i="1"/>
  <c r="L31" i="12"/>
  <c r="V31" i="12"/>
  <c r="D47" i="12"/>
  <c r="F45" i="12"/>
  <c r="J48" i="12"/>
  <c r="F10" i="1"/>
  <c r="R14" i="1"/>
  <c r="D25" i="1"/>
  <c r="H24" i="1"/>
  <c r="H54" i="12"/>
  <c r="R67" i="19"/>
  <c r="H15" i="1"/>
  <c r="V13" i="1"/>
  <c r="D31" i="12"/>
  <c r="L45" i="12"/>
  <c r="O59" i="19"/>
  <c r="D67" i="19"/>
  <c r="J79" i="19"/>
  <c r="AL9" i="1"/>
  <c r="J31" i="12"/>
  <c r="D48" i="12"/>
  <c r="F47" i="12"/>
  <c r="AJ62" i="19"/>
  <c r="AR60" i="19"/>
  <c r="D81" i="19"/>
  <c r="F68" i="19"/>
  <c r="R83" i="19"/>
  <c r="V72" i="19"/>
  <c r="AT9" i="1"/>
  <c r="D56" i="12"/>
  <c r="R48" i="12"/>
  <c r="F81" i="19"/>
  <c r="J9" i="1"/>
  <c r="L14" i="1"/>
  <c r="V15" i="1"/>
  <c r="Z14" i="1"/>
  <c r="AD13" i="1"/>
  <c r="H31" i="12"/>
  <c r="D43" i="12"/>
  <c r="F48" i="12"/>
  <c r="D61" i="19"/>
  <c r="J81" i="19"/>
  <c r="D21" i="1"/>
  <c r="F31" i="12"/>
  <c r="J62" i="19"/>
  <c r="F70" i="19"/>
  <c r="J10" i="1"/>
  <c r="P13" i="1"/>
  <c r="D26" i="12"/>
  <c r="R31" i="12"/>
  <c r="AB31" i="12"/>
  <c r="AF61" i="19"/>
  <c r="N70" i="19"/>
  <c r="N84" i="19"/>
  <c r="R60" i="19"/>
  <c r="D76" i="19"/>
  <c r="D83" i="19"/>
  <c r="F84" i="19"/>
  <c r="D14" i="1"/>
  <c r="F15" i="1"/>
  <c r="N9" i="1"/>
  <c r="D22" i="1"/>
  <c r="P24" i="1"/>
  <c r="L60" i="19"/>
  <c r="AF9" i="1"/>
  <c r="H35" i="12"/>
  <c r="P31" i="12"/>
  <c r="Z31" i="12"/>
  <c r="H48" i="12"/>
  <c r="N48" i="12"/>
  <c r="R75" i="19"/>
  <c r="F35" i="12"/>
  <c r="D45" i="12"/>
  <c r="AN61" i="19"/>
  <c r="E64" i="19"/>
  <c r="D84" i="19"/>
  <c r="F74" i="19"/>
  <c r="J73" i="19"/>
  <c r="L65" i="19"/>
  <c r="V29" i="12"/>
  <c r="L81" i="19"/>
  <c r="V80" i="19"/>
  <c r="V9" i="1"/>
  <c r="D24" i="1"/>
  <c r="H22" i="1"/>
  <c r="D40" i="12"/>
  <c r="H68" i="19"/>
  <c r="AV80" i="19"/>
  <c r="AZ69" i="19"/>
  <c r="B12" i="17"/>
  <c r="AZ22" i="12"/>
  <c r="AT22" i="12"/>
  <c r="B15" i="17"/>
  <c r="BB15" i="12"/>
  <c r="R15" i="12"/>
  <c r="AL15" i="12"/>
  <c r="X10" i="12"/>
  <c r="H14" i="1"/>
  <c r="L13" i="1"/>
  <c r="P12" i="1"/>
  <c r="T11" i="1"/>
  <c r="X10" i="1"/>
  <c r="AB9" i="1"/>
  <c r="AF8" i="1"/>
  <c r="AI7" i="1"/>
  <c r="AJ15" i="1"/>
  <c r="AN14" i="1"/>
  <c r="AR13" i="1"/>
  <c r="AV12" i="1"/>
  <c r="AZ11" i="1"/>
  <c r="BD10" i="1"/>
  <c r="BH9" i="1"/>
  <c r="F17" i="1"/>
  <c r="F25" i="1"/>
  <c r="J22" i="1"/>
  <c r="N19" i="1"/>
  <c r="R24" i="1"/>
  <c r="V21" i="1"/>
  <c r="Z18" i="1"/>
  <c r="AD23" i="1"/>
  <c r="AH20" i="1"/>
  <c r="AL17" i="1"/>
  <c r="AL25" i="1"/>
  <c r="AP22" i="1"/>
  <c r="AT19" i="1"/>
  <c r="AX24" i="1"/>
  <c r="BB21" i="1"/>
  <c r="BF18" i="1"/>
  <c r="BJ23" i="1"/>
  <c r="B37" i="17"/>
  <c r="BH37" i="12"/>
  <c r="BB37" i="12"/>
  <c r="AV37" i="12"/>
  <c r="AP37" i="12"/>
  <c r="AJ37" i="12"/>
  <c r="BJ37" i="12"/>
  <c r="AD37" i="12"/>
  <c r="BD37" i="12"/>
  <c r="AX37" i="12"/>
  <c r="AR37" i="12"/>
  <c r="L37" i="12"/>
  <c r="AL37" i="12"/>
  <c r="AF37" i="12"/>
  <c r="BF37" i="12"/>
  <c r="Z37" i="12"/>
  <c r="AZ37" i="12"/>
  <c r="AT37" i="12"/>
  <c r="AN37" i="12"/>
  <c r="AH37" i="12"/>
  <c r="J30" i="12"/>
  <c r="N29" i="12"/>
  <c r="N37" i="12"/>
  <c r="R28" i="12"/>
  <c r="R36" i="12"/>
  <c r="Z30" i="12"/>
  <c r="E7" i="1"/>
  <c r="J14" i="1"/>
  <c r="N13" i="1"/>
  <c r="R12" i="1"/>
  <c r="V11" i="1"/>
  <c r="Z10" i="1"/>
  <c r="AD9" i="1"/>
  <c r="AH8" i="1"/>
  <c r="AK7" i="1"/>
  <c r="AL15" i="1"/>
  <c r="AP14" i="1"/>
  <c r="AT13" i="1"/>
  <c r="AX12" i="1"/>
  <c r="BB11" i="1"/>
  <c r="BF10" i="1"/>
  <c r="BJ9" i="1"/>
  <c r="BF23" i="16"/>
  <c r="Z23" i="16"/>
  <c r="AZ23" i="16"/>
  <c r="T23" i="16"/>
  <c r="AT23" i="16"/>
  <c r="AN23" i="16"/>
  <c r="AH23" i="16"/>
  <c r="BH23" i="16"/>
  <c r="AB23" i="16"/>
  <c r="BB23" i="16"/>
  <c r="V23" i="16"/>
  <c r="AV23" i="16"/>
  <c r="AP23" i="16"/>
  <c r="AJ23" i="16"/>
  <c r="BJ23" i="16"/>
  <c r="AD23" i="16"/>
  <c r="BD23" i="16"/>
  <c r="X23" i="16"/>
  <c r="AX23" i="16"/>
  <c r="AR23" i="16"/>
  <c r="AL23" i="16"/>
  <c r="AF23" i="16"/>
  <c r="P23" i="16"/>
  <c r="D23" i="16"/>
  <c r="J23" i="16"/>
  <c r="L23" i="16"/>
  <c r="R23" i="16"/>
  <c r="F23" i="16"/>
  <c r="H23" i="16"/>
  <c r="N23" i="16"/>
  <c r="H20" i="1"/>
  <c r="L17" i="1"/>
  <c r="L25" i="1"/>
  <c r="P22" i="1"/>
  <c r="T19" i="1"/>
  <c r="X24" i="1"/>
  <c r="AB21" i="1"/>
  <c r="AF18" i="1"/>
  <c r="AJ23" i="1"/>
  <c r="AN20" i="1"/>
  <c r="AR17" i="1"/>
  <c r="AR25" i="1"/>
  <c r="AV22" i="1"/>
  <c r="AZ19" i="1"/>
  <c r="BD24" i="1"/>
  <c r="BH21" i="1"/>
  <c r="B32" i="17"/>
  <c r="BD32" i="12"/>
  <c r="AX32" i="12"/>
  <c r="AR32" i="12"/>
  <c r="AL32" i="12"/>
  <c r="AF32" i="12"/>
  <c r="BF32" i="12"/>
  <c r="AZ32" i="12"/>
  <c r="AT32" i="12"/>
  <c r="AN32" i="12"/>
  <c r="H32" i="12"/>
  <c r="AH32" i="12"/>
  <c r="BH32" i="12"/>
  <c r="BB32" i="12"/>
  <c r="AV32" i="12"/>
  <c r="AP32" i="12"/>
  <c r="BJ32" i="12"/>
  <c r="AD32" i="12"/>
  <c r="H27" i="12"/>
  <c r="L34" i="12"/>
  <c r="P33" i="12"/>
  <c r="T32" i="12"/>
  <c r="V35" i="12"/>
  <c r="AB30" i="12"/>
  <c r="BF11" i="16"/>
  <c r="Z11" i="16"/>
  <c r="BD11" i="16"/>
  <c r="X11" i="16"/>
  <c r="BB11" i="16"/>
  <c r="V11" i="16"/>
  <c r="AZ11" i="16"/>
  <c r="T11" i="16"/>
  <c r="AX11" i="16"/>
  <c r="R11" i="16"/>
  <c r="AV11" i="16"/>
  <c r="P11" i="16"/>
  <c r="AT11" i="16"/>
  <c r="N11" i="16"/>
  <c r="AR11" i="16"/>
  <c r="L11" i="16"/>
  <c r="AP11" i="16"/>
  <c r="J11" i="16"/>
  <c r="AN11" i="16"/>
  <c r="H11" i="16"/>
  <c r="AL11" i="16"/>
  <c r="F11" i="16"/>
  <c r="AH11" i="16"/>
  <c r="AF11" i="16"/>
  <c r="BJ11" i="16"/>
  <c r="AD11" i="16"/>
  <c r="BH11" i="16"/>
  <c r="AB11" i="16"/>
  <c r="D11" i="16"/>
  <c r="AJ11" i="16"/>
  <c r="G7" i="1"/>
  <c r="T12" i="1"/>
  <c r="X11" i="1"/>
  <c r="AB10" i="1"/>
  <c r="AJ8" i="1"/>
  <c r="AM7" i="1"/>
  <c r="AN15" i="1"/>
  <c r="AR14" i="1"/>
  <c r="AV13" i="1"/>
  <c r="AZ12" i="1"/>
  <c r="BD11" i="1"/>
  <c r="BH10" i="1"/>
  <c r="BB18" i="16"/>
  <c r="V18" i="16"/>
  <c r="AV18" i="16"/>
  <c r="AP18" i="16"/>
  <c r="AJ18" i="16"/>
  <c r="BJ18" i="16"/>
  <c r="AD18" i="16"/>
  <c r="BD18" i="16"/>
  <c r="X18" i="16"/>
  <c r="AX18" i="16"/>
  <c r="R18" i="16"/>
  <c r="AR18" i="16"/>
  <c r="AL18" i="16"/>
  <c r="AF18" i="16"/>
  <c r="BF18" i="16"/>
  <c r="Z18" i="16"/>
  <c r="AZ18" i="16"/>
  <c r="T18" i="16"/>
  <c r="AT18" i="16"/>
  <c r="AN18" i="16"/>
  <c r="AH18" i="16"/>
  <c r="BH18" i="16"/>
  <c r="AB18" i="16"/>
  <c r="L18" i="16"/>
  <c r="F18" i="16"/>
  <c r="N18" i="16"/>
  <c r="H18" i="16"/>
  <c r="P18" i="16"/>
  <c r="D18" i="16"/>
  <c r="J18" i="16"/>
  <c r="F18" i="1"/>
  <c r="J23" i="1"/>
  <c r="N20" i="1"/>
  <c r="R17" i="1"/>
  <c r="R25" i="1"/>
  <c r="V22" i="1"/>
  <c r="Z19" i="1"/>
  <c r="AD24" i="1"/>
  <c r="AH21" i="1"/>
  <c r="AL18" i="1"/>
  <c r="AP23" i="1"/>
  <c r="AT20" i="1"/>
  <c r="AX17" i="1"/>
  <c r="AX25" i="1"/>
  <c r="BB22" i="1"/>
  <c r="BF19" i="1"/>
  <c r="BJ24" i="1"/>
  <c r="B27" i="17"/>
  <c r="AZ27" i="12"/>
  <c r="AT27" i="12"/>
  <c r="AN27" i="12"/>
  <c r="AH27" i="12"/>
  <c r="BH27" i="12"/>
  <c r="AB27" i="12"/>
  <c r="BB27" i="12"/>
  <c r="AV27" i="12"/>
  <c r="AP27" i="12"/>
  <c r="AJ27" i="12"/>
  <c r="BJ27" i="12"/>
  <c r="AD27" i="12"/>
  <c r="BD27" i="12"/>
  <c r="AX27" i="12"/>
  <c r="AR27" i="12"/>
  <c r="AL27" i="12"/>
  <c r="BF27" i="12"/>
  <c r="D37" i="12"/>
  <c r="F32" i="12"/>
  <c r="H36" i="12"/>
  <c r="L26" i="12"/>
  <c r="N30" i="12"/>
  <c r="R29" i="12"/>
  <c r="R37" i="12"/>
  <c r="X32" i="12"/>
  <c r="B48" i="18"/>
  <c r="AT48" i="19"/>
  <c r="N48" i="19"/>
  <c r="BH48" i="19"/>
  <c r="AB48" i="19"/>
  <c r="AP48" i="19"/>
  <c r="J48" i="19"/>
  <c r="BD48" i="19"/>
  <c r="X48" i="19"/>
  <c r="AL48" i="19"/>
  <c r="F48" i="19"/>
  <c r="AZ48" i="19"/>
  <c r="T48" i="19"/>
  <c r="AH48" i="19"/>
  <c r="AV48" i="19"/>
  <c r="P48" i="19"/>
  <c r="D48" i="19"/>
  <c r="BJ48" i="19"/>
  <c r="AD48" i="19"/>
  <c r="BF48" i="19"/>
  <c r="Z48" i="19"/>
  <c r="AN48" i="19"/>
  <c r="H48" i="19"/>
  <c r="BB48" i="19"/>
  <c r="V48" i="19"/>
  <c r="AJ48" i="19"/>
  <c r="AX48" i="19"/>
  <c r="R48" i="19"/>
  <c r="AF48" i="19"/>
  <c r="L48" i="19"/>
  <c r="AR48" i="19"/>
  <c r="F8" i="1"/>
  <c r="I7" i="1"/>
  <c r="J15" i="1"/>
  <c r="N14" i="1"/>
  <c r="R13" i="1"/>
  <c r="V12" i="1"/>
  <c r="Z11" i="1"/>
  <c r="AD10" i="1"/>
  <c r="AH9" i="1"/>
  <c r="AL8" i="1"/>
  <c r="AO7" i="1"/>
  <c r="AP15" i="1"/>
  <c r="AT14" i="1"/>
  <c r="AX13" i="1"/>
  <c r="BB12" i="1"/>
  <c r="BF11" i="1"/>
  <c r="BJ10" i="1"/>
  <c r="D23" i="1"/>
  <c r="H21" i="1"/>
  <c r="L18" i="1"/>
  <c r="P23" i="1"/>
  <c r="T20" i="1"/>
  <c r="X17" i="1"/>
  <c r="X25" i="1"/>
  <c r="AB22" i="1"/>
  <c r="AF19" i="1"/>
  <c r="AJ24" i="1"/>
  <c r="AN21" i="1"/>
  <c r="AR18" i="1"/>
  <c r="AV23" i="1"/>
  <c r="AZ20" i="1"/>
  <c r="BD17" i="1"/>
  <c r="BD25" i="1"/>
  <c r="BH22" i="1"/>
  <c r="D32" i="12"/>
  <c r="H28" i="12"/>
  <c r="L35" i="12"/>
  <c r="V36" i="12"/>
  <c r="D11" i="1"/>
  <c r="H8" i="1"/>
  <c r="K7" i="1"/>
  <c r="L15" i="1"/>
  <c r="P14" i="1"/>
  <c r="T13" i="1"/>
  <c r="X12" i="1"/>
  <c r="AB11" i="1"/>
  <c r="AF10" i="1"/>
  <c r="AJ9" i="1"/>
  <c r="AN8" i="1"/>
  <c r="AQ7" i="1"/>
  <c r="AR15" i="1"/>
  <c r="AV14" i="1"/>
  <c r="AZ13" i="1"/>
  <c r="BD12" i="1"/>
  <c r="BH11" i="1"/>
  <c r="D18" i="1"/>
  <c r="AT24" i="16"/>
  <c r="AN24" i="16"/>
  <c r="AH24" i="16"/>
  <c r="BH24" i="16"/>
  <c r="AB24" i="16"/>
  <c r="BB24" i="16"/>
  <c r="V24" i="16"/>
  <c r="AV24" i="16"/>
  <c r="AP24" i="16"/>
  <c r="AJ24" i="16"/>
  <c r="BJ24" i="16"/>
  <c r="AD24" i="16"/>
  <c r="BD24" i="16"/>
  <c r="X24" i="16"/>
  <c r="AX24" i="16"/>
  <c r="R24" i="16"/>
  <c r="AR24" i="16"/>
  <c r="AL24" i="16"/>
  <c r="AF24" i="16"/>
  <c r="BF24" i="16"/>
  <c r="Z24" i="16"/>
  <c r="AZ24" i="16"/>
  <c r="L24" i="16"/>
  <c r="F24" i="16"/>
  <c r="N24" i="16"/>
  <c r="H24" i="16"/>
  <c r="T24" i="16"/>
  <c r="D24" i="16"/>
  <c r="P24" i="16"/>
  <c r="J24" i="16"/>
  <c r="F19" i="1"/>
  <c r="J24" i="1"/>
  <c r="N21" i="1"/>
  <c r="R18" i="1"/>
  <c r="V23" i="1"/>
  <c r="Z20" i="1"/>
  <c r="AD17" i="1"/>
  <c r="AD25" i="1"/>
  <c r="AH22" i="1"/>
  <c r="AL19" i="1"/>
  <c r="AP24" i="1"/>
  <c r="AT21" i="1"/>
  <c r="AX18" i="1"/>
  <c r="BB23" i="1"/>
  <c r="BF20" i="1"/>
  <c r="BJ17" i="1"/>
  <c r="BJ25" i="1"/>
  <c r="D27" i="12"/>
  <c r="B33" i="17"/>
  <c r="AR33" i="12"/>
  <c r="AL33" i="12"/>
  <c r="BF33" i="12"/>
  <c r="AZ33" i="12"/>
  <c r="AT33" i="12"/>
  <c r="AN33" i="12"/>
  <c r="AH33" i="12"/>
  <c r="BH33" i="12"/>
  <c r="AB33" i="12"/>
  <c r="BB33" i="12"/>
  <c r="AV33" i="12"/>
  <c r="AP33" i="12"/>
  <c r="AJ33" i="12"/>
  <c r="BJ33" i="12"/>
  <c r="AD33" i="12"/>
  <c r="BD33" i="12"/>
  <c r="AX33" i="12"/>
  <c r="F33" i="12"/>
  <c r="H37" i="12"/>
  <c r="J32" i="12"/>
  <c r="L27" i="12"/>
  <c r="P35" i="12"/>
  <c r="R30" i="12"/>
  <c r="X33" i="12"/>
  <c r="Z32" i="12"/>
  <c r="AF27" i="12"/>
  <c r="BB12" i="16"/>
  <c r="V12" i="16"/>
  <c r="AZ12" i="16"/>
  <c r="T12" i="16"/>
  <c r="AX12" i="16"/>
  <c r="R12" i="16"/>
  <c r="AV12" i="16"/>
  <c r="P12" i="16"/>
  <c r="AT12" i="16"/>
  <c r="N12" i="16"/>
  <c r="AR12" i="16"/>
  <c r="L12" i="16"/>
  <c r="AP12" i="16"/>
  <c r="J12" i="16"/>
  <c r="AN12" i="16"/>
  <c r="H12" i="16"/>
  <c r="AL12" i="16"/>
  <c r="F12" i="16"/>
  <c r="AJ12" i="16"/>
  <c r="AH12" i="16"/>
  <c r="BJ12" i="16"/>
  <c r="AD12" i="16"/>
  <c r="D12" i="16"/>
  <c r="BH12" i="16"/>
  <c r="AB12" i="16"/>
  <c r="BF12" i="16"/>
  <c r="Z12" i="16"/>
  <c r="BD12" i="16"/>
  <c r="X12" i="16"/>
  <c r="AF12" i="16"/>
  <c r="J8" i="1"/>
  <c r="M7" i="1"/>
  <c r="Z12" i="1"/>
  <c r="AD11" i="1"/>
  <c r="AH10" i="1"/>
  <c r="AP8" i="1"/>
  <c r="AS7" i="1"/>
  <c r="AT15" i="1"/>
  <c r="AX14" i="1"/>
  <c r="BB13" i="1"/>
  <c r="BF12" i="1"/>
  <c r="BJ11" i="1"/>
  <c r="AP19" i="16"/>
  <c r="AJ19" i="16"/>
  <c r="BJ19" i="16"/>
  <c r="AD19" i="16"/>
  <c r="BD19" i="16"/>
  <c r="X19" i="16"/>
  <c r="AX19" i="16"/>
  <c r="AR19" i="16"/>
  <c r="AL19" i="16"/>
  <c r="AF19" i="16"/>
  <c r="BF19" i="16"/>
  <c r="Z19" i="16"/>
  <c r="AZ19" i="16"/>
  <c r="AT19" i="16"/>
  <c r="AN19" i="16"/>
  <c r="AH19" i="16"/>
  <c r="BH19" i="16"/>
  <c r="AB19" i="16"/>
  <c r="BB19" i="16"/>
  <c r="AV19" i="16"/>
  <c r="N19" i="16"/>
  <c r="H19" i="16"/>
  <c r="V19" i="16"/>
  <c r="P19" i="16"/>
  <c r="J19" i="16"/>
  <c r="R19" i="16"/>
  <c r="D19" i="16"/>
  <c r="T19" i="16"/>
  <c r="L19" i="16"/>
  <c r="F19" i="16"/>
  <c r="L19" i="1"/>
  <c r="T21" i="1"/>
  <c r="X18" i="1"/>
  <c r="AB23" i="1"/>
  <c r="AF20" i="1"/>
  <c r="AJ17" i="1"/>
  <c r="AJ25" i="1"/>
  <c r="AN22" i="1"/>
  <c r="AR19" i="1"/>
  <c r="AV24" i="1"/>
  <c r="AZ21" i="1"/>
  <c r="BD18" i="1"/>
  <c r="BH23" i="1"/>
  <c r="B28" i="17"/>
  <c r="AN28" i="12"/>
  <c r="AH28" i="12"/>
  <c r="BH28" i="12"/>
  <c r="BB28" i="12"/>
  <c r="AV28" i="12"/>
  <c r="AP28" i="12"/>
  <c r="AJ28" i="12"/>
  <c r="BJ28" i="12"/>
  <c r="AD28" i="12"/>
  <c r="BD28" i="12"/>
  <c r="X28" i="12"/>
  <c r="AX28" i="12"/>
  <c r="AR28" i="12"/>
  <c r="AL28" i="12"/>
  <c r="AF28" i="12"/>
  <c r="BF28" i="12"/>
  <c r="AZ28" i="12"/>
  <c r="AT28" i="12"/>
  <c r="L36" i="12"/>
  <c r="P27" i="12"/>
  <c r="T34" i="12"/>
  <c r="V37" i="12"/>
  <c r="AB32" i="12"/>
  <c r="H9" i="1"/>
  <c r="L8" i="1"/>
  <c r="O7" i="1"/>
  <c r="P15" i="1"/>
  <c r="T14" i="1"/>
  <c r="X13" i="1"/>
  <c r="AB12" i="1"/>
  <c r="AF11" i="1"/>
  <c r="AJ10" i="1"/>
  <c r="AN9" i="1"/>
  <c r="AR8" i="1"/>
  <c r="AU7" i="1"/>
  <c r="AV15" i="1"/>
  <c r="AZ14" i="1"/>
  <c r="BD13" i="1"/>
  <c r="BH12" i="1"/>
  <c r="F20" i="1"/>
  <c r="J17" i="1"/>
  <c r="J25" i="1"/>
  <c r="N22" i="1"/>
  <c r="R19" i="1"/>
  <c r="V24" i="1"/>
  <c r="Z21" i="1"/>
  <c r="AD18" i="1"/>
  <c r="AH23" i="1"/>
  <c r="AL20" i="1"/>
  <c r="AP17" i="1"/>
  <c r="AP25" i="1"/>
  <c r="AT22" i="1"/>
  <c r="AX19" i="1"/>
  <c r="BB24" i="1"/>
  <c r="BF21" i="1"/>
  <c r="BJ18" i="1"/>
  <c r="D33" i="12"/>
  <c r="F26" i="12"/>
  <c r="F34" i="12"/>
  <c r="J33" i="12"/>
  <c r="L28" i="12"/>
  <c r="N32" i="12"/>
  <c r="P36" i="12"/>
  <c r="T26" i="12"/>
  <c r="Z33" i="12"/>
  <c r="D12" i="1"/>
  <c r="N8" i="1"/>
  <c r="Q7" i="1"/>
  <c r="R15" i="1"/>
  <c r="V14" i="1"/>
  <c r="Z13" i="1"/>
  <c r="AD12" i="1"/>
  <c r="AH11" i="1"/>
  <c r="AL10" i="1"/>
  <c r="AP9" i="1"/>
  <c r="AT8" i="1"/>
  <c r="AW7" i="1"/>
  <c r="AX15" i="1"/>
  <c r="BB14" i="1"/>
  <c r="BF13" i="1"/>
  <c r="BJ12" i="1"/>
  <c r="D19" i="1"/>
  <c r="AH25" i="16"/>
  <c r="BH25" i="16"/>
  <c r="AB25" i="16"/>
  <c r="BB25" i="16"/>
  <c r="V25" i="16"/>
  <c r="AV25" i="16"/>
  <c r="AP25" i="16"/>
  <c r="AJ25" i="16"/>
  <c r="BJ25" i="16"/>
  <c r="AD25" i="16"/>
  <c r="BD25" i="16"/>
  <c r="X25" i="16"/>
  <c r="AX25" i="16"/>
  <c r="R25" i="16"/>
  <c r="AR25" i="16"/>
  <c r="AL25" i="16"/>
  <c r="AF25" i="16"/>
  <c r="BF25" i="16"/>
  <c r="Z25" i="16"/>
  <c r="AZ25" i="16"/>
  <c r="AT25" i="16"/>
  <c r="AN25" i="16"/>
  <c r="L25" i="16"/>
  <c r="F25" i="16"/>
  <c r="N25" i="16"/>
  <c r="H25" i="16"/>
  <c r="D25" i="16"/>
  <c r="T25" i="16"/>
  <c r="P25" i="16"/>
  <c r="J25" i="16"/>
  <c r="H23" i="1"/>
  <c r="L20" i="1"/>
  <c r="P17" i="1"/>
  <c r="P25" i="1"/>
  <c r="T22" i="1"/>
  <c r="X19" i="1"/>
  <c r="AB24" i="1"/>
  <c r="AF21" i="1"/>
  <c r="AJ18" i="1"/>
  <c r="AN23" i="1"/>
  <c r="AR20" i="1"/>
  <c r="AV17" i="1"/>
  <c r="AV25" i="1"/>
  <c r="AZ22" i="1"/>
  <c r="BD19" i="1"/>
  <c r="BH24" i="1"/>
  <c r="B23" i="12"/>
  <c r="D28" i="12"/>
  <c r="B34" i="17"/>
  <c r="AF34" i="12"/>
  <c r="BF34" i="12"/>
  <c r="Z34" i="12"/>
  <c r="AZ34" i="12"/>
  <c r="AT34" i="12"/>
  <c r="AN34" i="12"/>
  <c r="AH34" i="12"/>
  <c r="BH34" i="12"/>
  <c r="BB34" i="12"/>
  <c r="AV34" i="12"/>
  <c r="P34" i="12"/>
  <c r="AP34" i="12"/>
  <c r="AJ34" i="12"/>
  <c r="BJ34" i="12"/>
  <c r="AD34" i="12"/>
  <c r="BD34" i="12"/>
  <c r="AX34" i="12"/>
  <c r="AR34" i="12"/>
  <c r="AL34" i="12"/>
  <c r="H30" i="12"/>
  <c r="P28" i="12"/>
  <c r="T35" i="12"/>
  <c r="V30" i="12"/>
  <c r="C7" i="1"/>
  <c r="AX13" i="16"/>
  <c r="R13" i="16"/>
  <c r="AV13" i="16"/>
  <c r="P13" i="16"/>
  <c r="AT13" i="16"/>
  <c r="N13" i="16"/>
  <c r="AR13" i="16"/>
  <c r="L13" i="16"/>
  <c r="AP13" i="16"/>
  <c r="J13" i="16"/>
  <c r="AN13" i="16"/>
  <c r="H13" i="16"/>
  <c r="AL13" i="16"/>
  <c r="F13" i="16"/>
  <c r="AJ13" i="16"/>
  <c r="AH13" i="16"/>
  <c r="AF13" i="16"/>
  <c r="D13" i="16"/>
  <c r="BJ13" i="16"/>
  <c r="AD13" i="16"/>
  <c r="BF13" i="16"/>
  <c r="Z13" i="16"/>
  <c r="BD13" i="16"/>
  <c r="X13" i="16"/>
  <c r="BB13" i="16"/>
  <c r="V13" i="16"/>
  <c r="AZ13" i="16"/>
  <c r="T13" i="16"/>
  <c r="BH13" i="16"/>
  <c r="AB13" i="16"/>
  <c r="H10" i="1"/>
  <c r="P8" i="1"/>
  <c r="S7" i="1"/>
  <c r="T15" i="1"/>
  <c r="X14" i="1"/>
  <c r="AB13" i="1"/>
  <c r="AF12" i="1"/>
  <c r="AJ11" i="1"/>
  <c r="AN10" i="1"/>
  <c r="AR9" i="1"/>
  <c r="AV8" i="1"/>
  <c r="AY7" i="1"/>
  <c r="AZ15" i="1"/>
  <c r="BD14" i="1"/>
  <c r="BH13" i="1"/>
  <c r="BJ20" i="16"/>
  <c r="AD20" i="16"/>
  <c r="BD20" i="16"/>
  <c r="X20" i="16"/>
  <c r="AX20" i="16"/>
  <c r="R20" i="16"/>
  <c r="AR20" i="16"/>
  <c r="AL20" i="16"/>
  <c r="AF20" i="16"/>
  <c r="BF20" i="16"/>
  <c r="Z20" i="16"/>
  <c r="AZ20" i="16"/>
  <c r="T20" i="16"/>
  <c r="AT20" i="16"/>
  <c r="AN20" i="16"/>
  <c r="AH20" i="16"/>
  <c r="BH20" i="16"/>
  <c r="AB20" i="16"/>
  <c r="BB20" i="16"/>
  <c r="V20" i="16"/>
  <c r="AV20" i="16"/>
  <c r="AP20" i="16"/>
  <c r="AJ20" i="16"/>
  <c r="N20" i="16"/>
  <c r="H20" i="16"/>
  <c r="P20" i="16"/>
  <c r="J20" i="16"/>
  <c r="D20" i="16"/>
  <c r="L20" i="16"/>
  <c r="F20" i="16"/>
  <c r="F21" i="1"/>
  <c r="J18" i="1"/>
  <c r="N23" i="1"/>
  <c r="R20" i="1"/>
  <c r="V17" i="1"/>
  <c r="V25" i="1"/>
  <c r="Z22" i="1"/>
  <c r="AD19" i="1"/>
  <c r="AH24" i="1"/>
  <c r="AL21" i="1"/>
  <c r="AP18" i="1"/>
  <c r="AT23" i="1"/>
  <c r="AX20" i="1"/>
  <c r="BB17" i="1"/>
  <c r="BB25" i="1"/>
  <c r="BF22" i="1"/>
  <c r="BJ19" i="1"/>
  <c r="B29" i="17"/>
  <c r="BH29" i="12"/>
  <c r="BB29" i="12"/>
  <c r="AV29" i="12"/>
  <c r="AP29" i="12"/>
  <c r="AJ29" i="12"/>
  <c r="BJ29" i="12"/>
  <c r="AD29" i="12"/>
  <c r="BD29" i="12"/>
  <c r="AX29" i="12"/>
  <c r="AR29" i="12"/>
  <c r="L29" i="12"/>
  <c r="AL29" i="12"/>
  <c r="AF29" i="12"/>
  <c r="BF29" i="12"/>
  <c r="Z29" i="12"/>
  <c r="AZ29" i="12"/>
  <c r="AT29" i="12"/>
  <c r="AN29" i="12"/>
  <c r="AH29" i="12"/>
  <c r="F27" i="12"/>
  <c r="J26" i="12"/>
  <c r="J34" i="12"/>
  <c r="N33" i="12"/>
  <c r="P37" i="12"/>
  <c r="R32" i="12"/>
  <c r="T27" i="12"/>
  <c r="X26" i="12"/>
  <c r="X35" i="12"/>
  <c r="AB34" i="12"/>
  <c r="AJ32" i="12"/>
  <c r="AO7" i="16"/>
  <c r="AL8" i="16"/>
  <c r="I7" i="16"/>
  <c r="F8" i="16"/>
  <c r="AM7" i="16"/>
  <c r="AJ8" i="16"/>
  <c r="G7" i="16"/>
  <c r="AK7" i="16"/>
  <c r="AH8" i="16"/>
  <c r="E7" i="16"/>
  <c r="AI7" i="16"/>
  <c r="AF8" i="16"/>
  <c r="BJ8" i="16"/>
  <c r="AG7" i="16"/>
  <c r="AD8" i="16"/>
  <c r="BH8" i="16"/>
  <c r="AE7" i="16"/>
  <c r="AB8" i="16"/>
  <c r="BI7" i="16"/>
  <c r="BF8" i="16"/>
  <c r="AC7" i="16"/>
  <c r="Z8" i="16"/>
  <c r="BG7" i="16"/>
  <c r="BD8" i="16"/>
  <c r="AA7" i="16"/>
  <c r="X8" i="16"/>
  <c r="BE7" i="16"/>
  <c r="BB8" i="16"/>
  <c r="Y7" i="16"/>
  <c r="V8" i="16"/>
  <c r="D8" i="16"/>
  <c r="BC7" i="16"/>
  <c r="AZ8" i="16"/>
  <c r="W7" i="16"/>
  <c r="T8" i="16"/>
  <c r="BA7" i="16"/>
  <c r="AX8" i="16"/>
  <c r="U7" i="16"/>
  <c r="R8" i="16"/>
  <c r="AW7" i="16"/>
  <c r="AT8" i="16"/>
  <c r="Q7" i="16"/>
  <c r="N8" i="16"/>
  <c r="AU7" i="16"/>
  <c r="AR8" i="16"/>
  <c r="O7" i="16"/>
  <c r="L8" i="16"/>
  <c r="AS7" i="16"/>
  <c r="AP8" i="16"/>
  <c r="M7" i="16"/>
  <c r="J8" i="16"/>
  <c r="AQ7" i="16"/>
  <c r="AN8" i="16"/>
  <c r="K7" i="16"/>
  <c r="H8" i="16"/>
  <c r="AY7" i="16"/>
  <c r="S7" i="16"/>
  <c r="AV8" i="16"/>
  <c r="P8" i="16"/>
  <c r="C7" i="16"/>
  <c r="R8" i="1"/>
  <c r="U7" i="1"/>
  <c r="AH12" i="1"/>
  <c r="AL11" i="1"/>
  <c r="AP10" i="1"/>
  <c r="AX8" i="1"/>
  <c r="BA7" i="1"/>
  <c r="BB15" i="1"/>
  <c r="BF14" i="1"/>
  <c r="BJ13" i="1"/>
  <c r="L21" i="1"/>
  <c r="P18" i="1"/>
  <c r="T23" i="1"/>
  <c r="X20" i="1"/>
  <c r="AB17" i="1"/>
  <c r="AB25" i="1"/>
  <c r="AF22" i="1"/>
  <c r="AJ19" i="1"/>
  <c r="AN24" i="1"/>
  <c r="AR21" i="1"/>
  <c r="AV18" i="1"/>
  <c r="AZ23" i="1"/>
  <c r="BD20" i="1"/>
  <c r="BH17" i="1"/>
  <c r="BH25" i="1"/>
  <c r="B18" i="12"/>
  <c r="D34" i="12"/>
  <c r="P29" i="12"/>
  <c r="T36" i="12"/>
  <c r="D13" i="1"/>
  <c r="H11" i="1"/>
  <c r="L10" i="1"/>
  <c r="P9" i="1"/>
  <c r="T8" i="1"/>
  <c r="W7" i="1"/>
  <c r="X15" i="1"/>
  <c r="AB14" i="1"/>
  <c r="AF13" i="1"/>
  <c r="AJ12" i="1"/>
  <c r="AN11" i="1"/>
  <c r="AR10" i="1"/>
  <c r="AV9" i="1"/>
  <c r="AZ8" i="1"/>
  <c r="BC7" i="1"/>
  <c r="BD15" i="1"/>
  <c r="BH14" i="1"/>
  <c r="D20" i="1"/>
  <c r="F22" i="1"/>
  <c r="J19" i="1"/>
  <c r="N24" i="1"/>
  <c r="R21" i="1"/>
  <c r="V18" i="1"/>
  <c r="Z23" i="1"/>
  <c r="AD20" i="1"/>
  <c r="AH17" i="1"/>
  <c r="AH25" i="1"/>
  <c r="AL22" i="1"/>
  <c r="AP19" i="1"/>
  <c r="AT24" i="1"/>
  <c r="AX21" i="1"/>
  <c r="BB18" i="1"/>
  <c r="BF23" i="1"/>
  <c r="BJ20" i="1"/>
  <c r="B24" i="12"/>
  <c r="D29" i="12"/>
  <c r="B35" i="17"/>
  <c r="AZ35" i="12"/>
  <c r="AT35" i="12"/>
  <c r="AN35" i="12"/>
  <c r="AH35" i="12"/>
  <c r="BH35" i="12"/>
  <c r="AB35" i="12"/>
  <c r="BB35" i="12"/>
  <c r="AV35" i="12"/>
  <c r="AP35" i="12"/>
  <c r="AJ35" i="12"/>
  <c r="BJ35" i="12"/>
  <c r="AD35" i="12"/>
  <c r="BD35" i="12"/>
  <c r="AX35" i="12"/>
  <c r="AR35" i="12"/>
  <c r="AL35" i="12"/>
  <c r="BF35" i="12"/>
  <c r="F28" i="12"/>
  <c r="F36" i="12"/>
  <c r="J27" i="12"/>
  <c r="J35" i="12"/>
  <c r="N26" i="12"/>
  <c r="N34" i="12"/>
  <c r="R33" i="12"/>
  <c r="T28" i="12"/>
  <c r="X27" i="12"/>
  <c r="AB26" i="12"/>
  <c r="D8" i="1"/>
  <c r="AT14" i="16"/>
  <c r="N14" i="16"/>
  <c r="AR14" i="16"/>
  <c r="L14" i="16"/>
  <c r="AP14" i="16"/>
  <c r="J14" i="16"/>
  <c r="AN14" i="16"/>
  <c r="H14" i="16"/>
  <c r="AL14" i="16"/>
  <c r="F14" i="16"/>
  <c r="AJ14" i="16"/>
  <c r="AH14" i="16"/>
  <c r="D14" i="16"/>
  <c r="AF14" i="16"/>
  <c r="BJ14" i="16"/>
  <c r="AD14" i="16"/>
  <c r="BH14" i="16"/>
  <c r="AB14" i="16"/>
  <c r="BF14" i="16"/>
  <c r="Z14" i="16"/>
  <c r="BB14" i="16"/>
  <c r="V14" i="16"/>
  <c r="AZ14" i="16"/>
  <c r="T14" i="16"/>
  <c r="AX14" i="16"/>
  <c r="R14" i="16"/>
  <c r="AV14" i="16"/>
  <c r="P14" i="16"/>
  <c r="BD14" i="16"/>
  <c r="X14" i="16"/>
  <c r="F12" i="1"/>
  <c r="J11" i="1"/>
  <c r="N10" i="1"/>
  <c r="R9" i="1"/>
  <c r="V8" i="1"/>
  <c r="Y7" i="1"/>
  <c r="Z15" i="1"/>
  <c r="AD14" i="1"/>
  <c r="AH13" i="1"/>
  <c r="AL12" i="1"/>
  <c r="AP11" i="1"/>
  <c r="AT10" i="1"/>
  <c r="AX9" i="1"/>
  <c r="BB8" i="1"/>
  <c r="BE7" i="1"/>
  <c r="BF15" i="1"/>
  <c r="BJ14" i="1"/>
  <c r="AX21" i="16"/>
  <c r="R21" i="16"/>
  <c r="AR21" i="16"/>
  <c r="AL21" i="16"/>
  <c r="AF21" i="16"/>
  <c r="BF21" i="16"/>
  <c r="Z21" i="16"/>
  <c r="AZ21" i="16"/>
  <c r="T21" i="16"/>
  <c r="AT21" i="16"/>
  <c r="AN21" i="16"/>
  <c r="AH21" i="16"/>
  <c r="BH21" i="16"/>
  <c r="AB21" i="16"/>
  <c r="BB21" i="16"/>
  <c r="V21" i="16"/>
  <c r="AV21" i="16"/>
  <c r="AP21" i="16"/>
  <c r="AJ21" i="16"/>
  <c r="BJ21" i="16"/>
  <c r="AD21" i="16"/>
  <c r="BD21" i="16"/>
  <c r="H21" i="16"/>
  <c r="X21" i="16"/>
  <c r="P21" i="16"/>
  <c r="J21" i="16"/>
  <c r="D21" i="16"/>
  <c r="L21" i="16"/>
  <c r="N21" i="16"/>
  <c r="F21" i="16"/>
  <c r="H17" i="1"/>
  <c r="H25" i="1"/>
  <c r="L22" i="1"/>
  <c r="P19" i="1"/>
  <c r="T24" i="1"/>
  <c r="X21" i="1"/>
  <c r="AB18" i="1"/>
  <c r="AF23" i="1"/>
  <c r="AJ20" i="1"/>
  <c r="AN17" i="1"/>
  <c r="AN25" i="1"/>
  <c r="AR22" i="1"/>
  <c r="AV19" i="1"/>
  <c r="AZ24" i="1"/>
  <c r="BD21" i="1"/>
  <c r="BH18" i="1"/>
  <c r="B30" i="17"/>
  <c r="AV30" i="12"/>
  <c r="AP30" i="12"/>
  <c r="AJ30" i="12"/>
  <c r="BJ30" i="12"/>
  <c r="AD30" i="12"/>
  <c r="BD30" i="12"/>
  <c r="X30" i="12"/>
  <c r="AX30" i="12"/>
  <c r="AR30" i="12"/>
  <c r="AL30" i="12"/>
  <c r="AF30" i="12"/>
  <c r="BF30" i="12"/>
  <c r="AZ30" i="12"/>
  <c r="AT30" i="12"/>
  <c r="AN30" i="12"/>
  <c r="AH30" i="12"/>
  <c r="BH30" i="12"/>
  <c r="BB30" i="12"/>
  <c r="P30" i="12"/>
  <c r="T37" i="12"/>
  <c r="V32" i="12"/>
  <c r="X37" i="12"/>
  <c r="Z27" i="12"/>
  <c r="Z36" i="12"/>
  <c r="AB36" i="12"/>
  <c r="AF33" i="12"/>
  <c r="AH9" i="16"/>
  <c r="AF9" i="16"/>
  <c r="BJ9" i="16"/>
  <c r="AD9" i="16"/>
  <c r="BH9" i="16"/>
  <c r="AB9" i="16"/>
  <c r="BF9" i="16"/>
  <c r="Z9" i="16"/>
  <c r="BD9" i="16"/>
  <c r="X9" i="16"/>
  <c r="D9" i="16"/>
  <c r="BB9" i="16"/>
  <c r="V9" i="16"/>
  <c r="AZ9" i="16"/>
  <c r="T9" i="16"/>
  <c r="AX9" i="16"/>
  <c r="R9" i="16"/>
  <c r="AV9" i="16"/>
  <c r="P9" i="16"/>
  <c r="AT9" i="16"/>
  <c r="N9" i="16"/>
  <c r="AP9" i="16"/>
  <c r="J9" i="16"/>
  <c r="AN9" i="16"/>
  <c r="H9" i="16"/>
  <c r="AL9" i="16"/>
  <c r="F9" i="16"/>
  <c r="AJ9" i="16"/>
  <c r="AR9" i="16"/>
  <c r="L9" i="16"/>
  <c r="H12" i="1"/>
  <c r="L11" i="1"/>
  <c r="P10" i="1"/>
  <c r="T9" i="1"/>
  <c r="X8" i="1"/>
  <c r="AA7" i="1"/>
  <c r="AB15" i="1"/>
  <c r="AF14" i="1"/>
  <c r="AJ13" i="1"/>
  <c r="AN12" i="1"/>
  <c r="AR11" i="1"/>
  <c r="AV10" i="1"/>
  <c r="AZ9" i="1"/>
  <c r="BD8" i="1"/>
  <c r="BG7" i="1"/>
  <c r="BH15" i="1"/>
  <c r="F23" i="1"/>
  <c r="J20" i="1"/>
  <c r="N17" i="1"/>
  <c r="N25" i="1"/>
  <c r="R22" i="1"/>
  <c r="V19" i="1"/>
  <c r="Z24" i="1"/>
  <c r="AD21" i="1"/>
  <c r="AH18" i="1"/>
  <c r="AL23" i="1"/>
  <c r="AP20" i="1"/>
  <c r="AT17" i="1"/>
  <c r="AT25" i="1"/>
  <c r="AX22" i="1"/>
  <c r="BB19" i="1"/>
  <c r="BF24" i="1"/>
  <c r="BJ21" i="1"/>
  <c r="B19" i="12"/>
  <c r="D35" i="12"/>
  <c r="F29" i="12"/>
  <c r="F37" i="12"/>
  <c r="H33" i="12"/>
  <c r="J28" i="12"/>
  <c r="N27" i="12"/>
  <c r="N35" i="12"/>
  <c r="R34" i="12"/>
  <c r="T29" i="12"/>
  <c r="J12" i="1"/>
  <c r="N11" i="1"/>
  <c r="R10" i="1"/>
  <c r="Z8" i="1"/>
  <c r="AC7" i="1"/>
  <c r="AD15" i="1"/>
  <c r="AH14" i="1"/>
  <c r="AL13" i="1"/>
  <c r="AP12" i="1"/>
  <c r="AT11" i="1"/>
  <c r="AX10" i="1"/>
  <c r="BB9" i="1"/>
  <c r="BF8" i="1"/>
  <c r="BI7" i="1"/>
  <c r="BJ15" i="1"/>
  <c r="H18" i="1"/>
  <c r="L23" i="1"/>
  <c r="P20" i="1"/>
  <c r="T17" i="1"/>
  <c r="T25" i="1"/>
  <c r="X22" i="1"/>
  <c r="AB19" i="1"/>
  <c r="AF24" i="1"/>
  <c r="AJ21" i="1"/>
  <c r="AN18" i="1"/>
  <c r="AR23" i="1"/>
  <c r="AV20" i="1"/>
  <c r="AZ17" i="1"/>
  <c r="AZ25" i="1"/>
  <c r="BD22" i="1"/>
  <c r="BH19" i="1"/>
  <c r="B25" i="12"/>
  <c r="D30" i="12"/>
  <c r="B36" i="17"/>
  <c r="AN36" i="12"/>
  <c r="AH36" i="12"/>
  <c r="BH36" i="12"/>
  <c r="BB36" i="12"/>
  <c r="AV36" i="12"/>
  <c r="AP36" i="12"/>
  <c r="AJ36" i="12"/>
  <c r="BJ36" i="12"/>
  <c r="AD36" i="12"/>
  <c r="BD36" i="12"/>
  <c r="X36" i="12"/>
  <c r="AX36" i="12"/>
  <c r="AR36" i="12"/>
  <c r="AL36" i="12"/>
  <c r="AF36" i="12"/>
  <c r="BF36" i="12"/>
  <c r="AZ36" i="12"/>
  <c r="AT36" i="12"/>
  <c r="L32" i="12"/>
  <c r="V33" i="12"/>
  <c r="X29" i="12"/>
  <c r="Z28" i="12"/>
  <c r="AB28" i="12"/>
  <c r="AB37" i="12"/>
  <c r="AP15" i="16"/>
  <c r="J15" i="16"/>
  <c r="AN15" i="16"/>
  <c r="H15" i="16"/>
  <c r="AL15" i="16"/>
  <c r="F15" i="16"/>
  <c r="AJ15" i="16"/>
  <c r="D15" i="16"/>
  <c r="AH15" i="16"/>
  <c r="AF15" i="16"/>
  <c r="BJ15" i="16"/>
  <c r="AD15" i="16"/>
  <c r="BH15" i="16"/>
  <c r="AB15" i="16"/>
  <c r="BF15" i="16"/>
  <c r="Z15" i="16"/>
  <c r="BD15" i="16"/>
  <c r="X15" i="16"/>
  <c r="BB15" i="16"/>
  <c r="V15" i="16"/>
  <c r="AX15" i="16"/>
  <c r="R15" i="16"/>
  <c r="AV15" i="16"/>
  <c r="P15" i="16"/>
  <c r="AT15" i="16"/>
  <c r="N15" i="16"/>
  <c r="AR15" i="16"/>
  <c r="L15" i="16"/>
  <c r="AZ15" i="16"/>
  <c r="T15" i="16"/>
  <c r="H13" i="1"/>
  <c r="L12" i="1"/>
  <c r="P11" i="1"/>
  <c r="T10" i="1"/>
  <c r="X9" i="1"/>
  <c r="AB8" i="1"/>
  <c r="AE7" i="1"/>
  <c r="AF15" i="1"/>
  <c r="AJ14" i="1"/>
  <c r="AN13" i="1"/>
  <c r="AR12" i="1"/>
  <c r="AV11" i="1"/>
  <c r="AZ10" i="1"/>
  <c r="BD9" i="1"/>
  <c r="BH8" i="1"/>
  <c r="AL22" i="16"/>
  <c r="AF22" i="16"/>
  <c r="BF22" i="16"/>
  <c r="Z22" i="16"/>
  <c r="AZ22" i="16"/>
  <c r="T22" i="16"/>
  <c r="AT22" i="16"/>
  <c r="AN22" i="16"/>
  <c r="AH22" i="16"/>
  <c r="BH22" i="16"/>
  <c r="AB22" i="16"/>
  <c r="BB22" i="16"/>
  <c r="V22" i="16"/>
  <c r="AV22" i="16"/>
  <c r="AP22" i="16"/>
  <c r="AJ22" i="16"/>
  <c r="BJ22" i="16"/>
  <c r="AD22" i="16"/>
  <c r="BD22" i="16"/>
  <c r="X22" i="16"/>
  <c r="AX22" i="16"/>
  <c r="AR22" i="16"/>
  <c r="P22" i="16"/>
  <c r="J22" i="16"/>
  <c r="D22" i="16"/>
  <c r="L22" i="16"/>
  <c r="R22" i="16"/>
  <c r="F22" i="16"/>
  <c r="N22" i="16"/>
  <c r="H22" i="16"/>
  <c r="J21" i="1"/>
  <c r="N18" i="1"/>
  <c r="R23" i="1"/>
  <c r="V20" i="1"/>
  <c r="Z17" i="1"/>
  <c r="Z25" i="1"/>
  <c r="AD22" i="1"/>
  <c r="AH19" i="1"/>
  <c r="AL24" i="1"/>
  <c r="AP21" i="1"/>
  <c r="AT18" i="1"/>
  <c r="AX23" i="1"/>
  <c r="BB20" i="1"/>
  <c r="BF17" i="1"/>
  <c r="BF25" i="1"/>
  <c r="BJ22" i="1"/>
  <c r="F30" i="12"/>
  <c r="H34" i="12"/>
  <c r="J29" i="12"/>
  <c r="J37" i="12"/>
  <c r="N28" i="12"/>
  <c r="N36" i="12"/>
  <c r="R27" i="12"/>
  <c r="R35" i="12"/>
  <c r="T30" i="12"/>
  <c r="AF35" i="12"/>
  <c r="BJ10" i="16"/>
  <c r="AD10" i="16"/>
  <c r="BH10" i="16"/>
  <c r="AB10" i="16"/>
  <c r="BF10" i="16"/>
  <c r="Z10" i="16"/>
  <c r="D10" i="16"/>
  <c r="BD10" i="16"/>
  <c r="X10" i="16"/>
  <c r="BB10" i="16"/>
  <c r="V10" i="16"/>
  <c r="AZ10" i="16"/>
  <c r="T10" i="16"/>
  <c r="AX10" i="16"/>
  <c r="R10" i="16"/>
  <c r="AV10" i="16"/>
  <c r="P10" i="16"/>
  <c r="AT10" i="16"/>
  <c r="N10" i="16"/>
  <c r="AR10" i="16"/>
  <c r="L10" i="16"/>
  <c r="AP10" i="16"/>
  <c r="J10" i="16"/>
  <c r="AL10" i="16"/>
  <c r="F10" i="16"/>
  <c r="AJ10" i="16"/>
  <c r="AH10" i="16"/>
  <c r="AF10" i="16"/>
  <c r="AN10" i="16"/>
  <c r="H10" i="16"/>
  <c r="F14" i="1"/>
  <c r="J13" i="1"/>
  <c r="N12" i="1"/>
  <c r="R11" i="1"/>
  <c r="V10" i="1"/>
  <c r="Z9" i="1"/>
  <c r="AD8" i="1"/>
  <c r="AG7" i="1"/>
  <c r="AH15" i="1"/>
  <c r="AL14" i="1"/>
  <c r="AP13" i="1"/>
  <c r="AT12" i="1"/>
  <c r="AX11" i="1"/>
  <c r="BB10" i="1"/>
  <c r="BF9" i="1"/>
  <c r="BJ8" i="1"/>
  <c r="AS16" i="16"/>
  <c r="AH17" i="16"/>
  <c r="BH17" i="16"/>
  <c r="AM16" i="16"/>
  <c r="AB17" i="16"/>
  <c r="BB17" i="16"/>
  <c r="AG16" i="16"/>
  <c r="V17" i="16"/>
  <c r="BG16" i="16"/>
  <c r="AV17" i="16"/>
  <c r="AA16" i="16"/>
  <c r="BA16" i="16"/>
  <c r="AP17" i="16"/>
  <c r="U16" i="16"/>
  <c r="AU16" i="16"/>
  <c r="AJ17" i="16"/>
  <c r="BJ17" i="16"/>
  <c r="AO16" i="16"/>
  <c r="AD17" i="16"/>
  <c r="BD17" i="16"/>
  <c r="AI16" i="16"/>
  <c r="X17" i="16"/>
  <c r="BI16" i="16"/>
  <c r="AX17" i="16"/>
  <c r="AC16" i="16"/>
  <c r="R17" i="16"/>
  <c r="BC16" i="16"/>
  <c r="AR17" i="16"/>
  <c r="W16" i="16"/>
  <c r="AW16" i="16"/>
  <c r="AL17" i="16"/>
  <c r="Q16" i="16"/>
  <c r="AQ16" i="16"/>
  <c r="AF17" i="16"/>
  <c r="BF17" i="16"/>
  <c r="AK16" i="16"/>
  <c r="Z17" i="16"/>
  <c r="AZ17" i="16"/>
  <c r="AE16" i="16"/>
  <c r="BE16" i="16"/>
  <c r="AT17" i="16"/>
  <c r="Y16" i="16"/>
  <c r="AY16" i="16"/>
  <c r="AN17" i="16"/>
  <c r="S16" i="16"/>
  <c r="L17" i="16"/>
  <c r="D17" i="16"/>
  <c r="F17" i="16"/>
  <c r="K16" i="16"/>
  <c r="E16" i="16"/>
  <c r="C16" i="16"/>
  <c r="N17" i="16"/>
  <c r="H17" i="16"/>
  <c r="M16" i="16"/>
  <c r="G16" i="16"/>
  <c r="P17" i="16"/>
  <c r="J17" i="16"/>
  <c r="O16" i="16"/>
  <c r="T17" i="16"/>
  <c r="I16" i="16"/>
  <c r="H19" i="1"/>
  <c r="L24" i="1"/>
  <c r="P21" i="1"/>
  <c r="T18" i="1"/>
  <c r="X23" i="1"/>
  <c r="AB20" i="1"/>
  <c r="AF17" i="1"/>
  <c r="AF25" i="1"/>
  <c r="AJ22" i="1"/>
  <c r="AN19" i="1"/>
  <c r="AR24" i="1"/>
  <c r="AV21" i="1"/>
  <c r="AZ18" i="1"/>
  <c r="BD23" i="1"/>
  <c r="BH20" i="1"/>
  <c r="B20" i="12"/>
  <c r="B26" i="17"/>
  <c r="AF26" i="12"/>
  <c r="BF26" i="12"/>
  <c r="Z26" i="12"/>
  <c r="AZ26" i="12"/>
  <c r="AT26" i="12"/>
  <c r="AN26" i="12"/>
  <c r="AH26" i="12"/>
  <c r="BH26" i="12"/>
  <c r="BB26" i="12"/>
  <c r="AV26" i="12"/>
  <c r="P26" i="12"/>
  <c r="AP26" i="12"/>
  <c r="AJ26" i="12"/>
  <c r="BJ26" i="12"/>
  <c r="AD26" i="12"/>
  <c r="BD26" i="12"/>
  <c r="AX26" i="12"/>
  <c r="AR26" i="12"/>
  <c r="AL26" i="12"/>
  <c r="H26" i="12"/>
  <c r="L33" i="12"/>
  <c r="P32" i="12"/>
  <c r="V26" i="12"/>
  <c r="V34" i="12"/>
  <c r="AB29" i="12"/>
  <c r="AP31" i="12"/>
  <c r="AT51" i="17"/>
  <c r="N51" i="17"/>
  <c r="BH51" i="17"/>
  <c r="AB51" i="17"/>
  <c r="AP51" i="17"/>
  <c r="J51" i="17"/>
  <c r="BD51" i="17"/>
  <c r="X51" i="17"/>
  <c r="AL51" i="17"/>
  <c r="F51" i="17"/>
  <c r="D51" i="17"/>
  <c r="AZ51" i="17"/>
  <c r="T51" i="17"/>
  <c r="AH51" i="17"/>
  <c r="AV51" i="17"/>
  <c r="P51" i="17"/>
  <c r="BJ51" i="17"/>
  <c r="AD51" i="17"/>
  <c r="AR51" i="17"/>
  <c r="L51" i="17"/>
  <c r="BF51" i="17"/>
  <c r="Z51" i="17"/>
  <c r="AN51" i="17"/>
  <c r="H51" i="17"/>
  <c r="BB51" i="17"/>
  <c r="V51" i="17"/>
  <c r="AJ51" i="17"/>
  <c r="AX51" i="17"/>
  <c r="AF51" i="17"/>
  <c r="R51" i="17"/>
  <c r="B51" i="19"/>
  <c r="F42" i="12"/>
  <c r="F50" i="12"/>
  <c r="F58" i="12"/>
  <c r="J41" i="12"/>
  <c r="J49" i="12"/>
  <c r="J57" i="12"/>
  <c r="N40" i="12"/>
  <c r="N56" i="12"/>
  <c r="R39" i="12"/>
  <c r="R47" i="12"/>
  <c r="R55" i="12"/>
  <c r="V46" i="12"/>
  <c r="V54" i="12"/>
  <c r="Z45" i="12"/>
  <c r="Z53" i="12"/>
  <c r="AD44" i="12"/>
  <c r="AD52" i="12"/>
  <c r="AH43" i="12"/>
  <c r="AH51" i="12"/>
  <c r="AL42" i="12"/>
  <c r="AL50" i="12"/>
  <c r="AL58" i="12"/>
  <c r="AP41" i="12"/>
  <c r="AP49" i="12"/>
  <c r="AP57" i="12"/>
  <c r="AT40" i="12"/>
  <c r="AT48" i="12"/>
  <c r="AT56" i="12"/>
  <c r="AX39" i="12"/>
  <c r="AX47" i="12"/>
  <c r="AX55" i="12"/>
  <c r="BB46" i="12"/>
  <c r="BB54" i="12"/>
  <c r="BF45" i="12"/>
  <c r="BF53" i="12"/>
  <c r="BJ44" i="12"/>
  <c r="BJ52" i="12"/>
  <c r="AV31" i="12"/>
  <c r="AH46" i="17"/>
  <c r="AV46" i="17"/>
  <c r="P46" i="17"/>
  <c r="BJ46" i="17"/>
  <c r="AD46" i="17"/>
  <c r="AR46" i="17"/>
  <c r="L46" i="17"/>
  <c r="D46" i="17"/>
  <c r="BF46" i="17"/>
  <c r="Z46" i="17"/>
  <c r="AN46" i="17"/>
  <c r="H46" i="17"/>
  <c r="BB46" i="17"/>
  <c r="V46" i="17"/>
  <c r="AJ46" i="17"/>
  <c r="AX46" i="17"/>
  <c r="R46" i="17"/>
  <c r="AF46" i="17"/>
  <c r="AT46" i="17"/>
  <c r="N46" i="17"/>
  <c r="BH46" i="17"/>
  <c r="AB46" i="17"/>
  <c r="AP46" i="17"/>
  <c r="J46" i="17"/>
  <c r="BD46" i="17"/>
  <c r="X46" i="17"/>
  <c r="AL46" i="17"/>
  <c r="AZ46" i="17"/>
  <c r="F46" i="17"/>
  <c r="T46" i="17"/>
  <c r="B46" i="19"/>
  <c r="H46" i="12"/>
  <c r="L53" i="12"/>
  <c r="P44" i="12"/>
  <c r="P52" i="12"/>
  <c r="T43" i="12"/>
  <c r="T51" i="12"/>
  <c r="X42" i="12"/>
  <c r="X50" i="12"/>
  <c r="X58" i="12"/>
  <c r="AB41" i="12"/>
  <c r="AB49" i="12"/>
  <c r="AB57" i="12"/>
  <c r="AF40" i="12"/>
  <c r="AF48" i="12"/>
  <c r="AF56" i="12"/>
  <c r="AJ39" i="12"/>
  <c r="AJ47" i="12"/>
  <c r="AJ55" i="12"/>
  <c r="AN46" i="12"/>
  <c r="AN54" i="12"/>
  <c r="AR45" i="12"/>
  <c r="AR53" i="12"/>
  <c r="AV44" i="12"/>
  <c r="AV52" i="12"/>
  <c r="AZ43" i="12"/>
  <c r="AZ51" i="12"/>
  <c r="BD42" i="12"/>
  <c r="BD50" i="12"/>
  <c r="BD58" i="12"/>
  <c r="BH41" i="12"/>
  <c r="BH49" i="12"/>
  <c r="BH57" i="12"/>
  <c r="BB31" i="12"/>
  <c r="BB41" i="17"/>
  <c r="V41" i="17"/>
  <c r="AJ41" i="17"/>
  <c r="AX41" i="17"/>
  <c r="R41" i="17"/>
  <c r="D41" i="17"/>
  <c r="AF41" i="17"/>
  <c r="AT41" i="17"/>
  <c r="N41" i="17"/>
  <c r="BH41" i="17"/>
  <c r="AB41" i="17"/>
  <c r="AP41" i="17"/>
  <c r="J41" i="17"/>
  <c r="BD41" i="17"/>
  <c r="X41" i="17"/>
  <c r="AL41" i="17"/>
  <c r="F41" i="17"/>
  <c r="AZ41" i="17"/>
  <c r="T41" i="17"/>
  <c r="AH41" i="17"/>
  <c r="AV41" i="17"/>
  <c r="P41" i="17"/>
  <c r="BJ41" i="17"/>
  <c r="AD41" i="17"/>
  <c r="AR41" i="17"/>
  <c r="L41" i="17"/>
  <c r="BF41" i="17"/>
  <c r="AN41" i="17"/>
  <c r="Z41" i="17"/>
  <c r="H41" i="17"/>
  <c r="B41" i="19"/>
  <c r="D51" i="12"/>
  <c r="BB57" i="17"/>
  <c r="V57" i="17"/>
  <c r="AJ57" i="17"/>
  <c r="AX57" i="17"/>
  <c r="R57" i="17"/>
  <c r="D57" i="17"/>
  <c r="AF57" i="17"/>
  <c r="AT57" i="17"/>
  <c r="N57" i="17"/>
  <c r="BH57" i="17"/>
  <c r="AB57" i="17"/>
  <c r="AP57" i="17"/>
  <c r="J57" i="17"/>
  <c r="BD57" i="17"/>
  <c r="X57" i="17"/>
  <c r="AL57" i="17"/>
  <c r="F57" i="17"/>
  <c r="AZ57" i="17"/>
  <c r="T57" i="17"/>
  <c r="AH57" i="17"/>
  <c r="AV57" i="17"/>
  <c r="P57" i="17"/>
  <c r="BJ57" i="17"/>
  <c r="AD57" i="17"/>
  <c r="AR57" i="17"/>
  <c r="L57" i="17"/>
  <c r="BF57" i="17"/>
  <c r="AN57" i="17"/>
  <c r="H57" i="17"/>
  <c r="Z57" i="17"/>
  <c r="B57" i="19"/>
  <c r="F43" i="12"/>
  <c r="F51" i="12"/>
  <c r="J42" i="12"/>
  <c r="J50" i="12"/>
  <c r="J58" i="12"/>
  <c r="N41" i="12"/>
  <c r="N49" i="12"/>
  <c r="N57" i="12"/>
  <c r="R40" i="12"/>
  <c r="R56" i="12"/>
  <c r="V39" i="12"/>
  <c r="V47" i="12"/>
  <c r="V55" i="12"/>
  <c r="Z46" i="12"/>
  <c r="Z54" i="12"/>
  <c r="AD45" i="12"/>
  <c r="AD53" i="12"/>
  <c r="AH44" i="12"/>
  <c r="AH52" i="12"/>
  <c r="AL43" i="12"/>
  <c r="AL51" i="12"/>
  <c r="AP42" i="12"/>
  <c r="AP50" i="12"/>
  <c r="AP58" i="12"/>
  <c r="AT41" i="12"/>
  <c r="AT49" i="12"/>
  <c r="AT57" i="12"/>
  <c r="AX40" i="12"/>
  <c r="AX48" i="12"/>
  <c r="AX56" i="12"/>
  <c r="BB39" i="12"/>
  <c r="BB47" i="12"/>
  <c r="BB55" i="12"/>
  <c r="BF46" i="12"/>
  <c r="BF54" i="12"/>
  <c r="BJ45" i="12"/>
  <c r="BJ53" i="12"/>
  <c r="BH31" i="12"/>
  <c r="D46" i="12"/>
  <c r="AP52" i="17"/>
  <c r="J52" i="17"/>
  <c r="BD52" i="17"/>
  <c r="X52" i="17"/>
  <c r="D52" i="17"/>
  <c r="AL52" i="17"/>
  <c r="F52" i="17"/>
  <c r="AZ52" i="17"/>
  <c r="T52" i="17"/>
  <c r="AH52" i="17"/>
  <c r="AV52" i="17"/>
  <c r="P52" i="17"/>
  <c r="BJ52" i="17"/>
  <c r="AD52" i="17"/>
  <c r="AR52" i="17"/>
  <c r="L52" i="17"/>
  <c r="BF52" i="17"/>
  <c r="Z52" i="17"/>
  <c r="AN52" i="17"/>
  <c r="H52" i="17"/>
  <c r="BB52" i="17"/>
  <c r="V52" i="17"/>
  <c r="AJ52" i="17"/>
  <c r="AX52" i="17"/>
  <c r="R52" i="17"/>
  <c r="AF52" i="17"/>
  <c r="AT52" i="17"/>
  <c r="BH52" i="17"/>
  <c r="AB52" i="17"/>
  <c r="N52" i="17"/>
  <c r="B52" i="19"/>
  <c r="H39" i="12"/>
  <c r="H47" i="12"/>
  <c r="H55" i="12"/>
  <c r="L46" i="12"/>
  <c r="L54" i="12"/>
  <c r="P45" i="12"/>
  <c r="P53" i="12"/>
  <c r="T44" i="12"/>
  <c r="T52" i="12"/>
  <c r="X43" i="12"/>
  <c r="X51" i="12"/>
  <c r="AB42" i="12"/>
  <c r="AB50" i="12"/>
  <c r="AB58" i="12"/>
  <c r="AF41" i="12"/>
  <c r="AF49" i="12"/>
  <c r="AF57" i="12"/>
  <c r="AJ40" i="12"/>
  <c r="AJ48" i="12"/>
  <c r="AJ56" i="12"/>
  <c r="AN39" i="12"/>
  <c r="AN47" i="12"/>
  <c r="AN55" i="12"/>
  <c r="AR46" i="12"/>
  <c r="AR54" i="12"/>
  <c r="AV45" i="12"/>
  <c r="AV53" i="12"/>
  <c r="AZ44" i="12"/>
  <c r="AZ52" i="12"/>
  <c r="BD43" i="12"/>
  <c r="BD51" i="12"/>
  <c r="BH42" i="12"/>
  <c r="BH50" i="12"/>
  <c r="BH58" i="12"/>
  <c r="AH31" i="12"/>
  <c r="D41" i="12"/>
  <c r="BJ47" i="17"/>
  <c r="AD47" i="17"/>
  <c r="D47" i="17"/>
  <c r="AR47" i="17"/>
  <c r="L47" i="17"/>
  <c r="BF47" i="17"/>
  <c r="Z47" i="17"/>
  <c r="AN47" i="17"/>
  <c r="H47" i="17"/>
  <c r="BB47" i="17"/>
  <c r="V47" i="17"/>
  <c r="AJ47" i="17"/>
  <c r="AX47" i="17"/>
  <c r="R47" i="17"/>
  <c r="AF47" i="17"/>
  <c r="AT47" i="17"/>
  <c r="N47" i="17"/>
  <c r="BH47" i="17"/>
  <c r="AB47" i="17"/>
  <c r="AP47" i="17"/>
  <c r="J47" i="17"/>
  <c r="BD47" i="17"/>
  <c r="X47" i="17"/>
  <c r="AL47" i="17"/>
  <c r="AZ47" i="17"/>
  <c r="T47" i="17"/>
  <c r="AH47" i="17"/>
  <c r="AV47" i="17"/>
  <c r="P47" i="17"/>
  <c r="F47" i="17"/>
  <c r="B47" i="19"/>
  <c r="D57" i="12"/>
  <c r="F44" i="12"/>
  <c r="F52" i="12"/>
  <c r="J43" i="12"/>
  <c r="J51" i="12"/>
  <c r="N42" i="12"/>
  <c r="N50" i="12"/>
  <c r="N58" i="12"/>
  <c r="R41" i="12"/>
  <c r="R49" i="12"/>
  <c r="R57" i="12"/>
  <c r="V40" i="12"/>
  <c r="V48" i="12"/>
  <c r="V56" i="12"/>
  <c r="Z39" i="12"/>
  <c r="Z47" i="12"/>
  <c r="Z55" i="12"/>
  <c r="AD46" i="12"/>
  <c r="AD54" i="12"/>
  <c r="AH45" i="12"/>
  <c r="AH53" i="12"/>
  <c r="AL44" i="12"/>
  <c r="AL52" i="12"/>
  <c r="AP43" i="12"/>
  <c r="AP51" i="12"/>
  <c r="AT42" i="12"/>
  <c r="AT50" i="12"/>
  <c r="AT58" i="12"/>
  <c r="AX41" i="12"/>
  <c r="AX49" i="12"/>
  <c r="AX57" i="12"/>
  <c r="BB40" i="12"/>
  <c r="BB48" i="12"/>
  <c r="BB56" i="12"/>
  <c r="BF39" i="12"/>
  <c r="BF47" i="12"/>
  <c r="BF55" i="12"/>
  <c r="BJ46" i="12"/>
  <c r="BJ54" i="12"/>
  <c r="AN31" i="12"/>
  <c r="AX42" i="17"/>
  <c r="R42" i="17"/>
  <c r="AF42" i="17"/>
  <c r="AT42" i="17"/>
  <c r="N42" i="17"/>
  <c r="BH42" i="17"/>
  <c r="AB42" i="17"/>
  <c r="AP42" i="17"/>
  <c r="J42" i="17"/>
  <c r="BD42" i="17"/>
  <c r="X42" i="17"/>
  <c r="AL42" i="17"/>
  <c r="F42" i="17"/>
  <c r="AZ42" i="17"/>
  <c r="T42" i="17"/>
  <c r="AH42" i="17"/>
  <c r="AV42" i="17"/>
  <c r="P42" i="17"/>
  <c r="BJ42" i="17"/>
  <c r="AD42" i="17"/>
  <c r="AR42" i="17"/>
  <c r="L42" i="17"/>
  <c r="BF42" i="17"/>
  <c r="Z42" i="17"/>
  <c r="AN42" i="17"/>
  <c r="H42" i="17"/>
  <c r="BB42" i="17"/>
  <c r="AJ42" i="17"/>
  <c r="D42" i="17"/>
  <c r="V42" i="17"/>
  <c r="B42" i="19"/>
  <c r="D52" i="12"/>
  <c r="AX58" i="17"/>
  <c r="R58" i="17"/>
  <c r="AF58" i="17"/>
  <c r="AT58" i="17"/>
  <c r="N58" i="17"/>
  <c r="BH58" i="17"/>
  <c r="AB58" i="17"/>
  <c r="AP58" i="17"/>
  <c r="J58" i="17"/>
  <c r="BD58" i="17"/>
  <c r="X58" i="17"/>
  <c r="AL58" i="17"/>
  <c r="F58" i="17"/>
  <c r="AZ58" i="17"/>
  <c r="T58" i="17"/>
  <c r="AH58" i="17"/>
  <c r="AV58" i="17"/>
  <c r="P58" i="17"/>
  <c r="BJ58" i="17"/>
  <c r="AD58" i="17"/>
  <c r="AR58" i="17"/>
  <c r="L58" i="17"/>
  <c r="BF58" i="17"/>
  <c r="Z58" i="17"/>
  <c r="AN58" i="17"/>
  <c r="H58" i="17"/>
  <c r="BB58" i="17"/>
  <c r="AJ58" i="17"/>
  <c r="V58" i="17"/>
  <c r="D58" i="17"/>
  <c r="B58" i="19"/>
  <c r="H40" i="12"/>
  <c r="H56" i="12"/>
  <c r="L39" i="12"/>
  <c r="L47" i="12"/>
  <c r="L55" i="12"/>
  <c r="P46" i="12"/>
  <c r="P54" i="12"/>
  <c r="T45" i="12"/>
  <c r="T53" i="12"/>
  <c r="X44" i="12"/>
  <c r="X52" i="12"/>
  <c r="AB43" i="12"/>
  <c r="AB51" i="12"/>
  <c r="AF42" i="12"/>
  <c r="AF50" i="12"/>
  <c r="AF58" i="12"/>
  <c r="AJ41" i="12"/>
  <c r="AJ49" i="12"/>
  <c r="AJ57" i="12"/>
  <c r="AN40" i="12"/>
  <c r="AN48" i="12"/>
  <c r="AN56" i="12"/>
  <c r="AR39" i="12"/>
  <c r="AR47" i="12"/>
  <c r="AR55" i="12"/>
  <c r="AV46" i="12"/>
  <c r="AV54" i="12"/>
  <c r="AZ45" i="12"/>
  <c r="AZ53" i="12"/>
  <c r="BD44" i="12"/>
  <c r="BD52" i="12"/>
  <c r="BH43" i="12"/>
  <c r="BH51" i="12"/>
  <c r="AT31" i="12"/>
  <c r="AL53" i="17"/>
  <c r="F53" i="17"/>
  <c r="AZ53" i="17"/>
  <c r="T53" i="17"/>
  <c r="AH53" i="17"/>
  <c r="AV53" i="17"/>
  <c r="P53" i="17"/>
  <c r="BJ53" i="17"/>
  <c r="AD53" i="17"/>
  <c r="AR53" i="17"/>
  <c r="L53" i="17"/>
  <c r="BF53" i="17"/>
  <c r="Z53" i="17"/>
  <c r="AN53" i="17"/>
  <c r="H53" i="17"/>
  <c r="BB53" i="17"/>
  <c r="V53" i="17"/>
  <c r="AJ53" i="17"/>
  <c r="AX53" i="17"/>
  <c r="R53" i="17"/>
  <c r="AF53" i="17"/>
  <c r="AT53" i="17"/>
  <c r="N53" i="17"/>
  <c r="BH53" i="17"/>
  <c r="AB53" i="17"/>
  <c r="AP53" i="17"/>
  <c r="BD53" i="17"/>
  <c r="J53" i="17"/>
  <c r="D53" i="17"/>
  <c r="X53" i="17"/>
  <c r="B53" i="19"/>
  <c r="F53" i="12"/>
  <c r="J44" i="12"/>
  <c r="J52" i="12"/>
  <c r="N43" i="12"/>
  <c r="N51" i="12"/>
  <c r="R42" i="12"/>
  <c r="R50" i="12"/>
  <c r="R58" i="12"/>
  <c r="V41" i="12"/>
  <c r="V49" i="12"/>
  <c r="V57" i="12"/>
  <c r="Z40" i="12"/>
  <c r="Z48" i="12"/>
  <c r="Z56" i="12"/>
  <c r="AD39" i="12"/>
  <c r="AD47" i="12"/>
  <c r="AD55" i="12"/>
  <c r="AH46" i="12"/>
  <c r="AH54" i="12"/>
  <c r="AL45" i="12"/>
  <c r="AL53" i="12"/>
  <c r="AP44" i="12"/>
  <c r="AP52" i="12"/>
  <c r="AT43" i="12"/>
  <c r="AT51" i="12"/>
  <c r="AX42" i="12"/>
  <c r="AX50" i="12"/>
  <c r="AX58" i="12"/>
  <c r="BB41" i="12"/>
  <c r="BB49" i="12"/>
  <c r="BB57" i="12"/>
  <c r="BF40" i="12"/>
  <c r="BF48" i="12"/>
  <c r="BF56" i="12"/>
  <c r="BJ39" i="12"/>
  <c r="BJ47" i="12"/>
  <c r="BJ55" i="12"/>
  <c r="BJ31" i="17"/>
  <c r="AF31" i="17"/>
  <c r="D31" i="17"/>
  <c r="BF31" i="17"/>
  <c r="Z31" i="17"/>
  <c r="AZ31" i="17"/>
  <c r="T31" i="17"/>
  <c r="AT31" i="17"/>
  <c r="N31" i="17"/>
  <c r="AN31" i="17"/>
  <c r="H31" i="17"/>
  <c r="AH31" i="17"/>
  <c r="BH31" i="17"/>
  <c r="AB31" i="17"/>
  <c r="BB31" i="17"/>
  <c r="V31" i="17"/>
  <c r="AV31" i="17"/>
  <c r="P31" i="17"/>
  <c r="AP31" i="17"/>
  <c r="J31" i="17"/>
  <c r="AJ31" i="17"/>
  <c r="AD31" i="17"/>
  <c r="BD31" i="17"/>
  <c r="X31" i="17"/>
  <c r="AX31" i="17"/>
  <c r="R31" i="17"/>
  <c r="AR31" i="17"/>
  <c r="AL31" i="17"/>
  <c r="L31" i="17"/>
  <c r="F31" i="17"/>
  <c r="T31" i="12"/>
  <c r="AZ31" i="12"/>
  <c r="D42" i="12"/>
  <c r="BF48" i="17"/>
  <c r="Z48" i="17"/>
  <c r="AN48" i="17"/>
  <c r="H48" i="17"/>
  <c r="BB48" i="17"/>
  <c r="V48" i="17"/>
  <c r="AJ48" i="17"/>
  <c r="AX48" i="17"/>
  <c r="R48" i="17"/>
  <c r="AF48" i="17"/>
  <c r="AT48" i="17"/>
  <c r="N48" i="17"/>
  <c r="BH48" i="17"/>
  <c r="AB48" i="17"/>
  <c r="AP48" i="17"/>
  <c r="J48" i="17"/>
  <c r="BD48" i="17"/>
  <c r="X48" i="17"/>
  <c r="AL48" i="17"/>
  <c r="F48" i="17"/>
  <c r="AZ48" i="17"/>
  <c r="T48" i="17"/>
  <c r="AH48" i="17"/>
  <c r="AV48" i="17"/>
  <c r="P48" i="17"/>
  <c r="BJ48" i="17"/>
  <c r="AD48" i="17"/>
  <c r="AR48" i="17"/>
  <c r="D48" i="17"/>
  <c r="L48" i="17"/>
  <c r="D58" i="12"/>
  <c r="H41" i="12"/>
  <c r="H49" i="12"/>
  <c r="H57" i="12"/>
  <c r="L40" i="12"/>
  <c r="L48" i="12"/>
  <c r="L56" i="12"/>
  <c r="P39" i="12"/>
  <c r="P47" i="12"/>
  <c r="P55" i="12"/>
  <c r="T46" i="12"/>
  <c r="T54" i="12"/>
  <c r="X45" i="12"/>
  <c r="X53" i="12"/>
  <c r="AB44" i="12"/>
  <c r="AB52" i="12"/>
  <c r="AF43" i="12"/>
  <c r="AF51" i="12"/>
  <c r="AJ42" i="12"/>
  <c r="AJ50" i="12"/>
  <c r="AJ58" i="12"/>
  <c r="AN41" i="12"/>
  <c r="AN49" i="12"/>
  <c r="AN57" i="12"/>
  <c r="AR40" i="12"/>
  <c r="AR48" i="12"/>
  <c r="AR56" i="12"/>
  <c r="AV39" i="12"/>
  <c r="AV47" i="12"/>
  <c r="AV55" i="12"/>
  <c r="AZ46" i="12"/>
  <c r="AZ54" i="12"/>
  <c r="BD45" i="12"/>
  <c r="BD53" i="12"/>
  <c r="BH44" i="12"/>
  <c r="BH52" i="12"/>
  <c r="B63" i="18"/>
  <c r="AA59" i="18" s="1"/>
  <c r="AH63" i="19"/>
  <c r="AV63" i="19"/>
  <c r="P63" i="19"/>
  <c r="BJ63" i="19"/>
  <c r="AD63" i="19"/>
  <c r="AR63" i="19"/>
  <c r="L63" i="19"/>
  <c r="BF63" i="19"/>
  <c r="Z63" i="19"/>
  <c r="AN63" i="19"/>
  <c r="H63" i="19"/>
  <c r="BB63" i="19"/>
  <c r="V63" i="19"/>
  <c r="AJ63" i="19"/>
  <c r="D63" i="19"/>
  <c r="AX63" i="19"/>
  <c r="R63" i="19"/>
  <c r="AT63" i="19"/>
  <c r="N63" i="19"/>
  <c r="BH63" i="19"/>
  <c r="AB63" i="19"/>
  <c r="AP63" i="19"/>
  <c r="J63" i="19"/>
  <c r="BD63" i="19"/>
  <c r="AM59" i="19"/>
  <c r="X63" i="19"/>
  <c r="G59" i="19"/>
  <c r="AL63" i="19"/>
  <c r="U59" i="19"/>
  <c r="F63" i="19"/>
  <c r="AZ63" i="19"/>
  <c r="T63" i="19"/>
  <c r="BF31" i="12"/>
  <c r="AT43" i="17"/>
  <c r="N43" i="17"/>
  <c r="BH43" i="17"/>
  <c r="AB43" i="17"/>
  <c r="AP43" i="17"/>
  <c r="J43" i="17"/>
  <c r="BD43" i="17"/>
  <c r="X43" i="17"/>
  <c r="AL43" i="17"/>
  <c r="F43" i="17"/>
  <c r="AZ43" i="17"/>
  <c r="T43" i="17"/>
  <c r="AH43" i="17"/>
  <c r="AV43" i="17"/>
  <c r="P43" i="17"/>
  <c r="BJ43" i="17"/>
  <c r="AD43" i="17"/>
  <c r="AR43" i="17"/>
  <c r="L43" i="17"/>
  <c r="BF43" i="17"/>
  <c r="Z43" i="17"/>
  <c r="AN43" i="17"/>
  <c r="H43" i="17"/>
  <c r="BB43" i="17"/>
  <c r="V43" i="17"/>
  <c r="AJ43" i="17"/>
  <c r="AX43" i="17"/>
  <c r="AF43" i="17"/>
  <c r="D43" i="17"/>
  <c r="R43" i="17"/>
  <c r="B43" i="19"/>
  <c r="D53" i="12"/>
  <c r="F46" i="12"/>
  <c r="F54" i="12"/>
  <c r="J45" i="12"/>
  <c r="J53" i="12"/>
  <c r="N44" i="12"/>
  <c r="N52" i="12"/>
  <c r="R43" i="12"/>
  <c r="R51" i="12"/>
  <c r="V42" i="12"/>
  <c r="V50" i="12"/>
  <c r="V58" i="12"/>
  <c r="Z41" i="12"/>
  <c r="Z49" i="12"/>
  <c r="Z57" i="12"/>
  <c r="AD40" i="12"/>
  <c r="AD48" i="12"/>
  <c r="AD56" i="12"/>
  <c r="AH39" i="12"/>
  <c r="AH47" i="12"/>
  <c r="AH55" i="12"/>
  <c r="AL46" i="12"/>
  <c r="AL54" i="12"/>
  <c r="AP45" i="12"/>
  <c r="AP53" i="12"/>
  <c r="AT44" i="12"/>
  <c r="AT52" i="12"/>
  <c r="AX43" i="12"/>
  <c r="AX51" i="12"/>
  <c r="BB42" i="12"/>
  <c r="BB50" i="12"/>
  <c r="BB58" i="12"/>
  <c r="BF41" i="12"/>
  <c r="BF49" i="12"/>
  <c r="BF57" i="12"/>
  <c r="BJ40" i="12"/>
  <c r="BJ48" i="12"/>
  <c r="BJ56" i="12"/>
  <c r="B31" i="19"/>
  <c r="AF31" i="12"/>
  <c r="AH54" i="17"/>
  <c r="AV54" i="17"/>
  <c r="P54" i="17"/>
  <c r="BJ54" i="17"/>
  <c r="AD54" i="17"/>
  <c r="AR54" i="17"/>
  <c r="L54" i="17"/>
  <c r="BF54" i="17"/>
  <c r="Z54" i="17"/>
  <c r="AN54" i="17"/>
  <c r="H54" i="17"/>
  <c r="BB54" i="17"/>
  <c r="V54" i="17"/>
  <c r="AJ54" i="17"/>
  <c r="AX54" i="17"/>
  <c r="R54" i="17"/>
  <c r="AF54" i="17"/>
  <c r="AT54" i="17"/>
  <c r="N54" i="17"/>
  <c r="BH54" i="17"/>
  <c r="AB54" i="17"/>
  <c r="D54" i="17"/>
  <c r="AP54" i="17"/>
  <c r="J54" i="17"/>
  <c r="BD54" i="17"/>
  <c r="X54" i="17"/>
  <c r="AL54" i="17"/>
  <c r="AZ54" i="17"/>
  <c r="T54" i="17"/>
  <c r="F54" i="17"/>
  <c r="B54" i="19"/>
  <c r="H42" i="12"/>
  <c r="H50" i="12"/>
  <c r="H58" i="12"/>
  <c r="L41" i="12"/>
  <c r="L49" i="12"/>
  <c r="L57" i="12"/>
  <c r="P40" i="12"/>
  <c r="P56" i="12"/>
  <c r="T39" i="12"/>
  <c r="T47" i="12"/>
  <c r="T55" i="12"/>
  <c r="X46" i="12"/>
  <c r="X54" i="12"/>
  <c r="AB45" i="12"/>
  <c r="AB53" i="12"/>
  <c r="AF44" i="12"/>
  <c r="AF52" i="12"/>
  <c r="AJ43" i="12"/>
  <c r="AJ51" i="12"/>
  <c r="AN42" i="12"/>
  <c r="AN50" i="12"/>
  <c r="AN58" i="12"/>
  <c r="AR41" i="12"/>
  <c r="AR49" i="12"/>
  <c r="AR57" i="12"/>
  <c r="AV40" i="12"/>
  <c r="AV48" i="12"/>
  <c r="AV56" i="12"/>
  <c r="AZ39" i="12"/>
  <c r="AZ47" i="12"/>
  <c r="AZ55" i="12"/>
  <c r="BD46" i="12"/>
  <c r="BD54" i="12"/>
  <c r="BH45" i="12"/>
  <c r="BH53" i="12"/>
  <c r="AL31" i="12"/>
  <c r="BB49" i="17"/>
  <c r="V49" i="17"/>
  <c r="AJ49" i="17"/>
  <c r="AX49" i="17"/>
  <c r="R49" i="17"/>
  <c r="AF49" i="17"/>
  <c r="AT49" i="17"/>
  <c r="N49" i="17"/>
  <c r="BH49" i="17"/>
  <c r="AB49" i="17"/>
  <c r="AP49" i="17"/>
  <c r="J49" i="17"/>
  <c r="BD49" i="17"/>
  <c r="X49" i="17"/>
  <c r="AL49" i="17"/>
  <c r="F49" i="17"/>
  <c r="AZ49" i="17"/>
  <c r="T49" i="17"/>
  <c r="AH49" i="17"/>
  <c r="D49" i="17"/>
  <c r="AV49" i="17"/>
  <c r="P49" i="17"/>
  <c r="BJ49" i="17"/>
  <c r="AD49" i="17"/>
  <c r="AR49" i="17"/>
  <c r="L49" i="17"/>
  <c r="BF49" i="17"/>
  <c r="AN49" i="17"/>
  <c r="H49" i="17"/>
  <c r="Z49" i="17"/>
  <c r="B49" i="19"/>
  <c r="F39" i="12"/>
  <c r="F55" i="12"/>
  <c r="J46" i="12"/>
  <c r="J54" i="12"/>
  <c r="N45" i="12"/>
  <c r="N53" i="12"/>
  <c r="R44" i="12"/>
  <c r="R52" i="12"/>
  <c r="V43" i="12"/>
  <c r="V51" i="12"/>
  <c r="Z42" i="12"/>
  <c r="Z50" i="12"/>
  <c r="Z58" i="12"/>
  <c r="AD41" i="12"/>
  <c r="AD49" i="12"/>
  <c r="AD57" i="12"/>
  <c r="AH40" i="12"/>
  <c r="AH48" i="12"/>
  <c r="AH56" i="12"/>
  <c r="AL39" i="12"/>
  <c r="AL47" i="12"/>
  <c r="AL55" i="12"/>
  <c r="AP46" i="12"/>
  <c r="AP54" i="12"/>
  <c r="AT45" i="12"/>
  <c r="AT53" i="12"/>
  <c r="AX44" i="12"/>
  <c r="AX52" i="12"/>
  <c r="BB43" i="12"/>
  <c r="BB51" i="12"/>
  <c r="BF42" i="12"/>
  <c r="BF50" i="12"/>
  <c r="BF58" i="12"/>
  <c r="BJ41" i="12"/>
  <c r="BJ49" i="12"/>
  <c r="BJ57" i="12"/>
  <c r="AU59" i="19"/>
  <c r="AR31" i="12"/>
  <c r="AP44" i="17"/>
  <c r="J44" i="17"/>
  <c r="BD44" i="17"/>
  <c r="X44" i="17"/>
  <c r="AL44" i="17"/>
  <c r="F44" i="17"/>
  <c r="AZ44" i="17"/>
  <c r="T44" i="17"/>
  <c r="AH44" i="17"/>
  <c r="AV44" i="17"/>
  <c r="P44" i="17"/>
  <c r="BJ44" i="17"/>
  <c r="AD44" i="17"/>
  <c r="AR44" i="17"/>
  <c r="L44" i="17"/>
  <c r="BF44" i="17"/>
  <c r="Z44" i="17"/>
  <c r="AN44" i="17"/>
  <c r="H44" i="17"/>
  <c r="D44" i="17"/>
  <c r="BB44" i="17"/>
  <c r="V44" i="17"/>
  <c r="AJ44" i="17"/>
  <c r="AX44" i="17"/>
  <c r="R44" i="17"/>
  <c r="AF44" i="17"/>
  <c r="AT44" i="17"/>
  <c r="BH44" i="17"/>
  <c r="AB44" i="17"/>
  <c r="N44" i="17"/>
  <c r="B44" i="19"/>
  <c r="D54" i="12"/>
  <c r="H43" i="12"/>
  <c r="H51" i="12"/>
  <c r="L42" i="12"/>
  <c r="L50" i="12"/>
  <c r="L58" i="12"/>
  <c r="P41" i="12"/>
  <c r="P49" i="12"/>
  <c r="P57" i="12"/>
  <c r="T40" i="12"/>
  <c r="T48" i="12"/>
  <c r="T56" i="12"/>
  <c r="X39" i="12"/>
  <c r="X47" i="12"/>
  <c r="X55" i="12"/>
  <c r="AB46" i="12"/>
  <c r="AB54" i="12"/>
  <c r="AF45" i="12"/>
  <c r="AF53" i="12"/>
  <c r="AJ44" i="12"/>
  <c r="AJ52" i="12"/>
  <c r="AN43" i="12"/>
  <c r="AN51" i="12"/>
  <c r="AR42" i="12"/>
  <c r="AR50" i="12"/>
  <c r="AR58" i="12"/>
  <c r="AV41" i="12"/>
  <c r="AV49" i="12"/>
  <c r="AV57" i="12"/>
  <c r="AZ40" i="12"/>
  <c r="AZ48" i="12"/>
  <c r="AZ56" i="12"/>
  <c r="BD39" i="12"/>
  <c r="BD47" i="12"/>
  <c r="BD55" i="12"/>
  <c r="BH46" i="12"/>
  <c r="BH54" i="12"/>
  <c r="B78" i="18"/>
  <c r="AP78" i="19"/>
  <c r="AJ78" i="19"/>
  <c r="BJ78" i="19"/>
  <c r="AD78" i="19"/>
  <c r="BD78" i="19"/>
  <c r="X78" i="19"/>
  <c r="AX78" i="19"/>
  <c r="AR78" i="19"/>
  <c r="AL78" i="19"/>
  <c r="AF78" i="19"/>
  <c r="BF78" i="19"/>
  <c r="Z78" i="19"/>
  <c r="AZ78" i="19"/>
  <c r="AT78" i="19"/>
  <c r="AH78" i="19"/>
  <c r="BH78" i="19"/>
  <c r="BB78" i="19"/>
  <c r="AV78" i="19"/>
  <c r="R78" i="19"/>
  <c r="L78" i="19"/>
  <c r="AN78" i="19"/>
  <c r="F78" i="19"/>
  <c r="D78" i="19"/>
  <c r="T78" i="19"/>
  <c r="H78" i="19"/>
  <c r="AB78" i="19"/>
  <c r="V78" i="19"/>
  <c r="P78" i="19"/>
  <c r="J78" i="19"/>
  <c r="U64" i="19"/>
  <c r="AX31" i="12"/>
  <c r="BJ39" i="17"/>
  <c r="AG38" i="17"/>
  <c r="AD39" i="17"/>
  <c r="AU38" i="17"/>
  <c r="AR39" i="17"/>
  <c r="O38" i="17"/>
  <c r="L39" i="17"/>
  <c r="BI38" i="17"/>
  <c r="BF39" i="17"/>
  <c r="AC38" i="17"/>
  <c r="Z39" i="17"/>
  <c r="AQ38" i="17"/>
  <c r="AN39" i="17"/>
  <c r="K38" i="17"/>
  <c r="H39" i="17"/>
  <c r="BE38" i="17"/>
  <c r="BB39" i="17"/>
  <c r="Y38" i="17"/>
  <c r="V39" i="17"/>
  <c r="AM38" i="17"/>
  <c r="AJ39" i="17"/>
  <c r="G38" i="17"/>
  <c r="BA38" i="17"/>
  <c r="AX39" i="17"/>
  <c r="U38" i="17"/>
  <c r="R39" i="17"/>
  <c r="AI38" i="17"/>
  <c r="AF39" i="17"/>
  <c r="AW38" i="17"/>
  <c r="AT39" i="17"/>
  <c r="Q38" i="17"/>
  <c r="N39" i="17"/>
  <c r="D39" i="17"/>
  <c r="BH39" i="17"/>
  <c r="AE38" i="17"/>
  <c r="AB39" i="17"/>
  <c r="AS38" i="17"/>
  <c r="AP39" i="17"/>
  <c r="M38" i="17"/>
  <c r="J39" i="17"/>
  <c r="BG38" i="17"/>
  <c r="BD39" i="17"/>
  <c r="AA38" i="17"/>
  <c r="X39" i="17"/>
  <c r="AO38" i="17"/>
  <c r="AL39" i="17"/>
  <c r="I38" i="17"/>
  <c r="BC38" i="17"/>
  <c r="AZ39" i="17"/>
  <c r="W38" i="17"/>
  <c r="T39" i="17"/>
  <c r="AK38" i="17"/>
  <c r="AH39" i="17"/>
  <c r="AY38" i="17"/>
  <c r="AV39" i="17"/>
  <c r="C38" i="17"/>
  <c r="F39" i="17"/>
  <c r="E38" i="17"/>
  <c r="P39" i="17"/>
  <c r="S38" i="17"/>
  <c r="B39" i="19"/>
  <c r="D49" i="12"/>
  <c r="BJ55" i="17"/>
  <c r="AD55" i="17"/>
  <c r="AR55" i="17"/>
  <c r="L55" i="17"/>
  <c r="BF55" i="17"/>
  <c r="Z55" i="17"/>
  <c r="AN55" i="17"/>
  <c r="H55" i="17"/>
  <c r="BB55" i="17"/>
  <c r="V55" i="17"/>
  <c r="AJ55" i="17"/>
  <c r="AX55" i="17"/>
  <c r="R55" i="17"/>
  <c r="AF55" i="17"/>
  <c r="AT55" i="17"/>
  <c r="N55" i="17"/>
  <c r="D55" i="17"/>
  <c r="BH55" i="17"/>
  <c r="AB55" i="17"/>
  <c r="AP55" i="17"/>
  <c r="J55" i="17"/>
  <c r="BD55" i="17"/>
  <c r="X55" i="17"/>
  <c r="AL55" i="17"/>
  <c r="AZ55" i="17"/>
  <c r="T55" i="17"/>
  <c r="AH55" i="17"/>
  <c r="AV55" i="17"/>
  <c r="P55" i="17"/>
  <c r="F55" i="17"/>
  <c r="B55" i="19"/>
  <c r="F40" i="12"/>
  <c r="F56" i="12"/>
  <c r="J39" i="12"/>
  <c r="J47" i="12"/>
  <c r="J55" i="12"/>
  <c r="N46" i="12"/>
  <c r="N54" i="12"/>
  <c r="R45" i="12"/>
  <c r="R53" i="12"/>
  <c r="V44" i="12"/>
  <c r="V52" i="12"/>
  <c r="Z43" i="12"/>
  <c r="Z51" i="12"/>
  <c r="AD42" i="12"/>
  <c r="AD50" i="12"/>
  <c r="AD58" i="12"/>
  <c r="AH41" i="12"/>
  <c r="AH49" i="12"/>
  <c r="AH57" i="12"/>
  <c r="AL40" i="12"/>
  <c r="AL48" i="12"/>
  <c r="AL56" i="12"/>
  <c r="AP39" i="12"/>
  <c r="AP47" i="12"/>
  <c r="AP55" i="12"/>
  <c r="AT46" i="12"/>
  <c r="AT54" i="12"/>
  <c r="AX45" i="12"/>
  <c r="AX53" i="12"/>
  <c r="BB44" i="12"/>
  <c r="BB52" i="12"/>
  <c r="BF43" i="12"/>
  <c r="BF51" i="12"/>
  <c r="BJ42" i="12"/>
  <c r="BJ50" i="12"/>
  <c r="BJ58" i="12"/>
  <c r="BD31" i="12"/>
  <c r="AX50" i="17"/>
  <c r="R50" i="17"/>
  <c r="AF50" i="17"/>
  <c r="AT50" i="17"/>
  <c r="N50" i="17"/>
  <c r="BH50" i="17"/>
  <c r="AB50" i="17"/>
  <c r="AP50" i="17"/>
  <c r="J50" i="17"/>
  <c r="BD50" i="17"/>
  <c r="X50" i="17"/>
  <c r="AL50" i="17"/>
  <c r="F50" i="17"/>
  <c r="AZ50" i="17"/>
  <c r="T50" i="17"/>
  <c r="D50" i="17"/>
  <c r="AH50" i="17"/>
  <c r="AV50" i="17"/>
  <c r="P50" i="17"/>
  <c r="BJ50" i="17"/>
  <c r="AD50" i="17"/>
  <c r="AR50" i="17"/>
  <c r="L50" i="17"/>
  <c r="BF50" i="17"/>
  <c r="Z50" i="17"/>
  <c r="AN50" i="17"/>
  <c r="H50" i="17"/>
  <c r="BB50" i="17"/>
  <c r="AJ50" i="17"/>
  <c r="V50" i="17"/>
  <c r="B50" i="19"/>
  <c r="H44" i="12"/>
  <c r="H52" i="12"/>
  <c r="L43" i="12"/>
  <c r="L51" i="12"/>
  <c r="P42" i="12"/>
  <c r="P50" i="12"/>
  <c r="P58" i="12"/>
  <c r="T41" i="12"/>
  <c r="T49" i="12"/>
  <c r="T57" i="12"/>
  <c r="X40" i="12"/>
  <c r="X48" i="12"/>
  <c r="X56" i="12"/>
  <c r="AB39" i="12"/>
  <c r="AB47" i="12"/>
  <c r="AB55" i="12"/>
  <c r="AF46" i="12"/>
  <c r="AF54" i="12"/>
  <c r="AJ45" i="12"/>
  <c r="AJ53" i="12"/>
  <c r="AN44" i="12"/>
  <c r="AN52" i="12"/>
  <c r="AR43" i="12"/>
  <c r="AR51" i="12"/>
  <c r="AV42" i="12"/>
  <c r="AV50" i="12"/>
  <c r="AV58" i="12"/>
  <c r="AZ41" i="12"/>
  <c r="AZ49" i="12"/>
  <c r="AZ57" i="12"/>
  <c r="BD40" i="12"/>
  <c r="BD48" i="12"/>
  <c r="BD56" i="12"/>
  <c r="BH39" i="12"/>
  <c r="BH47" i="12"/>
  <c r="BH55" i="12"/>
  <c r="AD31" i="12"/>
  <c r="BJ31" i="12"/>
  <c r="D39" i="12"/>
  <c r="AL45" i="17"/>
  <c r="F45" i="17"/>
  <c r="AZ45" i="17"/>
  <c r="T45" i="17"/>
  <c r="AH45" i="17"/>
  <c r="AV45" i="17"/>
  <c r="P45" i="17"/>
  <c r="BJ45" i="17"/>
  <c r="AD45" i="17"/>
  <c r="AR45" i="17"/>
  <c r="L45" i="17"/>
  <c r="BF45" i="17"/>
  <c r="Z45" i="17"/>
  <c r="D45" i="17"/>
  <c r="AN45" i="17"/>
  <c r="H45" i="17"/>
  <c r="BB45" i="17"/>
  <c r="V45" i="17"/>
  <c r="AJ45" i="17"/>
  <c r="AX45" i="17"/>
  <c r="R45" i="17"/>
  <c r="AF45" i="17"/>
  <c r="AT45" i="17"/>
  <c r="N45" i="17"/>
  <c r="BH45" i="17"/>
  <c r="AB45" i="17"/>
  <c r="AP45" i="17"/>
  <c r="BD45" i="17"/>
  <c r="X45" i="17"/>
  <c r="J45" i="17"/>
  <c r="B45" i="19"/>
  <c r="D55" i="12"/>
  <c r="F41" i="12"/>
  <c r="F49" i="12"/>
  <c r="F57" i="12"/>
  <c r="J40" i="12"/>
  <c r="J56" i="12"/>
  <c r="N39" i="12"/>
  <c r="N47" i="12"/>
  <c r="N55" i="12"/>
  <c r="R46" i="12"/>
  <c r="R54" i="12"/>
  <c r="V45" i="12"/>
  <c r="V53" i="12"/>
  <c r="Z44" i="12"/>
  <c r="Z52" i="12"/>
  <c r="AD43" i="12"/>
  <c r="AD51" i="12"/>
  <c r="AH42" i="12"/>
  <c r="AH50" i="12"/>
  <c r="AH58" i="12"/>
  <c r="AL41" i="12"/>
  <c r="AL49" i="12"/>
  <c r="AL57" i="12"/>
  <c r="AP40" i="12"/>
  <c r="AP48" i="12"/>
  <c r="AP56" i="12"/>
  <c r="AT39" i="12"/>
  <c r="AT47" i="12"/>
  <c r="AT55" i="12"/>
  <c r="AX46" i="12"/>
  <c r="AX54" i="12"/>
  <c r="BB45" i="12"/>
  <c r="BB53" i="12"/>
  <c r="BF44" i="12"/>
  <c r="BF52" i="12"/>
  <c r="BJ43" i="12"/>
  <c r="BJ51" i="12"/>
  <c r="AJ31" i="12"/>
  <c r="BF40" i="17"/>
  <c r="Z40" i="17"/>
  <c r="AN40" i="17"/>
  <c r="H40" i="17"/>
  <c r="BB40" i="17"/>
  <c r="V40" i="17"/>
  <c r="AJ40" i="17"/>
  <c r="AX40" i="17"/>
  <c r="R40" i="17"/>
  <c r="AF40" i="17"/>
  <c r="D40" i="17"/>
  <c r="AT40" i="17"/>
  <c r="N40" i="17"/>
  <c r="BH40" i="17"/>
  <c r="AB40" i="17"/>
  <c r="AP40" i="17"/>
  <c r="J40" i="17"/>
  <c r="BD40" i="17"/>
  <c r="X40" i="17"/>
  <c r="AL40" i="17"/>
  <c r="F40" i="17"/>
  <c r="AZ40" i="17"/>
  <c r="T40" i="17"/>
  <c r="AH40" i="17"/>
  <c r="AV40" i="17"/>
  <c r="P40" i="17"/>
  <c r="BJ40" i="17"/>
  <c r="AD40" i="17"/>
  <c r="AR40" i="17"/>
  <c r="L40" i="17"/>
  <c r="B40" i="19"/>
  <c r="D50" i="12"/>
  <c r="BF56" i="17"/>
  <c r="Z56" i="17"/>
  <c r="AN56" i="17"/>
  <c r="H56" i="17"/>
  <c r="BB56" i="17"/>
  <c r="V56" i="17"/>
  <c r="AJ56" i="17"/>
  <c r="AX56" i="17"/>
  <c r="R56" i="17"/>
  <c r="AF56" i="17"/>
  <c r="D56" i="17"/>
  <c r="AT56" i="17"/>
  <c r="N56" i="17"/>
  <c r="BH56" i="17"/>
  <c r="AB56" i="17"/>
  <c r="AP56" i="17"/>
  <c r="J56" i="17"/>
  <c r="BD56" i="17"/>
  <c r="X56" i="17"/>
  <c r="AL56" i="17"/>
  <c r="F56" i="17"/>
  <c r="AZ56" i="17"/>
  <c r="T56" i="17"/>
  <c r="AH56" i="17"/>
  <c r="AV56" i="17"/>
  <c r="P56" i="17"/>
  <c r="BJ56" i="17"/>
  <c r="AD56" i="17"/>
  <c r="AR56" i="17"/>
  <c r="L56" i="17"/>
  <c r="B56" i="19"/>
  <c r="H45" i="12"/>
  <c r="H53" i="12"/>
  <c r="L44" i="12"/>
  <c r="L52" i="12"/>
  <c r="P43" i="12"/>
  <c r="P51" i="12"/>
  <c r="T42" i="12"/>
  <c r="T50" i="12"/>
  <c r="T58" i="12"/>
  <c r="X41" i="12"/>
  <c r="X49" i="12"/>
  <c r="X57" i="12"/>
  <c r="AB40" i="12"/>
  <c r="AB48" i="12"/>
  <c r="AB56" i="12"/>
  <c r="AF39" i="12"/>
  <c r="AF47" i="12"/>
  <c r="AF55" i="12"/>
  <c r="AJ46" i="12"/>
  <c r="AJ54" i="12"/>
  <c r="AN45" i="12"/>
  <c r="AN53" i="12"/>
  <c r="AR44" i="12"/>
  <c r="AR52" i="12"/>
  <c r="AV43" i="12"/>
  <c r="AV51" i="12"/>
  <c r="AZ42" i="12"/>
  <c r="AZ50" i="12"/>
  <c r="AZ58" i="12"/>
  <c r="BD41" i="12"/>
  <c r="BD49" i="12"/>
  <c r="BD57" i="12"/>
  <c r="BH40" i="12"/>
  <c r="BH48" i="12"/>
  <c r="BH56" i="12"/>
  <c r="B61" i="11"/>
  <c r="BD61" i="18"/>
  <c r="X61" i="18"/>
  <c r="AL61" i="18"/>
  <c r="F61" i="18"/>
  <c r="AZ61" i="18"/>
  <c r="T61" i="18"/>
  <c r="AH61" i="18"/>
  <c r="AV61" i="18"/>
  <c r="P61" i="18"/>
  <c r="BJ61" i="18"/>
  <c r="AD61" i="18"/>
  <c r="AR61" i="18"/>
  <c r="L61" i="18"/>
  <c r="BF61" i="18"/>
  <c r="Z61" i="18"/>
  <c r="AN61" i="18"/>
  <c r="H61" i="18"/>
  <c r="BB61" i="18"/>
  <c r="V61" i="18"/>
  <c r="AJ61" i="18"/>
  <c r="AX61" i="18"/>
  <c r="R61" i="18"/>
  <c r="AT61" i="18"/>
  <c r="BH61" i="18"/>
  <c r="AB61" i="18"/>
  <c r="AP61" i="18"/>
  <c r="AF61" i="18"/>
  <c r="J61" i="18"/>
  <c r="D61" i="18"/>
  <c r="N61" i="18"/>
  <c r="X62" i="19"/>
  <c r="AB61" i="19"/>
  <c r="AF60" i="19"/>
  <c r="AI59" i="19"/>
  <c r="BD62" i="19"/>
  <c r="BH61" i="19"/>
  <c r="B76" i="18"/>
  <c r="AH76" i="19"/>
  <c r="BH76" i="19"/>
  <c r="AB76" i="19"/>
  <c r="BB76" i="19"/>
  <c r="AV76" i="19"/>
  <c r="AP76" i="19"/>
  <c r="AJ76" i="19"/>
  <c r="BJ76" i="19"/>
  <c r="AD76" i="19"/>
  <c r="BD76" i="19"/>
  <c r="X76" i="19"/>
  <c r="AX76" i="19"/>
  <c r="AR76" i="19"/>
  <c r="AL76" i="19"/>
  <c r="BF76" i="19"/>
  <c r="Z76" i="19"/>
  <c r="AZ76" i="19"/>
  <c r="AT76" i="19"/>
  <c r="AN76" i="19"/>
  <c r="F73" i="19"/>
  <c r="J70" i="19"/>
  <c r="N67" i="19"/>
  <c r="N75" i="19"/>
  <c r="N83" i="19"/>
  <c r="Q64" i="19"/>
  <c r="R80" i="19"/>
  <c r="V69" i="19"/>
  <c r="V85" i="19"/>
  <c r="X74" i="19"/>
  <c r="AP62" i="19"/>
  <c r="AT61" i="19"/>
  <c r="AX60" i="19"/>
  <c r="BA59" i="19"/>
  <c r="B71" i="18"/>
  <c r="BJ71" i="19"/>
  <c r="AD71" i="19"/>
  <c r="BD71" i="19"/>
  <c r="X71" i="19"/>
  <c r="AX71" i="19"/>
  <c r="AR71" i="19"/>
  <c r="AL71" i="19"/>
  <c r="AF71" i="19"/>
  <c r="BF71" i="19"/>
  <c r="Z71" i="19"/>
  <c r="AZ71" i="19"/>
  <c r="AT71" i="19"/>
  <c r="AN71" i="19"/>
  <c r="AH71" i="19"/>
  <c r="BB71" i="19"/>
  <c r="AV71" i="19"/>
  <c r="AP71" i="19"/>
  <c r="AJ71" i="19"/>
  <c r="H76" i="19"/>
  <c r="L73" i="19"/>
  <c r="P70" i="19"/>
  <c r="T67" i="19"/>
  <c r="T75" i="19"/>
  <c r="T83" i="19"/>
  <c r="W64" i="19"/>
  <c r="AJ81" i="19"/>
  <c r="AN70" i="19"/>
  <c r="BH62" i="19"/>
  <c r="B66" i="18"/>
  <c r="BF66" i="19"/>
  <c r="Z66" i="19"/>
  <c r="AZ66" i="19"/>
  <c r="AT66" i="19"/>
  <c r="AN66" i="19"/>
  <c r="AH66" i="19"/>
  <c r="BH66" i="19"/>
  <c r="AB66" i="19"/>
  <c r="BB66" i="19"/>
  <c r="AV66" i="19"/>
  <c r="AP66" i="19"/>
  <c r="AJ66" i="19"/>
  <c r="BJ66" i="19"/>
  <c r="AD66" i="19"/>
  <c r="AX66" i="19"/>
  <c r="AR66" i="19"/>
  <c r="AL66" i="19"/>
  <c r="AF66" i="19"/>
  <c r="B82" i="18"/>
  <c r="BF82" i="19"/>
  <c r="Z82" i="19"/>
  <c r="AZ82" i="19"/>
  <c r="AT82" i="19"/>
  <c r="AN82" i="19"/>
  <c r="AH82" i="19"/>
  <c r="BH82" i="19"/>
  <c r="AB82" i="19"/>
  <c r="BB82" i="19"/>
  <c r="AV82" i="19"/>
  <c r="AP82" i="19"/>
  <c r="AJ82" i="19"/>
  <c r="BJ82" i="19"/>
  <c r="AD82" i="19"/>
  <c r="AX82" i="19"/>
  <c r="AR82" i="19"/>
  <c r="AL82" i="19"/>
  <c r="AF82" i="19"/>
  <c r="F66" i="19"/>
  <c r="F82" i="19"/>
  <c r="J71" i="19"/>
  <c r="N68" i="19"/>
  <c r="N76" i="19"/>
  <c r="R65" i="19"/>
  <c r="R81" i="19"/>
  <c r="V70" i="19"/>
  <c r="BD82" i="19"/>
  <c r="BH71" i="19"/>
  <c r="B62" i="11"/>
  <c r="AZ62" i="18"/>
  <c r="T62" i="18"/>
  <c r="AH62" i="18"/>
  <c r="AV62" i="18"/>
  <c r="P62" i="18"/>
  <c r="BJ62" i="18"/>
  <c r="AD62" i="18"/>
  <c r="AR62" i="18"/>
  <c r="L62" i="18"/>
  <c r="BF62" i="18"/>
  <c r="Z62" i="18"/>
  <c r="AN62" i="18"/>
  <c r="H62" i="18"/>
  <c r="BB62" i="18"/>
  <c r="V62" i="18"/>
  <c r="AJ62" i="18"/>
  <c r="AX62" i="18"/>
  <c r="R62" i="18"/>
  <c r="D62" i="18"/>
  <c r="AF62" i="18"/>
  <c r="AT62" i="18"/>
  <c r="N62" i="18"/>
  <c r="AP62" i="18"/>
  <c r="BD62" i="18"/>
  <c r="X62" i="18"/>
  <c r="AL62" i="18"/>
  <c r="J62" i="18"/>
  <c r="AB62" i="18"/>
  <c r="F62" i="18"/>
  <c r="BH62" i="18"/>
  <c r="N62" i="19"/>
  <c r="R61" i="19"/>
  <c r="V60" i="19"/>
  <c r="Y59" i="19"/>
  <c r="AT62" i="19"/>
  <c r="AX61" i="19"/>
  <c r="BB60" i="19"/>
  <c r="BE59" i="19"/>
  <c r="D71" i="19"/>
  <c r="B77" i="18"/>
  <c r="BB77" i="19"/>
  <c r="AV77" i="19"/>
  <c r="AP77" i="19"/>
  <c r="AJ77" i="19"/>
  <c r="BJ77" i="19"/>
  <c r="AD77" i="19"/>
  <c r="BD77" i="19"/>
  <c r="X77" i="19"/>
  <c r="AX77" i="19"/>
  <c r="AR77" i="19"/>
  <c r="AL77" i="19"/>
  <c r="AF77" i="19"/>
  <c r="BF77" i="19"/>
  <c r="Z77" i="19"/>
  <c r="AT77" i="19"/>
  <c r="AN77" i="19"/>
  <c r="AH77" i="19"/>
  <c r="BH77" i="19"/>
  <c r="AB77" i="19"/>
  <c r="H69" i="19"/>
  <c r="H77" i="19"/>
  <c r="H85" i="19"/>
  <c r="L66" i="19"/>
  <c r="L74" i="19"/>
  <c r="L82" i="19"/>
  <c r="P71" i="19"/>
  <c r="P79" i="19"/>
  <c r="T68" i="19"/>
  <c r="T76" i="19"/>
  <c r="T84" i="19"/>
  <c r="X65" i="19"/>
  <c r="AR75" i="19"/>
  <c r="H60" i="19"/>
  <c r="K59" i="19"/>
  <c r="AF62" i="19"/>
  <c r="AJ61" i="19"/>
  <c r="AN60" i="19"/>
  <c r="AQ59" i="19"/>
  <c r="D66" i="19"/>
  <c r="B72" i="18"/>
  <c r="AX72" i="19"/>
  <c r="AR72" i="19"/>
  <c r="AL72" i="19"/>
  <c r="AF72" i="19"/>
  <c r="BF72" i="19"/>
  <c r="Z72" i="19"/>
  <c r="AZ72" i="19"/>
  <c r="AT72" i="19"/>
  <c r="AN72" i="19"/>
  <c r="AH72" i="19"/>
  <c r="BH72" i="19"/>
  <c r="AB72" i="19"/>
  <c r="BB72" i="19"/>
  <c r="AP72" i="19"/>
  <c r="AJ72" i="19"/>
  <c r="BJ72" i="19"/>
  <c r="AD72" i="19"/>
  <c r="BD72" i="19"/>
  <c r="X72" i="19"/>
  <c r="D82" i="19"/>
  <c r="F75" i="19"/>
  <c r="I64" i="19"/>
  <c r="J72" i="19"/>
  <c r="J80" i="19"/>
  <c r="N69" i="19"/>
  <c r="N77" i="19"/>
  <c r="N85" i="19"/>
  <c r="R66" i="19"/>
  <c r="R74" i="19"/>
  <c r="R82" i="19"/>
  <c r="V71" i="19"/>
  <c r="V79" i="19"/>
  <c r="AU64" i="19"/>
  <c r="D62" i="19"/>
  <c r="R62" i="19"/>
  <c r="V61" i="19"/>
  <c r="Z60" i="19"/>
  <c r="AC59" i="19"/>
  <c r="AX62" i="19"/>
  <c r="BB61" i="19"/>
  <c r="BF60" i="19"/>
  <c r="BI59" i="19"/>
  <c r="B67" i="18"/>
  <c r="AT67" i="19"/>
  <c r="AN67" i="19"/>
  <c r="AH67" i="19"/>
  <c r="BH67" i="19"/>
  <c r="AB67" i="19"/>
  <c r="BB67" i="19"/>
  <c r="AV67" i="19"/>
  <c r="AP67" i="19"/>
  <c r="AJ67" i="19"/>
  <c r="BJ67" i="19"/>
  <c r="AD67" i="19"/>
  <c r="BD67" i="19"/>
  <c r="X67" i="19"/>
  <c r="AX67" i="19"/>
  <c r="AL67" i="19"/>
  <c r="AF67" i="19"/>
  <c r="BF67" i="19"/>
  <c r="Z67" i="19"/>
  <c r="AZ67" i="19"/>
  <c r="D77" i="19"/>
  <c r="B83" i="18"/>
  <c r="AT83" i="19"/>
  <c r="AN83" i="19"/>
  <c r="AH83" i="19"/>
  <c r="BH83" i="19"/>
  <c r="AB83" i="19"/>
  <c r="BB83" i="19"/>
  <c r="AV83" i="19"/>
  <c r="AP83" i="19"/>
  <c r="AJ83" i="19"/>
  <c r="BJ83" i="19"/>
  <c r="AD83" i="19"/>
  <c r="BD83" i="19"/>
  <c r="X83" i="19"/>
  <c r="AX83" i="19"/>
  <c r="AL83" i="19"/>
  <c r="AF83" i="19"/>
  <c r="BF83" i="19"/>
  <c r="Z83" i="19"/>
  <c r="AZ83" i="19"/>
  <c r="H70" i="19"/>
  <c r="L67" i="19"/>
  <c r="L75" i="19"/>
  <c r="L83" i="19"/>
  <c r="O64" i="19"/>
  <c r="P72" i="19"/>
  <c r="P80" i="19"/>
  <c r="T69" i="19"/>
  <c r="T77" i="19"/>
  <c r="T85" i="19"/>
  <c r="X66" i="19"/>
  <c r="AB79" i="19"/>
  <c r="AF68" i="19"/>
  <c r="V62" i="19"/>
  <c r="Z61" i="19"/>
  <c r="AD60" i="19"/>
  <c r="AG59" i="19"/>
  <c r="BB62" i="19"/>
  <c r="BF61" i="19"/>
  <c r="BJ60" i="19"/>
  <c r="B73" i="18"/>
  <c r="AL73" i="19"/>
  <c r="AF73" i="19"/>
  <c r="BF73" i="19"/>
  <c r="Z73" i="19"/>
  <c r="AZ73" i="19"/>
  <c r="AT73" i="19"/>
  <c r="AN73" i="19"/>
  <c r="AH73" i="19"/>
  <c r="BH73" i="19"/>
  <c r="AB73" i="19"/>
  <c r="BB73" i="19"/>
  <c r="AV73" i="19"/>
  <c r="AP73" i="19"/>
  <c r="BJ73" i="19"/>
  <c r="AD73" i="19"/>
  <c r="BD73" i="19"/>
  <c r="AX73" i="19"/>
  <c r="AR73" i="19"/>
  <c r="H71" i="19"/>
  <c r="H79" i="19"/>
  <c r="L76" i="19"/>
  <c r="L84" i="19"/>
  <c r="P65" i="19"/>
  <c r="P73" i="19"/>
  <c r="P81" i="19"/>
  <c r="T70" i="19"/>
  <c r="H62" i="19"/>
  <c r="L61" i="19"/>
  <c r="P60" i="19"/>
  <c r="S59" i="19"/>
  <c r="AN62" i="19"/>
  <c r="AR61" i="19"/>
  <c r="AV60" i="19"/>
  <c r="AY59" i="19"/>
  <c r="B68" i="18"/>
  <c r="AH68" i="19"/>
  <c r="BH68" i="19"/>
  <c r="AB68" i="19"/>
  <c r="BB68" i="19"/>
  <c r="AV68" i="19"/>
  <c r="AP68" i="19"/>
  <c r="AJ68" i="19"/>
  <c r="BJ68" i="19"/>
  <c r="AD68" i="19"/>
  <c r="BD68" i="19"/>
  <c r="X68" i="19"/>
  <c r="AX68" i="19"/>
  <c r="AR68" i="19"/>
  <c r="AL68" i="19"/>
  <c r="BF68" i="19"/>
  <c r="Z68" i="19"/>
  <c r="AZ68" i="19"/>
  <c r="AT68" i="19"/>
  <c r="AN68" i="19"/>
  <c r="B84" i="18"/>
  <c r="AH84" i="19"/>
  <c r="BH84" i="19"/>
  <c r="AB84" i="19"/>
  <c r="BB84" i="19"/>
  <c r="AV84" i="19"/>
  <c r="AP84" i="19"/>
  <c r="AJ84" i="19"/>
  <c r="BJ84" i="19"/>
  <c r="AD84" i="19"/>
  <c r="BD84" i="19"/>
  <c r="X84" i="19"/>
  <c r="AX84" i="19"/>
  <c r="AR84" i="19"/>
  <c r="AL84" i="19"/>
  <c r="BF84" i="19"/>
  <c r="Z84" i="19"/>
  <c r="AZ84" i="19"/>
  <c r="AT84" i="19"/>
  <c r="AN84" i="19"/>
  <c r="F69" i="19"/>
  <c r="F77" i="19"/>
  <c r="F85" i="19"/>
  <c r="J66" i="19"/>
  <c r="J74" i="19"/>
  <c r="J82" i="19"/>
  <c r="N71" i="19"/>
  <c r="R68" i="19"/>
  <c r="R76" i="19"/>
  <c r="R84" i="19"/>
  <c r="V65" i="19"/>
  <c r="V73" i="19"/>
  <c r="V81" i="19"/>
  <c r="X81" i="19"/>
  <c r="AJ73" i="19"/>
  <c r="AZ85" i="19"/>
  <c r="E59" i="19"/>
  <c r="Z62" i="19"/>
  <c r="AD61" i="19"/>
  <c r="AH60" i="19"/>
  <c r="AK59" i="19"/>
  <c r="BF62" i="19"/>
  <c r="BJ61" i="19"/>
  <c r="D73" i="19"/>
  <c r="B79" i="18"/>
  <c r="BJ79" i="19"/>
  <c r="AD79" i="19"/>
  <c r="BD79" i="19"/>
  <c r="X79" i="19"/>
  <c r="AX79" i="19"/>
  <c r="AR79" i="19"/>
  <c r="AL79" i="19"/>
  <c r="AF79" i="19"/>
  <c r="BF79" i="19"/>
  <c r="Z79" i="19"/>
  <c r="AZ79" i="19"/>
  <c r="AT79" i="19"/>
  <c r="AN79" i="19"/>
  <c r="AH79" i="19"/>
  <c r="BB79" i="19"/>
  <c r="AV79" i="19"/>
  <c r="AP79" i="19"/>
  <c r="AJ79" i="19"/>
  <c r="G64" i="19"/>
  <c r="H72" i="19"/>
  <c r="H80" i="19"/>
  <c r="L69" i="19"/>
  <c r="L77" i="19"/>
  <c r="L85" i="19"/>
  <c r="P66" i="19"/>
  <c r="P74" i="19"/>
  <c r="P82" i="19"/>
  <c r="T71" i="19"/>
  <c r="T79" i="19"/>
  <c r="X69" i="19"/>
  <c r="AB70" i="19"/>
  <c r="L62" i="19"/>
  <c r="P61" i="19"/>
  <c r="T60" i="19"/>
  <c r="W59" i="19"/>
  <c r="AR62" i="19"/>
  <c r="AV61" i="19"/>
  <c r="AZ60" i="19"/>
  <c r="BC59" i="19"/>
  <c r="B74" i="18"/>
  <c r="BF74" i="19"/>
  <c r="Z74" i="19"/>
  <c r="AZ74" i="19"/>
  <c r="AT74" i="19"/>
  <c r="AN74" i="19"/>
  <c r="AH74" i="19"/>
  <c r="BH74" i="19"/>
  <c r="AB74" i="19"/>
  <c r="BB74" i="19"/>
  <c r="AV74" i="19"/>
  <c r="AP74" i="19"/>
  <c r="AJ74" i="19"/>
  <c r="BJ74" i="19"/>
  <c r="AD74" i="19"/>
  <c r="AX74" i="19"/>
  <c r="AR74" i="19"/>
  <c r="AL74" i="19"/>
  <c r="AF74" i="19"/>
  <c r="J67" i="19"/>
  <c r="J75" i="19"/>
  <c r="J83" i="19"/>
  <c r="M64" i="19"/>
  <c r="N72" i="19"/>
  <c r="N80" i="19"/>
  <c r="R77" i="19"/>
  <c r="V66" i="19"/>
  <c r="V74" i="19"/>
  <c r="V82" i="19"/>
  <c r="X82" i="19"/>
  <c r="AR67" i="19"/>
  <c r="F60" i="19"/>
  <c r="I59" i="19"/>
  <c r="AD62" i="19"/>
  <c r="AH61" i="19"/>
  <c r="AL60" i="19"/>
  <c r="AO59" i="19"/>
  <c r="BJ62" i="19"/>
  <c r="B69" i="18"/>
  <c r="BB69" i="19"/>
  <c r="AV69" i="19"/>
  <c r="AP69" i="19"/>
  <c r="AJ69" i="19"/>
  <c r="BJ69" i="19"/>
  <c r="AD69" i="19"/>
  <c r="BD69" i="19"/>
  <c r="AX69" i="19"/>
  <c r="AR69" i="19"/>
  <c r="AL69" i="19"/>
  <c r="AF69" i="19"/>
  <c r="BF69" i="19"/>
  <c r="Z69" i="19"/>
  <c r="AT69" i="19"/>
  <c r="AN69" i="19"/>
  <c r="AH69" i="19"/>
  <c r="BH69" i="19"/>
  <c r="AB69" i="19"/>
  <c r="D79" i="19"/>
  <c r="B85" i="18"/>
  <c r="BB85" i="19"/>
  <c r="AV85" i="19"/>
  <c r="AP85" i="19"/>
  <c r="AJ85" i="19"/>
  <c r="BJ85" i="19"/>
  <c r="AD85" i="19"/>
  <c r="BD85" i="19"/>
  <c r="X85" i="19"/>
  <c r="AX85" i="19"/>
  <c r="AR85" i="19"/>
  <c r="AL85" i="19"/>
  <c r="AF85" i="19"/>
  <c r="BF85" i="19"/>
  <c r="Z85" i="19"/>
  <c r="AT85" i="19"/>
  <c r="AN85" i="19"/>
  <c r="AH85" i="19"/>
  <c r="BH85" i="19"/>
  <c r="AB85" i="19"/>
  <c r="H65" i="19"/>
  <c r="H73" i="19"/>
  <c r="H81" i="19"/>
  <c r="L70" i="19"/>
  <c r="P67" i="19"/>
  <c r="P75" i="19"/>
  <c r="P83" i="19"/>
  <c r="S64" i="19"/>
  <c r="T72" i="19"/>
  <c r="AB71" i="19"/>
  <c r="BH79" i="19"/>
  <c r="C59" i="19"/>
  <c r="P62" i="19"/>
  <c r="T61" i="19"/>
  <c r="X60" i="19"/>
  <c r="AA59" i="19"/>
  <c r="AV62" i="19"/>
  <c r="AZ61" i="19"/>
  <c r="BD60" i="19"/>
  <c r="BG59" i="19"/>
  <c r="D74" i="19"/>
  <c r="B80" i="18"/>
  <c r="AX80" i="19"/>
  <c r="AR80" i="19"/>
  <c r="AL80" i="19"/>
  <c r="AF80" i="19"/>
  <c r="BF80" i="19"/>
  <c r="Z80" i="19"/>
  <c r="AZ80" i="19"/>
  <c r="AT80" i="19"/>
  <c r="AN80" i="19"/>
  <c r="AH80" i="19"/>
  <c r="BH80" i="19"/>
  <c r="AB80" i="19"/>
  <c r="BB80" i="19"/>
  <c r="AP80" i="19"/>
  <c r="AJ80" i="19"/>
  <c r="BJ80" i="19"/>
  <c r="AD80" i="19"/>
  <c r="BD80" i="19"/>
  <c r="X80" i="19"/>
  <c r="F71" i="19"/>
  <c r="F79" i="19"/>
  <c r="J68" i="19"/>
  <c r="J76" i="19"/>
  <c r="J84" i="19"/>
  <c r="N65" i="19"/>
  <c r="N73" i="19"/>
  <c r="N81" i="19"/>
  <c r="V67" i="19"/>
  <c r="V83" i="19"/>
  <c r="AR83" i="19"/>
  <c r="B60" i="11"/>
  <c r="BH60" i="18"/>
  <c r="AB60" i="18"/>
  <c r="AP60" i="18"/>
  <c r="J60" i="18"/>
  <c r="BD60" i="18"/>
  <c r="X60" i="18"/>
  <c r="AL60" i="18"/>
  <c r="F60" i="18"/>
  <c r="AZ60" i="18"/>
  <c r="T60" i="18"/>
  <c r="AH60" i="18"/>
  <c r="AV60" i="18"/>
  <c r="P60" i="18"/>
  <c r="BJ60" i="18"/>
  <c r="AD60" i="18"/>
  <c r="AR60" i="18"/>
  <c r="L60" i="18"/>
  <c r="BF60" i="18"/>
  <c r="Z60" i="18"/>
  <c r="AN60" i="18"/>
  <c r="H60" i="18"/>
  <c r="BB60" i="18"/>
  <c r="V60" i="18"/>
  <c r="AX60" i="18"/>
  <c r="AF60" i="18"/>
  <c r="AT60" i="18"/>
  <c r="D60" i="18"/>
  <c r="R60" i="18"/>
  <c r="N60" i="18"/>
  <c r="AJ60" i="18"/>
  <c r="F61" i="19"/>
  <c r="J60" i="19"/>
  <c r="M59" i="19"/>
  <c r="AH62" i="19"/>
  <c r="AL61" i="19"/>
  <c r="AP60" i="19"/>
  <c r="AS59" i="19"/>
  <c r="D69" i="19"/>
  <c r="B75" i="18"/>
  <c r="AT75" i="19"/>
  <c r="AN75" i="19"/>
  <c r="AH75" i="19"/>
  <c r="BH75" i="19"/>
  <c r="AB75" i="19"/>
  <c r="BB75" i="19"/>
  <c r="AV75" i="19"/>
  <c r="AP75" i="19"/>
  <c r="AJ75" i="19"/>
  <c r="BJ75" i="19"/>
  <c r="AD75" i="19"/>
  <c r="BD75" i="19"/>
  <c r="X75" i="19"/>
  <c r="AX75" i="19"/>
  <c r="AL75" i="19"/>
  <c r="AF75" i="19"/>
  <c r="BF75" i="19"/>
  <c r="Z75" i="19"/>
  <c r="AZ75" i="19"/>
  <c r="D85" i="19"/>
  <c r="H66" i="19"/>
  <c r="H74" i="19"/>
  <c r="H82" i="19"/>
  <c r="L71" i="19"/>
  <c r="L79" i="19"/>
  <c r="P68" i="19"/>
  <c r="P76" i="19"/>
  <c r="P84" i="19"/>
  <c r="T65" i="19"/>
  <c r="T73" i="19"/>
  <c r="AV72" i="19"/>
  <c r="T62" i="19"/>
  <c r="X61" i="19"/>
  <c r="AB60" i="19"/>
  <c r="AE59" i="19"/>
  <c r="AZ62" i="19"/>
  <c r="BD61" i="19"/>
  <c r="BH60" i="19"/>
  <c r="C64" i="19"/>
  <c r="B70" i="18"/>
  <c r="AP70" i="19"/>
  <c r="AJ70" i="19"/>
  <c r="BJ70" i="19"/>
  <c r="AD70" i="19"/>
  <c r="BD70" i="19"/>
  <c r="X70" i="19"/>
  <c r="AX70" i="19"/>
  <c r="AR70" i="19"/>
  <c r="AL70" i="19"/>
  <c r="AF70" i="19"/>
  <c r="BF70" i="19"/>
  <c r="Z70" i="19"/>
  <c r="AZ70" i="19"/>
  <c r="AT70" i="19"/>
  <c r="AH70" i="19"/>
  <c r="BH70" i="19"/>
  <c r="BB70" i="19"/>
  <c r="AV70" i="19"/>
  <c r="D80" i="19"/>
  <c r="F72" i="19"/>
  <c r="F80" i="19"/>
  <c r="J69" i="19"/>
  <c r="J77" i="19"/>
  <c r="J85" i="19"/>
  <c r="N66" i="19"/>
  <c r="N74" i="19"/>
  <c r="N82" i="19"/>
  <c r="R71" i="19"/>
  <c r="R79" i="19"/>
  <c r="V68" i="19"/>
  <c r="V76" i="19"/>
  <c r="V84" i="19"/>
  <c r="X73" i="19"/>
  <c r="AF76" i="19"/>
  <c r="D60" i="19"/>
  <c r="F62" i="19"/>
  <c r="J61" i="19"/>
  <c r="N60" i="19"/>
  <c r="Q59" i="19"/>
  <c r="AL62" i="19"/>
  <c r="AP61" i="19"/>
  <c r="AT60" i="19"/>
  <c r="AW59" i="19"/>
  <c r="B65" i="18"/>
  <c r="AW64" i="19"/>
  <c r="AL65" i="19"/>
  <c r="AQ64" i="19"/>
  <c r="AF65" i="19"/>
  <c r="BF65" i="19"/>
  <c r="AK64" i="19"/>
  <c r="Z65" i="19"/>
  <c r="AZ65" i="19"/>
  <c r="AE64" i="19"/>
  <c r="BE64" i="19"/>
  <c r="AT65" i="19"/>
  <c r="Y64" i="19"/>
  <c r="AY64" i="19"/>
  <c r="AN65" i="19"/>
  <c r="AS64" i="19"/>
  <c r="AH65" i="19"/>
  <c r="BH65" i="19"/>
  <c r="AM64" i="19"/>
  <c r="AB65" i="19"/>
  <c r="BB65" i="19"/>
  <c r="AG64" i="19"/>
  <c r="BG64" i="19"/>
  <c r="AV65" i="19"/>
  <c r="AA64" i="19"/>
  <c r="BA64" i="19"/>
  <c r="AP65" i="19"/>
  <c r="BJ65" i="19"/>
  <c r="AO64" i="19"/>
  <c r="AD65" i="19"/>
  <c r="BD65" i="19"/>
  <c r="AI64" i="19"/>
  <c r="BI64" i="19"/>
  <c r="AX65" i="19"/>
  <c r="AC64" i="19"/>
  <c r="BC64" i="19"/>
  <c r="AR65" i="19"/>
  <c r="D75" i="19"/>
  <c r="B81" i="18"/>
  <c r="AL81" i="19"/>
  <c r="AF81" i="19"/>
  <c r="BF81" i="19"/>
  <c r="Z81" i="19"/>
  <c r="AZ81" i="19"/>
  <c r="AT81" i="19"/>
  <c r="AN81" i="19"/>
  <c r="AH81" i="19"/>
  <c r="BH81" i="19"/>
  <c r="AB81" i="19"/>
  <c r="BB81" i="19"/>
  <c r="AV81" i="19"/>
  <c r="AP81" i="19"/>
  <c r="BJ81" i="19"/>
  <c r="AD81" i="19"/>
  <c r="BD81" i="19"/>
  <c r="AX81" i="19"/>
  <c r="AR81" i="19"/>
  <c r="H67" i="19"/>
  <c r="H75" i="19"/>
  <c r="H83" i="19"/>
  <c r="K64" i="19"/>
  <c r="L72" i="19"/>
  <c r="L80" i="19"/>
  <c r="P69" i="19"/>
  <c r="P77" i="19"/>
  <c r="P85" i="19"/>
  <c r="T66" i="19"/>
  <c r="T74" i="19"/>
  <c r="T82" i="19"/>
  <c r="AJ65" i="19"/>
  <c r="AZ77" i="19"/>
  <c r="P6" i="16"/>
  <c r="W4" i="16"/>
  <c r="AV6" i="16"/>
  <c r="BC4" i="16"/>
  <c r="J6" i="16"/>
  <c r="Q4" i="16"/>
  <c r="AP6" i="16"/>
  <c r="AW4" i="16"/>
  <c r="D6" i="16"/>
  <c r="K4" i="16"/>
  <c r="AJ6" i="16"/>
  <c r="AQ4" i="16"/>
  <c r="E4" i="16"/>
  <c r="AD6" i="16"/>
  <c r="AK4" i="16"/>
  <c r="BJ6" i="16"/>
  <c r="F5" i="16"/>
  <c r="R6" i="16"/>
  <c r="Y4" i="16"/>
  <c r="AL5" i="16"/>
  <c r="AX6" i="16"/>
  <c r="BE4" i="16"/>
  <c r="L6" i="16"/>
  <c r="S4" i="16"/>
  <c r="AF5" i="16"/>
  <c r="AR6" i="16"/>
  <c r="AY4" i="16"/>
  <c r="F6" i="16"/>
  <c r="M4" i="16"/>
  <c r="Z5" i="16"/>
  <c r="AL6" i="16"/>
  <c r="AS4" i="16"/>
  <c r="BF5" i="16"/>
  <c r="G4" i="16"/>
  <c r="T5" i="16"/>
  <c r="AF6" i="16"/>
  <c r="AM4" i="16"/>
  <c r="AZ5" i="16"/>
  <c r="N5" i="16"/>
  <c r="Z6" i="16"/>
  <c r="AG4" i="16"/>
  <c r="AT5" i="16"/>
  <c r="BF6" i="16"/>
  <c r="H5" i="16"/>
  <c r="T6" i="16"/>
  <c r="AA4" i="16"/>
  <c r="AN5" i="16"/>
  <c r="AZ6" i="16"/>
  <c r="BG4" i="16"/>
  <c r="N6" i="16"/>
  <c r="U4" i="16"/>
  <c r="AH5" i="16"/>
  <c r="AT6" i="16"/>
  <c r="BA4" i="16"/>
  <c r="C4" i="16"/>
  <c r="H6" i="16"/>
  <c r="O4" i="16"/>
  <c r="AB5" i="16"/>
  <c r="AN6" i="16"/>
  <c r="AU4" i="16"/>
  <c r="BH5" i="16"/>
  <c r="I4" i="16"/>
  <c r="V5" i="16"/>
  <c r="AH6" i="16"/>
  <c r="AO4" i="16"/>
  <c r="BB5" i="16"/>
  <c r="P5" i="16"/>
  <c r="AB6" i="16"/>
  <c r="AI4" i="16"/>
  <c r="AV5" i="16"/>
  <c r="BH6" i="16"/>
  <c r="J5" i="16"/>
  <c r="V6" i="16"/>
  <c r="AC4" i="16"/>
  <c r="AP5" i="16"/>
  <c r="BG4" i="17"/>
  <c r="H6" i="17"/>
  <c r="O4" i="17"/>
  <c r="AN6" i="17"/>
  <c r="AU4" i="17"/>
  <c r="BH5" i="17"/>
  <c r="I4" i="17"/>
  <c r="V5" i="17"/>
  <c r="AH6" i="17"/>
  <c r="AO4" i="17"/>
  <c r="BB5" i="17"/>
  <c r="P5" i="17"/>
  <c r="AB6" i="17"/>
  <c r="AI4" i="17"/>
  <c r="AV5" i="17"/>
  <c r="BH6" i="17"/>
  <c r="D5" i="17"/>
  <c r="J5" i="17"/>
  <c r="V6" i="17"/>
  <c r="AC4" i="17"/>
  <c r="AP5" i="17"/>
  <c r="BB6" i="17"/>
  <c r="BI4" i="17"/>
  <c r="P6" i="17"/>
  <c r="W4" i="17"/>
  <c r="AJ5" i="17"/>
  <c r="AV6" i="17"/>
  <c r="BC4" i="17"/>
  <c r="J6" i="17"/>
  <c r="Q4" i="17"/>
  <c r="AD5" i="17"/>
  <c r="AP6" i="17"/>
  <c r="AW4" i="17"/>
  <c r="BJ5" i="17"/>
  <c r="D6" i="17"/>
  <c r="K4" i="17"/>
  <c r="X5" i="17"/>
  <c r="AJ6" i="17"/>
  <c r="AQ4" i="17"/>
  <c r="BD5" i="17"/>
  <c r="E4" i="17"/>
  <c r="R5" i="17"/>
  <c r="AD6" i="17"/>
  <c r="AK4" i="17"/>
  <c r="AX5" i="17"/>
  <c r="BJ6" i="17"/>
  <c r="L5" i="17"/>
  <c r="X6" i="17"/>
  <c r="AE4" i="17"/>
  <c r="AR5" i="17"/>
  <c r="BD6" i="17"/>
  <c r="F5" i="17"/>
  <c r="R6" i="17"/>
  <c r="Y4" i="17"/>
  <c r="AL5" i="17"/>
  <c r="AX6" i="17"/>
  <c r="BE4" i="17"/>
  <c r="L6" i="17"/>
  <c r="S4" i="17"/>
  <c r="AF5" i="17"/>
  <c r="AR6" i="17"/>
  <c r="AY4" i="17"/>
  <c r="F6" i="17"/>
  <c r="M4" i="17"/>
  <c r="Z5" i="17"/>
  <c r="AL6" i="17"/>
  <c r="AS4" i="17"/>
  <c r="BF5" i="17"/>
  <c r="G4" i="17"/>
  <c r="T5" i="17"/>
  <c r="AF6" i="17"/>
  <c r="AM4" i="17"/>
  <c r="AZ5" i="17"/>
  <c r="N5" i="17"/>
  <c r="Z6" i="17"/>
  <c r="AG4" i="17"/>
  <c r="AH5" i="18"/>
  <c r="BA4" i="18"/>
  <c r="AB5" i="18"/>
  <c r="AU4" i="18"/>
  <c r="B5" i="11"/>
  <c r="BF5" i="18"/>
  <c r="I4" i="18"/>
  <c r="V5" i="18"/>
  <c r="AO4" i="18"/>
  <c r="BB5" i="18"/>
  <c r="P5" i="18"/>
  <c r="AI4" i="18"/>
  <c r="AV5" i="18"/>
  <c r="BJ5" i="18"/>
  <c r="D5" i="18"/>
  <c r="J5" i="18"/>
  <c r="V6" i="18"/>
  <c r="AC4" i="18"/>
  <c r="AP5" i="18"/>
  <c r="B6" i="11"/>
  <c r="BF6" i="18"/>
  <c r="BD6" i="18"/>
  <c r="P6" i="18"/>
  <c r="W4" i="18"/>
  <c r="AJ5" i="18"/>
  <c r="AV6" i="18"/>
  <c r="BC4" i="18"/>
  <c r="BJ6" i="18"/>
  <c r="J6" i="18"/>
  <c r="Q4" i="18"/>
  <c r="AD5" i="18"/>
  <c r="AP6" i="18"/>
  <c r="AW4" i="18"/>
  <c r="D6" i="18"/>
  <c r="K4" i="18"/>
  <c r="X5" i="18"/>
  <c r="AJ6" i="18"/>
  <c r="AQ4" i="18"/>
  <c r="BD5" i="18"/>
  <c r="E4" i="18"/>
  <c r="R5" i="18"/>
  <c r="AD6" i="18"/>
  <c r="AK4" i="18"/>
  <c r="AX5" i="18"/>
  <c r="L5" i="18"/>
  <c r="X6" i="18"/>
  <c r="AE4" i="18"/>
  <c r="AR5" i="18"/>
  <c r="BE4" i="18"/>
  <c r="F5" i="18"/>
  <c r="R6" i="18"/>
  <c r="Y4" i="18"/>
  <c r="AL5" i="18"/>
  <c r="AX6" i="18"/>
  <c r="A3" i="13" a="1"/>
  <c r="A3" i="13" s="1"/>
  <c r="A1" i="13" a="1"/>
  <c r="A1" i="13" s="1"/>
  <c r="BJ12" i="12" l="1"/>
  <c r="AH8" i="12"/>
  <c r="AJ8" i="12"/>
  <c r="AP21" i="12"/>
  <c r="BJ9" i="12"/>
  <c r="AH9" i="12"/>
  <c r="AJ9" i="12"/>
  <c r="BH9" i="12"/>
  <c r="BF12" i="12"/>
  <c r="BH12" i="12"/>
  <c r="AX22" i="12"/>
  <c r="X22" i="12"/>
  <c r="AN9" i="12"/>
  <c r="D9" i="12"/>
  <c r="Z22" i="12"/>
  <c r="BD22" i="12"/>
  <c r="J9" i="12"/>
  <c r="B9" i="17"/>
  <c r="P9" i="17" s="1"/>
  <c r="AB22" i="12"/>
  <c r="AD22" i="12"/>
  <c r="AP9" i="12"/>
  <c r="D22" i="12"/>
  <c r="AP22" i="12"/>
  <c r="L9" i="12"/>
  <c r="V22" i="12"/>
  <c r="AV22" i="12"/>
  <c r="P9" i="12"/>
  <c r="H22" i="12"/>
  <c r="B22" i="17"/>
  <c r="F22" i="17" s="1"/>
  <c r="AV9" i="12"/>
  <c r="L22" i="12"/>
  <c r="AJ14" i="12"/>
  <c r="F14" i="12"/>
  <c r="R9" i="12"/>
  <c r="T9" i="12"/>
  <c r="AX9" i="12"/>
  <c r="J14" i="12"/>
  <c r="P22" i="12"/>
  <c r="AV21" i="12"/>
  <c r="AR22" i="12"/>
  <c r="AZ9" i="12"/>
  <c r="AP14" i="12"/>
  <c r="BB22" i="12"/>
  <c r="BB21" i="12"/>
  <c r="BF17" i="12"/>
  <c r="BB9" i="12"/>
  <c r="L14" i="12"/>
  <c r="BH22" i="12"/>
  <c r="BH21" i="12"/>
  <c r="AD9" i="12"/>
  <c r="BD9" i="12"/>
  <c r="AR14" i="12"/>
  <c r="AH22" i="12"/>
  <c r="R12" i="12"/>
  <c r="F9" i="12"/>
  <c r="B14" i="17"/>
  <c r="BJ14" i="17" s="1"/>
  <c r="AL9" i="12"/>
  <c r="H9" i="12"/>
  <c r="V9" i="12"/>
  <c r="AF9" i="12"/>
  <c r="BF9" i="12"/>
  <c r="N14" i="12"/>
  <c r="AN22" i="12"/>
  <c r="BD12" i="12"/>
  <c r="B21" i="17"/>
  <c r="N21" i="17" s="1"/>
  <c r="F8" i="12"/>
  <c r="BD8" i="12"/>
  <c r="BF8" i="12"/>
  <c r="R8" i="12"/>
  <c r="N21" i="12"/>
  <c r="AT10" i="12"/>
  <c r="T8" i="12"/>
  <c r="X21" i="12"/>
  <c r="P10" i="12"/>
  <c r="AT14" i="12"/>
  <c r="D8" i="12"/>
  <c r="AH21" i="12"/>
  <c r="AV10" i="12"/>
  <c r="BH14" i="12"/>
  <c r="V8" i="12"/>
  <c r="AN21" i="12"/>
  <c r="AX10" i="12"/>
  <c r="BJ14" i="12"/>
  <c r="X8" i="12"/>
  <c r="AT21" i="12"/>
  <c r="R10" i="12"/>
  <c r="AR9" i="12"/>
  <c r="X9" i="12"/>
  <c r="P14" i="12"/>
  <c r="J22" i="12"/>
  <c r="BF22" i="12"/>
  <c r="AZ21" i="12"/>
  <c r="T10" i="12"/>
  <c r="N9" i="12"/>
  <c r="Z9" i="12"/>
  <c r="AD14" i="12"/>
  <c r="N22" i="12"/>
  <c r="AF22" i="12"/>
  <c r="Z21" i="12"/>
  <c r="V10" i="12"/>
  <c r="AT9" i="12"/>
  <c r="AH14" i="12"/>
  <c r="R22" i="12"/>
  <c r="AL22" i="12"/>
  <c r="BF21" i="12"/>
  <c r="T17" i="12"/>
  <c r="J8" i="12"/>
  <c r="AF8" i="12"/>
  <c r="D21" i="12"/>
  <c r="AL21" i="12"/>
  <c r="AD12" i="12"/>
  <c r="AL8" i="12"/>
  <c r="AD8" i="12"/>
  <c r="R21" i="12"/>
  <c r="AF21" i="12"/>
  <c r="D12" i="12"/>
  <c r="J17" i="12"/>
  <c r="AP8" i="12"/>
  <c r="AX8" i="12"/>
  <c r="AB21" i="12"/>
  <c r="L21" i="12"/>
  <c r="AF12" i="12"/>
  <c r="V17" i="12"/>
  <c r="N8" i="12"/>
  <c r="B8" i="17"/>
  <c r="V8" i="17" s="1"/>
  <c r="V21" i="12"/>
  <c r="AR21" i="12"/>
  <c r="AH12" i="12"/>
  <c r="BJ17" i="12"/>
  <c r="AT8" i="12"/>
  <c r="H21" i="12"/>
  <c r="AX21" i="12"/>
  <c r="AJ12" i="12"/>
  <c r="AJ17" i="12"/>
  <c r="P8" i="12"/>
  <c r="P21" i="12"/>
  <c r="BD21" i="12"/>
  <c r="AV12" i="12"/>
  <c r="AP17" i="12"/>
  <c r="AV8" i="12"/>
  <c r="F21" i="12"/>
  <c r="AD21" i="12"/>
  <c r="AX12" i="12"/>
  <c r="T12" i="12"/>
  <c r="D10" i="12"/>
  <c r="AV17" i="12"/>
  <c r="AF14" i="12"/>
  <c r="AZ8" i="12"/>
  <c r="T21" i="12"/>
  <c r="BJ21" i="12"/>
  <c r="AZ12" i="12"/>
  <c r="N10" i="12"/>
  <c r="BB17" i="12"/>
  <c r="D14" i="12"/>
  <c r="BB8" i="12"/>
  <c r="J21" i="12"/>
  <c r="BB12" i="12"/>
  <c r="AX11" i="12"/>
  <c r="H15" i="12"/>
  <c r="AN15" i="12"/>
  <c r="J15" i="12"/>
  <c r="AP15" i="12"/>
  <c r="L15" i="12"/>
  <c r="BJ15" i="12"/>
  <c r="AV11" i="12"/>
  <c r="Z10" i="12"/>
  <c r="AF17" i="12"/>
  <c r="P15" i="12"/>
  <c r="AV14" i="12"/>
  <c r="M7" i="12"/>
  <c r="Y7" i="12"/>
  <c r="F12" i="12"/>
  <c r="AP10" i="12"/>
  <c r="AX17" i="12"/>
  <c r="AV15" i="12"/>
  <c r="R14" i="12"/>
  <c r="AL12" i="12"/>
  <c r="AD11" i="12"/>
  <c r="L10" i="12"/>
  <c r="BD17" i="12"/>
  <c r="AX15" i="12"/>
  <c r="Z14" i="12"/>
  <c r="L8" i="12"/>
  <c r="Z8" i="12"/>
  <c r="F22" i="12"/>
  <c r="BJ22" i="12"/>
  <c r="H12" i="12"/>
  <c r="AD17" i="12"/>
  <c r="AZ15" i="12"/>
  <c r="AB14" i="12"/>
  <c r="AR8" i="12"/>
  <c r="AB8" i="12"/>
  <c r="T22" i="12"/>
  <c r="AN12" i="12"/>
  <c r="C7" i="12"/>
  <c r="AY7" i="12"/>
  <c r="E7" i="12"/>
  <c r="AV13" i="12"/>
  <c r="AB10" i="12"/>
  <c r="B10" i="17"/>
  <c r="AN10" i="17" s="1"/>
  <c r="T15" i="12"/>
  <c r="AX13" i="12"/>
  <c r="AD10" i="12"/>
  <c r="L17" i="12"/>
  <c r="AL17" i="12"/>
  <c r="V15" i="12"/>
  <c r="T14" i="12"/>
  <c r="AH13" i="12"/>
  <c r="J12" i="12"/>
  <c r="AN10" i="12"/>
  <c r="P17" i="12"/>
  <c r="AR17" i="12"/>
  <c r="X15" i="12"/>
  <c r="V14" i="12"/>
  <c r="H8" i="12"/>
  <c r="BH8" i="12"/>
  <c r="AJ13" i="12"/>
  <c r="AP12" i="12"/>
  <c r="J10" i="12"/>
  <c r="F17" i="12"/>
  <c r="B17" i="17"/>
  <c r="AJ17" i="17" s="1"/>
  <c r="F15" i="12"/>
  <c r="Z15" i="12"/>
  <c r="X14" i="12"/>
  <c r="AN8" i="12"/>
  <c r="AB11" i="12"/>
  <c r="L12" i="12"/>
  <c r="G7" i="12"/>
  <c r="O7" i="12"/>
  <c r="AC7" i="12"/>
  <c r="BD13" i="12"/>
  <c r="H13" i="12"/>
  <c r="AJ11" i="12"/>
  <c r="BD11" i="12"/>
  <c r="BF13" i="12"/>
  <c r="AN13" i="12"/>
  <c r="F11" i="12"/>
  <c r="BF11" i="12"/>
  <c r="BB13" i="12"/>
  <c r="BB11" i="12"/>
  <c r="AM7" i="12"/>
  <c r="AU7" i="12"/>
  <c r="AE7" i="12"/>
  <c r="BH13" i="12"/>
  <c r="J13" i="12"/>
  <c r="AL11" i="12"/>
  <c r="BH11" i="12"/>
  <c r="BC7" i="12"/>
  <c r="R13" i="12"/>
  <c r="AP13" i="12"/>
  <c r="H11" i="12"/>
  <c r="BJ11" i="12"/>
  <c r="AK7" i="12"/>
  <c r="I7" i="12"/>
  <c r="BE7" i="12"/>
  <c r="AG7" i="12"/>
  <c r="T13" i="12"/>
  <c r="L13" i="12"/>
  <c r="AN11" i="12"/>
  <c r="R11" i="12"/>
  <c r="F13" i="12"/>
  <c r="AL13" i="12"/>
  <c r="AH11" i="12"/>
  <c r="BG7" i="12"/>
  <c r="V13" i="12"/>
  <c r="AR13" i="12"/>
  <c r="J11" i="12"/>
  <c r="T11" i="12"/>
  <c r="AS7" i="12"/>
  <c r="AZ13" i="12"/>
  <c r="AF10" i="12"/>
  <c r="AZ10" i="12"/>
  <c r="D17" i="12"/>
  <c r="AB17" i="12"/>
  <c r="AR15" i="12"/>
  <c r="AB15" i="12"/>
  <c r="AO7" i="12"/>
  <c r="BI7" i="12"/>
  <c r="AI7" i="12"/>
  <c r="X13" i="12"/>
  <c r="BJ13" i="12"/>
  <c r="AP11" i="12"/>
  <c r="B11" i="17"/>
  <c r="L11" i="17" s="1"/>
  <c r="AH10" i="12"/>
  <c r="BB10" i="12"/>
  <c r="X17" i="12"/>
  <c r="BH17" i="12"/>
  <c r="N15" i="12"/>
  <c r="AD15" i="12"/>
  <c r="U7" i="12"/>
  <c r="Z13" i="12"/>
  <c r="B13" i="17"/>
  <c r="AH13" i="17" s="1"/>
  <c r="L11" i="12"/>
  <c r="AA7" i="12"/>
  <c r="AF11" i="12"/>
  <c r="AJ10" i="12"/>
  <c r="BD10" i="12"/>
  <c r="N17" i="12"/>
  <c r="AH17" i="12"/>
  <c r="AT15" i="12"/>
  <c r="AF15" i="12"/>
  <c r="AX14" i="12"/>
  <c r="AL14" i="12"/>
  <c r="K7" i="12"/>
  <c r="Q7" i="12"/>
  <c r="BA7" i="12"/>
  <c r="AB13" i="12"/>
  <c r="V11" i="12"/>
  <c r="AR11" i="12"/>
  <c r="V12" i="12"/>
  <c r="AR12" i="12"/>
  <c r="F10" i="12"/>
  <c r="BF10" i="12"/>
  <c r="R17" i="12"/>
  <c r="AN17" i="12"/>
  <c r="BD15" i="12"/>
  <c r="AH15" i="12"/>
  <c r="AZ14" i="12"/>
  <c r="H14" i="12"/>
  <c r="W7" i="12"/>
  <c r="N13" i="12"/>
  <c r="AD13" i="12"/>
  <c r="X11" i="12"/>
  <c r="N11" i="12"/>
  <c r="X12" i="12"/>
  <c r="N12" i="12"/>
  <c r="S7" i="12"/>
  <c r="AZ11" i="12"/>
  <c r="AL10" i="12"/>
  <c r="BH10" i="12"/>
  <c r="Z17" i="12"/>
  <c r="AT17" i="12"/>
  <c r="BF15" i="12"/>
  <c r="D15" i="12"/>
  <c r="BB14" i="12"/>
  <c r="AN14" i="12"/>
  <c r="AQ7" i="12"/>
  <c r="AW7" i="12"/>
  <c r="AT13" i="12"/>
  <c r="D13" i="12"/>
  <c r="Z11" i="12"/>
  <c r="AT11" i="12"/>
  <c r="Z12" i="12"/>
  <c r="AT12" i="12"/>
  <c r="H10" i="12"/>
  <c r="BJ10" i="12"/>
  <c r="H17" i="12"/>
  <c r="BH15" i="12"/>
  <c r="BD14" i="12"/>
  <c r="P13" i="12"/>
  <c r="D11" i="12"/>
  <c r="AB12" i="12"/>
  <c r="AI59" i="18"/>
  <c r="AS59" i="18"/>
  <c r="AQ59" i="18"/>
  <c r="AY59" i="18"/>
  <c r="AE59" i="18"/>
  <c r="AK59" i="18"/>
  <c r="AC59" i="18"/>
  <c r="E59" i="18"/>
  <c r="Q59" i="18"/>
  <c r="BG59" i="18"/>
  <c r="K59" i="18"/>
  <c r="W59" i="18"/>
  <c r="AW59" i="18"/>
  <c r="M59" i="18"/>
  <c r="BC59" i="18"/>
  <c r="U59" i="18"/>
  <c r="BI59" i="18"/>
  <c r="G59" i="18"/>
  <c r="O59" i="18"/>
  <c r="AS16" i="12"/>
  <c r="BA59" i="18"/>
  <c r="AU59" i="18"/>
  <c r="I59" i="18"/>
  <c r="Y59" i="18"/>
  <c r="AG59" i="18"/>
  <c r="AO59" i="18"/>
  <c r="C59" i="18"/>
  <c r="BE59" i="18"/>
  <c r="AM59" i="18"/>
  <c r="S59" i="18"/>
  <c r="B69" i="11"/>
  <c r="BH69" i="18"/>
  <c r="AB69" i="18"/>
  <c r="BB69" i="18"/>
  <c r="V69" i="18"/>
  <c r="BF69" i="18"/>
  <c r="AV69" i="18"/>
  <c r="P69" i="18"/>
  <c r="AP69" i="18"/>
  <c r="AJ69" i="18"/>
  <c r="AD69" i="18"/>
  <c r="BD69" i="18"/>
  <c r="X69" i="18"/>
  <c r="AX69" i="18"/>
  <c r="AR69" i="18"/>
  <c r="AL69" i="18"/>
  <c r="AF69" i="18"/>
  <c r="AZ69" i="18"/>
  <c r="AH69" i="18"/>
  <c r="Z69" i="18"/>
  <c r="R69" i="18"/>
  <c r="J69" i="18"/>
  <c r="T69" i="18"/>
  <c r="D69" i="18"/>
  <c r="AT69" i="18"/>
  <c r="L69" i="18"/>
  <c r="F69" i="18"/>
  <c r="BJ69" i="18"/>
  <c r="N69" i="18"/>
  <c r="AN69" i="18"/>
  <c r="H69" i="18"/>
  <c r="B50" i="18"/>
  <c r="AL50" i="19"/>
  <c r="F50" i="19"/>
  <c r="AZ50" i="19"/>
  <c r="T50" i="19"/>
  <c r="D50" i="19"/>
  <c r="AH50" i="19"/>
  <c r="AV50" i="19"/>
  <c r="P50" i="19"/>
  <c r="BJ50" i="19"/>
  <c r="AD50" i="19"/>
  <c r="AR50" i="19"/>
  <c r="L50" i="19"/>
  <c r="BF50" i="19"/>
  <c r="Z50" i="19"/>
  <c r="AN50" i="19"/>
  <c r="H50" i="19"/>
  <c r="BB50" i="19"/>
  <c r="V50" i="19"/>
  <c r="AX50" i="19"/>
  <c r="R50" i="19"/>
  <c r="AF50" i="19"/>
  <c r="AT50" i="19"/>
  <c r="N50" i="19"/>
  <c r="BH50" i="19"/>
  <c r="AB50" i="19"/>
  <c r="AP50" i="19"/>
  <c r="J50" i="19"/>
  <c r="BD50" i="19"/>
  <c r="X50" i="19"/>
  <c r="AJ50" i="19"/>
  <c r="B43" i="18"/>
  <c r="AH43" i="19"/>
  <c r="AV43" i="19"/>
  <c r="P43" i="19"/>
  <c r="BJ43" i="19"/>
  <c r="AD43" i="19"/>
  <c r="AR43" i="19"/>
  <c r="L43" i="19"/>
  <c r="BF43" i="19"/>
  <c r="Z43" i="19"/>
  <c r="AN43" i="19"/>
  <c r="H43" i="19"/>
  <c r="BB43" i="19"/>
  <c r="V43" i="19"/>
  <c r="D43" i="19"/>
  <c r="AJ43" i="19"/>
  <c r="AX43" i="19"/>
  <c r="R43" i="19"/>
  <c r="AT43" i="19"/>
  <c r="N43" i="19"/>
  <c r="BH43" i="19"/>
  <c r="AB43" i="19"/>
  <c r="AP43" i="19"/>
  <c r="J43" i="19"/>
  <c r="BD43" i="19"/>
  <c r="X43" i="19"/>
  <c r="AL43" i="19"/>
  <c r="F43" i="19"/>
  <c r="AZ43" i="19"/>
  <c r="T43" i="19"/>
  <c r="AF43" i="19"/>
  <c r="B63" i="11"/>
  <c r="W59" i="11" s="1"/>
  <c r="AV63" i="18"/>
  <c r="P63" i="18"/>
  <c r="BJ63" i="18"/>
  <c r="AD63" i="18"/>
  <c r="AR63" i="18"/>
  <c r="L63" i="18"/>
  <c r="BF63" i="18"/>
  <c r="Z63" i="18"/>
  <c r="AN63" i="18"/>
  <c r="H63" i="18"/>
  <c r="BB63" i="18"/>
  <c r="V63" i="18"/>
  <c r="AJ63" i="18"/>
  <c r="D63" i="18"/>
  <c r="AX63" i="18"/>
  <c r="R63" i="18"/>
  <c r="AF63" i="18"/>
  <c r="AT63" i="18"/>
  <c r="N63" i="18"/>
  <c r="BH63" i="18"/>
  <c r="AB63" i="18"/>
  <c r="AP63" i="18"/>
  <c r="J63" i="18"/>
  <c r="AL63" i="18"/>
  <c r="AZ63" i="18"/>
  <c r="T63" i="18"/>
  <c r="AH63" i="18"/>
  <c r="X63" i="18"/>
  <c r="F63" i="18"/>
  <c r="BD63" i="18"/>
  <c r="B25" i="17"/>
  <c r="AR25" i="12"/>
  <c r="AL25" i="12"/>
  <c r="BF25" i="12"/>
  <c r="AZ25" i="12"/>
  <c r="AT25" i="12"/>
  <c r="AN25" i="12"/>
  <c r="AH25" i="12"/>
  <c r="BH25" i="12"/>
  <c r="AB25" i="12"/>
  <c r="D25" i="12"/>
  <c r="BB25" i="12"/>
  <c r="AV25" i="12"/>
  <c r="AP25" i="12"/>
  <c r="AJ25" i="12"/>
  <c r="BJ25" i="12"/>
  <c r="AD25" i="12"/>
  <c r="BD25" i="12"/>
  <c r="AX25" i="12"/>
  <c r="V25" i="12"/>
  <c r="H25" i="12"/>
  <c r="R25" i="12"/>
  <c r="Z25" i="12"/>
  <c r="N25" i="12"/>
  <c r="X25" i="12"/>
  <c r="J25" i="12"/>
  <c r="T25" i="12"/>
  <c r="F25" i="12"/>
  <c r="P25" i="12"/>
  <c r="AF25" i="12"/>
  <c r="L25" i="12"/>
  <c r="BJ34" i="17"/>
  <c r="BH34" i="17"/>
  <c r="AB34" i="17"/>
  <c r="BB34" i="17"/>
  <c r="V34" i="17"/>
  <c r="AV34" i="17"/>
  <c r="P34" i="17"/>
  <c r="AP34" i="17"/>
  <c r="J34" i="17"/>
  <c r="AJ34" i="17"/>
  <c r="AD34" i="17"/>
  <c r="BD34" i="17"/>
  <c r="X34" i="17"/>
  <c r="AX34" i="17"/>
  <c r="R34" i="17"/>
  <c r="D34" i="17"/>
  <c r="AR34" i="17"/>
  <c r="L34" i="17"/>
  <c r="AL34" i="17"/>
  <c r="F34" i="17"/>
  <c r="AF34" i="17"/>
  <c r="BF34" i="17"/>
  <c r="Z34" i="17"/>
  <c r="AZ34" i="17"/>
  <c r="T34" i="17"/>
  <c r="AT34" i="17"/>
  <c r="N34" i="17"/>
  <c r="AN34" i="17"/>
  <c r="AH34" i="17"/>
  <c r="H34" i="17"/>
  <c r="B34" i="19"/>
  <c r="E16" i="12"/>
  <c r="Y16" i="12"/>
  <c r="AU16" i="12"/>
  <c r="BE16" i="12"/>
  <c r="AD21" i="17"/>
  <c r="B73" i="11"/>
  <c r="AR73" i="18"/>
  <c r="AL73" i="18"/>
  <c r="AF73" i="18"/>
  <c r="Z73" i="18"/>
  <c r="AZ73" i="18"/>
  <c r="AT73" i="18"/>
  <c r="AN73" i="18"/>
  <c r="AH73" i="18"/>
  <c r="AB73" i="18"/>
  <c r="BH73" i="18"/>
  <c r="BB73" i="18"/>
  <c r="BJ73" i="18"/>
  <c r="BF73" i="18"/>
  <c r="AV73" i="18"/>
  <c r="AP73" i="18"/>
  <c r="AX73" i="18"/>
  <c r="N73" i="18"/>
  <c r="H73" i="18"/>
  <c r="X73" i="18"/>
  <c r="D73" i="18"/>
  <c r="J73" i="18"/>
  <c r="BD73" i="18"/>
  <c r="AD73" i="18"/>
  <c r="T73" i="18"/>
  <c r="V73" i="18"/>
  <c r="L73" i="18"/>
  <c r="AJ73" i="18"/>
  <c r="F73" i="18"/>
  <c r="R73" i="18"/>
  <c r="P73" i="18"/>
  <c r="B77" i="11"/>
  <c r="BH77" i="18"/>
  <c r="AB77" i="18"/>
  <c r="BB77" i="18"/>
  <c r="V77" i="18"/>
  <c r="BJ77" i="18"/>
  <c r="AV77" i="18"/>
  <c r="P77" i="18"/>
  <c r="AP77" i="18"/>
  <c r="AJ77" i="18"/>
  <c r="BF77" i="18"/>
  <c r="AD77" i="18"/>
  <c r="X77" i="18"/>
  <c r="BD77" i="18"/>
  <c r="AX77" i="18"/>
  <c r="AR77" i="18"/>
  <c r="AL77" i="18"/>
  <c r="AF77" i="18"/>
  <c r="AZ77" i="18"/>
  <c r="J77" i="18"/>
  <c r="R77" i="18"/>
  <c r="L77" i="18"/>
  <c r="T77" i="18"/>
  <c r="F77" i="18"/>
  <c r="AN77" i="18"/>
  <c r="Z77" i="18"/>
  <c r="D77" i="18"/>
  <c r="N77" i="18"/>
  <c r="AH77" i="18"/>
  <c r="H77" i="18"/>
  <c r="AT77" i="18"/>
  <c r="AJ28" i="17"/>
  <c r="AD28" i="17"/>
  <c r="BD28" i="17"/>
  <c r="X28" i="17"/>
  <c r="AX28" i="17"/>
  <c r="R28" i="17"/>
  <c r="AR28" i="17"/>
  <c r="L28" i="17"/>
  <c r="AL28" i="17"/>
  <c r="F28" i="17"/>
  <c r="AF28" i="17"/>
  <c r="BF28" i="17"/>
  <c r="Z28" i="17"/>
  <c r="AZ28" i="17"/>
  <c r="T28" i="17"/>
  <c r="BJ28" i="17"/>
  <c r="AT28" i="17"/>
  <c r="N28" i="17"/>
  <c r="D28" i="17"/>
  <c r="AN28" i="17"/>
  <c r="H28" i="17"/>
  <c r="AH28" i="17"/>
  <c r="BH28" i="17"/>
  <c r="AB28" i="17"/>
  <c r="BB28" i="17"/>
  <c r="V28" i="17"/>
  <c r="AV28" i="17"/>
  <c r="P28" i="17"/>
  <c r="AP28" i="17"/>
  <c r="J28" i="17"/>
  <c r="B28" i="19"/>
  <c r="AE16" i="12"/>
  <c r="B56" i="18"/>
  <c r="AT56" i="19"/>
  <c r="N56" i="19"/>
  <c r="BH56" i="19"/>
  <c r="AB56" i="19"/>
  <c r="AP56" i="19"/>
  <c r="J56" i="19"/>
  <c r="BD56" i="19"/>
  <c r="X56" i="19"/>
  <c r="AL56" i="19"/>
  <c r="F56" i="19"/>
  <c r="AZ56" i="19"/>
  <c r="T56" i="19"/>
  <c r="AH56" i="19"/>
  <c r="AV56" i="19"/>
  <c r="P56" i="19"/>
  <c r="BJ56" i="19"/>
  <c r="AD56" i="19"/>
  <c r="BF56" i="19"/>
  <c r="Z56" i="19"/>
  <c r="AN56" i="19"/>
  <c r="H56" i="19"/>
  <c r="BB56" i="19"/>
  <c r="V56" i="19"/>
  <c r="AJ56" i="19"/>
  <c r="AX56" i="19"/>
  <c r="R56" i="19"/>
  <c r="AF56" i="19"/>
  <c r="D56" i="19"/>
  <c r="L56" i="19"/>
  <c r="AR56" i="19"/>
  <c r="B40" i="18"/>
  <c r="AT40" i="19"/>
  <c r="N40" i="19"/>
  <c r="BH40" i="19"/>
  <c r="AB40" i="19"/>
  <c r="AP40" i="19"/>
  <c r="J40" i="19"/>
  <c r="BD40" i="19"/>
  <c r="X40" i="19"/>
  <c r="AL40" i="19"/>
  <c r="F40" i="19"/>
  <c r="AZ40" i="19"/>
  <c r="T40" i="19"/>
  <c r="AH40" i="19"/>
  <c r="AV40" i="19"/>
  <c r="P40" i="19"/>
  <c r="BJ40" i="19"/>
  <c r="AD40" i="19"/>
  <c r="BF40" i="19"/>
  <c r="Z40" i="19"/>
  <c r="AN40" i="19"/>
  <c r="H40" i="19"/>
  <c r="BB40" i="19"/>
  <c r="V40" i="19"/>
  <c r="AJ40" i="19"/>
  <c r="AX40" i="19"/>
  <c r="R40" i="19"/>
  <c r="AF40" i="19"/>
  <c r="D40" i="19"/>
  <c r="L40" i="19"/>
  <c r="AR40" i="19"/>
  <c r="B78" i="11"/>
  <c r="BJ78" i="18"/>
  <c r="AV78" i="18"/>
  <c r="AP78" i="18"/>
  <c r="AJ78" i="18"/>
  <c r="BH78" i="18"/>
  <c r="BF78" i="18"/>
  <c r="AD78" i="18"/>
  <c r="X78" i="18"/>
  <c r="BD78" i="18"/>
  <c r="AX78" i="18"/>
  <c r="AR78" i="18"/>
  <c r="AL78" i="18"/>
  <c r="AF78" i="18"/>
  <c r="AZ78" i="18"/>
  <c r="AT78" i="18"/>
  <c r="AN78" i="18"/>
  <c r="BB78" i="18"/>
  <c r="R78" i="18"/>
  <c r="L78" i="18"/>
  <c r="T78" i="18"/>
  <c r="F78" i="18"/>
  <c r="P78" i="18"/>
  <c r="Z78" i="18"/>
  <c r="D78" i="18"/>
  <c r="AB78" i="18"/>
  <c r="V78" i="18"/>
  <c r="N78" i="18"/>
  <c r="AH78" i="18"/>
  <c r="H78" i="18"/>
  <c r="J78" i="18"/>
  <c r="B49" i="18"/>
  <c r="AP49" i="19"/>
  <c r="J49" i="19"/>
  <c r="BD49" i="19"/>
  <c r="X49" i="19"/>
  <c r="AL49" i="19"/>
  <c r="F49" i="19"/>
  <c r="AZ49" i="19"/>
  <c r="T49" i="19"/>
  <c r="AH49" i="19"/>
  <c r="D49" i="19"/>
  <c r="AV49" i="19"/>
  <c r="P49" i="19"/>
  <c r="BJ49" i="19"/>
  <c r="AD49" i="19"/>
  <c r="AR49" i="19"/>
  <c r="L49" i="19"/>
  <c r="BF49" i="19"/>
  <c r="Z49" i="19"/>
  <c r="BB49" i="19"/>
  <c r="V49" i="19"/>
  <c r="AJ49" i="19"/>
  <c r="AX49" i="19"/>
  <c r="R49" i="19"/>
  <c r="AF49" i="19"/>
  <c r="AT49" i="19"/>
  <c r="N49" i="19"/>
  <c r="BH49" i="19"/>
  <c r="AB49" i="19"/>
  <c r="H49" i="19"/>
  <c r="AN49" i="19"/>
  <c r="B23" i="17"/>
  <c r="AJ23" i="12"/>
  <c r="BJ23" i="12"/>
  <c r="AD23" i="12"/>
  <c r="BD23" i="12"/>
  <c r="AX23" i="12"/>
  <c r="AR23" i="12"/>
  <c r="AL23" i="12"/>
  <c r="AF23" i="12"/>
  <c r="BF23" i="12"/>
  <c r="Z23" i="12"/>
  <c r="AZ23" i="12"/>
  <c r="T23" i="12"/>
  <c r="AT23" i="12"/>
  <c r="AN23" i="12"/>
  <c r="AH23" i="12"/>
  <c r="BH23" i="12"/>
  <c r="AB23" i="12"/>
  <c r="BB23" i="12"/>
  <c r="AV23" i="12"/>
  <c r="AP23" i="12"/>
  <c r="P23" i="12"/>
  <c r="L23" i="12"/>
  <c r="H23" i="12"/>
  <c r="V23" i="12"/>
  <c r="D23" i="12"/>
  <c r="R23" i="12"/>
  <c r="N23" i="12"/>
  <c r="X23" i="12"/>
  <c r="J23" i="12"/>
  <c r="F23" i="12"/>
  <c r="S16" i="12"/>
  <c r="AA16" i="12"/>
  <c r="BA16" i="12"/>
  <c r="B80" i="11"/>
  <c r="BJ80" i="18"/>
  <c r="BD80" i="18"/>
  <c r="X80" i="18"/>
  <c r="AX80" i="18"/>
  <c r="R80" i="18"/>
  <c r="AR80" i="18"/>
  <c r="AL80" i="18"/>
  <c r="AF80" i="18"/>
  <c r="Z80" i="18"/>
  <c r="AZ80" i="18"/>
  <c r="T80" i="18"/>
  <c r="AT80" i="18"/>
  <c r="AN80" i="18"/>
  <c r="AH80" i="18"/>
  <c r="AB80" i="18"/>
  <c r="BB80" i="18"/>
  <c r="AV80" i="18"/>
  <c r="F80" i="18"/>
  <c r="D80" i="18"/>
  <c r="BF80" i="18"/>
  <c r="P80" i="18"/>
  <c r="V80" i="18"/>
  <c r="N80" i="18"/>
  <c r="H80" i="18"/>
  <c r="AD80" i="18"/>
  <c r="J80" i="18"/>
  <c r="BH80" i="18"/>
  <c r="AJ80" i="18"/>
  <c r="AP80" i="18"/>
  <c r="L80" i="18"/>
  <c r="BJ27" i="17"/>
  <c r="AV27" i="17"/>
  <c r="P27" i="17"/>
  <c r="AP27" i="17"/>
  <c r="J27" i="17"/>
  <c r="AJ27" i="17"/>
  <c r="AD27" i="17"/>
  <c r="BD27" i="17"/>
  <c r="X27" i="17"/>
  <c r="AX27" i="17"/>
  <c r="R27" i="17"/>
  <c r="AR27" i="17"/>
  <c r="L27" i="17"/>
  <c r="AL27" i="17"/>
  <c r="F27" i="17"/>
  <c r="AF27" i="17"/>
  <c r="BF27" i="17"/>
  <c r="Z27" i="17"/>
  <c r="AZ27" i="17"/>
  <c r="T27" i="17"/>
  <c r="AT27" i="17"/>
  <c r="N27" i="17"/>
  <c r="AN27" i="17"/>
  <c r="H27" i="17"/>
  <c r="D27" i="17"/>
  <c r="AH27" i="17"/>
  <c r="BH27" i="17"/>
  <c r="AB27" i="17"/>
  <c r="BB27" i="17"/>
  <c r="V27" i="17"/>
  <c r="B27" i="19"/>
  <c r="C16" i="12"/>
  <c r="AK16" i="12"/>
  <c r="BJ22" i="17"/>
  <c r="B60" i="13"/>
  <c r="AP60" i="11"/>
  <c r="J60" i="11"/>
  <c r="BD60" i="11"/>
  <c r="X60" i="11"/>
  <c r="AL60" i="11"/>
  <c r="F60" i="11"/>
  <c r="AT60" i="11"/>
  <c r="BB60" i="11"/>
  <c r="V60" i="11"/>
  <c r="BH60" i="11"/>
  <c r="AV60" i="11"/>
  <c r="AF60" i="11"/>
  <c r="P60" i="11"/>
  <c r="BF60" i="11"/>
  <c r="Z60" i="11"/>
  <c r="AH60" i="11"/>
  <c r="H60" i="11"/>
  <c r="AX60" i="11"/>
  <c r="AN60" i="11"/>
  <c r="N60" i="11"/>
  <c r="AD60" i="11"/>
  <c r="T60" i="11"/>
  <c r="D60" i="11"/>
  <c r="AJ60" i="11"/>
  <c r="L60" i="11"/>
  <c r="BJ60" i="11"/>
  <c r="AZ60" i="11"/>
  <c r="AB60" i="11"/>
  <c r="AR60" i="11"/>
  <c r="R60" i="11"/>
  <c r="BJ33" i="17"/>
  <c r="AN33" i="17"/>
  <c r="H33" i="17"/>
  <c r="AH33" i="17"/>
  <c r="BH33" i="17"/>
  <c r="AB33" i="17"/>
  <c r="BB33" i="17"/>
  <c r="V33" i="17"/>
  <c r="AV33" i="17"/>
  <c r="P33" i="17"/>
  <c r="AP33" i="17"/>
  <c r="J33" i="17"/>
  <c r="AJ33" i="17"/>
  <c r="AD33" i="17"/>
  <c r="BD33" i="17"/>
  <c r="X33" i="17"/>
  <c r="AX33" i="17"/>
  <c r="R33" i="17"/>
  <c r="AR33" i="17"/>
  <c r="L33" i="17"/>
  <c r="AL33" i="17"/>
  <c r="F33" i="17"/>
  <c r="AF33" i="17"/>
  <c r="BF33" i="17"/>
  <c r="Z33" i="17"/>
  <c r="AZ33" i="17"/>
  <c r="T33" i="17"/>
  <c r="AT33" i="17"/>
  <c r="N33" i="17"/>
  <c r="D33" i="17"/>
  <c r="B33" i="19"/>
  <c r="BG16" i="12"/>
  <c r="B81" i="11"/>
  <c r="AR81" i="18"/>
  <c r="AL81" i="18"/>
  <c r="BD81" i="18"/>
  <c r="AF81" i="18"/>
  <c r="Z81" i="18"/>
  <c r="AZ81" i="18"/>
  <c r="AT81" i="18"/>
  <c r="AN81" i="18"/>
  <c r="AH81" i="18"/>
  <c r="AB81" i="18"/>
  <c r="BB81" i="18"/>
  <c r="AV81" i="18"/>
  <c r="AP81" i="18"/>
  <c r="R81" i="18"/>
  <c r="V81" i="18"/>
  <c r="N81" i="18"/>
  <c r="H81" i="18"/>
  <c r="BJ81" i="18"/>
  <c r="AD81" i="18"/>
  <c r="J81" i="18"/>
  <c r="BH81" i="18"/>
  <c r="AJ81" i="18"/>
  <c r="X81" i="18"/>
  <c r="L81" i="18"/>
  <c r="D81" i="18"/>
  <c r="F81" i="18"/>
  <c r="BF81" i="18"/>
  <c r="AX81" i="18"/>
  <c r="T81" i="18"/>
  <c r="P81" i="18"/>
  <c r="B57" i="18"/>
  <c r="AP57" i="19"/>
  <c r="J57" i="19"/>
  <c r="BD57" i="19"/>
  <c r="X57" i="19"/>
  <c r="AL57" i="19"/>
  <c r="F57" i="19"/>
  <c r="AZ57" i="19"/>
  <c r="T57" i="19"/>
  <c r="AH57" i="19"/>
  <c r="AV57" i="19"/>
  <c r="P57" i="19"/>
  <c r="BJ57" i="19"/>
  <c r="AD57" i="19"/>
  <c r="AR57" i="19"/>
  <c r="L57" i="19"/>
  <c r="BF57" i="19"/>
  <c r="Z57" i="19"/>
  <c r="BB57" i="19"/>
  <c r="V57" i="19"/>
  <c r="AJ57" i="19"/>
  <c r="AX57" i="19"/>
  <c r="R57" i="19"/>
  <c r="D57" i="19"/>
  <c r="AF57" i="19"/>
  <c r="AT57" i="19"/>
  <c r="N57" i="19"/>
  <c r="BH57" i="19"/>
  <c r="AB57" i="19"/>
  <c r="H57" i="19"/>
  <c r="AN57" i="19"/>
  <c r="B41" i="18"/>
  <c r="AP41" i="19"/>
  <c r="J41" i="19"/>
  <c r="BD41" i="19"/>
  <c r="X41" i="19"/>
  <c r="AL41" i="19"/>
  <c r="F41" i="19"/>
  <c r="AZ41" i="19"/>
  <c r="T41" i="19"/>
  <c r="AH41" i="19"/>
  <c r="AV41" i="19"/>
  <c r="P41" i="19"/>
  <c r="BJ41" i="19"/>
  <c r="AD41" i="19"/>
  <c r="AR41" i="19"/>
  <c r="L41" i="19"/>
  <c r="BF41" i="19"/>
  <c r="Z41" i="19"/>
  <c r="BB41" i="19"/>
  <c r="V41" i="19"/>
  <c r="AJ41" i="19"/>
  <c r="AX41" i="19"/>
  <c r="R41" i="19"/>
  <c r="D41" i="19"/>
  <c r="AF41" i="19"/>
  <c r="AT41" i="19"/>
  <c r="N41" i="19"/>
  <c r="BH41" i="19"/>
  <c r="AB41" i="19"/>
  <c r="H41" i="19"/>
  <c r="AN41" i="19"/>
  <c r="BD29" i="17"/>
  <c r="X29" i="17"/>
  <c r="AX29" i="17"/>
  <c r="R29" i="17"/>
  <c r="AR29" i="17"/>
  <c r="L29" i="17"/>
  <c r="AL29" i="17"/>
  <c r="F29" i="17"/>
  <c r="AF29" i="17"/>
  <c r="BF29" i="17"/>
  <c r="Z29" i="17"/>
  <c r="AZ29" i="17"/>
  <c r="T29" i="17"/>
  <c r="D29" i="17"/>
  <c r="BJ29" i="17"/>
  <c r="AT29" i="17"/>
  <c r="N29" i="17"/>
  <c r="AN29" i="17"/>
  <c r="H29" i="17"/>
  <c r="AH29" i="17"/>
  <c r="BH29" i="17"/>
  <c r="AB29" i="17"/>
  <c r="BB29" i="17"/>
  <c r="V29" i="17"/>
  <c r="AV29" i="17"/>
  <c r="P29" i="17"/>
  <c r="AP29" i="17"/>
  <c r="J29" i="17"/>
  <c r="AJ29" i="17"/>
  <c r="AD29" i="17"/>
  <c r="B29" i="19"/>
  <c r="I16" i="12"/>
  <c r="AC16" i="12"/>
  <c r="AG16" i="12"/>
  <c r="AQ16" i="12"/>
  <c r="B74" i="11"/>
  <c r="BF74" i="18"/>
  <c r="AF74" i="18"/>
  <c r="Z74" i="18"/>
  <c r="AZ74" i="18"/>
  <c r="T74" i="18"/>
  <c r="AT74" i="18"/>
  <c r="AN74" i="18"/>
  <c r="AH74" i="18"/>
  <c r="AB74" i="18"/>
  <c r="BH74" i="18"/>
  <c r="BB74" i="18"/>
  <c r="BJ74" i="18"/>
  <c r="AV74" i="18"/>
  <c r="AP74" i="18"/>
  <c r="AJ74" i="18"/>
  <c r="AX74" i="18"/>
  <c r="N74" i="18"/>
  <c r="H74" i="18"/>
  <c r="AL74" i="18"/>
  <c r="X74" i="18"/>
  <c r="D74" i="18"/>
  <c r="J74" i="18"/>
  <c r="BD74" i="18"/>
  <c r="AD74" i="18"/>
  <c r="AR74" i="18"/>
  <c r="R74" i="18"/>
  <c r="P74" i="18"/>
  <c r="V74" i="18"/>
  <c r="L74" i="18"/>
  <c r="F74" i="18"/>
  <c r="BF82" i="18"/>
  <c r="B82" i="11"/>
  <c r="BD82" i="18"/>
  <c r="AF82" i="18"/>
  <c r="Z82" i="18"/>
  <c r="AZ82" i="18"/>
  <c r="T82" i="18"/>
  <c r="AT82" i="18"/>
  <c r="AN82" i="18"/>
  <c r="AH82" i="18"/>
  <c r="AB82" i="18"/>
  <c r="BB82" i="18"/>
  <c r="AV82" i="18"/>
  <c r="AP82" i="18"/>
  <c r="AJ82" i="18"/>
  <c r="BH82" i="18"/>
  <c r="BJ82" i="18"/>
  <c r="V82" i="18"/>
  <c r="N82" i="18"/>
  <c r="H82" i="18"/>
  <c r="AD82" i="18"/>
  <c r="AR82" i="18"/>
  <c r="J82" i="18"/>
  <c r="X82" i="18"/>
  <c r="D82" i="18"/>
  <c r="L82" i="18"/>
  <c r="AX82" i="18"/>
  <c r="P82" i="18"/>
  <c r="R82" i="18"/>
  <c r="AL82" i="18"/>
  <c r="F82" i="18"/>
  <c r="B71" i="11"/>
  <c r="BJ71" i="18"/>
  <c r="AJ71" i="18"/>
  <c r="AD71" i="18"/>
  <c r="BD71" i="18"/>
  <c r="X71" i="18"/>
  <c r="AX71" i="18"/>
  <c r="AR71" i="18"/>
  <c r="AL71" i="18"/>
  <c r="AF71" i="18"/>
  <c r="Z71" i="18"/>
  <c r="AZ71" i="18"/>
  <c r="AT71" i="18"/>
  <c r="AN71" i="18"/>
  <c r="P71" i="18"/>
  <c r="BB71" i="18"/>
  <c r="V71" i="18"/>
  <c r="L71" i="18"/>
  <c r="F71" i="18"/>
  <c r="BF71" i="18"/>
  <c r="AP71" i="18"/>
  <c r="N71" i="18"/>
  <c r="H71" i="18"/>
  <c r="AV71" i="18"/>
  <c r="AB71" i="18"/>
  <c r="D71" i="18"/>
  <c r="T71" i="18"/>
  <c r="R71" i="18"/>
  <c r="BH71" i="18"/>
  <c r="AH71" i="18"/>
  <c r="J71" i="18"/>
  <c r="B55" i="18"/>
  <c r="AX55" i="19"/>
  <c r="R55" i="19"/>
  <c r="AF55" i="19"/>
  <c r="AT55" i="19"/>
  <c r="N55" i="19"/>
  <c r="D55" i="19"/>
  <c r="BH55" i="19"/>
  <c r="AB55" i="19"/>
  <c r="AP55" i="19"/>
  <c r="J55" i="19"/>
  <c r="BD55" i="19"/>
  <c r="X55" i="19"/>
  <c r="AL55" i="19"/>
  <c r="F55" i="19"/>
  <c r="AZ55" i="19"/>
  <c r="T55" i="19"/>
  <c r="AH55" i="19"/>
  <c r="BJ55" i="19"/>
  <c r="AD55" i="19"/>
  <c r="AR55" i="19"/>
  <c r="L55" i="19"/>
  <c r="BF55" i="19"/>
  <c r="Z55" i="19"/>
  <c r="AN55" i="19"/>
  <c r="H55" i="19"/>
  <c r="BB55" i="19"/>
  <c r="V55" i="19"/>
  <c r="AJ55" i="19"/>
  <c r="AV55" i="19"/>
  <c r="P55" i="19"/>
  <c r="B39" i="18"/>
  <c r="BA38" i="19"/>
  <c r="AX39" i="19"/>
  <c r="U38" i="19"/>
  <c r="R39" i="19"/>
  <c r="AI38" i="19"/>
  <c r="AF39" i="19"/>
  <c r="AW38" i="19"/>
  <c r="AT39" i="19"/>
  <c r="Q38" i="19"/>
  <c r="N39" i="19"/>
  <c r="D39" i="19"/>
  <c r="BH39" i="19"/>
  <c r="AE38" i="19"/>
  <c r="AB39" i="19"/>
  <c r="AS38" i="19"/>
  <c r="AP39" i="19"/>
  <c r="M38" i="19"/>
  <c r="J39" i="19"/>
  <c r="BG38" i="19"/>
  <c r="BD39" i="19"/>
  <c r="AA38" i="19"/>
  <c r="X39" i="19"/>
  <c r="C38" i="19"/>
  <c r="AO38" i="19"/>
  <c r="AL39" i="19"/>
  <c r="I38" i="19"/>
  <c r="F39" i="19"/>
  <c r="BC38" i="19"/>
  <c r="AZ39" i="19"/>
  <c r="W38" i="19"/>
  <c r="T39" i="19"/>
  <c r="AK38" i="19"/>
  <c r="AH39" i="19"/>
  <c r="E38" i="19"/>
  <c r="BJ39" i="19"/>
  <c r="AG38" i="19"/>
  <c r="AD39" i="19"/>
  <c r="AU38" i="19"/>
  <c r="AR39" i="19"/>
  <c r="O38" i="19"/>
  <c r="L39" i="19"/>
  <c r="BI38" i="19"/>
  <c r="BF39" i="19"/>
  <c r="AC38" i="19"/>
  <c r="Z39" i="19"/>
  <c r="AQ38" i="19"/>
  <c r="AN39" i="19"/>
  <c r="K38" i="19"/>
  <c r="H39" i="19"/>
  <c r="BE38" i="19"/>
  <c r="BB39" i="19"/>
  <c r="Y38" i="19"/>
  <c r="V39" i="19"/>
  <c r="AM38" i="19"/>
  <c r="AJ39" i="19"/>
  <c r="G38" i="19"/>
  <c r="AV39" i="19"/>
  <c r="S38" i="19"/>
  <c r="P39" i="19"/>
  <c r="AY38" i="19"/>
  <c r="K16" i="12"/>
  <c r="BD37" i="17"/>
  <c r="X37" i="17"/>
  <c r="AX37" i="17"/>
  <c r="R37" i="17"/>
  <c r="BJ37" i="17"/>
  <c r="AR37" i="17"/>
  <c r="L37" i="17"/>
  <c r="AL37" i="17"/>
  <c r="F37" i="17"/>
  <c r="AF37" i="17"/>
  <c r="BF37" i="17"/>
  <c r="Z37" i="17"/>
  <c r="AZ37" i="17"/>
  <c r="T37" i="17"/>
  <c r="AT37" i="17"/>
  <c r="N37" i="17"/>
  <c r="AN37" i="17"/>
  <c r="H37" i="17"/>
  <c r="AH37" i="17"/>
  <c r="BH37" i="17"/>
  <c r="AB37" i="17"/>
  <c r="BB37" i="17"/>
  <c r="V37" i="17"/>
  <c r="AV37" i="17"/>
  <c r="P37" i="17"/>
  <c r="AP37" i="17"/>
  <c r="J37" i="17"/>
  <c r="AJ37" i="17"/>
  <c r="AD37" i="17"/>
  <c r="D37" i="17"/>
  <c r="B37" i="19"/>
  <c r="B70" i="11"/>
  <c r="BF70" i="18"/>
  <c r="AV70" i="18"/>
  <c r="AP70" i="18"/>
  <c r="AJ70" i="18"/>
  <c r="AD70" i="18"/>
  <c r="BD70" i="18"/>
  <c r="X70" i="18"/>
  <c r="AX70" i="18"/>
  <c r="AR70" i="18"/>
  <c r="AL70" i="18"/>
  <c r="AF70" i="18"/>
  <c r="AZ70" i="18"/>
  <c r="AT70" i="18"/>
  <c r="BJ70" i="18"/>
  <c r="AN70" i="18"/>
  <c r="P70" i="18"/>
  <c r="BB70" i="18"/>
  <c r="V70" i="18"/>
  <c r="L70" i="18"/>
  <c r="F70" i="18"/>
  <c r="N70" i="18"/>
  <c r="H70" i="18"/>
  <c r="AB70" i="18"/>
  <c r="BH70" i="18"/>
  <c r="AH70" i="18"/>
  <c r="Z70" i="18"/>
  <c r="J70" i="18"/>
  <c r="D70" i="18"/>
  <c r="T70" i="18"/>
  <c r="R70" i="18"/>
  <c r="B54" i="18"/>
  <c r="BB54" i="19"/>
  <c r="V54" i="19"/>
  <c r="AJ54" i="19"/>
  <c r="AX54" i="19"/>
  <c r="R54" i="19"/>
  <c r="AF54" i="19"/>
  <c r="AT54" i="19"/>
  <c r="N54" i="19"/>
  <c r="BH54" i="19"/>
  <c r="AB54" i="19"/>
  <c r="D54" i="19"/>
  <c r="AP54" i="19"/>
  <c r="J54" i="19"/>
  <c r="BD54" i="19"/>
  <c r="X54" i="19"/>
  <c r="AL54" i="19"/>
  <c r="F54" i="19"/>
  <c r="AH54" i="19"/>
  <c r="AV54" i="19"/>
  <c r="P54" i="19"/>
  <c r="BJ54" i="19"/>
  <c r="AD54" i="19"/>
  <c r="AR54" i="19"/>
  <c r="L54" i="19"/>
  <c r="BF54" i="19"/>
  <c r="Z54" i="19"/>
  <c r="AN54" i="19"/>
  <c r="H54" i="19"/>
  <c r="T54" i="19"/>
  <c r="AZ54" i="19"/>
  <c r="B31" i="18"/>
  <c r="AP31" i="19"/>
  <c r="AJ31" i="19"/>
  <c r="BJ31" i="19"/>
  <c r="AD31" i="19"/>
  <c r="BD31" i="19"/>
  <c r="X31" i="19"/>
  <c r="AX31" i="19"/>
  <c r="AR31" i="19"/>
  <c r="AL31" i="19"/>
  <c r="AF31" i="19"/>
  <c r="BF31" i="19"/>
  <c r="Z31" i="19"/>
  <c r="AT31" i="19"/>
  <c r="AN31" i="19"/>
  <c r="AH31" i="19"/>
  <c r="BH31" i="19"/>
  <c r="BB31" i="19"/>
  <c r="V31" i="19"/>
  <c r="AV31" i="19"/>
  <c r="T31" i="19"/>
  <c r="L31" i="19"/>
  <c r="F31" i="19"/>
  <c r="D31" i="19"/>
  <c r="N31" i="19"/>
  <c r="H31" i="19"/>
  <c r="AZ31" i="19"/>
  <c r="AB31" i="19"/>
  <c r="R31" i="19"/>
  <c r="P31" i="19"/>
  <c r="J31" i="19"/>
  <c r="B46" i="18"/>
  <c r="BB46" i="19"/>
  <c r="V46" i="19"/>
  <c r="AJ46" i="19"/>
  <c r="AX46" i="19"/>
  <c r="R46" i="19"/>
  <c r="AF46" i="19"/>
  <c r="AT46" i="19"/>
  <c r="N46" i="19"/>
  <c r="BH46" i="19"/>
  <c r="AB46" i="19"/>
  <c r="AP46" i="19"/>
  <c r="J46" i="19"/>
  <c r="BD46" i="19"/>
  <c r="X46" i="19"/>
  <c r="AL46" i="19"/>
  <c r="F46" i="19"/>
  <c r="AH46" i="19"/>
  <c r="AV46" i="19"/>
  <c r="P46" i="19"/>
  <c r="BJ46" i="19"/>
  <c r="AD46" i="19"/>
  <c r="AR46" i="19"/>
  <c r="L46" i="19"/>
  <c r="D46" i="19"/>
  <c r="BF46" i="19"/>
  <c r="Z46" i="19"/>
  <c r="AN46" i="19"/>
  <c r="H46" i="19"/>
  <c r="T46" i="19"/>
  <c r="AZ46" i="19"/>
  <c r="BJ26" i="17"/>
  <c r="BH26" i="17"/>
  <c r="AB26" i="17"/>
  <c r="BB26" i="17"/>
  <c r="V26" i="17"/>
  <c r="AV26" i="17"/>
  <c r="P26" i="17"/>
  <c r="AP26" i="17"/>
  <c r="J26" i="17"/>
  <c r="AJ26" i="17"/>
  <c r="AD26" i="17"/>
  <c r="BD26" i="17"/>
  <c r="X26" i="17"/>
  <c r="AX26" i="17"/>
  <c r="R26" i="17"/>
  <c r="AR26" i="17"/>
  <c r="L26" i="17"/>
  <c r="AL26" i="17"/>
  <c r="F26" i="17"/>
  <c r="AF26" i="17"/>
  <c r="BF26" i="17"/>
  <c r="Z26" i="17"/>
  <c r="AZ26" i="17"/>
  <c r="T26" i="17"/>
  <c r="AT26" i="17"/>
  <c r="N26" i="17"/>
  <c r="AN26" i="17"/>
  <c r="AH26" i="17"/>
  <c r="H26" i="17"/>
  <c r="D26" i="17"/>
  <c r="B26" i="19"/>
  <c r="W16" i="12"/>
  <c r="G16" i="12"/>
  <c r="AW16" i="12"/>
  <c r="T14" i="17"/>
  <c r="AX14" i="17"/>
  <c r="R14" i="17"/>
  <c r="AJ14" i="17"/>
  <c r="B14" i="19"/>
  <c r="BF15" i="17"/>
  <c r="BD15" i="17"/>
  <c r="BB15" i="17"/>
  <c r="AD15" i="17"/>
  <c r="AB15" i="17"/>
  <c r="Z15" i="17"/>
  <c r="X15" i="17"/>
  <c r="BJ15" i="17"/>
  <c r="V15" i="17"/>
  <c r="AZ15" i="17"/>
  <c r="T15" i="17"/>
  <c r="AX15" i="17"/>
  <c r="R15" i="17"/>
  <c r="AV15" i="17"/>
  <c r="P15" i="17"/>
  <c r="AT15" i="17"/>
  <c r="N15" i="17"/>
  <c r="AR15" i="17"/>
  <c r="L15" i="17"/>
  <c r="BH15" i="17"/>
  <c r="AP15" i="17"/>
  <c r="J15" i="17"/>
  <c r="AN15" i="17"/>
  <c r="H15" i="17"/>
  <c r="AL15" i="17"/>
  <c r="F15" i="17"/>
  <c r="AJ15" i="17"/>
  <c r="D15" i="17"/>
  <c r="AH15" i="17"/>
  <c r="AF15" i="17"/>
  <c r="B15" i="19"/>
  <c r="B5" i="13"/>
  <c r="BJ5" i="11"/>
  <c r="AW4" i="11"/>
  <c r="AD5" i="11"/>
  <c r="Q4" i="11"/>
  <c r="BC4" i="11"/>
  <c r="BH5" i="11"/>
  <c r="AF5" i="11"/>
  <c r="Y4" i="11"/>
  <c r="AS4" i="11"/>
  <c r="R5" i="11"/>
  <c r="K4" i="11"/>
  <c r="BG4" i="11"/>
  <c r="AZ5" i="11"/>
  <c r="AL5" i="11"/>
  <c r="AE4" i="11"/>
  <c r="D5" i="11"/>
  <c r="X5" i="11"/>
  <c r="J5" i="11"/>
  <c r="AY4" i="11"/>
  <c r="AR5" i="11"/>
  <c r="AK4" i="11"/>
  <c r="W4" i="11"/>
  <c r="BF5" i="11"/>
  <c r="P5" i="11"/>
  <c r="AQ4" i="11"/>
  <c r="AJ5" i="11"/>
  <c r="AC4" i="11"/>
  <c r="AB5" i="11"/>
  <c r="BB5" i="11"/>
  <c r="AN5" i="11"/>
  <c r="Z5" i="11"/>
  <c r="F5" i="11"/>
  <c r="BA4" i="11"/>
  <c r="AM4" i="11"/>
  <c r="N5" i="11"/>
  <c r="AX5" i="11"/>
  <c r="E4" i="11"/>
  <c r="AI4" i="11"/>
  <c r="V5" i="11"/>
  <c r="M4" i="11"/>
  <c r="AV5" i="11"/>
  <c r="C4" i="11"/>
  <c r="AH5" i="11"/>
  <c r="U4" i="11"/>
  <c r="AU4" i="11"/>
  <c r="L5" i="11"/>
  <c r="BI4" i="11"/>
  <c r="AG4" i="11"/>
  <c r="T5" i="11"/>
  <c r="I4" i="11"/>
  <c r="AT5" i="11"/>
  <c r="BE4" i="11"/>
  <c r="S4" i="11"/>
  <c r="AP5" i="11"/>
  <c r="H5" i="11"/>
  <c r="BD5" i="11"/>
  <c r="AO4" i="11"/>
  <c r="AA4" i="11"/>
  <c r="G4" i="11"/>
  <c r="O4" i="11"/>
  <c r="B83" i="11"/>
  <c r="BF83" i="18"/>
  <c r="AZ83" i="18"/>
  <c r="T83" i="18"/>
  <c r="AT83" i="18"/>
  <c r="N83" i="18"/>
  <c r="AN83" i="18"/>
  <c r="AH83" i="18"/>
  <c r="AB83" i="18"/>
  <c r="BB83" i="18"/>
  <c r="AV83" i="18"/>
  <c r="P83" i="18"/>
  <c r="AP83" i="18"/>
  <c r="AJ83" i="18"/>
  <c r="BH83" i="18"/>
  <c r="BJ83" i="18"/>
  <c r="AX83" i="18"/>
  <c r="AR83" i="18"/>
  <c r="AD83" i="18"/>
  <c r="AF83" i="18"/>
  <c r="J83" i="18"/>
  <c r="Z83" i="18"/>
  <c r="BD83" i="18"/>
  <c r="X83" i="18"/>
  <c r="D83" i="18"/>
  <c r="L83" i="18"/>
  <c r="F83" i="18"/>
  <c r="AL83" i="18"/>
  <c r="V83" i="18"/>
  <c r="H83" i="18"/>
  <c r="R83" i="18"/>
  <c r="B72" i="11"/>
  <c r="BJ72" i="18"/>
  <c r="BD72" i="18"/>
  <c r="X72" i="18"/>
  <c r="AX72" i="18"/>
  <c r="R72" i="18"/>
  <c r="AR72" i="18"/>
  <c r="AL72" i="18"/>
  <c r="AF72" i="18"/>
  <c r="Z72" i="18"/>
  <c r="AZ72" i="18"/>
  <c r="T72" i="18"/>
  <c r="AT72" i="18"/>
  <c r="AN72" i="18"/>
  <c r="AH72" i="18"/>
  <c r="AB72" i="18"/>
  <c r="BH72" i="18"/>
  <c r="BB72" i="18"/>
  <c r="BF72" i="18"/>
  <c r="AV72" i="18"/>
  <c r="AJ72" i="18"/>
  <c r="F72" i="18"/>
  <c r="AP72" i="18"/>
  <c r="N72" i="18"/>
  <c r="H72" i="18"/>
  <c r="D72" i="18"/>
  <c r="J72" i="18"/>
  <c r="P72" i="18"/>
  <c r="V72" i="18"/>
  <c r="L72" i="18"/>
  <c r="AD72" i="18"/>
  <c r="B62" i="13"/>
  <c r="AH62" i="11"/>
  <c r="AV62" i="11"/>
  <c r="P62" i="11"/>
  <c r="BJ62" i="11"/>
  <c r="AD62" i="11"/>
  <c r="BB62" i="11"/>
  <c r="AB62" i="11"/>
  <c r="BF62" i="11"/>
  <c r="AF62" i="11"/>
  <c r="F62" i="11"/>
  <c r="AJ62" i="11"/>
  <c r="J62" i="11"/>
  <c r="Z62" i="11"/>
  <c r="AP62" i="11"/>
  <c r="D62" i="11"/>
  <c r="N62" i="11"/>
  <c r="AZ62" i="11"/>
  <c r="T62" i="11"/>
  <c r="AN62" i="11"/>
  <c r="BH62" i="11"/>
  <c r="AX62" i="11"/>
  <c r="X62" i="11"/>
  <c r="V62" i="11"/>
  <c r="BD62" i="11"/>
  <c r="L62" i="11"/>
  <c r="AT62" i="11"/>
  <c r="AL62" i="11"/>
  <c r="AR62" i="11"/>
  <c r="R62" i="11"/>
  <c r="H62" i="11"/>
  <c r="B66" i="11"/>
  <c r="BF66" i="18"/>
  <c r="AF66" i="18"/>
  <c r="Z66" i="18"/>
  <c r="AZ66" i="18"/>
  <c r="T66" i="18"/>
  <c r="BH66" i="18"/>
  <c r="AT66" i="18"/>
  <c r="BJ66" i="18"/>
  <c r="AN66" i="18"/>
  <c r="AH66" i="18"/>
  <c r="AB66" i="18"/>
  <c r="BB66" i="18"/>
  <c r="AV66" i="18"/>
  <c r="AP66" i="18"/>
  <c r="AJ66" i="18"/>
  <c r="BD66" i="18"/>
  <c r="N66" i="18"/>
  <c r="H66" i="18"/>
  <c r="AX66" i="18"/>
  <c r="V66" i="18"/>
  <c r="R66" i="18"/>
  <c r="J66" i="18"/>
  <c r="AL66" i="18"/>
  <c r="P66" i="18"/>
  <c r="D66" i="18"/>
  <c r="X66" i="18"/>
  <c r="L66" i="18"/>
  <c r="AD66" i="18"/>
  <c r="F66" i="18"/>
  <c r="AR66" i="18"/>
  <c r="B45" i="18"/>
  <c r="BF45" i="19"/>
  <c r="Z45" i="19"/>
  <c r="D45" i="19"/>
  <c r="AN45" i="19"/>
  <c r="H45" i="19"/>
  <c r="BB45" i="19"/>
  <c r="V45" i="19"/>
  <c r="AJ45" i="19"/>
  <c r="AX45" i="19"/>
  <c r="R45" i="19"/>
  <c r="AF45" i="19"/>
  <c r="AT45" i="19"/>
  <c r="N45" i="19"/>
  <c r="BH45" i="19"/>
  <c r="AB45" i="19"/>
  <c r="AP45" i="19"/>
  <c r="J45" i="19"/>
  <c r="AL45" i="19"/>
  <c r="F45" i="19"/>
  <c r="AZ45" i="19"/>
  <c r="T45" i="19"/>
  <c r="AH45" i="19"/>
  <c r="AV45" i="19"/>
  <c r="P45" i="19"/>
  <c r="BJ45" i="19"/>
  <c r="AD45" i="19"/>
  <c r="AR45" i="19"/>
  <c r="L45" i="19"/>
  <c r="X45" i="19"/>
  <c r="BD45" i="19"/>
  <c r="B48" i="11"/>
  <c r="BH48" i="18"/>
  <c r="AP48" i="18"/>
  <c r="BD48" i="18"/>
  <c r="AL48" i="18"/>
  <c r="AZ48" i="18"/>
  <c r="AV48" i="18"/>
  <c r="BJ48" i="18"/>
  <c r="AR48" i="18"/>
  <c r="BF48" i="18"/>
  <c r="BB48" i="18"/>
  <c r="AT48" i="18"/>
  <c r="AD48" i="18"/>
  <c r="L48" i="18"/>
  <c r="Z48" i="18"/>
  <c r="H48" i="18"/>
  <c r="AN48" i="18"/>
  <c r="V48" i="18"/>
  <c r="AX48" i="18"/>
  <c r="R48" i="18"/>
  <c r="AF48" i="18"/>
  <c r="N48" i="18"/>
  <c r="AJ48" i="18"/>
  <c r="J48" i="18"/>
  <c r="X48" i="18"/>
  <c r="F48" i="18"/>
  <c r="T48" i="18"/>
  <c r="AH48" i="18"/>
  <c r="P48" i="18"/>
  <c r="D48" i="18"/>
  <c r="AB48" i="18"/>
  <c r="BJ32" i="17"/>
  <c r="AZ32" i="17"/>
  <c r="T32" i="17"/>
  <c r="AT32" i="17"/>
  <c r="N32" i="17"/>
  <c r="AN32" i="17"/>
  <c r="H32" i="17"/>
  <c r="AH32" i="17"/>
  <c r="BH32" i="17"/>
  <c r="AB32" i="17"/>
  <c r="BB32" i="17"/>
  <c r="V32" i="17"/>
  <c r="AV32" i="17"/>
  <c r="P32" i="17"/>
  <c r="AP32" i="17"/>
  <c r="J32" i="17"/>
  <c r="AJ32" i="17"/>
  <c r="AD32" i="17"/>
  <c r="BD32" i="17"/>
  <c r="X32" i="17"/>
  <c r="AX32" i="17"/>
  <c r="R32" i="17"/>
  <c r="AR32" i="17"/>
  <c r="L32" i="17"/>
  <c r="AL32" i="17"/>
  <c r="AF32" i="17"/>
  <c r="BF32" i="17"/>
  <c r="Z32" i="17"/>
  <c r="D32" i="17"/>
  <c r="F32" i="17"/>
  <c r="B32" i="19"/>
  <c r="M16" i="12"/>
  <c r="AM16" i="12"/>
  <c r="BC16" i="12"/>
  <c r="R9" i="17"/>
  <c r="AV9" i="17"/>
  <c r="BJ9" i="17"/>
  <c r="B84" i="11"/>
  <c r="BH84" i="18"/>
  <c r="AN84" i="18"/>
  <c r="AH84" i="18"/>
  <c r="AB84" i="18"/>
  <c r="BB84" i="18"/>
  <c r="V84" i="18"/>
  <c r="AV84" i="18"/>
  <c r="AP84" i="18"/>
  <c r="AJ84" i="18"/>
  <c r="AD84" i="18"/>
  <c r="BJ84" i="18"/>
  <c r="AX84" i="18"/>
  <c r="BF84" i="18"/>
  <c r="AR84" i="18"/>
  <c r="AL84" i="18"/>
  <c r="BD84" i="18"/>
  <c r="AF84" i="18"/>
  <c r="J84" i="18"/>
  <c r="Z84" i="18"/>
  <c r="D84" i="18"/>
  <c r="AZ84" i="18"/>
  <c r="X84" i="18"/>
  <c r="L84" i="18"/>
  <c r="F84" i="18"/>
  <c r="R84" i="18"/>
  <c r="P84" i="18"/>
  <c r="T84" i="18"/>
  <c r="H84" i="18"/>
  <c r="AT84" i="18"/>
  <c r="N84" i="18"/>
  <c r="B44" i="18"/>
  <c r="BJ44" i="19"/>
  <c r="AD44" i="19"/>
  <c r="AR44" i="19"/>
  <c r="L44" i="19"/>
  <c r="BF44" i="19"/>
  <c r="Z44" i="19"/>
  <c r="AN44" i="19"/>
  <c r="H44" i="19"/>
  <c r="D44" i="19"/>
  <c r="BB44" i="19"/>
  <c r="V44" i="19"/>
  <c r="AJ44" i="19"/>
  <c r="AX44" i="19"/>
  <c r="R44" i="19"/>
  <c r="AF44" i="19"/>
  <c r="AT44" i="19"/>
  <c r="N44" i="19"/>
  <c r="AP44" i="19"/>
  <c r="J44" i="19"/>
  <c r="BD44" i="19"/>
  <c r="X44" i="19"/>
  <c r="AL44" i="19"/>
  <c r="F44" i="19"/>
  <c r="AZ44" i="19"/>
  <c r="T44" i="19"/>
  <c r="AH44" i="19"/>
  <c r="AV44" i="19"/>
  <c r="P44" i="19"/>
  <c r="BH44" i="19"/>
  <c r="AB44" i="19"/>
  <c r="BI16" i="12"/>
  <c r="B6" i="13"/>
  <c r="AP6" i="11"/>
  <c r="J6" i="11"/>
  <c r="AV6" i="11"/>
  <c r="AZ6" i="11"/>
  <c r="AL6" i="11"/>
  <c r="D6" i="11"/>
  <c r="X6" i="11"/>
  <c r="AR6" i="11"/>
  <c r="BF6" i="11"/>
  <c r="AD6" i="11"/>
  <c r="P6" i="11"/>
  <c r="AX6" i="11"/>
  <c r="AJ6" i="11"/>
  <c r="V6" i="11"/>
  <c r="AH6" i="11"/>
  <c r="N6" i="11"/>
  <c r="L6" i="11"/>
  <c r="BJ6" i="11"/>
  <c r="T6" i="11"/>
  <c r="AT6" i="11"/>
  <c r="BH6" i="11"/>
  <c r="AF6" i="11"/>
  <c r="H6" i="11"/>
  <c r="AB6" i="11"/>
  <c r="BD6" i="11"/>
  <c r="R6" i="11"/>
  <c r="BB6" i="11"/>
  <c r="AN6" i="11"/>
  <c r="F6" i="11"/>
  <c r="Z6" i="11"/>
  <c r="B65" i="11"/>
  <c r="BI64" i="18"/>
  <c r="BC64" i="18"/>
  <c r="AR65" i="18"/>
  <c r="W64" i="18"/>
  <c r="AW64" i="18"/>
  <c r="AL65" i="18"/>
  <c r="Q64" i="18"/>
  <c r="AQ64" i="18"/>
  <c r="AF65" i="18"/>
  <c r="AK64" i="18"/>
  <c r="Z65" i="18"/>
  <c r="AZ65" i="18"/>
  <c r="AE64" i="18"/>
  <c r="BH65" i="18"/>
  <c r="AT65" i="18"/>
  <c r="Y64" i="18"/>
  <c r="BJ65" i="18"/>
  <c r="AY64" i="18"/>
  <c r="AN65" i="18"/>
  <c r="S64" i="18"/>
  <c r="BG64" i="18"/>
  <c r="BF65" i="18"/>
  <c r="AS64" i="18"/>
  <c r="AH65" i="18"/>
  <c r="AM64" i="18"/>
  <c r="AB65" i="18"/>
  <c r="BE64" i="18"/>
  <c r="BB65" i="18"/>
  <c r="AG64" i="18"/>
  <c r="AV65" i="18"/>
  <c r="BA64" i="18"/>
  <c r="AP65" i="18"/>
  <c r="AU64" i="18"/>
  <c r="AD65" i="18"/>
  <c r="AA64" i="18"/>
  <c r="E64" i="18"/>
  <c r="C64" i="18"/>
  <c r="AC64" i="18"/>
  <c r="N65" i="18"/>
  <c r="AJ65" i="18"/>
  <c r="H65" i="18"/>
  <c r="AO64" i="18"/>
  <c r="M64" i="18"/>
  <c r="AX65" i="18"/>
  <c r="AI64" i="18"/>
  <c r="G64" i="18"/>
  <c r="T65" i="18"/>
  <c r="V65" i="18"/>
  <c r="R65" i="18"/>
  <c r="J65" i="18"/>
  <c r="P65" i="18"/>
  <c r="U64" i="18"/>
  <c r="I64" i="18"/>
  <c r="O64" i="18"/>
  <c r="X65" i="18"/>
  <c r="L65" i="18"/>
  <c r="D65" i="18"/>
  <c r="F65" i="18"/>
  <c r="K64" i="18"/>
  <c r="BD65" i="18"/>
  <c r="B85" i="11"/>
  <c r="BH85" i="18"/>
  <c r="AB85" i="18"/>
  <c r="BB85" i="18"/>
  <c r="V85" i="18"/>
  <c r="AV85" i="18"/>
  <c r="P85" i="18"/>
  <c r="AP85" i="18"/>
  <c r="AJ85" i="18"/>
  <c r="AD85" i="18"/>
  <c r="BJ85" i="18"/>
  <c r="X85" i="18"/>
  <c r="AX85" i="18"/>
  <c r="BF85" i="18"/>
  <c r="AR85" i="18"/>
  <c r="AL85" i="18"/>
  <c r="BD85" i="18"/>
  <c r="AF85" i="18"/>
  <c r="AZ85" i="18"/>
  <c r="J85" i="18"/>
  <c r="Z85" i="18"/>
  <c r="D85" i="18"/>
  <c r="AN85" i="18"/>
  <c r="L85" i="18"/>
  <c r="AH85" i="18"/>
  <c r="F85" i="18"/>
  <c r="R85" i="18"/>
  <c r="T85" i="18"/>
  <c r="H85" i="18"/>
  <c r="AT85" i="18"/>
  <c r="N85" i="18"/>
  <c r="B53" i="18"/>
  <c r="BF53" i="19"/>
  <c r="Z53" i="19"/>
  <c r="AN53" i="19"/>
  <c r="H53" i="19"/>
  <c r="BB53" i="19"/>
  <c r="V53" i="19"/>
  <c r="AJ53" i="19"/>
  <c r="AX53" i="19"/>
  <c r="R53" i="19"/>
  <c r="AF53" i="19"/>
  <c r="AT53" i="19"/>
  <c r="N53" i="19"/>
  <c r="BH53" i="19"/>
  <c r="AB53" i="19"/>
  <c r="AP53" i="19"/>
  <c r="J53" i="19"/>
  <c r="D53" i="19"/>
  <c r="AL53" i="19"/>
  <c r="F53" i="19"/>
  <c r="AZ53" i="19"/>
  <c r="T53" i="19"/>
  <c r="AH53" i="19"/>
  <c r="AV53" i="19"/>
  <c r="P53" i="19"/>
  <c r="BJ53" i="19"/>
  <c r="AD53" i="19"/>
  <c r="AR53" i="19"/>
  <c r="L53" i="19"/>
  <c r="X53" i="19"/>
  <c r="BD53" i="19"/>
  <c r="B19" i="17"/>
  <c r="AZ19" i="12"/>
  <c r="AT19" i="12"/>
  <c r="AN19" i="12"/>
  <c r="AH19" i="12"/>
  <c r="BH19" i="12"/>
  <c r="AB19" i="12"/>
  <c r="BB19" i="12"/>
  <c r="AV19" i="12"/>
  <c r="AP19" i="12"/>
  <c r="AJ19" i="12"/>
  <c r="BJ19" i="12"/>
  <c r="AD19" i="12"/>
  <c r="BD19" i="12"/>
  <c r="AX19" i="12"/>
  <c r="AR19" i="12"/>
  <c r="AL19" i="12"/>
  <c r="BF19" i="12"/>
  <c r="R19" i="12"/>
  <c r="D19" i="12"/>
  <c r="N19" i="12"/>
  <c r="X19" i="12"/>
  <c r="J19" i="12"/>
  <c r="T19" i="12"/>
  <c r="F19" i="12"/>
  <c r="P19" i="12"/>
  <c r="L19" i="12"/>
  <c r="H19" i="12"/>
  <c r="V19" i="12"/>
  <c r="AF19" i="12"/>
  <c r="Z19" i="12"/>
  <c r="B76" i="11"/>
  <c r="BH76" i="18"/>
  <c r="AN76" i="18"/>
  <c r="AH76" i="18"/>
  <c r="AB76" i="18"/>
  <c r="BB76" i="18"/>
  <c r="V76" i="18"/>
  <c r="BJ76" i="18"/>
  <c r="AV76" i="18"/>
  <c r="AP76" i="18"/>
  <c r="AJ76" i="18"/>
  <c r="BF76" i="18"/>
  <c r="AD76" i="18"/>
  <c r="BD76" i="18"/>
  <c r="AX76" i="18"/>
  <c r="AR76" i="18"/>
  <c r="AL76" i="18"/>
  <c r="AT76" i="18"/>
  <c r="J76" i="18"/>
  <c r="R76" i="18"/>
  <c r="AF76" i="18"/>
  <c r="P76" i="18"/>
  <c r="L76" i="18"/>
  <c r="AZ76" i="18"/>
  <c r="T76" i="18"/>
  <c r="F76" i="18"/>
  <c r="Z76" i="18"/>
  <c r="H76" i="18"/>
  <c r="X76" i="18"/>
  <c r="D76" i="18"/>
  <c r="N76" i="18"/>
  <c r="B20" i="17"/>
  <c r="AN20" i="12"/>
  <c r="AH20" i="12"/>
  <c r="BH20" i="12"/>
  <c r="BB20" i="12"/>
  <c r="AV20" i="12"/>
  <c r="AP20" i="12"/>
  <c r="AJ20" i="12"/>
  <c r="BJ20" i="12"/>
  <c r="AD20" i="12"/>
  <c r="BD20" i="12"/>
  <c r="X20" i="12"/>
  <c r="AX20" i="12"/>
  <c r="AR20" i="12"/>
  <c r="AL20" i="12"/>
  <c r="AF20" i="12"/>
  <c r="BF20" i="12"/>
  <c r="AZ20" i="12"/>
  <c r="AT20" i="12"/>
  <c r="N20" i="12"/>
  <c r="J20" i="12"/>
  <c r="T20" i="12"/>
  <c r="F20" i="12"/>
  <c r="P20" i="12"/>
  <c r="L20" i="12"/>
  <c r="H20" i="12"/>
  <c r="V20" i="12"/>
  <c r="AB20" i="12"/>
  <c r="Z20" i="12"/>
  <c r="R20" i="12"/>
  <c r="D20" i="12"/>
  <c r="B61" i="13"/>
  <c r="AL61" i="11"/>
  <c r="F61" i="11"/>
  <c r="AZ61" i="11"/>
  <c r="T61" i="11"/>
  <c r="AH61" i="11"/>
  <c r="AT61" i="11"/>
  <c r="AX61" i="11"/>
  <c r="X61" i="11"/>
  <c r="BB61" i="11"/>
  <c r="AB61" i="11"/>
  <c r="AV61" i="11"/>
  <c r="AF61" i="11"/>
  <c r="P61" i="11"/>
  <c r="BF61" i="11"/>
  <c r="Z61" i="11"/>
  <c r="J61" i="11"/>
  <c r="AJ61" i="11"/>
  <c r="AP61" i="11"/>
  <c r="BJ61" i="11"/>
  <c r="AN61" i="11"/>
  <c r="N61" i="11"/>
  <c r="BH61" i="11"/>
  <c r="AD61" i="11"/>
  <c r="V61" i="11"/>
  <c r="D61" i="11"/>
  <c r="BD61" i="11"/>
  <c r="L61" i="11"/>
  <c r="AR61" i="11"/>
  <c r="R61" i="11"/>
  <c r="H61" i="11"/>
  <c r="B52" i="18"/>
  <c r="BJ52" i="19"/>
  <c r="AD52" i="19"/>
  <c r="AR52" i="19"/>
  <c r="L52" i="19"/>
  <c r="BF52" i="19"/>
  <c r="Z52" i="19"/>
  <c r="AN52" i="19"/>
  <c r="H52" i="19"/>
  <c r="BB52" i="19"/>
  <c r="V52" i="19"/>
  <c r="AJ52" i="19"/>
  <c r="AX52" i="19"/>
  <c r="R52" i="19"/>
  <c r="AF52" i="19"/>
  <c r="AT52" i="19"/>
  <c r="N52" i="19"/>
  <c r="AP52" i="19"/>
  <c r="J52" i="19"/>
  <c r="BD52" i="19"/>
  <c r="X52" i="19"/>
  <c r="D52" i="19"/>
  <c r="AL52" i="19"/>
  <c r="F52" i="19"/>
  <c r="AZ52" i="19"/>
  <c r="T52" i="19"/>
  <c r="AH52" i="19"/>
  <c r="AV52" i="19"/>
  <c r="P52" i="19"/>
  <c r="BH52" i="19"/>
  <c r="AB52" i="19"/>
  <c r="BJ30" i="17"/>
  <c r="AR30" i="17"/>
  <c r="L30" i="17"/>
  <c r="AL30" i="17"/>
  <c r="F30" i="17"/>
  <c r="AF30" i="17"/>
  <c r="BF30" i="17"/>
  <c r="Z30" i="17"/>
  <c r="D30" i="17"/>
  <c r="AZ30" i="17"/>
  <c r="T30" i="17"/>
  <c r="AT30" i="17"/>
  <c r="N30" i="17"/>
  <c r="AN30" i="17"/>
  <c r="H30" i="17"/>
  <c r="AH30" i="17"/>
  <c r="BH30" i="17"/>
  <c r="AB30" i="17"/>
  <c r="BB30" i="17"/>
  <c r="V30" i="17"/>
  <c r="AV30" i="17"/>
  <c r="P30" i="17"/>
  <c r="AP30" i="17"/>
  <c r="J30" i="17"/>
  <c r="AJ30" i="17"/>
  <c r="AD30" i="17"/>
  <c r="BD30" i="17"/>
  <c r="X30" i="17"/>
  <c r="AX30" i="17"/>
  <c r="R30" i="17"/>
  <c r="B30" i="19"/>
  <c r="BJ35" i="17"/>
  <c r="AV35" i="17"/>
  <c r="P35" i="17"/>
  <c r="AP35" i="17"/>
  <c r="J35" i="17"/>
  <c r="AJ35" i="17"/>
  <c r="AD35" i="17"/>
  <c r="BD35" i="17"/>
  <c r="X35" i="17"/>
  <c r="D35" i="17"/>
  <c r="AX35" i="17"/>
  <c r="R35" i="17"/>
  <c r="AR35" i="17"/>
  <c r="L35" i="17"/>
  <c r="AL35" i="17"/>
  <c r="F35" i="17"/>
  <c r="AF35" i="17"/>
  <c r="BF35" i="17"/>
  <c r="Z35" i="17"/>
  <c r="AZ35" i="17"/>
  <c r="T35" i="17"/>
  <c r="AT35" i="17"/>
  <c r="N35" i="17"/>
  <c r="AN35" i="17"/>
  <c r="H35" i="17"/>
  <c r="AH35" i="17"/>
  <c r="BH35" i="17"/>
  <c r="AB35" i="17"/>
  <c r="BB35" i="17"/>
  <c r="V35" i="17"/>
  <c r="B35" i="19"/>
  <c r="B18" i="17"/>
  <c r="AF18" i="12"/>
  <c r="BF18" i="12"/>
  <c r="Z18" i="12"/>
  <c r="AZ18" i="12"/>
  <c r="AT18" i="12"/>
  <c r="AN18" i="12"/>
  <c r="AH18" i="12"/>
  <c r="BH18" i="12"/>
  <c r="BB18" i="12"/>
  <c r="AV18" i="12"/>
  <c r="P18" i="12"/>
  <c r="AP18" i="12"/>
  <c r="AJ18" i="12"/>
  <c r="BJ18" i="12"/>
  <c r="AD18" i="12"/>
  <c r="BD18" i="12"/>
  <c r="AX18" i="12"/>
  <c r="AR18" i="12"/>
  <c r="AL18" i="12"/>
  <c r="AB18" i="12"/>
  <c r="V18" i="12"/>
  <c r="R18" i="12"/>
  <c r="N18" i="12"/>
  <c r="D18" i="12"/>
  <c r="X18" i="12"/>
  <c r="J18" i="12"/>
  <c r="T18" i="12"/>
  <c r="F18" i="12"/>
  <c r="L18" i="12"/>
  <c r="H18" i="12"/>
  <c r="Q16" i="12"/>
  <c r="AO16" i="12"/>
  <c r="B47" i="18"/>
  <c r="AX47" i="19"/>
  <c r="R47" i="19"/>
  <c r="AF47" i="19"/>
  <c r="AT47" i="19"/>
  <c r="N47" i="19"/>
  <c r="BH47" i="19"/>
  <c r="AB47" i="19"/>
  <c r="AP47" i="19"/>
  <c r="J47" i="19"/>
  <c r="BD47" i="19"/>
  <c r="X47" i="19"/>
  <c r="AL47" i="19"/>
  <c r="F47" i="19"/>
  <c r="AZ47" i="19"/>
  <c r="T47" i="19"/>
  <c r="AH47" i="19"/>
  <c r="BJ47" i="19"/>
  <c r="AD47" i="19"/>
  <c r="D47" i="19"/>
  <c r="AR47" i="19"/>
  <c r="L47" i="19"/>
  <c r="BF47" i="19"/>
  <c r="Z47" i="19"/>
  <c r="AN47" i="19"/>
  <c r="H47" i="19"/>
  <c r="BB47" i="19"/>
  <c r="V47" i="19"/>
  <c r="AJ47" i="19"/>
  <c r="AV47" i="19"/>
  <c r="P47" i="19"/>
  <c r="B79" i="11"/>
  <c r="BJ79" i="18"/>
  <c r="AJ79" i="18"/>
  <c r="BH79" i="18"/>
  <c r="BF79" i="18"/>
  <c r="AD79" i="18"/>
  <c r="X79" i="18"/>
  <c r="BD79" i="18"/>
  <c r="AX79" i="18"/>
  <c r="AR79" i="18"/>
  <c r="AL79" i="18"/>
  <c r="AF79" i="18"/>
  <c r="Z79" i="18"/>
  <c r="AZ79" i="18"/>
  <c r="AT79" i="18"/>
  <c r="AN79" i="18"/>
  <c r="AP79" i="18"/>
  <c r="R79" i="18"/>
  <c r="L79" i="18"/>
  <c r="T79" i="18"/>
  <c r="F79" i="18"/>
  <c r="P79" i="18"/>
  <c r="D79" i="18"/>
  <c r="AB79" i="18"/>
  <c r="V79" i="18"/>
  <c r="N79" i="18"/>
  <c r="AV79" i="18"/>
  <c r="AH79" i="18"/>
  <c r="H79" i="18"/>
  <c r="BB79" i="18"/>
  <c r="J79" i="18"/>
  <c r="B68" i="11"/>
  <c r="BH68" i="18"/>
  <c r="BJ68" i="18"/>
  <c r="AN68" i="18"/>
  <c r="AH68" i="18"/>
  <c r="AB68" i="18"/>
  <c r="BB68" i="18"/>
  <c r="V68" i="18"/>
  <c r="BF68" i="18"/>
  <c r="AV68" i="18"/>
  <c r="AP68" i="18"/>
  <c r="AJ68" i="18"/>
  <c r="AD68" i="18"/>
  <c r="BD68" i="18"/>
  <c r="AX68" i="18"/>
  <c r="AR68" i="18"/>
  <c r="Z68" i="18"/>
  <c r="R68" i="18"/>
  <c r="J68" i="18"/>
  <c r="AL68" i="18"/>
  <c r="T68" i="18"/>
  <c r="AT68" i="18"/>
  <c r="P68" i="18"/>
  <c r="D68" i="18"/>
  <c r="X68" i="18"/>
  <c r="L68" i="18"/>
  <c r="F68" i="18"/>
  <c r="AZ68" i="18"/>
  <c r="AF68" i="18"/>
  <c r="H68" i="18"/>
  <c r="N68" i="18"/>
  <c r="B67" i="11"/>
  <c r="BF67" i="18"/>
  <c r="AZ67" i="18"/>
  <c r="T67" i="18"/>
  <c r="BH67" i="18"/>
  <c r="AT67" i="18"/>
  <c r="BJ67" i="18"/>
  <c r="AN67" i="18"/>
  <c r="AH67" i="18"/>
  <c r="AB67" i="18"/>
  <c r="BB67" i="18"/>
  <c r="AV67" i="18"/>
  <c r="P67" i="18"/>
  <c r="AP67" i="18"/>
  <c r="AJ67" i="18"/>
  <c r="BD67" i="18"/>
  <c r="AX67" i="18"/>
  <c r="AR67" i="18"/>
  <c r="Z67" i="18"/>
  <c r="R67" i="18"/>
  <c r="J67" i="18"/>
  <c r="AL67" i="18"/>
  <c r="V67" i="18"/>
  <c r="D67" i="18"/>
  <c r="X67" i="18"/>
  <c r="L67" i="18"/>
  <c r="F67" i="18"/>
  <c r="AD67" i="18"/>
  <c r="N67" i="18"/>
  <c r="AF67" i="18"/>
  <c r="H67" i="18"/>
  <c r="B51" i="18"/>
  <c r="AH51" i="19"/>
  <c r="AV51" i="19"/>
  <c r="P51" i="19"/>
  <c r="BJ51" i="19"/>
  <c r="AD51" i="19"/>
  <c r="AR51" i="19"/>
  <c r="L51" i="19"/>
  <c r="BF51" i="19"/>
  <c r="Z51" i="19"/>
  <c r="AN51" i="19"/>
  <c r="H51" i="19"/>
  <c r="BB51" i="19"/>
  <c r="V51" i="19"/>
  <c r="AJ51" i="19"/>
  <c r="AX51" i="19"/>
  <c r="R51" i="19"/>
  <c r="AT51" i="19"/>
  <c r="N51" i="19"/>
  <c r="BH51" i="19"/>
  <c r="AB51" i="19"/>
  <c r="AP51" i="19"/>
  <c r="J51" i="19"/>
  <c r="BD51" i="19"/>
  <c r="X51" i="19"/>
  <c r="AL51" i="19"/>
  <c r="F51" i="19"/>
  <c r="D51" i="19"/>
  <c r="AZ51" i="19"/>
  <c r="T51" i="19"/>
  <c r="AF51" i="19"/>
  <c r="AJ36" i="17"/>
  <c r="AD36" i="17"/>
  <c r="D36" i="17"/>
  <c r="BD36" i="17"/>
  <c r="X36" i="17"/>
  <c r="AX36" i="17"/>
  <c r="R36" i="17"/>
  <c r="BJ36" i="17"/>
  <c r="AR36" i="17"/>
  <c r="L36" i="17"/>
  <c r="AL36" i="17"/>
  <c r="F36" i="17"/>
  <c r="AF36" i="17"/>
  <c r="BF36" i="17"/>
  <c r="Z36" i="17"/>
  <c r="AZ36" i="17"/>
  <c r="T36" i="17"/>
  <c r="AT36" i="17"/>
  <c r="N36" i="17"/>
  <c r="AN36" i="17"/>
  <c r="H36" i="17"/>
  <c r="AH36" i="17"/>
  <c r="BH36" i="17"/>
  <c r="AB36" i="17"/>
  <c r="BB36" i="17"/>
  <c r="V36" i="17"/>
  <c r="AV36" i="17"/>
  <c r="P36" i="17"/>
  <c r="AP36" i="17"/>
  <c r="J36" i="17"/>
  <c r="B36" i="19"/>
  <c r="AY16" i="12"/>
  <c r="AI16" i="12"/>
  <c r="B75" i="11"/>
  <c r="BF75" i="18"/>
  <c r="AZ75" i="18"/>
  <c r="T75" i="18"/>
  <c r="AT75" i="18"/>
  <c r="AN75" i="18"/>
  <c r="AH75" i="18"/>
  <c r="AB75" i="18"/>
  <c r="BH75" i="18"/>
  <c r="BB75" i="18"/>
  <c r="BJ75" i="18"/>
  <c r="AV75" i="18"/>
  <c r="P75" i="18"/>
  <c r="AP75" i="18"/>
  <c r="AJ75" i="18"/>
  <c r="BD75" i="18"/>
  <c r="AX75" i="18"/>
  <c r="AR75" i="18"/>
  <c r="AL75" i="18"/>
  <c r="X75" i="18"/>
  <c r="J75" i="18"/>
  <c r="AD75" i="18"/>
  <c r="R75" i="18"/>
  <c r="AF75" i="18"/>
  <c r="L75" i="18"/>
  <c r="V75" i="18"/>
  <c r="F75" i="18"/>
  <c r="N75" i="18"/>
  <c r="H75" i="18"/>
  <c r="D75" i="18"/>
  <c r="Z75" i="18"/>
  <c r="B58" i="18"/>
  <c r="AL58" i="19"/>
  <c r="F58" i="19"/>
  <c r="AZ58" i="19"/>
  <c r="T58" i="19"/>
  <c r="AH58" i="19"/>
  <c r="AV58" i="19"/>
  <c r="P58" i="19"/>
  <c r="BJ58" i="19"/>
  <c r="AD58" i="19"/>
  <c r="AR58" i="19"/>
  <c r="L58" i="19"/>
  <c r="BF58" i="19"/>
  <c r="Z58" i="19"/>
  <c r="AN58" i="19"/>
  <c r="H58" i="19"/>
  <c r="BB58" i="19"/>
  <c r="V58" i="19"/>
  <c r="AX58" i="19"/>
  <c r="R58" i="19"/>
  <c r="AF58" i="19"/>
  <c r="AT58" i="19"/>
  <c r="N58" i="19"/>
  <c r="BH58" i="19"/>
  <c r="AB58" i="19"/>
  <c r="AP58" i="19"/>
  <c r="J58" i="19"/>
  <c r="BD58" i="19"/>
  <c r="X58" i="19"/>
  <c r="AJ58" i="19"/>
  <c r="D58" i="19"/>
  <c r="B42" i="18"/>
  <c r="AL42" i="19"/>
  <c r="F42" i="19"/>
  <c r="AZ42" i="19"/>
  <c r="T42" i="19"/>
  <c r="AH42" i="19"/>
  <c r="AV42" i="19"/>
  <c r="P42" i="19"/>
  <c r="BJ42" i="19"/>
  <c r="AD42" i="19"/>
  <c r="AR42" i="19"/>
  <c r="L42" i="19"/>
  <c r="BF42" i="19"/>
  <c r="Z42" i="19"/>
  <c r="AN42" i="19"/>
  <c r="H42" i="19"/>
  <c r="BB42" i="19"/>
  <c r="V42" i="19"/>
  <c r="AX42" i="19"/>
  <c r="R42" i="19"/>
  <c r="AF42" i="19"/>
  <c r="AT42" i="19"/>
  <c r="N42" i="19"/>
  <c r="BH42" i="19"/>
  <c r="AB42" i="19"/>
  <c r="AP42" i="19"/>
  <c r="J42" i="19"/>
  <c r="BD42" i="19"/>
  <c r="X42" i="19"/>
  <c r="AJ42" i="19"/>
  <c r="D42" i="19"/>
  <c r="B24" i="17"/>
  <c r="BD24" i="12"/>
  <c r="AX24" i="12"/>
  <c r="AR24" i="12"/>
  <c r="AL24" i="12"/>
  <c r="AF24" i="12"/>
  <c r="BF24" i="12"/>
  <c r="AZ24" i="12"/>
  <c r="AT24" i="12"/>
  <c r="AN24" i="12"/>
  <c r="H24" i="12"/>
  <c r="AH24" i="12"/>
  <c r="BH24" i="12"/>
  <c r="BB24" i="12"/>
  <c r="AV24" i="12"/>
  <c r="AP24" i="12"/>
  <c r="BJ24" i="12"/>
  <c r="AD24" i="12"/>
  <c r="L24" i="12"/>
  <c r="D24" i="12"/>
  <c r="V24" i="12"/>
  <c r="R24" i="12"/>
  <c r="AB24" i="12"/>
  <c r="Z24" i="12"/>
  <c r="N24" i="12"/>
  <c r="X24" i="12"/>
  <c r="J24" i="12"/>
  <c r="T24" i="12"/>
  <c r="F24" i="12"/>
  <c r="AJ24" i="12"/>
  <c r="P24" i="12"/>
  <c r="O16" i="12"/>
  <c r="U16" i="12"/>
  <c r="BJ12" i="17"/>
  <c r="BH12" i="17"/>
  <c r="BF12" i="17"/>
  <c r="BD12" i="17"/>
  <c r="BB12" i="17"/>
  <c r="AP12" i="17"/>
  <c r="J12" i="17"/>
  <c r="AN12" i="17"/>
  <c r="H12" i="17"/>
  <c r="AL12" i="17"/>
  <c r="F12" i="17"/>
  <c r="AJ12" i="17"/>
  <c r="AH12" i="17"/>
  <c r="AF12" i="17"/>
  <c r="AD12" i="17"/>
  <c r="D12" i="17"/>
  <c r="AB12" i="17"/>
  <c r="Z12" i="17"/>
  <c r="X12" i="17"/>
  <c r="V12" i="17"/>
  <c r="AZ12" i="17"/>
  <c r="T12" i="17"/>
  <c r="AX12" i="17"/>
  <c r="R12" i="17"/>
  <c r="AV12" i="17"/>
  <c r="P12" i="17"/>
  <c r="AT12" i="17"/>
  <c r="N12" i="17"/>
  <c r="AR12" i="17"/>
  <c r="L12" i="17"/>
  <c r="B12" i="19"/>
  <c r="A3" i="11" a="1"/>
  <c r="A3" i="11" s="1"/>
  <c r="A1" i="11" a="1"/>
  <c r="A1" i="11" s="1"/>
  <c r="A3" i="18" a="1"/>
  <c r="A3" i="18" s="1"/>
  <c r="A1" i="18" a="1"/>
  <c r="A1" i="18" s="1"/>
  <c r="A3" i="19" a="1"/>
  <c r="A3" i="19" s="1"/>
  <c r="A1" i="19" a="1"/>
  <c r="A1" i="19" s="1"/>
  <c r="A3" i="17" a="1"/>
  <c r="A3" i="17" s="1"/>
  <c r="A1" i="17" a="1"/>
  <c r="A1" i="17" s="1"/>
  <c r="A3" i="12" a="1"/>
  <c r="A3" i="12" s="1"/>
  <c r="A1" i="12" a="1"/>
  <c r="A1" i="12" s="1"/>
  <c r="A3" i="16" a="1"/>
  <c r="A3" i="16" s="1"/>
  <c r="A1" i="16" a="1"/>
  <c r="A1" i="16" s="1"/>
  <c r="A1" i="1" a="1"/>
  <c r="A1" i="1" s="1"/>
  <c r="A3" i="1" a="1"/>
  <c r="A3" i="1" s="1"/>
  <c r="AT22" i="17" l="1"/>
  <c r="AJ22" i="17"/>
  <c r="T22" i="17"/>
  <c r="AZ22" i="17"/>
  <c r="BF22" i="17"/>
  <c r="X22" i="17"/>
  <c r="BD22" i="17"/>
  <c r="Z22" i="17"/>
  <c r="AD22" i="17"/>
  <c r="J22" i="17"/>
  <c r="L22" i="17"/>
  <c r="AV22" i="17"/>
  <c r="AR22" i="17"/>
  <c r="V22" i="17"/>
  <c r="AL22" i="17"/>
  <c r="BB22" i="17"/>
  <c r="AB22" i="17"/>
  <c r="BH22" i="17"/>
  <c r="AH22" i="17"/>
  <c r="R22" i="17"/>
  <c r="AN22" i="17"/>
  <c r="D22" i="17"/>
  <c r="B22" i="19"/>
  <c r="AD22" i="19" s="1"/>
  <c r="H22" i="17"/>
  <c r="AX22" i="17"/>
  <c r="N22" i="17"/>
  <c r="L8" i="17"/>
  <c r="AR8" i="17"/>
  <c r="BB8" i="17"/>
  <c r="X8" i="17"/>
  <c r="Z8" i="17"/>
  <c r="BF21" i="17"/>
  <c r="AF21" i="17"/>
  <c r="F21" i="17"/>
  <c r="Z21" i="17"/>
  <c r="D21" i="17"/>
  <c r="T13" i="17"/>
  <c r="BJ21" i="17"/>
  <c r="AZ9" i="17"/>
  <c r="AF9" i="17"/>
  <c r="BF9" i="17"/>
  <c r="J21" i="17"/>
  <c r="AR21" i="17"/>
  <c r="AJ21" i="17"/>
  <c r="AH9" i="17"/>
  <c r="V9" i="17"/>
  <c r="AP21" i="17"/>
  <c r="R21" i="17"/>
  <c r="AJ9" i="17"/>
  <c r="BB9" i="17"/>
  <c r="P21" i="17"/>
  <c r="B9" i="19"/>
  <c r="AV9" i="19" s="1"/>
  <c r="BJ13" i="17"/>
  <c r="L21" i="17"/>
  <c r="F9" i="17"/>
  <c r="BH9" i="17"/>
  <c r="AV21" i="17"/>
  <c r="AL21" i="17"/>
  <c r="AL9" i="17"/>
  <c r="V21" i="17"/>
  <c r="H9" i="17"/>
  <c r="BB21" i="17"/>
  <c r="AN9" i="17"/>
  <c r="AB21" i="17"/>
  <c r="AX9" i="17"/>
  <c r="BD9" i="17"/>
  <c r="AT21" i="17"/>
  <c r="J9" i="17"/>
  <c r="J8" i="17"/>
  <c r="AP22" i="17"/>
  <c r="AF22" i="17"/>
  <c r="T21" i="17"/>
  <c r="T9" i="17"/>
  <c r="AZ13" i="17"/>
  <c r="AP9" i="17"/>
  <c r="AP8" i="17"/>
  <c r="P22" i="17"/>
  <c r="AZ21" i="17"/>
  <c r="H10" i="17"/>
  <c r="J14" i="17"/>
  <c r="AB14" i="17"/>
  <c r="F14" i="17"/>
  <c r="AP14" i="17"/>
  <c r="AD14" i="17"/>
  <c r="L14" i="17"/>
  <c r="AF14" i="17"/>
  <c r="AL14" i="17"/>
  <c r="AR14" i="17"/>
  <c r="D14" i="17"/>
  <c r="D9" i="17"/>
  <c r="L9" i="17"/>
  <c r="N14" i="17"/>
  <c r="AH14" i="17"/>
  <c r="BH21" i="17"/>
  <c r="AX21" i="17"/>
  <c r="X9" i="17"/>
  <c r="BD14" i="17"/>
  <c r="P13" i="17"/>
  <c r="AH21" i="17"/>
  <c r="X21" i="17"/>
  <c r="Z9" i="17"/>
  <c r="N9" i="17"/>
  <c r="BB14" i="17"/>
  <c r="BF14" i="17"/>
  <c r="AV13" i="17"/>
  <c r="H21" i="17"/>
  <c r="BD21" i="17"/>
  <c r="X14" i="17"/>
  <c r="AN14" i="17"/>
  <c r="AR9" i="17"/>
  <c r="AB9" i="17"/>
  <c r="AT9" i="17"/>
  <c r="P14" i="17"/>
  <c r="BH14" i="17"/>
  <c r="R13" i="17"/>
  <c r="AN21" i="17"/>
  <c r="AZ14" i="17"/>
  <c r="V14" i="17"/>
  <c r="H14" i="17"/>
  <c r="B10" i="19"/>
  <c r="AV10" i="19" s="1"/>
  <c r="Z14" i="17"/>
  <c r="AT14" i="17"/>
  <c r="AD9" i="17"/>
  <c r="AV14" i="17"/>
  <c r="AX13" i="17"/>
  <c r="B21" i="19"/>
  <c r="AB21" i="19" s="1"/>
  <c r="AD8" i="17"/>
  <c r="AT8" i="17"/>
  <c r="BJ11" i="17"/>
  <c r="AB8" i="17"/>
  <c r="AV17" i="17"/>
  <c r="AF8" i="17"/>
  <c r="P8" i="17"/>
  <c r="BJ8" i="17"/>
  <c r="BH8" i="17"/>
  <c r="AV8" i="17"/>
  <c r="AO7" i="17"/>
  <c r="B8" i="19"/>
  <c r="BB8" i="19" s="1"/>
  <c r="AH8" i="17"/>
  <c r="R8" i="17"/>
  <c r="AJ8" i="17"/>
  <c r="AX8" i="17"/>
  <c r="F8" i="17"/>
  <c r="T8" i="17"/>
  <c r="AL8" i="17"/>
  <c r="AZ8" i="17"/>
  <c r="H8" i="17"/>
  <c r="BF8" i="17"/>
  <c r="N8" i="17"/>
  <c r="AN8" i="17"/>
  <c r="D8" i="17"/>
  <c r="BD8" i="17"/>
  <c r="J10" i="17"/>
  <c r="AP10" i="17"/>
  <c r="V10" i="17"/>
  <c r="X10" i="17"/>
  <c r="N10" i="17"/>
  <c r="V13" i="17"/>
  <c r="T10" i="17"/>
  <c r="D10" i="17"/>
  <c r="X13" i="17"/>
  <c r="Z10" i="17"/>
  <c r="P10" i="17"/>
  <c r="Z13" i="17"/>
  <c r="L10" i="17"/>
  <c r="AJ13" i="17"/>
  <c r="AD10" i="17"/>
  <c r="R10" i="17"/>
  <c r="F13" i="17"/>
  <c r="AT10" i="17"/>
  <c r="AV10" i="17"/>
  <c r="AF10" i="17"/>
  <c r="AX10" i="17"/>
  <c r="AL13" i="17"/>
  <c r="AH10" i="17"/>
  <c r="BF10" i="17"/>
  <c r="B13" i="19"/>
  <c r="AR13" i="19" s="1"/>
  <c r="BB13" i="17"/>
  <c r="AZ10" i="17"/>
  <c r="AJ10" i="17"/>
  <c r="BD10" i="17"/>
  <c r="H13" i="17"/>
  <c r="BD13" i="17"/>
  <c r="BB10" i="17"/>
  <c r="F10" i="17"/>
  <c r="BH10" i="17"/>
  <c r="N13" i="17"/>
  <c r="BF13" i="17"/>
  <c r="AR10" i="17"/>
  <c r="AB10" i="17"/>
  <c r="AL10" i="17"/>
  <c r="BJ10" i="17"/>
  <c r="AT13" i="17"/>
  <c r="BH13" i="17"/>
  <c r="V17" i="17"/>
  <c r="AZ17" i="17"/>
  <c r="BF17" i="17"/>
  <c r="AH17" i="17"/>
  <c r="BB17" i="17"/>
  <c r="AF17" i="17"/>
  <c r="H17" i="17"/>
  <c r="AU7" i="17"/>
  <c r="Y7" i="17"/>
  <c r="B11" i="19"/>
  <c r="AR11" i="19" s="1"/>
  <c r="F17" i="17"/>
  <c r="P11" i="17"/>
  <c r="AB17" i="17"/>
  <c r="AL17" i="17"/>
  <c r="E7" i="17"/>
  <c r="BB11" i="17"/>
  <c r="L17" i="17"/>
  <c r="Q7" i="17"/>
  <c r="AA7" i="17"/>
  <c r="X11" i="17"/>
  <c r="BH17" i="17"/>
  <c r="AR17" i="17"/>
  <c r="Z11" i="17"/>
  <c r="R17" i="17"/>
  <c r="AW7" i="17"/>
  <c r="AN13" i="17"/>
  <c r="AB13" i="17"/>
  <c r="N11" i="17"/>
  <c r="X17" i="17"/>
  <c r="I7" i="17"/>
  <c r="C7" i="17"/>
  <c r="J13" i="17"/>
  <c r="AD13" i="17"/>
  <c r="AT11" i="17"/>
  <c r="T17" i="17"/>
  <c r="Z17" i="17"/>
  <c r="J17" i="17"/>
  <c r="AP13" i="17"/>
  <c r="D13" i="17"/>
  <c r="BD11" i="17"/>
  <c r="AP17" i="17"/>
  <c r="L13" i="17"/>
  <c r="AF13" i="17"/>
  <c r="BF11" i="17"/>
  <c r="P17" i="17"/>
  <c r="AR13" i="17"/>
  <c r="BH11" i="17"/>
  <c r="K7" i="17"/>
  <c r="D11" i="17"/>
  <c r="AE7" i="17"/>
  <c r="S7" i="17"/>
  <c r="AB11" i="17"/>
  <c r="AX17" i="17"/>
  <c r="AN17" i="17"/>
  <c r="BG7" i="17"/>
  <c r="AQ7" i="17"/>
  <c r="AD11" i="17"/>
  <c r="AF11" i="17"/>
  <c r="B17" i="19"/>
  <c r="Z17" i="19" s="1"/>
  <c r="BD17" i="17"/>
  <c r="AG7" i="17"/>
  <c r="BI7" i="17"/>
  <c r="AH11" i="17"/>
  <c r="N17" i="17"/>
  <c r="AD17" i="17"/>
  <c r="AJ11" i="17"/>
  <c r="D17" i="17"/>
  <c r="BJ17" i="17"/>
  <c r="AI7" i="17"/>
  <c r="W7" i="17"/>
  <c r="F11" i="17"/>
  <c r="AT17" i="17"/>
  <c r="AR11" i="17"/>
  <c r="M7" i="17"/>
  <c r="AY7" i="17"/>
  <c r="AC7" i="17"/>
  <c r="AV11" i="17"/>
  <c r="AL11" i="17"/>
  <c r="AK7" i="17"/>
  <c r="BC7" i="17"/>
  <c r="R11" i="17"/>
  <c r="H11" i="17"/>
  <c r="G7" i="17"/>
  <c r="AS7" i="17"/>
  <c r="U7" i="17"/>
  <c r="BE7" i="17"/>
  <c r="AX11" i="17"/>
  <c r="AN11" i="17"/>
  <c r="T11" i="17"/>
  <c r="J11" i="17"/>
  <c r="AM7" i="17"/>
  <c r="O7" i="17"/>
  <c r="BA7" i="17"/>
  <c r="AZ11" i="17"/>
  <c r="AP11" i="17"/>
  <c r="V11" i="17"/>
  <c r="AC59" i="11"/>
  <c r="I59" i="11"/>
  <c r="C59" i="11"/>
  <c r="AE59" i="11"/>
  <c r="AU59" i="11"/>
  <c r="AA59" i="11"/>
  <c r="E59" i="11"/>
  <c r="AK59" i="11"/>
  <c r="BG59" i="11"/>
  <c r="U59" i="11"/>
  <c r="BI59" i="11"/>
  <c r="BA59" i="11"/>
  <c r="K16" i="17"/>
  <c r="AM59" i="11"/>
  <c r="AY59" i="11"/>
  <c r="AW59" i="11"/>
  <c r="BC59" i="11"/>
  <c r="G59" i="11"/>
  <c r="AI59" i="11"/>
  <c r="AG59" i="11"/>
  <c r="S59" i="11"/>
  <c r="O59" i="11"/>
  <c r="BG16" i="17"/>
  <c r="S16" i="17"/>
  <c r="AI16" i="17"/>
  <c r="K59" i="11"/>
  <c r="M59" i="11"/>
  <c r="Q59" i="11"/>
  <c r="AQ59" i="11"/>
  <c r="AS59" i="11"/>
  <c r="BE59" i="11"/>
  <c r="B52" i="11"/>
  <c r="AR52" i="18"/>
  <c r="BF52" i="18"/>
  <c r="AN52" i="18"/>
  <c r="BB52" i="18"/>
  <c r="AX52" i="18"/>
  <c r="AT52" i="18"/>
  <c r="BH52" i="18"/>
  <c r="AP52" i="18"/>
  <c r="BD52" i="18"/>
  <c r="AV52" i="18"/>
  <c r="N52" i="18"/>
  <c r="AB52" i="18"/>
  <c r="AJ52" i="18"/>
  <c r="J52" i="18"/>
  <c r="X52" i="18"/>
  <c r="D52" i="18"/>
  <c r="F52" i="18"/>
  <c r="T52" i="18"/>
  <c r="AH52" i="18"/>
  <c r="P52" i="18"/>
  <c r="AZ52" i="18"/>
  <c r="AL52" i="18"/>
  <c r="AD52" i="18"/>
  <c r="BJ52" i="18"/>
  <c r="Z52" i="18"/>
  <c r="H52" i="18"/>
  <c r="V52" i="18"/>
  <c r="R52" i="18"/>
  <c r="AF52" i="18"/>
  <c r="L52" i="18"/>
  <c r="AE16" i="17"/>
  <c r="B66" i="13"/>
  <c r="BH66" i="11"/>
  <c r="AB66" i="11"/>
  <c r="BB66" i="11"/>
  <c r="BJ66" i="11"/>
  <c r="AP66" i="11"/>
  <c r="H66" i="11"/>
  <c r="AJ66" i="11"/>
  <c r="AD66" i="11"/>
  <c r="BF66" i="11"/>
  <c r="AZ66" i="11"/>
  <c r="AH66" i="11"/>
  <c r="L66" i="11"/>
  <c r="AL66" i="11"/>
  <c r="J66" i="11"/>
  <c r="AN66" i="11"/>
  <c r="AT66" i="11"/>
  <c r="AR66" i="11"/>
  <c r="P66" i="11"/>
  <c r="F66" i="11"/>
  <c r="D66" i="11"/>
  <c r="AF66" i="11"/>
  <c r="X66" i="11"/>
  <c r="AV66" i="11"/>
  <c r="BD66" i="11"/>
  <c r="Z66" i="11"/>
  <c r="N66" i="11"/>
  <c r="V66" i="11"/>
  <c r="AX66" i="11"/>
  <c r="R66" i="11"/>
  <c r="T66" i="11"/>
  <c r="B57" i="11"/>
  <c r="BD57" i="18"/>
  <c r="AL57" i="18"/>
  <c r="AZ57" i="18"/>
  <c r="AV57" i="18"/>
  <c r="BJ57" i="18"/>
  <c r="AR57" i="18"/>
  <c r="BF57" i="18"/>
  <c r="BB57" i="18"/>
  <c r="AX57" i="18"/>
  <c r="BH57" i="18"/>
  <c r="Z57" i="18"/>
  <c r="H57" i="18"/>
  <c r="V57" i="18"/>
  <c r="R57" i="18"/>
  <c r="D57" i="18"/>
  <c r="AF57" i="18"/>
  <c r="N57" i="18"/>
  <c r="AB57" i="18"/>
  <c r="AP57" i="18"/>
  <c r="J57" i="18"/>
  <c r="AT57" i="18"/>
  <c r="AN57" i="18"/>
  <c r="F57" i="18"/>
  <c r="T57" i="18"/>
  <c r="AJ57" i="18"/>
  <c r="AH57" i="18"/>
  <c r="P57" i="18"/>
  <c r="AD57" i="18"/>
  <c r="L57" i="18"/>
  <c r="X57" i="18"/>
  <c r="B50" i="11"/>
  <c r="AZ50" i="18"/>
  <c r="AV50" i="18"/>
  <c r="BJ50" i="18"/>
  <c r="AR50" i="18"/>
  <c r="BF50" i="18"/>
  <c r="BB50" i="18"/>
  <c r="AX50" i="18"/>
  <c r="V50" i="18"/>
  <c r="BH50" i="18"/>
  <c r="AN50" i="18"/>
  <c r="R50" i="18"/>
  <c r="AF50" i="18"/>
  <c r="N50" i="18"/>
  <c r="AB50" i="18"/>
  <c r="BD50" i="18"/>
  <c r="AJ50" i="18"/>
  <c r="J50" i="18"/>
  <c r="X50" i="18"/>
  <c r="F50" i="18"/>
  <c r="AH50" i="18"/>
  <c r="P50" i="18"/>
  <c r="AT50" i="18"/>
  <c r="AL50" i="18"/>
  <c r="AD50" i="18"/>
  <c r="AP50" i="18"/>
  <c r="L50" i="18"/>
  <c r="Z50" i="18"/>
  <c r="H50" i="18"/>
  <c r="T50" i="18"/>
  <c r="D50" i="18"/>
  <c r="AC16" i="17"/>
  <c r="BA16" i="17"/>
  <c r="B45" i="11"/>
  <c r="AN45" i="18"/>
  <c r="BB45" i="18"/>
  <c r="AJ45" i="18"/>
  <c r="AX45" i="18"/>
  <c r="AT45" i="18"/>
  <c r="BH45" i="18"/>
  <c r="AP45" i="18"/>
  <c r="BD45" i="18"/>
  <c r="AZ45" i="18"/>
  <c r="AR45" i="18"/>
  <c r="AL45" i="18"/>
  <c r="J45" i="18"/>
  <c r="X45" i="18"/>
  <c r="F45" i="18"/>
  <c r="AV45" i="18"/>
  <c r="T45" i="18"/>
  <c r="AH45" i="18"/>
  <c r="P45" i="18"/>
  <c r="AD45" i="18"/>
  <c r="L45" i="18"/>
  <c r="Z45" i="18"/>
  <c r="D45" i="18"/>
  <c r="V45" i="18"/>
  <c r="BJ45" i="18"/>
  <c r="R45" i="18"/>
  <c r="AF45" i="18"/>
  <c r="N45" i="18"/>
  <c r="BF45" i="18"/>
  <c r="AB45" i="18"/>
  <c r="H45" i="18"/>
  <c r="B71" i="13"/>
  <c r="AF71" i="11"/>
  <c r="BF71" i="11"/>
  <c r="Z71" i="11"/>
  <c r="L71" i="11"/>
  <c r="BD71" i="11"/>
  <c r="F71" i="11"/>
  <c r="AX71" i="11"/>
  <c r="V71" i="11"/>
  <c r="BB71" i="11"/>
  <c r="D71" i="11"/>
  <c r="BJ71" i="11"/>
  <c r="AT71" i="11"/>
  <c r="BH71" i="11"/>
  <c r="AV71" i="11"/>
  <c r="X71" i="11"/>
  <c r="T71" i="11"/>
  <c r="R71" i="11"/>
  <c r="P71" i="11"/>
  <c r="AZ71" i="11"/>
  <c r="AB71" i="11"/>
  <c r="N71" i="11"/>
  <c r="AD71" i="11"/>
  <c r="H71" i="11"/>
  <c r="AH71" i="11"/>
  <c r="AL71" i="11"/>
  <c r="J71" i="11"/>
  <c r="AR71" i="11"/>
  <c r="AP71" i="11"/>
  <c r="AJ71" i="11"/>
  <c r="AN71" i="11"/>
  <c r="B41" i="11"/>
  <c r="BD41" i="18"/>
  <c r="AL41" i="18"/>
  <c r="AZ41" i="18"/>
  <c r="AV41" i="18"/>
  <c r="BJ41" i="18"/>
  <c r="AR41" i="18"/>
  <c r="BF41" i="18"/>
  <c r="BB41" i="18"/>
  <c r="Z41" i="18"/>
  <c r="H41" i="18"/>
  <c r="V41" i="18"/>
  <c r="AT41" i="18"/>
  <c r="R41" i="18"/>
  <c r="D41" i="18"/>
  <c r="AJ41" i="18"/>
  <c r="AF41" i="18"/>
  <c r="BH41" i="18"/>
  <c r="N41" i="18"/>
  <c r="AP41" i="18"/>
  <c r="AB41" i="18"/>
  <c r="AX41" i="18"/>
  <c r="J41" i="18"/>
  <c r="F41" i="18"/>
  <c r="T41" i="18"/>
  <c r="AN41" i="18"/>
  <c r="AH41" i="18"/>
  <c r="P41" i="18"/>
  <c r="AD41" i="18"/>
  <c r="L41" i="18"/>
  <c r="X41" i="18"/>
  <c r="B43" i="11"/>
  <c r="AV43" i="18"/>
  <c r="BJ43" i="18"/>
  <c r="AR43" i="18"/>
  <c r="BF43" i="18"/>
  <c r="AN43" i="18"/>
  <c r="BB43" i="18"/>
  <c r="AX43" i="18"/>
  <c r="AT43" i="18"/>
  <c r="BH43" i="18"/>
  <c r="R43" i="18"/>
  <c r="AJ43" i="18"/>
  <c r="AF43" i="18"/>
  <c r="N43" i="18"/>
  <c r="AP43" i="18"/>
  <c r="AB43" i="18"/>
  <c r="AL43" i="18"/>
  <c r="J43" i="18"/>
  <c r="X43" i="18"/>
  <c r="F43" i="18"/>
  <c r="T43" i="18"/>
  <c r="BD43" i="18"/>
  <c r="AH43" i="18"/>
  <c r="AD43" i="18"/>
  <c r="L43" i="18"/>
  <c r="Z43" i="18"/>
  <c r="H43" i="18"/>
  <c r="AZ43" i="18"/>
  <c r="V43" i="18"/>
  <c r="D43" i="18"/>
  <c r="P43" i="18"/>
  <c r="B84" i="13"/>
  <c r="AJ84" i="11"/>
  <c r="BJ84" i="11"/>
  <c r="AD84" i="11"/>
  <c r="BB84" i="11"/>
  <c r="AV84" i="11"/>
  <c r="J84" i="11"/>
  <c r="AP84" i="11"/>
  <c r="T84" i="11"/>
  <c r="AZ84" i="11"/>
  <c r="BF84" i="11"/>
  <c r="Z84" i="11"/>
  <c r="N84" i="11"/>
  <c r="AB84" i="11"/>
  <c r="L84" i="11"/>
  <c r="AF84" i="11"/>
  <c r="AH84" i="11"/>
  <c r="BH84" i="11"/>
  <c r="AL84" i="11"/>
  <c r="R84" i="11"/>
  <c r="AN84" i="11"/>
  <c r="P84" i="11"/>
  <c r="F84" i="11"/>
  <c r="AR84" i="11"/>
  <c r="AX84" i="11"/>
  <c r="X84" i="11"/>
  <c r="V84" i="11"/>
  <c r="AT84" i="11"/>
  <c r="H84" i="11"/>
  <c r="D84" i="11"/>
  <c r="BD84" i="11"/>
  <c r="B48" i="13"/>
  <c r="AB48" i="11"/>
  <c r="BJ48" i="11"/>
  <c r="AP48" i="11"/>
  <c r="J48" i="11"/>
  <c r="BD48" i="11"/>
  <c r="X48" i="11"/>
  <c r="N48" i="11"/>
  <c r="L48" i="11"/>
  <c r="AJ48" i="11"/>
  <c r="AH48" i="11"/>
  <c r="BF48" i="11"/>
  <c r="AF48" i="11"/>
  <c r="BH48" i="11"/>
  <c r="BB48" i="11"/>
  <c r="AZ48" i="11"/>
  <c r="V48" i="11"/>
  <c r="R48" i="11"/>
  <c r="AN48" i="11"/>
  <c r="AT48" i="11"/>
  <c r="AL48" i="11"/>
  <c r="T48" i="11"/>
  <c r="AR48" i="11"/>
  <c r="AX48" i="11"/>
  <c r="AD48" i="11"/>
  <c r="P48" i="11"/>
  <c r="F48" i="11"/>
  <c r="D48" i="11"/>
  <c r="Z48" i="11"/>
  <c r="AV48" i="11"/>
  <c r="H48" i="11"/>
  <c r="B55" i="11"/>
  <c r="AT55" i="18"/>
  <c r="BH55" i="18"/>
  <c r="AP55" i="18"/>
  <c r="BD55" i="18"/>
  <c r="AZ55" i="18"/>
  <c r="AV55" i="18"/>
  <c r="BJ55" i="18"/>
  <c r="AR55" i="18"/>
  <c r="BF55" i="18"/>
  <c r="AJ55" i="18"/>
  <c r="AH55" i="18"/>
  <c r="P55" i="18"/>
  <c r="AD55" i="18"/>
  <c r="AX55" i="18"/>
  <c r="AL55" i="18"/>
  <c r="L55" i="18"/>
  <c r="Z55" i="18"/>
  <c r="H55" i="18"/>
  <c r="V55" i="18"/>
  <c r="R55" i="18"/>
  <c r="N55" i="18"/>
  <c r="D55" i="18"/>
  <c r="AB55" i="18"/>
  <c r="J55" i="18"/>
  <c r="BB55" i="18"/>
  <c r="AN55" i="18"/>
  <c r="X55" i="18"/>
  <c r="F55" i="18"/>
  <c r="T55" i="18"/>
  <c r="AF55" i="18"/>
  <c r="B73" i="13"/>
  <c r="AN73" i="11"/>
  <c r="AH73" i="11"/>
  <c r="BH73" i="11"/>
  <c r="AL73" i="11"/>
  <c r="AF73" i="11"/>
  <c r="N73" i="11"/>
  <c r="BB73" i="11"/>
  <c r="Z73" i="11"/>
  <c r="H73" i="11"/>
  <c r="BJ73" i="11"/>
  <c r="P73" i="11"/>
  <c r="AB73" i="11"/>
  <c r="R73" i="11"/>
  <c r="AD73" i="11"/>
  <c r="BF73" i="11"/>
  <c r="AZ73" i="11"/>
  <c r="AJ73" i="11"/>
  <c r="L73" i="11"/>
  <c r="AT73" i="11"/>
  <c r="BD73" i="11"/>
  <c r="X73" i="11"/>
  <c r="AV73" i="11"/>
  <c r="J73" i="11"/>
  <c r="V73" i="11"/>
  <c r="D73" i="11"/>
  <c r="T73" i="11"/>
  <c r="AX73" i="11"/>
  <c r="AR73" i="11"/>
  <c r="AP73" i="11"/>
  <c r="F73" i="11"/>
  <c r="B63" i="13"/>
  <c r="BE59" i="13" s="1"/>
  <c r="BJ63" i="11"/>
  <c r="AD63" i="11"/>
  <c r="AR63" i="11"/>
  <c r="L63" i="11"/>
  <c r="BF63" i="11"/>
  <c r="Z63" i="11"/>
  <c r="AJ63" i="11"/>
  <c r="J63" i="11"/>
  <c r="AN63" i="11"/>
  <c r="N63" i="11"/>
  <c r="R63" i="11"/>
  <c r="D63" i="11"/>
  <c r="AP63" i="11"/>
  <c r="AZ63" i="11"/>
  <c r="T63" i="11"/>
  <c r="H63" i="11"/>
  <c r="AT63" i="11"/>
  <c r="BD63" i="11"/>
  <c r="P63" i="11"/>
  <c r="V63" i="11"/>
  <c r="AF63" i="11"/>
  <c r="F63" i="11"/>
  <c r="AV63" i="11"/>
  <c r="AL63" i="11"/>
  <c r="BB63" i="11"/>
  <c r="AB63" i="11"/>
  <c r="AX63" i="11"/>
  <c r="AH63" i="11"/>
  <c r="X63" i="11"/>
  <c r="BH63" i="11"/>
  <c r="B56" i="11"/>
  <c r="BH56" i="18"/>
  <c r="AP56" i="18"/>
  <c r="BD56" i="18"/>
  <c r="AL56" i="18"/>
  <c r="AZ56" i="18"/>
  <c r="AV56" i="18"/>
  <c r="BJ56" i="18"/>
  <c r="AR56" i="18"/>
  <c r="BF56" i="18"/>
  <c r="BB56" i="18"/>
  <c r="AD56" i="18"/>
  <c r="AX56" i="18"/>
  <c r="L56" i="18"/>
  <c r="Z56" i="18"/>
  <c r="H56" i="18"/>
  <c r="V56" i="18"/>
  <c r="R56" i="18"/>
  <c r="AF56" i="18"/>
  <c r="D56" i="18"/>
  <c r="N56" i="18"/>
  <c r="J56" i="18"/>
  <c r="AT56" i="18"/>
  <c r="AN56" i="18"/>
  <c r="X56" i="18"/>
  <c r="F56" i="18"/>
  <c r="T56" i="18"/>
  <c r="AJ56" i="18"/>
  <c r="AH56" i="18"/>
  <c r="P56" i="18"/>
  <c r="AB56" i="18"/>
  <c r="B47" i="11"/>
  <c r="AT47" i="18"/>
  <c r="BH47" i="18"/>
  <c r="AP47" i="18"/>
  <c r="BD47" i="18"/>
  <c r="AZ47" i="18"/>
  <c r="AV47" i="18"/>
  <c r="BJ47" i="18"/>
  <c r="BF47" i="18"/>
  <c r="AH47" i="18"/>
  <c r="BB47" i="18"/>
  <c r="P47" i="18"/>
  <c r="AD47" i="18"/>
  <c r="D47" i="18"/>
  <c r="L47" i="18"/>
  <c r="Z47" i="18"/>
  <c r="H47" i="18"/>
  <c r="AN47" i="18"/>
  <c r="V47" i="18"/>
  <c r="AX47" i="18"/>
  <c r="R47" i="18"/>
  <c r="N47" i="18"/>
  <c r="AB47" i="18"/>
  <c r="AR47" i="18"/>
  <c r="AJ47" i="18"/>
  <c r="J47" i="18"/>
  <c r="AL47" i="18"/>
  <c r="X47" i="18"/>
  <c r="F47" i="18"/>
  <c r="T47" i="18"/>
  <c r="AF47" i="18"/>
  <c r="BH18" i="17"/>
  <c r="AB18" i="17"/>
  <c r="BB18" i="17"/>
  <c r="V18" i="17"/>
  <c r="AV18" i="17"/>
  <c r="P18" i="17"/>
  <c r="AP18" i="17"/>
  <c r="J18" i="17"/>
  <c r="AJ18" i="17"/>
  <c r="BJ18" i="17"/>
  <c r="AD18" i="17"/>
  <c r="BD18" i="17"/>
  <c r="X18" i="17"/>
  <c r="AX18" i="17"/>
  <c r="R18" i="17"/>
  <c r="D18" i="17"/>
  <c r="AR18" i="17"/>
  <c r="L18" i="17"/>
  <c r="AL18" i="17"/>
  <c r="F18" i="17"/>
  <c r="AF18" i="17"/>
  <c r="BF18" i="17"/>
  <c r="Z18" i="17"/>
  <c r="AZ18" i="17"/>
  <c r="T18" i="17"/>
  <c r="AT18" i="17"/>
  <c r="N18" i="17"/>
  <c r="AN18" i="17"/>
  <c r="AH18" i="17"/>
  <c r="H18" i="17"/>
  <c r="B18" i="19"/>
  <c r="B30" i="18"/>
  <c r="BB30" i="19"/>
  <c r="V30" i="19"/>
  <c r="AV30" i="19"/>
  <c r="AP30" i="19"/>
  <c r="AJ30" i="19"/>
  <c r="BJ30" i="19"/>
  <c r="AD30" i="19"/>
  <c r="BD30" i="19"/>
  <c r="X30" i="19"/>
  <c r="AX30" i="19"/>
  <c r="AR30" i="19"/>
  <c r="AL30" i="19"/>
  <c r="BF30" i="19"/>
  <c r="Z30" i="19"/>
  <c r="AZ30" i="19"/>
  <c r="T30" i="19"/>
  <c r="AT30" i="19"/>
  <c r="AN30" i="19"/>
  <c r="AH30" i="19"/>
  <c r="BH30" i="19"/>
  <c r="AB30" i="19"/>
  <c r="P30" i="19"/>
  <c r="J30" i="19"/>
  <c r="AF30" i="19"/>
  <c r="L30" i="19"/>
  <c r="F30" i="19"/>
  <c r="D30" i="19"/>
  <c r="N30" i="19"/>
  <c r="H30" i="19"/>
  <c r="R30" i="19"/>
  <c r="AK16" i="17"/>
  <c r="BI16" i="17"/>
  <c r="AA16" i="17"/>
  <c r="AY16" i="17"/>
  <c r="B44" i="11"/>
  <c r="AR44" i="18"/>
  <c r="BF44" i="18"/>
  <c r="AN44" i="18"/>
  <c r="BB44" i="18"/>
  <c r="AX44" i="18"/>
  <c r="AT44" i="18"/>
  <c r="BH44" i="18"/>
  <c r="AP44" i="18"/>
  <c r="BD44" i="18"/>
  <c r="N44" i="18"/>
  <c r="AB44" i="18"/>
  <c r="AL44" i="18"/>
  <c r="J44" i="18"/>
  <c r="X44" i="18"/>
  <c r="F44" i="18"/>
  <c r="AV44" i="18"/>
  <c r="T44" i="18"/>
  <c r="AH44" i="18"/>
  <c r="P44" i="18"/>
  <c r="AD44" i="18"/>
  <c r="Z44" i="18"/>
  <c r="H44" i="18"/>
  <c r="D44" i="18"/>
  <c r="AZ44" i="18"/>
  <c r="V44" i="18"/>
  <c r="BJ44" i="18"/>
  <c r="R44" i="18"/>
  <c r="AJ44" i="18"/>
  <c r="AF44" i="18"/>
  <c r="L44" i="18"/>
  <c r="R9" i="19"/>
  <c r="BJ9" i="19"/>
  <c r="B39" i="11"/>
  <c r="AI38" i="18"/>
  <c r="AW38" i="18"/>
  <c r="AT39" i="18"/>
  <c r="BH39" i="18"/>
  <c r="AS38" i="18"/>
  <c r="AP39" i="18"/>
  <c r="BG38" i="18"/>
  <c r="BD39" i="18"/>
  <c r="BC38" i="18"/>
  <c r="AZ39" i="18"/>
  <c r="AY38" i="18"/>
  <c r="AV39" i="18"/>
  <c r="BJ39" i="18"/>
  <c r="AU38" i="18"/>
  <c r="BI38" i="18"/>
  <c r="BF39" i="18"/>
  <c r="AH39" i="18"/>
  <c r="E38" i="18"/>
  <c r="BE38" i="18"/>
  <c r="AM38" i="18"/>
  <c r="S38" i="18"/>
  <c r="P39" i="18"/>
  <c r="AG38" i="18"/>
  <c r="AD39" i="18"/>
  <c r="AR39" i="18"/>
  <c r="O38" i="18"/>
  <c r="L39" i="18"/>
  <c r="AC38" i="18"/>
  <c r="Z39" i="18"/>
  <c r="BB39" i="18"/>
  <c r="AQ38" i="18"/>
  <c r="K38" i="18"/>
  <c r="H39" i="18"/>
  <c r="Y38" i="18"/>
  <c r="V39" i="18"/>
  <c r="BA38" i="18"/>
  <c r="AL39" i="18"/>
  <c r="G38" i="18"/>
  <c r="AO38" i="18"/>
  <c r="U38" i="18"/>
  <c r="R39" i="18"/>
  <c r="Q38" i="18"/>
  <c r="N39" i="18"/>
  <c r="D39" i="18"/>
  <c r="AE38" i="18"/>
  <c r="AB39" i="18"/>
  <c r="AX39" i="18"/>
  <c r="M38" i="18"/>
  <c r="J39" i="18"/>
  <c r="AA38" i="18"/>
  <c r="X39" i="18"/>
  <c r="C38" i="18"/>
  <c r="I38" i="18"/>
  <c r="F39" i="18"/>
  <c r="AN39" i="18"/>
  <c r="W38" i="18"/>
  <c r="T39" i="18"/>
  <c r="AK38" i="18"/>
  <c r="AJ39" i="18"/>
  <c r="AF39" i="18"/>
  <c r="B77" i="13"/>
  <c r="BD77" i="11"/>
  <c r="X77" i="11"/>
  <c r="AX77" i="11"/>
  <c r="BF77" i="11"/>
  <c r="AD77" i="11"/>
  <c r="P77" i="11"/>
  <c r="BH77" i="11"/>
  <c r="AZ77" i="11"/>
  <c r="BJ77" i="11"/>
  <c r="AT77" i="11"/>
  <c r="D77" i="11"/>
  <c r="AL77" i="11"/>
  <c r="AN77" i="11"/>
  <c r="AJ77" i="11"/>
  <c r="J77" i="11"/>
  <c r="H77" i="11"/>
  <c r="AR77" i="11"/>
  <c r="AV77" i="11"/>
  <c r="T77" i="11"/>
  <c r="R77" i="11"/>
  <c r="F77" i="11"/>
  <c r="AP77" i="11"/>
  <c r="BB77" i="11"/>
  <c r="N77" i="11"/>
  <c r="AB77" i="11"/>
  <c r="AF77" i="11"/>
  <c r="V77" i="11"/>
  <c r="Z77" i="11"/>
  <c r="L77" i="11"/>
  <c r="AH77" i="11"/>
  <c r="AN25" i="17"/>
  <c r="H25" i="17"/>
  <c r="AH25" i="17"/>
  <c r="BH25" i="17"/>
  <c r="AB25" i="17"/>
  <c r="D25" i="17"/>
  <c r="BB25" i="17"/>
  <c r="V25" i="17"/>
  <c r="AV25" i="17"/>
  <c r="P25" i="17"/>
  <c r="AP25" i="17"/>
  <c r="J25" i="17"/>
  <c r="AJ25" i="17"/>
  <c r="AD25" i="17"/>
  <c r="BD25" i="17"/>
  <c r="X25" i="17"/>
  <c r="AX25" i="17"/>
  <c r="R25" i="17"/>
  <c r="AR25" i="17"/>
  <c r="L25" i="17"/>
  <c r="BJ25" i="17"/>
  <c r="AL25" i="17"/>
  <c r="F25" i="17"/>
  <c r="AF25" i="17"/>
  <c r="BF25" i="17"/>
  <c r="Z25" i="17"/>
  <c r="AZ25" i="17"/>
  <c r="T25" i="17"/>
  <c r="AT25" i="17"/>
  <c r="N25" i="17"/>
  <c r="B25" i="19"/>
  <c r="B79" i="13"/>
  <c r="AF79" i="11"/>
  <c r="BF79" i="11"/>
  <c r="Z79" i="11"/>
  <c r="AH79" i="11"/>
  <c r="L79" i="11"/>
  <c r="AB79" i="11"/>
  <c r="F79" i="11"/>
  <c r="D79" i="11"/>
  <c r="BD79" i="11"/>
  <c r="AX79" i="11"/>
  <c r="AL79" i="11"/>
  <c r="H79" i="11"/>
  <c r="AN79" i="11"/>
  <c r="AP79" i="11"/>
  <c r="AR79" i="11"/>
  <c r="V79" i="11"/>
  <c r="AT79" i="11"/>
  <c r="T79" i="11"/>
  <c r="R79" i="11"/>
  <c r="BB79" i="11"/>
  <c r="AV79" i="11"/>
  <c r="AZ79" i="11"/>
  <c r="J79" i="11"/>
  <c r="BH79" i="11"/>
  <c r="P79" i="11"/>
  <c r="N79" i="11"/>
  <c r="AJ79" i="11"/>
  <c r="BJ79" i="11"/>
  <c r="AD79" i="11"/>
  <c r="X79" i="11"/>
  <c r="B35" i="18"/>
  <c r="BF35" i="19"/>
  <c r="Z35" i="19"/>
  <c r="AZ35" i="19"/>
  <c r="T35" i="19"/>
  <c r="AT35" i="19"/>
  <c r="AN35" i="19"/>
  <c r="AH35" i="19"/>
  <c r="BH35" i="19"/>
  <c r="AB35" i="19"/>
  <c r="BB35" i="19"/>
  <c r="V35" i="19"/>
  <c r="AV35" i="19"/>
  <c r="AP35" i="19"/>
  <c r="BJ35" i="19"/>
  <c r="AD35" i="19"/>
  <c r="BD35" i="19"/>
  <c r="X35" i="19"/>
  <c r="AX35" i="19"/>
  <c r="R35" i="19"/>
  <c r="AR35" i="19"/>
  <c r="AL35" i="19"/>
  <c r="AF35" i="19"/>
  <c r="N35" i="19"/>
  <c r="H35" i="19"/>
  <c r="AJ35" i="19"/>
  <c r="J35" i="19"/>
  <c r="P35" i="19"/>
  <c r="D35" i="19"/>
  <c r="L35" i="19"/>
  <c r="F35" i="19"/>
  <c r="B29" i="18"/>
  <c r="AH29" i="19"/>
  <c r="BH29" i="19"/>
  <c r="AB29" i="19"/>
  <c r="BB29" i="19"/>
  <c r="V29" i="19"/>
  <c r="AV29" i="19"/>
  <c r="P29" i="19"/>
  <c r="AP29" i="19"/>
  <c r="AJ29" i="19"/>
  <c r="BJ29" i="19"/>
  <c r="AD29" i="19"/>
  <c r="BD29" i="19"/>
  <c r="X29" i="19"/>
  <c r="AX29" i="19"/>
  <c r="R29" i="19"/>
  <c r="AL29" i="19"/>
  <c r="AF29" i="19"/>
  <c r="BF29" i="19"/>
  <c r="Z29" i="19"/>
  <c r="AZ29" i="19"/>
  <c r="AT29" i="19"/>
  <c r="AN29" i="19"/>
  <c r="T29" i="19"/>
  <c r="J29" i="19"/>
  <c r="AR29" i="19"/>
  <c r="L29" i="19"/>
  <c r="F29" i="19"/>
  <c r="D29" i="19"/>
  <c r="N29" i="19"/>
  <c r="H29" i="19"/>
  <c r="B67" i="13"/>
  <c r="AV67" i="11"/>
  <c r="P67" i="11"/>
  <c r="AP67" i="11"/>
  <c r="BJ67" i="11"/>
  <c r="AD67" i="11"/>
  <c r="BH67" i="11"/>
  <c r="X67" i="11"/>
  <c r="BF67" i="11"/>
  <c r="T67" i="11"/>
  <c r="AZ67" i="11"/>
  <c r="AJ67" i="11"/>
  <c r="AL67" i="11"/>
  <c r="J67" i="11"/>
  <c r="AN67" i="11"/>
  <c r="AR67" i="11"/>
  <c r="BB67" i="11"/>
  <c r="AT67" i="11"/>
  <c r="H67" i="11"/>
  <c r="D67" i="11"/>
  <c r="F67" i="11"/>
  <c r="AH67" i="11"/>
  <c r="AF67" i="11"/>
  <c r="AB67" i="11"/>
  <c r="BD67" i="11"/>
  <c r="Z67" i="11"/>
  <c r="N67" i="11"/>
  <c r="V67" i="11"/>
  <c r="AX67" i="11"/>
  <c r="R67" i="11"/>
  <c r="L67" i="11"/>
  <c r="AL10" i="19"/>
  <c r="F10" i="19"/>
  <c r="AJ10" i="19"/>
  <c r="AZ6" i="13"/>
  <c r="T6" i="13"/>
  <c r="BF6" i="13"/>
  <c r="Z6" i="13"/>
  <c r="AF6" i="13"/>
  <c r="AL6" i="13"/>
  <c r="F6" i="13"/>
  <c r="BJ6" i="13"/>
  <c r="BB6" i="13"/>
  <c r="AT6" i="13"/>
  <c r="AR6" i="13"/>
  <c r="AJ6" i="13"/>
  <c r="AB6" i="13"/>
  <c r="R6" i="13"/>
  <c r="J6" i="13"/>
  <c r="AX6" i="13"/>
  <c r="V6" i="13"/>
  <c r="AH6" i="13"/>
  <c r="D6" i="13"/>
  <c r="AV6" i="13"/>
  <c r="P6" i="13"/>
  <c r="BH6" i="13"/>
  <c r="AD6" i="13"/>
  <c r="AP6" i="13"/>
  <c r="X6" i="13"/>
  <c r="BD6" i="13"/>
  <c r="N6" i="13"/>
  <c r="L6" i="13"/>
  <c r="H6" i="13"/>
  <c r="AN6" i="13"/>
  <c r="B70" i="13"/>
  <c r="AR70" i="11"/>
  <c r="AL70" i="11"/>
  <c r="AH70" i="11"/>
  <c r="AB70" i="11"/>
  <c r="L70" i="11"/>
  <c r="BD70" i="11"/>
  <c r="AX70" i="11"/>
  <c r="BB70" i="11"/>
  <c r="AP70" i="11"/>
  <c r="H70" i="11"/>
  <c r="V70" i="11"/>
  <c r="F70" i="11"/>
  <c r="BJ70" i="11"/>
  <c r="AT70" i="11"/>
  <c r="Z70" i="11"/>
  <c r="D70" i="11"/>
  <c r="BH70" i="11"/>
  <c r="AV70" i="11"/>
  <c r="X70" i="11"/>
  <c r="T70" i="11"/>
  <c r="R70" i="11"/>
  <c r="P70" i="11"/>
  <c r="BF70" i="11"/>
  <c r="AZ70" i="11"/>
  <c r="AD70" i="11"/>
  <c r="AN70" i="11"/>
  <c r="N70" i="11"/>
  <c r="J70" i="11"/>
  <c r="AF70" i="11"/>
  <c r="AJ70" i="11"/>
  <c r="B40" i="11"/>
  <c r="BH40" i="18"/>
  <c r="AP40" i="18"/>
  <c r="BD40" i="18"/>
  <c r="AL40" i="18"/>
  <c r="AZ40" i="18"/>
  <c r="AV40" i="18"/>
  <c r="BJ40" i="18"/>
  <c r="AR40" i="18"/>
  <c r="BF40" i="18"/>
  <c r="BB40" i="18"/>
  <c r="AD40" i="18"/>
  <c r="L40" i="18"/>
  <c r="Z40" i="18"/>
  <c r="H40" i="18"/>
  <c r="V40" i="18"/>
  <c r="AT40" i="18"/>
  <c r="R40" i="18"/>
  <c r="AJ40" i="18"/>
  <c r="AF40" i="18"/>
  <c r="D40" i="18"/>
  <c r="N40" i="18"/>
  <c r="AX40" i="18"/>
  <c r="J40" i="18"/>
  <c r="X40" i="18"/>
  <c r="F40" i="18"/>
  <c r="AN40" i="18"/>
  <c r="T40" i="18"/>
  <c r="AH40" i="18"/>
  <c r="P40" i="18"/>
  <c r="AB40" i="18"/>
  <c r="B28" i="18"/>
  <c r="AT28" i="19"/>
  <c r="AN28" i="19"/>
  <c r="AH28" i="19"/>
  <c r="BH28" i="19"/>
  <c r="AB28" i="19"/>
  <c r="BB28" i="19"/>
  <c r="V28" i="19"/>
  <c r="AV28" i="19"/>
  <c r="AP28" i="19"/>
  <c r="AJ28" i="19"/>
  <c r="BJ28" i="19"/>
  <c r="AD28" i="19"/>
  <c r="AX28" i="19"/>
  <c r="R28" i="19"/>
  <c r="AR28" i="19"/>
  <c r="AL28" i="19"/>
  <c r="BF28" i="19"/>
  <c r="Z28" i="19"/>
  <c r="AZ28" i="19"/>
  <c r="T28" i="19"/>
  <c r="AF28" i="19"/>
  <c r="P28" i="19"/>
  <c r="J28" i="19"/>
  <c r="BD28" i="19"/>
  <c r="X28" i="19"/>
  <c r="L28" i="19"/>
  <c r="F28" i="19"/>
  <c r="N28" i="19"/>
  <c r="D28" i="19"/>
  <c r="H28" i="19"/>
  <c r="B34" i="18"/>
  <c r="AL34" i="19"/>
  <c r="AF34" i="19"/>
  <c r="BF34" i="19"/>
  <c r="Z34" i="19"/>
  <c r="AZ34" i="19"/>
  <c r="T34" i="19"/>
  <c r="AT34" i="19"/>
  <c r="AN34" i="19"/>
  <c r="AH34" i="19"/>
  <c r="BH34" i="19"/>
  <c r="AB34" i="19"/>
  <c r="BB34" i="19"/>
  <c r="V34" i="19"/>
  <c r="AP34" i="19"/>
  <c r="AJ34" i="19"/>
  <c r="BJ34" i="19"/>
  <c r="AD34" i="19"/>
  <c r="BD34" i="19"/>
  <c r="AX34" i="19"/>
  <c r="AR34" i="19"/>
  <c r="AV34" i="19"/>
  <c r="N34" i="19"/>
  <c r="H34" i="19"/>
  <c r="X34" i="19"/>
  <c r="J34" i="19"/>
  <c r="P34" i="19"/>
  <c r="R34" i="19"/>
  <c r="D34" i="19"/>
  <c r="L34" i="19"/>
  <c r="F34" i="19"/>
  <c r="B75" i="13"/>
  <c r="AV75" i="11"/>
  <c r="P75" i="11"/>
  <c r="AP75" i="11"/>
  <c r="BJ75" i="11"/>
  <c r="BB75" i="11"/>
  <c r="AJ75" i="11"/>
  <c r="AD75" i="11"/>
  <c r="BF75" i="11"/>
  <c r="BH75" i="11"/>
  <c r="AZ75" i="11"/>
  <c r="N75" i="11"/>
  <c r="AF75" i="11"/>
  <c r="L75" i="11"/>
  <c r="AH75" i="11"/>
  <c r="J75" i="11"/>
  <c r="BD75" i="11"/>
  <c r="AX75" i="11"/>
  <c r="AL75" i="11"/>
  <c r="AB75" i="11"/>
  <c r="Z75" i="11"/>
  <c r="V75" i="11"/>
  <c r="D75" i="11"/>
  <c r="T75" i="11"/>
  <c r="H75" i="11"/>
  <c r="AN75" i="11"/>
  <c r="R75" i="11"/>
  <c r="AR75" i="11"/>
  <c r="X75" i="11"/>
  <c r="F75" i="11"/>
  <c r="AT75" i="11"/>
  <c r="B51" i="11"/>
  <c r="AV51" i="18"/>
  <c r="BJ51" i="18"/>
  <c r="AR51" i="18"/>
  <c r="BF51" i="18"/>
  <c r="AN51" i="18"/>
  <c r="BB51" i="18"/>
  <c r="AX51" i="18"/>
  <c r="AT51" i="18"/>
  <c r="BH51" i="18"/>
  <c r="R51" i="18"/>
  <c r="AF51" i="18"/>
  <c r="N51" i="18"/>
  <c r="AB51" i="18"/>
  <c r="BD51" i="18"/>
  <c r="AJ51" i="18"/>
  <c r="J51" i="18"/>
  <c r="X51" i="18"/>
  <c r="F51" i="18"/>
  <c r="D51" i="18"/>
  <c r="T51" i="18"/>
  <c r="AH51" i="18"/>
  <c r="AZ51" i="18"/>
  <c r="AL51" i="18"/>
  <c r="AD51" i="18"/>
  <c r="AP51" i="18"/>
  <c r="L51" i="18"/>
  <c r="Z51" i="18"/>
  <c r="H51" i="18"/>
  <c r="V51" i="18"/>
  <c r="P51" i="18"/>
  <c r="B65" i="13"/>
  <c r="AY64" i="11"/>
  <c r="AN65" i="11"/>
  <c r="S64" i="11"/>
  <c r="AS64" i="11"/>
  <c r="AH65" i="11"/>
  <c r="BH65" i="11"/>
  <c r="BB65" i="11"/>
  <c r="AK64" i="11"/>
  <c r="Z65" i="11"/>
  <c r="Q64" i="11"/>
  <c r="AV65" i="11"/>
  <c r="AE64" i="11"/>
  <c r="N65" i="11"/>
  <c r="BJ65" i="11"/>
  <c r="BA64" i="11"/>
  <c r="AP65" i="11"/>
  <c r="Y64" i="11"/>
  <c r="H65" i="11"/>
  <c r="BG64" i="11"/>
  <c r="BI64" i="11"/>
  <c r="BF65" i="11"/>
  <c r="M64" i="11"/>
  <c r="BD65" i="11"/>
  <c r="AX65" i="11"/>
  <c r="AJ65" i="11"/>
  <c r="AF65" i="11"/>
  <c r="AG64" i="11"/>
  <c r="C64" i="11"/>
  <c r="BC64" i="11"/>
  <c r="AW64" i="11"/>
  <c r="AI64" i="11"/>
  <c r="L65" i="11"/>
  <c r="AL65" i="11"/>
  <c r="K64" i="11"/>
  <c r="J65" i="11"/>
  <c r="AM64" i="11"/>
  <c r="AO64" i="11"/>
  <c r="G64" i="11"/>
  <c r="AR65" i="11"/>
  <c r="R65" i="11"/>
  <c r="P65" i="11"/>
  <c r="AT65" i="11"/>
  <c r="AQ64" i="11"/>
  <c r="AZ65" i="11"/>
  <c r="O64" i="11"/>
  <c r="AD65" i="11"/>
  <c r="F65" i="11"/>
  <c r="AB65" i="11"/>
  <c r="D65" i="11"/>
  <c r="AU64" i="11"/>
  <c r="AC64" i="11"/>
  <c r="X65" i="11"/>
  <c r="E64" i="11"/>
  <c r="AA64" i="11"/>
  <c r="W64" i="11"/>
  <c r="T65" i="11"/>
  <c r="I64" i="11"/>
  <c r="V65" i="11"/>
  <c r="U64" i="11"/>
  <c r="BE64" i="11"/>
  <c r="AQ16" i="17"/>
  <c r="I16" i="17"/>
  <c r="AG16" i="17"/>
  <c r="B54" i="11"/>
  <c r="AJ54" i="18"/>
  <c r="AX54" i="18"/>
  <c r="AT54" i="18"/>
  <c r="BH54" i="18"/>
  <c r="BD54" i="18"/>
  <c r="AL54" i="18"/>
  <c r="AZ54" i="18"/>
  <c r="AV54" i="18"/>
  <c r="BJ54" i="18"/>
  <c r="F54" i="18"/>
  <c r="T54" i="18"/>
  <c r="AH54" i="18"/>
  <c r="P54" i="18"/>
  <c r="AD54" i="18"/>
  <c r="L54" i="18"/>
  <c r="Z54" i="18"/>
  <c r="AR54" i="18"/>
  <c r="H54" i="18"/>
  <c r="V54" i="18"/>
  <c r="BF54" i="18"/>
  <c r="AP54" i="18"/>
  <c r="R54" i="18"/>
  <c r="AF54" i="18"/>
  <c r="N54" i="18"/>
  <c r="AB54" i="18"/>
  <c r="D54" i="18"/>
  <c r="J54" i="18"/>
  <c r="BB54" i="18"/>
  <c r="AN54" i="18"/>
  <c r="X54" i="18"/>
  <c r="B37" i="18"/>
  <c r="AH37" i="19"/>
  <c r="BH37" i="19"/>
  <c r="AB37" i="19"/>
  <c r="BB37" i="19"/>
  <c r="V37" i="19"/>
  <c r="AV37" i="19"/>
  <c r="P37" i="19"/>
  <c r="AP37" i="19"/>
  <c r="AJ37" i="19"/>
  <c r="BJ37" i="19"/>
  <c r="AD37" i="19"/>
  <c r="BD37" i="19"/>
  <c r="X37" i="19"/>
  <c r="AX37" i="19"/>
  <c r="R37" i="19"/>
  <c r="AL37" i="19"/>
  <c r="AF37" i="19"/>
  <c r="BF37" i="19"/>
  <c r="Z37" i="19"/>
  <c r="AZ37" i="19"/>
  <c r="AT37" i="19"/>
  <c r="AN37" i="19"/>
  <c r="T37" i="19"/>
  <c r="J37" i="19"/>
  <c r="D37" i="19"/>
  <c r="AR37" i="19"/>
  <c r="L37" i="19"/>
  <c r="F37" i="19"/>
  <c r="N37" i="19"/>
  <c r="H37" i="19"/>
  <c r="B78" i="13"/>
  <c r="AR78" i="11"/>
  <c r="AL78" i="11"/>
  <c r="BF78" i="11"/>
  <c r="BJ78" i="11"/>
  <c r="AT78" i="11"/>
  <c r="AN78" i="11"/>
  <c r="AH78" i="11"/>
  <c r="L78" i="11"/>
  <c r="BD78" i="11"/>
  <c r="AX78" i="11"/>
  <c r="AZ78" i="11"/>
  <c r="AJ78" i="11"/>
  <c r="J78" i="11"/>
  <c r="H78" i="11"/>
  <c r="AP78" i="11"/>
  <c r="F78" i="11"/>
  <c r="V78" i="11"/>
  <c r="BB78" i="11"/>
  <c r="AV78" i="11"/>
  <c r="D78" i="11"/>
  <c r="T78" i="11"/>
  <c r="R78" i="11"/>
  <c r="BH78" i="11"/>
  <c r="P78" i="11"/>
  <c r="AF78" i="11"/>
  <c r="N78" i="11"/>
  <c r="AB78" i="11"/>
  <c r="X78" i="11"/>
  <c r="Z78" i="11"/>
  <c r="AD78" i="11"/>
  <c r="B32" i="18"/>
  <c r="BJ32" i="19"/>
  <c r="AD32" i="19"/>
  <c r="BD32" i="19"/>
  <c r="X32" i="19"/>
  <c r="AX32" i="19"/>
  <c r="AR32" i="19"/>
  <c r="AL32" i="19"/>
  <c r="AF32" i="19"/>
  <c r="BF32" i="19"/>
  <c r="Z32" i="19"/>
  <c r="AZ32" i="19"/>
  <c r="T32" i="19"/>
  <c r="AT32" i="19"/>
  <c r="AH32" i="19"/>
  <c r="BH32" i="19"/>
  <c r="AB32" i="19"/>
  <c r="BB32" i="19"/>
  <c r="V32" i="19"/>
  <c r="AV32" i="19"/>
  <c r="AP32" i="19"/>
  <c r="AJ32" i="19"/>
  <c r="L32" i="19"/>
  <c r="F32" i="19"/>
  <c r="D32" i="19"/>
  <c r="N32" i="19"/>
  <c r="H32" i="19"/>
  <c r="AN32" i="19"/>
  <c r="R32" i="19"/>
  <c r="P32" i="19"/>
  <c r="J32" i="19"/>
  <c r="AZ58" i="18"/>
  <c r="AH58" i="18"/>
  <c r="AV58" i="18"/>
  <c r="B58" i="11"/>
  <c r="BJ58" i="18"/>
  <c r="AR58" i="18"/>
  <c r="BF58" i="18"/>
  <c r="BB58" i="18"/>
  <c r="AX58" i="18"/>
  <c r="V58" i="18"/>
  <c r="D58" i="18"/>
  <c r="BD58" i="18"/>
  <c r="AL58" i="18"/>
  <c r="R58" i="18"/>
  <c r="AF58" i="18"/>
  <c r="N58" i="18"/>
  <c r="AB58" i="18"/>
  <c r="AP58" i="18"/>
  <c r="J58" i="18"/>
  <c r="AT58" i="18"/>
  <c r="X58" i="18"/>
  <c r="F58" i="18"/>
  <c r="AN58" i="18"/>
  <c r="AJ58" i="18"/>
  <c r="P58" i="18"/>
  <c r="AD58" i="18"/>
  <c r="L58" i="18"/>
  <c r="BH58" i="18"/>
  <c r="Z58" i="18"/>
  <c r="H58" i="18"/>
  <c r="T58" i="18"/>
  <c r="B31" i="11"/>
  <c r="BF31" i="18"/>
  <c r="AZ31" i="18"/>
  <c r="AT31" i="18"/>
  <c r="AN31" i="18"/>
  <c r="BH31" i="18"/>
  <c r="BB31" i="18"/>
  <c r="AV31" i="18"/>
  <c r="AP31" i="18"/>
  <c r="BJ31" i="18"/>
  <c r="BD31" i="18"/>
  <c r="L31" i="18"/>
  <c r="F31" i="18"/>
  <c r="AF31" i="18"/>
  <c r="D31" i="18"/>
  <c r="Z31" i="18"/>
  <c r="T31" i="18"/>
  <c r="N31" i="18"/>
  <c r="H31" i="18"/>
  <c r="AH31" i="18"/>
  <c r="AB31" i="18"/>
  <c r="AR31" i="18"/>
  <c r="V31" i="18"/>
  <c r="AX31" i="18"/>
  <c r="AL31" i="18"/>
  <c r="P31" i="18"/>
  <c r="J31" i="18"/>
  <c r="AJ31" i="18"/>
  <c r="AD31" i="18"/>
  <c r="X31" i="18"/>
  <c r="R31" i="18"/>
  <c r="B80" i="13"/>
  <c r="AZ80" i="11"/>
  <c r="T80" i="11"/>
  <c r="AT80" i="11"/>
  <c r="BD80" i="11"/>
  <c r="V80" i="11"/>
  <c r="AX80" i="11"/>
  <c r="R80" i="11"/>
  <c r="BB80" i="11"/>
  <c r="BF80" i="11"/>
  <c r="AN80" i="11"/>
  <c r="AP80" i="11"/>
  <c r="AR80" i="11"/>
  <c r="F80" i="11"/>
  <c r="AV80" i="11"/>
  <c r="X80" i="11"/>
  <c r="Z80" i="11"/>
  <c r="P80" i="11"/>
  <c r="N80" i="11"/>
  <c r="J80" i="11"/>
  <c r="BH80" i="11"/>
  <c r="H80" i="11"/>
  <c r="AL80" i="11"/>
  <c r="AJ80" i="11"/>
  <c r="AH80" i="11"/>
  <c r="AF80" i="11"/>
  <c r="AD80" i="11"/>
  <c r="AB80" i="11"/>
  <c r="D80" i="11"/>
  <c r="BJ80" i="11"/>
  <c r="L80" i="11"/>
  <c r="B49" i="11"/>
  <c r="BD49" i="18"/>
  <c r="AL49" i="18"/>
  <c r="AZ49" i="18"/>
  <c r="AV49" i="18"/>
  <c r="BJ49" i="18"/>
  <c r="AR49" i="18"/>
  <c r="BF49" i="18"/>
  <c r="BB49" i="18"/>
  <c r="AX49" i="18"/>
  <c r="BH49" i="18"/>
  <c r="Z49" i="18"/>
  <c r="H49" i="18"/>
  <c r="V49" i="18"/>
  <c r="AN49" i="18"/>
  <c r="R49" i="18"/>
  <c r="AF49" i="18"/>
  <c r="N49" i="18"/>
  <c r="AB49" i="18"/>
  <c r="AJ49" i="18"/>
  <c r="J49" i="18"/>
  <c r="F49" i="18"/>
  <c r="T49" i="18"/>
  <c r="AH49" i="18"/>
  <c r="D49" i="18"/>
  <c r="P49" i="18"/>
  <c r="AT49" i="18"/>
  <c r="AD49" i="18"/>
  <c r="AP49" i="18"/>
  <c r="L49" i="18"/>
  <c r="X49" i="18"/>
  <c r="B68" i="13"/>
  <c r="AJ68" i="11"/>
  <c r="BJ68" i="11"/>
  <c r="AD68" i="11"/>
  <c r="BF68" i="11"/>
  <c r="T68" i="11"/>
  <c r="AZ68" i="11"/>
  <c r="P68" i="11"/>
  <c r="J68" i="11"/>
  <c r="AT68" i="11"/>
  <c r="BD68" i="11"/>
  <c r="AX68" i="11"/>
  <c r="AN68" i="11"/>
  <c r="AR68" i="11"/>
  <c r="BB68" i="11"/>
  <c r="AP68" i="11"/>
  <c r="H68" i="11"/>
  <c r="X68" i="11"/>
  <c r="V68" i="11"/>
  <c r="F68" i="11"/>
  <c r="BH68" i="11"/>
  <c r="AV68" i="11"/>
  <c r="AH68" i="11"/>
  <c r="AF68" i="11"/>
  <c r="AB68" i="11"/>
  <c r="Z68" i="11"/>
  <c r="N68" i="11"/>
  <c r="L68" i="11"/>
  <c r="R68" i="11"/>
  <c r="AL68" i="11"/>
  <c r="D68" i="11"/>
  <c r="B42" i="11"/>
  <c r="AZ42" i="18"/>
  <c r="AV42" i="18"/>
  <c r="BJ42" i="18"/>
  <c r="AR42" i="18"/>
  <c r="BF42" i="18"/>
  <c r="BB42" i="18"/>
  <c r="AX42" i="18"/>
  <c r="V42" i="18"/>
  <c r="AT42" i="18"/>
  <c r="D42" i="18"/>
  <c r="R42" i="18"/>
  <c r="AJ42" i="18"/>
  <c r="AF42" i="18"/>
  <c r="BH42" i="18"/>
  <c r="N42" i="18"/>
  <c r="AP42" i="18"/>
  <c r="AB42" i="18"/>
  <c r="AL42" i="18"/>
  <c r="J42" i="18"/>
  <c r="X42" i="18"/>
  <c r="F42" i="18"/>
  <c r="BD42" i="18"/>
  <c r="AH42" i="18"/>
  <c r="AN42" i="18"/>
  <c r="P42" i="18"/>
  <c r="AD42" i="18"/>
  <c r="L42" i="18"/>
  <c r="Z42" i="18"/>
  <c r="H42" i="18"/>
  <c r="T42" i="18"/>
  <c r="C16" i="17"/>
  <c r="Q16" i="17"/>
  <c r="AO16" i="17"/>
  <c r="G16" i="17"/>
  <c r="B46" i="11"/>
  <c r="AJ46" i="18"/>
  <c r="AX46" i="18"/>
  <c r="AT46" i="18"/>
  <c r="BH46" i="18"/>
  <c r="BD46" i="18"/>
  <c r="AL46" i="18"/>
  <c r="AZ46" i="18"/>
  <c r="AV46" i="18"/>
  <c r="BJ46" i="18"/>
  <c r="AP46" i="18"/>
  <c r="F46" i="18"/>
  <c r="T46" i="18"/>
  <c r="AH46" i="18"/>
  <c r="BB46" i="18"/>
  <c r="P46" i="18"/>
  <c r="AD46" i="18"/>
  <c r="L46" i="18"/>
  <c r="D46" i="18"/>
  <c r="Z46" i="18"/>
  <c r="H46" i="18"/>
  <c r="AN46" i="18"/>
  <c r="V46" i="18"/>
  <c r="R46" i="18"/>
  <c r="AF46" i="18"/>
  <c r="N46" i="18"/>
  <c r="BF46" i="18"/>
  <c r="AB46" i="18"/>
  <c r="AR46" i="18"/>
  <c r="J46" i="18"/>
  <c r="X46" i="18"/>
  <c r="AJ60" i="13"/>
  <c r="BJ60" i="13"/>
  <c r="AX60" i="13"/>
  <c r="R60" i="13"/>
  <c r="AF60" i="13"/>
  <c r="AB60" i="13"/>
  <c r="BH60" i="13"/>
  <c r="F60" i="13"/>
  <c r="J60" i="13"/>
  <c r="AN60" i="13"/>
  <c r="AD60" i="13"/>
  <c r="T60" i="13"/>
  <c r="N60" i="13"/>
  <c r="BB60" i="13"/>
  <c r="AR60" i="13"/>
  <c r="AH60" i="13"/>
  <c r="X60" i="13"/>
  <c r="D60" i="13"/>
  <c r="AV60" i="13"/>
  <c r="AL60" i="13"/>
  <c r="BF60" i="13"/>
  <c r="H60" i="13"/>
  <c r="AT60" i="13"/>
  <c r="AP60" i="13"/>
  <c r="BD60" i="13"/>
  <c r="P60" i="13"/>
  <c r="AZ60" i="13"/>
  <c r="L60" i="13"/>
  <c r="Z60" i="13"/>
  <c r="V60" i="13"/>
  <c r="H13" i="19"/>
  <c r="AL13" i="19"/>
  <c r="F13" i="19"/>
  <c r="AJ13" i="19"/>
  <c r="AZ13" i="19"/>
  <c r="T13" i="19"/>
  <c r="AX13" i="19"/>
  <c r="R13" i="19"/>
  <c r="BJ23" i="17"/>
  <c r="AF23" i="17"/>
  <c r="BF23" i="17"/>
  <c r="Z23" i="17"/>
  <c r="AZ23" i="17"/>
  <c r="T23" i="17"/>
  <c r="AT23" i="17"/>
  <c r="N23" i="17"/>
  <c r="AN23" i="17"/>
  <c r="H23" i="17"/>
  <c r="AH23" i="17"/>
  <c r="BH23" i="17"/>
  <c r="AB23" i="17"/>
  <c r="BB23" i="17"/>
  <c r="V23" i="17"/>
  <c r="AV23" i="17"/>
  <c r="P23" i="17"/>
  <c r="D23" i="17"/>
  <c r="AP23" i="17"/>
  <c r="J23" i="17"/>
  <c r="AJ23" i="17"/>
  <c r="AD23" i="17"/>
  <c r="BD23" i="17"/>
  <c r="X23" i="17"/>
  <c r="AX23" i="17"/>
  <c r="R23" i="17"/>
  <c r="AR23" i="17"/>
  <c r="AL23" i="17"/>
  <c r="F23" i="17"/>
  <c r="L23" i="17"/>
  <c r="B23" i="19"/>
  <c r="BJ24" i="17"/>
  <c r="AZ24" i="17"/>
  <c r="T24" i="17"/>
  <c r="AT24" i="17"/>
  <c r="N24" i="17"/>
  <c r="AN24" i="17"/>
  <c r="H24" i="17"/>
  <c r="AH24" i="17"/>
  <c r="BH24" i="17"/>
  <c r="AB24" i="17"/>
  <c r="BB24" i="17"/>
  <c r="V24" i="17"/>
  <c r="D24" i="17"/>
  <c r="AV24" i="17"/>
  <c r="P24" i="17"/>
  <c r="AP24" i="17"/>
  <c r="J24" i="17"/>
  <c r="AJ24" i="17"/>
  <c r="AD24" i="17"/>
  <c r="BD24" i="17"/>
  <c r="X24" i="17"/>
  <c r="AX24" i="17"/>
  <c r="R24" i="17"/>
  <c r="AR24" i="17"/>
  <c r="L24" i="17"/>
  <c r="AL24" i="17"/>
  <c r="AF24" i="17"/>
  <c r="BF24" i="17"/>
  <c r="Z24" i="17"/>
  <c r="F24" i="17"/>
  <c r="B24" i="19"/>
  <c r="B36" i="18"/>
  <c r="AT36" i="19"/>
  <c r="AN36" i="19"/>
  <c r="AH36" i="19"/>
  <c r="BH36" i="19"/>
  <c r="AB36" i="19"/>
  <c r="BB36" i="19"/>
  <c r="V36" i="19"/>
  <c r="AV36" i="19"/>
  <c r="AP36" i="19"/>
  <c r="AJ36" i="19"/>
  <c r="BJ36" i="19"/>
  <c r="AD36" i="19"/>
  <c r="AX36" i="19"/>
  <c r="R36" i="19"/>
  <c r="AR36" i="19"/>
  <c r="AL36" i="19"/>
  <c r="BF36" i="19"/>
  <c r="Z36" i="19"/>
  <c r="AZ36" i="19"/>
  <c r="T36" i="19"/>
  <c r="AF36" i="19"/>
  <c r="J36" i="19"/>
  <c r="X36" i="19"/>
  <c r="P36" i="19"/>
  <c r="BD36" i="19"/>
  <c r="D36" i="19"/>
  <c r="L36" i="19"/>
  <c r="F36" i="19"/>
  <c r="N36" i="19"/>
  <c r="H36" i="19"/>
  <c r="B85" i="13"/>
  <c r="BD85" i="11"/>
  <c r="X85" i="11"/>
  <c r="AX85" i="11"/>
  <c r="AP85" i="11"/>
  <c r="T85" i="11"/>
  <c r="D85" i="11"/>
  <c r="AJ85" i="11"/>
  <c r="P85" i="11"/>
  <c r="AD85" i="11"/>
  <c r="AZ85" i="11"/>
  <c r="BF85" i="11"/>
  <c r="BH85" i="11"/>
  <c r="BJ85" i="11"/>
  <c r="AB85" i="11"/>
  <c r="L85" i="11"/>
  <c r="AF85" i="11"/>
  <c r="BB85" i="11"/>
  <c r="AV85" i="11"/>
  <c r="AH85" i="11"/>
  <c r="J85" i="11"/>
  <c r="AN85" i="11"/>
  <c r="AL85" i="11"/>
  <c r="F85" i="11"/>
  <c r="AR85" i="11"/>
  <c r="N85" i="11"/>
  <c r="AT85" i="11"/>
  <c r="Z85" i="11"/>
  <c r="V85" i="11"/>
  <c r="R85" i="11"/>
  <c r="H85" i="11"/>
  <c r="E16" i="17"/>
  <c r="BG4" i="13"/>
  <c r="AN5" i="13"/>
  <c r="AA4" i="13"/>
  <c r="H5" i="13"/>
  <c r="AT5" i="13"/>
  <c r="AG4" i="13"/>
  <c r="N5" i="13"/>
  <c r="AZ5" i="13"/>
  <c r="AM4" i="13"/>
  <c r="T5" i="13"/>
  <c r="G4" i="13"/>
  <c r="BF5" i="13"/>
  <c r="AS4" i="13"/>
  <c r="Z5" i="13"/>
  <c r="M4" i="13"/>
  <c r="AL5" i="13"/>
  <c r="AD5" i="13"/>
  <c r="V5" i="13"/>
  <c r="BC4" i="13"/>
  <c r="AU4" i="13"/>
  <c r="L5" i="13"/>
  <c r="AK4" i="13"/>
  <c r="AC4" i="13"/>
  <c r="U4" i="13"/>
  <c r="D5" i="13"/>
  <c r="S4" i="13"/>
  <c r="K4" i="13"/>
  <c r="BJ5" i="13"/>
  <c r="BB5" i="13"/>
  <c r="AR5" i="13"/>
  <c r="AJ5" i="13"/>
  <c r="AB5" i="13"/>
  <c r="C4" i="13"/>
  <c r="BI4" i="13"/>
  <c r="BA4" i="13"/>
  <c r="R5" i="13"/>
  <c r="J5" i="13"/>
  <c r="W4" i="13"/>
  <c r="AI4" i="13"/>
  <c r="F5" i="13"/>
  <c r="AX5" i="13"/>
  <c r="E4" i="13"/>
  <c r="AW4" i="13"/>
  <c r="AH5" i="13"/>
  <c r="Q4" i="13"/>
  <c r="AF5" i="13"/>
  <c r="AV5" i="13"/>
  <c r="AE4" i="13"/>
  <c r="P5" i="13"/>
  <c r="BH5" i="13"/>
  <c r="AQ4" i="13"/>
  <c r="O4" i="13"/>
  <c r="X5" i="13"/>
  <c r="BE4" i="13"/>
  <c r="BD5" i="13"/>
  <c r="AY4" i="13"/>
  <c r="I4" i="13"/>
  <c r="AP5" i="13"/>
  <c r="Y4" i="13"/>
  <c r="AO4" i="13"/>
  <c r="B14" i="18"/>
  <c r="AN14" i="19"/>
  <c r="H14" i="19"/>
  <c r="AL14" i="19"/>
  <c r="F14" i="19"/>
  <c r="AJ14" i="19"/>
  <c r="AH14" i="19"/>
  <c r="D14" i="19"/>
  <c r="AF14" i="19"/>
  <c r="BJ14" i="19"/>
  <c r="AD14" i="19"/>
  <c r="BH14" i="19"/>
  <c r="AB14" i="19"/>
  <c r="BF14" i="19"/>
  <c r="Z14" i="19"/>
  <c r="BD14" i="19"/>
  <c r="X14" i="19"/>
  <c r="BB14" i="19"/>
  <c r="V14" i="19"/>
  <c r="AZ14" i="19"/>
  <c r="T14" i="19"/>
  <c r="AX14" i="19"/>
  <c r="R14" i="19"/>
  <c r="AV14" i="19"/>
  <c r="P14" i="19"/>
  <c r="AT14" i="19"/>
  <c r="N14" i="19"/>
  <c r="AR14" i="19"/>
  <c r="L14" i="19"/>
  <c r="AP14" i="19"/>
  <c r="J14" i="19"/>
  <c r="AP22" i="19"/>
  <c r="AJ22" i="19"/>
  <c r="BJ22" i="19"/>
  <c r="AB22" i="19"/>
  <c r="J22" i="19"/>
  <c r="D22" i="19"/>
  <c r="B53" i="11"/>
  <c r="AN53" i="18"/>
  <c r="BB53" i="18"/>
  <c r="AJ53" i="18"/>
  <c r="AX53" i="18"/>
  <c r="AT53" i="18"/>
  <c r="BH53" i="18"/>
  <c r="AP53" i="18"/>
  <c r="BD53" i="18"/>
  <c r="AZ53" i="18"/>
  <c r="J53" i="18"/>
  <c r="D53" i="18"/>
  <c r="X53" i="18"/>
  <c r="F53" i="18"/>
  <c r="T53" i="18"/>
  <c r="AH53" i="18"/>
  <c r="P53" i="18"/>
  <c r="AL53" i="18"/>
  <c r="AD53" i="18"/>
  <c r="L53" i="18"/>
  <c r="Z53" i="18"/>
  <c r="BJ53" i="18"/>
  <c r="AR53" i="18"/>
  <c r="V53" i="18"/>
  <c r="BF53" i="18"/>
  <c r="R53" i="18"/>
  <c r="AF53" i="18"/>
  <c r="AV53" i="18"/>
  <c r="N53" i="18"/>
  <c r="AB53" i="18"/>
  <c r="H53" i="18"/>
  <c r="AW16" i="17"/>
  <c r="O16" i="17"/>
  <c r="AM16" i="17"/>
  <c r="B15" i="18"/>
  <c r="AJ15" i="19"/>
  <c r="D15" i="19"/>
  <c r="AH15" i="19"/>
  <c r="AF15" i="19"/>
  <c r="BJ15" i="19"/>
  <c r="AD15" i="19"/>
  <c r="BH15" i="19"/>
  <c r="AB15" i="19"/>
  <c r="BF15" i="19"/>
  <c r="Z15" i="19"/>
  <c r="BD15" i="19"/>
  <c r="X15" i="19"/>
  <c r="BB15" i="19"/>
  <c r="V15" i="19"/>
  <c r="AZ15" i="19"/>
  <c r="T15" i="19"/>
  <c r="AX15" i="19"/>
  <c r="R15" i="19"/>
  <c r="AV15" i="19"/>
  <c r="P15" i="19"/>
  <c r="AT15" i="19"/>
  <c r="N15" i="19"/>
  <c r="AR15" i="19"/>
  <c r="L15" i="19"/>
  <c r="AP15" i="19"/>
  <c r="J15" i="19"/>
  <c r="AN15" i="19"/>
  <c r="H15" i="19"/>
  <c r="AL15" i="19"/>
  <c r="F15" i="19"/>
  <c r="B27" i="18"/>
  <c r="BF27" i="19"/>
  <c r="Z27" i="19"/>
  <c r="AZ27" i="19"/>
  <c r="T27" i="19"/>
  <c r="AT27" i="19"/>
  <c r="AN27" i="19"/>
  <c r="AH27" i="19"/>
  <c r="BH27" i="19"/>
  <c r="AB27" i="19"/>
  <c r="BB27" i="19"/>
  <c r="V27" i="19"/>
  <c r="AV27" i="19"/>
  <c r="AP27" i="19"/>
  <c r="BJ27" i="19"/>
  <c r="AD27" i="19"/>
  <c r="BD27" i="19"/>
  <c r="X27" i="19"/>
  <c r="AX27" i="19"/>
  <c r="R27" i="19"/>
  <c r="AR27" i="19"/>
  <c r="AL27" i="19"/>
  <c r="AF27" i="19"/>
  <c r="N27" i="19"/>
  <c r="H27" i="19"/>
  <c r="D27" i="19"/>
  <c r="P27" i="19"/>
  <c r="J27" i="19"/>
  <c r="AJ27" i="19"/>
  <c r="L27" i="19"/>
  <c r="F27" i="19"/>
  <c r="AV19" i="17"/>
  <c r="P19" i="17"/>
  <c r="AP19" i="17"/>
  <c r="J19" i="17"/>
  <c r="AJ19" i="17"/>
  <c r="BJ19" i="17"/>
  <c r="AD19" i="17"/>
  <c r="BD19" i="17"/>
  <c r="X19" i="17"/>
  <c r="D19" i="17"/>
  <c r="AX19" i="17"/>
  <c r="R19" i="17"/>
  <c r="AR19" i="17"/>
  <c r="L19" i="17"/>
  <c r="AL19" i="17"/>
  <c r="F19" i="17"/>
  <c r="AF19" i="17"/>
  <c r="BF19" i="17"/>
  <c r="Z19" i="17"/>
  <c r="AZ19" i="17"/>
  <c r="T19" i="17"/>
  <c r="AT19" i="17"/>
  <c r="N19" i="17"/>
  <c r="AN19" i="17"/>
  <c r="H19" i="17"/>
  <c r="AH19" i="17"/>
  <c r="BH19" i="17"/>
  <c r="AB19" i="17"/>
  <c r="BB19" i="17"/>
  <c r="V19" i="17"/>
  <c r="B19" i="19"/>
  <c r="Y16" i="17"/>
  <c r="B26" i="18"/>
  <c r="AL26" i="19"/>
  <c r="AF26" i="19"/>
  <c r="BF26" i="19"/>
  <c r="Z26" i="19"/>
  <c r="AZ26" i="19"/>
  <c r="T26" i="19"/>
  <c r="AT26" i="19"/>
  <c r="AN26" i="19"/>
  <c r="AH26" i="19"/>
  <c r="BH26" i="19"/>
  <c r="AB26" i="19"/>
  <c r="BB26" i="19"/>
  <c r="V26" i="19"/>
  <c r="AP26" i="19"/>
  <c r="AJ26" i="19"/>
  <c r="BJ26" i="19"/>
  <c r="AD26" i="19"/>
  <c r="BD26" i="19"/>
  <c r="AX26" i="19"/>
  <c r="AR26" i="19"/>
  <c r="AV26" i="19"/>
  <c r="N26" i="19"/>
  <c r="R26" i="19"/>
  <c r="H26" i="19"/>
  <c r="D26" i="19"/>
  <c r="P26" i="19"/>
  <c r="X26" i="19"/>
  <c r="J26" i="19"/>
  <c r="L26" i="19"/>
  <c r="F26" i="19"/>
  <c r="B76" i="13"/>
  <c r="AJ76" i="11"/>
  <c r="BJ76" i="11"/>
  <c r="AD76" i="11"/>
  <c r="AP76" i="11"/>
  <c r="X76" i="11"/>
  <c r="T76" i="11"/>
  <c r="J76" i="11"/>
  <c r="BF76" i="11"/>
  <c r="P76" i="11"/>
  <c r="BH76" i="11"/>
  <c r="AZ76" i="11"/>
  <c r="AF76" i="11"/>
  <c r="L76" i="11"/>
  <c r="AH76" i="11"/>
  <c r="BD76" i="11"/>
  <c r="AX76" i="11"/>
  <c r="AL76" i="11"/>
  <c r="D76" i="11"/>
  <c r="AN76" i="11"/>
  <c r="AR76" i="11"/>
  <c r="AT76" i="11"/>
  <c r="V76" i="11"/>
  <c r="AV76" i="11"/>
  <c r="H76" i="11"/>
  <c r="R76" i="11"/>
  <c r="N76" i="11"/>
  <c r="AB76" i="11"/>
  <c r="F76" i="11"/>
  <c r="Z76" i="11"/>
  <c r="BB76" i="11"/>
  <c r="W16" i="17"/>
  <c r="AU16" i="17"/>
  <c r="M16" i="17"/>
  <c r="B83" i="13"/>
  <c r="AV83" i="11"/>
  <c r="P83" i="11"/>
  <c r="AP83" i="11"/>
  <c r="BJ83" i="11"/>
  <c r="Z83" i="11"/>
  <c r="BB83" i="11"/>
  <c r="AT83" i="11"/>
  <c r="V83" i="11"/>
  <c r="R83" i="11"/>
  <c r="D83" i="11"/>
  <c r="AD83" i="11"/>
  <c r="N83" i="11"/>
  <c r="AB83" i="11"/>
  <c r="L83" i="11"/>
  <c r="AZ83" i="11"/>
  <c r="BH83" i="11"/>
  <c r="AJ83" i="11"/>
  <c r="BD83" i="11"/>
  <c r="H83" i="11"/>
  <c r="AL83" i="11"/>
  <c r="AH83" i="11"/>
  <c r="AN83" i="11"/>
  <c r="AF83" i="11"/>
  <c r="F83" i="11"/>
  <c r="BF83" i="11"/>
  <c r="AR83" i="11"/>
  <c r="AX83" i="11"/>
  <c r="J83" i="11"/>
  <c r="X83" i="11"/>
  <c r="T83" i="11"/>
  <c r="AJ20" i="17"/>
  <c r="BJ20" i="17"/>
  <c r="AD20" i="17"/>
  <c r="D20" i="17"/>
  <c r="BD20" i="17"/>
  <c r="X20" i="17"/>
  <c r="AX20" i="17"/>
  <c r="R20" i="17"/>
  <c r="AR20" i="17"/>
  <c r="L20" i="17"/>
  <c r="AL20" i="17"/>
  <c r="F20" i="17"/>
  <c r="AF20" i="17"/>
  <c r="BF20" i="17"/>
  <c r="Z20" i="17"/>
  <c r="AZ20" i="17"/>
  <c r="T20" i="17"/>
  <c r="AT20" i="17"/>
  <c r="N20" i="17"/>
  <c r="AN20" i="17"/>
  <c r="H20" i="17"/>
  <c r="AH20" i="17"/>
  <c r="BH20" i="17"/>
  <c r="AB20" i="17"/>
  <c r="BB20" i="17"/>
  <c r="V20" i="17"/>
  <c r="AV20" i="17"/>
  <c r="P20" i="17"/>
  <c r="AP20" i="17"/>
  <c r="J20" i="17"/>
  <c r="B20" i="19"/>
  <c r="BE16" i="17"/>
  <c r="B72" i="13"/>
  <c r="AZ72" i="11"/>
  <c r="T72" i="11"/>
  <c r="AT72" i="11"/>
  <c r="AX72" i="11"/>
  <c r="V72" i="11"/>
  <c r="AR72" i="11"/>
  <c r="R72" i="11"/>
  <c r="AL72" i="11"/>
  <c r="BB72" i="11"/>
  <c r="BH72" i="11"/>
  <c r="AV72" i="11"/>
  <c r="X72" i="11"/>
  <c r="Z72" i="11"/>
  <c r="F72" i="11"/>
  <c r="P72" i="11"/>
  <c r="AB72" i="11"/>
  <c r="N72" i="11"/>
  <c r="AD72" i="11"/>
  <c r="BF72" i="11"/>
  <c r="AF72" i="11"/>
  <c r="L72" i="11"/>
  <c r="BD72" i="11"/>
  <c r="J72" i="11"/>
  <c r="D72" i="11"/>
  <c r="BJ72" i="11"/>
  <c r="AP72" i="11"/>
  <c r="AJ72" i="11"/>
  <c r="AN72" i="11"/>
  <c r="AH72" i="11"/>
  <c r="H72" i="11"/>
  <c r="B33" i="18"/>
  <c r="AX33" i="19"/>
  <c r="R33" i="19"/>
  <c r="AR33" i="19"/>
  <c r="AL33" i="19"/>
  <c r="AF33" i="19"/>
  <c r="BF33" i="19"/>
  <c r="Z33" i="19"/>
  <c r="AZ33" i="19"/>
  <c r="T33" i="19"/>
  <c r="AT33" i="19"/>
  <c r="AN33" i="19"/>
  <c r="AH33" i="19"/>
  <c r="BB33" i="19"/>
  <c r="V33" i="19"/>
  <c r="AV33" i="19"/>
  <c r="AP33" i="19"/>
  <c r="BJ33" i="19"/>
  <c r="AD33" i="19"/>
  <c r="BD33" i="19"/>
  <c r="X33" i="19"/>
  <c r="F33" i="19"/>
  <c r="BH33" i="19"/>
  <c r="N33" i="19"/>
  <c r="H33" i="19"/>
  <c r="AJ33" i="19"/>
  <c r="P33" i="19"/>
  <c r="J33" i="19"/>
  <c r="AB33" i="19"/>
  <c r="L33" i="19"/>
  <c r="D33" i="19"/>
  <c r="B12" i="18"/>
  <c r="AV12" i="19"/>
  <c r="P12" i="19"/>
  <c r="AT12" i="19"/>
  <c r="N12" i="19"/>
  <c r="AR12" i="19"/>
  <c r="L12" i="19"/>
  <c r="AP12" i="19"/>
  <c r="J12" i="19"/>
  <c r="AN12" i="19"/>
  <c r="H12" i="19"/>
  <c r="AL12" i="19"/>
  <c r="F12" i="19"/>
  <c r="AJ12" i="19"/>
  <c r="AH12" i="19"/>
  <c r="AF12" i="19"/>
  <c r="BJ12" i="19"/>
  <c r="AD12" i="19"/>
  <c r="D12" i="19"/>
  <c r="BH12" i="19"/>
  <c r="AB12" i="19"/>
  <c r="BF12" i="19"/>
  <c r="Z12" i="19"/>
  <c r="BD12" i="19"/>
  <c r="X12" i="19"/>
  <c r="BB12" i="19"/>
  <c r="V12" i="19"/>
  <c r="AZ12" i="19"/>
  <c r="T12" i="19"/>
  <c r="AX12" i="19"/>
  <c r="R12" i="19"/>
  <c r="BJ61" i="13"/>
  <c r="AF61" i="13"/>
  <c r="D61" i="13"/>
  <c r="AT61" i="13"/>
  <c r="N61" i="13"/>
  <c r="AB61" i="13"/>
  <c r="AX61" i="13"/>
  <c r="J61" i="13"/>
  <c r="BB61" i="13"/>
  <c r="AN61" i="13"/>
  <c r="AD61" i="13"/>
  <c r="T61" i="13"/>
  <c r="AR61" i="13"/>
  <c r="AH61" i="13"/>
  <c r="X61" i="13"/>
  <c r="BH61" i="13"/>
  <c r="AV61" i="13"/>
  <c r="AL61" i="13"/>
  <c r="BF61" i="13"/>
  <c r="R61" i="13"/>
  <c r="H61" i="13"/>
  <c r="AZ61" i="13"/>
  <c r="AP61" i="13"/>
  <c r="BD61" i="13"/>
  <c r="P61" i="13"/>
  <c r="L61" i="13"/>
  <c r="Z61" i="13"/>
  <c r="V61" i="13"/>
  <c r="AJ61" i="13"/>
  <c r="F61" i="13"/>
  <c r="BC16" i="17"/>
  <c r="U16" i="17"/>
  <c r="AS16" i="17"/>
  <c r="BJ62" i="13"/>
  <c r="BF62" i="13"/>
  <c r="AB62" i="13"/>
  <c r="AP62" i="13"/>
  <c r="J62" i="13"/>
  <c r="X62" i="13"/>
  <c r="AF62" i="13"/>
  <c r="AJ62" i="13"/>
  <c r="AX62" i="13"/>
  <c r="AR62" i="13"/>
  <c r="AH62" i="13"/>
  <c r="N62" i="13"/>
  <c r="BH62" i="13"/>
  <c r="BB62" i="13"/>
  <c r="D62" i="13"/>
  <c r="AV62" i="13"/>
  <c r="AL62" i="13"/>
  <c r="R62" i="13"/>
  <c r="H62" i="13"/>
  <c r="AZ62" i="13"/>
  <c r="V62" i="13"/>
  <c r="L62" i="13"/>
  <c r="BD62" i="13"/>
  <c r="P62" i="13"/>
  <c r="AD62" i="13"/>
  <c r="Z62" i="13"/>
  <c r="AN62" i="13"/>
  <c r="AT62" i="13"/>
  <c r="T62" i="13"/>
  <c r="F62" i="13"/>
  <c r="B82" i="13"/>
  <c r="BH82" i="11"/>
  <c r="AB82" i="11"/>
  <c r="BB82" i="11"/>
  <c r="AL82" i="11"/>
  <c r="H82" i="11"/>
  <c r="AF82" i="11"/>
  <c r="Z82" i="11"/>
  <c r="AV82" i="11"/>
  <c r="F82" i="11"/>
  <c r="BD82" i="11"/>
  <c r="AX82" i="11"/>
  <c r="AR82" i="11"/>
  <c r="X82" i="11"/>
  <c r="V82" i="11"/>
  <c r="T82" i="11"/>
  <c r="AT82" i="11"/>
  <c r="P82" i="11"/>
  <c r="R82" i="11"/>
  <c r="AD82" i="11"/>
  <c r="N82" i="11"/>
  <c r="D82" i="11"/>
  <c r="BJ82" i="11"/>
  <c r="AJ82" i="11"/>
  <c r="AP82" i="11"/>
  <c r="AH82" i="11"/>
  <c r="AN82" i="11"/>
  <c r="BF82" i="11"/>
  <c r="L82" i="11"/>
  <c r="J82" i="11"/>
  <c r="AZ82" i="11"/>
  <c r="B74" i="13"/>
  <c r="BH74" i="11"/>
  <c r="AB74" i="11"/>
  <c r="BB74" i="11"/>
  <c r="Z74" i="11"/>
  <c r="H74" i="11"/>
  <c r="AV74" i="11"/>
  <c r="D74" i="11"/>
  <c r="AP74" i="11"/>
  <c r="BJ74" i="11"/>
  <c r="BF74" i="11"/>
  <c r="AD74" i="11"/>
  <c r="AZ74" i="11"/>
  <c r="N74" i="11"/>
  <c r="AJ74" i="11"/>
  <c r="AF74" i="11"/>
  <c r="L74" i="11"/>
  <c r="AH74" i="11"/>
  <c r="J74" i="11"/>
  <c r="BD74" i="11"/>
  <c r="AX74" i="11"/>
  <c r="AL74" i="11"/>
  <c r="X74" i="11"/>
  <c r="V74" i="11"/>
  <c r="T74" i="11"/>
  <c r="AN74" i="11"/>
  <c r="AR74" i="11"/>
  <c r="R74" i="11"/>
  <c r="F74" i="11"/>
  <c r="P74" i="11"/>
  <c r="AT74" i="11"/>
  <c r="B81" i="13"/>
  <c r="AN81" i="11"/>
  <c r="AH81" i="11"/>
  <c r="BH81" i="11"/>
  <c r="AX81" i="11"/>
  <c r="R81" i="11"/>
  <c r="AR81" i="11"/>
  <c r="N81" i="11"/>
  <c r="AL81" i="11"/>
  <c r="H81" i="11"/>
  <c r="BB81" i="11"/>
  <c r="AV81" i="11"/>
  <c r="F81" i="11"/>
  <c r="BD81" i="11"/>
  <c r="X81" i="11"/>
  <c r="V81" i="11"/>
  <c r="T81" i="11"/>
  <c r="AT81" i="11"/>
  <c r="Z81" i="11"/>
  <c r="P81" i="11"/>
  <c r="AB81" i="11"/>
  <c r="BJ81" i="11"/>
  <c r="AZ81" i="11"/>
  <c r="AJ81" i="11"/>
  <c r="AF81" i="11"/>
  <c r="AD81" i="11"/>
  <c r="AP81" i="11"/>
  <c r="J81" i="11"/>
  <c r="L81" i="11"/>
  <c r="BF81" i="11"/>
  <c r="D81" i="11"/>
  <c r="Y59" i="11"/>
  <c r="AO59" i="11"/>
  <c r="B69" i="13"/>
  <c r="BD69" i="11"/>
  <c r="X69" i="11"/>
  <c r="AX69" i="11"/>
  <c r="AT69" i="11"/>
  <c r="D69" i="11"/>
  <c r="AN69" i="11"/>
  <c r="AH69" i="11"/>
  <c r="J69" i="11"/>
  <c r="AR69" i="11"/>
  <c r="BB69" i="11"/>
  <c r="AP69" i="11"/>
  <c r="H69" i="11"/>
  <c r="V69" i="11"/>
  <c r="F69" i="11"/>
  <c r="BJ69" i="11"/>
  <c r="Z69" i="11"/>
  <c r="R69" i="11"/>
  <c r="BH69" i="11"/>
  <c r="AV69" i="11"/>
  <c r="AB69" i="11"/>
  <c r="T69" i="11"/>
  <c r="BF69" i="11"/>
  <c r="AZ69" i="11"/>
  <c r="AJ69" i="11"/>
  <c r="N69" i="11"/>
  <c r="AD69" i="11"/>
  <c r="L69" i="11"/>
  <c r="AL69" i="11"/>
  <c r="AF69" i="11"/>
  <c r="P69" i="11"/>
  <c r="B64" i="13"/>
  <c r="B59" i="13"/>
  <c r="B38" i="13"/>
  <c r="B16" i="13"/>
  <c r="B7" i="13"/>
  <c r="B4" i="13"/>
  <c r="B64" i="11"/>
  <c r="B59" i="11"/>
  <c r="B38" i="11"/>
  <c r="B16" i="11"/>
  <c r="B7" i="11"/>
  <c r="B4" i="11"/>
  <c r="B64" i="18"/>
  <c r="B59" i="18"/>
  <c r="B38" i="18"/>
  <c r="B16" i="18"/>
  <c r="B7" i="18"/>
  <c r="B4" i="18"/>
  <c r="B64" i="19"/>
  <c r="B59" i="19"/>
  <c r="B38" i="19"/>
  <c r="B16" i="19"/>
  <c r="B7" i="19"/>
  <c r="B4" i="19"/>
  <c r="B38" i="17"/>
  <c r="B16" i="17"/>
  <c r="B7" i="17"/>
  <c r="B4" i="17"/>
  <c r="B38" i="12"/>
  <c r="B16" i="12"/>
  <c r="B7" i="12"/>
  <c r="B4" i="12"/>
  <c r="B16" i="16"/>
  <c r="B7" i="16"/>
  <c r="B4" i="16"/>
  <c r="B16" i="1"/>
  <c r="B7" i="1"/>
  <c r="B4" i="1"/>
  <c r="BG59" i="13" l="1"/>
  <c r="T22" i="19"/>
  <c r="B22" i="18"/>
  <c r="BH22" i="19"/>
  <c r="AH22" i="19"/>
  <c r="AZ22" i="19"/>
  <c r="P22" i="19"/>
  <c r="Z22" i="19"/>
  <c r="V22" i="19"/>
  <c r="BB22" i="19"/>
  <c r="AN22" i="19"/>
  <c r="BF22" i="19"/>
  <c r="AV22" i="19"/>
  <c r="H22" i="19"/>
  <c r="AL22" i="19"/>
  <c r="AT22" i="19"/>
  <c r="N22" i="19"/>
  <c r="AR22" i="19"/>
  <c r="R22" i="19"/>
  <c r="AX22" i="19"/>
  <c r="F22" i="19"/>
  <c r="X22" i="19"/>
  <c r="L22" i="19"/>
  <c r="BD22" i="19"/>
  <c r="AF22" i="19"/>
  <c r="AX10" i="19"/>
  <c r="T10" i="19"/>
  <c r="H10" i="19"/>
  <c r="AZ10" i="19"/>
  <c r="V10" i="19"/>
  <c r="BB10" i="19"/>
  <c r="X10" i="19"/>
  <c r="BJ10" i="19"/>
  <c r="AF10" i="19"/>
  <c r="R10" i="19"/>
  <c r="AH10" i="19"/>
  <c r="O16" i="1"/>
  <c r="G16" i="1"/>
  <c r="BE16" i="1"/>
  <c r="AK16" i="1"/>
  <c r="BG16" i="1"/>
  <c r="AG16" i="1"/>
  <c r="BC16" i="1"/>
  <c r="AO16" i="1"/>
  <c r="AS16" i="1"/>
  <c r="AY16" i="1"/>
  <c r="AE16" i="1"/>
  <c r="E16" i="1"/>
  <c r="BA16" i="1"/>
  <c r="C16" i="1"/>
  <c r="AQ16" i="1"/>
  <c r="AW16" i="1"/>
  <c r="BI16" i="1"/>
  <c r="Y16" i="1"/>
  <c r="AI16" i="1"/>
  <c r="AA16" i="1"/>
  <c r="W16" i="1"/>
  <c r="I16" i="1"/>
  <c r="AU16" i="1"/>
  <c r="AM16" i="1"/>
  <c r="M16" i="1"/>
  <c r="S16" i="1"/>
  <c r="K16" i="1"/>
  <c r="U16" i="1"/>
  <c r="Q16" i="1"/>
  <c r="AC16" i="1"/>
  <c r="AZ21" i="19"/>
  <c r="BH21" i="19"/>
  <c r="AQ38" i="12"/>
  <c r="AU38" i="12"/>
  <c r="AM38" i="12"/>
  <c r="U38" i="12"/>
  <c r="BE38" i="12"/>
  <c r="G38" i="12"/>
  <c r="BI38" i="12"/>
  <c r="M38" i="12"/>
  <c r="AC38" i="12"/>
  <c r="BG38" i="12"/>
  <c r="I38" i="12"/>
  <c r="AE38" i="12"/>
  <c r="Q38" i="12"/>
  <c r="AI38" i="12"/>
  <c r="E38" i="12"/>
  <c r="BC38" i="12"/>
  <c r="BA38" i="12"/>
  <c r="S38" i="12"/>
  <c r="W38" i="12"/>
  <c r="AS38" i="12"/>
  <c r="AG38" i="12"/>
  <c r="AO38" i="12"/>
  <c r="AA38" i="12"/>
  <c r="AW38" i="12"/>
  <c r="K38" i="12"/>
  <c r="O38" i="12"/>
  <c r="AK38" i="12"/>
  <c r="C38" i="12"/>
  <c r="Y38" i="12"/>
  <c r="AY38" i="12"/>
  <c r="AN13" i="19"/>
  <c r="AL9" i="19"/>
  <c r="BD13" i="19"/>
  <c r="B13" i="18"/>
  <c r="AF13" i="18" s="1"/>
  <c r="AN9" i="19"/>
  <c r="X9" i="19"/>
  <c r="BB13" i="19"/>
  <c r="Z13" i="19"/>
  <c r="J9" i="19"/>
  <c r="BD9" i="19"/>
  <c r="AF9" i="19"/>
  <c r="T9" i="19"/>
  <c r="X13" i="19"/>
  <c r="AB13" i="19"/>
  <c r="AP9" i="19"/>
  <c r="Z9" i="19"/>
  <c r="V13" i="19"/>
  <c r="BH13" i="19"/>
  <c r="L9" i="19"/>
  <c r="BF9" i="19"/>
  <c r="AJ9" i="19"/>
  <c r="J13" i="19"/>
  <c r="AD13" i="19"/>
  <c r="AR9" i="19"/>
  <c r="AB9" i="19"/>
  <c r="AZ9" i="19"/>
  <c r="F9" i="19"/>
  <c r="AP13" i="19"/>
  <c r="H9" i="19"/>
  <c r="N13" i="19"/>
  <c r="BJ13" i="19"/>
  <c r="N9" i="19"/>
  <c r="BH9" i="19"/>
  <c r="AX9" i="19"/>
  <c r="AT13" i="19"/>
  <c r="D13" i="19"/>
  <c r="AT9" i="19"/>
  <c r="B9" i="18"/>
  <c r="V9" i="19"/>
  <c r="D9" i="19"/>
  <c r="P13" i="19"/>
  <c r="AF13" i="19"/>
  <c r="P9" i="19"/>
  <c r="AH9" i="19"/>
  <c r="BB9" i="19"/>
  <c r="AV13" i="19"/>
  <c r="AH13" i="19"/>
  <c r="AD9" i="19"/>
  <c r="AN10" i="19"/>
  <c r="BD10" i="19"/>
  <c r="F21" i="19"/>
  <c r="BD21" i="19"/>
  <c r="AK7" i="19"/>
  <c r="BF21" i="19"/>
  <c r="D11" i="19"/>
  <c r="B10" i="18"/>
  <c r="AL10" i="18" s="1"/>
  <c r="AJ8" i="19"/>
  <c r="H21" i="19"/>
  <c r="E7" i="19"/>
  <c r="J10" i="19"/>
  <c r="AB11" i="19"/>
  <c r="AP10" i="19"/>
  <c r="L21" i="19"/>
  <c r="BJ21" i="19"/>
  <c r="AR8" i="19"/>
  <c r="AH21" i="19"/>
  <c r="BH11" i="19"/>
  <c r="D10" i="19"/>
  <c r="L10" i="19"/>
  <c r="T21" i="19"/>
  <c r="AJ21" i="19"/>
  <c r="N8" i="19"/>
  <c r="AL21" i="19"/>
  <c r="R21" i="19"/>
  <c r="AD21" i="19"/>
  <c r="N11" i="19"/>
  <c r="Z10" i="19"/>
  <c r="AR10" i="19"/>
  <c r="D21" i="19"/>
  <c r="AP21" i="19"/>
  <c r="AT8" i="19"/>
  <c r="AH8" i="19"/>
  <c r="R17" i="19"/>
  <c r="AT11" i="19"/>
  <c r="BF10" i="19"/>
  <c r="N10" i="19"/>
  <c r="J21" i="19"/>
  <c r="AV21" i="19"/>
  <c r="BE7" i="19"/>
  <c r="X21" i="19"/>
  <c r="AR21" i="19"/>
  <c r="F17" i="19"/>
  <c r="P11" i="19"/>
  <c r="AB10" i="19"/>
  <c r="AT10" i="19"/>
  <c r="P21" i="19"/>
  <c r="V21" i="19"/>
  <c r="X8" i="19"/>
  <c r="B21" i="18"/>
  <c r="D21" i="18" s="1"/>
  <c r="AF21" i="19"/>
  <c r="N21" i="19"/>
  <c r="L13" i="19"/>
  <c r="B17" i="18"/>
  <c r="AH17" i="18" s="1"/>
  <c r="BH10" i="19"/>
  <c r="P10" i="19"/>
  <c r="AN21" i="19"/>
  <c r="BB21" i="19"/>
  <c r="BD8" i="19"/>
  <c r="Z21" i="19"/>
  <c r="AX21" i="19"/>
  <c r="BF13" i="19"/>
  <c r="AD10" i="19"/>
  <c r="AT21" i="19"/>
  <c r="AV11" i="19"/>
  <c r="G7" i="19"/>
  <c r="BJ11" i="19"/>
  <c r="AP17" i="19"/>
  <c r="AH11" i="19"/>
  <c r="T11" i="19"/>
  <c r="AL8" i="19"/>
  <c r="R8" i="19"/>
  <c r="BF8" i="19"/>
  <c r="C7" i="19"/>
  <c r="F8" i="19"/>
  <c r="AV17" i="19"/>
  <c r="AJ11" i="19"/>
  <c r="AZ11" i="19"/>
  <c r="H8" i="19"/>
  <c r="U7" i="19"/>
  <c r="BI7" i="19"/>
  <c r="AA7" i="19"/>
  <c r="V17" i="19"/>
  <c r="F11" i="19"/>
  <c r="B11" i="18"/>
  <c r="H11" i="18" s="1"/>
  <c r="AN8" i="19"/>
  <c r="AX8" i="19"/>
  <c r="AB8" i="19"/>
  <c r="AD17" i="19"/>
  <c r="AV8" i="19"/>
  <c r="BB17" i="19"/>
  <c r="AL11" i="19"/>
  <c r="AQ7" i="19"/>
  <c r="BA7" i="19"/>
  <c r="BH8" i="19"/>
  <c r="AN17" i="19"/>
  <c r="V11" i="19"/>
  <c r="H11" i="19"/>
  <c r="J8" i="19"/>
  <c r="T8" i="19"/>
  <c r="AD8" i="19"/>
  <c r="P8" i="19"/>
  <c r="AX11" i="19"/>
  <c r="Z8" i="19"/>
  <c r="BF17" i="19"/>
  <c r="BB11" i="19"/>
  <c r="AN11" i="19"/>
  <c r="M7" i="19"/>
  <c r="W7" i="19"/>
  <c r="BJ8" i="19"/>
  <c r="D17" i="19"/>
  <c r="AF17" i="19"/>
  <c r="X11" i="19"/>
  <c r="J11" i="19"/>
  <c r="AP8" i="19"/>
  <c r="AZ8" i="19"/>
  <c r="AF8" i="19"/>
  <c r="AF11" i="19"/>
  <c r="L17" i="19"/>
  <c r="AL17" i="19"/>
  <c r="BD11" i="19"/>
  <c r="AP11" i="19"/>
  <c r="AS7" i="19"/>
  <c r="D8" i="19"/>
  <c r="AI7" i="19"/>
  <c r="S7" i="19"/>
  <c r="X17" i="19"/>
  <c r="AB17" i="19"/>
  <c r="AR17" i="19"/>
  <c r="Z11" i="19"/>
  <c r="L11" i="19"/>
  <c r="L8" i="19"/>
  <c r="V8" i="19"/>
  <c r="B8" i="18"/>
  <c r="BD17" i="19"/>
  <c r="AD11" i="19"/>
  <c r="R11" i="19"/>
  <c r="BG7" i="19"/>
  <c r="BJ17" i="19"/>
  <c r="AJ17" i="19"/>
  <c r="AX17" i="19"/>
  <c r="BF11" i="19"/>
  <c r="O7" i="19"/>
  <c r="Y7" i="19"/>
  <c r="K7" i="19"/>
  <c r="AY7" i="19"/>
  <c r="AC7" i="19"/>
  <c r="AM7" i="19"/>
  <c r="AU7" i="19"/>
  <c r="AE7" i="19"/>
  <c r="BC7" i="19"/>
  <c r="I7" i="19"/>
  <c r="Q7" i="19"/>
  <c r="AG7" i="19"/>
  <c r="AO7" i="19"/>
  <c r="AW7" i="19"/>
  <c r="J17" i="19"/>
  <c r="AH17" i="19"/>
  <c r="P17" i="19"/>
  <c r="AT17" i="19"/>
  <c r="H17" i="19"/>
  <c r="T17" i="19"/>
  <c r="N17" i="19"/>
  <c r="AZ17" i="19"/>
  <c r="BH17" i="19"/>
  <c r="E59" i="13"/>
  <c r="AW59" i="13"/>
  <c r="S59" i="13"/>
  <c r="K16" i="19"/>
  <c r="AC59" i="13"/>
  <c r="K59" i="13"/>
  <c r="I59" i="13"/>
  <c r="AU59" i="13"/>
  <c r="AI59" i="13"/>
  <c r="Q59" i="13"/>
  <c r="AE59" i="13"/>
  <c r="AA59" i="13"/>
  <c r="U59" i="13"/>
  <c r="C59" i="13"/>
  <c r="O59" i="13"/>
  <c r="AY59" i="13"/>
  <c r="Y59" i="13"/>
  <c r="BA59" i="13"/>
  <c r="AG59" i="13"/>
  <c r="BC59" i="13"/>
  <c r="AK59" i="13"/>
  <c r="AQ59" i="13"/>
  <c r="G59" i="13"/>
  <c r="U16" i="19"/>
  <c r="BI59" i="13"/>
  <c r="AS59" i="13"/>
  <c r="M59" i="13"/>
  <c r="AM59" i="13"/>
  <c r="AO59" i="13"/>
  <c r="W59" i="13"/>
  <c r="AT81" i="13"/>
  <c r="N81" i="13"/>
  <c r="AN81" i="13"/>
  <c r="H81" i="13"/>
  <c r="AH81" i="13"/>
  <c r="BH81" i="13"/>
  <c r="AB81" i="13"/>
  <c r="BB81" i="13"/>
  <c r="V81" i="13"/>
  <c r="BJ81" i="13"/>
  <c r="AX81" i="13"/>
  <c r="X81" i="13"/>
  <c r="AL81" i="13"/>
  <c r="L81" i="13"/>
  <c r="Z81" i="13"/>
  <c r="R81" i="13"/>
  <c r="F81" i="13"/>
  <c r="BF81" i="13"/>
  <c r="AF81" i="13"/>
  <c r="AD81" i="13"/>
  <c r="AV81" i="13"/>
  <c r="AZ81" i="13"/>
  <c r="J81" i="13"/>
  <c r="D81" i="13"/>
  <c r="AR81" i="13"/>
  <c r="AP81" i="13"/>
  <c r="AJ81" i="13"/>
  <c r="P81" i="13"/>
  <c r="BD81" i="13"/>
  <c r="T81" i="13"/>
  <c r="F13" i="18"/>
  <c r="AJ13" i="18"/>
  <c r="AH13" i="18"/>
  <c r="T13" i="18"/>
  <c r="AX13" i="18"/>
  <c r="AV13" i="18"/>
  <c r="BB75" i="13"/>
  <c r="V75" i="13"/>
  <c r="AV75" i="13"/>
  <c r="P75" i="13"/>
  <c r="AP75" i="13"/>
  <c r="J75" i="13"/>
  <c r="AJ75" i="13"/>
  <c r="BJ75" i="13"/>
  <c r="AD75" i="13"/>
  <c r="BD75" i="13"/>
  <c r="AR75" i="13"/>
  <c r="R75" i="13"/>
  <c r="BF75" i="13"/>
  <c r="AF75" i="13"/>
  <c r="F75" i="13"/>
  <c r="BH75" i="13"/>
  <c r="AT75" i="13"/>
  <c r="T75" i="13"/>
  <c r="N75" i="13"/>
  <c r="AZ75" i="13"/>
  <c r="AN75" i="13"/>
  <c r="AL75" i="13"/>
  <c r="AH75" i="13"/>
  <c r="AX75" i="13"/>
  <c r="L75" i="13"/>
  <c r="AB75" i="13"/>
  <c r="Z75" i="13"/>
  <c r="H75" i="13"/>
  <c r="D75" i="13"/>
  <c r="X75" i="13"/>
  <c r="B18" i="18"/>
  <c r="AL18" i="19"/>
  <c r="AF18" i="19"/>
  <c r="BF18" i="19"/>
  <c r="Z18" i="19"/>
  <c r="AZ18" i="19"/>
  <c r="T18" i="19"/>
  <c r="AT18" i="19"/>
  <c r="AN18" i="19"/>
  <c r="AH18" i="19"/>
  <c r="BH18" i="19"/>
  <c r="AB18" i="19"/>
  <c r="BB18" i="19"/>
  <c r="V18" i="19"/>
  <c r="AP18" i="19"/>
  <c r="AJ18" i="19"/>
  <c r="BJ18" i="19"/>
  <c r="AD18" i="19"/>
  <c r="BD18" i="19"/>
  <c r="AX18" i="19"/>
  <c r="AR18" i="19"/>
  <c r="N18" i="19"/>
  <c r="AV18" i="19"/>
  <c r="H18" i="19"/>
  <c r="P18" i="19"/>
  <c r="J18" i="19"/>
  <c r="X18" i="19"/>
  <c r="D18" i="19"/>
  <c r="L18" i="19"/>
  <c r="F18" i="19"/>
  <c r="R18" i="19"/>
  <c r="X57" i="11"/>
  <c r="BJ57" i="11"/>
  <c r="BD57" i="11"/>
  <c r="AL57" i="11"/>
  <c r="F57" i="11"/>
  <c r="AZ57" i="11"/>
  <c r="T57" i="11"/>
  <c r="N57" i="11"/>
  <c r="L57" i="11"/>
  <c r="AJ57" i="11"/>
  <c r="AH57" i="11"/>
  <c r="B57" i="13"/>
  <c r="AF57" i="11"/>
  <c r="AD57" i="11"/>
  <c r="AR57" i="11"/>
  <c r="P57" i="11"/>
  <c r="AX57" i="11"/>
  <c r="Z57" i="11"/>
  <c r="H57" i="11"/>
  <c r="AV57" i="11"/>
  <c r="V57" i="11"/>
  <c r="BB57" i="11"/>
  <c r="AP57" i="11"/>
  <c r="R57" i="11"/>
  <c r="AB57" i="11"/>
  <c r="AN57" i="11"/>
  <c r="BH57" i="11"/>
  <c r="AT57" i="11"/>
  <c r="D57" i="11"/>
  <c r="BF57" i="11"/>
  <c r="J57" i="11"/>
  <c r="AY16" i="19"/>
  <c r="BC16" i="19"/>
  <c r="B51" i="13"/>
  <c r="BJ51" i="11"/>
  <c r="BH51" i="11"/>
  <c r="AV51" i="11"/>
  <c r="P51" i="11"/>
  <c r="AD51" i="11"/>
  <c r="AR51" i="11"/>
  <c r="L51" i="11"/>
  <c r="AB51" i="11"/>
  <c r="Z51" i="11"/>
  <c r="AZ51" i="11"/>
  <c r="AX51" i="11"/>
  <c r="F51" i="11"/>
  <c r="AT51" i="11"/>
  <c r="AH51" i="11"/>
  <c r="N51" i="11"/>
  <c r="X51" i="11"/>
  <c r="J51" i="11"/>
  <c r="AF51" i="11"/>
  <c r="AL51" i="11"/>
  <c r="T51" i="11"/>
  <c r="BF51" i="11"/>
  <c r="AJ51" i="11"/>
  <c r="AP51" i="11"/>
  <c r="BD51" i="11"/>
  <c r="BB51" i="11"/>
  <c r="R51" i="11"/>
  <c r="D51" i="11"/>
  <c r="H51" i="11"/>
  <c r="V51" i="11"/>
  <c r="AN51" i="11"/>
  <c r="BJ77" i="13"/>
  <c r="AD77" i="13"/>
  <c r="BD77" i="13"/>
  <c r="X77" i="13"/>
  <c r="AX77" i="13"/>
  <c r="R77" i="13"/>
  <c r="AR77" i="13"/>
  <c r="L77" i="13"/>
  <c r="AL77" i="13"/>
  <c r="F77" i="13"/>
  <c r="BF77" i="13"/>
  <c r="AT77" i="13"/>
  <c r="T77" i="13"/>
  <c r="AH77" i="13"/>
  <c r="H77" i="13"/>
  <c r="D77" i="13"/>
  <c r="AV77" i="13"/>
  <c r="V77" i="13"/>
  <c r="Z77" i="13"/>
  <c r="AJ77" i="13"/>
  <c r="AF77" i="13"/>
  <c r="P77" i="13"/>
  <c r="N77" i="13"/>
  <c r="AZ77" i="13"/>
  <c r="BB77" i="13"/>
  <c r="J77" i="13"/>
  <c r="BH77" i="13"/>
  <c r="AB77" i="13"/>
  <c r="AP77" i="13"/>
  <c r="AN77" i="13"/>
  <c r="B8" i="11"/>
  <c r="D8" i="18"/>
  <c r="AZ8" i="18"/>
  <c r="T8" i="18"/>
  <c r="BA7" i="18"/>
  <c r="AX8" i="18"/>
  <c r="U7" i="18"/>
  <c r="P8" i="18"/>
  <c r="AR8" i="18"/>
  <c r="S16" i="19"/>
  <c r="AO16" i="19"/>
  <c r="Y16" i="19"/>
  <c r="AC16" i="19"/>
  <c r="BE64" i="13"/>
  <c r="AT65" i="13"/>
  <c r="Y64" i="13"/>
  <c r="N65" i="13"/>
  <c r="AY64" i="13"/>
  <c r="AN65" i="13"/>
  <c r="S64" i="13"/>
  <c r="H65" i="13"/>
  <c r="AS64" i="13"/>
  <c r="AH65" i="13"/>
  <c r="M64" i="13"/>
  <c r="BH65" i="13"/>
  <c r="AM64" i="13"/>
  <c r="AB65" i="13"/>
  <c r="G64" i="13"/>
  <c r="BB65" i="13"/>
  <c r="AG64" i="13"/>
  <c r="V65" i="13"/>
  <c r="BG64" i="13"/>
  <c r="BA64" i="13"/>
  <c r="BJ65" i="13"/>
  <c r="BI64" i="13"/>
  <c r="AQ64" i="13"/>
  <c r="AF65" i="13"/>
  <c r="Q64" i="13"/>
  <c r="F65" i="13"/>
  <c r="AV65" i="13"/>
  <c r="AE64" i="13"/>
  <c r="T65" i="13"/>
  <c r="AU64" i="13"/>
  <c r="AJ65" i="13"/>
  <c r="U64" i="13"/>
  <c r="J65" i="13"/>
  <c r="X65" i="13"/>
  <c r="R65" i="13"/>
  <c r="AD65" i="13"/>
  <c r="L65" i="13"/>
  <c r="BD65" i="13"/>
  <c r="AC64" i="13"/>
  <c r="AA64" i="13"/>
  <c r="K64" i="13"/>
  <c r="I64" i="13"/>
  <c r="BC64" i="13"/>
  <c r="AR65" i="13"/>
  <c r="AP65" i="13"/>
  <c r="Z65" i="13"/>
  <c r="W64" i="13"/>
  <c r="AO64" i="13"/>
  <c r="AL65" i="13"/>
  <c r="BF65" i="13"/>
  <c r="E64" i="13"/>
  <c r="AK64" i="13"/>
  <c r="AZ65" i="13"/>
  <c r="AI64" i="13"/>
  <c r="P65" i="13"/>
  <c r="O64" i="13"/>
  <c r="D65" i="13"/>
  <c r="AX65" i="13"/>
  <c r="C64" i="13"/>
  <c r="AW64" i="13"/>
  <c r="X21" i="18"/>
  <c r="R21" i="18"/>
  <c r="AP21" i="18"/>
  <c r="L21" i="18"/>
  <c r="F21" i="18"/>
  <c r="BF54" i="11"/>
  <c r="AJ54" i="11"/>
  <c r="AX54" i="11"/>
  <c r="R54" i="11"/>
  <c r="B54" i="13"/>
  <c r="AF54" i="11"/>
  <c r="V54" i="11"/>
  <c r="T54" i="11"/>
  <c r="AR54" i="11"/>
  <c r="AP54" i="11"/>
  <c r="AN54" i="11"/>
  <c r="AL54" i="11"/>
  <c r="BH54" i="11"/>
  <c r="AZ54" i="11"/>
  <c r="X54" i="11"/>
  <c r="D54" i="11"/>
  <c r="P54" i="11"/>
  <c r="F54" i="11"/>
  <c r="BD54" i="11"/>
  <c r="AD54" i="11"/>
  <c r="L54" i="11"/>
  <c r="Z54" i="11"/>
  <c r="H54" i="11"/>
  <c r="AH54" i="11"/>
  <c r="AV54" i="11"/>
  <c r="BB54" i="11"/>
  <c r="AT54" i="11"/>
  <c r="BJ54" i="11"/>
  <c r="AB54" i="11"/>
  <c r="N54" i="11"/>
  <c r="J54" i="11"/>
  <c r="B36" i="11"/>
  <c r="BJ36" i="18"/>
  <c r="BD36" i="18"/>
  <c r="AX36" i="18"/>
  <c r="AR36" i="18"/>
  <c r="BF36" i="18"/>
  <c r="AZ36" i="18"/>
  <c r="AT36" i="18"/>
  <c r="BH36" i="18"/>
  <c r="BB36" i="18"/>
  <c r="P36" i="18"/>
  <c r="J36" i="18"/>
  <c r="AL36" i="18"/>
  <c r="AD36" i="18"/>
  <c r="D36" i="18"/>
  <c r="X36" i="18"/>
  <c r="AV36" i="18"/>
  <c r="AJ36" i="18"/>
  <c r="R36" i="18"/>
  <c r="L36" i="18"/>
  <c r="F36" i="18"/>
  <c r="AP36" i="18"/>
  <c r="AN36" i="18"/>
  <c r="AF36" i="18"/>
  <c r="Z36" i="18"/>
  <c r="T36" i="18"/>
  <c r="N36" i="18"/>
  <c r="H36" i="18"/>
  <c r="AH36" i="18"/>
  <c r="AB36" i="18"/>
  <c r="V36" i="18"/>
  <c r="B23" i="18"/>
  <c r="AP23" i="19"/>
  <c r="AJ23" i="19"/>
  <c r="BJ23" i="19"/>
  <c r="AD23" i="19"/>
  <c r="BD23" i="19"/>
  <c r="X23" i="19"/>
  <c r="AX23" i="19"/>
  <c r="AR23" i="19"/>
  <c r="AL23" i="19"/>
  <c r="AF23" i="19"/>
  <c r="BF23" i="19"/>
  <c r="Z23" i="19"/>
  <c r="AT23" i="19"/>
  <c r="AN23" i="19"/>
  <c r="AH23" i="19"/>
  <c r="BH23" i="19"/>
  <c r="BB23" i="19"/>
  <c r="V23" i="19"/>
  <c r="AV23" i="19"/>
  <c r="T23" i="19"/>
  <c r="L23" i="19"/>
  <c r="F23" i="19"/>
  <c r="R23" i="19"/>
  <c r="N23" i="19"/>
  <c r="H23" i="19"/>
  <c r="AZ23" i="19"/>
  <c r="P23" i="19"/>
  <c r="D23" i="19"/>
  <c r="AB23" i="19"/>
  <c r="J23" i="19"/>
  <c r="G16" i="19"/>
  <c r="B45" i="13"/>
  <c r="AN45" i="11"/>
  <c r="H45" i="11"/>
  <c r="BF45" i="11"/>
  <c r="BB45" i="11"/>
  <c r="V45" i="11"/>
  <c r="AJ45" i="11"/>
  <c r="T45" i="11"/>
  <c r="R45" i="11"/>
  <c r="D45" i="11"/>
  <c r="AR45" i="11"/>
  <c r="AP45" i="11"/>
  <c r="P45" i="11"/>
  <c r="N45" i="11"/>
  <c r="AL45" i="11"/>
  <c r="AD45" i="11"/>
  <c r="L45" i="11"/>
  <c r="AH45" i="11"/>
  <c r="Z45" i="11"/>
  <c r="AV45" i="11"/>
  <c r="BJ45" i="11"/>
  <c r="BH45" i="11"/>
  <c r="AF45" i="11"/>
  <c r="AT45" i="11"/>
  <c r="AB45" i="11"/>
  <c r="J45" i="11"/>
  <c r="AZ45" i="11"/>
  <c r="X45" i="11"/>
  <c r="AX45" i="11"/>
  <c r="BD45" i="11"/>
  <c r="F45" i="11"/>
  <c r="B35" i="11"/>
  <c r="AP35" i="18"/>
  <c r="AJ35" i="18"/>
  <c r="BJ35" i="18"/>
  <c r="BD35" i="18"/>
  <c r="AX35" i="18"/>
  <c r="AR35" i="18"/>
  <c r="AL35" i="18"/>
  <c r="BF35" i="18"/>
  <c r="AT35" i="18"/>
  <c r="BH35" i="18"/>
  <c r="BB35" i="18"/>
  <c r="AB35" i="18"/>
  <c r="V35" i="18"/>
  <c r="P35" i="18"/>
  <c r="J35" i="18"/>
  <c r="AD35" i="18"/>
  <c r="X35" i="18"/>
  <c r="D35" i="18"/>
  <c r="AV35" i="18"/>
  <c r="R35" i="18"/>
  <c r="L35" i="18"/>
  <c r="F35" i="18"/>
  <c r="AZ35" i="18"/>
  <c r="AN35" i="18"/>
  <c r="AF35" i="18"/>
  <c r="Z35" i="18"/>
  <c r="T35" i="18"/>
  <c r="N35" i="18"/>
  <c r="H35" i="18"/>
  <c r="AH35" i="18"/>
  <c r="BJ85" i="13"/>
  <c r="AD85" i="13"/>
  <c r="BD85" i="13"/>
  <c r="X85" i="13"/>
  <c r="AX85" i="13"/>
  <c r="R85" i="13"/>
  <c r="AR85" i="13"/>
  <c r="L85" i="13"/>
  <c r="AL85" i="13"/>
  <c r="F85" i="13"/>
  <c r="BF85" i="13"/>
  <c r="AB85" i="13"/>
  <c r="AZ85" i="13"/>
  <c r="AP85" i="13"/>
  <c r="P85" i="13"/>
  <c r="AF85" i="13"/>
  <c r="AV85" i="13"/>
  <c r="AT85" i="13"/>
  <c r="BH85" i="13"/>
  <c r="Z85" i="13"/>
  <c r="J85" i="13"/>
  <c r="H85" i="13"/>
  <c r="BB85" i="13"/>
  <c r="V85" i="13"/>
  <c r="T85" i="13"/>
  <c r="AN85" i="13"/>
  <c r="D85" i="13"/>
  <c r="AJ85" i="13"/>
  <c r="AH85" i="13"/>
  <c r="N85" i="13"/>
  <c r="B24" i="18"/>
  <c r="BJ24" i="19"/>
  <c r="AD24" i="19"/>
  <c r="BD24" i="19"/>
  <c r="X24" i="19"/>
  <c r="AX24" i="19"/>
  <c r="AR24" i="19"/>
  <c r="AL24" i="19"/>
  <c r="AF24" i="19"/>
  <c r="BF24" i="19"/>
  <c r="Z24" i="19"/>
  <c r="AZ24" i="19"/>
  <c r="T24" i="19"/>
  <c r="AT24" i="19"/>
  <c r="AH24" i="19"/>
  <c r="BH24" i="19"/>
  <c r="AB24" i="19"/>
  <c r="BB24" i="19"/>
  <c r="V24" i="19"/>
  <c r="AV24" i="19"/>
  <c r="AP24" i="19"/>
  <c r="AJ24" i="19"/>
  <c r="L24" i="19"/>
  <c r="F24" i="19"/>
  <c r="N24" i="19"/>
  <c r="R24" i="19"/>
  <c r="H24" i="19"/>
  <c r="D24" i="19"/>
  <c r="P24" i="19"/>
  <c r="J24" i="19"/>
  <c r="AN24" i="19"/>
  <c r="M16" i="19"/>
  <c r="AU16" i="19"/>
  <c r="BE16" i="19"/>
  <c r="BI16" i="19"/>
  <c r="AL79" i="13"/>
  <c r="F79" i="13"/>
  <c r="AF79" i="13"/>
  <c r="D79" i="13"/>
  <c r="BF79" i="13"/>
  <c r="Z79" i="13"/>
  <c r="AZ79" i="13"/>
  <c r="T79" i="13"/>
  <c r="AT79" i="13"/>
  <c r="N79" i="13"/>
  <c r="BH79" i="13"/>
  <c r="BB79" i="13"/>
  <c r="AV79" i="13"/>
  <c r="V79" i="13"/>
  <c r="BJ79" i="13"/>
  <c r="BD79" i="13"/>
  <c r="AJ79" i="13"/>
  <c r="J79" i="13"/>
  <c r="AX79" i="13"/>
  <c r="X79" i="13"/>
  <c r="AN79" i="13"/>
  <c r="AH79" i="13"/>
  <c r="R79" i="13"/>
  <c r="P79" i="13"/>
  <c r="AD79" i="13"/>
  <c r="AB79" i="13"/>
  <c r="L79" i="13"/>
  <c r="AP79" i="13"/>
  <c r="H79" i="13"/>
  <c r="AR79" i="13"/>
  <c r="AL71" i="13"/>
  <c r="F71" i="13"/>
  <c r="AF71" i="13"/>
  <c r="BF71" i="13"/>
  <c r="Z71" i="13"/>
  <c r="AZ71" i="13"/>
  <c r="T71" i="13"/>
  <c r="AT71" i="13"/>
  <c r="N71" i="13"/>
  <c r="BH71" i="13"/>
  <c r="AN71" i="13"/>
  <c r="L71" i="13"/>
  <c r="AB71" i="13"/>
  <c r="AP71" i="13"/>
  <c r="P71" i="13"/>
  <c r="BJ71" i="13"/>
  <c r="BB71" i="13"/>
  <c r="V71" i="13"/>
  <c r="H71" i="13"/>
  <c r="X71" i="13"/>
  <c r="D71" i="13"/>
  <c r="AJ71" i="13"/>
  <c r="AH71" i="13"/>
  <c r="R71" i="13"/>
  <c r="J71" i="13"/>
  <c r="AX71" i="13"/>
  <c r="AR71" i="13"/>
  <c r="BD71" i="13"/>
  <c r="AV71" i="13"/>
  <c r="AD71" i="13"/>
  <c r="B50" i="13"/>
  <c r="AZ50" i="11"/>
  <c r="T50" i="11"/>
  <c r="D50" i="11"/>
  <c r="AH50" i="11"/>
  <c r="BH50" i="11"/>
  <c r="AV50" i="11"/>
  <c r="P50" i="11"/>
  <c r="BF50" i="11"/>
  <c r="AF50" i="11"/>
  <c r="AD50" i="11"/>
  <c r="H50" i="11"/>
  <c r="BD50" i="11"/>
  <c r="BB50" i="11"/>
  <c r="AB50" i="11"/>
  <c r="Z50" i="11"/>
  <c r="AX50" i="11"/>
  <c r="BJ50" i="11"/>
  <c r="AN50" i="11"/>
  <c r="AT50" i="11"/>
  <c r="N50" i="11"/>
  <c r="X50" i="11"/>
  <c r="AR50" i="11"/>
  <c r="J50" i="11"/>
  <c r="AL50" i="11"/>
  <c r="F50" i="11"/>
  <c r="AJ50" i="11"/>
  <c r="AP50" i="11"/>
  <c r="L50" i="11"/>
  <c r="R50" i="11"/>
  <c r="V50" i="11"/>
  <c r="B58" i="13"/>
  <c r="BJ58" i="11"/>
  <c r="AZ58" i="11"/>
  <c r="T58" i="11"/>
  <c r="AH58" i="11"/>
  <c r="AV58" i="11"/>
  <c r="P58" i="11"/>
  <c r="AL58" i="11"/>
  <c r="AJ58" i="11"/>
  <c r="J58" i="11"/>
  <c r="H58" i="11"/>
  <c r="AF58" i="11"/>
  <c r="AD58" i="11"/>
  <c r="BF58" i="11"/>
  <c r="BB58" i="11"/>
  <c r="BD58" i="11"/>
  <c r="Z58" i="11"/>
  <c r="L58" i="11"/>
  <c r="V58" i="11"/>
  <c r="AP58" i="11"/>
  <c r="R58" i="11"/>
  <c r="AB58" i="11"/>
  <c r="AN58" i="11"/>
  <c r="BH58" i="11"/>
  <c r="AT58" i="11"/>
  <c r="X58" i="11"/>
  <c r="F58" i="11"/>
  <c r="AR58" i="11"/>
  <c r="N58" i="11"/>
  <c r="AX58" i="11"/>
  <c r="D58" i="11"/>
  <c r="B37" i="11"/>
  <c r="AX37" i="18"/>
  <c r="AR37" i="18"/>
  <c r="AL37" i="18"/>
  <c r="BF37" i="18"/>
  <c r="AZ37" i="18"/>
  <c r="AT37" i="18"/>
  <c r="AN37" i="18"/>
  <c r="BB37" i="18"/>
  <c r="AV37" i="18"/>
  <c r="BJ37" i="18"/>
  <c r="D37" i="18"/>
  <c r="AD37" i="18"/>
  <c r="X37" i="18"/>
  <c r="AJ37" i="18"/>
  <c r="R37" i="18"/>
  <c r="L37" i="18"/>
  <c r="BD37" i="18"/>
  <c r="F37" i="18"/>
  <c r="AP37" i="18"/>
  <c r="AF37" i="18"/>
  <c r="Z37" i="18"/>
  <c r="T37" i="18"/>
  <c r="N37" i="18"/>
  <c r="H37" i="18"/>
  <c r="AH37" i="18"/>
  <c r="AB37" i="18"/>
  <c r="V37" i="18"/>
  <c r="P37" i="18"/>
  <c r="BH37" i="18"/>
  <c r="J37" i="18"/>
  <c r="AE16" i="19"/>
  <c r="B29" i="11"/>
  <c r="AX29" i="18"/>
  <c r="AR29" i="18"/>
  <c r="AL29" i="18"/>
  <c r="BF29" i="18"/>
  <c r="AZ29" i="18"/>
  <c r="AT29" i="18"/>
  <c r="AN29" i="18"/>
  <c r="BB29" i="18"/>
  <c r="BJ29" i="18"/>
  <c r="AJ29" i="18"/>
  <c r="AD29" i="18"/>
  <c r="BH29" i="18"/>
  <c r="X29" i="18"/>
  <c r="R29" i="18"/>
  <c r="L29" i="18"/>
  <c r="F29" i="18"/>
  <c r="AF29" i="18"/>
  <c r="Z29" i="18"/>
  <c r="T29" i="18"/>
  <c r="D29" i="18"/>
  <c r="BD29" i="18"/>
  <c r="AV29" i="18"/>
  <c r="N29" i="18"/>
  <c r="H29" i="18"/>
  <c r="AH29" i="18"/>
  <c r="AB29" i="18"/>
  <c r="AP29" i="18"/>
  <c r="V29" i="18"/>
  <c r="P29" i="18"/>
  <c r="J29" i="18"/>
  <c r="B43" i="13"/>
  <c r="BJ43" i="11"/>
  <c r="AV43" i="11"/>
  <c r="P43" i="11"/>
  <c r="AD43" i="11"/>
  <c r="AR43" i="11"/>
  <c r="L43" i="11"/>
  <c r="X43" i="11"/>
  <c r="V43" i="11"/>
  <c r="F43" i="11"/>
  <c r="AT43" i="11"/>
  <c r="AP43" i="11"/>
  <c r="AN43" i="11"/>
  <c r="AJ43" i="11"/>
  <c r="AX43" i="11"/>
  <c r="BD43" i="11"/>
  <c r="Z43" i="11"/>
  <c r="BB43" i="11"/>
  <c r="R43" i="11"/>
  <c r="H43" i="11"/>
  <c r="AH43" i="11"/>
  <c r="D43" i="11"/>
  <c r="BH43" i="11"/>
  <c r="AF43" i="11"/>
  <c r="BF43" i="11"/>
  <c r="AL43" i="11"/>
  <c r="J43" i="11"/>
  <c r="AZ43" i="11"/>
  <c r="AB43" i="11"/>
  <c r="N43" i="11"/>
  <c r="T43" i="11"/>
  <c r="AX78" i="13"/>
  <c r="R78" i="13"/>
  <c r="AR78" i="13"/>
  <c r="L78" i="13"/>
  <c r="AL78" i="13"/>
  <c r="F78" i="13"/>
  <c r="AF78" i="13"/>
  <c r="BF78" i="13"/>
  <c r="Z78" i="13"/>
  <c r="D78" i="13"/>
  <c r="AZ78" i="13"/>
  <c r="BH78" i="13"/>
  <c r="AH78" i="13"/>
  <c r="H78" i="13"/>
  <c r="AV78" i="13"/>
  <c r="V78" i="13"/>
  <c r="BJ78" i="13"/>
  <c r="BD78" i="13"/>
  <c r="BB78" i="13"/>
  <c r="AJ78" i="13"/>
  <c r="J78" i="13"/>
  <c r="AP78" i="13"/>
  <c r="P78" i="13"/>
  <c r="N78" i="13"/>
  <c r="AT78" i="13"/>
  <c r="AD78" i="13"/>
  <c r="AB78" i="13"/>
  <c r="AN78" i="13"/>
  <c r="X78" i="13"/>
  <c r="T78" i="13"/>
  <c r="Q16" i="19"/>
  <c r="BA16" i="19"/>
  <c r="BB67" i="13"/>
  <c r="V67" i="13"/>
  <c r="AV67" i="13"/>
  <c r="P67" i="13"/>
  <c r="AP67" i="13"/>
  <c r="J67" i="13"/>
  <c r="AJ67" i="13"/>
  <c r="BJ67" i="13"/>
  <c r="AD67" i="13"/>
  <c r="BD67" i="13"/>
  <c r="AH67" i="13"/>
  <c r="H67" i="13"/>
  <c r="AX67" i="13"/>
  <c r="X67" i="13"/>
  <c r="AL67" i="13"/>
  <c r="L67" i="13"/>
  <c r="AF67" i="13"/>
  <c r="F67" i="13"/>
  <c r="D67" i="13"/>
  <c r="AT67" i="13"/>
  <c r="AR67" i="13"/>
  <c r="AB67" i="13"/>
  <c r="Z67" i="13"/>
  <c r="BF67" i="13"/>
  <c r="AN67" i="13"/>
  <c r="T67" i="13"/>
  <c r="R67" i="13"/>
  <c r="N67" i="13"/>
  <c r="BH67" i="13"/>
  <c r="AZ67" i="13"/>
  <c r="AP84" i="13"/>
  <c r="J84" i="13"/>
  <c r="AJ84" i="13"/>
  <c r="BJ84" i="13"/>
  <c r="AD84" i="13"/>
  <c r="D84" i="13"/>
  <c r="BD84" i="13"/>
  <c r="X84" i="13"/>
  <c r="AX84" i="13"/>
  <c r="R84" i="13"/>
  <c r="BF84" i="13"/>
  <c r="AN84" i="13"/>
  <c r="N84" i="13"/>
  <c r="BB84" i="13"/>
  <c r="AB84" i="13"/>
  <c r="AR84" i="13"/>
  <c r="AZ84" i="13"/>
  <c r="P84" i="13"/>
  <c r="AT84" i="13"/>
  <c r="L84" i="13"/>
  <c r="AV84" i="13"/>
  <c r="BH84" i="13"/>
  <c r="Z84" i="13"/>
  <c r="H84" i="13"/>
  <c r="AL84" i="13"/>
  <c r="V84" i="13"/>
  <c r="T84" i="13"/>
  <c r="F84" i="13"/>
  <c r="AF84" i="13"/>
  <c r="AH84" i="13"/>
  <c r="B15" i="11"/>
  <c r="BJ15" i="18"/>
  <c r="AD15" i="18"/>
  <c r="BH15" i="18"/>
  <c r="AB15" i="18"/>
  <c r="BF15" i="18"/>
  <c r="Z15" i="18"/>
  <c r="BD15" i="18"/>
  <c r="X15" i="18"/>
  <c r="BB15" i="18"/>
  <c r="V15" i="18"/>
  <c r="AZ15" i="18"/>
  <c r="T15" i="18"/>
  <c r="AX15" i="18"/>
  <c r="R15" i="18"/>
  <c r="AV15" i="18"/>
  <c r="P15" i="18"/>
  <c r="AT15" i="18"/>
  <c r="N15" i="18"/>
  <c r="AR15" i="18"/>
  <c r="L15" i="18"/>
  <c r="AN15" i="18"/>
  <c r="AL15" i="18"/>
  <c r="AF15" i="18"/>
  <c r="H15" i="18"/>
  <c r="AJ15" i="18"/>
  <c r="D15" i="18"/>
  <c r="AP15" i="18"/>
  <c r="AH15" i="18"/>
  <c r="J15" i="18"/>
  <c r="F15" i="18"/>
  <c r="B14" i="11"/>
  <c r="AH14" i="18"/>
  <c r="D14" i="18"/>
  <c r="AF14" i="18"/>
  <c r="BJ14" i="18"/>
  <c r="AD14" i="18"/>
  <c r="BH14" i="18"/>
  <c r="AB14" i="18"/>
  <c r="BF14" i="18"/>
  <c r="Z14" i="18"/>
  <c r="BD14" i="18"/>
  <c r="X14" i="18"/>
  <c r="BB14" i="18"/>
  <c r="V14" i="18"/>
  <c r="AZ14" i="18"/>
  <c r="T14" i="18"/>
  <c r="AX14" i="18"/>
  <c r="R14" i="18"/>
  <c r="AV14" i="18"/>
  <c r="P14" i="18"/>
  <c r="AT14" i="18"/>
  <c r="AR14" i="18"/>
  <c r="AP14" i="18"/>
  <c r="AN14" i="18"/>
  <c r="J14" i="18"/>
  <c r="F14" i="18"/>
  <c r="N14" i="18"/>
  <c r="AL14" i="18"/>
  <c r="H14" i="18"/>
  <c r="L14" i="18"/>
  <c r="AJ14" i="18"/>
  <c r="B32" i="11"/>
  <c r="AT32" i="18"/>
  <c r="AN32" i="18"/>
  <c r="BH32" i="18"/>
  <c r="BB32" i="18"/>
  <c r="AV32" i="18"/>
  <c r="AP32" i="18"/>
  <c r="BJ32" i="18"/>
  <c r="AX32" i="18"/>
  <c r="AF32" i="18"/>
  <c r="Z32" i="18"/>
  <c r="T32" i="18"/>
  <c r="N32" i="18"/>
  <c r="H32" i="18"/>
  <c r="AH32" i="18"/>
  <c r="BD32" i="18"/>
  <c r="AB32" i="18"/>
  <c r="AR32" i="18"/>
  <c r="V32" i="18"/>
  <c r="AL32" i="18"/>
  <c r="P32" i="18"/>
  <c r="J32" i="18"/>
  <c r="AJ32" i="18"/>
  <c r="AD32" i="18"/>
  <c r="BF32" i="18"/>
  <c r="X32" i="18"/>
  <c r="R32" i="18"/>
  <c r="AZ32" i="18"/>
  <c r="L32" i="18"/>
  <c r="F32" i="18"/>
  <c r="D32" i="18"/>
  <c r="AA16" i="19"/>
  <c r="B10" i="11"/>
  <c r="AX10" i="18"/>
  <c r="R10" i="18"/>
  <c r="AV10" i="18"/>
  <c r="P10" i="18"/>
  <c r="AT10" i="18"/>
  <c r="N10" i="18"/>
  <c r="BH10" i="18"/>
  <c r="AB10" i="18"/>
  <c r="BF10" i="18"/>
  <c r="BD10" i="18"/>
  <c r="D10" i="18"/>
  <c r="AZ10" i="18"/>
  <c r="F10" i="18"/>
  <c r="AH48" i="13"/>
  <c r="AV48" i="13"/>
  <c r="AT48" i="13"/>
  <c r="AD48" i="13"/>
  <c r="BF48" i="13"/>
  <c r="AL48" i="13"/>
  <c r="AR48" i="13"/>
  <c r="BH48" i="13"/>
  <c r="AX48" i="13"/>
  <c r="AP48" i="13"/>
  <c r="BJ48" i="13"/>
  <c r="AZ48" i="13"/>
  <c r="N48" i="13"/>
  <c r="J48" i="13"/>
  <c r="AF48" i="13"/>
  <c r="X48" i="13"/>
  <c r="BB48" i="13"/>
  <c r="AN48" i="13"/>
  <c r="F48" i="13"/>
  <c r="T48" i="13"/>
  <c r="AB48" i="13"/>
  <c r="P48" i="13"/>
  <c r="Z48" i="13"/>
  <c r="D48" i="13"/>
  <c r="L48" i="13"/>
  <c r="R48" i="13"/>
  <c r="BD48" i="13"/>
  <c r="AJ48" i="13"/>
  <c r="H48" i="13"/>
  <c r="V48" i="13"/>
  <c r="BB83" i="13"/>
  <c r="V83" i="13"/>
  <c r="AV83" i="13"/>
  <c r="P83" i="13"/>
  <c r="AP83" i="13"/>
  <c r="J83" i="13"/>
  <c r="AJ83" i="13"/>
  <c r="BJ83" i="13"/>
  <c r="AD83" i="13"/>
  <c r="BD83" i="13"/>
  <c r="AX83" i="13"/>
  <c r="Z83" i="13"/>
  <c r="AN83" i="13"/>
  <c r="N83" i="13"/>
  <c r="AB83" i="13"/>
  <c r="BF83" i="13"/>
  <c r="X83" i="13"/>
  <c r="AZ83" i="13"/>
  <c r="AT83" i="13"/>
  <c r="AR83" i="13"/>
  <c r="L83" i="13"/>
  <c r="BH83" i="13"/>
  <c r="H83" i="13"/>
  <c r="AF83" i="13"/>
  <c r="D83" i="13"/>
  <c r="T83" i="13"/>
  <c r="F83" i="13"/>
  <c r="AL83" i="13"/>
  <c r="R83" i="13"/>
  <c r="AH83" i="13"/>
  <c r="B27" i="11"/>
  <c r="AP27" i="18"/>
  <c r="AJ27" i="18"/>
  <c r="BJ27" i="18"/>
  <c r="BD27" i="18"/>
  <c r="AX27" i="18"/>
  <c r="AR27" i="18"/>
  <c r="BF27" i="18"/>
  <c r="AT27" i="18"/>
  <c r="AB27" i="18"/>
  <c r="V27" i="18"/>
  <c r="AN27" i="18"/>
  <c r="P27" i="18"/>
  <c r="BH27" i="18"/>
  <c r="J27" i="18"/>
  <c r="BB27" i="18"/>
  <c r="AD27" i="18"/>
  <c r="X27" i="18"/>
  <c r="R27" i="18"/>
  <c r="L27" i="18"/>
  <c r="F27" i="18"/>
  <c r="AF27" i="18"/>
  <c r="Z27" i="18"/>
  <c r="T27" i="18"/>
  <c r="AV27" i="18"/>
  <c r="N27" i="18"/>
  <c r="AL27" i="18"/>
  <c r="H27" i="18"/>
  <c r="D27" i="18"/>
  <c r="AZ27" i="18"/>
  <c r="AH27" i="18"/>
  <c r="B22" i="11"/>
  <c r="BF22" i="18"/>
  <c r="AZ22" i="18"/>
  <c r="AT22" i="18"/>
  <c r="AN22" i="18"/>
  <c r="BH22" i="18"/>
  <c r="BB22" i="18"/>
  <c r="BJ22" i="18"/>
  <c r="X22" i="18"/>
  <c r="AX22" i="18"/>
  <c r="R22" i="18"/>
  <c r="AR22" i="18"/>
  <c r="AP22" i="18"/>
  <c r="L22" i="18"/>
  <c r="F22" i="18"/>
  <c r="AF22" i="18"/>
  <c r="Z22" i="18"/>
  <c r="T22" i="18"/>
  <c r="N22" i="18"/>
  <c r="AL22" i="18"/>
  <c r="H22" i="18"/>
  <c r="AH22" i="18"/>
  <c r="AB22" i="18"/>
  <c r="BD22" i="18"/>
  <c r="V22" i="18"/>
  <c r="P22" i="18"/>
  <c r="J22" i="18"/>
  <c r="D22" i="18"/>
  <c r="AV22" i="18"/>
  <c r="AJ22" i="18"/>
  <c r="AD22" i="18"/>
  <c r="C16" i="19"/>
  <c r="AK16" i="19"/>
  <c r="B55" i="13"/>
  <c r="BH55" i="11"/>
  <c r="AF55" i="11"/>
  <c r="AT55" i="11"/>
  <c r="N55" i="11"/>
  <c r="AB55" i="11"/>
  <c r="AR55" i="11"/>
  <c r="AP55" i="11"/>
  <c r="R55" i="11"/>
  <c r="P55" i="11"/>
  <c r="AN55" i="11"/>
  <c r="AL55" i="11"/>
  <c r="D55" i="11"/>
  <c r="T55" i="11"/>
  <c r="F55" i="11"/>
  <c r="BF55" i="11"/>
  <c r="BD55" i="11"/>
  <c r="AD55" i="11"/>
  <c r="L55" i="11"/>
  <c r="AJ55" i="11"/>
  <c r="AX55" i="11"/>
  <c r="Z55" i="11"/>
  <c r="H55" i="11"/>
  <c r="AH55" i="11"/>
  <c r="AV55" i="11"/>
  <c r="BB55" i="11"/>
  <c r="BJ55" i="11"/>
  <c r="X55" i="11"/>
  <c r="AZ55" i="11"/>
  <c r="V55" i="11"/>
  <c r="J55" i="11"/>
  <c r="B25" i="18"/>
  <c r="AX25" i="19"/>
  <c r="AR25" i="19"/>
  <c r="AL25" i="19"/>
  <c r="AF25" i="19"/>
  <c r="BF25" i="19"/>
  <c r="Z25" i="19"/>
  <c r="AZ25" i="19"/>
  <c r="T25" i="19"/>
  <c r="AT25" i="19"/>
  <c r="AN25" i="19"/>
  <c r="AH25" i="19"/>
  <c r="BB25" i="19"/>
  <c r="V25" i="19"/>
  <c r="AV25" i="19"/>
  <c r="AP25" i="19"/>
  <c r="BJ25" i="19"/>
  <c r="AD25" i="19"/>
  <c r="BD25" i="19"/>
  <c r="X25" i="19"/>
  <c r="F25" i="19"/>
  <c r="BH25" i="19"/>
  <c r="N25" i="19"/>
  <c r="R25" i="19"/>
  <c r="H25" i="19"/>
  <c r="D25" i="19"/>
  <c r="AJ25" i="19"/>
  <c r="P25" i="19"/>
  <c r="J25" i="19"/>
  <c r="AB25" i="19"/>
  <c r="L25" i="19"/>
  <c r="BF72" i="13"/>
  <c r="Z72" i="13"/>
  <c r="AZ72" i="13"/>
  <c r="T72" i="13"/>
  <c r="AT72" i="13"/>
  <c r="N72" i="13"/>
  <c r="AN72" i="13"/>
  <c r="H72" i="13"/>
  <c r="AH72" i="13"/>
  <c r="BH72" i="13"/>
  <c r="BB72" i="13"/>
  <c r="BJ72" i="13"/>
  <c r="AB72" i="13"/>
  <c r="AP72" i="13"/>
  <c r="P72" i="13"/>
  <c r="AD72" i="13"/>
  <c r="AR72" i="13"/>
  <c r="AL72" i="13"/>
  <c r="X72" i="13"/>
  <c r="V72" i="13"/>
  <c r="D72" i="13"/>
  <c r="AJ72" i="13"/>
  <c r="R72" i="13"/>
  <c r="F72" i="13"/>
  <c r="AX72" i="13"/>
  <c r="AV72" i="13"/>
  <c r="AF72" i="13"/>
  <c r="L72" i="13"/>
  <c r="BD72" i="13"/>
  <c r="J72" i="13"/>
  <c r="B26" i="11"/>
  <c r="BB26" i="18"/>
  <c r="AV26" i="18"/>
  <c r="AP26" i="18"/>
  <c r="BJ26" i="18"/>
  <c r="BD26" i="18"/>
  <c r="AX26" i="18"/>
  <c r="AR26" i="18"/>
  <c r="BF26" i="18"/>
  <c r="AZ26" i="18"/>
  <c r="AL26" i="18"/>
  <c r="H26" i="18"/>
  <c r="AH26" i="18"/>
  <c r="D26" i="18"/>
  <c r="AB26" i="18"/>
  <c r="V26" i="18"/>
  <c r="AN26" i="18"/>
  <c r="P26" i="18"/>
  <c r="BH26" i="18"/>
  <c r="J26" i="18"/>
  <c r="AJ26" i="18"/>
  <c r="AD26" i="18"/>
  <c r="X26" i="18"/>
  <c r="R26" i="18"/>
  <c r="L26" i="18"/>
  <c r="F26" i="18"/>
  <c r="AT26" i="18"/>
  <c r="AF26" i="18"/>
  <c r="Z26" i="18"/>
  <c r="T26" i="18"/>
  <c r="N26" i="18"/>
  <c r="B53" i="13"/>
  <c r="AN53" i="11"/>
  <c r="H53" i="11"/>
  <c r="BB53" i="11"/>
  <c r="V53" i="11"/>
  <c r="BF53" i="11"/>
  <c r="AJ53" i="11"/>
  <c r="Z53" i="11"/>
  <c r="X53" i="11"/>
  <c r="BJ53" i="11"/>
  <c r="AV53" i="11"/>
  <c r="AT53" i="11"/>
  <c r="T53" i="11"/>
  <c r="R53" i="11"/>
  <c r="AR53" i="11"/>
  <c r="AP53" i="11"/>
  <c r="AF53" i="11"/>
  <c r="AL53" i="11"/>
  <c r="BH53" i="11"/>
  <c r="AZ53" i="11"/>
  <c r="D53" i="11"/>
  <c r="P53" i="11"/>
  <c r="F53" i="11"/>
  <c r="AX53" i="11"/>
  <c r="BD53" i="11"/>
  <c r="AD53" i="11"/>
  <c r="L53" i="11"/>
  <c r="AH53" i="11"/>
  <c r="J53" i="11"/>
  <c r="AB53" i="11"/>
  <c r="N53" i="11"/>
  <c r="BF31" i="11"/>
  <c r="V31" i="11"/>
  <c r="BB31" i="11"/>
  <c r="AV31" i="11"/>
  <c r="AP31" i="11"/>
  <c r="AJ31" i="11"/>
  <c r="B31" i="13"/>
  <c r="H31" i="11"/>
  <c r="AF31" i="11"/>
  <c r="AD31" i="11"/>
  <c r="AX31" i="11"/>
  <c r="AZ31" i="11"/>
  <c r="AR31" i="11"/>
  <c r="R31" i="11"/>
  <c r="BD31" i="11"/>
  <c r="AT31" i="11"/>
  <c r="N31" i="11"/>
  <c r="J31" i="11"/>
  <c r="AH31" i="11"/>
  <c r="BH31" i="11"/>
  <c r="AN31" i="11"/>
  <c r="X31" i="11"/>
  <c r="AL31" i="11"/>
  <c r="BJ31" i="11"/>
  <c r="F31" i="11"/>
  <c r="AB31" i="11"/>
  <c r="D31" i="11"/>
  <c r="L31" i="11"/>
  <c r="Z31" i="11"/>
  <c r="P31" i="11"/>
  <c r="T31" i="11"/>
  <c r="E16" i="19"/>
  <c r="BG16" i="19"/>
  <c r="AT73" i="13"/>
  <c r="N73" i="13"/>
  <c r="AN73" i="13"/>
  <c r="H73" i="13"/>
  <c r="AH73" i="13"/>
  <c r="BH73" i="13"/>
  <c r="AB73" i="13"/>
  <c r="D73" i="13"/>
  <c r="BB73" i="13"/>
  <c r="V73" i="13"/>
  <c r="BJ73" i="13"/>
  <c r="AP73" i="13"/>
  <c r="P73" i="13"/>
  <c r="AD73" i="13"/>
  <c r="AZ73" i="13"/>
  <c r="AR73" i="13"/>
  <c r="R73" i="13"/>
  <c r="AJ73" i="13"/>
  <c r="BD73" i="13"/>
  <c r="BF73" i="13"/>
  <c r="T73" i="13"/>
  <c r="AL73" i="13"/>
  <c r="F73" i="13"/>
  <c r="AX73" i="13"/>
  <c r="AV73" i="13"/>
  <c r="AF73" i="13"/>
  <c r="X73" i="13"/>
  <c r="L73" i="13"/>
  <c r="Z73" i="13"/>
  <c r="J73" i="13"/>
  <c r="B33" i="11"/>
  <c r="BH33" i="18"/>
  <c r="BB33" i="18"/>
  <c r="AV33" i="18"/>
  <c r="AP33" i="18"/>
  <c r="BJ33" i="18"/>
  <c r="BD33" i="18"/>
  <c r="AX33" i="18"/>
  <c r="BF33" i="18"/>
  <c r="T33" i="18"/>
  <c r="N33" i="18"/>
  <c r="H33" i="18"/>
  <c r="AH33" i="18"/>
  <c r="AB33" i="18"/>
  <c r="V33" i="18"/>
  <c r="AR33" i="18"/>
  <c r="AL33" i="18"/>
  <c r="P33" i="18"/>
  <c r="J33" i="18"/>
  <c r="AT33" i="18"/>
  <c r="AJ33" i="18"/>
  <c r="AD33" i="18"/>
  <c r="X33" i="18"/>
  <c r="R33" i="18"/>
  <c r="AZ33" i="18"/>
  <c r="L33" i="18"/>
  <c r="D33" i="18"/>
  <c r="F33" i="18"/>
  <c r="AN33" i="18"/>
  <c r="AF33" i="18"/>
  <c r="Z33" i="18"/>
  <c r="AP76" i="13"/>
  <c r="J76" i="13"/>
  <c r="AJ76" i="13"/>
  <c r="BJ76" i="13"/>
  <c r="AD76" i="13"/>
  <c r="BD76" i="13"/>
  <c r="X76" i="13"/>
  <c r="AX76" i="13"/>
  <c r="R76" i="13"/>
  <c r="BF76" i="13"/>
  <c r="AF76" i="13"/>
  <c r="F76" i="13"/>
  <c r="BH76" i="13"/>
  <c r="AT76" i="13"/>
  <c r="T76" i="13"/>
  <c r="AH76" i="13"/>
  <c r="L76" i="13"/>
  <c r="AB76" i="13"/>
  <c r="AV76" i="13"/>
  <c r="P76" i="13"/>
  <c r="N76" i="13"/>
  <c r="AZ76" i="13"/>
  <c r="BB76" i="13"/>
  <c r="Z76" i="13"/>
  <c r="AL76" i="13"/>
  <c r="D76" i="13"/>
  <c r="H76" i="13"/>
  <c r="V76" i="13"/>
  <c r="AN76" i="13"/>
  <c r="AR76" i="13"/>
  <c r="B46" i="13"/>
  <c r="AJ46" i="11"/>
  <c r="AX46" i="11"/>
  <c r="R46" i="11"/>
  <c r="AF46" i="11"/>
  <c r="P46" i="11"/>
  <c r="N46" i="11"/>
  <c r="AN46" i="11"/>
  <c r="AL46" i="11"/>
  <c r="AH46" i="11"/>
  <c r="AP46" i="11"/>
  <c r="Z46" i="11"/>
  <c r="AV46" i="11"/>
  <c r="H46" i="11"/>
  <c r="BB46" i="11"/>
  <c r="D46" i="11"/>
  <c r="BJ46" i="11"/>
  <c r="V46" i="11"/>
  <c r="BH46" i="11"/>
  <c r="AT46" i="11"/>
  <c r="AB46" i="11"/>
  <c r="J46" i="11"/>
  <c r="AZ46" i="11"/>
  <c r="X46" i="11"/>
  <c r="BF46" i="11"/>
  <c r="BD46" i="11"/>
  <c r="AD46" i="11"/>
  <c r="AR46" i="11"/>
  <c r="L46" i="11"/>
  <c r="F46" i="11"/>
  <c r="T46" i="11"/>
  <c r="BF80" i="13"/>
  <c r="Z80" i="13"/>
  <c r="AZ80" i="13"/>
  <c r="T80" i="13"/>
  <c r="AT80" i="13"/>
  <c r="N80" i="13"/>
  <c r="AN80" i="13"/>
  <c r="H80" i="13"/>
  <c r="AH80" i="13"/>
  <c r="BH80" i="13"/>
  <c r="BB80" i="13"/>
  <c r="BJ80" i="13"/>
  <c r="BD80" i="13"/>
  <c r="AJ80" i="13"/>
  <c r="J80" i="13"/>
  <c r="AX80" i="13"/>
  <c r="X80" i="13"/>
  <c r="AL80" i="13"/>
  <c r="L80" i="13"/>
  <c r="AV80" i="13"/>
  <c r="AF80" i="13"/>
  <c r="AD80" i="13"/>
  <c r="AB80" i="13"/>
  <c r="AR80" i="13"/>
  <c r="AP80" i="13"/>
  <c r="D80" i="13"/>
  <c r="R80" i="13"/>
  <c r="V80" i="13"/>
  <c r="P80" i="13"/>
  <c r="F80" i="13"/>
  <c r="AX70" i="13"/>
  <c r="R70" i="13"/>
  <c r="AR70" i="13"/>
  <c r="L70" i="13"/>
  <c r="AL70" i="13"/>
  <c r="F70" i="13"/>
  <c r="AF70" i="13"/>
  <c r="BF70" i="13"/>
  <c r="Z70" i="13"/>
  <c r="AZ70" i="13"/>
  <c r="BH70" i="13"/>
  <c r="X70" i="13"/>
  <c r="AN70" i="13"/>
  <c r="N70" i="13"/>
  <c r="D70" i="13"/>
  <c r="AB70" i="13"/>
  <c r="AD70" i="13"/>
  <c r="AP70" i="13"/>
  <c r="J70" i="13"/>
  <c r="BJ70" i="13"/>
  <c r="BD70" i="13"/>
  <c r="H70" i="13"/>
  <c r="V70" i="13"/>
  <c r="T70" i="13"/>
  <c r="AJ70" i="13"/>
  <c r="AH70" i="13"/>
  <c r="P70" i="13"/>
  <c r="AV70" i="13"/>
  <c r="AT70" i="13"/>
  <c r="BB70" i="13"/>
  <c r="BF63" i="13"/>
  <c r="BJ63" i="13"/>
  <c r="X63" i="13"/>
  <c r="BD63" i="13"/>
  <c r="AL63" i="13"/>
  <c r="F63" i="13"/>
  <c r="AZ63" i="13"/>
  <c r="T63" i="13"/>
  <c r="AN63" i="13"/>
  <c r="N63" i="13"/>
  <c r="AR63" i="13"/>
  <c r="R63" i="13"/>
  <c r="D63" i="13"/>
  <c r="BH63" i="13"/>
  <c r="BB63" i="13"/>
  <c r="AV63" i="13"/>
  <c r="H63" i="13"/>
  <c r="AB63" i="13"/>
  <c r="V63" i="13"/>
  <c r="L63" i="13"/>
  <c r="AP63" i="13"/>
  <c r="AF63" i="13"/>
  <c r="Z63" i="13"/>
  <c r="P63" i="13"/>
  <c r="AD63" i="13"/>
  <c r="AJ63" i="13"/>
  <c r="AH63" i="13"/>
  <c r="AX63" i="13"/>
  <c r="AT63" i="13"/>
  <c r="J63" i="13"/>
  <c r="B12" i="11"/>
  <c r="AP12" i="18"/>
  <c r="J12" i="18"/>
  <c r="AN12" i="18"/>
  <c r="H12" i="18"/>
  <c r="AL12" i="18"/>
  <c r="F12" i="18"/>
  <c r="AJ12" i="18"/>
  <c r="AH12" i="18"/>
  <c r="AF12" i="18"/>
  <c r="BJ12" i="18"/>
  <c r="AD12" i="18"/>
  <c r="BH12" i="18"/>
  <c r="AB12" i="18"/>
  <c r="BF12" i="18"/>
  <c r="Z12" i="18"/>
  <c r="BD12" i="18"/>
  <c r="X12" i="18"/>
  <c r="BB12" i="18"/>
  <c r="AZ12" i="18"/>
  <c r="T12" i="18"/>
  <c r="AX12" i="18"/>
  <c r="AV12" i="18"/>
  <c r="N12" i="18"/>
  <c r="AT12" i="18"/>
  <c r="R12" i="18"/>
  <c r="AR12" i="18"/>
  <c r="D12" i="18"/>
  <c r="V12" i="18"/>
  <c r="L12" i="18"/>
  <c r="P12" i="18"/>
  <c r="B20" i="18"/>
  <c r="AT20" i="19"/>
  <c r="AN20" i="19"/>
  <c r="AH20" i="19"/>
  <c r="BH20" i="19"/>
  <c r="AB20" i="19"/>
  <c r="BB20" i="19"/>
  <c r="V20" i="19"/>
  <c r="AV20" i="19"/>
  <c r="AP20" i="19"/>
  <c r="AJ20" i="19"/>
  <c r="BJ20" i="19"/>
  <c r="AD20" i="19"/>
  <c r="AX20" i="19"/>
  <c r="R20" i="19"/>
  <c r="AR20" i="19"/>
  <c r="AL20" i="19"/>
  <c r="BF20" i="19"/>
  <c r="Z20" i="19"/>
  <c r="AZ20" i="19"/>
  <c r="T20" i="19"/>
  <c r="P20" i="19"/>
  <c r="AF20" i="19"/>
  <c r="J20" i="19"/>
  <c r="D20" i="19"/>
  <c r="BD20" i="19"/>
  <c r="X20" i="19"/>
  <c r="L20" i="19"/>
  <c r="F20" i="19"/>
  <c r="N20" i="19"/>
  <c r="H20" i="19"/>
  <c r="B19" i="18"/>
  <c r="BF19" i="19"/>
  <c r="Z19" i="19"/>
  <c r="AZ19" i="19"/>
  <c r="T19" i="19"/>
  <c r="AT19" i="19"/>
  <c r="AN19" i="19"/>
  <c r="AH19" i="19"/>
  <c r="BH19" i="19"/>
  <c r="AB19" i="19"/>
  <c r="BB19" i="19"/>
  <c r="V19" i="19"/>
  <c r="AV19" i="19"/>
  <c r="AP19" i="19"/>
  <c r="BJ19" i="19"/>
  <c r="AD19" i="19"/>
  <c r="BD19" i="19"/>
  <c r="X19" i="19"/>
  <c r="AX19" i="19"/>
  <c r="R19" i="19"/>
  <c r="AR19" i="19"/>
  <c r="AL19" i="19"/>
  <c r="AF19" i="19"/>
  <c r="N19" i="19"/>
  <c r="H19" i="19"/>
  <c r="P19" i="19"/>
  <c r="J19" i="19"/>
  <c r="AJ19" i="19"/>
  <c r="D19" i="19"/>
  <c r="L19" i="19"/>
  <c r="F19" i="19"/>
  <c r="B49" i="13"/>
  <c r="BD49" i="11"/>
  <c r="X49" i="11"/>
  <c r="AL49" i="11"/>
  <c r="F49" i="11"/>
  <c r="AZ49" i="11"/>
  <c r="T49" i="11"/>
  <c r="J49" i="11"/>
  <c r="BF49" i="11"/>
  <c r="AF49" i="11"/>
  <c r="AD49" i="11"/>
  <c r="H49" i="11"/>
  <c r="BH49" i="11"/>
  <c r="BB49" i="11"/>
  <c r="BJ49" i="11"/>
  <c r="AH49" i="11"/>
  <c r="R49" i="11"/>
  <c r="AN49" i="11"/>
  <c r="AT49" i="11"/>
  <c r="AB49" i="11"/>
  <c r="N49" i="11"/>
  <c r="AR49" i="11"/>
  <c r="AX49" i="11"/>
  <c r="Z49" i="11"/>
  <c r="AV49" i="11"/>
  <c r="V49" i="11"/>
  <c r="AJ49" i="11"/>
  <c r="D49" i="11"/>
  <c r="L49" i="11"/>
  <c r="AP49" i="11"/>
  <c r="P49" i="11"/>
  <c r="AM16" i="19"/>
  <c r="AG16" i="19"/>
  <c r="AQ16" i="19"/>
  <c r="B40" i="13"/>
  <c r="AB40" i="11"/>
  <c r="AP40" i="11"/>
  <c r="J40" i="11"/>
  <c r="BD40" i="11"/>
  <c r="X40" i="11"/>
  <c r="BH40" i="11"/>
  <c r="BF40" i="11"/>
  <c r="AF40" i="11"/>
  <c r="AD40" i="11"/>
  <c r="BB40" i="11"/>
  <c r="AZ40" i="11"/>
  <c r="H40" i="11"/>
  <c r="BJ40" i="11"/>
  <c r="AX40" i="11"/>
  <c r="AV40" i="11"/>
  <c r="AR40" i="11"/>
  <c r="D40" i="11"/>
  <c r="T40" i="11"/>
  <c r="P40" i="11"/>
  <c r="F40" i="11"/>
  <c r="AJ40" i="11"/>
  <c r="Z40" i="11"/>
  <c r="L40" i="11"/>
  <c r="AH40" i="11"/>
  <c r="AN40" i="11"/>
  <c r="AT40" i="11"/>
  <c r="V40" i="11"/>
  <c r="N40" i="11"/>
  <c r="AL40" i="11"/>
  <c r="R40" i="11"/>
  <c r="B44" i="13"/>
  <c r="BF44" i="11"/>
  <c r="AR44" i="11"/>
  <c r="L44" i="11"/>
  <c r="Z44" i="11"/>
  <c r="AN44" i="11"/>
  <c r="AV44" i="11"/>
  <c r="AT44" i="11"/>
  <c r="T44" i="11"/>
  <c r="R44" i="11"/>
  <c r="D44" i="11"/>
  <c r="AP44" i="11"/>
  <c r="BD44" i="11"/>
  <c r="F44" i="11"/>
  <c r="AD44" i="11"/>
  <c r="BB44" i="11"/>
  <c r="H44" i="11"/>
  <c r="AH44" i="11"/>
  <c r="V44" i="11"/>
  <c r="N44" i="11"/>
  <c r="BJ44" i="11"/>
  <c r="BH44" i="11"/>
  <c r="AF44" i="11"/>
  <c r="AL44" i="11"/>
  <c r="AZ44" i="11"/>
  <c r="J44" i="11"/>
  <c r="P44" i="11"/>
  <c r="AJ44" i="11"/>
  <c r="AB44" i="11"/>
  <c r="X44" i="11"/>
  <c r="AX44" i="11"/>
  <c r="B56" i="13"/>
  <c r="AB56" i="11"/>
  <c r="AP56" i="11"/>
  <c r="J56" i="11"/>
  <c r="BD56" i="11"/>
  <c r="X56" i="11"/>
  <c r="R56" i="11"/>
  <c r="P56" i="11"/>
  <c r="AN56" i="11"/>
  <c r="AL56" i="11"/>
  <c r="D56" i="11"/>
  <c r="N56" i="11"/>
  <c r="L56" i="11"/>
  <c r="AJ56" i="11"/>
  <c r="AH56" i="11"/>
  <c r="BF56" i="11"/>
  <c r="AD56" i="11"/>
  <c r="AR56" i="11"/>
  <c r="AX56" i="11"/>
  <c r="Z56" i="11"/>
  <c r="H56" i="11"/>
  <c r="AV56" i="11"/>
  <c r="V56" i="11"/>
  <c r="BB56" i="11"/>
  <c r="BJ56" i="11"/>
  <c r="AZ56" i="11"/>
  <c r="AT56" i="11"/>
  <c r="F56" i="11"/>
  <c r="BH56" i="11"/>
  <c r="T56" i="11"/>
  <c r="AF56" i="11"/>
  <c r="AP68" i="13"/>
  <c r="J68" i="13"/>
  <c r="AJ68" i="13"/>
  <c r="BJ68" i="13"/>
  <c r="AD68" i="13"/>
  <c r="D68" i="13"/>
  <c r="BD68" i="13"/>
  <c r="X68" i="13"/>
  <c r="AX68" i="13"/>
  <c r="R68" i="13"/>
  <c r="BF68" i="13"/>
  <c r="BB68" i="13"/>
  <c r="AV68" i="13"/>
  <c r="V68" i="13"/>
  <c r="AL68" i="13"/>
  <c r="L68" i="13"/>
  <c r="Z68" i="13"/>
  <c r="AT68" i="13"/>
  <c r="AN68" i="13"/>
  <c r="H68" i="13"/>
  <c r="T68" i="13"/>
  <c r="AZ68" i="13"/>
  <c r="AH68" i="13"/>
  <c r="N68" i="13"/>
  <c r="BH68" i="13"/>
  <c r="AB68" i="13"/>
  <c r="AF68" i="13"/>
  <c r="P68" i="13"/>
  <c r="F68" i="13"/>
  <c r="AR68" i="13"/>
  <c r="I16" i="19"/>
  <c r="B11" i="11"/>
  <c r="AT11" i="18"/>
  <c r="N11" i="18"/>
  <c r="AR11" i="18"/>
  <c r="L11" i="18"/>
  <c r="AP11" i="18"/>
  <c r="J11" i="18"/>
  <c r="AN11" i="18"/>
  <c r="F11" i="18"/>
  <c r="AJ11" i="18"/>
  <c r="AH11" i="18"/>
  <c r="AF11" i="18"/>
  <c r="BJ11" i="18"/>
  <c r="AD11" i="18"/>
  <c r="BH11" i="18"/>
  <c r="AB11" i="18"/>
  <c r="BF11" i="18"/>
  <c r="BD11" i="18"/>
  <c r="X11" i="18"/>
  <c r="BB11" i="18"/>
  <c r="AZ11" i="18"/>
  <c r="P11" i="18"/>
  <c r="T11" i="18"/>
  <c r="AV11" i="18"/>
  <c r="R11" i="18"/>
  <c r="V11" i="18"/>
  <c r="D11" i="18"/>
  <c r="B9" i="11"/>
  <c r="BB9" i="18"/>
  <c r="V9" i="18"/>
  <c r="AZ9" i="18"/>
  <c r="T9" i="18"/>
  <c r="AX9" i="18"/>
  <c r="R9" i="18"/>
  <c r="AV9" i="18"/>
  <c r="P9" i="18"/>
  <c r="AT9" i="18"/>
  <c r="N9" i="18"/>
  <c r="AR9" i="18"/>
  <c r="L9" i="18"/>
  <c r="AP9" i="18"/>
  <c r="J9" i="18"/>
  <c r="AN9" i="18"/>
  <c r="AL9" i="18"/>
  <c r="AJ9" i="18"/>
  <c r="AF9" i="18"/>
  <c r="BJ9" i="18"/>
  <c r="BH9" i="18"/>
  <c r="F9" i="18"/>
  <c r="D9" i="18"/>
  <c r="Z9" i="18"/>
  <c r="AD9" i="18"/>
  <c r="BF9" i="18"/>
  <c r="X9" i="18"/>
  <c r="H9" i="18"/>
  <c r="BD9" i="18"/>
  <c r="AH9" i="18"/>
  <c r="AB9" i="18"/>
  <c r="B47" i="13"/>
  <c r="BH47" i="11"/>
  <c r="AF47" i="11"/>
  <c r="AT47" i="11"/>
  <c r="N47" i="11"/>
  <c r="AB47" i="11"/>
  <c r="AN47" i="11"/>
  <c r="AL47" i="11"/>
  <c r="L47" i="11"/>
  <c r="J47" i="11"/>
  <c r="AJ47" i="11"/>
  <c r="AH47" i="11"/>
  <c r="BD47" i="11"/>
  <c r="AV47" i="11"/>
  <c r="H47" i="11"/>
  <c r="D47" i="11"/>
  <c r="BB47" i="11"/>
  <c r="BJ47" i="11"/>
  <c r="V47" i="11"/>
  <c r="AZ47" i="11"/>
  <c r="R47" i="11"/>
  <c r="X47" i="11"/>
  <c r="BF47" i="11"/>
  <c r="AR47" i="11"/>
  <c r="AX47" i="11"/>
  <c r="AD47" i="11"/>
  <c r="Z47" i="11"/>
  <c r="P47" i="11"/>
  <c r="F47" i="11"/>
  <c r="T47" i="11"/>
  <c r="AP47" i="11"/>
  <c r="B41" i="13"/>
  <c r="BD41" i="11"/>
  <c r="X41" i="11"/>
  <c r="AL41" i="11"/>
  <c r="BH41" i="11"/>
  <c r="AZ41" i="11"/>
  <c r="T41" i="11"/>
  <c r="BB41" i="11"/>
  <c r="H41" i="11"/>
  <c r="BJ41" i="11"/>
  <c r="AB41" i="11"/>
  <c r="Z41" i="11"/>
  <c r="AX41" i="11"/>
  <c r="AV41" i="11"/>
  <c r="BF41" i="11"/>
  <c r="J41" i="11"/>
  <c r="P41" i="11"/>
  <c r="F41" i="11"/>
  <c r="AJ41" i="11"/>
  <c r="AP41" i="11"/>
  <c r="AD41" i="11"/>
  <c r="L41" i="11"/>
  <c r="V41" i="11"/>
  <c r="AH41" i="11"/>
  <c r="AN41" i="11"/>
  <c r="AT41" i="11"/>
  <c r="AF41" i="11"/>
  <c r="N41" i="11"/>
  <c r="AR41" i="11"/>
  <c r="R41" i="11"/>
  <c r="D41" i="11"/>
  <c r="B42" i="13"/>
  <c r="BH42" i="11"/>
  <c r="AZ42" i="11"/>
  <c r="T42" i="11"/>
  <c r="AH42" i="11"/>
  <c r="AV42" i="11"/>
  <c r="P42" i="11"/>
  <c r="BJ42" i="11"/>
  <c r="AB42" i="11"/>
  <c r="Z42" i="11"/>
  <c r="AX42" i="11"/>
  <c r="X42" i="11"/>
  <c r="V42" i="11"/>
  <c r="F42" i="11"/>
  <c r="AT42" i="11"/>
  <c r="AR42" i="11"/>
  <c r="AJ42" i="11"/>
  <c r="AP42" i="11"/>
  <c r="AD42" i="11"/>
  <c r="L42" i="11"/>
  <c r="BD42" i="11"/>
  <c r="AN42" i="11"/>
  <c r="BB42" i="11"/>
  <c r="R42" i="11"/>
  <c r="H42" i="11"/>
  <c r="AL42" i="11"/>
  <c r="J42" i="11"/>
  <c r="BF42" i="11"/>
  <c r="D42" i="11"/>
  <c r="N42" i="11"/>
  <c r="AF42" i="11"/>
  <c r="O16" i="19"/>
  <c r="AW16" i="19"/>
  <c r="B28" i="11"/>
  <c r="BJ28" i="18"/>
  <c r="BD28" i="18"/>
  <c r="AX28" i="18"/>
  <c r="AR28" i="18"/>
  <c r="BF28" i="18"/>
  <c r="AZ28" i="18"/>
  <c r="AT28" i="18"/>
  <c r="BH28" i="18"/>
  <c r="BB28" i="18"/>
  <c r="AN28" i="18"/>
  <c r="P28" i="18"/>
  <c r="J28" i="18"/>
  <c r="AJ28" i="18"/>
  <c r="AD28" i="18"/>
  <c r="X28" i="18"/>
  <c r="R28" i="18"/>
  <c r="L28" i="18"/>
  <c r="F28" i="18"/>
  <c r="AF28" i="18"/>
  <c r="Z28" i="18"/>
  <c r="T28" i="18"/>
  <c r="AV28" i="18"/>
  <c r="N28" i="18"/>
  <c r="D28" i="18"/>
  <c r="H28" i="18"/>
  <c r="AL28" i="18"/>
  <c r="AH28" i="18"/>
  <c r="AB28" i="18"/>
  <c r="AP28" i="18"/>
  <c r="V28" i="18"/>
  <c r="B39" i="13"/>
  <c r="AI38" i="11"/>
  <c r="AF39" i="11"/>
  <c r="BJ39" i="11"/>
  <c r="AW38" i="11"/>
  <c r="AT39" i="11"/>
  <c r="Q38" i="11"/>
  <c r="N39" i="11"/>
  <c r="AE38" i="11"/>
  <c r="AB39" i="11"/>
  <c r="AJ39" i="11"/>
  <c r="AH39" i="11"/>
  <c r="D39" i="11"/>
  <c r="BH39" i="11"/>
  <c r="BD39" i="11"/>
  <c r="K38" i="11"/>
  <c r="I38" i="11"/>
  <c r="BF39" i="11"/>
  <c r="AG38" i="11"/>
  <c r="BG38" i="11"/>
  <c r="BC38" i="11"/>
  <c r="AD39" i="11"/>
  <c r="C38" i="11"/>
  <c r="BE38" i="11"/>
  <c r="BB39" i="11"/>
  <c r="AZ39" i="11"/>
  <c r="BI38" i="11"/>
  <c r="X39" i="11"/>
  <c r="M38" i="11"/>
  <c r="AL39" i="11"/>
  <c r="J39" i="11"/>
  <c r="AR39" i="11"/>
  <c r="W38" i="11"/>
  <c r="AX39" i="11"/>
  <c r="AK38" i="11"/>
  <c r="T39" i="11"/>
  <c r="AQ38" i="11"/>
  <c r="S38" i="11"/>
  <c r="AP39" i="11"/>
  <c r="P39" i="11"/>
  <c r="F39" i="11"/>
  <c r="AV39" i="11"/>
  <c r="AC38" i="11"/>
  <c r="AO38" i="11"/>
  <c r="Z39" i="11"/>
  <c r="O38" i="11"/>
  <c r="E38" i="11"/>
  <c r="AU38" i="11"/>
  <c r="BA38" i="11"/>
  <c r="H39" i="11"/>
  <c r="AM38" i="11"/>
  <c r="Y38" i="11"/>
  <c r="G38" i="11"/>
  <c r="AS38" i="11"/>
  <c r="V39" i="11"/>
  <c r="U38" i="11"/>
  <c r="AY38" i="11"/>
  <c r="L39" i="11"/>
  <c r="AA38" i="11"/>
  <c r="AN39" i="11"/>
  <c r="R39" i="11"/>
  <c r="V17" i="18"/>
  <c r="AH82" i="13"/>
  <c r="BH82" i="13"/>
  <c r="AB82" i="13"/>
  <c r="BB82" i="13"/>
  <c r="V82" i="13"/>
  <c r="AV82" i="13"/>
  <c r="P82" i="13"/>
  <c r="AP82" i="13"/>
  <c r="J82" i="13"/>
  <c r="BJ82" i="13"/>
  <c r="BD82" i="13"/>
  <c r="AL82" i="13"/>
  <c r="L82" i="13"/>
  <c r="Z82" i="13"/>
  <c r="AN82" i="13"/>
  <c r="N82" i="13"/>
  <c r="AF82" i="13"/>
  <c r="AX82" i="13"/>
  <c r="AZ82" i="13"/>
  <c r="D82" i="13"/>
  <c r="AT82" i="13"/>
  <c r="AR82" i="13"/>
  <c r="X82" i="13"/>
  <c r="H82" i="13"/>
  <c r="R82" i="13"/>
  <c r="BF82" i="13"/>
  <c r="AJ82" i="13"/>
  <c r="AD82" i="13"/>
  <c r="T82" i="13"/>
  <c r="F82" i="13"/>
  <c r="BJ69" i="13"/>
  <c r="AD69" i="13"/>
  <c r="BD69" i="13"/>
  <c r="X69" i="13"/>
  <c r="AX69" i="13"/>
  <c r="R69" i="13"/>
  <c r="AR69" i="13"/>
  <c r="L69" i="13"/>
  <c r="AL69" i="13"/>
  <c r="F69" i="13"/>
  <c r="BF69" i="13"/>
  <c r="AJ69" i="13"/>
  <c r="J69" i="13"/>
  <c r="Z69" i="13"/>
  <c r="AZ69" i="13"/>
  <c r="AN69" i="13"/>
  <c r="N69" i="13"/>
  <c r="P69" i="13"/>
  <c r="AP69" i="13"/>
  <c r="H69" i="13"/>
  <c r="V69" i="13"/>
  <c r="T69" i="13"/>
  <c r="D69" i="13"/>
  <c r="BH69" i="13"/>
  <c r="AV69" i="13"/>
  <c r="AB69" i="13"/>
  <c r="AF69" i="13"/>
  <c r="AT69" i="13"/>
  <c r="BB69" i="13"/>
  <c r="AH69" i="13"/>
  <c r="AH74" i="13"/>
  <c r="D74" i="13"/>
  <c r="BH74" i="13"/>
  <c r="AB74" i="13"/>
  <c r="BB74" i="13"/>
  <c r="V74" i="13"/>
  <c r="AV74" i="13"/>
  <c r="P74" i="13"/>
  <c r="AP74" i="13"/>
  <c r="J74" i="13"/>
  <c r="BJ74" i="13"/>
  <c r="BD74" i="13"/>
  <c r="AD74" i="13"/>
  <c r="AZ74" i="13"/>
  <c r="AR74" i="13"/>
  <c r="R74" i="13"/>
  <c r="BF74" i="13"/>
  <c r="AF74" i="13"/>
  <c r="AX74" i="13"/>
  <c r="H74" i="13"/>
  <c r="T74" i="13"/>
  <c r="AN74" i="13"/>
  <c r="AL74" i="13"/>
  <c r="AJ74" i="13"/>
  <c r="F74" i="13"/>
  <c r="N74" i="13"/>
  <c r="L74" i="13"/>
  <c r="AT74" i="13"/>
  <c r="Z74" i="13"/>
  <c r="X74" i="13"/>
  <c r="AI16" i="19"/>
  <c r="AS16" i="19"/>
  <c r="W16" i="19"/>
  <c r="B34" i="11"/>
  <c r="BB34" i="18"/>
  <c r="AV34" i="18"/>
  <c r="AP34" i="18"/>
  <c r="BJ34" i="18"/>
  <c r="BD34" i="18"/>
  <c r="AX34" i="18"/>
  <c r="AR34" i="18"/>
  <c r="BF34" i="18"/>
  <c r="AZ34" i="18"/>
  <c r="H34" i="18"/>
  <c r="BH34" i="18"/>
  <c r="AH34" i="18"/>
  <c r="AB34" i="18"/>
  <c r="V34" i="18"/>
  <c r="AL34" i="18"/>
  <c r="P34" i="18"/>
  <c r="J34" i="18"/>
  <c r="AT34" i="18"/>
  <c r="AJ34" i="18"/>
  <c r="AD34" i="18"/>
  <c r="X34" i="18"/>
  <c r="R34" i="18"/>
  <c r="D34" i="18"/>
  <c r="L34" i="18"/>
  <c r="F34" i="18"/>
  <c r="AN34" i="18"/>
  <c r="AF34" i="18"/>
  <c r="Z34" i="18"/>
  <c r="T34" i="18"/>
  <c r="N34" i="18"/>
  <c r="B30" i="11"/>
  <c r="AL30" i="18"/>
  <c r="BF30" i="18"/>
  <c r="AZ30" i="18"/>
  <c r="AT30" i="18"/>
  <c r="AN30" i="18"/>
  <c r="BH30" i="18"/>
  <c r="BB30" i="18"/>
  <c r="BJ30" i="18"/>
  <c r="X30" i="18"/>
  <c r="R30" i="18"/>
  <c r="L30" i="18"/>
  <c r="F30" i="18"/>
  <c r="AF30" i="18"/>
  <c r="Z30" i="18"/>
  <c r="D30" i="18"/>
  <c r="T30" i="18"/>
  <c r="BD30" i="18"/>
  <c r="N30" i="18"/>
  <c r="AV30" i="18"/>
  <c r="H30" i="18"/>
  <c r="AH30" i="18"/>
  <c r="AB30" i="18"/>
  <c r="AR30" i="18"/>
  <c r="AP30" i="18"/>
  <c r="V30" i="18"/>
  <c r="AX30" i="18"/>
  <c r="P30" i="18"/>
  <c r="J30" i="18"/>
  <c r="AJ30" i="18"/>
  <c r="AD30" i="18"/>
  <c r="AH66" i="13"/>
  <c r="BH66" i="13"/>
  <c r="AB66" i="13"/>
  <c r="BB66" i="13"/>
  <c r="V66" i="13"/>
  <c r="AV66" i="13"/>
  <c r="P66" i="13"/>
  <c r="AP66" i="13"/>
  <c r="J66" i="13"/>
  <c r="BJ66" i="13"/>
  <c r="BD66" i="13"/>
  <c r="AT66" i="13"/>
  <c r="T66" i="13"/>
  <c r="AJ66" i="13"/>
  <c r="AX66" i="13"/>
  <c r="X66" i="13"/>
  <c r="AN66" i="13"/>
  <c r="AR66" i="13"/>
  <c r="Z66" i="13"/>
  <c r="AL66" i="13"/>
  <c r="BF66" i="13"/>
  <c r="H66" i="13"/>
  <c r="D66" i="13"/>
  <c r="F66" i="13"/>
  <c r="N66" i="13"/>
  <c r="AZ66" i="13"/>
  <c r="R66" i="13"/>
  <c r="AF66" i="13"/>
  <c r="AD66" i="13"/>
  <c r="L66" i="13"/>
  <c r="B52" i="13"/>
  <c r="BF52" i="11"/>
  <c r="AR52" i="11"/>
  <c r="L52" i="11"/>
  <c r="Z52" i="11"/>
  <c r="AN52" i="11"/>
  <c r="BH52" i="11"/>
  <c r="AZ52" i="11"/>
  <c r="AX52" i="11"/>
  <c r="F52" i="11"/>
  <c r="X52" i="11"/>
  <c r="V52" i="11"/>
  <c r="BJ52" i="11"/>
  <c r="AV52" i="11"/>
  <c r="AT52" i="11"/>
  <c r="AB52" i="11"/>
  <c r="J52" i="11"/>
  <c r="AF52" i="11"/>
  <c r="AL52" i="11"/>
  <c r="T52" i="11"/>
  <c r="P52" i="11"/>
  <c r="D52" i="11"/>
  <c r="AJ52" i="11"/>
  <c r="AP52" i="11"/>
  <c r="BD52" i="11"/>
  <c r="AD52" i="11"/>
  <c r="BB52" i="11"/>
  <c r="R52" i="11"/>
  <c r="AH52" i="11"/>
  <c r="H52" i="11"/>
  <c r="N52" i="11"/>
  <c r="B3" i="13"/>
  <c r="B3" i="11"/>
  <c r="B3" i="18"/>
  <c r="B3" i="17"/>
  <c r="B3" i="16"/>
  <c r="B3" i="19"/>
  <c r="B3" i="12"/>
  <c r="B3" i="1"/>
  <c r="BJ10" i="18" l="1"/>
  <c r="BC7" i="18"/>
  <c r="AF10" i="18"/>
  <c r="V8" i="18"/>
  <c r="AH10" i="18"/>
  <c r="BF8" i="18"/>
  <c r="H10" i="18"/>
  <c r="AN10" i="18"/>
  <c r="E7" i="18"/>
  <c r="X10" i="18"/>
  <c r="J10" i="18"/>
  <c r="AE7" i="18"/>
  <c r="AD10" i="18"/>
  <c r="AP10" i="18"/>
  <c r="BJ8" i="18"/>
  <c r="T10" i="18"/>
  <c r="L10" i="18"/>
  <c r="F8" i="18"/>
  <c r="Z10" i="18"/>
  <c r="AR10" i="18"/>
  <c r="AF8" i="18"/>
  <c r="AJ8" i="18"/>
  <c r="J8" i="18"/>
  <c r="AP8" i="18"/>
  <c r="L8" i="18"/>
  <c r="BD21" i="18"/>
  <c r="BB21" i="18"/>
  <c r="AB21" i="18"/>
  <c r="AN21" i="18"/>
  <c r="AJ21" i="18"/>
  <c r="AH21" i="18"/>
  <c r="AT21" i="18"/>
  <c r="BJ21" i="18"/>
  <c r="H21" i="18"/>
  <c r="AZ21" i="18"/>
  <c r="N21" i="18"/>
  <c r="BF21" i="18"/>
  <c r="T21" i="18"/>
  <c r="AL21" i="18"/>
  <c r="J21" i="18"/>
  <c r="AV21" i="18"/>
  <c r="Z21" i="18"/>
  <c r="AR21" i="18"/>
  <c r="AF21" i="18"/>
  <c r="AX21" i="18"/>
  <c r="BH21" i="18"/>
  <c r="B21" i="11"/>
  <c r="P21" i="11" s="1"/>
  <c r="N17" i="18"/>
  <c r="F17" i="18"/>
  <c r="AL17" i="18"/>
  <c r="T17" i="18"/>
  <c r="AB17" i="18"/>
  <c r="H17" i="18"/>
  <c r="Z17" i="18"/>
  <c r="AF17" i="18"/>
  <c r="BF17" i="18"/>
  <c r="AX17" i="18"/>
  <c r="X17" i="18"/>
  <c r="BD17" i="18"/>
  <c r="D17" i="18"/>
  <c r="AD17" i="18"/>
  <c r="BJ17" i="18"/>
  <c r="AJ17" i="18"/>
  <c r="AP17" i="18"/>
  <c r="AR17" i="18"/>
  <c r="L17" i="18"/>
  <c r="J17" i="18"/>
  <c r="AV17" i="18"/>
  <c r="P17" i="18"/>
  <c r="BB17" i="18"/>
  <c r="AN17" i="18"/>
  <c r="R17" i="18"/>
  <c r="AZ17" i="18"/>
  <c r="BH17" i="18"/>
  <c r="BB13" i="18"/>
  <c r="K7" i="18"/>
  <c r="P13" i="18"/>
  <c r="X13" i="18"/>
  <c r="AC7" i="18"/>
  <c r="AP13" i="18"/>
  <c r="BD13" i="18"/>
  <c r="AS7" i="18"/>
  <c r="BI7" i="18"/>
  <c r="H13" i="18"/>
  <c r="BF13" i="18"/>
  <c r="R13" i="18"/>
  <c r="AB13" i="18"/>
  <c r="O7" i="18"/>
  <c r="N13" i="18"/>
  <c r="BH13" i="18"/>
  <c r="J13" i="18"/>
  <c r="AD13" i="18"/>
  <c r="B13" i="11"/>
  <c r="BH13" i="11" s="1"/>
  <c r="AO7" i="18"/>
  <c r="AU7" i="18"/>
  <c r="AN13" i="18"/>
  <c r="BJ13" i="18"/>
  <c r="AL13" i="18"/>
  <c r="V13" i="18"/>
  <c r="L13" i="18"/>
  <c r="G7" i="18"/>
  <c r="AR13" i="18"/>
  <c r="D13" i="18"/>
  <c r="AZ13" i="18"/>
  <c r="Z13" i="18"/>
  <c r="AI7" i="18"/>
  <c r="S7" i="18"/>
  <c r="AT13" i="18"/>
  <c r="H8" i="18"/>
  <c r="BG7" i="18"/>
  <c r="AM7" i="18"/>
  <c r="W7" i="18"/>
  <c r="I7" i="18"/>
  <c r="N8" i="18"/>
  <c r="Y7" i="18"/>
  <c r="AB8" i="18"/>
  <c r="Q7" i="18"/>
  <c r="BB8" i="18"/>
  <c r="AG7" i="18"/>
  <c r="AT8" i="18"/>
  <c r="BE7" i="18"/>
  <c r="AH8" i="18"/>
  <c r="AW7" i="18"/>
  <c r="X8" i="18"/>
  <c r="AK7" i="18"/>
  <c r="C7" i="18"/>
  <c r="AA7" i="18"/>
  <c r="AT17" i="18"/>
  <c r="B17" i="11"/>
  <c r="AX11" i="18"/>
  <c r="AL11" i="18"/>
  <c r="V10" i="18"/>
  <c r="AJ10" i="18"/>
  <c r="P21" i="18"/>
  <c r="AD21" i="18"/>
  <c r="AD8" i="18"/>
  <c r="AN8" i="18"/>
  <c r="AV8" i="18"/>
  <c r="BD8" i="18"/>
  <c r="Z11" i="18"/>
  <c r="BB10" i="18"/>
  <c r="V21" i="18"/>
  <c r="BH8" i="18"/>
  <c r="AQ7" i="18"/>
  <c r="AY7" i="18"/>
  <c r="Z8" i="18"/>
  <c r="AL8" i="18"/>
  <c r="M7" i="18"/>
  <c r="R8" i="18"/>
  <c r="AE16" i="18"/>
  <c r="W16" i="18"/>
  <c r="AS16" i="18"/>
  <c r="AG16" i="18"/>
  <c r="BA16" i="18"/>
  <c r="AM16" i="18"/>
  <c r="AQ16" i="18"/>
  <c r="BG16" i="18"/>
  <c r="AC16" i="18"/>
  <c r="G16" i="18"/>
  <c r="AW16" i="18"/>
  <c r="I16" i="18"/>
  <c r="BE16" i="18"/>
  <c r="BI16" i="18"/>
  <c r="C16" i="18"/>
  <c r="M16" i="18"/>
  <c r="E16" i="18"/>
  <c r="O16" i="18"/>
  <c r="AO16" i="18"/>
  <c r="K16" i="18"/>
  <c r="AY16" i="18"/>
  <c r="AU16" i="18"/>
  <c r="S16" i="18"/>
  <c r="BC16" i="18"/>
  <c r="AK16" i="18"/>
  <c r="AI16" i="18"/>
  <c r="U16" i="18"/>
  <c r="Q16" i="18"/>
  <c r="AA16" i="18"/>
  <c r="Y16" i="18"/>
  <c r="AV31" i="13"/>
  <c r="P31" i="13"/>
  <c r="AP31" i="13"/>
  <c r="J31" i="13"/>
  <c r="AJ31" i="13"/>
  <c r="AZ31" i="13"/>
  <c r="BJ31" i="13"/>
  <c r="R31" i="13"/>
  <c r="H31" i="13"/>
  <c r="AX31" i="13"/>
  <c r="AN31" i="13"/>
  <c r="BF31" i="13"/>
  <c r="AD31" i="13"/>
  <c r="N31" i="13"/>
  <c r="BH31" i="13"/>
  <c r="T31" i="13"/>
  <c r="AB31" i="13"/>
  <c r="AT31" i="13"/>
  <c r="Z31" i="13"/>
  <c r="AR31" i="13"/>
  <c r="AH31" i="13"/>
  <c r="X31" i="13"/>
  <c r="BB31" i="13"/>
  <c r="BD31" i="13"/>
  <c r="AL31" i="13"/>
  <c r="AF31" i="13"/>
  <c r="F31" i="13"/>
  <c r="L31" i="13"/>
  <c r="V31" i="13"/>
  <c r="D31" i="13"/>
  <c r="BB55" i="13"/>
  <c r="AL55" i="13"/>
  <c r="AZ55" i="13"/>
  <c r="AH55" i="13"/>
  <c r="AT55" i="13"/>
  <c r="BD55" i="13"/>
  <c r="AR55" i="13"/>
  <c r="BF55" i="13"/>
  <c r="AN55" i="13"/>
  <c r="R55" i="13"/>
  <c r="N55" i="13"/>
  <c r="AV55" i="13"/>
  <c r="J55" i="13"/>
  <c r="BJ55" i="13"/>
  <c r="AX55" i="13"/>
  <c r="X55" i="13"/>
  <c r="F55" i="13"/>
  <c r="T55" i="13"/>
  <c r="AJ55" i="13"/>
  <c r="AD55" i="13"/>
  <c r="BH55" i="13"/>
  <c r="AF55" i="13"/>
  <c r="P55" i="13"/>
  <c r="H55" i="13"/>
  <c r="AP55" i="13"/>
  <c r="Z55" i="13"/>
  <c r="V55" i="13"/>
  <c r="D55" i="13"/>
  <c r="AB55" i="13"/>
  <c r="L55" i="13"/>
  <c r="B27" i="13"/>
  <c r="BD27" i="11"/>
  <c r="AL27" i="11"/>
  <c r="Z27" i="11"/>
  <c r="AZ27" i="11"/>
  <c r="BJ27" i="11"/>
  <c r="BH27" i="11"/>
  <c r="AJ27" i="11"/>
  <c r="F27" i="11"/>
  <c r="AH27" i="11"/>
  <c r="T27" i="11"/>
  <c r="P27" i="11"/>
  <c r="L27" i="11"/>
  <c r="BF27" i="11"/>
  <c r="AT27" i="11"/>
  <c r="AR27" i="11"/>
  <c r="AF27" i="11"/>
  <c r="X27" i="11"/>
  <c r="AP27" i="11"/>
  <c r="J27" i="11"/>
  <c r="AV27" i="11"/>
  <c r="AN27" i="11"/>
  <c r="N27" i="11"/>
  <c r="AX27" i="11"/>
  <c r="AD27" i="11"/>
  <c r="R27" i="11"/>
  <c r="BB27" i="11"/>
  <c r="H27" i="11"/>
  <c r="V27" i="11"/>
  <c r="D27" i="11"/>
  <c r="AB27" i="11"/>
  <c r="B24" i="11"/>
  <c r="AT24" i="18"/>
  <c r="AN24" i="18"/>
  <c r="BH24" i="18"/>
  <c r="BB24" i="18"/>
  <c r="AV24" i="18"/>
  <c r="AP24" i="18"/>
  <c r="BJ24" i="18"/>
  <c r="AX24" i="18"/>
  <c r="BF24" i="18"/>
  <c r="AF24" i="18"/>
  <c r="Z24" i="18"/>
  <c r="T24" i="18"/>
  <c r="AZ24" i="18"/>
  <c r="N24" i="18"/>
  <c r="AL24" i="18"/>
  <c r="H24" i="18"/>
  <c r="AH24" i="18"/>
  <c r="AB24" i="18"/>
  <c r="V24" i="18"/>
  <c r="D24" i="18"/>
  <c r="P24" i="18"/>
  <c r="J24" i="18"/>
  <c r="BD24" i="18"/>
  <c r="AJ24" i="18"/>
  <c r="AD24" i="18"/>
  <c r="X24" i="18"/>
  <c r="R24" i="18"/>
  <c r="AR24" i="18"/>
  <c r="L24" i="18"/>
  <c r="F24" i="18"/>
  <c r="B13" i="13"/>
  <c r="BF13" i="11"/>
  <c r="BD13" i="11"/>
  <c r="AV13" i="11"/>
  <c r="P13" i="11"/>
  <c r="BJ13" i="11"/>
  <c r="AN13" i="11"/>
  <c r="B30" i="13"/>
  <c r="AH30" i="11"/>
  <c r="BJ30" i="11"/>
  <c r="BF30" i="11"/>
  <c r="V30" i="11"/>
  <c r="BB30" i="11"/>
  <c r="AV30" i="11"/>
  <c r="L30" i="11"/>
  <c r="X30" i="11"/>
  <c r="H30" i="11"/>
  <c r="AF30" i="11"/>
  <c r="AD30" i="11"/>
  <c r="AX30" i="11"/>
  <c r="AP30" i="11"/>
  <c r="AZ30" i="11"/>
  <c r="AR30" i="11"/>
  <c r="BD30" i="11"/>
  <c r="AT30" i="11"/>
  <c r="T30" i="11"/>
  <c r="N30" i="11"/>
  <c r="BH30" i="11"/>
  <c r="R30" i="11"/>
  <c r="AN30" i="11"/>
  <c r="AL30" i="11"/>
  <c r="F30" i="11"/>
  <c r="AB30" i="11"/>
  <c r="Z30" i="11"/>
  <c r="J30" i="11"/>
  <c r="D30" i="11"/>
  <c r="AJ30" i="11"/>
  <c r="P30" i="11"/>
  <c r="B12" i="13"/>
  <c r="BJ12" i="11"/>
  <c r="BH12" i="11"/>
  <c r="BF12" i="11"/>
  <c r="Z12" i="11"/>
  <c r="BD12" i="11"/>
  <c r="X12" i="11"/>
  <c r="AX12" i="11"/>
  <c r="R12" i="11"/>
  <c r="AP12" i="11"/>
  <c r="P12" i="11"/>
  <c r="AD12" i="11"/>
  <c r="AF12" i="11"/>
  <c r="AR12" i="11"/>
  <c r="AZ12" i="11"/>
  <c r="AH12" i="11"/>
  <c r="T12" i="11"/>
  <c r="AJ12" i="11"/>
  <c r="AT12" i="11"/>
  <c r="BB12" i="11"/>
  <c r="AL12" i="11"/>
  <c r="D12" i="11"/>
  <c r="L12" i="11"/>
  <c r="AV12" i="11"/>
  <c r="AN12" i="11"/>
  <c r="F12" i="11"/>
  <c r="J12" i="11"/>
  <c r="N12" i="11"/>
  <c r="AB12" i="11"/>
  <c r="V12" i="11"/>
  <c r="H12" i="11"/>
  <c r="B25" i="11"/>
  <c r="BH25" i="18"/>
  <c r="BB25" i="18"/>
  <c r="AV25" i="18"/>
  <c r="AP25" i="18"/>
  <c r="BJ25" i="18"/>
  <c r="BD25" i="18"/>
  <c r="AX25" i="18"/>
  <c r="BF25" i="18"/>
  <c r="T25" i="18"/>
  <c r="AZ25" i="18"/>
  <c r="N25" i="18"/>
  <c r="AL25" i="18"/>
  <c r="H25" i="18"/>
  <c r="AH25" i="18"/>
  <c r="AB25" i="18"/>
  <c r="D25" i="18"/>
  <c r="V25" i="18"/>
  <c r="AN25" i="18"/>
  <c r="P25" i="18"/>
  <c r="J25" i="18"/>
  <c r="AJ25" i="18"/>
  <c r="AD25" i="18"/>
  <c r="X25" i="18"/>
  <c r="R25" i="18"/>
  <c r="AR25" i="18"/>
  <c r="L25" i="18"/>
  <c r="F25" i="18"/>
  <c r="AT25" i="18"/>
  <c r="AF25" i="18"/>
  <c r="Z25" i="18"/>
  <c r="B22" i="13"/>
  <c r="BJ22" i="11"/>
  <c r="AH22" i="11"/>
  <c r="BF22" i="11"/>
  <c r="BB22" i="11"/>
  <c r="AV22" i="11"/>
  <c r="AF22" i="11"/>
  <c r="AX22" i="11"/>
  <c r="AP22" i="11"/>
  <c r="AD22" i="11"/>
  <c r="H22" i="11"/>
  <c r="BD22" i="11"/>
  <c r="AZ22" i="11"/>
  <c r="AR22" i="11"/>
  <c r="AT22" i="11"/>
  <c r="AN22" i="11"/>
  <c r="V22" i="11"/>
  <c r="AB22" i="11"/>
  <c r="R22" i="11"/>
  <c r="BH22" i="11"/>
  <c r="AJ22" i="11"/>
  <c r="L22" i="11"/>
  <c r="F22" i="11"/>
  <c r="Z22" i="11"/>
  <c r="P22" i="11"/>
  <c r="T22" i="11"/>
  <c r="J22" i="11"/>
  <c r="N22" i="11"/>
  <c r="D22" i="11"/>
  <c r="AL22" i="11"/>
  <c r="X22" i="11"/>
  <c r="BH50" i="13"/>
  <c r="BD50" i="13"/>
  <c r="BB50" i="13"/>
  <c r="AZ50" i="13"/>
  <c r="AN50" i="13"/>
  <c r="BF50" i="13"/>
  <c r="AR50" i="13"/>
  <c r="AF50" i="13"/>
  <c r="AX50" i="13"/>
  <c r="AP50" i="13"/>
  <c r="AJ50" i="13"/>
  <c r="BJ50" i="13"/>
  <c r="AV50" i="13"/>
  <c r="X50" i="13"/>
  <c r="F50" i="13"/>
  <c r="T50" i="13"/>
  <c r="D50" i="13"/>
  <c r="AD50" i="13"/>
  <c r="AT50" i="13"/>
  <c r="AB50" i="13"/>
  <c r="P50" i="13"/>
  <c r="AH50" i="13"/>
  <c r="L50" i="13"/>
  <c r="H50" i="13"/>
  <c r="Z50" i="13"/>
  <c r="V50" i="13"/>
  <c r="N50" i="13"/>
  <c r="J50" i="13"/>
  <c r="AL50" i="13"/>
  <c r="R50" i="13"/>
  <c r="AV40" i="13"/>
  <c r="BH40" i="13"/>
  <c r="AD40" i="13"/>
  <c r="AR40" i="13"/>
  <c r="AL40" i="13"/>
  <c r="BJ40" i="13"/>
  <c r="AZ40" i="13"/>
  <c r="AX40" i="13"/>
  <c r="AP40" i="13"/>
  <c r="AJ40" i="13"/>
  <c r="BB40" i="13"/>
  <c r="D40" i="13"/>
  <c r="AF40" i="13"/>
  <c r="N40" i="13"/>
  <c r="J40" i="13"/>
  <c r="AH40" i="13"/>
  <c r="X40" i="13"/>
  <c r="BF40" i="13"/>
  <c r="F40" i="13"/>
  <c r="AB40" i="13"/>
  <c r="T40" i="13"/>
  <c r="P40" i="13"/>
  <c r="L40" i="13"/>
  <c r="H40" i="13"/>
  <c r="Z40" i="13"/>
  <c r="V40" i="13"/>
  <c r="R40" i="13"/>
  <c r="AT40" i="13"/>
  <c r="BD40" i="13"/>
  <c r="AN40" i="13"/>
  <c r="B20" i="11"/>
  <c r="BJ20" i="18"/>
  <c r="BD20" i="18"/>
  <c r="AX20" i="18"/>
  <c r="AR20" i="18"/>
  <c r="BF20" i="18"/>
  <c r="AZ20" i="18"/>
  <c r="AT20" i="18"/>
  <c r="BH20" i="18"/>
  <c r="BB20" i="18"/>
  <c r="P20" i="18"/>
  <c r="AV20" i="18"/>
  <c r="J20" i="18"/>
  <c r="AJ20" i="18"/>
  <c r="AD20" i="18"/>
  <c r="D20" i="18"/>
  <c r="X20" i="18"/>
  <c r="R20" i="18"/>
  <c r="AP20" i="18"/>
  <c r="L20" i="18"/>
  <c r="F20" i="18"/>
  <c r="AF20" i="18"/>
  <c r="Z20" i="18"/>
  <c r="AN20" i="18"/>
  <c r="AL20" i="18"/>
  <c r="T20" i="18"/>
  <c r="N20" i="18"/>
  <c r="H20" i="18"/>
  <c r="AH20" i="18"/>
  <c r="AB20" i="18"/>
  <c r="V20" i="18"/>
  <c r="BH58" i="13"/>
  <c r="BD58" i="13"/>
  <c r="BF58" i="13"/>
  <c r="AN58" i="13"/>
  <c r="AR58" i="13"/>
  <c r="AF58" i="13"/>
  <c r="AP58" i="13"/>
  <c r="AX58" i="13"/>
  <c r="BB58" i="13"/>
  <c r="AT58" i="13"/>
  <c r="X58" i="13"/>
  <c r="AV58" i="13"/>
  <c r="F58" i="13"/>
  <c r="BJ58" i="13"/>
  <c r="AL58" i="13"/>
  <c r="T58" i="13"/>
  <c r="P58" i="13"/>
  <c r="AJ58" i="13"/>
  <c r="AD58" i="13"/>
  <c r="AB58" i="13"/>
  <c r="L58" i="13"/>
  <c r="AZ58" i="13"/>
  <c r="H58" i="13"/>
  <c r="V58" i="13"/>
  <c r="D58" i="13"/>
  <c r="R58" i="13"/>
  <c r="Z58" i="13"/>
  <c r="AH58" i="13"/>
  <c r="J58" i="13"/>
  <c r="N58" i="13"/>
  <c r="B34" i="13"/>
  <c r="AX34" i="11"/>
  <c r="R34" i="11"/>
  <c r="AR34" i="11"/>
  <c r="BH34" i="11"/>
  <c r="AL34" i="11"/>
  <c r="BD34" i="11"/>
  <c r="AF34" i="11"/>
  <c r="AT34" i="11"/>
  <c r="AD34" i="11"/>
  <c r="V34" i="11"/>
  <c r="N34" i="11"/>
  <c r="BB34" i="11"/>
  <c r="AV34" i="11"/>
  <c r="AN34" i="11"/>
  <c r="J34" i="11"/>
  <c r="AP34" i="11"/>
  <c r="AB34" i="11"/>
  <c r="D34" i="11"/>
  <c r="BF34" i="11"/>
  <c r="Z34" i="11"/>
  <c r="BJ34" i="11"/>
  <c r="F34" i="11"/>
  <c r="L34" i="11"/>
  <c r="H34" i="11"/>
  <c r="AJ34" i="11"/>
  <c r="P34" i="11"/>
  <c r="AZ34" i="11"/>
  <c r="T34" i="11"/>
  <c r="AH34" i="11"/>
  <c r="X34" i="11"/>
  <c r="AZ44" i="13"/>
  <c r="AX44" i="13"/>
  <c r="AJ44" i="13"/>
  <c r="AB44" i="13"/>
  <c r="BB44" i="13"/>
  <c r="AV44" i="13"/>
  <c r="AN44" i="13"/>
  <c r="BD44" i="13"/>
  <c r="AT44" i="13"/>
  <c r="BF44" i="13"/>
  <c r="P44" i="13"/>
  <c r="L44" i="13"/>
  <c r="Z44" i="13"/>
  <c r="H44" i="13"/>
  <c r="BH44" i="13"/>
  <c r="AR44" i="13"/>
  <c r="V44" i="13"/>
  <c r="R44" i="13"/>
  <c r="AP44" i="13"/>
  <c r="N44" i="13"/>
  <c r="BJ44" i="13"/>
  <c r="AL44" i="13"/>
  <c r="AH44" i="13"/>
  <c r="X44" i="13"/>
  <c r="T44" i="13"/>
  <c r="AF44" i="13"/>
  <c r="F44" i="13"/>
  <c r="AD44" i="13"/>
  <c r="J44" i="13"/>
  <c r="D44" i="13"/>
  <c r="B19" i="11"/>
  <c r="AP19" i="18"/>
  <c r="BJ19" i="18"/>
  <c r="BD19" i="18"/>
  <c r="AX19" i="18"/>
  <c r="AR19" i="18"/>
  <c r="BF19" i="18"/>
  <c r="AT19" i="18"/>
  <c r="AB19" i="18"/>
  <c r="V19" i="18"/>
  <c r="P19" i="18"/>
  <c r="AV19" i="18"/>
  <c r="J19" i="18"/>
  <c r="AZ19" i="18"/>
  <c r="AJ19" i="18"/>
  <c r="AD19" i="18"/>
  <c r="X19" i="18"/>
  <c r="D19" i="18"/>
  <c r="BH19" i="18"/>
  <c r="R19" i="18"/>
  <c r="BB19" i="18"/>
  <c r="L19" i="18"/>
  <c r="F19" i="18"/>
  <c r="AF19" i="18"/>
  <c r="Z19" i="18"/>
  <c r="AN19" i="18"/>
  <c r="AL19" i="18"/>
  <c r="T19" i="18"/>
  <c r="N19" i="18"/>
  <c r="H19" i="18"/>
  <c r="AH19" i="18"/>
  <c r="B29" i="13"/>
  <c r="BH29" i="11"/>
  <c r="AT29" i="11"/>
  <c r="N29" i="11"/>
  <c r="AN29" i="11"/>
  <c r="AH29" i="11"/>
  <c r="BJ29" i="11"/>
  <c r="AB29" i="11"/>
  <c r="T29" i="11"/>
  <c r="P29" i="11"/>
  <c r="L29" i="11"/>
  <c r="D29" i="11"/>
  <c r="X29" i="11"/>
  <c r="H29" i="11"/>
  <c r="AF29" i="11"/>
  <c r="BB29" i="11"/>
  <c r="AV29" i="11"/>
  <c r="AX29" i="11"/>
  <c r="AR29" i="11"/>
  <c r="Z29" i="11"/>
  <c r="AP29" i="11"/>
  <c r="J29" i="11"/>
  <c r="AD29" i="11"/>
  <c r="R29" i="11"/>
  <c r="V29" i="11"/>
  <c r="AZ29" i="11"/>
  <c r="AL29" i="11"/>
  <c r="F29" i="11"/>
  <c r="BF29" i="11"/>
  <c r="BD29" i="11"/>
  <c r="AJ29" i="11"/>
  <c r="B37" i="13"/>
  <c r="BH37" i="11"/>
  <c r="AT37" i="11"/>
  <c r="N37" i="11"/>
  <c r="AN37" i="11"/>
  <c r="AH37" i="11"/>
  <c r="AB37" i="11"/>
  <c r="AJ37" i="11"/>
  <c r="Z37" i="11"/>
  <c r="BJ37" i="11"/>
  <c r="T37" i="11"/>
  <c r="P37" i="11"/>
  <c r="L37" i="11"/>
  <c r="H37" i="11"/>
  <c r="X37" i="11"/>
  <c r="V37" i="11"/>
  <c r="AX37" i="11"/>
  <c r="AL37" i="11"/>
  <c r="BB37" i="11"/>
  <c r="AZ37" i="11"/>
  <c r="J37" i="11"/>
  <c r="BD37" i="11"/>
  <c r="AR37" i="11"/>
  <c r="R37" i="11"/>
  <c r="D37" i="11"/>
  <c r="AD37" i="11"/>
  <c r="AP37" i="11"/>
  <c r="BF37" i="11"/>
  <c r="AF37" i="11"/>
  <c r="F37" i="11"/>
  <c r="AV37" i="11"/>
  <c r="BD51" i="13"/>
  <c r="AZ51" i="13"/>
  <c r="AF51" i="13"/>
  <c r="BH51" i="13"/>
  <c r="AX51" i="13"/>
  <c r="AP51" i="13"/>
  <c r="AJ51" i="13"/>
  <c r="BJ51" i="13"/>
  <c r="AB51" i="13"/>
  <c r="AV51" i="13"/>
  <c r="AN51" i="13"/>
  <c r="BB51" i="13"/>
  <c r="T51" i="13"/>
  <c r="AD51" i="13"/>
  <c r="AT51" i="13"/>
  <c r="P51" i="13"/>
  <c r="AR51" i="13"/>
  <c r="AH51" i="13"/>
  <c r="L51" i="13"/>
  <c r="H51" i="13"/>
  <c r="Z51" i="13"/>
  <c r="V51" i="13"/>
  <c r="AL51" i="13"/>
  <c r="R51" i="13"/>
  <c r="BF51" i="13"/>
  <c r="X51" i="13"/>
  <c r="N51" i="13"/>
  <c r="F51" i="13"/>
  <c r="D51" i="13"/>
  <c r="J51" i="13"/>
  <c r="B18" i="11"/>
  <c r="BB18" i="18"/>
  <c r="AV18" i="18"/>
  <c r="AP18" i="18"/>
  <c r="BJ18" i="18"/>
  <c r="BD18" i="18"/>
  <c r="AX18" i="18"/>
  <c r="AR18" i="18"/>
  <c r="BF18" i="18"/>
  <c r="AZ18" i="18"/>
  <c r="H18" i="18"/>
  <c r="AH18" i="18"/>
  <c r="AT18" i="18"/>
  <c r="AB18" i="18"/>
  <c r="V18" i="18"/>
  <c r="P18" i="18"/>
  <c r="J18" i="18"/>
  <c r="AJ18" i="18"/>
  <c r="AD18" i="18"/>
  <c r="X18" i="18"/>
  <c r="BH18" i="18"/>
  <c r="R18" i="18"/>
  <c r="D18" i="18"/>
  <c r="L18" i="18"/>
  <c r="F18" i="18"/>
  <c r="AF18" i="18"/>
  <c r="Z18" i="18"/>
  <c r="AN18" i="18"/>
  <c r="AL18" i="18"/>
  <c r="T18" i="18"/>
  <c r="N18" i="18"/>
  <c r="BJ53" i="13"/>
  <c r="AT53" i="13"/>
  <c r="AX53" i="13"/>
  <c r="AV53" i="13"/>
  <c r="AN53" i="13"/>
  <c r="AZ53" i="13"/>
  <c r="BB53" i="13"/>
  <c r="BD53" i="13"/>
  <c r="AP53" i="13"/>
  <c r="AB53" i="13"/>
  <c r="L53" i="13"/>
  <c r="AH53" i="13"/>
  <c r="BH53" i="13"/>
  <c r="H53" i="13"/>
  <c r="Z53" i="13"/>
  <c r="V53" i="13"/>
  <c r="AL53" i="13"/>
  <c r="R53" i="13"/>
  <c r="N53" i="13"/>
  <c r="J53" i="13"/>
  <c r="AD53" i="13"/>
  <c r="AJ53" i="13"/>
  <c r="BF53" i="13"/>
  <c r="AR53" i="13"/>
  <c r="T53" i="13"/>
  <c r="P53" i="13"/>
  <c r="AF53" i="13"/>
  <c r="F53" i="13"/>
  <c r="D53" i="13"/>
  <c r="X53" i="13"/>
  <c r="BH49" i="13"/>
  <c r="BF49" i="13"/>
  <c r="BD49" i="13"/>
  <c r="AR49" i="13"/>
  <c r="AL49" i="13"/>
  <c r="AX49" i="13"/>
  <c r="AP49" i="13"/>
  <c r="AJ49" i="13"/>
  <c r="BJ49" i="13"/>
  <c r="AZ49" i="13"/>
  <c r="J49" i="13"/>
  <c r="AF49" i="13"/>
  <c r="X49" i="13"/>
  <c r="BB49" i="13"/>
  <c r="AN49" i="13"/>
  <c r="F49" i="13"/>
  <c r="T49" i="13"/>
  <c r="AD49" i="13"/>
  <c r="D49" i="13"/>
  <c r="AT49" i="13"/>
  <c r="AB49" i="13"/>
  <c r="P49" i="13"/>
  <c r="AV49" i="13"/>
  <c r="AH49" i="13"/>
  <c r="L49" i="13"/>
  <c r="R49" i="13"/>
  <c r="H49" i="13"/>
  <c r="N49" i="13"/>
  <c r="Z49" i="13"/>
  <c r="V49" i="13"/>
  <c r="B11" i="13"/>
  <c r="BJ11" i="11"/>
  <c r="AD11" i="11"/>
  <c r="BH11" i="11"/>
  <c r="AB11" i="11"/>
  <c r="D11" i="11"/>
  <c r="BB11" i="11"/>
  <c r="V11" i="11"/>
  <c r="L11" i="11"/>
  <c r="N11" i="11"/>
  <c r="AX11" i="11"/>
  <c r="AP11" i="11"/>
  <c r="P11" i="11"/>
  <c r="BF11" i="11"/>
  <c r="R11" i="11"/>
  <c r="AF11" i="11"/>
  <c r="AZ11" i="11"/>
  <c r="AR11" i="11"/>
  <c r="T11" i="11"/>
  <c r="AH11" i="11"/>
  <c r="AJ11" i="11"/>
  <c r="Z11" i="11"/>
  <c r="H11" i="11"/>
  <c r="BD11" i="11"/>
  <c r="AV11" i="11"/>
  <c r="AT11" i="11"/>
  <c r="X11" i="11"/>
  <c r="AN11" i="11"/>
  <c r="F11" i="11"/>
  <c r="J11" i="11"/>
  <c r="AL11" i="11"/>
  <c r="BF54" i="13"/>
  <c r="AP54" i="13"/>
  <c r="BJ54" i="13"/>
  <c r="AV54" i="13"/>
  <c r="AN54" i="13"/>
  <c r="AZ54" i="13"/>
  <c r="BB54" i="13"/>
  <c r="AH54" i="13"/>
  <c r="AT54" i="13"/>
  <c r="AL54" i="13"/>
  <c r="BD54" i="13"/>
  <c r="AR54" i="13"/>
  <c r="BH54" i="13"/>
  <c r="H54" i="13"/>
  <c r="Z54" i="13"/>
  <c r="V54" i="13"/>
  <c r="R54" i="13"/>
  <c r="N54" i="13"/>
  <c r="D54" i="13"/>
  <c r="J54" i="13"/>
  <c r="AX54" i="13"/>
  <c r="X54" i="13"/>
  <c r="F54" i="13"/>
  <c r="AB54" i="13"/>
  <c r="AD54" i="13"/>
  <c r="AJ54" i="13"/>
  <c r="T54" i="13"/>
  <c r="P54" i="13"/>
  <c r="AF54" i="13"/>
  <c r="L54" i="13"/>
  <c r="B8" i="13"/>
  <c r="AW7" i="11"/>
  <c r="AT8" i="11"/>
  <c r="AU7" i="11"/>
  <c r="AR8" i="11"/>
  <c r="AP8" i="11"/>
  <c r="J8" i="11"/>
  <c r="AN8" i="11"/>
  <c r="H8" i="11"/>
  <c r="AH8" i="11"/>
  <c r="BJ8" i="11"/>
  <c r="BB8" i="11"/>
  <c r="X8" i="11"/>
  <c r="U7" i="11"/>
  <c r="F8" i="11"/>
  <c r="BI7" i="11"/>
  <c r="Z8" i="11"/>
  <c r="BD8" i="11"/>
  <c r="AV8" i="11"/>
  <c r="AB8" i="11"/>
  <c r="AO7" i="11"/>
  <c r="AD8" i="11"/>
  <c r="AA7" i="11"/>
  <c r="L8" i="11"/>
  <c r="BF8" i="11"/>
  <c r="AX8" i="11"/>
  <c r="V8" i="11"/>
  <c r="D8" i="11"/>
  <c r="AJ8" i="11"/>
  <c r="P8" i="11"/>
  <c r="T8" i="11"/>
  <c r="BH8" i="11"/>
  <c r="AG7" i="11"/>
  <c r="N8" i="11"/>
  <c r="BG7" i="11"/>
  <c r="AZ8" i="11"/>
  <c r="R8" i="11"/>
  <c r="AF8" i="11"/>
  <c r="AL8" i="11"/>
  <c r="B9" i="13"/>
  <c r="AP9" i="11"/>
  <c r="AN9" i="11"/>
  <c r="AL9" i="11"/>
  <c r="F9" i="11"/>
  <c r="AJ9" i="11"/>
  <c r="BJ9" i="11"/>
  <c r="AD9" i="11"/>
  <c r="Z9" i="11"/>
  <c r="BD9" i="11"/>
  <c r="AV9" i="11"/>
  <c r="AB9" i="11"/>
  <c r="H9" i="11"/>
  <c r="J9" i="11"/>
  <c r="L9" i="11"/>
  <c r="D9" i="11"/>
  <c r="N9" i="11"/>
  <c r="BF9" i="11"/>
  <c r="AX9" i="11"/>
  <c r="P9" i="11"/>
  <c r="AF9" i="11"/>
  <c r="AH9" i="11"/>
  <c r="T9" i="11"/>
  <c r="BH9" i="11"/>
  <c r="BB9" i="11"/>
  <c r="X9" i="11"/>
  <c r="AZ9" i="11"/>
  <c r="AT9" i="11"/>
  <c r="AR9" i="11"/>
  <c r="R9" i="11"/>
  <c r="V9" i="11"/>
  <c r="B33" i="13"/>
  <c r="AD33" i="11"/>
  <c r="AX33" i="11"/>
  <c r="AR33" i="11"/>
  <c r="AZ33" i="11"/>
  <c r="R33" i="11"/>
  <c r="AT33" i="11"/>
  <c r="V33" i="11"/>
  <c r="N33" i="11"/>
  <c r="BD33" i="11"/>
  <c r="BB33" i="11"/>
  <c r="AV33" i="11"/>
  <c r="AN33" i="11"/>
  <c r="J33" i="11"/>
  <c r="AP33" i="11"/>
  <c r="AL33" i="11"/>
  <c r="AB33" i="11"/>
  <c r="BH33" i="11"/>
  <c r="BF33" i="11"/>
  <c r="Z33" i="11"/>
  <c r="D33" i="11"/>
  <c r="AF33" i="11"/>
  <c r="X33" i="11"/>
  <c r="F33" i="11"/>
  <c r="BJ33" i="11"/>
  <c r="L33" i="11"/>
  <c r="H33" i="11"/>
  <c r="AJ33" i="11"/>
  <c r="P33" i="11"/>
  <c r="AH33" i="11"/>
  <c r="T33" i="11"/>
  <c r="BD43" i="13"/>
  <c r="AZ43" i="13"/>
  <c r="AX43" i="13"/>
  <c r="AP43" i="13"/>
  <c r="AJ43" i="13"/>
  <c r="AF43" i="13"/>
  <c r="AB43" i="13"/>
  <c r="BB43" i="13"/>
  <c r="AV43" i="13"/>
  <c r="AT43" i="13"/>
  <c r="BF43" i="13"/>
  <c r="AL43" i="13"/>
  <c r="T43" i="13"/>
  <c r="P43" i="13"/>
  <c r="L43" i="13"/>
  <c r="Z43" i="13"/>
  <c r="H43" i="13"/>
  <c r="BH43" i="13"/>
  <c r="AR43" i="13"/>
  <c r="V43" i="13"/>
  <c r="R43" i="13"/>
  <c r="BJ43" i="13"/>
  <c r="AH43" i="13"/>
  <c r="X43" i="13"/>
  <c r="J43" i="13"/>
  <c r="AN43" i="13"/>
  <c r="N43" i="13"/>
  <c r="F43" i="13"/>
  <c r="AD43" i="13"/>
  <c r="D43" i="13"/>
  <c r="BB47" i="13"/>
  <c r="AL47" i="13"/>
  <c r="BJ47" i="13"/>
  <c r="BH47" i="13"/>
  <c r="BD47" i="13"/>
  <c r="AH47" i="13"/>
  <c r="AT47" i="13"/>
  <c r="BF47" i="13"/>
  <c r="AR47" i="13"/>
  <c r="AJ47" i="13"/>
  <c r="R47" i="13"/>
  <c r="N47" i="13"/>
  <c r="AP47" i="13"/>
  <c r="J47" i="13"/>
  <c r="AF47" i="13"/>
  <c r="X47" i="13"/>
  <c r="AN47" i="13"/>
  <c r="AD47" i="13"/>
  <c r="F47" i="13"/>
  <c r="T47" i="13"/>
  <c r="AV47" i="13"/>
  <c r="Z47" i="13"/>
  <c r="V47" i="13"/>
  <c r="AB47" i="13"/>
  <c r="AZ47" i="13"/>
  <c r="L47" i="13"/>
  <c r="AX47" i="13"/>
  <c r="D47" i="13"/>
  <c r="P47" i="13"/>
  <c r="H47" i="13"/>
  <c r="B28" i="13"/>
  <c r="Z28" i="11"/>
  <c r="AZ28" i="11"/>
  <c r="AT28" i="11"/>
  <c r="AN28" i="11"/>
  <c r="AJ28" i="11"/>
  <c r="F28" i="11"/>
  <c r="AH28" i="11"/>
  <c r="T28" i="11"/>
  <c r="P28" i="11"/>
  <c r="L28" i="11"/>
  <c r="X28" i="11"/>
  <c r="H28" i="11"/>
  <c r="BB28" i="11"/>
  <c r="BF28" i="11"/>
  <c r="AR28" i="11"/>
  <c r="AP28" i="11"/>
  <c r="AF28" i="11"/>
  <c r="J28" i="11"/>
  <c r="AV28" i="11"/>
  <c r="N28" i="11"/>
  <c r="BH28" i="11"/>
  <c r="AX28" i="11"/>
  <c r="AD28" i="11"/>
  <c r="R28" i="11"/>
  <c r="BJ28" i="11"/>
  <c r="V28" i="11"/>
  <c r="AL28" i="11"/>
  <c r="D28" i="11"/>
  <c r="AB28" i="11"/>
  <c r="BD28" i="11"/>
  <c r="BH41" i="13"/>
  <c r="BB41" i="13"/>
  <c r="AZ41" i="13"/>
  <c r="AR41" i="13"/>
  <c r="BJ41" i="13"/>
  <c r="AX41" i="13"/>
  <c r="AP41" i="13"/>
  <c r="BD41" i="13"/>
  <c r="AV41" i="13"/>
  <c r="J41" i="13"/>
  <c r="AH41" i="13"/>
  <c r="AD41" i="13"/>
  <c r="X41" i="13"/>
  <c r="BF41" i="13"/>
  <c r="F41" i="13"/>
  <c r="AL41" i="13"/>
  <c r="AB41" i="13"/>
  <c r="T41" i="13"/>
  <c r="P41" i="13"/>
  <c r="AJ41" i="13"/>
  <c r="L41" i="13"/>
  <c r="Z41" i="13"/>
  <c r="V41" i="13"/>
  <c r="R41" i="13"/>
  <c r="N41" i="13"/>
  <c r="D41" i="13"/>
  <c r="AT41" i="13"/>
  <c r="AF41" i="13"/>
  <c r="AN41" i="13"/>
  <c r="H41" i="13"/>
  <c r="B15" i="13"/>
  <c r="AX15" i="11"/>
  <c r="AV15" i="11"/>
  <c r="AT15" i="11"/>
  <c r="N15" i="11"/>
  <c r="AR15" i="11"/>
  <c r="L15" i="11"/>
  <c r="AL15" i="11"/>
  <c r="AJ15" i="11"/>
  <c r="T15" i="11"/>
  <c r="BH15" i="11"/>
  <c r="AZ15" i="11"/>
  <c r="V15" i="11"/>
  <c r="D15" i="11"/>
  <c r="X15" i="11"/>
  <c r="F15" i="11"/>
  <c r="H15" i="11"/>
  <c r="BJ15" i="11"/>
  <c r="BB15" i="11"/>
  <c r="AN15" i="11"/>
  <c r="Z15" i="11"/>
  <c r="AB15" i="11"/>
  <c r="AD15" i="11"/>
  <c r="P15" i="11"/>
  <c r="J15" i="11"/>
  <c r="AH15" i="11"/>
  <c r="R15" i="11"/>
  <c r="AF15" i="11"/>
  <c r="BF15" i="11"/>
  <c r="AP15" i="11"/>
  <c r="BD15" i="11"/>
  <c r="BH21" i="11"/>
  <c r="B21" i="13"/>
  <c r="AN21" i="11"/>
  <c r="AJ21" i="11"/>
  <c r="BH57" i="13"/>
  <c r="BJ57" i="13"/>
  <c r="AR57" i="13"/>
  <c r="BB57" i="13"/>
  <c r="AT57" i="13"/>
  <c r="BD57" i="13"/>
  <c r="AL57" i="13"/>
  <c r="BF57" i="13"/>
  <c r="AJ57" i="13"/>
  <c r="AP57" i="13"/>
  <c r="J57" i="13"/>
  <c r="X57" i="13"/>
  <c r="AV57" i="13"/>
  <c r="F57" i="13"/>
  <c r="T57" i="13"/>
  <c r="AX57" i="13"/>
  <c r="P57" i="13"/>
  <c r="AF57" i="13"/>
  <c r="AD57" i="13"/>
  <c r="AB57" i="13"/>
  <c r="L57" i="13"/>
  <c r="AZ57" i="13"/>
  <c r="H57" i="13"/>
  <c r="AN57" i="13"/>
  <c r="D57" i="13"/>
  <c r="N57" i="13"/>
  <c r="Z57" i="13"/>
  <c r="V57" i="13"/>
  <c r="AH57" i="13"/>
  <c r="R57" i="13"/>
  <c r="BE38" i="13"/>
  <c r="BB39" i="13"/>
  <c r="BI38" i="13"/>
  <c r="BG38" i="13"/>
  <c r="AO38" i="13"/>
  <c r="AL39" i="13"/>
  <c r="BF39" i="13"/>
  <c r="BD39" i="13"/>
  <c r="AT39" i="13"/>
  <c r="AH39" i="13"/>
  <c r="BH39" i="13"/>
  <c r="AS38" i="13"/>
  <c r="AG38" i="13"/>
  <c r="AR39" i="13"/>
  <c r="AK38" i="13"/>
  <c r="BJ39" i="13"/>
  <c r="AZ39" i="13"/>
  <c r="AY38" i="13"/>
  <c r="AX39" i="13"/>
  <c r="AP39" i="13"/>
  <c r="BA38" i="13"/>
  <c r="AW38" i="13"/>
  <c r="G38" i="13"/>
  <c r="AM38" i="13"/>
  <c r="U38" i="13"/>
  <c r="R39" i="13"/>
  <c r="AF39" i="13"/>
  <c r="Q38" i="13"/>
  <c r="N39" i="13"/>
  <c r="AD39" i="13"/>
  <c r="AE38" i="13"/>
  <c r="AC38" i="13"/>
  <c r="M38" i="13"/>
  <c r="J39" i="13"/>
  <c r="X39" i="13"/>
  <c r="C38" i="13"/>
  <c r="I38" i="13"/>
  <c r="F39" i="13"/>
  <c r="AB39" i="13"/>
  <c r="W38" i="13"/>
  <c r="T39" i="13"/>
  <c r="AJ39" i="13"/>
  <c r="E38" i="13"/>
  <c r="BC38" i="13"/>
  <c r="AV39" i="13"/>
  <c r="P39" i="13"/>
  <c r="L39" i="13"/>
  <c r="H39" i="13"/>
  <c r="AU38" i="13"/>
  <c r="S38" i="13"/>
  <c r="V39" i="13"/>
  <c r="AQ38" i="13"/>
  <c r="AA38" i="13"/>
  <c r="D39" i="13"/>
  <c r="AI38" i="13"/>
  <c r="K38" i="13"/>
  <c r="AN39" i="13"/>
  <c r="O38" i="13"/>
  <c r="Z39" i="13"/>
  <c r="Y38" i="13"/>
  <c r="BH42" i="13"/>
  <c r="BD42" i="13"/>
  <c r="BJ42" i="13"/>
  <c r="AZ42" i="13"/>
  <c r="AX42" i="13"/>
  <c r="AP42" i="13"/>
  <c r="AJ42" i="13"/>
  <c r="AF42" i="13"/>
  <c r="BB42" i="13"/>
  <c r="AN42" i="13"/>
  <c r="AV42" i="13"/>
  <c r="AH42" i="13"/>
  <c r="AD42" i="13"/>
  <c r="X42" i="13"/>
  <c r="BF42" i="13"/>
  <c r="F42" i="13"/>
  <c r="AL42" i="13"/>
  <c r="AB42" i="13"/>
  <c r="T42" i="13"/>
  <c r="P42" i="13"/>
  <c r="L42" i="13"/>
  <c r="Z42" i="13"/>
  <c r="AT42" i="13"/>
  <c r="H42" i="13"/>
  <c r="AR42" i="13"/>
  <c r="V42" i="13"/>
  <c r="D42" i="13"/>
  <c r="R42" i="13"/>
  <c r="N42" i="13"/>
  <c r="J42" i="13"/>
  <c r="BF46" i="13"/>
  <c r="AP46" i="13"/>
  <c r="BD46" i="13"/>
  <c r="AH46" i="13"/>
  <c r="AT46" i="13"/>
  <c r="BH46" i="13"/>
  <c r="AR46" i="13"/>
  <c r="H46" i="13"/>
  <c r="AZ46" i="13"/>
  <c r="V46" i="13"/>
  <c r="AJ46" i="13"/>
  <c r="R46" i="13"/>
  <c r="N46" i="13"/>
  <c r="BB46" i="13"/>
  <c r="J46" i="13"/>
  <c r="AF46" i="13"/>
  <c r="AD46" i="13"/>
  <c r="X46" i="13"/>
  <c r="BJ46" i="13"/>
  <c r="AN46" i="13"/>
  <c r="F46" i="13"/>
  <c r="Z46" i="13"/>
  <c r="AB46" i="13"/>
  <c r="AL46" i="13"/>
  <c r="L46" i="13"/>
  <c r="T46" i="13"/>
  <c r="AX46" i="13"/>
  <c r="D46" i="13"/>
  <c r="P46" i="13"/>
  <c r="AV46" i="13"/>
  <c r="B14" i="13"/>
  <c r="BB14" i="11"/>
  <c r="AZ14" i="11"/>
  <c r="AX14" i="11"/>
  <c r="R14" i="11"/>
  <c r="AV14" i="11"/>
  <c r="P14" i="11"/>
  <c r="AP14" i="11"/>
  <c r="BF14" i="11"/>
  <c r="AR14" i="11"/>
  <c r="AH14" i="11"/>
  <c r="AJ14" i="11"/>
  <c r="T14" i="11"/>
  <c r="BH14" i="11"/>
  <c r="AT14" i="11"/>
  <c r="AL14" i="11"/>
  <c r="V14" i="11"/>
  <c r="BJ14" i="11"/>
  <c r="Z14" i="11"/>
  <c r="J14" i="11"/>
  <c r="BD14" i="11"/>
  <c r="AN14" i="11"/>
  <c r="AD14" i="11"/>
  <c r="X14" i="11"/>
  <c r="F14" i="11"/>
  <c r="N14" i="11"/>
  <c r="AB14" i="11"/>
  <c r="D14" i="11"/>
  <c r="H14" i="11"/>
  <c r="AF14" i="11"/>
  <c r="L14" i="11"/>
  <c r="B26" i="13"/>
  <c r="AX26" i="11"/>
  <c r="R26" i="11"/>
  <c r="BH26" i="11"/>
  <c r="AR26" i="11"/>
  <c r="BD26" i="11"/>
  <c r="AL26" i="11"/>
  <c r="AF26" i="11"/>
  <c r="J26" i="11"/>
  <c r="Z26" i="11"/>
  <c r="BJ26" i="11"/>
  <c r="AJ26" i="11"/>
  <c r="AH26" i="11"/>
  <c r="T26" i="11"/>
  <c r="D26" i="11"/>
  <c r="BF26" i="11"/>
  <c r="AT26" i="11"/>
  <c r="X26" i="11"/>
  <c r="AP26" i="11"/>
  <c r="AV26" i="11"/>
  <c r="AN26" i="11"/>
  <c r="N26" i="11"/>
  <c r="AZ26" i="11"/>
  <c r="BB26" i="11"/>
  <c r="H26" i="11"/>
  <c r="AD26" i="11"/>
  <c r="V26" i="11"/>
  <c r="F26" i="11"/>
  <c r="L26" i="11"/>
  <c r="P26" i="11"/>
  <c r="AB26" i="11"/>
  <c r="B10" i="13"/>
  <c r="AH10" i="11"/>
  <c r="AF10" i="11"/>
  <c r="BF10" i="11"/>
  <c r="Z10" i="11"/>
  <c r="BD10" i="11"/>
  <c r="AV10" i="11"/>
  <c r="AN10" i="11"/>
  <c r="H10" i="11"/>
  <c r="AB10" i="11"/>
  <c r="J10" i="11"/>
  <c r="D10" i="11"/>
  <c r="L10" i="11"/>
  <c r="AD10" i="11"/>
  <c r="N10" i="11"/>
  <c r="AX10" i="11"/>
  <c r="AP10" i="11"/>
  <c r="P10" i="11"/>
  <c r="R10" i="11"/>
  <c r="AZ10" i="11"/>
  <c r="AR10" i="11"/>
  <c r="BH10" i="11"/>
  <c r="AJ10" i="11"/>
  <c r="T10" i="11"/>
  <c r="BJ10" i="11"/>
  <c r="BB10" i="11"/>
  <c r="X10" i="11"/>
  <c r="AT10" i="11"/>
  <c r="F10" i="11"/>
  <c r="AL10" i="11"/>
  <c r="V10" i="11"/>
  <c r="BD32" i="11"/>
  <c r="AP32" i="11"/>
  <c r="J32" i="11"/>
  <c r="AD32" i="11"/>
  <c r="B32" i="13"/>
  <c r="AX32" i="11"/>
  <c r="AZ32" i="11"/>
  <c r="AR32" i="11"/>
  <c r="R32" i="11"/>
  <c r="AT32" i="11"/>
  <c r="V32" i="11"/>
  <c r="N32" i="11"/>
  <c r="BB32" i="11"/>
  <c r="AV32" i="11"/>
  <c r="AN32" i="11"/>
  <c r="AL32" i="11"/>
  <c r="AB32" i="11"/>
  <c r="BH32" i="11"/>
  <c r="BF32" i="11"/>
  <c r="X32" i="11"/>
  <c r="AF32" i="11"/>
  <c r="F32" i="11"/>
  <c r="BJ32" i="11"/>
  <c r="D32" i="11"/>
  <c r="L32" i="11"/>
  <c r="AJ32" i="11"/>
  <c r="H32" i="11"/>
  <c r="Z32" i="11"/>
  <c r="AH32" i="11"/>
  <c r="T32" i="11"/>
  <c r="P32" i="11"/>
  <c r="B36" i="13"/>
  <c r="Z36" i="11"/>
  <c r="AZ36" i="11"/>
  <c r="AT36" i="11"/>
  <c r="AN36" i="11"/>
  <c r="BF36" i="11"/>
  <c r="BD36" i="11"/>
  <c r="AL36" i="11"/>
  <c r="F36" i="11"/>
  <c r="AJ36" i="11"/>
  <c r="T36" i="11"/>
  <c r="BJ36" i="11"/>
  <c r="BH36" i="11"/>
  <c r="P36" i="11"/>
  <c r="AH36" i="11"/>
  <c r="L36" i="11"/>
  <c r="H36" i="11"/>
  <c r="AV36" i="11"/>
  <c r="AD36" i="11"/>
  <c r="V36" i="11"/>
  <c r="AX36" i="11"/>
  <c r="AB36" i="11"/>
  <c r="BB36" i="11"/>
  <c r="N36" i="11"/>
  <c r="J36" i="11"/>
  <c r="AR36" i="11"/>
  <c r="R36" i="11"/>
  <c r="D36" i="11"/>
  <c r="X36" i="11"/>
  <c r="AP36" i="11"/>
  <c r="AF36" i="11"/>
  <c r="AX56" i="13"/>
  <c r="AH56" i="13"/>
  <c r="AV56" i="13"/>
  <c r="AD56" i="13"/>
  <c r="BB56" i="13"/>
  <c r="AT56" i="13"/>
  <c r="BD56" i="13"/>
  <c r="AL56" i="13"/>
  <c r="AR56" i="13"/>
  <c r="BF56" i="13"/>
  <c r="AF56" i="13"/>
  <c r="BH56" i="13"/>
  <c r="D56" i="13"/>
  <c r="N56" i="13"/>
  <c r="J56" i="13"/>
  <c r="BJ56" i="13"/>
  <c r="X56" i="13"/>
  <c r="F56" i="13"/>
  <c r="T56" i="13"/>
  <c r="AJ56" i="13"/>
  <c r="P56" i="13"/>
  <c r="AZ56" i="13"/>
  <c r="AN56" i="13"/>
  <c r="H56" i="13"/>
  <c r="AP56" i="13"/>
  <c r="Z56" i="13"/>
  <c r="V56" i="13"/>
  <c r="L56" i="13"/>
  <c r="R56" i="13"/>
  <c r="AB56" i="13"/>
  <c r="BJ45" i="13"/>
  <c r="AT45" i="13"/>
  <c r="BB45" i="13"/>
  <c r="AV45" i="13"/>
  <c r="AN45" i="13"/>
  <c r="BD45" i="13"/>
  <c r="BF45" i="13"/>
  <c r="AL45" i="13"/>
  <c r="BH45" i="13"/>
  <c r="AR45" i="13"/>
  <c r="L45" i="13"/>
  <c r="Z45" i="13"/>
  <c r="D45" i="13"/>
  <c r="H45" i="13"/>
  <c r="AZ45" i="13"/>
  <c r="V45" i="13"/>
  <c r="AJ45" i="13"/>
  <c r="R45" i="13"/>
  <c r="AP45" i="13"/>
  <c r="N45" i="13"/>
  <c r="J45" i="13"/>
  <c r="X45" i="13"/>
  <c r="T45" i="13"/>
  <c r="P45" i="13"/>
  <c r="AF45" i="13"/>
  <c r="AB45" i="13"/>
  <c r="F45" i="13"/>
  <c r="AD45" i="13"/>
  <c r="AH45" i="13"/>
  <c r="AX45" i="13"/>
  <c r="B23" i="11"/>
  <c r="BF23" i="18"/>
  <c r="AZ23" i="18"/>
  <c r="AT23" i="18"/>
  <c r="BH23" i="18"/>
  <c r="BB23" i="18"/>
  <c r="AV23" i="18"/>
  <c r="AP23" i="18"/>
  <c r="BJ23" i="18"/>
  <c r="BD23" i="18"/>
  <c r="AR23" i="18"/>
  <c r="L23" i="18"/>
  <c r="F23" i="18"/>
  <c r="AF23" i="18"/>
  <c r="Z23" i="18"/>
  <c r="T23" i="18"/>
  <c r="N23" i="18"/>
  <c r="AL23" i="18"/>
  <c r="H23" i="18"/>
  <c r="AN23" i="18"/>
  <c r="AH23" i="18"/>
  <c r="AB23" i="18"/>
  <c r="V23" i="18"/>
  <c r="P23" i="18"/>
  <c r="D23" i="18"/>
  <c r="J23" i="18"/>
  <c r="AJ23" i="18"/>
  <c r="AD23" i="18"/>
  <c r="X23" i="18"/>
  <c r="AX23" i="18"/>
  <c r="R23" i="18"/>
  <c r="AZ52" i="13"/>
  <c r="AX52" i="13"/>
  <c r="BH52" i="13"/>
  <c r="AP52" i="13"/>
  <c r="BJ52" i="13"/>
  <c r="AJ52" i="13"/>
  <c r="AB52" i="13"/>
  <c r="AV52" i="13"/>
  <c r="BB52" i="13"/>
  <c r="AH52" i="13"/>
  <c r="AT52" i="13"/>
  <c r="AF52" i="13"/>
  <c r="P52" i="13"/>
  <c r="AR52" i="13"/>
  <c r="AN52" i="13"/>
  <c r="L52" i="13"/>
  <c r="H52" i="13"/>
  <c r="Z52" i="13"/>
  <c r="V52" i="13"/>
  <c r="AL52" i="13"/>
  <c r="BD52" i="13"/>
  <c r="R52" i="13"/>
  <c r="N52" i="13"/>
  <c r="AD52" i="13"/>
  <c r="BF52" i="13"/>
  <c r="X52" i="13"/>
  <c r="F52" i="13"/>
  <c r="D52" i="13"/>
  <c r="T52" i="13"/>
  <c r="J52" i="13"/>
  <c r="B17" i="13"/>
  <c r="AD17" i="11"/>
  <c r="BH17" i="11"/>
  <c r="AX17" i="11"/>
  <c r="BD17" i="11"/>
  <c r="AR17" i="11"/>
  <c r="BJ17" i="11"/>
  <c r="N17" i="11"/>
  <c r="J17" i="11"/>
  <c r="Z17" i="11"/>
  <c r="AJ17" i="11"/>
  <c r="AH17" i="11"/>
  <c r="D17" i="11"/>
  <c r="AN17" i="11"/>
  <c r="BB17" i="11"/>
  <c r="AL17" i="11"/>
  <c r="R17" i="11"/>
  <c r="L17" i="11"/>
  <c r="AB17" i="11"/>
  <c r="V17" i="11"/>
  <c r="BF17" i="11"/>
  <c r="P17" i="11"/>
  <c r="F17" i="11"/>
  <c r="AT17" i="11"/>
  <c r="AF17" i="11"/>
  <c r="X17" i="11"/>
  <c r="H17" i="11"/>
  <c r="AZ17" i="11"/>
  <c r="AV17" i="11"/>
  <c r="AP17" i="11"/>
  <c r="T17" i="11"/>
  <c r="B35" i="13"/>
  <c r="BH35" i="11"/>
  <c r="AL35" i="11"/>
  <c r="BD35" i="11"/>
  <c r="Z35" i="11"/>
  <c r="AZ35" i="11"/>
  <c r="AX35" i="11"/>
  <c r="AP35" i="11"/>
  <c r="AB35" i="11"/>
  <c r="D35" i="11"/>
  <c r="AR35" i="11"/>
  <c r="BF35" i="11"/>
  <c r="F35" i="11"/>
  <c r="AJ35" i="11"/>
  <c r="T35" i="11"/>
  <c r="BJ35" i="11"/>
  <c r="P35" i="11"/>
  <c r="AT35" i="11"/>
  <c r="AN35" i="11"/>
  <c r="R35" i="11"/>
  <c r="L35" i="11"/>
  <c r="AV35" i="11"/>
  <c r="AD35" i="11"/>
  <c r="H35" i="11"/>
  <c r="V35" i="11"/>
  <c r="AH35" i="11"/>
  <c r="BB35" i="11"/>
  <c r="N35" i="11"/>
  <c r="J35" i="11"/>
  <c r="X35" i="11"/>
  <c r="AF35" i="11"/>
  <c r="AI59" i="12"/>
  <c r="AW86" i="19"/>
  <c r="AE3" i="12"/>
  <c r="W86" i="19"/>
  <c r="BC7" i="11" l="1"/>
  <c r="AP13" i="11"/>
  <c r="AX21" i="11"/>
  <c r="O7" i="11"/>
  <c r="Y7" i="11"/>
  <c r="AK7" i="11"/>
  <c r="AJ13" i="11"/>
  <c r="AD21" i="11"/>
  <c r="AV21" i="11"/>
  <c r="Q7" i="11"/>
  <c r="AC7" i="11"/>
  <c r="AH13" i="11"/>
  <c r="T21" i="11"/>
  <c r="AE7" i="11"/>
  <c r="AI7" i="11"/>
  <c r="K7" i="11"/>
  <c r="AR13" i="11"/>
  <c r="X13" i="11"/>
  <c r="AB21" i="11"/>
  <c r="Z13" i="11"/>
  <c r="R13" i="11"/>
  <c r="G7" i="11"/>
  <c r="BF21" i="11"/>
  <c r="E7" i="11"/>
  <c r="AQ7" i="11"/>
  <c r="D13" i="11"/>
  <c r="AT13" i="11"/>
  <c r="I7" i="11"/>
  <c r="C7" i="11"/>
  <c r="AH21" i="11"/>
  <c r="AY7" i="11"/>
  <c r="AM7" i="11"/>
  <c r="AB13" i="11"/>
  <c r="T13" i="11"/>
  <c r="F13" i="11"/>
  <c r="AP21" i="11"/>
  <c r="D21" i="11"/>
  <c r="BJ21" i="11"/>
  <c r="BE7" i="11"/>
  <c r="W7" i="11"/>
  <c r="M7" i="11"/>
  <c r="N13" i="11"/>
  <c r="AZ13" i="11"/>
  <c r="AZ21" i="11"/>
  <c r="F21" i="11"/>
  <c r="N21" i="11"/>
  <c r="J13" i="11"/>
  <c r="V13" i="11"/>
  <c r="AR21" i="11"/>
  <c r="BD21" i="11"/>
  <c r="S7" i="11"/>
  <c r="H21" i="11"/>
  <c r="AT21" i="11"/>
  <c r="BA7" i="11"/>
  <c r="AS7" i="11"/>
  <c r="AD13" i="11"/>
  <c r="BB13" i="11"/>
  <c r="H13" i="11"/>
  <c r="AF13" i="11"/>
  <c r="AF21" i="11"/>
  <c r="R21" i="11"/>
  <c r="L21" i="11"/>
  <c r="AL21" i="11"/>
  <c r="J21" i="11"/>
  <c r="X21" i="11"/>
  <c r="BB21" i="11"/>
  <c r="V21" i="11"/>
  <c r="Z21" i="11"/>
  <c r="L13" i="11"/>
  <c r="AL13" i="11"/>
  <c r="AX13" i="11"/>
  <c r="AI16" i="11"/>
  <c r="I16" i="11"/>
  <c r="BG16" i="11"/>
  <c r="W16" i="11"/>
  <c r="K16" i="11"/>
  <c r="BI16" i="11"/>
  <c r="BD33" i="13"/>
  <c r="X33" i="13"/>
  <c r="AX33" i="13"/>
  <c r="R33" i="13"/>
  <c r="AR33" i="13"/>
  <c r="L33" i="13"/>
  <c r="D33" i="13"/>
  <c r="BJ33" i="13"/>
  <c r="AL33" i="13"/>
  <c r="AB33" i="13"/>
  <c r="BH33" i="13"/>
  <c r="Z33" i="13"/>
  <c r="P33" i="13"/>
  <c r="BF33" i="13"/>
  <c r="AV33" i="13"/>
  <c r="AD33" i="13"/>
  <c r="T33" i="13"/>
  <c r="AP33" i="13"/>
  <c r="F33" i="13"/>
  <c r="AF33" i="13"/>
  <c r="BB33" i="13"/>
  <c r="AJ33" i="13"/>
  <c r="J33" i="13"/>
  <c r="AH33" i="13"/>
  <c r="AZ33" i="13"/>
  <c r="N33" i="13"/>
  <c r="V33" i="13"/>
  <c r="AT33" i="13"/>
  <c r="AN33" i="13"/>
  <c r="H33" i="13"/>
  <c r="AO7" i="13"/>
  <c r="AL8" i="13"/>
  <c r="AM7" i="13"/>
  <c r="AJ8" i="13"/>
  <c r="AK7" i="13"/>
  <c r="AH8" i="13"/>
  <c r="AZ8" i="13"/>
  <c r="AW7" i="13"/>
  <c r="BE7" i="13"/>
  <c r="AV8" i="13"/>
  <c r="BH8" i="13"/>
  <c r="AU7" i="13"/>
  <c r="AB8" i="13"/>
  <c r="Z8" i="13"/>
  <c r="X8" i="13"/>
  <c r="BG7" i="13"/>
  <c r="AX8" i="13"/>
  <c r="V8" i="13"/>
  <c r="D8" i="13"/>
  <c r="R8" i="13"/>
  <c r="E7" i="13"/>
  <c r="BF8" i="13"/>
  <c r="H8" i="13"/>
  <c r="C7" i="13"/>
  <c r="Q7" i="13"/>
  <c r="BB8" i="13"/>
  <c r="AA7" i="13"/>
  <c r="T8" i="13"/>
  <c r="G7" i="13"/>
  <c r="J8" i="13"/>
  <c r="BA7" i="13"/>
  <c r="AR8" i="13"/>
  <c r="S7" i="13"/>
  <c r="AG7" i="13"/>
  <c r="I7" i="13"/>
  <c r="BC7" i="13"/>
  <c r="AF8" i="13"/>
  <c r="AE7" i="13"/>
  <c r="L8" i="13"/>
  <c r="AD8" i="13"/>
  <c r="Y7" i="13"/>
  <c r="K7" i="13"/>
  <c r="AC7" i="13"/>
  <c r="AP8" i="13"/>
  <c r="P8" i="13"/>
  <c r="AI7" i="13"/>
  <c r="AN8" i="13"/>
  <c r="O7" i="13"/>
  <c r="W7" i="13"/>
  <c r="AQ7" i="13"/>
  <c r="N8" i="13"/>
  <c r="BD8" i="13"/>
  <c r="M7" i="13"/>
  <c r="AY7" i="13"/>
  <c r="U7" i="13"/>
  <c r="BJ8" i="13"/>
  <c r="BI7" i="13"/>
  <c r="AT8" i="13"/>
  <c r="AS7" i="13"/>
  <c r="F8" i="13"/>
  <c r="AR34" i="13"/>
  <c r="L34" i="13"/>
  <c r="AL34" i="13"/>
  <c r="F34" i="13"/>
  <c r="AF34" i="13"/>
  <c r="Z34" i="13"/>
  <c r="P34" i="13"/>
  <c r="BF34" i="13"/>
  <c r="AV34" i="13"/>
  <c r="N34" i="13"/>
  <c r="AT34" i="13"/>
  <c r="AJ34" i="13"/>
  <c r="AP34" i="13"/>
  <c r="BB34" i="13"/>
  <c r="H34" i="13"/>
  <c r="D34" i="13"/>
  <c r="BH34" i="13"/>
  <c r="J34" i="13"/>
  <c r="AH34" i="13"/>
  <c r="R34" i="13"/>
  <c r="AZ34" i="13"/>
  <c r="X34" i="13"/>
  <c r="BJ34" i="13"/>
  <c r="AX34" i="13"/>
  <c r="V34" i="13"/>
  <c r="AN34" i="13"/>
  <c r="BD34" i="13"/>
  <c r="T34" i="13"/>
  <c r="AB34" i="13"/>
  <c r="AD34" i="13"/>
  <c r="B23" i="13"/>
  <c r="BB23" i="11"/>
  <c r="V23" i="11"/>
  <c r="AV23" i="11"/>
  <c r="AP23" i="11"/>
  <c r="AJ23" i="11"/>
  <c r="AX23" i="11"/>
  <c r="AD23" i="11"/>
  <c r="H23" i="11"/>
  <c r="BD23" i="11"/>
  <c r="AZ23" i="11"/>
  <c r="AR23" i="11"/>
  <c r="AT23" i="11"/>
  <c r="AN23" i="11"/>
  <c r="R23" i="11"/>
  <c r="BH23" i="11"/>
  <c r="BF23" i="11"/>
  <c r="AL23" i="11"/>
  <c r="AB23" i="11"/>
  <c r="N23" i="11"/>
  <c r="BJ23" i="11"/>
  <c r="L23" i="11"/>
  <c r="F23" i="11"/>
  <c r="Z23" i="11"/>
  <c r="P23" i="11"/>
  <c r="AH23" i="11"/>
  <c r="T23" i="11"/>
  <c r="J23" i="11"/>
  <c r="D23" i="11"/>
  <c r="X23" i="11"/>
  <c r="AF23" i="11"/>
  <c r="AQ16" i="11"/>
  <c r="M16" i="11"/>
  <c r="AO16" i="11"/>
  <c r="AF27" i="13"/>
  <c r="BF27" i="13"/>
  <c r="Z27" i="13"/>
  <c r="AZ27" i="13"/>
  <c r="T27" i="13"/>
  <c r="AH27" i="13"/>
  <c r="X27" i="13"/>
  <c r="BD27" i="13"/>
  <c r="V27" i="13"/>
  <c r="BB27" i="13"/>
  <c r="AR27" i="13"/>
  <c r="AX27" i="13"/>
  <c r="AN27" i="13"/>
  <c r="BJ27" i="13"/>
  <c r="L27" i="13"/>
  <c r="R27" i="13"/>
  <c r="AD27" i="13"/>
  <c r="AV27" i="13"/>
  <c r="D27" i="13"/>
  <c r="AT27" i="13"/>
  <c r="AL27" i="13"/>
  <c r="BH27" i="13"/>
  <c r="AB27" i="13"/>
  <c r="AJ27" i="13"/>
  <c r="AP27" i="13"/>
  <c r="N27" i="13"/>
  <c r="H27" i="13"/>
  <c r="J27" i="13"/>
  <c r="P27" i="13"/>
  <c r="F27" i="13"/>
  <c r="AE16" i="11"/>
  <c r="C16" i="11"/>
  <c r="BC16" i="11"/>
  <c r="AH9" i="13"/>
  <c r="AF9" i="13"/>
  <c r="BJ9" i="13"/>
  <c r="BB9" i="13"/>
  <c r="AL9" i="13"/>
  <c r="AB9" i="13"/>
  <c r="Z9" i="13"/>
  <c r="X9" i="13"/>
  <c r="D9" i="13"/>
  <c r="AX9" i="13"/>
  <c r="V9" i="13"/>
  <c r="AN9" i="13"/>
  <c r="AD9" i="13"/>
  <c r="T9" i="13"/>
  <c r="R9" i="13"/>
  <c r="AV9" i="13"/>
  <c r="J9" i="13"/>
  <c r="AR9" i="13"/>
  <c r="L9" i="13"/>
  <c r="BH9" i="13"/>
  <c r="H9" i="13"/>
  <c r="AP9" i="13"/>
  <c r="P9" i="13"/>
  <c r="AJ9" i="13"/>
  <c r="AZ9" i="13"/>
  <c r="AT9" i="13"/>
  <c r="F9" i="13"/>
  <c r="BF9" i="13"/>
  <c r="N9" i="13"/>
  <c r="BD9" i="13"/>
  <c r="B19" i="13"/>
  <c r="AL19" i="11"/>
  <c r="Z19" i="11"/>
  <c r="AZ19" i="11"/>
  <c r="D19" i="11"/>
  <c r="AH19" i="11"/>
  <c r="T19" i="11"/>
  <c r="F19" i="11"/>
  <c r="P19" i="11"/>
  <c r="AF19" i="11"/>
  <c r="X19" i="11"/>
  <c r="L19" i="11"/>
  <c r="BB19" i="11"/>
  <c r="AT19" i="11"/>
  <c r="AV19" i="11"/>
  <c r="AX19" i="11"/>
  <c r="R19" i="11"/>
  <c r="BD19" i="11"/>
  <c r="AB19" i="11"/>
  <c r="V19" i="11"/>
  <c r="BF19" i="11"/>
  <c r="AJ19" i="11"/>
  <c r="H19" i="11"/>
  <c r="AR19" i="11"/>
  <c r="BH19" i="11"/>
  <c r="AN19" i="11"/>
  <c r="BJ19" i="11"/>
  <c r="AD19" i="11"/>
  <c r="AP19" i="11"/>
  <c r="N19" i="11"/>
  <c r="J19" i="11"/>
  <c r="BD24" i="11"/>
  <c r="B24" i="13"/>
  <c r="AP24" i="11"/>
  <c r="J24" i="11"/>
  <c r="AD24" i="11"/>
  <c r="BB24" i="11"/>
  <c r="AT24" i="11"/>
  <c r="AV24" i="11"/>
  <c r="AN24" i="11"/>
  <c r="D24" i="11"/>
  <c r="V24" i="11"/>
  <c r="R24" i="11"/>
  <c r="BH24" i="11"/>
  <c r="BF24" i="11"/>
  <c r="AL24" i="11"/>
  <c r="AB24" i="11"/>
  <c r="N24" i="11"/>
  <c r="Z24" i="11"/>
  <c r="BJ24" i="11"/>
  <c r="P24" i="11"/>
  <c r="H24" i="11"/>
  <c r="AH24" i="11"/>
  <c r="T24" i="11"/>
  <c r="AR24" i="11"/>
  <c r="AF24" i="11"/>
  <c r="X24" i="11"/>
  <c r="AX24" i="11"/>
  <c r="AJ24" i="11"/>
  <c r="L24" i="11"/>
  <c r="AZ24" i="11"/>
  <c r="F24" i="11"/>
  <c r="AX13" i="13"/>
  <c r="AV13" i="13"/>
  <c r="AT13" i="13"/>
  <c r="AD13" i="13"/>
  <c r="H13" i="13"/>
  <c r="AR13" i="13"/>
  <c r="F13" i="13"/>
  <c r="BB13" i="13"/>
  <c r="AH13" i="13"/>
  <c r="V13" i="13"/>
  <c r="BH13" i="13"/>
  <c r="L13" i="13"/>
  <c r="AN13" i="13"/>
  <c r="D13" i="13"/>
  <c r="BD13" i="13"/>
  <c r="AJ13" i="13"/>
  <c r="X13" i="13"/>
  <c r="N13" i="13"/>
  <c r="P13" i="13"/>
  <c r="AP13" i="13"/>
  <c r="T13" i="13"/>
  <c r="BF13" i="13"/>
  <c r="AZ13" i="13"/>
  <c r="J13" i="13"/>
  <c r="Z13" i="13"/>
  <c r="AL13" i="13"/>
  <c r="R13" i="13"/>
  <c r="AF13" i="13"/>
  <c r="BJ13" i="13"/>
  <c r="AB13" i="13"/>
  <c r="E16" i="11"/>
  <c r="AN37" i="13"/>
  <c r="H37" i="13"/>
  <c r="AH37" i="13"/>
  <c r="BH37" i="13"/>
  <c r="AB37" i="13"/>
  <c r="BD37" i="13"/>
  <c r="AT37" i="13"/>
  <c r="V37" i="13"/>
  <c r="L37" i="13"/>
  <c r="BB37" i="13"/>
  <c r="AR37" i="13"/>
  <c r="J37" i="13"/>
  <c r="P37" i="13"/>
  <c r="AL37" i="13"/>
  <c r="AX37" i="13"/>
  <c r="BJ37" i="13"/>
  <c r="AP37" i="13"/>
  <c r="Z37" i="13"/>
  <c r="D37" i="13"/>
  <c r="AZ37" i="13"/>
  <c r="X37" i="13"/>
  <c r="AF37" i="13"/>
  <c r="AD37" i="13"/>
  <c r="AV37" i="13"/>
  <c r="T37" i="13"/>
  <c r="AJ37" i="13"/>
  <c r="R37" i="13"/>
  <c r="BF37" i="13"/>
  <c r="N37" i="13"/>
  <c r="F37" i="13"/>
  <c r="BH30" i="13"/>
  <c r="AB30" i="13"/>
  <c r="BB30" i="13"/>
  <c r="V30" i="13"/>
  <c r="AV30" i="13"/>
  <c r="P30" i="13"/>
  <c r="BJ30" i="13"/>
  <c r="AD30" i="13"/>
  <c r="T30" i="13"/>
  <c r="AZ30" i="13"/>
  <c r="R30" i="13"/>
  <c r="X30" i="13"/>
  <c r="AT30" i="13"/>
  <c r="AJ30" i="13"/>
  <c r="BF30" i="13"/>
  <c r="L30" i="13"/>
  <c r="F30" i="13"/>
  <c r="Z30" i="13"/>
  <c r="J30" i="13"/>
  <c r="AR30" i="13"/>
  <c r="AP30" i="13"/>
  <c r="AX30" i="13"/>
  <c r="H30" i="13"/>
  <c r="BD30" i="13"/>
  <c r="AL30" i="13"/>
  <c r="AF30" i="13"/>
  <c r="N30" i="13"/>
  <c r="AH30" i="13"/>
  <c r="D30" i="13"/>
  <c r="AN30" i="13"/>
  <c r="O16" i="11"/>
  <c r="Q16" i="11"/>
  <c r="BB12" i="13"/>
  <c r="AZ12" i="13"/>
  <c r="AX12" i="13"/>
  <c r="AR12" i="13"/>
  <c r="Z12" i="13"/>
  <c r="AP12" i="13"/>
  <c r="L12" i="13"/>
  <c r="AF12" i="13"/>
  <c r="J12" i="13"/>
  <c r="H12" i="13"/>
  <c r="F12" i="13"/>
  <c r="V12" i="13"/>
  <c r="BH12" i="13"/>
  <c r="AT12" i="13"/>
  <c r="AN12" i="13"/>
  <c r="AD12" i="13"/>
  <c r="X12" i="13"/>
  <c r="BD12" i="13"/>
  <c r="AJ12" i="13"/>
  <c r="N12" i="13"/>
  <c r="D12" i="13"/>
  <c r="AV12" i="13"/>
  <c r="P12" i="13"/>
  <c r="T12" i="13"/>
  <c r="BF12" i="13"/>
  <c r="AH12" i="13"/>
  <c r="AL12" i="13"/>
  <c r="BJ12" i="13"/>
  <c r="R12" i="13"/>
  <c r="AB12" i="13"/>
  <c r="BD17" i="13"/>
  <c r="X17" i="13"/>
  <c r="AX17" i="13"/>
  <c r="R17" i="13"/>
  <c r="AR17" i="13"/>
  <c r="L17" i="13"/>
  <c r="D17" i="13"/>
  <c r="AH17" i="13"/>
  <c r="AF17" i="13"/>
  <c r="V17" i="13"/>
  <c r="AZ17" i="13"/>
  <c r="AT17" i="13"/>
  <c r="AD17" i="13"/>
  <c r="BF17" i="13"/>
  <c r="T17" i="13"/>
  <c r="BB17" i="13"/>
  <c r="AJ17" i="13"/>
  <c r="Z17" i="13"/>
  <c r="BJ17" i="13"/>
  <c r="AP17" i="13"/>
  <c r="J17" i="13"/>
  <c r="P17" i="13"/>
  <c r="AN17" i="13"/>
  <c r="AV17" i="13"/>
  <c r="N17" i="13"/>
  <c r="AL17" i="13"/>
  <c r="F17" i="13"/>
  <c r="H17" i="13"/>
  <c r="BH17" i="13"/>
  <c r="AB17" i="13"/>
  <c r="AF35" i="13"/>
  <c r="BF35" i="13"/>
  <c r="Z35" i="13"/>
  <c r="AZ35" i="13"/>
  <c r="T35" i="13"/>
  <c r="N35" i="13"/>
  <c r="AT35" i="13"/>
  <c r="AJ35" i="13"/>
  <c r="AH35" i="13"/>
  <c r="X35" i="13"/>
  <c r="BB35" i="13"/>
  <c r="H35" i="13"/>
  <c r="AV35" i="13"/>
  <c r="F35" i="13"/>
  <c r="BH35" i="13"/>
  <c r="V35" i="13"/>
  <c r="J35" i="13"/>
  <c r="BD35" i="13"/>
  <c r="R35" i="13"/>
  <c r="P35" i="13"/>
  <c r="AP35" i="13"/>
  <c r="BJ35" i="13"/>
  <c r="AX35" i="13"/>
  <c r="D35" i="13"/>
  <c r="AN35" i="13"/>
  <c r="AR35" i="13"/>
  <c r="AL35" i="13"/>
  <c r="AB35" i="13"/>
  <c r="L35" i="13"/>
  <c r="AD35" i="13"/>
  <c r="S16" i="11"/>
  <c r="BA16" i="11"/>
  <c r="U16" i="11"/>
  <c r="AJ32" i="13"/>
  <c r="BJ32" i="13"/>
  <c r="AD32" i="13"/>
  <c r="BD32" i="13"/>
  <c r="X32" i="13"/>
  <c r="AX32" i="13"/>
  <c r="AN32" i="13"/>
  <c r="F32" i="13"/>
  <c r="AL32" i="13"/>
  <c r="AB32" i="13"/>
  <c r="BH32" i="13"/>
  <c r="AZ32" i="13"/>
  <c r="N32" i="13"/>
  <c r="Z32" i="13"/>
  <c r="AV32" i="13"/>
  <c r="T32" i="13"/>
  <c r="BB32" i="13"/>
  <c r="AT32" i="13"/>
  <c r="BF32" i="13"/>
  <c r="AR32" i="13"/>
  <c r="R32" i="13"/>
  <c r="J32" i="13"/>
  <c r="P32" i="13"/>
  <c r="AH32" i="13"/>
  <c r="AP32" i="13"/>
  <c r="AF32" i="13"/>
  <c r="L32" i="13"/>
  <c r="D32" i="13"/>
  <c r="V32" i="13"/>
  <c r="H32" i="13"/>
  <c r="B25" i="13"/>
  <c r="AD25" i="11"/>
  <c r="AX25" i="11"/>
  <c r="BH25" i="11"/>
  <c r="AR25" i="11"/>
  <c r="AP25" i="11"/>
  <c r="V25" i="11"/>
  <c r="R25" i="11"/>
  <c r="BF25" i="11"/>
  <c r="AL25" i="11"/>
  <c r="AB25" i="11"/>
  <c r="N25" i="11"/>
  <c r="J25" i="11"/>
  <c r="Z25" i="11"/>
  <c r="BJ25" i="11"/>
  <c r="AJ25" i="11"/>
  <c r="P25" i="11"/>
  <c r="BD25" i="11"/>
  <c r="H25" i="11"/>
  <c r="AH25" i="11"/>
  <c r="T25" i="11"/>
  <c r="D25" i="11"/>
  <c r="AF25" i="11"/>
  <c r="AT25" i="11"/>
  <c r="X25" i="11"/>
  <c r="AV25" i="11"/>
  <c r="AN25" i="11"/>
  <c r="BB25" i="11"/>
  <c r="AZ25" i="11"/>
  <c r="F25" i="11"/>
  <c r="L25" i="11"/>
  <c r="AU16" i="11"/>
  <c r="AM16" i="11"/>
  <c r="AT14" i="13"/>
  <c r="AR14" i="13"/>
  <c r="AP14" i="13"/>
  <c r="AF14" i="13"/>
  <c r="BB14" i="13"/>
  <c r="AH14" i="13"/>
  <c r="D14" i="13"/>
  <c r="BD14" i="13"/>
  <c r="AJ14" i="13"/>
  <c r="BH14" i="13"/>
  <c r="AN14" i="13"/>
  <c r="AX14" i="13"/>
  <c r="AD14" i="13"/>
  <c r="X14" i="13"/>
  <c r="N14" i="13"/>
  <c r="P14" i="13"/>
  <c r="BJ14" i="13"/>
  <c r="Z14" i="13"/>
  <c r="F14" i="13"/>
  <c r="AV14" i="13"/>
  <c r="L14" i="13"/>
  <c r="T14" i="13"/>
  <c r="BF14" i="13"/>
  <c r="AZ14" i="13"/>
  <c r="J14" i="13"/>
  <c r="AB14" i="13"/>
  <c r="R14" i="13"/>
  <c r="AL14" i="13"/>
  <c r="V14" i="13"/>
  <c r="H14" i="13"/>
  <c r="B18" i="13"/>
  <c r="BH18" i="11"/>
  <c r="AX18" i="11"/>
  <c r="R18" i="11"/>
  <c r="BD18" i="11"/>
  <c r="AR18" i="11"/>
  <c r="AL18" i="11"/>
  <c r="AF18" i="11"/>
  <c r="Z18" i="11"/>
  <c r="AJ18" i="11"/>
  <c r="AH18" i="11"/>
  <c r="D18" i="11"/>
  <c r="T18" i="11"/>
  <c r="P18" i="11"/>
  <c r="L18" i="11"/>
  <c r="AZ18" i="11"/>
  <c r="BB18" i="11"/>
  <c r="AT18" i="11"/>
  <c r="N18" i="11"/>
  <c r="J18" i="11"/>
  <c r="AD18" i="11"/>
  <c r="AB18" i="11"/>
  <c r="V18" i="11"/>
  <c r="BF18" i="11"/>
  <c r="F18" i="11"/>
  <c r="AV18" i="11"/>
  <c r="AN18" i="11"/>
  <c r="H18" i="11"/>
  <c r="BJ18" i="11"/>
  <c r="AP18" i="11"/>
  <c r="X18" i="11"/>
  <c r="BH22" i="13"/>
  <c r="AB22" i="13"/>
  <c r="BB22" i="13"/>
  <c r="V22" i="13"/>
  <c r="AV22" i="13"/>
  <c r="P22" i="13"/>
  <c r="R22" i="13"/>
  <c r="H22" i="13"/>
  <c r="AX22" i="13"/>
  <c r="AN22" i="13"/>
  <c r="AL22" i="13"/>
  <c r="T22" i="13"/>
  <c r="F22" i="13"/>
  <c r="AF22" i="13"/>
  <c r="BD22" i="13"/>
  <c r="AZ22" i="13"/>
  <c r="X22" i="13"/>
  <c r="AP22" i="13"/>
  <c r="N22" i="13"/>
  <c r="BF22" i="13"/>
  <c r="AD22" i="13"/>
  <c r="AT22" i="13"/>
  <c r="AJ22" i="13"/>
  <c r="AR22" i="13"/>
  <c r="Z22" i="13"/>
  <c r="D22" i="13"/>
  <c r="AH22" i="13"/>
  <c r="BJ22" i="13"/>
  <c r="J22" i="13"/>
  <c r="L22" i="13"/>
  <c r="AA16" i="11"/>
  <c r="AR26" i="13"/>
  <c r="L26" i="13"/>
  <c r="AL26" i="13"/>
  <c r="F26" i="13"/>
  <c r="AF26" i="13"/>
  <c r="AT26" i="13"/>
  <c r="AJ26" i="13"/>
  <c r="AH26" i="13"/>
  <c r="X26" i="13"/>
  <c r="BD26" i="13"/>
  <c r="AB26" i="13"/>
  <c r="AX26" i="13"/>
  <c r="D26" i="13"/>
  <c r="AN26" i="13"/>
  <c r="BJ26" i="13"/>
  <c r="N26" i="13"/>
  <c r="H26" i="13"/>
  <c r="V26" i="13"/>
  <c r="BF26" i="13"/>
  <c r="AD26" i="13"/>
  <c r="AV26" i="13"/>
  <c r="T26" i="13"/>
  <c r="BH26" i="13"/>
  <c r="AZ26" i="13"/>
  <c r="BB26" i="13"/>
  <c r="J26" i="13"/>
  <c r="AP26" i="13"/>
  <c r="P26" i="13"/>
  <c r="R26" i="13"/>
  <c r="Z26" i="13"/>
  <c r="AZ28" i="13"/>
  <c r="T28" i="13"/>
  <c r="AT28" i="13"/>
  <c r="N28" i="13"/>
  <c r="D28" i="13"/>
  <c r="AN28" i="13"/>
  <c r="H28" i="13"/>
  <c r="V28" i="13"/>
  <c r="L28" i="13"/>
  <c r="BB28" i="13"/>
  <c r="AR28" i="13"/>
  <c r="AP28" i="13"/>
  <c r="AF28" i="13"/>
  <c r="BJ28" i="13"/>
  <c r="AH28" i="13"/>
  <c r="BD28" i="13"/>
  <c r="R28" i="13"/>
  <c r="AD28" i="13"/>
  <c r="BF28" i="13"/>
  <c r="AL28" i="13"/>
  <c r="BH28" i="13"/>
  <c r="AB28" i="13"/>
  <c r="AJ28" i="13"/>
  <c r="F28" i="13"/>
  <c r="Z28" i="13"/>
  <c r="J28" i="13"/>
  <c r="X28" i="13"/>
  <c r="P28" i="13"/>
  <c r="AV28" i="13"/>
  <c r="AX28" i="13"/>
  <c r="AS16" i="11"/>
  <c r="AY16" i="11"/>
  <c r="AK16" i="11"/>
  <c r="BJ10" i="13"/>
  <c r="AD10" i="13"/>
  <c r="BH10" i="13"/>
  <c r="AB10" i="13"/>
  <c r="BF10" i="13"/>
  <c r="BD10" i="13"/>
  <c r="AN10" i="13"/>
  <c r="T10" i="13"/>
  <c r="R10" i="13"/>
  <c r="AZ10" i="13"/>
  <c r="P10" i="13"/>
  <c r="AP10" i="13"/>
  <c r="N10" i="13"/>
  <c r="BB10" i="13"/>
  <c r="J10" i="13"/>
  <c r="AR10" i="13"/>
  <c r="AL10" i="13"/>
  <c r="AH10" i="13"/>
  <c r="L10" i="13"/>
  <c r="AX10" i="13"/>
  <c r="V10" i="13"/>
  <c r="H10" i="13"/>
  <c r="Z10" i="13"/>
  <c r="D10" i="13"/>
  <c r="AJ10" i="13"/>
  <c r="AV10" i="13"/>
  <c r="AT10" i="13"/>
  <c r="X10" i="13"/>
  <c r="F10" i="13"/>
  <c r="AF10" i="13"/>
  <c r="AN29" i="13"/>
  <c r="H29" i="13"/>
  <c r="AH29" i="13"/>
  <c r="BH29" i="13"/>
  <c r="AB29" i="13"/>
  <c r="J29" i="13"/>
  <c r="AP29" i="13"/>
  <c r="AF29" i="13"/>
  <c r="D29" i="13"/>
  <c r="AD29" i="13"/>
  <c r="T29" i="13"/>
  <c r="L29" i="13"/>
  <c r="AZ29" i="13"/>
  <c r="X29" i="13"/>
  <c r="AT29" i="13"/>
  <c r="BF29" i="13"/>
  <c r="BD29" i="13"/>
  <c r="AL29" i="13"/>
  <c r="AJ29" i="13"/>
  <c r="F29" i="13"/>
  <c r="R29" i="13"/>
  <c r="Z29" i="13"/>
  <c r="AR29" i="13"/>
  <c r="BJ29" i="13"/>
  <c r="N29" i="13"/>
  <c r="BB29" i="13"/>
  <c r="AV29" i="13"/>
  <c r="P29" i="13"/>
  <c r="V29" i="13"/>
  <c r="AX29" i="13"/>
  <c r="AW16" i="11"/>
  <c r="BE16" i="11"/>
  <c r="AZ36" i="13"/>
  <c r="T36" i="13"/>
  <c r="AT36" i="13"/>
  <c r="N36" i="13"/>
  <c r="AN36" i="13"/>
  <c r="H36" i="13"/>
  <c r="BF36" i="13"/>
  <c r="AH36" i="13"/>
  <c r="X36" i="13"/>
  <c r="BD36" i="13"/>
  <c r="V36" i="13"/>
  <c r="L36" i="13"/>
  <c r="AF36" i="13"/>
  <c r="BH36" i="13"/>
  <c r="Z36" i="13"/>
  <c r="J36" i="13"/>
  <c r="AR36" i="13"/>
  <c r="P36" i="13"/>
  <c r="AL36" i="13"/>
  <c r="BJ36" i="13"/>
  <c r="AJ36" i="13"/>
  <c r="AP36" i="13"/>
  <c r="AX36" i="13"/>
  <c r="D36" i="13"/>
  <c r="BB36" i="13"/>
  <c r="AD36" i="13"/>
  <c r="AV36" i="13"/>
  <c r="AB36" i="13"/>
  <c r="F36" i="13"/>
  <c r="R36" i="13"/>
  <c r="AN21" i="13"/>
  <c r="H21" i="13"/>
  <c r="AH21" i="13"/>
  <c r="BH21" i="13"/>
  <c r="AB21" i="13"/>
  <c r="AD21" i="13"/>
  <c r="T21" i="13"/>
  <c r="BJ21" i="13"/>
  <c r="AZ21" i="13"/>
  <c r="R21" i="13"/>
  <c r="AX21" i="13"/>
  <c r="AP21" i="13"/>
  <c r="Z21" i="13"/>
  <c r="BB21" i="13"/>
  <c r="P21" i="13"/>
  <c r="AL21" i="13"/>
  <c r="F21" i="13"/>
  <c r="BD21" i="13"/>
  <c r="X21" i="13"/>
  <c r="AF21" i="13"/>
  <c r="V21" i="13"/>
  <c r="AV21" i="13"/>
  <c r="N21" i="13"/>
  <c r="BF21" i="13"/>
  <c r="L21" i="13"/>
  <c r="AR21" i="13"/>
  <c r="D21" i="13"/>
  <c r="J21" i="13"/>
  <c r="AT21" i="13"/>
  <c r="AJ21" i="13"/>
  <c r="AP15" i="13"/>
  <c r="AN15" i="13"/>
  <c r="AL15" i="13"/>
  <c r="AH15" i="13"/>
  <c r="AR15" i="13"/>
  <c r="BD15" i="13"/>
  <c r="AJ15" i="13"/>
  <c r="AT15" i="13"/>
  <c r="AD15" i="13"/>
  <c r="X15" i="13"/>
  <c r="N15" i="13"/>
  <c r="D15" i="13"/>
  <c r="P15" i="13"/>
  <c r="Z15" i="13"/>
  <c r="F15" i="13"/>
  <c r="BJ15" i="13"/>
  <c r="AZ15" i="13"/>
  <c r="R15" i="13"/>
  <c r="BH15" i="13"/>
  <c r="T15" i="13"/>
  <c r="BB15" i="13"/>
  <c r="BF15" i="13"/>
  <c r="J15" i="13"/>
  <c r="AB15" i="13"/>
  <c r="V15" i="13"/>
  <c r="L15" i="13"/>
  <c r="H15" i="13"/>
  <c r="AX15" i="13"/>
  <c r="AF15" i="13"/>
  <c r="AV15" i="13"/>
  <c r="G16" i="11"/>
  <c r="BF11" i="13"/>
  <c r="BD11" i="13"/>
  <c r="BB11" i="13"/>
  <c r="AP11" i="13"/>
  <c r="AZ11" i="13"/>
  <c r="AD11" i="13"/>
  <c r="P11" i="13"/>
  <c r="BJ11" i="13"/>
  <c r="N11" i="13"/>
  <c r="L11" i="13"/>
  <c r="AF11" i="13"/>
  <c r="J11" i="13"/>
  <c r="AH11" i="13"/>
  <c r="AB11" i="13"/>
  <c r="T11" i="13"/>
  <c r="AX11" i="13"/>
  <c r="V11" i="13"/>
  <c r="BH11" i="13"/>
  <c r="AT11" i="13"/>
  <c r="AN11" i="13"/>
  <c r="AL11" i="13"/>
  <c r="Z11" i="13"/>
  <c r="AJ11" i="13"/>
  <c r="AV11" i="13"/>
  <c r="X11" i="13"/>
  <c r="F11" i="13"/>
  <c r="AR11" i="13"/>
  <c r="D11" i="13"/>
  <c r="R11" i="13"/>
  <c r="H11" i="13"/>
  <c r="B20" i="13"/>
  <c r="Z20" i="11"/>
  <c r="AZ20" i="11"/>
  <c r="AT20" i="11"/>
  <c r="AN20" i="11"/>
  <c r="T20" i="11"/>
  <c r="F20" i="11"/>
  <c r="P20" i="11"/>
  <c r="X20" i="11"/>
  <c r="L20" i="11"/>
  <c r="BB20" i="11"/>
  <c r="AF20" i="11"/>
  <c r="AV20" i="11"/>
  <c r="AX20" i="11"/>
  <c r="AP20" i="11"/>
  <c r="AD20" i="11"/>
  <c r="H20" i="11"/>
  <c r="BF20" i="11"/>
  <c r="BD20" i="11"/>
  <c r="AL20" i="11"/>
  <c r="AB20" i="11"/>
  <c r="V20" i="11"/>
  <c r="AJ20" i="11"/>
  <c r="AR20" i="11"/>
  <c r="BH20" i="11"/>
  <c r="AH20" i="11"/>
  <c r="BJ20" i="11"/>
  <c r="D20" i="11"/>
  <c r="N20" i="11"/>
  <c r="R20" i="11"/>
  <c r="J20" i="11"/>
  <c r="AG16" i="11"/>
  <c r="Y16" i="11"/>
  <c r="AC16" i="11"/>
  <c r="AA59" i="17"/>
  <c r="AA3" i="17"/>
  <c r="Y3" i="17"/>
  <c r="Y59" i="17"/>
  <c r="AW3" i="17"/>
  <c r="AW59" i="17"/>
  <c r="BG3" i="17"/>
  <c r="BG59" i="17"/>
  <c r="AM59" i="17"/>
  <c r="AM3" i="17"/>
  <c r="BE3" i="17"/>
  <c r="BE59" i="17"/>
  <c r="Q3" i="17"/>
  <c r="Q59" i="17"/>
  <c r="AI3" i="17"/>
  <c r="AI59" i="17"/>
  <c r="S3" i="17"/>
  <c r="S59" i="17"/>
  <c r="AK3" i="17"/>
  <c r="AK59" i="17"/>
  <c r="BC3" i="17"/>
  <c r="BC59" i="17"/>
  <c r="AY3" i="17"/>
  <c r="AY59" i="17"/>
  <c r="AO3" i="17"/>
  <c r="AO59" i="17"/>
  <c r="C3" i="17"/>
  <c r="C59" i="17"/>
  <c r="E3" i="17"/>
  <c r="E59" i="17"/>
  <c r="AE3" i="17"/>
  <c r="AE59" i="17"/>
  <c r="M59" i="17"/>
  <c r="M3" i="17"/>
  <c r="U3" i="17"/>
  <c r="U59" i="17"/>
  <c r="W3" i="17"/>
  <c r="W59" i="17"/>
  <c r="I3" i="17"/>
  <c r="I59" i="17"/>
  <c r="G3" i="17"/>
  <c r="G59" i="17"/>
  <c r="AQ59" i="17"/>
  <c r="AQ3" i="17"/>
  <c r="BI3" i="17"/>
  <c r="BI59" i="17"/>
  <c r="AS59" i="17"/>
  <c r="AS3" i="17"/>
  <c r="AU3" i="17"/>
  <c r="AU59" i="17"/>
  <c r="BA3" i="17"/>
  <c r="BA59" i="17"/>
  <c r="O3" i="17"/>
  <c r="O59" i="17"/>
  <c r="K59" i="17"/>
  <c r="K3" i="17"/>
  <c r="AC3" i="17"/>
  <c r="AC59" i="17"/>
  <c r="AG59" i="17"/>
  <c r="AG3" i="17"/>
  <c r="AI3" i="12"/>
  <c r="BG3" i="12"/>
  <c r="AS86" i="19"/>
  <c r="AA59" i="12"/>
  <c r="AA3" i="12"/>
  <c r="I3" i="12"/>
  <c r="I59" i="12"/>
  <c r="BA3" i="12"/>
  <c r="BA59" i="12"/>
  <c r="C3" i="12"/>
  <c r="C59" i="12"/>
  <c r="W59" i="12"/>
  <c r="W3" i="12"/>
  <c r="AK59" i="12"/>
  <c r="AK3" i="12"/>
  <c r="Y59" i="12"/>
  <c r="Y3" i="12"/>
  <c r="AQ3" i="12"/>
  <c r="AQ59" i="12"/>
  <c r="AO3" i="12"/>
  <c r="AO59" i="12"/>
  <c r="U59" i="12"/>
  <c r="U3" i="12"/>
  <c r="BE59" i="12"/>
  <c r="BE3" i="12"/>
  <c r="AY59" i="12"/>
  <c r="AY3" i="12"/>
  <c r="AW3" i="12"/>
  <c r="AW59" i="12"/>
  <c r="AM59" i="12"/>
  <c r="AM3" i="12"/>
  <c r="BC3" i="12"/>
  <c r="BC59" i="12"/>
  <c r="S59" i="12"/>
  <c r="S3" i="12"/>
  <c r="G3" i="12"/>
  <c r="G59" i="12"/>
  <c r="K3" i="12"/>
  <c r="K59" i="12"/>
  <c r="AE59" i="12"/>
  <c r="O3" i="12"/>
  <c r="O59" i="12"/>
  <c r="AS3" i="12"/>
  <c r="AS59" i="12"/>
  <c r="Q3" i="12"/>
  <c r="Q59" i="12"/>
  <c r="AG3" i="12"/>
  <c r="AG59" i="12"/>
  <c r="AC59" i="12"/>
  <c r="AC3" i="12"/>
  <c r="E3" i="12"/>
  <c r="E59" i="12"/>
  <c r="AU59" i="12"/>
  <c r="AU3" i="12"/>
  <c r="BI59" i="12"/>
  <c r="BI3" i="12"/>
  <c r="BG59" i="12"/>
  <c r="M59" i="12"/>
  <c r="M3" i="12"/>
  <c r="O86" i="19"/>
  <c r="G86" i="19"/>
  <c r="AG86" i="19"/>
  <c r="AE86" i="19"/>
  <c r="BA86" i="19"/>
  <c r="BC86" i="19"/>
  <c r="AU86" i="19"/>
  <c r="AM86" i="19"/>
  <c r="AI86" i="19"/>
  <c r="U86" i="19"/>
  <c r="E86" i="19"/>
  <c r="K86" i="19"/>
  <c r="AC86" i="19"/>
  <c r="AK86" i="19"/>
  <c r="BI86" i="19"/>
  <c r="BE86" i="19"/>
  <c r="AQ86" i="19"/>
  <c r="AO86" i="19"/>
  <c r="S86" i="19"/>
  <c r="AA86" i="19"/>
  <c r="Y86" i="19"/>
  <c r="AY86" i="19"/>
  <c r="BG86" i="19"/>
  <c r="Q86" i="19"/>
  <c r="I86" i="19"/>
  <c r="M86" i="19"/>
  <c r="BI86" i="18"/>
  <c r="BG86" i="18"/>
  <c r="BE86" i="18"/>
  <c r="BC86" i="18"/>
  <c r="BA86" i="18"/>
  <c r="AY86" i="18"/>
  <c r="AW86" i="18"/>
  <c r="AU86" i="18"/>
  <c r="AS86" i="18"/>
  <c r="AQ86" i="18"/>
  <c r="AO86" i="18"/>
  <c r="AM86" i="18"/>
  <c r="AK86" i="18"/>
  <c r="AI86" i="18"/>
  <c r="AG86" i="18"/>
  <c r="AE86" i="18"/>
  <c r="AC86" i="18"/>
  <c r="AA86" i="18"/>
  <c r="Y86" i="18"/>
  <c r="W86" i="18"/>
  <c r="U86" i="18"/>
  <c r="S86" i="18"/>
  <c r="Q86" i="18"/>
  <c r="O86" i="18"/>
  <c r="M86" i="18"/>
  <c r="K86" i="18"/>
  <c r="I86" i="18"/>
  <c r="G86" i="18"/>
  <c r="E86" i="18"/>
  <c r="M16" i="13" l="1"/>
  <c r="AW16" i="13"/>
  <c r="AA16" i="13"/>
  <c r="AS16" i="13"/>
  <c r="BD25" i="13"/>
  <c r="X25" i="13"/>
  <c r="AX25" i="13"/>
  <c r="R25" i="13"/>
  <c r="AR25" i="13"/>
  <c r="L25" i="13"/>
  <c r="BF25" i="13"/>
  <c r="AV25" i="13"/>
  <c r="N25" i="13"/>
  <c r="AT25" i="13"/>
  <c r="AJ25" i="13"/>
  <c r="BH25" i="13"/>
  <c r="V25" i="13"/>
  <c r="P25" i="13"/>
  <c r="J25" i="13"/>
  <c r="AH25" i="13"/>
  <c r="AB25" i="13"/>
  <c r="BJ25" i="13"/>
  <c r="AZ25" i="13"/>
  <c r="AN25" i="13"/>
  <c r="H25" i="13"/>
  <c r="AD25" i="13"/>
  <c r="D25" i="13"/>
  <c r="T25" i="13"/>
  <c r="AL25" i="13"/>
  <c r="BB25" i="13"/>
  <c r="AP25" i="13"/>
  <c r="F25" i="13"/>
  <c r="AF25" i="13"/>
  <c r="Z25" i="13"/>
  <c r="AR18" i="13"/>
  <c r="L18" i="13"/>
  <c r="AL18" i="13"/>
  <c r="F18" i="13"/>
  <c r="AF18" i="13"/>
  <c r="BD18" i="13"/>
  <c r="V18" i="13"/>
  <c r="BB18" i="13"/>
  <c r="T18" i="13"/>
  <c r="AD18" i="13"/>
  <c r="BF18" i="13"/>
  <c r="X18" i="13"/>
  <c r="AP18" i="13"/>
  <c r="N18" i="13"/>
  <c r="AJ18" i="13"/>
  <c r="BH18" i="13"/>
  <c r="BJ18" i="13"/>
  <c r="AZ18" i="13"/>
  <c r="R18" i="13"/>
  <c r="J18" i="13"/>
  <c r="D18" i="13"/>
  <c r="P18" i="13"/>
  <c r="AH18" i="13"/>
  <c r="AX18" i="13"/>
  <c r="AN18" i="13"/>
  <c r="AV18" i="13"/>
  <c r="Z18" i="13"/>
  <c r="H18" i="13"/>
  <c r="AT18" i="13"/>
  <c r="AB18" i="13"/>
  <c r="O16" i="13"/>
  <c r="AE16" i="13"/>
  <c r="BE16" i="13"/>
  <c r="BG16" i="13"/>
  <c r="I16" i="13"/>
  <c r="W16" i="13"/>
  <c r="U16" i="13"/>
  <c r="G16" i="13"/>
  <c r="AO16" i="13"/>
  <c r="BC16" i="13"/>
  <c r="AJ24" i="13"/>
  <c r="BJ24" i="13"/>
  <c r="AD24" i="13"/>
  <c r="BD24" i="13"/>
  <c r="X24" i="13"/>
  <c r="BH24" i="13"/>
  <c r="Z24" i="13"/>
  <c r="P24" i="13"/>
  <c r="BF24" i="13"/>
  <c r="AV24" i="13"/>
  <c r="N24" i="13"/>
  <c r="AR24" i="13"/>
  <c r="AL24" i="13"/>
  <c r="H24" i="13"/>
  <c r="V24" i="13"/>
  <c r="AX24" i="13"/>
  <c r="J24" i="13"/>
  <c r="AP24" i="13"/>
  <c r="BB24" i="13"/>
  <c r="AF24" i="13"/>
  <c r="AN24" i="13"/>
  <c r="L24" i="13"/>
  <c r="AT24" i="13"/>
  <c r="T24" i="13"/>
  <c r="AB24" i="13"/>
  <c r="R24" i="13"/>
  <c r="AH24" i="13"/>
  <c r="D24" i="13"/>
  <c r="F24" i="13"/>
  <c r="AZ24" i="13"/>
  <c r="AF19" i="13"/>
  <c r="BF19" i="13"/>
  <c r="Z19" i="13"/>
  <c r="AZ19" i="13"/>
  <c r="T19" i="13"/>
  <c r="BB19" i="13"/>
  <c r="AR19" i="13"/>
  <c r="J19" i="13"/>
  <c r="AP19" i="13"/>
  <c r="N19" i="13"/>
  <c r="AJ19" i="13"/>
  <c r="AV19" i="13"/>
  <c r="D19" i="13"/>
  <c r="BH19" i="13"/>
  <c r="P19" i="13"/>
  <c r="AH19" i="13"/>
  <c r="AX19" i="13"/>
  <c r="AN19" i="13"/>
  <c r="H19" i="13"/>
  <c r="BD19" i="13"/>
  <c r="X19" i="13"/>
  <c r="V19" i="13"/>
  <c r="AD19" i="13"/>
  <c r="AL19" i="13"/>
  <c r="L19" i="13"/>
  <c r="R19" i="13"/>
  <c r="F19" i="13"/>
  <c r="BJ19" i="13"/>
  <c r="AB19" i="13"/>
  <c r="AT19" i="13"/>
  <c r="C16" i="13"/>
  <c r="AY16" i="13"/>
  <c r="AV23" i="13"/>
  <c r="P23" i="13"/>
  <c r="D23" i="13"/>
  <c r="AP23" i="13"/>
  <c r="J23" i="13"/>
  <c r="AJ23" i="13"/>
  <c r="F23" i="13"/>
  <c r="AL23" i="13"/>
  <c r="AB23" i="13"/>
  <c r="BH23" i="13"/>
  <c r="Z23" i="13"/>
  <c r="AF23" i="13"/>
  <c r="BB23" i="13"/>
  <c r="AR23" i="13"/>
  <c r="H23" i="13"/>
  <c r="BD23" i="13"/>
  <c r="BJ23" i="13"/>
  <c r="AX23" i="13"/>
  <c r="N23" i="13"/>
  <c r="V23" i="13"/>
  <c r="BF23" i="13"/>
  <c r="AN23" i="13"/>
  <c r="AD23" i="13"/>
  <c r="L23" i="13"/>
  <c r="AT23" i="13"/>
  <c r="T23" i="13"/>
  <c r="AH23" i="13"/>
  <c r="X23" i="13"/>
  <c r="R23" i="13"/>
  <c r="AZ23" i="13"/>
  <c r="AU16" i="13"/>
  <c r="AC16" i="13"/>
  <c r="Y16" i="13"/>
  <c r="AM16" i="13"/>
  <c r="S16" i="13"/>
  <c r="BI16" i="13"/>
  <c r="AK16" i="13"/>
  <c r="Q16" i="13"/>
  <c r="BA16" i="13"/>
  <c r="AI16" i="13"/>
  <c r="AG16" i="13"/>
  <c r="E16" i="13"/>
  <c r="AQ16" i="13"/>
  <c r="AZ20" i="13"/>
  <c r="T20" i="13"/>
  <c r="AT20" i="13"/>
  <c r="N20" i="13"/>
  <c r="AN20" i="13"/>
  <c r="H20" i="13"/>
  <c r="AP20" i="13"/>
  <c r="AF20" i="13"/>
  <c r="AD20" i="13"/>
  <c r="BJ20" i="13"/>
  <c r="BF20" i="13"/>
  <c r="D20" i="13"/>
  <c r="AV20" i="13"/>
  <c r="BH20" i="13"/>
  <c r="Z20" i="13"/>
  <c r="BB20" i="13"/>
  <c r="AH20" i="13"/>
  <c r="AX20" i="13"/>
  <c r="BD20" i="13"/>
  <c r="X20" i="13"/>
  <c r="V20" i="13"/>
  <c r="AL20" i="13"/>
  <c r="AB20" i="13"/>
  <c r="R20" i="13"/>
  <c r="F20" i="13"/>
  <c r="AR20" i="13"/>
  <c r="AJ20" i="13"/>
  <c r="L20" i="13"/>
  <c r="J20" i="13"/>
  <c r="P20" i="13"/>
  <c r="K16" i="13"/>
  <c r="AO86" i="11"/>
  <c r="I86" i="11"/>
  <c r="AM86" i="11"/>
  <c r="BE86" i="11"/>
  <c r="AC86" i="11"/>
  <c r="AE86" i="11"/>
  <c r="AU86" i="11"/>
  <c r="BG86" i="11"/>
  <c r="W86" i="11"/>
  <c r="AG86" i="11"/>
  <c r="AW86" i="11"/>
  <c r="Y86" i="11"/>
  <c r="K86" i="11"/>
  <c r="O86" i="11"/>
  <c r="U86" i="11"/>
  <c r="Q86" i="11"/>
  <c r="AA86" i="11"/>
  <c r="AQ86" i="11"/>
  <c r="S86" i="11"/>
  <c r="BA86" i="11"/>
  <c r="AI86" i="11"/>
  <c r="M86" i="11"/>
  <c r="BC86" i="11"/>
  <c r="E86" i="11"/>
  <c r="AS86" i="11"/>
  <c r="AY86" i="11"/>
  <c r="BI86" i="11"/>
  <c r="AK86" i="11"/>
  <c r="G86" i="11"/>
  <c r="I3" i="16"/>
  <c r="K26" i="16"/>
  <c r="G3" i="16"/>
  <c r="AO26" i="16"/>
  <c r="S86" i="13" l="1"/>
  <c r="BG86" i="13"/>
  <c r="BE86" i="13"/>
  <c r="Q86" i="13"/>
  <c r="BI86" i="13"/>
  <c r="AO86" i="13"/>
  <c r="AQ86" i="13"/>
  <c r="AU86" i="13"/>
  <c r="AA86" i="13"/>
  <c r="BC86" i="13"/>
  <c r="AE86" i="13"/>
  <c r="AW86" i="13"/>
  <c r="E86" i="13"/>
  <c r="BA86" i="13"/>
  <c r="I86" i="13"/>
  <c r="AI86" i="13"/>
  <c r="Y86" i="13"/>
  <c r="U86" i="13"/>
  <c r="K86" i="13"/>
  <c r="G86" i="13"/>
  <c r="AG86" i="13"/>
  <c r="AK86" i="13"/>
  <c r="AC86" i="13"/>
  <c r="W86" i="13"/>
  <c r="AS86" i="13"/>
  <c r="M86" i="13"/>
  <c r="O86" i="13"/>
  <c r="AM86" i="13"/>
  <c r="AY86" i="13"/>
  <c r="BA3" i="16"/>
  <c r="O3" i="16"/>
  <c r="Y3" i="16"/>
  <c r="Q3" i="16"/>
  <c r="E3" i="16"/>
  <c r="AU3" i="1"/>
  <c r="AS3" i="16"/>
  <c r="M3" i="16"/>
  <c r="AO3" i="19"/>
  <c r="AE3" i="19"/>
  <c r="U3" i="16"/>
  <c r="Y3" i="18"/>
  <c r="AW3" i="16"/>
  <c r="U26" i="1"/>
  <c r="AA3" i="16"/>
  <c r="K26" i="1"/>
  <c r="I26" i="1"/>
  <c r="AM26" i="1"/>
  <c r="G26" i="1"/>
  <c r="BA3" i="1"/>
  <c r="E3" i="1"/>
  <c r="AK3" i="1"/>
  <c r="Y3" i="1"/>
  <c r="M26" i="1"/>
  <c r="BI3" i="1"/>
  <c r="BA26" i="1"/>
  <c r="BI26" i="1"/>
  <c r="AQ3" i="16"/>
  <c r="W3" i="19"/>
  <c r="I26" i="16"/>
  <c r="BG3" i="19"/>
  <c r="G3" i="19"/>
  <c r="AM3" i="1"/>
  <c r="BE3" i="19"/>
  <c r="E3" i="19"/>
  <c r="AU3" i="16"/>
  <c r="BA3" i="18"/>
  <c r="Y3" i="19"/>
  <c r="G3" i="1"/>
  <c r="BC3" i="16"/>
  <c r="AW26" i="16"/>
  <c r="AG3" i="19"/>
  <c r="AS3" i="1"/>
  <c r="AO26" i="1"/>
  <c r="W3" i="16"/>
  <c r="AK26" i="1"/>
  <c r="U3" i="18"/>
  <c r="AC3" i="19"/>
  <c r="BA26" i="16"/>
  <c r="BE3" i="16"/>
  <c r="AI3" i="19"/>
  <c r="C86" i="19"/>
  <c r="AA3" i="1"/>
  <c r="AW3" i="19"/>
  <c r="BE26" i="1"/>
  <c r="AM3" i="19"/>
  <c r="AA3" i="19"/>
  <c r="Q3" i="1"/>
  <c r="BA3" i="19"/>
  <c r="AQ3" i="1"/>
  <c r="U3" i="19"/>
  <c r="BC3" i="19"/>
  <c r="K3" i="1"/>
  <c r="C3" i="16"/>
  <c r="AG26" i="16"/>
  <c r="S3" i="18"/>
  <c r="AK3" i="19"/>
  <c r="AO3" i="1"/>
  <c r="AM26" i="16"/>
  <c r="AY3" i="18"/>
  <c r="I3" i="19"/>
  <c r="BI3" i="19"/>
  <c r="BG3" i="16"/>
  <c r="K3" i="18"/>
  <c r="AQ3" i="19"/>
  <c r="K3" i="19"/>
  <c r="AY3" i="19"/>
  <c r="S3" i="19"/>
  <c r="AU3" i="19"/>
  <c r="C3" i="19"/>
  <c r="O3" i="19"/>
  <c r="AS3" i="19"/>
  <c r="M3" i="19"/>
  <c r="Q3" i="19"/>
  <c r="O26" i="16"/>
  <c r="AS26" i="16"/>
  <c r="BE3" i="18"/>
  <c r="M26" i="16"/>
  <c r="AI26" i="1"/>
  <c r="U26" i="16"/>
  <c r="AQ26" i="16"/>
  <c r="BG26" i="16"/>
  <c r="AI3" i="18"/>
  <c r="BG3" i="18"/>
  <c r="BG3" i="1"/>
  <c r="AY3" i="1"/>
  <c r="AG26" i="1"/>
  <c r="AA26" i="16"/>
  <c r="AC3" i="18"/>
  <c r="O3" i="18"/>
  <c r="S3" i="1"/>
  <c r="AE26" i="1"/>
  <c r="O26" i="1"/>
  <c r="AY26" i="16"/>
  <c r="AW3" i="18"/>
  <c r="W3" i="1"/>
  <c r="AW3" i="1"/>
  <c r="AU26" i="1"/>
  <c r="S26" i="16"/>
  <c r="M3" i="18"/>
  <c r="AS3" i="18"/>
  <c r="W3" i="18"/>
  <c r="AO3" i="18"/>
  <c r="I3" i="18"/>
  <c r="AQ3" i="18"/>
  <c r="BC3" i="1"/>
  <c r="AI3" i="16"/>
  <c r="AE3" i="18"/>
  <c r="AG3" i="18"/>
  <c r="AE3" i="16"/>
  <c r="Q3" i="18"/>
  <c r="I3" i="1"/>
  <c r="AK3" i="16"/>
  <c r="AO3" i="16"/>
  <c r="AA3" i="18"/>
  <c r="AM3" i="16"/>
  <c r="W26" i="16"/>
  <c r="AK3" i="18"/>
  <c r="C3" i="18"/>
  <c r="C86" i="18"/>
  <c r="E3" i="18"/>
  <c r="AM3" i="18"/>
  <c r="BC3" i="18"/>
  <c r="BI3" i="18"/>
  <c r="AU3" i="18"/>
  <c r="G3" i="18"/>
  <c r="G26" i="16"/>
  <c r="K3" i="16"/>
  <c r="E26" i="16"/>
  <c r="AI26" i="16"/>
  <c r="C26" i="16"/>
  <c r="AG3" i="16"/>
  <c r="Y26" i="16"/>
  <c r="BE26" i="16"/>
  <c r="BC26" i="16"/>
  <c r="BI3" i="16"/>
  <c r="Q26" i="16"/>
  <c r="AC3" i="16"/>
  <c r="AY3" i="16"/>
  <c r="AU26" i="16"/>
  <c r="BI26" i="16"/>
  <c r="AE26" i="16"/>
  <c r="S3" i="16"/>
  <c r="AK26" i="16"/>
  <c r="AC26" i="16"/>
  <c r="O3" i="1"/>
  <c r="AY26" i="1"/>
  <c r="AA26" i="1"/>
  <c r="AG3" i="1"/>
  <c r="AE3" i="1"/>
  <c r="AS26" i="1"/>
  <c r="BC26" i="1"/>
  <c r="BG26" i="1"/>
  <c r="U3" i="1"/>
  <c r="AC26" i="1"/>
  <c r="S26" i="1"/>
  <c r="AI3" i="1"/>
  <c r="Y26" i="1"/>
  <c r="W26" i="1"/>
  <c r="AC3" i="1"/>
  <c r="E26" i="1"/>
  <c r="Q26" i="1"/>
  <c r="AW26" i="1"/>
  <c r="AQ26" i="1"/>
  <c r="M3" i="1"/>
  <c r="BE3" i="1"/>
  <c r="C3" i="1"/>
  <c r="C26" i="1"/>
  <c r="M3" i="11"/>
  <c r="BC3" i="11"/>
  <c r="K3" i="11"/>
  <c r="BI3" i="11"/>
  <c r="AW3" i="11"/>
  <c r="Y3" i="11"/>
  <c r="AA3" i="11"/>
  <c r="AO3" i="11"/>
  <c r="AI3" i="11"/>
  <c r="AG3" i="11"/>
  <c r="BE3" i="11"/>
  <c r="AC3" i="11"/>
  <c r="G3" i="11"/>
  <c r="Q3" i="11"/>
  <c r="AK3" i="11"/>
  <c r="S3" i="11"/>
  <c r="AQ3" i="11"/>
  <c r="BA3" i="11"/>
  <c r="W3" i="11"/>
  <c r="AY3" i="11"/>
  <c r="C86" i="11"/>
  <c r="C3" i="11"/>
  <c r="BG3" i="11"/>
  <c r="AM3" i="11"/>
  <c r="AS3" i="11"/>
  <c r="I3" i="11"/>
  <c r="AE3" i="11"/>
  <c r="O3" i="11"/>
  <c r="AU3" i="11"/>
  <c r="S3" i="13"/>
  <c r="E3" i="11"/>
  <c r="U3" i="11"/>
  <c r="BI3" i="13" l="1"/>
  <c r="M3" i="13"/>
  <c r="BE3" i="13"/>
  <c r="AI3" i="13"/>
  <c r="Y3" i="13"/>
  <c r="I3" i="13"/>
  <c r="BA3" i="13"/>
  <c r="AU3" i="13"/>
  <c r="AS3" i="13"/>
  <c r="U3" i="13"/>
  <c r="AE3" i="13"/>
  <c r="AA3" i="13"/>
  <c r="AO3" i="13"/>
  <c r="AW3" i="13"/>
  <c r="AK3" i="13"/>
  <c r="C3" i="13"/>
  <c r="C86" i="13"/>
  <c r="AY3" i="13"/>
  <c r="AG3" i="13"/>
  <c r="G3" i="13"/>
  <c r="AQ3" i="13"/>
  <c r="AM3" i="13"/>
  <c r="E3" i="13"/>
  <c r="BG3" i="13"/>
  <c r="W3" i="13"/>
  <c r="BC3" i="13" l="1"/>
  <c r="AC3" i="13"/>
  <c r="K3" i="13"/>
  <c r="Q3" i="13"/>
  <c r="O3" i="13"/>
  <c r="E2" i="12" l="1"/>
  <c r="E2" i="17"/>
  <c r="E2" i="13"/>
  <c r="E2" i="1"/>
  <c r="E2" i="19"/>
  <c r="E2" i="18"/>
  <c r="E2" i="16"/>
  <c r="E2" i="11"/>
  <c r="AS2" i="19"/>
  <c r="AS2" i="16"/>
  <c r="AS2" i="12"/>
  <c r="AS2" i="11"/>
  <c r="AS2" i="1"/>
  <c r="AS2" i="13"/>
  <c r="AS2" i="18"/>
  <c r="AS2" i="17"/>
  <c r="AG2" i="11"/>
  <c r="AG2" i="16"/>
  <c r="AG2" i="17"/>
  <c r="AG2" i="19"/>
  <c r="AG2" i="13"/>
  <c r="AG2" i="12"/>
  <c r="AG2" i="1"/>
  <c r="AG2" i="18"/>
  <c r="AK2" i="19"/>
  <c r="AK2" i="12"/>
  <c r="AK2" i="18"/>
  <c r="AK2" i="11"/>
  <c r="AK2" i="17"/>
  <c r="AK2" i="13"/>
  <c r="AK2" i="1"/>
  <c r="AK2" i="16"/>
  <c r="BA2" i="11"/>
  <c r="BA2" i="16"/>
  <c r="BA2" i="17"/>
  <c r="BA2" i="19"/>
  <c r="BA2" i="18"/>
  <c r="BA2" i="12"/>
  <c r="BA2" i="13"/>
  <c r="BA2" i="1"/>
  <c r="AU2" i="16"/>
  <c r="AU2" i="1"/>
  <c r="AU2" i="12"/>
  <c r="AU2" i="11"/>
  <c r="AU2" i="18"/>
  <c r="AU2" i="13"/>
  <c r="AU2" i="17"/>
  <c r="AU2" i="19"/>
  <c r="W2" i="17"/>
  <c r="W2" i="13"/>
  <c r="W2" i="11"/>
  <c r="W2" i="1"/>
  <c r="W2" i="16"/>
  <c r="W2" i="19"/>
  <c r="W2" i="18"/>
  <c r="W2" i="12"/>
  <c r="AY2" i="17"/>
  <c r="AY2" i="18"/>
  <c r="AY2" i="1"/>
  <c r="AY2" i="19"/>
  <c r="AY2" i="11"/>
  <c r="AY2" i="12"/>
  <c r="AY2" i="13"/>
  <c r="AY2" i="16"/>
  <c r="AA2" i="13"/>
  <c r="AA2" i="18"/>
  <c r="AA2" i="17"/>
  <c r="AA2" i="16"/>
  <c r="AA2" i="1"/>
  <c r="AA2" i="12"/>
  <c r="AA2" i="19"/>
  <c r="AA2" i="11"/>
  <c r="I2" i="11"/>
  <c r="I2" i="17"/>
  <c r="I2" i="19"/>
  <c r="I2" i="1"/>
  <c r="I2" i="13"/>
  <c r="I2" i="18"/>
  <c r="I2" i="12"/>
  <c r="I2" i="16"/>
  <c r="G2" i="19"/>
  <c r="G2" i="17"/>
  <c r="G2" i="12"/>
  <c r="G2" i="11"/>
  <c r="G2" i="18"/>
  <c r="G2" i="13"/>
  <c r="G2" i="16"/>
  <c r="G2" i="1"/>
  <c r="Q2" i="13"/>
  <c r="Q2" i="12"/>
  <c r="Q2" i="11"/>
  <c r="Q2" i="17"/>
  <c r="Q2" i="18"/>
  <c r="Q2" i="16"/>
  <c r="Q2" i="19"/>
  <c r="Q2" i="1"/>
  <c r="BE2" i="1"/>
  <c r="BE2" i="13"/>
  <c r="BE2" i="17"/>
  <c r="BE2" i="16"/>
  <c r="BE2" i="19"/>
  <c r="BE2" i="12"/>
  <c r="BE2" i="18"/>
  <c r="BE2" i="11"/>
  <c r="AE2" i="1"/>
  <c r="AE2" i="19"/>
  <c r="AE2" i="18"/>
  <c r="AE2" i="16"/>
  <c r="AE2" i="13"/>
  <c r="AE2" i="12"/>
  <c r="AE2" i="17"/>
  <c r="AE2" i="11"/>
  <c r="S2" i="1"/>
  <c r="S2" i="11"/>
  <c r="S2" i="19"/>
  <c r="S2" i="18"/>
  <c r="S2" i="16"/>
  <c r="S2" i="17"/>
  <c r="S2" i="13"/>
  <c r="S2" i="12"/>
  <c r="U2" i="13"/>
  <c r="U2" i="11"/>
  <c r="U2" i="19"/>
  <c r="U2" i="12"/>
  <c r="U2" i="18"/>
  <c r="U2" i="1"/>
  <c r="U2" i="16"/>
  <c r="U2" i="17"/>
  <c r="AM2" i="12"/>
  <c r="AM2" i="13"/>
  <c r="AM2" i="18"/>
  <c r="AM2" i="16"/>
  <c r="AM2" i="17"/>
  <c r="AM2" i="1"/>
  <c r="AM2" i="11"/>
  <c r="AM2" i="19"/>
  <c r="AC2" i="12"/>
  <c r="AC2" i="19"/>
  <c r="AC2" i="11"/>
  <c r="AC2" i="18"/>
  <c r="AC2" i="17"/>
  <c r="AC2" i="13"/>
  <c r="AC2" i="1"/>
  <c r="AC2" i="16"/>
  <c r="C2" i="19"/>
  <c r="C2" i="1"/>
  <c r="C2" i="11"/>
  <c r="C2" i="16"/>
  <c r="C2" i="13"/>
  <c r="C2" i="12"/>
  <c r="C2" i="18"/>
  <c r="C2" i="17"/>
  <c r="AQ2" i="16"/>
  <c r="AQ2" i="1"/>
  <c r="AQ2" i="13"/>
  <c r="AQ2" i="12"/>
  <c r="AQ2" i="11"/>
  <c r="AQ2" i="18"/>
  <c r="AQ2" i="19"/>
  <c r="AQ2" i="17"/>
  <c r="Y2" i="11"/>
  <c r="Y2" i="1"/>
  <c r="Y2" i="17"/>
  <c r="Y2" i="13"/>
  <c r="Y2" i="18"/>
  <c r="Y2" i="12"/>
  <c r="Y2" i="16"/>
  <c r="Y2" i="19"/>
  <c r="BC2" i="12"/>
  <c r="BC2" i="16"/>
  <c r="BC2" i="18"/>
  <c r="BC2" i="13"/>
  <c r="BC2" i="17"/>
  <c r="BC2" i="1"/>
  <c r="BC2" i="11"/>
  <c r="BC2" i="19"/>
  <c r="AO2" i="1"/>
  <c r="AO2" i="13"/>
  <c r="AO2" i="16"/>
  <c r="AO2" i="19"/>
  <c r="AO2" i="11"/>
  <c r="AO2" i="12"/>
  <c r="AO2" i="18"/>
  <c r="AO2" i="17"/>
  <c r="K2" i="1"/>
  <c r="K2" i="16"/>
  <c r="K2" i="17"/>
  <c r="K2" i="12"/>
  <c r="K2" i="19"/>
  <c r="K2" i="13"/>
  <c r="K2" i="11"/>
  <c r="K2" i="18"/>
  <c r="M2" i="19"/>
  <c r="M2" i="11"/>
  <c r="M2" i="13"/>
  <c r="M2" i="1"/>
  <c r="M2" i="16"/>
  <c r="M2" i="18"/>
  <c r="M2" i="17"/>
  <c r="M2" i="12"/>
  <c r="AI2" i="18"/>
  <c r="AI2" i="16"/>
  <c r="AI2" i="12"/>
  <c r="AI2" i="11"/>
  <c r="AI2" i="19"/>
  <c r="AI2" i="13"/>
  <c r="AI2" i="1"/>
  <c r="AI2" i="17"/>
  <c r="BI2" i="1"/>
  <c r="BI2" i="19"/>
  <c r="BI2" i="13"/>
  <c r="BI2" i="12"/>
  <c r="BI2" i="17"/>
  <c r="BI2" i="18"/>
  <c r="BI2" i="11"/>
  <c r="BI2" i="16"/>
  <c r="BG2" i="18"/>
  <c r="BG2" i="11"/>
  <c r="BG2" i="19"/>
  <c r="BG2" i="16"/>
  <c r="BG2" i="17"/>
  <c r="BG2" i="12"/>
  <c r="BG2" i="1"/>
  <c r="BG2" i="13"/>
  <c r="O2" i="12"/>
  <c r="O2" i="17"/>
  <c r="O2" i="13"/>
  <c r="O2" i="11"/>
  <c r="O2" i="19"/>
  <c r="O2" i="18"/>
  <c r="O2" i="1"/>
  <c r="O2" i="16"/>
  <c r="AW2" i="1"/>
  <c r="AW2" i="13"/>
  <c r="AW2" i="18"/>
  <c r="AW2" i="17"/>
  <c r="AW2" i="16"/>
  <c r="AW2" i="12"/>
  <c r="AW2" i="11"/>
  <c r="AW2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<sst xmlns="http://schemas.openxmlformats.org/spreadsheetml/2006/main" count="742" uniqueCount="177">
  <si>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</si>
  <si>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</si>
  <si>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</si>
  <si>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</si>
  <si>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</si>
  <si>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</si>
  <si>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</si>
  <si>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</si>
  <si>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</si>
  <si>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</si>
  <si>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</si>
  <si>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</si>
  <si>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</si>
  <si>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</si>
  <si>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</si>
  <si>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</si>
  <si>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</si>
  <si>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</si>
  <si>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</si>
  <si>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</si>
  <si>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</si>
  <si>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</si>
  <si>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</si>
  <si>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</si>
  <si>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</si>
  <si>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</si>
  <si>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</si>
  <si>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</si>
  <si>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</si>
  <si>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</si>
  <si>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</si>
  <si>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</si>
  <si>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</si>
  <si>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</si>
  <si>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</si>
  <si>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</si>
  <si>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</si>
  <si>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</si>
  <si>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</si>
  <si>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</si>
  <si>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</si>
  <si>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</si>
  <si>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</si>
  <si>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</si>
  <si>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</si>
  <si>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</si>
  <si>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</si>
  <si>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</si>
  <si>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</si>
  <si>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</si>
  <si>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</si>
  <si>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</si>
  <si>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</si>
  <si>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</si>
  <si>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</si>
  <si>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</si>
  <si>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</si>
  <si>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</si>
  <si>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</si>
  <si>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</si>
  <si>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</si>
  <si>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</si>
  <si>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</si>
  <si>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</si>
  <si>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</si>
  <si>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</si>
  <si>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</si>
  <si>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</si>
  <si>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</si>
  <si>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</si>
  <si>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</si>
  <si>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</si>
  <si>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</si>
  <si>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</si>
  <si>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</si>
  <si>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</si>
  <si>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</si>
  <si>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</si>
  <si>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</si>
  <si>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</si>
  <si>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</si>
  <si>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</si>
  <si>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</si>
  <si>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</si>
  <si>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</si>
  <si>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1ª</t>
  </si>
  <si>
    <t>2ª</t>
  </si>
  <si>
    <t>ORD</t>
  </si>
  <si>
    <t>EXTRA</t>
  </si>
  <si>
    <t>Evaluaciones</t>
  </si>
  <si>
    <t>Desde</t>
  </si>
  <si>
    <t>Hasta</t>
  </si>
  <si>
    <t>3.9</t>
  </si>
  <si>
    <t>3.10</t>
  </si>
  <si>
    <t>4.20</t>
  </si>
  <si>
    <t>3ª</t>
  </si>
  <si>
    <t>5.1</t>
  </si>
  <si>
    <t>1ª Ev</t>
  </si>
  <si>
    <t>2ª Ev</t>
  </si>
  <si>
    <t>Ordinaria</t>
  </si>
  <si>
    <t>Rec 1ª</t>
  </si>
  <si>
    <t>Rec 2ª</t>
  </si>
  <si>
    <t>Rec 3ª</t>
  </si>
  <si>
    <t xml:space="preserve">      </t>
  </si>
  <si>
    <t>Todos</t>
  </si>
  <si>
    <t>Primera</t>
  </si>
  <si>
    <t>Recu1</t>
  </si>
  <si>
    <t>Segunda</t>
  </si>
  <si>
    <t>Recu2</t>
  </si>
  <si>
    <t>Tercera</t>
  </si>
  <si>
    <t>Recu3</t>
  </si>
  <si>
    <t>Profesor</t>
  </si>
  <si>
    <t>Raquel Navarro Sánchez</t>
  </si>
  <si>
    <t>Extraordinaria</t>
  </si>
  <si>
    <t>Email</t>
  </si>
  <si>
    <t>rmontanana@gmail.com</t>
  </si>
  <si>
    <t>PDF</t>
  </si>
  <si>
    <t>Servidor</t>
  </si>
  <si>
    <t>smtp.mailtrap.io</t>
  </si>
  <si>
    <t>Usuario</t>
  </si>
  <si>
    <t>40622e5eafedff6b9</t>
  </si>
  <si>
    <t>Passwd</t>
  </si>
  <si>
    <t>fe9ea0c296fb95</t>
  </si>
  <si>
    <t/>
  </si>
  <si>
    <t>González García, Juan</t>
  </si>
  <si>
    <t>Física 2º Bach.</t>
  </si>
  <si>
    <r>
      <t>1.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</si>
  <si>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</si>
  <si>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</si>
  <si>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</si>
  <si>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</si>
  <si>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</si>
  <si>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</si>
  <si>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</si>
  <si>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</si>
  <si>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Interpretar el caos determinista en el contexto de la interacción</t>
    </r>
    <r>
      <rPr>
        <strike/>
        <sz val="14"/>
        <color theme="1"/>
        <rFont val="Arial"/>
        <family val="2"/>
      </rPr>
      <t xml:space="preserve"> </t>
    </r>
    <r>
      <rPr>
        <sz val="14"/>
        <color theme="1"/>
        <rFont val="Arial"/>
        <family val="2"/>
      </rPr>
      <t>gravitatoria.</t>
    </r>
  </si>
  <si>
    <r>
      <t>1.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</si>
  <si>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</si>
  <si>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</si>
  <si>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</si>
  <si>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</si>
  <si>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</si>
  <si>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</si>
  <si>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</si>
  <si>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</si>
  <si>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</si>
  <si>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</si>
  <si>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</si>
  <si>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</si>
  <si>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</si>
  <si>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</si>
  <si>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</si>
  <si>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</si>
  <si>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</si>
  <si>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</si>
  <si>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</si>
  <si>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</si>
  <si>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Asociar el movimiento ondulatorio con el movimiento armónico simple.</t>
    </r>
  </si>
  <si>
    <r>
      <t>2.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</si>
  <si>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</si>
  <si>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</si>
  <si>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</si>
  <si>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</si>
  <si>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</si>
  <si>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</si>
  <si>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4"/>
        <color theme="1"/>
        <rFont val="Times New Roman"/>
        <family val="1"/>
      </rPr>
      <t xml:space="preserve">    </t>
    </r>
    <r>
      <rPr>
        <sz val="14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</si>
  <si>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Explicar y reconocer el efecto Doppler para el sonido.</t>
    </r>
  </si>
  <si>
    <r>
      <t>11.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Conocer la escala de medición de la intensidad sonora y su unidad.</t>
    </r>
  </si>
  <si>
    <r>
      <t>12.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</si>
  <si>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</si>
  <si>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</si>
  <si>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</si>
  <si>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</si>
  <si>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</si>
  <si>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</si>
  <si>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</si>
  <si>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4"/>
        <color theme="1"/>
        <rFont val="Times New Roman"/>
        <family val="1"/>
      </rPr>
      <t xml:space="preserve">  </t>
    </r>
    <r>
      <rPr>
        <sz val="14"/>
        <color theme="1"/>
        <rFont val="Arial"/>
        <family val="2"/>
      </rPr>
      <t>Reconocer que la información se transmite mediante ondas, a través de diferentes soportes.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</si>
</sst>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72"/>
      <color theme="7" tint="0.59999389629810485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36"/>
      <color theme="7" tint="0.59999389629810485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48"/>
      <color theme="7" tint="0.59999389629810485"/>
      <name val="Calibri"/>
      <family val="2"/>
      <scheme val="minor"/>
    </font>
    <font>
      <b/>
      <sz val="22"/>
      <color theme="0"/>
      <name val="Arial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3"/>
      <color rgb="FF000000"/>
      <name val="Lucida Grande"/>
      <family val="2"/>
    </font>
    <font>
      <b/>
      <sz val="14"/>
      <color rgb="FF3366FF"/>
      <name val="Calibri"/>
      <family val="2"/>
    </font>
    <font>
      <b/>
      <sz val="14"/>
      <color rgb="FFC00000"/>
      <name val="Calibri"/>
      <family val="2"/>
    </font>
    <font>
      <sz val="12"/>
      <color theme="0" tint="-0.1499984740745262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2B5F17"/>
      <name val="Calibri"/>
      <family val="2"/>
      <scheme val="minor"/>
    </font>
    <font>
      <sz val="16"/>
      <color theme="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b/>
      <sz val="20"/>
      <color rgb="FF2D4E74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sz val="14"/>
      <color theme="1"/>
      <name val="Times New Roman"/>
      <family val="1"/>
    </font>
    <font>
      <strike/>
      <sz val="14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9" tint="-0.249977111117893"/>
        <bgColor rgb="FF000000"/>
      </patternFill>
    </fill>
    <fill>
      <patternFill patternType="solid">
        <fgColor rgb="FFCFEDD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BE1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theme="4" tint="-0.249977111117893"/>
      </left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0">
    <xf numFmtId="0" fontId="0" fillId="0" borderId="0" xfId="0"/>
    <xf numFmtId="0" fontId="2" fillId="0" borderId="0" xfId="0" applyFont="1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justify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justify" vertical="center" wrapText="1"/>
    </xf>
    <xf numFmtId="0" fontId="6" fillId="3" borderId="1" xfId="0" applyFont="1" applyFill="1" applyBorder="1" applyAlignment="1">
      <alignment horizontal="center" vertical="center" wrapText="1"/>
    </xf>
    <xf numFmtId="9" fontId="2" fillId="3" borderId="3" xfId="0" applyNumberFormat="1" applyFont="1" applyFill="1" applyBorder="1" applyAlignment="1">
      <alignment horizontal="center" vertical="center"/>
    </xf>
    <xf numFmtId="9" fontId="11" fillId="2" borderId="4" xfId="0" applyNumberFormat="1" applyFont="1" applyFill="1" applyBorder="1" applyAlignment="1">
      <alignment vertical="center"/>
    </xf>
    <xf numFmtId="16" fontId="19" fillId="8" borderId="4" xfId="0" applyNumberFormat="1" applyFont="1" applyFill="1" applyBorder="1" applyAlignment="1">
      <alignment vertical="center"/>
    </xf>
    <xf numFmtId="16" fontId="20" fillId="6" borderId="4" xfId="0" applyNumberFormat="1" applyFont="1" applyFill="1" applyBorder="1" applyAlignment="1">
      <alignment vertical="center"/>
    </xf>
    <xf numFmtId="16" fontId="11" fillId="2" borderId="4" xfId="0" applyNumberFormat="1" applyFont="1" applyFill="1" applyBorder="1" applyAlignment="1">
      <alignment vertical="center"/>
    </xf>
    <xf numFmtId="16" fontId="22" fillId="9" borderId="4" xfId="0" applyNumberFormat="1" applyFont="1" applyFill="1" applyBorder="1" applyAlignment="1">
      <alignment vertical="center"/>
    </xf>
    <xf numFmtId="0" fontId="7" fillId="0" borderId="3" xfId="0" applyNumberFormat="1" applyFont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center" vertical="center" wrapText="1"/>
      <protection locked="0"/>
    </xf>
    <xf numFmtId="9" fontId="17" fillId="10" borderId="7" xfId="0" applyNumberFormat="1" applyFont="1" applyFill="1" applyBorder="1" applyAlignment="1">
      <alignment horizontal="center" vertical="center"/>
    </xf>
    <xf numFmtId="9" fontId="17" fillId="10" borderId="11" xfId="0" applyNumberFormat="1" applyFont="1" applyFill="1" applyBorder="1" applyAlignment="1">
      <alignment horizontal="center" vertical="center" wrapText="1"/>
    </xf>
    <xf numFmtId="9" fontId="17" fillId="10" borderId="6" xfId="0" applyNumberFormat="1" applyFont="1" applyFill="1" applyBorder="1" applyAlignment="1">
      <alignment horizontal="center" vertical="center"/>
    </xf>
    <xf numFmtId="9" fontId="17" fillId="10" borderId="7" xfId="0" applyNumberFormat="1" applyFont="1" applyFill="1" applyBorder="1" applyAlignment="1">
      <alignment horizontal="center" vertical="center" wrapText="1"/>
    </xf>
    <xf numFmtId="0" fontId="0" fillId="10" borderId="0" xfId="0" applyFill="1"/>
    <xf numFmtId="0" fontId="24" fillId="11" borderId="1" xfId="0" applyFont="1" applyFill="1" applyBorder="1" applyAlignment="1">
      <alignment horizontal="center" vertical="center" wrapText="1"/>
    </xf>
    <xf numFmtId="0" fontId="24" fillId="11" borderId="6" xfId="0" applyFont="1" applyFill="1" applyBorder="1" applyAlignment="1">
      <alignment horizontal="center" vertical="center" wrapText="1"/>
    </xf>
    <xf numFmtId="0" fontId="25" fillId="2" borderId="0" xfId="0" applyFont="1" applyFill="1"/>
    <xf numFmtId="0" fontId="24" fillId="12" borderId="1" xfId="0" applyFont="1" applyFill="1" applyBorder="1" applyAlignment="1">
      <alignment horizontal="center" vertical="center" wrapText="1"/>
    </xf>
    <xf numFmtId="0" fontId="24" fillId="12" borderId="8" xfId="0" applyFont="1" applyFill="1" applyBorder="1" applyAlignment="1">
      <alignment horizontal="center" vertical="center" wrapText="1"/>
    </xf>
    <xf numFmtId="0" fontId="24" fillId="12" borderId="9" xfId="0" applyFont="1" applyFill="1" applyBorder="1" applyAlignment="1">
      <alignment horizontal="center" vertical="center" wrapText="1"/>
    </xf>
    <xf numFmtId="9" fontId="26" fillId="8" borderId="7" xfId="0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right"/>
    </xf>
    <xf numFmtId="0" fontId="28" fillId="2" borderId="4" xfId="0" applyFont="1" applyFill="1" applyBorder="1" applyAlignment="1">
      <alignment horizontal="center" vertical="center"/>
    </xf>
    <xf numFmtId="0" fontId="28" fillId="8" borderId="4" xfId="0" applyFont="1" applyFill="1" applyBorder="1" applyAlignment="1">
      <alignment horizontal="center" vertical="center"/>
    </xf>
    <xf numFmtId="0" fontId="0" fillId="0" borderId="0" xfId="0" applyFill="1" applyBorder="1"/>
    <xf numFmtId="2" fontId="10" fillId="5" borderId="13" xfId="0" applyNumberFormat="1" applyFont="1" applyFill="1" applyBorder="1" applyAlignment="1" applyProtection="1">
      <alignment vertical="center"/>
      <protection locked="0"/>
    </xf>
    <xf numFmtId="9" fontId="0" fillId="5" borderId="13" xfId="1" applyFont="1" applyFill="1" applyBorder="1" applyAlignment="1">
      <alignment vertical="center"/>
    </xf>
    <xf numFmtId="2" fontId="10" fillId="5" borderId="13" xfId="0" applyNumberFormat="1" applyFont="1" applyFill="1" applyBorder="1" applyAlignment="1" applyProtection="1">
      <alignment vertical="center"/>
    </xf>
    <xf numFmtId="0" fontId="28" fillId="6" borderId="4" xfId="0" applyFont="1" applyFill="1" applyBorder="1" applyAlignment="1">
      <alignment horizontal="center" vertical="center"/>
    </xf>
    <xf numFmtId="0" fontId="28" fillId="9" borderId="4" xfId="0" applyFont="1" applyFill="1" applyBorder="1" applyAlignment="1">
      <alignment horizontal="center" vertical="center"/>
    </xf>
    <xf numFmtId="0" fontId="28" fillId="7" borderId="4" xfId="0" applyFont="1" applyFill="1" applyBorder="1" applyAlignment="1">
      <alignment horizontal="center" vertical="center"/>
    </xf>
    <xf numFmtId="9" fontId="17" fillId="10" borderId="7" xfId="0" applyNumberFormat="1" applyFont="1" applyFill="1" applyBorder="1" applyAlignment="1" applyProtection="1">
      <alignment horizontal="center" vertical="center"/>
      <protection locked="0"/>
    </xf>
    <xf numFmtId="9" fontId="17" fillId="10" borderId="10" xfId="0" applyNumberFormat="1" applyFont="1" applyFill="1" applyBorder="1" applyAlignment="1" applyProtection="1">
      <alignment horizontal="center" vertical="center"/>
      <protection locked="0"/>
    </xf>
    <xf numFmtId="9" fontId="17" fillId="10" borderId="11" xfId="0" applyNumberFormat="1" applyFont="1" applyFill="1" applyBorder="1" applyAlignment="1" applyProtection="1">
      <alignment horizontal="center" vertical="center" wrapText="1"/>
      <protection locked="0"/>
    </xf>
    <xf numFmtId="9" fontId="17" fillId="10" borderId="6" xfId="0" applyNumberFormat="1" applyFont="1" applyFill="1" applyBorder="1" applyAlignment="1" applyProtection="1">
      <alignment horizontal="center" vertical="center"/>
      <protection locked="0"/>
    </xf>
    <xf numFmtId="9" fontId="17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0" xfId="0" applyFill="1"/>
    <xf numFmtId="0" fontId="30" fillId="0" borderId="0" xfId="0" applyFont="1"/>
    <xf numFmtId="0" fontId="29" fillId="0" borderId="0" xfId="0" applyFont="1"/>
    <xf numFmtId="0" fontId="34" fillId="3" borderId="0" xfId="0" applyFont="1" applyFill="1"/>
    <xf numFmtId="0" fontId="35" fillId="3" borderId="0" xfId="0" applyFont="1" applyFill="1"/>
    <xf numFmtId="0" fontId="30" fillId="0" borderId="0" xfId="0" applyFont="1" applyProtection="1">
      <protection locked="0"/>
    </xf>
    <xf numFmtId="2" fontId="30" fillId="0" borderId="0" xfId="0" applyNumberFormat="1" applyFont="1"/>
    <xf numFmtId="0" fontId="0" fillId="0" borderId="0" xfId="0" applyFont="1"/>
    <xf numFmtId="0" fontId="23" fillId="2" borderId="0" xfId="0" applyFont="1" applyFill="1" applyAlignment="1">
      <alignment horizontal="center" vertical="center"/>
    </xf>
    <xf numFmtId="2" fontId="9" fillId="0" borderId="13" xfId="0" applyNumberFormat="1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textRotation="90" wrapText="1"/>
    </xf>
    <xf numFmtId="2" fontId="10" fillId="5" borderId="13" xfId="0" applyNumberFormat="1" applyFont="1" applyFill="1" applyBorder="1" applyAlignment="1">
      <alignment horizontal="center" vertical="center"/>
    </xf>
    <xf numFmtId="2" fontId="9" fillId="5" borderId="13" xfId="0" applyNumberFormat="1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16" fontId="13" fillId="2" borderId="12" xfId="0" applyNumberFormat="1" applyFont="1" applyFill="1" applyBorder="1" applyAlignment="1">
      <alignment horizontal="center" vertical="center"/>
    </xf>
    <xf numFmtId="16" fontId="13" fillId="2" borderId="0" xfId="0" applyNumberFormat="1" applyFont="1" applyFill="1" applyBorder="1" applyAlignment="1">
      <alignment horizontal="center" vertical="center"/>
    </xf>
    <xf numFmtId="16" fontId="21" fillId="2" borderId="12" xfId="0" applyNumberFormat="1" applyFont="1" applyFill="1" applyBorder="1" applyAlignment="1">
      <alignment horizontal="center" vertical="center" textRotation="90"/>
    </xf>
    <xf numFmtId="16" fontId="21" fillId="2" borderId="0" xfId="0" applyNumberFormat="1" applyFont="1" applyFill="1" applyBorder="1" applyAlignment="1">
      <alignment horizontal="center" vertical="center" textRotation="90"/>
    </xf>
    <xf numFmtId="0" fontId="14" fillId="8" borderId="0" xfId="0" applyFont="1" applyFill="1" applyAlignment="1">
      <alignment horizontal="center" vertical="center"/>
    </xf>
    <xf numFmtId="0" fontId="16" fillId="8" borderId="13" xfId="0" applyFont="1" applyFill="1" applyBorder="1" applyAlignment="1">
      <alignment horizontal="center" textRotation="90" wrapText="1"/>
    </xf>
    <xf numFmtId="0" fontId="12" fillId="8" borderId="13" xfId="0" applyFont="1" applyFill="1" applyBorder="1" applyAlignment="1">
      <alignment horizontal="center" vertical="center"/>
    </xf>
    <xf numFmtId="16" fontId="15" fillId="8" borderId="12" xfId="0" applyNumberFormat="1" applyFont="1" applyFill="1" applyBorder="1" applyAlignment="1">
      <alignment horizontal="center" vertical="center"/>
    </xf>
    <xf numFmtId="16" fontId="15" fillId="8" borderId="0" xfId="0" applyNumberFormat="1" applyFont="1" applyFill="1" applyBorder="1" applyAlignment="1">
      <alignment horizontal="center" vertical="center"/>
    </xf>
    <xf numFmtId="16" fontId="18" fillId="8" borderId="12" xfId="0" applyNumberFormat="1" applyFont="1" applyFill="1" applyBorder="1" applyAlignment="1">
      <alignment horizontal="center" vertical="center" textRotation="90"/>
    </xf>
    <xf numFmtId="16" fontId="18" fillId="8" borderId="0" xfId="0" applyNumberFormat="1" applyFont="1" applyFill="1" applyBorder="1" applyAlignment="1">
      <alignment horizontal="center" vertical="center" textRotation="90"/>
    </xf>
    <xf numFmtId="0" fontId="14" fillId="6" borderId="0" xfId="0" applyFont="1" applyFill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textRotation="90" wrapText="1"/>
    </xf>
    <xf numFmtId="16" fontId="15" fillId="6" borderId="12" xfId="0" applyNumberFormat="1" applyFont="1" applyFill="1" applyBorder="1" applyAlignment="1">
      <alignment horizontal="center" vertical="center"/>
    </xf>
    <xf numFmtId="16" fontId="15" fillId="6" borderId="0" xfId="0" applyNumberFormat="1" applyFont="1" applyFill="1" applyBorder="1" applyAlignment="1">
      <alignment horizontal="center" vertical="center"/>
    </xf>
    <xf numFmtId="16" fontId="18" fillId="6" borderId="12" xfId="0" applyNumberFormat="1" applyFont="1" applyFill="1" applyBorder="1" applyAlignment="1">
      <alignment horizontal="center" vertical="center" textRotation="90"/>
    </xf>
    <xf numFmtId="16" fontId="18" fillId="6" borderId="0" xfId="0" applyNumberFormat="1" applyFont="1" applyFill="1" applyBorder="1" applyAlignment="1">
      <alignment horizontal="center" vertical="center" textRotation="90"/>
    </xf>
    <xf numFmtId="0" fontId="14" fillId="9" borderId="0" xfId="0" applyFont="1" applyFill="1" applyAlignment="1">
      <alignment horizontal="center" vertical="center"/>
    </xf>
    <xf numFmtId="0" fontId="16" fillId="9" borderId="13" xfId="0" applyFont="1" applyFill="1" applyBorder="1" applyAlignment="1">
      <alignment horizontal="center" textRotation="90" wrapText="1"/>
    </xf>
    <xf numFmtId="0" fontId="12" fillId="9" borderId="13" xfId="0" applyFont="1" applyFill="1" applyBorder="1" applyAlignment="1">
      <alignment horizontal="center" vertical="center"/>
    </xf>
    <xf numFmtId="16" fontId="14" fillId="9" borderId="12" xfId="0" applyNumberFormat="1" applyFont="1" applyFill="1" applyBorder="1" applyAlignment="1">
      <alignment horizontal="center" vertical="center" textRotation="90"/>
    </xf>
    <xf numFmtId="16" fontId="14" fillId="9" borderId="0" xfId="0" applyNumberFormat="1" applyFont="1" applyFill="1" applyBorder="1" applyAlignment="1">
      <alignment horizontal="center" vertical="center" textRotation="90"/>
    </xf>
    <xf numFmtId="0" fontId="14" fillId="7" borderId="0" xfId="0" applyFont="1" applyFill="1" applyAlignment="1">
      <alignment horizontal="center" vertical="center"/>
    </xf>
    <xf numFmtId="16" fontId="18" fillId="2" borderId="12" xfId="0" applyNumberFormat="1" applyFont="1" applyFill="1" applyBorder="1" applyAlignment="1">
      <alignment horizontal="center" vertical="center" textRotation="90"/>
    </xf>
    <xf numFmtId="16" fontId="18" fillId="2" borderId="0" xfId="0" applyNumberFormat="1" applyFont="1" applyFill="1" applyBorder="1" applyAlignment="1">
      <alignment horizontal="center" vertical="center" textRotation="90"/>
    </xf>
    <xf numFmtId="0" fontId="36" fillId="13" borderId="14" xfId="0" applyFont="1" applyFill="1" applyBorder="1" applyAlignment="1" applyProtection="1">
      <alignment horizontal="left" vertical="center"/>
      <protection locked="0"/>
    </xf>
    <xf numFmtId="0" fontId="37" fillId="3" borderId="14" xfId="0" applyFont="1" applyFill="1" applyBorder="1" applyAlignment="1" applyProtection="1">
      <alignment horizontal="left" vertical="center"/>
      <protection locked="0"/>
    </xf>
    <xf numFmtId="0" fontId="38" fillId="14" borderId="14" xfId="0" applyFont="1" applyFill="1" applyBorder="1" applyAlignment="1" applyProtection="1">
      <alignment horizontal="left" vertical="center"/>
    </xf>
    <xf numFmtId="0" fontId="37" fillId="3" borderId="14" xfId="0" applyFont="1" applyFill="1" applyBorder="1" applyAlignment="1" applyProtection="1">
      <alignment horizontal="left" vertical="center"/>
    </xf>
    <xf numFmtId="0" fontId="39" fillId="15" borderId="0" xfId="0" applyFont="1" applyFill="1" applyAlignment="1">
      <alignment horizontal="center" vertical="center" wrapText="1"/>
    </xf>
    <xf numFmtId="2" fontId="9" fillId="5" borderId="16" xfId="0" applyNumberFormat="1" applyFont="1" applyFill="1" applyBorder="1" applyAlignment="1">
      <alignment horizontal="center" vertical="center"/>
    </xf>
    <xf numFmtId="2" fontId="40" fillId="5" borderId="15" xfId="0" applyNumberFormat="1" applyFont="1" applyFill="1" applyBorder="1" applyAlignment="1">
      <alignment horizontal="center" vertical="center"/>
    </xf>
    <xf numFmtId="2" fontId="41" fillId="5" borderId="13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vertical="center" wrapText="1"/>
    </xf>
    <xf numFmtId="2" fontId="41" fillId="5" borderId="13" xfId="0" applyNumberFormat="1" applyFont="1" applyFill="1" applyBorder="1" applyAlignment="1" applyProtection="1">
      <alignment vertical="center"/>
      <protection locked="0"/>
    </xf>
    <xf numFmtId="9" fontId="2" fillId="5" borderId="13" xfId="1" applyFont="1" applyFill="1" applyBorder="1" applyAlignment="1">
      <alignment vertical="center"/>
    </xf>
    <xf numFmtId="2" fontId="41" fillId="5" borderId="13" xfId="0" applyNumberFormat="1" applyFont="1" applyFill="1" applyBorder="1" applyAlignment="1" applyProtection="1">
      <alignment vertical="center"/>
    </xf>
    <xf numFmtId="0" fontId="7" fillId="0" borderId="1" xfId="0" applyFont="1" applyBorder="1" applyAlignment="1">
      <alignment horizontal="justify" vertical="center" wrapText="1"/>
    </xf>
  </cellXfs>
  <cellStyles count="2">
    <cellStyle name="Normal" xfId="0" builtinId="0"/>
    <cellStyle name="Percent" xfId="1" builtinId="5"/>
  </cellStyles>
  <dxfs count="41431"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A1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Drop" dropStyle="combo" dx="15" fmlaLink="Alumno" fmlaRange="Alumnos" sel="13" val="9"/>
</file>

<file path=xl/ctrlProps/ctrlProp5.xml><?xml version="1.0" encoding="utf-8"?>
<formControlPr xmlns="http://schemas.microsoft.com/office/spreadsheetml/2009/9/main" objectType="Drop" dropStyle="combo" dx="15" fmlaLink="Evaluacion" fmlaRange="Evaluaciones" sel="3" val="0"/>
</file>

<file path=xl/ctrlProps/ctrlProp6.xml><?xml version="1.0" encoding="utf-8"?>
<formControlPr xmlns="http://schemas.microsoft.com/office/spreadsheetml/2009/9/main" objectType="Drop" dropStyle="combo" dx="15" fmlaLink="Tipo" fmlaRange="Tipos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</xdr:row>
          <xdr:rowOff>127000</xdr:rowOff>
        </xdr:from>
        <xdr:to>
          <xdr:col>2</xdr:col>
          <xdr:colOff>762000</xdr:colOff>
          <xdr:row>2</xdr:row>
          <xdr:rowOff>165100</xdr:rowOff>
        </xdr:to>
        <xdr:sp macro="" textlink="">
          <xdr:nvSpPr>
            <xdr:cNvPr id="10241" name="Label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Alumno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749300</xdr:colOff>
          <xdr:row>3</xdr:row>
          <xdr:rowOff>190500</xdr:rowOff>
        </xdr:from>
        <xdr:to>
          <xdr:col>3</xdr:col>
          <xdr:colOff>12700</xdr:colOff>
          <xdr:row>5</xdr:row>
          <xdr:rowOff>25400</xdr:rowOff>
        </xdr:to>
        <xdr:sp macro="" textlink="">
          <xdr:nvSpPr>
            <xdr:cNvPr id="10242" name="Label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Evaluación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6</xdr:row>
          <xdr:rowOff>127000</xdr:rowOff>
        </xdr:from>
        <xdr:to>
          <xdr:col>3</xdr:col>
          <xdr:colOff>25400</xdr:colOff>
          <xdr:row>7</xdr:row>
          <xdr:rowOff>139700</xdr:rowOff>
        </xdr:to>
        <xdr:sp macro="" textlink="">
          <xdr:nvSpPr>
            <xdr:cNvPr id="10243" name="Label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Tipo de Informe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165100</xdr:rowOff>
        </xdr:from>
        <xdr:to>
          <xdr:col>6</xdr:col>
          <xdr:colOff>76200</xdr:colOff>
          <xdr:row>3</xdr:row>
          <xdr:rowOff>12700</xdr:rowOff>
        </xdr:to>
        <xdr:sp macro="" textlink="">
          <xdr:nvSpPr>
            <xdr:cNvPr id="10244" name="Drop Dow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9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4</xdr:row>
          <xdr:rowOff>25400</xdr:rowOff>
        </xdr:from>
        <xdr:to>
          <xdr:col>6</xdr:col>
          <xdr:colOff>76200</xdr:colOff>
          <xdr:row>5</xdr:row>
          <xdr:rowOff>101600</xdr:rowOff>
        </xdr:to>
        <xdr:sp macro="" textlink="">
          <xdr:nvSpPr>
            <xdr:cNvPr id="10245" name="Drop Dow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9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6</xdr:row>
          <xdr:rowOff>88900</xdr:rowOff>
        </xdr:from>
        <xdr:to>
          <xdr:col>6</xdr:col>
          <xdr:colOff>88900</xdr:colOff>
          <xdr:row>7</xdr:row>
          <xdr:rowOff>165100</xdr:rowOff>
        </xdr:to>
        <xdr:sp macro="" textlink="">
          <xdr:nvSpPr>
            <xdr:cNvPr id="10246" name="Drop Dow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9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5</xdr:row>
          <xdr:rowOff>139700</xdr:rowOff>
        </xdr:from>
        <xdr:to>
          <xdr:col>7</xdr:col>
          <xdr:colOff>584200</xdr:colOff>
          <xdr:row>7</xdr:row>
          <xdr:rowOff>190500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9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66FF"/>
                  </a:solidFill>
                  <a:latin typeface="Calibri" pitchFamily="2" charset="0"/>
                  <a:cs typeface="Calibri" pitchFamily="2" charset="0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317500</xdr:colOff>
          <xdr:row>12</xdr:row>
          <xdr:rowOff>152400</xdr:rowOff>
        </xdr:from>
        <xdr:to>
          <xdr:col>7</xdr:col>
          <xdr:colOff>635000</xdr:colOff>
          <xdr:row>15</xdr:row>
          <xdr:rowOff>152400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9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Editar Configuración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241300</xdr:colOff>
          <xdr:row>15</xdr:row>
          <xdr:rowOff>101600</xdr:rowOff>
        </xdr:from>
        <xdr:to>
          <xdr:col>7</xdr:col>
          <xdr:colOff>647700</xdr:colOff>
          <xdr:row>18</xdr:row>
          <xdr:rowOff>152400</xdr:rowOff>
        </xdr:to>
        <xdr:sp macro="" textlink="">
          <xdr:nvSpPr>
            <xdr:cNvPr id="10249" name="Button 9" descr="Oculta Configuració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9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Ocultar Configuración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montanana/Dropbox/Ramon_y_Cajal/Chko/Herramienta/src/Inform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xamen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mera"/>
      <sheetName val="Recu1"/>
      <sheetName val="Segunda"/>
      <sheetName val="Recu2"/>
      <sheetName val="Tercera"/>
      <sheetName val="Recu3"/>
      <sheetName val="Ordinaria"/>
      <sheetName val="Extraordinaria"/>
      <sheetName val="Estructura"/>
      <sheetName val="inf_alumno"/>
      <sheetName val="Inform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K2" t="str">
            <v>Todos</v>
          </cell>
        </row>
        <row r="3">
          <cell r="K3" t="str">
            <v>Alma Casa, Mario</v>
          </cell>
        </row>
        <row r="4">
          <cell r="K4" t="str">
            <v>Amado Luz, Martín</v>
          </cell>
          <cell r="M4" t="str">
            <v>Primera</v>
          </cell>
        </row>
        <row r="5">
          <cell r="K5" t="str">
            <v>Bonete Cune, Carla</v>
          </cell>
          <cell r="M5" t="str">
            <v>Recu1</v>
          </cell>
        </row>
        <row r="6">
          <cell r="K6" t="str">
            <v>Casado Gómez, María</v>
          </cell>
          <cell r="M6" t="str">
            <v>Segunda</v>
          </cell>
        </row>
        <row r="7">
          <cell r="K7" t="str">
            <v>Concepción García, Elena</v>
          </cell>
          <cell r="M7" t="str">
            <v>Recu2</v>
          </cell>
        </row>
        <row r="8">
          <cell r="K8" t="str">
            <v>Díaz Lucas, Ricardo</v>
          </cell>
          <cell r="M8" t="str">
            <v>Tercera</v>
          </cell>
        </row>
        <row r="9">
          <cell r="K9" t="str">
            <v>Díaz Ríos, Lucía</v>
          </cell>
          <cell r="M9" t="str">
            <v>Recu3</v>
          </cell>
        </row>
        <row r="10">
          <cell r="K10" t="str">
            <v>García López, Juan Ángel</v>
          </cell>
          <cell r="M10" t="str">
            <v>Ordinaria</v>
          </cell>
        </row>
        <row r="11">
          <cell r="K11" t="str">
            <v>García Pérez, Luis</v>
          </cell>
          <cell r="M11" t="str">
            <v>Extraordinaria</v>
          </cell>
        </row>
        <row r="12">
          <cell r="K12" t="str">
            <v>Garijo Piqueras, María</v>
          </cell>
        </row>
        <row r="13">
          <cell r="K13" t="str">
            <v>Gómez Luna, José</v>
          </cell>
        </row>
        <row r="14">
          <cell r="K14" t="str">
            <v>González García, Juan</v>
          </cell>
          <cell r="M14" t="str">
            <v>PDF</v>
          </cell>
        </row>
        <row r="15">
          <cell r="K15" t="str">
            <v>González Pérez, María</v>
          </cell>
          <cell r="M15" t="str">
            <v>Email</v>
          </cell>
        </row>
        <row r="16">
          <cell r="K16" t="str">
            <v>Laín Hernández, Luisa</v>
          </cell>
        </row>
        <row r="17">
          <cell r="K17" t="str">
            <v>Lirios Lara, Juan</v>
          </cell>
        </row>
        <row r="18">
          <cell r="K18" t="str">
            <v>López Picazo, Marta</v>
          </cell>
        </row>
        <row r="19">
          <cell r="K19" t="str">
            <v>Molina Pérez, Marina</v>
          </cell>
        </row>
        <row r="20">
          <cell r="K20" t="str">
            <v>Molina Sánchez, Inmaculada</v>
          </cell>
        </row>
        <row r="21">
          <cell r="D21">
            <v>2</v>
          </cell>
          <cell r="K21" t="str">
            <v>Montero Pacheco, Pablo</v>
          </cell>
        </row>
        <row r="22">
          <cell r="D22">
            <v>2</v>
          </cell>
          <cell r="K22" t="str">
            <v>Mora García, Javier</v>
          </cell>
        </row>
        <row r="23">
          <cell r="D23">
            <v>1</v>
          </cell>
          <cell r="K23" t="str">
            <v>Morcillo Pared, Luna</v>
          </cell>
        </row>
        <row r="24">
          <cell r="K24" t="str">
            <v>Moreno Hernández, Francisco</v>
          </cell>
        </row>
        <row r="25">
          <cell r="K25" t="str">
            <v>Muñoz Garijo, Pablo</v>
          </cell>
        </row>
        <row r="26">
          <cell r="K26" t="str">
            <v>Pérez Garrido, Francisco</v>
          </cell>
        </row>
        <row r="27">
          <cell r="K27" t="str">
            <v>Serna Serna, Susana</v>
          </cell>
        </row>
        <row r="28">
          <cell r="K28" t="str">
            <v>Soriano Tornero, Manuel</v>
          </cell>
        </row>
        <row r="29">
          <cell r="K29" t="str">
            <v>Sultán Zar, Pedro</v>
          </cell>
        </row>
        <row r="30">
          <cell r="K30" t="str">
            <v>Tendero Grande, Marina</v>
          </cell>
        </row>
        <row r="31">
          <cell r="K31" t="str">
            <v>Valencia Bueno, Isabel</v>
          </cell>
        </row>
        <row r="32">
          <cell r="K32" t="str">
            <v>Zarza Parrilla, Manuel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amen11"/>
      <sheetName val="Examen12"/>
      <sheetName val="Examen13"/>
      <sheetName val="Examen21"/>
      <sheetName val="Examen22"/>
      <sheetName val="Examen23"/>
      <sheetName val="Examen31"/>
      <sheetName val="Examen32"/>
      <sheetName val="Examen33"/>
      <sheetName val="Alumnos"/>
      <sheetName val="template"/>
    </sheetNames>
    <definedNames>
      <definedName name="GRUPO" refersTo="='Alumnos'!$B$2"/>
      <definedName name="VERSION" refersTo="='Alumnos'!$A$36"/>
    </definedNames>
    <sheetDataSet>
      <sheetData sheetId="0">
        <row r="2">
          <cell r="B2">
            <v>44562</v>
          </cell>
          <cell r="C2" t="str">
            <v>Alma Casa, Mario</v>
          </cell>
          <cell r="E2" t="str">
            <v>Amado Luz, Martín</v>
          </cell>
          <cell r="G2" t="str">
            <v>Bonete Cune, Carla</v>
          </cell>
          <cell r="I2" t="str">
            <v>Casado Gómez, María</v>
          </cell>
          <cell r="K2" t="str">
            <v>Concepción García, Elena</v>
          </cell>
          <cell r="M2" t="str">
            <v>Díaz Lucas, Ricardo</v>
          </cell>
          <cell r="O2" t="str">
            <v>Díaz Ríos, Lucía</v>
          </cell>
          <cell r="Q2" t="str">
            <v>García López, Juan Ángel</v>
          </cell>
          <cell r="S2" t="str">
            <v>García Pérez, Luis</v>
          </cell>
          <cell r="U2" t="str">
            <v>Garijo Piqueras, María</v>
          </cell>
          <cell r="W2" t="str">
            <v>Gómez Luna, José</v>
          </cell>
          <cell r="Y2" t="str">
            <v>González García, Juan</v>
          </cell>
          <cell r="AA2" t="str">
            <v>González Pérez, María</v>
          </cell>
          <cell r="AC2" t="str">
            <v>Laín Hernández, Luisa</v>
          </cell>
          <cell r="AE2" t="str">
            <v>Lirios Lara, Juan</v>
          </cell>
          <cell r="AG2" t="str">
            <v>López Picazo, Marta</v>
          </cell>
          <cell r="AI2" t="str">
            <v>Molina Pérez, Marina</v>
          </cell>
          <cell r="AK2" t="str">
            <v>Molina Sánchez, Inmaculada</v>
          </cell>
          <cell r="AM2" t="str">
            <v>Montero Pacheco, Pablo</v>
          </cell>
          <cell r="AO2" t="str">
            <v>Mora García, Javier</v>
          </cell>
          <cell r="AQ2" t="str">
            <v>Morcillo Pared, Luna</v>
          </cell>
          <cell r="AS2" t="str">
            <v>Moreno Hernández, Francisco</v>
          </cell>
          <cell r="AU2" t="str">
            <v>Muñoz Garijo, Pablo</v>
          </cell>
          <cell r="AW2" t="str">
            <v>Pérez Garrido, Francisco</v>
          </cell>
          <cell r="AY2" t="str">
            <v>Serna Serna, Susana</v>
          </cell>
          <cell r="BA2" t="str">
            <v>Soriano Tornero, Manuel</v>
          </cell>
          <cell r="BC2" t="str">
            <v>Sultán Zar, Pedro</v>
          </cell>
          <cell r="BE2" t="str">
            <v>Tendero Grande, Marina</v>
          </cell>
          <cell r="BG2" t="str">
            <v>Valencia Bueno, Isabel</v>
          </cell>
          <cell r="BI2" t="str">
            <v>Zarza Parrilla, Manuel</v>
          </cell>
        </row>
        <row r="5">
          <cell r="B5">
            <v>2</v>
          </cell>
          <cell r="C5">
            <v>1.3999999761581421</v>
          </cell>
          <cell r="E5">
            <v>1</v>
          </cell>
          <cell r="G5">
            <v>1.2000000476837158</v>
          </cell>
          <cell r="I5">
            <v>0.60000002384185791</v>
          </cell>
          <cell r="K5">
            <v>0.60000002384185791</v>
          </cell>
          <cell r="M5">
            <v>1.6000000238418579</v>
          </cell>
          <cell r="O5">
            <v>0</v>
          </cell>
          <cell r="Q5">
            <v>1.6000000238418579</v>
          </cell>
          <cell r="S5">
            <v>1.6000000238418579</v>
          </cell>
          <cell r="U5">
            <v>1.3999999761581421</v>
          </cell>
          <cell r="W5">
            <v>0</v>
          </cell>
          <cell r="Y5">
            <v>0.80000001192092896</v>
          </cell>
          <cell r="AA5">
            <v>1.7999999523162842</v>
          </cell>
          <cell r="AC5">
            <v>1.6000000238418579</v>
          </cell>
          <cell r="AE5">
            <v>0.80000001192092896</v>
          </cell>
          <cell r="AG5">
            <v>2</v>
          </cell>
          <cell r="AI5">
            <v>1.7999999523162842</v>
          </cell>
          <cell r="AK5">
            <v>0</v>
          </cell>
          <cell r="AM5">
            <v>2</v>
          </cell>
          <cell r="AO5">
            <v>0.80000001192092896</v>
          </cell>
          <cell r="AQ5">
            <v>1</v>
          </cell>
          <cell r="AS5">
            <v>1.6000000238418579</v>
          </cell>
          <cell r="AU5">
            <v>0</v>
          </cell>
          <cell r="AW5">
            <v>1.2000000476837158</v>
          </cell>
          <cell r="AY5">
            <v>1</v>
          </cell>
          <cell r="BA5">
            <v>0.60000002384185791</v>
          </cell>
          <cell r="BC5">
            <v>1.2000000476837158</v>
          </cell>
          <cell r="BE5">
            <v>1.3999999761581421</v>
          </cell>
          <cell r="BG5">
            <v>0.40000000596046448</v>
          </cell>
          <cell r="BI5">
            <v>0.60000002384185791</v>
          </cell>
        </row>
        <row r="6">
          <cell r="B6">
            <v>2</v>
          </cell>
          <cell r="C6">
            <v>1.7999999523162842</v>
          </cell>
          <cell r="E6">
            <v>1.7999999523162842</v>
          </cell>
          <cell r="G6">
            <v>1.2000000476837158</v>
          </cell>
          <cell r="I6">
            <v>2</v>
          </cell>
          <cell r="K6">
            <v>2</v>
          </cell>
          <cell r="M6">
            <v>0.40000000596046448</v>
          </cell>
          <cell r="O6">
            <v>1.3999999761581421</v>
          </cell>
          <cell r="Q6">
            <v>2</v>
          </cell>
          <cell r="S6">
            <v>0.40000000596046448</v>
          </cell>
          <cell r="U6">
            <v>1</v>
          </cell>
          <cell r="W6">
            <v>0.20000000298023224</v>
          </cell>
          <cell r="Y6">
            <v>2</v>
          </cell>
          <cell r="AA6">
            <v>1.3999999761581421</v>
          </cell>
          <cell r="AC6">
            <v>0</v>
          </cell>
          <cell r="AE6">
            <v>1.2000000476837158</v>
          </cell>
          <cell r="AG6">
            <v>0.20000000298023224</v>
          </cell>
          <cell r="AI6">
            <v>0.20000000298023224</v>
          </cell>
          <cell r="AK6">
            <v>1.6000000238418579</v>
          </cell>
          <cell r="AM6">
            <v>0.60000002384185791</v>
          </cell>
          <cell r="AO6">
            <v>0</v>
          </cell>
          <cell r="AQ6">
            <v>0.60000002384185791</v>
          </cell>
          <cell r="AS6">
            <v>0.80000001192092896</v>
          </cell>
          <cell r="AU6">
            <v>0.60000002384185791</v>
          </cell>
          <cell r="AW6">
            <v>2</v>
          </cell>
          <cell r="AY6">
            <v>2</v>
          </cell>
          <cell r="BA6">
            <v>0.80000001192092896</v>
          </cell>
          <cell r="BC6">
            <v>0.60000002384185791</v>
          </cell>
          <cell r="BE6">
            <v>0.20000000298023224</v>
          </cell>
          <cell r="BG6">
            <v>0.20000000298023224</v>
          </cell>
          <cell r="BI6">
            <v>1.3999999761581421</v>
          </cell>
        </row>
        <row r="7">
          <cell r="B7">
            <v>2</v>
          </cell>
          <cell r="C7">
            <v>0.80000001192092896</v>
          </cell>
          <cell r="E7">
            <v>0.80000001192092896</v>
          </cell>
          <cell r="G7">
            <v>1.3999999761581421</v>
          </cell>
          <cell r="I7">
            <v>0.60000002384185791</v>
          </cell>
          <cell r="K7">
            <v>1.2000000476837158</v>
          </cell>
          <cell r="M7">
            <v>0.40000000596046448</v>
          </cell>
          <cell r="O7">
            <v>0.40000000596046448</v>
          </cell>
          <cell r="Q7">
            <v>1.2000000476837158</v>
          </cell>
          <cell r="S7">
            <v>0</v>
          </cell>
          <cell r="U7">
            <v>1</v>
          </cell>
          <cell r="W7">
            <v>1.7999999523162842</v>
          </cell>
          <cell r="Y7">
            <v>0.40000000596046448</v>
          </cell>
          <cell r="AA7">
            <v>1.6000000238418579</v>
          </cell>
          <cell r="AC7">
            <v>0.80000001192092896</v>
          </cell>
          <cell r="AE7">
            <v>0.60000002384185791</v>
          </cell>
          <cell r="AG7">
            <v>2</v>
          </cell>
          <cell r="AI7">
            <v>1.2000000476837158</v>
          </cell>
          <cell r="AK7">
            <v>1.2000000476837158</v>
          </cell>
          <cell r="AM7">
            <v>0.80000001192092896</v>
          </cell>
          <cell r="AO7">
            <v>0.20000000298023224</v>
          </cell>
          <cell r="AQ7">
            <v>1.2000000476837158</v>
          </cell>
          <cell r="AS7">
            <v>1.3999999761581421</v>
          </cell>
          <cell r="AU7">
            <v>2</v>
          </cell>
          <cell r="AW7">
            <v>1.7999999523162842</v>
          </cell>
          <cell r="AY7">
            <v>0</v>
          </cell>
          <cell r="BA7">
            <v>1</v>
          </cell>
          <cell r="BC7">
            <v>2</v>
          </cell>
          <cell r="BE7">
            <v>0.80000001192092896</v>
          </cell>
          <cell r="BG7">
            <v>1.3999999761581421</v>
          </cell>
          <cell r="BI7">
            <v>1</v>
          </cell>
        </row>
        <row r="9">
          <cell r="B9">
            <v>2</v>
          </cell>
          <cell r="C9">
            <v>1</v>
          </cell>
          <cell r="E9">
            <v>1</v>
          </cell>
          <cell r="G9">
            <v>0.60000002384185791</v>
          </cell>
          <cell r="I9">
            <v>0.80000001192092896</v>
          </cell>
          <cell r="K9">
            <v>0.40000000596046448</v>
          </cell>
          <cell r="M9">
            <v>0</v>
          </cell>
          <cell r="O9">
            <v>0.40000000596046448</v>
          </cell>
          <cell r="Q9">
            <v>2</v>
          </cell>
          <cell r="S9">
            <v>0</v>
          </cell>
          <cell r="U9">
            <v>0.80000001192092896</v>
          </cell>
          <cell r="W9">
            <v>0.80000001192092896</v>
          </cell>
          <cell r="Y9">
            <v>1</v>
          </cell>
          <cell r="AA9">
            <v>0.20000000298023224</v>
          </cell>
          <cell r="AC9">
            <v>1</v>
          </cell>
          <cell r="AE9">
            <v>0.40000000596046448</v>
          </cell>
          <cell r="AG9">
            <v>1.2000000476837158</v>
          </cell>
          <cell r="AI9">
            <v>1</v>
          </cell>
          <cell r="AK9">
            <v>0.20000000298023224</v>
          </cell>
          <cell r="AM9">
            <v>2</v>
          </cell>
          <cell r="AO9">
            <v>1.3999999761581421</v>
          </cell>
          <cell r="AQ9">
            <v>1</v>
          </cell>
          <cell r="AS9">
            <v>0.80000001192092896</v>
          </cell>
          <cell r="AU9">
            <v>0.20000000298023224</v>
          </cell>
          <cell r="AW9">
            <v>1.6000000238418579</v>
          </cell>
          <cell r="AY9">
            <v>1</v>
          </cell>
          <cell r="BA9">
            <v>1.6000000238418579</v>
          </cell>
          <cell r="BC9">
            <v>1.2000000476837158</v>
          </cell>
          <cell r="BE9">
            <v>1.7999999523162842</v>
          </cell>
          <cell r="BG9">
            <v>0</v>
          </cell>
          <cell r="BI9">
            <v>0.40000000596046448</v>
          </cell>
        </row>
        <row r="10">
          <cell r="B10">
            <v>2</v>
          </cell>
          <cell r="C10">
            <v>0</v>
          </cell>
          <cell r="E10">
            <v>0.20000000298023224</v>
          </cell>
          <cell r="G10">
            <v>0.60000002384185791</v>
          </cell>
          <cell r="I10">
            <v>0.20000000298023224</v>
          </cell>
          <cell r="K10">
            <v>0</v>
          </cell>
          <cell r="M10">
            <v>1</v>
          </cell>
          <cell r="O10">
            <v>1.3999999761581421</v>
          </cell>
          <cell r="Q10">
            <v>1</v>
          </cell>
          <cell r="S10">
            <v>1.7999999523162842</v>
          </cell>
          <cell r="U10">
            <v>0</v>
          </cell>
          <cell r="W10">
            <v>0.40000000596046448</v>
          </cell>
          <cell r="Y10">
            <v>1.3999999761581421</v>
          </cell>
          <cell r="AA10">
            <v>0.80000001192092896</v>
          </cell>
          <cell r="AC10">
            <v>0.60000002384185791</v>
          </cell>
          <cell r="AE10">
            <v>0.20000000298023224</v>
          </cell>
          <cell r="AG10">
            <v>1.3999999761581421</v>
          </cell>
          <cell r="AI10">
            <v>2</v>
          </cell>
          <cell r="AK10">
            <v>1</v>
          </cell>
          <cell r="AM10">
            <v>0</v>
          </cell>
          <cell r="AO10">
            <v>1.6000000238418579</v>
          </cell>
          <cell r="AQ10">
            <v>0.80000001192092896</v>
          </cell>
          <cell r="AS10">
            <v>1</v>
          </cell>
          <cell r="AU10">
            <v>1</v>
          </cell>
          <cell r="AW10">
            <v>0.40000000596046448</v>
          </cell>
          <cell r="AY10">
            <v>0.60000002384185791</v>
          </cell>
          <cell r="BA10">
            <v>0.20000000298023224</v>
          </cell>
          <cell r="BC10">
            <v>1.2000000476837158</v>
          </cell>
          <cell r="BE10">
            <v>0.20000000298023224</v>
          </cell>
          <cell r="BG10">
            <v>2</v>
          </cell>
          <cell r="BI10">
            <v>0.20000000298023224</v>
          </cell>
        </row>
      </sheetData>
      <sheetData sheetId="1">
        <row r="2">
          <cell r="B2">
            <v>44562</v>
          </cell>
        </row>
        <row r="14">
          <cell r="B14">
            <v>1.5</v>
          </cell>
          <cell r="C14">
            <v>0.60000000894069672</v>
          </cell>
          <cell r="E14">
            <v>0.45000001788139343</v>
          </cell>
          <cell r="G14">
            <v>1.3499999642372131</v>
          </cell>
          <cell r="I14">
            <v>1.2000000178813934</v>
          </cell>
          <cell r="K14">
            <v>0.45000001788139343</v>
          </cell>
          <cell r="M14">
            <v>1.0499999821186066</v>
          </cell>
          <cell r="O14">
            <v>0.30000000447034836</v>
          </cell>
          <cell r="Q14">
            <v>0</v>
          </cell>
          <cell r="S14">
            <v>0</v>
          </cell>
          <cell r="U14">
            <v>0.45000001788139343</v>
          </cell>
          <cell r="W14">
            <v>1.2000000178813934</v>
          </cell>
          <cell r="Y14">
            <v>0.45000001788139343</v>
          </cell>
          <cell r="AA14">
            <v>0.30000000447034836</v>
          </cell>
          <cell r="AC14">
            <v>0.75</v>
          </cell>
          <cell r="AE14">
            <v>0.30000000447034836</v>
          </cell>
          <cell r="AG14">
            <v>0.45000001788139343</v>
          </cell>
          <cell r="AI14">
            <v>0</v>
          </cell>
          <cell r="AK14">
            <v>0.75</v>
          </cell>
          <cell r="AM14">
            <v>0.30000000447034836</v>
          </cell>
          <cell r="AO14">
            <v>1.3499999642372131</v>
          </cell>
          <cell r="AQ14">
            <v>0.90000003576278687</v>
          </cell>
          <cell r="AS14">
            <v>1.2000000178813934</v>
          </cell>
          <cell r="AU14">
            <v>1.5</v>
          </cell>
          <cell r="AW14">
            <v>0.45000001788139343</v>
          </cell>
          <cell r="AY14">
            <v>0.75</v>
          </cell>
          <cell r="BA14">
            <v>0</v>
          </cell>
          <cell r="BC14">
            <v>0.90000003576278687</v>
          </cell>
          <cell r="BE14">
            <v>0.60000000894069672</v>
          </cell>
          <cell r="BG14">
            <v>1.5</v>
          </cell>
          <cell r="BI14">
            <v>0.15000000223517418</v>
          </cell>
        </row>
        <row r="15">
          <cell r="B15">
            <v>1.5</v>
          </cell>
          <cell r="C15">
            <v>1.5</v>
          </cell>
          <cell r="E15">
            <v>0.90000003576278687</v>
          </cell>
          <cell r="G15">
            <v>0.45000001788139343</v>
          </cell>
          <cell r="I15">
            <v>0.15000000223517418</v>
          </cell>
          <cell r="K15">
            <v>0.75</v>
          </cell>
          <cell r="M15">
            <v>0.30000000447034836</v>
          </cell>
          <cell r="O15">
            <v>1.5</v>
          </cell>
          <cell r="Q15">
            <v>0.15000000223517418</v>
          </cell>
          <cell r="S15">
            <v>0</v>
          </cell>
          <cell r="U15">
            <v>0.45000001788139343</v>
          </cell>
          <cell r="W15">
            <v>0.90000003576278687</v>
          </cell>
          <cell r="Y15">
            <v>1.5</v>
          </cell>
          <cell r="AA15">
            <v>0.75</v>
          </cell>
          <cell r="AC15">
            <v>0.60000000894069672</v>
          </cell>
          <cell r="AE15">
            <v>1.3499999642372131</v>
          </cell>
          <cell r="AG15">
            <v>1.3499999642372131</v>
          </cell>
          <cell r="AI15">
            <v>1.0499999821186066</v>
          </cell>
          <cell r="AK15">
            <v>1.0499999821186066</v>
          </cell>
          <cell r="AM15">
            <v>1.5</v>
          </cell>
          <cell r="AO15">
            <v>0.45000001788139343</v>
          </cell>
          <cell r="AQ15">
            <v>0.75</v>
          </cell>
          <cell r="AS15">
            <v>0.60000000894069672</v>
          </cell>
          <cell r="AU15">
            <v>1.0499999821186066</v>
          </cell>
          <cell r="AW15">
            <v>0.15000000223517418</v>
          </cell>
          <cell r="AY15">
            <v>0.60000000894069672</v>
          </cell>
          <cell r="BA15">
            <v>0.75</v>
          </cell>
          <cell r="BC15">
            <v>1.2000000178813934</v>
          </cell>
          <cell r="BE15">
            <v>0.75</v>
          </cell>
          <cell r="BG15">
            <v>0.60000000894069672</v>
          </cell>
          <cell r="BI15">
            <v>0.75</v>
          </cell>
        </row>
        <row r="16">
          <cell r="B16">
            <v>1</v>
          </cell>
          <cell r="C16">
            <v>0.20000000298023224</v>
          </cell>
          <cell r="E16">
            <v>0.60000002384185791</v>
          </cell>
          <cell r="G16">
            <v>0.5</v>
          </cell>
          <cell r="I16">
            <v>0.69999998807907104</v>
          </cell>
          <cell r="K16">
            <v>0.89999997615814209</v>
          </cell>
          <cell r="M16">
            <v>0.40000000596046448</v>
          </cell>
          <cell r="O16">
            <v>0.30000001192092896</v>
          </cell>
          <cell r="Q16">
            <v>0.30000001192092896</v>
          </cell>
          <cell r="S16">
            <v>0.10000000149011612</v>
          </cell>
          <cell r="U16">
            <v>0.5</v>
          </cell>
          <cell r="W16">
            <v>0.20000000298023224</v>
          </cell>
          <cell r="Y16">
            <v>0.60000002384185791</v>
          </cell>
          <cell r="AA16">
            <v>0.30000001192092896</v>
          </cell>
          <cell r="AC16">
            <v>0.89999997615814209</v>
          </cell>
          <cell r="AE16">
            <v>0.5</v>
          </cell>
          <cell r="AG16">
            <v>0.20000000298023224</v>
          </cell>
          <cell r="AI16">
            <v>0.69999998807907104</v>
          </cell>
          <cell r="AK16">
            <v>0.80000001192092896</v>
          </cell>
          <cell r="AM16">
            <v>0.60000002384185791</v>
          </cell>
          <cell r="AO16">
            <v>0.80000001192092896</v>
          </cell>
          <cell r="AQ16">
            <v>0.10000000149011612</v>
          </cell>
          <cell r="AS16">
            <v>0.80000001192092896</v>
          </cell>
          <cell r="AU16">
            <v>0.20000000298023224</v>
          </cell>
          <cell r="AW16">
            <v>1</v>
          </cell>
          <cell r="AY16">
            <v>0</v>
          </cell>
          <cell r="BA16">
            <v>0</v>
          </cell>
          <cell r="BC16">
            <v>0.80000001192092896</v>
          </cell>
          <cell r="BE16">
            <v>0.40000000596046448</v>
          </cell>
          <cell r="BG16">
            <v>0.5</v>
          </cell>
          <cell r="BI16">
            <v>0.10000000149011612</v>
          </cell>
        </row>
        <row r="17">
          <cell r="B17">
            <v>2</v>
          </cell>
          <cell r="C17">
            <v>0.20000000298023224</v>
          </cell>
          <cell r="E17">
            <v>0.20000000298023224</v>
          </cell>
          <cell r="G17">
            <v>0</v>
          </cell>
          <cell r="I17">
            <v>1.3999999761581421</v>
          </cell>
          <cell r="K17">
            <v>1</v>
          </cell>
          <cell r="M17">
            <v>1.2000000476837158</v>
          </cell>
          <cell r="O17">
            <v>0.40000000596046448</v>
          </cell>
          <cell r="Q17">
            <v>1</v>
          </cell>
          <cell r="S17">
            <v>1.6000000238418579</v>
          </cell>
          <cell r="U17">
            <v>1.6000000238418579</v>
          </cell>
          <cell r="W17">
            <v>0.80000001192092896</v>
          </cell>
          <cell r="Y17">
            <v>1.7999999523162842</v>
          </cell>
          <cell r="AA17">
            <v>1.6000000238418579</v>
          </cell>
          <cell r="AC17">
            <v>0</v>
          </cell>
          <cell r="AE17">
            <v>1.2000000476837158</v>
          </cell>
          <cell r="AG17">
            <v>1.3999999761581421</v>
          </cell>
          <cell r="AI17">
            <v>0</v>
          </cell>
          <cell r="AK17">
            <v>0.80000001192092896</v>
          </cell>
          <cell r="AM17">
            <v>0.80000001192092896</v>
          </cell>
          <cell r="AO17">
            <v>0.60000002384185791</v>
          </cell>
          <cell r="AQ17">
            <v>2</v>
          </cell>
          <cell r="AS17">
            <v>1.6000000238418579</v>
          </cell>
          <cell r="AU17">
            <v>1.3999999761581421</v>
          </cell>
          <cell r="AW17">
            <v>0.80000001192092896</v>
          </cell>
          <cell r="AY17">
            <v>1.6000000238418579</v>
          </cell>
          <cell r="BA17">
            <v>0.60000002384185791</v>
          </cell>
          <cell r="BC17">
            <v>0.60000002384185791</v>
          </cell>
          <cell r="BE17">
            <v>0.80000001192092896</v>
          </cell>
          <cell r="BG17">
            <v>2</v>
          </cell>
          <cell r="BI17">
            <v>0.20000000298023224</v>
          </cell>
        </row>
        <row r="18">
          <cell r="B18">
            <v>2</v>
          </cell>
          <cell r="C18">
            <v>1.3999999761581421</v>
          </cell>
          <cell r="E18">
            <v>0.60000002384185791</v>
          </cell>
          <cell r="G18">
            <v>0.20000000298023224</v>
          </cell>
          <cell r="I18">
            <v>0.40000000596046448</v>
          </cell>
          <cell r="K18">
            <v>0</v>
          </cell>
          <cell r="M18">
            <v>0.80000001192092896</v>
          </cell>
          <cell r="O18">
            <v>2</v>
          </cell>
          <cell r="Q18">
            <v>1</v>
          </cell>
          <cell r="S18">
            <v>1</v>
          </cell>
          <cell r="U18">
            <v>2</v>
          </cell>
          <cell r="W18">
            <v>0.40000000596046448</v>
          </cell>
          <cell r="Y18">
            <v>0.80000001192092896</v>
          </cell>
          <cell r="AA18">
            <v>0.80000001192092896</v>
          </cell>
          <cell r="AC18">
            <v>0.60000002384185791</v>
          </cell>
          <cell r="AE18">
            <v>1</v>
          </cell>
          <cell r="AG18">
            <v>0.20000000298023224</v>
          </cell>
          <cell r="AI18">
            <v>1</v>
          </cell>
          <cell r="AK18">
            <v>2</v>
          </cell>
          <cell r="AM18">
            <v>1.2000000476837158</v>
          </cell>
          <cell r="AO18">
            <v>2</v>
          </cell>
          <cell r="AQ18">
            <v>1.3999999761581421</v>
          </cell>
          <cell r="AS18">
            <v>0.80000001192092896</v>
          </cell>
          <cell r="AU18">
            <v>1.3999999761581421</v>
          </cell>
          <cell r="AW18">
            <v>0</v>
          </cell>
          <cell r="AY18">
            <v>1.6000000238418579</v>
          </cell>
          <cell r="BA18">
            <v>1.3999999761581421</v>
          </cell>
          <cell r="BC18">
            <v>1</v>
          </cell>
          <cell r="BE18">
            <v>0.20000000298023224</v>
          </cell>
          <cell r="BG18">
            <v>0.40000000596046448</v>
          </cell>
          <cell r="BI18">
            <v>0.60000002384185791</v>
          </cell>
        </row>
        <row r="19">
          <cell r="B19">
            <v>1</v>
          </cell>
          <cell r="C19">
            <v>0.80000001192092896</v>
          </cell>
          <cell r="E19">
            <v>0</v>
          </cell>
          <cell r="G19">
            <v>0.5</v>
          </cell>
          <cell r="I19">
            <v>0.80000001192092896</v>
          </cell>
          <cell r="K19">
            <v>0.80000001192092896</v>
          </cell>
          <cell r="M19">
            <v>0.30000001192092896</v>
          </cell>
          <cell r="O19">
            <v>1</v>
          </cell>
          <cell r="Q19">
            <v>0.80000001192092896</v>
          </cell>
          <cell r="S19">
            <v>0.69999998807907104</v>
          </cell>
          <cell r="U19">
            <v>0.89999997615814209</v>
          </cell>
          <cell r="W19">
            <v>0.89999997615814209</v>
          </cell>
          <cell r="Y19">
            <v>0.40000000596046448</v>
          </cell>
          <cell r="AA19">
            <v>0.10000000149011612</v>
          </cell>
          <cell r="AC19">
            <v>1</v>
          </cell>
          <cell r="AE19">
            <v>0.80000001192092896</v>
          </cell>
          <cell r="AG19">
            <v>0.69999998807907104</v>
          </cell>
          <cell r="AI19">
            <v>0.40000000596046448</v>
          </cell>
          <cell r="AK19">
            <v>0</v>
          </cell>
          <cell r="AM19">
            <v>0.10000000149011612</v>
          </cell>
          <cell r="AO19">
            <v>0.10000000149011612</v>
          </cell>
          <cell r="AQ19">
            <v>0.5</v>
          </cell>
          <cell r="AS19">
            <v>0.40000000596046448</v>
          </cell>
          <cell r="AU19">
            <v>0.10000000149011612</v>
          </cell>
          <cell r="AW19">
            <v>0.30000001192092896</v>
          </cell>
          <cell r="AY19">
            <v>0.69999998807907104</v>
          </cell>
          <cell r="BA19">
            <v>0.89999997615814209</v>
          </cell>
          <cell r="BC19">
            <v>0.5</v>
          </cell>
          <cell r="BE19">
            <v>0.20000000298023224</v>
          </cell>
          <cell r="BG19">
            <v>0.89999997615814209</v>
          </cell>
          <cell r="BI19">
            <v>0.40000000596046448</v>
          </cell>
        </row>
        <row r="20">
          <cell r="B20">
            <v>1</v>
          </cell>
          <cell r="C20">
            <v>0.30000001192092896</v>
          </cell>
          <cell r="E20">
            <v>0.80000001192092896</v>
          </cell>
          <cell r="G20">
            <v>0.20000000298023224</v>
          </cell>
          <cell r="I20">
            <v>0.40000000596046448</v>
          </cell>
          <cell r="K20">
            <v>0.20000000298023224</v>
          </cell>
          <cell r="M20">
            <v>0.89999997615814209</v>
          </cell>
          <cell r="O20">
            <v>0.60000002384185791</v>
          </cell>
          <cell r="Q20">
            <v>0.40000000596046448</v>
          </cell>
          <cell r="S20">
            <v>0.40000000596046448</v>
          </cell>
          <cell r="U20">
            <v>0.89999997615814209</v>
          </cell>
          <cell r="W20">
            <v>0.60000002384185791</v>
          </cell>
          <cell r="Y20">
            <v>1</v>
          </cell>
          <cell r="AA20">
            <v>0.5</v>
          </cell>
          <cell r="AC20">
            <v>0.30000001192092896</v>
          </cell>
          <cell r="AE20">
            <v>0.89999997615814209</v>
          </cell>
          <cell r="AG20">
            <v>0.20000000298023224</v>
          </cell>
          <cell r="AI20">
            <v>0.20000000298023224</v>
          </cell>
          <cell r="AK20">
            <v>0.10000000149011612</v>
          </cell>
          <cell r="AM20">
            <v>0.30000001192092896</v>
          </cell>
          <cell r="AO20">
            <v>0</v>
          </cell>
          <cell r="AQ20">
            <v>0.80000001192092896</v>
          </cell>
          <cell r="AS20">
            <v>0.89999997615814209</v>
          </cell>
          <cell r="AU20">
            <v>0.30000001192092896</v>
          </cell>
          <cell r="AW20">
            <v>0.69999998807907104</v>
          </cell>
          <cell r="AY20">
            <v>0.40000000596046448</v>
          </cell>
          <cell r="BA20">
            <v>0.80000001192092896</v>
          </cell>
          <cell r="BC20">
            <v>0.80000001192092896</v>
          </cell>
          <cell r="BE20">
            <v>0.40000000596046448</v>
          </cell>
          <cell r="BG20">
            <v>0</v>
          </cell>
          <cell r="BI20">
            <v>0.40000000596046448</v>
          </cell>
        </row>
      </sheetData>
      <sheetData sheetId="2">
        <row r="2">
          <cell r="B2">
            <v>44562</v>
          </cell>
        </row>
      </sheetData>
      <sheetData sheetId="3">
        <row r="2">
          <cell r="B2">
            <v>44562</v>
          </cell>
        </row>
        <row r="14">
          <cell r="B14">
            <v>2</v>
          </cell>
          <cell r="C14">
            <v>0.60000002384185791</v>
          </cell>
          <cell r="E14">
            <v>1.3999999761581421</v>
          </cell>
          <cell r="G14">
            <v>0.60000002384185791</v>
          </cell>
          <cell r="I14">
            <v>1.6000000238418579</v>
          </cell>
          <cell r="K14">
            <v>0.20000000298023224</v>
          </cell>
          <cell r="M14">
            <v>1.2000000476837158</v>
          </cell>
          <cell r="O14">
            <v>2</v>
          </cell>
          <cell r="Q14">
            <v>0.40000000596046448</v>
          </cell>
          <cell r="S14">
            <v>2</v>
          </cell>
          <cell r="U14">
            <v>0.20000000298023224</v>
          </cell>
          <cell r="W14">
            <v>2</v>
          </cell>
          <cell r="Y14">
            <v>1.2000000476837158</v>
          </cell>
          <cell r="AA14">
            <v>1.2000000476837158</v>
          </cell>
          <cell r="AC14">
            <v>1.7999999523162842</v>
          </cell>
          <cell r="AE14">
            <v>1.2000000476837158</v>
          </cell>
          <cell r="AG14">
            <v>0.40000000596046448</v>
          </cell>
          <cell r="AI14">
            <v>1.7999999523162842</v>
          </cell>
          <cell r="AK14">
            <v>0</v>
          </cell>
          <cell r="AM14">
            <v>0.80000001192092896</v>
          </cell>
          <cell r="AO14">
            <v>1.6000000238418579</v>
          </cell>
          <cell r="AQ14">
            <v>0.40000000596046448</v>
          </cell>
          <cell r="AS14">
            <v>0.80000001192092896</v>
          </cell>
          <cell r="AU14">
            <v>0.80000001192092896</v>
          </cell>
          <cell r="AW14">
            <v>1</v>
          </cell>
          <cell r="AY14">
            <v>0.40000000596046448</v>
          </cell>
          <cell r="BA14">
            <v>1.2000000476837158</v>
          </cell>
          <cell r="BC14">
            <v>0.40000000596046448</v>
          </cell>
          <cell r="BE14">
            <v>0</v>
          </cell>
          <cell r="BG14">
            <v>1.7999999523162842</v>
          </cell>
          <cell r="BI14">
            <v>0.20000000298023224</v>
          </cell>
        </row>
        <row r="15">
          <cell r="B15">
            <v>2</v>
          </cell>
          <cell r="C15">
            <v>1.3999999761581421</v>
          </cell>
          <cell r="E15">
            <v>1.7999999523162842</v>
          </cell>
          <cell r="G15">
            <v>0.40000000596046448</v>
          </cell>
          <cell r="I15">
            <v>2</v>
          </cell>
          <cell r="K15">
            <v>1.7999999523162842</v>
          </cell>
          <cell r="M15">
            <v>0.80000001192092896</v>
          </cell>
          <cell r="O15">
            <v>1</v>
          </cell>
          <cell r="Q15">
            <v>1.6000000238418579</v>
          </cell>
          <cell r="S15">
            <v>1.7999999523162842</v>
          </cell>
          <cell r="U15">
            <v>0.80000001192092896</v>
          </cell>
          <cell r="W15">
            <v>0.40000000596046448</v>
          </cell>
          <cell r="Y15">
            <v>0.60000002384185791</v>
          </cell>
          <cell r="AA15">
            <v>0.80000001192092896</v>
          </cell>
          <cell r="AC15">
            <v>0.20000000298023224</v>
          </cell>
          <cell r="AE15">
            <v>1.2000000476837158</v>
          </cell>
          <cell r="AG15">
            <v>0.20000000298023224</v>
          </cell>
          <cell r="AI15">
            <v>0.40000000596046448</v>
          </cell>
          <cell r="AK15">
            <v>1.3999999761581421</v>
          </cell>
          <cell r="AM15">
            <v>1</v>
          </cell>
          <cell r="AO15">
            <v>0.40000000596046448</v>
          </cell>
          <cell r="AQ15">
            <v>2</v>
          </cell>
          <cell r="AS15">
            <v>1</v>
          </cell>
          <cell r="AU15">
            <v>0</v>
          </cell>
          <cell r="AW15">
            <v>0.80000001192092896</v>
          </cell>
          <cell r="AY15">
            <v>0.60000002384185791</v>
          </cell>
          <cell r="BA15">
            <v>1.6000000238418579</v>
          </cell>
          <cell r="BC15">
            <v>1.7999999523162842</v>
          </cell>
          <cell r="BE15">
            <v>1.7999999523162842</v>
          </cell>
          <cell r="BG15">
            <v>0.20000000298023224</v>
          </cell>
          <cell r="BI15">
            <v>0.20000000298023224</v>
          </cell>
        </row>
        <row r="16">
          <cell r="B16">
            <v>2</v>
          </cell>
          <cell r="C16">
            <v>0</v>
          </cell>
          <cell r="E16">
            <v>0.20000000298023224</v>
          </cell>
          <cell r="G16">
            <v>0.80000001192092896</v>
          </cell>
          <cell r="I16">
            <v>0.40000000596046448</v>
          </cell>
          <cell r="K16">
            <v>2</v>
          </cell>
          <cell r="M16">
            <v>1.7999999523162842</v>
          </cell>
          <cell r="O16">
            <v>1.2000000476837158</v>
          </cell>
          <cell r="Q16">
            <v>1.6000000238418579</v>
          </cell>
          <cell r="S16">
            <v>0.20000000298023224</v>
          </cell>
          <cell r="U16">
            <v>0.40000000596046448</v>
          </cell>
          <cell r="W16">
            <v>0</v>
          </cell>
          <cell r="Y16">
            <v>1.7999999523162842</v>
          </cell>
          <cell r="AA16">
            <v>1.6000000238418579</v>
          </cell>
          <cell r="AC16">
            <v>1.6000000238418579</v>
          </cell>
          <cell r="AE16">
            <v>0.60000002384185791</v>
          </cell>
          <cell r="AG16">
            <v>0.80000001192092896</v>
          </cell>
          <cell r="AI16">
            <v>1.2000000476837158</v>
          </cell>
          <cell r="AK16">
            <v>1.6000000238418579</v>
          </cell>
          <cell r="AM16">
            <v>1.2000000476837158</v>
          </cell>
          <cell r="AO16">
            <v>0.40000000596046448</v>
          </cell>
          <cell r="AQ16">
            <v>0.40000000596046448</v>
          </cell>
          <cell r="AS16">
            <v>0.80000001192092896</v>
          </cell>
          <cell r="AU16">
            <v>1.2000000476837158</v>
          </cell>
          <cell r="AW16">
            <v>0.60000002384185791</v>
          </cell>
          <cell r="AY16">
            <v>1</v>
          </cell>
          <cell r="BA16">
            <v>0.80000001192092896</v>
          </cell>
          <cell r="BC16">
            <v>1.2000000476837158</v>
          </cell>
          <cell r="BE16">
            <v>0</v>
          </cell>
          <cell r="BG16">
            <v>1.2000000476837158</v>
          </cell>
          <cell r="BI16">
            <v>0.40000000596046448</v>
          </cell>
        </row>
        <row r="17">
          <cell r="B17">
            <v>2</v>
          </cell>
          <cell r="C17">
            <v>2</v>
          </cell>
          <cell r="E17">
            <v>2</v>
          </cell>
          <cell r="G17">
            <v>2</v>
          </cell>
          <cell r="I17">
            <v>1.7999999523162842</v>
          </cell>
          <cell r="K17">
            <v>0.80000001192092896</v>
          </cell>
          <cell r="M17">
            <v>1.6000000238418579</v>
          </cell>
          <cell r="O17">
            <v>2</v>
          </cell>
          <cell r="Q17">
            <v>0.40000000596046448</v>
          </cell>
          <cell r="S17">
            <v>0.20000000298023224</v>
          </cell>
          <cell r="U17">
            <v>1.3999999761581421</v>
          </cell>
          <cell r="W17">
            <v>0</v>
          </cell>
          <cell r="Y17">
            <v>0.60000002384185791</v>
          </cell>
          <cell r="AA17">
            <v>1.3999999761581421</v>
          </cell>
          <cell r="AC17">
            <v>0.20000000298023224</v>
          </cell>
          <cell r="AE17">
            <v>0.20000000298023224</v>
          </cell>
          <cell r="AG17">
            <v>0.60000002384185791</v>
          </cell>
          <cell r="AI17">
            <v>0.80000001192092896</v>
          </cell>
          <cell r="AK17">
            <v>1.2000000476837158</v>
          </cell>
          <cell r="AM17">
            <v>0.60000002384185791</v>
          </cell>
          <cell r="AO17">
            <v>0.60000002384185791</v>
          </cell>
          <cell r="AQ17">
            <v>1.6000000238418579</v>
          </cell>
          <cell r="AS17">
            <v>0.60000002384185791</v>
          </cell>
          <cell r="AU17">
            <v>0.80000001192092896</v>
          </cell>
          <cell r="AW17">
            <v>0.80000001192092896</v>
          </cell>
          <cell r="AY17">
            <v>1.7999999523162842</v>
          </cell>
          <cell r="BA17">
            <v>0.80000001192092896</v>
          </cell>
          <cell r="BC17">
            <v>1.3999999761581421</v>
          </cell>
          <cell r="BE17">
            <v>1.3999999761581421</v>
          </cell>
          <cell r="BG17">
            <v>0.80000001192092896</v>
          </cell>
          <cell r="BI17">
            <v>2</v>
          </cell>
        </row>
        <row r="19">
          <cell r="B19">
            <v>2</v>
          </cell>
          <cell r="C19">
            <v>1.3999999761581421</v>
          </cell>
          <cell r="E19">
            <v>1</v>
          </cell>
          <cell r="G19">
            <v>0.40000000596046448</v>
          </cell>
          <cell r="I19">
            <v>1.2000000476837158</v>
          </cell>
          <cell r="K19">
            <v>1.6000000238418579</v>
          </cell>
          <cell r="M19">
            <v>1</v>
          </cell>
          <cell r="O19">
            <v>1.7999999523162842</v>
          </cell>
          <cell r="Q19">
            <v>0.60000002384185791</v>
          </cell>
          <cell r="S19">
            <v>1.3999999761581421</v>
          </cell>
          <cell r="U19">
            <v>1.7999999523162842</v>
          </cell>
          <cell r="W19">
            <v>0.60000002384185791</v>
          </cell>
          <cell r="Y19">
            <v>0.80000001192092896</v>
          </cell>
          <cell r="AA19">
            <v>0</v>
          </cell>
          <cell r="AC19">
            <v>0.60000002384185791</v>
          </cell>
          <cell r="AE19">
            <v>2</v>
          </cell>
          <cell r="AG19">
            <v>1.6000000238418579</v>
          </cell>
          <cell r="AI19">
            <v>1.2000000476837158</v>
          </cell>
          <cell r="AK19">
            <v>1.2000000476837158</v>
          </cell>
          <cell r="AM19">
            <v>0.40000000596046448</v>
          </cell>
          <cell r="AO19">
            <v>1</v>
          </cell>
          <cell r="AQ19">
            <v>1.6000000238418579</v>
          </cell>
          <cell r="AS19">
            <v>1.7999999523162842</v>
          </cell>
          <cell r="AU19">
            <v>0.20000000298023224</v>
          </cell>
          <cell r="AW19">
            <v>1</v>
          </cell>
          <cell r="AY19">
            <v>0.80000001192092896</v>
          </cell>
          <cell r="BA19">
            <v>0</v>
          </cell>
          <cell r="BC19">
            <v>0.80000001192092896</v>
          </cell>
          <cell r="BE19">
            <v>1.3999999761581421</v>
          </cell>
          <cell r="BG19">
            <v>1</v>
          </cell>
          <cell r="BI19">
            <v>0.80000001192092896</v>
          </cell>
        </row>
        <row r="36">
          <cell r="A36" t="str">
            <v>10.  Explicar y reconocer el efecto Doppler para el sonido.</v>
          </cell>
        </row>
      </sheetData>
      <sheetData sheetId="4">
        <row r="2">
          <cell r="B2">
            <v>44562</v>
          </cell>
        </row>
        <row r="27">
          <cell r="B27">
            <v>1.5</v>
          </cell>
          <cell r="C27">
            <v>1.5</v>
          </cell>
          <cell r="E27">
            <v>1.5</v>
          </cell>
          <cell r="G27">
            <v>0.90000003576278687</v>
          </cell>
          <cell r="I27">
            <v>0.75</v>
          </cell>
          <cell r="K27">
            <v>0.90000003576278687</v>
          </cell>
          <cell r="M27">
            <v>0</v>
          </cell>
          <cell r="O27">
            <v>0.30000000447034836</v>
          </cell>
          <cell r="Q27">
            <v>0.45000001788139343</v>
          </cell>
          <cell r="S27">
            <v>0</v>
          </cell>
          <cell r="U27">
            <v>0.15000000223517418</v>
          </cell>
          <cell r="W27">
            <v>0.60000000894069672</v>
          </cell>
          <cell r="Y27">
            <v>0.90000003576278687</v>
          </cell>
          <cell r="AA27">
            <v>0.90000003576278687</v>
          </cell>
          <cell r="AC27">
            <v>1.2000000178813934</v>
          </cell>
          <cell r="AE27">
            <v>0</v>
          </cell>
          <cell r="AG27">
            <v>0.60000000894069672</v>
          </cell>
          <cell r="AI27">
            <v>0</v>
          </cell>
          <cell r="AK27">
            <v>0.45000001788139343</v>
          </cell>
          <cell r="AM27">
            <v>0.90000003576278687</v>
          </cell>
          <cell r="AO27">
            <v>0.75</v>
          </cell>
          <cell r="AQ27">
            <v>0.90000003576278687</v>
          </cell>
          <cell r="AS27">
            <v>0.45000001788139343</v>
          </cell>
          <cell r="AU27">
            <v>1.5</v>
          </cell>
          <cell r="AW27">
            <v>1.2000000178813934</v>
          </cell>
          <cell r="AY27">
            <v>0.90000003576278687</v>
          </cell>
          <cell r="BA27">
            <v>0.60000000894069672</v>
          </cell>
          <cell r="BC27">
            <v>1.2000000178813934</v>
          </cell>
          <cell r="BE27">
            <v>0.15000000223517418</v>
          </cell>
          <cell r="BG27">
            <v>0</v>
          </cell>
          <cell r="BI27">
            <v>0.30000000447034836</v>
          </cell>
        </row>
        <row r="28">
          <cell r="B28">
            <v>1.5</v>
          </cell>
          <cell r="C28">
            <v>1.2000000178813934</v>
          </cell>
          <cell r="E28">
            <v>1.5</v>
          </cell>
          <cell r="G28">
            <v>0.45000001788139343</v>
          </cell>
          <cell r="I28">
            <v>1.0499999821186066</v>
          </cell>
          <cell r="K28">
            <v>1.2000000178813934</v>
          </cell>
          <cell r="M28">
            <v>0</v>
          </cell>
          <cell r="O28">
            <v>1.2000000178813934</v>
          </cell>
          <cell r="Q28">
            <v>0.75</v>
          </cell>
          <cell r="S28">
            <v>0.30000000447034836</v>
          </cell>
          <cell r="U28">
            <v>0.90000003576278687</v>
          </cell>
          <cell r="W28">
            <v>1.3499999642372131</v>
          </cell>
          <cell r="Y28">
            <v>1.5</v>
          </cell>
          <cell r="AA28">
            <v>1.0499999821186066</v>
          </cell>
          <cell r="AC28">
            <v>0</v>
          </cell>
          <cell r="AE28">
            <v>1.0499999821186066</v>
          </cell>
          <cell r="AG28">
            <v>1.5</v>
          </cell>
          <cell r="AI28">
            <v>0</v>
          </cell>
          <cell r="AK28">
            <v>1.5</v>
          </cell>
          <cell r="AM28">
            <v>0</v>
          </cell>
          <cell r="AO28">
            <v>0.45000001788139343</v>
          </cell>
          <cell r="AQ28">
            <v>0.90000003576278687</v>
          </cell>
          <cell r="AS28">
            <v>1.2000000178813934</v>
          </cell>
          <cell r="AU28">
            <v>0</v>
          </cell>
          <cell r="AW28">
            <v>0</v>
          </cell>
          <cell r="AY28">
            <v>0.90000003576278687</v>
          </cell>
          <cell r="BA28">
            <v>0.45000001788139343</v>
          </cell>
          <cell r="BC28">
            <v>0.60000000894069672</v>
          </cell>
          <cell r="BE28">
            <v>0.75</v>
          </cell>
          <cell r="BG28">
            <v>1.2000000178813934</v>
          </cell>
          <cell r="BI28">
            <v>0.60000000894069672</v>
          </cell>
        </row>
        <row r="29">
          <cell r="B29">
            <v>1</v>
          </cell>
          <cell r="C29">
            <v>0.30000001192092896</v>
          </cell>
          <cell r="E29">
            <v>0</v>
          </cell>
          <cell r="G29">
            <v>0.40000000596046448</v>
          </cell>
          <cell r="I29">
            <v>0.60000002384185791</v>
          </cell>
          <cell r="K29">
            <v>0.80000001192092896</v>
          </cell>
          <cell r="M29">
            <v>0.60000002384185791</v>
          </cell>
          <cell r="O29">
            <v>0.69999998807907104</v>
          </cell>
          <cell r="Q29">
            <v>0.80000001192092896</v>
          </cell>
          <cell r="S29">
            <v>0.40000000596046448</v>
          </cell>
          <cell r="U29">
            <v>0.80000001192092896</v>
          </cell>
          <cell r="W29">
            <v>0.69999998807907104</v>
          </cell>
          <cell r="Y29">
            <v>0.69999998807907104</v>
          </cell>
          <cell r="AA29">
            <v>0.80000001192092896</v>
          </cell>
          <cell r="AC29">
            <v>0.20000000298023224</v>
          </cell>
          <cell r="AE29">
            <v>0.80000001192092896</v>
          </cell>
          <cell r="AG29">
            <v>0</v>
          </cell>
          <cell r="AI29">
            <v>0.20000000298023224</v>
          </cell>
          <cell r="AK29">
            <v>1</v>
          </cell>
          <cell r="AM29">
            <v>0.89999997615814209</v>
          </cell>
          <cell r="AO29">
            <v>0.20000000298023224</v>
          </cell>
          <cell r="AQ29">
            <v>0.20000000298023224</v>
          </cell>
          <cell r="AS29">
            <v>0.20000000298023224</v>
          </cell>
          <cell r="AU29">
            <v>1</v>
          </cell>
          <cell r="AW29">
            <v>0.20000000298023224</v>
          </cell>
          <cell r="AY29">
            <v>0.20000000298023224</v>
          </cell>
          <cell r="BA29">
            <v>0.69999998807907104</v>
          </cell>
          <cell r="BC29">
            <v>0.69999998807907104</v>
          </cell>
          <cell r="BE29">
            <v>0.80000001192092896</v>
          </cell>
          <cell r="BG29">
            <v>0.80000001192092896</v>
          </cell>
          <cell r="BI29">
            <v>0.30000001192092896</v>
          </cell>
        </row>
        <row r="31">
          <cell r="B31">
            <v>2</v>
          </cell>
          <cell r="C31">
            <v>1.7999999523162842</v>
          </cell>
          <cell r="E31">
            <v>1.3999999761581421</v>
          </cell>
          <cell r="G31">
            <v>1.7999999523162842</v>
          </cell>
          <cell r="I31">
            <v>0.40000000596046448</v>
          </cell>
          <cell r="K31">
            <v>0.60000002384185791</v>
          </cell>
          <cell r="M31">
            <v>1.2000000476837158</v>
          </cell>
          <cell r="O31">
            <v>0.60000002384185791</v>
          </cell>
          <cell r="Q31">
            <v>0.40000000596046448</v>
          </cell>
          <cell r="S31">
            <v>1.2000000476837158</v>
          </cell>
          <cell r="U31">
            <v>1.2000000476837158</v>
          </cell>
          <cell r="W31">
            <v>0.20000000298023224</v>
          </cell>
          <cell r="Y31">
            <v>0</v>
          </cell>
          <cell r="AA31">
            <v>1.2000000476837158</v>
          </cell>
          <cell r="AC31">
            <v>1.7999999523162842</v>
          </cell>
          <cell r="AE31">
            <v>1.3999999761581421</v>
          </cell>
          <cell r="AG31">
            <v>0.80000001192092896</v>
          </cell>
          <cell r="AI31">
            <v>0.40000000596046448</v>
          </cell>
          <cell r="AK31">
            <v>1</v>
          </cell>
          <cell r="AM31">
            <v>2</v>
          </cell>
          <cell r="AO31">
            <v>1.6000000238418579</v>
          </cell>
          <cell r="AQ31">
            <v>0.80000001192092896</v>
          </cell>
          <cell r="AS31">
            <v>1</v>
          </cell>
          <cell r="AU31">
            <v>1.2000000476837158</v>
          </cell>
          <cell r="AW31">
            <v>1.3999999761581421</v>
          </cell>
          <cell r="AY31">
            <v>0</v>
          </cell>
          <cell r="BA31">
            <v>1.3999999761581421</v>
          </cell>
          <cell r="BC31">
            <v>1.7999999523162842</v>
          </cell>
          <cell r="BE31">
            <v>0.60000002384185791</v>
          </cell>
          <cell r="BG31">
            <v>0.20000000298023224</v>
          </cell>
          <cell r="BI31">
            <v>0.80000001192092896</v>
          </cell>
        </row>
        <row r="32">
          <cell r="B32">
            <v>2</v>
          </cell>
          <cell r="C32">
            <v>1.6000000238418579</v>
          </cell>
          <cell r="E32">
            <v>0.60000002384185791</v>
          </cell>
          <cell r="G32">
            <v>0.80000001192092896</v>
          </cell>
          <cell r="I32">
            <v>1.6000000238418579</v>
          </cell>
          <cell r="K32">
            <v>0.80000001192092896</v>
          </cell>
          <cell r="M32">
            <v>1.3999999761581421</v>
          </cell>
          <cell r="O32">
            <v>1</v>
          </cell>
          <cell r="Q32">
            <v>0.20000000298023224</v>
          </cell>
          <cell r="S32">
            <v>0.60000002384185791</v>
          </cell>
          <cell r="U32">
            <v>0</v>
          </cell>
          <cell r="W32">
            <v>2</v>
          </cell>
          <cell r="Y32">
            <v>0.60000002384185791</v>
          </cell>
          <cell r="AA32">
            <v>1.2000000476837158</v>
          </cell>
          <cell r="AC32">
            <v>0.60000002384185791</v>
          </cell>
          <cell r="AE32">
            <v>1.7999999523162842</v>
          </cell>
          <cell r="AG32">
            <v>0.60000002384185791</v>
          </cell>
          <cell r="AI32">
            <v>1.6000000238418579</v>
          </cell>
          <cell r="AK32">
            <v>0.20000000298023224</v>
          </cell>
          <cell r="AM32">
            <v>0.60000002384185791</v>
          </cell>
          <cell r="AO32">
            <v>0</v>
          </cell>
          <cell r="AQ32">
            <v>1</v>
          </cell>
          <cell r="AS32">
            <v>0.80000001192092896</v>
          </cell>
          <cell r="AU32">
            <v>1.2000000476837158</v>
          </cell>
          <cell r="AW32">
            <v>0</v>
          </cell>
          <cell r="AY32">
            <v>0.60000002384185791</v>
          </cell>
          <cell r="BA32">
            <v>0.20000000298023224</v>
          </cell>
          <cell r="BC32">
            <v>0.60000002384185791</v>
          </cell>
          <cell r="BE32">
            <v>1.6000000238418579</v>
          </cell>
          <cell r="BG32">
            <v>1.2000000476837158</v>
          </cell>
          <cell r="BI32">
            <v>2</v>
          </cell>
        </row>
        <row r="33">
          <cell r="B33">
            <v>1</v>
          </cell>
          <cell r="C33">
            <v>0.89999997615814209</v>
          </cell>
          <cell r="E33">
            <v>0.60000002384185791</v>
          </cell>
          <cell r="G33">
            <v>0.60000002384185791</v>
          </cell>
          <cell r="I33">
            <v>0.20000000298023224</v>
          </cell>
          <cell r="K33">
            <v>0.89999997615814209</v>
          </cell>
          <cell r="M33">
            <v>0.30000001192092896</v>
          </cell>
          <cell r="O33">
            <v>0.60000002384185791</v>
          </cell>
          <cell r="Q33">
            <v>0.60000002384185791</v>
          </cell>
          <cell r="S33">
            <v>0.80000001192092896</v>
          </cell>
          <cell r="U33">
            <v>0.69999998807907104</v>
          </cell>
          <cell r="W33">
            <v>0.69999998807907104</v>
          </cell>
          <cell r="Y33">
            <v>0.80000001192092896</v>
          </cell>
          <cell r="AA33">
            <v>0.20000000298023224</v>
          </cell>
          <cell r="AC33">
            <v>0.60000002384185791</v>
          </cell>
          <cell r="AE33">
            <v>0.5</v>
          </cell>
          <cell r="AG33">
            <v>0.60000002384185791</v>
          </cell>
          <cell r="AI33">
            <v>0.30000001192092896</v>
          </cell>
          <cell r="AK33">
            <v>0.40000000596046448</v>
          </cell>
          <cell r="AM33">
            <v>0.30000001192092896</v>
          </cell>
          <cell r="AO33">
            <v>1</v>
          </cell>
          <cell r="AQ33">
            <v>0.5</v>
          </cell>
          <cell r="AS33">
            <v>0.60000002384185791</v>
          </cell>
          <cell r="AU33">
            <v>0.5</v>
          </cell>
          <cell r="AW33">
            <v>0</v>
          </cell>
          <cell r="AY33">
            <v>0.40000000596046448</v>
          </cell>
          <cell r="BA33">
            <v>0.10000000149011612</v>
          </cell>
          <cell r="BC33">
            <v>0.69999998807907104</v>
          </cell>
          <cell r="BE33">
            <v>0.10000000149011612</v>
          </cell>
          <cell r="BG33">
            <v>0.20000000298023224</v>
          </cell>
          <cell r="BI33">
            <v>0.40000000596046448</v>
          </cell>
        </row>
        <row r="34">
          <cell r="B34">
            <v>1</v>
          </cell>
          <cell r="C34">
            <v>0.10000000149011612</v>
          </cell>
          <cell r="E34">
            <v>0.60000002384185791</v>
          </cell>
          <cell r="G34">
            <v>0.69999998807907104</v>
          </cell>
          <cell r="I34">
            <v>0.40000000596046448</v>
          </cell>
          <cell r="K34">
            <v>0.40000000596046448</v>
          </cell>
          <cell r="M34">
            <v>0.30000001192092896</v>
          </cell>
          <cell r="O34">
            <v>0.69999998807907104</v>
          </cell>
          <cell r="Q34">
            <v>0.20000000298023224</v>
          </cell>
          <cell r="S34">
            <v>0</v>
          </cell>
          <cell r="U34">
            <v>0.89999997615814209</v>
          </cell>
          <cell r="W34">
            <v>0</v>
          </cell>
          <cell r="Y34">
            <v>0.5</v>
          </cell>
          <cell r="AA34">
            <v>0.80000001192092896</v>
          </cell>
          <cell r="AC34">
            <v>0.80000001192092896</v>
          </cell>
          <cell r="AE34">
            <v>0.89999997615814209</v>
          </cell>
          <cell r="AG34">
            <v>0.20000000298023224</v>
          </cell>
          <cell r="AI34">
            <v>0.5</v>
          </cell>
          <cell r="AK34">
            <v>0.89999997615814209</v>
          </cell>
          <cell r="AM34">
            <v>0.89999997615814209</v>
          </cell>
          <cell r="AO34">
            <v>0.40000000596046448</v>
          </cell>
          <cell r="AQ34">
            <v>0.5</v>
          </cell>
          <cell r="AS34">
            <v>0.30000001192092896</v>
          </cell>
          <cell r="AU34">
            <v>0.20000000298023224</v>
          </cell>
          <cell r="AW34">
            <v>0.80000001192092896</v>
          </cell>
          <cell r="AY34">
            <v>0.5</v>
          </cell>
          <cell r="BA34">
            <v>0.5</v>
          </cell>
          <cell r="BC34">
            <v>0.60000002384185791</v>
          </cell>
          <cell r="BE34">
            <v>0</v>
          </cell>
          <cell r="BG34">
            <v>0.69999998807907104</v>
          </cell>
          <cell r="BI34">
            <v>0.20000000298023224</v>
          </cell>
        </row>
        <row r="36">
          <cell r="A36" t="str">
            <v>10.  Explicar y reconocer el efecto Doppler para el sonido.</v>
          </cell>
        </row>
      </sheetData>
      <sheetData sheetId="5">
        <row r="2">
          <cell r="B2">
            <v>44562</v>
          </cell>
        </row>
        <row r="36">
          <cell r="A36" t="str">
            <v>10.  Explicar y reconocer el efecto Doppler para el sonido.</v>
          </cell>
        </row>
      </sheetData>
      <sheetData sheetId="6">
        <row r="2">
          <cell r="B2">
            <v>44562</v>
          </cell>
        </row>
        <row r="5">
          <cell r="B5">
            <v>2.5</v>
          </cell>
          <cell r="C5">
            <v>0</v>
          </cell>
          <cell r="E5">
            <v>0.75000002980232239</v>
          </cell>
          <cell r="G5">
            <v>2.5</v>
          </cell>
          <cell r="I5">
            <v>0.75000002980232239</v>
          </cell>
          <cell r="K5">
            <v>1.7499999701976776</v>
          </cell>
          <cell r="M5">
            <v>0.75000002980232239</v>
          </cell>
          <cell r="O5">
            <v>1.0000000149011612</v>
          </cell>
          <cell r="Q5">
            <v>0.75000002980232239</v>
          </cell>
          <cell r="S5">
            <v>0.5000000074505806</v>
          </cell>
          <cell r="U5">
            <v>0.5000000074505806</v>
          </cell>
          <cell r="W5">
            <v>1.0000000149011612</v>
          </cell>
          <cell r="Y5">
            <v>1.5000000596046448</v>
          </cell>
          <cell r="AA5">
            <v>0.5000000074505806</v>
          </cell>
          <cell r="AC5">
            <v>1.7499999701976776</v>
          </cell>
          <cell r="AE5">
            <v>1.5000000596046448</v>
          </cell>
          <cell r="AG5">
            <v>1.5000000596046448</v>
          </cell>
          <cell r="AI5">
            <v>0</v>
          </cell>
          <cell r="AK5">
            <v>0</v>
          </cell>
          <cell r="AM5">
            <v>0.2500000037252903</v>
          </cell>
          <cell r="AO5">
            <v>0.5000000074505806</v>
          </cell>
          <cell r="AQ5">
            <v>1.0000000149011612</v>
          </cell>
          <cell r="AS5">
            <v>1.5000000596046448</v>
          </cell>
          <cell r="AU5">
            <v>0.75000002980232239</v>
          </cell>
          <cell r="AW5">
            <v>2.2499999403953552</v>
          </cell>
          <cell r="AY5">
            <v>2.2499999403953552</v>
          </cell>
          <cell r="BA5">
            <v>1.25</v>
          </cell>
          <cell r="BC5">
            <v>1.0000000149011612</v>
          </cell>
          <cell r="BE5">
            <v>0</v>
          </cell>
          <cell r="BG5">
            <v>0.5000000074505806</v>
          </cell>
          <cell r="BI5">
            <v>0.2500000037252903</v>
          </cell>
        </row>
        <row r="6">
          <cell r="B6">
            <v>2.5</v>
          </cell>
          <cell r="C6">
            <v>1.7499999701976776</v>
          </cell>
          <cell r="E6">
            <v>2.5</v>
          </cell>
          <cell r="G6">
            <v>0.75000002980232239</v>
          </cell>
          <cell r="I6">
            <v>0.5000000074505806</v>
          </cell>
          <cell r="K6">
            <v>2.2499999403953552</v>
          </cell>
          <cell r="M6">
            <v>0.2500000037252903</v>
          </cell>
          <cell r="O6">
            <v>1.5000000596046448</v>
          </cell>
          <cell r="Q6">
            <v>1.5000000596046448</v>
          </cell>
          <cell r="S6">
            <v>1.5000000596046448</v>
          </cell>
          <cell r="U6">
            <v>1.7499999701976776</v>
          </cell>
          <cell r="W6">
            <v>2.2499999403953552</v>
          </cell>
          <cell r="Y6">
            <v>0.2500000037252903</v>
          </cell>
          <cell r="AA6">
            <v>1.0000000149011612</v>
          </cell>
          <cell r="AC6">
            <v>2.2499999403953552</v>
          </cell>
          <cell r="AE6">
            <v>0.5000000074505806</v>
          </cell>
          <cell r="AG6">
            <v>1.7499999701976776</v>
          </cell>
          <cell r="AI6">
            <v>1.0000000149011612</v>
          </cell>
          <cell r="AK6">
            <v>2.2499999403953552</v>
          </cell>
          <cell r="AM6">
            <v>1.0000000149011612</v>
          </cell>
          <cell r="AO6">
            <v>2.2499999403953552</v>
          </cell>
          <cell r="AQ6">
            <v>0.5000000074505806</v>
          </cell>
          <cell r="AS6">
            <v>2.0000000298023224</v>
          </cell>
          <cell r="AU6">
            <v>2.2499999403953552</v>
          </cell>
          <cell r="AW6">
            <v>0.5000000074505806</v>
          </cell>
          <cell r="AY6">
            <v>2.5</v>
          </cell>
          <cell r="BA6">
            <v>2.5</v>
          </cell>
          <cell r="BC6">
            <v>2.2499999403953552</v>
          </cell>
          <cell r="BE6">
            <v>1.25</v>
          </cell>
          <cell r="BG6">
            <v>1.7499999701976776</v>
          </cell>
          <cell r="BI6">
            <v>1.25</v>
          </cell>
        </row>
        <row r="7">
          <cell r="B7">
            <v>2.5</v>
          </cell>
          <cell r="C7">
            <v>0.2500000037252903</v>
          </cell>
          <cell r="E7">
            <v>1.7499999701976776</v>
          </cell>
          <cell r="G7">
            <v>1.5000000596046448</v>
          </cell>
          <cell r="I7">
            <v>2.2499999403953552</v>
          </cell>
          <cell r="K7">
            <v>1.0000000149011612</v>
          </cell>
          <cell r="M7">
            <v>0</v>
          </cell>
          <cell r="O7">
            <v>1.25</v>
          </cell>
          <cell r="Q7">
            <v>0</v>
          </cell>
          <cell r="S7">
            <v>1.0000000149011612</v>
          </cell>
          <cell r="U7">
            <v>1.0000000149011612</v>
          </cell>
          <cell r="W7">
            <v>0.75000002980232239</v>
          </cell>
          <cell r="Y7">
            <v>2.5</v>
          </cell>
          <cell r="AA7">
            <v>0</v>
          </cell>
          <cell r="AC7">
            <v>1.7499999701976776</v>
          </cell>
          <cell r="AE7">
            <v>1.5000000596046448</v>
          </cell>
          <cell r="AG7">
            <v>1.25</v>
          </cell>
          <cell r="AI7">
            <v>0</v>
          </cell>
          <cell r="AK7">
            <v>1.7499999701976776</v>
          </cell>
          <cell r="AM7">
            <v>0.75000002980232239</v>
          </cell>
          <cell r="AO7">
            <v>2.5</v>
          </cell>
          <cell r="AQ7">
            <v>0.75000002980232239</v>
          </cell>
          <cell r="AS7">
            <v>1.0000000149011612</v>
          </cell>
          <cell r="AU7">
            <v>0.75000002980232239</v>
          </cell>
          <cell r="AW7">
            <v>0.75000002980232239</v>
          </cell>
          <cell r="AY7">
            <v>0.5000000074505806</v>
          </cell>
          <cell r="BA7">
            <v>1.5000000596046448</v>
          </cell>
          <cell r="BC7">
            <v>1.7499999701976776</v>
          </cell>
          <cell r="BE7">
            <v>0.5000000074505806</v>
          </cell>
          <cell r="BG7">
            <v>1.5000000596046448</v>
          </cell>
          <cell r="BI7">
            <v>1.5000000596046448</v>
          </cell>
        </row>
        <row r="8">
          <cell r="B8">
            <v>2.5</v>
          </cell>
          <cell r="C8">
            <v>2.5</v>
          </cell>
          <cell r="E8">
            <v>2.5</v>
          </cell>
          <cell r="G8">
            <v>0.5000000074505806</v>
          </cell>
          <cell r="I8">
            <v>2.0000000298023224</v>
          </cell>
          <cell r="K8">
            <v>2.0000000298023224</v>
          </cell>
          <cell r="M8">
            <v>1.0000000149011612</v>
          </cell>
          <cell r="O8">
            <v>1.5000000596046448</v>
          </cell>
          <cell r="Q8">
            <v>1.25</v>
          </cell>
          <cell r="S8">
            <v>1.25</v>
          </cell>
          <cell r="U8">
            <v>0.2500000037252903</v>
          </cell>
          <cell r="W8">
            <v>2.5</v>
          </cell>
          <cell r="Y8">
            <v>0.2500000037252903</v>
          </cell>
          <cell r="AA8">
            <v>1.5000000596046448</v>
          </cell>
          <cell r="AC8">
            <v>1.7499999701976776</v>
          </cell>
          <cell r="AE8">
            <v>0.2500000037252903</v>
          </cell>
          <cell r="AG8">
            <v>1.7499999701976776</v>
          </cell>
          <cell r="AI8">
            <v>2.0000000298023224</v>
          </cell>
          <cell r="AK8">
            <v>2.0000000298023224</v>
          </cell>
          <cell r="AM8">
            <v>1.0000000149011612</v>
          </cell>
          <cell r="AO8">
            <v>0</v>
          </cell>
          <cell r="AQ8">
            <v>1.25</v>
          </cell>
          <cell r="AS8">
            <v>1.5000000596046448</v>
          </cell>
          <cell r="AU8">
            <v>0</v>
          </cell>
          <cell r="AW8">
            <v>1.0000000149011612</v>
          </cell>
          <cell r="AY8">
            <v>0.2500000037252903</v>
          </cell>
          <cell r="BA8">
            <v>0.2500000037252903</v>
          </cell>
          <cell r="BC8">
            <v>0.75000002980232239</v>
          </cell>
          <cell r="BE8">
            <v>2.5</v>
          </cell>
          <cell r="BG8">
            <v>1.5000000596046448</v>
          </cell>
          <cell r="BI8">
            <v>0.75000002980232239</v>
          </cell>
        </row>
      </sheetData>
      <sheetData sheetId="7">
        <row r="2">
          <cell r="B2">
            <v>44562</v>
          </cell>
        </row>
      </sheetData>
      <sheetData sheetId="8">
        <row r="2">
          <cell r="B2">
            <v>44562</v>
          </cell>
        </row>
      </sheetData>
      <sheetData sheetId="9">
        <row r="2">
          <cell r="B2" t="str">
            <v>2º Bach.</v>
          </cell>
        </row>
        <row r="5">
          <cell r="B5" t="str">
            <v>Alma Casa, Mario</v>
          </cell>
          <cell r="C5" t="str">
            <v>maa02@test.test</v>
          </cell>
        </row>
        <row r="6">
          <cell r="B6" t="str">
            <v>Amado Luz, Martín</v>
          </cell>
          <cell r="C6" t="str">
            <v>marti@test.test</v>
          </cell>
        </row>
        <row r="7">
          <cell r="B7" t="str">
            <v>Bonete Cune, Carla</v>
          </cell>
          <cell r="C7" t="str">
            <v>cbene@test.test</v>
          </cell>
        </row>
        <row r="8">
          <cell r="B8" t="str">
            <v>Casado Gómez, María</v>
          </cell>
          <cell r="C8" t="str">
            <v>mcasa@test.test</v>
          </cell>
        </row>
        <row r="9">
          <cell r="B9" t="str">
            <v>Concepción García, Elena</v>
          </cell>
          <cell r="C9" t="str">
            <v>edlco@test.test</v>
          </cell>
        </row>
        <row r="10">
          <cell r="B10" t="str">
            <v>Díaz Lucas, Ricardo</v>
          </cell>
          <cell r="C10" t="str">
            <v>rdelu@test.test</v>
          </cell>
        </row>
        <row r="11">
          <cell r="B11" t="str">
            <v>Díaz Ríos, Lucía</v>
          </cell>
          <cell r="C11" t="str">
            <v>ldekk@test.test</v>
          </cell>
        </row>
        <row r="12">
          <cell r="B12" t="str">
            <v>García López, Juan Ángel</v>
          </cell>
          <cell r="C12" t="str">
            <v>jgarc@test.test</v>
          </cell>
        </row>
        <row r="13">
          <cell r="B13" t="str">
            <v>García Pérez, Luis</v>
          </cell>
          <cell r="C13" t="str">
            <v>lgarc@test.test</v>
          </cell>
        </row>
        <row r="14">
          <cell r="B14" t="str">
            <v>Garijo Piqueras, María</v>
          </cell>
          <cell r="C14" t="str">
            <v>pgari@test.test</v>
          </cell>
        </row>
        <row r="15">
          <cell r="B15" t="str">
            <v>Gómez Luna, José</v>
          </cell>
          <cell r="C15" t="str">
            <v>jgome@test.test</v>
          </cell>
        </row>
        <row r="16">
          <cell r="B16" t="str">
            <v>González García, Juan</v>
          </cell>
          <cell r="C16" t="str">
            <v>jmgon@test.test</v>
          </cell>
        </row>
        <row r="17">
          <cell r="B17" t="str">
            <v>González Pérez, María</v>
          </cell>
          <cell r="C17" t="str">
            <v>ahern@test.test</v>
          </cell>
        </row>
        <row r="18">
          <cell r="B18" t="str">
            <v>Laín Hernández, Luisa</v>
          </cell>
          <cell r="C18" t="str">
            <v>clope@test.test</v>
          </cell>
        </row>
        <row r="19">
          <cell r="B19" t="str">
            <v>Lirios Lara, Juan</v>
          </cell>
          <cell r="C19" t="str">
            <v>jlope@test.test</v>
          </cell>
        </row>
        <row r="20">
          <cell r="B20" t="str">
            <v>López Picazo, Marta</v>
          </cell>
          <cell r="C20" t="str">
            <v>alope@test.test</v>
          </cell>
        </row>
        <row r="21">
          <cell r="B21" t="str">
            <v>Molina Pérez, Marina</v>
          </cell>
          <cell r="C21" t="str">
            <v>amoli@test.test</v>
          </cell>
        </row>
        <row r="22">
          <cell r="B22" t="str">
            <v>Molina Sánchez, Inmaculada</v>
          </cell>
          <cell r="C22" t="str">
            <v>mmoli@test.test</v>
          </cell>
        </row>
        <row r="23">
          <cell r="B23" t="str">
            <v>Montero Pacheco, Pablo</v>
          </cell>
          <cell r="C23" t="str">
            <v>pmont@test.test</v>
          </cell>
        </row>
        <row r="24">
          <cell r="B24" t="str">
            <v>Mora García, Javier</v>
          </cell>
          <cell r="C24" t="str">
            <v>jmora@test.test</v>
          </cell>
        </row>
        <row r="25">
          <cell r="B25" t="str">
            <v>Morcillo Pared, Luna</v>
          </cell>
          <cell r="C25" t="str">
            <v>pmorc@test.test</v>
          </cell>
        </row>
        <row r="26">
          <cell r="B26" t="str">
            <v>Moreno Hernández, Francisco</v>
          </cell>
          <cell r="C26" t="str">
            <v>tmmor@test.test</v>
          </cell>
        </row>
        <row r="27">
          <cell r="B27" t="str">
            <v>Muñoz Garijo, Pablo</v>
          </cell>
          <cell r="C27" t="str">
            <v>pmuoz@test.test</v>
          </cell>
        </row>
        <row r="28">
          <cell r="B28" t="str">
            <v>Pérez Garrido, Francisco</v>
          </cell>
          <cell r="C28" t="str">
            <v>rrns0@test.test</v>
          </cell>
        </row>
        <row r="29">
          <cell r="B29" t="str">
            <v>Serna Serna, Susana</v>
          </cell>
          <cell r="C29" t="str">
            <v>fpere@test.test</v>
          </cell>
        </row>
        <row r="30">
          <cell r="B30" t="str">
            <v>Soriano Tornero, Manuel</v>
          </cell>
          <cell r="C30" t="str">
            <v>asanz@test.test</v>
          </cell>
        </row>
        <row r="31">
          <cell r="B31" t="str">
            <v>Sultán Zar, Pedro</v>
          </cell>
          <cell r="C31" t="str">
            <v>ssern@test.test</v>
          </cell>
        </row>
        <row r="32">
          <cell r="B32" t="str">
            <v>Tendero Grande, Marina</v>
          </cell>
          <cell r="C32" t="str">
            <v>dsori@test.test</v>
          </cell>
        </row>
        <row r="33">
          <cell r="B33" t="str">
            <v>Valencia Bueno, Isabel</v>
          </cell>
          <cell r="C33" t="str">
            <v>pzafr@test.test</v>
          </cell>
        </row>
        <row r="34">
          <cell r="B34" t="str">
            <v>Zarza Parrilla, Manuel</v>
          </cell>
          <cell r="C34" t="str">
            <v>pzafr@test.test</v>
          </cell>
        </row>
        <row r="36">
          <cell r="A36" t="str">
            <v>Versión 1.2</v>
          </cell>
        </row>
      </sheetData>
      <sheetData sheetId="10">
        <row r="36">
          <cell r="A36" t="str">
            <v>20.  Analizar el comportamiento de una bobina a partir de las leyes de Faraday y Lenz.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mailto:raquelnavarrosa@gmail.com" TargetMode="External"/><Relationship Id="rId1" Type="http://schemas.openxmlformats.org/officeDocument/2006/relationships/hyperlink" Target="mailto:rmontanana@gmail.co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9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  <pageSetUpPr fitToPage="1"/>
  </sheetPr>
  <dimension ref="A1:BJ28"/>
  <sheetViews>
    <sheetView showGridLines="0" showRowColHeader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25" sqref="A2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50" t="str" cm="1">
        <f t="array" ref="A1">[2]!GRUPO</f>
        <v>2º Bach.</v>
      </c>
      <c r="B1" s="61" t="s">
        <v>85</v>
      </c>
      <c r="C1" s="56">
        <v>1</v>
      </c>
      <c r="D1" s="56"/>
      <c r="E1" s="56">
        <v>2</v>
      </c>
      <c r="F1" s="56" t="s">
        <v>0</v>
      </c>
      <c r="G1" s="56">
        <v>3</v>
      </c>
      <c r="H1" s="56" t="s">
        <v>0</v>
      </c>
      <c r="I1" s="56">
        <v>4</v>
      </c>
      <c r="J1" s="56" t="s">
        <v>0</v>
      </c>
      <c r="K1" s="56">
        <v>5</v>
      </c>
      <c r="L1" s="56" t="s">
        <v>0</v>
      </c>
      <c r="M1" s="56">
        <v>6</v>
      </c>
      <c r="N1" s="56" t="s">
        <v>0</v>
      </c>
      <c r="O1" s="56">
        <v>7</v>
      </c>
      <c r="P1" s="56" t="s">
        <v>0</v>
      </c>
      <c r="Q1" s="56">
        <v>8</v>
      </c>
      <c r="R1" s="56" t="s">
        <v>0</v>
      </c>
      <c r="S1" s="56">
        <v>9</v>
      </c>
      <c r="T1" s="56" t="s">
        <v>0</v>
      </c>
      <c r="U1" s="56">
        <v>10</v>
      </c>
      <c r="V1" s="56" t="s">
        <v>0</v>
      </c>
      <c r="W1" s="56">
        <v>11</v>
      </c>
      <c r="X1" s="56" t="s">
        <v>0</v>
      </c>
      <c r="Y1" s="56">
        <v>12</v>
      </c>
      <c r="Z1" s="56" t="s">
        <v>1</v>
      </c>
      <c r="AA1" s="56">
        <v>13</v>
      </c>
      <c r="AB1" s="56" t="s">
        <v>0</v>
      </c>
      <c r="AC1" s="56">
        <v>14</v>
      </c>
      <c r="AD1" s="56" t="s">
        <v>0</v>
      </c>
      <c r="AE1" s="56">
        <v>15</v>
      </c>
      <c r="AF1" s="56" t="s">
        <v>0</v>
      </c>
      <c r="AG1" s="56">
        <v>16</v>
      </c>
      <c r="AH1" s="56" t="s">
        <v>0</v>
      </c>
      <c r="AI1" s="56">
        <v>17</v>
      </c>
      <c r="AJ1" s="56"/>
      <c r="AK1" s="56">
        <v>18</v>
      </c>
      <c r="AL1" s="56"/>
      <c r="AM1" s="56">
        <v>19</v>
      </c>
      <c r="AN1" s="56"/>
      <c r="AO1" s="56">
        <v>20</v>
      </c>
      <c r="AP1" s="56" t="s">
        <v>0</v>
      </c>
      <c r="AQ1" s="56">
        <v>21</v>
      </c>
      <c r="AR1" s="56"/>
      <c r="AS1" s="56">
        <v>22</v>
      </c>
      <c r="AT1" s="56" t="s">
        <v>0</v>
      </c>
      <c r="AU1" s="56">
        <v>23</v>
      </c>
      <c r="AV1" s="56" t="s">
        <v>0</v>
      </c>
      <c r="AW1" s="56">
        <v>24</v>
      </c>
      <c r="AX1" s="56"/>
      <c r="AY1" s="56">
        <v>25</v>
      </c>
      <c r="AZ1" s="56"/>
      <c r="BA1" s="56">
        <v>26</v>
      </c>
      <c r="BB1" s="56"/>
      <c r="BC1" s="56">
        <v>27</v>
      </c>
      <c r="BD1" s="56"/>
      <c r="BE1" s="56">
        <v>28</v>
      </c>
      <c r="BF1" s="56"/>
      <c r="BG1" s="56">
        <v>29</v>
      </c>
      <c r="BH1" s="56"/>
      <c r="BI1" s="56">
        <v>30</v>
      </c>
      <c r="BJ1" s="56"/>
    </row>
    <row r="2" spans="1:62" ht="115" customHeight="1" x14ac:dyDescent="0.2">
      <c r="A2" s="50"/>
      <c r="B2" s="62"/>
      <c r="C2" s="57" t="str">
        <f ca="1">[2]Examen11!C$2</f>
        <v>Alma Casa, Mario</v>
      </c>
      <c r="D2" s="57"/>
      <c r="E2" s="57" t="str">
        <f ca="1">[2]Examen11!E$2</f>
        <v>Amado Luz, Martín</v>
      </c>
      <c r="F2" s="57"/>
      <c r="G2" s="57" t="str">
        <f ca="1">[2]Examen11!G$2</f>
        <v>Bonete Cune, Carla</v>
      </c>
      <c r="H2" s="57"/>
      <c r="I2" s="57" t="str">
        <f ca="1">[2]Examen11!I$2</f>
        <v>Casado Gómez, María</v>
      </c>
      <c r="J2" s="57"/>
      <c r="K2" s="57" t="str">
        <f ca="1">[2]Examen11!K$2</f>
        <v>Concepción García, Elena</v>
      </c>
      <c r="L2" s="57"/>
      <c r="M2" s="57" t="str">
        <f ca="1">[2]Examen11!M$2</f>
        <v>Díaz Lucas, Ricardo</v>
      </c>
      <c r="N2" s="57"/>
      <c r="O2" s="57" t="str">
        <f ca="1">[2]Examen11!O$2</f>
        <v>Díaz Ríos, Lucía</v>
      </c>
      <c r="P2" s="57"/>
      <c r="Q2" s="57" t="str">
        <f ca="1">[2]Examen11!Q$2</f>
        <v>García López, Juan Ángel</v>
      </c>
      <c r="R2" s="57"/>
      <c r="S2" s="57" t="str">
        <f ca="1">[2]Examen11!S$2</f>
        <v>García Pérez, Luis</v>
      </c>
      <c r="T2" s="57"/>
      <c r="U2" s="57" t="str">
        <f ca="1">[2]Examen11!U$2</f>
        <v>Garijo Piqueras, María</v>
      </c>
      <c r="V2" s="57"/>
      <c r="W2" s="57" t="str">
        <f ca="1">[2]Examen11!W$2</f>
        <v>Gómez Luna, José</v>
      </c>
      <c r="X2" s="57"/>
      <c r="Y2" s="57" t="str">
        <f ca="1">[2]Examen11!Y$2</f>
        <v>González García, Juan</v>
      </c>
      <c r="Z2" s="57"/>
      <c r="AA2" s="57" t="str">
        <f ca="1">[2]Examen11!AA$2</f>
        <v>González Pérez, María</v>
      </c>
      <c r="AB2" s="57"/>
      <c r="AC2" s="57" t="str">
        <f ca="1">[2]Examen11!AC$2</f>
        <v>Laín Hernández, Luisa</v>
      </c>
      <c r="AD2" s="57"/>
      <c r="AE2" s="57" t="str">
        <f ca="1">[2]Examen11!AE$2</f>
        <v>Lirios Lara, Juan</v>
      </c>
      <c r="AF2" s="57"/>
      <c r="AG2" s="57" t="str">
        <f ca="1">[2]Examen11!AG$2</f>
        <v>López Picazo, Marta</v>
      </c>
      <c r="AH2" s="57"/>
      <c r="AI2" s="57" t="str">
        <f ca="1">[2]Examen11!AI$2</f>
        <v>Molina Pérez, Marina</v>
      </c>
      <c r="AJ2" s="57"/>
      <c r="AK2" s="57" t="str">
        <f ca="1">[2]Examen11!AK$2</f>
        <v>Molina Sánchez, Inmaculada</v>
      </c>
      <c r="AL2" s="57"/>
      <c r="AM2" s="57" t="str">
        <f ca="1">[2]Examen11!AM$2</f>
        <v>Montero Pacheco, Pablo</v>
      </c>
      <c r="AN2" s="57"/>
      <c r="AO2" s="57" t="str">
        <f ca="1">[2]Examen11!AO$2</f>
        <v>Mora García, Javier</v>
      </c>
      <c r="AP2" s="57"/>
      <c r="AQ2" s="57" t="str">
        <f ca="1">[2]Examen11!AQ$2</f>
        <v>Morcillo Pared, Luna</v>
      </c>
      <c r="AR2" s="57"/>
      <c r="AS2" s="57" t="str">
        <f ca="1">[2]Examen11!AS$2</f>
        <v>Moreno Hernández, Francisco</v>
      </c>
      <c r="AT2" s="57"/>
      <c r="AU2" s="57" t="str">
        <f ca="1">[2]Examen11!AU$2</f>
        <v>Muñoz Garijo, Pablo</v>
      </c>
      <c r="AV2" s="57"/>
      <c r="AW2" s="57" t="str">
        <f ca="1">[2]Examen11!AW$2</f>
        <v>Pérez Garrido, Francisco</v>
      </c>
      <c r="AX2" s="57"/>
      <c r="AY2" s="57" t="str">
        <f ca="1">[2]Examen11!AY$2</f>
        <v>Serna Serna, Susana</v>
      </c>
      <c r="AZ2" s="57"/>
      <c r="BA2" s="57" t="str">
        <f ca="1">[2]Examen11!BA$2</f>
        <v>Soriano Tornero, Manuel</v>
      </c>
      <c r="BB2" s="57"/>
      <c r="BC2" s="57" t="str">
        <f ca="1">[2]Examen11!BC$2</f>
        <v>Sultán Zar, Pedro</v>
      </c>
      <c r="BD2" s="57"/>
      <c r="BE2" s="57" t="str">
        <f ca="1">[2]Examen11!BE$2</f>
        <v>Tendero Grande, Marina</v>
      </c>
      <c r="BF2" s="57"/>
      <c r="BG2" s="57" t="str">
        <f ca="1">[2]Examen11!BG$2</f>
        <v>Valencia Bueno, Isabel</v>
      </c>
      <c r="BH2" s="57"/>
      <c r="BI2" s="57" t="str">
        <f ca="1">[2]Examen11!BI$2</f>
        <v>Zarza Parrilla, Manuel</v>
      </c>
      <c r="BJ2" s="57"/>
    </row>
    <row r="3" spans="1:62" ht="33" customHeight="1" x14ac:dyDescent="0.2">
      <c r="A3" s="28" t="str" cm="1">
        <f t="array" ref="A3">[2]!VERSION</f>
        <v>Versión 1.2</v>
      </c>
      <c r="B3" s="8" t="str">
        <f>IF((B4+B7+B16)=1,"Ok","Error % Bloques")</f>
        <v>Ok</v>
      </c>
      <c r="C3" s="59">
        <f>SUM(C4,C7,C16)</f>
        <v>4.499999979883432</v>
      </c>
      <c r="D3" s="60"/>
      <c r="E3" s="59">
        <f t="shared" ref="E3" si="0">SUM(E4,E7,E16)</f>
        <v>3.7575000375509262</v>
      </c>
      <c r="F3" s="60"/>
      <c r="G3" s="59">
        <f t="shared" ref="G3" si="1">SUM(G4,G7,G16)</f>
        <v>3.6900000482797619</v>
      </c>
      <c r="H3" s="60"/>
      <c r="I3" s="59">
        <f t="shared" ref="I3" si="2">SUM(I4,I7,I16)</f>
        <v>4.1625000318512324</v>
      </c>
      <c r="J3" s="60"/>
      <c r="K3" s="59">
        <f t="shared" ref="K3" si="3">SUM(K4,K7,K16)</f>
        <v>3.7350000388920308</v>
      </c>
      <c r="L3" s="60"/>
      <c r="M3" s="59">
        <f t="shared" ref="M3" si="4">SUM(M4,M7,M16)</f>
        <v>3.757500034198165</v>
      </c>
      <c r="N3" s="60"/>
      <c r="O3" s="59">
        <f t="shared" ref="O3" si="5">SUM(O4,O7,O16)</f>
        <v>4.365000004693866</v>
      </c>
      <c r="P3" s="60"/>
      <c r="Q3" s="59">
        <f t="shared" ref="Q3" si="6">SUM(Q4,Q7,Q16)</f>
        <v>5.1525000466033815</v>
      </c>
      <c r="R3" s="60"/>
      <c r="S3" s="59">
        <f t="shared" ref="S3" si="7">SUM(S4,S7,S16)</f>
        <v>3.4200000006705524</v>
      </c>
      <c r="T3" s="60"/>
      <c r="U3" s="59">
        <f t="shared" ref="U3" si="8">SUM(U4,U7,U16)</f>
        <v>4.95</v>
      </c>
      <c r="V3" s="60"/>
      <c r="W3" s="59">
        <f t="shared" ref="W3" si="9">SUM(W4,W7,W16)</f>
        <v>3.6900000214576725</v>
      </c>
      <c r="X3" s="60"/>
      <c r="Y3" s="59">
        <f t="shared" ref="Y3" si="10">SUM(Y4,Y7,Y16)</f>
        <v>5.4675000026822094</v>
      </c>
      <c r="Z3" s="60"/>
      <c r="AA3" s="59">
        <f t="shared" ref="AA3" si="11">SUM(AA4,AA7,AA16)</f>
        <v>4.5675000093877314</v>
      </c>
      <c r="AB3" s="60"/>
      <c r="AC3" s="59">
        <f t="shared" ref="AC3" si="12">SUM(AC4,AC7,AC16)</f>
        <v>3.6675000362098218</v>
      </c>
      <c r="AD3" s="60"/>
      <c r="AE3" s="59">
        <f t="shared" ref="AE3" si="13">SUM(AE4,AE7,AE16)</f>
        <v>4.1625000435858963</v>
      </c>
      <c r="AF3" s="60"/>
      <c r="AG3" s="59">
        <f t="shared" ref="AG3" si="14">SUM(AG4,AG7,AG16)</f>
        <v>5.0849999919533735</v>
      </c>
      <c r="AH3" s="60"/>
      <c r="AI3" s="59">
        <f t="shared" ref="AI3" si="15">SUM(AI4,AI7,AI16)</f>
        <v>4.297499991953373</v>
      </c>
      <c r="AJ3" s="60"/>
      <c r="AK3" s="59">
        <f t="shared" ref="AK3" si="16">SUM(AK4,AK7,AK16)</f>
        <v>4.2750000368803747</v>
      </c>
      <c r="AL3" s="60"/>
      <c r="AM3" s="59">
        <f t="shared" ref="AM3" si="17">SUM(AM4,AM7,AM16)</f>
        <v>4.590000061690807</v>
      </c>
      <c r="AN3" s="60"/>
      <c r="AO3" s="59">
        <f t="shared" ref="AO3" si="18">SUM(AO4,AO7,AO16)</f>
        <v>4.1850000154227018</v>
      </c>
      <c r="AP3" s="60"/>
      <c r="AQ3" s="59">
        <f t="shared" ref="AQ3" si="19">SUM(AQ4,AQ7,AQ16)</f>
        <v>4.9725000489503151</v>
      </c>
      <c r="AR3" s="60"/>
      <c r="AS3" s="59">
        <f t="shared" ref="AS3" si="20">SUM(AS4,AS7,AS16)</f>
        <v>5.3550000362098222</v>
      </c>
      <c r="AT3" s="60"/>
      <c r="AU3" s="59">
        <f t="shared" ref="AU3" si="21">SUM(AU4,AU7,AU16)</f>
        <v>4.3874999899417162</v>
      </c>
      <c r="AV3" s="60"/>
      <c r="AW3" s="59">
        <f t="shared" ref="AW3" si="22">SUM(AW4,AW7,AW16)</f>
        <v>4.6800000278279184</v>
      </c>
      <c r="AX3" s="60"/>
      <c r="AY3" s="59">
        <f t="shared" ref="AY3" si="23">SUM(AY4,AY7,AY16)</f>
        <v>4.6125000335276134</v>
      </c>
      <c r="AZ3" s="60"/>
      <c r="BA3" s="59">
        <f t="shared" ref="BA3" si="24">SUM(BA4,BA7,BA16)</f>
        <v>3.8925000227987772</v>
      </c>
      <c r="BB3" s="60"/>
      <c r="BC3" s="59">
        <f t="shared" ref="BC3" si="25">SUM(BC4,BC7,BC16)</f>
        <v>5.4000001206994055</v>
      </c>
      <c r="BD3" s="60"/>
      <c r="BE3" s="59">
        <f t="shared" ref="BE3" si="26">SUM(BE4,BE7,BE16)</f>
        <v>3.4874999932944775</v>
      </c>
      <c r="BF3" s="60"/>
      <c r="BG3" s="59">
        <f t="shared" ref="BG3" si="27">SUM(BG4,BG7,BG16)</f>
        <v>4.4549999892711645</v>
      </c>
      <c r="BH3" s="60"/>
      <c r="BI3" s="59">
        <f t="shared" ref="BI3" si="28">SUM(BI4,BI7,BI16)</f>
        <v>2.7900000231340529</v>
      </c>
      <c r="BJ3" s="60"/>
    </row>
    <row r="4" spans="1:62" ht="38" x14ac:dyDescent="0.2">
      <c r="A4" s="6" t="s">
        <v>2</v>
      </c>
      <c r="B4" s="7">
        <f>Estructura!B2</f>
        <v>0.1</v>
      </c>
      <c r="C4" s="58" t="str">
        <f>IF(SUM($B5:$B6)&lt;&gt;0,SUM(C5:C6)/SUM($B5:$B6)*$B4*10, "")</f>
        <v/>
      </c>
      <c r="D4" s="58"/>
      <c r="E4" s="58" t="str">
        <f>IF(SUM($B5:$B6)&lt;&gt;0,SUM(E5:E6)/SUM($B5:$B6)*$B4*10, "")</f>
        <v/>
      </c>
      <c r="F4" s="58"/>
      <c r="G4" s="58" t="str">
        <f>IF(SUM($B5:$B6)&lt;&gt;0,SUM(G5:G6)/SUM($B5:$B6)*$B4*10, "")</f>
        <v/>
      </c>
      <c r="H4" s="58"/>
      <c r="I4" s="58" t="str">
        <f>IF(SUM($B5:$B6)&lt;&gt;0,SUM(I5:I6)/SUM($B5:$B6)*$B4*10, "")</f>
        <v/>
      </c>
      <c r="J4" s="58"/>
      <c r="K4" s="58" t="str">
        <f>IF(SUM($B5:$B6)&lt;&gt;0,SUM(K5:K6)/SUM($B5:$B6)*$B4*10, "")</f>
        <v/>
      </c>
      <c r="L4" s="58"/>
      <c r="M4" s="58" t="str">
        <f>IF(SUM($B5:$B6)&lt;&gt;0,SUM(M5:M6)/SUM($B5:$B6)*$B4*10, "")</f>
        <v/>
      </c>
      <c r="N4" s="58"/>
      <c r="O4" s="58" t="str">
        <f>IF(SUM($B5:$B6)&lt;&gt;0,SUM(O5:O6)/SUM($B5:$B6)*$B4*10, "")</f>
        <v/>
      </c>
      <c r="P4" s="58"/>
      <c r="Q4" s="58" t="str">
        <f>IF(SUM($B5:$B6)&lt;&gt;0,SUM(Q5:Q6)/SUM($B5:$B6)*$B4*10, "")</f>
        <v/>
      </c>
      <c r="R4" s="58"/>
      <c r="S4" s="58" t="str">
        <f>IF(SUM($B5:$B6)&lt;&gt;0,SUM(S5:S6)/SUM($B5:$B6)*$B4*10, "")</f>
        <v/>
      </c>
      <c r="T4" s="58"/>
      <c r="U4" s="58" t="str">
        <f>IF(SUM($B5:$B6)&lt;&gt;0,SUM(U5:U6)/SUM($B5:$B6)*$B4*10, "")</f>
        <v/>
      </c>
      <c r="V4" s="58"/>
      <c r="W4" s="58" t="str">
        <f>IF(SUM($B5:$B6)&lt;&gt;0,SUM(W5:W6)/SUM($B5:$B6)*$B4*10, "")</f>
        <v/>
      </c>
      <c r="X4" s="58"/>
      <c r="Y4" s="58" t="str">
        <f>IF(SUM($B5:$B6)&lt;&gt;0,SUM(Y5:Y6)/SUM($B5:$B6)*$B4*10, "")</f>
        <v/>
      </c>
      <c r="Z4" s="58"/>
      <c r="AA4" s="58" t="str">
        <f>IF(SUM($B5:$B6)&lt;&gt;0,SUM(AA5:AA6)/SUM($B5:$B6)*$B4*10, "")</f>
        <v/>
      </c>
      <c r="AB4" s="58"/>
      <c r="AC4" s="58" t="str">
        <f>IF(SUM($B5:$B6)&lt;&gt;0,SUM(AC5:AC6)/SUM($B5:$B6)*$B4*10, "")</f>
        <v/>
      </c>
      <c r="AD4" s="58"/>
      <c r="AE4" s="58" t="str">
        <f>IF(SUM($B5:$B6)&lt;&gt;0,SUM(AE5:AE6)/SUM($B5:$B6)*$B4*10, "")</f>
        <v/>
      </c>
      <c r="AF4" s="58"/>
      <c r="AG4" s="58" t="str">
        <f>IF(SUM($B5:$B6)&lt;&gt;0,SUM(AG5:AG6)/SUM($B5:$B6)*$B4*10, "")</f>
        <v/>
      </c>
      <c r="AH4" s="58"/>
      <c r="AI4" s="58" t="str">
        <f>IF(SUM($B5:$B6)&lt;&gt;0,SUM(AI5:AI6)/SUM($B5:$B6)*$B4*10, "")</f>
        <v/>
      </c>
      <c r="AJ4" s="58"/>
      <c r="AK4" s="58" t="str">
        <f>IF(SUM($B5:$B6)&lt;&gt;0,SUM(AK5:AK6)/SUM($B5:$B6)*$B4*10, "")</f>
        <v/>
      </c>
      <c r="AL4" s="58"/>
      <c r="AM4" s="58" t="str">
        <f>IF(SUM($B5:$B6)&lt;&gt;0,SUM(AM5:AM6)/SUM($B5:$B6)*$B4*10, "")</f>
        <v/>
      </c>
      <c r="AN4" s="58"/>
      <c r="AO4" s="58" t="str">
        <f>IF(SUM($B5:$B6)&lt;&gt;0,SUM(AO5:AO6)/SUM($B5:$B6)*$B4*10, "")</f>
        <v/>
      </c>
      <c r="AP4" s="58"/>
      <c r="AQ4" s="58" t="str">
        <f>IF(SUM($B5:$B6)&lt;&gt;0,SUM(AQ5:AQ6)/SUM($B5:$B6)*$B4*10, "")</f>
        <v/>
      </c>
      <c r="AR4" s="58"/>
      <c r="AS4" s="58" t="str">
        <f>IF(SUM($B5:$B6)&lt;&gt;0,SUM(AS5:AS6)/SUM($B5:$B6)*$B4*10, "")</f>
        <v/>
      </c>
      <c r="AT4" s="58"/>
      <c r="AU4" s="58" t="str">
        <f>IF(SUM($B5:$B6)&lt;&gt;0,SUM(AU5:AU6)/SUM($B5:$B6)*$B4*10, "")</f>
        <v/>
      </c>
      <c r="AV4" s="58"/>
      <c r="AW4" s="58" t="str">
        <f>IF(SUM($B5:$B6)&lt;&gt;0,SUM(AW5:AW6)/SUM($B5:$B6)*$B4*10, "")</f>
        <v/>
      </c>
      <c r="AX4" s="58"/>
      <c r="AY4" s="58" t="str">
        <f>IF(SUM($B5:$B6)&lt;&gt;0,SUM(AY5:AY6)/SUM($B5:$B6)*$B4*10, "")</f>
        <v/>
      </c>
      <c r="AZ4" s="58"/>
      <c r="BA4" s="58" t="str">
        <f>IF(SUM($B5:$B6)&lt;&gt;0,SUM(BA5:BA6)/SUM($B5:$B6)*$B4*10, "")</f>
        <v/>
      </c>
      <c r="BB4" s="58"/>
      <c r="BC4" s="58" t="str">
        <f>IF(SUM($B5:$B6)&lt;&gt;0,SUM(BC5:BC6)/SUM($B5:$B6)*$B4*10, "")</f>
        <v/>
      </c>
      <c r="BD4" s="58"/>
      <c r="BE4" s="58" t="str">
        <f>IF(SUM($B5:$B6)&lt;&gt;0,SUM(BE5:BE6)/SUM($B5:$B6)*$B4*10, "")</f>
        <v/>
      </c>
      <c r="BF4" s="58"/>
      <c r="BG4" s="58" t="str">
        <f>IF(SUM($B5:$B6)&lt;&gt;0,SUM(BG5:BG6)/SUM($B5:$B6)*$B4*10, "")</f>
        <v/>
      </c>
      <c r="BH4" s="58"/>
      <c r="BI4" s="58" t="str">
        <f>IF(SUM($B5:$B6)&lt;&gt;0,SUM(BI5:BI6)/SUM($B5:$B6)*$B4*10, "")</f>
        <v/>
      </c>
      <c r="BJ4" s="58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Estructura!B3</f>
        <v>0.45</v>
      </c>
      <c r="C7" s="58">
        <f>IF(SUM($B8:$B15)&lt;&gt;0,SUM(C8:C15)/SUM($B8:$B15)*$B7*10, "")</f>
        <v>2.2499999731779101</v>
      </c>
      <c r="D7" s="58"/>
      <c r="E7" s="58">
        <f>IF(SUM($B8:$B15)&lt;&gt;0,SUM(E8:E15)/SUM($B8:$B15)*$B7*10, "")</f>
        <v>2.1599999852478504</v>
      </c>
      <c r="F7" s="58"/>
      <c r="G7" s="58">
        <f>IF(SUM($B8:$B15)&lt;&gt;0,SUM(G8:G15)/SUM($B8:$B15)*$B7*10, "")</f>
        <v>2.2500000536441802</v>
      </c>
      <c r="H7" s="58"/>
      <c r="I7" s="58">
        <f>IF(SUM($B8:$B15)&lt;&gt;0,SUM(I8:I15)/SUM($B8:$B15)*$B7*10, "")</f>
        <v>1.8900000281631948</v>
      </c>
      <c r="J7" s="58"/>
      <c r="K7" s="58">
        <f>IF(SUM($B8:$B15)&lt;&gt;0,SUM(K8:K15)/SUM($B8:$B15)*$B7*10, "")</f>
        <v>1.8900000348687171</v>
      </c>
      <c r="L7" s="58"/>
      <c r="M7" s="58">
        <f>IF(SUM($B8:$B15)&lt;&gt;0,SUM(M8:M15)/SUM($B8:$B15)*$B7*10, "")</f>
        <v>1.5300000160932541</v>
      </c>
      <c r="N7" s="58"/>
      <c r="O7" s="58">
        <f>IF(SUM($B8:$B15)&lt;&gt;0,SUM(O8:O15)/SUM($B8:$B15)*$B7*10, "")</f>
        <v>1.619999983906746</v>
      </c>
      <c r="P7" s="58"/>
      <c r="Q7" s="58">
        <f>IF(SUM($B8:$B15)&lt;&gt;0,SUM(Q8:Q15)/SUM($B8:$B15)*$B7*10, "")</f>
        <v>3.5100000321865084</v>
      </c>
      <c r="R7" s="58"/>
      <c r="S7" s="58">
        <f>IF(SUM($B8:$B15)&lt;&gt;0,SUM(S8:S15)/SUM($B8:$B15)*$B7*10, "")</f>
        <v>1.7099999919533728</v>
      </c>
      <c r="T7" s="58"/>
      <c r="U7" s="58">
        <f>IF(SUM($B8:$B15)&lt;&gt;0,SUM(U8:U15)/SUM($B8:$B15)*$B7*10, "")</f>
        <v>1.8899999946355819</v>
      </c>
      <c r="V7" s="58"/>
      <c r="W7" s="58">
        <f>IF(SUM($B8:$B15)&lt;&gt;0,SUM(W8:W15)/SUM($B8:$B15)*$B7*10, "")</f>
        <v>1.4399999879300596</v>
      </c>
      <c r="X7" s="58"/>
      <c r="Y7" s="58">
        <f>IF(SUM($B8:$B15)&lt;&gt;0,SUM(Y8:Y15)/SUM($B8:$B15)*$B7*10, "")</f>
        <v>2.5199999973177913</v>
      </c>
      <c r="Z7" s="58"/>
      <c r="AA7" s="58">
        <f>IF(SUM($B8:$B15)&lt;&gt;0,SUM(AA8:AA15)/SUM($B8:$B15)*$B7*10, "")</f>
        <v>2.6099999852478506</v>
      </c>
      <c r="AB7" s="58"/>
      <c r="AC7" s="58">
        <f>IF(SUM($B8:$B15)&lt;&gt;0,SUM(AC8:AC15)/SUM($B8:$B15)*$B7*10, "")</f>
        <v>1.8000000268220904</v>
      </c>
      <c r="AD7" s="58"/>
      <c r="AE7" s="58">
        <f>IF(SUM($B8:$B15)&lt;&gt;0,SUM(AE8:AE15)/SUM($B8:$B15)*$B7*10, "")</f>
        <v>1.4400000415742398</v>
      </c>
      <c r="AF7" s="58"/>
      <c r="AG7" s="58">
        <f>IF(SUM($B8:$B15)&lt;&gt;0,SUM(AG8:AG15)/SUM($B8:$B15)*$B7*10, "")</f>
        <v>3.0600000120699411</v>
      </c>
      <c r="AH7" s="58"/>
      <c r="AI7" s="58">
        <f>IF(SUM($B8:$B15)&lt;&gt;0,SUM(AI8:AI15)/SUM($B8:$B15)*$B7*10, "")</f>
        <v>2.7900000013411046</v>
      </c>
      <c r="AJ7" s="58"/>
      <c r="AK7" s="58">
        <f>IF(SUM($B8:$B15)&lt;&gt;0,SUM(AK8:AK15)/SUM($B8:$B15)*$B7*10, "")</f>
        <v>1.800000033527613</v>
      </c>
      <c r="AL7" s="58"/>
      <c r="AM7" s="58">
        <f>IF(SUM($B8:$B15)&lt;&gt;0,SUM(AM8:AM15)/SUM($B8:$B15)*$B7*10, "")</f>
        <v>2.430000016093254</v>
      </c>
      <c r="AN7" s="58"/>
      <c r="AO7" s="58">
        <f>IF(SUM($B8:$B15)&lt;&gt;0,SUM(AO8:AO15)/SUM($B8:$B15)*$B7*10, "")</f>
        <v>1.8000000067055224</v>
      </c>
      <c r="AP7" s="58"/>
      <c r="AQ7" s="58">
        <f>IF(SUM($B8:$B15)&lt;&gt;0,SUM(AQ8:AQ15)/SUM($B8:$B15)*$B7*10, "")</f>
        <v>2.0700000375509262</v>
      </c>
      <c r="AR7" s="58"/>
      <c r="AS7" s="58">
        <f>IF(SUM($B8:$B15)&lt;&gt;0,SUM(AS8:AS15)/SUM($B8:$B15)*$B7*10, "")</f>
        <v>2.5200000107288361</v>
      </c>
      <c r="AT7" s="58"/>
      <c r="AU7" s="58">
        <f>IF(SUM($B8:$B15)&lt;&gt;0,SUM(AU8:AU15)/SUM($B8:$B15)*$B7*10, "")</f>
        <v>1.7100000120699408</v>
      </c>
      <c r="AV7" s="58"/>
      <c r="AW7" s="58">
        <f>IF(SUM($B8:$B15)&lt;&gt;0,SUM(AW8:AW15)/SUM($B8:$B15)*$B7*10, "")</f>
        <v>3.1500000134110451</v>
      </c>
      <c r="AX7" s="58"/>
      <c r="AY7" s="58">
        <f>IF(SUM($B8:$B15)&lt;&gt;0,SUM(AY8:AY15)/SUM($B8:$B15)*$B7*10, "")</f>
        <v>2.0700000107288363</v>
      </c>
      <c r="AZ7" s="58"/>
      <c r="BA7" s="58">
        <f>IF(SUM($B8:$B15)&lt;&gt;0,SUM(BA8:BA15)/SUM($B8:$B15)*$B7*10, "")</f>
        <v>1.8900000281631948</v>
      </c>
      <c r="BB7" s="58"/>
      <c r="BC7" s="58">
        <f>IF(SUM($B8:$B15)&lt;&gt;0,SUM(BC8:BC15)/SUM($B8:$B15)*$B7*10, "")</f>
        <v>2.7900000751018523</v>
      </c>
      <c r="BD7" s="58"/>
      <c r="BE7" s="58">
        <f>IF(SUM($B8:$B15)&lt;&gt;0,SUM(BE8:BE15)/SUM($B8:$B15)*$B7*10, "")</f>
        <v>1.9799999758601188</v>
      </c>
      <c r="BF7" s="58"/>
      <c r="BG7" s="58">
        <f>IF(SUM($B8:$B15)&lt;&gt;0,SUM(BG8:BG15)/SUM($B8:$B15)*$B7*10, "")</f>
        <v>1.7999999932944775</v>
      </c>
      <c r="BH7" s="58"/>
      <c r="BI7" s="58">
        <f>IF(SUM($B8:$B15)&lt;&gt;0,SUM(BI8:BI15)/SUM($B8:$B15)*$B7*10, "")</f>
        <v>1.6200000040233138</v>
      </c>
      <c r="BJ7" s="58"/>
    </row>
    <row r="8" spans="1:62" ht="42" x14ac:dyDescent="0.2">
      <c r="A8" s="2" t="s">
        <v>10</v>
      </c>
      <c r="B8" s="13">
        <f>MAX([2]Examen11!B5,[2]Examen12!B5,[2]Examen13!B5)</f>
        <v>2</v>
      </c>
      <c r="C8" s="33">
        <f>MAX([2]Examen11!C5,[2]Examen12!C5,[2]Examen13!C5)</f>
        <v>1.3999999761581421</v>
      </c>
      <c r="D8" s="32">
        <f t="shared" ref="D8:D15" si="29">IF($B8,C8/$B8,-1)</f>
        <v>0.69999998807907104</v>
      </c>
      <c r="E8" s="33">
        <f>MAX([2]Examen11!E5,[2]Examen12!E5,[2]Examen13!E5)</f>
        <v>1</v>
      </c>
      <c r="F8" s="32">
        <f t="shared" ref="F8:F15" si="30">IF($B8,E8/$B8,-1)</f>
        <v>0.5</v>
      </c>
      <c r="G8" s="33">
        <f>MAX([2]Examen11!G5,[2]Examen12!G5,[2]Examen13!G5)</f>
        <v>1.2000000476837158</v>
      </c>
      <c r="H8" s="32">
        <f t="shared" ref="H8:H15" si="31">IF($B8,G8/$B8,-1)</f>
        <v>0.60000002384185791</v>
      </c>
      <c r="I8" s="33">
        <f>MAX([2]Examen11!I5,[2]Examen12!I5,[2]Examen13!I5)</f>
        <v>0.60000002384185791</v>
      </c>
      <c r="J8" s="32">
        <f t="shared" ref="J8:J15" si="32">IF($B8,I8/$B8,-1)</f>
        <v>0.30000001192092896</v>
      </c>
      <c r="K8" s="33">
        <f>MAX([2]Examen11!K5,[2]Examen12!K5,[2]Examen13!K5)</f>
        <v>0.60000002384185791</v>
      </c>
      <c r="L8" s="32">
        <f t="shared" ref="L8:L15" si="33">IF($B8,K8/$B8,-1)</f>
        <v>0.30000001192092896</v>
      </c>
      <c r="M8" s="33">
        <f>MAX([2]Examen11!M5,[2]Examen12!M5,[2]Examen13!M5)</f>
        <v>1.6000000238418579</v>
      </c>
      <c r="N8" s="32">
        <f t="shared" ref="N8:N15" si="34">IF($B8,M8/$B8,-1)</f>
        <v>0.80000001192092896</v>
      </c>
      <c r="O8" s="33">
        <f>MAX([2]Examen11!O5,[2]Examen12!O5,[2]Examen13!O5)</f>
        <v>0</v>
      </c>
      <c r="P8" s="32">
        <f t="shared" ref="P8:P15" si="35">IF($B8,O8/$B8,-1)</f>
        <v>0</v>
      </c>
      <c r="Q8" s="33">
        <f>MAX([2]Examen11!Q5,[2]Examen12!Q5,[2]Examen13!Q5)</f>
        <v>1.6000000238418579</v>
      </c>
      <c r="R8" s="32">
        <f t="shared" ref="R8:R15" si="36">IF($B8,Q8/$B8,-1)</f>
        <v>0.80000001192092896</v>
      </c>
      <c r="S8" s="33">
        <f>MAX([2]Examen11!S5,[2]Examen12!S5,[2]Examen13!S5)</f>
        <v>1.6000000238418579</v>
      </c>
      <c r="T8" s="32">
        <f t="shared" ref="T8:T15" si="37">IF($B8,S8/$B8,-1)</f>
        <v>0.80000001192092896</v>
      </c>
      <c r="U8" s="33">
        <f>MAX([2]Examen11!U5,[2]Examen12!U5,[2]Examen13!U5)</f>
        <v>1.3999999761581421</v>
      </c>
      <c r="V8" s="32">
        <f t="shared" ref="V8:V15" si="38">IF($B8,U8/$B8,-1)</f>
        <v>0.69999998807907104</v>
      </c>
      <c r="W8" s="33">
        <f>MAX([2]Examen11!W5,[2]Examen12!W5,[2]Examen13!W5)</f>
        <v>0</v>
      </c>
      <c r="X8" s="32">
        <f t="shared" ref="X8:X15" si="39">IF($B8,W8/$B8,-1)</f>
        <v>0</v>
      </c>
      <c r="Y8" s="33">
        <f>MAX([2]Examen11!Y5,[2]Examen12!Y5,[2]Examen13!Y5)</f>
        <v>0.80000001192092896</v>
      </c>
      <c r="Z8" s="32">
        <f t="shared" ref="Z8:Z15" si="40">IF($B8,Y8/$B8,-1)</f>
        <v>0.40000000596046448</v>
      </c>
      <c r="AA8" s="33">
        <f>MAX([2]Examen11!AA5,[2]Examen12!AA5,[2]Examen13!AA5)</f>
        <v>1.7999999523162842</v>
      </c>
      <c r="AB8" s="32">
        <f t="shared" ref="AB8:AB15" si="41">IF($B8,AA8/$B8,-1)</f>
        <v>0.89999997615814209</v>
      </c>
      <c r="AC8" s="33">
        <f>MAX([2]Examen11!AC5,[2]Examen12!AC5,[2]Examen13!AC5)</f>
        <v>1.6000000238418579</v>
      </c>
      <c r="AD8" s="32">
        <f t="shared" ref="AD8:AD15" si="42">IF($B8,AC8/$B8,-1)</f>
        <v>0.80000001192092896</v>
      </c>
      <c r="AE8" s="33">
        <f>MAX([2]Examen11!AE5,[2]Examen12!AE5,[2]Examen13!AE5)</f>
        <v>0.80000001192092896</v>
      </c>
      <c r="AF8" s="32">
        <f t="shared" ref="AF8:AF15" si="43">IF($B8,AE8/$B8,-1)</f>
        <v>0.40000000596046448</v>
      </c>
      <c r="AG8" s="33">
        <f>MAX([2]Examen11!AG5,[2]Examen12!AG5,[2]Examen13!AG5)</f>
        <v>2</v>
      </c>
      <c r="AH8" s="32">
        <f t="shared" ref="AH8:AH15" si="44">IF($B8,AG8/$B8,-1)</f>
        <v>1</v>
      </c>
      <c r="AI8" s="33">
        <f>MAX([2]Examen11!AI5,[2]Examen12!AI5,[2]Examen13!AI5)</f>
        <v>1.7999999523162842</v>
      </c>
      <c r="AJ8" s="32">
        <f t="shared" ref="AJ8:AJ15" si="45">IF($B8,AI8/$B8,-1)</f>
        <v>0.89999997615814209</v>
      </c>
      <c r="AK8" s="33">
        <f>MAX([2]Examen11!AK5,[2]Examen12!AK5,[2]Examen13!AK5)</f>
        <v>0</v>
      </c>
      <c r="AL8" s="32">
        <f t="shared" ref="AL8:AL15" si="46">IF($B8,AK8/$B8,-1)</f>
        <v>0</v>
      </c>
      <c r="AM8" s="33">
        <f>MAX([2]Examen11!AM5,[2]Examen12!AM5,[2]Examen13!AM5)</f>
        <v>2</v>
      </c>
      <c r="AN8" s="32">
        <f t="shared" ref="AN8:AN15" si="47">IF($B8,AM8/$B8,-1)</f>
        <v>1</v>
      </c>
      <c r="AO8" s="33">
        <f>MAX([2]Examen11!AO5,[2]Examen12!AO5,[2]Examen13!AO5)</f>
        <v>0.80000001192092896</v>
      </c>
      <c r="AP8" s="32">
        <f t="shared" ref="AP8:AP15" si="48">IF($B8,AO8/$B8,-1)</f>
        <v>0.40000000596046448</v>
      </c>
      <c r="AQ8" s="33">
        <f>MAX([2]Examen11!AQ5,[2]Examen12!AQ5,[2]Examen13!AQ5)</f>
        <v>1</v>
      </c>
      <c r="AR8" s="32">
        <f t="shared" ref="AR8:AR15" si="49">IF($B8,AQ8/$B8,-1)</f>
        <v>0.5</v>
      </c>
      <c r="AS8" s="33">
        <f>MAX([2]Examen11!AS5,[2]Examen12!AS5,[2]Examen13!AS5)</f>
        <v>1.6000000238418579</v>
      </c>
      <c r="AT8" s="32">
        <f t="shared" ref="AT8:AT15" si="50">IF($B8,AS8/$B8,-1)</f>
        <v>0.80000001192092896</v>
      </c>
      <c r="AU8" s="33">
        <f>MAX([2]Examen11!AU5,[2]Examen12!AU5,[2]Examen13!AU5)</f>
        <v>0</v>
      </c>
      <c r="AV8" s="32">
        <f t="shared" ref="AV8:AV15" si="51">IF($B8,AU8/$B8,-1)</f>
        <v>0</v>
      </c>
      <c r="AW8" s="33">
        <f>MAX([2]Examen11!AW5,[2]Examen12!AW5,[2]Examen13!AW5)</f>
        <v>1.2000000476837158</v>
      </c>
      <c r="AX8" s="32">
        <f t="shared" ref="AX8:AX15" si="52">IF($B8,AW8/$B8,-1)</f>
        <v>0.60000002384185791</v>
      </c>
      <c r="AY8" s="33">
        <f>MAX([2]Examen11!AY5,[2]Examen12!AY5,[2]Examen13!AY5)</f>
        <v>1</v>
      </c>
      <c r="AZ8" s="32">
        <f t="shared" ref="AZ8:AZ15" si="53">IF($B8,AY8/$B8,-1)</f>
        <v>0.5</v>
      </c>
      <c r="BA8" s="33">
        <f>MAX([2]Examen11!BA5,[2]Examen12!BA5,[2]Examen13!BA5)</f>
        <v>0.60000002384185791</v>
      </c>
      <c r="BB8" s="32">
        <f t="shared" ref="BB8:BB15" si="54">IF($B8,BA8/$B8,-1)</f>
        <v>0.30000001192092896</v>
      </c>
      <c r="BC8" s="33">
        <f>MAX([2]Examen11!BC5,[2]Examen12!BC5,[2]Examen13!BC5)</f>
        <v>1.2000000476837158</v>
      </c>
      <c r="BD8" s="32">
        <f t="shared" ref="BD8:BD15" si="55">IF($B8,BC8/$B8,-1)</f>
        <v>0.60000002384185791</v>
      </c>
      <c r="BE8" s="33">
        <f>MAX([2]Examen11!BE5,[2]Examen12!BE5,[2]Examen13!BE5)</f>
        <v>1.3999999761581421</v>
      </c>
      <c r="BF8" s="32">
        <f t="shared" ref="BF8:BF15" si="56">IF($B8,BE8/$B8,-1)</f>
        <v>0.69999998807907104</v>
      </c>
      <c r="BG8" s="33">
        <f>MAX([2]Examen11!BG5,[2]Examen12!BG5,[2]Examen13!BG5)</f>
        <v>0.40000000596046448</v>
      </c>
      <c r="BH8" s="32">
        <f t="shared" ref="BH8:BH15" si="57">IF($B8,BG8/$B8,-1)</f>
        <v>0.20000000298023224</v>
      </c>
      <c r="BI8" s="33">
        <f>MAX([2]Examen11!BI5,[2]Examen12!BI5,[2]Examen13!BI5)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MAX([2]Examen11!B6,[2]Examen12!B6,[2]Examen13!B6)</f>
        <v>2</v>
      </c>
      <c r="C9" s="33">
        <f>MAX([2]Examen11!C6,[2]Examen12!C6,[2]Examen13!C6)</f>
        <v>1.7999999523162842</v>
      </c>
      <c r="D9" s="32">
        <f t="shared" si="29"/>
        <v>0.89999997615814209</v>
      </c>
      <c r="E9" s="33">
        <f>MAX([2]Examen11!E6,[2]Examen12!E6,[2]Examen13!E6)</f>
        <v>1.7999999523162842</v>
      </c>
      <c r="F9" s="32">
        <f t="shared" si="30"/>
        <v>0.89999997615814209</v>
      </c>
      <c r="G9" s="33">
        <f>MAX([2]Examen11!G6,[2]Examen12!G6,[2]Examen13!G6)</f>
        <v>1.2000000476837158</v>
      </c>
      <c r="H9" s="32">
        <f t="shared" si="31"/>
        <v>0.60000002384185791</v>
      </c>
      <c r="I9" s="33">
        <f>MAX([2]Examen11!I6,[2]Examen12!I6,[2]Examen13!I6)</f>
        <v>2</v>
      </c>
      <c r="J9" s="32">
        <f t="shared" si="32"/>
        <v>1</v>
      </c>
      <c r="K9" s="33">
        <f>MAX([2]Examen11!K6,[2]Examen12!K6,[2]Examen13!K6)</f>
        <v>2</v>
      </c>
      <c r="L9" s="32">
        <f t="shared" si="33"/>
        <v>1</v>
      </c>
      <c r="M9" s="33">
        <f>MAX([2]Examen11!M6,[2]Examen12!M6,[2]Examen13!M6)</f>
        <v>0.40000000596046448</v>
      </c>
      <c r="N9" s="32">
        <f t="shared" si="34"/>
        <v>0.20000000298023224</v>
      </c>
      <c r="O9" s="33">
        <f>MAX([2]Examen11!O6,[2]Examen12!O6,[2]Examen13!O6)</f>
        <v>1.3999999761581421</v>
      </c>
      <c r="P9" s="32">
        <f t="shared" si="35"/>
        <v>0.69999998807907104</v>
      </c>
      <c r="Q9" s="33">
        <f>MAX([2]Examen11!Q6,[2]Examen12!Q6,[2]Examen13!Q6)</f>
        <v>2</v>
      </c>
      <c r="R9" s="32">
        <f t="shared" si="36"/>
        <v>1</v>
      </c>
      <c r="S9" s="33">
        <f>MAX([2]Examen11!S6,[2]Examen12!S6,[2]Examen13!S6)</f>
        <v>0.40000000596046448</v>
      </c>
      <c r="T9" s="32">
        <f t="shared" si="37"/>
        <v>0.20000000298023224</v>
      </c>
      <c r="U9" s="33">
        <f>MAX([2]Examen11!U6,[2]Examen12!U6,[2]Examen13!U6)</f>
        <v>1</v>
      </c>
      <c r="V9" s="32">
        <f t="shared" si="38"/>
        <v>0.5</v>
      </c>
      <c r="W9" s="33">
        <f>MAX([2]Examen11!W6,[2]Examen12!W6,[2]Examen13!W6)</f>
        <v>0.20000000298023224</v>
      </c>
      <c r="X9" s="32">
        <f t="shared" si="39"/>
        <v>0.10000000149011612</v>
      </c>
      <c r="Y9" s="33">
        <f>MAX([2]Examen11!Y6,[2]Examen12!Y6,[2]Examen13!Y6)</f>
        <v>2</v>
      </c>
      <c r="Z9" s="32">
        <f t="shared" si="40"/>
        <v>1</v>
      </c>
      <c r="AA9" s="33">
        <f>MAX([2]Examen11!AA6,[2]Examen12!AA6,[2]Examen13!AA6)</f>
        <v>1.3999999761581421</v>
      </c>
      <c r="AB9" s="32">
        <f t="shared" si="41"/>
        <v>0.69999998807907104</v>
      </c>
      <c r="AC9" s="33">
        <f>MAX([2]Examen11!AC6,[2]Examen12!AC6,[2]Examen13!AC6)</f>
        <v>0</v>
      </c>
      <c r="AD9" s="32">
        <f t="shared" si="42"/>
        <v>0</v>
      </c>
      <c r="AE9" s="33">
        <f>MAX([2]Examen11!AE6,[2]Examen12!AE6,[2]Examen13!AE6)</f>
        <v>1.2000000476837158</v>
      </c>
      <c r="AF9" s="32">
        <f t="shared" si="43"/>
        <v>0.60000002384185791</v>
      </c>
      <c r="AG9" s="33">
        <f>MAX([2]Examen11!AG6,[2]Examen12!AG6,[2]Examen13!AG6)</f>
        <v>0.20000000298023224</v>
      </c>
      <c r="AH9" s="32">
        <f t="shared" si="44"/>
        <v>0.10000000149011612</v>
      </c>
      <c r="AI9" s="33">
        <f>MAX([2]Examen11!AI6,[2]Examen12!AI6,[2]Examen13!AI6)</f>
        <v>0.20000000298023224</v>
      </c>
      <c r="AJ9" s="32">
        <f t="shared" si="45"/>
        <v>0.10000000149011612</v>
      </c>
      <c r="AK9" s="33">
        <f>MAX([2]Examen11!AK6,[2]Examen12!AK6,[2]Examen13!AK6)</f>
        <v>1.6000000238418579</v>
      </c>
      <c r="AL9" s="32">
        <f t="shared" si="46"/>
        <v>0.80000001192092896</v>
      </c>
      <c r="AM9" s="33">
        <f>MAX([2]Examen11!AM6,[2]Examen12!AM6,[2]Examen13!AM6)</f>
        <v>0.60000002384185791</v>
      </c>
      <c r="AN9" s="32">
        <f t="shared" si="47"/>
        <v>0.30000001192092896</v>
      </c>
      <c r="AO9" s="33">
        <f>MAX([2]Examen11!AO6,[2]Examen12!AO6,[2]Examen13!AO6)</f>
        <v>0</v>
      </c>
      <c r="AP9" s="32">
        <f t="shared" si="48"/>
        <v>0</v>
      </c>
      <c r="AQ9" s="33">
        <f>MAX([2]Examen11!AQ6,[2]Examen12!AQ6,[2]Examen13!AQ6)</f>
        <v>0.60000002384185791</v>
      </c>
      <c r="AR9" s="32">
        <f t="shared" si="49"/>
        <v>0.30000001192092896</v>
      </c>
      <c r="AS9" s="33">
        <f>MAX([2]Examen11!AS6,[2]Examen12!AS6,[2]Examen13!AS6)</f>
        <v>0.80000001192092896</v>
      </c>
      <c r="AT9" s="32">
        <f t="shared" si="50"/>
        <v>0.40000000596046448</v>
      </c>
      <c r="AU9" s="33">
        <f>MAX([2]Examen11!AU6,[2]Examen12!AU6,[2]Examen13!AU6)</f>
        <v>0.60000002384185791</v>
      </c>
      <c r="AV9" s="32">
        <f t="shared" si="51"/>
        <v>0.30000001192092896</v>
      </c>
      <c r="AW9" s="33">
        <f>MAX([2]Examen11!AW6,[2]Examen12!AW6,[2]Examen13!AW6)</f>
        <v>2</v>
      </c>
      <c r="AX9" s="32">
        <f t="shared" si="52"/>
        <v>1</v>
      </c>
      <c r="AY9" s="33">
        <f>MAX([2]Examen11!AY6,[2]Examen12!AY6,[2]Examen13!AY6)</f>
        <v>2</v>
      </c>
      <c r="AZ9" s="32">
        <f t="shared" si="53"/>
        <v>1</v>
      </c>
      <c r="BA9" s="33">
        <f>MAX([2]Examen11!BA6,[2]Examen12!BA6,[2]Examen13!BA6)</f>
        <v>0.80000001192092896</v>
      </c>
      <c r="BB9" s="32">
        <f t="shared" si="54"/>
        <v>0.40000000596046448</v>
      </c>
      <c r="BC9" s="33">
        <f>MAX([2]Examen11!BC6,[2]Examen12!BC6,[2]Examen13!BC6)</f>
        <v>0.60000002384185791</v>
      </c>
      <c r="BD9" s="32">
        <f t="shared" si="55"/>
        <v>0.30000001192092896</v>
      </c>
      <c r="BE9" s="33">
        <f>MAX([2]Examen11!BE6,[2]Examen12!BE6,[2]Examen13!BE6)</f>
        <v>0.20000000298023224</v>
      </c>
      <c r="BF9" s="32">
        <f t="shared" si="56"/>
        <v>0.10000000149011612</v>
      </c>
      <c r="BG9" s="33">
        <f>MAX([2]Examen11!BG6,[2]Examen12!BG6,[2]Examen13!BG6)</f>
        <v>0.20000000298023224</v>
      </c>
      <c r="BH9" s="32">
        <f t="shared" si="57"/>
        <v>0.10000000149011612</v>
      </c>
      <c r="BI9" s="33">
        <f>MAX([2]Examen11!BI6,[2]Examen12!BI6,[2]Examen13!BI6)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MAX([2]Examen11!B7,[2]Examen12!B7,[2]Examen13!B7)</f>
        <v>2</v>
      </c>
      <c r="C10" s="33">
        <f>MAX([2]Examen11!C7,[2]Examen12!C7,[2]Examen13!C7)</f>
        <v>0.80000001192092896</v>
      </c>
      <c r="D10" s="32">
        <f t="shared" si="29"/>
        <v>0.40000000596046448</v>
      </c>
      <c r="E10" s="33">
        <f>MAX([2]Examen11!E7,[2]Examen12!E7,[2]Examen13!E7)</f>
        <v>0.80000001192092896</v>
      </c>
      <c r="F10" s="32">
        <f t="shared" si="30"/>
        <v>0.40000000596046448</v>
      </c>
      <c r="G10" s="33">
        <f>MAX([2]Examen11!G7,[2]Examen12!G7,[2]Examen13!G7)</f>
        <v>1.3999999761581421</v>
      </c>
      <c r="H10" s="32">
        <f t="shared" si="31"/>
        <v>0.69999998807907104</v>
      </c>
      <c r="I10" s="33">
        <f>MAX([2]Examen11!I7,[2]Examen12!I7,[2]Examen13!I7)</f>
        <v>0.60000002384185791</v>
      </c>
      <c r="J10" s="32">
        <f t="shared" si="32"/>
        <v>0.30000001192092896</v>
      </c>
      <c r="K10" s="33">
        <f>MAX([2]Examen11!K7,[2]Examen12!K7,[2]Examen13!K7)</f>
        <v>1.2000000476837158</v>
      </c>
      <c r="L10" s="32">
        <f t="shared" si="33"/>
        <v>0.60000002384185791</v>
      </c>
      <c r="M10" s="33">
        <f>MAX([2]Examen11!M7,[2]Examen12!M7,[2]Examen13!M7)</f>
        <v>0.40000000596046448</v>
      </c>
      <c r="N10" s="32">
        <f t="shared" si="34"/>
        <v>0.20000000298023224</v>
      </c>
      <c r="O10" s="33">
        <f>MAX([2]Examen11!O7,[2]Examen12!O7,[2]Examen13!O7)</f>
        <v>0.40000000596046448</v>
      </c>
      <c r="P10" s="32">
        <f t="shared" si="35"/>
        <v>0.20000000298023224</v>
      </c>
      <c r="Q10" s="33">
        <f>MAX([2]Examen11!Q7,[2]Examen12!Q7,[2]Examen13!Q7)</f>
        <v>1.2000000476837158</v>
      </c>
      <c r="R10" s="32">
        <f t="shared" si="36"/>
        <v>0.60000002384185791</v>
      </c>
      <c r="S10" s="33">
        <f>MAX([2]Examen11!S7,[2]Examen12!S7,[2]Examen13!S7)</f>
        <v>0</v>
      </c>
      <c r="T10" s="32">
        <f t="shared" si="37"/>
        <v>0</v>
      </c>
      <c r="U10" s="33">
        <f>MAX([2]Examen11!U7,[2]Examen12!U7,[2]Examen13!U7)</f>
        <v>1</v>
      </c>
      <c r="V10" s="32">
        <f t="shared" si="38"/>
        <v>0.5</v>
      </c>
      <c r="W10" s="33">
        <f>MAX([2]Examen11!W7,[2]Examen12!W7,[2]Examen13!W7)</f>
        <v>1.7999999523162842</v>
      </c>
      <c r="X10" s="32">
        <f t="shared" si="39"/>
        <v>0.89999997615814209</v>
      </c>
      <c r="Y10" s="33">
        <f>MAX([2]Examen11!Y7,[2]Examen12!Y7,[2]Examen13!Y7)</f>
        <v>0.40000000596046448</v>
      </c>
      <c r="Z10" s="32">
        <f t="shared" si="40"/>
        <v>0.20000000298023224</v>
      </c>
      <c r="AA10" s="33">
        <f>MAX([2]Examen11!AA7,[2]Examen12!AA7,[2]Examen13!AA7)</f>
        <v>1.6000000238418579</v>
      </c>
      <c r="AB10" s="32">
        <f t="shared" si="41"/>
        <v>0.80000001192092896</v>
      </c>
      <c r="AC10" s="33">
        <f>MAX([2]Examen11!AC7,[2]Examen12!AC7,[2]Examen13!AC7)</f>
        <v>0.80000001192092896</v>
      </c>
      <c r="AD10" s="32">
        <f t="shared" si="42"/>
        <v>0.40000000596046448</v>
      </c>
      <c r="AE10" s="33">
        <f>MAX([2]Examen11!AE7,[2]Examen12!AE7,[2]Examen13!AE7)</f>
        <v>0.60000002384185791</v>
      </c>
      <c r="AF10" s="32">
        <f t="shared" si="43"/>
        <v>0.30000001192092896</v>
      </c>
      <c r="AG10" s="33">
        <f>MAX([2]Examen11!AG7,[2]Examen12!AG7,[2]Examen13!AG7)</f>
        <v>2</v>
      </c>
      <c r="AH10" s="32">
        <f t="shared" si="44"/>
        <v>1</v>
      </c>
      <c r="AI10" s="33">
        <f>MAX([2]Examen11!AI7,[2]Examen12!AI7,[2]Examen13!AI7)</f>
        <v>1.2000000476837158</v>
      </c>
      <c r="AJ10" s="32">
        <f t="shared" si="45"/>
        <v>0.60000002384185791</v>
      </c>
      <c r="AK10" s="33">
        <f>MAX([2]Examen11!AK7,[2]Examen12!AK7,[2]Examen13!AK7)</f>
        <v>1.2000000476837158</v>
      </c>
      <c r="AL10" s="32">
        <f t="shared" si="46"/>
        <v>0.60000002384185791</v>
      </c>
      <c r="AM10" s="33">
        <f>MAX([2]Examen11!AM7,[2]Examen12!AM7,[2]Examen13!AM7)</f>
        <v>0.80000001192092896</v>
      </c>
      <c r="AN10" s="32">
        <f t="shared" si="47"/>
        <v>0.40000000596046448</v>
      </c>
      <c r="AO10" s="33">
        <f>MAX([2]Examen11!AO7,[2]Examen12!AO7,[2]Examen13!AO7)</f>
        <v>0.20000000298023224</v>
      </c>
      <c r="AP10" s="32">
        <f t="shared" si="48"/>
        <v>0.10000000149011612</v>
      </c>
      <c r="AQ10" s="33">
        <f>MAX([2]Examen11!AQ7,[2]Examen12!AQ7,[2]Examen13!AQ7)</f>
        <v>1.2000000476837158</v>
      </c>
      <c r="AR10" s="32">
        <f t="shared" si="49"/>
        <v>0.60000002384185791</v>
      </c>
      <c r="AS10" s="33">
        <f>MAX([2]Examen11!AS7,[2]Examen12!AS7,[2]Examen13!AS7)</f>
        <v>1.3999999761581421</v>
      </c>
      <c r="AT10" s="32">
        <f t="shared" si="50"/>
        <v>0.69999998807907104</v>
      </c>
      <c r="AU10" s="33">
        <f>MAX([2]Examen11!AU7,[2]Examen12!AU7,[2]Examen13!AU7)</f>
        <v>2</v>
      </c>
      <c r="AV10" s="32">
        <f t="shared" si="51"/>
        <v>1</v>
      </c>
      <c r="AW10" s="33">
        <f>MAX([2]Examen11!AW7,[2]Examen12!AW7,[2]Examen13!AW7)</f>
        <v>1.7999999523162842</v>
      </c>
      <c r="AX10" s="32">
        <f t="shared" si="52"/>
        <v>0.89999997615814209</v>
      </c>
      <c r="AY10" s="33">
        <f>MAX([2]Examen11!AY7,[2]Examen12!AY7,[2]Examen13!AY7)</f>
        <v>0</v>
      </c>
      <c r="AZ10" s="32">
        <f t="shared" si="53"/>
        <v>0</v>
      </c>
      <c r="BA10" s="33">
        <f>MAX([2]Examen11!BA7,[2]Examen12!BA7,[2]Examen13!BA7)</f>
        <v>1</v>
      </c>
      <c r="BB10" s="32">
        <f t="shared" si="54"/>
        <v>0.5</v>
      </c>
      <c r="BC10" s="33">
        <f>MAX([2]Examen11!BC7,[2]Examen12!BC7,[2]Examen13!BC7)</f>
        <v>2</v>
      </c>
      <c r="BD10" s="32">
        <f t="shared" si="55"/>
        <v>1</v>
      </c>
      <c r="BE10" s="33">
        <f>MAX([2]Examen11!BE7,[2]Examen12!BE7,[2]Examen13!BE7)</f>
        <v>0.80000001192092896</v>
      </c>
      <c r="BF10" s="32">
        <f t="shared" si="56"/>
        <v>0.40000000596046448</v>
      </c>
      <c r="BG10" s="33">
        <f>MAX([2]Examen11!BG7,[2]Examen12!BG7,[2]Examen13!BG7)</f>
        <v>1.3999999761581421</v>
      </c>
      <c r="BH10" s="32">
        <f t="shared" si="57"/>
        <v>0.69999998807907104</v>
      </c>
      <c r="BI10" s="33">
        <f>MAX([2]Examen11!BI7,[2]Examen12!BI7,[2]Examen13!BI7)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MAX([2]Examen11!B8,[2]Examen12!B8,[2]Examen13!B8)</f>
        <v>0</v>
      </c>
      <c r="C11" s="33">
        <f>MAX([2]Examen11!C8,[2]Examen12!C8,[2]Examen13!C8)</f>
        <v>0</v>
      </c>
      <c r="D11" s="32">
        <f t="shared" si="29"/>
        <v>-1</v>
      </c>
      <c r="E11" s="33">
        <f>MAX([2]Examen11!E8,[2]Examen12!E8,[2]Examen13!E8)</f>
        <v>0</v>
      </c>
      <c r="F11" s="32">
        <f t="shared" si="30"/>
        <v>-1</v>
      </c>
      <c r="G11" s="33">
        <f>MAX([2]Examen11!G8,[2]Examen12!G8,[2]Examen13!G8)</f>
        <v>0</v>
      </c>
      <c r="H11" s="32">
        <f t="shared" si="31"/>
        <v>-1</v>
      </c>
      <c r="I11" s="33">
        <f>MAX([2]Examen11!I8,[2]Examen12!I8,[2]Examen13!I8)</f>
        <v>0</v>
      </c>
      <c r="J11" s="32">
        <f t="shared" si="32"/>
        <v>-1</v>
      </c>
      <c r="K11" s="33">
        <f>MAX([2]Examen11!K8,[2]Examen12!K8,[2]Examen13!K8)</f>
        <v>0</v>
      </c>
      <c r="L11" s="32">
        <f t="shared" si="33"/>
        <v>-1</v>
      </c>
      <c r="M11" s="33">
        <f>MAX([2]Examen11!M8,[2]Examen12!M8,[2]Examen13!M8)</f>
        <v>0</v>
      </c>
      <c r="N11" s="32">
        <f t="shared" si="34"/>
        <v>-1</v>
      </c>
      <c r="O11" s="33">
        <f>MAX([2]Examen11!O8,[2]Examen12!O8,[2]Examen13!O8)</f>
        <v>0</v>
      </c>
      <c r="P11" s="32">
        <f t="shared" si="35"/>
        <v>-1</v>
      </c>
      <c r="Q11" s="33">
        <f>MAX([2]Examen11!Q8,[2]Examen12!Q8,[2]Examen13!Q8)</f>
        <v>0</v>
      </c>
      <c r="R11" s="32">
        <f t="shared" si="36"/>
        <v>-1</v>
      </c>
      <c r="S11" s="33">
        <f>MAX([2]Examen11!S8,[2]Examen12!S8,[2]Examen13!S8)</f>
        <v>0</v>
      </c>
      <c r="T11" s="32">
        <f t="shared" si="37"/>
        <v>-1</v>
      </c>
      <c r="U11" s="33">
        <f>MAX([2]Examen11!U8,[2]Examen12!U8,[2]Examen13!U8)</f>
        <v>0</v>
      </c>
      <c r="V11" s="32">
        <f t="shared" si="38"/>
        <v>-1</v>
      </c>
      <c r="W11" s="33">
        <f>MAX([2]Examen11!W8,[2]Examen12!W8,[2]Examen13!W8)</f>
        <v>0</v>
      </c>
      <c r="X11" s="32">
        <f t="shared" si="39"/>
        <v>-1</v>
      </c>
      <c r="Y11" s="33">
        <f>MAX([2]Examen11!Y8,[2]Examen12!Y8,[2]Examen13!Y8)</f>
        <v>0</v>
      </c>
      <c r="Z11" s="32">
        <f t="shared" si="40"/>
        <v>-1</v>
      </c>
      <c r="AA11" s="33">
        <f>MAX([2]Examen11!AA8,[2]Examen12!AA8,[2]Examen13!AA8)</f>
        <v>0</v>
      </c>
      <c r="AB11" s="32">
        <f t="shared" si="41"/>
        <v>-1</v>
      </c>
      <c r="AC11" s="33">
        <f>MAX([2]Examen11!AC8,[2]Examen12!AC8,[2]Examen13!AC8)</f>
        <v>0</v>
      </c>
      <c r="AD11" s="32">
        <f t="shared" si="42"/>
        <v>-1</v>
      </c>
      <c r="AE11" s="33">
        <f>MAX([2]Examen11!AE8,[2]Examen12!AE8,[2]Examen13!AE8)</f>
        <v>0</v>
      </c>
      <c r="AF11" s="32">
        <f t="shared" si="43"/>
        <v>-1</v>
      </c>
      <c r="AG11" s="33">
        <f>MAX([2]Examen11!AG8,[2]Examen12!AG8,[2]Examen13!AG8)</f>
        <v>0</v>
      </c>
      <c r="AH11" s="32">
        <f t="shared" si="44"/>
        <v>-1</v>
      </c>
      <c r="AI11" s="33">
        <f>MAX([2]Examen11!AI8,[2]Examen12!AI8,[2]Examen13!AI8)</f>
        <v>0</v>
      </c>
      <c r="AJ11" s="32">
        <f t="shared" si="45"/>
        <v>-1</v>
      </c>
      <c r="AK11" s="33">
        <f>MAX([2]Examen11!AK8,[2]Examen12!AK8,[2]Examen13!AK8)</f>
        <v>0</v>
      </c>
      <c r="AL11" s="32">
        <f t="shared" si="46"/>
        <v>-1</v>
      </c>
      <c r="AM11" s="33">
        <f>MAX([2]Examen11!AM8,[2]Examen12!AM8,[2]Examen13!AM8)</f>
        <v>0</v>
      </c>
      <c r="AN11" s="32">
        <f t="shared" si="47"/>
        <v>-1</v>
      </c>
      <c r="AO11" s="33">
        <f>MAX([2]Examen11!AO8,[2]Examen12!AO8,[2]Examen13!AO8)</f>
        <v>0</v>
      </c>
      <c r="AP11" s="32">
        <f t="shared" si="48"/>
        <v>-1</v>
      </c>
      <c r="AQ11" s="33">
        <f>MAX([2]Examen11!AQ8,[2]Examen12!AQ8,[2]Examen13!AQ8)</f>
        <v>0</v>
      </c>
      <c r="AR11" s="32">
        <f t="shared" si="49"/>
        <v>-1</v>
      </c>
      <c r="AS11" s="33">
        <f>MAX([2]Examen11!AS8,[2]Examen12!AS8,[2]Examen13!AS8)</f>
        <v>0</v>
      </c>
      <c r="AT11" s="32">
        <f t="shared" si="50"/>
        <v>-1</v>
      </c>
      <c r="AU11" s="33">
        <f>MAX([2]Examen11!AU8,[2]Examen12!AU8,[2]Examen13!AU8)</f>
        <v>0</v>
      </c>
      <c r="AV11" s="32">
        <f t="shared" si="51"/>
        <v>-1</v>
      </c>
      <c r="AW11" s="33">
        <f>MAX([2]Examen11!AW8,[2]Examen12!AW8,[2]Examen13!AW8)</f>
        <v>0</v>
      </c>
      <c r="AX11" s="32">
        <f t="shared" si="52"/>
        <v>-1</v>
      </c>
      <c r="AY11" s="33">
        <f>MAX([2]Examen11!AY8,[2]Examen12!AY8,[2]Examen13!AY8)</f>
        <v>0</v>
      </c>
      <c r="AZ11" s="32">
        <f t="shared" si="53"/>
        <v>-1</v>
      </c>
      <c r="BA11" s="33">
        <f>MAX([2]Examen11!BA8,[2]Examen12!BA8,[2]Examen13!BA8)</f>
        <v>0</v>
      </c>
      <c r="BB11" s="32">
        <f t="shared" si="54"/>
        <v>-1</v>
      </c>
      <c r="BC11" s="33">
        <f>MAX([2]Examen11!BC8,[2]Examen12!BC8,[2]Examen13!BC8)</f>
        <v>0</v>
      </c>
      <c r="BD11" s="32">
        <f t="shared" si="55"/>
        <v>-1</v>
      </c>
      <c r="BE11" s="33">
        <f>MAX([2]Examen11!BE8,[2]Examen12!BE8,[2]Examen13!BE8)</f>
        <v>0</v>
      </c>
      <c r="BF11" s="32">
        <f t="shared" si="56"/>
        <v>-1</v>
      </c>
      <c r="BG11" s="33">
        <f>MAX([2]Examen11!BG8,[2]Examen12!BG8,[2]Examen13!BG8)</f>
        <v>0</v>
      </c>
      <c r="BH11" s="32">
        <f t="shared" si="57"/>
        <v>-1</v>
      </c>
      <c r="BI11" s="33">
        <f>MAX([2]Examen11!BI8,[2]Examen12!BI8,[2]Examen13!BI8)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MAX([2]Examen11!B9,[2]Examen12!B9,[2]Examen13!B9)</f>
        <v>2</v>
      </c>
      <c r="C12" s="33">
        <f>MAX([2]Examen11!C9,[2]Examen12!C9,[2]Examen13!C9)</f>
        <v>1</v>
      </c>
      <c r="D12" s="32">
        <f t="shared" si="29"/>
        <v>0.5</v>
      </c>
      <c r="E12" s="33">
        <f>MAX([2]Examen11!E9,[2]Examen12!E9,[2]Examen13!E9)</f>
        <v>1</v>
      </c>
      <c r="F12" s="32">
        <f t="shared" si="30"/>
        <v>0.5</v>
      </c>
      <c r="G12" s="33">
        <f>MAX([2]Examen11!G9,[2]Examen12!G9,[2]Examen13!G9)</f>
        <v>0.60000002384185791</v>
      </c>
      <c r="H12" s="32">
        <f t="shared" si="31"/>
        <v>0.30000001192092896</v>
      </c>
      <c r="I12" s="33">
        <f>MAX([2]Examen11!I9,[2]Examen12!I9,[2]Examen13!I9)</f>
        <v>0.80000001192092896</v>
      </c>
      <c r="J12" s="32">
        <f t="shared" si="32"/>
        <v>0.40000000596046448</v>
      </c>
      <c r="K12" s="33">
        <f>MAX([2]Examen11!K9,[2]Examen12!K9,[2]Examen13!K9)</f>
        <v>0.40000000596046448</v>
      </c>
      <c r="L12" s="32">
        <f t="shared" si="33"/>
        <v>0.20000000298023224</v>
      </c>
      <c r="M12" s="33">
        <f>MAX([2]Examen11!M9,[2]Examen12!M9,[2]Examen13!M9)</f>
        <v>0</v>
      </c>
      <c r="N12" s="32">
        <f t="shared" si="34"/>
        <v>0</v>
      </c>
      <c r="O12" s="33">
        <f>MAX([2]Examen11!O9,[2]Examen12!O9,[2]Examen13!O9)</f>
        <v>0.40000000596046448</v>
      </c>
      <c r="P12" s="32">
        <f t="shared" si="35"/>
        <v>0.20000000298023224</v>
      </c>
      <c r="Q12" s="33">
        <f>MAX([2]Examen11!Q9,[2]Examen12!Q9,[2]Examen13!Q9)</f>
        <v>2</v>
      </c>
      <c r="R12" s="32">
        <f t="shared" si="36"/>
        <v>1</v>
      </c>
      <c r="S12" s="33">
        <f>MAX([2]Examen11!S9,[2]Examen12!S9,[2]Examen13!S9)</f>
        <v>0</v>
      </c>
      <c r="T12" s="32">
        <f t="shared" si="37"/>
        <v>0</v>
      </c>
      <c r="U12" s="33">
        <f>MAX([2]Examen11!U9,[2]Examen12!U9,[2]Examen13!U9)</f>
        <v>0.80000001192092896</v>
      </c>
      <c r="V12" s="32">
        <f t="shared" si="38"/>
        <v>0.40000000596046448</v>
      </c>
      <c r="W12" s="33">
        <f>MAX([2]Examen11!W9,[2]Examen12!W9,[2]Examen13!W9)</f>
        <v>0.80000001192092896</v>
      </c>
      <c r="X12" s="32">
        <f t="shared" si="39"/>
        <v>0.40000000596046448</v>
      </c>
      <c r="Y12" s="33">
        <f>MAX([2]Examen11!Y9,[2]Examen12!Y9,[2]Examen13!Y9)</f>
        <v>1</v>
      </c>
      <c r="Z12" s="32">
        <f t="shared" si="40"/>
        <v>0.5</v>
      </c>
      <c r="AA12" s="33">
        <f>MAX([2]Examen11!AA9,[2]Examen12!AA9,[2]Examen13!AA9)</f>
        <v>0.20000000298023224</v>
      </c>
      <c r="AB12" s="32">
        <f t="shared" si="41"/>
        <v>0.10000000149011612</v>
      </c>
      <c r="AC12" s="33">
        <f>MAX([2]Examen11!AC9,[2]Examen12!AC9,[2]Examen13!AC9)</f>
        <v>1</v>
      </c>
      <c r="AD12" s="32">
        <f t="shared" si="42"/>
        <v>0.5</v>
      </c>
      <c r="AE12" s="33">
        <f>MAX([2]Examen11!AE9,[2]Examen12!AE9,[2]Examen13!AE9)</f>
        <v>0.40000000596046448</v>
      </c>
      <c r="AF12" s="32">
        <f t="shared" si="43"/>
        <v>0.20000000298023224</v>
      </c>
      <c r="AG12" s="33">
        <f>MAX([2]Examen11!AG9,[2]Examen12!AG9,[2]Examen13!AG9)</f>
        <v>1.2000000476837158</v>
      </c>
      <c r="AH12" s="32">
        <f t="shared" si="44"/>
        <v>0.60000002384185791</v>
      </c>
      <c r="AI12" s="33">
        <f>MAX([2]Examen11!AI9,[2]Examen12!AI9,[2]Examen13!AI9)</f>
        <v>1</v>
      </c>
      <c r="AJ12" s="32">
        <f t="shared" si="45"/>
        <v>0.5</v>
      </c>
      <c r="AK12" s="33">
        <f>MAX([2]Examen11!AK9,[2]Examen12!AK9,[2]Examen13!AK9)</f>
        <v>0.20000000298023224</v>
      </c>
      <c r="AL12" s="32">
        <f t="shared" si="46"/>
        <v>0.10000000149011612</v>
      </c>
      <c r="AM12" s="33">
        <f>MAX([2]Examen11!AM9,[2]Examen12!AM9,[2]Examen13!AM9)</f>
        <v>2</v>
      </c>
      <c r="AN12" s="32">
        <f t="shared" si="47"/>
        <v>1</v>
      </c>
      <c r="AO12" s="33">
        <f>MAX([2]Examen11!AO9,[2]Examen12!AO9,[2]Examen13!AO9)</f>
        <v>1.3999999761581421</v>
      </c>
      <c r="AP12" s="32">
        <f t="shared" si="48"/>
        <v>0.69999998807907104</v>
      </c>
      <c r="AQ12" s="33">
        <f>MAX([2]Examen11!AQ9,[2]Examen12!AQ9,[2]Examen13!AQ9)</f>
        <v>1</v>
      </c>
      <c r="AR12" s="32">
        <f t="shared" si="49"/>
        <v>0.5</v>
      </c>
      <c r="AS12" s="33">
        <f>MAX([2]Examen11!AS9,[2]Examen12!AS9,[2]Examen13!AS9)</f>
        <v>0.80000001192092896</v>
      </c>
      <c r="AT12" s="32">
        <f t="shared" si="50"/>
        <v>0.40000000596046448</v>
      </c>
      <c r="AU12" s="33">
        <f>MAX([2]Examen11!AU9,[2]Examen12!AU9,[2]Examen13!AU9)</f>
        <v>0.20000000298023224</v>
      </c>
      <c r="AV12" s="32">
        <f t="shared" si="51"/>
        <v>0.10000000149011612</v>
      </c>
      <c r="AW12" s="33">
        <f>MAX([2]Examen11!AW9,[2]Examen12!AW9,[2]Examen13!AW9)</f>
        <v>1.6000000238418579</v>
      </c>
      <c r="AX12" s="32">
        <f t="shared" si="52"/>
        <v>0.80000001192092896</v>
      </c>
      <c r="AY12" s="33">
        <f>MAX([2]Examen11!AY9,[2]Examen12!AY9,[2]Examen13!AY9)</f>
        <v>1</v>
      </c>
      <c r="AZ12" s="32">
        <f t="shared" si="53"/>
        <v>0.5</v>
      </c>
      <c r="BA12" s="33">
        <f>MAX([2]Examen11!BA9,[2]Examen12!BA9,[2]Examen13!BA9)</f>
        <v>1.6000000238418579</v>
      </c>
      <c r="BB12" s="32">
        <f t="shared" si="54"/>
        <v>0.80000001192092896</v>
      </c>
      <c r="BC12" s="33">
        <f>MAX([2]Examen11!BC9,[2]Examen12!BC9,[2]Examen13!BC9)</f>
        <v>1.2000000476837158</v>
      </c>
      <c r="BD12" s="32">
        <f t="shared" si="55"/>
        <v>0.60000002384185791</v>
      </c>
      <c r="BE12" s="33">
        <f>MAX([2]Examen11!BE9,[2]Examen12!BE9,[2]Examen13!BE9)</f>
        <v>1.7999999523162842</v>
      </c>
      <c r="BF12" s="32">
        <f t="shared" si="56"/>
        <v>0.89999997615814209</v>
      </c>
      <c r="BG12" s="33">
        <f>MAX([2]Examen11!BG9,[2]Examen12!BG9,[2]Examen13!BG9)</f>
        <v>0</v>
      </c>
      <c r="BH12" s="32">
        <f t="shared" si="57"/>
        <v>0</v>
      </c>
      <c r="BI12" s="33">
        <f>MAX([2]Examen11!BI9,[2]Examen12!BI9,[2]Examen13!BI9)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MAX([2]Examen11!B10,[2]Examen12!B10,[2]Examen13!B10)</f>
        <v>2</v>
      </c>
      <c r="C13" s="33">
        <f>MAX([2]Examen11!C10,[2]Examen12!C10,[2]Examen13!C10)</f>
        <v>0</v>
      </c>
      <c r="D13" s="32">
        <f t="shared" si="29"/>
        <v>0</v>
      </c>
      <c r="E13" s="33">
        <f>MAX([2]Examen11!E10,[2]Examen12!E10,[2]Examen13!E10)</f>
        <v>0.20000000298023224</v>
      </c>
      <c r="F13" s="32">
        <f t="shared" si="30"/>
        <v>0.10000000149011612</v>
      </c>
      <c r="G13" s="33">
        <f>MAX([2]Examen11!G10,[2]Examen12!G10,[2]Examen13!G10)</f>
        <v>0.60000002384185791</v>
      </c>
      <c r="H13" s="32">
        <f t="shared" si="31"/>
        <v>0.30000001192092896</v>
      </c>
      <c r="I13" s="33">
        <f>MAX([2]Examen11!I10,[2]Examen12!I10,[2]Examen13!I10)</f>
        <v>0.20000000298023224</v>
      </c>
      <c r="J13" s="32">
        <f t="shared" si="32"/>
        <v>0.10000000149011612</v>
      </c>
      <c r="K13" s="33">
        <f>MAX([2]Examen11!K10,[2]Examen12!K10,[2]Examen13!K10)</f>
        <v>0</v>
      </c>
      <c r="L13" s="32">
        <f t="shared" si="33"/>
        <v>0</v>
      </c>
      <c r="M13" s="33">
        <f>MAX([2]Examen11!M10,[2]Examen12!M10,[2]Examen13!M10)</f>
        <v>1</v>
      </c>
      <c r="N13" s="32">
        <f t="shared" si="34"/>
        <v>0.5</v>
      </c>
      <c r="O13" s="33">
        <f>MAX([2]Examen11!O10,[2]Examen12!O10,[2]Examen13!O10)</f>
        <v>1.3999999761581421</v>
      </c>
      <c r="P13" s="32">
        <f t="shared" si="35"/>
        <v>0.69999998807907104</v>
      </c>
      <c r="Q13" s="33">
        <f>MAX([2]Examen11!Q10,[2]Examen12!Q10,[2]Examen13!Q10)</f>
        <v>1</v>
      </c>
      <c r="R13" s="32">
        <f t="shared" si="36"/>
        <v>0.5</v>
      </c>
      <c r="S13" s="33">
        <f>MAX([2]Examen11!S10,[2]Examen12!S10,[2]Examen13!S10)</f>
        <v>1.7999999523162842</v>
      </c>
      <c r="T13" s="32">
        <f t="shared" si="37"/>
        <v>0.89999997615814209</v>
      </c>
      <c r="U13" s="33">
        <f>MAX([2]Examen11!U10,[2]Examen12!U10,[2]Examen13!U10)</f>
        <v>0</v>
      </c>
      <c r="V13" s="32">
        <f t="shared" si="38"/>
        <v>0</v>
      </c>
      <c r="W13" s="33">
        <f>MAX([2]Examen11!W10,[2]Examen12!W10,[2]Examen13!W10)</f>
        <v>0.40000000596046448</v>
      </c>
      <c r="X13" s="32">
        <f t="shared" si="39"/>
        <v>0.20000000298023224</v>
      </c>
      <c r="Y13" s="33">
        <f>MAX([2]Examen11!Y10,[2]Examen12!Y10,[2]Examen13!Y10)</f>
        <v>1.3999999761581421</v>
      </c>
      <c r="Z13" s="32">
        <f t="shared" si="40"/>
        <v>0.69999998807907104</v>
      </c>
      <c r="AA13" s="33">
        <f>MAX([2]Examen11!AA10,[2]Examen12!AA10,[2]Examen13!AA10)</f>
        <v>0.80000001192092896</v>
      </c>
      <c r="AB13" s="32">
        <f t="shared" si="41"/>
        <v>0.40000000596046448</v>
      </c>
      <c r="AC13" s="33">
        <f>MAX([2]Examen11!AC10,[2]Examen12!AC10,[2]Examen13!AC10)</f>
        <v>0.60000002384185791</v>
      </c>
      <c r="AD13" s="32">
        <f t="shared" si="42"/>
        <v>0.30000001192092896</v>
      </c>
      <c r="AE13" s="33">
        <f>MAX([2]Examen11!AE10,[2]Examen12!AE10,[2]Examen13!AE10)</f>
        <v>0.20000000298023224</v>
      </c>
      <c r="AF13" s="32">
        <f t="shared" si="43"/>
        <v>0.10000000149011612</v>
      </c>
      <c r="AG13" s="33">
        <f>MAX([2]Examen11!AG10,[2]Examen12!AG10,[2]Examen13!AG10)</f>
        <v>1.3999999761581421</v>
      </c>
      <c r="AH13" s="32">
        <f t="shared" si="44"/>
        <v>0.69999998807907104</v>
      </c>
      <c r="AI13" s="33">
        <f>MAX([2]Examen11!AI10,[2]Examen12!AI10,[2]Examen13!AI10)</f>
        <v>2</v>
      </c>
      <c r="AJ13" s="32">
        <f t="shared" si="45"/>
        <v>1</v>
      </c>
      <c r="AK13" s="33">
        <f>MAX([2]Examen11!AK10,[2]Examen12!AK10,[2]Examen13!AK10)</f>
        <v>1</v>
      </c>
      <c r="AL13" s="32">
        <f t="shared" si="46"/>
        <v>0.5</v>
      </c>
      <c r="AM13" s="33">
        <f>MAX([2]Examen11!AM10,[2]Examen12!AM10,[2]Examen13!AM10)</f>
        <v>0</v>
      </c>
      <c r="AN13" s="32">
        <f t="shared" si="47"/>
        <v>0</v>
      </c>
      <c r="AO13" s="33">
        <f>MAX([2]Examen11!AO10,[2]Examen12!AO10,[2]Examen13!AO10)</f>
        <v>1.6000000238418579</v>
      </c>
      <c r="AP13" s="32">
        <f t="shared" si="48"/>
        <v>0.80000001192092896</v>
      </c>
      <c r="AQ13" s="33">
        <f>MAX([2]Examen11!AQ10,[2]Examen12!AQ10,[2]Examen13!AQ10)</f>
        <v>0.80000001192092896</v>
      </c>
      <c r="AR13" s="32">
        <f t="shared" si="49"/>
        <v>0.40000000596046448</v>
      </c>
      <c r="AS13" s="33">
        <f>MAX([2]Examen11!AS10,[2]Examen12!AS10,[2]Examen13!AS10)</f>
        <v>1</v>
      </c>
      <c r="AT13" s="32">
        <f t="shared" si="50"/>
        <v>0.5</v>
      </c>
      <c r="AU13" s="33">
        <f>MAX([2]Examen11!AU10,[2]Examen12!AU10,[2]Examen13!AU10)</f>
        <v>1</v>
      </c>
      <c r="AV13" s="32">
        <f t="shared" si="51"/>
        <v>0.5</v>
      </c>
      <c r="AW13" s="33">
        <f>MAX([2]Examen11!AW10,[2]Examen12!AW10,[2]Examen13!AW10)</f>
        <v>0.40000000596046448</v>
      </c>
      <c r="AX13" s="32">
        <f t="shared" si="52"/>
        <v>0.20000000298023224</v>
      </c>
      <c r="AY13" s="33">
        <f>MAX([2]Examen11!AY10,[2]Examen12!AY10,[2]Examen13!AY10)</f>
        <v>0.60000002384185791</v>
      </c>
      <c r="AZ13" s="32">
        <f t="shared" si="53"/>
        <v>0.30000001192092896</v>
      </c>
      <c r="BA13" s="33">
        <f>MAX([2]Examen11!BA10,[2]Examen12!BA10,[2]Examen13!BA10)</f>
        <v>0.20000000298023224</v>
      </c>
      <c r="BB13" s="32">
        <f t="shared" si="54"/>
        <v>0.10000000149011612</v>
      </c>
      <c r="BC13" s="33">
        <f>MAX([2]Examen11!BC10,[2]Examen12!BC10,[2]Examen13!BC10)</f>
        <v>1.2000000476837158</v>
      </c>
      <c r="BD13" s="32">
        <f t="shared" si="55"/>
        <v>0.60000002384185791</v>
      </c>
      <c r="BE13" s="33">
        <f>MAX([2]Examen11!BE10,[2]Examen12!BE10,[2]Examen13!BE10)</f>
        <v>0.20000000298023224</v>
      </c>
      <c r="BF13" s="32">
        <f t="shared" si="56"/>
        <v>0.10000000149011612</v>
      </c>
      <c r="BG13" s="33">
        <f>MAX([2]Examen11!BG10,[2]Examen12!BG10,[2]Examen13!BG10)</f>
        <v>2</v>
      </c>
      <c r="BH13" s="32">
        <f t="shared" si="57"/>
        <v>1</v>
      </c>
      <c r="BI13" s="33">
        <f>MAX([2]Examen11!BI10,[2]Examen12!BI10,[2]Examen13!BI10)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MAX([2]Examen11!B11,[2]Examen12!B11,[2]Examen13!B11)</f>
        <v>0</v>
      </c>
      <c r="C14" s="33">
        <f>MAX([2]Examen11!C11,[2]Examen12!C11,[2]Examen13!C11)</f>
        <v>0</v>
      </c>
      <c r="D14" s="32">
        <f t="shared" si="29"/>
        <v>-1</v>
      </c>
      <c r="E14" s="33">
        <f>MAX([2]Examen11!E11,[2]Examen12!E11,[2]Examen13!E11)</f>
        <v>0</v>
      </c>
      <c r="F14" s="32">
        <f t="shared" si="30"/>
        <v>-1</v>
      </c>
      <c r="G14" s="33">
        <f>MAX([2]Examen11!G11,[2]Examen12!G11,[2]Examen13!G11)</f>
        <v>0</v>
      </c>
      <c r="H14" s="32">
        <f t="shared" si="31"/>
        <v>-1</v>
      </c>
      <c r="I14" s="33">
        <f>MAX([2]Examen11!I11,[2]Examen12!I11,[2]Examen13!I11)</f>
        <v>0</v>
      </c>
      <c r="J14" s="32">
        <f t="shared" si="32"/>
        <v>-1</v>
      </c>
      <c r="K14" s="33">
        <f>MAX([2]Examen11!K11,[2]Examen12!K11,[2]Examen13!K11)</f>
        <v>0</v>
      </c>
      <c r="L14" s="32">
        <f t="shared" si="33"/>
        <v>-1</v>
      </c>
      <c r="M14" s="33">
        <f>MAX([2]Examen11!M11,[2]Examen12!M11,[2]Examen13!M11)</f>
        <v>0</v>
      </c>
      <c r="N14" s="32">
        <f t="shared" si="34"/>
        <v>-1</v>
      </c>
      <c r="O14" s="33">
        <f>MAX([2]Examen11!O11,[2]Examen12!O11,[2]Examen13!O11)</f>
        <v>0</v>
      </c>
      <c r="P14" s="32">
        <f t="shared" si="35"/>
        <v>-1</v>
      </c>
      <c r="Q14" s="33">
        <f>MAX([2]Examen11!Q11,[2]Examen12!Q11,[2]Examen13!Q11)</f>
        <v>0</v>
      </c>
      <c r="R14" s="32">
        <f t="shared" si="36"/>
        <v>-1</v>
      </c>
      <c r="S14" s="33">
        <f>MAX([2]Examen11!S11,[2]Examen12!S11,[2]Examen13!S11)</f>
        <v>0</v>
      </c>
      <c r="T14" s="32">
        <f t="shared" si="37"/>
        <v>-1</v>
      </c>
      <c r="U14" s="33">
        <f>MAX([2]Examen11!U11,[2]Examen12!U11,[2]Examen13!U11)</f>
        <v>0</v>
      </c>
      <c r="V14" s="32">
        <f t="shared" si="38"/>
        <v>-1</v>
      </c>
      <c r="W14" s="33">
        <f>MAX([2]Examen11!W11,[2]Examen12!W11,[2]Examen13!W11)</f>
        <v>0</v>
      </c>
      <c r="X14" s="32">
        <f t="shared" si="39"/>
        <v>-1</v>
      </c>
      <c r="Y14" s="33">
        <f>MAX([2]Examen11!Y11,[2]Examen12!Y11,[2]Examen13!Y11)</f>
        <v>0</v>
      </c>
      <c r="Z14" s="32">
        <f t="shared" si="40"/>
        <v>-1</v>
      </c>
      <c r="AA14" s="33">
        <f>MAX([2]Examen11!AA11,[2]Examen12!AA11,[2]Examen13!AA11)</f>
        <v>0</v>
      </c>
      <c r="AB14" s="32">
        <f t="shared" si="41"/>
        <v>-1</v>
      </c>
      <c r="AC14" s="33">
        <f>MAX([2]Examen11!AC11,[2]Examen12!AC11,[2]Examen13!AC11)</f>
        <v>0</v>
      </c>
      <c r="AD14" s="32">
        <f t="shared" si="42"/>
        <v>-1</v>
      </c>
      <c r="AE14" s="33">
        <f>MAX([2]Examen11!AE11,[2]Examen12!AE11,[2]Examen13!AE11)</f>
        <v>0</v>
      </c>
      <c r="AF14" s="32">
        <f t="shared" si="43"/>
        <v>-1</v>
      </c>
      <c r="AG14" s="33">
        <f>MAX([2]Examen11!AG11,[2]Examen12!AG11,[2]Examen13!AG11)</f>
        <v>0</v>
      </c>
      <c r="AH14" s="32">
        <f t="shared" si="44"/>
        <v>-1</v>
      </c>
      <c r="AI14" s="33">
        <f>MAX([2]Examen11!AI11,[2]Examen12!AI11,[2]Examen13!AI11)</f>
        <v>0</v>
      </c>
      <c r="AJ14" s="32">
        <f t="shared" si="45"/>
        <v>-1</v>
      </c>
      <c r="AK14" s="33">
        <f>MAX([2]Examen11!AK11,[2]Examen12!AK11,[2]Examen13!AK11)</f>
        <v>0</v>
      </c>
      <c r="AL14" s="32">
        <f t="shared" si="46"/>
        <v>-1</v>
      </c>
      <c r="AM14" s="33">
        <f>MAX([2]Examen11!AM11,[2]Examen12!AM11,[2]Examen13!AM11)</f>
        <v>0</v>
      </c>
      <c r="AN14" s="32">
        <f t="shared" si="47"/>
        <v>-1</v>
      </c>
      <c r="AO14" s="33">
        <f>MAX([2]Examen11!AO11,[2]Examen12!AO11,[2]Examen13!AO11)</f>
        <v>0</v>
      </c>
      <c r="AP14" s="32">
        <f t="shared" si="48"/>
        <v>-1</v>
      </c>
      <c r="AQ14" s="33">
        <f>MAX([2]Examen11!AQ11,[2]Examen12!AQ11,[2]Examen13!AQ11)</f>
        <v>0</v>
      </c>
      <c r="AR14" s="32">
        <f t="shared" si="49"/>
        <v>-1</v>
      </c>
      <c r="AS14" s="33">
        <f>MAX([2]Examen11!AS11,[2]Examen12!AS11,[2]Examen13!AS11)</f>
        <v>0</v>
      </c>
      <c r="AT14" s="32">
        <f t="shared" si="50"/>
        <v>-1</v>
      </c>
      <c r="AU14" s="33">
        <f>MAX([2]Examen11!AU11,[2]Examen12!AU11,[2]Examen13!AU11)</f>
        <v>0</v>
      </c>
      <c r="AV14" s="32">
        <f t="shared" si="51"/>
        <v>-1</v>
      </c>
      <c r="AW14" s="33">
        <f>MAX([2]Examen11!AW11,[2]Examen12!AW11,[2]Examen13!AW11)</f>
        <v>0</v>
      </c>
      <c r="AX14" s="32">
        <f t="shared" si="52"/>
        <v>-1</v>
      </c>
      <c r="AY14" s="33">
        <f>MAX([2]Examen11!AY11,[2]Examen12!AY11,[2]Examen13!AY11)</f>
        <v>0</v>
      </c>
      <c r="AZ14" s="32">
        <f t="shared" si="53"/>
        <v>-1</v>
      </c>
      <c r="BA14" s="33">
        <f>MAX([2]Examen11!BA11,[2]Examen12!BA11,[2]Examen13!BA11)</f>
        <v>0</v>
      </c>
      <c r="BB14" s="32">
        <f t="shared" si="54"/>
        <v>-1</v>
      </c>
      <c r="BC14" s="33">
        <f>MAX([2]Examen11!BC11,[2]Examen12!BC11,[2]Examen13!BC11)</f>
        <v>0</v>
      </c>
      <c r="BD14" s="32">
        <f t="shared" si="55"/>
        <v>-1</v>
      </c>
      <c r="BE14" s="33">
        <f>MAX([2]Examen11!BE11,[2]Examen12!BE11,[2]Examen13!BE11)</f>
        <v>0</v>
      </c>
      <c r="BF14" s="32">
        <f t="shared" si="56"/>
        <v>-1</v>
      </c>
      <c r="BG14" s="33">
        <f>MAX([2]Examen11!BG11,[2]Examen12!BG11,[2]Examen13!BG11)</f>
        <v>0</v>
      </c>
      <c r="BH14" s="32">
        <f t="shared" si="57"/>
        <v>-1</v>
      </c>
      <c r="BI14" s="33">
        <f>MAX([2]Examen11!BI11,[2]Examen12!BI11,[2]Examen13!BI11)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MAX([2]Examen11!B12,[2]Examen12!B12,[2]Examen13!B12)</f>
        <v>0</v>
      </c>
      <c r="C15" s="33">
        <f>MAX([2]Examen11!C12,[2]Examen12!C12,[2]Examen13!C12)</f>
        <v>0</v>
      </c>
      <c r="D15" s="32">
        <f t="shared" si="29"/>
        <v>-1</v>
      </c>
      <c r="E15" s="33">
        <f>MAX([2]Examen11!E12,[2]Examen12!E12,[2]Examen13!E12)</f>
        <v>0</v>
      </c>
      <c r="F15" s="32">
        <f t="shared" si="30"/>
        <v>-1</v>
      </c>
      <c r="G15" s="33">
        <f>MAX([2]Examen11!G12,[2]Examen12!G12,[2]Examen13!G12)</f>
        <v>0</v>
      </c>
      <c r="H15" s="32">
        <f t="shared" si="31"/>
        <v>-1</v>
      </c>
      <c r="I15" s="33">
        <f>MAX([2]Examen11!I12,[2]Examen12!I12,[2]Examen13!I12)</f>
        <v>0</v>
      </c>
      <c r="J15" s="32">
        <f t="shared" si="32"/>
        <v>-1</v>
      </c>
      <c r="K15" s="33">
        <f>MAX([2]Examen11!K12,[2]Examen12!K12,[2]Examen13!K12)</f>
        <v>0</v>
      </c>
      <c r="L15" s="32">
        <f t="shared" si="33"/>
        <v>-1</v>
      </c>
      <c r="M15" s="33">
        <f>MAX([2]Examen11!M12,[2]Examen12!M12,[2]Examen13!M12)</f>
        <v>0</v>
      </c>
      <c r="N15" s="32">
        <f t="shared" si="34"/>
        <v>-1</v>
      </c>
      <c r="O15" s="33">
        <f>MAX([2]Examen11!O12,[2]Examen12!O12,[2]Examen13!O12)</f>
        <v>0</v>
      </c>
      <c r="P15" s="32">
        <f t="shared" si="35"/>
        <v>-1</v>
      </c>
      <c r="Q15" s="33">
        <f>MAX([2]Examen11!Q12,[2]Examen12!Q12,[2]Examen13!Q12)</f>
        <v>0</v>
      </c>
      <c r="R15" s="32">
        <f t="shared" si="36"/>
        <v>-1</v>
      </c>
      <c r="S15" s="33">
        <f>MAX([2]Examen11!S12,[2]Examen12!S12,[2]Examen13!S12)</f>
        <v>0</v>
      </c>
      <c r="T15" s="32">
        <f t="shared" si="37"/>
        <v>-1</v>
      </c>
      <c r="U15" s="33">
        <f>MAX([2]Examen11!U12,[2]Examen12!U12,[2]Examen13!U12)</f>
        <v>0</v>
      </c>
      <c r="V15" s="32">
        <f t="shared" si="38"/>
        <v>-1</v>
      </c>
      <c r="W15" s="33">
        <f>MAX([2]Examen11!W12,[2]Examen12!W12,[2]Examen13!W12)</f>
        <v>0</v>
      </c>
      <c r="X15" s="32">
        <f t="shared" si="39"/>
        <v>-1</v>
      </c>
      <c r="Y15" s="33">
        <f>MAX([2]Examen11!Y12,[2]Examen12!Y12,[2]Examen13!Y12)</f>
        <v>0</v>
      </c>
      <c r="Z15" s="32">
        <f t="shared" si="40"/>
        <v>-1</v>
      </c>
      <c r="AA15" s="33">
        <f>MAX([2]Examen11!AA12,[2]Examen12!AA12,[2]Examen13!AA12)</f>
        <v>0</v>
      </c>
      <c r="AB15" s="32">
        <f t="shared" si="41"/>
        <v>-1</v>
      </c>
      <c r="AC15" s="33">
        <f>MAX([2]Examen11!AC12,[2]Examen12!AC12,[2]Examen13!AC12)</f>
        <v>0</v>
      </c>
      <c r="AD15" s="32">
        <f t="shared" si="42"/>
        <v>-1</v>
      </c>
      <c r="AE15" s="33">
        <f>MAX([2]Examen11!AE12,[2]Examen12!AE12,[2]Examen13!AE12)</f>
        <v>0</v>
      </c>
      <c r="AF15" s="32">
        <f t="shared" si="43"/>
        <v>-1</v>
      </c>
      <c r="AG15" s="33">
        <f>MAX([2]Examen11!AG12,[2]Examen12!AG12,[2]Examen13!AG12)</f>
        <v>0</v>
      </c>
      <c r="AH15" s="32">
        <f t="shared" si="44"/>
        <v>-1</v>
      </c>
      <c r="AI15" s="33">
        <f>MAX([2]Examen11!AI12,[2]Examen12!AI12,[2]Examen13!AI12)</f>
        <v>0</v>
      </c>
      <c r="AJ15" s="32">
        <f t="shared" si="45"/>
        <v>-1</v>
      </c>
      <c r="AK15" s="33">
        <f>MAX([2]Examen11!AK12,[2]Examen12!AK12,[2]Examen13!AK12)</f>
        <v>0</v>
      </c>
      <c r="AL15" s="32">
        <f t="shared" si="46"/>
        <v>-1</v>
      </c>
      <c r="AM15" s="33">
        <f>MAX([2]Examen11!AM12,[2]Examen12!AM12,[2]Examen13!AM12)</f>
        <v>0</v>
      </c>
      <c r="AN15" s="32">
        <f t="shared" si="47"/>
        <v>-1</v>
      </c>
      <c r="AO15" s="33">
        <f>MAX([2]Examen11!AO12,[2]Examen12!AO12,[2]Examen13!AO12)</f>
        <v>0</v>
      </c>
      <c r="AP15" s="32">
        <f t="shared" si="48"/>
        <v>-1</v>
      </c>
      <c r="AQ15" s="33">
        <f>MAX([2]Examen11!AQ12,[2]Examen12!AQ12,[2]Examen13!AQ12)</f>
        <v>0</v>
      </c>
      <c r="AR15" s="32">
        <f t="shared" si="49"/>
        <v>-1</v>
      </c>
      <c r="AS15" s="33">
        <f>MAX([2]Examen11!AS12,[2]Examen12!AS12,[2]Examen13!AS12)</f>
        <v>0</v>
      </c>
      <c r="AT15" s="32">
        <f t="shared" si="50"/>
        <v>-1</v>
      </c>
      <c r="AU15" s="33">
        <f>MAX([2]Examen11!AU12,[2]Examen12!AU12,[2]Examen13!AU12)</f>
        <v>0</v>
      </c>
      <c r="AV15" s="32">
        <f t="shared" si="51"/>
        <v>-1</v>
      </c>
      <c r="AW15" s="33">
        <f>MAX([2]Examen11!AW12,[2]Examen12!AW12,[2]Examen13!AW12)</f>
        <v>0</v>
      </c>
      <c r="AX15" s="32">
        <f t="shared" si="52"/>
        <v>-1</v>
      </c>
      <c r="AY15" s="33">
        <f>MAX([2]Examen11!AY12,[2]Examen12!AY12,[2]Examen13!AY12)</f>
        <v>0</v>
      </c>
      <c r="AZ15" s="32">
        <f t="shared" si="53"/>
        <v>-1</v>
      </c>
      <c r="BA15" s="33">
        <f>MAX([2]Examen11!BA12,[2]Examen12!BA12,[2]Examen13!BA12)</f>
        <v>0</v>
      </c>
      <c r="BB15" s="32">
        <f t="shared" si="54"/>
        <v>-1</v>
      </c>
      <c r="BC15" s="33">
        <f>MAX([2]Examen11!BC12,[2]Examen12!BC12,[2]Examen13!BC12)</f>
        <v>0</v>
      </c>
      <c r="BD15" s="32">
        <f t="shared" si="55"/>
        <v>-1</v>
      </c>
      <c r="BE15" s="33">
        <f>MAX([2]Examen11!BE12,[2]Examen12!BE12,[2]Examen13!BE12)</f>
        <v>0</v>
      </c>
      <c r="BF15" s="32">
        <f t="shared" si="56"/>
        <v>-1</v>
      </c>
      <c r="BG15" s="33">
        <f>MAX([2]Examen11!BG12,[2]Examen12!BG12,[2]Examen13!BG12)</f>
        <v>0</v>
      </c>
      <c r="BH15" s="32">
        <f t="shared" si="57"/>
        <v>-1</v>
      </c>
      <c r="BI15" s="33">
        <f>MAX([2]Examen11!BI12,[2]Examen12!BI12,[2]Examen13!BI12)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Estructura!B4</f>
        <v>0.45</v>
      </c>
      <c r="C16" s="58">
        <f>IF(SUM($B17:$B25)&lt;&gt;0,SUM(C17:C25)/SUM($B17:$B25)*$B16*10, "")</f>
        <v>2.2500000067055224</v>
      </c>
      <c r="D16" s="58"/>
      <c r="E16" s="58">
        <f>IF(SUM($B17:$B25)&lt;&gt;0,SUM(E17:E25)/SUM($B17:$B25)*$B16*10, "")</f>
        <v>1.5975000523030758</v>
      </c>
      <c r="F16" s="58"/>
      <c r="G16" s="58">
        <f>IF(SUM($B17:$B25)&lt;&gt;0,SUM(G17:G25)/SUM($B17:$B25)*$B16*10, "")</f>
        <v>1.4399999946355817</v>
      </c>
      <c r="H16" s="58"/>
      <c r="I16" s="58">
        <f>IF(SUM($B17:$B25)&lt;&gt;0,SUM(I17:I25)/SUM($B17:$B25)*$B16*10, "")</f>
        <v>2.2725000036880374</v>
      </c>
      <c r="J16" s="58"/>
      <c r="K16" s="58">
        <f>IF(SUM($B17:$B25)&lt;&gt;0,SUM(K17:K25)/SUM($B17:$B25)*$B16*10, "")</f>
        <v>1.8450000040233137</v>
      </c>
      <c r="L16" s="58"/>
      <c r="M16" s="58">
        <f>IF(SUM($B17:$B25)&lt;&gt;0,SUM(M17:M25)/SUM($B17:$B25)*$B16*10, "")</f>
        <v>2.2275000181049109</v>
      </c>
      <c r="N16" s="58"/>
      <c r="O16" s="58">
        <f>IF(SUM($B17:$B25)&lt;&gt;0,SUM(O17:O25)/SUM($B17:$B25)*$B16*10, "")</f>
        <v>2.7450000207871201</v>
      </c>
      <c r="P16" s="58"/>
      <c r="Q16" s="58">
        <f>IF(SUM($B17:$B25)&lt;&gt;0,SUM(Q17:Q25)/SUM($B17:$B25)*$B16*10, "")</f>
        <v>1.6425000144168733</v>
      </c>
      <c r="R16" s="58"/>
      <c r="S16" s="58">
        <f>IF(SUM($B17:$B25)&lt;&gt;0,SUM(S17:S25)/SUM($B17:$B25)*$B16*10, "")</f>
        <v>1.7100000087171794</v>
      </c>
      <c r="T16" s="58"/>
      <c r="U16" s="58">
        <f>IF(SUM($B17:$B25)&lt;&gt;0,SUM(U17:U25)/SUM($B17:$B25)*$B16*10, "")</f>
        <v>3.0600000053644183</v>
      </c>
      <c r="V16" s="58"/>
      <c r="W16" s="58">
        <f>IF(SUM($B17:$B25)&lt;&gt;0,SUM(W17:W25)/SUM($B17:$B25)*$B16*10, "")</f>
        <v>2.2500000335276127</v>
      </c>
      <c r="X16" s="58"/>
      <c r="Y16" s="58">
        <f>IF(SUM($B17:$B25)&lt;&gt;0,SUM(Y17:Y25)/SUM($B17:$B25)*$B16*10, "")</f>
        <v>2.947500005364418</v>
      </c>
      <c r="Z16" s="58"/>
      <c r="AA16" s="58">
        <f>IF(SUM($B17:$B25)&lt;&gt;0,SUM(AA17:AA25)/SUM($B17:$B25)*$B16*10, "")</f>
        <v>1.957500024139881</v>
      </c>
      <c r="AB16" s="58"/>
      <c r="AC16" s="58">
        <f>IF(SUM($B17:$B25)&lt;&gt;0,SUM(AC17:AC25)/SUM($B17:$B25)*$B16*10, "")</f>
        <v>1.8675000093877314</v>
      </c>
      <c r="AD16" s="58"/>
      <c r="AE16" s="58">
        <f>IF(SUM($B17:$B25)&lt;&gt;0,SUM(AE17:AE25)/SUM($B17:$B25)*$B16*10, "")</f>
        <v>2.7225000020116568</v>
      </c>
      <c r="AF16" s="58"/>
      <c r="AG16" s="58">
        <f>IF(SUM($B17:$B25)&lt;&gt;0,SUM(AG17:AG25)/SUM($B17:$B25)*$B16*10, "")</f>
        <v>2.0249999798834324</v>
      </c>
      <c r="AH16" s="58"/>
      <c r="AI16" s="58">
        <f>IF(SUM($B17:$B25)&lt;&gt;0,SUM(AI17:AI25)/SUM($B17:$B25)*$B16*10, "")</f>
        <v>1.5074999906122686</v>
      </c>
      <c r="AJ16" s="58"/>
      <c r="AK16" s="58">
        <f>IF(SUM($B17:$B25)&lt;&gt;0,SUM(AK17:AK25)/SUM($B17:$B25)*$B16*10, "")</f>
        <v>2.4750000033527613</v>
      </c>
      <c r="AL16" s="58"/>
      <c r="AM16" s="58">
        <f>IF(SUM($B17:$B25)&lt;&gt;0,SUM(AM17:AM25)/SUM($B17:$B25)*$B16*10, "")</f>
        <v>2.1600000455975534</v>
      </c>
      <c r="AN16" s="58"/>
      <c r="AO16" s="58">
        <f>IF(SUM($B17:$B25)&lt;&gt;0,SUM(AO17:AO25)/SUM($B17:$B25)*$B16*10, "")</f>
        <v>2.3850000087171792</v>
      </c>
      <c r="AP16" s="58"/>
      <c r="AQ16" s="58">
        <f>IF(SUM($B17:$B25)&lt;&gt;0,SUM(AQ17:AQ25)/SUM($B17:$B25)*$B16*10, "")</f>
        <v>2.9025000113993888</v>
      </c>
      <c r="AR16" s="58"/>
      <c r="AS16" s="58">
        <f>IF(SUM($B17:$B25)&lt;&gt;0,SUM(AS17:AS25)/SUM($B17:$B25)*$B16*10, "")</f>
        <v>2.8350000254809862</v>
      </c>
      <c r="AT16" s="58"/>
      <c r="AU16" s="58">
        <f>IF(SUM($B17:$B25)&lt;&gt;0,SUM(AU17:AU25)/SUM($B17:$B25)*$B16*10, "")</f>
        <v>2.6774999778717756</v>
      </c>
      <c r="AV16" s="58"/>
      <c r="AW16" s="58">
        <f>IF(SUM($B17:$B25)&lt;&gt;0,SUM(AW17:AW25)/SUM($B17:$B25)*$B16*10, "")</f>
        <v>1.5300000144168735</v>
      </c>
      <c r="AX16" s="58"/>
      <c r="AY16" s="58">
        <f>IF(SUM($B17:$B25)&lt;&gt;0,SUM(AY17:AY25)/SUM($B17:$B25)*$B16*10, "")</f>
        <v>2.5425000227987766</v>
      </c>
      <c r="AZ16" s="58"/>
      <c r="BA16" s="58">
        <f>IF(SUM($B17:$B25)&lt;&gt;0,SUM(BA17:BA25)/SUM($B17:$B25)*$B16*10, "")</f>
        <v>2.0024999946355821</v>
      </c>
      <c r="BB16" s="58"/>
      <c r="BC16" s="58">
        <f>IF(SUM($B17:$B25)&lt;&gt;0,SUM(BC17:BC25)/SUM($B17:$B25)*$B16*10, "")</f>
        <v>2.6100000455975532</v>
      </c>
      <c r="BD16" s="58"/>
      <c r="BE16" s="58">
        <f>IF(SUM($B17:$B25)&lt;&gt;0,SUM(BE17:BE25)/SUM($B17:$B25)*$B16*10, "")</f>
        <v>1.5075000174343587</v>
      </c>
      <c r="BF16" s="58"/>
      <c r="BG16" s="58">
        <f>IF(SUM($B17:$B25)&lt;&gt;0,SUM(BG17:BG25)/SUM($B17:$B25)*$B16*10, "")</f>
        <v>2.654999995976687</v>
      </c>
      <c r="BH16" s="58"/>
      <c r="BI16" s="58">
        <f>IF(SUM($B17:$B25)&lt;&gt;0,SUM(BI17:BI25)/SUM($B17:$B25)*$B16*10, "")</f>
        <v>1.1700000191107394</v>
      </c>
      <c r="BJ16" s="58"/>
    </row>
    <row r="17" spans="1:62" ht="42" x14ac:dyDescent="0.2">
      <c r="A17" s="2" t="s">
        <v>18</v>
      </c>
      <c r="B17" s="13">
        <f>MAX([2]Examen11!B14,[2]Examen12!B14,[2]Examen13!B14)</f>
        <v>1.5</v>
      </c>
      <c r="C17" s="33">
        <f>MAX([2]Examen11!C14,[2]Examen12!C14,[2]Examen13!C14)</f>
        <v>0.60000000894069672</v>
      </c>
      <c r="D17" s="32">
        <f t="shared" ref="D17:D25" si="59">IF($B17,C17/$B17,-1)</f>
        <v>0.40000000596046448</v>
      </c>
      <c r="E17" s="33">
        <f>MAX([2]Examen11!E14,[2]Examen12!E14,[2]Examen13!E14)</f>
        <v>0.45000001788139343</v>
      </c>
      <c r="F17" s="32">
        <f t="shared" ref="F17:F25" si="60">IF($B17,E17/$B17,-1)</f>
        <v>0.30000001192092896</v>
      </c>
      <c r="G17" s="33">
        <f>MAX([2]Examen11!G14,[2]Examen12!G14,[2]Examen13!G14)</f>
        <v>1.3499999642372131</v>
      </c>
      <c r="H17" s="32">
        <f t="shared" ref="H17:H25" si="61">IF($B17,G17/$B17,-1)</f>
        <v>0.89999997615814209</v>
      </c>
      <c r="I17" s="33">
        <f>MAX([2]Examen11!I14,[2]Examen12!I14,[2]Examen13!I14)</f>
        <v>1.2000000178813934</v>
      </c>
      <c r="J17" s="32">
        <f t="shared" ref="J17:J25" si="62">IF($B17,I17/$B17,-1)</f>
        <v>0.80000001192092896</v>
      </c>
      <c r="K17" s="33">
        <f>MAX([2]Examen11!K14,[2]Examen12!K14,[2]Examen13!K14)</f>
        <v>0.45000001788139343</v>
      </c>
      <c r="L17" s="32">
        <f t="shared" ref="L17:L25" si="63">IF($B17,K17/$B17,-1)</f>
        <v>0.30000001192092896</v>
      </c>
      <c r="M17" s="33">
        <f>MAX([2]Examen11!M14,[2]Examen12!M14,[2]Examen13!M14)</f>
        <v>1.0499999821186066</v>
      </c>
      <c r="N17" s="32">
        <f t="shared" ref="N17:N25" si="64">IF($B17,M17/$B17,-1)</f>
        <v>0.69999998807907104</v>
      </c>
      <c r="O17" s="33">
        <f>MAX([2]Examen11!O14,[2]Examen12!O14,[2]Examen13!O14)</f>
        <v>0.30000000447034836</v>
      </c>
      <c r="P17" s="32">
        <f t="shared" ref="P17:P25" si="65">IF($B17,O17/$B17,-1)</f>
        <v>0.20000000298023224</v>
      </c>
      <c r="Q17" s="33">
        <f>MAX([2]Examen11!Q14,[2]Examen12!Q14,[2]Examen13!Q14)</f>
        <v>0</v>
      </c>
      <c r="R17" s="32">
        <f t="shared" ref="R17:R25" si="66">IF($B17,Q17/$B17,-1)</f>
        <v>0</v>
      </c>
      <c r="S17" s="33">
        <f>MAX([2]Examen11!S14,[2]Examen12!S14,[2]Examen13!S14)</f>
        <v>0</v>
      </c>
      <c r="T17" s="32">
        <f t="shared" ref="T17:T25" si="67">IF($B17,S17/$B17,-1)</f>
        <v>0</v>
      </c>
      <c r="U17" s="33">
        <f>MAX([2]Examen11!U14,[2]Examen12!U14,[2]Examen13!U14)</f>
        <v>0.45000001788139343</v>
      </c>
      <c r="V17" s="32">
        <f t="shared" ref="V17:V25" si="68">IF($B17,U17/$B17,-1)</f>
        <v>0.30000001192092896</v>
      </c>
      <c r="W17" s="33">
        <f>MAX([2]Examen11!W14,[2]Examen12!W14,[2]Examen13!W14)</f>
        <v>1.2000000178813934</v>
      </c>
      <c r="X17" s="32">
        <f t="shared" ref="X17:X25" si="69">IF($B17,W17/$B17,-1)</f>
        <v>0.80000001192092896</v>
      </c>
      <c r="Y17" s="33">
        <f>MAX([2]Examen11!Y14,[2]Examen12!Y14,[2]Examen13!Y14)</f>
        <v>0.45000001788139343</v>
      </c>
      <c r="Z17" s="32">
        <f t="shared" ref="Z17:Z25" si="70">IF($B17,Y17/$B17,-1)</f>
        <v>0.30000001192092896</v>
      </c>
      <c r="AA17" s="33">
        <f>MAX([2]Examen11!AA14,[2]Examen12!AA14,[2]Examen13!AA14)</f>
        <v>0.30000000447034836</v>
      </c>
      <c r="AB17" s="32">
        <f t="shared" ref="AB17:AB25" si="71">IF($B17,AA17/$B17,-1)</f>
        <v>0.20000000298023224</v>
      </c>
      <c r="AC17" s="33">
        <f>MAX([2]Examen11!AC14,[2]Examen12!AC14,[2]Examen13!AC14)</f>
        <v>0.75</v>
      </c>
      <c r="AD17" s="32">
        <f t="shared" ref="AD17:AD25" si="72">IF($B17,AC17/$B17,-1)</f>
        <v>0.5</v>
      </c>
      <c r="AE17" s="33">
        <f>MAX([2]Examen11!AE14,[2]Examen12!AE14,[2]Examen13!AE14)</f>
        <v>0.30000000447034836</v>
      </c>
      <c r="AF17" s="32">
        <f t="shared" ref="AF17:AF25" si="73">IF($B17,AE17/$B17,-1)</f>
        <v>0.20000000298023224</v>
      </c>
      <c r="AG17" s="33">
        <f>MAX([2]Examen11!AG14,[2]Examen12!AG14,[2]Examen13!AG14)</f>
        <v>0.45000001788139343</v>
      </c>
      <c r="AH17" s="32">
        <f t="shared" ref="AH17:AH25" si="74">IF($B17,AG17/$B17,-1)</f>
        <v>0.30000001192092896</v>
      </c>
      <c r="AI17" s="33">
        <f>MAX([2]Examen11!AI14,[2]Examen12!AI14,[2]Examen13!AI14)</f>
        <v>0</v>
      </c>
      <c r="AJ17" s="32">
        <f t="shared" ref="AJ17:AJ25" si="75">IF($B17,AI17/$B17,-1)</f>
        <v>0</v>
      </c>
      <c r="AK17" s="33">
        <f>MAX([2]Examen11!AK14,[2]Examen12!AK14,[2]Examen13!AK14)</f>
        <v>0.75</v>
      </c>
      <c r="AL17" s="32">
        <f t="shared" ref="AL17:AL25" si="76">IF($B17,AK17/$B17,-1)</f>
        <v>0.5</v>
      </c>
      <c r="AM17" s="33">
        <f>MAX([2]Examen11!AM14,[2]Examen12!AM14,[2]Examen13!AM14)</f>
        <v>0.30000000447034836</v>
      </c>
      <c r="AN17" s="32">
        <f t="shared" ref="AN17:AN25" si="77">IF($B17,AM17/$B17,-1)</f>
        <v>0.20000000298023224</v>
      </c>
      <c r="AO17" s="33">
        <f>MAX([2]Examen11!AO14,[2]Examen12!AO14,[2]Examen13!AO14)</f>
        <v>1.3499999642372131</v>
      </c>
      <c r="AP17" s="32">
        <f t="shared" ref="AP17:AP25" si="78">IF($B17,AO17/$B17,-1)</f>
        <v>0.89999997615814209</v>
      </c>
      <c r="AQ17" s="33">
        <f>MAX([2]Examen11!AQ14,[2]Examen12!AQ14,[2]Examen13!AQ14)</f>
        <v>0.90000003576278687</v>
      </c>
      <c r="AR17" s="32">
        <f t="shared" ref="AR17:AR25" si="79">IF($B17,AQ17/$B17,-1)</f>
        <v>0.60000002384185791</v>
      </c>
      <c r="AS17" s="33">
        <f>MAX([2]Examen11!AS14,[2]Examen12!AS14,[2]Examen13!AS14)</f>
        <v>1.2000000178813934</v>
      </c>
      <c r="AT17" s="32">
        <f t="shared" ref="AT17:AT25" si="80">IF($B17,AS17/$B17,-1)</f>
        <v>0.80000001192092896</v>
      </c>
      <c r="AU17" s="33">
        <f>MAX([2]Examen11!AU14,[2]Examen12!AU14,[2]Examen13!AU14)</f>
        <v>1.5</v>
      </c>
      <c r="AV17" s="32">
        <f t="shared" ref="AV17:AV25" si="81">IF($B17,AU17/$B17,-1)</f>
        <v>1</v>
      </c>
      <c r="AW17" s="33">
        <f>MAX([2]Examen11!AW14,[2]Examen12!AW14,[2]Examen13!AW14)</f>
        <v>0.45000001788139343</v>
      </c>
      <c r="AX17" s="32">
        <f t="shared" ref="AX17:AX25" si="82">IF($B17,AW17/$B17,-1)</f>
        <v>0.30000001192092896</v>
      </c>
      <c r="AY17" s="33">
        <f>MAX([2]Examen11!AY14,[2]Examen12!AY14,[2]Examen13!AY14)</f>
        <v>0.75</v>
      </c>
      <c r="AZ17" s="32">
        <f t="shared" ref="AZ17:AZ25" si="83">IF($B17,AY17/$B17,-1)</f>
        <v>0.5</v>
      </c>
      <c r="BA17" s="33">
        <f>MAX([2]Examen11!BA14,[2]Examen12!BA14,[2]Examen13!BA14)</f>
        <v>0</v>
      </c>
      <c r="BB17" s="32">
        <f t="shared" ref="BB17:BB25" si="84">IF($B17,BA17/$B17,-1)</f>
        <v>0</v>
      </c>
      <c r="BC17" s="33">
        <f>MAX([2]Examen11!BC14,[2]Examen12!BC14,[2]Examen13!BC14)</f>
        <v>0.90000003576278687</v>
      </c>
      <c r="BD17" s="32">
        <f t="shared" ref="BD17:BD25" si="85">IF($B17,BC17/$B17,-1)</f>
        <v>0.60000002384185791</v>
      </c>
      <c r="BE17" s="33">
        <f>MAX([2]Examen11!BE14,[2]Examen12!BE14,[2]Examen13!BE14)</f>
        <v>0.60000000894069672</v>
      </c>
      <c r="BF17" s="32">
        <f t="shared" ref="BF17:BF25" si="86">IF($B17,BE17/$B17,-1)</f>
        <v>0.40000000596046448</v>
      </c>
      <c r="BG17" s="33">
        <f>MAX([2]Examen11!BG14,[2]Examen12!BG14,[2]Examen13!BG14)</f>
        <v>1.5</v>
      </c>
      <c r="BH17" s="32">
        <f t="shared" ref="BH17:BH25" si="87">IF($B17,BG17/$B17,-1)</f>
        <v>1</v>
      </c>
      <c r="BI17" s="33">
        <f>MAX([2]Examen11!BI14,[2]Examen12!BI14,[2]Examen13!BI14)</f>
        <v>0.15000000223517418</v>
      </c>
      <c r="BJ17" s="32">
        <f t="shared" ref="BJ17:BJ25" si="88">IF($B17,BI17/$B17,-1)</f>
        <v>0.10000000149011612</v>
      </c>
    </row>
    <row r="18" spans="1:62" ht="56" x14ac:dyDescent="0.2">
      <c r="A18" s="2" t="s">
        <v>19</v>
      </c>
      <c r="B18" s="13">
        <f>MAX([2]Examen11!B15,[2]Examen12!B15,[2]Examen13!B15)</f>
        <v>1.5</v>
      </c>
      <c r="C18" s="33">
        <f>MAX([2]Examen11!C15,[2]Examen12!C15,[2]Examen13!C15)</f>
        <v>1.5</v>
      </c>
      <c r="D18" s="32">
        <f t="shared" si="59"/>
        <v>1</v>
      </c>
      <c r="E18" s="33">
        <f>MAX([2]Examen11!E15,[2]Examen12!E15,[2]Examen13!E15)</f>
        <v>0.90000003576278687</v>
      </c>
      <c r="F18" s="32">
        <f t="shared" si="60"/>
        <v>0.60000002384185791</v>
      </c>
      <c r="G18" s="33">
        <f>MAX([2]Examen11!G15,[2]Examen12!G15,[2]Examen13!G15)</f>
        <v>0.45000001788139343</v>
      </c>
      <c r="H18" s="32">
        <f t="shared" si="61"/>
        <v>0.30000001192092896</v>
      </c>
      <c r="I18" s="33">
        <f>MAX([2]Examen11!I15,[2]Examen12!I15,[2]Examen13!I15)</f>
        <v>0.15000000223517418</v>
      </c>
      <c r="J18" s="32">
        <f t="shared" si="62"/>
        <v>0.10000000149011612</v>
      </c>
      <c r="K18" s="33">
        <f>MAX([2]Examen11!K15,[2]Examen12!K15,[2]Examen13!K15)</f>
        <v>0.75</v>
      </c>
      <c r="L18" s="32">
        <f t="shared" si="63"/>
        <v>0.5</v>
      </c>
      <c r="M18" s="33">
        <f>MAX([2]Examen11!M15,[2]Examen12!M15,[2]Examen13!M15)</f>
        <v>0.30000000447034836</v>
      </c>
      <c r="N18" s="32">
        <f t="shared" si="64"/>
        <v>0.20000000298023224</v>
      </c>
      <c r="O18" s="33">
        <f>MAX([2]Examen11!O15,[2]Examen12!O15,[2]Examen13!O15)</f>
        <v>1.5</v>
      </c>
      <c r="P18" s="32">
        <f t="shared" si="65"/>
        <v>1</v>
      </c>
      <c r="Q18" s="33">
        <f>MAX([2]Examen11!Q15,[2]Examen12!Q15,[2]Examen13!Q15)</f>
        <v>0.15000000223517418</v>
      </c>
      <c r="R18" s="32">
        <f t="shared" si="66"/>
        <v>0.10000000149011612</v>
      </c>
      <c r="S18" s="33">
        <f>MAX([2]Examen11!S15,[2]Examen12!S15,[2]Examen13!S15)</f>
        <v>0</v>
      </c>
      <c r="T18" s="32">
        <f t="shared" si="67"/>
        <v>0</v>
      </c>
      <c r="U18" s="33">
        <f>MAX([2]Examen11!U15,[2]Examen12!U15,[2]Examen13!U15)</f>
        <v>0.45000001788139343</v>
      </c>
      <c r="V18" s="32">
        <f t="shared" si="68"/>
        <v>0.30000001192092896</v>
      </c>
      <c r="W18" s="33">
        <f>MAX([2]Examen11!W15,[2]Examen12!W15,[2]Examen13!W15)</f>
        <v>0.90000003576278687</v>
      </c>
      <c r="X18" s="32">
        <f t="shared" si="69"/>
        <v>0.60000002384185791</v>
      </c>
      <c r="Y18" s="33">
        <f>MAX([2]Examen11!Y15,[2]Examen12!Y15,[2]Examen13!Y15)</f>
        <v>1.5</v>
      </c>
      <c r="Z18" s="32">
        <f t="shared" si="70"/>
        <v>1</v>
      </c>
      <c r="AA18" s="33">
        <f>MAX([2]Examen11!AA15,[2]Examen12!AA15,[2]Examen13!AA15)</f>
        <v>0.75</v>
      </c>
      <c r="AB18" s="32">
        <f t="shared" si="71"/>
        <v>0.5</v>
      </c>
      <c r="AC18" s="33">
        <f>MAX([2]Examen11!AC15,[2]Examen12!AC15,[2]Examen13!AC15)</f>
        <v>0.60000000894069672</v>
      </c>
      <c r="AD18" s="32">
        <f t="shared" si="72"/>
        <v>0.40000000596046448</v>
      </c>
      <c r="AE18" s="33">
        <f>MAX([2]Examen11!AE15,[2]Examen12!AE15,[2]Examen13!AE15)</f>
        <v>1.3499999642372131</v>
      </c>
      <c r="AF18" s="32">
        <f t="shared" si="73"/>
        <v>0.89999997615814209</v>
      </c>
      <c r="AG18" s="33">
        <f>MAX([2]Examen11!AG15,[2]Examen12!AG15,[2]Examen13!AG15)</f>
        <v>1.3499999642372131</v>
      </c>
      <c r="AH18" s="32">
        <f t="shared" si="74"/>
        <v>0.89999997615814209</v>
      </c>
      <c r="AI18" s="33">
        <f>MAX([2]Examen11!AI15,[2]Examen12!AI15,[2]Examen13!AI15)</f>
        <v>1.0499999821186066</v>
      </c>
      <c r="AJ18" s="32">
        <f t="shared" si="75"/>
        <v>0.69999998807907104</v>
      </c>
      <c r="AK18" s="33">
        <f>MAX([2]Examen11!AK15,[2]Examen12!AK15,[2]Examen13!AK15)</f>
        <v>1.0499999821186066</v>
      </c>
      <c r="AL18" s="32">
        <f t="shared" si="76"/>
        <v>0.69999998807907104</v>
      </c>
      <c r="AM18" s="33">
        <f>MAX([2]Examen11!AM15,[2]Examen12!AM15,[2]Examen13!AM15)</f>
        <v>1.5</v>
      </c>
      <c r="AN18" s="32">
        <f t="shared" si="77"/>
        <v>1</v>
      </c>
      <c r="AO18" s="33">
        <f>MAX([2]Examen11!AO15,[2]Examen12!AO15,[2]Examen13!AO15)</f>
        <v>0.45000001788139343</v>
      </c>
      <c r="AP18" s="32">
        <f t="shared" si="78"/>
        <v>0.30000001192092896</v>
      </c>
      <c r="AQ18" s="33">
        <f>MAX([2]Examen11!AQ15,[2]Examen12!AQ15,[2]Examen13!AQ15)</f>
        <v>0.75</v>
      </c>
      <c r="AR18" s="32">
        <f t="shared" si="79"/>
        <v>0.5</v>
      </c>
      <c r="AS18" s="33">
        <f>MAX([2]Examen11!AS15,[2]Examen12!AS15,[2]Examen13!AS15)</f>
        <v>0.60000000894069672</v>
      </c>
      <c r="AT18" s="32">
        <f t="shared" si="80"/>
        <v>0.40000000596046448</v>
      </c>
      <c r="AU18" s="33">
        <f>MAX([2]Examen11!AU15,[2]Examen12!AU15,[2]Examen13!AU15)</f>
        <v>1.0499999821186066</v>
      </c>
      <c r="AV18" s="32">
        <f t="shared" si="81"/>
        <v>0.69999998807907104</v>
      </c>
      <c r="AW18" s="33">
        <f>MAX([2]Examen11!AW15,[2]Examen12!AW15,[2]Examen13!AW15)</f>
        <v>0.15000000223517418</v>
      </c>
      <c r="AX18" s="32">
        <f t="shared" si="82"/>
        <v>0.10000000149011612</v>
      </c>
      <c r="AY18" s="33">
        <f>MAX([2]Examen11!AY15,[2]Examen12!AY15,[2]Examen13!AY15)</f>
        <v>0.60000000894069672</v>
      </c>
      <c r="AZ18" s="32">
        <f t="shared" si="83"/>
        <v>0.40000000596046448</v>
      </c>
      <c r="BA18" s="33">
        <f>MAX([2]Examen11!BA15,[2]Examen12!BA15,[2]Examen13!BA15)</f>
        <v>0.75</v>
      </c>
      <c r="BB18" s="32">
        <f t="shared" si="84"/>
        <v>0.5</v>
      </c>
      <c r="BC18" s="33">
        <f>MAX([2]Examen11!BC15,[2]Examen12!BC15,[2]Examen13!BC15)</f>
        <v>1.2000000178813934</v>
      </c>
      <c r="BD18" s="32">
        <f t="shared" si="85"/>
        <v>0.80000001192092896</v>
      </c>
      <c r="BE18" s="33">
        <f>MAX([2]Examen11!BE15,[2]Examen12!BE15,[2]Examen13!BE15)</f>
        <v>0.75</v>
      </c>
      <c r="BF18" s="32">
        <f t="shared" si="86"/>
        <v>0.5</v>
      </c>
      <c r="BG18" s="33">
        <f>MAX([2]Examen11!BG15,[2]Examen12!BG15,[2]Examen13!BG15)</f>
        <v>0.60000000894069672</v>
      </c>
      <c r="BH18" s="32">
        <f t="shared" si="87"/>
        <v>0.40000000596046448</v>
      </c>
      <c r="BI18" s="33">
        <f>MAX([2]Examen11!BI15,[2]Examen12!BI15,[2]Examen13!BI15)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MAX([2]Examen11!B16,[2]Examen12!B16,[2]Examen13!B16)</f>
        <v>1</v>
      </c>
      <c r="C19" s="33">
        <f>MAX([2]Examen11!C16,[2]Examen12!C16,[2]Examen13!C16)</f>
        <v>0.20000000298023224</v>
      </c>
      <c r="D19" s="32">
        <f t="shared" si="59"/>
        <v>0.20000000298023224</v>
      </c>
      <c r="E19" s="33">
        <f>MAX([2]Examen11!E16,[2]Examen12!E16,[2]Examen13!E16)</f>
        <v>0.60000002384185791</v>
      </c>
      <c r="F19" s="32">
        <f t="shared" si="60"/>
        <v>0.60000002384185791</v>
      </c>
      <c r="G19" s="33">
        <f>MAX([2]Examen11!G16,[2]Examen12!G16,[2]Examen13!G16)</f>
        <v>0.5</v>
      </c>
      <c r="H19" s="32">
        <f t="shared" si="61"/>
        <v>0.5</v>
      </c>
      <c r="I19" s="33">
        <f>MAX([2]Examen11!I16,[2]Examen12!I16,[2]Examen13!I16)</f>
        <v>0.69999998807907104</v>
      </c>
      <c r="J19" s="32">
        <f t="shared" si="62"/>
        <v>0.69999998807907104</v>
      </c>
      <c r="K19" s="33">
        <f>MAX([2]Examen11!K16,[2]Examen12!K16,[2]Examen13!K16)</f>
        <v>0.89999997615814209</v>
      </c>
      <c r="L19" s="32">
        <f t="shared" si="63"/>
        <v>0.89999997615814209</v>
      </c>
      <c r="M19" s="33">
        <f>MAX([2]Examen11!M16,[2]Examen12!M16,[2]Examen13!M16)</f>
        <v>0.40000000596046448</v>
      </c>
      <c r="N19" s="32">
        <f t="shared" si="64"/>
        <v>0.40000000596046448</v>
      </c>
      <c r="O19" s="33">
        <f>MAX([2]Examen11!O16,[2]Examen12!O16,[2]Examen13!O16)</f>
        <v>0.30000001192092896</v>
      </c>
      <c r="P19" s="32">
        <f t="shared" si="65"/>
        <v>0.30000001192092896</v>
      </c>
      <c r="Q19" s="33">
        <f>MAX([2]Examen11!Q16,[2]Examen12!Q16,[2]Examen13!Q16)</f>
        <v>0.30000001192092896</v>
      </c>
      <c r="R19" s="32">
        <f t="shared" si="66"/>
        <v>0.30000001192092896</v>
      </c>
      <c r="S19" s="33">
        <f>MAX([2]Examen11!S16,[2]Examen12!S16,[2]Examen13!S16)</f>
        <v>0.10000000149011612</v>
      </c>
      <c r="T19" s="32">
        <f t="shared" si="67"/>
        <v>0.10000000149011612</v>
      </c>
      <c r="U19" s="33">
        <f>MAX([2]Examen11!U16,[2]Examen12!U16,[2]Examen13!U16)</f>
        <v>0.5</v>
      </c>
      <c r="V19" s="32">
        <f t="shared" si="68"/>
        <v>0.5</v>
      </c>
      <c r="W19" s="33">
        <f>MAX([2]Examen11!W16,[2]Examen12!W16,[2]Examen13!W16)</f>
        <v>0.20000000298023224</v>
      </c>
      <c r="X19" s="32">
        <f t="shared" si="69"/>
        <v>0.20000000298023224</v>
      </c>
      <c r="Y19" s="33">
        <f>MAX([2]Examen11!Y16,[2]Examen12!Y16,[2]Examen13!Y16)</f>
        <v>0.60000002384185791</v>
      </c>
      <c r="Z19" s="32">
        <f t="shared" si="70"/>
        <v>0.60000002384185791</v>
      </c>
      <c r="AA19" s="33">
        <f>MAX([2]Examen11!AA16,[2]Examen12!AA16,[2]Examen13!AA16)</f>
        <v>0.30000001192092896</v>
      </c>
      <c r="AB19" s="32">
        <f t="shared" si="71"/>
        <v>0.30000001192092896</v>
      </c>
      <c r="AC19" s="33">
        <f>MAX([2]Examen11!AC16,[2]Examen12!AC16,[2]Examen13!AC16)</f>
        <v>0.89999997615814209</v>
      </c>
      <c r="AD19" s="32">
        <f t="shared" si="72"/>
        <v>0.89999997615814209</v>
      </c>
      <c r="AE19" s="33">
        <f>MAX([2]Examen11!AE16,[2]Examen12!AE16,[2]Examen13!AE16)</f>
        <v>0.5</v>
      </c>
      <c r="AF19" s="32">
        <f t="shared" si="73"/>
        <v>0.5</v>
      </c>
      <c r="AG19" s="33">
        <f>MAX([2]Examen11!AG16,[2]Examen12!AG16,[2]Examen13!AG16)</f>
        <v>0.20000000298023224</v>
      </c>
      <c r="AH19" s="32">
        <f t="shared" si="74"/>
        <v>0.20000000298023224</v>
      </c>
      <c r="AI19" s="33">
        <f>MAX([2]Examen11!AI16,[2]Examen12!AI16,[2]Examen13!AI16)</f>
        <v>0.69999998807907104</v>
      </c>
      <c r="AJ19" s="32">
        <f t="shared" si="75"/>
        <v>0.69999998807907104</v>
      </c>
      <c r="AK19" s="33">
        <f>MAX([2]Examen11!AK16,[2]Examen12!AK16,[2]Examen13!AK16)</f>
        <v>0.80000001192092896</v>
      </c>
      <c r="AL19" s="32">
        <f t="shared" si="76"/>
        <v>0.80000001192092896</v>
      </c>
      <c r="AM19" s="33">
        <f>MAX([2]Examen11!AM16,[2]Examen12!AM16,[2]Examen13!AM16)</f>
        <v>0.60000002384185791</v>
      </c>
      <c r="AN19" s="32">
        <f t="shared" si="77"/>
        <v>0.60000002384185791</v>
      </c>
      <c r="AO19" s="33">
        <f>MAX([2]Examen11!AO16,[2]Examen12!AO16,[2]Examen13!AO16)</f>
        <v>0.80000001192092896</v>
      </c>
      <c r="AP19" s="32">
        <f t="shared" si="78"/>
        <v>0.80000001192092896</v>
      </c>
      <c r="AQ19" s="33">
        <f>MAX([2]Examen11!AQ16,[2]Examen12!AQ16,[2]Examen13!AQ16)</f>
        <v>0.10000000149011612</v>
      </c>
      <c r="AR19" s="32">
        <f t="shared" si="79"/>
        <v>0.10000000149011612</v>
      </c>
      <c r="AS19" s="33">
        <f>MAX([2]Examen11!AS16,[2]Examen12!AS16,[2]Examen13!AS16)</f>
        <v>0.80000001192092896</v>
      </c>
      <c r="AT19" s="32">
        <f t="shared" si="80"/>
        <v>0.80000001192092896</v>
      </c>
      <c r="AU19" s="33">
        <f>MAX([2]Examen11!AU16,[2]Examen12!AU16,[2]Examen13!AU16)</f>
        <v>0.20000000298023224</v>
      </c>
      <c r="AV19" s="32">
        <f t="shared" si="81"/>
        <v>0.20000000298023224</v>
      </c>
      <c r="AW19" s="33">
        <f>MAX([2]Examen11!AW16,[2]Examen12!AW16,[2]Examen13!AW16)</f>
        <v>1</v>
      </c>
      <c r="AX19" s="32">
        <f t="shared" si="82"/>
        <v>1</v>
      </c>
      <c r="AY19" s="33">
        <f>MAX([2]Examen11!AY16,[2]Examen12!AY16,[2]Examen13!AY16)</f>
        <v>0</v>
      </c>
      <c r="AZ19" s="32">
        <f t="shared" si="83"/>
        <v>0</v>
      </c>
      <c r="BA19" s="33">
        <f>MAX([2]Examen11!BA16,[2]Examen12!BA16,[2]Examen13!BA16)</f>
        <v>0</v>
      </c>
      <c r="BB19" s="32">
        <f t="shared" si="84"/>
        <v>0</v>
      </c>
      <c r="BC19" s="33">
        <f>MAX([2]Examen11!BC16,[2]Examen12!BC16,[2]Examen13!BC16)</f>
        <v>0.80000001192092896</v>
      </c>
      <c r="BD19" s="32">
        <f t="shared" si="85"/>
        <v>0.80000001192092896</v>
      </c>
      <c r="BE19" s="33">
        <f>MAX([2]Examen11!BE16,[2]Examen12!BE16,[2]Examen13!BE16)</f>
        <v>0.40000000596046448</v>
      </c>
      <c r="BF19" s="32">
        <f t="shared" si="86"/>
        <v>0.40000000596046448</v>
      </c>
      <c r="BG19" s="33">
        <f>MAX([2]Examen11!BG16,[2]Examen12!BG16,[2]Examen13!BG16)</f>
        <v>0.5</v>
      </c>
      <c r="BH19" s="32">
        <f t="shared" si="87"/>
        <v>0.5</v>
      </c>
      <c r="BI19" s="33">
        <f>MAX([2]Examen11!BI16,[2]Examen12!BI16,[2]Examen13!BI16)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MAX([2]Examen11!B17,[2]Examen12!B17,[2]Examen13!B17)</f>
        <v>2</v>
      </c>
      <c r="C20" s="33">
        <f>MAX([2]Examen11!C17,[2]Examen12!C17,[2]Examen13!C17)</f>
        <v>0.20000000298023224</v>
      </c>
      <c r="D20" s="32">
        <f t="shared" si="59"/>
        <v>0.10000000149011612</v>
      </c>
      <c r="E20" s="33">
        <f>MAX([2]Examen11!E17,[2]Examen12!E17,[2]Examen13!E17)</f>
        <v>0.20000000298023224</v>
      </c>
      <c r="F20" s="32">
        <f t="shared" si="60"/>
        <v>0.10000000149011612</v>
      </c>
      <c r="G20" s="33">
        <f>MAX([2]Examen11!G17,[2]Examen12!G17,[2]Examen13!G17)</f>
        <v>0</v>
      </c>
      <c r="H20" s="32">
        <f t="shared" si="61"/>
        <v>0</v>
      </c>
      <c r="I20" s="33">
        <f>MAX([2]Examen11!I17,[2]Examen12!I17,[2]Examen13!I17)</f>
        <v>1.3999999761581421</v>
      </c>
      <c r="J20" s="32">
        <f t="shared" si="62"/>
        <v>0.69999998807907104</v>
      </c>
      <c r="K20" s="33">
        <f>MAX([2]Examen11!K17,[2]Examen12!K17,[2]Examen13!K17)</f>
        <v>1</v>
      </c>
      <c r="L20" s="32">
        <f t="shared" si="63"/>
        <v>0.5</v>
      </c>
      <c r="M20" s="33">
        <f>MAX([2]Examen11!M17,[2]Examen12!M17,[2]Examen13!M17)</f>
        <v>1.2000000476837158</v>
      </c>
      <c r="N20" s="32">
        <f t="shared" si="64"/>
        <v>0.60000002384185791</v>
      </c>
      <c r="O20" s="33">
        <f>MAX([2]Examen11!O17,[2]Examen12!O17,[2]Examen13!O17)</f>
        <v>0.40000000596046448</v>
      </c>
      <c r="P20" s="32">
        <f t="shared" si="65"/>
        <v>0.20000000298023224</v>
      </c>
      <c r="Q20" s="33">
        <f>MAX([2]Examen11!Q17,[2]Examen12!Q17,[2]Examen13!Q17)</f>
        <v>1</v>
      </c>
      <c r="R20" s="32">
        <f t="shared" si="66"/>
        <v>0.5</v>
      </c>
      <c r="S20" s="33">
        <f>MAX([2]Examen11!S17,[2]Examen12!S17,[2]Examen13!S17)</f>
        <v>1.6000000238418579</v>
      </c>
      <c r="T20" s="32">
        <f t="shared" si="67"/>
        <v>0.80000001192092896</v>
      </c>
      <c r="U20" s="33">
        <f>MAX([2]Examen11!U17,[2]Examen12!U17,[2]Examen13!U17)</f>
        <v>1.6000000238418579</v>
      </c>
      <c r="V20" s="32">
        <f t="shared" si="68"/>
        <v>0.80000001192092896</v>
      </c>
      <c r="W20" s="33">
        <f>MAX([2]Examen11!W17,[2]Examen12!W17,[2]Examen13!W17)</f>
        <v>0.80000001192092896</v>
      </c>
      <c r="X20" s="32">
        <f t="shared" si="69"/>
        <v>0.40000000596046448</v>
      </c>
      <c r="Y20" s="33">
        <f>MAX([2]Examen11!Y17,[2]Examen12!Y17,[2]Examen13!Y17)</f>
        <v>1.7999999523162842</v>
      </c>
      <c r="Z20" s="32">
        <f t="shared" si="70"/>
        <v>0.89999997615814209</v>
      </c>
      <c r="AA20" s="33">
        <f>MAX([2]Examen11!AA17,[2]Examen12!AA17,[2]Examen13!AA17)</f>
        <v>1.6000000238418579</v>
      </c>
      <c r="AB20" s="32">
        <f t="shared" si="71"/>
        <v>0.80000001192092896</v>
      </c>
      <c r="AC20" s="33">
        <f>MAX([2]Examen11!AC17,[2]Examen12!AC17,[2]Examen13!AC17)</f>
        <v>0</v>
      </c>
      <c r="AD20" s="32">
        <f t="shared" si="72"/>
        <v>0</v>
      </c>
      <c r="AE20" s="33">
        <f>MAX([2]Examen11!AE17,[2]Examen12!AE17,[2]Examen13!AE17)</f>
        <v>1.2000000476837158</v>
      </c>
      <c r="AF20" s="32">
        <f t="shared" si="73"/>
        <v>0.60000002384185791</v>
      </c>
      <c r="AG20" s="33">
        <f>MAX([2]Examen11!AG17,[2]Examen12!AG17,[2]Examen13!AG17)</f>
        <v>1.3999999761581421</v>
      </c>
      <c r="AH20" s="32">
        <f t="shared" si="74"/>
        <v>0.69999998807907104</v>
      </c>
      <c r="AI20" s="33">
        <f>MAX([2]Examen11!AI17,[2]Examen12!AI17,[2]Examen13!AI17)</f>
        <v>0</v>
      </c>
      <c r="AJ20" s="32">
        <f t="shared" si="75"/>
        <v>0</v>
      </c>
      <c r="AK20" s="33">
        <f>MAX([2]Examen11!AK17,[2]Examen12!AK17,[2]Examen13!AK17)</f>
        <v>0.80000001192092896</v>
      </c>
      <c r="AL20" s="32">
        <f t="shared" si="76"/>
        <v>0.40000000596046448</v>
      </c>
      <c r="AM20" s="33">
        <f>MAX([2]Examen11!AM17,[2]Examen12!AM17,[2]Examen13!AM17)</f>
        <v>0.80000001192092896</v>
      </c>
      <c r="AN20" s="32">
        <f t="shared" si="77"/>
        <v>0.40000000596046448</v>
      </c>
      <c r="AO20" s="33">
        <f>MAX([2]Examen11!AO17,[2]Examen12!AO17,[2]Examen13!AO17)</f>
        <v>0.60000002384185791</v>
      </c>
      <c r="AP20" s="32">
        <f t="shared" si="78"/>
        <v>0.30000001192092896</v>
      </c>
      <c r="AQ20" s="33">
        <f>MAX([2]Examen11!AQ17,[2]Examen12!AQ17,[2]Examen13!AQ17)</f>
        <v>2</v>
      </c>
      <c r="AR20" s="32">
        <f t="shared" si="79"/>
        <v>1</v>
      </c>
      <c r="AS20" s="33">
        <f>MAX([2]Examen11!AS17,[2]Examen12!AS17,[2]Examen13!AS17)</f>
        <v>1.6000000238418579</v>
      </c>
      <c r="AT20" s="32">
        <f t="shared" si="80"/>
        <v>0.80000001192092896</v>
      </c>
      <c r="AU20" s="33">
        <f>MAX([2]Examen11!AU17,[2]Examen12!AU17,[2]Examen13!AU17)</f>
        <v>1.3999999761581421</v>
      </c>
      <c r="AV20" s="32">
        <f t="shared" si="81"/>
        <v>0.69999998807907104</v>
      </c>
      <c r="AW20" s="33">
        <f>MAX([2]Examen11!AW17,[2]Examen12!AW17,[2]Examen13!AW17)</f>
        <v>0.80000001192092896</v>
      </c>
      <c r="AX20" s="32">
        <f t="shared" si="82"/>
        <v>0.40000000596046448</v>
      </c>
      <c r="AY20" s="33">
        <f>MAX([2]Examen11!AY17,[2]Examen12!AY17,[2]Examen13!AY17)</f>
        <v>1.6000000238418579</v>
      </c>
      <c r="AZ20" s="32">
        <f t="shared" si="83"/>
        <v>0.80000001192092896</v>
      </c>
      <c r="BA20" s="33">
        <f>MAX([2]Examen11!BA17,[2]Examen12!BA17,[2]Examen13!BA17)</f>
        <v>0.60000002384185791</v>
      </c>
      <c r="BB20" s="32">
        <f t="shared" si="84"/>
        <v>0.30000001192092896</v>
      </c>
      <c r="BC20" s="33">
        <f>MAX([2]Examen11!BC17,[2]Examen12!BC17,[2]Examen13!BC17)</f>
        <v>0.60000002384185791</v>
      </c>
      <c r="BD20" s="32">
        <f t="shared" si="85"/>
        <v>0.30000001192092896</v>
      </c>
      <c r="BE20" s="33">
        <f>MAX([2]Examen11!BE17,[2]Examen12!BE17,[2]Examen13!BE17)</f>
        <v>0.80000001192092896</v>
      </c>
      <c r="BF20" s="32">
        <f t="shared" si="86"/>
        <v>0.40000000596046448</v>
      </c>
      <c r="BG20" s="33">
        <f>MAX([2]Examen11!BG17,[2]Examen12!BG17,[2]Examen13!BG17)</f>
        <v>2</v>
      </c>
      <c r="BH20" s="32">
        <f t="shared" si="87"/>
        <v>1</v>
      </c>
      <c r="BI20" s="33">
        <f>MAX([2]Examen11!BI17,[2]Examen12!BI17,[2]Examen13!BI17)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MAX([2]Examen11!B18,[2]Examen12!B18,[2]Examen13!B18)</f>
        <v>2</v>
      </c>
      <c r="C21" s="33">
        <f>MAX([2]Examen11!C18,[2]Examen12!C18,[2]Examen13!C18)</f>
        <v>1.3999999761581421</v>
      </c>
      <c r="D21" s="32">
        <f t="shared" si="59"/>
        <v>0.69999998807907104</v>
      </c>
      <c r="E21" s="33">
        <f>MAX([2]Examen11!E18,[2]Examen12!E18,[2]Examen13!E18)</f>
        <v>0.60000002384185791</v>
      </c>
      <c r="F21" s="32">
        <f t="shared" si="60"/>
        <v>0.30000001192092896</v>
      </c>
      <c r="G21" s="33">
        <f>MAX([2]Examen11!G18,[2]Examen12!G18,[2]Examen13!G18)</f>
        <v>0.20000000298023224</v>
      </c>
      <c r="H21" s="32">
        <f t="shared" si="61"/>
        <v>0.10000000149011612</v>
      </c>
      <c r="I21" s="33">
        <f>MAX([2]Examen11!I18,[2]Examen12!I18,[2]Examen13!I18)</f>
        <v>0.40000000596046448</v>
      </c>
      <c r="J21" s="32">
        <f t="shared" si="62"/>
        <v>0.20000000298023224</v>
      </c>
      <c r="K21" s="33">
        <f>MAX([2]Examen11!K18,[2]Examen12!K18,[2]Examen13!K18)</f>
        <v>0</v>
      </c>
      <c r="L21" s="32">
        <f t="shared" si="63"/>
        <v>0</v>
      </c>
      <c r="M21" s="33">
        <f>MAX([2]Examen11!M18,[2]Examen12!M18,[2]Examen13!M18)</f>
        <v>0.80000001192092896</v>
      </c>
      <c r="N21" s="32">
        <f t="shared" si="64"/>
        <v>0.40000000596046448</v>
      </c>
      <c r="O21" s="33">
        <f>MAX([2]Examen11!O18,[2]Examen12!O18,[2]Examen13!O18)</f>
        <v>2</v>
      </c>
      <c r="P21" s="32">
        <f t="shared" si="65"/>
        <v>1</v>
      </c>
      <c r="Q21" s="33">
        <f>MAX([2]Examen11!Q18,[2]Examen12!Q18,[2]Examen13!Q18)</f>
        <v>1</v>
      </c>
      <c r="R21" s="32">
        <f t="shared" si="66"/>
        <v>0.5</v>
      </c>
      <c r="S21" s="33">
        <f>MAX([2]Examen11!S18,[2]Examen12!S18,[2]Examen13!S18)</f>
        <v>1</v>
      </c>
      <c r="T21" s="32">
        <f t="shared" si="67"/>
        <v>0.5</v>
      </c>
      <c r="U21" s="33">
        <f>MAX([2]Examen11!U18,[2]Examen12!U18,[2]Examen13!U18)</f>
        <v>2</v>
      </c>
      <c r="V21" s="32">
        <f t="shared" si="68"/>
        <v>1</v>
      </c>
      <c r="W21" s="33">
        <f>MAX([2]Examen11!W18,[2]Examen12!W18,[2]Examen13!W18)</f>
        <v>0.40000000596046448</v>
      </c>
      <c r="X21" s="32">
        <f t="shared" si="69"/>
        <v>0.20000000298023224</v>
      </c>
      <c r="Y21" s="33">
        <f>MAX([2]Examen11!Y18,[2]Examen12!Y18,[2]Examen13!Y18)</f>
        <v>0.80000001192092896</v>
      </c>
      <c r="Z21" s="32">
        <f t="shared" si="70"/>
        <v>0.40000000596046448</v>
      </c>
      <c r="AA21" s="33">
        <f>MAX([2]Examen11!AA18,[2]Examen12!AA18,[2]Examen13!AA18)</f>
        <v>0.80000001192092896</v>
      </c>
      <c r="AB21" s="32">
        <f t="shared" si="71"/>
        <v>0.40000000596046448</v>
      </c>
      <c r="AC21" s="33">
        <f>MAX([2]Examen11!AC18,[2]Examen12!AC18,[2]Examen13!AC18)</f>
        <v>0.60000002384185791</v>
      </c>
      <c r="AD21" s="32">
        <f t="shared" si="72"/>
        <v>0.30000001192092896</v>
      </c>
      <c r="AE21" s="33">
        <f>MAX([2]Examen11!AE18,[2]Examen12!AE18,[2]Examen13!AE18)</f>
        <v>1</v>
      </c>
      <c r="AF21" s="32">
        <f t="shared" si="73"/>
        <v>0.5</v>
      </c>
      <c r="AG21" s="33">
        <f>MAX([2]Examen11!AG18,[2]Examen12!AG18,[2]Examen13!AG18)</f>
        <v>0.20000000298023224</v>
      </c>
      <c r="AH21" s="32">
        <f t="shared" si="74"/>
        <v>0.10000000149011612</v>
      </c>
      <c r="AI21" s="33">
        <f>MAX([2]Examen11!AI18,[2]Examen12!AI18,[2]Examen13!AI18)</f>
        <v>1</v>
      </c>
      <c r="AJ21" s="32">
        <f t="shared" si="75"/>
        <v>0.5</v>
      </c>
      <c r="AK21" s="33">
        <f>MAX([2]Examen11!AK18,[2]Examen12!AK18,[2]Examen13!AK18)</f>
        <v>2</v>
      </c>
      <c r="AL21" s="32">
        <f t="shared" si="76"/>
        <v>1</v>
      </c>
      <c r="AM21" s="33">
        <f>MAX([2]Examen11!AM18,[2]Examen12!AM18,[2]Examen13!AM18)</f>
        <v>1.2000000476837158</v>
      </c>
      <c r="AN21" s="32">
        <f t="shared" si="77"/>
        <v>0.60000002384185791</v>
      </c>
      <c r="AO21" s="33">
        <f>MAX([2]Examen11!AO18,[2]Examen12!AO18,[2]Examen13!AO18)</f>
        <v>2</v>
      </c>
      <c r="AP21" s="32">
        <f t="shared" si="78"/>
        <v>1</v>
      </c>
      <c r="AQ21" s="33">
        <f>MAX([2]Examen11!AQ18,[2]Examen12!AQ18,[2]Examen13!AQ18)</f>
        <v>1.3999999761581421</v>
      </c>
      <c r="AR21" s="32">
        <f t="shared" si="79"/>
        <v>0.69999998807907104</v>
      </c>
      <c r="AS21" s="33">
        <f>MAX([2]Examen11!AS18,[2]Examen12!AS18,[2]Examen13!AS18)</f>
        <v>0.80000001192092896</v>
      </c>
      <c r="AT21" s="32">
        <f t="shared" si="80"/>
        <v>0.40000000596046448</v>
      </c>
      <c r="AU21" s="33">
        <f>MAX([2]Examen11!AU18,[2]Examen12!AU18,[2]Examen13!AU18)</f>
        <v>1.3999999761581421</v>
      </c>
      <c r="AV21" s="32">
        <f t="shared" si="81"/>
        <v>0.69999998807907104</v>
      </c>
      <c r="AW21" s="33">
        <f>MAX([2]Examen11!AW18,[2]Examen12!AW18,[2]Examen13!AW18)</f>
        <v>0</v>
      </c>
      <c r="AX21" s="32">
        <f t="shared" si="82"/>
        <v>0</v>
      </c>
      <c r="AY21" s="33">
        <f>MAX([2]Examen11!AY18,[2]Examen12!AY18,[2]Examen13!AY18)</f>
        <v>1.6000000238418579</v>
      </c>
      <c r="AZ21" s="32">
        <f t="shared" si="83"/>
        <v>0.80000001192092896</v>
      </c>
      <c r="BA21" s="33">
        <f>MAX([2]Examen11!BA18,[2]Examen12!BA18,[2]Examen13!BA18)</f>
        <v>1.3999999761581421</v>
      </c>
      <c r="BB21" s="32">
        <f t="shared" si="84"/>
        <v>0.69999998807907104</v>
      </c>
      <c r="BC21" s="33">
        <f>MAX([2]Examen11!BC18,[2]Examen12!BC18,[2]Examen13!BC18)</f>
        <v>1</v>
      </c>
      <c r="BD21" s="32">
        <f t="shared" si="85"/>
        <v>0.5</v>
      </c>
      <c r="BE21" s="33">
        <f>MAX([2]Examen11!BE18,[2]Examen12!BE18,[2]Examen13!BE18)</f>
        <v>0.20000000298023224</v>
      </c>
      <c r="BF21" s="32">
        <f t="shared" si="86"/>
        <v>0.10000000149011612</v>
      </c>
      <c r="BG21" s="33">
        <f>MAX([2]Examen11!BG18,[2]Examen12!BG18,[2]Examen13!BG18)</f>
        <v>0.40000000596046448</v>
      </c>
      <c r="BH21" s="32">
        <f t="shared" si="87"/>
        <v>0.20000000298023224</v>
      </c>
      <c r="BI21" s="33">
        <f>MAX([2]Examen11!BI18,[2]Examen12!BI18,[2]Examen13!BI18)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MAX([2]Examen11!B19,[2]Examen12!B19,[2]Examen13!B19)</f>
        <v>1</v>
      </c>
      <c r="C22" s="33">
        <f>MAX([2]Examen11!C19,[2]Examen12!C19,[2]Examen13!C19)</f>
        <v>0.80000001192092896</v>
      </c>
      <c r="D22" s="32">
        <f t="shared" si="59"/>
        <v>0.80000001192092896</v>
      </c>
      <c r="E22" s="33">
        <f>MAX([2]Examen11!E19,[2]Examen12!E19,[2]Examen13!E19)</f>
        <v>0</v>
      </c>
      <c r="F22" s="32">
        <f t="shared" si="60"/>
        <v>0</v>
      </c>
      <c r="G22" s="33">
        <f>MAX([2]Examen11!G19,[2]Examen12!G19,[2]Examen13!G19)</f>
        <v>0.5</v>
      </c>
      <c r="H22" s="32">
        <f t="shared" si="61"/>
        <v>0.5</v>
      </c>
      <c r="I22" s="33">
        <f>MAX([2]Examen11!I19,[2]Examen12!I19,[2]Examen13!I19)</f>
        <v>0.80000001192092896</v>
      </c>
      <c r="J22" s="32">
        <f t="shared" si="62"/>
        <v>0.80000001192092896</v>
      </c>
      <c r="K22" s="33">
        <f>MAX([2]Examen11!K19,[2]Examen12!K19,[2]Examen13!K19)</f>
        <v>0.80000001192092896</v>
      </c>
      <c r="L22" s="32">
        <f t="shared" si="63"/>
        <v>0.80000001192092896</v>
      </c>
      <c r="M22" s="33">
        <f>MAX([2]Examen11!M19,[2]Examen12!M19,[2]Examen13!M19)</f>
        <v>0.30000001192092896</v>
      </c>
      <c r="N22" s="32">
        <f t="shared" si="64"/>
        <v>0.30000001192092896</v>
      </c>
      <c r="O22" s="33">
        <f>MAX([2]Examen11!O19,[2]Examen12!O19,[2]Examen13!O19)</f>
        <v>1</v>
      </c>
      <c r="P22" s="32">
        <f t="shared" si="65"/>
        <v>1</v>
      </c>
      <c r="Q22" s="33">
        <f>MAX([2]Examen11!Q19,[2]Examen12!Q19,[2]Examen13!Q19)</f>
        <v>0.80000001192092896</v>
      </c>
      <c r="R22" s="32">
        <f t="shared" si="66"/>
        <v>0.80000001192092896</v>
      </c>
      <c r="S22" s="33">
        <f>MAX([2]Examen11!S19,[2]Examen12!S19,[2]Examen13!S19)</f>
        <v>0.69999998807907104</v>
      </c>
      <c r="T22" s="32">
        <f t="shared" si="67"/>
        <v>0.69999998807907104</v>
      </c>
      <c r="U22" s="33">
        <f>MAX([2]Examen11!U19,[2]Examen12!U19,[2]Examen13!U19)</f>
        <v>0.89999997615814209</v>
      </c>
      <c r="V22" s="32">
        <f t="shared" si="68"/>
        <v>0.89999997615814209</v>
      </c>
      <c r="W22" s="33">
        <f>MAX([2]Examen11!W19,[2]Examen12!W19,[2]Examen13!W19)</f>
        <v>0.89999997615814209</v>
      </c>
      <c r="X22" s="32">
        <f t="shared" si="69"/>
        <v>0.89999997615814209</v>
      </c>
      <c r="Y22" s="33">
        <f>MAX([2]Examen11!Y19,[2]Examen12!Y19,[2]Examen13!Y19)</f>
        <v>0.40000000596046448</v>
      </c>
      <c r="Z22" s="32">
        <f t="shared" si="70"/>
        <v>0.40000000596046448</v>
      </c>
      <c r="AA22" s="33">
        <f>MAX([2]Examen11!AA19,[2]Examen12!AA19,[2]Examen13!AA19)</f>
        <v>0.10000000149011612</v>
      </c>
      <c r="AB22" s="32">
        <f t="shared" si="71"/>
        <v>0.10000000149011612</v>
      </c>
      <c r="AC22" s="33">
        <f>MAX([2]Examen11!AC19,[2]Examen12!AC19,[2]Examen13!AC19)</f>
        <v>1</v>
      </c>
      <c r="AD22" s="32">
        <f t="shared" si="72"/>
        <v>1</v>
      </c>
      <c r="AE22" s="33">
        <f>MAX([2]Examen11!AE19,[2]Examen12!AE19,[2]Examen13!AE19)</f>
        <v>0.80000001192092896</v>
      </c>
      <c r="AF22" s="32">
        <f t="shared" si="73"/>
        <v>0.80000001192092896</v>
      </c>
      <c r="AG22" s="33">
        <f>MAX([2]Examen11!AG19,[2]Examen12!AG19,[2]Examen13!AG19)</f>
        <v>0.69999998807907104</v>
      </c>
      <c r="AH22" s="32">
        <f t="shared" si="74"/>
        <v>0.69999998807907104</v>
      </c>
      <c r="AI22" s="33">
        <f>MAX([2]Examen11!AI19,[2]Examen12!AI19,[2]Examen13!AI19)</f>
        <v>0.40000000596046448</v>
      </c>
      <c r="AJ22" s="32">
        <f t="shared" si="75"/>
        <v>0.40000000596046448</v>
      </c>
      <c r="AK22" s="33">
        <f>MAX([2]Examen11!AK19,[2]Examen12!AK19,[2]Examen13!AK19)</f>
        <v>0</v>
      </c>
      <c r="AL22" s="32">
        <f t="shared" si="76"/>
        <v>0</v>
      </c>
      <c r="AM22" s="33">
        <f>MAX([2]Examen11!AM19,[2]Examen12!AM19,[2]Examen13!AM19)</f>
        <v>0.10000000149011612</v>
      </c>
      <c r="AN22" s="32">
        <f t="shared" si="77"/>
        <v>0.10000000149011612</v>
      </c>
      <c r="AO22" s="33">
        <f>MAX([2]Examen11!AO19,[2]Examen12!AO19,[2]Examen13!AO19)</f>
        <v>0.10000000149011612</v>
      </c>
      <c r="AP22" s="32">
        <f t="shared" si="78"/>
        <v>0.10000000149011612</v>
      </c>
      <c r="AQ22" s="33">
        <f>MAX([2]Examen11!AQ19,[2]Examen12!AQ19,[2]Examen13!AQ19)</f>
        <v>0.5</v>
      </c>
      <c r="AR22" s="32">
        <f t="shared" si="79"/>
        <v>0.5</v>
      </c>
      <c r="AS22" s="33">
        <f>MAX([2]Examen11!AS19,[2]Examen12!AS19,[2]Examen13!AS19)</f>
        <v>0.40000000596046448</v>
      </c>
      <c r="AT22" s="32">
        <f t="shared" si="80"/>
        <v>0.40000000596046448</v>
      </c>
      <c r="AU22" s="33">
        <f>MAX([2]Examen11!AU19,[2]Examen12!AU19,[2]Examen13!AU19)</f>
        <v>0.10000000149011612</v>
      </c>
      <c r="AV22" s="32">
        <f t="shared" si="81"/>
        <v>0.10000000149011612</v>
      </c>
      <c r="AW22" s="33">
        <f>MAX([2]Examen11!AW19,[2]Examen12!AW19,[2]Examen13!AW19)</f>
        <v>0.30000001192092896</v>
      </c>
      <c r="AX22" s="32">
        <f t="shared" si="82"/>
        <v>0.30000001192092896</v>
      </c>
      <c r="AY22" s="33">
        <f>MAX([2]Examen11!AY19,[2]Examen12!AY19,[2]Examen13!AY19)</f>
        <v>0.69999998807907104</v>
      </c>
      <c r="AZ22" s="32">
        <f t="shared" si="83"/>
        <v>0.69999998807907104</v>
      </c>
      <c r="BA22" s="33">
        <f>MAX([2]Examen11!BA19,[2]Examen12!BA19,[2]Examen13!BA19)</f>
        <v>0.89999997615814209</v>
      </c>
      <c r="BB22" s="32">
        <f t="shared" si="84"/>
        <v>0.89999997615814209</v>
      </c>
      <c r="BC22" s="33">
        <f>MAX([2]Examen11!BC19,[2]Examen12!BC19,[2]Examen13!BC19)</f>
        <v>0.5</v>
      </c>
      <c r="BD22" s="32">
        <f t="shared" si="85"/>
        <v>0.5</v>
      </c>
      <c r="BE22" s="33">
        <f>MAX([2]Examen11!BE19,[2]Examen12!BE19,[2]Examen13!BE19)</f>
        <v>0.20000000298023224</v>
      </c>
      <c r="BF22" s="32">
        <f t="shared" si="86"/>
        <v>0.20000000298023224</v>
      </c>
      <c r="BG22" s="33">
        <f>MAX([2]Examen11!BG19,[2]Examen12!BG19,[2]Examen13!BG19)</f>
        <v>0.89999997615814209</v>
      </c>
      <c r="BH22" s="32">
        <f t="shared" si="87"/>
        <v>0.89999997615814209</v>
      </c>
      <c r="BI22" s="33">
        <f>MAX([2]Examen11!BI19,[2]Examen12!BI19,[2]Examen13!BI19)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MAX([2]Examen11!B20,[2]Examen12!B20,[2]Examen13!B20)</f>
        <v>1</v>
      </c>
      <c r="C23" s="33">
        <f>MAX([2]Examen11!C20,[2]Examen12!C20,[2]Examen13!C20)</f>
        <v>0.30000001192092896</v>
      </c>
      <c r="D23" s="32">
        <f t="shared" si="59"/>
        <v>0.30000001192092896</v>
      </c>
      <c r="E23" s="33">
        <f>MAX([2]Examen11!E20,[2]Examen12!E20,[2]Examen13!E20)</f>
        <v>0.80000001192092896</v>
      </c>
      <c r="F23" s="32">
        <f t="shared" si="60"/>
        <v>0.80000001192092896</v>
      </c>
      <c r="G23" s="33">
        <f>MAX([2]Examen11!G20,[2]Examen12!G20,[2]Examen13!G20)</f>
        <v>0.20000000298023224</v>
      </c>
      <c r="H23" s="32">
        <f t="shared" si="61"/>
        <v>0.20000000298023224</v>
      </c>
      <c r="I23" s="33">
        <f>MAX([2]Examen11!I20,[2]Examen12!I20,[2]Examen13!I20)</f>
        <v>0.40000000596046448</v>
      </c>
      <c r="J23" s="32">
        <f t="shared" si="62"/>
        <v>0.40000000596046448</v>
      </c>
      <c r="K23" s="33">
        <f>MAX([2]Examen11!K20,[2]Examen12!K20,[2]Examen13!K20)</f>
        <v>0.20000000298023224</v>
      </c>
      <c r="L23" s="32">
        <f t="shared" si="63"/>
        <v>0.20000000298023224</v>
      </c>
      <c r="M23" s="33">
        <f>MAX([2]Examen11!M20,[2]Examen12!M20,[2]Examen13!M20)</f>
        <v>0.89999997615814209</v>
      </c>
      <c r="N23" s="32">
        <f t="shared" si="64"/>
        <v>0.89999997615814209</v>
      </c>
      <c r="O23" s="33">
        <f>MAX([2]Examen11!O20,[2]Examen12!O20,[2]Examen13!O20)</f>
        <v>0.60000002384185791</v>
      </c>
      <c r="P23" s="32">
        <f t="shared" si="65"/>
        <v>0.60000002384185791</v>
      </c>
      <c r="Q23" s="33">
        <f>MAX([2]Examen11!Q20,[2]Examen12!Q20,[2]Examen13!Q20)</f>
        <v>0.40000000596046448</v>
      </c>
      <c r="R23" s="32">
        <f t="shared" si="66"/>
        <v>0.40000000596046448</v>
      </c>
      <c r="S23" s="33">
        <f>MAX([2]Examen11!S20,[2]Examen12!S20,[2]Examen13!S20)</f>
        <v>0.40000000596046448</v>
      </c>
      <c r="T23" s="32">
        <f t="shared" si="67"/>
        <v>0.40000000596046448</v>
      </c>
      <c r="U23" s="33">
        <f>MAX([2]Examen11!U20,[2]Examen12!U20,[2]Examen13!U20)</f>
        <v>0.89999997615814209</v>
      </c>
      <c r="V23" s="32">
        <f t="shared" si="68"/>
        <v>0.89999997615814209</v>
      </c>
      <c r="W23" s="33">
        <f>MAX([2]Examen11!W20,[2]Examen12!W20,[2]Examen13!W20)</f>
        <v>0.60000002384185791</v>
      </c>
      <c r="X23" s="32">
        <f t="shared" si="69"/>
        <v>0.60000002384185791</v>
      </c>
      <c r="Y23" s="33">
        <f>MAX([2]Examen11!Y20,[2]Examen12!Y20,[2]Examen13!Y20)</f>
        <v>1</v>
      </c>
      <c r="Z23" s="32">
        <f t="shared" si="70"/>
        <v>1</v>
      </c>
      <c r="AA23" s="33">
        <f>MAX([2]Examen11!AA20,[2]Examen12!AA20,[2]Examen13!AA20)</f>
        <v>0.5</v>
      </c>
      <c r="AB23" s="32">
        <f t="shared" si="71"/>
        <v>0.5</v>
      </c>
      <c r="AC23" s="33">
        <f>MAX([2]Examen11!AC20,[2]Examen12!AC20,[2]Examen13!AC20)</f>
        <v>0.30000001192092896</v>
      </c>
      <c r="AD23" s="32">
        <f t="shared" si="72"/>
        <v>0.30000001192092896</v>
      </c>
      <c r="AE23" s="33">
        <f>MAX([2]Examen11!AE20,[2]Examen12!AE20,[2]Examen13!AE20)</f>
        <v>0.89999997615814209</v>
      </c>
      <c r="AF23" s="32">
        <f t="shared" si="73"/>
        <v>0.89999997615814209</v>
      </c>
      <c r="AG23" s="33">
        <f>MAX([2]Examen11!AG20,[2]Examen12!AG20,[2]Examen13!AG20)</f>
        <v>0.20000000298023224</v>
      </c>
      <c r="AH23" s="32">
        <f t="shared" si="74"/>
        <v>0.20000000298023224</v>
      </c>
      <c r="AI23" s="33">
        <f>MAX([2]Examen11!AI20,[2]Examen12!AI20,[2]Examen13!AI20)</f>
        <v>0.20000000298023224</v>
      </c>
      <c r="AJ23" s="32">
        <f t="shared" si="75"/>
        <v>0.20000000298023224</v>
      </c>
      <c r="AK23" s="33">
        <f>MAX([2]Examen11!AK20,[2]Examen12!AK20,[2]Examen13!AK20)</f>
        <v>0.10000000149011612</v>
      </c>
      <c r="AL23" s="32">
        <f t="shared" si="76"/>
        <v>0.10000000149011612</v>
      </c>
      <c r="AM23" s="33">
        <f>MAX([2]Examen11!AM20,[2]Examen12!AM20,[2]Examen13!AM20)</f>
        <v>0.30000001192092896</v>
      </c>
      <c r="AN23" s="32">
        <f t="shared" si="77"/>
        <v>0.30000001192092896</v>
      </c>
      <c r="AO23" s="33">
        <f>MAX([2]Examen11!AO20,[2]Examen12!AO20,[2]Examen13!AO20)</f>
        <v>0</v>
      </c>
      <c r="AP23" s="32">
        <f t="shared" si="78"/>
        <v>0</v>
      </c>
      <c r="AQ23" s="33">
        <f>MAX([2]Examen11!AQ20,[2]Examen12!AQ20,[2]Examen13!AQ20)</f>
        <v>0.80000001192092896</v>
      </c>
      <c r="AR23" s="32">
        <f t="shared" si="79"/>
        <v>0.80000001192092896</v>
      </c>
      <c r="AS23" s="33">
        <f>MAX([2]Examen11!AS20,[2]Examen12!AS20,[2]Examen13!AS20)</f>
        <v>0.89999997615814209</v>
      </c>
      <c r="AT23" s="32">
        <f t="shared" si="80"/>
        <v>0.89999997615814209</v>
      </c>
      <c r="AU23" s="33">
        <f>MAX([2]Examen11!AU20,[2]Examen12!AU20,[2]Examen13!AU20)</f>
        <v>0.30000001192092896</v>
      </c>
      <c r="AV23" s="32">
        <f t="shared" si="81"/>
        <v>0.30000001192092896</v>
      </c>
      <c r="AW23" s="33">
        <f>MAX([2]Examen11!AW20,[2]Examen12!AW20,[2]Examen13!AW20)</f>
        <v>0.69999998807907104</v>
      </c>
      <c r="AX23" s="32">
        <f t="shared" si="82"/>
        <v>0.69999998807907104</v>
      </c>
      <c r="AY23" s="33">
        <f>MAX([2]Examen11!AY20,[2]Examen12!AY20,[2]Examen13!AY20)</f>
        <v>0.40000000596046448</v>
      </c>
      <c r="AZ23" s="32">
        <f t="shared" si="83"/>
        <v>0.40000000596046448</v>
      </c>
      <c r="BA23" s="33">
        <f>MAX([2]Examen11!BA20,[2]Examen12!BA20,[2]Examen13!BA20)</f>
        <v>0.80000001192092896</v>
      </c>
      <c r="BB23" s="32">
        <f t="shared" si="84"/>
        <v>0.80000001192092896</v>
      </c>
      <c r="BC23" s="33">
        <f>MAX([2]Examen11!BC20,[2]Examen12!BC20,[2]Examen13!BC20)</f>
        <v>0.80000001192092896</v>
      </c>
      <c r="BD23" s="32">
        <f t="shared" si="85"/>
        <v>0.80000001192092896</v>
      </c>
      <c r="BE23" s="33">
        <f>MAX([2]Examen11!BE20,[2]Examen12!BE20,[2]Examen13!BE20)</f>
        <v>0.40000000596046448</v>
      </c>
      <c r="BF23" s="32">
        <f t="shared" si="86"/>
        <v>0.40000000596046448</v>
      </c>
      <c r="BG23" s="33">
        <f>MAX([2]Examen11!BG20,[2]Examen12!BG20,[2]Examen13!BG20)</f>
        <v>0</v>
      </c>
      <c r="BH23" s="32">
        <f t="shared" si="87"/>
        <v>0</v>
      </c>
      <c r="BI23" s="33">
        <f>MAX([2]Examen11!BI20,[2]Examen12!BI20,[2]Examen13!BI20)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MAX([2]Examen11!B21,[2]Examen12!B21,[2]Examen13!B21)</f>
        <v>0</v>
      </c>
      <c r="C24" s="33">
        <f>MAX([2]Examen11!C21,[2]Examen12!C21,[2]Examen13!C21)</f>
        <v>0</v>
      </c>
      <c r="D24" s="32">
        <f t="shared" si="59"/>
        <v>-1</v>
      </c>
      <c r="E24" s="33">
        <f>MAX([2]Examen11!E21,[2]Examen12!E21,[2]Examen13!E21)</f>
        <v>0</v>
      </c>
      <c r="F24" s="32">
        <f t="shared" si="60"/>
        <v>-1</v>
      </c>
      <c r="G24" s="33">
        <f>MAX([2]Examen11!G21,[2]Examen12!G21,[2]Examen13!G21)</f>
        <v>0</v>
      </c>
      <c r="H24" s="32">
        <f t="shared" si="61"/>
        <v>-1</v>
      </c>
      <c r="I24" s="33">
        <f>MAX([2]Examen11!I21,[2]Examen12!I21,[2]Examen13!I21)</f>
        <v>0</v>
      </c>
      <c r="J24" s="32">
        <f t="shared" si="62"/>
        <v>-1</v>
      </c>
      <c r="K24" s="33">
        <f>MAX([2]Examen11!K21,[2]Examen12!K21,[2]Examen13!K21)</f>
        <v>0</v>
      </c>
      <c r="L24" s="32">
        <f t="shared" si="63"/>
        <v>-1</v>
      </c>
      <c r="M24" s="33">
        <f>MAX([2]Examen11!M21,[2]Examen12!M21,[2]Examen13!M21)</f>
        <v>0</v>
      </c>
      <c r="N24" s="32">
        <f t="shared" si="64"/>
        <v>-1</v>
      </c>
      <c r="O24" s="33">
        <f>MAX([2]Examen11!O21,[2]Examen12!O21,[2]Examen13!O21)</f>
        <v>0</v>
      </c>
      <c r="P24" s="32">
        <f t="shared" si="65"/>
        <v>-1</v>
      </c>
      <c r="Q24" s="33">
        <f>MAX([2]Examen11!Q21,[2]Examen12!Q21,[2]Examen13!Q21)</f>
        <v>0</v>
      </c>
      <c r="R24" s="32">
        <f t="shared" si="66"/>
        <v>-1</v>
      </c>
      <c r="S24" s="33">
        <f>MAX([2]Examen11!S21,[2]Examen12!S21,[2]Examen13!S21)</f>
        <v>0</v>
      </c>
      <c r="T24" s="32">
        <f t="shared" si="67"/>
        <v>-1</v>
      </c>
      <c r="U24" s="33">
        <f>MAX([2]Examen11!U21,[2]Examen12!U21,[2]Examen13!U21)</f>
        <v>0</v>
      </c>
      <c r="V24" s="32">
        <f t="shared" si="68"/>
        <v>-1</v>
      </c>
      <c r="W24" s="33">
        <f>MAX([2]Examen11!W21,[2]Examen12!W21,[2]Examen13!W21)</f>
        <v>0</v>
      </c>
      <c r="X24" s="32">
        <f t="shared" si="69"/>
        <v>-1</v>
      </c>
      <c r="Y24" s="33">
        <f>MAX([2]Examen11!Y21,[2]Examen12!Y21,[2]Examen13!Y21)</f>
        <v>0</v>
      </c>
      <c r="Z24" s="32">
        <f t="shared" si="70"/>
        <v>-1</v>
      </c>
      <c r="AA24" s="33">
        <f>MAX([2]Examen11!AA21,[2]Examen12!AA21,[2]Examen13!AA21)</f>
        <v>0</v>
      </c>
      <c r="AB24" s="32">
        <f t="shared" si="71"/>
        <v>-1</v>
      </c>
      <c r="AC24" s="33">
        <f>MAX([2]Examen11!AC21,[2]Examen12!AC21,[2]Examen13!AC21)</f>
        <v>0</v>
      </c>
      <c r="AD24" s="32">
        <f t="shared" si="72"/>
        <v>-1</v>
      </c>
      <c r="AE24" s="33">
        <f>MAX([2]Examen11!AE21,[2]Examen12!AE21,[2]Examen13!AE21)</f>
        <v>0</v>
      </c>
      <c r="AF24" s="32">
        <f t="shared" si="73"/>
        <v>-1</v>
      </c>
      <c r="AG24" s="33">
        <f>MAX([2]Examen11!AG21,[2]Examen12!AG21,[2]Examen13!AG21)</f>
        <v>0</v>
      </c>
      <c r="AH24" s="32">
        <f t="shared" si="74"/>
        <v>-1</v>
      </c>
      <c r="AI24" s="33">
        <f>MAX([2]Examen11!AI21,[2]Examen12!AI21,[2]Examen13!AI21)</f>
        <v>0</v>
      </c>
      <c r="AJ24" s="32">
        <f t="shared" si="75"/>
        <v>-1</v>
      </c>
      <c r="AK24" s="33">
        <f>MAX([2]Examen11!AK21,[2]Examen12!AK21,[2]Examen13!AK21)</f>
        <v>0</v>
      </c>
      <c r="AL24" s="32">
        <f t="shared" si="76"/>
        <v>-1</v>
      </c>
      <c r="AM24" s="33">
        <f>MAX([2]Examen11!AM21,[2]Examen12!AM21,[2]Examen13!AM21)</f>
        <v>0</v>
      </c>
      <c r="AN24" s="32">
        <f t="shared" si="77"/>
        <v>-1</v>
      </c>
      <c r="AO24" s="33">
        <f>MAX([2]Examen11!AO21,[2]Examen12!AO21,[2]Examen13!AO21)</f>
        <v>0</v>
      </c>
      <c r="AP24" s="32">
        <f t="shared" si="78"/>
        <v>-1</v>
      </c>
      <c r="AQ24" s="33">
        <f>MAX([2]Examen11!AQ21,[2]Examen12!AQ21,[2]Examen13!AQ21)</f>
        <v>0</v>
      </c>
      <c r="AR24" s="32">
        <f t="shared" si="79"/>
        <v>-1</v>
      </c>
      <c r="AS24" s="33">
        <f>MAX([2]Examen11!AS21,[2]Examen12!AS21,[2]Examen13!AS21)</f>
        <v>0</v>
      </c>
      <c r="AT24" s="32">
        <f t="shared" si="80"/>
        <v>-1</v>
      </c>
      <c r="AU24" s="33">
        <f>MAX([2]Examen11!AU21,[2]Examen12!AU21,[2]Examen13!AU21)</f>
        <v>0</v>
      </c>
      <c r="AV24" s="32">
        <f t="shared" si="81"/>
        <v>-1</v>
      </c>
      <c r="AW24" s="33">
        <f>MAX([2]Examen11!AW21,[2]Examen12!AW21,[2]Examen13!AW21)</f>
        <v>0</v>
      </c>
      <c r="AX24" s="32">
        <f t="shared" si="82"/>
        <v>-1</v>
      </c>
      <c r="AY24" s="33">
        <f>MAX([2]Examen11!AY21,[2]Examen12!AY21,[2]Examen13!AY21)</f>
        <v>0</v>
      </c>
      <c r="AZ24" s="32">
        <f t="shared" si="83"/>
        <v>-1</v>
      </c>
      <c r="BA24" s="33">
        <f>MAX([2]Examen11!BA21,[2]Examen12!BA21,[2]Examen13!BA21)</f>
        <v>0</v>
      </c>
      <c r="BB24" s="32">
        <f t="shared" si="84"/>
        <v>-1</v>
      </c>
      <c r="BC24" s="33">
        <f>MAX([2]Examen11!BC21,[2]Examen12!BC21,[2]Examen13!BC21)</f>
        <v>0</v>
      </c>
      <c r="BD24" s="32">
        <f t="shared" si="85"/>
        <v>-1</v>
      </c>
      <c r="BE24" s="33">
        <f>MAX([2]Examen11!BE21,[2]Examen12!BE21,[2]Examen13!BE21)</f>
        <v>0</v>
      </c>
      <c r="BF24" s="32">
        <f t="shared" si="86"/>
        <v>-1</v>
      </c>
      <c r="BG24" s="33">
        <f>MAX([2]Examen11!BG21,[2]Examen12!BG21,[2]Examen13!BG21)</f>
        <v>0</v>
      </c>
      <c r="BH24" s="32">
        <f t="shared" si="87"/>
        <v>-1</v>
      </c>
      <c r="BI24" s="33">
        <f>MAX([2]Examen11!BI21,[2]Examen12!BI21,[2]Examen13!BI21)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MAX([2]Examen11!B22,[2]Examen12!B22,[2]Examen13!B22)</f>
        <v>0</v>
      </c>
      <c r="C25" s="33">
        <f>MAX([2]Examen11!C22,[2]Examen12!C22,[2]Examen13!C22)</f>
        <v>0</v>
      </c>
      <c r="D25" s="32">
        <f t="shared" si="59"/>
        <v>-1</v>
      </c>
      <c r="E25" s="33">
        <f>MAX([2]Examen11!E22,[2]Examen12!E22,[2]Examen13!E22)</f>
        <v>0</v>
      </c>
      <c r="F25" s="32">
        <f t="shared" si="60"/>
        <v>-1</v>
      </c>
      <c r="G25" s="33">
        <f>MAX([2]Examen11!G22,[2]Examen12!G22,[2]Examen13!G22)</f>
        <v>0</v>
      </c>
      <c r="H25" s="32">
        <f t="shared" si="61"/>
        <v>-1</v>
      </c>
      <c r="I25" s="33">
        <f>MAX([2]Examen11!I22,[2]Examen12!I22,[2]Examen13!I22)</f>
        <v>0</v>
      </c>
      <c r="J25" s="32">
        <f t="shared" si="62"/>
        <v>-1</v>
      </c>
      <c r="K25" s="33">
        <f>MAX([2]Examen11!K22,[2]Examen12!K22,[2]Examen13!K22)</f>
        <v>0</v>
      </c>
      <c r="L25" s="32">
        <f t="shared" si="63"/>
        <v>-1</v>
      </c>
      <c r="M25" s="33">
        <f>MAX([2]Examen11!M22,[2]Examen12!M22,[2]Examen13!M22)</f>
        <v>0</v>
      </c>
      <c r="N25" s="32">
        <f t="shared" si="64"/>
        <v>-1</v>
      </c>
      <c r="O25" s="33">
        <f>MAX([2]Examen11!O22,[2]Examen12!O22,[2]Examen13!O22)</f>
        <v>0</v>
      </c>
      <c r="P25" s="32">
        <f t="shared" si="65"/>
        <v>-1</v>
      </c>
      <c r="Q25" s="33">
        <f>MAX([2]Examen11!Q22,[2]Examen12!Q22,[2]Examen13!Q22)</f>
        <v>0</v>
      </c>
      <c r="R25" s="32">
        <f t="shared" si="66"/>
        <v>-1</v>
      </c>
      <c r="S25" s="33">
        <f>MAX([2]Examen11!S22,[2]Examen12!S22,[2]Examen13!S22)</f>
        <v>0</v>
      </c>
      <c r="T25" s="32">
        <f t="shared" si="67"/>
        <v>-1</v>
      </c>
      <c r="U25" s="33">
        <f>MAX([2]Examen11!U22,[2]Examen12!U22,[2]Examen13!U22)</f>
        <v>0</v>
      </c>
      <c r="V25" s="32">
        <f t="shared" si="68"/>
        <v>-1</v>
      </c>
      <c r="W25" s="33">
        <f>MAX([2]Examen11!W22,[2]Examen12!W22,[2]Examen13!W22)</f>
        <v>0</v>
      </c>
      <c r="X25" s="32">
        <f t="shared" si="69"/>
        <v>-1</v>
      </c>
      <c r="Y25" s="33">
        <f>MAX([2]Examen11!Y22,[2]Examen12!Y22,[2]Examen13!Y22)</f>
        <v>0</v>
      </c>
      <c r="Z25" s="32">
        <f t="shared" si="70"/>
        <v>-1</v>
      </c>
      <c r="AA25" s="33">
        <f>MAX([2]Examen11!AA22,[2]Examen12!AA22,[2]Examen13!AA22)</f>
        <v>0</v>
      </c>
      <c r="AB25" s="32">
        <f t="shared" si="71"/>
        <v>-1</v>
      </c>
      <c r="AC25" s="33">
        <f>MAX([2]Examen11!AC22,[2]Examen12!AC22,[2]Examen13!AC22)</f>
        <v>0</v>
      </c>
      <c r="AD25" s="32">
        <f t="shared" si="72"/>
        <v>-1</v>
      </c>
      <c r="AE25" s="33">
        <f>MAX([2]Examen11!AE22,[2]Examen12!AE22,[2]Examen13!AE22)</f>
        <v>0</v>
      </c>
      <c r="AF25" s="32">
        <f t="shared" si="73"/>
        <v>-1</v>
      </c>
      <c r="AG25" s="33">
        <f>MAX([2]Examen11!AG22,[2]Examen12!AG22,[2]Examen13!AG22)</f>
        <v>0</v>
      </c>
      <c r="AH25" s="32">
        <f t="shared" si="74"/>
        <v>-1</v>
      </c>
      <c r="AI25" s="33">
        <f>MAX([2]Examen11!AI22,[2]Examen12!AI22,[2]Examen13!AI22)</f>
        <v>0</v>
      </c>
      <c r="AJ25" s="32">
        <f t="shared" si="75"/>
        <v>-1</v>
      </c>
      <c r="AK25" s="33">
        <f>MAX([2]Examen11!AK22,[2]Examen12!AK22,[2]Examen13!AK22)</f>
        <v>0</v>
      </c>
      <c r="AL25" s="32">
        <f t="shared" si="76"/>
        <v>-1</v>
      </c>
      <c r="AM25" s="33">
        <f>MAX([2]Examen11!AM22,[2]Examen12!AM22,[2]Examen13!AM22)</f>
        <v>0</v>
      </c>
      <c r="AN25" s="32">
        <f t="shared" si="77"/>
        <v>-1</v>
      </c>
      <c r="AO25" s="33">
        <f>MAX([2]Examen11!AO22,[2]Examen12!AO22,[2]Examen13!AO22)</f>
        <v>0</v>
      </c>
      <c r="AP25" s="32">
        <f t="shared" si="78"/>
        <v>-1</v>
      </c>
      <c r="AQ25" s="33">
        <f>MAX([2]Examen11!AQ22,[2]Examen12!AQ22,[2]Examen13!AQ22)</f>
        <v>0</v>
      </c>
      <c r="AR25" s="32">
        <f t="shared" si="79"/>
        <v>-1</v>
      </c>
      <c r="AS25" s="33">
        <f>MAX([2]Examen11!AS22,[2]Examen12!AS22,[2]Examen13!AS22)</f>
        <v>0</v>
      </c>
      <c r="AT25" s="32">
        <f t="shared" si="80"/>
        <v>-1</v>
      </c>
      <c r="AU25" s="33">
        <f>MAX([2]Examen11!AU22,[2]Examen12!AU22,[2]Examen13!AU22)</f>
        <v>0</v>
      </c>
      <c r="AV25" s="32">
        <f t="shared" si="81"/>
        <v>-1</v>
      </c>
      <c r="AW25" s="33">
        <f>MAX([2]Examen11!AW22,[2]Examen12!AW22,[2]Examen13!AW22)</f>
        <v>0</v>
      </c>
      <c r="AX25" s="32">
        <f t="shared" si="82"/>
        <v>-1</v>
      </c>
      <c r="AY25" s="33">
        <f>MAX([2]Examen11!AY22,[2]Examen12!AY22,[2]Examen13!AY22)</f>
        <v>0</v>
      </c>
      <c r="AZ25" s="32">
        <f t="shared" si="83"/>
        <v>-1</v>
      </c>
      <c r="BA25" s="33">
        <f>MAX([2]Examen11!BA22,[2]Examen12!BA22,[2]Examen13!BA22)</f>
        <v>0</v>
      </c>
      <c r="BB25" s="32">
        <f t="shared" si="84"/>
        <v>-1</v>
      </c>
      <c r="BC25" s="33">
        <f>MAX([2]Examen11!BC22,[2]Examen12!BC22,[2]Examen13!BC22)</f>
        <v>0</v>
      </c>
      <c r="BD25" s="32">
        <f t="shared" si="85"/>
        <v>-1</v>
      </c>
      <c r="BE25" s="33">
        <f>MAX([2]Examen11!BE22,[2]Examen12!BE22,[2]Examen13!BE22)</f>
        <v>0</v>
      </c>
      <c r="BF25" s="32">
        <f t="shared" si="86"/>
        <v>-1</v>
      </c>
      <c r="BG25" s="33">
        <f>MAX([2]Examen11!BG22,[2]Examen12!BG22,[2]Examen13!BG22)</f>
        <v>0</v>
      </c>
      <c r="BH25" s="32">
        <f t="shared" si="87"/>
        <v>-1</v>
      </c>
      <c r="BI25" s="33">
        <f>MAX([2]Examen11!BI22,[2]Examen12!BI22,[2]Examen13!BI22)</f>
        <v>0</v>
      </c>
      <c r="BJ25" s="32">
        <f t="shared" si="88"/>
        <v>-1</v>
      </c>
    </row>
    <row r="26" spans="1:62" ht="19" customHeight="1" x14ac:dyDescent="0.2">
      <c r="A26" s="53" t="s">
        <v>84</v>
      </c>
      <c r="B26" s="53"/>
      <c r="C26" s="51">
        <f>SUM(C4,C7,C16)</f>
        <v>4.499999979883432</v>
      </c>
      <c r="D26" s="52"/>
      <c r="E26" s="51">
        <f t="shared" ref="E26" si="89">SUM(E4,E7,E16)</f>
        <v>3.7575000375509262</v>
      </c>
      <c r="F26" s="52"/>
      <c r="G26" s="51">
        <f t="shared" ref="G26" si="90">SUM(G4,G7,G16)</f>
        <v>3.6900000482797619</v>
      </c>
      <c r="H26" s="52"/>
      <c r="I26" s="51">
        <f t="shared" ref="I26" si="91">SUM(I4,I7,I16)</f>
        <v>4.1625000318512324</v>
      </c>
      <c r="J26" s="52"/>
      <c r="K26" s="51">
        <f t="shared" ref="K26" si="92">SUM(K4,K7,K16)</f>
        <v>3.7350000388920308</v>
      </c>
      <c r="L26" s="52"/>
      <c r="M26" s="51">
        <f t="shared" ref="M26" si="93">SUM(M4,M7,M16)</f>
        <v>3.757500034198165</v>
      </c>
      <c r="N26" s="52"/>
      <c r="O26" s="51">
        <f t="shared" ref="O26" si="94">SUM(O4,O7,O16)</f>
        <v>4.365000004693866</v>
      </c>
      <c r="P26" s="52"/>
      <c r="Q26" s="51">
        <f t="shared" ref="Q26" si="95">SUM(Q4,Q7,Q16)</f>
        <v>5.1525000466033815</v>
      </c>
      <c r="R26" s="52"/>
      <c r="S26" s="51">
        <f t="shared" ref="S26" si="96">SUM(S4,S7,S16)</f>
        <v>3.4200000006705524</v>
      </c>
      <c r="T26" s="52"/>
      <c r="U26" s="51">
        <f t="shared" ref="U26" si="97">SUM(U4,U7,U16)</f>
        <v>4.95</v>
      </c>
      <c r="V26" s="52"/>
      <c r="W26" s="51">
        <f t="shared" ref="W26" si="98">SUM(W4,W7,W16)</f>
        <v>3.6900000214576725</v>
      </c>
      <c r="X26" s="52"/>
      <c r="Y26" s="51">
        <f t="shared" ref="Y26" si="99">SUM(Y4,Y7,Y16)</f>
        <v>5.4675000026822094</v>
      </c>
      <c r="Z26" s="52"/>
      <c r="AA26" s="51">
        <f t="shared" ref="AA26" si="100">SUM(AA4,AA7,AA16)</f>
        <v>4.5675000093877314</v>
      </c>
      <c r="AB26" s="52"/>
      <c r="AC26" s="51">
        <f t="shared" ref="AC26" si="101">SUM(AC4,AC7,AC16)</f>
        <v>3.6675000362098218</v>
      </c>
      <c r="AD26" s="52"/>
      <c r="AE26" s="51">
        <f t="shared" ref="AE26" si="102">SUM(AE4,AE7,AE16)</f>
        <v>4.1625000435858963</v>
      </c>
      <c r="AF26" s="52"/>
      <c r="AG26" s="51">
        <f t="shared" ref="AG26" si="103">SUM(AG4,AG7,AG16)</f>
        <v>5.0849999919533735</v>
      </c>
      <c r="AH26" s="52"/>
      <c r="AI26" s="51">
        <f t="shared" ref="AI26" si="104">SUM(AI4,AI7,AI16)</f>
        <v>4.297499991953373</v>
      </c>
      <c r="AJ26" s="52"/>
      <c r="AK26" s="51">
        <f t="shared" ref="AK26" si="105">SUM(AK4,AK7,AK16)</f>
        <v>4.2750000368803747</v>
      </c>
      <c r="AL26" s="52"/>
      <c r="AM26" s="51">
        <f t="shared" ref="AM26" si="106">SUM(AM4,AM7,AM16)</f>
        <v>4.590000061690807</v>
      </c>
      <c r="AN26" s="52"/>
      <c r="AO26" s="51">
        <f t="shared" ref="AO26" si="107">SUM(AO4,AO7,AO16)</f>
        <v>4.1850000154227018</v>
      </c>
      <c r="AP26" s="52"/>
      <c r="AQ26" s="51">
        <f t="shared" ref="AQ26" si="108">SUM(AQ4,AQ7,AQ16)</f>
        <v>4.9725000489503151</v>
      </c>
      <c r="AR26" s="52"/>
      <c r="AS26" s="51">
        <f t="shared" ref="AS26" si="109">SUM(AS4,AS7,AS16)</f>
        <v>5.3550000362098222</v>
      </c>
      <c r="AT26" s="52"/>
      <c r="AU26" s="51">
        <f t="shared" ref="AU26" si="110">SUM(AU4,AU7,AU16)</f>
        <v>4.3874999899417162</v>
      </c>
      <c r="AV26" s="52"/>
      <c r="AW26" s="51">
        <f t="shared" ref="AW26" si="111">SUM(AW4,AW7,AW16)</f>
        <v>4.6800000278279184</v>
      </c>
      <c r="AX26" s="52"/>
      <c r="AY26" s="51">
        <f t="shared" ref="AY26" si="112">SUM(AY4,AY7,AY16)</f>
        <v>4.6125000335276134</v>
      </c>
      <c r="AZ26" s="52"/>
      <c r="BA26" s="51">
        <f t="shared" ref="BA26" si="113">SUM(BA4,BA7,BA16)</f>
        <v>3.8925000227987772</v>
      </c>
      <c r="BB26" s="52"/>
      <c r="BC26" s="51">
        <f t="shared" ref="BC26" si="114">SUM(BC4,BC7,BC16)</f>
        <v>5.4000001206994055</v>
      </c>
      <c r="BD26" s="52"/>
      <c r="BE26" s="51">
        <f t="shared" ref="BE26" si="115">SUM(BE4,BE7,BE16)</f>
        <v>3.4874999932944775</v>
      </c>
      <c r="BF26" s="52"/>
      <c r="BG26" s="51">
        <f t="shared" ref="BG26" si="116">SUM(BG4,BG7,BG16)</f>
        <v>4.4549999892711645</v>
      </c>
      <c r="BH26" s="52"/>
      <c r="BI26" s="51">
        <f t="shared" ref="BI26" si="117">SUM(BI4,BI7,BI16)</f>
        <v>2.7900000231340529</v>
      </c>
      <c r="BJ26" s="52"/>
    </row>
    <row r="27" spans="1:62" ht="19" customHeight="1" x14ac:dyDescent="0.2">
      <c r="A27" s="54"/>
      <c r="B27" s="55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</row>
    <row r="28" spans="1:62" ht="19" customHeight="1" x14ac:dyDescent="0.2">
      <c r="A28" s="54"/>
      <c r="B28" s="55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</row>
  </sheetData>
  <sheetProtection algorithmName="SHA-512" hashValue="EkoYvY9if+6Wm7X4YC4EE5GD3AnbctT7vAWGw94GyKh1Xob7eFVaZO0L/+zZTDooLRXcLiM940f39nQonnvMWA==" saltValue="KxGdOKHcP06ZNCz3kWEFug==" spinCount="100000" sheet="1" objects="1" scenarios="1"/>
  <mergeCells count="213">
    <mergeCell ref="B1:B2"/>
    <mergeCell ref="BE3:BF3"/>
    <mergeCell ref="BG3:BH3"/>
    <mergeCell ref="BI3:BJ3"/>
    <mergeCell ref="AG3:AH3"/>
    <mergeCell ref="AI3:AJ3"/>
    <mergeCell ref="AK3:AL3"/>
    <mergeCell ref="AM3:AN3"/>
    <mergeCell ref="AO3:AP3"/>
    <mergeCell ref="AQ3:AR3"/>
    <mergeCell ref="AS3:AT3"/>
    <mergeCell ref="AU3:AV3"/>
    <mergeCell ref="AW3:AX3"/>
    <mergeCell ref="E2:F2"/>
    <mergeCell ref="I2:J2"/>
    <mergeCell ref="K2:L2"/>
    <mergeCell ref="M2:N2"/>
    <mergeCell ref="O2:P2"/>
    <mergeCell ref="AU2:AV2"/>
    <mergeCell ref="G1:H1"/>
    <mergeCell ref="I1:J1"/>
    <mergeCell ref="U3:V3"/>
    <mergeCell ref="W3:X3"/>
    <mergeCell ref="C3:D3"/>
    <mergeCell ref="E3:F3"/>
    <mergeCell ref="G3:H3"/>
    <mergeCell ref="I3:J3"/>
    <mergeCell ref="K3:L3"/>
    <mergeCell ref="M3:N3"/>
    <mergeCell ref="O3:P3"/>
    <mergeCell ref="Q3:R3"/>
    <mergeCell ref="S3:T3"/>
    <mergeCell ref="BG16:BH16"/>
    <mergeCell ref="AO7:AP7"/>
    <mergeCell ref="AQ7:AR7"/>
    <mergeCell ref="AS7:AT7"/>
    <mergeCell ref="AU7:AV7"/>
    <mergeCell ref="AW7:AX7"/>
    <mergeCell ref="AY7:AZ7"/>
    <mergeCell ref="U16:V16"/>
    <mergeCell ref="W16:X16"/>
    <mergeCell ref="Y16:Z16"/>
    <mergeCell ref="AA16:AB16"/>
    <mergeCell ref="AC16:AD16"/>
    <mergeCell ref="AE16:AF16"/>
    <mergeCell ref="AG16:AH16"/>
    <mergeCell ref="AI16:AJ16"/>
    <mergeCell ref="AK16:AL16"/>
    <mergeCell ref="BI16:BJ16"/>
    <mergeCell ref="Y3:Z3"/>
    <mergeCell ref="AA3:AB3"/>
    <mergeCell ref="AC3:AD3"/>
    <mergeCell ref="AE3:AF3"/>
    <mergeCell ref="AY3:AZ3"/>
    <mergeCell ref="BA3:BB3"/>
    <mergeCell ref="BC3:BD3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BE16:BF16"/>
    <mergeCell ref="BA7:BB7"/>
    <mergeCell ref="BC7:BD7"/>
    <mergeCell ref="BE7:BF7"/>
    <mergeCell ref="BG7:BH7"/>
    <mergeCell ref="BI7:BJ7"/>
    <mergeCell ref="AM16:AN16"/>
    <mergeCell ref="AM7:AN7"/>
    <mergeCell ref="C16:D16"/>
    <mergeCell ref="E16:F16"/>
    <mergeCell ref="G16:H16"/>
    <mergeCell ref="I16:J16"/>
    <mergeCell ref="K16:L16"/>
    <mergeCell ref="M16:N16"/>
    <mergeCell ref="O16:P16"/>
    <mergeCell ref="Q16:R16"/>
    <mergeCell ref="S16:T16"/>
    <mergeCell ref="U7:V7"/>
    <mergeCell ref="W7:X7"/>
    <mergeCell ref="Y7:Z7"/>
    <mergeCell ref="AA7:AB7"/>
    <mergeCell ref="AC7:AD7"/>
    <mergeCell ref="AE7:AF7"/>
    <mergeCell ref="AG7:AH7"/>
    <mergeCell ref="AI7:AJ7"/>
    <mergeCell ref="AK7:AL7"/>
    <mergeCell ref="C7:D7"/>
    <mergeCell ref="E7:F7"/>
    <mergeCell ref="G7:H7"/>
    <mergeCell ref="I7:J7"/>
    <mergeCell ref="K7:L7"/>
    <mergeCell ref="M7:N7"/>
    <mergeCell ref="O7:P7"/>
    <mergeCell ref="Q7:R7"/>
    <mergeCell ref="S7:T7"/>
    <mergeCell ref="AS4:AT4"/>
    <mergeCell ref="AU4:AV4"/>
    <mergeCell ref="AW4:AX4"/>
    <mergeCell ref="AY4:AZ4"/>
    <mergeCell ref="BA4:BB4"/>
    <mergeCell ref="BC4:BD4"/>
    <mergeCell ref="BE4:BF4"/>
    <mergeCell ref="BG4:BH4"/>
    <mergeCell ref="BI4:BJ4"/>
    <mergeCell ref="AA4:AB4"/>
    <mergeCell ref="AC4:AD4"/>
    <mergeCell ref="AE4:AF4"/>
    <mergeCell ref="AG4:AH4"/>
    <mergeCell ref="AI4:AJ4"/>
    <mergeCell ref="AK4:AL4"/>
    <mergeCell ref="AM4:AN4"/>
    <mergeCell ref="AO4:AP4"/>
    <mergeCell ref="AQ4:AR4"/>
    <mergeCell ref="AO1:AP1"/>
    <mergeCell ref="M4:N4"/>
    <mergeCell ref="O4:P4"/>
    <mergeCell ref="AQ2:AR2"/>
    <mergeCell ref="AS2:AT2"/>
    <mergeCell ref="G2:H2"/>
    <mergeCell ref="AE2:AF2"/>
    <mergeCell ref="AG2:AH2"/>
    <mergeCell ref="AI2:AJ2"/>
    <mergeCell ref="AK2:AL2"/>
    <mergeCell ref="AM2:AN2"/>
    <mergeCell ref="AO2:AP2"/>
    <mergeCell ref="S2:T2"/>
    <mergeCell ref="U2:V2"/>
    <mergeCell ref="Q2:R2"/>
    <mergeCell ref="W2:X2"/>
    <mergeCell ref="Y2:Z2"/>
    <mergeCell ref="AA2:AB2"/>
    <mergeCell ref="AC2:AD2"/>
    <mergeCell ref="Q4:R4"/>
    <mergeCell ref="S4:T4"/>
    <mergeCell ref="U4:V4"/>
    <mergeCell ref="W4:X4"/>
    <mergeCell ref="Y4:Z4"/>
    <mergeCell ref="K4:L4"/>
    <mergeCell ref="BA1:BB1"/>
    <mergeCell ref="BC1:BD1"/>
    <mergeCell ref="BE1:BF1"/>
    <mergeCell ref="BG1:BH1"/>
    <mergeCell ref="BI1:BJ1"/>
    <mergeCell ref="AW1:AX1"/>
    <mergeCell ref="AY1:AZ1"/>
    <mergeCell ref="BC2:BD2"/>
    <mergeCell ref="BE2:BF2"/>
    <mergeCell ref="BG2:BH2"/>
    <mergeCell ref="BI2:BJ2"/>
    <mergeCell ref="AW2:AX2"/>
    <mergeCell ref="AY2:AZ2"/>
    <mergeCell ref="BA2:BB2"/>
    <mergeCell ref="AQ1:AR1"/>
    <mergeCell ref="AS1:AT1"/>
    <mergeCell ref="AU1:AV1"/>
    <mergeCell ref="AC1:AD1"/>
    <mergeCell ref="AE1:AF1"/>
    <mergeCell ref="AG1:AH1"/>
    <mergeCell ref="AI1:AJ1"/>
    <mergeCell ref="AK1:AL1"/>
    <mergeCell ref="AM1:AN1"/>
    <mergeCell ref="AK26:AL28"/>
    <mergeCell ref="AM26:AN28"/>
    <mergeCell ref="C1:D1"/>
    <mergeCell ref="C2:D2"/>
    <mergeCell ref="E1:F1"/>
    <mergeCell ref="G26:H28"/>
    <mergeCell ref="I26:J28"/>
    <mergeCell ref="K26:L28"/>
    <mergeCell ref="M26:N28"/>
    <mergeCell ref="O26:P28"/>
    <mergeCell ref="Q26:R28"/>
    <mergeCell ref="K1:L1"/>
    <mergeCell ref="M1:N1"/>
    <mergeCell ref="O1:P1"/>
    <mergeCell ref="Q1:R1"/>
    <mergeCell ref="S1:T1"/>
    <mergeCell ref="U1:V1"/>
    <mergeCell ref="W1:X1"/>
    <mergeCell ref="Y1:Z1"/>
    <mergeCell ref="AA1:AB1"/>
    <mergeCell ref="C4:D4"/>
    <mergeCell ref="E4:F4"/>
    <mergeCell ref="G4:H4"/>
    <mergeCell ref="I4:J4"/>
    <mergeCell ref="A1:A2"/>
    <mergeCell ref="BG26:BH28"/>
    <mergeCell ref="BI26:BJ28"/>
    <mergeCell ref="AQ26:AR28"/>
    <mergeCell ref="AS26:AT28"/>
    <mergeCell ref="AU26:AV28"/>
    <mergeCell ref="AW26:AX28"/>
    <mergeCell ref="AY26:AZ28"/>
    <mergeCell ref="BA26:BB28"/>
    <mergeCell ref="A26:B28"/>
    <mergeCell ref="AO26:AP28"/>
    <mergeCell ref="S26:T28"/>
    <mergeCell ref="U26:V28"/>
    <mergeCell ref="W26:X28"/>
    <mergeCell ref="Y26:Z28"/>
    <mergeCell ref="AA26:AB28"/>
    <mergeCell ref="AC26:AD28"/>
    <mergeCell ref="BC26:BD28"/>
    <mergeCell ref="BE26:BF28"/>
    <mergeCell ref="C26:D28"/>
    <mergeCell ref="E26:F28"/>
    <mergeCell ref="AE26:AF28"/>
    <mergeCell ref="AG26:AH28"/>
    <mergeCell ref="AI26:AJ28"/>
  </mergeCells>
  <conditionalFormatting sqref="C26 E26 G26 I26 K26 M26 O26 Q26 S26 U26 W26 Y26 AA26 AC26 AE26 AG26 AI26 AK26 AM26 AO26 AQ26 AS26 AU26 AW26 AY26 BA26 BC26 BE26 BG26 BI26">
    <cfRule type="cellIs" dxfId="41430" priority="129" stopIfTrue="1" operator="lessThan">
      <formula>5</formula>
    </cfRule>
    <cfRule type="cellIs" dxfId="41429" priority="130" operator="greaterThanOrEqual">
      <formula>5</formula>
    </cfRule>
  </conditionalFormatting>
  <conditionalFormatting sqref="C3 E3 G3 I3 K3 M3 O3 Q3 S3 U3 W3 Y3 AA3 AC3 AE3 AG3 AI3 AK3 AM3 AO3 AQ3 AS3 AU3 AW3 AY3 BA3 BC3 BE3 BG3 BI3">
    <cfRule type="cellIs" dxfId="41428" priority="4" stopIfTrue="1" operator="lessThan">
      <formula>5</formula>
    </cfRule>
    <cfRule type="cellIs" dxfId="41427" priority="5" operator="greaterThanOrEqual">
      <formula>5</formula>
    </cfRule>
  </conditionalFormatting>
  <conditionalFormatting sqref="B3">
    <cfRule type="cellIs" dxfId="41426" priority="1" stopIfTrue="1" operator="notEqual">
      <formula>"Ok"</formula>
    </cfRule>
  </conditionalFormatting>
  <conditionalFormatting sqref="D5">
    <cfRule type="cellIs" dxfId="41425" priority="83296" stopIfTrue="1" operator="equal">
      <formula>-1</formula>
    </cfRule>
  </conditionalFormatting>
  <conditionalFormatting sqref="D5">
    <cfRule type="cellIs" dxfId="41424" priority="83297" stopIfTrue="1" operator="lessThan">
      <formula>0.5</formula>
    </cfRule>
  </conditionalFormatting>
  <conditionalFormatting sqref="D5">
    <cfRule type="cellIs" dxfId="41423" priority="83298" stopIfTrue="1" operator="greaterThanOrEqual">
      <formula>0.5</formula>
    </cfRule>
  </conditionalFormatting>
  <conditionalFormatting sqref="D6">
    <cfRule type="cellIs" dxfId="41422" priority="83299" stopIfTrue="1" operator="equal">
      <formula>-1</formula>
    </cfRule>
  </conditionalFormatting>
  <conditionalFormatting sqref="D6">
    <cfRule type="cellIs" dxfId="41421" priority="83300" stopIfTrue="1" operator="lessThan">
      <formula>0.5</formula>
    </cfRule>
  </conditionalFormatting>
  <conditionalFormatting sqref="D6">
    <cfRule type="cellIs" dxfId="41420" priority="83301" stopIfTrue="1" operator="greaterThanOrEqual">
      <formula>0.5</formula>
    </cfRule>
  </conditionalFormatting>
  <conditionalFormatting sqref="F5">
    <cfRule type="cellIs" dxfId="41419" priority="83302" stopIfTrue="1" operator="equal">
      <formula>-1</formula>
    </cfRule>
  </conditionalFormatting>
  <conditionalFormatting sqref="F5">
    <cfRule type="cellIs" dxfId="41418" priority="83303" stopIfTrue="1" operator="lessThan">
      <formula>0.5</formula>
    </cfRule>
  </conditionalFormatting>
  <conditionalFormatting sqref="F5">
    <cfRule type="cellIs" dxfId="41417" priority="83304" stopIfTrue="1" operator="greaterThanOrEqual">
      <formula>0.5</formula>
    </cfRule>
  </conditionalFormatting>
  <conditionalFormatting sqref="F6">
    <cfRule type="cellIs" dxfId="41416" priority="83305" stopIfTrue="1" operator="equal">
      <formula>-1</formula>
    </cfRule>
  </conditionalFormatting>
  <conditionalFormatting sqref="F6">
    <cfRule type="cellIs" dxfId="41415" priority="83306" stopIfTrue="1" operator="lessThan">
      <formula>0.5</formula>
    </cfRule>
  </conditionalFormatting>
  <conditionalFormatting sqref="F6">
    <cfRule type="cellIs" dxfId="41414" priority="83307" stopIfTrue="1" operator="greaterThanOrEqual">
      <formula>0.5</formula>
    </cfRule>
  </conditionalFormatting>
  <conditionalFormatting sqref="H5">
    <cfRule type="cellIs" dxfId="41413" priority="83308" stopIfTrue="1" operator="equal">
      <formula>-1</formula>
    </cfRule>
  </conditionalFormatting>
  <conditionalFormatting sqref="H5">
    <cfRule type="cellIs" dxfId="41412" priority="83309" stopIfTrue="1" operator="lessThan">
      <formula>0.5</formula>
    </cfRule>
  </conditionalFormatting>
  <conditionalFormatting sqref="H5">
    <cfRule type="cellIs" dxfId="41411" priority="83310" stopIfTrue="1" operator="greaterThanOrEqual">
      <formula>0.5</formula>
    </cfRule>
  </conditionalFormatting>
  <conditionalFormatting sqref="H6">
    <cfRule type="cellIs" dxfId="41410" priority="83311" stopIfTrue="1" operator="equal">
      <formula>-1</formula>
    </cfRule>
  </conditionalFormatting>
  <conditionalFormatting sqref="H6">
    <cfRule type="cellIs" dxfId="41409" priority="83312" stopIfTrue="1" operator="lessThan">
      <formula>0.5</formula>
    </cfRule>
  </conditionalFormatting>
  <conditionalFormatting sqref="H6">
    <cfRule type="cellIs" dxfId="41408" priority="83313" stopIfTrue="1" operator="greaterThanOrEqual">
      <formula>0.5</formula>
    </cfRule>
  </conditionalFormatting>
  <conditionalFormatting sqref="J5">
    <cfRule type="cellIs" dxfId="41407" priority="83314" stopIfTrue="1" operator="equal">
      <formula>-1</formula>
    </cfRule>
  </conditionalFormatting>
  <conditionalFormatting sqref="J5">
    <cfRule type="cellIs" dxfId="41406" priority="83315" stopIfTrue="1" operator="lessThan">
      <formula>0.5</formula>
    </cfRule>
  </conditionalFormatting>
  <conditionalFormatting sqref="J5">
    <cfRule type="cellIs" dxfId="41405" priority="83316" stopIfTrue="1" operator="greaterThanOrEqual">
      <formula>0.5</formula>
    </cfRule>
  </conditionalFormatting>
  <conditionalFormatting sqref="J6">
    <cfRule type="cellIs" dxfId="41404" priority="83317" stopIfTrue="1" operator="equal">
      <formula>-1</formula>
    </cfRule>
  </conditionalFormatting>
  <conditionalFormatting sqref="J6">
    <cfRule type="cellIs" dxfId="41403" priority="83318" stopIfTrue="1" operator="lessThan">
      <formula>0.5</formula>
    </cfRule>
  </conditionalFormatting>
  <conditionalFormatting sqref="J6">
    <cfRule type="cellIs" dxfId="41402" priority="83319" stopIfTrue="1" operator="greaterThanOrEqual">
      <formula>0.5</formula>
    </cfRule>
  </conditionalFormatting>
  <conditionalFormatting sqref="L5">
    <cfRule type="cellIs" dxfId="41401" priority="83320" stopIfTrue="1" operator="equal">
      <formula>-1</formula>
    </cfRule>
  </conditionalFormatting>
  <conditionalFormatting sqref="L5">
    <cfRule type="cellIs" dxfId="41400" priority="83321" stopIfTrue="1" operator="lessThan">
      <formula>0.5</formula>
    </cfRule>
  </conditionalFormatting>
  <conditionalFormatting sqref="L5">
    <cfRule type="cellIs" dxfId="41399" priority="83322" stopIfTrue="1" operator="greaterThanOrEqual">
      <formula>0.5</formula>
    </cfRule>
  </conditionalFormatting>
  <conditionalFormatting sqref="L6">
    <cfRule type="cellIs" dxfId="41398" priority="83323" stopIfTrue="1" operator="equal">
      <formula>-1</formula>
    </cfRule>
  </conditionalFormatting>
  <conditionalFormatting sqref="L6">
    <cfRule type="cellIs" dxfId="41397" priority="83324" stopIfTrue="1" operator="lessThan">
      <formula>0.5</formula>
    </cfRule>
  </conditionalFormatting>
  <conditionalFormatting sqref="L6">
    <cfRule type="cellIs" dxfId="41396" priority="83325" stopIfTrue="1" operator="greaterThanOrEqual">
      <formula>0.5</formula>
    </cfRule>
  </conditionalFormatting>
  <conditionalFormatting sqref="N5">
    <cfRule type="cellIs" dxfId="41395" priority="83326" stopIfTrue="1" operator="equal">
      <formula>-1</formula>
    </cfRule>
  </conditionalFormatting>
  <conditionalFormatting sqref="N5">
    <cfRule type="cellIs" dxfId="41394" priority="83327" stopIfTrue="1" operator="lessThan">
      <formula>0.5</formula>
    </cfRule>
  </conditionalFormatting>
  <conditionalFormatting sqref="N5">
    <cfRule type="cellIs" dxfId="41393" priority="83328" stopIfTrue="1" operator="greaterThanOrEqual">
      <formula>0.5</formula>
    </cfRule>
  </conditionalFormatting>
  <conditionalFormatting sqref="N6">
    <cfRule type="cellIs" dxfId="41392" priority="83329" stopIfTrue="1" operator="equal">
      <formula>-1</formula>
    </cfRule>
  </conditionalFormatting>
  <conditionalFormatting sqref="N6">
    <cfRule type="cellIs" dxfId="41391" priority="83330" stopIfTrue="1" operator="lessThan">
      <formula>0.5</formula>
    </cfRule>
  </conditionalFormatting>
  <conditionalFormatting sqref="N6">
    <cfRule type="cellIs" dxfId="41390" priority="83331" stopIfTrue="1" operator="greaterThanOrEqual">
      <formula>0.5</formula>
    </cfRule>
  </conditionalFormatting>
  <conditionalFormatting sqref="P5">
    <cfRule type="cellIs" dxfId="41389" priority="83332" stopIfTrue="1" operator="equal">
      <formula>-1</formula>
    </cfRule>
  </conditionalFormatting>
  <conditionalFormatting sqref="P5">
    <cfRule type="cellIs" dxfId="41388" priority="83333" stopIfTrue="1" operator="lessThan">
      <formula>0.5</formula>
    </cfRule>
  </conditionalFormatting>
  <conditionalFormatting sqref="P5">
    <cfRule type="cellIs" dxfId="41387" priority="83334" stopIfTrue="1" operator="greaterThanOrEqual">
      <formula>0.5</formula>
    </cfRule>
  </conditionalFormatting>
  <conditionalFormatting sqref="P6">
    <cfRule type="cellIs" dxfId="41386" priority="83335" stopIfTrue="1" operator="equal">
      <formula>-1</formula>
    </cfRule>
  </conditionalFormatting>
  <conditionalFormatting sqref="P6">
    <cfRule type="cellIs" dxfId="41385" priority="83336" stopIfTrue="1" operator="lessThan">
      <formula>0.5</formula>
    </cfRule>
  </conditionalFormatting>
  <conditionalFormatting sqref="P6">
    <cfRule type="cellIs" dxfId="41384" priority="83337" stopIfTrue="1" operator="greaterThanOrEqual">
      <formula>0.5</formula>
    </cfRule>
  </conditionalFormatting>
  <conditionalFormatting sqref="R5">
    <cfRule type="cellIs" dxfId="41383" priority="83338" stopIfTrue="1" operator="equal">
      <formula>-1</formula>
    </cfRule>
  </conditionalFormatting>
  <conditionalFormatting sqref="R5">
    <cfRule type="cellIs" dxfId="41382" priority="83339" stopIfTrue="1" operator="lessThan">
      <formula>0.5</formula>
    </cfRule>
  </conditionalFormatting>
  <conditionalFormatting sqref="R5">
    <cfRule type="cellIs" dxfId="41381" priority="83340" stopIfTrue="1" operator="greaterThanOrEqual">
      <formula>0.5</formula>
    </cfRule>
  </conditionalFormatting>
  <conditionalFormatting sqref="R6">
    <cfRule type="cellIs" dxfId="41380" priority="83341" stopIfTrue="1" operator="equal">
      <formula>-1</formula>
    </cfRule>
  </conditionalFormatting>
  <conditionalFormatting sqref="R6">
    <cfRule type="cellIs" dxfId="41379" priority="83342" stopIfTrue="1" operator="lessThan">
      <formula>0.5</formula>
    </cfRule>
  </conditionalFormatting>
  <conditionalFormatting sqref="R6">
    <cfRule type="cellIs" dxfId="41378" priority="83343" stopIfTrue="1" operator="greaterThanOrEqual">
      <formula>0.5</formula>
    </cfRule>
  </conditionalFormatting>
  <conditionalFormatting sqref="T5">
    <cfRule type="cellIs" dxfId="41377" priority="83344" stopIfTrue="1" operator="equal">
      <formula>-1</formula>
    </cfRule>
  </conditionalFormatting>
  <conditionalFormatting sqref="T5">
    <cfRule type="cellIs" dxfId="41376" priority="83345" stopIfTrue="1" operator="lessThan">
      <formula>0.5</formula>
    </cfRule>
  </conditionalFormatting>
  <conditionalFormatting sqref="T5">
    <cfRule type="cellIs" dxfId="41375" priority="83346" stopIfTrue="1" operator="greaterThanOrEqual">
      <formula>0.5</formula>
    </cfRule>
  </conditionalFormatting>
  <conditionalFormatting sqref="T6">
    <cfRule type="cellIs" dxfId="41374" priority="83347" stopIfTrue="1" operator="equal">
      <formula>-1</formula>
    </cfRule>
  </conditionalFormatting>
  <conditionalFormatting sqref="T6">
    <cfRule type="cellIs" dxfId="41373" priority="83348" stopIfTrue="1" operator="lessThan">
      <formula>0.5</formula>
    </cfRule>
  </conditionalFormatting>
  <conditionalFormatting sqref="T6">
    <cfRule type="cellIs" dxfId="41372" priority="83349" stopIfTrue="1" operator="greaterThanOrEqual">
      <formula>0.5</formula>
    </cfRule>
  </conditionalFormatting>
  <conditionalFormatting sqref="V5">
    <cfRule type="cellIs" dxfId="41371" priority="83350" stopIfTrue="1" operator="equal">
      <formula>-1</formula>
    </cfRule>
  </conditionalFormatting>
  <conditionalFormatting sqref="V5">
    <cfRule type="cellIs" dxfId="41370" priority="83351" stopIfTrue="1" operator="lessThan">
      <formula>0.5</formula>
    </cfRule>
  </conditionalFormatting>
  <conditionalFormatting sqref="V5">
    <cfRule type="cellIs" dxfId="41369" priority="83352" stopIfTrue="1" operator="greaterThanOrEqual">
      <formula>0.5</formula>
    </cfRule>
  </conditionalFormatting>
  <conditionalFormatting sqref="V6">
    <cfRule type="cellIs" dxfId="41368" priority="83353" stopIfTrue="1" operator="equal">
      <formula>-1</formula>
    </cfRule>
  </conditionalFormatting>
  <conditionalFormatting sqref="V6">
    <cfRule type="cellIs" dxfId="41367" priority="83354" stopIfTrue="1" operator="lessThan">
      <formula>0.5</formula>
    </cfRule>
  </conditionalFormatting>
  <conditionalFormatting sqref="V6">
    <cfRule type="cellIs" dxfId="41366" priority="83355" stopIfTrue="1" operator="greaterThanOrEqual">
      <formula>0.5</formula>
    </cfRule>
  </conditionalFormatting>
  <conditionalFormatting sqref="X5">
    <cfRule type="cellIs" dxfId="41365" priority="83356" stopIfTrue="1" operator="equal">
      <formula>-1</formula>
    </cfRule>
  </conditionalFormatting>
  <conditionalFormatting sqref="X5">
    <cfRule type="cellIs" dxfId="41364" priority="83357" stopIfTrue="1" operator="lessThan">
      <formula>0.5</formula>
    </cfRule>
  </conditionalFormatting>
  <conditionalFormatting sqref="X5">
    <cfRule type="cellIs" dxfId="41363" priority="83358" stopIfTrue="1" operator="greaterThanOrEqual">
      <formula>0.5</formula>
    </cfRule>
  </conditionalFormatting>
  <conditionalFormatting sqref="X6">
    <cfRule type="cellIs" dxfId="41362" priority="83359" stopIfTrue="1" operator="equal">
      <formula>-1</formula>
    </cfRule>
  </conditionalFormatting>
  <conditionalFormatting sqref="X6">
    <cfRule type="cellIs" dxfId="41361" priority="83360" stopIfTrue="1" operator="lessThan">
      <formula>0.5</formula>
    </cfRule>
  </conditionalFormatting>
  <conditionalFormatting sqref="X6">
    <cfRule type="cellIs" dxfId="41360" priority="83361" stopIfTrue="1" operator="greaterThanOrEqual">
      <formula>0.5</formula>
    </cfRule>
  </conditionalFormatting>
  <conditionalFormatting sqref="Z5">
    <cfRule type="cellIs" dxfId="41359" priority="83362" stopIfTrue="1" operator="equal">
      <formula>-1</formula>
    </cfRule>
  </conditionalFormatting>
  <conditionalFormatting sqref="Z5">
    <cfRule type="cellIs" dxfId="41358" priority="83363" stopIfTrue="1" operator="lessThan">
      <formula>0.5</formula>
    </cfRule>
  </conditionalFormatting>
  <conditionalFormatting sqref="Z5">
    <cfRule type="cellIs" dxfId="41357" priority="83364" stopIfTrue="1" operator="greaterThanOrEqual">
      <formula>0.5</formula>
    </cfRule>
  </conditionalFormatting>
  <conditionalFormatting sqref="Z6">
    <cfRule type="cellIs" dxfId="41356" priority="83365" stopIfTrue="1" operator="equal">
      <formula>-1</formula>
    </cfRule>
  </conditionalFormatting>
  <conditionalFormatting sqref="Z6">
    <cfRule type="cellIs" dxfId="41355" priority="83366" stopIfTrue="1" operator="lessThan">
      <formula>0.5</formula>
    </cfRule>
  </conditionalFormatting>
  <conditionalFormatting sqref="Z6">
    <cfRule type="cellIs" dxfId="41354" priority="83367" stopIfTrue="1" operator="greaterThanOrEqual">
      <formula>0.5</formula>
    </cfRule>
  </conditionalFormatting>
  <conditionalFormatting sqref="AB5">
    <cfRule type="cellIs" dxfId="41353" priority="83368" stopIfTrue="1" operator="equal">
      <formula>-1</formula>
    </cfRule>
  </conditionalFormatting>
  <conditionalFormatting sqref="AB5">
    <cfRule type="cellIs" dxfId="41352" priority="83369" stopIfTrue="1" operator="lessThan">
      <formula>0.5</formula>
    </cfRule>
  </conditionalFormatting>
  <conditionalFormatting sqref="AB5">
    <cfRule type="cellIs" dxfId="41351" priority="83370" stopIfTrue="1" operator="greaterThanOrEqual">
      <formula>0.5</formula>
    </cfRule>
  </conditionalFormatting>
  <conditionalFormatting sqref="AB6">
    <cfRule type="cellIs" dxfId="41350" priority="83371" stopIfTrue="1" operator="equal">
      <formula>-1</formula>
    </cfRule>
  </conditionalFormatting>
  <conditionalFormatting sqref="AB6">
    <cfRule type="cellIs" dxfId="41349" priority="83372" stopIfTrue="1" operator="lessThan">
      <formula>0.5</formula>
    </cfRule>
  </conditionalFormatting>
  <conditionalFormatting sqref="AB6">
    <cfRule type="cellIs" dxfId="41348" priority="83373" stopIfTrue="1" operator="greaterThanOrEqual">
      <formula>0.5</formula>
    </cfRule>
  </conditionalFormatting>
  <conditionalFormatting sqref="AD5">
    <cfRule type="cellIs" dxfId="41347" priority="83374" stopIfTrue="1" operator="equal">
      <formula>-1</formula>
    </cfRule>
  </conditionalFormatting>
  <conditionalFormatting sqref="AD5">
    <cfRule type="cellIs" dxfId="41346" priority="83375" stopIfTrue="1" operator="lessThan">
      <formula>0.5</formula>
    </cfRule>
  </conditionalFormatting>
  <conditionalFormatting sqref="AD5">
    <cfRule type="cellIs" dxfId="41345" priority="83376" stopIfTrue="1" operator="greaterThanOrEqual">
      <formula>0.5</formula>
    </cfRule>
  </conditionalFormatting>
  <conditionalFormatting sqref="AD6">
    <cfRule type="cellIs" dxfId="41344" priority="83377" stopIfTrue="1" operator="equal">
      <formula>-1</formula>
    </cfRule>
  </conditionalFormatting>
  <conditionalFormatting sqref="AD6">
    <cfRule type="cellIs" dxfId="41343" priority="83378" stopIfTrue="1" operator="lessThan">
      <formula>0.5</formula>
    </cfRule>
  </conditionalFormatting>
  <conditionalFormatting sqref="AD6">
    <cfRule type="cellIs" dxfId="41342" priority="83379" stopIfTrue="1" operator="greaterThanOrEqual">
      <formula>0.5</formula>
    </cfRule>
  </conditionalFormatting>
  <conditionalFormatting sqref="AF5">
    <cfRule type="cellIs" dxfId="41341" priority="83380" stopIfTrue="1" operator="equal">
      <formula>-1</formula>
    </cfRule>
  </conditionalFormatting>
  <conditionalFormatting sqref="AF5">
    <cfRule type="cellIs" dxfId="41340" priority="83381" stopIfTrue="1" operator="lessThan">
      <formula>0.5</formula>
    </cfRule>
  </conditionalFormatting>
  <conditionalFormatting sqref="AF5">
    <cfRule type="cellIs" dxfId="41339" priority="83382" stopIfTrue="1" operator="greaterThanOrEqual">
      <formula>0.5</formula>
    </cfRule>
  </conditionalFormatting>
  <conditionalFormatting sqref="AF6">
    <cfRule type="cellIs" dxfId="41338" priority="83383" stopIfTrue="1" operator="equal">
      <formula>-1</formula>
    </cfRule>
  </conditionalFormatting>
  <conditionalFormatting sqref="AF6">
    <cfRule type="cellIs" dxfId="41337" priority="83384" stopIfTrue="1" operator="lessThan">
      <formula>0.5</formula>
    </cfRule>
  </conditionalFormatting>
  <conditionalFormatting sqref="AF6">
    <cfRule type="cellIs" dxfId="41336" priority="83385" stopIfTrue="1" operator="greaterThanOrEqual">
      <formula>0.5</formula>
    </cfRule>
  </conditionalFormatting>
  <conditionalFormatting sqref="AH5">
    <cfRule type="cellIs" dxfId="41335" priority="83386" stopIfTrue="1" operator="equal">
      <formula>-1</formula>
    </cfRule>
  </conditionalFormatting>
  <conditionalFormatting sqref="AH5">
    <cfRule type="cellIs" dxfId="41334" priority="83387" stopIfTrue="1" operator="lessThan">
      <formula>0.5</formula>
    </cfRule>
  </conditionalFormatting>
  <conditionalFormatting sqref="AH5">
    <cfRule type="cellIs" dxfId="41333" priority="83388" stopIfTrue="1" operator="greaterThanOrEqual">
      <formula>0.5</formula>
    </cfRule>
  </conditionalFormatting>
  <conditionalFormatting sqref="AH6">
    <cfRule type="cellIs" dxfId="41332" priority="83389" stopIfTrue="1" operator="equal">
      <formula>-1</formula>
    </cfRule>
  </conditionalFormatting>
  <conditionalFormatting sqref="AH6">
    <cfRule type="cellIs" dxfId="41331" priority="83390" stopIfTrue="1" operator="lessThan">
      <formula>0.5</formula>
    </cfRule>
  </conditionalFormatting>
  <conditionalFormatting sqref="AH6">
    <cfRule type="cellIs" dxfId="41330" priority="83391" stopIfTrue="1" operator="greaterThanOrEqual">
      <formula>0.5</formula>
    </cfRule>
  </conditionalFormatting>
  <conditionalFormatting sqref="AJ5">
    <cfRule type="cellIs" dxfId="41329" priority="83392" stopIfTrue="1" operator="equal">
      <formula>-1</formula>
    </cfRule>
  </conditionalFormatting>
  <conditionalFormatting sqref="AJ5">
    <cfRule type="cellIs" dxfId="41328" priority="83393" stopIfTrue="1" operator="lessThan">
      <formula>0.5</formula>
    </cfRule>
  </conditionalFormatting>
  <conditionalFormatting sqref="AJ5">
    <cfRule type="cellIs" dxfId="41327" priority="83394" stopIfTrue="1" operator="greaterThanOrEqual">
      <formula>0.5</formula>
    </cfRule>
  </conditionalFormatting>
  <conditionalFormatting sqref="AJ6">
    <cfRule type="cellIs" dxfId="41326" priority="83395" stopIfTrue="1" operator="equal">
      <formula>-1</formula>
    </cfRule>
  </conditionalFormatting>
  <conditionalFormatting sqref="AJ6">
    <cfRule type="cellIs" dxfId="41325" priority="83396" stopIfTrue="1" operator="lessThan">
      <formula>0.5</formula>
    </cfRule>
  </conditionalFormatting>
  <conditionalFormatting sqref="AJ6">
    <cfRule type="cellIs" dxfId="41324" priority="83397" stopIfTrue="1" operator="greaterThanOrEqual">
      <formula>0.5</formula>
    </cfRule>
  </conditionalFormatting>
  <conditionalFormatting sqref="AL5">
    <cfRule type="cellIs" dxfId="41323" priority="83398" stopIfTrue="1" operator="equal">
      <formula>-1</formula>
    </cfRule>
  </conditionalFormatting>
  <conditionalFormatting sqref="AL5">
    <cfRule type="cellIs" dxfId="41322" priority="83399" stopIfTrue="1" operator="lessThan">
      <formula>0.5</formula>
    </cfRule>
  </conditionalFormatting>
  <conditionalFormatting sqref="AL5">
    <cfRule type="cellIs" dxfId="41321" priority="83400" stopIfTrue="1" operator="greaterThanOrEqual">
      <formula>0.5</formula>
    </cfRule>
  </conditionalFormatting>
  <conditionalFormatting sqref="AL6">
    <cfRule type="cellIs" dxfId="41320" priority="83401" stopIfTrue="1" operator="equal">
      <formula>-1</formula>
    </cfRule>
  </conditionalFormatting>
  <conditionalFormatting sqref="AL6">
    <cfRule type="cellIs" dxfId="41319" priority="83402" stopIfTrue="1" operator="lessThan">
      <formula>0.5</formula>
    </cfRule>
  </conditionalFormatting>
  <conditionalFormatting sqref="AL6">
    <cfRule type="cellIs" dxfId="41318" priority="83403" stopIfTrue="1" operator="greaterThanOrEqual">
      <formula>0.5</formula>
    </cfRule>
  </conditionalFormatting>
  <conditionalFormatting sqref="AN5">
    <cfRule type="cellIs" dxfId="41317" priority="83404" stopIfTrue="1" operator="equal">
      <formula>-1</formula>
    </cfRule>
  </conditionalFormatting>
  <conditionalFormatting sqref="AN5">
    <cfRule type="cellIs" dxfId="41316" priority="83405" stopIfTrue="1" operator="lessThan">
      <formula>0.5</formula>
    </cfRule>
  </conditionalFormatting>
  <conditionalFormatting sqref="AN5">
    <cfRule type="cellIs" dxfId="41315" priority="83406" stopIfTrue="1" operator="greaterThanOrEqual">
      <formula>0.5</formula>
    </cfRule>
  </conditionalFormatting>
  <conditionalFormatting sqref="AN6">
    <cfRule type="cellIs" dxfId="41314" priority="83407" stopIfTrue="1" operator="equal">
      <formula>-1</formula>
    </cfRule>
  </conditionalFormatting>
  <conditionalFormatting sqref="AN6">
    <cfRule type="cellIs" dxfId="41313" priority="83408" stopIfTrue="1" operator="lessThan">
      <formula>0.5</formula>
    </cfRule>
  </conditionalFormatting>
  <conditionalFormatting sqref="AN6">
    <cfRule type="cellIs" dxfId="41312" priority="83409" stopIfTrue="1" operator="greaterThanOrEqual">
      <formula>0.5</formula>
    </cfRule>
  </conditionalFormatting>
  <conditionalFormatting sqref="AP5">
    <cfRule type="cellIs" dxfId="41311" priority="83410" stopIfTrue="1" operator="equal">
      <formula>-1</formula>
    </cfRule>
  </conditionalFormatting>
  <conditionalFormatting sqref="AP5">
    <cfRule type="cellIs" dxfId="41310" priority="83411" stopIfTrue="1" operator="lessThan">
      <formula>0.5</formula>
    </cfRule>
  </conditionalFormatting>
  <conditionalFormatting sqref="AP5">
    <cfRule type="cellIs" dxfId="41309" priority="83412" stopIfTrue="1" operator="greaterThanOrEqual">
      <formula>0.5</formula>
    </cfRule>
  </conditionalFormatting>
  <conditionalFormatting sqref="AP6">
    <cfRule type="cellIs" dxfId="41308" priority="83413" stopIfTrue="1" operator="equal">
      <formula>-1</formula>
    </cfRule>
  </conditionalFormatting>
  <conditionalFormatting sqref="AP6">
    <cfRule type="cellIs" dxfId="41307" priority="83414" stopIfTrue="1" operator="lessThan">
      <formula>0.5</formula>
    </cfRule>
  </conditionalFormatting>
  <conditionalFormatting sqref="AP6">
    <cfRule type="cellIs" dxfId="41306" priority="83415" stopIfTrue="1" operator="greaterThanOrEqual">
      <formula>0.5</formula>
    </cfRule>
  </conditionalFormatting>
  <conditionalFormatting sqref="AR5">
    <cfRule type="cellIs" dxfId="41305" priority="83416" stopIfTrue="1" operator="equal">
      <formula>-1</formula>
    </cfRule>
  </conditionalFormatting>
  <conditionalFormatting sqref="AR5">
    <cfRule type="cellIs" dxfId="41304" priority="83417" stopIfTrue="1" operator="lessThan">
      <formula>0.5</formula>
    </cfRule>
  </conditionalFormatting>
  <conditionalFormatting sqref="AR5">
    <cfRule type="cellIs" dxfId="41303" priority="83418" stopIfTrue="1" operator="greaterThanOrEqual">
      <formula>0.5</formula>
    </cfRule>
  </conditionalFormatting>
  <conditionalFormatting sqref="AR6">
    <cfRule type="cellIs" dxfId="41302" priority="83419" stopIfTrue="1" operator="equal">
      <formula>-1</formula>
    </cfRule>
  </conditionalFormatting>
  <conditionalFormatting sqref="AR6">
    <cfRule type="cellIs" dxfId="41301" priority="83420" stopIfTrue="1" operator="lessThan">
      <formula>0.5</formula>
    </cfRule>
  </conditionalFormatting>
  <conditionalFormatting sqref="AR6">
    <cfRule type="cellIs" dxfId="41300" priority="83421" stopIfTrue="1" operator="greaterThanOrEqual">
      <formula>0.5</formula>
    </cfRule>
  </conditionalFormatting>
  <conditionalFormatting sqref="AT5">
    <cfRule type="cellIs" dxfId="41299" priority="83422" stopIfTrue="1" operator="equal">
      <formula>-1</formula>
    </cfRule>
  </conditionalFormatting>
  <conditionalFormatting sqref="AT5">
    <cfRule type="cellIs" dxfId="41298" priority="83423" stopIfTrue="1" operator="lessThan">
      <formula>0.5</formula>
    </cfRule>
  </conditionalFormatting>
  <conditionalFormatting sqref="AT5">
    <cfRule type="cellIs" dxfId="41297" priority="83424" stopIfTrue="1" operator="greaterThanOrEqual">
      <formula>0.5</formula>
    </cfRule>
  </conditionalFormatting>
  <conditionalFormatting sqref="AT6">
    <cfRule type="cellIs" dxfId="41296" priority="83425" stopIfTrue="1" operator="equal">
      <formula>-1</formula>
    </cfRule>
  </conditionalFormatting>
  <conditionalFormatting sqref="AT6">
    <cfRule type="cellIs" dxfId="41295" priority="83426" stopIfTrue="1" operator="lessThan">
      <formula>0.5</formula>
    </cfRule>
  </conditionalFormatting>
  <conditionalFormatting sqref="AT6">
    <cfRule type="cellIs" dxfId="41294" priority="83427" stopIfTrue="1" operator="greaterThanOrEqual">
      <formula>0.5</formula>
    </cfRule>
  </conditionalFormatting>
  <conditionalFormatting sqref="AV5">
    <cfRule type="cellIs" dxfId="41293" priority="83428" stopIfTrue="1" operator="equal">
      <formula>-1</formula>
    </cfRule>
  </conditionalFormatting>
  <conditionalFormatting sqref="AV5">
    <cfRule type="cellIs" dxfId="41292" priority="83429" stopIfTrue="1" operator="lessThan">
      <formula>0.5</formula>
    </cfRule>
  </conditionalFormatting>
  <conditionalFormatting sqref="AV5">
    <cfRule type="cellIs" dxfId="41291" priority="83430" stopIfTrue="1" operator="greaterThanOrEqual">
      <formula>0.5</formula>
    </cfRule>
  </conditionalFormatting>
  <conditionalFormatting sqref="AV6">
    <cfRule type="cellIs" dxfId="41290" priority="83431" stopIfTrue="1" operator="equal">
      <formula>-1</formula>
    </cfRule>
  </conditionalFormatting>
  <conditionalFormatting sqref="AV6">
    <cfRule type="cellIs" dxfId="41289" priority="83432" stopIfTrue="1" operator="lessThan">
      <formula>0.5</formula>
    </cfRule>
  </conditionalFormatting>
  <conditionalFormatting sqref="AV6">
    <cfRule type="cellIs" dxfId="41288" priority="83433" stopIfTrue="1" operator="greaterThanOrEqual">
      <formula>0.5</formula>
    </cfRule>
  </conditionalFormatting>
  <conditionalFormatting sqref="AX5">
    <cfRule type="cellIs" dxfId="41287" priority="83434" stopIfTrue="1" operator="equal">
      <formula>-1</formula>
    </cfRule>
  </conditionalFormatting>
  <conditionalFormatting sqref="AX5">
    <cfRule type="cellIs" dxfId="41286" priority="83435" stopIfTrue="1" operator="lessThan">
      <formula>0.5</formula>
    </cfRule>
  </conditionalFormatting>
  <conditionalFormatting sqref="AX5">
    <cfRule type="cellIs" dxfId="41285" priority="83436" stopIfTrue="1" operator="greaterThanOrEqual">
      <formula>0.5</formula>
    </cfRule>
  </conditionalFormatting>
  <conditionalFormatting sqref="AX6">
    <cfRule type="cellIs" dxfId="41284" priority="83437" stopIfTrue="1" operator="equal">
      <formula>-1</formula>
    </cfRule>
  </conditionalFormatting>
  <conditionalFormatting sqref="AX6">
    <cfRule type="cellIs" dxfId="41283" priority="83438" stopIfTrue="1" operator="lessThan">
      <formula>0.5</formula>
    </cfRule>
  </conditionalFormatting>
  <conditionalFormatting sqref="AX6">
    <cfRule type="cellIs" dxfId="41282" priority="83439" stopIfTrue="1" operator="greaterThanOrEqual">
      <formula>0.5</formula>
    </cfRule>
  </conditionalFormatting>
  <conditionalFormatting sqref="AZ5">
    <cfRule type="cellIs" dxfId="41281" priority="83440" stopIfTrue="1" operator="equal">
      <formula>-1</formula>
    </cfRule>
  </conditionalFormatting>
  <conditionalFormatting sqref="AZ5">
    <cfRule type="cellIs" dxfId="41280" priority="83441" stopIfTrue="1" operator="lessThan">
      <formula>0.5</formula>
    </cfRule>
  </conditionalFormatting>
  <conditionalFormatting sqref="AZ5">
    <cfRule type="cellIs" dxfId="41279" priority="83442" stopIfTrue="1" operator="greaterThanOrEqual">
      <formula>0.5</formula>
    </cfRule>
  </conditionalFormatting>
  <conditionalFormatting sqref="AZ6">
    <cfRule type="cellIs" dxfId="41278" priority="83443" stopIfTrue="1" operator="equal">
      <formula>-1</formula>
    </cfRule>
  </conditionalFormatting>
  <conditionalFormatting sqref="AZ6">
    <cfRule type="cellIs" dxfId="41277" priority="83444" stopIfTrue="1" operator="lessThan">
      <formula>0.5</formula>
    </cfRule>
  </conditionalFormatting>
  <conditionalFormatting sqref="AZ6">
    <cfRule type="cellIs" dxfId="41276" priority="83445" stopIfTrue="1" operator="greaterThanOrEqual">
      <formula>0.5</formula>
    </cfRule>
  </conditionalFormatting>
  <conditionalFormatting sqref="BB5">
    <cfRule type="cellIs" dxfId="41275" priority="83446" stopIfTrue="1" operator="equal">
      <formula>-1</formula>
    </cfRule>
  </conditionalFormatting>
  <conditionalFormatting sqref="BB5">
    <cfRule type="cellIs" dxfId="41274" priority="83447" stopIfTrue="1" operator="lessThan">
      <formula>0.5</formula>
    </cfRule>
  </conditionalFormatting>
  <conditionalFormatting sqref="BB5">
    <cfRule type="cellIs" dxfId="41273" priority="83448" stopIfTrue="1" operator="greaterThanOrEqual">
      <formula>0.5</formula>
    </cfRule>
  </conditionalFormatting>
  <conditionalFormatting sqref="BB6">
    <cfRule type="cellIs" dxfId="41272" priority="83449" stopIfTrue="1" operator="equal">
      <formula>-1</formula>
    </cfRule>
  </conditionalFormatting>
  <conditionalFormatting sqref="BB6">
    <cfRule type="cellIs" dxfId="41271" priority="83450" stopIfTrue="1" operator="lessThan">
      <formula>0.5</formula>
    </cfRule>
  </conditionalFormatting>
  <conditionalFormatting sqref="BB6">
    <cfRule type="cellIs" dxfId="41270" priority="83451" stopIfTrue="1" operator="greaterThanOrEqual">
      <formula>0.5</formula>
    </cfRule>
  </conditionalFormatting>
  <conditionalFormatting sqref="BD5">
    <cfRule type="cellIs" dxfId="41269" priority="83452" stopIfTrue="1" operator="equal">
      <formula>-1</formula>
    </cfRule>
  </conditionalFormatting>
  <conditionalFormatting sqref="BD5">
    <cfRule type="cellIs" dxfId="41268" priority="83453" stopIfTrue="1" operator="lessThan">
      <formula>0.5</formula>
    </cfRule>
  </conditionalFormatting>
  <conditionalFormatting sqref="BD5">
    <cfRule type="cellIs" dxfId="41267" priority="83454" stopIfTrue="1" operator="greaterThanOrEqual">
      <formula>0.5</formula>
    </cfRule>
  </conditionalFormatting>
  <conditionalFormatting sqref="BD6">
    <cfRule type="cellIs" dxfId="41266" priority="83455" stopIfTrue="1" operator="equal">
      <formula>-1</formula>
    </cfRule>
  </conditionalFormatting>
  <conditionalFormatting sqref="BD6">
    <cfRule type="cellIs" dxfId="41265" priority="83456" stopIfTrue="1" operator="lessThan">
      <formula>0.5</formula>
    </cfRule>
  </conditionalFormatting>
  <conditionalFormatting sqref="BD6">
    <cfRule type="cellIs" dxfId="41264" priority="83457" stopIfTrue="1" operator="greaterThanOrEqual">
      <formula>0.5</formula>
    </cfRule>
  </conditionalFormatting>
  <conditionalFormatting sqref="BF5">
    <cfRule type="cellIs" dxfId="41263" priority="83458" stopIfTrue="1" operator="equal">
      <formula>-1</formula>
    </cfRule>
  </conditionalFormatting>
  <conditionalFormatting sqref="BF5">
    <cfRule type="cellIs" dxfId="41262" priority="83459" stopIfTrue="1" operator="lessThan">
      <formula>0.5</formula>
    </cfRule>
  </conditionalFormatting>
  <conditionalFormatting sqref="BF5">
    <cfRule type="cellIs" dxfId="41261" priority="83460" stopIfTrue="1" operator="greaterThanOrEqual">
      <formula>0.5</formula>
    </cfRule>
  </conditionalFormatting>
  <conditionalFormatting sqref="BF6">
    <cfRule type="cellIs" dxfId="41260" priority="83461" stopIfTrue="1" operator="equal">
      <formula>-1</formula>
    </cfRule>
  </conditionalFormatting>
  <conditionalFormatting sqref="BF6">
    <cfRule type="cellIs" dxfId="41259" priority="83462" stopIfTrue="1" operator="lessThan">
      <formula>0.5</formula>
    </cfRule>
  </conditionalFormatting>
  <conditionalFormatting sqref="BF6">
    <cfRule type="cellIs" dxfId="41258" priority="83463" stopIfTrue="1" operator="greaterThanOrEqual">
      <formula>0.5</formula>
    </cfRule>
  </conditionalFormatting>
  <conditionalFormatting sqref="BH5">
    <cfRule type="cellIs" dxfId="41257" priority="83464" stopIfTrue="1" operator="equal">
      <formula>-1</formula>
    </cfRule>
  </conditionalFormatting>
  <conditionalFormatting sqref="BH5">
    <cfRule type="cellIs" dxfId="41256" priority="83465" stopIfTrue="1" operator="lessThan">
      <formula>0.5</formula>
    </cfRule>
  </conditionalFormatting>
  <conditionalFormatting sqref="BH5">
    <cfRule type="cellIs" dxfId="41255" priority="83466" stopIfTrue="1" operator="greaterThanOrEqual">
      <formula>0.5</formula>
    </cfRule>
  </conditionalFormatting>
  <conditionalFormatting sqref="BH6">
    <cfRule type="cellIs" dxfId="41254" priority="83467" stopIfTrue="1" operator="equal">
      <formula>-1</formula>
    </cfRule>
  </conditionalFormatting>
  <conditionalFormatting sqref="BH6">
    <cfRule type="cellIs" dxfId="41253" priority="83468" stopIfTrue="1" operator="lessThan">
      <formula>0.5</formula>
    </cfRule>
  </conditionalFormatting>
  <conditionalFormatting sqref="BH6">
    <cfRule type="cellIs" dxfId="41252" priority="83469" stopIfTrue="1" operator="greaterThanOrEqual">
      <formula>0.5</formula>
    </cfRule>
  </conditionalFormatting>
  <conditionalFormatting sqref="BJ5">
    <cfRule type="cellIs" dxfId="41251" priority="83470" stopIfTrue="1" operator="equal">
      <formula>-1</formula>
    </cfRule>
  </conditionalFormatting>
  <conditionalFormatting sqref="BJ5">
    <cfRule type="cellIs" dxfId="41250" priority="83471" stopIfTrue="1" operator="lessThan">
      <formula>0.5</formula>
    </cfRule>
  </conditionalFormatting>
  <conditionalFormatting sqref="BJ5">
    <cfRule type="cellIs" dxfId="41249" priority="83472" stopIfTrue="1" operator="greaterThanOrEqual">
      <formula>0.5</formula>
    </cfRule>
  </conditionalFormatting>
  <conditionalFormatting sqref="BJ6">
    <cfRule type="cellIs" dxfId="41248" priority="83473" stopIfTrue="1" operator="equal">
      <formula>-1</formula>
    </cfRule>
  </conditionalFormatting>
  <conditionalFormatting sqref="BJ6">
    <cfRule type="cellIs" dxfId="41247" priority="83474" stopIfTrue="1" operator="lessThan">
      <formula>0.5</formula>
    </cfRule>
  </conditionalFormatting>
  <conditionalFormatting sqref="BJ6">
    <cfRule type="cellIs" dxfId="41246" priority="83475" stopIfTrue="1" operator="greaterThanOrEqual">
      <formula>0.5</formula>
    </cfRule>
  </conditionalFormatting>
  <conditionalFormatting sqref="D8">
    <cfRule type="cellIs" dxfId="41245" priority="83476" stopIfTrue="1" operator="equal">
      <formula>-1</formula>
    </cfRule>
  </conditionalFormatting>
  <conditionalFormatting sqref="D8">
    <cfRule type="cellIs" dxfId="41244" priority="83477" stopIfTrue="1" operator="lessThan">
      <formula>0.5</formula>
    </cfRule>
  </conditionalFormatting>
  <conditionalFormatting sqref="D8">
    <cfRule type="cellIs" dxfId="41243" priority="83478" stopIfTrue="1" operator="greaterThanOrEqual">
      <formula>0.5</formula>
    </cfRule>
  </conditionalFormatting>
  <conditionalFormatting sqref="D9">
    <cfRule type="cellIs" dxfId="41242" priority="83479" stopIfTrue="1" operator="equal">
      <formula>-1</formula>
    </cfRule>
  </conditionalFormatting>
  <conditionalFormatting sqref="D9">
    <cfRule type="cellIs" dxfId="41241" priority="83480" stopIfTrue="1" operator="lessThan">
      <formula>0.5</formula>
    </cfRule>
  </conditionalFormatting>
  <conditionalFormatting sqref="D9">
    <cfRule type="cellIs" dxfId="41240" priority="83481" stopIfTrue="1" operator="greaterThanOrEqual">
      <formula>0.5</formula>
    </cfRule>
  </conditionalFormatting>
  <conditionalFormatting sqref="D10">
    <cfRule type="cellIs" dxfId="41239" priority="83482" stopIfTrue="1" operator="equal">
      <formula>-1</formula>
    </cfRule>
  </conditionalFormatting>
  <conditionalFormatting sqref="D10">
    <cfRule type="cellIs" dxfId="41238" priority="83483" stopIfTrue="1" operator="lessThan">
      <formula>0.5</formula>
    </cfRule>
  </conditionalFormatting>
  <conditionalFormatting sqref="D10">
    <cfRule type="cellIs" dxfId="41237" priority="83484" stopIfTrue="1" operator="greaterThanOrEqual">
      <formula>0.5</formula>
    </cfRule>
  </conditionalFormatting>
  <conditionalFormatting sqref="D11">
    <cfRule type="cellIs" dxfId="41236" priority="83485" stopIfTrue="1" operator="equal">
      <formula>-1</formula>
    </cfRule>
  </conditionalFormatting>
  <conditionalFormatting sqref="D11">
    <cfRule type="cellIs" dxfId="41235" priority="83486" stopIfTrue="1" operator="lessThan">
      <formula>0.5</formula>
    </cfRule>
  </conditionalFormatting>
  <conditionalFormatting sqref="D11">
    <cfRule type="cellIs" dxfId="41234" priority="83487" stopIfTrue="1" operator="greaterThanOrEqual">
      <formula>0.5</formula>
    </cfRule>
  </conditionalFormatting>
  <conditionalFormatting sqref="D12">
    <cfRule type="cellIs" dxfId="41233" priority="83488" stopIfTrue="1" operator="equal">
      <formula>-1</formula>
    </cfRule>
  </conditionalFormatting>
  <conditionalFormatting sqref="D12">
    <cfRule type="cellIs" dxfId="41232" priority="83489" stopIfTrue="1" operator="lessThan">
      <formula>0.5</formula>
    </cfRule>
  </conditionalFormatting>
  <conditionalFormatting sqref="D12">
    <cfRule type="cellIs" dxfId="41231" priority="83490" stopIfTrue="1" operator="greaterThanOrEqual">
      <formula>0.5</formula>
    </cfRule>
  </conditionalFormatting>
  <conditionalFormatting sqref="D13">
    <cfRule type="cellIs" dxfId="41230" priority="83491" stopIfTrue="1" operator="equal">
      <formula>-1</formula>
    </cfRule>
  </conditionalFormatting>
  <conditionalFormatting sqref="D13">
    <cfRule type="cellIs" dxfId="41229" priority="83492" stopIfTrue="1" operator="lessThan">
      <formula>0.5</formula>
    </cfRule>
  </conditionalFormatting>
  <conditionalFormatting sqref="D13">
    <cfRule type="cellIs" dxfId="41228" priority="83493" stopIfTrue="1" operator="greaterThanOrEqual">
      <formula>0.5</formula>
    </cfRule>
  </conditionalFormatting>
  <conditionalFormatting sqref="D14">
    <cfRule type="cellIs" dxfId="41227" priority="83494" stopIfTrue="1" operator="equal">
      <formula>-1</formula>
    </cfRule>
  </conditionalFormatting>
  <conditionalFormatting sqref="D14">
    <cfRule type="cellIs" dxfId="41226" priority="83495" stopIfTrue="1" operator="lessThan">
      <formula>0.5</formula>
    </cfRule>
  </conditionalFormatting>
  <conditionalFormatting sqref="D14">
    <cfRule type="cellIs" dxfId="41225" priority="83496" stopIfTrue="1" operator="greaterThanOrEqual">
      <formula>0.5</formula>
    </cfRule>
  </conditionalFormatting>
  <conditionalFormatting sqref="D15">
    <cfRule type="cellIs" dxfId="41224" priority="83497" stopIfTrue="1" operator="equal">
      <formula>-1</formula>
    </cfRule>
  </conditionalFormatting>
  <conditionalFormatting sqref="D15">
    <cfRule type="cellIs" dxfId="41223" priority="83498" stopIfTrue="1" operator="lessThan">
      <formula>0.5</formula>
    </cfRule>
  </conditionalFormatting>
  <conditionalFormatting sqref="D15">
    <cfRule type="cellIs" dxfId="41222" priority="83499" stopIfTrue="1" operator="greaterThanOrEqual">
      <formula>0.5</formula>
    </cfRule>
  </conditionalFormatting>
  <conditionalFormatting sqref="F8">
    <cfRule type="cellIs" dxfId="41221" priority="83500" stopIfTrue="1" operator="equal">
      <formula>-1</formula>
    </cfRule>
  </conditionalFormatting>
  <conditionalFormatting sqref="F8">
    <cfRule type="cellIs" dxfId="41220" priority="83501" stopIfTrue="1" operator="lessThan">
      <formula>0.5</formula>
    </cfRule>
  </conditionalFormatting>
  <conditionalFormatting sqref="F8">
    <cfRule type="cellIs" dxfId="41219" priority="83502" stopIfTrue="1" operator="greaterThanOrEqual">
      <formula>0.5</formula>
    </cfRule>
  </conditionalFormatting>
  <conditionalFormatting sqref="F9">
    <cfRule type="cellIs" dxfId="41218" priority="83503" stopIfTrue="1" operator="equal">
      <formula>-1</formula>
    </cfRule>
  </conditionalFormatting>
  <conditionalFormatting sqref="F9">
    <cfRule type="cellIs" dxfId="41217" priority="83504" stopIfTrue="1" operator="lessThan">
      <formula>0.5</formula>
    </cfRule>
  </conditionalFormatting>
  <conditionalFormatting sqref="F9">
    <cfRule type="cellIs" dxfId="41216" priority="83505" stopIfTrue="1" operator="greaterThanOrEqual">
      <formula>0.5</formula>
    </cfRule>
  </conditionalFormatting>
  <conditionalFormatting sqref="F10">
    <cfRule type="cellIs" dxfId="41215" priority="83506" stopIfTrue="1" operator="equal">
      <formula>-1</formula>
    </cfRule>
  </conditionalFormatting>
  <conditionalFormatting sqref="F10">
    <cfRule type="cellIs" dxfId="41214" priority="83507" stopIfTrue="1" operator="lessThan">
      <formula>0.5</formula>
    </cfRule>
  </conditionalFormatting>
  <conditionalFormatting sqref="F10">
    <cfRule type="cellIs" dxfId="41213" priority="83508" stopIfTrue="1" operator="greaterThanOrEqual">
      <formula>0.5</formula>
    </cfRule>
  </conditionalFormatting>
  <conditionalFormatting sqref="F11">
    <cfRule type="cellIs" dxfId="41212" priority="83509" stopIfTrue="1" operator="equal">
      <formula>-1</formula>
    </cfRule>
  </conditionalFormatting>
  <conditionalFormatting sqref="F11">
    <cfRule type="cellIs" dxfId="41211" priority="83510" stopIfTrue="1" operator="lessThan">
      <formula>0.5</formula>
    </cfRule>
  </conditionalFormatting>
  <conditionalFormatting sqref="F11">
    <cfRule type="cellIs" dxfId="41210" priority="83511" stopIfTrue="1" operator="greaterThanOrEqual">
      <formula>0.5</formula>
    </cfRule>
  </conditionalFormatting>
  <conditionalFormatting sqref="F12">
    <cfRule type="cellIs" dxfId="41209" priority="83512" stopIfTrue="1" operator="equal">
      <formula>-1</formula>
    </cfRule>
  </conditionalFormatting>
  <conditionalFormatting sqref="F12">
    <cfRule type="cellIs" dxfId="41208" priority="83513" stopIfTrue="1" operator="lessThan">
      <formula>0.5</formula>
    </cfRule>
  </conditionalFormatting>
  <conditionalFormatting sqref="F12">
    <cfRule type="cellIs" dxfId="41207" priority="83514" stopIfTrue="1" operator="greaterThanOrEqual">
      <formula>0.5</formula>
    </cfRule>
  </conditionalFormatting>
  <conditionalFormatting sqref="F13">
    <cfRule type="cellIs" dxfId="41206" priority="83515" stopIfTrue="1" operator="equal">
      <formula>-1</formula>
    </cfRule>
  </conditionalFormatting>
  <conditionalFormatting sqref="F13">
    <cfRule type="cellIs" dxfId="41205" priority="83516" stopIfTrue="1" operator="lessThan">
      <formula>0.5</formula>
    </cfRule>
  </conditionalFormatting>
  <conditionalFormatting sqref="F13">
    <cfRule type="cellIs" dxfId="41204" priority="83517" stopIfTrue="1" operator="greaterThanOrEqual">
      <formula>0.5</formula>
    </cfRule>
  </conditionalFormatting>
  <conditionalFormatting sqref="F14">
    <cfRule type="cellIs" dxfId="41203" priority="83518" stopIfTrue="1" operator="equal">
      <formula>-1</formula>
    </cfRule>
  </conditionalFormatting>
  <conditionalFormatting sqref="F14">
    <cfRule type="cellIs" dxfId="41202" priority="83519" stopIfTrue="1" operator="lessThan">
      <formula>0.5</formula>
    </cfRule>
  </conditionalFormatting>
  <conditionalFormatting sqref="F14">
    <cfRule type="cellIs" dxfId="41201" priority="83520" stopIfTrue="1" operator="greaterThanOrEqual">
      <formula>0.5</formula>
    </cfRule>
  </conditionalFormatting>
  <conditionalFormatting sqref="F15">
    <cfRule type="cellIs" dxfId="41200" priority="83521" stopIfTrue="1" operator="equal">
      <formula>-1</formula>
    </cfRule>
  </conditionalFormatting>
  <conditionalFormatting sqref="F15">
    <cfRule type="cellIs" dxfId="41199" priority="83522" stopIfTrue="1" operator="lessThan">
      <formula>0.5</formula>
    </cfRule>
  </conditionalFormatting>
  <conditionalFormatting sqref="F15">
    <cfRule type="cellIs" dxfId="41198" priority="83523" stopIfTrue="1" operator="greaterThanOrEqual">
      <formula>0.5</formula>
    </cfRule>
  </conditionalFormatting>
  <conditionalFormatting sqref="H8">
    <cfRule type="cellIs" dxfId="41197" priority="83524" stopIfTrue="1" operator="equal">
      <formula>-1</formula>
    </cfRule>
  </conditionalFormatting>
  <conditionalFormatting sqref="H8">
    <cfRule type="cellIs" dxfId="41196" priority="83525" stopIfTrue="1" operator="lessThan">
      <formula>0.5</formula>
    </cfRule>
  </conditionalFormatting>
  <conditionalFormatting sqref="H8">
    <cfRule type="cellIs" dxfId="41195" priority="83526" stopIfTrue="1" operator="greaterThanOrEqual">
      <formula>0.5</formula>
    </cfRule>
  </conditionalFormatting>
  <conditionalFormatting sqref="H9">
    <cfRule type="cellIs" dxfId="41194" priority="83527" stopIfTrue="1" operator="equal">
      <formula>-1</formula>
    </cfRule>
  </conditionalFormatting>
  <conditionalFormatting sqref="H9">
    <cfRule type="cellIs" dxfId="41193" priority="83528" stopIfTrue="1" operator="lessThan">
      <formula>0.5</formula>
    </cfRule>
  </conditionalFormatting>
  <conditionalFormatting sqref="H9">
    <cfRule type="cellIs" dxfId="41192" priority="83529" stopIfTrue="1" operator="greaterThanOrEqual">
      <formula>0.5</formula>
    </cfRule>
  </conditionalFormatting>
  <conditionalFormatting sqref="H10">
    <cfRule type="cellIs" dxfId="41191" priority="83530" stopIfTrue="1" operator="equal">
      <formula>-1</formula>
    </cfRule>
  </conditionalFormatting>
  <conditionalFormatting sqref="H10">
    <cfRule type="cellIs" dxfId="41190" priority="83531" stopIfTrue="1" operator="lessThan">
      <formula>0.5</formula>
    </cfRule>
  </conditionalFormatting>
  <conditionalFormatting sqref="H10">
    <cfRule type="cellIs" dxfId="41189" priority="83532" stopIfTrue="1" operator="greaterThanOrEqual">
      <formula>0.5</formula>
    </cfRule>
  </conditionalFormatting>
  <conditionalFormatting sqref="H11">
    <cfRule type="cellIs" dxfId="41188" priority="83533" stopIfTrue="1" operator="equal">
      <formula>-1</formula>
    </cfRule>
  </conditionalFormatting>
  <conditionalFormatting sqref="H11">
    <cfRule type="cellIs" dxfId="41187" priority="83534" stopIfTrue="1" operator="lessThan">
      <formula>0.5</formula>
    </cfRule>
  </conditionalFormatting>
  <conditionalFormatting sqref="H11">
    <cfRule type="cellIs" dxfId="41186" priority="83535" stopIfTrue="1" operator="greaterThanOrEqual">
      <formula>0.5</formula>
    </cfRule>
  </conditionalFormatting>
  <conditionalFormatting sqref="H12">
    <cfRule type="cellIs" dxfId="41185" priority="83536" stopIfTrue="1" operator="equal">
      <formula>-1</formula>
    </cfRule>
  </conditionalFormatting>
  <conditionalFormatting sqref="H12">
    <cfRule type="cellIs" dxfId="41184" priority="83537" stopIfTrue="1" operator="lessThan">
      <formula>0.5</formula>
    </cfRule>
  </conditionalFormatting>
  <conditionalFormatting sqref="H12">
    <cfRule type="cellIs" dxfId="41183" priority="83538" stopIfTrue="1" operator="greaterThanOrEqual">
      <formula>0.5</formula>
    </cfRule>
  </conditionalFormatting>
  <conditionalFormatting sqref="H13">
    <cfRule type="cellIs" dxfId="41182" priority="83539" stopIfTrue="1" operator="equal">
      <formula>-1</formula>
    </cfRule>
  </conditionalFormatting>
  <conditionalFormatting sqref="H13">
    <cfRule type="cellIs" dxfId="41181" priority="83540" stopIfTrue="1" operator="lessThan">
      <formula>0.5</formula>
    </cfRule>
  </conditionalFormatting>
  <conditionalFormatting sqref="H13">
    <cfRule type="cellIs" dxfId="41180" priority="83541" stopIfTrue="1" operator="greaterThanOrEqual">
      <formula>0.5</formula>
    </cfRule>
  </conditionalFormatting>
  <conditionalFormatting sqref="H14">
    <cfRule type="cellIs" dxfId="41179" priority="83542" stopIfTrue="1" operator="equal">
      <formula>-1</formula>
    </cfRule>
  </conditionalFormatting>
  <conditionalFormatting sqref="H14">
    <cfRule type="cellIs" dxfId="41178" priority="83543" stopIfTrue="1" operator="lessThan">
      <formula>0.5</formula>
    </cfRule>
  </conditionalFormatting>
  <conditionalFormatting sqref="H14">
    <cfRule type="cellIs" dxfId="41177" priority="83544" stopIfTrue="1" operator="greaterThanOrEqual">
      <formula>0.5</formula>
    </cfRule>
  </conditionalFormatting>
  <conditionalFormatting sqref="H15">
    <cfRule type="cellIs" dxfId="41176" priority="83545" stopIfTrue="1" operator="equal">
      <formula>-1</formula>
    </cfRule>
  </conditionalFormatting>
  <conditionalFormatting sqref="H15">
    <cfRule type="cellIs" dxfId="41175" priority="83546" stopIfTrue="1" operator="lessThan">
      <formula>0.5</formula>
    </cfRule>
  </conditionalFormatting>
  <conditionalFormatting sqref="H15">
    <cfRule type="cellIs" dxfId="41174" priority="83547" stopIfTrue="1" operator="greaterThanOrEqual">
      <formula>0.5</formula>
    </cfRule>
  </conditionalFormatting>
  <conditionalFormatting sqref="J8">
    <cfRule type="cellIs" dxfId="41173" priority="83548" stopIfTrue="1" operator="equal">
      <formula>-1</formula>
    </cfRule>
  </conditionalFormatting>
  <conditionalFormatting sqref="J8">
    <cfRule type="cellIs" dxfId="41172" priority="83549" stopIfTrue="1" operator="lessThan">
      <formula>0.5</formula>
    </cfRule>
  </conditionalFormatting>
  <conditionalFormatting sqref="J8">
    <cfRule type="cellIs" dxfId="41171" priority="83550" stopIfTrue="1" operator="greaterThanOrEqual">
      <formula>0.5</formula>
    </cfRule>
  </conditionalFormatting>
  <conditionalFormatting sqref="J9">
    <cfRule type="cellIs" dxfId="41170" priority="83551" stopIfTrue="1" operator="equal">
      <formula>-1</formula>
    </cfRule>
  </conditionalFormatting>
  <conditionalFormatting sqref="J9">
    <cfRule type="cellIs" dxfId="41169" priority="83552" stopIfTrue="1" operator="lessThan">
      <formula>0.5</formula>
    </cfRule>
  </conditionalFormatting>
  <conditionalFormatting sqref="J9">
    <cfRule type="cellIs" dxfId="41168" priority="83553" stopIfTrue="1" operator="greaterThanOrEqual">
      <formula>0.5</formula>
    </cfRule>
  </conditionalFormatting>
  <conditionalFormatting sqref="J10">
    <cfRule type="cellIs" dxfId="41167" priority="83554" stopIfTrue="1" operator="equal">
      <formula>-1</formula>
    </cfRule>
  </conditionalFormatting>
  <conditionalFormatting sqref="J10">
    <cfRule type="cellIs" dxfId="41166" priority="83555" stopIfTrue="1" operator="lessThan">
      <formula>0.5</formula>
    </cfRule>
  </conditionalFormatting>
  <conditionalFormatting sqref="J10">
    <cfRule type="cellIs" dxfId="41165" priority="83556" stopIfTrue="1" operator="greaterThanOrEqual">
      <formula>0.5</formula>
    </cfRule>
  </conditionalFormatting>
  <conditionalFormatting sqref="J11">
    <cfRule type="cellIs" dxfId="41164" priority="83557" stopIfTrue="1" operator="equal">
      <formula>-1</formula>
    </cfRule>
  </conditionalFormatting>
  <conditionalFormatting sqref="J11">
    <cfRule type="cellIs" dxfId="41163" priority="83558" stopIfTrue="1" operator="lessThan">
      <formula>0.5</formula>
    </cfRule>
  </conditionalFormatting>
  <conditionalFormatting sqref="J11">
    <cfRule type="cellIs" dxfId="41162" priority="83559" stopIfTrue="1" operator="greaterThanOrEqual">
      <formula>0.5</formula>
    </cfRule>
  </conditionalFormatting>
  <conditionalFormatting sqref="J12">
    <cfRule type="cellIs" dxfId="41161" priority="83560" stopIfTrue="1" operator="equal">
      <formula>-1</formula>
    </cfRule>
  </conditionalFormatting>
  <conditionalFormatting sqref="J12">
    <cfRule type="cellIs" dxfId="41160" priority="83561" stopIfTrue="1" operator="lessThan">
      <formula>0.5</formula>
    </cfRule>
  </conditionalFormatting>
  <conditionalFormatting sqref="J12">
    <cfRule type="cellIs" dxfId="41159" priority="83562" stopIfTrue="1" operator="greaterThanOrEqual">
      <formula>0.5</formula>
    </cfRule>
  </conditionalFormatting>
  <conditionalFormatting sqref="J13">
    <cfRule type="cellIs" dxfId="41158" priority="83563" stopIfTrue="1" operator="equal">
      <formula>-1</formula>
    </cfRule>
  </conditionalFormatting>
  <conditionalFormatting sqref="J13">
    <cfRule type="cellIs" dxfId="41157" priority="83564" stopIfTrue="1" operator="lessThan">
      <formula>0.5</formula>
    </cfRule>
  </conditionalFormatting>
  <conditionalFormatting sqref="J13">
    <cfRule type="cellIs" dxfId="41156" priority="83565" stopIfTrue="1" operator="greaterThanOrEqual">
      <formula>0.5</formula>
    </cfRule>
  </conditionalFormatting>
  <conditionalFormatting sqref="J14">
    <cfRule type="cellIs" dxfId="41155" priority="83566" stopIfTrue="1" operator="equal">
      <formula>-1</formula>
    </cfRule>
  </conditionalFormatting>
  <conditionalFormatting sqref="J14">
    <cfRule type="cellIs" dxfId="41154" priority="83567" stopIfTrue="1" operator="lessThan">
      <formula>0.5</formula>
    </cfRule>
  </conditionalFormatting>
  <conditionalFormatting sqref="J14">
    <cfRule type="cellIs" dxfId="41153" priority="83568" stopIfTrue="1" operator="greaterThanOrEqual">
      <formula>0.5</formula>
    </cfRule>
  </conditionalFormatting>
  <conditionalFormatting sqref="J15">
    <cfRule type="cellIs" dxfId="41152" priority="83569" stopIfTrue="1" operator="equal">
      <formula>-1</formula>
    </cfRule>
  </conditionalFormatting>
  <conditionalFormatting sqref="J15">
    <cfRule type="cellIs" dxfId="41151" priority="83570" stopIfTrue="1" operator="lessThan">
      <formula>0.5</formula>
    </cfRule>
  </conditionalFormatting>
  <conditionalFormatting sqref="J15">
    <cfRule type="cellIs" dxfId="41150" priority="83571" stopIfTrue="1" operator="greaterThanOrEqual">
      <formula>0.5</formula>
    </cfRule>
  </conditionalFormatting>
  <conditionalFormatting sqref="L8">
    <cfRule type="cellIs" dxfId="41149" priority="83572" stopIfTrue="1" operator="equal">
      <formula>-1</formula>
    </cfRule>
  </conditionalFormatting>
  <conditionalFormatting sqref="L8">
    <cfRule type="cellIs" dxfId="41148" priority="83573" stopIfTrue="1" operator="lessThan">
      <formula>0.5</formula>
    </cfRule>
  </conditionalFormatting>
  <conditionalFormatting sqref="L8">
    <cfRule type="cellIs" dxfId="41147" priority="83574" stopIfTrue="1" operator="greaterThanOrEqual">
      <formula>0.5</formula>
    </cfRule>
  </conditionalFormatting>
  <conditionalFormatting sqref="L9">
    <cfRule type="cellIs" dxfId="41146" priority="83575" stopIfTrue="1" operator="equal">
      <formula>-1</formula>
    </cfRule>
  </conditionalFormatting>
  <conditionalFormatting sqref="L9">
    <cfRule type="cellIs" dxfId="41145" priority="83576" stopIfTrue="1" operator="lessThan">
      <formula>0.5</formula>
    </cfRule>
  </conditionalFormatting>
  <conditionalFormatting sqref="L9">
    <cfRule type="cellIs" dxfId="41144" priority="83577" stopIfTrue="1" operator="greaterThanOrEqual">
      <formula>0.5</formula>
    </cfRule>
  </conditionalFormatting>
  <conditionalFormatting sqref="L10">
    <cfRule type="cellIs" dxfId="41143" priority="83578" stopIfTrue="1" operator="equal">
      <formula>-1</formula>
    </cfRule>
  </conditionalFormatting>
  <conditionalFormatting sqref="L10">
    <cfRule type="cellIs" dxfId="41142" priority="83579" stopIfTrue="1" operator="lessThan">
      <formula>0.5</formula>
    </cfRule>
  </conditionalFormatting>
  <conditionalFormatting sqref="L10">
    <cfRule type="cellIs" dxfId="41141" priority="83580" stopIfTrue="1" operator="greaterThanOrEqual">
      <formula>0.5</formula>
    </cfRule>
  </conditionalFormatting>
  <conditionalFormatting sqref="L11">
    <cfRule type="cellIs" dxfId="41140" priority="83581" stopIfTrue="1" operator="equal">
      <formula>-1</formula>
    </cfRule>
  </conditionalFormatting>
  <conditionalFormatting sqref="L11">
    <cfRule type="cellIs" dxfId="41139" priority="83582" stopIfTrue="1" operator="lessThan">
      <formula>0.5</formula>
    </cfRule>
  </conditionalFormatting>
  <conditionalFormatting sqref="L11">
    <cfRule type="cellIs" dxfId="41138" priority="83583" stopIfTrue="1" operator="greaterThanOrEqual">
      <formula>0.5</formula>
    </cfRule>
  </conditionalFormatting>
  <conditionalFormatting sqref="L12">
    <cfRule type="cellIs" dxfId="41137" priority="83584" stopIfTrue="1" operator="equal">
      <formula>-1</formula>
    </cfRule>
  </conditionalFormatting>
  <conditionalFormatting sqref="L12">
    <cfRule type="cellIs" dxfId="41136" priority="83585" stopIfTrue="1" operator="lessThan">
      <formula>0.5</formula>
    </cfRule>
  </conditionalFormatting>
  <conditionalFormatting sqref="L12">
    <cfRule type="cellIs" dxfId="41135" priority="83586" stopIfTrue="1" operator="greaterThanOrEqual">
      <formula>0.5</formula>
    </cfRule>
  </conditionalFormatting>
  <conditionalFormatting sqref="L13">
    <cfRule type="cellIs" dxfId="41134" priority="83587" stopIfTrue="1" operator="equal">
      <formula>-1</formula>
    </cfRule>
  </conditionalFormatting>
  <conditionalFormatting sqref="L13">
    <cfRule type="cellIs" dxfId="41133" priority="83588" stopIfTrue="1" operator="lessThan">
      <formula>0.5</formula>
    </cfRule>
  </conditionalFormatting>
  <conditionalFormatting sqref="L13">
    <cfRule type="cellIs" dxfId="41132" priority="83589" stopIfTrue="1" operator="greaterThanOrEqual">
      <formula>0.5</formula>
    </cfRule>
  </conditionalFormatting>
  <conditionalFormatting sqref="L14">
    <cfRule type="cellIs" dxfId="41131" priority="83590" stopIfTrue="1" operator="equal">
      <formula>-1</formula>
    </cfRule>
  </conditionalFormatting>
  <conditionalFormatting sqref="L14">
    <cfRule type="cellIs" dxfId="41130" priority="83591" stopIfTrue="1" operator="lessThan">
      <formula>0.5</formula>
    </cfRule>
  </conditionalFormatting>
  <conditionalFormatting sqref="L14">
    <cfRule type="cellIs" dxfId="41129" priority="83592" stopIfTrue="1" operator="greaterThanOrEqual">
      <formula>0.5</formula>
    </cfRule>
  </conditionalFormatting>
  <conditionalFormatting sqref="L15">
    <cfRule type="cellIs" dxfId="41128" priority="83593" stopIfTrue="1" operator="equal">
      <formula>-1</formula>
    </cfRule>
  </conditionalFormatting>
  <conditionalFormatting sqref="L15">
    <cfRule type="cellIs" dxfId="41127" priority="83594" stopIfTrue="1" operator="lessThan">
      <formula>0.5</formula>
    </cfRule>
  </conditionalFormatting>
  <conditionalFormatting sqref="L15">
    <cfRule type="cellIs" dxfId="41126" priority="83595" stopIfTrue="1" operator="greaterThanOrEqual">
      <formula>0.5</formula>
    </cfRule>
  </conditionalFormatting>
  <conditionalFormatting sqref="N8">
    <cfRule type="cellIs" dxfId="41125" priority="83596" stopIfTrue="1" operator="equal">
      <formula>-1</formula>
    </cfRule>
  </conditionalFormatting>
  <conditionalFormatting sqref="N8">
    <cfRule type="cellIs" dxfId="41124" priority="83597" stopIfTrue="1" operator="lessThan">
      <formula>0.5</formula>
    </cfRule>
  </conditionalFormatting>
  <conditionalFormatting sqref="N8">
    <cfRule type="cellIs" dxfId="41123" priority="83598" stopIfTrue="1" operator="greaterThanOrEqual">
      <formula>0.5</formula>
    </cfRule>
  </conditionalFormatting>
  <conditionalFormatting sqref="N9">
    <cfRule type="cellIs" dxfId="41122" priority="83599" stopIfTrue="1" operator="equal">
      <formula>-1</formula>
    </cfRule>
  </conditionalFormatting>
  <conditionalFormatting sqref="N9">
    <cfRule type="cellIs" dxfId="41121" priority="83600" stopIfTrue="1" operator="lessThan">
      <formula>0.5</formula>
    </cfRule>
  </conditionalFormatting>
  <conditionalFormatting sqref="N9">
    <cfRule type="cellIs" dxfId="41120" priority="83601" stopIfTrue="1" operator="greaterThanOrEqual">
      <formula>0.5</formula>
    </cfRule>
  </conditionalFormatting>
  <conditionalFormatting sqref="N10">
    <cfRule type="cellIs" dxfId="41119" priority="83602" stopIfTrue="1" operator="equal">
      <formula>-1</formula>
    </cfRule>
  </conditionalFormatting>
  <conditionalFormatting sqref="N10">
    <cfRule type="cellIs" dxfId="41118" priority="83603" stopIfTrue="1" operator="lessThan">
      <formula>0.5</formula>
    </cfRule>
  </conditionalFormatting>
  <conditionalFormatting sqref="N10">
    <cfRule type="cellIs" dxfId="41117" priority="83604" stopIfTrue="1" operator="greaterThanOrEqual">
      <formula>0.5</formula>
    </cfRule>
  </conditionalFormatting>
  <conditionalFormatting sqref="N11">
    <cfRule type="cellIs" dxfId="41116" priority="83605" stopIfTrue="1" operator="equal">
      <formula>-1</formula>
    </cfRule>
  </conditionalFormatting>
  <conditionalFormatting sqref="N11">
    <cfRule type="cellIs" dxfId="41115" priority="83606" stopIfTrue="1" operator="lessThan">
      <formula>0.5</formula>
    </cfRule>
  </conditionalFormatting>
  <conditionalFormatting sqref="N11">
    <cfRule type="cellIs" dxfId="41114" priority="83607" stopIfTrue="1" operator="greaterThanOrEqual">
      <formula>0.5</formula>
    </cfRule>
  </conditionalFormatting>
  <conditionalFormatting sqref="N12">
    <cfRule type="cellIs" dxfId="41113" priority="83608" stopIfTrue="1" operator="equal">
      <formula>-1</formula>
    </cfRule>
  </conditionalFormatting>
  <conditionalFormatting sqref="N12">
    <cfRule type="cellIs" dxfId="41112" priority="83609" stopIfTrue="1" operator="lessThan">
      <formula>0.5</formula>
    </cfRule>
  </conditionalFormatting>
  <conditionalFormatting sqref="N12">
    <cfRule type="cellIs" dxfId="41111" priority="83610" stopIfTrue="1" operator="greaterThanOrEqual">
      <formula>0.5</formula>
    </cfRule>
  </conditionalFormatting>
  <conditionalFormatting sqref="N13">
    <cfRule type="cellIs" dxfId="41110" priority="83611" stopIfTrue="1" operator="equal">
      <formula>-1</formula>
    </cfRule>
  </conditionalFormatting>
  <conditionalFormatting sqref="N13">
    <cfRule type="cellIs" dxfId="41109" priority="83612" stopIfTrue="1" operator="lessThan">
      <formula>0.5</formula>
    </cfRule>
  </conditionalFormatting>
  <conditionalFormatting sqref="N13">
    <cfRule type="cellIs" dxfId="41108" priority="83613" stopIfTrue="1" operator="greaterThanOrEqual">
      <formula>0.5</formula>
    </cfRule>
  </conditionalFormatting>
  <conditionalFormatting sqref="N14">
    <cfRule type="cellIs" dxfId="41107" priority="83614" stopIfTrue="1" operator="equal">
      <formula>-1</formula>
    </cfRule>
  </conditionalFormatting>
  <conditionalFormatting sqref="N14">
    <cfRule type="cellIs" dxfId="41106" priority="83615" stopIfTrue="1" operator="lessThan">
      <formula>0.5</formula>
    </cfRule>
  </conditionalFormatting>
  <conditionalFormatting sqref="N14">
    <cfRule type="cellIs" dxfId="41105" priority="83616" stopIfTrue="1" operator="greaterThanOrEqual">
      <formula>0.5</formula>
    </cfRule>
  </conditionalFormatting>
  <conditionalFormatting sqref="N15">
    <cfRule type="cellIs" dxfId="41104" priority="83617" stopIfTrue="1" operator="equal">
      <formula>-1</formula>
    </cfRule>
  </conditionalFormatting>
  <conditionalFormatting sqref="N15">
    <cfRule type="cellIs" dxfId="41103" priority="83618" stopIfTrue="1" operator="lessThan">
      <formula>0.5</formula>
    </cfRule>
  </conditionalFormatting>
  <conditionalFormatting sqref="N15">
    <cfRule type="cellIs" dxfId="41102" priority="83619" stopIfTrue="1" operator="greaterThanOrEqual">
      <formula>0.5</formula>
    </cfRule>
  </conditionalFormatting>
  <conditionalFormatting sqref="P8">
    <cfRule type="cellIs" dxfId="41101" priority="83620" stopIfTrue="1" operator="equal">
      <formula>-1</formula>
    </cfRule>
  </conditionalFormatting>
  <conditionalFormatting sqref="P8">
    <cfRule type="cellIs" dxfId="41100" priority="83621" stopIfTrue="1" operator="lessThan">
      <formula>0.5</formula>
    </cfRule>
  </conditionalFormatting>
  <conditionalFormatting sqref="P8">
    <cfRule type="cellIs" dxfId="41099" priority="83622" stopIfTrue="1" operator="greaterThanOrEqual">
      <formula>0.5</formula>
    </cfRule>
  </conditionalFormatting>
  <conditionalFormatting sqref="P9">
    <cfRule type="cellIs" dxfId="41098" priority="83623" stopIfTrue="1" operator="equal">
      <formula>-1</formula>
    </cfRule>
  </conditionalFormatting>
  <conditionalFormatting sqref="P9">
    <cfRule type="cellIs" dxfId="41097" priority="83624" stopIfTrue="1" operator="lessThan">
      <formula>0.5</formula>
    </cfRule>
  </conditionalFormatting>
  <conditionalFormatting sqref="P9">
    <cfRule type="cellIs" dxfId="41096" priority="83625" stopIfTrue="1" operator="greaterThanOrEqual">
      <formula>0.5</formula>
    </cfRule>
  </conditionalFormatting>
  <conditionalFormatting sqref="P10">
    <cfRule type="cellIs" dxfId="41095" priority="83626" stopIfTrue="1" operator="equal">
      <formula>-1</formula>
    </cfRule>
  </conditionalFormatting>
  <conditionalFormatting sqref="P10">
    <cfRule type="cellIs" dxfId="41094" priority="83627" stopIfTrue="1" operator="lessThan">
      <formula>0.5</formula>
    </cfRule>
  </conditionalFormatting>
  <conditionalFormatting sqref="P10">
    <cfRule type="cellIs" dxfId="41093" priority="83628" stopIfTrue="1" operator="greaterThanOrEqual">
      <formula>0.5</formula>
    </cfRule>
  </conditionalFormatting>
  <conditionalFormatting sqref="P11">
    <cfRule type="cellIs" dxfId="41092" priority="83629" stopIfTrue="1" operator="equal">
      <formula>-1</formula>
    </cfRule>
  </conditionalFormatting>
  <conditionalFormatting sqref="P11">
    <cfRule type="cellIs" dxfId="41091" priority="83630" stopIfTrue="1" operator="lessThan">
      <formula>0.5</formula>
    </cfRule>
  </conditionalFormatting>
  <conditionalFormatting sqref="P11">
    <cfRule type="cellIs" dxfId="41090" priority="83631" stopIfTrue="1" operator="greaterThanOrEqual">
      <formula>0.5</formula>
    </cfRule>
  </conditionalFormatting>
  <conditionalFormatting sqref="P12">
    <cfRule type="cellIs" dxfId="41089" priority="83632" stopIfTrue="1" operator="equal">
      <formula>-1</formula>
    </cfRule>
  </conditionalFormatting>
  <conditionalFormatting sqref="P12">
    <cfRule type="cellIs" dxfId="41088" priority="83633" stopIfTrue="1" operator="lessThan">
      <formula>0.5</formula>
    </cfRule>
  </conditionalFormatting>
  <conditionalFormatting sqref="P12">
    <cfRule type="cellIs" dxfId="41087" priority="83634" stopIfTrue="1" operator="greaterThanOrEqual">
      <formula>0.5</formula>
    </cfRule>
  </conditionalFormatting>
  <conditionalFormatting sqref="P13">
    <cfRule type="cellIs" dxfId="41086" priority="83635" stopIfTrue="1" operator="equal">
      <formula>-1</formula>
    </cfRule>
  </conditionalFormatting>
  <conditionalFormatting sqref="P13">
    <cfRule type="cellIs" dxfId="41085" priority="83636" stopIfTrue="1" operator="lessThan">
      <formula>0.5</formula>
    </cfRule>
  </conditionalFormatting>
  <conditionalFormatting sqref="P13">
    <cfRule type="cellIs" dxfId="41084" priority="83637" stopIfTrue="1" operator="greaterThanOrEqual">
      <formula>0.5</formula>
    </cfRule>
  </conditionalFormatting>
  <conditionalFormatting sqref="P14">
    <cfRule type="cellIs" dxfId="41083" priority="83638" stopIfTrue="1" operator="equal">
      <formula>-1</formula>
    </cfRule>
  </conditionalFormatting>
  <conditionalFormatting sqref="P14">
    <cfRule type="cellIs" dxfId="41082" priority="83639" stopIfTrue="1" operator="lessThan">
      <formula>0.5</formula>
    </cfRule>
  </conditionalFormatting>
  <conditionalFormatting sqref="P14">
    <cfRule type="cellIs" dxfId="41081" priority="83640" stopIfTrue="1" operator="greaterThanOrEqual">
      <formula>0.5</formula>
    </cfRule>
  </conditionalFormatting>
  <conditionalFormatting sqref="P15">
    <cfRule type="cellIs" dxfId="41080" priority="83641" stopIfTrue="1" operator="equal">
      <formula>-1</formula>
    </cfRule>
  </conditionalFormatting>
  <conditionalFormatting sqref="P15">
    <cfRule type="cellIs" dxfId="41079" priority="83642" stopIfTrue="1" operator="lessThan">
      <formula>0.5</formula>
    </cfRule>
  </conditionalFormatting>
  <conditionalFormatting sqref="P15">
    <cfRule type="cellIs" dxfId="41078" priority="83643" stopIfTrue="1" operator="greaterThanOrEqual">
      <formula>0.5</formula>
    </cfRule>
  </conditionalFormatting>
  <conditionalFormatting sqref="R8">
    <cfRule type="cellIs" dxfId="41077" priority="83644" stopIfTrue="1" operator="equal">
      <formula>-1</formula>
    </cfRule>
  </conditionalFormatting>
  <conditionalFormatting sqref="R8">
    <cfRule type="cellIs" dxfId="41076" priority="83645" stopIfTrue="1" operator="lessThan">
      <formula>0.5</formula>
    </cfRule>
  </conditionalFormatting>
  <conditionalFormatting sqref="R8">
    <cfRule type="cellIs" dxfId="41075" priority="83646" stopIfTrue="1" operator="greaterThanOrEqual">
      <formula>0.5</formula>
    </cfRule>
  </conditionalFormatting>
  <conditionalFormatting sqref="R9">
    <cfRule type="cellIs" dxfId="41074" priority="83647" stopIfTrue="1" operator="equal">
      <formula>-1</formula>
    </cfRule>
  </conditionalFormatting>
  <conditionalFormatting sqref="R9">
    <cfRule type="cellIs" dxfId="41073" priority="83648" stopIfTrue="1" operator="lessThan">
      <formula>0.5</formula>
    </cfRule>
  </conditionalFormatting>
  <conditionalFormatting sqref="R9">
    <cfRule type="cellIs" dxfId="41072" priority="83649" stopIfTrue="1" operator="greaterThanOrEqual">
      <formula>0.5</formula>
    </cfRule>
  </conditionalFormatting>
  <conditionalFormatting sqref="R10">
    <cfRule type="cellIs" dxfId="41071" priority="83650" stopIfTrue="1" operator="equal">
      <formula>-1</formula>
    </cfRule>
  </conditionalFormatting>
  <conditionalFormatting sqref="R10">
    <cfRule type="cellIs" dxfId="41070" priority="83651" stopIfTrue="1" operator="lessThan">
      <formula>0.5</formula>
    </cfRule>
  </conditionalFormatting>
  <conditionalFormatting sqref="R10">
    <cfRule type="cellIs" dxfId="41069" priority="83652" stopIfTrue="1" operator="greaterThanOrEqual">
      <formula>0.5</formula>
    </cfRule>
  </conditionalFormatting>
  <conditionalFormatting sqref="R11">
    <cfRule type="cellIs" dxfId="41068" priority="83653" stopIfTrue="1" operator="equal">
      <formula>-1</formula>
    </cfRule>
  </conditionalFormatting>
  <conditionalFormatting sqref="R11">
    <cfRule type="cellIs" dxfId="41067" priority="83654" stopIfTrue="1" operator="lessThan">
      <formula>0.5</formula>
    </cfRule>
  </conditionalFormatting>
  <conditionalFormatting sqref="R11">
    <cfRule type="cellIs" dxfId="41066" priority="83655" stopIfTrue="1" operator="greaterThanOrEqual">
      <formula>0.5</formula>
    </cfRule>
  </conditionalFormatting>
  <conditionalFormatting sqref="R12">
    <cfRule type="cellIs" dxfId="41065" priority="83656" stopIfTrue="1" operator="equal">
      <formula>-1</formula>
    </cfRule>
  </conditionalFormatting>
  <conditionalFormatting sqref="R12">
    <cfRule type="cellIs" dxfId="41064" priority="83657" stopIfTrue="1" operator="lessThan">
      <formula>0.5</formula>
    </cfRule>
  </conditionalFormatting>
  <conditionalFormatting sqref="R12">
    <cfRule type="cellIs" dxfId="41063" priority="83658" stopIfTrue="1" operator="greaterThanOrEqual">
      <formula>0.5</formula>
    </cfRule>
  </conditionalFormatting>
  <conditionalFormatting sqref="R13">
    <cfRule type="cellIs" dxfId="41062" priority="83659" stopIfTrue="1" operator="equal">
      <formula>-1</formula>
    </cfRule>
  </conditionalFormatting>
  <conditionalFormatting sqref="R13">
    <cfRule type="cellIs" dxfId="41061" priority="83660" stopIfTrue="1" operator="lessThan">
      <formula>0.5</formula>
    </cfRule>
  </conditionalFormatting>
  <conditionalFormatting sqref="R13">
    <cfRule type="cellIs" dxfId="41060" priority="83661" stopIfTrue="1" operator="greaterThanOrEqual">
      <formula>0.5</formula>
    </cfRule>
  </conditionalFormatting>
  <conditionalFormatting sqref="R14">
    <cfRule type="cellIs" dxfId="41059" priority="83662" stopIfTrue="1" operator="equal">
      <formula>-1</formula>
    </cfRule>
  </conditionalFormatting>
  <conditionalFormatting sqref="R14">
    <cfRule type="cellIs" dxfId="41058" priority="83663" stopIfTrue="1" operator="lessThan">
      <formula>0.5</formula>
    </cfRule>
  </conditionalFormatting>
  <conditionalFormatting sqref="R14">
    <cfRule type="cellIs" dxfId="41057" priority="83664" stopIfTrue="1" operator="greaterThanOrEqual">
      <formula>0.5</formula>
    </cfRule>
  </conditionalFormatting>
  <conditionalFormatting sqref="R15">
    <cfRule type="cellIs" dxfId="41056" priority="83665" stopIfTrue="1" operator="equal">
      <formula>-1</formula>
    </cfRule>
  </conditionalFormatting>
  <conditionalFormatting sqref="R15">
    <cfRule type="cellIs" dxfId="41055" priority="83666" stopIfTrue="1" operator="lessThan">
      <formula>0.5</formula>
    </cfRule>
  </conditionalFormatting>
  <conditionalFormatting sqref="R15">
    <cfRule type="cellIs" dxfId="41054" priority="83667" stopIfTrue="1" operator="greaterThanOrEqual">
      <formula>0.5</formula>
    </cfRule>
  </conditionalFormatting>
  <conditionalFormatting sqref="T8">
    <cfRule type="cellIs" dxfId="41053" priority="83668" stopIfTrue="1" operator="equal">
      <formula>-1</formula>
    </cfRule>
  </conditionalFormatting>
  <conditionalFormatting sqref="T8">
    <cfRule type="cellIs" dxfId="41052" priority="83669" stopIfTrue="1" operator="lessThan">
      <formula>0.5</formula>
    </cfRule>
  </conditionalFormatting>
  <conditionalFormatting sqref="T8">
    <cfRule type="cellIs" dxfId="41051" priority="83670" stopIfTrue="1" operator="greaterThanOrEqual">
      <formula>0.5</formula>
    </cfRule>
  </conditionalFormatting>
  <conditionalFormatting sqref="T9">
    <cfRule type="cellIs" dxfId="41050" priority="83671" stopIfTrue="1" operator="equal">
      <formula>-1</formula>
    </cfRule>
  </conditionalFormatting>
  <conditionalFormatting sqref="T9">
    <cfRule type="cellIs" dxfId="41049" priority="83672" stopIfTrue="1" operator="lessThan">
      <formula>0.5</formula>
    </cfRule>
  </conditionalFormatting>
  <conditionalFormatting sqref="T9">
    <cfRule type="cellIs" dxfId="41048" priority="83673" stopIfTrue="1" operator="greaterThanOrEqual">
      <formula>0.5</formula>
    </cfRule>
  </conditionalFormatting>
  <conditionalFormatting sqref="T10">
    <cfRule type="cellIs" dxfId="41047" priority="83674" stopIfTrue="1" operator="equal">
      <formula>-1</formula>
    </cfRule>
  </conditionalFormatting>
  <conditionalFormatting sqref="T10">
    <cfRule type="cellIs" dxfId="41046" priority="83675" stopIfTrue="1" operator="lessThan">
      <formula>0.5</formula>
    </cfRule>
  </conditionalFormatting>
  <conditionalFormatting sqref="T10">
    <cfRule type="cellIs" dxfId="41045" priority="83676" stopIfTrue="1" operator="greaterThanOrEqual">
      <formula>0.5</formula>
    </cfRule>
  </conditionalFormatting>
  <conditionalFormatting sqref="T11">
    <cfRule type="cellIs" dxfId="41044" priority="83677" stopIfTrue="1" operator="equal">
      <formula>-1</formula>
    </cfRule>
  </conditionalFormatting>
  <conditionalFormatting sqref="T11">
    <cfRule type="cellIs" dxfId="41043" priority="83678" stopIfTrue="1" operator="lessThan">
      <formula>0.5</formula>
    </cfRule>
  </conditionalFormatting>
  <conditionalFormatting sqref="T11">
    <cfRule type="cellIs" dxfId="41042" priority="83679" stopIfTrue="1" operator="greaterThanOrEqual">
      <formula>0.5</formula>
    </cfRule>
  </conditionalFormatting>
  <conditionalFormatting sqref="T12">
    <cfRule type="cellIs" dxfId="41041" priority="83680" stopIfTrue="1" operator="equal">
      <formula>-1</formula>
    </cfRule>
  </conditionalFormatting>
  <conditionalFormatting sqref="T12">
    <cfRule type="cellIs" dxfId="41040" priority="83681" stopIfTrue="1" operator="lessThan">
      <formula>0.5</formula>
    </cfRule>
  </conditionalFormatting>
  <conditionalFormatting sqref="T12">
    <cfRule type="cellIs" dxfId="41039" priority="83682" stopIfTrue="1" operator="greaterThanOrEqual">
      <formula>0.5</formula>
    </cfRule>
  </conditionalFormatting>
  <conditionalFormatting sqref="T13">
    <cfRule type="cellIs" dxfId="41038" priority="83683" stopIfTrue="1" operator="equal">
      <formula>-1</formula>
    </cfRule>
  </conditionalFormatting>
  <conditionalFormatting sqref="T13">
    <cfRule type="cellIs" dxfId="41037" priority="83684" stopIfTrue="1" operator="lessThan">
      <formula>0.5</formula>
    </cfRule>
  </conditionalFormatting>
  <conditionalFormatting sqref="T13">
    <cfRule type="cellIs" dxfId="41036" priority="83685" stopIfTrue="1" operator="greaterThanOrEqual">
      <formula>0.5</formula>
    </cfRule>
  </conditionalFormatting>
  <conditionalFormatting sqref="T14">
    <cfRule type="cellIs" dxfId="41035" priority="83686" stopIfTrue="1" operator="equal">
      <formula>-1</formula>
    </cfRule>
  </conditionalFormatting>
  <conditionalFormatting sqref="T14">
    <cfRule type="cellIs" dxfId="41034" priority="83687" stopIfTrue="1" operator="lessThan">
      <formula>0.5</formula>
    </cfRule>
  </conditionalFormatting>
  <conditionalFormatting sqref="T14">
    <cfRule type="cellIs" dxfId="41033" priority="83688" stopIfTrue="1" operator="greaterThanOrEqual">
      <formula>0.5</formula>
    </cfRule>
  </conditionalFormatting>
  <conditionalFormatting sqref="T15">
    <cfRule type="cellIs" dxfId="41032" priority="83689" stopIfTrue="1" operator="equal">
      <formula>-1</formula>
    </cfRule>
  </conditionalFormatting>
  <conditionalFormatting sqref="T15">
    <cfRule type="cellIs" dxfId="41031" priority="83690" stopIfTrue="1" operator="lessThan">
      <formula>0.5</formula>
    </cfRule>
  </conditionalFormatting>
  <conditionalFormatting sqref="T15">
    <cfRule type="cellIs" dxfId="41030" priority="83691" stopIfTrue="1" operator="greaterThanOrEqual">
      <formula>0.5</formula>
    </cfRule>
  </conditionalFormatting>
  <conditionalFormatting sqref="V8">
    <cfRule type="cellIs" dxfId="41029" priority="83692" stopIfTrue="1" operator="equal">
      <formula>-1</formula>
    </cfRule>
  </conditionalFormatting>
  <conditionalFormatting sqref="V8">
    <cfRule type="cellIs" dxfId="41028" priority="83693" stopIfTrue="1" operator="lessThan">
      <formula>0.5</formula>
    </cfRule>
  </conditionalFormatting>
  <conditionalFormatting sqref="V8">
    <cfRule type="cellIs" dxfId="41027" priority="83694" stopIfTrue="1" operator="greaterThanOrEqual">
      <formula>0.5</formula>
    </cfRule>
  </conditionalFormatting>
  <conditionalFormatting sqref="V9">
    <cfRule type="cellIs" dxfId="41026" priority="83695" stopIfTrue="1" operator="equal">
      <formula>-1</formula>
    </cfRule>
  </conditionalFormatting>
  <conditionalFormatting sqref="V9">
    <cfRule type="cellIs" dxfId="41025" priority="83696" stopIfTrue="1" operator="lessThan">
      <formula>0.5</formula>
    </cfRule>
  </conditionalFormatting>
  <conditionalFormatting sqref="V9">
    <cfRule type="cellIs" dxfId="41024" priority="83697" stopIfTrue="1" operator="greaterThanOrEqual">
      <formula>0.5</formula>
    </cfRule>
  </conditionalFormatting>
  <conditionalFormatting sqref="V10">
    <cfRule type="cellIs" dxfId="41023" priority="83698" stopIfTrue="1" operator="equal">
      <formula>-1</formula>
    </cfRule>
  </conditionalFormatting>
  <conditionalFormatting sqref="V10">
    <cfRule type="cellIs" dxfId="41022" priority="83699" stopIfTrue="1" operator="lessThan">
      <formula>0.5</formula>
    </cfRule>
  </conditionalFormatting>
  <conditionalFormatting sqref="V10">
    <cfRule type="cellIs" dxfId="41021" priority="83700" stopIfTrue="1" operator="greaterThanOrEqual">
      <formula>0.5</formula>
    </cfRule>
  </conditionalFormatting>
  <conditionalFormatting sqref="V11">
    <cfRule type="cellIs" dxfId="41020" priority="83701" stopIfTrue="1" operator="equal">
      <formula>-1</formula>
    </cfRule>
  </conditionalFormatting>
  <conditionalFormatting sqref="V11">
    <cfRule type="cellIs" dxfId="41019" priority="83702" stopIfTrue="1" operator="lessThan">
      <formula>0.5</formula>
    </cfRule>
  </conditionalFormatting>
  <conditionalFormatting sqref="V11">
    <cfRule type="cellIs" dxfId="41018" priority="83703" stopIfTrue="1" operator="greaterThanOrEqual">
      <formula>0.5</formula>
    </cfRule>
  </conditionalFormatting>
  <conditionalFormatting sqref="V12">
    <cfRule type="cellIs" dxfId="41017" priority="83704" stopIfTrue="1" operator="equal">
      <formula>-1</formula>
    </cfRule>
  </conditionalFormatting>
  <conditionalFormatting sqref="V12">
    <cfRule type="cellIs" dxfId="41016" priority="83705" stopIfTrue="1" operator="lessThan">
      <formula>0.5</formula>
    </cfRule>
  </conditionalFormatting>
  <conditionalFormatting sqref="V12">
    <cfRule type="cellIs" dxfId="41015" priority="83706" stopIfTrue="1" operator="greaterThanOrEqual">
      <formula>0.5</formula>
    </cfRule>
  </conditionalFormatting>
  <conditionalFormatting sqref="V13">
    <cfRule type="cellIs" dxfId="41014" priority="83707" stopIfTrue="1" operator="equal">
      <formula>-1</formula>
    </cfRule>
  </conditionalFormatting>
  <conditionalFormatting sqref="V13">
    <cfRule type="cellIs" dxfId="41013" priority="83708" stopIfTrue="1" operator="lessThan">
      <formula>0.5</formula>
    </cfRule>
  </conditionalFormatting>
  <conditionalFormatting sqref="V13">
    <cfRule type="cellIs" dxfId="41012" priority="83709" stopIfTrue="1" operator="greaterThanOrEqual">
      <formula>0.5</formula>
    </cfRule>
  </conditionalFormatting>
  <conditionalFormatting sqref="V14">
    <cfRule type="cellIs" dxfId="41011" priority="83710" stopIfTrue="1" operator="equal">
      <formula>-1</formula>
    </cfRule>
  </conditionalFormatting>
  <conditionalFormatting sqref="V14">
    <cfRule type="cellIs" dxfId="41010" priority="83711" stopIfTrue="1" operator="lessThan">
      <formula>0.5</formula>
    </cfRule>
  </conditionalFormatting>
  <conditionalFormatting sqref="V14">
    <cfRule type="cellIs" dxfId="41009" priority="83712" stopIfTrue="1" operator="greaterThanOrEqual">
      <formula>0.5</formula>
    </cfRule>
  </conditionalFormatting>
  <conditionalFormatting sqref="V15">
    <cfRule type="cellIs" dxfId="41008" priority="83713" stopIfTrue="1" operator="equal">
      <formula>-1</formula>
    </cfRule>
  </conditionalFormatting>
  <conditionalFormatting sqref="V15">
    <cfRule type="cellIs" dxfId="41007" priority="83714" stopIfTrue="1" operator="lessThan">
      <formula>0.5</formula>
    </cfRule>
  </conditionalFormatting>
  <conditionalFormatting sqref="V15">
    <cfRule type="cellIs" dxfId="41006" priority="83715" stopIfTrue="1" operator="greaterThanOrEqual">
      <formula>0.5</formula>
    </cfRule>
  </conditionalFormatting>
  <conditionalFormatting sqref="X8">
    <cfRule type="cellIs" dxfId="41005" priority="83716" stopIfTrue="1" operator="equal">
      <formula>-1</formula>
    </cfRule>
  </conditionalFormatting>
  <conditionalFormatting sqref="X8">
    <cfRule type="cellIs" dxfId="41004" priority="83717" stopIfTrue="1" operator="lessThan">
      <formula>0.5</formula>
    </cfRule>
  </conditionalFormatting>
  <conditionalFormatting sqref="X8">
    <cfRule type="cellIs" dxfId="41003" priority="83718" stopIfTrue="1" operator="greaterThanOrEqual">
      <formula>0.5</formula>
    </cfRule>
  </conditionalFormatting>
  <conditionalFormatting sqref="X9">
    <cfRule type="cellIs" dxfId="41002" priority="83719" stopIfTrue="1" operator="equal">
      <formula>-1</formula>
    </cfRule>
  </conditionalFormatting>
  <conditionalFormatting sqref="X9">
    <cfRule type="cellIs" dxfId="41001" priority="83720" stopIfTrue="1" operator="lessThan">
      <formula>0.5</formula>
    </cfRule>
  </conditionalFormatting>
  <conditionalFormatting sqref="X9">
    <cfRule type="cellIs" dxfId="41000" priority="83721" stopIfTrue="1" operator="greaterThanOrEqual">
      <formula>0.5</formula>
    </cfRule>
  </conditionalFormatting>
  <conditionalFormatting sqref="X10">
    <cfRule type="cellIs" dxfId="40999" priority="83722" stopIfTrue="1" operator="equal">
      <formula>-1</formula>
    </cfRule>
  </conditionalFormatting>
  <conditionalFormatting sqref="X10">
    <cfRule type="cellIs" dxfId="40998" priority="83723" stopIfTrue="1" operator="lessThan">
      <formula>0.5</formula>
    </cfRule>
  </conditionalFormatting>
  <conditionalFormatting sqref="X10">
    <cfRule type="cellIs" dxfId="40997" priority="83724" stopIfTrue="1" operator="greaterThanOrEqual">
      <formula>0.5</formula>
    </cfRule>
  </conditionalFormatting>
  <conditionalFormatting sqref="X11">
    <cfRule type="cellIs" dxfId="40996" priority="83725" stopIfTrue="1" operator="equal">
      <formula>-1</formula>
    </cfRule>
  </conditionalFormatting>
  <conditionalFormatting sqref="X11">
    <cfRule type="cellIs" dxfId="40995" priority="83726" stopIfTrue="1" operator="lessThan">
      <formula>0.5</formula>
    </cfRule>
  </conditionalFormatting>
  <conditionalFormatting sqref="X11">
    <cfRule type="cellIs" dxfId="40994" priority="83727" stopIfTrue="1" operator="greaterThanOrEqual">
      <formula>0.5</formula>
    </cfRule>
  </conditionalFormatting>
  <conditionalFormatting sqref="X12">
    <cfRule type="cellIs" dxfId="40993" priority="83728" stopIfTrue="1" operator="equal">
      <formula>-1</formula>
    </cfRule>
  </conditionalFormatting>
  <conditionalFormatting sqref="X12">
    <cfRule type="cellIs" dxfId="40992" priority="83729" stopIfTrue="1" operator="lessThan">
      <formula>0.5</formula>
    </cfRule>
  </conditionalFormatting>
  <conditionalFormatting sqref="X12">
    <cfRule type="cellIs" dxfId="40991" priority="83730" stopIfTrue="1" operator="greaterThanOrEqual">
      <formula>0.5</formula>
    </cfRule>
  </conditionalFormatting>
  <conditionalFormatting sqref="X13">
    <cfRule type="cellIs" dxfId="40990" priority="83731" stopIfTrue="1" operator="equal">
      <formula>-1</formula>
    </cfRule>
  </conditionalFormatting>
  <conditionalFormatting sqref="X13">
    <cfRule type="cellIs" dxfId="40989" priority="83732" stopIfTrue="1" operator="lessThan">
      <formula>0.5</formula>
    </cfRule>
  </conditionalFormatting>
  <conditionalFormatting sqref="X13">
    <cfRule type="cellIs" dxfId="40988" priority="83733" stopIfTrue="1" operator="greaterThanOrEqual">
      <formula>0.5</formula>
    </cfRule>
  </conditionalFormatting>
  <conditionalFormatting sqref="X14">
    <cfRule type="cellIs" dxfId="40987" priority="83734" stopIfTrue="1" operator="equal">
      <formula>-1</formula>
    </cfRule>
  </conditionalFormatting>
  <conditionalFormatting sqref="X14">
    <cfRule type="cellIs" dxfId="40986" priority="83735" stopIfTrue="1" operator="lessThan">
      <formula>0.5</formula>
    </cfRule>
  </conditionalFormatting>
  <conditionalFormatting sqref="X14">
    <cfRule type="cellIs" dxfId="40985" priority="83736" stopIfTrue="1" operator="greaterThanOrEqual">
      <formula>0.5</formula>
    </cfRule>
  </conditionalFormatting>
  <conditionalFormatting sqref="X15">
    <cfRule type="cellIs" dxfId="40984" priority="83737" stopIfTrue="1" operator="equal">
      <formula>-1</formula>
    </cfRule>
  </conditionalFormatting>
  <conditionalFormatting sqref="X15">
    <cfRule type="cellIs" dxfId="40983" priority="83738" stopIfTrue="1" operator="lessThan">
      <formula>0.5</formula>
    </cfRule>
  </conditionalFormatting>
  <conditionalFormatting sqref="X15">
    <cfRule type="cellIs" dxfId="40982" priority="83739" stopIfTrue="1" operator="greaterThanOrEqual">
      <formula>0.5</formula>
    </cfRule>
  </conditionalFormatting>
  <conditionalFormatting sqref="Z8">
    <cfRule type="cellIs" dxfId="40981" priority="83740" stopIfTrue="1" operator="equal">
      <formula>-1</formula>
    </cfRule>
  </conditionalFormatting>
  <conditionalFormatting sqref="Z8">
    <cfRule type="cellIs" dxfId="40980" priority="83741" stopIfTrue="1" operator="lessThan">
      <formula>0.5</formula>
    </cfRule>
  </conditionalFormatting>
  <conditionalFormatting sqref="Z8">
    <cfRule type="cellIs" dxfId="40979" priority="83742" stopIfTrue="1" operator="greaterThanOrEqual">
      <formula>0.5</formula>
    </cfRule>
  </conditionalFormatting>
  <conditionalFormatting sqref="Z9">
    <cfRule type="cellIs" dxfId="40978" priority="83743" stopIfTrue="1" operator="equal">
      <formula>-1</formula>
    </cfRule>
  </conditionalFormatting>
  <conditionalFormatting sqref="Z9">
    <cfRule type="cellIs" dxfId="40977" priority="83744" stopIfTrue="1" operator="lessThan">
      <formula>0.5</formula>
    </cfRule>
  </conditionalFormatting>
  <conditionalFormatting sqref="Z9">
    <cfRule type="cellIs" dxfId="40976" priority="83745" stopIfTrue="1" operator="greaterThanOrEqual">
      <formula>0.5</formula>
    </cfRule>
  </conditionalFormatting>
  <conditionalFormatting sqref="Z10">
    <cfRule type="cellIs" dxfId="40975" priority="83746" stopIfTrue="1" operator="equal">
      <formula>-1</formula>
    </cfRule>
  </conditionalFormatting>
  <conditionalFormatting sqref="Z10">
    <cfRule type="cellIs" dxfId="40974" priority="83747" stopIfTrue="1" operator="lessThan">
      <formula>0.5</formula>
    </cfRule>
  </conditionalFormatting>
  <conditionalFormatting sqref="Z10">
    <cfRule type="cellIs" dxfId="40973" priority="83748" stopIfTrue="1" operator="greaterThanOrEqual">
      <formula>0.5</formula>
    </cfRule>
  </conditionalFormatting>
  <conditionalFormatting sqref="Z11">
    <cfRule type="cellIs" dxfId="40972" priority="83749" stopIfTrue="1" operator="equal">
      <formula>-1</formula>
    </cfRule>
  </conditionalFormatting>
  <conditionalFormatting sqref="Z11">
    <cfRule type="cellIs" dxfId="40971" priority="83750" stopIfTrue="1" operator="lessThan">
      <formula>0.5</formula>
    </cfRule>
  </conditionalFormatting>
  <conditionalFormatting sqref="Z11">
    <cfRule type="cellIs" dxfId="40970" priority="83751" stopIfTrue="1" operator="greaterThanOrEqual">
      <formula>0.5</formula>
    </cfRule>
  </conditionalFormatting>
  <conditionalFormatting sqref="Z12">
    <cfRule type="cellIs" dxfId="40969" priority="83752" stopIfTrue="1" operator="equal">
      <formula>-1</formula>
    </cfRule>
  </conditionalFormatting>
  <conditionalFormatting sqref="Z12">
    <cfRule type="cellIs" dxfId="40968" priority="83753" stopIfTrue="1" operator="lessThan">
      <formula>0.5</formula>
    </cfRule>
  </conditionalFormatting>
  <conditionalFormatting sqref="Z12">
    <cfRule type="cellIs" dxfId="40967" priority="83754" stopIfTrue="1" operator="greaterThanOrEqual">
      <formula>0.5</formula>
    </cfRule>
  </conditionalFormatting>
  <conditionalFormatting sqref="Z13">
    <cfRule type="cellIs" dxfId="40966" priority="83755" stopIfTrue="1" operator="equal">
      <formula>-1</formula>
    </cfRule>
  </conditionalFormatting>
  <conditionalFormatting sqref="Z13">
    <cfRule type="cellIs" dxfId="40965" priority="83756" stopIfTrue="1" operator="lessThan">
      <formula>0.5</formula>
    </cfRule>
  </conditionalFormatting>
  <conditionalFormatting sqref="Z13">
    <cfRule type="cellIs" dxfId="40964" priority="83757" stopIfTrue="1" operator="greaterThanOrEqual">
      <formula>0.5</formula>
    </cfRule>
  </conditionalFormatting>
  <conditionalFormatting sqref="Z14">
    <cfRule type="cellIs" dxfId="40963" priority="83758" stopIfTrue="1" operator="equal">
      <formula>-1</formula>
    </cfRule>
  </conditionalFormatting>
  <conditionalFormatting sqref="Z14">
    <cfRule type="cellIs" dxfId="40962" priority="83759" stopIfTrue="1" operator="lessThan">
      <formula>0.5</formula>
    </cfRule>
  </conditionalFormatting>
  <conditionalFormatting sqref="Z14">
    <cfRule type="cellIs" dxfId="40961" priority="83760" stopIfTrue="1" operator="greaterThanOrEqual">
      <formula>0.5</formula>
    </cfRule>
  </conditionalFormatting>
  <conditionalFormatting sqref="Z15">
    <cfRule type="cellIs" dxfId="40960" priority="83761" stopIfTrue="1" operator="equal">
      <formula>-1</formula>
    </cfRule>
  </conditionalFormatting>
  <conditionalFormatting sqref="Z15">
    <cfRule type="cellIs" dxfId="40959" priority="83762" stopIfTrue="1" operator="lessThan">
      <formula>0.5</formula>
    </cfRule>
  </conditionalFormatting>
  <conditionalFormatting sqref="Z15">
    <cfRule type="cellIs" dxfId="40958" priority="83763" stopIfTrue="1" operator="greaterThanOrEqual">
      <formula>0.5</formula>
    </cfRule>
  </conditionalFormatting>
  <conditionalFormatting sqref="AB8">
    <cfRule type="cellIs" dxfId="40957" priority="83764" stopIfTrue="1" operator="equal">
      <formula>-1</formula>
    </cfRule>
  </conditionalFormatting>
  <conditionalFormatting sqref="AB8">
    <cfRule type="cellIs" dxfId="40956" priority="83765" stopIfTrue="1" operator="lessThan">
      <formula>0.5</formula>
    </cfRule>
  </conditionalFormatting>
  <conditionalFormatting sqref="AB8">
    <cfRule type="cellIs" dxfId="40955" priority="83766" stopIfTrue="1" operator="greaterThanOrEqual">
      <formula>0.5</formula>
    </cfRule>
  </conditionalFormatting>
  <conditionalFormatting sqref="AB9">
    <cfRule type="cellIs" dxfId="40954" priority="83767" stopIfTrue="1" operator="equal">
      <formula>-1</formula>
    </cfRule>
  </conditionalFormatting>
  <conditionalFormatting sqref="AB9">
    <cfRule type="cellIs" dxfId="40953" priority="83768" stopIfTrue="1" operator="lessThan">
      <formula>0.5</formula>
    </cfRule>
  </conditionalFormatting>
  <conditionalFormatting sqref="AB9">
    <cfRule type="cellIs" dxfId="40952" priority="83769" stopIfTrue="1" operator="greaterThanOrEqual">
      <formula>0.5</formula>
    </cfRule>
  </conditionalFormatting>
  <conditionalFormatting sqref="AB10">
    <cfRule type="cellIs" dxfId="40951" priority="83770" stopIfTrue="1" operator="equal">
      <formula>-1</formula>
    </cfRule>
  </conditionalFormatting>
  <conditionalFormatting sqref="AB10">
    <cfRule type="cellIs" dxfId="40950" priority="83771" stopIfTrue="1" operator="lessThan">
      <formula>0.5</formula>
    </cfRule>
  </conditionalFormatting>
  <conditionalFormatting sqref="AB10">
    <cfRule type="cellIs" dxfId="40949" priority="83772" stopIfTrue="1" operator="greaterThanOrEqual">
      <formula>0.5</formula>
    </cfRule>
  </conditionalFormatting>
  <conditionalFormatting sqref="AB11">
    <cfRule type="cellIs" dxfId="40948" priority="83773" stopIfTrue="1" operator="equal">
      <formula>-1</formula>
    </cfRule>
  </conditionalFormatting>
  <conditionalFormatting sqref="AB11">
    <cfRule type="cellIs" dxfId="40947" priority="83774" stopIfTrue="1" operator="lessThan">
      <formula>0.5</formula>
    </cfRule>
  </conditionalFormatting>
  <conditionalFormatting sqref="AB11">
    <cfRule type="cellIs" dxfId="40946" priority="83775" stopIfTrue="1" operator="greaterThanOrEqual">
      <formula>0.5</formula>
    </cfRule>
  </conditionalFormatting>
  <conditionalFormatting sqref="AB12">
    <cfRule type="cellIs" dxfId="40945" priority="83776" stopIfTrue="1" operator="equal">
      <formula>-1</formula>
    </cfRule>
  </conditionalFormatting>
  <conditionalFormatting sqref="AB12">
    <cfRule type="cellIs" dxfId="40944" priority="83777" stopIfTrue="1" operator="lessThan">
      <formula>0.5</formula>
    </cfRule>
  </conditionalFormatting>
  <conditionalFormatting sqref="AB12">
    <cfRule type="cellIs" dxfId="40943" priority="83778" stopIfTrue="1" operator="greaterThanOrEqual">
      <formula>0.5</formula>
    </cfRule>
  </conditionalFormatting>
  <conditionalFormatting sqref="AB13">
    <cfRule type="cellIs" dxfId="40942" priority="83779" stopIfTrue="1" operator="equal">
      <formula>-1</formula>
    </cfRule>
  </conditionalFormatting>
  <conditionalFormatting sqref="AB13">
    <cfRule type="cellIs" dxfId="40941" priority="83780" stopIfTrue="1" operator="lessThan">
      <formula>0.5</formula>
    </cfRule>
  </conditionalFormatting>
  <conditionalFormatting sqref="AB13">
    <cfRule type="cellIs" dxfId="40940" priority="83781" stopIfTrue="1" operator="greaterThanOrEqual">
      <formula>0.5</formula>
    </cfRule>
  </conditionalFormatting>
  <conditionalFormatting sqref="AB14">
    <cfRule type="cellIs" dxfId="40939" priority="83782" stopIfTrue="1" operator="equal">
      <formula>-1</formula>
    </cfRule>
  </conditionalFormatting>
  <conditionalFormatting sqref="AB14">
    <cfRule type="cellIs" dxfId="40938" priority="83783" stopIfTrue="1" operator="lessThan">
      <formula>0.5</formula>
    </cfRule>
  </conditionalFormatting>
  <conditionalFormatting sqref="AB14">
    <cfRule type="cellIs" dxfId="40937" priority="83784" stopIfTrue="1" operator="greaterThanOrEqual">
      <formula>0.5</formula>
    </cfRule>
  </conditionalFormatting>
  <conditionalFormatting sqref="AB15">
    <cfRule type="cellIs" dxfId="40936" priority="83785" stopIfTrue="1" operator="equal">
      <formula>-1</formula>
    </cfRule>
  </conditionalFormatting>
  <conditionalFormatting sqref="AB15">
    <cfRule type="cellIs" dxfId="40935" priority="83786" stopIfTrue="1" operator="lessThan">
      <formula>0.5</formula>
    </cfRule>
  </conditionalFormatting>
  <conditionalFormatting sqref="AB15">
    <cfRule type="cellIs" dxfId="40934" priority="83787" stopIfTrue="1" operator="greaterThanOrEqual">
      <formula>0.5</formula>
    </cfRule>
  </conditionalFormatting>
  <conditionalFormatting sqref="AD8">
    <cfRule type="cellIs" dxfId="40933" priority="83788" stopIfTrue="1" operator="equal">
      <formula>-1</formula>
    </cfRule>
  </conditionalFormatting>
  <conditionalFormatting sqref="AD8">
    <cfRule type="cellIs" dxfId="40932" priority="83789" stopIfTrue="1" operator="lessThan">
      <formula>0.5</formula>
    </cfRule>
  </conditionalFormatting>
  <conditionalFormatting sqref="AD8">
    <cfRule type="cellIs" dxfId="40931" priority="83790" stopIfTrue="1" operator="greaterThanOrEqual">
      <formula>0.5</formula>
    </cfRule>
  </conditionalFormatting>
  <conditionalFormatting sqref="AD9">
    <cfRule type="cellIs" dxfId="40930" priority="83791" stopIfTrue="1" operator="equal">
      <formula>-1</formula>
    </cfRule>
  </conditionalFormatting>
  <conditionalFormatting sqref="AD9">
    <cfRule type="cellIs" dxfId="40929" priority="83792" stopIfTrue="1" operator="lessThan">
      <formula>0.5</formula>
    </cfRule>
  </conditionalFormatting>
  <conditionalFormatting sqref="AD9">
    <cfRule type="cellIs" dxfId="40928" priority="83793" stopIfTrue="1" operator="greaterThanOrEqual">
      <formula>0.5</formula>
    </cfRule>
  </conditionalFormatting>
  <conditionalFormatting sqref="AD10">
    <cfRule type="cellIs" dxfId="40927" priority="83794" stopIfTrue="1" operator="equal">
      <formula>-1</formula>
    </cfRule>
  </conditionalFormatting>
  <conditionalFormatting sqref="AD10">
    <cfRule type="cellIs" dxfId="40926" priority="83795" stopIfTrue="1" operator="lessThan">
      <formula>0.5</formula>
    </cfRule>
  </conditionalFormatting>
  <conditionalFormatting sqref="AD10">
    <cfRule type="cellIs" dxfId="40925" priority="83796" stopIfTrue="1" operator="greaterThanOrEqual">
      <formula>0.5</formula>
    </cfRule>
  </conditionalFormatting>
  <conditionalFormatting sqref="AD11">
    <cfRule type="cellIs" dxfId="40924" priority="83797" stopIfTrue="1" operator="equal">
      <formula>-1</formula>
    </cfRule>
  </conditionalFormatting>
  <conditionalFormatting sqref="AD11">
    <cfRule type="cellIs" dxfId="40923" priority="83798" stopIfTrue="1" operator="lessThan">
      <formula>0.5</formula>
    </cfRule>
  </conditionalFormatting>
  <conditionalFormatting sqref="AD11">
    <cfRule type="cellIs" dxfId="40922" priority="83799" stopIfTrue="1" operator="greaterThanOrEqual">
      <formula>0.5</formula>
    </cfRule>
  </conditionalFormatting>
  <conditionalFormatting sqref="AD12">
    <cfRule type="cellIs" dxfId="40921" priority="83800" stopIfTrue="1" operator="equal">
      <formula>-1</formula>
    </cfRule>
  </conditionalFormatting>
  <conditionalFormatting sqref="AD12">
    <cfRule type="cellIs" dxfId="40920" priority="83801" stopIfTrue="1" operator="lessThan">
      <formula>0.5</formula>
    </cfRule>
  </conditionalFormatting>
  <conditionalFormatting sqref="AD12">
    <cfRule type="cellIs" dxfId="40919" priority="83802" stopIfTrue="1" operator="greaterThanOrEqual">
      <formula>0.5</formula>
    </cfRule>
  </conditionalFormatting>
  <conditionalFormatting sqref="AD13">
    <cfRule type="cellIs" dxfId="40918" priority="83803" stopIfTrue="1" operator="equal">
      <formula>-1</formula>
    </cfRule>
  </conditionalFormatting>
  <conditionalFormatting sqref="AD13">
    <cfRule type="cellIs" dxfId="40917" priority="83804" stopIfTrue="1" operator="lessThan">
      <formula>0.5</formula>
    </cfRule>
  </conditionalFormatting>
  <conditionalFormatting sqref="AD13">
    <cfRule type="cellIs" dxfId="40916" priority="83805" stopIfTrue="1" operator="greaterThanOrEqual">
      <formula>0.5</formula>
    </cfRule>
  </conditionalFormatting>
  <conditionalFormatting sqref="AD14">
    <cfRule type="cellIs" dxfId="40915" priority="83806" stopIfTrue="1" operator="equal">
      <formula>-1</formula>
    </cfRule>
  </conditionalFormatting>
  <conditionalFormatting sqref="AD14">
    <cfRule type="cellIs" dxfId="40914" priority="83807" stopIfTrue="1" operator="lessThan">
      <formula>0.5</formula>
    </cfRule>
  </conditionalFormatting>
  <conditionalFormatting sqref="AD14">
    <cfRule type="cellIs" dxfId="40913" priority="83808" stopIfTrue="1" operator="greaterThanOrEqual">
      <formula>0.5</formula>
    </cfRule>
  </conditionalFormatting>
  <conditionalFormatting sqref="AD15">
    <cfRule type="cellIs" dxfId="40912" priority="83809" stopIfTrue="1" operator="equal">
      <formula>-1</formula>
    </cfRule>
  </conditionalFormatting>
  <conditionalFormatting sqref="AD15">
    <cfRule type="cellIs" dxfId="40911" priority="83810" stopIfTrue="1" operator="lessThan">
      <formula>0.5</formula>
    </cfRule>
  </conditionalFormatting>
  <conditionalFormatting sqref="AD15">
    <cfRule type="cellIs" dxfId="40910" priority="83811" stopIfTrue="1" operator="greaterThanOrEqual">
      <formula>0.5</formula>
    </cfRule>
  </conditionalFormatting>
  <conditionalFormatting sqref="AF8">
    <cfRule type="cellIs" dxfId="40909" priority="83812" stopIfTrue="1" operator="equal">
      <formula>-1</formula>
    </cfRule>
  </conditionalFormatting>
  <conditionalFormatting sqref="AF8">
    <cfRule type="cellIs" dxfId="40908" priority="83813" stopIfTrue="1" operator="lessThan">
      <formula>0.5</formula>
    </cfRule>
  </conditionalFormatting>
  <conditionalFormatting sqref="AF8">
    <cfRule type="cellIs" dxfId="40907" priority="83814" stopIfTrue="1" operator="greaterThanOrEqual">
      <formula>0.5</formula>
    </cfRule>
  </conditionalFormatting>
  <conditionalFormatting sqref="AF9">
    <cfRule type="cellIs" dxfId="40906" priority="83815" stopIfTrue="1" operator="equal">
      <formula>-1</formula>
    </cfRule>
  </conditionalFormatting>
  <conditionalFormatting sqref="AF9">
    <cfRule type="cellIs" dxfId="40905" priority="83816" stopIfTrue="1" operator="lessThan">
      <formula>0.5</formula>
    </cfRule>
  </conditionalFormatting>
  <conditionalFormatting sqref="AF9">
    <cfRule type="cellIs" dxfId="40904" priority="83817" stopIfTrue="1" operator="greaterThanOrEqual">
      <formula>0.5</formula>
    </cfRule>
  </conditionalFormatting>
  <conditionalFormatting sqref="AF10">
    <cfRule type="cellIs" dxfId="40903" priority="83818" stopIfTrue="1" operator="equal">
      <formula>-1</formula>
    </cfRule>
  </conditionalFormatting>
  <conditionalFormatting sqref="AF10">
    <cfRule type="cellIs" dxfId="40902" priority="83819" stopIfTrue="1" operator="lessThan">
      <formula>0.5</formula>
    </cfRule>
  </conditionalFormatting>
  <conditionalFormatting sqref="AF10">
    <cfRule type="cellIs" dxfId="40901" priority="83820" stopIfTrue="1" operator="greaterThanOrEqual">
      <formula>0.5</formula>
    </cfRule>
  </conditionalFormatting>
  <conditionalFormatting sqref="AF11">
    <cfRule type="cellIs" dxfId="40900" priority="83821" stopIfTrue="1" operator="equal">
      <formula>-1</formula>
    </cfRule>
  </conditionalFormatting>
  <conditionalFormatting sqref="AF11">
    <cfRule type="cellIs" dxfId="40899" priority="83822" stopIfTrue="1" operator="lessThan">
      <formula>0.5</formula>
    </cfRule>
  </conditionalFormatting>
  <conditionalFormatting sqref="AF11">
    <cfRule type="cellIs" dxfId="40898" priority="83823" stopIfTrue="1" operator="greaterThanOrEqual">
      <formula>0.5</formula>
    </cfRule>
  </conditionalFormatting>
  <conditionalFormatting sqref="AF12">
    <cfRule type="cellIs" dxfId="40897" priority="83824" stopIfTrue="1" operator="equal">
      <formula>-1</formula>
    </cfRule>
  </conditionalFormatting>
  <conditionalFormatting sqref="AF12">
    <cfRule type="cellIs" dxfId="40896" priority="83825" stopIfTrue="1" operator="lessThan">
      <formula>0.5</formula>
    </cfRule>
  </conditionalFormatting>
  <conditionalFormatting sqref="AF12">
    <cfRule type="cellIs" dxfId="40895" priority="83826" stopIfTrue="1" operator="greaterThanOrEqual">
      <formula>0.5</formula>
    </cfRule>
  </conditionalFormatting>
  <conditionalFormatting sqref="AF13">
    <cfRule type="cellIs" dxfId="40894" priority="83827" stopIfTrue="1" operator="equal">
      <formula>-1</formula>
    </cfRule>
  </conditionalFormatting>
  <conditionalFormatting sqref="AF13">
    <cfRule type="cellIs" dxfId="40893" priority="83828" stopIfTrue="1" operator="lessThan">
      <formula>0.5</formula>
    </cfRule>
  </conditionalFormatting>
  <conditionalFormatting sqref="AF13">
    <cfRule type="cellIs" dxfId="40892" priority="83829" stopIfTrue="1" operator="greaterThanOrEqual">
      <formula>0.5</formula>
    </cfRule>
  </conditionalFormatting>
  <conditionalFormatting sqref="AF14">
    <cfRule type="cellIs" dxfId="40891" priority="83830" stopIfTrue="1" operator="equal">
      <formula>-1</formula>
    </cfRule>
  </conditionalFormatting>
  <conditionalFormatting sqref="AF14">
    <cfRule type="cellIs" dxfId="40890" priority="83831" stopIfTrue="1" operator="lessThan">
      <formula>0.5</formula>
    </cfRule>
  </conditionalFormatting>
  <conditionalFormatting sqref="AF14">
    <cfRule type="cellIs" dxfId="40889" priority="83832" stopIfTrue="1" operator="greaterThanOrEqual">
      <formula>0.5</formula>
    </cfRule>
  </conditionalFormatting>
  <conditionalFormatting sqref="AF15">
    <cfRule type="cellIs" dxfId="40888" priority="83833" stopIfTrue="1" operator="equal">
      <formula>-1</formula>
    </cfRule>
  </conditionalFormatting>
  <conditionalFormatting sqref="AF15">
    <cfRule type="cellIs" dxfId="40887" priority="83834" stopIfTrue="1" operator="lessThan">
      <formula>0.5</formula>
    </cfRule>
  </conditionalFormatting>
  <conditionalFormatting sqref="AF15">
    <cfRule type="cellIs" dxfId="40886" priority="83835" stopIfTrue="1" operator="greaterThanOrEqual">
      <formula>0.5</formula>
    </cfRule>
  </conditionalFormatting>
  <conditionalFormatting sqref="AH8">
    <cfRule type="cellIs" dxfId="40885" priority="83836" stopIfTrue="1" operator="equal">
      <formula>-1</formula>
    </cfRule>
  </conditionalFormatting>
  <conditionalFormatting sqref="AH8">
    <cfRule type="cellIs" dxfId="40884" priority="83837" stopIfTrue="1" operator="lessThan">
      <formula>0.5</formula>
    </cfRule>
  </conditionalFormatting>
  <conditionalFormatting sqref="AH8">
    <cfRule type="cellIs" dxfId="40883" priority="83838" stopIfTrue="1" operator="greaterThanOrEqual">
      <formula>0.5</formula>
    </cfRule>
  </conditionalFormatting>
  <conditionalFormatting sqref="AH9">
    <cfRule type="cellIs" dxfId="40882" priority="83839" stopIfTrue="1" operator="equal">
      <formula>-1</formula>
    </cfRule>
  </conditionalFormatting>
  <conditionalFormatting sqref="AH9">
    <cfRule type="cellIs" dxfId="40881" priority="83840" stopIfTrue="1" operator="lessThan">
      <formula>0.5</formula>
    </cfRule>
  </conditionalFormatting>
  <conditionalFormatting sqref="AH9">
    <cfRule type="cellIs" dxfId="40880" priority="83841" stopIfTrue="1" operator="greaterThanOrEqual">
      <formula>0.5</formula>
    </cfRule>
  </conditionalFormatting>
  <conditionalFormatting sqref="AH10">
    <cfRule type="cellIs" dxfId="40879" priority="83842" stopIfTrue="1" operator="equal">
      <formula>-1</formula>
    </cfRule>
  </conditionalFormatting>
  <conditionalFormatting sqref="AH10">
    <cfRule type="cellIs" dxfId="40878" priority="83843" stopIfTrue="1" operator="lessThan">
      <formula>0.5</formula>
    </cfRule>
  </conditionalFormatting>
  <conditionalFormatting sqref="AH10">
    <cfRule type="cellIs" dxfId="40877" priority="83844" stopIfTrue="1" operator="greaterThanOrEqual">
      <formula>0.5</formula>
    </cfRule>
  </conditionalFormatting>
  <conditionalFormatting sqref="AH11">
    <cfRule type="cellIs" dxfId="40876" priority="83845" stopIfTrue="1" operator="equal">
      <formula>-1</formula>
    </cfRule>
  </conditionalFormatting>
  <conditionalFormatting sqref="AH11">
    <cfRule type="cellIs" dxfId="40875" priority="83846" stopIfTrue="1" operator="lessThan">
      <formula>0.5</formula>
    </cfRule>
  </conditionalFormatting>
  <conditionalFormatting sqref="AH11">
    <cfRule type="cellIs" dxfId="40874" priority="83847" stopIfTrue="1" operator="greaterThanOrEqual">
      <formula>0.5</formula>
    </cfRule>
  </conditionalFormatting>
  <conditionalFormatting sqref="AH12">
    <cfRule type="cellIs" dxfId="40873" priority="83848" stopIfTrue="1" operator="equal">
      <formula>-1</formula>
    </cfRule>
  </conditionalFormatting>
  <conditionalFormatting sqref="AH12">
    <cfRule type="cellIs" dxfId="40872" priority="83849" stopIfTrue="1" operator="lessThan">
      <formula>0.5</formula>
    </cfRule>
  </conditionalFormatting>
  <conditionalFormatting sqref="AH12">
    <cfRule type="cellIs" dxfId="40871" priority="83850" stopIfTrue="1" operator="greaterThanOrEqual">
      <formula>0.5</formula>
    </cfRule>
  </conditionalFormatting>
  <conditionalFormatting sqref="AH13">
    <cfRule type="cellIs" dxfId="40870" priority="83851" stopIfTrue="1" operator="equal">
      <formula>-1</formula>
    </cfRule>
  </conditionalFormatting>
  <conditionalFormatting sqref="AH13">
    <cfRule type="cellIs" dxfId="40869" priority="83852" stopIfTrue="1" operator="lessThan">
      <formula>0.5</formula>
    </cfRule>
  </conditionalFormatting>
  <conditionalFormatting sqref="AH13">
    <cfRule type="cellIs" dxfId="40868" priority="83853" stopIfTrue="1" operator="greaterThanOrEqual">
      <formula>0.5</formula>
    </cfRule>
  </conditionalFormatting>
  <conditionalFormatting sqref="AH14">
    <cfRule type="cellIs" dxfId="40867" priority="83854" stopIfTrue="1" operator="equal">
      <formula>-1</formula>
    </cfRule>
  </conditionalFormatting>
  <conditionalFormatting sqref="AH14">
    <cfRule type="cellIs" dxfId="40866" priority="83855" stopIfTrue="1" operator="lessThan">
      <formula>0.5</formula>
    </cfRule>
  </conditionalFormatting>
  <conditionalFormatting sqref="AH14">
    <cfRule type="cellIs" dxfId="40865" priority="83856" stopIfTrue="1" operator="greaterThanOrEqual">
      <formula>0.5</formula>
    </cfRule>
  </conditionalFormatting>
  <conditionalFormatting sqref="AH15">
    <cfRule type="cellIs" dxfId="40864" priority="83857" stopIfTrue="1" operator="equal">
      <formula>-1</formula>
    </cfRule>
  </conditionalFormatting>
  <conditionalFormatting sqref="AH15">
    <cfRule type="cellIs" dxfId="40863" priority="83858" stopIfTrue="1" operator="lessThan">
      <formula>0.5</formula>
    </cfRule>
  </conditionalFormatting>
  <conditionalFormatting sqref="AH15">
    <cfRule type="cellIs" dxfId="40862" priority="83859" stopIfTrue="1" operator="greaterThanOrEqual">
      <formula>0.5</formula>
    </cfRule>
  </conditionalFormatting>
  <conditionalFormatting sqref="AJ8">
    <cfRule type="cellIs" dxfId="40861" priority="83860" stopIfTrue="1" operator="equal">
      <formula>-1</formula>
    </cfRule>
  </conditionalFormatting>
  <conditionalFormatting sqref="AJ8">
    <cfRule type="cellIs" dxfId="40860" priority="83861" stopIfTrue="1" operator="lessThan">
      <formula>0.5</formula>
    </cfRule>
  </conditionalFormatting>
  <conditionalFormatting sqref="AJ8">
    <cfRule type="cellIs" dxfId="40859" priority="83862" stopIfTrue="1" operator="greaterThanOrEqual">
      <formula>0.5</formula>
    </cfRule>
  </conditionalFormatting>
  <conditionalFormatting sqref="AJ9">
    <cfRule type="cellIs" dxfId="40858" priority="83863" stopIfTrue="1" operator="equal">
      <formula>-1</formula>
    </cfRule>
  </conditionalFormatting>
  <conditionalFormatting sqref="AJ9">
    <cfRule type="cellIs" dxfId="40857" priority="83864" stopIfTrue="1" operator="lessThan">
      <formula>0.5</formula>
    </cfRule>
  </conditionalFormatting>
  <conditionalFormatting sqref="AJ9">
    <cfRule type="cellIs" dxfId="40856" priority="83865" stopIfTrue="1" operator="greaterThanOrEqual">
      <formula>0.5</formula>
    </cfRule>
  </conditionalFormatting>
  <conditionalFormatting sqref="AJ10">
    <cfRule type="cellIs" dxfId="40855" priority="83866" stopIfTrue="1" operator="equal">
      <formula>-1</formula>
    </cfRule>
  </conditionalFormatting>
  <conditionalFormatting sqref="AJ10">
    <cfRule type="cellIs" dxfId="40854" priority="83867" stopIfTrue="1" operator="lessThan">
      <formula>0.5</formula>
    </cfRule>
  </conditionalFormatting>
  <conditionalFormatting sqref="AJ10">
    <cfRule type="cellIs" dxfId="40853" priority="83868" stopIfTrue="1" operator="greaterThanOrEqual">
      <formula>0.5</formula>
    </cfRule>
  </conditionalFormatting>
  <conditionalFormatting sqref="AJ11">
    <cfRule type="cellIs" dxfId="40852" priority="83869" stopIfTrue="1" operator="equal">
      <formula>-1</formula>
    </cfRule>
  </conditionalFormatting>
  <conditionalFormatting sqref="AJ11">
    <cfRule type="cellIs" dxfId="40851" priority="83870" stopIfTrue="1" operator="lessThan">
      <formula>0.5</formula>
    </cfRule>
  </conditionalFormatting>
  <conditionalFormatting sqref="AJ11">
    <cfRule type="cellIs" dxfId="40850" priority="83871" stopIfTrue="1" operator="greaterThanOrEqual">
      <formula>0.5</formula>
    </cfRule>
  </conditionalFormatting>
  <conditionalFormatting sqref="AJ12">
    <cfRule type="cellIs" dxfId="40849" priority="83872" stopIfTrue="1" operator="equal">
      <formula>-1</formula>
    </cfRule>
  </conditionalFormatting>
  <conditionalFormatting sqref="AJ12">
    <cfRule type="cellIs" dxfId="40848" priority="83873" stopIfTrue="1" operator="lessThan">
      <formula>0.5</formula>
    </cfRule>
  </conditionalFormatting>
  <conditionalFormatting sqref="AJ12">
    <cfRule type="cellIs" dxfId="40847" priority="83874" stopIfTrue="1" operator="greaterThanOrEqual">
      <formula>0.5</formula>
    </cfRule>
  </conditionalFormatting>
  <conditionalFormatting sqref="AJ13">
    <cfRule type="cellIs" dxfId="40846" priority="83875" stopIfTrue="1" operator="equal">
      <formula>-1</formula>
    </cfRule>
  </conditionalFormatting>
  <conditionalFormatting sqref="AJ13">
    <cfRule type="cellIs" dxfId="40845" priority="83876" stopIfTrue="1" operator="lessThan">
      <formula>0.5</formula>
    </cfRule>
  </conditionalFormatting>
  <conditionalFormatting sqref="AJ13">
    <cfRule type="cellIs" dxfId="40844" priority="83877" stopIfTrue="1" operator="greaterThanOrEqual">
      <formula>0.5</formula>
    </cfRule>
  </conditionalFormatting>
  <conditionalFormatting sqref="AJ14">
    <cfRule type="cellIs" dxfId="40843" priority="83878" stopIfTrue="1" operator="equal">
      <formula>-1</formula>
    </cfRule>
  </conditionalFormatting>
  <conditionalFormatting sqref="AJ14">
    <cfRule type="cellIs" dxfId="40842" priority="83879" stopIfTrue="1" operator="lessThan">
      <formula>0.5</formula>
    </cfRule>
  </conditionalFormatting>
  <conditionalFormatting sqref="AJ14">
    <cfRule type="cellIs" dxfId="40841" priority="83880" stopIfTrue="1" operator="greaterThanOrEqual">
      <formula>0.5</formula>
    </cfRule>
  </conditionalFormatting>
  <conditionalFormatting sqref="AJ15">
    <cfRule type="cellIs" dxfId="40840" priority="83881" stopIfTrue="1" operator="equal">
      <formula>-1</formula>
    </cfRule>
  </conditionalFormatting>
  <conditionalFormatting sqref="AJ15">
    <cfRule type="cellIs" dxfId="40839" priority="83882" stopIfTrue="1" operator="lessThan">
      <formula>0.5</formula>
    </cfRule>
  </conditionalFormatting>
  <conditionalFormatting sqref="AJ15">
    <cfRule type="cellIs" dxfId="40838" priority="83883" stopIfTrue="1" operator="greaterThanOrEqual">
      <formula>0.5</formula>
    </cfRule>
  </conditionalFormatting>
  <conditionalFormatting sqref="AL8">
    <cfRule type="cellIs" dxfId="40837" priority="83884" stopIfTrue="1" operator="equal">
      <formula>-1</formula>
    </cfRule>
  </conditionalFormatting>
  <conditionalFormatting sqref="AL8">
    <cfRule type="cellIs" dxfId="40836" priority="83885" stopIfTrue="1" operator="lessThan">
      <formula>0.5</formula>
    </cfRule>
  </conditionalFormatting>
  <conditionalFormatting sqref="AL8">
    <cfRule type="cellIs" dxfId="40835" priority="83886" stopIfTrue="1" operator="greaterThanOrEqual">
      <formula>0.5</formula>
    </cfRule>
  </conditionalFormatting>
  <conditionalFormatting sqref="AL9">
    <cfRule type="cellIs" dxfId="40834" priority="83887" stopIfTrue="1" operator="equal">
      <formula>-1</formula>
    </cfRule>
  </conditionalFormatting>
  <conditionalFormatting sqref="AL9">
    <cfRule type="cellIs" dxfId="40833" priority="83888" stopIfTrue="1" operator="lessThan">
      <formula>0.5</formula>
    </cfRule>
  </conditionalFormatting>
  <conditionalFormatting sqref="AL9">
    <cfRule type="cellIs" dxfId="40832" priority="83889" stopIfTrue="1" operator="greaterThanOrEqual">
      <formula>0.5</formula>
    </cfRule>
  </conditionalFormatting>
  <conditionalFormatting sqref="AL10">
    <cfRule type="cellIs" dxfId="40831" priority="83890" stopIfTrue="1" operator="equal">
      <formula>-1</formula>
    </cfRule>
  </conditionalFormatting>
  <conditionalFormatting sqref="AL10">
    <cfRule type="cellIs" dxfId="40830" priority="83891" stopIfTrue="1" operator="lessThan">
      <formula>0.5</formula>
    </cfRule>
  </conditionalFormatting>
  <conditionalFormatting sqref="AL10">
    <cfRule type="cellIs" dxfId="40829" priority="83892" stopIfTrue="1" operator="greaterThanOrEqual">
      <formula>0.5</formula>
    </cfRule>
  </conditionalFormatting>
  <conditionalFormatting sqref="AL11">
    <cfRule type="cellIs" dxfId="40828" priority="83893" stopIfTrue="1" operator="equal">
      <formula>-1</formula>
    </cfRule>
  </conditionalFormatting>
  <conditionalFormatting sqref="AL11">
    <cfRule type="cellIs" dxfId="40827" priority="83894" stopIfTrue="1" operator="lessThan">
      <formula>0.5</formula>
    </cfRule>
  </conditionalFormatting>
  <conditionalFormatting sqref="AL11">
    <cfRule type="cellIs" dxfId="40826" priority="83895" stopIfTrue="1" operator="greaterThanOrEqual">
      <formula>0.5</formula>
    </cfRule>
  </conditionalFormatting>
  <conditionalFormatting sqref="AL12">
    <cfRule type="cellIs" dxfId="40825" priority="83896" stopIfTrue="1" operator="equal">
      <formula>-1</formula>
    </cfRule>
  </conditionalFormatting>
  <conditionalFormatting sqref="AL12">
    <cfRule type="cellIs" dxfId="40824" priority="83897" stopIfTrue="1" operator="lessThan">
      <formula>0.5</formula>
    </cfRule>
  </conditionalFormatting>
  <conditionalFormatting sqref="AL12">
    <cfRule type="cellIs" dxfId="40823" priority="83898" stopIfTrue="1" operator="greaterThanOrEqual">
      <formula>0.5</formula>
    </cfRule>
  </conditionalFormatting>
  <conditionalFormatting sqref="AL13">
    <cfRule type="cellIs" dxfId="40822" priority="83899" stopIfTrue="1" operator="equal">
      <formula>-1</formula>
    </cfRule>
  </conditionalFormatting>
  <conditionalFormatting sqref="AL13">
    <cfRule type="cellIs" dxfId="40821" priority="83900" stopIfTrue="1" operator="lessThan">
      <formula>0.5</formula>
    </cfRule>
  </conditionalFormatting>
  <conditionalFormatting sqref="AL13">
    <cfRule type="cellIs" dxfId="40820" priority="83901" stopIfTrue="1" operator="greaterThanOrEqual">
      <formula>0.5</formula>
    </cfRule>
  </conditionalFormatting>
  <conditionalFormatting sqref="AL14">
    <cfRule type="cellIs" dxfId="40819" priority="83902" stopIfTrue="1" operator="equal">
      <formula>-1</formula>
    </cfRule>
  </conditionalFormatting>
  <conditionalFormatting sqref="AL14">
    <cfRule type="cellIs" dxfId="40818" priority="83903" stopIfTrue="1" operator="lessThan">
      <formula>0.5</formula>
    </cfRule>
  </conditionalFormatting>
  <conditionalFormatting sqref="AL14">
    <cfRule type="cellIs" dxfId="40817" priority="83904" stopIfTrue="1" operator="greaterThanOrEqual">
      <formula>0.5</formula>
    </cfRule>
  </conditionalFormatting>
  <conditionalFormatting sqref="AL15">
    <cfRule type="cellIs" dxfId="40816" priority="83905" stopIfTrue="1" operator="equal">
      <formula>-1</formula>
    </cfRule>
  </conditionalFormatting>
  <conditionalFormatting sqref="AL15">
    <cfRule type="cellIs" dxfId="40815" priority="83906" stopIfTrue="1" operator="lessThan">
      <formula>0.5</formula>
    </cfRule>
  </conditionalFormatting>
  <conditionalFormatting sqref="AL15">
    <cfRule type="cellIs" dxfId="40814" priority="83907" stopIfTrue="1" operator="greaterThanOrEqual">
      <formula>0.5</formula>
    </cfRule>
  </conditionalFormatting>
  <conditionalFormatting sqref="AN8">
    <cfRule type="cellIs" dxfId="40813" priority="83908" stopIfTrue="1" operator="equal">
      <formula>-1</formula>
    </cfRule>
  </conditionalFormatting>
  <conditionalFormatting sqref="AN8">
    <cfRule type="cellIs" dxfId="40812" priority="83909" stopIfTrue="1" operator="lessThan">
      <formula>0.5</formula>
    </cfRule>
  </conditionalFormatting>
  <conditionalFormatting sqref="AN8">
    <cfRule type="cellIs" dxfId="40811" priority="83910" stopIfTrue="1" operator="greaterThanOrEqual">
      <formula>0.5</formula>
    </cfRule>
  </conditionalFormatting>
  <conditionalFormatting sqref="AN9">
    <cfRule type="cellIs" dxfId="40810" priority="83911" stopIfTrue="1" operator="equal">
      <formula>-1</formula>
    </cfRule>
  </conditionalFormatting>
  <conditionalFormatting sqref="AN9">
    <cfRule type="cellIs" dxfId="40809" priority="83912" stopIfTrue="1" operator="lessThan">
      <formula>0.5</formula>
    </cfRule>
  </conditionalFormatting>
  <conditionalFormatting sqref="AN9">
    <cfRule type="cellIs" dxfId="40808" priority="83913" stopIfTrue="1" operator="greaterThanOrEqual">
      <formula>0.5</formula>
    </cfRule>
  </conditionalFormatting>
  <conditionalFormatting sqref="AN10">
    <cfRule type="cellIs" dxfId="40807" priority="83914" stopIfTrue="1" operator="equal">
      <formula>-1</formula>
    </cfRule>
  </conditionalFormatting>
  <conditionalFormatting sqref="AN10">
    <cfRule type="cellIs" dxfId="40806" priority="83915" stopIfTrue="1" operator="lessThan">
      <formula>0.5</formula>
    </cfRule>
  </conditionalFormatting>
  <conditionalFormatting sqref="AN10">
    <cfRule type="cellIs" dxfId="40805" priority="83916" stopIfTrue="1" operator="greaterThanOrEqual">
      <formula>0.5</formula>
    </cfRule>
  </conditionalFormatting>
  <conditionalFormatting sqref="AN11">
    <cfRule type="cellIs" dxfId="40804" priority="83917" stopIfTrue="1" operator="equal">
      <formula>-1</formula>
    </cfRule>
  </conditionalFormatting>
  <conditionalFormatting sqref="AN11">
    <cfRule type="cellIs" dxfId="40803" priority="83918" stopIfTrue="1" operator="lessThan">
      <formula>0.5</formula>
    </cfRule>
  </conditionalFormatting>
  <conditionalFormatting sqref="AN11">
    <cfRule type="cellIs" dxfId="40802" priority="83919" stopIfTrue="1" operator="greaterThanOrEqual">
      <formula>0.5</formula>
    </cfRule>
  </conditionalFormatting>
  <conditionalFormatting sqref="AN12">
    <cfRule type="cellIs" dxfId="40801" priority="83920" stopIfTrue="1" operator="equal">
      <formula>-1</formula>
    </cfRule>
  </conditionalFormatting>
  <conditionalFormatting sqref="AN12">
    <cfRule type="cellIs" dxfId="40800" priority="83921" stopIfTrue="1" operator="lessThan">
      <formula>0.5</formula>
    </cfRule>
  </conditionalFormatting>
  <conditionalFormatting sqref="AN12">
    <cfRule type="cellIs" dxfId="40799" priority="83922" stopIfTrue="1" operator="greaterThanOrEqual">
      <formula>0.5</formula>
    </cfRule>
  </conditionalFormatting>
  <conditionalFormatting sqref="AN13">
    <cfRule type="cellIs" dxfId="40798" priority="83923" stopIfTrue="1" operator="equal">
      <formula>-1</formula>
    </cfRule>
  </conditionalFormatting>
  <conditionalFormatting sqref="AN13">
    <cfRule type="cellIs" dxfId="40797" priority="83924" stopIfTrue="1" operator="lessThan">
      <formula>0.5</formula>
    </cfRule>
  </conditionalFormatting>
  <conditionalFormatting sqref="AN13">
    <cfRule type="cellIs" dxfId="40796" priority="83925" stopIfTrue="1" operator="greaterThanOrEqual">
      <formula>0.5</formula>
    </cfRule>
  </conditionalFormatting>
  <conditionalFormatting sqref="AN14">
    <cfRule type="cellIs" dxfId="40795" priority="83926" stopIfTrue="1" operator="equal">
      <formula>-1</formula>
    </cfRule>
  </conditionalFormatting>
  <conditionalFormatting sqref="AN14">
    <cfRule type="cellIs" dxfId="40794" priority="83927" stopIfTrue="1" operator="lessThan">
      <formula>0.5</formula>
    </cfRule>
  </conditionalFormatting>
  <conditionalFormatting sqref="AN14">
    <cfRule type="cellIs" dxfId="40793" priority="83928" stopIfTrue="1" operator="greaterThanOrEqual">
      <formula>0.5</formula>
    </cfRule>
  </conditionalFormatting>
  <conditionalFormatting sqref="AN15">
    <cfRule type="cellIs" dxfId="40792" priority="83929" stopIfTrue="1" operator="equal">
      <formula>-1</formula>
    </cfRule>
  </conditionalFormatting>
  <conditionalFormatting sqref="AN15">
    <cfRule type="cellIs" dxfId="40791" priority="83930" stopIfTrue="1" operator="lessThan">
      <formula>0.5</formula>
    </cfRule>
  </conditionalFormatting>
  <conditionalFormatting sqref="AN15">
    <cfRule type="cellIs" dxfId="40790" priority="83931" stopIfTrue="1" operator="greaterThanOrEqual">
      <formula>0.5</formula>
    </cfRule>
  </conditionalFormatting>
  <conditionalFormatting sqref="AP8">
    <cfRule type="cellIs" dxfId="40789" priority="83932" stopIfTrue="1" operator="equal">
      <formula>-1</formula>
    </cfRule>
  </conditionalFormatting>
  <conditionalFormatting sqref="AP8">
    <cfRule type="cellIs" dxfId="40788" priority="83933" stopIfTrue="1" operator="lessThan">
      <formula>0.5</formula>
    </cfRule>
  </conditionalFormatting>
  <conditionalFormatting sqref="AP8">
    <cfRule type="cellIs" dxfId="40787" priority="83934" stopIfTrue="1" operator="greaterThanOrEqual">
      <formula>0.5</formula>
    </cfRule>
  </conditionalFormatting>
  <conditionalFormatting sqref="AP9">
    <cfRule type="cellIs" dxfId="40786" priority="83935" stopIfTrue="1" operator="equal">
      <formula>-1</formula>
    </cfRule>
  </conditionalFormatting>
  <conditionalFormatting sqref="AP9">
    <cfRule type="cellIs" dxfId="40785" priority="83936" stopIfTrue="1" operator="lessThan">
      <formula>0.5</formula>
    </cfRule>
  </conditionalFormatting>
  <conditionalFormatting sqref="AP9">
    <cfRule type="cellIs" dxfId="40784" priority="83937" stopIfTrue="1" operator="greaterThanOrEqual">
      <formula>0.5</formula>
    </cfRule>
  </conditionalFormatting>
  <conditionalFormatting sqref="AP10">
    <cfRule type="cellIs" dxfId="40783" priority="83938" stopIfTrue="1" operator="equal">
      <formula>-1</formula>
    </cfRule>
  </conditionalFormatting>
  <conditionalFormatting sqref="AP10">
    <cfRule type="cellIs" dxfId="40782" priority="83939" stopIfTrue="1" operator="lessThan">
      <formula>0.5</formula>
    </cfRule>
  </conditionalFormatting>
  <conditionalFormatting sqref="AP10">
    <cfRule type="cellIs" dxfId="40781" priority="83940" stopIfTrue="1" operator="greaterThanOrEqual">
      <formula>0.5</formula>
    </cfRule>
  </conditionalFormatting>
  <conditionalFormatting sqref="AP11">
    <cfRule type="cellIs" dxfId="40780" priority="83941" stopIfTrue="1" operator="equal">
      <formula>-1</formula>
    </cfRule>
  </conditionalFormatting>
  <conditionalFormatting sqref="AP11">
    <cfRule type="cellIs" dxfId="40779" priority="83942" stopIfTrue="1" operator="lessThan">
      <formula>0.5</formula>
    </cfRule>
  </conditionalFormatting>
  <conditionalFormatting sqref="AP11">
    <cfRule type="cellIs" dxfId="40778" priority="83943" stopIfTrue="1" operator="greaterThanOrEqual">
      <formula>0.5</formula>
    </cfRule>
  </conditionalFormatting>
  <conditionalFormatting sqref="AP12">
    <cfRule type="cellIs" dxfId="40777" priority="83944" stopIfTrue="1" operator="equal">
      <formula>-1</formula>
    </cfRule>
  </conditionalFormatting>
  <conditionalFormatting sqref="AP12">
    <cfRule type="cellIs" dxfId="40776" priority="83945" stopIfTrue="1" operator="lessThan">
      <formula>0.5</formula>
    </cfRule>
  </conditionalFormatting>
  <conditionalFormatting sqref="AP12">
    <cfRule type="cellIs" dxfId="40775" priority="83946" stopIfTrue="1" operator="greaterThanOrEqual">
      <formula>0.5</formula>
    </cfRule>
  </conditionalFormatting>
  <conditionalFormatting sqref="AP13">
    <cfRule type="cellIs" dxfId="40774" priority="83947" stopIfTrue="1" operator="equal">
      <formula>-1</formula>
    </cfRule>
  </conditionalFormatting>
  <conditionalFormatting sqref="AP13">
    <cfRule type="cellIs" dxfId="40773" priority="83948" stopIfTrue="1" operator="lessThan">
      <formula>0.5</formula>
    </cfRule>
  </conditionalFormatting>
  <conditionalFormatting sqref="AP13">
    <cfRule type="cellIs" dxfId="40772" priority="83949" stopIfTrue="1" operator="greaterThanOrEqual">
      <formula>0.5</formula>
    </cfRule>
  </conditionalFormatting>
  <conditionalFormatting sqref="AP14">
    <cfRule type="cellIs" dxfId="40771" priority="83950" stopIfTrue="1" operator="equal">
      <formula>-1</formula>
    </cfRule>
  </conditionalFormatting>
  <conditionalFormatting sqref="AP14">
    <cfRule type="cellIs" dxfId="40770" priority="83951" stopIfTrue="1" operator="lessThan">
      <formula>0.5</formula>
    </cfRule>
  </conditionalFormatting>
  <conditionalFormatting sqref="AP14">
    <cfRule type="cellIs" dxfId="40769" priority="83952" stopIfTrue="1" operator="greaterThanOrEqual">
      <formula>0.5</formula>
    </cfRule>
  </conditionalFormatting>
  <conditionalFormatting sqref="AP15">
    <cfRule type="cellIs" dxfId="40768" priority="83953" stopIfTrue="1" operator="equal">
      <formula>-1</formula>
    </cfRule>
  </conditionalFormatting>
  <conditionalFormatting sqref="AP15">
    <cfRule type="cellIs" dxfId="40767" priority="83954" stopIfTrue="1" operator="lessThan">
      <formula>0.5</formula>
    </cfRule>
  </conditionalFormatting>
  <conditionalFormatting sqref="AP15">
    <cfRule type="cellIs" dxfId="40766" priority="83955" stopIfTrue="1" operator="greaterThanOrEqual">
      <formula>0.5</formula>
    </cfRule>
  </conditionalFormatting>
  <conditionalFormatting sqref="AR8">
    <cfRule type="cellIs" dxfId="40765" priority="83956" stopIfTrue="1" operator="equal">
      <formula>-1</formula>
    </cfRule>
  </conditionalFormatting>
  <conditionalFormatting sqref="AR8">
    <cfRule type="cellIs" dxfId="40764" priority="83957" stopIfTrue="1" operator="lessThan">
      <formula>0.5</formula>
    </cfRule>
  </conditionalFormatting>
  <conditionalFormatting sqref="AR8">
    <cfRule type="cellIs" dxfId="40763" priority="83958" stopIfTrue="1" operator="greaterThanOrEqual">
      <formula>0.5</formula>
    </cfRule>
  </conditionalFormatting>
  <conditionalFormatting sqref="AR9">
    <cfRule type="cellIs" dxfId="40762" priority="83959" stopIfTrue="1" operator="equal">
      <formula>-1</formula>
    </cfRule>
  </conditionalFormatting>
  <conditionalFormatting sqref="AR9">
    <cfRule type="cellIs" dxfId="40761" priority="83960" stopIfTrue="1" operator="lessThan">
      <formula>0.5</formula>
    </cfRule>
  </conditionalFormatting>
  <conditionalFormatting sqref="AR9">
    <cfRule type="cellIs" dxfId="40760" priority="83961" stopIfTrue="1" operator="greaterThanOrEqual">
      <formula>0.5</formula>
    </cfRule>
  </conditionalFormatting>
  <conditionalFormatting sqref="AR10">
    <cfRule type="cellIs" dxfId="40759" priority="83962" stopIfTrue="1" operator="equal">
      <formula>-1</formula>
    </cfRule>
  </conditionalFormatting>
  <conditionalFormatting sqref="AR10">
    <cfRule type="cellIs" dxfId="40758" priority="83963" stopIfTrue="1" operator="lessThan">
      <formula>0.5</formula>
    </cfRule>
  </conditionalFormatting>
  <conditionalFormatting sqref="AR10">
    <cfRule type="cellIs" dxfId="40757" priority="83964" stopIfTrue="1" operator="greaterThanOrEqual">
      <formula>0.5</formula>
    </cfRule>
  </conditionalFormatting>
  <conditionalFormatting sqref="AR11">
    <cfRule type="cellIs" dxfId="40756" priority="83965" stopIfTrue="1" operator="equal">
      <formula>-1</formula>
    </cfRule>
  </conditionalFormatting>
  <conditionalFormatting sqref="AR11">
    <cfRule type="cellIs" dxfId="40755" priority="83966" stopIfTrue="1" operator="lessThan">
      <formula>0.5</formula>
    </cfRule>
  </conditionalFormatting>
  <conditionalFormatting sqref="AR11">
    <cfRule type="cellIs" dxfId="40754" priority="83967" stopIfTrue="1" operator="greaterThanOrEqual">
      <formula>0.5</formula>
    </cfRule>
  </conditionalFormatting>
  <conditionalFormatting sqref="AR12">
    <cfRule type="cellIs" dxfId="40753" priority="83968" stopIfTrue="1" operator="equal">
      <formula>-1</formula>
    </cfRule>
  </conditionalFormatting>
  <conditionalFormatting sqref="AR12">
    <cfRule type="cellIs" dxfId="40752" priority="83969" stopIfTrue="1" operator="lessThan">
      <formula>0.5</formula>
    </cfRule>
  </conditionalFormatting>
  <conditionalFormatting sqref="AR12">
    <cfRule type="cellIs" dxfId="40751" priority="83970" stopIfTrue="1" operator="greaterThanOrEqual">
      <formula>0.5</formula>
    </cfRule>
  </conditionalFormatting>
  <conditionalFormatting sqref="AR13">
    <cfRule type="cellIs" dxfId="40750" priority="83971" stopIfTrue="1" operator="equal">
      <formula>-1</formula>
    </cfRule>
  </conditionalFormatting>
  <conditionalFormatting sqref="AR13">
    <cfRule type="cellIs" dxfId="40749" priority="83972" stopIfTrue="1" operator="lessThan">
      <formula>0.5</formula>
    </cfRule>
  </conditionalFormatting>
  <conditionalFormatting sqref="AR13">
    <cfRule type="cellIs" dxfId="40748" priority="83973" stopIfTrue="1" operator="greaterThanOrEqual">
      <formula>0.5</formula>
    </cfRule>
  </conditionalFormatting>
  <conditionalFormatting sqref="AR14">
    <cfRule type="cellIs" dxfId="40747" priority="83974" stopIfTrue="1" operator="equal">
      <formula>-1</formula>
    </cfRule>
  </conditionalFormatting>
  <conditionalFormatting sqref="AR14">
    <cfRule type="cellIs" dxfId="40746" priority="83975" stopIfTrue="1" operator="lessThan">
      <formula>0.5</formula>
    </cfRule>
  </conditionalFormatting>
  <conditionalFormatting sqref="AR14">
    <cfRule type="cellIs" dxfId="40745" priority="83976" stopIfTrue="1" operator="greaterThanOrEqual">
      <formula>0.5</formula>
    </cfRule>
  </conditionalFormatting>
  <conditionalFormatting sqref="AR15">
    <cfRule type="cellIs" dxfId="40744" priority="83977" stopIfTrue="1" operator="equal">
      <formula>-1</formula>
    </cfRule>
  </conditionalFormatting>
  <conditionalFormatting sqref="AR15">
    <cfRule type="cellIs" dxfId="40743" priority="83978" stopIfTrue="1" operator="lessThan">
      <formula>0.5</formula>
    </cfRule>
  </conditionalFormatting>
  <conditionalFormatting sqref="AR15">
    <cfRule type="cellIs" dxfId="40742" priority="83979" stopIfTrue="1" operator="greaterThanOrEqual">
      <formula>0.5</formula>
    </cfRule>
  </conditionalFormatting>
  <conditionalFormatting sqref="AT8">
    <cfRule type="cellIs" dxfId="40741" priority="83980" stopIfTrue="1" operator="equal">
      <formula>-1</formula>
    </cfRule>
  </conditionalFormatting>
  <conditionalFormatting sqref="AT8">
    <cfRule type="cellIs" dxfId="40740" priority="83981" stopIfTrue="1" operator="lessThan">
      <formula>0.5</formula>
    </cfRule>
  </conditionalFormatting>
  <conditionalFormatting sqref="AT8">
    <cfRule type="cellIs" dxfId="40739" priority="83982" stopIfTrue="1" operator="greaterThanOrEqual">
      <formula>0.5</formula>
    </cfRule>
  </conditionalFormatting>
  <conditionalFormatting sqref="AT9">
    <cfRule type="cellIs" dxfId="40738" priority="83983" stopIfTrue="1" operator="equal">
      <formula>-1</formula>
    </cfRule>
  </conditionalFormatting>
  <conditionalFormatting sqref="AT9">
    <cfRule type="cellIs" dxfId="40737" priority="83984" stopIfTrue="1" operator="lessThan">
      <formula>0.5</formula>
    </cfRule>
  </conditionalFormatting>
  <conditionalFormatting sqref="AT9">
    <cfRule type="cellIs" dxfId="40736" priority="83985" stopIfTrue="1" operator="greaterThanOrEqual">
      <formula>0.5</formula>
    </cfRule>
  </conditionalFormatting>
  <conditionalFormatting sqref="AT10">
    <cfRule type="cellIs" dxfId="40735" priority="83986" stopIfTrue="1" operator="equal">
      <formula>-1</formula>
    </cfRule>
  </conditionalFormatting>
  <conditionalFormatting sqref="AT10">
    <cfRule type="cellIs" dxfId="40734" priority="83987" stopIfTrue="1" operator="lessThan">
      <formula>0.5</formula>
    </cfRule>
  </conditionalFormatting>
  <conditionalFormatting sqref="AT10">
    <cfRule type="cellIs" dxfId="40733" priority="83988" stopIfTrue="1" operator="greaterThanOrEqual">
      <formula>0.5</formula>
    </cfRule>
  </conditionalFormatting>
  <conditionalFormatting sqref="AT11">
    <cfRule type="cellIs" dxfId="40732" priority="83989" stopIfTrue="1" operator="equal">
      <formula>-1</formula>
    </cfRule>
  </conditionalFormatting>
  <conditionalFormatting sqref="AT11">
    <cfRule type="cellIs" dxfId="40731" priority="83990" stopIfTrue="1" operator="lessThan">
      <formula>0.5</formula>
    </cfRule>
  </conditionalFormatting>
  <conditionalFormatting sqref="AT11">
    <cfRule type="cellIs" dxfId="40730" priority="83991" stopIfTrue="1" operator="greaterThanOrEqual">
      <formula>0.5</formula>
    </cfRule>
  </conditionalFormatting>
  <conditionalFormatting sqref="AT12">
    <cfRule type="cellIs" dxfId="40729" priority="83992" stopIfTrue="1" operator="equal">
      <formula>-1</formula>
    </cfRule>
  </conditionalFormatting>
  <conditionalFormatting sqref="AT12">
    <cfRule type="cellIs" dxfId="40728" priority="83993" stopIfTrue="1" operator="lessThan">
      <formula>0.5</formula>
    </cfRule>
  </conditionalFormatting>
  <conditionalFormatting sqref="AT12">
    <cfRule type="cellIs" dxfId="40727" priority="83994" stopIfTrue="1" operator="greaterThanOrEqual">
      <formula>0.5</formula>
    </cfRule>
  </conditionalFormatting>
  <conditionalFormatting sqref="AT13">
    <cfRule type="cellIs" dxfId="40726" priority="83995" stopIfTrue="1" operator="equal">
      <formula>-1</formula>
    </cfRule>
  </conditionalFormatting>
  <conditionalFormatting sqref="AT13">
    <cfRule type="cellIs" dxfId="40725" priority="83996" stopIfTrue="1" operator="lessThan">
      <formula>0.5</formula>
    </cfRule>
  </conditionalFormatting>
  <conditionalFormatting sqref="AT13">
    <cfRule type="cellIs" dxfId="40724" priority="83997" stopIfTrue="1" operator="greaterThanOrEqual">
      <formula>0.5</formula>
    </cfRule>
  </conditionalFormatting>
  <conditionalFormatting sqref="AT14">
    <cfRule type="cellIs" dxfId="40723" priority="83998" stopIfTrue="1" operator="equal">
      <formula>-1</formula>
    </cfRule>
  </conditionalFormatting>
  <conditionalFormatting sqref="AT14">
    <cfRule type="cellIs" dxfId="40722" priority="83999" stopIfTrue="1" operator="lessThan">
      <formula>0.5</formula>
    </cfRule>
  </conditionalFormatting>
  <conditionalFormatting sqref="AT14">
    <cfRule type="cellIs" dxfId="40721" priority="84000" stopIfTrue="1" operator="greaterThanOrEqual">
      <formula>0.5</formula>
    </cfRule>
  </conditionalFormatting>
  <conditionalFormatting sqref="AT15">
    <cfRule type="cellIs" dxfId="40720" priority="84001" stopIfTrue="1" operator="equal">
      <formula>-1</formula>
    </cfRule>
  </conditionalFormatting>
  <conditionalFormatting sqref="AT15">
    <cfRule type="cellIs" dxfId="40719" priority="84002" stopIfTrue="1" operator="lessThan">
      <formula>0.5</formula>
    </cfRule>
  </conditionalFormatting>
  <conditionalFormatting sqref="AT15">
    <cfRule type="cellIs" dxfId="40718" priority="84003" stopIfTrue="1" operator="greaterThanOrEqual">
      <formula>0.5</formula>
    </cfRule>
  </conditionalFormatting>
  <conditionalFormatting sqref="AV8">
    <cfRule type="cellIs" dxfId="40717" priority="84004" stopIfTrue="1" operator="equal">
      <formula>-1</formula>
    </cfRule>
  </conditionalFormatting>
  <conditionalFormatting sqref="AV8">
    <cfRule type="cellIs" dxfId="40716" priority="84005" stopIfTrue="1" operator="lessThan">
      <formula>0.5</formula>
    </cfRule>
  </conditionalFormatting>
  <conditionalFormatting sqref="AV8">
    <cfRule type="cellIs" dxfId="40715" priority="84006" stopIfTrue="1" operator="greaterThanOrEqual">
      <formula>0.5</formula>
    </cfRule>
  </conditionalFormatting>
  <conditionalFormatting sqref="AV9">
    <cfRule type="cellIs" dxfId="40714" priority="84007" stopIfTrue="1" operator="equal">
      <formula>-1</formula>
    </cfRule>
  </conditionalFormatting>
  <conditionalFormatting sqref="AV9">
    <cfRule type="cellIs" dxfId="40713" priority="84008" stopIfTrue="1" operator="lessThan">
      <formula>0.5</formula>
    </cfRule>
  </conditionalFormatting>
  <conditionalFormatting sqref="AV9">
    <cfRule type="cellIs" dxfId="40712" priority="84009" stopIfTrue="1" operator="greaterThanOrEqual">
      <formula>0.5</formula>
    </cfRule>
  </conditionalFormatting>
  <conditionalFormatting sqref="AV10">
    <cfRule type="cellIs" dxfId="40711" priority="84010" stopIfTrue="1" operator="equal">
      <formula>-1</formula>
    </cfRule>
  </conditionalFormatting>
  <conditionalFormatting sqref="AV10">
    <cfRule type="cellIs" dxfId="40710" priority="84011" stopIfTrue="1" operator="lessThan">
      <formula>0.5</formula>
    </cfRule>
  </conditionalFormatting>
  <conditionalFormatting sqref="AV10">
    <cfRule type="cellIs" dxfId="40709" priority="84012" stopIfTrue="1" operator="greaterThanOrEqual">
      <formula>0.5</formula>
    </cfRule>
  </conditionalFormatting>
  <conditionalFormatting sqref="AV11">
    <cfRule type="cellIs" dxfId="40708" priority="84013" stopIfTrue="1" operator="equal">
      <formula>-1</formula>
    </cfRule>
  </conditionalFormatting>
  <conditionalFormatting sqref="AV11">
    <cfRule type="cellIs" dxfId="40707" priority="84014" stopIfTrue="1" operator="lessThan">
      <formula>0.5</formula>
    </cfRule>
  </conditionalFormatting>
  <conditionalFormatting sqref="AV11">
    <cfRule type="cellIs" dxfId="40706" priority="84015" stopIfTrue="1" operator="greaterThanOrEqual">
      <formula>0.5</formula>
    </cfRule>
  </conditionalFormatting>
  <conditionalFormatting sqref="AV12">
    <cfRule type="cellIs" dxfId="40705" priority="84016" stopIfTrue="1" operator="equal">
      <formula>-1</formula>
    </cfRule>
  </conditionalFormatting>
  <conditionalFormatting sqref="AV12">
    <cfRule type="cellIs" dxfId="40704" priority="84017" stopIfTrue="1" operator="lessThan">
      <formula>0.5</formula>
    </cfRule>
  </conditionalFormatting>
  <conditionalFormatting sqref="AV12">
    <cfRule type="cellIs" dxfId="40703" priority="84018" stopIfTrue="1" operator="greaterThanOrEqual">
      <formula>0.5</formula>
    </cfRule>
  </conditionalFormatting>
  <conditionalFormatting sqref="AV13">
    <cfRule type="cellIs" dxfId="40702" priority="84019" stopIfTrue="1" operator="equal">
      <formula>-1</formula>
    </cfRule>
  </conditionalFormatting>
  <conditionalFormatting sqref="AV13">
    <cfRule type="cellIs" dxfId="40701" priority="84020" stopIfTrue="1" operator="lessThan">
      <formula>0.5</formula>
    </cfRule>
  </conditionalFormatting>
  <conditionalFormatting sqref="AV13">
    <cfRule type="cellIs" dxfId="40700" priority="84021" stopIfTrue="1" operator="greaterThanOrEqual">
      <formula>0.5</formula>
    </cfRule>
  </conditionalFormatting>
  <conditionalFormatting sqref="AV14">
    <cfRule type="cellIs" dxfId="40699" priority="84022" stopIfTrue="1" operator="equal">
      <formula>-1</formula>
    </cfRule>
  </conditionalFormatting>
  <conditionalFormatting sqref="AV14">
    <cfRule type="cellIs" dxfId="40698" priority="84023" stopIfTrue="1" operator="lessThan">
      <formula>0.5</formula>
    </cfRule>
  </conditionalFormatting>
  <conditionalFormatting sqref="AV14">
    <cfRule type="cellIs" dxfId="40697" priority="84024" stopIfTrue="1" operator="greaterThanOrEqual">
      <formula>0.5</formula>
    </cfRule>
  </conditionalFormatting>
  <conditionalFormatting sqref="AV15">
    <cfRule type="cellIs" dxfId="40696" priority="84025" stopIfTrue="1" operator="equal">
      <formula>-1</formula>
    </cfRule>
  </conditionalFormatting>
  <conditionalFormatting sqref="AV15">
    <cfRule type="cellIs" dxfId="40695" priority="84026" stopIfTrue="1" operator="lessThan">
      <formula>0.5</formula>
    </cfRule>
  </conditionalFormatting>
  <conditionalFormatting sqref="AV15">
    <cfRule type="cellIs" dxfId="40694" priority="84027" stopIfTrue="1" operator="greaterThanOrEqual">
      <formula>0.5</formula>
    </cfRule>
  </conditionalFormatting>
  <conditionalFormatting sqref="AX8">
    <cfRule type="cellIs" dxfId="40693" priority="84028" stopIfTrue="1" operator="equal">
      <formula>-1</formula>
    </cfRule>
  </conditionalFormatting>
  <conditionalFormatting sqref="AX8">
    <cfRule type="cellIs" dxfId="40692" priority="84029" stopIfTrue="1" operator="lessThan">
      <formula>0.5</formula>
    </cfRule>
  </conditionalFormatting>
  <conditionalFormatting sqref="AX8">
    <cfRule type="cellIs" dxfId="40691" priority="84030" stopIfTrue="1" operator="greaterThanOrEqual">
      <formula>0.5</formula>
    </cfRule>
  </conditionalFormatting>
  <conditionalFormatting sqref="AX9">
    <cfRule type="cellIs" dxfId="40690" priority="84031" stopIfTrue="1" operator="equal">
      <formula>-1</formula>
    </cfRule>
  </conditionalFormatting>
  <conditionalFormatting sqref="AX9">
    <cfRule type="cellIs" dxfId="40689" priority="84032" stopIfTrue="1" operator="lessThan">
      <formula>0.5</formula>
    </cfRule>
  </conditionalFormatting>
  <conditionalFormatting sqref="AX9">
    <cfRule type="cellIs" dxfId="40688" priority="84033" stopIfTrue="1" operator="greaterThanOrEqual">
      <formula>0.5</formula>
    </cfRule>
  </conditionalFormatting>
  <conditionalFormatting sqref="AX10">
    <cfRule type="cellIs" dxfId="40687" priority="84034" stopIfTrue="1" operator="equal">
      <formula>-1</formula>
    </cfRule>
  </conditionalFormatting>
  <conditionalFormatting sqref="AX10">
    <cfRule type="cellIs" dxfId="40686" priority="84035" stopIfTrue="1" operator="lessThan">
      <formula>0.5</formula>
    </cfRule>
  </conditionalFormatting>
  <conditionalFormatting sqref="AX10">
    <cfRule type="cellIs" dxfId="40685" priority="84036" stopIfTrue="1" operator="greaterThanOrEqual">
      <formula>0.5</formula>
    </cfRule>
  </conditionalFormatting>
  <conditionalFormatting sqref="AX11">
    <cfRule type="cellIs" dxfId="40684" priority="84037" stopIfTrue="1" operator="equal">
      <formula>-1</formula>
    </cfRule>
  </conditionalFormatting>
  <conditionalFormatting sqref="AX11">
    <cfRule type="cellIs" dxfId="40683" priority="84038" stopIfTrue="1" operator="lessThan">
      <formula>0.5</formula>
    </cfRule>
  </conditionalFormatting>
  <conditionalFormatting sqref="AX11">
    <cfRule type="cellIs" dxfId="40682" priority="84039" stopIfTrue="1" operator="greaterThanOrEqual">
      <formula>0.5</formula>
    </cfRule>
  </conditionalFormatting>
  <conditionalFormatting sqref="AX12">
    <cfRule type="cellIs" dxfId="40681" priority="84040" stopIfTrue="1" operator="equal">
      <formula>-1</formula>
    </cfRule>
  </conditionalFormatting>
  <conditionalFormatting sqref="AX12">
    <cfRule type="cellIs" dxfId="40680" priority="84041" stopIfTrue="1" operator="lessThan">
      <formula>0.5</formula>
    </cfRule>
  </conditionalFormatting>
  <conditionalFormatting sqref="AX12">
    <cfRule type="cellIs" dxfId="40679" priority="84042" stopIfTrue="1" operator="greaterThanOrEqual">
      <formula>0.5</formula>
    </cfRule>
  </conditionalFormatting>
  <conditionalFormatting sqref="AX13">
    <cfRule type="cellIs" dxfId="40678" priority="84043" stopIfTrue="1" operator="equal">
      <formula>-1</formula>
    </cfRule>
  </conditionalFormatting>
  <conditionalFormatting sqref="AX13">
    <cfRule type="cellIs" dxfId="40677" priority="84044" stopIfTrue="1" operator="lessThan">
      <formula>0.5</formula>
    </cfRule>
  </conditionalFormatting>
  <conditionalFormatting sqref="AX13">
    <cfRule type="cellIs" dxfId="40676" priority="84045" stopIfTrue="1" operator="greaterThanOrEqual">
      <formula>0.5</formula>
    </cfRule>
  </conditionalFormatting>
  <conditionalFormatting sqref="AX14">
    <cfRule type="cellIs" dxfId="40675" priority="84046" stopIfTrue="1" operator="equal">
      <formula>-1</formula>
    </cfRule>
  </conditionalFormatting>
  <conditionalFormatting sqref="AX14">
    <cfRule type="cellIs" dxfId="40674" priority="84047" stopIfTrue="1" operator="lessThan">
      <formula>0.5</formula>
    </cfRule>
  </conditionalFormatting>
  <conditionalFormatting sqref="AX14">
    <cfRule type="cellIs" dxfId="40673" priority="84048" stopIfTrue="1" operator="greaterThanOrEqual">
      <formula>0.5</formula>
    </cfRule>
  </conditionalFormatting>
  <conditionalFormatting sqref="AX15">
    <cfRule type="cellIs" dxfId="40672" priority="84049" stopIfTrue="1" operator="equal">
      <formula>-1</formula>
    </cfRule>
  </conditionalFormatting>
  <conditionalFormatting sqref="AX15">
    <cfRule type="cellIs" dxfId="40671" priority="84050" stopIfTrue="1" operator="lessThan">
      <formula>0.5</formula>
    </cfRule>
  </conditionalFormatting>
  <conditionalFormatting sqref="AX15">
    <cfRule type="cellIs" dxfId="40670" priority="84051" stopIfTrue="1" operator="greaterThanOrEqual">
      <formula>0.5</formula>
    </cfRule>
  </conditionalFormatting>
  <conditionalFormatting sqref="AZ8">
    <cfRule type="cellIs" dxfId="40669" priority="84052" stopIfTrue="1" operator="equal">
      <formula>-1</formula>
    </cfRule>
  </conditionalFormatting>
  <conditionalFormatting sqref="AZ8">
    <cfRule type="cellIs" dxfId="40668" priority="84053" stopIfTrue="1" operator="lessThan">
      <formula>0.5</formula>
    </cfRule>
  </conditionalFormatting>
  <conditionalFormatting sqref="AZ8">
    <cfRule type="cellIs" dxfId="40667" priority="84054" stopIfTrue="1" operator="greaterThanOrEqual">
      <formula>0.5</formula>
    </cfRule>
  </conditionalFormatting>
  <conditionalFormatting sqref="AZ9">
    <cfRule type="cellIs" dxfId="40666" priority="84055" stopIfTrue="1" operator="equal">
      <formula>-1</formula>
    </cfRule>
  </conditionalFormatting>
  <conditionalFormatting sqref="AZ9">
    <cfRule type="cellIs" dxfId="40665" priority="84056" stopIfTrue="1" operator="lessThan">
      <formula>0.5</formula>
    </cfRule>
  </conditionalFormatting>
  <conditionalFormatting sqref="AZ9">
    <cfRule type="cellIs" dxfId="40664" priority="84057" stopIfTrue="1" operator="greaterThanOrEqual">
      <formula>0.5</formula>
    </cfRule>
  </conditionalFormatting>
  <conditionalFormatting sqref="AZ10">
    <cfRule type="cellIs" dxfId="40663" priority="84058" stopIfTrue="1" operator="equal">
      <formula>-1</formula>
    </cfRule>
  </conditionalFormatting>
  <conditionalFormatting sqref="AZ10">
    <cfRule type="cellIs" dxfId="40662" priority="84059" stopIfTrue="1" operator="lessThan">
      <formula>0.5</formula>
    </cfRule>
  </conditionalFormatting>
  <conditionalFormatting sqref="AZ10">
    <cfRule type="cellIs" dxfId="40661" priority="84060" stopIfTrue="1" operator="greaterThanOrEqual">
      <formula>0.5</formula>
    </cfRule>
  </conditionalFormatting>
  <conditionalFormatting sqref="AZ11">
    <cfRule type="cellIs" dxfId="40660" priority="84061" stopIfTrue="1" operator="equal">
      <formula>-1</formula>
    </cfRule>
  </conditionalFormatting>
  <conditionalFormatting sqref="AZ11">
    <cfRule type="cellIs" dxfId="40659" priority="84062" stopIfTrue="1" operator="lessThan">
      <formula>0.5</formula>
    </cfRule>
  </conditionalFormatting>
  <conditionalFormatting sqref="AZ11">
    <cfRule type="cellIs" dxfId="40658" priority="84063" stopIfTrue="1" operator="greaterThanOrEqual">
      <formula>0.5</formula>
    </cfRule>
  </conditionalFormatting>
  <conditionalFormatting sqref="AZ12">
    <cfRule type="cellIs" dxfId="40657" priority="84064" stopIfTrue="1" operator="equal">
      <formula>-1</formula>
    </cfRule>
  </conditionalFormatting>
  <conditionalFormatting sqref="AZ12">
    <cfRule type="cellIs" dxfId="40656" priority="84065" stopIfTrue="1" operator="lessThan">
      <formula>0.5</formula>
    </cfRule>
  </conditionalFormatting>
  <conditionalFormatting sqref="AZ12">
    <cfRule type="cellIs" dxfId="40655" priority="84066" stopIfTrue="1" operator="greaterThanOrEqual">
      <formula>0.5</formula>
    </cfRule>
  </conditionalFormatting>
  <conditionalFormatting sqref="AZ13">
    <cfRule type="cellIs" dxfId="40654" priority="84067" stopIfTrue="1" operator="equal">
      <formula>-1</formula>
    </cfRule>
  </conditionalFormatting>
  <conditionalFormatting sqref="AZ13">
    <cfRule type="cellIs" dxfId="40653" priority="84068" stopIfTrue="1" operator="lessThan">
      <formula>0.5</formula>
    </cfRule>
  </conditionalFormatting>
  <conditionalFormatting sqref="AZ13">
    <cfRule type="cellIs" dxfId="40652" priority="84069" stopIfTrue="1" operator="greaterThanOrEqual">
      <formula>0.5</formula>
    </cfRule>
  </conditionalFormatting>
  <conditionalFormatting sqref="AZ14">
    <cfRule type="cellIs" dxfId="40651" priority="84070" stopIfTrue="1" operator="equal">
      <formula>-1</formula>
    </cfRule>
  </conditionalFormatting>
  <conditionalFormatting sqref="AZ14">
    <cfRule type="cellIs" dxfId="40650" priority="84071" stopIfTrue="1" operator="lessThan">
      <formula>0.5</formula>
    </cfRule>
  </conditionalFormatting>
  <conditionalFormatting sqref="AZ14">
    <cfRule type="cellIs" dxfId="40649" priority="84072" stopIfTrue="1" operator="greaterThanOrEqual">
      <formula>0.5</formula>
    </cfRule>
  </conditionalFormatting>
  <conditionalFormatting sqref="AZ15">
    <cfRule type="cellIs" dxfId="40648" priority="84073" stopIfTrue="1" operator="equal">
      <formula>-1</formula>
    </cfRule>
  </conditionalFormatting>
  <conditionalFormatting sqref="AZ15">
    <cfRule type="cellIs" dxfId="40647" priority="84074" stopIfTrue="1" operator="lessThan">
      <formula>0.5</formula>
    </cfRule>
  </conditionalFormatting>
  <conditionalFormatting sqref="AZ15">
    <cfRule type="cellIs" dxfId="40646" priority="84075" stopIfTrue="1" operator="greaterThanOrEqual">
      <formula>0.5</formula>
    </cfRule>
  </conditionalFormatting>
  <conditionalFormatting sqref="BB8">
    <cfRule type="cellIs" dxfId="40645" priority="84076" stopIfTrue="1" operator="equal">
      <formula>-1</formula>
    </cfRule>
  </conditionalFormatting>
  <conditionalFormatting sqref="BB8">
    <cfRule type="cellIs" dxfId="40644" priority="84077" stopIfTrue="1" operator="lessThan">
      <formula>0.5</formula>
    </cfRule>
  </conditionalFormatting>
  <conditionalFormatting sqref="BB8">
    <cfRule type="cellIs" dxfId="40643" priority="84078" stopIfTrue="1" operator="greaterThanOrEqual">
      <formula>0.5</formula>
    </cfRule>
  </conditionalFormatting>
  <conditionalFormatting sqref="BB9">
    <cfRule type="cellIs" dxfId="40642" priority="84079" stopIfTrue="1" operator="equal">
      <formula>-1</formula>
    </cfRule>
  </conditionalFormatting>
  <conditionalFormatting sqref="BB9">
    <cfRule type="cellIs" dxfId="40641" priority="84080" stopIfTrue="1" operator="lessThan">
      <formula>0.5</formula>
    </cfRule>
  </conditionalFormatting>
  <conditionalFormatting sqref="BB9">
    <cfRule type="cellIs" dxfId="40640" priority="84081" stopIfTrue="1" operator="greaterThanOrEqual">
      <formula>0.5</formula>
    </cfRule>
  </conditionalFormatting>
  <conditionalFormatting sqref="BB10">
    <cfRule type="cellIs" dxfId="40639" priority="84082" stopIfTrue="1" operator="equal">
      <formula>-1</formula>
    </cfRule>
  </conditionalFormatting>
  <conditionalFormatting sqref="BB10">
    <cfRule type="cellIs" dxfId="40638" priority="84083" stopIfTrue="1" operator="lessThan">
      <formula>0.5</formula>
    </cfRule>
  </conditionalFormatting>
  <conditionalFormatting sqref="BB10">
    <cfRule type="cellIs" dxfId="40637" priority="84084" stopIfTrue="1" operator="greaterThanOrEqual">
      <formula>0.5</formula>
    </cfRule>
  </conditionalFormatting>
  <conditionalFormatting sqref="BB11">
    <cfRule type="cellIs" dxfId="40636" priority="84085" stopIfTrue="1" operator="equal">
      <formula>-1</formula>
    </cfRule>
  </conditionalFormatting>
  <conditionalFormatting sqref="BB11">
    <cfRule type="cellIs" dxfId="40635" priority="84086" stopIfTrue="1" operator="lessThan">
      <formula>0.5</formula>
    </cfRule>
  </conditionalFormatting>
  <conditionalFormatting sqref="BB11">
    <cfRule type="cellIs" dxfId="40634" priority="84087" stopIfTrue="1" operator="greaterThanOrEqual">
      <formula>0.5</formula>
    </cfRule>
  </conditionalFormatting>
  <conditionalFormatting sqref="BB12">
    <cfRule type="cellIs" dxfId="40633" priority="84088" stopIfTrue="1" operator="equal">
      <formula>-1</formula>
    </cfRule>
  </conditionalFormatting>
  <conditionalFormatting sqref="BB12">
    <cfRule type="cellIs" dxfId="40632" priority="84089" stopIfTrue="1" operator="lessThan">
      <formula>0.5</formula>
    </cfRule>
  </conditionalFormatting>
  <conditionalFormatting sqref="BB12">
    <cfRule type="cellIs" dxfId="40631" priority="84090" stopIfTrue="1" operator="greaterThanOrEqual">
      <formula>0.5</formula>
    </cfRule>
  </conditionalFormatting>
  <conditionalFormatting sqref="BB13">
    <cfRule type="cellIs" dxfId="40630" priority="84091" stopIfTrue="1" operator="equal">
      <formula>-1</formula>
    </cfRule>
  </conditionalFormatting>
  <conditionalFormatting sqref="BB13">
    <cfRule type="cellIs" dxfId="40629" priority="84092" stopIfTrue="1" operator="lessThan">
      <formula>0.5</formula>
    </cfRule>
  </conditionalFormatting>
  <conditionalFormatting sqref="BB13">
    <cfRule type="cellIs" dxfId="40628" priority="84093" stopIfTrue="1" operator="greaterThanOrEqual">
      <formula>0.5</formula>
    </cfRule>
  </conditionalFormatting>
  <conditionalFormatting sqref="BB14">
    <cfRule type="cellIs" dxfId="40627" priority="84094" stopIfTrue="1" operator="equal">
      <formula>-1</formula>
    </cfRule>
  </conditionalFormatting>
  <conditionalFormatting sqref="BB14">
    <cfRule type="cellIs" dxfId="40626" priority="84095" stopIfTrue="1" operator="lessThan">
      <formula>0.5</formula>
    </cfRule>
  </conditionalFormatting>
  <conditionalFormatting sqref="BB14">
    <cfRule type="cellIs" dxfId="40625" priority="84096" stopIfTrue="1" operator="greaterThanOrEqual">
      <formula>0.5</formula>
    </cfRule>
  </conditionalFormatting>
  <conditionalFormatting sqref="BB15">
    <cfRule type="cellIs" dxfId="40624" priority="84097" stopIfTrue="1" operator="equal">
      <formula>-1</formula>
    </cfRule>
  </conditionalFormatting>
  <conditionalFormatting sqref="BB15">
    <cfRule type="cellIs" dxfId="40623" priority="84098" stopIfTrue="1" operator="lessThan">
      <formula>0.5</formula>
    </cfRule>
  </conditionalFormatting>
  <conditionalFormatting sqref="BB15">
    <cfRule type="cellIs" dxfId="40622" priority="84099" stopIfTrue="1" operator="greaterThanOrEqual">
      <formula>0.5</formula>
    </cfRule>
  </conditionalFormatting>
  <conditionalFormatting sqref="BD8">
    <cfRule type="cellIs" dxfId="40621" priority="84100" stopIfTrue="1" operator="equal">
      <formula>-1</formula>
    </cfRule>
  </conditionalFormatting>
  <conditionalFormatting sqref="BD8">
    <cfRule type="cellIs" dxfId="40620" priority="84101" stopIfTrue="1" operator="lessThan">
      <formula>0.5</formula>
    </cfRule>
  </conditionalFormatting>
  <conditionalFormatting sqref="BD8">
    <cfRule type="cellIs" dxfId="40619" priority="84102" stopIfTrue="1" operator="greaterThanOrEqual">
      <formula>0.5</formula>
    </cfRule>
  </conditionalFormatting>
  <conditionalFormatting sqref="BD9">
    <cfRule type="cellIs" dxfId="40618" priority="84103" stopIfTrue="1" operator="equal">
      <formula>-1</formula>
    </cfRule>
  </conditionalFormatting>
  <conditionalFormatting sqref="BD9">
    <cfRule type="cellIs" dxfId="40617" priority="84104" stopIfTrue="1" operator="lessThan">
      <formula>0.5</formula>
    </cfRule>
  </conditionalFormatting>
  <conditionalFormatting sqref="BD9">
    <cfRule type="cellIs" dxfId="40616" priority="84105" stopIfTrue="1" operator="greaterThanOrEqual">
      <formula>0.5</formula>
    </cfRule>
  </conditionalFormatting>
  <conditionalFormatting sqref="BD10">
    <cfRule type="cellIs" dxfId="40615" priority="84106" stopIfTrue="1" operator="equal">
      <formula>-1</formula>
    </cfRule>
  </conditionalFormatting>
  <conditionalFormatting sqref="BD10">
    <cfRule type="cellIs" dxfId="40614" priority="84107" stopIfTrue="1" operator="lessThan">
      <formula>0.5</formula>
    </cfRule>
  </conditionalFormatting>
  <conditionalFormatting sqref="BD10">
    <cfRule type="cellIs" dxfId="40613" priority="84108" stopIfTrue="1" operator="greaterThanOrEqual">
      <formula>0.5</formula>
    </cfRule>
  </conditionalFormatting>
  <conditionalFormatting sqref="BD11">
    <cfRule type="cellIs" dxfId="40612" priority="84109" stopIfTrue="1" operator="equal">
      <formula>-1</formula>
    </cfRule>
  </conditionalFormatting>
  <conditionalFormatting sqref="BD11">
    <cfRule type="cellIs" dxfId="40611" priority="84110" stopIfTrue="1" operator="lessThan">
      <formula>0.5</formula>
    </cfRule>
  </conditionalFormatting>
  <conditionalFormatting sqref="BD11">
    <cfRule type="cellIs" dxfId="40610" priority="84111" stopIfTrue="1" operator="greaterThanOrEqual">
      <formula>0.5</formula>
    </cfRule>
  </conditionalFormatting>
  <conditionalFormatting sqref="BD12">
    <cfRule type="cellIs" dxfId="40609" priority="84112" stopIfTrue="1" operator="equal">
      <formula>-1</formula>
    </cfRule>
  </conditionalFormatting>
  <conditionalFormatting sqref="BD12">
    <cfRule type="cellIs" dxfId="40608" priority="84113" stopIfTrue="1" operator="lessThan">
      <formula>0.5</formula>
    </cfRule>
  </conditionalFormatting>
  <conditionalFormatting sqref="BD12">
    <cfRule type="cellIs" dxfId="40607" priority="84114" stopIfTrue="1" operator="greaterThanOrEqual">
      <formula>0.5</formula>
    </cfRule>
  </conditionalFormatting>
  <conditionalFormatting sqref="BD13">
    <cfRule type="cellIs" dxfId="40606" priority="84115" stopIfTrue="1" operator="equal">
      <formula>-1</formula>
    </cfRule>
  </conditionalFormatting>
  <conditionalFormatting sqref="BD13">
    <cfRule type="cellIs" dxfId="40605" priority="84116" stopIfTrue="1" operator="lessThan">
      <formula>0.5</formula>
    </cfRule>
  </conditionalFormatting>
  <conditionalFormatting sqref="BD13">
    <cfRule type="cellIs" dxfId="40604" priority="84117" stopIfTrue="1" operator="greaterThanOrEqual">
      <formula>0.5</formula>
    </cfRule>
  </conditionalFormatting>
  <conditionalFormatting sqref="BD14">
    <cfRule type="cellIs" dxfId="40603" priority="84118" stopIfTrue="1" operator="equal">
      <formula>-1</formula>
    </cfRule>
  </conditionalFormatting>
  <conditionalFormatting sqref="BD14">
    <cfRule type="cellIs" dxfId="40602" priority="84119" stopIfTrue="1" operator="lessThan">
      <formula>0.5</formula>
    </cfRule>
  </conditionalFormatting>
  <conditionalFormatting sqref="BD14">
    <cfRule type="cellIs" dxfId="40601" priority="84120" stopIfTrue="1" operator="greaterThanOrEqual">
      <formula>0.5</formula>
    </cfRule>
  </conditionalFormatting>
  <conditionalFormatting sqref="BD15">
    <cfRule type="cellIs" dxfId="40600" priority="84121" stopIfTrue="1" operator="equal">
      <formula>-1</formula>
    </cfRule>
  </conditionalFormatting>
  <conditionalFormatting sqref="BD15">
    <cfRule type="cellIs" dxfId="40599" priority="84122" stopIfTrue="1" operator="lessThan">
      <formula>0.5</formula>
    </cfRule>
  </conditionalFormatting>
  <conditionalFormatting sqref="BD15">
    <cfRule type="cellIs" dxfId="40598" priority="84123" stopIfTrue="1" operator="greaterThanOrEqual">
      <formula>0.5</formula>
    </cfRule>
  </conditionalFormatting>
  <conditionalFormatting sqref="BF8">
    <cfRule type="cellIs" dxfId="40597" priority="84124" stopIfTrue="1" operator="equal">
      <formula>-1</formula>
    </cfRule>
  </conditionalFormatting>
  <conditionalFormatting sqref="BF8">
    <cfRule type="cellIs" dxfId="40596" priority="84125" stopIfTrue="1" operator="lessThan">
      <formula>0.5</formula>
    </cfRule>
  </conditionalFormatting>
  <conditionalFormatting sqref="BF8">
    <cfRule type="cellIs" dxfId="40595" priority="84126" stopIfTrue="1" operator="greaterThanOrEqual">
      <formula>0.5</formula>
    </cfRule>
  </conditionalFormatting>
  <conditionalFormatting sqref="BF9">
    <cfRule type="cellIs" dxfId="40594" priority="84127" stopIfTrue="1" operator="equal">
      <formula>-1</formula>
    </cfRule>
  </conditionalFormatting>
  <conditionalFormatting sqref="BF9">
    <cfRule type="cellIs" dxfId="40593" priority="84128" stopIfTrue="1" operator="lessThan">
      <formula>0.5</formula>
    </cfRule>
  </conditionalFormatting>
  <conditionalFormatting sqref="BF9">
    <cfRule type="cellIs" dxfId="40592" priority="84129" stopIfTrue="1" operator="greaterThanOrEqual">
      <formula>0.5</formula>
    </cfRule>
  </conditionalFormatting>
  <conditionalFormatting sqref="BF10">
    <cfRule type="cellIs" dxfId="40591" priority="84130" stopIfTrue="1" operator="equal">
      <formula>-1</formula>
    </cfRule>
  </conditionalFormatting>
  <conditionalFormatting sqref="BF10">
    <cfRule type="cellIs" dxfId="40590" priority="84131" stopIfTrue="1" operator="lessThan">
      <formula>0.5</formula>
    </cfRule>
  </conditionalFormatting>
  <conditionalFormatting sqref="BF10">
    <cfRule type="cellIs" dxfId="40589" priority="84132" stopIfTrue="1" operator="greaterThanOrEqual">
      <formula>0.5</formula>
    </cfRule>
  </conditionalFormatting>
  <conditionalFormatting sqref="BF11">
    <cfRule type="cellIs" dxfId="40588" priority="84133" stopIfTrue="1" operator="equal">
      <formula>-1</formula>
    </cfRule>
  </conditionalFormatting>
  <conditionalFormatting sqref="BF11">
    <cfRule type="cellIs" dxfId="40587" priority="84134" stopIfTrue="1" operator="lessThan">
      <formula>0.5</formula>
    </cfRule>
  </conditionalFormatting>
  <conditionalFormatting sqref="BF11">
    <cfRule type="cellIs" dxfId="40586" priority="84135" stopIfTrue="1" operator="greaterThanOrEqual">
      <formula>0.5</formula>
    </cfRule>
  </conditionalFormatting>
  <conditionalFormatting sqref="BF12">
    <cfRule type="cellIs" dxfId="40585" priority="84136" stopIfTrue="1" operator="equal">
      <formula>-1</formula>
    </cfRule>
  </conditionalFormatting>
  <conditionalFormatting sqref="BF12">
    <cfRule type="cellIs" dxfId="40584" priority="84137" stopIfTrue="1" operator="lessThan">
      <formula>0.5</formula>
    </cfRule>
  </conditionalFormatting>
  <conditionalFormatting sqref="BF12">
    <cfRule type="cellIs" dxfId="40583" priority="84138" stopIfTrue="1" operator="greaterThanOrEqual">
      <formula>0.5</formula>
    </cfRule>
  </conditionalFormatting>
  <conditionalFormatting sqref="BF13">
    <cfRule type="cellIs" dxfId="40582" priority="84139" stopIfTrue="1" operator="equal">
      <formula>-1</formula>
    </cfRule>
  </conditionalFormatting>
  <conditionalFormatting sqref="BF13">
    <cfRule type="cellIs" dxfId="40581" priority="84140" stopIfTrue="1" operator="lessThan">
      <formula>0.5</formula>
    </cfRule>
  </conditionalFormatting>
  <conditionalFormatting sqref="BF13">
    <cfRule type="cellIs" dxfId="40580" priority="84141" stopIfTrue="1" operator="greaterThanOrEqual">
      <formula>0.5</formula>
    </cfRule>
  </conditionalFormatting>
  <conditionalFormatting sqref="BF14">
    <cfRule type="cellIs" dxfId="40579" priority="84142" stopIfTrue="1" operator="equal">
      <formula>-1</formula>
    </cfRule>
  </conditionalFormatting>
  <conditionalFormatting sqref="BF14">
    <cfRule type="cellIs" dxfId="40578" priority="84143" stopIfTrue="1" operator="lessThan">
      <formula>0.5</formula>
    </cfRule>
  </conditionalFormatting>
  <conditionalFormatting sqref="BF14">
    <cfRule type="cellIs" dxfId="40577" priority="84144" stopIfTrue="1" operator="greaterThanOrEqual">
      <formula>0.5</formula>
    </cfRule>
  </conditionalFormatting>
  <conditionalFormatting sqref="BF15">
    <cfRule type="cellIs" dxfId="40576" priority="84145" stopIfTrue="1" operator="equal">
      <formula>-1</formula>
    </cfRule>
  </conditionalFormatting>
  <conditionalFormatting sqref="BF15">
    <cfRule type="cellIs" dxfId="40575" priority="84146" stopIfTrue="1" operator="lessThan">
      <formula>0.5</formula>
    </cfRule>
  </conditionalFormatting>
  <conditionalFormatting sqref="BF15">
    <cfRule type="cellIs" dxfId="40574" priority="84147" stopIfTrue="1" operator="greaterThanOrEqual">
      <formula>0.5</formula>
    </cfRule>
  </conditionalFormatting>
  <conditionalFormatting sqref="BH8">
    <cfRule type="cellIs" dxfId="40573" priority="84148" stopIfTrue="1" operator="equal">
      <formula>-1</formula>
    </cfRule>
  </conditionalFormatting>
  <conditionalFormatting sqref="BH8">
    <cfRule type="cellIs" dxfId="40572" priority="84149" stopIfTrue="1" operator="lessThan">
      <formula>0.5</formula>
    </cfRule>
  </conditionalFormatting>
  <conditionalFormatting sqref="BH8">
    <cfRule type="cellIs" dxfId="40571" priority="84150" stopIfTrue="1" operator="greaterThanOrEqual">
      <formula>0.5</formula>
    </cfRule>
  </conditionalFormatting>
  <conditionalFormatting sqref="BH9">
    <cfRule type="cellIs" dxfId="40570" priority="84151" stopIfTrue="1" operator="equal">
      <formula>-1</formula>
    </cfRule>
  </conditionalFormatting>
  <conditionalFormatting sqref="BH9">
    <cfRule type="cellIs" dxfId="40569" priority="84152" stopIfTrue="1" operator="lessThan">
      <formula>0.5</formula>
    </cfRule>
  </conditionalFormatting>
  <conditionalFormatting sqref="BH9">
    <cfRule type="cellIs" dxfId="40568" priority="84153" stopIfTrue="1" operator="greaterThanOrEqual">
      <formula>0.5</formula>
    </cfRule>
  </conditionalFormatting>
  <conditionalFormatting sqref="BH10">
    <cfRule type="cellIs" dxfId="40567" priority="84154" stopIfTrue="1" operator="equal">
      <formula>-1</formula>
    </cfRule>
  </conditionalFormatting>
  <conditionalFormatting sqref="BH10">
    <cfRule type="cellIs" dxfId="40566" priority="84155" stopIfTrue="1" operator="lessThan">
      <formula>0.5</formula>
    </cfRule>
  </conditionalFormatting>
  <conditionalFormatting sqref="BH10">
    <cfRule type="cellIs" dxfId="40565" priority="84156" stopIfTrue="1" operator="greaterThanOrEqual">
      <formula>0.5</formula>
    </cfRule>
  </conditionalFormatting>
  <conditionalFormatting sqref="BH11">
    <cfRule type="cellIs" dxfId="40564" priority="84157" stopIfTrue="1" operator="equal">
      <formula>-1</formula>
    </cfRule>
  </conditionalFormatting>
  <conditionalFormatting sqref="BH11">
    <cfRule type="cellIs" dxfId="40563" priority="84158" stopIfTrue="1" operator="lessThan">
      <formula>0.5</formula>
    </cfRule>
  </conditionalFormatting>
  <conditionalFormatting sqref="BH11">
    <cfRule type="cellIs" dxfId="40562" priority="84159" stopIfTrue="1" operator="greaterThanOrEqual">
      <formula>0.5</formula>
    </cfRule>
  </conditionalFormatting>
  <conditionalFormatting sqref="BH12">
    <cfRule type="cellIs" dxfId="40561" priority="84160" stopIfTrue="1" operator="equal">
      <formula>-1</formula>
    </cfRule>
  </conditionalFormatting>
  <conditionalFormatting sqref="BH12">
    <cfRule type="cellIs" dxfId="40560" priority="84161" stopIfTrue="1" operator="lessThan">
      <formula>0.5</formula>
    </cfRule>
  </conditionalFormatting>
  <conditionalFormatting sqref="BH12">
    <cfRule type="cellIs" dxfId="40559" priority="84162" stopIfTrue="1" operator="greaterThanOrEqual">
      <formula>0.5</formula>
    </cfRule>
  </conditionalFormatting>
  <conditionalFormatting sqref="BH13">
    <cfRule type="cellIs" dxfId="40558" priority="84163" stopIfTrue="1" operator="equal">
      <formula>-1</formula>
    </cfRule>
  </conditionalFormatting>
  <conditionalFormatting sqref="BH13">
    <cfRule type="cellIs" dxfId="40557" priority="84164" stopIfTrue="1" operator="lessThan">
      <formula>0.5</formula>
    </cfRule>
  </conditionalFormatting>
  <conditionalFormatting sqref="BH13">
    <cfRule type="cellIs" dxfId="40556" priority="84165" stopIfTrue="1" operator="greaterThanOrEqual">
      <formula>0.5</formula>
    </cfRule>
  </conditionalFormatting>
  <conditionalFormatting sqref="BH14">
    <cfRule type="cellIs" dxfId="40555" priority="84166" stopIfTrue="1" operator="equal">
      <formula>-1</formula>
    </cfRule>
  </conditionalFormatting>
  <conditionalFormatting sqref="BH14">
    <cfRule type="cellIs" dxfId="40554" priority="84167" stopIfTrue="1" operator="lessThan">
      <formula>0.5</formula>
    </cfRule>
  </conditionalFormatting>
  <conditionalFormatting sqref="BH14">
    <cfRule type="cellIs" dxfId="40553" priority="84168" stopIfTrue="1" operator="greaterThanOrEqual">
      <formula>0.5</formula>
    </cfRule>
  </conditionalFormatting>
  <conditionalFormatting sqref="BH15">
    <cfRule type="cellIs" dxfId="40552" priority="84169" stopIfTrue="1" operator="equal">
      <formula>-1</formula>
    </cfRule>
  </conditionalFormatting>
  <conditionalFormatting sqref="BH15">
    <cfRule type="cellIs" dxfId="40551" priority="84170" stopIfTrue="1" operator="lessThan">
      <formula>0.5</formula>
    </cfRule>
  </conditionalFormatting>
  <conditionalFormatting sqref="BH15">
    <cfRule type="cellIs" dxfId="40550" priority="84171" stopIfTrue="1" operator="greaterThanOrEqual">
      <formula>0.5</formula>
    </cfRule>
  </conditionalFormatting>
  <conditionalFormatting sqref="BJ8">
    <cfRule type="cellIs" dxfId="40549" priority="84172" stopIfTrue="1" operator="equal">
      <formula>-1</formula>
    </cfRule>
  </conditionalFormatting>
  <conditionalFormatting sqref="BJ8">
    <cfRule type="cellIs" dxfId="40548" priority="84173" stopIfTrue="1" operator="lessThan">
      <formula>0.5</formula>
    </cfRule>
  </conditionalFormatting>
  <conditionalFormatting sqref="BJ8">
    <cfRule type="cellIs" dxfId="40547" priority="84174" stopIfTrue="1" operator="greaterThanOrEqual">
      <formula>0.5</formula>
    </cfRule>
  </conditionalFormatting>
  <conditionalFormatting sqref="BJ9">
    <cfRule type="cellIs" dxfId="40546" priority="84175" stopIfTrue="1" operator="equal">
      <formula>-1</formula>
    </cfRule>
  </conditionalFormatting>
  <conditionalFormatting sqref="BJ9">
    <cfRule type="cellIs" dxfId="40545" priority="84176" stopIfTrue="1" operator="lessThan">
      <formula>0.5</formula>
    </cfRule>
  </conditionalFormatting>
  <conditionalFormatting sqref="BJ9">
    <cfRule type="cellIs" dxfId="40544" priority="84177" stopIfTrue="1" operator="greaterThanOrEqual">
      <formula>0.5</formula>
    </cfRule>
  </conditionalFormatting>
  <conditionalFormatting sqref="BJ10">
    <cfRule type="cellIs" dxfId="40543" priority="84178" stopIfTrue="1" operator="equal">
      <formula>-1</formula>
    </cfRule>
  </conditionalFormatting>
  <conditionalFormatting sqref="BJ10">
    <cfRule type="cellIs" dxfId="40542" priority="84179" stopIfTrue="1" operator="lessThan">
      <formula>0.5</formula>
    </cfRule>
  </conditionalFormatting>
  <conditionalFormatting sqref="BJ10">
    <cfRule type="cellIs" dxfId="40541" priority="84180" stopIfTrue="1" operator="greaterThanOrEqual">
      <formula>0.5</formula>
    </cfRule>
  </conditionalFormatting>
  <conditionalFormatting sqref="BJ11">
    <cfRule type="cellIs" dxfId="40540" priority="84181" stopIfTrue="1" operator="equal">
      <formula>-1</formula>
    </cfRule>
  </conditionalFormatting>
  <conditionalFormatting sqref="BJ11">
    <cfRule type="cellIs" dxfId="40539" priority="84182" stopIfTrue="1" operator="lessThan">
      <formula>0.5</formula>
    </cfRule>
  </conditionalFormatting>
  <conditionalFormatting sqref="BJ11">
    <cfRule type="cellIs" dxfId="40538" priority="84183" stopIfTrue="1" operator="greaterThanOrEqual">
      <formula>0.5</formula>
    </cfRule>
  </conditionalFormatting>
  <conditionalFormatting sqref="BJ12">
    <cfRule type="cellIs" dxfId="40537" priority="84184" stopIfTrue="1" operator="equal">
      <formula>-1</formula>
    </cfRule>
  </conditionalFormatting>
  <conditionalFormatting sqref="BJ12">
    <cfRule type="cellIs" dxfId="40536" priority="84185" stopIfTrue="1" operator="lessThan">
      <formula>0.5</formula>
    </cfRule>
  </conditionalFormatting>
  <conditionalFormatting sqref="BJ12">
    <cfRule type="cellIs" dxfId="40535" priority="84186" stopIfTrue="1" operator="greaterThanOrEqual">
      <formula>0.5</formula>
    </cfRule>
  </conditionalFormatting>
  <conditionalFormatting sqref="BJ13">
    <cfRule type="cellIs" dxfId="40534" priority="84187" stopIfTrue="1" operator="equal">
      <formula>-1</formula>
    </cfRule>
  </conditionalFormatting>
  <conditionalFormatting sqref="BJ13">
    <cfRule type="cellIs" dxfId="40533" priority="84188" stopIfTrue="1" operator="lessThan">
      <formula>0.5</formula>
    </cfRule>
  </conditionalFormatting>
  <conditionalFormatting sqref="BJ13">
    <cfRule type="cellIs" dxfId="40532" priority="84189" stopIfTrue="1" operator="greaterThanOrEqual">
      <formula>0.5</formula>
    </cfRule>
  </conditionalFormatting>
  <conditionalFormatting sqref="BJ14">
    <cfRule type="cellIs" dxfId="40531" priority="84190" stopIfTrue="1" operator="equal">
      <formula>-1</formula>
    </cfRule>
  </conditionalFormatting>
  <conditionalFormatting sqref="BJ14">
    <cfRule type="cellIs" dxfId="40530" priority="84191" stopIfTrue="1" operator="lessThan">
      <formula>0.5</formula>
    </cfRule>
  </conditionalFormatting>
  <conditionalFormatting sqref="BJ14">
    <cfRule type="cellIs" dxfId="40529" priority="84192" stopIfTrue="1" operator="greaterThanOrEqual">
      <formula>0.5</formula>
    </cfRule>
  </conditionalFormatting>
  <conditionalFormatting sqref="BJ15">
    <cfRule type="cellIs" dxfId="40528" priority="84193" stopIfTrue="1" operator="equal">
      <formula>-1</formula>
    </cfRule>
  </conditionalFormatting>
  <conditionalFormatting sqref="BJ15">
    <cfRule type="cellIs" dxfId="40527" priority="84194" stopIfTrue="1" operator="lessThan">
      <formula>0.5</formula>
    </cfRule>
  </conditionalFormatting>
  <conditionalFormatting sqref="BJ15">
    <cfRule type="cellIs" dxfId="40526" priority="84195" stopIfTrue="1" operator="greaterThanOrEqual">
      <formula>0.5</formula>
    </cfRule>
  </conditionalFormatting>
  <conditionalFormatting sqref="D17">
    <cfRule type="cellIs" dxfId="40525" priority="84196" stopIfTrue="1" operator="equal">
      <formula>-1</formula>
    </cfRule>
  </conditionalFormatting>
  <conditionalFormatting sqref="D17">
    <cfRule type="cellIs" dxfId="40524" priority="84197" stopIfTrue="1" operator="lessThan">
      <formula>0.5</formula>
    </cfRule>
  </conditionalFormatting>
  <conditionalFormatting sqref="D17">
    <cfRule type="cellIs" dxfId="40523" priority="84198" stopIfTrue="1" operator="greaterThanOrEqual">
      <formula>0.5</formula>
    </cfRule>
  </conditionalFormatting>
  <conditionalFormatting sqref="D18">
    <cfRule type="cellIs" dxfId="40522" priority="84199" stopIfTrue="1" operator="equal">
      <formula>-1</formula>
    </cfRule>
  </conditionalFormatting>
  <conditionalFormatting sqref="D18">
    <cfRule type="cellIs" dxfId="40521" priority="84200" stopIfTrue="1" operator="lessThan">
      <formula>0.5</formula>
    </cfRule>
  </conditionalFormatting>
  <conditionalFormatting sqref="D18">
    <cfRule type="cellIs" dxfId="40520" priority="84201" stopIfTrue="1" operator="greaterThanOrEqual">
      <formula>0.5</formula>
    </cfRule>
  </conditionalFormatting>
  <conditionalFormatting sqref="D19">
    <cfRule type="cellIs" dxfId="40519" priority="84202" stopIfTrue="1" operator="equal">
      <formula>-1</formula>
    </cfRule>
  </conditionalFormatting>
  <conditionalFormatting sqref="D19">
    <cfRule type="cellIs" dxfId="40518" priority="84203" stopIfTrue="1" operator="lessThan">
      <formula>0.5</formula>
    </cfRule>
  </conditionalFormatting>
  <conditionalFormatting sqref="D19">
    <cfRule type="cellIs" dxfId="40517" priority="84204" stopIfTrue="1" operator="greaterThanOrEqual">
      <formula>0.5</formula>
    </cfRule>
  </conditionalFormatting>
  <conditionalFormatting sqref="D20">
    <cfRule type="cellIs" dxfId="40516" priority="84205" stopIfTrue="1" operator="equal">
      <formula>-1</formula>
    </cfRule>
  </conditionalFormatting>
  <conditionalFormatting sqref="D20">
    <cfRule type="cellIs" dxfId="40515" priority="84206" stopIfTrue="1" operator="lessThan">
      <formula>0.5</formula>
    </cfRule>
  </conditionalFormatting>
  <conditionalFormatting sqref="D20">
    <cfRule type="cellIs" dxfId="40514" priority="84207" stopIfTrue="1" operator="greaterThanOrEqual">
      <formula>0.5</formula>
    </cfRule>
  </conditionalFormatting>
  <conditionalFormatting sqref="D21">
    <cfRule type="cellIs" dxfId="40513" priority="84208" stopIfTrue="1" operator="equal">
      <formula>-1</formula>
    </cfRule>
  </conditionalFormatting>
  <conditionalFormatting sqref="D21">
    <cfRule type="cellIs" dxfId="40512" priority="84209" stopIfTrue="1" operator="lessThan">
      <formula>0.5</formula>
    </cfRule>
  </conditionalFormatting>
  <conditionalFormatting sqref="D21">
    <cfRule type="cellIs" dxfId="40511" priority="84210" stopIfTrue="1" operator="greaterThanOrEqual">
      <formula>0.5</formula>
    </cfRule>
  </conditionalFormatting>
  <conditionalFormatting sqref="D22">
    <cfRule type="cellIs" dxfId="40510" priority="84211" stopIfTrue="1" operator="equal">
      <formula>-1</formula>
    </cfRule>
  </conditionalFormatting>
  <conditionalFormatting sqref="D22">
    <cfRule type="cellIs" dxfId="40509" priority="84212" stopIfTrue="1" operator="lessThan">
      <formula>0.5</formula>
    </cfRule>
  </conditionalFormatting>
  <conditionalFormatting sqref="D22">
    <cfRule type="cellIs" dxfId="40508" priority="84213" stopIfTrue="1" operator="greaterThanOrEqual">
      <formula>0.5</formula>
    </cfRule>
  </conditionalFormatting>
  <conditionalFormatting sqref="D23">
    <cfRule type="cellIs" dxfId="40507" priority="84214" stopIfTrue="1" operator="equal">
      <formula>-1</formula>
    </cfRule>
  </conditionalFormatting>
  <conditionalFormatting sqref="D23">
    <cfRule type="cellIs" dxfId="40506" priority="84215" stopIfTrue="1" operator="lessThan">
      <formula>0.5</formula>
    </cfRule>
  </conditionalFormatting>
  <conditionalFormatting sqref="D23">
    <cfRule type="cellIs" dxfId="40505" priority="84216" stopIfTrue="1" operator="greaterThanOrEqual">
      <formula>0.5</formula>
    </cfRule>
  </conditionalFormatting>
  <conditionalFormatting sqref="D24">
    <cfRule type="cellIs" dxfId="40504" priority="84217" stopIfTrue="1" operator="equal">
      <formula>-1</formula>
    </cfRule>
  </conditionalFormatting>
  <conditionalFormatting sqref="D24">
    <cfRule type="cellIs" dxfId="40503" priority="84218" stopIfTrue="1" operator="lessThan">
      <formula>0.5</formula>
    </cfRule>
  </conditionalFormatting>
  <conditionalFormatting sqref="D24">
    <cfRule type="cellIs" dxfId="40502" priority="84219" stopIfTrue="1" operator="greaterThanOrEqual">
      <formula>0.5</formula>
    </cfRule>
  </conditionalFormatting>
  <conditionalFormatting sqref="D25">
    <cfRule type="cellIs" dxfId="40501" priority="84220" stopIfTrue="1" operator="equal">
      <formula>-1</formula>
    </cfRule>
  </conditionalFormatting>
  <conditionalFormatting sqref="D25">
    <cfRule type="cellIs" dxfId="40500" priority="84221" stopIfTrue="1" operator="lessThan">
      <formula>0.5</formula>
    </cfRule>
  </conditionalFormatting>
  <conditionalFormatting sqref="D25">
    <cfRule type="cellIs" dxfId="40499" priority="84222" stopIfTrue="1" operator="greaterThanOrEqual">
      <formula>0.5</formula>
    </cfRule>
  </conditionalFormatting>
  <conditionalFormatting sqref="F17">
    <cfRule type="cellIs" dxfId="40498" priority="84259" stopIfTrue="1" operator="equal">
      <formula>-1</formula>
    </cfRule>
  </conditionalFormatting>
  <conditionalFormatting sqref="F17">
    <cfRule type="cellIs" dxfId="40497" priority="84260" stopIfTrue="1" operator="lessThan">
      <formula>0.5</formula>
    </cfRule>
  </conditionalFormatting>
  <conditionalFormatting sqref="F17">
    <cfRule type="cellIs" dxfId="40496" priority="84261" stopIfTrue="1" operator="greaterThanOrEqual">
      <formula>0.5</formula>
    </cfRule>
  </conditionalFormatting>
  <conditionalFormatting sqref="F18">
    <cfRule type="cellIs" dxfId="40495" priority="84262" stopIfTrue="1" operator="equal">
      <formula>-1</formula>
    </cfRule>
  </conditionalFormatting>
  <conditionalFormatting sqref="F18">
    <cfRule type="cellIs" dxfId="40494" priority="84263" stopIfTrue="1" operator="lessThan">
      <formula>0.5</formula>
    </cfRule>
  </conditionalFormatting>
  <conditionalFormatting sqref="F18">
    <cfRule type="cellIs" dxfId="40493" priority="84264" stopIfTrue="1" operator="greaterThanOrEqual">
      <formula>0.5</formula>
    </cfRule>
  </conditionalFormatting>
  <conditionalFormatting sqref="F19">
    <cfRule type="cellIs" dxfId="40492" priority="84265" stopIfTrue="1" operator="equal">
      <formula>-1</formula>
    </cfRule>
  </conditionalFormatting>
  <conditionalFormatting sqref="F19">
    <cfRule type="cellIs" dxfId="40491" priority="84266" stopIfTrue="1" operator="lessThan">
      <formula>0.5</formula>
    </cfRule>
  </conditionalFormatting>
  <conditionalFormatting sqref="F19">
    <cfRule type="cellIs" dxfId="40490" priority="84267" stopIfTrue="1" operator="greaterThanOrEqual">
      <formula>0.5</formula>
    </cfRule>
  </conditionalFormatting>
  <conditionalFormatting sqref="F20">
    <cfRule type="cellIs" dxfId="40489" priority="84268" stopIfTrue="1" operator="equal">
      <formula>-1</formula>
    </cfRule>
  </conditionalFormatting>
  <conditionalFormatting sqref="F20">
    <cfRule type="cellIs" dxfId="40488" priority="84269" stopIfTrue="1" operator="lessThan">
      <formula>0.5</formula>
    </cfRule>
  </conditionalFormatting>
  <conditionalFormatting sqref="F20">
    <cfRule type="cellIs" dxfId="40487" priority="84270" stopIfTrue="1" operator="greaterThanOrEqual">
      <formula>0.5</formula>
    </cfRule>
  </conditionalFormatting>
  <conditionalFormatting sqref="F21">
    <cfRule type="cellIs" dxfId="40486" priority="84271" stopIfTrue="1" operator="equal">
      <formula>-1</formula>
    </cfRule>
  </conditionalFormatting>
  <conditionalFormatting sqref="F21">
    <cfRule type="cellIs" dxfId="40485" priority="84272" stopIfTrue="1" operator="lessThan">
      <formula>0.5</formula>
    </cfRule>
  </conditionalFormatting>
  <conditionalFormatting sqref="F21">
    <cfRule type="cellIs" dxfId="40484" priority="84273" stopIfTrue="1" operator="greaterThanOrEqual">
      <formula>0.5</formula>
    </cfRule>
  </conditionalFormatting>
  <conditionalFormatting sqref="F22">
    <cfRule type="cellIs" dxfId="40483" priority="84274" stopIfTrue="1" operator="equal">
      <formula>-1</formula>
    </cfRule>
  </conditionalFormatting>
  <conditionalFormatting sqref="F22">
    <cfRule type="cellIs" dxfId="40482" priority="84275" stopIfTrue="1" operator="lessThan">
      <formula>0.5</formula>
    </cfRule>
  </conditionalFormatting>
  <conditionalFormatting sqref="F22">
    <cfRule type="cellIs" dxfId="40481" priority="84276" stopIfTrue="1" operator="greaterThanOrEqual">
      <formula>0.5</formula>
    </cfRule>
  </conditionalFormatting>
  <conditionalFormatting sqref="F23">
    <cfRule type="cellIs" dxfId="40480" priority="84277" stopIfTrue="1" operator="equal">
      <formula>-1</formula>
    </cfRule>
  </conditionalFormatting>
  <conditionalFormatting sqref="F23">
    <cfRule type="cellIs" dxfId="40479" priority="84278" stopIfTrue="1" operator="lessThan">
      <formula>0.5</formula>
    </cfRule>
  </conditionalFormatting>
  <conditionalFormatting sqref="F23">
    <cfRule type="cellIs" dxfId="40478" priority="84279" stopIfTrue="1" operator="greaterThanOrEqual">
      <formula>0.5</formula>
    </cfRule>
  </conditionalFormatting>
  <conditionalFormatting sqref="F24">
    <cfRule type="cellIs" dxfId="40477" priority="84280" stopIfTrue="1" operator="equal">
      <formula>-1</formula>
    </cfRule>
  </conditionalFormatting>
  <conditionalFormatting sqref="F24">
    <cfRule type="cellIs" dxfId="40476" priority="84281" stopIfTrue="1" operator="lessThan">
      <formula>0.5</formula>
    </cfRule>
  </conditionalFormatting>
  <conditionalFormatting sqref="F24">
    <cfRule type="cellIs" dxfId="40475" priority="84282" stopIfTrue="1" operator="greaterThanOrEqual">
      <formula>0.5</formula>
    </cfRule>
  </conditionalFormatting>
  <conditionalFormatting sqref="F25">
    <cfRule type="cellIs" dxfId="40474" priority="84283" stopIfTrue="1" operator="equal">
      <formula>-1</formula>
    </cfRule>
  </conditionalFormatting>
  <conditionalFormatting sqref="F25">
    <cfRule type="cellIs" dxfId="40473" priority="84284" stopIfTrue="1" operator="lessThan">
      <formula>0.5</formula>
    </cfRule>
  </conditionalFormatting>
  <conditionalFormatting sqref="F25">
    <cfRule type="cellIs" dxfId="40472" priority="84285" stopIfTrue="1" operator="greaterThanOrEqual">
      <formula>0.5</formula>
    </cfRule>
  </conditionalFormatting>
  <conditionalFormatting sqref="H17">
    <cfRule type="cellIs" dxfId="40471" priority="84322" stopIfTrue="1" operator="equal">
      <formula>-1</formula>
    </cfRule>
  </conditionalFormatting>
  <conditionalFormatting sqref="H17">
    <cfRule type="cellIs" dxfId="40470" priority="84323" stopIfTrue="1" operator="lessThan">
      <formula>0.5</formula>
    </cfRule>
  </conditionalFormatting>
  <conditionalFormatting sqref="H17">
    <cfRule type="cellIs" dxfId="40469" priority="84324" stopIfTrue="1" operator="greaterThanOrEqual">
      <formula>0.5</formula>
    </cfRule>
  </conditionalFormatting>
  <conditionalFormatting sqref="H18">
    <cfRule type="cellIs" dxfId="40468" priority="84325" stopIfTrue="1" operator="equal">
      <formula>-1</formula>
    </cfRule>
  </conditionalFormatting>
  <conditionalFormatting sqref="H18">
    <cfRule type="cellIs" dxfId="40467" priority="84326" stopIfTrue="1" operator="lessThan">
      <formula>0.5</formula>
    </cfRule>
  </conditionalFormatting>
  <conditionalFormatting sqref="H18">
    <cfRule type="cellIs" dxfId="40466" priority="84327" stopIfTrue="1" operator="greaterThanOrEqual">
      <formula>0.5</formula>
    </cfRule>
  </conditionalFormatting>
  <conditionalFormatting sqref="H19">
    <cfRule type="cellIs" dxfId="40465" priority="84328" stopIfTrue="1" operator="equal">
      <formula>-1</formula>
    </cfRule>
  </conditionalFormatting>
  <conditionalFormatting sqref="H19">
    <cfRule type="cellIs" dxfId="40464" priority="84329" stopIfTrue="1" operator="lessThan">
      <formula>0.5</formula>
    </cfRule>
  </conditionalFormatting>
  <conditionalFormatting sqref="H19">
    <cfRule type="cellIs" dxfId="40463" priority="84330" stopIfTrue="1" operator="greaterThanOrEqual">
      <formula>0.5</formula>
    </cfRule>
  </conditionalFormatting>
  <conditionalFormatting sqref="H20">
    <cfRule type="cellIs" dxfId="40462" priority="84331" stopIfTrue="1" operator="equal">
      <formula>-1</formula>
    </cfRule>
  </conditionalFormatting>
  <conditionalFormatting sqref="H20">
    <cfRule type="cellIs" dxfId="40461" priority="84332" stopIfTrue="1" operator="lessThan">
      <formula>0.5</formula>
    </cfRule>
  </conditionalFormatting>
  <conditionalFormatting sqref="H20">
    <cfRule type="cellIs" dxfId="40460" priority="84333" stopIfTrue="1" operator="greaterThanOrEqual">
      <formula>0.5</formula>
    </cfRule>
  </conditionalFormatting>
  <conditionalFormatting sqref="H21">
    <cfRule type="cellIs" dxfId="40459" priority="84334" stopIfTrue="1" operator="equal">
      <formula>-1</formula>
    </cfRule>
  </conditionalFormatting>
  <conditionalFormatting sqref="H21">
    <cfRule type="cellIs" dxfId="40458" priority="84335" stopIfTrue="1" operator="lessThan">
      <formula>0.5</formula>
    </cfRule>
  </conditionalFormatting>
  <conditionalFormatting sqref="H21">
    <cfRule type="cellIs" dxfId="40457" priority="84336" stopIfTrue="1" operator="greaterThanOrEqual">
      <formula>0.5</formula>
    </cfRule>
  </conditionalFormatting>
  <conditionalFormatting sqref="H22">
    <cfRule type="cellIs" dxfId="40456" priority="84337" stopIfTrue="1" operator="equal">
      <formula>-1</formula>
    </cfRule>
  </conditionalFormatting>
  <conditionalFormatting sqref="H22">
    <cfRule type="cellIs" dxfId="40455" priority="84338" stopIfTrue="1" operator="lessThan">
      <formula>0.5</formula>
    </cfRule>
  </conditionalFormatting>
  <conditionalFormatting sqref="H22">
    <cfRule type="cellIs" dxfId="40454" priority="84339" stopIfTrue="1" operator="greaterThanOrEqual">
      <formula>0.5</formula>
    </cfRule>
  </conditionalFormatting>
  <conditionalFormatting sqref="H23">
    <cfRule type="cellIs" dxfId="40453" priority="84340" stopIfTrue="1" operator="equal">
      <formula>-1</formula>
    </cfRule>
  </conditionalFormatting>
  <conditionalFormatting sqref="H23">
    <cfRule type="cellIs" dxfId="40452" priority="84341" stopIfTrue="1" operator="lessThan">
      <formula>0.5</formula>
    </cfRule>
  </conditionalFormatting>
  <conditionalFormatting sqref="H23">
    <cfRule type="cellIs" dxfId="40451" priority="84342" stopIfTrue="1" operator="greaterThanOrEqual">
      <formula>0.5</formula>
    </cfRule>
  </conditionalFormatting>
  <conditionalFormatting sqref="H24">
    <cfRule type="cellIs" dxfId="40450" priority="84343" stopIfTrue="1" operator="equal">
      <formula>-1</formula>
    </cfRule>
  </conditionalFormatting>
  <conditionalFormatting sqref="H24">
    <cfRule type="cellIs" dxfId="40449" priority="84344" stopIfTrue="1" operator="lessThan">
      <formula>0.5</formula>
    </cfRule>
  </conditionalFormatting>
  <conditionalFormatting sqref="H24">
    <cfRule type="cellIs" dxfId="40448" priority="84345" stopIfTrue="1" operator="greaterThanOrEqual">
      <formula>0.5</formula>
    </cfRule>
  </conditionalFormatting>
  <conditionalFormatting sqref="H25">
    <cfRule type="cellIs" dxfId="40447" priority="84346" stopIfTrue="1" operator="equal">
      <formula>-1</formula>
    </cfRule>
  </conditionalFormatting>
  <conditionalFormatting sqref="H25">
    <cfRule type="cellIs" dxfId="40446" priority="84347" stopIfTrue="1" operator="lessThan">
      <formula>0.5</formula>
    </cfRule>
  </conditionalFormatting>
  <conditionalFormatting sqref="H25">
    <cfRule type="cellIs" dxfId="40445" priority="84348" stopIfTrue="1" operator="greaterThanOrEqual">
      <formula>0.5</formula>
    </cfRule>
  </conditionalFormatting>
  <conditionalFormatting sqref="J17">
    <cfRule type="cellIs" dxfId="40444" priority="84385" stopIfTrue="1" operator="equal">
      <formula>-1</formula>
    </cfRule>
  </conditionalFormatting>
  <conditionalFormatting sqref="J17">
    <cfRule type="cellIs" dxfId="40443" priority="84386" stopIfTrue="1" operator="lessThan">
      <formula>0.5</formula>
    </cfRule>
  </conditionalFormatting>
  <conditionalFormatting sqref="J17">
    <cfRule type="cellIs" dxfId="40442" priority="84387" stopIfTrue="1" operator="greaterThanOrEqual">
      <formula>0.5</formula>
    </cfRule>
  </conditionalFormatting>
  <conditionalFormatting sqref="J18">
    <cfRule type="cellIs" dxfId="40441" priority="84388" stopIfTrue="1" operator="equal">
      <formula>-1</formula>
    </cfRule>
  </conditionalFormatting>
  <conditionalFormatting sqref="J18">
    <cfRule type="cellIs" dxfId="40440" priority="84389" stopIfTrue="1" operator="lessThan">
      <formula>0.5</formula>
    </cfRule>
  </conditionalFormatting>
  <conditionalFormatting sqref="J18">
    <cfRule type="cellIs" dxfId="40439" priority="84390" stopIfTrue="1" operator="greaterThanOrEqual">
      <formula>0.5</formula>
    </cfRule>
  </conditionalFormatting>
  <conditionalFormatting sqref="J19">
    <cfRule type="cellIs" dxfId="40438" priority="84391" stopIfTrue="1" operator="equal">
      <formula>-1</formula>
    </cfRule>
  </conditionalFormatting>
  <conditionalFormatting sqref="J19">
    <cfRule type="cellIs" dxfId="40437" priority="84392" stopIfTrue="1" operator="lessThan">
      <formula>0.5</formula>
    </cfRule>
  </conditionalFormatting>
  <conditionalFormatting sqref="J19">
    <cfRule type="cellIs" dxfId="40436" priority="84393" stopIfTrue="1" operator="greaterThanOrEqual">
      <formula>0.5</formula>
    </cfRule>
  </conditionalFormatting>
  <conditionalFormatting sqref="J20">
    <cfRule type="cellIs" dxfId="40435" priority="84394" stopIfTrue="1" operator="equal">
      <formula>-1</formula>
    </cfRule>
  </conditionalFormatting>
  <conditionalFormatting sqref="J20">
    <cfRule type="cellIs" dxfId="40434" priority="84395" stopIfTrue="1" operator="lessThan">
      <formula>0.5</formula>
    </cfRule>
  </conditionalFormatting>
  <conditionalFormatting sqref="J20">
    <cfRule type="cellIs" dxfId="40433" priority="84396" stopIfTrue="1" operator="greaterThanOrEqual">
      <formula>0.5</formula>
    </cfRule>
  </conditionalFormatting>
  <conditionalFormatting sqref="J21">
    <cfRule type="cellIs" dxfId="40432" priority="84397" stopIfTrue="1" operator="equal">
      <formula>-1</formula>
    </cfRule>
  </conditionalFormatting>
  <conditionalFormatting sqref="J21">
    <cfRule type="cellIs" dxfId="40431" priority="84398" stopIfTrue="1" operator="lessThan">
      <formula>0.5</formula>
    </cfRule>
  </conditionalFormatting>
  <conditionalFormatting sqref="J21">
    <cfRule type="cellIs" dxfId="40430" priority="84399" stopIfTrue="1" operator="greaterThanOrEqual">
      <formula>0.5</formula>
    </cfRule>
  </conditionalFormatting>
  <conditionalFormatting sqref="J22">
    <cfRule type="cellIs" dxfId="40429" priority="84400" stopIfTrue="1" operator="equal">
      <formula>-1</formula>
    </cfRule>
  </conditionalFormatting>
  <conditionalFormatting sqref="J22">
    <cfRule type="cellIs" dxfId="40428" priority="84401" stopIfTrue="1" operator="lessThan">
      <formula>0.5</formula>
    </cfRule>
  </conditionalFormatting>
  <conditionalFormatting sqref="J22">
    <cfRule type="cellIs" dxfId="40427" priority="84402" stopIfTrue="1" operator="greaterThanOrEqual">
      <formula>0.5</formula>
    </cfRule>
  </conditionalFormatting>
  <conditionalFormatting sqref="J23">
    <cfRule type="cellIs" dxfId="40426" priority="84403" stopIfTrue="1" operator="equal">
      <formula>-1</formula>
    </cfRule>
  </conditionalFormatting>
  <conditionalFormatting sqref="J23">
    <cfRule type="cellIs" dxfId="40425" priority="84404" stopIfTrue="1" operator="lessThan">
      <formula>0.5</formula>
    </cfRule>
  </conditionalFormatting>
  <conditionalFormatting sqref="J23">
    <cfRule type="cellIs" dxfId="40424" priority="84405" stopIfTrue="1" operator="greaterThanOrEqual">
      <formula>0.5</formula>
    </cfRule>
  </conditionalFormatting>
  <conditionalFormatting sqref="J24">
    <cfRule type="cellIs" dxfId="40423" priority="84406" stopIfTrue="1" operator="equal">
      <formula>-1</formula>
    </cfRule>
  </conditionalFormatting>
  <conditionalFormatting sqref="J24">
    <cfRule type="cellIs" dxfId="40422" priority="84407" stopIfTrue="1" operator="lessThan">
      <formula>0.5</formula>
    </cfRule>
  </conditionalFormatting>
  <conditionalFormatting sqref="J24">
    <cfRule type="cellIs" dxfId="40421" priority="84408" stopIfTrue="1" operator="greaterThanOrEqual">
      <formula>0.5</formula>
    </cfRule>
  </conditionalFormatting>
  <conditionalFormatting sqref="J25">
    <cfRule type="cellIs" dxfId="40420" priority="84409" stopIfTrue="1" operator="equal">
      <formula>-1</formula>
    </cfRule>
  </conditionalFormatting>
  <conditionalFormatting sqref="J25">
    <cfRule type="cellIs" dxfId="40419" priority="84410" stopIfTrue="1" operator="lessThan">
      <formula>0.5</formula>
    </cfRule>
  </conditionalFormatting>
  <conditionalFormatting sqref="J25">
    <cfRule type="cellIs" dxfId="40418" priority="84411" stopIfTrue="1" operator="greaterThanOrEqual">
      <formula>0.5</formula>
    </cfRule>
  </conditionalFormatting>
  <conditionalFormatting sqref="L17">
    <cfRule type="cellIs" dxfId="40417" priority="84448" stopIfTrue="1" operator="equal">
      <formula>-1</formula>
    </cfRule>
  </conditionalFormatting>
  <conditionalFormatting sqref="L17">
    <cfRule type="cellIs" dxfId="40416" priority="84449" stopIfTrue="1" operator="lessThan">
      <formula>0.5</formula>
    </cfRule>
  </conditionalFormatting>
  <conditionalFormatting sqref="L17">
    <cfRule type="cellIs" dxfId="40415" priority="84450" stopIfTrue="1" operator="greaterThanOrEqual">
      <formula>0.5</formula>
    </cfRule>
  </conditionalFormatting>
  <conditionalFormatting sqref="L18">
    <cfRule type="cellIs" dxfId="40414" priority="84451" stopIfTrue="1" operator="equal">
      <formula>-1</formula>
    </cfRule>
  </conditionalFormatting>
  <conditionalFormatting sqref="L18">
    <cfRule type="cellIs" dxfId="40413" priority="84452" stopIfTrue="1" operator="lessThan">
      <formula>0.5</formula>
    </cfRule>
  </conditionalFormatting>
  <conditionalFormatting sqref="L18">
    <cfRule type="cellIs" dxfId="40412" priority="84453" stopIfTrue="1" operator="greaterThanOrEqual">
      <formula>0.5</formula>
    </cfRule>
  </conditionalFormatting>
  <conditionalFormatting sqref="L19">
    <cfRule type="cellIs" dxfId="40411" priority="84454" stopIfTrue="1" operator="equal">
      <formula>-1</formula>
    </cfRule>
  </conditionalFormatting>
  <conditionalFormatting sqref="L19">
    <cfRule type="cellIs" dxfId="40410" priority="84455" stopIfTrue="1" operator="lessThan">
      <formula>0.5</formula>
    </cfRule>
  </conditionalFormatting>
  <conditionalFormatting sqref="L19">
    <cfRule type="cellIs" dxfId="40409" priority="84456" stopIfTrue="1" operator="greaterThanOrEqual">
      <formula>0.5</formula>
    </cfRule>
  </conditionalFormatting>
  <conditionalFormatting sqref="L20">
    <cfRule type="cellIs" dxfId="40408" priority="84457" stopIfTrue="1" operator="equal">
      <formula>-1</formula>
    </cfRule>
  </conditionalFormatting>
  <conditionalFormatting sqref="L20">
    <cfRule type="cellIs" dxfId="40407" priority="84458" stopIfTrue="1" operator="lessThan">
      <formula>0.5</formula>
    </cfRule>
  </conditionalFormatting>
  <conditionalFormatting sqref="L20">
    <cfRule type="cellIs" dxfId="40406" priority="84459" stopIfTrue="1" operator="greaterThanOrEqual">
      <formula>0.5</formula>
    </cfRule>
  </conditionalFormatting>
  <conditionalFormatting sqref="L21">
    <cfRule type="cellIs" dxfId="40405" priority="84460" stopIfTrue="1" operator="equal">
      <formula>-1</formula>
    </cfRule>
  </conditionalFormatting>
  <conditionalFormatting sqref="L21">
    <cfRule type="cellIs" dxfId="40404" priority="84461" stopIfTrue="1" operator="lessThan">
      <formula>0.5</formula>
    </cfRule>
  </conditionalFormatting>
  <conditionalFormatting sqref="L21">
    <cfRule type="cellIs" dxfId="40403" priority="84462" stopIfTrue="1" operator="greaterThanOrEqual">
      <formula>0.5</formula>
    </cfRule>
  </conditionalFormatting>
  <conditionalFormatting sqref="L22">
    <cfRule type="cellIs" dxfId="40402" priority="84463" stopIfTrue="1" operator="equal">
      <formula>-1</formula>
    </cfRule>
  </conditionalFormatting>
  <conditionalFormatting sqref="L22">
    <cfRule type="cellIs" dxfId="40401" priority="84464" stopIfTrue="1" operator="lessThan">
      <formula>0.5</formula>
    </cfRule>
  </conditionalFormatting>
  <conditionalFormatting sqref="L22">
    <cfRule type="cellIs" dxfId="40400" priority="84465" stopIfTrue="1" operator="greaterThanOrEqual">
      <formula>0.5</formula>
    </cfRule>
  </conditionalFormatting>
  <conditionalFormatting sqref="L23">
    <cfRule type="cellIs" dxfId="40399" priority="84466" stopIfTrue="1" operator="equal">
      <formula>-1</formula>
    </cfRule>
  </conditionalFormatting>
  <conditionalFormatting sqref="L23">
    <cfRule type="cellIs" dxfId="40398" priority="84467" stopIfTrue="1" operator="lessThan">
      <formula>0.5</formula>
    </cfRule>
  </conditionalFormatting>
  <conditionalFormatting sqref="L23">
    <cfRule type="cellIs" dxfId="40397" priority="84468" stopIfTrue="1" operator="greaterThanOrEqual">
      <formula>0.5</formula>
    </cfRule>
  </conditionalFormatting>
  <conditionalFormatting sqref="L24">
    <cfRule type="cellIs" dxfId="40396" priority="84469" stopIfTrue="1" operator="equal">
      <formula>-1</formula>
    </cfRule>
  </conditionalFormatting>
  <conditionalFormatting sqref="L24">
    <cfRule type="cellIs" dxfId="40395" priority="84470" stopIfTrue="1" operator="lessThan">
      <formula>0.5</formula>
    </cfRule>
  </conditionalFormatting>
  <conditionalFormatting sqref="L24">
    <cfRule type="cellIs" dxfId="40394" priority="84471" stopIfTrue="1" operator="greaterThanOrEqual">
      <formula>0.5</formula>
    </cfRule>
  </conditionalFormatting>
  <conditionalFormatting sqref="L25">
    <cfRule type="cellIs" dxfId="40393" priority="84472" stopIfTrue="1" operator="equal">
      <formula>-1</formula>
    </cfRule>
  </conditionalFormatting>
  <conditionalFormatting sqref="L25">
    <cfRule type="cellIs" dxfId="40392" priority="84473" stopIfTrue="1" operator="lessThan">
      <formula>0.5</formula>
    </cfRule>
  </conditionalFormatting>
  <conditionalFormatting sqref="L25">
    <cfRule type="cellIs" dxfId="40391" priority="84474" stopIfTrue="1" operator="greaterThanOrEqual">
      <formula>0.5</formula>
    </cfRule>
  </conditionalFormatting>
  <conditionalFormatting sqref="N17">
    <cfRule type="cellIs" dxfId="40390" priority="84511" stopIfTrue="1" operator="equal">
      <formula>-1</formula>
    </cfRule>
  </conditionalFormatting>
  <conditionalFormatting sqref="N17">
    <cfRule type="cellIs" dxfId="40389" priority="84512" stopIfTrue="1" operator="lessThan">
      <formula>0.5</formula>
    </cfRule>
  </conditionalFormatting>
  <conditionalFormatting sqref="N17">
    <cfRule type="cellIs" dxfId="40388" priority="84513" stopIfTrue="1" operator="greaterThanOrEqual">
      <formula>0.5</formula>
    </cfRule>
  </conditionalFormatting>
  <conditionalFormatting sqref="N18">
    <cfRule type="cellIs" dxfId="40387" priority="84514" stopIfTrue="1" operator="equal">
      <formula>-1</formula>
    </cfRule>
  </conditionalFormatting>
  <conditionalFormatting sqref="N18">
    <cfRule type="cellIs" dxfId="40386" priority="84515" stopIfTrue="1" operator="lessThan">
      <formula>0.5</formula>
    </cfRule>
  </conditionalFormatting>
  <conditionalFormatting sqref="N18">
    <cfRule type="cellIs" dxfId="40385" priority="84516" stopIfTrue="1" operator="greaterThanOrEqual">
      <formula>0.5</formula>
    </cfRule>
  </conditionalFormatting>
  <conditionalFormatting sqref="N19">
    <cfRule type="cellIs" dxfId="40384" priority="84517" stopIfTrue="1" operator="equal">
      <formula>-1</formula>
    </cfRule>
  </conditionalFormatting>
  <conditionalFormatting sqref="N19">
    <cfRule type="cellIs" dxfId="40383" priority="84518" stopIfTrue="1" operator="lessThan">
      <formula>0.5</formula>
    </cfRule>
  </conditionalFormatting>
  <conditionalFormatting sqref="N19">
    <cfRule type="cellIs" dxfId="40382" priority="84519" stopIfTrue="1" operator="greaterThanOrEqual">
      <formula>0.5</formula>
    </cfRule>
  </conditionalFormatting>
  <conditionalFormatting sqref="N20">
    <cfRule type="cellIs" dxfId="40381" priority="84520" stopIfTrue="1" operator="equal">
      <formula>-1</formula>
    </cfRule>
  </conditionalFormatting>
  <conditionalFormatting sqref="N20">
    <cfRule type="cellIs" dxfId="40380" priority="84521" stopIfTrue="1" operator="lessThan">
      <formula>0.5</formula>
    </cfRule>
  </conditionalFormatting>
  <conditionalFormatting sqref="N20">
    <cfRule type="cellIs" dxfId="40379" priority="84522" stopIfTrue="1" operator="greaterThanOrEqual">
      <formula>0.5</formula>
    </cfRule>
  </conditionalFormatting>
  <conditionalFormatting sqref="N21">
    <cfRule type="cellIs" dxfId="40378" priority="84523" stopIfTrue="1" operator="equal">
      <formula>-1</formula>
    </cfRule>
  </conditionalFormatting>
  <conditionalFormatting sqref="N21">
    <cfRule type="cellIs" dxfId="40377" priority="84524" stopIfTrue="1" operator="lessThan">
      <formula>0.5</formula>
    </cfRule>
  </conditionalFormatting>
  <conditionalFormatting sqref="N21">
    <cfRule type="cellIs" dxfId="40376" priority="84525" stopIfTrue="1" operator="greaterThanOrEqual">
      <formula>0.5</formula>
    </cfRule>
  </conditionalFormatting>
  <conditionalFormatting sqref="N22">
    <cfRule type="cellIs" dxfId="40375" priority="84526" stopIfTrue="1" operator="equal">
      <formula>-1</formula>
    </cfRule>
  </conditionalFormatting>
  <conditionalFormatting sqref="N22">
    <cfRule type="cellIs" dxfId="40374" priority="84527" stopIfTrue="1" operator="lessThan">
      <formula>0.5</formula>
    </cfRule>
  </conditionalFormatting>
  <conditionalFormatting sqref="N22">
    <cfRule type="cellIs" dxfId="40373" priority="84528" stopIfTrue="1" operator="greaterThanOrEqual">
      <formula>0.5</formula>
    </cfRule>
  </conditionalFormatting>
  <conditionalFormatting sqref="N23">
    <cfRule type="cellIs" dxfId="40372" priority="84529" stopIfTrue="1" operator="equal">
      <formula>-1</formula>
    </cfRule>
  </conditionalFormatting>
  <conditionalFormatting sqref="N23">
    <cfRule type="cellIs" dxfId="40371" priority="84530" stopIfTrue="1" operator="lessThan">
      <formula>0.5</formula>
    </cfRule>
  </conditionalFormatting>
  <conditionalFormatting sqref="N23">
    <cfRule type="cellIs" dxfId="40370" priority="84531" stopIfTrue="1" operator="greaterThanOrEqual">
      <formula>0.5</formula>
    </cfRule>
  </conditionalFormatting>
  <conditionalFormatting sqref="N24">
    <cfRule type="cellIs" dxfId="40369" priority="84532" stopIfTrue="1" operator="equal">
      <formula>-1</formula>
    </cfRule>
  </conditionalFormatting>
  <conditionalFormatting sqref="N24">
    <cfRule type="cellIs" dxfId="40368" priority="84533" stopIfTrue="1" operator="lessThan">
      <formula>0.5</formula>
    </cfRule>
  </conditionalFormatting>
  <conditionalFormatting sqref="N24">
    <cfRule type="cellIs" dxfId="40367" priority="84534" stopIfTrue="1" operator="greaterThanOrEqual">
      <formula>0.5</formula>
    </cfRule>
  </conditionalFormatting>
  <conditionalFormatting sqref="N25">
    <cfRule type="cellIs" dxfId="40366" priority="84535" stopIfTrue="1" operator="equal">
      <formula>-1</formula>
    </cfRule>
  </conditionalFormatting>
  <conditionalFormatting sqref="N25">
    <cfRule type="cellIs" dxfId="40365" priority="84536" stopIfTrue="1" operator="lessThan">
      <formula>0.5</formula>
    </cfRule>
  </conditionalFormatting>
  <conditionalFormatting sqref="N25">
    <cfRule type="cellIs" dxfId="40364" priority="84537" stopIfTrue="1" operator="greaterThanOrEqual">
      <formula>0.5</formula>
    </cfRule>
  </conditionalFormatting>
  <conditionalFormatting sqref="P17">
    <cfRule type="cellIs" dxfId="40363" priority="84574" stopIfTrue="1" operator="equal">
      <formula>-1</formula>
    </cfRule>
  </conditionalFormatting>
  <conditionalFormatting sqref="P17">
    <cfRule type="cellIs" dxfId="40362" priority="84575" stopIfTrue="1" operator="lessThan">
      <formula>0.5</formula>
    </cfRule>
  </conditionalFormatting>
  <conditionalFormatting sqref="P17">
    <cfRule type="cellIs" dxfId="40361" priority="84576" stopIfTrue="1" operator="greaterThanOrEqual">
      <formula>0.5</formula>
    </cfRule>
  </conditionalFormatting>
  <conditionalFormatting sqref="P18">
    <cfRule type="cellIs" dxfId="40360" priority="84577" stopIfTrue="1" operator="equal">
      <formula>-1</formula>
    </cfRule>
  </conditionalFormatting>
  <conditionalFormatting sqref="P18">
    <cfRule type="cellIs" dxfId="40359" priority="84578" stopIfTrue="1" operator="lessThan">
      <formula>0.5</formula>
    </cfRule>
  </conditionalFormatting>
  <conditionalFormatting sqref="P18">
    <cfRule type="cellIs" dxfId="40358" priority="84579" stopIfTrue="1" operator="greaterThanOrEqual">
      <formula>0.5</formula>
    </cfRule>
  </conditionalFormatting>
  <conditionalFormatting sqref="P19">
    <cfRule type="cellIs" dxfId="40357" priority="84580" stopIfTrue="1" operator="equal">
      <formula>-1</formula>
    </cfRule>
  </conditionalFormatting>
  <conditionalFormatting sqref="P19">
    <cfRule type="cellIs" dxfId="40356" priority="84581" stopIfTrue="1" operator="lessThan">
      <formula>0.5</formula>
    </cfRule>
  </conditionalFormatting>
  <conditionalFormatting sqref="P19">
    <cfRule type="cellIs" dxfId="40355" priority="84582" stopIfTrue="1" operator="greaterThanOrEqual">
      <formula>0.5</formula>
    </cfRule>
  </conditionalFormatting>
  <conditionalFormatting sqref="P20">
    <cfRule type="cellIs" dxfId="40354" priority="84583" stopIfTrue="1" operator="equal">
      <formula>-1</formula>
    </cfRule>
  </conditionalFormatting>
  <conditionalFormatting sqref="P20">
    <cfRule type="cellIs" dxfId="40353" priority="84584" stopIfTrue="1" operator="lessThan">
      <formula>0.5</formula>
    </cfRule>
  </conditionalFormatting>
  <conditionalFormatting sqref="P20">
    <cfRule type="cellIs" dxfId="40352" priority="84585" stopIfTrue="1" operator="greaterThanOrEqual">
      <formula>0.5</formula>
    </cfRule>
  </conditionalFormatting>
  <conditionalFormatting sqref="P21">
    <cfRule type="cellIs" dxfId="40351" priority="84586" stopIfTrue="1" operator="equal">
      <formula>-1</formula>
    </cfRule>
  </conditionalFormatting>
  <conditionalFormatting sqref="P21">
    <cfRule type="cellIs" dxfId="40350" priority="84587" stopIfTrue="1" operator="lessThan">
      <formula>0.5</formula>
    </cfRule>
  </conditionalFormatting>
  <conditionalFormatting sqref="P21">
    <cfRule type="cellIs" dxfId="40349" priority="84588" stopIfTrue="1" operator="greaterThanOrEqual">
      <formula>0.5</formula>
    </cfRule>
  </conditionalFormatting>
  <conditionalFormatting sqref="P22">
    <cfRule type="cellIs" dxfId="40348" priority="84589" stopIfTrue="1" operator="equal">
      <formula>-1</formula>
    </cfRule>
  </conditionalFormatting>
  <conditionalFormatting sqref="P22">
    <cfRule type="cellIs" dxfId="40347" priority="84590" stopIfTrue="1" operator="lessThan">
      <formula>0.5</formula>
    </cfRule>
  </conditionalFormatting>
  <conditionalFormatting sqref="P22">
    <cfRule type="cellIs" dxfId="40346" priority="84591" stopIfTrue="1" operator="greaterThanOrEqual">
      <formula>0.5</formula>
    </cfRule>
  </conditionalFormatting>
  <conditionalFormatting sqref="P23">
    <cfRule type="cellIs" dxfId="40345" priority="84592" stopIfTrue="1" operator="equal">
      <formula>-1</formula>
    </cfRule>
  </conditionalFormatting>
  <conditionalFormatting sqref="P23">
    <cfRule type="cellIs" dxfId="40344" priority="84593" stopIfTrue="1" operator="lessThan">
      <formula>0.5</formula>
    </cfRule>
  </conditionalFormatting>
  <conditionalFormatting sqref="P23">
    <cfRule type="cellIs" dxfId="40343" priority="84594" stopIfTrue="1" operator="greaterThanOrEqual">
      <formula>0.5</formula>
    </cfRule>
  </conditionalFormatting>
  <conditionalFormatting sqref="P24">
    <cfRule type="cellIs" dxfId="40342" priority="84595" stopIfTrue="1" operator="equal">
      <formula>-1</formula>
    </cfRule>
  </conditionalFormatting>
  <conditionalFormatting sqref="P24">
    <cfRule type="cellIs" dxfId="40341" priority="84596" stopIfTrue="1" operator="lessThan">
      <formula>0.5</formula>
    </cfRule>
  </conditionalFormatting>
  <conditionalFormatting sqref="P24">
    <cfRule type="cellIs" dxfId="40340" priority="84597" stopIfTrue="1" operator="greaterThanOrEqual">
      <formula>0.5</formula>
    </cfRule>
  </conditionalFormatting>
  <conditionalFormatting sqref="P25">
    <cfRule type="cellIs" dxfId="40339" priority="84598" stopIfTrue="1" operator="equal">
      <formula>-1</formula>
    </cfRule>
  </conditionalFormatting>
  <conditionalFormatting sqref="P25">
    <cfRule type="cellIs" dxfId="40338" priority="84599" stopIfTrue="1" operator="lessThan">
      <formula>0.5</formula>
    </cfRule>
  </conditionalFormatting>
  <conditionalFormatting sqref="P25">
    <cfRule type="cellIs" dxfId="40337" priority="84600" stopIfTrue="1" operator="greaterThanOrEqual">
      <formula>0.5</formula>
    </cfRule>
  </conditionalFormatting>
  <conditionalFormatting sqref="R17">
    <cfRule type="cellIs" dxfId="40336" priority="84637" stopIfTrue="1" operator="equal">
      <formula>-1</formula>
    </cfRule>
  </conditionalFormatting>
  <conditionalFormatting sqref="R17">
    <cfRule type="cellIs" dxfId="40335" priority="84638" stopIfTrue="1" operator="lessThan">
      <formula>0.5</formula>
    </cfRule>
  </conditionalFormatting>
  <conditionalFormatting sqref="R17">
    <cfRule type="cellIs" dxfId="40334" priority="84639" stopIfTrue="1" operator="greaterThanOrEqual">
      <formula>0.5</formula>
    </cfRule>
  </conditionalFormatting>
  <conditionalFormatting sqref="R18">
    <cfRule type="cellIs" dxfId="40333" priority="84640" stopIfTrue="1" operator="equal">
      <formula>-1</formula>
    </cfRule>
  </conditionalFormatting>
  <conditionalFormatting sqref="R18">
    <cfRule type="cellIs" dxfId="40332" priority="84641" stopIfTrue="1" operator="lessThan">
      <formula>0.5</formula>
    </cfRule>
  </conditionalFormatting>
  <conditionalFormatting sqref="R18">
    <cfRule type="cellIs" dxfId="40331" priority="84642" stopIfTrue="1" operator="greaterThanOrEqual">
      <formula>0.5</formula>
    </cfRule>
  </conditionalFormatting>
  <conditionalFormatting sqref="R19">
    <cfRule type="cellIs" dxfId="40330" priority="84643" stopIfTrue="1" operator="equal">
      <formula>-1</formula>
    </cfRule>
  </conditionalFormatting>
  <conditionalFormatting sqref="R19">
    <cfRule type="cellIs" dxfId="40329" priority="84644" stopIfTrue="1" operator="lessThan">
      <formula>0.5</formula>
    </cfRule>
  </conditionalFormatting>
  <conditionalFormatting sqref="R19">
    <cfRule type="cellIs" dxfId="40328" priority="84645" stopIfTrue="1" operator="greaterThanOrEqual">
      <formula>0.5</formula>
    </cfRule>
  </conditionalFormatting>
  <conditionalFormatting sqref="R20">
    <cfRule type="cellIs" dxfId="40327" priority="84646" stopIfTrue="1" operator="equal">
      <formula>-1</formula>
    </cfRule>
  </conditionalFormatting>
  <conditionalFormatting sqref="R20">
    <cfRule type="cellIs" dxfId="40326" priority="84647" stopIfTrue="1" operator="lessThan">
      <formula>0.5</formula>
    </cfRule>
  </conditionalFormatting>
  <conditionalFormatting sqref="R20">
    <cfRule type="cellIs" dxfId="40325" priority="84648" stopIfTrue="1" operator="greaterThanOrEqual">
      <formula>0.5</formula>
    </cfRule>
  </conditionalFormatting>
  <conditionalFormatting sqref="R21">
    <cfRule type="cellIs" dxfId="40324" priority="84649" stopIfTrue="1" operator="equal">
      <formula>-1</formula>
    </cfRule>
  </conditionalFormatting>
  <conditionalFormatting sqref="R21">
    <cfRule type="cellIs" dxfId="40323" priority="84650" stopIfTrue="1" operator="lessThan">
      <formula>0.5</formula>
    </cfRule>
  </conditionalFormatting>
  <conditionalFormatting sqref="R21">
    <cfRule type="cellIs" dxfId="40322" priority="84651" stopIfTrue="1" operator="greaterThanOrEqual">
      <formula>0.5</formula>
    </cfRule>
  </conditionalFormatting>
  <conditionalFormatting sqref="R22">
    <cfRule type="cellIs" dxfId="40321" priority="84652" stopIfTrue="1" operator="equal">
      <formula>-1</formula>
    </cfRule>
  </conditionalFormatting>
  <conditionalFormatting sqref="R22">
    <cfRule type="cellIs" dxfId="40320" priority="84653" stopIfTrue="1" operator="lessThan">
      <formula>0.5</formula>
    </cfRule>
  </conditionalFormatting>
  <conditionalFormatting sqref="R22">
    <cfRule type="cellIs" dxfId="40319" priority="84654" stopIfTrue="1" operator="greaterThanOrEqual">
      <formula>0.5</formula>
    </cfRule>
  </conditionalFormatting>
  <conditionalFormatting sqref="R23">
    <cfRule type="cellIs" dxfId="40318" priority="84655" stopIfTrue="1" operator="equal">
      <formula>-1</formula>
    </cfRule>
  </conditionalFormatting>
  <conditionalFormatting sqref="R23">
    <cfRule type="cellIs" dxfId="40317" priority="84656" stopIfTrue="1" operator="lessThan">
      <formula>0.5</formula>
    </cfRule>
  </conditionalFormatting>
  <conditionalFormatting sqref="R23">
    <cfRule type="cellIs" dxfId="40316" priority="84657" stopIfTrue="1" operator="greaterThanOrEqual">
      <formula>0.5</formula>
    </cfRule>
  </conditionalFormatting>
  <conditionalFormatting sqref="R24">
    <cfRule type="cellIs" dxfId="40315" priority="84658" stopIfTrue="1" operator="equal">
      <formula>-1</formula>
    </cfRule>
  </conditionalFormatting>
  <conditionalFormatting sqref="R24">
    <cfRule type="cellIs" dxfId="40314" priority="84659" stopIfTrue="1" operator="lessThan">
      <formula>0.5</formula>
    </cfRule>
  </conditionalFormatting>
  <conditionalFormatting sqref="R24">
    <cfRule type="cellIs" dxfId="40313" priority="84660" stopIfTrue="1" operator="greaterThanOrEqual">
      <formula>0.5</formula>
    </cfRule>
  </conditionalFormatting>
  <conditionalFormatting sqref="R25">
    <cfRule type="cellIs" dxfId="40312" priority="84661" stopIfTrue="1" operator="equal">
      <formula>-1</formula>
    </cfRule>
  </conditionalFormatting>
  <conditionalFormatting sqref="R25">
    <cfRule type="cellIs" dxfId="40311" priority="84662" stopIfTrue="1" operator="lessThan">
      <formula>0.5</formula>
    </cfRule>
  </conditionalFormatting>
  <conditionalFormatting sqref="R25">
    <cfRule type="cellIs" dxfId="40310" priority="84663" stopIfTrue="1" operator="greaterThanOrEqual">
      <formula>0.5</formula>
    </cfRule>
  </conditionalFormatting>
  <conditionalFormatting sqref="T17">
    <cfRule type="cellIs" dxfId="40309" priority="84700" stopIfTrue="1" operator="equal">
      <formula>-1</formula>
    </cfRule>
  </conditionalFormatting>
  <conditionalFormatting sqref="T17">
    <cfRule type="cellIs" dxfId="40308" priority="84701" stopIfTrue="1" operator="lessThan">
      <formula>0.5</formula>
    </cfRule>
  </conditionalFormatting>
  <conditionalFormatting sqref="T17">
    <cfRule type="cellIs" dxfId="40307" priority="84702" stopIfTrue="1" operator="greaterThanOrEqual">
      <formula>0.5</formula>
    </cfRule>
  </conditionalFormatting>
  <conditionalFormatting sqref="T18">
    <cfRule type="cellIs" dxfId="40306" priority="84703" stopIfTrue="1" operator="equal">
      <formula>-1</formula>
    </cfRule>
  </conditionalFormatting>
  <conditionalFormatting sqref="T18">
    <cfRule type="cellIs" dxfId="40305" priority="84704" stopIfTrue="1" operator="lessThan">
      <formula>0.5</formula>
    </cfRule>
  </conditionalFormatting>
  <conditionalFormatting sqref="T18">
    <cfRule type="cellIs" dxfId="40304" priority="84705" stopIfTrue="1" operator="greaterThanOrEqual">
      <formula>0.5</formula>
    </cfRule>
  </conditionalFormatting>
  <conditionalFormatting sqref="T19">
    <cfRule type="cellIs" dxfId="40303" priority="84706" stopIfTrue="1" operator="equal">
      <formula>-1</formula>
    </cfRule>
  </conditionalFormatting>
  <conditionalFormatting sqref="T19">
    <cfRule type="cellIs" dxfId="40302" priority="84707" stopIfTrue="1" operator="lessThan">
      <formula>0.5</formula>
    </cfRule>
  </conditionalFormatting>
  <conditionalFormatting sqref="T19">
    <cfRule type="cellIs" dxfId="40301" priority="84708" stopIfTrue="1" operator="greaterThanOrEqual">
      <formula>0.5</formula>
    </cfRule>
  </conditionalFormatting>
  <conditionalFormatting sqref="T20">
    <cfRule type="cellIs" dxfId="40300" priority="84709" stopIfTrue="1" operator="equal">
      <formula>-1</formula>
    </cfRule>
  </conditionalFormatting>
  <conditionalFormatting sqref="T20">
    <cfRule type="cellIs" dxfId="40299" priority="84710" stopIfTrue="1" operator="lessThan">
      <formula>0.5</formula>
    </cfRule>
  </conditionalFormatting>
  <conditionalFormatting sqref="T20">
    <cfRule type="cellIs" dxfId="40298" priority="84711" stopIfTrue="1" operator="greaterThanOrEqual">
      <formula>0.5</formula>
    </cfRule>
  </conditionalFormatting>
  <conditionalFormatting sqref="T21">
    <cfRule type="cellIs" dxfId="40297" priority="84712" stopIfTrue="1" operator="equal">
      <formula>-1</formula>
    </cfRule>
  </conditionalFormatting>
  <conditionalFormatting sqref="T21">
    <cfRule type="cellIs" dxfId="40296" priority="84713" stopIfTrue="1" operator="lessThan">
      <formula>0.5</formula>
    </cfRule>
  </conditionalFormatting>
  <conditionalFormatting sqref="T21">
    <cfRule type="cellIs" dxfId="40295" priority="84714" stopIfTrue="1" operator="greaterThanOrEqual">
      <formula>0.5</formula>
    </cfRule>
  </conditionalFormatting>
  <conditionalFormatting sqref="T22">
    <cfRule type="cellIs" dxfId="40294" priority="84715" stopIfTrue="1" operator="equal">
      <formula>-1</formula>
    </cfRule>
  </conditionalFormatting>
  <conditionalFormatting sqref="T22">
    <cfRule type="cellIs" dxfId="40293" priority="84716" stopIfTrue="1" operator="lessThan">
      <formula>0.5</formula>
    </cfRule>
  </conditionalFormatting>
  <conditionalFormatting sqref="T22">
    <cfRule type="cellIs" dxfId="40292" priority="84717" stopIfTrue="1" operator="greaterThanOrEqual">
      <formula>0.5</formula>
    </cfRule>
  </conditionalFormatting>
  <conditionalFormatting sqref="T23">
    <cfRule type="cellIs" dxfId="40291" priority="84718" stopIfTrue="1" operator="equal">
      <formula>-1</formula>
    </cfRule>
  </conditionalFormatting>
  <conditionalFormatting sqref="T23">
    <cfRule type="cellIs" dxfId="40290" priority="84719" stopIfTrue="1" operator="lessThan">
      <formula>0.5</formula>
    </cfRule>
  </conditionalFormatting>
  <conditionalFormatting sqref="T23">
    <cfRule type="cellIs" dxfId="40289" priority="84720" stopIfTrue="1" operator="greaterThanOrEqual">
      <formula>0.5</formula>
    </cfRule>
  </conditionalFormatting>
  <conditionalFormatting sqref="T24">
    <cfRule type="cellIs" dxfId="40288" priority="84721" stopIfTrue="1" operator="equal">
      <formula>-1</formula>
    </cfRule>
  </conditionalFormatting>
  <conditionalFormatting sqref="T24">
    <cfRule type="cellIs" dxfId="40287" priority="84722" stopIfTrue="1" operator="lessThan">
      <formula>0.5</formula>
    </cfRule>
  </conditionalFormatting>
  <conditionalFormatting sqref="T24">
    <cfRule type="cellIs" dxfId="40286" priority="84723" stopIfTrue="1" operator="greaterThanOrEqual">
      <formula>0.5</formula>
    </cfRule>
  </conditionalFormatting>
  <conditionalFormatting sqref="T25">
    <cfRule type="cellIs" dxfId="40285" priority="84724" stopIfTrue="1" operator="equal">
      <formula>-1</formula>
    </cfRule>
  </conditionalFormatting>
  <conditionalFormatting sqref="T25">
    <cfRule type="cellIs" dxfId="40284" priority="84725" stopIfTrue="1" operator="lessThan">
      <formula>0.5</formula>
    </cfRule>
  </conditionalFormatting>
  <conditionalFormatting sqref="T25">
    <cfRule type="cellIs" dxfId="40283" priority="84726" stopIfTrue="1" operator="greaterThanOrEqual">
      <formula>0.5</formula>
    </cfRule>
  </conditionalFormatting>
  <conditionalFormatting sqref="V17">
    <cfRule type="cellIs" dxfId="40282" priority="84763" stopIfTrue="1" operator="equal">
      <formula>-1</formula>
    </cfRule>
  </conditionalFormatting>
  <conditionalFormatting sqref="V17">
    <cfRule type="cellIs" dxfId="40281" priority="84764" stopIfTrue="1" operator="lessThan">
      <formula>0.5</formula>
    </cfRule>
  </conditionalFormatting>
  <conditionalFormatting sqref="V17">
    <cfRule type="cellIs" dxfId="40280" priority="84765" stopIfTrue="1" operator="greaterThanOrEqual">
      <formula>0.5</formula>
    </cfRule>
  </conditionalFormatting>
  <conditionalFormatting sqref="V18">
    <cfRule type="cellIs" dxfId="40279" priority="84766" stopIfTrue="1" operator="equal">
      <formula>-1</formula>
    </cfRule>
  </conditionalFormatting>
  <conditionalFormatting sqref="V18">
    <cfRule type="cellIs" dxfId="40278" priority="84767" stopIfTrue="1" operator="lessThan">
      <formula>0.5</formula>
    </cfRule>
  </conditionalFormatting>
  <conditionalFormatting sqref="V18">
    <cfRule type="cellIs" dxfId="40277" priority="84768" stopIfTrue="1" operator="greaterThanOrEqual">
      <formula>0.5</formula>
    </cfRule>
  </conditionalFormatting>
  <conditionalFormatting sqref="V19">
    <cfRule type="cellIs" dxfId="40276" priority="84769" stopIfTrue="1" operator="equal">
      <formula>-1</formula>
    </cfRule>
  </conditionalFormatting>
  <conditionalFormatting sqref="V19">
    <cfRule type="cellIs" dxfId="40275" priority="84770" stopIfTrue="1" operator="lessThan">
      <formula>0.5</formula>
    </cfRule>
  </conditionalFormatting>
  <conditionalFormatting sqref="V19">
    <cfRule type="cellIs" dxfId="40274" priority="84771" stopIfTrue="1" operator="greaterThanOrEqual">
      <formula>0.5</formula>
    </cfRule>
  </conditionalFormatting>
  <conditionalFormatting sqref="V20">
    <cfRule type="cellIs" dxfId="40273" priority="84772" stopIfTrue="1" operator="equal">
      <formula>-1</formula>
    </cfRule>
  </conditionalFormatting>
  <conditionalFormatting sqref="V20">
    <cfRule type="cellIs" dxfId="40272" priority="84773" stopIfTrue="1" operator="lessThan">
      <formula>0.5</formula>
    </cfRule>
  </conditionalFormatting>
  <conditionalFormatting sqref="V20">
    <cfRule type="cellIs" dxfId="40271" priority="84774" stopIfTrue="1" operator="greaterThanOrEqual">
      <formula>0.5</formula>
    </cfRule>
  </conditionalFormatting>
  <conditionalFormatting sqref="V21">
    <cfRule type="cellIs" dxfId="40270" priority="84775" stopIfTrue="1" operator="equal">
      <formula>-1</formula>
    </cfRule>
  </conditionalFormatting>
  <conditionalFormatting sqref="V21">
    <cfRule type="cellIs" dxfId="40269" priority="84776" stopIfTrue="1" operator="lessThan">
      <formula>0.5</formula>
    </cfRule>
  </conditionalFormatting>
  <conditionalFormatting sqref="V21">
    <cfRule type="cellIs" dxfId="40268" priority="84777" stopIfTrue="1" operator="greaterThanOrEqual">
      <formula>0.5</formula>
    </cfRule>
  </conditionalFormatting>
  <conditionalFormatting sqref="V22">
    <cfRule type="cellIs" dxfId="40267" priority="84778" stopIfTrue="1" operator="equal">
      <formula>-1</formula>
    </cfRule>
  </conditionalFormatting>
  <conditionalFormatting sqref="V22">
    <cfRule type="cellIs" dxfId="40266" priority="84779" stopIfTrue="1" operator="lessThan">
      <formula>0.5</formula>
    </cfRule>
  </conditionalFormatting>
  <conditionalFormatting sqref="V22">
    <cfRule type="cellIs" dxfId="40265" priority="84780" stopIfTrue="1" operator="greaterThanOrEqual">
      <formula>0.5</formula>
    </cfRule>
  </conditionalFormatting>
  <conditionalFormatting sqref="V23">
    <cfRule type="cellIs" dxfId="40264" priority="84781" stopIfTrue="1" operator="equal">
      <formula>-1</formula>
    </cfRule>
  </conditionalFormatting>
  <conditionalFormatting sqref="V23">
    <cfRule type="cellIs" dxfId="40263" priority="84782" stopIfTrue="1" operator="lessThan">
      <formula>0.5</formula>
    </cfRule>
  </conditionalFormatting>
  <conditionalFormatting sqref="V23">
    <cfRule type="cellIs" dxfId="40262" priority="84783" stopIfTrue="1" operator="greaterThanOrEqual">
      <formula>0.5</formula>
    </cfRule>
  </conditionalFormatting>
  <conditionalFormatting sqref="V24">
    <cfRule type="cellIs" dxfId="40261" priority="84784" stopIfTrue="1" operator="equal">
      <formula>-1</formula>
    </cfRule>
  </conditionalFormatting>
  <conditionalFormatting sqref="V24">
    <cfRule type="cellIs" dxfId="40260" priority="84785" stopIfTrue="1" operator="lessThan">
      <formula>0.5</formula>
    </cfRule>
  </conditionalFormatting>
  <conditionalFormatting sqref="V24">
    <cfRule type="cellIs" dxfId="40259" priority="84786" stopIfTrue="1" operator="greaterThanOrEqual">
      <formula>0.5</formula>
    </cfRule>
  </conditionalFormatting>
  <conditionalFormatting sqref="V25">
    <cfRule type="cellIs" dxfId="40258" priority="84787" stopIfTrue="1" operator="equal">
      <formula>-1</formula>
    </cfRule>
  </conditionalFormatting>
  <conditionalFormatting sqref="V25">
    <cfRule type="cellIs" dxfId="40257" priority="84788" stopIfTrue="1" operator="lessThan">
      <formula>0.5</formula>
    </cfRule>
  </conditionalFormatting>
  <conditionalFormatting sqref="V25">
    <cfRule type="cellIs" dxfId="40256" priority="84789" stopIfTrue="1" operator="greaterThanOrEqual">
      <formula>0.5</formula>
    </cfRule>
  </conditionalFormatting>
  <conditionalFormatting sqref="X17">
    <cfRule type="cellIs" dxfId="40255" priority="84826" stopIfTrue="1" operator="equal">
      <formula>-1</formula>
    </cfRule>
  </conditionalFormatting>
  <conditionalFormatting sqref="X17">
    <cfRule type="cellIs" dxfId="40254" priority="84827" stopIfTrue="1" operator="lessThan">
      <formula>0.5</formula>
    </cfRule>
  </conditionalFormatting>
  <conditionalFormatting sqref="X17">
    <cfRule type="cellIs" dxfId="40253" priority="84828" stopIfTrue="1" operator="greaterThanOrEqual">
      <formula>0.5</formula>
    </cfRule>
  </conditionalFormatting>
  <conditionalFormatting sqref="X18">
    <cfRule type="cellIs" dxfId="40252" priority="84829" stopIfTrue="1" operator="equal">
      <formula>-1</formula>
    </cfRule>
  </conditionalFormatting>
  <conditionalFormatting sqref="X18">
    <cfRule type="cellIs" dxfId="40251" priority="84830" stopIfTrue="1" operator="lessThan">
      <formula>0.5</formula>
    </cfRule>
  </conditionalFormatting>
  <conditionalFormatting sqref="X18">
    <cfRule type="cellIs" dxfId="40250" priority="84831" stopIfTrue="1" operator="greaterThanOrEqual">
      <formula>0.5</formula>
    </cfRule>
  </conditionalFormatting>
  <conditionalFormatting sqref="X19">
    <cfRule type="cellIs" dxfId="40249" priority="84832" stopIfTrue="1" operator="equal">
      <formula>-1</formula>
    </cfRule>
  </conditionalFormatting>
  <conditionalFormatting sqref="X19">
    <cfRule type="cellIs" dxfId="40248" priority="84833" stopIfTrue="1" operator="lessThan">
      <formula>0.5</formula>
    </cfRule>
  </conditionalFormatting>
  <conditionalFormatting sqref="X19">
    <cfRule type="cellIs" dxfId="40247" priority="84834" stopIfTrue="1" operator="greaterThanOrEqual">
      <formula>0.5</formula>
    </cfRule>
  </conditionalFormatting>
  <conditionalFormatting sqref="X20">
    <cfRule type="cellIs" dxfId="40246" priority="84835" stopIfTrue="1" operator="equal">
      <formula>-1</formula>
    </cfRule>
  </conditionalFormatting>
  <conditionalFormatting sqref="X20">
    <cfRule type="cellIs" dxfId="40245" priority="84836" stopIfTrue="1" operator="lessThan">
      <formula>0.5</formula>
    </cfRule>
  </conditionalFormatting>
  <conditionalFormatting sqref="X20">
    <cfRule type="cellIs" dxfId="40244" priority="84837" stopIfTrue="1" operator="greaterThanOrEqual">
      <formula>0.5</formula>
    </cfRule>
  </conditionalFormatting>
  <conditionalFormatting sqref="X21">
    <cfRule type="cellIs" dxfId="40243" priority="84838" stopIfTrue="1" operator="equal">
      <formula>-1</formula>
    </cfRule>
  </conditionalFormatting>
  <conditionalFormatting sqref="X21">
    <cfRule type="cellIs" dxfId="40242" priority="84839" stopIfTrue="1" operator="lessThan">
      <formula>0.5</formula>
    </cfRule>
  </conditionalFormatting>
  <conditionalFormatting sqref="X21">
    <cfRule type="cellIs" dxfId="40241" priority="84840" stopIfTrue="1" operator="greaterThanOrEqual">
      <formula>0.5</formula>
    </cfRule>
  </conditionalFormatting>
  <conditionalFormatting sqref="X22">
    <cfRule type="cellIs" dxfId="40240" priority="84841" stopIfTrue="1" operator="equal">
      <formula>-1</formula>
    </cfRule>
  </conditionalFormatting>
  <conditionalFormatting sqref="X22">
    <cfRule type="cellIs" dxfId="40239" priority="84842" stopIfTrue="1" operator="lessThan">
      <formula>0.5</formula>
    </cfRule>
  </conditionalFormatting>
  <conditionalFormatting sqref="X22">
    <cfRule type="cellIs" dxfId="40238" priority="84843" stopIfTrue="1" operator="greaterThanOrEqual">
      <formula>0.5</formula>
    </cfRule>
  </conditionalFormatting>
  <conditionalFormatting sqref="X23">
    <cfRule type="cellIs" dxfId="40237" priority="84844" stopIfTrue="1" operator="equal">
      <formula>-1</formula>
    </cfRule>
  </conditionalFormatting>
  <conditionalFormatting sqref="X23">
    <cfRule type="cellIs" dxfId="40236" priority="84845" stopIfTrue="1" operator="lessThan">
      <formula>0.5</formula>
    </cfRule>
  </conditionalFormatting>
  <conditionalFormatting sqref="X23">
    <cfRule type="cellIs" dxfId="40235" priority="84846" stopIfTrue="1" operator="greaterThanOrEqual">
      <formula>0.5</formula>
    </cfRule>
  </conditionalFormatting>
  <conditionalFormatting sqref="X24">
    <cfRule type="cellIs" dxfId="40234" priority="84847" stopIfTrue="1" operator="equal">
      <formula>-1</formula>
    </cfRule>
  </conditionalFormatting>
  <conditionalFormatting sqref="X24">
    <cfRule type="cellIs" dxfId="40233" priority="84848" stopIfTrue="1" operator="lessThan">
      <formula>0.5</formula>
    </cfRule>
  </conditionalFormatting>
  <conditionalFormatting sqref="X24">
    <cfRule type="cellIs" dxfId="40232" priority="84849" stopIfTrue="1" operator="greaterThanOrEqual">
      <formula>0.5</formula>
    </cfRule>
  </conditionalFormatting>
  <conditionalFormatting sqref="X25">
    <cfRule type="cellIs" dxfId="40231" priority="84850" stopIfTrue="1" operator="equal">
      <formula>-1</formula>
    </cfRule>
  </conditionalFormatting>
  <conditionalFormatting sqref="X25">
    <cfRule type="cellIs" dxfId="40230" priority="84851" stopIfTrue="1" operator="lessThan">
      <formula>0.5</formula>
    </cfRule>
  </conditionalFormatting>
  <conditionalFormatting sqref="X25">
    <cfRule type="cellIs" dxfId="40229" priority="84852" stopIfTrue="1" operator="greaterThanOrEqual">
      <formula>0.5</formula>
    </cfRule>
  </conditionalFormatting>
  <conditionalFormatting sqref="Z17">
    <cfRule type="cellIs" dxfId="40228" priority="84889" stopIfTrue="1" operator="equal">
      <formula>-1</formula>
    </cfRule>
  </conditionalFormatting>
  <conditionalFormatting sqref="Z17">
    <cfRule type="cellIs" dxfId="40227" priority="84890" stopIfTrue="1" operator="lessThan">
      <formula>0.5</formula>
    </cfRule>
  </conditionalFormatting>
  <conditionalFormatting sqref="Z17">
    <cfRule type="cellIs" dxfId="40226" priority="84891" stopIfTrue="1" operator="greaterThanOrEqual">
      <formula>0.5</formula>
    </cfRule>
  </conditionalFormatting>
  <conditionalFormatting sqref="Z18">
    <cfRule type="cellIs" dxfId="40225" priority="84892" stopIfTrue="1" operator="equal">
      <formula>-1</formula>
    </cfRule>
  </conditionalFormatting>
  <conditionalFormatting sqref="Z18">
    <cfRule type="cellIs" dxfId="40224" priority="84893" stopIfTrue="1" operator="lessThan">
      <formula>0.5</formula>
    </cfRule>
  </conditionalFormatting>
  <conditionalFormatting sqref="Z18">
    <cfRule type="cellIs" dxfId="40223" priority="84894" stopIfTrue="1" operator="greaterThanOrEqual">
      <formula>0.5</formula>
    </cfRule>
  </conditionalFormatting>
  <conditionalFormatting sqref="Z19">
    <cfRule type="cellIs" dxfId="40222" priority="84895" stopIfTrue="1" operator="equal">
      <formula>-1</formula>
    </cfRule>
  </conditionalFormatting>
  <conditionalFormatting sqref="Z19">
    <cfRule type="cellIs" dxfId="40221" priority="84896" stopIfTrue="1" operator="lessThan">
      <formula>0.5</formula>
    </cfRule>
  </conditionalFormatting>
  <conditionalFormatting sqref="Z19">
    <cfRule type="cellIs" dxfId="40220" priority="84897" stopIfTrue="1" operator="greaterThanOrEqual">
      <formula>0.5</formula>
    </cfRule>
  </conditionalFormatting>
  <conditionalFormatting sqref="Z20">
    <cfRule type="cellIs" dxfId="40219" priority="84898" stopIfTrue="1" operator="equal">
      <formula>-1</formula>
    </cfRule>
  </conditionalFormatting>
  <conditionalFormatting sqref="Z20">
    <cfRule type="cellIs" dxfId="40218" priority="84899" stopIfTrue="1" operator="lessThan">
      <formula>0.5</formula>
    </cfRule>
  </conditionalFormatting>
  <conditionalFormatting sqref="Z20">
    <cfRule type="cellIs" dxfId="40217" priority="84900" stopIfTrue="1" operator="greaterThanOrEqual">
      <formula>0.5</formula>
    </cfRule>
  </conditionalFormatting>
  <conditionalFormatting sqref="Z21">
    <cfRule type="cellIs" dxfId="40216" priority="84901" stopIfTrue="1" operator="equal">
      <formula>-1</formula>
    </cfRule>
  </conditionalFormatting>
  <conditionalFormatting sqref="Z21">
    <cfRule type="cellIs" dxfId="40215" priority="84902" stopIfTrue="1" operator="lessThan">
      <formula>0.5</formula>
    </cfRule>
  </conditionalFormatting>
  <conditionalFormatting sqref="Z21">
    <cfRule type="cellIs" dxfId="40214" priority="84903" stopIfTrue="1" operator="greaterThanOrEqual">
      <formula>0.5</formula>
    </cfRule>
  </conditionalFormatting>
  <conditionalFormatting sqref="Z22">
    <cfRule type="cellIs" dxfId="40213" priority="84904" stopIfTrue="1" operator="equal">
      <formula>-1</formula>
    </cfRule>
  </conditionalFormatting>
  <conditionalFormatting sqref="Z22">
    <cfRule type="cellIs" dxfId="40212" priority="84905" stopIfTrue="1" operator="lessThan">
      <formula>0.5</formula>
    </cfRule>
  </conditionalFormatting>
  <conditionalFormatting sqref="Z22">
    <cfRule type="cellIs" dxfId="40211" priority="84906" stopIfTrue="1" operator="greaterThanOrEqual">
      <formula>0.5</formula>
    </cfRule>
  </conditionalFormatting>
  <conditionalFormatting sqref="Z23">
    <cfRule type="cellIs" dxfId="40210" priority="84907" stopIfTrue="1" operator="equal">
      <formula>-1</formula>
    </cfRule>
  </conditionalFormatting>
  <conditionalFormatting sqref="Z23">
    <cfRule type="cellIs" dxfId="40209" priority="84908" stopIfTrue="1" operator="lessThan">
      <formula>0.5</formula>
    </cfRule>
  </conditionalFormatting>
  <conditionalFormatting sqref="Z23">
    <cfRule type="cellIs" dxfId="40208" priority="84909" stopIfTrue="1" operator="greaterThanOrEqual">
      <formula>0.5</formula>
    </cfRule>
  </conditionalFormatting>
  <conditionalFormatting sqref="Z24">
    <cfRule type="cellIs" dxfId="40207" priority="84910" stopIfTrue="1" operator="equal">
      <formula>-1</formula>
    </cfRule>
  </conditionalFormatting>
  <conditionalFormatting sqref="Z24">
    <cfRule type="cellIs" dxfId="40206" priority="84911" stopIfTrue="1" operator="lessThan">
      <formula>0.5</formula>
    </cfRule>
  </conditionalFormatting>
  <conditionalFormatting sqref="Z24">
    <cfRule type="cellIs" dxfId="40205" priority="84912" stopIfTrue="1" operator="greaterThanOrEqual">
      <formula>0.5</formula>
    </cfRule>
  </conditionalFormatting>
  <conditionalFormatting sqref="Z25">
    <cfRule type="cellIs" dxfId="40204" priority="84913" stopIfTrue="1" operator="equal">
      <formula>-1</formula>
    </cfRule>
  </conditionalFormatting>
  <conditionalFormatting sqref="Z25">
    <cfRule type="cellIs" dxfId="40203" priority="84914" stopIfTrue="1" operator="lessThan">
      <formula>0.5</formula>
    </cfRule>
  </conditionalFormatting>
  <conditionalFormatting sqref="Z25">
    <cfRule type="cellIs" dxfId="40202" priority="84915" stopIfTrue="1" operator="greaterThanOrEqual">
      <formula>0.5</formula>
    </cfRule>
  </conditionalFormatting>
  <conditionalFormatting sqref="AB17">
    <cfRule type="cellIs" dxfId="40201" priority="84952" stopIfTrue="1" operator="equal">
      <formula>-1</formula>
    </cfRule>
  </conditionalFormatting>
  <conditionalFormatting sqref="AB17">
    <cfRule type="cellIs" dxfId="40200" priority="84953" stopIfTrue="1" operator="lessThan">
      <formula>0.5</formula>
    </cfRule>
  </conditionalFormatting>
  <conditionalFormatting sqref="AB17">
    <cfRule type="cellIs" dxfId="40199" priority="84954" stopIfTrue="1" operator="greaterThanOrEqual">
      <formula>0.5</formula>
    </cfRule>
  </conditionalFormatting>
  <conditionalFormatting sqref="AB18">
    <cfRule type="cellIs" dxfId="40198" priority="84955" stopIfTrue="1" operator="equal">
      <formula>-1</formula>
    </cfRule>
  </conditionalFormatting>
  <conditionalFormatting sqref="AB18">
    <cfRule type="cellIs" dxfId="40197" priority="84956" stopIfTrue="1" operator="lessThan">
      <formula>0.5</formula>
    </cfRule>
  </conditionalFormatting>
  <conditionalFormatting sqref="AB18">
    <cfRule type="cellIs" dxfId="40196" priority="84957" stopIfTrue="1" operator="greaterThanOrEqual">
      <formula>0.5</formula>
    </cfRule>
  </conditionalFormatting>
  <conditionalFormatting sqref="AB19">
    <cfRule type="cellIs" dxfId="40195" priority="84958" stopIfTrue="1" operator="equal">
      <formula>-1</formula>
    </cfRule>
  </conditionalFormatting>
  <conditionalFormatting sqref="AB19">
    <cfRule type="cellIs" dxfId="40194" priority="84959" stopIfTrue="1" operator="lessThan">
      <formula>0.5</formula>
    </cfRule>
  </conditionalFormatting>
  <conditionalFormatting sqref="AB19">
    <cfRule type="cellIs" dxfId="40193" priority="84960" stopIfTrue="1" operator="greaterThanOrEqual">
      <formula>0.5</formula>
    </cfRule>
  </conditionalFormatting>
  <conditionalFormatting sqref="AB20">
    <cfRule type="cellIs" dxfId="40192" priority="84961" stopIfTrue="1" operator="equal">
      <formula>-1</formula>
    </cfRule>
  </conditionalFormatting>
  <conditionalFormatting sqref="AB20">
    <cfRule type="cellIs" dxfId="40191" priority="84962" stopIfTrue="1" operator="lessThan">
      <formula>0.5</formula>
    </cfRule>
  </conditionalFormatting>
  <conditionalFormatting sqref="AB20">
    <cfRule type="cellIs" dxfId="40190" priority="84963" stopIfTrue="1" operator="greaterThanOrEqual">
      <formula>0.5</formula>
    </cfRule>
  </conditionalFormatting>
  <conditionalFormatting sqref="AB21">
    <cfRule type="cellIs" dxfId="40189" priority="84964" stopIfTrue="1" operator="equal">
      <formula>-1</formula>
    </cfRule>
  </conditionalFormatting>
  <conditionalFormatting sqref="AB21">
    <cfRule type="cellIs" dxfId="40188" priority="84965" stopIfTrue="1" operator="lessThan">
      <formula>0.5</formula>
    </cfRule>
  </conditionalFormatting>
  <conditionalFormatting sqref="AB21">
    <cfRule type="cellIs" dxfId="40187" priority="84966" stopIfTrue="1" operator="greaterThanOrEqual">
      <formula>0.5</formula>
    </cfRule>
  </conditionalFormatting>
  <conditionalFormatting sqref="AB22">
    <cfRule type="cellIs" dxfId="40186" priority="84967" stopIfTrue="1" operator="equal">
      <formula>-1</formula>
    </cfRule>
  </conditionalFormatting>
  <conditionalFormatting sqref="AB22">
    <cfRule type="cellIs" dxfId="40185" priority="84968" stopIfTrue="1" operator="lessThan">
      <formula>0.5</formula>
    </cfRule>
  </conditionalFormatting>
  <conditionalFormatting sqref="AB22">
    <cfRule type="cellIs" dxfId="40184" priority="84969" stopIfTrue="1" operator="greaterThanOrEqual">
      <formula>0.5</formula>
    </cfRule>
  </conditionalFormatting>
  <conditionalFormatting sqref="AB23">
    <cfRule type="cellIs" dxfId="40183" priority="84970" stopIfTrue="1" operator="equal">
      <formula>-1</formula>
    </cfRule>
  </conditionalFormatting>
  <conditionalFormatting sqref="AB23">
    <cfRule type="cellIs" dxfId="40182" priority="84971" stopIfTrue="1" operator="lessThan">
      <formula>0.5</formula>
    </cfRule>
  </conditionalFormatting>
  <conditionalFormatting sqref="AB23">
    <cfRule type="cellIs" dxfId="40181" priority="84972" stopIfTrue="1" operator="greaterThanOrEqual">
      <formula>0.5</formula>
    </cfRule>
  </conditionalFormatting>
  <conditionalFormatting sqref="AB24">
    <cfRule type="cellIs" dxfId="40180" priority="84973" stopIfTrue="1" operator="equal">
      <formula>-1</formula>
    </cfRule>
  </conditionalFormatting>
  <conditionalFormatting sqref="AB24">
    <cfRule type="cellIs" dxfId="40179" priority="84974" stopIfTrue="1" operator="lessThan">
      <formula>0.5</formula>
    </cfRule>
  </conditionalFormatting>
  <conditionalFormatting sqref="AB24">
    <cfRule type="cellIs" dxfId="40178" priority="84975" stopIfTrue="1" operator="greaterThanOrEqual">
      <formula>0.5</formula>
    </cfRule>
  </conditionalFormatting>
  <conditionalFormatting sqref="AB25">
    <cfRule type="cellIs" dxfId="40177" priority="84976" stopIfTrue="1" operator="equal">
      <formula>-1</formula>
    </cfRule>
  </conditionalFormatting>
  <conditionalFormatting sqref="AB25">
    <cfRule type="cellIs" dxfId="40176" priority="84977" stopIfTrue="1" operator="lessThan">
      <formula>0.5</formula>
    </cfRule>
  </conditionalFormatting>
  <conditionalFormatting sqref="AB25">
    <cfRule type="cellIs" dxfId="40175" priority="84978" stopIfTrue="1" operator="greaterThanOrEqual">
      <formula>0.5</formula>
    </cfRule>
  </conditionalFormatting>
  <conditionalFormatting sqref="AD17">
    <cfRule type="cellIs" dxfId="40174" priority="85015" stopIfTrue="1" operator="equal">
      <formula>-1</formula>
    </cfRule>
  </conditionalFormatting>
  <conditionalFormatting sqref="AD17">
    <cfRule type="cellIs" dxfId="40173" priority="85016" stopIfTrue="1" operator="lessThan">
      <formula>0.5</formula>
    </cfRule>
  </conditionalFormatting>
  <conditionalFormatting sqref="AD17">
    <cfRule type="cellIs" dxfId="40172" priority="85017" stopIfTrue="1" operator="greaterThanOrEqual">
      <formula>0.5</formula>
    </cfRule>
  </conditionalFormatting>
  <conditionalFormatting sqref="AD18">
    <cfRule type="cellIs" dxfId="40171" priority="85018" stopIfTrue="1" operator="equal">
      <formula>-1</formula>
    </cfRule>
  </conditionalFormatting>
  <conditionalFormatting sqref="AD18">
    <cfRule type="cellIs" dxfId="40170" priority="85019" stopIfTrue="1" operator="lessThan">
      <formula>0.5</formula>
    </cfRule>
  </conditionalFormatting>
  <conditionalFormatting sqref="AD18">
    <cfRule type="cellIs" dxfId="40169" priority="85020" stopIfTrue="1" operator="greaterThanOrEqual">
      <formula>0.5</formula>
    </cfRule>
  </conditionalFormatting>
  <conditionalFormatting sqref="AD19">
    <cfRule type="cellIs" dxfId="40168" priority="85021" stopIfTrue="1" operator="equal">
      <formula>-1</formula>
    </cfRule>
  </conditionalFormatting>
  <conditionalFormatting sqref="AD19">
    <cfRule type="cellIs" dxfId="40167" priority="85022" stopIfTrue="1" operator="lessThan">
      <formula>0.5</formula>
    </cfRule>
  </conditionalFormatting>
  <conditionalFormatting sqref="AD19">
    <cfRule type="cellIs" dxfId="40166" priority="85023" stopIfTrue="1" operator="greaterThanOrEqual">
      <formula>0.5</formula>
    </cfRule>
  </conditionalFormatting>
  <conditionalFormatting sqref="AD20">
    <cfRule type="cellIs" dxfId="40165" priority="85024" stopIfTrue="1" operator="equal">
      <formula>-1</formula>
    </cfRule>
  </conditionalFormatting>
  <conditionalFormatting sqref="AD20">
    <cfRule type="cellIs" dxfId="40164" priority="85025" stopIfTrue="1" operator="lessThan">
      <formula>0.5</formula>
    </cfRule>
  </conditionalFormatting>
  <conditionalFormatting sqref="AD20">
    <cfRule type="cellIs" dxfId="40163" priority="85026" stopIfTrue="1" operator="greaterThanOrEqual">
      <formula>0.5</formula>
    </cfRule>
  </conditionalFormatting>
  <conditionalFormatting sqref="AD21">
    <cfRule type="cellIs" dxfId="40162" priority="85027" stopIfTrue="1" operator="equal">
      <formula>-1</formula>
    </cfRule>
  </conditionalFormatting>
  <conditionalFormatting sqref="AD21">
    <cfRule type="cellIs" dxfId="40161" priority="85028" stopIfTrue="1" operator="lessThan">
      <formula>0.5</formula>
    </cfRule>
  </conditionalFormatting>
  <conditionalFormatting sqref="AD21">
    <cfRule type="cellIs" dxfId="40160" priority="85029" stopIfTrue="1" operator="greaterThanOrEqual">
      <formula>0.5</formula>
    </cfRule>
  </conditionalFormatting>
  <conditionalFormatting sqref="AD22">
    <cfRule type="cellIs" dxfId="40159" priority="85030" stopIfTrue="1" operator="equal">
      <formula>-1</formula>
    </cfRule>
  </conditionalFormatting>
  <conditionalFormatting sqref="AD22">
    <cfRule type="cellIs" dxfId="40158" priority="85031" stopIfTrue="1" operator="lessThan">
      <formula>0.5</formula>
    </cfRule>
  </conditionalFormatting>
  <conditionalFormatting sqref="AD22">
    <cfRule type="cellIs" dxfId="40157" priority="85032" stopIfTrue="1" operator="greaterThanOrEqual">
      <formula>0.5</formula>
    </cfRule>
  </conditionalFormatting>
  <conditionalFormatting sqref="AD23">
    <cfRule type="cellIs" dxfId="40156" priority="85033" stopIfTrue="1" operator="equal">
      <formula>-1</formula>
    </cfRule>
  </conditionalFormatting>
  <conditionalFormatting sqref="AD23">
    <cfRule type="cellIs" dxfId="40155" priority="85034" stopIfTrue="1" operator="lessThan">
      <formula>0.5</formula>
    </cfRule>
  </conditionalFormatting>
  <conditionalFormatting sqref="AD23">
    <cfRule type="cellIs" dxfId="40154" priority="85035" stopIfTrue="1" operator="greaterThanOrEqual">
      <formula>0.5</formula>
    </cfRule>
  </conditionalFormatting>
  <conditionalFormatting sqref="AD24">
    <cfRule type="cellIs" dxfId="40153" priority="85036" stopIfTrue="1" operator="equal">
      <formula>-1</formula>
    </cfRule>
  </conditionalFormatting>
  <conditionalFormatting sqref="AD24">
    <cfRule type="cellIs" dxfId="40152" priority="85037" stopIfTrue="1" operator="lessThan">
      <formula>0.5</formula>
    </cfRule>
  </conditionalFormatting>
  <conditionalFormatting sqref="AD24">
    <cfRule type="cellIs" dxfId="40151" priority="85038" stopIfTrue="1" operator="greaterThanOrEqual">
      <formula>0.5</formula>
    </cfRule>
  </conditionalFormatting>
  <conditionalFormatting sqref="AD25">
    <cfRule type="cellIs" dxfId="40150" priority="85039" stopIfTrue="1" operator="equal">
      <formula>-1</formula>
    </cfRule>
  </conditionalFormatting>
  <conditionalFormatting sqref="AD25">
    <cfRule type="cellIs" dxfId="40149" priority="85040" stopIfTrue="1" operator="lessThan">
      <formula>0.5</formula>
    </cfRule>
  </conditionalFormatting>
  <conditionalFormatting sqref="AD25">
    <cfRule type="cellIs" dxfId="40148" priority="85041" stopIfTrue="1" operator="greaterThanOrEqual">
      <formula>0.5</formula>
    </cfRule>
  </conditionalFormatting>
  <conditionalFormatting sqref="AF17">
    <cfRule type="cellIs" dxfId="40147" priority="85078" stopIfTrue="1" operator="equal">
      <formula>-1</formula>
    </cfRule>
  </conditionalFormatting>
  <conditionalFormatting sqref="AF17">
    <cfRule type="cellIs" dxfId="40146" priority="85079" stopIfTrue="1" operator="lessThan">
      <formula>0.5</formula>
    </cfRule>
  </conditionalFormatting>
  <conditionalFormatting sqref="AF17">
    <cfRule type="cellIs" dxfId="40145" priority="85080" stopIfTrue="1" operator="greaterThanOrEqual">
      <formula>0.5</formula>
    </cfRule>
  </conditionalFormatting>
  <conditionalFormatting sqref="AF18">
    <cfRule type="cellIs" dxfId="40144" priority="85081" stopIfTrue="1" operator="equal">
      <formula>-1</formula>
    </cfRule>
  </conditionalFormatting>
  <conditionalFormatting sqref="AF18">
    <cfRule type="cellIs" dxfId="40143" priority="85082" stopIfTrue="1" operator="lessThan">
      <formula>0.5</formula>
    </cfRule>
  </conditionalFormatting>
  <conditionalFormatting sqref="AF18">
    <cfRule type="cellIs" dxfId="40142" priority="85083" stopIfTrue="1" operator="greaterThanOrEqual">
      <formula>0.5</formula>
    </cfRule>
  </conditionalFormatting>
  <conditionalFormatting sqref="AF19">
    <cfRule type="cellIs" dxfId="40141" priority="85084" stopIfTrue="1" operator="equal">
      <formula>-1</formula>
    </cfRule>
  </conditionalFormatting>
  <conditionalFormatting sqref="AF19">
    <cfRule type="cellIs" dxfId="40140" priority="85085" stopIfTrue="1" operator="lessThan">
      <formula>0.5</formula>
    </cfRule>
  </conditionalFormatting>
  <conditionalFormatting sqref="AF19">
    <cfRule type="cellIs" dxfId="40139" priority="85086" stopIfTrue="1" operator="greaterThanOrEqual">
      <formula>0.5</formula>
    </cfRule>
  </conditionalFormatting>
  <conditionalFormatting sqref="AF20">
    <cfRule type="cellIs" dxfId="40138" priority="85087" stopIfTrue="1" operator="equal">
      <formula>-1</formula>
    </cfRule>
  </conditionalFormatting>
  <conditionalFormatting sqref="AF20">
    <cfRule type="cellIs" dxfId="40137" priority="85088" stopIfTrue="1" operator="lessThan">
      <formula>0.5</formula>
    </cfRule>
  </conditionalFormatting>
  <conditionalFormatting sqref="AF20">
    <cfRule type="cellIs" dxfId="40136" priority="85089" stopIfTrue="1" operator="greaterThanOrEqual">
      <formula>0.5</formula>
    </cfRule>
  </conditionalFormatting>
  <conditionalFormatting sqref="AF21">
    <cfRule type="cellIs" dxfId="40135" priority="85090" stopIfTrue="1" operator="equal">
      <formula>-1</formula>
    </cfRule>
  </conditionalFormatting>
  <conditionalFormatting sqref="AF21">
    <cfRule type="cellIs" dxfId="40134" priority="85091" stopIfTrue="1" operator="lessThan">
      <formula>0.5</formula>
    </cfRule>
  </conditionalFormatting>
  <conditionalFormatting sqref="AF21">
    <cfRule type="cellIs" dxfId="40133" priority="85092" stopIfTrue="1" operator="greaterThanOrEqual">
      <formula>0.5</formula>
    </cfRule>
  </conditionalFormatting>
  <conditionalFormatting sqref="AF22">
    <cfRule type="cellIs" dxfId="40132" priority="85093" stopIfTrue="1" operator="equal">
      <formula>-1</formula>
    </cfRule>
  </conditionalFormatting>
  <conditionalFormatting sqref="AF22">
    <cfRule type="cellIs" dxfId="40131" priority="85094" stopIfTrue="1" operator="lessThan">
      <formula>0.5</formula>
    </cfRule>
  </conditionalFormatting>
  <conditionalFormatting sqref="AF22">
    <cfRule type="cellIs" dxfId="40130" priority="85095" stopIfTrue="1" operator="greaterThanOrEqual">
      <formula>0.5</formula>
    </cfRule>
  </conditionalFormatting>
  <conditionalFormatting sqref="AF23">
    <cfRule type="cellIs" dxfId="40129" priority="85096" stopIfTrue="1" operator="equal">
      <formula>-1</formula>
    </cfRule>
  </conditionalFormatting>
  <conditionalFormatting sqref="AF23">
    <cfRule type="cellIs" dxfId="40128" priority="85097" stopIfTrue="1" operator="lessThan">
      <formula>0.5</formula>
    </cfRule>
  </conditionalFormatting>
  <conditionalFormatting sqref="AF23">
    <cfRule type="cellIs" dxfId="40127" priority="85098" stopIfTrue="1" operator="greaterThanOrEqual">
      <formula>0.5</formula>
    </cfRule>
  </conditionalFormatting>
  <conditionalFormatting sqref="AF24">
    <cfRule type="cellIs" dxfId="40126" priority="85099" stopIfTrue="1" operator="equal">
      <formula>-1</formula>
    </cfRule>
  </conditionalFormatting>
  <conditionalFormatting sqref="AF24">
    <cfRule type="cellIs" dxfId="40125" priority="85100" stopIfTrue="1" operator="lessThan">
      <formula>0.5</formula>
    </cfRule>
  </conditionalFormatting>
  <conditionalFormatting sqref="AF24">
    <cfRule type="cellIs" dxfId="40124" priority="85101" stopIfTrue="1" operator="greaterThanOrEqual">
      <formula>0.5</formula>
    </cfRule>
  </conditionalFormatting>
  <conditionalFormatting sqref="AF25">
    <cfRule type="cellIs" dxfId="40123" priority="85102" stopIfTrue="1" operator="equal">
      <formula>-1</formula>
    </cfRule>
  </conditionalFormatting>
  <conditionalFormatting sqref="AF25">
    <cfRule type="cellIs" dxfId="40122" priority="85103" stopIfTrue="1" operator="lessThan">
      <formula>0.5</formula>
    </cfRule>
  </conditionalFormatting>
  <conditionalFormatting sqref="AF25">
    <cfRule type="cellIs" dxfId="40121" priority="85104" stopIfTrue="1" operator="greaterThanOrEqual">
      <formula>0.5</formula>
    </cfRule>
  </conditionalFormatting>
  <conditionalFormatting sqref="AH17">
    <cfRule type="cellIs" dxfId="40120" priority="85141" stopIfTrue="1" operator="equal">
      <formula>-1</formula>
    </cfRule>
  </conditionalFormatting>
  <conditionalFormatting sqref="AH17">
    <cfRule type="cellIs" dxfId="40119" priority="85142" stopIfTrue="1" operator="lessThan">
      <formula>0.5</formula>
    </cfRule>
  </conditionalFormatting>
  <conditionalFormatting sqref="AH17">
    <cfRule type="cellIs" dxfId="40118" priority="85143" stopIfTrue="1" operator="greaterThanOrEqual">
      <formula>0.5</formula>
    </cfRule>
  </conditionalFormatting>
  <conditionalFormatting sqref="AH18">
    <cfRule type="cellIs" dxfId="40117" priority="85144" stopIfTrue="1" operator="equal">
      <formula>-1</formula>
    </cfRule>
  </conditionalFormatting>
  <conditionalFormatting sqref="AH18">
    <cfRule type="cellIs" dxfId="40116" priority="85145" stopIfTrue="1" operator="lessThan">
      <formula>0.5</formula>
    </cfRule>
  </conditionalFormatting>
  <conditionalFormatting sqref="AH18">
    <cfRule type="cellIs" dxfId="40115" priority="85146" stopIfTrue="1" operator="greaterThanOrEqual">
      <formula>0.5</formula>
    </cfRule>
  </conditionalFormatting>
  <conditionalFormatting sqref="AH19">
    <cfRule type="cellIs" dxfId="40114" priority="85147" stopIfTrue="1" operator="equal">
      <formula>-1</formula>
    </cfRule>
  </conditionalFormatting>
  <conditionalFormatting sqref="AH19">
    <cfRule type="cellIs" dxfId="40113" priority="85148" stopIfTrue="1" operator="lessThan">
      <formula>0.5</formula>
    </cfRule>
  </conditionalFormatting>
  <conditionalFormatting sqref="AH19">
    <cfRule type="cellIs" dxfId="40112" priority="85149" stopIfTrue="1" operator="greaterThanOrEqual">
      <formula>0.5</formula>
    </cfRule>
  </conditionalFormatting>
  <conditionalFormatting sqref="AH20">
    <cfRule type="cellIs" dxfId="40111" priority="85150" stopIfTrue="1" operator="equal">
      <formula>-1</formula>
    </cfRule>
  </conditionalFormatting>
  <conditionalFormatting sqref="AH20">
    <cfRule type="cellIs" dxfId="40110" priority="85151" stopIfTrue="1" operator="lessThan">
      <formula>0.5</formula>
    </cfRule>
  </conditionalFormatting>
  <conditionalFormatting sqref="AH20">
    <cfRule type="cellIs" dxfId="40109" priority="85152" stopIfTrue="1" operator="greaterThanOrEqual">
      <formula>0.5</formula>
    </cfRule>
  </conditionalFormatting>
  <conditionalFormatting sqref="AH21">
    <cfRule type="cellIs" dxfId="40108" priority="85153" stopIfTrue="1" operator="equal">
      <formula>-1</formula>
    </cfRule>
  </conditionalFormatting>
  <conditionalFormatting sqref="AH21">
    <cfRule type="cellIs" dxfId="40107" priority="85154" stopIfTrue="1" operator="lessThan">
      <formula>0.5</formula>
    </cfRule>
  </conditionalFormatting>
  <conditionalFormatting sqref="AH21">
    <cfRule type="cellIs" dxfId="40106" priority="85155" stopIfTrue="1" operator="greaterThanOrEqual">
      <formula>0.5</formula>
    </cfRule>
  </conditionalFormatting>
  <conditionalFormatting sqref="AH22">
    <cfRule type="cellIs" dxfId="40105" priority="85156" stopIfTrue="1" operator="equal">
      <formula>-1</formula>
    </cfRule>
  </conditionalFormatting>
  <conditionalFormatting sqref="AH22">
    <cfRule type="cellIs" dxfId="40104" priority="85157" stopIfTrue="1" operator="lessThan">
      <formula>0.5</formula>
    </cfRule>
  </conditionalFormatting>
  <conditionalFormatting sqref="AH22">
    <cfRule type="cellIs" dxfId="40103" priority="85158" stopIfTrue="1" operator="greaterThanOrEqual">
      <formula>0.5</formula>
    </cfRule>
  </conditionalFormatting>
  <conditionalFormatting sqref="AH23">
    <cfRule type="cellIs" dxfId="40102" priority="85159" stopIfTrue="1" operator="equal">
      <formula>-1</formula>
    </cfRule>
  </conditionalFormatting>
  <conditionalFormatting sqref="AH23">
    <cfRule type="cellIs" dxfId="40101" priority="85160" stopIfTrue="1" operator="lessThan">
      <formula>0.5</formula>
    </cfRule>
  </conditionalFormatting>
  <conditionalFormatting sqref="AH23">
    <cfRule type="cellIs" dxfId="40100" priority="85161" stopIfTrue="1" operator="greaterThanOrEqual">
      <formula>0.5</formula>
    </cfRule>
  </conditionalFormatting>
  <conditionalFormatting sqref="AH24">
    <cfRule type="cellIs" dxfId="40099" priority="85162" stopIfTrue="1" operator="equal">
      <formula>-1</formula>
    </cfRule>
  </conditionalFormatting>
  <conditionalFormatting sqref="AH24">
    <cfRule type="cellIs" dxfId="40098" priority="85163" stopIfTrue="1" operator="lessThan">
      <formula>0.5</formula>
    </cfRule>
  </conditionalFormatting>
  <conditionalFormatting sqref="AH24">
    <cfRule type="cellIs" dxfId="40097" priority="85164" stopIfTrue="1" operator="greaterThanOrEqual">
      <formula>0.5</formula>
    </cfRule>
  </conditionalFormatting>
  <conditionalFormatting sqref="AH25">
    <cfRule type="cellIs" dxfId="40096" priority="85165" stopIfTrue="1" operator="equal">
      <formula>-1</formula>
    </cfRule>
  </conditionalFormatting>
  <conditionalFormatting sqref="AH25">
    <cfRule type="cellIs" dxfId="40095" priority="85166" stopIfTrue="1" operator="lessThan">
      <formula>0.5</formula>
    </cfRule>
  </conditionalFormatting>
  <conditionalFormatting sqref="AH25">
    <cfRule type="cellIs" dxfId="40094" priority="85167" stopIfTrue="1" operator="greaterThanOrEqual">
      <formula>0.5</formula>
    </cfRule>
  </conditionalFormatting>
  <conditionalFormatting sqref="AJ17">
    <cfRule type="cellIs" dxfId="40093" priority="85204" stopIfTrue="1" operator="equal">
      <formula>-1</formula>
    </cfRule>
  </conditionalFormatting>
  <conditionalFormatting sqref="AJ17">
    <cfRule type="cellIs" dxfId="40092" priority="85205" stopIfTrue="1" operator="lessThan">
      <formula>0.5</formula>
    </cfRule>
  </conditionalFormatting>
  <conditionalFormatting sqref="AJ17">
    <cfRule type="cellIs" dxfId="40091" priority="85206" stopIfTrue="1" operator="greaterThanOrEqual">
      <formula>0.5</formula>
    </cfRule>
  </conditionalFormatting>
  <conditionalFormatting sqref="AJ18">
    <cfRule type="cellIs" dxfId="40090" priority="85207" stopIfTrue="1" operator="equal">
      <formula>-1</formula>
    </cfRule>
  </conditionalFormatting>
  <conditionalFormatting sqref="AJ18">
    <cfRule type="cellIs" dxfId="40089" priority="85208" stopIfTrue="1" operator="lessThan">
      <formula>0.5</formula>
    </cfRule>
  </conditionalFormatting>
  <conditionalFormatting sqref="AJ18">
    <cfRule type="cellIs" dxfId="40088" priority="85209" stopIfTrue="1" operator="greaterThanOrEqual">
      <formula>0.5</formula>
    </cfRule>
  </conditionalFormatting>
  <conditionalFormatting sqref="AJ19">
    <cfRule type="cellIs" dxfId="40087" priority="85210" stopIfTrue="1" operator="equal">
      <formula>-1</formula>
    </cfRule>
  </conditionalFormatting>
  <conditionalFormatting sqref="AJ19">
    <cfRule type="cellIs" dxfId="40086" priority="85211" stopIfTrue="1" operator="lessThan">
      <formula>0.5</formula>
    </cfRule>
  </conditionalFormatting>
  <conditionalFormatting sqref="AJ19">
    <cfRule type="cellIs" dxfId="40085" priority="85212" stopIfTrue="1" operator="greaterThanOrEqual">
      <formula>0.5</formula>
    </cfRule>
  </conditionalFormatting>
  <conditionalFormatting sqref="AJ20">
    <cfRule type="cellIs" dxfId="40084" priority="85213" stopIfTrue="1" operator="equal">
      <formula>-1</formula>
    </cfRule>
  </conditionalFormatting>
  <conditionalFormatting sqref="AJ20">
    <cfRule type="cellIs" dxfId="40083" priority="85214" stopIfTrue="1" operator="lessThan">
      <formula>0.5</formula>
    </cfRule>
  </conditionalFormatting>
  <conditionalFormatting sqref="AJ20">
    <cfRule type="cellIs" dxfId="40082" priority="85215" stopIfTrue="1" operator="greaterThanOrEqual">
      <formula>0.5</formula>
    </cfRule>
  </conditionalFormatting>
  <conditionalFormatting sqref="AJ21">
    <cfRule type="cellIs" dxfId="40081" priority="85216" stopIfTrue="1" operator="equal">
      <formula>-1</formula>
    </cfRule>
  </conditionalFormatting>
  <conditionalFormatting sqref="AJ21">
    <cfRule type="cellIs" dxfId="40080" priority="85217" stopIfTrue="1" operator="lessThan">
      <formula>0.5</formula>
    </cfRule>
  </conditionalFormatting>
  <conditionalFormatting sqref="AJ21">
    <cfRule type="cellIs" dxfId="40079" priority="85218" stopIfTrue="1" operator="greaterThanOrEqual">
      <formula>0.5</formula>
    </cfRule>
  </conditionalFormatting>
  <conditionalFormatting sqref="AJ22">
    <cfRule type="cellIs" dxfId="40078" priority="85219" stopIfTrue="1" operator="equal">
      <formula>-1</formula>
    </cfRule>
  </conditionalFormatting>
  <conditionalFormatting sqref="AJ22">
    <cfRule type="cellIs" dxfId="40077" priority="85220" stopIfTrue="1" operator="lessThan">
      <formula>0.5</formula>
    </cfRule>
  </conditionalFormatting>
  <conditionalFormatting sqref="AJ22">
    <cfRule type="cellIs" dxfId="40076" priority="85221" stopIfTrue="1" operator="greaterThanOrEqual">
      <formula>0.5</formula>
    </cfRule>
  </conditionalFormatting>
  <conditionalFormatting sqref="AJ23">
    <cfRule type="cellIs" dxfId="40075" priority="85222" stopIfTrue="1" operator="equal">
      <formula>-1</formula>
    </cfRule>
  </conditionalFormatting>
  <conditionalFormatting sqref="AJ23">
    <cfRule type="cellIs" dxfId="40074" priority="85223" stopIfTrue="1" operator="lessThan">
      <formula>0.5</formula>
    </cfRule>
  </conditionalFormatting>
  <conditionalFormatting sqref="AJ23">
    <cfRule type="cellIs" dxfId="40073" priority="85224" stopIfTrue="1" operator="greaterThanOrEqual">
      <formula>0.5</formula>
    </cfRule>
  </conditionalFormatting>
  <conditionalFormatting sqref="AJ24">
    <cfRule type="cellIs" dxfId="40072" priority="85225" stopIfTrue="1" operator="equal">
      <formula>-1</formula>
    </cfRule>
  </conditionalFormatting>
  <conditionalFormatting sqref="AJ24">
    <cfRule type="cellIs" dxfId="40071" priority="85226" stopIfTrue="1" operator="lessThan">
      <formula>0.5</formula>
    </cfRule>
  </conditionalFormatting>
  <conditionalFormatting sqref="AJ24">
    <cfRule type="cellIs" dxfId="40070" priority="85227" stopIfTrue="1" operator="greaterThanOrEqual">
      <formula>0.5</formula>
    </cfRule>
  </conditionalFormatting>
  <conditionalFormatting sqref="AJ25">
    <cfRule type="cellIs" dxfId="40069" priority="85228" stopIfTrue="1" operator="equal">
      <formula>-1</formula>
    </cfRule>
  </conditionalFormatting>
  <conditionalFormatting sqref="AJ25">
    <cfRule type="cellIs" dxfId="40068" priority="85229" stopIfTrue="1" operator="lessThan">
      <formula>0.5</formula>
    </cfRule>
  </conditionalFormatting>
  <conditionalFormatting sqref="AJ25">
    <cfRule type="cellIs" dxfId="40067" priority="85230" stopIfTrue="1" operator="greaterThanOrEqual">
      <formula>0.5</formula>
    </cfRule>
  </conditionalFormatting>
  <conditionalFormatting sqref="AL17">
    <cfRule type="cellIs" dxfId="40066" priority="85267" stopIfTrue="1" operator="equal">
      <formula>-1</formula>
    </cfRule>
  </conditionalFormatting>
  <conditionalFormatting sqref="AL17">
    <cfRule type="cellIs" dxfId="40065" priority="85268" stopIfTrue="1" operator="lessThan">
      <formula>0.5</formula>
    </cfRule>
  </conditionalFormatting>
  <conditionalFormatting sqref="AL17">
    <cfRule type="cellIs" dxfId="40064" priority="85269" stopIfTrue="1" operator="greaterThanOrEqual">
      <formula>0.5</formula>
    </cfRule>
  </conditionalFormatting>
  <conditionalFormatting sqref="AL18">
    <cfRule type="cellIs" dxfId="40063" priority="85270" stopIfTrue="1" operator="equal">
      <formula>-1</formula>
    </cfRule>
  </conditionalFormatting>
  <conditionalFormatting sqref="AL18">
    <cfRule type="cellIs" dxfId="40062" priority="85271" stopIfTrue="1" operator="lessThan">
      <formula>0.5</formula>
    </cfRule>
  </conditionalFormatting>
  <conditionalFormatting sqref="AL18">
    <cfRule type="cellIs" dxfId="40061" priority="85272" stopIfTrue="1" operator="greaterThanOrEqual">
      <formula>0.5</formula>
    </cfRule>
  </conditionalFormatting>
  <conditionalFormatting sqref="AL19">
    <cfRule type="cellIs" dxfId="40060" priority="85273" stopIfTrue="1" operator="equal">
      <formula>-1</formula>
    </cfRule>
  </conditionalFormatting>
  <conditionalFormatting sqref="AL19">
    <cfRule type="cellIs" dxfId="40059" priority="85274" stopIfTrue="1" operator="lessThan">
      <formula>0.5</formula>
    </cfRule>
  </conditionalFormatting>
  <conditionalFormatting sqref="AL19">
    <cfRule type="cellIs" dxfId="40058" priority="85275" stopIfTrue="1" operator="greaterThanOrEqual">
      <formula>0.5</formula>
    </cfRule>
  </conditionalFormatting>
  <conditionalFormatting sqref="AL20">
    <cfRule type="cellIs" dxfId="40057" priority="85276" stopIfTrue="1" operator="equal">
      <formula>-1</formula>
    </cfRule>
  </conditionalFormatting>
  <conditionalFormatting sqref="AL20">
    <cfRule type="cellIs" dxfId="40056" priority="85277" stopIfTrue="1" operator="lessThan">
      <formula>0.5</formula>
    </cfRule>
  </conditionalFormatting>
  <conditionalFormatting sqref="AL20">
    <cfRule type="cellIs" dxfId="40055" priority="85278" stopIfTrue="1" operator="greaterThanOrEqual">
      <formula>0.5</formula>
    </cfRule>
  </conditionalFormatting>
  <conditionalFormatting sqref="AL21">
    <cfRule type="cellIs" dxfId="40054" priority="85279" stopIfTrue="1" operator="equal">
      <formula>-1</formula>
    </cfRule>
  </conditionalFormatting>
  <conditionalFormatting sqref="AL21">
    <cfRule type="cellIs" dxfId="40053" priority="85280" stopIfTrue="1" operator="lessThan">
      <formula>0.5</formula>
    </cfRule>
  </conditionalFormatting>
  <conditionalFormatting sqref="AL21">
    <cfRule type="cellIs" dxfId="40052" priority="85281" stopIfTrue="1" operator="greaterThanOrEqual">
      <formula>0.5</formula>
    </cfRule>
  </conditionalFormatting>
  <conditionalFormatting sqref="AL22">
    <cfRule type="cellIs" dxfId="40051" priority="85282" stopIfTrue="1" operator="equal">
      <formula>-1</formula>
    </cfRule>
  </conditionalFormatting>
  <conditionalFormatting sqref="AL22">
    <cfRule type="cellIs" dxfId="40050" priority="85283" stopIfTrue="1" operator="lessThan">
      <formula>0.5</formula>
    </cfRule>
  </conditionalFormatting>
  <conditionalFormatting sqref="AL22">
    <cfRule type="cellIs" dxfId="40049" priority="85284" stopIfTrue="1" operator="greaterThanOrEqual">
      <formula>0.5</formula>
    </cfRule>
  </conditionalFormatting>
  <conditionalFormatting sqref="AL23">
    <cfRule type="cellIs" dxfId="40048" priority="85285" stopIfTrue="1" operator="equal">
      <formula>-1</formula>
    </cfRule>
  </conditionalFormatting>
  <conditionalFormatting sqref="AL23">
    <cfRule type="cellIs" dxfId="40047" priority="85286" stopIfTrue="1" operator="lessThan">
      <formula>0.5</formula>
    </cfRule>
  </conditionalFormatting>
  <conditionalFormatting sqref="AL23">
    <cfRule type="cellIs" dxfId="40046" priority="85287" stopIfTrue="1" operator="greaterThanOrEqual">
      <formula>0.5</formula>
    </cfRule>
  </conditionalFormatting>
  <conditionalFormatting sqref="AL24">
    <cfRule type="cellIs" dxfId="40045" priority="85288" stopIfTrue="1" operator="equal">
      <formula>-1</formula>
    </cfRule>
  </conditionalFormatting>
  <conditionalFormatting sqref="AL24">
    <cfRule type="cellIs" dxfId="40044" priority="85289" stopIfTrue="1" operator="lessThan">
      <formula>0.5</formula>
    </cfRule>
  </conditionalFormatting>
  <conditionalFormatting sqref="AL24">
    <cfRule type="cellIs" dxfId="40043" priority="85290" stopIfTrue="1" operator="greaterThanOrEqual">
      <formula>0.5</formula>
    </cfRule>
  </conditionalFormatting>
  <conditionalFormatting sqref="AL25">
    <cfRule type="cellIs" dxfId="40042" priority="85291" stopIfTrue="1" operator="equal">
      <formula>-1</formula>
    </cfRule>
  </conditionalFormatting>
  <conditionalFormatting sqref="AL25">
    <cfRule type="cellIs" dxfId="40041" priority="85292" stopIfTrue="1" operator="lessThan">
      <formula>0.5</formula>
    </cfRule>
  </conditionalFormatting>
  <conditionalFormatting sqref="AL25">
    <cfRule type="cellIs" dxfId="40040" priority="85293" stopIfTrue="1" operator="greaterThanOrEqual">
      <formula>0.5</formula>
    </cfRule>
  </conditionalFormatting>
  <conditionalFormatting sqref="AN17">
    <cfRule type="cellIs" dxfId="40039" priority="85330" stopIfTrue="1" operator="equal">
      <formula>-1</formula>
    </cfRule>
  </conditionalFormatting>
  <conditionalFormatting sqref="AN17">
    <cfRule type="cellIs" dxfId="40038" priority="85331" stopIfTrue="1" operator="lessThan">
      <formula>0.5</formula>
    </cfRule>
  </conditionalFormatting>
  <conditionalFormatting sqref="AN17">
    <cfRule type="cellIs" dxfId="40037" priority="85332" stopIfTrue="1" operator="greaterThanOrEqual">
      <formula>0.5</formula>
    </cfRule>
  </conditionalFormatting>
  <conditionalFormatting sqref="AN18">
    <cfRule type="cellIs" dxfId="40036" priority="85333" stopIfTrue="1" operator="equal">
      <formula>-1</formula>
    </cfRule>
  </conditionalFormatting>
  <conditionalFormatting sqref="AN18">
    <cfRule type="cellIs" dxfId="40035" priority="85334" stopIfTrue="1" operator="lessThan">
      <formula>0.5</formula>
    </cfRule>
  </conditionalFormatting>
  <conditionalFormatting sqref="AN18">
    <cfRule type="cellIs" dxfId="40034" priority="85335" stopIfTrue="1" operator="greaterThanOrEqual">
      <formula>0.5</formula>
    </cfRule>
  </conditionalFormatting>
  <conditionalFormatting sqref="AN19">
    <cfRule type="cellIs" dxfId="40033" priority="85336" stopIfTrue="1" operator="equal">
      <formula>-1</formula>
    </cfRule>
  </conditionalFormatting>
  <conditionalFormatting sqref="AN19">
    <cfRule type="cellIs" dxfId="40032" priority="85337" stopIfTrue="1" operator="lessThan">
      <formula>0.5</formula>
    </cfRule>
  </conditionalFormatting>
  <conditionalFormatting sqref="AN19">
    <cfRule type="cellIs" dxfId="40031" priority="85338" stopIfTrue="1" operator="greaterThanOrEqual">
      <formula>0.5</formula>
    </cfRule>
  </conditionalFormatting>
  <conditionalFormatting sqref="AN20">
    <cfRule type="cellIs" dxfId="40030" priority="85339" stopIfTrue="1" operator="equal">
      <formula>-1</formula>
    </cfRule>
  </conditionalFormatting>
  <conditionalFormatting sqref="AN20">
    <cfRule type="cellIs" dxfId="40029" priority="85340" stopIfTrue="1" operator="lessThan">
      <formula>0.5</formula>
    </cfRule>
  </conditionalFormatting>
  <conditionalFormatting sqref="AN20">
    <cfRule type="cellIs" dxfId="40028" priority="85341" stopIfTrue="1" operator="greaterThanOrEqual">
      <formula>0.5</formula>
    </cfRule>
  </conditionalFormatting>
  <conditionalFormatting sqref="AN21">
    <cfRule type="cellIs" dxfId="40027" priority="85342" stopIfTrue="1" operator="equal">
      <formula>-1</formula>
    </cfRule>
  </conditionalFormatting>
  <conditionalFormatting sqref="AN21">
    <cfRule type="cellIs" dxfId="40026" priority="85343" stopIfTrue="1" operator="lessThan">
      <formula>0.5</formula>
    </cfRule>
  </conditionalFormatting>
  <conditionalFormatting sqref="AN21">
    <cfRule type="cellIs" dxfId="40025" priority="85344" stopIfTrue="1" operator="greaterThanOrEqual">
      <formula>0.5</formula>
    </cfRule>
  </conditionalFormatting>
  <conditionalFormatting sqref="AN22">
    <cfRule type="cellIs" dxfId="40024" priority="85345" stopIfTrue="1" operator="equal">
      <formula>-1</formula>
    </cfRule>
  </conditionalFormatting>
  <conditionalFormatting sqref="AN22">
    <cfRule type="cellIs" dxfId="40023" priority="85346" stopIfTrue="1" operator="lessThan">
      <formula>0.5</formula>
    </cfRule>
  </conditionalFormatting>
  <conditionalFormatting sqref="AN22">
    <cfRule type="cellIs" dxfId="40022" priority="85347" stopIfTrue="1" operator="greaterThanOrEqual">
      <formula>0.5</formula>
    </cfRule>
  </conditionalFormatting>
  <conditionalFormatting sqref="AN23">
    <cfRule type="cellIs" dxfId="40021" priority="85348" stopIfTrue="1" operator="equal">
      <formula>-1</formula>
    </cfRule>
  </conditionalFormatting>
  <conditionalFormatting sqref="AN23">
    <cfRule type="cellIs" dxfId="40020" priority="85349" stopIfTrue="1" operator="lessThan">
      <formula>0.5</formula>
    </cfRule>
  </conditionalFormatting>
  <conditionalFormatting sqref="AN23">
    <cfRule type="cellIs" dxfId="40019" priority="85350" stopIfTrue="1" operator="greaterThanOrEqual">
      <formula>0.5</formula>
    </cfRule>
  </conditionalFormatting>
  <conditionalFormatting sqref="AN24">
    <cfRule type="cellIs" dxfId="40018" priority="85351" stopIfTrue="1" operator="equal">
      <formula>-1</formula>
    </cfRule>
  </conditionalFormatting>
  <conditionalFormatting sqref="AN24">
    <cfRule type="cellIs" dxfId="40017" priority="85352" stopIfTrue="1" operator="lessThan">
      <formula>0.5</formula>
    </cfRule>
  </conditionalFormatting>
  <conditionalFormatting sqref="AN24">
    <cfRule type="cellIs" dxfId="40016" priority="85353" stopIfTrue="1" operator="greaterThanOrEqual">
      <formula>0.5</formula>
    </cfRule>
  </conditionalFormatting>
  <conditionalFormatting sqref="AN25">
    <cfRule type="cellIs" dxfId="40015" priority="85354" stopIfTrue="1" operator="equal">
      <formula>-1</formula>
    </cfRule>
  </conditionalFormatting>
  <conditionalFormatting sqref="AN25">
    <cfRule type="cellIs" dxfId="40014" priority="85355" stopIfTrue="1" operator="lessThan">
      <formula>0.5</formula>
    </cfRule>
  </conditionalFormatting>
  <conditionalFormatting sqref="AN25">
    <cfRule type="cellIs" dxfId="40013" priority="85356" stopIfTrue="1" operator="greaterThanOrEqual">
      <formula>0.5</formula>
    </cfRule>
  </conditionalFormatting>
  <conditionalFormatting sqref="AP17">
    <cfRule type="cellIs" dxfId="40012" priority="85393" stopIfTrue="1" operator="equal">
      <formula>-1</formula>
    </cfRule>
  </conditionalFormatting>
  <conditionalFormatting sqref="AP17">
    <cfRule type="cellIs" dxfId="40011" priority="85394" stopIfTrue="1" operator="lessThan">
      <formula>0.5</formula>
    </cfRule>
  </conditionalFormatting>
  <conditionalFormatting sqref="AP17">
    <cfRule type="cellIs" dxfId="40010" priority="85395" stopIfTrue="1" operator="greaterThanOrEqual">
      <formula>0.5</formula>
    </cfRule>
  </conditionalFormatting>
  <conditionalFormatting sqref="AP18">
    <cfRule type="cellIs" dxfId="40009" priority="85396" stopIfTrue="1" operator="equal">
      <formula>-1</formula>
    </cfRule>
  </conditionalFormatting>
  <conditionalFormatting sqref="AP18">
    <cfRule type="cellIs" dxfId="40008" priority="85397" stopIfTrue="1" operator="lessThan">
      <formula>0.5</formula>
    </cfRule>
  </conditionalFormatting>
  <conditionalFormatting sqref="AP18">
    <cfRule type="cellIs" dxfId="40007" priority="85398" stopIfTrue="1" operator="greaterThanOrEqual">
      <formula>0.5</formula>
    </cfRule>
  </conditionalFormatting>
  <conditionalFormatting sqref="AP19">
    <cfRule type="cellIs" dxfId="40006" priority="85399" stopIfTrue="1" operator="equal">
      <formula>-1</formula>
    </cfRule>
  </conditionalFormatting>
  <conditionalFormatting sqref="AP19">
    <cfRule type="cellIs" dxfId="40005" priority="85400" stopIfTrue="1" operator="lessThan">
      <formula>0.5</formula>
    </cfRule>
  </conditionalFormatting>
  <conditionalFormatting sqref="AP19">
    <cfRule type="cellIs" dxfId="40004" priority="85401" stopIfTrue="1" operator="greaterThanOrEqual">
      <formula>0.5</formula>
    </cfRule>
  </conditionalFormatting>
  <conditionalFormatting sqref="AP20">
    <cfRule type="cellIs" dxfId="40003" priority="85402" stopIfTrue="1" operator="equal">
      <formula>-1</formula>
    </cfRule>
  </conditionalFormatting>
  <conditionalFormatting sqref="AP20">
    <cfRule type="cellIs" dxfId="40002" priority="85403" stopIfTrue="1" operator="lessThan">
      <formula>0.5</formula>
    </cfRule>
  </conditionalFormatting>
  <conditionalFormatting sqref="AP20">
    <cfRule type="cellIs" dxfId="40001" priority="85404" stopIfTrue="1" operator="greaterThanOrEqual">
      <formula>0.5</formula>
    </cfRule>
  </conditionalFormatting>
  <conditionalFormatting sqref="AP21">
    <cfRule type="cellIs" dxfId="40000" priority="85405" stopIfTrue="1" operator="equal">
      <formula>-1</formula>
    </cfRule>
  </conditionalFormatting>
  <conditionalFormatting sqref="AP21">
    <cfRule type="cellIs" dxfId="39999" priority="85406" stopIfTrue="1" operator="lessThan">
      <formula>0.5</formula>
    </cfRule>
  </conditionalFormatting>
  <conditionalFormatting sqref="AP21">
    <cfRule type="cellIs" dxfId="39998" priority="85407" stopIfTrue="1" operator="greaterThanOrEqual">
      <formula>0.5</formula>
    </cfRule>
  </conditionalFormatting>
  <conditionalFormatting sqref="AP22">
    <cfRule type="cellIs" dxfId="39997" priority="85408" stopIfTrue="1" operator="equal">
      <formula>-1</formula>
    </cfRule>
  </conditionalFormatting>
  <conditionalFormatting sqref="AP22">
    <cfRule type="cellIs" dxfId="39996" priority="85409" stopIfTrue="1" operator="lessThan">
      <formula>0.5</formula>
    </cfRule>
  </conditionalFormatting>
  <conditionalFormatting sqref="AP22">
    <cfRule type="cellIs" dxfId="39995" priority="85410" stopIfTrue="1" operator="greaterThanOrEqual">
      <formula>0.5</formula>
    </cfRule>
  </conditionalFormatting>
  <conditionalFormatting sqref="AP23">
    <cfRule type="cellIs" dxfId="39994" priority="85411" stopIfTrue="1" operator="equal">
      <formula>-1</formula>
    </cfRule>
  </conditionalFormatting>
  <conditionalFormatting sqref="AP23">
    <cfRule type="cellIs" dxfId="39993" priority="85412" stopIfTrue="1" operator="lessThan">
      <formula>0.5</formula>
    </cfRule>
  </conditionalFormatting>
  <conditionalFormatting sqref="AP23">
    <cfRule type="cellIs" dxfId="39992" priority="85413" stopIfTrue="1" operator="greaterThanOrEqual">
      <formula>0.5</formula>
    </cfRule>
  </conditionalFormatting>
  <conditionalFormatting sqref="AP24">
    <cfRule type="cellIs" dxfId="39991" priority="85414" stopIfTrue="1" operator="equal">
      <formula>-1</formula>
    </cfRule>
  </conditionalFormatting>
  <conditionalFormatting sqref="AP24">
    <cfRule type="cellIs" dxfId="39990" priority="85415" stopIfTrue="1" operator="lessThan">
      <formula>0.5</formula>
    </cfRule>
  </conditionalFormatting>
  <conditionalFormatting sqref="AP24">
    <cfRule type="cellIs" dxfId="39989" priority="85416" stopIfTrue="1" operator="greaterThanOrEqual">
      <formula>0.5</formula>
    </cfRule>
  </conditionalFormatting>
  <conditionalFormatting sqref="AP25">
    <cfRule type="cellIs" dxfId="39988" priority="85417" stopIfTrue="1" operator="equal">
      <formula>-1</formula>
    </cfRule>
  </conditionalFormatting>
  <conditionalFormatting sqref="AP25">
    <cfRule type="cellIs" dxfId="39987" priority="85418" stopIfTrue="1" operator="lessThan">
      <formula>0.5</formula>
    </cfRule>
  </conditionalFormatting>
  <conditionalFormatting sqref="AP25">
    <cfRule type="cellIs" dxfId="39986" priority="85419" stopIfTrue="1" operator="greaterThanOrEqual">
      <formula>0.5</formula>
    </cfRule>
  </conditionalFormatting>
  <conditionalFormatting sqref="AR17">
    <cfRule type="cellIs" dxfId="39985" priority="85456" stopIfTrue="1" operator="equal">
      <formula>-1</formula>
    </cfRule>
  </conditionalFormatting>
  <conditionalFormatting sqref="AR17">
    <cfRule type="cellIs" dxfId="39984" priority="85457" stopIfTrue="1" operator="lessThan">
      <formula>0.5</formula>
    </cfRule>
  </conditionalFormatting>
  <conditionalFormatting sqref="AR17">
    <cfRule type="cellIs" dxfId="39983" priority="85458" stopIfTrue="1" operator="greaterThanOrEqual">
      <formula>0.5</formula>
    </cfRule>
  </conditionalFormatting>
  <conditionalFormatting sqref="AR18">
    <cfRule type="cellIs" dxfId="39982" priority="85459" stopIfTrue="1" operator="equal">
      <formula>-1</formula>
    </cfRule>
  </conditionalFormatting>
  <conditionalFormatting sqref="AR18">
    <cfRule type="cellIs" dxfId="39981" priority="85460" stopIfTrue="1" operator="lessThan">
      <formula>0.5</formula>
    </cfRule>
  </conditionalFormatting>
  <conditionalFormatting sqref="AR18">
    <cfRule type="cellIs" dxfId="39980" priority="85461" stopIfTrue="1" operator="greaterThanOrEqual">
      <formula>0.5</formula>
    </cfRule>
  </conditionalFormatting>
  <conditionalFormatting sqref="AR19">
    <cfRule type="cellIs" dxfId="39979" priority="85462" stopIfTrue="1" operator="equal">
      <formula>-1</formula>
    </cfRule>
  </conditionalFormatting>
  <conditionalFormatting sqref="AR19">
    <cfRule type="cellIs" dxfId="39978" priority="85463" stopIfTrue="1" operator="lessThan">
      <formula>0.5</formula>
    </cfRule>
  </conditionalFormatting>
  <conditionalFormatting sqref="AR19">
    <cfRule type="cellIs" dxfId="39977" priority="85464" stopIfTrue="1" operator="greaterThanOrEqual">
      <formula>0.5</formula>
    </cfRule>
  </conditionalFormatting>
  <conditionalFormatting sqref="AR20">
    <cfRule type="cellIs" dxfId="39976" priority="85465" stopIfTrue="1" operator="equal">
      <formula>-1</formula>
    </cfRule>
  </conditionalFormatting>
  <conditionalFormatting sqref="AR20">
    <cfRule type="cellIs" dxfId="39975" priority="85466" stopIfTrue="1" operator="lessThan">
      <formula>0.5</formula>
    </cfRule>
  </conditionalFormatting>
  <conditionalFormatting sqref="AR20">
    <cfRule type="cellIs" dxfId="39974" priority="85467" stopIfTrue="1" operator="greaterThanOrEqual">
      <formula>0.5</formula>
    </cfRule>
  </conditionalFormatting>
  <conditionalFormatting sqref="AR21">
    <cfRule type="cellIs" dxfId="39973" priority="85468" stopIfTrue="1" operator="equal">
      <formula>-1</formula>
    </cfRule>
  </conditionalFormatting>
  <conditionalFormatting sqref="AR21">
    <cfRule type="cellIs" dxfId="39972" priority="85469" stopIfTrue="1" operator="lessThan">
      <formula>0.5</formula>
    </cfRule>
  </conditionalFormatting>
  <conditionalFormatting sqref="AR21">
    <cfRule type="cellIs" dxfId="39971" priority="85470" stopIfTrue="1" operator="greaterThanOrEqual">
      <formula>0.5</formula>
    </cfRule>
  </conditionalFormatting>
  <conditionalFormatting sqref="AR22">
    <cfRule type="cellIs" dxfId="39970" priority="85471" stopIfTrue="1" operator="equal">
      <formula>-1</formula>
    </cfRule>
  </conditionalFormatting>
  <conditionalFormatting sqref="AR22">
    <cfRule type="cellIs" dxfId="39969" priority="85472" stopIfTrue="1" operator="lessThan">
      <formula>0.5</formula>
    </cfRule>
  </conditionalFormatting>
  <conditionalFormatting sqref="AR22">
    <cfRule type="cellIs" dxfId="39968" priority="85473" stopIfTrue="1" operator="greaterThanOrEqual">
      <formula>0.5</formula>
    </cfRule>
  </conditionalFormatting>
  <conditionalFormatting sqref="AR23">
    <cfRule type="cellIs" dxfId="39967" priority="85474" stopIfTrue="1" operator="equal">
      <formula>-1</formula>
    </cfRule>
  </conditionalFormatting>
  <conditionalFormatting sqref="AR23">
    <cfRule type="cellIs" dxfId="39966" priority="85475" stopIfTrue="1" operator="lessThan">
      <formula>0.5</formula>
    </cfRule>
  </conditionalFormatting>
  <conditionalFormatting sqref="AR23">
    <cfRule type="cellIs" dxfId="39965" priority="85476" stopIfTrue="1" operator="greaterThanOrEqual">
      <formula>0.5</formula>
    </cfRule>
  </conditionalFormatting>
  <conditionalFormatting sqref="AR24">
    <cfRule type="cellIs" dxfId="39964" priority="85477" stopIfTrue="1" operator="equal">
      <formula>-1</formula>
    </cfRule>
  </conditionalFormatting>
  <conditionalFormatting sqref="AR24">
    <cfRule type="cellIs" dxfId="39963" priority="85478" stopIfTrue="1" operator="lessThan">
      <formula>0.5</formula>
    </cfRule>
  </conditionalFormatting>
  <conditionalFormatting sqref="AR24">
    <cfRule type="cellIs" dxfId="39962" priority="85479" stopIfTrue="1" operator="greaterThanOrEqual">
      <formula>0.5</formula>
    </cfRule>
  </conditionalFormatting>
  <conditionalFormatting sqref="AR25">
    <cfRule type="cellIs" dxfId="39961" priority="85480" stopIfTrue="1" operator="equal">
      <formula>-1</formula>
    </cfRule>
  </conditionalFormatting>
  <conditionalFormatting sqref="AR25">
    <cfRule type="cellIs" dxfId="39960" priority="85481" stopIfTrue="1" operator="lessThan">
      <formula>0.5</formula>
    </cfRule>
  </conditionalFormatting>
  <conditionalFormatting sqref="AR25">
    <cfRule type="cellIs" dxfId="39959" priority="85482" stopIfTrue="1" operator="greaterThanOrEqual">
      <formula>0.5</formula>
    </cfRule>
  </conditionalFormatting>
  <conditionalFormatting sqref="AT17">
    <cfRule type="cellIs" dxfId="39958" priority="85519" stopIfTrue="1" operator="equal">
      <formula>-1</formula>
    </cfRule>
  </conditionalFormatting>
  <conditionalFormatting sqref="AT17">
    <cfRule type="cellIs" dxfId="39957" priority="85520" stopIfTrue="1" operator="lessThan">
      <formula>0.5</formula>
    </cfRule>
  </conditionalFormatting>
  <conditionalFormatting sqref="AT17">
    <cfRule type="cellIs" dxfId="39956" priority="85521" stopIfTrue="1" operator="greaterThanOrEqual">
      <formula>0.5</formula>
    </cfRule>
  </conditionalFormatting>
  <conditionalFormatting sqref="AT18">
    <cfRule type="cellIs" dxfId="39955" priority="85522" stopIfTrue="1" operator="equal">
      <formula>-1</formula>
    </cfRule>
  </conditionalFormatting>
  <conditionalFormatting sqref="AT18">
    <cfRule type="cellIs" dxfId="39954" priority="85523" stopIfTrue="1" operator="lessThan">
      <formula>0.5</formula>
    </cfRule>
  </conditionalFormatting>
  <conditionalFormatting sqref="AT18">
    <cfRule type="cellIs" dxfId="39953" priority="85524" stopIfTrue="1" operator="greaterThanOrEqual">
      <formula>0.5</formula>
    </cfRule>
  </conditionalFormatting>
  <conditionalFormatting sqref="AT19">
    <cfRule type="cellIs" dxfId="39952" priority="85525" stopIfTrue="1" operator="equal">
      <formula>-1</formula>
    </cfRule>
  </conditionalFormatting>
  <conditionalFormatting sqref="AT19">
    <cfRule type="cellIs" dxfId="39951" priority="85526" stopIfTrue="1" operator="lessThan">
      <formula>0.5</formula>
    </cfRule>
  </conditionalFormatting>
  <conditionalFormatting sqref="AT19">
    <cfRule type="cellIs" dxfId="39950" priority="85527" stopIfTrue="1" operator="greaterThanOrEqual">
      <formula>0.5</formula>
    </cfRule>
  </conditionalFormatting>
  <conditionalFormatting sqref="AT20">
    <cfRule type="cellIs" dxfId="39949" priority="85528" stopIfTrue="1" operator="equal">
      <formula>-1</formula>
    </cfRule>
  </conditionalFormatting>
  <conditionalFormatting sqref="AT20">
    <cfRule type="cellIs" dxfId="39948" priority="85529" stopIfTrue="1" operator="lessThan">
      <formula>0.5</formula>
    </cfRule>
  </conditionalFormatting>
  <conditionalFormatting sqref="AT20">
    <cfRule type="cellIs" dxfId="39947" priority="85530" stopIfTrue="1" operator="greaterThanOrEqual">
      <formula>0.5</formula>
    </cfRule>
  </conditionalFormatting>
  <conditionalFormatting sqref="AT21">
    <cfRule type="cellIs" dxfId="39946" priority="85531" stopIfTrue="1" operator="equal">
      <formula>-1</formula>
    </cfRule>
  </conditionalFormatting>
  <conditionalFormatting sqref="AT21">
    <cfRule type="cellIs" dxfId="39945" priority="85532" stopIfTrue="1" operator="lessThan">
      <formula>0.5</formula>
    </cfRule>
  </conditionalFormatting>
  <conditionalFormatting sqref="AT21">
    <cfRule type="cellIs" dxfId="39944" priority="85533" stopIfTrue="1" operator="greaterThanOrEqual">
      <formula>0.5</formula>
    </cfRule>
  </conditionalFormatting>
  <conditionalFormatting sqref="AT22">
    <cfRule type="cellIs" dxfId="39943" priority="85534" stopIfTrue="1" operator="equal">
      <formula>-1</formula>
    </cfRule>
  </conditionalFormatting>
  <conditionalFormatting sqref="AT22">
    <cfRule type="cellIs" dxfId="39942" priority="85535" stopIfTrue="1" operator="lessThan">
      <formula>0.5</formula>
    </cfRule>
  </conditionalFormatting>
  <conditionalFormatting sqref="AT22">
    <cfRule type="cellIs" dxfId="39941" priority="85536" stopIfTrue="1" operator="greaterThanOrEqual">
      <formula>0.5</formula>
    </cfRule>
  </conditionalFormatting>
  <conditionalFormatting sqref="AT23">
    <cfRule type="cellIs" dxfId="39940" priority="85537" stopIfTrue="1" operator="equal">
      <formula>-1</formula>
    </cfRule>
  </conditionalFormatting>
  <conditionalFormatting sqref="AT23">
    <cfRule type="cellIs" dxfId="39939" priority="85538" stopIfTrue="1" operator="lessThan">
      <formula>0.5</formula>
    </cfRule>
  </conditionalFormatting>
  <conditionalFormatting sqref="AT23">
    <cfRule type="cellIs" dxfId="39938" priority="85539" stopIfTrue="1" operator="greaterThanOrEqual">
      <formula>0.5</formula>
    </cfRule>
  </conditionalFormatting>
  <conditionalFormatting sqref="AT24">
    <cfRule type="cellIs" dxfId="39937" priority="85540" stopIfTrue="1" operator="equal">
      <formula>-1</formula>
    </cfRule>
  </conditionalFormatting>
  <conditionalFormatting sqref="AT24">
    <cfRule type="cellIs" dxfId="39936" priority="85541" stopIfTrue="1" operator="lessThan">
      <formula>0.5</formula>
    </cfRule>
  </conditionalFormatting>
  <conditionalFormatting sqref="AT24">
    <cfRule type="cellIs" dxfId="39935" priority="85542" stopIfTrue="1" operator="greaterThanOrEqual">
      <formula>0.5</formula>
    </cfRule>
  </conditionalFormatting>
  <conditionalFormatting sqref="AT25">
    <cfRule type="cellIs" dxfId="39934" priority="85543" stopIfTrue="1" operator="equal">
      <formula>-1</formula>
    </cfRule>
  </conditionalFormatting>
  <conditionalFormatting sqref="AT25">
    <cfRule type="cellIs" dxfId="39933" priority="85544" stopIfTrue="1" operator="lessThan">
      <formula>0.5</formula>
    </cfRule>
  </conditionalFormatting>
  <conditionalFormatting sqref="AT25">
    <cfRule type="cellIs" dxfId="39932" priority="85545" stopIfTrue="1" operator="greaterThanOrEqual">
      <formula>0.5</formula>
    </cfRule>
  </conditionalFormatting>
  <conditionalFormatting sqref="AV17">
    <cfRule type="cellIs" dxfId="39931" priority="85582" stopIfTrue="1" operator="equal">
      <formula>-1</formula>
    </cfRule>
  </conditionalFormatting>
  <conditionalFormatting sqref="AV17">
    <cfRule type="cellIs" dxfId="39930" priority="85583" stopIfTrue="1" operator="lessThan">
      <formula>0.5</formula>
    </cfRule>
  </conditionalFormatting>
  <conditionalFormatting sqref="AV17">
    <cfRule type="cellIs" dxfId="39929" priority="85584" stopIfTrue="1" operator="greaterThanOrEqual">
      <formula>0.5</formula>
    </cfRule>
  </conditionalFormatting>
  <conditionalFormatting sqref="AV18">
    <cfRule type="cellIs" dxfId="39928" priority="85585" stopIfTrue="1" operator="equal">
      <formula>-1</formula>
    </cfRule>
  </conditionalFormatting>
  <conditionalFormatting sqref="AV18">
    <cfRule type="cellIs" dxfId="39927" priority="85586" stopIfTrue="1" operator="lessThan">
      <formula>0.5</formula>
    </cfRule>
  </conditionalFormatting>
  <conditionalFormatting sqref="AV18">
    <cfRule type="cellIs" dxfId="39926" priority="85587" stopIfTrue="1" operator="greaterThanOrEqual">
      <formula>0.5</formula>
    </cfRule>
  </conditionalFormatting>
  <conditionalFormatting sqref="AV19">
    <cfRule type="cellIs" dxfId="39925" priority="85588" stopIfTrue="1" operator="equal">
      <formula>-1</formula>
    </cfRule>
  </conditionalFormatting>
  <conditionalFormatting sqref="AV19">
    <cfRule type="cellIs" dxfId="39924" priority="85589" stopIfTrue="1" operator="lessThan">
      <formula>0.5</formula>
    </cfRule>
  </conditionalFormatting>
  <conditionalFormatting sqref="AV19">
    <cfRule type="cellIs" dxfId="39923" priority="85590" stopIfTrue="1" operator="greaterThanOrEqual">
      <formula>0.5</formula>
    </cfRule>
  </conditionalFormatting>
  <conditionalFormatting sqref="AV20">
    <cfRule type="cellIs" dxfId="39922" priority="85591" stopIfTrue="1" operator="equal">
      <formula>-1</formula>
    </cfRule>
  </conditionalFormatting>
  <conditionalFormatting sqref="AV20">
    <cfRule type="cellIs" dxfId="39921" priority="85592" stopIfTrue="1" operator="lessThan">
      <formula>0.5</formula>
    </cfRule>
  </conditionalFormatting>
  <conditionalFormatting sqref="AV20">
    <cfRule type="cellIs" dxfId="39920" priority="85593" stopIfTrue="1" operator="greaterThanOrEqual">
      <formula>0.5</formula>
    </cfRule>
  </conditionalFormatting>
  <conditionalFormatting sqref="AV21">
    <cfRule type="cellIs" dxfId="39919" priority="85594" stopIfTrue="1" operator="equal">
      <formula>-1</formula>
    </cfRule>
  </conditionalFormatting>
  <conditionalFormatting sqref="AV21">
    <cfRule type="cellIs" dxfId="39918" priority="85595" stopIfTrue="1" operator="lessThan">
      <formula>0.5</formula>
    </cfRule>
  </conditionalFormatting>
  <conditionalFormatting sqref="AV21">
    <cfRule type="cellIs" dxfId="39917" priority="85596" stopIfTrue="1" operator="greaterThanOrEqual">
      <formula>0.5</formula>
    </cfRule>
  </conditionalFormatting>
  <conditionalFormatting sqref="AV22">
    <cfRule type="cellIs" dxfId="39916" priority="85597" stopIfTrue="1" operator="equal">
      <formula>-1</formula>
    </cfRule>
  </conditionalFormatting>
  <conditionalFormatting sqref="AV22">
    <cfRule type="cellIs" dxfId="39915" priority="85598" stopIfTrue="1" operator="lessThan">
      <formula>0.5</formula>
    </cfRule>
  </conditionalFormatting>
  <conditionalFormatting sqref="AV22">
    <cfRule type="cellIs" dxfId="39914" priority="85599" stopIfTrue="1" operator="greaterThanOrEqual">
      <formula>0.5</formula>
    </cfRule>
  </conditionalFormatting>
  <conditionalFormatting sqref="AV23">
    <cfRule type="cellIs" dxfId="39913" priority="85600" stopIfTrue="1" operator="equal">
      <formula>-1</formula>
    </cfRule>
  </conditionalFormatting>
  <conditionalFormatting sqref="AV23">
    <cfRule type="cellIs" dxfId="39912" priority="85601" stopIfTrue="1" operator="lessThan">
      <formula>0.5</formula>
    </cfRule>
  </conditionalFormatting>
  <conditionalFormatting sqref="AV23">
    <cfRule type="cellIs" dxfId="39911" priority="85602" stopIfTrue="1" operator="greaterThanOrEqual">
      <formula>0.5</formula>
    </cfRule>
  </conditionalFormatting>
  <conditionalFormatting sqref="AV24">
    <cfRule type="cellIs" dxfId="39910" priority="85603" stopIfTrue="1" operator="equal">
      <formula>-1</formula>
    </cfRule>
  </conditionalFormatting>
  <conditionalFormatting sqref="AV24">
    <cfRule type="cellIs" dxfId="39909" priority="85604" stopIfTrue="1" operator="lessThan">
      <formula>0.5</formula>
    </cfRule>
  </conditionalFormatting>
  <conditionalFormatting sqref="AV24">
    <cfRule type="cellIs" dxfId="39908" priority="85605" stopIfTrue="1" operator="greaterThanOrEqual">
      <formula>0.5</formula>
    </cfRule>
  </conditionalFormatting>
  <conditionalFormatting sqref="AV25">
    <cfRule type="cellIs" dxfId="39907" priority="85606" stopIfTrue="1" operator="equal">
      <formula>-1</formula>
    </cfRule>
  </conditionalFormatting>
  <conditionalFormatting sqref="AV25">
    <cfRule type="cellIs" dxfId="39906" priority="85607" stopIfTrue="1" operator="lessThan">
      <formula>0.5</formula>
    </cfRule>
  </conditionalFormatting>
  <conditionalFormatting sqref="AV25">
    <cfRule type="cellIs" dxfId="39905" priority="85608" stopIfTrue="1" operator="greaterThanOrEqual">
      <formula>0.5</formula>
    </cfRule>
  </conditionalFormatting>
  <conditionalFormatting sqref="AX17">
    <cfRule type="cellIs" dxfId="39904" priority="85645" stopIfTrue="1" operator="equal">
      <formula>-1</formula>
    </cfRule>
  </conditionalFormatting>
  <conditionalFormatting sqref="AX17">
    <cfRule type="cellIs" dxfId="39903" priority="85646" stopIfTrue="1" operator="lessThan">
      <formula>0.5</formula>
    </cfRule>
  </conditionalFormatting>
  <conditionalFormatting sqref="AX17">
    <cfRule type="cellIs" dxfId="39902" priority="85647" stopIfTrue="1" operator="greaterThanOrEqual">
      <formula>0.5</formula>
    </cfRule>
  </conditionalFormatting>
  <conditionalFormatting sqref="AX18">
    <cfRule type="cellIs" dxfId="39901" priority="85648" stopIfTrue="1" operator="equal">
      <formula>-1</formula>
    </cfRule>
  </conditionalFormatting>
  <conditionalFormatting sqref="AX18">
    <cfRule type="cellIs" dxfId="39900" priority="85649" stopIfTrue="1" operator="lessThan">
      <formula>0.5</formula>
    </cfRule>
  </conditionalFormatting>
  <conditionalFormatting sqref="AX18">
    <cfRule type="cellIs" dxfId="39899" priority="85650" stopIfTrue="1" operator="greaterThanOrEqual">
      <formula>0.5</formula>
    </cfRule>
  </conditionalFormatting>
  <conditionalFormatting sqref="AX19">
    <cfRule type="cellIs" dxfId="39898" priority="85651" stopIfTrue="1" operator="equal">
      <formula>-1</formula>
    </cfRule>
  </conditionalFormatting>
  <conditionalFormatting sqref="AX19">
    <cfRule type="cellIs" dxfId="39897" priority="85652" stopIfTrue="1" operator="lessThan">
      <formula>0.5</formula>
    </cfRule>
  </conditionalFormatting>
  <conditionalFormatting sqref="AX19">
    <cfRule type="cellIs" dxfId="39896" priority="85653" stopIfTrue="1" operator="greaterThanOrEqual">
      <formula>0.5</formula>
    </cfRule>
  </conditionalFormatting>
  <conditionalFormatting sqref="AX20">
    <cfRule type="cellIs" dxfId="39895" priority="85654" stopIfTrue="1" operator="equal">
      <formula>-1</formula>
    </cfRule>
  </conditionalFormatting>
  <conditionalFormatting sqref="AX20">
    <cfRule type="cellIs" dxfId="39894" priority="85655" stopIfTrue="1" operator="lessThan">
      <formula>0.5</formula>
    </cfRule>
  </conditionalFormatting>
  <conditionalFormatting sqref="AX20">
    <cfRule type="cellIs" dxfId="39893" priority="85656" stopIfTrue="1" operator="greaterThanOrEqual">
      <formula>0.5</formula>
    </cfRule>
  </conditionalFormatting>
  <conditionalFormatting sqref="AX21">
    <cfRule type="cellIs" dxfId="39892" priority="85657" stopIfTrue="1" operator="equal">
      <formula>-1</formula>
    </cfRule>
  </conditionalFormatting>
  <conditionalFormatting sqref="AX21">
    <cfRule type="cellIs" dxfId="39891" priority="85658" stopIfTrue="1" operator="lessThan">
      <formula>0.5</formula>
    </cfRule>
  </conditionalFormatting>
  <conditionalFormatting sqref="AX21">
    <cfRule type="cellIs" dxfId="39890" priority="85659" stopIfTrue="1" operator="greaterThanOrEqual">
      <formula>0.5</formula>
    </cfRule>
  </conditionalFormatting>
  <conditionalFormatting sqref="AX22">
    <cfRule type="cellIs" dxfId="39889" priority="85660" stopIfTrue="1" operator="equal">
      <formula>-1</formula>
    </cfRule>
  </conditionalFormatting>
  <conditionalFormatting sqref="AX22">
    <cfRule type="cellIs" dxfId="39888" priority="85661" stopIfTrue="1" operator="lessThan">
      <formula>0.5</formula>
    </cfRule>
  </conditionalFormatting>
  <conditionalFormatting sqref="AX22">
    <cfRule type="cellIs" dxfId="39887" priority="85662" stopIfTrue="1" operator="greaterThanOrEqual">
      <formula>0.5</formula>
    </cfRule>
  </conditionalFormatting>
  <conditionalFormatting sqref="AX23">
    <cfRule type="cellIs" dxfId="39886" priority="85663" stopIfTrue="1" operator="equal">
      <formula>-1</formula>
    </cfRule>
  </conditionalFormatting>
  <conditionalFormatting sqref="AX23">
    <cfRule type="cellIs" dxfId="39885" priority="85664" stopIfTrue="1" operator="lessThan">
      <formula>0.5</formula>
    </cfRule>
  </conditionalFormatting>
  <conditionalFormatting sqref="AX23">
    <cfRule type="cellIs" dxfId="39884" priority="85665" stopIfTrue="1" operator="greaterThanOrEqual">
      <formula>0.5</formula>
    </cfRule>
  </conditionalFormatting>
  <conditionalFormatting sqref="AX24">
    <cfRule type="cellIs" dxfId="39883" priority="85666" stopIfTrue="1" operator="equal">
      <formula>-1</formula>
    </cfRule>
  </conditionalFormatting>
  <conditionalFormatting sqref="AX24">
    <cfRule type="cellIs" dxfId="39882" priority="85667" stopIfTrue="1" operator="lessThan">
      <formula>0.5</formula>
    </cfRule>
  </conditionalFormatting>
  <conditionalFormatting sqref="AX24">
    <cfRule type="cellIs" dxfId="39881" priority="85668" stopIfTrue="1" operator="greaterThanOrEqual">
      <formula>0.5</formula>
    </cfRule>
  </conditionalFormatting>
  <conditionalFormatting sqref="AX25">
    <cfRule type="cellIs" dxfId="39880" priority="85669" stopIfTrue="1" operator="equal">
      <formula>-1</formula>
    </cfRule>
  </conditionalFormatting>
  <conditionalFormatting sqref="AX25">
    <cfRule type="cellIs" dxfId="39879" priority="85670" stopIfTrue="1" operator="lessThan">
      <formula>0.5</formula>
    </cfRule>
  </conditionalFormatting>
  <conditionalFormatting sqref="AX25">
    <cfRule type="cellIs" dxfId="39878" priority="85671" stopIfTrue="1" operator="greaterThanOrEqual">
      <formula>0.5</formula>
    </cfRule>
  </conditionalFormatting>
  <conditionalFormatting sqref="AZ17">
    <cfRule type="cellIs" dxfId="39877" priority="85708" stopIfTrue="1" operator="equal">
      <formula>-1</formula>
    </cfRule>
  </conditionalFormatting>
  <conditionalFormatting sqref="AZ17">
    <cfRule type="cellIs" dxfId="39876" priority="85709" stopIfTrue="1" operator="lessThan">
      <formula>0.5</formula>
    </cfRule>
  </conditionalFormatting>
  <conditionalFormatting sqref="AZ17">
    <cfRule type="cellIs" dxfId="39875" priority="85710" stopIfTrue="1" operator="greaterThanOrEqual">
      <formula>0.5</formula>
    </cfRule>
  </conditionalFormatting>
  <conditionalFormatting sqref="AZ18">
    <cfRule type="cellIs" dxfId="39874" priority="85711" stopIfTrue="1" operator="equal">
      <formula>-1</formula>
    </cfRule>
  </conditionalFormatting>
  <conditionalFormatting sqref="AZ18">
    <cfRule type="cellIs" dxfId="39873" priority="85712" stopIfTrue="1" operator="lessThan">
      <formula>0.5</formula>
    </cfRule>
  </conditionalFormatting>
  <conditionalFormatting sqref="AZ18">
    <cfRule type="cellIs" dxfId="39872" priority="85713" stopIfTrue="1" operator="greaterThanOrEqual">
      <formula>0.5</formula>
    </cfRule>
  </conditionalFormatting>
  <conditionalFormatting sqref="AZ19">
    <cfRule type="cellIs" dxfId="39871" priority="85714" stopIfTrue="1" operator="equal">
      <formula>-1</formula>
    </cfRule>
  </conditionalFormatting>
  <conditionalFormatting sqref="AZ19">
    <cfRule type="cellIs" dxfId="39870" priority="85715" stopIfTrue="1" operator="lessThan">
      <formula>0.5</formula>
    </cfRule>
  </conditionalFormatting>
  <conditionalFormatting sqref="AZ19">
    <cfRule type="cellIs" dxfId="39869" priority="85716" stopIfTrue="1" operator="greaterThanOrEqual">
      <formula>0.5</formula>
    </cfRule>
  </conditionalFormatting>
  <conditionalFormatting sqref="AZ20">
    <cfRule type="cellIs" dxfId="39868" priority="85717" stopIfTrue="1" operator="equal">
      <formula>-1</formula>
    </cfRule>
  </conditionalFormatting>
  <conditionalFormatting sqref="AZ20">
    <cfRule type="cellIs" dxfId="39867" priority="85718" stopIfTrue="1" operator="lessThan">
      <formula>0.5</formula>
    </cfRule>
  </conditionalFormatting>
  <conditionalFormatting sqref="AZ20">
    <cfRule type="cellIs" dxfId="39866" priority="85719" stopIfTrue="1" operator="greaterThanOrEqual">
      <formula>0.5</formula>
    </cfRule>
  </conditionalFormatting>
  <conditionalFormatting sqref="AZ21">
    <cfRule type="cellIs" dxfId="39865" priority="85720" stopIfTrue="1" operator="equal">
      <formula>-1</formula>
    </cfRule>
  </conditionalFormatting>
  <conditionalFormatting sqref="AZ21">
    <cfRule type="cellIs" dxfId="39864" priority="85721" stopIfTrue="1" operator="lessThan">
      <formula>0.5</formula>
    </cfRule>
  </conditionalFormatting>
  <conditionalFormatting sqref="AZ21">
    <cfRule type="cellIs" dxfId="39863" priority="85722" stopIfTrue="1" operator="greaterThanOrEqual">
      <formula>0.5</formula>
    </cfRule>
  </conditionalFormatting>
  <conditionalFormatting sqref="AZ22">
    <cfRule type="cellIs" dxfId="39862" priority="85723" stopIfTrue="1" operator="equal">
      <formula>-1</formula>
    </cfRule>
  </conditionalFormatting>
  <conditionalFormatting sqref="AZ22">
    <cfRule type="cellIs" dxfId="39861" priority="85724" stopIfTrue="1" operator="lessThan">
      <formula>0.5</formula>
    </cfRule>
  </conditionalFormatting>
  <conditionalFormatting sqref="AZ22">
    <cfRule type="cellIs" dxfId="39860" priority="85725" stopIfTrue="1" operator="greaterThanOrEqual">
      <formula>0.5</formula>
    </cfRule>
  </conditionalFormatting>
  <conditionalFormatting sqref="AZ23">
    <cfRule type="cellIs" dxfId="39859" priority="85726" stopIfTrue="1" operator="equal">
      <formula>-1</formula>
    </cfRule>
  </conditionalFormatting>
  <conditionalFormatting sqref="AZ23">
    <cfRule type="cellIs" dxfId="39858" priority="85727" stopIfTrue="1" operator="lessThan">
      <formula>0.5</formula>
    </cfRule>
  </conditionalFormatting>
  <conditionalFormatting sqref="AZ23">
    <cfRule type="cellIs" dxfId="39857" priority="85728" stopIfTrue="1" operator="greaterThanOrEqual">
      <formula>0.5</formula>
    </cfRule>
  </conditionalFormatting>
  <conditionalFormatting sqref="AZ24">
    <cfRule type="cellIs" dxfId="39856" priority="85729" stopIfTrue="1" operator="equal">
      <formula>-1</formula>
    </cfRule>
  </conditionalFormatting>
  <conditionalFormatting sqref="AZ24">
    <cfRule type="cellIs" dxfId="39855" priority="85730" stopIfTrue="1" operator="lessThan">
      <formula>0.5</formula>
    </cfRule>
  </conditionalFormatting>
  <conditionalFormatting sqref="AZ24">
    <cfRule type="cellIs" dxfId="39854" priority="85731" stopIfTrue="1" operator="greaterThanOrEqual">
      <formula>0.5</formula>
    </cfRule>
  </conditionalFormatting>
  <conditionalFormatting sqref="AZ25">
    <cfRule type="cellIs" dxfId="39853" priority="85732" stopIfTrue="1" operator="equal">
      <formula>-1</formula>
    </cfRule>
  </conditionalFormatting>
  <conditionalFormatting sqref="AZ25">
    <cfRule type="cellIs" dxfId="39852" priority="85733" stopIfTrue="1" operator="lessThan">
      <formula>0.5</formula>
    </cfRule>
  </conditionalFormatting>
  <conditionalFormatting sqref="AZ25">
    <cfRule type="cellIs" dxfId="39851" priority="85734" stopIfTrue="1" operator="greaterThanOrEqual">
      <formula>0.5</formula>
    </cfRule>
  </conditionalFormatting>
  <conditionalFormatting sqref="BB17">
    <cfRule type="cellIs" dxfId="39850" priority="85771" stopIfTrue="1" operator="equal">
      <formula>-1</formula>
    </cfRule>
  </conditionalFormatting>
  <conditionalFormatting sqref="BB17">
    <cfRule type="cellIs" dxfId="39849" priority="85772" stopIfTrue="1" operator="lessThan">
      <formula>0.5</formula>
    </cfRule>
  </conditionalFormatting>
  <conditionalFormatting sqref="BB17">
    <cfRule type="cellIs" dxfId="39848" priority="85773" stopIfTrue="1" operator="greaterThanOrEqual">
      <formula>0.5</formula>
    </cfRule>
  </conditionalFormatting>
  <conditionalFormatting sqref="BB18">
    <cfRule type="cellIs" dxfId="39847" priority="85774" stopIfTrue="1" operator="equal">
      <formula>-1</formula>
    </cfRule>
  </conditionalFormatting>
  <conditionalFormatting sqref="BB18">
    <cfRule type="cellIs" dxfId="39846" priority="85775" stopIfTrue="1" operator="lessThan">
      <formula>0.5</formula>
    </cfRule>
  </conditionalFormatting>
  <conditionalFormatting sqref="BB18">
    <cfRule type="cellIs" dxfId="39845" priority="85776" stopIfTrue="1" operator="greaterThanOrEqual">
      <formula>0.5</formula>
    </cfRule>
  </conditionalFormatting>
  <conditionalFormatting sqref="BB19">
    <cfRule type="cellIs" dxfId="39844" priority="85777" stopIfTrue="1" operator="equal">
      <formula>-1</formula>
    </cfRule>
  </conditionalFormatting>
  <conditionalFormatting sqref="BB19">
    <cfRule type="cellIs" dxfId="39843" priority="85778" stopIfTrue="1" operator="lessThan">
      <formula>0.5</formula>
    </cfRule>
  </conditionalFormatting>
  <conditionalFormatting sqref="BB19">
    <cfRule type="cellIs" dxfId="39842" priority="85779" stopIfTrue="1" operator="greaterThanOrEqual">
      <formula>0.5</formula>
    </cfRule>
  </conditionalFormatting>
  <conditionalFormatting sqref="BB20">
    <cfRule type="cellIs" dxfId="39841" priority="85780" stopIfTrue="1" operator="equal">
      <formula>-1</formula>
    </cfRule>
  </conditionalFormatting>
  <conditionalFormatting sqref="BB20">
    <cfRule type="cellIs" dxfId="39840" priority="85781" stopIfTrue="1" operator="lessThan">
      <formula>0.5</formula>
    </cfRule>
  </conditionalFormatting>
  <conditionalFormatting sqref="BB20">
    <cfRule type="cellIs" dxfId="39839" priority="85782" stopIfTrue="1" operator="greaterThanOrEqual">
      <formula>0.5</formula>
    </cfRule>
  </conditionalFormatting>
  <conditionalFormatting sqref="BB21">
    <cfRule type="cellIs" dxfId="39838" priority="85783" stopIfTrue="1" operator="equal">
      <formula>-1</formula>
    </cfRule>
  </conditionalFormatting>
  <conditionalFormatting sqref="BB21">
    <cfRule type="cellIs" dxfId="39837" priority="85784" stopIfTrue="1" operator="lessThan">
      <formula>0.5</formula>
    </cfRule>
  </conditionalFormatting>
  <conditionalFormatting sqref="BB21">
    <cfRule type="cellIs" dxfId="39836" priority="85785" stopIfTrue="1" operator="greaterThanOrEqual">
      <formula>0.5</formula>
    </cfRule>
  </conditionalFormatting>
  <conditionalFormatting sqref="BB22">
    <cfRule type="cellIs" dxfId="39835" priority="85786" stopIfTrue="1" operator="equal">
      <formula>-1</formula>
    </cfRule>
  </conditionalFormatting>
  <conditionalFormatting sqref="BB22">
    <cfRule type="cellIs" dxfId="39834" priority="85787" stopIfTrue="1" operator="lessThan">
      <formula>0.5</formula>
    </cfRule>
  </conditionalFormatting>
  <conditionalFormatting sqref="BB22">
    <cfRule type="cellIs" dxfId="39833" priority="85788" stopIfTrue="1" operator="greaterThanOrEqual">
      <formula>0.5</formula>
    </cfRule>
  </conditionalFormatting>
  <conditionalFormatting sqref="BB23">
    <cfRule type="cellIs" dxfId="39832" priority="85789" stopIfTrue="1" operator="equal">
      <formula>-1</formula>
    </cfRule>
  </conditionalFormatting>
  <conditionalFormatting sqref="BB23">
    <cfRule type="cellIs" dxfId="39831" priority="85790" stopIfTrue="1" operator="lessThan">
      <formula>0.5</formula>
    </cfRule>
  </conditionalFormatting>
  <conditionalFormatting sqref="BB23">
    <cfRule type="cellIs" dxfId="39830" priority="85791" stopIfTrue="1" operator="greaterThanOrEqual">
      <formula>0.5</formula>
    </cfRule>
  </conditionalFormatting>
  <conditionalFormatting sqref="BB24">
    <cfRule type="cellIs" dxfId="39829" priority="85792" stopIfTrue="1" operator="equal">
      <formula>-1</formula>
    </cfRule>
  </conditionalFormatting>
  <conditionalFormatting sqref="BB24">
    <cfRule type="cellIs" dxfId="39828" priority="85793" stopIfTrue="1" operator="lessThan">
      <formula>0.5</formula>
    </cfRule>
  </conditionalFormatting>
  <conditionalFormatting sqref="BB24">
    <cfRule type="cellIs" dxfId="39827" priority="85794" stopIfTrue="1" operator="greaterThanOrEqual">
      <formula>0.5</formula>
    </cfRule>
  </conditionalFormatting>
  <conditionalFormatting sqref="BB25">
    <cfRule type="cellIs" dxfId="39826" priority="85795" stopIfTrue="1" operator="equal">
      <formula>-1</formula>
    </cfRule>
  </conditionalFormatting>
  <conditionalFormatting sqref="BB25">
    <cfRule type="cellIs" dxfId="39825" priority="85796" stopIfTrue="1" operator="lessThan">
      <formula>0.5</formula>
    </cfRule>
  </conditionalFormatting>
  <conditionalFormatting sqref="BB25">
    <cfRule type="cellIs" dxfId="39824" priority="85797" stopIfTrue="1" operator="greaterThanOrEqual">
      <formula>0.5</formula>
    </cfRule>
  </conditionalFormatting>
  <conditionalFormatting sqref="BD17">
    <cfRule type="cellIs" dxfId="39823" priority="85834" stopIfTrue="1" operator="equal">
      <formula>-1</formula>
    </cfRule>
  </conditionalFormatting>
  <conditionalFormatting sqref="BD17">
    <cfRule type="cellIs" dxfId="39822" priority="85835" stopIfTrue="1" operator="lessThan">
      <formula>0.5</formula>
    </cfRule>
  </conditionalFormatting>
  <conditionalFormatting sqref="BD17">
    <cfRule type="cellIs" dxfId="39821" priority="85836" stopIfTrue="1" operator="greaterThanOrEqual">
      <formula>0.5</formula>
    </cfRule>
  </conditionalFormatting>
  <conditionalFormatting sqref="BD18">
    <cfRule type="cellIs" dxfId="39820" priority="85837" stopIfTrue="1" operator="equal">
      <formula>-1</formula>
    </cfRule>
  </conditionalFormatting>
  <conditionalFormatting sqref="BD18">
    <cfRule type="cellIs" dxfId="39819" priority="85838" stopIfTrue="1" operator="lessThan">
      <formula>0.5</formula>
    </cfRule>
  </conditionalFormatting>
  <conditionalFormatting sqref="BD18">
    <cfRule type="cellIs" dxfId="39818" priority="85839" stopIfTrue="1" operator="greaterThanOrEqual">
      <formula>0.5</formula>
    </cfRule>
  </conditionalFormatting>
  <conditionalFormatting sqref="BD19">
    <cfRule type="cellIs" dxfId="39817" priority="85840" stopIfTrue="1" operator="equal">
      <formula>-1</formula>
    </cfRule>
  </conditionalFormatting>
  <conditionalFormatting sqref="BD19">
    <cfRule type="cellIs" dxfId="39816" priority="85841" stopIfTrue="1" operator="lessThan">
      <formula>0.5</formula>
    </cfRule>
  </conditionalFormatting>
  <conditionalFormatting sqref="BD19">
    <cfRule type="cellIs" dxfId="39815" priority="85842" stopIfTrue="1" operator="greaterThanOrEqual">
      <formula>0.5</formula>
    </cfRule>
  </conditionalFormatting>
  <conditionalFormatting sqref="BD20">
    <cfRule type="cellIs" dxfId="39814" priority="85843" stopIfTrue="1" operator="equal">
      <formula>-1</formula>
    </cfRule>
  </conditionalFormatting>
  <conditionalFormatting sqref="BD20">
    <cfRule type="cellIs" dxfId="39813" priority="85844" stopIfTrue="1" operator="lessThan">
      <formula>0.5</formula>
    </cfRule>
  </conditionalFormatting>
  <conditionalFormatting sqref="BD20">
    <cfRule type="cellIs" dxfId="39812" priority="85845" stopIfTrue="1" operator="greaterThanOrEqual">
      <formula>0.5</formula>
    </cfRule>
  </conditionalFormatting>
  <conditionalFormatting sqref="BD21">
    <cfRule type="cellIs" dxfId="39811" priority="85846" stopIfTrue="1" operator="equal">
      <formula>-1</formula>
    </cfRule>
  </conditionalFormatting>
  <conditionalFormatting sqref="BD21">
    <cfRule type="cellIs" dxfId="39810" priority="85847" stopIfTrue="1" operator="lessThan">
      <formula>0.5</formula>
    </cfRule>
  </conditionalFormatting>
  <conditionalFormatting sqref="BD21">
    <cfRule type="cellIs" dxfId="39809" priority="85848" stopIfTrue="1" operator="greaterThanOrEqual">
      <formula>0.5</formula>
    </cfRule>
  </conditionalFormatting>
  <conditionalFormatting sqref="BD22">
    <cfRule type="cellIs" dxfId="39808" priority="85849" stopIfTrue="1" operator="equal">
      <formula>-1</formula>
    </cfRule>
  </conditionalFormatting>
  <conditionalFormatting sqref="BD22">
    <cfRule type="cellIs" dxfId="39807" priority="85850" stopIfTrue="1" operator="lessThan">
      <formula>0.5</formula>
    </cfRule>
  </conditionalFormatting>
  <conditionalFormatting sqref="BD22">
    <cfRule type="cellIs" dxfId="39806" priority="85851" stopIfTrue="1" operator="greaterThanOrEqual">
      <formula>0.5</formula>
    </cfRule>
  </conditionalFormatting>
  <conditionalFormatting sqref="BD23">
    <cfRule type="cellIs" dxfId="39805" priority="85852" stopIfTrue="1" operator="equal">
      <formula>-1</formula>
    </cfRule>
  </conditionalFormatting>
  <conditionalFormatting sqref="BD23">
    <cfRule type="cellIs" dxfId="39804" priority="85853" stopIfTrue="1" operator="lessThan">
      <formula>0.5</formula>
    </cfRule>
  </conditionalFormatting>
  <conditionalFormatting sqref="BD23">
    <cfRule type="cellIs" dxfId="39803" priority="85854" stopIfTrue="1" operator="greaterThanOrEqual">
      <formula>0.5</formula>
    </cfRule>
  </conditionalFormatting>
  <conditionalFormatting sqref="BD24">
    <cfRule type="cellIs" dxfId="39802" priority="85855" stopIfTrue="1" operator="equal">
      <formula>-1</formula>
    </cfRule>
  </conditionalFormatting>
  <conditionalFormatting sqref="BD24">
    <cfRule type="cellIs" dxfId="39801" priority="85856" stopIfTrue="1" operator="lessThan">
      <formula>0.5</formula>
    </cfRule>
  </conditionalFormatting>
  <conditionalFormatting sqref="BD24">
    <cfRule type="cellIs" dxfId="39800" priority="85857" stopIfTrue="1" operator="greaterThanOrEqual">
      <formula>0.5</formula>
    </cfRule>
  </conditionalFormatting>
  <conditionalFormatting sqref="BD25">
    <cfRule type="cellIs" dxfId="39799" priority="85858" stopIfTrue="1" operator="equal">
      <formula>-1</formula>
    </cfRule>
  </conditionalFormatting>
  <conditionalFormatting sqref="BD25">
    <cfRule type="cellIs" dxfId="39798" priority="85859" stopIfTrue="1" operator="lessThan">
      <formula>0.5</formula>
    </cfRule>
  </conditionalFormatting>
  <conditionalFormatting sqref="BD25">
    <cfRule type="cellIs" dxfId="39797" priority="85860" stopIfTrue="1" operator="greaterThanOrEqual">
      <formula>0.5</formula>
    </cfRule>
  </conditionalFormatting>
  <conditionalFormatting sqref="BF17">
    <cfRule type="cellIs" dxfId="39796" priority="85897" stopIfTrue="1" operator="equal">
      <formula>-1</formula>
    </cfRule>
  </conditionalFormatting>
  <conditionalFormatting sqref="BF17">
    <cfRule type="cellIs" dxfId="39795" priority="85898" stopIfTrue="1" operator="lessThan">
      <formula>0.5</formula>
    </cfRule>
  </conditionalFormatting>
  <conditionalFormatting sqref="BF17">
    <cfRule type="cellIs" dxfId="39794" priority="85899" stopIfTrue="1" operator="greaterThanOrEqual">
      <formula>0.5</formula>
    </cfRule>
  </conditionalFormatting>
  <conditionalFormatting sqref="BF18">
    <cfRule type="cellIs" dxfId="39793" priority="85900" stopIfTrue="1" operator="equal">
      <formula>-1</formula>
    </cfRule>
  </conditionalFormatting>
  <conditionalFormatting sqref="BF18">
    <cfRule type="cellIs" dxfId="39792" priority="85901" stopIfTrue="1" operator="lessThan">
      <formula>0.5</formula>
    </cfRule>
  </conditionalFormatting>
  <conditionalFormatting sqref="BF18">
    <cfRule type="cellIs" dxfId="39791" priority="85902" stopIfTrue="1" operator="greaterThanOrEqual">
      <formula>0.5</formula>
    </cfRule>
  </conditionalFormatting>
  <conditionalFormatting sqref="BF19">
    <cfRule type="cellIs" dxfId="39790" priority="85903" stopIfTrue="1" operator="equal">
      <formula>-1</formula>
    </cfRule>
  </conditionalFormatting>
  <conditionalFormatting sqref="BF19">
    <cfRule type="cellIs" dxfId="39789" priority="85904" stopIfTrue="1" operator="lessThan">
      <formula>0.5</formula>
    </cfRule>
  </conditionalFormatting>
  <conditionalFormatting sqref="BF19">
    <cfRule type="cellIs" dxfId="39788" priority="85905" stopIfTrue="1" operator="greaterThanOrEqual">
      <formula>0.5</formula>
    </cfRule>
  </conditionalFormatting>
  <conditionalFormatting sqref="BF20">
    <cfRule type="cellIs" dxfId="39787" priority="85906" stopIfTrue="1" operator="equal">
      <formula>-1</formula>
    </cfRule>
  </conditionalFormatting>
  <conditionalFormatting sqref="BF20">
    <cfRule type="cellIs" dxfId="39786" priority="85907" stopIfTrue="1" operator="lessThan">
      <formula>0.5</formula>
    </cfRule>
  </conditionalFormatting>
  <conditionalFormatting sqref="BF20">
    <cfRule type="cellIs" dxfId="39785" priority="85908" stopIfTrue="1" operator="greaterThanOrEqual">
      <formula>0.5</formula>
    </cfRule>
  </conditionalFormatting>
  <conditionalFormatting sqref="BF21">
    <cfRule type="cellIs" dxfId="39784" priority="85909" stopIfTrue="1" operator="equal">
      <formula>-1</formula>
    </cfRule>
  </conditionalFormatting>
  <conditionalFormatting sqref="BF21">
    <cfRule type="cellIs" dxfId="39783" priority="85910" stopIfTrue="1" operator="lessThan">
      <formula>0.5</formula>
    </cfRule>
  </conditionalFormatting>
  <conditionalFormatting sqref="BF21">
    <cfRule type="cellIs" dxfId="39782" priority="85911" stopIfTrue="1" operator="greaterThanOrEqual">
      <formula>0.5</formula>
    </cfRule>
  </conditionalFormatting>
  <conditionalFormatting sqref="BF22">
    <cfRule type="cellIs" dxfId="39781" priority="85912" stopIfTrue="1" operator="equal">
      <formula>-1</formula>
    </cfRule>
  </conditionalFormatting>
  <conditionalFormatting sqref="BF22">
    <cfRule type="cellIs" dxfId="39780" priority="85913" stopIfTrue="1" operator="lessThan">
      <formula>0.5</formula>
    </cfRule>
  </conditionalFormatting>
  <conditionalFormatting sqref="BF22">
    <cfRule type="cellIs" dxfId="39779" priority="85914" stopIfTrue="1" operator="greaterThanOrEqual">
      <formula>0.5</formula>
    </cfRule>
  </conditionalFormatting>
  <conditionalFormatting sqref="BF23">
    <cfRule type="cellIs" dxfId="39778" priority="85915" stopIfTrue="1" operator="equal">
      <formula>-1</formula>
    </cfRule>
  </conditionalFormatting>
  <conditionalFormatting sqref="BF23">
    <cfRule type="cellIs" dxfId="39777" priority="85916" stopIfTrue="1" operator="lessThan">
      <formula>0.5</formula>
    </cfRule>
  </conditionalFormatting>
  <conditionalFormatting sqref="BF23">
    <cfRule type="cellIs" dxfId="39776" priority="85917" stopIfTrue="1" operator="greaterThanOrEqual">
      <formula>0.5</formula>
    </cfRule>
  </conditionalFormatting>
  <conditionalFormatting sqref="BF24">
    <cfRule type="cellIs" dxfId="39775" priority="85918" stopIfTrue="1" operator="equal">
      <formula>-1</formula>
    </cfRule>
  </conditionalFormatting>
  <conditionalFormatting sqref="BF24">
    <cfRule type="cellIs" dxfId="39774" priority="85919" stopIfTrue="1" operator="lessThan">
      <formula>0.5</formula>
    </cfRule>
  </conditionalFormatting>
  <conditionalFormatting sqref="BF24">
    <cfRule type="cellIs" dxfId="39773" priority="85920" stopIfTrue="1" operator="greaterThanOrEqual">
      <formula>0.5</formula>
    </cfRule>
  </conditionalFormatting>
  <conditionalFormatting sqref="BF25">
    <cfRule type="cellIs" dxfId="39772" priority="85921" stopIfTrue="1" operator="equal">
      <formula>-1</formula>
    </cfRule>
  </conditionalFormatting>
  <conditionalFormatting sqref="BF25">
    <cfRule type="cellIs" dxfId="39771" priority="85922" stopIfTrue="1" operator="lessThan">
      <formula>0.5</formula>
    </cfRule>
  </conditionalFormatting>
  <conditionalFormatting sqref="BF25">
    <cfRule type="cellIs" dxfId="39770" priority="85923" stopIfTrue="1" operator="greaterThanOrEqual">
      <formula>0.5</formula>
    </cfRule>
  </conditionalFormatting>
  <conditionalFormatting sqref="BH17">
    <cfRule type="cellIs" dxfId="39769" priority="85960" stopIfTrue="1" operator="equal">
      <formula>-1</formula>
    </cfRule>
  </conditionalFormatting>
  <conditionalFormatting sqref="BH17">
    <cfRule type="cellIs" dxfId="39768" priority="85961" stopIfTrue="1" operator="lessThan">
      <formula>0.5</formula>
    </cfRule>
  </conditionalFormatting>
  <conditionalFormatting sqref="BH17">
    <cfRule type="cellIs" dxfId="39767" priority="85962" stopIfTrue="1" operator="greaterThanOrEqual">
      <formula>0.5</formula>
    </cfRule>
  </conditionalFormatting>
  <conditionalFormatting sqref="BH18">
    <cfRule type="cellIs" dxfId="39766" priority="85963" stopIfTrue="1" operator="equal">
      <formula>-1</formula>
    </cfRule>
  </conditionalFormatting>
  <conditionalFormatting sqref="BH18">
    <cfRule type="cellIs" dxfId="39765" priority="85964" stopIfTrue="1" operator="lessThan">
      <formula>0.5</formula>
    </cfRule>
  </conditionalFormatting>
  <conditionalFormatting sqref="BH18">
    <cfRule type="cellIs" dxfId="39764" priority="85965" stopIfTrue="1" operator="greaterThanOrEqual">
      <formula>0.5</formula>
    </cfRule>
  </conditionalFormatting>
  <conditionalFormatting sqref="BH19">
    <cfRule type="cellIs" dxfId="39763" priority="85966" stopIfTrue="1" operator="equal">
      <formula>-1</formula>
    </cfRule>
  </conditionalFormatting>
  <conditionalFormatting sqref="BH19">
    <cfRule type="cellIs" dxfId="39762" priority="85967" stopIfTrue="1" operator="lessThan">
      <formula>0.5</formula>
    </cfRule>
  </conditionalFormatting>
  <conditionalFormatting sqref="BH19">
    <cfRule type="cellIs" dxfId="39761" priority="85968" stopIfTrue="1" operator="greaterThanOrEqual">
      <formula>0.5</formula>
    </cfRule>
  </conditionalFormatting>
  <conditionalFormatting sqref="BH20">
    <cfRule type="cellIs" dxfId="39760" priority="85969" stopIfTrue="1" operator="equal">
      <formula>-1</formula>
    </cfRule>
  </conditionalFormatting>
  <conditionalFormatting sqref="BH20">
    <cfRule type="cellIs" dxfId="39759" priority="85970" stopIfTrue="1" operator="lessThan">
      <formula>0.5</formula>
    </cfRule>
  </conditionalFormatting>
  <conditionalFormatting sqref="BH20">
    <cfRule type="cellIs" dxfId="39758" priority="85971" stopIfTrue="1" operator="greaterThanOrEqual">
      <formula>0.5</formula>
    </cfRule>
  </conditionalFormatting>
  <conditionalFormatting sqref="BH21">
    <cfRule type="cellIs" dxfId="39757" priority="85972" stopIfTrue="1" operator="equal">
      <formula>-1</formula>
    </cfRule>
  </conditionalFormatting>
  <conditionalFormatting sqref="BH21">
    <cfRule type="cellIs" dxfId="39756" priority="85973" stopIfTrue="1" operator="lessThan">
      <formula>0.5</formula>
    </cfRule>
  </conditionalFormatting>
  <conditionalFormatting sqref="BH21">
    <cfRule type="cellIs" dxfId="39755" priority="85974" stopIfTrue="1" operator="greaterThanOrEqual">
      <formula>0.5</formula>
    </cfRule>
  </conditionalFormatting>
  <conditionalFormatting sqref="BH22">
    <cfRule type="cellIs" dxfId="39754" priority="85975" stopIfTrue="1" operator="equal">
      <formula>-1</formula>
    </cfRule>
  </conditionalFormatting>
  <conditionalFormatting sqref="BH22">
    <cfRule type="cellIs" dxfId="39753" priority="85976" stopIfTrue="1" operator="lessThan">
      <formula>0.5</formula>
    </cfRule>
  </conditionalFormatting>
  <conditionalFormatting sqref="BH22">
    <cfRule type="cellIs" dxfId="39752" priority="85977" stopIfTrue="1" operator="greaterThanOrEqual">
      <formula>0.5</formula>
    </cfRule>
  </conditionalFormatting>
  <conditionalFormatting sqref="BH23">
    <cfRule type="cellIs" dxfId="39751" priority="85978" stopIfTrue="1" operator="equal">
      <formula>-1</formula>
    </cfRule>
  </conditionalFormatting>
  <conditionalFormatting sqref="BH23">
    <cfRule type="cellIs" dxfId="39750" priority="85979" stopIfTrue="1" operator="lessThan">
      <formula>0.5</formula>
    </cfRule>
  </conditionalFormatting>
  <conditionalFormatting sqref="BH23">
    <cfRule type="cellIs" dxfId="39749" priority="85980" stopIfTrue="1" operator="greaterThanOrEqual">
      <formula>0.5</formula>
    </cfRule>
  </conditionalFormatting>
  <conditionalFormatting sqref="BH24">
    <cfRule type="cellIs" dxfId="39748" priority="85981" stopIfTrue="1" operator="equal">
      <formula>-1</formula>
    </cfRule>
  </conditionalFormatting>
  <conditionalFormatting sqref="BH24">
    <cfRule type="cellIs" dxfId="39747" priority="85982" stopIfTrue="1" operator="lessThan">
      <formula>0.5</formula>
    </cfRule>
  </conditionalFormatting>
  <conditionalFormatting sqref="BH24">
    <cfRule type="cellIs" dxfId="39746" priority="85983" stopIfTrue="1" operator="greaterThanOrEqual">
      <formula>0.5</formula>
    </cfRule>
  </conditionalFormatting>
  <conditionalFormatting sqref="BH25">
    <cfRule type="cellIs" dxfId="39745" priority="85984" stopIfTrue="1" operator="equal">
      <formula>-1</formula>
    </cfRule>
  </conditionalFormatting>
  <conditionalFormatting sqref="BH25">
    <cfRule type="cellIs" dxfId="39744" priority="85985" stopIfTrue="1" operator="lessThan">
      <formula>0.5</formula>
    </cfRule>
  </conditionalFormatting>
  <conditionalFormatting sqref="BH25">
    <cfRule type="cellIs" dxfId="39743" priority="85986" stopIfTrue="1" operator="greaterThanOrEqual">
      <formula>0.5</formula>
    </cfRule>
  </conditionalFormatting>
  <conditionalFormatting sqref="BJ17">
    <cfRule type="cellIs" dxfId="39742" priority="86023" stopIfTrue="1" operator="equal">
      <formula>-1</formula>
    </cfRule>
  </conditionalFormatting>
  <conditionalFormatting sqref="BJ17">
    <cfRule type="cellIs" dxfId="39741" priority="86024" stopIfTrue="1" operator="lessThan">
      <formula>0.5</formula>
    </cfRule>
  </conditionalFormatting>
  <conditionalFormatting sqref="BJ17">
    <cfRule type="cellIs" dxfId="39740" priority="86025" stopIfTrue="1" operator="greaterThanOrEqual">
      <formula>0.5</formula>
    </cfRule>
  </conditionalFormatting>
  <conditionalFormatting sqref="BJ18">
    <cfRule type="cellIs" dxfId="39739" priority="86026" stopIfTrue="1" operator="equal">
      <formula>-1</formula>
    </cfRule>
  </conditionalFormatting>
  <conditionalFormatting sqref="BJ18">
    <cfRule type="cellIs" dxfId="39738" priority="86027" stopIfTrue="1" operator="lessThan">
      <formula>0.5</formula>
    </cfRule>
  </conditionalFormatting>
  <conditionalFormatting sqref="BJ18">
    <cfRule type="cellIs" dxfId="39737" priority="86028" stopIfTrue="1" operator="greaterThanOrEqual">
      <formula>0.5</formula>
    </cfRule>
  </conditionalFormatting>
  <conditionalFormatting sqref="BJ19">
    <cfRule type="cellIs" dxfId="39736" priority="86029" stopIfTrue="1" operator="equal">
      <formula>-1</formula>
    </cfRule>
  </conditionalFormatting>
  <conditionalFormatting sqref="BJ19">
    <cfRule type="cellIs" dxfId="39735" priority="86030" stopIfTrue="1" operator="lessThan">
      <formula>0.5</formula>
    </cfRule>
  </conditionalFormatting>
  <conditionalFormatting sqref="BJ19">
    <cfRule type="cellIs" dxfId="39734" priority="86031" stopIfTrue="1" operator="greaterThanOrEqual">
      <formula>0.5</formula>
    </cfRule>
  </conditionalFormatting>
  <conditionalFormatting sqref="BJ20">
    <cfRule type="cellIs" dxfId="39733" priority="86032" stopIfTrue="1" operator="equal">
      <formula>-1</formula>
    </cfRule>
  </conditionalFormatting>
  <conditionalFormatting sqref="BJ20">
    <cfRule type="cellIs" dxfId="39732" priority="86033" stopIfTrue="1" operator="lessThan">
      <formula>0.5</formula>
    </cfRule>
  </conditionalFormatting>
  <conditionalFormatting sqref="BJ20">
    <cfRule type="cellIs" dxfId="39731" priority="86034" stopIfTrue="1" operator="greaterThanOrEqual">
      <formula>0.5</formula>
    </cfRule>
  </conditionalFormatting>
  <conditionalFormatting sqref="BJ21">
    <cfRule type="cellIs" dxfId="39730" priority="86035" stopIfTrue="1" operator="equal">
      <formula>-1</formula>
    </cfRule>
  </conditionalFormatting>
  <conditionalFormatting sqref="BJ21">
    <cfRule type="cellIs" dxfId="39729" priority="86036" stopIfTrue="1" operator="lessThan">
      <formula>0.5</formula>
    </cfRule>
  </conditionalFormatting>
  <conditionalFormatting sqref="BJ21">
    <cfRule type="cellIs" dxfId="39728" priority="86037" stopIfTrue="1" operator="greaterThanOrEqual">
      <formula>0.5</formula>
    </cfRule>
  </conditionalFormatting>
  <conditionalFormatting sqref="BJ22">
    <cfRule type="cellIs" dxfId="39727" priority="86038" stopIfTrue="1" operator="equal">
      <formula>-1</formula>
    </cfRule>
  </conditionalFormatting>
  <conditionalFormatting sqref="BJ22">
    <cfRule type="cellIs" dxfId="39726" priority="86039" stopIfTrue="1" operator="lessThan">
      <formula>0.5</formula>
    </cfRule>
  </conditionalFormatting>
  <conditionalFormatting sqref="BJ22">
    <cfRule type="cellIs" dxfId="39725" priority="86040" stopIfTrue="1" operator="greaterThanOrEqual">
      <formula>0.5</formula>
    </cfRule>
  </conditionalFormatting>
  <conditionalFormatting sqref="BJ23">
    <cfRule type="cellIs" dxfId="39724" priority="86041" stopIfTrue="1" operator="equal">
      <formula>-1</formula>
    </cfRule>
  </conditionalFormatting>
  <conditionalFormatting sqref="BJ23">
    <cfRule type="cellIs" dxfId="39723" priority="86042" stopIfTrue="1" operator="lessThan">
      <formula>0.5</formula>
    </cfRule>
  </conditionalFormatting>
  <conditionalFormatting sqref="BJ23">
    <cfRule type="cellIs" dxfId="39722" priority="86043" stopIfTrue="1" operator="greaterThanOrEqual">
      <formula>0.5</formula>
    </cfRule>
  </conditionalFormatting>
  <conditionalFormatting sqref="BJ24">
    <cfRule type="cellIs" dxfId="39721" priority="86044" stopIfTrue="1" operator="equal">
      <formula>-1</formula>
    </cfRule>
  </conditionalFormatting>
  <conditionalFormatting sqref="BJ24">
    <cfRule type="cellIs" dxfId="39720" priority="86045" stopIfTrue="1" operator="lessThan">
      <formula>0.5</formula>
    </cfRule>
  </conditionalFormatting>
  <conditionalFormatting sqref="BJ24">
    <cfRule type="cellIs" dxfId="39719" priority="86046" stopIfTrue="1" operator="greaterThanOrEqual">
      <formula>0.5</formula>
    </cfRule>
  </conditionalFormatting>
  <conditionalFormatting sqref="BJ25">
    <cfRule type="cellIs" dxfId="39718" priority="86047" stopIfTrue="1" operator="equal">
      <formula>-1</formula>
    </cfRule>
  </conditionalFormatting>
  <conditionalFormatting sqref="BJ25">
    <cfRule type="cellIs" dxfId="39717" priority="86048" stopIfTrue="1" operator="lessThan">
      <formula>0.5</formula>
    </cfRule>
  </conditionalFormatting>
  <conditionalFormatting sqref="BJ25">
    <cfRule type="cellIs" dxfId="39716" priority="86049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5" orientation="landscape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020DC-A58D-944F-A06E-1FAA87CC4EC7}">
  <sheetPr codeName="Sheet6">
    <tabColor theme="4"/>
    <pageSetUpPr fitToPage="1"/>
  </sheetPr>
  <dimension ref="A1:BJ2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50" t="str" cm="1">
        <f t="array" ref="A1">[2]!GRUPO</f>
        <v>2º Bach.</v>
      </c>
      <c r="B1" s="63" t="s">
        <v>100</v>
      </c>
      <c r="C1" s="56">
        <v>1</v>
      </c>
      <c r="D1" s="56"/>
      <c r="E1" s="56">
        <v>2</v>
      </c>
      <c r="F1" s="56" t="s">
        <v>0</v>
      </c>
      <c r="G1" s="56">
        <v>3</v>
      </c>
      <c r="H1" s="56" t="s">
        <v>0</v>
      </c>
      <c r="I1" s="56">
        <v>4</v>
      </c>
      <c r="J1" s="56" t="s">
        <v>0</v>
      </c>
      <c r="K1" s="56">
        <v>5</v>
      </c>
      <c r="L1" s="56" t="s">
        <v>0</v>
      </c>
      <c r="M1" s="56">
        <v>6</v>
      </c>
      <c r="N1" s="56" t="s">
        <v>0</v>
      </c>
      <c r="O1" s="56">
        <v>7</v>
      </c>
      <c r="P1" s="56" t="s">
        <v>0</v>
      </c>
      <c r="Q1" s="56">
        <v>8</v>
      </c>
      <c r="R1" s="56" t="s">
        <v>0</v>
      </c>
      <c r="S1" s="56">
        <v>9</v>
      </c>
      <c r="T1" s="56" t="s">
        <v>0</v>
      </c>
      <c r="U1" s="56">
        <v>10</v>
      </c>
      <c r="V1" s="56" t="s">
        <v>0</v>
      </c>
      <c r="W1" s="56">
        <v>11</v>
      </c>
      <c r="X1" s="56" t="s">
        <v>0</v>
      </c>
      <c r="Y1" s="56">
        <v>12</v>
      </c>
      <c r="Z1" s="56" t="s">
        <v>1</v>
      </c>
      <c r="AA1" s="56">
        <v>13</v>
      </c>
      <c r="AB1" s="56" t="s">
        <v>0</v>
      </c>
      <c r="AC1" s="56">
        <v>14</v>
      </c>
      <c r="AD1" s="56" t="s">
        <v>0</v>
      </c>
      <c r="AE1" s="56">
        <v>15</v>
      </c>
      <c r="AF1" s="56" t="s">
        <v>0</v>
      </c>
      <c r="AG1" s="56">
        <v>16</v>
      </c>
      <c r="AH1" s="56" t="s">
        <v>0</v>
      </c>
      <c r="AI1" s="56">
        <v>17</v>
      </c>
      <c r="AJ1" s="56"/>
      <c r="AK1" s="56">
        <v>18</v>
      </c>
      <c r="AL1" s="56"/>
      <c r="AM1" s="56">
        <v>19</v>
      </c>
      <c r="AN1" s="56"/>
      <c r="AO1" s="56">
        <v>20</v>
      </c>
      <c r="AP1" s="56" t="s">
        <v>0</v>
      </c>
      <c r="AQ1" s="56">
        <v>21</v>
      </c>
      <c r="AR1" s="56"/>
      <c r="AS1" s="56">
        <v>22</v>
      </c>
      <c r="AT1" s="56" t="s">
        <v>0</v>
      </c>
      <c r="AU1" s="56">
        <v>23</v>
      </c>
      <c r="AV1" s="56" t="s">
        <v>0</v>
      </c>
      <c r="AW1" s="56">
        <v>24</v>
      </c>
      <c r="AX1" s="56"/>
      <c r="AY1" s="56">
        <v>25</v>
      </c>
      <c r="AZ1" s="56"/>
      <c r="BA1" s="56">
        <v>26</v>
      </c>
      <c r="BB1" s="56"/>
      <c r="BC1" s="56">
        <v>27</v>
      </c>
      <c r="BD1" s="56"/>
      <c r="BE1" s="56">
        <v>28</v>
      </c>
      <c r="BF1" s="56"/>
      <c r="BG1" s="56">
        <v>29</v>
      </c>
      <c r="BH1" s="56"/>
      <c r="BI1" s="56">
        <v>30</v>
      </c>
      <c r="BJ1" s="56"/>
    </row>
    <row r="2" spans="1:62" ht="115" customHeight="1" x14ac:dyDescent="0.2">
      <c r="A2" s="50"/>
      <c r="B2" s="64"/>
      <c r="C2" s="57" t="str">
        <f ca="1">[2]Examen11!C$2</f>
        <v>Alma Casa, Mario</v>
      </c>
      <c r="D2" s="57"/>
      <c r="E2" s="57" t="str">
        <f ca="1">[2]Examen11!E$2</f>
        <v>Amado Luz, Martín</v>
      </c>
      <c r="F2" s="57"/>
      <c r="G2" s="57" t="str">
        <f ca="1">[2]Examen11!G$2</f>
        <v>Bonete Cune, Carla</v>
      </c>
      <c r="H2" s="57"/>
      <c r="I2" s="57" t="str">
        <f ca="1">[2]Examen11!I$2</f>
        <v>Casado Gómez, María</v>
      </c>
      <c r="J2" s="57"/>
      <c r="K2" s="57" t="str">
        <f ca="1">[2]Examen11!K$2</f>
        <v>Concepción García, Elena</v>
      </c>
      <c r="L2" s="57"/>
      <c r="M2" s="57" t="str">
        <f ca="1">[2]Examen11!M$2</f>
        <v>Díaz Lucas, Ricardo</v>
      </c>
      <c r="N2" s="57"/>
      <c r="O2" s="57" t="str">
        <f ca="1">[2]Examen11!O$2</f>
        <v>Díaz Ríos, Lucía</v>
      </c>
      <c r="P2" s="57"/>
      <c r="Q2" s="57" t="str">
        <f ca="1">[2]Examen11!Q$2</f>
        <v>García López, Juan Ángel</v>
      </c>
      <c r="R2" s="57"/>
      <c r="S2" s="57" t="str">
        <f ca="1">[2]Examen11!S$2</f>
        <v>García Pérez, Luis</v>
      </c>
      <c r="T2" s="57"/>
      <c r="U2" s="57" t="str">
        <f ca="1">[2]Examen11!U$2</f>
        <v>Garijo Piqueras, María</v>
      </c>
      <c r="V2" s="57"/>
      <c r="W2" s="57" t="str">
        <f ca="1">[2]Examen11!W$2</f>
        <v>Gómez Luna, José</v>
      </c>
      <c r="X2" s="57"/>
      <c r="Y2" s="57" t="str">
        <f ca="1">[2]Examen11!Y$2</f>
        <v>González García, Juan</v>
      </c>
      <c r="Z2" s="57"/>
      <c r="AA2" s="57" t="str">
        <f ca="1">[2]Examen11!AA$2</f>
        <v>González Pérez, María</v>
      </c>
      <c r="AB2" s="57"/>
      <c r="AC2" s="57" t="str">
        <f ca="1">[2]Examen11!AC$2</f>
        <v>Laín Hernández, Luisa</v>
      </c>
      <c r="AD2" s="57"/>
      <c r="AE2" s="57" t="str">
        <f ca="1">[2]Examen11!AE$2</f>
        <v>Lirios Lara, Juan</v>
      </c>
      <c r="AF2" s="57"/>
      <c r="AG2" s="57" t="str">
        <f ca="1">[2]Examen11!AG$2</f>
        <v>López Picazo, Marta</v>
      </c>
      <c r="AH2" s="57"/>
      <c r="AI2" s="57" t="str">
        <f ca="1">[2]Examen11!AI$2</f>
        <v>Molina Pérez, Marina</v>
      </c>
      <c r="AJ2" s="57"/>
      <c r="AK2" s="57" t="str">
        <f ca="1">[2]Examen11!AK$2</f>
        <v>Molina Sánchez, Inmaculada</v>
      </c>
      <c r="AL2" s="57"/>
      <c r="AM2" s="57" t="str">
        <f ca="1">[2]Examen11!AM$2</f>
        <v>Montero Pacheco, Pablo</v>
      </c>
      <c r="AN2" s="57"/>
      <c r="AO2" s="57" t="str">
        <f ca="1">[2]Examen11!AO$2</f>
        <v>Mora García, Javier</v>
      </c>
      <c r="AP2" s="57"/>
      <c r="AQ2" s="57" t="str">
        <f ca="1">[2]Examen11!AQ$2</f>
        <v>Morcillo Pared, Luna</v>
      </c>
      <c r="AR2" s="57"/>
      <c r="AS2" s="57" t="str">
        <f ca="1">[2]Examen11!AS$2</f>
        <v>Moreno Hernández, Francisco</v>
      </c>
      <c r="AT2" s="57"/>
      <c r="AU2" s="57" t="str">
        <f ca="1">[2]Examen11!AU$2</f>
        <v>Muñoz Garijo, Pablo</v>
      </c>
      <c r="AV2" s="57"/>
      <c r="AW2" s="57" t="str">
        <f ca="1">[2]Examen11!AW$2</f>
        <v>Pérez Garrido, Francisco</v>
      </c>
      <c r="AX2" s="57"/>
      <c r="AY2" s="57" t="str">
        <f ca="1">[2]Examen11!AY$2</f>
        <v>Serna Serna, Susana</v>
      </c>
      <c r="AZ2" s="57"/>
      <c r="BA2" s="57" t="str">
        <f ca="1">[2]Examen11!BA$2</f>
        <v>Soriano Tornero, Manuel</v>
      </c>
      <c r="BB2" s="57"/>
      <c r="BC2" s="57" t="str">
        <f ca="1">[2]Examen11!BC$2</f>
        <v>Sultán Zar, Pedro</v>
      </c>
      <c r="BD2" s="57"/>
      <c r="BE2" s="57" t="str">
        <f ca="1">[2]Examen11!BE$2</f>
        <v>Tendero Grande, Marina</v>
      </c>
      <c r="BF2" s="57"/>
      <c r="BG2" s="57" t="str">
        <f ca="1">[2]Examen11!BG$2</f>
        <v>Valencia Bueno, Isabel</v>
      </c>
      <c r="BH2" s="57"/>
      <c r="BI2" s="57" t="str">
        <f ca="1">[2]Examen11!BI$2</f>
        <v>Zarza Parrilla, Manuel</v>
      </c>
      <c r="BJ2" s="57"/>
    </row>
    <row r="3" spans="1:62" ht="33" customHeight="1" x14ac:dyDescent="0.2">
      <c r="A3" s="28" t="str" cm="1">
        <f t="array" ref="A3">[2]!VERSION</f>
        <v>Versión 1.2</v>
      </c>
      <c r="B3" s="11" t="str">
        <f>IF((B4+B7+B16)=1,"Ok","Error % Bloques")</f>
        <v>Ok</v>
      </c>
      <c r="C3" s="59">
        <f>SUM(C4,C7,C16)</f>
        <v>4.499999979883432</v>
      </c>
      <c r="D3" s="60"/>
      <c r="E3" s="59">
        <f t="shared" ref="E3" si="0">SUM(E4,E7,E16)</f>
        <v>3.7575000375509262</v>
      </c>
      <c r="F3" s="60"/>
      <c r="G3" s="59">
        <f t="shared" ref="G3" si="1">SUM(G4,G7,G16)</f>
        <v>3.6900000482797619</v>
      </c>
      <c r="H3" s="60"/>
      <c r="I3" s="59">
        <f t="shared" ref="I3" si="2">SUM(I4,I7,I16)</f>
        <v>4.1625000318512324</v>
      </c>
      <c r="J3" s="60"/>
      <c r="K3" s="59">
        <f t="shared" ref="K3" si="3">SUM(K4,K7,K16)</f>
        <v>3.7350000388920308</v>
      </c>
      <c r="L3" s="60"/>
      <c r="M3" s="59">
        <f t="shared" ref="M3" si="4">SUM(M4,M7,M16)</f>
        <v>3.757500034198165</v>
      </c>
      <c r="N3" s="60"/>
      <c r="O3" s="59">
        <f t="shared" ref="O3" si="5">SUM(O4,O7,O16)</f>
        <v>4.365000004693866</v>
      </c>
      <c r="P3" s="60"/>
      <c r="Q3" s="59">
        <f t="shared" ref="Q3" si="6">SUM(Q4,Q7,Q16)</f>
        <v>5.1525000466033815</v>
      </c>
      <c r="R3" s="60"/>
      <c r="S3" s="59">
        <f t="shared" ref="S3" si="7">SUM(S4,S7,S16)</f>
        <v>3.4200000006705524</v>
      </c>
      <c r="T3" s="60"/>
      <c r="U3" s="59">
        <f t="shared" ref="U3" si="8">SUM(U4,U7,U16)</f>
        <v>4.95</v>
      </c>
      <c r="V3" s="60"/>
      <c r="W3" s="59">
        <f t="shared" ref="W3" si="9">SUM(W4,W7,W16)</f>
        <v>3.6900000214576725</v>
      </c>
      <c r="X3" s="60"/>
      <c r="Y3" s="59">
        <f t="shared" ref="Y3" si="10">SUM(Y4,Y7,Y16)</f>
        <v>5.4675000026822094</v>
      </c>
      <c r="Z3" s="60"/>
      <c r="AA3" s="59">
        <f t="shared" ref="AA3" si="11">SUM(AA4,AA7,AA16)</f>
        <v>4.5675000093877314</v>
      </c>
      <c r="AB3" s="60"/>
      <c r="AC3" s="59">
        <f t="shared" ref="AC3" si="12">SUM(AC4,AC7,AC16)</f>
        <v>3.6675000362098218</v>
      </c>
      <c r="AD3" s="60"/>
      <c r="AE3" s="59">
        <f t="shared" ref="AE3" si="13">SUM(AE4,AE7,AE16)</f>
        <v>4.1625000435858963</v>
      </c>
      <c r="AF3" s="60"/>
      <c r="AG3" s="59">
        <f t="shared" ref="AG3" si="14">SUM(AG4,AG7,AG16)</f>
        <v>5.0849999919533735</v>
      </c>
      <c r="AH3" s="60"/>
      <c r="AI3" s="59">
        <f t="shared" ref="AI3" si="15">SUM(AI4,AI7,AI16)</f>
        <v>4.297499991953373</v>
      </c>
      <c r="AJ3" s="60"/>
      <c r="AK3" s="59">
        <f t="shared" ref="AK3" si="16">SUM(AK4,AK7,AK16)</f>
        <v>4.2750000368803747</v>
      </c>
      <c r="AL3" s="60"/>
      <c r="AM3" s="59">
        <f t="shared" ref="AM3" si="17">SUM(AM4,AM7,AM16)</f>
        <v>4.590000061690807</v>
      </c>
      <c r="AN3" s="60"/>
      <c r="AO3" s="59">
        <f t="shared" ref="AO3" si="18">SUM(AO4,AO7,AO16)</f>
        <v>4.1850000154227018</v>
      </c>
      <c r="AP3" s="60"/>
      <c r="AQ3" s="59">
        <f t="shared" ref="AQ3" si="19">SUM(AQ4,AQ7,AQ16)</f>
        <v>4.9725000489503151</v>
      </c>
      <c r="AR3" s="60"/>
      <c r="AS3" s="59">
        <f t="shared" ref="AS3" si="20">SUM(AS4,AS7,AS16)</f>
        <v>5.3550000362098222</v>
      </c>
      <c r="AT3" s="60"/>
      <c r="AU3" s="59">
        <f t="shared" ref="AU3" si="21">SUM(AU4,AU7,AU16)</f>
        <v>4.3874999899417162</v>
      </c>
      <c r="AV3" s="60"/>
      <c r="AW3" s="59">
        <f t="shared" ref="AW3" si="22">SUM(AW4,AW7,AW16)</f>
        <v>4.6800000278279184</v>
      </c>
      <c r="AX3" s="60"/>
      <c r="AY3" s="59">
        <f t="shared" ref="AY3" si="23">SUM(AY4,AY7,AY16)</f>
        <v>4.6125000335276134</v>
      </c>
      <c r="AZ3" s="60"/>
      <c r="BA3" s="59">
        <f t="shared" ref="BA3" si="24">SUM(BA4,BA7,BA16)</f>
        <v>3.8925000227987772</v>
      </c>
      <c r="BB3" s="60"/>
      <c r="BC3" s="59">
        <f t="shared" ref="BC3" si="25">SUM(BC4,BC7,BC16)</f>
        <v>5.4000001206994055</v>
      </c>
      <c r="BD3" s="60"/>
      <c r="BE3" s="59">
        <f t="shared" ref="BE3" si="26">SUM(BE4,BE7,BE16)</f>
        <v>3.4874999932944775</v>
      </c>
      <c r="BF3" s="60"/>
      <c r="BG3" s="59">
        <f t="shared" ref="BG3" si="27">SUM(BG4,BG7,BG16)</f>
        <v>4.4549999892711645</v>
      </c>
      <c r="BH3" s="60"/>
      <c r="BI3" s="59">
        <f t="shared" ref="BI3" si="28">SUM(BI4,BI7,BI16)</f>
        <v>2.7900000231340529</v>
      </c>
      <c r="BJ3" s="60"/>
    </row>
    <row r="4" spans="1:62" ht="38" x14ac:dyDescent="0.2">
      <c r="A4" s="6" t="s">
        <v>2</v>
      </c>
      <c r="B4" s="7">
        <f>Estructura!B2</f>
        <v>0.1</v>
      </c>
      <c r="C4" s="58" t="str">
        <f>IF(SUM($B5:$B6)&lt;&gt;0,SUM(C5:C6)/SUM($B5:$B6)*$B4*10, "")</f>
        <v/>
      </c>
      <c r="D4" s="58"/>
      <c r="E4" s="58" t="str">
        <f>IF(SUM($B5:$B6)&lt;&gt;0,SUM(E5:E6)/SUM($B5:$B6)*$B4*10, "")</f>
        <v/>
      </c>
      <c r="F4" s="58"/>
      <c r="G4" s="58" t="str">
        <f>IF(SUM($B5:$B6)&lt;&gt;0,SUM(G5:G6)/SUM($B5:$B6)*$B4*10, "")</f>
        <v/>
      </c>
      <c r="H4" s="58"/>
      <c r="I4" s="58" t="str">
        <f>IF(SUM($B5:$B6)&lt;&gt;0,SUM(I5:I6)/SUM($B5:$B6)*$B4*10, "")</f>
        <v/>
      </c>
      <c r="J4" s="58"/>
      <c r="K4" s="58" t="str">
        <f>IF(SUM($B5:$B6)&lt;&gt;0,SUM(K5:K6)/SUM($B5:$B6)*$B4*10, "")</f>
        <v/>
      </c>
      <c r="L4" s="58"/>
      <c r="M4" s="58" t="str">
        <f>IF(SUM($B5:$B6)&lt;&gt;0,SUM(M5:M6)/SUM($B5:$B6)*$B4*10, "")</f>
        <v/>
      </c>
      <c r="N4" s="58"/>
      <c r="O4" s="58" t="str">
        <f>IF(SUM($B5:$B6)&lt;&gt;0,SUM(O5:O6)/SUM($B5:$B6)*$B4*10, "")</f>
        <v/>
      </c>
      <c r="P4" s="58"/>
      <c r="Q4" s="58" t="str">
        <f>IF(SUM($B5:$B6)&lt;&gt;0,SUM(Q5:Q6)/SUM($B5:$B6)*$B4*10, "")</f>
        <v/>
      </c>
      <c r="R4" s="58"/>
      <c r="S4" s="58" t="str">
        <f>IF(SUM($B5:$B6)&lt;&gt;0,SUM(S5:S6)/SUM($B5:$B6)*$B4*10, "")</f>
        <v/>
      </c>
      <c r="T4" s="58"/>
      <c r="U4" s="58" t="str">
        <f>IF(SUM($B5:$B6)&lt;&gt;0,SUM(U5:U6)/SUM($B5:$B6)*$B4*10, "")</f>
        <v/>
      </c>
      <c r="V4" s="58"/>
      <c r="W4" s="58" t="str">
        <f>IF(SUM($B5:$B6)&lt;&gt;0,SUM(W5:W6)/SUM($B5:$B6)*$B4*10, "")</f>
        <v/>
      </c>
      <c r="X4" s="58"/>
      <c r="Y4" s="58" t="str">
        <f>IF(SUM($B5:$B6)&lt;&gt;0,SUM(Y5:Y6)/SUM($B5:$B6)*$B4*10, "")</f>
        <v/>
      </c>
      <c r="Z4" s="58"/>
      <c r="AA4" s="58" t="str">
        <f>IF(SUM($B5:$B6)&lt;&gt;0,SUM(AA5:AA6)/SUM($B5:$B6)*$B4*10, "")</f>
        <v/>
      </c>
      <c r="AB4" s="58"/>
      <c r="AC4" s="58" t="str">
        <f>IF(SUM($B5:$B6)&lt;&gt;0,SUM(AC5:AC6)/SUM($B5:$B6)*$B4*10, "")</f>
        <v/>
      </c>
      <c r="AD4" s="58"/>
      <c r="AE4" s="58" t="str">
        <f>IF(SUM($B5:$B6)&lt;&gt;0,SUM(AE5:AE6)/SUM($B5:$B6)*$B4*10, "")</f>
        <v/>
      </c>
      <c r="AF4" s="58"/>
      <c r="AG4" s="58" t="str">
        <f>IF(SUM($B5:$B6)&lt;&gt;0,SUM(AG5:AG6)/SUM($B5:$B6)*$B4*10, "")</f>
        <v/>
      </c>
      <c r="AH4" s="58"/>
      <c r="AI4" s="58" t="str">
        <f>IF(SUM($B5:$B6)&lt;&gt;0,SUM(AI5:AI6)/SUM($B5:$B6)*$B4*10, "")</f>
        <v/>
      </c>
      <c r="AJ4" s="58"/>
      <c r="AK4" s="58" t="str">
        <f>IF(SUM($B5:$B6)&lt;&gt;0,SUM(AK5:AK6)/SUM($B5:$B6)*$B4*10, "")</f>
        <v/>
      </c>
      <c r="AL4" s="58"/>
      <c r="AM4" s="58" t="str">
        <f>IF(SUM($B5:$B6)&lt;&gt;0,SUM(AM5:AM6)/SUM($B5:$B6)*$B4*10, "")</f>
        <v/>
      </c>
      <c r="AN4" s="58"/>
      <c r="AO4" s="58" t="str">
        <f>IF(SUM($B5:$B6)&lt;&gt;0,SUM(AO5:AO6)/SUM($B5:$B6)*$B4*10, "")</f>
        <v/>
      </c>
      <c r="AP4" s="58"/>
      <c r="AQ4" s="58" t="str">
        <f>IF(SUM($B5:$B6)&lt;&gt;0,SUM(AQ5:AQ6)/SUM($B5:$B6)*$B4*10, "")</f>
        <v/>
      </c>
      <c r="AR4" s="58"/>
      <c r="AS4" s="58" t="str">
        <f>IF(SUM($B5:$B6)&lt;&gt;0,SUM(AS5:AS6)/SUM($B5:$B6)*$B4*10, "")</f>
        <v/>
      </c>
      <c r="AT4" s="58"/>
      <c r="AU4" s="58" t="str">
        <f>IF(SUM($B5:$B6)&lt;&gt;0,SUM(AU5:AU6)/SUM($B5:$B6)*$B4*10, "")</f>
        <v/>
      </c>
      <c r="AV4" s="58"/>
      <c r="AW4" s="58" t="str">
        <f>IF(SUM($B5:$B6)&lt;&gt;0,SUM(AW5:AW6)/SUM($B5:$B6)*$B4*10, "")</f>
        <v/>
      </c>
      <c r="AX4" s="58"/>
      <c r="AY4" s="58" t="str">
        <f>IF(SUM($B5:$B6)&lt;&gt;0,SUM(AY5:AY6)/SUM($B5:$B6)*$B4*10, "")</f>
        <v/>
      </c>
      <c r="AZ4" s="58"/>
      <c r="BA4" s="58" t="str">
        <f>IF(SUM($B5:$B6)&lt;&gt;0,SUM(BA5:BA6)/SUM($B5:$B6)*$B4*10, "")</f>
        <v/>
      </c>
      <c r="BB4" s="58"/>
      <c r="BC4" s="58" t="str">
        <f>IF(SUM($B5:$B6)&lt;&gt;0,SUM(BC5:BC6)/SUM($B5:$B6)*$B4*10, "")</f>
        <v/>
      </c>
      <c r="BD4" s="58"/>
      <c r="BE4" s="58" t="str">
        <f>IF(SUM($B5:$B6)&lt;&gt;0,SUM(BE5:BE6)/SUM($B5:$B6)*$B4*10, "")</f>
        <v/>
      </c>
      <c r="BF4" s="58"/>
      <c r="BG4" s="58" t="str">
        <f>IF(SUM($B5:$B6)&lt;&gt;0,SUM(BG5:BG6)/SUM($B5:$B6)*$B4*10, "")</f>
        <v/>
      </c>
      <c r="BH4" s="58"/>
      <c r="BI4" s="58" t="str">
        <f>IF(SUM($B5:$B6)&lt;&gt;0,SUM(BI5:BI6)/SUM($B5:$B6)*$B4*10, "")</f>
        <v/>
      </c>
      <c r="BJ4" s="58"/>
    </row>
    <row r="5" spans="1:62" ht="28" x14ac:dyDescent="0.2">
      <c r="A5" s="2" t="s">
        <v>8</v>
      </c>
      <c r="B5" s="13">
        <f>Primera!B5</f>
        <v>0</v>
      </c>
      <c r="C5" s="31">
        <f>Primera!C5</f>
        <v>0</v>
      </c>
      <c r="D5" s="32">
        <f>IF($B5,C5/$B5,-1)</f>
        <v>-1</v>
      </c>
      <c r="E5" s="31">
        <f>Primera!E5</f>
        <v>0</v>
      </c>
      <c r="F5" s="32">
        <f>IF($B5,E5/$B5,-1)</f>
        <v>-1</v>
      </c>
      <c r="G5" s="31">
        <f>Primera!G5</f>
        <v>0</v>
      </c>
      <c r="H5" s="32">
        <f>IF($B5,G5/$B5,-1)</f>
        <v>-1</v>
      </c>
      <c r="I5" s="31">
        <f>Primera!I5</f>
        <v>0</v>
      </c>
      <c r="J5" s="32">
        <f>IF($B5,I5/$B5,-1)</f>
        <v>-1</v>
      </c>
      <c r="K5" s="31">
        <f>Primera!K5</f>
        <v>0</v>
      </c>
      <c r="L5" s="32">
        <f>IF($B5,K5/$B5,-1)</f>
        <v>-1</v>
      </c>
      <c r="M5" s="31">
        <f>Primera!M5</f>
        <v>0</v>
      </c>
      <c r="N5" s="32">
        <f>IF($B5,M5/$B5,-1)</f>
        <v>-1</v>
      </c>
      <c r="O5" s="31">
        <f>Primera!O5</f>
        <v>0</v>
      </c>
      <c r="P5" s="32">
        <f>IF($B5,O5/$B5,-1)</f>
        <v>-1</v>
      </c>
      <c r="Q5" s="31">
        <f>Primera!Q5</f>
        <v>0</v>
      </c>
      <c r="R5" s="32">
        <f>IF($B5,Q5/$B5,-1)</f>
        <v>-1</v>
      </c>
      <c r="S5" s="31">
        <f>Primera!S5</f>
        <v>0</v>
      </c>
      <c r="T5" s="32">
        <f>IF($B5,S5/$B5,-1)</f>
        <v>-1</v>
      </c>
      <c r="U5" s="31">
        <f>Primera!U5</f>
        <v>0</v>
      </c>
      <c r="V5" s="32">
        <f>IF($B5,U5/$B5,-1)</f>
        <v>-1</v>
      </c>
      <c r="W5" s="31">
        <f>Primera!W5</f>
        <v>0</v>
      </c>
      <c r="X5" s="32">
        <f>IF($B5,W5/$B5,-1)</f>
        <v>-1</v>
      </c>
      <c r="Y5" s="31">
        <f>Primera!Y5</f>
        <v>0</v>
      </c>
      <c r="Z5" s="32">
        <f>IF($B5,Y5/$B5,-1)</f>
        <v>-1</v>
      </c>
      <c r="AA5" s="31">
        <f>Primera!AA5</f>
        <v>0</v>
      </c>
      <c r="AB5" s="32">
        <f>IF($B5,AA5/$B5,-1)</f>
        <v>-1</v>
      </c>
      <c r="AC5" s="31">
        <f>Primera!AC5</f>
        <v>0</v>
      </c>
      <c r="AD5" s="32">
        <f>IF($B5,AC5/$B5,-1)</f>
        <v>-1</v>
      </c>
      <c r="AE5" s="31">
        <f>Primera!AE5</f>
        <v>0</v>
      </c>
      <c r="AF5" s="32">
        <f>IF($B5,AE5/$B5,-1)</f>
        <v>-1</v>
      </c>
      <c r="AG5" s="31">
        <f>Primera!AG5</f>
        <v>0</v>
      </c>
      <c r="AH5" s="32">
        <f>IF($B5,AG5/$B5,-1)</f>
        <v>-1</v>
      </c>
      <c r="AI5" s="31">
        <f>Primera!AI5</f>
        <v>0</v>
      </c>
      <c r="AJ5" s="32">
        <f>IF($B5,AI5/$B5,-1)</f>
        <v>-1</v>
      </c>
      <c r="AK5" s="31">
        <f>Primera!AK5</f>
        <v>0</v>
      </c>
      <c r="AL5" s="32">
        <f>IF($B5,AK5/$B5,-1)</f>
        <v>-1</v>
      </c>
      <c r="AM5" s="31">
        <f>Primera!AM5</f>
        <v>0</v>
      </c>
      <c r="AN5" s="32">
        <f>IF($B5,AM5/$B5,-1)</f>
        <v>-1</v>
      </c>
      <c r="AO5" s="31">
        <f>Primera!AO5</f>
        <v>0</v>
      </c>
      <c r="AP5" s="32">
        <f>IF($B5,AO5/$B5,-1)</f>
        <v>-1</v>
      </c>
      <c r="AQ5" s="31">
        <f>Primera!AQ5</f>
        <v>0</v>
      </c>
      <c r="AR5" s="32">
        <f>IF($B5,AQ5/$B5,-1)</f>
        <v>-1</v>
      </c>
      <c r="AS5" s="31">
        <f>Primera!AS5</f>
        <v>0</v>
      </c>
      <c r="AT5" s="32">
        <f>IF($B5,AS5/$B5,-1)</f>
        <v>-1</v>
      </c>
      <c r="AU5" s="31">
        <f>Primera!AU5</f>
        <v>0</v>
      </c>
      <c r="AV5" s="32">
        <f>IF($B5,AU5/$B5,-1)</f>
        <v>-1</v>
      </c>
      <c r="AW5" s="31">
        <f>Primera!AW5</f>
        <v>0</v>
      </c>
      <c r="AX5" s="32">
        <f>IF($B5,AW5/$B5,-1)</f>
        <v>-1</v>
      </c>
      <c r="AY5" s="31">
        <f>Primera!AY5</f>
        <v>0</v>
      </c>
      <c r="AZ5" s="32">
        <f>IF($B5,AY5/$B5,-1)</f>
        <v>-1</v>
      </c>
      <c r="BA5" s="31">
        <f>Primera!BA5</f>
        <v>0</v>
      </c>
      <c r="BB5" s="32">
        <f>IF($B5,BA5/$B5,-1)</f>
        <v>-1</v>
      </c>
      <c r="BC5" s="31">
        <f>Primera!BC5</f>
        <v>0</v>
      </c>
      <c r="BD5" s="32">
        <f>IF($B5,BC5/$B5,-1)</f>
        <v>-1</v>
      </c>
      <c r="BE5" s="31">
        <f>Primera!BE5</f>
        <v>0</v>
      </c>
      <c r="BF5" s="32">
        <f>IF($B5,BE5/$B5,-1)</f>
        <v>-1</v>
      </c>
      <c r="BG5" s="31">
        <f>Primera!BG5</f>
        <v>0</v>
      </c>
      <c r="BH5" s="32">
        <f>IF($B5,BG5/$B5,-1)</f>
        <v>-1</v>
      </c>
      <c r="BI5" s="31">
        <f>Primera!BI5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Primera!B6</f>
        <v>0</v>
      </c>
      <c r="C6" s="31">
        <f>Primera!C6</f>
        <v>0</v>
      </c>
      <c r="D6" s="32">
        <f>IF($B6,C6/$B6,-1)</f>
        <v>-1</v>
      </c>
      <c r="E6" s="31">
        <f>Primera!E6</f>
        <v>0</v>
      </c>
      <c r="F6" s="32">
        <f>IF($B6,E6/$B6,-1)</f>
        <v>-1</v>
      </c>
      <c r="G6" s="31">
        <f>Primera!G6</f>
        <v>0</v>
      </c>
      <c r="H6" s="32">
        <f>IF($B6,G6/$B6,-1)</f>
        <v>-1</v>
      </c>
      <c r="I6" s="31">
        <f>Primera!I6</f>
        <v>0</v>
      </c>
      <c r="J6" s="32">
        <f>IF($B6,I6/$B6,-1)</f>
        <v>-1</v>
      </c>
      <c r="K6" s="31">
        <f>Primera!K6</f>
        <v>0</v>
      </c>
      <c r="L6" s="32">
        <f>IF($B6,K6/$B6,-1)</f>
        <v>-1</v>
      </c>
      <c r="M6" s="31">
        <f>Primera!M6</f>
        <v>0</v>
      </c>
      <c r="N6" s="32">
        <f>IF($B6,M6/$B6,-1)</f>
        <v>-1</v>
      </c>
      <c r="O6" s="31">
        <f>Primera!O6</f>
        <v>0</v>
      </c>
      <c r="P6" s="32">
        <f>IF($B6,O6/$B6,-1)</f>
        <v>-1</v>
      </c>
      <c r="Q6" s="31">
        <f>Primera!Q6</f>
        <v>0</v>
      </c>
      <c r="R6" s="32">
        <f>IF($B6,Q6/$B6,-1)</f>
        <v>-1</v>
      </c>
      <c r="S6" s="31">
        <f>Primera!S6</f>
        <v>0</v>
      </c>
      <c r="T6" s="32">
        <f>IF($B6,S6/$B6,-1)</f>
        <v>-1</v>
      </c>
      <c r="U6" s="31">
        <f>Primera!U6</f>
        <v>0</v>
      </c>
      <c r="V6" s="32">
        <f>IF($B6,U6/$B6,-1)</f>
        <v>-1</v>
      </c>
      <c r="W6" s="31">
        <f>Primera!W6</f>
        <v>0</v>
      </c>
      <c r="X6" s="32">
        <f>IF($B6,W6/$B6,-1)</f>
        <v>-1</v>
      </c>
      <c r="Y6" s="31">
        <f>Primera!Y6</f>
        <v>0</v>
      </c>
      <c r="Z6" s="32">
        <f>IF($B6,Y6/$B6,-1)</f>
        <v>-1</v>
      </c>
      <c r="AA6" s="31">
        <f>Primera!AA6</f>
        <v>0</v>
      </c>
      <c r="AB6" s="32">
        <f>IF($B6,AA6/$B6,-1)</f>
        <v>-1</v>
      </c>
      <c r="AC6" s="31">
        <f>Primera!AC6</f>
        <v>0</v>
      </c>
      <c r="AD6" s="32">
        <f>IF($B6,AC6/$B6,-1)</f>
        <v>-1</v>
      </c>
      <c r="AE6" s="31">
        <f>Primera!AE6</f>
        <v>0</v>
      </c>
      <c r="AF6" s="32">
        <f>IF($B6,AE6/$B6,-1)</f>
        <v>-1</v>
      </c>
      <c r="AG6" s="31">
        <f>Primera!AG6</f>
        <v>0</v>
      </c>
      <c r="AH6" s="32">
        <f>IF($B6,AG6/$B6,-1)</f>
        <v>-1</v>
      </c>
      <c r="AI6" s="31">
        <f>Primera!AI6</f>
        <v>0</v>
      </c>
      <c r="AJ6" s="32">
        <f>IF($B6,AI6/$B6,-1)</f>
        <v>-1</v>
      </c>
      <c r="AK6" s="31">
        <f>Primera!AK6</f>
        <v>0</v>
      </c>
      <c r="AL6" s="32">
        <f>IF($B6,AK6/$B6,-1)</f>
        <v>-1</v>
      </c>
      <c r="AM6" s="31">
        <f>Primera!AM6</f>
        <v>0</v>
      </c>
      <c r="AN6" s="32">
        <f>IF($B6,AM6/$B6,-1)</f>
        <v>-1</v>
      </c>
      <c r="AO6" s="31">
        <f>Primera!AO6</f>
        <v>0</v>
      </c>
      <c r="AP6" s="32">
        <f>IF($B6,AO6/$B6,-1)</f>
        <v>-1</v>
      </c>
      <c r="AQ6" s="31">
        <f>Primera!AQ6</f>
        <v>0</v>
      </c>
      <c r="AR6" s="32">
        <f>IF($B6,AQ6/$B6,-1)</f>
        <v>-1</v>
      </c>
      <c r="AS6" s="31">
        <f>Primera!AS6</f>
        <v>0</v>
      </c>
      <c r="AT6" s="32">
        <f>IF($B6,AS6/$B6,-1)</f>
        <v>-1</v>
      </c>
      <c r="AU6" s="31">
        <f>Primera!AU6</f>
        <v>0</v>
      </c>
      <c r="AV6" s="32">
        <f>IF($B6,AU6/$B6,-1)</f>
        <v>-1</v>
      </c>
      <c r="AW6" s="31">
        <f>Primera!AW6</f>
        <v>0</v>
      </c>
      <c r="AX6" s="32">
        <f>IF($B6,AW6/$B6,-1)</f>
        <v>-1</v>
      </c>
      <c r="AY6" s="31">
        <f>Primera!AY6</f>
        <v>0</v>
      </c>
      <c r="AZ6" s="32">
        <f>IF($B6,AY6/$B6,-1)</f>
        <v>-1</v>
      </c>
      <c r="BA6" s="31">
        <f>Primera!BA6</f>
        <v>0</v>
      </c>
      <c r="BB6" s="32">
        <f>IF($B6,BA6/$B6,-1)</f>
        <v>-1</v>
      </c>
      <c r="BC6" s="31">
        <f>Primera!BC6</f>
        <v>0</v>
      </c>
      <c r="BD6" s="32">
        <f>IF($B6,BC6/$B6,-1)</f>
        <v>-1</v>
      </c>
      <c r="BE6" s="31">
        <f>Primera!BE6</f>
        <v>0</v>
      </c>
      <c r="BF6" s="32">
        <f>IF($B6,BE6/$B6,-1)</f>
        <v>-1</v>
      </c>
      <c r="BG6" s="31">
        <f>Primera!BG6</f>
        <v>0</v>
      </c>
      <c r="BH6" s="32">
        <f>IF($B6,BG6/$B6,-1)</f>
        <v>-1</v>
      </c>
      <c r="BI6" s="31">
        <f>Primera!BI6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Estructura!B3</f>
        <v>0.45</v>
      </c>
      <c r="C7" s="58">
        <f>IF(SUM($B8:$B15)&lt;&gt;0,SUM(C8:C15)/SUM($B8:$B15)*$B7*10, "")</f>
        <v>2.2499999731779101</v>
      </c>
      <c r="D7" s="58"/>
      <c r="E7" s="58">
        <f>IF(SUM($B8:$B15)&lt;&gt;0,SUM(E8:E15)/SUM($B8:$B15)*$B7*10, "")</f>
        <v>2.1599999852478504</v>
      </c>
      <c r="F7" s="58"/>
      <c r="G7" s="58">
        <f>IF(SUM($B8:$B15)&lt;&gt;0,SUM(G8:G15)/SUM($B8:$B15)*$B7*10, "")</f>
        <v>2.2500000536441802</v>
      </c>
      <c r="H7" s="58"/>
      <c r="I7" s="58">
        <f>IF(SUM($B8:$B15)&lt;&gt;0,SUM(I8:I15)/SUM($B8:$B15)*$B7*10, "")</f>
        <v>1.8900000281631948</v>
      </c>
      <c r="J7" s="58"/>
      <c r="K7" s="58">
        <f>IF(SUM($B8:$B15)&lt;&gt;0,SUM(K8:K15)/SUM($B8:$B15)*$B7*10, "")</f>
        <v>1.8900000348687171</v>
      </c>
      <c r="L7" s="58"/>
      <c r="M7" s="58">
        <f>IF(SUM($B8:$B15)&lt;&gt;0,SUM(M8:M15)/SUM($B8:$B15)*$B7*10, "")</f>
        <v>1.5300000160932541</v>
      </c>
      <c r="N7" s="58"/>
      <c r="O7" s="58">
        <f>IF(SUM($B8:$B15)&lt;&gt;0,SUM(O8:O15)/SUM($B8:$B15)*$B7*10, "")</f>
        <v>1.619999983906746</v>
      </c>
      <c r="P7" s="58"/>
      <c r="Q7" s="58">
        <f>IF(SUM($B8:$B15)&lt;&gt;0,SUM(Q8:Q15)/SUM($B8:$B15)*$B7*10, "")</f>
        <v>3.5100000321865084</v>
      </c>
      <c r="R7" s="58"/>
      <c r="S7" s="58">
        <f>IF(SUM($B8:$B15)&lt;&gt;0,SUM(S8:S15)/SUM($B8:$B15)*$B7*10, "")</f>
        <v>1.7099999919533728</v>
      </c>
      <c r="T7" s="58"/>
      <c r="U7" s="58">
        <f>IF(SUM($B8:$B15)&lt;&gt;0,SUM(U8:U15)/SUM($B8:$B15)*$B7*10, "")</f>
        <v>1.8899999946355819</v>
      </c>
      <c r="V7" s="58"/>
      <c r="W7" s="58">
        <f>IF(SUM($B8:$B15)&lt;&gt;0,SUM(W8:W15)/SUM($B8:$B15)*$B7*10, "")</f>
        <v>1.4399999879300596</v>
      </c>
      <c r="X7" s="58"/>
      <c r="Y7" s="58">
        <f>IF(SUM($B8:$B15)&lt;&gt;0,SUM(Y8:Y15)/SUM($B8:$B15)*$B7*10, "")</f>
        <v>2.5199999973177913</v>
      </c>
      <c r="Z7" s="58"/>
      <c r="AA7" s="58">
        <f>IF(SUM($B8:$B15)&lt;&gt;0,SUM(AA8:AA15)/SUM($B8:$B15)*$B7*10, "")</f>
        <v>2.6099999852478506</v>
      </c>
      <c r="AB7" s="58"/>
      <c r="AC7" s="58">
        <f>IF(SUM($B8:$B15)&lt;&gt;0,SUM(AC8:AC15)/SUM($B8:$B15)*$B7*10, "")</f>
        <v>1.8000000268220904</v>
      </c>
      <c r="AD7" s="58"/>
      <c r="AE7" s="58">
        <f>IF(SUM($B8:$B15)&lt;&gt;0,SUM(AE8:AE15)/SUM($B8:$B15)*$B7*10, "")</f>
        <v>1.4400000415742398</v>
      </c>
      <c r="AF7" s="58"/>
      <c r="AG7" s="58">
        <f>IF(SUM($B8:$B15)&lt;&gt;0,SUM(AG8:AG15)/SUM($B8:$B15)*$B7*10, "")</f>
        <v>3.0600000120699411</v>
      </c>
      <c r="AH7" s="58"/>
      <c r="AI7" s="58">
        <f>IF(SUM($B8:$B15)&lt;&gt;0,SUM(AI8:AI15)/SUM($B8:$B15)*$B7*10, "")</f>
        <v>2.7900000013411046</v>
      </c>
      <c r="AJ7" s="58"/>
      <c r="AK7" s="58">
        <f>IF(SUM($B8:$B15)&lt;&gt;0,SUM(AK8:AK15)/SUM($B8:$B15)*$B7*10, "")</f>
        <v>1.800000033527613</v>
      </c>
      <c r="AL7" s="58"/>
      <c r="AM7" s="58">
        <f>IF(SUM($B8:$B15)&lt;&gt;0,SUM(AM8:AM15)/SUM($B8:$B15)*$B7*10, "")</f>
        <v>2.430000016093254</v>
      </c>
      <c r="AN7" s="58"/>
      <c r="AO7" s="58">
        <f>IF(SUM($B8:$B15)&lt;&gt;0,SUM(AO8:AO15)/SUM($B8:$B15)*$B7*10, "")</f>
        <v>1.8000000067055224</v>
      </c>
      <c r="AP7" s="58"/>
      <c r="AQ7" s="58">
        <f>IF(SUM($B8:$B15)&lt;&gt;0,SUM(AQ8:AQ15)/SUM($B8:$B15)*$B7*10, "")</f>
        <v>2.0700000375509262</v>
      </c>
      <c r="AR7" s="58"/>
      <c r="AS7" s="58">
        <f>IF(SUM($B8:$B15)&lt;&gt;0,SUM(AS8:AS15)/SUM($B8:$B15)*$B7*10, "")</f>
        <v>2.5200000107288361</v>
      </c>
      <c r="AT7" s="58"/>
      <c r="AU7" s="58">
        <f>IF(SUM($B8:$B15)&lt;&gt;0,SUM(AU8:AU15)/SUM($B8:$B15)*$B7*10, "")</f>
        <v>1.7100000120699408</v>
      </c>
      <c r="AV7" s="58"/>
      <c r="AW7" s="58">
        <f>IF(SUM($B8:$B15)&lt;&gt;0,SUM(AW8:AW15)/SUM($B8:$B15)*$B7*10, "")</f>
        <v>3.1500000134110451</v>
      </c>
      <c r="AX7" s="58"/>
      <c r="AY7" s="58">
        <f>IF(SUM($B8:$B15)&lt;&gt;0,SUM(AY8:AY15)/SUM($B8:$B15)*$B7*10, "")</f>
        <v>2.0700000107288363</v>
      </c>
      <c r="AZ7" s="58"/>
      <c r="BA7" s="58">
        <f>IF(SUM($B8:$B15)&lt;&gt;0,SUM(BA8:BA15)/SUM($B8:$B15)*$B7*10, "")</f>
        <v>1.8900000281631948</v>
      </c>
      <c r="BB7" s="58"/>
      <c r="BC7" s="58">
        <f>IF(SUM($B8:$B15)&lt;&gt;0,SUM(BC8:BC15)/SUM($B8:$B15)*$B7*10, "")</f>
        <v>2.7900000751018523</v>
      </c>
      <c r="BD7" s="58"/>
      <c r="BE7" s="58">
        <f>IF(SUM($B8:$B15)&lt;&gt;0,SUM(BE8:BE15)/SUM($B8:$B15)*$B7*10, "")</f>
        <v>1.9799999758601188</v>
      </c>
      <c r="BF7" s="58"/>
      <c r="BG7" s="58">
        <f>IF(SUM($B8:$B15)&lt;&gt;0,SUM(BG8:BG15)/SUM($B8:$B15)*$B7*10, "")</f>
        <v>1.7999999932944775</v>
      </c>
      <c r="BH7" s="58"/>
      <c r="BI7" s="58">
        <f>IF(SUM($B8:$B15)&lt;&gt;0,SUM(BI8:BI15)/SUM($B8:$B15)*$B7*10, "")</f>
        <v>1.6200000040233138</v>
      </c>
      <c r="BJ7" s="58"/>
    </row>
    <row r="8" spans="1:62" ht="42" x14ac:dyDescent="0.2">
      <c r="A8" s="2" t="s">
        <v>10</v>
      </c>
      <c r="B8" s="13">
        <f>Primera!B8</f>
        <v>2</v>
      </c>
      <c r="C8" s="31">
        <f>Primera!C8</f>
        <v>1.3999999761581421</v>
      </c>
      <c r="D8" s="32">
        <f t="shared" ref="D8:D15" si="29">IF($B8,C8/$B8,-1)</f>
        <v>0.69999998807907104</v>
      </c>
      <c r="E8" s="31">
        <f>Primera!E8</f>
        <v>1</v>
      </c>
      <c r="F8" s="32">
        <f t="shared" ref="F8:F15" si="30">IF($B8,E8/$B8,-1)</f>
        <v>0.5</v>
      </c>
      <c r="G8" s="31">
        <f>Primera!G8</f>
        <v>1.2000000476837158</v>
      </c>
      <c r="H8" s="32">
        <f t="shared" ref="H8:H15" si="31">IF($B8,G8/$B8,-1)</f>
        <v>0.60000002384185791</v>
      </c>
      <c r="I8" s="31">
        <f>Primera!I8</f>
        <v>0.60000002384185791</v>
      </c>
      <c r="J8" s="32">
        <f t="shared" ref="J8:J15" si="32">IF($B8,I8/$B8,-1)</f>
        <v>0.30000001192092896</v>
      </c>
      <c r="K8" s="31">
        <f>Primera!K8</f>
        <v>0.60000002384185791</v>
      </c>
      <c r="L8" s="32">
        <f t="shared" ref="L8:L15" si="33">IF($B8,K8/$B8,-1)</f>
        <v>0.30000001192092896</v>
      </c>
      <c r="M8" s="31">
        <f>Primera!M8</f>
        <v>1.6000000238418579</v>
      </c>
      <c r="N8" s="32">
        <f t="shared" ref="N8:N15" si="34">IF($B8,M8/$B8,-1)</f>
        <v>0.80000001192092896</v>
      </c>
      <c r="O8" s="31">
        <f>Primera!O8</f>
        <v>0</v>
      </c>
      <c r="P8" s="32">
        <f t="shared" ref="P8:P15" si="35">IF($B8,O8/$B8,-1)</f>
        <v>0</v>
      </c>
      <c r="Q8" s="31">
        <f>Primera!Q8</f>
        <v>1.6000000238418579</v>
      </c>
      <c r="R8" s="32">
        <f t="shared" ref="R8:R15" si="36">IF($B8,Q8/$B8,-1)</f>
        <v>0.80000001192092896</v>
      </c>
      <c r="S8" s="31">
        <f>Primera!S8</f>
        <v>1.6000000238418579</v>
      </c>
      <c r="T8" s="32">
        <f t="shared" ref="T8:T15" si="37">IF($B8,S8/$B8,-1)</f>
        <v>0.80000001192092896</v>
      </c>
      <c r="U8" s="31">
        <f>Primera!U8</f>
        <v>1.3999999761581421</v>
      </c>
      <c r="V8" s="32">
        <f t="shared" ref="V8:V15" si="38">IF($B8,U8/$B8,-1)</f>
        <v>0.69999998807907104</v>
      </c>
      <c r="W8" s="31">
        <f>Primera!W8</f>
        <v>0</v>
      </c>
      <c r="X8" s="32">
        <f t="shared" ref="X8:X15" si="39">IF($B8,W8/$B8,-1)</f>
        <v>0</v>
      </c>
      <c r="Y8" s="31">
        <f>Primera!Y8</f>
        <v>0.80000001192092896</v>
      </c>
      <c r="Z8" s="32">
        <f t="shared" ref="Z8:Z15" si="40">IF($B8,Y8/$B8,-1)</f>
        <v>0.40000000596046448</v>
      </c>
      <c r="AA8" s="31">
        <f>Primera!AA8</f>
        <v>1.7999999523162842</v>
      </c>
      <c r="AB8" s="32">
        <f t="shared" ref="AB8:AB15" si="41">IF($B8,AA8/$B8,-1)</f>
        <v>0.89999997615814209</v>
      </c>
      <c r="AC8" s="31">
        <f>Primera!AC8</f>
        <v>1.6000000238418579</v>
      </c>
      <c r="AD8" s="32">
        <f t="shared" ref="AD8:AD15" si="42">IF($B8,AC8/$B8,-1)</f>
        <v>0.80000001192092896</v>
      </c>
      <c r="AE8" s="31">
        <f>Primera!AE8</f>
        <v>0.80000001192092896</v>
      </c>
      <c r="AF8" s="32">
        <f t="shared" ref="AF8:AF15" si="43">IF($B8,AE8/$B8,-1)</f>
        <v>0.40000000596046448</v>
      </c>
      <c r="AG8" s="31">
        <f>Primera!AG8</f>
        <v>2</v>
      </c>
      <c r="AH8" s="32">
        <f t="shared" ref="AH8:AH15" si="44">IF($B8,AG8/$B8,-1)</f>
        <v>1</v>
      </c>
      <c r="AI8" s="31">
        <f>Primera!AI8</f>
        <v>1.7999999523162842</v>
      </c>
      <c r="AJ8" s="32">
        <f t="shared" ref="AJ8:AJ15" si="45">IF($B8,AI8/$B8,-1)</f>
        <v>0.89999997615814209</v>
      </c>
      <c r="AK8" s="31">
        <f>Primera!AK8</f>
        <v>0</v>
      </c>
      <c r="AL8" s="32">
        <f t="shared" ref="AL8:AL15" si="46">IF($B8,AK8/$B8,-1)</f>
        <v>0</v>
      </c>
      <c r="AM8" s="31">
        <f>Primera!AM8</f>
        <v>2</v>
      </c>
      <c r="AN8" s="32">
        <f t="shared" ref="AN8:AN15" si="47">IF($B8,AM8/$B8,-1)</f>
        <v>1</v>
      </c>
      <c r="AO8" s="31">
        <f>Primera!AO8</f>
        <v>0.80000001192092896</v>
      </c>
      <c r="AP8" s="32">
        <f t="shared" ref="AP8:AP15" si="48">IF($B8,AO8/$B8,-1)</f>
        <v>0.40000000596046448</v>
      </c>
      <c r="AQ8" s="31">
        <f>Primera!AQ8</f>
        <v>1</v>
      </c>
      <c r="AR8" s="32">
        <f t="shared" ref="AR8:AR15" si="49">IF($B8,AQ8/$B8,-1)</f>
        <v>0.5</v>
      </c>
      <c r="AS8" s="31">
        <f>Primera!AS8</f>
        <v>1.6000000238418579</v>
      </c>
      <c r="AT8" s="32">
        <f t="shared" ref="AT8:AT15" si="50">IF($B8,AS8/$B8,-1)</f>
        <v>0.80000001192092896</v>
      </c>
      <c r="AU8" s="31">
        <f>Primera!AU8</f>
        <v>0</v>
      </c>
      <c r="AV8" s="32">
        <f t="shared" ref="AV8:AV15" si="51">IF($B8,AU8/$B8,-1)</f>
        <v>0</v>
      </c>
      <c r="AW8" s="31">
        <f>Primera!AW8</f>
        <v>1.2000000476837158</v>
      </c>
      <c r="AX8" s="32">
        <f t="shared" ref="AX8:AX15" si="52">IF($B8,AW8/$B8,-1)</f>
        <v>0.60000002384185791</v>
      </c>
      <c r="AY8" s="31">
        <f>Primera!AY8</f>
        <v>1</v>
      </c>
      <c r="AZ8" s="32">
        <f t="shared" ref="AZ8:AZ15" si="53">IF($B8,AY8/$B8,-1)</f>
        <v>0.5</v>
      </c>
      <c r="BA8" s="31">
        <f>Primera!BA8</f>
        <v>0.60000002384185791</v>
      </c>
      <c r="BB8" s="32">
        <f t="shared" ref="BB8:BB15" si="54">IF($B8,BA8/$B8,-1)</f>
        <v>0.30000001192092896</v>
      </c>
      <c r="BC8" s="31">
        <f>Primera!BC8</f>
        <v>1.2000000476837158</v>
      </c>
      <c r="BD8" s="32">
        <f t="shared" ref="BD8:BD15" si="55">IF($B8,BC8/$B8,-1)</f>
        <v>0.60000002384185791</v>
      </c>
      <c r="BE8" s="31">
        <f>Primera!BE8</f>
        <v>1.3999999761581421</v>
      </c>
      <c r="BF8" s="32">
        <f t="shared" ref="BF8:BF15" si="56">IF($B8,BE8/$B8,-1)</f>
        <v>0.69999998807907104</v>
      </c>
      <c r="BG8" s="31">
        <f>Primera!BG8</f>
        <v>0.40000000596046448</v>
      </c>
      <c r="BH8" s="32">
        <f t="shared" ref="BH8:BH15" si="57">IF($B8,BG8/$B8,-1)</f>
        <v>0.20000000298023224</v>
      </c>
      <c r="BI8" s="31">
        <f>Primera!BI8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Primera!B9</f>
        <v>2</v>
      </c>
      <c r="C9" s="31">
        <f>Primera!C9</f>
        <v>1.7999999523162842</v>
      </c>
      <c r="D9" s="32">
        <f t="shared" si="29"/>
        <v>0.89999997615814209</v>
      </c>
      <c r="E9" s="31">
        <f>Primera!E9</f>
        <v>1.7999999523162842</v>
      </c>
      <c r="F9" s="32">
        <f t="shared" si="30"/>
        <v>0.89999997615814209</v>
      </c>
      <c r="G9" s="31">
        <f>Primera!G9</f>
        <v>1.2000000476837158</v>
      </c>
      <c r="H9" s="32">
        <f t="shared" si="31"/>
        <v>0.60000002384185791</v>
      </c>
      <c r="I9" s="31">
        <f>Primera!I9</f>
        <v>2</v>
      </c>
      <c r="J9" s="32">
        <f t="shared" si="32"/>
        <v>1</v>
      </c>
      <c r="K9" s="31">
        <f>Primera!K9</f>
        <v>2</v>
      </c>
      <c r="L9" s="32">
        <f t="shared" si="33"/>
        <v>1</v>
      </c>
      <c r="M9" s="31">
        <f>Primera!M9</f>
        <v>0.40000000596046448</v>
      </c>
      <c r="N9" s="32">
        <f t="shared" si="34"/>
        <v>0.20000000298023224</v>
      </c>
      <c r="O9" s="31">
        <f>Primera!O9</f>
        <v>1.3999999761581421</v>
      </c>
      <c r="P9" s="32">
        <f t="shared" si="35"/>
        <v>0.69999998807907104</v>
      </c>
      <c r="Q9" s="31">
        <f>Primera!Q9</f>
        <v>2</v>
      </c>
      <c r="R9" s="32">
        <f t="shared" si="36"/>
        <v>1</v>
      </c>
      <c r="S9" s="31">
        <f>Primera!S9</f>
        <v>0.40000000596046448</v>
      </c>
      <c r="T9" s="32">
        <f t="shared" si="37"/>
        <v>0.20000000298023224</v>
      </c>
      <c r="U9" s="31">
        <f>Primera!U9</f>
        <v>1</v>
      </c>
      <c r="V9" s="32">
        <f t="shared" si="38"/>
        <v>0.5</v>
      </c>
      <c r="W9" s="31">
        <f>Primera!W9</f>
        <v>0.20000000298023224</v>
      </c>
      <c r="X9" s="32">
        <f t="shared" si="39"/>
        <v>0.10000000149011612</v>
      </c>
      <c r="Y9" s="31">
        <f>Primera!Y9</f>
        <v>2</v>
      </c>
      <c r="Z9" s="32">
        <f t="shared" si="40"/>
        <v>1</v>
      </c>
      <c r="AA9" s="31">
        <f>Primera!AA9</f>
        <v>1.3999999761581421</v>
      </c>
      <c r="AB9" s="32">
        <f t="shared" si="41"/>
        <v>0.69999998807907104</v>
      </c>
      <c r="AC9" s="31">
        <f>Primera!AC9</f>
        <v>0</v>
      </c>
      <c r="AD9" s="32">
        <f t="shared" si="42"/>
        <v>0</v>
      </c>
      <c r="AE9" s="31">
        <f>Primera!AE9</f>
        <v>1.2000000476837158</v>
      </c>
      <c r="AF9" s="32">
        <f t="shared" si="43"/>
        <v>0.60000002384185791</v>
      </c>
      <c r="AG9" s="31">
        <f>Primera!AG9</f>
        <v>0.20000000298023224</v>
      </c>
      <c r="AH9" s="32">
        <f t="shared" si="44"/>
        <v>0.10000000149011612</v>
      </c>
      <c r="AI9" s="31">
        <f>Primera!AI9</f>
        <v>0.20000000298023224</v>
      </c>
      <c r="AJ9" s="32">
        <f t="shared" si="45"/>
        <v>0.10000000149011612</v>
      </c>
      <c r="AK9" s="31">
        <f>Primera!AK9</f>
        <v>1.6000000238418579</v>
      </c>
      <c r="AL9" s="32">
        <f t="shared" si="46"/>
        <v>0.80000001192092896</v>
      </c>
      <c r="AM9" s="31">
        <f>Primera!AM9</f>
        <v>0.60000002384185791</v>
      </c>
      <c r="AN9" s="32">
        <f t="shared" si="47"/>
        <v>0.30000001192092896</v>
      </c>
      <c r="AO9" s="31">
        <f>Primera!AO9</f>
        <v>0</v>
      </c>
      <c r="AP9" s="32">
        <f t="shared" si="48"/>
        <v>0</v>
      </c>
      <c r="AQ9" s="31">
        <f>Primera!AQ9</f>
        <v>0.60000002384185791</v>
      </c>
      <c r="AR9" s="32">
        <f t="shared" si="49"/>
        <v>0.30000001192092896</v>
      </c>
      <c r="AS9" s="31">
        <f>Primera!AS9</f>
        <v>0.80000001192092896</v>
      </c>
      <c r="AT9" s="32">
        <f t="shared" si="50"/>
        <v>0.40000000596046448</v>
      </c>
      <c r="AU9" s="31">
        <f>Primera!AU9</f>
        <v>0.60000002384185791</v>
      </c>
      <c r="AV9" s="32">
        <f t="shared" si="51"/>
        <v>0.30000001192092896</v>
      </c>
      <c r="AW9" s="31">
        <f>Primera!AW9</f>
        <v>2</v>
      </c>
      <c r="AX9" s="32">
        <f t="shared" si="52"/>
        <v>1</v>
      </c>
      <c r="AY9" s="31">
        <f>Primera!AY9</f>
        <v>2</v>
      </c>
      <c r="AZ9" s="32">
        <f t="shared" si="53"/>
        <v>1</v>
      </c>
      <c r="BA9" s="31">
        <f>Primera!BA9</f>
        <v>0.80000001192092896</v>
      </c>
      <c r="BB9" s="32">
        <f t="shared" si="54"/>
        <v>0.40000000596046448</v>
      </c>
      <c r="BC9" s="31">
        <f>Primera!BC9</f>
        <v>0.60000002384185791</v>
      </c>
      <c r="BD9" s="32">
        <f t="shared" si="55"/>
        <v>0.30000001192092896</v>
      </c>
      <c r="BE9" s="31">
        <f>Primera!BE9</f>
        <v>0.20000000298023224</v>
      </c>
      <c r="BF9" s="32">
        <f t="shared" si="56"/>
        <v>0.10000000149011612</v>
      </c>
      <c r="BG9" s="31">
        <f>Primera!BG9</f>
        <v>0.20000000298023224</v>
      </c>
      <c r="BH9" s="32">
        <f t="shared" si="57"/>
        <v>0.10000000149011612</v>
      </c>
      <c r="BI9" s="31">
        <f>Primera!BI9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Primera!B10</f>
        <v>2</v>
      </c>
      <c r="C10" s="31">
        <f>Primera!C10</f>
        <v>0.80000001192092896</v>
      </c>
      <c r="D10" s="32">
        <f t="shared" si="29"/>
        <v>0.40000000596046448</v>
      </c>
      <c r="E10" s="31">
        <f>Primera!E10</f>
        <v>0.80000001192092896</v>
      </c>
      <c r="F10" s="32">
        <f t="shared" si="30"/>
        <v>0.40000000596046448</v>
      </c>
      <c r="G10" s="31">
        <f>Primera!G10</f>
        <v>1.3999999761581421</v>
      </c>
      <c r="H10" s="32">
        <f t="shared" si="31"/>
        <v>0.69999998807907104</v>
      </c>
      <c r="I10" s="31">
        <f>Primera!I10</f>
        <v>0.60000002384185791</v>
      </c>
      <c r="J10" s="32">
        <f t="shared" si="32"/>
        <v>0.30000001192092896</v>
      </c>
      <c r="K10" s="31">
        <f>Primera!K10</f>
        <v>1.2000000476837158</v>
      </c>
      <c r="L10" s="32">
        <f t="shared" si="33"/>
        <v>0.60000002384185791</v>
      </c>
      <c r="M10" s="31">
        <f>Primera!M10</f>
        <v>0.40000000596046448</v>
      </c>
      <c r="N10" s="32">
        <f t="shared" si="34"/>
        <v>0.20000000298023224</v>
      </c>
      <c r="O10" s="31">
        <f>Primera!O10</f>
        <v>0.40000000596046448</v>
      </c>
      <c r="P10" s="32">
        <f t="shared" si="35"/>
        <v>0.20000000298023224</v>
      </c>
      <c r="Q10" s="31">
        <f>Primera!Q10</f>
        <v>1.2000000476837158</v>
      </c>
      <c r="R10" s="32">
        <f t="shared" si="36"/>
        <v>0.60000002384185791</v>
      </c>
      <c r="S10" s="31">
        <f>Primera!S10</f>
        <v>0</v>
      </c>
      <c r="T10" s="32">
        <f t="shared" si="37"/>
        <v>0</v>
      </c>
      <c r="U10" s="31">
        <f>Primera!U10</f>
        <v>1</v>
      </c>
      <c r="V10" s="32">
        <f t="shared" si="38"/>
        <v>0.5</v>
      </c>
      <c r="W10" s="31">
        <f>Primera!W10</f>
        <v>1.7999999523162842</v>
      </c>
      <c r="X10" s="32">
        <f t="shared" si="39"/>
        <v>0.89999997615814209</v>
      </c>
      <c r="Y10" s="31">
        <f>Primera!Y10</f>
        <v>0.40000000596046448</v>
      </c>
      <c r="Z10" s="32">
        <f t="shared" si="40"/>
        <v>0.20000000298023224</v>
      </c>
      <c r="AA10" s="31">
        <f>Primera!AA10</f>
        <v>1.6000000238418579</v>
      </c>
      <c r="AB10" s="32">
        <f t="shared" si="41"/>
        <v>0.80000001192092896</v>
      </c>
      <c r="AC10" s="31">
        <f>Primera!AC10</f>
        <v>0.80000001192092896</v>
      </c>
      <c r="AD10" s="32">
        <f t="shared" si="42"/>
        <v>0.40000000596046448</v>
      </c>
      <c r="AE10" s="31">
        <f>Primera!AE10</f>
        <v>0.60000002384185791</v>
      </c>
      <c r="AF10" s="32">
        <f t="shared" si="43"/>
        <v>0.30000001192092896</v>
      </c>
      <c r="AG10" s="31">
        <f>Primera!AG10</f>
        <v>2</v>
      </c>
      <c r="AH10" s="32">
        <f t="shared" si="44"/>
        <v>1</v>
      </c>
      <c r="AI10" s="31">
        <f>Primera!AI10</f>
        <v>1.2000000476837158</v>
      </c>
      <c r="AJ10" s="32">
        <f t="shared" si="45"/>
        <v>0.60000002384185791</v>
      </c>
      <c r="AK10" s="31">
        <f>Primera!AK10</f>
        <v>1.2000000476837158</v>
      </c>
      <c r="AL10" s="32">
        <f t="shared" si="46"/>
        <v>0.60000002384185791</v>
      </c>
      <c r="AM10" s="31">
        <f>Primera!AM10</f>
        <v>0.80000001192092896</v>
      </c>
      <c r="AN10" s="32">
        <f t="shared" si="47"/>
        <v>0.40000000596046448</v>
      </c>
      <c r="AO10" s="31">
        <f>Primera!AO10</f>
        <v>0.20000000298023224</v>
      </c>
      <c r="AP10" s="32">
        <f t="shared" si="48"/>
        <v>0.10000000149011612</v>
      </c>
      <c r="AQ10" s="31">
        <f>Primera!AQ10</f>
        <v>1.2000000476837158</v>
      </c>
      <c r="AR10" s="32">
        <f t="shared" si="49"/>
        <v>0.60000002384185791</v>
      </c>
      <c r="AS10" s="31">
        <f>Primera!AS10</f>
        <v>1.3999999761581421</v>
      </c>
      <c r="AT10" s="32">
        <f t="shared" si="50"/>
        <v>0.69999998807907104</v>
      </c>
      <c r="AU10" s="31">
        <f>Primera!AU10</f>
        <v>2</v>
      </c>
      <c r="AV10" s="32">
        <f t="shared" si="51"/>
        <v>1</v>
      </c>
      <c r="AW10" s="31">
        <f>Primera!AW10</f>
        <v>1.7999999523162842</v>
      </c>
      <c r="AX10" s="32">
        <f t="shared" si="52"/>
        <v>0.89999997615814209</v>
      </c>
      <c r="AY10" s="31">
        <f>Primera!AY10</f>
        <v>0</v>
      </c>
      <c r="AZ10" s="32">
        <f t="shared" si="53"/>
        <v>0</v>
      </c>
      <c r="BA10" s="31">
        <f>Primera!BA10</f>
        <v>1</v>
      </c>
      <c r="BB10" s="32">
        <f t="shared" si="54"/>
        <v>0.5</v>
      </c>
      <c r="BC10" s="31">
        <f>Primera!BC10</f>
        <v>2</v>
      </c>
      <c r="BD10" s="32">
        <f t="shared" si="55"/>
        <v>1</v>
      </c>
      <c r="BE10" s="31">
        <f>Primera!BE10</f>
        <v>0.80000001192092896</v>
      </c>
      <c r="BF10" s="32">
        <f t="shared" si="56"/>
        <v>0.40000000596046448</v>
      </c>
      <c r="BG10" s="31">
        <f>Primera!BG10</f>
        <v>1.3999999761581421</v>
      </c>
      <c r="BH10" s="32">
        <f t="shared" si="57"/>
        <v>0.69999998807907104</v>
      </c>
      <c r="BI10" s="31">
        <f>Primera!BI10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Primera!B11</f>
        <v>0</v>
      </c>
      <c r="C11" s="31">
        <f>Primera!C11</f>
        <v>0</v>
      </c>
      <c r="D11" s="32">
        <f t="shared" si="29"/>
        <v>-1</v>
      </c>
      <c r="E11" s="31">
        <f>Primera!E11</f>
        <v>0</v>
      </c>
      <c r="F11" s="32">
        <f t="shared" si="30"/>
        <v>-1</v>
      </c>
      <c r="G11" s="31">
        <f>Primera!G11</f>
        <v>0</v>
      </c>
      <c r="H11" s="32">
        <f t="shared" si="31"/>
        <v>-1</v>
      </c>
      <c r="I11" s="31">
        <f>Primera!I11</f>
        <v>0</v>
      </c>
      <c r="J11" s="32">
        <f t="shared" si="32"/>
        <v>-1</v>
      </c>
      <c r="K11" s="31">
        <f>Primera!K11</f>
        <v>0</v>
      </c>
      <c r="L11" s="32">
        <f t="shared" si="33"/>
        <v>-1</v>
      </c>
      <c r="M11" s="31">
        <f>Primera!M11</f>
        <v>0</v>
      </c>
      <c r="N11" s="32">
        <f t="shared" si="34"/>
        <v>-1</v>
      </c>
      <c r="O11" s="31">
        <f>Primera!O11</f>
        <v>0</v>
      </c>
      <c r="P11" s="32">
        <f t="shared" si="35"/>
        <v>-1</v>
      </c>
      <c r="Q11" s="31">
        <f>Primera!Q11</f>
        <v>0</v>
      </c>
      <c r="R11" s="32">
        <f t="shared" si="36"/>
        <v>-1</v>
      </c>
      <c r="S11" s="31">
        <f>Primera!S11</f>
        <v>0</v>
      </c>
      <c r="T11" s="32">
        <f t="shared" si="37"/>
        <v>-1</v>
      </c>
      <c r="U11" s="31">
        <f>Primera!U11</f>
        <v>0</v>
      </c>
      <c r="V11" s="32">
        <f t="shared" si="38"/>
        <v>-1</v>
      </c>
      <c r="W11" s="31">
        <f>Primera!W11</f>
        <v>0</v>
      </c>
      <c r="X11" s="32">
        <f t="shared" si="39"/>
        <v>-1</v>
      </c>
      <c r="Y11" s="31">
        <f>Primera!Y11</f>
        <v>0</v>
      </c>
      <c r="Z11" s="32">
        <f t="shared" si="40"/>
        <v>-1</v>
      </c>
      <c r="AA11" s="31">
        <f>Primera!AA11</f>
        <v>0</v>
      </c>
      <c r="AB11" s="32">
        <f t="shared" si="41"/>
        <v>-1</v>
      </c>
      <c r="AC11" s="31">
        <f>Primera!AC11</f>
        <v>0</v>
      </c>
      <c r="AD11" s="32">
        <f t="shared" si="42"/>
        <v>-1</v>
      </c>
      <c r="AE11" s="31">
        <f>Primera!AE11</f>
        <v>0</v>
      </c>
      <c r="AF11" s="32">
        <f t="shared" si="43"/>
        <v>-1</v>
      </c>
      <c r="AG11" s="31">
        <f>Primera!AG11</f>
        <v>0</v>
      </c>
      <c r="AH11" s="32">
        <f t="shared" si="44"/>
        <v>-1</v>
      </c>
      <c r="AI11" s="31">
        <f>Primera!AI11</f>
        <v>0</v>
      </c>
      <c r="AJ11" s="32">
        <f t="shared" si="45"/>
        <v>-1</v>
      </c>
      <c r="AK11" s="31">
        <f>Primera!AK11</f>
        <v>0</v>
      </c>
      <c r="AL11" s="32">
        <f t="shared" si="46"/>
        <v>-1</v>
      </c>
      <c r="AM11" s="31">
        <f>Primera!AM11</f>
        <v>0</v>
      </c>
      <c r="AN11" s="32">
        <f t="shared" si="47"/>
        <v>-1</v>
      </c>
      <c r="AO11" s="31">
        <f>Primera!AO11</f>
        <v>0</v>
      </c>
      <c r="AP11" s="32">
        <f t="shared" si="48"/>
        <v>-1</v>
      </c>
      <c r="AQ11" s="31">
        <f>Primera!AQ11</f>
        <v>0</v>
      </c>
      <c r="AR11" s="32">
        <f t="shared" si="49"/>
        <v>-1</v>
      </c>
      <c r="AS11" s="31">
        <f>Primera!AS11</f>
        <v>0</v>
      </c>
      <c r="AT11" s="32">
        <f t="shared" si="50"/>
        <v>-1</v>
      </c>
      <c r="AU11" s="31">
        <f>Primera!AU11</f>
        <v>0</v>
      </c>
      <c r="AV11" s="32">
        <f t="shared" si="51"/>
        <v>-1</v>
      </c>
      <c r="AW11" s="31">
        <f>Primera!AW11</f>
        <v>0</v>
      </c>
      <c r="AX11" s="32">
        <f t="shared" si="52"/>
        <v>-1</v>
      </c>
      <c r="AY11" s="31">
        <f>Primera!AY11</f>
        <v>0</v>
      </c>
      <c r="AZ11" s="32">
        <f t="shared" si="53"/>
        <v>-1</v>
      </c>
      <c r="BA11" s="31">
        <f>Primera!BA11</f>
        <v>0</v>
      </c>
      <c r="BB11" s="32">
        <f t="shared" si="54"/>
        <v>-1</v>
      </c>
      <c r="BC11" s="31">
        <f>Primera!BC11</f>
        <v>0</v>
      </c>
      <c r="BD11" s="32">
        <f t="shared" si="55"/>
        <v>-1</v>
      </c>
      <c r="BE11" s="31">
        <f>Primera!BE11</f>
        <v>0</v>
      </c>
      <c r="BF11" s="32">
        <f t="shared" si="56"/>
        <v>-1</v>
      </c>
      <c r="BG11" s="31">
        <f>Primera!BG11</f>
        <v>0</v>
      </c>
      <c r="BH11" s="32">
        <f t="shared" si="57"/>
        <v>-1</v>
      </c>
      <c r="BI11" s="31">
        <f>Primera!BI11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Primera!B12</f>
        <v>2</v>
      </c>
      <c r="C12" s="31">
        <f>Primera!C12</f>
        <v>1</v>
      </c>
      <c r="D12" s="32">
        <f t="shared" si="29"/>
        <v>0.5</v>
      </c>
      <c r="E12" s="31">
        <f>Primera!E12</f>
        <v>1</v>
      </c>
      <c r="F12" s="32">
        <f t="shared" si="30"/>
        <v>0.5</v>
      </c>
      <c r="G12" s="31">
        <f>Primera!G12</f>
        <v>0.60000002384185791</v>
      </c>
      <c r="H12" s="32">
        <f t="shared" si="31"/>
        <v>0.30000001192092896</v>
      </c>
      <c r="I12" s="31">
        <f>Primera!I12</f>
        <v>0.80000001192092896</v>
      </c>
      <c r="J12" s="32">
        <f t="shared" si="32"/>
        <v>0.40000000596046448</v>
      </c>
      <c r="K12" s="31">
        <f>Primera!K12</f>
        <v>0.40000000596046448</v>
      </c>
      <c r="L12" s="32">
        <f t="shared" si="33"/>
        <v>0.20000000298023224</v>
      </c>
      <c r="M12" s="31">
        <f>Primera!M12</f>
        <v>0</v>
      </c>
      <c r="N12" s="32">
        <f t="shared" si="34"/>
        <v>0</v>
      </c>
      <c r="O12" s="31">
        <f>Primera!O12</f>
        <v>0.40000000596046448</v>
      </c>
      <c r="P12" s="32">
        <f t="shared" si="35"/>
        <v>0.20000000298023224</v>
      </c>
      <c r="Q12" s="31">
        <f>Primera!Q12</f>
        <v>2</v>
      </c>
      <c r="R12" s="32">
        <f t="shared" si="36"/>
        <v>1</v>
      </c>
      <c r="S12" s="31">
        <f>Primera!S12</f>
        <v>0</v>
      </c>
      <c r="T12" s="32">
        <f t="shared" si="37"/>
        <v>0</v>
      </c>
      <c r="U12" s="31">
        <f>Primera!U12</f>
        <v>0.80000001192092896</v>
      </c>
      <c r="V12" s="32">
        <f t="shared" si="38"/>
        <v>0.40000000596046448</v>
      </c>
      <c r="W12" s="31">
        <f>Primera!W12</f>
        <v>0.80000001192092896</v>
      </c>
      <c r="X12" s="32">
        <f t="shared" si="39"/>
        <v>0.40000000596046448</v>
      </c>
      <c r="Y12" s="31">
        <f>Primera!Y12</f>
        <v>1</v>
      </c>
      <c r="Z12" s="32">
        <f t="shared" si="40"/>
        <v>0.5</v>
      </c>
      <c r="AA12" s="31">
        <f>Primera!AA12</f>
        <v>0.20000000298023224</v>
      </c>
      <c r="AB12" s="32">
        <f t="shared" si="41"/>
        <v>0.10000000149011612</v>
      </c>
      <c r="AC12" s="31">
        <f>Primera!AC12</f>
        <v>1</v>
      </c>
      <c r="AD12" s="32">
        <f t="shared" si="42"/>
        <v>0.5</v>
      </c>
      <c r="AE12" s="31">
        <f>Primera!AE12</f>
        <v>0.40000000596046448</v>
      </c>
      <c r="AF12" s="32">
        <f t="shared" si="43"/>
        <v>0.20000000298023224</v>
      </c>
      <c r="AG12" s="31">
        <f>Primera!AG12</f>
        <v>1.2000000476837158</v>
      </c>
      <c r="AH12" s="32">
        <f t="shared" si="44"/>
        <v>0.60000002384185791</v>
      </c>
      <c r="AI12" s="31">
        <f>Primera!AI12</f>
        <v>1</v>
      </c>
      <c r="AJ12" s="32">
        <f t="shared" si="45"/>
        <v>0.5</v>
      </c>
      <c r="AK12" s="31">
        <f>Primera!AK12</f>
        <v>0.20000000298023224</v>
      </c>
      <c r="AL12" s="32">
        <f t="shared" si="46"/>
        <v>0.10000000149011612</v>
      </c>
      <c r="AM12" s="31">
        <f>Primera!AM12</f>
        <v>2</v>
      </c>
      <c r="AN12" s="32">
        <f t="shared" si="47"/>
        <v>1</v>
      </c>
      <c r="AO12" s="31">
        <f>Primera!AO12</f>
        <v>1.3999999761581421</v>
      </c>
      <c r="AP12" s="32">
        <f t="shared" si="48"/>
        <v>0.69999998807907104</v>
      </c>
      <c r="AQ12" s="31">
        <f>Primera!AQ12</f>
        <v>1</v>
      </c>
      <c r="AR12" s="32">
        <f t="shared" si="49"/>
        <v>0.5</v>
      </c>
      <c r="AS12" s="31">
        <f>Primera!AS12</f>
        <v>0.80000001192092896</v>
      </c>
      <c r="AT12" s="32">
        <f t="shared" si="50"/>
        <v>0.40000000596046448</v>
      </c>
      <c r="AU12" s="31">
        <f>Primera!AU12</f>
        <v>0.20000000298023224</v>
      </c>
      <c r="AV12" s="32">
        <f t="shared" si="51"/>
        <v>0.10000000149011612</v>
      </c>
      <c r="AW12" s="31">
        <f>Primera!AW12</f>
        <v>1.6000000238418579</v>
      </c>
      <c r="AX12" s="32">
        <f t="shared" si="52"/>
        <v>0.80000001192092896</v>
      </c>
      <c r="AY12" s="31">
        <f>Primera!AY12</f>
        <v>1</v>
      </c>
      <c r="AZ12" s="32">
        <f t="shared" si="53"/>
        <v>0.5</v>
      </c>
      <c r="BA12" s="31">
        <f>Primera!BA12</f>
        <v>1.6000000238418579</v>
      </c>
      <c r="BB12" s="32">
        <f t="shared" si="54"/>
        <v>0.80000001192092896</v>
      </c>
      <c r="BC12" s="31">
        <f>Primera!BC12</f>
        <v>1.2000000476837158</v>
      </c>
      <c r="BD12" s="32">
        <f t="shared" si="55"/>
        <v>0.60000002384185791</v>
      </c>
      <c r="BE12" s="31">
        <f>Primera!BE12</f>
        <v>1.7999999523162842</v>
      </c>
      <c r="BF12" s="32">
        <f t="shared" si="56"/>
        <v>0.89999997615814209</v>
      </c>
      <c r="BG12" s="31">
        <f>Primera!BG12</f>
        <v>0</v>
      </c>
      <c r="BH12" s="32">
        <f t="shared" si="57"/>
        <v>0</v>
      </c>
      <c r="BI12" s="31">
        <f>Primera!BI12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Primera!B13</f>
        <v>2</v>
      </c>
      <c r="C13" s="31">
        <f>Primera!C13</f>
        <v>0</v>
      </c>
      <c r="D13" s="32">
        <f t="shared" si="29"/>
        <v>0</v>
      </c>
      <c r="E13" s="31">
        <f>Primera!E13</f>
        <v>0.20000000298023224</v>
      </c>
      <c r="F13" s="32">
        <f t="shared" si="30"/>
        <v>0.10000000149011612</v>
      </c>
      <c r="G13" s="31">
        <f>Primera!G13</f>
        <v>0.60000002384185791</v>
      </c>
      <c r="H13" s="32">
        <f t="shared" si="31"/>
        <v>0.30000001192092896</v>
      </c>
      <c r="I13" s="31">
        <f>Primera!I13</f>
        <v>0.20000000298023224</v>
      </c>
      <c r="J13" s="32">
        <f t="shared" si="32"/>
        <v>0.10000000149011612</v>
      </c>
      <c r="K13" s="31">
        <f>Primera!K13</f>
        <v>0</v>
      </c>
      <c r="L13" s="32">
        <f t="shared" si="33"/>
        <v>0</v>
      </c>
      <c r="M13" s="31">
        <f>Primera!M13</f>
        <v>1</v>
      </c>
      <c r="N13" s="32">
        <f t="shared" si="34"/>
        <v>0.5</v>
      </c>
      <c r="O13" s="31">
        <f>Primera!O13</f>
        <v>1.3999999761581421</v>
      </c>
      <c r="P13" s="32">
        <f t="shared" si="35"/>
        <v>0.69999998807907104</v>
      </c>
      <c r="Q13" s="31">
        <f>Primera!Q13</f>
        <v>1</v>
      </c>
      <c r="R13" s="32">
        <f t="shared" si="36"/>
        <v>0.5</v>
      </c>
      <c r="S13" s="31">
        <f>Primera!S13</f>
        <v>1.7999999523162842</v>
      </c>
      <c r="T13" s="32">
        <f t="shared" si="37"/>
        <v>0.89999997615814209</v>
      </c>
      <c r="U13" s="31">
        <f>Primera!U13</f>
        <v>0</v>
      </c>
      <c r="V13" s="32">
        <f t="shared" si="38"/>
        <v>0</v>
      </c>
      <c r="W13" s="31">
        <f>Primera!W13</f>
        <v>0.40000000596046448</v>
      </c>
      <c r="X13" s="32">
        <f t="shared" si="39"/>
        <v>0.20000000298023224</v>
      </c>
      <c r="Y13" s="31">
        <f>Primera!Y13</f>
        <v>1.3999999761581421</v>
      </c>
      <c r="Z13" s="32">
        <f t="shared" si="40"/>
        <v>0.69999998807907104</v>
      </c>
      <c r="AA13" s="31">
        <f>Primera!AA13</f>
        <v>0.80000001192092896</v>
      </c>
      <c r="AB13" s="32">
        <f t="shared" si="41"/>
        <v>0.40000000596046448</v>
      </c>
      <c r="AC13" s="31">
        <f>Primera!AC13</f>
        <v>0.60000002384185791</v>
      </c>
      <c r="AD13" s="32">
        <f t="shared" si="42"/>
        <v>0.30000001192092896</v>
      </c>
      <c r="AE13" s="31">
        <f>Primera!AE13</f>
        <v>0.20000000298023224</v>
      </c>
      <c r="AF13" s="32">
        <f t="shared" si="43"/>
        <v>0.10000000149011612</v>
      </c>
      <c r="AG13" s="31">
        <f>Primera!AG13</f>
        <v>1.3999999761581421</v>
      </c>
      <c r="AH13" s="32">
        <f t="shared" si="44"/>
        <v>0.69999998807907104</v>
      </c>
      <c r="AI13" s="31">
        <f>Primera!AI13</f>
        <v>2</v>
      </c>
      <c r="AJ13" s="32">
        <f t="shared" si="45"/>
        <v>1</v>
      </c>
      <c r="AK13" s="31">
        <f>Primera!AK13</f>
        <v>1</v>
      </c>
      <c r="AL13" s="32">
        <f t="shared" si="46"/>
        <v>0.5</v>
      </c>
      <c r="AM13" s="31">
        <f>Primera!AM13</f>
        <v>0</v>
      </c>
      <c r="AN13" s="32">
        <f t="shared" si="47"/>
        <v>0</v>
      </c>
      <c r="AO13" s="31">
        <f>Primera!AO13</f>
        <v>1.6000000238418579</v>
      </c>
      <c r="AP13" s="32">
        <f t="shared" si="48"/>
        <v>0.80000001192092896</v>
      </c>
      <c r="AQ13" s="31">
        <f>Primera!AQ13</f>
        <v>0.80000001192092896</v>
      </c>
      <c r="AR13" s="32">
        <f t="shared" si="49"/>
        <v>0.40000000596046448</v>
      </c>
      <c r="AS13" s="31">
        <f>Primera!AS13</f>
        <v>1</v>
      </c>
      <c r="AT13" s="32">
        <f t="shared" si="50"/>
        <v>0.5</v>
      </c>
      <c r="AU13" s="31">
        <f>Primera!AU13</f>
        <v>1</v>
      </c>
      <c r="AV13" s="32">
        <f t="shared" si="51"/>
        <v>0.5</v>
      </c>
      <c r="AW13" s="31">
        <f>Primera!AW13</f>
        <v>0.40000000596046448</v>
      </c>
      <c r="AX13" s="32">
        <f t="shared" si="52"/>
        <v>0.20000000298023224</v>
      </c>
      <c r="AY13" s="31">
        <f>Primera!AY13</f>
        <v>0.60000002384185791</v>
      </c>
      <c r="AZ13" s="32">
        <f t="shared" si="53"/>
        <v>0.30000001192092896</v>
      </c>
      <c r="BA13" s="31">
        <f>Primera!BA13</f>
        <v>0.20000000298023224</v>
      </c>
      <c r="BB13" s="32">
        <f t="shared" si="54"/>
        <v>0.10000000149011612</v>
      </c>
      <c r="BC13" s="31">
        <f>Primera!BC13</f>
        <v>1.2000000476837158</v>
      </c>
      <c r="BD13" s="32">
        <f t="shared" si="55"/>
        <v>0.60000002384185791</v>
      </c>
      <c r="BE13" s="31">
        <f>Primera!BE13</f>
        <v>0.20000000298023224</v>
      </c>
      <c r="BF13" s="32">
        <f t="shared" si="56"/>
        <v>0.10000000149011612</v>
      </c>
      <c r="BG13" s="31">
        <f>Primera!BG13</f>
        <v>2</v>
      </c>
      <c r="BH13" s="32">
        <f t="shared" si="57"/>
        <v>1</v>
      </c>
      <c r="BI13" s="31">
        <f>Primera!BI13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Primera!B14</f>
        <v>0</v>
      </c>
      <c r="C14" s="31">
        <f>Primera!C14</f>
        <v>0</v>
      </c>
      <c r="D14" s="32">
        <f t="shared" si="29"/>
        <v>-1</v>
      </c>
      <c r="E14" s="31">
        <f>Primera!E14</f>
        <v>0</v>
      </c>
      <c r="F14" s="32">
        <f t="shared" si="30"/>
        <v>-1</v>
      </c>
      <c r="G14" s="31">
        <f>Primera!G14</f>
        <v>0</v>
      </c>
      <c r="H14" s="32">
        <f t="shared" si="31"/>
        <v>-1</v>
      </c>
      <c r="I14" s="31">
        <f>Primera!I14</f>
        <v>0</v>
      </c>
      <c r="J14" s="32">
        <f t="shared" si="32"/>
        <v>-1</v>
      </c>
      <c r="K14" s="31">
        <f>Primera!K14</f>
        <v>0</v>
      </c>
      <c r="L14" s="32">
        <f t="shared" si="33"/>
        <v>-1</v>
      </c>
      <c r="M14" s="31">
        <f>Primera!M14</f>
        <v>0</v>
      </c>
      <c r="N14" s="32">
        <f t="shared" si="34"/>
        <v>-1</v>
      </c>
      <c r="O14" s="31">
        <f>Primera!O14</f>
        <v>0</v>
      </c>
      <c r="P14" s="32">
        <f t="shared" si="35"/>
        <v>-1</v>
      </c>
      <c r="Q14" s="31">
        <f>Primera!Q14</f>
        <v>0</v>
      </c>
      <c r="R14" s="32">
        <f t="shared" si="36"/>
        <v>-1</v>
      </c>
      <c r="S14" s="31">
        <f>Primera!S14</f>
        <v>0</v>
      </c>
      <c r="T14" s="32">
        <f t="shared" si="37"/>
        <v>-1</v>
      </c>
      <c r="U14" s="31">
        <f>Primera!U14</f>
        <v>0</v>
      </c>
      <c r="V14" s="32">
        <f t="shared" si="38"/>
        <v>-1</v>
      </c>
      <c r="W14" s="31">
        <f>Primera!W14</f>
        <v>0</v>
      </c>
      <c r="X14" s="32">
        <f t="shared" si="39"/>
        <v>-1</v>
      </c>
      <c r="Y14" s="31">
        <f>Primera!Y14</f>
        <v>0</v>
      </c>
      <c r="Z14" s="32">
        <f t="shared" si="40"/>
        <v>-1</v>
      </c>
      <c r="AA14" s="31">
        <f>Primera!AA14</f>
        <v>0</v>
      </c>
      <c r="AB14" s="32">
        <f t="shared" si="41"/>
        <v>-1</v>
      </c>
      <c r="AC14" s="31">
        <f>Primera!AC14</f>
        <v>0</v>
      </c>
      <c r="AD14" s="32">
        <f t="shared" si="42"/>
        <v>-1</v>
      </c>
      <c r="AE14" s="31">
        <f>Primera!AE14</f>
        <v>0</v>
      </c>
      <c r="AF14" s="32">
        <f t="shared" si="43"/>
        <v>-1</v>
      </c>
      <c r="AG14" s="31">
        <f>Primera!AG14</f>
        <v>0</v>
      </c>
      <c r="AH14" s="32">
        <f t="shared" si="44"/>
        <v>-1</v>
      </c>
      <c r="AI14" s="31">
        <f>Primera!AI14</f>
        <v>0</v>
      </c>
      <c r="AJ14" s="32">
        <f t="shared" si="45"/>
        <v>-1</v>
      </c>
      <c r="AK14" s="31">
        <f>Primera!AK14</f>
        <v>0</v>
      </c>
      <c r="AL14" s="32">
        <f t="shared" si="46"/>
        <v>-1</v>
      </c>
      <c r="AM14" s="31">
        <f>Primera!AM14</f>
        <v>0</v>
      </c>
      <c r="AN14" s="32">
        <f t="shared" si="47"/>
        <v>-1</v>
      </c>
      <c r="AO14" s="31">
        <f>Primera!AO14</f>
        <v>0</v>
      </c>
      <c r="AP14" s="32">
        <f t="shared" si="48"/>
        <v>-1</v>
      </c>
      <c r="AQ14" s="31">
        <f>Primera!AQ14</f>
        <v>0</v>
      </c>
      <c r="AR14" s="32">
        <f t="shared" si="49"/>
        <v>-1</v>
      </c>
      <c r="AS14" s="31">
        <f>Primera!AS14</f>
        <v>0</v>
      </c>
      <c r="AT14" s="32">
        <f t="shared" si="50"/>
        <v>-1</v>
      </c>
      <c r="AU14" s="31">
        <f>Primera!AU14</f>
        <v>0</v>
      </c>
      <c r="AV14" s="32">
        <f t="shared" si="51"/>
        <v>-1</v>
      </c>
      <c r="AW14" s="31">
        <f>Primera!AW14</f>
        <v>0</v>
      </c>
      <c r="AX14" s="32">
        <f t="shared" si="52"/>
        <v>-1</v>
      </c>
      <c r="AY14" s="31">
        <f>Primera!AY14</f>
        <v>0</v>
      </c>
      <c r="AZ14" s="32">
        <f t="shared" si="53"/>
        <v>-1</v>
      </c>
      <c r="BA14" s="31">
        <f>Primera!BA14</f>
        <v>0</v>
      </c>
      <c r="BB14" s="32">
        <f t="shared" si="54"/>
        <v>-1</v>
      </c>
      <c r="BC14" s="31">
        <f>Primera!BC14</f>
        <v>0</v>
      </c>
      <c r="BD14" s="32">
        <f t="shared" si="55"/>
        <v>-1</v>
      </c>
      <c r="BE14" s="31">
        <f>Primera!BE14</f>
        <v>0</v>
      </c>
      <c r="BF14" s="32">
        <f t="shared" si="56"/>
        <v>-1</v>
      </c>
      <c r="BG14" s="31">
        <f>Primera!BG14</f>
        <v>0</v>
      </c>
      <c r="BH14" s="32">
        <f t="shared" si="57"/>
        <v>-1</v>
      </c>
      <c r="BI14" s="31">
        <f>Primera!BI14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Primera!B15</f>
        <v>0</v>
      </c>
      <c r="C15" s="31">
        <f>Primera!C15</f>
        <v>0</v>
      </c>
      <c r="D15" s="32">
        <f t="shared" si="29"/>
        <v>-1</v>
      </c>
      <c r="E15" s="31">
        <f>Primera!E15</f>
        <v>0</v>
      </c>
      <c r="F15" s="32">
        <f t="shared" si="30"/>
        <v>-1</v>
      </c>
      <c r="G15" s="31">
        <f>Primera!G15</f>
        <v>0</v>
      </c>
      <c r="H15" s="32">
        <f t="shared" si="31"/>
        <v>-1</v>
      </c>
      <c r="I15" s="31">
        <f>Primera!I15</f>
        <v>0</v>
      </c>
      <c r="J15" s="32">
        <f t="shared" si="32"/>
        <v>-1</v>
      </c>
      <c r="K15" s="31">
        <f>Primera!K15</f>
        <v>0</v>
      </c>
      <c r="L15" s="32">
        <f t="shared" si="33"/>
        <v>-1</v>
      </c>
      <c r="M15" s="31">
        <f>Primera!M15</f>
        <v>0</v>
      </c>
      <c r="N15" s="32">
        <f t="shared" si="34"/>
        <v>-1</v>
      </c>
      <c r="O15" s="31">
        <f>Primera!O15</f>
        <v>0</v>
      </c>
      <c r="P15" s="32">
        <f t="shared" si="35"/>
        <v>-1</v>
      </c>
      <c r="Q15" s="31">
        <f>Primera!Q15</f>
        <v>0</v>
      </c>
      <c r="R15" s="32">
        <f t="shared" si="36"/>
        <v>-1</v>
      </c>
      <c r="S15" s="31">
        <f>Primera!S15</f>
        <v>0</v>
      </c>
      <c r="T15" s="32">
        <f t="shared" si="37"/>
        <v>-1</v>
      </c>
      <c r="U15" s="31">
        <f>Primera!U15</f>
        <v>0</v>
      </c>
      <c r="V15" s="32">
        <f t="shared" si="38"/>
        <v>-1</v>
      </c>
      <c r="W15" s="31">
        <f>Primera!W15</f>
        <v>0</v>
      </c>
      <c r="X15" s="32">
        <f t="shared" si="39"/>
        <v>-1</v>
      </c>
      <c r="Y15" s="31">
        <f>Primera!Y15</f>
        <v>0</v>
      </c>
      <c r="Z15" s="32">
        <f t="shared" si="40"/>
        <v>-1</v>
      </c>
      <c r="AA15" s="31">
        <f>Primera!AA15</f>
        <v>0</v>
      </c>
      <c r="AB15" s="32">
        <f t="shared" si="41"/>
        <v>-1</v>
      </c>
      <c r="AC15" s="31">
        <f>Primera!AC15</f>
        <v>0</v>
      </c>
      <c r="AD15" s="32">
        <f t="shared" si="42"/>
        <v>-1</v>
      </c>
      <c r="AE15" s="31">
        <f>Primera!AE15</f>
        <v>0</v>
      </c>
      <c r="AF15" s="32">
        <f t="shared" si="43"/>
        <v>-1</v>
      </c>
      <c r="AG15" s="31">
        <f>Primera!AG15</f>
        <v>0</v>
      </c>
      <c r="AH15" s="32">
        <f t="shared" si="44"/>
        <v>-1</v>
      </c>
      <c r="AI15" s="31">
        <f>Primera!AI15</f>
        <v>0</v>
      </c>
      <c r="AJ15" s="32">
        <f t="shared" si="45"/>
        <v>-1</v>
      </c>
      <c r="AK15" s="31">
        <f>Primera!AK15</f>
        <v>0</v>
      </c>
      <c r="AL15" s="32">
        <f t="shared" si="46"/>
        <v>-1</v>
      </c>
      <c r="AM15" s="31">
        <f>Primera!AM15</f>
        <v>0</v>
      </c>
      <c r="AN15" s="32">
        <f t="shared" si="47"/>
        <v>-1</v>
      </c>
      <c r="AO15" s="31">
        <f>Primera!AO15</f>
        <v>0</v>
      </c>
      <c r="AP15" s="32">
        <f t="shared" si="48"/>
        <v>-1</v>
      </c>
      <c r="AQ15" s="31">
        <f>Primera!AQ15</f>
        <v>0</v>
      </c>
      <c r="AR15" s="32">
        <f t="shared" si="49"/>
        <v>-1</v>
      </c>
      <c r="AS15" s="31">
        <f>Primera!AS15</f>
        <v>0</v>
      </c>
      <c r="AT15" s="32">
        <f t="shared" si="50"/>
        <v>-1</v>
      </c>
      <c r="AU15" s="31">
        <f>Primera!AU15</f>
        <v>0</v>
      </c>
      <c r="AV15" s="32">
        <f t="shared" si="51"/>
        <v>-1</v>
      </c>
      <c r="AW15" s="31">
        <f>Primera!AW15</f>
        <v>0</v>
      </c>
      <c r="AX15" s="32">
        <f t="shared" si="52"/>
        <v>-1</v>
      </c>
      <c r="AY15" s="31">
        <f>Primera!AY15</f>
        <v>0</v>
      </c>
      <c r="AZ15" s="32">
        <f t="shared" si="53"/>
        <v>-1</v>
      </c>
      <c r="BA15" s="31">
        <f>Primera!BA15</f>
        <v>0</v>
      </c>
      <c r="BB15" s="32">
        <f t="shared" si="54"/>
        <v>-1</v>
      </c>
      <c r="BC15" s="31">
        <f>Primera!BC15</f>
        <v>0</v>
      </c>
      <c r="BD15" s="32">
        <f t="shared" si="55"/>
        <v>-1</v>
      </c>
      <c r="BE15" s="31">
        <f>Primera!BE15</f>
        <v>0</v>
      </c>
      <c r="BF15" s="32">
        <f t="shared" si="56"/>
        <v>-1</v>
      </c>
      <c r="BG15" s="31">
        <f>Primera!BG15</f>
        <v>0</v>
      </c>
      <c r="BH15" s="32">
        <f t="shared" si="57"/>
        <v>-1</v>
      </c>
      <c r="BI15" s="31">
        <f>Primera!BI15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Estructura!B4</f>
        <v>0.45</v>
      </c>
      <c r="C16" s="58">
        <f>IF(SUM($B17:$B25)&lt;&gt;0,SUM(C17:C25)/SUM($B17:$B25)*$B16*10, "")</f>
        <v>2.2500000067055224</v>
      </c>
      <c r="D16" s="58"/>
      <c r="E16" s="58">
        <f>IF(SUM($B17:$B25)&lt;&gt;0,SUM(E17:E25)/SUM($B17:$B25)*$B16*10, "")</f>
        <v>1.5975000523030758</v>
      </c>
      <c r="F16" s="58"/>
      <c r="G16" s="58">
        <f>IF(SUM($B17:$B25)&lt;&gt;0,SUM(G17:G25)/SUM($B17:$B25)*$B16*10, "")</f>
        <v>1.4399999946355817</v>
      </c>
      <c r="H16" s="58"/>
      <c r="I16" s="58">
        <f>IF(SUM($B17:$B25)&lt;&gt;0,SUM(I17:I25)/SUM($B17:$B25)*$B16*10, "")</f>
        <v>2.2725000036880374</v>
      </c>
      <c r="J16" s="58"/>
      <c r="K16" s="58">
        <f>IF(SUM($B17:$B25)&lt;&gt;0,SUM(K17:K25)/SUM($B17:$B25)*$B16*10, "")</f>
        <v>1.8450000040233137</v>
      </c>
      <c r="L16" s="58"/>
      <c r="M16" s="58">
        <f>IF(SUM($B17:$B25)&lt;&gt;0,SUM(M17:M25)/SUM($B17:$B25)*$B16*10, "")</f>
        <v>2.2275000181049109</v>
      </c>
      <c r="N16" s="58"/>
      <c r="O16" s="58">
        <f>IF(SUM($B17:$B25)&lt;&gt;0,SUM(O17:O25)/SUM($B17:$B25)*$B16*10, "")</f>
        <v>2.7450000207871201</v>
      </c>
      <c r="P16" s="58"/>
      <c r="Q16" s="58">
        <f>IF(SUM($B17:$B25)&lt;&gt;0,SUM(Q17:Q25)/SUM($B17:$B25)*$B16*10, "")</f>
        <v>1.6425000144168733</v>
      </c>
      <c r="R16" s="58"/>
      <c r="S16" s="58">
        <f>IF(SUM($B17:$B25)&lt;&gt;0,SUM(S17:S25)/SUM($B17:$B25)*$B16*10, "")</f>
        <v>1.7100000087171794</v>
      </c>
      <c r="T16" s="58"/>
      <c r="U16" s="58">
        <f>IF(SUM($B17:$B25)&lt;&gt;0,SUM(U17:U25)/SUM($B17:$B25)*$B16*10, "")</f>
        <v>3.0600000053644183</v>
      </c>
      <c r="V16" s="58"/>
      <c r="W16" s="58">
        <f>IF(SUM($B17:$B25)&lt;&gt;0,SUM(W17:W25)/SUM($B17:$B25)*$B16*10, "")</f>
        <v>2.2500000335276127</v>
      </c>
      <c r="X16" s="58"/>
      <c r="Y16" s="58">
        <f>IF(SUM($B17:$B25)&lt;&gt;0,SUM(Y17:Y25)/SUM($B17:$B25)*$B16*10, "")</f>
        <v>2.947500005364418</v>
      </c>
      <c r="Z16" s="58"/>
      <c r="AA16" s="58">
        <f>IF(SUM($B17:$B25)&lt;&gt;0,SUM(AA17:AA25)/SUM($B17:$B25)*$B16*10, "")</f>
        <v>1.957500024139881</v>
      </c>
      <c r="AB16" s="58"/>
      <c r="AC16" s="58">
        <f>IF(SUM($B17:$B25)&lt;&gt;0,SUM(AC17:AC25)/SUM($B17:$B25)*$B16*10, "")</f>
        <v>1.8675000093877314</v>
      </c>
      <c r="AD16" s="58"/>
      <c r="AE16" s="58">
        <f>IF(SUM($B17:$B25)&lt;&gt;0,SUM(AE17:AE25)/SUM($B17:$B25)*$B16*10, "")</f>
        <v>2.7225000020116568</v>
      </c>
      <c r="AF16" s="58"/>
      <c r="AG16" s="58">
        <f>IF(SUM($B17:$B25)&lt;&gt;0,SUM(AG17:AG25)/SUM($B17:$B25)*$B16*10, "")</f>
        <v>2.0249999798834324</v>
      </c>
      <c r="AH16" s="58"/>
      <c r="AI16" s="58">
        <f>IF(SUM($B17:$B25)&lt;&gt;0,SUM(AI17:AI25)/SUM($B17:$B25)*$B16*10, "")</f>
        <v>1.5074999906122686</v>
      </c>
      <c r="AJ16" s="58"/>
      <c r="AK16" s="58">
        <f>IF(SUM($B17:$B25)&lt;&gt;0,SUM(AK17:AK25)/SUM($B17:$B25)*$B16*10, "")</f>
        <v>2.4750000033527613</v>
      </c>
      <c r="AL16" s="58"/>
      <c r="AM16" s="58">
        <f>IF(SUM($B17:$B25)&lt;&gt;0,SUM(AM17:AM25)/SUM($B17:$B25)*$B16*10, "")</f>
        <v>2.1600000455975534</v>
      </c>
      <c r="AN16" s="58"/>
      <c r="AO16" s="58">
        <f>IF(SUM($B17:$B25)&lt;&gt;0,SUM(AO17:AO25)/SUM($B17:$B25)*$B16*10, "")</f>
        <v>2.3850000087171792</v>
      </c>
      <c r="AP16" s="58"/>
      <c r="AQ16" s="58">
        <f>IF(SUM($B17:$B25)&lt;&gt;0,SUM(AQ17:AQ25)/SUM($B17:$B25)*$B16*10, "")</f>
        <v>2.9025000113993888</v>
      </c>
      <c r="AR16" s="58"/>
      <c r="AS16" s="58">
        <f>IF(SUM($B17:$B25)&lt;&gt;0,SUM(AS17:AS25)/SUM($B17:$B25)*$B16*10, "")</f>
        <v>2.8350000254809862</v>
      </c>
      <c r="AT16" s="58"/>
      <c r="AU16" s="58">
        <f>IF(SUM($B17:$B25)&lt;&gt;0,SUM(AU17:AU25)/SUM($B17:$B25)*$B16*10, "")</f>
        <v>2.6774999778717756</v>
      </c>
      <c r="AV16" s="58"/>
      <c r="AW16" s="58">
        <f>IF(SUM($B17:$B25)&lt;&gt;0,SUM(AW17:AW25)/SUM($B17:$B25)*$B16*10, "")</f>
        <v>1.5300000144168735</v>
      </c>
      <c r="AX16" s="58"/>
      <c r="AY16" s="58">
        <f>IF(SUM($B17:$B25)&lt;&gt;0,SUM(AY17:AY25)/SUM($B17:$B25)*$B16*10, "")</f>
        <v>2.5425000227987766</v>
      </c>
      <c r="AZ16" s="58"/>
      <c r="BA16" s="58">
        <f>IF(SUM($B17:$B25)&lt;&gt;0,SUM(BA17:BA25)/SUM($B17:$B25)*$B16*10, "")</f>
        <v>2.0024999946355821</v>
      </c>
      <c r="BB16" s="58"/>
      <c r="BC16" s="58">
        <f>IF(SUM($B17:$B25)&lt;&gt;0,SUM(BC17:BC25)/SUM($B17:$B25)*$B16*10, "")</f>
        <v>2.6100000455975532</v>
      </c>
      <c r="BD16" s="58"/>
      <c r="BE16" s="58">
        <f>IF(SUM($B17:$B25)&lt;&gt;0,SUM(BE17:BE25)/SUM($B17:$B25)*$B16*10, "")</f>
        <v>1.5075000174343587</v>
      </c>
      <c r="BF16" s="58"/>
      <c r="BG16" s="58">
        <f>IF(SUM($B17:$B25)&lt;&gt;0,SUM(BG17:BG25)/SUM($B17:$B25)*$B16*10, "")</f>
        <v>2.654999995976687</v>
      </c>
      <c r="BH16" s="58"/>
      <c r="BI16" s="58">
        <f>IF(SUM($B17:$B25)&lt;&gt;0,SUM(BI17:BI25)/SUM($B17:$B25)*$B16*10, "")</f>
        <v>1.1700000191107394</v>
      </c>
      <c r="BJ16" s="58"/>
    </row>
    <row r="17" spans="1:62" ht="42" x14ac:dyDescent="0.2">
      <c r="A17" s="2" t="s">
        <v>18</v>
      </c>
      <c r="B17" s="13">
        <f>Primera!B17</f>
        <v>1.5</v>
      </c>
      <c r="C17" s="31">
        <f>Primera!C17</f>
        <v>0.60000000894069672</v>
      </c>
      <c r="D17" s="32">
        <f t="shared" ref="D17:D25" si="59">IF($B17,C17/$B17,-1)</f>
        <v>0.40000000596046448</v>
      </c>
      <c r="E17" s="31">
        <f>Primera!E17</f>
        <v>0.45000001788139343</v>
      </c>
      <c r="F17" s="32">
        <f t="shared" ref="F17:F25" si="60">IF($B17,E17/$B17,-1)</f>
        <v>0.30000001192092896</v>
      </c>
      <c r="G17" s="31">
        <f>Primera!G17</f>
        <v>1.3499999642372131</v>
      </c>
      <c r="H17" s="32">
        <f t="shared" ref="H17:H25" si="61">IF($B17,G17/$B17,-1)</f>
        <v>0.89999997615814209</v>
      </c>
      <c r="I17" s="31">
        <f>Primera!I17</f>
        <v>1.2000000178813934</v>
      </c>
      <c r="J17" s="32">
        <f t="shared" ref="J17:J25" si="62">IF($B17,I17/$B17,-1)</f>
        <v>0.80000001192092896</v>
      </c>
      <c r="K17" s="31">
        <f>Primera!K17</f>
        <v>0.45000001788139343</v>
      </c>
      <c r="L17" s="32">
        <f t="shared" ref="L17:L25" si="63">IF($B17,K17/$B17,-1)</f>
        <v>0.30000001192092896</v>
      </c>
      <c r="M17" s="31">
        <f>Primera!M17</f>
        <v>1.0499999821186066</v>
      </c>
      <c r="N17" s="32">
        <f t="shared" ref="N17:N25" si="64">IF($B17,M17/$B17,-1)</f>
        <v>0.69999998807907104</v>
      </c>
      <c r="O17" s="31">
        <f>Primera!O17</f>
        <v>0.30000000447034836</v>
      </c>
      <c r="P17" s="32">
        <f t="shared" ref="P17:P25" si="65">IF($B17,O17/$B17,-1)</f>
        <v>0.20000000298023224</v>
      </c>
      <c r="Q17" s="31">
        <f>Primera!Q17</f>
        <v>0</v>
      </c>
      <c r="R17" s="32">
        <f t="shared" ref="R17:R25" si="66">IF($B17,Q17/$B17,-1)</f>
        <v>0</v>
      </c>
      <c r="S17" s="31">
        <f>Primera!S17</f>
        <v>0</v>
      </c>
      <c r="T17" s="32">
        <f t="shared" ref="T17:T25" si="67">IF($B17,S17/$B17,-1)</f>
        <v>0</v>
      </c>
      <c r="U17" s="31">
        <f>Primera!U17</f>
        <v>0.45000001788139343</v>
      </c>
      <c r="V17" s="32">
        <f t="shared" ref="V17:V25" si="68">IF($B17,U17/$B17,-1)</f>
        <v>0.30000001192092896</v>
      </c>
      <c r="W17" s="31">
        <f>Primera!W17</f>
        <v>1.2000000178813934</v>
      </c>
      <c r="X17" s="32">
        <f t="shared" ref="X17:X25" si="69">IF($B17,W17/$B17,-1)</f>
        <v>0.80000001192092896</v>
      </c>
      <c r="Y17" s="31">
        <f>Primera!Y17</f>
        <v>0.45000001788139343</v>
      </c>
      <c r="Z17" s="32">
        <f t="shared" ref="Z17:Z25" si="70">IF($B17,Y17/$B17,-1)</f>
        <v>0.30000001192092896</v>
      </c>
      <c r="AA17" s="31">
        <f>Primera!AA17</f>
        <v>0.30000000447034836</v>
      </c>
      <c r="AB17" s="32">
        <f t="shared" ref="AB17:AB25" si="71">IF($B17,AA17/$B17,-1)</f>
        <v>0.20000000298023224</v>
      </c>
      <c r="AC17" s="31">
        <f>Primera!AC17</f>
        <v>0.75</v>
      </c>
      <c r="AD17" s="32">
        <f t="shared" ref="AD17:AD25" si="72">IF($B17,AC17/$B17,-1)</f>
        <v>0.5</v>
      </c>
      <c r="AE17" s="31">
        <f>Primera!AE17</f>
        <v>0.30000000447034836</v>
      </c>
      <c r="AF17" s="32">
        <f t="shared" ref="AF17:AF25" si="73">IF($B17,AE17/$B17,-1)</f>
        <v>0.20000000298023224</v>
      </c>
      <c r="AG17" s="31">
        <f>Primera!AG17</f>
        <v>0.45000001788139343</v>
      </c>
      <c r="AH17" s="32">
        <f t="shared" ref="AH17:AH25" si="74">IF($B17,AG17/$B17,-1)</f>
        <v>0.30000001192092896</v>
      </c>
      <c r="AI17" s="31">
        <f>Primera!AI17</f>
        <v>0</v>
      </c>
      <c r="AJ17" s="32">
        <f t="shared" ref="AJ17:AJ25" si="75">IF($B17,AI17/$B17,-1)</f>
        <v>0</v>
      </c>
      <c r="AK17" s="31">
        <f>Primera!AK17</f>
        <v>0.75</v>
      </c>
      <c r="AL17" s="32">
        <f t="shared" ref="AL17:AL25" si="76">IF($B17,AK17/$B17,-1)</f>
        <v>0.5</v>
      </c>
      <c r="AM17" s="31">
        <f>Primera!AM17</f>
        <v>0.30000000447034836</v>
      </c>
      <c r="AN17" s="32">
        <f t="shared" ref="AN17:AN25" si="77">IF($B17,AM17/$B17,-1)</f>
        <v>0.20000000298023224</v>
      </c>
      <c r="AO17" s="31">
        <f>Primera!AO17</f>
        <v>1.3499999642372131</v>
      </c>
      <c r="AP17" s="32">
        <f t="shared" ref="AP17:AP25" si="78">IF($B17,AO17/$B17,-1)</f>
        <v>0.89999997615814209</v>
      </c>
      <c r="AQ17" s="31">
        <f>Primera!AQ17</f>
        <v>0.90000003576278687</v>
      </c>
      <c r="AR17" s="32">
        <f t="shared" ref="AR17:AR25" si="79">IF($B17,AQ17/$B17,-1)</f>
        <v>0.60000002384185791</v>
      </c>
      <c r="AS17" s="31">
        <f>Primera!AS17</f>
        <v>1.2000000178813934</v>
      </c>
      <c r="AT17" s="32">
        <f t="shared" ref="AT17:AT25" si="80">IF($B17,AS17/$B17,-1)</f>
        <v>0.80000001192092896</v>
      </c>
      <c r="AU17" s="31">
        <f>Primera!AU17</f>
        <v>1.5</v>
      </c>
      <c r="AV17" s="32">
        <f t="shared" ref="AV17:AV25" si="81">IF($B17,AU17/$B17,-1)</f>
        <v>1</v>
      </c>
      <c r="AW17" s="31">
        <f>Primera!AW17</f>
        <v>0.45000001788139343</v>
      </c>
      <c r="AX17" s="32">
        <f t="shared" ref="AX17:AX25" si="82">IF($B17,AW17/$B17,-1)</f>
        <v>0.30000001192092896</v>
      </c>
      <c r="AY17" s="31">
        <f>Primera!AY17</f>
        <v>0.75</v>
      </c>
      <c r="AZ17" s="32">
        <f t="shared" ref="AZ17:AZ25" si="83">IF($B17,AY17/$B17,-1)</f>
        <v>0.5</v>
      </c>
      <c r="BA17" s="31">
        <f>Primera!BA17</f>
        <v>0</v>
      </c>
      <c r="BB17" s="32">
        <f t="shared" ref="BB17:BB25" si="84">IF($B17,BA17/$B17,-1)</f>
        <v>0</v>
      </c>
      <c r="BC17" s="31">
        <f>Primera!BC17</f>
        <v>0.90000003576278687</v>
      </c>
      <c r="BD17" s="32">
        <f t="shared" ref="BD17:BD25" si="85">IF($B17,BC17/$B17,-1)</f>
        <v>0.60000002384185791</v>
      </c>
      <c r="BE17" s="31">
        <f>Primera!BE17</f>
        <v>0.60000000894069672</v>
      </c>
      <c r="BF17" s="32">
        <f t="shared" ref="BF17:BF25" si="86">IF($B17,BE17/$B17,-1)</f>
        <v>0.40000000596046448</v>
      </c>
      <c r="BG17" s="31">
        <f>Primera!BG17</f>
        <v>1.5</v>
      </c>
      <c r="BH17" s="32">
        <f t="shared" ref="BH17:BH25" si="87">IF($B17,BG17/$B17,-1)</f>
        <v>1</v>
      </c>
      <c r="BI17" s="31">
        <f>Primera!BI17</f>
        <v>0.15000000223517418</v>
      </c>
      <c r="BJ17" s="32">
        <f t="shared" ref="BJ17:BJ25" si="88">IF($B17,BI17/$B17,-1)</f>
        <v>0.10000000149011612</v>
      </c>
    </row>
    <row r="18" spans="1:62" ht="56" x14ac:dyDescent="0.2">
      <c r="A18" s="2" t="s">
        <v>19</v>
      </c>
      <c r="B18" s="13">
        <f>Primera!B18</f>
        <v>1.5</v>
      </c>
      <c r="C18" s="31">
        <f>Primera!C18</f>
        <v>1.5</v>
      </c>
      <c r="D18" s="32">
        <f t="shared" si="59"/>
        <v>1</v>
      </c>
      <c r="E18" s="31">
        <f>Primera!E18</f>
        <v>0.90000003576278687</v>
      </c>
      <c r="F18" s="32">
        <f t="shared" si="60"/>
        <v>0.60000002384185791</v>
      </c>
      <c r="G18" s="31">
        <f>Primera!G18</f>
        <v>0.45000001788139343</v>
      </c>
      <c r="H18" s="32">
        <f t="shared" si="61"/>
        <v>0.30000001192092896</v>
      </c>
      <c r="I18" s="31">
        <f>Primera!I18</f>
        <v>0.15000000223517418</v>
      </c>
      <c r="J18" s="32">
        <f t="shared" si="62"/>
        <v>0.10000000149011612</v>
      </c>
      <c r="K18" s="31">
        <f>Primera!K18</f>
        <v>0.75</v>
      </c>
      <c r="L18" s="32">
        <f t="shared" si="63"/>
        <v>0.5</v>
      </c>
      <c r="M18" s="31">
        <f>Primera!M18</f>
        <v>0.30000000447034836</v>
      </c>
      <c r="N18" s="32">
        <f t="shared" si="64"/>
        <v>0.20000000298023224</v>
      </c>
      <c r="O18" s="31">
        <f>Primera!O18</f>
        <v>1.5</v>
      </c>
      <c r="P18" s="32">
        <f t="shared" si="65"/>
        <v>1</v>
      </c>
      <c r="Q18" s="31">
        <f>Primera!Q18</f>
        <v>0.15000000223517418</v>
      </c>
      <c r="R18" s="32">
        <f t="shared" si="66"/>
        <v>0.10000000149011612</v>
      </c>
      <c r="S18" s="31">
        <f>Primera!S18</f>
        <v>0</v>
      </c>
      <c r="T18" s="32">
        <f t="shared" si="67"/>
        <v>0</v>
      </c>
      <c r="U18" s="31">
        <f>Primera!U18</f>
        <v>0.45000001788139343</v>
      </c>
      <c r="V18" s="32">
        <f t="shared" si="68"/>
        <v>0.30000001192092896</v>
      </c>
      <c r="W18" s="31">
        <f>Primera!W18</f>
        <v>0.90000003576278687</v>
      </c>
      <c r="X18" s="32">
        <f t="shared" si="69"/>
        <v>0.60000002384185791</v>
      </c>
      <c r="Y18" s="31">
        <f>Primera!Y18</f>
        <v>1.5</v>
      </c>
      <c r="Z18" s="32">
        <f t="shared" si="70"/>
        <v>1</v>
      </c>
      <c r="AA18" s="31">
        <f>Primera!AA18</f>
        <v>0.75</v>
      </c>
      <c r="AB18" s="32">
        <f t="shared" si="71"/>
        <v>0.5</v>
      </c>
      <c r="AC18" s="31">
        <f>Primera!AC18</f>
        <v>0.60000000894069672</v>
      </c>
      <c r="AD18" s="32">
        <f t="shared" si="72"/>
        <v>0.40000000596046448</v>
      </c>
      <c r="AE18" s="31">
        <f>Primera!AE18</f>
        <v>1.3499999642372131</v>
      </c>
      <c r="AF18" s="32">
        <f t="shared" si="73"/>
        <v>0.89999997615814209</v>
      </c>
      <c r="AG18" s="31">
        <f>Primera!AG18</f>
        <v>1.3499999642372131</v>
      </c>
      <c r="AH18" s="32">
        <f t="shared" si="74"/>
        <v>0.89999997615814209</v>
      </c>
      <c r="AI18" s="31">
        <f>Primera!AI18</f>
        <v>1.0499999821186066</v>
      </c>
      <c r="AJ18" s="32">
        <f t="shared" si="75"/>
        <v>0.69999998807907104</v>
      </c>
      <c r="AK18" s="31">
        <f>Primera!AK18</f>
        <v>1.0499999821186066</v>
      </c>
      <c r="AL18" s="32">
        <f t="shared" si="76"/>
        <v>0.69999998807907104</v>
      </c>
      <c r="AM18" s="31">
        <f>Primera!AM18</f>
        <v>1.5</v>
      </c>
      <c r="AN18" s="32">
        <f t="shared" si="77"/>
        <v>1</v>
      </c>
      <c r="AO18" s="31">
        <f>Primera!AO18</f>
        <v>0.45000001788139343</v>
      </c>
      <c r="AP18" s="32">
        <f t="shared" si="78"/>
        <v>0.30000001192092896</v>
      </c>
      <c r="AQ18" s="31">
        <f>Primera!AQ18</f>
        <v>0.75</v>
      </c>
      <c r="AR18" s="32">
        <f t="shared" si="79"/>
        <v>0.5</v>
      </c>
      <c r="AS18" s="31">
        <f>Primera!AS18</f>
        <v>0.60000000894069672</v>
      </c>
      <c r="AT18" s="32">
        <f t="shared" si="80"/>
        <v>0.40000000596046448</v>
      </c>
      <c r="AU18" s="31">
        <f>Primera!AU18</f>
        <v>1.0499999821186066</v>
      </c>
      <c r="AV18" s="32">
        <f t="shared" si="81"/>
        <v>0.69999998807907104</v>
      </c>
      <c r="AW18" s="31">
        <f>Primera!AW18</f>
        <v>0.15000000223517418</v>
      </c>
      <c r="AX18" s="32">
        <f t="shared" si="82"/>
        <v>0.10000000149011612</v>
      </c>
      <c r="AY18" s="31">
        <f>Primera!AY18</f>
        <v>0.60000000894069672</v>
      </c>
      <c r="AZ18" s="32">
        <f t="shared" si="83"/>
        <v>0.40000000596046448</v>
      </c>
      <c r="BA18" s="31">
        <f>Primera!BA18</f>
        <v>0.75</v>
      </c>
      <c r="BB18" s="32">
        <f t="shared" si="84"/>
        <v>0.5</v>
      </c>
      <c r="BC18" s="31">
        <f>Primera!BC18</f>
        <v>1.2000000178813934</v>
      </c>
      <c r="BD18" s="32">
        <f t="shared" si="85"/>
        <v>0.80000001192092896</v>
      </c>
      <c r="BE18" s="31">
        <f>Primera!BE18</f>
        <v>0.75</v>
      </c>
      <c r="BF18" s="32">
        <f t="shared" si="86"/>
        <v>0.5</v>
      </c>
      <c r="BG18" s="31">
        <f>Primera!BG18</f>
        <v>0.60000000894069672</v>
      </c>
      <c r="BH18" s="32">
        <f t="shared" si="87"/>
        <v>0.40000000596046448</v>
      </c>
      <c r="BI18" s="31">
        <f>Primera!BI18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Primera!B19</f>
        <v>1</v>
      </c>
      <c r="C19" s="31">
        <f>Primera!C19</f>
        <v>0.20000000298023224</v>
      </c>
      <c r="D19" s="32">
        <f t="shared" si="59"/>
        <v>0.20000000298023224</v>
      </c>
      <c r="E19" s="31">
        <f>Primera!E19</f>
        <v>0.60000002384185791</v>
      </c>
      <c r="F19" s="32">
        <f t="shared" si="60"/>
        <v>0.60000002384185791</v>
      </c>
      <c r="G19" s="31">
        <f>Primera!G19</f>
        <v>0.5</v>
      </c>
      <c r="H19" s="32">
        <f t="shared" si="61"/>
        <v>0.5</v>
      </c>
      <c r="I19" s="31">
        <f>Primera!I19</f>
        <v>0.69999998807907104</v>
      </c>
      <c r="J19" s="32">
        <f t="shared" si="62"/>
        <v>0.69999998807907104</v>
      </c>
      <c r="K19" s="31">
        <f>Primera!K19</f>
        <v>0.89999997615814209</v>
      </c>
      <c r="L19" s="32">
        <f t="shared" si="63"/>
        <v>0.89999997615814209</v>
      </c>
      <c r="M19" s="31">
        <f>Primera!M19</f>
        <v>0.40000000596046448</v>
      </c>
      <c r="N19" s="32">
        <f t="shared" si="64"/>
        <v>0.40000000596046448</v>
      </c>
      <c r="O19" s="31">
        <f>Primera!O19</f>
        <v>0.30000001192092896</v>
      </c>
      <c r="P19" s="32">
        <f t="shared" si="65"/>
        <v>0.30000001192092896</v>
      </c>
      <c r="Q19" s="31">
        <f>Primera!Q19</f>
        <v>0.30000001192092896</v>
      </c>
      <c r="R19" s="32">
        <f t="shared" si="66"/>
        <v>0.30000001192092896</v>
      </c>
      <c r="S19" s="31">
        <f>Primera!S19</f>
        <v>0.10000000149011612</v>
      </c>
      <c r="T19" s="32">
        <f t="shared" si="67"/>
        <v>0.10000000149011612</v>
      </c>
      <c r="U19" s="31">
        <f>Primera!U19</f>
        <v>0.5</v>
      </c>
      <c r="V19" s="32">
        <f t="shared" si="68"/>
        <v>0.5</v>
      </c>
      <c r="W19" s="31">
        <f>Primera!W19</f>
        <v>0.20000000298023224</v>
      </c>
      <c r="X19" s="32">
        <f t="shared" si="69"/>
        <v>0.20000000298023224</v>
      </c>
      <c r="Y19" s="31">
        <f>Primera!Y19</f>
        <v>0.60000002384185791</v>
      </c>
      <c r="Z19" s="32">
        <f t="shared" si="70"/>
        <v>0.60000002384185791</v>
      </c>
      <c r="AA19" s="31">
        <f>Primera!AA19</f>
        <v>0.30000001192092896</v>
      </c>
      <c r="AB19" s="32">
        <f t="shared" si="71"/>
        <v>0.30000001192092896</v>
      </c>
      <c r="AC19" s="31">
        <f>Primera!AC19</f>
        <v>0.89999997615814209</v>
      </c>
      <c r="AD19" s="32">
        <f t="shared" si="72"/>
        <v>0.89999997615814209</v>
      </c>
      <c r="AE19" s="31">
        <f>Primera!AE19</f>
        <v>0.5</v>
      </c>
      <c r="AF19" s="32">
        <f t="shared" si="73"/>
        <v>0.5</v>
      </c>
      <c r="AG19" s="31">
        <f>Primera!AG19</f>
        <v>0.20000000298023224</v>
      </c>
      <c r="AH19" s="32">
        <f t="shared" si="74"/>
        <v>0.20000000298023224</v>
      </c>
      <c r="AI19" s="31">
        <f>Primera!AI19</f>
        <v>0.69999998807907104</v>
      </c>
      <c r="AJ19" s="32">
        <f t="shared" si="75"/>
        <v>0.69999998807907104</v>
      </c>
      <c r="AK19" s="31">
        <f>Primera!AK19</f>
        <v>0.80000001192092896</v>
      </c>
      <c r="AL19" s="32">
        <f t="shared" si="76"/>
        <v>0.80000001192092896</v>
      </c>
      <c r="AM19" s="31">
        <f>Primera!AM19</f>
        <v>0.60000002384185791</v>
      </c>
      <c r="AN19" s="32">
        <f t="shared" si="77"/>
        <v>0.60000002384185791</v>
      </c>
      <c r="AO19" s="31">
        <f>Primera!AO19</f>
        <v>0.80000001192092896</v>
      </c>
      <c r="AP19" s="32">
        <f t="shared" si="78"/>
        <v>0.80000001192092896</v>
      </c>
      <c r="AQ19" s="31">
        <f>Primera!AQ19</f>
        <v>0.10000000149011612</v>
      </c>
      <c r="AR19" s="32">
        <f t="shared" si="79"/>
        <v>0.10000000149011612</v>
      </c>
      <c r="AS19" s="31">
        <f>Primera!AS19</f>
        <v>0.80000001192092896</v>
      </c>
      <c r="AT19" s="32">
        <f t="shared" si="80"/>
        <v>0.80000001192092896</v>
      </c>
      <c r="AU19" s="31">
        <f>Primera!AU19</f>
        <v>0.20000000298023224</v>
      </c>
      <c r="AV19" s="32">
        <f t="shared" si="81"/>
        <v>0.20000000298023224</v>
      </c>
      <c r="AW19" s="31">
        <f>Primera!AW19</f>
        <v>1</v>
      </c>
      <c r="AX19" s="32">
        <f t="shared" si="82"/>
        <v>1</v>
      </c>
      <c r="AY19" s="31">
        <f>Primera!AY19</f>
        <v>0</v>
      </c>
      <c r="AZ19" s="32">
        <f t="shared" si="83"/>
        <v>0</v>
      </c>
      <c r="BA19" s="31">
        <f>Primera!BA19</f>
        <v>0</v>
      </c>
      <c r="BB19" s="32">
        <f t="shared" si="84"/>
        <v>0</v>
      </c>
      <c r="BC19" s="31">
        <f>Primera!BC19</f>
        <v>0.80000001192092896</v>
      </c>
      <c r="BD19" s="32">
        <f t="shared" si="85"/>
        <v>0.80000001192092896</v>
      </c>
      <c r="BE19" s="31">
        <f>Primera!BE19</f>
        <v>0.40000000596046448</v>
      </c>
      <c r="BF19" s="32">
        <f t="shared" si="86"/>
        <v>0.40000000596046448</v>
      </c>
      <c r="BG19" s="31">
        <f>Primera!BG19</f>
        <v>0.5</v>
      </c>
      <c r="BH19" s="32">
        <f t="shared" si="87"/>
        <v>0.5</v>
      </c>
      <c r="BI19" s="31">
        <f>Primera!BI19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Primera!B20</f>
        <v>2</v>
      </c>
      <c r="C20" s="31">
        <f>Primera!C20</f>
        <v>0.20000000298023224</v>
      </c>
      <c r="D20" s="32">
        <f t="shared" si="59"/>
        <v>0.10000000149011612</v>
      </c>
      <c r="E20" s="31">
        <f>Primera!E20</f>
        <v>0.20000000298023224</v>
      </c>
      <c r="F20" s="32">
        <f t="shared" si="60"/>
        <v>0.10000000149011612</v>
      </c>
      <c r="G20" s="31">
        <f>Primera!G20</f>
        <v>0</v>
      </c>
      <c r="H20" s="32">
        <f t="shared" si="61"/>
        <v>0</v>
      </c>
      <c r="I20" s="31">
        <f>Primera!I20</f>
        <v>1.3999999761581421</v>
      </c>
      <c r="J20" s="32">
        <f t="shared" si="62"/>
        <v>0.69999998807907104</v>
      </c>
      <c r="K20" s="31">
        <f>Primera!K20</f>
        <v>1</v>
      </c>
      <c r="L20" s="32">
        <f t="shared" si="63"/>
        <v>0.5</v>
      </c>
      <c r="M20" s="31">
        <f>Primera!M20</f>
        <v>1.2000000476837158</v>
      </c>
      <c r="N20" s="32">
        <f t="shared" si="64"/>
        <v>0.60000002384185791</v>
      </c>
      <c r="O20" s="31">
        <f>Primera!O20</f>
        <v>0.40000000596046448</v>
      </c>
      <c r="P20" s="32">
        <f t="shared" si="65"/>
        <v>0.20000000298023224</v>
      </c>
      <c r="Q20" s="31">
        <f>Primera!Q20</f>
        <v>1</v>
      </c>
      <c r="R20" s="32">
        <f t="shared" si="66"/>
        <v>0.5</v>
      </c>
      <c r="S20" s="31">
        <f>Primera!S20</f>
        <v>1.6000000238418579</v>
      </c>
      <c r="T20" s="32">
        <f t="shared" si="67"/>
        <v>0.80000001192092896</v>
      </c>
      <c r="U20" s="31">
        <f>Primera!U20</f>
        <v>1.6000000238418579</v>
      </c>
      <c r="V20" s="32">
        <f t="shared" si="68"/>
        <v>0.80000001192092896</v>
      </c>
      <c r="W20" s="31">
        <f>Primera!W20</f>
        <v>0.80000001192092896</v>
      </c>
      <c r="X20" s="32">
        <f t="shared" si="69"/>
        <v>0.40000000596046448</v>
      </c>
      <c r="Y20" s="31">
        <f>Primera!Y20</f>
        <v>1.7999999523162842</v>
      </c>
      <c r="Z20" s="32">
        <f t="shared" si="70"/>
        <v>0.89999997615814209</v>
      </c>
      <c r="AA20" s="31">
        <f>Primera!AA20</f>
        <v>1.6000000238418579</v>
      </c>
      <c r="AB20" s="32">
        <f t="shared" si="71"/>
        <v>0.80000001192092896</v>
      </c>
      <c r="AC20" s="31">
        <f>Primera!AC20</f>
        <v>0</v>
      </c>
      <c r="AD20" s="32">
        <f t="shared" si="72"/>
        <v>0</v>
      </c>
      <c r="AE20" s="31">
        <f>Primera!AE20</f>
        <v>1.2000000476837158</v>
      </c>
      <c r="AF20" s="32">
        <f t="shared" si="73"/>
        <v>0.60000002384185791</v>
      </c>
      <c r="AG20" s="31">
        <f>Primera!AG20</f>
        <v>1.3999999761581421</v>
      </c>
      <c r="AH20" s="32">
        <f t="shared" si="74"/>
        <v>0.69999998807907104</v>
      </c>
      <c r="AI20" s="31">
        <f>Primera!AI20</f>
        <v>0</v>
      </c>
      <c r="AJ20" s="32">
        <f t="shared" si="75"/>
        <v>0</v>
      </c>
      <c r="AK20" s="31">
        <f>Primera!AK20</f>
        <v>0.80000001192092896</v>
      </c>
      <c r="AL20" s="32">
        <f t="shared" si="76"/>
        <v>0.40000000596046448</v>
      </c>
      <c r="AM20" s="31">
        <f>Primera!AM20</f>
        <v>0.80000001192092896</v>
      </c>
      <c r="AN20" s="32">
        <f t="shared" si="77"/>
        <v>0.40000000596046448</v>
      </c>
      <c r="AO20" s="31">
        <f>Primera!AO20</f>
        <v>0.60000002384185791</v>
      </c>
      <c r="AP20" s="32">
        <f t="shared" si="78"/>
        <v>0.30000001192092896</v>
      </c>
      <c r="AQ20" s="31">
        <f>Primera!AQ20</f>
        <v>2</v>
      </c>
      <c r="AR20" s="32">
        <f t="shared" si="79"/>
        <v>1</v>
      </c>
      <c r="AS20" s="31">
        <f>Primera!AS20</f>
        <v>1.6000000238418579</v>
      </c>
      <c r="AT20" s="32">
        <f t="shared" si="80"/>
        <v>0.80000001192092896</v>
      </c>
      <c r="AU20" s="31">
        <f>Primera!AU20</f>
        <v>1.3999999761581421</v>
      </c>
      <c r="AV20" s="32">
        <f t="shared" si="81"/>
        <v>0.69999998807907104</v>
      </c>
      <c r="AW20" s="31">
        <f>Primera!AW20</f>
        <v>0.80000001192092896</v>
      </c>
      <c r="AX20" s="32">
        <f t="shared" si="82"/>
        <v>0.40000000596046448</v>
      </c>
      <c r="AY20" s="31">
        <f>Primera!AY20</f>
        <v>1.6000000238418579</v>
      </c>
      <c r="AZ20" s="32">
        <f t="shared" si="83"/>
        <v>0.80000001192092896</v>
      </c>
      <c r="BA20" s="31">
        <f>Primera!BA20</f>
        <v>0.60000002384185791</v>
      </c>
      <c r="BB20" s="32">
        <f t="shared" si="84"/>
        <v>0.30000001192092896</v>
      </c>
      <c r="BC20" s="31">
        <f>Primera!BC20</f>
        <v>0.60000002384185791</v>
      </c>
      <c r="BD20" s="32">
        <f t="shared" si="85"/>
        <v>0.30000001192092896</v>
      </c>
      <c r="BE20" s="31">
        <f>Primera!BE20</f>
        <v>0.80000001192092896</v>
      </c>
      <c r="BF20" s="32">
        <f t="shared" si="86"/>
        <v>0.40000000596046448</v>
      </c>
      <c r="BG20" s="31">
        <f>Primera!BG20</f>
        <v>2</v>
      </c>
      <c r="BH20" s="32">
        <f t="shared" si="87"/>
        <v>1</v>
      </c>
      <c r="BI20" s="31">
        <f>Primera!BI20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Primera!B21</f>
        <v>2</v>
      </c>
      <c r="C21" s="31">
        <f>Primera!C21</f>
        <v>1.3999999761581421</v>
      </c>
      <c r="D21" s="32">
        <f t="shared" si="59"/>
        <v>0.69999998807907104</v>
      </c>
      <c r="E21" s="31">
        <f>Primera!E21</f>
        <v>0.60000002384185791</v>
      </c>
      <c r="F21" s="32">
        <f t="shared" si="60"/>
        <v>0.30000001192092896</v>
      </c>
      <c r="G21" s="31">
        <f>Primera!G21</f>
        <v>0.20000000298023224</v>
      </c>
      <c r="H21" s="32">
        <f t="shared" si="61"/>
        <v>0.10000000149011612</v>
      </c>
      <c r="I21" s="31">
        <f>Primera!I21</f>
        <v>0.40000000596046448</v>
      </c>
      <c r="J21" s="32">
        <f t="shared" si="62"/>
        <v>0.20000000298023224</v>
      </c>
      <c r="K21" s="31">
        <f>Primera!K21</f>
        <v>0</v>
      </c>
      <c r="L21" s="32">
        <f t="shared" si="63"/>
        <v>0</v>
      </c>
      <c r="M21" s="31">
        <f>Primera!M21</f>
        <v>0.80000001192092896</v>
      </c>
      <c r="N21" s="32">
        <f t="shared" si="64"/>
        <v>0.40000000596046448</v>
      </c>
      <c r="O21" s="31">
        <f>Primera!O21</f>
        <v>2</v>
      </c>
      <c r="P21" s="32">
        <f t="shared" si="65"/>
        <v>1</v>
      </c>
      <c r="Q21" s="31">
        <f>Primera!Q21</f>
        <v>1</v>
      </c>
      <c r="R21" s="32">
        <f t="shared" si="66"/>
        <v>0.5</v>
      </c>
      <c r="S21" s="31">
        <f>Primera!S21</f>
        <v>1</v>
      </c>
      <c r="T21" s="32">
        <f t="shared" si="67"/>
        <v>0.5</v>
      </c>
      <c r="U21" s="31">
        <f>Primera!U21</f>
        <v>2</v>
      </c>
      <c r="V21" s="32">
        <f t="shared" si="68"/>
        <v>1</v>
      </c>
      <c r="W21" s="31">
        <f>Primera!W21</f>
        <v>0.40000000596046448</v>
      </c>
      <c r="X21" s="32">
        <f t="shared" si="69"/>
        <v>0.20000000298023224</v>
      </c>
      <c r="Y21" s="31">
        <f>Primera!Y21</f>
        <v>0.80000001192092896</v>
      </c>
      <c r="Z21" s="32">
        <f t="shared" si="70"/>
        <v>0.40000000596046448</v>
      </c>
      <c r="AA21" s="31">
        <f>Primera!AA21</f>
        <v>0.80000001192092896</v>
      </c>
      <c r="AB21" s="32">
        <f t="shared" si="71"/>
        <v>0.40000000596046448</v>
      </c>
      <c r="AC21" s="31">
        <f>Primera!AC21</f>
        <v>0.60000002384185791</v>
      </c>
      <c r="AD21" s="32">
        <f t="shared" si="72"/>
        <v>0.30000001192092896</v>
      </c>
      <c r="AE21" s="31">
        <f>Primera!AE21</f>
        <v>1</v>
      </c>
      <c r="AF21" s="32">
        <f t="shared" si="73"/>
        <v>0.5</v>
      </c>
      <c r="AG21" s="31">
        <f>Primera!AG21</f>
        <v>0.20000000298023224</v>
      </c>
      <c r="AH21" s="32">
        <f t="shared" si="74"/>
        <v>0.10000000149011612</v>
      </c>
      <c r="AI21" s="31">
        <f>Primera!AI21</f>
        <v>1</v>
      </c>
      <c r="AJ21" s="32">
        <f t="shared" si="75"/>
        <v>0.5</v>
      </c>
      <c r="AK21" s="31">
        <f>Primera!AK21</f>
        <v>2</v>
      </c>
      <c r="AL21" s="32">
        <f t="shared" si="76"/>
        <v>1</v>
      </c>
      <c r="AM21" s="31">
        <f>Primera!AM21</f>
        <v>1.2000000476837158</v>
      </c>
      <c r="AN21" s="32">
        <f t="shared" si="77"/>
        <v>0.60000002384185791</v>
      </c>
      <c r="AO21" s="31">
        <f>Primera!AO21</f>
        <v>2</v>
      </c>
      <c r="AP21" s="32">
        <f t="shared" si="78"/>
        <v>1</v>
      </c>
      <c r="AQ21" s="31">
        <f>Primera!AQ21</f>
        <v>1.3999999761581421</v>
      </c>
      <c r="AR21" s="32">
        <f t="shared" si="79"/>
        <v>0.69999998807907104</v>
      </c>
      <c r="AS21" s="31">
        <f>Primera!AS21</f>
        <v>0.80000001192092896</v>
      </c>
      <c r="AT21" s="32">
        <f t="shared" si="80"/>
        <v>0.40000000596046448</v>
      </c>
      <c r="AU21" s="31">
        <f>Primera!AU21</f>
        <v>1.3999999761581421</v>
      </c>
      <c r="AV21" s="32">
        <f t="shared" si="81"/>
        <v>0.69999998807907104</v>
      </c>
      <c r="AW21" s="31">
        <f>Primera!AW21</f>
        <v>0</v>
      </c>
      <c r="AX21" s="32">
        <f t="shared" si="82"/>
        <v>0</v>
      </c>
      <c r="AY21" s="31">
        <f>Primera!AY21</f>
        <v>1.6000000238418579</v>
      </c>
      <c r="AZ21" s="32">
        <f t="shared" si="83"/>
        <v>0.80000001192092896</v>
      </c>
      <c r="BA21" s="31">
        <f>Primera!BA21</f>
        <v>1.3999999761581421</v>
      </c>
      <c r="BB21" s="32">
        <f t="shared" si="84"/>
        <v>0.69999998807907104</v>
      </c>
      <c r="BC21" s="31">
        <f>Primera!BC21</f>
        <v>1</v>
      </c>
      <c r="BD21" s="32">
        <f t="shared" si="85"/>
        <v>0.5</v>
      </c>
      <c r="BE21" s="31">
        <f>Primera!BE21</f>
        <v>0.20000000298023224</v>
      </c>
      <c r="BF21" s="32">
        <f t="shared" si="86"/>
        <v>0.10000000149011612</v>
      </c>
      <c r="BG21" s="31">
        <f>Primera!BG21</f>
        <v>0.40000000596046448</v>
      </c>
      <c r="BH21" s="32">
        <f t="shared" si="87"/>
        <v>0.20000000298023224</v>
      </c>
      <c r="BI21" s="31">
        <f>Primera!BI21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Primera!B22</f>
        <v>1</v>
      </c>
      <c r="C22" s="31">
        <f>Primera!C22</f>
        <v>0.80000001192092896</v>
      </c>
      <c r="D22" s="32">
        <f t="shared" si="59"/>
        <v>0.80000001192092896</v>
      </c>
      <c r="E22" s="31">
        <f>Primera!E22</f>
        <v>0</v>
      </c>
      <c r="F22" s="32">
        <f t="shared" si="60"/>
        <v>0</v>
      </c>
      <c r="G22" s="31">
        <f>Primera!G22</f>
        <v>0.5</v>
      </c>
      <c r="H22" s="32">
        <f t="shared" si="61"/>
        <v>0.5</v>
      </c>
      <c r="I22" s="31">
        <f>Primera!I22</f>
        <v>0.80000001192092896</v>
      </c>
      <c r="J22" s="32">
        <f t="shared" si="62"/>
        <v>0.80000001192092896</v>
      </c>
      <c r="K22" s="31">
        <f>Primera!K22</f>
        <v>0.80000001192092896</v>
      </c>
      <c r="L22" s="32">
        <f t="shared" si="63"/>
        <v>0.80000001192092896</v>
      </c>
      <c r="M22" s="31">
        <f>Primera!M22</f>
        <v>0.30000001192092896</v>
      </c>
      <c r="N22" s="32">
        <f t="shared" si="64"/>
        <v>0.30000001192092896</v>
      </c>
      <c r="O22" s="31">
        <f>Primera!O22</f>
        <v>1</v>
      </c>
      <c r="P22" s="32">
        <f t="shared" si="65"/>
        <v>1</v>
      </c>
      <c r="Q22" s="31">
        <f>Primera!Q22</f>
        <v>0.80000001192092896</v>
      </c>
      <c r="R22" s="32">
        <f t="shared" si="66"/>
        <v>0.80000001192092896</v>
      </c>
      <c r="S22" s="31">
        <f>Primera!S22</f>
        <v>0.69999998807907104</v>
      </c>
      <c r="T22" s="32">
        <f t="shared" si="67"/>
        <v>0.69999998807907104</v>
      </c>
      <c r="U22" s="31">
        <f>Primera!U22</f>
        <v>0.89999997615814209</v>
      </c>
      <c r="V22" s="32">
        <f t="shared" si="68"/>
        <v>0.89999997615814209</v>
      </c>
      <c r="W22" s="31">
        <f>Primera!W22</f>
        <v>0.89999997615814209</v>
      </c>
      <c r="X22" s="32">
        <f t="shared" si="69"/>
        <v>0.89999997615814209</v>
      </c>
      <c r="Y22" s="31">
        <f>Primera!Y22</f>
        <v>0.40000000596046448</v>
      </c>
      <c r="Z22" s="32">
        <f t="shared" si="70"/>
        <v>0.40000000596046448</v>
      </c>
      <c r="AA22" s="31">
        <f>Primera!AA22</f>
        <v>0.10000000149011612</v>
      </c>
      <c r="AB22" s="32">
        <f t="shared" si="71"/>
        <v>0.10000000149011612</v>
      </c>
      <c r="AC22" s="31">
        <f>Primera!AC22</f>
        <v>1</v>
      </c>
      <c r="AD22" s="32">
        <f t="shared" si="72"/>
        <v>1</v>
      </c>
      <c r="AE22" s="31">
        <f>Primera!AE22</f>
        <v>0.80000001192092896</v>
      </c>
      <c r="AF22" s="32">
        <f t="shared" si="73"/>
        <v>0.80000001192092896</v>
      </c>
      <c r="AG22" s="31">
        <f>Primera!AG22</f>
        <v>0.69999998807907104</v>
      </c>
      <c r="AH22" s="32">
        <f t="shared" si="74"/>
        <v>0.69999998807907104</v>
      </c>
      <c r="AI22" s="31">
        <f>Primera!AI22</f>
        <v>0.40000000596046448</v>
      </c>
      <c r="AJ22" s="32">
        <f t="shared" si="75"/>
        <v>0.40000000596046448</v>
      </c>
      <c r="AK22" s="31">
        <f>Primera!AK22</f>
        <v>0</v>
      </c>
      <c r="AL22" s="32">
        <f t="shared" si="76"/>
        <v>0</v>
      </c>
      <c r="AM22" s="31">
        <f>Primera!AM22</f>
        <v>0.10000000149011612</v>
      </c>
      <c r="AN22" s="32">
        <f t="shared" si="77"/>
        <v>0.10000000149011612</v>
      </c>
      <c r="AO22" s="31">
        <f>Primera!AO22</f>
        <v>0.10000000149011612</v>
      </c>
      <c r="AP22" s="32">
        <f t="shared" si="78"/>
        <v>0.10000000149011612</v>
      </c>
      <c r="AQ22" s="31">
        <f>Primera!AQ22</f>
        <v>0.5</v>
      </c>
      <c r="AR22" s="32">
        <f t="shared" si="79"/>
        <v>0.5</v>
      </c>
      <c r="AS22" s="31">
        <f>Primera!AS22</f>
        <v>0.40000000596046448</v>
      </c>
      <c r="AT22" s="32">
        <f t="shared" si="80"/>
        <v>0.40000000596046448</v>
      </c>
      <c r="AU22" s="31">
        <f>Primera!AU22</f>
        <v>0.10000000149011612</v>
      </c>
      <c r="AV22" s="32">
        <f t="shared" si="81"/>
        <v>0.10000000149011612</v>
      </c>
      <c r="AW22" s="31">
        <f>Primera!AW22</f>
        <v>0.30000001192092896</v>
      </c>
      <c r="AX22" s="32">
        <f t="shared" si="82"/>
        <v>0.30000001192092896</v>
      </c>
      <c r="AY22" s="31">
        <f>Primera!AY22</f>
        <v>0.69999998807907104</v>
      </c>
      <c r="AZ22" s="32">
        <f t="shared" si="83"/>
        <v>0.69999998807907104</v>
      </c>
      <c r="BA22" s="31">
        <f>Primera!BA22</f>
        <v>0.89999997615814209</v>
      </c>
      <c r="BB22" s="32">
        <f t="shared" si="84"/>
        <v>0.89999997615814209</v>
      </c>
      <c r="BC22" s="31">
        <f>Primera!BC22</f>
        <v>0.5</v>
      </c>
      <c r="BD22" s="32">
        <f t="shared" si="85"/>
        <v>0.5</v>
      </c>
      <c r="BE22" s="31">
        <f>Primera!BE22</f>
        <v>0.20000000298023224</v>
      </c>
      <c r="BF22" s="32">
        <f t="shared" si="86"/>
        <v>0.20000000298023224</v>
      </c>
      <c r="BG22" s="31">
        <f>Primera!BG22</f>
        <v>0.89999997615814209</v>
      </c>
      <c r="BH22" s="32">
        <f t="shared" si="87"/>
        <v>0.89999997615814209</v>
      </c>
      <c r="BI22" s="31">
        <f>Primera!BI22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Primera!B23</f>
        <v>1</v>
      </c>
      <c r="C23" s="31">
        <f>Primera!C23</f>
        <v>0.30000001192092896</v>
      </c>
      <c r="D23" s="32">
        <f t="shared" si="59"/>
        <v>0.30000001192092896</v>
      </c>
      <c r="E23" s="31">
        <f>Primera!E23</f>
        <v>0.80000001192092896</v>
      </c>
      <c r="F23" s="32">
        <f t="shared" si="60"/>
        <v>0.80000001192092896</v>
      </c>
      <c r="G23" s="31">
        <f>Primera!G23</f>
        <v>0.20000000298023224</v>
      </c>
      <c r="H23" s="32">
        <f t="shared" si="61"/>
        <v>0.20000000298023224</v>
      </c>
      <c r="I23" s="31">
        <f>Primera!I23</f>
        <v>0.40000000596046448</v>
      </c>
      <c r="J23" s="32">
        <f t="shared" si="62"/>
        <v>0.40000000596046448</v>
      </c>
      <c r="K23" s="31">
        <f>Primera!K23</f>
        <v>0.20000000298023224</v>
      </c>
      <c r="L23" s="32">
        <f t="shared" si="63"/>
        <v>0.20000000298023224</v>
      </c>
      <c r="M23" s="31">
        <f>Primera!M23</f>
        <v>0.89999997615814209</v>
      </c>
      <c r="N23" s="32">
        <f t="shared" si="64"/>
        <v>0.89999997615814209</v>
      </c>
      <c r="O23" s="31">
        <f>Primera!O23</f>
        <v>0.60000002384185791</v>
      </c>
      <c r="P23" s="32">
        <f t="shared" si="65"/>
        <v>0.60000002384185791</v>
      </c>
      <c r="Q23" s="31">
        <f>Primera!Q23</f>
        <v>0.40000000596046448</v>
      </c>
      <c r="R23" s="32">
        <f t="shared" si="66"/>
        <v>0.40000000596046448</v>
      </c>
      <c r="S23" s="31">
        <f>Primera!S23</f>
        <v>0.40000000596046448</v>
      </c>
      <c r="T23" s="32">
        <f t="shared" si="67"/>
        <v>0.40000000596046448</v>
      </c>
      <c r="U23" s="31">
        <f>Primera!U23</f>
        <v>0.89999997615814209</v>
      </c>
      <c r="V23" s="32">
        <f t="shared" si="68"/>
        <v>0.89999997615814209</v>
      </c>
      <c r="W23" s="31">
        <f>Primera!W23</f>
        <v>0.60000002384185791</v>
      </c>
      <c r="X23" s="32">
        <f t="shared" si="69"/>
        <v>0.60000002384185791</v>
      </c>
      <c r="Y23" s="31">
        <f>Primera!Y23</f>
        <v>1</v>
      </c>
      <c r="Z23" s="32">
        <f t="shared" si="70"/>
        <v>1</v>
      </c>
      <c r="AA23" s="31">
        <f>Primera!AA23</f>
        <v>0.5</v>
      </c>
      <c r="AB23" s="32">
        <f t="shared" si="71"/>
        <v>0.5</v>
      </c>
      <c r="AC23" s="31">
        <f>Primera!AC23</f>
        <v>0.30000001192092896</v>
      </c>
      <c r="AD23" s="32">
        <f t="shared" si="72"/>
        <v>0.30000001192092896</v>
      </c>
      <c r="AE23" s="31">
        <f>Primera!AE23</f>
        <v>0.89999997615814209</v>
      </c>
      <c r="AF23" s="32">
        <f t="shared" si="73"/>
        <v>0.89999997615814209</v>
      </c>
      <c r="AG23" s="31">
        <f>Primera!AG23</f>
        <v>0.20000000298023224</v>
      </c>
      <c r="AH23" s="32">
        <f t="shared" si="74"/>
        <v>0.20000000298023224</v>
      </c>
      <c r="AI23" s="31">
        <f>Primera!AI23</f>
        <v>0.20000000298023224</v>
      </c>
      <c r="AJ23" s="32">
        <f t="shared" si="75"/>
        <v>0.20000000298023224</v>
      </c>
      <c r="AK23" s="31">
        <f>Primera!AK23</f>
        <v>0.10000000149011612</v>
      </c>
      <c r="AL23" s="32">
        <f t="shared" si="76"/>
        <v>0.10000000149011612</v>
      </c>
      <c r="AM23" s="31">
        <f>Primera!AM23</f>
        <v>0.30000001192092896</v>
      </c>
      <c r="AN23" s="32">
        <f t="shared" si="77"/>
        <v>0.30000001192092896</v>
      </c>
      <c r="AO23" s="31">
        <f>Primera!AO23</f>
        <v>0</v>
      </c>
      <c r="AP23" s="32">
        <f t="shared" si="78"/>
        <v>0</v>
      </c>
      <c r="AQ23" s="31">
        <f>Primera!AQ23</f>
        <v>0.80000001192092896</v>
      </c>
      <c r="AR23" s="32">
        <f t="shared" si="79"/>
        <v>0.80000001192092896</v>
      </c>
      <c r="AS23" s="31">
        <f>Primera!AS23</f>
        <v>0.89999997615814209</v>
      </c>
      <c r="AT23" s="32">
        <f t="shared" si="80"/>
        <v>0.89999997615814209</v>
      </c>
      <c r="AU23" s="31">
        <f>Primera!AU23</f>
        <v>0.30000001192092896</v>
      </c>
      <c r="AV23" s="32">
        <f t="shared" si="81"/>
        <v>0.30000001192092896</v>
      </c>
      <c r="AW23" s="31">
        <f>Primera!AW23</f>
        <v>0.69999998807907104</v>
      </c>
      <c r="AX23" s="32">
        <f t="shared" si="82"/>
        <v>0.69999998807907104</v>
      </c>
      <c r="AY23" s="31">
        <f>Primera!AY23</f>
        <v>0.40000000596046448</v>
      </c>
      <c r="AZ23" s="32">
        <f t="shared" si="83"/>
        <v>0.40000000596046448</v>
      </c>
      <c r="BA23" s="31">
        <f>Primera!BA23</f>
        <v>0.80000001192092896</v>
      </c>
      <c r="BB23" s="32">
        <f t="shared" si="84"/>
        <v>0.80000001192092896</v>
      </c>
      <c r="BC23" s="31">
        <f>Primera!BC23</f>
        <v>0.80000001192092896</v>
      </c>
      <c r="BD23" s="32">
        <f t="shared" si="85"/>
        <v>0.80000001192092896</v>
      </c>
      <c r="BE23" s="31">
        <f>Primera!BE23</f>
        <v>0.40000000596046448</v>
      </c>
      <c r="BF23" s="32">
        <f t="shared" si="86"/>
        <v>0.40000000596046448</v>
      </c>
      <c r="BG23" s="31">
        <f>Primera!BG23</f>
        <v>0</v>
      </c>
      <c r="BH23" s="32">
        <f t="shared" si="87"/>
        <v>0</v>
      </c>
      <c r="BI23" s="31">
        <f>Primera!BI23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Primera!B24</f>
        <v>0</v>
      </c>
      <c r="C24" s="31">
        <f>Primera!C24</f>
        <v>0</v>
      </c>
      <c r="D24" s="32">
        <f t="shared" si="59"/>
        <v>-1</v>
      </c>
      <c r="E24" s="31">
        <f>Primera!E24</f>
        <v>0</v>
      </c>
      <c r="F24" s="32">
        <f t="shared" si="60"/>
        <v>-1</v>
      </c>
      <c r="G24" s="31">
        <f>Primera!G24</f>
        <v>0</v>
      </c>
      <c r="H24" s="32">
        <f t="shared" si="61"/>
        <v>-1</v>
      </c>
      <c r="I24" s="31">
        <f>Primera!I24</f>
        <v>0</v>
      </c>
      <c r="J24" s="32">
        <f t="shared" si="62"/>
        <v>-1</v>
      </c>
      <c r="K24" s="31">
        <f>Primera!K24</f>
        <v>0</v>
      </c>
      <c r="L24" s="32">
        <f t="shared" si="63"/>
        <v>-1</v>
      </c>
      <c r="M24" s="31">
        <f>Primera!M24</f>
        <v>0</v>
      </c>
      <c r="N24" s="32">
        <f t="shared" si="64"/>
        <v>-1</v>
      </c>
      <c r="O24" s="31">
        <f>Primera!O24</f>
        <v>0</v>
      </c>
      <c r="P24" s="32">
        <f t="shared" si="65"/>
        <v>-1</v>
      </c>
      <c r="Q24" s="31">
        <f>Primera!Q24</f>
        <v>0</v>
      </c>
      <c r="R24" s="32">
        <f t="shared" si="66"/>
        <v>-1</v>
      </c>
      <c r="S24" s="31">
        <f>Primera!S24</f>
        <v>0</v>
      </c>
      <c r="T24" s="32">
        <f t="shared" si="67"/>
        <v>-1</v>
      </c>
      <c r="U24" s="31">
        <f>Primera!U24</f>
        <v>0</v>
      </c>
      <c r="V24" s="32">
        <f t="shared" si="68"/>
        <v>-1</v>
      </c>
      <c r="W24" s="31">
        <f>Primera!W24</f>
        <v>0</v>
      </c>
      <c r="X24" s="32">
        <f t="shared" si="69"/>
        <v>-1</v>
      </c>
      <c r="Y24" s="31">
        <f>Primera!Y24</f>
        <v>0</v>
      </c>
      <c r="Z24" s="32">
        <f t="shared" si="70"/>
        <v>-1</v>
      </c>
      <c r="AA24" s="31">
        <f>Primera!AA24</f>
        <v>0</v>
      </c>
      <c r="AB24" s="32">
        <f t="shared" si="71"/>
        <v>-1</v>
      </c>
      <c r="AC24" s="31">
        <f>Primera!AC24</f>
        <v>0</v>
      </c>
      <c r="AD24" s="32">
        <f t="shared" si="72"/>
        <v>-1</v>
      </c>
      <c r="AE24" s="31">
        <f>Primera!AE24</f>
        <v>0</v>
      </c>
      <c r="AF24" s="32">
        <f t="shared" si="73"/>
        <v>-1</v>
      </c>
      <c r="AG24" s="31">
        <f>Primera!AG24</f>
        <v>0</v>
      </c>
      <c r="AH24" s="32">
        <f t="shared" si="74"/>
        <v>-1</v>
      </c>
      <c r="AI24" s="31">
        <f>Primera!AI24</f>
        <v>0</v>
      </c>
      <c r="AJ24" s="32">
        <f t="shared" si="75"/>
        <v>-1</v>
      </c>
      <c r="AK24" s="31">
        <f>Primera!AK24</f>
        <v>0</v>
      </c>
      <c r="AL24" s="32">
        <f t="shared" si="76"/>
        <v>-1</v>
      </c>
      <c r="AM24" s="31">
        <f>Primera!AM24</f>
        <v>0</v>
      </c>
      <c r="AN24" s="32">
        <f t="shared" si="77"/>
        <v>-1</v>
      </c>
      <c r="AO24" s="31">
        <f>Primera!AO24</f>
        <v>0</v>
      </c>
      <c r="AP24" s="32">
        <f t="shared" si="78"/>
        <v>-1</v>
      </c>
      <c r="AQ24" s="31">
        <f>Primera!AQ24</f>
        <v>0</v>
      </c>
      <c r="AR24" s="32">
        <f t="shared" si="79"/>
        <v>-1</v>
      </c>
      <c r="AS24" s="31">
        <f>Primera!AS24</f>
        <v>0</v>
      </c>
      <c r="AT24" s="32">
        <f t="shared" si="80"/>
        <v>-1</v>
      </c>
      <c r="AU24" s="31">
        <f>Primera!AU24</f>
        <v>0</v>
      </c>
      <c r="AV24" s="32">
        <f t="shared" si="81"/>
        <v>-1</v>
      </c>
      <c r="AW24" s="31">
        <f>Primera!AW24</f>
        <v>0</v>
      </c>
      <c r="AX24" s="32">
        <f t="shared" si="82"/>
        <v>-1</v>
      </c>
      <c r="AY24" s="31">
        <f>Primera!AY24</f>
        <v>0</v>
      </c>
      <c r="AZ24" s="32">
        <f t="shared" si="83"/>
        <v>-1</v>
      </c>
      <c r="BA24" s="31">
        <f>Primera!BA24</f>
        <v>0</v>
      </c>
      <c r="BB24" s="32">
        <f t="shared" si="84"/>
        <v>-1</v>
      </c>
      <c r="BC24" s="31">
        <f>Primera!BC24</f>
        <v>0</v>
      </c>
      <c r="BD24" s="32">
        <f t="shared" si="85"/>
        <v>-1</v>
      </c>
      <c r="BE24" s="31">
        <f>Primera!BE24</f>
        <v>0</v>
      </c>
      <c r="BF24" s="32">
        <f t="shared" si="86"/>
        <v>-1</v>
      </c>
      <c r="BG24" s="31">
        <f>Primera!BG24</f>
        <v>0</v>
      </c>
      <c r="BH24" s="32">
        <f t="shared" si="87"/>
        <v>-1</v>
      </c>
      <c r="BI24" s="31">
        <f>Primera!BI24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Primera!B25</f>
        <v>0</v>
      </c>
      <c r="C25" s="31">
        <f>Primera!C25</f>
        <v>0</v>
      </c>
      <c r="D25" s="32">
        <f t="shared" si="59"/>
        <v>-1</v>
      </c>
      <c r="E25" s="31">
        <f>Primera!E25</f>
        <v>0</v>
      </c>
      <c r="F25" s="32">
        <f t="shared" si="60"/>
        <v>-1</v>
      </c>
      <c r="G25" s="31">
        <f>Primera!G25</f>
        <v>0</v>
      </c>
      <c r="H25" s="32">
        <f t="shared" si="61"/>
        <v>-1</v>
      </c>
      <c r="I25" s="31">
        <f>Primera!I25</f>
        <v>0</v>
      </c>
      <c r="J25" s="32">
        <f t="shared" si="62"/>
        <v>-1</v>
      </c>
      <c r="K25" s="31">
        <f>Primera!K25</f>
        <v>0</v>
      </c>
      <c r="L25" s="32">
        <f t="shared" si="63"/>
        <v>-1</v>
      </c>
      <c r="M25" s="31">
        <f>Primera!M25</f>
        <v>0</v>
      </c>
      <c r="N25" s="32">
        <f t="shared" si="64"/>
        <v>-1</v>
      </c>
      <c r="O25" s="31">
        <f>Primera!O25</f>
        <v>0</v>
      </c>
      <c r="P25" s="32">
        <f t="shared" si="65"/>
        <v>-1</v>
      </c>
      <c r="Q25" s="31">
        <f>Primera!Q25</f>
        <v>0</v>
      </c>
      <c r="R25" s="32">
        <f t="shared" si="66"/>
        <v>-1</v>
      </c>
      <c r="S25" s="31">
        <f>Primera!S25</f>
        <v>0</v>
      </c>
      <c r="T25" s="32">
        <f t="shared" si="67"/>
        <v>-1</v>
      </c>
      <c r="U25" s="31">
        <f>Primera!U25</f>
        <v>0</v>
      </c>
      <c r="V25" s="32">
        <f t="shared" si="68"/>
        <v>-1</v>
      </c>
      <c r="W25" s="31">
        <f>Primera!W25</f>
        <v>0</v>
      </c>
      <c r="X25" s="32">
        <f t="shared" si="69"/>
        <v>-1</v>
      </c>
      <c r="Y25" s="31">
        <f>Primera!Y25</f>
        <v>0</v>
      </c>
      <c r="Z25" s="32">
        <f t="shared" si="70"/>
        <v>-1</v>
      </c>
      <c r="AA25" s="31">
        <f>Primera!AA25</f>
        <v>0</v>
      </c>
      <c r="AB25" s="32">
        <f t="shared" si="71"/>
        <v>-1</v>
      </c>
      <c r="AC25" s="31">
        <f>Primera!AC25</f>
        <v>0</v>
      </c>
      <c r="AD25" s="32">
        <f t="shared" si="72"/>
        <v>-1</v>
      </c>
      <c r="AE25" s="31">
        <f>Primera!AE25</f>
        <v>0</v>
      </c>
      <c r="AF25" s="32">
        <f t="shared" si="73"/>
        <v>-1</v>
      </c>
      <c r="AG25" s="31">
        <f>Primera!AG25</f>
        <v>0</v>
      </c>
      <c r="AH25" s="32">
        <f t="shared" si="74"/>
        <v>-1</v>
      </c>
      <c r="AI25" s="31">
        <f>Primera!AI25</f>
        <v>0</v>
      </c>
      <c r="AJ25" s="32">
        <f t="shared" si="75"/>
        <v>-1</v>
      </c>
      <c r="AK25" s="31">
        <f>Primera!AK25</f>
        <v>0</v>
      </c>
      <c r="AL25" s="32">
        <f t="shared" si="76"/>
        <v>-1</v>
      </c>
      <c r="AM25" s="31">
        <f>Primera!AM25</f>
        <v>0</v>
      </c>
      <c r="AN25" s="32">
        <f t="shared" si="77"/>
        <v>-1</v>
      </c>
      <c r="AO25" s="31">
        <f>Primera!AO25</f>
        <v>0</v>
      </c>
      <c r="AP25" s="32">
        <f t="shared" si="78"/>
        <v>-1</v>
      </c>
      <c r="AQ25" s="31">
        <f>Primera!AQ25</f>
        <v>0</v>
      </c>
      <c r="AR25" s="32">
        <f t="shared" si="79"/>
        <v>-1</v>
      </c>
      <c r="AS25" s="31">
        <f>Primera!AS25</f>
        <v>0</v>
      </c>
      <c r="AT25" s="32">
        <f t="shared" si="80"/>
        <v>-1</v>
      </c>
      <c r="AU25" s="31">
        <f>Primera!AU25</f>
        <v>0</v>
      </c>
      <c r="AV25" s="32">
        <f t="shared" si="81"/>
        <v>-1</v>
      </c>
      <c r="AW25" s="31">
        <f>Primera!AW25</f>
        <v>0</v>
      </c>
      <c r="AX25" s="32">
        <f t="shared" si="82"/>
        <v>-1</v>
      </c>
      <c r="AY25" s="31">
        <f>Primera!AY25</f>
        <v>0</v>
      </c>
      <c r="AZ25" s="32">
        <f t="shared" si="83"/>
        <v>-1</v>
      </c>
      <c r="BA25" s="31">
        <f>Primera!BA25</f>
        <v>0</v>
      </c>
      <c r="BB25" s="32">
        <f t="shared" si="84"/>
        <v>-1</v>
      </c>
      <c r="BC25" s="31">
        <f>Primera!BC25</f>
        <v>0</v>
      </c>
      <c r="BD25" s="32">
        <f t="shared" si="85"/>
        <v>-1</v>
      </c>
      <c r="BE25" s="31">
        <f>Primera!BE25</f>
        <v>0</v>
      </c>
      <c r="BF25" s="32">
        <f t="shared" si="86"/>
        <v>-1</v>
      </c>
      <c r="BG25" s="31">
        <f>Primera!BG25</f>
        <v>0</v>
      </c>
      <c r="BH25" s="32">
        <f t="shared" si="87"/>
        <v>-1</v>
      </c>
      <c r="BI25" s="31">
        <f>Primera!BI25</f>
        <v>0</v>
      </c>
      <c r="BJ25" s="32">
        <f t="shared" si="88"/>
        <v>-1</v>
      </c>
    </row>
    <row r="26" spans="1:62" ht="19" customHeight="1" x14ac:dyDescent="0.2">
      <c r="A26" s="53" t="s">
        <v>84</v>
      </c>
      <c r="B26" s="53"/>
      <c r="C26" s="59">
        <f>SUM(C4,C7,C16)</f>
        <v>4.499999979883432</v>
      </c>
      <c r="D26" s="60"/>
      <c r="E26" s="59">
        <f t="shared" ref="E26" si="89">SUM(E4,E7,E16)</f>
        <v>3.7575000375509262</v>
      </c>
      <c r="F26" s="60"/>
      <c r="G26" s="59">
        <f t="shared" ref="G26" si="90">SUM(G4,G7,G16)</f>
        <v>3.6900000482797619</v>
      </c>
      <c r="H26" s="60"/>
      <c r="I26" s="59">
        <f t="shared" ref="I26" si="91">SUM(I4,I7,I16)</f>
        <v>4.1625000318512324</v>
      </c>
      <c r="J26" s="60"/>
      <c r="K26" s="59">
        <f t="shared" ref="K26" si="92">SUM(K4,K7,K16)</f>
        <v>3.7350000388920308</v>
      </c>
      <c r="L26" s="60"/>
      <c r="M26" s="59">
        <f t="shared" ref="M26" si="93">SUM(M4,M7,M16)</f>
        <v>3.757500034198165</v>
      </c>
      <c r="N26" s="60"/>
      <c r="O26" s="59">
        <f t="shared" ref="O26" si="94">SUM(O4,O7,O16)</f>
        <v>4.365000004693866</v>
      </c>
      <c r="P26" s="60"/>
      <c r="Q26" s="59">
        <f t="shared" ref="Q26" si="95">SUM(Q4,Q7,Q16)</f>
        <v>5.1525000466033815</v>
      </c>
      <c r="R26" s="60"/>
      <c r="S26" s="59">
        <f t="shared" ref="S26" si="96">SUM(S4,S7,S16)</f>
        <v>3.4200000006705524</v>
      </c>
      <c r="T26" s="60"/>
      <c r="U26" s="59">
        <f t="shared" ref="U26" si="97">SUM(U4,U7,U16)</f>
        <v>4.95</v>
      </c>
      <c r="V26" s="60"/>
      <c r="W26" s="59">
        <f t="shared" ref="W26" si="98">SUM(W4,W7,W16)</f>
        <v>3.6900000214576725</v>
      </c>
      <c r="X26" s="60"/>
      <c r="Y26" s="59">
        <f t="shared" ref="Y26" si="99">SUM(Y4,Y7,Y16)</f>
        <v>5.4675000026822094</v>
      </c>
      <c r="Z26" s="60"/>
      <c r="AA26" s="59">
        <f t="shared" ref="AA26" si="100">SUM(AA4,AA7,AA16)</f>
        <v>4.5675000093877314</v>
      </c>
      <c r="AB26" s="60"/>
      <c r="AC26" s="59">
        <f t="shared" ref="AC26" si="101">SUM(AC4,AC7,AC16)</f>
        <v>3.6675000362098218</v>
      </c>
      <c r="AD26" s="60"/>
      <c r="AE26" s="59">
        <f t="shared" ref="AE26" si="102">SUM(AE4,AE7,AE16)</f>
        <v>4.1625000435858963</v>
      </c>
      <c r="AF26" s="60"/>
      <c r="AG26" s="59">
        <f t="shared" ref="AG26" si="103">SUM(AG4,AG7,AG16)</f>
        <v>5.0849999919533735</v>
      </c>
      <c r="AH26" s="60"/>
      <c r="AI26" s="59">
        <f t="shared" ref="AI26" si="104">SUM(AI4,AI7,AI16)</f>
        <v>4.297499991953373</v>
      </c>
      <c r="AJ26" s="60"/>
      <c r="AK26" s="59">
        <f t="shared" ref="AK26" si="105">SUM(AK4,AK7,AK16)</f>
        <v>4.2750000368803747</v>
      </c>
      <c r="AL26" s="60"/>
      <c r="AM26" s="59">
        <f t="shared" ref="AM26" si="106">SUM(AM4,AM7,AM16)</f>
        <v>4.590000061690807</v>
      </c>
      <c r="AN26" s="60"/>
      <c r="AO26" s="59">
        <f t="shared" ref="AO26" si="107">SUM(AO4,AO7,AO16)</f>
        <v>4.1850000154227018</v>
      </c>
      <c r="AP26" s="60"/>
      <c r="AQ26" s="59">
        <f t="shared" ref="AQ26" si="108">SUM(AQ4,AQ7,AQ16)</f>
        <v>4.9725000489503151</v>
      </c>
      <c r="AR26" s="60"/>
      <c r="AS26" s="59">
        <f t="shared" ref="AS26" si="109">SUM(AS4,AS7,AS16)</f>
        <v>5.3550000362098222</v>
      </c>
      <c r="AT26" s="60"/>
      <c r="AU26" s="59">
        <f t="shared" ref="AU26" si="110">SUM(AU4,AU7,AU16)</f>
        <v>4.3874999899417162</v>
      </c>
      <c r="AV26" s="60"/>
      <c r="AW26" s="59">
        <f t="shared" ref="AW26" si="111">SUM(AW4,AW7,AW16)</f>
        <v>4.6800000278279184</v>
      </c>
      <c r="AX26" s="60"/>
      <c r="AY26" s="59">
        <f t="shared" ref="AY26" si="112">SUM(AY4,AY7,AY16)</f>
        <v>4.6125000335276134</v>
      </c>
      <c r="AZ26" s="60"/>
      <c r="BA26" s="59">
        <f t="shared" ref="BA26" si="113">SUM(BA4,BA7,BA16)</f>
        <v>3.8925000227987772</v>
      </c>
      <c r="BB26" s="60"/>
      <c r="BC26" s="59">
        <f t="shared" ref="BC26" si="114">SUM(BC4,BC7,BC16)</f>
        <v>5.4000001206994055</v>
      </c>
      <c r="BD26" s="60"/>
      <c r="BE26" s="59">
        <f t="shared" ref="BE26" si="115">SUM(BE4,BE7,BE16)</f>
        <v>3.4874999932944775</v>
      </c>
      <c r="BF26" s="60"/>
      <c r="BG26" s="59">
        <f t="shared" ref="BG26" si="116">SUM(BG4,BG7,BG16)</f>
        <v>4.4549999892711645</v>
      </c>
      <c r="BH26" s="60"/>
      <c r="BI26" s="59">
        <f t="shared" ref="BI26" si="117">SUM(BI4,BI7,BI16)</f>
        <v>2.7900000231340529</v>
      </c>
      <c r="BJ26" s="60"/>
    </row>
    <row r="27" spans="1:62" ht="19" customHeight="1" x14ac:dyDescent="0.2">
      <c r="A27" s="54"/>
      <c r="B27" s="55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</row>
    <row r="28" spans="1:62" ht="19" customHeight="1" x14ac:dyDescent="0.2">
      <c r="A28" s="54"/>
      <c r="B28" s="55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</row>
  </sheetData>
  <sheetProtection algorithmName="SHA-512" hashValue="Wen2d10ykU51iNmzbqKtw1ADBeAciJYxPwPFbZ1XWC/6DXZvVf9/uQlMImANTGGKEsO+QFpWdavvKV1oa1PlCg==" saltValue="OB8Eud5OY7HbTJ4aFjX2WQ==" spinCount="100000" sheet="1" objects="1" scenarios="1"/>
  <mergeCells count="21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U16:V16"/>
    <mergeCell ref="W16:X16"/>
    <mergeCell ref="Y16:Z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BA16:BB16"/>
    <mergeCell ref="BC16:BD16"/>
    <mergeCell ref="U26:V28"/>
    <mergeCell ref="W26:X28"/>
    <mergeCell ref="A26:B28"/>
    <mergeCell ref="C26:D28"/>
    <mergeCell ref="E26:F28"/>
    <mergeCell ref="G26:H28"/>
    <mergeCell ref="I26:J28"/>
    <mergeCell ref="K26:L28"/>
    <mergeCell ref="AY16:AZ16"/>
    <mergeCell ref="C16:D16"/>
    <mergeCell ref="E16:F16"/>
    <mergeCell ref="G16:H16"/>
    <mergeCell ref="I16:J16"/>
    <mergeCell ref="K16:L16"/>
    <mergeCell ref="M16:N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A1:A2"/>
    <mergeCell ref="BI26:BJ28"/>
    <mergeCell ref="AW26:AX28"/>
    <mergeCell ref="AY26:AZ28"/>
    <mergeCell ref="BA26:BB28"/>
    <mergeCell ref="BC26:BD28"/>
    <mergeCell ref="BE26:BF28"/>
    <mergeCell ref="BG26:BH28"/>
    <mergeCell ref="AK26:AL28"/>
    <mergeCell ref="AM26:AN28"/>
    <mergeCell ref="AO26:AP28"/>
    <mergeCell ref="AQ26:AR28"/>
    <mergeCell ref="AS26:AT28"/>
    <mergeCell ref="AU26:AV28"/>
    <mergeCell ref="Y26:Z28"/>
    <mergeCell ref="AA26:AB28"/>
    <mergeCell ref="AC26:AD28"/>
    <mergeCell ref="AE26:AF28"/>
    <mergeCell ref="AG26:AH28"/>
    <mergeCell ref="AI26:AJ28"/>
    <mergeCell ref="M26:N28"/>
    <mergeCell ref="O26:P28"/>
    <mergeCell ref="Q26:R28"/>
    <mergeCell ref="S26:T28"/>
  </mergeCells>
  <conditionalFormatting sqref="C26 E26 G26 I26 K26 M26 O26 Q26 S26 U26 W26 Y26 AA26 AC26 AE26 AG26 AI26 AK26 AM26 AO26 AQ26 AS26 AU26 AW26 AY26 BA26 BC26 BE26 BG26 BI26">
    <cfRule type="cellIs" dxfId="39715" priority="92" stopIfTrue="1" operator="lessThan">
      <formula>5</formula>
    </cfRule>
    <cfRule type="cellIs" dxfId="39714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39713" priority="2" stopIfTrue="1" operator="lessThan">
      <formula>5</formula>
    </cfRule>
    <cfRule type="cellIs" dxfId="39712" priority="3" operator="greaterThanOrEqual">
      <formula>5</formula>
    </cfRule>
  </conditionalFormatting>
  <conditionalFormatting sqref="B3">
    <cfRule type="cellIs" dxfId="39711" priority="1" stopIfTrue="1" operator="notEqual">
      <formula>"Ok"</formula>
    </cfRule>
  </conditionalFormatting>
  <conditionalFormatting sqref="D5">
    <cfRule type="cellIs" dxfId="39710" priority="55896" stopIfTrue="1" operator="equal">
      <formula>-1</formula>
    </cfRule>
  </conditionalFormatting>
  <conditionalFormatting sqref="D5">
    <cfRule type="cellIs" dxfId="39709" priority="55897" stopIfTrue="1" operator="lessThan">
      <formula>0.5</formula>
    </cfRule>
  </conditionalFormatting>
  <conditionalFormatting sqref="D5">
    <cfRule type="cellIs" dxfId="39708" priority="55898" stopIfTrue="1" operator="greaterThanOrEqual">
      <formula>0.5</formula>
    </cfRule>
  </conditionalFormatting>
  <conditionalFormatting sqref="D6">
    <cfRule type="cellIs" dxfId="39707" priority="55899" stopIfTrue="1" operator="equal">
      <formula>-1</formula>
    </cfRule>
  </conditionalFormatting>
  <conditionalFormatting sqref="D6">
    <cfRule type="cellIs" dxfId="39706" priority="55900" stopIfTrue="1" operator="lessThan">
      <formula>0.5</formula>
    </cfRule>
  </conditionalFormatting>
  <conditionalFormatting sqref="D6">
    <cfRule type="cellIs" dxfId="39705" priority="55901" stopIfTrue="1" operator="greaterThanOrEqual">
      <formula>0.5</formula>
    </cfRule>
  </conditionalFormatting>
  <conditionalFormatting sqref="F5">
    <cfRule type="cellIs" dxfId="39704" priority="55902" stopIfTrue="1" operator="equal">
      <formula>-1</formula>
    </cfRule>
  </conditionalFormatting>
  <conditionalFormatting sqref="F5">
    <cfRule type="cellIs" dxfId="39703" priority="55903" stopIfTrue="1" operator="lessThan">
      <formula>0.5</formula>
    </cfRule>
  </conditionalFormatting>
  <conditionalFormatting sqref="F5">
    <cfRule type="cellIs" dxfId="39702" priority="55904" stopIfTrue="1" operator="greaterThanOrEqual">
      <formula>0.5</formula>
    </cfRule>
  </conditionalFormatting>
  <conditionalFormatting sqref="F6">
    <cfRule type="cellIs" dxfId="39701" priority="55905" stopIfTrue="1" operator="equal">
      <formula>-1</formula>
    </cfRule>
  </conditionalFormatting>
  <conditionalFormatting sqref="F6">
    <cfRule type="cellIs" dxfId="39700" priority="55906" stopIfTrue="1" operator="lessThan">
      <formula>0.5</formula>
    </cfRule>
  </conditionalFormatting>
  <conditionalFormatting sqref="F6">
    <cfRule type="cellIs" dxfId="39699" priority="55907" stopIfTrue="1" operator="greaterThanOrEqual">
      <formula>0.5</formula>
    </cfRule>
  </conditionalFormatting>
  <conditionalFormatting sqref="H5">
    <cfRule type="cellIs" dxfId="39698" priority="55908" stopIfTrue="1" operator="equal">
      <formula>-1</formula>
    </cfRule>
  </conditionalFormatting>
  <conditionalFormatting sqref="H5">
    <cfRule type="cellIs" dxfId="39697" priority="55909" stopIfTrue="1" operator="lessThan">
      <formula>0.5</formula>
    </cfRule>
  </conditionalFormatting>
  <conditionalFormatting sqref="H5">
    <cfRule type="cellIs" dxfId="39696" priority="55910" stopIfTrue="1" operator="greaterThanOrEqual">
      <formula>0.5</formula>
    </cfRule>
  </conditionalFormatting>
  <conditionalFormatting sqref="H6">
    <cfRule type="cellIs" dxfId="39695" priority="55911" stopIfTrue="1" operator="equal">
      <formula>-1</formula>
    </cfRule>
  </conditionalFormatting>
  <conditionalFormatting sqref="H6">
    <cfRule type="cellIs" dxfId="39694" priority="55912" stopIfTrue="1" operator="lessThan">
      <formula>0.5</formula>
    </cfRule>
  </conditionalFormatting>
  <conditionalFormatting sqref="H6">
    <cfRule type="cellIs" dxfId="39693" priority="55913" stopIfTrue="1" operator="greaterThanOrEqual">
      <formula>0.5</formula>
    </cfRule>
  </conditionalFormatting>
  <conditionalFormatting sqref="J5">
    <cfRule type="cellIs" dxfId="39692" priority="55914" stopIfTrue="1" operator="equal">
      <formula>-1</formula>
    </cfRule>
  </conditionalFormatting>
  <conditionalFormatting sqref="J5">
    <cfRule type="cellIs" dxfId="39691" priority="55915" stopIfTrue="1" operator="lessThan">
      <formula>0.5</formula>
    </cfRule>
  </conditionalFormatting>
  <conditionalFormatting sqref="J5">
    <cfRule type="cellIs" dxfId="39690" priority="55916" stopIfTrue="1" operator="greaterThanOrEqual">
      <formula>0.5</formula>
    </cfRule>
  </conditionalFormatting>
  <conditionalFormatting sqref="J6">
    <cfRule type="cellIs" dxfId="39689" priority="55917" stopIfTrue="1" operator="equal">
      <formula>-1</formula>
    </cfRule>
  </conditionalFormatting>
  <conditionalFormatting sqref="J6">
    <cfRule type="cellIs" dxfId="39688" priority="55918" stopIfTrue="1" operator="lessThan">
      <formula>0.5</formula>
    </cfRule>
  </conditionalFormatting>
  <conditionalFormatting sqref="J6">
    <cfRule type="cellIs" dxfId="39687" priority="55919" stopIfTrue="1" operator="greaterThanOrEqual">
      <formula>0.5</formula>
    </cfRule>
  </conditionalFormatting>
  <conditionalFormatting sqref="L5">
    <cfRule type="cellIs" dxfId="39686" priority="55920" stopIfTrue="1" operator="equal">
      <formula>-1</formula>
    </cfRule>
  </conditionalFormatting>
  <conditionalFormatting sqref="L5">
    <cfRule type="cellIs" dxfId="39685" priority="55921" stopIfTrue="1" operator="lessThan">
      <formula>0.5</formula>
    </cfRule>
  </conditionalFormatting>
  <conditionalFormatting sqref="L5">
    <cfRule type="cellIs" dxfId="39684" priority="55922" stopIfTrue="1" operator="greaterThanOrEqual">
      <formula>0.5</formula>
    </cfRule>
  </conditionalFormatting>
  <conditionalFormatting sqref="L6">
    <cfRule type="cellIs" dxfId="39683" priority="55923" stopIfTrue="1" operator="equal">
      <formula>-1</formula>
    </cfRule>
  </conditionalFormatting>
  <conditionalFormatting sqref="L6">
    <cfRule type="cellIs" dxfId="39682" priority="55924" stopIfTrue="1" operator="lessThan">
      <formula>0.5</formula>
    </cfRule>
  </conditionalFormatting>
  <conditionalFormatting sqref="L6">
    <cfRule type="cellIs" dxfId="39681" priority="55925" stopIfTrue="1" operator="greaterThanOrEqual">
      <formula>0.5</formula>
    </cfRule>
  </conditionalFormatting>
  <conditionalFormatting sqref="N5">
    <cfRule type="cellIs" dxfId="39680" priority="55926" stopIfTrue="1" operator="equal">
      <formula>-1</formula>
    </cfRule>
  </conditionalFormatting>
  <conditionalFormatting sqref="N5">
    <cfRule type="cellIs" dxfId="39679" priority="55927" stopIfTrue="1" operator="lessThan">
      <formula>0.5</formula>
    </cfRule>
  </conditionalFormatting>
  <conditionalFormatting sqref="N5">
    <cfRule type="cellIs" dxfId="39678" priority="55928" stopIfTrue="1" operator="greaterThanOrEqual">
      <formula>0.5</formula>
    </cfRule>
  </conditionalFormatting>
  <conditionalFormatting sqref="N6">
    <cfRule type="cellIs" dxfId="39677" priority="55929" stopIfTrue="1" operator="equal">
      <formula>-1</formula>
    </cfRule>
  </conditionalFormatting>
  <conditionalFormatting sqref="N6">
    <cfRule type="cellIs" dxfId="39676" priority="55930" stopIfTrue="1" operator="lessThan">
      <formula>0.5</formula>
    </cfRule>
  </conditionalFormatting>
  <conditionalFormatting sqref="N6">
    <cfRule type="cellIs" dxfId="39675" priority="55931" stopIfTrue="1" operator="greaterThanOrEqual">
      <formula>0.5</formula>
    </cfRule>
  </conditionalFormatting>
  <conditionalFormatting sqref="P5">
    <cfRule type="cellIs" dxfId="39674" priority="55932" stopIfTrue="1" operator="equal">
      <formula>-1</formula>
    </cfRule>
  </conditionalFormatting>
  <conditionalFormatting sqref="P5">
    <cfRule type="cellIs" dxfId="39673" priority="55933" stopIfTrue="1" operator="lessThan">
      <formula>0.5</formula>
    </cfRule>
  </conditionalFormatting>
  <conditionalFormatting sqref="P5">
    <cfRule type="cellIs" dxfId="39672" priority="55934" stopIfTrue="1" operator="greaterThanOrEqual">
      <formula>0.5</formula>
    </cfRule>
  </conditionalFormatting>
  <conditionalFormatting sqref="P6">
    <cfRule type="cellIs" dxfId="39671" priority="55935" stopIfTrue="1" operator="equal">
      <formula>-1</formula>
    </cfRule>
  </conditionalFormatting>
  <conditionalFormatting sqref="P6">
    <cfRule type="cellIs" dxfId="39670" priority="55936" stopIfTrue="1" operator="lessThan">
      <formula>0.5</formula>
    </cfRule>
  </conditionalFormatting>
  <conditionalFormatting sqref="P6">
    <cfRule type="cellIs" dxfId="39669" priority="55937" stopIfTrue="1" operator="greaterThanOrEqual">
      <formula>0.5</formula>
    </cfRule>
  </conditionalFormatting>
  <conditionalFormatting sqref="R5">
    <cfRule type="cellIs" dxfId="39668" priority="55938" stopIfTrue="1" operator="equal">
      <formula>-1</formula>
    </cfRule>
  </conditionalFormatting>
  <conditionalFormatting sqref="R5">
    <cfRule type="cellIs" dxfId="39667" priority="55939" stopIfTrue="1" operator="lessThan">
      <formula>0.5</formula>
    </cfRule>
  </conditionalFormatting>
  <conditionalFormatting sqref="R5">
    <cfRule type="cellIs" dxfId="39666" priority="55940" stopIfTrue="1" operator="greaterThanOrEqual">
      <formula>0.5</formula>
    </cfRule>
  </conditionalFormatting>
  <conditionalFormatting sqref="R6">
    <cfRule type="cellIs" dxfId="39665" priority="55941" stopIfTrue="1" operator="equal">
      <formula>-1</formula>
    </cfRule>
  </conditionalFormatting>
  <conditionalFormatting sqref="R6">
    <cfRule type="cellIs" dxfId="39664" priority="55942" stopIfTrue="1" operator="lessThan">
      <formula>0.5</formula>
    </cfRule>
  </conditionalFormatting>
  <conditionalFormatting sqref="R6">
    <cfRule type="cellIs" dxfId="39663" priority="55943" stopIfTrue="1" operator="greaterThanOrEqual">
      <formula>0.5</formula>
    </cfRule>
  </conditionalFormatting>
  <conditionalFormatting sqref="T5">
    <cfRule type="cellIs" dxfId="39662" priority="55944" stopIfTrue="1" operator="equal">
      <formula>-1</formula>
    </cfRule>
  </conditionalFormatting>
  <conditionalFormatting sqref="T5">
    <cfRule type="cellIs" dxfId="39661" priority="55945" stopIfTrue="1" operator="lessThan">
      <formula>0.5</formula>
    </cfRule>
  </conditionalFormatting>
  <conditionalFormatting sqref="T5">
    <cfRule type="cellIs" dxfId="39660" priority="55946" stopIfTrue="1" operator="greaterThanOrEqual">
      <formula>0.5</formula>
    </cfRule>
  </conditionalFormatting>
  <conditionalFormatting sqref="T6">
    <cfRule type="cellIs" dxfId="39659" priority="55947" stopIfTrue="1" operator="equal">
      <formula>-1</formula>
    </cfRule>
  </conditionalFormatting>
  <conditionalFormatting sqref="T6">
    <cfRule type="cellIs" dxfId="39658" priority="55948" stopIfTrue="1" operator="lessThan">
      <formula>0.5</formula>
    </cfRule>
  </conditionalFormatting>
  <conditionalFormatting sqref="T6">
    <cfRule type="cellIs" dxfId="39657" priority="55949" stopIfTrue="1" operator="greaterThanOrEqual">
      <formula>0.5</formula>
    </cfRule>
  </conditionalFormatting>
  <conditionalFormatting sqref="V5">
    <cfRule type="cellIs" dxfId="39656" priority="55950" stopIfTrue="1" operator="equal">
      <formula>-1</formula>
    </cfRule>
  </conditionalFormatting>
  <conditionalFormatting sqref="V5">
    <cfRule type="cellIs" dxfId="39655" priority="55951" stopIfTrue="1" operator="lessThan">
      <formula>0.5</formula>
    </cfRule>
  </conditionalFormatting>
  <conditionalFormatting sqref="V5">
    <cfRule type="cellIs" dxfId="39654" priority="55952" stopIfTrue="1" operator="greaterThanOrEqual">
      <formula>0.5</formula>
    </cfRule>
  </conditionalFormatting>
  <conditionalFormatting sqref="V6">
    <cfRule type="cellIs" dxfId="39653" priority="55953" stopIfTrue="1" operator="equal">
      <formula>-1</formula>
    </cfRule>
  </conditionalFormatting>
  <conditionalFormatting sqref="V6">
    <cfRule type="cellIs" dxfId="39652" priority="55954" stopIfTrue="1" operator="lessThan">
      <formula>0.5</formula>
    </cfRule>
  </conditionalFormatting>
  <conditionalFormatting sqref="V6">
    <cfRule type="cellIs" dxfId="39651" priority="55955" stopIfTrue="1" operator="greaterThanOrEqual">
      <formula>0.5</formula>
    </cfRule>
  </conditionalFormatting>
  <conditionalFormatting sqref="X5">
    <cfRule type="cellIs" dxfId="39650" priority="55956" stopIfTrue="1" operator="equal">
      <formula>-1</formula>
    </cfRule>
  </conditionalFormatting>
  <conditionalFormatting sqref="X5">
    <cfRule type="cellIs" dxfId="39649" priority="55957" stopIfTrue="1" operator="lessThan">
      <formula>0.5</formula>
    </cfRule>
  </conditionalFormatting>
  <conditionalFormatting sqref="X5">
    <cfRule type="cellIs" dxfId="39648" priority="55958" stopIfTrue="1" operator="greaterThanOrEqual">
      <formula>0.5</formula>
    </cfRule>
  </conditionalFormatting>
  <conditionalFormatting sqref="X6">
    <cfRule type="cellIs" dxfId="39647" priority="55959" stopIfTrue="1" operator="equal">
      <formula>-1</formula>
    </cfRule>
  </conditionalFormatting>
  <conditionalFormatting sqref="X6">
    <cfRule type="cellIs" dxfId="39646" priority="55960" stopIfTrue="1" operator="lessThan">
      <formula>0.5</formula>
    </cfRule>
  </conditionalFormatting>
  <conditionalFormatting sqref="X6">
    <cfRule type="cellIs" dxfId="39645" priority="55961" stopIfTrue="1" operator="greaterThanOrEqual">
      <formula>0.5</formula>
    </cfRule>
  </conditionalFormatting>
  <conditionalFormatting sqref="Z5">
    <cfRule type="cellIs" dxfId="39644" priority="55962" stopIfTrue="1" operator="equal">
      <formula>-1</formula>
    </cfRule>
  </conditionalFormatting>
  <conditionalFormatting sqref="Z5">
    <cfRule type="cellIs" dxfId="39643" priority="55963" stopIfTrue="1" operator="lessThan">
      <formula>0.5</formula>
    </cfRule>
  </conditionalFormatting>
  <conditionalFormatting sqref="Z5">
    <cfRule type="cellIs" dxfId="39642" priority="55964" stopIfTrue="1" operator="greaterThanOrEqual">
      <formula>0.5</formula>
    </cfRule>
  </conditionalFormatting>
  <conditionalFormatting sqref="Z6">
    <cfRule type="cellIs" dxfId="39641" priority="55965" stopIfTrue="1" operator="equal">
      <formula>-1</formula>
    </cfRule>
  </conditionalFormatting>
  <conditionalFormatting sqref="Z6">
    <cfRule type="cellIs" dxfId="39640" priority="55966" stopIfTrue="1" operator="lessThan">
      <formula>0.5</formula>
    </cfRule>
  </conditionalFormatting>
  <conditionalFormatting sqref="Z6">
    <cfRule type="cellIs" dxfId="39639" priority="55967" stopIfTrue="1" operator="greaterThanOrEqual">
      <formula>0.5</formula>
    </cfRule>
  </conditionalFormatting>
  <conditionalFormatting sqref="AB5">
    <cfRule type="cellIs" dxfId="39638" priority="55968" stopIfTrue="1" operator="equal">
      <formula>-1</formula>
    </cfRule>
  </conditionalFormatting>
  <conditionalFormatting sqref="AB5">
    <cfRule type="cellIs" dxfId="39637" priority="55969" stopIfTrue="1" operator="lessThan">
      <formula>0.5</formula>
    </cfRule>
  </conditionalFormatting>
  <conditionalFormatting sqref="AB5">
    <cfRule type="cellIs" dxfId="39636" priority="55970" stopIfTrue="1" operator="greaterThanOrEqual">
      <formula>0.5</formula>
    </cfRule>
  </conditionalFormatting>
  <conditionalFormatting sqref="AB6">
    <cfRule type="cellIs" dxfId="39635" priority="55971" stopIfTrue="1" operator="equal">
      <formula>-1</formula>
    </cfRule>
  </conditionalFormatting>
  <conditionalFormatting sqref="AB6">
    <cfRule type="cellIs" dxfId="39634" priority="55972" stopIfTrue="1" operator="lessThan">
      <formula>0.5</formula>
    </cfRule>
  </conditionalFormatting>
  <conditionalFormatting sqref="AB6">
    <cfRule type="cellIs" dxfId="39633" priority="55973" stopIfTrue="1" operator="greaterThanOrEqual">
      <formula>0.5</formula>
    </cfRule>
  </conditionalFormatting>
  <conditionalFormatting sqref="AD5">
    <cfRule type="cellIs" dxfId="39632" priority="55974" stopIfTrue="1" operator="equal">
      <formula>-1</formula>
    </cfRule>
  </conditionalFormatting>
  <conditionalFormatting sqref="AD5">
    <cfRule type="cellIs" dxfId="39631" priority="55975" stopIfTrue="1" operator="lessThan">
      <formula>0.5</formula>
    </cfRule>
  </conditionalFormatting>
  <conditionalFormatting sqref="AD5">
    <cfRule type="cellIs" dxfId="39630" priority="55976" stopIfTrue="1" operator="greaterThanOrEqual">
      <formula>0.5</formula>
    </cfRule>
  </conditionalFormatting>
  <conditionalFormatting sqref="AD6">
    <cfRule type="cellIs" dxfId="39629" priority="55977" stopIfTrue="1" operator="equal">
      <formula>-1</formula>
    </cfRule>
  </conditionalFormatting>
  <conditionalFormatting sqref="AD6">
    <cfRule type="cellIs" dxfId="39628" priority="55978" stopIfTrue="1" operator="lessThan">
      <formula>0.5</formula>
    </cfRule>
  </conditionalFormatting>
  <conditionalFormatting sqref="AD6">
    <cfRule type="cellIs" dxfId="39627" priority="55979" stopIfTrue="1" operator="greaterThanOrEqual">
      <formula>0.5</formula>
    </cfRule>
  </conditionalFormatting>
  <conditionalFormatting sqref="AF5">
    <cfRule type="cellIs" dxfId="39626" priority="55980" stopIfTrue="1" operator="equal">
      <formula>-1</formula>
    </cfRule>
  </conditionalFormatting>
  <conditionalFormatting sqref="AF5">
    <cfRule type="cellIs" dxfId="39625" priority="55981" stopIfTrue="1" operator="lessThan">
      <formula>0.5</formula>
    </cfRule>
  </conditionalFormatting>
  <conditionalFormatting sqref="AF5">
    <cfRule type="cellIs" dxfId="39624" priority="55982" stopIfTrue="1" operator="greaterThanOrEqual">
      <formula>0.5</formula>
    </cfRule>
  </conditionalFormatting>
  <conditionalFormatting sqref="AF6">
    <cfRule type="cellIs" dxfId="39623" priority="55983" stopIfTrue="1" operator="equal">
      <formula>-1</formula>
    </cfRule>
  </conditionalFormatting>
  <conditionalFormatting sqref="AF6">
    <cfRule type="cellIs" dxfId="39622" priority="55984" stopIfTrue="1" operator="lessThan">
      <formula>0.5</formula>
    </cfRule>
  </conditionalFormatting>
  <conditionalFormatting sqref="AF6">
    <cfRule type="cellIs" dxfId="39621" priority="55985" stopIfTrue="1" operator="greaterThanOrEqual">
      <formula>0.5</formula>
    </cfRule>
  </conditionalFormatting>
  <conditionalFormatting sqref="AH5">
    <cfRule type="cellIs" dxfId="39620" priority="55986" stopIfTrue="1" operator="equal">
      <formula>-1</formula>
    </cfRule>
  </conditionalFormatting>
  <conditionalFormatting sqref="AH5">
    <cfRule type="cellIs" dxfId="39619" priority="55987" stopIfTrue="1" operator="lessThan">
      <formula>0.5</formula>
    </cfRule>
  </conditionalFormatting>
  <conditionalFormatting sqref="AH5">
    <cfRule type="cellIs" dxfId="39618" priority="55988" stopIfTrue="1" operator="greaterThanOrEqual">
      <formula>0.5</formula>
    </cfRule>
  </conditionalFormatting>
  <conditionalFormatting sqref="AH6">
    <cfRule type="cellIs" dxfId="39617" priority="55989" stopIfTrue="1" operator="equal">
      <formula>-1</formula>
    </cfRule>
  </conditionalFormatting>
  <conditionalFormatting sqref="AH6">
    <cfRule type="cellIs" dxfId="39616" priority="55990" stopIfTrue="1" operator="lessThan">
      <formula>0.5</formula>
    </cfRule>
  </conditionalFormatting>
  <conditionalFormatting sqref="AH6">
    <cfRule type="cellIs" dxfId="39615" priority="55991" stopIfTrue="1" operator="greaterThanOrEqual">
      <formula>0.5</formula>
    </cfRule>
  </conditionalFormatting>
  <conditionalFormatting sqref="AJ5">
    <cfRule type="cellIs" dxfId="39614" priority="55992" stopIfTrue="1" operator="equal">
      <formula>-1</formula>
    </cfRule>
  </conditionalFormatting>
  <conditionalFormatting sqref="AJ5">
    <cfRule type="cellIs" dxfId="39613" priority="55993" stopIfTrue="1" operator="lessThan">
      <formula>0.5</formula>
    </cfRule>
  </conditionalFormatting>
  <conditionalFormatting sqref="AJ5">
    <cfRule type="cellIs" dxfId="39612" priority="55994" stopIfTrue="1" operator="greaterThanOrEqual">
      <formula>0.5</formula>
    </cfRule>
  </conditionalFormatting>
  <conditionalFormatting sqref="AJ6">
    <cfRule type="cellIs" dxfId="39611" priority="55995" stopIfTrue="1" operator="equal">
      <formula>-1</formula>
    </cfRule>
  </conditionalFormatting>
  <conditionalFormatting sqref="AJ6">
    <cfRule type="cellIs" dxfId="39610" priority="55996" stopIfTrue="1" operator="lessThan">
      <formula>0.5</formula>
    </cfRule>
  </conditionalFormatting>
  <conditionalFormatting sqref="AJ6">
    <cfRule type="cellIs" dxfId="39609" priority="55997" stopIfTrue="1" operator="greaterThanOrEqual">
      <formula>0.5</formula>
    </cfRule>
  </conditionalFormatting>
  <conditionalFormatting sqref="AL5">
    <cfRule type="cellIs" dxfId="39608" priority="55998" stopIfTrue="1" operator="equal">
      <formula>-1</formula>
    </cfRule>
  </conditionalFormatting>
  <conditionalFormatting sqref="AL5">
    <cfRule type="cellIs" dxfId="39607" priority="55999" stopIfTrue="1" operator="lessThan">
      <formula>0.5</formula>
    </cfRule>
  </conditionalFormatting>
  <conditionalFormatting sqref="AL5">
    <cfRule type="cellIs" dxfId="39606" priority="56000" stopIfTrue="1" operator="greaterThanOrEqual">
      <formula>0.5</formula>
    </cfRule>
  </conditionalFormatting>
  <conditionalFormatting sqref="AL6">
    <cfRule type="cellIs" dxfId="39605" priority="56001" stopIfTrue="1" operator="equal">
      <formula>-1</formula>
    </cfRule>
  </conditionalFormatting>
  <conditionalFormatting sqref="AL6">
    <cfRule type="cellIs" dxfId="39604" priority="56002" stopIfTrue="1" operator="lessThan">
      <formula>0.5</formula>
    </cfRule>
  </conditionalFormatting>
  <conditionalFormatting sqref="AL6">
    <cfRule type="cellIs" dxfId="39603" priority="56003" stopIfTrue="1" operator="greaterThanOrEqual">
      <formula>0.5</formula>
    </cfRule>
  </conditionalFormatting>
  <conditionalFormatting sqref="AN5">
    <cfRule type="cellIs" dxfId="39602" priority="56004" stopIfTrue="1" operator="equal">
      <formula>-1</formula>
    </cfRule>
  </conditionalFormatting>
  <conditionalFormatting sqref="AN5">
    <cfRule type="cellIs" dxfId="39601" priority="56005" stopIfTrue="1" operator="lessThan">
      <formula>0.5</formula>
    </cfRule>
  </conditionalFormatting>
  <conditionalFormatting sqref="AN5">
    <cfRule type="cellIs" dxfId="39600" priority="56006" stopIfTrue="1" operator="greaterThanOrEqual">
      <formula>0.5</formula>
    </cfRule>
  </conditionalFormatting>
  <conditionalFormatting sqref="AN6">
    <cfRule type="cellIs" dxfId="39599" priority="56007" stopIfTrue="1" operator="equal">
      <formula>-1</formula>
    </cfRule>
  </conditionalFormatting>
  <conditionalFormatting sqref="AN6">
    <cfRule type="cellIs" dxfId="39598" priority="56008" stopIfTrue="1" operator="lessThan">
      <formula>0.5</formula>
    </cfRule>
  </conditionalFormatting>
  <conditionalFormatting sqref="AN6">
    <cfRule type="cellIs" dxfId="39597" priority="56009" stopIfTrue="1" operator="greaterThanOrEqual">
      <formula>0.5</formula>
    </cfRule>
  </conditionalFormatting>
  <conditionalFormatting sqref="AP5">
    <cfRule type="cellIs" dxfId="39596" priority="56010" stopIfTrue="1" operator="equal">
      <formula>-1</formula>
    </cfRule>
  </conditionalFormatting>
  <conditionalFormatting sqref="AP5">
    <cfRule type="cellIs" dxfId="39595" priority="56011" stopIfTrue="1" operator="lessThan">
      <formula>0.5</formula>
    </cfRule>
  </conditionalFormatting>
  <conditionalFormatting sqref="AP5">
    <cfRule type="cellIs" dxfId="39594" priority="56012" stopIfTrue="1" operator="greaterThanOrEqual">
      <formula>0.5</formula>
    </cfRule>
  </conditionalFormatting>
  <conditionalFormatting sqref="AP6">
    <cfRule type="cellIs" dxfId="39593" priority="56013" stopIfTrue="1" operator="equal">
      <formula>-1</formula>
    </cfRule>
  </conditionalFormatting>
  <conditionalFormatting sqref="AP6">
    <cfRule type="cellIs" dxfId="39592" priority="56014" stopIfTrue="1" operator="lessThan">
      <formula>0.5</formula>
    </cfRule>
  </conditionalFormatting>
  <conditionalFormatting sqref="AP6">
    <cfRule type="cellIs" dxfId="39591" priority="56015" stopIfTrue="1" operator="greaterThanOrEqual">
      <formula>0.5</formula>
    </cfRule>
  </conditionalFormatting>
  <conditionalFormatting sqref="AR5">
    <cfRule type="cellIs" dxfId="39590" priority="56016" stopIfTrue="1" operator="equal">
      <formula>-1</formula>
    </cfRule>
  </conditionalFormatting>
  <conditionalFormatting sqref="AR5">
    <cfRule type="cellIs" dxfId="39589" priority="56017" stopIfTrue="1" operator="lessThan">
      <formula>0.5</formula>
    </cfRule>
  </conditionalFormatting>
  <conditionalFormatting sqref="AR5">
    <cfRule type="cellIs" dxfId="39588" priority="56018" stopIfTrue="1" operator="greaterThanOrEqual">
      <formula>0.5</formula>
    </cfRule>
  </conditionalFormatting>
  <conditionalFormatting sqref="AR6">
    <cfRule type="cellIs" dxfId="39587" priority="56019" stopIfTrue="1" operator="equal">
      <formula>-1</formula>
    </cfRule>
  </conditionalFormatting>
  <conditionalFormatting sqref="AR6">
    <cfRule type="cellIs" dxfId="39586" priority="56020" stopIfTrue="1" operator="lessThan">
      <formula>0.5</formula>
    </cfRule>
  </conditionalFormatting>
  <conditionalFormatting sqref="AR6">
    <cfRule type="cellIs" dxfId="39585" priority="56021" stopIfTrue="1" operator="greaterThanOrEqual">
      <formula>0.5</formula>
    </cfRule>
  </conditionalFormatting>
  <conditionalFormatting sqref="AT5">
    <cfRule type="cellIs" dxfId="39584" priority="56022" stopIfTrue="1" operator="equal">
      <formula>-1</formula>
    </cfRule>
  </conditionalFormatting>
  <conditionalFormatting sqref="AT5">
    <cfRule type="cellIs" dxfId="39583" priority="56023" stopIfTrue="1" operator="lessThan">
      <formula>0.5</formula>
    </cfRule>
  </conditionalFormatting>
  <conditionalFormatting sqref="AT5">
    <cfRule type="cellIs" dxfId="39582" priority="56024" stopIfTrue="1" operator="greaterThanOrEqual">
      <formula>0.5</formula>
    </cfRule>
  </conditionalFormatting>
  <conditionalFormatting sqref="AT6">
    <cfRule type="cellIs" dxfId="39581" priority="56025" stopIfTrue="1" operator="equal">
      <formula>-1</formula>
    </cfRule>
  </conditionalFormatting>
  <conditionalFormatting sqref="AT6">
    <cfRule type="cellIs" dxfId="39580" priority="56026" stopIfTrue="1" operator="lessThan">
      <formula>0.5</formula>
    </cfRule>
  </conditionalFormatting>
  <conditionalFormatting sqref="AT6">
    <cfRule type="cellIs" dxfId="39579" priority="56027" stopIfTrue="1" operator="greaterThanOrEqual">
      <formula>0.5</formula>
    </cfRule>
  </conditionalFormatting>
  <conditionalFormatting sqref="AV5">
    <cfRule type="cellIs" dxfId="39578" priority="56028" stopIfTrue="1" operator="equal">
      <formula>-1</formula>
    </cfRule>
  </conditionalFormatting>
  <conditionalFormatting sqref="AV5">
    <cfRule type="cellIs" dxfId="39577" priority="56029" stopIfTrue="1" operator="lessThan">
      <formula>0.5</formula>
    </cfRule>
  </conditionalFormatting>
  <conditionalFormatting sqref="AV5">
    <cfRule type="cellIs" dxfId="39576" priority="56030" stopIfTrue="1" operator="greaterThanOrEqual">
      <formula>0.5</formula>
    </cfRule>
  </conditionalFormatting>
  <conditionalFormatting sqref="AV6">
    <cfRule type="cellIs" dxfId="39575" priority="56031" stopIfTrue="1" operator="equal">
      <formula>-1</formula>
    </cfRule>
  </conditionalFormatting>
  <conditionalFormatting sqref="AV6">
    <cfRule type="cellIs" dxfId="39574" priority="56032" stopIfTrue="1" operator="lessThan">
      <formula>0.5</formula>
    </cfRule>
  </conditionalFormatting>
  <conditionalFormatting sqref="AV6">
    <cfRule type="cellIs" dxfId="39573" priority="56033" stopIfTrue="1" operator="greaterThanOrEqual">
      <formula>0.5</formula>
    </cfRule>
  </conditionalFormatting>
  <conditionalFormatting sqref="AX5">
    <cfRule type="cellIs" dxfId="39572" priority="56034" stopIfTrue="1" operator="equal">
      <formula>-1</formula>
    </cfRule>
  </conditionalFormatting>
  <conditionalFormatting sqref="AX5">
    <cfRule type="cellIs" dxfId="39571" priority="56035" stopIfTrue="1" operator="lessThan">
      <formula>0.5</formula>
    </cfRule>
  </conditionalFormatting>
  <conditionalFormatting sqref="AX5">
    <cfRule type="cellIs" dxfId="39570" priority="56036" stopIfTrue="1" operator="greaterThanOrEqual">
      <formula>0.5</formula>
    </cfRule>
  </conditionalFormatting>
  <conditionalFormatting sqref="AX6">
    <cfRule type="cellIs" dxfId="39569" priority="56037" stopIfTrue="1" operator="equal">
      <formula>-1</formula>
    </cfRule>
  </conditionalFormatting>
  <conditionalFormatting sqref="AX6">
    <cfRule type="cellIs" dxfId="39568" priority="56038" stopIfTrue="1" operator="lessThan">
      <formula>0.5</formula>
    </cfRule>
  </conditionalFormatting>
  <conditionalFormatting sqref="AX6">
    <cfRule type="cellIs" dxfId="39567" priority="56039" stopIfTrue="1" operator="greaterThanOrEqual">
      <formula>0.5</formula>
    </cfRule>
  </conditionalFormatting>
  <conditionalFormatting sqref="AZ5">
    <cfRule type="cellIs" dxfId="39566" priority="56040" stopIfTrue="1" operator="equal">
      <formula>-1</formula>
    </cfRule>
  </conditionalFormatting>
  <conditionalFormatting sqref="AZ5">
    <cfRule type="cellIs" dxfId="39565" priority="56041" stopIfTrue="1" operator="lessThan">
      <formula>0.5</formula>
    </cfRule>
  </conditionalFormatting>
  <conditionalFormatting sqref="AZ5">
    <cfRule type="cellIs" dxfId="39564" priority="56042" stopIfTrue="1" operator="greaterThanOrEqual">
      <formula>0.5</formula>
    </cfRule>
  </conditionalFormatting>
  <conditionalFormatting sqref="AZ6">
    <cfRule type="cellIs" dxfId="39563" priority="56043" stopIfTrue="1" operator="equal">
      <formula>-1</formula>
    </cfRule>
  </conditionalFormatting>
  <conditionalFormatting sqref="AZ6">
    <cfRule type="cellIs" dxfId="39562" priority="56044" stopIfTrue="1" operator="lessThan">
      <formula>0.5</formula>
    </cfRule>
  </conditionalFormatting>
  <conditionalFormatting sqref="AZ6">
    <cfRule type="cellIs" dxfId="39561" priority="56045" stopIfTrue="1" operator="greaterThanOrEqual">
      <formula>0.5</formula>
    </cfRule>
  </conditionalFormatting>
  <conditionalFormatting sqref="BB5">
    <cfRule type="cellIs" dxfId="39560" priority="56046" stopIfTrue="1" operator="equal">
      <formula>-1</formula>
    </cfRule>
  </conditionalFormatting>
  <conditionalFormatting sqref="BB5">
    <cfRule type="cellIs" dxfId="39559" priority="56047" stopIfTrue="1" operator="lessThan">
      <formula>0.5</formula>
    </cfRule>
  </conditionalFormatting>
  <conditionalFormatting sqref="BB5">
    <cfRule type="cellIs" dxfId="39558" priority="56048" stopIfTrue="1" operator="greaterThanOrEqual">
      <formula>0.5</formula>
    </cfRule>
  </conditionalFormatting>
  <conditionalFormatting sqref="BB6">
    <cfRule type="cellIs" dxfId="39557" priority="56049" stopIfTrue="1" operator="equal">
      <formula>-1</formula>
    </cfRule>
  </conditionalFormatting>
  <conditionalFormatting sqref="BB6">
    <cfRule type="cellIs" dxfId="39556" priority="56050" stopIfTrue="1" operator="lessThan">
      <formula>0.5</formula>
    </cfRule>
  </conditionalFormatting>
  <conditionalFormatting sqref="BB6">
    <cfRule type="cellIs" dxfId="39555" priority="56051" stopIfTrue="1" operator="greaterThanOrEqual">
      <formula>0.5</formula>
    </cfRule>
  </conditionalFormatting>
  <conditionalFormatting sqref="BD5">
    <cfRule type="cellIs" dxfId="39554" priority="56052" stopIfTrue="1" operator="equal">
      <formula>-1</formula>
    </cfRule>
  </conditionalFormatting>
  <conditionalFormatting sqref="BD5">
    <cfRule type="cellIs" dxfId="39553" priority="56053" stopIfTrue="1" operator="lessThan">
      <formula>0.5</formula>
    </cfRule>
  </conditionalFormatting>
  <conditionalFormatting sqref="BD5">
    <cfRule type="cellIs" dxfId="39552" priority="56054" stopIfTrue="1" operator="greaterThanOrEqual">
      <formula>0.5</formula>
    </cfRule>
  </conditionalFormatting>
  <conditionalFormatting sqref="BD6">
    <cfRule type="cellIs" dxfId="39551" priority="56055" stopIfTrue="1" operator="equal">
      <formula>-1</formula>
    </cfRule>
  </conditionalFormatting>
  <conditionalFormatting sqref="BD6">
    <cfRule type="cellIs" dxfId="39550" priority="56056" stopIfTrue="1" operator="lessThan">
      <formula>0.5</formula>
    </cfRule>
  </conditionalFormatting>
  <conditionalFormatting sqref="BD6">
    <cfRule type="cellIs" dxfId="39549" priority="56057" stopIfTrue="1" operator="greaterThanOrEqual">
      <formula>0.5</formula>
    </cfRule>
  </conditionalFormatting>
  <conditionalFormatting sqref="BF5">
    <cfRule type="cellIs" dxfId="39548" priority="56058" stopIfTrue="1" operator="equal">
      <formula>-1</formula>
    </cfRule>
  </conditionalFormatting>
  <conditionalFormatting sqref="BF5">
    <cfRule type="cellIs" dxfId="39547" priority="56059" stopIfTrue="1" operator="lessThan">
      <formula>0.5</formula>
    </cfRule>
  </conditionalFormatting>
  <conditionalFormatting sqref="BF5">
    <cfRule type="cellIs" dxfId="39546" priority="56060" stopIfTrue="1" operator="greaterThanOrEqual">
      <formula>0.5</formula>
    </cfRule>
  </conditionalFormatting>
  <conditionalFormatting sqref="BF6">
    <cfRule type="cellIs" dxfId="39545" priority="56061" stopIfTrue="1" operator="equal">
      <formula>-1</formula>
    </cfRule>
  </conditionalFormatting>
  <conditionalFormatting sqref="BF6">
    <cfRule type="cellIs" dxfId="39544" priority="56062" stopIfTrue="1" operator="lessThan">
      <formula>0.5</formula>
    </cfRule>
  </conditionalFormatting>
  <conditionalFormatting sqref="BF6">
    <cfRule type="cellIs" dxfId="39543" priority="56063" stopIfTrue="1" operator="greaterThanOrEqual">
      <formula>0.5</formula>
    </cfRule>
  </conditionalFormatting>
  <conditionalFormatting sqref="BH5">
    <cfRule type="cellIs" dxfId="39542" priority="56064" stopIfTrue="1" operator="equal">
      <formula>-1</formula>
    </cfRule>
  </conditionalFormatting>
  <conditionalFormatting sqref="BH5">
    <cfRule type="cellIs" dxfId="39541" priority="56065" stopIfTrue="1" operator="lessThan">
      <formula>0.5</formula>
    </cfRule>
  </conditionalFormatting>
  <conditionalFormatting sqref="BH5">
    <cfRule type="cellIs" dxfId="39540" priority="56066" stopIfTrue="1" operator="greaterThanOrEqual">
      <formula>0.5</formula>
    </cfRule>
  </conditionalFormatting>
  <conditionalFormatting sqref="BH6">
    <cfRule type="cellIs" dxfId="39539" priority="56067" stopIfTrue="1" operator="equal">
      <formula>-1</formula>
    </cfRule>
  </conditionalFormatting>
  <conditionalFormatting sqref="BH6">
    <cfRule type="cellIs" dxfId="39538" priority="56068" stopIfTrue="1" operator="lessThan">
      <formula>0.5</formula>
    </cfRule>
  </conditionalFormatting>
  <conditionalFormatting sqref="BH6">
    <cfRule type="cellIs" dxfId="39537" priority="56069" stopIfTrue="1" operator="greaterThanOrEqual">
      <formula>0.5</formula>
    </cfRule>
  </conditionalFormatting>
  <conditionalFormatting sqref="BJ5">
    <cfRule type="cellIs" dxfId="39536" priority="56070" stopIfTrue="1" operator="equal">
      <formula>-1</formula>
    </cfRule>
  </conditionalFormatting>
  <conditionalFormatting sqref="BJ5">
    <cfRule type="cellIs" dxfId="39535" priority="56071" stopIfTrue="1" operator="lessThan">
      <formula>0.5</formula>
    </cfRule>
  </conditionalFormatting>
  <conditionalFormatting sqref="BJ5">
    <cfRule type="cellIs" dxfId="39534" priority="56072" stopIfTrue="1" operator="greaterThanOrEqual">
      <formula>0.5</formula>
    </cfRule>
  </conditionalFormatting>
  <conditionalFormatting sqref="BJ6">
    <cfRule type="cellIs" dxfId="39533" priority="56073" stopIfTrue="1" operator="equal">
      <formula>-1</formula>
    </cfRule>
  </conditionalFormatting>
  <conditionalFormatting sqref="BJ6">
    <cfRule type="cellIs" dxfId="39532" priority="56074" stopIfTrue="1" operator="lessThan">
      <formula>0.5</formula>
    </cfRule>
  </conditionalFormatting>
  <conditionalFormatting sqref="BJ6">
    <cfRule type="cellIs" dxfId="39531" priority="56075" stopIfTrue="1" operator="greaterThanOrEqual">
      <formula>0.5</formula>
    </cfRule>
  </conditionalFormatting>
  <conditionalFormatting sqref="D8">
    <cfRule type="cellIs" dxfId="39530" priority="56076" stopIfTrue="1" operator="equal">
      <formula>-1</formula>
    </cfRule>
  </conditionalFormatting>
  <conditionalFormatting sqref="D8">
    <cfRule type="cellIs" dxfId="39529" priority="56077" stopIfTrue="1" operator="lessThan">
      <formula>0.5</formula>
    </cfRule>
  </conditionalFormatting>
  <conditionalFormatting sqref="D8">
    <cfRule type="cellIs" dxfId="39528" priority="56078" stopIfTrue="1" operator="greaterThanOrEqual">
      <formula>0.5</formula>
    </cfRule>
  </conditionalFormatting>
  <conditionalFormatting sqref="D9">
    <cfRule type="cellIs" dxfId="39527" priority="56079" stopIfTrue="1" operator="equal">
      <formula>-1</formula>
    </cfRule>
  </conditionalFormatting>
  <conditionalFormatting sqref="D9">
    <cfRule type="cellIs" dxfId="39526" priority="56080" stopIfTrue="1" operator="lessThan">
      <formula>0.5</formula>
    </cfRule>
  </conditionalFormatting>
  <conditionalFormatting sqref="D9">
    <cfRule type="cellIs" dxfId="39525" priority="56081" stopIfTrue="1" operator="greaterThanOrEqual">
      <formula>0.5</formula>
    </cfRule>
  </conditionalFormatting>
  <conditionalFormatting sqref="D10">
    <cfRule type="cellIs" dxfId="39524" priority="56082" stopIfTrue="1" operator="equal">
      <formula>-1</formula>
    </cfRule>
  </conditionalFormatting>
  <conditionalFormatting sqref="D10">
    <cfRule type="cellIs" dxfId="39523" priority="56083" stopIfTrue="1" operator="lessThan">
      <formula>0.5</formula>
    </cfRule>
  </conditionalFormatting>
  <conditionalFormatting sqref="D10">
    <cfRule type="cellIs" dxfId="39522" priority="56084" stopIfTrue="1" operator="greaterThanOrEqual">
      <formula>0.5</formula>
    </cfRule>
  </conditionalFormatting>
  <conditionalFormatting sqref="D11">
    <cfRule type="cellIs" dxfId="39521" priority="56085" stopIfTrue="1" operator="equal">
      <formula>-1</formula>
    </cfRule>
  </conditionalFormatting>
  <conditionalFormatting sqref="D11">
    <cfRule type="cellIs" dxfId="39520" priority="56086" stopIfTrue="1" operator="lessThan">
      <formula>0.5</formula>
    </cfRule>
  </conditionalFormatting>
  <conditionalFormatting sqref="D11">
    <cfRule type="cellIs" dxfId="39519" priority="56087" stopIfTrue="1" operator="greaterThanOrEqual">
      <formula>0.5</formula>
    </cfRule>
  </conditionalFormatting>
  <conditionalFormatting sqref="D12">
    <cfRule type="cellIs" dxfId="39518" priority="56088" stopIfTrue="1" operator="equal">
      <formula>-1</formula>
    </cfRule>
  </conditionalFormatting>
  <conditionalFormatting sqref="D12">
    <cfRule type="cellIs" dxfId="39517" priority="56089" stopIfTrue="1" operator="lessThan">
      <formula>0.5</formula>
    </cfRule>
  </conditionalFormatting>
  <conditionalFormatting sqref="D12">
    <cfRule type="cellIs" dxfId="39516" priority="56090" stopIfTrue="1" operator="greaterThanOrEqual">
      <formula>0.5</formula>
    </cfRule>
  </conditionalFormatting>
  <conditionalFormatting sqref="D13">
    <cfRule type="cellIs" dxfId="39515" priority="56091" stopIfTrue="1" operator="equal">
      <formula>-1</formula>
    </cfRule>
  </conditionalFormatting>
  <conditionalFormatting sqref="D13">
    <cfRule type="cellIs" dxfId="39514" priority="56092" stopIfTrue="1" operator="lessThan">
      <formula>0.5</formula>
    </cfRule>
  </conditionalFormatting>
  <conditionalFormatting sqref="D13">
    <cfRule type="cellIs" dxfId="39513" priority="56093" stopIfTrue="1" operator="greaterThanOrEqual">
      <formula>0.5</formula>
    </cfRule>
  </conditionalFormatting>
  <conditionalFormatting sqref="D14">
    <cfRule type="cellIs" dxfId="39512" priority="56094" stopIfTrue="1" operator="equal">
      <formula>-1</formula>
    </cfRule>
  </conditionalFormatting>
  <conditionalFormatting sqref="D14">
    <cfRule type="cellIs" dxfId="39511" priority="56095" stopIfTrue="1" operator="lessThan">
      <formula>0.5</formula>
    </cfRule>
  </conditionalFormatting>
  <conditionalFormatting sqref="D14">
    <cfRule type="cellIs" dxfId="39510" priority="56096" stopIfTrue="1" operator="greaterThanOrEqual">
      <formula>0.5</formula>
    </cfRule>
  </conditionalFormatting>
  <conditionalFormatting sqref="D15">
    <cfRule type="cellIs" dxfId="39509" priority="56097" stopIfTrue="1" operator="equal">
      <formula>-1</formula>
    </cfRule>
  </conditionalFormatting>
  <conditionalFormatting sqref="D15">
    <cfRule type="cellIs" dxfId="39508" priority="56098" stopIfTrue="1" operator="lessThan">
      <formula>0.5</formula>
    </cfRule>
  </conditionalFormatting>
  <conditionalFormatting sqref="D15">
    <cfRule type="cellIs" dxfId="39507" priority="56099" stopIfTrue="1" operator="greaterThanOrEqual">
      <formula>0.5</formula>
    </cfRule>
  </conditionalFormatting>
  <conditionalFormatting sqref="F8">
    <cfRule type="cellIs" dxfId="39506" priority="56100" stopIfTrue="1" operator="equal">
      <formula>-1</formula>
    </cfRule>
  </conditionalFormatting>
  <conditionalFormatting sqref="F8">
    <cfRule type="cellIs" dxfId="39505" priority="56101" stopIfTrue="1" operator="lessThan">
      <formula>0.5</formula>
    </cfRule>
  </conditionalFormatting>
  <conditionalFormatting sqref="F8">
    <cfRule type="cellIs" dxfId="39504" priority="56102" stopIfTrue="1" operator="greaterThanOrEqual">
      <formula>0.5</formula>
    </cfRule>
  </conditionalFormatting>
  <conditionalFormatting sqref="F9">
    <cfRule type="cellIs" dxfId="39503" priority="56103" stopIfTrue="1" operator="equal">
      <formula>-1</formula>
    </cfRule>
  </conditionalFormatting>
  <conditionalFormatting sqref="F9">
    <cfRule type="cellIs" dxfId="39502" priority="56104" stopIfTrue="1" operator="lessThan">
      <formula>0.5</formula>
    </cfRule>
  </conditionalFormatting>
  <conditionalFormatting sqref="F9">
    <cfRule type="cellIs" dxfId="39501" priority="56105" stopIfTrue="1" operator="greaterThanOrEqual">
      <formula>0.5</formula>
    </cfRule>
  </conditionalFormatting>
  <conditionalFormatting sqref="F10">
    <cfRule type="cellIs" dxfId="39500" priority="56106" stopIfTrue="1" operator="equal">
      <formula>-1</formula>
    </cfRule>
  </conditionalFormatting>
  <conditionalFormatting sqref="F10">
    <cfRule type="cellIs" dxfId="39499" priority="56107" stopIfTrue="1" operator="lessThan">
      <formula>0.5</formula>
    </cfRule>
  </conditionalFormatting>
  <conditionalFormatting sqref="F10">
    <cfRule type="cellIs" dxfId="39498" priority="56108" stopIfTrue="1" operator="greaterThanOrEqual">
      <formula>0.5</formula>
    </cfRule>
  </conditionalFormatting>
  <conditionalFormatting sqref="F11">
    <cfRule type="cellIs" dxfId="39497" priority="56109" stopIfTrue="1" operator="equal">
      <formula>-1</formula>
    </cfRule>
  </conditionalFormatting>
  <conditionalFormatting sqref="F11">
    <cfRule type="cellIs" dxfId="39496" priority="56110" stopIfTrue="1" operator="lessThan">
      <formula>0.5</formula>
    </cfRule>
  </conditionalFormatting>
  <conditionalFormatting sqref="F11">
    <cfRule type="cellIs" dxfId="39495" priority="56111" stopIfTrue="1" operator="greaterThanOrEqual">
      <formula>0.5</formula>
    </cfRule>
  </conditionalFormatting>
  <conditionalFormatting sqref="F12">
    <cfRule type="cellIs" dxfId="39494" priority="56112" stopIfTrue="1" operator="equal">
      <formula>-1</formula>
    </cfRule>
  </conditionalFormatting>
  <conditionalFormatting sqref="F12">
    <cfRule type="cellIs" dxfId="39493" priority="56113" stopIfTrue="1" operator="lessThan">
      <formula>0.5</formula>
    </cfRule>
  </conditionalFormatting>
  <conditionalFormatting sqref="F12">
    <cfRule type="cellIs" dxfId="39492" priority="56114" stopIfTrue="1" operator="greaterThanOrEqual">
      <formula>0.5</formula>
    </cfRule>
  </conditionalFormatting>
  <conditionalFormatting sqref="F13">
    <cfRule type="cellIs" dxfId="39491" priority="56115" stopIfTrue="1" operator="equal">
      <formula>-1</formula>
    </cfRule>
  </conditionalFormatting>
  <conditionalFormatting sqref="F13">
    <cfRule type="cellIs" dxfId="39490" priority="56116" stopIfTrue="1" operator="lessThan">
      <formula>0.5</formula>
    </cfRule>
  </conditionalFormatting>
  <conditionalFormatting sqref="F13">
    <cfRule type="cellIs" dxfId="39489" priority="56117" stopIfTrue="1" operator="greaterThanOrEqual">
      <formula>0.5</formula>
    </cfRule>
  </conditionalFormatting>
  <conditionalFormatting sqref="F14">
    <cfRule type="cellIs" dxfId="39488" priority="56118" stopIfTrue="1" operator="equal">
      <formula>-1</formula>
    </cfRule>
  </conditionalFormatting>
  <conditionalFormatting sqref="F14">
    <cfRule type="cellIs" dxfId="39487" priority="56119" stopIfTrue="1" operator="lessThan">
      <formula>0.5</formula>
    </cfRule>
  </conditionalFormatting>
  <conditionalFormatting sqref="F14">
    <cfRule type="cellIs" dxfId="39486" priority="56120" stopIfTrue="1" operator="greaterThanOrEqual">
      <formula>0.5</formula>
    </cfRule>
  </conditionalFormatting>
  <conditionalFormatting sqref="F15">
    <cfRule type="cellIs" dxfId="39485" priority="56121" stopIfTrue="1" operator="equal">
      <formula>-1</formula>
    </cfRule>
  </conditionalFormatting>
  <conditionalFormatting sqref="F15">
    <cfRule type="cellIs" dxfId="39484" priority="56122" stopIfTrue="1" operator="lessThan">
      <formula>0.5</formula>
    </cfRule>
  </conditionalFormatting>
  <conditionalFormatting sqref="F15">
    <cfRule type="cellIs" dxfId="39483" priority="56123" stopIfTrue="1" operator="greaterThanOrEqual">
      <formula>0.5</formula>
    </cfRule>
  </conditionalFormatting>
  <conditionalFormatting sqref="H8">
    <cfRule type="cellIs" dxfId="39482" priority="56124" stopIfTrue="1" operator="equal">
      <formula>-1</formula>
    </cfRule>
  </conditionalFormatting>
  <conditionalFormatting sqref="H8">
    <cfRule type="cellIs" dxfId="39481" priority="56125" stopIfTrue="1" operator="lessThan">
      <formula>0.5</formula>
    </cfRule>
  </conditionalFormatting>
  <conditionalFormatting sqref="H8">
    <cfRule type="cellIs" dxfId="39480" priority="56126" stopIfTrue="1" operator="greaterThanOrEqual">
      <formula>0.5</formula>
    </cfRule>
  </conditionalFormatting>
  <conditionalFormatting sqref="H9">
    <cfRule type="cellIs" dxfId="39479" priority="56127" stopIfTrue="1" operator="equal">
      <formula>-1</formula>
    </cfRule>
  </conditionalFormatting>
  <conditionalFormatting sqref="H9">
    <cfRule type="cellIs" dxfId="39478" priority="56128" stopIfTrue="1" operator="lessThan">
      <formula>0.5</formula>
    </cfRule>
  </conditionalFormatting>
  <conditionalFormatting sqref="H9">
    <cfRule type="cellIs" dxfId="39477" priority="56129" stopIfTrue="1" operator="greaterThanOrEqual">
      <formula>0.5</formula>
    </cfRule>
  </conditionalFormatting>
  <conditionalFormatting sqref="H10">
    <cfRule type="cellIs" dxfId="39476" priority="56130" stopIfTrue="1" operator="equal">
      <formula>-1</formula>
    </cfRule>
  </conditionalFormatting>
  <conditionalFormatting sqref="H10">
    <cfRule type="cellIs" dxfId="39475" priority="56131" stopIfTrue="1" operator="lessThan">
      <formula>0.5</formula>
    </cfRule>
  </conditionalFormatting>
  <conditionalFormatting sqref="H10">
    <cfRule type="cellIs" dxfId="39474" priority="56132" stopIfTrue="1" operator="greaterThanOrEqual">
      <formula>0.5</formula>
    </cfRule>
  </conditionalFormatting>
  <conditionalFormatting sqref="H11">
    <cfRule type="cellIs" dxfId="39473" priority="56133" stopIfTrue="1" operator="equal">
      <formula>-1</formula>
    </cfRule>
  </conditionalFormatting>
  <conditionalFormatting sqref="H11">
    <cfRule type="cellIs" dxfId="39472" priority="56134" stopIfTrue="1" operator="lessThan">
      <formula>0.5</formula>
    </cfRule>
  </conditionalFormatting>
  <conditionalFormatting sqref="H11">
    <cfRule type="cellIs" dxfId="39471" priority="56135" stopIfTrue="1" operator="greaterThanOrEqual">
      <formula>0.5</formula>
    </cfRule>
  </conditionalFormatting>
  <conditionalFormatting sqref="H12">
    <cfRule type="cellIs" dxfId="39470" priority="56136" stopIfTrue="1" operator="equal">
      <formula>-1</formula>
    </cfRule>
  </conditionalFormatting>
  <conditionalFormatting sqref="H12">
    <cfRule type="cellIs" dxfId="39469" priority="56137" stopIfTrue="1" operator="lessThan">
      <formula>0.5</formula>
    </cfRule>
  </conditionalFormatting>
  <conditionalFormatting sqref="H12">
    <cfRule type="cellIs" dxfId="39468" priority="56138" stopIfTrue="1" operator="greaterThanOrEqual">
      <formula>0.5</formula>
    </cfRule>
  </conditionalFormatting>
  <conditionalFormatting sqref="H13">
    <cfRule type="cellIs" dxfId="39467" priority="56139" stopIfTrue="1" operator="equal">
      <formula>-1</formula>
    </cfRule>
  </conditionalFormatting>
  <conditionalFormatting sqref="H13">
    <cfRule type="cellIs" dxfId="39466" priority="56140" stopIfTrue="1" operator="lessThan">
      <formula>0.5</formula>
    </cfRule>
  </conditionalFormatting>
  <conditionalFormatting sqref="H13">
    <cfRule type="cellIs" dxfId="39465" priority="56141" stopIfTrue="1" operator="greaterThanOrEqual">
      <formula>0.5</formula>
    </cfRule>
  </conditionalFormatting>
  <conditionalFormatting sqref="H14">
    <cfRule type="cellIs" dxfId="39464" priority="56142" stopIfTrue="1" operator="equal">
      <formula>-1</formula>
    </cfRule>
  </conditionalFormatting>
  <conditionalFormatting sqref="H14">
    <cfRule type="cellIs" dxfId="39463" priority="56143" stopIfTrue="1" operator="lessThan">
      <formula>0.5</formula>
    </cfRule>
  </conditionalFormatting>
  <conditionalFormatting sqref="H14">
    <cfRule type="cellIs" dxfId="39462" priority="56144" stopIfTrue="1" operator="greaterThanOrEqual">
      <formula>0.5</formula>
    </cfRule>
  </conditionalFormatting>
  <conditionalFormatting sqref="H15">
    <cfRule type="cellIs" dxfId="39461" priority="56145" stopIfTrue="1" operator="equal">
      <formula>-1</formula>
    </cfRule>
  </conditionalFormatting>
  <conditionalFormatting sqref="H15">
    <cfRule type="cellIs" dxfId="39460" priority="56146" stopIfTrue="1" operator="lessThan">
      <formula>0.5</formula>
    </cfRule>
  </conditionalFormatting>
  <conditionalFormatting sqref="H15">
    <cfRule type="cellIs" dxfId="39459" priority="56147" stopIfTrue="1" operator="greaterThanOrEqual">
      <formula>0.5</formula>
    </cfRule>
  </conditionalFormatting>
  <conditionalFormatting sqref="J8">
    <cfRule type="cellIs" dxfId="39458" priority="56148" stopIfTrue="1" operator="equal">
      <formula>-1</formula>
    </cfRule>
  </conditionalFormatting>
  <conditionalFormatting sqref="J8">
    <cfRule type="cellIs" dxfId="39457" priority="56149" stopIfTrue="1" operator="lessThan">
      <formula>0.5</formula>
    </cfRule>
  </conditionalFormatting>
  <conditionalFormatting sqref="J8">
    <cfRule type="cellIs" dxfId="39456" priority="56150" stopIfTrue="1" operator="greaterThanOrEqual">
      <formula>0.5</formula>
    </cfRule>
  </conditionalFormatting>
  <conditionalFormatting sqref="J9">
    <cfRule type="cellIs" dxfId="39455" priority="56151" stopIfTrue="1" operator="equal">
      <formula>-1</formula>
    </cfRule>
  </conditionalFormatting>
  <conditionalFormatting sqref="J9">
    <cfRule type="cellIs" dxfId="39454" priority="56152" stopIfTrue="1" operator="lessThan">
      <formula>0.5</formula>
    </cfRule>
  </conditionalFormatting>
  <conditionalFormatting sqref="J9">
    <cfRule type="cellIs" dxfId="39453" priority="56153" stopIfTrue="1" operator="greaterThanOrEqual">
      <formula>0.5</formula>
    </cfRule>
  </conditionalFormatting>
  <conditionalFormatting sqref="J10">
    <cfRule type="cellIs" dxfId="39452" priority="56154" stopIfTrue="1" operator="equal">
      <formula>-1</formula>
    </cfRule>
  </conditionalFormatting>
  <conditionalFormatting sqref="J10">
    <cfRule type="cellIs" dxfId="39451" priority="56155" stopIfTrue="1" operator="lessThan">
      <formula>0.5</formula>
    </cfRule>
  </conditionalFormatting>
  <conditionalFormatting sqref="J10">
    <cfRule type="cellIs" dxfId="39450" priority="56156" stopIfTrue="1" operator="greaterThanOrEqual">
      <formula>0.5</formula>
    </cfRule>
  </conditionalFormatting>
  <conditionalFormatting sqref="J11">
    <cfRule type="cellIs" dxfId="39449" priority="56157" stopIfTrue="1" operator="equal">
      <formula>-1</formula>
    </cfRule>
  </conditionalFormatting>
  <conditionalFormatting sqref="J11">
    <cfRule type="cellIs" dxfId="39448" priority="56158" stopIfTrue="1" operator="lessThan">
      <formula>0.5</formula>
    </cfRule>
  </conditionalFormatting>
  <conditionalFormatting sqref="J11">
    <cfRule type="cellIs" dxfId="39447" priority="56159" stopIfTrue="1" operator="greaterThanOrEqual">
      <formula>0.5</formula>
    </cfRule>
  </conditionalFormatting>
  <conditionalFormatting sqref="J12">
    <cfRule type="cellIs" dxfId="39446" priority="56160" stopIfTrue="1" operator="equal">
      <formula>-1</formula>
    </cfRule>
  </conditionalFormatting>
  <conditionalFormatting sqref="J12">
    <cfRule type="cellIs" dxfId="39445" priority="56161" stopIfTrue="1" operator="lessThan">
      <formula>0.5</formula>
    </cfRule>
  </conditionalFormatting>
  <conditionalFormatting sqref="J12">
    <cfRule type="cellIs" dxfId="39444" priority="56162" stopIfTrue="1" operator="greaterThanOrEqual">
      <formula>0.5</formula>
    </cfRule>
  </conditionalFormatting>
  <conditionalFormatting sqref="J13">
    <cfRule type="cellIs" dxfId="39443" priority="56163" stopIfTrue="1" operator="equal">
      <formula>-1</formula>
    </cfRule>
  </conditionalFormatting>
  <conditionalFormatting sqref="J13">
    <cfRule type="cellIs" dxfId="39442" priority="56164" stopIfTrue="1" operator="lessThan">
      <formula>0.5</formula>
    </cfRule>
  </conditionalFormatting>
  <conditionalFormatting sqref="J13">
    <cfRule type="cellIs" dxfId="39441" priority="56165" stopIfTrue="1" operator="greaterThanOrEqual">
      <formula>0.5</formula>
    </cfRule>
  </conditionalFormatting>
  <conditionalFormatting sqref="J14">
    <cfRule type="cellIs" dxfId="39440" priority="56166" stopIfTrue="1" operator="equal">
      <formula>-1</formula>
    </cfRule>
  </conditionalFormatting>
  <conditionalFormatting sqref="J14">
    <cfRule type="cellIs" dxfId="39439" priority="56167" stopIfTrue="1" operator="lessThan">
      <formula>0.5</formula>
    </cfRule>
  </conditionalFormatting>
  <conditionalFormatting sqref="J14">
    <cfRule type="cellIs" dxfId="39438" priority="56168" stopIfTrue="1" operator="greaterThanOrEqual">
      <formula>0.5</formula>
    </cfRule>
  </conditionalFormatting>
  <conditionalFormatting sqref="J15">
    <cfRule type="cellIs" dxfId="39437" priority="56169" stopIfTrue="1" operator="equal">
      <formula>-1</formula>
    </cfRule>
  </conditionalFormatting>
  <conditionalFormatting sqref="J15">
    <cfRule type="cellIs" dxfId="39436" priority="56170" stopIfTrue="1" operator="lessThan">
      <formula>0.5</formula>
    </cfRule>
  </conditionalFormatting>
  <conditionalFormatting sqref="J15">
    <cfRule type="cellIs" dxfId="39435" priority="56171" stopIfTrue="1" operator="greaterThanOrEqual">
      <formula>0.5</formula>
    </cfRule>
  </conditionalFormatting>
  <conditionalFormatting sqref="L8">
    <cfRule type="cellIs" dxfId="39434" priority="56172" stopIfTrue="1" operator="equal">
      <formula>-1</formula>
    </cfRule>
  </conditionalFormatting>
  <conditionalFormatting sqref="L8">
    <cfRule type="cellIs" dxfId="39433" priority="56173" stopIfTrue="1" operator="lessThan">
      <formula>0.5</formula>
    </cfRule>
  </conditionalFormatting>
  <conditionalFormatting sqref="L8">
    <cfRule type="cellIs" dxfId="39432" priority="56174" stopIfTrue="1" operator="greaterThanOrEqual">
      <formula>0.5</formula>
    </cfRule>
  </conditionalFormatting>
  <conditionalFormatting sqref="L9">
    <cfRule type="cellIs" dxfId="39431" priority="56175" stopIfTrue="1" operator="equal">
      <formula>-1</formula>
    </cfRule>
  </conditionalFormatting>
  <conditionalFormatting sqref="L9">
    <cfRule type="cellIs" dxfId="39430" priority="56176" stopIfTrue="1" operator="lessThan">
      <formula>0.5</formula>
    </cfRule>
  </conditionalFormatting>
  <conditionalFormatting sqref="L9">
    <cfRule type="cellIs" dxfId="39429" priority="56177" stopIfTrue="1" operator="greaterThanOrEqual">
      <formula>0.5</formula>
    </cfRule>
  </conditionalFormatting>
  <conditionalFormatting sqref="L10">
    <cfRule type="cellIs" dxfId="39428" priority="56178" stopIfTrue="1" operator="equal">
      <formula>-1</formula>
    </cfRule>
  </conditionalFormatting>
  <conditionalFormatting sqref="L10">
    <cfRule type="cellIs" dxfId="39427" priority="56179" stopIfTrue="1" operator="lessThan">
      <formula>0.5</formula>
    </cfRule>
  </conditionalFormatting>
  <conditionalFormatting sqref="L10">
    <cfRule type="cellIs" dxfId="39426" priority="56180" stopIfTrue="1" operator="greaterThanOrEqual">
      <formula>0.5</formula>
    </cfRule>
  </conditionalFormatting>
  <conditionalFormatting sqref="L11">
    <cfRule type="cellIs" dxfId="39425" priority="56181" stopIfTrue="1" operator="equal">
      <formula>-1</formula>
    </cfRule>
  </conditionalFormatting>
  <conditionalFormatting sqref="L11">
    <cfRule type="cellIs" dxfId="39424" priority="56182" stopIfTrue="1" operator="lessThan">
      <formula>0.5</formula>
    </cfRule>
  </conditionalFormatting>
  <conditionalFormatting sqref="L11">
    <cfRule type="cellIs" dxfId="39423" priority="56183" stopIfTrue="1" operator="greaterThanOrEqual">
      <formula>0.5</formula>
    </cfRule>
  </conditionalFormatting>
  <conditionalFormatting sqref="L12">
    <cfRule type="cellIs" dxfId="39422" priority="56184" stopIfTrue="1" operator="equal">
      <formula>-1</formula>
    </cfRule>
  </conditionalFormatting>
  <conditionalFormatting sqref="L12">
    <cfRule type="cellIs" dxfId="39421" priority="56185" stopIfTrue="1" operator="lessThan">
      <formula>0.5</formula>
    </cfRule>
  </conditionalFormatting>
  <conditionalFormatting sqref="L12">
    <cfRule type="cellIs" dxfId="39420" priority="56186" stopIfTrue="1" operator="greaterThanOrEqual">
      <formula>0.5</formula>
    </cfRule>
  </conditionalFormatting>
  <conditionalFormatting sqref="L13">
    <cfRule type="cellIs" dxfId="39419" priority="56187" stopIfTrue="1" operator="equal">
      <formula>-1</formula>
    </cfRule>
  </conditionalFormatting>
  <conditionalFormatting sqref="L13">
    <cfRule type="cellIs" dxfId="39418" priority="56188" stopIfTrue="1" operator="lessThan">
      <formula>0.5</formula>
    </cfRule>
  </conditionalFormatting>
  <conditionalFormatting sqref="L13">
    <cfRule type="cellIs" dxfId="39417" priority="56189" stopIfTrue="1" operator="greaterThanOrEqual">
      <formula>0.5</formula>
    </cfRule>
  </conditionalFormatting>
  <conditionalFormatting sqref="L14">
    <cfRule type="cellIs" dxfId="39416" priority="56190" stopIfTrue="1" operator="equal">
      <formula>-1</formula>
    </cfRule>
  </conditionalFormatting>
  <conditionalFormatting sqref="L14">
    <cfRule type="cellIs" dxfId="39415" priority="56191" stopIfTrue="1" operator="lessThan">
      <formula>0.5</formula>
    </cfRule>
  </conditionalFormatting>
  <conditionalFormatting sqref="L14">
    <cfRule type="cellIs" dxfId="39414" priority="56192" stopIfTrue="1" operator="greaterThanOrEqual">
      <formula>0.5</formula>
    </cfRule>
  </conditionalFormatting>
  <conditionalFormatting sqref="L15">
    <cfRule type="cellIs" dxfId="39413" priority="56193" stopIfTrue="1" operator="equal">
      <formula>-1</formula>
    </cfRule>
  </conditionalFormatting>
  <conditionalFormatting sqref="L15">
    <cfRule type="cellIs" dxfId="39412" priority="56194" stopIfTrue="1" operator="lessThan">
      <formula>0.5</formula>
    </cfRule>
  </conditionalFormatting>
  <conditionalFormatting sqref="L15">
    <cfRule type="cellIs" dxfId="39411" priority="56195" stopIfTrue="1" operator="greaterThanOrEqual">
      <formula>0.5</formula>
    </cfRule>
  </conditionalFormatting>
  <conditionalFormatting sqref="N8">
    <cfRule type="cellIs" dxfId="39410" priority="56196" stopIfTrue="1" operator="equal">
      <formula>-1</formula>
    </cfRule>
  </conditionalFormatting>
  <conditionalFormatting sqref="N8">
    <cfRule type="cellIs" dxfId="39409" priority="56197" stopIfTrue="1" operator="lessThan">
      <formula>0.5</formula>
    </cfRule>
  </conditionalFormatting>
  <conditionalFormatting sqref="N8">
    <cfRule type="cellIs" dxfId="39408" priority="56198" stopIfTrue="1" operator="greaterThanOrEqual">
      <formula>0.5</formula>
    </cfRule>
  </conditionalFormatting>
  <conditionalFormatting sqref="N9">
    <cfRule type="cellIs" dxfId="39407" priority="56199" stopIfTrue="1" operator="equal">
      <formula>-1</formula>
    </cfRule>
  </conditionalFormatting>
  <conditionalFormatting sqref="N9">
    <cfRule type="cellIs" dxfId="39406" priority="56200" stopIfTrue="1" operator="lessThan">
      <formula>0.5</formula>
    </cfRule>
  </conditionalFormatting>
  <conditionalFormatting sqref="N9">
    <cfRule type="cellIs" dxfId="39405" priority="56201" stopIfTrue="1" operator="greaterThanOrEqual">
      <formula>0.5</formula>
    </cfRule>
  </conditionalFormatting>
  <conditionalFormatting sqref="N10">
    <cfRule type="cellIs" dxfId="39404" priority="56202" stopIfTrue="1" operator="equal">
      <formula>-1</formula>
    </cfRule>
  </conditionalFormatting>
  <conditionalFormatting sqref="N10">
    <cfRule type="cellIs" dxfId="39403" priority="56203" stopIfTrue="1" operator="lessThan">
      <formula>0.5</formula>
    </cfRule>
  </conditionalFormatting>
  <conditionalFormatting sqref="N10">
    <cfRule type="cellIs" dxfId="39402" priority="56204" stopIfTrue="1" operator="greaterThanOrEqual">
      <formula>0.5</formula>
    </cfRule>
  </conditionalFormatting>
  <conditionalFormatting sqref="N11">
    <cfRule type="cellIs" dxfId="39401" priority="56205" stopIfTrue="1" operator="equal">
      <formula>-1</formula>
    </cfRule>
  </conditionalFormatting>
  <conditionalFormatting sqref="N11">
    <cfRule type="cellIs" dxfId="39400" priority="56206" stopIfTrue="1" operator="lessThan">
      <formula>0.5</formula>
    </cfRule>
  </conditionalFormatting>
  <conditionalFormatting sqref="N11">
    <cfRule type="cellIs" dxfId="39399" priority="56207" stopIfTrue="1" operator="greaterThanOrEqual">
      <formula>0.5</formula>
    </cfRule>
  </conditionalFormatting>
  <conditionalFormatting sqref="N12">
    <cfRule type="cellIs" dxfId="39398" priority="56208" stopIfTrue="1" operator="equal">
      <formula>-1</formula>
    </cfRule>
  </conditionalFormatting>
  <conditionalFormatting sqref="N12">
    <cfRule type="cellIs" dxfId="39397" priority="56209" stopIfTrue="1" operator="lessThan">
      <formula>0.5</formula>
    </cfRule>
  </conditionalFormatting>
  <conditionalFormatting sqref="N12">
    <cfRule type="cellIs" dxfId="39396" priority="56210" stopIfTrue="1" operator="greaterThanOrEqual">
      <formula>0.5</formula>
    </cfRule>
  </conditionalFormatting>
  <conditionalFormatting sqref="N13">
    <cfRule type="cellIs" dxfId="39395" priority="56211" stopIfTrue="1" operator="equal">
      <formula>-1</formula>
    </cfRule>
  </conditionalFormatting>
  <conditionalFormatting sqref="N13">
    <cfRule type="cellIs" dxfId="39394" priority="56212" stopIfTrue="1" operator="lessThan">
      <formula>0.5</formula>
    </cfRule>
  </conditionalFormatting>
  <conditionalFormatting sqref="N13">
    <cfRule type="cellIs" dxfId="39393" priority="56213" stopIfTrue="1" operator="greaterThanOrEqual">
      <formula>0.5</formula>
    </cfRule>
  </conditionalFormatting>
  <conditionalFormatting sqref="N14">
    <cfRule type="cellIs" dxfId="39392" priority="56214" stopIfTrue="1" operator="equal">
      <formula>-1</formula>
    </cfRule>
  </conditionalFormatting>
  <conditionalFormatting sqref="N14">
    <cfRule type="cellIs" dxfId="39391" priority="56215" stopIfTrue="1" operator="lessThan">
      <formula>0.5</formula>
    </cfRule>
  </conditionalFormatting>
  <conditionalFormatting sqref="N14">
    <cfRule type="cellIs" dxfId="39390" priority="56216" stopIfTrue="1" operator="greaterThanOrEqual">
      <formula>0.5</formula>
    </cfRule>
  </conditionalFormatting>
  <conditionalFormatting sqref="N15">
    <cfRule type="cellIs" dxfId="39389" priority="56217" stopIfTrue="1" operator="equal">
      <formula>-1</formula>
    </cfRule>
  </conditionalFormatting>
  <conditionalFormatting sqref="N15">
    <cfRule type="cellIs" dxfId="39388" priority="56218" stopIfTrue="1" operator="lessThan">
      <formula>0.5</formula>
    </cfRule>
  </conditionalFormatting>
  <conditionalFormatting sqref="N15">
    <cfRule type="cellIs" dxfId="39387" priority="56219" stopIfTrue="1" operator="greaterThanOrEqual">
      <formula>0.5</formula>
    </cfRule>
  </conditionalFormatting>
  <conditionalFormatting sqref="P8">
    <cfRule type="cellIs" dxfId="39386" priority="56220" stopIfTrue="1" operator="equal">
      <formula>-1</formula>
    </cfRule>
  </conditionalFormatting>
  <conditionalFormatting sqref="P8">
    <cfRule type="cellIs" dxfId="39385" priority="56221" stopIfTrue="1" operator="lessThan">
      <formula>0.5</formula>
    </cfRule>
  </conditionalFormatting>
  <conditionalFormatting sqref="P8">
    <cfRule type="cellIs" dxfId="39384" priority="56222" stopIfTrue="1" operator="greaterThanOrEqual">
      <formula>0.5</formula>
    </cfRule>
  </conditionalFormatting>
  <conditionalFormatting sqref="P9">
    <cfRule type="cellIs" dxfId="39383" priority="56223" stopIfTrue="1" operator="equal">
      <formula>-1</formula>
    </cfRule>
  </conditionalFormatting>
  <conditionalFormatting sqref="P9">
    <cfRule type="cellIs" dxfId="39382" priority="56224" stopIfTrue="1" operator="lessThan">
      <formula>0.5</formula>
    </cfRule>
  </conditionalFormatting>
  <conditionalFormatting sqref="P9">
    <cfRule type="cellIs" dxfId="39381" priority="56225" stopIfTrue="1" operator="greaterThanOrEqual">
      <formula>0.5</formula>
    </cfRule>
  </conditionalFormatting>
  <conditionalFormatting sqref="P10">
    <cfRule type="cellIs" dxfId="39380" priority="56226" stopIfTrue="1" operator="equal">
      <formula>-1</formula>
    </cfRule>
  </conditionalFormatting>
  <conditionalFormatting sqref="P10">
    <cfRule type="cellIs" dxfId="39379" priority="56227" stopIfTrue="1" operator="lessThan">
      <formula>0.5</formula>
    </cfRule>
  </conditionalFormatting>
  <conditionalFormatting sqref="P10">
    <cfRule type="cellIs" dxfId="39378" priority="56228" stopIfTrue="1" operator="greaterThanOrEqual">
      <formula>0.5</formula>
    </cfRule>
  </conditionalFormatting>
  <conditionalFormatting sqref="P11">
    <cfRule type="cellIs" dxfId="39377" priority="56229" stopIfTrue="1" operator="equal">
      <formula>-1</formula>
    </cfRule>
  </conditionalFormatting>
  <conditionalFormatting sqref="P11">
    <cfRule type="cellIs" dxfId="39376" priority="56230" stopIfTrue="1" operator="lessThan">
      <formula>0.5</formula>
    </cfRule>
  </conditionalFormatting>
  <conditionalFormatting sqref="P11">
    <cfRule type="cellIs" dxfId="39375" priority="56231" stopIfTrue="1" operator="greaterThanOrEqual">
      <formula>0.5</formula>
    </cfRule>
  </conditionalFormatting>
  <conditionalFormatting sqref="P12">
    <cfRule type="cellIs" dxfId="39374" priority="56232" stopIfTrue="1" operator="equal">
      <formula>-1</formula>
    </cfRule>
  </conditionalFormatting>
  <conditionalFormatting sqref="P12">
    <cfRule type="cellIs" dxfId="39373" priority="56233" stopIfTrue="1" operator="lessThan">
      <formula>0.5</formula>
    </cfRule>
  </conditionalFormatting>
  <conditionalFormatting sqref="P12">
    <cfRule type="cellIs" dxfId="39372" priority="56234" stopIfTrue="1" operator="greaterThanOrEqual">
      <formula>0.5</formula>
    </cfRule>
  </conditionalFormatting>
  <conditionalFormatting sqref="P13">
    <cfRule type="cellIs" dxfId="39371" priority="56235" stopIfTrue="1" operator="equal">
      <formula>-1</formula>
    </cfRule>
  </conditionalFormatting>
  <conditionalFormatting sqref="P13">
    <cfRule type="cellIs" dxfId="39370" priority="56236" stopIfTrue="1" operator="lessThan">
      <formula>0.5</formula>
    </cfRule>
  </conditionalFormatting>
  <conditionalFormatting sqref="P13">
    <cfRule type="cellIs" dxfId="39369" priority="56237" stopIfTrue="1" operator="greaterThanOrEqual">
      <formula>0.5</formula>
    </cfRule>
  </conditionalFormatting>
  <conditionalFormatting sqref="P14">
    <cfRule type="cellIs" dxfId="39368" priority="56238" stopIfTrue="1" operator="equal">
      <formula>-1</formula>
    </cfRule>
  </conditionalFormatting>
  <conditionalFormatting sqref="P14">
    <cfRule type="cellIs" dxfId="39367" priority="56239" stopIfTrue="1" operator="lessThan">
      <formula>0.5</formula>
    </cfRule>
  </conditionalFormatting>
  <conditionalFormatting sqref="P14">
    <cfRule type="cellIs" dxfId="39366" priority="56240" stopIfTrue="1" operator="greaterThanOrEqual">
      <formula>0.5</formula>
    </cfRule>
  </conditionalFormatting>
  <conditionalFormatting sqref="P15">
    <cfRule type="cellIs" dxfId="39365" priority="56241" stopIfTrue="1" operator="equal">
      <formula>-1</formula>
    </cfRule>
  </conditionalFormatting>
  <conditionalFormatting sqref="P15">
    <cfRule type="cellIs" dxfId="39364" priority="56242" stopIfTrue="1" operator="lessThan">
      <formula>0.5</formula>
    </cfRule>
  </conditionalFormatting>
  <conditionalFormatting sqref="P15">
    <cfRule type="cellIs" dxfId="39363" priority="56243" stopIfTrue="1" operator="greaterThanOrEqual">
      <formula>0.5</formula>
    </cfRule>
  </conditionalFormatting>
  <conditionalFormatting sqref="R8">
    <cfRule type="cellIs" dxfId="39362" priority="56244" stopIfTrue="1" operator="equal">
      <formula>-1</formula>
    </cfRule>
  </conditionalFormatting>
  <conditionalFormatting sqref="R8">
    <cfRule type="cellIs" dxfId="39361" priority="56245" stopIfTrue="1" operator="lessThan">
      <formula>0.5</formula>
    </cfRule>
  </conditionalFormatting>
  <conditionalFormatting sqref="R8">
    <cfRule type="cellIs" dxfId="39360" priority="56246" stopIfTrue="1" operator="greaterThanOrEqual">
      <formula>0.5</formula>
    </cfRule>
  </conditionalFormatting>
  <conditionalFormatting sqref="R9">
    <cfRule type="cellIs" dxfId="39359" priority="56247" stopIfTrue="1" operator="equal">
      <formula>-1</formula>
    </cfRule>
  </conditionalFormatting>
  <conditionalFormatting sqref="R9">
    <cfRule type="cellIs" dxfId="39358" priority="56248" stopIfTrue="1" operator="lessThan">
      <formula>0.5</formula>
    </cfRule>
  </conditionalFormatting>
  <conditionalFormatting sqref="R9">
    <cfRule type="cellIs" dxfId="39357" priority="56249" stopIfTrue="1" operator="greaterThanOrEqual">
      <formula>0.5</formula>
    </cfRule>
  </conditionalFormatting>
  <conditionalFormatting sqref="R10">
    <cfRule type="cellIs" dxfId="39356" priority="56250" stopIfTrue="1" operator="equal">
      <formula>-1</formula>
    </cfRule>
  </conditionalFormatting>
  <conditionalFormatting sqref="R10">
    <cfRule type="cellIs" dxfId="39355" priority="56251" stopIfTrue="1" operator="lessThan">
      <formula>0.5</formula>
    </cfRule>
  </conditionalFormatting>
  <conditionalFormatting sqref="R10">
    <cfRule type="cellIs" dxfId="39354" priority="56252" stopIfTrue="1" operator="greaterThanOrEqual">
      <formula>0.5</formula>
    </cfRule>
  </conditionalFormatting>
  <conditionalFormatting sqref="R11">
    <cfRule type="cellIs" dxfId="39353" priority="56253" stopIfTrue="1" operator="equal">
      <formula>-1</formula>
    </cfRule>
  </conditionalFormatting>
  <conditionalFormatting sqref="R11">
    <cfRule type="cellIs" dxfId="39352" priority="56254" stopIfTrue="1" operator="lessThan">
      <formula>0.5</formula>
    </cfRule>
  </conditionalFormatting>
  <conditionalFormatting sqref="R11">
    <cfRule type="cellIs" dxfId="39351" priority="56255" stopIfTrue="1" operator="greaterThanOrEqual">
      <formula>0.5</formula>
    </cfRule>
  </conditionalFormatting>
  <conditionalFormatting sqref="R12">
    <cfRule type="cellIs" dxfId="39350" priority="56256" stopIfTrue="1" operator="equal">
      <formula>-1</formula>
    </cfRule>
  </conditionalFormatting>
  <conditionalFormatting sqref="R12">
    <cfRule type="cellIs" dxfId="39349" priority="56257" stopIfTrue="1" operator="lessThan">
      <formula>0.5</formula>
    </cfRule>
  </conditionalFormatting>
  <conditionalFormatting sqref="R12">
    <cfRule type="cellIs" dxfId="39348" priority="56258" stopIfTrue="1" operator="greaterThanOrEqual">
      <formula>0.5</formula>
    </cfRule>
  </conditionalFormatting>
  <conditionalFormatting sqref="R13">
    <cfRule type="cellIs" dxfId="39347" priority="56259" stopIfTrue="1" operator="equal">
      <formula>-1</formula>
    </cfRule>
  </conditionalFormatting>
  <conditionalFormatting sqref="R13">
    <cfRule type="cellIs" dxfId="39346" priority="56260" stopIfTrue="1" operator="lessThan">
      <formula>0.5</formula>
    </cfRule>
  </conditionalFormatting>
  <conditionalFormatting sqref="R13">
    <cfRule type="cellIs" dxfId="39345" priority="56261" stopIfTrue="1" operator="greaterThanOrEqual">
      <formula>0.5</formula>
    </cfRule>
  </conditionalFormatting>
  <conditionalFormatting sqref="R14">
    <cfRule type="cellIs" dxfId="39344" priority="56262" stopIfTrue="1" operator="equal">
      <formula>-1</formula>
    </cfRule>
  </conditionalFormatting>
  <conditionalFormatting sqref="R14">
    <cfRule type="cellIs" dxfId="39343" priority="56263" stopIfTrue="1" operator="lessThan">
      <formula>0.5</formula>
    </cfRule>
  </conditionalFormatting>
  <conditionalFormatting sqref="R14">
    <cfRule type="cellIs" dxfId="39342" priority="56264" stopIfTrue="1" operator="greaterThanOrEqual">
      <formula>0.5</formula>
    </cfRule>
  </conditionalFormatting>
  <conditionalFormatting sqref="R15">
    <cfRule type="cellIs" dxfId="39341" priority="56265" stopIfTrue="1" operator="equal">
      <formula>-1</formula>
    </cfRule>
  </conditionalFormatting>
  <conditionalFormatting sqref="R15">
    <cfRule type="cellIs" dxfId="39340" priority="56266" stopIfTrue="1" operator="lessThan">
      <formula>0.5</formula>
    </cfRule>
  </conditionalFormatting>
  <conditionalFormatting sqref="R15">
    <cfRule type="cellIs" dxfId="39339" priority="56267" stopIfTrue="1" operator="greaterThanOrEqual">
      <formula>0.5</formula>
    </cfRule>
  </conditionalFormatting>
  <conditionalFormatting sqref="T8">
    <cfRule type="cellIs" dxfId="39338" priority="56268" stopIfTrue="1" operator="equal">
      <formula>-1</formula>
    </cfRule>
  </conditionalFormatting>
  <conditionalFormatting sqref="T8">
    <cfRule type="cellIs" dxfId="39337" priority="56269" stopIfTrue="1" operator="lessThan">
      <formula>0.5</formula>
    </cfRule>
  </conditionalFormatting>
  <conditionalFormatting sqref="T8">
    <cfRule type="cellIs" dxfId="39336" priority="56270" stopIfTrue="1" operator="greaterThanOrEqual">
      <formula>0.5</formula>
    </cfRule>
  </conditionalFormatting>
  <conditionalFormatting sqref="T9">
    <cfRule type="cellIs" dxfId="39335" priority="56271" stopIfTrue="1" operator="equal">
      <formula>-1</formula>
    </cfRule>
  </conditionalFormatting>
  <conditionalFormatting sqref="T9">
    <cfRule type="cellIs" dxfId="39334" priority="56272" stopIfTrue="1" operator="lessThan">
      <formula>0.5</formula>
    </cfRule>
  </conditionalFormatting>
  <conditionalFormatting sqref="T9">
    <cfRule type="cellIs" dxfId="39333" priority="56273" stopIfTrue="1" operator="greaterThanOrEqual">
      <formula>0.5</formula>
    </cfRule>
  </conditionalFormatting>
  <conditionalFormatting sqref="T10">
    <cfRule type="cellIs" dxfId="39332" priority="56274" stopIfTrue="1" operator="equal">
      <formula>-1</formula>
    </cfRule>
  </conditionalFormatting>
  <conditionalFormatting sqref="T10">
    <cfRule type="cellIs" dxfId="39331" priority="56275" stopIfTrue="1" operator="lessThan">
      <formula>0.5</formula>
    </cfRule>
  </conditionalFormatting>
  <conditionalFormatting sqref="T10">
    <cfRule type="cellIs" dxfId="39330" priority="56276" stopIfTrue="1" operator="greaterThanOrEqual">
      <formula>0.5</formula>
    </cfRule>
  </conditionalFormatting>
  <conditionalFormatting sqref="T11">
    <cfRule type="cellIs" dxfId="39329" priority="56277" stopIfTrue="1" operator="equal">
      <formula>-1</formula>
    </cfRule>
  </conditionalFormatting>
  <conditionalFormatting sqref="T11">
    <cfRule type="cellIs" dxfId="39328" priority="56278" stopIfTrue="1" operator="lessThan">
      <formula>0.5</formula>
    </cfRule>
  </conditionalFormatting>
  <conditionalFormatting sqref="T11">
    <cfRule type="cellIs" dxfId="39327" priority="56279" stopIfTrue="1" operator="greaterThanOrEqual">
      <formula>0.5</formula>
    </cfRule>
  </conditionalFormatting>
  <conditionalFormatting sqref="T12">
    <cfRule type="cellIs" dxfId="39326" priority="56280" stopIfTrue="1" operator="equal">
      <formula>-1</formula>
    </cfRule>
  </conditionalFormatting>
  <conditionalFormatting sqref="T12">
    <cfRule type="cellIs" dxfId="39325" priority="56281" stopIfTrue="1" operator="lessThan">
      <formula>0.5</formula>
    </cfRule>
  </conditionalFormatting>
  <conditionalFormatting sqref="T12">
    <cfRule type="cellIs" dxfId="39324" priority="56282" stopIfTrue="1" operator="greaterThanOrEqual">
      <formula>0.5</formula>
    </cfRule>
  </conditionalFormatting>
  <conditionalFormatting sqref="T13">
    <cfRule type="cellIs" dxfId="39323" priority="56283" stopIfTrue="1" operator="equal">
      <formula>-1</formula>
    </cfRule>
  </conditionalFormatting>
  <conditionalFormatting sqref="T13">
    <cfRule type="cellIs" dxfId="39322" priority="56284" stopIfTrue="1" operator="lessThan">
      <formula>0.5</formula>
    </cfRule>
  </conditionalFormatting>
  <conditionalFormatting sqref="T13">
    <cfRule type="cellIs" dxfId="39321" priority="56285" stopIfTrue="1" operator="greaterThanOrEqual">
      <formula>0.5</formula>
    </cfRule>
  </conditionalFormatting>
  <conditionalFormatting sqref="T14">
    <cfRule type="cellIs" dxfId="39320" priority="56286" stopIfTrue="1" operator="equal">
      <formula>-1</formula>
    </cfRule>
  </conditionalFormatting>
  <conditionalFormatting sqref="T14">
    <cfRule type="cellIs" dxfId="39319" priority="56287" stopIfTrue="1" operator="lessThan">
      <formula>0.5</formula>
    </cfRule>
  </conditionalFormatting>
  <conditionalFormatting sqref="T14">
    <cfRule type="cellIs" dxfId="39318" priority="56288" stopIfTrue="1" operator="greaterThanOrEqual">
      <formula>0.5</formula>
    </cfRule>
  </conditionalFormatting>
  <conditionalFormatting sqref="T15">
    <cfRule type="cellIs" dxfId="39317" priority="56289" stopIfTrue="1" operator="equal">
      <formula>-1</formula>
    </cfRule>
  </conditionalFormatting>
  <conditionalFormatting sqref="T15">
    <cfRule type="cellIs" dxfId="39316" priority="56290" stopIfTrue="1" operator="lessThan">
      <formula>0.5</formula>
    </cfRule>
  </conditionalFormatting>
  <conditionalFormatting sqref="T15">
    <cfRule type="cellIs" dxfId="39315" priority="56291" stopIfTrue="1" operator="greaterThanOrEqual">
      <formula>0.5</formula>
    </cfRule>
  </conditionalFormatting>
  <conditionalFormatting sqref="V8">
    <cfRule type="cellIs" dxfId="39314" priority="56292" stopIfTrue="1" operator="equal">
      <formula>-1</formula>
    </cfRule>
  </conditionalFormatting>
  <conditionalFormatting sqref="V8">
    <cfRule type="cellIs" dxfId="39313" priority="56293" stopIfTrue="1" operator="lessThan">
      <formula>0.5</formula>
    </cfRule>
  </conditionalFormatting>
  <conditionalFormatting sqref="V8">
    <cfRule type="cellIs" dxfId="39312" priority="56294" stopIfTrue="1" operator="greaterThanOrEqual">
      <formula>0.5</formula>
    </cfRule>
  </conditionalFormatting>
  <conditionalFormatting sqref="V9">
    <cfRule type="cellIs" dxfId="39311" priority="56295" stopIfTrue="1" operator="equal">
      <formula>-1</formula>
    </cfRule>
  </conditionalFormatting>
  <conditionalFormatting sqref="V9">
    <cfRule type="cellIs" dxfId="39310" priority="56296" stopIfTrue="1" operator="lessThan">
      <formula>0.5</formula>
    </cfRule>
  </conditionalFormatting>
  <conditionalFormatting sqref="V9">
    <cfRule type="cellIs" dxfId="39309" priority="56297" stopIfTrue="1" operator="greaterThanOrEqual">
      <formula>0.5</formula>
    </cfRule>
  </conditionalFormatting>
  <conditionalFormatting sqref="V10">
    <cfRule type="cellIs" dxfId="39308" priority="56298" stopIfTrue="1" operator="equal">
      <formula>-1</formula>
    </cfRule>
  </conditionalFormatting>
  <conditionalFormatting sqref="V10">
    <cfRule type="cellIs" dxfId="39307" priority="56299" stopIfTrue="1" operator="lessThan">
      <formula>0.5</formula>
    </cfRule>
  </conditionalFormatting>
  <conditionalFormatting sqref="V10">
    <cfRule type="cellIs" dxfId="39306" priority="56300" stopIfTrue="1" operator="greaterThanOrEqual">
      <formula>0.5</formula>
    </cfRule>
  </conditionalFormatting>
  <conditionalFormatting sqref="V11">
    <cfRule type="cellIs" dxfId="39305" priority="56301" stopIfTrue="1" operator="equal">
      <formula>-1</formula>
    </cfRule>
  </conditionalFormatting>
  <conditionalFormatting sqref="V11">
    <cfRule type="cellIs" dxfId="39304" priority="56302" stopIfTrue="1" operator="lessThan">
      <formula>0.5</formula>
    </cfRule>
  </conditionalFormatting>
  <conditionalFormatting sqref="V11">
    <cfRule type="cellIs" dxfId="39303" priority="56303" stopIfTrue="1" operator="greaterThanOrEqual">
      <formula>0.5</formula>
    </cfRule>
  </conditionalFormatting>
  <conditionalFormatting sqref="V12">
    <cfRule type="cellIs" dxfId="39302" priority="56304" stopIfTrue="1" operator="equal">
      <formula>-1</formula>
    </cfRule>
  </conditionalFormatting>
  <conditionalFormatting sqref="V12">
    <cfRule type="cellIs" dxfId="39301" priority="56305" stopIfTrue="1" operator="lessThan">
      <formula>0.5</formula>
    </cfRule>
  </conditionalFormatting>
  <conditionalFormatting sqref="V12">
    <cfRule type="cellIs" dxfId="39300" priority="56306" stopIfTrue="1" operator="greaterThanOrEqual">
      <formula>0.5</formula>
    </cfRule>
  </conditionalFormatting>
  <conditionalFormatting sqref="V13">
    <cfRule type="cellIs" dxfId="39299" priority="56307" stopIfTrue="1" operator="equal">
      <formula>-1</formula>
    </cfRule>
  </conditionalFormatting>
  <conditionalFormatting sqref="V13">
    <cfRule type="cellIs" dxfId="39298" priority="56308" stopIfTrue="1" operator="lessThan">
      <formula>0.5</formula>
    </cfRule>
  </conditionalFormatting>
  <conditionalFormatting sqref="V13">
    <cfRule type="cellIs" dxfId="39297" priority="56309" stopIfTrue="1" operator="greaterThanOrEqual">
      <formula>0.5</formula>
    </cfRule>
  </conditionalFormatting>
  <conditionalFormatting sqref="V14">
    <cfRule type="cellIs" dxfId="39296" priority="56310" stopIfTrue="1" operator="equal">
      <formula>-1</formula>
    </cfRule>
  </conditionalFormatting>
  <conditionalFormatting sqref="V14">
    <cfRule type="cellIs" dxfId="39295" priority="56311" stopIfTrue="1" operator="lessThan">
      <formula>0.5</formula>
    </cfRule>
  </conditionalFormatting>
  <conditionalFormatting sqref="V14">
    <cfRule type="cellIs" dxfId="39294" priority="56312" stopIfTrue="1" operator="greaterThanOrEqual">
      <formula>0.5</formula>
    </cfRule>
  </conditionalFormatting>
  <conditionalFormatting sqref="V15">
    <cfRule type="cellIs" dxfId="39293" priority="56313" stopIfTrue="1" operator="equal">
      <formula>-1</formula>
    </cfRule>
  </conditionalFormatting>
  <conditionalFormatting sqref="V15">
    <cfRule type="cellIs" dxfId="39292" priority="56314" stopIfTrue="1" operator="lessThan">
      <formula>0.5</formula>
    </cfRule>
  </conditionalFormatting>
  <conditionalFormatting sqref="V15">
    <cfRule type="cellIs" dxfId="39291" priority="56315" stopIfTrue="1" operator="greaterThanOrEqual">
      <formula>0.5</formula>
    </cfRule>
  </conditionalFormatting>
  <conditionalFormatting sqref="X8">
    <cfRule type="cellIs" dxfId="39290" priority="56316" stopIfTrue="1" operator="equal">
      <formula>-1</formula>
    </cfRule>
  </conditionalFormatting>
  <conditionalFormatting sqref="X8">
    <cfRule type="cellIs" dxfId="39289" priority="56317" stopIfTrue="1" operator="lessThan">
      <formula>0.5</formula>
    </cfRule>
  </conditionalFormatting>
  <conditionalFormatting sqref="X8">
    <cfRule type="cellIs" dxfId="39288" priority="56318" stopIfTrue="1" operator="greaterThanOrEqual">
      <formula>0.5</formula>
    </cfRule>
  </conditionalFormatting>
  <conditionalFormatting sqref="X9">
    <cfRule type="cellIs" dxfId="39287" priority="56319" stopIfTrue="1" operator="equal">
      <formula>-1</formula>
    </cfRule>
  </conditionalFormatting>
  <conditionalFormatting sqref="X9">
    <cfRule type="cellIs" dxfId="39286" priority="56320" stopIfTrue="1" operator="lessThan">
      <formula>0.5</formula>
    </cfRule>
  </conditionalFormatting>
  <conditionalFormatting sqref="X9">
    <cfRule type="cellIs" dxfId="39285" priority="56321" stopIfTrue="1" operator="greaterThanOrEqual">
      <formula>0.5</formula>
    </cfRule>
  </conditionalFormatting>
  <conditionalFormatting sqref="X10">
    <cfRule type="cellIs" dxfId="39284" priority="56322" stopIfTrue="1" operator="equal">
      <formula>-1</formula>
    </cfRule>
  </conditionalFormatting>
  <conditionalFormatting sqref="X10">
    <cfRule type="cellIs" dxfId="39283" priority="56323" stopIfTrue="1" operator="lessThan">
      <formula>0.5</formula>
    </cfRule>
  </conditionalFormatting>
  <conditionalFormatting sqref="X10">
    <cfRule type="cellIs" dxfId="39282" priority="56324" stopIfTrue="1" operator="greaterThanOrEqual">
      <formula>0.5</formula>
    </cfRule>
  </conditionalFormatting>
  <conditionalFormatting sqref="X11">
    <cfRule type="cellIs" dxfId="39281" priority="56325" stopIfTrue="1" operator="equal">
      <formula>-1</formula>
    </cfRule>
  </conditionalFormatting>
  <conditionalFormatting sqref="X11">
    <cfRule type="cellIs" dxfId="39280" priority="56326" stopIfTrue="1" operator="lessThan">
      <formula>0.5</formula>
    </cfRule>
  </conditionalFormatting>
  <conditionalFormatting sqref="X11">
    <cfRule type="cellIs" dxfId="39279" priority="56327" stopIfTrue="1" operator="greaterThanOrEqual">
      <formula>0.5</formula>
    </cfRule>
  </conditionalFormatting>
  <conditionalFormatting sqref="X12">
    <cfRule type="cellIs" dxfId="39278" priority="56328" stopIfTrue="1" operator="equal">
      <formula>-1</formula>
    </cfRule>
  </conditionalFormatting>
  <conditionalFormatting sqref="X12">
    <cfRule type="cellIs" dxfId="39277" priority="56329" stopIfTrue="1" operator="lessThan">
      <formula>0.5</formula>
    </cfRule>
  </conditionalFormatting>
  <conditionalFormatting sqref="X12">
    <cfRule type="cellIs" dxfId="39276" priority="56330" stopIfTrue="1" operator="greaterThanOrEqual">
      <formula>0.5</formula>
    </cfRule>
  </conditionalFormatting>
  <conditionalFormatting sqref="X13">
    <cfRule type="cellIs" dxfId="39275" priority="56331" stopIfTrue="1" operator="equal">
      <formula>-1</formula>
    </cfRule>
  </conditionalFormatting>
  <conditionalFormatting sqref="X13">
    <cfRule type="cellIs" dxfId="39274" priority="56332" stopIfTrue="1" operator="lessThan">
      <formula>0.5</formula>
    </cfRule>
  </conditionalFormatting>
  <conditionalFormatting sqref="X13">
    <cfRule type="cellIs" dxfId="39273" priority="56333" stopIfTrue="1" operator="greaterThanOrEqual">
      <formula>0.5</formula>
    </cfRule>
  </conditionalFormatting>
  <conditionalFormatting sqref="X14">
    <cfRule type="cellIs" dxfId="39272" priority="56334" stopIfTrue="1" operator="equal">
      <formula>-1</formula>
    </cfRule>
  </conditionalFormatting>
  <conditionalFormatting sqref="X14">
    <cfRule type="cellIs" dxfId="39271" priority="56335" stopIfTrue="1" operator="lessThan">
      <formula>0.5</formula>
    </cfRule>
  </conditionalFormatting>
  <conditionalFormatting sqref="X14">
    <cfRule type="cellIs" dxfId="39270" priority="56336" stopIfTrue="1" operator="greaterThanOrEqual">
      <formula>0.5</formula>
    </cfRule>
  </conditionalFormatting>
  <conditionalFormatting sqref="X15">
    <cfRule type="cellIs" dxfId="39269" priority="56337" stopIfTrue="1" operator="equal">
      <formula>-1</formula>
    </cfRule>
  </conditionalFormatting>
  <conditionalFormatting sqref="X15">
    <cfRule type="cellIs" dxfId="39268" priority="56338" stopIfTrue="1" operator="lessThan">
      <formula>0.5</formula>
    </cfRule>
  </conditionalFormatting>
  <conditionalFormatting sqref="X15">
    <cfRule type="cellIs" dxfId="39267" priority="56339" stopIfTrue="1" operator="greaterThanOrEqual">
      <formula>0.5</formula>
    </cfRule>
  </conditionalFormatting>
  <conditionalFormatting sqref="Z8">
    <cfRule type="cellIs" dxfId="39266" priority="56340" stopIfTrue="1" operator="equal">
      <formula>-1</formula>
    </cfRule>
  </conditionalFormatting>
  <conditionalFormatting sqref="Z8">
    <cfRule type="cellIs" dxfId="39265" priority="56341" stopIfTrue="1" operator="lessThan">
      <formula>0.5</formula>
    </cfRule>
  </conditionalFormatting>
  <conditionalFormatting sqref="Z8">
    <cfRule type="cellIs" dxfId="39264" priority="56342" stopIfTrue="1" operator="greaterThanOrEqual">
      <formula>0.5</formula>
    </cfRule>
  </conditionalFormatting>
  <conditionalFormatting sqref="Z9">
    <cfRule type="cellIs" dxfId="39263" priority="56343" stopIfTrue="1" operator="equal">
      <formula>-1</formula>
    </cfRule>
  </conditionalFormatting>
  <conditionalFormatting sqref="Z9">
    <cfRule type="cellIs" dxfId="39262" priority="56344" stopIfTrue="1" operator="lessThan">
      <formula>0.5</formula>
    </cfRule>
  </conditionalFormatting>
  <conditionalFormatting sqref="Z9">
    <cfRule type="cellIs" dxfId="39261" priority="56345" stopIfTrue="1" operator="greaterThanOrEqual">
      <formula>0.5</formula>
    </cfRule>
  </conditionalFormatting>
  <conditionalFormatting sqref="Z10">
    <cfRule type="cellIs" dxfId="39260" priority="56346" stopIfTrue="1" operator="equal">
      <formula>-1</formula>
    </cfRule>
  </conditionalFormatting>
  <conditionalFormatting sqref="Z10">
    <cfRule type="cellIs" dxfId="39259" priority="56347" stopIfTrue="1" operator="lessThan">
      <formula>0.5</formula>
    </cfRule>
  </conditionalFormatting>
  <conditionalFormatting sqref="Z10">
    <cfRule type="cellIs" dxfId="39258" priority="56348" stopIfTrue="1" operator="greaterThanOrEqual">
      <formula>0.5</formula>
    </cfRule>
  </conditionalFormatting>
  <conditionalFormatting sqref="Z11">
    <cfRule type="cellIs" dxfId="39257" priority="56349" stopIfTrue="1" operator="equal">
      <formula>-1</formula>
    </cfRule>
  </conditionalFormatting>
  <conditionalFormatting sqref="Z11">
    <cfRule type="cellIs" dxfId="39256" priority="56350" stopIfTrue="1" operator="lessThan">
      <formula>0.5</formula>
    </cfRule>
  </conditionalFormatting>
  <conditionalFormatting sqref="Z11">
    <cfRule type="cellIs" dxfId="39255" priority="56351" stopIfTrue="1" operator="greaterThanOrEqual">
      <formula>0.5</formula>
    </cfRule>
  </conditionalFormatting>
  <conditionalFormatting sqref="Z12">
    <cfRule type="cellIs" dxfId="39254" priority="56352" stopIfTrue="1" operator="equal">
      <formula>-1</formula>
    </cfRule>
  </conditionalFormatting>
  <conditionalFormatting sqref="Z12">
    <cfRule type="cellIs" dxfId="39253" priority="56353" stopIfTrue="1" operator="lessThan">
      <formula>0.5</formula>
    </cfRule>
  </conditionalFormatting>
  <conditionalFormatting sqref="Z12">
    <cfRule type="cellIs" dxfId="39252" priority="56354" stopIfTrue="1" operator="greaterThanOrEqual">
      <formula>0.5</formula>
    </cfRule>
  </conditionalFormatting>
  <conditionalFormatting sqref="Z13">
    <cfRule type="cellIs" dxfId="39251" priority="56355" stopIfTrue="1" operator="equal">
      <formula>-1</formula>
    </cfRule>
  </conditionalFormatting>
  <conditionalFormatting sqref="Z13">
    <cfRule type="cellIs" dxfId="39250" priority="56356" stopIfTrue="1" operator="lessThan">
      <formula>0.5</formula>
    </cfRule>
  </conditionalFormatting>
  <conditionalFormatting sqref="Z13">
    <cfRule type="cellIs" dxfId="39249" priority="56357" stopIfTrue="1" operator="greaterThanOrEqual">
      <formula>0.5</formula>
    </cfRule>
  </conditionalFormatting>
  <conditionalFormatting sqref="Z14">
    <cfRule type="cellIs" dxfId="39248" priority="56358" stopIfTrue="1" operator="equal">
      <formula>-1</formula>
    </cfRule>
  </conditionalFormatting>
  <conditionalFormatting sqref="Z14">
    <cfRule type="cellIs" dxfId="39247" priority="56359" stopIfTrue="1" operator="lessThan">
      <formula>0.5</formula>
    </cfRule>
  </conditionalFormatting>
  <conditionalFormatting sqref="Z14">
    <cfRule type="cellIs" dxfId="39246" priority="56360" stopIfTrue="1" operator="greaterThanOrEqual">
      <formula>0.5</formula>
    </cfRule>
  </conditionalFormatting>
  <conditionalFormatting sqref="Z15">
    <cfRule type="cellIs" dxfId="39245" priority="56361" stopIfTrue="1" operator="equal">
      <formula>-1</formula>
    </cfRule>
  </conditionalFormatting>
  <conditionalFormatting sqref="Z15">
    <cfRule type="cellIs" dxfId="39244" priority="56362" stopIfTrue="1" operator="lessThan">
      <formula>0.5</formula>
    </cfRule>
  </conditionalFormatting>
  <conditionalFormatting sqref="Z15">
    <cfRule type="cellIs" dxfId="39243" priority="56363" stopIfTrue="1" operator="greaterThanOrEqual">
      <formula>0.5</formula>
    </cfRule>
  </conditionalFormatting>
  <conditionalFormatting sqref="AB8">
    <cfRule type="cellIs" dxfId="39242" priority="56364" stopIfTrue="1" operator="equal">
      <formula>-1</formula>
    </cfRule>
  </conditionalFormatting>
  <conditionalFormatting sqref="AB8">
    <cfRule type="cellIs" dxfId="39241" priority="56365" stopIfTrue="1" operator="lessThan">
      <formula>0.5</formula>
    </cfRule>
  </conditionalFormatting>
  <conditionalFormatting sqref="AB8">
    <cfRule type="cellIs" dxfId="39240" priority="56366" stopIfTrue="1" operator="greaterThanOrEqual">
      <formula>0.5</formula>
    </cfRule>
  </conditionalFormatting>
  <conditionalFormatting sqref="AB9">
    <cfRule type="cellIs" dxfId="39239" priority="56367" stopIfTrue="1" operator="equal">
      <formula>-1</formula>
    </cfRule>
  </conditionalFormatting>
  <conditionalFormatting sqref="AB9">
    <cfRule type="cellIs" dxfId="39238" priority="56368" stopIfTrue="1" operator="lessThan">
      <formula>0.5</formula>
    </cfRule>
  </conditionalFormatting>
  <conditionalFormatting sqref="AB9">
    <cfRule type="cellIs" dxfId="39237" priority="56369" stopIfTrue="1" operator="greaterThanOrEqual">
      <formula>0.5</formula>
    </cfRule>
  </conditionalFormatting>
  <conditionalFormatting sqref="AB10">
    <cfRule type="cellIs" dxfId="39236" priority="56370" stopIfTrue="1" operator="equal">
      <formula>-1</formula>
    </cfRule>
  </conditionalFormatting>
  <conditionalFormatting sqref="AB10">
    <cfRule type="cellIs" dxfId="39235" priority="56371" stopIfTrue="1" operator="lessThan">
      <formula>0.5</formula>
    </cfRule>
  </conditionalFormatting>
  <conditionalFormatting sqref="AB10">
    <cfRule type="cellIs" dxfId="39234" priority="56372" stopIfTrue="1" operator="greaterThanOrEqual">
      <formula>0.5</formula>
    </cfRule>
  </conditionalFormatting>
  <conditionalFormatting sqref="AB11">
    <cfRule type="cellIs" dxfId="39233" priority="56373" stopIfTrue="1" operator="equal">
      <formula>-1</formula>
    </cfRule>
  </conditionalFormatting>
  <conditionalFormatting sqref="AB11">
    <cfRule type="cellIs" dxfId="39232" priority="56374" stopIfTrue="1" operator="lessThan">
      <formula>0.5</formula>
    </cfRule>
  </conditionalFormatting>
  <conditionalFormatting sqref="AB11">
    <cfRule type="cellIs" dxfId="39231" priority="56375" stopIfTrue="1" operator="greaterThanOrEqual">
      <formula>0.5</formula>
    </cfRule>
  </conditionalFormatting>
  <conditionalFormatting sqref="AB12">
    <cfRule type="cellIs" dxfId="39230" priority="56376" stopIfTrue="1" operator="equal">
      <formula>-1</formula>
    </cfRule>
  </conditionalFormatting>
  <conditionalFormatting sqref="AB12">
    <cfRule type="cellIs" dxfId="39229" priority="56377" stopIfTrue="1" operator="lessThan">
      <formula>0.5</formula>
    </cfRule>
  </conditionalFormatting>
  <conditionalFormatting sqref="AB12">
    <cfRule type="cellIs" dxfId="39228" priority="56378" stopIfTrue="1" operator="greaterThanOrEqual">
      <formula>0.5</formula>
    </cfRule>
  </conditionalFormatting>
  <conditionalFormatting sqref="AB13">
    <cfRule type="cellIs" dxfId="39227" priority="56379" stopIfTrue="1" operator="equal">
      <formula>-1</formula>
    </cfRule>
  </conditionalFormatting>
  <conditionalFormatting sqref="AB13">
    <cfRule type="cellIs" dxfId="39226" priority="56380" stopIfTrue="1" operator="lessThan">
      <formula>0.5</formula>
    </cfRule>
  </conditionalFormatting>
  <conditionalFormatting sqref="AB13">
    <cfRule type="cellIs" dxfId="39225" priority="56381" stopIfTrue="1" operator="greaterThanOrEqual">
      <formula>0.5</formula>
    </cfRule>
  </conditionalFormatting>
  <conditionalFormatting sqref="AB14">
    <cfRule type="cellIs" dxfId="39224" priority="56382" stopIfTrue="1" operator="equal">
      <formula>-1</formula>
    </cfRule>
  </conditionalFormatting>
  <conditionalFormatting sqref="AB14">
    <cfRule type="cellIs" dxfId="39223" priority="56383" stopIfTrue="1" operator="lessThan">
      <formula>0.5</formula>
    </cfRule>
  </conditionalFormatting>
  <conditionalFormatting sqref="AB14">
    <cfRule type="cellIs" dxfId="39222" priority="56384" stopIfTrue="1" operator="greaterThanOrEqual">
      <formula>0.5</formula>
    </cfRule>
  </conditionalFormatting>
  <conditionalFormatting sqref="AB15">
    <cfRule type="cellIs" dxfId="39221" priority="56385" stopIfTrue="1" operator="equal">
      <formula>-1</formula>
    </cfRule>
  </conditionalFormatting>
  <conditionalFormatting sqref="AB15">
    <cfRule type="cellIs" dxfId="39220" priority="56386" stopIfTrue="1" operator="lessThan">
      <formula>0.5</formula>
    </cfRule>
  </conditionalFormatting>
  <conditionalFormatting sqref="AB15">
    <cfRule type="cellIs" dxfId="39219" priority="56387" stopIfTrue="1" operator="greaterThanOrEqual">
      <formula>0.5</formula>
    </cfRule>
  </conditionalFormatting>
  <conditionalFormatting sqref="AD8">
    <cfRule type="cellIs" dxfId="39218" priority="56388" stopIfTrue="1" operator="equal">
      <formula>-1</formula>
    </cfRule>
  </conditionalFormatting>
  <conditionalFormatting sqref="AD8">
    <cfRule type="cellIs" dxfId="39217" priority="56389" stopIfTrue="1" operator="lessThan">
      <formula>0.5</formula>
    </cfRule>
  </conditionalFormatting>
  <conditionalFormatting sqref="AD8">
    <cfRule type="cellIs" dxfId="39216" priority="56390" stopIfTrue="1" operator="greaterThanOrEqual">
      <formula>0.5</formula>
    </cfRule>
  </conditionalFormatting>
  <conditionalFormatting sqref="AD9">
    <cfRule type="cellIs" dxfId="39215" priority="56391" stopIfTrue="1" operator="equal">
      <formula>-1</formula>
    </cfRule>
  </conditionalFormatting>
  <conditionalFormatting sqref="AD9">
    <cfRule type="cellIs" dxfId="39214" priority="56392" stopIfTrue="1" operator="lessThan">
      <formula>0.5</formula>
    </cfRule>
  </conditionalFormatting>
  <conditionalFormatting sqref="AD9">
    <cfRule type="cellIs" dxfId="39213" priority="56393" stopIfTrue="1" operator="greaterThanOrEqual">
      <formula>0.5</formula>
    </cfRule>
  </conditionalFormatting>
  <conditionalFormatting sqref="AD10">
    <cfRule type="cellIs" dxfId="39212" priority="56394" stopIfTrue="1" operator="equal">
      <formula>-1</formula>
    </cfRule>
  </conditionalFormatting>
  <conditionalFormatting sqref="AD10">
    <cfRule type="cellIs" dxfId="39211" priority="56395" stopIfTrue="1" operator="lessThan">
      <formula>0.5</formula>
    </cfRule>
  </conditionalFormatting>
  <conditionalFormatting sqref="AD10">
    <cfRule type="cellIs" dxfId="39210" priority="56396" stopIfTrue="1" operator="greaterThanOrEqual">
      <formula>0.5</formula>
    </cfRule>
  </conditionalFormatting>
  <conditionalFormatting sqref="AD11">
    <cfRule type="cellIs" dxfId="39209" priority="56397" stopIfTrue="1" operator="equal">
      <formula>-1</formula>
    </cfRule>
  </conditionalFormatting>
  <conditionalFormatting sqref="AD11">
    <cfRule type="cellIs" dxfId="39208" priority="56398" stopIfTrue="1" operator="lessThan">
      <formula>0.5</formula>
    </cfRule>
  </conditionalFormatting>
  <conditionalFormatting sqref="AD11">
    <cfRule type="cellIs" dxfId="39207" priority="56399" stopIfTrue="1" operator="greaterThanOrEqual">
      <formula>0.5</formula>
    </cfRule>
  </conditionalFormatting>
  <conditionalFormatting sqref="AD12">
    <cfRule type="cellIs" dxfId="39206" priority="56400" stopIfTrue="1" operator="equal">
      <formula>-1</formula>
    </cfRule>
  </conditionalFormatting>
  <conditionalFormatting sqref="AD12">
    <cfRule type="cellIs" dxfId="39205" priority="56401" stopIfTrue="1" operator="lessThan">
      <formula>0.5</formula>
    </cfRule>
  </conditionalFormatting>
  <conditionalFormatting sqref="AD12">
    <cfRule type="cellIs" dxfId="39204" priority="56402" stopIfTrue="1" operator="greaterThanOrEqual">
      <formula>0.5</formula>
    </cfRule>
  </conditionalFormatting>
  <conditionalFormatting sqref="AD13">
    <cfRule type="cellIs" dxfId="39203" priority="56403" stopIfTrue="1" operator="equal">
      <formula>-1</formula>
    </cfRule>
  </conditionalFormatting>
  <conditionalFormatting sqref="AD13">
    <cfRule type="cellIs" dxfId="39202" priority="56404" stopIfTrue="1" operator="lessThan">
      <formula>0.5</formula>
    </cfRule>
  </conditionalFormatting>
  <conditionalFormatting sqref="AD13">
    <cfRule type="cellIs" dxfId="39201" priority="56405" stopIfTrue="1" operator="greaterThanOrEqual">
      <formula>0.5</formula>
    </cfRule>
  </conditionalFormatting>
  <conditionalFormatting sqref="AD14">
    <cfRule type="cellIs" dxfId="39200" priority="56406" stopIfTrue="1" operator="equal">
      <formula>-1</formula>
    </cfRule>
  </conditionalFormatting>
  <conditionalFormatting sqref="AD14">
    <cfRule type="cellIs" dxfId="39199" priority="56407" stopIfTrue="1" operator="lessThan">
      <formula>0.5</formula>
    </cfRule>
  </conditionalFormatting>
  <conditionalFormatting sqref="AD14">
    <cfRule type="cellIs" dxfId="39198" priority="56408" stopIfTrue="1" operator="greaterThanOrEqual">
      <formula>0.5</formula>
    </cfRule>
  </conditionalFormatting>
  <conditionalFormatting sqref="AD15">
    <cfRule type="cellIs" dxfId="39197" priority="56409" stopIfTrue="1" operator="equal">
      <formula>-1</formula>
    </cfRule>
  </conditionalFormatting>
  <conditionalFormatting sqref="AD15">
    <cfRule type="cellIs" dxfId="39196" priority="56410" stopIfTrue="1" operator="lessThan">
      <formula>0.5</formula>
    </cfRule>
  </conditionalFormatting>
  <conditionalFormatting sqref="AD15">
    <cfRule type="cellIs" dxfId="39195" priority="56411" stopIfTrue="1" operator="greaterThanOrEqual">
      <formula>0.5</formula>
    </cfRule>
  </conditionalFormatting>
  <conditionalFormatting sqref="AF8">
    <cfRule type="cellIs" dxfId="39194" priority="56412" stopIfTrue="1" operator="equal">
      <formula>-1</formula>
    </cfRule>
  </conditionalFormatting>
  <conditionalFormatting sqref="AF8">
    <cfRule type="cellIs" dxfId="39193" priority="56413" stopIfTrue="1" operator="lessThan">
      <formula>0.5</formula>
    </cfRule>
  </conditionalFormatting>
  <conditionalFormatting sqref="AF8">
    <cfRule type="cellIs" dxfId="39192" priority="56414" stopIfTrue="1" operator="greaterThanOrEqual">
      <formula>0.5</formula>
    </cfRule>
  </conditionalFormatting>
  <conditionalFormatting sqref="AF9">
    <cfRule type="cellIs" dxfId="39191" priority="56415" stopIfTrue="1" operator="equal">
      <formula>-1</formula>
    </cfRule>
  </conditionalFormatting>
  <conditionalFormatting sqref="AF9">
    <cfRule type="cellIs" dxfId="39190" priority="56416" stopIfTrue="1" operator="lessThan">
      <formula>0.5</formula>
    </cfRule>
  </conditionalFormatting>
  <conditionalFormatting sqref="AF9">
    <cfRule type="cellIs" dxfId="39189" priority="56417" stopIfTrue="1" operator="greaterThanOrEqual">
      <formula>0.5</formula>
    </cfRule>
  </conditionalFormatting>
  <conditionalFormatting sqref="AF10">
    <cfRule type="cellIs" dxfId="39188" priority="56418" stopIfTrue="1" operator="equal">
      <formula>-1</formula>
    </cfRule>
  </conditionalFormatting>
  <conditionalFormatting sqref="AF10">
    <cfRule type="cellIs" dxfId="39187" priority="56419" stopIfTrue="1" operator="lessThan">
      <formula>0.5</formula>
    </cfRule>
  </conditionalFormatting>
  <conditionalFormatting sqref="AF10">
    <cfRule type="cellIs" dxfId="39186" priority="56420" stopIfTrue="1" operator="greaterThanOrEqual">
      <formula>0.5</formula>
    </cfRule>
  </conditionalFormatting>
  <conditionalFormatting sqref="AF11">
    <cfRule type="cellIs" dxfId="39185" priority="56421" stopIfTrue="1" operator="equal">
      <formula>-1</formula>
    </cfRule>
  </conditionalFormatting>
  <conditionalFormatting sqref="AF11">
    <cfRule type="cellIs" dxfId="39184" priority="56422" stopIfTrue="1" operator="lessThan">
      <formula>0.5</formula>
    </cfRule>
  </conditionalFormatting>
  <conditionalFormatting sqref="AF11">
    <cfRule type="cellIs" dxfId="39183" priority="56423" stopIfTrue="1" operator="greaterThanOrEqual">
      <formula>0.5</formula>
    </cfRule>
  </conditionalFormatting>
  <conditionalFormatting sqref="AF12">
    <cfRule type="cellIs" dxfId="39182" priority="56424" stopIfTrue="1" operator="equal">
      <formula>-1</formula>
    </cfRule>
  </conditionalFormatting>
  <conditionalFormatting sqref="AF12">
    <cfRule type="cellIs" dxfId="39181" priority="56425" stopIfTrue="1" operator="lessThan">
      <formula>0.5</formula>
    </cfRule>
  </conditionalFormatting>
  <conditionalFormatting sqref="AF12">
    <cfRule type="cellIs" dxfId="39180" priority="56426" stopIfTrue="1" operator="greaterThanOrEqual">
      <formula>0.5</formula>
    </cfRule>
  </conditionalFormatting>
  <conditionalFormatting sqref="AF13">
    <cfRule type="cellIs" dxfId="39179" priority="56427" stopIfTrue="1" operator="equal">
      <formula>-1</formula>
    </cfRule>
  </conditionalFormatting>
  <conditionalFormatting sqref="AF13">
    <cfRule type="cellIs" dxfId="39178" priority="56428" stopIfTrue="1" operator="lessThan">
      <formula>0.5</formula>
    </cfRule>
  </conditionalFormatting>
  <conditionalFormatting sqref="AF13">
    <cfRule type="cellIs" dxfId="39177" priority="56429" stopIfTrue="1" operator="greaterThanOrEqual">
      <formula>0.5</formula>
    </cfRule>
  </conditionalFormatting>
  <conditionalFormatting sqref="AF14">
    <cfRule type="cellIs" dxfId="39176" priority="56430" stopIfTrue="1" operator="equal">
      <formula>-1</formula>
    </cfRule>
  </conditionalFormatting>
  <conditionalFormatting sqref="AF14">
    <cfRule type="cellIs" dxfId="39175" priority="56431" stopIfTrue="1" operator="lessThan">
      <formula>0.5</formula>
    </cfRule>
  </conditionalFormatting>
  <conditionalFormatting sqref="AF14">
    <cfRule type="cellIs" dxfId="39174" priority="56432" stopIfTrue="1" operator="greaterThanOrEqual">
      <formula>0.5</formula>
    </cfRule>
  </conditionalFormatting>
  <conditionalFormatting sqref="AF15">
    <cfRule type="cellIs" dxfId="39173" priority="56433" stopIfTrue="1" operator="equal">
      <formula>-1</formula>
    </cfRule>
  </conditionalFormatting>
  <conditionalFormatting sqref="AF15">
    <cfRule type="cellIs" dxfId="39172" priority="56434" stopIfTrue="1" operator="lessThan">
      <formula>0.5</formula>
    </cfRule>
  </conditionalFormatting>
  <conditionalFormatting sqref="AF15">
    <cfRule type="cellIs" dxfId="39171" priority="56435" stopIfTrue="1" operator="greaterThanOrEqual">
      <formula>0.5</formula>
    </cfRule>
  </conditionalFormatting>
  <conditionalFormatting sqref="AH8">
    <cfRule type="cellIs" dxfId="39170" priority="56436" stopIfTrue="1" operator="equal">
      <formula>-1</formula>
    </cfRule>
  </conditionalFormatting>
  <conditionalFormatting sqref="AH8">
    <cfRule type="cellIs" dxfId="39169" priority="56437" stopIfTrue="1" operator="lessThan">
      <formula>0.5</formula>
    </cfRule>
  </conditionalFormatting>
  <conditionalFormatting sqref="AH8">
    <cfRule type="cellIs" dxfId="39168" priority="56438" stopIfTrue="1" operator="greaterThanOrEqual">
      <formula>0.5</formula>
    </cfRule>
  </conditionalFormatting>
  <conditionalFormatting sqref="AH9">
    <cfRule type="cellIs" dxfId="39167" priority="56439" stopIfTrue="1" operator="equal">
      <formula>-1</formula>
    </cfRule>
  </conditionalFormatting>
  <conditionalFormatting sqref="AH9">
    <cfRule type="cellIs" dxfId="39166" priority="56440" stopIfTrue="1" operator="lessThan">
      <formula>0.5</formula>
    </cfRule>
  </conditionalFormatting>
  <conditionalFormatting sqref="AH9">
    <cfRule type="cellIs" dxfId="39165" priority="56441" stopIfTrue="1" operator="greaterThanOrEqual">
      <formula>0.5</formula>
    </cfRule>
  </conditionalFormatting>
  <conditionalFormatting sqref="AH10">
    <cfRule type="cellIs" dxfId="39164" priority="56442" stopIfTrue="1" operator="equal">
      <formula>-1</formula>
    </cfRule>
  </conditionalFormatting>
  <conditionalFormatting sqref="AH10">
    <cfRule type="cellIs" dxfId="39163" priority="56443" stopIfTrue="1" operator="lessThan">
      <formula>0.5</formula>
    </cfRule>
  </conditionalFormatting>
  <conditionalFormatting sqref="AH10">
    <cfRule type="cellIs" dxfId="39162" priority="56444" stopIfTrue="1" operator="greaterThanOrEqual">
      <formula>0.5</formula>
    </cfRule>
  </conditionalFormatting>
  <conditionalFormatting sqref="AH11">
    <cfRule type="cellIs" dxfId="39161" priority="56445" stopIfTrue="1" operator="equal">
      <formula>-1</formula>
    </cfRule>
  </conditionalFormatting>
  <conditionalFormatting sqref="AH11">
    <cfRule type="cellIs" dxfId="39160" priority="56446" stopIfTrue="1" operator="lessThan">
      <formula>0.5</formula>
    </cfRule>
  </conditionalFormatting>
  <conditionalFormatting sqref="AH11">
    <cfRule type="cellIs" dxfId="39159" priority="56447" stopIfTrue="1" operator="greaterThanOrEqual">
      <formula>0.5</formula>
    </cfRule>
  </conditionalFormatting>
  <conditionalFormatting sqref="AH12">
    <cfRule type="cellIs" dxfId="39158" priority="56448" stopIfTrue="1" operator="equal">
      <formula>-1</formula>
    </cfRule>
  </conditionalFormatting>
  <conditionalFormatting sqref="AH12">
    <cfRule type="cellIs" dxfId="39157" priority="56449" stopIfTrue="1" operator="lessThan">
      <formula>0.5</formula>
    </cfRule>
  </conditionalFormatting>
  <conditionalFormatting sqref="AH12">
    <cfRule type="cellIs" dxfId="39156" priority="56450" stopIfTrue="1" operator="greaterThanOrEqual">
      <formula>0.5</formula>
    </cfRule>
  </conditionalFormatting>
  <conditionalFormatting sqref="AH13">
    <cfRule type="cellIs" dxfId="39155" priority="56451" stopIfTrue="1" operator="equal">
      <formula>-1</formula>
    </cfRule>
  </conditionalFormatting>
  <conditionalFormatting sqref="AH13">
    <cfRule type="cellIs" dxfId="39154" priority="56452" stopIfTrue="1" operator="lessThan">
      <formula>0.5</formula>
    </cfRule>
  </conditionalFormatting>
  <conditionalFormatting sqref="AH13">
    <cfRule type="cellIs" dxfId="39153" priority="56453" stopIfTrue="1" operator="greaterThanOrEqual">
      <formula>0.5</formula>
    </cfRule>
  </conditionalFormatting>
  <conditionalFormatting sqref="AH14">
    <cfRule type="cellIs" dxfId="39152" priority="56454" stopIfTrue="1" operator="equal">
      <formula>-1</formula>
    </cfRule>
  </conditionalFormatting>
  <conditionalFormatting sqref="AH14">
    <cfRule type="cellIs" dxfId="39151" priority="56455" stopIfTrue="1" operator="lessThan">
      <formula>0.5</formula>
    </cfRule>
  </conditionalFormatting>
  <conditionalFormatting sqref="AH14">
    <cfRule type="cellIs" dxfId="39150" priority="56456" stopIfTrue="1" operator="greaterThanOrEqual">
      <formula>0.5</formula>
    </cfRule>
  </conditionalFormatting>
  <conditionalFormatting sqref="AH15">
    <cfRule type="cellIs" dxfId="39149" priority="56457" stopIfTrue="1" operator="equal">
      <formula>-1</formula>
    </cfRule>
  </conditionalFormatting>
  <conditionalFormatting sqref="AH15">
    <cfRule type="cellIs" dxfId="39148" priority="56458" stopIfTrue="1" operator="lessThan">
      <formula>0.5</formula>
    </cfRule>
  </conditionalFormatting>
  <conditionalFormatting sqref="AH15">
    <cfRule type="cellIs" dxfId="39147" priority="56459" stopIfTrue="1" operator="greaterThanOrEqual">
      <formula>0.5</formula>
    </cfRule>
  </conditionalFormatting>
  <conditionalFormatting sqref="AJ8">
    <cfRule type="cellIs" dxfId="39146" priority="56460" stopIfTrue="1" operator="equal">
      <formula>-1</formula>
    </cfRule>
  </conditionalFormatting>
  <conditionalFormatting sqref="AJ8">
    <cfRule type="cellIs" dxfId="39145" priority="56461" stopIfTrue="1" operator="lessThan">
      <formula>0.5</formula>
    </cfRule>
  </conditionalFormatting>
  <conditionalFormatting sqref="AJ8">
    <cfRule type="cellIs" dxfId="39144" priority="56462" stopIfTrue="1" operator="greaterThanOrEqual">
      <formula>0.5</formula>
    </cfRule>
  </conditionalFormatting>
  <conditionalFormatting sqref="AJ9">
    <cfRule type="cellIs" dxfId="39143" priority="56463" stopIfTrue="1" operator="equal">
      <formula>-1</formula>
    </cfRule>
  </conditionalFormatting>
  <conditionalFormatting sqref="AJ9">
    <cfRule type="cellIs" dxfId="39142" priority="56464" stopIfTrue="1" operator="lessThan">
      <formula>0.5</formula>
    </cfRule>
  </conditionalFormatting>
  <conditionalFormatting sqref="AJ9">
    <cfRule type="cellIs" dxfId="39141" priority="56465" stopIfTrue="1" operator="greaterThanOrEqual">
      <formula>0.5</formula>
    </cfRule>
  </conditionalFormatting>
  <conditionalFormatting sqref="AJ10">
    <cfRule type="cellIs" dxfId="39140" priority="56466" stopIfTrue="1" operator="equal">
      <formula>-1</formula>
    </cfRule>
  </conditionalFormatting>
  <conditionalFormatting sqref="AJ10">
    <cfRule type="cellIs" dxfId="39139" priority="56467" stopIfTrue="1" operator="lessThan">
      <formula>0.5</formula>
    </cfRule>
  </conditionalFormatting>
  <conditionalFormatting sqref="AJ10">
    <cfRule type="cellIs" dxfId="39138" priority="56468" stopIfTrue="1" operator="greaterThanOrEqual">
      <formula>0.5</formula>
    </cfRule>
  </conditionalFormatting>
  <conditionalFormatting sqref="AJ11">
    <cfRule type="cellIs" dxfId="39137" priority="56469" stopIfTrue="1" operator="equal">
      <formula>-1</formula>
    </cfRule>
  </conditionalFormatting>
  <conditionalFormatting sqref="AJ11">
    <cfRule type="cellIs" dxfId="39136" priority="56470" stopIfTrue="1" operator="lessThan">
      <formula>0.5</formula>
    </cfRule>
  </conditionalFormatting>
  <conditionalFormatting sqref="AJ11">
    <cfRule type="cellIs" dxfId="39135" priority="56471" stopIfTrue="1" operator="greaterThanOrEqual">
      <formula>0.5</formula>
    </cfRule>
  </conditionalFormatting>
  <conditionalFormatting sqref="AJ12">
    <cfRule type="cellIs" dxfId="39134" priority="56472" stopIfTrue="1" operator="equal">
      <formula>-1</formula>
    </cfRule>
  </conditionalFormatting>
  <conditionalFormatting sqref="AJ12">
    <cfRule type="cellIs" dxfId="39133" priority="56473" stopIfTrue="1" operator="lessThan">
      <formula>0.5</formula>
    </cfRule>
  </conditionalFormatting>
  <conditionalFormatting sqref="AJ12">
    <cfRule type="cellIs" dxfId="39132" priority="56474" stopIfTrue="1" operator="greaterThanOrEqual">
      <formula>0.5</formula>
    </cfRule>
  </conditionalFormatting>
  <conditionalFormatting sqref="AJ13">
    <cfRule type="cellIs" dxfId="39131" priority="56475" stopIfTrue="1" operator="equal">
      <formula>-1</formula>
    </cfRule>
  </conditionalFormatting>
  <conditionalFormatting sqref="AJ13">
    <cfRule type="cellIs" dxfId="39130" priority="56476" stopIfTrue="1" operator="lessThan">
      <formula>0.5</formula>
    </cfRule>
  </conditionalFormatting>
  <conditionalFormatting sqref="AJ13">
    <cfRule type="cellIs" dxfId="39129" priority="56477" stopIfTrue="1" operator="greaterThanOrEqual">
      <formula>0.5</formula>
    </cfRule>
  </conditionalFormatting>
  <conditionalFormatting sqref="AJ14">
    <cfRule type="cellIs" dxfId="39128" priority="56478" stopIfTrue="1" operator="equal">
      <formula>-1</formula>
    </cfRule>
  </conditionalFormatting>
  <conditionalFormatting sqref="AJ14">
    <cfRule type="cellIs" dxfId="39127" priority="56479" stopIfTrue="1" operator="lessThan">
      <formula>0.5</formula>
    </cfRule>
  </conditionalFormatting>
  <conditionalFormatting sqref="AJ14">
    <cfRule type="cellIs" dxfId="39126" priority="56480" stopIfTrue="1" operator="greaterThanOrEqual">
      <formula>0.5</formula>
    </cfRule>
  </conditionalFormatting>
  <conditionalFormatting sqref="AJ15">
    <cfRule type="cellIs" dxfId="39125" priority="56481" stopIfTrue="1" operator="equal">
      <formula>-1</formula>
    </cfRule>
  </conditionalFormatting>
  <conditionalFormatting sqref="AJ15">
    <cfRule type="cellIs" dxfId="39124" priority="56482" stopIfTrue="1" operator="lessThan">
      <formula>0.5</formula>
    </cfRule>
  </conditionalFormatting>
  <conditionalFormatting sqref="AJ15">
    <cfRule type="cellIs" dxfId="39123" priority="56483" stopIfTrue="1" operator="greaterThanOrEqual">
      <formula>0.5</formula>
    </cfRule>
  </conditionalFormatting>
  <conditionalFormatting sqref="AL8">
    <cfRule type="cellIs" dxfId="39122" priority="56484" stopIfTrue="1" operator="equal">
      <formula>-1</formula>
    </cfRule>
  </conditionalFormatting>
  <conditionalFormatting sqref="AL8">
    <cfRule type="cellIs" dxfId="39121" priority="56485" stopIfTrue="1" operator="lessThan">
      <formula>0.5</formula>
    </cfRule>
  </conditionalFormatting>
  <conditionalFormatting sqref="AL8">
    <cfRule type="cellIs" dxfId="39120" priority="56486" stopIfTrue="1" operator="greaterThanOrEqual">
      <formula>0.5</formula>
    </cfRule>
  </conditionalFormatting>
  <conditionalFormatting sqref="AL9">
    <cfRule type="cellIs" dxfId="39119" priority="56487" stopIfTrue="1" operator="equal">
      <formula>-1</formula>
    </cfRule>
  </conditionalFormatting>
  <conditionalFormatting sqref="AL9">
    <cfRule type="cellIs" dxfId="39118" priority="56488" stopIfTrue="1" operator="lessThan">
      <formula>0.5</formula>
    </cfRule>
  </conditionalFormatting>
  <conditionalFormatting sqref="AL9">
    <cfRule type="cellIs" dxfId="39117" priority="56489" stopIfTrue="1" operator="greaterThanOrEqual">
      <formula>0.5</formula>
    </cfRule>
  </conditionalFormatting>
  <conditionalFormatting sqref="AL10">
    <cfRule type="cellIs" dxfId="39116" priority="56490" stopIfTrue="1" operator="equal">
      <formula>-1</formula>
    </cfRule>
  </conditionalFormatting>
  <conditionalFormatting sqref="AL10">
    <cfRule type="cellIs" dxfId="39115" priority="56491" stopIfTrue="1" operator="lessThan">
      <formula>0.5</formula>
    </cfRule>
  </conditionalFormatting>
  <conditionalFormatting sqref="AL10">
    <cfRule type="cellIs" dxfId="39114" priority="56492" stopIfTrue="1" operator="greaterThanOrEqual">
      <formula>0.5</formula>
    </cfRule>
  </conditionalFormatting>
  <conditionalFormatting sqref="AL11">
    <cfRule type="cellIs" dxfId="39113" priority="56493" stopIfTrue="1" operator="equal">
      <formula>-1</formula>
    </cfRule>
  </conditionalFormatting>
  <conditionalFormatting sqref="AL11">
    <cfRule type="cellIs" dxfId="39112" priority="56494" stopIfTrue="1" operator="lessThan">
      <formula>0.5</formula>
    </cfRule>
  </conditionalFormatting>
  <conditionalFormatting sqref="AL11">
    <cfRule type="cellIs" dxfId="39111" priority="56495" stopIfTrue="1" operator="greaterThanOrEqual">
      <formula>0.5</formula>
    </cfRule>
  </conditionalFormatting>
  <conditionalFormatting sqref="AL12">
    <cfRule type="cellIs" dxfId="39110" priority="56496" stopIfTrue="1" operator="equal">
      <formula>-1</formula>
    </cfRule>
  </conditionalFormatting>
  <conditionalFormatting sqref="AL12">
    <cfRule type="cellIs" dxfId="39109" priority="56497" stopIfTrue="1" operator="lessThan">
      <formula>0.5</formula>
    </cfRule>
  </conditionalFormatting>
  <conditionalFormatting sqref="AL12">
    <cfRule type="cellIs" dxfId="39108" priority="56498" stopIfTrue="1" operator="greaterThanOrEqual">
      <formula>0.5</formula>
    </cfRule>
  </conditionalFormatting>
  <conditionalFormatting sqref="AL13">
    <cfRule type="cellIs" dxfId="39107" priority="56499" stopIfTrue="1" operator="equal">
      <formula>-1</formula>
    </cfRule>
  </conditionalFormatting>
  <conditionalFormatting sqref="AL13">
    <cfRule type="cellIs" dxfId="39106" priority="56500" stopIfTrue="1" operator="lessThan">
      <formula>0.5</formula>
    </cfRule>
  </conditionalFormatting>
  <conditionalFormatting sqref="AL13">
    <cfRule type="cellIs" dxfId="39105" priority="56501" stopIfTrue="1" operator="greaterThanOrEqual">
      <formula>0.5</formula>
    </cfRule>
  </conditionalFormatting>
  <conditionalFormatting sqref="AL14">
    <cfRule type="cellIs" dxfId="39104" priority="56502" stopIfTrue="1" operator="equal">
      <formula>-1</formula>
    </cfRule>
  </conditionalFormatting>
  <conditionalFormatting sqref="AL14">
    <cfRule type="cellIs" dxfId="39103" priority="56503" stopIfTrue="1" operator="lessThan">
      <formula>0.5</formula>
    </cfRule>
  </conditionalFormatting>
  <conditionalFormatting sqref="AL14">
    <cfRule type="cellIs" dxfId="39102" priority="56504" stopIfTrue="1" operator="greaterThanOrEqual">
      <formula>0.5</formula>
    </cfRule>
  </conditionalFormatting>
  <conditionalFormatting sqref="AL15">
    <cfRule type="cellIs" dxfId="39101" priority="56505" stopIfTrue="1" operator="equal">
      <formula>-1</formula>
    </cfRule>
  </conditionalFormatting>
  <conditionalFormatting sqref="AL15">
    <cfRule type="cellIs" dxfId="39100" priority="56506" stopIfTrue="1" operator="lessThan">
      <formula>0.5</formula>
    </cfRule>
  </conditionalFormatting>
  <conditionalFormatting sqref="AL15">
    <cfRule type="cellIs" dxfId="39099" priority="56507" stopIfTrue="1" operator="greaterThanOrEqual">
      <formula>0.5</formula>
    </cfRule>
  </conditionalFormatting>
  <conditionalFormatting sqref="AN8">
    <cfRule type="cellIs" dxfId="39098" priority="56508" stopIfTrue="1" operator="equal">
      <formula>-1</formula>
    </cfRule>
  </conditionalFormatting>
  <conditionalFormatting sqref="AN8">
    <cfRule type="cellIs" dxfId="39097" priority="56509" stopIfTrue="1" operator="lessThan">
      <formula>0.5</formula>
    </cfRule>
  </conditionalFormatting>
  <conditionalFormatting sqref="AN8">
    <cfRule type="cellIs" dxfId="39096" priority="56510" stopIfTrue="1" operator="greaterThanOrEqual">
      <formula>0.5</formula>
    </cfRule>
  </conditionalFormatting>
  <conditionalFormatting sqref="AN9">
    <cfRule type="cellIs" dxfId="39095" priority="56511" stopIfTrue="1" operator="equal">
      <formula>-1</formula>
    </cfRule>
  </conditionalFormatting>
  <conditionalFormatting sqref="AN9">
    <cfRule type="cellIs" dxfId="39094" priority="56512" stopIfTrue="1" operator="lessThan">
      <formula>0.5</formula>
    </cfRule>
  </conditionalFormatting>
  <conditionalFormatting sqref="AN9">
    <cfRule type="cellIs" dxfId="39093" priority="56513" stopIfTrue="1" operator="greaterThanOrEqual">
      <formula>0.5</formula>
    </cfRule>
  </conditionalFormatting>
  <conditionalFormatting sqref="AN10">
    <cfRule type="cellIs" dxfId="39092" priority="56514" stopIfTrue="1" operator="equal">
      <formula>-1</formula>
    </cfRule>
  </conditionalFormatting>
  <conditionalFormatting sqref="AN10">
    <cfRule type="cellIs" dxfId="39091" priority="56515" stopIfTrue="1" operator="lessThan">
      <formula>0.5</formula>
    </cfRule>
  </conditionalFormatting>
  <conditionalFormatting sqref="AN10">
    <cfRule type="cellIs" dxfId="39090" priority="56516" stopIfTrue="1" operator="greaterThanOrEqual">
      <formula>0.5</formula>
    </cfRule>
  </conditionalFormatting>
  <conditionalFormatting sqref="AN11">
    <cfRule type="cellIs" dxfId="39089" priority="56517" stopIfTrue="1" operator="equal">
      <formula>-1</formula>
    </cfRule>
  </conditionalFormatting>
  <conditionalFormatting sqref="AN11">
    <cfRule type="cellIs" dxfId="39088" priority="56518" stopIfTrue="1" operator="lessThan">
      <formula>0.5</formula>
    </cfRule>
  </conditionalFormatting>
  <conditionalFormatting sqref="AN11">
    <cfRule type="cellIs" dxfId="39087" priority="56519" stopIfTrue="1" operator="greaterThanOrEqual">
      <formula>0.5</formula>
    </cfRule>
  </conditionalFormatting>
  <conditionalFormatting sqref="AN12">
    <cfRule type="cellIs" dxfId="39086" priority="56520" stopIfTrue="1" operator="equal">
      <formula>-1</formula>
    </cfRule>
  </conditionalFormatting>
  <conditionalFormatting sqref="AN12">
    <cfRule type="cellIs" dxfId="39085" priority="56521" stopIfTrue="1" operator="lessThan">
      <formula>0.5</formula>
    </cfRule>
  </conditionalFormatting>
  <conditionalFormatting sqref="AN12">
    <cfRule type="cellIs" dxfId="39084" priority="56522" stopIfTrue="1" operator="greaterThanOrEqual">
      <formula>0.5</formula>
    </cfRule>
  </conditionalFormatting>
  <conditionalFormatting sqref="AN13">
    <cfRule type="cellIs" dxfId="39083" priority="56523" stopIfTrue="1" operator="equal">
      <formula>-1</formula>
    </cfRule>
  </conditionalFormatting>
  <conditionalFormatting sqref="AN13">
    <cfRule type="cellIs" dxfId="39082" priority="56524" stopIfTrue="1" operator="lessThan">
      <formula>0.5</formula>
    </cfRule>
  </conditionalFormatting>
  <conditionalFormatting sqref="AN13">
    <cfRule type="cellIs" dxfId="39081" priority="56525" stopIfTrue="1" operator="greaterThanOrEqual">
      <formula>0.5</formula>
    </cfRule>
  </conditionalFormatting>
  <conditionalFormatting sqref="AN14">
    <cfRule type="cellIs" dxfId="39080" priority="56526" stopIfTrue="1" operator="equal">
      <formula>-1</formula>
    </cfRule>
  </conditionalFormatting>
  <conditionalFormatting sqref="AN14">
    <cfRule type="cellIs" dxfId="39079" priority="56527" stopIfTrue="1" operator="lessThan">
      <formula>0.5</formula>
    </cfRule>
  </conditionalFormatting>
  <conditionalFormatting sqref="AN14">
    <cfRule type="cellIs" dxfId="39078" priority="56528" stopIfTrue="1" operator="greaterThanOrEqual">
      <formula>0.5</formula>
    </cfRule>
  </conditionalFormatting>
  <conditionalFormatting sqref="AN15">
    <cfRule type="cellIs" dxfId="39077" priority="56529" stopIfTrue="1" operator="equal">
      <formula>-1</formula>
    </cfRule>
  </conditionalFormatting>
  <conditionalFormatting sqref="AN15">
    <cfRule type="cellIs" dxfId="39076" priority="56530" stopIfTrue="1" operator="lessThan">
      <formula>0.5</formula>
    </cfRule>
  </conditionalFormatting>
  <conditionalFormatting sqref="AN15">
    <cfRule type="cellIs" dxfId="39075" priority="56531" stopIfTrue="1" operator="greaterThanOrEqual">
      <formula>0.5</formula>
    </cfRule>
  </conditionalFormatting>
  <conditionalFormatting sqref="AP8">
    <cfRule type="cellIs" dxfId="39074" priority="56532" stopIfTrue="1" operator="equal">
      <formula>-1</formula>
    </cfRule>
  </conditionalFormatting>
  <conditionalFormatting sqref="AP8">
    <cfRule type="cellIs" dxfId="39073" priority="56533" stopIfTrue="1" operator="lessThan">
      <formula>0.5</formula>
    </cfRule>
  </conditionalFormatting>
  <conditionalFormatting sqref="AP8">
    <cfRule type="cellIs" dxfId="39072" priority="56534" stopIfTrue="1" operator="greaterThanOrEqual">
      <formula>0.5</formula>
    </cfRule>
  </conditionalFormatting>
  <conditionalFormatting sqref="AP9">
    <cfRule type="cellIs" dxfId="39071" priority="56535" stopIfTrue="1" operator="equal">
      <formula>-1</formula>
    </cfRule>
  </conditionalFormatting>
  <conditionalFormatting sqref="AP9">
    <cfRule type="cellIs" dxfId="39070" priority="56536" stopIfTrue="1" operator="lessThan">
      <formula>0.5</formula>
    </cfRule>
  </conditionalFormatting>
  <conditionalFormatting sqref="AP9">
    <cfRule type="cellIs" dxfId="39069" priority="56537" stopIfTrue="1" operator="greaterThanOrEqual">
      <formula>0.5</formula>
    </cfRule>
  </conditionalFormatting>
  <conditionalFormatting sqref="AP10">
    <cfRule type="cellIs" dxfId="39068" priority="56538" stopIfTrue="1" operator="equal">
      <formula>-1</formula>
    </cfRule>
  </conditionalFormatting>
  <conditionalFormatting sqref="AP10">
    <cfRule type="cellIs" dxfId="39067" priority="56539" stopIfTrue="1" operator="lessThan">
      <formula>0.5</formula>
    </cfRule>
  </conditionalFormatting>
  <conditionalFormatting sqref="AP10">
    <cfRule type="cellIs" dxfId="39066" priority="56540" stopIfTrue="1" operator="greaterThanOrEqual">
      <formula>0.5</formula>
    </cfRule>
  </conditionalFormatting>
  <conditionalFormatting sqref="AP11">
    <cfRule type="cellIs" dxfId="39065" priority="56541" stopIfTrue="1" operator="equal">
      <formula>-1</formula>
    </cfRule>
  </conditionalFormatting>
  <conditionalFormatting sqref="AP11">
    <cfRule type="cellIs" dxfId="39064" priority="56542" stopIfTrue="1" operator="lessThan">
      <formula>0.5</formula>
    </cfRule>
  </conditionalFormatting>
  <conditionalFormatting sqref="AP11">
    <cfRule type="cellIs" dxfId="39063" priority="56543" stopIfTrue="1" operator="greaterThanOrEqual">
      <formula>0.5</formula>
    </cfRule>
  </conditionalFormatting>
  <conditionalFormatting sqref="AP12">
    <cfRule type="cellIs" dxfId="39062" priority="56544" stopIfTrue="1" operator="equal">
      <formula>-1</formula>
    </cfRule>
  </conditionalFormatting>
  <conditionalFormatting sqref="AP12">
    <cfRule type="cellIs" dxfId="39061" priority="56545" stopIfTrue="1" operator="lessThan">
      <formula>0.5</formula>
    </cfRule>
  </conditionalFormatting>
  <conditionalFormatting sqref="AP12">
    <cfRule type="cellIs" dxfId="39060" priority="56546" stopIfTrue="1" operator="greaterThanOrEqual">
      <formula>0.5</formula>
    </cfRule>
  </conditionalFormatting>
  <conditionalFormatting sqref="AP13">
    <cfRule type="cellIs" dxfId="39059" priority="56547" stopIfTrue="1" operator="equal">
      <formula>-1</formula>
    </cfRule>
  </conditionalFormatting>
  <conditionalFormatting sqref="AP13">
    <cfRule type="cellIs" dxfId="39058" priority="56548" stopIfTrue="1" operator="lessThan">
      <formula>0.5</formula>
    </cfRule>
  </conditionalFormatting>
  <conditionalFormatting sqref="AP13">
    <cfRule type="cellIs" dxfId="39057" priority="56549" stopIfTrue="1" operator="greaterThanOrEqual">
      <formula>0.5</formula>
    </cfRule>
  </conditionalFormatting>
  <conditionalFormatting sqref="AP14">
    <cfRule type="cellIs" dxfId="39056" priority="56550" stopIfTrue="1" operator="equal">
      <formula>-1</formula>
    </cfRule>
  </conditionalFormatting>
  <conditionalFormatting sqref="AP14">
    <cfRule type="cellIs" dxfId="39055" priority="56551" stopIfTrue="1" operator="lessThan">
      <formula>0.5</formula>
    </cfRule>
  </conditionalFormatting>
  <conditionalFormatting sqref="AP14">
    <cfRule type="cellIs" dxfId="39054" priority="56552" stopIfTrue="1" operator="greaterThanOrEqual">
      <formula>0.5</formula>
    </cfRule>
  </conditionalFormatting>
  <conditionalFormatting sqref="AP15">
    <cfRule type="cellIs" dxfId="39053" priority="56553" stopIfTrue="1" operator="equal">
      <formula>-1</formula>
    </cfRule>
  </conditionalFormatting>
  <conditionalFormatting sqref="AP15">
    <cfRule type="cellIs" dxfId="39052" priority="56554" stopIfTrue="1" operator="lessThan">
      <formula>0.5</formula>
    </cfRule>
  </conditionalFormatting>
  <conditionalFormatting sqref="AP15">
    <cfRule type="cellIs" dxfId="39051" priority="56555" stopIfTrue="1" operator="greaterThanOrEqual">
      <formula>0.5</formula>
    </cfRule>
  </conditionalFormatting>
  <conditionalFormatting sqref="AR8">
    <cfRule type="cellIs" dxfId="39050" priority="56556" stopIfTrue="1" operator="equal">
      <formula>-1</formula>
    </cfRule>
  </conditionalFormatting>
  <conditionalFormatting sqref="AR8">
    <cfRule type="cellIs" dxfId="39049" priority="56557" stopIfTrue="1" operator="lessThan">
      <formula>0.5</formula>
    </cfRule>
  </conditionalFormatting>
  <conditionalFormatting sqref="AR8">
    <cfRule type="cellIs" dxfId="39048" priority="56558" stopIfTrue="1" operator="greaterThanOrEqual">
      <formula>0.5</formula>
    </cfRule>
  </conditionalFormatting>
  <conditionalFormatting sqref="AR9">
    <cfRule type="cellIs" dxfId="39047" priority="56559" stopIfTrue="1" operator="equal">
      <formula>-1</formula>
    </cfRule>
  </conditionalFormatting>
  <conditionalFormatting sqref="AR9">
    <cfRule type="cellIs" dxfId="39046" priority="56560" stopIfTrue="1" operator="lessThan">
      <formula>0.5</formula>
    </cfRule>
  </conditionalFormatting>
  <conditionalFormatting sqref="AR9">
    <cfRule type="cellIs" dxfId="39045" priority="56561" stopIfTrue="1" operator="greaterThanOrEqual">
      <formula>0.5</formula>
    </cfRule>
  </conditionalFormatting>
  <conditionalFormatting sqref="AR10">
    <cfRule type="cellIs" dxfId="39044" priority="56562" stopIfTrue="1" operator="equal">
      <formula>-1</formula>
    </cfRule>
  </conditionalFormatting>
  <conditionalFormatting sqref="AR10">
    <cfRule type="cellIs" dxfId="39043" priority="56563" stopIfTrue="1" operator="lessThan">
      <formula>0.5</formula>
    </cfRule>
  </conditionalFormatting>
  <conditionalFormatting sqref="AR10">
    <cfRule type="cellIs" dxfId="39042" priority="56564" stopIfTrue="1" operator="greaterThanOrEqual">
      <formula>0.5</formula>
    </cfRule>
  </conditionalFormatting>
  <conditionalFormatting sqref="AR11">
    <cfRule type="cellIs" dxfId="39041" priority="56565" stopIfTrue="1" operator="equal">
      <formula>-1</formula>
    </cfRule>
  </conditionalFormatting>
  <conditionalFormatting sqref="AR11">
    <cfRule type="cellIs" dxfId="39040" priority="56566" stopIfTrue="1" operator="lessThan">
      <formula>0.5</formula>
    </cfRule>
  </conditionalFormatting>
  <conditionalFormatting sqref="AR11">
    <cfRule type="cellIs" dxfId="39039" priority="56567" stopIfTrue="1" operator="greaterThanOrEqual">
      <formula>0.5</formula>
    </cfRule>
  </conditionalFormatting>
  <conditionalFormatting sqref="AR12">
    <cfRule type="cellIs" dxfId="39038" priority="56568" stopIfTrue="1" operator="equal">
      <formula>-1</formula>
    </cfRule>
  </conditionalFormatting>
  <conditionalFormatting sqref="AR12">
    <cfRule type="cellIs" dxfId="39037" priority="56569" stopIfTrue="1" operator="lessThan">
      <formula>0.5</formula>
    </cfRule>
  </conditionalFormatting>
  <conditionalFormatting sqref="AR12">
    <cfRule type="cellIs" dxfId="39036" priority="56570" stopIfTrue="1" operator="greaterThanOrEqual">
      <formula>0.5</formula>
    </cfRule>
  </conditionalFormatting>
  <conditionalFormatting sqref="AR13">
    <cfRule type="cellIs" dxfId="39035" priority="56571" stopIfTrue="1" operator="equal">
      <formula>-1</formula>
    </cfRule>
  </conditionalFormatting>
  <conditionalFormatting sqref="AR13">
    <cfRule type="cellIs" dxfId="39034" priority="56572" stopIfTrue="1" operator="lessThan">
      <formula>0.5</formula>
    </cfRule>
  </conditionalFormatting>
  <conditionalFormatting sqref="AR13">
    <cfRule type="cellIs" dxfId="39033" priority="56573" stopIfTrue="1" operator="greaterThanOrEqual">
      <formula>0.5</formula>
    </cfRule>
  </conditionalFormatting>
  <conditionalFormatting sqref="AR14">
    <cfRule type="cellIs" dxfId="39032" priority="56574" stopIfTrue="1" operator="equal">
      <formula>-1</formula>
    </cfRule>
  </conditionalFormatting>
  <conditionalFormatting sqref="AR14">
    <cfRule type="cellIs" dxfId="39031" priority="56575" stopIfTrue="1" operator="lessThan">
      <formula>0.5</formula>
    </cfRule>
  </conditionalFormatting>
  <conditionalFormatting sqref="AR14">
    <cfRule type="cellIs" dxfId="39030" priority="56576" stopIfTrue="1" operator="greaterThanOrEqual">
      <formula>0.5</formula>
    </cfRule>
  </conditionalFormatting>
  <conditionalFormatting sqref="AR15">
    <cfRule type="cellIs" dxfId="39029" priority="56577" stopIfTrue="1" operator="equal">
      <formula>-1</formula>
    </cfRule>
  </conditionalFormatting>
  <conditionalFormatting sqref="AR15">
    <cfRule type="cellIs" dxfId="39028" priority="56578" stopIfTrue="1" operator="lessThan">
      <formula>0.5</formula>
    </cfRule>
  </conditionalFormatting>
  <conditionalFormatting sqref="AR15">
    <cfRule type="cellIs" dxfId="39027" priority="56579" stopIfTrue="1" operator="greaterThanOrEqual">
      <formula>0.5</formula>
    </cfRule>
  </conditionalFormatting>
  <conditionalFormatting sqref="AT8">
    <cfRule type="cellIs" dxfId="39026" priority="56580" stopIfTrue="1" operator="equal">
      <formula>-1</formula>
    </cfRule>
  </conditionalFormatting>
  <conditionalFormatting sqref="AT8">
    <cfRule type="cellIs" dxfId="39025" priority="56581" stopIfTrue="1" operator="lessThan">
      <formula>0.5</formula>
    </cfRule>
  </conditionalFormatting>
  <conditionalFormatting sqref="AT8">
    <cfRule type="cellIs" dxfId="39024" priority="56582" stopIfTrue="1" operator="greaterThanOrEqual">
      <formula>0.5</formula>
    </cfRule>
  </conditionalFormatting>
  <conditionalFormatting sqref="AT9">
    <cfRule type="cellIs" dxfId="39023" priority="56583" stopIfTrue="1" operator="equal">
      <formula>-1</formula>
    </cfRule>
  </conditionalFormatting>
  <conditionalFormatting sqref="AT9">
    <cfRule type="cellIs" dxfId="39022" priority="56584" stopIfTrue="1" operator="lessThan">
      <formula>0.5</formula>
    </cfRule>
  </conditionalFormatting>
  <conditionalFormatting sqref="AT9">
    <cfRule type="cellIs" dxfId="39021" priority="56585" stopIfTrue="1" operator="greaterThanOrEqual">
      <formula>0.5</formula>
    </cfRule>
  </conditionalFormatting>
  <conditionalFormatting sqref="AT10">
    <cfRule type="cellIs" dxfId="39020" priority="56586" stopIfTrue="1" operator="equal">
      <formula>-1</formula>
    </cfRule>
  </conditionalFormatting>
  <conditionalFormatting sqref="AT10">
    <cfRule type="cellIs" dxfId="39019" priority="56587" stopIfTrue="1" operator="lessThan">
      <formula>0.5</formula>
    </cfRule>
  </conditionalFormatting>
  <conditionalFormatting sqref="AT10">
    <cfRule type="cellIs" dxfId="39018" priority="56588" stopIfTrue="1" operator="greaterThanOrEqual">
      <formula>0.5</formula>
    </cfRule>
  </conditionalFormatting>
  <conditionalFormatting sqref="AT11">
    <cfRule type="cellIs" dxfId="39017" priority="56589" stopIfTrue="1" operator="equal">
      <formula>-1</formula>
    </cfRule>
  </conditionalFormatting>
  <conditionalFormatting sqref="AT11">
    <cfRule type="cellIs" dxfId="39016" priority="56590" stopIfTrue="1" operator="lessThan">
      <formula>0.5</formula>
    </cfRule>
  </conditionalFormatting>
  <conditionalFormatting sqref="AT11">
    <cfRule type="cellIs" dxfId="39015" priority="56591" stopIfTrue="1" operator="greaterThanOrEqual">
      <formula>0.5</formula>
    </cfRule>
  </conditionalFormatting>
  <conditionalFormatting sqref="AT12">
    <cfRule type="cellIs" dxfId="39014" priority="56592" stopIfTrue="1" operator="equal">
      <formula>-1</formula>
    </cfRule>
  </conditionalFormatting>
  <conditionalFormatting sqref="AT12">
    <cfRule type="cellIs" dxfId="39013" priority="56593" stopIfTrue="1" operator="lessThan">
      <formula>0.5</formula>
    </cfRule>
  </conditionalFormatting>
  <conditionalFormatting sqref="AT12">
    <cfRule type="cellIs" dxfId="39012" priority="56594" stopIfTrue="1" operator="greaterThanOrEqual">
      <formula>0.5</formula>
    </cfRule>
  </conditionalFormatting>
  <conditionalFormatting sqref="AT13">
    <cfRule type="cellIs" dxfId="39011" priority="56595" stopIfTrue="1" operator="equal">
      <formula>-1</formula>
    </cfRule>
  </conditionalFormatting>
  <conditionalFormatting sqref="AT13">
    <cfRule type="cellIs" dxfId="39010" priority="56596" stopIfTrue="1" operator="lessThan">
      <formula>0.5</formula>
    </cfRule>
  </conditionalFormatting>
  <conditionalFormatting sqref="AT13">
    <cfRule type="cellIs" dxfId="39009" priority="56597" stopIfTrue="1" operator="greaterThanOrEqual">
      <formula>0.5</formula>
    </cfRule>
  </conditionalFormatting>
  <conditionalFormatting sqref="AT14">
    <cfRule type="cellIs" dxfId="39008" priority="56598" stopIfTrue="1" operator="equal">
      <formula>-1</formula>
    </cfRule>
  </conditionalFormatting>
  <conditionalFormatting sqref="AT14">
    <cfRule type="cellIs" dxfId="39007" priority="56599" stopIfTrue="1" operator="lessThan">
      <formula>0.5</formula>
    </cfRule>
  </conditionalFormatting>
  <conditionalFormatting sqref="AT14">
    <cfRule type="cellIs" dxfId="39006" priority="56600" stopIfTrue="1" operator="greaterThanOrEqual">
      <formula>0.5</formula>
    </cfRule>
  </conditionalFormatting>
  <conditionalFormatting sqref="AT15">
    <cfRule type="cellIs" dxfId="39005" priority="56601" stopIfTrue="1" operator="equal">
      <formula>-1</formula>
    </cfRule>
  </conditionalFormatting>
  <conditionalFormatting sqref="AT15">
    <cfRule type="cellIs" dxfId="39004" priority="56602" stopIfTrue="1" operator="lessThan">
      <formula>0.5</formula>
    </cfRule>
  </conditionalFormatting>
  <conditionalFormatting sqref="AT15">
    <cfRule type="cellIs" dxfId="39003" priority="56603" stopIfTrue="1" operator="greaterThanOrEqual">
      <formula>0.5</formula>
    </cfRule>
  </conditionalFormatting>
  <conditionalFormatting sqref="AV8">
    <cfRule type="cellIs" dxfId="39002" priority="56604" stopIfTrue="1" operator="equal">
      <formula>-1</formula>
    </cfRule>
  </conditionalFormatting>
  <conditionalFormatting sqref="AV8">
    <cfRule type="cellIs" dxfId="39001" priority="56605" stopIfTrue="1" operator="lessThan">
      <formula>0.5</formula>
    </cfRule>
  </conditionalFormatting>
  <conditionalFormatting sqref="AV8">
    <cfRule type="cellIs" dxfId="39000" priority="56606" stopIfTrue="1" operator="greaterThanOrEqual">
      <formula>0.5</formula>
    </cfRule>
  </conditionalFormatting>
  <conditionalFormatting sqref="AV9">
    <cfRule type="cellIs" dxfId="38999" priority="56607" stopIfTrue="1" operator="equal">
      <formula>-1</formula>
    </cfRule>
  </conditionalFormatting>
  <conditionalFormatting sqref="AV9">
    <cfRule type="cellIs" dxfId="38998" priority="56608" stopIfTrue="1" operator="lessThan">
      <formula>0.5</formula>
    </cfRule>
  </conditionalFormatting>
  <conditionalFormatting sqref="AV9">
    <cfRule type="cellIs" dxfId="38997" priority="56609" stopIfTrue="1" operator="greaterThanOrEqual">
      <formula>0.5</formula>
    </cfRule>
  </conditionalFormatting>
  <conditionalFormatting sqref="AV10">
    <cfRule type="cellIs" dxfId="38996" priority="56610" stopIfTrue="1" operator="equal">
      <formula>-1</formula>
    </cfRule>
  </conditionalFormatting>
  <conditionalFormatting sqref="AV10">
    <cfRule type="cellIs" dxfId="38995" priority="56611" stopIfTrue="1" operator="lessThan">
      <formula>0.5</formula>
    </cfRule>
  </conditionalFormatting>
  <conditionalFormatting sqref="AV10">
    <cfRule type="cellIs" dxfId="38994" priority="56612" stopIfTrue="1" operator="greaterThanOrEqual">
      <formula>0.5</formula>
    </cfRule>
  </conditionalFormatting>
  <conditionalFormatting sqref="AV11">
    <cfRule type="cellIs" dxfId="38993" priority="56613" stopIfTrue="1" operator="equal">
      <formula>-1</formula>
    </cfRule>
  </conditionalFormatting>
  <conditionalFormatting sqref="AV11">
    <cfRule type="cellIs" dxfId="38992" priority="56614" stopIfTrue="1" operator="lessThan">
      <formula>0.5</formula>
    </cfRule>
  </conditionalFormatting>
  <conditionalFormatting sqref="AV11">
    <cfRule type="cellIs" dxfId="38991" priority="56615" stopIfTrue="1" operator="greaterThanOrEqual">
      <formula>0.5</formula>
    </cfRule>
  </conditionalFormatting>
  <conditionalFormatting sqref="AV12">
    <cfRule type="cellIs" dxfId="38990" priority="56616" stopIfTrue="1" operator="equal">
      <formula>-1</formula>
    </cfRule>
  </conditionalFormatting>
  <conditionalFormatting sqref="AV12">
    <cfRule type="cellIs" dxfId="38989" priority="56617" stopIfTrue="1" operator="lessThan">
      <formula>0.5</formula>
    </cfRule>
  </conditionalFormatting>
  <conditionalFormatting sqref="AV12">
    <cfRule type="cellIs" dxfId="38988" priority="56618" stopIfTrue="1" operator="greaterThanOrEqual">
      <formula>0.5</formula>
    </cfRule>
  </conditionalFormatting>
  <conditionalFormatting sqref="AV13">
    <cfRule type="cellIs" dxfId="38987" priority="56619" stopIfTrue="1" operator="equal">
      <formula>-1</formula>
    </cfRule>
  </conditionalFormatting>
  <conditionalFormatting sqref="AV13">
    <cfRule type="cellIs" dxfId="38986" priority="56620" stopIfTrue="1" operator="lessThan">
      <formula>0.5</formula>
    </cfRule>
  </conditionalFormatting>
  <conditionalFormatting sqref="AV13">
    <cfRule type="cellIs" dxfId="38985" priority="56621" stopIfTrue="1" operator="greaterThanOrEqual">
      <formula>0.5</formula>
    </cfRule>
  </conditionalFormatting>
  <conditionalFormatting sqref="AV14">
    <cfRule type="cellIs" dxfId="38984" priority="56622" stopIfTrue="1" operator="equal">
      <formula>-1</formula>
    </cfRule>
  </conditionalFormatting>
  <conditionalFormatting sqref="AV14">
    <cfRule type="cellIs" dxfId="38983" priority="56623" stopIfTrue="1" operator="lessThan">
      <formula>0.5</formula>
    </cfRule>
  </conditionalFormatting>
  <conditionalFormatting sqref="AV14">
    <cfRule type="cellIs" dxfId="38982" priority="56624" stopIfTrue="1" operator="greaterThanOrEqual">
      <formula>0.5</formula>
    </cfRule>
  </conditionalFormatting>
  <conditionalFormatting sqref="AV15">
    <cfRule type="cellIs" dxfId="38981" priority="56625" stopIfTrue="1" operator="equal">
      <formula>-1</formula>
    </cfRule>
  </conditionalFormatting>
  <conditionalFormatting sqref="AV15">
    <cfRule type="cellIs" dxfId="38980" priority="56626" stopIfTrue="1" operator="lessThan">
      <formula>0.5</formula>
    </cfRule>
  </conditionalFormatting>
  <conditionalFormatting sqref="AV15">
    <cfRule type="cellIs" dxfId="38979" priority="56627" stopIfTrue="1" operator="greaterThanOrEqual">
      <formula>0.5</formula>
    </cfRule>
  </conditionalFormatting>
  <conditionalFormatting sqref="AX8">
    <cfRule type="cellIs" dxfId="38978" priority="56628" stopIfTrue="1" operator="equal">
      <formula>-1</formula>
    </cfRule>
  </conditionalFormatting>
  <conditionalFormatting sqref="AX8">
    <cfRule type="cellIs" dxfId="38977" priority="56629" stopIfTrue="1" operator="lessThan">
      <formula>0.5</formula>
    </cfRule>
  </conditionalFormatting>
  <conditionalFormatting sqref="AX8">
    <cfRule type="cellIs" dxfId="38976" priority="56630" stopIfTrue="1" operator="greaterThanOrEqual">
      <formula>0.5</formula>
    </cfRule>
  </conditionalFormatting>
  <conditionalFormatting sqref="AX9">
    <cfRule type="cellIs" dxfId="38975" priority="56631" stopIfTrue="1" operator="equal">
      <formula>-1</formula>
    </cfRule>
  </conditionalFormatting>
  <conditionalFormatting sqref="AX9">
    <cfRule type="cellIs" dxfId="38974" priority="56632" stopIfTrue="1" operator="lessThan">
      <formula>0.5</formula>
    </cfRule>
  </conditionalFormatting>
  <conditionalFormatting sqref="AX9">
    <cfRule type="cellIs" dxfId="38973" priority="56633" stopIfTrue="1" operator="greaterThanOrEqual">
      <formula>0.5</formula>
    </cfRule>
  </conditionalFormatting>
  <conditionalFormatting sqref="AX10">
    <cfRule type="cellIs" dxfId="38972" priority="56634" stopIfTrue="1" operator="equal">
      <formula>-1</formula>
    </cfRule>
  </conditionalFormatting>
  <conditionalFormatting sqref="AX10">
    <cfRule type="cellIs" dxfId="38971" priority="56635" stopIfTrue="1" operator="lessThan">
      <formula>0.5</formula>
    </cfRule>
  </conditionalFormatting>
  <conditionalFormatting sqref="AX10">
    <cfRule type="cellIs" dxfId="38970" priority="56636" stopIfTrue="1" operator="greaterThanOrEqual">
      <formula>0.5</formula>
    </cfRule>
  </conditionalFormatting>
  <conditionalFormatting sqref="AX11">
    <cfRule type="cellIs" dxfId="38969" priority="56637" stopIfTrue="1" operator="equal">
      <formula>-1</formula>
    </cfRule>
  </conditionalFormatting>
  <conditionalFormatting sqref="AX11">
    <cfRule type="cellIs" dxfId="38968" priority="56638" stopIfTrue="1" operator="lessThan">
      <formula>0.5</formula>
    </cfRule>
  </conditionalFormatting>
  <conditionalFormatting sqref="AX11">
    <cfRule type="cellIs" dxfId="38967" priority="56639" stopIfTrue="1" operator="greaterThanOrEqual">
      <formula>0.5</formula>
    </cfRule>
  </conditionalFormatting>
  <conditionalFormatting sqref="AX12">
    <cfRule type="cellIs" dxfId="38966" priority="56640" stopIfTrue="1" operator="equal">
      <formula>-1</formula>
    </cfRule>
  </conditionalFormatting>
  <conditionalFormatting sqref="AX12">
    <cfRule type="cellIs" dxfId="38965" priority="56641" stopIfTrue="1" operator="lessThan">
      <formula>0.5</formula>
    </cfRule>
  </conditionalFormatting>
  <conditionalFormatting sqref="AX12">
    <cfRule type="cellIs" dxfId="38964" priority="56642" stopIfTrue="1" operator="greaterThanOrEqual">
      <formula>0.5</formula>
    </cfRule>
  </conditionalFormatting>
  <conditionalFormatting sqref="AX13">
    <cfRule type="cellIs" dxfId="38963" priority="56643" stopIfTrue="1" operator="equal">
      <formula>-1</formula>
    </cfRule>
  </conditionalFormatting>
  <conditionalFormatting sqref="AX13">
    <cfRule type="cellIs" dxfId="38962" priority="56644" stopIfTrue="1" operator="lessThan">
      <formula>0.5</formula>
    </cfRule>
  </conditionalFormatting>
  <conditionalFormatting sqref="AX13">
    <cfRule type="cellIs" dxfId="38961" priority="56645" stopIfTrue="1" operator="greaterThanOrEqual">
      <formula>0.5</formula>
    </cfRule>
  </conditionalFormatting>
  <conditionalFormatting sqref="AX14">
    <cfRule type="cellIs" dxfId="38960" priority="56646" stopIfTrue="1" operator="equal">
      <formula>-1</formula>
    </cfRule>
  </conditionalFormatting>
  <conditionalFormatting sqref="AX14">
    <cfRule type="cellIs" dxfId="38959" priority="56647" stopIfTrue="1" operator="lessThan">
      <formula>0.5</formula>
    </cfRule>
  </conditionalFormatting>
  <conditionalFormatting sqref="AX14">
    <cfRule type="cellIs" dxfId="38958" priority="56648" stopIfTrue="1" operator="greaterThanOrEqual">
      <formula>0.5</formula>
    </cfRule>
  </conditionalFormatting>
  <conditionalFormatting sqref="AX15">
    <cfRule type="cellIs" dxfId="38957" priority="56649" stopIfTrue="1" operator="equal">
      <formula>-1</formula>
    </cfRule>
  </conditionalFormatting>
  <conditionalFormatting sqref="AX15">
    <cfRule type="cellIs" dxfId="38956" priority="56650" stopIfTrue="1" operator="lessThan">
      <formula>0.5</formula>
    </cfRule>
  </conditionalFormatting>
  <conditionalFormatting sqref="AX15">
    <cfRule type="cellIs" dxfId="38955" priority="56651" stopIfTrue="1" operator="greaterThanOrEqual">
      <formula>0.5</formula>
    </cfRule>
  </conditionalFormatting>
  <conditionalFormatting sqref="AZ8">
    <cfRule type="cellIs" dxfId="38954" priority="56652" stopIfTrue="1" operator="equal">
      <formula>-1</formula>
    </cfRule>
  </conditionalFormatting>
  <conditionalFormatting sqref="AZ8">
    <cfRule type="cellIs" dxfId="38953" priority="56653" stopIfTrue="1" operator="lessThan">
      <formula>0.5</formula>
    </cfRule>
  </conditionalFormatting>
  <conditionalFormatting sqref="AZ8">
    <cfRule type="cellIs" dxfId="38952" priority="56654" stopIfTrue="1" operator="greaterThanOrEqual">
      <formula>0.5</formula>
    </cfRule>
  </conditionalFormatting>
  <conditionalFormatting sqref="AZ9">
    <cfRule type="cellIs" dxfId="38951" priority="56655" stopIfTrue="1" operator="equal">
      <formula>-1</formula>
    </cfRule>
  </conditionalFormatting>
  <conditionalFormatting sqref="AZ9">
    <cfRule type="cellIs" dxfId="38950" priority="56656" stopIfTrue="1" operator="lessThan">
      <formula>0.5</formula>
    </cfRule>
  </conditionalFormatting>
  <conditionalFormatting sqref="AZ9">
    <cfRule type="cellIs" dxfId="38949" priority="56657" stopIfTrue="1" operator="greaterThanOrEqual">
      <formula>0.5</formula>
    </cfRule>
  </conditionalFormatting>
  <conditionalFormatting sqref="AZ10">
    <cfRule type="cellIs" dxfId="38948" priority="56658" stopIfTrue="1" operator="equal">
      <formula>-1</formula>
    </cfRule>
  </conditionalFormatting>
  <conditionalFormatting sqref="AZ10">
    <cfRule type="cellIs" dxfId="38947" priority="56659" stopIfTrue="1" operator="lessThan">
      <formula>0.5</formula>
    </cfRule>
  </conditionalFormatting>
  <conditionalFormatting sqref="AZ10">
    <cfRule type="cellIs" dxfId="38946" priority="56660" stopIfTrue="1" operator="greaterThanOrEqual">
      <formula>0.5</formula>
    </cfRule>
  </conditionalFormatting>
  <conditionalFormatting sqref="AZ11">
    <cfRule type="cellIs" dxfId="38945" priority="56661" stopIfTrue="1" operator="equal">
      <formula>-1</formula>
    </cfRule>
  </conditionalFormatting>
  <conditionalFormatting sqref="AZ11">
    <cfRule type="cellIs" dxfId="38944" priority="56662" stopIfTrue="1" operator="lessThan">
      <formula>0.5</formula>
    </cfRule>
  </conditionalFormatting>
  <conditionalFormatting sqref="AZ11">
    <cfRule type="cellIs" dxfId="38943" priority="56663" stopIfTrue="1" operator="greaterThanOrEqual">
      <formula>0.5</formula>
    </cfRule>
  </conditionalFormatting>
  <conditionalFormatting sqref="AZ12">
    <cfRule type="cellIs" dxfId="38942" priority="56664" stopIfTrue="1" operator="equal">
      <formula>-1</formula>
    </cfRule>
  </conditionalFormatting>
  <conditionalFormatting sqref="AZ12">
    <cfRule type="cellIs" dxfId="38941" priority="56665" stopIfTrue="1" operator="lessThan">
      <formula>0.5</formula>
    </cfRule>
  </conditionalFormatting>
  <conditionalFormatting sqref="AZ12">
    <cfRule type="cellIs" dxfId="38940" priority="56666" stopIfTrue="1" operator="greaterThanOrEqual">
      <formula>0.5</formula>
    </cfRule>
  </conditionalFormatting>
  <conditionalFormatting sqref="AZ13">
    <cfRule type="cellIs" dxfId="38939" priority="56667" stopIfTrue="1" operator="equal">
      <formula>-1</formula>
    </cfRule>
  </conditionalFormatting>
  <conditionalFormatting sqref="AZ13">
    <cfRule type="cellIs" dxfId="38938" priority="56668" stopIfTrue="1" operator="lessThan">
      <formula>0.5</formula>
    </cfRule>
  </conditionalFormatting>
  <conditionalFormatting sqref="AZ13">
    <cfRule type="cellIs" dxfId="38937" priority="56669" stopIfTrue="1" operator="greaterThanOrEqual">
      <formula>0.5</formula>
    </cfRule>
  </conditionalFormatting>
  <conditionalFormatting sqref="AZ14">
    <cfRule type="cellIs" dxfId="38936" priority="56670" stopIfTrue="1" operator="equal">
      <formula>-1</formula>
    </cfRule>
  </conditionalFormatting>
  <conditionalFormatting sqref="AZ14">
    <cfRule type="cellIs" dxfId="38935" priority="56671" stopIfTrue="1" operator="lessThan">
      <formula>0.5</formula>
    </cfRule>
  </conditionalFormatting>
  <conditionalFormatting sqref="AZ14">
    <cfRule type="cellIs" dxfId="38934" priority="56672" stopIfTrue="1" operator="greaterThanOrEqual">
      <formula>0.5</formula>
    </cfRule>
  </conditionalFormatting>
  <conditionalFormatting sqref="AZ15">
    <cfRule type="cellIs" dxfId="38933" priority="56673" stopIfTrue="1" operator="equal">
      <formula>-1</formula>
    </cfRule>
  </conditionalFormatting>
  <conditionalFormatting sqref="AZ15">
    <cfRule type="cellIs" dxfId="38932" priority="56674" stopIfTrue="1" operator="lessThan">
      <formula>0.5</formula>
    </cfRule>
  </conditionalFormatting>
  <conditionalFormatting sqref="AZ15">
    <cfRule type="cellIs" dxfId="38931" priority="56675" stopIfTrue="1" operator="greaterThanOrEqual">
      <formula>0.5</formula>
    </cfRule>
  </conditionalFormatting>
  <conditionalFormatting sqref="BB8">
    <cfRule type="cellIs" dxfId="38930" priority="56676" stopIfTrue="1" operator="equal">
      <formula>-1</formula>
    </cfRule>
  </conditionalFormatting>
  <conditionalFormatting sqref="BB8">
    <cfRule type="cellIs" dxfId="38929" priority="56677" stopIfTrue="1" operator="lessThan">
      <formula>0.5</formula>
    </cfRule>
  </conditionalFormatting>
  <conditionalFormatting sqref="BB8">
    <cfRule type="cellIs" dxfId="38928" priority="56678" stopIfTrue="1" operator="greaterThanOrEqual">
      <formula>0.5</formula>
    </cfRule>
  </conditionalFormatting>
  <conditionalFormatting sqref="BB9">
    <cfRule type="cellIs" dxfId="38927" priority="56679" stopIfTrue="1" operator="equal">
      <formula>-1</formula>
    </cfRule>
  </conditionalFormatting>
  <conditionalFormatting sqref="BB9">
    <cfRule type="cellIs" dxfId="38926" priority="56680" stopIfTrue="1" operator="lessThan">
      <formula>0.5</formula>
    </cfRule>
  </conditionalFormatting>
  <conditionalFormatting sqref="BB9">
    <cfRule type="cellIs" dxfId="38925" priority="56681" stopIfTrue="1" operator="greaterThanOrEqual">
      <formula>0.5</formula>
    </cfRule>
  </conditionalFormatting>
  <conditionalFormatting sqref="BB10">
    <cfRule type="cellIs" dxfId="38924" priority="56682" stopIfTrue="1" operator="equal">
      <formula>-1</formula>
    </cfRule>
  </conditionalFormatting>
  <conditionalFormatting sqref="BB10">
    <cfRule type="cellIs" dxfId="38923" priority="56683" stopIfTrue="1" operator="lessThan">
      <formula>0.5</formula>
    </cfRule>
  </conditionalFormatting>
  <conditionalFormatting sqref="BB10">
    <cfRule type="cellIs" dxfId="38922" priority="56684" stopIfTrue="1" operator="greaterThanOrEqual">
      <formula>0.5</formula>
    </cfRule>
  </conditionalFormatting>
  <conditionalFormatting sqref="BB11">
    <cfRule type="cellIs" dxfId="38921" priority="56685" stopIfTrue="1" operator="equal">
      <formula>-1</formula>
    </cfRule>
  </conditionalFormatting>
  <conditionalFormatting sqref="BB11">
    <cfRule type="cellIs" dxfId="38920" priority="56686" stopIfTrue="1" operator="lessThan">
      <formula>0.5</formula>
    </cfRule>
  </conditionalFormatting>
  <conditionalFormatting sqref="BB11">
    <cfRule type="cellIs" dxfId="38919" priority="56687" stopIfTrue="1" operator="greaterThanOrEqual">
      <formula>0.5</formula>
    </cfRule>
  </conditionalFormatting>
  <conditionalFormatting sqref="BB12">
    <cfRule type="cellIs" dxfId="38918" priority="56688" stopIfTrue="1" operator="equal">
      <formula>-1</formula>
    </cfRule>
  </conditionalFormatting>
  <conditionalFormatting sqref="BB12">
    <cfRule type="cellIs" dxfId="38917" priority="56689" stopIfTrue="1" operator="lessThan">
      <formula>0.5</formula>
    </cfRule>
  </conditionalFormatting>
  <conditionalFormatting sqref="BB12">
    <cfRule type="cellIs" dxfId="38916" priority="56690" stopIfTrue="1" operator="greaterThanOrEqual">
      <formula>0.5</formula>
    </cfRule>
  </conditionalFormatting>
  <conditionalFormatting sqref="BB13">
    <cfRule type="cellIs" dxfId="38915" priority="56691" stopIfTrue="1" operator="equal">
      <formula>-1</formula>
    </cfRule>
  </conditionalFormatting>
  <conditionalFormatting sqref="BB13">
    <cfRule type="cellIs" dxfId="38914" priority="56692" stopIfTrue="1" operator="lessThan">
      <formula>0.5</formula>
    </cfRule>
  </conditionalFormatting>
  <conditionalFormatting sqref="BB13">
    <cfRule type="cellIs" dxfId="38913" priority="56693" stopIfTrue="1" operator="greaterThanOrEqual">
      <formula>0.5</formula>
    </cfRule>
  </conditionalFormatting>
  <conditionalFormatting sqref="BB14">
    <cfRule type="cellIs" dxfId="38912" priority="56694" stopIfTrue="1" operator="equal">
      <formula>-1</formula>
    </cfRule>
  </conditionalFormatting>
  <conditionalFormatting sqref="BB14">
    <cfRule type="cellIs" dxfId="38911" priority="56695" stopIfTrue="1" operator="lessThan">
      <formula>0.5</formula>
    </cfRule>
  </conditionalFormatting>
  <conditionalFormatting sqref="BB14">
    <cfRule type="cellIs" dxfId="38910" priority="56696" stopIfTrue="1" operator="greaterThanOrEqual">
      <formula>0.5</formula>
    </cfRule>
  </conditionalFormatting>
  <conditionalFormatting sqref="BB15">
    <cfRule type="cellIs" dxfId="38909" priority="56697" stopIfTrue="1" operator="equal">
      <formula>-1</formula>
    </cfRule>
  </conditionalFormatting>
  <conditionalFormatting sqref="BB15">
    <cfRule type="cellIs" dxfId="38908" priority="56698" stopIfTrue="1" operator="lessThan">
      <formula>0.5</formula>
    </cfRule>
  </conditionalFormatting>
  <conditionalFormatting sqref="BB15">
    <cfRule type="cellIs" dxfId="38907" priority="56699" stopIfTrue="1" operator="greaterThanOrEqual">
      <formula>0.5</formula>
    </cfRule>
  </conditionalFormatting>
  <conditionalFormatting sqref="BD8">
    <cfRule type="cellIs" dxfId="38906" priority="56700" stopIfTrue="1" operator="equal">
      <formula>-1</formula>
    </cfRule>
  </conditionalFormatting>
  <conditionalFormatting sqref="BD8">
    <cfRule type="cellIs" dxfId="38905" priority="56701" stopIfTrue="1" operator="lessThan">
      <formula>0.5</formula>
    </cfRule>
  </conditionalFormatting>
  <conditionalFormatting sqref="BD8">
    <cfRule type="cellIs" dxfId="38904" priority="56702" stopIfTrue="1" operator="greaterThanOrEqual">
      <formula>0.5</formula>
    </cfRule>
  </conditionalFormatting>
  <conditionalFormatting sqref="BD9">
    <cfRule type="cellIs" dxfId="38903" priority="56703" stopIfTrue="1" operator="equal">
      <formula>-1</formula>
    </cfRule>
  </conditionalFormatting>
  <conditionalFormatting sqref="BD9">
    <cfRule type="cellIs" dxfId="38902" priority="56704" stopIfTrue="1" operator="lessThan">
      <formula>0.5</formula>
    </cfRule>
  </conditionalFormatting>
  <conditionalFormatting sqref="BD9">
    <cfRule type="cellIs" dxfId="38901" priority="56705" stopIfTrue="1" operator="greaterThanOrEqual">
      <formula>0.5</formula>
    </cfRule>
  </conditionalFormatting>
  <conditionalFormatting sqref="BD10">
    <cfRule type="cellIs" dxfId="38900" priority="56706" stopIfTrue="1" operator="equal">
      <formula>-1</formula>
    </cfRule>
  </conditionalFormatting>
  <conditionalFormatting sqref="BD10">
    <cfRule type="cellIs" dxfId="38899" priority="56707" stopIfTrue="1" operator="lessThan">
      <formula>0.5</formula>
    </cfRule>
  </conditionalFormatting>
  <conditionalFormatting sqref="BD10">
    <cfRule type="cellIs" dxfId="38898" priority="56708" stopIfTrue="1" operator="greaterThanOrEqual">
      <formula>0.5</formula>
    </cfRule>
  </conditionalFormatting>
  <conditionalFormatting sqref="BD11">
    <cfRule type="cellIs" dxfId="38897" priority="56709" stopIfTrue="1" operator="equal">
      <formula>-1</formula>
    </cfRule>
  </conditionalFormatting>
  <conditionalFormatting sqref="BD11">
    <cfRule type="cellIs" dxfId="38896" priority="56710" stopIfTrue="1" operator="lessThan">
      <formula>0.5</formula>
    </cfRule>
  </conditionalFormatting>
  <conditionalFormatting sqref="BD11">
    <cfRule type="cellIs" dxfId="38895" priority="56711" stopIfTrue="1" operator="greaterThanOrEqual">
      <formula>0.5</formula>
    </cfRule>
  </conditionalFormatting>
  <conditionalFormatting sqref="BD12">
    <cfRule type="cellIs" dxfId="38894" priority="56712" stopIfTrue="1" operator="equal">
      <formula>-1</formula>
    </cfRule>
  </conditionalFormatting>
  <conditionalFormatting sqref="BD12">
    <cfRule type="cellIs" dxfId="38893" priority="56713" stopIfTrue="1" operator="lessThan">
      <formula>0.5</formula>
    </cfRule>
  </conditionalFormatting>
  <conditionalFormatting sqref="BD12">
    <cfRule type="cellIs" dxfId="38892" priority="56714" stopIfTrue="1" operator="greaterThanOrEqual">
      <formula>0.5</formula>
    </cfRule>
  </conditionalFormatting>
  <conditionalFormatting sqref="BD13">
    <cfRule type="cellIs" dxfId="38891" priority="56715" stopIfTrue="1" operator="equal">
      <formula>-1</formula>
    </cfRule>
  </conditionalFormatting>
  <conditionalFormatting sqref="BD13">
    <cfRule type="cellIs" dxfId="38890" priority="56716" stopIfTrue="1" operator="lessThan">
      <formula>0.5</formula>
    </cfRule>
  </conditionalFormatting>
  <conditionalFormatting sqref="BD13">
    <cfRule type="cellIs" dxfId="38889" priority="56717" stopIfTrue="1" operator="greaterThanOrEqual">
      <formula>0.5</formula>
    </cfRule>
  </conditionalFormatting>
  <conditionalFormatting sqref="BD14">
    <cfRule type="cellIs" dxfId="38888" priority="56718" stopIfTrue="1" operator="equal">
      <formula>-1</formula>
    </cfRule>
  </conditionalFormatting>
  <conditionalFormatting sqref="BD14">
    <cfRule type="cellIs" dxfId="38887" priority="56719" stopIfTrue="1" operator="lessThan">
      <formula>0.5</formula>
    </cfRule>
  </conditionalFormatting>
  <conditionalFormatting sqref="BD14">
    <cfRule type="cellIs" dxfId="38886" priority="56720" stopIfTrue="1" operator="greaterThanOrEqual">
      <formula>0.5</formula>
    </cfRule>
  </conditionalFormatting>
  <conditionalFormatting sqref="BD15">
    <cfRule type="cellIs" dxfId="38885" priority="56721" stopIfTrue="1" operator="equal">
      <formula>-1</formula>
    </cfRule>
  </conditionalFormatting>
  <conditionalFormatting sqref="BD15">
    <cfRule type="cellIs" dxfId="38884" priority="56722" stopIfTrue="1" operator="lessThan">
      <formula>0.5</formula>
    </cfRule>
  </conditionalFormatting>
  <conditionalFormatting sqref="BD15">
    <cfRule type="cellIs" dxfId="38883" priority="56723" stopIfTrue="1" operator="greaterThanOrEqual">
      <formula>0.5</formula>
    </cfRule>
  </conditionalFormatting>
  <conditionalFormatting sqref="BF8">
    <cfRule type="cellIs" dxfId="38882" priority="56724" stopIfTrue="1" operator="equal">
      <formula>-1</formula>
    </cfRule>
  </conditionalFormatting>
  <conditionalFormatting sqref="BF8">
    <cfRule type="cellIs" dxfId="38881" priority="56725" stopIfTrue="1" operator="lessThan">
      <formula>0.5</formula>
    </cfRule>
  </conditionalFormatting>
  <conditionalFormatting sqref="BF8">
    <cfRule type="cellIs" dxfId="38880" priority="56726" stopIfTrue="1" operator="greaterThanOrEqual">
      <formula>0.5</formula>
    </cfRule>
  </conditionalFormatting>
  <conditionalFormatting sqref="BF9">
    <cfRule type="cellIs" dxfId="38879" priority="56727" stopIfTrue="1" operator="equal">
      <formula>-1</formula>
    </cfRule>
  </conditionalFormatting>
  <conditionalFormatting sqref="BF9">
    <cfRule type="cellIs" dxfId="38878" priority="56728" stopIfTrue="1" operator="lessThan">
      <formula>0.5</formula>
    </cfRule>
  </conditionalFormatting>
  <conditionalFormatting sqref="BF9">
    <cfRule type="cellIs" dxfId="38877" priority="56729" stopIfTrue="1" operator="greaterThanOrEqual">
      <formula>0.5</formula>
    </cfRule>
  </conditionalFormatting>
  <conditionalFormatting sqref="BF10">
    <cfRule type="cellIs" dxfId="38876" priority="56730" stopIfTrue="1" operator="equal">
      <formula>-1</formula>
    </cfRule>
  </conditionalFormatting>
  <conditionalFormatting sqref="BF10">
    <cfRule type="cellIs" dxfId="38875" priority="56731" stopIfTrue="1" operator="lessThan">
      <formula>0.5</formula>
    </cfRule>
  </conditionalFormatting>
  <conditionalFormatting sqref="BF10">
    <cfRule type="cellIs" dxfId="38874" priority="56732" stopIfTrue="1" operator="greaterThanOrEqual">
      <formula>0.5</formula>
    </cfRule>
  </conditionalFormatting>
  <conditionalFormatting sqref="BF11">
    <cfRule type="cellIs" dxfId="38873" priority="56733" stopIfTrue="1" operator="equal">
      <formula>-1</formula>
    </cfRule>
  </conditionalFormatting>
  <conditionalFormatting sqref="BF11">
    <cfRule type="cellIs" dxfId="38872" priority="56734" stopIfTrue="1" operator="lessThan">
      <formula>0.5</formula>
    </cfRule>
  </conditionalFormatting>
  <conditionalFormatting sqref="BF11">
    <cfRule type="cellIs" dxfId="38871" priority="56735" stopIfTrue="1" operator="greaterThanOrEqual">
      <formula>0.5</formula>
    </cfRule>
  </conditionalFormatting>
  <conditionalFormatting sqref="BF12">
    <cfRule type="cellIs" dxfId="38870" priority="56736" stopIfTrue="1" operator="equal">
      <formula>-1</formula>
    </cfRule>
  </conditionalFormatting>
  <conditionalFormatting sqref="BF12">
    <cfRule type="cellIs" dxfId="38869" priority="56737" stopIfTrue="1" operator="lessThan">
      <formula>0.5</formula>
    </cfRule>
  </conditionalFormatting>
  <conditionalFormatting sqref="BF12">
    <cfRule type="cellIs" dxfId="38868" priority="56738" stopIfTrue="1" operator="greaterThanOrEqual">
      <formula>0.5</formula>
    </cfRule>
  </conditionalFormatting>
  <conditionalFormatting sqref="BF13">
    <cfRule type="cellIs" dxfId="38867" priority="56739" stopIfTrue="1" operator="equal">
      <formula>-1</formula>
    </cfRule>
  </conditionalFormatting>
  <conditionalFormatting sqref="BF13">
    <cfRule type="cellIs" dxfId="38866" priority="56740" stopIfTrue="1" operator="lessThan">
      <formula>0.5</formula>
    </cfRule>
  </conditionalFormatting>
  <conditionalFormatting sqref="BF13">
    <cfRule type="cellIs" dxfId="38865" priority="56741" stopIfTrue="1" operator="greaterThanOrEqual">
      <formula>0.5</formula>
    </cfRule>
  </conditionalFormatting>
  <conditionalFormatting sqref="BF14">
    <cfRule type="cellIs" dxfId="38864" priority="56742" stopIfTrue="1" operator="equal">
      <formula>-1</formula>
    </cfRule>
  </conditionalFormatting>
  <conditionalFormatting sqref="BF14">
    <cfRule type="cellIs" dxfId="38863" priority="56743" stopIfTrue="1" operator="lessThan">
      <formula>0.5</formula>
    </cfRule>
  </conditionalFormatting>
  <conditionalFormatting sqref="BF14">
    <cfRule type="cellIs" dxfId="38862" priority="56744" stopIfTrue="1" operator="greaterThanOrEqual">
      <formula>0.5</formula>
    </cfRule>
  </conditionalFormatting>
  <conditionalFormatting sqref="BF15">
    <cfRule type="cellIs" dxfId="38861" priority="56745" stopIfTrue="1" operator="equal">
      <formula>-1</formula>
    </cfRule>
  </conditionalFormatting>
  <conditionalFormatting sqref="BF15">
    <cfRule type="cellIs" dxfId="38860" priority="56746" stopIfTrue="1" operator="lessThan">
      <formula>0.5</formula>
    </cfRule>
  </conditionalFormatting>
  <conditionalFormatting sqref="BF15">
    <cfRule type="cellIs" dxfId="38859" priority="56747" stopIfTrue="1" operator="greaterThanOrEqual">
      <formula>0.5</formula>
    </cfRule>
  </conditionalFormatting>
  <conditionalFormatting sqref="BH8">
    <cfRule type="cellIs" dxfId="38858" priority="56748" stopIfTrue="1" operator="equal">
      <formula>-1</formula>
    </cfRule>
  </conditionalFormatting>
  <conditionalFormatting sqref="BH8">
    <cfRule type="cellIs" dxfId="38857" priority="56749" stopIfTrue="1" operator="lessThan">
      <formula>0.5</formula>
    </cfRule>
  </conditionalFormatting>
  <conditionalFormatting sqref="BH8">
    <cfRule type="cellIs" dxfId="38856" priority="56750" stopIfTrue="1" operator="greaterThanOrEqual">
      <formula>0.5</formula>
    </cfRule>
  </conditionalFormatting>
  <conditionalFormatting sqref="BH9">
    <cfRule type="cellIs" dxfId="38855" priority="56751" stopIfTrue="1" operator="equal">
      <formula>-1</formula>
    </cfRule>
  </conditionalFormatting>
  <conditionalFormatting sqref="BH9">
    <cfRule type="cellIs" dxfId="38854" priority="56752" stopIfTrue="1" operator="lessThan">
      <formula>0.5</formula>
    </cfRule>
  </conditionalFormatting>
  <conditionalFormatting sqref="BH9">
    <cfRule type="cellIs" dxfId="38853" priority="56753" stopIfTrue="1" operator="greaterThanOrEqual">
      <formula>0.5</formula>
    </cfRule>
  </conditionalFormatting>
  <conditionalFormatting sqref="BH10">
    <cfRule type="cellIs" dxfId="38852" priority="56754" stopIfTrue="1" operator="equal">
      <formula>-1</formula>
    </cfRule>
  </conditionalFormatting>
  <conditionalFormatting sqref="BH10">
    <cfRule type="cellIs" dxfId="38851" priority="56755" stopIfTrue="1" operator="lessThan">
      <formula>0.5</formula>
    </cfRule>
  </conditionalFormatting>
  <conditionalFormatting sqref="BH10">
    <cfRule type="cellIs" dxfId="38850" priority="56756" stopIfTrue="1" operator="greaterThanOrEqual">
      <formula>0.5</formula>
    </cfRule>
  </conditionalFormatting>
  <conditionalFormatting sqref="BH11">
    <cfRule type="cellIs" dxfId="38849" priority="56757" stopIfTrue="1" operator="equal">
      <formula>-1</formula>
    </cfRule>
  </conditionalFormatting>
  <conditionalFormatting sqref="BH11">
    <cfRule type="cellIs" dxfId="38848" priority="56758" stopIfTrue="1" operator="lessThan">
      <formula>0.5</formula>
    </cfRule>
  </conditionalFormatting>
  <conditionalFormatting sqref="BH11">
    <cfRule type="cellIs" dxfId="38847" priority="56759" stopIfTrue="1" operator="greaterThanOrEqual">
      <formula>0.5</formula>
    </cfRule>
  </conditionalFormatting>
  <conditionalFormatting sqref="BH12">
    <cfRule type="cellIs" dxfId="38846" priority="56760" stopIfTrue="1" operator="equal">
      <formula>-1</formula>
    </cfRule>
  </conditionalFormatting>
  <conditionalFormatting sqref="BH12">
    <cfRule type="cellIs" dxfId="38845" priority="56761" stopIfTrue="1" operator="lessThan">
      <formula>0.5</formula>
    </cfRule>
  </conditionalFormatting>
  <conditionalFormatting sqref="BH12">
    <cfRule type="cellIs" dxfId="38844" priority="56762" stopIfTrue="1" operator="greaterThanOrEqual">
      <formula>0.5</formula>
    </cfRule>
  </conditionalFormatting>
  <conditionalFormatting sqref="BH13">
    <cfRule type="cellIs" dxfId="38843" priority="56763" stopIfTrue="1" operator="equal">
      <formula>-1</formula>
    </cfRule>
  </conditionalFormatting>
  <conditionalFormatting sqref="BH13">
    <cfRule type="cellIs" dxfId="38842" priority="56764" stopIfTrue="1" operator="lessThan">
      <formula>0.5</formula>
    </cfRule>
  </conditionalFormatting>
  <conditionalFormatting sqref="BH13">
    <cfRule type="cellIs" dxfId="38841" priority="56765" stopIfTrue="1" operator="greaterThanOrEqual">
      <formula>0.5</formula>
    </cfRule>
  </conditionalFormatting>
  <conditionalFormatting sqref="BH14">
    <cfRule type="cellIs" dxfId="38840" priority="56766" stopIfTrue="1" operator="equal">
      <formula>-1</formula>
    </cfRule>
  </conditionalFormatting>
  <conditionalFormatting sqref="BH14">
    <cfRule type="cellIs" dxfId="38839" priority="56767" stopIfTrue="1" operator="lessThan">
      <formula>0.5</formula>
    </cfRule>
  </conditionalFormatting>
  <conditionalFormatting sqref="BH14">
    <cfRule type="cellIs" dxfId="38838" priority="56768" stopIfTrue="1" operator="greaterThanOrEqual">
      <formula>0.5</formula>
    </cfRule>
  </conditionalFormatting>
  <conditionalFormatting sqref="BH15">
    <cfRule type="cellIs" dxfId="38837" priority="56769" stopIfTrue="1" operator="equal">
      <formula>-1</formula>
    </cfRule>
  </conditionalFormatting>
  <conditionalFormatting sqref="BH15">
    <cfRule type="cellIs" dxfId="38836" priority="56770" stopIfTrue="1" operator="lessThan">
      <formula>0.5</formula>
    </cfRule>
  </conditionalFormatting>
  <conditionalFormatting sqref="BH15">
    <cfRule type="cellIs" dxfId="38835" priority="56771" stopIfTrue="1" operator="greaterThanOrEqual">
      <formula>0.5</formula>
    </cfRule>
  </conditionalFormatting>
  <conditionalFormatting sqref="BJ8">
    <cfRule type="cellIs" dxfId="38834" priority="56772" stopIfTrue="1" operator="equal">
      <formula>-1</formula>
    </cfRule>
  </conditionalFormatting>
  <conditionalFormatting sqref="BJ8">
    <cfRule type="cellIs" dxfId="38833" priority="56773" stopIfTrue="1" operator="lessThan">
      <formula>0.5</formula>
    </cfRule>
  </conditionalFormatting>
  <conditionalFormatting sqref="BJ8">
    <cfRule type="cellIs" dxfId="38832" priority="56774" stopIfTrue="1" operator="greaterThanOrEqual">
      <formula>0.5</formula>
    </cfRule>
  </conditionalFormatting>
  <conditionalFormatting sqref="BJ9">
    <cfRule type="cellIs" dxfId="38831" priority="56775" stopIfTrue="1" operator="equal">
      <formula>-1</formula>
    </cfRule>
  </conditionalFormatting>
  <conditionalFormatting sqref="BJ9">
    <cfRule type="cellIs" dxfId="38830" priority="56776" stopIfTrue="1" operator="lessThan">
      <formula>0.5</formula>
    </cfRule>
  </conditionalFormatting>
  <conditionalFormatting sqref="BJ9">
    <cfRule type="cellIs" dxfId="38829" priority="56777" stopIfTrue="1" operator="greaterThanOrEqual">
      <formula>0.5</formula>
    </cfRule>
  </conditionalFormatting>
  <conditionalFormatting sqref="BJ10">
    <cfRule type="cellIs" dxfId="38828" priority="56778" stopIfTrue="1" operator="equal">
      <formula>-1</formula>
    </cfRule>
  </conditionalFormatting>
  <conditionalFormatting sqref="BJ10">
    <cfRule type="cellIs" dxfId="38827" priority="56779" stopIfTrue="1" operator="lessThan">
      <formula>0.5</formula>
    </cfRule>
  </conditionalFormatting>
  <conditionalFormatting sqref="BJ10">
    <cfRule type="cellIs" dxfId="38826" priority="56780" stopIfTrue="1" operator="greaterThanOrEqual">
      <formula>0.5</formula>
    </cfRule>
  </conditionalFormatting>
  <conditionalFormatting sqref="BJ11">
    <cfRule type="cellIs" dxfId="38825" priority="56781" stopIfTrue="1" operator="equal">
      <formula>-1</formula>
    </cfRule>
  </conditionalFormatting>
  <conditionalFormatting sqref="BJ11">
    <cfRule type="cellIs" dxfId="38824" priority="56782" stopIfTrue="1" operator="lessThan">
      <formula>0.5</formula>
    </cfRule>
  </conditionalFormatting>
  <conditionalFormatting sqref="BJ11">
    <cfRule type="cellIs" dxfId="38823" priority="56783" stopIfTrue="1" operator="greaterThanOrEqual">
      <formula>0.5</formula>
    </cfRule>
  </conditionalFormatting>
  <conditionalFormatting sqref="BJ12">
    <cfRule type="cellIs" dxfId="38822" priority="56784" stopIfTrue="1" operator="equal">
      <formula>-1</formula>
    </cfRule>
  </conditionalFormatting>
  <conditionalFormatting sqref="BJ12">
    <cfRule type="cellIs" dxfId="38821" priority="56785" stopIfTrue="1" operator="lessThan">
      <formula>0.5</formula>
    </cfRule>
  </conditionalFormatting>
  <conditionalFormatting sqref="BJ12">
    <cfRule type="cellIs" dxfId="38820" priority="56786" stopIfTrue="1" operator="greaterThanOrEqual">
      <formula>0.5</formula>
    </cfRule>
  </conditionalFormatting>
  <conditionalFormatting sqref="BJ13">
    <cfRule type="cellIs" dxfId="38819" priority="56787" stopIfTrue="1" operator="equal">
      <formula>-1</formula>
    </cfRule>
  </conditionalFormatting>
  <conditionalFormatting sqref="BJ13">
    <cfRule type="cellIs" dxfId="38818" priority="56788" stopIfTrue="1" operator="lessThan">
      <formula>0.5</formula>
    </cfRule>
  </conditionalFormatting>
  <conditionalFormatting sqref="BJ13">
    <cfRule type="cellIs" dxfId="38817" priority="56789" stopIfTrue="1" operator="greaterThanOrEqual">
      <formula>0.5</formula>
    </cfRule>
  </conditionalFormatting>
  <conditionalFormatting sqref="BJ14">
    <cfRule type="cellIs" dxfId="38816" priority="56790" stopIfTrue="1" operator="equal">
      <formula>-1</formula>
    </cfRule>
  </conditionalFormatting>
  <conditionalFormatting sqref="BJ14">
    <cfRule type="cellIs" dxfId="38815" priority="56791" stopIfTrue="1" operator="lessThan">
      <formula>0.5</formula>
    </cfRule>
  </conditionalFormatting>
  <conditionalFormatting sqref="BJ14">
    <cfRule type="cellIs" dxfId="38814" priority="56792" stopIfTrue="1" operator="greaterThanOrEqual">
      <formula>0.5</formula>
    </cfRule>
  </conditionalFormatting>
  <conditionalFormatting sqref="BJ15">
    <cfRule type="cellIs" dxfId="38813" priority="56793" stopIfTrue="1" operator="equal">
      <formula>-1</formula>
    </cfRule>
  </conditionalFormatting>
  <conditionalFormatting sqref="BJ15">
    <cfRule type="cellIs" dxfId="38812" priority="56794" stopIfTrue="1" operator="lessThan">
      <formula>0.5</formula>
    </cfRule>
  </conditionalFormatting>
  <conditionalFormatting sqref="BJ15">
    <cfRule type="cellIs" dxfId="38811" priority="56795" stopIfTrue="1" operator="greaterThanOrEqual">
      <formula>0.5</formula>
    </cfRule>
  </conditionalFormatting>
  <conditionalFormatting sqref="D17">
    <cfRule type="cellIs" dxfId="38810" priority="56796" stopIfTrue="1" operator="equal">
      <formula>-1</formula>
    </cfRule>
  </conditionalFormatting>
  <conditionalFormatting sqref="D17">
    <cfRule type="cellIs" dxfId="38809" priority="56797" stopIfTrue="1" operator="lessThan">
      <formula>0.5</formula>
    </cfRule>
  </conditionalFormatting>
  <conditionalFormatting sqref="D17">
    <cfRule type="cellIs" dxfId="38808" priority="56798" stopIfTrue="1" operator="greaterThanOrEqual">
      <formula>0.5</formula>
    </cfRule>
  </conditionalFormatting>
  <conditionalFormatting sqref="D18">
    <cfRule type="cellIs" dxfId="38807" priority="56799" stopIfTrue="1" operator="equal">
      <formula>-1</formula>
    </cfRule>
  </conditionalFormatting>
  <conditionalFormatting sqref="D18">
    <cfRule type="cellIs" dxfId="38806" priority="56800" stopIfTrue="1" operator="lessThan">
      <formula>0.5</formula>
    </cfRule>
  </conditionalFormatting>
  <conditionalFormatting sqref="D18">
    <cfRule type="cellIs" dxfId="38805" priority="56801" stopIfTrue="1" operator="greaterThanOrEqual">
      <formula>0.5</formula>
    </cfRule>
  </conditionalFormatting>
  <conditionalFormatting sqref="D19">
    <cfRule type="cellIs" dxfId="38804" priority="56802" stopIfTrue="1" operator="equal">
      <formula>-1</formula>
    </cfRule>
  </conditionalFormatting>
  <conditionalFormatting sqref="D19">
    <cfRule type="cellIs" dxfId="38803" priority="56803" stopIfTrue="1" operator="lessThan">
      <formula>0.5</formula>
    </cfRule>
  </conditionalFormatting>
  <conditionalFormatting sqref="D19">
    <cfRule type="cellIs" dxfId="38802" priority="56804" stopIfTrue="1" operator="greaterThanOrEqual">
      <formula>0.5</formula>
    </cfRule>
  </conditionalFormatting>
  <conditionalFormatting sqref="D20">
    <cfRule type="cellIs" dxfId="38801" priority="56805" stopIfTrue="1" operator="equal">
      <formula>-1</formula>
    </cfRule>
  </conditionalFormatting>
  <conditionalFormatting sqref="D20">
    <cfRule type="cellIs" dxfId="38800" priority="56806" stopIfTrue="1" operator="lessThan">
      <formula>0.5</formula>
    </cfRule>
  </conditionalFormatting>
  <conditionalFormatting sqref="D20">
    <cfRule type="cellIs" dxfId="38799" priority="56807" stopIfTrue="1" operator="greaterThanOrEqual">
      <formula>0.5</formula>
    </cfRule>
  </conditionalFormatting>
  <conditionalFormatting sqref="D21">
    <cfRule type="cellIs" dxfId="38798" priority="56808" stopIfTrue="1" operator="equal">
      <formula>-1</formula>
    </cfRule>
  </conditionalFormatting>
  <conditionalFormatting sqref="D21">
    <cfRule type="cellIs" dxfId="38797" priority="56809" stopIfTrue="1" operator="lessThan">
      <formula>0.5</formula>
    </cfRule>
  </conditionalFormatting>
  <conditionalFormatting sqref="D21">
    <cfRule type="cellIs" dxfId="38796" priority="56810" stopIfTrue="1" operator="greaterThanOrEqual">
      <formula>0.5</formula>
    </cfRule>
  </conditionalFormatting>
  <conditionalFormatting sqref="D22">
    <cfRule type="cellIs" dxfId="38795" priority="56811" stopIfTrue="1" operator="equal">
      <formula>-1</formula>
    </cfRule>
  </conditionalFormatting>
  <conditionalFormatting sqref="D22">
    <cfRule type="cellIs" dxfId="38794" priority="56812" stopIfTrue="1" operator="lessThan">
      <formula>0.5</formula>
    </cfRule>
  </conditionalFormatting>
  <conditionalFormatting sqref="D22">
    <cfRule type="cellIs" dxfId="38793" priority="56813" stopIfTrue="1" operator="greaterThanOrEqual">
      <formula>0.5</formula>
    </cfRule>
  </conditionalFormatting>
  <conditionalFormatting sqref="D23">
    <cfRule type="cellIs" dxfId="38792" priority="56814" stopIfTrue="1" operator="equal">
      <formula>-1</formula>
    </cfRule>
  </conditionalFormatting>
  <conditionalFormatting sqref="D23">
    <cfRule type="cellIs" dxfId="38791" priority="56815" stopIfTrue="1" operator="lessThan">
      <formula>0.5</formula>
    </cfRule>
  </conditionalFormatting>
  <conditionalFormatting sqref="D23">
    <cfRule type="cellIs" dxfId="38790" priority="56816" stopIfTrue="1" operator="greaterThanOrEqual">
      <formula>0.5</formula>
    </cfRule>
  </conditionalFormatting>
  <conditionalFormatting sqref="D24">
    <cfRule type="cellIs" dxfId="38789" priority="56817" stopIfTrue="1" operator="equal">
      <formula>-1</formula>
    </cfRule>
  </conditionalFormatting>
  <conditionalFormatting sqref="D24">
    <cfRule type="cellIs" dxfId="38788" priority="56818" stopIfTrue="1" operator="lessThan">
      <formula>0.5</formula>
    </cfRule>
  </conditionalFormatting>
  <conditionalFormatting sqref="D24">
    <cfRule type="cellIs" dxfId="38787" priority="56819" stopIfTrue="1" operator="greaterThanOrEqual">
      <formula>0.5</formula>
    </cfRule>
  </conditionalFormatting>
  <conditionalFormatting sqref="D25">
    <cfRule type="cellIs" dxfId="38786" priority="56820" stopIfTrue="1" operator="equal">
      <formula>-1</formula>
    </cfRule>
  </conditionalFormatting>
  <conditionalFormatting sqref="D25">
    <cfRule type="cellIs" dxfId="38785" priority="56821" stopIfTrue="1" operator="lessThan">
      <formula>0.5</formula>
    </cfRule>
  </conditionalFormatting>
  <conditionalFormatting sqref="D25">
    <cfRule type="cellIs" dxfId="38784" priority="56822" stopIfTrue="1" operator="greaterThanOrEqual">
      <formula>0.5</formula>
    </cfRule>
  </conditionalFormatting>
  <conditionalFormatting sqref="F17">
    <cfRule type="cellIs" dxfId="38783" priority="56859" stopIfTrue="1" operator="equal">
      <formula>-1</formula>
    </cfRule>
  </conditionalFormatting>
  <conditionalFormatting sqref="F17">
    <cfRule type="cellIs" dxfId="38782" priority="56860" stopIfTrue="1" operator="lessThan">
      <formula>0.5</formula>
    </cfRule>
  </conditionalFormatting>
  <conditionalFormatting sqref="F17">
    <cfRule type="cellIs" dxfId="38781" priority="56861" stopIfTrue="1" operator="greaterThanOrEqual">
      <formula>0.5</formula>
    </cfRule>
  </conditionalFormatting>
  <conditionalFormatting sqref="F18">
    <cfRule type="cellIs" dxfId="38780" priority="56862" stopIfTrue="1" operator="equal">
      <formula>-1</formula>
    </cfRule>
  </conditionalFormatting>
  <conditionalFormatting sqref="F18">
    <cfRule type="cellIs" dxfId="38779" priority="56863" stopIfTrue="1" operator="lessThan">
      <formula>0.5</formula>
    </cfRule>
  </conditionalFormatting>
  <conditionalFormatting sqref="F18">
    <cfRule type="cellIs" dxfId="38778" priority="56864" stopIfTrue="1" operator="greaterThanOrEqual">
      <formula>0.5</formula>
    </cfRule>
  </conditionalFormatting>
  <conditionalFormatting sqref="F19">
    <cfRule type="cellIs" dxfId="38777" priority="56865" stopIfTrue="1" operator="equal">
      <formula>-1</formula>
    </cfRule>
  </conditionalFormatting>
  <conditionalFormatting sqref="F19">
    <cfRule type="cellIs" dxfId="38776" priority="56866" stopIfTrue="1" operator="lessThan">
      <formula>0.5</formula>
    </cfRule>
  </conditionalFormatting>
  <conditionalFormatting sqref="F19">
    <cfRule type="cellIs" dxfId="38775" priority="56867" stopIfTrue="1" operator="greaterThanOrEqual">
      <formula>0.5</formula>
    </cfRule>
  </conditionalFormatting>
  <conditionalFormatting sqref="F20">
    <cfRule type="cellIs" dxfId="38774" priority="56868" stopIfTrue="1" operator="equal">
      <formula>-1</formula>
    </cfRule>
  </conditionalFormatting>
  <conditionalFormatting sqref="F20">
    <cfRule type="cellIs" dxfId="38773" priority="56869" stopIfTrue="1" operator="lessThan">
      <formula>0.5</formula>
    </cfRule>
  </conditionalFormatting>
  <conditionalFormatting sqref="F20">
    <cfRule type="cellIs" dxfId="38772" priority="56870" stopIfTrue="1" operator="greaterThanOrEqual">
      <formula>0.5</formula>
    </cfRule>
  </conditionalFormatting>
  <conditionalFormatting sqref="F21">
    <cfRule type="cellIs" dxfId="38771" priority="56871" stopIfTrue="1" operator="equal">
      <formula>-1</formula>
    </cfRule>
  </conditionalFormatting>
  <conditionalFormatting sqref="F21">
    <cfRule type="cellIs" dxfId="38770" priority="56872" stopIfTrue="1" operator="lessThan">
      <formula>0.5</formula>
    </cfRule>
  </conditionalFormatting>
  <conditionalFormatting sqref="F21">
    <cfRule type="cellIs" dxfId="38769" priority="56873" stopIfTrue="1" operator="greaterThanOrEqual">
      <formula>0.5</formula>
    </cfRule>
  </conditionalFormatting>
  <conditionalFormatting sqref="F22">
    <cfRule type="cellIs" dxfId="38768" priority="56874" stopIfTrue="1" operator="equal">
      <formula>-1</formula>
    </cfRule>
  </conditionalFormatting>
  <conditionalFormatting sqref="F22">
    <cfRule type="cellIs" dxfId="38767" priority="56875" stopIfTrue="1" operator="lessThan">
      <formula>0.5</formula>
    </cfRule>
  </conditionalFormatting>
  <conditionalFormatting sqref="F22">
    <cfRule type="cellIs" dxfId="38766" priority="56876" stopIfTrue="1" operator="greaterThanOrEqual">
      <formula>0.5</formula>
    </cfRule>
  </conditionalFormatting>
  <conditionalFormatting sqref="F23">
    <cfRule type="cellIs" dxfId="38765" priority="56877" stopIfTrue="1" operator="equal">
      <formula>-1</formula>
    </cfRule>
  </conditionalFormatting>
  <conditionalFormatting sqref="F23">
    <cfRule type="cellIs" dxfId="38764" priority="56878" stopIfTrue="1" operator="lessThan">
      <formula>0.5</formula>
    </cfRule>
  </conditionalFormatting>
  <conditionalFormatting sqref="F23">
    <cfRule type="cellIs" dxfId="38763" priority="56879" stopIfTrue="1" operator="greaterThanOrEqual">
      <formula>0.5</formula>
    </cfRule>
  </conditionalFormatting>
  <conditionalFormatting sqref="F24">
    <cfRule type="cellIs" dxfId="38762" priority="56880" stopIfTrue="1" operator="equal">
      <formula>-1</formula>
    </cfRule>
  </conditionalFormatting>
  <conditionalFormatting sqref="F24">
    <cfRule type="cellIs" dxfId="38761" priority="56881" stopIfTrue="1" operator="lessThan">
      <formula>0.5</formula>
    </cfRule>
  </conditionalFormatting>
  <conditionalFormatting sqref="F24">
    <cfRule type="cellIs" dxfId="38760" priority="56882" stopIfTrue="1" operator="greaterThanOrEqual">
      <formula>0.5</formula>
    </cfRule>
  </conditionalFormatting>
  <conditionalFormatting sqref="F25">
    <cfRule type="cellIs" dxfId="38759" priority="56883" stopIfTrue="1" operator="equal">
      <formula>-1</formula>
    </cfRule>
  </conditionalFormatting>
  <conditionalFormatting sqref="F25">
    <cfRule type="cellIs" dxfId="38758" priority="56884" stopIfTrue="1" operator="lessThan">
      <formula>0.5</formula>
    </cfRule>
  </conditionalFormatting>
  <conditionalFormatting sqref="F25">
    <cfRule type="cellIs" dxfId="38757" priority="56885" stopIfTrue="1" operator="greaterThanOrEqual">
      <formula>0.5</formula>
    </cfRule>
  </conditionalFormatting>
  <conditionalFormatting sqref="H17">
    <cfRule type="cellIs" dxfId="38756" priority="56922" stopIfTrue="1" operator="equal">
      <formula>-1</formula>
    </cfRule>
  </conditionalFormatting>
  <conditionalFormatting sqref="H17">
    <cfRule type="cellIs" dxfId="38755" priority="56923" stopIfTrue="1" operator="lessThan">
      <formula>0.5</formula>
    </cfRule>
  </conditionalFormatting>
  <conditionalFormatting sqref="H17">
    <cfRule type="cellIs" dxfId="38754" priority="56924" stopIfTrue="1" operator="greaterThanOrEqual">
      <formula>0.5</formula>
    </cfRule>
  </conditionalFormatting>
  <conditionalFormatting sqref="H18">
    <cfRule type="cellIs" dxfId="38753" priority="56925" stopIfTrue="1" operator="equal">
      <formula>-1</formula>
    </cfRule>
  </conditionalFormatting>
  <conditionalFormatting sqref="H18">
    <cfRule type="cellIs" dxfId="38752" priority="56926" stopIfTrue="1" operator="lessThan">
      <formula>0.5</formula>
    </cfRule>
  </conditionalFormatting>
  <conditionalFormatting sqref="H18">
    <cfRule type="cellIs" dxfId="38751" priority="56927" stopIfTrue="1" operator="greaterThanOrEqual">
      <formula>0.5</formula>
    </cfRule>
  </conditionalFormatting>
  <conditionalFormatting sqref="H19">
    <cfRule type="cellIs" dxfId="38750" priority="56928" stopIfTrue="1" operator="equal">
      <formula>-1</formula>
    </cfRule>
  </conditionalFormatting>
  <conditionalFormatting sqref="H19">
    <cfRule type="cellIs" dxfId="38749" priority="56929" stopIfTrue="1" operator="lessThan">
      <formula>0.5</formula>
    </cfRule>
  </conditionalFormatting>
  <conditionalFormatting sqref="H19">
    <cfRule type="cellIs" dxfId="38748" priority="56930" stopIfTrue="1" operator="greaterThanOrEqual">
      <formula>0.5</formula>
    </cfRule>
  </conditionalFormatting>
  <conditionalFormatting sqref="H20">
    <cfRule type="cellIs" dxfId="38747" priority="56931" stopIfTrue="1" operator="equal">
      <formula>-1</formula>
    </cfRule>
  </conditionalFormatting>
  <conditionalFormatting sqref="H20">
    <cfRule type="cellIs" dxfId="38746" priority="56932" stopIfTrue="1" operator="lessThan">
      <formula>0.5</formula>
    </cfRule>
  </conditionalFormatting>
  <conditionalFormatting sqref="H20">
    <cfRule type="cellIs" dxfId="38745" priority="56933" stopIfTrue="1" operator="greaterThanOrEqual">
      <formula>0.5</formula>
    </cfRule>
  </conditionalFormatting>
  <conditionalFormatting sqref="H21">
    <cfRule type="cellIs" dxfId="38744" priority="56934" stopIfTrue="1" operator="equal">
      <formula>-1</formula>
    </cfRule>
  </conditionalFormatting>
  <conditionalFormatting sqref="H21">
    <cfRule type="cellIs" dxfId="38743" priority="56935" stopIfTrue="1" operator="lessThan">
      <formula>0.5</formula>
    </cfRule>
  </conditionalFormatting>
  <conditionalFormatting sqref="H21">
    <cfRule type="cellIs" dxfId="38742" priority="56936" stopIfTrue="1" operator="greaterThanOrEqual">
      <formula>0.5</formula>
    </cfRule>
  </conditionalFormatting>
  <conditionalFormatting sqref="H22">
    <cfRule type="cellIs" dxfId="38741" priority="56937" stopIfTrue="1" operator="equal">
      <formula>-1</formula>
    </cfRule>
  </conditionalFormatting>
  <conditionalFormatting sqref="H22">
    <cfRule type="cellIs" dxfId="38740" priority="56938" stopIfTrue="1" operator="lessThan">
      <formula>0.5</formula>
    </cfRule>
  </conditionalFormatting>
  <conditionalFormatting sqref="H22">
    <cfRule type="cellIs" dxfId="38739" priority="56939" stopIfTrue="1" operator="greaterThanOrEqual">
      <formula>0.5</formula>
    </cfRule>
  </conditionalFormatting>
  <conditionalFormatting sqref="H23">
    <cfRule type="cellIs" dxfId="38738" priority="56940" stopIfTrue="1" operator="equal">
      <formula>-1</formula>
    </cfRule>
  </conditionalFormatting>
  <conditionalFormatting sqref="H23">
    <cfRule type="cellIs" dxfId="38737" priority="56941" stopIfTrue="1" operator="lessThan">
      <formula>0.5</formula>
    </cfRule>
  </conditionalFormatting>
  <conditionalFormatting sqref="H23">
    <cfRule type="cellIs" dxfId="38736" priority="56942" stopIfTrue="1" operator="greaterThanOrEqual">
      <formula>0.5</formula>
    </cfRule>
  </conditionalFormatting>
  <conditionalFormatting sqref="H24">
    <cfRule type="cellIs" dxfId="38735" priority="56943" stopIfTrue="1" operator="equal">
      <formula>-1</formula>
    </cfRule>
  </conditionalFormatting>
  <conditionalFormatting sqref="H24">
    <cfRule type="cellIs" dxfId="38734" priority="56944" stopIfTrue="1" operator="lessThan">
      <formula>0.5</formula>
    </cfRule>
  </conditionalFormatting>
  <conditionalFormatting sqref="H24">
    <cfRule type="cellIs" dxfId="38733" priority="56945" stopIfTrue="1" operator="greaterThanOrEqual">
      <formula>0.5</formula>
    </cfRule>
  </conditionalFormatting>
  <conditionalFormatting sqref="H25">
    <cfRule type="cellIs" dxfId="38732" priority="56946" stopIfTrue="1" operator="equal">
      <formula>-1</formula>
    </cfRule>
  </conditionalFormatting>
  <conditionalFormatting sqref="H25">
    <cfRule type="cellIs" dxfId="38731" priority="56947" stopIfTrue="1" operator="lessThan">
      <formula>0.5</formula>
    </cfRule>
  </conditionalFormatting>
  <conditionalFormatting sqref="H25">
    <cfRule type="cellIs" dxfId="38730" priority="56948" stopIfTrue="1" operator="greaterThanOrEqual">
      <formula>0.5</formula>
    </cfRule>
  </conditionalFormatting>
  <conditionalFormatting sqref="J17">
    <cfRule type="cellIs" dxfId="38729" priority="56985" stopIfTrue="1" operator="equal">
      <formula>-1</formula>
    </cfRule>
  </conditionalFormatting>
  <conditionalFormatting sqref="J17">
    <cfRule type="cellIs" dxfId="38728" priority="56986" stopIfTrue="1" operator="lessThan">
      <formula>0.5</formula>
    </cfRule>
  </conditionalFormatting>
  <conditionalFormatting sqref="J17">
    <cfRule type="cellIs" dxfId="38727" priority="56987" stopIfTrue="1" operator="greaterThanOrEqual">
      <formula>0.5</formula>
    </cfRule>
  </conditionalFormatting>
  <conditionalFormatting sqref="J18">
    <cfRule type="cellIs" dxfId="38726" priority="56988" stopIfTrue="1" operator="equal">
      <formula>-1</formula>
    </cfRule>
  </conditionalFormatting>
  <conditionalFormatting sqref="J18">
    <cfRule type="cellIs" dxfId="38725" priority="56989" stopIfTrue="1" operator="lessThan">
      <formula>0.5</formula>
    </cfRule>
  </conditionalFormatting>
  <conditionalFormatting sqref="J18">
    <cfRule type="cellIs" dxfId="38724" priority="56990" stopIfTrue="1" operator="greaterThanOrEqual">
      <formula>0.5</formula>
    </cfRule>
  </conditionalFormatting>
  <conditionalFormatting sqref="J19">
    <cfRule type="cellIs" dxfId="38723" priority="56991" stopIfTrue="1" operator="equal">
      <formula>-1</formula>
    </cfRule>
  </conditionalFormatting>
  <conditionalFormatting sqref="J19">
    <cfRule type="cellIs" dxfId="38722" priority="56992" stopIfTrue="1" operator="lessThan">
      <formula>0.5</formula>
    </cfRule>
  </conditionalFormatting>
  <conditionalFormatting sqref="J19">
    <cfRule type="cellIs" dxfId="38721" priority="56993" stopIfTrue="1" operator="greaterThanOrEqual">
      <formula>0.5</formula>
    </cfRule>
  </conditionalFormatting>
  <conditionalFormatting sqref="J20">
    <cfRule type="cellIs" dxfId="38720" priority="56994" stopIfTrue="1" operator="equal">
      <formula>-1</formula>
    </cfRule>
  </conditionalFormatting>
  <conditionalFormatting sqref="J20">
    <cfRule type="cellIs" dxfId="38719" priority="56995" stopIfTrue="1" operator="lessThan">
      <formula>0.5</formula>
    </cfRule>
  </conditionalFormatting>
  <conditionalFormatting sqref="J20">
    <cfRule type="cellIs" dxfId="38718" priority="56996" stopIfTrue="1" operator="greaterThanOrEqual">
      <formula>0.5</formula>
    </cfRule>
  </conditionalFormatting>
  <conditionalFormatting sqref="J21">
    <cfRule type="cellIs" dxfId="38717" priority="56997" stopIfTrue="1" operator="equal">
      <formula>-1</formula>
    </cfRule>
  </conditionalFormatting>
  <conditionalFormatting sqref="J21">
    <cfRule type="cellIs" dxfId="38716" priority="56998" stopIfTrue="1" operator="lessThan">
      <formula>0.5</formula>
    </cfRule>
  </conditionalFormatting>
  <conditionalFormatting sqref="J21">
    <cfRule type="cellIs" dxfId="38715" priority="56999" stopIfTrue="1" operator="greaterThanOrEqual">
      <formula>0.5</formula>
    </cfRule>
  </conditionalFormatting>
  <conditionalFormatting sqref="J22">
    <cfRule type="cellIs" dxfId="38714" priority="57000" stopIfTrue="1" operator="equal">
      <formula>-1</formula>
    </cfRule>
  </conditionalFormatting>
  <conditionalFormatting sqref="J22">
    <cfRule type="cellIs" dxfId="38713" priority="57001" stopIfTrue="1" operator="lessThan">
      <formula>0.5</formula>
    </cfRule>
  </conditionalFormatting>
  <conditionalFormatting sqref="J22">
    <cfRule type="cellIs" dxfId="38712" priority="57002" stopIfTrue="1" operator="greaterThanOrEqual">
      <formula>0.5</formula>
    </cfRule>
  </conditionalFormatting>
  <conditionalFormatting sqref="J23">
    <cfRule type="cellIs" dxfId="38711" priority="57003" stopIfTrue="1" operator="equal">
      <formula>-1</formula>
    </cfRule>
  </conditionalFormatting>
  <conditionalFormatting sqref="J23">
    <cfRule type="cellIs" dxfId="38710" priority="57004" stopIfTrue="1" operator="lessThan">
      <formula>0.5</formula>
    </cfRule>
  </conditionalFormatting>
  <conditionalFormatting sqref="J23">
    <cfRule type="cellIs" dxfId="38709" priority="57005" stopIfTrue="1" operator="greaterThanOrEqual">
      <formula>0.5</formula>
    </cfRule>
  </conditionalFormatting>
  <conditionalFormatting sqref="J24">
    <cfRule type="cellIs" dxfId="38708" priority="57006" stopIfTrue="1" operator="equal">
      <formula>-1</formula>
    </cfRule>
  </conditionalFormatting>
  <conditionalFormatting sqref="J24">
    <cfRule type="cellIs" dxfId="38707" priority="57007" stopIfTrue="1" operator="lessThan">
      <formula>0.5</formula>
    </cfRule>
  </conditionalFormatting>
  <conditionalFormatting sqref="J24">
    <cfRule type="cellIs" dxfId="38706" priority="57008" stopIfTrue="1" operator="greaterThanOrEqual">
      <formula>0.5</formula>
    </cfRule>
  </conditionalFormatting>
  <conditionalFormatting sqref="J25">
    <cfRule type="cellIs" dxfId="38705" priority="57009" stopIfTrue="1" operator="equal">
      <formula>-1</formula>
    </cfRule>
  </conditionalFormatting>
  <conditionalFormatting sqref="J25">
    <cfRule type="cellIs" dxfId="38704" priority="57010" stopIfTrue="1" operator="lessThan">
      <formula>0.5</formula>
    </cfRule>
  </conditionalFormatting>
  <conditionalFormatting sqref="J25">
    <cfRule type="cellIs" dxfId="38703" priority="57011" stopIfTrue="1" operator="greaterThanOrEqual">
      <formula>0.5</formula>
    </cfRule>
  </conditionalFormatting>
  <conditionalFormatting sqref="L17">
    <cfRule type="cellIs" dxfId="38702" priority="57048" stopIfTrue="1" operator="equal">
      <formula>-1</formula>
    </cfRule>
  </conditionalFormatting>
  <conditionalFormatting sqref="L17">
    <cfRule type="cellIs" dxfId="38701" priority="57049" stopIfTrue="1" operator="lessThan">
      <formula>0.5</formula>
    </cfRule>
  </conditionalFormatting>
  <conditionalFormatting sqref="L17">
    <cfRule type="cellIs" dxfId="38700" priority="57050" stopIfTrue="1" operator="greaterThanOrEqual">
      <formula>0.5</formula>
    </cfRule>
  </conditionalFormatting>
  <conditionalFormatting sqref="L18">
    <cfRule type="cellIs" dxfId="38699" priority="57051" stopIfTrue="1" operator="equal">
      <formula>-1</formula>
    </cfRule>
  </conditionalFormatting>
  <conditionalFormatting sqref="L18">
    <cfRule type="cellIs" dxfId="38698" priority="57052" stopIfTrue="1" operator="lessThan">
      <formula>0.5</formula>
    </cfRule>
  </conditionalFormatting>
  <conditionalFormatting sqref="L18">
    <cfRule type="cellIs" dxfId="38697" priority="57053" stopIfTrue="1" operator="greaterThanOrEqual">
      <formula>0.5</formula>
    </cfRule>
  </conditionalFormatting>
  <conditionalFormatting sqref="L19">
    <cfRule type="cellIs" dxfId="38696" priority="57054" stopIfTrue="1" operator="equal">
      <formula>-1</formula>
    </cfRule>
  </conditionalFormatting>
  <conditionalFormatting sqref="L19">
    <cfRule type="cellIs" dxfId="38695" priority="57055" stopIfTrue="1" operator="lessThan">
      <formula>0.5</formula>
    </cfRule>
  </conditionalFormatting>
  <conditionalFormatting sqref="L19">
    <cfRule type="cellIs" dxfId="38694" priority="57056" stopIfTrue="1" operator="greaterThanOrEqual">
      <formula>0.5</formula>
    </cfRule>
  </conditionalFormatting>
  <conditionalFormatting sqref="L20">
    <cfRule type="cellIs" dxfId="38693" priority="57057" stopIfTrue="1" operator="equal">
      <formula>-1</formula>
    </cfRule>
  </conditionalFormatting>
  <conditionalFormatting sqref="L20">
    <cfRule type="cellIs" dxfId="38692" priority="57058" stopIfTrue="1" operator="lessThan">
      <formula>0.5</formula>
    </cfRule>
  </conditionalFormatting>
  <conditionalFormatting sqref="L20">
    <cfRule type="cellIs" dxfId="38691" priority="57059" stopIfTrue="1" operator="greaterThanOrEqual">
      <formula>0.5</formula>
    </cfRule>
  </conditionalFormatting>
  <conditionalFormatting sqref="L21">
    <cfRule type="cellIs" dxfId="38690" priority="57060" stopIfTrue="1" operator="equal">
      <formula>-1</formula>
    </cfRule>
  </conditionalFormatting>
  <conditionalFormatting sqref="L21">
    <cfRule type="cellIs" dxfId="38689" priority="57061" stopIfTrue="1" operator="lessThan">
      <formula>0.5</formula>
    </cfRule>
  </conditionalFormatting>
  <conditionalFormatting sqref="L21">
    <cfRule type="cellIs" dxfId="38688" priority="57062" stopIfTrue="1" operator="greaterThanOrEqual">
      <formula>0.5</formula>
    </cfRule>
  </conditionalFormatting>
  <conditionalFormatting sqref="L22">
    <cfRule type="cellIs" dxfId="38687" priority="57063" stopIfTrue="1" operator="equal">
      <formula>-1</formula>
    </cfRule>
  </conditionalFormatting>
  <conditionalFormatting sqref="L22">
    <cfRule type="cellIs" dxfId="38686" priority="57064" stopIfTrue="1" operator="lessThan">
      <formula>0.5</formula>
    </cfRule>
  </conditionalFormatting>
  <conditionalFormatting sqref="L22">
    <cfRule type="cellIs" dxfId="38685" priority="57065" stopIfTrue="1" operator="greaterThanOrEqual">
      <formula>0.5</formula>
    </cfRule>
  </conditionalFormatting>
  <conditionalFormatting sqref="L23">
    <cfRule type="cellIs" dxfId="38684" priority="57066" stopIfTrue="1" operator="equal">
      <formula>-1</formula>
    </cfRule>
  </conditionalFormatting>
  <conditionalFormatting sqref="L23">
    <cfRule type="cellIs" dxfId="38683" priority="57067" stopIfTrue="1" operator="lessThan">
      <formula>0.5</formula>
    </cfRule>
  </conditionalFormatting>
  <conditionalFormatting sqref="L23">
    <cfRule type="cellIs" dxfId="38682" priority="57068" stopIfTrue="1" operator="greaterThanOrEqual">
      <formula>0.5</formula>
    </cfRule>
  </conditionalFormatting>
  <conditionalFormatting sqref="L24">
    <cfRule type="cellIs" dxfId="38681" priority="57069" stopIfTrue="1" operator="equal">
      <formula>-1</formula>
    </cfRule>
  </conditionalFormatting>
  <conditionalFormatting sqref="L24">
    <cfRule type="cellIs" dxfId="38680" priority="57070" stopIfTrue="1" operator="lessThan">
      <formula>0.5</formula>
    </cfRule>
  </conditionalFormatting>
  <conditionalFormatting sqref="L24">
    <cfRule type="cellIs" dxfId="38679" priority="57071" stopIfTrue="1" operator="greaterThanOrEqual">
      <formula>0.5</formula>
    </cfRule>
  </conditionalFormatting>
  <conditionalFormatting sqref="L25">
    <cfRule type="cellIs" dxfId="38678" priority="57072" stopIfTrue="1" operator="equal">
      <formula>-1</formula>
    </cfRule>
  </conditionalFormatting>
  <conditionalFormatting sqref="L25">
    <cfRule type="cellIs" dxfId="38677" priority="57073" stopIfTrue="1" operator="lessThan">
      <formula>0.5</formula>
    </cfRule>
  </conditionalFormatting>
  <conditionalFormatting sqref="L25">
    <cfRule type="cellIs" dxfId="38676" priority="57074" stopIfTrue="1" operator="greaterThanOrEqual">
      <formula>0.5</formula>
    </cfRule>
  </conditionalFormatting>
  <conditionalFormatting sqref="N17">
    <cfRule type="cellIs" dxfId="38675" priority="57111" stopIfTrue="1" operator="equal">
      <formula>-1</formula>
    </cfRule>
  </conditionalFormatting>
  <conditionalFormatting sqref="N17">
    <cfRule type="cellIs" dxfId="38674" priority="57112" stopIfTrue="1" operator="lessThan">
      <formula>0.5</formula>
    </cfRule>
  </conditionalFormatting>
  <conditionalFormatting sqref="N17">
    <cfRule type="cellIs" dxfId="38673" priority="57113" stopIfTrue="1" operator="greaterThanOrEqual">
      <formula>0.5</formula>
    </cfRule>
  </conditionalFormatting>
  <conditionalFormatting sqref="N18">
    <cfRule type="cellIs" dxfId="38672" priority="57114" stopIfTrue="1" operator="equal">
      <formula>-1</formula>
    </cfRule>
  </conditionalFormatting>
  <conditionalFormatting sqref="N18">
    <cfRule type="cellIs" dxfId="38671" priority="57115" stopIfTrue="1" operator="lessThan">
      <formula>0.5</formula>
    </cfRule>
  </conditionalFormatting>
  <conditionalFormatting sqref="N18">
    <cfRule type="cellIs" dxfId="38670" priority="57116" stopIfTrue="1" operator="greaterThanOrEqual">
      <formula>0.5</formula>
    </cfRule>
  </conditionalFormatting>
  <conditionalFormatting sqref="N19">
    <cfRule type="cellIs" dxfId="38669" priority="57117" stopIfTrue="1" operator="equal">
      <formula>-1</formula>
    </cfRule>
  </conditionalFormatting>
  <conditionalFormatting sqref="N19">
    <cfRule type="cellIs" dxfId="38668" priority="57118" stopIfTrue="1" operator="lessThan">
      <formula>0.5</formula>
    </cfRule>
  </conditionalFormatting>
  <conditionalFormatting sqref="N19">
    <cfRule type="cellIs" dxfId="38667" priority="57119" stopIfTrue="1" operator="greaterThanOrEqual">
      <formula>0.5</formula>
    </cfRule>
  </conditionalFormatting>
  <conditionalFormatting sqref="N20">
    <cfRule type="cellIs" dxfId="38666" priority="57120" stopIfTrue="1" operator="equal">
      <formula>-1</formula>
    </cfRule>
  </conditionalFormatting>
  <conditionalFormatting sqref="N20">
    <cfRule type="cellIs" dxfId="38665" priority="57121" stopIfTrue="1" operator="lessThan">
      <formula>0.5</formula>
    </cfRule>
  </conditionalFormatting>
  <conditionalFormatting sqref="N20">
    <cfRule type="cellIs" dxfId="38664" priority="57122" stopIfTrue="1" operator="greaterThanOrEqual">
      <formula>0.5</formula>
    </cfRule>
  </conditionalFormatting>
  <conditionalFormatting sqref="N21">
    <cfRule type="cellIs" dxfId="38663" priority="57123" stopIfTrue="1" operator="equal">
      <formula>-1</formula>
    </cfRule>
  </conditionalFormatting>
  <conditionalFormatting sqref="N21">
    <cfRule type="cellIs" dxfId="38662" priority="57124" stopIfTrue="1" operator="lessThan">
      <formula>0.5</formula>
    </cfRule>
  </conditionalFormatting>
  <conditionalFormatting sqref="N21">
    <cfRule type="cellIs" dxfId="38661" priority="57125" stopIfTrue="1" operator="greaterThanOrEqual">
      <formula>0.5</formula>
    </cfRule>
  </conditionalFormatting>
  <conditionalFormatting sqref="N22">
    <cfRule type="cellIs" dxfId="38660" priority="57126" stopIfTrue="1" operator="equal">
      <formula>-1</formula>
    </cfRule>
  </conditionalFormatting>
  <conditionalFormatting sqref="N22">
    <cfRule type="cellIs" dxfId="38659" priority="57127" stopIfTrue="1" operator="lessThan">
      <formula>0.5</formula>
    </cfRule>
  </conditionalFormatting>
  <conditionalFormatting sqref="N22">
    <cfRule type="cellIs" dxfId="38658" priority="57128" stopIfTrue="1" operator="greaterThanOrEqual">
      <formula>0.5</formula>
    </cfRule>
  </conditionalFormatting>
  <conditionalFormatting sqref="N23">
    <cfRule type="cellIs" dxfId="38657" priority="57129" stopIfTrue="1" operator="equal">
      <formula>-1</formula>
    </cfRule>
  </conditionalFormatting>
  <conditionalFormatting sqref="N23">
    <cfRule type="cellIs" dxfId="38656" priority="57130" stopIfTrue="1" operator="lessThan">
      <formula>0.5</formula>
    </cfRule>
  </conditionalFormatting>
  <conditionalFormatting sqref="N23">
    <cfRule type="cellIs" dxfId="38655" priority="57131" stopIfTrue="1" operator="greaterThanOrEqual">
      <formula>0.5</formula>
    </cfRule>
  </conditionalFormatting>
  <conditionalFormatting sqref="N24">
    <cfRule type="cellIs" dxfId="38654" priority="57132" stopIfTrue="1" operator="equal">
      <formula>-1</formula>
    </cfRule>
  </conditionalFormatting>
  <conditionalFormatting sqref="N24">
    <cfRule type="cellIs" dxfId="38653" priority="57133" stopIfTrue="1" operator="lessThan">
      <formula>0.5</formula>
    </cfRule>
  </conditionalFormatting>
  <conditionalFormatting sqref="N24">
    <cfRule type="cellIs" dxfId="38652" priority="57134" stopIfTrue="1" operator="greaterThanOrEqual">
      <formula>0.5</formula>
    </cfRule>
  </conditionalFormatting>
  <conditionalFormatting sqref="N25">
    <cfRule type="cellIs" dxfId="38651" priority="57135" stopIfTrue="1" operator="equal">
      <formula>-1</formula>
    </cfRule>
  </conditionalFormatting>
  <conditionalFormatting sqref="N25">
    <cfRule type="cellIs" dxfId="38650" priority="57136" stopIfTrue="1" operator="lessThan">
      <formula>0.5</formula>
    </cfRule>
  </conditionalFormatting>
  <conditionalFormatting sqref="N25">
    <cfRule type="cellIs" dxfId="38649" priority="57137" stopIfTrue="1" operator="greaterThanOrEqual">
      <formula>0.5</formula>
    </cfRule>
  </conditionalFormatting>
  <conditionalFormatting sqref="P17">
    <cfRule type="cellIs" dxfId="38648" priority="57174" stopIfTrue="1" operator="equal">
      <formula>-1</formula>
    </cfRule>
  </conditionalFormatting>
  <conditionalFormatting sqref="P17">
    <cfRule type="cellIs" dxfId="38647" priority="57175" stopIfTrue="1" operator="lessThan">
      <formula>0.5</formula>
    </cfRule>
  </conditionalFormatting>
  <conditionalFormatting sqref="P17">
    <cfRule type="cellIs" dxfId="38646" priority="57176" stopIfTrue="1" operator="greaterThanOrEqual">
      <formula>0.5</formula>
    </cfRule>
  </conditionalFormatting>
  <conditionalFormatting sqref="P18">
    <cfRule type="cellIs" dxfId="38645" priority="57177" stopIfTrue="1" operator="equal">
      <formula>-1</formula>
    </cfRule>
  </conditionalFormatting>
  <conditionalFormatting sqref="P18">
    <cfRule type="cellIs" dxfId="38644" priority="57178" stopIfTrue="1" operator="lessThan">
      <formula>0.5</formula>
    </cfRule>
  </conditionalFormatting>
  <conditionalFormatting sqref="P18">
    <cfRule type="cellIs" dxfId="38643" priority="57179" stopIfTrue="1" operator="greaterThanOrEqual">
      <formula>0.5</formula>
    </cfRule>
  </conditionalFormatting>
  <conditionalFormatting sqref="P19">
    <cfRule type="cellIs" dxfId="38642" priority="57180" stopIfTrue="1" operator="equal">
      <formula>-1</formula>
    </cfRule>
  </conditionalFormatting>
  <conditionalFormatting sqref="P19">
    <cfRule type="cellIs" dxfId="38641" priority="57181" stopIfTrue="1" operator="lessThan">
      <formula>0.5</formula>
    </cfRule>
  </conditionalFormatting>
  <conditionalFormatting sqref="P19">
    <cfRule type="cellIs" dxfId="38640" priority="57182" stopIfTrue="1" operator="greaterThanOrEqual">
      <formula>0.5</formula>
    </cfRule>
  </conditionalFormatting>
  <conditionalFormatting sqref="P20">
    <cfRule type="cellIs" dxfId="38639" priority="57183" stopIfTrue="1" operator="equal">
      <formula>-1</formula>
    </cfRule>
  </conditionalFormatting>
  <conditionalFormatting sqref="P20">
    <cfRule type="cellIs" dxfId="38638" priority="57184" stopIfTrue="1" operator="lessThan">
      <formula>0.5</formula>
    </cfRule>
  </conditionalFormatting>
  <conditionalFormatting sqref="P20">
    <cfRule type="cellIs" dxfId="38637" priority="57185" stopIfTrue="1" operator="greaterThanOrEqual">
      <formula>0.5</formula>
    </cfRule>
  </conditionalFormatting>
  <conditionalFormatting sqref="P21">
    <cfRule type="cellIs" dxfId="38636" priority="57186" stopIfTrue="1" operator="equal">
      <formula>-1</formula>
    </cfRule>
  </conditionalFormatting>
  <conditionalFormatting sqref="P21">
    <cfRule type="cellIs" dxfId="38635" priority="57187" stopIfTrue="1" operator="lessThan">
      <formula>0.5</formula>
    </cfRule>
  </conditionalFormatting>
  <conditionalFormatting sqref="P21">
    <cfRule type="cellIs" dxfId="38634" priority="57188" stopIfTrue="1" operator="greaterThanOrEqual">
      <formula>0.5</formula>
    </cfRule>
  </conditionalFormatting>
  <conditionalFormatting sqref="P22">
    <cfRule type="cellIs" dxfId="38633" priority="57189" stopIfTrue="1" operator="equal">
      <formula>-1</formula>
    </cfRule>
  </conditionalFormatting>
  <conditionalFormatting sqref="P22">
    <cfRule type="cellIs" dxfId="38632" priority="57190" stopIfTrue="1" operator="lessThan">
      <formula>0.5</formula>
    </cfRule>
  </conditionalFormatting>
  <conditionalFormatting sqref="P22">
    <cfRule type="cellIs" dxfId="38631" priority="57191" stopIfTrue="1" operator="greaterThanOrEqual">
      <formula>0.5</formula>
    </cfRule>
  </conditionalFormatting>
  <conditionalFormatting sqref="P23">
    <cfRule type="cellIs" dxfId="38630" priority="57192" stopIfTrue="1" operator="equal">
      <formula>-1</formula>
    </cfRule>
  </conditionalFormatting>
  <conditionalFormatting sqref="P23">
    <cfRule type="cellIs" dxfId="38629" priority="57193" stopIfTrue="1" operator="lessThan">
      <formula>0.5</formula>
    </cfRule>
  </conditionalFormatting>
  <conditionalFormatting sqref="P23">
    <cfRule type="cellIs" dxfId="38628" priority="57194" stopIfTrue="1" operator="greaterThanOrEqual">
      <formula>0.5</formula>
    </cfRule>
  </conditionalFormatting>
  <conditionalFormatting sqref="P24">
    <cfRule type="cellIs" dxfId="38627" priority="57195" stopIfTrue="1" operator="equal">
      <formula>-1</formula>
    </cfRule>
  </conditionalFormatting>
  <conditionalFormatting sqref="P24">
    <cfRule type="cellIs" dxfId="38626" priority="57196" stopIfTrue="1" operator="lessThan">
      <formula>0.5</formula>
    </cfRule>
  </conditionalFormatting>
  <conditionalFormatting sqref="P24">
    <cfRule type="cellIs" dxfId="38625" priority="57197" stopIfTrue="1" operator="greaterThanOrEqual">
      <formula>0.5</formula>
    </cfRule>
  </conditionalFormatting>
  <conditionalFormatting sqref="P25">
    <cfRule type="cellIs" dxfId="38624" priority="57198" stopIfTrue="1" operator="equal">
      <formula>-1</formula>
    </cfRule>
  </conditionalFormatting>
  <conditionalFormatting sqref="P25">
    <cfRule type="cellIs" dxfId="38623" priority="57199" stopIfTrue="1" operator="lessThan">
      <formula>0.5</formula>
    </cfRule>
  </conditionalFormatting>
  <conditionalFormatting sqref="P25">
    <cfRule type="cellIs" dxfId="38622" priority="57200" stopIfTrue="1" operator="greaterThanOrEqual">
      <formula>0.5</formula>
    </cfRule>
  </conditionalFormatting>
  <conditionalFormatting sqref="R17">
    <cfRule type="cellIs" dxfId="38621" priority="57237" stopIfTrue="1" operator="equal">
      <formula>-1</formula>
    </cfRule>
  </conditionalFormatting>
  <conditionalFormatting sqref="R17">
    <cfRule type="cellIs" dxfId="38620" priority="57238" stopIfTrue="1" operator="lessThan">
      <formula>0.5</formula>
    </cfRule>
  </conditionalFormatting>
  <conditionalFormatting sqref="R17">
    <cfRule type="cellIs" dxfId="38619" priority="57239" stopIfTrue="1" operator="greaterThanOrEqual">
      <formula>0.5</formula>
    </cfRule>
  </conditionalFormatting>
  <conditionalFormatting sqref="R18">
    <cfRule type="cellIs" dxfId="38618" priority="57240" stopIfTrue="1" operator="equal">
      <formula>-1</formula>
    </cfRule>
  </conditionalFormatting>
  <conditionalFormatting sqref="R18">
    <cfRule type="cellIs" dxfId="38617" priority="57241" stopIfTrue="1" operator="lessThan">
      <formula>0.5</formula>
    </cfRule>
  </conditionalFormatting>
  <conditionalFormatting sqref="R18">
    <cfRule type="cellIs" dxfId="38616" priority="57242" stopIfTrue="1" operator="greaterThanOrEqual">
      <formula>0.5</formula>
    </cfRule>
  </conditionalFormatting>
  <conditionalFormatting sqref="R19">
    <cfRule type="cellIs" dxfId="38615" priority="57243" stopIfTrue="1" operator="equal">
      <formula>-1</formula>
    </cfRule>
  </conditionalFormatting>
  <conditionalFormatting sqref="R19">
    <cfRule type="cellIs" dxfId="38614" priority="57244" stopIfTrue="1" operator="lessThan">
      <formula>0.5</formula>
    </cfRule>
  </conditionalFormatting>
  <conditionalFormatting sqref="R19">
    <cfRule type="cellIs" dxfId="38613" priority="57245" stopIfTrue="1" operator="greaterThanOrEqual">
      <formula>0.5</formula>
    </cfRule>
  </conditionalFormatting>
  <conditionalFormatting sqref="R20">
    <cfRule type="cellIs" dxfId="38612" priority="57246" stopIfTrue="1" operator="equal">
      <formula>-1</formula>
    </cfRule>
  </conditionalFormatting>
  <conditionalFormatting sqref="R20">
    <cfRule type="cellIs" dxfId="38611" priority="57247" stopIfTrue="1" operator="lessThan">
      <formula>0.5</formula>
    </cfRule>
  </conditionalFormatting>
  <conditionalFormatting sqref="R20">
    <cfRule type="cellIs" dxfId="38610" priority="57248" stopIfTrue="1" operator="greaterThanOrEqual">
      <formula>0.5</formula>
    </cfRule>
  </conditionalFormatting>
  <conditionalFormatting sqref="R21">
    <cfRule type="cellIs" dxfId="38609" priority="57249" stopIfTrue="1" operator="equal">
      <formula>-1</formula>
    </cfRule>
  </conditionalFormatting>
  <conditionalFormatting sqref="R21">
    <cfRule type="cellIs" dxfId="38608" priority="57250" stopIfTrue="1" operator="lessThan">
      <formula>0.5</formula>
    </cfRule>
  </conditionalFormatting>
  <conditionalFormatting sqref="R21">
    <cfRule type="cellIs" dxfId="38607" priority="57251" stopIfTrue="1" operator="greaterThanOrEqual">
      <formula>0.5</formula>
    </cfRule>
  </conditionalFormatting>
  <conditionalFormatting sqref="R22">
    <cfRule type="cellIs" dxfId="38606" priority="57252" stopIfTrue="1" operator="equal">
      <formula>-1</formula>
    </cfRule>
  </conditionalFormatting>
  <conditionalFormatting sqref="R22">
    <cfRule type="cellIs" dxfId="38605" priority="57253" stopIfTrue="1" operator="lessThan">
      <formula>0.5</formula>
    </cfRule>
  </conditionalFormatting>
  <conditionalFormatting sqref="R22">
    <cfRule type="cellIs" dxfId="38604" priority="57254" stopIfTrue="1" operator="greaterThanOrEqual">
      <formula>0.5</formula>
    </cfRule>
  </conditionalFormatting>
  <conditionalFormatting sqref="R23">
    <cfRule type="cellIs" dxfId="38603" priority="57255" stopIfTrue="1" operator="equal">
      <formula>-1</formula>
    </cfRule>
  </conditionalFormatting>
  <conditionalFormatting sqref="R23">
    <cfRule type="cellIs" dxfId="38602" priority="57256" stopIfTrue="1" operator="lessThan">
      <formula>0.5</formula>
    </cfRule>
  </conditionalFormatting>
  <conditionalFormatting sqref="R23">
    <cfRule type="cellIs" dxfId="38601" priority="57257" stopIfTrue="1" operator="greaterThanOrEqual">
      <formula>0.5</formula>
    </cfRule>
  </conditionalFormatting>
  <conditionalFormatting sqref="R24">
    <cfRule type="cellIs" dxfId="38600" priority="57258" stopIfTrue="1" operator="equal">
      <formula>-1</formula>
    </cfRule>
  </conditionalFormatting>
  <conditionalFormatting sqref="R24">
    <cfRule type="cellIs" dxfId="38599" priority="57259" stopIfTrue="1" operator="lessThan">
      <formula>0.5</formula>
    </cfRule>
  </conditionalFormatting>
  <conditionalFormatting sqref="R24">
    <cfRule type="cellIs" dxfId="38598" priority="57260" stopIfTrue="1" operator="greaterThanOrEqual">
      <formula>0.5</formula>
    </cfRule>
  </conditionalFormatting>
  <conditionalFormatting sqref="R25">
    <cfRule type="cellIs" dxfId="38597" priority="57261" stopIfTrue="1" operator="equal">
      <formula>-1</formula>
    </cfRule>
  </conditionalFormatting>
  <conditionalFormatting sqref="R25">
    <cfRule type="cellIs" dxfId="38596" priority="57262" stopIfTrue="1" operator="lessThan">
      <formula>0.5</formula>
    </cfRule>
  </conditionalFormatting>
  <conditionalFormatting sqref="R25">
    <cfRule type="cellIs" dxfId="38595" priority="57263" stopIfTrue="1" operator="greaterThanOrEqual">
      <formula>0.5</formula>
    </cfRule>
  </conditionalFormatting>
  <conditionalFormatting sqref="T17">
    <cfRule type="cellIs" dxfId="38594" priority="57300" stopIfTrue="1" operator="equal">
      <formula>-1</formula>
    </cfRule>
  </conditionalFormatting>
  <conditionalFormatting sqref="T17">
    <cfRule type="cellIs" dxfId="38593" priority="57301" stopIfTrue="1" operator="lessThan">
      <formula>0.5</formula>
    </cfRule>
  </conditionalFormatting>
  <conditionalFormatting sqref="T17">
    <cfRule type="cellIs" dxfId="38592" priority="57302" stopIfTrue="1" operator="greaterThanOrEqual">
      <formula>0.5</formula>
    </cfRule>
  </conditionalFormatting>
  <conditionalFormatting sqref="T18">
    <cfRule type="cellIs" dxfId="38591" priority="57303" stopIfTrue="1" operator="equal">
      <formula>-1</formula>
    </cfRule>
  </conditionalFormatting>
  <conditionalFormatting sqref="T18">
    <cfRule type="cellIs" dxfId="38590" priority="57304" stopIfTrue="1" operator="lessThan">
      <formula>0.5</formula>
    </cfRule>
  </conditionalFormatting>
  <conditionalFormatting sqref="T18">
    <cfRule type="cellIs" dxfId="38589" priority="57305" stopIfTrue="1" operator="greaterThanOrEqual">
      <formula>0.5</formula>
    </cfRule>
  </conditionalFormatting>
  <conditionalFormatting sqref="T19">
    <cfRule type="cellIs" dxfId="38588" priority="57306" stopIfTrue="1" operator="equal">
      <formula>-1</formula>
    </cfRule>
  </conditionalFormatting>
  <conditionalFormatting sqref="T19">
    <cfRule type="cellIs" dxfId="38587" priority="57307" stopIfTrue="1" operator="lessThan">
      <formula>0.5</formula>
    </cfRule>
  </conditionalFormatting>
  <conditionalFormatting sqref="T19">
    <cfRule type="cellIs" dxfId="38586" priority="57308" stopIfTrue="1" operator="greaterThanOrEqual">
      <formula>0.5</formula>
    </cfRule>
  </conditionalFormatting>
  <conditionalFormatting sqref="T20">
    <cfRule type="cellIs" dxfId="38585" priority="57309" stopIfTrue="1" operator="equal">
      <formula>-1</formula>
    </cfRule>
  </conditionalFormatting>
  <conditionalFormatting sqref="T20">
    <cfRule type="cellIs" dxfId="38584" priority="57310" stopIfTrue="1" operator="lessThan">
      <formula>0.5</formula>
    </cfRule>
  </conditionalFormatting>
  <conditionalFormatting sqref="T20">
    <cfRule type="cellIs" dxfId="38583" priority="57311" stopIfTrue="1" operator="greaterThanOrEqual">
      <formula>0.5</formula>
    </cfRule>
  </conditionalFormatting>
  <conditionalFormatting sqref="T21">
    <cfRule type="cellIs" dxfId="38582" priority="57312" stopIfTrue="1" operator="equal">
      <formula>-1</formula>
    </cfRule>
  </conditionalFormatting>
  <conditionalFormatting sqref="T21">
    <cfRule type="cellIs" dxfId="38581" priority="57313" stopIfTrue="1" operator="lessThan">
      <formula>0.5</formula>
    </cfRule>
  </conditionalFormatting>
  <conditionalFormatting sqref="T21">
    <cfRule type="cellIs" dxfId="38580" priority="57314" stopIfTrue="1" operator="greaterThanOrEqual">
      <formula>0.5</formula>
    </cfRule>
  </conditionalFormatting>
  <conditionalFormatting sqref="T22">
    <cfRule type="cellIs" dxfId="38579" priority="57315" stopIfTrue="1" operator="equal">
      <formula>-1</formula>
    </cfRule>
  </conditionalFormatting>
  <conditionalFormatting sqref="T22">
    <cfRule type="cellIs" dxfId="38578" priority="57316" stopIfTrue="1" operator="lessThan">
      <formula>0.5</formula>
    </cfRule>
  </conditionalFormatting>
  <conditionalFormatting sqref="T22">
    <cfRule type="cellIs" dxfId="38577" priority="57317" stopIfTrue="1" operator="greaterThanOrEqual">
      <formula>0.5</formula>
    </cfRule>
  </conditionalFormatting>
  <conditionalFormatting sqref="T23">
    <cfRule type="cellIs" dxfId="38576" priority="57318" stopIfTrue="1" operator="equal">
      <formula>-1</formula>
    </cfRule>
  </conditionalFormatting>
  <conditionalFormatting sqref="T23">
    <cfRule type="cellIs" dxfId="38575" priority="57319" stopIfTrue="1" operator="lessThan">
      <formula>0.5</formula>
    </cfRule>
  </conditionalFormatting>
  <conditionalFormatting sqref="T23">
    <cfRule type="cellIs" dxfId="38574" priority="57320" stopIfTrue="1" operator="greaterThanOrEqual">
      <formula>0.5</formula>
    </cfRule>
  </conditionalFormatting>
  <conditionalFormatting sqref="T24">
    <cfRule type="cellIs" dxfId="38573" priority="57321" stopIfTrue="1" operator="equal">
      <formula>-1</formula>
    </cfRule>
  </conditionalFormatting>
  <conditionalFormatting sqref="T24">
    <cfRule type="cellIs" dxfId="38572" priority="57322" stopIfTrue="1" operator="lessThan">
      <formula>0.5</formula>
    </cfRule>
  </conditionalFormatting>
  <conditionalFormatting sqref="T24">
    <cfRule type="cellIs" dxfId="38571" priority="57323" stopIfTrue="1" operator="greaterThanOrEqual">
      <formula>0.5</formula>
    </cfRule>
  </conditionalFormatting>
  <conditionalFormatting sqref="T25">
    <cfRule type="cellIs" dxfId="38570" priority="57324" stopIfTrue="1" operator="equal">
      <formula>-1</formula>
    </cfRule>
  </conditionalFormatting>
  <conditionalFormatting sqref="T25">
    <cfRule type="cellIs" dxfId="38569" priority="57325" stopIfTrue="1" operator="lessThan">
      <formula>0.5</formula>
    </cfRule>
  </conditionalFormatting>
  <conditionalFormatting sqref="T25">
    <cfRule type="cellIs" dxfId="38568" priority="57326" stopIfTrue="1" operator="greaterThanOrEqual">
      <formula>0.5</formula>
    </cfRule>
  </conditionalFormatting>
  <conditionalFormatting sqref="V17">
    <cfRule type="cellIs" dxfId="38567" priority="57363" stopIfTrue="1" operator="equal">
      <formula>-1</formula>
    </cfRule>
  </conditionalFormatting>
  <conditionalFormatting sqref="V17">
    <cfRule type="cellIs" dxfId="38566" priority="57364" stopIfTrue="1" operator="lessThan">
      <formula>0.5</formula>
    </cfRule>
  </conditionalFormatting>
  <conditionalFormatting sqref="V17">
    <cfRule type="cellIs" dxfId="38565" priority="57365" stopIfTrue="1" operator="greaterThanOrEqual">
      <formula>0.5</formula>
    </cfRule>
  </conditionalFormatting>
  <conditionalFormatting sqref="V18">
    <cfRule type="cellIs" dxfId="38564" priority="57366" stopIfTrue="1" operator="equal">
      <formula>-1</formula>
    </cfRule>
  </conditionalFormatting>
  <conditionalFormatting sqref="V18">
    <cfRule type="cellIs" dxfId="38563" priority="57367" stopIfTrue="1" operator="lessThan">
      <formula>0.5</formula>
    </cfRule>
  </conditionalFormatting>
  <conditionalFormatting sqref="V18">
    <cfRule type="cellIs" dxfId="38562" priority="57368" stopIfTrue="1" operator="greaterThanOrEqual">
      <formula>0.5</formula>
    </cfRule>
  </conditionalFormatting>
  <conditionalFormatting sqref="V19">
    <cfRule type="cellIs" dxfId="38561" priority="57369" stopIfTrue="1" operator="equal">
      <formula>-1</formula>
    </cfRule>
  </conditionalFormatting>
  <conditionalFormatting sqref="V19">
    <cfRule type="cellIs" dxfId="38560" priority="57370" stopIfTrue="1" operator="lessThan">
      <formula>0.5</formula>
    </cfRule>
  </conditionalFormatting>
  <conditionalFormatting sqref="V19">
    <cfRule type="cellIs" dxfId="38559" priority="57371" stopIfTrue="1" operator="greaterThanOrEqual">
      <formula>0.5</formula>
    </cfRule>
  </conditionalFormatting>
  <conditionalFormatting sqref="V20">
    <cfRule type="cellIs" dxfId="38558" priority="57372" stopIfTrue="1" operator="equal">
      <formula>-1</formula>
    </cfRule>
  </conditionalFormatting>
  <conditionalFormatting sqref="V20">
    <cfRule type="cellIs" dxfId="38557" priority="57373" stopIfTrue="1" operator="lessThan">
      <formula>0.5</formula>
    </cfRule>
  </conditionalFormatting>
  <conditionalFormatting sqref="V20">
    <cfRule type="cellIs" dxfId="38556" priority="57374" stopIfTrue="1" operator="greaterThanOrEqual">
      <formula>0.5</formula>
    </cfRule>
  </conditionalFormatting>
  <conditionalFormatting sqref="V21">
    <cfRule type="cellIs" dxfId="38555" priority="57375" stopIfTrue="1" operator="equal">
      <formula>-1</formula>
    </cfRule>
  </conditionalFormatting>
  <conditionalFormatting sqref="V21">
    <cfRule type="cellIs" dxfId="38554" priority="57376" stopIfTrue="1" operator="lessThan">
      <formula>0.5</formula>
    </cfRule>
  </conditionalFormatting>
  <conditionalFormatting sqref="V21">
    <cfRule type="cellIs" dxfId="38553" priority="57377" stopIfTrue="1" operator="greaterThanOrEqual">
      <formula>0.5</formula>
    </cfRule>
  </conditionalFormatting>
  <conditionalFormatting sqref="V22">
    <cfRule type="cellIs" dxfId="38552" priority="57378" stopIfTrue="1" operator="equal">
      <formula>-1</formula>
    </cfRule>
  </conditionalFormatting>
  <conditionalFormatting sqref="V22">
    <cfRule type="cellIs" dxfId="38551" priority="57379" stopIfTrue="1" operator="lessThan">
      <formula>0.5</formula>
    </cfRule>
  </conditionalFormatting>
  <conditionalFormatting sqref="V22">
    <cfRule type="cellIs" dxfId="38550" priority="57380" stopIfTrue="1" operator="greaterThanOrEqual">
      <formula>0.5</formula>
    </cfRule>
  </conditionalFormatting>
  <conditionalFormatting sqref="V23">
    <cfRule type="cellIs" dxfId="38549" priority="57381" stopIfTrue="1" operator="equal">
      <formula>-1</formula>
    </cfRule>
  </conditionalFormatting>
  <conditionalFormatting sqref="V23">
    <cfRule type="cellIs" dxfId="38548" priority="57382" stopIfTrue="1" operator="lessThan">
      <formula>0.5</formula>
    </cfRule>
  </conditionalFormatting>
  <conditionalFormatting sqref="V23">
    <cfRule type="cellIs" dxfId="38547" priority="57383" stopIfTrue="1" operator="greaterThanOrEqual">
      <formula>0.5</formula>
    </cfRule>
  </conditionalFormatting>
  <conditionalFormatting sqref="V24">
    <cfRule type="cellIs" dxfId="38546" priority="57384" stopIfTrue="1" operator="equal">
      <formula>-1</formula>
    </cfRule>
  </conditionalFormatting>
  <conditionalFormatting sqref="V24">
    <cfRule type="cellIs" dxfId="38545" priority="57385" stopIfTrue="1" operator="lessThan">
      <formula>0.5</formula>
    </cfRule>
  </conditionalFormatting>
  <conditionalFormatting sqref="V24">
    <cfRule type="cellIs" dxfId="38544" priority="57386" stopIfTrue="1" operator="greaterThanOrEqual">
      <formula>0.5</formula>
    </cfRule>
  </conditionalFormatting>
  <conditionalFormatting sqref="V25">
    <cfRule type="cellIs" dxfId="38543" priority="57387" stopIfTrue="1" operator="equal">
      <formula>-1</formula>
    </cfRule>
  </conditionalFormatting>
  <conditionalFormatting sqref="V25">
    <cfRule type="cellIs" dxfId="38542" priority="57388" stopIfTrue="1" operator="lessThan">
      <formula>0.5</formula>
    </cfRule>
  </conditionalFormatting>
  <conditionalFormatting sqref="V25">
    <cfRule type="cellIs" dxfId="38541" priority="57389" stopIfTrue="1" operator="greaterThanOrEqual">
      <formula>0.5</formula>
    </cfRule>
  </conditionalFormatting>
  <conditionalFormatting sqref="X17">
    <cfRule type="cellIs" dxfId="38540" priority="57426" stopIfTrue="1" operator="equal">
      <formula>-1</formula>
    </cfRule>
  </conditionalFormatting>
  <conditionalFormatting sqref="X17">
    <cfRule type="cellIs" dxfId="38539" priority="57427" stopIfTrue="1" operator="lessThan">
      <formula>0.5</formula>
    </cfRule>
  </conditionalFormatting>
  <conditionalFormatting sqref="X17">
    <cfRule type="cellIs" dxfId="38538" priority="57428" stopIfTrue="1" operator="greaterThanOrEqual">
      <formula>0.5</formula>
    </cfRule>
  </conditionalFormatting>
  <conditionalFormatting sqref="X18">
    <cfRule type="cellIs" dxfId="38537" priority="57429" stopIfTrue="1" operator="equal">
      <formula>-1</formula>
    </cfRule>
  </conditionalFormatting>
  <conditionalFormatting sqref="X18">
    <cfRule type="cellIs" dxfId="38536" priority="57430" stopIfTrue="1" operator="lessThan">
      <formula>0.5</formula>
    </cfRule>
  </conditionalFormatting>
  <conditionalFormatting sqref="X18">
    <cfRule type="cellIs" dxfId="38535" priority="57431" stopIfTrue="1" operator="greaterThanOrEqual">
      <formula>0.5</formula>
    </cfRule>
  </conditionalFormatting>
  <conditionalFormatting sqref="X19">
    <cfRule type="cellIs" dxfId="38534" priority="57432" stopIfTrue="1" operator="equal">
      <formula>-1</formula>
    </cfRule>
  </conditionalFormatting>
  <conditionalFormatting sqref="X19">
    <cfRule type="cellIs" dxfId="38533" priority="57433" stopIfTrue="1" operator="lessThan">
      <formula>0.5</formula>
    </cfRule>
  </conditionalFormatting>
  <conditionalFormatting sqref="X19">
    <cfRule type="cellIs" dxfId="38532" priority="57434" stopIfTrue="1" operator="greaterThanOrEqual">
      <formula>0.5</formula>
    </cfRule>
  </conditionalFormatting>
  <conditionalFormatting sqref="X20">
    <cfRule type="cellIs" dxfId="38531" priority="57435" stopIfTrue="1" operator="equal">
      <formula>-1</formula>
    </cfRule>
  </conditionalFormatting>
  <conditionalFormatting sqref="X20">
    <cfRule type="cellIs" dxfId="38530" priority="57436" stopIfTrue="1" operator="lessThan">
      <formula>0.5</formula>
    </cfRule>
  </conditionalFormatting>
  <conditionalFormatting sqref="X20">
    <cfRule type="cellIs" dxfId="38529" priority="57437" stopIfTrue="1" operator="greaterThanOrEqual">
      <formula>0.5</formula>
    </cfRule>
  </conditionalFormatting>
  <conditionalFormatting sqref="X21">
    <cfRule type="cellIs" dxfId="38528" priority="57438" stopIfTrue="1" operator="equal">
      <formula>-1</formula>
    </cfRule>
  </conditionalFormatting>
  <conditionalFormatting sqref="X21">
    <cfRule type="cellIs" dxfId="38527" priority="57439" stopIfTrue="1" operator="lessThan">
      <formula>0.5</formula>
    </cfRule>
  </conditionalFormatting>
  <conditionalFormatting sqref="X21">
    <cfRule type="cellIs" dxfId="38526" priority="57440" stopIfTrue="1" operator="greaterThanOrEqual">
      <formula>0.5</formula>
    </cfRule>
  </conditionalFormatting>
  <conditionalFormatting sqref="X22">
    <cfRule type="cellIs" dxfId="38525" priority="57441" stopIfTrue="1" operator="equal">
      <formula>-1</formula>
    </cfRule>
  </conditionalFormatting>
  <conditionalFormatting sqref="X22">
    <cfRule type="cellIs" dxfId="38524" priority="57442" stopIfTrue="1" operator="lessThan">
      <formula>0.5</formula>
    </cfRule>
  </conditionalFormatting>
  <conditionalFormatting sqref="X22">
    <cfRule type="cellIs" dxfId="38523" priority="57443" stopIfTrue="1" operator="greaterThanOrEqual">
      <formula>0.5</formula>
    </cfRule>
  </conditionalFormatting>
  <conditionalFormatting sqref="X23">
    <cfRule type="cellIs" dxfId="38522" priority="57444" stopIfTrue="1" operator="equal">
      <formula>-1</formula>
    </cfRule>
  </conditionalFormatting>
  <conditionalFormatting sqref="X23">
    <cfRule type="cellIs" dxfId="38521" priority="57445" stopIfTrue="1" operator="lessThan">
      <formula>0.5</formula>
    </cfRule>
  </conditionalFormatting>
  <conditionalFormatting sqref="X23">
    <cfRule type="cellIs" dxfId="38520" priority="57446" stopIfTrue="1" operator="greaterThanOrEqual">
      <formula>0.5</formula>
    </cfRule>
  </conditionalFormatting>
  <conditionalFormatting sqref="X24">
    <cfRule type="cellIs" dxfId="38519" priority="57447" stopIfTrue="1" operator="equal">
      <formula>-1</formula>
    </cfRule>
  </conditionalFormatting>
  <conditionalFormatting sqref="X24">
    <cfRule type="cellIs" dxfId="38518" priority="57448" stopIfTrue="1" operator="lessThan">
      <formula>0.5</formula>
    </cfRule>
  </conditionalFormatting>
  <conditionalFormatting sqref="X24">
    <cfRule type="cellIs" dxfId="38517" priority="57449" stopIfTrue="1" operator="greaterThanOrEqual">
      <formula>0.5</formula>
    </cfRule>
  </conditionalFormatting>
  <conditionalFormatting sqref="X25">
    <cfRule type="cellIs" dxfId="38516" priority="57450" stopIfTrue="1" operator="equal">
      <formula>-1</formula>
    </cfRule>
  </conditionalFormatting>
  <conditionalFormatting sqref="X25">
    <cfRule type="cellIs" dxfId="38515" priority="57451" stopIfTrue="1" operator="lessThan">
      <formula>0.5</formula>
    </cfRule>
  </conditionalFormatting>
  <conditionalFormatting sqref="X25">
    <cfRule type="cellIs" dxfId="38514" priority="57452" stopIfTrue="1" operator="greaterThanOrEqual">
      <formula>0.5</formula>
    </cfRule>
  </conditionalFormatting>
  <conditionalFormatting sqref="Z17">
    <cfRule type="cellIs" dxfId="38513" priority="57489" stopIfTrue="1" operator="equal">
      <formula>-1</formula>
    </cfRule>
  </conditionalFormatting>
  <conditionalFormatting sqref="Z17">
    <cfRule type="cellIs" dxfId="38512" priority="57490" stopIfTrue="1" operator="lessThan">
      <formula>0.5</formula>
    </cfRule>
  </conditionalFormatting>
  <conditionalFormatting sqref="Z17">
    <cfRule type="cellIs" dxfId="38511" priority="57491" stopIfTrue="1" operator="greaterThanOrEqual">
      <formula>0.5</formula>
    </cfRule>
  </conditionalFormatting>
  <conditionalFormatting sqref="Z18">
    <cfRule type="cellIs" dxfId="38510" priority="57492" stopIfTrue="1" operator="equal">
      <formula>-1</formula>
    </cfRule>
  </conditionalFormatting>
  <conditionalFormatting sqref="Z18">
    <cfRule type="cellIs" dxfId="38509" priority="57493" stopIfTrue="1" operator="lessThan">
      <formula>0.5</formula>
    </cfRule>
  </conditionalFormatting>
  <conditionalFormatting sqref="Z18">
    <cfRule type="cellIs" dxfId="38508" priority="57494" stopIfTrue="1" operator="greaterThanOrEqual">
      <formula>0.5</formula>
    </cfRule>
  </conditionalFormatting>
  <conditionalFormatting sqref="Z19">
    <cfRule type="cellIs" dxfId="38507" priority="57495" stopIfTrue="1" operator="equal">
      <formula>-1</formula>
    </cfRule>
  </conditionalFormatting>
  <conditionalFormatting sqref="Z19">
    <cfRule type="cellIs" dxfId="38506" priority="57496" stopIfTrue="1" operator="lessThan">
      <formula>0.5</formula>
    </cfRule>
  </conditionalFormatting>
  <conditionalFormatting sqref="Z19">
    <cfRule type="cellIs" dxfId="38505" priority="57497" stopIfTrue="1" operator="greaterThanOrEqual">
      <formula>0.5</formula>
    </cfRule>
  </conditionalFormatting>
  <conditionalFormatting sqref="Z20">
    <cfRule type="cellIs" dxfId="38504" priority="57498" stopIfTrue="1" operator="equal">
      <formula>-1</formula>
    </cfRule>
  </conditionalFormatting>
  <conditionalFormatting sqref="Z20">
    <cfRule type="cellIs" dxfId="38503" priority="57499" stopIfTrue="1" operator="lessThan">
      <formula>0.5</formula>
    </cfRule>
  </conditionalFormatting>
  <conditionalFormatting sqref="Z20">
    <cfRule type="cellIs" dxfId="38502" priority="57500" stopIfTrue="1" operator="greaterThanOrEqual">
      <formula>0.5</formula>
    </cfRule>
  </conditionalFormatting>
  <conditionalFormatting sqref="Z21">
    <cfRule type="cellIs" dxfId="38501" priority="57501" stopIfTrue="1" operator="equal">
      <formula>-1</formula>
    </cfRule>
  </conditionalFormatting>
  <conditionalFormatting sqref="Z21">
    <cfRule type="cellIs" dxfId="38500" priority="57502" stopIfTrue="1" operator="lessThan">
      <formula>0.5</formula>
    </cfRule>
  </conditionalFormatting>
  <conditionalFormatting sqref="Z21">
    <cfRule type="cellIs" dxfId="38499" priority="57503" stopIfTrue="1" operator="greaterThanOrEqual">
      <formula>0.5</formula>
    </cfRule>
  </conditionalFormatting>
  <conditionalFormatting sqref="Z22">
    <cfRule type="cellIs" dxfId="38498" priority="57504" stopIfTrue="1" operator="equal">
      <formula>-1</formula>
    </cfRule>
  </conditionalFormatting>
  <conditionalFormatting sqref="Z22">
    <cfRule type="cellIs" dxfId="38497" priority="57505" stopIfTrue="1" operator="lessThan">
      <formula>0.5</formula>
    </cfRule>
  </conditionalFormatting>
  <conditionalFormatting sqref="Z22">
    <cfRule type="cellIs" dxfId="38496" priority="57506" stopIfTrue="1" operator="greaterThanOrEqual">
      <formula>0.5</formula>
    </cfRule>
  </conditionalFormatting>
  <conditionalFormatting sqref="Z23">
    <cfRule type="cellIs" dxfId="38495" priority="57507" stopIfTrue="1" operator="equal">
      <formula>-1</formula>
    </cfRule>
  </conditionalFormatting>
  <conditionalFormatting sqref="Z23">
    <cfRule type="cellIs" dxfId="38494" priority="57508" stopIfTrue="1" operator="lessThan">
      <formula>0.5</formula>
    </cfRule>
  </conditionalFormatting>
  <conditionalFormatting sqref="Z23">
    <cfRule type="cellIs" dxfId="38493" priority="57509" stopIfTrue="1" operator="greaterThanOrEqual">
      <formula>0.5</formula>
    </cfRule>
  </conditionalFormatting>
  <conditionalFormatting sqref="Z24">
    <cfRule type="cellIs" dxfId="38492" priority="57510" stopIfTrue="1" operator="equal">
      <formula>-1</formula>
    </cfRule>
  </conditionalFormatting>
  <conditionalFormatting sqref="Z24">
    <cfRule type="cellIs" dxfId="38491" priority="57511" stopIfTrue="1" operator="lessThan">
      <formula>0.5</formula>
    </cfRule>
  </conditionalFormatting>
  <conditionalFormatting sqref="Z24">
    <cfRule type="cellIs" dxfId="38490" priority="57512" stopIfTrue="1" operator="greaterThanOrEqual">
      <formula>0.5</formula>
    </cfRule>
  </conditionalFormatting>
  <conditionalFormatting sqref="Z25">
    <cfRule type="cellIs" dxfId="38489" priority="57513" stopIfTrue="1" operator="equal">
      <formula>-1</formula>
    </cfRule>
  </conditionalFormatting>
  <conditionalFormatting sqref="Z25">
    <cfRule type="cellIs" dxfId="38488" priority="57514" stopIfTrue="1" operator="lessThan">
      <formula>0.5</formula>
    </cfRule>
  </conditionalFormatting>
  <conditionalFormatting sqref="Z25">
    <cfRule type="cellIs" dxfId="38487" priority="57515" stopIfTrue="1" operator="greaterThanOrEqual">
      <formula>0.5</formula>
    </cfRule>
  </conditionalFormatting>
  <conditionalFormatting sqref="AB17">
    <cfRule type="cellIs" dxfId="38486" priority="57552" stopIfTrue="1" operator="equal">
      <formula>-1</formula>
    </cfRule>
  </conditionalFormatting>
  <conditionalFormatting sqref="AB17">
    <cfRule type="cellIs" dxfId="38485" priority="57553" stopIfTrue="1" operator="lessThan">
      <formula>0.5</formula>
    </cfRule>
  </conditionalFormatting>
  <conditionalFormatting sqref="AB17">
    <cfRule type="cellIs" dxfId="38484" priority="57554" stopIfTrue="1" operator="greaterThanOrEqual">
      <formula>0.5</formula>
    </cfRule>
  </conditionalFormatting>
  <conditionalFormatting sqref="AB18">
    <cfRule type="cellIs" dxfId="38483" priority="57555" stopIfTrue="1" operator="equal">
      <formula>-1</formula>
    </cfRule>
  </conditionalFormatting>
  <conditionalFormatting sqref="AB18">
    <cfRule type="cellIs" dxfId="38482" priority="57556" stopIfTrue="1" operator="lessThan">
      <formula>0.5</formula>
    </cfRule>
  </conditionalFormatting>
  <conditionalFormatting sqref="AB18">
    <cfRule type="cellIs" dxfId="38481" priority="57557" stopIfTrue="1" operator="greaterThanOrEqual">
      <formula>0.5</formula>
    </cfRule>
  </conditionalFormatting>
  <conditionalFormatting sqref="AB19">
    <cfRule type="cellIs" dxfId="38480" priority="57558" stopIfTrue="1" operator="equal">
      <formula>-1</formula>
    </cfRule>
  </conditionalFormatting>
  <conditionalFormatting sqref="AB19">
    <cfRule type="cellIs" dxfId="38479" priority="57559" stopIfTrue="1" operator="lessThan">
      <formula>0.5</formula>
    </cfRule>
  </conditionalFormatting>
  <conditionalFormatting sqref="AB19">
    <cfRule type="cellIs" dxfId="38478" priority="57560" stopIfTrue="1" operator="greaterThanOrEqual">
      <formula>0.5</formula>
    </cfRule>
  </conditionalFormatting>
  <conditionalFormatting sqref="AB20">
    <cfRule type="cellIs" dxfId="38477" priority="57561" stopIfTrue="1" operator="equal">
      <formula>-1</formula>
    </cfRule>
  </conditionalFormatting>
  <conditionalFormatting sqref="AB20">
    <cfRule type="cellIs" dxfId="38476" priority="57562" stopIfTrue="1" operator="lessThan">
      <formula>0.5</formula>
    </cfRule>
  </conditionalFormatting>
  <conditionalFormatting sqref="AB20">
    <cfRule type="cellIs" dxfId="38475" priority="57563" stopIfTrue="1" operator="greaterThanOrEqual">
      <formula>0.5</formula>
    </cfRule>
  </conditionalFormatting>
  <conditionalFormatting sqref="AB21">
    <cfRule type="cellIs" dxfId="38474" priority="57564" stopIfTrue="1" operator="equal">
      <formula>-1</formula>
    </cfRule>
  </conditionalFormatting>
  <conditionalFormatting sqref="AB21">
    <cfRule type="cellIs" dxfId="38473" priority="57565" stopIfTrue="1" operator="lessThan">
      <formula>0.5</formula>
    </cfRule>
  </conditionalFormatting>
  <conditionalFormatting sqref="AB21">
    <cfRule type="cellIs" dxfId="38472" priority="57566" stopIfTrue="1" operator="greaterThanOrEqual">
      <formula>0.5</formula>
    </cfRule>
  </conditionalFormatting>
  <conditionalFormatting sqref="AB22">
    <cfRule type="cellIs" dxfId="38471" priority="57567" stopIfTrue="1" operator="equal">
      <formula>-1</formula>
    </cfRule>
  </conditionalFormatting>
  <conditionalFormatting sqref="AB22">
    <cfRule type="cellIs" dxfId="38470" priority="57568" stopIfTrue="1" operator="lessThan">
      <formula>0.5</formula>
    </cfRule>
  </conditionalFormatting>
  <conditionalFormatting sqref="AB22">
    <cfRule type="cellIs" dxfId="38469" priority="57569" stopIfTrue="1" operator="greaterThanOrEqual">
      <formula>0.5</formula>
    </cfRule>
  </conditionalFormatting>
  <conditionalFormatting sqref="AB23">
    <cfRule type="cellIs" dxfId="38468" priority="57570" stopIfTrue="1" operator="equal">
      <formula>-1</formula>
    </cfRule>
  </conditionalFormatting>
  <conditionalFormatting sqref="AB23">
    <cfRule type="cellIs" dxfId="38467" priority="57571" stopIfTrue="1" operator="lessThan">
      <formula>0.5</formula>
    </cfRule>
  </conditionalFormatting>
  <conditionalFormatting sqref="AB23">
    <cfRule type="cellIs" dxfId="38466" priority="57572" stopIfTrue="1" operator="greaterThanOrEqual">
      <formula>0.5</formula>
    </cfRule>
  </conditionalFormatting>
  <conditionalFormatting sqref="AB24">
    <cfRule type="cellIs" dxfId="38465" priority="57573" stopIfTrue="1" operator="equal">
      <formula>-1</formula>
    </cfRule>
  </conditionalFormatting>
  <conditionalFormatting sqref="AB24">
    <cfRule type="cellIs" dxfId="38464" priority="57574" stopIfTrue="1" operator="lessThan">
      <formula>0.5</formula>
    </cfRule>
  </conditionalFormatting>
  <conditionalFormatting sqref="AB24">
    <cfRule type="cellIs" dxfId="38463" priority="57575" stopIfTrue="1" operator="greaterThanOrEqual">
      <formula>0.5</formula>
    </cfRule>
  </conditionalFormatting>
  <conditionalFormatting sqref="AB25">
    <cfRule type="cellIs" dxfId="38462" priority="57576" stopIfTrue="1" operator="equal">
      <formula>-1</formula>
    </cfRule>
  </conditionalFormatting>
  <conditionalFormatting sqref="AB25">
    <cfRule type="cellIs" dxfId="38461" priority="57577" stopIfTrue="1" operator="lessThan">
      <formula>0.5</formula>
    </cfRule>
  </conditionalFormatting>
  <conditionalFormatting sqref="AB25">
    <cfRule type="cellIs" dxfId="38460" priority="57578" stopIfTrue="1" operator="greaterThanOrEqual">
      <formula>0.5</formula>
    </cfRule>
  </conditionalFormatting>
  <conditionalFormatting sqref="AD17">
    <cfRule type="cellIs" dxfId="38459" priority="57615" stopIfTrue="1" operator="equal">
      <formula>-1</formula>
    </cfRule>
  </conditionalFormatting>
  <conditionalFormatting sqref="AD17">
    <cfRule type="cellIs" dxfId="38458" priority="57616" stopIfTrue="1" operator="lessThan">
      <formula>0.5</formula>
    </cfRule>
  </conditionalFormatting>
  <conditionalFormatting sqref="AD17">
    <cfRule type="cellIs" dxfId="38457" priority="57617" stopIfTrue="1" operator="greaterThanOrEqual">
      <formula>0.5</formula>
    </cfRule>
  </conditionalFormatting>
  <conditionalFormatting sqref="AD18">
    <cfRule type="cellIs" dxfId="38456" priority="57618" stopIfTrue="1" operator="equal">
      <formula>-1</formula>
    </cfRule>
  </conditionalFormatting>
  <conditionalFormatting sqref="AD18">
    <cfRule type="cellIs" dxfId="38455" priority="57619" stopIfTrue="1" operator="lessThan">
      <formula>0.5</formula>
    </cfRule>
  </conditionalFormatting>
  <conditionalFormatting sqref="AD18">
    <cfRule type="cellIs" dxfId="38454" priority="57620" stopIfTrue="1" operator="greaterThanOrEqual">
      <formula>0.5</formula>
    </cfRule>
  </conditionalFormatting>
  <conditionalFormatting sqref="AD19">
    <cfRule type="cellIs" dxfId="38453" priority="57621" stopIfTrue="1" operator="equal">
      <formula>-1</formula>
    </cfRule>
  </conditionalFormatting>
  <conditionalFormatting sqref="AD19">
    <cfRule type="cellIs" dxfId="38452" priority="57622" stopIfTrue="1" operator="lessThan">
      <formula>0.5</formula>
    </cfRule>
  </conditionalFormatting>
  <conditionalFormatting sqref="AD19">
    <cfRule type="cellIs" dxfId="38451" priority="57623" stopIfTrue="1" operator="greaterThanOrEqual">
      <formula>0.5</formula>
    </cfRule>
  </conditionalFormatting>
  <conditionalFormatting sqref="AD20">
    <cfRule type="cellIs" dxfId="38450" priority="57624" stopIfTrue="1" operator="equal">
      <formula>-1</formula>
    </cfRule>
  </conditionalFormatting>
  <conditionalFormatting sqref="AD20">
    <cfRule type="cellIs" dxfId="38449" priority="57625" stopIfTrue="1" operator="lessThan">
      <formula>0.5</formula>
    </cfRule>
  </conditionalFormatting>
  <conditionalFormatting sqref="AD20">
    <cfRule type="cellIs" dxfId="38448" priority="57626" stopIfTrue="1" operator="greaterThanOrEqual">
      <formula>0.5</formula>
    </cfRule>
  </conditionalFormatting>
  <conditionalFormatting sqref="AD21">
    <cfRule type="cellIs" dxfId="38447" priority="57627" stopIfTrue="1" operator="equal">
      <formula>-1</formula>
    </cfRule>
  </conditionalFormatting>
  <conditionalFormatting sqref="AD21">
    <cfRule type="cellIs" dxfId="38446" priority="57628" stopIfTrue="1" operator="lessThan">
      <formula>0.5</formula>
    </cfRule>
  </conditionalFormatting>
  <conditionalFormatting sqref="AD21">
    <cfRule type="cellIs" dxfId="38445" priority="57629" stopIfTrue="1" operator="greaterThanOrEqual">
      <formula>0.5</formula>
    </cfRule>
  </conditionalFormatting>
  <conditionalFormatting sqref="AD22">
    <cfRule type="cellIs" dxfId="38444" priority="57630" stopIfTrue="1" operator="equal">
      <formula>-1</formula>
    </cfRule>
  </conditionalFormatting>
  <conditionalFormatting sqref="AD22">
    <cfRule type="cellIs" dxfId="38443" priority="57631" stopIfTrue="1" operator="lessThan">
      <formula>0.5</formula>
    </cfRule>
  </conditionalFormatting>
  <conditionalFormatting sqref="AD22">
    <cfRule type="cellIs" dxfId="38442" priority="57632" stopIfTrue="1" operator="greaterThanOrEqual">
      <formula>0.5</formula>
    </cfRule>
  </conditionalFormatting>
  <conditionalFormatting sqref="AD23">
    <cfRule type="cellIs" dxfId="38441" priority="57633" stopIfTrue="1" operator="equal">
      <formula>-1</formula>
    </cfRule>
  </conditionalFormatting>
  <conditionalFormatting sqref="AD23">
    <cfRule type="cellIs" dxfId="38440" priority="57634" stopIfTrue="1" operator="lessThan">
      <formula>0.5</formula>
    </cfRule>
  </conditionalFormatting>
  <conditionalFormatting sqref="AD23">
    <cfRule type="cellIs" dxfId="38439" priority="57635" stopIfTrue="1" operator="greaterThanOrEqual">
      <formula>0.5</formula>
    </cfRule>
  </conditionalFormatting>
  <conditionalFormatting sqref="AD24">
    <cfRule type="cellIs" dxfId="38438" priority="57636" stopIfTrue="1" operator="equal">
      <formula>-1</formula>
    </cfRule>
  </conditionalFormatting>
  <conditionalFormatting sqref="AD24">
    <cfRule type="cellIs" dxfId="38437" priority="57637" stopIfTrue="1" operator="lessThan">
      <formula>0.5</formula>
    </cfRule>
  </conditionalFormatting>
  <conditionalFormatting sqref="AD24">
    <cfRule type="cellIs" dxfId="38436" priority="57638" stopIfTrue="1" operator="greaterThanOrEqual">
      <formula>0.5</formula>
    </cfRule>
  </conditionalFormatting>
  <conditionalFormatting sqref="AD25">
    <cfRule type="cellIs" dxfId="38435" priority="57639" stopIfTrue="1" operator="equal">
      <formula>-1</formula>
    </cfRule>
  </conditionalFormatting>
  <conditionalFormatting sqref="AD25">
    <cfRule type="cellIs" dxfId="38434" priority="57640" stopIfTrue="1" operator="lessThan">
      <formula>0.5</formula>
    </cfRule>
  </conditionalFormatting>
  <conditionalFormatting sqref="AD25">
    <cfRule type="cellIs" dxfId="38433" priority="57641" stopIfTrue="1" operator="greaterThanOrEqual">
      <formula>0.5</formula>
    </cfRule>
  </conditionalFormatting>
  <conditionalFormatting sqref="AF17">
    <cfRule type="cellIs" dxfId="38432" priority="57678" stopIfTrue="1" operator="equal">
      <formula>-1</formula>
    </cfRule>
  </conditionalFormatting>
  <conditionalFormatting sqref="AF17">
    <cfRule type="cellIs" dxfId="38431" priority="57679" stopIfTrue="1" operator="lessThan">
      <formula>0.5</formula>
    </cfRule>
  </conditionalFormatting>
  <conditionalFormatting sqref="AF17">
    <cfRule type="cellIs" dxfId="38430" priority="57680" stopIfTrue="1" operator="greaterThanOrEqual">
      <formula>0.5</formula>
    </cfRule>
  </conditionalFormatting>
  <conditionalFormatting sqref="AF18">
    <cfRule type="cellIs" dxfId="38429" priority="57681" stopIfTrue="1" operator="equal">
      <formula>-1</formula>
    </cfRule>
  </conditionalFormatting>
  <conditionalFormatting sqref="AF18">
    <cfRule type="cellIs" dxfId="38428" priority="57682" stopIfTrue="1" operator="lessThan">
      <formula>0.5</formula>
    </cfRule>
  </conditionalFormatting>
  <conditionalFormatting sqref="AF18">
    <cfRule type="cellIs" dxfId="38427" priority="57683" stopIfTrue="1" operator="greaterThanOrEqual">
      <formula>0.5</formula>
    </cfRule>
  </conditionalFormatting>
  <conditionalFormatting sqref="AF19">
    <cfRule type="cellIs" dxfId="38426" priority="57684" stopIfTrue="1" operator="equal">
      <formula>-1</formula>
    </cfRule>
  </conditionalFormatting>
  <conditionalFormatting sqref="AF19">
    <cfRule type="cellIs" dxfId="38425" priority="57685" stopIfTrue="1" operator="lessThan">
      <formula>0.5</formula>
    </cfRule>
  </conditionalFormatting>
  <conditionalFormatting sqref="AF19">
    <cfRule type="cellIs" dxfId="38424" priority="57686" stopIfTrue="1" operator="greaterThanOrEqual">
      <formula>0.5</formula>
    </cfRule>
  </conditionalFormatting>
  <conditionalFormatting sqref="AF20">
    <cfRule type="cellIs" dxfId="38423" priority="57687" stopIfTrue="1" operator="equal">
      <formula>-1</formula>
    </cfRule>
  </conditionalFormatting>
  <conditionalFormatting sqref="AF20">
    <cfRule type="cellIs" dxfId="38422" priority="57688" stopIfTrue="1" operator="lessThan">
      <formula>0.5</formula>
    </cfRule>
  </conditionalFormatting>
  <conditionalFormatting sqref="AF20">
    <cfRule type="cellIs" dxfId="38421" priority="57689" stopIfTrue="1" operator="greaterThanOrEqual">
      <formula>0.5</formula>
    </cfRule>
  </conditionalFormatting>
  <conditionalFormatting sqref="AF21">
    <cfRule type="cellIs" dxfId="38420" priority="57690" stopIfTrue="1" operator="equal">
      <formula>-1</formula>
    </cfRule>
  </conditionalFormatting>
  <conditionalFormatting sqref="AF21">
    <cfRule type="cellIs" dxfId="38419" priority="57691" stopIfTrue="1" operator="lessThan">
      <formula>0.5</formula>
    </cfRule>
  </conditionalFormatting>
  <conditionalFormatting sqref="AF21">
    <cfRule type="cellIs" dxfId="38418" priority="57692" stopIfTrue="1" operator="greaterThanOrEqual">
      <formula>0.5</formula>
    </cfRule>
  </conditionalFormatting>
  <conditionalFormatting sqref="AF22">
    <cfRule type="cellIs" dxfId="38417" priority="57693" stopIfTrue="1" operator="equal">
      <formula>-1</formula>
    </cfRule>
  </conditionalFormatting>
  <conditionalFormatting sqref="AF22">
    <cfRule type="cellIs" dxfId="38416" priority="57694" stopIfTrue="1" operator="lessThan">
      <formula>0.5</formula>
    </cfRule>
  </conditionalFormatting>
  <conditionalFormatting sqref="AF22">
    <cfRule type="cellIs" dxfId="38415" priority="57695" stopIfTrue="1" operator="greaterThanOrEqual">
      <formula>0.5</formula>
    </cfRule>
  </conditionalFormatting>
  <conditionalFormatting sqref="AF23">
    <cfRule type="cellIs" dxfId="38414" priority="57696" stopIfTrue="1" operator="equal">
      <formula>-1</formula>
    </cfRule>
  </conditionalFormatting>
  <conditionalFormatting sqref="AF23">
    <cfRule type="cellIs" dxfId="38413" priority="57697" stopIfTrue="1" operator="lessThan">
      <formula>0.5</formula>
    </cfRule>
  </conditionalFormatting>
  <conditionalFormatting sqref="AF23">
    <cfRule type="cellIs" dxfId="38412" priority="57698" stopIfTrue="1" operator="greaterThanOrEqual">
      <formula>0.5</formula>
    </cfRule>
  </conditionalFormatting>
  <conditionalFormatting sqref="AF24">
    <cfRule type="cellIs" dxfId="38411" priority="57699" stopIfTrue="1" operator="equal">
      <formula>-1</formula>
    </cfRule>
  </conditionalFormatting>
  <conditionalFormatting sqref="AF24">
    <cfRule type="cellIs" dxfId="38410" priority="57700" stopIfTrue="1" operator="lessThan">
      <formula>0.5</formula>
    </cfRule>
  </conditionalFormatting>
  <conditionalFormatting sqref="AF24">
    <cfRule type="cellIs" dxfId="38409" priority="57701" stopIfTrue="1" operator="greaterThanOrEqual">
      <formula>0.5</formula>
    </cfRule>
  </conditionalFormatting>
  <conditionalFormatting sqref="AF25">
    <cfRule type="cellIs" dxfId="38408" priority="57702" stopIfTrue="1" operator="equal">
      <formula>-1</formula>
    </cfRule>
  </conditionalFormatting>
  <conditionalFormatting sqref="AF25">
    <cfRule type="cellIs" dxfId="38407" priority="57703" stopIfTrue="1" operator="lessThan">
      <formula>0.5</formula>
    </cfRule>
  </conditionalFormatting>
  <conditionalFormatting sqref="AF25">
    <cfRule type="cellIs" dxfId="38406" priority="57704" stopIfTrue="1" operator="greaterThanOrEqual">
      <formula>0.5</formula>
    </cfRule>
  </conditionalFormatting>
  <conditionalFormatting sqref="AH17">
    <cfRule type="cellIs" dxfId="38405" priority="57741" stopIfTrue="1" operator="equal">
      <formula>-1</formula>
    </cfRule>
  </conditionalFormatting>
  <conditionalFormatting sqref="AH17">
    <cfRule type="cellIs" dxfId="38404" priority="57742" stopIfTrue="1" operator="lessThan">
      <formula>0.5</formula>
    </cfRule>
  </conditionalFormatting>
  <conditionalFormatting sqref="AH17">
    <cfRule type="cellIs" dxfId="38403" priority="57743" stopIfTrue="1" operator="greaterThanOrEqual">
      <formula>0.5</formula>
    </cfRule>
  </conditionalFormatting>
  <conditionalFormatting sqref="AH18">
    <cfRule type="cellIs" dxfId="38402" priority="57744" stopIfTrue="1" operator="equal">
      <formula>-1</formula>
    </cfRule>
  </conditionalFormatting>
  <conditionalFormatting sqref="AH18">
    <cfRule type="cellIs" dxfId="38401" priority="57745" stopIfTrue="1" operator="lessThan">
      <formula>0.5</formula>
    </cfRule>
  </conditionalFormatting>
  <conditionalFormatting sqref="AH18">
    <cfRule type="cellIs" dxfId="38400" priority="57746" stopIfTrue="1" operator="greaterThanOrEqual">
      <formula>0.5</formula>
    </cfRule>
  </conditionalFormatting>
  <conditionalFormatting sqref="AH19">
    <cfRule type="cellIs" dxfId="38399" priority="57747" stopIfTrue="1" operator="equal">
      <formula>-1</formula>
    </cfRule>
  </conditionalFormatting>
  <conditionalFormatting sqref="AH19">
    <cfRule type="cellIs" dxfId="38398" priority="57748" stopIfTrue="1" operator="lessThan">
      <formula>0.5</formula>
    </cfRule>
  </conditionalFormatting>
  <conditionalFormatting sqref="AH19">
    <cfRule type="cellIs" dxfId="38397" priority="57749" stopIfTrue="1" operator="greaterThanOrEqual">
      <formula>0.5</formula>
    </cfRule>
  </conditionalFormatting>
  <conditionalFormatting sqref="AH20">
    <cfRule type="cellIs" dxfId="38396" priority="57750" stopIfTrue="1" operator="equal">
      <formula>-1</formula>
    </cfRule>
  </conditionalFormatting>
  <conditionalFormatting sqref="AH20">
    <cfRule type="cellIs" dxfId="38395" priority="57751" stopIfTrue="1" operator="lessThan">
      <formula>0.5</formula>
    </cfRule>
  </conditionalFormatting>
  <conditionalFormatting sqref="AH20">
    <cfRule type="cellIs" dxfId="38394" priority="57752" stopIfTrue="1" operator="greaterThanOrEqual">
      <formula>0.5</formula>
    </cfRule>
  </conditionalFormatting>
  <conditionalFormatting sqref="AH21">
    <cfRule type="cellIs" dxfId="38393" priority="57753" stopIfTrue="1" operator="equal">
      <formula>-1</formula>
    </cfRule>
  </conditionalFormatting>
  <conditionalFormatting sqref="AH21">
    <cfRule type="cellIs" dxfId="38392" priority="57754" stopIfTrue="1" operator="lessThan">
      <formula>0.5</formula>
    </cfRule>
  </conditionalFormatting>
  <conditionalFormatting sqref="AH21">
    <cfRule type="cellIs" dxfId="38391" priority="57755" stopIfTrue="1" operator="greaterThanOrEqual">
      <formula>0.5</formula>
    </cfRule>
  </conditionalFormatting>
  <conditionalFormatting sqref="AH22">
    <cfRule type="cellIs" dxfId="38390" priority="57756" stopIfTrue="1" operator="equal">
      <formula>-1</formula>
    </cfRule>
  </conditionalFormatting>
  <conditionalFormatting sqref="AH22">
    <cfRule type="cellIs" dxfId="38389" priority="57757" stopIfTrue="1" operator="lessThan">
      <formula>0.5</formula>
    </cfRule>
  </conditionalFormatting>
  <conditionalFormatting sqref="AH22">
    <cfRule type="cellIs" dxfId="38388" priority="57758" stopIfTrue="1" operator="greaterThanOrEqual">
      <formula>0.5</formula>
    </cfRule>
  </conditionalFormatting>
  <conditionalFormatting sqref="AH23">
    <cfRule type="cellIs" dxfId="38387" priority="57759" stopIfTrue="1" operator="equal">
      <formula>-1</formula>
    </cfRule>
  </conditionalFormatting>
  <conditionalFormatting sqref="AH23">
    <cfRule type="cellIs" dxfId="38386" priority="57760" stopIfTrue="1" operator="lessThan">
      <formula>0.5</formula>
    </cfRule>
  </conditionalFormatting>
  <conditionalFormatting sqref="AH23">
    <cfRule type="cellIs" dxfId="38385" priority="57761" stopIfTrue="1" operator="greaterThanOrEqual">
      <formula>0.5</formula>
    </cfRule>
  </conditionalFormatting>
  <conditionalFormatting sqref="AH24">
    <cfRule type="cellIs" dxfId="38384" priority="57762" stopIfTrue="1" operator="equal">
      <formula>-1</formula>
    </cfRule>
  </conditionalFormatting>
  <conditionalFormatting sqref="AH24">
    <cfRule type="cellIs" dxfId="38383" priority="57763" stopIfTrue="1" operator="lessThan">
      <formula>0.5</formula>
    </cfRule>
  </conditionalFormatting>
  <conditionalFormatting sqref="AH24">
    <cfRule type="cellIs" dxfId="38382" priority="57764" stopIfTrue="1" operator="greaterThanOrEqual">
      <formula>0.5</formula>
    </cfRule>
  </conditionalFormatting>
  <conditionalFormatting sqref="AH25">
    <cfRule type="cellIs" dxfId="38381" priority="57765" stopIfTrue="1" operator="equal">
      <formula>-1</formula>
    </cfRule>
  </conditionalFormatting>
  <conditionalFormatting sqref="AH25">
    <cfRule type="cellIs" dxfId="38380" priority="57766" stopIfTrue="1" operator="lessThan">
      <formula>0.5</formula>
    </cfRule>
  </conditionalFormatting>
  <conditionalFormatting sqref="AH25">
    <cfRule type="cellIs" dxfId="38379" priority="57767" stopIfTrue="1" operator="greaterThanOrEqual">
      <formula>0.5</formula>
    </cfRule>
  </conditionalFormatting>
  <conditionalFormatting sqref="AJ17">
    <cfRule type="cellIs" dxfId="38378" priority="57804" stopIfTrue="1" operator="equal">
      <formula>-1</formula>
    </cfRule>
  </conditionalFormatting>
  <conditionalFormatting sqref="AJ17">
    <cfRule type="cellIs" dxfId="38377" priority="57805" stopIfTrue="1" operator="lessThan">
      <formula>0.5</formula>
    </cfRule>
  </conditionalFormatting>
  <conditionalFormatting sqref="AJ17">
    <cfRule type="cellIs" dxfId="38376" priority="57806" stopIfTrue="1" operator="greaterThanOrEqual">
      <formula>0.5</formula>
    </cfRule>
  </conditionalFormatting>
  <conditionalFormatting sqref="AJ18">
    <cfRule type="cellIs" dxfId="38375" priority="57807" stopIfTrue="1" operator="equal">
      <formula>-1</formula>
    </cfRule>
  </conditionalFormatting>
  <conditionalFormatting sqref="AJ18">
    <cfRule type="cellIs" dxfId="38374" priority="57808" stopIfTrue="1" operator="lessThan">
      <formula>0.5</formula>
    </cfRule>
  </conditionalFormatting>
  <conditionalFormatting sqref="AJ18">
    <cfRule type="cellIs" dxfId="38373" priority="57809" stopIfTrue="1" operator="greaterThanOrEqual">
      <formula>0.5</formula>
    </cfRule>
  </conditionalFormatting>
  <conditionalFormatting sqref="AJ19">
    <cfRule type="cellIs" dxfId="38372" priority="57810" stopIfTrue="1" operator="equal">
      <formula>-1</formula>
    </cfRule>
  </conditionalFormatting>
  <conditionalFormatting sqref="AJ19">
    <cfRule type="cellIs" dxfId="38371" priority="57811" stopIfTrue="1" operator="lessThan">
      <formula>0.5</formula>
    </cfRule>
  </conditionalFormatting>
  <conditionalFormatting sqref="AJ19">
    <cfRule type="cellIs" dxfId="38370" priority="57812" stopIfTrue="1" operator="greaterThanOrEqual">
      <formula>0.5</formula>
    </cfRule>
  </conditionalFormatting>
  <conditionalFormatting sqref="AJ20">
    <cfRule type="cellIs" dxfId="38369" priority="57813" stopIfTrue="1" operator="equal">
      <formula>-1</formula>
    </cfRule>
  </conditionalFormatting>
  <conditionalFormatting sqref="AJ20">
    <cfRule type="cellIs" dxfId="38368" priority="57814" stopIfTrue="1" operator="lessThan">
      <formula>0.5</formula>
    </cfRule>
  </conditionalFormatting>
  <conditionalFormatting sqref="AJ20">
    <cfRule type="cellIs" dxfId="38367" priority="57815" stopIfTrue="1" operator="greaterThanOrEqual">
      <formula>0.5</formula>
    </cfRule>
  </conditionalFormatting>
  <conditionalFormatting sqref="AJ21">
    <cfRule type="cellIs" dxfId="38366" priority="57816" stopIfTrue="1" operator="equal">
      <formula>-1</formula>
    </cfRule>
  </conditionalFormatting>
  <conditionalFormatting sqref="AJ21">
    <cfRule type="cellIs" dxfId="38365" priority="57817" stopIfTrue="1" operator="lessThan">
      <formula>0.5</formula>
    </cfRule>
  </conditionalFormatting>
  <conditionalFormatting sqref="AJ21">
    <cfRule type="cellIs" dxfId="38364" priority="57818" stopIfTrue="1" operator="greaterThanOrEqual">
      <formula>0.5</formula>
    </cfRule>
  </conditionalFormatting>
  <conditionalFormatting sqref="AJ22">
    <cfRule type="cellIs" dxfId="38363" priority="57819" stopIfTrue="1" operator="equal">
      <formula>-1</formula>
    </cfRule>
  </conditionalFormatting>
  <conditionalFormatting sqref="AJ22">
    <cfRule type="cellIs" dxfId="38362" priority="57820" stopIfTrue="1" operator="lessThan">
      <formula>0.5</formula>
    </cfRule>
  </conditionalFormatting>
  <conditionalFormatting sqref="AJ22">
    <cfRule type="cellIs" dxfId="38361" priority="57821" stopIfTrue="1" operator="greaterThanOrEqual">
      <formula>0.5</formula>
    </cfRule>
  </conditionalFormatting>
  <conditionalFormatting sqref="AJ23">
    <cfRule type="cellIs" dxfId="38360" priority="57822" stopIfTrue="1" operator="equal">
      <formula>-1</formula>
    </cfRule>
  </conditionalFormatting>
  <conditionalFormatting sqref="AJ23">
    <cfRule type="cellIs" dxfId="38359" priority="57823" stopIfTrue="1" operator="lessThan">
      <formula>0.5</formula>
    </cfRule>
  </conditionalFormatting>
  <conditionalFormatting sqref="AJ23">
    <cfRule type="cellIs" dxfId="38358" priority="57824" stopIfTrue="1" operator="greaterThanOrEqual">
      <formula>0.5</formula>
    </cfRule>
  </conditionalFormatting>
  <conditionalFormatting sqref="AJ24">
    <cfRule type="cellIs" dxfId="38357" priority="57825" stopIfTrue="1" operator="equal">
      <formula>-1</formula>
    </cfRule>
  </conditionalFormatting>
  <conditionalFormatting sqref="AJ24">
    <cfRule type="cellIs" dxfId="38356" priority="57826" stopIfTrue="1" operator="lessThan">
      <formula>0.5</formula>
    </cfRule>
  </conditionalFormatting>
  <conditionalFormatting sqref="AJ24">
    <cfRule type="cellIs" dxfId="38355" priority="57827" stopIfTrue="1" operator="greaterThanOrEqual">
      <formula>0.5</formula>
    </cfRule>
  </conditionalFormatting>
  <conditionalFormatting sqref="AJ25">
    <cfRule type="cellIs" dxfId="38354" priority="57828" stopIfTrue="1" operator="equal">
      <formula>-1</formula>
    </cfRule>
  </conditionalFormatting>
  <conditionalFormatting sqref="AJ25">
    <cfRule type="cellIs" dxfId="38353" priority="57829" stopIfTrue="1" operator="lessThan">
      <formula>0.5</formula>
    </cfRule>
  </conditionalFormatting>
  <conditionalFormatting sqref="AJ25">
    <cfRule type="cellIs" dxfId="38352" priority="57830" stopIfTrue="1" operator="greaterThanOrEqual">
      <formula>0.5</formula>
    </cfRule>
  </conditionalFormatting>
  <conditionalFormatting sqref="AL17">
    <cfRule type="cellIs" dxfId="38351" priority="57867" stopIfTrue="1" operator="equal">
      <formula>-1</formula>
    </cfRule>
  </conditionalFormatting>
  <conditionalFormatting sqref="AL17">
    <cfRule type="cellIs" dxfId="38350" priority="57868" stopIfTrue="1" operator="lessThan">
      <formula>0.5</formula>
    </cfRule>
  </conditionalFormatting>
  <conditionalFormatting sqref="AL17">
    <cfRule type="cellIs" dxfId="38349" priority="57869" stopIfTrue="1" operator="greaterThanOrEqual">
      <formula>0.5</formula>
    </cfRule>
  </conditionalFormatting>
  <conditionalFormatting sqref="AL18">
    <cfRule type="cellIs" dxfId="38348" priority="57870" stopIfTrue="1" operator="equal">
      <formula>-1</formula>
    </cfRule>
  </conditionalFormatting>
  <conditionalFormatting sqref="AL18">
    <cfRule type="cellIs" dxfId="38347" priority="57871" stopIfTrue="1" operator="lessThan">
      <formula>0.5</formula>
    </cfRule>
  </conditionalFormatting>
  <conditionalFormatting sqref="AL18">
    <cfRule type="cellIs" dxfId="38346" priority="57872" stopIfTrue="1" operator="greaterThanOrEqual">
      <formula>0.5</formula>
    </cfRule>
  </conditionalFormatting>
  <conditionalFormatting sqref="AL19">
    <cfRule type="cellIs" dxfId="38345" priority="57873" stopIfTrue="1" operator="equal">
      <formula>-1</formula>
    </cfRule>
  </conditionalFormatting>
  <conditionalFormatting sqref="AL19">
    <cfRule type="cellIs" dxfId="38344" priority="57874" stopIfTrue="1" operator="lessThan">
      <formula>0.5</formula>
    </cfRule>
  </conditionalFormatting>
  <conditionalFormatting sqref="AL19">
    <cfRule type="cellIs" dxfId="38343" priority="57875" stopIfTrue="1" operator="greaterThanOrEqual">
      <formula>0.5</formula>
    </cfRule>
  </conditionalFormatting>
  <conditionalFormatting sqref="AL20">
    <cfRule type="cellIs" dxfId="38342" priority="57876" stopIfTrue="1" operator="equal">
      <formula>-1</formula>
    </cfRule>
  </conditionalFormatting>
  <conditionalFormatting sqref="AL20">
    <cfRule type="cellIs" dxfId="38341" priority="57877" stopIfTrue="1" operator="lessThan">
      <formula>0.5</formula>
    </cfRule>
  </conditionalFormatting>
  <conditionalFormatting sqref="AL20">
    <cfRule type="cellIs" dxfId="38340" priority="57878" stopIfTrue="1" operator="greaterThanOrEqual">
      <formula>0.5</formula>
    </cfRule>
  </conditionalFormatting>
  <conditionalFormatting sqref="AL21">
    <cfRule type="cellIs" dxfId="38339" priority="57879" stopIfTrue="1" operator="equal">
      <formula>-1</formula>
    </cfRule>
  </conditionalFormatting>
  <conditionalFormatting sqref="AL21">
    <cfRule type="cellIs" dxfId="38338" priority="57880" stopIfTrue="1" operator="lessThan">
      <formula>0.5</formula>
    </cfRule>
  </conditionalFormatting>
  <conditionalFormatting sqref="AL21">
    <cfRule type="cellIs" dxfId="38337" priority="57881" stopIfTrue="1" operator="greaterThanOrEqual">
      <formula>0.5</formula>
    </cfRule>
  </conditionalFormatting>
  <conditionalFormatting sqref="AL22">
    <cfRule type="cellIs" dxfId="38336" priority="57882" stopIfTrue="1" operator="equal">
      <formula>-1</formula>
    </cfRule>
  </conditionalFormatting>
  <conditionalFormatting sqref="AL22">
    <cfRule type="cellIs" dxfId="38335" priority="57883" stopIfTrue="1" operator="lessThan">
      <formula>0.5</formula>
    </cfRule>
  </conditionalFormatting>
  <conditionalFormatting sqref="AL22">
    <cfRule type="cellIs" dxfId="38334" priority="57884" stopIfTrue="1" operator="greaterThanOrEqual">
      <formula>0.5</formula>
    </cfRule>
  </conditionalFormatting>
  <conditionalFormatting sqref="AL23">
    <cfRule type="cellIs" dxfId="38333" priority="57885" stopIfTrue="1" operator="equal">
      <formula>-1</formula>
    </cfRule>
  </conditionalFormatting>
  <conditionalFormatting sqref="AL23">
    <cfRule type="cellIs" dxfId="38332" priority="57886" stopIfTrue="1" operator="lessThan">
      <formula>0.5</formula>
    </cfRule>
  </conditionalFormatting>
  <conditionalFormatting sqref="AL23">
    <cfRule type="cellIs" dxfId="38331" priority="57887" stopIfTrue="1" operator="greaterThanOrEqual">
      <formula>0.5</formula>
    </cfRule>
  </conditionalFormatting>
  <conditionalFormatting sqref="AL24">
    <cfRule type="cellIs" dxfId="38330" priority="57888" stopIfTrue="1" operator="equal">
      <formula>-1</formula>
    </cfRule>
  </conditionalFormatting>
  <conditionalFormatting sqref="AL24">
    <cfRule type="cellIs" dxfId="38329" priority="57889" stopIfTrue="1" operator="lessThan">
      <formula>0.5</formula>
    </cfRule>
  </conditionalFormatting>
  <conditionalFormatting sqref="AL24">
    <cfRule type="cellIs" dxfId="38328" priority="57890" stopIfTrue="1" operator="greaterThanOrEqual">
      <formula>0.5</formula>
    </cfRule>
  </conditionalFormatting>
  <conditionalFormatting sqref="AL25">
    <cfRule type="cellIs" dxfId="38327" priority="57891" stopIfTrue="1" operator="equal">
      <formula>-1</formula>
    </cfRule>
  </conditionalFormatting>
  <conditionalFormatting sqref="AL25">
    <cfRule type="cellIs" dxfId="38326" priority="57892" stopIfTrue="1" operator="lessThan">
      <formula>0.5</formula>
    </cfRule>
  </conditionalFormatting>
  <conditionalFormatting sqref="AL25">
    <cfRule type="cellIs" dxfId="38325" priority="57893" stopIfTrue="1" operator="greaterThanOrEqual">
      <formula>0.5</formula>
    </cfRule>
  </conditionalFormatting>
  <conditionalFormatting sqref="AN17">
    <cfRule type="cellIs" dxfId="38324" priority="57930" stopIfTrue="1" operator="equal">
      <formula>-1</formula>
    </cfRule>
  </conditionalFormatting>
  <conditionalFormatting sqref="AN17">
    <cfRule type="cellIs" dxfId="38323" priority="57931" stopIfTrue="1" operator="lessThan">
      <formula>0.5</formula>
    </cfRule>
  </conditionalFormatting>
  <conditionalFormatting sqref="AN17">
    <cfRule type="cellIs" dxfId="38322" priority="57932" stopIfTrue="1" operator="greaterThanOrEqual">
      <formula>0.5</formula>
    </cfRule>
  </conditionalFormatting>
  <conditionalFormatting sqref="AN18">
    <cfRule type="cellIs" dxfId="38321" priority="57933" stopIfTrue="1" operator="equal">
      <formula>-1</formula>
    </cfRule>
  </conditionalFormatting>
  <conditionalFormatting sqref="AN18">
    <cfRule type="cellIs" dxfId="38320" priority="57934" stopIfTrue="1" operator="lessThan">
      <formula>0.5</formula>
    </cfRule>
  </conditionalFormatting>
  <conditionalFormatting sqref="AN18">
    <cfRule type="cellIs" dxfId="38319" priority="57935" stopIfTrue="1" operator="greaterThanOrEqual">
      <formula>0.5</formula>
    </cfRule>
  </conditionalFormatting>
  <conditionalFormatting sqref="AN19">
    <cfRule type="cellIs" dxfId="38318" priority="57936" stopIfTrue="1" operator="equal">
      <formula>-1</formula>
    </cfRule>
  </conditionalFormatting>
  <conditionalFormatting sqref="AN19">
    <cfRule type="cellIs" dxfId="38317" priority="57937" stopIfTrue="1" operator="lessThan">
      <formula>0.5</formula>
    </cfRule>
  </conditionalFormatting>
  <conditionalFormatting sqref="AN19">
    <cfRule type="cellIs" dxfId="38316" priority="57938" stopIfTrue="1" operator="greaterThanOrEqual">
      <formula>0.5</formula>
    </cfRule>
  </conditionalFormatting>
  <conditionalFormatting sqref="AN20">
    <cfRule type="cellIs" dxfId="38315" priority="57939" stopIfTrue="1" operator="equal">
      <formula>-1</formula>
    </cfRule>
  </conditionalFormatting>
  <conditionalFormatting sqref="AN20">
    <cfRule type="cellIs" dxfId="38314" priority="57940" stopIfTrue="1" operator="lessThan">
      <formula>0.5</formula>
    </cfRule>
  </conditionalFormatting>
  <conditionalFormatting sqref="AN20">
    <cfRule type="cellIs" dxfId="38313" priority="57941" stopIfTrue="1" operator="greaterThanOrEqual">
      <formula>0.5</formula>
    </cfRule>
  </conditionalFormatting>
  <conditionalFormatting sqref="AN21">
    <cfRule type="cellIs" dxfId="38312" priority="57942" stopIfTrue="1" operator="equal">
      <formula>-1</formula>
    </cfRule>
  </conditionalFormatting>
  <conditionalFormatting sqref="AN21">
    <cfRule type="cellIs" dxfId="38311" priority="57943" stopIfTrue="1" operator="lessThan">
      <formula>0.5</formula>
    </cfRule>
  </conditionalFormatting>
  <conditionalFormatting sqref="AN21">
    <cfRule type="cellIs" dxfId="38310" priority="57944" stopIfTrue="1" operator="greaterThanOrEqual">
      <formula>0.5</formula>
    </cfRule>
  </conditionalFormatting>
  <conditionalFormatting sqref="AN22">
    <cfRule type="cellIs" dxfId="38309" priority="57945" stopIfTrue="1" operator="equal">
      <formula>-1</formula>
    </cfRule>
  </conditionalFormatting>
  <conditionalFormatting sqref="AN22">
    <cfRule type="cellIs" dxfId="38308" priority="57946" stopIfTrue="1" operator="lessThan">
      <formula>0.5</formula>
    </cfRule>
  </conditionalFormatting>
  <conditionalFormatting sqref="AN22">
    <cfRule type="cellIs" dxfId="38307" priority="57947" stopIfTrue="1" operator="greaterThanOrEqual">
      <formula>0.5</formula>
    </cfRule>
  </conditionalFormatting>
  <conditionalFormatting sqref="AN23">
    <cfRule type="cellIs" dxfId="38306" priority="57948" stopIfTrue="1" operator="equal">
      <formula>-1</formula>
    </cfRule>
  </conditionalFormatting>
  <conditionalFormatting sqref="AN23">
    <cfRule type="cellIs" dxfId="38305" priority="57949" stopIfTrue="1" operator="lessThan">
      <formula>0.5</formula>
    </cfRule>
  </conditionalFormatting>
  <conditionalFormatting sqref="AN23">
    <cfRule type="cellIs" dxfId="38304" priority="57950" stopIfTrue="1" operator="greaterThanOrEqual">
      <formula>0.5</formula>
    </cfRule>
  </conditionalFormatting>
  <conditionalFormatting sqref="AN24">
    <cfRule type="cellIs" dxfId="38303" priority="57951" stopIfTrue="1" operator="equal">
      <formula>-1</formula>
    </cfRule>
  </conditionalFormatting>
  <conditionalFormatting sqref="AN24">
    <cfRule type="cellIs" dxfId="38302" priority="57952" stopIfTrue="1" operator="lessThan">
      <formula>0.5</formula>
    </cfRule>
  </conditionalFormatting>
  <conditionalFormatting sqref="AN24">
    <cfRule type="cellIs" dxfId="38301" priority="57953" stopIfTrue="1" operator="greaterThanOrEqual">
      <formula>0.5</formula>
    </cfRule>
  </conditionalFormatting>
  <conditionalFormatting sqref="AN25">
    <cfRule type="cellIs" dxfId="38300" priority="57954" stopIfTrue="1" operator="equal">
      <formula>-1</formula>
    </cfRule>
  </conditionalFormatting>
  <conditionalFormatting sqref="AN25">
    <cfRule type="cellIs" dxfId="38299" priority="57955" stopIfTrue="1" operator="lessThan">
      <formula>0.5</formula>
    </cfRule>
  </conditionalFormatting>
  <conditionalFormatting sqref="AN25">
    <cfRule type="cellIs" dxfId="38298" priority="57956" stopIfTrue="1" operator="greaterThanOrEqual">
      <formula>0.5</formula>
    </cfRule>
  </conditionalFormatting>
  <conditionalFormatting sqref="AP17">
    <cfRule type="cellIs" dxfId="38297" priority="57993" stopIfTrue="1" operator="equal">
      <formula>-1</formula>
    </cfRule>
  </conditionalFormatting>
  <conditionalFormatting sqref="AP17">
    <cfRule type="cellIs" dxfId="38296" priority="57994" stopIfTrue="1" operator="lessThan">
      <formula>0.5</formula>
    </cfRule>
  </conditionalFormatting>
  <conditionalFormatting sqref="AP17">
    <cfRule type="cellIs" dxfId="38295" priority="57995" stopIfTrue="1" operator="greaterThanOrEqual">
      <formula>0.5</formula>
    </cfRule>
  </conditionalFormatting>
  <conditionalFormatting sqref="AP18">
    <cfRule type="cellIs" dxfId="38294" priority="57996" stopIfTrue="1" operator="equal">
      <formula>-1</formula>
    </cfRule>
  </conditionalFormatting>
  <conditionalFormatting sqref="AP18">
    <cfRule type="cellIs" dxfId="38293" priority="57997" stopIfTrue="1" operator="lessThan">
      <formula>0.5</formula>
    </cfRule>
  </conditionalFormatting>
  <conditionalFormatting sqref="AP18">
    <cfRule type="cellIs" dxfId="38292" priority="57998" stopIfTrue="1" operator="greaterThanOrEqual">
      <formula>0.5</formula>
    </cfRule>
  </conditionalFormatting>
  <conditionalFormatting sqref="AP19">
    <cfRule type="cellIs" dxfId="38291" priority="57999" stopIfTrue="1" operator="equal">
      <formula>-1</formula>
    </cfRule>
  </conditionalFormatting>
  <conditionalFormatting sqref="AP19">
    <cfRule type="cellIs" dxfId="38290" priority="58000" stopIfTrue="1" operator="lessThan">
      <formula>0.5</formula>
    </cfRule>
  </conditionalFormatting>
  <conditionalFormatting sqref="AP19">
    <cfRule type="cellIs" dxfId="38289" priority="58001" stopIfTrue="1" operator="greaterThanOrEqual">
      <formula>0.5</formula>
    </cfRule>
  </conditionalFormatting>
  <conditionalFormatting sqref="AP20">
    <cfRule type="cellIs" dxfId="38288" priority="58002" stopIfTrue="1" operator="equal">
      <formula>-1</formula>
    </cfRule>
  </conditionalFormatting>
  <conditionalFormatting sqref="AP20">
    <cfRule type="cellIs" dxfId="38287" priority="58003" stopIfTrue="1" operator="lessThan">
      <formula>0.5</formula>
    </cfRule>
  </conditionalFormatting>
  <conditionalFormatting sqref="AP20">
    <cfRule type="cellIs" dxfId="38286" priority="58004" stopIfTrue="1" operator="greaterThanOrEqual">
      <formula>0.5</formula>
    </cfRule>
  </conditionalFormatting>
  <conditionalFormatting sqref="AP21">
    <cfRule type="cellIs" dxfId="38285" priority="58005" stopIfTrue="1" operator="equal">
      <formula>-1</formula>
    </cfRule>
  </conditionalFormatting>
  <conditionalFormatting sqref="AP21">
    <cfRule type="cellIs" dxfId="38284" priority="58006" stopIfTrue="1" operator="lessThan">
      <formula>0.5</formula>
    </cfRule>
  </conditionalFormatting>
  <conditionalFormatting sqref="AP21">
    <cfRule type="cellIs" dxfId="38283" priority="58007" stopIfTrue="1" operator="greaterThanOrEqual">
      <formula>0.5</formula>
    </cfRule>
  </conditionalFormatting>
  <conditionalFormatting sqref="AP22">
    <cfRule type="cellIs" dxfId="38282" priority="58008" stopIfTrue="1" operator="equal">
      <formula>-1</formula>
    </cfRule>
  </conditionalFormatting>
  <conditionalFormatting sqref="AP22">
    <cfRule type="cellIs" dxfId="38281" priority="58009" stopIfTrue="1" operator="lessThan">
      <formula>0.5</formula>
    </cfRule>
  </conditionalFormatting>
  <conditionalFormatting sqref="AP22">
    <cfRule type="cellIs" dxfId="38280" priority="58010" stopIfTrue="1" operator="greaterThanOrEqual">
      <formula>0.5</formula>
    </cfRule>
  </conditionalFormatting>
  <conditionalFormatting sqref="AP23">
    <cfRule type="cellIs" dxfId="38279" priority="58011" stopIfTrue="1" operator="equal">
      <formula>-1</formula>
    </cfRule>
  </conditionalFormatting>
  <conditionalFormatting sqref="AP23">
    <cfRule type="cellIs" dxfId="38278" priority="58012" stopIfTrue="1" operator="lessThan">
      <formula>0.5</formula>
    </cfRule>
  </conditionalFormatting>
  <conditionalFormatting sqref="AP23">
    <cfRule type="cellIs" dxfId="38277" priority="58013" stopIfTrue="1" operator="greaterThanOrEqual">
      <formula>0.5</formula>
    </cfRule>
  </conditionalFormatting>
  <conditionalFormatting sqref="AP24">
    <cfRule type="cellIs" dxfId="38276" priority="58014" stopIfTrue="1" operator="equal">
      <formula>-1</formula>
    </cfRule>
  </conditionalFormatting>
  <conditionalFormatting sqref="AP24">
    <cfRule type="cellIs" dxfId="38275" priority="58015" stopIfTrue="1" operator="lessThan">
      <formula>0.5</formula>
    </cfRule>
  </conditionalFormatting>
  <conditionalFormatting sqref="AP24">
    <cfRule type="cellIs" dxfId="38274" priority="58016" stopIfTrue="1" operator="greaterThanOrEqual">
      <formula>0.5</formula>
    </cfRule>
  </conditionalFormatting>
  <conditionalFormatting sqref="AP25">
    <cfRule type="cellIs" dxfId="38273" priority="58017" stopIfTrue="1" operator="equal">
      <formula>-1</formula>
    </cfRule>
  </conditionalFormatting>
  <conditionalFormatting sqref="AP25">
    <cfRule type="cellIs" dxfId="38272" priority="58018" stopIfTrue="1" operator="lessThan">
      <formula>0.5</formula>
    </cfRule>
  </conditionalFormatting>
  <conditionalFormatting sqref="AP25">
    <cfRule type="cellIs" dxfId="38271" priority="58019" stopIfTrue="1" operator="greaterThanOrEqual">
      <formula>0.5</formula>
    </cfRule>
  </conditionalFormatting>
  <conditionalFormatting sqref="AR17">
    <cfRule type="cellIs" dxfId="38270" priority="58056" stopIfTrue="1" operator="equal">
      <formula>-1</formula>
    </cfRule>
  </conditionalFormatting>
  <conditionalFormatting sqref="AR17">
    <cfRule type="cellIs" dxfId="38269" priority="58057" stopIfTrue="1" operator="lessThan">
      <formula>0.5</formula>
    </cfRule>
  </conditionalFormatting>
  <conditionalFormatting sqref="AR17">
    <cfRule type="cellIs" dxfId="38268" priority="58058" stopIfTrue="1" operator="greaterThanOrEqual">
      <formula>0.5</formula>
    </cfRule>
  </conditionalFormatting>
  <conditionalFormatting sqref="AR18">
    <cfRule type="cellIs" dxfId="38267" priority="58059" stopIfTrue="1" operator="equal">
      <formula>-1</formula>
    </cfRule>
  </conditionalFormatting>
  <conditionalFormatting sqref="AR18">
    <cfRule type="cellIs" dxfId="38266" priority="58060" stopIfTrue="1" operator="lessThan">
      <formula>0.5</formula>
    </cfRule>
  </conditionalFormatting>
  <conditionalFormatting sqref="AR18">
    <cfRule type="cellIs" dxfId="38265" priority="58061" stopIfTrue="1" operator="greaterThanOrEqual">
      <formula>0.5</formula>
    </cfRule>
  </conditionalFormatting>
  <conditionalFormatting sqref="AR19">
    <cfRule type="cellIs" dxfId="38264" priority="58062" stopIfTrue="1" operator="equal">
      <formula>-1</formula>
    </cfRule>
  </conditionalFormatting>
  <conditionalFormatting sqref="AR19">
    <cfRule type="cellIs" dxfId="38263" priority="58063" stopIfTrue="1" operator="lessThan">
      <formula>0.5</formula>
    </cfRule>
  </conditionalFormatting>
  <conditionalFormatting sqref="AR19">
    <cfRule type="cellIs" dxfId="38262" priority="58064" stopIfTrue="1" operator="greaterThanOrEqual">
      <formula>0.5</formula>
    </cfRule>
  </conditionalFormatting>
  <conditionalFormatting sqref="AR20">
    <cfRule type="cellIs" dxfId="38261" priority="58065" stopIfTrue="1" operator="equal">
      <formula>-1</formula>
    </cfRule>
  </conditionalFormatting>
  <conditionalFormatting sqref="AR20">
    <cfRule type="cellIs" dxfId="38260" priority="58066" stopIfTrue="1" operator="lessThan">
      <formula>0.5</formula>
    </cfRule>
  </conditionalFormatting>
  <conditionalFormatting sqref="AR20">
    <cfRule type="cellIs" dxfId="38259" priority="58067" stopIfTrue="1" operator="greaterThanOrEqual">
      <formula>0.5</formula>
    </cfRule>
  </conditionalFormatting>
  <conditionalFormatting sqref="AR21">
    <cfRule type="cellIs" dxfId="38258" priority="58068" stopIfTrue="1" operator="equal">
      <formula>-1</formula>
    </cfRule>
  </conditionalFormatting>
  <conditionalFormatting sqref="AR21">
    <cfRule type="cellIs" dxfId="38257" priority="58069" stopIfTrue="1" operator="lessThan">
      <formula>0.5</formula>
    </cfRule>
  </conditionalFormatting>
  <conditionalFormatting sqref="AR21">
    <cfRule type="cellIs" dxfId="38256" priority="58070" stopIfTrue="1" operator="greaterThanOrEqual">
      <formula>0.5</formula>
    </cfRule>
  </conditionalFormatting>
  <conditionalFormatting sqref="AR22">
    <cfRule type="cellIs" dxfId="38255" priority="58071" stopIfTrue="1" operator="equal">
      <formula>-1</formula>
    </cfRule>
  </conditionalFormatting>
  <conditionalFormatting sqref="AR22">
    <cfRule type="cellIs" dxfId="38254" priority="58072" stopIfTrue="1" operator="lessThan">
      <formula>0.5</formula>
    </cfRule>
  </conditionalFormatting>
  <conditionalFormatting sqref="AR22">
    <cfRule type="cellIs" dxfId="38253" priority="58073" stopIfTrue="1" operator="greaterThanOrEqual">
      <formula>0.5</formula>
    </cfRule>
  </conditionalFormatting>
  <conditionalFormatting sqref="AR23">
    <cfRule type="cellIs" dxfId="38252" priority="58074" stopIfTrue="1" operator="equal">
      <formula>-1</formula>
    </cfRule>
  </conditionalFormatting>
  <conditionalFormatting sqref="AR23">
    <cfRule type="cellIs" dxfId="38251" priority="58075" stopIfTrue="1" operator="lessThan">
      <formula>0.5</formula>
    </cfRule>
  </conditionalFormatting>
  <conditionalFormatting sqref="AR23">
    <cfRule type="cellIs" dxfId="38250" priority="58076" stopIfTrue="1" operator="greaterThanOrEqual">
      <formula>0.5</formula>
    </cfRule>
  </conditionalFormatting>
  <conditionalFormatting sqref="AR24">
    <cfRule type="cellIs" dxfId="38249" priority="58077" stopIfTrue="1" operator="equal">
      <formula>-1</formula>
    </cfRule>
  </conditionalFormatting>
  <conditionalFormatting sqref="AR24">
    <cfRule type="cellIs" dxfId="38248" priority="58078" stopIfTrue="1" operator="lessThan">
      <formula>0.5</formula>
    </cfRule>
  </conditionalFormatting>
  <conditionalFormatting sqref="AR24">
    <cfRule type="cellIs" dxfId="38247" priority="58079" stopIfTrue="1" operator="greaterThanOrEqual">
      <formula>0.5</formula>
    </cfRule>
  </conditionalFormatting>
  <conditionalFormatting sqref="AR25">
    <cfRule type="cellIs" dxfId="38246" priority="58080" stopIfTrue="1" operator="equal">
      <formula>-1</formula>
    </cfRule>
  </conditionalFormatting>
  <conditionalFormatting sqref="AR25">
    <cfRule type="cellIs" dxfId="38245" priority="58081" stopIfTrue="1" operator="lessThan">
      <formula>0.5</formula>
    </cfRule>
  </conditionalFormatting>
  <conditionalFormatting sqref="AR25">
    <cfRule type="cellIs" dxfId="38244" priority="58082" stopIfTrue="1" operator="greaterThanOrEqual">
      <formula>0.5</formula>
    </cfRule>
  </conditionalFormatting>
  <conditionalFormatting sqref="AT17">
    <cfRule type="cellIs" dxfId="38243" priority="58119" stopIfTrue="1" operator="equal">
      <formula>-1</formula>
    </cfRule>
  </conditionalFormatting>
  <conditionalFormatting sqref="AT17">
    <cfRule type="cellIs" dxfId="38242" priority="58120" stopIfTrue="1" operator="lessThan">
      <formula>0.5</formula>
    </cfRule>
  </conditionalFormatting>
  <conditionalFormatting sqref="AT17">
    <cfRule type="cellIs" dxfId="38241" priority="58121" stopIfTrue="1" operator="greaterThanOrEqual">
      <formula>0.5</formula>
    </cfRule>
  </conditionalFormatting>
  <conditionalFormatting sqref="AT18">
    <cfRule type="cellIs" dxfId="38240" priority="58122" stopIfTrue="1" operator="equal">
      <formula>-1</formula>
    </cfRule>
  </conditionalFormatting>
  <conditionalFormatting sqref="AT18">
    <cfRule type="cellIs" dxfId="38239" priority="58123" stopIfTrue="1" operator="lessThan">
      <formula>0.5</formula>
    </cfRule>
  </conditionalFormatting>
  <conditionalFormatting sqref="AT18">
    <cfRule type="cellIs" dxfId="38238" priority="58124" stopIfTrue="1" operator="greaterThanOrEqual">
      <formula>0.5</formula>
    </cfRule>
  </conditionalFormatting>
  <conditionalFormatting sqref="AT19">
    <cfRule type="cellIs" dxfId="38237" priority="58125" stopIfTrue="1" operator="equal">
      <formula>-1</formula>
    </cfRule>
  </conditionalFormatting>
  <conditionalFormatting sqref="AT19">
    <cfRule type="cellIs" dxfId="38236" priority="58126" stopIfTrue="1" operator="lessThan">
      <formula>0.5</formula>
    </cfRule>
  </conditionalFormatting>
  <conditionalFormatting sqref="AT19">
    <cfRule type="cellIs" dxfId="38235" priority="58127" stopIfTrue="1" operator="greaterThanOrEqual">
      <formula>0.5</formula>
    </cfRule>
  </conditionalFormatting>
  <conditionalFormatting sqref="AT20">
    <cfRule type="cellIs" dxfId="38234" priority="58128" stopIfTrue="1" operator="equal">
      <formula>-1</formula>
    </cfRule>
  </conditionalFormatting>
  <conditionalFormatting sqref="AT20">
    <cfRule type="cellIs" dxfId="38233" priority="58129" stopIfTrue="1" operator="lessThan">
      <formula>0.5</formula>
    </cfRule>
  </conditionalFormatting>
  <conditionalFormatting sqref="AT20">
    <cfRule type="cellIs" dxfId="38232" priority="58130" stopIfTrue="1" operator="greaterThanOrEqual">
      <formula>0.5</formula>
    </cfRule>
  </conditionalFormatting>
  <conditionalFormatting sqref="AT21">
    <cfRule type="cellIs" dxfId="38231" priority="58131" stopIfTrue="1" operator="equal">
      <formula>-1</formula>
    </cfRule>
  </conditionalFormatting>
  <conditionalFormatting sqref="AT21">
    <cfRule type="cellIs" dxfId="38230" priority="58132" stopIfTrue="1" operator="lessThan">
      <formula>0.5</formula>
    </cfRule>
  </conditionalFormatting>
  <conditionalFormatting sqref="AT21">
    <cfRule type="cellIs" dxfId="38229" priority="58133" stopIfTrue="1" operator="greaterThanOrEqual">
      <formula>0.5</formula>
    </cfRule>
  </conditionalFormatting>
  <conditionalFormatting sqref="AT22">
    <cfRule type="cellIs" dxfId="38228" priority="58134" stopIfTrue="1" operator="equal">
      <formula>-1</formula>
    </cfRule>
  </conditionalFormatting>
  <conditionalFormatting sqref="AT22">
    <cfRule type="cellIs" dxfId="38227" priority="58135" stopIfTrue="1" operator="lessThan">
      <formula>0.5</formula>
    </cfRule>
  </conditionalFormatting>
  <conditionalFormatting sqref="AT22">
    <cfRule type="cellIs" dxfId="38226" priority="58136" stopIfTrue="1" operator="greaterThanOrEqual">
      <formula>0.5</formula>
    </cfRule>
  </conditionalFormatting>
  <conditionalFormatting sqref="AT23">
    <cfRule type="cellIs" dxfId="38225" priority="58137" stopIfTrue="1" operator="equal">
      <formula>-1</formula>
    </cfRule>
  </conditionalFormatting>
  <conditionalFormatting sqref="AT23">
    <cfRule type="cellIs" dxfId="38224" priority="58138" stopIfTrue="1" operator="lessThan">
      <formula>0.5</formula>
    </cfRule>
  </conditionalFormatting>
  <conditionalFormatting sqref="AT23">
    <cfRule type="cellIs" dxfId="38223" priority="58139" stopIfTrue="1" operator="greaterThanOrEqual">
      <formula>0.5</formula>
    </cfRule>
  </conditionalFormatting>
  <conditionalFormatting sqref="AT24">
    <cfRule type="cellIs" dxfId="38222" priority="58140" stopIfTrue="1" operator="equal">
      <formula>-1</formula>
    </cfRule>
  </conditionalFormatting>
  <conditionalFormatting sqref="AT24">
    <cfRule type="cellIs" dxfId="38221" priority="58141" stopIfTrue="1" operator="lessThan">
      <formula>0.5</formula>
    </cfRule>
  </conditionalFormatting>
  <conditionalFormatting sqref="AT24">
    <cfRule type="cellIs" dxfId="38220" priority="58142" stopIfTrue="1" operator="greaterThanOrEqual">
      <formula>0.5</formula>
    </cfRule>
  </conditionalFormatting>
  <conditionalFormatting sqref="AT25">
    <cfRule type="cellIs" dxfId="38219" priority="58143" stopIfTrue="1" operator="equal">
      <formula>-1</formula>
    </cfRule>
  </conditionalFormatting>
  <conditionalFormatting sqref="AT25">
    <cfRule type="cellIs" dxfId="38218" priority="58144" stopIfTrue="1" operator="lessThan">
      <formula>0.5</formula>
    </cfRule>
  </conditionalFormatting>
  <conditionalFormatting sqref="AT25">
    <cfRule type="cellIs" dxfId="38217" priority="58145" stopIfTrue="1" operator="greaterThanOrEqual">
      <formula>0.5</formula>
    </cfRule>
  </conditionalFormatting>
  <conditionalFormatting sqref="AV17">
    <cfRule type="cellIs" dxfId="38216" priority="58182" stopIfTrue="1" operator="equal">
      <formula>-1</formula>
    </cfRule>
  </conditionalFormatting>
  <conditionalFormatting sqref="AV17">
    <cfRule type="cellIs" dxfId="38215" priority="58183" stopIfTrue="1" operator="lessThan">
      <formula>0.5</formula>
    </cfRule>
  </conditionalFormatting>
  <conditionalFormatting sqref="AV17">
    <cfRule type="cellIs" dxfId="38214" priority="58184" stopIfTrue="1" operator="greaterThanOrEqual">
      <formula>0.5</formula>
    </cfRule>
  </conditionalFormatting>
  <conditionalFormatting sqref="AV18">
    <cfRule type="cellIs" dxfId="38213" priority="58185" stopIfTrue="1" operator="equal">
      <formula>-1</formula>
    </cfRule>
  </conditionalFormatting>
  <conditionalFormatting sqref="AV18">
    <cfRule type="cellIs" dxfId="38212" priority="58186" stopIfTrue="1" operator="lessThan">
      <formula>0.5</formula>
    </cfRule>
  </conditionalFormatting>
  <conditionalFormatting sqref="AV18">
    <cfRule type="cellIs" dxfId="38211" priority="58187" stopIfTrue="1" operator="greaterThanOrEqual">
      <formula>0.5</formula>
    </cfRule>
  </conditionalFormatting>
  <conditionalFormatting sqref="AV19">
    <cfRule type="cellIs" dxfId="38210" priority="58188" stopIfTrue="1" operator="equal">
      <formula>-1</formula>
    </cfRule>
  </conditionalFormatting>
  <conditionalFormatting sqref="AV19">
    <cfRule type="cellIs" dxfId="38209" priority="58189" stopIfTrue="1" operator="lessThan">
      <formula>0.5</formula>
    </cfRule>
  </conditionalFormatting>
  <conditionalFormatting sqref="AV19">
    <cfRule type="cellIs" dxfId="38208" priority="58190" stopIfTrue="1" operator="greaterThanOrEqual">
      <formula>0.5</formula>
    </cfRule>
  </conditionalFormatting>
  <conditionalFormatting sqref="AV20">
    <cfRule type="cellIs" dxfId="38207" priority="58191" stopIfTrue="1" operator="equal">
      <formula>-1</formula>
    </cfRule>
  </conditionalFormatting>
  <conditionalFormatting sqref="AV20">
    <cfRule type="cellIs" dxfId="38206" priority="58192" stopIfTrue="1" operator="lessThan">
      <formula>0.5</formula>
    </cfRule>
  </conditionalFormatting>
  <conditionalFormatting sqref="AV20">
    <cfRule type="cellIs" dxfId="38205" priority="58193" stopIfTrue="1" operator="greaterThanOrEqual">
      <formula>0.5</formula>
    </cfRule>
  </conditionalFormatting>
  <conditionalFormatting sqref="AV21">
    <cfRule type="cellIs" dxfId="38204" priority="58194" stopIfTrue="1" operator="equal">
      <formula>-1</formula>
    </cfRule>
  </conditionalFormatting>
  <conditionalFormatting sqref="AV21">
    <cfRule type="cellIs" dxfId="38203" priority="58195" stopIfTrue="1" operator="lessThan">
      <formula>0.5</formula>
    </cfRule>
  </conditionalFormatting>
  <conditionalFormatting sqref="AV21">
    <cfRule type="cellIs" dxfId="38202" priority="58196" stopIfTrue="1" operator="greaterThanOrEqual">
      <formula>0.5</formula>
    </cfRule>
  </conditionalFormatting>
  <conditionalFormatting sqref="AV22">
    <cfRule type="cellIs" dxfId="38201" priority="58197" stopIfTrue="1" operator="equal">
      <formula>-1</formula>
    </cfRule>
  </conditionalFormatting>
  <conditionalFormatting sqref="AV22">
    <cfRule type="cellIs" dxfId="38200" priority="58198" stopIfTrue="1" operator="lessThan">
      <formula>0.5</formula>
    </cfRule>
  </conditionalFormatting>
  <conditionalFormatting sqref="AV22">
    <cfRule type="cellIs" dxfId="38199" priority="58199" stopIfTrue="1" operator="greaterThanOrEqual">
      <formula>0.5</formula>
    </cfRule>
  </conditionalFormatting>
  <conditionalFormatting sqref="AV23">
    <cfRule type="cellIs" dxfId="38198" priority="58200" stopIfTrue="1" operator="equal">
      <formula>-1</formula>
    </cfRule>
  </conditionalFormatting>
  <conditionalFormatting sqref="AV23">
    <cfRule type="cellIs" dxfId="38197" priority="58201" stopIfTrue="1" operator="lessThan">
      <formula>0.5</formula>
    </cfRule>
  </conditionalFormatting>
  <conditionalFormatting sqref="AV23">
    <cfRule type="cellIs" dxfId="38196" priority="58202" stopIfTrue="1" operator="greaterThanOrEqual">
      <formula>0.5</formula>
    </cfRule>
  </conditionalFormatting>
  <conditionalFormatting sqref="AV24">
    <cfRule type="cellIs" dxfId="38195" priority="58203" stopIfTrue="1" operator="equal">
      <formula>-1</formula>
    </cfRule>
  </conditionalFormatting>
  <conditionalFormatting sqref="AV24">
    <cfRule type="cellIs" dxfId="38194" priority="58204" stopIfTrue="1" operator="lessThan">
      <formula>0.5</formula>
    </cfRule>
  </conditionalFormatting>
  <conditionalFormatting sqref="AV24">
    <cfRule type="cellIs" dxfId="38193" priority="58205" stopIfTrue="1" operator="greaterThanOrEqual">
      <formula>0.5</formula>
    </cfRule>
  </conditionalFormatting>
  <conditionalFormatting sqref="AV25">
    <cfRule type="cellIs" dxfId="38192" priority="58206" stopIfTrue="1" operator="equal">
      <formula>-1</formula>
    </cfRule>
  </conditionalFormatting>
  <conditionalFormatting sqref="AV25">
    <cfRule type="cellIs" dxfId="38191" priority="58207" stopIfTrue="1" operator="lessThan">
      <formula>0.5</formula>
    </cfRule>
  </conditionalFormatting>
  <conditionalFormatting sqref="AV25">
    <cfRule type="cellIs" dxfId="38190" priority="58208" stopIfTrue="1" operator="greaterThanOrEqual">
      <formula>0.5</formula>
    </cfRule>
  </conditionalFormatting>
  <conditionalFormatting sqref="AX17">
    <cfRule type="cellIs" dxfId="38189" priority="58245" stopIfTrue="1" operator="equal">
      <formula>-1</formula>
    </cfRule>
  </conditionalFormatting>
  <conditionalFormatting sqref="AX17">
    <cfRule type="cellIs" dxfId="38188" priority="58246" stopIfTrue="1" operator="lessThan">
      <formula>0.5</formula>
    </cfRule>
  </conditionalFormatting>
  <conditionalFormatting sqref="AX17">
    <cfRule type="cellIs" dxfId="38187" priority="58247" stopIfTrue="1" operator="greaterThanOrEqual">
      <formula>0.5</formula>
    </cfRule>
  </conditionalFormatting>
  <conditionalFormatting sqref="AX18">
    <cfRule type="cellIs" dxfId="38186" priority="58248" stopIfTrue="1" operator="equal">
      <formula>-1</formula>
    </cfRule>
  </conditionalFormatting>
  <conditionalFormatting sqref="AX18">
    <cfRule type="cellIs" dxfId="38185" priority="58249" stopIfTrue="1" operator="lessThan">
      <formula>0.5</formula>
    </cfRule>
  </conditionalFormatting>
  <conditionalFormatting sqref="AX18">
    <cfRule type="cellIs" dxfId="38184" priority="58250" stopIfTrue="1" operator="greaterThanOrEqual">
      <formula>0.5</formula>
    </cfRule>
  </conditionalFormatting>
  <conditionalFormatting sqref="AX19">
    <cfRule type="cellIs" dxfId="38183" priority="58251" stopIfTrue="1" operator="equal">
      <formula>-1</formula>
    </cfRule>
  </conditionalFormatting>
  <conditionalFormatting sqref="AX19">
    <cfRule type="cellIs" dxfId="38182" priority="58252" stopIfTrue="1" operator="lessThan">
      <formula>0.5</formula>
    </cfRule>
  </conditionalFormatting>
  <conditionalFormatting sqref="AX19">
    <cfRule type="cellIs" dxfId="38181" priority="58253" stopIfTrue="1" operator="greaterThanOrEqual">
      <formula>0.5</formula>
    </cfRule>
  </conditionalFormatting>
  <conditionalFormatting sqref="AX20">
    <cfRule type="cellIs" dxfId="38180" priority="58254" stopIfTrue="1" operator="equal">
      <formula>-1</formula>
    </cfRule>
  </conditionalFormatting>
  <conditionalFormatting sqref="AX20">
    <cfRule type="cellIs" dxfId="38179" priority="58255" stopIfTrue="1" operator="lessThan">
      <formula>0.5</formula>
    </cfRule>
  </conditionalFormatting>
  <conditionalFormatting sqref="AX20">
    <cfRule type="cellIs" dxfId="38178" priority="58256" stopIfTrue="1" operator="greaterThanOrEqual">
      <formula>0.5</formula>
    </cfRule>
  </conditionalFormatting>
  <conditionalFormatting sqref="AX21">
    <cfRule type="cellIs" dxfId="38177" priority="58257" stopIfTrue="1" operator="equal">
      <formula>-1</formula>
    </cfRule>
  </conditionalFormatting>
  <conditionalFormatting sqref="AX21">
    <cfRule type="cellIs" dxfId="38176" priority="58258" stopIfTrue="1" operator="lessThan">
      <formula>0.5</formula>
    </cfRule>
  </conditionalFormatting>
  <conditionalFormatting sqref="AX21">
    <cfRule type="cellIs" dxfId="38175" priority="58259" stopIfTrue="1" operator="greaterThanOrEqual">
      <formula>0.5</formula>
    </cfRule>
  </conditionalFormatting>
  <conditionalFormatting sqref="AX22">
    <cfRule type="cellIs" dxfId="38174" priority="58260" stopIfTrue="1" operator="equal">
      <formula>-1</formula>
    </cfRule>
  </conditionalFormatting>
  <conditionalFormatting sqref="AX22">
    <cfRule type="cellIs" dxfId="38173" priority="58261" stopIfTrue="1" operator="lessThan">
      <formula>0.5</formula>
    </cfRule>
  </conditionalFormatting>
  <conditionalFormatting sqref="AX22">
    <cfRule type="cellIs" dxfId="38172" priority="58262" stopIfTrue="1" operator="greaterThanOrEqual">
      <formula>0.5</formula>
    </cfRule>
  </conditionalFormatting>
  <conditionalFormatting sqref="AX23">
    <cfRule type="cellIs" dxfId="38171" priority="58263" stopIfTrue="1" operator="equal">
      <formula>-1</formula>
    </cfRule>
  </conditionalFormatting>
  <conditionalFormatting sqref="AX23">
    <cfRule type="cellIs" dxfId="38170" priority="58264" stopIfTrue="1" operator="lessThan">
      <formula>0.5</formula>
    </cfRule>
  </conditionalFormatting>
  <conditionalFormatting sqref="AX23">
    <cfRule type="cellIs" dxfId="38169" priority="58265" stopIfTrue="1" operator="greaterThanOrEqual">
      <formula>0.5</formula>
    </cfRule>
  </conditionalFormatting>
  <conditionalFormatting sqref="AX24">
    <cfRule type="cellIs" dxfId="38168" priority="58266" stopIfTrue="1" operator="equal">
      <formula>-1</formula>
    </cfRule>
  </conditionalFormatting>
  <conditionalFormatting sqref="AX24">
    <cfRule type="cellIs" dxfId="38167" priority="58267" stopIfTrue="1" operator="lessThan">
      <formula>0.5</formula>
    </cfRule>
  </conditionalFormatting>
  <conditionalFormatting sqref="AX24">
    <cfRule type="cellIs" dxfId="38166" priority="58268" stopIfTrue="1" operator="greaterThanOrEqual">
      <formula>0.5</formula>
    </cfRule>
  </conditionalFormatting>
  <conditionalFormatting sqref="AX25">
    <cfRule type="cellIs" dxfId="38165" priority="58269" stopIfTrue="1" operator="equal">
      <formula>-1</formula>
    </cfRule>
  </conditionalFormatting>
  <conditionalFormatting sqref="AX25">
    <cfRule type="cellIs" dxfId="38164" priority="58270" stopIfTrue="1" operator="lessThan">
      <formula>0.5</formula>
    </cfRule>
  </conditionalFormatting>
  <conditionalFormatting sqref="AX25">
    <cfRule type="cellIs" dxfId="38163" priority="58271" stopIfTrue="1" operator="greaterThanOrEqual">
      <formula>0.5</formula>
    </cfRule>
  </conditionalFormatting>
  <conditionalFormatting sqref="AZ17">
    <cfRule type="cellIs" dxfId="38162" priority="58308" stopIfTrue="1" operator="equal">
      <formula>-1</formula>
    </cfRule>
  </conditionalFormatting>
  <conditionalFormatting sqref="AZ17">
    <cfRule type="cellIs" dxfId="38161" priority="58309" stopIfTrue="1" operator="lessThan">
      <formula>0.5</formula>
    </cfRule>
  </conditionalFormatting>
  <conditionalFormatting sqref="AZ17">
    <cfRule type="cellIs" dxfId="38160" priority="58310" stopIfTrue="1" operator="greaterThanOrEqual">
      <formula>0.5</formula>
    </cfRule>
  </conditionalFormatting>
  <conditionalFormatting sqref="AZ18">
    <cfRule type="cellIs" dxfId="38159" priority="58311" stopIfTrue="1" operator="equal">
      <formula>-1</formula>
    </cfRule>
  </conditionalFormatting>
  <conditionalFormatting sqref="AZ18">
    <cfRule type="cellIs" dxfId="38158" priority="58312" stopIfTrue="1" operator="lessThan">
      <formula>0.5</formula>
    </cfRule>
  </conditionalFormatting>
  <conditionalFormatting sqref="AZ18">
    <cfRule type="cellIs" dxfId="38157" priority="58313" stopIfTrue="1" operator="greaterThanOrEqual">
      <formula>0.5</formula>
    </cfRule>
  </conditionalFormatting>
  <conditionalFormatting sqref="AZ19">
    <cfRule type="cellIs" dxfId="38156" priority="58314" stopIfTrue="1" operator="equal">
      <formula>-1</formula>
    </cfRule>
  </conditionalFormatting>
  <conditionalFormatting sqref="AZ19">
    <cfRule type="cellIs" dxfId="38155" priority="58315" stopIfTrue="1" operator="lessThan">
      <formula>0.5</formula>
    </cfRule>
  </conditionalFormatting>
  <conditionalFormatting sqref="AZ19">
    <cfRule type="cellIs" dxfId="38154" priority="58316" stopIfTrue="1" operator="greaterThanOrEqual">
      <formula>0.5</formula>
    </cfRule>
  </conditionalFormatting>
  <conditionalFormatting sqref="AZ20">
    <cfRule type="cellIs" dxfId="38153" priority="58317" stopIfTrue="1" operator="equal">
      <formula>-1</formula>
    </cfRule>
  </conditionalFormatting>
  <conditionalFormatting sqref="AZ20">
    <cfRule type="cellIs" dxfId="38152" priority="58318" stopIfTrue="1" operator="lessThan">
      <formula>0.5</formula>
    </cfRule>
  </conditionalFormatting>
  <conditionalFormatting sqref="AZ20">
    <cfRule type="cellIs" dxfId="38151" priority="58319" stopIfTrue="1" operator="greaterThanOrEqual">
      <formula>0.5</formula>
    </cfRule>
  </conditionalFormatting>
  <conditionalFormatting sqref="AZ21">
    <cfRule type="cellIs" dxfId="38150" priority="58320" stopIfTrue="1" operator="equal">
      <formula>-1</formula>
    </cfRule>
  </conditionalFormatting>
  <conditionalFormatting sqref="AZ21">
    <cfRule type="cellIs" dxfId="38149" priority="58321" stopIfTrue="1" operator="lessThan">
      <formula>0.5</formula>
    </cfRule>
  </conditionalFormatting>
  <conditionalFormatting sqref="AZ21">
    <cfRule type="cellIs" dxfId="38148" priority="58322" stopIfTrue="1" operator="greaterThanOrEqual">
      <formula>0.5</formula>
    </cfRule>
  </conditionalFormatting>
  <conditionalFormatting sqref="AZ22">
    <cfRule type="cellIs" dxfId="38147" priority="58323" stopIfTrue="1" operator="equal">
      <formula>-1</formula>
    </cfRule>
  </conditionalFormatting>
  <conditionalFormatting sqref="AZ22">
    <cfRule type="cellIs" dxfId="38146" priority="58324" stopIfTrue="1" operator="lessThan">
      <formula>0.5</formula>
    </cfRule>
  </conditionalFormatting>
  <conditionalFormatting sqref="AZ22">
    <cfRule type="cellIs" dxfId="38145" priority="58325" stopIfTrue="1" operator="greaterThanOrEqual">
      <formula>0.5</formula>
    </cfRule>
  </conditionalFormatting>
  <conditionalFormatting sqref="AZ23">
    <cfRule type="cellIs" dxfId="38144" priority="58326" stopIfTrue="1" operator="equal">
      <formula>-1</formula>
    </cfRule>
  </conditionalFormatting>
  <conditionalFormatting sqref="AZ23">
    <cfRule type="cellIs" dxfId="38143" priority="58327" stopIfTrue="1" operator="lessThan">
      <formula>0.5</formula>
    </cfRule>
  </conditionalFormatting>
  <conditionalFormatting sqref="AZ23">
    <cfRule type="cellIs" dxfId="38142" priority="58328" stopIfTrue="1" operator="greaterThanOrEqual">
      <formula>0.5</formula>
    </cfRule>
  </conditionalFormatting>
  <conditionalFormatting sqref="AZ24">
    <cfRule type="cellIs" dxfId="38141" priority="58329" stopIfTrue="1" operator="equal">
      <formula>-1</formula>
    </cfRule>
  </conditionalFormatting>
  <conditionalFormatting sqref="AZ24">
    <cfRule type="cellIs" dxfId="38140" priority="58330" stopIfTrue="1" operator="lessThan">
      <formula>0.5</formula>
    </cfRule>
  </conditionalFormatting>
  <conditionalFormatting sqref="AZ24">
    <cfRule type="cellIs" dxfId="38139" priority="58331" stopIfTrue="1" operator="greaterThanOrEqual">
      <formula>0.5</formula>
    </cfRule>
  </conditionalFormatting>
  <conditionalFormatting sqref="AZ25">
    <cfRule type="cellIs" dxfId="38138" priority="58332" stopIfTrue="1" operator="equal">
      <formula>-1</formula>
    </cfRule>
  </conditionalFormatting>
  <conditionalFormatting sqref="AZ25">
    <cfRule type="cellIs" dxfId="38137" priority="58333" stopIfTrue="1" operator="lessThan">
      <formula>0.5</formula>
    </cfRule>
  </conditionalFormatting>
  <conditionalFormatting sqref="AZ25">
    <cfRule type="cellIs" dxfId="38136" priority="58334" stopIfTrue="1" operator="greaterThanOrEqual">
      <formula>0.5</formula>
    </cfRule>
  </conditionalFormatting>
  <conditionalFormatting sqref="BB17">
    <cfRule type="cellIs" dxfId="38135" priority="58371" stopIfTrue="1" operator="equal">
      <formula>-1</formula>
    </cfRule>
  </conditionalFormatting>
  <conditionalFormatting sqref="BB17">
    <cfRule type="cellIs" dxfId="38134" priority="58372" stopIfTrue="1" operator="lessThan">
      <formula>0.5</formula>
    </cfRule>
  </conditionalFormatting>
  <conditionalFormatting sqref="BB17">
    <cfRule type="cellIs" dxfId="38133" priority="58373" stopIfTrue="1" operator="greaterThanOrEqual">
      <formula>0.5</formula>
    </cfRule>
  </conditionalFormatting>
  <conditionalFormatting sqref="BB18">
    <cfRule type="cellIs" dxfId="38132" priority="58374" stopIfTrue="1" operator="equal">
      <formula>-1</formula>
    </cfRule>
  </conditionalFormatting>
  <conditionalFormatting sqref="BB18">
    <cfRule type="cellIs" dxfId="38131" priority="58375" stopIfTrue="1" operator="lessThan">
      <formula>0.5</formula>
    </cfRule>
  </conditionalFormatting>
  <conditionalFormatting sqref="BB18">
    <cfRule type="cellIs" dxfId="38130" priority="58376" stopIfTrue="1" operator="greaterThanOrEqual">
      <formula>0.5</formula>
    </cfRule>
  </conditionalFormatting>
  <conditionalFormatting sqref="BB19">
    <cfRule type="cellIs" dxfId="38129" priority="58377" stopIfTrue="1" operator="equal">
      <formula>-1</formula>
    </cfRule>
  </conditionalFormatting>
  <conditionalFormatting sqref="BB19">
    <cfRule type="cellIs" dxfId="38128" priority="58378" stopIfTrue="1" operator="lessThan">
      <formula>0.5</formula>
    </cfRule>
  </conditionalFormatting>
  <conditionalFormatting sqref="BB19">
    <cfRule type="cellIs" dxfId="38127" priority="58379" stopIfTrue="1" operator="greaterThanOrEqual">
      <formula>0.5</formula>
    </cfRule>
  </conditionalFormatting>
  <conditionalFormatting sqref="BB20">
    <cfRule type="cellIs" dxfId="38126" priority="58380" stopIfTrue="1" operator="equal">
      <formula>-1</formula>
    </cfRule>
  </conditionalFormatting>
  <conditionalFormatting sqref="BB20">
    <cfRule type="cellIs" dxfId="38125" priority="58381" stopIfTrue="1" operator="lessThan">
      <formula>0.5</formula>
    </cfRule>
  </conditionalFormatting>
  <conditionalFormatting sqref="BB20">
    <cfRule type="cellIs" dxfId="38124" priority="58382" stopIfTrue="1" operator="greaterThanOrEqual">
      <formula>0.5</formula>
    </cfRule>
  </conditionalFormatting>
  <conditionalFormatting sqref="BB21">
    <cfRule type="cellIs" dxfId="38123" priority="58383" stopIfTrue="1" operator="equal">
      <formula>-1</formula>
    </cfRule>
  </conditionalFormatting>
  <conditionalFormatting sqref="BB21">
    <cfRule type="cellIs" dxfId="38122" priority="58384" stopIfTrue="1" operator="lessThan">
      <formula>0.5</formula>
    </cfRule>
  </conditionalFormatting>
  <conditionalFormatting sqref="BB21">
    <cfRule type="cellIs" dxfId="38121" priority="58385" stopIfTrue="1" operator="greaterThanOrEqual">
      <formula>0.5</formula>
    </cfRule>
  </conditionalFormatting>
  <conditionalFormatting sqref="BB22">
    <cfRule type="cellIs" dxfId="38120" priority="58386" stopIfTrue="1" operator="equal">
      <formula>-1</formula>
    </cfRule>
  </conditionalFormatting>
  <conditionalFormatting sqref="BB22">
    <cfRule type="cellIs" dxfId="38119" priority="58387" stopIfTrue="1" operator="lessThan">
      <formula>0.5</formula>
    </cfRule>
  </conditionalFormatting>
  <conditionalFormatting sqref="BB22">
    <cfRule type="cellIs" dxfId="38118" priority="58388" stopIfTrue="1" operator="greaterThanOrEqual">
      <formula>0.5</formula>
    </cfRule>
  </conditionalFormatting>
  <conditionalFormatting sqref="BB23">
    <cfRule type="cellIs" dxfId="38117" priority="58389" stopIfTrue="1" operator="equal">
      <formula>-1</formula>
    </cfRule>
  </conditionalFormatting>
  <conditionalFormatting sqref="BB23">
    <cfRule type="cellIs" dxfId="38116" priority="58390" stopIfTrue="1" operator="lessThan">
      <formula>0.5</formula>
    </cfRule>
  </conditionalFormatting>
  <conditionalFormatting sqref="BB23">
    <cfRule type="cellIs" dxfId="38115" priority="58391" stopIfTrue="1" operator="greaterThanOrEqual">
      <formula>0.5</formula>
    </cfRule>
  </conditionalFormatting>
  <conditionalFormatting sqref="BB24">
    <cfRule type="cellIs" dxfId="38114" priority="58392" stopIfTrue="1" operator="equal">
      <formula>-1</formula>
    </cfRule>
  </conditionalFormatting>
  <conditionalFormatting sqref="BB24">
    <cfRule type="cellIs" dxfId="38113" priority="58393" stopIfTrue="1" operator="lessThan">
      <formula>0.5</formula>
    </cfRule>
  </conditionalFormatting>
  <conditionalFormatting sqref="BB24">
    <cfRule type="cellIs" dxfId="38112" priority="58394" stopIfTrue="1" operator="greaterThanOrEqual">
      <formula>0.5</formula>
    </cfRule>
  </conditionalFormatting>
  <conditionalFormatting sqref="BB25">
    <cfRule type="cellIs" dxfId="38111" priority="58395" stopIfTrue="1" operator="equal">
      <formula>-1</formula>
    </cfRule>
  </conditionalFormatting>
  <conditionalFormatting sqref="BB25">
    <cfRule type="cellIs" dxfId="38110" priority="58396" stopIfTrue="1" operator="lessThan">
      <formula>0.5</formula>
    </cfRule>
  </conditionalFormatting>
  <conditionalFormatting sqref="BB25">
    <cfRule type="cellIs" dxfId="38109" priority="58397" stopIfTrue="1" operator="greaterThanOrEqual">
      <formula>0.5</formula>
    </cfRule>
  </conditionalFormatting>
  <conditionalFormatting sqref="BD17">
    <cfRule type="cellIs" dxfId="38108" priority="58434" stopIfTrue="1" operator="equal">
      <formula>-1</formula>
    </cfRule>
  </conditionalFormatting>
  <conditionalFormatting sqref="BD17">
    <cfRule type="cellIs" dxfId="38107" priority="58435" stopIfTrue="1" operator="lessThan">
      <formula>0.5</formula>
    </cfRule>
  </conditionalFormatting>
  <conditionalFormatting sqref="BD17">
    <cfRule type="cellIs" dxfId="38106" priority="58436" stopIfTrue="1" operator="greaterThanOrEqual">
      <formula>0.5</formula>
    </cfRule>
  </conditionalFormatting>
  <conditionalFormatting sqref="BD18">
    <cfRule type="cellIs" dxfId="38105" priority="58437" stopIfTrue="1" operator="equal">
      <formula>-1</formula>
    </cfRule>
  </conditionalFormatting>
  <conditionalFormatting sqref="BD18">
    <cfRule type="cellIs" dxfId="38104" priority="58438" stopIfTrue="1" operator="lessThan">
      <formula>0.5</formula>
    </cfRule>
  </conditionalFormatting>
  <conditionalFormatting sqref="BD18">
    <cfRule type="cellIs" dxfId="38103" priority="58439" stopIfTrue="1" operator="greaterThanOrEqual">
      <formula>0.5</formula>
    </cfRule>
  </conditionalFormatting>
  <conditionalFormatting sqref="BD19">
    <cfRule type="cellIs" dxfId="38102" priority="58440" stopIfTrue="1" operator="equal">
      <formula>-1</formula>
    </cfRule>
  </conditionalFormatting>
  <conditionalFormatting sqref="BD19">
    <cfRule type="cellIs" dxfId="38101" priority="58441" stopIfTrue="1" operator="lessThan">
      <formula>0.5</formula>
    </cfRule>
  </conditionalFormatting>
  <conditionalFormatting sqref="BD19">
    <cfRule type="cellIs" dxfId="38100" priority="58442" stopIfTrue="1" operator="greaterThanOrEqual">
      <formula>0.5</formula>
    </cfRule>
  </conditionalFormatting>
  <conditionalFormatting sqref="BD20">
    <cfRule type="cellIs" dxfId="38099" priority="58443" stopIfTrue="1" operator="equal">
      <formula>-1</formula>
    </cfRule>
  </conditionalFormatting>
  <conditionalFormatting sqref="BD20">
    <cfRule type="cellIs" dxfId="38098" priority="58444" stopIfTrue="1" operator="lessThan">
      <formula>0.5</formula>
    </cfRule>
  </conditionalFormatting>
  <conditionalFormatting sqref="BD20">
    <cfRule type="cellIs" dxfId="38097" priority="58445" stopIfTrue="1" operator="greaterThanOrEqual">
      <formula>0.5</formula>
    </cfRule>
  </conditionalFormatting>
  <conditionalFormatting sqref="BD21">
    <cfRule type="cellIs" dxfId="38096" priority="58446" stopIfTrue="1" operator="equal">
      <formula>-1</formula>
    </cfRule>
  </conditionalFormatting>
  <conditionalFormatting sqref="BD21">
    <cfRule type="cellIs" dxfId="38095" priority="58447" stopIfTrue="1" operator="lessThan">
      <formula>0.5</formula>
    </cfRule>
  </conditionalFormatting>
  <conditionalFormatting sqref="BD21">
    <cfRule type="cellIs" dxfId="38094" priority="58448" stopIfTrue="1" operator="greaterThanOrEqual">
      <formula>0.5</formula>
    </cfRule>
  </conditionalFormatting>
  <conditionalFormatting sqref="BD22">
    <cfRule type="cellIs" dxfId="38093" priority="58449" stopIfTrue="1" operator="equal">
      <formula>-1</formula>
    </cfRule>
  </conditionalFormatting>
  <conditionalFormatting sqref="BD22">
    <cfRule type="cellIs" dxfId="38092" priority="58450" stopIfTrue="1" operator="lessThan">
      <formula>0.5</formula>
    </cfRule>
  </conditionalFormatting>
  <conditionalFormatting sqref="BD22">
    <cfRule type="cellIs" dxfId="38091" priority="58451" stopIfTrue="1" operator="greaterThanOrEqual">
      <formula>0.5</formula>
    </cfRule>
  </conditionalFormatting>
  <conditionalFormatting sqref="BD23">
    <cfRule type="cellIs" dxfId="38090" priority="58452" stopIfTrue="1" operator="equal">
      <formula>-1</formula>
    </cfRule>
  </conditionalFormatting>
  <conditionalFormatting sqref="BD23">
    <cfRule type="cellIs" dxfId="38089" priority="58453" stopIfTrue="1" operator="lessThan">
      <formula>0.5</formula>
    </cfRule>
  </conditionalFormatting>
  <conditionalFormatting sqref="BD23">
    <cfRule type="cellIs" dxfId="38088" priority="58454" stopIfTrue="1" operator="greaterThanOrEqual">
      <formula>0.5</formula>
    </cfRule>
  </conditionalFormatting>
  <conditionalFormatting sqref="BD24">
    <cfRule type="cellIs" dxfId="38087" priority="58455" stopIfTrue="1" operator="equal">
      <formula>-1</formula>
    </cfRule>
  </conditionalFormatting>
  <conditionalFormatting sqref="BD24">
    <cfRule type="cellIs" dxfId="38086" priority="58456" stopIfTrue="1" operator="lessThan">
      <formula>0.5</formula>
    </cfRule>
  </conditionalFormatting>
  <conditionalFormatting sqref="BD24">
    <cfRule type="cellIs" dxfId="38085" priority="58457" stopIfTrue="1" operator="greaterThanOrEqual">
      <formula>0.5</formula>
    </cfRule>
  </conditionalFormatting>
  <conditionalFormatting sqref="BD25">
    <cfRule type="cellIs" dxfId="38084" priority="58458" stopIfTrue="1" operator="equal">
      <formula>-1</formula>
    </cfRule>
  </conditionalFormatting>
  <conditionalFormatting sqref="BD25">
    <cfRule type="cellIs" dxfId="38083" priority="58459" stopIfTrue="1" operator="lessThan">
      <formula>0.5</formula>
    </cfRule>
  </conditionalFormatting>
  <conditionalFormatting sqref="BD25">
    <cfRule type="cellIs" dxfId="38082" priority="58460" stopIfTrue="1" operator="greaterThanOrEqual">
      <formula>0.5</formula>
    </cfRule>
  </conditionalFormatting>
  <conditionalFormatting sqref="BF17">
    <cfRule type="cellIs" dxfId="38081" priority="58497" stopIfTrue="1" operator="equal">
      <formula>-1</formula>
    </cfRule>
  </conditionalFormatting>
  <conditionalFormatting sqref="BF17">
    <cfRule type="cellIs" dxfId="38080" priority="58498" stopIfTrue="1" operator="lessThan">
      <formula>0.5</formula>
    </cfRule>
  </conditionalFormatting>
  <conditionalFormatting sqref="BF17">
    <cfRule type="cellIs" dxfId="38079" priority="58499" stopIfTrue="1" operator="greaterThanOrEqual">
      <formula>0.5</formula>
    </cfRule>
  </conditionalFormatting>
  <conditionalFormatting sqref="BF18">
    <cfRule type="cellIs" dxfId="38078" priority="58500" stopIfTrue="1" operator="equal">
      <formula>-1</formula>
    </cfRule>
  </conditionalFormatting>
  <conditionalFormatting sqref="BF18">
    <cfRule type="cellIs" dxfId="38077" priority="58501" stopIfTrue="1" operator="lessThan">
      <formula>0.5</formula>
    </cfRule>
  </conditionalFormatting>
  <conditionalFormatting sqref="BF18">
    <cfRule type="cellIs" dxfId="38076" priority="58502" stopIfTrue="1" operator="greaterThanOrEqual">
      <formula>0.5</formula>
    </cfRule>
  </conditionalFormatting>
  <conditionalFormatting sqref="BF19">
    <cfRule type="cellIs" dxfId="38075" priority="58503" stopIfTrue="1" operator="equal">
      <formula>-1</formula>
    </cfRule>
  </conditionalFormatting>
  <conditionalFormatting sqref="BF19">
    <cfRule type="cellIs" dxfId="38074" priority="58504" stopIfTrue="1" operator="lessThan">
      <formula>0.5</formula>
    </cfRule>
  </conditionalFormatting>
  <conditionalFormatting sqref="BF19">
    <cfRule type="cellIs" dxfId="38073" priority="58505" stopIfTrue="1" operator="greaterThanOrEqual">
      <formula>0.5</formula>
    </cfRule>
  </conditionalFormatting>
  <conditionalFormatting sqref="BF20">
    <cfRule type="cellIs" dxfId="38072" priority="58506" stopIfTrue="1" operator="equal">
      <formula>-1</formula>
    </cfRule>
  </conditionalFormatting>
  <conditionalFormatting sqref="BF20">
    <cfRule type="cellIs" dxfId="38071" priority="58507" stopIfTrue="1" operator="lessThan">
      <formula>0.5</formula>
    </cfRule>
  </conditionalFormatting>
  <conditionalFormatting sqref="BF20">
    <cfRule type="cellIs" dxfId="38070" priority="58508" stopIfTrue="1" operator="greaterThanOrEqual">
      <formula>0.5</formula>
    </cfRule>
  </conditionalFormatting>
  <conditionalFormatting sqref="BF21">
    <cfRule type="cellIs" dxfId="38069" priority="58509" stopIfTrue="1" operator="equal">
      <formula>-1</formula>
    </cfRule>
  </conditionalFormatting>
  <conditionalFormatting sqref="BF21">
    <cfRule type="cellIs" dxfId="38068" priority="58510" stopIfTrue="1" operator="lessThan">
      <formula>0.5</formula>
    </cfRule>
  </conditionalFormatting>
  <conditionalFormatting sqref="BF21">
    <cfRule type="cellIs" dxfId="38067" priority="58511" stopIfTrue="1" operator="greaterThanOrEqual">
      <formula>0.5</formula>
    </cfRule>
  </conditionalFormatting>
  <conditionalFormatting sqref="BF22">
    <cfRule type="cellIs" dxfId="38066" priority="58512" stopIfTrue="1" operator="equal">
      <formula>-1</formula>
    </cfRule>
  </conditionalFormatting>
  <conditionalFormatting sqref="BF22">
    <cfRule type="cellIs" dxfId="38065" priority="58513" stopIfTrue="1" operator="lessThan">
      <formula>0.5</formula>
    </cfRule>
  </conditionalFormatting>
  <conditionalFormatting sqref="BF22">
    <cfRule type="cellIs" dxfId="38064" priority="58514" stopIfTrue="1" operator="greaterThanOrEqual">
      <formula>0.5</formula>
    </cfRule>
  </conditionalFormatting>
  <conditionalFormatting sqref="BF23">
    <cfRule type="cellIs" dxfId="38063" priority="58515" stopIfTrue="1" operator="equal">
      <formula>-1</formula>
    </cfRule>
  </conditionalFormatting>
  <conditionalFormatting sqref="BF23">
    <cfRule type="cellIs" dxfId="38062" priority="58516" stopIfTrue="1" operator="lessThan">
      <formula>0.5</formula>
    </cfRule>
  </conditionalFormatting>
  <conditionalFormatting sqref="BF23">
    <cfRule type="cellIs" dxfId="38061" priority="58517" stopIfTrue="1" operator="greaterThanOrEqual">
      <formula>0.5</formula>
    </cfRule>
  </conditionalFormatting>
  <conditionalFormatting sqref="BF24">
    <cfRule type="cellIs" dxfId="38060" priority="58518" stopIfTrue="1" operator="equal">
      <formula>-1</formula>
    </cfRule>
  </conditionalFormatting>
  <conditionalFormatting sqref="BF24">
    <cfRule type="cellIs" dxfId="38059" priority="58519" stopIfTrue="1" operator="lessThan">
      <formula>0.5</formula>
    </cfRule>
  </conditionalFormatting>
  <conditionalFormatting sqref="BF24">
    <cfRule type="cellIs" dxfId="38058" priority="58520" stopIfTrue="1" operator="greaterThanOrEqual">
      <formula>0.5</formula>
    </cfRule>
  </conditionalFormatting>
  <conditionalFormatting sqref="BF25">
    <cfRule type="cellIs" dxfId="38057" priority="58521" stopIfTrue="1" operator="equal">
      <formula>-1</formula>
    </cfRule>
  </conditionalFormatting>
  <conditionalFormatting sqref="BF25">
    <cfRule type="cellIs" dxfId="38056" priority="58522" stopIfTrue="1" operator="lessThan">
      <formula>0.5</formula>
    </cfRule>
  </conditionalFormatting>
  <conditionalFormatting sqref="BF25">
    <cfRule type="cellIs" dxfId="38055" priority="58523" stopIfTrue="1" operator="greaterThanOrEqual">
      <formula>0.5</formula>
    </cfRule>
  </conditionalFormatting>
  <conditionalFormatting sqref="BH17">
    <cfRule type="cellIs" dxfId="38054" priority="58560" stopIfTrue="1" operator="equal">
      <formula>-1</formula>
    </cfRule>
  </conditionalFormatting>
  <conditionalFormatting sqref="BH17">
    <cfRule type="cellIs" dxfId="38053" priority="58561" stopIfTrue="1" operator="lessThan">
      <formula>0.5</formula>
    </cfRule>
  </conditionalFormatting>
  <conditionalFormatting sqref="BH17">
    <cfRule type="cellIs" dxfId="38052" priority="58562" stopIfTrue="1" operator="greaterThanOrEqual">
      <formula>0.5</formula>
    </cfRule>
  </conditionalFormatting>
  <conditionalFormatting sqref="BH18">
    <cfRule type="cellIs" dxfId="38051" priority="58563" stopIfTrue="1" operator="equal">
      <formula>-1</formula>
    </cfRule>
  </conditionalFormatting>
  <conditionalFormatting sqref="BH18">
    <cfRule type="cellIs" dxfId="38050" priority="58564" stopIfTrue="1" operator="lessThan">
      <formula>0.5</formula>
    </cfRule>
  </conditionalFormatting>
  <conditionalFormatting sqref="BH18">
    <cfRule type="cellIs" dxfId="38049" priority="58565" stopIfTrue="1" operator="greaterThanOrEqual">
      <formula>0.5</formula>
    </cfRule>
  </conditionalFormatting>
  <conditionalFormatting sqref="BH19">
    <cfRule type="cellIs" dxfId="38048" priority="58566" stopIfTrue="1" operator="equal">
      <formula>-1</formula>
    </cfRule>
  </conditionalFormatting>
  <conditionalFormatting sqref="BH19">
    <cfRule type="cellIs" dxfId="38047" priority="58567" stopIfTrue="1" operator="lessThan">
      <formula>0.5</formula>
    </cfRule>
  </conditionalFormatting>
  <conditionalFormatting sqref="BH19">
    <cfRule type="cellIs" dxfId="38046" priority="58568" stopIfTrue="1" operator="greaterThanOrEqual">
      <formula>0.5</formula>
    </cfRule>
  </conditionalFormatting>
  <conditionalFormatting sqref="BH20">
    <cfRule type="cellIs" dxfId="38045" priority="58569" stopIfTrue="1" operator="equal">
      <formula>-1</formula>
    </cfRule>
  </conditionalFormatting>
  <conditionalFormatting sqref="BH20">
    <cfRule type="cellIs" dxfId="38044" priority="58570" stopIfTrue="1" operator="lessThan">
      <formula>0.5</formula>
    </cfRule>
  </conditionalFormatting>
  <conditionalFormatting sqref="BH20">
    <cfRule type="cellIs" dxfId="38043" priority="58571" stopIfTrue="1" operator="greaterThanOrEqual">
      <formula>0.5</formula>
    </cfRule>
  </conditionalFormatting>
  <conditionalFormatting sqref="BH21">
    <cfRule type="cellIs" dxfId="38042" priority="58572" stopIfTrue="1" operator="equal">
      <formula>-1</formula>
    </cfRule>
  </conditionalFormatting>
  <conditionalFormatting sqref="BH21">
    <cfRule type="cellIs" dxfId="38041" priority="58573" stopIfTrue="1" operator="lessThan">
      <formula>0.5</formula>
    </cfRule>
  </conditionalFormatting>
  <conditionalFormatting sqref="BH21">
    <cfRule type="cellIs" dxfId="38040" priority="58574" stopIfTrue="1" operator="greaterThanOrEqual">
      <formula>0.5</formula>
    </cfRule>
  </conditionalFormatting>
  <conditionalFormatting sqref="BH22">
    <cfRule type="cellIs" dxfId="38039" priority="58575" stopIfTrue="1" operator="equal">
      <formula>-1</formula>
    </cfRule>
  </conditionalFormatting>
  <conditionalFormatting sqref="BH22">
    <cfRule type="cellIs" dxfId="38038" priority="58576" stopIfTrue="1" operator="lessThan">
      <formula>0.5</formula>
    </cfRule>
  </conditionalFormatting>
  <conditionalFormatting sqref="BH22">
    <cfRule type="cellIs" dxfId="38037" priority="58577" stopIfTrue="1" operator="greaterThanOrEqual">
      <formula>0.5</formula>
    </cfRule>
  </conditionalFormatting>
  <conditionalFormatting sqref="BH23">
    <cfRule type="cellIs" dxfId="38036" priority="58578" stopIfTrue="1" operator="equal">
      <formula>-1</formula>
    </cfRule>
  </conditionalFormatting>
  <conditionalFormatting sqref="BH23">
    <cfRule type="cellIs" dxfId="38035" priority="58579" stopIfTrue="1" operator="lessThan">
      <formula>0.5</formula>
    </cfRule>
  </conditionalFormatting>
  <conditionalFormatting sqref="BH23">
    <cfRule type="cellIs" dxfId="38034" priority="58580" stopIfTrue="1" operator="greaterThanOrEqual">
      <formula>0.5</formula>
    </cfRule>
  </conditionalFormatting>
  <conditionalFormatting sqref="BH24">
    <cfRule type="cellIs" dxfId="38033" priority="58581" stopIfTrue="1" operator="equal">
      <formula>-1</formula>
    </cfRule>
  </conditionalFormatting>
  <conditionalFormatting sqref="BH24">
    <cfRule type="cellIs" dxfId="38032" priority="58582" stopIfTrue="1" operator="lessThan">
      <formula>0.5</formula>
    </cfRule>
  </conditionalFormatting>
  <conditionalFormatting sqref="BH24">
    <cfRule type="cellIs" dxfId="38031" priority="58583" stopIfTrue="1" operator="greaterThanOrEqual">
      <formula>0.5</formula>
    </cfRule>
  </conditionalFormatting>
  <conditionalFormatting sqref="BH25">
    <cfRule type="cellIs" dxfId="38030" priority="58584" stopIfTrue="1" operator="equal">
      <formula>-1</formula>
    </cfRule>
  </conditionalFormatting>
  <conditionalFormatting sqref="BH25">
    <cfRule type="cellIs" dxfId="38029" priority="58585" stopIfTrue="1" operator="lessThan">
      <formula>0.5</formula>
    </cfRule>
  </conditionalFormatting>
  <conditionalFormatting sqref="BH25">
    <cfRule type="cellIs" dxfId="38028" priority="58586" stopIfTrue="1" operator="greaterThanOrEqual">
      <formula>0.5</formula>
    </cfRule>
  </conditionalFormatting>
  <conditionalFormatting sqref="BJ17">
    <cfRule type="cellIs" dxfId="38027" priority="58623" stopIfTrue="1" operator="equal">
      <formula>-1</formula>
    </cfRule>
  </conditionalFormatting>
  <conditionalFormatting sqref="BJ17">
    <cfRule type="cellIs" dxfId="38026" priority="58624" stopIfTrue="1" operator="lessThan">
      <formula>0.5</formula>
    </cfRule>
  </conditionalFormatting>
  <conditionalFormatting sqref="BJ17">
    <cfRule type="cellIs" dxfId="38025" priority="58625" stopIfTrue="1" operator="greaterThanOrEqual">
      <formula>0.5</formula>
    </cfRule>
  </conditionalFormatting>
  <conditionalFormatting sqref="BJ18">
    <cfRule type="cellIs" dxfId="38024" priority="58626" stopIfTrue="1" operator="equal">
      <formula>-1</formula>
    </cfRule>
  </conditionalFormatting>
  <conditionalFormatting sqref="BJ18">
    <cfRule type="cellIs" dxfId="38023" priority="58627" stopIfTrue="1" operator="lessThan">
      <formula>0.5</formula>
    </cfRule>
  </conditionalFormatting>
  <conditionalFormatting sqref="BJ18">
    <cfRule type="cellIs" dxfId="38022" priority="58628" stopIfTrue="1" operator="greaterThanOrEqual">
      <formula>0.5</formula>
    </cfRule>
  </conditionalFormatting>
  <conditionalFormatting sqref="BJ19">
    <cfRule type="cellIs" dxfId="38021" priority="58629" stopIfTrue="1" operator="equal">
      <formula>-1</formula>
    </cfRule>
  </conditionalFormatting>
  <conditionalFormatting sqref="BJ19">
    <cfRule type="cellIs" dxfId="38020" priority="58630" stopIfTrue="1" operator="lessThan">
      <formula>0.5</formula>
    </cfRule>
  </conditionalFormatting>
  <conditionalFormatting sqref="BJ19">
    <cfRule type="cellIs" dxfId="38019" priority="58631" stopIfTrue="1" operator="greaterThanOrEqual">
      <formula>0.5</formula>
    </cfRule>
  </conditionalFormatting>
  <conditionalFormatting sqref="BJ20">
    <cfRule type="cellIs" dxfId="38018" priority="58632" stopIfTrue="1" operator="equal">
      <formula>-1</formula>
    </cfRule>
  </conditionalFormatting>
  <conditionalFormatting sqref="BJ20">
    <cfRule type="cellIs" dxfId="38017" priority="58633" stopIfTrue="1" operator="lessThan">
      <formula>0.5</formula>
    </cfRule>
  </conditionalFormatting>
  <conditionalFormatting sqref="BJ20">
    <cfRule type="cellIs" dxfId="38016" priority="58634" stopIfTrue="1" operator="greaterThanOrEqual">
      <formula>0.5</formula>
    </cfRule>
  </conditionalFormatting>
  <conditionalFormatting sqref="BJ21">
    <cfRule type="cellIs" dxfId="38015" priority="58635" stopIfTrue="1" operator="equal">
      <formula>-1</formula>
    </cfRule>
  </conditionalFormatting>
  <conditionalFormatting sqref="BJ21">
    <cfRule type="cellIs" dxfId="38014" priority="58636" stopIfTrue="1" operator="lessThan">
      <formula>0.5</formula>
    </cfRule>
  </conditionalFormatting>
  <conditionalFormatting sqref="BJ21">
    <cfRule type="cellIs" dxfId="38013" priority="58637" stopIfTrue="1" operator="greaterThanOrEqual">
      <formula>0.5</formula>
    </cfRule>
  </conditionalFormatting>
  <conditionalFormatting sqref="BJ22">
    <cfRule type="cellIs" dxfId="38012" priority="58638" stopIfTrue="1" operator="equal">
      <formula>-1</formula>
    </cfRule>
  </conditionalFormatting>
  <conditionalFormatting sqref="BJ22">
    <cfRule type="cellIs" dxfId="38011" priority="58639" stopIfTrue="1" operator="lessThan">
      <formula>0.5</formula>
    </cfRule>
  </conditionalFormatting>
  <conditionalFormatting sqref="BJ22">
    <cfRule type="cellIs" dxfId="38010" priority="58640" stopIfTrue="1" operator="greaterThanOrEqual">
      <formula>0.5</formula>
    </cfRule>
  </conditionalFormatting>
  <conditionalFormatting sqref="BJ23">
    <cfRule type="cellIs" dxfId="38009" priority="58641" stopIfTrue="1" operator="equal">
      <formula>-1</formula>
    </cfRule>
  </conditionalFormatting>
  <conditionalFormatting sqref="BJ23">
    <cfRule type="cellIs" dxfId="38008" priority="58642" stopIfTrue="1" operator="lessThan">
      <formula>0.5</formula>
    </cfRule>
  </conditionalFormatting>
  <conditionalFormatting sqref="BJ23">
    <cfRule type="cellIs" dxfId="38007" priority="58643" stopIfTrue="1" operator="greaterThanOrEqual">
      <formula>0.5</formula>
    </cfRule>
  </conditionalFormatting>
  <conditionalFormatting sqref="BJ24">
    <cfRule type="cellIs" dxfId="38006" priority="58644" stopIfTrue="1" operator="equal">
      <formula>-1</formula>
    </cfRule>
  </conditionalFormatting>
  <conditionalFormatting sqref="BJ24">
    <cfRule type="cellIs" dxfId="38005" priority="58645" stopIfTrue="1" operator="lessThan">
      <formula>0.5</formula>
    </cfRule>
  </conditionalFormatting>
  <conditionalFormatting sqref="BJ24">
    <cfRule type="cellIs" dxfId="38004" priority="58646" stopIfTrue="1" operator="greaterThanOrEqual">
      <formula>0.5</formula>
    </cfRule>
  </conditionalFormatting>
  <conditionalFormatting sqref="BJ25">
    <cfRule type="cellIs" dxfId="38003" priority="58647" stopIfTrue="1" operator="equal">
      <formula>-1</formula>
    </cfRule>
  </conditionalFormatting>
  <conditionalFormatting sqref="BJ25">
    <cfRule type="cellIs" dxfId="38002" priority="58648" stopIfTrue="1" operator="lessThan">
      <formula>0.5</formula>
    </cfRule>
  </conditionalFormatting>
  <conditionalFormatting sqref="BJ25">
    <cfRule type="cellIs" dxfId="38001" priority="58649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5" orientation="landscape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3D0D5-0313-394B-91E9-BAD0C60F0AE2}">
  <sheetPr codeName="Sheet2">
    <tabColor theme="9" tint="-0.249977111117893"/>
    <pageSetUpPr fitToPage="1"/>
  </sheetPr>
  <dimension ref="A1:BJ61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65" t="str" cm="1">
        <f t="array" ref="A1">[2]!GRUPO</f>
        <v>2º Bach.</v>
      </c>
      <c r="B1" s="68" t="s">
        <v>86</v>
      </c>
      <c r="C1" s="67">
        <v>1</v>
      </c>
      <c r="D1" s="67"/>
      <c r="E1" s="67">
        <v>2</v>
      </c>
      <c r="F1" s="67" t="s">
        <v>0</v>
      </c>
      <c r="G1" s="67">
        <v>3</v>
      </c>
      <c r="H1" s="67" t="s">
        <v>0</v>
      </c>
      <c r="I1" s="67">
        <v>4</v>
      </c>
      <c r="J1" s="67" t="s">
        <v>0</v>
      </c>
      <c r="K1" s="67">
        <v>5</v>
      </c>
      <c r="L1" s="67" t="s">
        <v>0</v>
      </c>
      <c r="M1" s="67">
        <v>6</v>
      </c>
      <c r="N1" s="67" t="s">
        <v>0</v>
      </c>
      <c r="O1" s="67">
        <v>7</v>
      </c>
      <c r="P1" s="67" t="s">
        <v>0</v>
      </c>
      <c r="Q1" s="67">
        <v>8</v>
      </c>
      <c r="R1" s="67" t="s">
        <v>0</v>
      </c>
      <c r="S1" s="67">
        <v>9</v>
      </c>
      <c r="T1" s="67" t="s">
        <v>0</v>
      </c>
      <c r="U1" s="67">
        <v>10</v>
      </c>
      <c r="V1" s="67" t="s">
        <v>0</v>
      </c>
      <c r="W1" s="67">
        <v>11</v>
      </c>
      <c r="X1" s="67" t="s">
        <v>0</v>
      </c>
      <c r="Y1" s="67">
        <v>12</v>
      </c>
      <c r="Z1" s="67" t="s">
        <v>1</v>
      </c>
      <c r="AA1" s="67">
        <v>13</v>
      </c>
      <c r="AB1" s="67" t="s">
        <v>0</v>
      </c>
      <c r="AC1" s="67">
        <v>14</v>
      </c>
      <c r="AD1" s="67" t="s">
        <v>0</v>
      </c>
      <c r="AE1" s="67">
        <v>15</v>
      </c>
      <c r="AF1" s="67" t="s">
        <v>0</v>
      </c>
      <c r="AG1" s="67">
        <v>16</v>
      </c>
      <c r="AH1" s="67" t="s">
        <v>0</v>
      </c>
      <c r="AI1" s="67">
        <v>17</v>
      </c>
      <c r="AJ1" s="67"/>
      <c r="AK1" s="67">
        <v>18</v>
      </c>
      <c r="AL1" s="67"/>
      <c r="AM1" s="67">
        <v>19</v>
      </c>
      <c r="AN1" s="67"/>
      <c r="AO1" s="67">
        <v>20</v>
      </c>
      <c r="AP1" s="67" t="s">
        <v>0</v>
      </c>
      <c r="AQ1" s="67">
        <v>21</v>
      </c>
      <c r="AR1" s="67"/>
      <c r="AS1" s="67">
        <v>22</v>
      </c>
      <c r="AT1" s="67" t="s">
        <v>0</v>
      </c>
      <c r="AU1" s="67">
        <v>23</v>
      </c>
      <c r="AV1" s="67" t="s">
        <v>0</v>
      </c>
      <c r="AW1" s="67">
        <v>24</v>
      </c>
      <c r="AX1" s="67"/>
      <c r="AY1" s="67">
        <v>25</v>
      </c>
      <c r="AZ1" s="67"/>
      <c r="BA1" s="67">
        <v>26</v>
      </c>
      <c r="BB1" s="67"/>
      <c r="BC1" s="67">
        <v>27</v>
      </c>
      <c r="BD1" s="67"/>
      <c r="BE1" s="67">
        <v>28</v>
      </c>
      <c r="BF1" s="67"/>
      <c r="BG1" s="67">
        <v>29</v>
      </c>
      <c r="BH1" s="67"/>
      <c r="BI1" s="67">
        <v>30</v>
      </c>
      <c r="BJ1" s="67"/>
    </row>
    <row r="2" spans="1:62" ht="115" customHeight="1" x14ac:dyDescent="0.2">
      <c r="A2" s="65"/>
      <c r="B2" s="69"/>
      <c r="C2" s="66" t="str">
        <f ca="1">[2]Examen11!C$2</f>
        <v>Alma Casa, Mario</v>
      </c>
      <c r="D2" s="66"/>
      <c r="E2" s="66" t="str">
        <f ca="1">[2]Examen11!E$2</f>
        <v>Amado Luz, Martín</v>
      </c>
      <c r="F2" s="66"/>
      <c r="G2" s="66" t="str">
        <f ca="1">[2]Examen11!G$2</f>
        <v>Bonete Cune, Carla</v>
      </c>
      <c r="H2" s="66"/>
      <c r="I2" s="66" t="str">
        <f ca="1">[2]Examen11!I$2</f>
        <v>Casado Gómez, María</v>
      </c>
      <c r="J2" s="66"/>
      <c r="K2" s="66" t="str">
        <f ca="1">[2]Examen11!K$2</f>
        <v>Concepción García, Elena</v>
      </c>
      <c r="L2" s="66"/>
      <c r="M2" s="66" t="str">
        <f ca="1">[2]Examen11!M$2</f>
        <v>Díaz Lucas, Ricardo</v>
      </c>
      <c r="N2" s="66"/>
      <c r="O2" s="66" t="str">
        <f ca="1">[2]Examen11!O$2</f>
        <v>Díaz Ríos, Lucía</v>
      </c>
      <c r="P2" s="66"/>
      <c r="Q2" s="66" t="str">
        <f ca="1">[2]Examen11!Q$2</f>
        <v>García López, Juan Ángel</v>
      </c>
      <c r="R2" s="66"/>
      <c r="S2" s="66" t="str">
        <f ca="1">[2]Examen11!S$2</f>
        <v>García Pérez, Luis</v>
      </c>
      <c r="T2" s="66"/>
      <c r="U2" s="66" t="str">
        <f ca="1">[2]Examen11!U$2</f>
        <v>Garijo Piqueras, María</v>
      </c>
      <c r="V2" s="66"/>
      <c r="W2" s="66" t="str">
        <f ca="1">[2]Examen11!W$2</f>
        <v>Gómez Luna, José</v>
      </c>
      <c r="X2" s="66"/>
      <c r="Y2" s="66" t="str">
        <f ca="1">[2]Examen11!Y$2</f>
        <v>González García, Juan</v>
      </c>
      <c r="Z2" s="66"/>
      <c r="AA2" s="66" t="str">
        <f ca="1">[2]Examen11!AA$2</f>
        <v>González Pérez, María</v>
      </c>
      <c r="AB2" s="66"/>
      <c r="AC2" s="66" t="str">
        <f ca="1">[2]Examen11!AC$2</f>
        <v>Laín Hernández, Luisa</v>
      </c>
      <c r="AD2" s="66"/>
      <c r="AE2" s="66" t="str">
        <f ca="1">[2]Examen11!AE$2</f>
        <v>Lirios Lara, Juan</v>
      </c>
      <c r="AF2" s="66"/>
      <c r="AG2" s="66" t="str">
        <f ca="1">[2]Examen11!AG$2</f>
        <v>López Picazo, Marta</v>
      </c>
      <c r="AH2" s="66"/>
      <c r="AI2" s="66" t="str">
        <f ca="1">[2]Examen11!AI$2</f>
        <v>Molina Pérez, Marina</v>
      </c>
      <c r="AJ2" s="66"/>
      <c r="AK2" s="66" t="str">
        <f ca="1">[2]Examen11!AK$2</f>
        <v>Molina Sánchez, Inmaculada</v>
      </c>
      <c r="AL2" s="66"/>
      <c r="AM2" s="66" t="str">
        <f ca="1">[2]Examen11!AM$2</f>
        <v>Montero Pacheco, Pablo</v>
      </c>
      <c r="AN2" s="66"/>
      <c r="AO2" s="66" t="str">
        <f ca="1">[2]Examen11!AO$2</f>
        <v>Mora García, Javier</v>
      </c>
      <c r="AP2" s="66"/>
      <c r="AQ2" s="66" t="str">
        <f ca="1">[2]Examen11!AQ$2</f>
        <v>Morcillo Pared, Luna</v>
      </c>
      <c r="AR2" s="66"/>
      <c r="AS2" s="66" t="str">
        <f ca="1">[2]Examen11!AS$2</f>
        <v>Moreno Hernández, Francisco</v>
      </c>
      <c r="AT2" s="66"/>
      <c r="AU2" s="66" t="str">
        <f ca="1">[2]Examen11!AU$2</f>
        <v>Muñoz Garijo, Pablo</v>
      </c>
      <c r="AV2" s="66"/>
      <c r="AW2" s="66" t="str">
        <f ca="1">[2]Examen11!AW$2</f>
        <v>Pérez Garrido, Francisco</v>
      </c>
      <c r="AX2" s="66"/>
      <c r="AY2" s="66" t="str">
        <f ca="1">[2]Examen11!AY$2</f>
        <v>Serna Serna, Susana</v>
      </c>
      <c r="AZ2" s="66"/>
      <c r="BA2" s="66" t="str">
        <f ca="1">[2]Examen11!BA$2</f>
        <v>Soriano Tornero, Manuel</v>
      </c>
      <c r="BB2" s="66"/>
      <c r="BC2" s="66" t="str">
        <f ca="1">[2]Examen11!BC$2</f>
        <v>Sultán Zar, Pedro</v>
      </c>
      <c r="BD2" s="66"/>
      <c r="BE2" s="66" t="str">
        <f ca="1">[2]Examen11!BE$2</f>
        <v>Tendero Grande, Marina</v>
      </c>
      <c r="BF2" s="66"/>
      <c r="BG2" s="66" t="str">
        <f ca="1">[2]Examen11!BG$2</f>
        <v>Valencia Bueno, Isabel</v>
      </c>
      <c r="BH2" s="66"/>
      <c r="BI2" s="66" t="str">
        <f ca="1">[2]Examen11!BI$2</f>
        <v>Zarza Parrilla, Manuel</v>
      </c>
      <c r="BJ2" s="66"/>
    </row>
    <row r="3" spans="1:62" ht="33" customHeight="1" x14ac:dyDescent="0.2">
      <c r="A3" s="29" t="str" cm="1">
        <f t="array" ref="A3">[2]!VERSION</f>
        <v>Versión 1.2</v>
      </c>
      <c r="B3" s="9" t="str">
        <f>IF((B4+B7+B16+B38)=1,"Ok","Error % Bloques")</f>
        <v>Ok</v>
      </c>
      <c r="C3" s="59">
        <f>SUM(C4,C7,C16,C38)</f>
        <v>5.2999999813735483</v>
      </c>
      <c r="D3" s="60"/>
      <c r="E3" s="59">
        <f t="shared" ref="E3" si="0">SUM(E4,E7,E16,E38)</f>
        <v>4.810000017285347</v>
      </c>
      <c r="F3" s="60"/>
      <c r="G3" s="59">
        <f t="shared" ref="G3" si="1">SUM(G4,G7,G16,G38)</f>
        <v>4.1750000417232513</v>
      </c>
      <c r="H3" s="60"/>
      <c r="I3" s="59">
        <f t="shared" ref="I3" si="2">SUM(I4,I7,I16,I38)</f>
        <v>4.7500000335276127</v>
      </c>
      <c r="J3" s="60"/>
      <c r="K3" s="59">
        <f t="shared" ref="K3" si="3">SUM(K4,K7,K16,K38)</f>
        <v>4.6200000405311581</v>
      </c>
      <c r="L3" s="60"/>
      <c r="M3" s="59">
        <f t="shared" ref="M3" si="4">SUM(M4,M7,M16,M38)</f>
        <v>4.0900000438094137</v>
      </c>
      <c r="N3" s="60"/>
      <c r="O3" s="59">
        <f t="shared" ref="O3" si="5">SUM(O4,O7,O16,O38)</f>
        <v>5.0700000159442427</v>
      </c>
      <c r="P3" s="60"/>
      <c r="Q3" s="59">
        <f t="shared" ref="Q3" si="6">SUM(Q4,Q7,Q16,Q38)</f>
        <v>4.2300000570714484</v>
      </c>
      <c r="R3" s="60"/>
      <c r="S3" s="59">
        <f t="shared" ref="S3" si="7">SUM(S4,S7,S16,S38)</f>
        <v>3.6300000153481964</v>
      </c>
      <c r="T3" s="60"/>
      <c r="U3" s="59">
        <f t="shared" ref="U3" si="8">SUM(U4,U7,U16,U38)</f>
        <v>4.5150000084191557</v>
      </c>
      <c r="V3" s="60"/>
      <c r="W3" s="59">
        <f t="shared" ref="W3" si="9">SUM(W4,W7,W16,W38)</f>
        <v>3.9050000011920933</v>
      </c>
      <c r="X3" s="60"/>
      <c r="Y3" s="59">
        <f t="shared" ref="Y3" si="10">SUM(Y4,Y7,Y16,Y38)</f>
        <v>4.9300000309944156</v>
      </c>
      <c r="Z3" s="60"/>
      <c r="AA3" s="59">
        <f t="shared" ref="AA3" si="11">SUM(AA4,AA7,AA16,AA38)</f>
        <v>4.8750000581145283</v>
      </c>
      <c r="AB3" s="60"/>
      <c r="AC3" s="59">
        <f t="shared" ref="AC3" si="12">SUM(AC4,AC7,AC16,AC38)</f>
        <v>4.0700000271201136</v>
      </c>
      <c r="AD3" s="60"/>
      <c r="AE3" s="59">
        <f t="shared" ref="AE3" si="13">SUM(AE4,AE7,AE16,AE38)</f>
        <v>4.8250000134110458</v>
      </c>
      <c r="AF3" s="60"/>
      <c r="AG3" s="59">
        <f t="shared" ref="AG3" si="14">SUM(AG4,AG7,AG16,AG38)</f>
        <v>4.2700000315904614</v>
      </c>
      <c r="AH3" s="60"/>
      <c r="AI3" s="59">
        <f t="shared" ref="AI3" si="15">SUM(AI4,AI7,AI16,AI38)</f>
        <v>3.8900000229477882</v>
      </c>
      <c r="AJ3" s="60"/>
      <c r="AK3" s="59">
        <f t="shared" ref="AK3" si="16">SUM(AK4,AK7,AK16,AK38)</f>
        <v>4.6150000363588335</v>
      </c>
      <c r="AL3" s="60"/>
      <c r="AM3" s="59">
        <f t="shared" ref="AM3" si="17">SUM(AM4,AM7,AM16,AM38)</f>
        <v>4.5200000524520876</v>
      </c>
      <c r="AN3" s="60"/>
      <c r="AO3" s="59">
        <f t="shared" ref="AO3" si="18">SUM(AO4,AO7,AO16,AO38)</f>
        <v>3.9800000339746475</v>
      </c>
      <c r="AP3" s="60"/>
      <c r="AQ3" s="59">
        <f t="shared" ref="AQ3" si="19">SUM(AQ4,AQ7,AQ16,AQ38)</f>
        <v>4.8500000596046444</v>
      </c>
      <c r="AR3" s="60"/>
      <c r="AS3" s="59">
        <f t="shared" ref="AS3" si="20">SUM(AS4,AS7,AS16,AS38)</f>
        <v>4.7450000420212746</v>
      </c>
      <c r="AT3" s="60"/>
      <c r="AU3" s="59">
        <f t="shared" ref="AU3" si="21">SUM(AU4,AU7,AU16,AU38)</f>
        <v>4.2300000399351116</v>
      </c>
      <c r="AV3" s="60"/>
      <c r="AW3" s="59">
        <f t="shared" ref="AW3" si="22">SUM(AW4,AW7,AW16,AW38)</f>
        <v>4.0000000245869165</v>
      </c>
      <c r="AX3" s="60"/>
      <c r="AY3" s="59">
        <f t="shared" ref="AY3" si="23">SUM(AY4,AY7,AY16,AY38)</f>
        <v>4.020000045001507</v>
      </c>
      <c r="AZ3" s="60"/>
      <c r="BA3" s="59">
        <f t="shared" ref="BA3" si="24">SUM(BA4,BA7,BA16,BA38)</f>
        <v>3.7950000278651714</v>
      </c>
      <c r="BB3" s="60"/>
      <c r="BC3" s="59">
        <f t="shared" ref="BC3" si="25">SUM(BC4,BC7,BC16,BC38)</f>
        <v>5.3800000533461567</v>
      </c>
      <c r="BD3" s="60"/>
      <c r="BE3" s="59">
        <f t="shared" ref="BE3" si="26">SUM(BE4,BE7,BE16,BE38)</f>
        <v>3.6699999969452621</v>
      </c>
      <c r="BF3" s="60"/>
      <c r="BG3" s="59">
        <f t="shared" ref="BG3" si="27">SUM(BG4,BG7,BG16,BG38)</f>
        <v>4.2700000196695331</v>
      </c>
      <c r="BH3" s="60"/>
      <c r="BI3" s="59">
        <f t="shared" ref="BI3" si="28">SUM(BI4,BI7,BI16,BI38)</f>
        <v>3.3400000289082525</v>
      </c>
      <c r="BJ3" s="60"/>
    </row>
    <row r="4" spans="1:62" ht="38" x14ac:dyDescent="0.2">
      <c r="A4" s="6" t="s">
        <v>2</v>
      </c>
      <c r="B4" s="7">
        <f>Estructura!C2</f>
        <v>0.1</v>
      </c>
      <c r="C4" s="58" t="str">
        <f>IF(SUM($B5:$B6)&lt;&gt;0,SUM(C5:C6)/SUM($B5:$B6)*$B4*10, "")</f>
        <v/>
      </c>
      <c r="D4" s="58"/>
      <c r="E4" s="58" t="str">
        <f>IF(SUM($B5:$B6)&lt;&gt;0,SUM(E5:E6)/SUM($B5:$B6)*$B4*10, "")</f>
        <v/>
      </c>
      <c r="F4" s="58"/>
      <c r="G4" s="58" t="str">
        <f>IF(SUM($B5:$B6)&lt;&gt;0,SUM(G5:G6)/SUM($B5:$B6)*$B4*10, "")</f>
        <v/>
      </c>
      <c r="H4" s="58"/>
      <c r="I4" s="58" t="str">
        <f>IF(SUM($B5:$B6)&lt;&gt;0,SUM(I5:I6)/SUM($B5:$B6)*$B4*10, "")</f>
        <v/>
      </c>
      <c r="J4" s="58"/>
      <c r="K4" s="58" t="str">
        <f>IF(SUM($B5:$B6)&lt;&gt;0,SUM(K5:K6)/SUM($B5:$B6)*$B4*10, "")</f>
        <v/>
      </c>
      <c r="L4" s="58"/>
      <c r="M4" s="58" t="str">
        <f>IF(SUM($B5:$B6)&lt;&gt;0,SUM(M5:M6)/SUM($B5:$B6)*$B4*10, "")</f>
        <v/>
      </c>
      <c r="N4" s="58"/>
      <c r="O4" s="58" t="str">
        <f>IF(SUM($B5:$B6)&lt;&gt;0,SUM(O5:O6)/SUM($B5:$B6)*$B4*10, "")</f>
        <v/>
      </c>
      <c r="P4" s="58"/>
      <c r="Q4" s="58" t="str">
        <f>IF(SUM($B5:$B6)&lt;&gt;0,SUM(Q5:Q6)/SUM($B5:$B6)*$B4*10, "")</f>
        <v/>
      </c>
      <c r="R4" s="58"/>
      <c r="S4" s="58" t="str">
        <f>IF(SUM($B5:$B6)&lt;&gt;0,SUM(S5:S6)/SUM($B5:$B6)*$B4*10, "")</f>
        <v/>
      </c>
      <c r="T4" s="58"/>
      <c r="U4" s="58" t="str">
        <f>IF(SUM($B5:$B6)&lt;&gt;0,SUM(U5:U6)/SUM($B5:$B6)*$B4*10, "")</f>
        <v/>
      </c>
      <c r="V4" s="58"/>
      <c r="W4" s="58" t="str">
        <f>IF(SUM($B5:$B6)&lt;&gt;0,SUM(W5:W6)/SUM($B5:$B6)*$B4*10, "")</f>
        <v/>
      </c>
      <c r="X4" s="58"/>
      <c r="Y4" s="58" t="str">
        <f>IF(SUM($B5:$B6)&lt;&gt;0,SUM(Y5:Y6)/SUM($B5:$B6)*$B4*10, "")</f>
        <v/>
      </c>
      <c r="Z4" s="58"/>
      <c r="AA4" s="58" t="str">
        <f>IF(SUM($B5:$B6)&lt;&gt;0,SUM(AA5:AA6)/SUM($B5:$B6)*$B4*10, "")</f>
        <v/>
      </c>
      <c r="AB4" s="58"/>
      <c r="AC4" s="58" t="str">
        <f>IF(SUM($B5:$B6)&lt;&gt;0,SUM(AC5:AC6)/SUM($B5:$B6)*$B4*10, "")</f>
        <v/>
      </c>
      <c r="AD4" s="58"/>
      <c r="AE4" s="58" t="str">
        <f>IF(SUM($B5:$B6)&lt;&gt;0,SUM(AE5:AE6)/SUM($B5:$B6)*$B4*10, "")</f>
        <v/>
      </c>
      <c r="AF4" s="58"/>
      <c r="AG4" s="58" t="str">
        <f>IF(SUM($B5:$B6)&lt;&gt;0,SUM(AG5:AG6)/SUM($B5:$B6)*$B4*10, "")</f>
        <v/>
      </c>
      <c r="AH4" s="58"/>
      <c r="AI4" s="58" t="str">
        <f>IF(SUM($B5:$B6)&lt;&gt;0,SUM(AI5:AI6)/SUM($B5:$B6)*$B4*10, "")</f>
        <v/>
      </c>
      <c r="AJ4" s="58"/>
      <c r="AK4" s="58" t="str">
        <f>IF(SUM($B5:$B6)&lt;&gt;0,SUM(AK5:AK6)/SUM($B5:$B6)*$B4*10, "")</f>
        <v/>
      </c>
      <c r="AL4" s="58"/>
      <c r="AM4" s="58" t="str">
        <f>IF(SUM($B5:$B6)&lt;&gt;0,SUM(AM5:AM6)/SUM($B5:$B6)*$B4*10, "")</f>
        <v/>
      </c>
      <c r="AN4" s="58"/>
      <c r="AO4" s="58" t="str">
        <f>IF(SUM($B5:$B6)&lt;&gt;0,SUM(AO5:AO6)/SUM($B5:$B6)*$B4*10, "")</f>
        <v/>
      </c>
      <c r="AP4" s="58"/>
      <c r="AQ4" s="58" t="str">
        <f>IF(SUM($B5:$B6)&lt;&gt;0,SUM(AQ5:AQ6)/SUM($B5:$B6)*$B4*10, "")</f>
        <v/>
      </c>
      <c r="AR4" s="58"/>
      <c r="AS4" s="58" t="str">
        <f>IF(SUM($B5:$B6)&lt;&gt;0,SUM(AS5:AS6)/SUM($B5:$B6)*$B4*10, "")</f>
        <v/>
      </c>
      <c r="AT4" s="58"/>
      <c r="AU4" s="58" t="str">
        <f>IF(SUM($B5:$B6)&lt;&gt;0,SUM(AU5:AU6)/SUM($B5:$B6)*$B4*10, "")</f>
        <v/>
      </c>
      <c r="AV4" s="58"/>
      <c r="AW4" s="58" t="str">
        <f>IF(SUM($B5:$B6)&lt;&gt;0,SUM(AW5:AW6)/SUM($B5:$B6)*$B4*10, "")</f>
        <v/>
      </c>
      <c r="AX4" s="58"/>
      <c r="AY4" s="58" t="str">
        <f>IF(SUM($B5:$B6)&lt;&gt;0,SUM(AY5:AY6)/SUM($B5:$B6)*$B4*10, "")</f>
        <v/>
      </c>
      <c r="AZ4" s="58"/>
      <c r="BA4" s="58" t="str">
        <f>IF(SUM($B5:$B6)&lt;&gt;0,SUM(BA5:BA6)/SUM($B5:$B6)*$B4*10, "")</f>
        <v/>
      </c>
      <c r="BB4" s="58"/>
      <c r="BC4" s="58" t="str">
        <f>IF(SUM($B5:$B6)&lt;&gt;0,SUM(BC5:BC6)/SUM($B5:$B6)*$B4*10, "")</f>
        <v/>
      </c>
      <c r="BD4" s="58"/>
      <c r="BE4" s="58" t="str">
        <f>IF(SUM($B5:$B6)&lt;&gt;0,SUM(BE5:BE6)/SUM($B5:$B6)*$B4*10, "")</f>
        <v/>
      </c>
      <c r="BF4" s="58"/>
      <c r="BG4" s="58" t="str">
        <f>IF(SUM($B5:$B6)&lt;&gt;0,SUM(BG5:BG6)/SUM($B5:$B6)*$B4*10, "")</f>
        <v/>
      </c>
      <c r="BH4" s="58"/>
      <c r="BI4" s="58" t="str">
        <f>IF(SUM($B5:$B6)&lt;&gt;0,SUM(BI5:BI6)/SUM($B5:$B6)*$B4*10, "")</f>
        <v/>
      </c>
      <c r="BJ4" s="58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Estructura!C3</f>
        <v>0.2</v>
      </c>
      <c r="C7" s="58">
        <f>IF(SUM($B8:$B15)&lt;&gt;0,SUM(C8:C15)/SUM($B8:$B15)*$B7*10, "")</f>
        <v>0.99999998807907109</v>
      </c>
      <c r="D7" s="58"/>
      <c r="E7" s="58">
        <f>IF(SUM($B8:$B15)&lt;&gt;0,SUM(E8:E15)/SUM($B8:$B15)*$B7*10, "")</f>
        <v>0.95999999344348907</v>
      </c>
      <c r="F7" s="58"/>
      <c r="G7" s="58">
        <f>IF(SUM($B8:$B15)&lt;&gt;0,SUM(G8:G15)/SUM($B8:$B15)*$B7*10, "")</f>
        <v>1.0000000238418578</v>
      </c>
      <c r="H7" s="58"/>
      <c r="I7" s="58">
        <f>IF(SUM($B8:$B15)&lt;&gt;0,SUM(I8:I15)/SUM($B8:$B15)*$B7*10, "")</f>
        <v>0.84000001251697543</v>
      </c>
      <c r="J7" s="58"/>
      <c r="K7" s="58">
        <f>IF(SUM($B8:$B15)&lt;&gt;0,SUM(K8:K15)/SUM($B8:$B15)*$B7*10, "")</f>
        <v>0.8400000154972076</v>
      </c>
      <c r="L7" s="58"/>
      <c r="M7" s="58">
        <f>IF(SUM($B8:$B15)&lt;&gt;0,SUM(M8:M15)/SUM($B8:$B15)*$B7*10, "")</f>
        <v>0.68000000715255737</v>
      </c>
      <c r="N7" s="58"/>
      <c r="O7" s="58">
        <f>IF(SUM($B8:$B15)&lt;&gt;0,SUM(O8:O15)/SUM($B8:$B15)*$B7*10, "")</f>
        <v>0.71999999284744265</v>
      </c>
      <c r="P7" s="58"/>
      <c r="Q7" s="58">
        <f>IF(SUM($B8:$B15)&lt;&gt;0,SUM(Q8:Q15)/SUM($B8:$B15)*$B7*10, "")</f>
        <v>1.5600000143051149</v>
      </c>
      <c r="R7" s="58"/>
      <c r="S7" s="58">
        <f>IF(SUM($B8:$B15)&lt;&gt;0,SUM(S8:S15)/SUM($B8:$B15)*$B7*10, "")</f>
        <v>0.7599999964237214</v>
      </c>
      <c r="T7" s="58"/>
      <c r="U7" s="58">
        <f>IF(SUM($B8:$B15)&lt;&gt;0,SUM(U8:U15)/SUM($B8:$B15)*$B7*10, "")</f>
        <v>0.83999999761581434</v>
      </c>
      <c r="V7" s="58"/>
      <c r="W7" s="58">
        <f>IF(SUM($B8:$B15)&lt;&gt;0,SUM(W8:W15)/SUM($B8:$B15)*$B7*10, "")</f>
        <v>0.6399999946355821</v>
      </c>
      <c r="X7" s="58"/>
      <c r="Y7" s="58">
        <f>IF(SUM($B8:$B15)&lt;&gt;0,SUM(Y8:Y15)/SUM($B8:$B15)*$B7*10, "")</f>
        <v>1.119999998807907</v>
      </c>
      <c r="Z7" s="58"/>
      <c r="AA7" s="58">
        <f>IF(SUM($B8:$B15)&lt;&gt;0,SUM(AA8:AA15)/SUM($B8:$B15)*$B7*10, "")</f>
        <v>1.159999993443489</v>
      </c>
      <c r="AB7" s="58"/>
      <c r="AC7" s="58">
        <f>IF(SUM($B8:$B15)&lt;&gt;0,SUM(AC8:AC15)/SUM($B8:$B15)*$B7*10, "")</f>
        <v>0.80000001192092896</v>
      </c>
      <c r="AD7" s="58"/>
      <c r="AE7" s="58">
        <f>IF(SUM($B8:$B15)&lt;&gt;0,SUM(AE8:AE15)/SUM($B8:$B15)*$B7*10, "")</f>
        <v>0.64000001847744004</v>
      </c>
      <c r="AF7" s="58"/>
      <c r="AG7" s="58">
        <f>IF(SUM($B8:$B15)&lt;&gt;0,SUM(AG8:AG15)/SUM($B8:$B15)*$B7*10, "")</f>
        <v>1.3600000053644181</v>
      </c>
      <c r="AH7" s="58"/>
      <c r="AI7" s="58">
        <f>IF(SUM($B8:$B15)&lt;&gt;0,SUM(AI8:AI15)/SUM($B8:$B15)*$B7*10, "")</f>
        <v>1.2400000005960465</v>
      </c>
      <c r="AJ7" s="58"/>
      <c r="AK7" s="58">
        <f>IF(SUM($B8:$B15)&lt;&gt;0,SUM(AK8:AK15)/SUM($B8:$B15)*$B7*10, "")</f>
        <v>0.80000001490116124</v>
      </c>
      <c r="AL7" s="58"/>
      <c r="AM7" s="58">
        <f>IF(SUM($B8:$B15)&lt;&gt;0,SUM(AM8:AM15)/SUM($B8:$B15)*$B7*10, "")</f>
        <v>1.0800000071525573</v>
      </c>
      <c r="AN7" s="58"/>
      <c r="AO7" s="58">
        <f>IF(SUM($B8:$B15)&lt;&gt;0,SUM(AO8:AO15)/SUM($B8:$B15)*$B7*10, "")</f>
        <v>0.80000000298023233</v>
      </c>
      <c r="AP7" s="58"/>
      <c r="AQ7" s="58">
        <f>IF(SUM($B8:$B15)&lt;&gt;0,SUM(AQ8:AQ15)/SUM($B8:$B15)*$B7*10, "")</f>
        <v>0.92000001668930065</v>
      </c>
      <c r="AR7" s="58"/>
      <c r="AS7" s="58">
        <f>IF(SUM($B8:$B15)&lt;&gt;0,SUM(AS8:AS15)/SUM($B8:$B15)*$B7*10, "")</f>
        <v>1.1200000047683716</v>
      </c>
      <c r="AT7" s="58"/>
      <c r="AU7" s="58">
        <f>IF(SUM($B8:$B15)&lt;&gt;0,SUM(AU8:AU15)/SUM($B8:$B15)*$B7*10, "")</f>
        <v>0.76000000536441803</v>
      </c>
      <c r="AV7" s="58"/>
      <c r="AW7" s="58">
        <f>IF(SUM($B8:$B15)&lt;&gt;0,SUM(AW8:AW15)/SUM($B8:$B15)*$B7*10, "")</f>
        <v>1.4000000059604645</v>
      </c>
      <c r="AX7" s="58"/>
      <c r="AY7" s="58">
        <f>IF(SUM($B8:$B15)&lt;&gt;0,SUM(AY8:AY15)/SUM($B8:$B15)*$B7*10, "")</f>
        <v>0.92000000476837163</v>
      </c>
      <c r="AZ7" s="58"/>
      <c r="BA7" s="58">
        <f>IF(SUM($B8:$B15)&lt;&gt;0,SUM(BA8:BA15)/SUM($B8:$B15)*$B7*10, "")</f>
        <v>0.84000001251697543</v>
      </c>
      <c r="BB7" s="58"/>
      <c r="BC7" s="58">
        <f>IF(SUM($B8:$B15)&lt;&gt;0,SUM(BC8:BC15)/SUM($B8:$B15)*$B7*10, "")</f>
        <v>1.240000033378601</v>
      </c>
      <c r="BD7" s="58"/>
      <c r="BE7" s="58">
        <f>IF(SUM($B8:$B15)&lt;&gt;0,SUM(BE8:BE15)/SUM($B8:$B15)*$B7*10, "")</f>
        <v>0.87999998927116407</v>
      </c>
      <c r="BF7" s="58"/>
      <c r="BG7" s="58">
        <f>IF(SUM($B8:$B15)&lt;&gt;0,SUM(BG8:BG15)/SUM($B8:$B15)*$B7*10, "")</f>
        <v>0.79999999701976787</v>
      </c>
      <c r="BH7" s="58"/>
      <c r="BI7" s="58">
        <f>IF(SUM($B8:$B15)&lt;&gt;0,SUM(BI8:BI15)/SUM($B8:$B15)*$B7*10, "")</f>
        <v>0.72000000178813939</v>
      </c>
      <c r="BJ7" s="58"/>
    </row>
    <row r="8" spans="1:62" ht="42" x14ac:dyDescent="0.2">
      <c r="A8" s="2" t="s">
        <v>10</v>
      </c>
      <c r="B8" s="13">
        <f>Recu1!B8</f>
        <v>2</v>
      </c>
      <c r="C8" s="33">
        <f>Recu1!C8</f>
        <v>1.3999999761581421</v>
      </c>
      <c r="D8" s="32">
        <f t="shared" ref="D8:D15" si="29">IF($B8,C8/$B8,-1)</f>
        <v>0.69999998807907104</v>
      </c>
      <c r="E8" s="33">
        <f>Recu1!E8</f>
        <v>1</v>
      </c>
      <c r="F8" s="32">
        <f t="shared" ref="F8:F15" si="30">IF($B8,E8/$B8,-1)</f>
        <v>0.5</v>
      </c>
      <c r="G8" s="33">
        <f>Recu1!G8</f>
        <v>1.2000000476837158</v>
      </c>
      <c r="H8" s="32">
        <f t="shared" ref="H8:H15" si="31">IF($B8,G8/$B8,-1)</f>
        <v>0.60000002384185791</v>
      </c>
      <c r="I8" s="33">
        <f>Recu1!I8</f>
        <v>0.60000002384185791</v>
      </c>
      <c r="J8" s="32">
        <f t="shared" ref="J8:J15" si="32">IF($B8,I8/$B8,-1)</f>
        <v>0.30000001192092896</v>
      </c>
      <c r="K8" s="33">
        <f>Recu1!K8</f>
        <v>0.60000002384185791</v>
      </c>
      <c r="L8" s="32">
        <f t="shared" ref="L8:L15" si="33">IF($B8,K8/$B8,-1)</f>
        <v>0.30000001192092896</v>
      </c>
      <c r="M8" s="33">
        <f>Recu1!M8</f>
        <v>1.6000000238418579</v>
      </c>
      <c r="N8" s="32">
        <f t="shared" ref="N8:N15" si="34">IF($B8,M8/$B8,-1)</f>
        <v>0.80000001192092896</v>
      </c>
      <c r="O8" s="33">
        <f>Recu1!O8</f>
        <v>0</v>
      </c>
      <c r="P8" s="32">
        <f t="shared" ref="P8:P15" si="35">IF($B8,O8/$B8,-1)</f>
        <v>0</v>
      </c>
      <c r="Q8" s="33">
        <f>Recu1!Q8</f>
        <v>1.6000000238418579</v>
      </c>
      <c r="R8" s="32">
        <f t="shared" ref="R8:R15" si="36">IF($B8,Q8/$B8,-1)</f>
        <v>0.80000001192092896</v>
      </c>
      <c r="S8" s="33">
        <f>Recu1!S8</f>
        <v>1.6000000238418579</v>
      </c>
      <c r="T8" s="32">
        <f t="shared" ref="T8:T15" si="37">IF($B8,S8/$B8,-1)</f>
        <v>0.80000001192092896</v>
      </c>
      <c r="U8" s="33">
        <f>Recu1!U8</f>
        <v>1.3999999761581421</v>
      </c>
      <c r="V8" s="32">
        <f t="shared" ref="V8:V15" si="38">IF($B8,U8/$B8,-1)</f>
        <v>0.69999998807907104</v>
      </c>
      <c r="W8" s="33">
        <f>Recu1!W8</f>
        <v>0</v>
      </c>
      <c r="X8" s="32">
        <f t="shared" ref="X8:X15" si="39">IF($B8,W8/$B8,-1)</f>
        <v>0</v>
      </c>
      <c r="Y8" s="33">
        <f>Recu1!Y8</f>
        <v>0.80000001192092896</v>
      </c>
      <c r="Z8" s="32">
        <f t="shared" ref="Z8:Z15" si="40">IF($B8,Y8/$B8,-1)</f>
        <v>0.40000000596046448</v>
      </c>
      <c r="AA8" s="33">
        <f>Recu1!AA8</f>
        <v>1.7999999523162842</v>
      </c>
      <c r="AB8" s="32">
        <f t="shared" ref="AB8:AB15" si="41">IF($B8,AA8/$B8,-1)</f>
        <v>0.89999997615814209</v>
      </c>
      <c r="AC8" s="33">
        <f>Recu1!AC8</f>
        <v>1.6000000238418579</v>
      </c>
      <c r="AD8" s="32">
        <f t="shared" ref="AD8:AD15" si="42">IF($B8,AC8/$B8,-1)</f>
        <v>0.80000001192092896</v>
      </c>
      <c r="AE8" s="33">
        <f>Recu1!AE8</f>
        <v>0.80000001192092896</v>
      </c>
      <c r="AF8" s="32">
        <f t="shared" ref="AF8:AF15" si="43">IF($B8,AE8/$B8,-1)</f>
        <v>0.40000000596046448</v>
      </c>
      <c r="AG8" s="33">
        <f>Recu1!AG8</f>
        <v>2</v>
      </c>
      <c r="AH8" s="32">
        <f t="shared" ref="AH8:AH15" si="44">IF($B8,AG8/$B8,-1)</f>
        <v>1</v>
      </c>
      <c r="AI8" s="33">
        <f>Recu1!AI8</f>
        <v>1.7999999523162842</v>
      </c>
      <c r="AJ8" s="32">
        <f t="shared" ref="AJ8:AJ15" si="45">IF($B8,AI8/$B8,-1)</f>
        <v>0.89999997615814209</v>
      </c>
      <c r="AK8" s="33">
        <f>Recu1!AK8</f>
        <v>0</v>
      </c>
      <c r="AL8" s="32">
        <f t="shared" ref="AL8:AL15" si="46">IF($B8,AK8/$B8,-1)</f>
        <v>0</v>
      </c>
      <c r="AM8" s="33">
        <f>Recu1!AM8</f>
        <v>2</v>
      </c>
      <c r="AN8" s="32">
        <f t="shared" ref="AN8:AN15" si="47">IF($B8,AM8/$B8,-1)</f>
        <v>1</v>
      </c>
      <c r="AO8" s="33">
        <f>Recu1!AO8</f>
        <v>0.80000001192092896</v>
      </c>
      <c r="AP8" s="32">
        <f t="shared" ref="AP8:AP15" si="48">IF($B8,AO8/$B8,-1)</f>
        <v>0.40000000596046448</v>
      </c>
      <c r="AQ8" s="33">
        <f>Recu1!AQ8</f>
        <v>1</v>
      </c>
      <c r="AR8" s="32">
        <f t="shared" ref="AR8:AR15" si="49">IF($B8,AQ8/$B8,-1)</f>
        <v>0.5</v>
      </c>
      <c r="AS8" s="33">
        <f>Recu1!AS8</f>
        <v>1.6000000238418579</v>
      </c>
      <c r="AT8" s="32">
        <f t="shared" ref="AT8:AT15" si="50">IF($B8,AS8/$B8,-1)</f>
        <v>0.80000001192092896</v>
      </c>
      <c r="AU8" s="33">
        <f>Recu1!AU8</f>
        <v>0</v>
      </c>
      <c r="AV8" s="32">
        <f t="shared" ref="AV8:AV15" si="51">IF($B8,AU8/$B8,-1)</f>
        <v>0</v>
      </c>
      <c r="AW8" s="33">
        <f>Recu1!AW8</f>
        <v>1.2000000476837158</v>
      </c>
      <c r="AX8" s="32">
        <f t="shared" ref="AX8:AX15" si="52">IF($B8,AW8/$B8,-1)</f>
        <v>0.60000002384185791</v>
      </c>
      <c r="AY8" s="33">
        <f>Recu1!AY8</f>
        <v>1</v>
      </c>
      <c r="AZ8" s="32">
        <f t="shared" ref="AZ8:AZ15" si="53">IF($B8,AY8/$B8,-1)</f>
        <v>0.5</v>
      </c>
      <c r="BA8" s="33">
        <f>Recu1!BA8</f>
        <v>0.60000002384185791</v>
      </c>
      <c r="BB8" s="32">
        <f t="shared" ref="BB8:BB15" si="54">IF($B8,BA8/$B8,-1)</f>
        <v>0.30000001192092896</v>
      </c>
      <c r="BC8" s="33">
        <f>Recu1!BC8</f>
        <v>1.2000000476837158</v>
      </c>
      <c r="BD8" s="32">
        <f t="shared" ref="BD8:BD15" si="55">IF($B8,BC8/$B8,-1)</f>
        <v>0.60000002384185791</v>
      </c>
      <c r="BE8" s="33">
        <f>Recu1!BE8</f>
        <v>1.3999999761581421</v>
      </c>
      <c r="BF8" s="32">
        <f t="shared" ref="BF8:BF15" si="56">IF($B8,BE8/$B8,-1)</f>
        <v>0.69999998807907104</v>
      </c>
      <c r="BG8" s="33">
        <f>Recu1!BG8</f>
        <v>0.40000000596046448</v>
      </c>
      <c r="BH8" s="32">
        <f t="shared" ref="BH8:BH15" si="57">IF($B8,BG8/$B8,-1)</f>
        <v>0.20000000298023224</v>
      </c>
      <c r="BI8" s="33">
        <f>Recu1!BI8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Recu1!B9</f>
        <v>2</v>
      </c>
      <c r="C9" s="33">
        <f>Recu1!C9</f>
        <v>1.7999999523162842</v>
      </c>
      <c r="D9" s="32">
        <f t="shared" si="29"/>
        <v>0.89999997615814209</v>
      </c>
      <c r="E9" s="33">
        <f>Recu1!E9</f>
        <v>1.7999999523162842</v>
      </c>
      <c r="F9" s="32">
        <f t="shared" si="30"/>
        <v>0.89999997615814209</v>
      </c>
      <c r="G9" s="33">
        <f>Recu1!G9</f>
        <v>1.2000000476837158</v>
      </c>
      <c r="H9" s="32">
        <f t="shared" si="31"/>
        <v>0.60000002384185791</v>
      </c>
      <c r="I9" s="33">
        <f>Recu1!I9</f>
        <v>2</v>
      </c>
      <c r="J9" s="32">
        <f t="shared" si="32"/>
        <v>1</v>
      </c>
      <c r="K9" s="33">
        <f>Recu1!K9</f>
        <v>2</v>
      </c>
      <c r="L9" s="32">
        <f t="shared" si="33"/>
        <v>1</v>
      </c>
      <c r="M9" s="33">
        <f>Recu1!M9</f>
        <v>0.40000000596046448</v>
      </c>
      <c r="N9" s="32">
        <f t="shared" si="34"/>
        <v>0.20000000298023224</v>
      </c>
      <c r="O9" s="33">
        <f>Recu1!O9</f>
        <v>1.3999999761581421</v>
      </c>
      <c r="P9" s="32">
        <f t="shared" si="35"/>
        <v>0.69999998807907104</v>
      </c>
      <c r="Q9" s="33">
        <f>Recu1!Q9</f>
        <v>2</v>
      </c>
      <c r="R9" s="32">
        <f t="shared" si="36"/>
        <v>1</v>
      </c>
      <c r="S9" s="33">
        <f>Recu1!S9</f>
        <v>0.40000000596046448</v>
      </c>
      <c r="T9" s="32">
        <f t="shared" si="37"/>
        <v>0.20000000298023224</v>
      </c>
      <c r="U9" s="33">
        <f>Recu1!U9</f>
        <v>1</v>
      </c>
      <c r="V9" s="32">
        <f t="shared" si="38"/>
        <v>0.5</v>
      </c>
      <c r="W9" s="33">
        <f>Recu1!W9</f>
        <v>0.20000000298023224</v>
      </c>
      <c r="X9" s="32">
        <f t="shared" si="39"/>
        <v>0.10000000149011612</v>
      </c>
      <c r="Y9" s="33">
        <f>Recu1!Y9</f>
        <v>2</v>
      </c>
      <c r="Z9" s="32">
        <f t="shared" si="40"/>
        <v>1</v>
      </c>
      <c r="AA9" s="33">
        <f>Recu1!AA9</f>
        <v>1.3999999761581421</v>
      </c>
      <c r="AB9" s="32">
        <f t="shared" si="41"/>
        <v>0.69999998807907104</v>
      </c>
      <c r="AC9" s="33">
        <f>Recu1!AC9</f>
        <v>0</v>
      </c>
      <c r="AD9" s="32">
        <f t="shared" si="42"/>
        <v>0</v>
      </c>
      <c r="AE9" s="33">
        <f>Recu1!AE9</f>
        <v>1.2000000476837158</v>
      </c>
      <c r="AF9" s="32">
        <f t="shared" si="43"/>
        <v>0.60000002384185791</v>
      </c>
      <c r="AG9" s="33">
        <f>Recu1!AG9</f>
        <v>0.20000000298023224</v>
      </c>
      <c r="AH9" s="32">
        <f t="shared" si="44"/>
        <v>0.10000000149011612</v>
      </c>
      <c r="AI9" s="33">
        <f>Recu1!AI9</f>
        <v>0.20000000298023224</v>
      </c>
      <c r="AJ9" s="32">
        <f t="shared" si="45"/>
        <v>0.10000000149011612</v>
      </c>
      <c r="AK9" s="33">
        <f>Recu1!AK9</f>
        <v>1.6000000238418579</v>
      </c>
      <c r="AL9" s="32">
        <f t="shared" si="46"/>
        <v>0.80000001192092896</v>
      </c>
      <c r="AM9" s="33">
        <f>Recu1!AM9</f>
        <v>0.60000002384185791</v>
      </c>
      <c r="AN9" s="32">
        <f t="shared" si="47"/>
        <v>0.30000001192092896</v>
      </c>
      <c r="AO9" s="33">
        <f>Recu1!AO9</f>
        <v>0</v>
      </c>
      <c r="AP9" s="32">
        <f t="shared" si="48"/>
        <v>0</v>
      </c>
      <c r="AQ9" s="33">
        <f>Recu1!AQ9</f>
        <v>0.60000002384185791</v>
      </c>
      <c r="AR9" s="32">
        <f t="shared" si="49"/>
        <v>0.30000001192092896</v>
      </c>
      <c r="AS9" s="33">
        <f>Recu1!AS9</f>
        <v>0.80000001192092896</v>
      </c>
      <c r="AT9" s="32">
        <f t="shared" si="50"/>
        <v>0.40000000596046448</v>
      </c>
      <c r="AU9" s="33">
        <f>Recu1!AU9</f>
        <v>0.60000002384185791</v>
      </c>
      <c r="AV9" s="32">
        <f t="shared" si="51"/>
        <v>0.30000001192092896</v>
      </c>
      <c r="AW9" s="33">
        <f>Recu1!AW9</f>
        <v>2</v>
      </c>
      <c r="AX9" s="32">
        <f t="shared" si="52"/>
        <v>1</v>
      </c>
      <c r="AY9" s="33">
        <f>Recu1!AY9</f>
        <v>2</v>
      </c>
      <c r="AZ9" s="32">
        <f t="shared" si="53"/>
        <v>1</v>
      </c>
      <c r="BA9" s="33">
        <f>Recu1!BA9</f>
        <v>0.80000001192092896</v>
      </c>
      <c r="BB9" s="32">
        <f t="shared" si="54"/>
        <v>0.40000000596046448</v>
      </c>
      <c r="BC9" s="33">
        <f>Recu1!BC9</f>
        <v>0.60000002384185791</v>
      </c>
      <c r="BD9" s="32">
        <f t="shared" si="55"/>
        <v>0.30000001192092896</v>
      </c>
      <c r="BE9" s="33">
        <f>Recu1!BE9</f>
        <v>0.20000000298023224</v>
      </c>
      <c r="BF9" s="32">
        <f t="shared" si="56"/>
        <v>0.10000000149011612</v>
      </c>
      <c r="BG9" s="33">
        <f>Recu1!BG9</f>
        <v>0.20000000298023224</v>
      </c>
      <c r="BH9" s="32">
        <f t="shared" si="57"/>
        <v>0.10000000149011612</v>
      </c>
      <c r="BI9" s="33">
        <f>Recu1!BI9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Recu1!B10</f>
        <v>2</v>
      </c>
      <c r="C10" s="33">
        <f>Recu1!C10</f>
        <v>0.80000001192092896</v>
      </c>
      <c r="D10" s="32">
        <f t="shared" si="29"/>
        <v>0.40000000596046448</v>
      </c>
      <c r="E10" s="33">
        <f>Recu1!E10</f>
        <v>0.80000001192092896</v>
      </c>
      <c r="F10" s="32">
        <f t="shared" si="30"/>
        <v>0.40000000596046448</v>
      </c>
      <c r="G10" s="33">
        <f>Recu1!G10</f>
        <v>1.3999999761581421</v>
      </c>
      <c r="H10" s="32">
        <f t="shared" si="31"/>
        <v>0.69999998807907104</v>
      </c>
      <c r="I10" s="33">
        <f>Recu1!I10</f>
        <v>0.60000002384185791</v>
      </c>
      <c r="J10" s="32">
        <f t="shared" si="32"/>
        <v>0.30000001192092896</v>
      </c>
      <c r="K10" s="33">
        <f>Recu1!K10</f>
        <v>1.2000000476837158</v>
      </c>
      <c r="L10" s="32">
        <f t="shared" si="33"/>
        <v>0.60000002384185791</v>
      </c>
      <c r="M10" s="33">
        <f>Recu1!M10</f>
        <v>0.40000000596046448</v>
      </c>
      <c r="N10" s="32">
        <f t="shared" si="34"/>
        <v>0.20000000298023224</v>
      </c>
      <c r="O10" s="33">
        <f>Recu1!O10</f>
        <v>0.40000000596046448</v>
      </c>
      <c r="P10" s="32">
        <f t="shared" si="35"/>
        <v>0.20000000298023224</v>
      </c>
      <c r="Q10" s="33">
        <f>Recu1!Q10</f>
        <v>1.2000000476837158</v>
      </c>
      <c r="R10" s="32">
        <f t="shared" si="36"/>
        <v>0.60000002384185791</v>
      </c>
      <c r="S10" s="33">
        <f>Recu1!S10</f>
        <v>0</v>
      </c>
      <c r="T10" s="32">
        <f t="shared" si="37"/>
        <v>0</v>
      </c>
      <c r="U10" s="33">
        <f>Recu1!U10</f>
        <v>1</v>
      </c>
      <c r="V10" s="32">
        <f t="shared" si="38"/>
        <v>0.5</v>
      </c>
      <c r="W10" s="33">
        <f>Recu1!W10</f>
        <v>1.7999999523162842</v>
      </c>
      <c r="X10" s="32">
        <f t="shared" si="39"/>
        <v>0.89999997615814209</v>
      </c>
      <c r="Y10" s="33">
        <f>Recu1!Y10</f>
        <v>0.40000000596046448</v>
      </c>
      <c r="Z10" s="32">
        <f t="shared" si="40"/>
        <v>0.20000000298023224</v>
      </c>
      <c r="AA10" s="33">
        <f>Recu1!AA10</f>
        <v>1.6000000238418579</v>
      </c>
      <c r="AB10" s="32">
        <f t="shared" si="41"/>
        <v>0.80000001192092896</v>
      </c>
      <c r="AC10" s="33">
        <f>Recu1!AC10</f>
        <v>0.80000001192092896</v>
      </c>
      <c r="AD10" s="32">
        <f t="shared" si="42"/>
        <v>0.40000000596046448</v>
      </c>
      <c r="AE10" s="33">
        <f>Recu1!AE10</f>
        <v>0.60000002384185791</v>
      </c>
      <c r="AF10" s="32">
        <f t="shared" si="43"/>
        <v>0.30000001192092896</v>
      </c>
      <c r="AG10" s="33">
        <f>Recu1!AG10</f>
        <v>2</v>
      </c>
      <c r="AH10" s="32">
        <f t="shared" si="44"/>
        <v>1</v>
      </c>
      <c r="AI10" s="33">
        <f>Recu1!AI10</f>
        <v>1.2000000476837158</v>
      </c>
      <c r="AJ10" s="32">
        <f t="shared" si="45"/>
        <v>0.60000002384185791</v>
      </c>
      <c r="AK10" s="33">
        <f>Recu1!AK10</f>
        <v>1.2000000476837158</v>
      </c>
      <c r="AL10" s="32">
        <f t="shared" si="46"/>
        <v>0.60000002384185791</v>
      </c>
      <c r="AM10" s="33">
        <f>Recu1!AM10</f>
        <v>0.80000001192092896</v>
      </c>
      <c r="AN10" s="32">
        <f t="shared" si="47"/>
        <v>0.40000000596046448</v>
      </c>
      <c r="AO10" s="33">
        <f>Recu1!AO10</f>
        <v>0.20000000298023224</v>
      </c>
      <c r="AP10" s="32">
        <f t="shared" si="48"/>
        <v>0.10000000149011612</v>
      </c>
      <c r="AQ10" s="33">
        <f>Recu1!AQ10</f>
        <v>1.2000000476837158</v>
      </c>
      <c r="AR10" s="32">
        <f t="shared" si="49"/>
        <v>0.60000002384185791</v>
      </c>
      <c r="AS10" s="33">
        <f>Recu1!AS10</f>
        <v>1.3999999761581421</v>
      </c>
      <c r="AT10" s="32">
        <f t="shared" si="50"/>
        <v>0.69999998807907104</v>
      </c>
      <c r="AU10" s="33">
        <f>Recu1!AU10</f>
        <v>2</v>
      </c>
      <c r="AV10" s="32">
        <f t="shared" si="51"/>
        <v>1</v>
      </c>
      <c r="AW10" s="33">
        <f>Recu1!AW10</f>
        <v>1.7999999523162842</v>
      </c>
      <c r="AX10" s="32">
        <f t="shared" si="52"/>
        <v>0.89999997615814209</v>
      </c>
      <c r="AY10" s="33">
        <f>Recu1!AY10</f>
        <v>0</v>
      </c>
      <c r="AZ10" s="32">
        <f t="shared" si="53"/>
        <v>0</v>
      </c>
      <c r="BA10" s="33">
        <f>Recu1!BA10</f>
        <v>1</v>
      </c>
      <c r="BB10" s="32">
        <f t="shared" si="54"/>
        <v>0.5</v>
      </c>
      <c r="BC10" s="33">
        <f>Recu1!BC10</f>
        <v>2</v>
      </c>
      <c r="BD10" s="32">
        <f t="shared" si="55"/>
        <v>1</v>
      </c>
      <c r="BE10" s="33">
        <f>Recu1!BE10</f>
        <v>0.80000001192092896</v>
      </c>
      <c r="BF10" s="32">
        <f t="shared" si="56"/>
        <v>0.40000000596046448</v>
      </c>
      <c r="BG10" s="33">
        <f>Recu1!BG10</f>
        <v>1.3999999761581421</v>
      </c>
      <c r="BH10" s="32">
        <f t="shared" si="57"/>
        <v>0.69999998807907104</v>
      </c>
      <c r="BI10" s="33">
        <f>Recu1!BI10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Recu1!B11</f>
        <v>0</v>
      </c>
      <c r="C11" s="33">
        <f>Recu1!C11</f>
        <v>0</v>
      </c>
      <c r="D11" s="32">
        <f t="shared" si="29"/>
        <v>-1</v>
      </c>
      <c r="E11" s="33">
        <f>Recu1!E11</f>
        <v>0</v>
      </c>
      <c r="F11" s="32">
        <f t="shared" si="30"/>
        <v>-1</v>
      </c>
      <c r="G11" s="33">
        <f>Recu1!G11</f>
        <v>0</v>
      </c>
      <c r="H11" s="32">
        <f t="shared" si="31"/>
        <v>-1</v>
      </c>
      <c r="I11" s="33">
        <f>Recu1!I11</f>
        <v>0</v>
      </c>
      <c r="J11" s="32">
        <f t="shared" si="32"/>
        <v>-1</v>
      </c>
      <c r="K11" s="33">
        <f>Recu1!K11</f>
        <v>0</v>
      </c>
      <c r="L11" s="32">
        <f t="shared" si="33"/>
        <v>-1</v>
      </c>
      <c r="M11" s="33">
        <f>Recu1!M11</f>
        <v>0</v>
      </c>
      <c r="N11" s="32">
        <f t="shared" si="34"/>
        <v>-1</v>
      </c>
      <c r="O11" s="33">
        <f>Recu1!O11</f>
        <v>0</v>
      </c>
      <c r="P11" s="32">
        <f t="shared" si="35"/>
        <v>-1</v>
      </c>
      <c r="Q11" s="33">
        <f>Recu1!Q11</f>
        <v>0</v>
      </c>
      <c r="R11" s="32">
        <f t="shared" si="36"/>
        <v>-1</v>
      </c>
      <c r="S11" s="33">
        <f>Recu1!S11</f>
        <v>0</v>
      </c>
      <c r="T11" s="32">
        <f t="shared" si="37"/>
        <v>-1</v>
      </c>
      <c r="U11" s="33">
        <f>Recu1!U11</f>
        <v>0</v>
      </c>
      <c r="V11" s="32">
        <f t="shared" si="38"/>
        <v>-1</v>
      </c>
      <c r="W11" s="33">
        <f>Recu1!W11</f>
        <v>0</v>
      </c>
      <c r="X11" s="32">
        <f t="shared" si="39"/>
        <v>-1</v>
      </c>
      <c r="Y11" s="33">
        <f>Recu1!Y11</f>
        <v>0</v>
      </c>
      <c r="Z11" s="32">
        <f t="shared" si="40"/>
        <v>-1</v>
      </c>
      <c r="AA11" s="33">
        <f>Recu1!AA11</f>
        <v>0</v>
      </c>
      <c r="AB11" s="32">
        <f t="shared" si="41"/>
        <v>-1</v>
      </c>
      <c r="AC11" s="33">
        <f>Recu1!AC11</f>
        <v>0</v>
      </c>
      <c r="AD11" s="32">
        <f t="shared" si="42"/>
        <v>-1</v>
      </c>
      <c r="AE11" s="33">
        <f>Recu1!AE11</f>
        <v>0</v>
      </c>
      <c r="AF11" s="32">
        <f t="shared" si="43"/>
        <v>-1</v>
      </c>
      <c r="AG11" s="33">
        <f>Recu1!AG11</f>
        <v>0</v>
      </c>
      <c r="AH11" s="32">
        <f t="shared" si="44"/>
        <v>-1</v>
      </c>
      <c r="AI11" s="33">
        <f>Recu1!AI11</f>
        <v>0</v>
      </c>
      <c r="AJ11" s="32">
        <f t="shared" si="45"/>
        <v>-1</v>
      </c>
      <c r="AK11" s="33">
        <f>Recu1!AK11</f>
        <v>0</v>
      </c>
      <c r="AL11" s="32">
        <f t="shared" si="46"/>
        <v>-1</v>
      </c>
      <c r="AM11" s="33">
        <f>Recu1!AM11</f>
        <v>0</v>
      </c>
      <c r="AN11" s="32">
        <f t="shared" si="47"/>
        <v>-1</v>
      </c>
      <c r="AO11" s="33">
        <f>Recu1!AO11</f>
        <v>0</v>
      </c>
      <c r="AP11" s="32">
        <f t="shared" si="48"/>
        <v>-1</v>
      </c>
      <c r="AQ11" s="33">
        <f>Recu1!AQ11</f>
        <v>0</v>
      </c>
      <c r="AR11" s="32">
        <f t="shared" si="49"/>
        <v>-1</v>
      </c>
      <c r="AS11" s="33">
        <f>Recu1!AS11</f>
        <v>0</v>
      </c>
      <c r="AT11" s="32">
        <f t="shared" si="50"/>
        <v>-1</v>
      </c>
      <c r="AU11" s="33">
        <f>Recu1!AU11</f>
        <v>0</v>
      </c>
      <c r="AV11" s="32">
        <f t="shared" si="51"/>
        <v>-1</v>
      </c>
      <c r="AW11" s="33">
        <f>Recu1!AW11</f>
        <v>0</v>
      </c>
      <c r="AX11" s="32">
        <f t="shared" si="52"/>
        <v>-1</v>
      </c>
      <c r="AY11" s="33">
        <f>Recu1!AY11</f>
        <v>0</v>
      </c>
      <c r="AZ11" s="32">
        <f t="shared" si="53"/>
        <v>-1</v>
      </c>
      <c r="BA11" s="33">
        <f>Recu1!BA11</f>
        <v>0</v>
      </c>
      <c r="BB11" s="32">
        <f t="shared" si="54"/>
        <v>-1</v>
      </c>
      <c r="BC11" s="33">
        <f>Recu1!BC11</f>
        <v>0</v>
      </c>
      <c r="BD11" s="32">
        <f t="shared" si="55"/>
        <v>-1</v>
      </c>
      <c r="BE11" s="33">
        <f>Recu1!BE11</f>
        <v>0</v>
      </c>
      <c r="BF11" s="32">
        <f t="shared" si="56"/>
        <v>-1</v>
      </c>
      <c r="BG11" s="33">
        <f>Recu1!BG11</f>
        <v>0</v>
      </c>
      <c r="BH11" s="32">
        <f t="shared" si="57"/>
        <v>-1</v>
      </c>
      <c r="BI11" s="33">
        <f>Recu1!BI11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Recu1!B12</f>
        <v>2</v>
      </c>
      <c r="C12" s="33">
        <f>Recu1!C12</f>
        <v>1</v>
      </c>
      <c r="D12" s="32">
        <f t="shared" si="29"/>
        <v>0.5</v>
      </c>
      <c r="E12" s="33">
        <f>Recu1!E12</f>
        <v>1</v>
      </c>
      <c r="F12" s="32">
        <f t="shared" si="30"/>
        <v>0.5</v>
      </c>
      <c r="G12" s="33">
        <f>Recu1!G12</f>
        <v>0.60000002384185791</v>
      </c>
      <c r="H12" s="32">
        <f t="shared" si="31"/>
        <v>0.30000001192092896</v>
      </c>
      <c r="I12" s="33">
        <f>Recu1!I12</f>
        <v>0.80000001192092896</v>
      </c>
      <c r="J12" s="32">
        <f t="shared" si="32"/>
        <v>0.40000000596046448</v>
      </c>
      <c r="K12" s="33">
        <f>Recu1!K12</f>
        <v>0.40000000596046448</v>
      </c>
      <c r="L12" s="32">
        <f t="shared" si="33"/>
        <v>0.20000000298023224</v>
      </c>
      <c r="M12" s="33">
        <f>Recu1!M12</f>
        <v>0</v>
      </c>
      <c r="N12" s="32">
        <f t="shared" si="34"/>
        <v>0</v>
      </c>
      <c r="O12" s="33">
        <f>Recu1!O12</f>
        <v>0.40000000596046448</v>
      </c>
      <c r="P12" s="32">
        <f t="shared" si="35"/>
        <v>0.20000000298023224</v>
      </c>
      <c r="Q12" s="33">
        <f>Recu1!Q12</f>
        <v>2</v>
      </c>
      <c r="R12" s="32">
        <f t="shared" si="36"/>
        <v>1</v>
      </c>
      <c r="S12" s="33">
        <f>Recu1!S12</f>
        <v>0</v>
      </c>
      <c r="T12" s="32">
        <f t="shared" si="37"/>
        <v>0</v>
      </c>
      <c r="U12" s="33">
        <f>Recu1!U12</f>
        <v>0.80000001192092896</v>
      </c>
      <c r="V12" s="32">
        <f t="shared" si="38"/>
        <v>0.40000000596046448</v>
      </c>
      <c r="W12" s="33">
        <f>Recu1!W12</f>
        <v>0.80000001192092896</v>
      </c>
      <c r="X12" s="32">
        <f t="shared" si="39"/>
        <v>0.40000000596046448</v>
      </c>
      <c r="Y12" s="33">
        <f>Recu1!Y12</f>
        <v>1</v>
      </c>
      <c r="Z12" s="32">
        <f t="shared" si="40"/>
        <v>0.5</v>
      </c>
      <c r="AA12" s="33">
        <f>Recu1!AA12</f>
        <v>0.20000000298023224</v>
      </c>
      <c r="AB12" s="32">
        <f t="shared" si="41"/>
        <v>0.10000000149011612</v>
      </c>
      <c r="AC12" s="33">
        <f>Recu1!AC12</f>
        <v>1</v>
      </c>
      <c r="AD12" s="32">
        <f t="shared" si="42"/>
        <v>0.5</v>
      </c>
      <c r="AE12" s="33">
        <f>Recu1!AE12</f>
        <v>0.40000000596046448</v>
      </c>
      <c r="AF12" s="32">
        <f t="shared" si="43"/>
        <v>0.20000000298023224</v>
      </c>
      <c r="AG12" s="33">
        <f>Recu1!AG12</f>
        <v>1.2000000476837158</v>
      </c>
      <c r="AH12" s="32">
        <f t="shared" si="44"/>
        <v>0.60000002384185791</v>
      </c>
      <c r="AI12" s="33">
        <f>Recu1!AI12</f>
        <v>1</v>
      </c>
      <c r="AJ12" s="32">
        <f t="shared" si="45"/>
        <v>0.5</v>
      </c>
      <c r="AK12" s="33">
        <f>Recu1!AK12</f>
        <v>0.20000000298023224</v>
      </c>
      <c r="AL12" s="32">
        <f t="shared" si="46"/>
        <v>0.10000000149011612</v>
      </c>
      <c r="AM12" s="33">
        <f>Recu1!AM12</f>
        <v>2</v>
      </c>
      <c r="AN12" s="32">
        <f t="shared" si="47"/>
        <v>1</v>
      </c>
      <c r="AO12" s="33">
        <f>Recu1!AO12</f>
        <v>1.3999999761581421</v>
      </c>
      <c r="AP12" s="32">
        <f t="shared" si="48"/>
        <v>0.69999998807907104</v>
      </c>
      <c r="AQ12" s="33">
        <f>Recu1!AQ12</f>
        <v>1</v>
      </c>
      <c r="AR12" s="32">
        <f t="shared" si="49"/>
        <v>0.5</v>
      </c>
      <c r="AS12" s="33">
        <f>Recu1!AS12</f>
        <v>0.80000001192092896</v>
      </c>
      <c r="AT12" s="32">
        <f t="shared" si="50"/>
        <v>0.40000000596046448</v>
      </c>
      <c r="AU12" s="33">
        <f>Recu1!AU12</f>
        <v>0.20000000298023224</v>
      </c>
      <c r="AV12" s="32">
        <f t="shared" si="51"/>
        <v>0.10000000149011612</v>
      </c>
      <c r="AW12" s="33">
        <f>Recu1!AW12</f>
        <v>1.6000000238418579</v>
      </c>
      <c r="AX12" s="32">
        <f t="shared" si="52"/>
        <v>0.80000001192092896</v>
      </c>
      <c r="AY12" s="33">
        <f>Recu1!AY12</f>
        <v>1</v>
      </c>
      <c r="AZ12" s="32">
        <f t="shared" si="53"/>
        <v>0.5</v>
      </c>
      <c r="BA12" s="33">
        <f>Recu1!BA12</f>
        <v>1.6000000238418579</v>
      </c>
      <c r="BB12" s="32">
        <f t="shared" si="54"/>
        <v>0.80000001192092896</v>
      </c>
      <c r="BC12" s="33">
        <f>Recu1!BC12</f>
        <v>1.2000000476837158</v>
      </c>
      <c r="BD12" s="32">
        <f t="shared" si="55"/>
        <v>0.60000002384185791</v>
      </c>
      <c r="BE12" s="33">
        <f>Recu1!BE12</f>
        <v>1.7999999523162842</v>
      </c>
      <c r="BF12" s="32">
        <f t="shared" si="56"/>
        <v>0.89999997615814209</v>
      </c>
      <c r="BG12" s="33">
        <f>Recu1!BG12</f>
        <v>0</v>
      </c>
      <c r="BH12" s="32">
        <f t="shared" si="57"/>
        <v>0</v>
      </c>
      <c r="BI12" s="33">
        <f>Recu1!BI12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Recu1!B13</f>
        <v>2</v>
      </c>
      <c r="C13" s="33">
        <f>Recu1!C13</f>
        <v>0</v>
      </c>
      <c r="D13" s="32">
        <f t="shared" si="29"/>
        <v>0</v>
      </c>
      <c r="E13" s="33">
        <f>Recu1!E13</f>
        <v>0.20000000298023224</v>
      </c>
      <c r="F13" s="32">
        <f t="shared" si="30"/>
        <v>0.10000000149011612</v>
      </c>
      <c r="G13" s="33">
        <f>Recu1!G13</f>
        <v>0.60000002384185791</v>
      </c>
      <c r="H13" s="32">
        <f t="shared" si="31"/>
        <v>0.30000001192092896</v>
      </c>
      <c r="I13" s="33">
        <f>Recu1!I13</f>
        <v>0.20000000298023224</v>
      </c>
      <c r="J13" s="32">
        <f t="shared" si="32"/>
        <v>0.10000000149011612</v>
      </c>
      <c r="K13" s="33">
        <f>Recu1!K13</f>
        <v>0</v>
      </c>
      <c r="L13" s="32">
        <f t="shared" si="33"/>
        <v>0</v>
      </c>
      <c r="M13" s="33">
        <f>Recu1!M13</f>
        <v>1</v>
      </c>
      <c r="N13" s="32">
        <f t="shared" si="34"/>
        <v>0.5</v>
      </c>
      <c r="O13" s="33">
        <f>Recu1!O13</f>
        <v>1.3999999761581421</v>
      </c>
      <c r="P13" s="32">
        <f t="shared" si="35"/>
        <v>0.69999998807907104</v>
      </c>
      <c r="Q13" s="33">
        <f>Recu1!Q13</f>
        <v>1</v>
      </c>
      <c r="R13" s="32">
        <f t="shared" si="36"/>
        <v>0.5</v>
      </c>
      <c r="S13" s="33">
        <f>Recu1!S13</f>
        <v>1.7999999523162842</v>
      </c>
      <c r="T13" s="32">
        <f t="shared" si="37"/>
        <v>0.89999997615814209</v>
      </c>
      <c r="U13" s="33">
        <f>Recu1!U13</f>
        <v>0</v>
      </c>
      <c r="V13" s="32">
        <f t="shared" si="38"/>
        <v>0</v>
      </c>
      <c r="W13" s="33">
        <f>Recu1!W13</f>
        <v>0.40000000596046448</v>
      </c>
      <c r="X13" s="32">
        <f t="shared" si="39"/>
        <v>0.20000000298023224</v>
      </c>
      <c r="Y13" s="33">
        <f>Recu1!Y13</f>
        <v>1.3999999761581421</v>
      </c>
      <c r="Z13" s="32">
        <f t="shared" si="40"/>
        <v>0.69999998807907104</v>
      </c>
      <c r="AA13" s="33">
        <f>Recu1!AA13</f>
        <v>0.80000001192092896</v>
      </c>
      <c r="AB13" s="32">
        <f t="shared" si="41"/>
        <v>0.40000000596046448</v>
      </c>
      <c r="AC13" s="33">
        <f>Recu1!AC13</f>
        <v>0.60000002384185791</v>
      </c>
      <c r="AD13" s="32">
        <f t="shared" si="42"/>
        <v>0.30000001192092896</v>
      </c>
      <c r="AE13" s="33">
        <f>Recu1!AE13</f>
        <v>0.20000000298023224</v>
      </c>
      <c r="AF13" s="32">
        <f t="shared" si="43"/>
        <v>0.10000000149011612</v>
      </c>
      <c r="AG13" s="33">
        <f>Recu1!AG13</f>
        <v>1.3999999761581421</v>
      </c>
      <c r="AH13" s="32">
        <f t="shared" si="44"/>
        <v>0.69999998807907104</v>
      </c>
      <c r="AI13" s="33">
        <f>Recu1!AI13</f>
        <v>2</v>
      </c>
      <c r="AJ13" s="32">
        <f t="shared" si="45"/>
        <v>1</v>
      </c>
      <c r="AK13" s="33">
        <f>Recu1!AK13</f>
        <v>1</v>
      </c>
      <c r="AL13" s="32">
        <f t="shared" si="46"/>
        <v>0.5</v>
      </c>
      <c r="AM13" s="33">
        <f>Recu1!AM13</f>
        <v>0</v>
      </c>
      <c r="AN13" s="32">
        <f t="shared" si="47"/>
        <v>0</v>
      </c>
      <c r="AO13" s="33">
        <f>Recu1!AO13</f>
        <v>1.6000000238418579</v>
      </c>
      <c r="AP13" s="32">
        <f t="shared" si="48"/>
        <v>0.80000001192092896</v>
      </c>
      <c r="AQ13" s="33">
        <f>Recu1!AQ13</f>
        <v>0.80000001192092896</v>
      </c>
      <c r="AR13" s="32">
        <f t="shared" si="49"/>
        <v>0.40000000596046448</v>
      </c>
      <c r="AS13" s="33">
        <f>Recu1!AS13</f>
        <v>1</v>
      </c>
      <c r="AT13" s="32">
        <f t="shared" si="50"/>
        <v>0.5</v>
      </c>
      <c r="AU13" s="33">
        <f>Recu1!AU13</f>
        <v>1</v>
      </c>
      <c r="AV13" s="32">
        <f t="shared" si="51"/>
        <v>0.5</v>
      </c>
      <c r="AW13" s="33">
        <f>Recu1!AW13</f>
        <v>0.40000000596046448</v>
      </c>
      <c r="AX13" s="32">
        <f t="shared" si="52"/>
        <v>0.20000000298023224</v>
      </c>
      <c r="AY13" s="33">
        <f>Recu1!AY13</f>
        <v>0.60000002384185791</v>
      </c>
      <c r="AZ13" s="32">
        <f t="shared" si="53"/>
        <v>0.30000001192092896</v>
      </c>
      <c r="BA13" s="33">
        <f>Recu1!BA13</f>
        <v>0.20000000298023224</v>
      </c>
      <c r="BB13" s="32">
        <f t="shared" si="54"/>
        <v>0.10000000149011612</v>
      </c>
      <c r="BC13" s="33">
        <f>Recu1!BC13</f>
        <v>1.2000000476837158</v>
      </c>
      <c r="BD13" s="32">
        <f t="shared" si="55"/>
        <v>0.60000002384185791</v>
      </c>
      <c r="BE13" s="33">
        <f>Recu1!BE13</f>
        <v>0.20000000298023224</v>
      </c>
      <c r="BF13" s="32">
        <f t="shared" si="56"/>
        <v>0.10000000149011612</v>
      </c>
      <c r="BG13" s="33">
        <f>Recu1!BG13</f>
        <v>2</v>
      </c>
      <c r="BH13" s="32">
        <f t="shared" si="57"/>
        <v>1</v>
      </c>
      <c r="BI13" s="33">
        <f>Recu1!BI13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Recu1!B14</f>
        <v>0</v>
      </c>
      <c r="C14" s="33">
        <f>Recu1!C14</f>
        <v>0</v>
      </c>
      <c r="D14" s="32">
        <f t="shared" si="29"/>
        <v>-1</v>
      </c>
      <c r="E14" s="33">
        <f>Recu1!E14</f>
        <v>0</v>
      </c>
      <c r="F14" s="32">
        <f t="shared" si="30"/>
        <v>-1</v>
      </c>
      <c r="G14" s="33">
        <f>Recu1!G14</f>
        <v>0</v>
      </c>
      <c r="H14" s="32">
        <f t="shared" si="31"/>
        <v>-1</v>
      </c>
      <c r="I14" s="33">
        <f>Recu1!I14</f>
        <v>0</v>
      </c>
      <c r="J14" s="32">
        <f t="shared" si="32"/>
        <v>-1</v>
      </c>
      <c r="K14" s="33">
        <f>Recu1!K14</f>
        <v>0</v>
      </c>
      <c r="L14" s="32">
        <f t="shared" si="33"/>
        <v>-1</v>
      </c>
      <c r="M14" s="33">
        <f>Recu1!M14</f>
        <v>0</v>
      </c>
      <c r="N14" s="32">
        <f t="shared" si="34"/>
        <v>-1</v>
      </c>
      <c r="O14" s="33">
        <f>Recu1!O14</f>
        <v>0</v>
      </c>
      <c r="P14" s="32">
        <f t="shared" si="35"/>
        <v>-1</v>
      </c>
      <c r="Q14" s="33">
        <f>Recu1!Q14</f>
        <v>0</v>
      </c>
      <c r="R14" s="32">
        <f t="shared" si="36"/>
        <v>-1</v>
      </c>
      <c r="S14" s="33">
        <f>Recu1!S14</f>
        <v>0</v>
      </c>
      <c r="T14" s="32">
        <f t="shared" si="37"/>
        <v>-1</v>
      </c>
      <c r="U14" s="33">
        <f>Recu1!U14</f>
        <v>0</v>
      </c>
      <c r="V14" s="32">
        <f t="shared" si="38"/>
        <v>-1</v>
      </c>
      <c r="W14" s="33">
        <f>Recu1!W14</f>
        <v>0</v>
      </c>
      <c r="X14" s="32">
        <f t="shared" si="39"/>
        <v>-1</v>
      </c>
      <c r="Y14" s="33">
        <f>Recu1!Y14</f>
        <v>0</v>
      </c>
      <c r="Z14" s="32">
        <f t="shared" si="40"/>
        <v>-1</v>
      </c>
      <c r="AA14" s="33">
        <f>Recu1!AA14</f>
        <v>0</v>
      </c>
      <c r="AB14" s="32">
        <f t="shared" si="41"/>
        <v>-1</v>
      </c>
      <c r="AC14" s="33">
        <f>Recu1!AC14</f>
        <v>0</v>
      </c>
      <c r="AD14" s="32">
        <f t="shared" si="42"/>
        <v>-1</v>
      </c>
      <c r="AE14" s="33">
        <f>Recu1!AE14</f>
        <v>0</v>
      </c>
      <c r="AF14" s="32">
        <f t="shared" si="43"/>
        <v>-1</v>
      </c>
      <c r="AG14" s="33">
        <f>Recu1!AG14</f>
        <v>0</v>
      </c>
      <c r="AH14" s="32">
        <f t="shared" si="44"/>
        <v>-1</v>
      </c>
      <c r="AI14" s="33">
        <f>Recu1!AI14</f>
        <v>0</v>
      </c>
      <c r="AJ14" s="32">
        <f t="shared" si="45"/>
        <v>-1</v>
      </c>
      <c r="AK14" s="33">
        <f>Recu1!AK14</f>
        <v>0</v>
      </c>
      <c r="AL14" s="32">
        <f t="shared" si="46"/>
        <v>-1</v>
      </c>
      <c r="AM14" s="33">
        <f>Recu1!AM14</f>
        <v>0</v>
      </c>
      <c r="AN14" s="32">
        <f t="shared" si="47"/>
        <v>-1</v>
      </c>
      <c r="AO14" s="33">
        <f>Recu1!AO14</f>
        <v>0</v>
      </c>
      <c r="AP14" s="32">
        <f t="shared" si="48"/>
        <v>-1</v>
      </c>
      <c r="AQ14" s="33">
        <f>Recu1!AQ14</f>
        <v>0</v>
      </c>
      <c r="AR14" s="32">
        <f t="shared" si="49"/>
        <v>-1</v>
      </c>
      <c r="AS14" s="33">
        <f>Recu1!AS14</f>
        <v>0</v>
      </c>
      <c r="AT14" s="32">
        <f t="shared" si="50"/>
        <v>-1</v>
      </c>
      <c r="AU14" s="33">
        <f>Recu1!AU14</f>
        <v>0</v>
      </c>
      <c r="AV14" s="32">
        <f t="shared" si="51"/>
        <v>-1</v>
      </c>
      <c r="AW14" s="33">
        <f>Recu1!AW14</f>
        <v>0</v>
      </c>
      <c r="AX14" s="32">
        <f t="shared" si="52"/>
        <v>-1</v>
      </c>
      <c r="AY14" s="33">
        <f>Recu1!AY14</f>
        <v>0</v>
      </c>
      <c r="AZ14" s="32">
        <f t="shared" si="53"/>
        <v>-1</v>
      </c>
      <c r="BA14" s="33">
        <f>Recu1!BA14</f>
        <v>0</v>
      </c>
      <c r="BB14" s="32">
        <f t="shared" si="54"/>
        <v>-1</v>
      </c>
      <c r="BC14" s="33">
        <f>Recu1!BC14</f>
        <v>0</v>
      </c>
      <c r="BD14" s="32">
        <f t="shared" si="55"/>
        <v>-1</v>
      </c>
      <c r="BE14" s="33">
        <f>Recu1!BE14</f>
        <v>0</v>
      </c>
      <c r="BF14" s="32">
        <f t="shared" si="56"/>
        <v>-1</v>
      </c>
      <c r="BG14" s="33">
        <f>Recu1!BG14</f>
        <v>0</v>
      </c>
      <c r="BH14" s="32">
        <f t="shared" si="57"/>
        <v>-1</v>
      </c>
      <c r="BI14" s="33">
        <f>Recu1!BI14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Recu1!B15</f>
        <v>0</v>
      </c>
      <c r="C15" s="33">
        <f>Recu1!C15</f>
        <v>0</v>
      </c>
      <c r="D15" s="32">
        <f t="shared" si="29"/>
        <v>-1</v>
      </c>
      <c r="E15" s="33">
        <f>Recu1!E15</f>
        <v>0</v>
      </c>
      <c r="F15" s="32">
        <f t="shared" si="30"/>
        <v>-1</v>
      </c>
      <c r="G15" s="33">
        <f>Recu1!G15</f>
        <v>0</v>
      </c>
      <c r="H15" s="32">
        <f t="shared" si="31"/>
        <v>-1</v>
      </c>
      <c r="I15" s="33">
        <f>Recu1!I15</f>
        <v>0</v>
      </c>
      <c r="J15" s="32">
        <f t="shared" si="32"/>
        <v>-1</v>
      </c>
      <c r="K15" s="33">
        <f>Recu1!K15</f>
        <v>0</v>
      </c>
      <c r="L15" s="32">
        <f t="shared" si="33"/>
        <v>-1</v>
      </c>
      <c r="M15" s="33">
        <f>Recu1!M15</f>
        <v>0</v>
      </c>
      <c r="N15" s="32">
        <f t="shared" si="34"/>
        <v>-1</v>
      </c>
      <c r="O15" s="33">
        <f>Recu1!O15</f>
        <v>0</v>
      </c>
      <c r="P15" s="32">
        <f t="shared" si="35"/>
        <v>-1</v>
      </c>
      <c r="Q15" s="33">
        <f>Recu1!Q15</f>
        <v>0</v>
      </c>
      <c r="R15" s="32">
        <f t="shared" si="36"/>
        <v>-1</v>
      </c>
      <c r="S15" s="33">
        <f>Recu1!S15</f>
        <v>0</v>
      </c>
      <c r="T15" s="32">
        <f t="shared" si="37"/>
        <v>-1</v>
      </c>
      <c r="U15" s="33">
        <f>Recu1!U15</f>
        <v>0</v>
      </c>
      <c r="V15" s="32">
        <f t="shared" si="38"/>
        <v>-1</v>
      </c>
      <c r="W15" s="33">
        <f>Recu1!W15</f>
        <v>0</v>
      </c>
      <c r="X15" s="32">
        <f t="shared" si="39"/>
        <v>-1</v>
      </c>
      <c r="Y15" s="33">
        <f>Recu1!Y15</f>
        <v>0</v>
      </c>
      <c r="Z15" s="32">
        <f t="shared" si="40"/>
        <v>-1</v>
      </c>
      <c r="AA15" s="33">
        <f>Recu1!AA15</f>
        <v>0</v>
      </c>
      <c r="AB15" s="32">
        <f t="shared" si="41"/>
        <v>-1</v>
      </c>
      <c r="AC15" s="33">
        <f>Recu1!AC15</f>
        <v>0</v>
      </c>
      <c r="AD15" s="32">
        <f t="shared" si="42"/>
        <v>-1</v>
      </c>
      <c r="AE15" s="33">
        <f>Recu1!AE15</f>
        <v>0</v>
      </c>
      <c r="AF15" s="32">
        <f t="shared" si="43"/>
        <v>-1</v>
      </c>
      <c r="AG15" s="33">
        <f>Recu1!AG15</f>
        <v>0</v>
      </c>
      <c r="AH15" s="32">
        <f t="shared" si="44"/>
        <v>-1</v>
      </c>
      <c r="AI15" s="33">
        <f>Recu1!AI15</f>
        <v>0</v>
      </c>
      <c r="AJ15" s="32">
        <f t="shared" si="45"/>
        <v>-1</v>
      </c>
      <c r="AK15" s="33">
        <f>Recu1!AK15</f>
        <v>0</v>
      </c>
      <c r="AL15" s="32">
        <f t="shared" si="46"/>
        <v>-1</v>
      </c>
      <c r="AM15" s="33">
        <f>Recu1!AM15</f>
        <v>0</v>
      </c>
      <c r="AN15" s="32">
        <f t="shared" si="47"/>
        <v>-1</v>
      </c>
      <c r="AO15" s="33">
        <f>Recu1!AO15</f>
        <v>0</v>
      </c>
      <c r="AP15" s="32">
        <f t="shared" si="48"/>
        <v>-1</v>
      </c>
      <c r="AQ15" s="33">
        <f>Recu1!AQ15</f>
        <v>0</v>
      </c>
      <c r="AR15" s="32">
        <f t="shared" si="49"/>
        <v>-1</v>
      </c>
      <c r="AS15" s="33">
        <f>Recu1!AS15</f>
        <v>0</v>
      </c>
      <c r="AT15" s="32">
        <f t="shared" si="50"/>
        <v>-1</v>
      </c>
      <c r="AU15" s="33">
        <f>Recu1!AU15</f>
        <v>0</v>
      </c>
      <c r="AV15" s="32">
        <f t="shared" si="51"/>
        <v>-1</v>
      </c>
      <c r="AW15" s="33">
        <f>Recu1!AW15</f>
        <v>0</v>
      </c>
      <c r="AX15" s="32">
        <f t="shared" si="52"/>
        <v>-1</v>
      </c>
      <c r="AY15" s="33">
        <f>Recu1!AY15</f>
        <v>0</v>
      </c>
      <c r="AZ15" s="32">
        <f t="shared" si="53"/>
        <v>-1</v>
      </c>
      <c r="BA15" s="33">
        <f>Recu1!BA15</f>
        <v>0</v>
      </c>
      <c r="BB15" s="32">
        <f t="shared" si="54"/>
        <v>-1</v>
      </c>
      <c r="BC15" s="33">
        <f>Recu1!BC15</f>
        <v>0</v>
      </c>
      <c r="BD15" s="32">
        <f t="shared" si="55"/>
        <v>-1</v>
      </c>
      <c r="BE15" s="33">
        <f>Recu1!BE15</f>
        <v>0</v>
      </c>
      <c r="BF15" s="32">
        <f t="shared" si="56"/>
        <v>-1</v>
      </c>
      <c r="BG15" s="33">
        <f>Recu1!BG15</f>
        <v>0</v>
      </c>
      <c r="BH15" s="32">
        <f t="shared" si="57"/>
        <v>-1</v>
      </c>
      <c r="BI15" s="33">
        <f>Recu1!BI15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Estructura!C4</f>
        <v>0.4</v>
      </c>
      <c r="C16" s="58">
        <f>IF(SUM($B17:$B37)&lt;&gt;0,SUM(C17:C37)/SUM($B17:$B37)*$B16*10, "")</f>
        <v>2.0799999982118607</v>
      </c>
      <c r="D16" s="58"/>
      <c r="E16" s="58">
        <f>IF(SUM($B17:$B37)&lt;&gt;0,SUM(E17:E37)/SUM($B17:$B37)*$B16*10, "")</f>
        <v>1.9900000095367432</v>
      </c>
      <c r="F16" s="58"/>
      <c r="G16" s="58">
        <f>IF(SUM($B17:$B37)&lt;&gt;0,SUM(G17:G37)/SUM($B17:$B37)*$B16*10, "")</f>
        <v>1.4800000071525574</v>
      </c>
      <c r="H16" s="58"/>
      <c r="I16" s="58">
        <f>IF(SUM($B17:$B37)&lt;&gt;0,SUM(I17:I37)/SUM($B17:$B37)*$B16*10, "")</f>
        <v>2.4100000075995922</v>
      </c>
      <c r="J16" s="58"/>
      <c r="K16" s="58">
        <f>IF(SUM($B17:$B37)&lt;&gt;0,SUM(K17:K37)/SUM($B17:$B37)*$B16*10, "")</f>
        <v>2.1</v>
      </c>
      <c r="L16" s="58"/>
      <c r="M16" s="58">
        <f>IF(SUM($B17:$B37)&lt;&gt;0,SUM(M17:M37)/SUM($B17:$B37)*$B16*10, "")</f>
        <v>2.2700000151991846</v>
      </c>
      <c r="N16" s="58"/>
      <c r="O16" s="58">
        <f>IF(SUM($B17:$B37)&lt;&gt;0,SUM(O17:O37)/SUM($B17:$B37)*$B16*10, "")</f>
        <v>2.8200000092387203</v>
      </c>
      <c r="P16" s="58"/>
      <c r="Q16" s="58">
        <f>IF(SUM($B17:$B37)&lt;&gt;0,SUM(Q17:Q37)/SUM($B17:$B37)*$B16*10, "")</f>
        <v>1.6500000230968002</v>
      </c>
      <c r="R16" s="58"/>
      <c r="S16" s="58">
        <f>IF(SUM($B17:$B37)&lt;&gt;0,SUM(S17:S37)/SUM($B17:$B37)*$B16*10, "")</f>
        <v>1.8799999907612803</v>
      </c>
      <c r="T16" s="58"/>
      <c r="U16" s="58">
        <f>IF(SUM($B17:$B37)&lt;&gt;0,SUM(U17:U37)/SUM($B17:$B37)*$B16*10, "")</f>
        <v>2.2799999922513963</v>
      </c>
      <c r="V16" s="58"/>
      <c r="W16" s="58">
        <f>IF(SUM($B17:$B37)&lt;&gt;0,SUM(W17:W37)/SUM($B17:$B37)*$B16*10, "")</f>
        <v>1.6000000208616258</v>
      </c>
      <c r="X16" s="58"/>
      <c r="Y16" s="58">
        <f>IF(SUM($B17:$B37)&lt;&gt;0,SUM(Y17:Y37)/SUM($B17:$B37)*$B16*10, "")</f>
        <v>2.3100000143051149</v>
      </c>
      <c r="Z16" s="58"/>
      <c r="AA16" s="58">
        <f>IF(SUM($B17:$B37)&lt;&gt;0,SUM(AA17:AA37)/SUM($B17:$B37)*$B16*10, "")</f>
        <v>1.8700000226497651</v>
      </c>
      <c r="AB16" s="58"/>
      <c r="AC16" s="58">
        <f>IF(SUM($B17:$B37)&lt;&gt;0,SUM(AC17:AC37)/SUM($B17:$B37)*$B16*10, "")</f>
        <v>1.7100000053644182</v>
      </c>
      <c r="AD16" s="58"/>
      <c r="AE16" s="58">
        <f>IF(SUM($B17:$B37)&lt;&gt;0,SUM(AE17:AE37)/SUM($B17:$B37)*$B16*10, "")</f>
        <v>2.2500000253319739</v>
      </c>
      <c r="AF16" s="58"/>
      <c r="AG16" s="58">
        <f>IF(SUM($B17:$B37)&lt;&gt;0,SUM(AG17:AG37)/SUM($B17:$B37)*$B16*10, "")</f>
        <v>1.6200000047683716</v>
      </c>
      <c r="AH16" s="58"/>
      <c r="AI16" s="58">
        <f>IF(SUM($B17:$B37)&lt;&gt;0,SUM(AI17:AI37)/SUM($B17:$B37)*$B16*10, "")</f>
        <v>1.7500000089406966</v>
      </c>
      <c r="AJ16" s="58"/>
      <c r="AK16" s="58">
        <f>IF(SUM($B17:$B37)&lt;&gt;0,SUM(AK17:AK37)/SUM($B17:$B37)*$B16*10, "")</f>
        <v>2.180000020563603</v>
      </c>
      <c r="AL16" s="58"/>
      <c r="AM16" s="58">
        <f>IF(SUM($B17:$B37)&lt;&gt;0,SUM(AM17:AM37)/SUM($B17:$B37)*$B16*10, "")</f>
        <v>1.7600000381469727</v>
      </c>
      <c r="AN16" s="58"/>
      <c r="AO16" s="58">
        <f>IF(SUM($B17:$B37)&lt;&gt;0,SUM(AO17:AO37)/SUM($B17:$B37)*$B16*10, "")</f>
        <v>1.860000015795231</v>
      </c>
      <c r="AP16" s="58"/>
      <c r="AQ16" s="58">
        <f>IF(SUM($B17:$B37)&lt;&gt;0,SUM(AQ17:AQ37)/SUM($B17:$B37)*$B16*10, "")</f>
        <v>2.4900000169873238</v>
      </c>
      <c r="AR16" s="58"/>
      <c r="AS16" s="58">
        <f>IF(SUM($B17:$B37)&lt;&gt;0,SUM(AS17:AS37)/SUM($B17:$B37)*$B16*10, "")</f>
        <v>2.2600000113248826</v>
      </c>
      <c r="AT16" s="58"/>
      <c r="AU16" s="58">
        <f>IF(SUM($B17:$B37)&lt;&gt;0,SUM(AU17:AU37)/SUM($B17:$B37)*$B16*10, "")</f>
        <v>1.7900000050663949</v>
      </c>
      <c r="AV16" s="58"/>
      <c r="AW16" s="58">
        <f>IF(SUM($B17:$B37)&lt;&gt;0,SUM(AW17:AW37)/SUM($B17:$B37)*$B16*10, "")</f>
        <v>1.5200000159442426</v>
      </c>
      <c r="AX16" s="58"/>
      <c r="AY16" s="58">
        <f>IF(SUM($B17:$B37)&lt;&gt;0,SUM(AY17:AY37)/SUM($B17:$B37)*$B16*10, "")</f>
        <v>2.0500000089406969</v>
      </c>
      <c r="AZ16" s="58"/>
      <c r="BA16" s="58">
        <f>IF(SUM($B17:$B37)&lt;&gt;0,SUM(BA17:BA37)/SUM($B17:$B37)*$B16*10, "")</f>
        <v>1.7700000166893006</v>
      </c>
      <c r="BB16" s="58"/>
      <c r="BC16" s="58">
        <f>IF(SUM($B17:$B37)&lt;&gt;0,SUM(BC17:BC37)/SUM($B17:$B37)*$B16*10, "")</f>
        <v>2.2800000190734862</v>
      </c>
      <c r="BD16" s="58"/>
      <c r="BE16" s="58">
        <f>IF(SUM($B17:$B37)&lt;&gt;0,SUM(BE17:BE37)/SUM($B17:$B37)*$B16*10, "")</f>
        <v>1.5899999886751175</v>
      </c>
      <c r="BF16" s="58"/>
      <c r="BG16" s="58">
        <f>IF(SUM($B17:$B37)&lt;&gt;0,SUM(BG17:BG37)/SUM($B17:$B37)*$B16*10, "")</f>
        <v>2.1800000011920928</v>
      </c>
      <c r="BH16" s="58"/>
      <c r="BI16" s="58">
        <f>IF(SUM($B17:$B37)&lt;&gt;0,SUM(BI17:BI37)/SUM($B17:$B37)*$B16*10, "")</f>
        <v>1.2400000132620335</v>
      </c>
      <c r="BJ16" s="58"/>
    </row>
    <row r="17" spans="1:62" ht="42" x14ac:dyDescent="0.2">
      <c r="A17" s="2" t="s">
        <v>18</v>
      </c>
      <c r="B17" s="13">
        <f>Recu1!B17</f>
        <v>1.5</v>
      </c>
      <c r="C17" s="33">
        <f>Recu1!C17</f>
        <v>0.60000000894069672</v>
      </c>
      <c r="D17" s="32">
        <f t="shared" ref="D17:D37" si="59">IF($B17,C17/$B17,-1)</f>
        <v>0.40000000596046448</v>
      </c>
      <c r="E17" s="33">
        <f>Recu1!E17</f>
        <v>0.45000001788139343</v>
      </c>
      <c r="F17" s="32">
        <f t="shared" ref="F17:F37" si="60">IF($B17,E17/$B17,-1)</f>
        <v>0.30000001192092896</v>
      </c>
      <c r="G17" s="33">
        <f>Recu1!G17</f>
        <v>1.3499999642372131</v>
      </c>
      <c r="H17" s="32">
        <f t="shared" ref="H17:H37" si="61">IF($B17,G17/$B17,-1)</f>
        <v>0.89999997615814209</v>
      </c>
      <c r="I17" s="33">
        <f>Recu1!I17</f>
        <v>1.2000000178813934</v>
      </c>
      <c r="J17" s="32">
        <f t="shared" ref="J17:J37" si="62">IF($B17,I17/$B17,-1)</f>
        <v>0.80000001192092896</v>
      </c>
      <c r="K17" s="33">
        <f>Recu1!K17</f>
        <v>0.45000001788139343</v>
      </c>
      <c r="L17" s="32">
        <f t="shared" ref="L17:L37" si="63">IF($B17,K17/$B17,-1)</f>
        <v>0.30000001192092896</v>
      </c>
      <c r="M17" s="33">
        <f>Recu1!M17</f>
        <v>1.0499999821186066</v>
      </c>
      <c r="N17" s="32">
        <f t="shared" ref="N17:N37" si="64">IF($B17,M17/$B17,-1)</f>
        <v>0.69999998807907104</v>
      </c>
      <c r="O17" s="33">
        <f>Recu1!O17</f>
        <v>0.30000000447034836</v>
      </c>
      <c r="P17" s="32">
        <f t="shared" ref="P17:P37" si="65">IF($B17,O17/$B17,-1)</f>
        <v>0.20000000298023224</v>
      </c>
      <c r="Q17" s="33">
        <f>Recu1!Q17</f>
        <v>0</v>
      </c>
      <c r="R17" s="32">
        <f t="shared" ref="R17:R37" si="66">IF($B17,Q17/$B17,-1)</f>
        <v>0</v>
      </c>
      <c r="S17" s="33">
        <f>Recu1!S17</f>
        <v>0</v>
      </c>
      <c r="T17" s="32">
        <f t="shared" ref="T17:T37" si="67">IF($B17,S17/$B17,-1)</f>
        <v>0</v>
      </c>
      <c r="U17" s="33">
        <f>Recu1!U17</f>
        <v>0.45000001788139343</v>
      </c>
      <c r="V17" s="32">
        <f t="shared" ref="V17:V37" si="68">IF($B17,U17/$B17,-1)</f>
        <v>0.30000001192092896</v>
      </c>
      <c r="W17" s="33">
        <f>Recu1!W17</f>
        <v>1.2000000178813934</v>
      </c>
      <c r="X17" s="32">
        <f t="shared" ref="X17:X37" si="69">IF($B17,W17/$B17,-1)</f>
        <v>0.80000001192092896</v>
      </c>
      <c r="Y17" s="33">
        <f>Recu1!Y17</f>
        <v>0.45000001788139343</v>
      </c>
      <c r="Z17" s="32">
        <f t="shared" ref="Z17:Z37" si="70">IF($B17,Y17/$B17,-1)</f>
        <v>0.30000001192092896</v>
      </c>
      <c r="AA17" s="33">
        <f>Recu1!AA17</f>
        <v>0.30000000447034836</v>
      </c>
      <c r="AB17" s="32">
        <f t="shared" ref="AB17:AB37" si="71">IF($B17,AA17/$B17,-1)</f>
        <v>0.20000000298023224</v>
      </c>
      <c r="AC17" s="33">
        <f>Recu1!AC17</f>
        <v>0.75</v>
      </c>
      <c r="AD17" s="32">
        <f t="shared" ref="AD17:AD37" si="72">IF($B17,AC17/$B17,-1)</f>
        <v>0.5</v>
      </c>
      <c r="AE17" s="33">
        <f>Recu1!AE17</f>
        <v>0.30000000447034836</v>
      </c>
      <c r="AF17" s="32">
        <f t="shared" ref="AF17:AF37" si="73">IF($B17,AE17/$B17,-1)</f>
        <v>0.20000000298023224</v>
      </c>
      <c r="AG17" s="33">
        <f>Recu1!AG17</f>
        <v>0.45000001788139343</v>
      </c>
      <c r="AH17" s="32">
        <f t="shared" ref="AH17:AH37" si="74">IF($B17,AG17/$B17,-1)</f>
        <v>0.30000001192092896</v>
      </c>
      <c r="AI17" s="33">
        <f>Recu1!AI17</f>
        <v>0</v>
      </c>
      <c r="AJ17" s="32">
        <f t="shared" ref="AJ17:AJ37" si="75">IF($B17,AI17/$B17,-1)</f>
        <v>0</v>
      </c>
      <c r="AK17" s="33">
        <f>Recu1!AK17</f>
        <v>0.75</v>
      </c>
      <c r="AL17" s="32">
        <f t="shared" ref="AL17:AL37" si="76">IF($B17,AK17/$B17,-1)</f>
        <v>0.5</v>
      </c>
      <c r="AM17" s="33">
        <f>Recu1!AM17</f>
        <v>0.30000000447034836</v>
      </c>
      <c r="AN17" s="32">
        <f t="shared" ref="AN17:AN37" si="77">IF($B17,AM17/$B17,-1)</f>
        <v>0.20000000298023224</v>
      </c>
      <c r="AO17" s="33">
        <f>Recu1!AO17</f>
        <v>1.3499999642372131</v>
      </c>
      <c r="AP17" s="32">
        <f t="shared" ref="AP17:AP37" si="78">IF($B17,AO17/$B17,-1)</f>
        <v>0.89999997615814209</v>
      </c>
      <c r="AQ17" s="33">
        <f>Recu1!AQ17</f>
        <v>0.90000003576278687</v>
      </c>
      <c r="AR17" s="32">
        <f t="shared" ref="AR17:AR37" si="79">IF($B17,AQ17/$B17,-1)</f>
        <v>0.60000002384185791</v>
      </c>
      <c r="AS17" s="33">
        <f>Recu1!AS17</f>
        <v>1.2000000178813934</v>
      </c>
      <c r="AT17" s="32">
        <f t="shared" ref="AT17:AT37" si="80">IF($B17,AS17/$B17,-1)</f>
        <v>0.80000001192092896</v>
      </c>
      <c r="AU17" s="33">
        <f>Recu1!AU17</f>
        <v>1.5</v>
      </c>
      <c r="AV17" s="32">
        <f t="shared" ref="AV17:AV37" si="81">IF($B17,AU17/$B17,-1)</f>
        <v>1</v>
      </c>
      <c r="AW17" s="33">
        <f>Recu1!AW17</f>
        <v>0.45000001788139343</v>
      </c>
      <c r="AX17" s="32">
        <f t="shared" ref="AX17:AX37" si="82">IF($B17,AW17/$B17,-1)</f>
        <v>0.30000001192092896</v>
      </c>
      <c r="AY17" s="33">
        <f>Recu1!AY17</f>
        <v>0.75</v>
      </c>
      <c r="AZ17" s="32">
        <f t="shared" ref="AZ17:AZ37" si="83">IF($B17,AY17/$B17,-1)</f>
        <v>0.5</v>
      </c>
      <c r="BA17" s="33">
        <f>Recu1!BA17</f>
        <v>0</v>
      </c>
      <c r="BB17" s="32">
        <f t="shared" ref="BB17:BB37" si="84">IF($B17,BA17/$B17,-1)</f>
        <v>0</v>
      </c>
      <c r="BC17" s="33">
        <f>Recu1!BC17</f>
        <v>0.90000003576278687</v>
      </c>
      <c r="BD17" s="32">
        <f t="shared" ref="BD17:BD37" si="85">IF($B17,BC17/$B17,-1)</f>
        <v>0.60000002384185791</v>
      </c>
      <c r="BE17" s="33">
        <f>Recu1!BE17</f>
        <v>0.60000000894069672</v>
      </c>
      <c r="BF17" s="32">
        <f t="shared" ref="BF17:BF37" si="86">IF($B17,BE17/$B17,-1)</f>
        <v>0.40000000596046448</v>
      </c>
      <c r="BG17" s="33">
        <f>Recu1!BG17</f>
        <v>1.5</v>
      </c>
      <c r="BH17" s="32">
        <f t="shared" ref="BH17:BH37" si="87">IF($B17,BG17/$B17,-1)</f>
        <v>1</v>
      </c>
      <c r="BI17" s="33">
        <f>Recu1!BI17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Recu1!B18</f>
        <v>1.5</v>
      </c>
      <c r="C18" s="33">
        <f>Recu1!C18</f>
        <v>1.5</v>
      </c>
      <c r="D18" s="32">
        <f t="shared" si="59"/>
        <v>1</v>
      </c>
      <c r="E18" s="33">
        <f>Recu1!E18</f>
        <v>0.90000003576278687</v>
      </c>
      <c r="F18" s="32">
        <f t="shared" si="60"/>
        <v>0.60000002384185791</v>
      </c>
      <c r="G18" s="33">
        <f>Recu1!G18</f>
        <v>0.45000001788139343</v>
      </c>
      <c r="H18" s="32">
        <f t="shared" si="61"/>
        <v>0.30000001192092896</v>
      </c>
      <c r="I18" s="33">
        <f>Recu1!I18</f>
        <v>0.15000000223517418</v>
      </c>
      <c r="J18" s="32">
        <f t="shared" si="62"/>
        <v>0.10000000149011612</v>
      </c>
      <c r="K18" s="33">
        <f>Recu1!K18</f>
        <v>0.75</v>
      </c>
      <c r="L18" s="32">
        <f t="shared" si="63"/>
        <v>0.5</v>
      </c>
      <c r="M18" s="33">
        <f>Recu1!M18</f>
        <v>0.30000000447034836</v>
      </c>
      <c r="N18" s="32">
        <f t="shared" si="64"/>
        <v>0.20000000298023224</v>
      </c>
      <c r="O18" s="33">
        <f>Recu1!O18</f>
        <v>1.5</v>
      </c>
      <c r="P18" s="32">
        <f t="shared" si="65"/>
        <v>1</v>
      </c>
      <c r="Q18" s="33">
        <f>Recu1!Q18</f>
        <v>0.15000000223517418</v>
      </c>
      <c r="R18" s="32">
        <f t="shared" si="66"/>
        <v>0.10000000149011612</v>
      </c>
      <c r="S18" s="33">
        <f>Recu1!S18</f>
        <v>0</v>
      </c>
      <c r="T18" s="32">
        <f t="shared" si="67"/>
        <v>0</v>
      </c>
      <c r="U18" s="33">
        <f>Recu1!U18</f>
        <v>0.45000001788139343</v>
      </c>
      <c r="V18" s="32">
        <f t="shared" si="68"/>
        <v>0.30000001192092896</v>
      </c>
      <c r="W18" s="33">
        <f>Recu1!W18</f>
        <v>0.90000003576278687</v>
      </c>
      <c r="X18" s="32">
        <f t="shared" si="69"/>
        <v>0.60000002384185791</v>
      </c>
      <c r="Y18" s="33">
        <f>Recu1!Y18</f>
        <v>1.5</v>
      </c>
      <c r="Z18" s="32">
        <f t="shared" si="70"/>
        <v>1</v>
      </c>
      <c r="AA18" s="33">
        <f>Recu1!AA18</f>
        <v>0.75</v>
      </c>
      <c r="AB18" s="32">
        <f t="shared" si="71"/>
        <v>0.5</v>
      </c>
      <c r="AC18" s="33">
        <f>Recu1!AC18</f>
        <v>0.60000000894069672</v>
      </c>
      <c r="AD18" s="32">
        <f t="shared" si="72"/>
        <v>0.40000000596046448</v>
      </c>
      <c r="AE18" s="33">
        <f>Recu1!AE18</f>
        <v>1.3499999642372131</v>
      </c>
      <c r="AF18" s="32">
        <f t="shared" si="73"/>
        <v>0.89999997615814209</v>
      </c>
      <c r="AG18" s="33">
        <f>Recu1!AG18</f>
        <v>1.3499999642372131</v>
      </c>
      <c r="AH18" s="32">
        <f t="shared" si="74"/>
        <v>0.89999997615814209</v>
      </c>
      <c r="AI18" s="33">
        <f>Recu1!AI18</f>
        <v>1.0499999821186066</v>
      </c>
      <c r="AJ18" s="32">
        <f t="shared" si="75"/>
        <v>0.69999998807907104</v>
      </c>
      <c r="AK18" s="33">
        <f>Recu1!AK18</f>
        <v>1.0499999821186066</v>
      </c>
      <c r="AL18" s="32">
        <f t="shared" si="76"/>
        <v>0.69999998807907104</v>
      </c>
      <c r="AM18" s="33">
        <f>Recu1!AM18</f>
        <v>1.5</v>
      </c>
      <c r="AN18" s="32">
        <f t="shared" si="77"/>
        <v>1</v>
      </c>
      <c r="AO18" s="33">
        <f>Recu1!AO18</f>
        <v>0.45000001788139343</v>
      </c>
      <c r="AP18" s="32">
        <f t="shared" si="78"/>
        <v>0.30000001192092896</v>
      </c>
      <c r="AQ18" s="33">
        <f>Recu1!AQ18</f>
        <v>0.75</v>
      </c>
      <c r="AR18" s="32">
        <f t="shared" si="79"/>
        <v>0.5</v>
      </c>
      <c r="AS18" s="33">
        <f>Recu1!AS18</f>
        <v>0.60000000894069672</v>
      </c>
      <c r="AT18" s="32">
        <f t="shared" si="80"/>
        <v>0.40000000596046448</v>
      </c>
      <c r="AU18" s="33">
        <f>Recu1!AU18</f>
        <v>1.0499999821186066</v>
      </c>
      <c r="AV18" s="32">
        <f t="shared" si="81"/>
        <v>0.69999998807907104</v>
      </c>
      <c r="AW18" s="33">
        <f>Recu1!AW18</f>
        <v>0.15000000223517418</v>
      </c>
      <c r="AX18" s="32">
        <f t="shared" si="82"/>
        <v>0.10000000149011612</v>
      </c>
      <c r="AY18" s="33">
        <f>Recu1!AY18</f>
        <v>0.60000000894069672</v>
      </c>
      <c r="AZ18" s="32">
        <f t="shared" si="83"/>
        <v>0.40000000596046448</v>
      </c>
      <c r="BA18" s="33">
        <f>Recu1!BA18</f>
        <v>0.75</v>
      </c>
      <c r="BB18" s="32">
        <f t="shared" si="84"/>
        <v>0.5</v>
      </c>
      <c r="BC18" s="33">
        <f>Recu1!BC18</f>
        <v>1.2000000178813934</v>
      </c>
      <c r="BD18" s="32">
        <f t="shared" si="85"/>
        <v>0.80000001192092896</v>
      </c>
      <c r="BE18" s="33">
        <f>Recu1!BE18</f>
        <v>0.75</v>
      </c>
      <c r="BF18" s="32">
        <f t="shared" si="86"/>
        <v>0.5</v>
      </c>
      <c r="BG18" s="33">
        <f>Recu1!BG18</f>
        <v>0.60000000894069672</v>
      </c>
      <c r="BH18" s="32">
        <f t="shared" si="87"/>
        <v>0.40000000596046448</v>
      </c>
      <c r="BI18" s="33">
        <f>Recu1!BI18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Recu1!B19</f>
        <v>1</v>
      </c>
      <c r="C19" s="33">
        <f>Recu1!C19</f>
        <v>0.20000000298023224</v>
      </c>
      <c r="D19" s="32">
        <f t="shared" si="59"/>
        <v>0.20000000298023224</v>
      </c>
      <c r="E19" s="33">
        <f>Recu1!E19</f>
        <v>0.60000002384185791</v>
      </c>
      <c r="F19" s="32">
        <f t="shared" si="60"/>
        <v>0.60000002384185791</v>
      </c>
      <c r="G19" s="33">
        <f>Recu1!G19</f>
        <v>0.5</v>
      </c>
      <c r="H19" s="32">
        <f t="shared" si="61"/>
        <v>0.5</v>
      </c>
      <c r="I19" s="33">
        <f>Recu1!I19</f>
        <v>0.69999998807907104</v>
      </c>
      <c r="J19" s="32">
        <f t="shared" si="62"/>
        <v>0.69999998807907104</v>
      </c>
      <c r="K19" s="33">
        <f>Recu1!K19</f>
        <v>0.89999997615814209</v>
      </c>
      <c r="L19" s="32">
        <f t="shared" si="63"/>
        <v>0.89999997615814209</v>
      </c>
      <c r="M19" s="33">
        <f>Recu1!M19</f>
        <v>0.40000000596046448</v>
      </c>
      <c r="N19" s="32">
        <f t="shared" si="64"/>
        <v>0.40000000596046448</v>
      </c>
      <c r="O19" s="33">
        <f>Recu1!O19</f>
        <v>0.30000001192092896</v>
      </c>
      <c r="P19" s="32">
        <f t="shared" si="65"/>
        <v>0.30000001192092896</v>
      </c>
      <c r="Q19" s="33">
        <f>Recu1!Q19</f>
        <v>0.30000001192092896</v>
      </c>
      <c r="R19" s="32">
        <f t="shared" si="66"/>
        <v>0.30000001192092896</v>
      </c>
      <c r="S19" s="33">
        <f>Recu1!S19</f>
        <v>0.10000000149011612</v>
      </c>
      <c r="T19" s="32">
        <f t="shared" si="67"/>
        <v>0.10000000149011612</v>
      </c>
      <c r="U19" s="33">
        <f>Recu1!U19</f>
        <v>0.5</v>
      </c>
      <c r="V19" s="32">
        <f t="shared" si="68"/>
        <v>0.5</v>
      </c>
      <c r="W19" s="33">
        <f>Recu1!W19</f>
        <v>0.20000000298023224</v>
      </c>
      <c r="X19" s="32">
        <f t="shared" si="69"/>
        <v>0.20000000298023224</v>
      </c>
      <c r="Y19" s="33">
        <f>Recu1!Y19</f>
        <v>0.60000002384185791</v>
      </c>
      <c r="Z19" s="32">
        <f t="shared" si="70"/>
        <v>0.60000002384185791</v>
      </c>
      <c r="AA19" s="33">
        <f>Recu1!AA19</f>
        <v>0.30000001192092896</v>
      </c>
      <c r="AB19" s="32">
        <f t="shared" si="71"/>
        <v>0.30000001192092896</v>
      </c>
      <c r="AC19" s="33">
        <f>Recu1!AC19</f>
        <v>0.89999997615814209</v>
      </c>
      <c r="AD19" s="32">
        <f t="shared" si="72"/>
        <v>0.89999997615814209</v>
      </c>
      <c r="AE19" s="33">
        <f>Recu1!AE19</f>
        <v>0.5</v>
      </c>
      <c r="AF19" s="32">
        <f t="shared" si="73"/>
        <v>0.5</v>
      </c>
      <c r="AG19" s="33">
        <f>Recu1!AG19</f>
        <v>0.20000000298023224</v>
      </c>
      <c r="AH19" s="32">
        <f t="shared" si="74"/>
        <v>0.20000000298023224</v>
      </c>
      <c r="AI19" s="33">
        <f>Recu1!AI19</f>
        <v>0.69999998807907104</v>
      </c>
      <c r="AJ19" s="32">
        <f t="shared" si="75"/>
        <v>0.69999998807907104</v>
      </c>
      <c r="AK19" s="33">
        <f>Recu1!AK19</f>
        <v>0.80000001192092896</v>
      </c>
      <c r="AL19" s="32">
        <f t="shared" si="76"/>
        <v>0.80000001192092896</v>
      </c>
      <c r="AM19" s="33">
        <f>Recu1!AM19</f>
        <v>0.60000002384185791</v>
      </c>
      <c r="AN19" s="32">
        <f t="shared" si="77"/>
        <v>0.60000002384185791</v>
      </c>
      <c r="AO19" s="33">
        <f>Recu1!AO19</f>
        <v>0.80000001192092896</v>
      </c>
      <c r="AP19" s="32">
        <f t="shared" si="78"/>
        <v>0.80000001192092896</v>
      </c>
      <c r="AQ19" s="33">
        <f>Recu1!AQ19</f>
        <v>0.10000000149011612</v>
      </c>
      <c r="AR19" s="32">
        <f t="shared" si="79"/>
        <v>0.10000000149011612</v>
      </c>
      <c r="AS19" s="33">
        <f>Recu1!AS19</f>
        <v>0.80000001192092896</v>
      </c>
      <c r="AT19" s="32">
        <f t="shared" si="80"/>
        <v>0.80000001192092896</v>
      </c>
      <c r="AU19" s="33">
        <f>Recu1!AU19</f>
        <v>0.20000000298023224</v>
      </c>
      <c r="AV19" s="32">
        <f t="shared" si="81"/>
        <v>0.20000000298023224</v>
      </c>
      <c r="AW19" s="33">
        <f>Recu1!AW19</f>
        <v>1</v>
      </c>
      <c r="AX19" s="32">
        <f t="shared" si="82"/>
        <v>1</v>
      </c>
      <c r="AY19" s="33">
        <f>Recu1!AY19</f>
        <v>0</v>
      </c>
      <c r="AZ19" s="32">
        <f t="shared" si="83"/>
        <v>0</v>
      </c>
      <c r="BA19" s="33">
        <f>Recu1!BA19</f>
        <v>0</v>
      </c>
      <c r="BB19" s="32">
        <f t="shared" si="84"/>
        <v>0</v>
      </c>
      <c r="BC19" s="33">
        <f>Recu1!BC19</f>
        <v>0.80000001192092896</v>
      </c>
      <c r="BD19" s="32">
        <f t="shared" si="85"/>
        <v>0.80000001192092896</v>
      </c>
      <c r="BE19" s="33">
        <f>Recu1!BE19</f>
        <v>0.40000000596046448</v>
      </c>
      <c r="BF19" s="32">
        <f t="shared" si="86"/>
        <v>0.40000000596046448</v>
      </c>
      <c r="BG19" s="33">
        <f>Recu1!BG19</f>
        <v>0.5</v>
      </c>
      <c r="BH19" s="32">
        <f t="shared" si="87"/>
        <v>0.5</v>
      </c>
      <c r="BI19" s="33">
        <f>Recu1!BI19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Recu1!B20</f>
        <v>2</v>
      </c>
      <c r="C20" s="33">
        <f>Recu1!C20</f>
        <v>0.20000000298023224</v>
      </c>
      <c r="D20" s="32">
        <f t="shared" si="59"/>
        <v>0.10000000149011612</v>
      </c>
      <c r="E20" s="33">
        <f>Recu1!E20</f>
        <v>0.20000000298023224</v>
      </c>
      <c r="F20" s="32">
        <f t="shared" si="60"/>
        <v>0.10000000149011612</v>
      </c>
      <c r="G20" s="33">
        <f>Recu1!G20</f>
        <v>0</v>
      </c>
      <c r="H20" s="32">
        <f t="shared" si="61"/>
        <v>0</v>
      </c>
      <c r="I20" s="33">
        <f>Recu1!I20</f>
        <v>1.3999999761581421</v>
      </c>
      <c r="J20" s="32">
        <f t="shared" si="62"/>
        <v>0.69999998807907104</v>
      </c>
      <c r="K20" s="33">
        <f>Recu1!K20</f>
        <v>1</v>
      </c>
      <c r="L20" s="32">
        <f t="shared" si="63"/>
        <v>0.5</v>
      </c>
      <c r="M20" s="33">
        <f>Recu1!M20</f>
        <v>1.2000000476837158</v>
      </c>
      <c r="N20" s="32">
        <f t="shared" si="64"/>
        <v>0.60000002384185791</v>
      </c>
      <c r="O20" s="33">
        <f>Recu1!O20</f>
        <v>0.40000000596046448</v>
      </c>
      <c r="P20" s="32">
        <f t="shared" si="65"/>
        <v>0.20000000298023224</v>
      </c>
      <c r="Q20" s="33">
        <f>Recu1!Q20</f>
        <v>1</v>
      </c>
      <c r="R20" s="32">
        <f t="shared" si="66"/>
        <v>0.5</v>
      </c>
      <c r="S20" s="33">
        <f>Recu1!S20</f>
        <v>1.6000000238418579</v>
      </c>
      <c r="T20" s="32">
        <f t="shared" si="67"/>
        <v>0.80000001192092896</v>
      </c>
      <c r="U20" s="33">
        <f>Recu1!U20</f>
        <v>1.6000000238418579</v>
      </c>
      <c r="V20" s="32">
        <f t="shared" si="68"/>
        <v>0.80000001192092896</v>
      </c>
      <c r="W20" s="33">
        <f>Recu1!W20</f>
        <v>0.80000001192092896</v>
      </c>
      <c r="X20" s="32">
        <f t="shared" si="69"/>
        <v>0.40000000596046448</v>
      </c>
      <c r="Y20" s="33">
        <f>Recu1!Y20</f>
        <v>1.7999999523162842</v>
      </c>
      <c r="Z20" s="32">
        <f t="shared" si="70"/>
        <v>0.89999997615814209</v>
      </c>
      <c r="AA20" s="33">
        <f>Recu1!AA20</f>
        <v>1.6000000238418579</v>
      </c>
      <c r="AB20" s="32">
        <f t="shared" si="71"/>
        <v>0.80000001192092896</v>
      </c>
      <c r="AC20" s="33">
        <f>Recu1!AC20</f>
        <v>0</v>
      </c>
      <c r="AD20" s="32">
        <f t="shared" si="72"/>
        <v>0</v>
      </c>
      <c r="AE20" s="33">
        <f>Recu1!AE20</f>
        <v>1.2000000476837158</v>
      </c>
      <c r="AF20" s="32">
        <f t="shared" si="73"/>
        <v>0.60000002384185791</v>
      </c>
      <c r="AG20" s="33">
        <f>Recu1!AG20</f>
        <v>1.3999999761581421</v>
      </c>
      <c r="AH20" s="32">
        <f t="shared" si="74"/>
        <v>0.69999998807907104</v>
      </c>
      <c r="AI20" s="33">
        <f>Recu1!AI20</f>
        <v>0</v>
      </c>
      <c r="AJ20" s="32">
        <f t="shared" si="75"/>
        <v>0</v>
      </c>
      <c r="AK20" s="33">
        <f>Recu1!AK20</f>
        <v>0.80000001192092896</v>
      </c>
      <c r="AL20" s="32">
        <f t="shared" si="76"/>
        <v>0.40000000596046448</v>
      </c>
      <c r="AM20" s="33">
        <f>Recu1!AM20</f>
        <v>0.80000001192092896</v>
      </c>
      <c r="AN20" s="32">
        <f t="shared" si="77"/>
        <v>0.40000000596046448</v>
      </c>
      <c r="AO20" s="33">
        <f>Recu1!AO20</f>
        <v>0.60000002384185791</v>
      </c>
      <c r="AP20" s="32">
        <f t="shared" si="78"/>
        <v>0.30000001192092896</v>
      </c>
      <c r="AQ20" s="33">
        <f>Recu1!AQ20</f>
        <v>2</v>
      </c>
      <c r="AR20" s="32">
        <f t="shared" si="79"/>
        <v>1</v>
      </c>
      <c r="AS20" s="33">
        <f>Recu1!AS20</f>
        <v>1.6000000238418579</v>
      </c>
      <c r="AT20" s="32">
        <f t="shared" si="80"/>
        <v>0.80000001192092896</v>
      </c>
      <c r="AU20" s="33">
        <f>Recu1!AU20</f>
        <v>1.3999999761581421</v>
      </c>
      <c r="AV20" s="32">
        <f t="shared" si="81"/>
        <v>0.69999998807907104</v>
      </c>
      <c r="AW20" s="33">
        <f>Recu1!AW20</f>
        <v>0.80000001192092896</v>
      </c>
      <c r="AX20" s="32">
        <f t="shared" si="82"/>
        <v>0.40000000596046448</v>
      </c>
      <c r="AY20" s="33">
        <f>Recu1!AY20</f>
        <v>1.6000000238418579</v>
      </c>
      <c r="AZ20" s="32">
        <f t="shared" si="83"/>
        <v>0.80000001192092896</v>
      </c>
      <c r="BA20" s="33">
        <f>Recu1!BA20</f>
        <v>0.60000002384185791</v>
      </c>
      <c r="BB20" s="32">
        <f t="shared" si="84"/>
        <v>0.30000001192092896</v>
      </c>
      <c r="BC20" s="33">
        <f>Recu1!BC20</f>
        <v>0.60000002384185791</v>
      </c>
      <c r="BD20" s="32">
        <f t="shared" si="85"/>
        <v>0.30000001192092896</v>
      </c>
      <c r="BE20" s="33">
        <f>Recu1!BE20</f>
        <v>0.80000001192092896</v>
      </c>
      <c r="BF20" s="32">
        <f t="shared" si="86"/>
        <v>0.40000000596046448</v>
      </c>
      <c r="BG20" s="33">
        <f>Recu1!BG20</f>
        <v>2</v>
      </c>
      <c r="BH20" s="32">
        <f t="shared" si="87"/>
        <v>1</v>
      </c>
      <c r="BI20" s="33">
        <f>Recu1!BI20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Recu1!B21</f>
        <v>2</v>
      </c>
      <c r="C21" s="33">
        <f>Recu1!C21</f>
        <v>1.3999999761581421</v>
      </c>
      <c r="D21" s="32">
        <f t="shared" si="59"/>
        <v>0.69999998807907104</v>
      </c>
      <c r="E21" s="33">
        <f>Recu1!E21</f>
        <v>0.60000002384185791</v>
      </c>
      <c r="F21" s="32">
        <f t="shared" si="60"/>
        <v>0.30000001192092896</v>
      </c>
      <c r="G21" s="33">
        <f>Recu1!G21</f>
        <v>0.20000000298023224</v>
      </c>
      <c r="H21" s="32">
        <f t="shared" si="61"/>
        <v>0.10000000149011612</v>
      </c>
      <c r="I21" s="33">
        <f>Recu1!I21</f>
        <v>0.40000000596046448</v>
      </c>
      <c r="J21" s="32">
        <f t="shared" si="62"/>
        <v>0.20000000298023224</v>
      </c>
      <c r="K21" s="33">
        <f>Recu1!K21</f>
        <v>0</v>
      </c>
      <c r="L21" s="32">
        <f t="shared" si="63"/>
        <v>0</v>
      </c>
      <c r="M21" s="33">
        <f>Recu1!M21</f>
        <v>0.80000001192092896</v>
      </c>
      <c r="N21" s="32">
        <f t="shared" si="64"/>
        <v>0.40000000596046448</v>
      </c>
      <c r="O21" s="33">
        <f>Recu1!O21</f>
        <v>2</v>
      </c>
      <c r="P21" s="32">
        <f t="shared" si="65"/>
        <v>1</v>
      </c>
      <c r="Q21" s="33">
        <f>Recu1!Q21</f>
        <v>1</v>
      </c>
      <c r="R21" s="32">
        <f t="shared" si="66"/>
        <v>0.5</v>
      </c>
      <c r="S21" s="33">
        <f>Recu1!S21</f>
        <v>1</v>
      </c>
      <c r="T21" s="32">
        <f t="shared" si="67"/>
        <v>0.5</v>
      </c>
      <c r="U21" s="33">
        <f>Recu1!U21</f>
        <v>2</v>
      </c>
      <c r="V21" s="32">
        <f t="shared" si="68"/>
        <v>1</v>
      </c>
      <c r="W21" s="33">
        <f>Recu1!W21</f>
        <v>0.40000000596046448</v>
      </c>
      <c r="X21" s="32">
        <f t="shared" si="69"/>
        <v>0.20000000298023224</v>
      </c>
      <c r="Y21" s="33">
        <f>Recu1!Y21</f>
        <v>0.80000001192092896</v>
      </c>
      <c r="Z21" s="32">
        <f t="shared" si="70"/>
        <v>0.40000000596046448</v>
      </c>
      <c r="AA21" s="33">
        <f>Recu1!AA21</f>
        <v>0.80000001192092896</v>
      </c>
      <c r="AB21" s="32">
        <f t="shared" si="71"/>
        <v>0.40000000596046448</v>
      </c>
      <c r="AC21" s="33">
        <f>Recu1!AC21</f>
        <v>0.60000002384185791</v>
      </c>
      <c r="AD21" s="32">
        <f t="shared" si="72"/>
        <v>0.30000001192092896</v>
      </c>
      <c r="AE21" s="33">
        <f>Recu1!AE21</f>
        <v>1</v>
      </c>
      <c r="AF21" s="32">
        <f t="shared" si="73"/>
        <v>0.5</v>
      </c>
      <c r="AG21" s="33">
        <f>Recu1!AG21</f>
        <v>0.20000000298023224</v>
      </c>
      <c r="AH21" s="32">
        <f t="shared" si="74"/>
        <v>0.10000000149011612</v>
      </c>
      <c r="AI21" s="33">
        <f>Recu1!AI21</f>
        <v>1</v>
      </c>
      <c r="AJ21" s="32">
        <f t="shared" si="75"/>
        <v>0.5</v>
      </c>
      <c r="AK21" s="33">
        <f>Recu1!AK21</f>
        <v>2</v>
      </c>
      <c r="AL21" s="32">
        <f t="shared" si="76"/>
        <v>1</v>
      </c>
      <c r="AM21" s="33">
        <f>Recu1!AM21</f>
        <v>1.2000000476837158</v>
      </c>
      <c r="AN21" s="32">
        <f t="shared" si="77"/>
        <v>0.60000002384185791</v>
      </c>
      <c r="AO21" s="33">
        <f>Recu1!AO21</f>
        <v>2</v>
      </c>
      <c r="AP21" s="32">
        <f t="shared" si="78"/>
        <v>1</v>
      </c>
      <c r="AQ21" s="33">
        <f>Recu1!AQ21</f>
        <v>1.3999999761581421</v>
      </c>
      <c r="AR21" s="32">
        <f t="shared" si="79"/>
        <v>0.69999998807907104</v>
      </c>
      <c r="AS21" s="33">
        <f>Recu1!AS21</f>
        <v>0.80000001192092896</v>
      </c>
      <c r="AT21" s="32">
        <f t="shared" si="80"/>
        <v>0.40000000596046448</v>
      </c>
      <c r="AU21" s="33">
        <f>Recu1!AU21</f>
        <v>1.3999999761581421</v>
      </c>
      <c r="AV21" s="32">
        <f t="shared" si="81"/>
        <v>0.69999998807907104</v>
      </c>
      <c r="AW21" s="33">
        <f>Recu1!AW21</f>
        <v>0</v>
      </c>
      <c r="AX21" s="32">
        <f t="shared" si="82"/>
        <v>0</v>
      </c>
      <c r="AY21" s="33">
        <f>Recu1!AY21</f>
        <v>1.6000000238418579</v>
      </c>
      <c r="AZ21" s="32">
        <f t="shared" si="83"/>
        <v>0.80000001192092896</v>
      </c>
      <c r="BA21" s="33">
        <f>Recu1!BA21</f>
        <v>1.3999999761581421</v>
      </c>
      <c r="BB21" s="32">
        <f t="shared" si="84"/>
        <v>0.69999998807907104</v>
      </c>
      <c r="BC21" s="33">
        <f>Recu1!BC21</f>
        <v>1</v>
      </c>
      <c r="BD21" s="32">
        <f t="shared" si="85"/>
        <v>0.5</v>
      </c>
      <c r="BE21" s="33">
        <f>Recu1!BE21</f>
        <v>0.20000000298023224</v>
      </c>
      <c r="BF21" s="32">
        <f t="shared" si="86"/>
        <v>0.10000000149011612</v>
      </c>
      <c r="BG21" s="33">
        <f>Recu1!BG21</f>
        <v>0.40000000596046448</v>
      </c>
      <c r="BH21" s="32">
        <f t="shared" si="87"/>
        <v>0.20000000298023224</v>
      </c>
      <c r="BI21" s="33">
        <f>Recu1!BI21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Recu1!B22</f>
        <v>1</v>
      </c>
      <c r="C22" s="33">
        <f>Recu1!C22</f>
        <v>0.80000001192092896</v>
      </c>
      <c r="D22" s="32">
        <f t="shared" si="59"/>
        <v>0.80000001192092896</v>
      </c>
      <c r="E22" s="33">
        <f>Recu1!E22</f>
        <v>0</v>
      </c>
      <c r="F22" s="32">
        <f t="shared" si="60"/>
        <v>0</v>
      </c>
      <c r="G22" s="33">
        <f>Recu1!G22</f>
        <v>0.5</v>
      </c>
      <c r="H22" s="32">
        <f t="shared" si="61"/>
        <v>0.5</v>
      </c>
      <c r="I22" s="33">
        <f>Recu1!I22</f>
        <v>0.80000001192092896</v>
      </c>
      <c r="J22" s="32">
        <f t="shared" si="62"/>
        <v>0.80000001192092896</v>
      </c>
      <c r="K22" s="33">
        <f>Recu1!K22</f>
        <v>0.80000001192092896</v>
      </c>
      <c r="L22" s="32">
        <f t="shared" si="63"/>
        <v>0.80000001192092896</v>
      </c>
      <c r="M22" s="33">
        <f>Recu1!M22</f>
        <v>0.30000001192092896</v>
      </c>
      <c r="N22" s="32">
        <f t="shared" si="64"/>
        <v>0.30000001192092896</v>
      </c>
      <c r="O22" s="33">
        <f>Recu1!O22</f>
        <v>1</v>
      </c>
      <c r="P22" s="32">
        <f t="shared" si="65"/>
        <v>1</v>
      </c>
      <c r="Q22" s="33">
        <f>Recu1!Q22</f>
        <v>0.80000001192092896</v>
      </c>
      <c r="R22" s="32">
        <f t="shared" si="66"/>
        <v>0.80000001192092896</v>
      </c>
      <c r="S22" s="33">
        <f>Recu1!S22</f>
        <v>0.69999998807907104</v>
      </c>
      <c r="T22" s="32">
        <f t="shared" si="67"/>
        <v>0.69999998807907104</v>
      </c>
      <c r="U22" s="33">
        <f>Recu1!U22</f>
        <v>0.89999997615814209</v>
      </c>
      <c r="V22" s="32">
        <f t="shared" si="68"/>
        <v>0.89999997615814209</v>
      </c>
      <c r="W22" s="33">
        <f>Recu1!W22</f>
        <v>0.89999997615814209</v>
      </c>
      <c r="X22" s="32">
        <f t="shared" si="69"/>
        <v>0.89999997615814209</v>
      </c>
      <c r="Y22" s="33">
        <f>Recu1!Y22</f>
        <v>0.40000000596046448</v>
      </c>
      <c r="Z22" s="32">
        <f t="shared" si="70"/>
        <v>0.40000000596046448</v>
      </c>
      <c r="AA22" s="33">
        <f>Recu1!AA22</f>
        <v>0.10000000149011612</v>
      </c>
      <c r="AB22" s="32">
        <f t="shared" si="71"/>
        <v>0.10000000149011612</v>
      </c>
      <c r="AC22" s="33">
        <f>Recu1!AC22</f>
        <v>1</v>
      </c>
      <c r="AD22" s="32">
        <f t="shared" si="72"/>
        <v>1</v>
      </c>
      <c r="AE22" s="33">
        <f>Recu1!AE22</f>
        <v>0.80000001192092896</v>
      </c>
      <c r="AF22" s="32">
        <f t="shared" si="73"/>
        <v>0.80000001192092896</v>
      </c>
      <c r="AG22" s="33">
        <f>Recu1!AG22</f>
        <v>0.69999998807907104</v>
      </c>
      <c r="AH22" s="32">
        <f t="shared" si="74"/>
        <v>0.69999998807907104</v>
      </c>
      <c r="AI22" s="33">
        <f>Recu1!AI22</f>
        <v>0.40000000596046448</v>
      </c>
      <c r="AJ22" s="32">
        <f t="shared" si="75"/>
        <v>0.40000000596046448</v>
      </c>
      <c r="AK22" s="33">
        <f>Recu1!AK22</f>
        <v>0</v>
      </c>
      <c r="AL22" s="32">
        <f t="shared" si="76"/>
        <v>0</v>
      </c>
      <c r="AM22" s="33">
        <f>Recu1!AM22</f>
        <v>0.10000000149011612</v>
      </c>
      <c r="AN22" s="32">
        <f t="shared" si="77"/>
        <v>0.10000000149011612</v>
      </c>
      <c r="AO22" s="33">
        <f>Recu1!AO22</f>
        <v>0.10000000149011612</v>
      </c>
      <c r="AP22" s="32">
        <f t="shared" si="78"/>
        <v>0.10000000149011612</v>
      </c>
      <c r="AQ22" s="33">
        <f>Recu1!AQ22</f>
        <v>0.5</v>
      </c>
      <c r="AR22" s="32">
        <f t="shared" si="79"/>
        <v>0.5</v>
      </c>
      <c r="AS22" s="33">
        <f>Recu1!AS22</f>
        <v>0.40000000596046448</v>
      </c>
      <c r="AT22" s="32">
        <f t="shared" si="80"/>
        <v>0.40000000596046448</v>
      </c>
      <c r="AU22" s="33">
        <f>Recu1!AU22</f>
        <v>0.10000000149011612</v>
      </c>
      <c r="AV22" s="32">
        <f t="shared" si="81"/>
        <v>0.10000000149011612</v>
      </c>
      <c r="AW22" s="33">
        <f>Recu1!AW22</f>
        <v>0.30000001192092896</v>
      </c>
      <c r="AX22" s="32">
        <f t="shared" si="82"/>
        <v>0.30000001192092896</v>
      </c>
      <c r="AY22" s="33">
        <f>Recu1!AY22</f>
        <v>0.69999998807907104</v>
      </c>
      <c r="AZ22" s="32">
        <f t="shared" si="83"/>
        <v>0.69999998807907104</v>
      </c>
      <c r="BA22" s="33">
        <f>Recu1!BA22</f>
        <v>0.89999997615814209</v>
      </c>
      <c r="BB22" s="32">
        <f t="shared" si="84"/>
        <v>0.89999997615814209</v>
      </c>
      <c r="BC22" s="33">
        <f>Recu1!BC22</f>
        <v>0.5</v>
      </c>
      <c r="BD22" s="32">
        <f t="shared" si="85"/>
        <v>0.5</v>
      </c>
      <c r="BE22" s="33">
        <f>Recu1!BE22</f>
        <v>0.20000000298023224</v>
      </c>
      <c r="BF22" s="32">
        <f t="shared" si="86"/>
        <v>0.20000000298023224</v>
      </c>
      <c r="BG22" s="33">
        <f>Recu1!BG22</f>
        <v>0.89999997615814209</v>
      </c>
      <c r="BH22" s="32">
        <f t="shared" si="87"/>
        <v>0.89999997615814209</v>
      </c>
      <c r="BI22" s="33">
        <f>Recu1!BI22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Recu1!B23</f>
        <v>1</v>
      </c>
      <c r="C23" s="33">
        <f>Recu1!C23</f>
        <v>0.30000001192092896</v>
      </c>
      <c r="D23" s="32">
        <f t="shared" si="59"/>
        <v>0.30000001192092896</v>
      </c>
      <c r="E23" s="33">
        <f>Recu1!E23</f>
        <v>0.80000001192092896</v>
      </c>
      <c r="F23" s="32">
        <f t="shared" si="60"/>
        <v>0.80000001192092896</v>
      </c>
      <c r="G23" s="33">
        <f>Recu1!G23</f>
        <v>0.20000000298023224</v>
      </c>
      <c r="H23" s="32">
        <f t="shared" si="61"/>
        <v>0.20000000298023224</v>
      </c>
      <c r="I23" s="33">
        <f>Recu1!I23</f>
        <v>0.40000000596046448</v>
      </c>
      <c r="J23" s="32">
        <f t="shared" si="62"/>
        <v>0.40000000596046448</v>
      </c>
      <c r="K23" s="33">
        <f>Recu1!K23</f>
        <v>0.20000000298023224</v>
      </c>
      <c r="L23" s="32">
        <f t="shared" si="63"/>
        <v>0.20000000298023224</v>
      </c>
      <c r="M23" s="33">
        <f>Recu1!M23</f>
        <v>0.89999997615814209</v>
      </c>
      <c r="N23" s="32">
        <f t="shared" si="64"/>
        <v>0.89999997615814209</v>
      </c>
      <c r="O23" s="33">
        <f>Recu1!O23</f>
        <v>0.60000002384185791</v>
      </c>
      <c r="P23" s="32">
        <f t="shared" si="65"/>
        <v>0.60000002384185791</v>
      </c>
      <c r="Q23" s="33">
        <f>Recu1!Q23</f>
        <v>0.40000000596046448</v>
      </c>
      <c r="R23" s="32">
        <f t="shared" si="66"/>
        <v>0.40000000596046448</v>
      </c>
      <c r="S23" s="33">
        <f>Recu1!S23</f>
        <v>0.40000000596046448</v>
      </c>
      <c r="T23" s="32">
        <f t="shared" si="67"/>
        <v>0.40000000596046448</v>
      </c>
      <c r="U23" s="33">
        <f>Recu1!U23</f>
        <v>0.89999997615814209</v>
      </c>
      <c r="V23" s="32">
        <f t="shared" si="68"/>
        <v>0.89999997615814209</v>
      </c>
      <c r="W23" s="33">
        <f>Recu1!W23</f>
        <v>0.60000002384185791</v>
      </c>
      <c r="X23" s="32">
        <f t="shared" si="69"/>
        <v>0.60000002384185791</v>
      </c>
      <c r="Y23" s="33">
        <f>Recu1!Y23</f>
        <v>1</v>
      </c>
      <c r="Z23" s="32">
        <f t="shared" si="70"/>
        <v>1</v>
      </c>
      <c r="AA23" s="33">
        <f>Recu1!AA23</f>
        <v>0.5</v>
      </c>
      <c r="AB23" s="32">
        <f t="shared" si="71"/>
        <v>0.5</v>
      </c>
      <c r="AC23" s="33">
        <f>Recu1!AC23</f>
        <v>0.30000001192092896</v>
      </c>
      <c r="AD23" s="32">
        <f t="shared" si="72"/>
        <v>0.30000001192092896</v>
      </c>
      <c r="AE23" s="33">
        <f>Recu1!AE23</f>
        <v>0.89999997615814209</v>
      </c>
      <c r="AF23" s="32">
        <f t="shared" si="73"/>
        <v>0.89999997615814209</v>
      </c>
      <c r="AG23" s="33">
        <f>Recu1!AG23</f>
        <v>0.20000000298023224</v>
      </c>
      <c r="AH23" s="32">
        <f t="shared" si="74"/>
        <v>0.20000000298023224</v>
      </c>
      <c r="AI23" s="33">
        <f>Recu1!AI23</f>
        <v>0.20000000298023224</v>
      </c>
      <c r="AJ23" s="32">
        <f t="shared" si="75"/>
        <v>0.20000000298023224</v>
      </c>
      <c r="AK23" s="33">
        <f>Recu1!AK23</f>
        <v>0.10000000149011612</v>
      </c>
      <c r="AL23" s="32">
        <f t="shared" si="76"/>
        <v>0.10000000149011612</v>
      </c>
      <c r="AM23" s="33">
        <f>Recu1!AM23</f>
        <v>0.30000001192092896</v>
      </c>
      <c r="AN23" s="32">
        <f t="shared" si="77"/>
        <v>0.30000001192092896</v>
      </c>
      <c r="AO23" s="33">
        <f>Recu1!AO23</f>
        <v>0</v>
      </c>
      <c r="AP23" s="32">
        <f t="shared" si="78"/>
        <v>0</v>
      </c>
      <c r="AQ23" s="33">
        <f>Recu1!AQ23</f>
        <v>0.80000001192092896</v>
      </c>
      <c r="AR23" s="32">
        <f t="shared" si="79"/>
        <v>0.80000001192092896</v>
      </c>
      <c r="AS23" s="33">
        <f>Recu1!AS23</f>
        <v>0.89999997615814209</v>
      </c>
      <c r="AT23" s="32">
        <f t="shared" si="80"/>
        <v>0.89999997615814209</v>
      </c>
      <c r="AU23" s="33">
        <f>Recu1!AU23</f>
        <v>0.30000001192092896</v>
      </c>
      <c r="AV23" s="32">
        <f t="shared" si="81"/>
        <v>0.30000001192092896</v>
      </c>
      <c r="AW23" s="33">
        <f>Recu1!AW23</f>
        <v>0.69999998807907104</v>
      </c>
      <c r="AX23" s="32">
        <f t="shared" si="82"/>
        <v>0.69999998807907104</v>
      </c>
      <c r="AY23" s="33">
        <f>Recu1!AY23</f>
        <v>0.40000000596046448</v>
      </c>
      <c r="AZ23" s="32">
        <f t="shared" si="83"/>
        <v>0.40000000596046448</v>
      </c>
      <c r="BA23" s="33">
        <f>Recu1!BA23</f>
        <v>0.80000001192092896</v>
      </c>
      <c r="BB23" s="32">
        <f t="shared" si="84"/>
        <v>0.80000001192092896</v>
      </c>
      <c r="BC23" s="33">
        <f>Recu1!BC23</f>
        <v>0.80000001192092896</v>
      </c>
      <c r="BD23" s="32">
        <f t="shared" si="85"/>
        <v>0.80000001192092896</v>
      </c>
      <c r="BE23" s="33">
        <f>Recu1!BE23</f>
        <v>0.40000000596046448</v>
      </c>
      <c r="BF23" s="32">
        <f t="shared" si="86"/>
        <v>0.40000000596046448</v>
      </c>
      <c r="BG23" s="33">
        <f>Recu1!BG23</f>
        <v>0</v>
      </c>
      <c r="BH23" s="32">
        <f t="shared" si="87"/>
        <v>0</v>
      </c>
      <c r="BI23" s="33">
        <f>Recu1!BI23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Recu1!B24</f>
        <v>0</v>
      </c>
      <c r="C24" s="33">
        <f>Recu1!C24</f>
        <v>0</v>
      </c>
      <c r="D24" s="32">
        <f t="shared" si="59"/>
        <v>-1</v>
      </c>
      <c r="E24" s="33">
        <f>Recu1!E24</f>
        <v>0</v>
      </c>
      <c r="F24" s="32">
        <f t="shared" si="60"/>
        <v>-1</v>
      </c>
      <c r="G24" s="33">
        <f>Recu1!G24</f>
        <v>0</v>
      </c>
      <c r="H24" s="32">
        <f t="shared" si="61"/>
        <v>-1</v>
      </c>
      <c r="I24" s="33">
        <f>Recu1!I24</f>
        <v>0</v>
      </c>
      <c r="J24" s="32">
        <f t="shared" si="62"/>
        <v>-1</v>
      </c>
      <c r="K24" s="33">
        <f>Recu1!K24</f>
        <v>0</v>
      </c>
      <c r="L24" s="32">
        <f t="shared" si="63"/>
        <v>-1</v>
      </c>
      <c r="M24" s="33">
        <f>Recu1!M24</f>
        <v>0</v>
      </c>
      <c r="N24" s="32">
        <f t="shared" si="64"/>
        <v>-1</v>
      </c>
      <c r="O24" s="33">
        <f>Recu1!O24</f>
        <v>0</v>
      </c>
      <c r="P24" s="32">
        <f t="shared" si="65"/>
        <v>-1</v>
      </c>
      <c r="Q24" s="33">
        <f>Recu1!Q24</f>
        <v>0</v>
      </c>
      <c r="R24" s="32">
        <f t="shared" si="66"/>
        <v>-1</v>
      </c>
      <c r="S24" s="33">
        <f>Recu1!S24</f>
        <v>0</v>
      </c>
      <c r="T24" s="32">
        <f t="shared" si="67"/>
        <v>-1</v>
      </c>
      <c r="U24" s="33">
        <f>Recu1!U24</f>
        <v>0</v>
      </c>
      <c r="V24" s="32">
        <f t="shared" si="68"/>
        <v>-1</v>
      </c>
      <c r="W24" s="33">
        <f>Recu1!W24</f>
        <v>0</v>
      </c>
      <c r="X24" s="32">
        <f t="shared" si="69"/>
        <v>-1</v>
      </c>
      <c r="Y24" s="33">
        <f>Recu1!Y24</f>
        <v>0</v>
      </c>
      <c r="Z24" s="32">
        <f t="shared" si="70"/>
        <v>-1</v>
      </c>
      <c r="AA24" s="33">
        <f>Recu1!AA24</f>
        <v>0</v>
      </c>
      <c r="AB24" s="32">
        <f t="shared" si="71"/>
        <v>-1</v>
      </c>
      <c r="AC24" s="33">
        <f>Recu1!AC24</f>
        <v>0</v>
      </c>
      <c r="AD24" s="32">
        <f t="shared" si="72"/>
        <v>-1</v>
      </c>
      <c r="AE24" s="33">
        <f>Recu1!AE24</f>
        <v>0</v>
      </c>
      <c r="AF24" s="32">
        <f t="shared" si="73"/>
        <v>-1</v>
      </c>
      <c r="AG24" s="33">
        <f>Recu1!AG24</f>
        <v>0</v>
      </c>
      <c r="AH24" s="32">
        <f t="shared" si="74"/>
        <v>-1</v>
      </c>
      <c r="AI24" s="33">
        <f>Recu1!AI24</f>
        <v>0</v>
      </c>
      <c r="AJ24" s="32">
        <f t="shared" si="75"/>
        <v>-1</v>
      </c>
      <c r="AK24" s="33">
        <f>Recu1!AK24</f>
        <v>0</v>
      </c>
      <c r="AL24" s="32">
        <f t="shared" si="76"/>
        <v>-1</v>
      </c>
      <c r="AM24" s="33">
        <f>Recu1!AM24</f>
        <v>0</v>
      </c>
      <c r="AN24" s="32">
        <f t="shared" si="77"/>
        <v>-1</v>
      </c>
      <c r="AO24" s="33">
        <f>Recu1!AO24</f>
        <v>0</v>
      </c>
      <c r="AP24" s="32">
        <f t="shared" si="78"/>
        <v>-1</v>
      </c>
      <c r="AQ24" s="33">
        <f>Recu1!AQ24</f>
        <v>0</v>
      </c>
      <c r="AR24" s="32">
        <f t="shared" si="79"/>
        <v>-1</v>
      </c>
      <c r="AS24" s="33">
        <f>Recu1!AS24</f>
        <v>0</v>
      </c>
      <c r="AT24" s="32">
        <f t="shared" si="80"/>
        <v>-1</v>
      </c>
      <c r="AU24" s="33">
        <f>Recu1!AU24</f>
        <v>0</v>
      </c>
      <c r="AV24" s="32">
        <f t="shared" si="81"/>
        <v>-1</v>
      </c>
      <c r="AW24" s="33">
        <f>Recu1!AW24</f>
        <v>0</v>
      </c>
      <c r="AX24" s="32">
        <f t="shared" si="82"/>
        <v>-1</v>
      </c>
      <c r="AY24" s="33">
        <f>Recu1!AY24</f>
        <v>0</v>
      </c>
      <c r="AZ24" s="32">
        <f t="shared" si="83"/>
        <v>-1</v>
      </c>
      <c r="BA24" s="33">
        <f>Recu1!BA24</f>
        <v>0</v>
      </c>
      <c r="BB24" s="32">
        <f t="shared" si="84"/>
        <v>-1</v>
      </c>
      <c r="BC24" s="33">
        <f>Recu1!BC24</f>
        <v>0</v>
      </c>
      <c r="BD24" s="32">
        <f t="shared" si="85"/>
        <v>-1</v>
      </c>
      <c r="BE24" s="33">
        <f>Recu1!BE24</f>
        <v>0</v>
      </c>
      <c r="BF24" s="32">
        <f t="shared" si="86"/>
        <v>-1</v>
      </c>
      <c r="BG24" s="33">
        <f>Recu1!BG24</f>
        <v>0</v>
      </c>
      <c r="BH24" s="32">
        <f t="shared" si="87"/>
        <v>-1</v>
      </c>
      <c r="BI24" s="33">
        <f>Recu1!BI24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Recu1!B25</f>
        <v>0</v>
      </c>
      <c r="C25" s="33">
        <f>Recu1!C25</f>
        <v>0</v>
      </c>
      <c r="D25" s="32">
        <f t="shared" si="59"/>
        <v>-1</v>
      </c>
      <c r="E25" s="33">
        <f>Recu1!E25</f>
        <v>0</v>
      </c>
      <c r="F25" s="32">
        <f t="shared" si="60"/>
        <v>-1</v>
      </c>
      <c r="G25" s="33">
        <f>Recu1!G25</f>
        <v>0</v>
      </c>
      <c r="H25" s="32">
        <f t="shared" si="61"/>
        <v>-1</v>
      </c>
      <c r="I25" s="33">
        <f>Recu1!I25</f>
        <v>0</v>
      </c>
      <c r="J25" s="32">
        <f t="shared" si="62"/>
        <v>-1</v>
      </c>
      <c r="K25" s="33">
        <f>Recu1!K25</f>
        <v>0</v>
      </c>
      <c r="L25" s="32">
        <f t="shared" si="63"/>
        <v>-1</v>
      </c>
      <c r="M25" s="33">
        <f>Recu1!M25</f>
        <v>0</v>
      </c>
      <c r="N25" s="32">
        <f t="shared" si="64"/>
        <v>-1</v>
      </c>
      <c r="O25" s="33">
        <f>Recu1!O25</f>
        <v>0</v>
      </c>
      <c r="P25" s="32">
        <f t="shared" si="65"/>
        <v>-1</v>
      </c>
      <c r="Q25" s="33">
        <f>Recu1!Q25</f>
        <v>0</v>
      </c>
      <c r="R25" s="32">
        <f t="shared" si="66"/>
        <v>-1</v>
      </c>
      <c r="S25" s="33">
        <f>Recu1!S25</f>
        <v>0</v>
      </c>
      <c r="T25" s="32">
        <f t="shared" si="67"/>
        <v>-1</v>
      </c>
      <c r="U25" s="33">
        <f>Recu1!U25</f>
        <v>0</v>
      </c>
      <c r="V25" s="32">
        <f t="shared" si="68"/>
        <v>-1</v>
      </c>
      <c r="W25" s="33">
        <f>Recu1!W25</f>
        <v>0</v>
      </c>
      <c r="X25" s="32">
        <f t="shared" si="69"/>
        <v>-1</v>
      </c>
      <c r="Y25" s="33">
        <f>Recu1!Y25</f>
        <v>0</v>
      </c>
      <c r="Z25" s="32">
        <f t="shared" si="70"/>
        <v>-1</v>
      </c>
      <c r="AA25" s="33">
        <f>Recu1!AA25</f>
        <v>0</v>
      </c>
      <c r="AB25" s="32">
        <f t="shared" si="71"/>
        <v>-1</v>
      </c>
      <c r="AC25" s="33">
        <f>Recu1!AC25</f>
        <v>0</v>
      </c>
      <c r="AD25" s="32">
        <f t="shared" si="72"/>
        <v>-1</v>
      </c>
      <c r="AE25" s="33">
        <f>Recu1!AE25</f>
        <v>0</v>
      </c>
      <c r="AF25" s="32">
        <f t="shared" si="73"/>
        <v>-1</v>
      </c>
      <c r="AG25" s="33">
        <f>Recu1!AG25</f>
        <v>0</v>
      </c>
      <c r="AH25" s="32">
        <f t="shared" si="74"/>
        <v>-1</v>
      </c>
      <c r="AI25" s="33">
        <f>Recu1!AI25</f>
        <v>0</v>
      </c>
      <c r="AJ25" s="32">
        <f t="shared" si="75"/>
        <v>-1</v>
      </c>
      <c r="AK25" s="33">
        <f>Recu1!AK25</f>
        <v>0</v>
      </c>
      <c r="AL25" s="32">
        <f t="shared" si="76"/>
        <v>-1</v>
      </c>
      <c r="AM25" s="33">
        <f>Recu1!AM25</f>
        <v>0</v>
      </c>
      <c r="AN25" s="32">
        <f t="shared" si="77"/>
        <v>-1</v>
      </c>
      <c r="AO25" s="33">
        <f>Recu1!AO25</f>
        <v>0</v>
      </c>
      <c r="AP25" s="32">
        <f t="shared" si="78"/>
        <v>-1</v>
      </c>
      <c r="AQ25" s="33">
        <f>Recu1!AQ25</f>
        <v>0</v>
      </c>
      <c r="AR25" s="32">
        <f t="shared" si="79"/>
        <v>-1</v>
      </c>
      <c r="AS25" s="33">
        <f>Recu1!AS25</f>
        <v>0</v>
      </c>
      <c r="AT25" s="32">
        <f t="shared" si="80"/>
        <v>-1</v>
      </c>
      <c r="AU25" s="33">
        <f>Recu1!AU25</f>
        <v>0</v>
      </c>
      <c r="AV25" s="32">
        <f t="shared" si="81"/>
        <v>-1</v>
      </c>
      <c r="AW25" s="33">
        <f>Recu1!AW25</f>
        <v>0</v>
      </c>
      <c r="AX25" s="32">
        <f t="shared" si="82"/>
        <v>-1</v>
      </c>
      <c r="AY25" s="33">
        <f>Recu1!AY25</f>
        <v>0</v>
      </c>
      <c r="AZ25" s="32">
        <f t="shared" si="83"/>
        <v>-1</v>
      </c>
      <c r="BA25" s="33">
        <f>Recu1!BA25</f>
        <v>0</v>
      </c>
      <c r="BB25" s="32">
        <f t="shared" si="84"/>
        <v>-1</v>
      </c>
      <c r="BC25" s="33">
        <f>Recu1!BC25</f>
        <v>0</v>
      </c>
      <c r="BD25" s="32">
        <f t="shared" si="85"/>
        <v>-1</v>
      </c>
      <c r="BE25" s="33">
        <f>Recu1!BE25</f>
        <v>0</v>
      </c>
      <c r="BF25" s="32">
        <f t="shared" si="86"/>
        <v>-1</v>
      </c>
      <c r="BG25" s="33">
        <f>Recu1!BG25</f>
        <v>0</v>
      </c>
      <c r="BH25" s="32">
        <f t="shared" si="87"/>
        <v>-1</v>
      </c>
      <c r="BI25" s="33">
        <f>Recu1!BI25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MAX([2]Examen21!B14,[2]Examen22!B14,[2]Examen23!B14)</f>
        <v>2</v>
      </c>
      <c r="C26" s="33">
        <f>MAX([2]Examen21!C14,[2]Examen22!C14,[2]Examen23!C14)</f>
        <v>0.60000002384185791</v>
      </c>
      <c r="D26" s="32">
        <f t="shared" si="59"/>
        <v>0.30000001192092896</v>
      </c>
      <c r="E26" s="33">
        <f>MAX([2]Examen21!E14,[2]Examen22!E14,[2]Examen23!E14)</f>
        <v>1.3999999761581421</v>
      </c>
      <c r="F26" s="32">
        <f t="shared" si="60"/>
        <v>0.69999998807907104</v>
      </c>
      <c r="G26" s="33">
        <f>MAX([2]Examen21!G14,[2]Examen22!G14,[2]Examen23!G14)</f>
        <v>0.60000002384185791</v>
      </c>
      <c r="H26" s="32">
        <f t="shared" si="61"/>
        <v>0.30000001192092896</v>
      </c>
      <c r="I26" s="33">
        <f>MAX([2]Examen21!I14,[2]Examen22!I14,[2]Examen23!I14)</f>
        <v>1.6000000238418579</v>
      </c>
      <c r="J26" s="32">
        <f t="shared" si="62"/>
        <v>0.80000001192092896</v>
      </c>
      <c r="K26" s="33">
        <f>MAX([2]Examen21!K14,[2]Examen22!K14,[2]Examen23!K14)</f>
        <v>0.20000000298023224</v>
      </c>
      <c r="L26" s="32">
        <f t="shared" si="63"/>
        <v>0.10000000149011612</v>
      </c>
      <c r="M26" s="33">
        <f>MAX([2]Examen21!M14,[2]Examen22!M14,[2]Examen23!M14)</f>
        <v>1.2000000476837158</v>
      </c>
      <c r="N26" s="32">
        <f t="shared" si="64"/>
        <v>0.60000002384185791</v>
      </c>
      <c r="O26" s="33">
        <f>MAX([2]Examen21!O14,[2]Examen22!O14,[2]Examen23!O14)</f>
        <v>2</v>
      </c>
      <c r="P26" s="32">
        <f t="shared" si="65"/>
        <v>1</v>
      </c>
      <c r="Q26" s="33">
        <f>MAX([2]Examen21!Q14,[2]Examen22!Q14,[2]Examen23!Q14)</f>
        <v>0.40000000596046448</v>
      </c>
      <c r="R26" s="32">
        <f t="shared" si="66"/>
        <v>0.20000000298023224</v>
      </c>
      <c r="S26" s="33">
        <f>MAX([2]Examen21!S14,[2]Examen22!S14,[2]Examen23!S14)</f>
        <v>2</v>
      </c>
      <c r="T26" s="32">
        <f t="shared" si="67"/>
        <v>1</v>
      </c>
      <c r="U26" s="33">
        <f>MAX([2]Examen21!U14,[2]Examen22!U14,[2]Examen23!U14)</f>
        <v>0.20000000298023224</v>
      </c>
      <c r="V26" s="32">
        <f t="shared" si="68"/>
        <v>0.10000000149011612</v>
      </c>
      <c r="W26" s="33">
        <f>MAX([2]Examen21!W14,[2]Examen22!W14,[2]Examen23!W14)</f>
        <v>2</v>
      </c>
      <c r="X26" s="32">
        <f t="shared" si="69"/>
        <v>1</v>
      </c>
      <c r="Y26" s="33">
        <f>MAX([2]Examen21!Y14,[2]Examen22!Y14,[2]Examen23!Y14)</f>
        <v>1.2000000476837158</v>
      </c>
      <c r="Z26" s="32">
        <f t="shared" si="70"/>
        <v>0.60000002384185791</v>
      </c>
      <c r="AA26" s="33">
        <f>MAX([2]Examen21!AA14,[2]Examen22!AA14,[2]Examen23!AA14)</f>
        <v>1.2000000476837158</v>
      </c>
      <c r="AB26" s="32">
        <f t="shared" si="71"/>
        <v>0.60000002384185791</v>
      </c>
      <c r="AC26" s="33">
        <f>MAX([2]Examen21!AC14,[2]Examen22!AC14,[2]Examen23!AC14)</f>
        <v>1.7999999523162842</v>
      </c>
      <c r="AD26" s="32">
        <f t="shared" si="72"/>
        <v>0.89999997615814209</v>
      </c>
      <c r="AE26" s="33">
        <f>MAX([2]Examen21!AE14,[2]Examen22!AE14,[2]Examen23!AE14)</f>
        <v>1.2000000476837158</v>
      </c>
      <c r="AF26" s="32">
        <f t="shared" si="73"/>
        <v>0.60000002384185791</v>
      </c>
      <c r="AG26" s="33">
        <f>MAX([2]Examen21!AG14,[2]Examen22!AG14,[2]Examen23!AG14)</f>
        <v>0.40000000596046448</v>
      </c>
      <c r="AH26" s="32">
        <f t="shared" si="74"/>
        <v>0.20000000298023224</v>
      </c>
      <c r="AI26" s="33">
        <f>MAX([2]Examen21!AI14,[2]Examen22!AI14,[2]Examen23!AI14)</f>
        <v>1.7999999523162842</v>
      </c>
      <c r="AJ26" s="32">
        <f t="shared" si="75"/>
        <v>0.89999997615814209</v>
      </c>
      <c r="AK26" s="33">
        <f>MAX([2]Examen21!AK14,[2]Examen22!AK14,[2]Examen23!AK14)</f>
        <v>0</v>
      </c>
      <c r="AL26" s="32">
        <f t="shared" si="76"/>
        <v>0</v>
      </c>
      <c r="AM26" s="33">
        <f>MAX([2]Examen21!AM14,[2]Examen22!AM14,[2]Examen23!AM14)</f>
        <v>0.80000001192092896</v>
      </c>
      <c r="AN26" s="32">
        <f t="shared" si="77"/>
        <v>0.40000000596046448</v>
      </c>
      <c r="AO26" s="33">
        <f>MAX([2]Examen21!AO14,[2]Examen22!AO14,[2]Examen23!AO14)</f>
        <v>1.6000000238418579</v>
      </c>
      <c r="AP26" s="32">
        <f t="shared" si="78"/>
        <v>0.80000001192092896</v>
      </c>
      <c r="AQ26" s="33">
        <f>MAX([2]Examen21!AQ14,[2]Examen22!AQ14,[2]Examen23!AQ14)</f>
        <v>0.40000000596046448</v>
      </c>
      <c r="AR26" s="32">
        <f t="shared" si="79"/>
        <v>0.20000000298023224</v>
      </c>
      <c r="AS26" s="33">
        <f>MAX([2]Examen21!AS14,[2]Examen22!AS14,[2]Examen23!AS14)</f>
        <v>0.80000001192092896</v>
      </c>
      <c r="AT26" s="32">
        <f t="shared" si="80"/>
        <v>0.40000000596046448</v>
      </c>
      <c r="AU26" s="33">
        <f>MAX([2]Examen21!AU14,[2]Examen22!AU14,[2]Examen23!AU14)</f>
        <v>0.80000001192092896</v>
      </c>
      <c r="AV26" s="32">
        <f t="shared" si="81"/>
        <v>0.40000000596046448</v>
      </c>
      <c r="AW26" s="33">
        <f>MAX([2]Examen21!AW14,[2]Examen22!AW14,[2]Examen23!AW14)</f>
        <v>1</v>
      </c>
      <c r="AX26" s="32">
        <f t="shared" si="82"/>
        <v>0.5</v>
      </c>
      <c r="AY26" s="33">
        <f>MAX([2]Examen21!AY14,[2]Examen22!AY14,[2]Examen23!AY14)</f>
        <v>0.40000000596046448</v>
      </c>
      <c r="AZ26" s="32">
        <f t="shared" si="83"/>
        <v>0.20000000298023224</v>
      </c>
      <c r="BA26" s="33">
        <f>MAX([2]Examen21!BA14,[2]Examen22!BA14,[2]Examen23!BA14)</f>
        <v>1.2000000476837158</v>
      </c>
      <c r="BB26" s="32">
        <f t="shared" si="84"/>
        <v>0.60000002384185791</v>
      </c>
      <c r="BC26" s="33">
        <f>MAX([2]Examen21!BC14,[2]Examen22!BC14,[2]Examen23!BC14)</f>
        <v>0.40000000596046448</v>
      </c>
      <c r="BD26" s="32">
        <f t="shared" si="85"/>
        <v>0.20000000298023224</v>
      </c>
      <c r="BE26" s="33">
        <f>MAX([2]Examen21!BE14,[2]Examen22!BE14,[2]Examen23!BE14)</f>
        <v>0</v>
      </c>
      <c r="BF26" s="32">
        <f t="shared" si="86"/>
        <v>0</v>
      </c>
      <c r="BG26" s="33">
        <f>MAX([2]Examen21!BG14,[2]Examen22!BG14,[2]Examen23!BG14)</f>
        <v>1.7999999523162842</v>
      </c>
      <c r="BH26" s="32">
        <f t="shared" si="87"/>
        <v>0.89999997615814209</v>
      </c>
      <c r="BI26" s="33">
        <f>MAX([2]Examen21!BI14,[2]Examen22!BI14,[2]Examen23!BI14)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MAX([2]Examen21!B15,[2]Examen22!B15,[2]Examen23!B15)</f>
        <v>2</v>
      </c>
      <c r="C27" s="33">
        <f>MAX([2]Examen21!C15,[2]Examen22!C15,[2]Examen23!C15)</f>
        <v>1.3999999761581421</v>
      </c>
      <c r="D27" s="32">
        <f t="shared" si="59"/>
        <v>0.69999998807907104</v>
      </c>
      <c r="E27" s="33">
        <f>MAX([2]Examen21!E15,[2]Examen22!E15,[2]Examen23!E15)</f>
        <v>1.7999999523162842</v>
      </c>
      <c r="F27" s="32">
        <f t="shared" si="60"/>
        <v>0.89999997615814209</v>
      </c>
      <c r="G27" s="33">
        <f>MAX([2]Examen21!G15,[2]Examen22!G15,[2]Examen23!G15)</f>
        <v>0.40000000596046448</v>
      </c>
      <c r="H27" s="32">
        <f t="shared" si="61"/>
        <v>0.20000000298023224</v>
      </c>
      <c r="I27" s="33">
        <f>MAX([2]Examen21!I15,[2]Examen22!I15,[2]Examen23!I15)</f>
        <v>2</v>
      </c>
      <c r="J27" s="32">
        <f t="shared" si="62"/>
        <v>1</v>
      </c>
      <c r="K27" s="33">
        <f>MAX([2]Examen21!K15,[2]Examen22!K15,[2]Examen23!K15)</f>
        <v>1.7999999523162842</v>
      </c>
      <c r="L27" s="32">
        <f t="shared" si="63"/>
        <v>0.89999997615814209</v>
      </c>
      <c r="M27" s="33">
        <f>MAX([2]Examen21!M15,[2]Examen22!M15,[2]Examen23!M15)</f>
        <v>0.80000001192092896</v>
      </c>
      <c r="N27" s="32">
        <f t="shared" si="64"/>
        <v>0.40000000596046448</v>
      </c>
      <c r="O27" s="33">
        <f>MAX([2]Examen21!O15,[2]Examen22!O15,[2]Examen23!O15)</f>
        <v>1</v>
      </c>
      <c r="P27" s="32">
        <f t="shared" si="65"/>
        <v>0.5</v>
      </c>
      <c r="Q27" s="33">
        <f>MAX([2]Examen21!Q15,[2]Examen22!Q15,[2]Examen23!Q15)</f>
        <v>1.6000000238418579</v>
      </c>
      <c r="R27" s="32">
        <f t="shared" si="66"/>
        <v>0.80000001192092896</v>
      </c>
      <c r="S27" s="33">
        <f>MAX([2]Examen21!S15,[2]Examen22!S15,[2]Examen23!S15)</f>
        <v>1.7999999523162842</v>
      </c>
      <c r="T27" s="32">
        <f t="shared" si="67"/>
        <v>0.89999997615814209</v>
      </c>
      <c r="U27" s="33">
        <f>MAX([2]Examen21!U15,[2]Examen22!U15,[2]Examen23!U15)</f>
        <v>0.80000001192092896</v>
      </c>
      <c r="V27" s="32">
        <f t="shared" si="68"/>
        <v>0.40000000596046448</v>
      </c>
      <c r="W27" s="33">
        <f>MAX([2]Examen21!W15,[2]Examen22!W15,[2]Examen23!W15)</f>
        <v>0.40000000596046448</v>
      </c>
      <c r="X27" s="32">
        <f t="shared" si="69"/>
        <v>0.20000000298023224</v>
      </c>
      <c r="Y27" s="33">
        <f>MAX([2]Examen21!Y15,[2]Examen22!Y15,[2]Examen23!Y15)</f>
        <v>0.60000002384185791</v>
      </c>
      <c r="Z27" s="32">
        <f t="shared" si="70"/>
        <v>0.30000001192092896</v>
      </c>
      <c r="AA27" s="33">
        <f>MAX([2]Examen21!AA15,[2]Examen22!AA15,[2]Examen23!AA15)</f>
        <v>0.80000001192092896</v>
      </c>
      <c r="AB27" s="32">
        <f t="shared" si="71"/>
        <v>0.40000000596046448</v>
      </c>
      <c r="AC27" s="33">
        <f>MAX([2]Examen21!AC15,[2]Examen22!AC15,[2]Examen23!AC15)</f>
        <v>0.20000000298023224</v>
      </c>
      <c r="AD27" s="32">
        <f t="shared" si="72"/>
        <v>0.10000000149011612</v>
      </c>
      <c r="AE27" s="33">
        <f>MAX([2]Examen21!AE15,[2]Examen22!AE15,[2]Examen23!AE15)</f>
        <v>1.2000000476837158</v>
      </c>
      <c r="AF27" s="32">
        <f t="shared" si="73"/>
        <v>0.60000002384185791</v>
      </c>
      <c r="AG27" s="33">
        <f>MAX([2]Examen21!AG15,[2]Examen22!AG15,[2]Examen23!AG15)</f>
        <v>0.20000000298023224</v>
      </c>
      <c r="AH27" s="32">
        <f t="shared" si="74"/>
        <v>0.10000000149011612</v>
      </c>
      <c r="AI27" s="33">
        <f>MAX([2]Examen21!AI15,[2]Examen22!AI15,[2]Examen23!AI15)</f>
        <v>0.40000000596046448</v>
      </c>
      <c r="AJ27" s="32">
        <f t="shared" si="75"/>
        <v>0.20000000298023224</v>
      </c>
      <c r="AK27" s="33">
        <f>MAX([2]Examen21!AK15,[2]Examen22!AK15,[2]Examen23!AK15)</f>
        <v>1.3999999761581421</v>
      </c>
      <c r="AL27" s="32">
        <f t="shared" si="76"/>
        <v>0.69999998807907104</v>
      </c>
      <c r="AM27" s="33">
        <f>MAX([2]Examen21!AM15,[2]Examen22!AM15,[2]Examen23!AM15)</f>
        <v>1</v>
      </c>
      <c r="AN27" s="32">
        <f t="shared" si="77"/>
        <v>0.5</v>
      </c>
      <c r="AO27" s="33">
        <f>MAX([2]Examen21!AO15,[2]Examen22!AO15,[2]Examen23!AO15)</f>
        <v>0.40000000596046448</v>
      </c>
      <c r="AP27" s="32">
        <f t="shared" si="78"/>
        <v>0.20000000298023224</v>
      </c>
      <c r="AQ27" s="33">
        <f>MAX([2]Examen21!AQ15,[2]Examen22!AQ15,[2]Examen23!AQ15)</f>
        <v>2</v>
      </c>
      <c r="AR27" s="32">
        <f t="shared" si="79"/>
        <v>1</v>
      </c>
      <c r="AS27" s="33">
        <f>MAX([2]Examen21!AS15,[2]Examen22!AS15,[2]Examen23!AS15)</f>
        <v>1</v>
      </c>
      <c r="AT27" s="32">
        <f t="shared" si="80"/>
        <v>0.5</v>
      </c>
      <c r="AU27" s="33">
        <f>MAX([2]Examen21!AU15,[2]Examen22!AU15,[2]Examen23!AU15)</f>
        <v>0</v>
      </c>
      <c r="AV27" s="32">
        <f t="shared" si="81"/>
        <v>0</v>
      </c>
      <c r="AW27" s="33">
        <f>MAX([2]Examen21!AW15,[2]Examen22!AW15,[2]Examen23!AW15)</f>
        <v>0.80000001192092896</v>
      </c>
      <c r="AX27" s="32">
        <f t="shared" si="82"/>
        <v>0.40000000596046448</v>
      </c>
      <c r="AY27" s="33">
        <f>MAX([2]Examen21!AY15,[2]Examen22!AY15,[2]Examen23!AY15)</f>
        <v>0.60000002384185791</v>
      </c>
      <c r="AZ27" s="32">
        <f t="shared" si="83"/>
        <v>0.30000001192092896</v>
      </c>
      <c r="BA27" s="33">
        <f>MAX([2]Examen21!BA15,[2]Examen22!BA15,[2]Examen23!BA15)</f>
        <v>1.6000000238418579</v>
      </c>
      <c r="BB27" s="32">
        <f t="shared" si="84"/>
        <v>0.80000001192092896</v>
      </c>
      <c r="BC27" s="33">
        <f>MAX([2]Examen21!BC15,[2]Examen22!BC15,[2]Examen23!BC15)</f>
        <v>1.7999999523162842</v>
      </c>
      <c r="BD27" s="32">
        <f t="shared" si="85"/>
        <v>0.89999997615814209</v>
      </c>
      <c r="BE27" s="33">
        <f>MAX([2]Examen21!BE15,[2]Examen22!BE15,[2]Examen23!BE15)</f>
        <v>1.7999999523162842</v>
      </c>
      <c r="BF27" s="32">
        <f t="shared" si="86"/>
        <v>0.89999997615814209</v>
      </c>
      <c r="BG27" s="33">
        <f>MAX([2]Examen21!BG15,[2]Examen22!BG15,[2]Examen23!BG15)</f>
        <v>0.20000000298023224</v>
      </c>
      <c r="BH27" s="32">
        <f t="shared" si="87"/>
        <v>0.10000000149011612</v>
      </c>
      <c r="BI27" s="33">
        <f>MAX([2]Examen21!BI15,[2]Examen22!BI15,[2]Examen23!BI15)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MAX([2]Examen21!B16,[2]Examen22!B16,[2]Examen23!B16)</f>
        <v>2</v>
      </c>
      <c r="C28" s="33">
        <f>MAX([2]Examen21!C16,[2]Examen22!C16,[2]Examen23!C16)</f>
        <v>0</v>
      </c>
      <c r="D28" s="32">
        <f t="shared" si="59"/>
        <v>0</v>
      </c>
      <c r="E28" s="33">
        <f>MAX([2]Examen21!E16,[2]Examen22!E16,[2]Examen23!E16)</f>
        <v>0.20000000298023224</v>
      </c>
      <c r="F28" s="32">
        <f t="shared" si="60"/>
        <v>0.10000000149011612</v>
      </c>
      <c r="G28" s="33">
        <f>MAX([2]Examen21!G16,[2]Examen22!G16,[2]Examen23!G16)</f>
        <v>0.80000001192092896</v>
      </c>
      <c r="H28" s="32">
        <f t="shared" si="61"/>
        <v>0.40000000596046448</v>
      </c>
      <c r="I28" s="33">
        <f>MAX([2]Examen21!I16,[2]Examen22!I16,[2]Examen23!I16)</f>
        <v>0.40000000596046448</v>
      </c>
      <c r="J28" s="32">
        <f t="shared" si="62"/>
        <v>0.20000000298023224</v>
      </c>
      <c r="K28" s="33">
        <f>MAX([2]Examen21!K16,[2]Examen22!K16,[2]Examen23!K16)</f>
        <v>2</v>
      </c>
      <c r="L28" s="32">
        <f t="shared" si="63"/>
        <v>1</v>
      </c>
      <c r="M28" s="33">
        <f>MAX([2]Examen21!M16,[2]Examen22!M16,[2]Examen23!M16)</f>
        <v>1.7999999523162842</v>
      </c>
      <c r="N28" s="32">
        <f t="shared" si="64"/>
        <v>0.89999997615814209</v>
      </c>
      <c r="O28" s="33">
        <f>MAX([2]Examen21!O16,[2]Examen22!O16,[2]Examen23!O16)</f>
        <v>1.2000000476837158</v>
      </c>
      <c r="P28" s="32">
        <f t="shared" si="65"/>
        <v>0.60000002384185791</v>
      </c>
      <c r="Q28" s="33">
        <f>MAX([2]Examen21!Q16,[2]Examen22!Q16,[2]Examen23!Q16)</f>
        <v>1.6000000238418579</v>
      </c>
      <c r="R28" s="32">
        <f t="shared" si="66"/>
        <v>0.80000001192092896</v>
      </c>
      <c r="S28" s="33">
        <f>MAX([2]Examen21!S16,[2]Examen22!S16,[2]Examen23!S16)</f>
        <v>0.20000000298023224</v>
      </c>
      <c r="T28" s="32">
        <f t="shared" si="67"/>
        <v>0.10000000149011612</v>
      </c>
      <c r="U28" s="33">
        <f>MAX([2]Examen21!U16,[2]Examen22!U16,[2]Examen23!U16)</f>
        <v>0.40000000596046448</v>
      </c>
      <c r="V28" s="32">
        <f t="shared" si="68"/>
        <v>0.20000000298023224</v>
      </c>
      <c r="W28" s="33">
        <f>MAX([2]Examen21!W16,[2]Examen22!W16,[2]Examen23!W16)</f>
        <v>0</v>
      </c>
      <c r="X28" s="32">
        <f t="shared" si="69"/>
        <v>0</v>
      </c>
      <c r="Y28" s="33">
        <f>MAX([2]Examen21!Y16,[2]Examen22!Y16,[2]Examen23!Y16)</f>
        <v>1.7999999523162842</v>
      </c>
      <c r="Z28" s="32">
        <f t="shared" si="70"/>
        <v>0.89999997615814209</v>
      </c>
      <c r="AA28" s="33">
        <f>MAX([2]Examen21!AA16,[2]Examen22!AA16,[2]Examen23!AA16)</f>
        <v>1.6000000238418579</v>
      </c>
      <c r="AB28" s="32">
        <f t="shared" si="71"/>
        <v>0.80000001192092896</v>
      </c>
      <c r="AC28" s="33">
        <f>MAX([2]Examen21!AC16,[2]Examen22!AC16,[2]Examen23!AC16)</f>
        <v>1.6000000238418579</v>
      </c>
      <c r="AD28" s="32">
        <f t="shared" si="72"/>
        <v>0.80000001192092896</v>
      </c>
      <c r="AE28" s="33">
        <f>MAX([2]Examen21!AE16,[2]Examen22!AE16,[2]Examen23!AE16)</f>
        <v>0.60000002384185791</v>
      </c>
      <c r="AF28" s="32">
        <f t="shared" si="73"/>
        <v>0.30000001192092896</v>
      </c>
      <c r="AG28" s="33">
        <f>MAX([2]Examen21!AG16,[2]Examen22!AG16,[2]Examen23!AG16)</f>
        <v>0.80000001192092896</v>
      </c>
      <c r="AH28" s="32">
        <f t="shared" si="74"/>
        <v>0.40000000596046448</v>
      </c>
      <c r="AI28" s="33">
        <f>MAX([2]Examen21!AI16,[2]Examen22!AI16,[2]Examen23!AI16)</f>
        <v>1.2000000476837158</v>
      </c>
      <c r="AJ28" s="32">
        <f t="shared" si="75"/>
        <v>0.60000002384185791</v>
      </c>
      <c r="AK28" s="33">
        <f>MAX([2]Examen21!AK16,[2]Examen22!AK16,[2]Examen23!AK16)</f>
        <v>1.6000000238418579</v>
      </c>
      <c r="AL28" s="32">
        <f t="shared" si="76"/>
        <v>0.80000001192092896</v>
      </c>
      <c r="AM28" s="33">
        <f>MAX([2]Examen21!AM16,[2]Examen22!AM16,[2]Examen23!AM16)</f>
        <v>1.2000000476837158</v>
      </c>
      <c r="AN28" s="32">
        <f t="shared" si="77"/>
        <v>0.60000002384185791</v>
      </c>
      <c r="AO28" s="33">
        <f>MAX([2]Examen21!AO16,[2]Examen22!AO16,[2]Examen23!AO16)</f>
        <v>0.40000000596046448</v>
      </c>
      <c r="AP28" s="32">
        <f t="shared" si="78"/>
        <v>0.20000000298023224</v>
      </c>
      <c r="AQ28" s="33">
        <f>MAX([2]Examen21!AQ16,[2]Examen22!AQ16,[2]Examen23!AQ16)</f>
        <v>0.40000000596046448</v>
      </c>
      <c r="AR28" s="32">
        <f t="shared" si="79"/>
        <v>0.20000000298023224</v>
      </c>
      <c r="AS28" s="33">
        <f>MAX([2]Examen21!AS16,[2]Examen22!AS16,[2]Examen23!AS16)</f>
        <v>0.80000001192092896</v>
      </c>
      <c r="AT28" s="32">
        <f t="shared" si="80"/>
        <v>0.40000000596046448</v>
      </c>
      <c r="AU28" s="33">
        <f>MAX([2]Examen21!AU16,[2]Examen22!AU16,[2]Examen23!AU16)</f>
        <v>1.2000000476837158</v>
      </c>
      <c r="AV28" s="32">
        <f t="shared" si="81"/>
        <v>0.60000002384185791</v>
      </c>
      <c r="AW28" s="33">
        <f>MAX([2]Examen21!AW16,[2]Examen22!AW16,[2]Examen23!AW16)</f>
        <v>0.60000002384185791</v>
      </c>
      <c r="AX28" s="32">
        <f t="shared" si="82"/>
        <v>0.30000001192092896</v>
      </c>
      <c r="AY28" s="33">
        <f>MAX([2]Examen21!AY16,[2]Examen22!AY16,[2]Examen23!AY16)</f>
        <v>1</v>
      </c>
      <c r="AZ28" s="32">
        <f t="shared" si="83"/>
        <v>0.5</v>
      </c>
      <c r="BA28" s="33">
        <f>MAX([2]Examen21!BA16,[2]Examen22!BA16,[2]Examen23!BA16)</f>
        <v>0.80000001192092896</v>
      </c>
      <c r="BB28" s="32">
        <f t="shared" si="84"/>
        <v>0.40000000596046448</v>
      </c>
      <c r="BC28" s="33">
        <f>MAX([2]Examen21!BC16,[2]Examen22!BC16,[2]Examen23!BC16)</f>
        <v>1.2000000476837158</v>
      </c>
      <c r="BD28" s="32">
        <f t="shared" si="85"/>
        <v>0.60000002384185791</v>
      </c>
      <c r="BE28" s="33">
        <f>MAX([2]Examen21!BE16,[2]Examen22!BE16,[2]Examen23!BE16)</f>
        <v>0</v>
      </c>
      <c r="BF28" s="32">
        <f t="shared" si="86"/>
        <v>0</v>
      </c>
      <c r="BG28" s="33">
        <f>MAX([2]Examen21!BG16,[2]Examen22!BG16,[2]Examen23!BG16)</f>
        <v>1.2000000476837158</v>
      </c>
      <c r="BH28" s="32">
        <f t="shared" si="87"/>
        <v>0.60000002384185791</v>
      </c>
      <c r="BI28" s="33">
        <f>MAX([2]Examen21!BI16,[2]Examen22!BI16,[2]Examen23!BI16)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MAX([2]Examen21!B17,[2]Examen22!B17,[2]Examen23!B17)</f>
        <v>2</v>
      </c>
      <c r="C29" s="33">
        <f>MAX([2]Examen21!C17,[2]Examen22!C17,[2]Examen23!C17)</f>
        <v>2</v>
      </c>
      <c r="D29" s="32">
        <f t="shared" si="59"/>
        <v>1</v>
      </c>
      <c r="E29" s="33">
        <f>MAX([2]Examen21!E17,[2]Examen22!E17,[2]Examen23!E17)</f>
        <v>2</v>
      </c>
      <c r="F29" s="32">
        <f t="shared" si="60"/>
        <v>1</v>
      </c>
      <c r="G29" s="33">
        <f>MAX([2]Examen21!G17,[2]Examen22!G17,[2]Examen23!G17)</f>
        <v>2</v>
      </c>
      <c r="H29" s="32">
        <f t="shared" si="61"/>
        <v>1</v>
      </c>
      <c r="I29" s="33">
        <f>MAX([2]Examen21!I17,[2]Examen22!I17,[2]Examen23!I17)</f>
        <v>1.7999999523162842</v>
      </c>
      <c r="J29" s="32">
        <f t="shared" si="62"/>
        <v>0.89999997615814209</v>
      </c>
      <c r="K29" s="33">
        <f>MAX([2]Examen21!K17,[2]Examen22!K17,[2]Examen23!K17)</f>
        <v>0.80000001192092896</v>
      </c>
      <c r="L29" s="32">
        <f t="shared" si="63"/>
        <v>0.40000000596046448</v>
      </c>
      <c r="M29" s="33">
        <f>MAX([2]Examen21!M17,[2]Examen22!M17,[2]Examen23!M17)</f>
        <v>1.6000000238418579</v>
      </c>
      <c r="N29" s="32">
        <f t="shared" si="64"/>
        <v>0.80000001192092896</v>
      </c>
      <c r="O29" s="33">
        <f>MAX([2]Examen21!O17,[2]Examen22!O17,[2]Examen23!O17)</f>
        <v>2</v>
      </c>
      <c r="P29" s="32">
        <f t="shared" si="65"/>
        <v>1</v>
      </c>
      <c r="Q29" s="33">
        <f>MAX([2]Examen21!Q17,[2]Examen22!Q17,[2]Examen23!Q17)</f>
        <v>0.40000000596046448</v>
      </c>
      <c r="R29" s="32">
        <f t="shared" si="66"/>
        <v>0.20000000298023224</v>
      </c>
      <c r="S29" s="33">
        <f>MAX([2]Examen21!S17,[2]Examen22!S17,[2]Examen23!S17)</f>
        <v>0.20000000298023224</v>
      </c>
      <c r="T29" s="32">
        <f t="shared" si="67"/>
        <v>0.10000000149011612</v>
      </c>
      <c r="U29" s="33">
        <f>MAX([2]Examen21!U17,[2]Examen22!U17,[2]Examen23!U17)</f>
        <v>1.3999999761581421</v>
      </c>
      <c r="V29" s="32">
        <f t="shared" si="68"/>
        <v>0.69999998807907104</v>
      </c>
      <c r="W29" s="33">
        <f>MAX([2]Examen21!W17,[2]Examen22!W17,[2]Examen23!W17)</f>
        <v>0</v>
      </c>
      <c r="X29" s="32">
        <f t="shared" si="69"/>
        <v>0</v>
      </c>
      <c r="Y29" s="33">
        <f>MAX([2]Examen21!Y17,[2]Examen22!Y17,[2]Examen23!Y17)</f>
        <v>0.60000002384185791</v>
      </c>
      <c r="Z29" s="32">
        <f t="shared" si="70"/>
        <v>0.30000001192092896</v>
      </c>
      <c r="AA29" s="33">
        <f>MAX([2]Examen21!AA17,[2]Examen22!AA17,[2]Examen23!AA17)</f>
        <v>1.3999999761581421</v>
      </c>
      <c r="AB29" s="32">
        <f t="shared" si="71"/>
        <v>0.69999998807907104</v>
      </c>
      <c r="AC29" s="33">
        <f>MAX([2]Examen21!AC17,[2]Examen22!AC17,[2]Examen23!AC17)</f>
        <v>0.20000000298023224</v>
      </c>
      <c r="AD29" s="32">
        <f t="shared" si="72"/>
        <v>0.10000000149011612</v>
      </c>
      <c r="AE29" s="33">
        <f>MAX([2]Examen21!AE17,[2]Examen22!AE17,[2]Examen23!AE17)</f>
        <v>0.20000000298023224</v>
      </c>
      <c r="AF29" s="32">
        <f t="shared" si="73"/>
        <v>0.10000000149011612</v>
      </c>
      <c r="AG29" s="33">
        <f>MAX([2]Examen21!AG17,[2]Examen22!AG17,[2]Examen23!AG17)</f>
        <v>0.60000002384185791</v>
      </c>
      <c r="AH29" s="32">
        <f t="shared" si="74"/>
        <v>0.30000001192092896</v>
      </c>
      <c r="AI29" s="33">
        <f>MAX([2]Examen21!AI17,[2]Examen22!AI17,[2]Examen23!AI17)</f>
        <v>0.80000001192092896</v>
      </c>
      <c r="AJ29" s="32">
        <f t="shared" si="75"/>
        <v>0.40000000596046448</v>
      </c>
      <c r="AK29" s="33">
        <f>MAX([2]Examen21!AK17,[2]Examen22!AK17,[2]Examen23!AK17)</f>
        <v>1.2000000476837158</v>
      </c>
      <c r="AL29" s="32">
        <f t="shared" si="76"/>
        <v>0.60000002384185791</v>
      </c>
      <c r="AM29" s="33">
        <f>MAX([2]Examen21!AM17,[2]Examen22!AM17,[2]Examen23!AM17)</f>
        <v>0.60000002384185791</v>
      </c>
      <c r="AN29" s="32">
        <f t="shared" si="77"/>
        <v>0.30000001192092896</v>
      </c>
      <c r="AO29" s="33">
        <f>MAX([2]Examen21!AO17,[2]Examen22!AO17,[2]Examen23!AO17)</f>
        <v>0.60000002384185791</v>
      </c>
      <c r="AP29" s="32">
        <f t="shared" si="78"/>
        <v>0.30000001192092896</v>
      </c>
      <c r="AQ29" s="33">
        <f>MAX([2]Examen21!AQ17,[2]Examen22!AQ17,[2]Examen23!AQ17)</f>
        <v>1.6000000238418579</v>
      </c>
      <c r="AR29" s="32">
        <f t="shared" si="79"/>
        <v>0.80000001192092896</v>
      </c>
      <c r="AS29" s="33">
        <f>MAX([2]Examen21!AS17,[2]Examen22!AS17,[2]Examen23!AS17)</f>
        <v>0.60000002384185791</v>
      </c>
      <c r="AT29" s="32">
        <f t="shared" si="80"/>
        <v>0.30000001192092896</v>
      </c>
      <c r="AU29" s="33">
        <f>MAX([2]Examen21!AU17,[2]Examen22!AU17,[2]Examen23!AU17)</f>
        <v>0.80000001192092896</v>
      </c>
      <c r="AV29" s="32">
        <f t="shared" si="81"/>
        <v>0.40000000596046448</v>
      </c>
      <c r="AW29" s="33">
        <f>MAX([2]Examen21!AW17,[2]Examen22!AW17,[2]Examen23!AW17)</f>
        <v>0.80000001192092896</v>
      </c>
      <c r="AX29" s="32">
        <f t="shared" si="82"/>
        <v>0.40000000596046448</v>
      </c>
      <c r="AY29" s="33">
        <f>MAX([2]Examen21!AY17,[2]Examen22!AY17,[2]Examen23!AY17)</f>
        <v>1.7999999523162842</v>
      </c>
      <c r="AZ29" s="32">
        <f t="shared" si="83"/>
        <v>0.89999997615814209</v>
      </c>
      <c r="BA29" s="33">
        <f>MAX([2]Examen21!BA17,[2]Examen22!BA17,[2]Examen23!BA17)</f>
        <v>0.80000001192092896</v>
      </c>
      <c r="BB29" s="32">
        <f t="shared" si="84"/>
        <v>0.40000000596046448</v>
      </c>
      <c r="BC29" s="33">
        <f>MAX([2]Examen21!BC17,[2]Examen22!BC17,[2]Examen23!BC17)</f>
        <v>1.3999999761581421</v>
      </c>
      <c r="BD29" s="32">
        <f t="shared" si="85"/>
        <v>0.69999998807907104</v>
      </c>
      <c r="BE29" s="33">
        <f>MAX([2]Examen21!BE17,[2]Examen22!BE17,[2]Examen23!BE17)</f>
        <v>1.3999999761581421</v>
      </c>
      <c r="BF29" s="32">
        <f t="shared" si="86"/>
        <v>0.69999998807907104</v>
      </c>
      <c r="BG29" s="33">
        <f>MAX([2]Examen21!BG17,[2]Examen22!BG17,[2]Examen23!BG17)</f>
        <v>0.80000001192092896</v>
      </c>
      <c r="BH29" s="32">
        <f t="shared" si="87"/>
        <v>0.40000000596046448</v>
      </c>
      <c r="BI29" s="33">
        <f>MAX([2]Examen21!BI17,[2]Examen22!BI17,[2]Examen23!BI17)</f>
        <v>2</v>
      </c>
      <c r="BJ29" s="32">
        <f t="shared" si="88"/>
        <v>1</v>
      </c>
    </row>
    <row r="30" spans="1:62" ht="70" x14ac:dyDescent="0.2">
      <c r="A30" s="2" t="s">
        <v>31</v>
      </c>
      <c r="B30" s="13">
        <f>MAX([2]Examen21!B18,[2]Examen22!B18,[2]Examen23!B18)</f>
        <v>0</v>
      </c>
      <c r="C30" s="33">
        <f>MAX([2]Examen21!C18,[2]Examen22!C18,[2]Examen23!C18)</f>
        <v>0</v>
      </c>
      <c r="D30" s="32">
        <f t="shared" si="59"/>
        <v>-1</v>
      </c>
      <c r="E30" s="33">
        <f>MAX([2]Examen21!E18,[2]Examen22!E18,[2]Examen23!E18)</f>
        <v>0</v>
      </c>
      <c r="F30" s="32">
        <f t="shared" si="60"/>
        <v>-1</v>
      </c>
      <c r="G30" s="33">
        <f>MAX([2]Examen21!G18,[2]Examen22!G18,[2]Examen23!G18)</f>
        <v>0</v>
      </c>
      <c r="H30" s="32">
        <f t="shared" si="61"/>
        <v>-1</v>
      </c>
      <c r="I30" s="33">
        <f>MAX([2]Examen21!I18,[2]Examen22!I18,[2]Examen23!I18)</f>
        <v>0</v>
      </c>
      <c r="J30" s="32">
        <f t="shared" si="62"/>
        <v>-1</v>
      </c>
      <c r="K30" s="33">
        <f>MAX([2]Examen21!K18,[2]Examen22!K18,[2]Examen23!K18)</f>
        <v>0</v>
      </c>
      <c r="L30" s="32">
        <f t="shared" si="63"/>
        <v>-1</v>
      </c>
      <c r="M30" s="33">
        <f>MAX([2]Examen21!M18,[2]Examen22!M18,[2]Examen23!M18)</f>
        <v>0</v>
      </c>
      <c r="N30" s="32">
        <f t="shared" si="64"/>
        <v>-1</v>
      </c>
      <c r="O30" s="33">
        <f>MAX([2]Examen21!O18,[2]Examen22!O18,[2]Examen23!O18)</f>
        <v>0</v>
      </c>
      <c r="P30" s="32">
        <f t="shared" si="65"/>
        <v>-1</v>
      </c>
      <c r="Q30" s="33">
        <f>MAX([2]Examen21!Q18,[2]Examen22!Q18,[2]Examen23!Q18)</f>
        <v>0</v>
      </c>
      <c r="R30" s="32">
        <f t="shared" si="66"/>
        <v>-1</v>
      </c>
      <c r="S30" s="33">
        <f>MAX([2]Examen21!S18,[2]Examen22!S18,[2]Examen23!S18)</f>
        <v>0</v>
      </c>
      <c r="T30" s="32">
        <f t="shared" si="67"/>
        <v>-1</v>
      </c>
      <c r="U30" s="33">
        <f>MAX([2]Examen21!U18,[2]Examen22!U18,[2]Examen23!U18)</f>
        <v>0</v>
      </c>
      <c r="V30" s="32">
        <f t="shared" si="68"/>
        <v>-1</v>
      </c>
      <c r="W30" s="33">
        <f>MAX([2]Examen21!W18,[2]Examen22!W18,[2]Examen23!W18)</f>
        <v>0</v>
      </c>
      <c r="X30" s="32">
        <f t="shared" si="69"/>
        <v>-1</v>
      </c>
      <c r="Y30" s="33">
        <f>MAX([2]Examen21!Y18,[2]Examen22!Y18,[2]Examen23!Y18)</f>
        <v>0</v>
      </c>
      <c r="Z30" s="32">
        <f t="shared" si="70"/>
        <v>-1</v>
      </c>
      <c r="AA30" s="33">
        <f>MAX([2]Examen21!AA18,[2]Examen22!AA18,[2]Examen23!AA18)</f>
        <v>0</v>
      </c>
      <c r="AB30" s="32">
        <f t="shared" si="71"/>
        <v>-1</v>
      </c>
      <c r="AC30" s="33">
        <f>MAX([2]Examen21!AC18,[2]Examen22!AC18,[2]Examen23!AC18)</f>
        <v>0</v>
      </c>
      <c r="AD30" s="32">
        <f t="shared" si="72"/>
        <v>-1</v>
      </c>
      <c r="AE30" s="33">
        <f>MAX([2]Examen21!AE18,[2]Examen22!AE18,[2]Examen23!AE18)</f>
        <v>0</v>
      </c>
      <c r="AF30" s="32">
        <f t="shared" si="73"/>
        <v>-1</v>
      </c>
      <c r="AG30" s="33">
        <f>MAX([2]Examen21!AG18,[2]Examen22!AG18,[2]Examen23!AG18)</f>
        <v>0</v>
      </c>
      <c r="AH30" s="32">
        <f t="shared" si="74"/>
        <v>-1</v>
      </c>
      <c r="AI30" s="33">
        <f>MAX([2]Examen21!AI18,[2]Examen22!AI18,[2]Examen23!AI18)</f>
        <v>0</v>
      </c>
      <c r="AJ30" s="32">
        <f t="shared" si="75"/>
        <v>-1</v>
      </c>
      <c r="AK30" s="33">
        <f>MAX([2]Examen21!AK18,[2]Examen22!AK18,[2]Examen23!AK18)</f>
        <v>0</v>
      </c>
      <c r="AL30" s="32">
        <f t="shared" si="76"/>
        <v>-1</v>
      </c>
      <c r="AM30" s="33">
        <f>MAX([2]Examen21!AM18,[2]Examen22!AM18,[2]Examen23!AM18)</f>
        <v>0</v>
      </c>
      <c r="AN30" s="32">
        <f t="shared" si="77"/>
        <v>-1</v>
      </c>
      <c r="AO30" s="33">
        <f>MAX([2]Examen21!AO18,[2]Examen22!AO18,[2]Examen23!AO18)</f>
        <v>0</v>
      </c>
      <c r="AP30" s="32">
        <f t="shared" si="78"/>
        <v>-1</v>
      </c>
      <c r="AQ30" s="33">
        <f>MAX([2]Examen21!AQ18,[2]Examen22!AQ18,[2]Examen23!AQ18)</f>
        <v>0</v>
      </c>
      <c r="AR30" s="32">
        <f t="shared" si="79"/>
        <v>-1</v>
      </c>
      <c r="AS30" s="33">
        <f>MAX([2]Examen21!AS18,[2]Examen22!AS18,[2]Examen23!AS18)</f>
        <v>0</v>
      </c>
      <c r="AT30" s="32">
        <f t="shared" si="80"/>
        <v>-1</v>
      </c>
      <c r="AU30" s="33">
        <f>MAX([2]Examen21!AU18,[2]Examen22!AU18,[2]Examen23!AU18)</f>
        <v>0</v>
      </c>
      <c r="AV30" s="32">
        <f t="shared" si="81"/>
        <v>-1</v>
      </c>
      <c r="AW30" s="33">
        <f>MAX([2]Examen21!AW18,[2]Examen22!AW18,[2]Examen23!AW18)</f>
        <v>0</v>
      </c>
      <c r="AX30" s="32">
        <f t="shared" si="82"/>
        <v>-1</v>
      </c>
      <c r="AY30" s="33">
        <f>MAX([2]Examen21!AY18,[2]Examen22!AY18,[2]Examen23!AY18)</f>
        <v>0</v>
      </c>
      <c r="AZ30" s="32">
        <f t="shared" si="83"/>
        <v>-1</v>
      </c>
      <c r="BA30" s="33">
        <f>MAX([2]Examen21!BA18,[2]Examen22!BA18,[2]Examen23!BA18)</f>
        <v>0</v>
      </c>
      <c r="BB30" s="32">
        <f t="shared" si="84"/>
        <v>-1</v>
      </c>
      <c r="BC30" s="33">
        <f>MAX([2]Examen21!BC18,[2]Examen22!BC18,[2]Examen23!BC18)</f>
        <v>0</v>
      </c>
      <c r="BD30" s="32">
        <f t="shared" si="85"/>
        <v>-1</v>
      </c>
      <c r="BE30" s="33">
        <f>MAX([2]Examen21!BE18,[2]Examen22!BE18,[2]Examen23!BE18)</f>
        <v>0</v>
      </c>
      <c r="BF30" s="32">
        <f t="shared" si="86"/>
        <v>-1</v>
      </c>
      <c r="BG30" s="33">
        <f>MAX([2]Examen21!BG18,[2]Examen22!BG18,[2]Examen23!BG18)</f>
        <v>0</v>
      </c>
      <c r="BH30" s="32">
        <f t="shared" si="87"/>
        <v>-1</v>
      </c>
      <c r="BI30" s="33">
        <f>MAX([2]Examen21!BI18,[2]Examen22!BI18,[2]Examen23!BI18)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MAX([2]Examen21!B19,[2]Examen22!B19,[2]Examen23!B19)</f>
        <v>2</v>
      </c>
      <c r="C31" s="33">
        <f>MAX([2]Examen21!C19,[2]Examen22!C19,[2]Examen23!C19)</f>
        <v>1.3999999761581421</v>
      </c>
      <c r="D31" s="32">
        <f t="shared" si="59"/>
        <v>0.69999998807907104</v>
      </c>
      <c r="E31" s="33">
        <f>MAX([2]Examen21!E19,[2]Examen22!E19,[2]Examen23!E19)</f>
        <v>1</v>
      </c>
      <c r="F31" s="32">
        <f t="shared" si="60"/>
        <v>0.5</v>
      </c>
      <c r="G31" s="33">
        <f>MAX([2]Examen21!G19,[2]Examen22!G19,[2]Examen23!G19)</f>
        <v>0.40000000596046448</v>
      </c>
      <c r="H31" s="32">
        <f t="shared" si="61"/>
        <v>0.20000000298023224</v>
      </c>
      <c r="I31" s="33">
        <f>MAX([2]Examen21!I19,[2]Examen22!I19,[2]Examen23!I19)</f>
        <v>1.2000000476837158</v>
      </c>
      <c r="J31" s="32">
        <f t="shared" si="62"/>
        <v>0.60000002384185791</v>
      </c>
      <c r="K31" s="33">
        <f>MAX([2]Examen21!K19,[2]Examen22!K19,[2]Examen23!K19)</f>
        <v>1.6000000238418579</v>
      </c>
      <c r="L31" s="32">
        <f t="shared" si="63"/>
        <v>0.80000001192092896</v>
      </c>
      <c r="M31" s="33">
        <f>MAX([2]Examen21!M19,[2]Examen22!M19,[2]Examen23!M19)</f>
        <v>1</v>
      </c>
      <c r="N31" s="32">
        <f t="shared" si="64"/>
        <v>0.5</v>
      </c>
      <c r="O31" s="33">
        <f>MAX([2]Examen21!O19,[2]Examen22!O19,[2]Examen23!O19)</f>
        <v>1.7999999523162842</v>
      </c>
      <c r="P31" s="32">
        <f t="shared" si="65"/>
        <v>0.89999997615814209</v>
      </c>
      <c r="Q31" s="33">
        <f>MAX([2]Examen21!Q19,[2]Examen22!Q19,[2]Examen23!Q19)</f>
        <v>0.60000002384185791</v>
      </c>
      <c r="R31" s="32">
        <f t="shared" si="66"/>
        <v>0.30000001192092896</v>
      </c>
      <c r="S31" s="33">
        <f>MAX([2]Examen21!S19,[2]Examen22!S19,[2]Examen23!S19)</f>
        <v>1.3999999761581421</v>
      </c>
      <c r="T31" s="32">
        <f t="shared" si="67"/>
        <v>0.69999998807907104</v>
      </c>
      <c r="U31" s="33">
        <f>MAX([2]Examen21!U19,[2]Examen22!U19,[2]Examen23!U19)</f>
        <v>1.7999999523162842</v>
      </c>
      <c r="V31" s="32">
        <f t="shared" si="68"/>
        <v>0.89999997615814209</v>
      </c>
      <c r="W31" s="33">
        <f>MAX([2]Examen21!W19,[2]Examen22!W19,[2]Examen23!W19)</f>
        <v>0.60000002384185791</v>
      </c>
      <c r="X31" s="32">
        <f t="shared" si="69"/>
        <v>0.30000001192092896</v>
      </c>
      <c r="Y31" s="33">
        <f>MAX([2]Examen21!Y19,[2]Examen22!Y19,[2]Examen23!Y19)</f>
        <v>0.80000001192092896</v>
      </c>
      <c r="Z31" s="32">
        <f t="shared" si="70"/>
        <v>0.40000000596046448</v>
      </c>
      <c r="AA31" s="33">
        <f>MAX([2]Examen21!AA19,[2]Examen22!AA19,[2]Examen23!AA19)</f>
        <v>0</v>
      </c>
      <c r="AB31" s="32">
        <f t="shared" si="71"/>
        <v>0</v>
      </c>
      <c r="AC31" s="33">
        <f>MAX([2]Examen21!AC19,[2]Examen22!AC19,[2]Examen23!AC19)</f>
        <v>0.60000002384185791</v>
      </c>
      <c r="AD31" s="32">
        <f t="shared" si="72"/>
        <v>0.30000001192092896</v>
      </c>
      <c r="AE31" s="33">
        <f>MAX([2]Examen21!AE19,[2]Examen22!AE19,[2]Examen23!AE19)</f>
        <v>2</v>
      </c>
      <c r="AF31" s="32">
        <f t="shared" si="73"/>
        <v>1</v>
      </c>
      <c r="AG31" s="33">
        <f>MAX([2]Examen21!AG19,[2]Examen22!AG19,[2]Examen23!AG19)</f>
        <v>1.6000000238418579</v>
      </c>
      <c r="AH31" s="32">
        <f t="shared" si="74"/>
        <v>0.80000001192092896</v>
      </c>
      <c r="AI31" s="33">
        <f>MAX([2]Examen21!AI19,[2]Examen22!AI19,[2]Examen23!AI19)</f>
        <v>1.2000000476837158</v>
      </c>
      <c r="AJ31" s="32">
        <f t="shared" si="75"/>
        <v>0.60000002384185791</v>
      </c>
      <c r="AK31" s="33">
        <f>MAX([2]Examen21!AK19,[2]Examen22!AK19,[2]Examen23!AK19)</f>
        <v>1.2000000476837158</v>
      </c>
      <c r="AL31" s="32">
        <f t="shared" si="76"/>
        <v>0.60000002384185791</v>
      </c>
      <c r="AM31" s="33">
        <f>MAX([2]Examen21!AM19,[2]Examen22!AM19,[2]Examen23!AM19)</f>
        <v>0.40000000596046448</v>
      </c>
      <c r="AN31" s="32">
        <f t="shared" si="77"/>
        <v>0.20000000298023224</v>
      </c>
      <c r="AO31" s="33">
        <f>MAX([2]Examen21!AO19,[2]Examen22!AO19,[2]Examen23!AO19)</f>
        <v>1</v>
      </c>
      <c r="AP31" s="32">
        <f t="shared" si="78"/>
        <v>0.5</v>
      </c>
      <c r="AQ31" s="33">
        <f>MAX([2]Examen21!AQ19,[2]Examen22!AQ19,[2]Examen23!AQ19)</f>
        <v>1.6000000238418579</v>
      </c>
      <c r="AR31" s="32">
        <f t="shared" si="79"/>
        <v>0.80000001192092896</v>
      </c>
      <c r="AS31" s="33">
        <f>MAX([2]Examen21!AS19,[2]Examen22!AS19,[2]Examen23!AS19)</f>
        <v>1.7999999523162842</v>
      </c>
      <c r="AT31" s="32">
        <f t="shared" si="80"/>
        <v>0.89999997615814209</v>
      </c>
      <c r="AU31" s="33">
        <f>MAX([2]Examen21!AU19,[2]Examen22!AU19,[2]Examen23!AU19)</f>
        <v>0.20000000298023224</v>
      </c>
      <c r="AV31" s="32">
        <f t="shared" si="81"/>
        <v>0.10000000149011612</v>
      </c>
      <c r="AW31" s="33">
        <f>MAX([2]Examen21!AW19,[2]Examen22!AW19,[2]Examen23!AW19)</f>
        <v>1</v>
      </c>
      <c r="AX31" s="32">
        <f t="shared" si="82"/>
        <v>0.5</v>
      </c>
      <c r="AY31" s="33">
        <f>MAX([2]Examen21!AY19,[2]Examen22!AY19,[2]Examen23!AY19)</f>
        <v>0.80000001192092896</v>
      </c>
      <c r="AZ31" s="32">
        <f t="shared" si="83"/>
        <v>0.40000000596046448</v>
      </c>
      <c r="BA31" s="33">
        <f>MAX([2]Examen21!BA19,[2]Examen22!BA19,[2]Examen23!BA19)</f>
        <v>0</v>
      </c>
      <c r="BB31" s="32">
        <f t="shared" si="84"/>
        <v>0</v>
      </c>
      <c r="BC31" s="33">
        <f>MAX([2]Examen21!BC19,[2]Examen22!BC19,[2]Examen23!BC19)</f>
        <v>0.80000001192092896</v>
      </c>
      <c r="BD31" s="32">
        <f t="shared" si="85"/>
        <v>0.40000000596046448</v>
      </c>
      <c r="BE31" s="33">
        <f>MAX([2]Examen21!BE19,[2]Examen22!BE19,[2]Examen23!BE19)</f>
        <v>1.3999999761581421</v>
      </c>
      <c r="BF31" s="32">
        <f t="shared" si="86"/>
        <v>0.69999998807907104</v>
      </c>
      <c r="BG31" s="33">
        <f>MAX([2]Examen21!BG19,[2]Examen22!BG19,[2]Examen23!BG19)</f>
        <v>1</v>
      </c>
      <c r="BH31" s="32">
        <f t="shared" si="87"/>
        <v>0.5</v>
      </c>
      <c r="BI31" s="33">
        <f>MAX([2]Examen21!BI19,[2]Examen22!BI19,[2]Examen23!BI19)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MAX([2]Examen21!B20,[2]Examen22!B20,[2]Examen23!B20)</f>
        <v>0</v>
      </c>
      <c r="C32" s="33">
        <f>MAX([2]Examen21!C20,[2]Examen22!C20,[2]Examen23!C20)</f>
        <v>0</v>
      </c>
      <c r="D32" s="32">
        <f t="shared" si="59"/>
        <v>-1</v>
      </c>
      <c r="E32" s="33">
        <f>MAX([2]Examen21!E20,[2]Examen22!E20,[2]Examen23!E20)</f>
        <v>0</v>
      </c>
      <c r="F32" s="32">
        <f t="shared" si="60"/>
        <v>-1</v>
      </c>
      <c r="G32" s="33">
        <f>MAX([2]Examen21!G20,[2]Examen22!G20,[2]Examen23!G20)</f>
        <v>0</v>
      </c>
      <c r="H32" s="32">
        <f t="shared" si="61"/>
        <v>-1</v>
      </c>
      <c r="I32" s="33">
        <f>MAX([2]Examen21!I20,[2]Examen22!I20,[2]Examen23!I20)</f>
        <v>0</v>
      </c>
      <c r="J32" s="32">
        <f t="shared" si="62"/>
        <v>-1</v>
      </c>
      <c r="K32" s="33">
        <f>MAX([2]Examen21!K20,[2]Examen22!K20,[2]Examen23!K20)</f>
        <v>0</v>
      </c>
      <c r="L32" s="32">
        <f t="shared" si="63"/>
        <v>-1</v>
      </c>
      <c r="M32" s="33">
        <f>MAX([2]Examen21!M20,[2]Examen22!M20,[2]Examen23!M20)</f>
        <v>0</v>
      </c>
      <c r="N32" s="32">
        <f t="shared" si="64"/>
        <v>-1</v>
      </c>
      <c r="O32" s="33">
        <f>MAX([2]Examen21!O20,[2]Examen22!O20,[2]Examen23!O20)</f>
        <v>0</v>
      </c>
      <c r="P32" s="32">
        <f t="shared" si="65"/>
        <v>-1</v>
      </c>
      <c r="Q32" s="33">
        <f>MAX([2]Examen21!Q20,[2]Examen22!Q20,[2]Examen23!Q20)</f>
        <v>0</v>
      </c>
      <c r="R32" s="32">
        <f t="shared" si="66"/>
        <v>-1</v>
      </c>
      <c r="S32" s="33">
        <f>MAX([2]Examen21!S20,[2]Examen22!S20,[2]Examen23!S20)</f>
        <v>0</v>
      </c>
      <c r="T32" s="32">
        <f t="shared" si="67"/>
        <v>-1</v>
      </c>
      <c r="U32" s="33">
        <f>MAX([2]Examen21!U20,[2]Examen22!U20,[2]Examen23!U20)</f>
        <v>0</v>
      </c>
      <c r="V32" s="32">
        <f t="shared" si="68"/>
        <v>-1</v>
      </c>
      <c r="W32" s="33">
        <f>MAX([2]Examen21!W20,[2]Examen22!W20,[2]Examen23!W20)</f>
        <v>0</v>
      </c>
      <c r="X32" s="32">
        <f t="shared" si="69"/>
        <v>-1</v>
      </c>
      <c r="Y32" s="33">
        <f>MAX([2]Examen21!Y20,[2]Examen22!Y20,[2]Examen23!Y20)</f>
        <v>0</v>
      </c>
      <c r="Z32" s="32">
        <f t="shared" si="70"/>
        <v>-1</v>
      </c>
      <c r="AA32" s="33">
        <f>MAX([2]Examen21!AA20,[2]Examen22!AA20,[2]Examen23!AA20)</f>
        <v>0</v>
      </c>
      <c r="AB32" s="32">
        <f t="shared" si="71"/>
        <v>-1</v>
      </c>
      <c r="AC32" s="33">
        <f>MAX([2]Examen21!AC20,[2]Examen22!AC20,[2]Examen23!AC20)</f>
        <v>0</v>
      </c>
      <c r="AD32" s="32">
        <f t="shared" si="72"/>
        <v>-1</v>
      </c>
      <c r="AE32" s="33">
        <f>MAX([2]Examen21!AE20,[2]Examen22!AE20,[2]Examen23!AE20)</f>
        <v>0</v>
      </c>
      <c r="AF32" s="32">
        <f t="shared" si="73"/>
        <v>-1</v>
      </c>
      <c r="AG32" s="33">
        <f>MAX([2]Examen21!AG20,[2]Examen22!AG20,[2]Examen23!AG20)</f>
        <v>0</v>
      </c>
      <c r="AH32" s="32">
        <f t="shared" si="74"/>
        <v>-1</v>
      </c>
      <c r="AI32" s="33">
        <f>MAX([2]Examen21!AI20,[2]Examen22!AI20,[2]Examen23!AI20)</f>
        <v>0</v>
      </c>
      <c r="AJ32" s="32">
        <f t="shared" si="75"/>
        <v>-1</v>
      </c>
      <c r="AK32" s="33">
        <f>MAX([2]Examen21!AK20,[2]Examen22!AK20,[2]Examen23!AK20)</f>
        <v>0</v>
      </c>
      <c r="AL32" s="32">
        <f t="shared" si="76"/>
        <v>-1</v>
      </c>
      <c r="AM32" s="33">
        <f>MAX([2]Examen21!AM20,[2]Examen22!AM20,[2]Examen23!AM20)</f>
        <v>0</v>
      </c>
      <c r="AN32" s="32">
        <f t="shared" si="77"/>
        <v>-1</v>
      </c>
      <c r="AO32" s="33">
        <f>MAX([2]Examen21!AO20,[2]Examen22!AO20,[2]Examen23!AO20)</f>
        <v>0</v>
      </c>
      <c r="AP32" s="32">
        <f t="shared" si="78"/>
        <v>-1</v>
      </c>
      <c r="AQ32" s="33">
        <f>MAX([2]Examen21!AQ20,[2]Examen22!AQ20,[2]Examen23!AQ20)</f>
        <v>0</v>
      </c>
      <c r="AR32" s="32">
        <f t="shared" si="79"/>
        <v>-1</v>
      </c>
      <c r="AS32" s="33">
        <f>MAX([2]Examen21!AS20,[2]Examen22!AS20,[2]Examen23!AS20)</f>
        <v>0</v>
      </c>
      <c r="AT32" s="32">
        <f t="shared" si="80"/>
        <v>-1</v>
      </c>
      <c r="AU32" s="33">
        <f>MAX([2]Examen21!AU20,[2]Examen22!AU20,[2]Examen23!AU20)</f>
        <v>0</v>
      </c>
      <c r="AV32" s="32">
        <f t="shared" si="81"/>
        <v>-1</v>
      </c>
      <c r="AW32" s="33">
        <f>MAX([2]Examen21!AW20,[2]Examen22!AW20,[2]Examen23!AW20)</f>
        <v>0</v>
      </c>
      <c r="AX32" s="32">
        <f t="shared" si="82"/>
        <v>-1</v>
      </c>
      <c r="AY32" s="33">
        <f>MAX([2]Examen21!AY20,[2]Examen22!AY20,[2]Examen23!AY20)</f>
        <v>0</v>
      </c>
      <c r="AZ32" s="32">
        <f t="shared" si="83"/>
        <v>-1</v>
      </c>
      <c r="BA32" s="33">
        <f>MAX([2]Examen21!BA20,[2]Examen22!BA20,[2]Examen23!BA20)</f>
        <v>0</v>
      </c>
      <c r="BB32" s="32">
        <f t="shared" si="84"/>
        <v>-1</v>
      </c>
      <c r="BC32" s="33">
        <f>MAX([2]Examen21!BC20,[2]Examen22!BC20,[2]Examen23!BC20)</f>
        <v>0</v>
      </c>
      <c r="BD32" s="32">
        <f t="shared" si="85"/>
        <v>-1</v>
      </c>
      <c r="BE32" s="33">
        <f>MAX([2]Examen21!BE20,[2]Examen22!BE20,[2]Examen23!BE20)</f>
        <v>0</v>
      </c>
      <c r="BF32" s="32">
        <f t="shared" si="86"/>
        <v>-1</v>
      </c>
      <c r="BG32" s="33">
        <f>MAX([2]Examen21!BG20,[2]Examen22!BG20,[2]Examen23!BG20)</f>
        <v>0</v>
      </c>
      <c r="BH32" s="32">
        <f t="shared" si="87"/>
        <v>-1</v>
      </c>
      <c r="BI32" s="33">
        <f>MAX([2]Examen21!BI20,[2]Examen22!BI20,[2]Examen23!BI20)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MAX([2]Examen21!B21,[2]Examen22!B21,[2]Examen23!B21)</f>
        <v>0</v>
      </c>
      <c r="C33" s="33">
        <f>MAX([2]Examen21!C21,[2]Examen22!C21,[2]Examen23!C21)</f>
        <v>0</v>
      </c>
      <c r="D33" s="32">
        <f t="shared" si="59"/>
        <v>-1</v>
      </c>
      <c r="E33" s="33">
        <f>MAX([2]Examen21!E21,[2]Examen22!E21,[2]Examen23!E21)</f>
        <v>0</v>
      </c>
      <c r="F33" s="32">
        <f t="shared" si="60"/>
        <v>-1</v>
      </c>
      <c r="G33" s="33">
        <f>MAX([2]Examen21!G21,[2]Examen22!G21,[2]Examen23!G21)</f>
        <v>0</v>
      </c>
      <c r="H33" s="32">
        <f t="shared" si="61"/>
        <v>-1</v>
      </c>
      <c r="I33" s="33">
        <f>MAX([2]Examen21!I21,[2]Examen22!I21,[2]Examen23!I21)</f>
        <v>0</v>
      </c>
      <c r="J33" s="32">
        <f t="shared" si="62"/>
        <v>-1</v>
      </c>
      <c r="K33" s="33">
        <f>MAX([2]Examen21!K21,[2]Examen22!K21,[2]Examen23!K21)</f>
        <v>0</v>
      </c>
      <c r="L33" s="32">
        <f t="shared" si="63"/>
        <v>-1</v>
      </c>
      <c r="M33" s="33">
        <f>MAX([2]Examen21!M21,[2]Examen22!M21,[2]Examen23!M21)</f>
        <v>0</v>
      </c>
      <c r="N33" s="32">
        <f t="shared" si="64"/>
        <v>-1</v>
      </c>
      <c r="O33" s="33">
        <f>MAX([2]Examen21!O21,[2]Examen22!O21,[2]Examen23!O21)</f>
        <v>0</v>
      </c>
      <c r="P33" s="32">
        <f t="shared" si="65"/>
        <v>-1</v>
      </c>
      <c r="Q33" s="33">
        <f>MAX([2]Examen21!Q21,[2]Examen22!Q21,[2]Examen23!Q21)</f>
        <v>0</v>
      </c>
      <c r="R33" s="32">
        <f t="shared" si="66"/>
        <v>-1</v>
      </c>
      <c r="S33" s="33">
        <f>MAX([2]Examen21!S21,[2]Examen22!S21,[2]Examen23!S21)</f>
        <v>0</v>
      </c>
      <c r="T33" s="32">
        <f t="shared" si="67"/>
        <v>-1</v>
      </c>
      <c r="U33" s="33">
        <f>MAX([2]Examen21!U21,[2]Examen22!U21,[2]Examen23!U21)</f>
        <v>0</v>
      </c>
      <c r="V33" s="32">
        <f t="shared" si="68"/>
        <v>-1</v>
      </c>
      <c r="W33" s="33">
        <f>MAX([2]Examen21!W21,[2]Examen22!W21,[2]Examen23!W21)</f>
        <v>0</v>
      </c>
      <c r="X33" s="32">
        <f t="shared" si="69"/>
        <v>-1</v>
      </c>
      <c r="Y33" s="33">
        <f>MAX([2]Examen21!Y21,[2]Examen22!Y21,[2]Examen23!Y21)</f>
        <v>0</v>
      </c>
      <c r="Z33" s="32">
        <f t="shared" si="70"/>
        <v>-1</v>
      </c>
      <c r="AA33" s="33">
        <f>MAX([2]Examen21!AA21,[2]Examen22!AA21,[2]Examen23!AA21)</f>
        <v>0</v>
      </c>
      <c r="AB33" s="32">
        <f t="shared" si="71"/>
        <v>-1</v>
      </c>
      <c r="AC33" s="33">
        <f>MAX([2]Examen21!AC21,[2]Examen22!AC21,[2]Examen23!AC21)</f>
        <v>0</v>
      </c>
      <c r="AD33" s="32">
        <f t="shared" si="72"/>
        <v>-1</v>
      </c>
      <c r="AE33" s="33">
        <f>MAX([2]Examen21!AE21,[2]Examen22!AE21,[2]Examen23!AE21)</f>
        <v>0</v>
      </c>
      <c r="AF33" s="32">
        <f t="shared" si="73"/>
        <v>-1</v>
      </c>
      <c r="AG33" s="33">
        <f>MAX([2]Examen21!AG21,[2]Examen22!AG21,[2]Examen23!AG21)</f>
        <v>0</v>
      </c>
      <c r="AH33" s="32">
        <f t="shared" si="74"/>
        <v>-1</v>
      </c>
      <c r="AI33" s="33">
        <f>MAX([2]Examen21!AI21,[2]Examen22!AI21,[2]Examen23!AI21)</f>
        <v>0</v>
      </c>
      <c r="AJ33" s="32">
        <f t="shared" si="75"/>
        <v>-1</v>
      </c>
      <c r="AK33" s="33">
        <f>MAX([2]Examen21!AK21,[2]Examen22!AK21,[2]Examen23!AK21)</f>
        <v>0</v>
      </c>
      <c r="AL33" s="32">
        <f t="shared" si="76"/>
        <v>-1</v>
      </c>
      <c r="AM33" s="33">
        <f>MAX([2]Examen21!AM21,[2]Examen22!AM21,[2]Examen23!AM21)</f>
        <v>0</v>
      </c>
      <c r="AN33" s="32">
        <f t="shared" si="77"/>
        <v>-1</v>
      </c>
      <c r="AO33" s="33">
        <f>MAX([2]Examen21!AO21,[2]Examen22!AO21,[2]Examen23!AO21)</f>
        <v>0</v>
      </c>
      <c r="AP33" s="32">
        <f t="shared" si="78"/>
        <v>-1</v>
      </c>
      <c r="AQ33" s="33">
        <f>MAX([2]Examen21!AQ21,[2]Examen22!AQ21,[2]Examen23!AQ21)</f>
        <v>0</v>
      </c>
      <c r="AR33" s="32">
        <f t="shared" si="79"/>
        <v>-1</v>
      </c>
      <c r="AS33" s="33">
        <f>MAX([2]Examen21!AS21,[2]Examen22!AS21,[2]Examen23!AS21)</f>
        <v>0</v>
      </c>
      <c r="AT33" s="32">
        <f t="shared" si="80"/>
        <v>-1</v>
      </c>
      <c r="AU33" s="33">
        <f>MAX([2]Examen21!AU21,[2]Examen22!AU21,[2]Examen23!AU21)</f>
        <v>0</v>
      </c>
      <c r="AV33" s="32">
        <f t="shared" si="81"/>
        <v>-1</v>
      </c>
      <c r="AW33" s="33">
        <f>MAX([2]Examen21!AW21,[2]Examen22!AW21,[2]Examen23!AW21)</f>
        <v>0</v>
      </c>
      <c r="AX33" s="32">
        <f t="shared" si="82"/>
        <v>-1</v>
      </c>
      <c r="AY33" s="33">
        <f>MAX([2]Examen21!AY21,[2]Examen22!AY21,[2]Examen23!AY21)</f>
        <v>0</v>
      </c>
      <c r="AZ33" s="32">
        <f t="shared" si="83"/>
        <v>-1</v>
      </c>
      <c r="BA33" s="33">
        <f>MAX([2]Examen21!BA21,[2]Examen22!BA21,[2]Examen23!BA21)</f>
        <v>0</v>
      </c>
      <c r="BB33" s="32">
        <f t="shared" si="84"/>
        <v>-1</v>
      </c>
      <c r="BC33" s="33">
        <f>MAX([2]Examen21!BC21,[2]Examen22!BC21,[2]Examen23!BC21)</f>
        <v>0</v>
      </c>
      <c r="BD33" s="32">
        <f t="shared" si="85"/>
        <v>-1</v>
      </c>
      <c r="BE33" s="33">
        <f>MAX([2]Examen21!BE21,[2]Examen22!BE21,[2]Examen23!BE21)</f>
        <v>0</v>
      </c>
      <c r="BF33" s="32">
        <f t="shared" si="86"/>
        <v>-1</v>
      </c>
      <c r="BG33" s="33">
        <f>MAX([2]Examen21!BG21,[2]Examen22!BG21,[2]Examen23!BG21)</f>
        <v>0</v>
      </c>
      <c r="BH33" s="32">
        <f t="shared" si="87"/>
        <v>-1</v>
      </c>
      <c r="BI33" s="33">
        <f>MAX([2]Examen21!BI21,[2]Examen22!BI21,[2]Examen23!BI21)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MAX([2]Examen21!B22,[2]Examen22!B22,[2]Examen23!B22)</f>
        <v>0</v>
      </c>
      <c r="C34" s="33">
        <f>MAX([2]Examen21!C22,[2]Examen22!C22,[2]Examen23!C22)</f>
        <v>0</v>
      </c>
      <c r="D34" s="32">
        <f t="shared" si="59"/>
        <v>-1</v>
      </c>
      <c r="E34" s="33">
        <f>MAX([2]Examen21!E22,[2]Examen22!E22,[2]Examen23!E22)</f>
        <v>0</v>
      </c>
      <c r="F34" s="32">
        <f t="shared" si="60"/>
        <v>-1</v>
      </c>
      <c r="G34" s="33">
        <f>MAX([2]Examen21!G22,[2]Examen22!G22,[2]Examen23!G22)</f>
        <v>0</v>
      </c>
      <c r="H34" s="32">
        <f t="shared" si="61"/>
        <v>-1</v>
      </c>
      <c r="I34" s="33">
        <f>MAX([2]Examen21!I22,[2]Examen22!I22,[2]Examen23!I22)</f>
        <v>0</v>
      </c>
      <c r="J34" s="32">
        <f t="shared" si="62"/>
        <v>-1</v>
      </c>
      <c r="K34" s="33">
        <f>MAX([2]Examen21!K22,[2]Examen22!K22,[2]Examen23!K22)</f>
        <v>0</v>
      </c>
      <c r="L34" s="32">
        <f t="shared" si="63"/>
        <v>-1</v>
      </c>
      <c r="M34" s="33">
        <f>MAX([2]Examen21!M22,[2]Examen22!M22,[2]Examen23!M22)</f>
        <v>0</v>
      </c>
      <c r="N34" s="32">
        <f t="shared" si="64"/>
        <v>-1</v>
      </c>
      <c r="O34" s="33">
        <f>MAX([2]Examen21!O22,[2]Examen22!O22,[2]Examen23!O22)</f>
        <v>0</v>
      </c>
      <c r="P34" s="32">
        <f t="shared" si="65"/>
        <v>-1</v>
      </c>
      <c r="Q34" s="33">
        <f>MAX([2]Examen21!Q22,[2]Examen22!Q22,[2]Examen23!Q22)</f>
        <v>0</v>
      </c>
      <c r="R34" s="32">
        <f t="shared" si="66"/>
        <v>-1</v>
      </c>
      <c r="S34" s="33">
        <f>MAX([2]Examen21!S22,[2]Examen22!S22,[2]Examen23!S22)</f>
        <v>0</v>
      </c>
      <c r="T34" s="32">
        <f t="shared" si="67"/>
        <v>-1</v>
      </c>
      <c r="U34" s="33">
        <f>MAX([2]Examen21!U22,[2]Examen22!U22,[2]Examen23!U22)</f>
        <v>0</v>
      </c>
      <c r="V34" s="32">
        <f t="shared" si="68"/>
        <v>-1</v>
      </c>
      <c r="W34" s="33">
        <f>MAX([2]Examen21!W22,[2]Examen22!W22,[2]Examen23!W22)</f>
        <v>0</v>
      </c>
      <c r="X34" s="32">
        <f t="shared" si="69"/>
        <v>-1</v>
      </c>
      <c r="Y34" s="33">
        <f>MAX([2]Examen21!Y22,[2]Examen22!Y22,[2]Examen23!Y22)</f>
        <v>0</v>
      </c>
      <c r="Z34" s="32">
        <f t="shared" si="70"/>
        <v>-1</v>
      </c>
      <c r="AA34" s="33">
        <f>MAX([2]Examen21!AA22,[2]Examen22!AA22,[2]Examen23!AA22)</f>
        <v>0</v>
      </c>
      <c r="AB34" s="32">
        <f t="shared" si="71"/>
        <v>-1</v>
      </c>
      <c r="AC34" s="33">
        <f>MAX([2]Examen21!AC22,[2]Examen22!AC22,[2]Examen23!AC22)</f>
        <v>0</v>
      </c>
      <c r="AD34" s="32">
        <f t="shared" si="72"/>
        <v>-1</v>
      </c>
      <c r="AE34" s="33">
        <f>MAX([2]Examen21!AE22,[2]Examen22!AE22,[2]Examen23!AE22)</f>
        <v>0</v>
      </c>
      <c r="AF34" s="32">
        <f t="shared" si="73"/>
        <v>-1</v>
      </c>
      <c r="AG34" s="33">
        <f>MAX([2]Examen21!AG22,[2]Examen22!AG22,[2]Examen23!AG22)</f>
        <v>0</v>
      </c>
      <c r="AH34" s="32">
        <f t="shared" si="74"/>
        <v>-1</v>
      </c>
      <c r="AI34" s="33">
        <f>MAX([2]Examen21!AI22,[2]Examen22!AI22,[2]Examen23!AI22)</f>
        <v>0</v>
      </c>
      <c r="AJ34" s="32">
        <f t="shared" si="75"/>
        <v>-1</v>
      </c>
      <c r="AK34" s="33">
        <f>MAX([2]Examen21!AK22,[2]Examen22!AK22,[2]Examen23!AK22)</f>
        <v>0</v>
      </c>
      <c r="AL34" s="32">
        <f t="shared" si="76"/>
        <v>-1</v>
      </c>
      <c r="AM34" s="33">
        <f>MAX([2]Examen21!AM22,[2]Examen22!AM22,[2]Examen23!AM22)</f>
        <v>0</v>
      </c>
      <c r="AN34" s="32">
        <f t="shared" si="77"/>
        <v>-1</v>
      </c>
      <c r="AO34" s="33">
        <f>MAX([2]Examen21!AO22,[2]Examen22!AO22,[2]Examen23!AO22)</f>
        <v>0</v>
      </c>
      <c r="AP34" s="32">
        <f t="shared" si="78"/>
        <v>-1</v>
      </c>
      <c r="AQ34" s="33">
        <f>MAX([2]Examen21!AQ22,[2]Examen22!AQ22,[2]Examen23!AQ22)</f>
        <v>0</v>
      </c>
      <c r="AR34" s="32">
        <f t="shared" si="79"/>
        <v>-1</v>
      </c>
      <c r="AS34" s="33">
        <f>MAX([2]Examen21!AS22,[2]Examen22!AS22,[2]Examen23!AS22)</f>
        <v>0</v>
      </c>
      <c r="AT34" s="32">
        <f t="shared" si="80"/>
        <v>-1</v>
      </c>
      <c r="AU34" s="33">
        <f>MAX([2]Examen21!AU22,[2]Examen22!AU22,[2]Examen23!AU22)</f>
        <v>0</v>
      </c>
      <c r="AV34" s="32">
        <f t="shared" si="81"/>
        <v>-1</v>
      </c>
      <c r="AW34" s="33">
        <f>MAX([2]Examen21!AW22,[2]Examen22!AW22,[2]Examen23!AW22)</f>
        <v>0</v>
      </c>
      <c r="AX34" s="32">
        <f t="shared" si="82"/>
        <v>-1</v>
      </c>
      <c r="AY34" s="33">
        <f>MAX([2]Examen21!AY22,[2]Examen22!AY22,[2]Examen23!AY22)</f>
        <v>0</v>
      </c>
      <c r="AZ34" s="32">
        <f t="shared" si="83"/>
        <v>-1</v>
      </c>
      <c r="BA34" s="33">
        <f>MAX([2]Examen21!BA22,[2]Examen22!BA22,[2]Examen23!BA22)</f>
        <v>0</v>
      </c>
      <c r="BB34" s="32">
        <f t="shared" si="84"/>
        <v>-1</v>
      </c>
      <c r="BC34" s="33">
        <f>MAX([2]Examen21!BC22,[2]Examen22!BC22,[2]Examen23!BC22)</f>
        <v>0</v>
      </c>
      <c r="BD34" s="32">
        <f t="shared" si="85"/>
        <v>-1</v>
      </c>
      <c r="BE34" s="33">
        <f>MAX([2]Examen21!BE22,[2]Examen22!BE22,[2]Examen23!BE22)</f>
        <v>0</v>
      </c>
      <c r="BF34" s="32">
        <f t="shared" si="86"/>
        <v>-1</v>
      </c>
      <c r="BG34" s="33">
        <f>MAX([2]Examen21!BG22,[2]Examen22!BG22,[2]Examen23!BG22)</f>
        <v>0</v>
      </c>
      <c r="BH34" s="32">
        <f t="shared" si="87"/>
        <v>-1</v>
      </c>
      <c r="BI34" s="33">
        <f>MAX([2]Examen21!BI22,[2]Examen22!BI22,[2]Examen23!BI22)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MAX([2]Examen21!B23,[2]Examen22!B23,[2]Examen23!B23)</f>
        <v>0</v>
      </c>
      <c r="C35" s="33">
        <f>MAX([2]Examen21!C23,[2]Examen22!C23,[2]Examen23!C23)</f>
        <v>0</v>
      </c>
      <c r="D35" s="32">
        <f t="shared" si="59"/>
        <v>-1</v>
      </c>
      <c r="E35" s="33">
        <f>MAX([2]Examen21!E23,[2]Examen22!E23,[2]Examen23!E23)</f>
        <v>0</v>
      </c>
      <c r="F35" s="32">
        <f t="shared" si="60"/>
        <v>-1</v>
      </c>
      <c r="G35" s="33">
        <f>MAX([2]Examen21!G23,[2]Examen22!G23,[2]Examen23!G23)</f>
        <v>0</v>
      </c>
      <c r="H35" s="32">
        <f t="shared" si="61"/>
        <v>-1</v>
      </c>
      <c r="I35" s="33">
        <f>MAX([2]Examen21!I23,[2]Examen22!I23,[2]Examen23!I23)</f>
        <v>0</v>
      </c>
      <c r="J35" s="32">
        <f t="shared" si="62"/>
        <v>-1</v>
      </c>
      <c r="K35" s="33">
        <f>MAX([2]Examen21!K23,[2]Examen22!K23,[2]Examen23!K23)</f>
        <v>0</v>
      </c>
      <c r="L35" s="32">
        <f t="shared" si="63"/>
        <v>-1</v>
      </c>
      <c r="M35" s="33">
        <f>MAX([2]Examen21!M23,[2]Examen22!M23,[2]Examen23!M23)</f>
        <v>0</v>
      </c>
      <c r="N35" s="32">
        <f t="shared" si="64"/>
        <v>-1</v>
      </c>
      <c r="O35" s="33">
        <f>MAX([2]Examen21!O23,[2]Examen22!O23,[2]Examen23!O23)</f>
        <v>0</v>
      </c>
      <c r="P35" s="32">
        <f t="shared" si="65"/>
        <v>-1</v>
      </c>
      <c r="Q35" s="33">
        <f>MAX([2]Examen21!Q23,[2]Examen22!Q23,[2]Examen23!Q23)</f>
        <v>0</v>
      </c>
      <c r="R35" s="32">
        <f t="shared" si="66"/>
        <v>-1</v>
      </c>
      <c r="S35" s="33">
        <f>MAX([2]Examen21!S23,[2]Examen22!S23,[2]Examen23!S23)</f>
        <v>0</v>
      </c>
      <c r="T35" s="32">
        <f t="shared" si="67"/>
        <v>-1</v>
      </c>
      <c r="U35" s="33">
        <f>MAX([2]Examen21!U23,[2]Examen22!U23,[2]Examen23!U23)</f>
        <v>0</v>
      </c>
      <c r="V35" s="32">
        <f t="shared" si="68"/>
        <v>-1</v>
      </c>
      <c r="W35" s="33">
        <f>MAX([2]Examen21!W23,[2]Examen22!W23,[2]Examen23!W23)</f>
        <v>0</v>
      </c>
      <c r="X35" s="32">
        <f t="shared" si="69"/>
        <v>-1</v>
      </c>
      <c r="Y35" s="33">
        <f>MAX([2]Examen21!Y23,[2]Examen22!Y23,[2]Examen23!Y23)</f>
        <v>0</v>
      </c>
      <c r="Z35" s="32">
        <f t="shared" si="70"/>
        <v>-1</v>
      </c>
      <c r="AA35" s="33">
        <f>MAX([2]Examen21!AA23,[2]Examen22!AA23,[2]Examen23!AA23)</f>
        <v>0</v>
      </c>
      <c r="AB35" s="32">
        <f t="shared" si="71"/>
        <v>-1</v>
      </c>
      <c r="AC35" s="33">
        <f>MAX([2]Examen21!AC23,[2]Examen22!AC23,[2]Examen23!AC23)</f>
        <v>0</v>
      </c>
      <c r="AD35" s="32">
        <f t="shared" si="72"/>
        <v>-1</v>
      </c>
      <c r="AE35" s="33">
        <f>MAX([2]Examen21!AE23,[2]Examen22!AE23,[2]Examen23!AE23)</f>
        <v>0</v>
      </c>
      <c r="AF35" s="32">
        <f t="shared" si="73"/>
        <v>-1</v>
      </c>
      <c r="AG35" s="33">
        <f>MAX([2]Examen21!AG23,[2]Examen22!AG23,[2]Examen23!AG23)</f>
        <v>0</v>
      </c>
      <c r="AH35" s="32">
        <f t="shared" si="74"/>
        <v>-1</v>
      </c>
      <c r="AI35" s="33">
        <f>MAX([2]Examen21!AI23,[2]Examen22!AI23,[2]Examen23!AI23)</f>
        <v>0</v>
      </c>
      <c r="AJ35" s="32">
        <f t="shared" si="75"/>
        <v>-1</v>
      </c>
      <c r="AK35" s="33">
        <f>MAX([2]Examen21!AK23,[2]Examen22!AK23,[2]Examen23!AK23)</f>
        <v>0</v>
      </c>
      <c r="AL35" s="32">
        <f t="shared" si="76"/>
        <v>-1</v>
      </c>
      <c r="AM35" s="33">
        <f>MAX([2]Examen21!AM23,[2]Examen22!AM23,[2]Examen23!AM23)</f>
        <v>0</v>
      </c>
      <c r="AN35" s="32">
        <f t="shared" si="77"/>
        <v>-1</v>
      </c>
      <c r="AO35" s="33">
        <f>MAX([2]Examen21!AO23,[2]Examen22!AO23,[2]Examen23!AO23)</f>
        <v>0</v>
      </c>
      <c r="AP35" s="32">
        <f t="shared" si="78"/>
        <v>-1</v>
      </c>
      <c r="AQ35" s="33">
        <f>MAX([2]Examen21!AQ23,[2]Examen22!AQ23,[2]Examen23!AQ23)</f>
        <v>0</v>
      </c>
      <c r="AR35" s="32">
        <f t="shared" si="79"/>
        <v>-1</v>
      </c>
      <c r="AS35" s="33">
        <f>MAX([2]Examen21!AS23,[2]Examen22!AS23,[2]Examen23!AS23)</f>
        <v>0</v>
      </c>
      <c r="AT35" s="32">
        <f t="shared" si="80"/>
        <v>-1</v>
      </c>
      <c r="AU35" s="33">
        <f>MAX([2]Examen21!AU23,[2]Examen22!AU23,[2]Examen23!AU23)</f>
        <v>0</v>
      </c>
      <c r="AV35" s="32">
        <f t="shared" si="81"/>
        <v>-1</v>
      </c>
      <c r="AW35" s="33">
        <f>MAX([2]Examen21!AW23,[2]Examen22!AW23,[2]Examen23!AW23)</f>
        <v>0</v>
      </c>
      <c r="AX35" s="32">
        <f t="shared" si="82"/>
        <v>-1</v>
      </c>
      <c r="AY35" s="33">
        <f>MAX([2]Examen21!AY23,[2]Examen22!AY23,[2]Examen23!AY23)</f>
        <v>0</v>
      </c>
      <c r="AZ35" s="32">
        <f t="shared" si="83"/>
        <v>-1</v>
      </c>
      <c r="BA35" s="33">
        <f>MAX([2]Examen21!BA23,[2]Examen22!BA23,[2]Examen23!BA23)</f>
        <v>0</v>
      </c>
      <c r="BB35" s="32">
        <f t="shared" si="84"/>
        <v>-1</v>
      </c>
      <c r="BC35" s="33">
        <f>MAX([2]Examen21!BC23,[2]Examen22!BC23,[2]Examen23!BC23)</f>
        <v>0</v>
      </c>
      <c r="BD35" s="32">
        <f t="shared" si="85"/>
        <v>-1</v>
      </c>
      <c r="BE35" s="33">
        <f>MAX([2]Examen21!BE23,[2]Examen22!BE23,[2]Examen23!BE23)</f>
        <v>0</v>
      </c>
      <c r="BF35" s="32">
        <f t="shared" si="86"/>
        <v>-1</v>
      </c>
      <c r="BG35" s="33">
        <f>MAX([2]Examen21!BG23,[2]Examen22!BG23,[2]Examen23!BG23)</f>
        <v>0</v>
      </c>
      <c r="BH35" s="32">
        <f t="shared" si="87"/>
        <v>-1</v>
      </c>
      <c r="BI35" s="33">
        <f>MAX([2]Examen21!BI23,[2]Examen22!BI23,[2]Examen23!BI23)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MAX([2]Examen21!B24,[2]Examen22!B24,[2]Examen23!B24)</f>
        <v>0</v>
      </c>
      <c r="C36" s="33">
        <f>MAX([2]Examen21!C24,[2]Examen22!C24,[2]Examen23!C24)</f>
        <v>0</v>
      </c>
      <c r="D36" s="32">
        <f t="shared" si="59"/>
        <v>-1</v>
      </c>
      <c r="E36" s="33">
        <f>MAX([2]Examen21!E24,[2]Examen22!E24,[2]Examen23!E24)</f>
        <v>0</v>
      </c>
      <c r="F36" s="32">
        <f t="shared" si="60"/>
        <v>-1</v>
      </c>
      <c r="G36" s="33">
        <f>MAX([2]Examen21!G24,[2]Examen22!G24,[2]Examen23!G24)</f>
        <v>0</v>
      </c>
      <c r="H36" s="32">
        <f t="shared" si="61"/>
        <v>-1</v>
      </c>
      <c r="I36" s="33">
        <f>MAX([2]Examen21!I24,[2]Examen22!I24,[2]Examen23!I24)</f>
        <v>0</v>
      </c>
      <c r="J36" s="32">
        <f t="shared" si="62"/>
        <v>-1</v>
      </c>
      <c r="K36" s="33">
        <f>MAX([2]Examen21!K24,[2]Examen22!K24,[2]Examen23!K24)</f>
        <v>0</v>
      </c>
      <c r="L36" s="32">
        <f t="shared" si="63"/>
        <v>-1</v>
      </c>
      <c r="M36" s="33">
        <f>MAX([2]Examen21!M24,[2]Examen22!M24,[2]Examen23!M24)</f>
        <v>0</v>
      </c>
      <c r="N36" s="32">
        <f t="shared" si="64"/>
        <v>-1</v>
      </c>
      <c r="O36" s="33">
        <f>MAX([2]Examen21!O24,[2]Examen22!O24,[2]Examen23!O24)</f>
        <v>0</v>
      </c>
      <c r="P36" s="32">
        <f t="shared" si="65"/>
        <v>-1</v>
      </c>
      <c r="Q36" s="33">
        <f>MAX([2]Examen21!Q24,[2]Examen22!Q24,[2]Examen23!Q24)</f>
        <v>0</v>
      </c>
      <c r="R36" s="32">
        <f t="shared" si="66"/>
        <v>-1</v>
      </c>
      <c r="S36" s="33">
        <f>MAX([2]Examen21!S24,[2]Examen22!S24,[2]Examen23!S24)</f>
        <v>0</v>
      </c>
      <c r="T36" s="32">
        <f t="shared" si="67"/>
        <v>-1</v>
      </c>
      <c r="U36" s="33">
        <f>MAX([2]Examen21!U24,[2]Examen22!U24,[2]Examen23!U24)</f>
        <v>0</v>
      </c>
      <c r="V36" s="32">
        <f t="shared" si="68"/>
        <v>-1</v>
      </c>
      <c r="W36" s="33">
        <f>MAX([2]Examen21!W24,[2]Examen22!W24,[2]Examen23!W24)</f>
        <v>0</v>
      </c>
      <c r="X36" s="32">
        <f t="shared" si="69"/>
        <v>-1</v>
      </c>
      <c r="Y36" s="33">
        <f>MAX([2]Examen21!Y24,[2]Examen22!Y24,[2]Examen23!Y24)</f>
        <v>0</v>
      </c>
      <c r="Z36" s="32">
        <f t="shared" si="70"/>
        <v>-1</v>
      </c>
      <c r="AA36" s="33">
        <f>MAX([2]Examen21!AA24,[2]Examen22!AA24,[2]Examen23!AA24)</f>
        <v>0</v>
      </c>
      <c r="AB36" s="32">
        <f t="shared" si="71"/>
        <v>-1</v>
      </c>
      <c r="AC36" s="33">
        <f>MAX([2]Examen21!AC24,[2]Examen22!AC24,[2]Examen23!AC24)</f>
        <v>0</v>
      </c>
      <c r="AD36" s="32">
        <f t="shared" si="72"/>
        <v>-1</v>
      </c>
      <c r="AE36" s="33">
        <f>MAX([2]Examen21!AE24,[2]Examen22!AE24,[2]Examen23!AE24)</f>
        <v>0</v>
      </c>
      <c r="AF36" s="32">
        <f t="shared" si="73"/>
        <v>-1</v>
      </c>
      <c r="AG36" s="33">
        <f>MAX([2]Examen21!AG24,[2]Examen22!AG24,[2]Examen23!AG24)</f>
        <v>0</v>
      </c>
      <c r="AH36" s="32">
        <f t="shared" si="74"/>
        <v>-1</v>
      </c>
      <c r="AI36" s="33">
        <f>MAX([2]Examen21!AI24,[2]Examen22!AI24,[2]Examen23!AI24)</f>
        <v>0</v>
      </c>
      <c r="AJ36" s="32">
        <f t="shared" si="75"/>
        <v>-1</v>
      </c>
      <c r="AK36" s="33">
        <f>MAX([2]Examen21!AK24,[2]Examen22!AK24,[2]Examen23!AK24)</f>
        <v>0</v>
      </c>
      <c r="AL36" s="32">
        <f t="shared" si="76"/>
        <v>-1</v>
      </c>
      <c r="AM36" s="33">
        <f>MAX([2]Examen21!AM24,[2]Examen22!AM24,[2]Examen23!AM24)</f>
        <v>0</v>
      </c>
      <c r="AN36" s="32">
        <f t="shared" si="77"/>
        <v>-1</v>
      </c>
      <c r="AO36" s="33">
        <f>MAX([2]Examen21!AO24,[2]Examen22!AO24,[2]Examen23!AO24)</f>
        <v>0</v>
      </c>
      <c r="AP36" s="32">
        <f t="shared" si="78"/>
        <v>-1</v>
      </c>
      <c r="AQ36" s="33">
        <f>MAX([2]Examen21!AQ24,[2]Examen22!AQ24,[2]Examen23!AQ24)</f>
        <v>0</v>
      </c>
      <c r="AR36" s="32">
        <f t="shared" si="79"/>
        <v>-1</v>
      </c>
      <c r="AS36" s="33">
        <f>MAX([2]Examen21!AS24,[2]Examen22!AS24,[2]Examen23!AS24)</f>
        <v>0</v>
      </c>
      <c r="AT36" s="32">
        <f t="shared" si="80"/>
        <v>-1</v>
      </c>
      <c r="AU36" s="33">
        <f>MAX([2]Examen21!AU24,[2]Examen22!AU24,[2]Examen23!AU24)</f>
        <v>0</v>
      </c>
      <c r="AV36" s="32">
        <f t="shared" si="81"/>
        <v>-1</v>
      </c>
      <c r="AW36" s="33">
        <f>MAX([2]Examen21!AW24,[2]Examen22!AW24,[2]Examen23!AW24)</f>
        <v>0</v>
      </c>
      <c r="AX36" s="32">
        <f t="shared" si="82"/>
        <v>-1</v>
      </c>
      <c r="AY36" s="33">
        <f>MAX([2]Examen21!AY24,[2]Examen22!AY24,[2]Examen23!AY24)</f>
        <v>0</v>
      </c>
      <c r="AZ36" s="32">
        <f t="shared" si="83"/>
        <v>-1</v>
      </c>
      <c r="BA36" s="33">
        <f>MAX([2]Examen21!BA24,[2]Examen22!BA24,[2]Examen23!BA24)</f>
        <v>0</v>
      </c>
      <c r="BB36" s="32">
        <f t="shared" si="84"/>
        <v>-1</v>
      </c>
      <c r="BC36" s="33">
        <f>MAX([2]Examen21!BC24,[2]Examen22!BC24,[2]Examen23!BC24)</f>
        <v>0</v>
      </c>
      <c r="BD36" s="32">
        <f t="shared" si="85"/>
        <v>-1</v>
      </c>
      <c r="BE36" s="33">
        <f>MAX([2]Examen21!BE24,[2]Examen22!BE24,[2]Examen23!BE24)</f>
        <v>0</v>
      </c>
      <c r="BF36" s="32">
        <f t="shared" si="86"/>
        <v>-1</v>
      </c>
      <c r="BG36" s="33">
        <f>MAX([2]Examen21!BG24,[2]Examen22!BG24,[2]Examen23!BG24)</f>
        <v>0</v>
      </c>
      <c r="BH36" s="32">
        <f t="shared" si="87"/>
        <v>-1</v>
      </c>
      <c r="BI36" s="33">
        <f>MAX([2]Examen21!BI24,[2]Examen22!BI24,[2]Examen23!BI24)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MAX([2]Examen21!B25,[2]Examen22!B25,[2]Examen23!B25)</f>
        <v>0</v>
      </c>
      <c r="C37" s="33">
        <f>MAX([2]Examen21!C25,[2]Examen22!C25,[2]Examen23!C25)</f>
        <v>0</v>
      </c>
      <c r="D37" s="32">
        <f t="shared" si="59"/>
        <v>-1</v>
      </c>
      <c r="E37" s="33">
        <f>MAX([2]Examen21!E25,[2]Examen22!E25,[2]Examen23!E25)</f>
        <v>0</v>
      </c>
      <c r="F37" s="32">
        <f t="shared" si="60"/>
        <v>-1</v>
      </c>
      <c r="G37" s="33">
        <f>MAX([2]Examen21!G25,[2]Examen22!G25,[2]Examen23!G25)</f>
        <v>0</v>
      </c>
      <c r="H37" s="32">
        <f t="shared" si="61"/>
        <v>-1</v>
      </c>
      <c r="I37" s="33">
        <f>MAX([2]Examen21!I25,[2]Examen22!I25,[2]Examen23!I25)</f>
        <v>0</v>
      </c>
      <c r="J37" s="32">
        <f t="shared" si="62"/>
        <v>-1</v>
      </c>
      <c r="K37" s="33">
        <f>MAX([2]Examen21!K25,[2]Examen22!K25,[2]Examen23!K25)</f>
        <v>0</v>
      </c>
      <c r="L37" s="32">
        <f t="shared" si="63"/>
        <v>-1</v>
      </c>
      <c r="M37" s="33">
        <f>MAX([2]Examen21!M25,[2]Examen22!M25,[2]Examen23!M25)</f>
        <v>0</v>
      </c>
      <c r="N37" s="32">
        <f t="shared" si="64"/>
        <v>-1</v>
      </c>
      <c r="O37" s="33">
        <f>MAX([2]Examen21!O25,[2]Examen22!O25,[2]Examen23!O25)</f>
        <v>0</v>
      </c>
      <c r="P37" s="32">
        <f t="shared" si="65"/>
        <v>-1</v>
      </c>
      <c r="Q37" s="33">
        <f>MAX([2]Examen21!Q25,[2]Examen22!Q25,[2]Examen23!Q25)</f>
        <v>0</v>
      </c>
      <c r="R37" s="32">
        <f t="shared" si="66"/>
        <v>-1</v>
      </c>
      <c r="S37" s="33">
        <f>MAX([2]Examen21!S25,[2]Examen22!S25,[2]Examen23!S25)</f>
        <v>0</v>
      </c>
      <c r="T37" s="32">
        <f t="shared" si="67"/>
        <v>-1</v>
      </c>
      <c r="U37" s="33">
        <f>MAX([2]Examen21!U25,[2]Examen22!U25,[2]Examen23!U25)</f>
        <v>0</v>
      </c>
      <c r="V37" s="32">
        <f t="shared" si="68"/>
        <v>-1</v>
      </c>
      <c r="W37" s="33">
        <f>MAX([2]Examen21!W25,[2]Examen22!W25,[2]Examen23!W25)</f>
        <v>0</v>
      </c>
      <c r="X37" s="32">
        <f t="shared" si="69"/>
        <v>-1</v>
      </c>
      <c r="Y37" s="33">
        <f>MAX([2]Examen21!Y25,[2]Examen22!Y25,[2]Examen23!Y25)</f>
        <v>0</v>
      </c>
      <c r="Z37" s="32">
        <f t="shared" si="70"/>
        <v>-1</v>
      </c>
      <c r="AA37" s="33">
        <f>MAX([2]Examen21!AA25,[2]Examen22!AA25,[2]Examen23!AA25)</f>
        <v>0</v>
      </c>
      <c r="AB37" s="32">
        <f t="shared" si="71"/>
        <v>-1</v>
      </c>
      <c r="AC37" s="33">
        <f>MAX([2]Examen21!AC25,[2]Examen22!AC25,[2]Examen23!AC25)</f>
        <v>0</v>
      </c>
      <c r="AD37" s="32">
        <f t="shared" si="72"/>
        <v>-1</v>
      </c>
      <c r="AE37" s="33">
        <f>MAX([2]Examen21!AE25,[2]Examen22!AE25,[2]Examen23!AE25)</f>
        <v>0</v>
      </c>
      <c r="AF37" s="32">
        <f t="shared" si="73"/>
        <v>-1</v>
      </c>
      <c r="AG37" s="33">
        <f>MAX([2]Examen21!AG25,[2]Examen22!AG25,[2]Examen23!AG25)</f>
        <v>0</v>
      </c>
      <c r="AH37" s="32">
        <f t="shared" si="74"/>
        <v>-1</v>
      </c>
      <c r="AI37" s="33">
        <f>MAX([2]Examen21!AI25,[2]Examen22!AI25,[2]Examen23!AI25)</f>
        <v>0</v>
      </c>
      <c r="AJ37" s="32">
        <f t="shared" si="75"/>
        <v>-1</v>
      </c>
      <c r="AK37" s="33">
        <f>MAX([2]Examen21!AK25,[2]Examen22!AK25,[2]Examen23!AK25)</f>
        <v>0</v>
      </c>
      <c r="AL37" s="32">
        <f t="shared" si="76"/>
        <v>-1</v>
      </c>
      <c r="AM37" s="33">
        <f>MAX([2]Examen21!AM25,[2]Examen22!AM25,[2]Examen23!AM25)</f>
        <v>0</v>
      </c>
      <c r="AN37" s="32">
        <f t="shared" si="77"/>
        <v>-1</v>
      </c>
      <c r="AO37" s="33">
        <f>MAX([2]Examen21!AO25,[2]Examen22!AO25,[2]Examen23!AO25)</f>
        <v>0</v>
      </c>
      <c r="AP37" s="32">
        <f t="shared" si="78"/>
        <v>-1</v>
      </c>
      <c r="AQ37" s="33">
        <f>MAX([2]Examen21!AQ25,[2]Examen22!AQ25,[2]Examen23!AQ25)</f>
        <v>0</v>
      </c>
      <c r="AR37" s="32">
        <f t="shared" si="79"/>
        <v>-1</v>
      </c>
      <c r="AS37" s="33">
        <f>MAX([2]Examen21!AS25,[2]Examen22!AS25,[2]Examen23!AS25)</f>
        <v>0</v>
      </c>
      <c r="AT37" s="32">
        <f t="shared" si="80"/>
        <v>-1</v>
      </c>
      <c r="AU37" s="33">
        <f>MAX([2]Examen21!AU25,[2]Examen22!AU25,[2]Examen23!AU25)</f>
        <v>0</v>
      </c>
      <c r="AV37" s="32">
        <f t="shared" si="81"/>
        <v>-1</v>
      </c>
      <c r="AW37" s="33">
        <f>MAX([2]Examen21!AW25,[2]Examen22!AW25,[2]Examen23!AW25)</f>
        <v>0</v>
      </c>
      <c r="AX37" s="32">
        <f t="shared" si="82"/>
        <v>-1</v>
      </c>
      <c r="AY37" s="33">
        <f>MAX([2]Examen21!AY25,[2]Examen22!AY25,[2]Examen23!AY25)</f>
        <v>0</v>
      </c>
      <c r="AZ37" s="32">
        <f t="shared" si="83"/>
        <v>-1</v>
      </c>
      <c r="BA37" s="33">
        <f>MAX([2]Examen21!BA25,[2]Examen22!BA25,[2]Examen23!BA25)</f>
        <v>0</v>
      </c>
      <c r="BB37" s="32">
        <f t="shared" si="84"/>
        <v>-1</v>
      </c>
      <c r="BC37" s="33">
        <f>MAX([2]Examen21!BC25,[2]Examen22!BC25,[2]Examen23!BC25)</f>
        <v>0</v>
      </c>
      <c r="BD37" s="32">
        <f t="shared" si="85"/>
        <v>-1</v>
      </c>
      <c r="BE37" s="33">
        <f>MAX([2]Examen21!BE25,[2]Examen22!BE25,[2]Examen23!BE25)</f>
        <v>0</v>
      </c>
      <c r="BF37" s="32">
        <f t="shared" si="86"/>
        <v>-1</v>
      </c>
      <c r="BG37" s="33">
        <f>MAX([2]Examen21!BG25,[2]Examen22!BG25,[2]Examen23!BG25)</f>
        <v>0</v>
      </c>
      <c r="BH37" s="32">
        <f t="shared" si="87"/>
        <v>-1</v>
      </c>
      <c r="BI37" s="33">
        <f>MAX([2]Examen21!BI25,[2]Examen22!BI25,[2]Examen23!BI25)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Estructura!C5</f>
        <v>0.3</v>
      </c>
      <c r="C38" s="58">
        <f>IF(SUM($B39:$B58)&lt;&gt;0,SUM(C39:C58)/SUM($B39:$B58)*$B38*10, "")</f>
        <v>2.2199999950826168</v>
      </c>
      <c r="D38" s="58"/>
      <c r="E38" s="58">
        <f>IF(SUM($B39:$B58)&lt;&gt;0,SUM(E39:E58)/SUM($B39:$B58)*$B38*10, "")</f>
        <v>1.8600000143051145</v>
      </c>
      <c r="F38" s="58"/>
      <c r="G38" s="58">
        <f>IF(SUM($B39:$B58)&lt;&gt;0,SUM(G39:G58)/SUM($B39:$B58)*$B38*10, "")</f>
        <v>1.6950000107288359</v>
      </c>
      <c r="H38" s="58"/>
      <c r="I38" s="58">
        <f>IF(SUM($B39:$B58)&lt;&gt;0,SUM(I39:I58)/SUM($B39:$B58)*$B38*10, "")</f>
        <v>1.5000000134110449</v>
      </c>
      <c r="J38" s="58"/>
      <c r="K38" s="58">
        <f>IF(SUM($B39:$B58)&lt;&gt;0,SUM(K39:K58)/SUM($B39:$B58)*$B38*10, "")</f>
        <v>1.6800000250339506</v>
      </c>
      <c r="L38" s="58"/>
      <c r="M38" s="58">
        <f>IF(SUM($B39:$B58)&lt;&gt;0,SUM(M39:M58)/SUM($B39:$B58)*$B38*10, "")</f>
        <v>1.140000021457672</v>
      </c>
      <c r="N38" s="58"/>
      <c r="O38" s="58">
        <f>IF(SUM($B39:$B58)&lt;&gt;0,SUM(O39:O58)/SUM($B39:$B58)*$B38*10, "")</f>
        <v>1.5300000138580798</v>
      </c>
      <c r="P38" s="58"/>
      <c r="Q38" s="58">
        <f>IF(SUM($B39:$B58)&lt;&gt;0,SUM(Q39:Q58)/SUM($B39:$B58)*$B38*10, "")</f>
        <v>1.0200000196695327</v>
      </c>
      <c r="R38" s="58"/>
      <c r="S38" s="58">
        <f>IF(SUM($B39:$B58)&lt;&gt;0,SUM(S39:S58)/SUM($B39:$B58)*$B38*10, "")</f>
        <v>0.99000002816319466</v>
      </c>
      <c r="T38" s="58"/>
      <c r="U38" s="58">
        <f>IF(SUM($B39:$B58)&lt;&gt;0,SUM(U39:U58)/SUM($B39:$B58)*$B38*10, "")</f>
        <v>1.3950000185519458</v>
      </c>
      <c r="V38" s="58"/>
      <c r="W38" s="58">
        <f>IF(SUM($B39:$B58)&lt;&gt;0,SUM(W39:W58)/SUM($B39:$B58)*$B38*10, "")</f>
        <v>1.6649999856948852</v>
      </c>
      <c r="X38" s="58"/>
      <c r="Y38" s="58">
        <f>IF(SUM($B39:$B58)&lt;&gt;0,SUM(Y39:Y58)/SUM($B39:$B58)*$B38*10, "")</f>
        <v>1.5000000178813933</v>
      </c>
      <c r="Z38" s="58"/>
      <c r="AA38" s="58">
        <f>IF(SUM($B39:$B58)&lt;&gt;0,SUM(AA39:AA58)/SUM($B39:$B58)*$B38*10, "")</f>
        <v>1.8450000420212744</v>
      </c>
      <c r="AB38" s="58"/>
      <c r="AC38" s="58">
        <f>IF(SUM($B39:$B58)&lt;&gt;0,SUM(AC39:AC58)/SUM($B39:$B58)*$B38*10, "")</f>
        <v>1.5600000098347664</v>
      </c>
      <c r="AD38" s="58"/>
      <c r="AE38" s="58">
        <f>IF(SUM($B39:$B58)&lt;&gt;0,SUM(AE39:AE58)/SUM($B39:$B58)*$B38*10, "")</f>
        <v>1.9349999696016313</v>
      </c>
      <c r="AF38" s="58"/>
      <c r="AG38" s="58">
        <f>IF(SUM($B39:$B58)&lt;&gt;0,SUM(AG39:AG58)/SUM($B39:$B58)*$B38*10, "")</f>
        <v>1.2900000214576721</v>
      </c>
      <c r="AH38" s="58"/>
      <c r="AI38" s="58">
        <f>IF(SUM($B39:$B58)&lt;&gt;0,SUM(AI39:AI58)/SUM($B39:$B58)*$B38*10, "")</f>
        <v>0.90000001341104507</v>
      </c>
      <c r="AJ38" s="58"/>
      <c r="AK38" s="58">
        <f>IF(SUM($B39:$B58)&lt;&gt;0,SUM(AK39:AK58)/SUM($B39:$B58)*$B38*10, "")</f>
        <v>1.6350000008940695</v>
      </c>
      <c r="AL38" s="58"/>
      <c r="AM38" s="58">
        <f>IF(SUM($B39:$B58)&lt;&gt;0,SUM(AM39:AM58)/SUM($B39:$B58)*$B38*10, "")</f>
        <v>1.6800000071525574</v>
      </c>
      <c r="AN38" s="58"/>
      <c r="AO38" s="58">
        <f>IF(SUM($B39:$B58)&lt;&gt;0,SUM(AO39:AO58)/SUM($B39:$B58)*$B38*10, "")</f>
        <v>1.3200000151991844</v>
      </c>
      <c r="AP38" s="58"/>
      <c r="AQ38" s="58">
        <f>IF(SUM($B39:$B58)&lt;&gt;0,SUM(AQ39:AQ58)/SUM($B39:$B58)*$B38*10, "")</f>
        <v>1.4400000259280206</v>
      </c>
      <c r="AR38" s="58"/>
      <c r="AS38" s="58">
        <f>IF(SUM($B39:$B58)&lt;&gt;0,SUM(AS39:AS58)/SUM($B39:$B58)*$B38*10, "")</f>
        <v>1.3650000259280204</v>
      </c>
      <c r="AT38" s="58"/>
      <c r="AU38" s="58">
        <f>IF(SUM($B39:$B58)&lt;&gt;0,SUM(AU39:AU58)/SUM($B39:$B58)*$B38*10, "")</f>
        <v>1.6800000295042992</v>
      </c>
      <c r="AV38" s="58"/>
      <c r="AW38" s="58">
        <f>IF(SUM($B39:$B58)&lt;&gt;0,SUM(AW39:AW58)/SUM($B39:$B58)*$B38*10, "")</f>
        <v>1.080000002682209</v>
      </c>
      <c r="AX38" s="58"/>
      <c r="AY38" s="58">
        <f>IF(SUM($B39:$B58)&lt;&gt;0,SUM(AY39:AY58)/SUM($B39:$B58)*$B38*10, "")</f>
        <v>1.0500000312924387</v>
      </c>
      <c r="AZ38" s="58"/>
      <c r="BA38" s="58">
        <f>IF(SUM($B39:$B58)&lt;&gt;0,SUM(BA39:BA58)/SUM($B39:$B58)*$B38*10, "")</f>
        <v>1.1849999986588955</v>
      </c>
      <c r="BB38" s="58"/>
      <c r="BC38" s="58">
        <f>IF(SUM($B39:$B58)&lt;&gt;0,SUM(BC39:BC58)/SUM($B39:$B58)*$B38*10, "")</f>
        <v>1.8600000008940698</v>
      </c>
      <c r="BD38" s="58"/>
      <c r="BE38" s="58">
        <f>IF(SUM($B39:$B58)&lt;&gt;0,SUM(BE39:BE58)/SUM($B39:$B58)*$B38*10, "")</f>
        <v>1.2000000189989803</v>
      </c>
      <c r="BF38" s="58"/>
      <c r="BG38" s="58">
        <f>IF(SUM($B39:$B58)&lt;&gt;0,SUM(BG39:BG58)/SUM($B39:$B58)*$B38*10, "")</f>
        <v>1.2900000214576721</v>
      </c>
      <c r="BH38" s="58"/>
      <c r="BI38" s="58">
        <f>IF(SUM($B39:$B58)&lt;&gt;0,SUM(BI39:BI58)/SUM($B39:$B58)*$B38*10, "")</f>
        <v>1.3800000138580799</v>
      </c>
      <c r="BJ38" s="58"/>
    </row>
    <row r="39" spans="1:62" ht="28" x14ac:dyDescent="0.2">
      <c r="A39" s="2" t="s">
        <v>39</v>
      </c>
      <c r="B39" s="13">
        <f>MAX([2]Examen21!B27,[2]Examen22!B27,[2]Examen23!B27)</f>
        <v>1.5</v>
      </c>
      <c r="C39" s="33">
        <f>MAX([2]Examen21!C27,[2]Examen22!C27,[2]Examen23!C27)</f>
        <v>1.5</v>
      </c>
      <c r="D39" s="32">
        <f t="shared" ref="D39:D58" si="89">IF($B39,C39/$B39,-1)</f>
        <v>1</v>
      </c>
      <c r="E39" s="33">
        <f>MAX([2]Examen21!E27,[2]Examen22!E27,[2]Examen23!E27)</f>
        <v>1.5</v>
      </c>
      <c r="F39" s="32">
        <f t="shared" ref="F39:F58" si="90">IF($B39,E39/$B39,-1)</f>
        <v>1</v>
      </c>
      <c r="G39" s="33">
        <f>MAX([2]Examen21!G27,[2]Examen22!G27,[2]Examen23!G27)</f>
        <v>0.90000003576278687</v>
      </c>
      <c r="H39" s="32">
        <f t="shared" ref="H39:H58" si="91">IF($B39,G39/$B39,-1)</f>
        <v>0.60000002384185791</v>
      </c>
      <c r="I39" s="33">
        <f>MAX([2]Examen21!I27,[2]Examen22!I27,[2]Examen23!I27)</f>
        <v>0.75</v>
      </c>
      <c r="J39" s="32">
        <f t="shared" ref="J39:J58" si="92">IF($B39,I39/$B39,-1)</f>
        <v>0.5</v>
      </c>
      <c r="K39" s="33">
        <f>MAX([2]Examen21!K27,[2]Examen22!K27,[2]Examen23!K27)</f>
        <v>0.90000003576278687</v>
      </c>
      <c r="L39" s="32">
        <f t="shared" ref="L39:L58" si="93">IF($B39,K39/$B39,-1)</f>
        <v>0.60000002384185791</v>
      </c>
      <c r="M39" s="33">
        <f>MAX([2]Examen21!M27,[2]Examen22!M27,[2]Examen23!M27)</f>
        <v>0</v>
      </c>
      <c r="N39" s="32">
        <f t="shared" ref="N39:N58" si="94">IF($B39,M39/$B39,-1)</f>
        <v>0</v>
      </c>
      <c r="O39" s="33">
        <f>MAX([2]Examen21!O27,[2]Examen22!O27,[2]Examen23!O27)</f>
        <v>0.30000000447034836</v>
      </c>
      <c r="P39" s="32">
        <f t="shared" ref="P39:P58" si="95">IF($B39,O39/$B39,-1)</f>
        <v>0.20000000298023224</v>
      </c>
      <c r="Q39" s="33">
        <f>MAX([2]Examen21!Q27,[2]Examen22!Q27,[2]Examen23!Q27)</f>
        <v>0.45000001788139343</v>
      </c>
      <c r="R39" s="32">
        <f t="shared" ref="R39:R58" si="96">IF($B39,Q39/$B39,-1)</f>
        <v>0.30000001192092896</v>
      </c>
      <c r="S39" s="33">
        <f>MAX([2]Examen21!S27,[2]Examen22!S27,[2]Examen23!S27)</f>
        <v>0</v>
      </c>
      <c r="T39" s="32">
        <f t="shared" ref="T39:T58" si="97">IF($B39,S39/$B39,-1)</f>
        <v>0</v>
      </c>
      <c r="U39" s="33">
        <f>MAX([2]Examen21!U27,[2]Examen22!U27,[2]Examen23!U27)</f>
        <v>0.15000000223517418</v>
      </c>
      <c r="V39" s="32">
        <f t="shared" ref="V39:V58" si="98">IF($B39,U39/$B39,-1)</f>
        <v>0.10000000149011612</v>
      </c>
      <c r="W39" s="33">
        <f>MAX([2]Examen21!W27,[2]Examen22!W27,[2]Examen23!W27)</f>
        <v>0.60000000894069672</v>
      </c>
      <c r="X39" s="32">
        <f t="shared" ref="X39:X58" si="99">IF($B39,W39/$B39,-1)</f>
        <v>0.40000000596046448</v>
      </c>
      <c r="Y39" s="33">
        <f>MAX([2]Examen21!Y27,[2]Examen22!Y27,[2]Examen23!Y27)</f>
        <v>0.90000003576278687</v>
      </c>
      <c r="Z39" s="32">
        <f t="shared" ref="Z39:Z58" si="100">IF($B39,Y39/$B39,-1)</f>
        <v>0.60000002384185791</v>
      </c>
      <c r="AA39" s="33">
        <f>MAX([2]Examen21!AA27,[2]Examen22!AA27,[2]Examen23!AA27)</f>
        <v>0.90000003576278687</v>
      </c>
      <c r="AB39" s="32">
        <f t="shared" ref="AB39:AB58" si="101">IF($B39,AA39/$B39,-1)</f>
        <v>0.60000002384185791</v>
      </c>
      <c r="AC39" s="33">
        <f>MAX([2]Examen21!AC27,[2]Examen22!AC27,[2]Examen23!AC27)</f>
        <v>1.2000000178813934</v>
      </c>
      <c r="AD39" s="32">
        <f t="shared" ref="AD39:AD58" si="102">IF($B39,AC39/$B39,-1)</f>
        <v>0.80000001192092896</v>
      </c>
      <c r="AE39" s="33">
        <f>MAX([2]Examen21!AE27,[2]Examen22!AE27,[2]Examen23!AE27)</f>
        <v>0</v>
      </c>
      <c r="AF39" s="32">
        <f t="shared" ref="AF39:AF58" si="103">IF($B39,AE39/$B39,-1)</f>
        <v>0</v>
      </c>
      <c r="AG39" s="33">
        <f>MAX([2]Examen21!AG27,[2]Examen22!AG27,[2]Examen23!AG27)</f>
        <v>0.60000000894069672</v>
      </c>
      <c r="AH39" s="32">
        <f t="shared" ref="AH39:AH58" si="104">IF($B39,AG39/$B39,-1)</f>
        <v>0.40000000596046448</v>
      </c>
      <c r="AI39" s="33">
        <f>MAX([2]Examen21!AI27,[2]Examen22!AI27,[2]Examen23!AI27)</f>
        <v>0</v>
      </c>
      <c r="AJ39" s="32">
        <f t="shared" ref="AJ39:AJ58" si="105">IF($B39,AI39/$B39,-1)</f>
        <v>0</v>
      </c>
      <c r="AK39" s="33">
        <f>MAX([2]Examen21!AK27,[2]Examen22!AK27,[2]Examen23!AK27)</f>
        <v>0.45000001788139343</v>
      </c>
      <c r="AL39" s="32">
        <f t="shared" ref="AL39:AL58" si="106">IF($B39,AK39/$B39,-1)</f>
        <v>0.30000001192092896</v>
      </c>
      <c r="AM39" s="33">
        <f>MAX([2]Examen21!AM27,[2]Examen22!AM27,[2]Examen23!AM27)</f>
        <v>0.90000003576278687</v>
      </c>
      <c r="AN39" s="32">
        <f t="shared" ref="AN39:AN58" si="107">IF($B39,AM39/$B39,-1)</f>
        <v>0.60000002384185791</v>
      </c>
      <c r="AO39" s="33">
        <f>MAX([2]Examen21!AO27,[2]Examen22!AO27,[2]Examen23!AO27)</f>
        <v>0.75</v>
      </c>
      <c r="AP39" s="32">
        <f t="shared" ref="AP39:AP58" si="108">IF($B39,AO39/$B39,-1)</f>
        <v>0.5</v>
      </c>
      <c r="AQ39" s="33">
        <f>MAX([2]Examen21!AQ27,[2]Examen22!AQ27,[2]Examen23!AQ27)</f>
        <v>0.90000003576278687</v>
      </c>
      <c r="AR39" s="32">
        <f t="shared" ref="AR39:AR58" si="109">IF($B39,AQ39/$B39,-1)</f>
        <v>0.60000002384185791</v>
      </c>
      <c r="AS39" s="33">
        <f>MAX([2]Examen21!AS27,[2]Examen22!AS27,[2]Examen23!AS27)</f>
        <v>0.45000001788139343</v>
      </c>
      <c r="AT39" s="32">
        <f t="shared" ref="AT39:AT58" si="110">IF($B39,AS39/$B39,-1)</f>
        <v>0.30000001192092896</v>
      </c>
      <c r="AU39" s="33">
        <f>MAX([2]Examen21!AU27,[2]Examen22!AU27,[2]Examen23!AU27)</f>
        <v>1.5</v>
      </c>
      <c r="AV39" s="32">
        <f t="shared" ref="AV39:AV58" si="111">IF($B39,AU39/$B39,-1)</f>
        <v>1</v>
      </c>
      <c r="AW39" s="33">
        <f>MAX([2]Examen21!AW27,[2]Examen22!AW27,[2]Examen23!AW27)</f>
        <v>1.2000000178813934</v>
      </c>
      <c r="AX39" s="32">
        <f t="shared" ref="AX39:AX58" si="112">IF($B39,AW39/$B39,-1)</f>
        <v>0.80000001192092896</v>
      </c>
      <c r="AY39" s="33">
        <f>MAX([2]Examen21!AY27,[2]Examen22!AY27,[2]Examen23!AY27)</f>
        <v>0.90000003576278687</v>
      </c>
      <c r="AZ39" s="32">
        <f t="shared" ref="AZ39:AZ58" si="113">IF($B39,AY39/$B39,-1)</f>
        <v>0.60000002384185791</v>
      </c>
      <c r="BA39" s="33">
        <f>MAX([2]Examen21!BA27,[2]Examen22!BA27,[2]Examen23!BA27)</f>
        <v>0.60000000894069672</v>
      </c>
      <c r="BB39" s="32">
        <f t="shared" ref="BB39:BB58" si="114">IF($B39,BA39/$B39,-1)</f>
        <v>0.40000000596046448</v>
      </c>
      <c r="BC39" s="33">
        <f>MAX([2]Examen21!BC27,[2]Examen22!BC27,[2]Examen23!BC27)</f>
        <v>1.2000000178813934</v>
      </c>
      <c r="BD39" s="32">
        <f t="shared" ref="BD39:BD58" si="115">IF($B39,BC39/$B39,-1)</f>
        <v>0.80000001192092896</v>
      </c>
      <c r="BE39" s="33">
        <f>MAX([2]Examen21!BE27,[2]Examen22!BE27,[2]Examen23!BE27)</f>
        <v>0.15000000223517418</v>
      </c>
      <c r="BF39" s="32">
        <f t="shared" ref="BF39:BF58" si="116">IF($B39,BE39/$B39,-1)</f>
        <v>0.10000000149011612</v>
      </c>
      <c r="BG39" s="33">
        <f>MAX([2]Examen21!BG27,[2]Examen22!BG27,[2]Examen23!BG27)</f>
        <v>0</v>
      </c>
      <c r="BH39" s="32">
        <f t="shared" ref="BH39:BH58" si="117">IF($B39,BG39/$B39,-1)</f>
        <v>0</v>
      </c>
      <c r="BI39" s="33">
        <f>MAX([2]Examen21!BI27,[2]Examen22!BI27,[2]Examen23!BI27)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MAX([2]Examen21!B28,[2]Examen22!B28,[2]Examen23!B28)</f>
        <v>1.5</v>
      </c>
      <c r="C40" s="33">
        <f>MAX([2]Examen21!C28,[2]Examen22!C28,[2]Examen23!C28)</f>
        <v>1.2000000178813934</v>
      </c>
      <c r="D40" s="32">
        <f t="shared" si="89"/>
        <v>0.80000001192092896</v>
      </c>
      <c r="E40" s="33">
        <f>MAX([2]Examen21!E28,[2]Examen22!E28,[2]Examen23!E28)</f>
        <v>1.5</v>
      </c>
      <c r="F40" s="32">
        <f t="shared" si="90"/>
        <v>1</v>
      </c>
      <c r="G40" s="33">
        <f>MAX([2]Examen21!G28,[2]Examen22!G28,[2]Examen23!G28)</f>
        <v>0.45000001788139343</v>
      </c>
      <c r="H40" s="32">
        <f t="shared" si="91"/>
        <v>0.30000001192092896</v>
      </c>
      <c r="I40" s="33">
        <f>MAX([2]Examen21!I28,[2]Examen22!I28,[2]Examen23!I28)</f>
        <v>1.0499999821186066</v>
      </c>
      <c r="J40" s="32">
        <f t="shared" si="92"/>
        <v>0.69999998807907104</v>
      </c>
      <c r="K40" s="33">
        <f>MAX([2]Examen21!K28,[2]Examen22!K28,[2]Examen23!K28)</f>
        <v>1.2000000178813934</v>
      </c>
      <c r="L40" s="32">
        <f t="shared" si="93"/>
        <v>0.80000001192092896</v>
      </c>
      <c r="M40" s="33">
        <f>MAX([2]Examen21!M28,[2]Examen22!M28,[2]Examen23!M28)</f>
        <v>0</v>
      </c>
      <c r="N40" s="32">
        <f t="shared" si="94"/>
        <v>0</v>
      </c>
      <c r="O40" s="33">
        <f>MAX([2]Examen21!O28,[2]Examen22!O28,[2]Examen23!O28)</f>
        <v>1.2000000178813934</v>
      </c>
      <c r="P40" s="32">
        <f t="shared" si="95"/>
        <v>0.80000001192092896</v>
      </c>
      <c r="Q40" s="33">
        <f>MAX([2]Examen21!Q28,[2]Examen22!Q28,[2]Examen23!Q28)</f>
        <v>0.75</v>
      </c>
      <c r="R40" s="32">
        <f t="shared" si="96"/>
        <v>0.5</v>
      </c>
      <c r="S40" s="33">
        <f>MAX([2]Examen21!S28,[2]Examen22!S28,[2]Examen23!S28)</f>
        <v>0.30000000447034836</v>
      </c>
      <c r="T40" s="32">
        <f t="shared" si="97"/>
        <v>0.20000000298023224</v>
      </c>
      <c r="U40" s="33">
        <f>MAX([2]Examen21!U28,[2]Examen22!U28,[2]Examen23!U28)</f>
        <v>0.90000003576278687</v>
      </c>
      <c r="V40" s="32">
        <f t="shared" si="98"/>
        <v>0.60000002384185791</v>
      </c>
      <c r="W40" s="33">
        <f>MAX([2]Examen21!W28,[2]Examen22!W28,[2]Examen23!W28)</f>
        <v>1.3499999642372131</v>
      </c>
      <c r="X40" s="32">
        <f t="shared" si="99"/>
        <v>0.89999997615814209</v>
      </c>
      <c r="Y40" s="33">
        <f>MAX([2]Examen21!Y28,[2]Examen22!Y28,[2]Examen23!Y28)</f>
        <v>1.5</v>
      </c>
      <c r="Z40" s="32">
        <f t="shared" si="100"/>
        <v>1</v>
      </c>
      <c r="AA40" s="33">
        <f>MAX([2]Examen21!AA28,[2]Examen22!AA28,[2]Examen23!AA28)</f>
        <v>1.0499999821186066</v>
      </c>
      <c r="AB40" s="32">
        <f t="shared" si="101"/>
        <v>0.69999998807907104</v>
      </c>
      <c r="AC40" s="33">
        <f>MAX([2]Examen21!AC28,[2]Examen22!AC28,[2]Examen23!AC28)</f>
        <v>0</v>
      </c>
      <c r="AD40" s="32">
        <f t="shared" si="102"/>
        <v>0</v>
      </c>
      <c r="AE40" s="33">
        <f>MAX([2]Examen21!AE28,[2]Examen22!AE28,[2]Examen23!AE28)</f>
        <v>1.0499999821186066</v>
      </c>
      <c r="AF40" s="32">
        <f t="shared" si="103"/>
        <v>0.69999998807907104</v>
      </c>
      <c r="AG40" s="33">
        <f>MAX([2]Examen21!AG28,[2]Examen22!AG28,[2]Examen23!AG28)</f>
        <v>1.5</v>
      </c>
      <c r="AH40" s="32">
        <f t="shared" si="104"/>
        <v>1</v>
      </c>
      <c r="AI40" s="33">
        <f>MAX([2]Examen21!AI28,[2]Examen22!AI28,[2]Examen23!AI28)</f>
        <v>0</v>
      </c>
      <c r="AJ40" s="32">
        <f t="shared" si="105"/>
        <v>0</v>
      </c>
      <c r="AK40" s="33">
        <f>MAX([2]Examen21!AK28,[2]Examen22!AK28,[2]Examen23!AK28)</f>
        <v>1.5</v>
      </c>
      <c r="AL40" s="32">
        <f t="shared" si="106"/>
        <v>1</v>
      </c>
      <c r="AM40" s="33">
        <f>MAX([2]Examen21!AM28,[2]Examen22!AM28,[2]Examen23!AM28)</f>
        <v>0</v>
      </c>
      <c r="AN40" s="32">
        <f t="shared" si="107"/>
        <v>0</v>
      </c>
      <c r="AO40" s="33">
        <f>MAX([2]Examen21!AO28,[2]Examen22!AO28,[2]Examen23!AO28)</f>
        <v>0.45000001788139343</v>
      </c>
      <c r="AP40" s="32">
        <f t="shared" si="108"/>
        <v>0.30000001192092896</v>
      </c>
      <c r="AQ40" s="33">
        <f>MAX([2]Examen21!AQ28,[2]Examen22!AQ28,[2]Examen23!AQ28)</f>
        <v>0.90000003576278687</v>
      </c>
      <c r="AR40" s="32">
        <f t="shared" si="109"/>
        <v>0.60000002384185791</v>
      </c>
      <c r="AS40" s="33">
        <f>MAX([2]Examen21!AS28,[2]Examen22!AS28,[2]Examen23!AS28)</f>
        <v>1.2000000178813934</v>
      </c>
      <c r="AT40" s="32">
        <f t="shared" si="110"/>
        <v>0.80000001192092896</v>
      </c>
      <c r="AU40" s="33">
        <f>MAX([2]Examen21!AU28,[2]Examen22!AU28,[2]Examen23!AU28)</f>
        <v>0</v>
      </c>
      <c r="AV40" s="32">
        <f t="shared" si="111"/>
        <v>0</v>
      </c>
      <c r="AW40" s="33">
        <f>MAX([2]Examen21!AW28,[2]Examen22!AW28,[2]Examen23!AW28)</f>
        <v>0</v>
      </c>
      <c r="AX40" s="32">
        <f t="shared" si="112"/>
        <v>0</v>
      </c>
      <c r="AY40" s="33">
        <f>MAX([2]Examen21!AY28,[2]Examen22!AY28,[2]Examen23!AY28)</f>
        <v>0.90000003576278687</v>
      </c>
      <c r="AZ40" s="32">
        <f t="shared" si="113"/>
        <v>0.60000002384185791</v>
      </c>
      <c r="BA40" s="33">
        <f>MAX([2]Examen21!BA28,[2]Examen22!BA28,[2]Examen23!BA28)</f>
        <v>0.45000001788139343</v>
      </c>
      <c r="BB40" s="32">
        <f t="shared" si="114"/>
        <v>0.30000001192092896</v>
      </c>
      <c r="BC40" s="33">
        <f>MAX([2]Examen21!BC28,[2]Examen22!BC28,[2]Examen23!BC28)</f>
        <v>0.60000000894069672</v>
      </c>
      <c r="BD40" s="32">
        <f t="shared" si="115"/>
        <v>0.40000000596046448</v>
      </c>
      <c r="BE40" s="33">
        <f>MAX([2]Examen21!BE28,[2]Examen22!BE28,[2]Examen23!BE28)</f>
        <v>0.75</v>
      </c>
      <c r="BF40" s="32">
        <f t="shared" si="116"/>
        <v>0.5</v>
      </c>
      <c r="BG40" s="33">
        <f>MAX([2]Examen21!BG28,[2]Examen22!BG28,[2]Examen23!BG28)</f>
        <v>1.2000000178813934</v>
      </c>
      <c r="BH40" s="32">
        <f t="shared" si="117"/>
        <v>0.80000001192092896</v>
      </c>
      <c r="BI40" s="33">
        <f>MAX([2]Examen21!BI28,[2]Examen22!BI28,[2]Examen23!BI28)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MAX([2]Examen21!B29,[2]Examen22!B29,[2]Examen23!B29)</f>
        <v>1</v>
      </c>
      <c r="C41" s="33">
        <f>MAX([2]Examen21!C29,[2]Examen22!C29,[2]Examen23!C29)</f>
        <v>0.30000001192092896</v>
      </c>
      <c r="D41" s="32">
        <f t="shared" si="89"/>
        <v>0.30000001192092896</v>
      </c>
      <c r="E41" s="33">
        <f>MAX([2]Examen21!E29,[2]Examen22!E29,[2]Examen23!E29)</f>
        <v>0</v>
      </c>
      <c r="F41" s="32">
        <f t="shared" si="90"/>
        <v>0</v>
      </c>
      <c r="G41" s="33">
        <f>MAX([2]Examen21!G29,[2]Examen22!G29,[2]Examen23!G29)</f>
        <v>0.40000000596046448</v>
      </c>
      <c r="H41" s="32">
        <f t="shared" si="91"/>
        <v>0.40000000596046448</v>
      </c>
      <c r="I41" s="33">
        <f>MAX([2]Examen21!I29,[2]Examen22!I29,[2]Examen23!I29)</f>
        <v>0.60000002384185791</v>
      </c>
      <c r="J41" s="32">
        <f t="shared" si="92"/>
        <v>0.60000002384185791</v>
      </c>
      <c r="K41" s="33">
        <f>MAX([2]Examen21!K29,[2]Examen22!K29,[2]Examen23!K29)</f>
        <v>0.80000001192092896</v>
      </c>
      <c r="L41" s="32">
        <f t="shared" si="93"/>
        <v>0.80000001192092896</v>
      </c>
      <c r="M41" s="33">
        <f>MAX([2]Examen21!M29,[2]Examen22!M29,[2]Examen23!M29)</f>
        <v>0.60000002384185791</v>
      </c>
      <c r="N41" s="32">
        <f t="shared" si="94"/>
        <v>0.60000002384185791</v>
      </c>
      <c r="O41" s="33">
        <f>MAX([2]Examen21!O29,[2]Examen22!O29,[2]Examen23!O29)</f>
        <v>0.69999998807907104</v>
      </c>
      <c r="P41" s="32">
        <f t="shared" si="95"/>
        <v>0.69999998807907104</v>
      </c>
      <c r="Q41" s="33">
        <f>MAX([2]Examen21!Q29,[2]Examen22!Q29,[2]Examen23!Q29)</f>
        <v>0.80000001192092896</v>
      </c>
      <c r="R41" s="32">
        <f t="shared" si="96"/>
        <v>0.80000001192092896</v>
      </c>
      <c r="S41" s="33">
        <f>MAX([2]Examen21!S29,[2]Examen22!S29,[2]Examen23!S29)</f>
        <v>0.40000000596046448</v>
      </c>
      <c r="T41" s="32">
        <f t="shared" si="97"/>
        <v>0.40000000596046448</v>
      </c>
      <c r="U41" s="33">
        <f>MAX([2]Examen21!U29,[2]Examen22!U29,[2]Examen23!U29)</f>
        <v>0.80000001192092896</v>
      </c>
      <c r="V41" s="32">
        <f t="shared" si="98"/>
        <v>0.80000001192092896</v>
      </c>
      <c r="W41" s="33">
        <f>MAX([2]Examen21!W29,[2]Examen22!W29,[2]Examen23!W29)</f>
        <v>0.69999998807907104</v>
      </c>
      <c r="X41" s="32">
        <f t="shared" si="99"/>
        <v>0.69999998807907104</v>
      </c>
      <c r="Y41" s="33">
        <f>MAX([2]Examen21!Y29,[2]Examen22!Y29,[2]Examen23!Y29)</f>
        <v>0.69999998807907104</v>
      </c>
      <c r="Z41" s="32">
        <f t="shared" si="100"/>
        <v>0.69999998807907104</v>
      </c>
      <c r="AA41" s="33">
        <f>MAX([2]Examen21!AA29,[2]Examen22!AA29,[2]Examen23!AA29)</f>
        <v>0.80000001192092896</v>
      </c>
      <c r="AB41" s="32">
        <f t="shared" si="101"/>
        <v>0.80000001192092896</v>
      </c>
      <c r="AC41" s="33">
        <f>MAX([2]Examen21!AC29,[2]Examen22!AC29,[2]Examen23!AC29)</f>
        <v>0.20000000298023224</v>
      </c>
      <c r="AD41" s="32">
        <f t="shared" si="102"/>
        <v>0.20000000298023224</v>
      </c>
      <c r="AE41" s="33">
        <f>MAX([2]Examen21!AE29,[2]Examen22!AE29,[2]Examen23!AE29)</f>
        <v>0.80000001192092896</v>
      </c>
      <c r="AF41" s="32">
        <f t="shared" si="103"/>
        <v>0.80000001192092896</v>
      </c>
      <c r="AG41" s="33">
        <f>MAX([2]Examen21!AG29,[2]Examen22!AG29,[2]Examen23!AG29)</f>
        <v>0</v>
      </c>
      <c r="AH41" s="32">
        <f t="shared" si="104"/>
        <v>0</v>
      </c>
      <c r="AI41" s="33">
        <f>MAX([2]Examen21!AI29,[2]Examen22!AI29,[2]Examen23!AI29)</f>
        <v>0.20000000298023224</v>
      </c>
      <c r="AJ41" s="32">
        <f t="shared" si="105"/>
        <v>0.20000000298023224</v>
      </c>
      <c r="AK41" s="33">
        <f>MAX([2]Examen21!AK29,[2]Examen22!AK29,[2]Examen23!AK29)</f>
        <v>1</v>
      </c>
      <c r="AL41" s="32">
        <f t="shared" si="106"/>
        <v>1</v>
      </c>
      <c r="AM41" s="33">
        <f>MAX([2]Examen21!AM29,[2]Examen22!AM29,[2]Examen23!AM29)</f>
        <v>0.89999997615814209</v>
      </c>
      <c r="AN41" s="32">
        <f t="shared" si="107"/>
        <v>0.89999997615814209</v>
      </c>
      <c r="AO41" s="33">
        <f>MAX([2]Examen21!AO29,[2]Examen22!AO29,[2]Examen23!AO29)</f>
        <v>0.20000000298023224</v>
      </c>
      <c r="AP41" s="32">
        <f t="shared" si="108"/>
        <v>0.20000000298023224</v>
      </c>
      <c r="AQ41" s="33">
        <f>MAX([2]Examen21!AQ29,[2]Examen22!AQ29,[2]Examen23!AQ29)</f>
        <v>0.20000000298023224</v>
      </c>
      <c r="AR41" s="32">
        <f t="shared" si="109"/>
        <v>0.20000000298023224</v>
      </c>
      <c r="AS41" s="33">
        <f>MAX([2]Examen21!AS29,[2]Examen22!AS29,[2]Examen23!AS29)</f>
        <v>0.20000000298023224</v>
      </c>
      <c r="AT41" s="32">
        <f t="shared" si="110"/>
        <v>0.20000000298023224</v>
      </c>
      <c r="AU41" s="33">
        <f>MAX([2]Examen21!AU29,[2]Examen22!AU29,[2]Examen23!AU29)</f>
        <v>1</v>
      </c>
      <c r="AV41" s="32">
        <f t="shared" si="111"/>
        <v>1</v>
      </c>
      <c r="AW41" s="33">
        <f>MAX([2]Examen21!AW29,[2]Examen22!AW29,[2]Examen23!AW29)</f>
        <v>0.20000000298023224</v>
      </c>
      <c r="AX41" s="32">
        <f t="shared" si="112"/>
        <v>0.20000000298023224</v>
      </c>
      <c r="AY41" s="33">
        <f>MAX([2]Examen21!AY29,[2]Examen22!AY29,[2]Examen23!AY29)</f>
        <v>0.20000000298023224</v>
      </c>
      <c r="AZ41" s="32">
        <f t="shared" si="113"/>
        <v>0.20000000298023224</v>
      </c>
      <c r="BA41" s="33">
        <f>MAX([2]Examen21!BA29,[2]Examen22!BA29,[2]Examen23!BA29)</f>
        <v>0.69999998807907104</v>
      </c>
      <c r="BB41" s="32">
        <f t="shared" si="114"/>
        <v>0.69999998807907104</v>
      </c>
      <c r="BC41" s="33">
        <f>MAX([2]Examen21!BC29,[2]Examen22!BC29,[2]Examen23!BC29)</f>
        <v>0.69999998807907104</v>
      </c>
      <c r="BD41" s="32">
        <f t="shared" si="115"/>
        <v>0.69999998807907104</v>
      </c>
      <c r="BE41" s="33">
        <f>MAX([2]Examen21!BE29,[2]Examen22!BE29,[2]Examen23!BE29)</f>
        <v>0.80000001192092896</v>
      </c>
      <c r="BF41" s="32">
        <f t="shared" si="116"/>
        <v>0.80000001192092896</v>
      </c>
      <c r="BG41" s="33">
        <f>MAX([2]Examen21!BG29,[2]Examen22!BG29,[2]Examen23!BG29)</f>
        <v>0.80000001192092896</v>
      </c>
      <c r="BH41" s="32">
        <f t="shared" si="117"/>
        <v>0.80000001192092896</v>
      </c>
      <c r="BI41" s="33">
        <f>MAX([2]Examen21!BI29,[2]Examen22!BI29,[2]Examen23!BI29)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MAX([2]Examen21!B30,[2]Examen22!B30,[2]Examen23!B30)</f>
        <v>0</v>
      </c>
      <c r="C42" s="33">
        <f>MAX([2]Examen21!C30,[2]Examen22!C30,[2]Examen23!C30)</f>
        <v>0</v>
      </c>
      <c r="D42" s="32">
        <f t="shared" si="89"/>
        <v>-1</v>
      </c>
      <c r="E42" s="33">
        <f>MAX([2]Examen21!E30,[2]Examen22!E30,[2]Examen23!E30)</f>
        <v>0</v>
      </c>
      <c r="F42" s="32">
        <f t="shared" si="90"/>
        <v>-1</v>
      </c>
      <c r="G42" s="33">
        <f>MAX([2]Examen21!G30,[2]Examen22!G30,[2]Examen23!G30)</f>
        <v>0</v>
      </c>
      <c r="H42" s="32">
        <f t="shared" si="91"/>
        <v>-1</v>
      </c>
      <c r="I42" s="33">
        <f>MAX([2]Examen21!I30,[2]Examen22!I30,[2]Examen23!I30)</f>
        <v>0</v>
      </c>
      <c r="J42" s="32">
        <f t="shared" si="92"/>
        <v>-1</v>
      </c>
      <c r="K42" s="33">
        <f>MAX([2]Examen21!K30,[2]Examen22!K30,[2]Examen23!K30)</f>
        <v>0</v>
      </c>
      <c r="L42" s="32">
        <f t="shared" si="93"/>
        <v>-1</v>
      </c>
      <c r="M42" s="33">
        <f>MAX([2]Examen21!M30,[2]Examen22!M30,[2]Examen23!M30)</f>
        <v>0</v>
      </c>
      <c r="N42" s="32">
        <f t="shared" si="94"/>
        <v>-1</v>
      </c>
      <c r="O42" s="33">
        <f>MAX([2]Examen21!O30,[2]Examen22!O30,[2]Examen23!O30)</f>
        <v>0</v>
      </c>
      <c r="P42" s="32">
        <f t="shared" si="95"/>
        <v>-1</v>
      </c>
      <c r="Q42" s="33">
        <f>MAX([2]Examen21!Q30,[2]Examen22!Q30,[2]Examen23!Q30)</f>
        <v>0</v>
      </c>
      <c r="R42" s="32">
        <f t="shared" si="96"/>
        <v>-1</v>
      </c>
      <c r="S42" s="33">
        <f>MAX([2]Examen21!S30,[2]Examen22!S30,[2]Examen23!S30)</f>
        <v>0</v>
      </c>
      <c r="T42" s="32">
        <f t="shared" si="97"/>
        <v>-1</v>
      </c>
      <c r="U42" s="33">
        <f>MAX([2]Examen21!U30,[2]Examen22!U30,[2]Examen23!U30)</f>
        <v>0</v>
      </c>
      <c r="V42" s="32">
        <f t="shared" si="98"/>
        <v>-1</v>
      </c>
      <c r="W42" s="33">
        <f>MAX([2]Examen21!W30,[2]Examen22!W30,[2]Examen23!W30)</f>
        <v>0</v>
      </c>
      <c r="X42" s="32">
        <f t="shared" si="99"/>
        <v>-1</v>
      </c>
      <c r="Y42" s="33">
        <f>MAX([2]Examen21!Y30,[2]Examen22!Y30,[2]Examen23!Y30)</f>
        <v>0</v>
      </c>
      <c r="Z42" s="32">
        <f t="shared" si="100"/>
        <v>-1</v>
      </c>
      <c r="AA42" s="33">
        <f>MAX([2]Examen21!AA30,[2]Examen22!AA30,[2]Examen23!AA30)</f>
        <v>0</v>
      </c>
      <c r="AB42" s="32">
        <f t="shared" si="101"/>
        <v>-1</v>
      </c>
      <c r="AC42" s="33">
        <f>MAX([2]Examen21!AC30,[2]Examen22!AC30,[2]Examen23!AC30)</f>
        <v>0</v>
      </c>
      <c r="AD42" s="32">
        <f t="shared" si="102"/>
        <v>-1</v>
      </c>
      <c r="AE42" s="33">
        <f>MAX([2]Examen21!AE30,[2]Examen22!AE30,[2]Examen23!AE30)</f>
        <v>0</v>
      </c>
      <c r="AF42" s="32">
        <f t="shared" si="103"/>
        <v>-1</v>
      </c>
      <c r="AG42" s="33">
        <f>MAX([2]Examen21!AG30,[2]Examen22!AG30,[2]Examen23!AG30)</f>
        <v>0</v>
      </c>
      <c r="AH42" s="32">
        <f t="shared" si="104"/>
        <v>-1</v>
      </c>
      <c r="AI42" s="33">
        <f>MAX([2]Examen21!AI30,[2]Examen22!AI30,[2]Examen23!AI30)</f>
        <v>0</v>
      </c>
      <c r="AJ42" s="32">
        <f t="shared" si="105"/>
        <v>-1</v>
      </c>
      <c r="AK42" s="33">
        <f>MAX([2]Examen21!AK30,[2]Examen22!AK30,[2]Examen23!AK30)</f>
        <v>0</v>
      </c>
      <c r="AL42" s="32">
        <f t="shared" si="106"/>
        <v>-1</v>
      </c>
      <c r="AM42" s="33">
        <f>MAX([2]Examen21!AM30,[2]Examen22!AM30,[2]Examen23!AM30)</f>
        <v>0</v>
      </c>
      <c r="AN42" s="32">
        <f t="shared" si="107"/>
        <v>-1</v>
      </c>
      <c r="AO42" s="33">
        <f>MAX([2]Examen21!AO30,[2]Examen22!AO30,[2]Examen23!AO30)</f>
        <v>0</v>
      </c>
      <c r="AP42" s="32">
        <f t="shared" si="108"/>
        <v>-1</v>
      </c>
      <c r="AQ42" s="33">
        <f>MAX([2]Examen21!AQ30,[2]Examen22!AQ30,[2]Examen23!AQ30)</f>
        <v>0</v>
      </c>
      <c r="AR42" s="32">
        <f t="shared" si="109"/>
        <v>-1</v>
      </c>
      <c r="AS42" s="33">
        <f>MAX([2]Examen21!AS30,[2]Examen22!AS30,[2]Examen23!AS30)</f>
        <v>0</v>
      </c>
      <c r="AT42" s="32">
        <f t="shared" si="110"/>
        <v>-1</v>
      </c>
      <c r="AU42" s="33">
        <f>MAX([2]Examen21!AU30,[2]Examen22!AU30,[2]Examen23!AU30)</f>
        <v>0</v>
      </c>
      <c r="AV42" s="32">
        <f t="shared" si="111"/>
        <v>-1</v>
      </c>
      <c r="AW42" s="33">
        <f>MAX([2]Examen21!AW30,[2]Examen22!AW30,[2]Examen23!AW30)</f>
        <v>0</v>
      </c>
      <c r="AX42" s="32">
        <f t="shared" si="112"/>
        <v>-1</v>
      </c>
      <c r="AY42" s="33">
        <f>MAX([2]Examen21!AY30,[2]Examen22!AY30,[2]Examen23!AY30)</f>
        <v>0</v>
      </c>
      <c r="AZ42" s="32">
        <f t="shared" si="113"/>
        <v>-1</v>
      </c>
      <c r="BA42" s="33">
        <f>MAX([2]Examen21!BA30,[2]Examen22!BA30,[2]Examen23!BA30)</f>
        <v>0</v>
      </c>
      <c r="BB42" s="32">
        <f t="shared" si="114"/>
        <v>-1</v>
      </c>
      <c r="BC42" s="33">
        <f>MAX([2]Examen21!BC30,[2]Examen22!BC30,[2]Examen23!BC30)</f>
        <v>0</v>
      </c>
      <c r="BD42" s="32">
        <f t="shared" si="115"/>
        <v>-1</v>
      </c>
      <c r="BE42" s="33">
        <f>MAX([2]Examen21!BE30,[2]Examen22!BE30,[2]Examen23!BE30)</f>
        <v>0</v>
      </c>
      <c r="BF42" s="32">
        <f t="shared" si="116"/>
        <v>-1</v>
      </c>
      <c r="BG42" s="33">
        <f>MAX([2]Examen21!BG30,[2]Examen22!BG30,[2]Examen23!BG30)</f>
        <v>0</v>
      </c>
      <c r="BH42" s="32">
        <f t="shared" si="117"/>
        <v>-1</v>
      </c>
      <c r="BI42" s="33">
        <f>MAX([2]Examen21!BI30,[2]Examen22!BI30,[2]Examen23!BI30)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MAX([2]Examen21!B31,[2]Examen22!B31,[2]Examen23!B31)</f>
        <v>2</v>
      </c>
      <c r="C43" s="33">
        <f>MAX([2]Examen21!C31,[2]Examen22!C31,[2]Examen23!C31)</f>
        <v>1.7999999523162842</v>
      </c>
      <c r="D43" s="32">
        <f t="shared" si="89"/>
        <v>0.89999997615814209</v>
      </c>
      <c r="E43" s="33">
        <f>MAX([2]Examen21!E31,[2]Examen22!E31,[2]Examen23!E31)</f>
        <v>1.3999999761581421</v>
      </c>
      <c r="F43" s="32">
        <f t="shared" si="90"/>
        <v>0.69999998807907104</v>
      </c>
      <c r="G43" s="33">
        <f>MAX([2]Examen21!G31,[2]Examen22!G31,[2]Examen23!G31)</f>
        <v>1.7999999523162842</v>
      </c>
      <c r="H43" s="32">
        <f t="shared" si="91"/>
        <v>0.89999997615814209</v>
      </c>
      <c r="I43" s="33">
        <f>MAX([2]Examen21!I31,[2]Examen22!I31,[2]Examen23!I31)</f>
        <v>0.40000000596046448</v>
      </c>
      <c r="J43" s="32">
        <f t="shared" si="92"/>
        <v>0.20000000298023224</v>
      </c>
      <c r="K43" s="33">
        <f>MAX([2]Examen21!K31,[2]Examen22!K31,[2]Examen23!K31)</f>
        <v>0.60000002384185791</v>
      </c>
      <c r="L43" s="32">
        <f t="shared" si="93"/>
        <v>0.30000001192092896</v>
      </c>
      <c r="M43" s="33">
        <f>MAX([2]Examen21!M31,[2]Examen22!M31,[2]Examen23!M31)</f>
        <v>1.2000000476837158</v>
      </c>
      <c r="N43" s="32">
        <f t="shared" si="94"/>
        <v>0.60000002384185791</v>
      </c>
      <c r="O43" s="33">
        <f>MAX([2]Examen21!O31,[2]Examen22!O31,[2]Examen23!O31)</f>
        <v>0.60000002384185791</v>
      </c>
      <c r="P43" s="32">
        <f t="shared" si="95"/>
        <v>0.30000001192092896</v>
      </c>
      <c r="Q43" s="33">
        <f>MAX([2]Examen21!Q31,[2]Examen22!Q31,[2]Examen23!Q31)</f>
        <v>0.40000000596046448</v>
      </c>
      <c r="R43" s="32">
        <f t="shared" si="96"/>
        <v>0.20000000298023224</v>
      </c>
      <c r="S43" s="33">
        <f>MAX([2]Examen21!S31,[2]Examen22!S31,[2]Examen23!S31)</f>
        <v>1.2000000476837158</v>
      </c>
      <c r="T43" s="32">
        <f t="shared" si="97"/>
        <v>0.60000002384185791</v>
      </c>
      <c r="U43" s="33">
        <f>MAX([2]Examen21!U31,[2]Examen22!U31,[2]Examen23!U31)</f>
        <v>1.2000000476837158</v>
      </c>
      <c r="V43" s="32">
        <f t="shared" si="98"/>
        <v>0.60000002384185791</v>
      </c>
      <c r="W43" s="33">
        <f>MAX([2]Examen21!W31,[2]Examen22!W31,[2]Examen23!W31)</f>
        <v>0.20000000298023224</v>
      </c>
      <c r="X43" s="32">
        <f t="shared" si="99"/>
        <v>0.10000000149011612</v>
      </c>
      <c r="Y43" s="33">
        <f>MAX([2]Examen21!Y31,[2]Examen22!Y31,[2]Examen23!Y31)</f>
        <v>0</v>
      </c>
      <c r="Z43" s="32">
        <f t="shared" si="100"/>
        <v>0</v>
      </c>
      <c r="AA43" s="33">
        <f>MAX([2]Examen21!AA31,[2]Examen22!AA31,[2]Examen23!AA31)</f>
        <v>1.2000000476837158</v>
      </c>
      <c r="AB43" s="32">
        <f t="shared" si="101"/>
        <v>0.60000002384185791</v>
      </c>
      <c r="AC43" s="33">
        <f>MAX([2]Examen21!AC31,[2]Examen22!AC31,[2]Examen23!AC31)</f>
        <v>1.7999999523162842</v>
      </c>
      <c r="AD43" s="32">
        <f t="shared" si="102"/>
        <v>0.89999997615814209</v>
      </c>
      <c r="AE43" s="33">
        <f>MAX([2]Examen21!AE31,[2]Examen22!AE31,[2]Examen23!AE31)</f>
        <v>1.3999999761581421</v>
      </c>
      <c r="AF43" s="32">
        <f t="shared" si="103"/>
        <v>0.69999998807907104</v>
      </c>
      <c r="AG43" s="33">
        <f>MAX([2]Examen21!AG31,[2]Examen22!AG31,[2]Examen23!AG31)</f>
        <v>0.80000001192092896</v>
      </c>
      <c r="AH43" s="32">
        <f t="shared" si="104"/>
        <v>0.40000000596046448</v>
      </c>
      <c r="AI43" s="33">
        <f>MAX([2]Examen21!AI31,[2]Examen22!AI31,[2]Examen23!AI31)</f>
        <v>0.40000000596046448</v>
      </c>
      <c r="AJ43" s="32">
        <f t="shared" si="105"/>
        <v>0.20000000298023224</v>
      </c>
      <c r="AK43" s="33">
        <f>MAX([2]Examen21!AK31,[2]Examen22!AK31,[2]Examen23!AK31)</f>
        <v>1</v>
      </c>
      <c r="AL43" s="32">
        <f t="shared" si="106"/>
        <v>0.5</v>
      </c>
      <c r="AM43" s="33">
        <f>MAX([2]Examen21!AM31,[2]Examen22!AM31,[2]Examen23!AM31)</f>
        <v>2</v>
      </c>
      <c r="AN43" s="32">
        <f t="shared" si="107"/>
        <v>1</v>
      </c>
      <c r="AO43" s="33">
        <f>MAX([2]Examen21!AO31,[2]Examen22!AO31,[2]Examen23!AO31)</f>
        <v>1.6000000238418579</v>
      </c>
      <c r="AP43" s="32">
        <f t="shared" si="108"/>
        <v>0.80000001192092896</v>
      </c>
      <c r="AQ43" s="33">
        <f>MAX([2]Examen21!AQ31,[2]Examen22!AQ31,[2]Examen23!AQ31)</f>
        <v>0.80000001192092896</v>
      </c>
      <c r="AR43" s="32">
        <f t="shared" si="109"/>
        <v>0.40000000596046448</v>
      </c>
      <c r="AS43" s="33">
        <f>MAX([2]Examen21!AS31,[2]Examen22!AS31,[2]Examen23!AS31)</f>
        <v>1</v>
      </c>
      <c r="AT43" s="32">
        <f t="shared" si="110"/>
        <v>0.5</v>
      </c>
      <c r="AU43" s="33">
        <f>MAX([2]Examen21!AU31,[2]Examen22!AU31,[2]Examen23!AU31)</f>
        <v>1.2000000476837158</v>
      </c>
      <c r="AV43" s="32">
        <f t="shared" si="111"/>
        <v>0.60000002384185791</v>
      </c>
      <c r="AW43" s="33">
        <f>MAX([2]Examen21!AW31,[2]Examen22!AW31,[2]Examen23!AW31)</f>
        <v>1.3999999761581421</v>
      </c>
      <c r="AX43" s="32">
        <f t="shared" si="112"/>
        <v>0.69999998807907104</v>
      </c>
      <c r="AY43" s="33">
        <f>MAX([2]Examen21!AY31,[2]Examen22!AY31,[2]Examen23!AY31)</f>
        <v>0</v>
      </c>
      <c r="AZ43" s="32">
        <f t="shared" si="113"/>
        <v>0</v>
      </c>
      <c r="BA43" s="33">
        <f>MAX([2]Examen21!BA31,[2]Examen22!BA31,[2]Examen23!BA31)</f>
        <v>1.3999999761581421</v>
      </c>
      <c r="BB43" s="32">
        <f t="shared" si="114"/>
        <v>0.69999998807907104</v>
      </c>
      <c r="BC43" s="33">
        <f>MAX([2]Examen21!BC31,[2]Examen22!BC31,[2]Examen23!BC31)</f>
        <v>1.7999999523162842</v>
      </c>
      <c r="BD43" s="32">
        <f t="shared" si="115"/>
        <v>0.89999997615814209</v>
      </c>
      <c r="BE43" s="33">
        <f>MAX([2]Examen21!BE31,[2]Examen22!BE31,[2]Examen23!BE31)</f>
        <v>0.60000002384185791</v>
      </c>
      <c r="BF43" s="32">
        <f t="shared" si="116"/>
        <v>0.30000001192092896</v>
      </c>
      <c r="BG43" s="33">
        <f>MAX([2]Examen21!BG31,[2]Examen22!BG31,[2]Examen23!BG31)</f>
        <v>0.20000000298023224</v>
      </c>
      <c r="BH43" s="32">
        <f t="shared" si="117"/>
        <v>0.10000000149011612</v>
      </c>
      <c r="BI43" s="33">
        <f>MAX([2]Examen21!BI31,[2]Examen22!BI31,[2]Examen23!BI31)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MAX([2]Examen21!B32,[2]Examen22!B32,[2]Examen23!B32)</f>
        <v>2</v>
      </c>
      <c r="C44" s="33">
        <f>MAX([2]Examen21!C32,[2]Examen22!C32,[2]Examen23!C32)</f>
        <v>1.6000000238418579</v>
      </c>
      <c r="D44" s="32">
        <f t="shared" si="89"/>
        <v>0.80000001192092896</v>
      </c>
      <c r="E44" s="33">
        <f>MAX([2]Examen21!E32,[2]Examen22!E32,[2]Examen23!E32)</f>
        <v>0.60000002384185791</v>
      </c>
      <c r="F44" s="32">
        <f t="shared" si="90"/>
        <v>0.30000001192092896</v>
      </c>
      <c r="G44" s="33">
        <f>MAX([2]Examen21!G32,[2]Examen22!G32,[2]Examen23!G32)</f>
        <v>0.80000001192092896</v>
      </c>
      <c r="H44" s="32">
        <f t="shared" si="91"/>
        <v>0.40000000596046448</v>
      </c>
      <c r="I44" s="33">
        <f>MAX([2]Examen21!I32,[2]Examen22!I32,[2]Examen23!I32)</f>
        <v>1.6000000238418579</v>
      </c>
      <c r="J44" s="32">
        <f t="shared" si="92"/>
        <v>0.80000001192092896</v>
      </c>
      <c r="K44" s="33">
        <f>MAX([2]Examen21!K32,[2]Examen22!K32,[2]Examen23!K32)</f>
        <v>0.80000001192092896</v>
      </c>
      <c r="L44" s="32">
        <f t="shared" si="93"/>
        <v>0.40000000596046448</v>
      </c>
      <c r="M44" s="33">
        <f>MAX([2]Examen21!M32,[2]Examen22!M32,[2]Examen23!M32)</f>
        <v>1.3999999761581421</v>
      </c>
      <c r="N44" s="32">
        <f t="shared" si="94"/>
        <v>0.69999998807907104</v>
      </c>
      <c r="O44" s="33">
        <f>MAX([2]Examen21!O32,[2]Examen22!O32,[2]Examen23!O32)</f>
        <v>1</v>
      </c>
      <c r="P44" s="32">
        <f t="shared" si="95"/>
        <v>0.5</v>
      </c>
      <c r="Q44" s="33">
        <f>MAX([2]Examen21!Q32,[2]Examen22!Q32,[2]Examen23!Q32)</f>
        <v>0.20000000298023224</v>
      </c>
      <c r="R44" s="32">
        <f t="shared" si="96"/>
        <v>0.10000000149011612</v>
      </c>
      <c r="S44" s="33">
        <f>MAX([2]Examen21!S32,[2]Examen22!S32,[2]Examen23!S32)</f>
        <v>0.60000002384185791</v>
      </c>
      <c r="T44" s="32">
        <f t="shared" si="97"/>
        <v>0.30000001192092896</v>
      </c>
      <c r="U44" s="33">
        <f>MAX([2]Examen21!U32,[2]Examen22!U32,[2]Examen23!U32)</f>
        <v>0</v>
      </c>
      <c r="V44" s="32">
        <f t="shared" si="98"/>
        <v>0</v>
      </c>
      <c r="W44" s="33">
        <f>MAX([2]Examen21!W32,[2]Examen22!W32,[2]Examen23!W32)</f>
        <v>2</v>
      </c>
      <c r="X44" s="32">
        <f t="shared" si="99"/>
        <v>1</v>
      </c>
      <c r="Y44" s="33">
        <f>MAX([2]Examen21!Y32,[2]Examen22!Y32,[2]Examen23!Y32)</f>
        <v>0.60000002384185791</v>
      </c>
      <c r="Z44" s="32">
        <f t="shared" si="100"/>
        <v>0.30000001192092896</v>
      </c>
      <c r="AA44" s="33">
        <f>MAX([2]Examen21!AA32,[2]Examen22!AA32,[2]Examen23!AA32)</f>
        <v>1.2000000476837158</v>
      </c>
      <c r="AB44" s="32">
        <f t="shared" si="101"/>
        <v>0.60000002384185791</v>
      </c>
      <c r="AC44" s="33">
        <f>MAX([2]Examen21!AC32,[2]Examen22!AC32,[2]Examen23!AC32)</f>
        <v>0.60000002384185791</v>
      </c>
      <c r="AD44" s="32">
        <f t="shared" si="102"/>
        <v>0.30000001192092896</v>
      </c>
      <c r="AE44" s="33">
        <f>MAX([2]Examen21!AE32,[2]Examen22!AE32,[2]Examen23!AE32)</f>
        <v>1.7999999523162842</v>
      </c>
      <c r="AF44" s="32">
        <f t="shared" si="103"/>
        <v>0.89999997615814209</v>
      </c>
      <c r="AG44" s="33">
        <f>MAX([2]Examen21!AG32,[2]Examen22!AG32,[2]Examen23!AG32)</f>
        <v>0.60000002384185791</v>
      </c>
      <c r="AH44" s="32">
        <f t="shared" si="104"/>
        <v>0.30000001192092896</v>
      </c>
      <c r="AI44" s="33">
        <f>MAX([2]Examen21!AI32,[2]Examen22!AI32,[2]Examen23!AI32)</f>
        <v>1.6000000238418579</v>
      </c>
      <c r="AJ44" s="32">
        <f t="shared" si="105"/>
        <v>0.80000001192092896</v>
      </c>
      <c r="AK44" s="33">
        <f>MAX([2]Examen21!AK32,[2]Examen22!AK32,[2]Examen23!AK32)</f>
        <v>0.20000000298023224</v>
      </c>
      <c r="AL44" s="32">
        <f t="shared" si="106"/>
        <v>0.10000000149011612</v>
      </c>
      <c r="AM44" s="33">
        <f>MAX([2]Examen21!AM32,[2]Examen22!AM32,[2]Examen23!AM32)</f>
        <v>0.60000002384185791</v>
      </c>
      <c r="AN44" s="32">
        <f t="shared" si="107"/>
        <v>0.30000001192092896</v>
      </c>
      <c r="AO44" s="33">
        <f>MAX([2]Examen21!AO32,[2]Examen22!AO32,[2]Examen23!AO32)</f>
        <v>0</v>
      </c>
      <c r="AP44" s="32">
        <f t="shared" si="108"/>
        <v>0</v>
      </c>
      <c r="AQ44" s="33">
        <f>MAX([2]Examen21!AQ32,[2]Examen22!AQ32,[2]Examen23!AQ32)</f>
        <v>1</v>
      </c>
      <c r="AR44" s="32">
        <f t="shared" si="109"/>
        <v>0.5</v>
      </c>
      <c r="AS44" s="33">
        <f>MAX([2]Examen21!AS32,[2]Examen22!AS32,[2]Examen23!AS32)</f>
        <v>0.80000001192092896</v>
      </c>
      <c r="AT44" s="32">
        <f t="shared" si="110"/>
        <v>0.40000000596046448</v>
      </c>
      <c r="AU44" s="33">
        <f>MAX([2]Examen21!AU32,[2]Examen22!AU32,[2]Examen23!AU32)</f>
        <v>1.2000000476837158</v>
      </c>
      <c r="AV44" s="32">
        <f t="shared" si="111"/>
        <v>0.60000002384185791</v>
      </c>
      <c r="AW44" s="33">
        <f>MAX([2]Examen21!AW32,[2]Examen22!AW32,[2]Examen23!AW32)</f>
        <v>0</v>
      </c>
      <c r="AX44" s="32">
        <f t="shared" si="112"/>
        <v>0</v>
      </c>
      <c r="AY44" s="33">
        <f>MAX([2]Examen21!AY32,[2]Examen22!AY32,[2]Examen23!AY32)</f>
        <v>0.60000002384185791</v>
      </c>
      <c r="AZ44" s="32">
        <f t="shared" si="113"/>
        <v>0.30000001192092896</v>
      </c>
      <c r="BA44" s="33">
        <f>MAX([2]Examen21!BA32,[2]Examen22!BA32,[2]Examen23!BA32)</f>
        <v>0.20000000298023224</v>
      </c>
      <c r="BB44" s="32">
        <f t="shared" si="114"/>
        <v>0.10000000149011612</v>
      </c>
      <c r="BC44" s="33">
        <f>MAX([2]Examen21!BC32,[2]Examen22!BC32,[2]Examen23!BC32)</f>
        <v>0.60000002384185791</v>
      </c>
      <c r="BD44" s="32">
        <f t="shared" si="115"/>
        <v>0.30000001192092896</v>
      </c>
      <c r="BE44" s="33">
        <f>MAX([2]Examen21!BE32,[2]Examen22!BE32,[2]Examen23!BE32)</f>
        <v>1.6000000238418579</v>
      </c>
      <c r="BF44" s="32">
        <f t="shared" si="116"/>
        <v>0.80000001192092896</v>
      </c>
      <c r="BG44" s="33">
        <f>MAX([2]Examen21!BG32,[2]Examen22!BG32,[2]Examen23!BG32)</f>
        <v>1.2000000476837158</v>
      </c>
      <c r="BH44" s="32">
        <f t="shared" si="117"/>
        <v>0.60000002384185791</v>
      </c>
      <c r="BI44" s="33">
        <f>MAX([2]Examen21!BI32,[2]Examen22!BI32,[2]Examen23!BI32)</f>
        <v>2</v>
      </c>
      <c r="BJ44" s="32">
        <f t="shared" si="118"/>
        <v>1</v>
      </c>
    </row>
    <row r="45" spans="1:62" ht="42" x14ac:dyDescent="0.2">
      <c r="A45" s="3" t="s">
        <v>45</v>
      </c>
      <c r="B45" s="13">
        <f>MAX([2]Examen21!B33,[2]Examen22!B33,[2]Examen23!B33)</f>
        <v>1</v>
      </c>
      <c r="C45" s="33">
        <f>MAX([2]Examen21!C33,[2]Examen22!C33,[2]Examen23!C33)</f>
        <v>0.89999997615814209</v>
      </c>
      <c r="D45" s="32">
        <f t="shared" si="89"/>
        <v>0.89999997615814209</v>
      </c>
      <c r="E45" s="33">
        <f>MAX([2]Examen21!E33,[2]Examen22!E33,[2]Examen23!E33)</f>
        <v>0.60000002384185791</v>
      </c>
      <c r="F45" s="32">
        <f t="shared" si="90"/>
        <v>0.60000002384185791</v>
      </c>
      <c r="G45" s="33">
        <f>MAX([2]Examen21!G33,[2]Examen22!G33,[2]Examen23!G33)</f>
        <v>0.60000002384185791</v>
      </c>
      <c r="H45" s="32">
        <f t="shared" si="91"/>
        <v>0.60000002384185791</v>
      </c>
      <c r="I45" s="33">
        <f>MAX([2]Examen21!I33,[2]Examen22!I33,[2]Examen23!I33)</f>
        <v>0.20000000298023224</v>
      </c>
      <c r="J45" s="32">
        <f t="shared" si="92"/>
        <v>0.20000000298023224</v>
      </c>
      <c r="K45" s="33">
        <f>MAX([2]Examen21!K33,[2]Examen22!K33,[2]Examen23!K33)</f>
        <v>0.89999997615814209</v>
      </c>
      <c r="L45" s="32">
        <f t="shared" si="93"/>
        <v>0.89999997615814209</v>
      </c>
      <c r="M45" s="33">
        <f>MAX([2]Examen21!M33,[2]Examen22!M33,[2]Examen23!M33)</f>
        <v>0.30000001192092896</v>
      </c>
      <c r="N45" s="32">
        <f t="shared" si="94"/>
        <v>0.30000001192092896</v>
      </c>
      <c r="O45" s="33">
        <f>MAX([2]Examen21!O33,[2]Examen22!O33,[2]Examen23!O33)</f>
        <v>0.60000002384185791</v>
      </c>
      <c r="P45" s="32">
        <f t="shared" si="95"/>
        <v>0.60000002384185791</v>
      </c>
      <c r="Q45" s="33">
        <f>MAX([2]Examen21!Q33,[2]Examen22!Q33,[2]Examen23!Q33)</f>
        <v>0.60000002384185791</v>
      </c>
      <c r="R45" s="32">
        <f t="shared" si="96"/>
        <v>0.60000002384185791</v>
      </c>
      <c r="S45" s="33">
        <f>MAX([2]Examen21!S33,[2]Examen22!S33,[2]Examen23!S33)</f>
        <v>0.80000001192092896</v>
      </c>
      <c r="T45" s="32">
        <f t="shared" si="97"/>
        <v>0.80000001192092896</v>
      </c>
      <c r="U45" s="33">
        <f>MAX([2]Examen21!U33,[2]Examen22!U33,[2]Examen23!U33)</f>
        <v>0.69999998807907104</v>
      </c>
      <c r="V45" s="32">
        <f t="shared" si="98"/>
        <v>0.69999998807907104</v>
      </c>
      <c r="W45" s="33">
        <f>MAX([2]Examen21!W33,[2]Examen22!W33,[2]Examen23!W33)</f>
        <v>0.69999998807907104</v>
      </c>
      <c r="X45" s="32">
        <f t="shared" si="99"/>
        <v>0.69999998807907104</v>
      </c>
      <c r="Y45" s="33">
        <f>MAX([2]Examen21!Y33,[2]Examen22!Y33,[2]Examen23!Y33)</f>
        <v>0.80000001192092896</v>
      </c>
      <c r="Z45" s="32">
        <f t="shared" si="100"/>
        <v>0.80000001192092896</v>
      </c>
      <c r="AA45" s="33">
        <f>MAX([2]Examen21!AA33,[2]Examen22!AA33,[2]Examen23!AA33)</f>
        <v>0.20000000298023224</v>
      </c>
      <c r="AB45" s="32">
        <f t="shared" si="101"/>
        <v>0.20000000298023224</v>
      </c>
      <c r="AC45" s="33">
        <f>MAX([2]Examen21!AC33,[2]Examen22!AC33,[2]Examen23!AC33)</f>
        <v>0.60000002384185791</v>
      </c>
      <c r="AD45" s="32">
        <f t="shared" si="102"/>
        <v>0.60000002384185791</v>
      </c>
      <c r="AE45" s="33">
        <f>MAX([2]Examen21!AE33,[2]Examen22!AE33,[2]Examen23!AE33)</f>
        <v>0.5</v>
      </c>
      <c r="AF45" s="32">
        <f t="shared" si="103"/>
        <v>0.5</v>
      </c>
      <c r="AG45" s="33">
        <f>MAX([2]Examen21!AG33,[2]Examen22!AG33,[2]Examen23!AG33)</f>
        <v>0.60000002384185791</v>
      </c>
      <c r="AH45" s="32">
        <f t="shared" si="104"/>
        <v>0.60000002384185791</v>
      </c>
      <c r="AI45" s="33">
        <f>MAX([2]Examen21!AI33,[2]Examen22!AI33,[2]Examen23!AI33)</f>
        <v>0.30000001192092896</v>
      </c>
      <c r="AJ45" s="32">
        <f t="shared" si="105"/>
        <v>0.30000001192092896</v>
      </c>
      <c r="AK45" s="33">
        <f>MAX([2]Examen21!AK33,[2]Examen22!AK33,[2]Examen23!AK33)</f>
        <v>0.40000000596046448</v>
      </c>
      <c r="AL45" s="32">
        <f t="shared" si="106"/>
        <v>0.40000000596046448</v>
      </c>
      <c r="AM45" s="33">
        <f>MAX([2]Examen21!AM33,[2]Examen22!AM33,[2]Examen23!AM33)</f>
        <v>0.30000001192092896</v>
      </c>
      <c r="AN45" s="32">
        <f t="shared" si="107"/>
        <v>0.30000001192092896</v>
      </c>
      <c r="AO45" s="33">
        <f>MAX([2]Examen21!AO33,[2]Examen22!AO33,[2]Examen23!AO33)</f>
        <v>1</v>
      </c>
      <c r="AP45" s="32">
        <f t="shared" si="108"/>
        <v>1</v>
      </c>
      <c r="AQ45" s="33">
        <f>MAX([2]Examen21!AQ33,[2]Examen22!AQ33,[2]Examen23!AQ33)</f>
        <v>0.5</v>
      </c>
      <c r="AR45" s="32">
        <f t="shared" si="109"/>
        <v>0.5</v>
      </c>
      <c r="AS45" s="33">
        <f>MAX([2]Examen21!AS33,[2]Examen22!AS33,[2]Examen23!AS33)</f>
        <v>0.60000002384185791</v>
      </c>
      <c r="AT45" s="32">
        <f t="shared" si="110"/>
        <v>0.60000002384185791</v>
      </c>
      <c r="AU45" s="33">
        <f>MAX([2]Examen21!AU33,[2]Examen22!AU33,[2]Examen23!AU33)</f>
        <v>0.5</v>
      </c>
      <c r="AV45" s="32">
        <f t="shared" si="111"/>
        <v>0.5</v>
      </c>
      <c r="AW45" s="33">
        <f>MAX([2]Examen21!AW33,[2]Examen22!AW33,[2]Examen23!AW33)</f>
        <v>0</v>
      </c>
      <c r="AX45" s="32">
        <f t="shared" si="112"/>
        <v>0</v>
      </c>
      <c r="AY45" s="33">
        <f>MAX([2]Examen21!AY33,[2]Examen22!AY33,[2]Examen23!AY33)</f>
        <v>0.40000000596046448</v>
      </c>
      <c r="AZ45" s="32">
        <f t="shared" si="113"/>
        <v>0.40000000596046448</v>
      </c>
      <c r="BA45" s="33">
        <f>MAX([2]Examen21!BA33,[2]Examen22!BA33,[2]Examen23!BA33)</f>
        <v>0.10000000149011612</v>
      </c>
      <c r="BB45" s="32">
        <f t="shared" si="114"/>
        <v>0.10000000149011612</v>
      </c>
      <c r="BC45" s="33">
        <f>MAX([2]Examen21!BC33,[2]Examen22!BC33,[2]Examen23!BC33)</f>
        <v>0.69999998807907104</v>
      </c>
      <c r="BD45" s="32">
        <f t="shared" si="115"/>
        <v>0.69999998807907104</v>
      </c>
      <c r="BE45" s="33">
        <f>MAX([2]Examen21!BE33,[2]Examen22!BE33,[2]Examen23!BE33)</f>
        <v>0.10000000149011612</v>
      </c>
      <c r="BF45" s="32">
        <f t="shared" si="116"/>
        <v>0.10000000149011612</v>
      </c>
      <c r="BG45" s="33">
        <f>MAX([2]Examen21!BG33,[2]Examen22!BG33,[2]Examen23!BG33)</f>
        <v>0.20000000298023224</v>
      </c>
      <c r="BH45" s="32">
        <f t="shared" si="117"/>
        <v>0.20000000298023224</v>
      </c>
      <c r="BI45" s="33">
        <f>MAX([2]Examen21!BI33,[2]Examen22!BI33,[2]Examen23!BI33)</f>
        <v>0.40000000596046448</v>
      </c>
      <c r="BJ45" s="32">
        <f t="shared" si="118"/>
        <v>0.40000000596046448</v>
      </c>
    </row>
    <row r="46" spans="1:62" ht="42" x14ac:dyDescent="0.2">
      <c r="A46" s="2" t="s">
        <v>46</v>
      </c>
      <c r="B46" s="13">
        <f>MAX([2]Examen21!B34,[2]Examen22!B34,[2]Examen23!B34)</f>
        <v>1</v>
      </c>
      <c r="C46" s="33">
        <f>MAX([2]Examen21!C34,[2]Examen22!C34,[2]Examen23!C34)</f>
        <v>0.10000000149011612</v>
      </c>
      <c r="D46" s="32">
        <f t="shared" si="89"/>
        <v>0.10000000149011612</v>
      </c>
      <c r="E46" s="33">
        <f>MAX([2]Examen21!E34,[2]Examen22!E34,[2]Examen23!E34)</f>
        <v>0.60000002384185791</v>
      </c>
      <c r="F46" s="32">
        <f t="shared" si="90"/>
        <v>0.60000002384185791</v>
      </c>
      <c r="G46" s="33">
        <f>MAX([2]Examen21!G34,[2]Examen22!G34,[2]Examen23!G34)</f>
        <v>0.69999998807907104</v>
      </c>
      <c r="H46" s="32">
        <f t="shared" si="91"/>
        <v>0.69999998807907104</v>
      </c>
      <c r="I46" s="33">
        <f>MAX([2]Examen21!I34,[2]Examen22!I34,[2]Examen23!I34)</f>
        <v>0.40000000596046448</v>
      </c>
      <c r="J46" s="32">
        <f t="shared" si="92"/>
        <v>0.40000000596046448</v>
      </c>
      <c r="K46" s="33">
        <f>MAX([2]Examen21!K34,[2]Examen22!K34,[2]Examen23!K34)</f>
        <v>0.40000000596046448</v>
      </c>
      <c r="L46" s="32">
        <f t="shared" si="93"/>
        <v>0.40000000596046448</v>
      </c>
      <c r="M46" s="33">
        <f>MAX([2]Examen21!M34,[2]Examen22!M34,[2]Examen23!M34)</f>
        <v>0.30000001192092896</v>
      </c>
      <c r="N46" s="32">
        <f t="shared" si="94"/>
        <v>0.30000001192092896</v>
      </c>
      <c r="O46" s="33">
        <f>MAX([2]Examen21!O34,[2]Examen22!O34,[2]Examen23!O34)</f>
        <v>0.69999998807907104</v>
      </c>
      <c r="P46" s="32">
        <f t="shared" si="95"/>
        <v>0.69999998807907104</v>
      </c>
      <c r="Q46" s="33">
        <f>MAX([2]Examen21!Q34,[2]Examen22!Q34,[2]Examen23!Q34)</f>
        <v>0.20000000298023224</v>
      </c>
      <c r="R46" s="32">
        <f t="shared" si="96"/>
        <v>0.20000000298023224</v>
      </c>
      <c r="S46" s="33">
        <f>MAX([2]Examen21!S34,[2]Examen22!S34,[2]Examen23!S34)</f>
        <v>0</v>
      </c>
      <c r="T46" s="32">
        <f t="shared" si="97"/>
        <v>0</v>
      </c>
      <c r="U46" s="33">
        <f>MAX([2]Examen21!U34,[2]Examen22!U34,[2]Examen23!U34)</f>
        <v>0.89999997615814209</v>
      </c>
      <c r="V46" s="32">
        <f t="shared" si="98"/>
        <v>0.89999997615814209</v>
      </c>
      <c r="W46" s="33">
        <f>MAX([2]Examen21!W34,[2]Examen22!W34,[2]Examen23!W34)</f>
        <v>0</v>
      </c>
      <c r="X46" s="32">
        <f t="shared" si="99"/>
        <v>0</v>
      </c>
      <c r="Y46" s="33">
        <f>MAX([2]Examen21!Y34,[2]Examen22!Y34,[2]Examen23!Y34)</f>
        <v>0.5</v>
      </c>
      <c r="Z46" s="32">
        <f t="shared" si="100"/>
        <v>0.5</v>
      </c>
      <c r="AA46" s="33">
        <f>MAX([2]Examen21!AA34,[2]Examen22!AA34,[2]Examen23!AA34)</f>
        <v>0.80000001192092896</v>
      </c>
      <c r="AB46" s="32">
        <f t="shared" si="101"/>
        <v>0.80000001192092896</v>
      </c>
      <c r="AC46" s="33">
        <f>MAX([2]Examen21!AC34,[2]Examen22!AC34,[2]Examen23!AC34)</f>
        <v>0.80000001192092896</v>
      </c>
      <c r="AD46" s="32">
        <f t="shared" si="102"/>
        <v>0.80000001192092896</v>
      </c>
      <c r="AE46" s="33">
        <f>MAX([2]Examen21!AE34,[2]Examen22!AE34,[2]Examen23!AE34)</f>
        <v>0.89999997615814209</v>
      </c>
      <c r="AF46" s="32">
        <f t="shared" si="103"/>
        <v>0.89999997615814209</v>
      </c>
      <c r="AG46" s="33">
        <f>MAX([2]Examen21!AG34,[2]Examen22!AG34,[2]Examen23!AG34)</f>
        <v>0.20000000298023224</v>
      </c>
      <c r="AH46" s="32">
        <f t="shared" si="104"/>
        <v>0.20000000298023224</v>
      </c>
      <c r="AI46" s="33">
        <f>MAX([2]Examen21!AI34,[2]Examen22!AI34,[2]Examen23!AI34)</f>
        <v>0.5</v>
      </c>
      <c r="AJ46" s="32">
        <f t="shared" si="105"/>
        <v>0.5</v>
      </c>
      <c r="AK46" s="33">
        <f>MAX([2]Examen21!AK34,[2]Examen22!AK34,[2]Examen23!AK34)</f>
        <v>0.89999997615814209</v>
      </c>
      <c r="AL46" s="32">
        <f t="shared" si="106"/>
        <v>0.89999997615814209</v>
      </c>
      <c r="AM46" s="33">
        <f>MAX([2]Examen21!AM34,[2]Examen22!AM34,[2]Examen23!AM34)</f>
        <v>0.89999997615814209</v>
      </c>
      <c r="AN46" s="32">
        <f t="shared" si="107"/>
        <v>0.89999997615814209</v>
      </c>
      <c r="AO46" s="33">
        <f>MAX([2]Examen21!AO34,[2]Examen22!AO34,[2]Examen23!AO34)</f>
        <v>0.40000000596046448</v>
      </c>
      <c r="AP46" s="32">
        <f t="shared" si="108"/>
        <v>0.40000000596046448</v>
      </c>
      <c r="AQ46" s="33">
        <f>MAX([2]Examen21!AQ34,[2]Examen22!AQ34,[2]Examen23!AQ34)</f>
        <v>0.5</v>
      </c>
      <c r="AR46" s="32">
        <f t="shared" si="109"/>
        <v>0.5</v>
      </c>
      <c r="AS46" s="33">
        <f>MAX([2]Examen21!AS34,[2]Examen22!AS34,[2]Examen23!AS34)</f>
        <v>0.30000001192092896</v>
      </c>
      <c r="AT46" s="32">
        <f t="shared" si="110"/>
        <v>0.30000001192092896</v>
      </c>
      <c r="AU46" s="33">
        <f>MAX([2]Examen21!AU34,[2]Examen22!AU34,[2]Examen23!AU34)</f>
        <v>0.20000000298023224</v>
      </c>
      <c r="AV46" s="32">
        <f t="shared" si="111"/>
        <v>0.20000000298023224</v>
      </c>
      <c r="AW46" s="33">
        <f>MAX([2]Examen21!AW34,[2]Examen22!AW34,[2]Examen23!AW34)</f>
        <v>0.80000001192092896</v>
      </c>
      <c r="AX46" s="32">
        <f t="shared" si="112"/>
        <v>0.80000001192092896</v>
      </c>
      <c r="AY46" s="33">
        <f>MAX([2]Examen21!AY34,[2]Examen22!AY34,[2]Examen23!AY34)</f>
        <v>0.5</v>
      </c>
      <c r="AZ46" s="32">
        <f t="shared" si="113"/>
        <v>0.5</v>
      </c>
      <c r="BA46" s="33">
        <f>MAX([2]Examen21!BA34,[2]Examen22!BA34,[2]Examen23!BA34)</f>
        <v>0.5</v>
      </c>
      <c r="BB46" s="32">
        <f t="shared" si="114"/>
        <v>0.5</v>
      </c>
      <c r="BC46" s="33">
        <f>MAX([2]Examen21!BC34,[2]Examen22!BC34,[2]Examen23!BC34)</f>
        <v>0.60000002384185791</v>
      </c>
      <c r="BD46" s="32">
        <f t="shared" si="115"/>
        <v>0.60000002384185791</v>
      </c>
      <c r="BE46" s="33">
        <f>MAX([2]Examen21!BE34,[2]Examen22!BE34,[2]Examen23!BE34)</f>
        <v>0</v>
      </c>
      <c r="BF46" s="32">
        <f t="shared" si="116"/>
        <v>0</v>
      </c>
      <c r="BG46" s="33">
        <f>MAX([2]Examen21!BG34,[2]Examen22!BG34,[2]Examen23!BG34)</f>
        <v>0.69999998807907104</v>
      </c>
      <c r="BH46" s="32">
        <f t="shared" si="117"/>
        <v>0.69999998807907104</v>
      </c>
      <c r="BI46" s="33">
        <f>MAX([2]Examen21!BI34,[2]Examen22!BI34,[2]Examen23!BI34)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MAX([2]Examen21!B35,[2]Examen22!B35,[2]Examen23!B35)</f>
        <v>0</v>
      </c>
      <c r="C47" s="33">
        <f>MAX([2]Examen21!C35,[2]Examen22!C35,[2]Examen23!C35)</f>
        <v>0</v>
      </c>
      <c r="D47" s="32">
        <f t="shared" si="89"/>
        <v>-1</v>
      </c>
      <c r="E47" s="33">
        <f>MAX([2]Examen21!E35,[2]Examen22!E35,[2]Examen23!E35)</f>
        <v>0</v>
      </c>
      <c r="F47" s="32">
        <f t="shared" si="90"/>
        <v>-1</v>
      </c>
      <c r="G47" s="33">
        <f>MAX([2]Examen21!G35,[2]Examen22!G35,[2]Examen23!G35)</f>
        <v>0</v>
      </c>
      <c r="H47" s="32">
        <f t="shared" si="91"/>
        <v>-1</v>
      </c>
      <c r="I47" s="33">
        <f>MAX([2]Examen21!I35,[2]Examen22!I35,[2]Examen23!I35)</f>
        <v>0</v>
      </c>
      <c r="J47" s="32">
        <f t="shared" si="92"/>
        <v>-1</v>
      </c>
      <c r="K47" s="33">
        <f>MAX([2]Examen21!K35,[2]Examen22!K35,[2]Examen23!K35)</f>
        <v>0</v>
      </c>
      <c r="L47" s="32">
        <f t="shared" si="93"/>
        <v>-1</v>
      </c>
      <c r="M47" s="33">
        <f>MAX([2]Examen21!M35,[2]Examen22!M35,[2]Examen23!M35)</f>
        <v>0</v>
      </c>
      <c r="N47" s="32">
        <f t="shared" si="94"/>
        <v>-1</v>
      </c>
      <c r="O47" s="33">
        <f>MAX([2]Examen21!O35,[2]Examen22!O35,[2]Examen23!O35)</f>
        <v>0</v>
      </c>
      <c r="P47" s="32">
        <f t="shared" si="95"/>
        <v>-1</v>
      </c>
      <c r="Q47" s="33">
        <f>MAX([2]Examen21!Q35,[2]Examen22!Q35,[2]Examen23!Q35)</f>
        <v>0</v>
      </c>
      <c r="R47" s="32">
        <f t="shared" si="96"/>
        <v>-1</v>
      </c>
      <c r="S47" s="33">
        <f>MAX([2]Examen21!S35,[2]Examen22!S35,[2]Examen23!S35)</f>
        <v>0</v>
      </c>
      <c r="T47" s="32">
        <f t="shared" si="97"/>
        <v>-1</v>
      </c>
      <c r="U47" s="33">
        <f>MAX([2]Examen21!U35,[2]Examen22!U35,[2]Examen23!U35)</f>
        <v>0</v>
      </c>
      <c r="V47" s="32">
        <f t="shared" si="98"/>
        <v>-1</v>
      </c>
      <c r="W47" s="33">
        <f>MAX([2]Examen21!W35,[2]Examen22!W35,[2]Examen23!W35)</f>
        <v>0</v>
      </c>
      <c r="X47" s="32">
        <f t="shared" si="99"/>
        <v>-1</v>
      </c>
      <c r="Y47" s="33">
        <f>MAX([2]Examen21!Y35,[2]Examen22!Y35,[2]Examen23!Y35)</f>
        <v>0</v>
      </c>
      <c r="Z47" s="32">
        <f t="shared" si="100"/>
        <v>-1</v>
      </c>
      <c r="AA47" s="33">
        <f>MAX([2]Examen21!AA35,[2]Examen22!AA35,[2]Examen23!AA35)</f>
        <v>0</v>
      </c>
      <c r="AB47" s="32">
        <f t="shared" si="101"/>
        <v>-1</v>
      </c>
      <c r="AC47" s="33">
        <f>MAX([2]Examen21!AC35,[2]Examen22!AC35,[2]Examen23!AC35)</f>
        <v>0</v>
      </c>
      <c r="AD47" s="32">
        <f t="shared" si="102"/>
        <v>-1</v>
      </c>
      <c r="AE47" s="33">
        <f>MAX([2]Examen21!AE35,[2]Examen22!AE35,[2]Examen23!AE35)</f>
        <v>0</v>
      </c>
      <c r="AF47" s="32">
        <f t="shared" si="103"/>
        <v>-1</v>
      </c>
      <c r="AG47" s="33">
        <f>MAX([2]Examen21!AG35,[2]Examen22!AG35,[2]Examen23!AG35)</f>
        <v>0</v>
      </c>
      <c r="AH47" s="32">
        <f t="shared" si="104"/>
        <v>-1</v>
      </c>
      <c r="AI47" s="33">
        <f>MAX([2]Examen21!AI35,[2]Examen22!AI35,[2]Examen23!AI35)</f>
        <v>0</v>
      </c>
      <c r="AJ47" s="32">
        <f t="shared" si="105"/>
        <v>-1</v>
      </c>
      <c r="AK47" s="33">
        <f>MAX([2]Examen21!AK35,[2]Examen22!AK35,[2]Examen23!AK35)</f>
        <v>0</v>
      </c>
      <c r="AL47" s="32">
        <f t="shared" si="106"/>
        <v>-1</v>
      </c>
      <c r="AM47" s="33">
        <f>MAX([2]Examen21!AM35,[2]Examen22!AM35,[2]Examen23!AM35)</f>
        <v>0</v>
      </c>
      <c r="AN47" s="32">
        <f t="shared" si="107"/>
        <v>-1</v>
      </c>
      <c r="AO47" s="33">
        <f>MAX([2]Examen21!AO35,[2]Examen22!AO35,[2]Examen23!AO35)</f>
        <v>0</v>
      </c>
      <c r="AP47" s="32">
        <f t="shared" si="108"/>
        <v>-1</v>
      </c>
      <c r="AQ47" s="33">
        <f>MAX([2]Examen21!AQ35,[2]Examen22!AQ35,[2]Examen23!AQ35)</f>
        <v>0</v>
      </c>
      <c r="AR47" s="32">
        <f t="shared" si="109"/>
        <v>-1</v>
      </c>
      <c r="AS47" s="33">
        <f>MAX([2]Examen21!AS35,[2]Examen22!AS35,[2]Examen23!AS35)</f>
        <v>0</v>
      </c>
      <c r="AT47" s="32">
        <f t="shared" si="110"/>
        <v>-1</v>
      </c>
      <c r="AU47" s="33">
        <f>MAX([2]Examen21!AU35,[2]Examen22!AU35,[2]Examen23!AU35)</f>
        <v>0</v>
      </c>
      <c r="AV47" s="32">
        <f t="shared" si="111"/>
        <v>-1</v>
      </c>
      <c r="AW47" s="33">
        <f>MAX([2]Examen21!AW35,[2]Examen22!AW35,[2]Examen23!AW35)</f>
        <v>0</v>
      </c>
      <c r="AX47" s="32">
        <f t="shared" si="112"/>
        <v>-1</v>
      </c>
      <c r="AY47" s="33">
        <f>MAX([2]Examen21!AY35,[2]Examen22!AY35,[2]Examen23!AY35)</f>
        <v>0</v>
      </c>
      <c r="AZ47" s="32">
        <f t="shared" si="113"/>
        <v>-1</v>
      </c>
      <c r="BA47" s="33">
        <f>MAX([2]Examen21!BA35,[2]Examen22!BA35,[2]Examen23!BA35)</f>
        <v>0</v>
      </c>
      <c r="BB47" s="32">
        <f t="shared" si="114"/>
        <v>-1</v>
      </c>
      <c r="BC47" s="33">
        <f>MAX([2]Examen21!BC35,[2]Examen22!BC35,[2]Examen23!BC35)</f>
        <v>0</v>
      </c>
      <c r="BD47" s="32">
        <f t="shared" si="115"/>
        <v>-1</v>
      </c>
      <c r="BE47" s="33">
        <f>MAX([2]Examen21!BE35,[2]Examen22!BE35,[2]Examen23!BE35)</f>
        <v>0</v>
      </c>
      <c r="BF47" s="32">
        <f t="shared" si="116"/>
        <v>-1</v>
      </c>
      <c r="BG47" s="33">
        <f>MAX([2]Examen21!BG35,[2]Examen22!BG35,[2]Examen23!BG35)</f>
        <v>0</v>
      </c>
      <c r="BH47" s="32">
        <f t="shared" si="117"/>
        <v>-1</v>
      </c>
      <c r="BI47" s="33">
        <f>MAX([2]Examen21!BI35,[2]Examen22!BI35,[2]Examen23!BI35)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MAX([2]Examen21!B36,[2]Examen22!B36,[2]Examen23!B36)</f>
        <v>0</v>
      </c>
      <c r="C48" s="33">
        <f>MAX([2]Examen21!C36,[2]Examen22!C36,[2]Examen23!C36)</f>
        <v>0</v>
      </c>
      <c r="D48" s="32">
        <f t="shared" si="89"/>
        <v>-1</v>
      </c>
      <c r="E48" s="33">
        <f>MAX([2]Examen21!E36,[2]Examen22!E36,[2]Examen23!E36)</f>
        <v>0</v>
      </c>
      <c r="F48" s="32">
        <f t="shared" si="90"/>
        <v>-1</v>
      </c>
      <c r="G48" s="33">
        <f>MAX([2]Examen21!G36,[2]Examen22!G36,[2]Examen23!G36)</f>
        <v>0</v>
      </c>
      <c r="H48" s="32">
        <f t="shared" si="91"/>
        <v>-1</v>
      </c>
      <c r="I48" s="33">
        <f>MAX([2]Examen21!I36,[2]Examen22!I36,[2]Examen23!I36)</f>
        <v>0</v>
      </c>
      <c r="J48" s="32">
        <f t="shared" si="92"/>
        <v>-1</v>
      </c>
      <c r="K48" s="33">
        <f>MAX([2]Examen21!K36,[2]Examen22!K36,[2]Examen23!K36)</f>
        <v>0</v>
      </c>
      <c r="L48" s="32">
        <f t="shared" si="93"/>
        <v>-1</v>
      </c>
      <c r="M48" s="33">
        <f>MAX([2]Examen21!M36,[2]Examen22!M36,[2]Examen23!M36)</f>
        <v>0</v>
      </c>
      <c r="N48" s="32">
        <f t="shared" si="94"/>
        <v>-1</v>
      </c>
      <c r="O48" s="33">
        <f>MAX([2]Examen21!O36,[2]Examen22!O36,[2]Examen23!O36)</f>
        <v>0</v>
      </c>
      <c r="P48" s="32">
        <f t="shared" si="95"/>
        <v>-1</v>
      </c>
      <c r="Q48" s="33">
        <f>MAX([2]Examen21!Q36,[2]Examen22!Q36,[2]Examen23!Q36)</f>
        <v>0</v>
      </c>
      <c r="R48" s="32">
        <f t="shared" si="96"/>
        <v>-1</v>
      </c>
      <c r="S48" s="33">
        <f>MAX([2]Examen21!S36,[2]Examen22!S36,[2]Examen23!S36)</f>
        <v>0</v>
      </c>
      <c r="T48" s="32">
        <f t="shared" si="97"/>
        <v>-1</v>
      </c>
      <c r="U48" s="33">
        <f>MAX([2]Examen21!U36,[2]Examen22!U36,[2]Examen23!U36)</f>
        <v>0</v>
      </c>
      <c r="V48" s="32">
        <f t="shared" si="98"/>
        <v>-1</v>
      </c>
      <c r="W48" s="33">
        <f>MAX([2]Examen21!W36,[2]Examen22!W36,[2]Examen23!W36)</f>
        <v>0</v>
      </c>
      <c r="X48" s="32">
        <f t="shared" si="99"/>
        <v>-1</v>
      </c>
      <c r="Y48" s="33">
        <f>MAX([2]Examen21!Y36,[2]Examen22!Y36,[2]Examen23!Y36)</f>
        <v>0</v>
      </c>
      <c r="Z48" s="32">
        <f t="shared" si="100"/>
        <v>-1</v>
      </c>
      <c r="AA48" s="33">
        <f>MAX([2]Examen21!AA36,[2]Examen22!AA36,[2]Examen23!AA36)</f>
        <v>0</v>
      </c>
      <c r="AB48" s="32">
        <f t="shared" si="101"/>
        <v>-1</v>
      </c>
      <c r="AC48" s="33">
        <f>MAX([2]Examen21!AC36,[2]Examen22!AC36,[2]Examen23!AC36)</f>
        <v>0</v>
      </c>
      <c r="AD48" s="32">
        <f t="shared" si="102"/>
        <v>-1</v>
      </c>
      <c r="AE48" s="33">
        <f>MAX([2]Examen21!AE36,[2]Examen22!AE36,[2]Examen23!AE36)</f>
        <v>0</v>
      </c>
      <c r="AF48" s="32">
        <f t="shared" si="103"/>
        <v>-1</v>
      </c>
      <c r="AG48" s="33">
        <f>MAX([2]Examen21!AG36,[2]Examen22!AG36,[2]Examen23!AG36)</f>
        <v>0</v>
      </c>
      <c r="AH48" s="32">
        <f t="shared" si="104"/>
        <v>-1</v>
      </c>
      <c r="AI48" s="33">
        <f>MAX([2]Examen21!AI36,[2]Examen22!AI36,[2]Examen23!AI36)</f>
        <v>0</v>
      </c>
      <c r="AJ48" s="32">
        <f t="shared" si="105"/>
        <v>-1</v>
      </c>
      <c r="AK48" s="33">
        <f>MAX([2]Examen21!AK36,[2]Examen22!AK36,[2]Examen23!AK36)</f>
        <v>0</v>
      </c>
      <c r="AL48" s="32">
        <f t="shared" si="106"/>
        <v>-1</v>
      </c>
      <c r="AM48" s="33">
        <f>MAX([2]Examen21!AM36,[2]Examen22!AM36,[2]Examen23!AM36)</f>
        <v>0</v>
      </c>
      <c r="AN48" s="32">
        <f t="shared" si="107"/>
        <v>-1</v>
      </c>
      <c r="AO48" s="33">
        <f>MAX([2]Examen21!AO36,[2]Examen22!AO36,[2]Examen23!AO36)</f>
        <v>0</v>
      </c>
      <c r="AP48" s="32">
        <f t="shared" si="108"/>
        <v>-1</v>
      </c>
      <c r="AQ48" s="33">
        <f>MAX([2]Examen21!AQ36,[2]Examen22!AQ36,[2]Examen23!AQ36)</f>
        <v>0</v>
      </c>
      <c r="AR48" s="32">
        <f t="shared" si="109"/>
        <v>-1</v>
      </c>
      <c r="AS48" s="33">
        <f>MAX([2]Examen21!AS36,[2]Examen22!AS36,[2]Examen23!AS36)</f>
        <v>0</v>
      </c>
      <c r="AT48" s="32">
        <f t="shared" si="110"/>
        <v>-1</v>
      </c>
      <c r="AU48" s="33">
        <f>MAX([2]Examen21!AU36,[2]Examen22!AU36,[2]Examen23!AU36)</f>
        <v>0</v>
      </c>
      <c r="AV48" s="32">
        <f t="shared" si="111"/>
        <v>-1</v>
      </c>
      <c r="AW48" s="33">
        <f>MAX([2]Examen21!AW36,[2]Examen22!AW36,[2]Examen23!AW36)</f>
        <v>0</v>
      </c>
      <c r="AX48" s="32">
        <f t="shared" si="112"/>
        <v>-1</v>
      </c>
      <c r="AY48" s="33">
        <f>MAX([2]Examen21!AY36,[2]Examen22!AY36,[2]Examen23!AY36)</f>
        <v>0</v>
      </c>
      <c r="AZ48" s="32">
        <f t="shared" si="113"/>
        <v>-1</v>
      </c>
      <c r="BA48" s="33">
        <f>MAX([2]Examen21!BA36,[2]Examen22!BA36,[2]Examen23!BA36)</f>
        <v>0</v>
      </c>
      <c r="BB48" s="32">
        <f t="shared" si="114"/>
        <v>-1</v>
      </c>
      <c r="BC48" s="33">
        <f>MAX([2]Examen21!BC36,[2]Examen22!BC36,[2]Examen23!BC36)</f>
        <v>0</v>
      </c>
      <c r="BD48" s="32">
        <f t="shared" si="115"/>
        <v>-1</v>
      </c>
      <c r="BE48" s="33">
        <f>MAX([2]Examen21!BE36,[2]Examen22!BE36,[2]Examen23!BE36)</f>
        <v>0</v>
      </c>
      <c r="BF48" s="32">
        <f t="shared" si="116"/>
        <v>-1</v>
      </c>
      <c r="BG48" s="33">
        <f>MAX([2]Examen21!BG36,[2]Examen22!BG36,[2]Examen23!BG36)</f>
        <v>0</v>
      </c>
      <c r="BH48" s="32">
        <f t="shared" si="117"/>
        <v>-1</v>
      </c>
      <c r="BI48" s="33">
        <f>MAX([2]Examen21!BI36,[2]Examen22!BI36,[2]Examen23!BI36)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MAX([2]Examen21!B37,[2]Examen22!B37,[2]Examen23!B37)</f>
        <v>0</v>
      </c>
      <c r="C49" s="33">
        <f>MAX([2]Examen21!C37,[2]Examen22!C37,[2]Examen23!C37)</f>
        <v>0</v>
      </c>
      <c r="D49" s="32">
        <f t="shared" si="89"/>
        <v>-1</v>
      </c>
      <c r="E49" s="33">
        <f>MAX([2]Examen21!E37,[2]Examen22!E37,[2]Examen23!E37)</f>
        <v>0</v>
      </c>
      <c r="F49" s="32">
        <f t="shared" si="90"/>
        <v>-1</v>
      </c>
      <c r="G49" s="33">
        <f>MAX([2]Examen21!G37,[2]Examen22!G37,[2]Examen23!G37)</f>
        <v>0</v>
      </c>
      <c r="H49" s="32">
        <f t="shared" si="91"/>
        <v>-1</v>
      </c>
      <c r="I49" s="33">
        <f>MAX([2]Examen21!I37,[2]Examen22!I37,[2]Examen23!I37)</f>
        <v>0</v>
      </c>
      <c r="J49" s="32">
        <f t="shared" si="92"/>
        <v>-1</v>
      </c>
      <c r="K49" s="33">
        <f>MAX([2]Examen21!K37,[2]Examen22!K37,[2]Examen23!K37)</f>
        <v>0</v>
      </c>
      <c r="L49" s="32">
        <f t="shared" si="93"/>
        <v>-1</v>
      </c>
      <c r="M49" s="33">
        <f>MAX([2]Examen21!M37,[2]Examen22!M37,[2]Examen23!M37)</f>
        <v>0</v>
      </c>
      <c r="N49" s="32">
        <f t="shared" si="94"/>
        <v>-1</v>
      </c>
      <c r="O49" s="33">
        <f>MAX([2]Examen21!O37,[2]Examen22!O37,[2]Examen23!O37)</f>
        <v>0</v>
      </c>
      <c r="P49" s="32">
        <f t="shared" si="95"/>
        <v>-1</v>
      </c>
      <c r="Q49" s="33">
        <f>MAX([2]Examen21!Q37,[2]Examen22!Q37,[2]Examen23!Q37)</f>
        <v>0</v>
      </c>
      <c r="R49" s="32">
        <f t="shared" si="96"/>
        <v>-1</v>
      </c>
      <c r="S49" s="33">
        <f>MAX([2]Examen21!S37,[2]Examen22!S37,[2]Examen23!S37)</f>
        <v>0</v>
      </c>
      <c r="T49" s="32">
        <f t="shared" si="97"/>
        <v>-1</v>
      </c>
      <c r="U49" s="33">
        <f>MAX([2]Examen21!U37,[2]Examen22!U37,[2]Examen23!U37)</f>
        <v>0</v>
      </c>
      <c r="V49" s="32">
        <f t="shared" si="98"/>
        <v>-1</v>
      </c>
      <c r="W49" s="33">
        <f>MAX([2]Examen21!W37,[2]Examen22!W37,[2]Examen23!W37)</f>
        <v>0</v>
      </c>
      <c r="X49" s="32">
        <f t="shared" si="99"/>
        <v>-1</v>
      </c>
      <c r="Y49" s="33">
        <f>MAX([2]Examen21!Y37,[2]Examen22!Y37,[2]Examen23!Y37)</f>
        <v>0</v>
      </c>
      <c r="Z49" s="32">
        <f t="shared" si="100"/>
        <v>-1</v>
      </c>
      <c r="AA49" s="33">
        <f>MAX([2]Examen21!AA37,[2]Examen22!AA37,[2]Examen23!AA37)</f>
        <v>0</v>
      </c>
      <c r="AB49" s="32">
        <f t="shared" si="101"/>
        <v>-1</v>
      </c>
      <c r="AC49" s="33">
        <f>MAX([2]Examen21!AC37,[2]Examen22!AC37,[2]Examen23!AC37)</f>
        <v>0</v>
      </c>
      <c r="AD49" s="32">
        <f t="shared" si="102"/>
        <v>-1</v>
      </c>
      <c r="AE49" s="33">
        <f>MAX([2]Examen21!AE37,[2]Examen22!AE37,[2]Examen23!AE37)</f>
        <v>0</v>
      </c>
      <c r="AF49" s="32">
        <f t="shared" si="103"/>
        <v>-1</v>
      </c>
      <c r="AG49" s="33">
        <f>MAX([2]Examen21!AG37,[2]Examen22!AG37,[2]Examen23!AG37)</f>
        <v>0</v>
      </c>
      <c r="AH49" s="32">
        <f t="shared" si="104"/>
        <v>-1</v>
      </c>
      <c r="AI49" s="33">
        <f>MAX([2]Examen21!AI37,[2]Examen22!AI37,[2]Examen23!AI37)</f>
        <v>0</v>
      </c>
      <c r="AJ49" s="32">
        <f t="shared" si="105"/>
        <v>-1</v>
      </c>
      <c r="AK49" s="33">
        <f>MAX([2]Examen21!AK37,[2]Examen22!AK37,[2]Examen23!AK37)</f>
        <v>0</v>
      </c>
      <c r="AL49" s="32">
        <f t="shared" si="106"/>
        <v>-1</v>
      </c>
      <c r="AM49" s="33">
        <f>MAX([2]Examen21!AM37,[2]Examen22!AM37,[2]Examen23!AM37)</f>
        <v>0</v>
      </c>
      <c r="AN49" s="32">
        <f t="shared" si="107"/>
        <v>-1</v>
      </c>
      <c r="AO49" s="33">
        <f>MAX([2]Examen21!AO37,[2]Examen22!AO37,[2]Examen23!AO37)</f>
        <v>0</v>
      </c>
      <c r="AP49" s="32">
        <f t="shared" si="108"/>
        <v>-1</v>
      </c>
      <c r="AQ49" s="33">
        <f>MAX([2]Examen21!AQ37,[2]Examen22!AQ37,[2]Examen23!AQ37)</f>
        <v>0</v>
      </c>
      <c r="AR49" s="32">
        <f t="shared" si="109"/>
        <v>-1</v>
      </c>
      <c r="AS49" s="33">
        <f>MAX([2]Examen21!AS37,[2]Examen22!AS37,[2]Examen23!AS37)</f>
        <v>0</v>
      </c>
      <c r="AT49" s="32">
        <f t="shared" si="110"/>
        <v>-1</v>
      </c>
      <c r="AU49" s="33">
        <f>MAX([2]Examen21!AU37,[2]Examen22!AU37,[2]Examen23!AU37)</f>
        <v>0</v>
      </c>
      <c r="AV49" s="32">
        <f t="shared" si="111"/>
        <v>-1</v>
      </c>
      <c r="AW49" s="33">
        <f>MAX([2]Examen21!AW37,[2]Examen22!AW37,[2]Examen23!AW37)</f>
        <v>0</v>
      </c>
      <c r="AX49" s="32">
        <f t="shared" si="112"/>
        <v>-1</v>
      </c>
      <c r="AY49" s="33">
        <f>MAX([2]Examen21!AY37,[2]Examen22!AY37,[2]Examen23!AY37)</f>
        <v>0</v>
      </c>
      <c r="AZ49" s="32">
        <f t="shared" si="113"/>
        <v>-1</v>
      </c>
      <c r="BA49" s="33">
        <f>MAX([2]Examen21!BA37,[2]Examen22!BA37,[2]Examen23!BA37)</f>
        <v>0</v>
      </c>
      <c r="BB49" s="32">
        <f t="shared" si="114"/>
        <v>-1</v>
      </c>
      <c r="BC49" s="33">
        <f>MAX([2]Examen21!BC37,[2]Examen22!BC37,[2]Examen23!BC37)</f>
        <v>0</v>
      </c>
      <c r="BD49" s="32">
        <f t="shared" si="115"/>
        <v>-1</v>
      </c>
      <c r="BE49" s="33">
        <f>MAX([2]Examen21!BE37,[2]Examen22!BE37,[2]Examen23!BE37)</f>
        <v>0</v>
      </c>
      <c r="BF49" s="32">
        <f t="shared" si="116"/>
        <v>-1</v>
      </c>
      <c r="BG49" s="33">
        <f>MAX([2]Examen21!BG37,[2]Examen22!BG37,[2]Examen23!BG37)</f>
        <v>0</v>
      </c>
      <c r="BH49" s="32">
        <f t="shared" si="117"/>
        <v>-1</v>
      </c>
      <c r="BI49" s="33">
        <f>MAX([2]Examen21!BI37,[2]Examen22!BI37,[2]Examen23!BI37)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MAX([2]Examen21!B38,[2]Examen22!B38,[2]Examen23!B38)</f>
        <v>0</v>
      </c>
      <c r="C50" s="33">
        <f>MAX([2]Examen21!C38,[2]Examen22!C38,[2]Examen23!C38)</f>
        <v>0</v>
      </c>
      <c r="D50" s="32">
        <f t="shared" si="89"/>
        <v>-1</v>
      </c>
      <c r="E50" s="33">
        <f>MAX([2]Examen21!E38,[2]Examen22!E38,[2]Examen23!E38)</f>
        <v>0</v>
      </c>
      <c r="F50" s="32">
        <f t="shared" si="90"/>
        <v>-1</v>
      </c>
      <c r="G50" s="33">
        <f>MAX([2]Examen21!G38,[2]Examen22!G38,[2]Examen23!G38)</f>
        <v>0</v>
      </c>
      <c r="H50" s="32">
        <f t="shared" si="91"/>
        <v>-1</v>
      </c>
      <c r="I50" s="33">
        <f>MAX([2]Examen21!I38,[2]Examen22!I38,[2]Examen23!I38)</f>
        <v>0</v>
      </c>
      <c r="J50" s="32">
        <f t="shared" si="92"/>
        <v>-1</v>
      </c>
      <c r="K50" s="33">
        <f>MAX([2]Examen21!K38,[2]Examen22!K38,[2]Examen23!K38)</f>
        <v>0</v>
      </c>
      <c r="L50" s="32">
        <f t="shared" si="93"/>
        <v>-1</v>
      </c>
      <c r="M50" s="33">
        <f>MAX([2]Examen21!M38,[2]Examen22!M38,[2]Examen23!M38)</f>
        <v>0</v>
      </c>
      <c r="N50" s="32">
        <f t="shared" si="94"/>
        <v>-1</v>
      </c>
      <c r="O50" s="33">
        <f>MAX([2]Examen21!O38,[2]Examen22!O38,[2]Examen23!O38)</f>
        <v>0</v>
      </c>
      <c r="P50" s="32">
        <f t="shared" si="95"/>
        <v>-1</v>
      </c>
      <c r="Q50" s="33">
        <f>MAX([2]Examen21!Q38,[2]Examen22!Q38,[2]Examen23!Q38)</f>
        <v>0</v>
      </c>
      <c r="R50" s="32">
        <f t="shared" si="96"/>
        <v>-1</v>
      </c>
      <c r="S50" s="33">
        <f>MAX([2]Examen21!S38,[2]Examen22!S38,[2]Examen23!S38)</f>
        <v>0</v>
      </c>
      <c r="T50" s="32">
        <f t="shared" si="97"/>
        <v>-1</v>
      </c>
      <c r="U50" s="33">
        <f>MAX([2]Examen21!U38,[2]Examen22!U38,[2]Examen23!U38)</f>
        <v>0</v>
      </c>
      <c r="V50" s="32">
        <f t="shared" si="98"/>
        <v>-1</v>
      </c>
      <c r="W50" s="33">
        <f>MAX([2]Examen21!W38,[2]Examen22!W38,[2]Examen23!W38)</f>
        <v>0</v>
      </c>
      <c r="X50" s="32">
        <f t="shared" si="99"/>
        <v>-1</v>
      </c>
      <c r="Y50" s="33">
        <f>MAX([2]Examen21!Y38,[2]Examen22!Y38,[2]Examen23!Y38)</f>
        <v>0</v>
      </c>
      <c r="Z50" s="32">
        <f t="shared" si="100"/>
        <v>-1</v>
      </c>
      <c r="AA50" s="33">
        <f>MAX([2]Examen21!AA38,[2]Examen22!AA38,[2]Examen23!AA38)</f>
        <v>0</v>
      </c>
      <c r="AB50" s="32">
        <f t="shared" si="101"/>
        <v>-1</v>
      </c>
      <c r="AC50" s="33">
        <f>MAX([2]Examen21!AC38,[2]Examen22!AC38,[2]Examen23!AC38)</f>
        <v>0</v>
      </c>
      <c r="AD50" s="32">
        <f t="shared" si="102"/>
        <v>-1</v>
      </c>
      <c r="AE50" s="33">
        <f>MAX([2]Examen21!AE38,[2]Examen22!AE38,[2]Examen23!AE38)</f>
        <v>0</v>
      </c>
      <c r="AF50" s="32">
        <f t="shared" si="103"/>
        <v>-1</v>
      </c>
      <c r="AG50" s="33">
        <f>MAX([2]Examen21!AG38,[2]Examen22!AG38,[2]Examen23!AG38)</f>
        <v>0</v>
      </c>
      <c r="AH50" s="32">
        <f t="shared" si="104"/>
        <v>-1</v>
      </c>
      <c r="AI50" s="33">
        <f>MAX([2]Examen21!AI38,[2]Examen22!AI38,[2]Examen23!AI38)</f>
        <v>0</v>
      </c>
      <c r="AJ50" s="32">
        <f t="shared" si="105"/>
        <v>-1</v>
      </c>
      <c r="AK50" s="33">
        <f>MAX([2]Examen21!AK38,[2]Examen22!AK38,[2]Examen23!AK38)</f>
        <v>0</v>
      </c>
      <c r="AL50" s="32">
        <f t="shared" si="106"/>
        <v>-1</v>
      </c>
      <c r="AM50" s="33">
        <f>MAX([2]Examen21!AM38,[2]Examen22!AM38,[2]Examen23!AM38)</f>
        <v>0</v>
      </c>
      <c r="AN50" s="32">
        <f t="shared" si="107"/>
        <v>-1</v>
      </c>
      <c r="AO50" s="33">
        <f>MAX([2]Examen21!AO38,[2]Examen22!AO38,[2]Examen23!AO38)</f>
        <v>0</v>
      </c>
      <c r="AP50" s="32">
        <f t="shared" si="108"/>
        <v>-1</v>
      </c>
      <c r="AQ50" s="33">
        <f>MAX([2]Examen21!AQ38,[2]Examen22!AQ38,[2]Examen23!AQ38)</f>
        <v>0</v>
      </c>
      <c r="AR50" s="32">
        <f t="shared" si="109"/>
        <v>-1</v>
      </c>
      <c r="AS50" s="33">
        <f>MAX([2]Examen21!AS38,[2]Examen22!AS38,[2]Examen23!AS38)</f>
        <v>0</v>
      </c>
      <c r="AT50" s="32">
        <f t="shared" si="110"/>
        <v>-1</v>
      </c>
      <c r="AU50" s="33">
        <f>MAX([2]Examen21!AU38,[2]Examen22!AU38,[2]Examen23!AU38)</f>
        <v>0</v>
      </c>
      <c r="AV50" s="32">
        <f t="shared" si="111"/>
        <v>-1</v>
      </c>
      <c r="AW50" s="33">
        <f>MAX([2]Examen21!AW38,[2]Examen22!AW38,[2]Examen23!AW38)</f>
        <v>0</v>
      </c>
      <c r="AX50" s="32">
        <f t="shared" si="112"/>
        <v>-1</v>
      </c>
      <c r="AY50" s="33">
        <f>MAX([2]Examen21!AY38,[2]Examen22!AY38,[2]Examen23!AY38)</f>
        <v>0</v>
      </c>
      <c r="AZ50" s="32">
        <f t="shared" si="113"/>
        <v>-1</v>
      </c>
      <c r="BA50" s="33">
        <f>MAX([2]Examen21!BA38,[2]Examen22!BA38,[2]Examen23!BA38)</f>
        <v>0</v>
      </c>
      <c r="BB50" s="32">
        <f t="shared" si="114"/>
        <v>-1</v>
      </c>
      <c r="BC50" s="33">
        <f>MAX([2]Examen21!BC38,[2]Examen22!BC38,[2]Examen23!BC38)</f>
        <v>0</v>
      </c>
      <c r="BD50" s="32">
        <f t="shared" si="115"/>
        <v>-1</v>
      </c>
      <c r="BE50" s="33">
        <f>MAX([2]Examen21!BE38,[2]Examen22!BE38,[2]Examen23!BE38)</f>
        <v>0</v>
      </c>
      <c r="BF50" s="32">
        <f t="shared" si="116"/>
        <v>-1</v>
      </c>
      <c r="BG50" s="33">
        <f>MAX([2]Examen21!BG38,[2]Examen22!BG38,[2]Examen23!BG38)</f>
        <v>0</v>
      </c>
      <c r="BH50" s="32">
        <f t="shared" si="117"/>
        <v>-1</v>
      </c>
      <c r="BI50" s="33">
        <f>MAX([2]Examen21!BI38,[2]Examen22!BI38,[2]Examen23!BI38)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MAX([2]Examen21!B39,[2]Examen22!B39,[2]Examen23!B39)</f>
        <v>0</v>
      </c>
      <c r="C51" s="33">
        <f>MAX([2]Examen21!C39,[2]Examen22!C39,[2]Examen23!C39)</f>
        <v>0</v>
      </c>
      <c r="D51" s="32">
        <f t="shared" si="89"/>
        <v>-1</v>
      </c>
      <c r="E51" s="33">
        <f>MAX([2]Examen21!E39,[2]Examen22!E39,[2]Examen23!E39)</f>
        <v>0</v>
      </c>
      <c r="F51" s="32">
        <f t="shared" si="90"/>
        <v>-1</v>
      </c>
      <c r="G51" s="33">
        <f>MAX([2]Examen21!G39,[2]Examen22!G39,[2]Examen23!G39)</f>
        <v>0</v>
      </c>
      <c r="H51" s="32">
        <f t="shared" si="91"/>
        <v>-1</v>
      </c>
      <c r="I51" s="33">
        <f>MAX([2]Examen21!I39,[2]Examen22!I39,[2]Examen23!I39)</f>
        <v>0</v>
      </c>
      <c r="J51" s="32">
        <f t="shared" si="92"/>
        <v>-1</v>
      </c>
      <c r="K51" s="33">
        <f>MAX([2]Examen21!K39,[2]Examen22!K39,[2]Examen23!K39)</f>
        <v>0</v>
      </c>
      <c r="L51" s="32">
        <f t="shared" si="93"/>
        <v>-1</v>
      </c>
      <c r="M51" s="33">
        <f>MAX([2]Examen21!M39,[2]Examen22!M39,[2]Examen23!M39)</f>
        <v>0</v>
      </c>
      <c r="N51" s="32">
        <f t="shared" si="94"/>
        <v>-1</v>
      </c>
      <c r="O51" s="33">
        <f>MAX([2]Examen21!O39,[2]Examen22!O39,[2]Examen23!O39)</f>
        <v>0</v>
      </c>
      <c r="P51" s="32">
        <f t="shared" si="95"/>
        <v>-1</v>
      </c>
      <c r="Q51" s="33">
        <f>MAX([2]Examen21!Q39,[2]Examen22!Q39,[2]Examen23!Q39)</f>
        <v>0</v>
      </c>
      <c r="R51" s="32">
        <f t="shared" si="96"/>
        <v>-1</v>
      </c>
      <c r="S51" s="33">
        <f>MAX([2]Examen21!S39,[2]Examen22!S39,[2]Examen23!S39)</f>
        <v>0</v>
      </c>
      <c r="T51" s="32">
        <f t="shared" si="97"/>
        <v>-1</v>
      </c>
      <c r="U51" s="33">
        <f>MAX([2]Examen21!U39,[2]Examen22!U39,[2]Examen23!U39)</f>
        <v>0</v>
      </c>
      <c r="V51" s="32">
        <f t="shared" si="98"/>
        <v>-1</v>
      </c>
      <c r="W51" s="33">
        <f>MAX([2]Examen21!W39,[2]Examen22!W39,[2]Examen23!W39)</f>
        <v>0</v>
      </c>
      <c r="X51" s="32">
        <f t="shared" si="99"/>
        <v>-1</v>
      </c>
      <c r="Y51" s="33">
        <f>MAX([2]Examen21!Y39,[2]Examen22!Y39,[2]Examen23!Y39)</f>
        <v>0</v>
      </c>
      <c r="Z51" s="32">
        <f t="shared" si="100"/>
        <v>-1</v>
      </c>
      <c r="AA51" s="33">
        <f>MAX([2]Examen21!AA39,[2]Examen22!AA39,[2]Examen23!AA39)</f>
        <v>0</v>
      </c>
      <c r="AB51" s="32">
        <f t="shared" si="101"/>
        <v>-1</v>
      </c>
      <c r="AC51" s="33">
        <f>MAX([2]Examen21!AC39,[2]Examen22!AC39,[2]Examen23!AC39)</f>
        <v>0</v>
      </c>
      <c r="AD51" s="32">
        <f t="shared" si="102"/>
        <v>-1</v>
      </c>
      <c r="AE51" s="33">
        <f>MAX([2]Examen21!AE39,[2]Examen22!AE39,[2]Examen23!AE39)</f>
        <v>0</v>
      </c>
      <c r="AF51" s="32">
        <f t="shared" si="103"/>
        <v>-1</v>
      </c>
      <c r="AG51" s="33">
        <f>MAX([2]Examen21!AG39,[2]Examen22!AG39,[2]Examen23!AG39)</f>
        <v>0</v>
      </c>
      <c r="AH51" s="32">
        <f t="shared" si="104"/>
        <v>-1</v>
      </c>
      <c r="AI51" s="33">
        <f>MAX([2]Examen21!AI39,[2]Examen22!AI39,[2]Examen23!AI39)</f>
        <v>0</v>
      </c>
      <c r="AJ51" s="32">
        <f t="shared" si="105"/>
        <v>-1</v>
      </c>
      <c r="AK51" s="33">
        <f>MAX([2]Examen21!AK39,[2]Examen22!AK39,[2]Examen23!AK39)</f>
        <v>0</v>
      </c>
      <c r="AL51" s="32">
        <f t="shared" si="106"/>
        <v>-1</v>
      </c>
      <c r="AM51" s="33">
        <f>MAX([2]Examen21!AM39,[2]Examen22!AM39,[2]Examen23!AM39)</f>
        <v>0</v>
      </c>
      <c r="AN51" s="32">
        <f t="shared" si="107"/>
        <v>-1</v>
      </c>
      <c r="AO51" s="33">
        <f>MAX([2]Examen21!AO39,[2]Examen22!AO39,[2]Examen23!AO39)</f>
        <v>0</v>
      </c>
      <c r="AP51" s="32">
        <f t="shared" si="108"/>
        <v>-1</v>
      </c>
      <c r="AQ51" s="33">
        <f>MAX([2]Examen21!AQ39,[2]Examen22!AQ39,[2]Examen23!AQ39)</f>
        <v>0</v>
      </c>
      <c r="AR51" s="32">
        <f t="shared" si="109"/>
        <v>-1</v>
      </c>
      <c r="AS51" s="33">
        <f>MAX([2]Examen21!AS39,[2]Examen22!AS39,[2]Examen23!AS39)</f>
        <v>0</v>
      </c>
      <c r="AT51" s="32">
        <f t="shared" si="110"/>
        <v>-1</v>
      </c>
      <c r="AU51" s="33">
        <f>MAX([2]Examen21!AU39,[2]Examen22!AU39,[2]Examen23!AU39)</f>
        <v>0</v>
      </c>
      <c r="AV51" s="32">
        <f t="shared" si="111"/>
        <v>-1</v>
      </c>
      <c r="AW51" s="33">
        <f>MAX([2]Examen21!AW39,[2]Examen22!AW39,[2]Examen23!AW39)</f>
        <v>0</v>
      </c>
      <c r="AX51" s="32">
        <f t="shared" si="112"/>
        <v>-1</v>
      </c>
      <c r="AY51" s="33">
        <f>MAX([2]Examen21!AY39,[2]Examen22!AY39,[2]Examen23!AY39)</f>
        <v>0</v>
      </c>
      <c r="AZ51" s="32">
        <f t="shared" si="113"/>
        <v>-1</v>
      </c>
      <c r="BA51" s="33">
        <f>MAX([2]Examen21!BA39,[2]Examen22!BA39,[2]Examen23!BA39)</f>
        <v>0</v>
      </c>
      <c r="BB51" s="32">
        <f t="shared" si="114"/>
        <v>-1</v>
      </c>
      <c r="BC51" s="33">
        <f>MAX([2]Examen21!BC39,[2]Examen22!BC39,[2]Examen23!BC39)</f>
        <v>0</v>
      </c>
      <c r="BD51" s="32">
        <f t="shared" si="115"/>
        <v>-1</v>
      </c>
      <c r="BE51" s="33">
        <f>MAX([2]Examen21!BE39,[2]Examen22!BE39,[2]Examen23!BE39)</f>
        <v>0</v>
      </c>
      <c r="BF51" s="32">
        <f t="shared" si="116"/>
        <v>-1</v>
      </c>
      <c r="BG51" s="33">
        <f>MAX([2]Examen21!BG39,[2]Examen22!BG39,[2]Examen23!BG39)</f>
        <v>0</v>
      </c>
      <c r="BH51" s="32">
        <f t="shared" si="117"/>
        <v>-1</v>
      </c>
      <c r="BI51" s="33">
        <f>MAX([2]Examen21!BI39,[2]Examen22!BI39,[2]Examen23!BI39)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MAX([2]Examen21!B40,[2]Examen22!B40,[2]Examen23!B40)</f>
        <v>0</v>
      </c>
      <c r="C52" s="33">
        <f>MAX([2]Examen21!C40,[2]Examen22!C40,[2]Examen23!C40)</f>
        <v>0</v>
      </c>
      <c r="D52" s="32">
        <f t="shared" si="89"/>
        <v>-1</v>
      </c>
      <c r="E52" s="33">
        <f>MAX([2]Examen21!E40,[2]Examen22!E40,[2]Examen23!E40)</f>
        <v>0</v>
      </c>
      <c r="F52" s="32">
        <f t="shared" si="90"/>
        <v>-1</v>
      </c>
      <c r="G52" s="33">
        <f>MAX([2]Examen21!G40,[2]Examen22!G40,[2]Examen23!G40)</f>
        <v>0</v>
      </c>
      <c r="H52" s="32">
        <f t="shared" si="91"/>
        <v>-1</v>
      </c>
      <c r="I52" s="33">
        <f>MAX([2]Examen21!I40,[2]Examen22!I40,[2]Examen23!I40)</f>
        <v>0</v>
      </c>
      <c r="J52" s="32">
        <f t="shared" si="92"/>
        <v>-1</v>
      </c>
      <c r="K52" s="33">
        <f>MAX([2]Examen21!K40,[2]Examen22!K40,[2]Examen23!K40)</f>
        <v>0</v>
      </c>
      <c r="L52" s="32">
        <f t="shared" si="93"/>
        <v>-1</v>
      </c>
      <c r="M52" s="33">
        <f>MAX([2]Examen21!M40,[2]Examen22!M40,[2]Examen23!M40)</f>
        <v>0</v>
      </c>
      <c r="N52" s="32">
        <f t="shared" si="94"/>
        <v>-1</v>
      </c>
      <c r="O52" s="33">
        <f>MAX([2]Examen21!O40,[2]Examen22!O40,[2]Examen23!O40)</f>
        <v>0</v>
      </c>
      <c r="P52" s="32">
        <f t="shared" si="95"/>
        <v>-1</v>
      </c>
      <c r="Q52" s="33">
        <f>MAX([2]Examen21!Q40,[2]Examen22!Q40,[2]Examen23!Q40)</f>
        <v>0</v>
      </c>
      <c r="R52" s="32">
        <f t="shared" si="96"/>
        <v>-1</v>
      </c>
      <c r="S52" s="33">
        <f>MAX([2]Examen21!S40,[2]Examen22!S40,[2]Examen23!S40)</f>
        <v>0</v>
      </c>
      <c r="T52" s="32">
        <f t="shared" si="97"/>
        <v>-1</v>
      </c>
      <c r="U52" s="33">
        <f>MAX([2]Examen21!U40,[2]Examen22!U40,[2]Examen23!U40)</f>
        <v>0</v>
      </c>
      <c r="V52" s="32">
        <f t="shared" si="98"/>
        <v>-1</v>
      </c>
      <c r="W52" s="33">
        <f>MAX([2]Examen21!W40,[2]Examen22!W40,[2]Examen23!W40)</f>
        <v>0</v>
      </c>
      <c r="X52" s="32">
        <f t="shared" si="99"/>
        <v>-1</v>
      </c>
      <c r="Y52" s="33">
        <f>MAX([2]Examen21!Y40,[2]Examen22!Y40,[2]Examen23!Y40)</f>
        <v>0</v>
      </c>
      <c r="Z52" s="32">
        <f t="shared" si="100"/>
        <v>-1</v>
      </c>
      <c r="AA52" s="33">
        <f>MAX([2]Examen21!AA40,[2]Examen22!AA40,[2]Examen23!AA40)</f>
        <v>0</v>
      </c>
      <c r="AB52" s="32">
        <f t="shared" si="101"/>
        <v>-1</v>
      </c>
      <c r="AC52" s="33">
        <f>MAX([2]Examen21!AC40,[2]Examen22!AC40,[2]Examen23!AC40)</f>
        <v>0</v>
      </c>
      <c r="AD52" s="32">
        <f t="shared" si="102"/>
        <v>-1</v>
      </c>
      <c r="AE52" s="33">
        <f>MAX([2]Examen21!AE40,[2]Examen22!AE40,[2]Examen23!AE40)</f>
        <v>0</v>
      </c>
      <c r="AF52" s="32">
        <f t="shared" si="103"/>
        <v>-1</v>
      </c>
      <c r="AG52" s="33">
        <f>MAX([2]Examen21!AG40,[2]Examen22!AG40,[2]Examen23!AG40)</f>
        <v>0</v>
      </c>
      <c r="AH52" s="32">
        <f t="shared" si="104"/>
        <v>-1</v>
      </c>
      <c r="AI52" s="33">
        <f>MAX([2]Examen21!AI40,[2]Examen22!AI40,[2]Examen23!AI40)</f>
        <v>0</v>
      </c>
      <c r="AJ52" s="32">
        <f t="shared" si="105"/>
        <v>-1</v>
      </c>
      <c r="AK52" s="33">
        <f>MAX([2]Examen21!AK40,[2]Examen22!AK40,[2]Examen23!AK40)</f>
        <v>0</v>
      </c>
      <c r="AL52" s="32">
        <f t="shared" si="106"/>
        <v>-1</v>
      </c>
      <c r="AM52" s="33">
        <f>MAX([2]Examen21!AM40,[2]Examen22!AM40,[2]Examen23!AM40)</f>
        <v>0</v>
      </c>
      <c r="AN52" s="32">
        <f t="shared" si="107"/>
        <v>-1</v>
      </c>
      <c r="AO52" s="33">
        <f>MAX([2]Examen21!AO40,[2]Examen22!AO40,[2]Examen23!AO40)</f>
        <v>0</v>
      </c>
      <c r="AP52" s="32">
        <f t="shared" si="108"/>
        <v>-1</v>
      </c>
      <c r="AQ52" s="33">
        <f>MAX([2]Examen21!AQ40,[2]Examen22!AQ40,[2]Examen23!AQ40)</f>
        <v>0</v>
      </c>
      <c r="AR52" s="32">
        <f t="shared" si="109"/>
        <v>-1</v>
      </c>
      <c r="AS52" s="33">
        <f>MAX([2]Examen21!AS40,[2]Examen22!AS40,[2]Examen23!AS40)</f>
        <v>0</v>
      </c>
      <c r="AT52" s="32">
        <f t="shared" si="110"/>
        <v>-1</v>
      </c>
      <c r="AU52" s="33">
        <f>MAX([2]Examen21!AU40,[2]Examen22!AU40,[2]Examen23!AU40)</f>
        <v>0</v>
      </c>
      <c r="AV52" s="32">
        <f t="shared" si="111"/>
        <v>-1</v>
      </c>
      <c r="AW52" s="33">
        <f>MAX([2]Examen21!AW40,[2]Examen22!AW40,[2]Examen23!AW40)</f>
        <v>0</v>
      </c>
      <c r="AX52" s="32">
        <f t="shared" si="112"/>
        <v>-1</v>
      </c>
      <c r="AY52" s="33">
        <f>MAX([2]Examen21!AY40,[2]Examen22!AY40,[2]Examen23!AY40)</f>
        <v>0</v>
      </c>
      <c r="AZ52" s="32">
        <f t="shared" si="113"/>
        <v>-1</v>
      </c>
      <c r="BA52" s="33">
        <f>MAX([2]Examen21!BA40,[2]Examen22!BA40,[2]Examen23!BA40)</f>
        <v>0</v>
      </c>
      <c r="BB52" s="32">
        <f t="shared" si="114"/>
        <v>-1</v>
      </c>
      <c r="BC52" s="33">
        <f>MAX([2]Examen21!BC40,[2]Examen22!BC40,[2]Examen23!BC40)</f>
        <v>0</v>
      </c>
      <c r="BD52" s="32">
        <f t="shared" si="115"/>
        <v>-1</v>
      </c>
      <c r="BE52" s="33">
        <f>MAX([2]Examen21!BE40,[2]Examen22!BE40,[2]Examen23!BE40)</f>
        <v>0</v>
      </c>
      <c r="BF52" s="32">
        <f t="shared" si="116"/>
        <v>-1</v>
      </c>
      <c r="BG52" s="33">
        <f>MAX([2]Examen21!BG40,[2]Examen22!BG40,[2]Examen23!BG40)</f>
        <v>0</v>
      </c>
      <c r="BH52" s="32">
        <f t="shared" si="117"/>
        <v>-1</v>
      </c>
      <c r="BI52" s="33">
        <f>MAX([2]Examen21!BI40,[2]Examen22!BI40,[2]Examen23!BI40)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MAX([2]Examen21!B41,[2]Examen22!B41,[2]Examen23!B41)</f>
        <v>0</v>
      </c>
      <c r="C53" s="33">
        <f>MAX([2]Examen21!C41,[2]Examen22!C41,[2]Examen23!C41)</f>
        <v>0</v>
      </c>
      <c r="D53" s="32">
        <f t="shared" si="89"/>
        <v>-1</v>
      </c>
      <c r="E53" s="33">
        <f>MAX([2]Examen21!E41,[2]Examen22!E41,[2]Examen23!E41)</f>
        <v>0</v>
      </c>
      <c r="F53" s="32">
        <f t="shared" si="90"/>
        <v>-1</v>
      </c>
      <c r="G53" s="33">
        <f>MAX([2]Examen21!G41,[2]Examen22!G41,[2]Examen23!G41)</f>
        <v>0</v>
      </c>
      <c r="H53" s="32">
        <f t="shared" si="91"/>
        <v>-1</v>
      </c>
      <c r="I53" s="33">
        <f>MAX([2]Examen21!I41,[2]Examen22!I41,[2]Examen23!I41)</f>
        <v>0</v>
      </c>
      <c r="J53" s="32">
        <f t="shared" si="92"/>
        <v>-1</v>
      </c>
      <c r="K53" s="33">
        <f>MAX([2]Examen21!K41,[2]Examen22!K41,[2]Examen23!K41)</f>
        <v>0</v>
      </c>
      <c r="L53" s="32">
        <f t="shared" si="93"/>
        <v>-1</v>
      </c>
      <c r="M53" s="33">
        <f>MAX([2]Examen21!M41,[2]Examen22!M41,[2]Examen23!M41)</f>
        <v>0</v>
      </c>
      <c r="N53" s="32">
        <f t="shared" si="94"/>
        <v>-1</v>
      </c>
      <c r="O53" s="33">
        <f>MAX([2]Examen21!O41,[2]Examen22!O41,[2]Examen23!O41)</f>
        <v>0</v>
      </c>
      <c r="P53" s="32">
        <f t="shared" si="95"/>
        <v>-1</v>
      </c>
      <c r="Q53" s="33">
        <f>MAX([2]Examen21!Q41,[2]Examen22!Q41,[2]Examen23!Q41)</f>
        <v>0</v>
      </c>
      <c r="R53" s="32">
        <f t="shared" si="96"/>
        <v>-1</v>
      </c>
      <c r="S53" s="33">
        <f>MAX([2]Examen21!S41,[2]Examen22!S41,[2]Examen23!S41)</f>
        <v>0</v>
      </c>
      <c r="T53" s="32">
        <f t="shared" si="97"/>
        <v>-1</v>
      </c>
      <c r="U53" s="33">
        <f>MAX([2]Examen21!U41,[2]Examen22!U41,[2]Examen23!U41)</f>
        <v>0</v>
      </c>
      <c r="V53" s="32">
        <f t="shared" si="98"/>
        <v>-1</v>
      </c>
      <c r="W53" s="33">
        <f>MAX([2]Examen21!W41,[2]Examen22!W41,[2]Examen23!W41)</f>
        <v>0</v>
      </c>
      <c r="X53" s="32">
        <f t="shared" si="99"/>
        <v>-1</v>
      </c>
      <c r="Y53" s="33">
        <f>MAX([2]Examen21!Y41,[2]Examen22!Y41,[2]Examen23!Y41)</f>
        <v>0</v>
      </c>
      <c r="Z53" s="32">
        <f t="shared" si="100"/>
        <v>-1</v>
      </c>
      <c r="AA53" s="33">
        <f>MAX([2]Examen21!AA41,[2]Examen22!AA41,[2]Examen23!AA41)</f>
        <v>0</v>
      </c>
      <c r="AB53" s="32">
        <f t="shared" si="101"/>
        <v>-1</v>
      </c>
      <c r="AC53" s="33">
        <f>MAX([2]Examen21!AC41,[2]Examen22!AC41,[2]Examen23!AC41)</f>
        <v>0</v>
      </c>
      <c r="AD53" s="32">
        <f t="shared" si="102"/>
        <v>-1</v>
      </c>
      <c r="AE53" s="33">
        <f>MAX([2]Examen21!AE41,[2]Examen22!AE41,[2]Examen23!AE41)</f>
        <v>0</v>
      </c>
      <c r="AF53" s="32">
        <f t="shared" si="103"/>
        <v>-1</v>
      </c>
      <c r="AG53" s="33">
        <f>MAX([2]Examen21!AG41,[2]Examen22!AG41,[2]Examen23!AG41)</f>
        <v>0</v>
      </c>
      <c r="AH53" s="32">
        <f t="shared" si="104"/>
        <v>-1</v>
      </c>
      <c r="AI53" s="33">
        <f>MAX([2]Examen21!AI41,[2]Examen22!AI41,[2]Examen23!AI41)</f>
        <v>0</v>
      </c>
      <c r="AJ53" s="32">
        <f t="shared" si="105"/>
        <v>-1</v>
      </c>
      <c r="AK53" s="33">
        <f>MAX([2]Examen21!AK41,[2]Examen22!AK41,[2]Examen23!AK41)</f>
        <v>0</v>
      </c>
      <c r="AL53" s="32">
        <f t="shared" si="106"/>
        <v>-1</v>
      </c>
      <c r="AM53" s="33">
        <f>MAX([2]Examen21!AM41,[2]Examen22!AM41,[2]Examen23!AM41)</f>
        <v>0</v>
      </c>
      <c r="AN53" s="32">
        <f t="shared" si="107"/>
        <v>-1</v>
      </c>
      <c r="AO53" s="33">
        <f>MAX([2]Examen21!AO41,[2]Examen22!AO41,[2]Examen23!AO41)</f>
        <v>0</v>
      </c>
      <c r="AP53" s="32">
        <f t="shared" si="108"/>
        <v>-1</v>
      </c>
      <c r="AQ53" s="33">
        <f>MAX([2]Examen21!AQ41,[2]Examen22!AQ41,[2]Examen23!AQ41)</f>
        <v>0</v>
      </c>
      <c r="AR53" s="32">
        <f t="shared" si="109"/>
        <v>-1</v>
      </c>
      <c r="AS53" s="33">
        <f>MAX([2]Examen21!AS41,[2]Examen22!AS41,[2]Examen23!AS41)</f>
        <v>0</v>
      </c>
      <c r="AT53" s="32">
        <f t="shared" si="110"/>
        <v>-1</v>
      </c>
      <c r="AU53" s="33">
        <f>MAX([2]Examen21!AU41,[2]Examen22!AU41,[2]Examen23!AU41)</f>
        <v>0</v>
      </c>
      <c r="AV53" s="32">
        <f t="shared" si="111"/>
        <v>-1</v>
      </c>
      <c r="AW53" s="33">
        <f>MAX([2]Examen21!AW41,[2]Examen22!AW41,[2]Examen23!AW41)</f>
        <v>0</v>
      </c>
      <c r="AX53" s="32">
        <f t="shared" si="112"/>
        <v>-1</v>
      </c>
      <c r="AY53" s="33">
        <f>MAX([2]Examen21!AY41,[2]Examen22!AY41,[2]Examen23!AY41)</f>
        <v>0</v>
      </c>
      <c r="AZ53" s="32">
        <f t="shared" si="113"/>
        <v>-1</v>
      </c>
      <c r="BA53" s="33">
        <f>MAX([2]Examen21!BA41,[2]Examen22!BA41,[2]Examen23!BA41)</f>
        <v>0</v>
      </c>
      <c r="BB53" s="32">
        <f t="shared" si="114"/>
        <v>-1</v>
      </c>
      <c r="BC53" s="33">
        <f>MAX([2]Examen21!BC41,[2]Examen22!BC41,[2]Examen23!BC41)</f>
        <v>0</v>
      </c>
      <c r="BD53" s="32">
        <f t="shared" si="115"/>
        <v>-1</v>
      </c>
      <c r="BE53" s="33">
        <f>MAX([2]Examen21!BE41,[2]Examen22!BE41,[2]Examen23!BE41)</f>
        <v>0</v>
      </c>
      <c r="BF53" s="32">
        <f t="shared" si="116"/>
        <v>-1</v>
      </c>
      <c r="BG53" s="33">
        <f>MAX([2]Examen21!BG41,[2]Examen22!BG41,[2]Examen23!BG41)</f>
        <v>0</v>
      </c>
      <c r="BH53" s="32">
        <f t="shared" si="117"/>
        <v>-1</v>
      </c>
      <c r="BI53" s="33">
        <f>MAX([2]Examen21!BI41,[2]Examen22!BI41,[2]Examen23!BI41)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MAX([2]Examen21!B42,[2]Examen22!B42,[2]Examen23!B42)</f>
        <v>0</v>
      </c>
      <c r="C54" s="33">
        <f>MAX([2]Examen21!C42,[2]Examen22!C42,[2]Examen23!C42)</f>
        <v>0</v>
      </c>
      <c r="D54" s="32">
        <f t="shared" si="89"/>
        <v>-1</v>
      </c>
      <c r="E54" s="33">
        <f>MAX([2]Examen21!E42,[2]Examen22!E42,[2]Examen23!E42)</f>
        <v>0</v>
      </c>
      <c r="F54" s="32">
        <f t="shared" si="90"/>
        <v>-1</v>
      </c>
      <c r="G54" s="33">
        <f>MAX([2]Examen21!G42,[2]Examen22!G42,[2]Examen23!G42)</f>
        <v>0</v>
      </c>
      <c r="H54" s="32">
        <f t="shared" si="91"/>
        <v>-1</v>
      </c>
      <c r="I54" s="33">
        <f>MAX([2]Examen21!I42,[2]Examen22!I42,[2]Examen23!I42)</f>
        <v>0</v>
      </c>
      <c r="J54" s="32">
        <f t="shared" si="92"/>
        <v>-1</v>
      </c>
      <c r="K54" s="33">
        <f>MAX([2]Examen21!K42,[2]Examen22!K42,[2]Examen23!K42)</f>
        <v>0</v>
      </c>
      <c r="L54" s="32">
        <f t="shared" si="93"/>
        <v>-1</v>
      </c>
      <c r="M54" s="33">
        <f>MAX([2]Examen21!M42,[2]Examen22!M42,[2]Examen23!M42)</f>
        <v>0</v>
      </c>
      <c r="N54" s="32">
        <f t="shared" si="94"/>
        <v>-1</v>
      </c>
      <c r="O54" s="33">
        <f>MAX([2]Examen21!O42,[2]Examen22!O42,[2]Examen23!O42)</f>
        <v>0</v>
      </c>
      <c r="P54" s="32">
        <f t="shared" si="95"/>
        <v>-1</v>
      </c>
      <c r="Q54" s="33">
        <f>MAX([2]Examen21!Q42,[2]Examen22!Q42,[2]Examen23!Q42)</f>
        <v>0</v>
      </c>
      <c r="R54" s="32">
        <f t="shared" si="96"/>
        <v>-1</v>
      </c>
      <c r="S54" s="33">
        <f>MAX([2]Examen21!S42,[2]Examen22!S42,[2]Examen23!S42)</f>
        <v>0</v>
      </c>
      <c r="T54" s="32">
        <f t="shared" si="97"/>
        <v>-1</v>
      </c>
      <c r="U54" s="33">
        <f>MAX([2]Examen21!U42,[2]Examen22!U42,[2]Examen23!U42)</f>
        <v>0</v>
      </c>
      <c r="V54" s="32">
        <f t="shared" si="98"/>
        <v>-1</v>
      </c>
      <c r="W54" s="33">
        <f>MAX([2]Examen21!W42,[2]Examen22!W42,[2]Examen23!W42)</f>
        <v>0</v>
      </c>
      <c r="X54" s="32">
        <f t="shared" si="99"/>
        <v>-1</v>
      </c>
      <c r="Y54" s="33">
        <f>MAX([2]Examen21!Y42,[2]Examen22!Y42,[2]Examen23!Y42)</f>
        <v>0</v>
      </c>
      <c r="Z54" s="32">
        <f t="shared" si="100"/>
        <v>-1</v>
      </c>
      <c r="AA54" s="33">
        <f>MAX([2]Examen21!AA42,[2]Examen22!AA42,[2]Examen23!AA42)</f>
        <v>0</v>
      </c>
      <c r="AB54" s="32">
        <f t="shared" si="101"/>
        <v>-1</v>
      </c>
      <c r="AC54" s="33">
        <f>MAX([2]Examen21!AC42,[2]Examen22!AC42,[2]Examen23!AC42)</f>
        <v>0</v>
      </c>
      <c r="AD54" s="32">
        <f t="shared" si="102"/>
        <v>-1</v>
      </c>
      <c r="AE54" s="33">
        <f>MAX([2]Examen21!AE42,[2]Examen22!AE42,[2]Examen23!AE42)</f>
        <v>0</v>
      </c>
      <c r="AF54" s="32">
        <f t="shared" si="103"/>
        <v>-1</v>
      </c>
      <c r="AG54" s="33">
        <f>MAX([2]Examen21!AG42,[2]Examen22!AG42,[2]Examen23!AG42)</f>
        <v>0</v>
      </c>
      <c r="AH54" s="32">
        <f t="shared" si="104"/>
        <v>-1</v>
      </c>
      <c r="AI54" s="33">
        <f>MAX([2]Examen21!AI42,[2]Examen22!AI42,[2]Examen23!AI42)</f>
        <v>0</v>
      </c>
      <c r="AJ54" s="32">
        <f t="shared" si="105"/>
        <v>-1</v>
      </c>
      <c r="AK54" s="33">
        <f>MAX([2]Examen21!AK42,[2]Examen22!AK42,[2]Examen23!AK42)</f>
        <v>0</v>
      </c>
      <c r="AL54" s="32">
        <f t="shared" si="106"/>
        <v>-1</v>
      </c>
      <c r="AM54" s="33">
        <f>MAX([2]Examen21!AM42,[2]Examen22!AM42,[2]Examen23!AM42)</f>
        <v>0</v>
      </c>
      <c r="AN54" s="32">
        <f t="shared" si="107"/>
        <v>-1</v>
      </c>
      <c r="AO54" s="33">
        <f>MAX([2]Examen21!AO42,[2]Examen22!AO42,[2]Examen23!AO42)</f>
        <v>0</v>
      </c>
      <c r="AP54" s="32">
        <f t="shared" si="108"/>
        <v>-1</v>
      </c>
      <c r="AQ54" s="33">
        <f>MAX([2]Examen21!AQ42,[2]Examen22!AQ42,[2]Examen23!AQ42)</f>
        <v>0</v>
      </c>
      <c r="AR54" s="32">
        <f t="shared" si="109"/>
        <v>-1</v>
      </c>
      <c r="AS54" s="33">
        <f>MAX([2]Examen21!AS42,[2]Examen22!AS42,[2]Examen23!AS42)</f>
        <v>0</v>
      </c>
      <c r="AT54" s="32">
        <f t="shared" si="110"/>
        <v>-1</v>
      </c>
      <c r="AU54" s="33">
        <f>MAX([2]Examen21!AU42,[2]Examen22!AU42,[2]Examen23!AU42)</f>
        <v>0</v>
      </c>
      <c r="AV54" s="32">
        <f t="shared" si="111"/>
        <v>-1</v>
      </c>
      <c r="AW54" s="33">
        <f>MAX([2]Examen21!AW42,[2]Examen22!AW42,[2]Examen23!AW42)</f>
        <v>0</v>
      </c>
      <c r="AX54" s="32">
        <f t="shared" si="112"/>
        <v>-1</v>
      </c>
      <c r="AY54" s="33">
        <f>MAX([2]Examen21!AY42,[2]Examen22!AY42,[2]Examen23!AY42)</f>
        <v>0</v>
      </c>
      <c r="AZ54" s="32">
        <f t="shared" si="113"/>
        <v>-1</v>
      </c>
      <c r="BA54" s="33">
        <f>MAX([2]Examen21!BA42,[2]Examen22!BA42,[2]Examen23!BA42)</f>
        <v>0</v>
      </c>
      <c r="BB54" s="32">
        <f t="shared" si="114"/>
        <v>-1</v>
      </c>
      <c r="BC54" s="33">
        <f>MAX([2]Examen21!BC42,[2]Examen22!BC42,[2]Examen23!BC42)</f>
        <v>0</v>
      </c>
      <c r="BD54" s="32">
        <f t="shared" si="115"/>
        <v>-1</v>
      </c>
      <c r="BE54" s="33">
        <f>MAX([2]Examen21!BE42,[2]Examen22!BE42,[2]Examen23!BE42)</f>
        <v>0</v>
      </c>
      <c r="BF54" s="32">
        <f t="shared" si="116"/>
        <v>-1</v>
      </c>
      <c r="BG54" s="33">
        <f>MAX([2]Examen21!BG42,[2]Examen22!BG42,[2]Examen23!BG42)</f>
        <v>0</v>
      </c>
      <c r="BH54" s="32">
        <f t="shared" si="117"/>
        <v>-1</v>
      </c>
      <c r="BI54" s="33">
        <f>MAX([2]Examen21!BI42,[2]Examen22!BI42,[2]Examen23!BI42)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MAX([2]Examen21!B43,[2]Examen22!B43,[2]Examen23!B43)</f>
        <v>0</v>
      </c>
      <c r="C55" s="33">
        <f>MAX([2]Examen21!C43,[2]Examen22!C43,[2]Examen23!C43)</f>
        <v>0</v>
      </c>
      <c r="D55" s="32">
        <f t="shared" si="89"/>
        <v>-1</v>
      </c>
      <c r="E55" s="33">
        <f>MAX([2]Examen21!E43,[2]Examen22!E43,[2]Examen23!E43)</f>
        <v>0</v>
      </c>
      <c r="F55" s="32">
        <f t="shared" si="90"/>
        <v>-1</v>
      </c>
      <c r="G55" s="33">
        <f>MAX([2]Examen21!G43,[2]Examen22!G43,[2]Examen23!G43)</f>
        <v>0</v>
      </c>
      <c r="H55" s="32">
        <f t="shared" si="91"/>
        <v>-1</v>
      </c>
      <c r="I55" s="33">
        <f>MAX([2]Examen21!I43,[2]Examen22!I43,[2]Examen23!I43)</f>
        <v>0</v>
      </c>
      <c r="J55" s="32">
        <f t="shared" si="92"/>
        <v>-1</v>
      </c>
      <c r="K55" s="33">
        <f>MAX([2]Examen21!K43,[2]Examen22!K43,[2]Examen23!K43)</f>
        <v>0</v>
      </c>
      <c r="L55" s="32">
        <f t="shared" si="93"/>
        <v>-1</v>
      </c>
      <c r="M55" s="33">
        <f>MAX([2]Examen21!M43,[2]Examen22!M43,[2]Examen23!M43)</f>
        <v>0</v>
      </c>
      <c r="N55" s="32">
        <f t="shared" si="94"/>
        <v>-1</v>
      </c>
      <c r="O55" s="33">
        <f>MAX([2]Examen21!O43,[2]Examen22!O43,[2]Examen23!O43)</f>
        <v>0</v>
      </c>
      <c r="P55" s="32">
        <f t="shared" si="95"/>
        <v>-1</v>
      </c>
      <c r="Q55" s="33">
        <f>MAX([2]Examen21!Q43,[2]Examen22!Q43,[2]Examen23!Q43)</f>
        <v>0</v>
      </c>
      <c r="R55" s="32">
        <f t="shared" si="96"/>
        <v>-1</v>
      </c>
      <c r="S55" s="33">
        <f>MAX([2]Examen21!S43,[2]Examen22!S43,[2]Examen23!S43)</f>
        <v>0</v>
      </c>
      <c r="T55" s="32">
        <f t="shared" si="97"/>
        <v>-1</v>
      </c>
      <c r="U55" s="33">
        <f>MAX([2]Examen21!U43,[2]Examen22!U43,[2]Examen23!U43)</f>
        <v>0</v>
      </c>
      <c r="V55" s="32">
        <f t="shared" si="98"/>
        <v>-1</v>
      </c>
      <c r="W55" s="33">
        <f>MAX([2]Examen21!W43,[2]Examen22!W43,[2]Examen23!W43)</f>
        <v>0</v>
      </c>
      <c r="X55" s="32">
        <f t="shared" si="99"/>
        <v>-1</v>
      </c>
      <c r="Y55" s="33">
        <f>MAX([2]Examen21!Y43,[2]Examen22!Y43,[2]Examen23!Y43)</f>
        <v>0</v>
      </c>
      <c r="Z55" s="32">
        <f t="shared" si="100"/>
        <v>-1</v>
      </c>
      <c r="AA55" s="33">
        <f>MAX([2]Examen21!AA43,[2]Examen22!AA43,[2]Examen23!AA43)</f>
        <v>0</v>
      </c>
      <c r="AB55" s="32">
        <f t="shared" si="101"/>
        <v>-1</v>
      </c>
      <c r="AC55" s="33">
        <f>MAX([2]Examen21!AC43,[2]Examen22!AC43,[2]Examen23!AC43)</f>
        <v>0</v>
      </c>
      <c r="AD55" s="32">
        <f t="shared" si="102"/>
        <v>-1</v>
      </c>
      <c r="AE55" s="33">
        <f>MAX([2]Examen21!AE43,[2]Examen22!AE43,[2]Examen23!AE43)</f>
        <v>0</v>
      </c>
      <c r="AF55" s="32">
        <f t="shared" si="103"/>
        <v>-1</v>
      </c>
      <c r="AG55" s="33">
        <f>MAX([2]Examen21!AG43,[2]Examen22!AG43,[2]Examen23!AG43)</f>
        <v>0</v>
      </c>
      <c r="AH55" s="32">
        <f t="shared" si="104"/>
        <v>-1</v>
      </c>
      <c r="AI55" s="33">
        <f>MAX([2]Examen21!AI43,[2]Examen22!AI43,[2]Examen23!AI43)</f>
        <v>0</v>
      </c>
      <c r="AJ55" s="32">
        <f t="shared" si="105"/>
        <v>-1</v>
      </c>
      <c r="AK55" s="33">
        <f>MAX([2]Examen21!AK43,[2]Examen22!AK43,[2]Examen23!AK43)</f>
        <v>0</v>
      </c>
      <c r="AL55" s="32">
        <f t="shared" si="106"/>
        <v>-1</v>
      </c>
      <c r="AM55" s="33">
        <f>MAX([2]Examen21!AM43,[2]Examen22!AM43,[2]Examen23!AM43)</f>
        <v>0</v>
      </c>
      <c r="AN55" s="32">
        <f t="shared" si="107"/>
        <v>-1</v>
      </c>
      <c r="AO55" s="33">
        <f>MAX([2]Examen21!AO43,[2]Examen22!AO43,[2]Examen23!AO43)</f>
        <v>0</v>
      </c>
      <c r="AP55" s="32">
        <f t="shared" si="108"/>
        <v>-1</v>
      </c>
      <c r="AQ55" s="33">
        <f>MAX([2]Examen21!AQ43,[2]Examen22!AQ43,[2]Examen23!AQ43)</f>
        <v>0</v>
      </c>
      <c r="AR55" s="32">
        <f t="shared" si="109"/>
        <v>-1</v>
      </c>
      <c r="AS55" s="33">
        <f>MAX([2]Examen21!AS43,[2]Examen22!AS43,[2]Examen23!AS43)</f>
        <v>0</v>
      </c>
      <c r="AT55" s="32">
        <f t="shared" si="110"/>
        <v>-1</v>
      </c>
      <c r="AU55" s="33">
        <f>MAX([2]Examen21!AU43,[2]Examen22!AU43,[2]Examen23!AU43)</f>
        <v>0</v>
      </c>
      <c r="AV55" s="32">
        <f t="shared" si="111"/>
        <v>-1</v>
      </c>
      <c r="AW55" s="33">
        <f>MAX([2]Examen21!AW43,[2]Examen22!AW43,[2]Examen23!AW43)</f>
        <v>0</v>
      </c>
      <c r="AX55" s="32">
        <f t="shared" si="112"/>
        <v>-1</v>
      </c>
      <c r="AY55" s="33">
        <f>MAX([2]Examen21!AY43,[2]Examen22!AY43,[2]Examen23!AY43)</f>
        <v>0</v>
      </c>
      <c r="AZ55" s="32">
        <f t="shared" si="113"/>
        <v>-1</v>
      </c>
      <c r="BA55" s="33">
        <f>MAX([2]Examen21!BA43,[2]Examen22!BA43,[2]Examen23!BA43)</f>
        <v>0</v>
      </c>
      <c r="BB55" s="32">
        <f t="shared" si="114"/>
        <v>-1</v>
      </c>
      <c r="BC55" s="33">
        <f>MAX([2]Examen21!BC43,[2]Examen22!BC43,[2]Examen23!BC43)</f>
        <v>0</v>
      </c>
      <c r="BD55" s="32">
        <f t="shared" si="115"/>
        <v>-1</v>
      </c>
      <c r="BE55" s="33">
        <f>MAX([2]Examen21!BE43,[2]Examen22!BE43,[2]Examen23!BE43)</f>
        <v>0</v>
      </c>
      <c r="BF55" s="32">
        <f t="shared" si="116"/>
        <v>-1</v>
      </c>
      <c r="BG55" s="33">
        <f>MAX([2]Examen21!BG43,[2]Examen22!BG43,[2]Examen23!BG43)</f>
        <v>0</v>
      </c>
      <c r="BH55" s="32">
        <f t="shared" si="117"/>
        <v>-1</v>
      </c>
      <c r="BI55" s="33">
        <f>MAX([2]Examen21!BI43,[2]Examen22!BI43,[2]Examen23!BI43)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MAX([2]Examen21!B44,[2]Examen22!B44,[2]Examen23!B44)</f>
        <v>0</v>
      </c>
      <c r="C56" s="33">
        <f>MAX([2]Examen21!C44,[2]Examen22!C44,[2]Examen23!C44)</f>
        <v>0</v>
      </c>
      <c r="D56" s="32">
        <f t="shared" si="89"/>
        <v>-1</v>
      </c>
      <c r="E56" s="33">
        <f>MAX([2]Examen21!E44,[2]Examen22!E44,[2]Examen23!E44)</f>
        <v>0</v>
      </c>
      <c r="F56" s="32">
        <f t="shared" si="90"/>
        <v>-1</v>
      </c>
      <c r="G56" s="33">
        <f>MAX([2]Examen21!G44,[2]Examen22!G44,[2]Examen23!G44)</f>
        <v>0</v>
      </c>
      <c r="H56" s="32">
        <f t="shared" si="91"/>
        <v>-1</v>
      </c>
      <c r="I56" s="33">
        <f>MAX([2]Examen21!I44,[2]Examen22!I44,[2]Examen23!I44)</f>
        <v>0</v>
      </c>
      <c r="J56" s="32">
        <f t="shared" si="92"/>
        <v>-1</v>
      </c>
      <c r="K56" s="33">
        <f>MAX([2]Examen21!K44,[2]Examen22!K44,[2]Examen23!K44)</f>
        <v>0</v>
      </c>
      <c r="L56" s="32">
        <f t="shared" si="93"/>
        <v>-1</v>
      </c>
      <c r="M56" s="33">
        <f>MAX([2]Examen21!M44,[2]Examen22!M44,[2]Examen23!M44)</f>
        <v>0</v>
      </c>
      <c r="N56" s="32">
        <f t="shared" si="94"/>
        <v>-1</v>
      </c>
      <c r="O56" s="33">
        <f>MAX([2]Examen21!O44,[2]Examen22!O44,[2]Examen23!O44)</f>
        <v>0</v>
      </c>
      <c r="P56" s="32">
        <f t="shared" si="95"/>
        <v>-1</v>
      </c>
      <c r="Q56" s="33">
        <f>MAX([2]Examen21!Q44,[2]Examen22!Q44,[2]Examen23!Q44)</f>
        <v>0</v>
      </c>
      <c r="R56" s="32">
        <f t="shared" si="96"/>
        <v>-1</v>
      </c>
      <c r="S56" s="33">
        <f>MAX([2]Examen21!S44,[2]Examen22!S44,[2]Examen23!S44)</f>
        <v>0</v>
      </c>
      <c r="T56" s="32">
        <f t="shared" si="97"/>
        <v>-1</v>
      </c>
      <c r="U56" s="33">
        <f>MAX([2]Examen21!U44,[2]Examen22!U44,[2]Examen23!U44)</f>
        <v>0</v>
      </c>
      <c r="V56" s="32">
        <f t="shared" si="98"/>
        <v>-1</v>
      </c>
      <c r="W56" s="33">
        <f>MAX([2]Examen21!W44,[2]Examen22!W44,[2]Examen23!W44)</f>
        <v>0</v>
      </c>
      <c r="X56" s="32">
        <f t="shared" si="99"/>
        <v>-1</v>
      </c>
      <c r="Y56" s="33">
        <f>MAX([2]Examen21!Y44,[2]Examen22!Y44,[2]Examen23!Y44)</f>
        <v>0</v>
      </c>
      <c r="Z56" s="32">
        <f t="shared" si="100"/>
        <v>-1</v>
      </c>
      <c r="AA56" s="33">
        <f>MAX([2]Examen21!AA44,[2]Examen22!AA44,[2]Examen23!AA44)</f>
        <v>0</v>
      </c>
      <c r="AB56" s="32">
        <f t="shared" si="101"/>
        <v>-1</v>
      </c>
      <c r="AC56" s="33">
        <f>MAX([2]Examen21!AC44,[2]Examen22!AC44,[2]Examen23!AC44)</f>
        <v>0</v>
      </c>
      <c r="AD56" s="32">
        <f t="shared" si="102"/>
        <v>-1</v>
      </c>
      <c r="AE56" s="33">
        <f>MAX([2]Examen21!AE44,[2]Examen22!AE44,[2]Examen23!AE44)</f>
        <v>0</v>
      </c>
      <c r="AF56" s="32">
        <f t="shared" si="103"/>
        <v>-1</v>
      </c>
      <c r="AG56" s="33">
        <f>MAX([2]Examen21!AG44,[2]Examen22!AG44,[2]Examen23!AG44)</f>
        <v>0</v>
      </c>
      <c r="AH56" s="32">
        <f t="shared" si="104"/>
        <v>-1</v>
      </c>
      <c r="AI56" s="33">
        <f>MAX([2]Examen21!AI44,[2]Examen22!AI44,[2]Examen23!AI44)</f>
        <v>0</v>
      </c>
      <c r="AJ56" s="32">
        <f t="shared" si="105"/>
        <v>-1</v>
      </c>
      <c r="AK56" s="33">
        <f>MAX([2]Examen21!AK44,[2]Examen22!AK44,[2]Examen23!AK44)</f>
        <v>0</v>
      </c>
      <c r="AL56" s="32">
        <f t="shared" si="106"/>
        <v>-1</v>
      </c>
      <c r="AM56" s="33">
        <f>MAX([2]Examen21!AM44,[2]Examen22!AM44,[2]Examen23!AM44)</f>
        <v>0</v>
      </c>
      <c r="AN56" s="32">
        <f t="shared" si="107"/>
        <v>-1</v>
      </c>
      <c r="AO56" s="33">
        <f>MAX([2]Examen21!AO44,[2]Examen22!AO44,[2]Examen23!AO44)</f>
        <v>0</v>
      </c>
      <c r="AP56" s="32">
        <f t="shared" si="108"/>
        <v>-1</v>
      </c>
      <c r="AQ56" s="33">
        <f>MAX([2]Examen21!AQ44,[2]Examen22!AQ44,[2]Examen23!AQ44)</f>
        <v>0</v>
      </c>
      <c r="AR56" s="32">
        <f t="shared" si="109"/>
        <v>-1</v>
      </c>
      <c r="AS56" s="33">
        <f>MAX([2]Examen21!AS44,[2]Examen22!AS44,[2]Examen23!AS44)</f>
        <v>0</v>
      </c>
      <c r="AT56" s="32">
        <f t="shared" si="110"/>
        <v>-1</v>
      </c>
      <c r="AU56" s="33">
        <f>MAX([2]Examen21!AU44,[2]Examen22!AU44,[2]Examen23!AU44)</f>
        <v>0</v>
      </c>
      <c r="AV56" s="32">
        <f t="shared" si="111"/>
        <v>-1</v>
      </c>
      <c r="AW56" s="33">
        <f>MAX([2]Examen21!AW44,[2]Examen22!AW44,[2]Examen23!AW44)</f>
        <v>0</v>
      </c>
      <c r="AX56" s="32">
        <f t="shared" si="112"/>
        <v>-1</v>
      </c>
      <c r="AY56" s="33">
        <f>MAX([2]Examen21!AY44,[2]Examen22!AY44,[2]Examen23!AY44)</f>
        <v>0</v>
      </c>
      <c r="AZ56" s="32">
        <f t="shared" si="113"/>
        <v>-1</v>
      </c>
      <c r="BA56" s="33">
        <f>MAX([2]Examen21!BA44,[2]Examen22!BA44,[2]Examen23!BA44)</f>
        <v>0</v>
      </c>
      <c r="BB56" s="32">
        <f t="shared" si="114"/>
        <v>-1</v>
      </c>
      <c r="BC56" s="33">
        <f>MAX([2]Examen21!BC44,[2]Examen22!BC44,[2]Examen23!BC44)</f>
        <v>0</v>
      </c>
      <c r="BD56" s="32">
        <f t="shared" si="115"/>
        <v>-1</v>
      </c>
      <c r="BE56" s="33">
        <f>MAX([2]Examen21!BE44,[2]Examen22!BE44,[2]Examen23!BE44)</f>
        <v>0</v>
      </c>
      <c r="BF56" s="32">
        <f t="shared" si="116"/>
        <v>-1</v>
      </c>
      <c r="BG56" s="33">
        <f>MAX([2]Examen21!BG44,[2]Examen22!BG44,[2]Examen23!BG44)</f>
        <v>0</v>
      </c>
      <c r="BH56" s="32">
        <f t="shared" si="117"/>
        <v>-1</v>
      </c>
      <c r="BI56" s="33">
        <f>MAX([2]Examen21!BI44,[2]Examen22!BI44,[2]Examen23!BI44)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MAX([2]Examen21!B45,[2]Examen22!B45,[2]Examen23!B45)</f>
        <v>0</v>
      </c>
      <c r="C57" s="33">
        <f>MAX([2]Examen21!C45,[2]Examen22!C45,[2]Examen23!C45)</f>
        <v>0</v>
      </c>
      <c r="D57" s="32">
        <f t="shared" si="89"/>
        <v>-1</v>
      </c>
      <c r="E57" s="33">
        <f>MAX([2]Examen21!E45,[2]Examen22!E45,[2]Examen23!E45)</f>
        <v>0</v>
      </c>
      <c r="F57" s="32">
        <f t="shared" si="90"/>
        <v>-1</v>
      </c>
      <c r="G57" s="33">
        <f>MAX([2]Examen21!G45,[2]Examen22!G45,[2]Examen23!G45)</f>
        <v>0</v>
      </c>
      <c r="H57" s="32">
        <f t="shared" si="91"/>
        <v>-1</v>
      </c>
      <c r="I57" s="33">
        <f>MAX([2]Examen21!I45,[2]Examen22!I45,[2]Examen23!I45)</f>
        <v>0</v>
      </c>
      <c r="J57" s="32">
        <f t="shared" si="92"/>
        <v>-1</v>
      </c>
      <c r="K57" s="33">
        <f>MAX([2]Examen21!K45,[2]Examen22!K45,[2]Examen23!K45)</f>
        <v>0</v>
      </c>
      <c r="L57" s="32">
        <f t="shared" si="93"/>
        <v>-1</v>
      </c>
      <c r="M57" s="33">
        <f>MAX([2]Examen21!M45,[2]Examen22!M45,[2]Examen23!M45)</f>
        <v>0</v>
      </c>
      <c r="N57" s="32">
        <f t="shared" si="94"/>
        <v>-1</v>
      </c>
      <c r="O57" s="33">
        <f>MAX([2]Examen21!O45,[2]Examen22!O45,[2]Examen23!O45)</f>
        <v>0</v>
      </c>
      <c r="P57" s="32">
        <f t="shared" si="95"/>
        <v>-1</v>
      </c>
      <c r="Q57" s="33">
        <f>MAX([2]Examen21!Q45,[2]Examen22!Q45,[2]Examen23!Q45)</f>
        <v>0</v>
      </c>
      <c r="R57" s="32">
        <f t="shared" si="96"/>
        <v>-1</v>
      </c>
      <c r="S57" s="33">
        <f>MAX([2]Examen21!S45,[2]Examen22!S45,[2]Examen23!S45)</f>
        <v>0</v>
      </c>
      <c r="T57" s="32">
        <f t="shared" si="97"/>
        <v>-1</v>
      </c>
      <c r="U57" s="33">
        <f>MAX([2]Examen21!U45,[2]Examen22!U45,[2]Examen23!U45)</f>
        <v>0</v>
      </c>
      <c r="V57" s="32">
        <f t="shared" si="98"/>
        <v>-1</v>
      </c>
      <c r="W57" s="33">
        <f>MAX([2]Examen21!W45,[2]Examen22!W45,[2]Examen23!W45)</f>
        <v>0</v>
      </c>
      <c r="X57" s="32">
        <f t="shared" si="99"/>
        <v>-1</v>
      </c>
      <c r="Y57" s="33">
        <f>MAX([2]Examen21!Y45,[2]Examen22!Y45,[2]Examen23!Y45)</f>
        <v>0</v>
      </c>
      <c r="Z57" s="32">
        <f t="shared" si="100"/>
        <v>-1</v>
      </c>
      <c r="AA57" s="33">
        <f>MAX([2]Examen21!AA45,[2]Examen22!AA45,[2]Examen23!AA45)</f>
        <v>0</v>
      </c>
      <c r="AB57" s="32">
        <f t="shared" si="101"/>
        <v>-1</v>
      </c>
      <c r="AC57" s="33">
        <f>MAX([2]Examen21!AC45,[2]Examen22!AC45,[2]Examen23!AC45)</f>
        <v>0</v>
      </c>
      <c r="AD57" s="32">
        <f t="shared" si="102"/>
        <v>-1</v>
      </c>
      <c r="AE57" s="33">
        <f>MAX([2]Examen21!AE45,[2]Examen22!AE45,[2]Examen23!AE45)</f>
        <v>0</v>
      </c>
      <c r="AF57" s="32">
        <f t="shared" si="103"/>
        <v>-1</v>
      </c>
      <c r="AG57" s="33">
        <f>MAX([2]Examen21!AG45,[2]Examen22!AG45,[2]Examen23!AG45)</f>
        <v>0</v>
      </c>
      <c r="AH57" s="32">
        <f t="shared" si="104"/>
        <v>-1</v>
      </c>
      <c r="AI57" s="33">
        <f>MAX([2]Examen21!AI45,[2]Examen22!AI45,[2]Examen23!AI45)</f>
        <v>0</v>
      </c>
      <c r="AJ57" s="32">
        <f t="shared" si="105"/>
        <v>-1</v>
      </c>
      <c r="AK57" s="33">
        <f>MAX([2]Examen21!AK45,[2]Examen22!AK45,[2]Examen23!AK45)</f>
        <v>0</v>
      </c>
      <c r="AL57" s="32">
        <f t="shared" si="106"/>
        <v>-1</v>
      </c>
      <c r="AM57" s="33">
        <f>MAX([2]Examen21!AM45,[2]Examen22!AM45,[2]Examen23!AM45)</f>
        <v>0</v>
      </c>
      <c r="AN57" s="32">
        <f t="shared" si="107"/>
        <v>-1</v>
      </c>
      <c r="AO57" s="33">
        <f>MAX([2]Examen21!AO45,[2]Examen22!AO45,[2]Examen23!AO45)</f>
        <v>0</v>
      </c>
      <c r="AP57" s="32">
        <f t="shared" si="108"/>
        <v>-1</v>
      </c>
      <c r="AQ57" s="33">
        <f>MAX([2]Examen21!AQ45,[2]Examen22!AQ45,[2]Examen23!AQ45)</f>
        <v>0</v>
      </c>
      <c r="AR57" s="32">
        <f t="shared" si="109"/>
        <v>-1</v>
      </c>
      <c r="AS57" s="33">
        <f>MAX([2]Examen21!AS45,[2]Examen22!AS45,[2]Examen23!AS45)</f>
        <v>0</v>
      </c>
      <c r="AT57" s="32">
        <f t="shared" si="110"/>
        <v>-1</v>
      </c>
      <c r="AU57" s="33">
        <f>MAX([2]Examen21!AU45,[2]Examen22!AU45,[2]Examen23!AU45)</f>
        <v>0</v>
      </c>
      <c r="AV57" s="32">
        <f t="shared" si="111"/>
        <v>-1</v>
      </c>
      <c r="AW57" s="33">
        <f>MAX([2]Examen21!AW45,[2]Examen22!AW45,[2]Examen23!AW45)</f>
        <v>0</v>
      </c>
      <c r="AX57" s="32">
        <f t="shared" si="112"/>
        <v>-1</v>
      </c>
      <c r="AY57" s="33">
        <f>MAX([2]Examen21!AY45,[2]Examen22!AY45,[2]Examen23!AY45)</f>
        <v>0</v>
      </c>
      <c r="AZ57" s="32">
        <f t="shared" si="113"/>
        <v>-1</v>
      </c>
      <c r="BA57" s="33">
        <f>MAX([2]Examen21!BA45,[2]Examen22!BA45,[2]Examen23!BA45)</f>
        <v>0</v>
      </c>
      <c r="BB57" s="32">
        <f t="shared" si="114"/>
        <v>-1</v>
      </c>
      <c r="BC57" s="33">
        <f>MAX([2]Examen21!BC45,[2]Examen22!BC45,[2]Examen23!BC45)</f>
        <v>0</v>
      </c>
      <c r="BD57" s="32">
        <f t="shared" si="115"/>
        <v>-1</v>
      </c>
      <c r="BE57" s="33">
        <f>MAX([2]Examen21!BE45,[2]Examen22!BE45,[2]Examen23!BE45)</f>
        <v>0</v>
      </c>
      <c r="BF57" s="32">
        <f t="shared" si="116"/>
        <v>-1</v>
      </c>
      <c r="BG57" s="33">
        <f>MAX([2]Examen21!BG45,[2]Examen22!BG45,[2]Examen23!BG45)</f>
        <v>0</v>
      </c>
      <c r="BH57" s="32">
        <f t="shared" si="117"/>
        <v>-1</v>
      </c>
      <c r="BI57" s="33">
        <f>MAX([2]Examen21!BI45,[2]Examen22!BI45,[2]Examen23!BI45)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MAX([2]Examen21!B46,[2]Examen22!B46,[2]Examen23!B46)</f>
        <v>0</v>
      </c>
      <c r="C58" s="33">
        <f>MAX([2]Examen21!C46,[2]Examen22!C46,[2]Examen23!C46)</f>
        <v>0</v>
      </c>
      <c r="D58" s="32">
        <f t="shared" si="89"/>
        <v>-1</v>
      </c>
      <c r="E58" s="33">
        <f>MAX([2]Examen21!E46,[2]Examen22!E46,[2]Examen23!E46)</f>
        <v>0</v>
      </c>
      <c r="F58" s="32">
        <f t="shared" si="90"/>
        <v>-1</v>
      </c>
      <c r="G58" s="33">
        <f>MAX([2]Examen21!G46,[2]Examen22!G46,[2]Examen23!G46)</f>
        <v>0</v>
      </c>
      <c r="H58" s="32">
        <f t="shared" si="91"/>
        <v>-1</v>
      </c>
      <c r="I58" s="33">
        <f>MAX([2]Examen21!I46,[2]Examen22!I46,[2]Examen23!I46)</f>
        <v>0</v>
      </c>
      <c r="J58" s="32">
        <f t="shared" si="92"/>
        <v>-1</v>
      </c>
      <c r="K58" s="33">
        <f>MAX([2]Examen21!K46,[2]Examen22!K46,[2]Examen23!K46)</f>
        <v>0</v>
      </c>
      <c r="L58" s="32">
        <f t="shared" si="93"/>
        <v>-1</v>
      </c>
      <c r="M58" s="33">
        <f>MAX([2]Examen21!M46,[2]Examen22!M46,[2]Examen23!M46)</f>
        <v>0</v>
      </c>
      <c r="N58" s="32">
        <f t="shared" si="94"/>
        <v>-1</v>
      </c>
      <c r="O58" s="33">
        <f>MAX([2]Examen21!O46,[2]Examen22!O46,[2]Examen23!O46)</f>
        <v>0</v>
      </c>
      <c r="P58" s="32">
        <f t="shared" si="95"/>
        <v>-1</v>
      </c>
      <c r="Q58" s="33">
        <f>MAX([2]Examen21!Q46,[2]Examen22!Q46,[2]Examen23!Q46)</f>
        <v>0</v>
      </c>
      <c r="R58" s="32">
        <f t="shared" si="96"/>
        <v>-1</v>
      </c>
      <c r="S58" s="33">
        <f>MAX([2]Examen21!S46,[2]Examen22!S46,[2]Examen23!S46)</f>
        <v>0</v>
      </c>
      <c r="T58" s="32">
        <f t="shared" si="97"/>
        <v>-1</v>
      </c>
      <c r="U58" s="33">
        <f>MAX([2]Examen21!U46,[2]Examen22!U46,[2]Examen23!U46)</f>
        <v>0</v>
      </c>
      <c r="V58" s="32">
        <f t="shared" si="98"/>
        <v>-1</v>
      </c>
      <c r="W58" s="33">
        <f>MAX([2]Examen21!W46,[2]Examen22!W46,[2]Examen23!W46)</f>
        <v>0</v>
      </c>
      <c r="X58" s="32">
        <f t="shared" si="99"/>
        <v>-1</v>
      </c>
      <c r="Y58" s="33">
        <f>MAX([2]Examen21!Y46,[2]Examen22!Y46,[2]Examen23!Y46)</f>
        <v>0</v>
      </c>
      <c r="Z58" s="32">
        <f t="shared" si="100"/>
        <v>-1</v>
      </c>
      <c r="AA58" s="33">
        <f>MAX([2]Examen21!AA46,[2]Examen22!AA46,[2]Examen23!AA46)</f>
        <v>0</v>
      </c>
      <c r="AB58" s="32">
        <f t="shared" si="101"/>
        <v>-1</v>
      </c>
      <c r="AC58" s="33">
        <f>MAX([2]Examen21!AC46,[2]Examen22!AC46,[2]Examen23!AC46)</f>
        <v>0</v>
      </c>
      <c r="AD58" s="32">
        <f t="shared" si="102"/>
        <v>-1</v>
      </c>
      <c r="AE58" s="33">
        <f>MAX([2]Examen21!AE46,[2]Examen22!AE46,[2]Examen23!AE46)</f>
        <v>0</v>
      </c>
      <c r="AF58" s="32">
        <f t="shared" si="103"/>
        <v>-1</v>
      </c>
      <c r="AG58" s="33">
        <f>MAX([2]Examen21!AG46,[2]Examen22!AG46,[2]Examen23!AG46)</f>
        <v>0</v>
      </c>
      <c r="AH58" s="32">
        <f t="shared" si="104"/>
        <v>-1</v>
      </c>
      <c r="AI58" s="33">
        <f>MAX([2]Examen21!AI46,[2]Examen22!AI46,[2]Examen23!AI46)</f>
        <v>0</v>
      </c>
      <c r="AJ58" s="32">
        <f t="shared" si="105"/>
        <v>-1</v>
      </c>
      <c r="AK58" s="33">
        <f>MAX([2]Examen21!AK46,[2]Examen22!AK46,[2]Examen23!AK46)</f>
        <v>0</v>
      </c>
      <c r="AL58" s="32">
        <f t="shared" si="106"/>
        <v>-1</v>
      </c>
      <c r="AM58" s="33">
        <f>MAX([2]Examen21!AM46,[2]Examen22!AM46,[2]Examen23!AM46)</f>
        <v>0</v>
      </c>
      <c r="AN58" s="32">
        <f t="shared" si="107"/>
        <v>-1</v>
      </c>
      <c r="AO58" s="33">
        <f>MAX([2]Examen21!AO46,[2]Examen22!AO46,[2]Examen23!AO46)</f>
        <v>0</v>
      </c>
      <c r="AP58" s="32">
        <f t="shared" si="108"/>
        <v>-1</v>
      </c>
      <c r="AQ58" s="33">
        <f>MAX([2]Examen21!AQ46,[2]Examen22!AQ46,[2]Examen23!AQ46)</f>
        <v>0</v>
      </c>
      <c r="AR58" s="32">
        <f t="shared" si="109"/>
        <v>-1</v>
      </c>
      <c r="AS58" s="33">
        <f>MAX([2]Examen21!AS46,[2]Examen22!AS46,[2]Examen23!AS46)</f>
        <v>0</v>
      </c>
      <c r="AT58" s="32">
        <f t="shared" si="110"/>
        <v>-1</v>
      </c>
      <c r="AU58" s="33">
        <f>MAX([2]Examen21!AU46,[2]Examen22!AU46,[2]Examen23!AU46)</f>
        <v>0</v>
      </c>
      <c r="AV58" s="32">
        <f t="shared" si="111"/>
        <v>-1</v>
      </c>
      <c r="AW58" s="33">
        <f>MAX([2]Examen21!AW46,[2]Examen22!AW46,[2]Examen23!AW46)</f>
        <v>0</v>
      </c>
      <c r="AX58" s="32">
        <f t="shared" si="112"/>
        <v>-1</v>
      </c>
      <c r="AY58" s="33">
        <f>MAX([2]Examen21!AY46,[2]Examen22!AY46,[2]Examen23!AY46)</f>
        <v>0</v>
      </c>
      <c r="AZ58" s="32">
        <f t="shared" si="113"/>
        <v>-1</v>
      </c>
      <c r="BA58" s="33">
        <f>MAX([2]Examen21!BA46,[2]Examen22!BA46,[2]Examen23!BA46)</f>
        <v>0</v>
      </c>
      <c r="BB58" s="32">
        <f t="shared" si="114"/>
        <v>-1</v>
      </c>
      <c r="BC58" s="33">
        <f>MAX([2]Examen21!BC46,[2]Examen22!BC46,[2]Examen23!BC46)</f>
        <v>0</v>
      </c>
      <c r="BD58" s="32">
        <f t="shared" si="115"/>
        <v>-1</v>
      </c>
      <c r="BE58" s="33">
        <f>MAX([2]Examen21!BE46,[2]Examen22!BE46,[2]Examen23!BE46)</f>
        <v>0</v>
      </c>
      <c r="BF58" s="32">
        <f t="shared" si="116"/>
        <v>-1</v>
      </c>
      <c r="BG58" s="33">
        <f>MAX([2]Examen21!BG46,[2]Examen22!BG46,[2]Examen23!BG46)</f>
        <v>0</v>
      </c>
      <c r="BH58" s="32">
        <f t="shared" si="117"/>
        <v>-1</v>
      </c>
      <c r="BI58" s="33">
        <f>MAX([2]Examen21!BI46,[2]Examen22!BI46,[2]Examen23!BI46)</f>
        <v>0</v>
      </c>
      <c r="BJ58" s="32">
        <f t="shared" si="118"/>
        <v>-1</v>
      </c>
    </row>
    <row r="59" spans="1:62" ht="19" customHeight="1" x14ac:dyDescent="0.2">
      <c r="A59" s="53" t="s">
        <v>84</v>
      </c>
      <c r="B59" s="53"/>
      <c r="C59" s="59">
        <f>SUM(C4,C7,C16,C38)</f>
        <v>5.2999999813735483</v>
      </c>
      <c r="D59" s="60"/>
      <c r="E59" s="59">
        <f t="shared" ref="E59" si="119">SUM(E4,E7,E16,E38)</f>
        <v>4.810000017285347</v>
      </c>
      <c r="F59" s="60"/>
      <c r="G59" s="59">
        <f t="shared" ref="G59" si="120">SUM(G4,G7,G16,G38)</f>
        <v>4.1750000417232513</v>
      </c>
      <c r="H59" s="60"/>
      <c r="I59" s="59">
        <f t="shared" ref="I59" si="121">SUM(I4,I7,I16,I38)</f>
        <v>4.7500000335276127</v>
      </c>
      <c r="J59" s="60"/>
      <c r="K59" s="59">
        <f t="shared" ref="K59" si="122">SUM(K4,K7,K16,K38)</f>
        <v>4.6200000405311581</v>
      </c>
      <c r="L59" s="60"/>
      <c r="M59" s="59">
        <f t="shared" ref="M59" si="123">SUM(M4,M7,M16,M38)</f>
        <v>4.0900000438094137</v>
      </c>
      <c r="N59" s="60"/>
      <c r="O59" s="59">
        <f t="shared" ref="O59" si="124">SUM(O4,O7,O16,O38)</f>
        <v>5.0700000159442427</v>
      </c>
      <c r="P59" s="60"/>
      <c r="Q59" s="59">
        <f t="shared" ref="Q59" si="125">SUM(Q4,Q7,Q16,Q38)</f>
        <v>4.2300000570714484</v>
      </c>
      <c r="R59" s="60"/>
      <c r="S59" s="59">
        <f t="shared" ref="S59" si="126">SUM(S4,S7,S16,S38)</f>
        <v>3.6300000153481964</v>
      </c>
      <c r="T59" s="60"/>
      <c r="U59" s="59">
        <f t="shared" ref="U59" si="127">SUM(U4,U7,U16,U38)</f>
        <v>4.5150000084191557</v>
      </c>
      <c r="V59" s="60"/>
      <c r="W59" s="59">
        <f t="shared" ref="W59" si="128">SUM(W4,W7,W16,W38)</f>
        <v>3.9050000011920933</v>
      </c>
      <c r="X59" s="60"/>
      <c r="Y59" s="59">
        <f t="shared" ref="Y59" si="129">SUM(Y4,Y7,Y16,Y38)</f>
        <v>4.9300000309944156</v>
      </c>
      <c r="Z59" s="60"/>
      <c r="AA59" s="59">
        <f t="shared" ref="AA59" si="130">SUM(AA4,AA7,AA16,AA38)</f>
        <v>4.8750000581145283</v>
      </c>
      <c r="AB59" s="60"/>
      <c r="AC59" s="59">
        <f t="shared" ref="AC59" si="131">SUM(AC4,AC7,AC16,AC38)</f>
        <v>4.0700000271201136</v>
      </c>
      <c r="AD59" s="60"/>
      <c r="AE59" s="59">
        <f t="shared" ref="AE59" si="132">SUM(AE4,AE7,AE16,AE38)</f>
        <v>4.8250000134110458</v>
      </c>
      <c r="AF59" s="60"/>
      <c r="AG59" s="59">
        <f t="shared" ref="AG59" si="133">SUM(AG4,AG7,AG16,AG38)</f>
        <v>4.2700000315904614</v>
      </c>
      <c r="AH59" s="60"/>
      <c r="AI59" s="59">
        <f t="shared" ref="AI59" si="134">SUM(AI4,AI7,AI16,AI38)</f>
        <v>3.8900000229477882</v>
      </c>
      <c r="AJ59" s="60"/>
      <c r="AK59" s="59">
        <f t="shared" ref="AK59" si="135">SUM(AK4,AK7,AK16,AK38)</f>
        <v>4.6150000363588335</v>
      </c>
      <c r="AL59" s="60"/>
      <c r="AM59" s="59">
        <f t="shared" ref="AM59" si="136">SUM(AM4,AM7,AM16,AM38)</f>
        <v>4.5200000524520876</v>
      </c>
      <c r="AN59" s="60"/>
      <c r="AO59" s="59">
        <f t="shared" ref="AO59" si="137">SUM(AO4,AO7,AO16,AO38)</f>
        <v>3.9800000339746475</v>
      </c>
      <c r="AP59" s="60"/>
      <c r="AQ59" s="59">
        <f t="shared" ref="AQ59" si="138">SUM(AQ4,AQ7,AQ16,AQ38)</f>
        <v>4.8500000596046444</v>
      </c>
      <c r="AR59" s="60"/>
      <c r="AS59" s="59">
        <f t="shared" ref="AS59" si="139">SUM(AS4,AS7,AS16,AS38)</f>
        <v>4.7450000420212746</v>
      </c>
      <c r="AT59" s="60"/>
      <c r="AU59" s="59">
        <f t="shared" ref="AU59" si="140">SUM(AU4,AU7,AU16,AU38)</f>
        <v>4.2300000399351116</v>
      </c>
      <c r="AV59" s="60"/>
      <c r="AW59" s="59">
        <f t="shared" ref="AW59" si="141">SUM(AW4,AW7,AW16,AW38)</f>
        <v>4.0000000245869165</v>
      </c>
      <c r="AX59" s="60"/>
      <c r="AY59" s="59">
        <f t="shared" ref="AY59" si="142">SUM(AY4,AY7,AY16,AY38)</f>
        <v>4.020000045001507</v>
      </c>
      <c r="AZ59" s="60"/>
      <c r="BA59" s="59">
        <f t="shared" ref="BA59" si="143">SUM(BA4,BA7,BA16,BA38)</f>
        <v>3.7950000278651714</v>
      </c>
      <c r="BB59" s="60"/>
      <c r="BC59" s="59">
        <f t="shared" ref="BC59" si="144">SUM(BC4,BC7,BC16,BC38)</f>
        <v>5.3800000533461567</v>
      </c>
      <c r="BD59" s="60"/>
      <c r="BE59" s="59">
        <f t="shared" ref="BE59" si="145">SUM(BE4,BE7,BE16,BE38)</f>
        <v>3.6699999969452621</v>
      </c>
      <c r="BF59" s="60"/>
      <c r="BG59" s="59">
        <f t="shared" ref="BG59" si="146">SUM(BG4,BG7,BG16,BG38)</f>
        <v>4.2700000196695331</v>
      </c>
      <c r="BH59" s="60"/>
      <c r="BI59" s="59">
        <f t="shared" ref="BI59" si="147">SUM(BI4,BI7,BI16,BI38)</f>
        <v>3.3400000289082525</v>
      </c>
      <c r="BJ59" s="60"/>
    </row>
    <row r="60" spans="1:62" ht="19" customHeight="1" x14ac:dyDescent="0.2">
      <c r="A60" s="54"/>
      <c r="B60" s="55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</row>
    <row r="61" spans="1:62" ht="19" customHeight="1" x14ac:dyDescent="0.2">
      <c r="A61" s="54"/>
      <c r="B61" s="55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</row>
  </sheetData>
  <sheetProtection algorithmName="SHA-512" hashValue="94TQ74iG9ZFaelMIiC7c6nP9HgLYAOYSP0x+6gJPIkYYoT+WumNMAQLR4SzdvezUkliEH7vL4GJ4599JijieaQ==" saltValue="ONjKOlGRx0GSfmgzC9EzGQ==" spinCount="100000" sheet="1" objects="1" scenarios="1"/>
  <mergeCells count="24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BI16:BJ16"/>
    <mergeCell ref="AM16:AN16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AI38:AJ38"/>
    <mergeCell ref="C16:D16"/>
    <mergeCell ref="E16:F16"/>
    <mergeCell ref="G16:H16"/>
    <mergeCell ref="I16:J16"/>
    <mergeCell ref="K16:L16"/>
    <mergeCell ref="M16:N16"/>
    <mergeCell ref="BE16:BF16"/>
    <mergeCell ref="BG16:BH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38:D38"/>
    <mergeCell ref="E38:F38"/>
    <mergeCell ref="G38:H38"/>
    <mergeCell ref="AG38:AH38"/>
    <mergeCell ref="I38:J38"/>
    <mergeCell ref="K38:L38"/>
    <mergeCell ref="M38:N38"/>
    <mergeCell ref="O38:P38"/>
    <mergeCell ref="Q38:R38"/>
    <mergeCell ref="S38:T38"/>
    <mergeCell ref="U38:V38"/>
    <mergeCell ref="W38:X38"/>
    <mergeCell ref="Y38:Z38"/>
    <mergeCell ref="S59:T61"/>
    <mergeCell ref="U59:V61"/>
    <mergeCell ref="C59:D61"/>
    <mergeCell ref="E59:F61"/>
    <mergeCell ref="G59:H61"/>
    <mergeCell ref="I59:J61"/>
    <mergeCell ref="BG59:BH61"/>
    <mergeCell ref="BI59:BJ61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K38:AL38"/>
    <mergeCell ref="AA38:AB38"/>
    <mergeCell ref="AC38:AD38"/>
    <mergeCell ref="AE38:AF38"/>
    <mergeCell ref="A1:A2"/>
    <mergeCell ref="A59:B61"/>
    <mergeCell ref="AU59:AV61"/>
    <mergeCell ref="AW59:AX61"/>
    <mergeCell ref="AY59:AZ61"/>
    <mergeCell ref="BA59:BB61"/>
    <mergeCell ref="BC59:BD61"/>
    <mergeCell ref="BE59:BF61"/>
    <mergeCell ref="AI59:AJ61"/>
    <mergeCell ref="AK59:AL61"/>
    <mergeCell ref="AM59:AN61"/>
    <mergeCell ref="AO59:AP61"/>
    <mergeCell ref="AQ59:AR61"/>
    <mergeCell ref="AS59:AT61"/>
    <mergeCell ref="W59:X61"/>
    <mergeCell ref="Y59:Z61"/>
    <mergeCell ref="AA59:AB61"/>
    <mergeCell ref="AC59:AD61"/>
    <mergeCell ref="AE59:AF61"/>
    <mergeCell ref="AG59:AH61"/>
    <mergeCell ref="K59:L61"/>
    <mergeCell ref="M59:N61"/>
    <mergeCell ref="O59:P61"/>
    <mergeCell ref="Q59:R61"/>
  </mergeCells>
  <conditionalFormatting sqref="C3 E3 G3 I3 K3 M3 O3 Q3 S3 U3 W3 Y3 AA3 AC3 AE3 AG3 AI3 AK3 AM3 AO3 AQ3 AS3 AU3 AW3 AY3 BA3 BC3 BE3 BG3 BI3">
    <cfRule type="cellIs" dxfId="38000" priority="4" stopIfTrue="1" operator="lessThan">
      <formula>5</formula>
    </cfRule>
    <cfRule type="cellIs" dxfId="37999" priority="5" operator="greaterThanOrEqual">
      <formula>5</formula>
    </cfRule>
  </conditionalFormatting>
  <conditionalFormatting sqref="D7">
    <cfRule type="cellIs" dxfId="37998" priority="3796" stopIfTrue="1" operator="equal">
      <formula>-1</formula>
    </cfRule>
  </conditionalFormatting>
  <conditionalFormatting sqref="D7">
    <cfRule type="cellIs" dxfId="37997" priority="3797" stopIfTrue="1" operator="lessThan">
      <formula>0.5</formula>
    </cfRule>
  </conditionalFormatting>
  <conditionalFormatting sqref="D7">
    <cfRule type="cellIs" dxfId="37996" priority="3798" stopIfTrue="1" operator="greaterThanOrEqual">
      <formula>0.5</formula>
    </cfRule>
  </conditionalFormatting>
  <conditionalFormatting sqref="D16">
    <cfRule type="cellIs" dxfId="37995" priority="3823" stopIfTrue="1" operator="equal">
      <formula>-1</formula>
    </cfRule>
  </conditionalFormatting>
  <conditionalFormatting sqref="D16">
    <cfRule type="cellIs" dxfId="37994" priority="3824" stopIfTrue="1" operator="lessThan">
      <formula>0.5</formula>
    </cfRule>
  </conditionalFormatting>
  <conditionalFormatting sqref="D16">
    <cfRule type="cellIs" dxfId="37993" priority="3825" stopIfTrue="1" operator="greaterThanOrEqual">
      <formula>0.5</formula>
    </cfRule>
  </conditionalFormatting>
  <conditionalFormatting sqref="F7">
    <cfRule type="cellIs" dxfId="37992" priority="3859" stopIfTrue="1" operator="equal">
      <formula>-1</formula>
    </cfRule>
  </conditionalFormatting>
  <conditionalFormatting sqref="F7">
    <cfRule type="cellIs" dxfId="37991" priority="3860" stopIfTrue="1" operator="lessThan">
      <formula>0.5</formula>
    </cfRule>
  </conditionalFormatting>
  <conditionalFormatting sqref="F7">
    <cfRule type="cellIs" dxfId="37990" priority="3861" stopIfTrue="1" operator="greaterThanOrEqual">
      <formula>0.5</formula>
    </cfRule>
  </conditionalFormatting>
  <conditionalFormatting sqref="F16">
    <cfRule type="cellIs" dxfId="37989" priority="3886" stopIfTrue="1" operator="equal">
      <formula>-1</formula>
    </cfRule>
  </conditionalFormatting>
  <conditionalFormatting sqref="F16">
    <cfRule type="cellIs" dxfId="37988" priority="3887" stopIfTrue="1" operator="lessThan">
      <formula>0.5</formula>
    </cfRule>
  </conditionalFormatting>
  <conditionalFormatting sqref="F16">
    <cfRule type="cellIs" dxfId="37987" priority="3888" stopIfTrue="1" operator="greaterThanOrEqual">
      <formula>0.5</formula>
    </cfRule>
  </conditionalFormatting>
  <conditionalFormatting sqref="H7">
    <cfRule type="cellIs" dxfId="37986" priority="3922" stopIfTrue="1" operator="equal">
      <formula>-1</formula>
    </cfRule>
  </conditionalFormatting>
  <conditionalFormatting sqref="H7">
    <cfRule type="cellIs" dxfId="37985" priority="3923" stopIfTrue="1" operator="lessThan">
      <formula>0.5</formula>
    </cfRule>
  </conditionalFormatting>
  <conditionalFormatting sqref="H7">
    <cfRule type="cellIs" dxfId="37984" priority="3924" stopIfTrue="1" operator="greaterThanOrEqual">
      <formula>0.5</formula>
    </cfRule>
  </conditionalFormatting>
  <conditionalFormatting sqref="H16">
    <cfRule type="cellIs" dxfId="37983" priority="3949" stopIfTrue="1" operator="equal">
      <formula>-1</formula>
    </cfRule>
  </conditionalFormatting>
  <conditionalFormatting sqref="H16">
    <cfRule type="cellIs" dxfId="37982" priority="3950" stopIfTrue="1" operator="lessThan">
      <formula>0.5</formula>
    </cfRule>
  </conditionalFormatting>
  <conditionalFormatting sqref="H16">
    <cfRule type="cellIs" dxfId="37981" priority="3951" stopIfTrue="1" operator="greaterThanOrEqual">
      <formula>0.5</formula>
    </cfRule>
  </conditionalFormatting>
  <conditionalFormatting sqref="J7">
    <cfRule type="cellIs" dxfId="37980" priority="3985" stopIfTrue="1" operator="equal">
      <formula>-1</formula>
    </cfRule>
  </conditionalFormatting>
  <conditionalFormatting sqref="J7">
    <cfRule type="cellIs" dxfId="37979" priority="3986" stopIfTrue="1" operator="lessThan">
      <formula>0.5</formula>
    </cfRule>
  </conditionalFormatting>
  <conditionalFormatting sqref="J7">
    <cfRule type="cellIs" dxfId="37978" priority="3987" stopIfTrue="1" operator="greaterThanOrEqual">
      <formula>0.5</formula>
    </cfRule>
  </conditionalFormatting>
  <conditionalFormatting sqref="J16">
    <cfRule type="cellIs" dxfId="37977" priority="4012" stopIfTrue="1" operator="equal">
      <formula>-1</formula>
    </cfRule>
  </conditionalFormatting>
  <conditionalFormatting sqref="J16">
    <cfRule type="cellIs" dxfId="37976" priority="4013" stopIfTrue="1" operator="lessThan">
      <formula>0.5</formula>
    </cfRule>
  </conditionalFormatting>
  <conditionalFormatting sqref="J16">
    <cfRule type="cellIs" dxfId="37975" priority="4014" stopIfTrue="1" operator="greaterThanOrEqual">
      <formula>0.5</formula>
    </cfRule>
  </conditionalFormatting>
  <conditionalFormatting sqref="L7">
    <cfRule type="cellIs" dxfId="37974" priority="4048" stopIfTrue="1" operator="equal">
      <formula>-1</formula>
    </cfRule>
  </conditionalFormatting>
  <conditionalFormatting sqref="L7">
    <cfRule type="cellIs" dxfId="37973" priority="4049" stopIfTrue="1" operator="lessThan">
      <formula>0.5</formula>
    </cfRule>
  </conditionalFormatting>
  <conditionalFormatting sqref="L7">
    <cfRule type="cellIs" dxfId="37972" priority="4050" stopIfTrue="1" operator="greaterThanOrEqual">
      <formula>0.5</formula>
    </cfRule>
  </conditionalFormatting>
  <conditionalFormatting sqref="L16">
    <cfRule type="cellIs" dxfId="37971" priority="4075" stopIfTrue="1" operator="equal">
      <formula>-1</formula>
    </cfRule>
  </conditionalFormatting>
  <conditionalFormatting sqref="L16">
    <cfRule type="cellIs" dxfId="37970" priority="4076" stopIfTrue="1" operator="lessThan">
      <formula>0.5</formula>
    </cfRule>
  </conditionalFormatting>
  <conditionalFormatting sqref="L16">
    <cfRule type="cellIs" dxfId="37969" priority="4077" stopIfTrue="1" operator="greaterThanOrEqual">
      <formula>0.5</formula>
    </cfRule>
  </conditionalFormatting>
  <conditionalFormatting sqref="N7">
    <cfRule type="cellIs" dxfId="37968" priority="4111" stopIfTrue="1" operator="equal">
      <formula>-1</formula>
    </cfRule>
  </conditionalFormatting>
  <conditionalFormatting sqref="N7">
    <cfRule type="cellIs" dxfId="37967" priority="4112" stopIfTrue="1" operator="lessThan">
      <formula>0.5</formula>
    </cfRule>
  </conditionalFormatting>
  <conditionalFormatting sqref="N7">
    <cfRule type="cellIs" dxfId="37966" priority="4113" stopIfTrue="1" operator="greaterThanOrEqual">
      <formula>0.5</formula>
    </cfRule>
  </conditionalFormatting>
  <conditionalFormatting sqref="N16">
    <cfRule type="cellIs" dxfId="37965" priority="4138" stopIfTrue="1" operator="equal">
      <formula>-1</formula>
    </cfRule>
  </conditionalFormatting>
  <conditionalFormatting sqref="N16">
    <cfRule type="cellIs" dxfId="37964" priority="4139" stopIfTrue="1" operator="lessThan">
      <formula>0.5</formula>
    </cfRule>
  </conditionalFormatting>
  <conditionalFormatting sqref="N16">
    <cfRule type="cellIs" dxfId="37963" priority="4140" stopIfTrue="1" operator="greaterThanOrEqual">
      <formula>0.5</formula>
    </cfRule>
  </conditionalFormatting>
  <conditionalFormatting sqref="P7">
    <cfRule type="cellIs" dxfId="37962" priority="4174" stopIfTrue="1" operator="equal">
      <formula>-1</formula>
    </cfRule>
  </conditionalFormatting>
  <conditionalFormatting sqref="P7">
    <cfRule type="cellIs" dxfId="37961" priority="4175" stopIfTrue="1" operator="lessThan">
      <formula>0.5</formula>
    </cfRule>
  </conditionalFormatting>
  <conditionalFormatting sqref="P7">
    <cfRule type="cellIs" dxfId="37960" priority="4176" stopIfTrue="1" operator="greaterThanOrEqual">
      <formula>0.5</formula>
    </cfRule>
  </conditionalFormatting>
  <conditionalFormatting sqref="P16">
    <cfRule type="cellIs" dxfId="37959" priority="4201" stopIfTrue="1" operator="equal">
      <formula>-1</formula>
    </cfRule>
  </conditionalFormatting>
  <conditionalFormatting sqref="P16">
    <cfRule type="cellIs" dxfId="37958" priority="4202" stopIfTrue="1" operator="lessThan">
      <formula>0.5</formula>
    </cfRule>
  </conditionalFormatting>
  <conditionalFormatting sqref="P16">
    <cfRule type="cellIs" dxfId="37957" priority="4203" stopIfTrue="1" operator="greaterThanOrEqual">
      <formula>0.5</formula>
    </cfRule>
  </conditionalFormatting>
  <conditionalFormatting sqref="R7">
    <cfRule type="cellIs" dxfId="37956" priority="4237" stopIfTrue="1" operator="equal">
      <formula>-1</formula>
    </cfRule>
  </conditionalFormatting>
  <conditionalFormatting sqref="R7">
    <cfRule type="cellIs" dxfId="37955" priority="4238" stopIfTrue="1" operator="lessThan">
      <formula>0.5</formula>
    </cfRule>
  </conditionalFormatting>
  <conditionalFormatting sqref="R7">
    <cfRule type="cellIs" dxfId="37954" priority="4239" stopIfTrue="1" operator="greaterThanOrEqual">
      <formula>0.5</formula>
    </cfRule>
  </conditionalFormatting>
  <conditionalFormatting sqref="R16">
    <cfRule type="cellIs" dxfId="37953" priority="4264" stopIfTrue="1" operator="equal">
      <formula>-1</formula>
    </cfRule>
  </conditionalFormatting>
  <conditionalFormatting sqref="R16">
    <cfRule type="cellIs" dxfId="37952" priority="4265" stopIfTrue="1" operator="lessThan">
      <formula>0.5</formula>
    </cfRule>
  </conditionalFormatting>
  <conditionalFormatting sqref="R16">
    <cfRule type="cellIs" dxfId="37951" priority="4266" stopIfTrue="1" operator="greaterThanOrEqual">
      <formula>0.5</formula>
    </cfRule>
  </conditionalFormatting>
  <conditionalFormatting sqref="T7">
    <cfRule type="cellIs" dxfId="37950" priority="4300" stopIfTrue="1" operator="equal">
      <formula>-1</formula>
    </cfRule>
  </conditionalFormatting>
  <conditionalFormatting sqref="T7">
    <cfRule type="cellIs" dxfId="37949" priority="4301" stopIfTrue="1" operator="lessThan">
      <formula>0.5</formula>
    </cfRule>
  </conditionalFormatting>
  <conditionalFormatting sqref="T7">
    <cfRule type="cellIs" dxfId="37948" priority="4302" stopIfTrue="1" operator="greaterThanOrEqual">
      <formula>0.5</formula>
    </cfRule>
  </conditionalFormatting>
  <conditionalFormatting sqref="T16">
    <cfRule type="cellIs" dxfId="37947" priority="4327" stopIfTrue="1" operator="equal">
      <formula>-1</formula>
    </cfRule>
  </conditionalFormatting>
  <conditionalFormatting sqref="T16">
    <cfRule type="cellIs" dxfId="37946" priority="4328" stopIfTrue="1" operator="lessThan">
      <formula>0.5</formula>
    </cfRule>
  </conditionalFormatting>
  <conditionalFormatting sqref="T16">
    <cfRule type="cellIs" dxfId="37945" priority="4329" stopIfTrue="1" operator="greaterThanOrEqual">
      <formula>0.5</formula>
    </cfRule>
  </conditionalFormatting>
  <conditionalFormatting sqref="V7">
    <cfRule type="cellIs" dxfId="37944" priority="4363" stopIfTrue="1" operator="equal">
      <formula>-1</formula>
    </cfRule>
  </conditionalFormatting>
  <conditionalFormatting sqref="V7">
    <cfRule type="cellIs" dxfId="37943" priority="4364" stopIfTrue="1" operator="lessThan">
      <formula>0.5</formula>
    </cfRule>
  </conditionalFormatting>
  <conditionalFormatting sqref="V7">
    <cfRule type="cellIs" dxfId="37942" priority="4365" stopIfTrue="1" operator="greaterThanOrEqual">
      <formula>0.5</formula>
    </cfRule>
  </conditionalFormatting>
  <conditionalFormatting sqref="V16">
    <cfRule type="cellIs" dxfId="37941" priority="4390" stopIfTrue="1" operator="equal">
      <formula>-1</formula>
    </cfRule>
  </conditionalFormatting>
  <conditionalFormatting sqref="V16">
    <cfRule type="cellIs" dxfId="37940" priority="4391" stopIfTrue="1" operator="lessThan">
      <formula>0.5</formula>
    </cfRule>
  </conditionalFormatting>
  <conditionalFormatting sqref="V16">
    <cfRule type="cellIs" dxfId="37939" priority="4392" stopIfTrue="1" operator="greaterThanOrEqual">
      <formula>0.5</formula>
    </cfRule>
  </conditionalFormatting>
  <conditionalFormatting sqref="X7">
    <cfRule type="cellIs" dxfId="37938" priority="4426" stopIfTrue="1" operator="equal">
      <formula>-1</formula>
    </cfRule>
  </conditionalFormatting>
  <conditionalFormatting sqref="X7">
    <cfRule type="cellIs" dxfId="37937" priority="4427" stopIfTrue="1" operator="lessThan">
      <formula>0.5</formula>
    </cfRule>
  </conditionalFormatting>
  <conditionalFormatting sqref="X7">
    <cfRule type="cellIs" dxfId="37936" priority="4428" stopIfTrue="1" operator="greaterThanOrEqual">
      <formula>0.5</formula>
    </cfRule>
  </conditionalFormatting>
  <conditionalFormatting sqref="X16">
    <cfRule type="cellIs" dxfId="37935" priority="4453" stopIfTrue="1" operator="equal">
      <formula>-1</formula>
    </cfRule>
  </conditionalFormatting>
  <conditionalFormatting sqref="X16">
    <cfRule type="cellIs" dxfId="37934" priority="4454" stopIfTrue="1" operator="lessThan">
      <formula>0.5</formula>
    </cfRule>
  </conditionalFormatting>
  <conditionalFormatting sqref="X16">
    <cfRule type="cellIs" dxfId="37933" priority="4455" stopIfTrue="1" operator="greaterThanOrEqual">
      <formula>0.5</formula>
    </cfRule>
  </conditionalFormatting>
  <conditionalFormatting sqref="Z7">
    <cfRule type="cellIs" dxfId="37932" priority="4489" stopIfTrue="1" operator="equal">
      <formula>-1</formula>
    </cfRule>
  </conditionalFormatting>
  <conditionalFormatting sqref="Z7">
    <cfRule type="cellIs" dxfId="37931" priority="4490" stopIfTrue="1" operator="lessThan">
      <formula>0.5</formula>
    </cfRule>
  </conditionalFormatting>
  <conditionalFormatting sqref="Z7">
    <cfRule type="cellIs" dxfId="37930" priority="4491" stopIfTrue="1" operator="greaterThanOrEqual">
      <formula>0.5</formula>
    </cfRule>
  </conditionalFormatting>
  <conditionalFormatting sqref="Z16">
    <cfRule type="cellIs" dxfId="37929" priority="4516" stopIfTrue="1" operator="equal">
      <formula>-1</formula>
    </cfRule>
  </conditionalFormatting>
  <conditionalFormatting sqref="Z16">
    <cfRule type="cellIs" dxfId="37928" priority="4517" stopIfTrue="1" operator="lessThan">
      <formula>0.5</formula>
    </cfRule>
  </conditionalFormatting>
  <conditionalFormatting sqref="Z16">
    <cfRule type="cellIs" dxfId="37927" priority="4518" stopIfTrue="1" operator="greaterThanOrEqual">
      <formula>0.5</formula>
    </cfRule>
  </conditionalFormatting>
  <conditionalFormatting sqref="AB7">
    <cfRule type="cellIs" dxfId="37926" priority="4552" stopIfTrue="1" operator="equal">
      <formula>-1</formula>
    </cfRule>
  </conditionalFormatting>
  <conditionalFormatting sqref="AB7">
    <cfRule type="cellIs" dxfId="37925" priority="4553" stopIfTrue="1" operator="lessThan">
      <formula>0.5</formula>
    </cfRule>
  </conditionalFormatting>
  <conditionalFormatting sqref="AB7">
    <cfRule type="cellIs" dxfId="37924" priority="4554" stopIfTrue="1" operator="greaterThanOrEqual">
      <formula>0.5</formula>
    </cfRule>
  </conditionalFormatting>
  <conditionalFormatting sqref="AB16">
    <cfRule type="cellIs" dxfId="37923" priority="4579" stopIfTrue="1" operator="equal">
      <formula>-1</formula>
    </cfRule>
  </conditionalFormatting>
  <conditionalFormatting sqref="AB16">
    <cfRule type="cellIs" dxfId="37922" priority="4580" stopIfTrue="1" operator="lessThan">
      <formula>0.5</formula>
    </cfRule>
  </conditionalFormatting>
  <conditionalFormatting sqref="AB16">
    <cfRule type="cellIs" dxfId="37921" priority="4581" stopIfTrue="1" operator="greaterThanOrEqual">
      <formula>0.5</formula>
    </cfRule>
  </conditionalFormatting>
  <conditionalFormatting sqref="AD7">
    <cfRule type="cellIs" dxfId="37920" priority="4615" stopIfTrue="1" operator="equal">
      <formula>-1</formula>
    </cfRule>
  </conditionalFormatting>
  <conditionalFormatting sqref="AD7">
    <cfRule type="cellIs" dxfId="37919" priority="4616" stopIfTrue="1" operator="lessThan">
      <formula>0.5</formula>
    </cfRule>
  </conditionalFormatting>
  <conditionalFormatting sqref="AD7">
    <cfRule type="cellIs" dxfId="37918" priority="4617" stopIfTrue="1" operator="greaterThanOrEqual">
      <formula>0.5</formula>
    </cfRule>
  </conditionalFormatting>
  <conditionalFormatting sqref="AD16">
    <cfRule type="cellIs" dxfId="37917" priority="4642" stopIfTrue="1" operator="equal">
      <formula>-1</formula>
    </cfRule>
  </conditionalFormatting>
  <conditionalFormatting sqref="AD16">
    <cfRule type="cellIs" dxfId="37916" priority="4643" stopIfTrue="1" operator="lessThan">
      <formula>0.5</formula>
    </cfRule>
  </conditionalFormatting>
  <conditionalFormatting sqref="AD16">
    <cfRule type="cellIs" dxfId="37915" priority="4644" stopIfTrue="1" operator="greaterThanOrEqual">
      <formula>0.5</formula>
    </cfRule>
  </conditionalFormatting>
  <conditionalFormatting sqref="AF7">
    <cfRule type="cellIs" dxfId="37914" priority="4678" stopIfTrue="1" operator="equal">
      <formula>-1</formula>
    </cfRule>
  </conditionalFormatting>
  <conditionalFormatting sqref="AF7">
    <cfRule type="cellIs" dxfId="37913" priority="4679" stopIfTrue="1" operator="lessThan">
      <formula>0.5</formula>
    </cfRule>
  </conditionalFormatting>
  <conditionalFormatting sqref="AF7">
    <cfRule type="cellIs" dxfId="37912" priority="4680" stopIfTrue="1" operator="greaterThanOrEqual">
      <formula>0.5</formula>
    </cfRule>
  </conditionalFormatting>
  <conditionalFormatting sqref="AF16">
    <cfRule type="cellIs" dxfId="37911" priority="4705" stopIfTrue="1" operator="equal">
      <formula>-1</formula>
    </cfRule>
  </conditionalFormatting>
  <conditionalFormatting sqref="AF16">
    <cfRule type="cellIs" dxfId="37910" priority="4706" stopIfTrue="1" operator="lessThan">
      <formula>0.5</formula>
    </cfRule>
  </conditionalFormatting>
  <conditionalFormatting sqref="AF16">
    <cfRule type="cellIs" dxfId="37909" priority="4707" stopIfTrue="1" operator="greaterThanOrEqual">
      <formula>0.5</formula>
    </cfRule>
  </conditionalFormatting>
  <conditionalFormatting sqref="AH7">
    <cfRule type="cellIs" dxfId="37908" priority="4741" stopIfTrue="1" operator="equal">
      <formula>-1</formula>
    </cfRule>
  </conditionalFormatting>
  <conditionalFormatting sqref="AH7">
    <cfRule type="cellIs" dxfId="37907" priority="4742" stopIfTrue="1" operator="lessThan">
      <formula>0.5</formula>
    </cfRule>
  </conditionalFormatting>
  <conditionalFormatting sqref="AH7">
    <cfRule type="cellIs" dxfId="37906" priority="4743" stopIfTrue="1" operator="greaterThanOrEqual">
      <formula>0.5</formula>
    </cfRule>
  </conditionalFormatting>
  <conditionalFormatting sqref="AH16">
    <cfRule type="cellIs" dxfId="37905" priority="4768" stopIfTrue="1" operator="equal">
      <formula>-1</formula>
    </cfRule>
  </conditionalFormatting>
  <conditionalFormatting sqref="AH16">
    <cfRule type="cellIs" dxfId="37904" priority="4769" stopIfTrue="1" operator="lessThan">
      <formula>0.5</formula>
    </cfRule>
  </conditionalFormatting>
  <conditionalFormatting sqref="AH16">
    <cfRule type="cellIs" dxfId="37903" priority="4770" stopIfTrue="1" operator="greaterThanOrEqual">
      <formula>0.5</formula>
    </cfRule>
  </conditionalFormatting>
  <conditionalFormatting sqref="AJ7">
    <cfRule type="cellIs" dxfId="37902" priority="4804" stopIfTrue="1" operator="equal">
      <formula>-1</formula>
    </cfRule>
  </conditionalFormatting>
  <conditionalFormatting sqref="AJ7">
    <cfRule type="cellIs" dxfId="37901" priority="4805" stopIfTrue="1" operator="lessThan">
      <formula>0.5</formula>
    </cfRule>
  </conditionalFormatting>
  <conditionalFormatting sqref="AJ7">
    <cfRule type="cellIs" dxfId="37900" priority="4806" stopIfTrue="1" operator="greaterThanOrEqual">
      <formula>0.5</formula>
    </cfRule>
  </conditionalFormatting>
  <conditionalFormatting sqref="AJ16">
    <cfRule type="cellIs" dxfId="37899" priority="4831" stopIfTrue="1" operator="equal">
      <formula>-1</formula>
    </cfRule>
  </conditionalFormatting>
  <conditionalFormatting sqref="AJ16">
    <cfRule type="cellIs" dxfId="37898" priority="4832" stopIfTrue="1" operator="lessThan">
      <formula>0.5</formula>
    </cfRule>
  </conditionalFormatting>
  <conditionalFormatting sqref="AJ16">
    <cfRule type="cellIs" dxfId="37897" priority="4833" stopIfTrue="1" operator="greaterThanOrEqual">
      <formula>0.5</formula>
    </cfRule>
  </conditionalFormatting>
  <conditionalFormatting sqref="AL7">
    <cfRule type="cellIs" dxfId="37896" priority="4867" stopIfTrue="1" operator="equal">
      <formula>-1</formula>
    </cfRule>
  </conditionalFormatting>
  <conditionalFormatting sqref="AL7">
    <cfRule type="cellIs" dxfId="37895" priority="4868" stopIfTrue="1" operator="lessThan">
      <formula>0.5</formula>
    </cfRule>
  </conditionalFormatting>
  <conditionalFormatting sqref="AL7">
    <cfRule type="cellIs" dxfId="37894" priority="4869" stopIfTrue="1" operator="greaterThanOrEqual">
      <formula>0.5</formula>
    </cfRule>
  </conditionalFormatting>
  <conditionalFormatting sqref="AL16">
    <cfRule type="cellIs" dxfId="37893" priority="4894" stopIfTrue="1" operator="equal">
      <formula>-1</formula>
    </cfRule>
  </conditionalFormatting>
  <conditionalFormatting sqref="AL16">
    <cfRule type="cellIs" dxfId="37892" priority="4895" stopIfTrue="1" operator="lessThan">
      <formula>0.5</formula>
    </cfRule>
  </conditionalFormatting>
  <conditionalFormatting sqref="AL16">
    <cfRule type="cellIs" dxfId="37891" priority="4896" stopIfTrue="1" operator="greaterThanOrEqual">
      <formula>0.5</formula>
    </cfRule>
  </conditionalFormatting>
  <conditionalFormatting sqref="AN7">
    <cfRule type="cellIs" dxfId="37890" priority="4930" stopIfTrue="1" operator="equal">
      <formula>-1</formula>
    </cfRule>
  </conditionalFormatting>
  <conditionalFormatting sqref="AN7">
    <cfRule type="cellIs" dxfId="37889" priority="4931" stopIfTrue="1" operator="lessThan">
      <formula>0.5</formula>
    </cfRule>
  </conditionalFormatting>
  <conditionalFormatting sqref="AN7">
    <cfRule type="cellIs" dxfId="37888" priority="4932" stopIfTrue="1" operator="greaterThanOrEqual">
      <formula>0.5</formula>
    </cfRule>
  </conditionalFormatting>
  <conditionalFormatting sqref="AN16">
    <cfRule type="cellIs" dxfId="37887" priority="4957" stopIfTrue="1" operator="equal">
      <formula>-1</formula>
    </cfRule>
  </conditionalFormatting>
  <conditionalFormatting sqref="AN16">
    <cfRule type="cellIs" dxfId="37886" priority="4958" stopIfTrue="1" operator="lessThan">
      <formula>0.5</formula>
    </cfRule>
  </conditionalFormatting>
  <conditionalFormatting sqref="AN16">
    <cfRule type="cellIs" dxfId="37885" priority="4959" stopIfTrue="1" operator="greaterThanOrEqual">
      <formula>0.5</formula>
    </cfRule>
  </conditionalFormatting>
  <conditionalFormatting sqref="AP7">
    <cfRule type="cellIs" dxfId="37884" priority="4993" stopIfTrue="1" operator="equal">
      <formula>-1</formula>
    </cfRule>
  </conditionalFormatting>
  <conditionalFormatting sqref="AP7">
    <cfRule type="cellIs" dxfId="37883" priority="4994" stopIfTrue="1" operator="lessThan">
      <formula>0.5</formula>
    </cfRule>
  </conditionalFormatting>
  <conditionalFormatting sqref="AP7">
    <cfRule type="cellIs" dxfId="37882" priority="4995" stopIfTrue="1" operator="greaterThanOrEqual">
      <formula>0.5</formula>
    </cfRule>
  </conditionalFormatting>
  <conditionalFormatting sqref="AP16">
    <cfRule type="cellIs" dxfId="37881" priority="5020" stopIfTrue="1" operator="equal">
      <formula>-1</formula>
    </cfRule>
  </conditionalFormatting>
  <conditionalFormatting sqref="AP16">
    <cfRule type="cellIs" dxfId="37880" priority="5021" stopIfTrue="1" operator="lessThan">
      <formula>0.5</formula>
    </cfRule>
  </conditionalFormatting>
  <conditionalFormatting sqref="AP16">
    <cfRule type="cellIs" dxfId="37879" priority="5022" stopIfTrue="1" operator="greaterThanOrEqual">
      <formula>0.5</formula>
    </cfRule>
  </conditionalFormatting>
  <conditionalFormatting sqref="AR7">
    <cfRule type="cellIs" dxfId="37878" priority="5056" stopIfTrue="1" operator="equal">
      <formula>-1</formula>
    </cfRule>
  </conditionalFormatting>
  <conditionalFormatting sqref="AR7">
    <cfRule type="cellIs" dxfId="37877" priority="5057" stopIfTrue="1" operator="lessThan">
      <formula>0.5</formula>
    </cfRule>
  </conditionalFormatting>
  <conditionalFormatting sqref="AR7">
    <cfRule type="cellIs" dxfId="37876" priority="5058" stopIfTrue="1" operator="greaterThanOrEqual">
      <formula>0.5</formula>
    </cfRule>
  </conditionalFormatting>
  <conditionalFormatting sqref="AR16">
    <cfRule type="cellIs" dxfId="37875" priority="5083" stopIfTrue="1" operator="equal">
      <formula>-1</formula>
    </cfRule>
  </conditionalFormatting>
  <conditionalFormatting sqref="AR16">
    <cfRule type="cellIs" dxfId="37874" priority="5084" stopIfTrue="1" operator="lessThan">
      <formula>0.5</formula>
    </cfRule>
  </conditionalFormatting>
  <conditionalFormatting sqref="AR16">
    <cfRule type="cellIs" dxfId="37873" priority="5085" stopIfTrue="1" operator="greaterThanOrEqual">
      <formula>0.5</formula>
    </cfRule>
  </conditionalFormatting>
  <conditionalFormatting sqref="AT7">
    <cfRule type="cellIs" dxfId="37872" priority="5119" stopIfTrue="1" operator="equal">
      <formula>-1</formula>
    </cfRule>
  </conditionalFormatting>
  <conditionalFormatting sqref="AT7">
    <cfRule type="cellIs" dxfId="37871" priority="5120" stopIfTrue="1" operator="lessThan">
      <formula>0.5</formula>
    </cfRule>
  </conditionalFormatting>
  <conditionalFormatting sqref="AT7">
    <cfRule type="cellIs" dxfId="37870" priority="5121" stopIfTrue="1" operator="greaterThanOrEqual">
      <formula>0.5</formula>
    </cfRule>
  </conditionalFormatting>
  <conditionalFormatting sqref="AT16">
    <cfRule type="cellIs" dxfId="37869" priority="5146" stopIfTrue="1" operator="equal">
      <formula>-1</formula>
    </cfRule>
  </conditionalFormatting>
  <conditionalFormatting sqref="AT16">
    <cfRule type="cellIs" dxfId="37868" priority="5147" stopIfTrue="1" operator="lessThan">
      <formula>0.5</formula>
    </cfRule>
  </conditionalFormatting>
  <conditionalFormatting sqref="AT16">
    <cfRule type="cellIs" dxfId="37867" priority="5148" stopIfTrue="1" operator="greaterThanOrEqual">
      <formula>0.5</formula>
    </cfRule>
  </conditionalFormatting>
  <conditionalFormatting sqref="AV7">
    <cfRule type="cellIs" dxfId="37866" priority="5182" stopIfTrue="1" operator="equal">
      <formula>-1</formula>
    </cfRule>
  </conditionalFormatting>
  <conditionalFormatting sqref="AV7">
    <cfRule type="cellIs" dxfId="37865" priority="5183" stopIfTrue="1" operator="lessThan">
      <formula>0.5</formula>
    </cfRule>
  </conditionalFormatting>
  <conditionalFormatting sqref="AV7">
    <cfRule type="cellIs" dxfId="37864" priority="5184" stopIfTrue="1" operator="greaterThanOrEqual">
      <formula>0.5</formula>
    </cfRule>
  </conditionalFormatting>
  <conditionalFormatting sqref="AV16">
    <cfRule type="cellIs" dxfId="37863" priority="5209" stopIfTrue="1" operator="equal">
      <formula>-1</formula>
    </cfRule>
  </conditionalFormatting>
  <conditionalFormatting sqref="AV16">
    <cfRule type="cellIs" dxfId="37862" priority="5210" stopIfTrue="1" operator="lessThan">
      <formula>0.5</formula>
    </cfRule>
  </conditionalFormatting>
  <conditionalFormatting sqref="AV16">
    <cfRule type="cellIs" dxfId="37861" priority="5211" stopIfTrue="1" operator="greaterThanOrEqual">
      <formula>0.5</formula>
    </cfRule>
  </conditionalFormatting>
  <conditionalFormatting sqref="AX7">
    <cfRule type="cellIs" dxfId="37860" priority="5245" stopIfTrue="1" operator="equal">
      <formula>-1</formula>
    </cfRule>
  </conditionalFormatting>
  <conditionalFormatting sqref="AX7">
    <cfRule type="cellIs" dxfId="37859" priority="5246" stopIfTrue="1" operator="lessThan">
      <formula>0.5</formula>
    </cfRule>
  </conditionalFormatting>
  <conditionalFormatting sqref="AX7">
    <cfRule type="cellIs" dxfId="37858" priority="5247" stopIfTrue="1" operator="greaterThanOrEqual">
      <formula>0.5</formula>
    </cfRule>
  </conditionalFormatting>
  <conditionalFormatting sqref="AX16">
    <cfRule type="cellIs" dxfId="37857" priority="5272" stopIfTrue="1" operator="equal">
      <formula>-1</formula>
    </cfRule>
  </conditionalFormatting>
  <conditionalFormatting sqref="AX16">
    <cfRule type="cellIs" dxfId="37856" priority="5273" stopIfTrue="1" operator="lessThan">
      <formula>0.5</formula>
    </cfRule>
  </conditionalFormatting>
  <conditionalFormatting sqref="AX16">
    <cfRule type="cellIs" dxfId="37855" priority="5274" stopIfTrue="1" operator="greaterThanOrEqual">
      <formula>0.5</formula>
    </cfRule>
  </conditionalFormatting>
  <conditionalFormatting sqref="AZ7">
    <cfRule type="cellIs" dxfId="37854" priority="5308" stopIfTrue="1" operator="equal">
      <formula>-1</formula>
    </cfRule>
  </conditionalFormatting>
  <conditionalFormatting sqref="AZ7">
    <cfRule type="cellIs" dxfId="37853" priority="5309" stopIfTrue="1" operator="lessThan">
      <formula>0.5</formula>
    </cfRule>
  </conditionalFormatting>
  <conditionalFormatting sqref="AZ7">
    <cfRule type="cellIs" dxfId="37852" priority="5310" stopIfTrue="1" operator="greaterThanOrEqual">
      <formula>0.5</formula>
    </cfRule>
  </conditionalFormatting>
  <conditionalFormatting sqref="AZ16">
    <cfRule type="cellIs" dxfId="37851" priority="5335" stopIfTrue="1" operator="equal">
      <formula>-1</formula>
    </cfRule>
  </conditionalFormatting>
  <conditionalFormatting sqref="AZ16">
    <cfRule type="cellIs" dxfId="37850" priority="5336" stopIfTrue="1" operator="lessThan">
      <formula>0.5</formula>
    </cfRule>
  </conditionalFormatting>
  <conditionalFormatting sqref="AZ16">
    <cfRule type="cellIs" dxfId="37849" priority="5337" stopIfTrue="1" operator="greaterThanOrEqual">
      <formula>0.5</formula>
    </cfRule>
  </conditionalFormatting>
  <conditionalFormatting sqref="BB7">
    <cfRule type="cellIs" dxfId="37848" priority="5371" stopIfTrue="1" operator="equal">
      <formula>-1</formula>
    </cfRule>
  </conditionalFormatting>
  <conditionalFormatting sqref="BB7">
    <cfRule type="cellIs" dxfId="37847" priority="5372" stopIfTrue="1" operator="lessThan">
      <formula>0.5</formula>
    </cfRule>
  </conditionalFormatting>
  <conditionalFormatting sqref="BB7">
    <cfRule type="cellIs" dxfId="37846" priority="5373" stopIfTrue="1" operator="greaterThanOrEqual">
      <formula>0.5</formula>
    </cfRule>
  </conditionalFormatting>
  <conditionalFormatting sqref="BB16">
    <cfRule type="cellIs" dxfId="37845" priority="5398" stopIfTrue="1" operator="equal">
      <formula>-1</formula>
    </cfRule>
  </conditionalFormatting>
  <conditionalFormatting sqref="BB16">
    <cfRule type="cellIs" dxfId="37844" priority="5399" stopIfTrue="1" operator="lessThan">
      <formula>0.5</formula>
    </cfRule>
  </conditionalFormatting>
  <conditionalFormatting sqref="BB16">
    <cfRule type="cellIs" dxfId="37843" priority="5400" stopIfTrue="1" operator="greaterThanOrEqual">
      <formula>0.5</formula>
    </cfRule>
  </conditionalFormatting>
  <conditionalFormatting sqref="BD7">
    <cfRule type="cellIs" dxfId="37842" priority="5434" stopIfTrue="1" operator="equal">
      <formula>-1</formula>
    </cfRule>
  </conditionalFormatting>
  <conditionalFormatting sqref="BD7">
    <cfRule type="cellIs" dxfId="37841" priority="5435" stopIfTrue="1" operator="lessThan">
      <formula>0.5</formula>
    </cfRule>
  </conditionalFormatting>
  <conditionalFormatting sqref="BD7">
    <cfRule type="cellIs" dxfId="37840" priority="5436" stopIfTrue="1" operator="greaterThanOrEqual">
      <formula>0.5</formula>
    </cfRule>
  </conditionalFormatting>
  <conditionalFormatting sqref="BD16">
    <cfRule type="cellIs" dxfId="37839" priority="5461" stopIfTrue="1" operator="equal">
      <formula>-1</formula>
    </cfRule>
  </conditionalFormatting>
  <conditionalFormatting sqref="BD16">
    <cfRule type="cellIs" dxfId="37838" priority="5462" stopIfTrue="1" operator="lessThan">
      <formula>0.5</formula>
    </cfRule>
  </conditionalFormatting>
  <conditionalFormatting sqref="BD16">
    <cfRule type="cellIs" dxfId="37837" priority="5463" stopIfTrue="1" operator="greaterThanOrEqual">
      <formula>0.5</formula>
    </cfRule>
  </conditionalFormatting>
  <conditionalFormatting sqref="BF7">
    <cfRule type="cellIs" dxfId="37836" priority="5497" stopIfTrue="1" operator="equal">
      <formula>-1</formula>
    </cfRule>
  </conditionalFormatting>
  <conditionalFormatting sqref="BF7">
    <cfRule type="cellIs" dxfId="37835" priority="5498" stopIfTrue="1" operator="lessThan">
      <formula>0.5</formula>
    </cfRule>
  </conditionalFormatting>
  <conditionalFormatting sqref="BF7">
    <cfRule type="cellIs" dxfId="37834" priority="5499" stopIfTrue="1" operator="greaterThanOrEqual">
      <formula>0.5</formula>
    </cfRule>
  </conditionalFormatting>
  <conditionalFormatting sqref="BF16">
    <cfRule type="cellIs" dxfId="37833" priority="5524" stopIfTrue="1" operator="equal">
      <formula>-1</formula>
    </cfRule>
  </conditionalFormatting>
  <conditionalFormatting sqref="BF16">
    <cfRule type="cellIs" dxfId="37832" priority="5525" stopIfTrue="1" operator="lessThan">
      <formula>0.5</formula>
    </cfRule>
  </conditionalFormatting>
  <conditionalFormatting sqref="BF16">
    <cfRule type="cellIs" dxfId="37831" priority="5526" stopIfTrue="1" operator="greaterThanOrEqual">
      <formula>0.5</formula>
    </cfRule>
  </conditionalFormatting>
  <conditionalFormatting sqref="BH7">
    <cfRule type="cellIs" dxfId="37830" priority="5560" stopIfTrue="1" operator="equal">
      <formula>-1</formula>
    </cfRule>
  </conditionalFormatting>
  <conditionalFormatting sqref="BH7">
    <cfRule type="cellIs" dxfId="37829" priority="5561" stopIfTrue="1" operator="lessThan">
      <formula>0.5</formula>
    </cfRule>
  </conditionalFormatting>
  <conditionalFormatting sqref="BH7">
    <cfRule type="cellIs" dxfId="37828" priority="5562" stopIfTrue="1" operator="greaterThanOrEqual">
      <formula>0.5</formula>
    </cfRule>
  </conditionalFormatting>
  <conditionalFormatting sqref="BH16">
    <cfRule type="cellIs" dxfId="37827" priority="5587" stopIfTrue="1" operator="equal">
      <formula>-1</formula>
    </cfRule>
  </conditionalFormatting>
  <conditionalFormatting sqref="BH16">
    <cfRule type="cellIs" dxfId="37826" priority="5588" stopIfTrue="1" operator="lessThan">
      <formula>0.5</formula>
    </cfRule>
  </conditionalFormatting>
  <conditionalFormatting sqref="BH16">
    <cfRule type="cellIs" dxfId="37825" priority="5589" stopIfTrue="1" operator="greaterThanOrEqual">
      <formula>0.5</formula>
    </cfRule>
  </conditionalFormatting>
  <conditionalFormatting sqref="BJ7">
    <cfRule type="cellIs" dxfId="37824" priority="5623" stopIfTrue="1" operator="equal">
      <formula>-1</formula>
    </cfRule>
  </conditionalFormatting>
  <conditionalFormatting sqref="BJ7">
    <cfRule type="cellIs" dxfId="37823" priority="5624" stopIfTrue="1" operator="lessThan">
      <formula>0.5</formula>
    </cfRule>
  </conditionalFormatting>
  <conditionalFormatting sqref="BJ7">
    <cfRule type="cellIs" dxfId="37822" priority="5625" stopIfTrue="1" operator="greaterThanOrEqual">
      <formula>0.5</formula>
    </cfRule>
  </conditionalFormatting>
  <conditionalFormatting sqref="BJ16">
    <cfRule type="cellIs" dxfId="37821" priority="5650" stopIfTrue="1" operator="equal">
      <formula>-1</formula>
    </cfRule>
  </conditionalFormatting>
  <conditionalFormatting sqref="BJ16">
    <cfRule type="cellIs" dxfId="37820" priority="5651" stopIfTrue="1" operator="lessThan">
      <formula>0.5</formula>
    </cfRule>
  </conditionalFormatting>
  <conditionalFormatting sqref="BJ16">
    <cfRule type="cellIs" dxfId="37819" priority="5652" stopIfTrue="1" operator="greaterThanOrEqual">
      <formula>0.5</formula>
    </cfRule>
  </conditionalFormatting>
  <conditionalFormatting sqref="D38">
    <cfRule type="cellIs" dxfId="37818" priority="5713" stopIfTrue="1" operator="equal">
      <formula>-1</formula>
    </cfRule>
  </conditionalFormatting>
  <conditionalFormatting sqref="D38">
    <cfRule type="cellIs" dxfId="37817" priority="5714" stopIfTrue="1" operator="lessThan">
      <formula>0.5</formula>
    </cfRule>
  </conditionalFormatting>
  <conditionalFormatting sqref="D38">
    <cfRule type="cellIs" dxfId="37816" priority="5715" stopIfTrue="1" operator="greaterThanOrEqual">
      <formula>0.5</formula>
    </cfRule>
  </conditionalFormatting>
  <conditionalFormatting sqref="F38">
    <cfRule type="cellIs" dxfId="37815" priority="5773" stopIfTrue="1" operator="equal">
      <formula>-1</formula>
    </cfRule>
  </conditionalFormatting>
  <conditionalFormatting sqref="F38">
    <cfRule type="cellIs" dxfId="37814" priority="5774" stopIfTrue="1" operator="lessThan">
      <formula>0.5</formula>
    </cfRule>
  </conditionalFormatting>
  <conditionalFormatting sqref="F38">
    <cfRule type="cellIs" dxfId="37813" priority="5775" stopIfTrue="1" operator="greaterThanOrEqual">
      <formula>0.5</formula>
    </cfRule>
  </conditionalFormatting>
  <conditionalFormatting sqref="H38">
    <cfRule type="cellIs" dxfId="37812" priority="5833" stopIfTrue="1" operator="equal">
      <formula>-1</formula>
    </cfRule>
  </conditionalFormatting>
  <conditionalFormatting sqref="H38">
    <cfRule type="cellIs" dxfId="37811" priority="5834" stopIfTrue="1" operator="lessThan">
      <formula>0.5</formula>
    </cfRule>
  </conditionalFormatting>
  <conditionalFormatting sqref="H38">
    <cfRule type="cellIs" dxfId="37810" priority="5835" stopIfTrue="1" operator="greaterThanOrEqual">
      <formula>0.5</formula>
    </cfRule>
  </conditionalFormatting>
  <conditionalFormatting sqref="J38">
    <cfRule type="cellIs" dxfId="37809" priority="5893" stopIfTrue="1" operator="equal">
      <formula>-1</formula>
    </cfRule>
  </conditionalFormatting>
  <conditionalFormatting sqref="J38">
    <cfRule type="cellIs" dxfId="37808" priority="5894" stopIfTrue="1" operator="lessThan">
      <formula>0.5</formula>
    </cfRule>
  </conditionalFormatting>
  <conditionalFormatting sqref="J38">
    <cfRule type="cellIs" dxfId="37807" priority="5895" stopIfTrue="1" operator="greaterThanOrEqual">
      <formula>0.5</formula>
    </cfRule>
  </conditionalFormatting>
  <conditionalFormatting sqref="L38">
    <cfRule type="cellIs" dxfId="37806" priority="5953" stopIfTrue="1" operator="equal">
      <formula>-1</formula>
    </cfRule>
  </conditionalFormatting>
  <conditionalFormatting sqref="L38">
    <cfRule type="cellIs" dxfId="37805" priority="5954" stopIfTrue="1" operator="lessThan">
      <formula>0.5</formula>
    </cfRule>
  </conditionalFormatting>
  <conditionalFormatting sqref="L38">
    <cfRule type="cellIs" dxfId="37804" priority="5955" stopIfTrue="1" operator="greaterThanOrEqual">
      <formula>0.5</formula>
    </cfRule>
  </conditionalFormatting>
  <conditionalFormatting sqref="N38">
    <cfRule type="cellIs" dxfId="37803" priority="6013" stopIfTrue="1" operator="equal">
      <formula>-1</formula>
    </cfRule>
  </conditionalFormatting>
  <conditionalFormatting sqref="N38">
    <cfRule type="cellIs" dxfId="37802" priority="6014" stopIfTrue="1" operator="lessThan">
      <formula>0.5</formula>
    </cfRule>
  </conditionalFormatting>
  <conditionalFormatting sqref="N38">
    <cfRule type="cellIs" dxfId="37801" priority="6015" stopIfTrue="1" operator="greaterThanOrEqual">
      <formula>0.5</formula>
    </cfRule>
  </conditionalFormatting>
  <conditionalFormatting sqref="P38">
    <cfRule type="cellIs" dxfId="37800" priority="6073" stopIfTrue="1" operator="equal">
      <formula>-1</formula>
    </cfRule>
  </conditionalFormatting>
  <conditionalFormatting sqref="P38">
    <cfRule type="cellIs" dxfId="37799" priority="6074" stopIfTrue="1" operator="lessThan">
      <formula>0.5</formula>
    </cfRule>
  </conditionalFormatting>
  <conditionalFormatting sqref="P38">
    <cfRule type="cellIs" dxfId="37798" priority="6075" stopIfTrue="1" operator="greaterThanOrEqual">
      <formula>0.5</formula>
    </cfRule>
  </conditionalFormatting>
  <conditionalFormatting sqref="R38">
    <cfRule type="cellIs" dxfId="37797" priority="6133" stopIfTrue="1" operator="equal">
      <formula>-1</formula>
    </cfRule>
  </conditionalFormatting>
  <conditionalFormatting sqref="R38">
    <cfRule type="cellIs" dxfId="37796" priority="6134" stopIfTrue="1" operator="lessThan">
      <formula>0.5</formula>
    </cfRule>
  </conditionalFormatting>
  <conditionalFormatting sqref="R38">
    <cfRule type="cellIs" dxfId="37795" priority="6135" stopIfTrue="1" operator="greaterThanOrEqual">
      <formula>0.5</formula>
    </cfRule>
  </conditionalFormatting>
  <conditionalFormatting sqref="T38">
    <cfRule type="cellIs" dxfId="37794" priority="6193" stopIfTrue="1" operator="equal">
      <formula>-1</formula>
    </cfRule>
  </conditionalFormatting>
  <conditionalFormatting sqref="T38">
    <cfRule type="cellIs" dxfId="37793" priority="6194" stopIfTrue="1" operator="lessThan">
      <formula>0.5</formula>
    </cfRule>
  </conditionalFormatting>
  <conditionalFormatting sqref="T38">
    <cfRule type="cellIs" dxfId="37792" priority="6195" stopIfTrue="1" operator="greaterThanOrEqual">
      <formula>0.5</formula>
    </cfRule>
  </conditionalFormatting>
  <conditionalFormatting sqref="V38">
    <cfRule type="cellIs" dxfId="37791" priority="6253" stopIfTrue="1" operator="equal">
      <formula>-1</formula>
    </cfRule>
  </conditionalFormatting>
  <conditionalFormatting sqref="V38">
    <cfRule type="cellIs" dxfId="37790" priority="6254" stopIfTrue="1" operator="lessThan">
      <formula>0.5</formula>
    </cfRule>
  </conditionalFormatting>
  <conditionalFormatting sqref="V38">
    <cfRule type="cellIs" dxfId="37789" priority="6255" stopIfTrue="1" operator="greaterThanOrEqual">
      <formula>0.5</formula>
    </cfRule>
  </conditionalFormatting>
  <conditionalFormatting sqref="X38">
    <cfRule type="cellIs" dxfId="37788" priority="6313" stopIfTrue="1" operator="equal">
      <formula>-1</formula>
    </cfRule>
  </conditionalFormatting>
  <conditionalFormatting sqref="X38">
    <cfRule type="cellIs" dxfId="37787" priority="6314" stopIfTrue="1" operator="lessThan">
      <formula>0.5</formula>
    </cfRule>
  </conditionalFormatting>
  <conditionalFormatting sqref="X38">
    <cfRule type="cellIs" dxfId="37786" priority="6315" stopIfTrue="1" operator="greaterThanOrEqual">
      <formula>0.5</formula>
    </cfRule>
  </conditionalFormatting>
  <conditionalFormatting sqref="Z38">
    <cfRule type="cellIs" dxfId="37785" priority="6373" stopIfTrue="1" operator="equal">
      <formula>-1</formula>
    </cfRule>
  </conditionalFormatting>
  <conditionalFormatting sqref="Z38">
    <cfRule type="cellIs" dxfId="37784" priority="6374" stopIfTrue="1" operator="lessThan">
      <formula>0.5</formula>
    </cfRule>
  </conditionalFormatting>
  <conditionalFormatting sqref="Z38">
    <cfRule type="cellIs" dxfId="37783" priority="6375" stopIfTrue="1" operator="greaterThanOrEqual">
      <formula>0.5</formula>
    </cfRule>
  </conditionalFormatting>
  <conditionalFormatting sqref="AB38">
    <cfRule type="cellIs" dxfId="37782" priority="6433" stopIfTrue="1" operator="equal">
      <formula>-1</formula>
    </cfRule>
  </conditionalFormatting>
  <conditionalFormatting sqref="AB38">
    <cfRule type="cellIs" dxfId="37781" priority="6434" stopIfTrue="1" operator="lessThan">
      <formula>0.5</formula>
    </cfRule>
  </conditionalFormatting>
  <conditionalFormatting sqref="AB38">
    <cfRule type="cellIs" dxfId="37780" priority="6435" stopIfTrue="1" operator="greaterThanOrEqual">
      <formula>0.5</formula>
    </cfRule>
  </conditionalFormatting>
  <conditionalFormatting sqref="AD38">
    <cfRule type="cellIs" dxfId="37779" priority="6493" stopIfTrue="1" operator="equal">
      <formula>-1</formula>
    </cfRule>
  </conditionalFormatting>
  <conditionalFormatting sqref="AD38">
    <cfRule type="cellIs" dxfId="37778" priority="6494" stopIfTrue="1" operator="lessThan">
      <formula>0.5</formula>
    </cfRule>
  </conditionalFormatting>
  <conditionalFormatting sqref="AD38">
    <cfRule type="cellIs" dxfId="37777" priority="6495" stopIfTrue="1" operator="greaterThanOrEqual">
      <formula>0.5</formula>
    </cfRule>
  </conditionalFormatting>
  <conditionalFormatting sqref="AF38">
    <cfRule type="cellIs" dxfId="37776" priority="6553" stopIfTrue="1" operator="equal">
      <formula>-1</formula>
    </cfRule>
  </conditionalFormatting>
  <conditionalFormatting sqref="AF38">
    <cfRule type="cellIs" dxfId="37775" priority="6554" stopIfTrue="1" operator="lessThan">
      <formula>0.5</formula>
    </cfRule>
  </conditionalFormatting>
  <conditionalFormatting sqref="AF38">
    <cfRule type="cellIs" dxfId="37774" priority="6555" stopIfTrue="1" operator="greaterThanOrEqual">
      <formula>0.5</formula>
    </cfRule>
  </conditionalFormatting>
  <conditionalFormatting sqref="AH38">
    <cfRule type="cellIs" dxfId="37773" priority="6613" stopIfTrue="1" operator="equal">
      <formula>-1</formula>
    </cfRule>
  </conditionalFormatting>
  <conditionalFormatting sqref="AH38">
    <cfRule type="cellIs" dxfId="37772" priority="6614" stopIfTrue="1" operator="lessThan">
      <formula>0.5</formula>
    </cfRule>
  </conditionalFormatting>
  <conditionalFormatting sqref="AH38">
    <cfRule type="cellIs" dxfId="37771" priority="6615" stopIfTrue="1" operator="greaterThanOrEqual">
      <formula>0.5</formula>
    </cfRule>
  </conditionalFormatting>
  <conditionalFormatting sqref="AJ38">
    <cfRule type="cellIs" dxfId="37770" priority="6673" stopIfTrue="1" operator="equal">
      <formula>-1</formula>
    </cfRule>
  </conditionalFormatting>
  <conditionalFormatting sqref="AJ38">
    <cfRule type="cellIs" dxfId="37769" priority="6674" stopIfTrue="1" operator="lessThan">
      <formula>0.5</formula>
    </cfRule>
  </conditionalFormatting>
  <conditionalFormatting sqref="AJ38">
    <cfRule type="cellIs" dxfId="37768" priority="6675" stopIfTrue="1" operator="greaterThanOrEqual">
      <formula>0.5</formula>
    </cfRule>
  </conditionalFormatting>
  <conditionalFormatting sqref="AL38">
    <cfRule type="cellIs" dxfId="37767" priority="6733" stopIfTrue="1" operator="equal">
      <formula>-1</formula>
    </cfRule>
  </conditionalFormatting>
  <conditionalFormatting sqref="AL38">
    <cfRule type="cellIs" dxfId="37766" priority="6734" stopIfTrue="1" operator="lessThan">
      <formula>0.5</formula>
    </cfRule>
  </conditionalFormatting>
  <conditionalFormatting sqref="AL38">
    <cfRule type="cellIs" dxfId="37765" priority="6735" stopIfTrue="1" operator="greaterThanOrEqual">
      <formula>0.5</formula>
    </cfRule>
  </conditionalFormatting>
  <conditionalFormatting sqref="AN38">
    <cfRule type="cellIs" dxfId="37764" priority="6793" stopIfTrue="1" operator="equal">
      <formula>-1</formula>
    </cfRule>
  </conditionalFormatting>
  <conditionalFormatting sqref="AN38">
    <cfRule type="cellIs" dxfId="37763" priority="6794" stopIfTrue="1" operator="lessThan">
      <formula>0.5</formula>
    </cfRule>
  </conditionalFormatting>
  <conditionalFormatting sqref="AN38">
    <cfRule type="cellIs" dxfId="37762" priority="6795" stopIfTrue="1" operator="greaterThanOrEqual">
      <formula>0.5</formula>
    </cfRule>
  </conditionalFormatting>
  <conditionalFormatting sqref="AP38">
    <cfRule type="cellIs" dxfId="37761" priority="6853" stopIfTrue="1" operator="equal">
      <formula>-1</formula>
    </cfRule>
  </conditionalFormatting>
  <conditionalFormatting sqref="AP38">
    <cfRule type="cellIs" dxfId="37760" priority="6854" stopIfTrue="1" operator="lessThan">
      <formula>0.5</formula>
    </cfRule>
  </conditionalFormatting>
  <conditionalFormatting sqref="AP38">
    <cfRule type="cellIs" dxfId="37759" priority="6855" stopIfTrue="1" operator="greaterThanOrEqual">
      <formula>0.5</formula>
    </cfRule>
  </conditionalFormatting>
  <conditionalFormatting sqref="AR38">
    <cfRule type="cellIs" dxfId="37758" priority="6913" stopIfTrue="1" operator="equal">
      <formula>-1</formula>
    </cfRule>
  </conditionalFormatting>
  <conditionalFormatting sqref="AR38">
    <cfRule type="cellIs" dxfId="37757" priority="6914" stopIfTrue="1" operator="lessThan">
      <formula>0.5</formula>
    </cfRule>
  </conditionalFormatting>
  <conditionalFormatting sqref="AR38">
    <cfRule type="cellIs" dxfId="37756" priority="6915" stopIfTrue="1" operator="greaterThanOrEqual">
      <formula>0.5</formula>
    </cfRule>
  </conditionalFormatting>
  <conditionalFormatting sqref="AT38">
    <cfRule type="cellIs" dxfId="37755" priority="6973" stopIfTrue="1" operator="equal">
      <formula>-1</formula>
    </cfRule>
  </conditionalFormatting>
  <conditionalFormatting sqref="AT38">
    <cfRule type="cellIs" dxfId="37754" priority="6974" stopIfTrue="1" operator="lessThan">
      <formula>0.5</formula>
    </cfRule>
  </conditionalFormatting>
  <conditionalFormatting sqref="AT38">
    <cfRule type="cellIs" dxfId="37753" priority="6975" stopIfTrue="1" operator="greaterThanOrEqual">
      <formula>0.5</formula>
    </cfRule>
  </conditionalFormatting>
  <conditionalFormatting sqref="AV38">
    <cfRule type="cellIs" dxfId="37752" priority="7033" stopIfTrue="1" operator="equal">
      <formula>-1</formula>
    </cfRule>
  </conditionalFormatting>
  <conditionalFormatting sqref="AV38">
    <cfRule type="cellIs" dxfId="37751" priority="7034" stopIfTrue="1" operator="lessThan">
      <formula>0.5</formula>
    </cfRule>
  </conditionalFormatting>
  <conditionalFormatting sqref="AV38">
    <cfRule type="cellIs" dxfId="37750" priority="7035" stopIfTrue="1" operator="greaterThanOrEqual">
      <formula>0.5</formula>
    </cfRule>
  </conditionalFormatting>
  <conditionalFormatting sqref="AX38">
    <cfRule type="cellIs" dxfId="37749" priority="7093" stopIfTrue="1" operator="equal">
      <formula>-1</formula>
    </cfRule>
  </conditionalFormatting>
  <conditionalFormatting sqref="AX38">
    <cfRule type="cellIs" dxfId="37748" priority="7094" stopIfTrue="1" operator="lessThan">
      <formula>0.5</formula>
    </cfRule>
  </conditionalFormatting>
  <conditionalFormatting sqref="AX38">
    <cfRule type="cellIs" dxfId="37747" priority="7095" stopIfTrue="1" operator="greaterThanOrEqual">
      <formula>0.5</formula>
    </cfRule>
  </conditionalFormatting>
  <conditionalFormatting sqref="AZ38">
    <cfRule type="cellIs" dxfId="37746" priority="7153" stopIfTrue="1" operator="equal">
      <formula>-1</formula>
    </cfRule>
  </conditionalFormatting>
  <conditionalFormatting sqref="AZ38">
    <cfRule type="cellIs" dxfId="37745" priority="7154" stopIfTrue="1" operator="lessThan">
      <formula>0.5</formula>
    </cfRule>
  </conditionalFormatting>
  <conditionalFormatting sqref="AZ38">
    <cfRule type="cellIs" dxfId="37744" priority="7155" stopIfTrue="1" operator="greaterThanOrEqual">
      <formula>0.5</formula>
    </cfRule>
  </conditionalFormatting>
  <conditionalFormatting sqref="BB38">
    <cfRule type="cellIs" dxfId="37743" priority="7213" stopIfTrue="1" operator="equal">
      <formula>-1</formula>
    </cfRule>
  </conditionalFormatting>
  <conditionalFormatting sqref="BB38">
    <cfRule type="cellIs" dxfId="37742" priority="7214" stopIfTrue="1" operator="lessThan">
      <formula>0.5</formula>
    </cfRule>
  </conditionalFormatting>
  <conditionalFormatting sqref="BB38">
    <cfRule type="cellIs" dxfId="37741" priority="7215" stopIfTrue="1" operator="greaterThanOrEqual">
      <formula>0.5</formula>
    </cfRule>
  </conditionalFormatting>
  <conditionalFormatting sqref="BD38">
    <cfRule type="cellIs" dxfId="37740" priority="7273" stopIfTrue="1" operator="equal">
      <formula>-1</formula>
    </cfRule>
  </conditionalFormatting>
  <conditionalFormatting sqref="BD38">
    <cfRule type="cellIs" dxfId="37739" priority="7274" stopIfTrue="1" operator="lessThan">
      <formula>0.5</formula>
    </cfRule>
  </conditionalFormatting>
  <conditionalFormatting sqref="BD38">
    <cfRule type="cellIs" dxfId="37738" priority="7275" stopIfTrue="1" operator="greaterThanOrEqual">
      <formula>0.5</formula>
    </cfRule>
  </conditionalFormatting>
  <conditionalFormatting sqref="BF38">
    <cfRule type="cellIs" dxfId="37737" priority="7333" stopIfTrue="1" operator="equal">
      <formula>-1</formula>
    </cfRule>
  </conditionalFormatting>
  <conditionalFormatting sqref="BF38">
    <cfRule type="cellIs" dxfId="37736" priority="7334" stopIfTrue="1" operator="lessThan">
      <formula>0.5</formula>
    </cfRule>
  </conditionalFormatting>
  <conditionalFormatting sqref="BF38">
    <cfRule type="cellIs" dxfId="37735" priority="7335" stopIfTrue="1" operator="greaterThanOrEqual">
      <formula>0.5</formula>
    </cfRule>
  </conditionalFormatting>
  <conditionalFormatting sqref="BH38">
    <cfRule type="cellIs" dxfId="37734" priority="7393" stopIfTrue="1" operator="equal">
      <formula>-1</formula>
    </cfRule>
  </conditionalFormatting>
  <conditionalFormatting sqref="BH38">
    <cfRule type="cellIs" dxfId="37733" priority="7394" stopIfTrue="1" operator="lessThan">
      <formula>0.5</formula>
    </cfRule>
  </conditionalFormatting>
  <conditionalFormatting sqref="BH38">
    <cfRule type="cellIs" dxfId="37732" priority="7395" stopIfTrue="1" operator="greaterThanOrEqual">
      <formula>0.5</formula>
    </cfRule>
  </conditionalFormatting>
  <conditionalFormatting sqref="BJ38">
    <cfRule type="cellIs" dxfId="37731" priority="7453" stopIfTrue="1" operator="equal">
      <formula>-1</formula>
    </cfRule>
  </conditionalFormatting>
  <conditionalFormatting sqref="BJ38">
    <cfRule type="cellIs" dxfId="37730" priority="7454" stopIfTrue="1" operator="lessThan">
      <formula>0.5</formula>
    </cfRule>
  </conditionalFormatting>
  <conditionalFormatting sqref="BJ38">
    <cfRule type="cellIs" dxfId="37729" priority="7455" stopIfTrue="1" operator="greaterThanOrEqual">
      <formula>0.5</formula>
    </cfRule>
  </conditionalFormatting>
  <conditionalFormatting sqref="C59 E59 G59 I59 K59 M59 O59 Q59 S59 U59 W59 Y59 AA59 AC59 AE59 AG59 AI59 AK59 AM59 AO59 AQ59 AS59 AU59 AW59 AY59 BA59 BC59 BE59 BG59 BI59">
    <cfRule type="cellIs" dxfId="37728" priority="2" stopIfTrue="1" operator="lessThan">
      <formula>5</formula>
    </cfRule>
    <cfRule type="cellIs" dxfId="37727" priority="3" operator="greaterThanOrEqual">
      <formula>5</formula>
    </cfRule>
  </conditionalFormatting>
  <conditionalFormatting sqref="B3">
    <cfRule type="cellIs" dxfId="37726" priority="1" operator="notEqual">
      <formula>"Ok"</formula>
    </cfRule>
  </conditionalFormatting>
  <conditionalFormatting sqref="D5">
    <cfRule type="cellIs" dxfId="37725" priority="108460" stopIfTrue="1" operator="equal">
      <formula>-1</formula>
    </cfRule>
  </conditionalFormatting>
  <conditionalFormatting sqref="D5">
    <cfRule type="cellIs" dxfId="37724" priority="108461" stopIfTrue="1" operator="lessThan">
      <formula>0.5</formula>
    </cfRule>
  </conditionalFormatting>
  <conditionalFormatting sqref="D5">
    <cfRule type="cellIs" dxfId="37723" priority="108462" stopIfTrue="1" operator="greaterThanOrEqual">
      <formula>0.5</formula>
    </cfRule>
  </conditionalFormatting>
  <conditionalFormatting sqref="D6">
    <cfRule type="cellIs" dxfId="37722" priority="108463" stopIfTrue="1" operator="equal">
      <formula>-1</formula>
    </cfRule>
  </conditionalFormatting>
  <conditionalFormatting sqref="D6">
    <cfRule type="cellIs" dxfId="37721" priority="108464" stopIfTrue="1" operator="lessThan">
      <formula>0.5</formula>
    </cfRule>
  </conditionalFormatting>
  <conditionalFormatting sqref="D6">
    <cfRule type="cellIs" dxfId="37720" priority="108465" stopIfTrue="1" operator="greaterThanOrEqual">
      <formula>0.5</formula>
    </cfRule>
  </conditionalFormatting>
  <conditionalFormatting sqref="F5">
    <cfRule type="cellIs" dxfId="37719" priority="108466" stopIfTrue="1" operator="equal">
      <formula>-1</formula>
    </cfRule>
  </conditionalFormatting>
  <conditionalFormatting sqref="F5">
    <cfRule type="cellIs" dxfId="37718" priority="108467" stopIfTrue="1" operator="lessThan">
      <formula>0.5</formula>
    </cfRule>
  </conditionalFormatting>
  <conditionalFormatting sqref="F5">
    <cfRule type="cellIs" dxfId="37717" priority="108468" stopIfTrue="1" operator="greaterThanOrEqual">
      <formula>0.5</formula>
    </cfRule>
  </conditionalFormatting>
  <conditionalFormatting sqref="F6">
    <cfRule type="cellIs" dxfId="37716" priority="108469" stopIfTrue="1" operator="equal">
      <formula>-1</formula>
    </cfRule>
  </conditionalFormatting>
  <conditionalFormatting sqref="F6">
    <cfRule type="cellIs" dxfId="37715" priority="108470" stopIfTrue="1" operator="lessThan">
      <formula>0.5</formula>
    </cfRule>
  </conditionalFormatting>
  <conditionalFormatting sqref="F6">
    <cfRule type="cellIs" dxfId="37714" priority="108471" stopIfTrue="1" operator="greaterThanOrEqual">
      <formula>0.5</formula>
    </cfRule>
  </conditionalFormatting>
  <conditionalFormatting sqref="H5">
    <cfRule type="cellIs" dxfId="37713" priority="108472" stopIfTrue="1" operator="equal">
      <formula>-1</formula>
    </cfRule>
  </conditionalFormatting>
  <conditionalFormatting sqref="H5">
    <cfRule type="cellIs" dxfId="37712" priority="108473" stopIfTrue="1" operator="lessThan">
      <formula>0.5</formula>
    </cfRule>
  </conditionalFormatting>
  <conditionalFormatting sqref="H5">
    <cfRule type="cellIs" dxfId="37711" priority="108474" stopIfTrue="1" operator="greaterThanOrEqual">
      <formula>0.5</formula>
    </cfRule>
  </conditionalFormatting>
  <conditionalFormatting sqref="H6">
    <cfRule type="cellIs" dxfId="37710" priority="108475" stopIfTrue="1" operator="equal">
      <formula>-1</formula>
    </cfRule>
  </conditionalFormatting>
  <conditionalFormatting sqref="H6">
    <cfRule type="cellIs" dxfId="37709" priority="108476" stopIfTrue="1" operator="lessThan">
      <formula>0.5</formula>
    </cfRule>
  </conditionalFormatting>
  <conditionalFormatting sqref="H6">
    <cfRule type="cellIs" dxfId="37708" priority="108477" stopIfTrue="1" operator="greaterThanOrEqual">
      <formula>0.5</formula>
    </cfRule>
  </conditionalFormatting>
  <conditionalFormatting sqref="J5">
    <cfRule type="cellIs" dxfId="37707" priority="108478" stopIfTrue="1" operator="equal">
      <formula>-1</formula>
    </cfRule>
  </conditionalFormatting>
  <conditionalFormatting sqref="J5">
    <cfRule type="cellIs" dxfId="37706" priority="108479" stopIfTrue="1" operator="lessThan">
      <formula>0.5</formula>
    </cfRule>
  </conditionalFormatting>
  <conditionalFormatting sqref="J5">
    <cfRule type="cellIs" dxfId="37705" priority="108480" stopIfTrue="1" operator="greaterThanOrEqual">
      <formula>0.5</formula>
    </cfRule>
  </conditionalFormatting>
  <conditionalFormatting sqref="J6">
    <cfRule type="cellIs" dxfId="37704" priority="108481" stopIfTrue="1" operator="equal">
      <formula>-1</formula>
    </cfRule>
  </conditionalFormatting>
  <conditionalFormatting sqref="J6">
    <cfRule type="cellIs" dxfId="37703" priority="108482" stopIfTrue="1" operator="lessThan">
      <formula>0.5</formula>
    </cfRule>
  </conditionalFormatting>
  <conditionalFormatting sqref="J6">
    <cfRule type="cellIs" dxfId="37702" priority="108483" stopIfTrue="1" operator="greaterThanOrEqual">
      <formula>0.5</formula>
    </cfRule>
  </conditionalFormatting>
  <conditionalFormatting sqref="L5">
    <cfRule type="cellIs" dxfId="37701" priority="108484" stopIfTrue="1" operator="equal">
      <formula>-1</formula>
    </cfRule>
  </conditionalFormatting>
  <conditionalFormatting sqref="L5">
    <cfRule type="cellIs" dxfId="37700" priority="108485" stopIfTrue="1" operator="lessThan">
      <formula>0.5</formula>
    </cfRule>
  </conditionalFormatting>
  <conditionalFormatting sqref="L5">
    <cfRule type="cellIs" dxfId="37699" priority="108486" stopIfTrue="1" operator="greaterThanOrEqual">
      <formula>0.5</formula>
    </cfRule>
  </conditionalFormatting>
  <conditionalFormatting sqref="L6">
    <cfRule type="cellIs" dxfId="37698" priority="108487" stopIfTrue="1" operator="equal">
      <formula>-1</formula>
    </cfRule>
  </conditionalFormatting>
  <conditionalFormatting sqref="L6">
    <cfRule type="cellIs" dxfId="37697" priority="108488" stopIfTrue="1" operator="lessThan">
      <formula>0.5</formula>
    </cfRule>
  </conditionalFormatting>
  <conditionalFormatting sqref="L6">
    <cfRule type="cellIs" dxfId="37696" priority="108489" stopIfTrue="1" operator="greaterThanOrEqual">
      <formula>0.5</formula>
    </cfRule>
  </conditionalFormatting>
  <conditionalFormatting sqref="N5">
    <cfRule type="cellIs" dxfId="37695" priority="108490" stopIfTrue="1" operator="equal">
      <formula>-1</formula>
    </cfRule>
  </conditionalFormatting>
  <conditionalFormatting sqref="N5">
    <cfRule type="cellIs" dxfId="37694" priority="108491" stopIfTrue="1" operator="lessThan">
      <formula>0.5</formula>
    </cfRule>
  </conditionalFormatting>
  <conditionalFormatting sqref="N5">
    <cfRule type="cellIs" dxfId="37693" priority="108492" stopIfTrue="1" operator="greaterThanOrEqual">
      <formula>0.5</formula>
    </cfRule>
  </conditionalFormatting>
  <conditionalFormatting sqref="N6">
    <cfRule type="cellIs" dxfId="37692" priority="108493" stopIfTrue="1" operator="equal">
      <formula>-1</formula>
    </cfRule>
  </conditionalFormatting>
  <conditionalFormatting sqref="N6">
    <cfRule type="cellIs" dxfId="37691" priority="108494" stopIfTrue="1" operator="lessThan">
      <formula>0.5</formula>
    </cfRule>
  </conditionalFormatting>
  <conditionalFormatting sqref="N6">
    <cfRule type="cellIs" dxfId="37690" priority="108495" stopIfTrue="1" operator="greaterThanOrEqual">
      <formula>0.5</formula>
    </cfRule>
  </conditionalFormatting>
  <conditionalFormatting sqref="P5">
    <cfRule type="cellIs" dxfId="37689" priority="108496" stopIfTrue="1" operator="equal">
      <formula>-1</formula>
    </cfRule>
  </conditionalFormatting>
  <conditionalFormatting sqref="P5">
    <cfRule type="cellIs" dxfId="37688" priority="108497" stopIfTrue="1" operator="lessThan">
      <formula>0.5</formula>
    </cfRule>
  </conditionalFormatting>
  <conditionalFormatting sqref="P5">
    <cfRule type="cellIs" dxfId="37687" priority="108498" stopIfTrue="1" operator="greaterThanOrEqual">
      <formula>0.5</formula>
    </cfRule>
  </conditionalFormatting>
  <conditionalFormatting sqref="P6">
    <cfRule type="cellIs" dxfId="37686" priority="108499" stopIfTrue="1" operator="equal">
      <formula>-1</formula>
    </cfRule>
  </conditionalFormatting>
  <conditionalFormatting sqref="P6">
    <cfRule type="cellIs" dxfId="37685" priority="108500" stopIfTrue="1" operator="lessThan">
      <formula>0.5</formula>
    </cfRule>
  </conditionalFormatting>
  <conditionalFormatting sqref="P6">
    <cfRule type="cellIs" dxfId="37684" priority="108501" stopIfTrue="1" operator="greaterThanOrEqual">
      <formula>0.5</formula>
    </cfRule>
  </conditionalFormatting>
  <conditionalFormatting sqref="R5">
    <cfRule type="cellIs" dxfId="37683" priority="108502" stopIfTrue="1" operator="equal">
      <formula>-1</formula>
    </cfRule>
  </conditionalFormatting>
  <conditionalFormatting sqref="R5">
    <cfRule type="cellIs" dxfId="37682" priority="108503" stopIfTrue="1" operator="lessThan">
      <formula>0.5</formula>
    </cfRule>
  </conditionalFormatting>
  <conditionalFormatting sqref="R5">
    <cfRule type="cellIs" dxfId="37681" priority="108504" stopIfTrue="1" operator="greaterThanOrEqual">
      <formula>0.5</formula>
    </cfRule>
  </conditionalFormatting>
  <conditionalFormatting sqref="R6">
    <cfRule type="cellIs" dxfId="37680" priority="108505" stopIfTrue="1" operator="equal">
      <formula>-1</formula>
    </cfRule>
  </conditionalFormatting>
  <conditionalFormatting sqref="R6">
    <cfRule type="cellIs" dxfId="37679" priority="108506" stopIfTrue="1" operator="lessThan">
      <formula>0.5</formula>
    </cfRule>
  </conditionalFormatting>
  <conditionalFormatting sqref="R6">
    <cfRule type="cellIs" dxfId="37678" priority="108507" stopIfTrue="1" operator="greaterThanOrEqual">
      <formula>0.5</formula>
    </cfRule>
  </conditionalFormatting>
  <conditionalFormatting sqref="T5">
    <cfRule type="cellIs" dxfId="37677" priority="108508" stopIfTrue="1" operator="equal">
      <formula>-1</formula>
    </cfRule>
  </conditionalFormatting>
  <conditionalFormatting sqref="T5">
    <cfRule type="cellIs" dxfId="37676" priority="108509" stopIfTrue="1" operator="lessThan">
      <formula>0.5</formula>
    </cfRule>
  </conditionalFormatting>
  <conditionalFormatting sqref="T5">
    <cfRule type="cellIs" dxfId="37675" priority="108510" stopIfTrue="1" operator="greaterThanOrEqual">
      <formula>0.5</formula>
    </cfRule>
  </conditionalFormatting>
  <conditionalFormatting sqref="T6">
    <cfRule type="cellIs" dxfId="37674" priority="108511" stopIfTrue="1" operator="equal">
      <formula>-1</formula>
    </cfRule>
  </conditionalFormatting>
  <conditionalFormatting sqref="T6">
    <cfRule type="cellIs" dxfId="37673" priority="108512" stopIfTrue="1" operator="lessThan">
      <formula>0.5</formula>
    </cfRule>
  </conditionalFormatting>
  <conditionalFormatting sqref="T6">
    <cfRule type="cellIs" dxfId="37672" priority="108513" stopIfTrue="1" operator="greaterThanOrEqual">
      <formula>0.5</formula>
    </cfRule>
  </conditionalFormatting>
  <conditionalFormatting sqref="V5">
    <cfRule type="cellIs" dxfId="37671" priority="108514" stopIfTrue="1" operator="equal">
      <formula>-1</formula>
    </cfRule>
  </conditionalFormatting>
  <conditionalFormatting sqref="V5">
    <cfRule type="cellIs" dxfId="37670" priority="108515" stopIfTrue="1" operator="lessThan">
      <formula>0.5</formula>
    </cfRule>
  </conditionalFormatting>
  <conditionalFormatting sqref="V5">
    <cfRule type="cellIs" dxfId="37669" priority="108516" stopIfTrue="1" operator="greaterThanOrEqual">
      <formula>0.5</formula>
    </cfRule>
  </conditionalFormatting>
  <conditionalFormatting sqref="V6">
    <cfRule type="cellIs" dxfId="37668" priority="108517" stopIfTrue="1" operator="equal">
      <formula>-1</formula>
    </cfRule>
  </conditionalFormatting>
  <conditionalFormatting sqref="V6">
    <cfRule type="cellIs" dxfId="37667" priority="108518" stopIfTrue="1" operator="lessThan">
      <formula>0.5</formula>
    </cfRule>
  </conditionalFormatting>
  <conditionalFormatting sqref="V6">
    <cfRule type="cellIs" dxfId="37666" priority="108519" stopIfTrue="1" operator="greaterThanOrEqual">
      <formula>0.5</formula>
    </cfRule>
  </conditionalFormatting>
  <conditionalFormatting sqref="X5">
    <cfRule type="cellIs" dxfId="37665" priority="108520" stopIfTrue="1" operator="equal">
      <formula>-1</formula>
    </cfRule>
  </conditionalFormatting>
  <conditionalFormatting sqref="X5">
    <cfRule type="cellIs" dxfId="37664" priority="108521" stopIfTrue="1" operator="lessThan">
      <formula>0.5</formula>
    </cfRule>
  </conditionalFormatting>
  <conditionalFormatting sqref="X5">
    <cfRule type="cellIs" dxfId="37663" priority="108522" stopIfTrue="1" operator="greaterThanOrEqual">
      <formula>0.5</formula>
    </cfRule>
  </conditionalFormatting>
  <conditionalFormatting sqref="X6">
    <cfRule type="cellIs" dxfId="37662" priority="108523" stopIfTrue="1" operator="equal">
      <formula>-1</formula>
    </cfRule>
  </conditionalFormatting>
  <conditionalFormatting sqref="X6">
    <cfRule type="cellIs" dxfId="37661" priority="108524" stopIfTrue="1" operator="lessThan">
      <formula>0.5</formula>
    </cfRule>
  </conditionalFormatting>
  <conditionalFormatting sqref="X6">
    <cfRule type="cellIs" dxfId="37660" priority="108525" stopIfTrue="1" operator="greaterThanOrEqual">
      <formula>0.5</formula>
    </cfRule>
  </conditionalFormatting>
  <conditionalFormatting sqref="Z5">
    <cfRule type="cellIs" dxfId="37659" priority="108526" stopIfTrue="1" operator="equal">
      <formula>-1</formula>
    </cfRule>
  </conditionalFormatting>
  <conditionalFormatting sqref="Z5">
    <cfRule type="cellIs" dxfId="37658" priority="108527" stopIfTrue="1" operator="lessThan">
      <formula>0.5</formula>
    </cfRule>
  </conditionalFormatting>
  <conditionalFormatting sqref="Z5">
    <cfRule type="cellIs" dxfId="37657" priority="108528" stopIfTrue="1" operator="greaterThanOrEqual">
      <formula>0.5</formula>
    </cfRule>
  </conditionalFormatting>
  <conditionalFormatting sqref="Z6">
    <cfRule type="cellIs" dxfId="37656" priority="108529" stopIfTrue="1" operator="equal">
      <formula>-1</formula>
    </cfRule>
  </conditionalFormatting>
  <conditionalFormatting sqref="Z6">
    <cfRule type="cellIs" dxfId="37655" priority="108530" stopIfTrue="1" operator="lessThan">
      <formula>0.5</formula>
    </cfRule>
  </conditionalFormatting>
  <conditionalFormatting sqref="Z6">
    <cfRule type="cellIs" dxfId="37654" priority="108531" stopIfTrue="1" operator="greaterThanOrEqual">
      <formula>0.5</formula>
    </cfRule>
  </conditionalFormatting>
  <conditionalFormatting sqref="AB5">
    <cfRule type="cellIs" dxfId="37653" priority="108532" stopIfTrue="1" operator="equal">
      <formula>-1</formula>
    </cfRule>
  </conditionalFormatting>
  <conditionalFormatting sqref="AB5">
    <cfRule type="cellIs" dxfId="37652" priority="108533" stopIfTrue="1" operator="lessThan">
      <formula>0.5</formula>
    </cfRule>
  </conditionalFormatting>
  <conditionalFormatting sqref="AB5">
    <cfRule type="cellIs" dxfId="37651" priority="108534" stopIfTrue="1" operator="greaterThanOrEqual">
      <formula>0.5</formula>
    </cfRule>
  </conditionalFormatting>
  <conditionalFormatting sqref="AB6">
    <cfRule type="cellIs" dxfId="37650" priority="108535" stopIfTrue="1" operator="equal">
      <formula>-1</formula>
    </cfRule>
  </conditionalFormatting>
  <conditionalFormatting sqref="AB6">
    <cfRule type="cellIs" dxfId="37649" priority="108536" stopIfTrue="1" operator="lessThan">
      <formula>0.5</formula>
    </cfRule>
  </conditionalFormatting>
  <conditionalFormatting sqref="AB6">
    <cfRule type="cellIs" dxfId="37648" priority="108537" stopIfTrue="1" operator="greaterThanOrEqual">
      <formula>0.5</formula>
    </cfRule>
  </conditionalFormatting>
  <conditionalFormatting sqref="AD5">
    <cfRule type="cellIs" dxfId="37647" priority="108538" stopIfTrue="1" operator="equal">
      <formula>-1</formula>
    </cfRule>
  </conditionalFormatting>
  <conditionalFormatting sqref="AD5">
    <cfRule type="cellIs" dxfId="37646" priority="108539" stopIfTrue="1" operator="lessThan">
      <formula>0.5</formula>
    </cfRule>
  </conditionalFormatting>
  <conditionalFormatting sqref="AD5">
    <cfRule type="cellIs" dxfId="37645" priority="108540" stopIfTrue="1" operator="greaterThanOrEqual">
      <formula>0.5</formula>
    </cfRule>
  </conditionalFormatting>
  <conditionalFormatting sqref="AD6">
    <cfRule type="cellIs" dxfId="37644" priority="108541" stopIfTrue="1" operator="equal">
      <formula>-1</formula>
    </cfRule>
  </conditionalFormatting>
  <conditionalFormatting sqref="AD6">
    <cfRule type="cellIs" dxfId="37643" priority="108542" stopIfTrue="1" operator="lessThan">
      <formula>0.5</formula>
    </cfRule>
  </conditionalFormatting>
  <conditionalFormatting sqref="AD6">
    <cfRule type="cellIs" dxfId="37642" priority="108543" stopIfTrue="1" operator="greaterThanOrEqual">
      <formula>0.5</formula>
    </cfRule>
  </conditionalFormatting>
  <conditionalFormatting sqref="AF5">
    <cfRule type="cellIs" dxfId="37641" priority="108544" stopIfTrue="1" operator="equal">
      <formula>-1</formula>
    </cfRule>
  </conditionalFormatting>
  <conditionalFormatting sqref="AF5">
    <cfRule type="cellIs" dxfId="37640" priority="108545" stopIfTrue="1" operator="lessThan">
      <formula>0.5</formula>
    </cfRule>
  </conditionalFormatting>
  <conditionalFormatting sqref="AF5">
    <cfRule type="cellIs" dxfId="37639" priority="108546" stopIfTrue="1" operator="greaterThanOrEqual">
      <formula>0.5</formula>
    </cfRule>
  </conditionalFormatting>
  <conditionalFormatting sqref="AF6">
    <cfRule type="cellIs" dxfId="37638" priority="108547" stopIfTrue="1" operator="equal">
      <formula>-1</formula>
    </cfRule>
  </conditionalFormatting>
  <conditionalFormatting sqref="AF6">
    <cfRule type="cellIs" dxfId="37637" priority="108548" stopIfTrue="1" operator="lessThan">
      <formula>0.5</formula>
    </cfRule>
  </conditionalFormatting>
  <conditionalFormatting sqref="AF6">
    <cfRule type="cellIs" dxfId="37636" priority="108549" stopIfTrue="1" operator="greaterThanOrEqual">
      <formula>0.5</formula>
    </cfRule>
  </conditionalFormatting>
  <conditionalFormatting sqref="AH5">
    <cfRule type="cellIs" dxfId="37635" priority="108550" stopIfTrue="1" operator="equal">
      <formula>-1</formula>
    </cfRule>
  </conditionalFormatting>
  <conditionalFormatting sqref="AH5">
    <cfRule type="cellIs" dxfId="37634" priority="108551" stopIfTrue="1" operator="lessThan">
      <formula>0.5</formula>
    </cfRule>
  </conditionalFormatting>
  <conditionalFormatting sqref="AH5">
    <cfRule type="cellIs" dxfId="37633" priority="108552" stopIfTrue="1" operator="greaterThanOrEqual">
      <formula>0.5</formula>
    </cfRule>
  </conditionalFormatting>
  <conditionalFormatting sqref="AH6">
    <cfRule type="cellIs" dxfId="37632" priority="108553" stopIfTrue="1" operator="equal">
      <formula>-1</formula>
    </cfRule>
  </conditionalFormatting>
  <conditionalFormatting sqref="AH6">
    <cfRule type="cellIs" dxfId="37631" priority="108554" stopIfTrue="1" operator="lessThan">
      <formula>0.5</formula>
    </cfRule>
  </conditionalFormatting>
  <conditionalFormatting sqref="AH6">
    <cfRule type="cellIs" dxfId="37630" priority="108555" stopIfTrue="1" operator="greaterThanOrEqual">
      <formula>0.5</formula>
    </cfRule>
  </conditionalFormatting>
  <conditionalFormatting sqref="AJ5">
    <cfRule type="cellIs" dxfId="37629" priority="108556" stopIfTrue="1" operator="equal">
      <formula>-1</formula>
    </cfRule>
  </conditionalFormatting>
  <conditionalFormatting sqref="AJ5">
    <cfRule type="cellIs" dxfId="37628" priority="108557" stopIfTrue="1" operator="lessThan">
      <formula>0.5</formula>
    </cfRule>
  </conditionalFormatting>
  <conditionalFormatting sqref="AJ5">
    <cfRule type="cellIs" dxfId="37627" priority="108558" stopIfTrue="1" operator="greaterThanOrEqual">
      <formula>0.5</formula>
    </cfRule>
  </conditionalFormatting>
  <conditionalFormatting sqref="AJ6">
    <cfRule type="cellIs" dxfId="37626" priority="108559" stopIfTrue="1" operator="equal">
      <formula>-1</formula>
    </cfRule>
  </conditionalFormatting>
  <conditionalFormatting sqref="AJ6">
    <cfRule type="cellIs" dxfId="37625" priority="108560" stopIfTrue="1" operator="lessThan">
      <formula>0.5</formula>
    </cfRule>
  </conditionalFormatting>
  <conditionalFormatting sqref="AJ6">
    <cfRule type="cellIs" dxfId="37624" priority="108561" stopIfTrue="1" operator="greaterThanOrEqual">
      <formula>0.5</formula>
    </cfRule>
  </conditionalFormatting>
  <conditionalFormatting sqref="AL5">
    <cfRule type="cellIs" dxfId="37623" priority="108562" stopIfTrue="1" operator="equal">
      <formula>-1</formula>
    </cfRule>
  </conditionalFormatting>
  <conditionalFormatting sqref="AL5">
    <cfRule type="cellIs" dxfId="37622" priority="108563" stopIfTrue="1" operator="lessThan">
      <formula>0.5</formula>
    </cfRule>
  </conditionalFormatting>
  <conditionalFormatting sqref="AL5">
    <cfRule type="cellIs" dxfId="37621" priority="108564" stopIfTrue="1" operator="greaterThanOrEqual">
      <formula>0.5</formula>
    </cfRule>
  </conditionalFormatting>
  <conditionalFormatting sqref="AL6">
    <cfRule type="cellIs" dxfId="37620" priority="108565" stopIfTrue="1" operator="equal">
      <formula>-1</formula>
    </cfRule>
  </conditionalFormatting>
  <conditionalFormatting sqref="AL6">
    <cfRule type="cellIs" dxfId="37619" priority="108566" stopIfTrue="1" operator="lessThan">
      <formula>0.5</formula>
    </cfRule>
  </conditionalFormatting>
  <conditionalFormatting sqref="AL6">
    <cfRule type="cellIs" dxfId="37618" priority="108567" stopIfTrue="1" operator="greaterThanOrEqual">
      <formula>0.5</formula>
    </cfRule>
  </conditionalFormatting>
  <conditionalFormatting sqref="AN5">
    <cfRule type="cellIs" dxfId="37617" priority="108568" stopIfTrue="1" operator="equal">
      <formula>-1</formula>
    </cfRule>
  </conditionalFormatting>
  <conditionalFormatting sqref="AN5">
    <cfRule type="cellIs" dxfId="37616" priority="108569" stopIfTrue="1" operator="lessThan">
      <formula>0.5</formula>
    </cfRule>
  </conditionalFormatting>
  <conditionalFormatting sqref="AN5">
    <cfRule type="cellIs" dxfId="37615" priority="108570" stopIfTrue="1" operator="greaterThanOrEqual">
      <formula>0.5</formula>
    </cfRule>
  </conditionalFormatting>
  <conditionalFormatting sqref="AN6">
    <cfRule type="cellIs" dxfId="37614" priority="108571" stopIfTrue="1" operator="equal">
      <formula>-1</formula>
    </cfRule>
  </conditionalFormatting>
  <conditionalFormatting sqref="AN6">
    <cfRule type="cellIs" dxfId="37613" priority="108572" stopIfTrue="1" operator="lessThan">
      <formula>0.5</formula>
    </cfRule>
  </conditionalFormatting>
  <conditionalFormatting sqref="AN6">
    <cfRule type="cellIs" dxfId="37612" priority="108573" stopIfTrue="1" operator="greaterThanOrEqual">
      <formula>0.5</formula>
    </cfRule>
  </conditionalFormatting>
  <conditionalFormatting sqref="AP5">
    <cfRule type="cellIs" dxfId="37611" priority="108574" stopIfTrue="1" operator="equal">
      <formula>-1</formula>
    </cfRule>
  </conditionalFormatting>
  <conditionalFormatting sqref="AP5">
    <cfRule type="cellIs" dxfId="37610" priority="108575" stopIfTrue="1" operator="lessThan">
      <formula>0.5</formula>
    </cfRule>
  </conditionalFormatting>
  <conditionalFormatting sqref="AP5">
    <cfRule type="cellIs" dxfId="37609" priority="108576" stopIfTrue="1" operator="greaterThanOrEqual">
      <formula>0.5</formula>
    </cfRule>
  </conditionalFormatting>
  <conditionalFormatting sqref="AP6">
    <cfRule type="cellIs" dxfId="37608" priority="108577" stopIfTrue="1" operator="equal">
      <formula>-1</formula>
    </cfRule>
  </conditionalFormatting>
  <conditionalFormatting sqref="AP6">
    <cfRule type="cellIs" dxfId="37607" priority="108578" stopIfTrue="1" operator="lessThan">
      <formula>0.5</formula>
    </cfRule>
  </conditionalFormatting>
  <conditionalFormatting sqref="AP6">
    <cfRule type="cellIs" dxfId="37606" priority="108579" stopIfTrue="1" operator="greaterThanOrEqual">
      <formula>0.5</formula>
    </cfRule>
  </conditionalFormatting>
  <conditionalFormatting sqref="AR5">
    <cfRule type="cellIs" dxfId="37605" priority="108580" stopIfTrue="1" operator="equal">
      <formula>-1</formula>
    </cfRule>
  </conditionalFormatting>
  <conditionalFormatting sqref="AR5">
    <cfRule type="cellIs" dxfId="37604" priority="108581" stopIfTrue="1" operator="lessThan">
      <formula>0.5</formula>
    </cfRule>
  </conditionalFormatting>
  <conditionalFormatting sqref="AR5">
    <cfRule type="cellIs" dxfId="37603" priority="108582" stopIfTrue="1" operator="greaterThanOrEqual">
      <formula>0.5</formula>
    </cfRule>
  </conditionalFormatting>
  <conditionalFormatting sqref="AR6">
    <cfRule type="cellIs" dxfId="37602" priority="108583" stopIfTrue="1" operator="equal">
      <formula>-1</formula>
    </cfRule>
  </conditionalFormatting>
  <conditionalFormatting sqref="AR6">
    <cfRule type="cellIs" dxfId="37601" priority="108584" stopIfTrue="1" operator="lessThan">
      <formula>0.5</formula>
    </cfRule>
  </conditionalFormatting>
  <conditionalFormatting sqref="AR6">
    <cfRule type="cellIs" dxfId="37600" priority="108585" stopIfTrue="1" operator="greaterThanOrEqual">
      <formula>0.5</formula>
    </cfRule>
  </conditionalFormatting>
  <conditionalFormatting sqref="AT5">
    <cfRule type="cellIs" dxfId="37599" priority="108586" stopIfTrue="1" operator="equal">
      <formula>-1</formula>
    </cfRule>
  </conditionalFormatting>
  <conditionalFormatting sqref="AT5">
    <cfRule type="cellIs" dxfId="37598" priority="108587" stopIfTrue="1" operator="lessThan">
      <formula>0.5</formula>
    </cfRule>
  </conditionalFormatting>
  <conditionalFormatting sqref="AT5">
    <cfRule type="cellIs" dxfId="37597" priority="108588" stopIfTrue="1" operator="greaterThanOrEqual">
      <formula>0.5</formula>
    </cfRule>
  </conditionalFormatting>
  <conditionalFormatting sqref="AT6">
    <cfRule type="cellIs" dxfId="37596" priority="108589" stopIfTrue="1" operator="equal">
      <formula>-1</formula>
    </cfRule>
  </conditionalFormatting>
  <conditionalFormatting sqref="AT6">
    <cfRule type="cellIs" dxfId="37595" priority="108590" stopIfTrue="1" operator="lessThan">
      <formula>0.5</formula>
    </cfRule>
  </conditionalFormatting>
  <conditionalFormatting sqref="AT6">
    <cfRule type="cellIs" dxfId="37594" priority="108591" stopIfTrue="1" operator="greaterThanOrEqual">
      <formula>0.5</formula>
    </cfRule>
  </conditionalFormatting>
  <conditionalFormatting sqref="AV5">
    <cfRule type="cellIs" dxfId="37593" priority="108592" stopIfTrue="1" operator="equal">
      <formula>-1</formula>
    </cfRule>
  </conditionalFormatting>
  <conditionalFormatting sqref="AV5">
    <cfRule type="cellIs" dxfId="37592" priority="108593" stopIfTrue="1" operator="lessThan">
      <formula>0.5</formula>
    </cfRule>
  </conditionalFormatting>
  <conditionalFormatting sqref="AV5">
    <cfRule type="cellIs" dxfId="37591" priority="108594" stopIfTrue="1" operator="greaterThanOrEqual">
      <formula>0.5</formula>
    </cfRule>
  </conditionalFormatting>
  <conditionalFormatting sqref="AV6">
    <cfRule type="cellIs" dxfId="37590" priority="108595" stopIfTrue="1" operator="equal">
      <formula>-1</formula>
    </cfRule>
  </conditionalFormatting>
  <conditionalFormatting sqref="AV6">
    <cfRule type="cellIs" dxfId="37589" priority="108596" stopIfTrue="1" operator="lessThan">
      <formula>0.5</formula>
    </cfRule>
  </conditionalFormatting>
  <conditionalFormatting sqref="AV6">
    <cfRule type="cellIs" dxfId="37588" priority="108597" stopIfTrue="1" operator="greaterThanOrEqual">
      <formula>0.5</formula>
    </cfRule>
  </conditionalFormatting>
  <conditionalFormatting sqref="AX5">
    <cfRule type="cellIs" dxfId="37587" priority="108598" stopIfTrue="1" operator="equal">
      <formula>-1</formula>
    </cfRule>
  </conditionalFormatting>
  <conditionalFormatting sqref="AX5">
    <cfRule type="cellIs" dxfId="37586" priority="108599" stopIfTrue="1" operator="lessThan">
      <formula>0.5</formula>
    </cfRule>
  </conditionalFormatting>
  <conditionalFormatting sqref="AX5">
    <cfRule type="cellIs" dxfId="37585" priority="108600" stopIfTrue="1" operator="greaterThanOrEqual">
      <formula>0.5</formula>
    </cfRule>
  </conditionalFormatting>
  <conditionalFormatting sqref="AX6">
    <cfRule type="cellIs" dxfId="37584" priority="108601" stopIfTrue="1" operator="equal">
      <formula>-1</formula>
    </cfRule>
  </conditionalFormatting>
  <conditionalFormatting sqref="AX6">
    <cfRule type="cellIs" dxfId="37583" priority="108602" stopIfTrue="1" operator="lessThan">
      <formula>0.5</formula>
    </cfRule>
  </conditionalFormatting>
  <conditionalFormatting sqref="AX6">
    <cfRule type="cellIs" dxfId="37582" priority="108603" stopIfTrue="1" operator="greaterThanOrEqual">
      <formula>0.5</formula>
    </cfRule>
  </conditionalFormatting>
  <conditionalFormatting sqref="AZ5">
    <cfRule type="cellIs" dxfId="37581" priority="108604" stopIfTrue="1" operator="equal">
      <formula>-1</formula>
    </cfRule>
  </conditionalFormatting>
  <conditionalFormatting sqref="AZ5">
    <cfRule type="cellIs" dxfId="37580" priority="108605" stopIfTrue="1" operator="lessThan">
      <formula>0.5</formula>
    </cfRule>
  </conditionalFormatting>
  <conditionalFormatting sqref="AZ5">
    <cfRule type="cellIs" dxfId="37579" priority="108606" stopIfTrue="1" operator="greaterThanOrEqual">
      <formula>0.5</formula>
    </cfRule>
  </conditionalFormatting>
  <conditionalFormatting sqref="AZ6">
    <cfRule type="cellIs" dxfId="37578" priority="108607" stopIfTrue="1" operator="equal">
      <formula>-1</formula>
    </cfRule>
  </conditionalFormatting>
  <conditionalFormatting sqref="AZ6">
    <cfRule type="cellIs" dxfId="37577" priority="108608" stopIfTrue="1" operator="lessThan">
      <formula>0.5</formula>
    </cfRule>
  </conditionalFormatting>
  <conditionalFormatting sqref="AZ6">
    <cfRule type="cellIs" dxfId="37576" priority="108609" stopIfTrue="1" operator="greaterThanOrEqual">
      <formula>0.5</formula>
    </cfRule>
  </conditionalFormatting>
  <conditionalFormatting sqref="BB5">
    <cfRule type="cellIs" dxfId="37575" priority="108610" stopIfTrue="1" operator="equal">
      <formula>-1</formula>
    </cfRule>
  </conditionalFormatting>
  <conditionalFormatting sqref="BB5">
    <cfRule type="cellIs" dxfId="37574" priority="108611" stopIfTrue="1" operator="lessThan">
      <formula>0.5</formula>
    </cfRule>
  </conditionalFormatting>
  <conditionalFormatting sqref="BB5">
    <cfRule type="cellIs" dxfId="37573" priority="108612" stopIfTrue="1" operator="greaterThanOrEqual">
      <formula>0.5</formula>
    </cfRule>
  </conditionalFormatting>
  <conditionalFormatting sqref="BB6">
    <cfRule type="cellIs" dxfId="37572" priority="108613" stopIfTrue="1" operator="equal">
      <formula>-1</formula>
    </cfRule>
  </conditionalFormatting>
  <conditionalFormatting sqref="BB6">
    <cfRule type="cellIs" dxfId="37571" priority="108614" stopIfTrue="1" operator="lessThan">
      <formula>0.5</formula>
    </cfRule>
  </conditionalFormatting>
  <conditionalFormatting sqref="BB6">
    <cfRule type="cellIs" dxfId="37570" priority="108615" stopIfTrue="1" operator="greaterThanOrEqual">
      <formula>0.5</formula>
    </cfRule>
  </conditionalFormatting>
  <conditionalFormatting sqref="BD5">
    <cfRule type="cellIs" dxfId="37569" priority="108616" stopIfTrue="1" operator="equal">
      <formula>-1</formula>
    </cfRule>
  </conditionalFormatting>
  <conditionalFormatting sqref="BD5">
    <cfRule type="cellIs" dxfId="37568" priority="108617" stopIfTrue="1" operator="lessThan">
      <formula>0.5</formula>
    </cfRule>
  </conditionalFormatting>
  <conditionalFormatting sqref="BD5">
    <cfRule type="cellIs" dxfId="37567" priority="108618" stopIfTrue="1" operator="greaterThanOrEqual">
      <formula>0.5</formula>
    </cfRule>
  </conditionalFormatting>
  <conditionalFormatting sqref="BD6">
    <cfRule type="cellIs" dxfId="37566" priority="108619" stopIfTrue="1" operator="equal">
      <formula>-1</formula>
    </cfRule>
  </conditionalFormatting>
  <conditionalFormatting sqref="BD6">
    <cfRule type="cellIs" dxfId="37565" priority="108620" stopIfTrue="1" operator="lessThan">
      <formula>0.5</formula>
    </cfRule>
  </conditionalFormatting>
  <conditionalFormatting sqref="BD6">
    <cfRule type="cellIs" dxfId="37564" priority="108621" stopIfTrue="1" operator="greaterThanOrEqual">
      <formula>0.5</formula>
    </cfRule>
  </conditionalFormatting>
  <conditionalFormatting sqref="BF5">
    <cfRule type="cellIs" dxfId="37563" priority="108622" stopIfTrue="1" operator="equal">
      <formula>-1</formula>
    </cfRule>
  </conditionalFormatting>
  <conditionalFormatting sqref="BF5">
    <cfRule type="cellIs" dxfId="37562" priority="108623" stopIfTrue="1" operator="lessThan">
      <formula>0.5</formula>
    </cfRule>
  </conditionalFormatting>
  <conditionalFormatting sqref="BF5">
    <cfRule type="cellIs" dxfId="37561" priority="108624" stopIfTrue="1" operator="greaterThanOrEqual">
      <formula>0.5</formula>
    </cfRule>
  </conditionalFormatting>
  <conditionalFormatting sqref="BF6">
    <cfRule type="cellIs" dxfId="37560" priority="108625" stopIfTrue="1" operator="equal">
      <formula>-1</formula>
    </cfRule>
  </conditionalFormatting>
  <conditionalFormatting sqref="BF6">
    <cfRule type="cellIs" dxfId="37559" priority="108626" stopIfTrue="1" operator="lessThan">
      <formula>0.5</formula>
    </cfRule>
  </conditionalFormatting>
  <conditionalFormatting sqref="BF6">
    <cfRule type="cellIs" dxfId="37558" priority="108627" stopIfTrue="1" operator="greaterThanOrEqual">
      <formula>0.5</formula>
    </cfRule>
  </conditionalFormatting>
  <conditionalFormatting sqref="BH5">
    <cfRule type="cellIs" dxfId="37557" priority="108628" stopIfTrue="1" operator="equal">
      <formula>-1</formula>
    </cfRule>
  </conditionalFormatting>
  <conditionalFormatting sqref="BH5">
    <cfRule type="cellIs" dxfId="37556" priority="108629" stopIfTrue="1" operator="lessThan">
      <formula>0.5</formula>
    </cfRule>
  </conditionalFormatting>
  <conditionalFormatting sqref="BH5">
    <cfRule type="cellIs" dxfId="37555" priority="108630" stopIfTrue="1" operator="greaterThanOrEqual">
      <formula>0.5</formula>
    </cfRule>
  </conditionalFormatting>
  <conditionalFormatting sqref="BH6">
    <cfRule type="cellIs" dxfId="37554" priority="108631" stopIfTrue="1" operator="equal">
      <formula>-1</formula>
    </cfRule>
  </conditionalFormatting>
  <conditionalFormatting sqref="BH6">
    <cfRule type="cellIs" dxfId="37553" priority="108632" stopIfTrue="1" operator="lessThan">
      <formula>0.5</formula>
    </cfRule>
  </conditionalFormatting>
  <conditionalFormatting sqref="BH6">
    <cfRule type="cellIs" dxfId="37552" priority="108633" stopIfTrue="1" operator="greaterThanOrEqual">
      <formula>0.5</formula>
    </cfRule>
  </conditionalFormatting>
  <conditionalFormatting sqref="BJ5">
    <cfRule type="cellIs" dxfId="37551" priority="108634" stopIfTrue="1" operator="equal">
      <formula>-1</formula>
    </cfRule>
  </conditionalFormatting>
  <conditionalFormatting sqref="BJ5">
    <cfRule type="cellIs" dxfId="37550" priority="108635" stopIfTrue="1" operator="lessThan">
      <formula>0.5</formula>
    </cfRule>
  </conditionalFormatting>
  <conditionalFormatting sqref="BJ5">
    <cfRule type="cellIs" dxfId="37549" priority="108636" stopIfTrue="1" operator="greaterThanOrEqual">
      <formula>0.5</formula>
    </cfRule>
  </conditionalFormatting>
  <conditionalFormatting sqref="BJ6">
    <cfRule type="cellIs" dxfId="37548" priority="108637" stopIfTrue="1" operator="equal">
      <formula>-1</formula>
    </cfRule>
  </conditionalFormatting>
  <conditionalFormatting sqref="BJ6">
    <cfRule type="cellIs" dxfId="37547" priority="108638" stopIfTrue="1" operator="lessThan">
      <formula>0.5</formula>
    </cfRule>
  </conditionalFormatting>
  <conditionalFormatting sqref="BJ6">
    <cfRule type="cellIs" dxfId="37546" priority="108639" stopIfTrue="1" operator="greaterThanOrEqual">
      <formula>0.5</formula>
    </cfRule>
  </conditionalFormatting>
  <conditionalFormatting sqref="D8">
    <cfRule type="cellIs" dxfId="37545" priority="108640" stopIfTrue="1" operator="equal">
      <formula>-1</formula>
    </cfRule>
  </conditionalFormatting>
  <conditionalFormatting sqref="D8">
    <cfRule type="cellIs" dxfId="37544" priority="108641" stopIfTrue="1" operator="lessThan">
      <formula>0.5</formula>
    </cfRule>
  </conditionalFormatting>
  <conditionalFormatting sqref="D8">
    <cfRule type="cellIs" dxfId="37543" priority="108642" stopIfTrue="1" operator="greaterThanOrEqual">
      <formula>0.5</formula>
    </cfRule>
  </conditionalFormatting>
  <conditionalFormatting sqref="D9">
    <cfRule type="cellIs" dxfId="37542" priority="108643" stopIfTrue="1" operator="equal">
      <formula>-1</formula>
    </cfRule>
  </conditionalFormatting>
  <conditionalFormatting sqref="D9">
    <cfRule type="cellIs" dxfId="37541" priority="108644" stopIfTrue="1" operator="lessThan">
      <formula>0.5</formula>
    </cfRule>
  </conditionalFormatting>
  <conditionalFormatting sqref="D9">
    <cfRule type="cellIs" dxfId="37540" priority="108645" stopIfTrue="1" operator="greaterThanOrEqual">
      <formula>0.5</formula>
    </cfRule>
  </conditionalFormatting>
  <conditionalFormatting sqref="D10">
    <cfRule type="cellIs" dxfId="37539" priority="108646" stopIfTrue="1" operator="equal">
      <formula>-1</formula>
    </cfRule>
  </conditionalFormatting>
  <conditionalFormatting sqref="D10">
    <cfRule type="cellIs" dxfId="37538" priority="108647" stopIfTrue="1" operator="lessThan">
      <formula>0.5</formula>
    </cfRule>
  </conditionalFormatting>
  <conditionalFormatting sqref="D10">
    <cfRule type="cellIs" dxfId="37537" priority="108648" stopIfTrue="1" operator="greaterThanOrEqual">
      <formula>0.5</formula>
    </cfRule>
  </conditionalFormatting>
  <conditionalFormatting sqref="D11">
    <cfRule type="cellIs" dxfId="37536" priority="108649" stopIfTrue="1" operator="equal">
      <formula>-1</formula>
    </cfRule>
  </conditionalFormatting>
  <conditionalFormatting sqref="D11">
    <cfRule type="cellIs" dxfId="37535" priority="108650" stopIfTrue="1" operator="lessThan">
      <formula>0.5</formula>
    </cfRule>
  </conditionalFormatting>
  <conditionalFormatting sqref="D11">
    <cfRule type="cellIs" dxfId="37534" priority="108651" stopIfTrue="1" operator="greaterThanOrEqual">
      <formula>0.5</formula>
    </cfRule>
  </conditionalFormatting>
  <conditionalFormatting sqref="D12">
    <cfRule type="cellIs" dxfId="37533" priority="108652" stopIfTrue="1" operator="equal">
      <formula>-1</formula>
    </cfRule>
  </conditionalFormatting>
  <conditionalFormatting sqref="D12">
    <cfRule type="cellIs" dxfId="37532" priority="108653" stopIfTrue="1" operator="lessThan">
      <formula>0.5</formula>
    </cfRule>
  </conditionalFormatting>
  <conditionalFormatting sqref="D12">
    <cfRule type="cellIs" dxfId="37531" priority="108654" stopIfTrue="1" operator="greaterThanOrEqual">
      <formula>0.5</formula>
    </cfRule>
  </conditionalFormatting>
  <conditionalFormatting sqref="D13">
    <cfRule type="cellIs" dxfId="37530" priority="108655" stopIfTrue="1" operator="equal">
      <formula>-1</formula>
    </cfRule>
  </conditionalFormatting>
  <conditionalFormatting sqref="D13">
    <cfRule type="cellIs" dxfId="37529" priority="108656" stopIfTrue="1" operator="lessThan">
      <formula>0.5</formula>
    </cfRule>
  </conditionalFormatting>
  <conditionalFormatting sqref="D13">
    <cfRule type="cellIs" dxfId="37528" priority="108657" stopIfTrue="1" operator="greaterThanOrEqual">
      <formula>0.5</formula>
    </cfRule>
  </conditionalFormatting>
  <conditionalFormatting sqref="D14">
    <cfRule type="cellIs" dxfId="37527" priority="108658" stopIfTrue="1" operator="equal">
      <formula>-1</formula>
    </cfRule>
  </conditionalFormatting>
  <conditionalFormatting sqref="D14">
    <cfRule type="cellIs" dxfId="37526" priority="108659" stopIfTrue="1" operator="lessThan">
      <formula>0.5</formula>
    </cfRule>
  </conditionalFormatting>
  <conditionalFormatting sqref="D14">
    <cfRule type="cellIs" dxfId="37525" priority="108660" stopIfTrue="1" operator="greaterThanOrEqual">
      <formula>0.5</formula>
    </cfRule>
  </conditionalFormatting>
  <conditionalFormatting sqref="D15">
    <cfRule type="cellIs" dxfId="37524" priority="108661" stopIfTrue="1" operator="equal">
      <formula>-1</formula>
    </cfRule>
  </conditionalFormatting>
  <conditionalFormatting sqref="D15">
    <cfRule type="cellIs" dxfId="37523" priority="108662" stopIfTrue="1" operator="lessThan">
      <formula>0.5</formula>
    </cfRule>
  </conditionalFormatting>
  <conditionalFormatting sqref="D15">
    <cfRule type="cellIs" dxfId="37522" priority="108663" stopIfTrue="1" operator="greaterThanOrEqual">
      <formula>0.5</formula>
    </cfRule>
  </conditionalFormatting>
  <conditionalFormatting sqref="F8">
    <cfRule type="cellIs" dxfId="37521" priority="108664" stopIfTrue="1" operator="equal">
      <formula>-1</formula>
    </cfRule>
  </conditionalFormatting>
  <conditionalFormatting sqref="F8">
    <cfRule type="cellIs" dxfId="37520" priority="108665" stopIfTrue="1" operator="lessThan">
      <formula>0.5</formula>
    </cfRule>
  </conditionalFormatting>
  <conditionalFormatting sqref="F8">
    <cfRule type="cellIs" dxfId="37519" priority="108666" stopIfTrue="1" operator="greaterThanOrEqual">
      <formula>0.5</formula>
    </cfRule>
  </conditionalFormatting>
  <conditionalFormatting sqref="F9">
    <cfRule type="cellIs" dxfId="37518" priority="108667" stopIfTrue="1" operator="equal">
      <formula>-1</formula>
    </cfRule>
  </conditionalFormatting>
  <conditionalFormatting sqref="F9">
    <cfRule type="cellIs" dxfId="37517" priority="108668" stopIfTrue="1" operator="lessThan">
      <formula>0.5</formula>
    </cfRule>
  </conditionalFormatting>
  <conditionalFormatting sqref="F9">
    <cfRule type="cellIs" dxfId="37516" priority="108669" stopIfTrue="1" operator="greaterThanOrEqual">
      <formula>0.5</formula>
    </cfRule>
  </conditionalFormatting>
  <conditionalFormatting sqref="F10">
    <cfRule type="cellIs" dxfId="37515" priority="108670" stopIfTrue="1" operator="equal">
      <formula>-1</formula>
    </cfRule>
  </conditionalFormatting>
  <conditionalFormatting sqref="F10">
    <cfRule type="cellIs" dxfId="37514" priority="108671" stopIfTrue="1" operator="lessThan">
      <formula>0.5</formula>
    </cfRule>
  </conditionalFormatting>
  <conditionalFormatting sqref="F10">
    <cfRule type="cellIs" dxfId="37513" priority="108672" stopIfTrue="1" operator="greaterThanOrEqual">
      <formula>0.5</formula>
    </cfRule>
  </conditionalFormatting>
  <conditionalFormatting sqref="F11">
    <cfRule type="cellIs" dxfId="37512" priority="108673" stopIfTrue="1" operator="equal">
      <formula>-1</formula>
    </cfRule>
  </conditionalFormatting>
  <conditionalFormatting sqref="F11">
    <cfRule type="cellIs" dxfId="37511" priority="108674" stopIfTrue="1" operator="lessThan">
      <formula>0.5</formula>
    </cfRule>
  </conditionalFormatting>
  <conditionalFormatting sqref="F11">
    <cfRule type="cellIs" dxfId="37510" priority="108675" stopIfTrue="1" operator="greaterThanOrEqual">
      <formula>0.5</formula>
    </cfRule>
  </conditionalFormatting>
  <conditionalFormatting sqref="F12">
    <cfRule type="cellIs" dxfId="37509" priority="108676" stopIfTrue="1" operator="equal">
      <formula>-1</formula>
    </cfRule>
  </conditionalFormatting>
  <conditionalFormatting sqref="F12">
    <cfRule type="cellIs" dxfId="37508" priority="108677" stopIfTrue="1" operator="lessThan">
      <formula>0.5</formula>
    </cfRule>
  </conditionalFormatting>
  <conditionalFormatting sqref="F12">
    <cfRule type="cellIs" dxfId="37507" priority="108678" stopIfTrue="1" operator="greaterThanOrEqual">
      <formula>0.5</formula>
    </cfRule>
  </conditionalFormatting>
  <conditionalFormatting sqref="F13">
    <cfRule type="cellIs" dxfId="37506" priority="108679" stopIfTrue="1" operator="equal">
      <formula>-1</formula>
    </cfRule>
  </conditionalFormatting>
  <conditionalFormatting sqref="F13">
    <cfRule type="cellIs" dxfId="37505" priority="108680" stopIfTrue="1" operator="lessThan">
      <formula>0.5</formula>
    </cfRule>
  </conditionalFormatting>
  <conditionalFormatting sqref="F13">
    <cfRule type="cellIs" dxfId="37504" priority="108681" stopIfTrue="1" operator="greaterThanOrEqual">
      <formula>0.5</formula>
    </cfRule>
  </conditionalFormatting>
  <conditionalFormatting sqref="F14">
    <cfRule type="cellIs" dxfId="37503" priority="108682" stopIfTrue="1" operator="equal">
      <formula>-1</formula>
    </cfRule>
  </conditionalFormatting>
  <conditionalFormatting sqref="F14">
    <cfRule type="cellIs" dxfId="37502" priority="108683" stopIfTrue="1" operator="lessThan">
      <formula>0.5</formula>
    </cfRule>
  </conditionalFormatting>
  <conditionalFormatting sqref="F14">
    <cfRule type="cellIs" dxfId="37501" priority="108684" stopIfTrue="1" operator="greaterThanOrEqual">
      <formula>0.5</formula>
    </cfRule>
  </conditionalFormatting>
  <conditionalFormatting sqref="F15">
    <cfRule type="cellIs" dxfId="37500" priority="108685" stopIfTrue="1" operator="equal">
      <formula>-1</formula>
    </cfRule>
  </conditionalFormatting>
  <conditionalFormatting sqref="F15">
    <cfRule type="cellIs" dxfId="37499" priority="108686" stopIfTrue="1" operator="lessThan">
      <formula>0.5</formula>
    </cfRule>
  </conditionalFormatting>
  <conditionalFormatting sqref="F15">
    <cfRule type="cellIs" dxfId="37498" priority="108687" stopIfTrue="1" operator="greaterThanOrEqual">
      <formula>0.5</formula>
    </cfRule>
  </conditionalFormatting>
  <conditionalFormatting sqref="H8">
    <cfRule type="cellIs" dxfId="37497" priority="108688" stopIfTrue="1" operator="equal">
      <formula>-1</formula>
    </cfRule>
  </conditionalFormatting>
  <conditionalFormatting sqref="H8">
    <cfRule type="cellIs" dxfId="37496" priority="108689" stopIfTrue="1" operator="lessThan">
      <formula>0.5</formula>
    </cfRule>
  </conditionalFormatting>
  <conditionalFormatting sqref="H8">
    <cfRule type="cellIs" dxfId="37495" priority="108690" stopIfTrue="1" operator="greaterThanOrEqual">
      <formula>0.5</formula>
    </cfRule>
  </conditionalFormatting>
  <conditionalFormatting sqref="H9">
    <cfRule type="cellIs" dxfId="37494" priority="108691" stopIfTrue="1" operator="equal">
      <formula>-1</formula>
    </cfRule>
  </conditionalFormatting>
  <conditionalFormatting sqref="H9">
    <cfRule type="cellIs" dxfId="37493" priority="108692" stopIfTrue="1" operator="lessThan">
      <formula>0.5</formula>
    </cfRule>
  </conditionalFormatting>
  <conditionalFormatting sqref="H9">
    <cfRule type="cellIs" dxfId="37492" priority="108693" stopIfTrue="1" operator="greaterThanOrEqual">
      <formula>0.5</formula>
    </cfRule>
  </conditionalFormatting>
  <conditionalFormatting sqref="H10">
    <cfRule type="cellIs" dxfId="37491" priority="108694" stopIfTrue="1" operator="equal">
      <formula>-1</formula>
    </cfRule>
  </conditionalFormatting>
  <conditionalFormatting sqref="H10">
    <cfRule type="cellIs" dxfId="37490" priority="108695" stopIfTrue="1" operator="lessThan">
      <formula>0.5</formula>
    </cfRule>
  </conditionalFormatting>
  <conditionalFormatting sqref="H10">
    <cfRule type="cellIs" dxfId="37489" priority="108696" stopIfTrue="1" operator="greaterThanOrEqual">
      <formula>0.5</formula>
    </cfRule>
  </conditionalFormatting>
  <conditionalFormatting sqref="H11">
    <cfRule type="cellIs" dxfId="37488" priority="108697" stopIfTrue="1" operator="equal">
      <formula>-1</formula>
    </cfRule>
  </conditionalFormatting>
  <conditionalFormatting sqref="H11">
    <cfRule type="cellIs" dxfId="37487" priority="108698" stopIfTrue="1" operator="lessThan">
      <formula>0.5</formula>
    </cfRule>
  </conditionalFormatting>
  <conditionalFormatting sqref="H11">
    <cfRule type="cellIs" dxfId="37486" priority="108699" stopIfTrue="1" operator="greaterThanOrEqual">
      <formula>0.5</formula>
    </cfRule>
  </conditionalFormatting>
  <conditionalFormatting sqref="H12">
    <cfRule type="cellIs" dxfId="37485" priority="108700" stopIfTrue="1" operator="equal">
      <formula>-1</formula>
    </cfRule>
  </conditionalFormatting>
  <conditionalFormatting sqref="H12">
    <cfRule type="cellIs" dxfId="37484" priority="108701" stopIfTrue="1" operator="lessThan">
      <formula>0.5</formula>
    </cfRule>
  </conditionalFormatting>
  <conditionalFormatting sqref="H12">
    <cfRule type="cellIs" dxfId="37483" priority="108702" stopIfTrue="1" operator="greaterThanOrEqual">
      <formula>0.5</formula>
    </cfRule>
  </conditionalFormatting>
  <conditionalFormatting sqref="H13">
    <cfRule type="cellIs" dxfId="37482" priority="108703" stopIfTrue="1" operator="equal">
      <formula>-1</formula>
    </cfRule>
  </conditionalFormatting>
  <conditionalFormatting sqref="H13">
    <cfRule type="cellIs" dxfId="37481" priority="108704" stopIfTrue="1" operator="lessThan">
      <formula>0.5</formula>
    </cfRule>
  </conditionalFormatting>
  <conditionalFormatting sqref="H13">
    <cfRule type="cellIs" dxfId="37480" priority="108705" stopIfTrue="1" operator="greaterThanOrEqual">
      <formula>0.5</formula>
    </cfRule>
  </conditionalFormatting>
  <conditionalFormatting sqref="H14">
    <cfRule type="cellIs" dxfId="37479" priority="108706" stopIfTrue="1" operator="equal">
      <formula>-1</formula>
    </cfRule>
  </conditionalFormatting>
  <conditionalFormatting sqref="H14">
    <cfRule type="cellIs" dxfId="37478" priority="108707" stopIfTrue="1" operator="lessThan">
      <formula>0.5</formula>
    </cfRule>
  </conditionalFormatting>
  <conditionalFormatting sqref="H14">
    <cfRule type="cellIs" dxfId="37477" priority="108708" stopIfTrue="1" operator="greaterThanOrEqual">
      <formula>0.5</formula>
    </cfRule>
  </conditionalFormatting>
  <conditionalFormatting sqref="H15">
    <cfRule type="cellIs" dxfId="37476" priority="108709" stopIfTrue="1" operator="equal">
      <formula>-1</formula>
    </cfRule>
  </conditionalFormatting>
  <conditionalFormatting sqref="H15">
    <cfRule type="cellIs" dxfId="37475" priority="108710" stopIfTrue="1" operator="lessThan">
      <formula>0.5</formula>
    </cfRule>
  </conditionalFormatting>
  <conditionalFormatting sqref="H15">
    <cfRule type="cellIs" dxfId="37474" priority="108711" stopIfTrue="1" operator="greaterThanOrEqual">
      <formula>0.5</formula>
    </cfRule>
  </conditionalFormatting>
  <conditionalFormatting sqref="J8">
    <cfRule type="cellIs" dxfId="37473" priority="108712" stopIfTrue="1" operator="equal">
      <formula>-1</formula>
    </cfRule>
  </conditionalFormatting>
  <conditionalFormatting sqref="J8">
    <cfRule type="cellIs" dxfId="37472" priority="108713" stopIfTrue="1" operator="lessThan">
      <formula>0.5</formula>
    </cfRule>
  </conditionalFormatting>
  <conditionalFormatting sqref="J8">
    <cfRule type="cellIs" dxfId="37471" priority="108714" stopIfTrue="1" operator="greaterThanOrEqual">
      <formula>0.5</formula>
    </cfRule>
  </conditionalFormatting>
  <conditionalFormatting sqref="J9">
    <cfRule type="cellIs" dxfId="37470" priority="108715" stopIfTrue="1" operator="equal">
      <formula>-1</formula>
    </cfRule>
  </conditionalFormatting>
  <conditionalFormatting sqref="J9">
    <cfRule type="cellIs" dxfId="37469" priority="108716" stopIfTrue="1" operator="lessThan">
      <formula>0.5</formula>
    </cfRule>
  </conditionalFormatting>
  <conditionalFormatting sqref="J9">
    <cfRule type="cellIs" dxfId="37468" priority="108717" stopIfTrue="1" operator="greaterThanOrEqual">
      <formula>0.5</formula>
    </cfRule>
  </conditionalFormatting>
  <conditionalFormatting sqref="J10">
    <cfRule type="cellIs" dxfId="37467" priority="108718" stopIfTrue="1" operator="equal">
      <formula>-1</formula>
    </cfRule>
  </conditionalFormatting>
  <conditionalFormatting sqref="J10">
    <cfRule type="cellIs" dxfId="37466" priority="108719" stopIfTrue="1" operator="lessThan">
      <formula>0.5</formula>
    </cfRule>
  </conditionalFormatting>
  <conditionalFormatting sqref="J10">
    <cfRule type="cellIs" dxfId="37465" priority="108720" stopIfTrue="1" operator="greaterThanOrEqual">
      <formula>0.5</formula>
    </cfRule>
  </conditionalFormatting>
  <conditionalFormatting sqref="J11">
    <cfRule type="cellIs" dxfId="37464" priority="108721" stopIfTrue="1" operator="equal">
      <formula>-1</formula>
    </cfRule>
  </conditionalFormatting>
  <conditionalFormatting sqref="J11">
    <cfRule type="cellIs" dxfId="37463" priority="108722" stopIfTrue="1" operator="lessThan">
      <formula>0.5</formula>
    </cfRule>
  </conditionalFormatting>
  <conditionalFormatting sqref="J11">
    <cfRule type="cellIs" dxfId="37462" priority="108723" stopIfTrue="1" operator="greaterThanOrEqual">
      <formula>0.5</formula>
    </cfRule>
  </conditionalFormatting>
  <conditionalFormatting sqref="J12">
    <cfRule type="cellIs" dxfId="37461" priority="108724" stopIfTrue="1" operator="equal">
      <formula>-1</formula>
    </cfRule>
  </conditionalFormatting>
  <conditionalFormatting sqref="J12">
    <cfRule type="cellIs" dxfId="37460" priority="108725" stopIfTrue="1" operator="lessThan">
      <formula>0.5</formula>
    </cfRule>
  </conditionalFormatting>
  <conditionalFormatting sqref="J12">
    <cfRule type="cellIs" dxfId="37459" priority="108726" stopIfTrue="1" operator="greaterThanOrEqual">
      <formula>0.5</formula>
    </cfRule>
  </conditionalFormatting>
  <conditionalFormatting sqref="J13">
    <cfRule type="cellIs" dxfId="37458" priority="108727" stopIfTrue="1" operator="equal">
      <formula>-1</formula>
    </cfRule>
  </conditionalFormatting>
  <conditionalFormatting sqref="J13">
    <cfRule type="cellIs" dxfId="37457" priority="108728" stopIfTrue="1" operator="lessThan">
      <formula>0.5</formula>
    </cfRule>
  </conditionalFormatting>
  <conditionalFormatting sqref="J13">
    <cfRule type="cellIs" dxfId="37456" priority="108729" stopIfTrue="1" operator="greaterThanOrEqual">
      <formula>0.5</formula>
    </cfRule>
  </conditionalFormatting>
  <conditionalFormatting sqref="J14">
    <cfRule type="cellIs" dxfId="37455" priority="108730" stopIfTrue="1" operator="equal">
      <formula>-1</formula>
    </cfRule>
  </conditionalFormatting>
  <conditionalFormatting sqref="J14">
    <cfRule type="cellIs" dxfId="37454" priority="108731" stopIfTrue="1" operator="lessThan">
      <formula>0.5</formula>
    </cfRule>
  </conditionalFormatting>
  <conditionalFormatting sqref="J14">
    <cfRule type="cellIs" dxfId="37453" priority="108732" stopIfTrue="1" operator="greaterThanOrEqual">
      <formula>0.5</formula>
    </cfRule>
  </conditionalFormatting>
  <conditionalFormatting sqref="J15">
    <cfRule type="cellIs" dxfId="37452" priority="108733" stopIfTrue="1" operator="equal">
      <formula>-1</formula>
    </cfRule>
  </conditionalFormatting>
  <conditionalFormatting sqref="J15">
    <cfRule type="cellIs" dxfId="37451" priority="108734" stopIfTrue="1" operator="lessThan">
      <formula>0.5</formula>
    </cfRule>
  </conditionalFormatting>
  <conditionalFormatting sqref="J15">
    <cfRule type="cellIs" dxfId="37450" priority="108735" stopIfTrue="1" operator="greaterThanOrEqual">
      <formula>0.5</formula>
    </cfRule>
  </conditionalFormatting>
  <conditionalFormatting sqref="L8">
    <cfRule type="cellIs" dxfId="37449" priority="108736" stopIfTrue="1" operator="equal">
      <formula>-1</formula>
    </cfRule>
  </conditionalFormatting>
  <conditionalFormatting sqref="L8">
    <cfRule type="cellIs" dxfId="37448" priority="108737" stopIfTrue="1" operator="lessThan">
      <formula>0.5</formula>
    </cfRule>
  </conditionalFormatting>
  <conditionalFormatting sqref="L8">
    <cfRule type="cellIs" dxfId="37447" priority="108738" stopIfTrue="1" operator="greaterThanOrEqual">
      <formula>0.5</formula>
    </cfRule>
  </conditionalFormatting>
  <conditionalFormatting sqref="L9">
    <cfRule type="cellIs" dxfId="37446" priority="108739" stopIfTrue="1" operator="equal">
      <formula>-1</formula>
    </cfRule>
  </conditionalFormatting>
  <conditionalFormatting sqref="L9">
    <cfRule type="cellIs" dxfId="37445" priority="108740" stopIfTrue="1" operator="lessThan">
      <formula>0.5</formula>
    </cfRule>
  </conditionalFormatting>
  <conditionalFormatting sqref="L9">
    <cfRule type="cellIs" dxfId="37444" priority="108741" stopIfTrue="1" operator="greaterThanOrEqual">
      <formula>0.5</formula>
    </cfRule>
  </conditionalFormatting>
  <conditionalFormatting sqref="L10">
    <cfRule type="cellIs" dxfId="37443" priority="108742" stopIfTrue="1" operator="equal">
      <formula>-1</formula>
    </cfRule>
  </conditionalFormatting>
  <conditionalFormatting sqref="L10">
    <cfRule type="cellIs" dxfId="37442" priority="108743" stopIfTrue="1" operator="lessThan">
      <formula>0.5</formula>
    </cfRule>
  </conditionalFormatting>
  <conditionalFormatting sqref="L10">
    <cfRule type="cellIs" dxfId="37441" priority="108744" stopIfTrue="1" operator="greaterThanOrEqual">
      <formula>0.5</formula>
    </cfRule>
  </conditionalFormatting>
  <conditionalFormatting sqref="L11">
    <cfRule type="cellIs" dxfId="37440" priority="108745" stopIfTrue="1" operator="equal">
      <formula>-1</formula>
    </cfRule>
  </conditionalFormatting>
  <conditionalFormatting sqref="L11">
    <cfRule type="cellIs" dxfId="37439" priority="108746" stopIfTrue="1" operator="lessThan">
      <formula>0.5</formula>
    </cfRule>
  </conditionalFormatting>
  <conditionalFormatting sqref="L11">
    <cfRule type="cellIs" dxfId="37438" priority="108747" stopIfTrue="1" operator="greaterThanOrEqual">
      <formula>0.5</formula>
    </cfRule>
  </conditionalFormatting>
  <conditionalFormatting sqref="L12">
    <cfRule type="cellIs" dxfId="37437" priority="108748" stopIfTrue="1" operator="equal">
      <formula>-1</formula>
    </cfRule>
  </conditionalFormatting>
  <conditionalFormatting sqref="L12">
    <cfRule type="cellIs" dxfId="37436" priority="108749" stopIfTrue="1" operator="lessThan">
      <formula>0.5</formula>
    </cfRule>
  </conditionalFormatting>
  <conditionalFormatting sqref="L12">
    <cfRule type="cellIs" dxfId="37435" priority="108750" stopIfTrue="1" operator="greaterThanOrEqual">
      <formula>0.5</formula>
    </cfRule>
  </conditionalFormatting>
  <conditionalFormatting sqref="L13">
    <cfRule type="cellIs" dxfId="37434" priority="108751" stopIfTrue="1" operator="equal">
      <formula>-1</formula>
    </cfRule>
  </conditionalFormatting>
  <conditionalFormatting sqref="L13">
    <cfRule type="cellIs" dxfId="37433" priority="108752" stopIfTrue="1" operator="lessThan">
      <formula>0.5</formula>
    </cfRule>
  </conditionalFormatting>
  <conditionalFormatting sqref="L13">
    <cfRule type="cellIs" dxfId="37432" priority="108753" stopIfTrue="1" operator="greaterThanOrEqual">
      <formula>0.5</formula>
    </cfRule>
  </conditionalFormatting>
  <conditionalFormatting sqref="L14">
    <cfRule type="cellIs" dxfId="37431" priority="108754" stopIfTrue="1" operator="equal">
      <formula>-1</formula>
    </cfRule>
  </conditionalFormatting>
  <conditionalFormatting sqref="L14">
    <cfRule type="cellIs" dxfId="37430" priority="108755" stopIfTrue="1" operator="lessThan">
      <formula>0.5</formula>
    </cfRule>
  </conditionalFormatting>
  <conditionalFormatting sqref="L14">
    <cfRule type="cellIs" dxfId="37429" priority="108756" stopIfTrue="1" operator="greaterThanOrEqual">
      <formula>0.5</formula>
    </cfRule>
  </conditionalFormatting>
  <conditionalFormatting sqref="L15">
    <cfRule type="cellIs" dxfId="37428" priority="108757" stopIfTrue="1" operator="equal">
      <formula>-1</formula>
    </cfRule>
  </conditionalFormatting>
  <conditionalFormatting sqref="L15">
    <cfRule type="cellIs" dxfId="37427" priority="108758" stopIfTrue="1" operator="lessThan">
      <formula>0.5</formula>
    </cfRule>
  </conditionalFormatting>
  <conditionalFormatting sqref="L15">
    <cfRule type="cellIs" dxfId="37426" priority="108759" stopIfTrue="1" operator="greaterThanOrEqual">
      <formula>0.5</formula>
    </cfRule>
  </conditionalFormatting>
  <conditionalFormatting sqref="N8">
    <cfRule type="cellIs" dxfId="37425" priority="108760" stopIfTrue="1" operator="equal">
      <formula>-1</formula>
    </cfRule>
  </conditionalFormatting>
  <conditionalFormatting sqref="N8">
    <cfRule type="cellIs" dxfId="37424" priority="108761" stopIfTrue="1" operator="lessThan">
      <formula>0.5</formula>
    </cfRule>
  </conditionalFormatting>
  <conditionalFormatting sqref="N8">
    <cfRule type="cellIs" dxfId="37423" priority="108762" stopIfTrue="1" operator="greaterThanOrEqual">
      <formula>0.5</formula>
    </cfRule>
  </conditionalFormatting>
  <conditionalFormatting sqref="N9">
    <cfRule type="cellIs" dxfId="37422" priority="108763" stopIfTrue="1" operator="equal">
      <formula>-1</formula>
    </cfRule>
  </conditionalFormatting>
  <conditionalFormatting sqref="N9">
    <cfRule type="cellIs" dxfId="37421" priority="108764" stopIfTrue="1" operator="lessThan">
      <formula>0.5</formula>
    </cfRule>
  </conditionalFormatting>
  <conditionalFormatting sqref="N9">
    <cfRule type="cellIs" dxfId="37420" priority="108765" stopIfTrue="1" operator="greaterThanOrEqual">
      <formula>0.5</formula>
    </cfRule>
  </conditionalFormatting>
  <conditionalFormatting sqref="N10">
    <cfRule type="cellIs" dxfId="37419" priority="108766" stopIfTrue="1" operator="equal">
      <formula>-1</formula>
    </cfRule>
  </conditionalFormatting>
  <conditionalFormatting sqref="N10">
    <cfRule type="cellIs" dxfId="37418" priority="108767" stopIfTrue="1" operator="lessThan">
      <formula>0.5</formula>
    </cfRule>
  </conditionalFormatting>
  <conditionalFormatting sqref="N10">
    <cfRule type="cellIs" dxfId="37417" priority="108768" stopIfTrue="1" operator="greaterThanOrEqual">
      <formula>0.5</formula>
    </cfRule>
  </conditionalFormatting>
  <conditionalFormatting sqref="N11">
    <cfRule type="cellIs" dxfId="37416" priority="108769" stopIfTrue="1" operator="equal">
      <formula>-1</formula>
    </cfRule>
  </conditionalFormatting>
  <conditionalFormatting sqref="N11">
    <cfRule type="cellIs" dxfId="37415" priority="108770" stopIfTrue="1" operator="lessThan">
      <formula>0.5</formula>
    </cfRule>
  </conditionalFormatting>
  <conditionalFormatting sqref="N11">
    <cfRule type="cellIs" dxfId="37414" priority="108771" stopIfTrue="1" operator="greaterThanOrEqual">
      <formula>0.5</formula>
    </cfRule>
  </conditionalFormatting>
  <conditionalFormatting sqref="N12">
    <cfRule type="cellIs" dxfId="37413" priority="108772" stopIfTrue="1" operator="equal">
      <formula>-1</formula>
    </cfRule>
  </conditionalFormatting>
  <conditionalFormatting sqref="N12">
    <cfRule type="cellIs" dxfId="37412" priority="108773" stopIfTrue="1" operator="lessThan">
      <formula>0.5</formula>
    </cfRule>
  </conditionalFormatting>
  <conditionalFormatting sqref="N12">
    <cfRule type="cellIs" dxfId="37411" priority="108774" stopIfTrue="1" operator="greaterThanOrEqual">
      <formula>0.5</formula>
    </cfRule>
  </conditionalFormatting>
  <conditionalFormatting sqref="N13">
    <cfRule type="cellIs" dxfId="37410" priority="108775" stopIfTrue="1" operator="equal">
      <formula>-1</formula>
    </cfRule>
  </conditionalFormatting>
  <conditionalFormatting sqref="N13">
    <cfRule type="cellIs" dxfId="37409" priority="108776" stopIfTrue="1" operator="lessThan">
      <formula>0.5</formula>
    </cfRule>
  </conditionalFormatting>
  <conditionalFormatting sqref="N13">
    <cfRule type="cellIs" dxfId="37408" priority="108777" stopIfTrue="1" operator="greaterThanOrEqual">
      <formula>0.5</formula>
    </cfRule>
  </conditionalFormatting>
  <conditionalFormatting sqref="N14">
    <cfRule type="cellIs" dxfId="37407" priority="108778" stopIfTrue="1" operator="equal">
      <formula>-1</formula>
    </cfRule>
  </conditionalFormatting>
  <conditionalFormatting sqref="N14">
    <cfRule type="cellIs" dxfId="37406" priority="108779" stopIfTrue="1" operator="lessThan">
      <formula>0.5</formula>
    </cfRule>
  </conditionalFormatting>
  <conditionalFormatting sqref="N14">
    <cfRule type="cellIs" dxfId="37405" priority="108780" stopIfTrue="1" operator="greaterThanOrEqual">
      <formula>0.5</formula>
    </cfRule>
  </conditionalFormatting>
  <conditionalFormatting sqref="N15">
    <cfRule type="cellIs" dxfId="37404" priority="108781" stopIfTrue="1" operator="equal">
      <formula>-1</formula>
    </cfRule>
  </conditionalFormatting>
  <conditionalFormatting sqref="N15">
    <cfRule type="cellIs" dxfId="37403" priority="108782" stopIfTrue="1" operator="lessThan">
      <formula>0.5</formula>
    </cfRule>
  </conditionalFormatting>
  <conditionalFormatting sqref="N15">
    <cfRule type="cellIs" dxfId="37402" priority="108783" stopIfTrue="1" operator="greaterThanOrEqual">
      <formula>0.5</formula>
    </cfRule>
  </conditionalFormatting>
  <conditionalFormatting sqref="P8">
    <cfRule type="cellIs" dxfId="37401" priority="108784" stopIfTrue="1" operator="equal">
      <formula>-1</formula>
    </cfRule>
  </conditionalFormatting>
  <conditionalFormatting sqref="P8">
    <cfRule type="cellIs" dxfId="37400" priority="108785" stopIfTrue="1" operator="lessThan">
      <formula>0.5</formula>
    </cfRule>
  </conditionalFormatting>
  <conditionalFormatting sqref="P8">
    <cfRule type="cellIs" dxfId="37399" priority="108786" stopIfTrue="1" operator="greaterThanOrEqual">
      <formula>0.5</formula>
    </cfRule>
  </conditionalFormatting>
  <conditionalFormatting sqref="P9">
    <cfRule type="cellIs" dxfId="37398" priority="108787" stopIfTrue="1" operator="equal">
      <formula>-1</formula>
    </cfRule>
  </conditionalFormatting>
  <conditionalFormatting sqref="P9">
    <cfRule type="cellIs" dxfId="37397" priority="108788" stopIfTrue="1" operator="lessThan">
      <formula>0.5</formula>
    </cfRule>
  </conditionalFormatting>
  <conditionalFormatting sqref="P9">
    <cfRule type="cellIs" dxfId="37396" priority="108789" stopIfTrue="1" operator="greaterThanOrEqual">
      <formula>0.5</formula>
    </cfRule>
  </conditionalFormatting>
  <conditionalFormatting sqref="P10">
    <cfRule type="cellIs" dxfId="37395" priority="108790" stopIfTrue="1" operator="equal">
      <formula>-1</formula>
    </cfRule>
  </conditionalFormatting>
  <conditionalFormatting sqref="P10">
    <cfRule type="cellIs" dxfId="37394" priority="108791" stopIfTrue="1" operator="lessThan">
      <formula>0.5</formula>
    </cfRule>
  </conditionalFormatting>
  <conditionalFormatting sqref="P10">
    <cfRule type="cellIs" dxfId="37393" priority="108792" stopIfTrue="1" operator="greaterThanOrEqual">
      <formula>0.5</formula>
    </cfRule>
  </conditionalFormatting>
  <conditionalFormatting sqref="P11">
    <cfRule type="cellIs" dxfId="37392" priority="108793" stopIfTrue="1" operator="equal">
      <formula>-1</formula>
    </cfRule>
  </conditionalFormatting>
  <conditionalFormatting sqref="P11">
    <cfRule type="cellIs" dxfId="37391" priority="108794" stopIfTrue="1" operator="lessThan">
      <formula>0.5</formula>
    </cfRule>
  </conditionalFormatting>
  <conditionalFormatting sqref="P11">
    <cfRule type="cellIs" dxfId="37390" priority="108795" stopIfTrue="1" operator="greaterThanOrEqual">
      <formula>0.5</formula>
    </cfRule>
  </conditionalFormatting>
  <conditionalFormatting sqref="P12">
    <cfRule type="cellIs" dxfId="37389" priority="108796" stopIfTrue="1" operator="equal">
      <formula>-1</formula>
    </cfRule>
  </conditionalFormatting>
  <conditionalFormatting sqref="P12">
    <cfRule type="cellIs" dxfId="37388" priority="108797" stopIfTrue="1" operator="lessThan">
      <formula>0.5</formula>
    </cfRule>
  </conditionalFormatting>
  <conditionalFormatting sqref="P12">
    <cfRule type="cellIs" dxfId="37387" priority="108798" stopIfTrue="1" operator="greaterThanOrEqual">
      <formula>0.5</formula>
    </cfRule>
  </conditionalFormatting>
  <conditionalFormatting sqref="P13">
    <cfRule type="cellIs" dxfId="37386" priority="108799" stopIfTrue="1" operator="equal">
      <formula>-1</formula>
    </cfRule>
  </conditionalFormatting>
  <conditionalFormatting sqref="P13">
    <cfRule type="cellIs" dxfId="37385" priority="108800" stopIfTrue="1" operator="lessThan">
      <formula>0.5</formula>
    </cfRule>
  </conditionalFormatting>
  <conditionalFormatting sqref="P13">
    <cfRule type="cellIs" dxfId="37384" priority="108801" stopIfTrue="1" operator="greaterThanOrEqual">
      <formula>0.5</formula>
    </cfRule>
  </conditionalFormatting>
  <conditionalFormatting sqref="P14">
    <cfRule type="cellIs" dxfId="37383" priority="108802" stopIfTrue="1" operator="equal">
      <formula>-1</formula>
    </cfRule>
  </conditionalFormatting>
  <conditionalFormatting sqref="P14">
    <cfRule type="cellIs" dxfId="37382" priority="108803" stopIfTrue="1" operator="lessThan">
      <formula>0.5</formula>
    </cfRule>
  </conditionalFormatting>
  <conditionalFormatting sqref="P14">
    <cfRule type="cellIs" dxfId="37381" priority="108804" stopIfTrue="1" operator="greaterThanOrEqual">
      <formula>0.5</formula>
    </cfRule>
  </conditionalFormatting>
  <conditionalFormatting sqref="P15">
    <cfRule type="cellIs" dxfId="37380" priority="108805" stopIfTrue="1" operator="equal">
      <formula>-1</formula>
    </cfRule>
  </conditionalFormatting>
  <conditionalFormatting sqref="P15">
    <cfRule type="cellIs" dxfId="37379" priority="108806" stopIfTrue="1" operator="lessThan">
      <formula>0.5</formula>
    </cfRule>
  </conditionalFormatting>
  <conditionalFormatting sqref="P15">
    <cfRule type="cellIs" dxfId="37378" priority="108807" stopIfTrue="1" operator="greaterThanOrEqual">
      <formula>0.5</formula>
    </cfRule>
  </conditionalFormatting>
  <conditionalFormatting sqref="R8">
    <cfRule type="cellIs" dxfId="37377" priority="108808" stopIfTrue="1" operator="equal">
      <formula>-1</formula>
    </cfRule>
  </conditionalFormatting>
  <conditionalFormatting sqref="R8">
    <cfRule type="cellIs" dxfId="37376" priority="108809" stopIfTrue="1" operator="lessThan">
      <formula>0.5</formula>
    </cfRule>
  </conditionalFormatting>
  <conditionalFormatting sqref="R8">
    <cfRule type="cellIs" dxfId="37375" priority="108810" stopIfTrue="1" operator="greaterThanOrEqual">
      <formula>0.5</formula>
    </cfRule>
  </conditionalFormatting>
  <conditionalFormatting sqref="R9">
    <cfRule type="cellIs" dxfId="37374" priority="108811" stopIfTrue="1" operator="equal">
      <formula>-1</formula>
    </cfRule>
  </conditionalFormatting>
  <conditionalFormatting sqref="R9">
    <cfRule type="cellIs" dxfId="37373" priority="108812" stopIfTrue="1" operator="lessThan">
      <formula>0.5</formula>
    </cfRule>
  </conditionalFormatting>
  <conditionalFormatting sqref="R9">
    <cfRule type="cellIs" dxfId="37372" priority="108813" stopIfTrue="1" operator="greaterThanOrEqual">
      <formula>0.5</formula>
    </cfRule>
  </conditionalFormatting>
  <conditionalFormatting sqref="R10">
    <cfRule type="cellIs" dxfId="37371" priority="108814" stopIfTrue="1" operator="equal">
      <formula>-1</formula>
    </cfRule>
  </conditionalFormatting>
  <conditionalFormatting sqref="R10">
    <cfRule type="cellIs" dxfId="37370" priority="108815" stopIfTrue="1" operator="lessThan">
      <formula>0.5</formula>
    </cfRule>
  </conditionalFormatting>
  <conditionalFormatting sqref="R10">
    <cfRule type="cellIs" dxfId="37369" priority="108816" stopIfTrue="1" operator="greaterThanOrEqual">
      <formula>0.5</formula>
    </cfRule>
  </conditionalFormatting>
  <conditionalFormatting sqref="R11">
    <cfRule type="cellIs" dxfId="37368" priority="108817" stopIfTrue="1" operator="equal">
      <formula>-1</formula>
    </cfRule>
  </conditionalFormatting>
  <conditionalFormatting sqref="R11">
    <cfRule type="cellIs" dxfId="37367" priority="108818" stopIfTrue="1" operator="lessThan">
      <formula>0.5</formula>
    </cfRule>
  </conditionalFormatting>
  <conditionalFormatting sqref="R11">
    <cfRule type="cellIs" dxfId="37366" priority="108819" stopIfTrue="1" operator="greaterThanOrEqual">
      <formula>0.5</formula>
    </cfRule>
  </conditionalFormatting>
  <conditionalFormatting sqref="R12">
    <cfRule type="cellIs" dxfId="37365" priority="108820" stopIfTrue="1" operator="equal">
      <formula>-1</formula>
    </cfRule>
  </conditionalFormatting>
  <conditionalFormatting sqref="R12">
    <cfRule type="cellIs" dxfId="37364" priority="108821" stopIfTrue="1" operator="lessThan">
      <formula>0.5</formula>
    </cfRule>
  </conditionalFormatting>
  <conditionalFormatting sqref="R12">
    <cfRule type="cellIs" dxfId="37363" priority="108822" stopIfTrue="1" operator="greaterThanOrEqual">
      <formula>0.5</formula>
    </cfRule>
  </conditionalFormatting>
  <conditionalFormatting sqref="R13">
    <cfRule type="cellIs" dxfId="37362" priority="108823" stopIfTrue="1" operator="equal">
      <formula>-1</formula>
    </cfRule>
  </conditionalFormatting>
  <conditionalFormatting sqref="R13">
    <cfRule type="cellIs" dxfId="37361" priority="108824" stopIfTrue="1" operator="lessThan">
      <formula>0.5</formula>
    </cfRule>
  </conditionalFormatting>
  <conditionalFormatting sqref="R13">
    <cfRule type="cellIs" dxfId="37360" priority="108825" stopIfTrue="1" operator="greaterThanOrEqual">
      <formula>0.5</formula>
    </cfRule>
  </conditionalFormatting>
  <conditionalFormatting sqref="R14">
    <cfRule type="cellIs" dxfId="37359" priority="108826" stopIfTrue="1" operator="equal">
      <formula>-1</formula>
    </cfRule>
  </conditionalFormatting>
  <conditionalFormatting sqref="R14">
    <cfRule type="cellIs" dxfId="37358" priority="108827" stopIfTrue="1" operator="lessThan">
      <formula>0.5</formula>
    </cfRule>
  </conditionalFormatting>
  <conditionalFormatting sqref="R14">
    <cfRule type="cellIs" dxfId="37357" priority="108828" stopIfTrue="1" operator="greaterThanOrEqual">
      <formula>0.5</formula>
    </cfRule>
  </conditionalFormatting>
  <conditionalFormatting sqref="R15">
    <cfRule type="cellIs" dxfId="37356" priority="108829" stopIfTrue="1" operator="equal">
      <formula>-1</formula>
    </cfRule>
  </conditionalFormatting>
  <conditionalFormatting sqref="R15">
    <cfRule type="cellIs" dxfId="37355" priority="108830" stopIfTrue="1" operator="lessThan">
      <formula>0.5</formula>
    </cfRule>
  </conditionalFormatting>
  <conditionalFormatting sqref="R15">
    <cfRule type="cellIs" dxfId="37354" priority="108831" stopIfTrue="1" operator="greaterThanOrEqual">
      <formula>0.5</formula>
    </cfRule>
  </conditionalFormatting>
  <conditionalFormatting sqref="T8">
    <cfRule type="cellIs" dxfId="37353" priority="108832" stopIfTrue="1" operator="equal">
      <formula>-1</formula>
    </cfRule>
  </conditionalFormatting>
  <conditionalFormatting sqref="T8">
    <cfRule type="cellIs" dxfId="37352" priority="108833" stopIfTrue="1" operator="lessThan">
      <formula>0.5</formula>
    </cfRule>
  </conditionalFormatting>
  <conditionalFormatting sqref="T8">
    <cfRule type="cellIs" dxfId="37351" priority="108834" stopIfTrue="1" operator="greaterThanOrEqual">
      <formula>0.5</formula>
    </cfRule>
  </conditionalFormatting>
  <conditionalFormatting sqref="T9">
    <cfRule type="cellIs" dxfId="37350" priority="108835" stopIfTrue="1" operator="equal">
      <formula>-1</formula>
    </cfRule>
  </conditionalFormatting>
  <conditionalFormatting sqref="T9">
    <cfRule type="cellIs" dxfId="37349" priority="108836" stopIfTrue="1" operator="lessThan">
      <formula>0.5</formula>
    </cfRule>
  </conditionalFormatting>
  <conditionalFormatting sqref="T9">
    <cfRule type="cellIs" dxfId="37348" priority="108837" stopIfTrue="1" operator="greaterThanOrEqual">
      <formula>0.5</formula>
    </cfRule>
  </conditionalFormatting>
  <conditionalFormatting sqref="T10">
    <cfRule type="cellIs" dxfId="37347" priority="108838" stopIfTrue="1" operator="equal">
      <formula>-1</formula>
    </cfRule>
  </conditionalFormatting>
  <conditionalFormatting sqref="T10">
    <cfRule type="cellIs" dxfId="37346" priority="108839" stopIfTrue="1" operator="lessThan">
      <formula>0.5</formula>
    </cfRule>
  </conditionalFormatting>
  <conditionalFormatting sqref="T10">
    <cfRule type="cellIs" dxfId="37345" priority="108840" stopIfTrue="1" operator="greaterThanOrEqual">
      <formula>0.5</formula>
    </cfRule>
  </conditionalFormatting>
  <conditionalFormatting sqref="T11">
    <cfRule type="cellIs" dxfId="37344" priority="108841" stopIfTrue="1" operator="equal">
      <formula>-1</formula>
    </cfRule>
  </conditionalFormatting>
  <conditionalFormatting sqref="T11">
    <cfRule type="cellIs" dxfId="37343" priority="108842" stopIfTrue="1" operator="lessThan">
      <formula>0.5</formula>
    </cfRule>
  </conditionalFormatting>
  <conditionalFormatting sqref="T11">
    <cfRule type="cellIs" dxfId="37342" priority="108843" stopIfTrue="1" operator="greaterThanOrEqual">
      <formula>0.5</formula>
    </cfRule>
  </conditionalFormatting>
  <conditionalFormatting sqref="T12">
    <cfRule type="cellIs" dxfId="37341" priority="108844" stopIfTrue="1" operator="equal">
      <formula>-1</formula>
    </cfRule>
  </conditionalFormatting>
  <conditionalFormatting sqref="T12">
    <cfRule type="cellIs" dxfId="37340" priority="108845" stopIfTrue="1" operator="lessThan">
      <formula>0.5</formula>
    </cfRule>
  </conditionalFormatting>
  <conditionalFormatting sqref="T12">
    <cfRule type="cellIs" dxfId="37339" priority="108846" stopIfTrue="1" operator="greaterThanOrEqual">
      <formula>0.5</formula>
    </cfRule>
  </conditionalFormatting>
  <conditionalFormatting sqref="T13">
    <cfRule type="cellIs" dxfId="37338" priority="108847" stopIfTrue="1" operator="equal">
      <formula>-1</formula>
    </cfRule>
  </conditionalFormatting>
  <conditionalFormatting sqref="T13">
    <cfRule type="cellIs" dxfId="37337" priority="108848" stopIfTrue="1" operator="lessThan">
      <formula>0.5</formula>
    </cfRule>
  </conditionalFormatting>
  <conditionalFormatting sqref="T13">
    <cfRule type="cellIs" dxfId="37336" priority="108849" stopIfTrue="1" operator="greaterThanOrEqual">
      <formula>0.5</formula>
    </cfRule>
  </conditionalFormatting>
  <conditionalFormatting sqref="T14">
    <cfRule type="cellIs" dxfId="37335" priority="108850" stopIfTrue="1" operator="equal">
      <formula>-1</formula>
    </cfRule>
  </conditionalFormatting>
  <conditionalFormatting sqref="T14">
    <cfRule type="cellIs" dxfId="37334" priority="108851" stopIfTrue="1" operator="lessThan">
      <formula>0.5</formula>
    </cfRule>
  </conditionalFormatting>
  <conditionalFormatting sqref="T14">
    <cfRule type="cellIs" dxfId="37333" priority="108852" stopIfTrue="1" operator="greaterThanOrEqual">
      <formula>0.5</formula>
    </cfRule>
  </conditionalFormatting>
  <conditionalFormatting sqref="T15">
    <cfRule type="cellIs" dxfId="37332" priority="108853" stopIfTrue="1" operator="equal">
      <formula>-1</formula>
    </cfRule>
  </conditionalFormatting>
  <conditionalFormatting sqref="T15">
    <cfRule type="cellIs" dxfId="37331" priority="108854" stopIfTrue="1" operator="lessThan">
      <formula>0.5</formula>
    </cfRule>
  </conditionalFormatting>
  <conditionalFormatting sqref="T15">
    <cfRule type="cellIs" dxfId="37330" priority="108855" stopIfTrue="1" operator="greaterThanOrEqual">
      <formula>0.5</formula>
    </cfRule>
  </conditionalFormatting>
  <conditionalFormatting sqref="V8">
    <cfRule type="cellIs" dxfId="37329" priority="108856" stopIfTrue="1" operator="equal">
      <formula>-1</formula>
    </cfRule>
  </conditionalFormatting>
  <conditionalFormatting sqref="V8">
    <cfRule type="cellIs" dxfId="37328" priority="108857" stopIfTrue="1" operator="lessThan">
      <formula>0.5</formula>
    </cfRule>
  </conditionalFormatting>
  <conditionalFormatting sqref="V8">
    <cfRule type="cellIs" dxfId="37327" priority="108858" stopIfTrue="1" operator="greaterThanOrEqual">
      <formula>0.5</formula>
    </cfRule>
  </conditionalFormatting>
  <conditionalFormatting sqref="V9">
    <cfRule type="cellIs" dxfId="37326" priority="108859" stopIfTrue="1" operator="equal">
      <formula>-1</formula>
    </cfRule>
  </conditionalFormatting>
  <conditionalFormatting sqref="V9">
    <cfRule type="cellIs" dxfId="37325" priority="108860" stopIfTrue="1" operator="lessThan">
      <formula>0.5</formula>
    </cfRule>
  </conditionalFormatting>
  <conditionalFormatting sqref="V9">
    <cfRule type="cellIs" dxfId="37324" priority="108861" stopIfTrue="1" operator="greaterThanOrEqual">
      <formula>0.5</formula>
    </cfRule>
  </conditionalFormatting>
  <conditionalFormatting sqref="V10">
    <cfRule type="cellIs" dxfId="37323" priority="108862" stopIfTrue="1" operator="equal">
      <formula>-1</formula>
    </cfRule>
  </conditionalFormatting>
  <conditionalFormatting sqref="V10">
    <cfRule type="cellIs" dxfId="37322" priority="108863" stopIfTrue="1" operator="lessThan">
      <formula>0.5</formula>
    </cfRule>
  </conditionalFormatting>
  <conditionalFormatting sqref="V10">
    <cfRule type="cellIs" dxfId="37321" priority="108864" stopIfTrue="1" operator="greaterThanOrEqual">
      <formula>0.5</formula>
    </cfRule>
  </conditionalFormatting>
  <conditionalFormatting sqref="V11">
    <cfRule type="cellIs" dxfId="37320" priority="108865" stopIfTrue="1" operator="equal">
      <formula>-1</formula>
    </cfRule>
  </conditionalFormatting>
  <conditionalFormatting sqref="V11">
    <cfRule type="cellIs" dxfId="37319" priority="108866" stopIfTrue="1" operator="lessThan">
      <formula>0.5</formula>
    </cfRule>
  </conditionalFormatting>
  <conditionalFormatting sqref="V11">
    <cfRule type="cellIs" dxfId="37318" priority="108867" stopIfTrue="1" operator="greaterThanOrEqual">
      <formula>0.5</formula>
    </cfRule>
  </conditionalFormatting>
  <conditionalFormatting sqref="V12">
    <cfRule type="cellIs" dxfId="37317" priority="108868" stopIfTrue="1" operator="equal">
      <formula>-1</formula>
    </cfRule>
  </conditionalFormatting>
  <conditionalFormatting sqref="V12">
    <cfRule type="cellIs" dxfId="37316" priority="108869" stopIfTrue="1" operator="lessThan">
      <formula>0.5</formula>
    </cfRule>
  </conditionalFormatting>
  <conditionalFormatting sqref="V12">
    <cfRule type="cellIs" dxfId="37315" priority="108870" stopIfTrue="1" operator="greaterThanOrEqual">
      <formula>0.5</formula>
    </cfRule>
  </conditionalFormatting>
  <conditionalFormatting sqref="V13">
    <cfRule type="cellIs" dxfId="37314" priority="108871" stopIfTrue="1" operator="equal">
      <formula>-1</formula>
    </cfRule>
  </conditionalFormatting>
  <conditionalFormatting sqref="V13">
    <cfRule type="cellIs" dxfId="37313" priority="108872" stopIfTrue="1" operator="lessThan">
      <formula>0.5</formula>
    </cfRule>
  </conditionalFormatting>
  <conditionalFormatting sqref="V13">
    <cfRule type="cellIs" dxfId="37312" priority="108873" stopIfTrue="1" operator="greaterThanOrEqual">
      <formula>0.5</formula>
    </cfRule>
  </conditionalFormatting>
  <conditionalFormatting sqref="V14">
    <cfRule type="cellIs" dxfId="37311" priority="108874" stopIfTrue="1" operator="equal">
      <formula>-1</formula>
    </cfRule>
  </conditionalFormatting>
  <conditionalFormatting sqref="V14">
    <cfRule type="cellIs" dxfId="37310" priority="108875" stopIfTrue="1" operator="lessThan">
      <formula>0.5</formula>
    </cfRule>
  </conditionalFormatting>
  <conditionalFormatting sqref="V14">
    <cfRule type="cellIs" dxfId="37309" priority="108876" stopIfTrue="1" operator="greaterThanOrEqual">
      <formula>0.5</formula>
    </cfRule>
  </conditionalFormatting>
  <conditionalFormatting sqref="V15">
    <cfRule type="cellIs" dxfId="37308" priority="108877" stopIfTrue="1" operator="equal">
      <formula>-1</formula>
    </cfRule>
  </conditionalFormatting>
  <conditionalFormatting sqref="V15">
    <cfRule type="cellIs" dxfId="37307" priority="108878" stopIfTrue="1" operator="lessThan">
      <formula>0.5</formula>
    </cfRule>
  </conditionalFormatting>
  <conditionalFormatting sqref="V15">
    <cfRule type="cellIs" dxfId="37306" priority="108879" stopIfTrue="1" operator="greaterThanOrEqual">
      <formula>0.5</formula>
    </cfRule>
  </conditionalFormatting>
  <conditionalFormatting sqref="X8">
    <cfRule type="cellIs" dxfId="37305" priority="108880" stopIfTrue="1" operator="equal">
      <formula>-1</formula>
    </cfRule>
  </conditionalFormatting>
  <conditionalFormatting sqref="X8">
    <cfRule type="cellIs" dxfId="37304" priority="108881" stopIfTrue="1" operator="lessThan">
      <formula>0.5</formula>
    </cfRule>
  </conditionalFormatting>
  <conditionalFormatting sqref="X8">
    <cfRule type="cellIs" dxfId="37303" priority="108882" stopIfTrue="1" operator="greaterThanOrEqual">
      <formula>0.5</formula>
    </cfRule>
  </conditionalFormatting>
  <conditionalFormatting sqref="X9">
    <cfRule type="cellIs" dxfId="37302" priority="108883" stopIfTrue="1" operator="equal">
      <formula>-1</formula>
    </cfRule>
  </conditionalFormatting>
  <conditionalFormatting sqref="X9">
    <cfRule type="cellIs" dxfId="37301" priority="108884" stopIfTrue="1" operator="lessThan">
      <formula>0.5</formula>
    </cfRule>
  </conditionalFormatting>
  <conditionalFormatting sqref="X9">
    <cfRule type="cellIs" dxfId="37300" priority="108885" stopIfTrue="1" operator="greaterThanOrEqual">
      <formula>0.5</formula>
    </cfRule>
  </conditionalFormatting>
  <conditionalFormatting sqref="X10">
    <cfRule type="cellIs" dxfId="37299" priority="108886" stopIfTrue="1" operator="equal">
      <formula>-1</formula>
    </cfRule>
  </conditionalFormatting>
  <conditionalFormatting sqref="X10">
    <cfRule type="cellIs" dxfId="37298" priority="108887" stopIfTrue="1" operator="lessThan">
      <formula>0.5</formula>
    </cfRule>
  </conditionalFormatting>
  <conditionalFormatting sqref="X10">
    <cfRule type="cellIs" dxfId="37297" priority="108888" stopIfTrue="1" operator="greaterThanOrEqual">
      <formula>0.5</formula>
    </cfRule>
  </conditionalFormatting>
  <conditionalFormatting sqref="X11">
    <cfRule type="cellIs" dxfId="37296" priority="108889" stopIfTrue="1" operator="equal">
      <formula>-1</formula>
    </cfRule>
  </conditionalFormatting>
  <conditionalFormatting sqref="X11">
    <cfRule type="cellIs" dxfId="37295" priority="108890" stopIfTrue="1" operator="lessThan">
      <formula>0.5</formula>
    </cfRule>
  </conditionalFormatting>
  <conditionalFormatting sqref="X11">
    <cfRule type="cellIs" dxfId="37294" priority="108891" stopIfTrue="1" operator="greaterThanOrEqual">
      <formula>0.5</formula>
    </cfRule>
  </conditionalFormatting>
  <conditionalFormatting sqref="X12">
    <cfRule type="cellIs" dxfId="37293" priority="108892" stopIfTrue="1" operator="equal">
      <formula>-1</formula>
    </cfRule>
  </conditionalFormatting>
  <conditionalFormatting sqref="X12">
    <cfRule type="cellIs" dxfId="37292" priority="108893" stopIfTrue="1" operator="lessThan">
      <formula>0.5</formula>
    </cfRule>
  </conditionalFormatting>
  <conditionalFormatting sqref="X12">
    <cfRule type="cellIs" dxfId="37291" priority="108894" stopIfTrue="1" operator="greaterThanOrEqual">
      <formula>0.5</formula>
    </cfRule>
  </conditionalFormatting>
  <conditionalFormatting sqref="X13">
    <cfRule type="cellIs" dxfId="37290" priority="108895" stopIfTrue="1" operator="equal">
      <formula>-1</formula>
    </cfRule>
  </conditionalFormatting>
  <conditionalFormatting sqref="X13">
    <cfRule type="cellIs" dxfId="37289" priority="108896" stopIfTrue="1" operator="lessThan">
      <formula>0.5</formula>
    </cfRule>
  </conditionalFormatting>
  <conditionalFormatting sqref="X13">
    <cfRule type="cellIs" dxfId="37288" priority="108897" stopIfTrue="1" operator="greaterThanOrEqual">
      <formula>0.5</formula>
    </cfRule>
  </conditionalFormatting>
  <conditionalFormatting sqref="X14">
    <cfRule type="cellIs" dxfId="37287" priority="108898" stopIfTrue="1" operator="equal">
      <formula>-1</formula>
    </cfRule>
  </conditionalFormatting>
  <conditionalFormatting sqref="X14">
    <cfRule type="cellIs" dxfId="37286" priority="108899" stopIfTrue="1" operator="lessThan">
      <formula>0.5</formula>
    </cfRule>
  </conditionalFormatting>
  <conditionalFormatting sqref="X14">
    <cfRule type="cellIs" dxfId="37285" priority="108900" stopIfTrue="1" operator="greaterThanOrEqual">
      <formula>0.5</formula>
    </cfRule>
  </conditionalFormatting>
  <conditionalFormatting sqref="X15">
    <cfRule type="cellIs" dxfId="37284" priority="108901" stopIfTrue="1" operator="equal">
      <formula>-1</formula>
    </cfRule>
  </conditionalFormatting>
  <conditionalFormatting sqref="X15">
    <cfRule type="cellIs" dxfId="37283" priority="108902" stopIfTrue="1" operator="lessThan">
      <formula>0.5</formula>
    </cfRule>
  </conditionalFormatting>
  <conditionalFormatting sqref="X15">
    <cfRule type="cellIs" dxfId="37282" priority="108903" stopIfTrue="1" operator="greaterThanOrEqual">
      <formula>0.5</formula>
    </cfRule>
  </conditionalFormatting>
  <conditionalFormatting sqref="Z8">
    <cfRule type="cellIs" dxfId="37281" priority="108904" stopIfTrue="1" operator="equal">
      <formula>-1</formula>
    </cfRule>
  </conditionalFormatting>
  <conditionalFormatting sqref="Z8">
    <cfRule type="cellIs" dxfId="37280" priority="108905" stopIfTrue="1" operator="lessThan">
      <formula>0.5</formula>
    </cfRule>
  </conditionalFormatting>
  <conditionalFormatting sqref="Z8">
    <cfRule type="cellIs" dxfId="37279" priority="108906" stopIfTrue="1" operator="greaterThanOrEqual">
      <formula>0.5</formula>
    </cfRule>
  </conditionalFormatting>
  <conditionalFormatting sqref="Z9">
    <cfRule type="cellIs" dxfId="37278" priority="108907" stopIfTrue="1" operator="equal">
      <formula>-1</formula>
    </cfRule>
  </conditionalFormatting>
  <conditionalFormatting sqref="Z9">
    <cfRule type="cellIs" dxfId="37277" priority="108908" stopIfTrue="1" operator="lessThan">
      <formula>0.5</formula>
    </cfRule>
  </conditionalFormatting>
  <conditionalFormatting sqref="Z9">
    <cfRule type="cellIs" dxfId="37276" priority="108909" stopIfTrue="1" operator="greaterThanOrEqual">
      <formula>0.5</formula>
    </cfRule>
  </conditionalFormatting>
  <conditionalFormatting sqref="Z10">
    <cfRule type="cellIs" dxfId="37275" priority="108910" stopIfTrue="1" operator="equal">
      <formula>-1</formula>
    </cfRule>
  </conditionalFormatting>
  <conditionalFormatting sqref="Z10">
    <cfRule type="cellIs" dxfId="37274" priority="108911" stopIfTrue="1" operator="lessThan">
      <formula>0.5</formula>
    </cfRule>
  </conditionalFormatting>
  <conditionalFormatting sqref="Z10">
    <cfRule type="cellIs" dxfId="37273" priority="108912" stopIfTrue="1" operator="greaterThanOrEqual">
      <formula>0.5</formula>
    </cfRule>
  </conditionalFormatting>
  <conditionalFormatting sqref="Z11">
    <cfRule type="cellIs" dxfId="37272" priority="108913" stopIfTrue="1" operator="equal">
      <formula>-1</formula>
    </cfRule>
  </conditionalFormatting>
  <conditionalFormatting sqref="Z11">
    <cfRule type="cellIs" dxfId="37271" priority="108914" stopIfTrue="1" operator="lessThan">
      <formula>0.5</formula>
    </cfRule>
  </conditionalFormatting>
  <conditionalFormatting sqref="Z11">
    <cfRule type="cellIs" dxfId="37270" priority="108915" stopIfTrue="1" operator="greaterThanOrEqual">
      <formula>0.5</formula>
    </cfRule>
  </conditionalFormatting>
  <conditionalFormatting sqref="Z12">
    <cfRule type="cellIs" dxfId="37269" priority="108916" stopIfTrue="1" operator="equal">
      <formula>-1</formula>
    </cfRule>
  </conditionalFormatting>
  <conditionalFormatting sqref="Z12">
    <cfRule type="cellIs" dxfId="37268" priority="108917" stopIfTrue="1" operator="lessThan">
      <formula>0.5</formula>
    </cfRule>
  </conditionalFormatting>
  <conditionalFormatting sqref="Z12">
    <cfRule type="cellIs" dxfId="37267" priority="108918" stopIfTrue="1" operator="greaterThanOrEqual">
      <formula>0.5</formula>
    </cfRule>
  </conditionalFormatting>
  <conditionalFormatting sqref="Z13">
    <cfRule type="cellIs" dxfId="37266" priority="108919" stopIfTrue="1" operator="equal">
      <formula>-1</formula>
    </cfRule>
  </conditionalFormatting>
  <conditionalFormatting sqref="Z13">
    <cfRule type="cellIs" dxfId="37265" priority="108920" stopIfTrue="1" operator="lessThan">
      <formula>0.5</formula>
    </cfRule>
  </conditionalFormatting>
  <conditionalFormatting sqref="Z13">
    <cfRule type="cellIs" dxfId="37264" priority="108921" stopIfTrue="1" operator="greaterThanOrEqual">
      <formula>0.5</formula>
    </cfRule>
  </conditionalFormatting>
  <conditionalFormatting sqref="Z14">
    <cfRule type="cellIs" dxfId="37263" priority="108922" stopIfTrue="1" operator="equal">
      <formula>-1</formula>
    </cfRule>
  </conditionalFormatting>
  <conditionalFormatting sqref="Z14">
    <cfRule type="cellIs" dxfId="37262" priority="108923" stopIfTrue="1" operator="lessThan">
      <formula>0.5</formula>
    </cfRule>
  </conditionalFormatting>
  <conditionalFormatting sqref="Z14">
    <cfRule type="cellIs" dxfId="37261" priority="108924" stopIfTrue="1" operator="greaterThanOrEqual">
      <formula>0.5</formula>
    </cfRule>
  </conditionalFormatting>
  <conditionalFormatting sqref="Z15">
    <cfRule type="cellIs" dxfId="37260" priority="108925" stopIfTrue="1" operator="equal">
      <formula>-1</formula>
    </cfRule>
  </conditionalFormatting>
  <conditionalFormatting sqref="Z15">
    <cfRule type="cellIs" dxfId="37259" priority="108926" stopIfTrue="1" operator="lessThan">
      <formula>0.5</formula>
    </cfRule>
  </conditionalFormatting>
  <conditionalFormatting sqref="Z15">
    <cfRule type="cellIs" dxfId="37258" priority="108927" stopIfTrue="1" operator="greaterThanOrEqual">
      <formula>0.5</formula>
    </cfRule>
  </conditionalFormatting>
  <conditionalFormatting sqref="AB8">
    <cfRule type="cellIs" dxfId="37257" priority="108928" stopIfTrue="1" operator="equal">
      <formula>-1</formula>
    </cfRule>
  </conditionalFormatting>
  <conditionalFormatting sqref="AB8">
    <cfRule type="cellIs" dxfId="37256" priority="108929" stopIfTrue="1" operator="lessThan">
      <formula>0.5</formula>
    </cfRule>
  </conditionalFormatting>
  <conditionalFormatting sqref="AB8">
    <cfRule type="cellIs" dxfId="37255" priority="108930" stopIfTrue="1" operator="greaterThanOrEqual">
      <formula>0.5</formula>
    </cfRule>
  </conditionalFormatting>
  <conditionalFormatting sqref="AB9">
    <cfRule type="cellIs" dxfId="37254" priority="108931" stopIfTrue="1" operator="equal">
      <formula>-1</formula>
    </cfRule>
  </conditionalFormatting>
  <conditionalFormatting sqref="AB9">
    <cfRule type="cellIs" dxfId="37253" priority="108932" stopIfTrue="1" operator="lessThan">
      <formula>0.5</formula>
    </cfRule>
  </conditionalFormatting>
  <conditionalFormatting sqref="AB9">
    <cfRule type="cellIs" dxfId="37252" priority="108933" stopIfTrue="1" operator="greaterThanOrEqual">
      <formula>0.5</formula>
    </cfRule>
  </conditionalFormatting>
  <conditionalFormatting sqref="AB10">
    <cfRule type="cellIs" dxfId="37251" priority="108934" stopIfTrue="1" operator="equal">
      <formula>-1</formula>
    </cfRule>
  </conditionalFormatting>
  <conditionalFormatting sqref="AB10">
    <cfRule type="cellIs" dxfId="37250" priority="108935" stopIfTrue="1" operator="lessThan">
      <formula>0.5</formula>
    </cfRule>
  </conditionalFormatting>
  <conditionalFormatting sqref="AB10">
    <cfRule type="cellIs" dxfId="37249" priority="108936" stopIfTrue="1" operator="greaterThanOrEqual">
      <formula>0.5</formula>
    </cfRule>
  </conditionalFormatting>
  <conditionalFormatting sqref="AB11">
    <cfRule type="cellIs" dxfId="37248" priority="108937" stopIfTrue="1" operator="equal">
      <formula>-1</formula>
    </cfRule>
  </conditionalFormatting>
  <conditionalFormatting sqref="AB11">
    <cfRule type="cellIs" dxfId="37247" priority="108938" stopIfTrue="1" operator="lessThan">
      <formula>0.5</formula>
    </cfRule>
  </conditionalFormatting>
  <conditionalFormatting sqref="AB11">
    <cfRule type="cellIs" dxfId="37246" priority="108939" stopIfTrue="1" operator="greaterThanOrEqual">
      <formula>0.5</formula>
    </cfRule>
  </conditionalFormatting>
  <conditionalFormatting sqref="AB12">
    <cfRule type="cellIs" dxfId="37245" priority="108940" stopIfTrue="1" operator="equal">
      <formula>-1</formula>
    </cfRule>
  </conditionalFormatting>
  <conditionalFormatting sqref="AB12">
    <cfRule type="cellIs" dxfId="37244" priority="108941" stopIfTrue="1" operator="lessThan">
      <formula>0.5</formula>
    </cfRule>
  </conditionalFormatting>
  <conditionalFormatting sqref="AB12">
    <cfRule type="cellIs" dxfId="37243" priority="108942" stopIfTrue="1" operator="greaterThanOrEqual">
      <formula>0.5</formula>
    </cfRule>
  </conditionalFormatting>
  <conditionalFormatting sqref="AB13">
    <cfRule type="cellIs" dxfId="37242" priority="108943" stopIfTrue="1" operator="equal">
      <formula>-1</formula>
    </cfRule>
  </conditionalFormatting>
  <conditionalFormatting sqref="AB13">
    <cfRule type="cellIs" dxfId="37241" priority="108944" stopIfTrue="1" operator="lessThan">
      <formula>0.5</formula>
    </cfRule>
  </conditionalFormatting>
  <conditionalFormatting sqref="AB13">
    <cfRule type="cellIs" dxfId="37240" priority="108945" stopIfTrue="1" operator="greaterThanOrEqual">
      <formula>0.5</formula>
    </cfRule>
  </conditionalFormatting>
  <conditionalFormatting sqref="AB14">
    <cfRule type="cellIs" dxfId="37239" priority="108946" stopIfTrue="1" operator="equal">
      <formula>-1</formula>
    </cfRule>
  </conditionalFormatting>
  <conditionalFormatting sqref="AB14">
    <cfRule type="cellIs" dxfId="37238" priority="108947" stopIfTrue="1" operator="lessThan">
      <formula>0.5</formula>
    </cfRule>
  </conditionalFormatting>
  <conditionalFormatting sqref="AB14">
    <cfRule type="cellIs" dxfId="37237" priority="108948" stopIfTrue="1" operator="greaterThanOrEqual">
      <formula>0.5</formula>
    </cfRule>
  </conditionalFormatting>
  <conditionalFormatting sqref="AB15">
    <cfRule type="cellIs" dxfId="37236" priority="108949" stopIfTrue="1" operator="equal">
      <formula>-1</formula>
    </cfRule>
  </conditionalFormatting>
  <conditionalFormatting sqref="AB15">
    <cfRule type="cellIs" dxfId="37235" priority="108950" stopIfTrue="1" operator="lessThan">
      <formula>0.5</formula>
    </cfRule>
  </conditionalFormatting>
  <conditionalFormatting sqref="AB15">
    <cfRule type="cellIs" dxfId="37234" priority="108951" stopIfTrue="1" operator="greaterThanOrEqual">
      <formula>0.5</formula>
    </cfRule>
  </conditionalFormatting>
  <conditionalFormatting sqref="AD8">
    <cfRule type="cellIs" dxfId="37233" priority="108952" stopIfTrue="1" operator="equal">
      <formula>-1</formula>
    </cfRule>
  </conditionalFormatting>
  <conditionalFormatting sqref="AD8">
    <cfRule type="cellIs" dxfId="37232" priority="108953" stopIfTrue="1" operator="lessThan">
      <formula>0.5</formula>
    </cfRule>
  </conditionalFormatting>
  <conditionalFormatting sqref="AD8">
    <cfRule type="cellIs" dxfId="37231" priority="108954" stopIfTrue="1" operator="greaterThanOrEqual">
      <formula>0.5</formula>
    </cfRule>
  </conditionalFormatting>
  <conditionalFormatting sqref="AD9">
    <cfRule type="cellIs" dxfId="37230" priority="108955" stopIfTrue="1" operator="equal">
      <formula>-1</formula>
    </cfRule>
  </conditionalFormatting>
  <conditionalFormatting sqref="AD9">
    <cfRule type="cellIs" dxfId="37229" priority="108956" stopIfTrue="1" operator="lessThan">
      <formula>0.5</formula>
    </cfRule>
  </conditionalFormatting>
  <conditionalFormatting sqref="AD9">
    <cfRule type="cellIs" dxfId="37228" priority="108957" stopIfTrue="1" operator="greaterThanOrEqual">
      <formula>0.5</formula>
    </cfRule>
  </conditionalFormatting>
  <conditionalFormatting sqref="AD10">
    <cfRule type="cellIs" dxfId="37227" priority="108958" stopIfTrue="1" operator="equal">
      <formula>-1</formula>
    </cfRule>
  </conditionalFormatting>
  <conditionalFormatting sqref="AD10">
    <cfRule type="cellIs" dxfId="37226" priority="108959" stopIfTrue="1" operator="lessThan">
      <formula>0.5</formula>
    </cfRule>
  </conditionalFormatting>
  <conditionalFormatting sqref="AD10">
    <cfRule type="cellIs" dxfId="37225" priority="108960" stopIfTrue="1" operator="greaterThanOrEqual">
      <formula>0.5</formula>
    </cfRule>
  </conditionalFormatting>
  <conditionalFormatting sqref="AD11">
    <cfRule type="cellIs" dxfId="37224" priority="108961" stopIfTrue="1" operator="equal">
      <formula>-1</formula>
    </cfRule>
  </conditionalFormatting>
  <conditionalFormatting sqref="AD11">
    <cfRule type="cellIs" dxfId="37223" priority="108962" stopIfTrue="1" operator="lessThan">
      <formula>0.5</formula>
    </cfRule>
  </conditionalFormatting>
  <conditionalFormatting sqref="AD11">
    <cfRule type="cellIs" dxfId="37222" priority="108963" stopIfTrue="1" operator="greaterThanOrEqual">
      <formula>0.5</formula>
    </cfRule>
  </conditionalFormatting>
  <conditionalFormatting sqref="AD12">
    <cfRule type="cellIs" dxfId="37221" priority="108964" stopIfTrue="1" operator="equal">
      <formula>-1</formula>
    </cfRule>
  </conditionalFormatting>
  <conditionalFormatting sqref="AD12">
    <cfRule type="cellIs" dxfId="37220" priority="108965" stopIfTrue="1" operator="lessThan">
      <formula>0.5</formula>
    </cfRule>
  </conditionalFormatting>
  <conditionalFormatting sqref="AD12">
    <cfRule type="cellIs" dxfId="37219" priority="108966" stopIfTrue="1" operator="greaterThanOrEqual">
      <formula>0.5</formula>
    </cfRule>
  </conditionalFormatting>
  <conditionalFormatting sqref="AD13">
    <cfRule type="cellIs" dxfId="37218" priority="108967" stopIfTrue="1" operator="equal">
      <formula>-1</formula>
    </cfRule>
  </conditionalFormatting>
  <conditionalFormatting sqref="AD13">
    <cfRule type="cellIs" dxfId="37217" priority="108968" stopIfTrue="1" operator="lessThan">
      <formula>0.5</formula>
    </cfRule>
  </conditionalFormatting>
  <conditionalFormatting sqref="AD13">
    <cfRule type="cellIs" dxfId="37216" priority="108969" stopIfTrue="1" operator="greaterThanOrEqual">
      <formula>0.5</formula>
    </cfRule>
  </conditionalFormatting>
  <conditionalFormatting sqref="AD14">
    <cfRule type="cellIs" dxfId="37215" priority="108970" stopIfTrue="1" operator="equal">
      <formula>-1</formula>
    </cfRule>
  </conditionalFormatting>
  <conditionalFormatting sqref="AD14">
    <cfRule type="cellIs" dxfId="37214" priority="108971" stopIfTrue="1" operator="lessThan">
      <formula>0.5</formula>
    </cfRule>
  </conditionalFormatting>
  <conditionalFormatting sqref="AD14">
    <cfRule type="cellIs" dxfId="37213" priority="108972" stopIfTrue="1" operator="greaterThanOrEqual">
      <formula>0.5</formula>
    </cfRule>
  </conditionalFormatting>
  <conditionalFormatting sqref="AD15">
    <cfRule type="cellIs" dxfId="37212" priority="108973" stopIfTrue="1" operator="equal">
      <formula>-1</formula>
    </cfRule>
  </conditionalFormatting>
  <conditionalFormatting sqref="AD15">
    <cfRule type="cellIs" dxfId="37211" priority="108974" stopIfTrue="1" operator="lessThan">
      <formula>0.5</formula>
    </cfRule>
  </conditionalFormatting>
  <conditionalFormatting sqref="AD15">
    <cfRule type="cellIs" dxfId="37210" priority="108975" stopIfTrue="1" operator="greaterThanOrEqual">
      <formula>0.5</formula>
    </cfRule>
  </conditionalFormatting>
  <conditionalFormatting sqref="AF8">
    <cfRule type="cellIs" dxfId="37209" priority="108976" stopIfTrue="1" operator="equal">
      <formula>-1</formula>
    </cfRule>
  </conditionalFormatting>
  <conditionalFormatting sqref="AF8">
    <cfRule type="cellIs" dxfId="37208" priority="108977" stopIfTrue="1" operator="lessThan">
      <formula>0.5</formula>
    </cfRule>
  </conditionalFormatting>
  <conditionalFormatting sqref="AF8">
    <cfRule type="cellIs" dxfId="37207" priority="108978" stopIfTrue="1" operator="greaterThanOrEqual">
      <formula>0.5</formula>
    </cfRule>
  </conditionalFormatting>
  <conditionalFormatting sqref="AF9">
    <cfRule type="cellIs" dxfId="37206" priority="108979" stopIfTrue="1" operator="equal">
      <formula>-1</formula>
    </cfRule>
  </conditionalFormatting>
  <conditionalFormatting sqref="AF9">
    <cfRule type="cellIs" dxfId="37205" priority="108980" stopIfTrue="1" operator="lessThan">
      <formula>0.5</formula>
    </cfRule>
  </conditionalFormatting>
  <conditionalFormatting sqref="AF9">
    <cfRule type="cellIs" dxfId="37204" priority="108981" stopIfTrue="1" operator="greaterThanOrEqual">
      <formula>0.5</formula>
    </cfRule>
  </conditionalFormatting>
  <conditionalFormatting sqref="AF10">
    <cfRule type="cellIs" dxfId="37203" priority="108982" stopIfTrue="1" operator="equal">
      <formula>-1</formula>
    </cfRule>
  </conditionalFormatting>
  <conditionalFormatting sqref="AF10">
    <cfRule type="cellIs" dxfId="37202" priority="108983" stopIfTrue="1" operator="lessThan">
      <formula>0.5</formula>
    </cfRule>
  </conditionalFormatting>
  <conditionalFormatting sqref="AF10">
    <cfRule type="cellIs" dxfId="37201" priority="108984" stopIfTrue="1" operator="greaterThanOrEqual">
      <formula>0.5</formula>
    </cfRule>
  </conditionalFormatting>
  <conditionalFormatting sqref="AF11">
    <cfRule type="cellIs" dxfId="37200" priority="108985" stopIfTrue="1" operator="equal">
      <formula>-1</formula>
    </cfRule>
  </conditionalFormatting>
  <conditionalFormatting sqref="AF11">
    <cfRule type="cellIs" dxfId="37199" priority="108986" stopIfTrue="1" operator="lessThan">
      <formula>0.5</formula>
    </cfRule>
  </conditionalFormatting>
  <conditionalFormatting sqref="AF11">
    <cfRule type="cellIs" dxfId="37198" priority="108987" stopIfTrue="1" operator="greaterThanOrEqual">
      <formula>0.5</formula>
    </cfRule>
  </conditionalFormatting>
  <conditionalFormatting sqref="AF12">
    <cfRule type="cellIs" dxfId="37197" priority="108988" stopIfTrue="1" operator="equal">
      <formula>-1</formula>
    </cfRule>
  </conditionalFormatting>
  <conditionalFormatting sqref="AF12">
    <cfRule type="cellIs" dxfId="37196" priority="108989" stopIfTrue="1" operator="lessThan">
      <formula>0.5</formula>
    </cfRule>
  </conditionalFormatting>
  <conditionalFormatting sqref="AF12">
    <cfRule type="cellIs" dxfId="37195" priority="108990" stopIfTrue="1" operator="greaterThanOrEqual">
      <formula>0.5</formula>
    </cfRule>
  </conditionalFormatting>
  <conditionalFormatting sqref="AF13">
    <cfRule type="cellIs" dxfId="37194" priority="108991" stopIfTrue="1" operator="equal">
      <formula>-1</formula>
    </cfRule>
  </conditionalFormatting>
  <conditionalFormatting sqref="AF13">
    <cfRule type="cellIs" dxfId="37193" priority="108992" stopIfTrue="1" operator="lessThan">
      <formula>0.5</formula>
    </cfRule>
  </conditionalFormatting>
  <conditionalFormatting sqref="AF13">
    <cfRule type="cellIs" dxfId="37192" priority="108993" stopIfTrue="1" operator="greaterThanOrEqual">
      <formula>0.5</formula>
    </cfRule>
  </conditionalFormatting>
  <conditionalFormatting sqref="AF14">
    <cfRule type="cellIs" dxfId="37191" priority="108994" stopIfTrue="1" operator="equal">
      <formula>-1</formula>
    </cfRule>
  </conditionalFormatting>
  <conditionalFormatting sqref="AF14">
    <cfRule type="cellIs" dxfId="37190" priority="108995" stopIfTrue="1" operator="lessThan">
      <formula>0.5</formula>
    </cfRule>
  </conditionalFormatting>
  <conditionalFormatting sqref="AF14">
    <cfRule type="cellIs" dxfId="37189" priority="108996" stopIfTrue="1" operator="greaterThanOrEqual">
      <formula>0.5</formula>
    </cfRule>
  </conditionalFormatting>
  <conditionalFormatting sqref="AF15">
    <cfRule type="cellIs" dxfId="37188" priority="108997" stopIfTrue="1" operator="equal">
      <formula>-1</formula>
    </cfRule>
  </conditionalFormatting>
  <conditionalFormatting sqref="AF15">
    <cfRule type="cellIs" dxfId="37187" priority="108998" stopIfTrue="1" operator="lessThan">
      <formula>0.5</formula>
    </cfRule>
  </conditionalFormatting>
  <conditionalFormatting sqref="AF15">
    <cfRule type="cellIs" dxfId="37186" priority="108999" stopIfTrue="1" operator="greaterThanOrEqual">
      <formula>0.5</formula>
    </cfRule>
  </conditionalFormatting>
  <conditionalFormatting sqref="AH8">
    <cfRule type="cellIs" dxfId="37185" priority="109000" stopIfTrue="1" operator="equal">
      <formula>-1</formula>
    </cfRule>
  </conditionalFormatting>
  <conditionalFormatting sqref="AH8">
    <cfRule type="cellIs" dxfId="37184" priority="109001" stopIfTrue="1" operator="lessThan">
      <formula>0.5</formula>
    </cfRule>
  </conditionalFormatting>
  <conditionalFormatting sqref="AH8">
    <cfRule type="cellIs" dxfId="37183" priority="109002" stopIfTrue="1" operator="greaterThanOrEqual">
      <formula>0.5</formula>
    </cfRule>
  </conditionalFormatting>
  <conditionalFormatting sqref="AH9">
    <cfRule type="cellIs" dxfId="37182" priority="109003" stopIfTrue="1" operator="equal">
      <formula>-1</formula>
    </cfRule>
  </conditionalFormatting>
  <conditionalFormatting sqref="AH9">
    <cfRule type="cellIs" dxfId="37181" priority="109004" stopIfTrue="1" operator="lessThan">
      <formula>0.5</formula>
    </cfRule>
  </conditionalFormatting>
  <conditionalFormatting sqref="AH9">
    <cfRule type="cellIs" dxfId="37180" priority="109005" stopIfTrue="1" operator="greaterThanOrEqual">
      <formula>0.5</formula>
    </cfRule>
  </conditionalFormatting>
  <conditionalFormatting sqref="AH10">
    <cfRule type="cellIs" dxfId="37179" priority="109006" stopIfTrue="1" operator="equal">
      <formula>-1</formula>
    </cfRule>
  </conditionalFormatting>
  <conditionalFormatting sqref="AH10">
    <cfRule type="cellIs" dxfId="37178" priority="109007" stopIfTrue="1" operator="lessThan">
      <formula>0.5</formula>
    </cfRule>
  </conditionalFormatting>
  <conditionalFormatting sqref="AH10">
    <cfRule type="cellIs" dxfId="37177" priority="109008" stopIfTrue="1" operator="greaterThanOrEqual">
      <formula>0.5</formula>
    </cfRule>
  </conditionalFormatting>
  <conditionalFormatting sqref="AH11">
    <cfRule type="cellIs" dxfId="37176" priority="109009" stopIfTrue="1" operator="equal">
      <formula>-1</formula>
    </cfRule>
  </conditionalFormatting>
  <conditionalFormatting sqref="AH11">
    <cfRule type="cellIs" dxfId="37175" priority="109010" stopIfTrue="1" operator="lessThan">
      <formula>0.5</formula>
    </cfRule>
  </conditionalFormatting>
  <conditionalFormatting sqref="AH11">
    <cfRule type="cellIs" dxfId="37174" priority="109011" stopIfTrue="1" operator="greaterThanOrEqual">
      <formula>0.5</formula>
    </cfRule>
  </conditionalFormatting>
  <conditionalFormatting sqref="AH12">
    <cfRule type="cellIs" dxfId="37173" priority="109012" stopIfTrue="1" operator="equal">
      <formula>-1</formula>
    </cfRule>
  </conditionalFormatting>
  <conditionalFormatting sqref="AH12">
    <cfRule type="cellIs" dxfId="37172" priority="109013" stopIfTrue="1" operator="lessThan">
      <formula>0.5</formula>
    </cfRule>
  </conditionalFormatting>
  <conditionalFormatting sqref="AH12">
    <cfRule type="cellIs" dxfId="37171" priority="109014" stopIfTrue="1" operator="greaterThanOrEqual">
      <formula>0.5</formula>
    </cfRule>
  </conditionalFormatting>
  <conditionalFormatting sqref="AH13">
    <cfRule type="cellIs" dxfId="37170" priority="109015" stopIfTrue="1" operator="equal">
      <formula>-1</formula>
    </cfRule>
  </conditionalFormatting>
  <conditionalFormatting sqref="AH13">
    <cfRule type="cellIs" dxfId="37169" priority="109016" stopIfTrue="1" operator="lessThan">
      <formula>0.5</formula>
    </cfRule>
  </conditionalFormatting>
  <conditionalFormatting sqref="AH13">
    <cfRule type="cellIs" dxfId="37168" priority="109017" stopIfTrue="1" operator="greaterThanOrEqual">
      <formula>0.5</formula>
    </cfRule>
  </conditionalFormatting>
  <conditionalFormatting sqref="AH14">
    <cfRule type="cellIs" dxfId="37167" priority="109018" stopIfTrue="1" operator="equal">
      <formula>-1</formula>
    </cfRule>
  </conditionalFormatting>
  <conditionalFormatting sqref="AH14">
    <cfRule type="cellIs" dxfId="37166" priority="109019" stopIfTrue="1" operator="lessThan">
      <formula>0.5</formula>
    </cfRule>
  </conditionalFormatting>
  <conditionalFormatting sqref="AH14">
    <cfRule type="cellIs" dxfId="37165" priority="109020" stopIfTrue="1" operator="greaterThanOrEqual">
      <formula>0.5</formula>
    </cfRule>
  </conditionalFormatting>
  <conditionalFormatting sqref="AH15">
    <cfRule type="cellIs" dxfId="37164" priority="109021" stopIfTrue="1" operator="equal">
      <formula>-1</formula>
    </cfRule>
  </conditionalFormatting>
  <conditionalFormatting sqref="AH15">
    <cfRule type="cellIs" dxfId="37163" priority="109022" stopIfTrue="1" operator="lessThan">
      <formula>0.5</formula>
    </cfRule>
  </conditionalFormatting>
  <conditionalFormatting sqref="AH15">
    <cfRule type="cellIs" dxfId="37162" priority="109023" stopIfTrue="1" operator="greaterThanOrEqual">
      <formula>0.5</formula>
    </cfRule>
  </conditionalFormatting>
  <conditionalFormatting sqref="AJ8">
    <cfRule type="cellIs" dxfId="37161" priority="109024" stopIfTrue="1" operator="equal">
      <formula>-1</formula>
    </cfRule>
  </conditionalFormatting>
  <conditionalFormatting sqref="AJ8">
    <cfRule type="cellIs" dxfId="37160" priority="109025" stopIfTrue="1" operator="lessThan">
      <formula>0.5</formula>
    </cfRule>
  </conditionalFormatting>
  <conditionalFormatting sqref="AJ8">
    <cfRule type="cellIs" dxfId="37159" priority="109026" stopIfTrue="1" operator="greaterThanOrEqual">
      <formula>0.5</formula>
    </cfRule>
  </conditionalFormatting>
  <conditionalFormatting sqref="AJ9">
    <cfRule type="cellIs" dxfId="37158" priority="109027" stopIfTrue="1" operator="equal">
      <formula>-1</formula>
    </cfRule>
  </conditionalFormatting>
  <conditionalFormatting sqref="AJ9">
    <cfRule type="cellIs" dxfId="37157" priority="109028" stopIfTrue="1" operator="lessThan">
      <formula>0.5</formula>
    </cfRule>
  </conditionalFormatting>
  <conditionalFormatting sqref="AJ9">
    <cfRule type="cellIs" dxfId="37156" priority="109029" stopIfTrue="1" operator="greaterThanOrEqual">
      <formula>0.5</formula>
    </cfRule>
  </conditionalFormatting>
  <conditionalFormatting sqref="AJ10">
    <cfRule type="cellIs" dxfId="37155" priority="109030" stopIfTrue="1" operator="equal">
      <formula>-1</formula>
    </cfRule>
  </conditionalFormatting>
  <conditionalFormatting sqref="AJ10">
    <cfRule type="cellIs" dxfId="37154" priority="109031" stopIfTrue="1" operator="lessThan">
      <formula>0.5</formula>
    </cfRule>
  </conditionalFormatting>
  <conditionalFormatting sqref="AJ10">
    <cfRule type="cellIs" dxfId="37153" priority="109032" stopIfTrue="1" operator="greaterThanOrEqual">
      <formula>0.5</formula>
    </cfRule>
  </conditionalFormatting>
  <conditionalFormatting sqref="AJ11">
    <cfRule type="cellIs" dxfId="37152" priority="109033" stopIfTrue="1" operator="equal">
      <formula>-1</formula>
    </cfRule>
  </conditionalFormatting>
  <conditionalFormatting sqref="AJ11">
    <cfRule type="cellIs" dxfId="37151" priority="109034" stopIfTrue="1" operator="lessThan">
      <formula>0.5</formula>
    </cfRule>
  </conditionalFormatting>
  <conditionalFormatting sqref="AJ11">
    <cfRule type="cellIs" dxfId="37150" priority="109035" stopIfTrue="1" operator="greaterThanOrEqual">
      <formula>0.5</formula>
    </cfRule>
  </conditionalFormatting>
  <conditionalFormatting sqref="AJ12">
    <cfRule type="cellIs" dxfId="37149" priority="109036" stopIfTrue="1" operator="equal">
      <formula>-1</formula>
    </cfRule>
  </conditionalFormatting>
  <conditionalFormatting sqref="AJ12">
    <cfRule type="cellIs" dxfId="37148" priority="109037" stopIfTrue="1" operator="lessThan">
      <formula>0.5</formula>
    </cfRule>
  </conditionalFormatting>
  <conditionalFormatting sqref="AJ12">
    <cfRule type="cellIs" dxfId="37147" priority="109038" stopIfTrue="1" operator="greaterThanOrEqual">
      <formula>0.5</formula>
    </cfRule>
  </conditionalFormatting>
  <conditionalFormatting sqref="AJ13">
    <cfRule type="cellIs" dxfId="37146" priority="109039" stopIfTrue="1" operator="equal">
      <formula>-1</formula>
    </cfRule>
  </conditionalFormatting>
  <conditionalFormatting sqref="AJ13">
    <cfRule type="cellIs" dxfId="37145" priority="109040" stopIfTrue="1" operator="lessThan">
      <formula>0.5</formula>
    </cfRule>
  </conditionalFormatting>
  <conditionalFormatting sqref="AJ13">
    <cfRule type="cellIs" dxfId="37144" priority="109041" stopIfTrue="1" operator="greaterThanOrEqual">
      <formula>0.5</formula>
    </cfRule>
  </conditionalFormatting>
  <conditionalFormatting sqref="AJ14">
    <cfRule type="cellIs" dxfId="37143" priority="109042" stopIfTrue="1" operator="equal">
      <formula>-1</formula>
    </cfRule>
  </conditionalFormatting>
  <conditionalFormatting sqref="AJ14">
    <cfRule type="cellIs" dxfId="37142" priority="109043" stopIfTrue="1" operator="lessThan">
      <formula>0.5</formula>
    </cfRule>
  </conditionalFormatting>
  <conditionalFormatting sqref="AJ14">
    <cfRule type="cellIs" dxfId="37141" priority="109044" stopIfTrue="1" operator="greaterThanOrEqual">
      <formula>0.5</formula>
    </cfRule>
  </conditionalFormatting>
  <conditionalFormatting sqref="AJ15">
    <cfRule type="cellIs" dxfId="37140" priority="109045" stopIfTrue="1" operator="equal">
      <formula>-1</formula>
    </cfRule>
  </conditionalFormatting>
  <conditionalFormatting sqref="AJ15">
    <cfRule type="cellIs" dxfId="37139" priority="109046" stopIfTrue="1" operator="lessThan">
      <formula>0.5</formula>
    </cfRule>
  </conditionalFormatting>
  <conditionalFormatting sqref="AJ15">
    <cfRule type="cellIs" dxfId="37138" priority="109047" stopIfTrue="1" operator="greaterThanOrEqual">
      <formula>0.5</formula>
    </cfRule>
  </conditionalFormatting>
  <conditionalFormatting sqref="AL8">
    <cfRule type="cellIs" dxfId="37137" priority="109048" stopIfTrue="1" operator="equal">
      <formula>-1</formula>
    </cfRule>
  </conditionalFormatting>
  <conditionalFormatting sqref="AL8">
    <cfRule type="cellIs" dxfId="37136" priority="109049" stopIfTrue="1" operator="lessThan">
      <formula>0.5</formula>
    </cfRule>
  </conditionalFormatting>
  <conditionalFormatting sqref="AL8">
    <cfRule type="cellIs" dxfId="37135" priority="109050" stopIfTrue="1" operator="greaterThanOrEqual">
      <formula>0.5</formula>
    </cfRule>
  </conditionalFormatting>
  <conditionalFormatting sqref="AL9">
    <cfRule type="cellIs" dxfId="37134" priority="109051" stopIfTrue="1" operator="equal">
      <formula>-1</formula>
    </cfRule>
  </conditionalFormatting>
  <conditionalFormatting sqref="AL9">
    <cfRule type="cellIs" dxfId="37133" priority="109052" stopIfTrue="1" operator="lessThan">
      <formula>0.5</formula>
    </cfRule>
  </conditionalFormatting>
  <conditionalFormatting sqref="AL9">
    <cfRule type="cellIs" dxfId="37132" priority="109053" stopIfTrue="1" operator="greaterThanOrEqual">
      <formula>0.5</formula>
    </cfRule>
  </conditionalFormatting>
  <conditionalFormatting sqref="AL10">
    <cfRule type="cellIs" dxfId="37131" priority="109054" stopIfTrue="1" operator="equal">
      <formula>-1</formula>
    </cfRule>
  </conditionalFormatting>
  <conditionalFormatting sqref="AL10">
    <cfRule type="cellIs" dxfId="37130" priority="109055" stopIfTrue="1" operator="lessThan">
      <formula>0.5</formula>
    </cfRule>
  </conditionalFormatting>
  <conditionalFormatting sqref="AL10">
    <cfRule type="cellIs" dxfId="37129" priority="109056" stopIfTrue="1" operator="greaterThanOrEqual">
      <formula>0.5</formula>
    </cfRule>
  </conditionalFormatting>
  <conditionalFormatting sqref="AL11">
    <cfRule type="cellIs" dxfId="37128" priority="109057" stopIfTrue="1" operator="equal">
      <formula>-1</formula>
    </cfRule>
  </conditionalFormatting>
  <conditionalFormatting sqref="AL11">
    <cfRule type="cellIs" dxfId="37127" priority="109058" stopIfTrue="1" operator="lessThan">
      <formula>0.5</formula>
    </cfRule>
  </conditionalFormatting>
  <conditionalFormatting sqref="AL11">
    <cfRule type="cellIs" dxfId="37126" priority="109059" stopIfTrue="1" operator="greaterThanOrEqual">
      <formula>0.5</formula>
    </cfRule>
  </conditionalFormatting>
  <conditionalFormatting sqref="AL12">
    <cfRule type="cellIs" dxfId="37125" priority="109060" stopIfTrue="1" operator="equal">
      <formula>-1</formula>
    </cfRule>
  </conditionalFormatting>
  <conditionalFormatting sqref="AL12">
    <cfRule type="cellIs" dxfId="37124" priority="109061" stopIfTrue="1" operator="lessThan">
      <formula>0.5</formula>
    </cfRule>
  </conditionalFormatting>
  <conditionalFormatting sqref="AL12">
    <cfRule type="cellIs" dxfId="37123" priority="109062" stopIfTrue="1" operator="greaterThanOrEqual">
      <formula>0.5</formula>
    </cfRule>
  </conditionalFormatting>
  <conditionalFormatting sqref="AL13">
    <cfRule type="cellIs" dxfId="37122" priority="109063" stopIfTrue="1" operator="equal">
      <formula>-1</formula>
    </cfRule>
  </conditionalFormatting>
  <conditionalFormatting sqref="AL13">
    <cfRule type="cellIs" dxfId="37121" priority="109064" stopIfTrue="1" operator="lessThan">
      <formula>0.5</formula>
    </cfRule>
  </conditionalFormatting>
  <conditionalFormatting sqref="AL13">
    <cfRule type="cellIs" dxfId="37120" priority="109065" stopIfTrue="1" operator="greaterThanOrEqual">
      <formula>0.5</formula>
    </cfRule>
  </conditionalFormatting>
  <conditionalFormatting sqref="AL14">
    <cfRule type="cellIs" dxfId="37119" priority="109066" stopIfTrue="1" operator="equal">
      <formula>-1</formula>
    </cfRule>
  </conditionalFormatting>
  <conditionalFormatting sqref="AL14">
    <cfRule type="cellIs" dxfId="37118" priority="109067" stopIfTrue="1" operator="lessThan">
      <formula>0.5</formula>
    </cfRule>
  </conditionalFormatting>
  <conditionalFormatting sqref="AL14">
    <cfRule type="cellIs" dxfId="37117" priority="109068" stopIfTrue="1" operator="greaterThanOrEqual">
      <formula>0.5</formula>
    </cfRule>
  </conditionalFormatting>
  <conditionalFormatting sqref="AL15">
    <cfRule type="cellIs" dxfId="37116" priority="109069" stopIfTrue="1" operator="equal">
      <formula>-1</formula>
    </cfRule>
  </conditionalFormatting>
  <conditionalFormatting sqref="AL15">
    <cfRule type="cellIs" dxfId="37115" priority="109070" stopIfTrue="1" operator="lessThan">
      <formula>0.5</formula>
    </cfRule>
  </conditionalFormatting>
  <conditionalFormatting sqref="AL15">
    <cfRule type="cellIs" dxfId="37114" priority="109071" stopIfTrue="1" operator="greaterThanOrEqual">
      <formula>0.5</formula>
    </cfRule>
  </conditionalFormatting>
  <conditionalFormatting sqref="AN8">
    <cfRule type="cellIs" dxfId="37113" priority="109072" stopIfTrue="1" operator="equal">
      <formula>-1</formula>
    </cfRule>
  </conditionalFormatting>
  <conditionalFormatting sqref="AN8">
    <cfRule type="cellIs" dxfId="37112" priority="109073" stopIfTrue="1" operator="lessThan">
      <formula>0.5</formula>
    </cfRule>
  </conditionalFormatting>
  <conditionalFormatting sqref="AN8">
    <cfRule type="cellIs" dxfId="37111" priority="109074" stopIfTrue="1" operator="greaterThanOrEqual">
      <formula>0.5</formula>
    </cfRule>
  </conditionalFormatting>
  <conditionalFormatting sqref="AN9">
    <cfRule type="cellIs" dxfId="37110" priority="109075" stopIfTrue="1" operator="equal">
      <formula>-1</formula>
    </cfRule>
  </conditionalFormatting>
  <conditionalFormatting sqref="AN9">
    <cfRule type="cellIs" dxfId="37109" priority="109076" stopIfTrue="1" operator="lessThan">
      <formula>0.5</formula>
    </cfRule>
  </conditionalFormatting>
  <conditionalFormatting sqref="AN9">
    <cfRule type="cellIs" dxfId="37108" priority="109077" stopIfTrue="1" operator="greaterThanOrEqual">
      <formula>0.5</formula>
    </cfRule>
  </conditionalFormatting>
  <conditionalFormatting sqref="AN10">
    <cfRule type="cellIs" dxfId="37107" priority="109078" stopIfTrue="1" operator="equal">
      <formula>-1</formula>
    </cfRule>
  </conditionalFormatting>
  <conditionalFormatting sqref="AN10">
    <cfRule type="cellIs" dxfId="37106" priority="109079" stopIfTrue="1" operator="lessThan">
      <formula>0.5</formula>
    </cfRule>
  </conditionalFormatting>
  <conditionalFormatting sqref="AN10">
    <cfRule type="cellIs" dxfId="37105" priority="109080" stopIfTrue="1" operator="greaterThanOrEqual">
      <formula>0.5</formula>
    </cfRule>
  </conditionalFormatting>
  <conditionalFormatting sqref="AN11">
    <cfRule type="cellIs" dxfId="37104" priority="109081" stopIfTrue="1" operator="equal">
      <formula>-1</formula>
    </cfRule>
  </conditionalFormatting>
  <conditionalFormatting sqref="AN11">
    <cfRule type="cellIs" dxfId="37103" priority="109082" stopIfTrue="1" operator="lessThan">
      <formula>0.5</formula>
    </cfRule>
  </conditionalFormatting>
  <conditionalFormatting sqref="AN11">
    <cfRule type="cellIs" dxfId="37102" priority="109083" stopIfTrue="1" operator="greaterThanOrEqual">
      <formula>0.5</formula>
    </cfRule>
  </conditionalFormatting>
  <conditionalFormatting sqref="AN12">
    <cfRule type="cellIs" dxfId="37101" priority="109084" stopIfTrue="1" operator="equal">
      <formula>-1</formula>
    </cfRule>
  </conditionalFormatting>
  <conditionalFormatting sqref="AN12">
    <cfRule type="cellIs" dxfId="37100" priority="109085" stopIfTrue="1" operator="lessThan">
      <formula>0.5</formula>
    </cfRule>
  </conditionalFormatting>
  <conditionalFormatting sqref="AN12">
    <cfRule type="cellIs" dxfId="37099" priority="109086" stopIfTrue="1" operator="greaterThanOrEqual">
      <formula>0.5</formula>
    </cfRule>
  </conditionalFormatting>
  <conditionalFormatting sqref="AN13">
    <cfRule type="cellIs" dxfId="37098" priority="109087" stopIfTrue="1" operator="equal">
      <formula>-1</formula>
    </cfRule>
  </conditionalFormatting>
  <conditionalFormatting sqref="AN13">
    <cfRule type="cellIs" dxfId="37097" priority="109088" stopIfTrue="1" operator="lessThan">
      <formula>0.5</formula>
    </cfRule>
  </conditionalFormatting>
  <conditionalFormatting sqref="AN13">
    <cfRule type="cellIs" dxfId="37096" priority="109089" stopIfTrue="1" operator="greaterThanOrEqual">
      <formula>0.5</formula>
    </cfRule>
  </conditionalFormatting>
  <conditionalFormatting sqref="AN14">
    <cfRule type="cellIs" dxfId="37095" priority="109090" stopIfTrue="1" operator="equal">
      <formula>-1</formula>
    </cfRule>
  </conditionalFormatting>
  <conditionalFormatting sqref="AN14">
    <cfRule type="cellIs" dxfId="37094" priority="109091" stopIfTrue="1" operator="lessThan">
      <formula>0.5</formula>
    </cfRule>
  </conditionalFormatting>
  <conditionalFormatting sqref="AN14">
    <cfRule type="cellIs" dxfId="37093" priority="109092" stopIfTrue="1" operator="greaterThanOrEqual">
      <formula>0.5</formula>
    </cfRule>
  </conditionalFormatting>
  <conditionalFormatting sqref="AN15">
    <cfRule type="cellIs" dxfId="37092" priority="109093" stopIfTrue="1" operator="equal">
      <formula>-1</formula>
    </cfRule>
  </conditionalFormatting>
  <conditionalFormatting sqref="AN15">
    <cfRule type="cellIs" dxfId="37091" priority="109094" stopIfTrue="1" operator="lessThan">
      <formula>0.5</formula>
    </cfRule>
  </conditionalFormatting>
  <conditionalFormatting sqref="AN15">
    <cfRule type="cellIs" dxfId="37090" priority="109095" stopIfTrue="1" operator="greaterThanOrEqual">
      <formula>0.5</formula>
    </cfRule>
  </conditionalFormatting>
  <conditionalFormatting sqref="AP8">
    <cfRule type="cellIs" dxfId="37089" priority="109096" stopIfTrue="1" operator="equal">
      <formula>-1</formula>
    </cfRule>
  </conditionalFormatting>
  <conditionalFormatting sqref="AP8">
    <cfRule type="cellIs" dxfId="37088" priority="109097" stopIfTrue="1" operator="lessThan">
      <formula>0.5</formula>
    </cfRule>
  </conditionalFormatting>
  <conditionalFormatting sqref="AP8">
    <cfRule type="cellIs" dxfId="37087" priority="109098" stopIfTrue="1" operator="greaterThanOrEqual">
      <formula>0.5</formula>
    </cfRule>
  </conditionalFormatting>
  <conditionalFormatting sqref="AP9">
    <cfRule type="cellIs" dxfId="37086" priority="109099" stopIfTrue="1" operator="equal">
      <formula>-1</formula>
    </cfRule>
  </conditionalFormatting>
  <conditionalFormatting sqref="AP9">
    <cfRule type="cellIs" dxfId="37085" priority="109100" stopIfTrue="1" operator="lessThan">
      <formula>0.5</formula>
    </cfRule>
  </conditionalFormatting>
  <conditionalFormatting sqref="AP9">
    <cfRule type="cellIs" dxfId="37084" priority="109101" stopIfTrue="1" operator="greaterThanOrEqual">
      <formula>0.5</formula>
    </cfRule>
  </conditionalFormatting>
  <conditionalFormatting sqref="AP10">
    <cfRule type="cellIs" dxfId="37083" priority="109102" stopIfTrue="1" operator="equal">
      <formula>-1</formula>
    </cfRule>
  </conditionalFormatting>
  <conditionalFormatting sqref="AP10">
    <cfRule type="cellIs" dxfId="37082" priority="109103" stopIfTrue="1" operator="lessThan">
      <formula>0.5</formula>
    </cfRule>
  </conditionalFormatting>
  <conditionalFormatting sqref="AP10">
    <cfRule type="cellIs" dxfId="37081" priority="109104" stopIfTrue="1" operator="greaterThanOrEqual">
      <formula>0.5</formula>
    </cfRule>
  </conditionalFormatting>
  <conditionalFormatting sqref="AP11">
    <cfRule type="cellIs" dxfId="37080" priority="109105" stopIfTrue="1" operator="equal">
      <formula>-1</formula>
    </cfRule>
  </conditionalFormatting>
  <conditionalFormatting sqref="AP11">
    <cfRule type="cellIs" dxfId="37079" priority="109106" stopIfTrue="1" operator="lessThan">
      <formula>0.5</formula>
    </cfRule>
  </conditionalFormatting>
  <conditionalFormatting sqref="AP11">
    <cfRule type="cellIs" dxfId="37078" priority="109107" stopIfTrue="1" operator="greaterThanOrEqual">
      <formula>0.5</formula>
    </cfRule>
  </conditionalFormatting>
  <conditionalFormatting sqref="AP12">
    <cfRule type="cellIs" dxfId="37077" priority="109108" stopIfTrue="1" operator="equal">
      <formula>-1</formula>
    </cfRule>
  </conditionalFormatting>
  <conditionalFormatting sqref="AP12">
    <cfRule type="cellIs" dxfId="37076" priority="109109" stopIfTrue="1" operator="lessThan">
      <formula>0.5</formula>
    </cfRule>
  </conditionalFormatting>
  <conditionalFormatting sqref="AP12">
    <cfRule type="cellIs" dxfId="37075" priority="109110" stopIfTrue="1" operator="greaterThanOrEqual">
      <formula>0.5</formula>
    </cfRule>
  </conditionalFormatting>
  <conditionalFormatting sqref="AP13">
    <cfRule type="cellIs" dxfId="37074" priority="109111" stopIfTrue="1" operator="equal">
      <formula>-1</formula>
    </cfRule>
  </conditionalFormatting>
  <conditionalFormatting sqref="AP13">
    <cfRule type="cellIs" dxfId="37073" priority="109112" stopIfTrue="1" operator="lessThan">
      <formula>0.5</formula>
    </cfRule>
  </conditionalFormatting>
  <conditionalFormatting sqref="AP13">
    <cfRule type="cellIs" dxfId="37072" priority="109113" stopIfTrue="1" operator="greaterThanOrEqual">
      <formula>0.5</formula>
    </cfRule>
  </conditionalFormatting>
  <conditionalFormatting sqref="AP14">
    <cfRule type="cellIs" dxfId="37071" priority="109114" stopIfTrue="1" operator="equal">
      <formula>-1</formula>
    </cfRule>
  </conditionalFormatting>
  <conditionalFormatting sqref="AP14">
    <cfRule type="cellIs" dxfId="37070" priority="109115" stopIfTrue="1" operator="lessThan">
      <formula>0.5</formula>
    </cfRule>
  </conditionalFormatting>
  <conditionalFormatting sqref="AP14">
    <cfRule type="cellIs" dxfId="37069" priority="109116" stopIfTrue="1" operator="greaterThanOrEqual">
      <formula>0.5</formula>
    </cfRule>
  </conditionalFormatting>
  <conditionalFormatting sqref="AP15">
    <cfRule type="cellIs" dxfId="37068" priority="109117" stopIfTrue="1" operator="equal">
      <formula>-1</formula>
    </cfRule>
  </conditionalFormatting>
  <conditionalFormatting sqref="AP15">
    <cfRule type="cellIs" dxfId="37067" priority="109118" stopIfTrue="1" operator="lessThan">
      <formula>0.5</formula>
    </cfRule>
  </conditionalFormatting>
  <conditionalFormatting sqref="AP15">
    <cfRule type="cellIs" dxfId="37066" priority="109119" stopIfTrue="1" operator="greaterThanOrEqual">
      <formula>0.5</formula>
    </cfRule>
  </conditionalFormatting>
  <conditionalFormatting sqref="AR8">
    <cfRule type="cellIs" dxfId="37065" priority="109120" stopIfTrue="1" operator="equal">
      <formula>-1</formula>
    </cfRule>
  </conditionalFormatting>
  <conditionalFormatting sqref="AR8">
    <cfRule type="cellIs" dxfId="37064" priority="109121" stopIfTrue="1" operator="lessThan">
      <formula>0.5</formula>
    </cfRule>
  </conditionalFormatting>
  <conditionalFormatting sqref="AR8">
    <cfRule type="cellIs" dxfId="37063" priority="109122" stopIfTrue="1" operator="greaterThanOrEqual">
      <formula>0.5</formula>
    </cfRule>
  </conditionalFormatting>
  <conditionalFormatting sqref="AR9">
    <cfRule type="cellIs" dxfId="37062" priority="109123" stopIfTrue="1" operator="equal">
      <formula>-1</formula>
    </cfRule>
  </conditionalFormatting>
  <conditionalFormatting sqref="AR9">
    <cfRule type="cellIs" dxfId="37061" priority="109124" stopIfTrue="1" operator="lessThan">
      <formula>0.5</formula>
    </cfRule>
  </conditionalFormatting>
  <conditionalFormatting sqref="AR9">
    <cfRule type="cellIs" dxfId="37060" priority="109125" stopIfTrue="1" operator="greaterThanOrEqual">
      <formula>0.5</formula>
    </cfRule>
  </conditionalFormatting>
  <conditionalFormatting sqref="AR10">
    <cfRule type="cellIs" dxfId="37059" priority="109126" stopIfTrue="1" operator="equal">
      <formula>-1</formula>
    </cfRule>
  </conditionalFormatting>
  <conditionalFormatting sqref="AR10">
    <cfRule type="cellIs" dxfId="37058" priority="109127" stopIfTrue="1" operator="lessThan">
      <formula>0.5</formula>
    </cfRule>
  </conditionalFormatting>
  <conditionalFormatting sqref="AR10">
    <cfRule type="cellIs" dxfId="37057" priority="109128" stopIfTrue="1" operator="greaterThanOrEqual">
      <formula>0.5</formula>
    </cfRule>
  </conditionalFormatting>
  <conditionalFormatting sqref="AR11">
    <cfRule type="cellIs" dxfId="37056" priority="109129" stopIfTrue="1" operator="equal">
      <formula>-1</formula>
    </cfRule>
  </conditionalFormatting>
  <conditionalFormatting sqref="AR11">
    <cfRule type="cellIs" dxfId="37055" priority="109130" stopIfTrue="1" operator="lessThan">
      <formula>0.5</formula>
    </cfRule>
  </conditionalFormatting>
  <conditionalFormatting sqref="AR11">
    <cfRule type="cellIs" dxfId="37054" priority="109131" stopIfTrue="1" operator="greaterThanOrEqual">
      <formula>0.5</formula>
    </cfRule>
  </conditionalFormatting>
  <conditionalFormatting sqref="AR12">
    <cfRule type="cellIs" dxfId="37053" priority="109132" stopIfTrue="1" operator="equal">
      <formula>-1</formula>
    </cfRule>
  </conditionalFormatting>
  <conditionalFormatting sqref="AR12">
    <cfRule type="cellIs" dxfId="37052" priority="109133" stopIfTrue="1" operator="lessThan">
      <formula>0.5</formula>
    </cfRule>
  </conditionalFormatting>
  <conditionalFormatting sqref="AR12">
    <cfRule type="cellIs" dxfId="37051" priority="109134" stopIfTrue="1" operator="greaterThanOrEqual">
      <formula>0.5</formula>
    </cfRule>
  </conditionalFormatting>
  <conditionalFormatting sqref="AR13">
    <cfRule type="cellIs" dxfId="37050" priority="109135" stopIfTrue="1" operator="equal">
      <formula>-1</formula>
    </cfRule>
  </conditionalFormatting>
  <conditionalFormatting sqref="AR13">
    <cfRule type="cellIs" dxfId="37049" priority="109136" stopIfTrue="1" operator="lessThan">
      <formula>0.5</formula>
    </cfRule>
  </conditionalFormatting>
  <conditionalFormatting sqref="AR13">
    <cfRule type="cellIs" dxfId="37048" priority="109137" stopIfTrue="1" operator="greaterThanOrEqual">
      <formula>0.5</formula>
    </cfRule>
  </conditionalFormatting>
  <conditionalFormatting sqref="AR14">
    <cfRule type="cellIs" dxfId="37047" priority="109138" stopIfTrue="1" operator="equal">
      <formula>-1</formula>
    </cfRule>
  </conditionalFormatting>
  <conditionalFormatting sqref="AR14">
    <cfRule type="cellIs" dxfId="37046" priority="109139" stopIfTrue="1" operator="lessThan">
      <formula>0.5</formula>
    </cfRule>
  </conditionalFormatting>
  <conditionalFormatting sqref="AR14">
    <cfRule type="cellIs" dxfId="37045" priority="109140" stopIfTrue="1" operator="greaterThanOrEqual">
      <formula>0.5</formula>
    </cfRule>
  </conditionalFormatting>
  <conditionalFormatting sqref="AR15">
    <cfRule type="cellIs" dxfId="37044" priority="109141" stopIfTrue="1" operator="equal">
      <formula>-1</formula>
    </cfRule>
  </conditionalFormatting>
  <conditionalFormatting sqref="AR15">
    <cfRule type="cellIs" dxfId="37043" priority="109142" stopIfTrue="1" operator="lessThan">
      <formula>0.5</formula>
    </cfRule>
  </conditionalFormatting>
  <conditionalFormatting sqref="AR15">
    <cfRule type="cellIs" dxfId="37042" priority="109143" stopIfTrue="1" operator="greaterThanOrEqual">
      <formula>0.5</formula>
    </cfRule>
  </conditionalFormatting>
  <conditionalFormatting sqref="AT8">
    <cfRule type="cellIs" dxfId="37041" priority="109144" stopIfTrue="1" operator="equal">
      <formula>-1</formula>
    </cfRule>
  </conditionalFormatting>
  <conditionalFormatting sqref="AT8">
    <cfRule type="cellIs" dxfId="37040" priority="109145" stopIfTrue="1" operator="lessThan">
      <formula>0.5</formula>
    </cfRule>
  </conditionalFormatting>
  <conditionalFormatting sqref="AT8">
    <cfRule type="cellIs" dxfId="37039" priority="109146" stopIfTrue="1" operator="greaterThanOrEqual">
      <formula>0.5</formula>
    </cfRule>
  </conditionalFormatting>
  <conditionalFormatting sqref="AT9">
    <cfRule type="cellIs" dxfId="37038" priority="109147" stopIfTrue="1" operator="equal">
      <formula>-1</formula>
    </cfRule>
  </conditionalFormatting>
  <conditionalFormatting sqref="AT9">
    <cfRule type="cellIs" dxfId="37037" priority="109148" stopIfTrue="1" operator="lessThan">
      <formula>0.5</formula>
    </cfRule>
  </conditionalFormatting>
  <conditionalFormatting sqref="AT9">
    <cfRule type="cellIs" dxfId="37036" priority="109149" stopIfTrue="1" operator="greaterThanOrEqual">
      <formula>0.5</formula>
    </cfRule>
  </conditionalFormatting>
  <conditionalFormatting sqref="AT10">
    <cfRule type="cellIs" dxfId="37035" priority="109150" stopIfTrue="1" operator="equal">
      <formula>-1</formula>
    </cfRule>
  </conditionalFormatting>
  <conditionalFormatting sqref="AT10">
    <cfRule type="cellIs" dxfId="37034" priority="109151" stopIfTrue="1" operator="lessThan">
      <formula>0.5</formula>
    </cfRule>
  </conditionalFormatting>
  <conditionalFormatting sqref="AT10">
    <cfRule type="cellIs" dxfId="37033" priority="109152" stopIfTrue="1" operator="greaterThanOrEqual">
      <formula>0.5</formula>
    </cfRule>
  </conditionalFormatting>
  <conditionalFormatting sqref="AT11">
    <cfRule type="cellIs" dxfId="37032" priority="109153" stopIfTrue="1" operator="equal">
      <formula>-1</formula>
    </cfRule>
  </conditionalFormatting>
  <conditionalFormatting sqref="AT11">
    <cfRule type="cellIs" dxfId="37031" priority="109154" stopIfTrue="1" operator="lessThan">
      <formula>0.5</formula>
    </cfRule>
  </conditionalFormatting>
  <conditionalFormatting sqref="AT11">
    <cfRule type="cellIs" dxfId="37030" priority="109155" stopIfTrue="1" operator="greaterThanOrEqual">
      <formula>0.5</formula>
    </cfRule>
  </conditionalFormatting>
  <conditionalFormatting sqref="AT12">
    <cfRule type="cellIs" dxfId="37029" priority="109156" stopIfTrue="1" operator="equal">
      <formula>-1</formula>
    </cfRule>
  </conditionalFormatting>
  <conditionalFormatting sqref="AT12">
    <cfRule type="cellIs" dxfId="37028" priority="109157" stopIfTrue="1" operator="lessThan">
      <formula>0.5</formula>
    </cfRule>
  </conditionalFormatting>
  <conditionalFormatting sqref="AT12">
    <cfRule type="cellIs" dxfId="37027" priority="109158" stopIfTrue="1" operator="greaterThanOrEqual">
      <formula>0.5</formula>
    </cfRule>
  </conditionalFormatting>
  <conditionalFormatting sqref="AT13">
    <cfRule type="cellIs" dxfId="37026" priority="109159" stopIfTrue="1" operator="equal">
      <formula>-1</formula>
    </cfRule>
  </conditionalFormatting>
  <conditionalFormatting sqref="AT13">
    <cfRule type="cellIs" dxfId="37025" priority="109160" stopIfTrue="1" operator="lessThan">
      <formula>0.5</formula>
    </cfRule>
  </conditionalFormatting>
  <conditionalFormatting sqref="AT13">
    <cfRule type="cellIs" dxfId="37024" priority="109161" stopIfTrue="1" operator="greaterThanOrEqual">
      <formula>0.5</formula>
    </cfRule>
  </conditionalFormatting>
  <conditionalFormatting sqref="AT14">
    <cfRule type="cellIs" dxfId="37023" priority="109162" stopIfTrue="1" operator="equal">
      <formula>-1</formula>
    </cfRule>
  </conditionalFormatting>
  <conditionalFormatting sqref="AT14">
    <cfRule type="cellIs" dxfId="37022" priority="109163" stopIfTrue="1" operator="lessThan">
      <formula>0.5</formula>
    </cfRule>
  </conditionalFormatting>
  <conditionalFormatting sqref="AT14">
    <cfRule type="cellIs" dxfId="37021" priority="109164" stopIfTrue="1" operator="greaterThanOrEqual">
      <formula>0.5</formula>
    </cfRule>
  </conditionalFormatting>
  <conditionalFormatting sqref="AT15">
    <cfRule type="cellIs" dxfId="37020" priority="109165" stopIfTrue="1" operator="equal">
      <formula>-1</formula>
    </cfRule>
  </conditionalFormatting>
  <conditionalFormatting sqref="AT15">
    <cfRule type="cellIs" dxfId="37019" priority="109166" stopIfTrue="1" operator="lessThan">
      <formula>0.5</formula>
    </cfRule>
  </conditionalFormatting>
  <conditionalFormatting sqref="AT15">
    <cfRule type="cellIs" dxfId="37018" priority="109167" stopIfTrue="1" operator="greaterThanOrEqual">
      <formula>0.5</formula>
    </cfRule>
  </conditionalFormatting>
  <conditionalFormatting sqref="AV8">
    <cfRule type="cellIs" dxfId="37017" priority="109168" stopIfTrue="1" operator="equal">
      <formula>-1</formula>
    </cfRule>
  </conditionalFormatting>
  <conditionalFormatting sqref="AV8">
    <cfRule type="cellIs" dxfId="37016" priority="109169" stopIfTrue="1" operator="lessThan">
      <formula>0.5</formula>
    </cfRule>
  </conditionalFormatting>
  <conditionalFormatting sqref="AV8">
    <cfRule type="cellIs" dxfId="37015" priority="109170" stopIfTrue="1" operator="greaterThanOrEqual">
      <formula>0.5</formula>
    </cfRule>
  </conditionalFormatting>
  <conditionalFormatting sqref="AV9">
    <cfRule type="cellIs" dxfId="37014" priority="109171" stopIfTrue="1" operator="equal">
      <formula>-1</formula>
    </cfRule>
  </conditionalFormatting>
  <conditionalFormatting sqref="AV9">
    <cfRule type="cellIs" dxfId="37013" priority="109172" stopIfTrue="1" operator="lessThan">
      <formula>0.5</formula>
    </cfRule>
  </conditionalFormatting>
  <conditionalFormatting sqref="AV9">
    <cfRule type="cellIs" dxfId="37012" priority="109173" stopIfTrue="1" operator="greaterThanOrEqual">
      <formula>0.5</formula>
    </cfRule>
  </conditionalFormatting>
  <conditionalFormatting sqref="AV10">
    <cfRule type="cellIs" dxfId="37011" priority="109174" stopIfTrue="1" operator="equal">
      <formula>-1</formula>
    </cfRule>
  </conditionalFormatting>
  <conditionalFormatting sqref="AV10">
    <cfRule type="cellIs" dxfId="37010" priority="109175" stopIfTrue="1" operator="lessThan">
      <formula>0.5</formula>
    </cfRule>
  </conditionalFormatting>
  <conditionalFormatting sqref="AV10">
    <cfRule type="cellIs" dxfId="37009" priority="109176" stopIfTrue="1" operator="greaterThanOrEqual">
      <formula>0.5</formula>
    </cfRule>
  </conditionalFormatting>
  <conditionalFormatting sqref="AV11">
    <cfRule type="cellIs" dxfId="37008" priority="109177" stopIfTrue="1" operator="equal">
      <formula>-1</formula>
    </cfRule>
  </conditionalFormatting>
  <conditionalFormatting sqref="AV11">
    <cfRule type="cellIs" dxfId="37007" priority="109178" stopIfTrue="1" operator="lessThan">
      <formula>0.5</formula>
    </cfRule>
  </conditionalFormatting>
  <conditionalFormatting sqref="AV11">
    <cfRule type="cellIs" dxfId="37006" priority="109179" stopIfTrue="1" operator="greaterThanOrEqual">
      <formula>0.5</formula>
    </cfRule>
  </conditionalFormatting>
  <conditionalFormatting sqref="AV12">
    <cfRule type="cellIs" dxfId="37005" priority="109180" stopIfTrue="1" operator="equal">
      <formula>-1</formula>
    </cfRule>
  </conditionalFormatting>
  <conditionalFormatting sqref="AV12">
    <cfRule type="cellIs" dxfId="37004" priority="109181" stopIfTrue="1" operator="lessThan">
      <formula>0.5</formula>
    </cfRule>
  </conditionalFormatting>
  <conditionalFormatting sqref="AV12">
    <cfRule type="cellIs" dxfId="37003" priority="109182" stopIfTrue="1" operator="greaterThanOrEqual">
      <formula>0.5</formula>
    </cfRule>
  </conditionalFormatting>
  <conditionalFormatting sqref="AV13">
    <cfRule type="cellIs" dxfId="37002" priority="109183" stopIfTrue="1" operator="equal">
      <formula>-1</formula>
    </cfRule>
  </conditionalFormatting>
  <conditionalFormatting sqref="AV13">
    <cfRule type="cellIs" dxfId="37001" priority="109184" stopIfTrue="1" operator="lessThan">
      <formula>0.5</formula>
    </cfRule>
  </conditionalFormatting>
  <conditionalFormatting sqref="AV13">
    <cfRule type="cellIs" dxfId="37000" priority="109185" stopIfTrue="1" operator="greaterThanOrEqual">
      <formula>0.5</formula>
    </cfRule>
  </conditionalFormatting>
  <conditionalFormatting sqref="AV14">
    <cfRule type="cellIs" dxfId="36999" priority="109186" stopIfTrue="1" operator="equal">
      <formula>-1</formula>
    </cfRule>
  </conditionalFormatting>
  <conditionalFormatting sqref="AV14">
    <cfRule type="cellIs" dxfId="36998" priority="109187" stopIfTrue="1" operator="lessThan">
      <formula>0.5</formula>
    </cfRule>
  </conditionalFormatting>
  <conditionalFormatting sqref="AV14">
    <cfRule type="cellIs" dxfId="36997" priority="109188" stopIfTrue="1" operator="greaterThanOrEqual">
      <formula>0.5</formula>
    </cfRule>
  </conditionalFormatting>
  <conditionalFormatting sqref="AV15">
    <cfRule type="cellIs" dxfId="36996" priority="109189" stopIfTrue="1" operator="equal">
      <formula>-1</formula>
    </cfRule>
  </conditionalFormatting>
  <conditionalFormatting sqref="AV15">
    <cfRule type="cellIs" dxfId="36995" priority="109190" stopIfTrue="1" operator="lessThan">
      <formula>0.5</formula>
    </cfRule>
  </conditionalFormatting>
  <conditionalFormatting sqref="AV15">
    <cfRule type="cellIs" dxfId="36994" priority="109191" stopIfTrue="1" operator="greaterThanOrEqual">
      <formula>0.5</formula>
    </cfRule>
  </conditionalFormatting>
  <conditionalFormatting sqref="AX8">
    <cfRule type="cellIs" dxfId="36993" priority="109192" stopIfTrue="1" operator="equal">
      <formula>-1</formula>
    </cfRule>
  </conditionalFormatting>
  <conditionalFormatting sqref="AX8">
    <cfRule type="cellIs" dxfId="36992" priority="109193" stopIfTrue="1" operator="lessThan">
      <formula>0.5</formula>
    </cfRule>
  </conditionalFormatting>
  <conditionalFormatting sqref="AX8">
    <cfRule type="cellIs" dxfId="36991" priority="109194" stopIfTrue="1" operator="greaterThanOrEqual">
      <formula>0.5</formula>
    </cfRule>
  </conditionalFormatting>
  <conditionalFormatting sqref="AX9">
    <cfRule type="cellIs" dxfId="36990" priority="109195" stopIfTrue="1" operator="equal">
      <formula>-1</formula>
    </cfRule>
  </conditionalFormatting>
  <conditionalFormatting sqref="AX9">
    <cfRule type="cellIs" dxfId="36989" priority="109196" stopIfTrue="1" operator="lessThan">
      <formula>0.5</formula>
    </cfRule>
  </conditionalFormatting>
  <conditionalFormatting sqref="AX9">
    <cfRule type="cellIs" dxfId="36988" priority="109197" stopIfTrue="1" operator="greaterThanOrEqual">
      <formula>0.5</formula>
    </cfRule>
  </conditionalFormatting>
  <conditionalFormatting sqref="AX10">
    <cfRule type="cellIs" dxfId="36987" priority="109198" stopIfTrue="1" operator="equal">
      <formula>-1</formula>
    </cfRule>
  </conditionalFormatting>
  <conditionalFormatting sqref="AX10">
    <cfRule type="cellIs" dxfId="36986" priority="109199" stopIfTrue="1" operator="lessThan">
      <formula>0.5</formula>
    </cfRule>
  </conditionalFormatting>
  <conditionalFormatting sqref="AX10">
    <cfRule type="cellIs" dxfId="36985" priority="109200" stopIfTrue="1" operator="greaterThanOrEqual">
      <formula>0.5</formula>
    </cfRule>
  </conditionalFormatting>
  <conditionalFormatting sqref="AX11">
    <cfRule type="cellIs" dxfId="36984" priority="109201" stopIfTrue="1" operator="equal">
      <formula>-1</formula>
    </cfRule>
  </conditionalFormatting>
  <conditionalFormatting sqref="AX11">
    <cfRule type="cellIs" dxfId="36983" priority="109202" stopIfTrue="1" operator="lessThan">
      <formula>0.5</formula>
    </cfRule>
  </conditionalFormatting>
  <conditionalFormatting sqref="AX11">
    <cfRule type="cellIs" dxfId="36982" priority="109203" stopIfTrue="1" operator="greaterThanOrEqual">
      <formula>0.5</formula>
    </cfRule>
  </conditionalFormatting>
  <conditionalFormatting sqref="AX12">
    <cfRule type="cellIs" dxfId="36981" priority="109204" stopIfTrue="1" operator="equal">
      <formula>-1</formula>
    </cfRule>
  </conditionalFormatting>
  <conditionalFormatting sqref="AX12">
    <cfRule type="cellIs" dxfId="36980" priority="109205" stopIfTrue="1" operator="lessThan">
      <formula>0.5</formula>
    </cfRule>
  </conditionalFormatting>
  <conditionalFormatting sqref="AX12">
    <cfRule type="cellIs" dxfId="36979" priority="109206" stopIfTrue="1" operator="greaterThanOrEqual">
      <formula>0.5</formula>
    </cfRule>
  </conditionalFormatting>
  <conditionalFormatting sqref="AX13">
    <cfRule type="cellIs" dxfId="36978" priority="109207" stopIfTrue="1" operator="equal">
      <formula>-1</formula>
    </cfRule>
  </conditionalFormatting>
  <conditionalFormatting sqref="AX13">
    <cfRule type="cellIs" dxfId="36977" priority="109208" stopIfTrue="1" operator="lessThan">
      <formula>0.5</formula>
    </cfRule>
  </conditionalFormatting>
  <conditionalFormatting sqref="AX13">
    <cfRule type="cellIs" dxfId="36976" priority="109209" stopIfTrue="1" operator="greaterThanOrEqual">
      <formula>0.5</formula>
    </cfRule>
  </conditionalFormatting>
  <conditionalFormatting sqref="AX14">
    <cfRule type="cellIs" dxfId="36975" priority="109210" stopIfTrue="1" operator="equal">
      <formula>-1</formula>
    </cfRule>
  </conditionalFormatting>
  <conditionalFormatting sqref="AX14">
    <cfRule type="cellIs" dxfId="36974" priority="109211" stopIfTrue="1" operator="lessThan">
      <formula>0.5</formula>
    </cfRule>
  </conditionalFormatting>
  <conditionalFormatting sqref="AX14">
    <cfRule type="cellIs" dxfId="36973" priority="109212" stopIfTrue="1" operator="greaterThanOrEqual">
      <formula>0.5</formula>
    </cfRule>
  </conditionalFormatting>
  <conditionalFormatting sqref="AX15">
    <cfRule type="cellIs" dxfId="36972" priority="109213" stopIfTrue="1" operator="equal">
      <formula>-1</formula>
    </cfRule>
  </conditionalFormatting>
  <conditionalFormatting sqref="AX15">
    <cfRule type="cellIs" dxfId="36971" priority="109214" stopIfTrue="1" operator="lessThan">
      <formula>0.5</formula>
    </cfRule>
  </conditionalFormatting>
  <conditionalFormatting sqref="AX15">
    <cfRule type="cellIs" dxfId="36970" priority="109215" stopIfTrue="1" operator="greaterThanOrEqual">
      <formula>0.5</formula>
    </cfRule>
  </conditionalFormatting>
  <conditionalFormatting sqref="AZ8">
    <cfRule type="cellIs" dxfId="36969" priority="109216" stopIfTrue="1" operator="equal">
      <formula>-1</formula>
    </cfRule>
  </conditionalFormatting>
  <conditionalFormatting sqref="AZ8">
    <cfRule type="cellIs" dxfId="36968" priority="109217" stopIfTrue="1" operator="lessThan">
      <formula>0.5</formula>
    </cfRule>
  </conditionalFormatting>
  <conditionalFormatting sqref="AZ8">
    <cfRule type="cellIs" dxfId="36967" priority="109218" stopIfTrue="1" operator="greaterThanOrEqual">
      <formula>0.5</formula>
    </cfRule>
  </conditionalFormatting>
  <conditionalFormatting sqref="AZ9">
    <cfRule type="cellIs" dxfId="36966" priority="109219" stopIfTrue="1" operator="equal">
      <formula>-1</formula>
    </cfRule>
  </conditionalFormatting>
  <conditionalFormatting sqref="AZ9">
    <cfRule type="cellIs" dxfId="36965" priority="109220" stopIfTrue="1" operator="lessThan">
      <formula>0.5</formula>
    </cfRule>
  </conditionalFormatting>
  <conditionalFormatting sqref="AZ9">
    <cfRule type="cellIs" dxfId="36964" priority="109221" stopIfTrue="1" operator="greaterThanOrEqual">
      <formula>0.5</formula>
    </cfRule>
  </conditionalFormatting>
  <conditionalFormatting sqref="AZ10">
    <cfRule type="cellIs" dxfId="36963" priority="109222" stopIfTrue="1" operator="equal">
      <formula>-1</formula>
    </cfRule>
  </conditionalFormatting>
  <conditionalFormatting sqref="AZ10">
    <cfRule type="cellIs" dxfId="36962" priority="109223" stopIfTrue="1" operator="lessThan">
      <formula>0.5</formula>
    </cfRule>
  </conditionalFormatting>
  <conditionalFormatting sqref="AZ10">
    <cfRule type="cellIs" dxfId="36961" priority="109224" stopIfTrue="1" operator="greaterThanOrEqual">
      <formula>0.5</formula>
    </cfRule>
  </conditionalFormatting>
  <conditionalFormatting sqref="AZ11">
    <cfRule type="cellIs" dxfId="36960" priority="109225" stopIfTrue="1" operator="equal">
      <formula>-1</formula>
    </cfRule>
  </conditionalFormatting>
  <conditionalFormatting sqref="AZ11">
    <cfRule type="cellIs" dxfId="36959" priority="109226" stopIfTrue="1" operator="lessThan">
      <formula>0.5</formula>
    </cfRule>
  </conditionalFormatting>
  <conditionalFormatting sqref="AZ11">
    <cfRule type="cellIs" dxfId="36958" priority="109227" stopIfTrue="1" operator="greaterThanOrEqual">
      <formula>0.5</formula>
    </cfRule>
  </conditionalFormatting>
  <conditionalFormatting sqref="AZ12">
    <cfRule type="cellIs" dxfId="36957" priority="109228" stopIfTrue="1" operator="equal">
      <formula>-1</formula>
    </cfRule>
  </conditionalFormatting>
  <conditionalFormatting sqref="AZ12">
    <cfRule type="cellIs" dxfId="36956" priority="109229" stopIfTrue="1" operator="lessThan">
      <formula>0.5</formula>
    </cfRule>
  </conditionalFormatting>
  <conditionalFormatting sqref="AZ12">
    <cfRule type="cellIs" dxfId="36955" priority="109230" stopIfTrue="1" operator="greaterThanOrEqual">
      <formula>0.5</formula>
    </cfRule>
  </conditionalFormatting>
  <conditionalFormatting sqref="AZ13">
    <cfRule type="cellIs" dxfId="36954" priority="109231" stopIfTrue="1" operator="equal">
      <formula>-1</formula>
    </cfRule>
  </conditionalFormatting>
  <conditionalFormatting sqref="AZ13">
    <cfRule type="cellIs" dxfId="36953" priority="109232" stopIfTrue="1" operator="lessThan">
      <formula>0.5</formula>
    </cfRule>
  </conditionalFormatting>
  <conditionalFormatting sqref="AZ13">
    <cfRule type="cellIs" dxfId="36952" priority="109233" stopIfTrue="1" operator="greaterThanOrEqual">
      <formula>0.5</formula>
    </cfRule>
  </conditionalFormatting>
  <conditionalFormatting sqref="AZ14">
    <cfRule type="cellIs" dxfId="36951" priority="109234" stopIfTrue="1" operator="equal">
      <formula>-1</formula>
    </cfRule>
  </conditionalFormatting>
  <conditionalFormatting sqref="AZ14">
    <cfRule type="cellIs" dxfId="36950" priority="109235" stopIfTrue="1" operator="lessThan">
      <formula>0.5</formula>
    </cfRule>
  </conditionalFormatting>
  <conditionalFormatting sqref="AZ14">
    <cfRule type="cellIs" dxfId="36949" priority="109236" stopIfTrue="1" operator="greaterThanOrEqual">
      <formula>0.5</formula>
    </cfRule>
  </conditionalFormatting>
  <conditionalFormatting sqref="AZ15">
    <cfRule type="cellIs" dxfId="36948" priority="109237" stopIfTrue="1" operator="equal">
      <formula>-1</formula>
    </cfRule>
  </conditionalFormatting>
  <conditionalFormatting sqref="AZ15">
    <cfRule type="cellIs" dxfId="36947" priority="109238" stopIfTrue="1" operator="lessThan">
      <formula>0.5</formula>
    </cfRule>
  </conditionalFormatting>
  <conditionalFormatting sqref="AZ15">
    <cfRule type="cellIs" dxfId="36946" priority="109239" stopIfTrue="1" operator="greaterThanOrEqual">
      <formula>0.5</formula>
    </cfRule>
  </conditionalFormatting>
  <conditionalFormatting sqref="BB8">
    <cfRule type="cellIs" dxfId="36945" priority="109240" stopIfTrue="1" operator="equal">
      <formula>-1</formula>
    </cfRule>
  </conditionalFormatting>
  <conditionalFormatting sqref="BB8">
    <cfRule type="cellIs" dxfId="36944" priority="109241" stopIfTrue="1" operator="lessThan">
      <formula>0.5</formula>
    </cfRule>
  </conditionalFormatting>
  <conditionalFormatting sqref="BB8">
    <cfRule type="cellIs" dxfId="36943" priority="109242" stopIfTrue="1" operator="greaterThanOrEqual">
      <formula>0.5</formula>
    </cfRule>
  </conditionalFormatting>
  <conditionalFormatting sqref="BB9">
    <cfRule type="cellIs" dxfId="36942" priority="109243" stopIfTrue="1" operator="equal">
      <formula>-1</formula>
    </cfRule>
  </conditionalFormatting>
  <conditionalFormatting sqref="BB9">
    <cfRule type="cellIs" dxfId="36941" priority="109244" stopIfTrue="1" operator="lessThan">
      <formula>0.5</formula>
    </cfRule>
  </conditionalFormatting>
  <conditionalFormatting sqref="BB9">
    <cfRule type="cellIs" dxfId="36940" priority="109245" stopIfTrue="1" operator="greaterThanOrEqual">
      <formula>0.5</formula>
    </cfRule>
  </conditionalFormatting>
  <conditionalFormatting sqref="BB10">
    <cfRule type="cellIs" dxfId="36939" priority="109246" stopIfTrue="1" operator="equal">
      <formula>-1</formula>
    </cfRule>
  </conditionalFormatting>
  <conditionalFormatting sqref="BB10">
    <cfRule type="cellIs" dxfId="36938" priority="109247" stopIfTrue="1" operator="lessThan">
      <formula>0.5</formula>
    </cfRule>
  </conditionalFormatting>
  <conditionalFormatting sqref="BB10">
    <cfRule type="cellIs" dxfId="36937" priority="109248" stopIfTrue="1" operator="greaterThanOrEqual">
      <formula>0.5</formula>
    </cfRule>
  </conditionalFormatting>
  <conditionalFormatting sqref="BB11">
    <cfRule type="cellIs" dxfId="36936" priority="109249" stopIfTrue="1" operator="equal">
      <formula>-1</formula>
    </cfRule>
  </conditionalFormatting>
  <conditionalFormatting sqref="BB11">
    <cfRule type="cellIs" dxfId="36935" priority="109250" stopIfTrue="1" operator="lessThan">
      <formula>0.5</formula>
    </cfRule>
  </conditionalFormatting>
  <conditionalFormatting sqref="BB11">
    <cfRule type="cellIs" dxfId="36934" priority="109251" stopIfTrue="1" operator="greaterThanOrEqual">
      <formula>0.5</formula>
    </cfRule>
  </conditionalFormatting>
  <conditionalFormatting sqref="BB12">
    <cfRule type="cellIs" dxfId="36933" priority="109252" stopIfTrue="1" operator="equal">
      <formula>-1</formula>
    </cfRule>
  </conditionalFormatting>
  <conditionalFormatting sqref="BB12">
    <cfRule type="cellIs" dxfId="36932" priority="109253" stopIfTrue="1" operator="lessThan">
      <formula>0.5</formula>
    </cfRule>
  </conditionalFormatting>
  <conditionalFormatting sqref="BB12">
    <cfRule type="cellIs" dxfId="36931" priority="109254" stopIfTrue="1" operator="greaterThanOrEqual">
      <formula>0.5</formula>
    </cfRule>
  </conditionalFormatting>
  <conditionalFormatting sqref="BB13">
    <cfRule type="cellIs" dxfId="36930" priority="109255" stopIfTrue="1" operator="equal">
      <formula>-1</formula>
    </cfRule>
  </conditionalFormatting>
  <conditionalFormatting sqref="BB13">
    <cfRule type="cellIs" dxfId="36929" priority="109256" stopIfTrue="1" operator="lessThan">
      <formula>0.5</formula>
    </cfRule>
  </conditionalFormatting>
  <conditionalFormatting sqref="BB13">
    <cfRule type="cellIs" dxfId="36928" priority="109257" stopIfTrue="1" operator="greaterThanOrEqual">
      <formula>0.5</formula>
    </cfRule>
  </conditionalFormatting>
  <conditionalFormatting sqref="BB14">
    <cfRule type="cellIs" dxfId="36927" priority="109258" stopIfTrue="1" operator="equal">
      <formula>-1</formula>
    </cfRule>
  </conditionalFormatting>
  <conditionalFormatting sqref="BB14">
    <cfRule type="cellIs" dxfId="36926" priority="109259" stopIfTrue="1" operator="lessThan">
      <formula>0.5</formula>
    </cfRule>
  </conditionalFormatting>
  <conditionalFormatting sqref="BB14">
    <cfRule type="cellIs" dxfId="36925" priority="109260" stopIfTrue="1" operator="greaterThanOrEqual">
      <formula>0.5</formula>
    </cfRule>
  </conditionalFormatting>
  <conditionalFormatting sqref="BB15">
    <cfRule type="cellIs" dxfId="36924" priority="109261" stopIfTrue="1" operator="equal">
      <formula>-1</formula>
    </cfRule>
  </conditionalFormatting>
  <conditionalFormatting sqref="BB15">
    <cfRule type="cellIs" dxfId="36923" priority="109262" stopIfTrue="1" operator="lessThan">
      <formula>0.5</formula>
    </cfRule>
  </conditionalFormatting>
  <conditionalFormatting sqref="BB15">
    <cfRule type="cellIs" dxfId="36922" priority="109263" stopIfTrue="1" operator="greaterThanOrEqual">
      <formula>0.5</formula>
    </cfRule>
  </conditionalFormatting>
  <conditionalFormatting sqref="BD8">
    <cfRule type="cellIs" dxfId="36921" priority="109264" stopIfTrue="1" operator="equal">
      <formula>-1</formula>
    </cfRule>
  </conditionalFormatting>
  <conditionalFormatting sqref="BD8">
    <cfRule type="cellIs" dxfId="36920" priority="109265" stopIfTrue="1" operator="lessThan">
      <formula>0.5</formula>
    </cfRule>
  </conditionalFormatting>
  <conditionalFormatting sqref="BD8">
    <cfRule type="cellIs" dxfId="36919" priority="109266" stopIfTrue="1" operator="greaterThanOrEqual">
      <formula>0.5</formula>
    </cfRule>
  </conditionalFormatting>
  <conditionalFormatting sqref="BD9">
    <cfRule type="cellIs" dxfId="36918" priority="109267" stopIfTrue="1" operator="equal">
      <formula>-1</formula>
    </cfRule>
  </conditionalFormatting>
  <conditionalFormatting sqref="BD9">
    <cfRule type="cellIs" dxfId="36917" priority="109268" stopIfTrue="1" operator="lessThan">
      <formula>0.5</formula>
    </cfRule>
  </conditionalFormatting>
  <conditionalFormatting sqref="BD9">
    <cfRule type="cellIs" dxfId="36916" priority="109269" stopIfTrue="1" operator="greaterThanOrEqual">
      <formula>0.5</formula>
    </cfRule>
  </conditionalFormatting>
  <conditionalFormatting sqref="BD10">
    <cfRule type="cellIs" dxfId="36915" priority="109270" stopIfTrue="1" operator="equal">
      <formula>-1</formula>
    </cfRule>
  </conditionalFormatting>
  <conditionalFormatting sqref="BD10">
    <cfRule type="cellIs" dxfId="36914" priority="109271" stopIfTrue="1" operator="lessThan">
      <formula>0.5</formula>
    </cfRule>
  </conditionalFormatting>
  <conditionalFormatting sqref="BD10">
    <cfRule type="cellIs" dxfId="36913" priority="109272" stopIfTrue="1" operator="greaterThanOrEqual">
      <formula>0.5</formula>
    </cfRule>
  </conditionalFormatting>
  <conditionalFormatting sqref="BD11">
    <cfRule type="cellIs" dxfId="36912" priority="109273" stopIfTrue="1" operator="equal">
      <formula>-1</formula>
    </cfRule>
  </conditionalFormatting>
  <conditionalFormatting sqref="BD11">
    <cfRule type="cellIs" dxfId="36911" priority="109274" stopIfTrue="1" operator="lessThan">
      <formula>0.5</formula>
    </cfRule>
  </conditionalFormatting>
  <conditionalFormatting sqref="BD11">
    <cfRule type="cellIs" dxfId="36910" priority="109275" stopIfTrue="1" operator="greaterThanOrEqual">
      <formula>0.5</formula>
    </cfRule>
  </conditionalFormatting>
  <conditionalFormatting sqref="BD12">
    <cfRule type="cellIs" dxfId="36909" priority="109276" stopIfTrue="1" operator="equal">
      <formula>-1</formula>
    </cfRule>
  </conditionalFormatting>
  <conditionalFormatting sqref="BD12">
    <cfRule type="cellIs" dxfId="36908" priority="109277" stopIfTrue="1" operator="lessThan">
      <formula>0.5</formula>
    </cfRule>
  </conditionalFormatting>
  <conditionalFormatting sqref="BD12">
    <cfRule type="cellIs" dxfId="36907" priority="109278" stopIfTrue="1" operator="greaterThanOrEqual">
      <formula>0.5</formula>
    </cfRule>
  </conditionalFormatting>
  <conditionalFormatting sqref="BD13">
    <cfRule type="cellIs" dxfId="36906" priority="109279" stopIfTrue="1" operator="equal">
      <formula>-1</formula>
    </cfRule>
  </conditionalFormatting>
  <conditionalFormatting sqref="BD13">
    <cfRule type="cellIs" dxfId="36905" priority="109280" stopIfTrue="1" operator="lessThan">
      <formula>0.5</formula>
    </cfRule>
  </conditionalFormatting>
  <conditionalFormatting sqref="BD13">
    <cfRule type="cellIs" dxfId="36904" priority="109281" stopIfTrue="1" operator="greaterThanOrEqual">
      <formula>0.5</formula>
    </cfRule>
  </conditionalFormatting>
  <conditionalFormatting sqref="BD14">
    <cfRule type="cellIs" dxfId="36903" priority="109282" stopIfTrue="1" operator="equal">
      <formula>-1</formula>
    </cfRule>
  </conditionalFormatting>
  <conditionalFormatting sqref="BD14">
    <cfRule type="cellIs" dxfId="36902" priority="109283" stopIfTrue="1" operator="lessThan">
      <formula>0.5</formula>
    </cfRule>
  </conditionalFormatting>
  <conditionalFormatting sqref="BD14">
    <cfRule type="cellIs" dxfId="36901" priority="109284" stopIfTrue="1" operator="greaterThanOrEqual">
      <formula>0.5</formula>
    </cfRule>
  </conditionalFormatting>
  <conditionalFormatting sqref="BD15">
    <cfRule type="cellIs" dxfId="36900" priority="109285" stopIfTrue="1" operator="equal">
      <formula>-1</formula>
    </cfRule>
  </conditionalFormatting>
  <conditionalFormatting sqref="BD15">
    <cfRule type="cellIs" dxfId="36899" priority="109286" stopIfTrue="1" operator="lessThan">
      <formula>0.5</formula>
    </cfRule>
  </conditionalFormatting>
  <conditionalFormatting sqref="BD15">
    <cfRule type="cellIs" dxfId="36898" priority="109287" stopIfTrue="1" operator="greaterThanOrEqual">
      <formula>0.5</formula>
    </cfRule>
  </conditionalFormatting>
  <conditionalFormatting sqref="BF8">
    <cfRule type="cellIs" dxfId="36897" priority="109288" stopIfTrue="1" operator="equal">
      <formula>-1</formula>
    </cfRule>
  </conditionalFormatting>
  <conditionalFormatting sqref="BF8">
    <cfRule type="cellIs" dxfId="36896" priority="109289" stopIfTrue="1" operator="lessThan">
      <formula>0.5</formula>
    </cfRule>
  </conditionalFormatting>
  <conditionalFormatting sqref="BF8">
    <cfRule type="cellIs" dxfId="36895" priority="109290" stopIfTrue="1" operator="greaterThanOrEqual">
      <formula>0.5</formula>
    </cfRule>
  </conditionalFormatting>
  <conditionalFormatting sqref="BF9">
    <cfRule type="cellIs" dxfId="36894" priority="109291" stopIfTrue="1" operator="equal">
      <formula>-1</formula>
    </cfRule>
  </conditionalFormatting>
  <conditionalFormatting sqref="BF9">
    <cfRule type="cellIs" dxfId="36893" priority="109292" stopIfTrue="1" operator="lessThan">
      <formula>0.5</formula>
    </cfRule>
  </conditionalFormatting>
  <conditionalFormatting sqref="BF9">
    <cfRule type="cellIs" dxfId="36892" priority="109293" stopIfTrue="1" operator="greaterThanOrEqual">
      <formula>0.5</formula>
    </cfRule>
  </conditionalFormatting>
  <conditionalFormatting sqref="BF10">
    <cfRule type="cellIs" dxfId="36891" priority="109294" stopIfTrue="1" operator="equal">
      <formula>-1</formula>
    </cfRule>
  </conditionalFormatting>
  <conditionalFormatting sqref="BF10">
    <cfRule type="cellIs" dxfId="36890" priority="109295" stopIfTrue="1" operator="lessThan">
      <formula>0.5</formula>
    </cfRule>
  </conditionalFormatting>
  <conditionalFormatting sqref="BF10">
    <cfRule type="cellIs" dxfId="36889" priority="109296" stopIfTrue="1" operator="greaterThanOrEqual">
      <formula>0.5</formula>
    </cfRule>
  </conditionalFormatting>
  <conditionalFormatting sqref="BF11">
    <cfRule type="cellIs" dxfId="36888" priority="109297" stopIfTrue="1" operator="equal">
      <formula>-1</formula>
    </cfRule>
  </conditionalFormatting>
  <conditionalFormatting sqref="BF11">
    <cfRule type="cellIs" dxfId="36887" priority="109298" stopIfTrue="1" operator="lessThan">
      <formula>0.5</formula>
    </cfRule>
  </conditionalFormatting>
  <conditionalFormatting sqref="BF11">
    <cfRule type="cellIs" dxfId="36886" priority="109299" stopIfTrue="1" operator="greaterThanOrEqual">
      <formula>0.5</formula>
    </cfRule>
  </conditionalFormatting>
  <conditionalFormatting sqref="BF12">
    <cfRule type="cellIs" dxfId="36885" priority="109300" stopIfTrue="1" operator="equal">
      <formula>-1</formula>
    </cfRule>
  </conditionalFormatting>
  <conditionalFormatting sqref="BF12">
    <cfRule type="cellIs" dxfId="36884" priority="109301" stopIfTrue="1" operator="lessThan">
      <formula>0.5</formula>
    </cfRule>
  </conditionalFormatting>
  <conditionalFormatting sqref="BF12">
    <cfRule type="cellIs" dxfId="36883" priority="109302" stopIfTrue="1" operator="greaterThanOrEqual">
      <formula>0.5</formula>
    </cfRule>
  </conditionalFormatting>
  <conditionalFormatting sqref="BF13">
    <cfRule type="cellIs" dxfId="36882" priority="109303" stopIfTrue="1" operator="equal">
      <formula>-1</formula>
    </cfRule>
  </conditionalFormatting>
  <conditionalFormatting sqref="BF13">
    <cfRule type="cellIs" dxfId="36881" priority="109304" stopIfTrue="1" operator="lessThan">
      <formula>0.5</formula>
    </cfRule>
  </conditionalFormatting>
  <conditionalFormatting sqref="BF13">
    <cfRule type="cellIs" dxfId="36880" priority="109305" stopIfTrue="1" operator="greaterThanOrEqual">
      <formula>0.5</formula>
    </cfRule>
  </conditionalFormatting>
  <conditionalFormatting sqref="BF14">
    <cfRule type="cellIs" dxfId="36879" priority="109306" stopIfTrue="1" operator="equal">
      <formula>-1</formula>
    </cfRule>
  </conditionalFormatting>
  <conditionalFormatting sqref="BF14">
    <cfRule type="cellIs" dxfId="36878" priority="109307" stopIfTrue="1" operator="lessThan">
      <formula>0.5</formula>
    </cfRule>
  </conditionalFormatting>
  <conditionalFormatting sqref="BF14">
    <cfRule type="cellIs" dxfId="36877" priority="109308" stopIfTrue="1" operator="greaterThanOrEqual">
      <formula>0.5</formula>
    </cfRule>
  </conditionalFormatting>
  <conditionalFormatting sqref="BF15">
    <cfRule type="cellIs" dxfId="36876" priority="109309" stopIfTrue="1" operator="equal">
      <formula>-1</formula>
    </cfRule>
  </conditionalFormatting>
  <conditionalFormatting sqref="BF15">
    <cfRule type="cellIs" dxfId="36875" priority="109310" stopIfTrue="1" operator="lessThan">
      <formula>0.5</formula>
    </cfRule>
  </conditionalFormatting>
  <conditionalFormatting sqref="BF15">
    <cfRule type="cellIs" dxfId="36874" priority="109311" stopIfTrue="1" operator="greaterThanOrEqual">
      <formula>0.5</formula>
    </cfRule>
  </conditionalFormatting>
  <conditionalFormatting sqref="BH8">
    <cfRule type="cellIs" dxfId="36873" priority="109312" stopIfTrue="1" operator="equal">
      <formula>-1</formula>
    </cfRule>
  </conditionalFormatting>
  <conditionalFormatting sqref="BH8">
    <cfRule type="cellIs" dxfId="36872" priority="109313" stopIfTrue="1" operator="lessThan">
      <formula>0.5</formula>
    </cfRule>
  </conditionalFormatting>
  <conditionalFormatting sqref="BH8">
    <cfRule type="cellIs" dxfId="36871" priority="109314" stopIfTrue="1" operator="greaterThanOrEqual">
      <formula>0.5</formula>
    </cfRule>
  </conditionalFormatting>
  <conditionalFormatting sqref="BH9">
    <cfRule type="cellIs" dxfId="36870" priority="109315" stopIfTrue="1" operator="equal">
      <formula>-1</formula>
    </cfRule>
  </conditionalFormatting>
  <conditionalFormatting sqref="BH9">
    <cfRule type="cellIs" dxfId="36869" priority="109316" stopIfTrue="1" operator="lessThan">
      <formula>0.5</formula>
    </cfRule>
  </conditionalFormatting>
  <conditionalFormatting sqref="BH9">
    <cfRule type="cellIs" dxfId="36868" priority="109317" stopIfTrue="1" operator="greaterThanOrEqual">
      <formula>0.5</formula>
    </cfRule>
  </conditionalFormatting>
  <conditionalFormatting sqref="BH10">
    <cfRule type="cellIs" dxfId="36867" priority="109318" stopIfTrue="1" operator="equal">
      <formula>-1</formula>
    </cfRule>
  </conditionalFormatting>
  <conditionalFormatting sqref="BH10">
    <cfRule type="cellIs" dxfId="36866" priority="109319" stopIfTrue="1" operator="lessThan">
      <formula>0.5</formula>
    </cfRule>
  </conditionalFormatting>
  <conditionalFormatting sqref="BH10">
    <cfRule type="cellIs" dxfId="36865" priority="109320" stopIfTrue="1" operator="greaterThanOrEqual">
      <formula>0.5</formula>
    </cfRule>
  </conditionalFormatting>
  <conditionalFormatting sqref="BH11">
    <cfRule type="cellIs" dxfId="36864" priority="109321" stopIfTrue="1" operator="equal">
      <formula>-1</formula>
    </cfRule>
  </conditionalFormatting>
  <conditionalFormatting sqref="BH11">
    <cfRule type="cellIs" dxfId="36863" priority="109322" stopIfTrue="1" operator="lessThan">
      <formula>0.5</formula>
    </cfRule>
  </conditionalFormatting>
  <conditionalFormatting sqref="BH11">
    <cfRule type="cellIs" dxfId="36862" priority="109323" stopIfTrue="1" operator="greaterThanOrEqual">
      <formula>0.5</formula>
    </cfRule>
  </conditionalFormatting>
  <conditionalFormatting sqref="BH12">
    <cfRule type="cellIs" dxfId="36861" priority="109324" stopIfTrue="1" operator="equal">
      <formula>-1</formula>
    </cfRule>
  </conditionalFormatting>
  <conditionalFormatting sqref="BH12">
    <cfRule type="cellIs" dxfId="36860" priority="109325" stopIfTrue="1" operator="lessThan">
      <formula>0.5</formula>
    </cfRule>
  </conditionalFormatting>
  <conditionalFormatting sqref="BH12">
    <cfRule type="cellIs" dxfId="36859" priority="109326" stopIfTrue="1" operator="greaterThanOrEqual">
      <formula>0.5</formula>
    </cfRule>
  </conditionalFormatting>
  <conditionalFormatting sqref="BH13">
    <cfRule type="cellIs" dxfId="36858" priority="109327" stopIfTrue="1" operator="equal">
      <formula>-1</formula>
    </cfRule>
  </conditionalFormatting>
  <conditionalFormatting sqref="BH13">
    <cfRule type="cellIs" dxfId="36857" priority="109328" stopIfTrue="1" operator="lessThan">
      <formula>0.5</formula>
    </cfRule>
  </conditionalFormatting>
  <conditionalFormatting sqref="BH13">
    <cfRule type="cellIs" dxfId="36856" priority="109329" stopIfTrue="1" operator="greaterThanOrEqual">
      <formula>0.5</formula>
    </cfRule>
  </conditionalFormatting>
  <conditionalFormatting sqref="BH14">
    <cfRule type="cellIs" dxfId="36855" priority="109330" stopIfTrue="1" operator="equal">
      <formula>-1</formula>
    </cfRule>
  </conditionalFormatting>
  <conditionalFormatting sqref="BH14">
    <cfRule type="cellIs" dxfId="36854" priority="109331" stopIfTrue="1" operator="lessThan">
      <formula>0.5</formula>
    </cfRule>
  </conditionalFormatting>
  <conditionalFormatting sqref="BH14">
    <cfRule type="cellIs" dxfId="36853" priority="109332" stopIfTrue="1" operator="greaterThanOrEqual">
      <formula>0.5</formula>
    </cfRule>
  </conditionalFormatting>
  <conditionalFormatting sqref="BH15">
    <cfRule type="cellIs" dxfId="36852" priority="109333" stopIfTrue="1" operator="equal">
      <formula>-1</formula>
    </cfRule>
  </conditionalFormatting>
  <conditionalFormatting sqref="BH15">
    <cfRule type="cellIs" dxfId="36851" priority="109334" stopIfTrue="1" operator="lessThan">
      <formula>0.5</formula>
    </cfRule>
  </conditionalFormatting>
  <conditionalFormatting sqref="BH15">
    <cfRule type="cellIs" dxfId="36850" priority="109335" stopIfTrue="1" operator="greaterThanOrEqual">
      <formula>0.5</formula>
    </cfRule>
  </conditionalFormatting>
  <conditionalFormatting sqref="BJ8">
    <cfRule type="cellIs" dxfId="36849" priority="109336" stopIfTrue="1" operator="equal">
      <formula>-1</formula>
    </cfRule>
  </conditionalFormatting>
  <conditionalFormatting sqref="BJ8">
    <cfRule type="cellIs" dxfId="36848" priority="109337" stopIfTrue="1" operator="lessThan">
      <formula>0.5</formula>
    </cfRule>
  </conditionalFormatting>
  <conditionalFormatting sqref="BJ8">
    <cfRule type="cellIs" dxfId="36847" priority="109338" stopIfTrue="1" operator="greaterThanOrEqual">
      <formula>0.5</formula>
    </cfRule>
  </conditionalFormatting>
  <conditionalFormatting sqref="BJ9">
    <cfRule type="cellIs" dxfId="36846" priority="109339" stopIfTrue="1" operator="equal">
      <formula>-1</formula>
    </cfRule>
  </conditionalFormatting>
  <conditionalFormatting sqref="BJ9">
    <cfRule type="cellIs" dxfId="36845" priority="109340" stopIfTrue="1" operator="lessThan">
      <formula>0.5</formula>
    </cfRule>
  </conditionalFormatting>
  <conditionalFormatting sqref="BJ9">
    <cfRule type="cellIs" dxfId="36844" priority="109341" stopIfTrue="1" operator="greaterThanOrEqual">
      <formula>0.5</formula>
    </cfRule>
  </conditionalFormatting>
  <conditionalFormatting sqref="BJ10">
    <cfRule type="cellIs" dxfId="36843" priority="109342" stopIfTrue="1" operator="equal">
      <formula>-1</formula>
    </cfRule>
  </conditionalFormatting>
  <conditionalFormatting sqref="BJ10">
    <cfRule type="cellIs" dxfId="36842" priority="109343" stopIfTrue="1" operator="lessThan">
      <formula>0.5</formula>
    </cfRule>
  </conditionalFormatting>
  <conditionalFormatting sqref="BJ10">
    <cfRule type="cellIs" dxfId="36841" priority="109344" stopIfTrue="1" operator="greaterThanOrEqual">
      <formula>0.5</formula>
    </cfRule>
  </conditionalFormatting>
  <conditionalFormatting sqref="BJ11">
    <cfRule type="cellIs" dxfId="36840" priority="109345" stopIfTrue="1" operator="equal">
      <formula>-1</formula>
    </cfRule>
  </conditionalFormatting>
  <conditionalFormatting sqref="BJ11">
    <cfRule type="cellIs" dxfId="36839" priority="109346" stopIfTrue="1" operator="lessThan">
      <formula>0.5</formula>
    </cfRule>
  </conditionalFormatting>
  <conditionalFormatting sqref="BJ11">
    <cfRule type="cellIs" dxfId="36838" priority="109347" stopIfTrue="1" operator="greaterThanOrEqual">
      <formula>0.5</formula>
    </cfRule>
  </conditionalFormatting>
  <conditionalFormatting sqref="BJ12">
    <cfRule type="cellIs" dxfId="36837" priority="109348" stopIfTrue="1" operator="equal">
      <formula>-1</formula>
    </cfRule>
  </conditionalFormatting>
  <conditionalFormatting sqref="BJ12">
    <cfRule type="cellIs" dxfId="36836" priority="109349" stopIfTrue="1" operator="lessThan">
      <formula>0.5</formula>
    </cfRule>
  </conditionalFormatting>
  <conditionalFormatting sqref="BJ12">
    <cfRule type="cellIs" dxfId="36835" priority="109350" stopIfTrue="1" operator="greaterThanOrEqual">
      <formula>0.5</formula>
    </cfRule>
  </conditionalFormatting>
  <conditionalFormatting sqref="BJ13">
    <cfRule type="cellIs" dxfId="36834" priority="109351" stopIfTrue="1" operator="equal">
      <formula>-1</formula>
    </cfRule>
  </conditionalFormatting>
  <conditionalFormatting sqref="BJ13">
    <cfRule type="cellIs" dxfId="36833" priority="109352" stopIfTrue="1" operator="lessThan">
      <formula>0.5</formula>
    </cfRule>
  </conditionalFormatting>
  <conditionalFormatting sqref="BJ13">
    <cfRule type="cellIs" dxfId="36832" priority="109353" stopIfTrue="1" operator="greaterThanOrEqual">
      <formula>0.5</formula>
    </cfRule>
  </conditionalFormatting>
  <conditionalFormatting sqref="BJ14">
    <cfRule type="cellIs" dxfId="36831" priority="109354" stopIfTrue="1" operator="equal">
      <formula>-1</formula>
    </cfRule>
  </conditionalFormatting>
  <conditionalFormatting sqref="BJ14">
    <cfRule type="cellIs" dxfId="36830" priority="109355" stopIfTrue="1" operator="lessThan">
      <formula>0.5</formula>
    </cfRule>
  </conditionalFormatting>
  <conditionalFormatting sqref="BJ14">
    <cfRule type="cellIs" dxfId="36829" priority="109356" stopIfTrue="1" operator="greaterThanOrEqual">
      <formula>0.5</formula>
    </cfRule>
  </conditionalFormatting>
  <conditionalFormatting sqref="BJ15">
    <cfRule type="cellIs" dxfId="36828" priority="109357" stopIfTrue="1" operator="equal">
      <formula>-1</formula>
    </cfRule>
  </conditionalFormatting>
  <conditionalFormatting sqref="BJ15">
    <cfRule type="cellIs" dxfId="36827" priority="109358" stopIfTrue="1" operator="lessThan">
      <formula>0.5</formula>
    </cfRule>
  </conditionalFormatting>
  <conditionalFormatting sqref="BJ15">
    <cfRule type="cellIs" dxfId="36826" priority="109359" stopIfTrue="1" operator="greaterThanOrEqual">
      <formula>0.5</formula>
    </cfRule>
  </conditionalFormatting>
  <conditionalFormatting sqref="D17">
    <cfRule type="cellIs" dxfId="36825" priority="109360" stopIfTrue="1" operator="equal">
      <formula>-1</formula>
    </cfRule>
  </conditionalFormatting>
  <conditionalFormatting sqref="D17">
    <cfRule type="cellIs" dxfId="36824" priority="109361" stopIfTrue="1" operator="lessThan">
      <formula>0.5</formula>
    </cfRule>
  </conditionalFormatting>
  <conditionalFormatting sqref="D17">
    <cfRule type="cellIs" dxfId="36823" priority="109362" stopIfTrue="1" operator="greaterThanOrEqual">
      <formula>0.5</formula>
    </cfRule>
  </conditionalFormatting>
  <conditionalFormatting sqref="D18">
    <cfRule type="cellIs" dxfId="36822" priority="109363" stopIfTrue="1" operator="equal">
      <formula>-1</formula>
    </cfRule>
  </conditionalFormatting>
  <conditionalFormatting sqref="D18">
    <cfRule type="cellIs" dxfId="36821" priority="109364" stopIfTrue="1" operator="lessThan">
      <formula>0.5</formula>
    </cfRule>
  </conditionalFormatting>
  <conditionalFormatting sqref="D18">
    <cfRule type="cellIs" dxfId="36820" priority="109365" stopIfTrue="1" operator="greaterThanOrEqual">
      <formula>0.5</formula>
    </cfRule>
  </conditionalFormatting>
  <conditionalFormatting sqref="D19">
    <cfRule type="cellIs" dxfId="36819" priority="109366" stopIfTrue="1" operator="equal">
      <formula>-1</formula>
    </cfRule>
  </conditionalFormatting>
  <conditionalFormatting sqref="D19">
    <cfRule type="cellIs" dxfId="36818" priority="109367" stopIfTrue="1" operator="lessThan">
      <formula>0.5</formula>
    </cfRule>
  </conditionalFormatting>
  <conditionalFormatting sqref="D19">
    <cfRule type="cellIs" dxfId="36817" priority="109368" stopIfTrue="1" operator="greaterThanOrEqual">
      <formula>0.5</formula>
    </cfRule>
  </conditionalFormatting>
  <conditionalFormatting sqref="D20">
    <cfRule type="cellIs" dxfId="36816" priority="109369" stopIfTrue="1" operator="equal">
      <formula>-1</formula>
    </cfRule>
  </conditionalFormatting>
  <conditionalFormatting sqref="D20">
    <cfRule type="cellIs" dxfId="36815" priority="109370" stopIfTrue="1" operator="lessThan">
      <formula>0.5</formula>
    </cfRule>
  </conditionalFormatting>
  <conditionalFormatting sqref="D20">
    <cfRule type="cellIs" dxfId="36814" priority="109371" stopIfTrue="1" operator="greaterThanOrEqual">
      <formula>0.5</formula>
    </cfRule>
  </conditionalFormatting>
  <conditionalFormatting sqref="D21">
    <cfRule type="cellIs" dxfId="36813" priority="109372" stopIfTrue="1" operator="equal">
      <formula>-1</formula>
    </cfRule>
  </conditionalFormatting>
  <conditionalFormatting sqref="D21">
    <cfRule type="cellIs" dxfId="36812" priority="109373" stopIfTrue="1" operator="lessThan">
      <formula>0.5</formula>
    </cfRule>
  </conditionalFormatting>
  <conditionalFormatting sqref="D21">
    <cfRule type="cellIs" dxfId="36811" priority="109374" stopIfTrue="1" operator="greaterThanOrEqual">
      <formula>0.5</formula>
    </cfRule>
  </conditionalFormatting>
  <conditionalFormatting sqref="D22">
    <cfRule type="cellIs" dxfId="36810" priority="109375" stopIfTrue="1" operator="equal">
      <formula>-1</formula>
    </cfRule>
  </conditionalFormatting>
  <conditionalFormatting sqref="D22">
    <cfRule type="cellIs" dxfId="36809" priority="109376" stopIfTrue="1" operator="lessThan">
      <formula>0.5</formula>
    </cfRule>
  </conditionalFormatting>
  <conditionalFormatting sqref="D22">
    <cfRule type="cellIs" dxfId="36808" priority="109377" stopIfTrue="1" operator="greaterThanOrEqual">
      <formula>0.5</formula>
    </cfRule>
  </conditionalFormatting>
  <conditionalFormatting sqref="D23">
    <cfRule type="cellIs" dxfId="36807" priority="109378" stopIfTrue="1" operator="equal">
      <formula>-1</formula>
    </cfRule>
  </conditionalFormatting>
  <conditionalFormatting sqref="D23">
    <cfRule type="cellIs" dxfId="36806" priority="109379" stopIfTrue="1" operator="lessThan">
      <formula>0.5</formula>
    </cfRule>
  </conditionalFormatting>
  <conditionalFormatting sqref="D23">
    <cfRule type="cellIs" dxfId="36805" priority="109380" stopIfTrue="1" operator="greaterThanOrEqual">
      <formula>0.5</formula>
    </cfRule>
  </conditionalFormatting>
  <conditionalFormatting sqref="D24">
    <cfRule type="cellIs" dxfId="36804" priority="109381" stopIfTrue="1" operator="equal">
      <formula>-1</formula>
    </cfRule>
  </conditionalFormatting>
  <conditionalFormatting sqref="D24">
    <cfRule type="cellIs" dxfId="36803" priority="109382" stopIfTrue="1" operator="lessThan">
      <formula>0.5</formula>
    </cfRule>
  </conditionalFormatting>
  <conditionalFormatting sqref="D24">
    <cfRule type="cellIs" dxfId="36802" priority="109383" stopIfTrue="1" operator="greaterThanOrEqual">
      <formula>0.5</formula>
    </cfRule>
  </conditionalFormatting>
  <conditionalFormatting sqref="D25">
    <cfRule type="cellIs" dxfId="36801" priority="109384" stopIfTrue="1" operator="equal">
      <formula>-1</formula>
    </cfRule>
  </conditionalFormatting>
  <conditionalFormatting sqref="D25">
    <cfRule type="cellIs" dxfId="36800" priority="109385" stopIfTrue="1" operator="lessThan">
      <formula>0.5</formula>
    </cfRule>
  </conditionalFormatting>
  <conditionalFormatting sqref="D25">
    <cfRule type="cellIs" dxfId="36799" priority="109386" stopIfTrue="1" operator="greaterThanOrEqual">
      <formula>0.5</formula>
    </cfRule>
  </conditionalFormatting>
  <conditionalFormatting sqref="D26">
    <cfRule type="cellIs" dxfId="36798" priority="109387" stopIfTrue="1" operator="equal">
      <formula>-1</formula>
    </cfRule>
  </conditionalFormatting>
  <conditionalFormatting sqref="D26">
    <cfRule type="cellIs" dxfId="36797" priority="109388" stopIfTrue="1" operator="lessThan">
      <formula>0.5</formula>
    </cfRule>
  </conditionalFormatting>
  <conditionalFormatting sqref="D26">
    <cfRule type="cellIs" dxfId="36796" priority="109389" stopIfTrue="1" operator="greaterThanOrEqual">
      <formula>0.5</formula>
    </cfRule>
  </conditionalFormatting>
  <conditionalFormatting sqref="D27">
    <cfRule type="cellIs" dxfId="36795" priority="109390" stopIfTrue="1" operator="equal">
      <formula>-1</formula>
    </cfRule>
  </conditionalFormatting>
  <conditionalFormatting sqref="D27">
    <cfRule type="cellIs" dxfId="36794" priority="109391" stopIfTrue="1" operator="lessThan">
      <formula>0.5</formula>
    </cfRule>
  </conditionalFormatting>
  <conditionalFormatting sqref="D27">
    <cfRule type="cellIs" dxfId="36793" priority="109392" stopIfTrue="1" operator="greaterThanOrEqual">
      <formula>0.5</formula>
    </cfRule>
  </conditionalFormatting>
  <conditionalFormatting sqref="D28">
    <cfRule type="cellIs" dxfId="36792" priority="109393" stopIfTrue="1" operator="equal">
      <formula>-1</formula>
    </cfRule>
  </conditionalFormatting>
  <conditionalFormatting sqref="D28">
    <cfRule type="cellIs" dxfId="36791" priority="109394" stopIfTrue="1" operator="lessThan">
      <formula>0.5</formula>
    </cfRule>
  </conditionalFormatting>
  <conditionalFormatting sqref="D28">
    <cfRule type="cellIs" dxfId="36790" priority="109395" stopIfTrue="1" operator="greaterThanOrEqual">
      <formula>0.5</formula>
    </cfRule>
  </conditionalFormatting>
  <conditionalFormatting sqref="D29">
    <cfRule type="cellIs" dxfId="36789" priority="109396" stopIfTrue="1" operator="equal">
      <formula>-1</formula>
    </cfRule>
  </conditionalFormatting>
  <conditionalFormatting sqref="D29">
    <cfRule type="cellIs" dxfId="36788" priority="109397" stopIfTrue="1" operator="lessThan">
      <formula>0.5</formula>
    </cfRule>
  </conditionalFormatting>
  <conditionalFormatting sqref="D29">
    <cfRule type="cellIs" dxfId="36787" priority="109398" stopIfTrue="1" operator="greaterThanOrEqual">
      <formula>0.5</formula>
    </cfRule>
  </conditionalFormatting>
  <conditionalFormatting sqref="D30">
    <cfRule type="cellIs" dxfId="36786" priority="109399" stopIfTrue="1" operator="equal">
      <formula>-1</formula>
    </cfRule>
  </conditionalFormatting>
  <conditionalFormatting sqref="D30">
    <cfRule type="cellIs" dxfId="36785" priority="109400" stopIfTrue="1" operator="lessThan">
      <formula>0.5</formula>
    </cfRule>
  </conditionalFormatting>
  <conditionalFormatting sqref="D30">
    <cfRule type="cellIs" dxfId="36784" priority="109401" stopIfTrue="1" operator="greaterThanOrEqual">
      <formula>0.5</formula>
    </cfRule>
  </conditionalFormatting>
  <conditionalFormatting sqref="D31">
    <cfRule type="cellIs" dxfId="36783" priority="109402" stopIfTrue="1" operator="equal">
      <formula>-1</formula>
    </cfRule>
  </conditionalFormatting>
  <conditionalFormatting sqref="D31">
    <cfRule type="cellIs" dxfId="36782" priority="109403" stopIfTrue="1" operator="lessThan">
      <formula>0.5</formula>
    </cfRule>
  </conditionalFormatting>
  <conditionalFormatting sqref="D31">
    <cfRule type="cellIs" dxfId="36781" priority="109404" stopIfTrue="1" operator="greaterThanOrEqual">
      <formula>0.5</formula>
    </cfRule>
  </conditionalFormatting>
  <conditionalFormatting sqref="D32">
    <cfRule type="cellIs" dxfId="36780" priority="109405" stopIfTrue="1" operator="equal">
      <formula>-1</formula>
    </cfRule>
  </conditionalFormatting>
  <conditionalFormatting sqref="D32">
    <cfRule type="cellIs" dxfId="36779" priority="109406" stopIfTrue="1" operator="lessThan">
      <formula>0.5</formula>
    </cfRule>
  </conditionalFormatting>
  <conditionalFormatting sqref="D32">
    <cfRule type="cellIs" dxfId="36778" priority="109407" stopIfTrue="1" operator="greaterThanOrEqual">
      <formula>0.5</formula>
    </cfRule>
  </conditionalFormatting>
  <conditionalFormatting sqref="D33">
    <cfRule type="cellIs" dxfId="36777" priority="109408" stopIfTrue="1" operator="equal">
      <formula>-1</formula>
    </cfRule>
  </conditionalFormatting>
  <conditionalFormatting sqref="D33">
    <cfRule type="cellIs" dxfId="36776" priority="109409" stopIfTrue="1" operator="lessThan">
      <formula>0.5</formula>
    </cfRule>
  </conditionalFormatting>
  <conditionalFormatting sqref="D33">
    <cfRule type="cellIs" dxfId="36775" priority="109410" stopIfTrue="1" operator="greaterThanOrEqual">
      <formula>0.5</formula>
    </cfRule>
  </conditionalFormatting>
  <conditionalFormatting sqref="D34">
    <cfRule type="cellIs" dxfId="36774" priority="109411" stopIfTrue="1" operator="equal">
      <formula>-1</formula>
    </cfRule>
  </conditionalFormatting>
  <conditionalFormatting sqref="D34">
    <cfRule type="cellIs" dxfId="36773" priority="109412" stopIfTrue="1" operator="lessThan">
      <formula>0.5</formula>
    </cfRule>
  </conditionalFormatting>
  <conditionalFormatting sqref="D34">
    <cfRule type="cellIs" dxfId="36772" priority="109413" stopIfTrue="1" operator="greaterThanOrEqual">
      <formula>0.5</formula>
    </cfRule>
  </conditionalFormatting>
  <conditionalFormatting sqref="D35">
    <cfRule type="cellIs" dxfId="36771" priority="109414" stopIfTrue="1" operator="equal">
      <formula>-1</formula>
    </cfRule>
  </conditionalFormatting>
  <conditionalFormatting sqref="D35">
    <cfRule type="cellIs" dxfId="36770" priority="109415" stopIfTrue="1" operator="lessThan">
      <formula>0.5</formula>
    </cfRule>
  </conditionalFormatting>
  <conditionalFormatting sqref="D35">
    <cfRule type="cellIs" dxfId="36769" priority="109416" stopIfTrue="1" operator="greaterThanOrEqual">
      <formula>0.5</formula>
    </cfRule>
  </conditionalFormatting>
  <conditionalFormatting sqref="D36">
    <cfRule type="cellIs" dxfId="36768" priority="109417" stopIfTrue="1" operator="equal">
      <formula>-1</formula>
    </cfRule>
  </conditionalFormatting>
  <conditionalFormatting sqref="D36">
    <cfRule type="cellIs" dxfId="36767" priority="109418" stopIfTrue="1" operator="lessThan">
      <formula>0.5</formula>
    </cfRule>
  </conditionalFormatting>
  <conditionalFormatting sqref="D36">
    <cfRule type="cellIs" dxfId="36766" priority="109419" stopIfTrue="1" operator="greaterThanOrEqual">
      <formula>0.5</formula>
    </cfRule>
  </conditionalFormatting>
  <conditionalFormatting sqref="D37">
    <cfRule type="cellIs" dxfId="36765" priority="109420" stopIfTrue="1" operator="equal">
      <formula>-1</formula>
    </cfRule>
  </conditionalFormatting>
  <conditionalFormatting sqref="D37">
    <cfRule type="cellIs" dxfId="36764" priority="109421" stopIfTrue="1" operator="lessThan">
      <formula>0.5</formula>
    </cfRule>
  </conditionalFormatting>
  <conditionalFormatting sqref="D37">
    <cfRule type="cellIs" dxfId="36763" priority="109422" stopIfTrue="1" operator="greaterThanOrEqual">
      <formula>0.5</formula>
    </cfRule>
  </conditionalFormatting>
  <conditionalFormatting sqref="F17">
    <cfRule type="cellIs" dxfId="36762" priority="109423" stopIfTrue="1" operator="equal">
      <formula>-1</formula>
    </cfRule>
  </conditionalFormatting>
  <conditionalFormatting sqref="F17">
    <cfRule type="cellIs" dxfId="36761" priority="109424" stopIfTrue="1" operator="lessThan">
      <formula>0.5</formula>
    </cfRule>
  </conditionalFormatting>
  <conditionalFormatting sqref="F17">
    <cfRule type="cellIs" dxfId="36760" priority="109425" stopIfTrue="1" operator="greaterThanOrEqual">
      <formula>0.5</formula>
    </cfRule>
  </conditionalFormatting>
  <conditionalFormatting sqref="F18">
    <cfRule type="cellIs" dxfId="36759" priority="109426" stopIfTrue="1" operator="equal">
      <formula>-1</formula>
    </cfRule>
  </conditionalFormatting>
  <conditionalFormatting sqref="F18">
    <cfRule type="cellIs" dxfId="36758" priority="109427" stopIfTrue="1" operator="lessThan">
      <formula>0.5</formula>
    </cfRule>
  </conditionalFormatting>
  <conditionalFormatting sqref="F18">
    <cfRule type="cellIs" dxfId="36757" priority="109428" stopIfTrue="1" operator="greaterThanOrEqual">
      <formula>0.5</formula>
    </cfRule>
  </conditionalFormatting>
  <conditionalFormatting sqref="F19">
    <cfRule type="cellIs" dxfId="36756" priority="109429" stopIfTrue="1" operator="equal">
      <formula>-1</formula>
    </cfRule>
  </conditionalFormatting>
  <conditionalFormatting sqref="F19">
    <cfRule type="cellIs" dxfId="36755" priority="109430" stopIfTrue="1" operator="lessThan">
      <formula>0.5</formula>
    </cfRule>
  </conditionalFormatting>
  <conditionalFormatting sqref="F19">
    <cfRule type="cellIs" dxfId="36754" priority="109431" stopIfTrue="1" operator="greaterThanOrEqual">
      <formula>0.5</formula>
    </cfRule>
  </conditionalFormatting>
  <conditionalFormatting sqref="F20">
    <cfRule type="cellIs" dxfId="36753" priority="109432" stopIfTrue="1" operator="equal">
      <formula>-1</formula>
    </cfRule>
  </conditionalFormatting>
  <conditionalFormatting sqref="F20">
    <cfRule type="cellIs" dxfId="36752" priority="109433" stopIfTrue="1" operator="lessThan">
      <formula>0.5</formula>
    </cfRule>
  </conditionalFormatting>
  <conditionalFormatting sqref="F20">
    <cfRule type="cellIs" dxfId="36751" priority="109434" stopIfTrue="1" operator="greaterThanOrEqual">
      <formula>0.5</formula>
    </cfRule>
  </conditionalFormatting>
  <conditionalFormatting sqref="F21">
    <cfRule type="cellIs" dxfId="36750" priority="109435" stopIfTrue="1" operator="equal">
      <formula>-1</formula>
    </cfRule>
  </conditionalFormatting>
  <conditionalFormatting sqref="F21">
    <cfRule type="cellIs" dxfId="36749" priority="109436" stopIfTrue="1" operator="lessThan">
      <formula>0.5</formula>
    </cfRule>
  </conditionalFormatting>
  <conditionalFormatting sqref="F21">
    <cfRule type="cellIs" dxfId="36748" priority="109437" stopIfTrue="1" operator="greaterThanOrEqual">
      <formula>0.5</formula>
    </cfRule>
  </conditionalFormatting>
  <conditionalFormatting sqref="F22">
    <cfRule type="cellIs" dxfId="36747" priority="109438" stopIfTrue="1" operator="equal">
      <formula>-1</formula>
    </cfRule>
  </conditionalFormatting>
  <conditionalFormatting sqref="F22">
    <cfRule type="cellIs" dxfId="36746" priority="109439" stopIfTrue="1" operator="lessThan">
      <formula>0.5</formula>
    </cfRule>
  </conditionalFormatting>
  <conditionalFormatting sqref="F22">
    <cfRule type="cellIs" dxfId="36745" priority="109440" stopIfTrue="1" operator="greaterThanOrEqual">
      <formula>0.5</formula>
    </cfRule>
  </conditionalFormatting>
  <conditionalFormatting sqref="F23">
    <cfRule type="cellIs" dxfId="36744" priority="109441" stopIfTrue="1" operator="equal">
      <formula>-1</formula>
    </cfRule>
  </conditionalFormatting>
  <conditionalFormatting sqref="F23">
    <cfRule type="cellIs" dxfId="36743" priority="109442" stopIfTrue="1" operator="lessThan">
      <formula>0.5</formula>
    </cfRule>
  </conditionalFormatting>
  <conditionalFormatting sqref="F23">
    <cfRule type="cellIs" dxfId="36742" priority="109443" stopIfTrue="1" operator="greaterThanOrEqual">
      <formula>0.5</formula>
    </cfRule>
  </conditionalFormatting>
  <conditionalFormatting sqref="F24">
    <cfRule type="cellIs" dxfId="36741" priority="109444" stopIfTrue="1" operator="equal">
      <formula>-1</formula>
    </cfRule>
  </conditionalFormatting>
  <conditionalFormatting sqref="F24">
    <cfRule type="cellIs" dxfId="36740" priority="109445" stopIfTrue="1" operator="lessThan">
      <formula>0.5</formula>
    </cfRule>
  </conditionalFormatting>
  <conditionalFormatting sqref="F24">
    <cfRule type="cellIs" dxfId="36739" priority="109446" stopIfTrue="1" operator="greaterThanOrEqual">
      <formula>0.5</formula>
    </cfRule>
  </conditionalFormatting>
  <conditionalFormatting sqref="F25">
    <cfRule type="cellIs" dxfId="36738" priority="109447" stopIfTrue="1" operator="equal">
      <formula>-1</formula>
    </cfRule>
  </conditionalFormatting>
  <conditionalFormatting sqref="F25">
    <cfRule type="cellIs" dxfId="36737" priority="109448" stopIfTrue="1" operator="lessThan">
      <formula>0.5</formula>
    </cfRule>
  </conditionalFormatting>
  <conditionalFormatting sqref="F25">
    <cfRule type="cellIs" dxfId="36736" priority="109449" stopIfTrue="1" operator="greaterThanOrEqual">
      <formula>0.5</formula>
    </cfRule>
  </conditionalFormatting>
  <conditionalFormatting sqref="F26">
    <cfRule type="cellIs" dxfId="36735" priority="109450" stopIfTrue="1" operator="equal">
      <formula>-1</formula>
    </cfRule>
  </conditionalFormatting>
  <conditionalFormatting sqref="F26">
    <cfRule type="cellIs" dxfId="36734" priority="109451" stopIfTrue="1" operator="lessThan">
      <formula>0.5</formula>
    </cfRule>
  </conditionalFormatting>
  <conditionalFormatting sqref="F26">
    <cfRule type="cellIs" dxfId="36733" priority="109452" stopIfTrue="1" operator="greaterThanOrEqual">
      <formula>0.5</formula>
    </cfRule>
  </conditionalFormatting>
  <conditionalFormatting sqref="F27">
    <cfRule type="cellIs" dxfId="36732" priority="109453" stopIfTrue="1" operator="equal">
      <formula>-1</formula>
    </cfRule>
  </conditionalFormatting>
  <conditionalFormatting sqref="F27">
    <cfRule type="cellIs" dxfId="36731" priority="109454" stopIfTrue="1" operator="lessThan">
      <formula>0.5</formula>
    </cfRule>
  </conditionalFormatting>
  <conditionalFormatting sqref="F27">
    <cfRule type="cellIs" dxfId="36730" priority="109455" stopIfTrue="1" operator="greaterThanOrEqual">
      <formula>0.5</formula>
    </cfRule>
  </conditionalFormatting>
  <conditionalFormatting sqref="F28">
    <cfRule type="cellIs" dxfId="36729" priority="109456" stopIfTrue="1" operator="equal">
      <formula>-1</formula>
    </cfRule>
  </conditionalFormatting>
  <conditionalFormatting sqref="F28">
    <cfRule type="cellIs" dxfId="36728" priority="109457" stopIfTrue="1" operator="lessThan">
      <formula>0.5</formula>
    </cfRule>
  </conditionalFormatting>
  <conditionalFormatting sqref="F28">
    <cfRule type="cellIs" dxfId="36727" priority="109458" stopIfTrue="1" operator="greaterThanOrEqual">
      <formula>0.5</formula>
    </cfRule>
  </conditionalFormatting>
  <conditionalFormatting sqref="F29">
    <cfRule type="cellIs" dxfId="36726" priority="109459" stopIfTrue="1" operator="equal">
      <formula>-1</formula>
    </cfRule>
  </conditionalFormatting>
  <conditionalFormatting sqref="F29">
    <cfRule type="cellIs" dxfId="36725" priority="109460" stopIfTrue="1" operator="lessThan">
      <formula>0.5</formula>
    </cfRule>
  </conditionalFormatting>
  <conditionalFormatting sqref="F29">
    <cfRule type="cellIs" dxfId="36724" priority="109461" stopIfTrue="1" operator="greaterThanOrEqual">
      <formula>0.5</formula>
    </cfRule>
  </conditionalFormatting>
  <conditionalFormatting sqref="F30">
    <cfRule type="cellIs" dxfId="36723" priority="109462" stopIfTrue="1" operator="equal">
      <formula>-1</formula>
    </cfRule>
  </conditionalFormatting>
  <conditionalFormatting sqref="F30">
    <cfRule type="cellIs" dxfId="36722" priority="109463" stopIfTrue="1" operator="lessThan">
      <formula>0.5</formula>
    </cfRule>
  </conditionalFormatting>
  <conditionalFormatting sqref="F30">
    <cfRule type="cellIs" dxfId="36721" priority="109464" stopIfTrue="1" operator="greaterThanOrEqual">
      <formula>0.5</formula>
    </cfRule>
  </conditionalFormatting>
  <conditionalFormatting sqref="F31">
    <cfRule type="cellIs" dxfId="36720" priority="109465" stopIfTrue="1" operator="equal">
      <formula>-1</formula>
    </cfRule>
  </conditionalFormatting>
  <conditionalFormatting sqref="F31">
    <cfRule type="cellIs" dxfId="36719" priority="109466" stopIfTrue="1" operator="lessThan">
      <formula>0.5</formula>
    </cfRule>
  </conditionalFormatting>
  <conditionalFormatting sqref="F31">
    <cfRule type="cellIs" dxfId="36718" priority="109467" stopIfTrue="1" operator="greaterThanOrEqual">
      <formula>0.5</formula>
    </cfRule>
  </conditionalFormatting>
  <conditionalFormatting sqref="F32">
    <cfRule type="cellIs" dxfId="36717" priority="109468" stopIfTrue="1" operator="equal">
      <formula>-1</formula>
    </cfRule>
  </conditionalFormatting>
  <conditionalFormatting sqref="F32">
    <cfRule type="cellIs" dxfId="36716" priority="109469" stopIfTrue="1" operator="lessThan">
      <formula>0.5</formula>
    </cfRule>
  </conditionalFormatting>
  <conditionalFormatting sqref="F32">
    <cfRule type="cellIs" dxfId="36715" priority="109470" stopIfTrue="1" operator="greaterThanOrEqual">
      <formula>0.5</formula>
    </cfRule>
  </conditionalFormatting>
  <conditionalFormatting sqref="F33">
    <cfRule type="cellIs" dxfId="36714" priority="109471" stopIfTrue="1" operator="equal">
      <formula>-1</formula>
    </cfRule>
  </conditionalFormatting>
  <conditionalFormatting sqref="F33">
    <cfRule type="cellIs" dxfId="36713" priority="109472" stopIfTrue="1" operator="lessThan">
      <formula>0.5</formula>
    </cfRule>
  </conditionalFormatting>
  <conditionalFormatting sqref="F33">
    <cfRule type="cellIs" dxfId="36712" priority="109473" stopIfTrue="1" operator="greaterThanOrEqual">
      <formula>0.5</formula>
    </cfRule>
  </conditionalFormatting>
  <conditionalFormatting sqref="F34">
    <cfRule type="cellIs" dxfId="36711" priority="109474" stopIfTrue="1" operator="equal">
      <formula>-1</formula>
    </cfRule>
  </conditionalFormatting>
  <conditionalFormatting sqref="F34">
    <cfRule type="cellIs" dxfId="36710" priority="109475" stopIfTrue="1" operator="lessThan">
      <formula>0.5</formula>
    </cfRule>
  </conditionalFormatting>
  <conditionalFormatting sqref="F34">
    <cfRule type="cellIs" dxfId="36709" priority="109476" stopIfTrue="1" operator="greaterThanOrEqual">
      <formula>0.5</formula>
    </cfRule>
  </conditionalFormatting>
  <conditionalFormatting sqref="F35">
    <cfRule type="cellIs" dxfId="36708" priority="109477" stopIfTrue="1" operator="equal">
      <formula>-1</formula>
    </cfRule>
  </conditionalFormatting>
  <conditionalFormatting sqref="F35">
    <cfRule type="cellIs" dxfId="36707" priority="109478" stopIfTrue="1" operator="lessThan">
      <formula>0.5</formula>
    </cfRule>
  </conditionalFormatting>
  <conditionalFormatting sqref="F35">
    <cfRule type="cellIs" dxfId="36706" priority="109479" stopIfTrue="1" operator="greaterThanOrEqual">
      <formula>0.5</formula>
    </cfRule>
  </conditionalFormatting>
  <conditionalFormatting sqref="F36">
    <cfRule type="cellIs" dxfId="36705" priority="109480" stopIfTrue="1" operator="equal">
      <formula>-1</formula>
    </cfRule>
  </conditionalFormatting>
  <conditionalFormatting sqref="F36">
    <cfRule type="cellIs" dxfId="36704" priority="109481" stopIfTrue="1" operator="lessThan">
      <formula>0.5</formula>
    </cfRule>
  </conditionalFormatting>
  <conditionalFormatting sqref="F36">
    <cfRule type="cellIs" dxfId="36703" priority="109482" stopIfTrue="1" operator="greaterThanOrEqual">
      <formula>0.5</formula>
    </cfRule>
  </conditionalFormatting>
  <conditionalFormatting sqref="F37">
    <cfRule type="cellIs" dxfId="36702" priority="109483" stopIfTrue="1" operator="equal">
      <formula>-1</formula>
    </cfRule>
  </conditionalFormatting>
  <conditionalFormatting sqref="F37">
    <cfRule type="cellIs" dxfId="36701" priority="109484" stopIfTrue="1" operator="lessThan">
      <formula>0.5</formula>
    </cfRule>
  </conditionalFormatting>
  <conditionalFormatting sqref="F37">
    <cfRule type="cellIs" dxfId="36700" priority="109485" stopIfTrue="1" operator="greaterThanOrEqual">
      <formula>0.5</formula>
    </cfRule>
  </conditionalFormatting>
  <conditionalFormatting sqref="H17">
    <cfRule type="cellIs" dxfId="36699" priority="109486" stopIfTrue="1" operator="equal">
      <formula>-1</formula>
    </cfRule>
  </conditionalFormatting>
  <conditionalFormatting sqref="H17">
    <cfRule type="cellIs" dxfId="36698" priority="109487" stopIfTrue="1" operator="lessThan">
      <formula>0.5</formula>
    </cfRule>
  </conditionalFormatting>
  <conditionalFormatting sqref="H17">
    <cfRule type="cellIs" dxfId="36697" priority="109488" stopIfTrue="1" operator="greaterThanOrEqual">
      <formula>0.5</formula>
    </cfRule>
  </conditionalFormatting>
  <conditionalFormatting sqref="H18">
    <cfRule type="cellIs" dxfId="36696" priority="109489" stopIfTrue="1" operator="equal">
      <formula>-1</formula>
    </cfRule>
  </conditionalFormatting>
  <conditionalFormatting sqref="H18">
    <cfRule type="cellIs" dxfId="36695" priority="109490" stopIfTrue="1" operator="lessThan">
      <formula>0.5</formula>
    </cfRule>
  </conditionalFormatting>
  <conditionalFormatting sqref="H18">
    <cfRule type="cellIs" dxfId="36694" priority="109491" stopIfTrue="1" operator="greaterThanOrEqual">
      <formula>0.5</formula>
    </cfRule>
  </conditionalFormatting>
  <conditionalFormatting sqref="H19">
    <cfRule type="cellIs" dxfId="36693" priority="109492" stopIfTrue="1" operator="equal">
      <formula>-1</formula>
    </cfRule>
  </conditionalFormatting>
  <conditionalFormatting sqref="H19">
    <cfRule type="cellIs" dxfId="36692" priority="109493" stopIfTrue="1" operator="lessThan">
      <formula>0.5</formula>
    </cfRule>
  </conditionalFormatting>
  <conditionalFormatting sqref="H19">
    <cfRule type="cellIs" dxfId="36691" priority="109494" stopIfTrue="1" operator="greaterThanOrEqual">
      <formula>0.5</formula>
    </cfRule>
  </conditionalFormatting>
  <conditionalFormatting sqref="H20">
    <cfRule type="cellIs" dxfId="36690" priority="109495" stopIfTrue="1" operator="equal">
      <formula>-1</formula>
    </cfRule>
  </conditionalFormatting>
  <conditionalFormatting sqref="H20">
    <cfRule type="cellIs" dxfId="36689" priority="109496" stopIfTrue="1" operator="lessThan">
      <formula>0.5</formula>
    </cfRule>
  </conditionalFormatting>
  <conditionalFormatting sqref="H20">
    <cfRule type="cellIs" dxfId="36688" priority="109497" stopIfTrue="1" operator="greaterThanOrEqual">
      <formula>0.5</formula>
    </cfRule>
  </conditionalFormatting>
  <conditionalFormatting sqref="H21">
    <cfRule type="cellIs" dxfId="36687" priority="109498" stopIfTrue="1" operator="equal">
      <formula>-1</formula>
    </cfRule>
  </conditionalFormatting>
  <conditionalFormatting sqref="H21">
    <cfRule type="cellIs" dxfId="36686" priority="109499" stopIfTrue="1" operator="lessThan">
      <formula>0.5</formula>
    </cfRule>
  </conditionalFormatting>
  <conditionalFormatting sqref="H21">
    <cfRule type="cellIs" dxfId="36685" priority="109500" stopIfTrue="1" operator="greaterThanOrEqual">
      <formula>0.5</formula>
    </cfRule>
  </conditionalFormatting>
  <conditionalFormatting sqref="H22">
    <cfRule type="cellIs" dxfId="36684" priority="109501" stopIfTrue="1" operator="equal">
      <formula>-1</formula>
    </cfRule>
  </conditionalFormatting>
  <conditionalFormatting sqref="H22">
    <cfRule type="cellIs" dxfId="36683" priority="109502" stopIfTrue="1" operator="lessThan">
      <formula>0.5</formula>
    </cfRule>
  </conditionalFormatting>
  <conditionalFormatting sqref="H22">
    <cfRule type="cellIs" dxfId="36682" priority="109503" stopIfTrue="1" operator="greaterThanOrEqual">
      <formula>0.5</formula>
    </cfRule>
  </conditionalFormatting>
  <conditionalFormatting sqref="H23">
    <cfRule type="cellIs" dxfId="36681" priority="109504" stopIfTrue="1" operator="equal">
      <formula>-1</formula>
    </cfRule>
  </conditionalFormatting>
  <conditionalFormatting sqref="H23">
    <cfRule type="cellIs" dxfId="36680" priority="109505" stopIfTrue="1" operator="lessThan">
      <formula>0.5</formula>
    </cfRule>
  </conditionalFormatting>
  <conditionalFormatting sqref="H23">
    <cfRule type="cellIs" dxfId="36679" priority="109506" stopIfTrue="1" operator="greaterThanOrEqual">
      <formula>0.5</formula>
    </cfRule>
  </conditionalFormatting>
  <conditionalFormatting sqref="H24">
    <cfRule type="cellIs" dxfId="36678" priority="109507" stopIfTrue="1" operator="equal">
      <formula>-1</formula>
    </cfRule>
  </conditionalFormatting>
  <conditionalFormatting sqref="H24">
    <cfRule type="cellIs" dxfId="36677" priority="109508" stopIfTrue="1" operator="lessThan">
      <formula>0.5</formula>
    </cfRule>
  </conditionalFormatting>
  <conditionalFormatting sqref="H24">
    <cfRule type="cellIs" dxfId="36676" priority="109509" stopIfTrue="1" operator="greaterThanOrEqual">
      <formula>0.5</formula>
    </cfRule>
  </conditionalFormatting>
  <conditionalFormatting sqref="H25">
    <cfRule type="cellIs" dxfId="36675" priority="109510" stopIfTrue="1" operator="equal">
      <formula>-1</formula>
    </cfRule>
  </conditionalFormatting>
  <conditionalFormatting sqref="H25">
    <cfRule type="cellIs" dxfId="36674" priority="109511" stopIfTrue="1" operator="lessThan">
      <formula>0.5</formula>
    </cfRule>
  </conditionalFormatting>
  <conditionalFormatting sqref="H25">
    <cfRule type="cellIs" dxfId="36673" priority="109512" stopIfTrue="1" operator="greaterThanOrEqual">
      <formula>0.5</formula>
    </cfRule>
  </conditionalFormatting>
  <conditionalFormatting sqref="H26">
    <cfRule type="cellIs" dxfId="36672" priority="109513" stopIfTrue="1" operator="equal">
      <formula>-1</formula>
    </cfRule>
  </conditionalFormatting>
  <conditionalFormatting sqref="H26">
    <cfRule type="cellIs" dxfId="36671" priority="109514" stopIfTrue="1" operator="lessThan">
      <formula>0.5</formula>
    </cfRule>
  </conditionalFormatting>
  <conditionalFormatting sqref="H26">
    <cfRule type="cellIs" dxfId="36670" priority="109515" stopIfTrue="1" operator="greaterThanOrEqual">
      <formula>0.5</formula>
    </cfRule>
  </conditionalFormatting>
  <conditionalFormatting sqref="H27">
    <cfRule type="cellIs" dxfId="36669" priority="109516" stopIfTrue="1" operator="equal">
      <formula>-1</formula>
    </cfRule>
  </conditionalFormatting>
  <conditionalFormatting sqref="H27">
    <cfRule type="cellIs" dxfId="36668" priority="109517" stopIfTrue="1" operator="lessThan">
      <formula>0.5</formula>
    </cfRule>
  </conditionalFormatting>
  <conditionalFormatting sqref="H27">
    <cfRule type="cellIs" dxfId="36667" priority="109518" stopIfTrue="1" operator="greaterThanOrEqual">
      <formula>0.5</formula>
    </cfRule>
  </conditionalFormatting>
  <conditionalFormatting sqref="H28">
    <cfRule type="cellIs" dxfId="36666" priority="109519" stopIfTrue="1" operator="equal">
      <formula>-1</formula>
    </cfRule>
  </conditionalFormatting>
  <conditionalFormatting sqref="H28">
    <cfRule type="cellIs" dxfId="36665" priority="109520" stopIfTrue="1" operator="lessThan">
      <formula>0.5</formula>
    </cfRule>
  </conditionalFormatting>
  <conditionalFormatting sqref="H28">
    <cfRule type="cellIs" dxfId="36664" priority="109521" stopIfTrue="1" operator="greaterThanOrEqual">
      <formula>0.5</formula>
    </cfRule>
  </conditionalFormatting>
  <conditionalFormatting sqref="H29">
    <cfRule type="cellIs" dxfId="36663" priority="109522" stopIfTrue="1" operator="equal">
      <formula>-1</formula>
    </cfRule>
  </conditionalFormatting>
  <conditionalFormatting sqref="H29">
    <cfRule type="cellIs" dxfId="36662" priority="109523" stopIfTrue="1" operator="lessThan">
      <formula>0.5</formula>
    </cfRule>
  </conditionalFormatting>
  <conditionalFormatting sqref="H29">
    <cfRule type="cellIs" dxfId="36661" priority="109524" stopIfTrue="1" operator="greaterThanOrEqual">
      <formula>0.5</formula>
    </cfRule>
  </conditionalFormatting>
  <conditionalFormatting sqref="H30">
    <cfRule type="cellIs" dxfId="36660" priority="109525" stopIfTrue="1" operator="equal">
      <formula>-1</formula>
    </cfRule>
  </conditionalFormatting>
  <conditionalFormatting sqref="H30">
    <cfRule type="cellIs" dxfId="36659" priority="109526" stopIfTrue="1" operator="lessThan">
      <formula>0.5</formula>
    </cfRule>
  </conditionalFormatting>
  <conditionalFormatting sqref="H30">
    <cfRule type="cellIs" dxfId="36658" priority="109527" stopIfTrue="1" operator="greaterThanOrEqual">
      <formula>0.5</formula>
    </cfRule>
  </conditionalFormatting>
  <conditionalFormatting sqref="H31">
    <cfRule type="cellIs" dxfId="36657" priority="109528" stopIfTrue="1" operator="equal">
      <formula>-1</formula>
    </cfRule>
  </conditionalFormatting>
  <conditionalFormatting sqref="H31">
    <cfRule type="cellIs" dxfId="36656" priority="109529" stopIfTrue="1" operator="lessThan">
      <formula>0.5</formula>
    </cfRule>
  </conditionalFormatting>
  <conditionalFormatting sqref="H31">
    <cfRule type="cellIs" dxfId="36655" priority="109530" stopIfTrue="1" operator="greaterThanOrEqual">
      <formula>0.5</formula>
    </cfRule>
  </conditionalFormatting>
  <conditionalFormatting sqref="H32">
    <cfRule type="cellIs" dxfId="36654" priority="109531" stopIfTrue="1" operator="equal">
      <formula>-1</formula>
    </cfRule>
  </conditionalFormatting>
  <conditionalFormatting sqref="H32">
    <cfRule type="cellIs" dxfId="36653" priority="109532" stopIfTrue="1" operator="lessThan">
      <formula>0.5</formula>
    </cfRule>
  </conditionalFormatting>
  <conditionalFormatting sqref="H32">
    <cfRule type="cellIs" dxfId="36652" priority="109533" stopIfTrue="1" operator="greaterThanOrEqual">
      <formula>0.5</formula>
    </cfRule>
  </conditionalFormatting>
  <conditionalFormatting sqref="H33">
    <cfRule type="cellIs" dxfId="36651" priority="109534" stopIfTrue="1" operator="equal">
      <formula>-1</formula>
    </cfRule>
  </conditionalFormatting>
  <conditionalFormatting sqref="H33">
    <cfRule type="cellIs" dxfId="36650" priority="109535" stopIfTrue="1" operator="lessThan">
      <formula>0.5</formula>
    </cfRule>
  </conditionalFormatting>
  <conditionalFormatting sqref="H33">
    <cfRule type="cellIs" dxfId="36649" priority="109536" stopIfTrue="1" operator="greaterThanOrEqual">
      <formula>0.5</formula>
    </cfRule>
  </conditionalFormatting>
  <conditionalFormatting sqref="H34">
    <cfRule type="cellIs" dxfId="36648" priority="109537" stopIfTrue="1" operator="equal">
      <formula>-1</formula>
    </cfRule>
  </conditionalFormatting>
  <conditionalFormatting sqref="H34">
    <cfRule type="cellIs" dxfId="36647" priority="109538" stopIfTrue="1" operator="lessThan">
      <formula>0.5</formula>
    </cfRule>
  </conditionalFormatting>
  <conditionalFormatting sqref="H34">
    <cfRule type="cellIs" dxfId="36646" priority="109539" stopIfTrue="1" operator="greaterThanOrEqual">
      <formula>0.5</formula>
    </cfRule>
  </conditionalFormatting>
  <conditionalFormatting sqref="H35">
    <cfRule type="cellIs" dxfId="36645" priority="109540" stopIfTrue="1" operator="equal">
      <formula>-1</formula>
    </cfRule>
  </conditionalFormatting>
  <conditionalFormatting sqref="H35">
    <cfRule type="cellIs" dxfId="36644" priority="109541" stopIfTrue="1" operator="lessThan">
      <formula>0.5</formula>
    </cfRule>
  </conditionalFormatting>
  <conditionalFormatting sqref="H35">
    <cfRule type="cellIs" dxfId="36643" priority="109542" stopIfTrue="1" operator="greaterThanOrEqual">
      <formula>0.5</formula>
    </cfRule>
  </conditionalFormatting>
  <conditionalFormatting sqref="H36">
    <cfRule type="cellIs" dxfId="36642" priority="109543" stopIfTrue="1" operator="equal">
      <formula>-1</formula>
    </cfRule>
  </conditionalFormatting>
  <conditionalFormatting sqref="H36">
    <cfRule type="cellIs" dxfId="36641" priority="109544" stopIfTrue="1" operator="lessThan">
      <formula>0.5</formula>
    </cfRule>
  </conditionalFormatting>
  <conditionalFormatting sqref="H36">
    <cfRule type="cellIs" dxfId="36640" priority="109545" stopIfTrue="1" operator="greaterThanOrEqual">
      <formula>0.5</formula>
    </cfRule>
  </conditionalFormatting>
  <conditionalFormatting sqref="H37">
    <cfRule type="cellIs" dxfId="36639" priority="109546" stopIfTrue="1" operator="equal">
      <formula>-1</formula>
    </cfRule>
  </conditionalFormatting>
  <conditionalFormatting sqref="H37">
    <cfRule type="cellIs" dxfId="36638" priority="109547" stopIfTrue="1" operator="lessThan">
      <formula>0.5</formula>
    </cfRule>
  </conditionalFormatting>
  <conditionalFormatting sqref="H37">
    <cfRule type="cellIs" dxfId="36637" priority="109548" stopIfTrue="1" operator="greaterThanOrEqual">
      <formula>0.5</formula>
    </cfRule>
  </conditionalFormatting>
  <conditionalFormatting sqref="J17">
    <cfRule type="cellIs" dxfId="36636" priority="109549" stopIfTrue="1" operator="equal">
      <formula>-1</formula>
    </cfRule>
  </conditionalFormatting>
  <conditionalFormatting sqref="J17">
    <cfRule type="cellIs" dxfId="36635" priority="109550" stopIfTrue="1" operator="lessThan">
      <formula>0.5</formula>
    </cfRule>
  </conditionalFormatting>
  <conditionalFormatting sqref="J17">
    <cfRule type="cellIs" dxfId="36634" priority="109551" stopIfTrue="1" operator="greaterThanOrEqual">
      <formula>0.5</formula>
    </cfRule>
  </conditionalFormatting>
  <conditionalFormatting sqref="J18">
    <cfRule type="cellIs" dxfId="36633" priority="109552" stopIfTrue="1" operator="equal">
      <formula>-1</formula>
    </cfRule>
  </conditionalFormatting>
  <conditionalFormatting sqref="J18">
    <cfRule type="cellIs" dxfId="36632" priority="109553" stopIfTrue="1" operator="lessThan">
      <formula>0.5</formula>
    </cfRule>
  </conditionalFormatting>
  <conditionalFormatting sqref="J18">
    <cfRule type="cellIs" dxfId="36631" priority="109554" stopIfTrue="1" operator="greaterThanOrEqual">
      <formula>0.5</formula>
    </cfRule>
  </conditionalFormatting>
  <conditionalFormatting sqref="J19">
    <cfRule type="cellIs" dxfId="36630" priority="109555" stopIfTrue="1" operator="equal">
      <formula>-1</formula>
    </cfRule>
  </conditionalFormatting>
  <conditionalFormatting sqref="J19">
    <cfRule type="cellIs" dxfId="36629" priority="109556" stopIfTrue="1" operator="lessThan">
      <formula>0.5</formula>
    </cfRule>
  </conditionalFormatting>
  <conditionalFormatting sqref="J19">
    <cfRule type="cellIs" dxfId="36628" priority="109557" stopIfTrue="1" operator="greaterThanOrEqual">
      <formula>0.5</formula>
    </cfRule>
  </conditionalFormatting>
  <conditionalFormatting sqref="J20">
    <cfRule type="cellIs" dxfId="36627" priority="109558" stopIfTrue="1" operator="equal">
      <formula>-1</formula>
    </cfRule>
  </conditionalFormatting>
  <conditionalFormatting sqref="J20">
    <cfRule type="cellIs" dxfId="36626" priority="109559" stopIfTrue="1" operator="lessThan">
      <formula>0.5</formula>
    </cfRule>
  </conditionalFormatting>
  <conditionalFormatting sqref="J20">
    <cfRule type="cellIs" dxfId="36625" priority="109560" stopIfTrue="1" operator="greaterThanOrEqual">
      <formula>0.5</formula>
    </cfRule>
  </conditionalFormatting>
  <conditionalFormatting sqref="J21">
    <cfRule type="cellIs" dxfId="36624" priority="109561" stopIfTrue="1" operator="equal">
      <formula>-1</formula>
    </cfRule>
  </conditionalFormatting>
  <conditionalFormatting sqref="J21">
    <cfRule type="cellIs" dxfId="36623" priority="109562" stopIfTrue="1" operator="lessThan">
      <formula>0.5</formula>
    </cfRule>
  </conditionalFormatting>
  <conditionalFormatting sqref="J21">
    <cfRule type="cellIs" dxfId="36622" priority="109563" stopIfTrue="1" operator="greaterThanOrEqual">
      <formula>0.5</formula>
    </cfRule>
  </conditionalFormatting>
  <conditionalFormatting sqref="J22">
    <cfRule type="cellIs" dxfId="36621" priority="109564" stopIfTrue="1" operator="equal">
      <formula>-1</formula>
    </cfRule>
  </conditionalFormatting>
  <conditionalFormatting sqref="J22">
    <cfRule type="cellIs" dxfId="36620" priority="109565" stopIfTrue="1" operator="lessThan">
      <formula>0.5</formula>
    </cfRule>
  </conditionalFormatting>
  <conditionalFormatting sqref="J22">
    <cfRule type="cellIs" dxfId="36619" priority="109566" stopIfTrue="1" operator="greaterThanOrEqual">
      <formula>0.5</formula>
    </cfRule>
  </conditionalFormatting>
  <conditionalFormatting sqref="J23">
    <cfRule type="cellIs" dxfId="36618" priority="109567" stopIfTrue="1" operator="equal">
      <formula>-1</formula>
    </cfRule>
  </conditionalFormatting>
  <conditionalFormatting sqref="J23">
    <cfRule type="cellIs" dxfId="36617" priority="109568" stopIfTrue="1" operator="lessThan">
      <formula>0.5</formula>
    </cfRule>
  </conditionalFormatting>
  <conditionalFormatting sqref="J23">
    <cfRule type="cellIs" dxfId="36616" priority="109569" stopIfTrue="1" operator="greaterThanOrEqual">
      <formula>0.5</formula>
    </cfRule>
  </conditionalFormatting>
  <conditionalFormatting sqref="J24">
    <cfRule type="cellIs" dxfId="36615" priority="109570" stopIfTrue="1" operator="equal">
      <formula>-1</formula>
    </cfRule>
  </conditionalFormatting>
  <conditionalFormatting sqref="J24">
    <cfRule type="cellIs" dxfId="36614" priority="109571" stopIfTrue="1" operator="lessThan">
      <formula>0.5</formula>
    </cfRule>
  </conditionalFormatting>
  <conditionalFormatting sqref="J24">
    <cfRule type="cellIs" dxfId="36613" priority="109572" stopIfTrue="1" operator="greaterThanOrEqual">
      <formula>0.5</formula>
    </cfRule>
  </conditionalFormatting>
  <conditionalFormatting sqref="J25">
    <cfRule type="cellIs" dxfId="36612" priority="109573" stopIfTrue="1" operator="equal">
      <formula>-1</formula>
    </cfRule>
  </conditionalFormatting>
  <conditionalFormatting sqref="J25">
    <cfRule type="cellIs" dxfId="36611" priority="109574" stopIfTrue="1" operator="lessThan">
      <formula>0.5</formula>
    </cfRule>
  </conditionalFormatting>
  <conditionalFormatting sqref="J25">
    <cfRule type="cellIs" dxfId="36610" priority="109575" stopIfTrue="1" operator="greaterThanOrEqual">
      <formula>0.5</formula>
    </cfRule>
  </conditionalFormatting>
  <conditionalFormatting sqref="J26">
    <cfRule type="cellIs" dxfId="36609" priority="109576" stopIfTrue="1" operator="equal">
      <formula>-1</formula>
    </cfRule>
  </conditionalFormatting>
  <conditionalFormatting sqref="J26">
    <cfRule type="cellIs" dxfId="36608" priority="109577" stopIfTrue="1" operator="lessThan">
      <formula>0.5</formula>
    </cfRule>
  </conditionalFormatting>
  <conditionalFormatting sqref="J26">
    <cfRule type="cellIs" dxfId="36607" priority="109578" stopIfTrue="1" operator="greaterThanOrEqual">
      <formula>0.5</formula>
    </cfRule>
  </conditionalFormatting>
  <conditionalFormatting sqref="J27">
    <cfRule type="cellIs" dxfId="36606" priority="109579" stopIfTrue="1" operator="equal">
      <formula>-1</formula>
    </cfRule>
  </conditionalFormatting>
  <conditionalFormatting sqref="J27">
    <cfRule type="cellIs" dxfId="36605" priority="109580" stopIfTrue="1" operator="lessThan">
      <formula>0.5</formula>
    </cfRule>
  </conditionalFormatting>
  <conditionalFormatting sqref="J27">
    <cfRule type="cellIs" dxfId="36604" priority="109581" stopIfTrue="1" operator="greaterThanOrEqual">
      <formula>0.5</formula>
    </cfRule>
  </conditionalFormatting>
  <conditionalFormatting sqref="J28">
    <cfRule type="cellIs" dxfId="36603" priority="109582" stopIfTrue="1" operator="equal">
      <formula>-1</formula>
    </cfRule>
  </conditionalFormatting>
  <conditionalFormatting sqref="J28">
    <cfRule type="cellIs" dxfId="36602" priority="109583" stopIfTrue="1" operator="lessThan">
      <formula>0.5</formula>
    </cfRule>
  </conditionalFormatting>
  <conditionalFormatting sqref="J28">
    <cfRule type="cellIs" dxfId="36601" priority="109584" stopIfTrue="1" operator="greaterThanOrEqual">
      <formula>0.5</formula>
    </cfRule>
  </conditionalFormatting>
  <conditionalFormatting sqref="J29">
    <cfRule type="cellIs" dxfId="36600" priority="109585" stopIfTrue="1" operator="equal">
      <formula>-1</formula>
    </cfRule>
  </conditionalFormatting>
  <conditionalFormatting sqref="J29">
    <cfRule type="cellIs" dxfId="36599" priority="109586" stopIfTrue="1" operator="lessThan">
      <formula>0.5</formula>
    </cfRule>
  </conditionalFormatting>
  <conditionalFormatting sqref="J29">
    <cfRule type="cellIs" dxfId="36598" priority="109587" stopIfTrue="1" operator="greaterThanOrEqual">
      <formula>0.5</formula>
    </cfRule>
  </conditionalFormatting>
  <conditionalFormatting sqref="J30">
    <cfRule type="cellIs" dxfId="36597" priority="109588" stopIfTrue="1" operator="equal">
      <formula>-1</formula>
    </cfRule>
  </conditionalFormatting>
  <conditionalFormatting sqref="J30">
    <cfRule type="cellIs" dxfId="36596" priority="109589" stopIfTrue="1" operator="lessThan">
      <formula>0.5</formula>
    </cfRule>
  </conditionalFormatting>
  <conditionalFormatting sqref="J30">
    <cfRule type="cellIs" dxfId="36595" priority="109590" stopIfTrue="1" operator="greaterThanOrEqual">
      <formula>0.5</formula>
    </cfRule>
  </conditionalFormatting>
  <conditionalFormatting sqref="J31">
    <cfRule type="cellIs" dxfId="36594" priority="109591" stopIfTrue="1" operator="equal">
      <formula>-1</formula>
    </cfRule>
  </conditionalFormatting>
  <conditionalFormatting sqref="J31">
    <cfRule type="cellIs" dxfId="36593" priority="109592" stopIfTrue="1" operator="lessThan">
      <formula>0.5</formula>
    </cfRule>
  </conditionalFormatting>
  <conditionalFormatting sqref="J31">
    <cfRule type="cellIs" dxfId="36592" priority="109593" stopIfTrue="1" operator="greaterThanOrEqual">
      <formula>0.5</formula>
    </cfRule>
  </conditionalFormatting>
  <conditionalFormatting sqref="J32">
    <cfRule type="cellIs" dxfId="36591" priority="109594" stopIfTrue="1" operator="equal">
      <formula>-1</formula>
    </cfRule>
  </conditionalFormatting>
  <conditionalFormatting sqref="J32">
    <cfRule type="cellIs" dxfId="36590" priority="109595" stopIfTrue="1" operator="lessThan">
      <formula>0.5</formula>
    </cfRule>
  </conditionalFormatting>
  <conditionalFormatting sqref="J32">
    <cfRule type="cellIs" dxfId="36589" priority="109596" stopIfTrue="1" operator="greaterThanOrEqual">
      <formula>0.5</formula>
    </cfRule>
  </conditionalFormatting>
  <conditionalFormatting sqref="J33">
    <cfRule type="cellIs" dxfId="36588" priority="109597" stopIfTrue="1" operator="equal">
      <formula>-1</formula>
    </cfRule>
  </conditionalFormatting>
  <conditionalFormatting sqref="J33">
    <cfRule type="cellIs" dxfId="36587" priority="109598" stopIfTrue="1" operator="lessThan">
      <formula>0.5</formula>
    </cfRule>
  </conditionalFormatting>
  <conditionalFormatting sqref="J33">
    <cfRule type="cellIs" dxfId="36586" priority="109599" stopIfTrue="1" operator="greaterThanOrEqual">
      <formula>0.5</formula>
    </cfRule>
  </conditionalFormatting>
  <conditionalFormatting sqref="J34">
    <cfRule type="cellIs" dxfId="36585" priority="109600" stopIfTrue="1" operator="equal">
      <formula>-1</formula>
    </cfRule>
  </conditionalFormatting>
  <conditionalFormatting sqref="J34">
    <cfRule type="cellIs" dxfId="36584" priority="109601" stopIfTrue="1" operator="lessThan">
      <formula>0.5</formula>
    </cfRule>
  </conditionalFormatting>
  <conditionalFormatting sqref="J34">
    <cfRule type="cellIs" dxfId="36583" priority="109602" stopIfTrue="1" operator="greaterThanOrEqual">
      <formula>0.5</formula>
    </cfRule>
  </conditionalFormatting>
  <conditionalFormatting sqref="J35">
    <cfRule type="cellIs" dxfId="36582" priority="109603" stopIfTrue="1" operator="equal">
      <formula>-1</formula>
    </cfRule>
  </conditionalFormatting>
  <conditionalFormatting sqref="J35">
    <cfRule type="cellIs" dxfId="36581" priority="109604" stopIfTrue="1" operator="lessThan">
      <formula>0.5</formula>
    </cfRule>
  </conditionalFormatting>
  <conditionalFormatting sqref="J35">
    <cfRule type="cellIs" dxfId="36580" priority="109605" stopIfTrue="1" operator="greaterThanOrEqual">
      <formula>0.5</formula>
    </cfRule>
  </conditionalFormatting>
  <conditionalFormatting sqref="J36">
    <cfRule type="cellIs" dxfId="36579" priority="109606" stopIfTrue="1" operator="equal">
      <formula>-1</formula>
    </cfRule>
  </conditionalFormatting>
  <conditionalFormatting sqref="J36">
    <cfRule type="cellIs" dxfId="36578" priority="109607" stopIfTrue="1" operator="lessThan">
      <formula>0.5</formula>
    </cfRule>
  </conditionalFormatting>
  <conditionalFormatting sqref="J36">
    <cfRule type="cellIs" dxfId="36577" priority="109608" stopIfTrue="1" operator="greaterThanOrEqual">
      <formula>0.5</formula>
    </cfRule>
  </conditionalFormatting>
  <conditionalFormatting sqref="J37">
    <cfRule type="cellIs" dxfId="36576" priority="109609" stopIfTrue="1" operator="equal">
      <formula>-1</formula>
    </cfRule>
  </conditionalFormatting>
  <conditionalFormatting sqref="J37">
    <cfRule type="cellIs" dxfId="36575" priority="109610" stopIfTrue="1" operator="lessThan">
      <formula>0.5</formula>
    </cfRule>
  </conditionalFormatting>
  <conditionalFormatting sqref="J37">
    <cfRule type="cellIs" dxfId="36574" priority="109611" stopIfTrue="1" operator="greaterThanOrEqual">
      <formula>0.5</formula>
    </cfRule>
  </conditionalFormatting>
  <conditionalFormatting sqref="L17">
    <cfRule type="cellIs" dxfId="36573" priority="109612" stopIfTrue="1" operator="equal">
      <formula>-1</formula>
    </cfRule>
  </conditionalFormatting>
  <conditionalFormatting sqref="L17">
    <cfRule type="cellIs" dxfId="36572" priority="109613" stopIfTrue="1" operator="lessThan">
      <formula>0.5</formula>
    </cfRule>
  </conditionalFormatting>
  <conditionalFormatting sqref="L17">
    <cfRule type="cellIs" dxfId="36571" priority="109614" stopIfTrue="1" operator="greaterThanOrEqual">
      <formula>0.5</formula>
    </cfRule>
  </conditionalFormatting>
  <conditionalFormatting sqref="L18">
    <cfRule type="cellIs" dxfId="36570" priority="109615" stopIfTrue="1" operator="equal">
      <formula>-1</formula>
    </cfRule>
  </conditionalFormatting>
  <conditionalFormatting sqref="L18">
    <cfRule type="cellIs" dxfId="36569" priority="109616" stopIfTrue="1" operator="lessThan">
      <formula>0.5</formula>
    </cfRule>
  </conditionalFormatting>
  <conditionalFormatting sqref="L18">
    <cfRule type="cellIs" dxfId="36568" priority="109617" stopIfTrue="1" operator="greaterThanOrEqual">
      <formula>0.5</formula>
    </cfRule>
  </conditionalFormatting>
  <conditionalFormatting sqref="L19">
    <cfRule type="cellIs" dxfId="36567" priority="109618" stopIfTrue="1" operator="equal">
      <formula>-1</formula>
    </cfRule>
  </conditionalFormatting>
  <conditionalFormatting sqref="L19">
    <cfRule type="cellIs" dxfId="36566" priority="109619" stopIfTrue="1" operator="lessThan">
      <formula>0.5</formula>
    </cfRule>
  </conditionalFormatting>
  <conditionalFormatting sqref="L19">
    <cfRule type="cellIs" dxfId="36565" priority="109620" stopIfTrue="1" operator="greaterThanOrEqual">
      <formula>0.5</formula>
    </cfRule>
  </conditionalFormatting>
  <conditionalFormatting sqref="L20">
    <cfRule type="cellIs" dxfId="36564" priority="109621" stopIfTrue="1" operator="equal">
      <formula>-1</formula>
    </cfRule>
  </conditionalFormatting>
  <conditionalFormatting sqref="L20">
    <cfRule type="cellIs" dxfId="36563" priority="109622" stopIfTrue="1" operator="lessThan">
      <formula>0.5</formula>
    </cfRule>
  </conditionalFormatting>
  <conditionalFormatting sqref="L20">
    <cfRule type="cellIs" dxfId="36562" priority="109623" stopIfTrue="1" operator="greaterThanOrEqual">
      <formula>0.5</formula>
    </cfRule>
  </conditionalFormatting>
  <conditionalFormatting sqref="L21">
    <cfRule type="cellIs" dxfId="36561" priority="109624" stopIfTrue="1" operator="equal">
      <formula>-1</formula>
    </cfRule>
  </conditionalFormatting>
  <conditionalFormatting sqref="L21">
    <cfRule type="cellIs" dxfId="36560" priority="109625" stopIfTrue="1" operator="lessThan">
      <formula>0.5</formula>
    </cfRule>
  </conditionalFormatting>
  <conditionalFormatting sqref="L21">
    <cfRule type="cellIs" dxfId="36559" priority="109626" stopIfTrue="1" operator="greaterThanOrEqual">
      <formula>0.5</formula>
    </cfRule>
  </conditionalFormatting>
  <conditionalFormatting sqref="L22">
    <cfRule type="cellIs" dxfId="36558" priority="109627" stopIfTrue="1" operator="equal">
      <formula>-1</formula>
    </cfRule>
  </conditionalFormatting>
  <conditionalFormatting sqref="L22">
    <cfRule type="cellIs" dxfId="36557" priority="109628" stopIfTrue="1" operator="lessThan">
      <formula>0.5</formula>
    </cfRule>
  </conditionalFormatting>
  <conditionalFormatting sqref="L22">
    <cfRule type="cellIs" dxfId="36556" priority="109629" stopIfTrue="1" operator="greaterThanOrEqual">
      <formula>0.5</formula>
    </cfRule>
  </conditionalFormatting>
  <conditionalFormatting sqref="L23">
    <cfRule type="cellIs" dxfId="36555" priority="109630" stopIfTrue="1" operator="equal">
      <formula>-1</formula>
    </cfRule>
  </conditionalFormatting>
  <conditionalFormatting sqref="L23">
    <cfRule type="cellIs" dxfId="36554" priority="109631" stopIfTrue="1" operator="lessThan">
      <formula>0.5</formula>
    </cfRule>
  </conditionalFormatting>
  <conditionalFormatting sqref="L23">
    <cfRule type="cellIs" dxfId="36553" priority="109632" stopIfTrue="1" operator="greaterThanOrEqual">
      <formula>0.5</formula>
    </cfRule>
  </conditionalFormatting>
  <conditionalFormatting sqref="L24">
    <cfRule type="cellIs" dxfId="36552" priority="109633" stopIfTrue="1" operator="equal">
      <formula>-1</formula>
    </cfRule>
  </conditionalFormatting>
  <conditionalFormatting sqref="L24">
    <cfRule type="cellIs" dxfId="36551" priority="109634" stopIfTrue="1" operator="lessThan">
      <formula>0.5</formula>
    </cfRule>
  </conditionalFormatting>
  <conditionalFormatting sqref="L24">
    <cfRule type="cellIs" dxfId="36550" priority="109635" stopIfTrue="1" operator="greaterThanOrEqual">
      <formula>0.5</formula>
    </cfRule>
  </conditionalFormatting>
  <conditionalFormatting sqref="L25">
    <cfRule type="cellIs" dxfId="36549" priority="109636" stopIfTrue="1" operator="equal">
      <formula>-1</formula>
    </cfRule>
  </conditionalFormatting>
  <conditionalFormatting sqref="L25">
    <cfRule type="cellIs" dxfId="36548" priority="109637" stopIfTrue="1" operator="lessThan">
      <formula>0.5</formula>
    </cfRule>
  </conditionalFormatting>
  <conditionalFormatting sqref="L25">
    <cfRule type="cellIs" dxfId="36547" priority="109638" stopIfTrue="1" operator="greaterThanOrEqual">
      <formula>0.5</formula>
    </cfRule>
  </conditionalFormatting>
  <conditionalFormatting sqref="L26">
    <cfRule type="cellIs" dxfId="36546" priority="109639" stopIfTrue="1" operator="equal">
      <formula>-1</formula>
    </cfRule>
  </conditionalFormatting>
  <conditionalFormatting sqref="L26">
    <cfRule type="cellIs" dxfId="36545" priority="109640" stopIfTrue="1" operator="lessThan">
      <formula>0.5</formula>
    </cfRule>
  </conditionalFormatting>
  <conditionalFormatting sqref="L26">
    <cfRule type="cellIs" dxfId="36544" priority="109641" stopIfTrue="1" operator="greaterThanOrEqual">
      <formula>0.5</formula>
    </cfRule>
  </conditionalFormatting>
  <conditionalFormatting sqref="L27">
    <cfRule type="cellIs" dxfId="36543" priority="109642" stopIfTrue="1" operator="equal">
      <formula>-1</formula>
    </cfRule>
  </conditionalFormatting>
  <conditionalFormatting sqref="L27">
    <cfRule type="cellIs" dxfId="36542" priority="109643" stopIfTrue="1" operator="lessThan">
      <formula>0.5</formula>
    </cfRule>
  </conditionalFormatting>
  <conditionalFormatting sqref="L27">
    <cfRule type="cellIs" dxfId="36541" priority="109644" stopIfTrue="1" operator="greaterThanOrEqual">
      <formula>0.5</formula>
    </cfRule>
  </conditionalFormatting>
  <conditionalFormatting sqref="L28">
    <cfRule type="cellIs" dxfId="36540" priority="109645" stopIfTrue="1" operator="equal">
      <formula>-1</formula>
    </cfRule>
  </conditionalFormatting>
  <conditionalFormatting sqref="L28">
    <cfRule type="cellIs" dxfId="36539" priority="109646" stopIfTrue="1" operator="lessThan">
      <formula>0.5</formula>
    </cfRule>
  </conditionalFormatting>
  <conditionalFormatting sqref="L28">
    <cfRule type="cellIs" dxfId="36538" priority="109647" stopIfTrue="1" operator="greaterThanOrEqual">
      <formula>0.5</formula>
    </cfRule>
  </conditionalFormatting>
  <conditionalFormatting sqref="L29">
    <cfRule type="cellIs" dxfId="36537" priority="109648" stopIfTrue="1" operator="equal">
      <formula>-1</formula>
    </cfRule>
  </conditionalFormatting>
  <conditionalFormatting sqref="L29">
    <cfRule type="cellIs" dxfId="36536" priority="109649" stopIfTrue="1" operator="lessThan">
      <formula>0.5</formula>
    </cfRule>
  </conditionalFormatting>
  <conditionalFormatting sqref="L29">
    <cfRule type="cellIs" dxfId="36535" priority="109650" stopIfTrue="1" operator="greaterThanOrEqual">
      <formula>0.5</formula>
    </cfRule>
  </conditionalFormatting>
  <conditionalFormatting sqref="L30">
    <cfRule type="cellIs" dxfId="36534" priority="109651" stopIfTrue="1" operator="equal">
      <formula>-1</formula>
    </cfRule>
  </conditionalFormatting>
  <conditionalFormatting sqref="L30">
    <cfRule type="cellIs" dxfId="36533" priority="109652" stopIfTrue="1" operator="lessThan">
      <formula>0.5</formula>
    </cfRule>
  </conditionalFormatting>
  <conditionalFormatting sqref="L30">
    <cfRule type="cellIs" dxfId="36532" priority="109653" stopIfTrue="1" operator="greaterThanOrEqual">
      <formula>0.5</formula>
    </cfRule>
  </conditionalFormatting>
  <conditionalFormatting sqref="L31">
    <cfRule type="cellIs" dxfId="36531" priority="109654" stopIfTrue="1" operator="equal">
      <formula>-1</formula>
    </cfRule>
  </conditionalFormatting>
  <conditionalFormatting sqref="L31">
    <cfRule type="cellIs" dxfId="36530" priority="109655" stopIfTrue="1" operator="lessThan">
      <formula>0.5</formula>
    </cfRule>
  </conditionalFormatting>
  <conditionalFormatting sqref="L31">
    <cfRule type="cellIs" dxfId="36529" priority="109656" stopIfTrue="1" operator="greaterThanOrEqual">
      <formula>0.5</formula>
    </cfRule>
  </conditionalFormatting>
  <conditionalFormatting sqref="L32">
    <cfRule type="cellIs" dxfId="36528" priority="109657" stopIfTrue="1" operator="equal">
      <formula>-1</formula>
    </cfRule>
  </conditionalFormatting>
  <conditionalFormatting sqref="L32">
    <cfRule type="cellIs" dxfId="36527" priority="109658" stopIfTrue="1" operator="lessThan">
      <formula>0.5</formula>
    </cfRule>
  </conditionalFormatting>
  <conditionalFormatting sqref="L32">
    <cfRule type="cellIs" dxfId="36526" priority="109659" stopIfTrue="1" operator="greaterThanOrEqual">
      <formula>0.5</formula>
    </cfRule>
  </conditionalFormatting>
  <conditionalFormatting sqref="L33">
    <cfRule type="cellIs" dxfId="36525" priority="109660" stopIfTrue="1" operator="equal">
      <formula>-1</formula>
    </cfRule>
  </conditionalFormatting>
  <conditionalFormatting sqref="L33">
    <cfRule type="cellIs" dxfId="36524" priority="109661" stopIfTrue="1" operator="lessThan">
      <formula>0.5</formula>
    </cfRule>
  </conditionalFormatting>
  <conditionalFormatting sqref="L33">
    <cfRule type="cellIs" dxfId="36523" priority="109662" stopIfTrue="1" operator="greaterThanOrEqual">
      <formula>0.5</formula>
    </cfRule>
  </conditionalFormatting>
  <conditionalFormatting sqref="L34">
    <cfRule type="cellIs" dxfId="36522" priority="109663" stopIfTrue="1" operator="equal">
      <formula>-1</formula>
    </cfRule>
  </conditionalFormatting>
  <conditionalFormatting sqref="L34">
    <cfRule type="cellIs" dxfId="36521" priority="109664" stopIfTrue="1" operator="lessThan">
      <formula>0.5</formula>
    </cfRule>
  </conditionalFormatting>
  <conditionalFormatting sqref="L34">
    <cfRule type="cellIs" dxfId="36520" priority="109665" stopIfTrue="1" operator="greaterThanOrEqual">
      <formula>0.5</formula>
    </cfRule>
  </conditionalFormatting>
  <conditionalFormatting sqref="L35">
    <cfRule type="cellIs" dxfId="36519" priority="109666" stopIfTrue="1" operator="equal">
      <formula>-1</formula>
    </cfRule>
  </conditionalFormatting>
  <conditionalFormatting sqref="L35">
    <cfRule type="cellIs" dxfId="36518" priority="109667" stopIfTrue="1" operator="lessThan">
      <formula>0.5</formula>
    </cfRule>
  </conditionalFormatting>
  <conditionalFormatting sqref="L35">
    <cfRule type="cellIs" dxfId="36517" priority="109668" stopIfTrue="1" operator="greaterThanOrEqual">
      <formula>0.5</formula>
    </cfRule>
  </conditionalFormatting>
  <conditionalFormatting sqref="L36">
    <cfRule type="cellIs" dxfId="36516" priority="109669" stopIfTrue="1" operator="equal">
      <formula>-1</formula>
    </cfRule>
  </conditionalFormatting>
  <conditionalFormatting sqref="L36">
    <cfRule type="cellIs" dxfId="36515" priority="109670" stopIfTrue="1" operator="lessThan">
      <formula>0.5</formula>
    </cfRule>
  </conditionalFormatting>
  <conditionalFormatting sqref="L36">
    <cfRule type="cellIs" dxfId="36514" priority="109671" stopIfTrue="1" operator="greaterThanOrEqual">
      <formula>0.5</formula>
    </cfRule>
  </conditionalFormatting>
  <conditionalFormatting sqref="L37">
    <cfRule type="cellIs" dxfId="36513" priority="109672" stopIfTrue="1" operator="equal">
      <formula>-1</formula>
    </cfRule>
  </conditionalFormatting>
  <conditionalFormatting sqref="L37">
    <cfRule type="cellIs" dxfId="36512" priority="109673" stopIfTrue="1" operator="lessThan">
      <formula>0.5</formula>
    </cfRule>
  </conditionalFormatting>
  <conditionalFormatting sqref="L37">
    <cfRule type="cellIs" dxfId="36511" priority="109674" stopIfTrue="1" operator="greaterThanOrEqual">
      <formula>0.5</formula>
    </cfRule>
  </conditionalFormatting>
  <conditionalFormatting sqref="N17">
    <cfRule type="cellIs" dxfId="36510" priority="109675" stopIfTrue="1" operator="equal">
      <formula>-1</formula>
    </cfRule>
  </conditionalFormatting>
  <conditionalFormatting sqref="N17">
    <cfRule type="cellIs" dxfId="36509" priority="109676" stopIfTrue="1" operator="lessThan">
      <formula>0.5</formula>
    </cfRule>
  </conditionalFormatting>
  <conditionalFormatting sqref="N17">
    <cfRule type="cellIs" dxfId="36508" priority="109677" stopIfTrue="1" operator="greaterThanOrEqual">
      <formula>0.5</formula>
    </cfRule>
  </conditionalFormatting>
  <conditionalFormatting sqref="N18">
    <cfRule type="cellIs" dxfId="36507" priority="109678" stopIfTrue="1" operator="equal">
      <formula>-1</formula>
    </cfRule>
  </conditionalFormatting>
  <conditionalFormatting sqref="N18">
    <cfRule type="cellIs" dxfId="36506" priority="109679" stopIfTrue="1" operator="lessThan">
      <formula>0.5</formula>
    </cfRule>
  </conditionalFormatting>
  <conditionalFormatting sqref="N18">
    <cfRule type="cellIs" dxfId="36505" priority="109680" stopIfTrue="1" operator="greaterThanOrEqual">
      <formula>0.5</formula>
    </cfRule>
  </conditionalFormatting>
  <conditionalFormatting sqref="N19">
    <cfRule type="cellIs" dxfId="36504" priority="109681" stopIfTrue="1" operator="equal">
      <formula>-1</formula>
    </cfRule>
  </conditionalFormatting>
  <conditionalFormatting sqref="N19">
    <cfRule type="cellIs" dxfId="36503" priority="109682" stopIfTrue="1" operator="lessThan">
      <formula>0.5</formula>
    </cfRule>
  </conditionalFormatting>
  <conditionalFormatting sqref="N19">
    <cfRule type="cellIs" dxfId="36502" priority="109683" stopIfTrue="1" operator="greaterThanOrEqual">
      <formula>0.5</formula>
    </cfRule>
  </conditionalFormatting>
  <conditionalFormatting sqref="N20">
    <cfRule type="cellIs" dxfId="36501" priority="109684" stopIfTrue="1" operator="equal">
      <formula>-1</formula>
    </cfRule>
  </conditionalFormatting>
  <conditionalFormatting sqref="N20">
    <cfRule type="cellIs" dxfId="36500" priority="109685" stopIfTrue="1" operator="lessThan">
      <formula>0.5</formula>
    </cfRule>
  </conditionalFormatting>
  <conditionalFormatting sqref="N20">
    <cfRule type="cellIs" dxfId="36499" priority="109686" stopIfTrue="1" operator="greaterThanOrEqual">
      <formula>0.5</formula>
    </cfRule>
  </conditionalFormatting>
  <conditionalFormatting sqref="N21">
    <cfRule type="cellIs" dxfId="36498" priority="109687" stopIfTrue="1" operator="equal">
      <formula>-1</formula>
    </cfRule>
  </conditionalFormatting>
  <conditionalFormatting sqref="N21">
    <cfRule type="cellIs" dxfId="36497" priority="109688" stopIfTrue="1" operator="lessThan">
      <formula>0.5</formula>
    </cfRule>
  </conditionalFormatting>
  <conditionalFormatting sqref="N21">
    <cfRule type="cellIs" dxfId="36496" priority="109689" stopIfTrue="1" operator="greaterThanOrEqual">
      <formula>0.5</formula>
    </cfRule>
  </conditionalFormatting>
  <conditionalFormatting sqref="N22">
    <cfRule type="cellIs" dxfId="36495" priority="109690" stopIfTrue="1" operator="equal">
      <formula>-1</formula>
    </cfRule>
  </conditionalFormatting>
  <conditionalFormatting sqref="N22">
    <cfRule type="cellIs" dxfId="36494" priority="109691" stopIfTrue="1" operator="lessThan">
      <formula>0.5</formula>
    </cfRule>
  </conditionalFormatting>
  <conditionalFormatting sqref="N22">
    <cfRule type="cellIs" dxfId="36493" priority="109692" stopIfTrue="1" operator="greaterThanOrEqual">
      <formula>0.5</formula>
    </cfRule>
  </conditionalFormatting>
  <conditionalFormatting sqref="N23">
    <cfRule type="cellIs" dxfId="36492" priority="109693" stopIfTrue="1" operator="equal">
      <formula>-1</formula>
    </cfRule>
  </conditionalFormatting>
  <conditionalFormatting sqref="N23">
    <cfRule type="cellIs" dxfId="36491" priority="109694" stopIfTrue="1" operator="lessThan">
      <formula>0.5</formula>
    </cfRule>
  </conditionalFormatting>
  <conditionalFormatting sqref="N23">
    <cfRule type="cellIs" dxfId="36490" priority="109695" stopIfTrue="1" operator="greaterThanOrEqual">
      <formula>0.5</formula>
    </cfRule>
  </conditionalFormatting>
  <conditionalFormatting sqref="N24">
    <cfRule type="cellIs" dxfId="36489" priority="109696" stopIfTrue="1" operator="equal">
      <formula>-1</formula>
    </cfRule>
  </conditionalFormatting>
  <conditionalFormatting sqref="N24">
    <cfRule type="cellIs" dxfId="36488" priority="109697" stopIfTrue="1" operator="lessThan">
      <formula>0.5</formula>
    </cfRule>
  </conditionalFormatting>
  <conditionalFormatting sqref="N24">
    <cfRule type="cellIs" dxfId="36487" priority="109698" stopIfTrue="1" operator="greaterThanOrEqual">
      <formula>0.5</formula>
    </cfRule>
  </conditionalFormatting>
  <conditionalFormatting sqref="N25">
    <cfRule type="cellIs" dxfId="36486" priority="109699" stopIfTrue="1" operator="equal">
      <formula>-1</formula>
    </cfRule>
  </conditionalFormatting>
  <conditionalFormatting sqref="N25">
    <cfRule type="cellIs" dxfId="36485" priority="109700" stopIfTrue="1" operator="lessThan">
      <formula>0.5</formula>
    </cfRule>
  </conditionalFormatting>
  <conditionalFormatting sqref="N25">
    <cfRule type="cellIs" dxfId="36484" priority="109701" stopIfTrue="1" operator="greaterThanOrEqual">
      <formula>0.5</formula>
    </cfRule>
  </conditionalFormatting>
  <conditionalFormatting sqref="N26">
    <cfRule type="cellIs" dxfId="36483" priority="109702" stopIfTrue="1" operator="equal">
      <formula>-1</formula>
    </cfRule>
  </conditionalFormatting>
  <conditionalFormatting sqref="N26">
    <cfRule type="cellIs" dxfId="36482" priority="109703" stopIfTrue="1" operator="lessThan">
      <formula>0.5</formula>
    </cfRule>
  </conditionalFormatting>
  <conditionalFormatting sqref="N26">
    <cfRule type="cellIs" dxfId="36481" priority="109704" stopIfTrue="1" operator="greaterThanOrEqual">
      <formula>0.5</formula>
    </cfRule>
  </conditionalFormatting>
  <conditionalFormatting sqref="N27">
    <cfRule type="cellIs" dxfId="36480" priority="109705" stopIfTrue="1" operator="equal">
      <formula>-1</formula>
    </cfRule>
  </conditionalFormatting>
  <conditionalFormatting sqref="N27">
    <cfRule type="cellIs" dxfId="36479" priority="109706" stopIfTrue="1" operator="lessThan">
      <formula>0.5</formula>
    </cfRule>
  </conditionalFormatting>
  <conditionalFormatting sqref="N27">
    <cfRule type="cellIs" dxfId="36478" priority="109707" stopIfTrue="1" operator="greaterThanOrEqual">
      <formula>0.5</formula>
    </cfRule>
  </conditionalFormatting>
  <conditionalFormatting sqref="N28">
    <cfRule type="cellIs" dxfId="36477" priority="109708" stopIfTrue="1" operator="equal">
      <formula>-1</formula>
    </cfRule>
  </conditionalFormatting>
  <conditionalFormatting sqref="N28">
    <cfRule type="cellIs" dxfId="36476" priority="109709" stopIfTrue="1" operator="lessThan">
      <formula>0.5</formula>
    </cfRule>
  </conditionalFormatting>
  <conditionalFormatting sqref="N28">
    <cfRule type="cellIs" dxfId="36475" priority="109710" stopIfTrue="1" operator="greaterThanOrEqual">
      <formula>0.5</formula>
    </cfRule>
  </conditionalFormatting>
  <conditionalFormatting sqref="N29">
    <cfRule type="cellIs" dxfId="36474" priority="109711" stopIfTrue="1" operator="equal">
      <formula>-1</formula>
    </cfRule>
  </conditionalFormatting>
  <conditionalFormatting sqref="N29">
    <cfRule type="cellIs" dxfId="36473" priority="109712" stopIfTrue="1" operator="lessThan">
      <formula>0.5</formula>
    </cfRule>
  </conditionalFormatting>
  <conditionalFormatting sqref="N29">
    <cfRule type="cellIs" dxfId="36472" priority="109713" stopIfTrue="1" operator="greaterThanOrEqual">
      <formula>0.5</formula>
    </cfRule>
  </conditionalFormatting>
  <conditionalFormatting sqref="N30">
    <cfRule type="cellIs" dxfId="36471" priority="109714" stopIfTrue="1" operator="equal">
      <formula>-1</formula>
    </cfRule>
  </conditionalFormatting>
  <conditionalFormatting sqref="N30">
    <cfRule type="cellIs" dxfId="36470" priority="109715" stopIfTrue="1" operator="lessThan">
      <formula>0.5</formula>
    </cfRule>
  </conditionalFormatting>
  <conditionalFormatting sqref="N30">
    <cfRule type="cellIs" dxfId="36469" priority="109716" stopIfTrue="1" operator="greaterThanOrEqual">
      <formula>0.5</formula>
    </cfRule>
  </conditionalFormatting>
  <conditionalFormatting sqref="N31">
    <cfRule type="cellIs" dxfId="36468" priority="109717" stopIfTrue="1" operator="equal">
      <formula>-1</formula>
    </cfRule>
  </conditionalFormatting>
  <conditionalFormatting sqref="N31">
    <cfRule type="cellIs" dxfId="36467" priority="109718" stopIfTrue="1" operator="lessThan">
      <formula>0.5</formula>
    </cfRule>
  </conditionalFormatting>
  <conditionalFormatting sqref="N31">
    <cfRule type="cellIs" dxfId="36466" priority="109719" stopIfTrue="1" operator="greaterThanOrEqual">
      <formula>0.5</formula>
    </cfRule>
  </conditionalFormatting>
  <conditionalFormatting sqref="N32">
    <cfRule type="cellIs" dxfId="36465" priority="109720" stopIfTrue="1" operator="equal">
      <formula>-1</formula>
    </cfRule>
  </conditionalFormatting>
  <conditionalFormatting sqref="N32">
    <cfRule type="cellIs" dxfId="36464" priority="109721" stopIfTrue="1" operator="lessThan">
      <formula>0.5</formula>
    </cfRule>
  </conditionalFormatting>
  <conditionalFormatting sqref="N32">
    <cfRule type="cellIs" dxfId="36463" priority="109722" stopIfTrue="1" operator="greaterThanOrEqual">
      <formula>0.5</formula>
    </cfRule>
  </conditionalFormatting>
  <conditionalFormatting sqref="N33">
    <cfRule type="cellIs" dxfId="36462" priority="109723" stopIfTrue="1" operator="equal">
      <formula>-1</formula>
    </cfRule>
  </conditionalFormatting>
  <conditionalFormatting sqref="N33">
    <cfRule type="cellIs" dxfId="36461" priority="109724" stopIfTrue="1" operator="lessThan">
      <formula>0.5</formula>
    </cfRule>
  </conditionalFormatting>
  <conditionalFormatting sqref="N33">
    <cfRule type="cellIs" dxfId="36460" priority="109725" stopIfTrue="1" operator="greaterThanOrEqual">
      <formula>0.5</formula>
    </cfRule>
  </conditionalFormatting>
  <conditionalFormatting sqref="N34">
    <cfRule type="cellIs" dxfId="36459" priority="109726" stopIfTrue="1" operator="equal">
      <formula>-1</formula>
    </cfRule>
  </conditionalFormatting>
  <conditionalFormatting sqref="N34">
    <cfRule type="cellIs" dxfId="36458" priority="109727" stopIfTrue="1" operator="lessThan">
      <formula>0.5</formula>
    </cfRule>
  </conditionalFormatting>
  <conditionalFormatting sqref="N34">
    <cfRule type="cellIs" dxfId="36457" priority="109728" stopIfTrue="1" operator="greaterThanOrEqual">
      <formula>0.5</formula>
    </cfRule>
  </conditionalFormatting>
  <conditionalFormatting sqref="N35">
    <cfRule type="cellIs" dxfId="36456" priority="109729" stopIfTrue="1" operator="equal">
      <formula>-1</formula>
    </cfRule>
  </conditionalFormatting>
  <conditionalFormatting sqref="N35">
    <cfRule type="cellIs" dxfId="36455" priority="109730" stopIfTrue="1" operator="lessThan">
      <formula>0.5</formula>
    </cfRule>
  </conditionalFormatting>
  <conditionalFormatting sqref="N35">
    <cfRule type="cellIs" dxfId="36454" priority="109731" stopIfTrue="1" operator="greaterThanOrEqual">
      <formula>0.5</formula>
    </cfRule>
  </conditionalFormatting>
  <conditionalFormatting sqref="N36">
    <cfRule type="cellIs" dxfId="36453" priority="109732" stopIfTrue="1" operator="equal">
      <formula>-1</formula>
    </cfRule>
  </conditionalFormatting>
  <conditionalFormatting sqref="N36">
    <cfRule type="cellIs" dxfId="36452" priority="109733" stopIfTrue="1" operator="lessThan">
      <formula>0.5</formula>
    </cfRule>
  </conditionalFormatting>
  <conditionalFormatting sqref="N36">
    <cfRule type="cellIs" dxfId="36451" priority="109734" stopIfTrue="1" operator="greaterThanOrEqual">
      <formula>0.5</formula>
    </cfRule>
  </conditionalFormatting>
  <conditionalFormatting sqref="N37">
    <cfRule type="cellIs" dxfId="36450" priority="109735" stopIfTrue="1" operator="equal">
      <formula>-1</formula>
    </cfRule>
  </conditionalFormatting>
  <conditionalFormatting sqref="N37">
    <cfRule type="cellIs" dxfId="36449" priority="109736" stopIfTrue="1" operator="lessThan">
      <formula>0.5</formula>
    </cfRule>
  </conditionalFormatting>
  <conditionalFormatting sqref="N37">
    <cfRule type="cellIs" dxfId="36448" priority="109737" stopIfTrue="1" operator="greaterThanOrEqual">
      <formula>0.5</formula>
    </cfRule>
  </conditionalFormatting>
  <conditionalFormatting sqref="P17">
    <cfRule type="cellIs" dxfId="36447" priority="109738" stopIfTrue="1" operator="equal">
      <formula>-1</formula>
    </cfRule>
  </conditionalFormatting>
  <conditionalFormatting sqref="P17">
    <cfRule type="cellIs" dxfId="36446" priority="109739" stopIfTrue="1" operator="lessThan">
      <formula>0.5</formula>
    </cfRule>
  </conditionalFormatting>
  <conditionalFormatting sqref="P17">
    <cfRule type="cellIs" dxfId="36445" priority="109740" stopIfTrue="1" operator="greaterThanOrEqual">
      <formula>0.5</formula>
    </cfRule>
  </conditionalFormatting>
  <conditionalFormatting sqref="P18">
    <cfRule type="cellIs" dxfId="36444" priority="109741" stopIfTrue="1" operator="equal">
      <formula>-1</formula>
    </cfRule>
  </conditionalFormatting>
  <conditionalFormatting sqref="P18">
    <cfRule type="cellIs" dxfId="36443" priority="109742" stopIfTrue="1" operator="lessThan">
      <formula>0.5</formula>
    </cfRule>
  </conditionalFormatting>
  <conditionalFormatting sqref="P18">
    <cfRule type="cellIs" dxfId="36442" priority="109743" stopIfTrue="1" operator="greaterThanOrEqual">
      <formula>0.5</formula>
    </cfRule>
  </conditionalFormatting>
  <conditionalFormatting sqref="P19">
    <cfRule type="cellIs" dxfId="36441" priority="109744" stopIfTrue="1" operator="equal">
      <formula>-1</formula>
    </cfRule>
  </conditionalFormatting>
  <conditionalFormatting sqref="P19">
    <cfRule type="cellIs" dxfId="36440" priority="109745" stopIfTrue="1" operator="lessThan">
      <formula>0.5</formula>
    </cfRule>
  </conditionalFormatting>
  <conditionalFormatting sqref="P19">
    <cfRule type="cellIs" dxfId="36439" priority="109746" stopIfTrue="1" operator="greaterThanOrEqual">
      <formula>0.5</formula>
    </cfRule>
  </conditionalFormatting>
  <conditionalFormatting sqref="P20">
    <cfRule type="cellIs" dxfId="36438" priority="109747" stopIfTrue="1" operator="equal">
      <formula>-1</formula>
    </cfRule>
  </conditionalFormatting>
  <conditionalFormatting sqref="P20">
    <cfRule type="cellIs" dxfId="36437" priority="109748" stopIfTrue="1" operator="lessThan">
      <formula>0.5</formula>
    </cfRule>
  </conditionalFormatting>
  <conditionalFormatting sqref="P20">
    <cfRule type="cellIs" dxfId="36436" priority="109749" stopIfTrue="1" operator="greaterThanOrEqual">
      <formula>0.5</formula>
    </cfRule>
  </conditionalFormatting>
  <conditionalFormatting sqref="P21">
    <cfRule type="cellIs" dxfId="36435" priority="109750" stopIfTrue="1" operator="equal">
      <formula>-1</formula>
    </cfRule>
  </conditionalFormatting>
  <conditionalFormatting sqref="P21">
    <cfRule type="cellIs" dxfId="36434" priority="109751" stopIfTrue="1" operator="lessThan">
      <formula>0.5</formula>
    </cfRule>
  </conditionalFormatting>
  <conditionalFormatting sqref="P21">
    <cfRule type="cellIs" dxfId="36433" priority="109752" stopIfTrue="1" operator="greaterThanOrEqual">
      <formula>0.5</formula>
    </cfRule>
  </conditionalFormatting>
  <conditionalFormatting sqref="P22">
    <cfRule type="cellIs" dxfId="36432" priority="109753" stopIfTrue="1" operator="equal">
      <formula>-1</formula>
    </cfRule>
  </conditionalFormatting>
  <conditionalFormatting sqref="P22">
    <cfRule type="cellIs" dxfId="36431" priority="109754" stopIfTrue="1" operator="lessThan">
      <formula>0.5</formula>
    </cfRule>
  </conditionalFormatting>
  <conditionalFormatting sqref="P22">
    <cfRule type="cellIs" dxfId="36430" priority="109755" stopIfTrue="1" operator="greaterThanOrEqual">
      <formula>0.5</formula>
    </cfRule>
  </conditionalFormatting>
  <conditionalFormatting sqref="P23">
    <cfRule type="cellIs" dxfId="36429" priority="109756" stopIfTrue="1" operator="equal">
      <formula>-1</formula>
    </cfRule>
  </conditionalFormatting>
  <conditionalFormatting sqref="P23">
    <cfRule type="cellIs" dxfId="36428" priority="109757" stopIfTrue="1" operator="lessThan">
      <formula>0.5</formula>
    </cfRule>
  </conditionalFormatting>
  <conditionalFormatting sqref="P23">
    <cfRule type="cellIs" dxfId="36427" priority="109758" stopIfTrue="1" operator="greaterThanOrEqual">
      <formula>0.5</formula>
    </cfRule>
  </conditionalFormatting>
  <conditionalFormatting sqref="P24">
    <cfRule type="cellIs" dxfId="36426" priority="109759" stopIfTrue="1" operator="equal">
      <formula>-1</formula>
    </cfRule>
  </conditionalFormatting>
  <conditionalFormatting sqref="P24">
    <cfRule type="cellIs" dxfId="36425" priority="109760" stopIfTrue="1" operator="lessThan">
      <formula>0.5</formula>
    </cfRule>
  </conditionalFormatting>
  <conditionalFormatting sqref="P24">
    <cfRule type="cellIs" dxfId="36424" priority="109761" stopIfTrue="1" operator="greaterThanOrEqual">
      <formula>0.5</formula>
    </cfRule>
  </conditionalFormatting>
  <conditionalFormatting sqref="P25">
    <cfRule type="cellIs" dxfId="36423" priority="109762" stopIfTrue="1" operator="equal">
      <formula>-1</formula>
    </cfRule>
  </conditionalFormatting>
  <conditionalFormatting sqref="P25">
    <cfRule type="cellIs" dxfId="36422" priority="109763" stopIfTrue="1" operator="lessThan">
      <formula>0.5</formula>
    </cfRule>
  </conditionalFormatting>
  <conditionalFormatting sqref="P25">
    <cfRule type="cellIs" dxfId="36421" priority="109764" stopIfTrue="1" operator="greaterThanOrEqual">
      <formula>0.5</formula>
    </cfRule>
  </conditionalFormatting>
  <conditionalFormatting sqref="P26">
    <cfRule type="cellIs" dxfId="36420" priority="109765" stopIfTrue="1" operator="equal">
      <formula>-1</formula>
    </cfRule>
  </conditionalFormatting>
  <conditionalFormatting sqref="P26">
    <cfRule type="cellIs" dxfId="36419" priority="109766" stopIfTrue="1" operator="lessThan">
      <formula>0.5</formula>
    </cfRule>
  </conditionalFormatting>
  <conditionalFormatting sqref="P26">
    <cfRule type="cellIs" dxfId="36418" priority="109767" stopIfTrue="1" operator="greaterThanOrEqual">
      <formula>0.5</formula>
    </cfRule>
  </conditionalFormatting>
  <conditionalFormatting sqref="P27">
    <cfRule type="cellIs" dxfId="36417" priority="109768" stopIfTrue="1" operator="equal">
      <formula>-1</formula>
    </cfRule>
  </conditionalFormatting>
  <conditionalFormatting sqref="P27">
    <cfRule type="cellIs" dxfId="36416" priority="109769" stopIfTrue="1" operator="lessThan">
      <formula>0.5</formula>
    </cfRule>
  </conditionalFormatting>
  <conditionalFormatting sqref="P27">
    <cfRule type="cellIs" dxfId="36415" priority="109770" stopIfTrue="1" operator="greaterThanOrEqual">
      <formula>0.5</formula>
    </cfRule>
  </conditionalFormatting>
  <conditionalFormatting sqref="P28">
    <cfRule type="cellIs" dxfId="36414" priority="109771" stopIfTrue="1" operator="equal">
      <formula>-1</formula>
    </cfRule>
  </conditionalFormatting>
  <conditionalFormatting sqref="P28">
    <cfRule type="cellIs" dxfId="36413" priority="109772" stopIfTrue="1" operator="lessThan">
      <formula>0.5</formula>
    </cfRule>
  </conditionalFormatting>
  <conditionalFormatting sqref="P28">
    <cfRule type="cellIs" dxfId="36412" priority="109773" stopIfTrue="1" operator="greaterThanOrEqual">
      <formula>0.5</formula>
    </cfRule>
  </conditionalFormatting>
  <conditionalFormatting sqref="P29">
    <cfRule type="cellIs" dxfId="36411" priority="109774" stopIfTrue="1" operator="equal">
      <formula>-1</formula>
    </cfRule>
  </conditionalFormatting>
  <conditionalFormatting sqref="P29">
    <cfRule type="cellIs" dxfId="36410" priority="109775" stopIfTrue="1" operator="lessThan">
      <formula>0.5</formula>
    </cfRule>
  </conditionalFormatting>
  <conditionalFormatting sqref="P29">
    <cfRule type="cellIs" dxfId="36409" priority="109776" stopIfTrue="1" operator="greaterThanOrEqual">
      <formula>0.5</formula>
    </cfRule>
  </conditionalFormatting>
  <conditionalFormatting sqref="P30">
    <cfRule type="cellIs" dxfId="36408" priority="109777" stopIfTrue="1" operator="equal">
      <formula>-1</formula>
    </cfRule>
  </conditionalFormatting>
  <conditionalFormatting sqref="P30">
    <cfRule type="cellIs" dxfId="36407" priority="109778" stopIfTrue="1" operator="lessThan">
      <formula>0.5</formula>
    </cfRule>
  </conditionalFormatting>
  <conditionalFormatting sqref="P30">
    <cfRule type="cellIs" dxfId="36406" priority="109779" stopIfTrue="1" operator="greaterThanOrEqual">
      <formula>0.5</formula>
    </cfRule>
  </conditionalFormatting>
  <conditionalFormatting sqref="P31">
    <cfRule type="cellIs" dxfId="36405" priority="109780" stopIfTrue="1" operator="equal">
      <formula>-1</formula>
    </cfRule>
  </conditionalFormatting>
  <conditionalFormatting sqref="P31">
    <cfRule type="cellIs" dxfId="36404" priority="109781" stopIfTrue="1" operator="lessThan">
      <formula>0.5</formula>
    </cfRule>
  </conditionalFormatting>
  <conditionalFormatting sqref="P31">
    <cfRule type="cellIs" dxfId="36403" priority="109782" stopIfTrue="1" operator="greaterThanOrEqual">
      <formula>0.5</formula>
    </cfRule>
  </conditionalFormatting>
  <conditionalFormatting sqref="P32">
    <cfRule type="cellIs" dxfId="36402" priority="109783" stopIfTrue="1" operator="equal">
      <formula>-1</formula>
    </cfRule>
  </conditionalFormatting>
  <conditionalFormatting sqref="P32">
    <cfRule type="cellIs" dxfId="36401" priority="109784" stopIfTrue="1" operator="lessThan">
      <formula>0.5</formula>
    </cfRule>
  </conditionalFormatting>
  <conditionalFormatting sqref="P32">
    <cfRule type="cellIs" dxfId="36400" priority="109785" stopIfTrue="1" operator="greaterThanOrEqual">
      <formula>0.5</formula>
    </cfRule>
  </conditionalFormatting>
  <conditionalFormatting sqref="P33">
    <cfRule type="cellIs" dxfId="36399" priority="109786" stopIfTrue="1" operator="equal">
      <formula>-1</formula>
    </cfRule>
  </conditionalFormatting>
  <conditionalFormatting sqref="P33">
    <cfRule type="cellIs" dxfId="36398" priority="109787" stopIfTrue="1" operator="lessThan">
      <formula>0.5</formula>
    </cfRule>
  </conditionalFormatting>
  <conditionalFormatting sqref="P33">
    <cfRule type="cellIs" dxfId="36397" priority="109788" stopIfTrue="1" operator="greaterThanOrEqual">
      <formula>0.5</formula>
    </cfRule>
  </conditionalFormatting>
  <conditionalFormatting sqref="P34">
    <cfRule type="cellIs" dxfId="36396" priority="109789" stopIfTrue="1" operator="equal">
      <formula>-1</formula>
    </cfRule>
  </conditionalFormatting>
  <conditionalFormatting sqref="P34">
    <cfRule type="cellIs" dxfId="36395" priority="109790" stopIfTrue="1" operator="lessThan">
      <formula>0.5</formula>
    </cfRule>
  </conditionalFormatting>
  <conditionalFormatting sqref="P34">
    <cfRule type="cellIs" dxfId="36394" priority="109791" stopIfTrue="1" operator="greaterThanOrEqual">
      <formula>0.5</formula>
    </cfRule>
  </conditionalFormatting>
  <conditionalFormatting sqref="P35">
    <cfRule type="cellIs" dxfId="36393" priority="109792" stopIfTrue="1" operator="equal">
      <formula>-1</formula>
    </cfRule>
  </conditionalFormatting>
  <conditionalFormatting sqref="P35">
    <cfRule type="cellIs" dxfId="36392" priority="109793" stopIfTrue="1" operator="lessThan">
      <formula>0.5</formula>
    </cfRule>
  </conditionalFormatting>
  <conditionalFormatting sqref="P35">
    <cfRule type="cellIs" dxfId="36391" priority="109794" stopIfTrue="1" operator="greaterThanOrEqual">
      <formula>0.5</formula>
    </cfRule>
  </conditionalFormatting>
  <conditionalFormatting sqref="P36">
    <cfRule type="cellIs" dxfId="36390" priority="109795" stopIfTrue="1" operator="equal">
      <formula>-1</formula>
    </cfRule>
  </conditionalFormatting>
  <conditionalFormatting sqref="P36">
    <cfRule type="cellIs" dxfId="36389" priority="109796" stopIfTrue="1" operator="lessThan">
      <formula>0.5</formula>
    </cfRule>
  </conditionalFormatting>
  <conditionalFormatting sqref="P36">
    <cfRule type="cellIs" dxfId="36388" priority="109797" stopIfTrue="1" operator="greaterThanOrEqual">
      <formula>0.5</formula>
    </cfRule>
  </conditionalFormatting>
  <conditionalFormatting sqref="P37">
    <cfRule type="cellIs" dxfId="36387" priority="109798" stopIfTrue="1" operator="equal">
      <formula>-1</formula>
    </cfRule>
  </conditionalFormatting>
  <conditionalFormatting sqref="P37">
    <cfRule type="cellIs" dxfId="36386" priority="109799" stopIfTrue="1" operator="lessThan">
      <formula>0.5</formula>
    </cfRule>
  </conditionalFormatting>
  <conditionalFormatting sqref="P37">
    <cfRule type="cellIs" dxfId="36385" priority="109800" stopIfTrue="1" operator="greaterThanOrEqual">
      <formula>0.5</formula>
    </cfRule>
  </conditionalFormatting>
  <conditionalFormatting sqref="R17">
    <cfRule type="cellIs" dxfId="36384" priority="109801" stopIfTrue="1" operator="equal">
      <formula>-1</formula>
    </cfRule>
  </conditionalFormatting>
  <conditionalFormatting sqref="R17">
    <cfRule type="cellIs" dxfId="36383" priority="109802" stopIfTrue="1" operator="lessThan">
      <formula>0.5</formula>
    </cfRule>
  </conditionalFormatting>
  <conditionalFormatting sqref="R17">
    <cfRule type="cellIs" dxfId="36382" priority="109803" stopIfTrue="1" operator="greaterThanOrEqual">
      <formula>0.5</formula>
    </cfRule>
  </conditionalFormatting>
  <conditionalFormatting sqref="R18">
    <cfRule type="cellIs" dxfId="36381" priority="109804" stopIfTrue="1" operator="equal">
      <formula>-1</formula>
    </cfRule>
  </conditionalFormatting>
  <conditionalFormatting sqref="R18">
    <cfRule type="cellIs" dxfId="36380" priority="109805" stopIfTrue="1" operator="lessThan">
      <formula>0.5</formula>
    </cfRule>
  </conditionalFormatting>
  <conditionalFormatting sqref="R18">
    <cfRule type="cellIs" dxfId="36379" priority="109806" stopIfTrue="1" operator="greaterThanOrEqual">
      <formula>0.5</formula>
    </cfRule>
  </conditionalFormatting>
  <conditionalFormatting sqref="R19">
    <cfRule type="cellIs" dxfId="36378" priority="109807" stopIfTrue="1" operator="equal">
      <formula>-1</formula>
    </cfRule>
  </conditionalFormatting>
  <conditionalFormatting sqref="R19">
    <cfRule type="cellIs" dxfId="36377" priority="109808" stopIfTrue="1" operator="lessThan">
      <formula>0.5</formula>
    </cfRule>
  </conditionalFormatting>
  <conditionalFormatting sqref="R19">
    <cfRule type="cellIs" dxfId="36376" priority="109809" stopIfTrue="1" operator="greaterThanOrEqual">
      <formula>0.5</formula>
    </cfRule>
  </conditionalFormatting>
  <conditionalFormatting sqref="R20">
    <cfRule type="cellIs" dxfId="36375" priority="109810" stopIfTrue="1" operator="equal">
      <formula>-1</formula>
    </cfRule>
  </conditionalFormatting>
  <conditionalFormatting sqref="R20">
    <cfRule type="cellIs" dxfId="36374" priority="109811" stopIfTrue="1" operator="lessThan">
      <formula>0.5</formula>
    </cfRule>
  </conditionalFormatting>
  <conditionalFormatting sqref="R20">
    <cfRule type="cellIs" dxfId="36373" priority="109812" stopIfTrue="1" operator="greaterThanOrEqual">
      <formula>0.5</formula>
    </cfRule>
  </conditionalFormatting>
  <conditionalFormatting sqref="R21">
    <cfRule type="cellIs" dxfId="36372" priority="109813" stopIfTrue="1" operator="equal">
      <formula>-1</formula>
    </cfRule>
  </conditionalFormatting>
  <conditionalFormatting sqref="R21">
    <cfRule type="cellIs" dxfId="36371" priority="109814" stopIfTrue="1" operator="lessThan">
      <formula>0.5</formula>
    </cfRule>
  </conditionalFormatting>
  <conditionalFormatting sqref="R21">
    <cfRule type="cellIs" dxfId="36370" priority="109815" stopIfTrue="1" operator="greaterThanOrEqual">
      <formula>0.5</formula>
    </cfRule>
  </conditionalFormatting>
  <conditionalFormatting sqref="R22">
    <cfRule type="cellIs" dxfId="36369" priority="109816" stopIfTrue="1" operator="equal">
      <formula>-1</formula>
    </cfRule>
  </conditionalFormatting>
  <conditionalFormatting sqref="R22">
    <cfRule type="cellIs" dxfId="36368" priority="109817" stopIfTrue="1" operator="lessThan">
      <formula>0.5</formula>
    </cfRule>
  </conditionalFormatting>
  <conditionalFormatting sqref="R22">
    <cfRule type="cellIs" dxfId="36367" priority="109818" stopIfTrue="1" operator="greaterThanOrEqual">
      <formula>0.5</formula>
    </cfRule>
  </conditionalFormatting>
  <conditionalFormatting sqref="R23">
    <cfRule type="cellIs" dxfId="36366" priority="109819" stopIfTrue="1" operator="equal">
      <formula>-1</formula>
    </cfRule>
  </conditionalFormatting>
  <conditionalFormatting sqref="R23">
    <cfRule type="cellIs" dxfId="36365" priority="109820" stopIfTrue="1" operator="lessThan">
      <formula>0.5</formula>
    </cfRule>
  </conditionalFormatting>
  <conditionalFormatting sqref="R23">
    <cfRule type="cellIs" dxfId="36364" priority="109821" stopIfTrue="1" operator="greaterThanOrEqual">
      <formula>0.5</formula>
    </cfRule>
  </conditionalFormatting>
  <conditionalFormatting sqref="R24">
    <cfRule type="cellIs" dxfId="36363" priority="109822" stopIfTrue="1" operator="equal">
      <formula>-1</formula>
    </cfRule>
  </conditionalFormatting>
  <conditionalFormatting sqref="R24">
    <cfRule type="cellIs" dxfId="36362" priority="109823" stopIfTrue="1" operator="lessThan">
      <formula>0.5</formula>
    </cfRule>
  </conditionalFormatting>
  <conditionalFormatting sqref="R24">
    <cfRule type="cellIs" dxfId="36361" priority="109824" stopIfTrue="1" operator="greaterThanOrEqual">
      <formula>0.5</formula>
    </cfRule>
  </conditionalFormatting>
  <conditionalFormatting sqref="R25">
    <cfRule type="cellIs" dxfId="36360" priority="109825" stopIfTrue="1" operator="equal">
      <formula>-1</formula>
    </cfRule>
  </conditionalFormatting>
  <conditionalFormatting sqref="R25">
    <cfRule type="cellIs" dxfId="36359" priority="109826" stopIfTrue="1" operator="lessThan">
      <formula>0.5</formula>
    </cfRule>
  </conditionalFormatting>
  <conditionalFormatting sqref="R25">
    <cfRule type="cellIs" dxfId="36358" priority="109827" stopIfTrue="1" operator="greaterThanOrEqual">
      <formula>0.5</formula>
    </cfRule>
  </conditionalFormatting>
  <conditionalFormatting sqref="R26">
    <cfRule type="cellIs" dxfId="36357" priority="109828" stopIfTrue="1" operator="equal">
      <formula>-1</formula>
    </cfRule>
  </conditionalFormatting>
  <conditionalFormatting sqref="R26">
    <cfRule type="cellIs" dxfId="36356" priority="109829" stopIfTrue="1" operator="lessThan">
      <formula>0.5</formula>
    </cfRule>
  </conditionalFormatting>
  <conditionalFormatting sqref="R26">
    <cfRule type="cellIs" dxfId="36355" priority="109830" stopIfTrue="1" operator="greaterThanOrEqual">
      <formula>0.5</formula>
    </cfRule>
  </conditionalFormatting>
  <conditionalFormatting sqref="R27">
    <cfRule type="cellIs" dxfId="36354" priority="109831" stopIfTrue="1" operator="equal">
      <formula>-1</formula>
    </cfRule>
  </conditionalFormatting>
  <conditionalFormatting sqref="R27">
    <cfRule type="cellIs" dxfId="36353" priority="109832" stopIfTrue="1" operator="lessThan">
      <formula>0.5</formula>
    </cfRule>
  </conditionalFormatting>
  <conditionalFormatting sqref="R27">
    <cfRule type="cellIs" dxfId="36352" priority="109833" stopIfTrue="1" operator="greaterThanOrEqual">
      <formula>0.5</formula>
    </cfRule>
  </conditionalFormatting>
  <conditionalFormatting sqref="R28">
    <cfRule type="cellIs" dxfId="36351" priority="109834" stopIfTrue="1" operator="equal">
      <formula>-1</formula>
    </cfRule>
  </conditionalFormatting>
  <conditionalFormatting sqref="R28">
    <cfRule type="cellIs" dxfId="36350" priority="109835" stopIfTrue="1" operator="lessThan">
      <formula>0.5</formula>
    </cfRule>
  </conditionalFormatting>
  <conditionalFormatting sqref="R28">
    <cfRule type="cellIs" dxfId="36349" priority="109836" stopIfTrue="1" operator="greaterThanOrEqual">
      <formula>0.5</formula>
    </cfRule>
  </conditionalFormatting>
  <conditionalFormatting sqref="R29">
    <cfRule type="cellIs" dxfId="36348" priority="109837" stopIfTrue="1" operator="equal">
      <formula>-1</formula>
    </cfRule>
  </conditionalFormatting>
  <conditionalFormatting sqref="R29">
    <cfRule type="cellIs" dxfId="36347" priority="109838" stopIfTrue="1" operator="lessThan">
      <formula>0.5</formula>
    </cfRule>
  </conditionalFormatting>
  <conditionalFormatting sqref="R29">
    <cfRule type="cellIs" dxfId="36346" priority="109839" stopIfTrue="1" operator="greaterThanOrEqual">
      <formula>0.5</formula>
    </cfRule>
  </conditionalFormatting>
  <conditionalFormatting sqref="R30">
    <cfRule type="cellIs" dxfId="36345" priority="109840" stopIfTrue="1" operator="equal">
      <formula>-1</formula>
    </cfRule>
  </conditionalFormatting>
  <conditionalFormatting sqref="R30">
    <cfRule type="cellIs" dxfId="36344" priority="109841" stopIfTrue="1" operator="lessThan">
      <formula>0.5</formula>
    </cfRule>
  </conditionalFormatting>
  <conditionalFormatting sqref="R30">
    <cfRule type="cellIs" dxfId="36343" priority="109842" stopIfTrue="1" operator="greaterThanOrEqual">
      <formula>0.5</formula>
    </cfRule>
  </conditionalFormatting>
  <conditionalFormatting sqref="R31">
    <cfRule type="cellIs" dxfId="36342" priority="109843" stopIfTrue="1" operator="equal">
      <formula>-1</formula>
    </cfRule>
  </conditionalFormatting>
  <conditionalFormatting sqref="R31">
    <cfRule type="cellIs" dxfId="36341" priority="109844" stopIfTrue="1" operator="lessThan">
      <formula>0.5</formula>
    </cfRule>
  </conditionalFormatting>
  <conditionalFormatting sqref="R31">
    <cfRule type="cellIs" dxfId="36340" priority="109845" stopIfTrue="1" operator="greaterThanOrEqual">
      <formula>0.5</formula>
    </cfRule>
  </conditionalFormatting>
  <conditionalFormatting sqref="R32">
    <cfRule type="cellIs" dxfId="36339" priority="109846" stopIfTrue="1" operator="equal">
      <formula>-1</formula>
    </cfRule>
  </conditionalFormatting>
  <conditionalFormatting sqref="R32">
    <cfRule type="cellIs" dxfId="36338" priority="109847" stopIfTrue="1" operator="lessThan">
      <formula>0.5</formula>
    </cfRule>
  </conditionalFormatting>
  <conditionalFormatting sqref="R32">
    <cfRule type="cellIs" dxfId="36337" priority="109848" stopIfTrue="1" operator="greaterThanOrEqual">
      <formula>0.5</formula>
    </cfRule>
  </conditionalFormatting>
  <conditionalFormatting sqref="R33">
    <cfRule type="cellIs" dxfId="36336" priority="109849" stopIfTrue="1" operator="equal">
      <formula>-1</formula>
    </cfRule>
  </conditionalFormatting>
  <conditionalFormatting sqref="R33">
    <cfRule type="cellIs" dxfId="36335" priority="109850" stopIfTrue="1" operator="lessThan">
      <formula>0.5</formula>
    </cfRule>
  </conditionalFormatting>
  <conditionalFormatting sqref="R33">
    <cfRule type="cellIs" dxfId="36334" priority="109851" stopIfTrue="1" operator="greaterThanOrEqual">
      <formula>0.5</formula>
    </cfRule>
  </conditionalFormatting>
  <conditionalFormatting sqref="R34">
    <cfRule type="cellIs" dxfId="36333" priority="109852" stopIfTrue="1" operator="equal">
      <formula>-1</formula>
    </cfRule>
  </conditionalFormatting>
  <conditionalFormatting sqref="R34">
    <cfRule type="cellIs" dxfId="36332" priority="109853" stopIfTrue="1" operator="lessThan">
      <formula>0.5</formula>
    </cfRule>
  </conditionalFormatting>
  <conditionalFormatting sqref="R34">
    <cfRule type="cellIs" dxfId="36331" priority="109854" stopIfTrue="1" operator="greaterThanOrEqual">
      <formula>0.5</formula>
    </cfRule>
  </conditionalFormatting>
  <conditionalFormatting sqref="R35">
    <cfRule type="cellIs" dxfId="36330" priority="109855" stopIfTrue="1" operator="equal">
      <formula>-1</formula>
    </cfRule>
  </conditionalFormatting>
  <conditionalFormatting sqref="R35">
    <cfRule type="cellIs" dxfId="36329" priority="109856" stopIfTrue="1" operator="lessThan">
      <formula>0.5</formula>
    </cfRule>
  </conditionalFormatting>
  <conditionalFormatting sqref="R35">
    <cfRule type="cellIs" dxfId="36328" priority="109857" stopIfTrue="1" operator="greaterThanOrEqual">
      <formula>0.5</formula>
    </cfRule>
  </conditionalFormatting>
  <conditionalFormatting sqref="R36">
    <cfRule type="cellIs" dxfId="36327" priority="109858" stopIfTrue="1" operator="equal">
      <formula>-1</formula>
    </cfRule>
  </conditionalFormatting>
  <conditionalFormatting sqref="R36">
    <cfRule type="cellIs" dxfId="36326" priority="109859" stopIfTrue="1" operator="lessThan">
      <formula>0.5</formula>
    </cfRule>
  </conditionalFormatting>
  <conditionalFormatting sqref="R36">
    <cfRule type="cellIs" dxfId="36325" priority="109860" stopIfTrue="1" operator="greaterThanOrEqual">
      <formula>0.5</formula>
    </cfRule>
  </conditionalFormatting>
  <conditionalFormatting sqref="R37">
    <cfRule type="cellIs" dxfId="36324" priority="109861" stopIfTrue="1" operator="equal">
      <formula>-1</formula>
    </cfRule>
  </conditionalFormatting>
  <conditionalFormatting sqref="R37">
    <cfRule type="cellIs" dxfId="36323" priority="109862" stopIfTrue="1" operator="lessThan">
      <formula>0.5</formula>
    </cfRule>
  </conditionalFormatting>
  <conditionalFormatting sqref="R37">
    <cfRule type="cellIs" dxfId="36322" priority="109863" stopIfTrue="1" operator="greaterThanOrEqual">
      <formula>0.5</formula>
    </cfRule>
  </conditionalFormatting>
  <conditionalFormatting sqref="T17">
    <cfRule type="cellIs" dxfId="36321" priority="109864" stopIfTrue="1" operator="equal">
      <formula>-1</formula>
    </cfRule>
  </conditionalFormatting>
  <conditionalFormatting sqref="T17">
    <cfRule type="cellIs" dxfId="36320" priority="109865" stopIfTrue="1" operator="lessThan">
      <formula>0.5</formula>
    </cfRule>
  </conditionalFormatting>
  <conditionalFormatting sqref="T17">
    <cfRule type="cellIs" dxfId="36319" priority="109866" stopIfTrue="1" operator="greaterThanOrEqual">
      <formula>0.5</formula>
    </cfRule>
  </conditionalFormatting>
  <conditionalFormatting sqref="T18">
    <cfRule type="cellIs" dxfId="36318" priority="109867" stopIfTrue="1" operator="equal">
      <formula>-1</formula>
    </cfRule>
  </conditionalFormatting>
  <conditionalFormatting sqref="T18">
    <cfRule type="cellIs" dxfId="36317" priority="109868" stopIfTrue="1" operator="lessThan">
      <formula>0.5</formula>
    </cfRule>
  </conditionalFormatting>
  <conditionalFormatting sqref="T18">
    <cfRule type="cellIs" dxfId="36316" priority="109869" stopIfTrue="1" operator="greaterThanOrEqual">
      <formula>0.5</formula>
    </cfRule>
  </conditionalFormatting>
  <conditionalFormatting sqref="T19">
    <cfRule type="cellIs" dxfId="36315" priority="109870" stopIfTrue="1" operator="equal">
      <formula>-1</formula>
    </cfRule>
  </conditionalFormatting>
  <conditionalFormatting sqref="T19">
    <cfRule type="cellIs" dxfId="36314" priority="109871" stopIfTrue="1" operator="lessThan">
      <formula>0.5</formula>
    </cfRule>
  </conditionalFormatting>
  <conditionalFormatting sqref="T19">
    <cfRule type="cellIs" dxfId="36313" priority="109872" stopIfTrue="1" operator="greaterThanOrEqual">
      <formula>0.5</formula>
    </cfRule>
  </conditionalFormatting>
  <conditionalFormatting sqref="T20">
    <cfRule type="cellIs" dxfId="36312" priority="109873" stopIfTrue="1" operator="equal">
      <formula>-1</formula>
    </cfRule>
  </conditionalFormatting>
  <conditionalFormatting sqref="T20">
    <cfRule type="cellIs" dxfId="36311" priority="109874" stopIfTrue="1" operator="lessThan">
      <formula>0.5</formula>
    </cfRule>
  </conditionalFormatting>
  <conditionalFormatting sqref="T20">
    <cfRule type="cellIs" dxfId="36310" priority="109875" stopIfTrue="1" operator="greaterThanOrEqual">
      <formula>0.5</formula>
    </cfRule>
  </conditionalFormatting>
  <conditionalFormatting sqref="T21">
    <cfRule type="cellIs" dxfId="36309" priority="109876" stopIfTrue="1" operator="equal">
      <formula>-1</formula>
    </cfRule>
  </conditionalFormatting>
  <conditionalFormatting sqref="T21">
    <cfRule type="cellIs" dxfId="36308" priority="109877" stopIfTrue="1" operator="lessThan">
      <formula>0.5</formula>
    </cfRule>
  </conditionalFormatting>
  <conditionalFormatting sqref="T21">
    <cfRule type="cellIs" dxfId="36307" priority="109878" stopIfTrue="1" operator="greaterThanOrEqual">
      <formula>0.5</formula>
    </cfRule>
  </conditionalFormatting>
  <conditionalFormatting sqref="T22">
    <cfRule type="cellIs" dxfId="36306" priority="109879" stopIfTrue="1" operator="equal">
      <formula>-1</formula>
    </cfRule>
  </conditionalFormatting>
  <conditionalFormatting sqref="T22">
    <cfRule type="cellIs" dxfId="36305" priority="109880" stopIfTrue="1" operator="lessThan">
      <formula>0.5</formula>
    </cfRule>
  </conditionalFormatting>
  <conditionalFormatting sqref="T22">
    <cfRule type="cellIs" dxfId="36304" priority="109881" stopIfTrue="1" operator="greaterThanOrEqual">
      <formula>0.5</formula>
    </cfRule>
  </conditionalFormatting>
  <conditionalFormatting sqref="T23">
    <cfRule type="cellIs" dxfId="36303" priority="109882" stopIfTrue="1" operator="equal">
      <formula>-1</formula>
    </cfRule>
  </conditionalFormatting>
  <conditionalFormatting sqref="T23">
    <cfRule type="cellIs" dxfId="36302" priority="109883" stopIfTrue="1" operator="lessThan">
      <formula>0.5</formula>
    </cfRule>
  </conditionalFormatting>
  <conditionalFormatting sqref="T23">
    <cfRule type="cellIs" dxfId="36301" priority="109884" stopIfTrue="1" operator="greaterThanOrEqual">
      <formula>0.5</formula>
    </cfRule>
  </conditionalFormatting>
  <conditionalFormatting sqref="T24">
    <cfRule type="cellIs" dxfId="36300" priority="109885" stopIfTrue="1" operator="equal">
      <formula>-1</formula>
    </cfRule>
  </conditionalFormatting>
  <conditionalFormatting sqref="T24">
    <cfRule type="cellIs" dxfId="36299" priority="109886" stopIfTrue="1" operator="lessThan">
      <formula>0.5</formula>
    </cfRule>
  </conditionalFormatting>
  <conditionalFormatting sqref="T24">
    <cfRule type="cellIs" dxfId="36298" priority="109887" stopIfTrue="1" operator="greaterThanOrEqual">
      <formula>0.5</formula>
    </cfRule>
  </conditionalFormatting>
  <conditionalFormatting sqref="T25">
    <cfRule type="cellIs" dxfId="36297" priority="109888" stopIfTrue="1" operator="equal">
      <formula>-1</formula>
    </cfRule>
  </conditionalFormatting>
  <conditionalFormatting sqref="T25">
    <cfRule type="cellIs" dxfId="36296" priority="109889" stopIfTrue="1" operator="lessThan">
      <formula>0.5</formula>
    </cfRule>
  </conditionalFormatting>
  <conditionalFormatting sqref="T25">
    <cfRule type="cellIs" dxfId="36295" priority="109890" stopIfTrue="1" operator="greaterThanOrEqual">
      <formula>0.5</formula>
    </cfRule>
  </conditionalFormatting>
  <conditionalFormatting sqref="T26">
    <cfRule type="cellIs" dxfId="36294" priority="109891" stopIfTrue="1" operator="equal">
      <formula>-1</formula>
    </cfRule>
  </conditionalFormatting>
  <conditionalFormatting sqref="T26">
    <cfRule type="cellIs" dxfId="36293" priority="109892" stopIfTrue="1" operator="lessThan">
      <formula>0.5</formula>
    </cfRule>
  </conditionalFormatting>
  <conditionalFormatting sqref="T26">
    <cfRule type="cellIs" dxfId="36292" priority="109893" stopIfTrue="1" operator="greaterThanOrEqual">
      <formula>0.5</formula>
    </cfRule>
  </conditionalFormatting>
  <conditionalFormatting sqref="T27">
    <cfRule type="cellIs" dxfId="36291" priority="109894" stopIfTrue="1" operator="equal">
      <formula>-1</formula>
    </cfRule>
  </conditionalFormatting>
  <conditionalFormatting sqref="T27">
    <cfRule type="cellIs" dxfId="36290" priority="109895" stopIfTrue="1" operator="lessThan">
      <formula>0.5</formula>
    </cfRule>
  </conditionalFormatting>
  <conditionalFormatting sqref="T27">
    <cfRule type="cellIs" dxfId="36289" priority="109896" stopIfTrue="1" operator="greaterThanOrEqual">
      <formula>0.5</formula>
    </cfRule>
  </conditionalFormatting>
  <conditionalFormatting sqref="T28">
    <cfRule type="cellIs" dxfId="36288" priority="109897" stopIfTrue="1" operator="equal">
      <formula>-1</formula>
    </cfRule>
  </conditionalFormatting>
  <conditionalFormatting sqref="T28">
    <cfRule type="cellIs" dxfId="36287" priority="109898" stopIfTrue="1" operator="lessThan">
      <formula>0.5</formula>
    </cfRule>
  </conditionalFormatting>
  <conditionalFormatting sqref="T28">
    <cfRule type="cellIs" dxfId="36286" priority="109899" stopIfTrue="1" operator="greaterThanOrEqual">
      <formula>0.5</formula>
    </cfRule>
  </conditionalFormatting>
  <conditionalFormatting sqref="T29">
    <cfRule type="cellIs" dxfId="36285" priority="109900" stopIfTrue="1" operator="equal">
      <formula>-1</formula>
    </cfRule>
  </conditionalFormatting>
  <conditionalFormatting sqref="T29">
    <cfRule type="cellIs" dxfId="36284" priority="109901" stopIfTrue="1" operator="lessThan">
      <formula>0.5</formula>
    </cfRule>
  </conditionalFormatting>
  <conditionalFormatting sqref="T29">
    <cfRule type="cellIs" dxfId="36283" priority="109902" stopIfTrue="1" operator="greaterThanOrEqual">
      <formula>0.5</formula>
    </cfRule>
  </conditionalFormatting>
  <conditionalFormatting sqref="T30">
    <cfRule type="cellIs" dxfId="36282" priority="109903" stopIfTrue="1" operator="equal">
      <formula>-1</formula>
    </cfRule>
  </conditionalFormatting>
  <conditionalFormatting sqref="T30">
    <cfRule type="cellIs" dxfId="36281" priority="109904" stopIfTrue="1" operator="lessThan">
      <formula>0.5</formula>
    </cfRule>
  </conditionalFormatting>
  <conditionalFormatting sqref="T30">
    <cfRule type="cellIs" dxfId="36280" priority="109905" stopIfTrue="1" operator="greaterThanOrEqual">
      <formula>0.5</formula>
    </cfRule>
  </conditionalFormatting>
  <conditionalFormatting sqref="T31">
    <cfRule type="cellIs" dxfId="36279" priority="109906" stopIfTrue="1" operator="equal">
      <formula>-1</formula>
    </cfRule>
  </conditionalFormatting>
  <conditionalFormatting sqref="T31">
    <cfRule type="cellIs" dxfId="36278" priority="109907" stopIfTrue="1" operator="lessThan">
      <formula>0.5</formula>
    </cfRule>
  </conditionalFormatting>
  <conditionalFormatting sqref="T31">
    <cfRule type="cellIs" dxfId="36277" priority="109908" stopIfTrue="1" operator="greaterThanOrEqual">
      <formula>0.5</formula>
    </cfRule>
  </conditionalFormatting>
  <conditionalFormatting sqref="T32">
    <cfRule type="cellIs" dxfId="36276" priority="109909" stopIfTrue="1" operator="equal">
      <formula>-1</formula>
    </cfRule>
  </conditionalFormatting>
  <conditionalFormatting sqref="T32">
    <cfRule type="cellIs" dxfId="36275" priority="109910" stopIfTrue="1" operator="lessThan">
      <formula>0.5</formula>
    </cfRule>
  </conditionalFormatting>
  <conditionalFormatting sqref="T32">
    <cfRule type="cellIs" dxfId="36274" priority="109911" stopIfTrue="1" operator="greaterThanOrEqual">
      <formula>0.5</formula>
    </cfRule>
  </conditionalFormatting>
  <conditionalFormatting sqref="T33">
    <cfRule type="cellIs" dxfId="36273" priority="109912" stopIfTrue="1" operator="equal">
      <formula>-1</formula>
    </cfRule>
  </conditionalFormatting>
  <conditionalFormatting sqref="T33">
    <cfRule type="cellIs" dxfId="36272" priority="109913" stopIfTrue="1" operator="lessThan">
      <formula>0.5</formula>
    </cfRule>
  </conditionalFormatting>
  <conditionalFormatting sqref="T33">
    <cfRule type="cellIs" dxfId="36271" priority="109914" stopIfTrue="1" operator="greaterThanOrEqual">
      <formula>0.5</formula>
    </cfRule>
  </conditionalFormatting>
  <conditionalFormatting sqref="T34">
    <cfRule type="cellIs" dxfId="36270" priority="109915" stopIfTrue="1" operator="equal">
      <formula>-1</formula>
    </cfRule>
  </conditionalFormatting>
  <conditionalFormatting sqref="T34">
    <cfRule type="cellIs" dxfId="36269" priority="109916" stopIfTrue="1" operator="lessThan">
      <formula>0.5</formula>
    </cfRule>
  </conditionalFormatting>
  <conditionalFormatting sqref="T34">
    <cfRule type="cellIs" dxfId="36268" priority="109917" stopIfTrue="1" operator="greaterThanOrEqual">
      <formula>0.5</formula>
    </cfRule>
  </conditionalFormatting>
  <conditionalFormatting sqref="T35">
    <cfRule type="cellIs" dxfId="36267" priority="109918" stopIfTrue="1" operator="equal">
      <formula>-1</formula>
    </cfRule>
  </conditionalFormatting>
  <conditionalFormatting sqref="T35">
    <cfRule type="cellIs" dxfId="36266" priority="109919" stopIfTrue="1" operator="lessThan">
      <formula>0.5</formula>
    </cfRule>
  </conditionalFormatting>
  <conditionalFormatting sqref="T35">
    <cfRule type="cellIs" dxfId="36265" priority="109920" stopIfTrue="1" operator="greaterThanOrEqual">
      <formula>0.5</formula>
    </cfRule>
  </conditionalFormatting>
  <conditionalFormatting sqref="T36">
    <cfRule type="cellIs" dxfId="36264" priority="109921" stopIfTrue="1" operator="equal">
      <formula>-1</formula>
    </cfRule>
  </conditionalFormatting>
  <conditionalFormatting sqref="T36">
    <cfRule type="cellIs" dxfId="36263" priority="109922" stopIfTrue="1" operator="lessThan">
      <formula>0.5</formula>
    </cfRule>
  </conditionalFormatting>
  <conditionalFormatting sqref="T36">
    <cfRule type="cellIs" dxfId="36262" priority="109923" stopIfTrue="1" operator="greaterThanOrEqual">
      <formula>0.5</formula>
    </cfRule>
  </conditionalFormatting>
  <conditionalFormatting sqref="T37">
    <cfRule type="cellIs" dxfId="36261" priority="109924" stopIfTrue="1" operator="equal">
      <formula>-1</formula>
    </cfRule>
  </conditionalFormatting>
  <conditionalFormatting sqref="T37">
    <cfRule type="cellIs" dxfId="36260" priority="109925" stopIfTrue="1" operator="lessThan">
      <formula>0.5</formula>
    </cfRule>
  </conditionalFormatting>
  <conditionalFormatting sqref="T37">
    <cfRule type="cellIs" dxfId="36259" priority="109926" stopIfTrue="1" operator="greaterThanOrEqual">
      <formula>0.5</formula>
    </cfRule>
  </conditionalFormatting>
  <conditionalFormatting sqref="V17">
    <cfRule type="cellIs" dxfId="36258" priority="109927" stopIfTrue="1" operator="equal">
      <formula>-1</formula>
    </cfRule>
  </conditionalFormatting>
  <conditionalFormatting sqref="V17">
    <cfRule type="cellIs" dxfId="36257" priority="109928" stopIfTrue="1" operator="lessThan">
      <formula>0.5</formula>
    </cfRule>
  </conditionalFormatting>
  <conditionalFormatting sqref="V17">
    <cfRule type="cellIs" dxfId="36256" priority="109929" stopIfTrue="1" operator="greaterThanOrEqual">
      <formula>0.5</formula>
    </cfRule>
  </conditionalFormatting>
  <conditionalFormatting sqref="V18">
    <cfRule type="cellIs" dxfId="36255" priority="109930" stopIfTrue="1" operator="equal">
      <formula>-1</formula>
    </cfRule>
  </conditionalFormatting>
  <conditionalFormatting sqref="V18">
    <cfRule type="cellIs" dxfId="36254" priority="109931" stopIfTrue="1" operator="lessThan">
      <formula>0.5</formula>
    </cfRule>
  </conditionalFormatting>
  <conditionalFormatting sqref="V18">
    <cfRule type="cellIs" dxfId="36253" priority="109932" stopIfTrue="1" operator="greaterThanOrEqual">
      <formula>0.5</formula>
    </cfRule>
  </conditionalFormatting>
  <conditionalFormatting sqref="V19">
    <cfRule type="cellIs" dxfId="36252" priority="109933" stopIfTrue="1" operator="equal">
      <formula>-1</formula>
    </cfRule>
  </conditionalFormatting>
  <conditionalFormatting sqref="V19">
    <cfRule type="cellIs" dxfId="36251" priority="109934" stopIfTrue="1" operator="lessThan">
      <formula>0.5</formula>
    </cfRule>
  </conditionalFormatting>
  <conditionalFormatting sqref="V19">
    <cfRule type="cellIs" dxfId="36250" priority="109935" stopIfTrue="1" operator="greaterThanOrEqual">
      <formula>0.5</formula>
    </cfRule>
  </conditionalFormatting>
  <conditionalFormatting sqref="V20">
    <cfRule type="cellIs" dxfId="36249" priority="109936" stopIfTrue="1" operator="equal">
      <formula>-1</formula>
    </cfRule>
  </conditionalFormatting>
  <conditionalFormatting sqref="V20">
    <cfRule type="cellIs" dxfId="36248" priority="109937" stopIfTrue="1" operator="lessThan">
      <formula>0.5</formula>
    </cfRule>
  </conditionalFormatting>
  <conditionalFormatting sqref="V20">
    <cfRule type="cellIs" dxfId="36247" priority="109938" stopIfTrue="1" operator="greaterThanOrEqual">
      <formula>0.5</formula>
    </cfRule>
  </conditionalFormatting>
  <conditionalFormatting sqref="V21">
    <cfRule type="cellIs" dxfId="36246" priority="109939" stopIfTrue="1" operator="equal">
      <formula>-1</formula>
    </cfRule>
  </conditionalFormatting>
  <conditionalFormatting sqref="V21">
    <cfRule type="cellIs" dxfId="36245" priority="109940" stopIfTrue="1" operator="lessThan">
      <formula>0.5</formula>
    </cfRule>
  </conditionalFormatting>
  <conditionalFormatting sqref="V21">
    <cfRule type="cellIs" dxfId="36244" priority="109941" stopIfTrue="1" operator="greaterThanOrEqual">
      <formula>0.5</formula>
    </cfRule>
  </conditionalFormatting>
  <conditionalFormatting sqref="V22">
    <cfRule type="cellIs" dxfId="36243" priority="109942" stopIfTrue="1" operator="equal">
      <formula>-1</formula>
    </cfRule>
  </conditionalFormatting>
  <conditionalFormatting sqref="V22">
    <cfRule type="cellIs" dxfId="36242" priority="109943" stopIfTrue="1" operator="lessThan">
      <formula>0.5</formula>
    </cfRule>
  </conditionalFormatting>
  <conditionalFormatting sqref="V22">
    <cfRule type="cellIs" dxfId="36241" priority="109944" stopIfTrue="1" operator="greaterThanOrEqual">
      <formula>0.5</formula>
    </cfRule>
  </conditionalFormatting>
  <conditionalFormatting sqref="V23">
    <cfRule type="cellIs" dxfId="36240" priority="109945" stopIfTrue="1" operator="equal">
      <formula>-1</formula>
    </cfRule>
  </conditionalFormatting>
  <conditionalFormatting sqref="V23">
    <cfRule type="cellIs" dxfId="36239" priority="109946" stopIfTrue="1" operator="lessThan">
      <formula>0.5</formula>
    </cfRule>
  </conditionalFormatting>
  <conditionalFormatting sqref="V23">
    <cfRule type="cellIs" dxfId="36238" priority="109947" stopIfTrue="1" operator="greaterThanOrEqual">
      <formula>0.5</formula>
    </cfRule>
  </conditionalFormatting>
  <conditionalFormatting sqref="V24">
    <cfRule type="cellIs" dxfId="36237" priority="109948" stopIfTrue="1" operator="equal">
      <formula>-1</formula>
    </cfRule>
  </conditionalFormatting>
  <conditionalFormatting sqref="V24">
    <cfRule type="cellIs" dxfId="36236" priority="109949" stopIfTrue="1" operator="lessThan">
      <formula>0.5</formula>
    </cfRule>
  </conditionalFormatting>
  <conditionalFormatting sqref="V24">
    <cfRule type="cellIs" dxfId="36235" priority="109950" stopIfTrue="1" operator="greaterThanOrEqual">
      <formula>0.5</formula>
    </cfRule>
  </conditionalFormatting>
  <conditionalFormatting sqref="V25">
    <cfRule type="cellIs" dxfId="36234" priority="109951" stopIfTrue="1" operator="equal">
      <formula>-1</formula>
    </cfRule>
  </conditionalFormatting>
  <conditionalFormatting sqref="V25">
    <cfRule type="cellIs" dxfId="36233" priority="109952" stopIfTrue="1" operator="lessThan">
      <formula>0.5</formula>
    </cfRule>
  </conditionalFormatting>
  <conditionalFormatting sqref="V25">
    <cfRule type="cellIs" dxfId="36232" priority="109953" stopIfTrue="1" operator="greaterThanOrEqual">
      <formula>0.5</formula>
    </cfRule>
  </conditionalFormatting>
  <conditionalFormatting sqref="V26">
    <cfRule type="cellIs" dxfId="36231" priority="109954" stopIfTrue="1" operator="equal">
      <formula>-1</formula>
    </cfRule>
  </conditionalFormatting>
  <conditionalFormatting sqref="V26">
    <cfRule type="cellIs" dxfId="36230" priority="109955" stopIfTrue="1" operator="lessThan">
      <formula>0.5</formula>
    </cfRule>
  </conditionalFormatting>
  <conditionalFormatting sqref="V26">
    <cfRule type="cellIs" dxfId="36229" priority="109956" stopIfTrue="1" operator="greaterThanOrEqual">
      <formula>0.5</formula>
    </cfRule>
  </conditionalFormatting>
  <conditionalFormatting sqref="V27">
    <cfRule type="cellIs" dxfId="36228" priority="109957" stopIfTrue="1" operator="equal">
      <formula>-1</formula>
    </cfRule>
  </conditionalFormatting>
  <conditionalFormatting sqref="V27">
    <cfRule type="cellIs" dxfId="36227" priority="109958" stopIfTrue="1" operator="lessThan">
      <formula>0.5</formula>
    </cfRule>
  </conditionalFormatting>
  <conditionalFormatting sqref="V27">
    <cfRule type="cellIs" dxfId="36226" priority="109959" stopIfTrue="1" operator="greaterThanOrEqual">
      <formula>0.5</formula>
    </cfRule>
  </conditionalFormatting>
  <conditionalFormatting sqref="V28">
    <cfRule type="cellIs" dxfId="36225" priority="109960" stopIfTrue="1" operator="equal">
      <formula>-1</formula>
    </cfRule>
  </conditionalFormatting>
  <conditionalFormatting sqref="V28">
    <cfRule type="cellIs" dxfId="36224" priority="109961" stopIfTrue="1" operator="lessThan">
      <formula>0.5</formula>
    </cfRule>
  </conditionalFormatting>
  <conditionalFormatting sqref="V28">
    <cfRule type="cellIs" dxfId="36223" priority="109962" stopIfTrue="1" operator="greaterThanOrEqual">
      <formula>0.5</formula>
    </cfRule>
  </conditionalFormatting>
  <conditionalFormatting sqref="V29">
    <cfRule type="cellIs" dxfId="36222" priority="109963" stopIfTrue="1" operator="equal">
      <formula>-1</formula>
    </cfRule>
  </conditionalFormatting>
  <conditionalFormatting sqref="V29">
    <cfRule type="cellIs" dxfId="36221" priority="109964" stopIfTrue="1" operator="lessThan">
      <formula>0.5</formula>
    </cfRule>
  </conditionalFormatting>
  <conditionalFormatting sqref="V29">
    <cfRule type="cellIs" dxfId="36220" priority="109965" stopIfTrue="1" operator="greaterThanOrEqual">
      <formula>0.5</formula>
    </cfRule>
  </conditionalFormatting>
  <conditionalFormatting sqref="V30">
    <cfRule type="cellIs" dxfId="36219" priority="109966" stopIfTrue="1" operator="equal">
      <formula>-1</formula>
    </cfRule>
  </conditionalFormatting>
  <conditionalFormatting sqref="V30">
    <cfRule type="cellIs" dxfId="36218" priority="109967" stopIfTrue="1" operator="lessThan">
      <formula>0.5</formula>
    </cfRule>
  </conditionalFormatting>
  <conditionalFormatting sqref="V30">
    <cfRule type="cellIs" dxfId="36217" priority="109968" stopIfTrue="1" operator="greaterThanOrEqual">
      <formula>0.5</formula>
    </cfRule>
  </conditionalFormatting>
  <conditionalFormatting sqref="V31">
    <cfRule type="cellIs" dxfId="36216" priority="109969" stopIfTrue="1" operator="equal">
      <formula>-1</formula>
    </cfRule>
  </conditionalFormatting>
  <conditionalFormatting sqref="V31">
    <cfRule type="cellIs" dxfId="36215" priority="109970" stopIfTrue="1" operator="lessThan">
      <formula>0.5</formula>
    </cfRule>
  </conditionalFormatting>
  <conditionalFormatting sqref="V31">
    <cfRule type="cellIs" dxfId="36214" priority="109971" stopIfTrue="1" operator="greaterThanOrEqual">
      <formula>0.5</formula>
    </cfRule>
  </conditionalFormatting>
  <conditionalFormatting sqref="V32">
    <cfRule type="cellIs" dxfId="36213" priority="109972" stopIfTrue="1" operator="equal">
      <formula>-1</formula>
    </cfRule>
  </conditionalFormatting>
  <conditionalFormatting sqref="V32">
    <cfRule type="cellIs" dxfId="36212" priority="109973" stopIfTrue="1" operator="lessThan">
      <formula>0.5</formula>
    </cfRule>
  </conditionalFormatting>
  <conditionalFormatting sqref="V32">
    <cfRule type="cellIs" dxfId="36211" priority="109974" stopIfTrue="1" operator="greaterThanOrEqual">
      <formula>0.5</formula>
    </cfRule>
  </conditionalFormatting>
  <conditionalFormatting sqref="V33">
    <cfRule type="cellIs" dxfId="36210" priority="109975" stopIfTrue="1" operator="equal">
      <formula>-1</formula>
    </cfRule>
  </conditionalFormatting>
  <conditionalFormatting sqref="V33">
    <cfRule type="cellIs" dxfId="36209" priority="109976" stopIfTrue="1" operator="lessThan">
      <formula>0.5</formula>
    </cfRule>
  </conditionalFormatting>
  <conditionalFormatting sqref="V33">
    <cfRule type="cellIs" dxfId="36208" priority="109977" stopIfTrue="1" operator="greaterThanOrEqual">
      <formula>0.5</formula>
    </cfRule>
  </conditionalFormatting>
  <conditionalFormatting sqref="V34">
    <cfRule type="cellIs" dxfId="36207" priority="109978" stopIfTrue="1" operator="equal">
      <formula>-1</formula>
    </cfRule>
  </conditionalFormatting>
  <conditionalFormatting sqref="V34">
    <cfRule type="cellIs" dxfId="36206" priority="109979" stopIfTrue="1" operator="lessThan">
      <formula>0.5</formula>
    </cfRule>
  </conditionalFormatting>
  <conditionalFormatting sqref="V34">
    <cfRule type="cellIs" dxfId="36205" priority="109980" stopIfTrue="1" operator="greaterThanOrEqual">
      <formula>0.5</formula>
    </cfRule>
  </conditionalFormatting>
  <conditionalFormatting sqref="V35">
    <cfRule type="cellIs" dxfId="36204" priority="109981" stopIfTrue="1" operator="equal">
      <formula>-1</formula>
    </cfRule>
  </conditionalFormatting>
  <conditionalFormatting sqref="V35">
    <cfRule type="cellIs" dxfId="36203" priority="109982" stopIfTrue="1" operator="lessThan">
      <formula>0.5</formula>
    </cfRule>
  </conditionalFormatting>
  <conditionalFormatting sqref="V35">
    <cfRule type="cellIs" dxfId="36202" priority="109983" stopIfTrue="1" operator="greaterThanOrEqual">
      <formula>0.5</formula>
    </cfRule>
  </conditionalFormatting>
  <conditionalFormatting sqref="V36">
    <cfRule type="cellIs" dxfId="36201" priority="109984" stopIfTrue="1" operator="equal">
      <formula>-1</formula>
    </cfRule>
  </conditionalFormatting>
  <conditionalFormatting sqref="V36">
    <cfRule type="cellIs" dxfId="36200" priority="109985" stopIfTrue="1" operator="lessThan">
      <formula>0.5</formula>
    </cfRule>
  </conditionalFormatting>
  <conditionalFormatting sqref="V36">
    <cfRule type="cellIs" dxfId="36199" priority="109986" stopIfTrue="1" operator="greaterThanOrEqual">
      <formula>0.5</formula>
    </cfRule>
  </conditionalFormatting>
  <conditionalFormatting sqref="V37">
    <cfRule type="cellIs" dxfId="36198" priority="109987" stopIfTrue="1" operator="equal">
      <formula>-1</formula>
    </cfRule>
  </conditionalFormatting>
  <conditionalFormatting sqref="V37">
    <cfRule type="cellIs" dxfId="36197" priority="109988" stopIfTrue="1" operator="lessThan">
      <formula>0.5</formula>
    </cfRule>
  </conditionalFormatting>
  <conditionalFormatting sqref="V37">
    <cfRule type="cellIs" dxfId="36196" priority="109989" stopIfTrue="1" operator="greaterThanOrEqual">
      <formula>0.5</formula>
    </cfRule>
  </conditionalFormatting>
  <conditionalFormatting sqref="X17">
    <cfRule type="cellIs" dxfId="36195" priority="109990" stopIfTrue="1" operator="equal">
      <formula>-1</formula>
    </cfRule>
  </conditionalFormatting>
  <conditionalFormatting sqref="X17">
    <cfRule type="cellIs" dxfId="36194" priority="109991" stopIfTrue="1" operator="lessThan">
      <formula>0.5</formula>
    </cfRule>
  </conditionalFormatting>
  <conditionalFormatting sqref="X17">
    <cfRule type="cellIs" dxfId="36193" priority="109992" stopIfTrue="1" operator="greaterThanOrEqual">
      <formula>0.5</formula>
    </cfRule>
  </conditionalFormatting>
  <conditionalFormatting sqref="X18">
    <cfRule type="cellIs" dxfId="36192" priority="109993" stopIfTrue="1" operator="equal">
      <formula>-1</formula>
    </cfRule>
  </conditionalFormatting>
  <conditionalFormatting sqref="X18">
    <cfRule type="cellIs" dxfId="36191" priority="109994" stopIfTrue="1" operator="lessThan">
      <formula>0.5</formula>
    </cfRule>
  </conditionalFormatting>
  <conditionalFormatting sqref="X18">
    <cfRule type="cellIs" dxfId="36190" priority="109995" stopIfTrue="1" operator="greaterThanOrEqual">
      <formula>0.5</formula>
    </cfRule>
  </conditionalFormatting>
  <conditionalFormatting sqref="X19">
    <cfRule type="cellIs" dxfId="36189" priority="109996" stopIfTrue="1" operator="equal">
      <formula>-1</formula>
    </cfRule>
  </conditionalFormatting>
  <conditionalFormatting sqref="X19">
    <cfRule type="cellIs" dxfId="36188" priority="109997" stopIfTrue="1" operator="lessThan">
      <formula>0.5</formula>
    </cfRule>
  </conditionalFormatting>
  <conditionalFormatting sqref="X19">
    <cfRule type="cellIs" dxfId="36187" priority="109998" stopIfTrue="1" operator="greaterThanOrEqual">
      <formula>0.5</formula>
    </cfRule>
  </conditionalFormatting>
  <conditionalFormatting sqref="X20">
    <cfRule type="cellIs" dxfId="36186" priority="109999" stopIfTrue="1" operator="equal">
      <formula>-1</formula>
    </cfRule>
  </conditionalFormatting>
  <conditionalFormatting sqref="X20">
    <cfRule type="cellIs" dxfId="36185" priority="110000" stopIfTrue="1" operator="lessThan">
      <formula>0.5</formula>
    </cfRule>
  </conditionalFormatting>
  <conditionalFormatting sqref="X20">
    <cfRule type="cellIs" dxfId="36184" priority="110001" stopIfTrue="1" operator="greaterThanOrEqual">
      <formula>0.5</formula>
    </cfRule>
  </conditionalFormatting>
  <conditionalFormatting sqref="X21">
    <cfRule type="cellIs" dxfId="36183" priority="110002" stopIfTrue="1" operator="equal">
      <formula>-1</formula>
    </cfRule>
  </conditionalFormatting>
  <conditionalFormatting sqref="X21">
    <cfRule type="cellIs" dxfId="36182" priority="110003" stopIfTrue="1" operator="lessThan">
      <formula>0.5</formula>
    </cfRule>
  </conditionalFormatting>
  <conditionalFormatting sqref="X21">
    <cfRule type="cellIs" dxfId="36181" priority="110004" stopIfTrue="1" operator="greaterThanOrEqual">
      <formula>0.5</formula>
    </cfRule>
  </conditionalFormatting>
  <conditionalFormatting sqref="X22">
    <cfRule type="cellIs" dxfId="36180" priority="110005" stopIfTrue="1" operator="equal">
      <formula>-1</formula>
    </cfRule>
  </conditionalFormatting>
  <conditionalFormatting sqref="X22">
    <cfRule type="cellIs" dxfId="36179" priority="110006" stopIfTrue="1" operator="lessThan">
      <formula>0.5</formula>
    </cfRule>
  </conditionalFormatting>
  <conditionalFormatting sqref="X22">
    <cfRule type="cellIs" dxfId="36178" priority="110007" stopIfTrue="1" operator="greaterThanOrEqual">
      <formula>0.5</formula>
    </cfRule>
  </conditionalFormatting>
  <conditionalFormatting sqref="X23">
    <cfRule type="cellIs" dxfId="36177" priority="110008" stopIfTrue="1" operator="equal">
      <formula>-1</formula>
    </cfRule>
  </conditionalFormatting>
  <conditionalFormatting sqref="X23">
    <cfRule type="cellIs" dxfId="36176" priority="110009" stopIfTrue="1" operator="lessThan">
      <formula>0.5</formula>
    </cfRule>
  </conditionalFormatting>
  <conditionalFormatting sqref="X23">
    <cfRule type="cellIs" dxfId="36175" priority="110010" stopIfTrue="1" operator="greaterThanOrEqual">
      <formula>0.5</formula>
    </cfRule>
  </conditionalFormatting>
  <conditionalFormatting sqref="X24">
    <cfRule type="cellIs" dxfId="36174" priority="110011" stopIfTrue="1" operator="equal">
      <formula>-1</formula>
    </cfRule>
  </conditionalFormatting>
  <conditionalFormatting sqref="X24">
    <cfRule type="cellIs" dxfId="36173" priority="110012" stopIfTrue="1" operator="lessThan">
      <formula>0.5</formula>
    </cfRule>
  </conditionalFormatting>
  <conditionalFormatting sqref="X24">
    <cfRule type="cellIs" dxfId="36172" priority="110013" stopIfTrue="1" operator="greaterThanOrEqual">
      <formula>0.5</formula>
    </cfRule>
  </conditionalFormatting>
  <conditionalFormatting sqref="X25">
    <cfRule type="cellIs" dxfId="36171" priority="110014" stopIfTrue="1" operator="equal">
      <formula>-1</formula>
    </cfRule>
  </conditionalFormatting>
  <conditionalFormatting sqref="X25">
    <cfRule type="cellIs" dxfId="36170" priority="110015" stopIfTrue="1" operator="lessThan">
      <formula>0.5</formula>
    </cfRule>
  </conditionalFormatting>
  <conditionalFormatting sqref="X25">
    <cfRule type="cellIs" dxfId="36169" priority="110016" stopIfTrue="1" operator="greaterThanOrEqual">
      <formula>0.5</formula>
    </cfRule>
  </conditionalFormatting>
  <conditionalFormatting sqref="X26">
    <cfRule type="cellIs" dxfId="36168" priority="110017" stopIfTrue="1" operator="equal">
      <formula>-1</formula>
    </cfRule>
  </conditionalFormatting>
  <conditionalFormatting sqref="X26">
    <cfRule type="cellIs" dxfId="36167" priority="110018" stopIfTrue="1" operator="lessThan">
      <formula>0.5</formula>
    </cfRule>
  </conditionalFormatting>
  <conditionalFormatting sqref="X26">
    <cfRule type="cellIs" dxfId="36166" priority="110019" stopIfTrue="1" operator="greaterThanOrEqual">
      <formula>0.5</formula>
    </cfRule>
  </conditionalFormatting>
  <conditionalFormatting sqref="X27">
    <cfRule type="cellIs" dxfId="36165" priority="110020" stopIfTrue="1" operator="equal">
      <formula>-1</formula>
    </cfRule>
  </conditionalFormatting>
  <conditionalFormatting sqref="X27">
    <cfRule type="cellIs" dxfId="36164" priority="110021" stopIfTrue="1" operator="lessThan">
      <formula>0.5</formula>
    </cfRule>
  </conditionalFormatting>
  <conditionalFormatting sqref="X27">
    <cfRule type="cellIs" dxfId="36163" priority="110022" stopIfTrue="1" operator="greaterThanOrEqual">
      <formula>0.5</formula>
    </cfRule>
  </conditionalFormatting>
  <conditionalFormatting sqref="X28">
    <cfRule type="cellIs" dxfId="36162" priority="110023" stopIfTrue="1" operator="equal">
      <formula>-1</formula>
    </cfRule>
  </conditionalFormatting>
  <conditionalFormatting sqref="X28">
    <cfRule type="cellIs" dxfId="36161" priority="110024" stopIfTrue="1" operator="lessThan">
      <formula>0.5</formula>
    </cfRule>
  </conditionalFormatting>
  <conditionalFormatting sqref="X28">
    <cfRule type="cellIs" dxfId="36160" priority="110025" stopIfTrue="1" operator="greaterThanOrEqual">
      <formula>0.5</formula>
    </cfRule>
  </conditionalFormatting>
  <conditionalFormatting sqref="X29">
    <cfRule type="cellIs" dxfId="36159" priority="110026" stopIfTrue="1" operator="equal">
      <formula>-1</formula>
    </cfRule>
  </conditionalFormatting>
  <conditionalFormatting sqref="X29">
    <cfRule type="cellIs" dxfId="36158" priority="110027" stopIfTrue="1" operator="lessThan">
      <formula>0.5</formula>
    </cfRule>
  </conditionalFormatting>
  <conditionalFormatting sqref="X29">
    <cfRule type="cellIs" dxfId="36157" priority="110028" stopIfTrue="1" operator="greaterThanOrEqual">
      <formula>0.5</formula>
    </cfRule>
  </conditionalFormatting>
  <conditionalFormatting sqref="X30">
    <cfRule type="cellIs" dxfId="36156" priority="110029" stopIfTrue="1" operator="equal">
      <formula>-1</formula>
    </cfRule>
  </conditionalFormatting>
  <conditionalFormatting sqref="X30">
    <cfRule type="cellIs" dxfId="36155" priority="110030" stopIfTrue="1" operator="lessThan">
      <formula>0.5</formula>
    </cfRule>
  </conditionalFormatting>
  <conditionalFormatting sqref="X30">
    <cfRule type="cellIs" dxfId="36154" priority="110031" stopIfTrue="1" operator="greaterThanOrEqual">
      <formula>0.5</formula>
    </cfRule>
  </conditionalFormatting>
  <conditionalFormatting sqref="X31">
    <cfRule type="cellIs" dxfId="36153" priority="110032" stopIfTrue="1" operator="equal">
      <formula>-1</formula>
    </cfRule>
  </conditionalFormatting>
  <conditionalFormatting sqref="X31">
    <cfRule type="cellIs" dxfId="36152" priority="110033" stopIfTrue="1" operator="lessThan">
      <formula>0.5</formula>
    </cfRule>
  </conditionalFormatting>
  <conditionalFormatting sqref="X31">
    <cfRule type="cellIs" dxfId="36151" priority="110034" stopIfTrue="1" operator="greaterThanOrEqual">
      <formula>0.5</formula>
    </cfRule>
  </conditionalFormatting>
  <conditionalFormatting sqref="X32">
    <cfRule type="cellIs" dxfId="36150" priority="110035" stopIfTrue="1" operator="equal">
      <formula>-1</formula>
    </cfRule>
  </conditionalFormatting>
  <conditionalFormatting sqref="X32">
    <cfRule type="cellIs" dxfId="36149" priority="110036" stopIfTrue="1" operator="lessThan">
      <formula>0.5</formula>
    </cfRule>
  </conditionalFormatting>
  <conditionalFormatting sqref="X32">
    <cfRule type="cellIs" dxfId="36148" priority="110037" stopIfTrue="1" operator="greaterThanOrEqual">
      <formula>0.5</formula>
    </cfRule>
  </conditionalFormatting>
  <conditionalFormatting sqref="X33">
    <cfRule type="cellIs" dxfId="36147" priority="110038" stopIfTrue="1" operator="equal">
      <formula>-1</formula>
    </cfRule>
  </conditionalFormatting>
  <conditionalFormatting sqref="X33">
    <cfRule type="cellIs" dxfId="36146" priority="110039" stopIfTrue="1" operator="lessThan">
      <formula>0.5</formula>
    </cfRule>
  </conditionalFormatting>
  <conditionalFormatting sqref="X33">
    <cfRule type="cellIs" dxfId="36145" priority="110040" stopIfTrue="1" operator="greaterThanOrEqual">
      <formula>0.5</formula>
    </cfRule>
  </conditionalFormatting>
  <conditionalFormatting sqref="X34">
    <cfRule type="cellIs" dxfId="36144" priority="110041" stopIfTrue="1" operator="equal">
      <formula>-1</formula>
    </cfRule>
  </conditionalFormatting>
  <conditionalFormatting sqref="X34">
    <cfRule type="cellIs" dxfId="36143" priority="110042" stopIfTrue="1" operator="lessThan">
      <formula>0.5</formula>
    </cfRule>
  </conditionalFormatting>
  <conditionalFormatting sqref="X34">
    <cfRule type="cellIs" dxfId="36142" priority="110043" stopIfTrue="1" operator="greaterThanOrEqual">
      <formula>0.5</formula>
    </cfRule>
  </conditionalFormatting>
  <conditionalFormatting sqref="X35">
    <cfRule type="cellIs" dxfId="36141" priority="110044" stopIfTrue="1" operator="equal">
      <formula>-1</formula>
    </cfRule>
  </conditionalFormatting>
  <conditionalFormatting sqref="X35">
    <cfRule type="cellIs" dxfId="36140" priority="110045" stopIfTrue="1" operator="lessThan">
      <formula>0.5</formula>
    </cfRule>
  </conditionalFormatting>
  <conditionalFormatting sqref="X35">
    <cfRule type="cellIs" dxfId="36139" priority="110046" stopIfTrue="1" operator="greaterThanOrEqual">
      <formula>0.5</formula>
    </cfRule>
  </conditionalFormatting>
  <conditionalFormatting sqref="X36">
    <cfRule type="cellIs" dxfId="36138" priority="110047" stopIfTrue="1" operator="equal">
      <formula>-1</formula>
    </cfRule>
  </conditionalFormatting>
  <conditionalFormatting sqref="X36">
    <cfRule type="cellIs" dxfId="36137" priority="110048" stopIfTrue="1" operator="lessThan">
      <formula>0.5</formula>
    </cfRule>
  </conditionalFormatting>
  <conditionalFormatting sqref="X36">
    <cfRule type="cellIs" dxfId="36136" priority="110049" stopIfTrue="1" operator="greaterThanOrEqual">
      <formula>0.5</formula>
    </cfRule>
  </conditionalFormatting>
  <conditionalFormatting sqref="X37">
    <cfRule type="cellIs" dxfId="36135" priority="110050" stopIfTrue="1" operator="equal">
      <formula>-1</formula>
    </cfRule>
  </conditionalFormatting>
  <conditionalFormatting sqref="X37">
    <cfRule type="cellIs" dxfId="36134" priority="110051" stopIfTrue="1" operator="lessThan">
      <formula>0.5</formula>
    </cfRule>
  </conditionalFormatting>
  <conditionalFormatting sqref="X37">
    <cfRule type="cellIs" dxfId="36133" priority="110052" stopIfTrue="1" operator="greaterThanOrEqual">
      <formula>0.5</formula>
    </cfRule>
  </conditionalFormatting>
  <conditionalFormatting sqref="Z17">
    <cfRule type="cellIs" dxfId="36132" priority="110053" stopIfTrue="1" operator="equal">
      <formula>-1</formula>
    </cfRule>
  </conditionalFormatting>
  <conditionalFormatting sqref="Z17">
    <cfRule type="cellIs" dxfId="36131" priority="110054" stopIfTrue="1" operator="lessThan">
      <formula>0.5</formula>
    </cfRule>
  </conditionalFormatting>
  <conditionalFormatting sqref="Z17">
    <cfRule type="cellIs" dxfId="36130" priority="110055" stopIfTrue="1" operator="greaterThanOrEqual">
      <formula>0.5</formula>
    </cfRule>
  </conditionalFormatting>
  <conditionalFormatting sqref="Z18">
    <cfRule type="cellIs" dxfId="36129" priority="110056" stopIfTrue="1" operator="equal">
      <formula>-1</formula>
    </cfRule>
  </conditionalFormatting>
  <conditionalFormatting sqref="Z18">
    <cfRule type="cellIs" dxfId="36128" priority="110057" stopIfTrue="1" operator="lessThan">
      <formula>0.5</formula>
    </cfRule>
  </conditionalFormatting>
  <conditionalFormatting sqref="Z18">
    <cfRule type="cellIs" dxfId="36127" priority="110058" stopIfTrue="1" operator="greaterThanOrEqual">
      <formula>0.5</formula>
    </cfRule>
  </conditionalFormatting>
  <conditionalFormatting sqref="Z19">
    <cfRule type="cellIs" dxfId="36126" priority="110059" stopIfTrue="1" operator="equal">
      <formula>-1</formula>
    </cfRule>
  </conditionalFormatting>
  <conditionalFormatting sqref="Z19">
    <cfRule type="cellIs" dxfId="36125" priority="110060" stopIfTrue="1" operator="lessThan">
      <formula>0.5</formula>
    </cfRule>
  </conditionalFormatting>
  <conditionalFormatting sqref="Z19">
    <cfRule type="cellIs" dxfId="36124" priority="110061" stopIfTrue="1" operator="greaterThanOrEqual">
      <formula>0.5</formula>
    </cfRule>
  </conditionalFormatting>
  <conditionalFormatting sqref="Z20">
    <cfRule type="cellIs" dxfId="36123" priority="110062" stopIfTrue="1" operator="equal">
      <formula>-1</formula>
    </cfRule>
  </conditionalFormatting>
  <conditionalFormatting sqref="Z20">
    <cfRule type="cellIs" dxfId="36122" priority="110063" stopIfTrue="1" operator="lessThan">
      <formula>0.5</formula>
    </cfRule>
  </conditionalFormatting>
  <conditionalFormatting sqref="Z20">
    <cfRule type="cellIs" dxfId="36121" priority="110064" stopIfTrue="1" operator="greaterThanOrEqual">
      <formula>0.5</formula>
    </cfRule>
  </conditionalFormatting>
  <conditionalFormatting sqref="Z21">
    <cfRule type="cellIs" dxfId="36120" priority="110065" stopIfTrue="1" operator="equal">
      <formula>-1</formula>
    </cfRule>
  </conditionalFormatting>
  <conditionalFormatting sqref="Z21">
    <cfRule type="cellIs" dxfId="36119" priority="110066" stopIfTrue="1" operator="lessThan">
      <formula>0.5</formula>
    </cfRule>
  </conditionalFormatting>
  <conditionalFormatting sqref="Z21">
    <cfRule type="cellIs" dxfId="36118" priority="110067" stopIfTrue="1" operator="greaterThanOrEqual">
      <formula>0.5</formula>
    </cfRule>
  </conditionalFormatting>
  <conditionalFormatting sqref="Z22">
    <cfRule type="cellIs" dxfId="36117" priority="110068" stopIfTrue="1" operator="equal">
      <formula>-1</formula>
    </cfRule>
  </conditionalFormatting>
  <conditionalFormatting sqref="Z22">
    <cfRule type="cellIs" dxfId="36116" priority="110069" stopIfTrue="1" operator="lessThan">
      <formula>0.5</formula>
    </cfRule>
  </conditionalFormatting>
  <conditionalFormatting sqref="Z22">
    <cfRule type="cellIs" dxfId="36115" priority="110070" stopIfTrue="1" operator="greaterThanOrEqual">
      <formula>0.5</formula>
    </cfRule>
  </conditionalFormatting>
  <conditionalFormatting sqref="Z23">
    <cfRule type="cellIs" dxfId="36114" priority="110071" stopIfTrue="1" operator="equal">
      <formula>-1</formula>
    </cfRule>
  </conditionalFormatting>
  <conditionalFormatting sqref="Z23">
    <cfRule type="cellIs" dxfId="36113" priority="110072" stopIfTrue="1" operator="lessThan">
      <formula>0.5</formula>
    </cfRule>
  </conditionalFormatting>
  <conditionalFormatting sqref="Z23">
    <cfRule type="cellIs" dxfId="36112" priority="110073" stopIfTrue="1" operator="greaterThanOrEqual">
      <formula>0.5</formula>
    </cfRule>
  </conditionalFormatting>
  <conditionalFormatting sqref="Z24">
    <cfRule type="cellIs" dxfId="36111" priority="110074" stopIfTrue="1" operator="equal">
      <formula>-1</formula>
    </cfRule>
  </conditionalFormatting>
  <conditionalFormatting sqref="Z24">
    <cfRule type="cellIs" dxfId="36110" priority="110075" stopIfTrue="1" operator="lessThan">
      <formula>0.5</formula>
    </cfRule>
  </conditionalFormatting>
  <conditionalFormatting sqref="Z24">
    <cfRule type="cellIs" dxfId="36109" priority="110076" stopIfTrue="1" operator="greaterThanOrEqual">
      <formula>0.5</formula>
    </cfRule>
  </conditionalFormatting>
  <conditionalFormatting sqref="Z25">
    <cfRule type="cellIs" dxfId="36108" priority="110077" stopIfTrue="1" operator="equal">
      <formula>-1</formula>
    </cfRule>
  </conditionalFormatting>
  <conditionalFormatting sqref="Z25">
    <cfRule type="cellIs" dxfId="36107" priority="110078" stopIfTrue="1" operator="lessThan">
      <formula>0.5</formula>
    </cfRule>
  </conditionalFormatting>
  <conditionalFormatting sqref="Z25">
    <cfRule type="cellIs" dxfId="36106" priority="110079" stopIfTrue="1" operator="greaterThanOrEqual">
      <formula>0.5</formula>
    </cfRule>
  </conditionalFormatting>
  <conditionalFormatting sqref="Z26">
    <cfRule type="cellIs" dxfId="36105" priority="110080" stopIfTrue="1" operator="equal">
      <formula>-1</formula>
    </cfRule>
  </conditionalFormatting>
  <conditionalFormatting sqref="Z26">
    <cfRule type="cellIs" dxfId="36104" priority="110081" stopIfTrue="1" operator="lessThan">
      <formula>0.5</formula>
    </cfRule>
  </conditionalFormatting>
  <conditionalFormatting sqref="Z26">
    <cfRule type="cellIs" dxfId="36103" priority="110082" stopIfTrue="1" operator="greaterThanOrEqual">
      <formula>0.5</formula>
    </cfRule>
  </conditionalFormatting>
  <conditionalFormatting sqref="Z27">
    <cfRule type="cellIs" dxfId="36102" priority="110083" stopIfTrue="1" operator="equal">
      <formula>-1</formula>
    </cfRule>
  </conditionalFormatting>
  <conditionalFormatting sqref="Z27">
    <cfRule type="cellIs" dxfId="36101" priority="110084" stopIfTrue="1" operator="lessThan">
      <formula>0.5</formula>
    </cfRule>
  </conditionalFormatting>
  <conditionalFormatting sqref="Z27">
    <cfRule type="cellIs" dxfId="36100" priority="110085" stopIfTrue="1" operator="greaterThanOrEqual">
      <formula>0.5</formula>
    </cfRule>
  </conditionalFormatting>
  <conditionalFormatting sqref="Z28">
    <cfRule type="cellIs" dxfId="36099" priority="110086" stopIfTrue="1" operator="equal">
      <formula>-1</formula>
    </cfRule>
  </conditionalFormatting>
  <conditionalFormatting sqref="Z28">
    <cfRule type="cellIs" dxfId="36098" priority="110087" stopIfTrue="1" operator="lessThan">
      <formula>0.5</formula>
    </cfRule>
  </conditionalFormatting>
  <conditionalFormatting sqref="Z28">
    <cfRule type="cellIs" dxfId="36097" priority="110088" stopIfTrue="1" operator="greaterThanOrEqual">
      <formula>0.5</formula>
    </cfRule>
  </conditionalFormatting>
  <conditionalFormatting sqref="Z29">
    <cfRule type="cellIs" dxfId="36096" priority="110089" stopIfTrue="1" operator="equal">
      <formula>-1</formula>
    </cfRule>
  </conditionalFormatting>
  <conditionalFormatting sqref="Z29">
    <cfRule type="cellIs" dxfId="36095" priority="110090" stopIfTrue="1" operator="lessThan">
      <formula>0.5</formula>
    </cfRule>
  </conditionalFormatting>
  <conditionalFormatting sqref="Z29">
    <cfRule type="cellIs" dxfId="36094" priority="110091" stopIfTrue="1" operator="greaterThanOrEqual">
      <formula>0.5</formula>
    </cfRule>
  </conditionalFormatting>
  <conditionalFormatting sqref="Z30">
    <cfRule type="cellIs" dxfId="36093" priority="110092" stopIfTrue="1" operator="equal">
      <formula>-1</formula>
    </cfRule>
  </conditionalFormatting>
  <conditionalFormatting sqref="Z30">
    <cfRule type="cellIs" dxfId="36092" priority="110093" stopIfTrue="1" operator="lessThan">
      <formula>0.5</formula>
    </cfRule>
  </conditionalFormatting>
  <conditionalFormatting sqref="Z30">
    <cfRule type="cellIs" dxfId="36091" priority="110094" stopIfTrue="1" operator="greaterThanOrEqual">
      <formula>0.5</formula>
    </cfRule>
  </conditionalFormatting>
  <conditionalFormatting sqref="Z31">
    <cfRule type="cellIs" dxfId="36090" priority="110095" stopIfTrue="1" operator="equal">
      <formula>-1</formula>
    </cfRule>
  </conditionalFormatting>
  <conditionalFormatting sqref="Z31">
    <cfRule type="cellIs" dxfId="36089" priority="110096" stopIfTrue="1" operator="lessThan">
      <formula>0.5</formula>
    </cfRule>
  </conditionalFormatting>
  <conditionalFormatting sqref="Z31">
    <cfRule type="cellIs" dxfId="36088" priority="110097" stopIfTrue="1" operator="greaterThanOrEqual">
      <formula>0.5</formula>
    </cfRule>
  </conditionalFormatting>
  <conditionalFormatting sqref="Z32">
    <cfRule type="cellIs" dxfId="36087" priority="110098" stopIfTrue="1" operator="equal">
      <formula>-1</formula>
    </cfRule>
  </conditionalFormatting>
  <conditionalFormatting sqref="Z32">
    <cfRule type="cellIs" dxfId="36086" priority="110099" stopIfTrue="1" operator="lessThan">
      <formula>0.5</formula>
    </cfRule>
  </conditionalFormatting>
  <conditionalFormatting sqref="Z32">
    <cfRule type="cellIs" dxfId="36085" priority="110100" stopIfTrue="1" operator="greaterThanOrEqual">
      <formula>0.5</formula>
    </cfRule>
  </conditionalFormatting>
  <conditionalFormatting sqref="Z33">
    <cfRule type="cellIs" dxfId="36084" priority="110101" stopIfTrue="1" operator="equal">
      <formula>-1</formula>
    </cfRule>
  </conditionalFormatting>
  <conditionalFormatting sqref="Z33">
    <cfRule type="cellIs" dxfId="36083" priority="110102" stopIfTrue="1" operator="lessThan">
      <formula>0.5</formula>
    </cfRule>
  </conditionalFormatting>
  <conditionalFormatting sqref="Z33">
    <cfRule type="cellIs" dxfId="36082" priority="110103" stopIfTrue="1" operator="greaterThanOrEqual">
      <formula>0.5</formula>
    </cfRule>
  </conditionalFormatting>
  <conditionalFormatting sqref="Z34">
    <cfRule type="cellIs" dxfId="36081" priority="110104" stopIfTrue="1" operator="equal">
      <formula>-1</formula>
    </cfRule>
  </conditionalFormatting>
  <conditionalFormatting sqref="Z34">
    <cfRule type="cellIs" dxfId="36080" priority="110105" stopIfTrue="1" operator="lessThan">
      <formula>0.5</formula>
    </cfRule>
  </conditionalFormatting>
  <conditionalFormatting sqref="Z34">
    <cfRule type="cellIs" dxfId="36079" priority="110106" stopIfTrue="1" operator="greaterThanOrEqual">
      <formula>0.5</formula>
    </cfRule>
  </conditionalFormatting>
  <conditionalFormatting sqref="Z35">
    <cfRule type="cellIs" dxfId="36078" priority="110107" stopIfTrue="1" operator="equal">
      <formula>-1</formula>
    </cfRule>
  </conditionalFormatting>
  <conditionalFormatting sqref="Z35">
    <cfRule type="cellIs" dxfId="36077" priority="110108" stopIfTrue="1" operator="lessThan">
      <formula>0.5</formula>
    </cfRule>
  </conditionalFormatting>
  <conditionalFormatting sqref="Z35">
    <cfRule type="cellIs" dxfId="36076" priority="110109" stopIfTrue="1" operator="greaterThanOrEqual">
      <formula>0.5</formula>
    </cfRule>
  </conditionalFormatting>
  <conditionalFormatting sqref="Z36">
    <cfRule type="cellIs" dxfId="36075" priority="110110" stopIfTrue="1" operator="equal">
      <formula>-1</formula>
    </cfRule>
  </conditionalFormatting>
  <conditionalFormatting sqref="Z36">
    <cfRule type="cellIs" dxfId="36074" priority="110111" stopIfTrue="1" operator="lessThan">
      <formula>0.5</formula>
    </cfRule>
  </conditionalFormatting>
  <conditionalFormatting sqref="Z36">
    <cfRule type="cellIs" dxfId="36073" priority="110112" stopIfTrue="1" operator="greaterThanOrEqual">
      <formula>0.5</formula>
    </cfRule>
  </conditionalFormatting>
  <conditionalFormatting sqref="Z37">
    <cfRule type="cellIs" dxfId="36072" priority="110113" stopIfTrue="1" operator="equal">
      <formula>-1</formula>
    </cfRule>
  </conditionalFormatting>
  <conditionalFormatting sqref="Z37">
    <cfRule type="cellIs" dxfId="36071" priority="110114" stopIfTrue="1" operator="lessThan">
      <formula>0.5</formula>
    </cfRule>
  </conditionalFormatting>
  <conditionalFormatting sqref="Z37">
    <cfRule type="cellIs" dxfId="36070" priority="110115" stopIfTrue="1" operator="greaterThanOrEqual">
      <formula>0.5</formula>
    </cfRule>
  </conditionalFormatting>
  <conditionalFormatting sqref="AB17">
    <cfRule type="cellIs" dxfId="36069" priority="110116" stopIfTrue="1" operator="equal">
      <formula>-1</formula>
    </cfRule>
  </conditionalFormatting>
  <conditionalFormatting sqref="AB17">
    <cfRule type="cellIs" dxfId="36068" priority="110117" stopIfTrue="1" operator="lessThan">
      <formula>0.5</formula>
    </cfRule>
  </conditionalFormatting>
  <conditionalFormatting sqref="AB17">
    <cfRule type="cellIs" dxfId="36067" priority="110118" stopIfTrue="1" operator="greaterThanOrEqual">
      <formula>0.5</formula>
    </cfRule>
  </conditionalFormatting>
  <conditionalFormatting sqref="AB18">
    <cfRule type="cellIs" dxfId="36066" priority="110119" stopIfTrue="1" operator="equal">
      <formula>-1</formula>
    </cfRule>
  </conditionalFormatting>
  <conditionalFormatting sqref="AB18">
    <cfRule type="cellIs" dxfId="36065" priority="110120" stopIfTrue="1" operator="lessThan">
      <formula>0.5</formula>
    </cfRule>
  </conditionalFormatting>
  <conditionalFormatting sqref="AB18">
    <cfRule type="cellIs" dxfId="36064" priority="110121" stopIfTrue="1" operator="greaterThanOrEqual">
      <formula>0.5</formula>
    </cfRule>
  </conditionalFormatting>
  <conditionalFormatting sqref="AB19">
    <cfRule type="cellIs" dxfId="36063" priority="110122" stopIfTrue="1" operator="equal">
      <formula>-1</formula>
    </cfRule>
  </conditionalFormatting>
  <conditionalFormatting sqref="AB19">
    <cfRule type="cellIs" dxfId="36062" priority="110123" stopIfTrue="1" operator="lessThan">
      <formula>0.5</formula>
    </cfRule>
  </conditionalFormatting>
  <conditionalFormatting sqref="AB19">
    <cfRule type="cellIs" dxfId="36061" priority="110124" stopIfTrue="1" operator="greaterThanOrEqual">
      <formula>0.5</formula>
    </cfRule>
  </conditionalFormatting>
  <conditionalFormatting sqref="AB20">
    <cfRule type="cellIs" dxfId="36060" priority="110125" stopIfTrue="1" operator="equal">
      <formula>-1</formula>
    </cfRule>
  </conditionalFormatting>
  <conditionalFormatting sqref="AB20">
    <cfRule type="cellIs" dxfId="36059" priority="110126" stopIfTrue="1" operator="lessThan">
      <formula>0.5</formula>
    </cfRule>
  </conditionalFormatting>
  <conditionalFormatting sqref="AB20">
    <cfRule type="cellIs" dxfId="36058" priority="110127" stopIfTrue="1" operator="greaterThanOrEqual">
      <formula>0.5</formula>
    </cfRule>
  </conditionalFormatting>
  <conditionalFormatting sqref="AB21">
    <cfRule type="cellIs" dxfId="36057" priority="110128" stopIfTrue="1" operator="equal">
      <formula>-1</formula>
    </cfRule>
  </conditionalFormatting>
  <conditionalFormatting sqref="AB21">
    <cfRule type="cellIs" dxfId="36056" priority="110129" stopIfTrue="1" operator="lessThan">
      <formula>0.5</formula>
    </cfRule>
  </conditionalFormatting>
  <conditionalFormatting sqref="AB21">
    <cfRule type="cellIs" dxfId="36055" priority="110130" stopIfTrue="1" operator="greaterThanOrEqual">
      <formula>0.5</formula>
    </cfRule>
  </conditionalFormatting>
  <conditionalFormatting sqref="AB22">
    <cfRule type="cellIs" dxfId="36054" priority="110131" stopIfTrue="1" operator="equal">
      <formula>-1</formula>
    </cfRule>
  </conditionalFormatting>
  <conditionalFormatting sqref="AB22">
    <cfRule type="cellIs" dxfId="36053" priority="110132" stopIfTrue="1" operator="lessThan">
      <formula>0.5</formula>
    </cfRule>
  </conditionalFormatting>
  <conditionalFormatting sqref="AB22">
    <cfRule type="cellIs" dxfId="36052" priority="110133" stopIfTrue="1" operator="greaterThanOrEqual">
      <formula>0.5</formula>
    </cfRule>
  </conditionalFormatting>
  <conditionalFormatting sqref="AB23">
    <cfRule type="cellIs" dxfId="36051" priority="110134" stopIfTrue="1" operator="equal">
      <formula>-1</formula>
    </cfRule>
  </conditionalFormatting>
  <conditionalFormatting sqref="AB23">
    <cfRule type="cellIs" dxfId="36050" priority="110135" stopIfTrue="1" operator="lessThan">
      <formula>0.5</formula>
    </cfRule>
  </conditionalFormatting>
  <conditionalFormatting sqref="AB23">
    <cfRule type="cellIs" dxfId="36049" priority="110136" stopIfTrue="1" operator="greaterThanOrEqual">
      <formula>0.5</formula>
    </cfRule>
  </conditionalFormatting>
  <conditionalFormatting sqref="AB24">
    <cfRule type="cellIs" dxfId="36048" priority="110137" stopIfTrue="1" operator="equal">
      <formula>-1</formula>
    </cfRule>
  </conditionalFormatting>
  <conditionalFormatting sqref="AB24">
    <cfRule type="cellIs" dxfId="36047" priority="110138" stopIfTrue="1" operator="lessThan">
      <formula>0.5</formula>
    </cfRule>
  </conditionalFormatting>
  <conditionalFormatting sqref="AB24">
    <cfRule type="cellIs" dxfId="36046" priority="110139" stopIfTrue="1" operator="greaterThanOrEqual">
      <formula>0.5</formula>
    </cfRule>
  </conditionalFormatting>
  <conditionalFormatting sqref="AB25">
    <cfRule type="cellIs" dxfId="36045" priority="110140" stopIfTrue="1" operator="equal">
      <formula>-1</formula>
    </cfRule>
  </conditionalFormatting>
  <conditionalFormatting sqref="AB25">
    <cfRule type="cellIs" dxfId="36044" priority="110141" stopIfTrue="1" operator="lessThan">
      <formula>0.5</formula>
    </cfRule>
  </conditionalFormatting>
  <conditionalFormatting sqref="AB25">
    <cfRule type="cellIs" dxfId="36043" priority="110142" stopIfTrue="1" operator="greaterThanOrEqual">
      <formula>0.5</formula>
    </cfRule>
  </conditionalFormatting>
  <conditionalFormatting sqref="AB26">
    <cfRule type="cellIs" dxfId="36042" priority="110143" stopIfTrue="1" operator="equal">
      <formula>-1</formula>
    </cfRule>
  </conditionalFormatting>
  <conditionalFormatting sqref="AB26">
    <cfRule type="cellIs" dxfId="36041" priority="110144" stopIfTrue="1" operator="lessThan">
      <formula>0.5</formula>
    </cfRule>
  </conditionalFormatting>
  <conditionalFormatting sqref="AB26">
    <cfRule type="cellIs" dxfId="36040" priority="110145" stopIfTrue="1" operator="greaterThanOrEqual">
      <formula>0.5</formula>
    </cfRule>
  </conditionalFormatting>
  <conditionalFormatting sqref="AB27">
    <cfRule type="cellIs" dxfId="36039" priority="110146" stopIfTrue="1" operator="equal">
      <formula>-1</formula>
    </cfRule>
  </conditionalFormatting>
  <conditionalFormatting sqref="AB27">
    <cfRule type="cellIs" dxfId="36038" priority="110147" stopIfTrue="1" operator="lessThan">
      <formula>0.5</formula>
    </cfRule>
  </conditionalFormatting>
  <conditionalFormatting sqref="AB27">
    <cfRule type="cellIs" dxfId="36037" priority="110148" stopIfTrue="1" operator="greaterThanOrEqual">
      <formula>0.5</formula>
    </cfRule>
  </conditionalFormatting>
  <conditionalFormatting sqref="AB28">
    <cfRule type="cellIs" dxfId="36036" priority="110149" stopIfTrue="1" operator="equal">
      <formula>-1</formula>
    </cfRule>
  </conditionalFormatting>
  <conditionalFormatting sqref="AB28">
    <cfRule type="cellIs" dxfId="36035" priority="110150" stopIfTrue="1" operator="lessThan">
      <formula>0.5</formula>
    </cfRule>
  </conditionalFormatting>
  <conditionalFormatting sqref="AB28">
    <cfRule type="cellIs" dxfId="36034" priority="110151" stopIfTrue="1" operator="greaterThanOrEqual">
      <formula>0.5</formula>
    </cfRule>
  </conditionalFormatting>
  <conditionalFormatting sqref="AB29">
    <cfRule type="cellIs" dxfId="36033" priority="110152" stopIfTrue="1" operator="equal">
      <formula>-1</formula>
    </cfRule>
  </conditionalFormatting>
  <conditionalFormatting sqref="AB29">
    <cfRule type="cellIs" dxfId="36032" priority="110153" stopIfTrue="1" operator="lessThan">
      <formula>0.5</formula>
    </cfRule>
  </conditionalFormatting>
  <conditionalFormatting sqref="AB29">
    <cfRule type="cellIs" dxfId="36031" priority="110154" stopIfTrue="1" operator="greaterThanOrEqual">
      <formula>0.5</formula>
    </cfRule>
  </conditionalFormatting>
  <conditionalFormatting sqref="AB30">
    <cfRule type="cellIs" dxfId="36030" priority="110155" stopIfTrue="1" operator="equal">
      <formula>-1</formula>
    </cfRule>
  </conditionalFormatting>
  <conditionalFormatting sqref="AB30">
    <cfRule type="cellIs" dxfId="36029" priority="110156" stopIfTrue="1" operator="lessThan">
      <formula>0.5</formula>
    </cfRule>
  </conditionalFormatting>
  <conditionalFormatting sqref="AB30">
    <cfRule type="cellIs" dxfId="36028" priority="110157" stopIfTrue="1" operator="greaterThanOrEqual">
      <formula>0.5</formula>
    </cfRule>
  </conditionalFormatting>
  <conditionalFormatting sqref="AB31">
    <cfRule type="cellIs" dxfId="36027" priority="110158" stopIfTrue="1" operator="equal">
      <formula>-1</formula>
    </cfRule>
  </conditionalFormatting>
  <conditionalFormatting sqref="AB31">
    <cfRule type="cellIs" dxfId="36026" priority="110159" stopIfTrue="1" operator="lessThan">
      <formula>0.5</formula>
    </cfRule>
  </conditionalFormatting>
  <conditionalFormatting sqref="AB31">
    <cfRule type="cellIs" dxfId="36025" priority="110160" stopIfTrue="1" operator="greaterThanOrEqual">
      <formula>0.5</formula>
    </cfRule>
  </conditionalFormatting>
  <conditionalFormatting sqref="AB32">
    <cfRule type="cellIs" dxfId="36024" priority="110161" stopIfTrue="1" operator="equal">
      <formula>-1</formula>
    </cfRule>
  </conditionalFormatting>
  <conditionalFormatting sqref="AB32">
    <cfRule type="cellIs" dxfId="36023" priority="110162" stopIfTrue="1" operator="lessThan">
      <formula>0.5</formula>
    </cfRule>
  </conditionalFormatting>
  <conditionalFormatting sqref="AB32">
    <cfRule type="cellIs" dxfId="36022" priority="110163" stopIfTrue="1" operator="greaterThanOrEqual">
      <formula>0.5</formula>
    </cfRule>
  </conditionalFormatting>
  <conditionalFormatting sqref="AB33">
    <cfRule type="cellIs" dxfId="36021" priority="110164" stopIfTrue="1" operator="equal">
      <formula>-1</formula>
    </cfRule>
  </conditionalFormatting>
  <conditionalFormatting sqref="AB33">
    <cfRule type="cellIs" dxfId="36020" priority="110165" stopIfTrue="1" operator="lessThan">
      <formula>0.5</formula>
    </cfRule>
  </conditionalFormatting>
  <conditionalFormatting sqref="AB33">
    <cfRule type="cellIs" dxfId="36019" priority="110166" stopIfTrue="1" operator="greaterThanOrEqual">
      <formula>0.5</formula>
    </cfRule>
  </conditionalFormatting>
  <conditionalFormatting sqref="AB34">
    <cfRule type="cellIs" dxfId="36018" priority="110167" stopIfTrue="1" operator="equal">
      <formula>-1</formula>
    </cfRule>
  </conditionalFormatting>
  <conditionalFormatting sqref="AB34">
    <cfRule type="cellIs" dxfId="36017" priority="110168" stopIfTrue="1" operator="lessThan">
      <formula>0.5</formula>
    </cfRule>
  </conditionalFormatting>
  <conditionalFormatting sqref="AB34">
    <cfRule type="cellIs" dxfId="36016" priority="110169" stopIfTrue="1" operator="greaterThanOrEqual">
      <formula>0.5</formula>
    </cfRule>
  </conditionalFormatting>
  <conditionalFormatting sqref="AB35">
    <cfRule type="cellIs" dxfId="36015" priority="110170" stopIfTrue="1" operator="equal">
      <formula>-1</formula>
    </cfRule>
  </conditionalFormatting>
  <conditionalFormatting sqref="AB35">
    <cfRule type="cellIs" dxfId="36014" priority="110171" stopIfTrue="1" operator="lessThan">
      <formula>0.5</formula>
    </cfRule>
  </conditionalFormatting>
  <conditionalFormatting sqref="AB35">
    <cfRule type="cellIs" dxfId="36013" priority="110172" stopIfTrue="1" operator="greaterThanOrEqual">
      <formula>0.5</formula>
    </cfRule>
  </conditionalFormatting>
  <conditionalFormatting sqref="AB36">
    <cfRule type="cellIs" dxfId="36012" priority="110173" stopIfTrue="1" operator="equal">
      <formula>-1</formula>
    </cfRule>
  </conditionalFormatting>
  <conditionalFormatting sqref="AB36">
    <cfRule type="cellIs" dxfId="36011" priority="110174" stopIfTrue="1" operator="lessThan">
      <formula>0.5</formula>
    </cfRule>
  </conditionalFormatting>
  <conditionalFormatting sqref="AB36">
    <cfRule type="cellIs" dxfId="36010" priority="110175" stopIfTrue="1" operator="greaterThanOrEqual">
      <formula>0.5</formula>
    </cfRule>
  </conditionalFormatting>
  <conditionalFormatting sqref="AB37">
    <cfRule type="cellIs" dxfId="36009" priority="110176" stopIfTrue="1" operator="equal">
      <formula>-1</formula>
    </cfRule>
  </conditionalFormatting>
  <conditionalFormatting sqref="AB37">
    <cfRule type="cellIs" dxfId="36008" priority="110177" stopIfTrue="1" operator="lessThan">
      <formula>0.5</formula>
    </cfRule>
  </conditionalFormatting>
  <conditionalFormatting sqref="AB37">
    <cfRule type="cellIs" dxfId="36007" priority="110178" stopIfTrue="1" operator="greaterThanOrEqual">
      <formula>0.5</formula>
    </cfRule>
  </conditionalFormatting>
  <conditionalFormatting sqref="AD17">
    <cfRule type="cellIs" dxfId="36006" priority="110179" stopIfTrue="1" operator="equal">
      <formula>-1</formula>
    </cfRule>
  </conditionalFormatting>
  <conditionalFormatting sqref="AD17">
    <cfRule type="cellIs" dxfId="36005" priority="110180" stopIfTrue="1" operator="lessThan">
      <formula>0.5</formula>
    </cfRule>
  </conditionalFormatting>
  <conditionalFormatting sqref="AD17">
    <cfRule type="cellIs" dxfId="36004" priority="110181" stopIfTrue="1" operator="greaterThanOrEqual">
      <formula>0.5</formula>
    </cfRule>
  </conditionalFormatting>
  <conditionalFormatting sqref="AD18">
    <cfRule type="cellIs" dxfId="36003" priority="110182" stopIfTrue="1" operator="equal">
      <formula>-1</formula>
    </cfRule>
  </conditionalFormatting>
  <conditionalFormatting sqref="AD18">
    <cfRule type="cellIs" dxfId="36002" priority="110183" stopIfTrue="1" operator="lessThan">
      <formula>0.5</formula>
    </cfRule>
  </conditionalFormatting>
  <conditionalFormatting sqref="AD18">
    <cfRule type="cellIs" dxfId="36001" priority="110184" stopIfTrue="1" operator="greaterThanOrEqual">
      <formula>0.5</formula>
    </cfRule>
  </conditionalFormatting>
  <conditionalFormatting sqref="AD19">
    <cfRule type="cellIs" dxfId="36000" priority="110185" stopIfTrue="1" operator="equal">
      <formula>-1</formula>
    </cfRule>
  </conditionalFormatting>
  <conditionalFormatting sqref="AD19">
    <cfRule type="cellIs" dxfId="35999" priority="110186" stopIfTrue="1" operator="lessThan">
      <formula>0.5</formula>
    </cfRule>
  </conditionalFormatting>
  <conditionalFormatting sqref="AD19">
    <cfRule type="cellIs" dxfId="35998" priority="110187" stopIfTrue="1" operator="greaterThanOrEqual">
      <formula>0.5</formula>
    </cfRule>
  </conditionalFormatting>
  <conditionalFormatting sqref="AD20">
    <cfRule type="cellIs" dxfId="35997" priority="110188" stopIfTrue="1" operator="equal">
      <formula>-1</formula>
    </cfRule>
  </conditionalFormatting>
  <conditionalFormatting sqref="AD20">
    <cfRule type="cellIs" dxfId="35996" priority="110189" stopIfTrue="1" operator="lessThan">
      <formula>0.5</formula>
    </cfRule>
  </conditionalFormatting>
  <conditionalFormatting sqref="AD20">
    <cfRule type="cellIs" dxfId="35995" priority="110190" stopIfTrue="1" operator="greaterThanOrEqual">
      <formula>0.5</formula>
    </cfRule>
  </conditionalFormatting>
  <conditionalFormatting sqref="AD21">
    <cfRule type="cellIs" dxfId="35994" priority="110191" stopIfTrue="1" operator="equal">
      <formula>-1</formula>
    </cfRule>
  </conditionalFormatting>
  <conditionalFormatting sqref="AD21">
    <cfRule type="cellIs" dxfId="35993" priority="110192" stopIfTrue="1" operator="lessThan">
      <formula>0.5</formula>
    </cfRule>
  </conditionalFormatting>
  <conditionalFormatting sqref="AD21">
    <cfRule type="cellIs" dxfId="35992" priority="110193" stopIfTrue="1" operator="greaterThanOrEqual">
      <formula>0.5</formula>
    </cfRule>
  </conditionalFormatting>
  <conditionalFormatting sqref="AD22">
    <cfRule type="cellIs" dxfId="35991" priority="110194" stopIfTrue="1" operator="equal">
      <formula>-1</formula>
    </cfRule>
  </conditionalFormatting>
  <conditionalFormatting sqref="AD22">
    <cfRule type="cellIs" dxfId="35990" priority="110195" stopIfTrue="1" operator="lessThan">
      <formula>0.5</formula>
    </cfRule>
  </conditionalFormatting>
  <conditionalFormatting sqref="AD22">
    <cfRule type="cellIs" dxfId="35989" priority="110196" stopIfTrue="1" operator="greaterThanOrEqual">
      <formula>0.5</formula>
    </cfRule>
  </conditionalFormatting>
  <conditionalFormatting sqref="AD23">
    <cfRule type="cellIs" dxfId="35988" priority="110197" stopIfTrue="1" operator="equal">
      <formula>-1</formula>
    </cfRule>
  </conditionalFormatting>
  <conditionalFormatting sqref="AD23">
    <cfRule type="cellIs" dxfId="35987" priority="110198" stopIfTrue="1" operator="lessThan">
      <formula>0.5</formula>
    </cfRule>
  </conditionalFormatting>
  <conditionalFormatting sqref="AD23">
    <cfRule type="cellIs" dxfId="35986" priority="110199" stopIfTrue="1" operator="greaterThanOrEqual">
      <formula>0.5</formula>
    </cfRule>
  </conditionalFormatting>
  <conditionalFormatting sqref="AD24">
    <cfRule type="cellIs" dxfId="35985" priority="110200" stopIfTrue="1" operator="equal">
      <formula>-1</formula>
    </cfRule>
  </conditionalFormatting>
  <conditionalFormatting sqref="AD24">
    <cfRule type="cellIs" dxfId="35984" priority="110201" stopIfTrue="1" operator="lessThan">
      <formula>0.5</formula>
    </cfRule>
  </conditionalFormatting>
  <conditionalFormatting sqref="AD24">
    <cfRule type="cellIs" dxfId="35983" priority="110202" stopIfTrue="1" operator="greaterThanOrEqual">
      <formula>0.5</formula>
    </cfRule>
  </conditionalFormatting>
  <conditionalFormatting sqref="AD25">
    <cfRule type="cellIs" dxfId="35982" priority="110203" stopIfTrue="1" operator="equal">
      <formula>-1</formula>
    </cfRule>
  </conditionalFormatting>
  <conditionalFormatting sqref="AD25">
    <cfRule type="cellIs" dxfId="35981" priority="110204" stopIfTrue="1" operator="lessThan">
      <formula>0.5</formula>
    </cfRule>
  </conditionalFormatting>
  <conditionalFormatting sqref="AD25">
    <cfRule type="cellIs" dxfId="35980" priority="110205" stopIfTrue="1" operator="greaterThanOrEqual">
      <formula>0.5</formula>
    </cfRule>
  </conditionalFormatting>
  <conditionalFormatting sqref="AD26">
    <cfRule type="cellIs" dxfId="35979" priority="110206" stopIfTrue="1" operator="equal">
      <formula>-1</formula>
    </cfRule>
  </conditionalFormatting>
  <conditionalFormatting sqref="AD26">
    <cfRule type="cellIs" dxfId="35978" priority="110207" stopIfTrue="1" operator="lessThan">
      <formula>0.5</formula>
    </cfRule>
  </conditionalFormatting>
  <conditionalFormatting sqref="AD26">
    <cfRule type="cellIs" dxfId="35977" priority="110208" stopIfTrue="1" operator="greaterThanOrEqual">
      <formula>0.5</formula>
    </cfRule>
  </conditionalFormatting>
  <conditionalFormatting sqref="AD27">
    <cfRule type="cellIs" dxfId="35976" priority="110209" stopIfTrue="1" operator="equal">
      <formula>-1</formula>
    </cfRule>
  </conditionalFormatting>
  <conditionalFormatting sqref="AD27">
    <cfRule type="cellIs" dxfId="35975" priority="110210" stopIfTrue="1" operator="lessThan">
      <formula>0.5</formula>
    </cfRule>
  </conditionalFormatting>
  <conditionalFormatting sqref="AD27">
    <cfRule type="cellIs" dxfId="35974" priority="110211" stopIfTrue="1" operator="greaterThanOrEqual">
      <formula>0.5</formula>
    </cfRule>
  </conditionalFormatting>
  <conditionalFormatting sqref="AD28">
    <cfRule type="cellIs" dxfId="35973" priority="110212" stopIfTrue="1" operator="equal">
      <formula>-1</formula>
    </cfRule>
  </conditionalFormatting>
  <conditionalFormatting sqref="AD28">
    <cfRule type="cellIs" dxfId="35972" priority="110213" stopIfTrue="1" operator="lessThan">
      <formula>0.5</formula>
    </cfRule>
  </conditionalFormatting>
  <conditionalFormatting sqref="AD28">
    <cfRule type="cellIs" dxfId="35971" priority="110214" stopIfTrue="1" operator="greaterThanOrEqual">
      <formula>0.5</formula>
    </cfRule>
  </conditionalFormatting>
  <conditionalFormatting sqref="AD29">
    <cfRule type="cellIs" dxfId="35970" priority="110215" stopIfTrue="1" operator="equal">
      <formula>-1</formula>
    </cfRule>
  </conditionalFormatting>
  <conditionalFormatting sqref="AD29">
    <cfRule type="cellIs" dxfId="35969" priority="110216" stopIfTrue="1" operator="lessThan">
      <formula>0.5</formula>
    </cfRule>
  </conditionalFormatting>
  <conditionalFormatting sqref="AD29">
    <cfRule type="cellIs" dxfId="35968" priority="110217" stopIfTrue="1" operator="greaterThanOrEqual">
      <formula>0.5</formula>
    </cfRule>
  </conditionalFormatting>
  <conditionalFormatting sqref="AD30">
    <cfRule type="cellIs" dxfId="35967" priority="110218" stopIfTrue="1" operator="equal">
      <formula>-1</formula>
    </cfRule>
  </conditionalFormatting>
  <conditionalFormatting sqref="AD30">
    <cfRule type="cellIs" dxfId="35966" priority="110219" stopIfTrue="1" operator="lessThan">
      <formula>0.5</formula>
    </cfRule>
  </conditionalFormatting>
  <conditionalFormatting sqref="AD30">
    <cfRule type="cellIs" dxfId="35965" priority="110220" stopIfTrue="1" operator="greaterThanOrEqual">
      <formula>0.5</formula>
    </cfRule>
  </conditionalFormatting>
  <conditionalFormatting sqref="AD31">
    <cfRule type="cellIs" dxfId="35964" priority="110221" stopIfTrue="1" operator="equal">
      <formula>-1</formula>
    </cfRule>
  </conditionalFormatting>
  <conditionalFormatting sqref="AD31">
    <cfRule type="cellIs" dxfId="35963" priority="110222" stopIfTrue="1" operator="lessThan">
      <formula>0.5</formula>
    </cfRule>
  </conditionalFormatting>
  <conditionalFormatting sqref="AD31">
    <cfRule type="cellIs" dxfId="35962" priority="110223" stopIfTrue="1" operator="greaterThanOrEqual">
      <formula>0.5</formula>
    </cfRule>
  </conditionalFormatting>
  <conditionalFormatting sqref="AD32">
    <cfRule type="cellIs" dxfId="35961" priority="110224" stopIfTrue="1" operator="equal">
      <formula>-1</formula>
    </cfRule>
  </conditionalFormatting>
  <conditionalFormatting sqref="AD32">
    <cfRule type="cellIs" dxfId="35960" priority="110225" stopIfTrue="1" operator="lessThan">
      <formula>0.5</formula>
    </cfRule>
  </conditionalFormatting>
  <conditionalFormatting sqref="AD32">
    <cfRule type="cellIs" dxfId="35959" priority="110226" stopIfTrue="1" operator="greaterThanOrEqual">
      <formula>0.5</formula>
    </cfRule>
  </conditionalFormatting>
  <conditionalFormatting sqref="AD33">
    <cfRule type="cellIs" dxfId="35958" priority="110227" stopIfTrue="1" operator="equal">
      <formula>-1</formula>
    </cfRule>
  </conditionalFormatting>
  <conditionalFormatting sqref="AD33">
    <cfRule type="cellIs" dxfId="35957" priority="110228" stopIfTrue="1" operator="lessThan">
      <formula>0.5</formula>
    </cfRule>
  </conditionalFormatting>
  <conditionalFormatting sqref="AD33">
    <cfRule type="cellIs" dxfId="35956" priority="110229" stopIfTrue="1" operator="greaterThanOrEqual">
      <formula>0.5</formula>
    </cfRule>
  </conditionalFormatting>
  <conditionalFormatting sqref="AD34">
    <cfRule type="cellIs" dxfId="35955" priority="110230" stopIfTrue="1" operator="equal">
      <formula>-1</formula>
    </cfRule>
  </conditionalFormatting>
  <conditionalFormatting sqref="AD34">
    <cfRule type="cellIs" dxfId="35954" priority="110231" stopIfTrue="1" operator="lessThan">
      <formula>0.5</formula>
    </cfRule>
  </conditionalFormatting>
  <conditionalFormatting sqref="AD34">
    <cfRule type="cellIs" dxfId="35953" priority="110232" stopIfTrue="1" operator="greaterThanOrEqual">
      <formula>0.5</formula>
    </cfRule>
  </conditionalFormatting>
  <conditionalFormatting sqref="AD35">
    <cfRule type="cellIs" dxfId="35952" priority="110233" stopIfTrue="1" operator="equal">
      <formula>-1</formula>
    </cfRule>
  </conditionalFormatting>
  <conditionalFormatting sqref="AD35">
    <cfRule type="cellIs" dxfId="35951" priority="110234" stopIfTrue="1" operator="lessThan">
      <formula>0.5</formula>
    </cfRule>
  </conditionalFormatting>
  <conditionalFormatting sqref="AD35">
    <cfRule type="cellIs" dxfId="35950" priority="110235" stopIfTrue="1" operator="greaterThanOrEqual">
      <formula>0.5</formula>
    </cfRule>
  </conditionalFormatting>
  <conditionalFormatting sqref="AD36">
    <cfRule type="cellIs" dxfId="35949" priority="110236" stopIfTrue="1" operator="equal">
      <formula>-1</formula>
    </cfRule>
  </conditionalFormatting>
  <conditionalFormatting sqref="AD36">
    <cfRule type="cellIs" dxfId="35948" priority="110237" stopIfTrue="1" operator="lessThan">
      <formula>0.5</formula>
    </cfRule>
  </conditionalFormatting>
  <conditionalFormatting sqref="AD36">
    <cfRule type="cellIs" dxfId="35947" priority="110238" stopIfTrue="1" operator="greaterThanOrEqual">
      <formula>0.5</formula>
    </cfRule>
  </conditionalFormatting>
  <conditionalFormatting sqref="AD37">
    <cfRule type="cellIs" dxfId="35946" priority="110239" stopIfTrue="1" operator="equal">
      <formula>-1</formula>
    </cfRule>
  </conditionalFormatting>
  <conditionalFormatting sqref="AD37">
    <cfRule type="cellIs" dxfId="35945" priority="110240" stopIfTrue="1" operator="lessThan">
      <formula>0.5</formula>
    </cfRule>
  </conditionalFormatting>
  <conditionalFormatting sqref="AD37">
    <cfRule type="cellIs" dxfId="35944" priority="110241" stopIfTrue="1" operator="greaterThanOrEqual">
      <formula>0.5</formula>
    </cfRule>
  </conditionalFormatting>
  <conditionalFormatting sqref="AF17">
    <cfRule type="cellIs" dxfId="35943" priority="110242" stopIfTrue="1" operator="equal">
      <formula>-1</formula>
    </cfRule>
  </conditionalFormatting>
  <conditionalFormatting sqref="AF17">
    <cfRule type="cellIs" dxfId="35942" priority="110243" stopIfTrue="1" operator="lessThan">
      <formula>0.5</formula>
    </cfRule>
  </conditionalFormatting>
  <conditionalFormatting sqref="AF17">
    <cfRule type="cellIs" dxfId="35941" priority="110244" stopIfTrue="1" operator="greaterThanOrEqual">
      <formula>0.5</formula>
    </cfRule>
  </conditionalFormatting>
  <conditionalFormatting sqref="AF18">
    <cfRule type="cellIs" dxfId="35940" priority="110245" stopIfTrue="1" operator="equal">
      <formula>-1</formula>
    </cfRule>
  </conditionalFormatting>
  <conditionalFormatting sqref="AF18">
    <cfRule type="cellIs" dxfId="35939" priority="110246" stopIfTrue="1" operator="lessThan">
      <formula>0.5</formula>
    </cfRule>
  </conditionalFormatting>
  <conditionalFormatting sqref="AF18">
    <cfRule type="cellIs" dxfId="35938" priority="110247" stopIfTrue="1" operator="greaterThanOrEqual">
      <formula>0.5</formula>
    </cfRule>
  </conditionalFormatting>
  <conditionalFormatting sqref="AF19">
    <cfRule type="cellIs" dxfId="35937" priority="110248" stopIfTrue="1" operator="equal">
      <formula>-1</formula>
    </cfRule>
  </conditionalFormatting>
  <conditionalFormatting sqref="AF19">
    <cfRule type="cellIs" dxfId="35936" priority="110249" stopIfTrue="1" operator="lessThan">
      <formula>0.5</formula>
    </cfRule>
  </conditionalFormatting>
  <conditionalFormatting sqref="AF19">
    <cfRule type="cellIs" dxfId="35935" priority="110250" stopIfTrue="1" operator="greaterThanOrEqual">
      <formula>0.5</formula>
    </cfRule>
  </conditionalFormatting>
  <conditionalFormatting sqref="AF20">
    <cfRule type="cellIs" dxfId="35934" priority="110251" stopIfTrue="1" operator="equal">
      <formula>-1</formula>
    </cfRule>
  </conditionalFormatting>
  <conditionalFormatting sqref="AF20">
    <cfRule type="cellIs" dxfId="35933" priority="110252" stopIfTrue="1" operator="lessThan">
      <formula>0.5</formula>
    </cfRule>
  </conditionalFormatting>
  <conditionalFormatting sqref="AF20">
    <cfRule type="cellIs" dxfId="35932" priority="110253" stopIfTrue="1" operator="greaterThanOrEqual">
      <formula>0.5</formula>
    </cfRule>
  </conditionalFormatting>
  <conditionalFormatting sqref="AF21">
    <cfRule type="cellIs" dxfId="35931" priority="110254" stopIfTrue="1" operator="equal">
      <formula>-1</formula>
    </cfRule>
  </conditionalFormatting>
  <conditionalFormatting sqref="AF21">
    <cfRule type="cellIs" dxfId="35930" priority="110255" stopIfTrue="1" operator="lessThan">
      <formula>0.5</formula>
    </cfRule>
  </conditionalFormatting>
  <conditionalFormatting sqref="AF21">
    <cfRule type="cellIs" dxfId="35929" priority="110256" stopIfTrue="1" operator="greaterThanOrEqual">
      <formula>0.5</formula>
    </cfRule>
  </conditionalFormatting>
  <conditionalFormatting sqref="AF22">
    <cfRule type="cellIs" dxfId="35928" priority="110257" stopIfTrue="1" operator="equal">
      <formula>-1</formula>
    </cfRule>
  </conditionalFormatting>
  <conditionalFormatting sqref="AF22">
    <cfRule type="cellIs" dxfId="35927" priority="110258" stopIfTrue="1" operator="lessThan">
      <formula>0.5</formula>
    </cfRule>
  </conditionalFormatting>
  <conditionalFormatting sqref="AF22">
    <cfRule type="cellIs" dxfId="35926" priority="110259" stopIfTrue="1" operator="greaterThanOrEqual">
      <formula>0.5</formula>
    </cfRule>
  </conditionalFormatting>
  <conditionalFormatting sqref="AF23">
    <cfRule type="cellIs" dxfId="35925" priority="110260" stopIfTrue="1" operator="equal">
      <formula>-1</formula>
    </cfRule>
  </conditionalFormatting>
  <conditionalFormatting sqref="AF23">
    <cfRule type="cellIs" dxfId="35924" priority="110261" stopIfTrue="1" operator="lessThan">
      <formula>0.5</formula>
    </cfRule>
  </conditionalFormatting>
  <conditionalFormatting sqref="AF23">
    <cfRule type="cellIs" dxfId="35923" priority="110262" stopIfTrue="1" operator="greaterThanOrEqual">
      <formula>0.5</formula>
    </cfRule>
  </conditionalFormatting>
  <conditionalFormatting sqref="AF24">
    <cfRule type="cellIs" dxfId="35922" priority="110263" stopIfTrue="1" operator="equal">
      <formula>-1</formula>
    </cfRule>
  </conditionalFormatting>
  <conditionalFormatting sqref="AF24">
    <cfRule type="cellIs" dxfId="35921" priority="110264" stopIfTrue="1" operator="lessThan">
      <formula>0.5</formula>
    </cfRule>
  </conditionalFormatting>
  <conditionalFormatting sqref="AF24">
    <cfRule type="cellIs" dxfId="35920" priority="110265" stopIfTrue="1" operator="greaterThanOrEqual">
      <formula>0.5</formula>
    </cfRule>
  </conditionalFormatting>
  <conditionalFormatting sqref="AF25">
    <cfRule type="cellIs" dxfId="35919" priority="110266" stopIfTrue="1" operator="equal">
      <formula>-1</formula>
    </cfRule>
  </conditionalFormatting>
  <conditionalFormatting sqref="AF25">
    <cfRule type="cellIs" dxfId="35918" priority="110267" stopIfTrue="1" operator="lessThan">
      <formula>0.5</formula>
    </cfRule>
  </conditionalFormatting>
  <conditionalFormatting sqref="AF25">
    <cfRule type="cellIs" dxfId="35917" priority="110268" stopIfTrue="1" operator="greaterThanOrEqual">
      <formula>0.5</formula>
    </cfRule>
  </conditionalFormatting>
  <conditionalFormatting sqref="AF26">
    <cfRule type="cellIs" dxfId="35916" priority="110269" stopIfTrue="1" operator="equal">
      <formula>-1</formula>
    </cfRule>
  </conditionalFormatting>
  <conditionalFormatting sqref="AF26">
    <cfRule type="cellIs" dxfId="35915" priority="110270" stopIfTrue="1" operator="lessThan">
      <formula>0.5</formula>
    </cfRule>
  </conditionalFormatting>
  <conditionalFormatting sqref="AF26">
    <cfRule type="cellIs" dxfId="35914" priority="110271" stopIfTrue="1" operator="greaterThanOrEqual">
      <formula>0.5</formula>
    </cfRule>
  </conditionalFormatting>
  <conditionalFormatting sqref="AF27">
    <cfRule type="cellIs" dxfId="35913" priority="110272" stopIfTrue="1" operator="equal">
      <formula>-1</formula>
    </cfRule>
  </conditionalFormatting>
  <conditionalFormatting sqref="AF27">
    <cfRule type="cellIs" dxfId="35912" priority="110273" stopIfTrue="1" operator="lessThan">
      <formula>0.5</formula>
    </cfRule>
  </conditionalFormatting>
  <conditionalFormatting sqref="AF27">
    <cfRule type="cellIs" dxfId="35911" priority="110274" stopIfTrue="1" operator="greaterThanOrEqual">
      <formula>0.5</formula>
    </cfRule>
  </conditionalFormatting>
  <conditionalFormatting sqref="AF28">
    <cfRule type="cellIs" dxfId="35910" priority="110275" stopIfTrue="1" operator="equal">
      <formula>-1</formula>
    </cfRule>
  </conditionalFormatting>
  <conditionalFormatting sqref="AF28">
    <cfRule type="cellIs" dxfId="35909" priority="110276" stopIfTrue="1" operator="lessThan">
      <formula>0.5</formula>
    </cfRule>
  </conditionalFormatting>
  <conditionalFormatting sqref="AF28">
    <cfRule type="cellIs" dxfId="35908" priority="110277" stopIfTrue="1" operator="greaterThanOrEqual">
      <formula>0.5</formula>
    </cfRule>
  </conditionalFormatting>
  <conditionalFormatting sqref="AF29">
    <cfRule type="cellIs" dxfId="35907" priority="110278" stopIfTrue="1" operator="equal">
      <formula>-1</formula>
    </cfRule>
  </conditionalFormatting>
  <conditionalFormatting sqref="AF29">
    <cfRule type="cellIs" dxfId="35906" priority="110279" stopIfTrue="1" operator="lessThan">
      <formula>0.5</formula>
    </cfRule>
  </conditionalFormatting>
  <conditionalFormatting sqref="AF29">
    <cfRule type="cellIs" dxfId="35905" priority="110280" stopIfTrue="1" operator="greaterThanOrEqual">
      <formula>0.5</formula>
    </cfRule>
  </conditionalFormatting>
  <conditionalFormatting sqref="AF30">
    <cfRule type="cellIs" dxfId="35904" priority="110281" stopIfTrue="1" operator="equal">
      <formula>-1</formula>
    </cfRule>
  </conditionalFormatting>
  <conditionalFormatting sqref="AF30">
    <cfRule type="cellIs" dxfId="35903" priority="110282" stopIfTrue="1" operator="lessThan">
      <formula>0.5</formula>
    </cfRule>
  </conditionalFormatting>
  <conditionalFormatting sqref="AF30">
    <cfRule type="cellIs" dxfId="35902" priority="110283" stopIfTrue="1" operator="greaterThanOrEqual">
      <formula>0.5</formula>
    </cfRule>
  </conditionalFormatting>
  <conditionalFormatting sqref="AF31">
    <cfRule type="cellIs" dxfId="35901" priority="110284" stopIfTrue="1" operator="equal">
      <formula>-1</formula>
    </cfRule>
  </conditionalFormatting>
  <conditionalFormatting sqref="AF31">
    <cfRule type="cellIs" dxfId="35900" priority="110285" stopIfTrue="1" operator="lessThan">
      <formula>0.5</formula>
    </cfRule>
  </conditionalFormatting>
  <conditionalFormatting sqref="AF31">
    <cfRule type="cellIs" dxfId="35899" priority="110286" stopIfTrue="1" operator="greaterThanOrEqual">
      <formula>0.5</formula>
    </cfRule>
  </conditionalFormatting>
  <conditionalFormatting sqref="AF32">
    <cfRule type="cellIs" dxfId="35898" priority="110287" stopIfTrue="1" operator="equal">
      <formula>-1</formula>
    </cfRule>
  </conditionalFormatting>
  <conditionalFormatting sqref="AF32">
    <cfRule type="cellIs" dxfId="35897" priority="110288" stopIfTrue="1" operator="lessThan">
      <formula>0.5</formula>
    </cfRule>
  </conditionalFormatting>
  <conditionalFormatting sqref="AF32">
    <cfRule type="cellIs" dxfId="35896" priority="110289" stopIfTrue="1" operator="greaterThanOrEqual">
      <formula>0.5</formula>
    </cfRule>
  </conditionalFormatting>
  <conditionalFormatting sqref="AF33">
    <cfRule type="cellIs" dxfId="35895" priority="110290" stopIfTrue="1" operator="equal">
      <formula>-1</formula>
    </cfRule>
  </conditionalFormatting>
  <conditionalFormatting sqref="AF33">
    <cfRule type="cellIs" dxfId="35894" priority="110291" stopIfTrue="1" operator="lessThan">
      <formula>0.5</formula>
    </cfRule>
  </conditionalFormatting>
  <conditionalFormatting sqref="AF33">
    <cfRule type="cellIs" dxfId="35893" priority="110292" stopIfTrue="1" operator="greaterThanOrEqual">
      <formula>0.5</formula>
    </cfRule>
  </conditionalFormatting>
  <conditionalFormatting sqref="AF34">
    <cfRule type="cellIs" dxfId="35892" priority="110293" stopIfTrue="1" operator="equal">
      <formula>-1</formula>
    </cfRule>
  </conditionalFormatting>
  <conditionalFormatting sqref="AF34">
    <cfRule type="cellIs" dxfId="35891" priority="110294" stopIfTrue="1" operator="lessThan">
      <formula>0.5</formula>
    </cfRule>
  </conditionalFormatting>
  <conditionalFormatting sqref="AF34">
    <cfRule type="cellIs" dxfId="35890" priority="110295" stopIfTrue="1" operator="greaterThanOrEqual">
      <formula>0.5</formula>
    </cfRule>
  </conditionalFormatting>
  <conditionalFormatting sqref="AF35">
    <cfRule type="cellIs" dxfId="35889" priority="110296" stopIfTrue="1" operator="equal">
      <formula>-1</formula>
    </cfRule>
  </conditionalFormatting>
  <conditionalFormatting sqref="AF35">
    <cfRule type="cellIs" dxfId="35888" priority="110297" stopIfTrue="1" operator="lessThan">
      <formula>0.5</formula>
    </cfRule>
  </conditionalFormatting>
  <conditionalFormatting sqref="AF35">
    <cfRule type="cellIs" dxfId="35887" priority="110298" stopIfTrue="1" operator="greaterThanOrEqual">
      <formula>0.5</formula>
    </cfRule>
  </conditionalFormatting>
  <conditionalFormatting sqref="AF36">
    <cfRule type="cellIs" dxfId="35886" priority="110299" stopIfTrue="1" operator="equal">
      <formula>-1</formula>
    </cfRule>
  </conditionalFormatting>
  <conditionalFormatting sqref="AF36">
    <cfRule type="cellIs" dxfId="35885" priority="110300" stopIfTrue="1" operator="lessThan">
      <formula>0.5</formula>
    </cfRule>
  </conditionalFormatting>
  <conditionalFormatting sqref="AF36">
    <cfRule type="cellIs" dxfId="35884" priority="110301" stopIfTrue="1" operator="greaterThanOrEqual">
      <formula>0.5</formula>
    </cfRule>
  </conditionalFormatting>
  <conditionalFormatting sqref="AF37">
    <cfRule type="cellIs" dxfId="35883" priority="110302" stopIfTrue="1" operator="equal">
      <formula>-1</formula>
    </cfRule>
  </conditionalFormatting>
  <conditionalFormatting sqref="AF37">
    <cfRule type="cellIs" dxfId="35882" priority="110303" stopIfTrue="1" operator="lessThan">
      <formula>0.5</formula>
    </cfRule>
  </conditionalFormatting>
  <conditionalFormatting sqref="AF37">
    <cfRule type="cellIs" dxfId="35881" priority="110304" stopIfTrue="1" operator="greaterThanOrEqual">
      <formula>0.5</formula>
    </cfRule>
  </conditionalFormatting>
  <conditionalFormatting sqref="AH17">
    <cfRule type="cellIs" dxfId="35880" priority="110305" stopIfTrue="1" operator="equal">
      <formula>-1</formula>
    </cfRule>
  </conditionalFormatting>
  <conditionalFormatting sqref="AH17">
    <cfRule type="cellIs" dxfId="35879" priority="110306" stopIfTrue="1" operator="lessThan">
      <formula>0.5</formula>
    </cfRule>
  </conditionalFormatting>
  <conditionalFormatting sqref="AH17">
    <cfRule type="cellIs" dxfId="35878" priority="110307" stopIfTrue="1" operator="greaterThanOrEqual">
      <formula>0.5</formula>
    </cfRule>
  </conditionalFormatting>
  <conditionalFormatting sqref="AH18">
    <cfRule type="cellIs" dxfId="35877" priority="110308" stopIfTrue="1" operator="equal">
      <formula>-1</formula>
    </cfRule>
  </conditionalFormatting>
  <conditionalFormatting sqref="AH18">
    <cfRule type="cellIs" dxfId="35876" priority="110309" stopIfTrue="1" operator="lessThan">
      <formula>0.5</formula>
    </cfRule>
  </conditionalFormatting>
  <conditionalFormatting sqref="AH18">
    <cfRule type="cellIs" dxfId="35875" priority="110310" stopIfTrue="1" operator="greaterThanOrEqual">
      <formula>0.5</formula>
    </cfRule>
  </conditionalFormatting>
  <conditionalFormatting sqref="AH19">
    <cfRule type="cellIs" dxfId="35874" priority="110311" stopIfTrue="1" operator="equal">
      <formula>-1</formula>
    </cfRule>
  </conditionalFormatting>
  <conditionalFormatting sqref="AH19">
    <cfRule type="cellIs" dxfId="35873" priority="110312" stopIfTrue="1" operator="lessThan">
      <formula>0.5</formula>
    </cfRule>
  </conditionalFormatting>
  <conditionalFormatting sqref="AH19">
    <cfRule type="cellIs" dxfId="35872" priority="110313" stopIfTrue="1" operator="greaterThanOrEqual">
      <formula>0.5</formula>
    </cfRule>
  </conditionalFormatting>
  <conditionalFormatting sqref="AH20">
    <cfRule type="cellIs" dxfId="35871" priority="110314" stopIfTrue="1" operator="equal">
      <formula>-1</formula>
    </cfRule>
  </conditionalFormatting>
  <conditionalFormatting sqref="AH20">
    <cfRule type="cellIs" dxfId="35870" priority="110315" stopIfTrue="1" operator="lessThan">
      <formula>0.5</formula>
    </cfRule>
  </conditionalFormatting>
  <conditionalFormatting sqref="AH20">
    <cfRule type="cellIs" dxfId="35869" priority="110316" stopIfTrue="1" operator="greaterThanOrEqual">
      <formula>0.5</formula>
    </cfRule>
  </conditionalFormatting>
  <conditionalFormatting sqref="AH21">
    <cfRule type="cellIs" dxfId="35868" priority="110317" stopIfTrue="1" operator="equal">
      <formula>-1</formula>
    </cfRule>
  </conditionalFormatting>
  <conditionalFormatting sqref="AH21">
    <cfRule type="cellIs" dxfId="35867" priority="110318" stopIfTrue="1" operator="lessThan">
      <formula>0.5</formula>
    </cfRule>
  </conditionalFormatting>
  <conditionalFormatting sqref="AH21">
    <cfRule type="cellIs" dxfId="35866" priority="110319" stopIfTrue="1" operator="greaterThanOrEqual">
      <formula>0.5</formula>
    </cfRule>
  </conditionalFormatting>
  <conditionalFormatting sqref="AH22">
    <cfRule type="cellIs" dxfId="35865" priority="110320" stopIfTrue="1" operator="equal">
      <formula>-1</formula>
    </cfRule>
  </conditionalFormatting>
  <conditionalFormatting sqref="AH22">
    <cfRule type="cellIs" dxfId="35864" priority="110321" stopIfTrue="1" operator="lessThan">
      <formula>0.5</formula>
    </cfRule>
  </conditionalFormatting>
  <conditionalFormatting sqref="AH22">
    <cfRule type="cellIs" dxfId="35863" priority="110322" stopIfTrue="1" operator="greaterThanOrEqual">
      <formula>0.5</formula>
    </cfRule>
  </conditionalFormatting>
  <conditionalFormatting sqref="AH23">
    <cfRule type="cellIs" dxfId="35862" priority="110323" stopIfTrue="1" operator="equal">
      <formula>-1</formula>
    </cfRule>
  </conditionalFormatting>
  <conditionalFormatting sqref="AH23">
    <cfRule type="cellIs" dxfId="35861" priority="110324" stopIfTrue="1" operator="lessThan">
      <formula>0.5</formula>
    </cfRule>
  </conditionalFormatting>
  <conditionalFormatting sqref="AH23">
    <cfRule type="cellIs" dxfId="35860" priority="110325" stopIfTrue="1" operator="greaterThanOrEqual">
      <formula>0.5</formula>
    </cfRule>
  </conditionalFormatting>
  <conditionalFormatting sqref="AH24">
    <cfRule type="cellIs" dxfId="35859" priority="110326" stopIfTrue="1" operator="equal">
      <formula>-1</formula>
    </cfRule>
  </conditionalFormatting>
  <conditionalFormatting sqref="AH24">
    <cfRule type="cellIs" dxfId="35858" priority="110327" stopIfTrue="1" operator="lessThan">
      <formula>0.5</formula>
    </cfRule>
  </conditionalFormatting>
  <conditionalFormatting sqref="AH24">
    <cfRule type="cellIs" dxfId="35857" priority="110328" stopIfTrue="1" operator="greaterThanOrEqual">
      <formula>0.5</formula>
    </cfRule>
  </conditionalFormatting>
  <conditionalFormatting sqref="AH25">
    <cfRule type="cellIs" dxfId="35856" priority="110329" stopIfTrue="1" operator="equal">
      <formula>-1</formula>
    </cfRule>
  </conditionalFormatting>
  <conditionalFormatting sqref="AH25">
    <cfRule type="cellIs" dxfId="35855" priority="110330" stopIfTrue="1" operator="lessThan">
      <formula>0.5</formula>
    </cfRule>
  </conditionalFormatting>
  <conditionalFormatting sqref="AH25">
    <cfRule type="cellIs" dxfId="35854" priority="110331" stopIfTrue="1" operator="greaterThanOrEqual">
      <formula>0.5</formula>
    </cfRule>
  </conditionalFormatting>
  <conditionalFormatting sqref="AH26">
    <cfRule type="cellIs" dxfId="35853" priority="110332" stopIfTrue="1" operator="equal">
      <formula>-1</formula>
    </cfRule>
  </conditionalFormatting>
  <conditionalFormatting sqref="AH26">
    <cfRule type="cellIs" dxfId="35852" priority="110333" stopIfTrue="1" operator="lessThan">
      <formula>0.5</formula>
    </cfRule>
  </conditionalFormatting>
  <conditionalFormatting sqref="AH26">
    <cfRule type="cellIs" dxfId="35851" priority="110334" stopIfTrue="1" operator="greaterThanOrEqual">
      <formula>0.5</formula>
    </cfRule>
  </conditionalFormatting>
  <conditionalFormatting sqref="AH27">
    <cfRule type="cellIs" dxfId="35850" priority="110335" stopIfTrue="1" operator="equal">
      <formula>-1</formula>
    </cfRule>
  </conditionalFormatting>
  <conditionalFormatting sqref="AH27">
    <cfRule type="cellIs" dxfId="35849" priority="110336" stopIfTrue="1" operator="lessThan">
      <formula>0.5</formula>
    </cfRule>
  </conditionalFormatting>
  <conditionalFormatting sqref="AH27">
    <cfRule type="cellIs" dxfId="35848" priority="110337" stopIfTrue="1" operator="greaterThanOrEqual">
      <formula>0.5</formula>
    </cfRule>
  </conditionalFormatting>
  <conditionalFormatting sqref="AH28">
    <cfRule type="cellIs" dxfId="35847" priority="110338" stopIfTrue="1" operator="equal">
      <formula>-1</formula>
    </cfRule>
  </conditionalFormatting>
  <conditionalFormatting sqref="AH28">
    <cfRule type="cellIs" dxfId="35846" priority="110339" stopIfTrue="1" operator="lessThan">
      <formula>0.5</formula>
    </cfRule>
  </conditionalFormatting>
  <conditionalFormatting sqref="AH28">
    <cfRule type="cellIs" dxfId="35845" priority="110340" stopIfTrue="1" operator="greaterThanOrEqual">
      <formula>0.5</formula>
    </cfRule>
  </conditionalFormatting>
  <conditionalFormatting sqref="AH29">
    <cfRule type="cellIs" dxfId="35844" priority="110341" stopIfTrue="1" operator="equal">
      <formula>-1</formula>
    </cfRule>
  </conditionalFormatting>
  <conditionalFormatting sqref="AH29">
    <cfRule type="cellIs" dxfId="35843" priority="110342" stopIfTrue="1" operator="lessThan">
      <formula>0.5</formula>
    </cfRule>
  </conditionalFormatting>
  <conditionalFormatting sqref="AH29">
    <cfRule type="cellIs" dxfId="35842" priority="110343" stopIfTrue="1" operator="greaterThanOrEqual">
      <formula>0.5</formula>
    </cfRule>
  </conditionalFormatting>
  <conditionalFormatting sqref="AH30">
    <cfRule type="cellIs" dxfId="35841" priority="110344" stopIfTrue="1" operator="equal">
      <formula>-1</formula>
    </cfRule>
  </conditionalFormatting>
  <conditionalFormatting sqref="AH30">
    <cfRule type="cellIs" dxfId="35840" priority="110345" stopIfTrue="1" operator="lessThan">
      <formula>0.5</formula>
    </cfRule>
  </conditionalFormatting>
  <conditionalFormatting sqref="AH30">
    <cfRule type="cellIs" dxfId="35839" priority="110346" stopIfTrue="1" operator="greaterThanOrEqual">
      <formula>0.5</formula>
    </cfRule>
  </conditionalFormatting>
  <conditionalFormatting sqref="AH31">
    <cfRule type="cellIs" dxfId="35838" priority="110347" stopIfTrue="1" operator="equal">
      <formula>-1</formula>
    </cfRule>
  </conditionalFormatting>
  <conditionalFormatting sqref="AH31">
    <cfRule type="cellIs" dxfId="35837" priority="110348" stopIfTrue="1" operator="lessThan">
      <formula>0.5</formula>
    </cfRule>
  </conditionalFormatting>
  <conditionalFormatting sqref="AH31">
    <cfRule type="cellIs" dxfId="35836" priority="110349" stopIfTrue="1" operator="greaterThanOrEqual">
      <formula>0.5</formula>
    </cfRule>
  </conditionalFormatting>
  <conditionalFormatting sqref="AH32">
    <cfRule type="cellIs" dxfId="35835" priority="110350" stopIfTrue="1" operator="equal">
      <formula>-1</formula>
    </cfRule>
  </conditionalFormatting>
  <conditionalFormatting sqref="AH32">
    <cfRule type="cellIs" dxfId="35834" priority="110351" stopIfTrue="1" operator="lessThan">
      <formula>0.5</formula>
    </cfRule>
  </conditionalFormatting>
  <conditionalFormatting sqref="AH32">
    <cfRule type="cellIs" dxfId="35833" priority="110352" stopIfTrue="1" operator="greaterThanOrEqual">
      <formula>0.5</formula>
    </cfRule>
  </conditionalFormatting>
  <conditionalFormatting sqref="AH33">
    <cfRule type="cellIs" dxfId="35832" priority="110353" stopIfTrue="1" operator="equal">
      <formula>-1</formula>
    </cfRule>
  </conditionalFormatting>
  <conditionalFormatting sqref="AH33">
    <cfRule type="cellIs" dxfId="35831" priority="110354" stopIfTrue="1" operator="lessThan">
      <formula>0.5</formula>
    </cfRule>
  </conditionalFormatting>
  <conditionalFormatting sqref="AH33">
    <cfRule type="cellIs" dxfId="35830" priority="110355" stopIfTrue="1" operator="greaterThanOrEqual">
      <formula>0.5</formula>
    </cfRule>
  </conditionalFormatting>
  <conditionalFormatting sqref="AH34">
    <cfRule type="cellIs" dxfId="35829" priority="110356" stopIfTrue="1" operator="equal">
      <formula>-1</formula>
    </cfRule>
  </conditionalFormatting>
  <conditionalFormatting sqref="AH34">
    <cfRule type="cellIs" dxfId="35828" priority="110357" stopIfTrue="1" operator="lessThan">
      <formula>0.5</formula>
    </cfRule>
  </conditionalFormatting>
  <conditionalFormatting sqref="AH34">
    <cfRule type="cellIs" dxfId="35827" priority="110358" stopIfTrue="1" operator="greaterThanOrEqual">
      <formula>0.5</formula>
    </cfRule>
  </conditionalFormatting>
  <conditionalFormatting sqref="AH35">
    <cfRule type="cellIs" dxfId="35826" priority="110359" stopIfTrue="1" operator="equal">
      <formula>-1</formula>
    </cfRule>
  </conditionalFormatting>
  <conditionalFormatting sqref="AH35">
    <cfRule type="cellIs" dxfId="35825" priority="110360" stopIfTrue="1" operator="lessThan">
      <formula>0.5</formula>
    </cfRule>
  </conditionalFormatting>
  <conditionalFormatting sqref="AH35">
    <cfRule type="cellIs" dxfId="35824" priority="110361" stopIfTrue="1" operator="greaterThanOrEqual">
      <formula>0.5</formula>
    </cfRule>
  </conditionalFormatting>
  <conditionalFormatting sqref="AH36">
    <cfRule type="cellIs" dxfId="35823" priority="110362" stopIfTrue="1" operator="equal">
      <formula>-1</formula>
    </cfRule>
  </conditionalFormatting>
  <conditionalFormatting sqref="AH36">
    <cfRule type="cellIs" dxfId="35822" priority="110363" stopIfTrue="1" operator="lessThan">
      <formula>0.5</formula>
    </cfRule>
  </conditionalFormatting>
  <conditionalFormatting sqref="AH36">
    <cfRule type="cellIs" dxfId="35821" priority="110364" stopIfTrue="1" operator="greaterThanOrEqual">
      <formula>0.5</formula>
    </cfRule>
  </conditionalFormatting>
  <conditionalFormatting sqref="AH37">
    <cfRule type="cellIs" dxfId="35820" priority="110365" stopIfTrue="1" operator="equal">
      <formula>-1</formula>
    </cfRule>
  </conditionalFormatting>
  <conditionalFormatting sqref="AH37">
    <cfRule type="cellIs" dxfId="35819" priority="110366" stopIfTrue="1" operator="lessThan">
      <formula>0.5</formula>
    </cfRule>
  </conditionalFormatting>
  <conditionalFormatting sqref="AH37">
    <cfRule type="cellIs" dxfId="35818" priority="110367" stopIfTrue="1" operator="greaterThanOrEqual">
      <formula>0.5</formula>
    </cfRule>
  </conditionalFormatting>
  <conditionalFormatting sqref="AJ17">
    <cfRule type="cellIs" dxfId="35817" priority="110368" stopIfTrue="1" operator="equal">
      <formula>-1</formula>
    </cfRule>
  </conditionalFormatting>
  <conditionalFormatting sqref="AJ17">
    <cfRule type="cellIs" dxfId="35816" priority="110369" stopIfTrue="1" operator="lessThan">
      <formula>0.5</formula>
    </cfRule>
  </conditionalFormatting>
  <conditionalFormatting sqref="AJ17">
    <cfRule type="cellIs" dxfId="35815" priority="110370" stopIfTrue="1" operator="greaterThanOrEqual">
      <formula>0.5</formula>
    </cfRule>
  </conditionalFormatting>
  <conditionalFormatting sqref="AJ18">
    <cfRule type="cellIs" dxfId="35814" priority="110371" stopIfTrue="1" operator="equal">
      <formula>-1</formula>
    </cfRule>
  </conditionalFormatting>
  <conditionalFormatting sqref="AJ18">
    <cfRule type="cellIs" dxfId="35813" priority="110372" stopIfTrue="1" operator="lessThan">
      <formula>0.5</formula>
    </cfRule>
  </conditionalFormatting>
  <conditionalFormatting sqref="AJ18">
    <cfRule type="cellIs" dxfId="35812" priority="110373" stopIfTrue="1" operator="greaterThanOrEqual">
      <formula>0.5</formula>
    </cfRule>
  </conditionalFormatting>
  <conditionalFormatting sqref="AJ19">
    <cfRule type="cellIs" dxfId="35811" priority="110374" stopIfTrue="1" operator="equal">
      <formula>-1</formula>
    </cfRule>
  </conditionalFormatting>
  <conditionalFormatting sqref="AJ19">
    <cfRule type="cellIs" dxfId="35810" priority="110375" stopIfTrue="1" operator="lessThan">
      <formula>0.5</formula>
    </cfRule>
  </conditionalFormatting>
  <conditionalFormatting sqref="AJ19">
    <cfRule type="cellIs" dxfId="35809" priority="110376" stopIfTrue="1" operator="greaterThanOrEqual">
      <formula>0.5</formula>
    </cfRule>
  </conditionalFormatting>
  <conditionalFormatting sqref="AJ20">
    <cfRule type="cellIs" dxfId="35808" priority="110377" stopIfTrue="1" operator="equal">
      <formula>-1</formula>
    </cfRule>
  </conditionalFormatting>
  <conditionalFormatting sqref="AJ20">
    <cfRule type="cellIs" dxfId="35807" priority="110378" stopIfTrue="1" operator="lessThan">
      <formula>0.5</formula>
    </cfRule>
  </conditionalFormatting>
  <conditionalFormatting sqref="AJ20">
    <cfRule type="cellIs" dxfId="35806" priority="110379" stopIfTrue="1" operator="greaterThanOrEqual">
      <formula>0.5</formula>
    </cfRule>
  </conditionalFormatting>
  <conditionalFormatting sqref="AJ21">
    <cfRule type="cellIs" dxfId="35805" priority="110380" stopIfTrue="1" operator="equal">
      <formula>-1</formula>
    </cfRule>
  </conditionalFormatting>
  <conditionalFormatting sqref="AJ21">
    <cfRule type="cellIs" dxfId="35804" priority="110381" stopIfTrue="1" operator="lessThan">
      <formula>0.5</formula>
    </cfRule>
  </conditionalFormatting>
  <conditionalFormatting sqref="AJ21">
    <cfRule type="cellIs" dxfId="35803" priority="110382" stopIfTrue="1" operator="greaterThanOrEqual">
      <formula>0.5</formula>
    </cfRule>
  </conditionalFormatting>
  <conditionalFormatting sqref="AJ22">
    <cfRule type="cellIs" dxfId="35802" priority="110383" stopIfTrue="1" operator="equal">
      <formula>-1</formula>
    </cfRule>
  </conditionalFormatting>
  <conditionalFormatting sqref="AJ22">
    <cfRule type="cellIs" dxfId="35801" priority="110384" stopIfTrue="1" operator="lessThan">
      <formula>0.5</formula>
    </cfRule>
  </conditionalFormatting>
  <conditionalFormatting sqref="AJ22">
    <cfRule type="cellIs" dxfId="35800" priority="110385" stopIfTrue="1" operator="greaterThanOrEqual">
      <formula>0.5</formula>
    </cfRule>
  </conditionalFormatting>
  <conditionalFormatting sqref="AJ23">
    <cfRule type="cellIs" dxfId="35799" priority="110386" stopIfTrue="1" operator="equal">
      <formula>-1</formula>
    </cfRule>
  </conditionalFormatting>
  <conditionalFormatting sqref="AJ23">
    <cfRule type="cellIs" dxfId="35798" priority="110387" stopIfTrue="1" operator="lessThan">
      <formula>0.5</formula>
    </cfRule>
  </conditionalFormatting>
  <conditionalFormatting sqref="AJ23">
    <cfRule type="cellIs" dxfId="35797" priority="110388" stopIfTrue="1" operator="greaterThanOrEqual">
      <formula>0.5</formula>
    </cfRule>
  </conditionalFormatting>
  <conditionalFormatting sqref="AJ24">
    <cfRule type="cellIs" dxfId="35796" priority="110389" stopIfTrue="1" operator="equal">
      <formula>-1</formula>
    </cfRule>
  </conditionalFormatting>
  <conditionalFormatting sqref="AJ24">
    <cfRule type="cellIs" dxfId="35795" priority="110390" stopIfTrue="1" operator="lessThan">
      <formula>0.5</formula>
    </cfRule>
  </conditionalFormatting>
  <conditionalFormatting sqref="AJ24">
    <cfRule type="cellIs" dxfId="35794" priority="110391" stopIfTrue="1" operator="greaterThanOrEqual">
      <formula>0.5</formula>
    </cfRule>
  </conditionalFormatting>
  <conditionalFormatting sqref="AJ25">
    <cfRule type="cellIs" dxfId="35793" priority="110392" stopIfTrue="1" operator="equal">
      <formula>-1</formula>
    </cfRule>
  </conditionalFormatting>
  <conditionalFormatting sqref="AJ25">
    <cfRule type="cellIs" dxfId="35792" priority="110393" stopIfTrue="1" operator="lessThan">
      <formula>0.5</formula>
    </cfRule>
  </conditionalFormatting>
  <conditionalFormatting sqref="AJ25">
    <cfRule type="cellIs" dxfId="35791" priority="110394" stopIfTrue="1" operator="greaterThanOrEqual">
      <formula>0.5</formula>
    </cfRule>
  </conditionalFormatting>
  <conditionalFormatting sqref="AJ26">
    <cfRule type="cellIs" dxfId="35790" priority="110395" stopIfTrue="1" operator="equal">
      <formula>-1</formula>
    </cfRule>
  </conditionalFormatting>
  <conditionalFormatting sqref="AJ26">
    <cfRule type="cellIs" dxfId="35789" priority="110396" stopIfTrue="1" operator="lessThan">
      <formula>0.5</formula>
    </cfRule>
  </conditionalFormatting>
  <conditionalFormatting sqref="AJ26">
    <cfRule type="cellIs" dxfId="35788" priority="110397" stopIfTrue="1" operator="greaterThanOrEqual">
      <formula>0.5</formula>
    </cfRule>
  </conditionalFormatting>
  <conditionalFormatting sqref="AJ27">
    <cfRule type="cellIs" dxfId="35787" priority="110398" stopIfTrue="1" operator="equal">
      <formula>-1</formula>
    </cfRule>
  </conditionalFormatting>
  <conditionalFormatting sqref="AJ27">
    <cfRule type="cellIs" dxfId="35786" priority="110399" stopIfTrue="1" operator="lessThan">
      <formula>0.5</formula>
    </cfRule>
  </conditionalFormatting>
  <conditionalFormatting sqref="AJ27">
    <cfRule type="cellIs" dxfId="35785" priority="110400" stopIfTrue="1" operator="greaterThanOrEqual">
      <formula>0.5</formula>
    </cfRule>
  </conditionalFormatting>
  <conditionalFormatting sqref="AJ28">
    <cfRule type="cellIs" dxfId="35784" priority="110401" stopIfTrue="1" operator="equal">
      <formula>-1</formula>
    </cfRule>
  </conditionalFormatting>
  <conditionalFormatting sqref="AJ28">
    <cfRule type="cellIs" dxfId="35783" priority="110402" stopIfTrue="1" operator="lessThan">
      <formula>0.5</formula>
    </cfRule>
  </conditionalFormatting>
  <conditionalFormatting sqref="AJ28">
    <cfRule type="cellIs" dxfId="35782" priority="110403" stopIfTrue="1" operator="greaterThanOrEqual">
      <formula>0.5</formula>
    </cfRule>
  </conditionalFormatting>
  <conditionalFormatting sqref="AJ29">
    <cfRule type="cellIs" dxfId="35781" priority="110404" stopIfTrue="1" operator="equal">
      <formula>-1</formula>
    </cfRule>
  </conditionalFormatting>
  <conditionalFormatting sqref="AJ29">
    <cfRule type="cellIs" dxfId="35780" priority="110405" stopIfTrue="1" operator="lessThan">
      <formula>0.5</formula>
    </cfRule>
  </conditionalFormatting>
  <conditionalFormatting sqref="AJ29">
    <cfRule type="cellIs" dxfId="35779" priority="110406" stopIfTrue="1" operator="greaterThanOrEqual">
      <formula>0.5</formula>
    </cfRule>
  </conditionalFormatting>
  <conditionalFormatting sqref="AJ30">
    <cfRule type="cellIs" dxfId="35778" priority="110407" stopIfTrue="1" operator="equal">
      <formula>-1</formula>
    </cfRule>
  </conditionalFormatting>
  <conditionalFormatting sqref="AJ30">
    <cfRule type="cellIs" dxfId="35777" priority="110408" stopIfTrue="1" operator="lessThan">
      <formula>0.5</formula>
    </cfRule>
  </conditionalFormatting>
  <conditionalFormatting sqref="AJ30">
    <cfRule type="cellIs" dxfId="35776" priority="110409" stopIfTrue="1" operator="greaterThanOrEqual">
      <formula>0.5</formula>
    </cfRule>
  </conditionalFormatting>
  <conditionalFormatting sqref="AJ31">
    <cfRule type="cellIs" dxfId="35775" priority="110410" stopIfTrue="1" operator="equal">
      <formula>-1</formula>
    </cfRule>
  </conditionalFormatting>
  <conditionalFormatting sqref="AJ31">
    <cfRule type="cellIs" dxfId="35774" priority="110411" stopIfTrue="1" operator="lessThan">
      <formula>0.5</formula>
    </cfRule>
  </conditionalFormatting>
  <conditionalFormatting sqref="AJ31">
    <cfRule type="cellIs" dxfId="35773" priority="110412" stopIfTrue="1" operator="greaterThanOrEqual">
      <formula>0.5</formula>
    </cfRule>
  </conditionalFormatting>
  <conditionalFormatting sqref="AJ32">
    <cfRule type="cellIs" dxfId="35772" priority="110413" stopIfTrue="1" operator="equal">
      <formula>-1</formula>
    </cfRule>
  </conditionalFormatting>
  <conditionalFormatting sqref="AJ32">
    <cfRule type="cellIs" dxfId="35771" priority="110414" stopIfTrue="1" operator="lessThan">
      <formula>0.5</formula>
    </cfRule>
  </conditionalFormatting>
  <conditionalFormatting sqref="AJ32">
    <cfRule type="cellIs" dxfId="35770" priority="110415" stopIfTrue="1" operator="greaterThanOrEqual">
      <formula>0.5</formula>
    </cfRule>
  </conditionalFormatting>
  <conditionalFormatting sqref="AJ33">
    <cfRule type="cellIs" dxfId="35769" priority="110416" stopIfTrue="1" operator="equal">
      <formula>-1</formula>
    </cfRule>
  </conditionalFormatting>
  <conditionalFormatting sqref="AJ33">
    <cfRule type="cellIs" dxfId="35768" priority="110417" stopIfTrue="1" operator="lessThan">
      <formula>0.5</formula>
    </cfRule>
  </conditionalFormatting>
  <conditionalFormatting sqref="AJ33">
    <cfRule type="cellIs" dxfId="35767" priority="110418" stopIfTrue="1" operator="greaterThanOrEqual">
      <formula>0.5</formula>
    </cfRule>
  </conditionalFormatting>
  <conditionalFormatting sqref="AJ34">
    <cfRule type="cellIs" dxfId="35766" priority="110419" stopIfTrue="1" operator="equal">
      <formula>-1</formula>
    </cfRule>
  </conditionalFormatting>
  <conditionalFormatting sqref="AJ34">
    <cfRule type="cellIs" dxfId="35765" priority="110420" stopIfTrue="1" operator="lessThan">
      <formula>0.5</formula>
    </cfRule>
  </conditionalFormatting>
  <conditionalFormatting sqref="AJ34">
    <cfRule type="cellIs" dxfId="35764" priority="110421" stopIfTrue="1" operator="greaterThanOrEqual">
      <formula>0.5</formula>
    </cfRule>
  </conditionalFormatting>
  <conditionalFormatting sqref="AJ35">
    <cfRule type="cellIs" dxfId="35763" priority="110422" stopIfTrue="1" operator="equal">
      <formula>-1</formula>
    </cfRule>
  </conditionalFormatting>
  <conditionalFormatting sqref="AJ35">
    <cfRule type="cellIs" dxfId="35762" priority="110423" stopIfTrue="1" operator="lessThan">
      <formula>0.5</formula>
    </cfRule>
  </conditionalFormatting>
  <conditionalFormatting sqref="AJ35">
    <cfRule type="cellIs" dxfId="35761" priority="110424" stopIfTrue="1" operator="greaterThanOrEqual">
      <formula>0.5</formula>
    </cfRule>
  </conditionalFormatting>
  <conditionalFormatting sqref="AJ36">
    <cfRule type="cellIs" dxfId="35760" priority="110425" stopIfTrue="1" operator="equal">
      <formula>-1</formula>
    </cfRule>
  </conditionalFormatting>
  <conditionalFormatting sqref="AJ36">
    <cfRule type="cellIs" dxfId="35759" priority="110426" stopIfTrue="1" operator="lessThan">
      <formula>0.5</formula>
    </cfRule>
  </conditionalFormatting>
  <conditionalFormatting sqref="AJ36">
    <cfRule type="cellIs" dxfId="35758" priority="110427" stopIfTrue="1" operator="greaterThanOrEqual">
      <formula>0.5</formula>
    </cfRule>
  </conditionalFormatting>
  <conditionalFormatting sqref="AJ37">
    <cfRule type="cellIs" dxfId="35757" priority="110428" stopIfTrue="1" operator="equal">
      <formula>-1</formula>
    </cfRule>
  </conditionalFormatting>
  <conditionalFormatting sqref="AJ37">
    <cfRule type="cellIs" dxfId="35756" priority="110429" stopIfTrue="1" operator="lessThan">
      <formula>0.5</formula>
    </cfRule>
  </conditionalFormatting>
  <conditionalFormatting sqref="AJ37">
    <cfRule type="cellIs" dxfId="35755" priority="110430" stopIfTrue="1" operator="greaterThanOrEqual">
      <formula>0.5</formula>
    </cfRule>
  </conditionalFormatting>
  <conditionalFormatting sqref="AL17">
    <cfRule type="cellIs" dxfId="35754" priority="110431" stopIfTrue="1" operator="equal">
      <formula>-1</formula>
    </cfRule>
  </conditionalFormatting>
  <conditionalFormatting sqref="AL17">
    <cfRule type="cellIs" dxfId="35753" priority="110432" stopIfTrue="1" operator="lessThan">
      <formula>0.5</formula>
    </cfRule>
  </conditionalFormatting>
  <conditionalFormatting sqref="AL17">
    <cfRule type="cellIs" dxfId="35752" priority="110433" stopIfTrue="1" operator="greaterThanOrEqual">
      <formula>0.5</formula>
    </cfRule>
  </conditionalFormatting>
  <conditionalFormatting sqref="AL18">
    <cfRule type="cellIs" dxfId="35751" priority="110434" stopIfTrue="1" operator="equal">
      <formula>-1</formula>
    </cfRule>
  </conditionalFormatting>
  <conditionalFormatting sqref="AL18">
    <cfRule type="cellIs" dxfId="35750" priority="110435" stopIfTrue="1" operator="lessThan">
      <formula>0.5</formula>
    </cfRule>
  </conditionalFormatting>
  <conditionalFormatting sqref="AL18">
    <cfRule type="cellIs" dxfId="35749" priority="110436" stopIfTrue="1" operator="greaterThanOrEqual">
      <formula>0.5</formula>
    </cfRule>
  </conditionalFormatting>
  <conditionalFormatting sqref="AL19">
    <cfRule type="cellIs" dxfId="35748" priority="110437" stopIfTrue="1" operator="equal">
      <formula>-1</formula>
    </cfRule>
  </conditionalFormatting>
  <conditionalFormatting sqref="AL19">
    <cfRule type="cellIs" dxfId="35747" priority="110438" stopIfTrue="1" operator="lessThan">
      <formula>0.5</formula>
    </cfRule>
  </conditionalFormatting>
  <conditionalFormatting sqref="AL19">
    <cfRule type="cellIs" dxfId="35746" priority="110439" stopIfTrue="1" operator="greaterThanOrEqual">
      <formula>0.5</formula>
    </cfRule>
  </conditionalFormatting>
  <conditionalFormatting sqref="AL20">
    <cfRule type="cellIs" dxfId="35745" priority="110440" stopIfTrue="1" operator="equal">
      <formula>-1</formula>
    </cfRule>
  </conditionalFormatting>
  <conditionalFormatting sqref="AL20">
    <cfRule type="cellIs" dxfId="35744" priority="110441" stopIfTrue="1" operator="lessThan">
      <formula>0.5</formula>
    </cfRule>
  </conditionalFormatting>
  <conditionalFormatting sqref="AL20">
    <cfRule type="cellIs" dxfId="35743" priority="110442" stopIfTrue="1" operator="greaterThanOrEqual">
      <formula>0.5</formula>
    </cfRule>
  </conditionalFormatting>
  <conditionalFormatting sqref="AL21">
    <cfRule type="cellIs" dxfId="35742" priority="110443" stopIfTrue="1" operator="equal">
      <formula>-1</formula>
    </cfRule>
  </conditionalFormatting>
  <conditionalFormatting sqref="AL21">
    <cfRule type="cellIs" dxfId="35741" priority="110444" stopIfTrue="1" operator="lessThan">
      <formula>0.5</formula>
    </cfRule>
  </conditionalFormatting>
  <conditionalFormatting sqref="AL21">
    <cfRule type="cellIs" dxfId="35740" priority="110445" stopIfTrue="1" operator="greaterThanOrEqual">
      <formula>0.5</formula>
    </cfRule>
  </conditionalFormatting>
  <conditionalFormatting sqref="AL22">
    <cfRule type="cellIs" dxfId="35739" priority="110446" stopIfTrue="1" operator="equal">
      <formula>-1</formula>
    </cfRule>
  </conditionalFormatting>
  <conditionalFormatting sqref="AL22">
    <cfRule type="cellIs" dxfId="35738" priority="110447" stopIfTrue="1" operator="lessThan">
      <formula>0.5</formula>
    </cfRule>
  </conditionalFormatting>
  <conditionalFormatting sqref="AL22">
    <cfRule type="cellIs" dxfId="35737" priority="110448" stopIfTrue="1" operator="greaterThanOrEqual">
      <formula>0.5</formula>
    </cfRule>
  </conditionalFormatting>
  <conditionalFormatting sqref="AL23">
    <cfRule type="cellIs" dxfId="35736" priority="110449" stopIfTrue="1" operator="equal">
      <formula>-1</formula>
    </cfRule>
  </conditionalFormatting>
  <conditionalFormatting sqref="AL23">
    <cfRule type="cellIs" dxfId="35735" priority="110450" stopIfTrue="1" operator="lessThan">
      <formula>0.5</formula>
    </cfRule>
  </conditionalFormatting>
  <conditionalFormatting sqref="AL23">
    <cfRule type="cellIs" dxfId="35734" priority="110451" stopIfTrue="1" operator="greaterThanOrEqual">
      <formula>0.5</formula>
    </cfRule>
  </conditionalFormatting>
  <conditionalFormatting sqref="AL24">
    <cfRule type="cellIs" dxfId="35733" priority="110452" stopIfTrue="1" operator="equal">
      <formula>-1</formula>
    </cfRule>
  </conditionalFormatting>
  <conditionalFormatting sqref="AL24">
    <cfRule type="cellIs" dxfId="35732" priority="110453" stopIfTrue="1" operator="lessThan">
      <formula>0.5</formula>
    </cfRule>
  </conditionalFormatting>
  <conditionalFormatting sqref="AL24">
    <cfRule type="cellIs" dxfId="35731" priority="110454" stopIfTrue="1" operator="greaterThanOrEqual">
      <formula>0.5</formula>
    </cfRule>
  </conditionalFormatting>
  <conditionalFormatting sqref="AL25">
    <cfRule type="cellIs" dxfId="35730" priority="110455" stopIfTrue="1" operator="equal">
      <formula>-1</formula>
    </cfRule>
  </conditionalFormatting>
  <conditionalFormatting sqref="AL25">
    <cfRule type="cellIs" dxfId="35729" priority="110456" stopIfTrue="1" operator="lessThan">
      <formula>0.5</formula>
    </cfRule>
  </conditionalFormatting>
  <conditionalFormatting sqref="AL25">
    <cfRule type="cellIs" dxfId="35728" priority="110457" stopIfTrue="1" operator="greaterThanOrEqual">
      <formula>0.5</formula>
    </cfRule>
  </conditionalFormatting>
  <conditionalFormatting sqref="AL26">
    <cfRule type="cellIs" dxfId="35727" priority="110458" stopIfTrue="1" operator="equal">
      <formula>-1</formula>
    </cfRule>
  </conditionalFormatting>
  <conditionalFormatting sqref="AL26">
    <cfRule type="cellIs" dxfId="35726" priority="110459" stopIfTrue="1" operator="lessThan">
      <formula>0.5</formula>
    </cfRule>
  </conditionalFormatting>
  <conditionalFormatting sqref="AL26">
    <cfRule type="cellIs" dxfId="35725" priority="110460" stopIfTrue="1" operator="greaterThanOrEqual">
      <formula>0.5</formula>
    </cfRule>
  </conditionalFormatting>
  <conditionalFormatting sqref="AL27">
    <cfRule type="cellIs" dxfId="35724" priority="110461" stopIfTrue="1" operator="equal">
      <formula>-1</formula>
    </cfRule>
  </conditionalFormatting>
  <conditionalFormatting sqref="AL27">
    <cfRule type="cellIs" dxfId="35723" priority="110462" stopIfTrue="1" operator="lessThan">
      <formula>0.5</formula>
    </cfRule>
  </conditionalFormatting>
  <conditionalFormatting sqref="AL27">
    <cfRule type="cellIs" dxfId="35722" priority="110463" stopIfTrue="1" operator="greaterThanOrEqual">
      <formula>0.5</formula>
    </cfRule>
  </conditionalFormatting>
  <conditionalFormatting sqref="AL28">
    <cfRule type="cellIs" dxfId="35721" priority="110464" stopIfTrue="1" operator="equal">
      <formula>-1</formula>
    </cfRule>
  </conditionalFormatting>
  <conditionalFormatting sqref="AL28">
    <cfRule type="cellIs" dxfId="35720" priority="110465" stopIfTrue="1" operator="lessThan">
      <formula>0.5</formula>
    </cfRule>
  </conditionalFormatting>
  <conditionalFormatting sqref="AL28">
    <cfRule type="cellIs" dxfId="35719" priority="110466" stopIfTrue="1" operator="greaterThanOrEqual">
      <formula>0.5</formula>
    </cfRule>
  </conditionalFormatting>
  <conditionalFormatting sqref="AL29">
    <cfRule type="cellIs" dxfId="35718" priority="110467" stopIfTrue="1" operator="equal">
      <formula>-1</formula>
    </cfRule>
  </conditionalFormatting>
  <conditionalFormatting sqref="AL29">
    <cfRule type="cellIs" dxfId="35717" priority="110468" stopIfTrue="1" operator="lessThan">
      <formula>0.5</formula>
    </cfRule>
  </conditionalFormatting>
  <conditionalFormatting sqref="AL29">
    <cfRule type="cellIs" dxfId="35716" priority="110469" stopIfTrue="1" operator="greaterThanOrEqual">
      <formula>0.5</formula>
    </cfRule>
  </conditionalFormatting>
  <conditionalFormatting sqref="AL30">
    <cfRule type="cellIs" dxfId="35715" priority="110470" stopIfTrue="1" operator="equal">
      <formula>-1</formula>
    </cfRule>
  </conditionalFormatting>
  <conditionalFormatting sqref="AL30">
    <cfRule type="cellIs" dxfId="35714" priority="110471" stopIfTrue="1" operator="lessThan">
      <formula>0.5</formula>
    </cfRule>
  </conditionalFormatting>
  <conditionalFormatting sqref="AL30">
    <cfRule type="cellIs" dxfId="35713" priority="110472" stopIfTrue="1" operator="greaterThanOrEqual">
      <formula>0.5</formula>
    </cfRule>
  </conditionalFormatting>
  <conditionalFormatting sqref="AL31">
    <cfRule type="cellIs" dxfId="35712" priority="110473" stopIfTrue="1" operator="equal">
      <formula>-1</formula>
    </cfRule>
  </conditionalFormatting>
  <conditionalFormatting sqref="AL31">
    <cfRule type="cellIs" dxfId="35711" priority="110474" stopIfTrue="1" operator="lessThan">
      <formula>0.5</formula>
    </cfRule>
  </conditionalFormatting>
  <conditionalFormatting sqref="AL31">
    <cfRule type="cellIs" dxfId="35710" priority="110475" stopIfTrue="1" operator="greaterThanOrEqual">
      <formula>0.5</formula>
    </cfRule>
  </conditionalFormatting>
  <conditionalFormatting sqref="AL32">
    <cfRule type="cellIs" dxfId="35709" priority="110476" stopIfTrue="1" operator="equal">
      <formula>-1</formula>
    </cfRule>
  </conditionalFormatting>
  <conditionalFormatting sqref="AL32">
    <cfRule type="cellIs" dxfId="35708" priority="110477" stopIfTrue="1" operator="lessThan">
      <formula>0.5</formula>
    </cfRule>
  </conditionalFormatting>
  <conditionalFormatting sqref="AL32">
    <cfRule type="cellIs" dxfId="35707" priority="110478" stopIfTrue="1" operator="greaterThanOrEqual">
      <formula>0.5</formula>
    </cfRule>
  </conditionalFormatting>
  <conditionalFormatting sqref="AL33">
    <cfRule type="cellIs" dxfId="35706" priority="110479" stopIfTrue="1" operator="equal">
      <formula>-1</formula>
    </cfRule>
  </conditionalFormatting>
  <conditionalFormatting sqref="AL33">
    <cfRule type="cellIs" dxfId="35705" priority="110480" stopIfTrue="1" operator="lessThan">
      <formula>0.5</formula>
    </cfRule>
  </conditionalFormatting>
  <conditionalFormatting sqref="AL33">
    <cfRule type="cellIs" dxfId="35704" priority="110481" stopIfTrue="1" operator="greaterThanOrEqual">
      <formula>0.5</formula>
    </cfRule>
  </conditionalFormatting>
  <conditionalFormatting sqref="AL34">
    <cfRule type="cellIs" dxfId="35703" priority="110482" stopIfTrue="1" operator="equal">
      <formula>-1</formula>
    </cfRule>
  </conditionalFormatting>
  <conditionalFormatting sqref="AL34">
    <cfRule type="cellIs" dxfId="35702" priority="110483" stopIfTrue="1" operator="lessThan">
      <formula>0.5</formula>
    </cfRule>
  </conditionalFormatting>
  <conditionalFormatting sqref="AL34">
    <cfRule type="cellIs" dxfId="35701" priority="110484" stopIfTrue="1" operator="greaterThanOrEqual">
      <formula>0.5</formula>
    </cfRule>
  </conditionalFormatting>
  <conditionalFormatting sqref="AL35">
    <cfRule type="cellIs" dxfId="35700" priority="110485" stopIfTrue="1" operator="equal">
      <formula>-1</formula>
    </cfRule>
  </conditionalFormatting>
  <conditionalFormatting sqref="AL35">
    <cfRule type="cellIs" dxfId="35699" priority="110486" stopIfTrue="1" operator="lessThan">
      <formula>0.5</formula>
    </cfRule>
  </conditionalFormatting>
  <conditionalFormatting sqref="AL35">
    <cfRule type="cellIs" dxfId="35698" priority="110487" stopIfTrue="1" operator="greaterThanOrEqual">
      <formula>0.5</formula>
    </cfRule>
  </conditionalFormatting>
  <conditionalFormatting sqref="AL36">
    <cfRule type="cellIs" dxfId="35697" priority="110488" stopIfTrue="1" operator="equal">
      <formula>-1</formula>
    </cfRule>
  </conditionalFormatting>
  <conditionalFormatting sqref="AL36">
    <cfRule type="cellIs" dxfId="35696" priority="110489" stopIfTrue="1" operator="lessThan">
      <formula>0.5</formula>
    </cfRule>
  </conditionalFormatting>
  <conditionalFormatting sqref="AL36">
    <cfRule type="cellIs" dxfId="35695" priority="110490" stopIfTrue="1" operator="greaterThanOrEqual">
      <formula>0.5</formula>
    </cfRule>
  </conditionalFormatting>
  <conditionalFormatting sqref="AL37">
    <cfRule type="cellIs" dxfId="35694" priority="110491" stopIfTrue="1" operator="equal">
      <formula>-1</formula>
    </cfRule>
  </conditionalFormatting>
  <conditionalFormatting sqref="AL37">
    <cfRule type="cellIs" dxfId="35693" priority="110492" stopIfTrue="1" operator="lessThan">
      <formula>0.5</formula>
    </cfRule>
  </conditionalFormatting>
  <conditionalFormatting sqref="AL37">
    <cfRule type="cellIs" dxfId="35692" priority="110493" stopIfTrue="1" operator="greaterThanOrEqual">
      <formula>0.5</formula>
    </cfRule>
  </conditionalFormatting>
  <conditionalFormatting sqref="AN17">
    <cfRule type="cellIs" dxfId="35691" priority="110494" stopIfTrue="1" operator="equal">
      <formula>-1</formula>
    </cfRule>
  </conditionalFormatting>
  <conditionalFormatting sqref="AN17">
    <cfRule type="cellIs" dxfId="35690" priority="110495" stopIfTrue="1" operator="lessThan">
      <formula>0.5</formula>
    </cfRule>
  </conditionalFormatting>
  <conditionalFormatting sqref="AN17">
    <cfRule type="cellIs" dxfId="35689" priority="110496" stopIfTrue="1" operator="greaterThanOrEqual">
      <formula>0.5</formula>
    </cfRule>
  </conditionalFormatting>
  <conditionalFormatting sqref="AN18">
    <cfRule type="cellIs" dxfId="35688" priority="110497" stopIfTrue="1" operator="equal">
      <formula>-1</formula>
    </cfRule>
  </conditionalFormatting>
  <conditionalFormatting sqref="AN18">
    <cfRule type="cellIs" dxfId="35687" priority="110498" stopIfTrue="1" operator="lessThan">
      <formula>0.5</formula>
    </cfRule>
  </conditionalFormatting>
  <conditionalFormatting sqref="AN18">
    <cfRule type="cellIs" dxfId="35686" priority="110499" stopIfTrue="1" operator="greaterThanOrEqual">
      <formula>0.5</formula>
    </cfRule>
  </conditionalFormatting>
  <conditionalFormatting sqref="AN19">
    <cfRule type="cellIs" dxfId="35685" priority="110500" stopIfTrue="1" operator="equal">
      <formula>-1</formula>
    </cfRule>
  </conditionalFormatting>
  <conditionalFormatting sqref="AN19">
    <cfRule type="cellIs" dxfId="35684" priority="110501" stopIfTrue="1" operator="lessThan">
      <formula>0.5</formula>
    </cfRule>
  </conditionalFormatting>
  <conditionalFormatting sqref="AN19">
    <cfRule type="cellIs" dxfId="35683" priority="110502" stopIfTrue="1" operator="greaterThanOrEqual">
      <formula>0.5</formula>
    </cfRule>
  </conditionalFormatting>
  <conditionalFormatting sqref="AN20">
    <cfRule type="cellIs" dxfId="35682" priority="110503" stopIfTrue="1" operator="equal">
      <formula>-1</formula>
    </cfRule>
  </conditionalFormatting>
  <conditionalFormatting sqref="AN20">
    <cfRule type="cellIs" dxfId="35681" priority="110504" stopIfTrue="1" operator="lessThan">
      <formula>0.5</formula>
    </cfRule>
  </conditionalFormatting>
  <conditionalFormatting sqref="AN20">
    <cfRule type="cellIs" dxfId="35680" priority="110505" stopIfTrue="1" operator="greaterThanOrEqual">
      <formula>0.5</formula>
    </cfRule>
  </conditionalFormatting>
  <conditionalFormatting sqref="AN21">
    <cfRule type="cellIs" dxfId="35679" priority="110506" stopIfTrue="1" operator="equal">
      <formula>-1</formula>
    </cfRule>
  </conditionalFormatting>
  <conditionalFormatting sqref="AN21">
    <cfRule type="cellIs" dxfId="35678" priority="110507" stopIfTrue="1" operator="lessThan">
      <formula>0.5</formula>
    </cfRule>
  </conditionalFormatting>
  <conditionalFormatting sqref="AN21">
    <cfRule type="cellIs" dxfId="35677" priority="110508" stopIfTrue="1" operator="greaterThanOrEqual">
      <formula>0.5</formula>
    </cfRule>
  </conditionalFormatting>
  <conditionalFormatting sqref="AN22">
    <cfRule type="cellIs" dxfId="35676" priority="110509" stopIfTrue="1" operator="equal">
      <formula>-1</formula>
    </cfRule>
  </conditionalFormatting>
  <conditionalFormatting sqref="AN22">
    <cfRule type="cellIs" dxfId="35675" priority="110510" stopIfTrue="1" operator="lessThan">
      <formula>0.5</formula>
    </cfRule>
  </conditionalFormatting>
  <conditionalFormatting sqref="AN22">
    <cfRule type="cellIs" dxfId="35674" priority="110511" stopIfTrue="1" operator="greaterThanOrEqual">
      <formula>0.5</formula>
    </cfRule>
  </conditionalFormatting>
  <conditionalFormatting sqref="AN23">
    <cfRule type="cellIs" dxfId="35673" priority="110512" stopIfTrue="1" operator="equal">
      <formula>-1</formula>
    </cfRule>
  </conditionalFormatting>
  <conditionalFormatting sqref="AN23">
    <cfRule type="cellIs" dxfId="35672" priority="110513" stopIfTrue="1" operator="lessThan">
      <formula>0.5</formula>
    </cfRule>
  </conditionalFormatting>
  <conditionalFormatting sqref="AN23">
    <cfRule type="cellIs" dxfId="35671" priority="110514" stopIfTrue="1" operator="greaterThanOrEqual">
      <formula>0.5</formula>
    </cfRule>
  </conditionalFormatting>
  <conditionalFormatting sqref="AN24">
    <cfRule type="cellIs" dxfId="35670" priority="110515" stopIfTrue="1" operator="equal">
      <formula>-1</formula>
    </cfRule>
  </conditionalFormatting>
  <conditionalFormatting sqref="AN24">
    <cfRule type="cellIs" dxfId="35669" priority="110516" stopIfTrue="1" operator="lessThan">
      <formula>0.5</formula>
    </cfRule>
  </conditionalFormatting>
  <conditionalFormatting sqref="AN24">
    <cfRule type="cellIs" dxfId="35668" priority="110517" stopIfTrue="1" operator="greaterThanOrEqual">
      <formula>0.5</formula>
    </cfRule>
  </conditionalFormatting>
  <conditionalFormatting sqref="AN25">
    <cfRule type="cellIs" dxfId="35667" priority="110518" stopIfTrue="1" operator="equal">
      <formula>-1</formula>
    </cfRule>
  </conditionalFormatting>
  <conditionalFormatting sqref="AN25">
    <cfRule type="cellIs" dxfId="35666" priority="110519" stopIfTrue="1" operator="lessThan">
      <formula>0.5</formula>
    </cfRule>
  </conditionalFormatting>
  <conditionalFormatting sqref="AN25">
    <cfRule type="cellIs" dxfId="35665" priority="110520" stopIfTrue="1" operator="greaterThanOrEqual">
      <formula>0.5</formula>
    </cfRule>
  </conditionalFormatting>
  <conditionalFormatting sqref="AN26">
    <cfRule type="cellIs" dxfId="35664" priority="110521" stopIfTrue="1" operator="equal">
      <formula>-1</formula>
    </cfRule>
  </conditionalFormatting>
  <conditionalFormatting sqref="AN26">
    <cfRule type="cellIs" dxfId="35663" priority="110522" stopIfTrue="1" operator="lessThan">
      <formula>0.5</formula>
    </cfRule>
  </conditionalFormatting>
  <conditionalFormatting sqref="AN26">
    <cfRule type="cellIs" dxfId="35662" priority="110523" stopIfTrue="1" operator="greaterThanOrEqual">
      <formula>0.5</formula>
    </cfRule>
  </conditionalFormatting>
  <conditionalFormatting sqref="AN27">
    <cfRule type="cellIs" dxfId="35661" priority="110524" stopIfTrue="1" operator="equal">
      <formula>-1</formula>
    </cfRule>
  </conditionalFormatting>
  <conditionalFormatting sqref="AN27">
    <cfRule type="cellIs" dxfId="35660" priority="110525" stopIfTrue="1" operator="lessThan">
      <formula>0.5</formula>
    </cfRule>
  </conditionalFormatting>
  <conditionalFormatting sqref="AN27">
    <cfRule type="cellIs" dxfId="35659" priority="110526" stopIfTrue="1" operator="greaterThanOrEqual">
      <formula>0.5</formula>
    </cfRule>
  </conditionalFormatting>
  <conditionalFormatting sqref="AN28">
    <cfRule type="cellIs" dxfId="35658" priority="110527" stopIfTrue="1" operator="equal">
      <formula>-1</formula>
    </cfRule>
  </conditionalFormatting>
  <conditionalFormatting sqref="AN28">
    <cfRule type="cellIs" dxfId="35657" priority="110528" stopIfTrue="1" operator="lessThan">
      <formula>0.5</formula>
    </cfRule>
  </conditionalFormatting>
  <conditionalFormatting sqref="AN28">
    <cfRule type="cellIs" dxfId="35656" priority="110529" stopIfTrue="1" operator="greaterThanOrEqual">
      <formula>0.5</formula>
    </cfRule>
  </conditionalFormatting>
  <conditionalFormatting sqref="AN29">
    <cfRule type="cellIs" dxfId="35655" priority="110530" stopIfTrue="1" operator="equal">
      <formula>-1</formula>
    </cfRule>
  </conditionalFormatting>
  <conditionalFormatting sqref="AN29">
    <cfRule type="cellIs" dxfId="35654" priority="110531" stopIfTrue="1" operator="lessThan">
      <formula>0.5</formula>
    </cfRule>
  </conditionalFormatting>
  <conditionalFormatting sqref="AN29">
    <cfRule type="cellIs" dxfId="35653" priority="110532" stopIfTrue="1" operator="greaterThanOrEqual">
      <formula>0.5</formula>
    </cfRule>
  </conditionalFormatting>
  <conditionalFormatting sqref="AN30">
    <cfRule type="cellIs" dxfId="35652" priority="110533" stopIfTrue="1" operator="equal">
      <formula>-1</formula>
    </cfRule>
  </conditionalFormatting>
  <conditionalFormatting sqref="AN30">
    <cfRule type="cellIs" dxfId="35651" priority="110534" stopIfTrue="1" operator="lessThan">
      <formula>0.5</formula>
    </cfRule>
  </conditionalFormatting>
  <conditionalFormatting sqref="AN30">
    <cfRule type="cellIs" dxfId="35650" priority="110535" stopIfTrue="1" operator="greaterThanOrEqual">
      <formula>0.5</formula>
    </cfRule>
  </conditionalFormatting>
  <conditionalFormatting sqref="AN31">
    <cfRule type="cellIs" dxfId="35649" priority="110536" stopIfTrue="1" operator="equal">
      <formula>-1</formula>
    </cfRule>
  </conditionalFormatting>
  <conditionalFormatting sqref="AN31">
    <cfRule type="cellIs" dxfId="35648" priority="110537" stopIfTrue="1" operator="lessThan">
      <formula>0.5</formula>
    </cfRule>
  </conditionalFormatting>
  <conditionalFormatting sqref="AN31">
    <cfRule type="cellIs" dxfId="35647" priority="110538" stopIfTrue="1" operator="greaterThanOrEqual">
      <formula>0.5</formula>
    </cfRule>
  </conditionalFormatting>
  <conditionalFormatting sqref="AN32">
    <cfRule type="cellIs" dxfId="35646" priority="110539" stopIfTrue="1" operator="equal">
      <formula>-1</formula>
    </cfRule>
  </conditionalFormatting>
  <conditionalFormatting sqref="AN32">
    <cfRule type="cellIs" dxfId="35645" priority="110540" stopIfTrue="1" operator="lessThan">
      <formula>0.5</formula>
    </cfRule>
  </conditionalFormatting>
  <conditionalFormatting sqref="AN32">
    <cfRule type="cellIs" dxfId="35644" priority="110541" stopIfTrue="1" operator="greaterThanOrEqual">
      <formula>0.5</formula>
    </cfRule>
  </conditionalFormatting>
  <conditionalFormatting sqref="AN33">
    <cfRule type="cellIs" dxfId="35643" priority="110542" stopIfTrue="1" operator="equal">
      <formula>-1</formula>
    </cfRule>
  </conditionalFormatting>
  <conditionalFormatting sqref="AN33">
    <cfRule type="cellIs" dxfId="35642" priority="110543" stopIfTrue="1" operator="lessThan">
      <formula>0.5</formula>
    </cfRule>
  </conditionalFormatting>
  <conditionalFormatting sqref="AN33">
    <cfRule type="cellIs" dxfId="35641" priority="110544" stopIfTrue="1" operator="greaterThanOrEqual">
      <formula>0.5</formula>
    </cfRule>
  </conditionalFormatting>
  <conditionalFormatting sqref="AN34">
    <cfRule type="cellIs" dxfId="35640" priority="110545" stopIfTrue="1" operator="equal">
      <formula>-1</formula>
    </cfRule>
  </conditionalFormatting>
  <conditionalFormatting sqref="AN34">
    <cfRule type="cellIs" dxfId="35639" priority="110546" stopIfTrue="1" operator="lessThan">
      <formula>0.5</formula>
    </cfRule>
  </conditionalFormatting>
  <conditionalFormatting sqref="AN34">
    <cfRule type="cellIs" dxfId="35638" priority="110547" stopIfTrue="1" operator="greaterThanOrEqual">
      <formula>0.5</formula>
    </cfRule>
  </conditionalFormatting>
  <conditionalFormatting sqref="AN35">
    <cfRule type="cellIs" dxfId="35637" priority="110548" stopIfTrue="1" operator="equal">
      <formula>-1</formula>
    </cfRule>
  </conditionalFormatting>
  <conditionalFormatting sqref="AN35">
    <cfRule type="cellIs" dxfId="35636" priority="110549" stopIfTrue="1" operator="lessThan">
      <formula>0.5</formula>
    </cfRule>
  </conditionalFormatting>
  <conditionalFormatting sqref="AN35">
    <cfRule type="cellIs" dxfId="35635" priority="110550" stopIfTrue="1" operator="greaterThanOrEqual">
      <formula>0.5</formula>
    </cfRule>
  </conditionalFormatting>
  <conditionalFormatting sqref="AN36">
    <cfRule type="cellIs" dxfId="35634" priority="110551" stopIfTrue="1" operator="equal">
      <formula>-1</formula>
    </cfRule>
  </conditionalFormatting>
  <conditionalFormatting sqref="AN36">
    <cfRule type="cellIs" dxfId="35633" priority="110552" stopIfTrue="1" operator="lessThan">
      <formula>0.5</formula>
    </cfRule>
  </conditionalFormatting>
  <conditionalFormatting sqref="AN36">
    <cfRule type="cellIs" dxfId="35632" priority="110553" stopIfTrue="1" operator="greaterThanOrEqual">
      <formula>0.5</formula>
    </cfRule>
  </conditionalFormatting>
  <conditionalFormatting sqref="AN37">
    <cfRule type="cellIs" dxfId="35631" priority="110554" stopIfTrue="1" operator="equal">
      <formula>-1</formula>
    </cfRule>
  </conditionalFormatting>
  <conditionalFormatting sqref="AN37">
    <cfRule type="cellIs" dxfId="35630" priority="110555" stopIfTrue="1" operator="lessThan">
      <formula>0.5</formula>
    </cfRule>
  </conditionalFormatting>
  <conditionalFormatting sqref="AN37">
    <cfRule type="cellIs" dxfId="35629" priority="110556" stopIfTrue="1" operator="greaterThanOrEqual">
      <formula>0.5</formula>
    </cfRule>
  </conditionalFormatting>
  <conditionalFormatting sqref="AP17">
    <cfRule type="cellIs" dxfId="35628" priority="110557" stopIfTrue="1" operator="equal">
      <formula>-1</formula>
    </cfRule>
  </conditionalFormatting>
  <conditionalFormatting sqref="AP17">
    <cfRule type="cellIs" dxfId="35627" priority="110558" stopIfTrue="1" operator="lessThan">
      <formula>0.5</formula>
    </cfRule>
  </conditionalFormatting>
  <conditionalFormatting sqref="AP17">
    <cfRule type="cellIs" dxfId="35626" priority="110559" stopIfTrue="1" operator="greaterThanOrEqual">
      <formula>0.5</formula>
    </cfRule>
  </conditionalFormatting>
  <conditionalFormatting sqref="AP18">
    <cfRule type="cellIs" dxfId="35625" priority="110560" stopIfTrue="1" operator="equal">
      <formula>-1</formula>
    </cfRule>
  </conditionalFormatting>
  <conditionalFormatting sqref="AP18">
    <cfRule type="cellIs" dxfId="35624" priority="110561" stopIfTrue="1" operator="lessThan">
      <formula>0.5</formula>
    </cfRule>
  </conditionalFormatting>
  <conditionalFormatting sqref="AP18">
    <cfRule type="cellIs" dxfId="35623" priority="110562" stopIfTrue="1" operator="greaterThanOrEqual">
      <formula>0.5</formula>
    </cfRule>
  </conditionalFormatting>
  <conditionalFormatting sqref="AP19">
    <cfRule type="cellIs" dxfId="35622" priority="110563" stopIfTrue="1" operator="equal">
      <formula>-1</formula>
    </cfRule>
  </conditionalFormatting>
  <conditionalFormatting sqref="AP19">
    <cfRule type="cellIs" dxfId="35621" priority="110564" stopIfTrue="1" operator="lessThan">
      <formula>0.5</formula>
    </cfRule>
  </conditionalFormatting>
  <conditionalFormatting sqref="AP19">
    <cfRule type="cellIs" dxfId="35620" priority="110565" stopIfTrue="1" operator="greaterThanOrEqual">
      <formula>0.5</formula>
    </cfRule>
  </conditionalFormatting>
  <conditionalFormatting sqref="AP20">
    <cfRule type="cellIs" dxfId="35619" priority="110566" stopIfTrue="1" operator="equal">
      <formula>-1</formula>
    </cfRule>
  </conditionalFormatting>
  <conditionalFormatting sqref="AP20">
    <cfRule type="cellIs" dxfId="35618" priority="110567" stopIfTrue="1" operator="lessThan">
      <formula>0.5</formula>
    </cfRule>
  </conditionalFormatting>
  <conditionalFormatting sqref="AP20">
    <cfRule type="cellIs" dxfId="35617" priority="110568" stopIfTrue="1" operator="greaterThanOrEqual">
      <formula>0.5</formula>
    </cfRule>
  </conditionalFormatting>
  <conditionalFormatting sqref="AP21">
    <cfRule type="cellIs" dxfId="35616" priority="110569" stopIfTrue="1" operator="equal">
      <formula>-1</formula>
    </cfRule>
  </conditionalFormatting>
  <conditionalFormatting sqref="AP21">
    <cfRule type="cellIs" dxfId="35615" priority="110570" stopIfTrue="1" operator="lessThan">
      <formula>0.5</formula>
    </cfRule>
  </conditionalFormatting>
  <conditionalFormatting sqref="AP21">
    <cfRule type="cellIs" dxfId="35614" priority="110571" stopIfTrue="1" operator="greaterThanOrEqual">
      <formula>0.5</formula>
    </cfRule>
  </conditionalFormatting>
  <conditionalFormatting sqref="AP22">
    <cfRule type="cellIs" dxfId="35613" priority="110572" stopIfTrue="1" operator="equal">
      <formula>-1</formula>
    </cfRule>
  </conditionalFormatting>
  <conditionalFormatting sqref="AP22">
    <cfRule type="cellIs" dxfId="35612" priority="110573" stopIfTrue="1" operator="lessThan">
      <formula>0.5</formula>
    </cfRule>
  </conditionalFormatting>
  <conditionalFormatting sqref="AP22">
    <cfRule type="cellIs" dxfId="35611" priority="110574" stopIfTrue="1" operator="greaterThanOrEqual">
      <formula>0.5</formula>
    </cfRule>
  </conditionalFormatting>
  <conditionalFormatting sqref="AP23">
    <cfRule type="cellIs" dxfId="35610" priority="110575" stopIfTrue="1" operator="equal">
      <formula>-1</formula>
    </cfRule>
  </conditionalFormatting>
  <conditionalFormatting sqref="AP23">
    <cfRule type="cellIs" dxfId="35609" priority="110576" stopIfTrue="1" operator="lessThan">
      <formula>0.5</formula>
    </cfRule>
  </conditionalFormatting>
  <conditionalFormatting sqref="AP23">
    <cfRule type="cellIs" dxfId="35608" priority="110577" stopIfTrue="1" operator="greaterThanOrEqual">
      <formula>0.5</formula>
    </cfRule>
  </conditionalFormatting>
  <conditionalFormatting sqref="AP24">
    <cfRule type="cellIs" dxfId="35607" priority="110578" stopIfTrue="1" operator="equal">
      <formula>-1</formula>
    </cfRule>
  </conditionalFormatting>
  <conditionalFormatting sqref="AP24">
    <cfRule type="cellIs" dxfId="35606" priority="110579" stopIfTrue="1" operator="lessThan">
      <formula>0.5</formula>
    </cfRule>
  </conditionalFormatting>
  <conditionalFormatting sqref="AP24">
    <cfRule type="cellIs" dxfId="35605" priority="110580" stopIfTrue="1" operator="greaterThanOrEqual">
      <formula>0.5</formula>
    </cfRule>
  </conditionalFormatting>
  <conditionalFormatting sqref="AP25">
    <cfRule type="cellIs" dxfId="35604" priority="110581" stopIfTrue="1" operator="equal">
      <formula>-1</formula>
    </cfRule>
  </conditionalFormatting>
  <conditionalFormatting sqref="AP25">
    <cfRule type="cellIs" dxfId="35603" priority="110582" stopIfTrue="1" operator="lessThan">
      <formula>0.5</formula>
    </cfRule>
  </conditionalFormatting>
  <conditionalFormatting sqref="AP25">
    <cfRule type="cellIs" dxfId="35602" priority="110583" stopIfTrue="1" operator="greaterThanOrEqual">
      <formula>0.5</formula>
    </cfRule>
  </conditionalFormatting>
  <conditionalFormatting sqref="AP26">
    <cfRule type="cellIs" dxfId="35601" priority="110584" stopIfTrue="1" operator="equal">
      <formula>-1</formula>
    </cfRule>
  </conditionalFormatting>
  <conditionalFormatting sqref="AP26">
    <cfRule type="cellIs" dxfId="35600" priority="110585" stopIfTrue="1" operator="lessThan">
      <formula>0.5</formula>
    </cfRule>
  </conditionalFormatting>
  <conditionalFormatting sqref="AP26">
    <cfRule type="cellIs" dxfId="35599" priority="110586" stopIfTrue="1" operator="greaterThanOrEqual">
      <formula>0.5</formula>
    </cfRule>
  </conditionalFormatting>
  <conditionalFormatting sqref="AP27">
    <cfRule type="cellIs" dxfId="35598" priority="110587" stopIfTrue="1" operator="equal">
      <formula>-1</formula>
    </cfRule>
  </conditionalFormatting>
  <conditionalFormatting sqref="AP27">
    <cfRule type="cellIs" dxfId="35597" priority="110588" stopIfTrue="1" operator="lessThan">
      <formula>0.5</formula>
    </cfRule>
  </conditionalFormatting>
  <conditionalFormatting sqref="AP27">
    <cfRule type="cellIs" dxfId="35596" priority="110589" stopIfTrue="1" operator="greaterThanOrEqual">
      <formula>0.5</formula>
    </cfRule>
  </conditionalFormatting>
  <conditionalFormatting sqref="AP28">
    <cfRule type="cellIs" dxfId="35595" priority="110590" stopIfTrue="1" operator="equal">
      <formula>-1</formula>
    </cfRule>
  </conditionalFormatting>
  <conditionalFormatting sqref="AP28">
    <cfRule type="cellIs" dxfId="35594" priority="110591" stopIfTrue="1" operator="lessThan">
      <formula>0.5</formula>
    </cfRule>
  </conditionalFormatting>
  <conditionalFormatting sqref="AP28">
    <cfRule type="cellIs" dxfId="35593" priority="110592" stopIfTrue="1" operator="greaterThanOrEqual">
      <formula>0.5</formula>
    </cfRule>
  </conditionalFormatting>
  <conditionalFormatting sqref="AP29">
    <cfRule type="cellIs" dxfId="35592" priority="110593" stopIfTrue="1" operator="equal">
      <formula>-1</formula>
    </cfRule>
  </conditionalFormatting>
  <conditionalFormatting sqref="AP29">
    <cfRule type="cellIs" dxfId="35591" priority="110594" stopIfTrue="1" operator="lessThan">
      <formula>0.5</formula>
    </cfRule>
  </conditionalFormatting>
  <conditionalFormatting sqref="AP29">
    <cfRule type="cellIs" dxfId="35590" priority="110595" stopIfTrue="1" operator="greaterThanOrEqual">
      <formula>0.5</formula>
    </cfRule>
  </conditionalFormatting>
  <conditionalFormatting sqref="AP30">
    <cfRule type="cellIs" dxfId="35589" priority="110596" stopIfTrue="1" operator="equal">
      <formula>-1</formula>
    </cfRule>
  </conditionalFormatting>
  <conditionalFormatting sqref="AP30">
    <cfRule type="cellIs" dxfId="35588" priority="110597" stopIfTrue="1" operator="lessThan">
      <formula>0.5</formula>
    </cfRule>
  </conditionalFormatting>
  <conditionalFormatting sqref="AP30">
    <cfRule type="cellIs" dxfId="35587" priority="110598" stopIfTrue="1" operator="greaterThanOrEqual">
      <formula>0.5</formula>
    </cfRule>
  </conditionalFormatting>
  <conditionalFormatting sqref="AP31">
    <cfRule type="cellIs" dxfId="35586" priority="110599" stopIfTrue="1" operator="equal">
      <formula>-1</formula>
    </cfRule>
  </conditionalFormatting>
  <conditionalFormatting sqref="AP31">
    <cfRule type="cellIs" dxfId="35585" priority="110600" stopIfTrue="1" operator="lessThan">
      <formula>0.5</formula>
    </cfRule>
  </conditionalFormatting>
  <conditionalFormatting sqref="AP31">
    <cfRule type="cellIs" dxfId="35584" priority="110601" stopIfTrue="1" operator="greaterThanOrEqual">
      <formula>0.5</formula>
    </cfRule>
  </conditionalFormatting>
  <conditionalFormatting sqref="AP32">
    <cfRule type="cellIs" dxfId="35583" priority="110602" stopIfTrue="1" operator="equal">
      <formula>-1</formula>
    </cfRule>
  </conditionalFormatting>
  <conditionalFormatting sqref="AP32">
    <cfRule type="cellIs" dxfId="35582" priority="110603" stopIfTrue="1" operator="lessThan">
      <formula>0.5</formula>
    </cfRule>
  </conditionalFormatting>
  <conditionalFormatting sqref="AP32">
    <cfRule type="cellIs" dxfId="35581" priority="110604" stopIfTrue="1" operator="greaterThanOrEqual">
      <formula>0.5</formula>
    </cfRule>
  </conditionalFormatting>
  <conditionalFormatting sqref="AP33">
    <cfRule type="cellIs" dxfId="35580" priority="110605" stopIfTrue="1" operator="equal">
      <formula>-1</formula>
    </cfRule>
  </conditionalFormatting>
  <conditionalFormatting sqref="AP33">
    <cfRule type="cellIs" dxfId="35579" priority="110606" stopIfTrue="1" operator="lessThan">
      <formula>0.5</formula>
    </cfRule>
  </conditionalFormatting>
  <conditionalFormatting sqref="AP33">
    <cfRule type="cellIs" dxfId="35578" priority="110607" stopIfTrue="1" operator="greaterThanOrEqual">
      <formula>0.5</formula>
    </cfRule>
  </conditionalFormatting>
  <conditionalFormatting sqref="AP34">
    <cfRule type="cellIs" dxfId="35577" priority="110608" stopIfTrue="1" operator="equal">
      <formula>-1</formula>
    </cfRule>
  </conditionalFormatting>
  <conditionalFormatting sqref="AP34">
    <cfRule type="cellIs" dxfId="35576" priority="110609" stopIfTrue="1" operator="lessThan">
      <formula>0.5</formula>
    </cfRule>
  </conditionalFormatting>
  <conditionalFormatting sqref="AP34">
    <cfRule type="cellIs" dxfId="35575" priority="110610" stopIfTrue="1" operator="greaterThanOrEqual">
      <formula>0.5</formula>
    </cfRule>
  </conditionalFormatting>
  <conditionalFormatting sqref="AP35">
    <cfRule type="cellIs" dxfId="35574" priority="110611" stopIfTrue="1" operator="equal">
      <formula>-1</formula>
    </cfRule>
  </conditionalFormatting>
  <conditionalFormatting sqref="AP35">
    <cfRule type="cellIs" dxfId="35573" priority="110612" stopIfTrue="1" operator="lessThan">
      <formula>0.5</formula>
    </cfRule>
  </conditionalFormatting>
  <conditionalFormatting sqref="AP35">
    <cfRule type="cellIs" dxfId="35572" priority="110613" stopIfTrue="1" operator="greaterThanOrEqual">
      <formula>0.5</formula>
    </cfRule>
  </conditionalFormatting>
  <conditionalFormatting sqref="AP36">
    <cfRule type="cellIs" dxfId="35571" priority="110614" stopIfTrue="1" operator="equal">
      <formula>-1</formula>
    </cfRule>
  </conditionalFormatting>
  <conditionalFormatting sqref="AP36">
    <cfRule type="cellIs" dxfId="35570" priority="110615" stopIfTrue="1" operator="lessThan">
      <formula>0.5</formula>
    </cfRule>
  </conditionalFormatting>
  <conditionalFormatting sqref="AP36">
    <cfRule type="cellIs" dxfId="35569" priority="110616" stopIfTrue="1" operator="greaterThanOrEqual">
      <formula>0.5</formula>
    </cfRule>
  </conditionalFormatting>
  <conditionalFormatting sqref="AP37">
    <cfRule type="cellIs" dxfId="35568" priority="110617" stopIfTrue="1" operator="equal">
      <formula>-1</formula>
    </cfRule>
  </conditionalFormatting>
  <conditionalFormatting sqref="AP37">
    <cfRule type="cellIs" dxfId="35567" priority="110618" stopIfTrue="1" operator="lessThan">
      <formula>0.5</formula>
    </cfRule>
  </conditionalFormatting>
  <conditionalFormatting sqref="AP37">
    <cfRule type="cellIs" dxfId="35566" priority="110619" stopIfTrue="1" operator="greaterThanOrEqual">
      <formula>0.5</formula>
    </cfRule>
  </conditionalFormatting>
  <conditionalFormatting sqref="AR17">
    <cfRule type="cellIs" dxfId="35565" priority="110620" stopIfTrue="1" operator="equal">
      <formula>-1</formula>
    </cfRule>
  </conditionalFormatting>
  <conditionalFormatting sqref="AR17">
    <cfRule type="cellIs" dxfId="35564" priority="110621" stopIfTrue="1" operator="lessThan">
      <formula>0.5</formula>
    </cfRule>
  </conditionalFormatting>
  <conditionalFormatting sqref="AR17">
    <cfRule type="cellIs" dxfId="35563" priority="110622" stopIfTrue="1" operator="greaterThanOrEqual">
      <formula>0.5</formula>
    </cfRule>
  </conditionalFormatting>
  <conditionalFormatting sqref="AR18">
    <cfRule type="cellIs" dxfId="35562" priority="110623" stopIfTrue="1" operator="equal">
      <formula>-1</formula>
    </cfRule>
  </conditionalFormatting>
  <conditionalFormatting sqref="AR18">
    <cfRule type="cellIs" dxfId="35561" priority="110624" stopIfTrue="1" operator="lessThan">
      <formula>0.5</formula>
    </cfRule>
  </conditionalFormatting>
  <conditionalFormatting sqref="AR18">
    <cfRule type="cellIs" dxfId="35560" priority="110625" stopIfTrue="1" operator="greaterThanOrEqual">
      <formula>0.5</formula>
    </cfRule>
  </conditionalFormatting>
  <conditionalFormatting sqref="AR19">
    <cfRule type="cellIs" dxfId="35559" priority="110626" stopIfTrue="1" operator="equal">
      <formula>-1</formula>
    </cfRule>
  </conditionalFormatting>
  <conditionalFormatting sqref="AR19">
    <cfRule type="cellIs" dxfId="35558" priority="110627" stopIfTrue="1" operator="lessThan">
      <formula>0.5</formula>
    </cfRule>
  </conditionalFormatting>
  <conditionalFormatting sqref="AR19">
    <cfRule type="cellIs" dxfId="35557" priority="110628" stopIfTrue="1" operator="greaterThanOrEqual">
      <formula>0.5</formula>
    </cfRule>
  </conditionalFormatting>
  <conditionalFormatting sqref="AR20">
    <cfRule type="cellIs" dxfId="35556" priority="110629" stopIfTrue="1" operator="equal">
      <formula>-1</formula>
    </cfRule>
  </conditionalFormatting>
  <conditionalFormatting sqref="AR20">
    <cfRule type="cellIs" dxfId="35555" priority="110630" stopIfTrue="1" operator="lessThan">
      <formula>0.5</formula>
    </cfRule>
  </conditionalFormatting>
  <conditionalFormatting sqref="AR20">
    <cfRule type="cellIs" dxfId="35554" priority="110631" stopIfTrue="1" operator="greaterThanOrEqual">
      <formula>0.5</formula>
    </cfRule>
  </conditionalFormatting>
  <conditionalFormatting sqref="AR21">
    <cfRule type="cellIs" dxfId="35553" priority="110632" stopIfTrue="1" operator="equal">
      <formula>-1</formula>
    </cfRule>
  </conditionalFormatting>
  <conditionalFormatting sqref="AR21">
    <cfRule type="cellIs" dxfId="35552" priority="110633" stopIfTrue="1" operator="lessThan">
      <formula>0.5</formula>
    </cfRule>
  </conditionalFormatting>
  <conditionalFormatting sqref="AR21">
    <cfRule type="cellIs" dxfId="35551" priority="110634" stopIfTrue="1" operator="greaterThanOrEqual">
      <formula>0.5</formula>
    </cfRule>
  </conditionalFormatting>
  <conditionalFormatting sqref="AR22">
    <cfRule type="cellIs" dxfId="35550" priority="110635" stopIfTrue="1" operator="equal">
      <formula>-1</formula>
    </cfRule>
  </conditionalFormatting>
  <conditionalFormatting sqref="AR22">
    <cfRule type="cellIs" dxfId="35549" priority="110636" stopIfTrue="1" operator="lessThan">
      <formula>0.5</formula>
    </cfRule>
  </conditionalFormatting>
  <conditionalFormatting sqref="AR22">
    <cfRule type="cellIs" dxfId="35548" priority="110637" stopIfTrue="1" operator="greaterThanOrEqual">
      <formula>0.5</formula>
    </cfRule>
  </conditionalFormatting>
  <conditionalFormatting sqref="AR23">
    <cfRule type="cellIs" dxfId="35547" priority="110638" stopIfTrue="1" operator="equal">
      <formula>-1</formula>
    </cfRule>
  </conditionalFormatting>
  <conditionalFormatting sqref="AR23">
    <cfRule type="cellIs" dxfId="35546" priority="110639" stopIfTrue="1" operator="lessThan">
      <formula>0.5</formula>
    </cfRule>
  </conditionalFormatting>
  <conditionalFormatting sqref="AR23">
    <cfRule type="cellIs" dxfId="35545" priority="110640" stopIfTrue="1" operator="greaterThanOrEqual">
      <formula>0.5</formula>
    </cfRule>
  </conditionalFormatting>
  <conditionalFormatting sqref="AR24">
    <cfRule type="cellIs" dxfId="35544" priority="110641" stopIfTrue="1" operator="equal">
      <formula>-1</formula>
    </cfRule>
  </conditionalFormatting>
  <conditionalFormatting sqref="AR24">
    <cfRule type="cellIs" dxfId="35543" priority="110642" stopIfTrue="1" operator="lessThan">
      <formula>0.5</formula>
    </cfRule>
  </conditionalFormatting>
  <conditionalFormatting sqref="AR24">
    <cfRule type="cellIs" dxfId="35542" priority="110643" stopIfTrue="1" operator="greaterThanOrEqual">
      <formula>0.5</formula>
    </cfRule>
  </conditionalFormatting>
  <conditionalFormatting sqref="AR25">
    <cfRule type="cellIs" dxfId="35541" priority="110644" stopIfTrue="1" operator="equal">
      <formula>-1</formula>
    </cfRule>
  </conditionalFormatting>
  <conditionalFormatting sqref="AR25">
    <cfRule type="cellIs" dxfId="35540" priority="110645" stopIfTrue="1" operator="lessThan">
      <formula>0.5</formula>
    </cfRule>
  </conditionalFormatting>
  <conditionalFormatting sqref="AR25">
    <cfRule type="cellIs" dxfId="35539" priority="110646" stopIfTrue="1" operator="greaterThanOrEqual">
      <formula>0.5</formula>
    </cfRule>
  </conditionalFormatting>
  <conditionalFormatting sqref="AR26">
    <cfRule type="cellIs" dxfId="35538" priority="110647" stopIfTrue="1" operator="equal">
      <formula>-1</formula>
    </cfRule>
  </conditionalFormatting>
  <conditionalFormatting sqref="AR26">
    <cfRule type="cellIs" dxfId="35537" priority="110648" stopIfTrue="1" operator="lessThan">
      <formula>0.5</formula>
    </cfRule>
  </conditionalFormatting>
  <conditionalFormatting sqref="AR26">
    <cfRule type="cellIs" dxfId="35536" priority="110649" stopIfTrue="1" operator="greaterThanOrEqual">
      <formula>0.5</formula>
    </cfRule>
  </conditionalFormatting>
  <conditionalFormatting sqref="AR27">
    <cfRule type="cellIs" dxfId="35535" priority="110650" stopIfTrue="1" operator="equal">
      <formula>-1</formula>
    </cfRule>
  </conditionalFormatting>
  <conditionalFormatting sqref="AR27">
    <cfRule type="cellIs" dxfId="35534" priority="110651" stopIfTrue="1" operator="lessThan">
      <formula>0.5</formula>
    </cfRule>
  </conditionalFormatting>
  <conditionalFormatting sqref="AR27">
    <cfRule type="cellIs" dxfId="35533" priority="110652" stopIfTrue="1" operator="greaterThanOrEqual">
      <formula>0.5</formula>
    </cfRule>
  </conditionalFormatting>
  <conditionalFormatting sqref="AR28">
    <cfRule type="cellIs" dxfId="35532" priority="110653" stopIfTrue="1" operator="equal">
      <formula>-1</formula>
    </cfRule>
  </conditionalFormatting>
  <conditionalFormatting sqref="AR28">
    <cfRule type="cellIs" dxfId="35531" priority="110654" stopIfTrue="1" operator="lessThan">
      <formula>0.5</formula>
    </cfRule>
  </conditionalFormatting>
  <conditionalFormatting sqref="AR28">
    <cfRule type="cellIs" dxfId="35530" priority="110655" stopIfTrue="1" operator="greaterThanOrEqual">
      <formula>0.5</formula>
    </cfRule>
  </conditionalFormatting>
  <conditionalFormatting sqref="AR29">
    <cfRule type="cellIs" dxfId="35529" priority="110656" stopIfTrue="1" operator="equal">
      <formula>-1</formula>
    </cfRule>
  </conditionalFormatting>
  <conditionalFormatting sqref="AR29">
    <cfRule type="cellIs" dxfId="35528" priority="110657" stopIfTrue="1" operator="lessThan">
      <formula>0.5</formula>
    </cfRule>
  </conditionalFormatting>
  <conditionalFormatting sqref="AR29">
    <cfRule type="cellIs" dxfId="35527" priority="110658" stopIfTrue="1" operator="greaterThanOrEqual">
      <formula>0.5</formula>
    </cfRule>
  </conditionalFormatting>
  <conditionalFormatting sqref="AR30">
    <cfRule type="cellIs" dxfId="35526" priority="110659" stopIfTrue="1" operator="equal">
      <formula>-1</formula>
    </cfRule>
  </conditionalFormatting>
  <conditionalFormatting sqref="AR30">
    <cfRule type="cellIs" dxfId="35525" priority="110660" stopIfTrue="1" operator="lessThan">
      <formula>0.5</formula>
    </cfRule>
  </conditionalFormatting>
  <conditionalFormatting sqref="AR30">
    <cfRule type="cellIs" dxfId="35524" priority="110661" stopIfTrue="1" operator="greaterThanOrEqual">
      <formula>0.5</formula>
    </cfRule>
  </conditionalFormatting>
  <conditionalFormatting sqref="AR31">
    <cfRule type="cellIs" dxfId="35523" priority="110662" stopIfTrue="1" operator="equal">
      <formula>-1</formula>
    </cfRule>
  </conditionalFormatting>
  <conditionalFormatting sqref="AR31">
    <cfRule type="cellIs" dxfId="35522" priority="110663" stopIfTrue="1" operator="lessThan">
      <formula>0.5</formula>
    </cfRule>
  </conditionalFormatting>
  <conditionalFormatting sqref="AR31">
    <cfRule type="cellIs" dxfId="35521" priority="110664" stopIfTrue="1" operator="greaterThanOrEqual">
      <formula>0.5</formula>
    </cfRule>
  </conditionalFormatting>
  <conditionalFormatting sqref="AR32">
    <cfRule type="cellIs" dxfId="35520" priority="110665" stopIfTrue="1" operator="equal">
      <formula>-1</formula>
    </cfRule>
  </conditionalFormatting>
  <conditionalFormatting sqref="AR32">
    <cfRule type="cellIs" dxfId="35519" priority="110666" stopIfTrue="1" operator="lessThan">
      <formula>0.5</formula>
    </cfRule>
  </conditionalFormatting>
  <conditionalFormatting sqref="AR32">
    <cfRule type="cellIs" dxfId="35518" priority="110667" stopIfTrue="1" operator="greaterThanOrEqual">
      <formula>0.5</formula>
    </cfRule>
  </conditionalFormatting>
  <conditionalFormatting sqref="AR33">
    <cfRule type="cellIs" dxfId="35517" priority="110668" stopIfTrue="1" operator="equal">
      <formula>-1</formula>
    </cfRule>
  </conditionalFormatting>
  <conditionalFormatting sqref="AR33">
    <cfRule type="cellIs" dxfId="35516" priority="110669" stopIfTrue="1" operator="lessThan">
      <formula>0.5</formula>
    </cfRule>
  </conditionalFormatting>
  <conditionalFormatting sqref="AR33">
    <cfRule type="cellIs" dxfId="35515" priority="110670" stopIfTrue="1" operator="greaterThanOrEqual">
      <formula>0.5</formula>
    </cfRule>
  </conditionalFormatting>
  <conditionalFormatting sqref="AR34">
    <cfRule type="cellIs" dxfId="35514" priority="110671" stopIfTrue="1" operator="equal">
      <formula>-1</formula>
    </cfRule>
  </conditionalFormatting>
  <conditionalFormatting sqref="AR34">
    <cfRule type="cellIs" dxfId="35513" priority="110672" stopIfTrue="1" operator="lessThan">
      <formula>0.5</formula>
    </cfRule>
  </conditionalFormatting>
  <conditionalFormatting sqref="AR34">
    <cfRule type="cellIs" dxfId="35512" priority="110673" stopIfTrue="1" operator="greaterThanOrEqual">
      <formula>0.5</formula>
    </cfRule>
  </conditionalFormatting>
  <conditionalFormatting sqref="AR35">
    <cfRule type="cellIs" dxfId="35511" priority="110674" stopIfTrue="1" operator="equal">
      <formula>-1</formula>
    </cfRule>
  </conditionalFormatting>
  <conditionalFormatting sqref="AR35">
    <cfRule type="cellIs" dxfId="35510" priority="110675" stopIfTrue="1" operator="lessThan">
      <formula>0.5</formula>
    </cfRule>
  </conditionalFormatting>
  <conditionalFormatting sqref="AR35">
    <cfRule type="cellIs" dxfId="35509" priority="110676" stopIfTrue="1" operator="greaterThanOrEqual">
      <formula>0.5</formula>
    </cfRule>
  </conditionalFormatting>
  <conditionalFormatting sqref="AR36">
    <cfRule type="cellIs" dxfId="35508" priority="110677" stopIfTrue="1" operator="equal">
      <formula>-1</formula>
    </cfRule>
  </conditionalFormatting>
  <conditionalFormatting sqref="AR36">
    <cfRule type="cellIs" dxfId="35507" priority="110678" stopIfTrue="1" operator="lessThan">
      <formula>0.5</formula>
    </cfRule>
  </conditionalFormatting>
  <conditionalFormatting sqref="AR36">
    <cfRule type="cellIs" dxfId="35506" priority="110679" stopIfTrue="1" operator="greaterThanOrEqual">
      <formula>0.5</formula>
    </cfRule>
  </conditionalFormatting>
  <conditionalFormatting sqref="AR37">
    <cfRule type="cellIs" dxfId="35505" priority="110680" stopIfTrue="1" operator="equal">
      <formula>-1</formula>
    </cfRule>
  </conditionalFormatting>
  <conditionalFormatting sqref="AR37">
    <cfRule type="cellIs" dxfId="35504" priority="110681" stopIfTrue="1" operator="lessThan">
      <formula>0.5</formula>
    </cfRule>
  </conditionalFormatting>
  <conditionalFormatting sqref="AR37">
    <cfRule type="cellIs" dxfId="35503" priority="110682" stopIfTrue="1" operator="greaterThanOrEqual">
      <formula>0.5</formula>
    </cfRule>
  </conditionalFormatting>
  <conditionalFormatting sqref="AT17">
    <cfRule type="cellIs" dxfId="35502" priority="110683" stopIfTrue="1" operator="equal">
      <formula>-1</formula>
    </cfRule>
  </conditionalFormatting>
  <conditionalFormatting sqref="AT17">
    <cfRule type="cellIs" dxfId="35501" priority="110684" stopIfTrue="1" operator="lessThan">
      <formula>0.5</formula>
    </cfRule>
  </conditionalFormatting>
  <conditionalFormatting sqref="AT17">
    <cfRule type="cellIs" dxfId="35500" priority="110685" stopIfTrue="1" operator="greaterThanOrEqual">
      <formula>0.5</formula>
    </cfRule>
  </conditionalFormatting>
  <conditionalFormatting sqref="AT18">
    <cfRule type="cellIs" dxfId="35499" priority="110686" stopIfTrue="1" operator="equal">
      <formula>-1</formula>
    </cfRule>
  </conditionalFormatting>
  <conditionalFormatting sqref="AT18">
    <cfRule type="cellIs" dxfId="35498" priority="110687" stopIfTrue="1" operator="lessThan">
      <formula>0.5</formula>
    </cfRule>
  </conditionalFormatting>
  <conditionalFormatting sqref="AT18">
    <cfRule type="cellIs" dxfId="35497" priority="110688" stopIfTrue="1" operator="greaterThanOrEqual">
      <formula>0.5</formula>
    </cfRule>
  </conditionalFormatting>
  <conditionalFormatting sqref="AT19">
    <cfRule type="cellIs" dxfId="35496" priority="110689" stopIfTrue="1" operator="equal">
      <formula>-1</formula>
    </cfRule>
  </conditionalFormatting>
  <conditionalFormatting sqref="AT19">
    <cfRule type="cellIs" dxfId="35495" priority="110690" stopIfTrue="1" operator="lessThan">
      <formula>0.5</formula>
    </cfRule>
  </conditionalFormatting>
  <conditionalFormatting sqref="AT19">
    <cfRule type="cellIs" dxfId="35494" priority="110691" stopIfTrue="1" operator="greaterThanOrEqual">
      <formula>0.5</formula>
    </cfRule>
  </conditionalFormatting>
  <conditionalFormatting sqref="AT20">
    <cfRule type="cellIs" dxfId="35493" priority="110692" stopIfTrue="1" operator="equal">
      <formula>-1</formula>
    </cfRule>
  </conditionalFormatting>
  <conditionalFormatting sqref="AT20">
    <cfRule type="cellIs" dxfId="35492" priority="110693" stopIfTrue="1" operator="lessThan">
      <formula>0.5</formula>
    </cfRule>
  </conditionalFormatting>
  <conditionalFormatting sqref="AT20">
    <cfRule type="cellIs" dxfId="35491" priority="110694" stopIfTrue="1" operator="greaterThanOrEqual">
      <formula>0.5</formula>
    </cfRule>
  </conditionalFormatting>
  <conditionalFormatting sqref="AT21">
    <cfRule type="cellIs" dxfId="35490" priority="110695" stopIfTrue="1" operator="equal">
      <formula>-1</formula>
    </cfRule>
  </conditionalFormatting>
  <conditionalFormatting sqref="AT21">
    <cfRule type="cellIs" dxfId="35489" priority="110696" stopIfTrue="1" operator="lessThan">
      <formula>0.5</formula>
    </cfRule>
  </conditionalFormatting>
  <conditionalFormatting sqref="AT21">
    <cfRule type="cellIs" dxfId="35488" priority="110697" stopIfTrue="1" operator="greaterThanOrEqual">
      <formula>0.5</formula>
    </cfRule>
  </conditionalFormatting>
  <conditionalFormatting sqref="AT22">
    <cfRule type="cellIs" dxfId="35487" priority="110698" stopIfTrue="1" operator="equal">
      <formula>-1</formula>
    </cfRule>
  </conditionalFormatting>
  <conditionalFormatting sqref="AT22">
    <cfRule type="cellIs" dxfId="35486" priority="110699" stopIfTrue="1" operator="lessThan">
      <formula>0.5</formula>
    </cfRule>
  </conditionalFormatting>
  <conditionalFormatting sqref="AT22">
    <cfRule type="cellIs" dxfId="35485" priority="110700" stopIfTrue="1" operator="greaterThanOrEqual">
      <formula>0.5</formula>
    </cfRule>
  </conditionalFormatting>
  <conditionalFormatting sqref="AT23">
    <cfRule type="cellIs" dxfId="35484" priority="110701" stopIfTrue="1" operator="equal">
      <formula>-1</formula>
    </cfRule>
  </conditionalFormatting>
  <conditionalFormatting sqref="AT23">
    <cfRule type="cellIs" dxfId="35483" priority="110702" stopIfTrue="1" operator="lessThan">
      <formula>0.5</formula>
    </cfRule>
  </conditionalFormatting>
  <conditionalFormatting sqref="AT23">
    <cfRule type="cellIs" dxfId="35482" priority="110703" stopIfTrue="1" operator="greaterThanOrEqual">
      <formula>0.5</formula>
    </cfRule>
  </conditionalFormatting>
  <conditionalFormatting sqref="AT24">
    <cfRule type="cellIs" dxfId="35481" priority="110704" stopIfTrue="1" operator="equal">
      <formula>-1</formula>
    </cfRule>
  </conditionalFormatting>
  <conditionalFormatting sqref="AT24">
    <cfRule type="cellIs" dxfId="35480" priority="110705" stopIfTrue="1" operator="lessThan">
      <formula>0.5</formula>
    </cfRule>
  </conditionalFormatting>
  <conditionalFormatting sqref="AT24">
    <cfRule type="cellIs" dxfId="35479" priority="110706" stopIfTrue="1" operator="greaterThanOrEqual">
      <formula>0.5</formula>
    </cfRule>
  </conditionalFormatting>
  <conditionalFormatting sqref="AT25">
    <cfRule type="cellIs" dxfId="35478" priority="110707" stopIfTrue="1" operator="equal">
      <formula>-1</formula>
    </cfRule>
  </conditionalFormatting>
  <conditionalFormatting sqref="AT25">
    <cfRule type="cellIs" dxfId="35477" priority="110708" stopIfTrue="1" operator="lessThan">
      <formula>0.5</formula>
    </cfRule>
  </conditionalFormatting>
  <conditionalFormatting sqref="AT25">
    <cfRule type="cellIs" dxfId="35476" priority="110709" stopIfTrue="1" operator="greaterThanOrEqual">
      <formula>0.5</formula>
    </cfRule>
  </conditionalFormatting>
  <conditionalFormatting sqref="AT26">
    <cfRule type="cellIs" dxfId="35475" priority="110710" stopIfTrue="1" operator="equal">
      <formula>-1</formula>
    </cfRule>
  </conditionalFormatting>
  <conditionalFormatting sqref="AT26">
    <cfRule type="cellIs" dxfId="35474" priority="110711" stopIfTrue="1" operator="lessThan">
      <formula>0.5</formula>
    </cfRule>
  </conditionalFormatting>
  <conditionalFormatting sqref="AT26">
    <cfRule type="cellIs" dxfId="35473" priority="110712" stopIfTrue="1" operator="greaterThanOrEqual">
      <formula>0.5</formula>
    </cfRule>
  </conditionalFormatting>
  <conditionalFormatting sqref="AT27">
    <cfRule type="cellIs" dxfId="35472" priority="110713" stopIfTrue="1" operator="equal">
      <formula>-1</formula>
    </cfRule>
  </conditionalFormatting>
  <conditionalFormatting sqref="AT27">
    <cfRule type="cellIs" dxfId="35471" priority="110714" stopIfTrue="1" operator="lessThan">
      <formula>0.5</formula>
    </cfRule>
  </conditionalFormatting>
  <conditionalFormatting sqref="AT27">
    <cfRule type="cellIs" dxfId="35470" priority="110715" stopIfTrue="1" operator="greaterThanOrEqual">
      <formula>0.5</formula>
    </cfRule>
  </conditionalFormatting>
  <conditionalFormatting sqref="AT28">
    <cfRule type="cellIs" dxfId="35469" priority="110716" stopIfTrue="1" operator="equal">
      <formula>-1</formula>
    </cfRule>
  </conditionalFormatting>
  <conditionalFormatting sqref="AT28">
    <cfRule type="cellIs" dxfId="35468" priority="110717" stopIfTrue="1" operator="lessThan">
      <formula>0.5</formula>
    </cfRule>
  </conditionalFormatting>
  <conditionalFormatting sqref="AT28">
    <cfRule type="cellIs" dxfId="35467" priority="110718" stopIfTrue="1" operator="greaterThanOrEqual">
      <formula>0.5</formula>
    </cfRule>
  </conditionalFormatting>
  <conditionalFormatting sqref="AT29">
    <cfRule type="cellIs" dxfId="35466" priority="110719" stopIfTrue="1" operator="equal">
      <formula>-1</formula>
    </cfRule>
  </conditionalFormatting>
  <conditionalFormatting sqref="AT29">
    <cfRule type="cellIs" dxfId="35465" priority="110720" stopIfTrue="1" operator="lessThan">
      <formula>0.5</formula>
    </cfRule>
  </conditionalFormatting>
  <conditionalFormatting sqref="AT29">
    <cfRule type="cellIs" dxfId="35464" priority="110721" stopIfTrue="1" operator="greaterThanOrEqual">
      <formula>0.5</formula>
    </cfRule>
  </conditionalFormatting>
  <conditionalFormatting sqref="AT30">
    <cfRule type="cellIs" dxfId="35463" priority="110722" stopIfTrue="1" operator="equal">
      <formula>-1</formula>
    </cfRule>
  </conditionalFormatting>
  <conditionalFormatting sqref="AT30">
    <cfRule type="cellIs" dxfId="35462" priority="110723" stopIfTrue="1" operator="lessThan">
      <formula>0.5</formula>
    </cfRule>
  </conditionalFormatting>
  <conditionalFormatting sqref="AT30">
    <cfRule type="cellIs" dxfId="35461" priority="110724" stopIfTrue="1" operator="greaterThanOrEqual">
      <formula>0.5</formula>
    </cfRule>
  </conditionalFormatting>
  <conditionalFormatting sqref="AT31">
    <cfRule type="cellIs" dxfId="35460" priority="110725" stopIfTrue="1" operator="equal">
      <formula>-1</formula>
    </cfRule>
  </conditionalFormatting>
  <conditionalFormatting sqref="AT31">
    <cfRule type="cellIs" dxfId="35459" priority="110726" stopIfTrue="1" operator="lessThan">
      <formula>0.5</formula>
    </cfRule>
  </conditionalFormatting>
  <conditionalFormatting sqref="AT31">
    <cfRule type="cellIs" dxfId="35458" priority="110727" stopIfTrue="1" operator="greaterThanOrEqual">
      <formula>0.5</formula>
    </cfRule>
  </conditionalFormatting>
  <conditionalFormatting sqref="AT32">
    <cfRule type="cellIs" dxfId="35457" priority="110728" stopIfTrue="1" operator="equal">
      <formula>-1</formula>
    </cfRule>
  </conditionalFormatting>
  <conditionalFormatting sqref="AT32">
    <cfRule type="cellIs" dxfId="35456" priority="110729" stopIfTrue="1" operator="lessThan">
      <formula>0.5</formula>
    </cfRule>
  </conditionalFormatting>
  <conditionalFormatting sqref="AT32">
    <cfRule type="cellIs" dxfId="35455" priority="110730" stopIfTrue="1" operator="greaterThanOrEqual">
      <formula>0.5</formula>
    </cfRule>
  </conditionalFormatting>
  <conditionalFormatting sqref="AT33">
    <cfRule type="cellIs" dxfId="35454" priority="110731" stopIfTrue="1" operator="equal">
      <formula>-1</formula>
    </cfRule>
  </conditionalFormatting>
  <conditionalFormatting sqref="AT33">
    <cfRule type="cellIs" dxfId="35453" priority="110732" stopIfTrue="1" operator="lessThan">
      <formula>0.5</formula>
    </cfRule>
  </conditionalFormatting>
  <conditionalFormatting sqref="AT33">
    <cfRule type="cellIs" dxfId="35452" priority="110733" stopIfTrue="1" operator="greaterThanOrEqual">
      <formula>0.5</formula>
    </cfRule>
  </conditionalFormatting>
  <conditionalFormatting sqref="AT34">
    <cfRule type="cellIs" dxfId="35451" priority="110734" stopIfTrue="1" operator="equal">
      <formula>-1</formula>
    </cfRule>
  </conditionalFormatting>
  <conditionalFormatting sqref="AT34">
    <cfRule type="cellIs" dxfId="35450" priority="110735" stopIfTrue="1" operator="lessThan">
      <formula>0.5</formula>
    </cfRule>
  </conditionalFormatting>
  <conditionalFormatting sqref="AT34">
    <cfRule type="cellIs" dxfId="35449" priority="110736" stopIfTrue="1" operator="greaterThanOrEqual">
      <formula>0.5</formula>
    </cfRule>
  </conditionalFormatting>
  <conditionalFormatting sqref="AT35">
    <cfRule type="cellIs" dxfId="35448" priority="110737" stopIfTrue="1" operator="equal">
      <formula>-1</formula>
    </cfRule>
  </conditionalFormatting>
  <conditionalFormatting sqref="AT35">
    <cfRule type="cellIs" dxfId="35447" priority="110738" stopIfTrue="1" operator="lessThan">
      <formula>0.5</formula>
    </cfRule>
  </conditionalFormatting>
  <conditionalFormatting sqref="AT35">
    <cfRule type="cellIs" dxfId="35446" priority="110739" stopIfTrue="1" operator="greaterThanOrEqual">
      <formula>0.5</formula>
    </cfRule>
  </conditionalFormatting>
  <conditionalFormatting sqref="AT36">
    <cfRule type="cellIs" dxfId="35445" priority="110740" stopIfTrue="1" operator="equal">
      <formula>-1</formula>
    </cfRule>
  </conditionalFormatting>
  <conditionalFormatting sqref="AT36">
    <cfRule type="cellIs" dxfId="35444" priority="110741" stopIfTrue="1" operator="lessThan">
      <formula>0.5</formula>
    </cfRule>
  </conditionalFormatting>
  <conditionalFormatting sqref="AT36">
    <cfRule type="cellIs" dxfId="35443" priority="110742" stopIfTrue="1" operator="greaterThanOrEqual">
      <formula>0.5</formula>
    </cfRule>
  </conditionalFormatting>
  <conditionalFormatting sqref="AT37">
    <cfRule type="cellIs" dxfId="35442" priority="110743" stopIfTrue="1" operator="equal">
      <formula>-1</formula>
    </cfRule>
  </conditionalFormatting>
  <conditionalFormatting sqref="AT37">
    <cfRule type="cellIs" dxfId="35441" priority="110744" stopIfTrue="1" operator="lessThan">
      <formula>0.5</formula>
    </cfRule>
  </conditionalFormatting>
  <conditionalFormatting sqref="AT37">
    <cfRule type="cellIs" dxfId="35440" priority="110745" stopIfTrue="1" operator="greaterThanOrEqual">
      <formula>0.5</formula>
    </cfRule>
  </conditionalFormatting>
  <conditionalFormatting sqref="AV17">
    <cfRule type="cellIs" dxfId="35439" priority="110746" stopIfTrue="1" operator="equal">
      <formula>-1</formula>
    </cfRule>
  </conditionalFormatting>
  <conditionalFormatting sqref="AV17">
    <cfRule type="cellIs" dxfId="35438" priority="110747" stopIfTrue="1" operator="lessThan">
      <formula>0.5</formula>
    </cfRule>
  </conditionalFormatting>
  <conditionalFormatting sqref="AV17">
    <cfRule type="cellIs" dxfId="35437" priority="110748" stopIfTrue="1" operator="greaterThanOrEqual">
      <formula>0.5</formula>
    </cfRule>
  </conditionalFormatting>
  <conditionalFormatting sqref="AV18">
    <cfRule type="cellIs" dxfId="35436" priority="110749" stopIfTrue="1" operator="equal">
      <formula>-1</formula>
    </cfRule>
  </conditionalFormatting>
  <conditionalFormatting sqref="AV18">
    <cfRule type="cellIs" dxfId="35435" priority="110750" stopIfTrue="1" operator="lessThan">
      <formula>0.5</formula>
    </cfRule>
  </conditionalFormatting>
  <conditionalFormatting sqref="AV18">
    <cfRule type="cellIs" dxfId="35434" priority="110751" stopIfTrue="1" operator="greaterThanOrEqual">
      <formula>0.5</formula>
    </cfRule>
  </conditionalFormatting>
  <conditionalFormatting sqref="AV19">
    <cfRule type="cellIs" dxfId="35433" priority="110752" stopIfTrue="1" operator="equal">
      <formula>-1</formula>
    </cfRule>
  </conditionalFormatting>
  <conditionalFormatting sqref="AV19">
    <cfRule type="cellIs" dxfId="35432" priority="110753" stopIfTrue="1" operator="lessThan">
      <formula>0.5</formula>
    </cfRule>
  </conditionalFormatting>
  <conditionalFormatting sqref="AV19">
    <cfRule type="cellIs" dxfId="35431" priority="110754" stopIfTrue="1" operator="greaterThanOrEqual">
      <formula>0.5</formula>
    </cfRule>
  </conditionalFormatting>
  <conditionalFormatting sqref="AV20">
    <cfRule type="cellIs" dxfId="35430" priority="110755" stopIfTrue="1" operator="equal">
      <formula>-1</formula>
    </cfRule>
  </conditionalFormatting>
  <conditionalFormatting sqref="AV20">
    <cfRule type="cellIs" dxfId="35429" priority="110756" stopIfTrue="1" operator="lessThan">
      <formula>0.5</formula>
    </cfRule>
  </conditionalFormatting>
  <conditionalFormatting sqref="AV20">
    <cfRule type="cellIs" dxfId="35428" priority="110757" stopIfTrue="1" operator="greaterThanOrEqual">
      <formula>0.5</formula>
    </cfRule>
  </conditionalFormatting>
  <conditionalFormatting sqref="AV21">
    <cfRule type="cellIs" dxfId="35427" priority="110758" stopIfTrue="1" operator="equal">
      <formula>-1</formula>
    </cfRule>
  </conditionalFormatting>
  <conditionalFormatting sqref="AV21">
    <cfRule type="cellIs" dxfId="35426" priority="110759" stopIfTrue="1" operator="lessThan">
      <formula>0.5</formula>
    </cfRule>
  </conditionalFormatting>
  <conditionalFormatting sqref="AV21">
    <cfRule type="cellIs" dxfId="35425" priority="110760" stopIfTrue="1" operator="greaterThanOrEqual">
      <formula>0.5</formula>
    </cfRule>
  </conditionalFormatting>
  <conditionalFormatting sqref="AV22">
    <cfRule type="cellIs" dxfId="35424" priority="110761" stopIfTrue="1" operator="equal">
      <formula>-1</formula>
    </cfRule>
  </conditionalFormatting>
  <conditionalFormatting sqref="AV22">
    <cfRule type="cellIs" dxfId="35423" priority="110762" stopIfTrue="1" operator="lessThan">
      <formula>0.5</formula>
    </cfRule>
  </conditionalFormatting>
  <conditionalFormatting sqref="AV22">
    <cfRule type="cellIs" dxfId="35422" priority="110763" stopIfTrue="1" operator="greaterThanOrEqual">
      <formula>0.5</formula>
    </cfRule>
  </conditionalFormatting>
  <conditionalFormatting sqref="AV23">
    <cfRule type="cellIs" dxfId="35421" priority="110764" stopIfTrue="1" operator="equal">
      <formula>-1</formula>
    </cfRule>
  </conditionalFormatting>
  <conditionalFormatting sqref="AV23">
    <cfRule type="cellIs" dxfId="35420" priority="110765" stopIfTrue="1" operator="lessThan">
      <formula>0.5</formula>
    </cfRule>
  </conditionalFormatting>
  <conditionalFormatting sqref="AV23">
    <cfRule type="cellIs" dxfId="35419" priority="110766" stopIfTrue="1" operator="greaterThanOrEqual">
      <formula>0.5</formula>
    </cfRule>
  </conditionalFormatting>
  <conditionalFormatting sqref="AV24">
    <cfRule type="cellIs" dxfId="35418" priority="110767" stopIfTrue="1" operator="equal">
      <formula>-1</formula>
    </cfRule>
  </conditionalFormatting>
  <conditionalFormatting sqref="AV24">
    <cfRule type="cellIs" dxfId="35417" priority="110768" stopIfTrue="1" operator="lessThan">
      <formula>0.5</formula>
    </cfRule>
  </conditionalFormatting>
  <conditionalFormatting sqref="AV24">
    <cfRule type="cellIs" dxfId="35416" priority="110769" stopIfTrue="1" operator="greaterThanOrEqual">
      <formula>0.5</formula>
    </cfRule>
  </conditionalFormatting>
  <conditionalFormatting sqref="AV25">
    <cfRule type="cellIs" dxfId="35415" priority="110770" stopIfTrue="1" operator="equal">
      <formula>-1</formula>
    </cfRule>
  </conditionalFormatting>
  <conditionalFormatting sqref="AV25">
    <cfRule type="cellIs" dxfId="35414" priority="110771" stopIfTrue="1" operator="lessThan">
      <formula>0.5</formula>
    </cfRule>
  </conditionalFormatting>
  <conditionalFormatting sqref="AV25">
    <cfRule type="cellIs" dxfId="35413" priority="110772" stopIfTrue="1" operator="greaterThanOrEqual">
      <formula>0.5</formula>
    </cfRule>
  </conditionalFormatting>
  <conditionalFormatting sqref="AV26">
    <cfRule type="cellIs" dxfId="35412" priority="110773" stopIfTrue="1" operator="equal">
      <formula>-1</formula>
    </cfRule>
  </conditionalFormatting>
  <conditionalFormatting sqref="AV26">
    <cfRule type="cellIs" dxfId="35411" priority="110774" stopIfTrue="1" operator="lessThan">
      <formula>0.5</formula>
    </cfRule>
  </conditionalFormatting>
  <conditionalFormatting sqref="AV26">
    <cfRule type="cellIs" dxfId="35410" priority="110775" stopIfTrue="1" operator="greaterThanOrEqual">
      <formula>0.5</formula>
    </cfRule>
  </conditionalFormatting>
  <conditionalFormatting sqref="AV27">
    <cfRule type="cellIs" dxfId="35409" priority="110776" stopIfTrue="1" operator="equal">
      <formula>-1</formula>
    </cfRule>
  </conditionalFormatting>
  <conditionalFormatting sqref="AV27">
    <cfRule type="cellIs" dxfId="35408" priority="110777" stopIfTrue="1" operator="lessThan">
      <formula>0.5</formula>
    </cfRule>
  </conditionalFormatting>
  <conditionalFormatting sqref="AV27">
    <cfRule type="cellIs" dxfId="35407" priority="110778" stopIfTrue="1" operator="greaterThanOrEqual">
      <formula>0.5</formula>
    </cfRule>
  </conditionalFormatting>
  <conditionalFormatting sqref="AV28">
    <cfRule type="cellIs" dxfId="35406" priority="110779" stopIfTrue="1" operator="equal">
      <formula>-1</formula>
    </cfRule>
  </conditionalFormatting>
  <conditionalFormatting sqref="AV28">
    <cfRule type="cellIs" dxfId="35405" priority="110780" stopIfTrue="1" operator="lessThan">
      <formula>0.5</formula>
    </cfRule>
  </conditionalFormatting>
  <conditionalFormatting sqref="AV28">
    <cfRule type="cellIs" dxfId="35404" priority="110781" stopIfTrue="1" operator="greaterThanOrEqual">
      <formula>0.5</formula>
    </cfRule>
  </conditionalFormatting>
  <conditionalFormatting sqref="AV29">
    <cfRule type="cellIs" dxfId="35403" priority="110782" stopIfTrue="1" operator="equal">
      <formula>-1</formula>
    </cfRule>
  </conditionalFormatting>
  <conditionalFormatting sqref="AV29">
    <cfRule type="cellIs" dxfId="35402" priority="110783" stopIfTrue="1" operator="lessThan">
      <formula>0.5</formula>
    </cfRule>
  </conditionalFormatting>
  <conditionalFormatting sqref="AV29">
    <cfRule type="cellIs" dxfId="35401" priority="110784" stopIfTrue="1" operator="greaterThanOrEqual">
      <formula>0.5</formula>
    </cfRule>
  </conditionalFormatting>
  <conditionalFormatting sqref="AV30">
    <cfRule type="cellIs" dxfId="35400" priority="110785" stopIfTrue="1" operator="equal">
      <formula>-1</formula>
    </cfRule>
  </conditionalFormatting>
  <conditionalFormatting sqref="AV30">
    <cfRule type="cellIs" dxfId="35399" priority="110786" stopIfTrue="1" operator="lessThan">
      <formula>0.5</formula>
    </cfRule>
  </conditionalFormatting>
  <conditionalFormatting sqref="AV30">
    <cfRule type="cellIs" dxfId="35398" priority="110787" stopIfTrue="1" operator="greaterThanOrEqual">
      <formula>0.5</formula>
    </cfRule>
  </conditionalFormatting>
  <conditionalFormatting sqref="AV31">
    <cfRule type="cellIs" dxfId="35397" priority="110788" stopIfTrue="1" operator="equal">
      <formula>-1</formula>
    </cfRule>
  </conditionalFormatting>
  <conditionalFormatting sqref="AV31">
    <cfRule type="cellIs" dxfId="35396" priority="110789" stopIfTrue="1" operator="lessThan">
      <formula>0.5</formula>
    </cfRule>
  </conditionalFormatting>
  <conditionalFormatting sqref="AV31">
    <cfRule type="cellIs" dxfId="35395" priority="110790" stopIfTrue="1" operator="greaterThanOrEqual">
      <formula>0.5</formula>
    </cfRule>
  </conditionalFormatting>
  <conditionalFormatting sqref="AV32">
    <cfRule type="cellIs" dxfId="35394" priority="110791" stopIfTrue="1" operator="equal">
      <formula>-1</formula>
    </cfRule>
  </conditionalFormatting>
  <conditionalFormatting sqref="AV32">
    <cfRule type="cellIs" dxfId="35393" priority="110792" stopIfTrue="1" operator="lessThan">
      <formula>0.5</formula>
    </cfRule>
  </conditionalFormatting>
  <conditionalFormatting sqref="AV32">
    <cfRule type="cellIs" dxfId="35392" priority="110793" stopIfTrue="1" operator="greaterThanOrEqual">
      <formula>0.5</formula>
    </cfRule>
  </conditionalFormatting>
  <conditionalFormatting sqref="AV33">
    <cfRule type="cellIs" dxfId="35391" priority="110794" stopIfTrue="1" operator="equal">
      <formula>-1</formula>
    </cfRule>
  </conditionalFormatting>
  <conditionalFormatting sqref="AV33">
    <cfRule type="cellIs" dxfId="35390" priority="110795" stopIfTrue="1" operator="lessThan">
      <formula>0.5</formula>
    </cfRule>
  </conditionalFormatting>
  <conditionalFormatting sqref="AV33">
    <cfRule type="cellIs" dxfId="35389" priority="110796" stopIfTrue="1" operator="greaterThanOrEqual">
      <formula>0.5</formula>
    </cfRule>
  </conditionalFormatting>
  <conditionalFormatting sqref="AV34">
    <cfRule type="cellIs" dxfId="35388" priority="110797" stopIfTrue="1" operator="equal">
      <formula>-1</formula>
    </cfRule>
  </conditionalFormatting>
  <conditionalFormatting sqref="AV34">
    <cfRule type="cellIs" dxfId="35387" priority="110798" stopIfTrue="1" operator="lessThan">
      <formula>0.5</formula>
    </cfRule>
  </conditionalFormatting>
  <conditionalFormatting sqref="AV34">
    <cfRule type="cellIs" dxfId="35386" priority="110799" stopIfTrue="1" operator="greaterThanOrEqual">
      <formula>0.5</formula>
    </cfRule>
  </conditionalFormatting>
  <conditionalFormatting sqref="AV35">
    <cfRule type="cellIs" dxfId="35385" priority="110800" stopIfTrue="1" operator="equal">
      <formula>-1</formula>
    </cfRule>
  </conditionalFormatting>
  <conditionalFormatting sqref="AV35">
    <cfRule type="cellIs" dxfId="35384" priority="110801" stopIfTrue="1" operator="lessThan">
      <formula>0.5</formula>
    </cfRule>
  </conditionalFormatting>
  <conditionalFormatting sqref="AV35">
    <cfRule type="cellIs" dxfId="35383" priority="110802" stopIfTrue="1" operator="greaterThanOrEqual">
      <formula>0.5</formula>
    </cfRule>
  </conditionalFormatting>
  <conditionalFormatting sqref="AV36">
    <cfRule type="cellIs" dxfId="35382" priority="110803" stopIfTrue="1" operator="equal">
      <formula>-1</formula>
    </cfRule>
  </conditionalFormatting>
  <conditionalFormatting sqref="AV36">
    <cfRule type="cellIs" dxfId="35381" priority="110804" stopIfTrue="1" operator="lessThan">
      <formula>0.5</formula>
    </cfRule>
  </conditionalFormatting>
  <conditionalFormatting sqref="AV36">
    <cfRule type="cellIs" dxfId="35380" priority="110805" stopIfTrue="1" operator="greaterThanOrEqual">
      <formula>0.5</formula>
    </cfRule>
  </conditionalFormatting>
  <conditionalFormatting sqref="AV37">
    <cfRule type="cellIs" dxfId="35379" priority="110806" stopIfTrue="1" operator="equal">
      <formula>-1</formula>
    </cfRule>
  </conditionalFormatting>
  <conditionalFormatting sqref="AV37">
    <cfRule type="cellIs" dxfId="35378" priority="110807" stopIfTrue="1" operator="lessThan">
      <formula>0.5</formula>
    </cfRule>
  </conditionalFormatting>
  <conditionalFormatting sqref="AV37">
    <cfRule type="cellIs" dxfId="35377" priority="110808" stopIfTrue="1" operator="greaterThanOrEqual">
      <formula>0.5</formula>
    </cfRule>
  </conditionalFormatting>
  <conditionalFormatting sqref="AX17">
    <cfRule type="cellIs" dxfId="35376" priority="110809" stopIfTrue="1" operator="equal">
      <formula>-1</formula>
    </cfRule>
  </conditionalFormatting>
  <conditionalFormatting sqref="AX17">
    <cfRule type="cellIs" dxfId="35375" priority="110810" stopIfTrue="1" operator="lessThan">
      <formula>0.5</formula>
    </cfRule>
  </conditionalFormatting>
  <conditionalFormatting sqref="AX17">
    <cfRule type="cellIs" dxfId="35374" priority="110811" stopIfTrue="1" operator="greaterThanOrEqual">
      <formula>0.5</formula>
    </cfRule>
  </conditionalFormatting>
  <conditionalFormatting sqref="AX18">
    <cfRule type="cellIs" dxfId="35373" priority="110812" stopIfTrue="1" operator="equal">
      <formula>-1</formula>
    </cfRule>
  </conditionalFormatting>
  <conditionalFormatting sqref="AX18">
    <cfRule type="cellIs" dxfId="35372" priority="110813" stopIfTrue="1" operator="lessThan">
      <formula>0.5</formula>
    </cfRule>
  </conditionalFormatting>
  <conditionalFormatting sqref="AX18">
    <cfRule type="cellIs" dxfId="35371" priority="110814" stopIfTrue="1" operator="greaterThanOrEqual">
      <formula>0.5</formula>
    </cfRule>
  </conditionalFormatting>
  <conditionalFormatting sqref="AX19">
    <cfRule type="cellIs" dxfId="35370" priority="110815" stopIfTrue="1" operator="equal">
      <formula>-1</formula>
    </cfRule>
  </conditionalFormatting>
  <conditionalFormatting sqref="AX19">
    <cfRule type="cellIs" dxfId="35369" priority="110816" stopIfTrue="1" operator="lessThan">
      <formula>0.5</formula>
    </cfRule>
  </conditionalFormatting>
  <conditionalFormatting sqref="AX19">
    <cfRule type="cellIs" dxfId="35368" priority="110817" stopIfTrue="1" operator="greaterThanOrEqual">
      <formula>0.5</formula>
    </cfRule>
  </conditionalFormatting>
  <conditionalFormatting sqref="AX20">
    <cfRule type="cellIs" dxfId="35367" priority="110818" stopIfTrue="1" operator="equal">
      <formula>-1</formula>
    </cfRule>
  </conditionalFormatting>
  <conditionalFormatting sqref="AX20">
    <cfRule type="cellIs" dxfId="35366" priority="110819" stopIfTrue="1" operator="lessThan">
      <formula>0.5</formula>
    </cfRule>
  </conditionalFormatting>
  <conditionalFormatting sqref="AX20">
    <cfRule type="cellIs" dxfId="35365" priority="110820" stopIfTrue="1" operator="greaterThanOrEqual">
      <formula>0.5</formula>
    </cfRule>
  </conditionalFormatting>
  <conditionalFormatting sqref="AX21">
    <cfRule type="cellIs" dxfId="35364" priority="110821" stopIfTrue="1" operator="equal">
      <formula>-1</formula>
    </cfRule>
  </conditionalFormatting>
  <conditionalFormatting sqref="AX21">
    <cfRule type="cellIs" dxfId="35363" priority="110822" stopIfTrue="1" operator="lessThan">
      <formula>0.5</formula>
    </cfRule>
  </conditionalFormatting>
  <conditionalFormatting sqref="AX21">
    <cfRule type="cellIs" dxfId="35362" priority="110823" stopIfTrue="1" operator="greaterThanOrEqual">
      <formula>0.5</formula>
    </cfRule>
  </conditionalFormatting>
  <conditionalFormatting sqref="AX22">
    <cfRule type="cellIs" dxfId="35361" priority="110824" stopIfTrue="1" operator="equal">
      <formula>-1</formula>
    </cfRule>
  </conditionalFormatting>
  <conditionalFormatting sqref="AX22">
    <cfRule type="cellIs" dxfId="35360" priority="110825" stopIfTrue="1" operator="lessThan">
      <formula>0.5</formula>
    </cfRule>
  </conditionalFormatting>
  <conditionalFormatting sqref="AX22">
    <cfRule type="cellIs" dxfId="35359" priority="110826" stopIfTrue="1" operator="greaterThanOrEqual">
      <formula>0.5</formula>
    </cfRule>
  </conditionalFormatting>
  <conditionalFormatting sqref="AX23">
    <cfRule type="cellIs" dxfId="35358" priority="110827" stopIfTrue="1" operator="equal">
      <formula>-1</formula>
    </cfRule>
  </conditionalFormatting>
  <conditionalFormatting sqref="AX23">
    <cfRule type="cellIs" dxfId="35357" priority="110828" stopIfTrue="1" operator="lessThan">
      <formula>0.5</formula>
    </cfRule>
  </conditionalFormatting>
  <conditionalFormatting sqref="AX23">
    <cfRule type="cellIs" dxfId="35356" priority="110829" stopIfTrue="1" operator="greaterThanOrEqual">
      <formula>0.5</formula>
    </cfRule>
  </conditionalFormatting>
  <conditionalFormatting sqref="AX24">
    <cfRule type="cellIs" dxfId="35355" priority="110830" stopIfTrue="1" operator="equal">
      <formula>-1</formula>
    </cfRule>
  </conditionalFormatting>
  <conditionalFormatting sqref="AX24">
    <cfRule type="cellIs" dxfId="35354" priority="110831" stopIfTrue="1" operator="lessThan">
      <formula>0.5</formula>
    </cfRule>
  </conditionalFormatting>
  <conditionalFormatting sqref="AX24">
    <cfRule type="cellIs" dxfId="35353" priority="110832" stopIfTrue="1" operator="greaterThanOrEqual">
      <formula>0.5</formula>
    </cfRule>
  </conditionalFormatting>
  <conditionalFormatting sqref="AX25">
    <cfRule type="cellIs" dxfId="35352" priority="110833" stopIfTrue="1" operator="equal">
      <formula>-1</formula>
    </cfRule>
  </conditionalFormatting>
  <conditionalFormatting sqref="AX25">
    <cfRule type="cellIs" dxfId="35351" priority="110834" stopIfTrue="1" operator="lessThan">
      <formula>0.5</formula>
    </cfRule>
  </conditionalFormatting>
  <conditionalFormatting sqref="AX25">
    <cfRule type="cellIs" dxfId="35350" priority="110835" stopIfTrue="1" operator="greaterThanOrEqual">
      <formula>0.5</formula>
    </cfRule>
  </conditionalFormatting>
  <conditionalFormatting sqref="AX26">
    <cfRule type="cellIs" dxfId="35349" priority="110836" stopIfTrue="1" operator="equal">
      <formula>-1</formula>
    </cfRule>
  </conditionalFormatting>
  <conditionalFormatting sqref="AX26">
    <cfRule type="cellIs" dxfId="35348" priority="110837" stopIfTrue="1" operator="lessThan">
      <formula>0.5</formula>
    </cfRule>
  </conditionalFormatting>
  <conditionalFormatting sqref="AX26">
    <cfRule type="cellIs" dxfId="35347" priority="110838" stopIfTrue="1" operator="greaterThanOrEqual">
      <formula>0.5</formula>
    </cfRule>
  </conditionalFormatting>
  <conditionalFormatting sqref="AX27">
    <cfRule type="cellIs" dxfId="35346" priority="110839" stopIfTrue="1" operator="equal">
      <formula>-1</formula>
    </cfRule>
  </conditionalFormatting>
  <conditionalFormatting sqref="AX27">
    <cfRule type="cellIs" dxfId="35345" priority="110840" stopIfTrue="1" operator="lessThan">
      <formula>0.5</formula>
    </cfRule>
  </conditionalFormatting>
  <conditionalFormatting sqref="AX27">
    <cfRule type="cellIs" dxfId="35344" priority="110841" stopIfTrue="1" operator="greaterThanOrEqual">
      <formula>0.5</formula>
    </cfRule>
  </conditionalFormatting>
  <conditionalFormatting sqref="AX28">
    <cfRule type="cellIs" dxfId="35343" priority="110842" stopIfTrue="1" operator="equal">
      <formula>-1</formula>
    </cfRule>
  </conditionalFormatting>
  <conditionalFormatting sqref="AX28">
    <cfRule type="cellIs" dxfId="35342" priority="110843" stopIfTrue="1" operator="lessThan">
      <formula>0.5</formula>
    </cfRule>
  </conditionalFormatting>
  <conditionalFormatting sqref="AX28">
    <cfRule type="cellIs" dxfId="35341" priority="110844" stopIfTrue="1" operator="greaterThanOrEqual">
      <formula>0.5</formula>
    </cfRule>
  </conditionalFormatting>
  <conditionalFormatting sqref="AX29">
    <cfRule type="cellIs" dxfId="35340" priority="110845" stopIfTrue="1" operator="equal">
      <formula>-1</formula>
    </cfRule>
  </conditionalFormatting>
  <conditionalFormatting sqref="AX29">
    <cfRule type="cellIs" dxfId="35339" priority="110846" stopIfTrue="1" operator="lessThan">
      <formula>0.5</formula>
    </cfRule>
  </conditionalFormatting>
  <conditionalFormatting sqref="AX29">
    <cfRule type="cellIs" dxfId="35338" priority="110847" stopIfTrue="1" operator="greaterThanOrEqual">
      <formula>0.5</formula>
    </cfRule>
  </conditionalFormatting>
  <conditionalFormatting sqref="AX30">
    <cfRule type="cellIs" dxfId="35337" priority="110848" stopIfTrue="1" operator="equal">
      <formula>-1</formula>
    </cfRule>
  </conditionalFormatting>
  <conditionalFormatting sqref="AX30">
    <cfRule type="cellIs" dxfId="35336" priority="110849" stopIfTrue="1" operator="lessThan">
      <formula>0.5</formula>
    </cfRule>
  </conditionalFormatting>
  <conditionalFormatting sqref="AX30">
    <cfRule type="cellIs" dxfId="35335" priority="110850" stopIfTrue="1" operator="greaterThanOrEqual">
      <formula>0.5</formula>
    </cfRule>
  </conditionalFormatting>
  <conditionalFormatting sqref="AX31">
    <cfRule type="cellIs" dxfId="35334" priority="110851" stopIfTrue="1" operator="equal">
      <formula>-1</formula>
    </cfRule>
  </conditionalFormatting>
  <conditionalFormatting sqref="AX31">
    <cfRule type="cellIs" dxfId="35333" priority="110852" stopIfTrue="1" operator="lessThan">
      <formula>0.5</formula>
    </cfRule>
  </conditionalFormatting>
  <conditionalFormatting sqref="AX31">
    <cfRule type="cellIs" dxfId="35332" priority="110853" stopIfTrue="1" operator="greaterThanOrEqual">
      <formula>0.5</formula>
    </cfRule>
  </conditionalFormatting>
  <conditionalFormatting sqref="AX32">
    <cfRule type="cellIs" dxfId="35331" priority="110854" stopIfTrue="1" operator="equal">
      <formula>-1</formula>
    </cfRule>
  </conditionalFormatting>
  <conditionalFormatting sqref="AX32">
    <cfRule type="cellIs" dxfId="35330" priority="110855" stopIfTrue="1" operator="lessThan">
      <formula>0.5</formula>
    </cfRule>
  </conditionalFormatting>
  <conditionalFormatting sqref="AX32">
    <cfRule type="cellIs" dxfId="35329" priority="110856" stopIfTrue="1" operator="greaterThanOrEqual">
      <formula>0.5</formula>
    </cfRule>
  </conditionalFormatting>
  <conditionalFormatting sqref="AX33">
    <cfRule type="cellIs" dxfId="35328" priority="110857" stopIfTrue="1" operator="equal">
      <formula>-1</formula>
    </cfRule>
  </conditionalFormatting>
  <conditionalFormatting sqref="AX33">
    <cfRule type="cellIs" dxfId="35327" priority="110858" stopIfTrue="1" operator="lessThan">
      <formula>0.5</formula>
    </cfRule>
  </conditionalFormatting>
  <conditionalFormatting sqref="AX33">
    <cfRule type="cellIs" dxfId="35326" priority="110859" stopIfTrue="1" operator="greaterThanOrEqual">
      <formula>0.5</formula>
    </cfRule>
  </conditionalFormatting>
  <conditionalFormatting sqref="AX34">
    <cfRule type="cellIs" dxfId="35325" priority="110860" stopIfTrue="1" operator="equal">
      <formula>-1</formula>
    </cfRule>
  </conditionalFormatting>
  <conditionalFormatting sqref="AX34">
    <cfRule type="cellIs" dxfId="35324" priority="110861" stopIfTrue="1" operator="lessThan">
      <formula>0.5</formula>
    </cfRule>
  </conditionalFormatting>
  <conditionalFormatting sqref="AX34">
    <cfRule type="cellIs" dxfId="35323" priority="110862" stopIfTrue="1" operator="greaterThanOrEqual">
      <formula>0.5</formula>
    </cfRule>
  </conditionalFormatting>
  <conditionalFormatting sqref="AX35">
    <cfRule type="cellIs" dxfId="35322" priority="110863" stopIfTrue="1" operator="equal">
      <formula>-1</formula>
    </cfRule>
  </conditionalFormatting>
  <conditionalFormatting sqref="AX35">
    <cfRule type="cellIs" dxfId="35321" priority="110864" stopIfTrue="1" operator="lessThan">
      <formula>0.5</formula>
    </cfRule>
  </conditionalFormatting>
  <conditionalFormatting sqref="AX35">
    <cfRule type="cellIs" dxfId="35320" priority="110865" stopIfTrue="1" operator="greaterThanOrEqual">
      <formula>0.5</formula>
    </cfRule>
  </conditionalFormatting>
  <conditionalFormatting sqref="AX36">
    <cfRule type="cellIs" dxfId="35319" priority="110866" stopIfTrue="1" operator="equal">
      <formula>-1</formula>
    </cfRule>
  </conditionalFormatting>
  <conditionalFormatting sqref="AX36">
    <cfRule type="cellIs" dxfId="35318" priority="110867" stopIfTrue="1" operator="lessThan">
      <formula>0.5</formula>
    </cfRule>
  </conditionalFormatting>
  <conditionalFormatting sqref="AX36">
    <cfRule type="cellIs" dxfId="35317" priority="110868" stopIfTrue="1" operator="greaterThanOrEqual">
      <formula>0.5</formula>
    </cfRule>
  </conditionalFormatting>
  <conditionalFormatting sqref="AX37">
    <cfRule type="cellIs" dxfId="35316" priority="110869" stopIfTrue="1" operator="equal">
      <formula>-1</formula>
    </cfRule>
  </conditionalFormatting>
  <conditionalFormatting sqref="AX37">
    <cfRule type="cellIs" dxfId="35315" priority="110870" stopIfTrue="1" operator="lessThan">
      <formula>0.5</formula>
    </cfRule>
  </conditionalFormatting>
  <conditionalFormatting sqref="AX37">
    <cfRule type="cellIs" dxfId="35314" priority="110871" stopIfTrue="1" operator="greaterThanOrEqual">
      <formula>0.5</formula>
    </cfRule>
  </conditionalFormatting>
  <conditionalFormatting sqref="AZ17">
    <cfRule type="cellIs" dxfId="35313" priority="110872" stopIfTrue="1" operator="equal">
      <formula>-1</formula>
    </cfRule>
  </conditionalFormatting>
  <conditionalFormatting sqref="AZ17">
    <cfRule type="cellIs" dxfId="35312" priority="110873" stopIfTrue="1" operator="lessThan">
      <formula>0.5</formula>
    </cfRule>
  </conditionalFormatting>
  <conditionalFormatting sqref="AZ17">
    <cfRule type="cellIs" dxfId="35311" priority="110874" stopIfTrue="1" operator="greaterThanOrEqual">
      <formula>0.5</formula>
    </cfRule>
  </conditionalFormatting>
  <conditionalFormatting sqref="AZ18">
    <cfRule type="cellIs" dxfId="35310" priority="110875" stopIfTrue="1" operator="equal">
      <formula>-1</formula>
    </cfRule>
  </conditionalFormatting>
  <conditionalFormatting sqref="AZ18">
    <cfRule type="cellIs" dxfId="35309" priority="110876" stopIfTrue="1" operator="lessThan">
      <formula>0.5</formula>
    </cfRule>
  </conditionalFormatting>
  <conditionalFormatting sqref="AZ18">
    <cfRule type="cellIs" dxfId="35308" priority="110877" stopIfTrue="1" operator="greaterThanOrEqual">
      <formula>0.5</formula>
    </cfRule>
  </conditionalFormatting>
  <conditionalFormatting sqref="AZ19">
    <cfRule type="cellIs" dxfId="35307" priority="110878" stopIfTrue="1" operator="equal">
      <formula>-1</formula>
    </cfRule>
  </conditionalFormatting>
  <conditionalFormatting sqref="AZ19">
    <cfRule type="cellIs" dxfId="35306" priority="110879" stopIfTrue="1" operator="lessThan">
      <formula>0.5</formula>
    </cfRule>
  </conditionalFormatting>
  <conditionalFormatting sqref="AZ19">
    <cfRule type="cellIs" dxfId="35305" priority="110880" stopIfTrue="1" operator="greaterThanOrEqual">
      <formula>0.5</formula>
    </cfRule>
  </conditionalFormatting>
  <conditionalFormatting sqref="AZ20">
    <cfRule type="cellIs" dxfId="35304" priority="110881" stopIfTrue="1" operator="equal">
      <formula>-1</formula>
    </cfRule>
  </conditionalFormatting>
  <conditionalFormatting sqref="AZ20">
    <cfRule type="cellIs" dxfId="35303" priority="110882" stopIfTrue="1" operator="lessThan">
      <formula>0.5</formula>
    </cfRule>
  </conditionalFormatting>
  <conditionalFormatting sqref="AZ20">
    <cfRule type="cellIs" dxfId="35302" priority="110883" stopIfTrue="1" operator="greaterThanOrEqual">
      <formula>0.5</formula>
    </cfRule>
  </conditionalFormatting>
  <conditionalFormatting sqref="AZ21">
    <cfRule type="cellIs" dxfId="35301" priority="110884" stopIfTrue="1" operator="equal">
      <formula>-1</formula>
    </cfRule>
  </conditionalFormatting>
  <conditionalFormatting sqref="AZ21">
    <cfRule type="cellIs" dxfId="35300" priority="110885" stopIfTrue="1" operator="lessThan">
      <formula>0.5</formula>
    </cfRule>
  </conditionalFormatting>
  <conditionalFormatting sqref="AZ21">
    <cfRule type="cellIs" dxfId="35299" priority="110886" stopIfTrue="1" operator="greaterThanOrEqual">
      <formula>0.5</formula>
    </cfRule>
  </conditionalFormatting>
  <conditionalFormatting sqref="AZ22">
    <cfRule type="cellIs" dxfId="35298" priority="110887" stopIfTrue="1" operator="equal">
      <formula>-1</formula>
    </cfRule>
  </conditionalFormatting>
  <conditionalFormatting sqref="AZ22">
    <cfRule type="cellIs" dxfId="35297" priority="110888" stopIfTrue="1" operator="lessThan">
      <formula>0.5</formula>
    </cfRule>
  </conditionalFormatting>
  <conditionalFormatting sqref="AZ22">
    <cfRule type="cellIs" dxfId="35296" priority="110889" stopIfTrue="1" operator="greaterThanOrEqual">
      <formula>0.5</formula>
    </cfRule>
  </conditionalFormatting>
  <conditionalFormatting sqref="AZ23">
    <cfRule type="cellIs" dxfId="35295" priority="110890" stopIfTrue="1" operator="equal">
      <formula>-1</formula>
    </cfRule>
  </conditionalFormatting>
  <conditionalFormatting sqref="AZ23">
    <cfRule type="cellIs" dxfId="35294" priority="110891" stopIfTrue="1" operator="lessThan">
      <formula>0.5</formula>
    </cfRule>
  </conditionalFormatting>
  <conditionalFormatting sqref="AZ23">
    <cfRule type="cellIs" dxfId="35293" priority="110892" stopIfTrue="1" operator="greaterThanOrEqual">
      <formula>0.5</formula>
    </cfRule>
  </conditionalFormatting>
  <conditionalFormatting sqref="AZ24">
    <cfRule type="cellIs" dxfId="35292" priority="110893" stopIfTrue="1" operator="equal">
      <formula>-1</formula>
    </cfRule>
  </conditionalFormatting>
  <conditionalFormatting sqref="AZ24">
    <cfRule type="cellIs" dxfId="35291" priority="110894" stopIfTrue="1" operator="lessThan">
      <formula>0.5</formula>
    </cfRule>
  </conditionalFormatting>
  <conditionalFormatting sqref="AZ24">
    <cfRule type="cellIs" dxfId="35290" priority="110895" stopIfTrue="1" operator="greaterThanOrEqual">
      <formula>0.5</formula>
    </cfRule>
  </conditionalFormatting>
  <conditionalFormatting sqref="AZ25">
    <cfRule type="cellIs" dxfId="35289" priority="110896" stopIfTrue="1" operator="equal">
      <formula>-1</formula>
    </cfRule>
  </conditionalFormatting>
  <conditionalFormatting sqref="AZ25">
    <cfRule type="cellIs" dxfId="35288" priority="110897" stopIfTrue="1" operator="lessThan">
      <formula>0.5</formula>
    </cfRule>
  </conditionalFormatting>
  <conditionalFormatting sqref="AZ25">
    <cfRule type="cellIs" dxfId="35287" priority="110898" stopIfTrue="1" operator="greaterThanOrEqual">
      <formula>0.5</formula>
    </cfRule>
  </conditionalFormatting>
  <conditionalFormatting sqref="AZ26">
    <cfRule type="cellIs" dxfId="35286" priority="110899" stopIfTrue="1" operator="equal">
      <formula>-1</formula>
    </cfRule>
  </conditionalFormatting>
  <conditionalFormatting sqref="AZ26">
    <cfRule type="cellIs" dxfId="35285" priority="110900" stopIfTrue="1" operator="lessThan">
      <formula>0.5</formula>
    </cfRule>
  </conditionalFormatting>
  <conditionalFormatting sqref="AZ26">
    <cfRule type="cellIs" dxfId="35284" priority="110901" stopIfTrue="1" operator="greaterThanOrEqual">
      <formula>0.5</formula>
    </cfRule>
  </conditionalFormatting>
  <conditionalFormatting sqref="AZ27">
    <cfRule type="cellIs" dxfId="35283" priority="110902" stopIfTrue="1" operator="equal">
      <formula>-1</formula>
    </cfRule>
  </conditionalFormatting>
  <conditionalFormatting sqref="AZ27">
    <cfRule type="cellIs" dxfId="35282" priority="110903" stopIfTrue="1" operator="lessThan">
      <formula>0.5</formula>
    </cfRule>
  </conditionalFormatting>
  <conditionalFormatting sqref="AZ27">
    <cfRule type="cellIs" dxfId="35281" priority="110904" stopIfTrue="1" operator="greaterThanOrEqual">
      <formula>0.5</formula>
    </cfRule>
  </conditionalFormatting>
  <conditionalFormatting sqref="AZ28">
    <cfRule type="cellIs" dxfId="35280" priority="110905" stopIfTrue="1" operator="equal">
      <formula>-1</formula>
    </cfRule>
  </conditionalFormatting>
  <conditionalFormatting sqref="AZ28">
    <cfRule type="cellIs" dxfId="35279" priority="110906" stopIfTrue="1" operator="lessThan">
      <formula>0.5</formula>
    </cfRule>
  </conditionalFormatting>
  <conditionalFormatting sqref="AZ28">
    <cfRule type="cellIs" dxfId="35278" priority="110907" stopIfTrue="1" operator="greaterThanOrEqual">
      <formula>0.5</formula>
    </cfRule>
  </conditionalFormatting>
  <conditionalFormatting sqref="AZ29">
    <cfRule type="cellIs" dxfId="35277" priority="110908" stopIfTrue="1" operator="equal">
      <formula>-1</formula>
    </cfRule>
  </conditionalFormatting>
  <conditionalFormatting sqref="AZ29">
    <cfRule type="cellIs" dxfId="35276" priority="110909" stopIfTrue="1" operator="lessThan">
      <formula>0.5</formula>
    </cfRule>
  </conditionalFormatting>
  <conditionalFormatting sqref="AZ29">
    <cfRule type="cellIs" dxfId="35275" priority="110910" stopIfTrue="1" operator="greaterThanOrEqual">
      <formula>0.5</formula>
    </cfRule>
  </conditionalFormatting>
  <conditionalFormatting sqref="AZ30">
    <cfRule type="cellIs" dxfId="35274" priority="110911" stopIfTrue="1" operator="equal">
      <formula>-1</formula>
    </cfRule>
  </conditionalFormatting>
  <conditionalFormatting sqref="AZ30">
    <cfRule type="cellIs" dxfId="35273" priority="110912" stopIfTrue="1" operator="lessThan">
      <formula>0.5</formula>
    </cfRule>
  </conditionalFormatting>
  <conditionalFormatting sqref="AZ30">
    <cfRule type="cellIs" dxfId="35272" priority="110913" stopIfTrue="1" operator="greaterThanOrEqual">
      <formula>0.5</formula>
    </cfRule>
  </conditionalFormatting>
  <conditionalFormatting sqref="AZ31">
    <cfRule type="cellIs" dxfId="35271" priority="110914" stopIfTrue="1" operator="equal">
      <formula>-1</formula>
    </cfRule>
  </conditionalFormatting>
  <conditionalFormatting sqref="AZ31">
    <cfRule type="cellIs" dxfId="35270" priority="110915" stopIfTrue="1" operator="lessThan">
      <formula>0.5</formula>
    </cfRule>
  </conditionalFormatting>
  <conditionalFormatting sqref="AZ31">
    <cfRule type="cellIs" dxfId="35269" priority="110916" stopIfTrue="1" operator="greaterThanOrEqual">
      <formula>0.5</formula>
    </cfRule>
  </conditionalFormatting>
  <conditionalFormatting sqref="AZ32">
    <cfRule type="cellIs" dxfId="35268" priority="110917" stopIfTrue="1" operator="equal">
      <formula>-1</formula>
    </cfRule>
  </conditionalFormatting>
  <conditionalFormatting sqref="AZ32">
    <cfRule type="cellIs" dxfId="35267" priority="110918" stopIfTrue="1" operator="lessThan">
      <formula>0.5</formula>
    </cfRule>
  </conditionalFormatting>
  <conditionalFormatting sqref="AZ32">
    <cfRule type="cellIs" dxfId="35266" priority="110919" stopIfTrue="1" operator="greaterThanOrEqual">
      <formula>0.5</formula>
    </cfRule>
  </conditionalFormatting>
  <conditionalFormatting sqref="AZ33">
    <cfRule type="cellIs" dxfId="35265" priority="110920" stopIfTrue="1" operator="equal">
      <formula>-1</formula>
    </cfRule>
  </conditionalFormatting>
  <conditionalFormatting sqref="AZ33">
    <cfRule type="cellIs" dxfId="35264" priority="110921" stopIfTrue="1" operator="lessThan">
      <formula>0.5</formula>
    </cfRule>
  </conditionalFormatting>
  <conditionalFormatting sqref="AZ33">
    <cfRule type="cellIs" dxfId="35263" priority="110922" stopIfTrue="1" operator="greaterThanOrEqual">
      <formula>0.5</formula>
    </cfRule>
  </conditionalFormatting>
  <conditionalFormatting sqref="AZ34">
    <cfRule type="cellIs" dxfId="35262" priority="110923" stopIfTrue="1" operator="equal">
      <formula>-1</formula>
    </cfRule>
  </conditionalFormatting>
  <conditionalFormatting sqref="AZ34">
    <cfRule type="cellIs" dxfId="35261" priority="110924" stopIfTrue="1" operator="lessThan">
      <formula>0.5</formula>
    </cfRule>
  </conditionalFormatting>
  <conditionalFormatting sqref="AZ34">
    <cfRule type="cellIs" dxfId="35260" priority="110925" stopIfTrue="1" operator="greaterThanOrEqual">
      <formula>0.5</formula>
    </cfRule>
  </conditionalFormatting>
  <conditionalFormatting sqref="AZ35">
    <cfRule type="cellIs" dxfId="35259" priority="110926" stopIfTrue="1" operator="equal">
      <formula>-1</formula>
    </cfRule>
  </conditionalFormatting>
  <conditionalFormatting sqref="AZ35">
    <cfRule type="cellIs" dxfId="35258" priority="110927" stopIfTrue="1" operator="lessThan">
      <formula>0.5</formula>
    </cfRule>
  </conditionalFormatting>
  <conditionalFormatting sqref="AZ35">
    <cfRule type="cellIs" dxfId="35257" priority="110928" stopIfTrue="1" operator="greaterThanOrEqual">
      <formula>0.5</formula>
    </cfRule>
  </conditionalFormatting>
  <conditionalFormatting sqref="AZ36">
    <cfRule type="cellIs" dxfId="35256" priority="110929" stopIfTrue="1" operator="equal">
      <formula>-1</formula>
    </cfRule>
  </conditionalFormatting>
  <conditionalFormatting sqref="AZ36">
    <cfRule type="cellIs" dxfId="35255" priority="110930" stopIfTrue="1" operator="lessThan">
      <formula>0.5</formula>
    </cfRule>
  </conditionalFormatting>
  <conditionalFormatting sqref="AZ36">
    <cfRule type="cellIs" dxfId="35254" priority="110931" stopIfTrue="1" operator="greaterThanOrEqual">
      <formula>0.5</formula>
    </cfRule>
  </conditionalFormatting>
  <conditionalFormatting sqref="AZ37">
    <cfRule type="cellIs" dxfId="35253" priority="110932" stopIfTrue="1" operator="equal">
      <formula>-1</formula>
    </cfRule>
  </conditionalFormatting>
  <conditionalFormatting sqref="AZ37">
    <cfRule type="cellIs" dxfId="35252" priority="110933" stopIfTrue="1" operator="lessThan">
      <formula>0.5</formula>
    </cfRule>
  </conditionalFormatting>
  <conditionalFormatting sqref="AZ37">
    <cfRule type="cellIs" dxfId="35251" priority="110934" stopIfTrue="1" operator="greaterThanOrEqual">
      <formula>0.5</formula>
    </cfRule>
  </conditionalFormatting>
  <conditionalFormatting sqref="BB17">
    <cfRule type="cellIs" dxfId="35250" priority="110935" stopIfTrue="1" operator="equal">
      <formula>-1</formula>
    </cfRule>
  </conditionalFormatting>
  <conditionalFormatting sqref="BB17">
    <cfRule type="cellIs" dxfId="35249" priority="110936" stopIfTrue="1" operator="lessThan">
      <formula>0.5</formula>
    </cfRule>
  </conditionalFormatting>
  <conditionalFormatting sqref="BB17">
    <cfRule type="cellIs" dxfId="35248" priority="110937" stopIfTrue="1" operator="greaterThanOrEqual">
      <formula>0.5</formula>
    </cfRule>
  </conditionalFormatting>
  <conditionalFormatting sqref="BB18">
    <cfRule type="cellIs" dxfId="35247" priority="110938" stopIfTrue="1" operator="equal">
      <formula>-1</formula>
    </cfRule>
  </conditionalFormatting>
  <conditionalFormatting sqref="BB18">
    <cfRule type="cellIs" dxfId="35246" priority="110939" stopIfTrue="1" operator="lessThan">
      <formula>0.5</formula>
    </cfRule>
  </conditionalFormatting>
  <conditionalFormatting sqref="BB18">
    <cfRule type="cellIs" dxfId="35245" priority="110940" stopIfTrue="1" operator="greaterThanOrEqual">
      <formula>0.5</formula>
    </cfRule>
  </conditionalFormatting>
  <conditionalFormatting sqref="BB19">
    <cfRule type="cellIs" dxfId="35244" priority="110941" stopIfTrue="1" operator="equal">
      <formula>-1</formula>
    </cfRule>
  </conditionalFormatting>
  <conditionalFormatting sqref="BB19">
    <cfRule type="cellIs" dxfId="35243" priority="110942" stopIfTrue="1" operator="lessThan">
      <formula>0.5</formula>
    </cfRule>
  </conditionalFormatting>
  <conditionalFormatting sqref="BB19">
    <cfRule type="cellIs" dxfId="35242" priority="110943" stopIfTrue="1" operator="greaterThanOrEqual">
      <formula>0.5</formula>
    </cfRule>
  </conditionalFormatting>
  <conditionalFormatting sqref="BB20">
    <cfRule type="cellIs" dxfId="35241" priority="110944" stopIfTrue="1" operator="equal">
      <formula>-1</formula>
    </cfRule>
  </conditionalFormatting>
  <conditionalFormatting sqref="BB20">
    <cfRule type="cellIs" dxfId="35240" priority="110945" stopIfTrue="1" operator="lessThan">
      <formula>0.5</formula>
    </cfRule>
  </conditionalFormatting>
  <conditionalFormatting sqref="BB20">
    <cfRule type="cellIs" dxfId="35239" priority="110946" stopIfTrue="1" operator="greaterThanOrEqual">
      <formula>0.5</formula>
    </cfRule>
  </conditionalFormatting>
  <conditionalFormatting sqref="BB21">
    <cfRule type="cellIs" dxfId="35238" priority="110947" stopIfTrue="1" operator="equal">
      <formula>-1</formula>
    </cfRule>
  </conditionalFormatting>
  <conditionalFormatting sqref="BB21">
    <cfRule type="cellIs" dxfId="35237" priority="110948" stopIfTrue="1" operator="lessThan">
      <formula>0.5</formula>
    </cfRule>
  </conditionalFormatting>
  <conditionalFormatting sqref="BB21">
    <cfRule type="cellIs" dxfId="35236" priority="110949" stopIfTrue="1" operator="greaterThanOrEqual">
      <formula>0.5</formula>
    </cfRule>
  </conditionalFormatting>
  <conditionalFormatting sqref="BB22">
    <cfRule type="cellIs" dxfId="35235" priority="110950" stopIfTrue="1" operator="equal">
      <formula>-1</formula>
    </cfRule>
  </conditionalFormatting>
  <conditionalFormatting sqref="BB22">
    <cfRule type="cellIs" dxfId="35234" priority="110951" stopIfTrue="1" operator="lessThan">
      <formula>0.5</formula>
    </cfRule>
  </conditionalFormatting>
  <conditionalFormatting sqref="BB22">
    <cfRule type="cellIs" dxfId="35233" priority="110952" stopIfTrue="1" operator="greaterThanOrEqual">
      <formula>0.5</formula>
    </cfRule>
  </conditionalFormatting>
  <conditionalFormatting sqref="BB23">
    <cfRule type="cellIs" dxfId="35232" priority="110953" stopIfTrue="1" operator="equal">
      <formula>-1</formula>
    </cfRule>
  </conditionalFormatting>
  <conditionalFormatting sqref="BB23">
    <cfRule type="cellIs" dxfId="35231" priority="110954" stopIfTrue="1" operator="lessThan">
      <formula>0.5</formula>
    </cfRule>
  </conditionalFormatting>
  <conditionalFormatting sqref="BB23">
    <cfRule type="cellIs" dxfId="35230" priority="110955" stopIfTrue="1" operator="greaterThanOrEqual">
      <formula>0.5</formula>
    </cfRule>
  </conditionalFormatting>
  <conditionalFormatting sqref="BB24">
    <cfRule type="cellIs" dxfId="35229" priority="110956" stopIfTrue="1" operator="equal">
      <formula>-1</formula>
    </cfRule>
  </conditionalFormatting>
  <conditionalFormatting sqref="BB24">
    <cfRule type="cellIs" dxfId="35228" priority="110957" stopIfTrue="1" operator="lessThan">
      <formula>0.5</formula>
    </cfRule>
  </conditionalFormatting>
  <conditionalFormatting sqref="BB24">
    <cfRule type="cellIs" dxfId="35227" priority="110958" stopIfTrue="1" operator="greaterThanOrEqual">
      <formula>0.5</formula>
    </cfRule>
  </conditionalFormatting>
  <conditionalFormatting sqref="BB25">
    <cfRule type="cellIs" dxfId="35226" priority="110959" stopIfTrue="1" operator="equal">
      <formula>-1</formula>
    </cfRule>
  </conditionalFormatting>
  <conditionalFormatting sqref="BB25">
    <cfRule type="cellIs" dxfId="35225" priority="110960" stopIfTrue="1" operator="lessThan">
      <formula>0.5</formula>
    </cfRule>
  </conditionalFormatting>
  <conditionalFormatting sqref="BB25">
    <cfRule type="cellIs" dxfId="35224" priority="110961" stopIfTrue="1" operator="greaterThanOrEqual">
      <formula>0.5</formula>
    </cfRule>
  </conditionalFormatting>
  <conditionalFormatting sqref="BB26">
    <cfRule type="cellIs" dxfId="35223" priority="110962" stopIfTrue="1" operator="equal">
      <formula>-1</formula>
    </cfRule>
  </conditionalFormatting>
  <conditionalFormatting sqref="BB26">
    <cfRule type="cellIs" dxfId="35222" priority="110963" stopIfTrue="1" operator="lessThan">
      <formula>0.5</formula>
    </cfRule>
  </conditionalFormatting>
  <conditionalFormatting sqref="BB26">
    <cfRule type="cellIs" dxfId="35221" priority="110964" stopIfTrue="1" operator="greaterThanOrEqual">
      <formula>0.5</formula>
    </cfRule>
  </conditionalFormatting>
  <conditionalFormatting sqref="BB27">
    <cfRule type="cellIs" dxfId="35220" priority="110965" stopIfTrue="1" operator="equal">
      <formula>-1</formula>
    </cfRule>
  </conditionalFormatting>
  <conditionalFormatting sqref="BB27">
    <cfRule type="cellIs" dxfId="35219" priority="110966" stopIfTrue="1" operator="lessThan">
      <formula>0.5</formula>
    </cfRule>
  </conditionalFormatting>
  <conditionalFormatting sqref="BB27">
    <cfRule type="cellIs" dxfId="35218" priority="110967" stopIfTrue="1" operator="greaterThanOrEqual">
      <formula>0.5</formula>
    </cfRule>
  </conditionalFormatting>
  <conditionalFormatting sqref="BB28">
    <cfRule type="cellIs" dxfId="35217" priority="110968" stopIfTrue="1" operator="equal">
      <formula>-1</formula>
    </cfRule>
  </conditionalFormatting>
  <conditionalFormatting sqref="BB28">
    <cfRule type="cellIs" dxfId="35216" priority="110969" stopIfTrue="1" operator="lessThan">
      <formula>0.5</formula>
    </cfRule>
  </conditionalFormatting>
  <conditionalFormatting sqref="BB28">
    <cfRule type="cellIs" dxfId="35215" priority="110970" stopIfTrue="1" operator="greaterThanOrEqual">
      <formula>0.5</formula>
    </cfRule>
  </conditionalFormatting>
  <conditionalFormatting sqref="BB29">
    <cfRule type="cellIs" dxfId="35214" priority="110971" stopIfTrue="1" operator="equal">
      <formula>-1</formula>
    </cfRule>
  </conditionalFormatting>
  <conditionalFormatting sqref="BB29">
    <cfRule type="cellIs" dxfId="35213" priority="110972" stopIfTrue="1" operator="lessThan">
      <formula>0.5</formula>
    </cfRule>
  </conditionalFormatting>
  <conditionalFormatting sqref="BB29">
    <cfRule type="cellIs" dxfId="35212" priority="110973" stopIfTrue="1" operator="greaterThanOrEqual">
      <formula>0.5</formula>
    </cfRule>
  </conditionalFormatting>
  <conditionalFormatting sqref="BB30">
    <cfRule type="cellIs" dxfId="35211" priority="110974" stopIfTrue="1" operator="equal">
      <formula>-1</formula>
    </cfRule>
  </conditionalFormatting>
  <conditionalFormatting sqref="BB30">
    <cfRule type="cellIs" dxfId="35210" priority="110975" stopIfTrue="1" operator="lessThan">
      <formula>0.5</formula>
    </cfRule>
  </conditionalFormatting>
  <conditionalFormatting sqref="BB30">
    <cfRule type="cellIs" dxfId="35209" priority="110976" stopIfTrue="1" operator="greaterThanOrEqual">
      <formula>0.5</formula>
    </cfRule>
  </conditionalFormatting>
  <conditionalFormatting sqref="BB31">
    <cfRule type="cellIs" dxfId="35208" priority="110977" stopIfTrue="1" operator="equal">
      <formula>-1</formula>
    </cfRule>
  </conditionalFormatting>
  <conditionalFormatting sqref="BB31">
    <cfRule type="cellIs" dxfId="35207" priority="110978" stopIfTrue="1" operator="lessThan">
      <formula>0.5</formula>
    </cfRule>
  </conditionalFormatting>
  <conditionalFormatting sqref="BB31">
    <cfRule type="cellIs" dxfId="35206" priority="110979" stopIfTrue="1" operator="greaterThanOrEqual">
      <formula>0.5</formula>
    </cfRule>
  </conditionalFormatting>
  <conditionalFormatting sqref="BB32">
    <cfRule type="cellIs" dxfId="35205" priority="110980" stopIfTrue="1" operator="equal">
      <formula>-1</formula>
    </cfRule>
  </conditionalFormatting>
  <conditionalFormatting sqref="BB32">
    <cfRule type="cellIs" dxfId="35204" priority="110981" stopIfTrue="1" operator="lessThan">
      <formula>0.5</formula>
    </cfRule>
  </conditionalFormatting>
  <conditionalFormatting sqref="BB32">
    <cfRule type="cellIs" dxfId="35203" priority="110982" stopIfTrue="1" operator="greaterThanOrEqual">
      <formula>0.5</formula>
    </cfRule>
  </conditionalFormatting>
  <conditionalFormatting sqref="BB33">
    <cfRule type="cellIs" dxfId="35202" priority="110983" stopIfTrue="1" operator="equal">
      <formula>-1</formula>
    </cfRule>
  </conditionalFormatting>
  <conditionalFormatting sqref="BB33">
    <cfRule type="cellIs" dxfId="35201" priority="110984" stopIfTrue="1" operator="lessThan">
      <formula>0.5</formula>
    </cfRule>
  </conditionalFormatting>
  <conditionalFormatting sqref="BB33">
    <cfRule type="cellIs" dxfId="35200" priority="110985" stopIfTrue="1" operator="greaterThanOrEqual">
      <formula>0.5</formula>
    </cfRule>
  </conditionalFormatting>
  <conditionalFormatting sqref="BB34">
    <cfRule type="cellIs" dxfId="35199" priority="110986" stopIfTrue="1" operator="equal">
      <formula>-1</formula>
    </cfRule>
  </conditionalFormatting>
  <conditionalFormatting sqref="BB34">
    <cfRule type="cellIs" dxfId="35198" priority="110987" stopIfTrue="1" operator="lessThan">
      <formula>0.5</formula>
    </cfRule>
  </conditionalFormatting>
  <conditionalFormatting sqref="BB34">
    <cfRule type="cellIs" dxfId="35197" priority="110988" stopIfTrue="1" operator="greaterThanOrEqual">
      <formula>0.5</formula>
    </cfRule>
  </conditionalFormatting>
  <conditionalFormatting sqref="BB35">
    <cfRule type="cellIs" dxfId="35196" priority="110989" stopIfTrue="1" operator="equal">
      <formula>-1</formula>
    </cfRule>
  </conditionalFormatting>
  <conditionalFormatting sqref="BB35">
    <cfRule type="cellIs" dxfId="35195" priority="110990" stopIfTrue="1" operator="lessThan">
      <formula>0.5</formula>
    </cfRule>
  </conditionalFormatting>
  <conditionalFormatting sqref="BB35">
    <cfRule type="cellIs" dxfId="35194" priority="110991" stopIfTrue="1" operator="greaterThanOrEqual">
      <formula>0.5</formula>
    </cfRule>
  </conditionalFormatting>
  <conditionalFormatting sqref="BB36">
    <cfRule type="cellIs" dxfId="35193" priority="110992" stopIfTrue="1" operator="equal">
      <formula>-1</formula>
    </cfRule>
  </conditionalFormatting>
  <conditionalFormatting sqref="BB36">
    <cfRule type="cellIs" dxfId="35192" priority="110993" stopIfTrue="1" operator="lessThan">
      <formula>0.5</formula>
    </cfRule>
  </conditionalFormatting>
  <conditionalFormatting sqref="BB36">
    <cfRule type="cellIs" dxfId="35191" priority="110994" stopIfTrue="1" operator="greaterThanOrEqual">
      <formula>0.5</formula>
    </cfRule>
  </conditionalFormatting>
  <conditionalFormatting sqref="BB37">
    <cfRule type="cellIs" dxfId="35190" priority="110995" stopIfTrue="1" operator="equal">
      <formula>-1</formula>
    </cfRule>
  </conditionalFormatting>
  <conditionalFormatting sqref="BB37">
    <cfRule type="cellIs" dxfId="35189" priority="110996" stopIfTrue="1" operator="lessThan">
      <formula>0.5</formula>
    </cfRule>
  </conditionalFormatting>
  <conditionalFormatting sqref="BB37">
    <cfRule type="cellIs" dxfId="35188" priority="110997" stopIfTrue="1" operator="greaterThanOrEqual">
      <formula>0.5</formula>
    </cfRule>
  </conditionalFormatting>
  <conditionalFormatting sqref="BD17">
    <cfRule type="cellIs" dxfId="35187" priority="110998" stopIfTrue="1" operator="equal">
      <formula>-1</formula>
    </cfRule>
  </conditionalFormatting>
  <conditionalFormatting sqref="BD17">
    <cfRule type="cellIs" dxfId="35186" priority="110999" stopIfTrue="1" operator="lessThan">
      <formula>0.5</formula>
    </cfRule>
  </conditionalFormatting>
  <conditionalFormatting sqref="BD17">
    <cfRule type="cellIs" dxfId="35185" priority="111000" stopIfTrue="1" operator="greaterThanOrEqual">
      <formula>0.5</formula>
    </cfRule>
  </conditionalFormatting>
  <conditionalFormatting sqref="BD18">
    <cfRule type="cellIs" dxfId="35184" priority="111001" stopIfTrue="1" operator="equal">
      <formula>-1</formula>
    </cfRule>
  </conditionalFormatting>
  <conditionalFormatting sqref="BD18">
    <cfRule type="cellIs" dxfId="35183" priority="111002" stopIfTrue="1" operator="lessThan">
      <formula>0.5</formula>
    </cfRule>
  </conditionalFormatting>
  <conditionalFormatting sqref="BD18">
    <cfRule type="cellIs" dxfId="35182" priority="111003" stopIfTrue="1" operator="greaterThanOrEqual">
      <formula>0.5</formula>
    </cfRule>
  </conditionalFormatting>
  <conditionalFormatting sqref="BD19">
    <cfRule type="cellIs" dxfId="35181" priority="111004" stopIfTrue="1" operator="equal">
      <formula>-1</formula>
    </cfRule>
  </conditionalFormatting>
  <conditionalFormatting sqref="BD19">
    <cfRule type="cellIs" dxfId="35180" priority="111005" stopIfTrue="1" operator="lessThan">
      <formula>0.5</formula>
    </cfRule>
  </conditionalFormatting>
  <conditionalFormatting sqref="BD19">
    <cfRule type="cellIs" dxfId="35179" priority="111006" stopIfTrue="1" operator="greaterThanOrEqual">
      <formula>0.5</formula>
    </cfRule>
  </conditionalFormatting>
  <conditionalFormatting sqref="BD20">
    <cfRule type="cellIs" dxfId="35178" priority="111007" stopIfTrue="1" operator="equal">
      <formula>-1</formula>
    </cfRule>
  </conditionalFormatting>
  <conditionalFormatting sqref="BD20">
    <cfRule type="cellIs" dxfId="35177" priority="111008" stopIfTrue="1" operator="lessThan">
      <formula>0.5</formula>
    </cfRule>
  </conditionalFormatting>
  <conditionalFormatting sqref="BD20">
    <cfRule type="cellIs" dxfId="35176" priority="111009" stopIfTrue="1" operator="greaterThanOrEqual">
      <formula>0.5</formula>
    </cfRule>
  </conditionalFormatting>
  <conditionalFormatting sqref="BD21">
    <cfRule type="cellIs" dxfId="35175" priority="111010" stopIfTrue="1" operator="equal">
      <formula>-1</formula>
    </cfRule>
  </conditionalFormatting>
  <conditionalFormatting sqref="BD21">
    <cfRule type="cellIs" dxfId="35174" priority="111011" stopIfTrue="1" operator="lessThan">
      <formula>0.5</formula>
    </cfRule>
  </conditionalFormatting>
  <conditionalFormatting sqref="BD21">
    <cfRule type="cellIs" dxfId="35173" priority="111012" stopIfTrue="1" operator="greaterThanOrEqual">
      <formula>0.5</formula>
    </cfRule>
  </conditionalFormatting>
  <conditionalFormatting sqref="BD22">
    <cfRule type="cellIs" dxfId="35172" priority="111013" stopIfTrue="1" operator="equal">
      <formula>-1</formula>
    </cfRule>
  </conditionalFormatting>
  <conditionalFormatting sqref="BD22">
    <cfRule type="cellIs" dxfId="35171" priority="111014" stopIfTrue="1" operator="lessThan">
      <formula>0.5</formula>
    </cfRule>
  </conditionalFormatting>
  <conditionalFormatting sqref="BD22">
    <cfRule type="cellIs" dxfId="35170" priority="111015" stopIfTrue="1" operator="greaterThanOrEqual">
      <formula>0.5</formula>
    </cfRule>
  </conditionalFormatting>
  <conditionalFormatting sqref="BD23">
    <cfRule type="cellIs" dxfId="35169" priority="111016" stopIfTrue="1" operator="equal">
      <formula>-1</formula>
    </cfRule>
  </conditionalFormatting>
  <conditionalFormatting sqref="BD23">
    <cfRule type="cellIs" dxfId="35168" priority="111017" stopIfTrue="1" operator="lessThan">
      <formula>0.5</formula>
    </cfRule>
  </conditionalFormatting>
  <conditionalFormatting sqref="BD23">
    <cfRule type="cellIs" dxfId="35167" priority="111018" stopIfTrue="1" operator="greaterThanOrEqual">
      <formula>0.5</formula>
    </cfRule>
  </conditionalFormatting>
  <conditionalFormatting sqref="BD24">
    <cfRule type="cellIs" dxfId="35166" priority="111019" stopIfTrue="1" operator="equal">
      <formula>-1</formula>
    </cfRule>
  </conditionalFormatting>
  <conditionalFormatting sqref="BD24">
    <cfRule type="cellIs" dxfId="35165" priority="111020" stopIfTrue="1" operator="lessThan">
      <formula>0.5</formula>
    </cfRule>
  </conditionalFormatting>
  <conditionalFormatting sqref="BD24">
    <cfRule type="cellIs" dxfId="35164" priority="111021" stopIfTrue="1" operator="greaterThanOrEqual">
      <formula>0.5</formula>
    </cfRule>
  </conditionalFormatting>
  <conditionalFormatting sqref="BD25">
    <cfRule type="cellIs" dxfId="35163" priority="111022" stopIfTrue="1" operator="equal">
      <formula>-1</formula>
    </cfRule>
  </conditionalFormatting>
  <conditionalFormatting sqref="BD25">
    <cfRule type="cellIs" dxfId="35162" priority="111023" stopIfTrue="1" operator="lessThan">
      <formula>0.5</formula>
    </cfRule>
  </conditionalFormatting>
  <conditionalFormatting sqref="BD25">
    <cfRule type="cellIs" dxfId="35161" priority="111024" stopIfTrue="1" operator="greaterThanOrEqual">
      <formula>0.5</formula>
    </cfRule>
  </conditionalFormatting>
  <conditionalFormatting sqref="BD26">
    <cfRule type="cellIs" dxfId="35160" priority="111025" stopIfTrue="1" operator="equal">
      <formula>-1</formula>
    </cfRule>
  </conditionalFormatting>
  <conditionalFormatting sqref="BD26">
    <cfRule type="cellIs" dxfId="35159" priority="111026" stopIfTrue="1" operator="lessThan">
      <formula>0.5</formula>
    </cfRule>
  </conditionalFormatting>
  <conditionalFormatting sqref="BD26">
    <cfRule type="cellIs" dxfId="35158" priority="111027" stopIfTrue="1" operator="greaterThanOrEqual">
      <formula>0.5</formula>
    </cfRule>
  </conditionalFormatting>
  <conditionalFormatting sqref="BD27">
    <cfRule type="cellIs" dxfId="35157" priority="111028" stopIfTrue="1" operator="equal">
      <formula>-1</formula>
    </cfRule>
  </conditionalFormatting>
  <conditionalFormatting sqref="BD27">
    <cfRule type="cellIs" dxfId="35156" priority="111029" stopIfTrue="1" operator="lessThan">
      <formula>0.5</formula>
    </cfRule>
  </conditionalFormatting>
  <conditionalFormatting sqref="BD27">
    <cfRule type="cellIs" dxfId="35155" priority="111030" stopIfTrue="1" operator="greaterThanOrEqual">
      <formula>0.5</formula>
    </cfRule>
  </conditionalFormatting>
  <conditionalFormatting sqref="BD28">
    <cfRule type="cellIs" dxfId="35154" priority="111031" stopIfTrue="1" operator="equal">
      <formula>-1</formula>
    </cfRule>
  </conditionalFormatting>
  <conditionalFormatting sqref="BD28">
    <cfRule type="cellIs" dxfId="35153" priority="111032" stopIfTrue="1" operator="lessThan">
      <formula>0.5</formula>
    </cfRule>
  </conditionalFormatting>
  <conditionalFormatting sqref="BD28">
    <cfRule type="cellIs" dxfId="35152" priority="111033" stopIfTrue="1" operator="greaterThanOrEqual">
      <formula>0.5</formula>
    </cfRule>
  </conditionalFormatting>
  <conditionalFormatting sqref="BD29">
    <cfRule type="cellIs" dxfId="35151" priority="111034" stopIfTrue="1" operator="equal">
      <formula>-1</formula>
    </cfRule>
  </conditionalFormatting>
  <conditionalFormatting sqref="BD29">
    <cfRule type="cellIs" dxfId="35150" priority="111035" stopIfTrue="1" operator="lessThan">
      <formula>0.5</formula>
    </cfRule>
  </conditionalFormatting>
  <conditionalFormatting sqref="BD29">
    <cfRule type="cellIs" dxfId="35149" priority="111036" stopIfTrue="1" operator="greaterThanOrEqual">
      <formula>0.5</formula>
    </cfRule>
  </conditionalFormatting>
  <conditionalFormatting sqref="BD30">
    <cfRule type="cellIs" dxfId="35148" priority="111037" stopIfTrue="1" operator="equal">
      <formula>-1</formula>
    </cfRule>
  </conditionalFormatting>
  <conditionalFormatting sqref="BD30">
    <cfRule type="cellIs" dxfId="35147" priority="111038" stopIfTrue="1" operator="lessThan">
      <formula>0.5</formula>
    </cfRule>
  </conditionalFormatting>
  <conditionalFormatting sqref="BD30">
    <cfRule type="cellIs" dxfId="35146" priority="111039" stopIfTrue="1" operator="greaterThanOrEqual">
      <formula>0.5</formula>
    </cfRule>
  </conditionalFormatting>
  <conditionalFormatting sqref="BD31">
    <cfRule type="cellIs" dxfId="35145" priority="111040" stopIfTrue="1" operator="equal">
      <formula>-1</formula>
    </cfRule>
  </conditionalFormatting>
  <conditionalFormatting sqref="BD31">
    <cfRule type="cellIs" dxfId="35144" priority="111041" stopIfTrue="1" operator="lessThan">
      <formula>0.5</formula>
    </cfRule>
  </conditionalFormatting>
  <conditionalFormatting sqref="BD31">
    <cfRule type="cellIs" dxfId="35143" priority="111042" stopIfTrue="1" operator="greaterThanOrEqual">
      <formula>0.5</formula>
    </cfRule>
  </conditionalFormatting>
  <conditionalFormatting sqref="BD32">
    <cfRule type="cellIs" dxfId="35142" priority="111043" stopIfTrue="1" operator="equal">
      <formula>-1</formula>
    </cfRule>
  </conditionalFormatting>
  <conditionalFormatting sqref="BD32">
    <cfRule type="cellIs" dxfId="35141" priority="111044" stopIfTrue="1" operator="lessThan">
      <formula>0.5</formula>
    </cfRule>
  </conditionalFormatting>
  <conditionalFormatting sqref="BD32">
    <cfRule type="cellIs" dxfId="35140" priority="111045" stopIfTrue="1" operator="greaterThanOrEqual">
      <formula>0.5</formula>
    </cfRule>
  </conditionalFormatting>
  <conditionalFormatting sqref="BD33">
    <cfRule type="cellIs" dxfId="35139" priority="111046" stopIfTrue="1" operator="equal">
      <formula>-1</formula>
    </cfRule>
  </conditionalFormatting>
  <conditionalFormatting sqref="BD33">
    <cfRule type="cellIs" dxfId="35138" priority="111047" stopIfTrue="1" operator="lessThan">
      <formula>0.5</formula>
    </cfRule>
  </conditionalFormatting>
  <conditionalFormatting sqref="BD33">
    <cfRule type="cellIs" dxfId="35137" priority="111048" stopIfTrue="1" operator="greaterThanOrEqual">
      <formula>0.5</formula>
    </cfRule>
  </conditionalFormatting>
  <conditionalFormatting sqref="BD34">
    <cfRule type="cellIs" dxfId="35136" priority="111049" stopIfTrue="1" operator="equal">
      <formula>-1</formula>
    </cfRule>
  </conditionalFormatting>
  <conditionalFormatting sqref="BD34">
    <cfRule type="cellIs" dxfId="35135" priority="111050" stopIfTrue="1" operator="lessThan">
      <formula>0.5</formula>
    </cfRule>
  </conditionalFormatting>
  <conditionalFormatting sqref="BD34">
    <cfRule type="cellIs" dxfId="35134" priority="111051" stopIfTrue="1" operator="greaterThanOrEqual">
      <formula>0.5</formula>
    </cfRule>
  </conditionalFormatting>
  <conditionalFormatting sqref="BD35">
    <cfRule type="cellIs" dxfId="35133" priority="111052" stopIfTrue="1" operator="equal">
      <formula>-1</formula>
    </cfRule>
  </conditionalFormatting>
  <conditionalFormatting sqref="BD35">
    <cfRule type="cellIs" dxfId="35132" priority="111053" stopIfTrue="1" operator="lessThan">
      <formula>0.5</formula>
    </cfRule>
  </conditionalFormatting>
  <conditionalFormatting sqref="BD35">
    <cfRule type="cellIs" dxfId="35131" priority="111054" stopIfTrue="1" operator="greaterThanOrEqual">
      <formula>0.5</formula>
    </cfRule>
  </conditionalFormatting>
  <conditionalFormatting sqref="BD36">
    <cfRule type="cellIs" dxfId="35130" priority="111055" stopIfTrue="1" operator="equal">
      <formula>-1</formula>
    </cfRule>
  </conditionalFormatting>
  <conditionalFormatting sqref="BD36">
    <cfRule type="cellIs" dxfId="35129" priority="111056" stopIfTrue="1" operator="lessThan">
      <formula>0.5</formula>
    </cfRule>
  </conditionalFormatting>
  <conditionalFormatting sqref="BD36">
    <cfRule type="cellIs" dxfId="35128" priority="111057" stopIfTrue="1" operator="greaterThanOrEqual">
      <formula>0.5</formula>
    </cfRule>
  </conditionalFormatting>
  <conditionalFormatting sqref="BD37">
    <cfRule type="cellIs" dxfId="35127" priority="111058" stopIfTrue="1" operator="equal">
      <formula>-1</formula>
    </cfRule>
  </conditionalFormatting>
  <conditionalFormatting sqref="BD37">
    <cfRule type="cellIs" dxfId="35126" priority="111059" stopIfTrue="1" operator="lessThan">
      <formula>0.5</formula>
    </cfRule>
  </conditionalFormatting>
  <conditionalFormatting sqref="BD37">
    <cfRule type="cellIs" dxfId="35125" priority="111060" stopIfTrue="1" operator="greaterThanOrEqual">
      <formula>0.5</formula>
    </cfRule>
  </conditionalFormatting>
  <conditionalFormatting sqref="BF17">
    <cfRule type="cellIs" dxfId="35124" priority="111061" stopIfTrue="1" operator="equal">
      <formula>-1</formula>
    </cfRule>
  </conditionalFormatting>
  <conditionalFormatting sqref="BF17">
    <cfRule type="cellIs" dxfId="35123" priority="111062" stopIfTrue="1" operator="lessThan">
      <formula>0.5</formula>
    </cfRule>
  </conditionalFormatting>
  <conditionalFormatting sqref="BF17">
    <cfRule type="cellIs" dxfId="35122" priority="111063" stopIfTrue="1" operator="greaterThanOrEqual">
      <formula>0.5</formula>
    </cfRule>
  </conditionalFormatting>
  <conditionalFormatting sqref="BF18">
    <cfRule type="cellIs" dxfId="35121" priority="111064" stopIfTrue="1" operator="equal">
      <formula>-1</formula>
    </cfRule>
  </conditionalFormatting>
  <conditionalFormatting sqref="BF18">
    <cfRule type="cellIs" dxfId="35120" priority="111065" stopIfTrue="1" operator="lessThan">
      <formula>0.5</formula>
    </cfRule>
  </conditionalFormatting>
  <conditionalFormatting sqref="BF18">
    <cfRule type="cellIs" dxfId="35119" priority="111066" stopIfTrue="1" operator="greaterThanOrEqual">
      <formula>0.5</formula>
    </cfRule>
  </conditionalFormatting>
  <conditionalFormatting sqref="BF19">
    <cfRule type="cellIs" dxfId="35118" priority="111067" stopIfTrue="1" operator="equal">
      <formula>-1</formula>
    </cfRule>
  </conditionalFormatting>
  <conditionalFormatting sqref="BF19">
    <cfRule type="cellIs" dxfId="35117" priority="111068" stopIfTrue="1" operator="lessThan">
      <formula>0.5</formula>
    </cfRule>
  </conditionalFormatting>
  <conditionalFormatting sqref="BF19">
    <cfRule type="cellIs" dxfId="35116" priority="111069" stopIfTrue="1" operator="greaterThanOrEqual">
      <formula>0.5</formula>
    </cfRule>
  </conditionalFormatting>
  <conditionalFormatting sqref="BF20">
    <cfRule type="cellIs" dxfId="35115" priority="111070" stopIfTrue="1" operator="equal">
      <formula>-1</formula>
    </cfRule>
  </conditionalFormatting>
  <conditionalFormatting sqref="BF20">
    <cfRule type="cellIs" dxfId="35114" priority="111071" stopIfTrue="1" operator="lessThan">
      <formula>0.5</formula>
    </cfRule>
  </conditionalFormatting>
  <conditionalFormatting sqref="BF20">
    <cfRule type="cellIs" dxfId="35113" priority="111072" stopIfTrue="1" operator="greaterThanOrEqual">
      <formula>0.5</formula>
    </cfRule>
  </conditionalFormatting>
  <conditionalFormatting sqref="BF21">
    <cfRule type="cellIs" dxfId="35112" priority="111073" stopIfTrue="1" operator="equal">
      <formula>-1</formula>
    </cfRule>
  </conditionalFormatting>
  <conditionalFormatting sqref="BF21">
    <cfRule type="cellIs" dxfId="35111" priority="111074" stopIfTrue="1" operator="lessThan">
      <formula>0.5</formula>
    </cfRule>
  </conditionalFormatting>
  <conditionalFormatting sqref="BF21">
    <cfRule type="cellIs" dxfId="35110" priority="111075" stopIfTrue="1" operator="greaterThanOrEqual">
      <formula>0.5</formula>
    </cfRule>
  </conditionalFormatting>
  <conditionalFormatting sqref="BF22">
    <cfRule type="cellIs" dxfId="35109" priority="111076" stopIfTrue="1" operator="equal">
      <formula>-1</formula>
    </cfRule>
  </conditionalFormatting>
  <conditionalFormatting sqref="BF22">
    <cfRule type="cellIs" dxfId="35108" priority="111077" stopIfTrue="1" operator="lessThan">
      <formula>0.5</formula>
    </cfRule>
  </conditionalFormatting>
  <conditionalFormatting sqref="BF22">
    <cfRule type="cellIs" dxfId="35107" priority="111078" stopIfTrue="1" operator="greaterThanOrEqual">
      <formula>0.5</formula>
    </cfRule>
  </conditionalFormatting>
  <conditionalFormatting sqref="BF23">
    <cfRule type="cellIs" dxfId="35106" priority="111079" stopIfTrue="1" operator="equal">
      <formula>-1</formula>
    </cfRule>
  </conditionalFormatting>
  <conditionalFormatting sqref="BF23">
    <cfRule type="cellIs" dxfId="35105" priority="111080" stopIfTrue="1" operator="lessThan">
      <formula>0.5</formula>
    </cfRule>
  </conditionalFormatting>
  <conditionalFormatting sqref="BF23">
    <cfRule type="cellIs" dxfId="35104" priority="111081" stopIfTrue="1" operator="greaterThanOrEqual">
      <formula>0.5</formula>
    </cfRule>
  </conditionalFormatting>
  <conditionalFormatting sqref="BF24">
    <cfRule type="cellIs" dxfId="35103" priority="111082" stopIfTrue="1" operator="equal">
      <formula>-1</formula>
    </cfRule>
  </conditionalFormatting>
  <conditionalFormatting sqref="BF24">
    <cfRule type="cellIs" dxfId="35102" priority="111083" stopIfTrue="1" operator="lessThan">
      <formula>0.5</formula>
    </cfRule>
  </conditionalFormatting>
  <conditionalFormatting sqref="BF24">
    <cfRule type="cellIs" dxfId="35101" priority="111084" stopIfTrue="1" operator="greaterThanOrEqual">
      <formula>0.5</formula>
    </cfRule>
  </conditionalFormatting>
  <conditionalFormatting sqref="BF25">
    <cfRule type="cellIs" dxfId="35100" priority="111085" stopIfTrue="1" operator="equal">
      <formula>-1</formula>
    </cfRule>
  </conditionalFormatting>
  <conditionalFormatting sqref="BF25">
    <cfRule type="cellIs" dxfId="35099" priority="111086" stopIfTrue="1" operator="lessThan">
      <formula>0.5</formula>
    </cfRule>
  </conditionalFormatting>
  <conditionalFormatting sqref="BF25">
    <cfRule type="cellIs" dxfId="35098" priority="111087" stopIfTrue="1" operator="greaterThanOrEqual">
      <formula>0.5</formula>
    </cfRule>
  </conditionalFormatting>
  <conditionalFormatting sqref="BF26">
    <cfRule type="cellIs" dxfId="35097" priority="111088" stopIfTrue="1" operator="equal">
      <formula>-1</formula>
    </cfRule>
  </conditionalFormatting>
  <conditionalFormatting sqref="BF26">
    <cfRule type="cellIs" dxfId="35096" priority="111089" stopIfTrue="1" operator="lessThan">
      <formula>0.5</formula>
    </cfRule>
  </conditionalFormatting>
  <conditionalFormatting sqref="BF26">
    <cfRule type="cellIs" dxfId="35095" priority="111090" stopIfTrue="1" operator="greaterThanOrEqual">
      <formula>0.5</formula>
    </cfRule>
  </conditionalFormatting>
  <conditionalFormatting sqref="BF27">
    <cfRule type="cellIs" dxfId="35094" priority="111091" stopIfTrue="1" operator="equal">
      <formula>-1</formula>
    </cfRule>
  </conditionalFormatting>
  <conditionalFormatting sqref="BF27">
    <cfRule type="cellIs" dxfId="35093" priority="111092" stopIfTrue="1" operator="lessThan">
      <formula>0.5</formula>
    </cfRule>
  </conditionalFormatting>
  <conditionalFormatting sqref="BF27">
    <cfRule type="cellIs" dxfId="35092" priority="111093" stopIfTrue="1" operator="greaterThanOrEqual">
      <formula>0.5</formula>
    </cfRule>
  </conditionalFormatting>
  <conditionalFormatting sqref="BF28">
    <cfRule type="cellIs" dxfId="35091" priority="111094" stopIfTrue="1" operator="equal">
      <formula>-1</formula>
    </cfRule>
  </conditionalFormatting>
  <conditionalFormatting sqref="BF28">
    <cfRule type="cellIs" dxfId="35090" priority="111095" stopIfTrue="1" operator="lessThan">
      <formula>0.5</formula>
    </cfRule>
  </conditionalFormatting>
  <conditionalFormatting sqref="BF28">
    <cfRule type="cellIs" dxfId="35089" priority="111096" stopIfTrue="1" operator="greaterThanOrEqual">
      <formula>0.5</formula>
    </cfRule>
  </conditionalFormatting>
  <conditionalFormatting sqref="BF29">
    <cfRule type="cellIs" dxfId="35088" priority="111097" stopIfTrue="1" operator="equal">
      <formula>-1</formula>
    </cfRule>
  </conditionalFormatting>
  <conditionalFormatting sqref="BF29">
    <cfRule type="cellIs" dxfId="35087" priority="111098" stopIfTrue="1" operator="lessThan">
      <formula>0.5</formula>
    </cfRule>
  </conditionalFormatting>
  <conditionalFormatting sqref="BF29">
    <cfRule type="cellIs" dxfId="35086" priority="111099" stopIfTrue="1" operator="greaterThanOrEqual">
      <formula>0.5</formula>
    </cfRule>
  </conditionalFormatting>
  <conditionalFormatting sqref="BF30">
    <cfRule type="cellIs" dxfId="35085" priority="111100" stopIfTrue="1" operator="equal">
      <formula>-1</formula>
    </cfRule>
  </conditionalFormatting>
  <conditionalFormatting sqref="BF30">
    <cfRule type="cellIs" dxfId="35084" priority="111101" stopIfTrue="1" operator="lessThan">
      <formula>0.5</formula>
    </cfRule>
  </conditionalFormatting>
  <conditionalFormatting sqref="BF30">
    <cfRule type="cellIs" dxfId="35083" priority="111102" stopIfTrue="1" operator="greaterThanOrEqual">
      <formula>0.5</formula>
    </cfRule>
  </conditionalFormatting>
  <conditionalFormatting sqref="BF31">
    <cfRule type="cellIs" dxfId="35082" priority="111103" stopIfTrue="1" operator="equal">
      <formula>-1</formula>
    </cfRule>
  </conditionalFormatting>
  <conditionalFormatting sqref="BF31">
    <cfRule type="cellIs" dxfId="35081" priority="111104" stopIfTrue="1" operator="lessThan">
      <formula>0.5</formula>
    </cfRule>
  </conditionalFormatting>
  <conditionalFormatting sqref="BF31">
    <cfRule type="cellIs" dxfId="35080" priority="111105" stopIfTrue="1" operator="greaterThanOrEqual">
      <formula>0.5</formula>
    </cfRule>
  </conditionalFormatting>
  <conditionalFormatting sqref="BF32">
    <cfRule type="cellIs" dxfId="35079" priority="111106" stopIfTrue="1" operator="equal">
      <formula>-1</formula>
    </cfRule>
  </conditionalFormatting>
  <conditionalFormatting sqref="BF32">
    <cfRule type="cellIs" dxfId="35078" priority="111107" stopIfTrue="1" operator="lessThan">
      <formula>0.5</formula>
    </cfRule>
  </conditionalFormatting>
  <conditionalFormatting sqref="BF32">
    <cfRule type="cellIs" dxfId="35077" priority="111108" stopIfTrue="1" operator="greaterThanOrEqual">
      <formula>0.5</formula>
    </cfRule>
  </conditionalFormatting>
  <conditionalFormatting sqref="BF33">
    <cfRule type="cellIs" dxfId="35076" priority="111109" stopIfTrue="1" operator="equal">
      <formula>-1</formula>
    </cfRule>
  </conditionalFormatting>
  <conditionalFormatting sqref="BF33">
    <cfRule type="cellIs" dxfId="35075" priority="111110" stopIfTrue="1" operator="lessThan">
      <formula>0.5</formula>
    </cfRule>
  </conditionalFormatting>
  <conditionalFormatting sqref="BF33">
    <cfRule type="cellIs" dxfId="35074" priority="111111" stopIfTrue="1" operator="greaterThanOrEqual">
      <formula>0.5</formula>
    </cfRule>
  </conditionalFormatting>
  <conditionalFormatting sqref="BF34">
    <cfRule type="cellIs" dxfId="35073" priority="111112" stopIfTrue="1" operator="equal">
      <formula>-1</formula>
    </cfRule>
  </conditionalFormatting>
  <conditionalFormatting sqref="BF34">
    <cfRule type="cellIs" dxfId="35072" priority="111113" stopIfTrue="1" operator="lessThan">
      <formula>0.5</formula>
    </cfRule>
  </conditionalFormatting>
  <conditionalFormatting sqref="BF34">
    <cfRule type="cellIs" dxfId="35071" priority="111114" stopIfTrue="1" operator="greaterThanOrEqual">
      <formula>0.5</formula>
    </cfRule>
  </conditionalFormatting>
  <conditionalFormatting sqref="BF35">
    <cfRule type="cellIs" dxfId="35070" priority="111115" stopIfTrue="1" operator="equal">
      <formula>-1</formula>
    </cfRule>
  </conditionalFormatting>
  <conditionalFormatting sqref="BF35">
    <cfRule type="cellIs" dxfId="35069" priority="111116" stopIfTrue="1" operator="lessThan">
      <formula>0.5</formula>
    </cfRule>
  </conditionalFormatting>
  <conditionalFormatting sqref="BF35">
    <cfRule type="cellIs" dxfId="35068" priority="111117" stopIfTrue="1" operator="greaterThanOrEqual">
      <formula>0.5</formula>
    </cfRule>
  </conditionalFormatting>
  <conditionalFormatting sqref="BF36">
    <cfRule type="cellIs" dxfId="35067" priority="111118" stopIfTrue="1" operator="equal">
      <formula>-1</formula>
    </cfRule>
  </conditionalFormatting>
  <conditionalFormatting sqref="BF36">
    <cfRule type="cellIs" dxfId="35066" priority="111119" stopIfTrue="1" operator="lessThan">
      <formula>0.5</formula>
    </cfRule>
  </conditionalFormatting>
  <conditionalFormatting sqref="BF36">
    <cfRule type="cellIs" dxfId="35065" priority="111120" stopIfTrue="1" operator="greaterThanOrEqual">
      <formula>0.5</formula>
    </cfRule>
  </conditionalFormatting>
  <conditionalFormatting sqref="BF37">
    <cfRule type="cellIs" dxfId="35064" priority="111121" stopIfTrue="1" operator="equal">
      <formula>-1</formula>
    </cfRule>
  </conditionalFormatting>
  <conditionalFormatting sqref="BF37">
    <cfRule type="cellIs" dxfId="35063" priority="111122" stopIfTrue="1" operator="lessThan">
      <formula>0.5</formula>
    </cfRule>
  </conditionalFormatting>
  <conditionalFormatting sqref="BF37">
    <cfRule type="cellIs" dxfId="35062" priority="111123" stopIfTrue="1" operator="greaterThanOrEqual">
      <formula>0.5</formula>
    </cfRule>
  </conditionalFormatting>
  <conditionalFormatting sqref="BH17">
    <cfRule type="cellIs" dxfId="35061" priority="111124" stopIfTrue="1" operator="equal">
      <formula>-1</formula>
    </cfRule>
  </conditionalFormatting>
  <conditionalFormatting sqref="BH17">
    <cfRule type="cellIs" dxfId="35060" priority="111125" stopIfTrue="1" operator="lessThan">
      <formula>0.5</formula>
    </cfRule>
  </conditionalFormatting>
  <conditionalFormatting sqref="BH17">
    <cfRule type="cellIs" dxfId="35059" priority="111126" stopIfTrue="1" operator="greaterThanOrEqual">
      <formula>0.5</formula>
    </cfRule>
  </conditionalFormatting>
  <conditionalFormatting sqref="BH18">
    <cfRule type="cellIs" dxfId="35058" priority="111127" stopIfTrue="1" operator="equal">
      <formula>-1</formula>
    </cfRule>
  </conditionalFormatting>
  <conditionalFormatting sqref="BH18">
    <cfRule type="cellIs" dxfId="35057" priority="111128" stopIfTrue="1" operator="lessThan">
      <formula>0.5</formula>
    </cfRule>
  </conditionalFormatting>
  <conditionalFormatting sqref="BH18">
    <cfRule type="cellIs" dxfId="35056" priority="111129" stopIfTrue="1" operator="greaterThanOrEqual">
      <formula>0.5</formula>
    </cfRule>
  </conditionalFormatting>
  <conditionalFormatting sqref="BH19">
    <cfRule type="cellIs" dxfId="35055" priority="111130" stopIfTrue="1" operator="equal">
      <formula>-1</formula>
    </cfRule>
  </conditionalFormatting>
  <conditionalFormatting sqref="BH19">
    <cfRule type="cellIs" dxfId="35054" priority="111131" stopIfTrue="1" operator="lessThan">
      <formula>0.5</formula>
    </cfRule>
  </conditionalFormatting>
  <conditionalFormatting sqref="BH19">
    <cfRule type="cellIs" dxfId="35053" priority="111132" stopIfTrue="1" operator="greaterThanOrEqual">
      <formula>0.5</formula>
    </cfRule>
  </conditionalFormatting>
  <conditionalFormatting sqref="BH20">
    <cfRule type="cellIs" dxfId="35052" priority="111133" stopIfTrue="1" operator="equal">
      <formula>-1</formula>
    </cfRule>
  </conditionalFormatting>
  <conditionalFormatting sqref="BH20">
    <cfRule type="cellIs" dxfId="35051" priority="111134" stopIfTrue="1" operator="lessThan">
      <formula>0.5</formula>
    </cfRule>
  </conditionalFormatting>
  <conditionalFormatting sqref="BH20">
    <cfRule type="cellIs" dxfId="35050" priority="111135" stopIfTrue="1" operator="greaterThanOrEqual">
      <formula>0.5</formula>
    </cfRule>
  </conditionalFormatting>
  <conditionalFormatting sqref="BH21">
    <cfRule type="cellIs" dxfId="35049" priority="111136" stopIfTrue="1" operator="equal">
      <formula>-1</formula>
    </cfRule>
  </conditionalFormatting>
  <conditionalFormatting sqref="BH21">
    <cfRule type="cellIs" dxfId="35048" priority="111137" stopIfTrue="1" operator="lessThan">
      <formula>0.5</formula>
    </cfRule>
  </conditionalFormatting>
  <conditionalFormatting sqref="BH21">
    <cfRule type="cellIs" dxfId="35047" priority="111138" stopIfTrue="1" operator="greaterThanOrEqual">
      <formula>0.5</formula>
    </cfRule>
  </conditionalFormatting>
  <conditionalFormatting sqref="BH22">
    <cfRule type="cellIs" dxfId="35046" priority="111139" stopIfTrue="1" operator="equal">
      <formula>-1</formula>
    </cfRule>
  </conditionalFormatting>
  <conditionalFormatting sqref="BH22">
    <cfRule type="cellIs" dxfId="35045" priority="111140" stopIfTrue="1" operator="lessThan">
      <formula>0.5</formula>
    </cfRule>
  </conditionalFormatting>
  <conditionalFormatting sqref="BH22">
    <cfRule type="cellIs" dxfId="35044" priority="111141" stopIfTrue="1" operator="greaterThanOrEqual">
      <formula>0.5</formula>
    </cfRule>
  </conditionalFormatting>
  <conditionalFormatting sqref="BH23">
    <cfRule type="cellIs" dxfId="35043" priority="111142" stopIfTrue="1" operator="equal">
      <formula>-1</formula>
    </cfRule>
  </conditionalFormatting>
  <conditionalFormatting sqref="BH23">
    <cfRule type="cellIs" dxfId="35042" priority="111143" stopIfTrue="1" operator="lessThan">
      <formula>0.5</formula>
    </cfRule>
  </conditionalFormatting>
  <conditionalFormatting sqref="BH23">
    <cfRule type="cellIs" dxfId="35041" priority="111144" stopIfTrue="1" operator="greaterThanOrEqual">
      <formula>0.5</formula>
    </cfRule>
  </conditionalFormatting>
  <conditionalFormatting sqref="BH24">
    <cfRule type="cellIs" dxfId="35040" priority="111145" stopIfTrue="1" operator="equal">
      <formula>-1</formula>
    </cfRule>
  </conditionalFormatting>
  <conditionalFormatting sqref="BH24">
    <cfRule type="cellIs" dxfId="35039" priority="111146" stopIfTrue="1" operator="lessThan">
      <formula>0.5</formula>
    </cfRule>
  </conditionalFormatting>
  <conditionalFormatting sqref="BH24">
    <cfRule type="cellIs" dxfId="35038" priority="111147" stopIfTrue="1" operator="greaterThanOrEqual">
      <formula>0.5</formula>
    </cfRule>
  </conditionalFormatting>
  <conditionalFormatting sqref="BH25">
    <cfRule type="cellIs" dxfId="35037" priority="111148" stopIfTrue="1" operator="equal">
      <formula>-1</formula>
    </cfRule>
  </conditionalFormatting>
  <conditionalFormatting sqref="BH25">
    <cfRule type="cellIs" dxfId="35036" priority="111149" stopIfTrue="1" operator="lessThan">
      <formula>0.5</formula>
    </cfRule>
  </conditionalFormatting>
  <conditionalFormatting sqref="BH25">
    <cfRule type="cellIs" dxfId="35035" priority="111150" stopIfTrue="1" operator="greaterThanOrEqual">
      <formula>0.5</formula>
    </cfRule>
  </conditionalFormatting>
  <conditionalFormatting sqref="BH26">
    <cfRule type="cellIs" dxfId="35034" priority="111151" stopIfTrue="1" operator="equal">
      <formula>-1</formula>
    </cfRule>
  </conditionalFormatting>
  <conditionalFormatting sqref="BH26">
    <cfRule type="cellIs" dxfId="35033" priority="111152" stopIfTrue="1" operator="lessThan">
      <formula>0.5</formula>
    </cfRule>
  </conditionalFormatting>
  <conditionalFormatting sqref="BH26">
    <cfRule type="cellIs" dxfId="35032" priority="111153" stopIfTrue="1" operator="greaterThanOrEqual">
      <formula>0.5</formula>
    </cfRule>
  </conditionalFormatting>
  <conditionalFormatting sqref="BH27">
    <cfRule type="cellIs" dxfId="35031" priority="111154" stopIfTrue="1" operator="equal">
      <formula>-1</formula>
    </cfRule>
  </conditionalFormatting>
  <conditionalFormatting sqref="BH27">
    <cfRule type="cellIs" dxfId="35030" priority="111155" stopIfTrue="1" operator="lessThan">
      <formula>0.5</formula>
    </cfRule>
  </conditionalFormatting>
  <conditionalFormatting sqref="BH27">
    <cfRule type="cellIs" dxfId="35029" priority="111156" stopIfTrue="1" operator="greaterThanOrEqual">
      <formula>0.5</formula>
    </cfRule>
  </conditionalFormatting>
  <conditionalFormatting sqref="BH28">
    <cfRule type="cellIs" dxfId="35028" priority="111157" stopIfTrue="1" operator="equal">
      <formula>-1</formula>
    </cfRule>
  </conditionalFormatting>
  <conditionalFormatting sqref="BH28">
    <cfRule type="cellIs" dxfId="35027" priority="111158" stopIfTrue="1" operator="lessThan">
      <formula>0.5</formula>
    </cfRule>
  </conditionalFormatting>
  <conditionalFormatting sqref="BH28">
    <cfRule type="cellIs" dxfId="35026" priority="111159" stopIfTrue="1" operator="greaterThanOrEqual">
      <formula>0.5</formula>
    </cfRule>
  </conditionalFormatting>
  <conditionalFormatting sqref="BH29">
    <cfRule type="cellIs" dxfId="35025" priority="111160" stopIfTrue="1" operator="equal">
      <formula>-1</formula>
    </cfRule>
  </conditionalFormatting>
  <conditionalFormatting sqref="BH29">
    <cfRule type="cellIs" dxfId="35024" priority="111161" stopIfTrue="1" operator="lessThan">
      <formula>0.5</formula>
    </cfRule>
  </conditionalFormatting>
  <conditionalFormatting sqref="BH29">
    <cfRule type="cellIs" dxfId="35023" priority="111162" stopIfTrue="1" operator="greaterThanOrEqual">
      <formula>0.5</formula>
    </cfRule>
  </conditionalFormatting>
  <conditionalFormatting sqref="BH30">
    <cfRule type="cellIs" dxfId="35022" priority="111163" stopIfTrue="1" operator="equal">
      <formula>-1</formula>
    </cfRule>
  </conditionalFormatting>
  <conditionalFormatting sqref="BH30">
    <cfRule type="cellIs" dxfId="35021" priority="111164" stopIfTrue="1" operator="lessThan">
      <formula>0.5</formula>
    </cfRule>
  </conditionalFormatting>
  <conditionalFormatting sqref="BH30">
    <cfRule type="cellIs" dxfId="35020" priority="111165" stopIfTrue="1" operator="greaterThanOrEqual">
      <formula>0.5</formula>
    </cfRule>
  </conditionalFormatting>
  <conditionalFormatting sqref="BH31">
    <cfRule type="cellIs" dxfId="35019" priority="111166" stopIfTrue="1" operator="equal">
      <formula>-1</formula>
    </cfRule>
  </conditionalFormatting>
  <conditionalFormatting sqref="BH31">
    <cfRule type="cellIs" dxfId="35018" priority="111167" stopIfTrue="1" operator="lessThan">
      <formula>0.5</formula>
    </cfRule>
  </conditionalFormatting>
  <conditionalFormatting sqref="BH31">
    <cfRule type="cellIs" dxfId="35017" priority="111168" stopIfTrue="1" operator="greaterThanOrEqual">
      <formula>0.5</formula>
    </cfRule>
  </conditionalFormatting>
  <conditionalFormatting sqref="BH32">
    <cfRule type="cellIs" dxfId="35016" priority="111169" stopIfTrue="1" operator="equal">
      <formula>-1</formula>
    </cfRule>
  </conditionalFormatting>
  <conditionalFormatting sqref="BH32">
    <cfRule type="cellIs" dxfId="35015" priority="111170" stopIfTrue="1" operator="lessThan">
      <formula>0.5</formula>
    </cfRule>
  </conditionalFormatting>
  <conditionalFormatting sqref="BH32">
    <cfRule type="cellIs" dxfId="35014" priority="111171" stopIfTrue="1" operator="greaterThanOrEqual">
      <formula>0.5</formula>
    </cfRule>
  </conditionalFormatting>
  <conditionalFormatting sqref="BH33">
    <cfRule type="cellIs" dxfId="35013" priority="111172" stopIfTrue="1" operator="equal">
      <formula>-1</formula>
    </cfRule>
  </conditionalFormatting>
  <conditionalFormatting sqref="BH33">
    <cfRule type="cellIs" dxfId="35012" priority="111173" stopIfTrue="1" operator="lessThan">
      <formula>0.5</formula>
    </cfRule>
  </conditionalFormatting>
  <conditionalFormatting sqref="BH33">
    <cfRule type="cellIs" dxfId="35011" priority="111174" stopIfTrue="1" operator="greaterThanOrEqual">
      <formula>0.5</formula>
    </cfRule>
  </conditionalFormatting>
  <conditionalFormatting sqref="BH34">
    <cfRule type="cellIs" dxfId="35010" priority="111175" stopIfTrue="1" operator="equal">
      <formula>-1</formula>
    </cfRule>
  </conditionalFormatting>
  <conditionalFormatting sqref="BH34">
    <cfRule type="cellIs" dxfId="35009" priority="111176" stopIfTrue="1" operator="lessThan">
      <formula>0.5</formula>
    </cfRule>
  </conditionalFormatting>
  <conditionalFormatting sqref="BH34">
    <cfRule type="cellIs" dxfId="35008" priority="111177" stopIfTrue="1" operator="greaterThanOrEqual">
      <formula>0.5</formula>
    </cfRule>
  </conditionalFormatting>
  <conditionalFormatting sqref="BH35">
    <cfRule type="cellIs" dxfId="35007" priority="111178" stopIfTrue="1" operator="equal">
      <formula>-1</formula>
    </cfRule>
  </conditionalFormatting>
  <conditionalFormatting sqref="BH35">
    <cfRule type="cellIs" dxfId="35006" priority="111179" stopIfTrue="1" operator="lessThan">
      <formula>0.5</formula>
    </cfRule>
  </conditionalFormatting>
  <conditionalFormatting sqref="BH35">
    <cfRule type="cellIs" dxfId="35005" priority="111180" stopIfTrue="1" operator="greaterThanOrEqual">
      <formula>0.5</formula>
    </cfRule>
  </conditionalFormatting>
  <conditionalFormatting sqref="BH36">
    <cfRule type="cellIs" dxfId="35004" priority="111181" stopIfTrue="1" operator="equal">
      <formula>-1</formula>
    </cfRule>
  </conditionalFormatting>
  <conditionalFormatting sqref="BH36">
    <cfRule type="cellIs" dxfId="35003" priority="111182" stopIfTrue="1" operator="lessThan">
      <formula>0.5</formula>
    </cfRule>
  </conditionalFormatting>
  <conditionalFormatting sqref="BH36">
    <cfRule type="cellIs" dxfId="35002" priority="111183" stopIfTrue="1" operator="greaterThanOrEqual">
      <formula>0.5</formula>
    </cfRule>
  </conditionalFormatting>
  <conditionalFormatting sqref="BH37">
    <cfRule type="cellIs" dxfId="35001" priority="111184" stopIfTrue="1" operator="equal">
      <formula>-1</formula>
    </cfRule>
  </conditionalFormatting>
  <conditionalFormatting sqref="BH37">
    <cfRule type="cellIs" dxfId="35000" priority="111185" stopIfTrue="1" operator="lessThan">
      <formula>0.5</formula>
    </cfRule>
  </conditionalFormatting>
  <conditionalFormatting sqref="BH37">
    <cfRule type="cellIs" dxfId="34999" priority="111186" stopIfTrue="1" operator="greaterThanOrEqual">
      <formula>0.5</formula>
    </cfRule>
  </conditionalFormatting>
  <conditionalFormatting sqref="BJ17">
    <cfRule type="cellIs" dxfId="34998" priority="111187" stopIfTrue="1" operator="equal">
      <formula>-1</formula>
    </cfRule>
  </conditionalFormatting>
  <conditionalFormatting sqref="BJ17">
    <cfRule type="cellIs" dxfId="34997" priority="111188" stopIfTrue="1" operator="lessThan">
      <formula>0.5</formula>
    </cfRule>
  </conditionalFormatting>
  <conditionalFormatting sqref="BJ17">
    <cfRule type="cellIs" dxfId="34996" priority="111189" stopIfTrue="1" operator="greaterThanOrEqual">
      <formula>0.5</formula>
    </cfRule>
  </conditionalFormatting>
  <conditionalFormatting sqref="BJ18">
    <cfRule type="cellIs" dxfId="34995" priority="111190" stopIfTrue="1" operator="equal">
      <formula>-1</formula>
    </cfRule>
  </conditionalFormatting>
  <conditionalFormatting sqref="BJ18">
    <cfRule type="cellIs" dxfId="34994" priority="111191" stopIfTrue="1" operator="lessThan">
      <formula>0.5</formula>
    </cfRule>
  </conditionalFormatting>
  <conditionalFormatting sqref="BJ18">
    <cfRule type="cellIs" dxfId="34993" priority="111192" stopIfTrue="1" operator="greaterThanOrEqual">
      <formula>0.5</formula>
    </cfRule>
  </conditionalFormatting>
  <conditionalFormatting sqref="BJ19">
    <cfRule type="cellIs" dxfId="34992" priority="111193" stopIfTrue="1" operator="equal">
      <formula>-1</formula>
    </cfRule>
  </conditionalFormatting>
  <conditionalFormatting sqref="BJ19">
    <cfRule type="cellIs" dxfId="34991" priority="111194" stopIfTrue="1" operator="lessThan">
      <formula>0.5</formula>
    </cfRule>
  </conditionalFormatting>
  <conditionalFormatting sqref="BJ19">
    <cfRule type="cellIs" dxfId="34990" priority="111195" stopIfTrue="1" operator="greaterThanOrEqual">
      <formula>0.5</formula>
    </cfRule>
  </conditionalFormatting>
  <conditionalFormatting sqref="BJ20">
    <cfRule type="cellIs" dxfId="34989" priority="111196" stopIfTrue="1" operator="equal">
      <formula>-1</formula>
    </cfRule>
  </conditionalFormatting>
  <conditionalFormatting sqref="BJ20">
    <cfRule type="cellIs" dxfId="34988" priority="111197" stopIfTrue="1" operator="lessThan">
      <formula>0.5</formula>
    </cfRule>
  </conditionalFormatting>
  <conditionalFormatting sqref="BJ20">
    <cfRule type="cellIs" dxfId="34987" priority="111198" stopIfTrue="1" operator="greaterThanOrEqual">
      <formula>0.5</formula>
    </cfRule>
  </conditionalFormatting>
  <conditionalFormatting sqref="BJ21">
    <cfRule type="cellIs" dxfId="34986" priority="111199" stopIfTrue="1" operator="equal">
      <formula>-1</formula>
    </cfRule>
  </conditionalFormatting>
  <conditionalFormatting sqref="BJ21">
    <cfRule type="cellIs" dxfId="34985" priority="111200" stopIfTrue="1" operator="lessThan">
      <formula>0.5</formula>
    </cfRule>
  </conditionalFormatting>
  <conditionalFormatting sqref="BJ21">
    <cfRule type="cellIs" dxfId="34984" priority="111201" stopIfTrue="1" operator="greaterThanOrEqual">
      <formula>0.5</formula>
    </cfRule>
  </conditionalFormatting>
  <conditionalFormatting sqref="BJ22">
    <cfRule type="cellIs" dxfId="34983" priority="111202" stopIfTrue="1" operator="equal">
      <formula>-1</formula>
    </cfRule>
  </conditionalFormatting>
  <conditionalFormatting sqref="BJ22">
    <cfRule type="cellIs" dxfId="34982" priority="111203" stopIfTrue="1" operator="lessThan">
      <formula>0.5</formula>
    </cfRule>
  </conditionalFormatting>
  <conditionalFormatting sqref="BJ22">
    <cfRule type="cellIs" dxfId="34981" priority="111204" stopIfTrue="1" operator="greaterThanOrEqual">
      <formula>0.5</formula>
    </cfRule>
  </conditionalFormatting>
  <conditionalFormatting sqref="BJ23">
    <cfRule type="cellIs" dxfId="34980" priority="111205" stopIfTrue="1" operator="equal">
      <formula>-1</formula>
    </cfRule>
  </conditionalFormatting>
  <conditionalFormatting sqref="BJ23">
    <cfRule type="cellIs" dxfId="34979" priority="111206" stopIfTrue="1" operator="lessThan">
      <formula>0.5</formula>
    </cfRule>
  </conditionalFormatting>
  <conditionalFormatting sqref="BJ23">
    <cfRule type="cellIs" dxfId="34978" priority="111207" stopIfTrue="1" operator="greaterThanOrEqual">
      <formula>0.5</formula>
    </cfRule>
  </conditionalFormatting>
  <conditionalFormatting sqref="BJ24">
    <cfRule type="cellIs" dxfId="34977" priority="111208" stopIfTrue="1" operator="equal">
      <formula>-1</formula>
    </cfRule>
  </conditionalFormatting>
  <conditionalFormatting sqref="BJ24">
    <cfRule type="cellIs" dxfId="34976" priority="111209" stopIfTrue="1" operator="lessThan">
      <formula>0.5</formula>
    </cfRule>
  </conditionalFormatting>
  <conditionalFormatting sqref="BJ24">
    <cfRule type="cellIs" dxfId="34975" priority="111210" stopIfTrue="1" operator="greaterThanOrEqual">
      <formula>0.5</formula>
    </cfRule>
  </conditionalFormatting>
  <conditionalFormatting sqref="BJ25">
    <cfRule type="cellIs" dxfId="34974" priority="111211" stopIfTrue="1" operator="equal">
      <formula>-1</formula>
    </cfRule>
  </conditionalFormatting>
  <conditionalFormatting sqref="BJ25">
    <cfRule type="cellIs" dxfId="34973" priority="111212" stopIfTrue="1" operator="lessThan">
      <formula>0.5</formula>
    </cfRule>
  </conditionalFormatting>
  <conditionalFormatting sqref="BJ25">
    <cfRule type="cellIs" dxfId="34972" priority="111213" stopIfTrue="1" operator="greaterThanOrEqual">
      <formula>0.5</formula>
    </cfRule>
  </conditionalFormatting>
  <conditionalFormatting sqref="BJ26">
    <cfRule type="cellIs" dxfId="34971" priority="111214" stopIfTrue="1" operator="equal">
      <formula>-1</formula>
    </cfRule>
  </conditionalFormatting>
  <conditionalFormatting sqref="BJ26">
    <cfRule type="cellIs" dxfId="34970" priority="111215" stopIfTrue="1" operator="lessThan">
      <formula>0.5</formula>
    </cfRule>
  </conditionalFormatting>
  <conditionalFormatting sqref="BJ26">
    <cfRule type="cellIs" dxfId="34969" priority="111216" stopIfTrue="1" operator="greaterThanOrEqual">
      <formula>0.5</formula>
    </cfRule>
  </conditionalFormatting>
  <conditionalFormatting sqref="BJ27">
    <cfRule type="cellIs" dxfId="34968" priority="111217" stopIfTrue="1" operator="equal">
      <formula>-1</formula>
    </cfRule>
  </conditionalFormatting>
  <conditionalFormatting sqref="BJ27">
    <cfRule type="cellIs" dxfId="34967" priority="111218" stopIfTrue="1" operator="lessThan">
      <formula>0.5</formula>
    </cfRule>
  </conditionalFormatting>
  <conditionalFormatting sqref="BJ27">
    <cfRule type="cellIs" dxfId="34966" priority="111219" stopIfTrue="1" operator="greaterThanOrEqual">
      <formula>0.5</formula>
    </cfRule>
  </conditionalFormatting>
  <conditionalFormatting sqref="BJ28">
    <cfRule type="cellIs" dxfId="34965" priority="111220" stopIfTrue="1" operator="equal">
      <formula>-1</formula>
    </cfRule>
  </conditionalFormatting>
  <conditionalFormatting sqref="BJ28">
    <cfRule type="cellIs" dxfId="34964" priority="111221" stopIfTrue="1" operator="lessThan">
      <formula>0.5</formula>
    </cfRule>
  </conditionalFormatting>
  <conditionalFormatting sqref="BJ28">
    <cfRule type="cellIs" dxfId="34963" priority="111222" stopIfTrue="1" operator="greaterThanOrEqual">
      <formula>0.5</formula>
    </cfRule>
  </conditionalFormatting>
  <conditionalFormatting sqref="BJ29">
    <cfRule type="cellIs" dxfId="34962" priority="111223" stopIfTrue="1" operator="equal">
      <formula>-1</formula>
    </cfRule>
  </conditionalFormatting>
  <conditionalFormatting sqref="BJ29">
    <cfRule type="cellIs" dxfId="34961" priority="111224" stopIfTrue="1" operator="lessThan">
      <formula>0.5</formula>
    </cfRule>
  </conditionalFormatting>
  <conditionalFormatting sqref="BJ29">
    <cfRule type="cellIs" dxfId="34960" priority="111225" stopIfTrue="1" operator="greaterThanOrEqual">
      <formula>0.5</formula>
    </cfRule>
  </conditionalFormatting>
  <conditionalFormatting sqref="BJ30">
    <cfRule type="cellIs" dxfId="34959" priority="111226" stopIfTrue="1" operator="equal">
      <formula>-1</formula>
    </cfRule>
  </conditionalFormatting>
  <conditionalFormatting sqref="BJ30">
    <cfRule type="cellIs" dxfId="34958" priority="111227" stopIfTrue="1" operator="lessThan">
      <formula>0.5</formula>
    </cfRule>
  </conditionalFormatting>
  <conditionalFormatting sqref="BJ30">
    <cfRule type="cellIs" dxfId="34957" priority="111228" stopIfTrue="1" operator="greaterThanOrEqual">
      <formula>0.5</formula>
    </cfRule>
  </conditionalFormatting>
  <conditionalFormatting sqref="BJ31">
    <cfRule type="cellIs" dxfId="34956" priority="111229" stopIfTrue="1" operator="equal">
      <formula>-1</formula>
    </cfRule>
  </conditionalFormatting>
  <conditionalFormatting sqref="BJ31">
    <cfRule type="cellIs" dxfId="34955" priority="111230" stopIfTrue="1" operator="lessThan">
      <formula>0.5</formula>
    </cfRule>
  </conditionalFormatting>
  <conditionalFormatting sqref="BJ31">
    <cfRule type="cellIs" dxfId="34954" priority="111231" stopIfTrue="1" operator="greaterThanOrEqual">
      <formula>0.5</formula>
    </cfRule>
  </conditionalFormatting>
  <conditionalFormatting sqref="BJ32">
    <cfRule type="cellIs" dxfId="34953" priority="111232" stopIfTrue="1" operator="equal">
      <formula>-1</formula>
    </cfRule>
  </conditionalFormatting>
  <conditionalFormatting sqref="BJ32">
    <cfRule type="cellIs" dxfId="34952" priority="111233" stopIfTrue="1" operator="lessThan">
      <formula>0.5</formula>
    </cfRule>
  </conditionalFormatting>
  <conditionalFormatting sqref="BJ32">
    <cfRule type="cellIs" dxfId="34951" priority="111234" stopIfTrue="1" operator="greaterThanOrEqual">
      <formula>0.5</formula>
    </cfRule>
  </conditionalFormatting>
  <conditionalFormatting sqref="BJ33">
    <cfRule type="cellIs" dxfId="34950" priority="111235" stopIfTrue="1" operator="equal">
      <formula>-1</formula>
    </cfRule>
  </conditionalFormatting>
  <conditionalFormatting sqref="BJ33">
    <cfRule type="cellIs" dxfId="34949" priority="111236" stopIfTrue="1" operator="lessThan">
      <formula>0.5</formula>
    </cfRule>
  </conditionalFormatting>
  <conditionalFormatting sqref="BJ33">
    <cfRule type="cellIs" dxfId="34948" priority="111237" stopIfTrue="1" operator="greaterThanOrEqual">
      <formula>0.5</formula>
    </cfRule>
  </conditionalFormatting>
  <conditionalFormatting sqref="BJ34">
    <cfRule type="cellIs" dxfId="34947" priority="111238" stopIfTrue="1" operator="equal">
      <formula>-1</formula>
    </cfRule>
  </conditionalFormatting>
  <conditionalFormatting sqref="BJ34">
    <cfRule type="cellIs" dxfId="34946" priority="111239" stopIfTrue="1" operator="lessThan">
      <formula>0.5</formula>
    </cfRule>
  </conditionalFormatting>
  <conditionalFormatting sqref="BJ34">
    <cfRule type="cellIs" dxfId="34945" priority="111240" stopIfTrue="1" operator="greaterThanOrEqual">
      <formula>0.5</formula>
    </cfRule>
  </conditionalFormatting>
  <conditionalFormatting sqref="BJ35">
    <cfRule type="cellIs" dxfId="34944" priority="111241" stopIfTrue="1" operator="equal">
      <formula>-1</formula>
    </cfRule>
  </conditionalFormatting>
  <conditionalFormatting sqref="BJ35">
    <cfRule type="cellIs" dxfId="34943" priority="111242" stopIfTrue="1" operator="lessThan">
      <formula>0.5</formula>
    </cfRule>
  </conditionalFormatting>
  <conditionalFormatting sqref="BJ35">
    <cfRule type="cellIs" dxfId="34942" priority="111243" stopIfTrue="1" operator="greaterThanOrEqual">
      <formula>0.5</formula>
    </cfRule>
  </conditionalFormatting>
  <conditionalFormatting sqref="BJ36">
    <cfRule type="cellIs" dxfId="34941" priority="111244" stopIfTrue="1" operator="equal">
      <formula>-1</formula>
    </cfRule>
  </conditionalFormatting>
  <conditionalFormatting sqref="BJ36">
    <cfRule type="cellIs" dxfId="34940" priority="111245" stopIfTrue="1" operator="lessThan">
      <formula>0.5</formula>
    </cfRule>
  </conditionalFormatting>
  <conditionalFormatting sqref="BJ36">
    <cfRule type="cellIs" dxfId="34939" priority="111246" stopIfTrue="1" operator="greaterThanOrEqual">
      <formula>0.5</formula>
    </cfRule>
  </conditionalFormatting>
  <conditionalFormatting sqref="BJ37">
    <cfRule type="cellIs" dxfId="34938" priority="111247" stopIfTrue="1" operator="equal">
      <formula>-1</formula>
    </cfRule>
  </conditionalFormatting>
  <conditionalFormatting sqref="BJ37">
    <cfRule type="cellIs" dxfId="34937" priority="111248" stopIfTrue="1" operator="lessThan">
      <formula>0.5</formula>
    </cfRule>
  </conditionalFormatting>
  <conditionalFormatting sqref="BJ37">
    <cfRule type="cellIs" dxfId="34936" priority="111249" stopIfTrue="1" operator="greaterThanOrEqual">
      <formula>0.5</formula>
    </cfRule>
  </conditionalFormatting>
  <conditionalFormatting sqref="D39">
    <cfRule type="cellIs" dxfId="34935" priority="111250" stopIfTrue="1" operator="equal">
      <formula>-1</formula>
    </cfRule>
  </conditionalFormatting>
  <conditionalFormatting sqref="D39">
    <cfRule type="cellIs" dxfId="34934" priority="111251" stopIfTrue="1" operator="lessThan">
      <formula>0.5</formula>
    </cfRule>
  </conditionalFormatting>
  <conditionalFormatting sqref="D39">
    <cfRule type="cellIs" dxfId="34933" priority="111252" stopIfTrue="1" operator="greaterThanOrEqual">
      <formula>0.5</formula>
    </cfRule>
  </conditionalFormatting>
  <conditionalFormatting sqref="D40">
    <cfRule type="cellIs" dxfId="34932" priority="111253" stopIfTrue="1" operator="equal">
      <formula>-1</formula>
    </cfRule>
  </conditionalFormatting>
  <conditionalFormatting sqref="D40">
    <cfRule type="cellIs" dxfId="34931" priority="111254" stopIfTrue="1" operator="lessThan">
      <formula>0.5</formula>
    </cfRule>
  </conditionalFormatting>
  <conditionalFormatting sqref="D40">
    <cfRule type="cellIs" dxfId="34930" priority="111255" stopIfTrue="1" operator="greaterThanOrEqual">
      <formula>0.5</formula>
    </cfRule>
  </conditionalFormatting>
  <conditionalFormatting sqref="D41">
    <cfRule type="cellIs" dxfId="34929" priority="111256" stopIfTrue="1" operator="equal">
      <formula>-1</formula>
    </cfRule>
  </conditionalFormatting>
  <conditionalFormatting sqref="D41">
    <cfRule type="cellIs" dxfId="34928" priority="111257" stopIfTrue="1" operator="lessThan">
      <formula>0.5</formula>
    </cfRule>
  </conditionalFormatting>
  <conditionalFormatting sqref="D41">
    <cfRule type="cellIs" dxfId="34927" priority="111258" stopIfTrue="1" operator="greaterThanOrEqual">
      <formula>0.5</formula>
    </cfRule>
  </conditionalFormatting>
  <conditionalFormatting sqref="D42">
    <cfRule type="cellIs" dxfId="34926" priority="111259" stopIfTrue="1" operator="equal">
      <formula>-1</formula>
    </cfRule>
  </conditionalFormatting>
  <conditionalFormatting sqref="D42">
    <cfRule type="cellIs" dxfId="34925" priority="111260" stopIfTrue="1" operator="lessThan">
      <formula>0.5</formula>
    </cfRule>
  </conditionalFormatting>
  <conditionalFormatting sqref="D42">
    <cfRule type="cellIs" dxfId="34924" priority="111261" stopIfTrue="1" operator="greaterThanOrEqual">
      <formula>0.5</formula>
    </cfRule>
  </conditionalFormatting>
  <conditionalFormatting sqref="D43">
    <cfRule type="cellIs" dxfId="34923" priority="111262" stopIfTrue="1" operator="equal">
      <formula>-1</formula>
    </cfRule>
  </conditionalFormatting>
  <conditionalFormatting sqref="D43">
    <cfRule type="cellIs" dxfId="34922" priority="111263" stopIfTrue="1" operator="lessThan">
      <formula>0.5</formula>
    </cfRule>
  </conditionalFormatting>
  <conditionalFormatting sqref="D43">
    <cfRule type="cellIs" dxfId="34921" priority="111264" stopIfTrue="1" operator="greaterThanOrEqual">
      <formula>0.5</formula>
    </cfRule>
  </conditionalFormatting>
  <conditionalFormatting sqref="D44">
    <cfRule type="cellIs" dxfId="34920" priority="111265" stopIfTrue="1" operator="equal">
      <formula>-1</formula>
    </cfRule>
  </conditionalFormatting>
  <conditionalFormatting sqref="D44">
    <cfRule type="cellIs" dxfId="34919" priority="111266" stopIfTrue="1" operator="lessThan">
      <formula>0.5</formula>
    </cfRule>
  </conditionalFormatting>
  <conditionalFormatting sqref="D44">
    <cfRule type="cellIs" dxfId="34918" priority="111267" stopIfTrue="1" operator="greaterThanOrEqual">
      <formula>0.5</formula>
    </cfRule>
  </conditionalFormatting>
  <conditionalFormatting sqref="D45">
    <cfRule type="cellIs" dxfId="34917" priority="111268" stopIfTrue="1" operator="equal">
      <formula>-1</formula>
    </cfRule>
  </conditionalFormatting>
  <conditionalFormatting sqref="D45">
    <cfRule type="cellIs" dxfId="34916" priority="111269" stopIfTrue="1" operator="lessThan">
      <formula>0.5</formula>
    </cfRule>
  </conditionalFormatting>
  <conditionalFormatting sqref="D45">
    <cfRule type="cellIs" dxfId="34915" priority="111270" stopIfTrue="1" operator="greaterThanOrEqual">
      <formula>0.5</formula>
    </cfRule>
  </conditionalFormatting>
  <conditionalFormatting sqref="D46">
    <cfRule type="cellIs" dxfId="34914" priority="111271" stopIfTrue="1" operator="equal">
      <formula>-1</formula>
    </cfRule>
  </conditionalFormatting>
  <conditionalFormatting sqref="D46">
    <cfRule type="cellIs" dxfId="34913" priority="111272" stopIfTrue="1" operator="lessThan">
      <formula>0.5</formula>
    </cfRule>
  </conditionalFormatting>
  <conditionalFormatting sqref="D46">
    <cfRule type="cellIs" dxfId="34912" priority="111273" stopIfTrue="1" operator="greaterThanOrEqual">
      <formula>0.5</formula>
    </cfRule>
  </conditionalFormatting>
  <conditionalFormatting sqref="D47">
    <cfRule type="cellIs" dxfId="34911" priority="111274" stopIfTrue="1" operator="equal">
      <formula>-1</formula>
    </cfRule>
  </conditionalFormatting>
  <conditionalFormatting sqref="D47">
    <cfRule type="cellIs" dxfId="34910" priority="111275" stopIfTrue="1" operator="lessThan">
      <formula>0.5</formula>
    </cfRule>
  </conditionalFormatting>
  <conditionalFormatting sqref="D47">
    <cfRule type="cellIs" dxfId="34909" priority="111276" stopIfTrue="1" operator="greaterThanOrEqual">
      <formula>0.5</formula>
    </cfRule>
  </conditionalFormatting>
  <conditionalFormatting sqref="D48">
    <cfRule type="cellIs" dxfId="34908" priority="111277" stopIfTrue="1" operator="equal">
      <formula>-1</formula>
    </cfRule>
  </conditionalFormatting>
  <conditionalFormatting sqref="D48">
    <cfRule type="cellIs" dxfId="34907" priority="111278" stopIfTrue="1" operator="lessThan">
      <formula>0.5</formula>
    </cfRule>
  </conditionalFormatting>
  <conditionalFormatting sqref="D48">
    <cfRule type="cellIs" dxfId="34906" priority="111279" stopIfTrue="1" operator="greaterThanOrEqual">
      <formula>0.5</formula>
    </cfRule>
  </conditionalFormatting>
  <conditionalFormatting sqref="D49">
    <cfRule type="cellIs" dxfId="34905" priority="111280" stopIfTrue="1" operator="equal">
      <formula>-1</formula>
    </cfRule>
  </conditionalFormatting>
  <conditionalFormatting sqref="D49">
    <cfRule type="cellIs" dxfId="34904" priority="111281" stopIfTrue="1" operator="lessThan">
      <formula>0.5</formula>
    </cfRule>
  </conditionalFormatting>
  <conditionalFormatting sqref="D49">
    <cfRule type="cellIs" dxfId="34903" priority="111282" stopIfTrue="1" operator="greaterThanOrEqual">
      <formula>0.5</formula>
    </cfRule>
  </conditionalFormatting>
  <conditionalFormatting sqref="D50">
    <cfRule type="cellIs" dxfId="34902" priority="111283" stopIfTrue="1" operator="equal">
      <formula>-1</formula>
    </cfRule>
  </conditionalFormatting>
  <conditionalFormatting sqref="D50">
    <cfRule type="cellIs" dxfId="34901" priority="111284" stopIfTrue="1" operator="lessThan">
      <formula>0.5</formula>
    </cfRule>
  </conditionalFormatting>
  <conditionalFormatting sqref="D50">
    <cfRule type="cellIs" dxfId="34900" priority="111285" stopIfTrue="1" operator="greaterThanOrEqual">
      <formula>0.5</formula>
    </cfRule>
  </conditionalFormatting>
  <conditionalFormatting sqref="D51">
    <cfRule type="cellIs" dxfId="34899" priority="111286" stopIfTrue="1" operator="equal">
      <formula>-1</formula>
    </cfRule>
  </conditionalFormatting>
  <conditionalFormatting sqref="D51">
    <cfRule type="cellIs" dxfId="34898" priority="111287" stopIfTrue="1" operator="lessThan">
      <formula>0.5</formula>
    </cfRule>
  </conditionalFormatting>
  <conditionalFormatting sqref="D51">
    <cfRule type="cellIs" dxfId="34897" priority="111288" stopIfTrue="1" operator="greaterThanOrEqual">
      <formula>0.5</formula>
    </cfRule>
  </conditionalFormatting>
  <conditionalFormatting sqref="D52">
    <cfRule type="cellIs" dxfId="34896" priority="111289" stopIfTrue="1" operator="equal">
      <formula>-1</formula>
    </cfRule>
  </conditionalFormatting>
  <conditionalFormatting sqref="D52">
    <cfRule type="cellIs" dxfId="34895" priority="111290" stopIfTrue="1" operator="lessThan">
      <formula>0.5</formula>
    </cfRule>
  </conditionalFormatting>
  <conditionalFormatting sqref="D52">
    <cfRule type="cellIs" dxfId="34894" priority="111291" stopIfTrue="1" operator="greaterThanOrEqual">
      <formula>0.5</formula>
    </cfRule>
  </conditionalFormatting>
  <conditionalFormatting sqref="D53">
    <cfRule type="cellIs" dxfId="34893" priority="111292" stopIfTrue="1" operator="equal">
      <formula>-1</formula>
    </cfRule>
  </conditionalFormatting>
  <conditionalFormatting sqref="D53">
    <cfRule type="cellIs" dxfId="34892" priority="111293" stopIfTrue="1" operator="lessThan">
      <formula>0.5</formula>
    </cfRule>
  </conditionalFormatting>
  <conditionalFormatting sqref="D53">
    <cfRule type="cellIs" dxfId="34891" priority="111294" stopIfTrue="1" operator="greaterThanOrEqual">
      <formula>0.5</formula>
    </cfRule>
  </conditionalFormatting>
  <conditionalFormatting sqref="D54">
    <cfRule type="cellIs" dxfId="34890" priority="111295" stopIfTrue="1" operator="equal">
      <formula>-1</formula>
    </cfRule>
  </conditionalFormatting>
  <conditionalFormatting sqref="D54">
    <cfRule type="cellIs" dxfId="34889" priority="111296" stopIfTrue="1" operator="lessThan">
      <formula>0.5</formula>
    </cfRule>
  </conditionalFormatting>
  <conditionalFormatting sqref="D54">
    <cfRule type="cellIs" dxfId="34888" priority="111297" stopIfTrue="1" operator="greaterThanOrEqual">
      <formula>0.5</formula>
    </cfRule>
  </conditionalFormatting>
  <conditionalFormatting sqref="D55">
    <cfRule type="cellIs" dxfId="34887" priority="111298" stopIfTrue="1" operator="equal">
      <formula>-1</formula>
    </cfRule>
  </conditionalFormatting>
  <conditionalFormatting sqref="D55">
    <cfRule type="cellIs" dxfId="34886" priority="111299" stopIfTrue="1" operator="lessThan">
      <formula>0.5</formula>
    </cfRule>
  </conditionalFormatting>
  <conditionalFormatting sqref="D55">
    <cfRule type="cellIs" dxfId="34885" priority="111300" stopIfTrue="1" operator="greaterThanOrEqual">
      <formula>0.5</formula>
    </cfRule>
  </conditionalFormatting>
  <conditionalFormatting sqref="D56">
    <cfRule type="cellIs" dxfId="34884" priority="111301" stopIfTrue="1" operator="equal">
      <formula>-1</formula>
    </cfRule>
  </conditionalFormatting>
  <conditionalFormatting sqref="D56">
    <cfRule type="cellIs" dxfId="34883" priority="111302" stopIfTrue="1" operator="lessThan">
      <formula>0.5</formula>
    </cfRule>
  </conditionalFormatting>
  <conditionalFormatting sqref="D56">
    <cfRule type="cellIs" dxfId="34882" priority="111303" stopIfTrue="1" operator="greaterThanOrEqual">
      <formula>0.5</formula>
    </cfRule>
  </conditionalFormatting>
  <conditionalFormatting sqref="D57">
    <cfRule type="cellIs" dxfId="34881" priority="111304" stopIfTrue="1" operator="equal">
      <formula>-1</formula>
    </cfRule>
  </conditionalFormatting>
  <conditionalFormatting sqref="D57">
    <cfRule type="cellIs" dxfId="34880" priority="111305" stopIfTrue="1" operator="lessThan">
      <formula>0.5</formula>
    </cfRule>
  </conditionalFormatting>
  <conditionalFormatting sqref="D57">
    <cfRule type="cellIs" dxfId="34879" priority="111306" stopIfTrue="1" operator="greaterThanOrEqual">
      <formula>0.5</formula>
    </cfRule>
  </conditionalFormatting>
  <conditionalFormatting sqref="D58">
    <cfRule type="cellIs" dxfId="34878" priority="111307" stopIfTrue="1" operator="equal">
      <formula>-1</formula>
    </cfRule>
  </conditionalFormatting>
  <conditionalFormatting sqref="D58">
    <cfRule type="cellIs" dxfId="34877" priority="111308" stopIfTrue="1" operator="lessThan">
      <formula>0.5</formula>
    </cfRule>
  </conditionalFormatting>
  <conditionalFormatting sqref="D58">
    <cfRule type="cellIs" dxfId="34876" priority="111309" stopIfTrue="1" operator="greaterThanOrEqual">
      <formula>0.5</formula>
    </cfRule>
  </conditionalFormatting>
  <conditionalFormatting sqref="F39">
    <cfRule type="cellIs" dxfId="34875" priority="111310" stopIfTrue="1" operator="equal">
      <formula>-1</formula>
    </cfRule>
  </conditionalFormatting>
  <conditionalFormatting sqref="F39">
    <cfRule type="cellIs" dxfId="34874" priority="111311" stopIfTrue="1" operator="lessThan">
      <formula>0.5</formula>
    </cfRule>
  </conditionalFormatting>
  <conditionalFormatting sqref="F39">
    <cfRule type="cellIs" dxfId="34873" priority="111312" stopIfTrue="1" operator="greaterThanOrEqual">
      <formula>0.5</formula>
    </cfRule>
  </conditionalFormatting>
  <conditionalFormatting sqref="F40">
    <cfRule type="cellIs" dxfId="34872" priority="111313" stopIfTrue="1" operator="equal">
      <formula>-1</formula>
    </cfRule>
  </conditionalFormatting>
  <conditionalFormatting sqref="F40">
    <cfRule type="cellIs" dxfId="34871" priority="111314" stopIfTrue="1" operator="lessThan">
      <formula>0.5</formula>
    </cfRule>
  </conditionalFormatting>
  <conditionalFormatting sqref="F40">
    <cfRule type="cellIs" dxfId="34870" priority="111315" stopIfTrue="1" operator="greaterThanOrEqual">
      <formula>0.5</formula>
    </cfRule>
  </conditionalFormatting>
  <conditionalFormatting sqref="F41">
    <cfRule type="cellIs" dxfId="34869" priority="111316" stopIfTrue="1" operator="equal">
      <formula>-1</formula>
    </cfRule>
  </conditionalFormatting>
  <conditionalFormatting sqref="F41">
    <cfRule type="cellIs" dxfId="34868" priority="111317" stopIfTrue="1" operator="lessThan">
      <formula>0.5</formula>
    </cfRule>
  </conditionalFormatting>
  <conditionalFormatting sqref="F41">
    <cfRule type="cellIs" dxfId="34867" priority="111318" stopIfTrue="1" operator="greaterThanOrEqual">
      <formula>0.5</formula>
    </cfRule>
  </conditionalFormatting>
  <conditionalFormatting sqref="F42">
    <cfRule type="cellIs" dxfId="34866" priority="111319" stopIfTrue="1" operator="equal">
      <formula>-1</formula>
    </cfRule>
  </conditionalFormatting>
  <conditionalFormatting sqref="F42">
    <cfRule type="cellIs" dxfId="34865" priority="111320" stopIfTrue="1" operator="lessThan">
      <formula>0.5</formula>
    </cfRule>
  </conditionalFormatting>
  <conditionalFormatting sqref="F42">
    <cfRule type="cellIs" dxfId="34864" priority="111321" stopIfTrue="1" operator="greaterThanOrEqual">
      <formula>0.5</formula>
    </cfRule>
  </conditionalFormatting>
  <conditionalFormatting sqref="F43">
    <cfRule type="cellIs" dxfId="34863" priority="111322" stopIfTrue="1" operator="equal">
      <formula>-1</formula>
    </cfRule>
  </conditionalFormatting>
  <conditionalFormatting sqref="F43">
    <cfRule type="cellIs" dxfId="34862" priority="111323" stopIfTrue="1" operator="lessThan">
      <formula>0.5</formula>
    </cfRule>
  </conditionalFormatting>
  <conditionalFormatting sqref="F43">
    <cfRule type="cellIs" dxfId="34861" priority="111324" stopIfTrue="1" operator="greaterThanOrEqual">
      <formula>0.5</formula>
    </cfRule>
  </conditionalFormatting>
  <conditionalFormatting sqref="F44">
    <cfRule type="cellIs" dxfId="34860" priority="111325" stopIfTrue="1" operator="equal">
      <formula>-1</formula>
    </cfRule>
  </conditionalFormatting>
  <conditionalFormatting sqref="F44">
    <cfRule type="cellIs" dxfId="34859" priority="111326" stopIfTrue="1" operator="lessThan">
      <formula>0.5</formula>
    </cfRule>
  </conditionalFormatting>
  <conditionalFormatting sqref="F44">
    <cfRule type="cellIs" dxfId="34858" priority="111327" stopIfTrue="1" operator="greaterThanOrEqual">
      <formula>0.5</formula>
    </cfRule>
  </conditionalFormatting>
  <conditionalFormatting sqref="F45">
    <cfRule type="cellIs" dxfId="34857" priority="111328" stopIfTrue="1" operator="equal">
      <formula>-1</formula>
    </cfRule>
  </conditionalFormatting>
  <conditionalFormatting sqref="F45">
    <cfRule type="cellIs" dxfId="34856" priority="111329" stopIfTrue="1" operator="lessThan">
      <formula>0.5</formula>
    </cfRule>
  </conditionalFormatting>
  <conditionalFormatting sqref="F45">
    <cfRule type="cellIs" dxfId="34855" priority="111330" stopIfTrue="1" operator="greaterThanOrEqual">
      <formula>0.5</formula>
    </cfRule>
  </conditionalFormatting>
  <conditionalFormatting sqref="F46">
    <cfRule type="cellIs" dxfId="34854" priority="111331" stopIfTrue="1" operator="equal">
      <formula>-1</formula>
    </cfRule>
  </conditionalFormatting>
  <conditionalFormatting sqref="F46">
    <cfRule type="cellIs" dxfId="34853" priority="111332" stopIfTrue="1" operator="lessThan">
      <formula>0.5</formula>
    </cfRule>
  </conditionalFormatting>
  <conditionalFormatting sqref="F46">
    <cfRule type="cellIs" dxfId="34852" priority="111333" stopIfTrue="1" operator="greaterThanOrEqual">
      <formula>0.5</formula>
    </cfRule>
  </conditionalFormatting>
  <conditionalFormatting sqref="F47">
    <cfRule type="cellIs" dxfId="34851" priority="111334" stopIfTrue="1" operator="equal">
      <formula>-1</formula>
    </cfRule>
  </conditionalFormatting>
  <conditionalFormatting sqref="F47">
    <cfRule type="cellIs" dxfId="34850" priority="111335" stopIfTrue="1" operator="lessThan">
      <formula>0.5</formula>
    </cfRule>
  </conditionalFormatting>
  <conditionalFormatting sqref="F47">
    <cfRule type="cellIs" dxfId="34849" priority="111336" stopIfTrue="1" operator="greaterThanOrEqual">
      <formula>0.5</formula>
    </cfRule>
  </conditionalFormatting>
  <conditionalFormatting sqref="F48">
    <cfRule type="cellIs" dxfId="34848" priority="111337" stopIfTrue="1" operator="equal">
      <formula>-1</formula>
    </cfRule>
  </conditionalFormatting>
  <conditionalFormatting sqref="F48">
    <cfRule type="cellIs" dxfId="34847" priority="111338" stopIfTrue="1" operator="lessThan">
      <formula>0.5</formula>
    </cfRule>
  </conditionalFormatting>
  <conditionalFormatting sqref="F48">
    <cfRule type="cellIs" dxfId="34846" priority="111339" stopIfTrue="1" operator="greaterThanOrEqual">
      <formula>0.5</formula>
    </cfRule>
  </conditionalFormatting>
  <conditionalFormatting sqref="F49">
    <cfRule type="cellIs" dxfId="34845" priority="111340" stopIfTrue="1" operator="equal">
      <formula>-1</formula>
    </cfRule>
  </conditionalFormatting>
  <conditionalFormatting sqref="F49">
    <cfRule type="cellIs" dxfId="34844" priority="111341" stopIfTrue="1" operator="lessThan">
      <formula>0.5</formula>
    </cfRule>
  </conditionalFormatting>
  <conditionalFormatting sqref="F49">
    <cfRule type="cellIs" dxfId="34843" priority="111342" stopIfTrue="1" operator="greaterThanOrEqual">
      <formula>0.5</formula>
    </cfRule>
  </conditionalFormatting>
  <conditionalFormatting sqref="F50">
    <cfRule type="cellIs" dxfId="34842" priority="111343" stopIfTrue="1" operator="equal">
      <formula>-1</formula>
    </cfRule>
  </conditionalFormatting>
  <conditionalFormatting sqref="F50">
    <cfRule type="cellIs" dxfId="34841" priority="111344" stopIfTrue="1" operator="lessThan">
      <formula>0.5</formula>
    </cfRule>
  </conditionalFormatting>
  <conditionalFormatting sqref="F50">
    <cfRule type="cellIs" dxfId="34840" priority="111345" stopIfTrue="1" operator="greaterThanOrEqual">
      <formula>0.5</formula>
    </cfRule>
  </conditionalFormatting>
  <conditionalFormatting sqref="F51">
    <cfRule type="cellIs" dxfId="34839" priority="111346" stopIfTrue="1" operator="equal">
      <formula>-1</formula>
    </cfRule>
  </conditionalFormatting>
  <conditionalFormatting sqref="F51">
    <cfRule type="cellIs" dxfId="34838" priority="111347" stopIfTrue="1" operator="lessThan">
      <formula>0.5</formula>
    </cfRule>
  </conditionalFormatting>
  <conditionalFormatting sqref="F51">
    <cfRule type="cellIs" dxfId="34837" priority="111348" stopIfTrue="1" operator="greaterThanOrEqual">
      <formula>0.5</formula>
    </cfRule>
  </conditionalFormatting>
  <conditionalFormatting sqref="F52">
    <cfRule type="cellIs" dxfId="34836" priority="111349" stopIfTrue="1" operator="equal">
      <formula>-1</formula>
    </cfRule>
  </conditionalFormatting>
  <conditionalFormatting sqref="F52">
    <cfRule type="cellIs" dxfId="34835" priority="111350" stopIfTrue="1" operator="lessThan">
      <formula>0.5</formula>
    </cfRule>
  </conditionalFormatting>
  <conditionalFormatting sqref="F52">
    <cfRule type="cellIs" dxfId="34834" priority="111351" stopIfTrue="1" operator="greaterThanOrEqual">
      <formula>0.5</formula>
    </cfRule>
  </conditionalFormatting>
  <conditionalFormatting sqref="F53">
    <cfRule type="cellIs" dxfId="34833" priority="111352" stopIfTrue="1" operator="equal">
      <formula>-1</formula>
    </cfRule>
  </conditionalFormatting>
  <conditionalFormatting sqref="F53">
    <cfRule type="cellIs" dxfId="34832" priority="111353" stopIfTrue="1" operator="lessThan">
      <formula>0.5</formula>
    </cfRule>
  </conditionalFormatting>
  <conditionalFormatting sqref="F53">
    <cfRule type="cellIs" dxfId="34831" priority="111354" stopIfTrue="1" operator="greaterThanOrEqual">
      <formula>0.5</formula>
    </cfRule>
  </conditionalFormatting>
  <conditionalFormatting sqref="F54">
    <cfRule type="cellIs" dxfId="34830" priority="111355" stopIfTrue="1" operator="equal">
      <formula>-1</formula>
    </cfRule>
  </conditionalFormatting>
  <conditionalFormatting sqref="F54">
    <cfRule type="cellIs" dxfId="34829" priority="111356" stopIfTrue="1" operator="lessThan">
      <formula>0.5</formula>
    </cfRule>
  </conditionalFormatting>
  <conditionalFormatting sqref="F54">
    <cfRule type="cellIs" dxfId="34828" priority="111357" stopIfTrue="1" operator="greaterThanOrEqual">
      <formula>0.5</formula>
    </cfRule>
  </conditionalFormatting>
  <conditionalFormatting sqref="F55">
    <cfRule type="cellIs" dxfId="34827" priority="111358" stopIfTrue="1" operator="equal">
      <formula>-1</formula>
    </cfRule>
  </conditionalFormatting>
  <conditionalFormatting sqref="F55">
    <cfRule type="cellIs" dxfId="34826" priority="111359" stopIfTrue="1" operator="lessThan">
      <formula>0.5</formula>
    </cfRule>
  </conditionalFormatting>
  <conditionalFormatting sqref="F55">
    <cfRule type="cellIs" dxfId="34825" priority="111360" stopIfTrue="1" operator="greaterThanOrEqual">
      <formula>0.5</formula>
    </cfRule>
  </conditionalFormatting>
  <conditionalFormatting sqref="F56">
    <cfRule type="cellIs" dxfId="34824" priority="111361" stopIfTrue="1" operator="equal">
      <formula>-1</formula>
    </cfRule>
  </conditionalFormatting>
  <conditionalFormatting sqref="F56">
    <cfRule type="cellIs" dxfId="34823" priority="111362" stopIfTrue="1" operator="lessThan">
      <formula>0.5</formula>
    </cfRule>
  </conditionalFormatting>
  <conditionalFormatting sqref="F56">
    <cfRule type="cellIs" dxfId="34822" priority="111363" stopIfTrue="1" operator="greaterThanOrEqual">
      <formula>0.5</formula>
    </cfRule>
  </conditionalFormatting>
  <conditionalFormatting sqref="F57">
    <cfRule type="cellIs" dxfId="34821" priority="111364" stopIfTrue="1" operator="equal">
      <formula>-1</formula>
    </cfRule>
  </conditionalFormatting>
  <conditionalFormatting sqref="F57">
    <cfRule type="cellIs" dxfId="34820" priority="111365" stopIfTrue="1" operator="lessThan">
      <formula>0.5</formula>
    </cfRule>
  </conditionalFormatting>
  <conditionalFormatting sqref="F57">
    <cfRule type="cellIs" dxfId="34819" priority="111366" stopIfTrue="1" operator="greaterThanOrEqual">
      <formula>0.5</formula>
    </cfRule>
  </conditionalFormatting>
  <conditionalFormatting sqref="F58">
    <cfRule type="cellIs" dxfId="34818" priority="111367" stopIfTrue="1" operator="equal">
      <formula>-1</formula>
    </cfRule>
  </conditionalFormatting>
  <conditionalFormatting sqref="F58">
    <cfRule type="cellIs" dxfId="34817" priority="111368" stopIfTrue="1" operator="lessThan">
      <formula>0.5</formula>
    </cfRule>
  </conditionalFormatting>
  <conditionalFormatting sqref="F58">
    <cfRule type="cellIs" dxfId="34816" priority="111369" stopIfTrue="1" operator="greaterThanOrEqual">
      <formula>0.5</formula>
    </cfRule>
  </conditionalFormatting>
  <conditionalFormatting sqref="H39">
    <cfRule type="cellIs" dxfId="34815" priority="111370" stopIfTrue="1" operator="equal">
      <formula>-1</formula>
    </cfRule>
  </conditionalFormatting>
  <conditionalFormatting sqref="H39">
    <cfRule type="cellIs" dxfId="34814" priority="111371" stopIfTrue="1" operator="lessThan">
      <formula>0.5</formula>
    </cfRule>
  </conditionalFormatting>
  <conditionalFormatting sqref="H39">
    <cfRule type="cellIs" dxfId="34813" priority="111372" stopIfTrue="1" operator="greaterThanOrEqual">
      <formula>0.5</formula>
    </cfRule>
  </conditionalFormatting>
  <conditionalFormatting sqref="H40">
    <cfRule type="cellIs" dxfId="34812" priority="111373" stopIfTrue="1" operator="equal">
      <formula>-1</formula>
    </cfRule>
  </conditionalFormatting>
  <conditionalFormatting sqref="H40">
    <cfRule type="cellIs" dxfId="34811" priority="111374" stopIfTrue="1" operator="lessThan">
      <formula>0.5</formula>
    </cfRule>
  </conditionalFormatting>
  <conditionalFormatting sqref="H40">
    <cfRule type="cellIs" dxfId="34810" priority="111375" stopIfTrue="1" operator="greaterThanOrEqual">
      <formula>0.5</formula>
    </cfRule>
  </conditionalFormatting>
  <conditionalFormatting sqref="H41">
    <cfRule type="cellIs" dxfId="34809" priority="111376" stopIfTrue="1" operator="equal">
      <formula>-1</formula>
    </cfRule>
  </conditionalFormatting>
  <conditionalFormatting sqref="H41">
    <cfRule type="cellIs" dxfId="34808" priority="111377" stopIfTrue="1" operator="lessThan">
      <formula>0.5</formula>
    </cfRule>
  </conditionalFormatting>
  <conditionalFormatting sqref="H41">
    <cfRule type="cellIs" dxfId="34807" priority="111378" stopIfTrue="1" operator="greaterThanOrEqual">
      <formula>0.5</formula>
    </cfRule>
  </conditionalFormatting>
  <conditionalFormatting sqref="H42">
    <cfRule type="cellIs" dxfId="34806" priority="111379" stopIfTrue="1" operator="equal">
      <formula>-1</formula>
    </cfRule>
  </conditionalFormatting>
  <conditionalFormatting sqref="H42">
    <cfRule type="cellIs" dxfId="34805" priority="111380" stopIfTrue="1" operator="lessThan">
      <formula>0.5</formula>
    </cfRule>
  </conditionalFormatting>
  <conditionalFormatting sqref="H42">
    <cfRule type="cellIs" dxfId="34804" priority="111381" stopIfTrue="1" operator="greaterThanOrEqual">
      <formula>0.5</formula>
    </cfRule>
  </conditionalFormatting>
  <conditionalFormatting sqref="H43">
    <cfRule type="cellIs" dxfId="34803" priority="111382" stopIfTrue="1" operator="equal">
      <formula>-1</formula>
    </cfRule>
  </conditionalFormatting>
  <conditionalFormatting sqref="H43">
    <cfRule type="cellIs" dxfId="34802" priority="111383" stopIfTrue="1" operator="lessThan">
      <formula>0.5</formula>
    </cfRule>
  </conditionalFormatting>
  <conditionalFormatting sqref="H43">
    <cfRule type="cellIs" dxfId="34801" priority="111384" stopIfTrue="1" operator="greaterThanOrEqual">
      <formula>0.5</formula>
    </cfRule>
  </conditionalFormatting>
  <conditionalFormatting sqref="H44">
    <cfRule type="cellIs" dxfId="34800" priority="111385" stopIfTrue="1" operator="equal">
      <formula>-1</formula>
    </cfRule>
  </conditionalFormatting>
  <conditionalFormatting sqref="H44">
    <cfRule type="cellIs" dxfId="34799" priority="111386" stopIfTrue="1" operator="lessThan">
      <formula>0.5</formula>
    </cfRule>
  </conditionalFormatting>
  <conditionalFormatting sqref="H44">
    <cfRule type="cellIs" dxfId="34798" priority="111387" stopIfTrue="1" operator="greaterThanOrEqual">
      <formula>0.5</formula>
    </cfRule>
  </conditionalFormatting>
  <conditionalFormatting sqref="H45">
    <cfRule type="cellIs" dxfId="34797" priority="111388" stopIfTrue="1" operator="equal">
      <formula>-1</formula>
    </cfRule>
  </conditionalFormatting>
  <conditionalFormatting sqref="H45">
    <cfRule type="cellIs" dxfId="34796" priority="111389" stopIfTrue="1" operator="lessThan">
      <formula>0.5</formula>
    </cfRule>
  </conditionalFormatting>
  <conditionalFormatting sqref="H45">
    <cfRule type="cellIs" dxfId="34795" priority="111390" stopIfTrue="1" operator="greaterThanOrEqual">
      <formula>0.5</formula>
    </cfRule>
  </conditionalFormatting>
  <conditionalFormatting sqref="H46">
    <cfRule type="cellIs" dxfId="34794" priority="111391" stopIfTrue="1" operator="equal">
      <formula>-1</formula>
    </cfRule>
  </conditionalFormatting>
  <conditionalFormatting sqref="H46">
    <cfRule type="cellIs" dxfId="34793" priority="111392" stopIfTrue="1" operator="lessThan">
      <formula>0.5</formula>
    </cfRule>
  </conditionalFormatting>
  <conditionalFormatting sqref="H46">
    <cfRule type="cellIs" dxfId="34792" priority="111393" stopIfTrue="1" operator="greaterThanOrEqual">
      <formula>0.5</formula>
    </cfRule>
  </conditionalFormatting>
  <conditionalFormatting sqref="H47">
    <cfRule type="cellIs" dxfId="34791" priority="111394" stopIfTrue="1" operator="equal">
      <formula>-1</formula>
    </cfRule>
  </conditionalFormatting>
  <conditionalFormatting sqref="H47">
    <cfRule type="cellIs" dxfId="34790" priority="111395" stopIfTrue="1" operator="lessThan">
      <formula>0.5</formula>
    </cfRule>
  </conditionalFormatting>
  <conditionalFormatting sqref="H47">
    <cfRule type="cellIs" dxfId="34789" priority="111396" stopIfTrue="1" operator="greaterThanOrEqual">
      <formula>0.5</formula>
    </cfRule>
  </conditionalFormatting>
  <conditionalFormatting sqref="H48">
    <cfRule type="cellIs" dxfId="34788" priority="111397" stopIfTrue="1" operator="equal">
      <formula>-1</formula>
    </cfRule>
  </conditionalFormatting>
  <conditionalFormatting sqref="H48">
    <cfRule type="cellIs" dxfId="34787" priority="111398" stopIfTrue="1" operator="lessThan">
      <formula>0.5</formula>
    </cfRule>
  </conditionalFormatting>
  <conditionalFormatting sqref="H48">
    <cfRule type="cellIs" dxfId="34786" priority="111399" stopIfTrue="1" operator="greaterThanOrEqual">
      <formula>0.5</formula>
    </cfRule>
  </conditionalFormatting>
  <conditionalFormatting sqref="H49">
    <cfRule type="cellIs" dxfId="34785" priority="111400" stopIfTrue="1" operator="equal">
      <formula>-1</formula>
    </cfRule>
  </conditionalFormatting>
  <conditionalFormatting sqref="H49">
    <cfRule type="cellIs" dxfId="34784" priority="111401" stopIfTrue="1" operator="lessThan">
      <formula>0.5</formula>
    </cfRule>
  </conditionalFormatting>
  <conditionalFormatting sqref="H49">
    <cfRule type="cellIs" dxfId="34783" priority="111402" stopIfTrue="1" operator="greaterThanOrEqual">
      <formula>0.5</formula>
    </cfRule>
  </conditionalFormatting>
  <conditionalFormatting sqref="H50">
    <cfRule type="cellIs" dxfId="34782" priority="111403" stopIfTrue="1" operator="equal">
      <formula>-1</formula>
    </cfRule>
  </conditionalFormatting>
  <conditionalFormatting sqref="H50">
    <cfRule type="cellIs" dxfId="34781" priority="111404" stopIfTrue="1" operator="lessThan">
      <formula>0.5</formula>
    </cfRule>
  </conditionalFormatting>
  <conditionalFormatting sqref="H50">
    <cfRule type="cellIs" dxfId="34780" priority="111405" stopIfTrue="1" operator="greaterThanOrEqual">
      <formula>0.5</formula>
    </cfRule>
  </conditionalFormatting>
  <conditionalFormatting sqref="H51">
    <cfRule type="cellIs" dxfId="34779" priority="111406" stopIfTrue="1" operator="equal">
      <formula>-1</formula>
    </cfRule>
  </conditionalFormatting>
  <conditionalFormatting sqref="H51">
    <cfRule type="cellIs" dxfId="34778" priority="111407" stopIfTrue="1" operator="lessThan">
      <formula>0.5</formula>
    </cfRule>
  </conditionalFormatting>
  <conditionalFormatting sqref="H51">
    <cfRule type="cellIs" dxfId="34777" priority="111408" stopIfTrue="1" operator="greaterThanOrEqual">
      <formula>0.5</formula>
    </cfRule>
  </conditionalFormatting>
  <conditionalFormatting sqref="H52">
    <cfRule type="cellIs" dxfId="34776" priority="111409" stopIfTrue="1" operator="equal">
      <formula>-1</formula>
    </cfRule>
  </conditionalFormatting>
  <conditionalFormatting sqref="H52">
    <cfRule type="cellIs" dxfId="34775" priority="111410" stopIfTrue="1" operator="lessThan">
      <formula>0.5</formula>
    </cfRule>
  </conditionalFormatting>
  <conditionalFormatting sqref="H52">
    <cfRule type="cellIs" dxfId="34774" priority="111411" stopIfTrue="1" operator="greaterThanOrEqual">
      <formula>0.5</formula>
    </cfRule>
  </conditionalFormatting>
  <conditionalFormatting sqref="H53">
    <cfRule type="cellIs" dxfId="34773" priority="111412" stopIfTrue="1" operator="equal">
      <formula>-1</formula>
    </cfRule>
  </conditionalFormatting>
  <conditionalFormatting sqref="H53">
    <cfRule type="cellIs" dxfId="34772" priority="111413" stopIfTrue="1" operator="lessThan">
      <formula>0.5</formula>
    </cfRule>
  </conditionalFormatting>
  <conditionalFormatting sqref="H53">
    <cfRule type="cellIs" dxfId="34771" priority="111414" stopIfTrue="1" operator="greaterThanOrEqual">
      <formula>0.5</formula>
    </cfRule>
  </conditionalFormatting>
  <conditionalFormatting sqref="H54">
    <cfRule type="cellIs" dxfId="34770" priority="111415" stopIfTrue="1" operator="equal">
      <formula>-1</formula>
    </cfRule>
  </conditionalFormatting>
  <conditionalFormatting sqref="H54">
    <cfRule type="cellIs" dxfId="34769" priority="111416" stopIfTrue="1" operator="lessThan">
      <formula>0.5</formula>
    </cfRule>
  </conditionalFormatting>
  <conditionalFormatting sqref="H54">
    <cfRule type="cellIs" dxfId="34768" priority="111417" stopIfTrue="1" operator="greaterThanOrEqual">
      <formula>0.5</formula>
    </cfRule>
  </conditionalFormatting>
  <conditionalFormatting sqref="H55">
    <cfRule type="cellIs" dxfId="34767" priority="111418" stopIfTrue="1" operator="equal">
      <formula>-1</formula>
    </cfRule>
  </conditionalFormatting>
  <conditionalFormatting sqref="H55">
    <cfRule type="cellIs" dxfId="34766" priority="111419" stopIfTrue="1" operator="lessThan">
      <formula>0.5</formula>
    </cfRule>
  </conditionalFormatting>
  <conditionalFormatting sqref="H55">
    <cfRule type="cellIs" dxfId="34765" priority="111420" stopIfTrue="1" operator="greaterThanOrEqual">
      <formula>0.5</formula>
    </cfRule>
  </conditionalFormatting>
  <conditionalFormatting sqref="H56">
    <cfRule type="cellIs" dxfId="34764" priority="111421" stopIfTrue="1" operator="equal">
      <formula>-1</formula>
    </cfRule>
  </conditionalFormatting>
  <conditionalFormatting sqref="H56">
    <cfRule type="cellIs" dxfId="34763" priority="111422" stopIfTrue="1" operator="lessThan">
      <formula>0.5</formula>
    </cfRule>
  </conditionalFormatting>
  <conditionalFormatting sqref="H56">
    <cfRule type="cellIs" dxfId="34762" priority="111423" stopIfTrue="1" operator="greaterThanOrEqual">
      <formula>0.5</formula>
    </cfRule>
  </conditionalFormatting>
  <conditionalFormatting sqref="H57">
    <cfRule type="cellIs" dxfId="34761" priority="111424" stopIfTrue="1" operator="equal">
      <formula>-1</formula>
    </cfRule>
  </conditionalFormatting>
  <conditionalFormatting sqref="H57">
    <cfRule type="cellIs" dxfId="34760" priority="111425" stopIfTrue="1" operator="lessThan">
      <formula>0.5</formula>
    </cfRule>
  </conditionalFormatting>
  <conditionalFormatting sqref="H57">
    <cfRule type="cellIs" dxfId="34759" priority="111426" stopIfTrue="1" operator="greaterThanOrEqual">
      <formula>0.5</formula>
    </cfRule>
  </conditionalFormatting>
  <conditionalFormatting sqref="H58">
    <cfRule type="cellIs" dxfId="34758" priority="111427" stopIfTrue="1" operator="equal">
      <formula>-1</formula>
    </cfRule>
  </conditionalFormatting>
  <conditionalFormatting sqref="H58">
    <cfRule type="cellIs" dxfId="34757" priority="111428" stopIfTrue="1" operator="lessThan">
      <formula>0.5</formula>
    </cfRule>
  </conditionalFormatting>
  <conditionalFormatting sqref="H58">
    <cfRule type="cellIs" dxfId="34756" priority="111429" stopIfTrue="1" operator="greaterThanOrEqual">
      <formula>0.5</formula>
    </cfRule>
  </conditionalFormatting>
  <conditionalFormatting sqref="J39">
    <cfRule type="cellIs" dxfId="34755" priority="111430" stopIfTrue="1" operator="equal">
      <formula>-1</formula>
    </cfRule>
  </conditionalFormatting>
  <conditionalFormatting sqref="J39">
    <cfRule type="cellIs" dxfId="34754" priority="111431" stopIfTrue="1" operator="lessThan">
      <formula>0.5</formula>
    </cfRule>
  </conditionalFormatting>
  <conditionalFormatting sqref="J39">
    <cfRule type="cellIs" dxfId="34753" priority="111432" stopIfTrue="1" operator="greaterThanOrEqual">
      <formula>0.5</formula>
    </cfRule>
  </conditionalFormatting>
  <conditionalFormatting sqref="J40">
    <cfRule type="cellIs" dxfId="34752" priority="111433" stopIfTrue="1" operator="equal">
      <formula>-1</formula>
    </cfRule>
  </conditionalFormatting>
  <conditionalFormatting sqref="J40">
    <cfRule type="cellIs" dxfId="34751" priority="111434" stopIfTrue="1" operator="lessThan">
      <formula>0.5</formula>
    </cfRule>
  </conditionalFormatting>
  <conditionalFormatting sqref="J40">
    <cfRule type="cellIs" dxfId="34750" priority="111435" stopIfTrue="1" operator="greaterThanOrEqual">
      <formula>0.5</formula>
    </cfRule>
  </conditionalFormatting>
  <conditionalFormatting sqref="J41">
    <cfRule type="cellIs" dxfId="34749" priority="111436" stopIfTrue="1" operator="equal">
      <formula>-1</formula>
    </cfRule>
  </conditionalFormatting>
  <conditionalFormatting sqref="J41">
    <cfRule type="cellIs" dxfId="34748" priority="111437" stopIfTrue="1" operator="lessThan">
      <formula>0.5</formula>
    </cfRule>
  </conditionalFormatting>
  <conditionalFormatting sqref="J41">
    <cfRule type="cellIs" dxfId="34747" priority="111438" stopIfTrue="1" operator="greaterThanOrEqual">
      <formula>0.5</formula>
    </cfRule>
  </conditionalFormatting>
  <conditionalFormatting sqref="J42">
    <cfRule type="cellIs" dxfId="34746" priority="111439" stopIfTrue="1" operator="equal">
      <formula>-1</formula>
    </cfRule>
  </conditionalFormatting>
  <conditionalFormatting sqref="J42">
    <cfRule type="cellIs" dxfId="34745" priority="111440" stopIfTrue="1" operator="lessThan">
      <formula>0.5</formula>
    </cfRule>
  </conditionalFormatting>
  <conditionalFormatting sqref="J42">
    <cfRule type="cellIs" dxfId="34744" priority="111441" stopIfTrue="1" operator="greaterThanOrEqual">
      <formula>0.5</formula>
    </cfRule>
  </conditionalFormatting>
  <conditionalFormatting sqref="J43">
    <cfRule type="cellIs" dxfId="34743" priority="111442" stopIfTrue="1" operator="equal">
      <formula>-1</formula>
    </cfRule>
  </conditionalFormatting>
  <conditionalFormatting sqref="J43">
    <cfRule type="cellIs" dxfId="34742" priority="111443" stopIfTrue="1" operator="lessThan">
      <formula>0.5</formula>
    </cfRule>
  </conditionalFormatting>
  <conditionalFormatting sqref="J43">
    <cfRule type="cellIs" dxfId="34741" priority="111444" stopIfTrue="1" operator="greaterThanOrEqual">
      <formula>0.5</formula>
    </cfRule>
  </conditionalFormatting>
  <conditionalFormatting sqref="J44">
    <cfRule type="cellIs" dxfId="34740" priority="111445" stopIfTrue="1" operator="equal">
      <formula>-1</formula>
    </cfRule>
  </conditionalFormatting>
  <conditionalFormatting sqref="J44">
    <cfRule type="cellIs" dxfId="34739" priority="111446" stopIfTrue="1" operator="lessThan">
      <formula>0.5</formula>
    </cfRule>
  </conditionalFormatting>
  <conditionalFormatting sqref="J44">
    <cfRule type="cellIs" dxfId="34738" priority="111447" stopIfTrue="1" operator="greaterThanOrEqual">
      <formula>0.5</formula>
    </cfRule>
  </conditionalFormatting>
  <conditionalFormatting sqref="J45">
    <cfRule type="cellIs" dxfId="34737" priority="111448" stopIfTrue="1" operator="equal">
      <formula>-1</formula>
    </cfRule>
  </conditionalFormatting>
  <conditionalFormatting sqref="J45">
    <cfRule type="cellIs" dxfId="34736" priority="111449" stopIfTrue="1" operator="lessThan">
      <formula>0.5</formula>
    </cfRule>
  </conditionalFormatting>
  <conditionalFormatting sqref="J45">
    <cfRule type="cellIs" dxfId="34735" priority="111450" stopIfTrue="1" operator="greaterThanOrEqual">
      <formula>0.5</formula>
    </cfRule>
  </conditionalFormatting>
  <conditionalFormatting sqref="J46">
    <cfRule type="cellIs" dxfId="34734" priority="111451" stopIfTrue="1" operator="equal">
      <formula>-1</formula>
    </cfRule>
  </conditionalFormatting>
  <conditionalFormatting sqref="J46">
    <cfRule type="cellIs" dxfId="34733" priority="111452" stopIfTrue="1" operator="lessThan">
      <formula>0.5</formula>
    </cfRule>
  </conditionalFormatting>
  <conditionalFormatting sqref="J46">
    <cfRule type="cellIs" dxfId="34732" priority="111453" stopIfTrue="1" operator="greaterThanOrEqual">
      <formula>0.5</formula>
    </cfRule>
  </conditionalFormatting>
  <conditionalFormatting sqref="J47">
    <cfRule type="cellIs" dxfId="34731" priority="111454" stopIfTrue="1" operator="equal">
      <formula>-1</formula>
    </cfRule>
  </conditionalFormatting>
  <conditionalFormatting sqref="J47">
    <cfRule type="cellIs" dxfId="34730" priority="111455" stopIfTrue="1" operator="lessThan">
      <formula>0.5</formula>
    </cfRule>
  </conditionalFormatting>
  <conditionalFormatting sqref="J47">
    <cfRule type="cellIs" dxfId="34729" priority="111456" stopIfTrue="1" operator="greaterThanOrEqual">
      <formula>0.5</formula>
    </cfRule>
  </conditionalFormatting>
  <conditionalFormatting sqref="J48">
    <cfRule type="cellIs" dxfId="34728" priority="111457" stopIfTrue="1" operator="equal">
      <formula>-1</formula>
    </cfRule>
  </conditionalFormatting>
  <conditionalFormatting sqref="J48">
    <cfRule type="cellIs" dxfId="34727" priority="111458" stopIfTrue="1" operator="lessThan">
      <formula>0.5</formula>
    </cfRule>
  </conditionalFormatting>
  <conditionalFormatting sqref="J48">
    <cfRule type="cellIs" dxfId="34726" priority="111459" stopIfTrue="1" operator="greaterThanOrEqual">
      <formula>0.5</formula>
    </cfRule>
  </conditionalFormatting>
  <conditionalFormatting sqref="J49">
    <cfRule type="cellIs" dxfId="34725" priority="111460" stopIfTrue="1" operator="equal">
      <formula>-1</formula>
    </cfRule>
  </conditionalFormatting>
  <conditionalFormatting sqref="J49">
    <cfRule type="cellIs" dxfId="34724" priority="111461" stopIfTrue="1" operator="lessThan">
      <formula>0.5</formula>
    </cfRule>
  </conditionalFormatting>
  <conditionalFormatting sqref="J49">
    <cfRule type="cellIs" dxfId="34723" priority="111462" stopIfTrue="1" operator="greaterThanOrEqual">
      <formula>0.5</formula>
    </cfRule>
  </conditionalFormatting>
  <conditionalFormatting sqref="J50">
    <cfRule type="cellIs" dxfId="34722" priority="111463" stopIfTrue="1" operator="equal">
      <formula>-1</formula>
    </cfRule>
  </conditionalFormatting>
  <conditionalFormatting sqref="J50">
    <cfRule type="cellIs" dxfId="34721" priority="111464" stopIfTrue="1" operator="lessThan">
      <formula>0.5</formula>
    </cfRule>
  </conditionalFormatting>
  <conditionalFormatting sqref="J50">
    <cfRule type="cellIs" dxfId="34720" priority="111465" stopIfTrue="1" operator="greaterThanOrEqual">
      <formula>0.5</formula>
    </cfRule>
  </conditionalFormatting>
  <conditionalFormatting sqref="J51">
    <cfRule type="cellIs" dxfId="34719" priority="111466" stopIfTrue="1" operator="equal">
      <formula>-1</formula>
    </cfRule>
  </conditionalFormatting>
  <conditionalFormatting sqref="J51">
    <cfRule type="cellIs" dxfId="34718" priority="111467" stopIfTrue="1" operator="lessThan">
      <formula>0.5</formula>
    </cfRule>
  </conditionalFormatting>
  <conditionalFormatting sqref="J51">
    <cfRule type="cellIs" dxfId="34717" priority="111468" stopIfTrue="1" operator="greaterThanOrEqual">
      <formula>0.5</formula>
    </cfRule>
  </conditionalFormatting>
  <conditionalFormatting sqref="J52">
    <cfRule type="cellIs" dxfId="34716" priority="111469" stopIfTrue="1" operator="equal">
      <formula>-1</formula>
    </cfRule>
  </conditionalFormatting>
  <conditionalFormatting sqref="J52">
    <cfRule type="cellIs" dxfId="34715" priority="111470" stopIfTrue="1" operator="lessThan">
      <formula>0.5</formula>
    </cfRule>
  </conditionalFormatting>
  <conditionalFormatting sqref="J52">
    <cfRule type="cellIs" dxfId="34714" priority="111471" stopIfTrue="1" operator="greaterThanOrEqual">
      <formula>0.5</formula>
    </cfRule>
  </conditionalFormatting>
  <conditionalFormatting sqref="J53">
    <cfRule type="cellIs" dxfId="34713" priority="111472" stopIfTrue="1" operator="equal">
      <formula>-1</formula>
    </cfRule>
  </conditionalFormatting>
  <conditionalFormatting sqref="J53">
    <cfRule type="cellIs" dxfId="34712" priority="111473" stopIfTrue="1" operator="lessThan">
      <formula>0.5</formula>
    </cfRule>
  </conditionalFormatting>
  <conditionalFormatting sqref="J53">
    <cfRule type="cellIs" dxfId="34711" priority="111474" stopIfTrue="1" operator="greaterThanOrEqual">
      <formula>0.5</formula>
    </cfRule>
  </conditionalFormatting>
  <conditionalFormatting sqref="J54">
    <cfRule type="cellIs" dxfId="34710" priority="111475" stopIfTrue="1" operator="equal">
      <formula>-1</formula>
    </cfRule>
  </conditionalFormatting>
  <conditionalFormatting sqref="J54">
    <cfRule type="cellIs" dxfId="34709" priority="111476" stopIfTrue="1" operator="lessThan">
      <formula>0.5</formula>
    </cfRule>
  </conditionalFormatting>
  <conditionalFormatting sqref="J54">
    <cfRule type="cellIs" dxfId="34708" priority="111477" stopIfTrue="1" operator="greaterThanOrEqual">
      <formula>0.5</formula>
    </cfRule>
  </conditionalFormatting>
  <conditionalFormatting sqref="J55">
    <cfRule type="cellIs" dxfId="34707" priority="111478" stopIfTrue="1" operator="equal">
      <formula>-1</formula>
    </cfRule>
  </conditionalFormatting>
  <conditionalFormatting sqref="J55">
    <cfRule type="cellIs" dxfId="34706" priority="111479" stopIfTrue="1" operator="lessThan">
      <formula>0.5</formula>
    </cfRule>
  </conditionalFormatting>
  <conditionalFormatting sqref="J55">
    <cfRule type="cellIs" dxfId="34705" priority="111480" stopIfTrue="1" operator="greaterThanOrEqual">
      <formula>0.5</formula>
    </cfRule>
  </conditionalFormatting>
  <conditionalFormatting sqref="J56">
    <cfRule type="cellIs" dxfId="34704" priority="111481" stopIfTrue="1" operator="equal">
      <formula>-1</formula>
    </cfRule>
  </conditionalFormatting>
  <conditionalFormatting sqref="J56">
    <cfRule type="cellIs" dxfId="34703" priority="111482" stopIfTrue="1" operator="lessThan">
      <formula>0.5</formula>
    </cfRule>
  </conditionalFormatting>
  <conditionalFormatting sqref="J56">
    <cfRule type="cellIs" dxfId="34702" priority="111483" stopIfTrue="1" operator="greaterThanOrEqual">
      <formula>0.5</formula>
    </cfRule>
  </conditionalFormatting>
  <conditionalFormatting sqref="J57">
    <cfRule type="cellIs" dxfId="34701" priority="111484" stopIfTrue="1" operator="equal">
      <formula>-1</formula>
    </cfRule>
  </conditionalFormatting>
  <conditionalFormatting sqref="J57">
    <cfRule type="cellIs" dxfId="34700" priority="111485" stopIfTrue="1" operator="lessThan">
      <formula>0.5</formula>
    </cfRule>
  </conditionalFormatting>
  <conditionalFormatting sqref="J57">
    <cfRule type="cellIs" dxfId="34699" priority="111486" stopIfTrue="1" operator="greaterThanOrEqual">
      <formula>0.5</formula>
    </cfRule>
  </conditionalFormatting>
  <conditionalFormatting sqref="J58">
    <cfRule type="cellIs" dxfId="34698" priority="111487" stopIfTrue="1" operator="equal">
      <formula>-1</formula>
    </cfRule>
  </conditionalFormatting>
  <conditionalFormatting sqref="J58">
    <cfRule type="cellIs" dxfId="34697" priority="111488" stopIfTrue="1" operator="lessThan">
      <formula>0.5</formula>
    </cfRule>
  </conditionalFormatting>
  <conditionalFormatting sqref="J58">
    <cfRule type="cellIs" dxfId="34696" priority="111489" stopIfTrue="1" operator="greaterThanOrEqual">
      <formula>0.5</formula>
    </cfRule>
  </conditionalFormatting>
  <conditionalFormatting sqref="L39">
    <cfRule type="cellIs" dxfId="34695" priority="111490" stopIfTrue="1" operator="equal">
      <formula>-1</formula>
    </cfRule>
  </conditionalFormatting>
  <conditionalFormatting sqref="L39">
    <cfRule type="cellIs" dxfId="34694" priority="111491" stopIfTrue="1" operator="lessThan">
      <formula>0.5</formula>
    </cfRule>
  </conditionalFormatting>
  <conditionalFormatting sqref="L39">
    <cfRule type="cellIs" dxfId="34693" priority="111492" stopIfTrue="1" operator="greaterThanOrEqual">
      <formula>0.5</formula>
    </cfRule>
  </conditionalFormatting>
  <conditionalFormatting sqref="L40">
    <cfRule type="cellIs" dxfId="34692" priority="111493" stopIfTrue="1" operator="equal">
      <formula>-1</formula>
    </cfRule>
  </conditionalFormatting>
  <conditionalFormatting sqref="L40">
    <cfRule type="cellIs" dxfId="34691" priority="111494" stopIfTrue="1" operator="lessThan">
      <formula>0.5</formula>
    </cfRule>
  </conditionalFormatting>
  <conditionalFormatting sqref="L40">
    <cfRule type="cellIs" dxfId="34690" priority="111495" stopIfTrue="1" operator="greaterThanOrEqual">
      <formula>0.5</formula>
    </cfRule>
  </conditionalFormatting>
  <conditionalFormatting sqref="L41">
    <cfRule type="cellIs" dxfId="34689" priority="111496" stopIfTrue="1" operator="equal">
      <formula>-1</formula>
    </cfRule>
  </conditionalFormatting>
  <conditionalFormatting sqref="L41">
    <cfRule type="cellIs" dxfId="34688" priority="111497" stopIfTrue="1" operator="lessThan">
      <formula>0.5</formula>
    </cfRule>
  </conditionalFormatting>
  <conditionalFormatting sqref="L41">
    <cfRule type="cellIs" dxfId="34687" priority="111498" stopIfTrue="1" operator="greaterThanOrEqual">
      <formula>0.5</formula>
    </cfRule>
  </conditionalFormatting>
  <conditionalFormatting sqref="L42">
    <cfRule type="cellIs" dxfId="34686" priority="111499" stopIfTrue="1" operator="equal">
      <formula>-1</formula>
    </cfRule>
  </conditionalFormatting>
  <conditionalFormatting sqref="L42">
    <cfRule type="cellIs" dxfId="34685" priority="111500" stopIfTrue="1" operator="lessThan">
      <formula>0.5</formula>
    </cfRule>
  </conditionalFormatting>
  <conditionalFormatting sqref="L42">
    <cfRule type="cellIs" dxfId="34684" priority="111501" stopIfTrue="1" operator="greaterThanOrEqual">
      <formula>0.5</formula>
    </cfRule>
  </conditionalFormatting>
  <conditionalFormatting sqref="L43">
    <cfRule type="cellIs" dxfId="34683" priority="111502" stopIfTrue="1" operator="equal">
      <formula>-1</formula>
    </cfRule>
  </conditionalFormatting>
  <conditionalFormatting sqref="L43">
    <cfRule type="cellIs" dxfId="34682" priority="111503" stopIfTrue="1" operator="lessThan">
      <formula>0.5</formula>
    </cfRule>
  </conditionalFormatting>
  <conditionalFormatting sqref="L43">
    <cfRule type="cellIs" dxfId="34681" priority="111504" stopIfTrue="1" operator="greaterThanOrEqual">
      <formula>0.5</formula>
    </cfRule>
  </conditionalFormatting>
  <conditionalFormatting sqref="L44">
    <cfRule type="cellIs" dxfId="34680" priority="111505" stopIfTrue="1" operator="equal">
      <formula>-1</formula>
    </cfRule>
  </conditionalFormatting>
  <conditionalFormatting sqref="L44">
    <cfRule type="cellIs" dxfId="34679" priority="111506" stopIfTrue="1" operator="lessThan">
      <formula>0.5</formula>
    </cfRule>
  </conditionalFormatting>
  <conditionalFormatting sqref="L44">
    <cfRule type="cellIs" dxfId="34678" priority="111507" stopIfTrue="1" operator="greaterThanOrEqual">
      <formula>0.5</formula>
    </cfRule>
  </conditionalFormatting>
  <conditionalFormatting sqref="L45">
    <cfRule type="cellIs" dxfId="34677" priority="111508" stopIfTrue="1" operator="equal">
      <formula>-1</formula>
    </cfRule>
  </conditionalFormatting>
  <conditionalFormatting sqref="L45">
    <cfRule type="cellIs" dxfId="34676" priority="111509" stopIfTrue="1" operator="lessThan">
      <formula>0.5</formula>
    </cfRule>
  </conditionalFormatting>
  <conditionalFormatting sqref="L45">
    <cfRule type="cellIs" dxfId="34675" priority="111510" stopIfTrue="1" operator="greaterThanOrEqual">
      <formula>0.5</formula>
    </cfRule>
  </conditionalFormatting>
  <conditionalFormatting sqref="L46">
    <cfRule type="cellIs" dxfId="34674" priority="111511" stopIfTrue="1" operator="equal">
      <formula>-1</formula>
    </cfRule>
  </conditionalFormatting>
  <conditionalFormatting sqref="L46">
    <cfRule type="cellIs" dxfId="34673" priority="111512" stopIfTrue="1" operator="lessThan">
      <formula>0.5</formula>
    </cfRule>
  </conditionalFormatting>
  <conditionalFormatting sqref="L46">
    <cfRule type="cellIs" dxfId="34672" priority="111513" stopIfTrue="1" operator="greaterThanOrEqual">
      <formula>0.5</formula>
    </cfRule>
  </conditionalFormatting>
  <conditionalFormatting sqref="L47">
    <cfRule type="cellIs" dxfId="34671" priority="111514" stopIfTrue="1" operator="equal">
      <formula>-1</formula>
    </cfRule>
  </conditionalFormatting>
  <conditionalFormatting sqref="L47">
    <cfRule type="cellIs" dxfId="34670" priority="111515" stopIfTrue="1" operator="lessThan">
      <formula>0.5</formula>
    </cfRule>
  </conditionalFormatting>
  <conditionalFormatting sqref="L47">
    <cfRule type="cellIs" dxfId="34669" priority="111516" stopIfTrue="1" operator="greaterThanOrEqual">
      <formula>0.5</formula>
    </cfRule>
  </conditionalFormatting>
  <conditionalFormatting sqref="L48">
    <cfRule type="cellIs" dxfId="34668" priority="111517" stopIfTrue="1" operator="equal">
      <formula>-1</formula>
    </cfRule>
  </conditionalFormatting>
  <conditionalFormatting sqref="L48">
    <cfRule type="cellIs" dxfId="34667" priority="111518" stopIfTrue="1" operator="lessThan">
      <formula>0.5</formula>
    </cfRule>
  </conditionalFormatting>
  <conditionalFormatting sqref="L48">
    <cfRule type="cellIs" dxfId="34666" priority="111519" stopIfTrue="1" operator="greaterThanOrEqual">
      <formula>0.5</formula>
    </cfRule>
  </conditionalFormatting>
  <conditionalFormatting sqref="L49">
    <cfRule type="cellIs" dxfId="34665" priority="111520" stopIfTrue="1" operator="equal">
      <formula>-1</formula>
    </cfRule>
  </conditionalFormatting>
  <conditionalFormatting sqref="L49">
    <cfRule type="cellIs" dxfId="34664" priority="111521" stopIfTrue="1" operator="lessThan">
      <formula>0.5</formula>
    </cfRule>
  </conditionalFormatting>
  <conditionalFormatting sqref="L49">
    <cfRule type="cellIs" dxfId="34663" priority="111522" stopIfTrue="1" operator="greaterThanOrEqual">
      <formula>0.5</formula>
    </cfRule>
  </conditionalFormatting>
  <conditionalFormatting sqref="L50">
    <cfRule type="cellIs" dxfId="34662" priority="111523" stopIfTrue="1" operator="equal">
      <formula>-1</formula>
    </cfRule>
  </conditionalFormatting>
  <conditionalFormatting sqref="L50">
    <cfRule type="cellIs" dxfId="34661" priority="111524" stopIfTrue="1" operator="lessThan">
      <formula>0.5</formula>
    </cfRule>
  </conditionalFormatting>
  <conditionalFormatting sqref="L50">
    <cfRule type="cellIs" dxfId="34660" priority="111525" stopIfTrue="1" operator="greaterThanOrEqual">
      <formula>0.5</formula>
    </cfRule>
  </conditionalFormatting>
  <conditionalFormatting sqref="L51">
    <cfRule type="cellIs" dxfId="34659" priority="111526" stopIfTrue="1" operator="equal">
      <formula>-1</formula>
    </cfRule>
  </conditionalFormatting>
  <conditionalFormatting sqref="L51">
    <cfRule type="cellIs" dxfId="34658" priority="111527" stopIfTrue="1" operator="lessThan">
      <formula>0.5</formula>
    </cfRule>
  </conditionalFormatting>
  <conditionalFormatting sqref="L51">
    <cfRule type="cellIs" dxfId="34657" priority="111528" stopIfTrue="1" operator="greaterThanOrEqual">
      <formula>0.5</formula>
    </cfRule>
  </conditionalFormatting>
  <conditionalFormatting sqref="L52">
    <cfRule type="cellIs" dxfId="34656" priority="111529" stopIfTrue="1" operator="equal">
      <formula>-1</formula>
    </cfRule>
  </conditionalFormatting>
  <conditionalFormatting sqref="L52">
    <cfRule type="cellIs" dxfId="34655" priority="111530" stopIfTrue="1" operator="lessThan">
      <formula>0.5</formula>
    </cfRule>
  </conditionalFormatting>
  <conditionalFormatting sqref="L52">
    <cfRule type="cellIs" dxfId="34654" priority="111531" stopIfTrue="1" operator="greaterThanOrEqual">
      <formula>0.5</formula>
    </cfRule>
  </conditionalFormatting>
  <conditionalFormatting sqref="L53">
    <cfRule type="cellIs" dxfId="34653" priority="111532" stopIfTrue="1" operator="equal">
      <formula>-1</formula>
    </cfRule>
  </conditionalFormatting>
  <conditionalFormatting sqref="L53">
    <cfRule type="cellIs" dxfId="34652" priority="111533" stopIfTrue="1" operator="lessThan">
      <formula>0.5</formula>
    </cfRule>
  </conditionalFormatting>
  <conditionalFormatting sqref="L53">
    <cfRule type="cellIs" dxfId="34651" priority="111534" stopIfTrue="1" operator="greaterThanOrEqual">
      <formula>0.5</formula>
    </cfRule>
  </conditionalFormatting>
  <conditionalFormatting sqref="L54">
    <cfRule type="cellIs" dxfId="34650" priority="111535" stopIfTrue="1" operator="equal">
      <formula>-1</formula>
    </cfRule>
  </conditionalFormatting>
  <conditionalFormatting sqref="L54">
    <cfRule type="cellIs" dxfId="34649" priority="111536" stopIfTrue="1" operator="lessThan">
      <formula>0.5</formula>
    </cfRule>
  </conditionalFormatting>
  <conditionalFormatting sqref="L54">
    <cfRule type="cellIs" dxfId="34648" priority="111537" stopIfTrue="1" operator="greaterThanOrEqual">
      <formula>0.5</formula>
    </cfRule>
  </conditionalFormatting>
  <conditionalFormatting sqref="L55">
    <cfRule type="cellIs" dxfId="34647" priority="111538" stopIfTrue="1" operator="equal">
      <formula>-1</formula>
    </cfRule>
  </conditionalFormatting>
  <conditionalFormatting sqref="L55">
    <cfRule type="cellIs" dxfId="34646" priority="111539" stopIfTrue="1" operator="lessThan">
      <formula>0.5</formula>
    </cfRule>
  </conditionalFormatting>
  <conditionalFormatting sqref="L55">
    <cfRule type="cellIs" dxfId="34645" priority="111540" stopIfTrue="1" operator="greaterThanOrEqual">
      <formula>0.5</formula>
    </cfRule>
  </conditionalFormatting>
  <conditionalFormatting sqref="L56">
    <cfRule type="cellIs" dxfId="34644" priority="111541" stopIfTrue="1" operator="equal">
      <formula>-1</formula>
    </cfRule>
  </conditionalFormatting>
  <conditionalFormatting sqref="L56">
    <cfRule type="cellIs" dxfId="34643" priority="111542" stopIfTrue="1" operator="lessThan">
      <formula>0.5</formula>
    </cfRule>
  </conditionalFormatting>
  <conditionalFormatting sqref="L56">
    <cfRule type="cellIs" dxfId="34642" priority="111543" stopIfTrue="1" operator="greaterThanOrEqual">
      <formula>0.5</formula>
    </cfRule>
  </conditionalFormatting>
  <conditionalFormatting sqref="L57">
    <cfRule type="cellIs" dxfId="34641" priority="111544" stopIfTrue="1" operator="equal">
      <formula>-1</formula>
    </cfRule>
  </conditionalFormatting>
  <conditionalFormatting sqref="L57">
    <cfRule type="cellIs" dxfId="34640" priority="111545" stopIfTrue="1" operator="lessThan">
      <formula>0.5</formula>
    </cfRule>
  </conditionalFormatting>
  <conditionalFormatting sqref="L57">
    <cfRule type="cellIs" dxfId="34639" priority="111546" stopIfTrue="1" operator="greaterThanOrEqual">
      <formula>0.5</formula>
    </cfRule>
  </conditionalFormatting>
  <conditionalFormatting sqref="L58">
    <cfRule type="cellIs" dxfId="34638" priority="111547" stopIfTrue="1" operator="equal">
      <formula>-1</formula>
    </cfRule>
  </conditionalFormatting>
  <conditionalFormatting sqref="L58">
    <cfRule type="cellIs" dxfId="34637" priority="111548" stopIfTrue="1" operator="lessThan">
      <formula>0.5</formula>
    </cfRule>
  </conditionalFormatting>
  <conditionalFormatting sqref="L58">
    <cfRule type="cellIs" dxfId="34636" priority="111549" stopIfTrue="1" operator="greaterThanOrEqual">
      <formula>0.5</formula>
    </cfRule>
  </conditionalFormatting>
  <conditionalFormatting sqref="N39">
    <cfRule type="cellIs" dxfId="34635" priority="111550" stopIfTrue="1" operator="equal">
      <formula>-1</formula>
    </cfRule>
  </conditionalFormatting>
  <conditionalFormatting sqref="N39">
    <cfRule type="cellIs" dxfId="34634" priority="111551" stopIfTrue="1" operator="lessThan">
      <formula>0.5</formula>
    </cfRule>
  </conditionalFormatting>
  <conditionalFormatting sqref="N39">
    <cfRule type="cellIs" dxfId="34633" priority="111552" stopIfTrue="1" operator="greaterThanOrEqual">
      <formula>0.5</formula>
    </cfRule>
  </conditionalFormatting>
  <conditionalFormatting sqref="N40">
    <cfRule type="cellIs" dxfId="34632" priority="111553" stopIfTrue="1" operator="equal">
      <formula>-1</formula>
    </cfRule>
  </conditionalFormatting>
  <conditionalFormatting sqref="N40">
    <cfRule type="cellIs" dxfId="34631" priority="111554" stopIfTrue="1" operator="lessThan">
      <formula>0.5</formula>
    </cfRule>
  </conditionalFormatting>
  <conditionalFormatting sqref="N40">
    <cfRule type="cellIs" dxfId="34630" priority="111555" stopIfTrue="1" operator="greaterThanOrEqual">
      <formula>0.5</formula>
    </cfRule>
  </conditionalFormatting>
  <conditionalFormatting sqref="N41">
    <cfRule type="cellIs" dxfId="34629" priority="111556" stopIfTrue="1" operator="equal">
      <formula>-1</formula>
    </cfRule>
  </conditionalFormatting>
  <conditionalFormatting sqref="N41">
    <cfRule type="cellIs" dxfId="34628" priority="111557" stopIfTrue="1" operator="lessThan">
      <formula>0.5</formula>
    </cfRule>
  </conditionalFormatting>
  <conditionalFormatting sqref="N41">
    <cfRule type="cellIs" dxfId="34627" priority="111558" stopIfTrue="1" operator="greaterThanOrEqual">
      <formula>0.5</formula>
    </cfRule>
  </conditionalFormatting>
  <conditionalFormatting sqref="N42">
    <cfRule type="cellIs" dxfId="34626" priority="111559" stopIfTrue="1" operator="equal">
      <formula>-1</formula>
    </cfRule>
  </conditionalFormatting>
  <conditionalFormatting sqref="N42">
    <cfRule type="cellIs" dxfId="34625" priority="111560" stopIfTrue="1" operator="lessThan">
      <formula>0.5</formula>
    </cfRule>
  </conditionalFormatting>
  <conditionalFormatting sqref="N42">
    <cfRule type="cellIs" dxfId="34624" priority="111561" stopIfTrue="1" operator="greaterThanOrEqual">
      <formula>0.5</formula>
    </cfRule>
  </conditionalFormatting>
  <conditionalFormatting sqref="N43">
    <cfRule type="cellIs" dxfId="34623" priority="111562" stopIfTrue="1" operator="equal">
      <formula>-1</formula>
    </cfRule>
  </conditionalFormatting>
  <conditionalFormatting sqref="N43">
    <cfRule type="cellIs" dxfId="34622" priority="111563" stopIfTrue="1" operator="lessThan">
      <formula>0.5</formula>
    </cfRule>
  </conditionalFormatting>
  <conditionalFormatting sqref="N43">
    <cfRule type="cellIs" dxfId="34621" priority="111564" stopIfTrue="1" operator="greaterThanOrEqual">
      <formula>0.5</formula>
    </cfRule>
  </conditionalFormatting>
  <conditionalFormatting sqref="N44">
    <cfRule type="cellIs" dxfId="34620" priority="111565" stopIfTrue="1" operator="equal">
      <formula>-1</formula>
    </cfRule>
  </conditionalFormatting>
  <conditionalFormatting sqref="N44">
    <cfRule type="cellIs" dxfId="34619" priority="111566" stopIfTrue="1" operator="lessThan">
      <formula>0.5</formula>
    </cfRule>
  </conditionalFormatting>
  <conditionalFormatting sqref="N44">
    <cfRule type="cellIs" dxfId="34618" priority="111567" stopIfTrue="1" operator="greaterThanOrEqual">
      <formula>0.5</formula>
    </cfRule>
  </conditionalFormatting>
  <conditionalFormatting sqref="N45">
    <cfRule type="cellIs" dxfId="34617" priority="111568" stopIfTrue="1" operator="equal">
      <formula>-1</formula>
    </cfRule>
  </conditionalFormatting>
  <conditionalFormatting sqref="N45">
    <cfRule type="cellIs" dxfId="34616" priority="111569" stopIfTrue="1" operator="lessThan">
      <formula>0.5</formula>
    </cfRule>
  </conditionalFormatting>
  <conditionalFormatting sqref="N45">
    <cfRule type="cellIs" dxfId="34615" priority="111570" stopIfTrue="1" operator="greaterThanOrEqual">
      <formula>0.5</formula>
    </cfRule>
  </conditionalFormatting>
  <conditionalFormatting sqref="N46">
    <cfRule type="cellIs" dxfId="34614" priority="111571" stopIfTrue="1" operator="equal">
      <formula>-1</formula>
    </cfRule>
  </conditionalFormatting>
  <conditionalFormatting sqref="N46">
    <cfRule type="cellIs" dxfId="34613" priority="111572" stopIfTrue="1" operator="lessThan">
      <formula>0.5</formula>
    </cfRule>
  </conditionalFormatting>
  <conditionalFormatting sqref="N46">
    <cfRule type="cellIs" dxfId="34612" priority="111573" stopIfTrue="1" operator="greaterThanOrEqual">
      <formula>0.5</formula>
    </cfRule>
  </conditionalFormatting>
  <conditionalFormatting sqref="N47">
    <cfRule type="cellIs" dxfId="34611" priority="111574" stopIfTrue="1" operator="equal">
      <formula>-1</formula>
    </cfRule>
  </conditionalFormatting>
  <conditionalFormatting sqref="N47">
    <cfRule type="cellIs" dxfId="34610" priority="111575" stopIfTrue="1" operator="lessThan">
      <formula>0.5</formula>
    </cfRule>
  </conditionalFormatting>
  <conditionalFormatting sqref="N47">
    <cfRule type="cellIs" dxfId="34609" priority="111576" stopIfTrue="1" operator="greaterThanOrEqual">
      <formula>0.5</formula>
    </cfRule>
  </conditionalFormatting>
  <conditionalFormatting sqref="N48">
    <cfRule type="cellIs" dxfId="34608" priority="111577" stopIfTrue="1" operator="equal">
      <formula>-1</formula>
    </cfRule>
  </conditionalFormatting>
  <conditionalFormatting sqref="N48">
    <cfRule type="cellIs" dxfId="34607" priority="111578" stopIfTrue="1" operator="lessThan">
      <formula>0.5</formula>
    </cfRule>
  </conditionalFormatting>
  <conditionalFormatting sqref="N48">
    <cfRule type="cellIs" dxfId="34606" priority="111579" stopIfTrue="1" operator="greaterThanOrEqual">
      <formula>0.5</formula>
    </cfRule>
  </conditionalFormatting>
  <conditionalFormatting sqref="N49">
    <cfRule type="cellIs" dxfId="34605" priority="111580" stopIfTrue="1" operator="equal">
      <formula>-1</formula>
    </cfRule>
  </conditionalFormatting>
  <conditionalFormatting sqref="N49">
    <cfRule type="cellIs" dxfId="34604" priority="111581" stopIfTrue="1" operator="lessThan">
      <formula>0.5</formula>
    </cfRule>
  </conditionalFormatting>
  <conditionalFormatting sqref="N49">
    <cfRule type="cellIs" dxfId="34603" priority="111582" stopIfTrue="1" operator="greaterThanOrEqual">
      <formula>0.5</formula>
    </cfRule>
  </conditionalFormatting>
  <conditionalFormatting sqref="N50">
    <cfRule type="cellIs" dxfId="34602" priority="111583" stopIfTrue="1" operator="equal">
      <formula>-1</formula>
    </cfRule>
  </conditionalFormatting>
  <conditionalFormatting sqref="N50">
    <cfRule type="cellIs" dxfId="34601" priority="111584" stopIfTrue="1" operator="lessThan">
      <formula>0.5</formula>
    </cfRule>
  </conditionalFormatting>
  <conditionalFormatting sqref="N50">
    <cfRule type="cellIs" dxfId="34600" priority="111585" stopIfTrue="1" operator="greaterThanOrEqual">
      <formula>0.5</formula>
    </cfRule>
  </conditionalFormatting>
  <conditionalFormatting sqref="N51">
    <cfRule type="cellIs" dxfId="34599" priority="111586" stopIfTrue="1" operator="equal">
      <formula>-1</formula>
    </cfRule>
  </conditionalFormatting>
  <conditionalFormatting sqref="N51">
    <cfRule type="cellIs" dxfId="34598" priority="111587" stopIfTrue="1" operator="lessThan">
      <formula>0.5</formula>
    </cfRule>
  </conditionalFormatting>
  <conditionalFormatting sqref="N51">
    <cfRule type="cellIs" dxfId="34597" priority="111588" stopIfTrue="1" operator="greaterThanOrEqual">
      <formula>0.5</formula>
    </cfRule>
  </conditionalFormatting>
  <conditionalFormatting sqref="N52">
    <cfRule type="cellIs" dxfId="34596" priority="111589" stopIfTrue="1" operator="equal">
      <formula>-1</formula>
    </cfRule>
  </conditionalFormatting>
  <conditionalFormatting sqref="N52">
    <cfRule type="cellIs" dxfId="34595" priority="111590" stopIfTrue="1" operator="lessThan">
      <formula>0.5</formula>
    </cfRule>
  </conditionalFormatting>
  <conditionalFormatting sqref="N52">
    <cfRule type="cellIs" dxfId="34594" priority="111591" stopIfTrue="1" operator="greaterThanOrEqual">
      <formula>0.5</formula>
    </cfRule>
  </conditionalFormatting>
  <conditionalFormatting sqref="N53">
    <cfRule type="cellIs" dxfId="34593" priority="111592" stopIfTrue="1" operator="equal">
      <formula>-1</formula>
    </cfRule>
  </conditionalFormatting>
  <conditionalFormatting sqref="N53">
    <cfRule type="cellIs" dxfId="34592" priority="111593" stopIfTrue="1" operator="lessThan">
      <formula>0.5</formula>
    </cfRule>
  </conditionalFormatting>
  <conditionalFormatting sqref="N53">
    <cfRule type="cellIs" dxfId="34591" priority="111594" stopIfTrue="1" operator="greaterThanOrEqual">
      <formula>0.5</formula>
    </cfRule>
  </conditionalFormatting>
  <conditionalFormatting sqref="N54">
    <cfRule type="cellIs" dxfId="34590" priority="111595" stopIfTrue="1" operator="equal">
      <formula>-1</formula>
    </cfRule>
  </conditionalFormatting>
  <conditionalFormatting sqref="N54">
    <cfRule type="cellIs" dxfId="34589" priority="111596" stopIfTrue="1" operator="lessThan">
      <formula>0.5</formula>
    </cfRule>
  </conditionalFormatting>
  <conditionalFormatting sqref="N54">
    <cfRule type="cellIs" dxfId="34588" priority="111597" stopIfTrue="1" operator="greaterThanOrEqual">
      <formula>0.5</formula>
    </cfRule>
  </conditionalFormatting>
  <conditionalFormatting sqref="N55">
    <cfRule type="cellIs" dxfId="34587" priority="111598" stopIfTrue="1" operator="equal">
      <formula>-1</formula>
    </cfRule>
  </conditionalFormatting>
  <conditionalFormatting sqref="N55">
    <cfRule type="cellIs" dxfId="34586" priority="111599" stopIfTrue="1" operator="lessThan">
      <formula>0.5</formula>
    </cfRule>
  </conditionalFormatting>
  <conditionalFormatting sqref="N55">
    <cfRule type="cellIs" dxfId="34585" priority="111600" stopIfTrue="1" operator="greaterThanOrEqual">
      <formula>0.5</formula>
    </cfRule>
  </conditionalFormatting>
  <conditionalFormatting sqref="N56">
    <cfRule type="cellIs" dxfId="34584" priority="111601" stopIfTrue="1" operator="equal">
      <formula>-1</formula>
    </cfRule>
  </conditionalFormatting>
  <conditionalFormatting sqref="N56">
    <cfRule type="cellIs" dxfId="34583" priority="111602" stopIfTrue="1" operator="lessThan">
      <formula>0.5</formula>
    </cfRule>
  </conditionalFormatting>
  <conditionalFormatting sqref="N56">
    <cfRule type="cellIs" dxfId="34582" priority="111603" stopIfTrue="1" operator="greaterThanOrEqual">
      <formula>0.5</formula>
    </cfRule>
  </conditionalFormatting>
  <conditionalFormatting sqref="N57">
    <cfRule type="cellIs" dxfId="34581" priority="111604" stopIfTrue="1" operator="equal">
      <formula>-1</formula>
    </cfRule>
  </conditionalFormatting>
  <conditionalFormatting sqref="N57">
    <cfRule type="cellIs" dxfId="34580" priority="111605" stopIfTrue="1" operator="lessThan">
      <formula>0.5</formula>
    </cfRule>
  </conditionalFormatting>
  <conditionalFormatting sqref="N57">
    <cfRule type="cellIs" dxfId="34579" priority="111606" stopIfTrue="1" operator="greaterThanOrEqual">
      <formula>0.5</formula>
    </cfRule>
  </conditionalFormatting>
  <conditionalFormatting sqref="N58">
    <cfRule type="cellIs" dxfId="34578" priority="111607" stopIfTrue="1" operator="equal">
      <formula>-1</formula>
    </cfRule>
  </conditionalFormatting>
  <conditionalFormatting sqref="N58">
    <cfRule type="cellIs" dxfId="34577" priority="111608" stopIfTrue="1" operator="lessThan">
      <formula>0.5</formula>
    </cfRule>
  </conditionalFormatting>
  <conditionalFormatting sqref="N58">
    <cfRule type="cellIs" dxfId="34576" priority="111609" stopIfTrue="1" operator="greaterThanOrEqual">
      <formula>0.5</formula>
    </cfRule>
  </conditionalFormatting>
  <conditionalFormatting sqref="P39">
    <cfRule type="cellIs" dxfId="34575" priority="111610" stopIfTrue="1" operator="equal">
      <formula>-1</formula>
    </cfRule>
  </conditionalFormatting>
  <conditionalFormatting sqref="P39">
    <cfRule type="cellIs" dxfId="34574" priority="111611" stopIfTrue="1" operator="lessThan">
      <formula>0.5</formula>
    </cfRule>
  </conditionalFormatting>
  <conditionalFormatting sqref="P39">
    <cfRule type="cellIs" dxfId="34573" priority="111612" stopIfTrue="1" operator="greaterThanOrEqual">
      <formula>0.5</formula>
    </cfRule>
  </conditionalFormatting>
  <conditionalFormatting sqref="P40">
    <cfRule type="cellIs" dxfId="34572" priority="111613" stopIfTrue="1" operator="equal">
      <formula>-1</formula>
    </cfRule>
  </conditionalFormatting>
  <conditionalFormatting sqref="P40">
    <cfRule type="cellIs" dxfId="34571" priority="111614" stopIfTrue="1" operator="lessThan">
      <formula>0.5</formula>
    </cfRule>
  </conditionalFormatting>
  <conditionalFormatting sqref="P40">
    <cfRule type="cellIs" dxfId="34570" priority="111615" stopIfTrue="1" operator="greaterThanOrEqual">
      <formula>0.5</formula>
    </cfRule>
  </conditionalFormatting>
  <conditionalFormatting sqref="P41">
    <cfRule type="cellIs" dxfId="34569" priority="111616" stopIfTrue="1" operator="equal">
      <formula>-1</formula>
    </cfRule>
  </conditionalFormatting>
  <conditionalFormatting sqref="P41">
    <cfRule type="cellIs" dxfId="34568" priority="111617" stopIfTrue="1" operator="lessThan">
      <formula>0.5</formula>
    </cfRule>
  </conditionalFormatting>
  <conditionalFormatting sqref="P41">
    <cfRule type="cellIs" dxfId="34567" priority="111618" stopIfTrue="1" operator="greaterThanOrEqual">
      <formula>0.5</formula>
    </cfRule>
  </conditionalFormatting>
  <conditionalFormatting sqref="P42">
    <cfRule type="cellIs" dxfId="34566" priority="111619" stopIfTrue="1" operator="equal">
      <formula>-1</formula>
    </cfRule>
  </conditionalFormatting>
  <conditionalFormatting sqref="P42">
    <cfRule type="cellIs" dxfId="34565" priority="111620" stopIfTrue="1" operator="lessThan">
      <formula>0.5</formula>
    </cfRule>
  </conditionalFormatting>
  <conditionalFormatting sqref="P42">
    <cfRule type="cellIs" dxfId="34564" priority="111621" stopIfTrue="1" operator="greaterThanOrEqual">
      <formula>0.5</formula>
    </cfRule>
  </conditionalFormatting>
  <conditionalFormatting sqref="P43">
    <cfRule type="cellIs" dxfId="34563" priority="111622" stopIfTrue="1" operator="equal">
      <formula>-1</formula>
    </cfRule>
  </conditionalFormatting>
  <conditionalFormatting sqref="P43">
    <cfRule type="cellIs" dxfId="34562" priority="111623" stopIfTrue="1" operator="lessThan">
      <formula>0.5</formula>
    </cfRule>
  </conditionalFormatting>
  <conditionalFormatting sqref="P43">
    <cfRule type="cellIs" dxfId="34561" priority="111624" stopIfTrue="1" operator="greaterThanOrEqual">
      <formula>0.5</formula>
    </cfRule>
  </conditionalFormatting>
  <conditionalFormatting sqref="P44">
    <cfRule type="cellIs" dxfId="34560" priority="111625" stopIfTrue="1" operator="equal">
      <formula>-1</formula>
    </cfRule>
  </conditionalFormatting>
  <conditionalFormatting sqref="P44">
    <cfRule type="cellIs" dxfId="34559" priority="111626" stopIfTrue="1" operator="lessThan">
      <formula>0.5</formula>
    </cfRule>
  </conditionalFormatting>
  <conditionalFormatting sqref="P44">
    <cfRule type="cellIs" dxfId="34558" priority="111627" stopIfTrue="1" operator="greaterThanOrEqual">
      <formula>0.5</formula>
    </cfRule>
  </conditionalFormatting>
  <conditionalFormatting sqref="P45">
    <cfRule type="cellIs" dxfId="34557" priority="111628" stopIfTrue="1" operator="equal">
      <formula>-1</formula>
    </cfRule>
  </conditionalFormatting>
  <conditionalFormatting sqref="P45">
    <cfRule type="cellIs" dxfId="34556" priority="111629" stopIfTrue="1" operator="lessThan">
      <formula>0.5</formula>
    </cfRule>
  </conditionalFormatting>
  <conditionalFormatting sqref="P45">
    <cfRule type="cellIs" dxfId="34555" priority="111630" stopIfTrue="1" operator="greaterThanOrEqual">
      <formula>0.5</formula>
    </cfRule>
  </conditionalFormatting>
  <conditionalFormatting sqref="P46">
    <cfRule type="cellIs" dxfId="34554" priority="111631" stopIfTrue="1" operator="equal">
      <formula>-1</formula>
    </cfRule>
  </conditionalFormatting>
  <conditionalFormatting sqref="P46">
    <cfRule type="cellIs" dxfId="34553" priority="111632" stopIfTrue="1" operator="lessThan">
      <formula>0.5</formula>
    </cfRule>
  </conditionalFormatting>
  <conditionalFormatting sqref="P46">
    <cfRule type="cellIs" dxfId="34552" priority="111633" stopIfTrue="1" operator="greaterThanOrEqual">
      <formula>0.5</formula>
    </cfRule>
  </conditionalFormatting>
  <conditionalFormatting sqref="P47">
    <cfRule type="cellIs" dxfId="34551" priority="111634" stopIfTrue="1" operator="equal">
      <formula>-1</formula>
    </cfRule>
  </conditionalFormatting>
  <conditionalFormatting sqref="P47">
    <cfRule type="cellIs" dxfId="34550" priority="111635" stopIfTrue="1" operator="lessThan">
      <formula>0.5</formula>
    </cfRule>
  </conditionalFormatting>
  <conditionalFormatting sqref="P47">
    <cfRule type="cellIs" dxfId="34549" priority="111636" stopIfTrue="1" operator="greaterThanOrEqual">
      <formula>0.5</formula>
    </cfRule>
  </conditionalFormatting>
  <conditionalFormatting sqref="P48">
    <cfRule type="cellIs" dxfId="34548" priority="111637" stopIfTrue="1" operator="equal">
      <formula>-1</formula>
    </cfRule>
  </conditionalFormatting>
  <conditionalFormatting sqref="P48">
    <cfRule type="cellIs" dxfId="34547" priority="111638" stopIfTrue="1" operator="lessThan">
      <formula>0.5</formula>
    </cfRule>
  </conditionalFormatting>
  <conditionalFormatting sqref="P48">
    <cfRule type="cellIs" dxfId="34546" priority="111639" stopIfTrue="1" operator="greaterThanOrEqual">
      <formula>0.5</formula>
    </cfRule>
  </conditionalFormatting>
  <conditionalFormatting sqref="P49">
    <cfRule type="cellIs" dxfId="34545" priority="111640" stopIfTrue="1" operator="equal">
      <formula>-1</formula>
    </cfRule>
  </conditionalFormatting>
  <conditionalFormatting sqref="P49">
    <cfRule type="cellIs" dxfId="34544" priority="111641" stopIfTrue="1" operator="lessThan">
      <formula>0.5</formula>
    </cfRule>
  </conditionalFormatting>
  <conditionalFormatting sqref="P49">
    <cfRule type="cellIs" dxfId="34543" priority="111642" stopIfTrue="1" operator="greaterThanOrEqual">
      <formula>0.5</formula>
    </cfRule>
  </conditionalFormatting>
  <conditionalFormatting sqref="P50">
    <cfRule type="cellIs" dxfId="34542" priority="111643" stopIfTrue="1" operator="equal">
      <formula>-1</formula>
    </cfRule>
  </conditionalFormatting>
  <conditionalFormatting sqref="P50">
    <cfRule type="cellIs" dxfId="34541" priority="111644" stopIfTrue="1" operator="lessThan">
      <formula>0.5</formula>
    </cfRule>
  </conditionalFormatting>
  <conditionalFormatting sqref="P50">
    <cfRule type="cellIs" dxfId="34540" priority="111645" stopIfTrue="1" operator="greaterThanOrEqual">
      <formula>0.5</formula>
    </cfRule>
  </conditionalFormatting>
  <conditionalFormatting sqref="P51">
    <cfRule type="cellIs" dxfId="34539" priority="111646" stopIfTrue="1" operator="equal">
      <formula>-1</formula>
    </cfRule>
  </conditionalFormatting>
  <conditionalFormatting sqref="P51">
    <cfRule type="cellIs" dxfId="34538" priority="111647" stopIfTrue="1" operator="lessThan">
      <formula>0.5</formula>
    </cfRule>
  </conditionalFormatting>
  <conditionalFormatting sqref="P51">
    <cfRule type="cellIs" dxfId="34537" priority="111648" stopIfTrue="1" operator="greaterThanOrEqual">
      <formula>0.5</formula>
    </cfRule>
  </conditionalFormatting>
  <conditionalFormatting sqref="P52">
    <cfRule type="cellIs" dxfId="34536" priority="111649" stopIfTrue="1" operator="equal">
      <formula>-1</formula>
    </cfRule>
  </conditionalFormatting>
  <conditionalFormatting sqref="P52">
    <cfRule type="cellIs" dxfId="34535" priority="111650" stopIfTrue="1" operator="lessThan">
      <formula>0.5</formula>
    </cfRule>
  </conditionalFormatting>
  <conditionalFormatting sqref="P52">
    <cfRule type="cellIs" dxfId="34534" priority="111651" stopIfTrue="1" operator="greaterThanOrEqual">
      <formula>0.5</formula>
    </cfRule>
  </conditionalFormatting>
  <conditionalFormatting sqref="P53">
    <cfRule type="cellIs" dxfId="34533" priority="111652" stopIfTrue="1" operator="equal">
      <formula>-1</formula>
    </cfRule>
  </conditionalFormatting>
  <conditionalFormatting sqref="P53">
    <cfRule type="cellIs" dxfId="34532" priority="111653" stopIfTrue="1" operator="lessThan">
      <formula>0.5</formula>
    </cfRule>
  </conditionalFormatting>
  <conditionalFormatting sqref="P53">
    <cfRule type="cellIs" dxfId="34531" priority="111654" stopIfTrue="1" operator="greaterThanOrEqual">
      <formula>0.5</formula>
    </cfRule>
  </conditionalFormatting>
  <conditionalFormatting sqref="P54">
    <cfRule type="cellIs" dxfId="34530" priority="111655" stopIfTrue="1" operator="equal">
      <formula>-1</formula>
    </cfRule>
  </conditionalFormatting>
  <conditionalFormatting sqref="P54">
    <cfRule type="cellIs" dxfId="34529" priority="111656" stopIfTrue="1" operator="lessThan">
      <formula>0.5</formula>
    </cfRule>
  </conditionalFormatting>
  <conditionalFormatting sqref="P54">
    <cfRule type="cellIs" dxfId="34528" priority="111657" stopIfTrue="1" operator="greaterThanOrEqual">
      <formula>0.5</formula>
    </cfRule>
  </conditionalFormatting>
  <conditionalFormatting sqref="P55">
    <cfRule type="cellIs" dxfId="34527" priority="111658" stopIfTrue="1" operator="equal">
      <formula>-1</formula>
    </cfRule>
  </conditionalFormatting>
  <conditionalFormatting sqref="P55">
    <cfRule type="cellIs" dxfId="34526" priority="111659" stopIfTrue="1" operator="lessThan">
      <formula>0.5</formula>
    </cfRule>
  </conditionalFormatting>
  <conditionalFormatting sqref="P55">
    <cfRule type="cellIs" dxfId="34525" priority="111660" stopIfTrue="1" operator="greaterThanOrEqual">
      <formula>0.5</formula>
    </cfRule>
  </conditionalFormatting>
  <conditionalFormatting sqref="P56">
    <cfRule type="cellIs" dxfId="34524" priority="111661" stopIfTrue="1" operator="equal">
      <formula>-1</formula>
    </cfRule>
  </conditionalFormatting>
  <conditionalFormatting sqref="P56">
    <cfRule type="cellIs" dxfId="34523" priority="111662" stopIfTrue="1" operator="lessThan">
      <formula>0.5</formula>
    </cfRule>
  </conditionalFormatting>
  <conditionalFormatting sqref="P56">
    <cfRule type="cellIs" dxfId="34522" priority="111663" stopIfTrue="1" operator="greaterThanOrEqual">
      <formula>0.5</formula>
    </cfRule>
  </conditionalFormatting>
  <conditionalFormatting sqref="P57">
    <cfRule type="cellIs" dxfId="34521" priority="111664" stopIfTrue="1" operator="equal">
      <formula>-1</formula>
    </cfRule>
  </conditionalFormatting>
  <conditionalFormatting sqref="P57">
    <cfRule type="cellIs" dxfId="34520" priority="111665" stopIfTrue="1" operator="lessThan">
      <formula>0.5</formula>
    </cfRule>
  </conditionalFormatting>
  <conditionalFormatting sqref="P57">
    <cfRule type="cellIs" dxfId="34519" priority="111666" stopIfTrue="1" operator="greaterThanOrEqual">
      <formula>0.5</formula>
    </cfRule>
  </conditionalFormatting>
  <conditionalFormatting sqref="P58">
    <cfRule type="cellIs" dxfId="34518" priority="111667" stopIfTrue="1" operator="equal">
      <formula>-1</formula>
    </cfRule>
  </conditionalFormatting>
  <conditionalFormatting sqref="P58">
    <cfRule type="cellIs" dxfId="34517" priority="111668" stopIfTrue="1" operator="lessThan">
      <formula>0.5</formula>
    </cfRule>
  </conditionalFormatting>
  <conditionalFormatting sqref="P58">
    <cfRule type="cellIs" dxfId="34516" priority="111669" stopIfTrue="1" operator="greaterThanOrEqual">
      <formula>0.5</formula>
    </cfRule>
  </conditionalFormatting>
  <conditionalFormatting sqref="R39">
    <cfRule type="cellIs" dxfId="34515" priority="111670" stopIfTrue="1" operator="equal">
      <formula>-1</formula>
    </cfRule>
  </conditionalFormatting>
  <conditionalFormatting sqref="R39">
    <cfRule type="cellIs" dxfId="34514" priority="111671" stopIfTrue="1" operator="lessThan">
      <formula>0.5</formula>
    </cfRule>
  </conditionalFormatting>
  <conditionalFormatting sqref="R39">
    <cfRule type="cellIs" dxfId="34513" priority="111672" stopIfTrue="1" operator="greaterThanOrEqual">
      <formula>0.5</formula>
    </cfRule>
  </conditionalFormatting>
  <conditionalFormatting sqref="R40">
    <cfRule type="cellIs" dxfId="34512" priority="111673" stopIfTrue="1" operator="equal">
      <formula>-1</formula>
    </cfRule>
  </conditionalFormatting>
  <conditionalFormatting sqref="R40">
    <cfRule type="cellIs" dxfId="34511" priority="111674" stopIfTrue="1" operator="lessThan">
      <formula>0.5</formula>
    </cfRule>
  </conditionalFormatting>
  <conditionalFormatting sqref="R40">
    <cfRule type="cellIs" dxfId="34510" priority="111675" stopIfTrue="1" operator="greaterThanOrEqual">
      <formula>0.5</formula>
    </cfRule>
  </conditionalFormatting>
  <conditionalFormatting sqref="R41">
    <cfRule type="cellIs" dxfId="34509" priority="111676" stopIfTrue="1" operator="equal">
      <formula>-1</formula>
    </cfRule>
  </conditionalFormatting>
  <conditionalFormatting sqref="R41">
    <cfRule type="cellIs" dxfId="34508" priority="111677" stopIfTrue="1" operator="lessThan">
      <formula>0.5</formula>
    </cfRule>
  </conditionalFormatting>
  <conditionalFormatting sqref="R41">
    <cfRule type="cellIs" dxfId="34507" priority="111678" stopIfTrue="1" operator="greaterThanOrEqual">
      <formula>0.5</formula>
    </cfRule>
  </conditionalFormatting>
  <conditionalFormatting sqref="R42">
    <cfRule type="cellIs" dxfId="34506" priority="111679" stopIfTrue="1" operator="equal">
      <formula>-1</formula>
    </cfRule>
  </conditionalFormatting>
  <conditionalFormatting sqref="R42">
    <cfRule type="cellIs" dxfId="34505" priority="111680" stopIfTrue="1" operator="lessThan">
      <formula>0.5</formula>
    </cfRule>
  </conditionalFormatting>
  <conditionalFormatting sqref="R42">
    <cfRule type="cellIs" dxfId="34504" priority="111681" stopIfTrue="1" operator="greaterThanOrEqual">
      <formula>0.5</formula>
    </cfRule>
  </conditionalFormatting>
  <conditionalFormatting sqref="R43">
    <cfRule type="cellIs" dxfId="34503" priority="111682" stopIfTrue="1" operator="equal">
      <formula>-1</formula>
    </cfRule>
  </conditionalFormatting>
  <conditionalFormatting sqref="R43">
    <cfRule type="cellIs" dxfId="34502" priority="111683" stopIfTrue="1" operator="lessThan">
      <formula>0.5</formula>
    </cfRule>
  </conditionalFormatting>
  <conditionalFormatting sqref="R43">
    <cfRule type="cellIs" dxfId="34501" priority="111684" stopIfTrue="1" operator="greaterThanOrEqual">
      <formula>0.5</formula>
    </cfRule>
  </conditionalFormatting>
  <conditionalFormatting sqref="R44">
    <cfRule type="cellIs" dxfId="34500" priority="111685" stopIfTrue="1" operator="equal">
      <formula>-1</formula>
    </cfRule>
  </conditionalFormatting>
  <conditionalFormatting sqref="R44">
    <cfRule type="cellIs" dxfId="34499" priority="111686" stopIfTrue="1" operator="lessThan">
      <formula>0.5</formula>
    </cfRule>
  </conditionalFormatting>
  <conditionalFormatting sqref="R44">
    <cfRule type="cellIs" dxfId="34498" priority="111687" stopIfTrue="1" operator="greaterThanOrEqual">
      <formula>0.5</formula>
    </cfRule>
  </conditionalFormatting>
  <conditionalFormatting sqref="R45">
    <cfRule type="cellIs" dxfId="34497" priority="111688" stopIfTrue="1" operator="equal">
      <formula>-1</formula>
    </cfRule>
  </conditionalFormatting>
  <conditionalFormatting sqref="R45">
    <cfRule type="cellIs" dxfId="34496" priority="111689" stopIfTrue="1" operator="lessThan">
      <formula>0.5</formula>
    </cfRule>
  </conditionalFormatting>
  <conditionalFormatting sqref="R45">
    <cfRule type="cellIs" dxfId="34495" priority="111690" stopIfTrue="1" operator="greaterThanOrEqual">
      <formula>0.5</formula>
    </cfRule>
  </conditionalFormatting>
  <conditionalFormatting sqref="R46">
    <cfRule type="cellIs" dxfId="34494" priority="111691" stopIfTrue="1" operator="equal">
      <formula>-1</formula>
    </cfRule>
  </conditionalFormatting>
  <conditionalFormatting sqref="R46">
    <cfRule type="cellIs" dxfId="34493" priority="111692" stopIfTrue="1" operator="lessThan">
      <formula>0.5</formula>
    </cfRule>
  </conditionalFormatting>
  <conditionalFormatting sqref="R46">
    <cfRule type="cellIs" dxfId="34492" priority="111693" stopIfTrue="1" operator="greaterThanOrEqual">
      <formula>0.5</formula>
    </cfRule>
  </conditionalFormatting>
  <conditionalFormatting sqref="R47">
    <cfRule type="cellIs" dxfId="34491" priority="111694" stopIfTrue="1" operator="equal">
      <formula>-1</formula>
    </cfRule>
  </conditionalFormatting>
  <conditionalFormatting sqref="R47">
    <cfRule type="cellIs" dxfId="34490" priority="111695" stopIfTrue="1" operator="lessThan">
      <formula>0.5</formula>
    </cfRule>
  </conditionalFormatting>
  <conditionalFormatting sqref="R47">
    <cfRule type="cellIs" dxfId="34489" priority="111696" stopIfTrue="1" operator="greaterThanOrEqual">
      <formula>0.5</formula>
    </cfRule>
  </conditionalFormatting>
  <conditionalFormatting sqref="R48">
    <cfRule type="cellIs" dxfId="34488" priority="111697" stopIfTrue="1" operator="equal">
      <formula>-1</formula>
    </cfRule>
  </conditionalFormatting>
  <conditionalFormatting sqref="R48">
    <cfRule type="cellIs" dxfId="34487" priority="111698" stopIfTrue="1" operator="lessThan">
      <formula>0.5</formula>
    </cfRule>
  </conditionalFormatting>
  <conditionalFormatting sqref="R48">
    <cfRule type="cellIs" dxfId="34486" priority="111699" stopIfTrue="1" operator="greaterThanOrEqual">
      <formula>0.5</formula>
    </cfRule>
  </conditionalFormatting>
  <conditionalFormatting sqref="R49">
    <cfRule type="cellIs" dxfId="34485" priority="111700" stopIfTrue="1" operator="equal">
      <formula>-1</formula>
    </cfRule>
  </conditionalFormatting>
  <conditionalFormatting sqref="R49">
    <cfRule type="cellIs" dxfId="34484" priority="111701" stopIfTrue="1" operator="lessThan">
      <formula>0.5</formula>
    </cfRule>
  </conditionalFormatting>
  <conditionalFormatting sqref="R49">
    <cfRule type="cellIs" dxfId="34483" priority="111702" stopIfTrue="1" operator="greaterThanOrEqual">
      <formula>0.5</formula>
    </cfRule>
  </conditionalFormatting>
  <conditionalFormatting sqref="R50">
    <cfRule type="cellIs" dxfId="34482" priority="111703" stopIfTrue="1" operator="equal">
      <formula>-1</formula>
    </cfRule>
  </conditionalFormatting>
  <conditionalFormatting sqref="R50">
    <cfRule type="cellIs" dxfId="34481" priority="111704" stopIfTrue="1" operator="lessThan">
      <formula>0.5</formula>
    </cfRule>
  </conditionalFormatting>
  <conditionalFormatting sqref="R50">
    <cfRule type="cellIs" dxfId="34480" priority="111705" stopIfTrue="1" operator="greaterThanOrEqual">
      <formula>0.5</formula>
    </cfRule>
  </conditionalFormatting>
  <conditionalFormatting sqref="R51">
    <cfRule type="cellIs" dxfId="34479" priority="111706" stopIfTrue="1" operator="equal">
      <formula>-1</formula>
    </cfRule>
  </conditionalFormatting>
  <conditionalFormatting sqref="R51">
    <cfRule type="cellIs" dxfId="34478" priority="111707" stopIfTrue="1" operator="lessThan">
      <formula>0.5</formula>
    </cfRule>
  </conditionalFormatting>
  <conditionalFormatting sqref="R51">
    <cfRule type="cellIs" dxfId="34477" priority="111708" stopIfTrue="1" operator="greaterThanOrEqual">
      <formula>0.5</formula>
    </cfRule>
  </conditionalFormatting>
  <conditionalFormatting sqref="R52">
    <cfRule type="cellIs" dxfId="34476" priority="111709" stopIfTrue="1" operator="equal">
      <formula>-1</formula>
    </cfRule>
  </conditionalFormatting>
  <conditionalFormatting sqref="R52">
    <cfRule type="cellIs" dxfId="34475" priority="111710" stopIfTrue="1" operator="lessThan">
      <formula>0.5</formula>
    </cfRule>
  </conditionalFormatting>
  <conditionalFormatting sqref="R52">
    <cfRule type="cellIs" dxfId="34474" priority="111711" stopIfTrue="1" operator="greaterThanOrEqual">
      <formula>0.5</formula>
    </cfRule>
  </conditionalFormatting>
  <conditionalFormatting sqref="R53">
    <cfRule type="cellIs" dxfId="34473" priority="111712" stopIfTrue="1" operator="equal">
      <formula>-1</formula>
    </cfRule>
  </conditionalFormatting>
  <conditionalFormatting sqref="R53">
    <cfRule type="cellIs" dxfId="34472" priority="111713" stopIfTrue="1" operator="lessThan">
      <formula>0.5</formula>
    </cfRule>
  </conditionalFormatting>
  <conditionalFormatting sqref="R53">
    <cfRule type="cellIs" dxfId="34471" priority="111714" stopIfTrue="1" operator="greaterThanOrEqual">
      <formula>0.5</formula>
    </cfRule>
  </conditionalFormatting>
  <conditionalFormatting sqref="R54">
    <cfRule type="cellIs" dxfId="34470" priority="111715" stopIfTrue="1" operator="equal">
      <formula>-1</formula>
    </cfRule>
  </conditionalFormatting>
  <conditionalFormatting sqref="R54">
    <cfRule type="cellIs" dxfId="34469" priority="111716" stopIfTrue="1" operator="lessThan">
      <formula>0.5</formula>
    </cfRule>
  </conditionalFormatting>
  <conditionalFormatting sqref="R54">
    <cfRule type="cellIs" dxfId="34468" priority="111717" stopIfTrue="1" operator="greaterThanOrEqual">
      <formula>0.5</formula>
    </cfRule>
  </conditionalFormatting>
  <conditionalFormatting sqref="R55">
    <cfRule type="cellIs" dxfId="34467" priority="111718" stopIfTrue="1" operator="equal">
      <formula>-1</formula>
    </cfRule>
  </conditionalFormatting>
  <conditionalFormatting sqref="R55">
    <cfRule type="cellIs" dxfId="34466" priority="111719" stopIfTrue="1" operator="lessThan">
      <formula>0.5</formula>
    </cfRule>
  </conditionalFormatting>
  <conditionalFormatting sqref="R55">
    <cfRule type="cellIs" dxfId="34465" priority="111720" stopIfTrue="1" operator="greaterThanOrEqual">
      <formula>0.5</formula>
    </cfRule>
  </conditionalFormatting>
  <conditionalFormatting sqref="R56">
    <cfRule type="cellIs" dxfId="34464" priority="111721" stopIfTrue="1" operator="equal">
      <formula>-1</formula>
    </cfRule>
  </conditionalFormatting>
  <conditionalFormatting sqref="R56">
    <cfRule type="cellIs" dxfId="34463" priority="111722" stopIfTrue="1" operator="lessThan">
      <formula>0.5</formula>
    </cfRule>
  </conditionalFormatting>
  <conditionalFormatting sqref="R56">
    <cfRule type="cellIs" dxfId="34462" priority="111723" stopIfTrue="1" operator="greaterThanOrEqual">
      <formula>0.5</formula>
    </cfRule>
  </conditionalFormatting>
  <conditionalFormatting sqref="R57">
    <cfRule type="cellIs" dxfId="34461" priority="111724" stopIfTrue="1" operator="equal">
      <formula>-1</formula>
    </cfRule>
  </conditionalFormatting>
  <conditionalFormatting sqref="R57">
    <cfRule type="cellIs" dxfId="34460" priority="111725" stopIfTrue="1" operator="lessThan">
      <formula>0.5</formula>
    </cfRule>
  </conditionalFormatting>
  <conditionalFormatting sqref="R57">
    <cfRule type="cellIs" dxfId="34459" priority="111726" stopIfTrue="1" operator="greaterThanOrEqual">
      <formula>0.5</formula>
    </cfRule>
  </conditionalFormatting>
  <conditionalFormatting sqref="R58">
    <cfRule type="cellIs" dxfId="34458" priority="111727" stopIfTrue="1" operator="equal">
      <formula>-1</formula>
    </cfRule>
  </conditionalFormatting>
  <conditionalFormatting sqref="R58">
    <cfRule type="cellIs" dxfId="34457" priority="111728" stopIfTrue="1" operator="lessThan">
      <formula>0.5</formula>
    </cfRule>
  </conditionalFormatting>
  <conditionalFormatting sqref="R58">
    <cfRule type="cellIs" dxfId="34456" priority="111729" stopIfTrue="1" operator="greaterThanOrEqual">
      <formula>0.5</formula>
    </cfRule>
  </conditionalFormatting>
  <conditionalFormatting sqref="T39">
    <cfRule type="cellIs" dxfId="34455" priority="111730" stopIfTrue="1" operator="equal">
      <formula>-1</formula>
    </cfRule>
  </conditionalFormatting>
  <conditionalFormatting sqref="T39">
    <cfRule type="cellIs" dxfId="34454" priority="111731" stopIfTrue="1" operator="lessThan">
      <formula>0.5</formula>
    </cfRule>
  </conditionalFormatting>
  <conditionalFormatting sqref="T39">
    <cfRule type="cellIs" dxfId="34453" priority="111732" stopIfTrue="1" operator="greaterThanOrEqual">
      <formula>0.5</formula>
    </cfRule>
  </conditionalFormatting>
  <conditionalFormatting sqref="T40">
    <cfRule type="cellIs" dxfId="34452" priority="111733" stopIfTrue="1" operator="equal">
      <formula>-1</formula>
    </cfRule>
  </conditionalFormatting>
  <conditionalFormatting sqref="T40">
    <cfRule type="cellIs" dxfId="34451" priority="111734" stopIfTrue="1" operator="lessThan">
      <formula>0.5</formula>
    </cfRule>
  </conditionalFormatting>
  <conditionalFormatting sqref="T40">
    <cfRule type="cellIs" dxfId="34450" priority="111735" stopIfTrue="1" operator="greaterThanOrEqual">
      <formula>0.5</formula>
    </cfRule>
  </conditionalFormatting>
  <conditionalFormatting sqref="T41">
    <cfRule type="cellIs" dxfId="34449" priority="111736" stopIfTrue="1" operator="equal">
      <formula>-1</formula>
    </cfRule>
  </conditionalFormatting>
  <conditionalFormatting sqref="T41">
    <cfRule type="cellIs" dxfId="34448" priority="111737" stopIfTrue="1" operator="lessThan">
      <formula>0.5</formula>
    </cfRule>
  </conditionalFormatting>
  <conditionalFormatting sqref="T41">
    <cfRule type="cellIs" dxfId="34447" priority="111738" stopIfTrue="1" operator="greaterThanOrEqual">
      <formula>0.5</formula>
    </cfRule>
  </conditionalFormatting>
  <conditionalFormatting sqref="T42">
    <cfRule type="cellIs" dxfId="34446" priority="111739" stopIfTrue="1" operator="equal">
      <formula>-1</formula>
    </cfRule>
  </conditionalFormatting>
  <conditionalFormatting sqref="T42">
    <cfRule type="cellIs" dxfId="34445" priority="111740" stopIfTrue="1" operator="lessThan">
      <formula>0.5</formula>
    </cfRule>
  </conditionalFormatting>
  <conditionalFormatting sqref="T42">
    <cfRule type="cellIs" dxfId="34444" priority="111741" stopIfTrue="1" operator="greaterThanOrEqual">
      <formula>0.5</formula>
    </cfRule>
  </conditionalFormatting>
  <conditionalFormatting sqref="T43">
    <cfRule type="cellIs" dxfId="34443" priority="111742" stopIfTrue="1" operator="equal">
      <formula>-1</formula>
    </cfRule>
  </conditionalFormatting>
  <conditionalFormatting sqref="T43">
    <cfRule type="cellIs" dxfId="34442" priority="111743" stopIfTrue="1" operator="lessThan">
      <formula>0.5</formula>
    </cfRule>
  </conditionalFormatting>
  <conditionalFormatting sqref="T43">
    <cfRule type="cellIs" dxfId="34441" priority="111744" stopIfTrue="1" operator="greaterThanOrEqual">
      <formula>0.5</formula>
    </cfRule>
  </conditionalFormatting>
  <conditionalFormatting sqref="T44">
    <cfRule type="cellIs" dxfId="34440" priority="111745" stopIfTrue="1" operator="equal">
      <formula>-1</formula>
    </cfRule>
  </conditionalFormatting>
  <conditionalFormatting sqref="T44">
    <cfRule type="cellIs" dxfId="34439" priority="111746" stopIfTrue="1" operator="lessThan">
      <formula>0.5</formula>
    </cfRule>
  </conditionalFormatting>
  <conditionalFormatting sqref="T44">
    <cfRule type="cellIs" dxfId="34438" priority="111747" stopIfTrue="1" operator="greaterThanOrEqual">
      <formula>0.5</formula>
    </cfRule>
  </conditionalFormatting>
  <conditionalFormatting sqref="T45">
    <cfRule type="cellIs" dxfId="34437" priority="111748" stopIfTrue="1" operator="equal">
      <formula>-1</formula>
    </cfRule>
  </conditionalFormatting>
  <conditionalFormatting sqref="T45">
    <cfRule type="cellIs" dxfId="34436" priority="111749" stopIfTrue="1" operator="lessThan">
      <formula>0.5</formula>
    </cfRule>
  </conditionalFormatting>
  <conditionalFormatting sqref="T45">
    <cfRule type="cellIs" dxfId="34435" priority="111750" stopIfTrue="1" operator="greaterThanOrEqual">
      <formula>0.5</formula>
    </cfRule>
  </conditionalFormatting>
  <conditionalFormatting sqref="T46">
    <cfRule type="cellIs" dxfId="34434" priority="111751" stopIfTrue="1" operator="equal">
      <formula>-1</formula>
    </cfRule>
  </conditionalFormatting>
  <conditionalFormatting sqref="T46">
    <cfRule type="cellIs" dxfId="34433" priority="111752" stopIfTrue="1" operator="lessThan">
      <formula>0.5</formula>
    </cfRule>
  </conditionalFormatting>
  <conditionalFormatting sqref="T46">
    <cfRule type="cellIs" dxfId="34432" priority="111753" stopIfTrue="1" operator="greaterThanOrEqual">
      <formula>0.5</formula>
    </cfRule>
  </conditionalFormatting>
  <conditionalFormatting sqref="T47">
    <cfRule type="cellIs" dxfId="34431" priority="111754" stopIfTrue="1" operator="equal">
      <formula>-1</formula>
    </cfRule>
  </conditionalFormatting>
  <conditionalFormatting sqref="T47">
    <cfRule type="cellIs" dxfId="34430" priority="111755" stopIfTrue="1" operator="lessThan">
      <formula>0.5</formula>
    </cfRule>
  </conditionalFormatting>
  <conditionalFormatting sqref="T47">
    <cfRule type="cellIs" dxfId="34429" priority="111756" stopIfTrue="1" operator="greaterThanOrEqual">
      <formula>0.5</formula>
    </cfRule>
  </conditionalFormatting>
  <conditionalFormatting sqref="T48">
    <cfRule type="cellIs" dxfId="34428" priority="111757" stopIfTrue="1" operator="equal">
      <formula>-1</formula>
    </cfRule>
  </conditionalFormatting>
  <conditionalFormatting sqref="T48">
    <cfRule type="cellIs" dxfId="34427" priority="111758" stopIfTrue="1" operator="lessThan">
      <formula>0.5</formula>
    </cfRule>
  </conditionalFormatting>
  <conditionalFormatting sqref="T48">
    <cfRule type="cellIs" dxfId="34426" priority="111759" stopIfTrue="1" operator="greaterThanOrEqual">
      <formula>0.5</formula>
    </cfRule>
  </conditionalFormatting>
  <conditionalFormatting sqref="T49">
    <cfRule type="cellIs" dxfId="34425" priority="111760" stopIfTrue="1" operator="equal">
      <formula>-1</formula>
    </cfRule>
  </conditionalFormatting>
  <conditionalFormatting sqref="T49">
    <cfRule type="cellIs" dxfId="34424" priority="111761" stopIfTrue="1" operator="lessThan">
      <formula>0.5</formula>
    </cfRule>
  </conditionalFormatting>
  <conditionalFormatting sqref="T49">
    <cfRule type="cellIs" dxfId="34423" priority="111762" stopIfTrue="1" operator="greaterThanOrEqual">
      <formula>0.5</formula>
    </cfRule>
  </conditionalFormatting>
  <conditionalFormatting sqref="T50">
    <cfRule type="cellIs" dxfId="34422" priority="111763" stopIfTrue="1" operator="equal">
      <formula>-1</formula>
    </cfRule>
  </conditionalFormatting>
  <conditionalFormatting sqref="T50">
    <cfRule type="cellIs" dxfId="34421" priority="111764" stopIfTrue="1" operator="lessThan">
      <formula>0.5</formula>
    </cfRule>
  </conditionalFormatting>
  <conditionalFormatting sqref="T50">
    <cfRule type="cellIs" dxfId="34420" priority="111765" stopIfTrue="1" operator="greaterThanOrEqual">
      <formula>0.5</formula>
    </cfRule>
  </conditionalFormatting>
  <conditionalFormatting sqref="T51">
    <cfRule type="cellIs" dxfId="34419" priority="111766" stopIfTrue="1" operator="equal">
      <formula>-1</formula>
    </cfRule>
  </conditionalFormatting>
  <conditionalFormatting sqref="T51">
    <cfRule type="cellIs" dxfId="34418" priority="111767" stopIfTrue="1" operator="lessThan">
      <formula>0.5</formula>
    </cfRule>
  </conditionalFormatting>
  <conditionalFormatting sqref="T51">
    <cfRule type="cellIs" dxfId="34417" priority="111768" stopIfTrue="1" operator="greaterThanOrEqual">
      <formula>0.5</formula>
    </cfRule>
  </conditionalFormatting>
  <conditionalFormatting sqref="T52">
    <cfRule type="cellIs" dxfId="34416" priority="111769" stopIfTrue="1" operator="equal">
      <formula>-1</formula>
    </cfRule>
  </conditionalFormatting>
  <conditionalFormatting sqref="T52">
    <cfRule type="cellIs" dxfId="34415" priority="111770" stopIfTrue="1" operator="lessThan">
      <formula>0.5</formula>
    </cfRule>
  </conditionalFormatting>
  <conditionalFormatting sqref="T52">
    <cfRule type="cellIs" dxfId="34414" priority="111771" stopIfTrue="1" operator="greaterThanOrEqual">
      <formula>0.5</formula>
    </cfRule>
  </conditionalFormatting>
  <conditionalFormatting sqref="T53">
    <cfRule type="cellIs" dxfId="34413" priority="111772" stopIfTrue="1" operator="equal">
      <formula>-1</formula>
    </cfRule>
  </conditionalFormatting>
  <conditionalFormatting sqref="T53">
    <cfRule type="cellIs" dxfId="34412" priority="111773" stopIfTrue="1" operator="lessThan">
      <formula>0.5</formula>
    </cfRule>
  </conditionalFormatting>
  <conditionalFormatting sqref="T53">
    <cfRule type="cellIs" dxfId="34411" priority="111774" stopIfTrue="1" operator="greaterThanOrEqual">
      <formula>0.5</formula>
    </cfRule>
  </conditionalFormatting>
  <conditionalFormatting sqref="T54">
    <cfRule type="cellIs" dxfId="34410" priority="111775" stopIfTrue="1" operator="equal">
      <formula>-1</formula>
    </cfRule>
  </conditionalFormatting>
  <conditionalFormatting sqref="T54">
    <cfRule type="cellIs" dxfId="34409" priority="111776" stopIfTrue="1" operator="lessThan">
      <formula>0.5</formula>
    </cfRule>
  </conditionalFormatting>
  <conditionalFormatting sqref="T54">
    <cfRule type="cellIs" dxfId="34408" priority="111777" stopIfTrue="1" operator="greaterThanOrEqual">
      <formula>0.5</formula>
    </cfRule>
  </conditionalFormatting>
  <conditionalFormatting sqref="T55">
    <cfRule type="cellIs" dxfId="34407" priority="111778" stopIfTrue="1" operator="equal">
      <formula>-1</formula>
    </cfRule>
  </conditionalFormatting>
  <conditionalFormatting sqref="T55">
    <cfRule type="cellIs" dxfId="34406" priority="111779" stopIfTrue="1" operator="lessThan">
      <formula>0.5</formula>
    </cfRule>
  </conditionalFormatting>
  <conditionalFormatting sqref="T55">
    <cfRule type="cellIs" dxfId="34405" priority="111780" stopIfTrue="1" operator="greaterThanOrEqual">
      <formula>0.5</formula>
    </cfRule>
  </conditionalFormatting>
  <conditionalFormatting sqref="T56">
    <cfRule type="cellIs" dxfId="34404" priority="111781" stopIfTrue="1" operator="equal">
      <formula>-1</formula>
    </cfRule>
  </conditionalFormatting>
  <conditionalFormatting sqref="T56">
    <cfRule type="cellIs" dxfId="34403" priority="111782" stopIfTrue="1" operator="lessThan">
      <formula>0.5</formula>
    </cfRule>
  </conditionalFormatting>
  <conditionalFormatting sqref="T56">
    <cfRule type="cellIs" dxfId="34402" priority="111783" stopIfTrue="1" operator="greaterThanOrEqual">
      <formula>0.5</formula>
    </cfRule>
  </conditionalFormatting>
  <conditionalFormatting sqref="T57">
    <cfRule type="cellIs" dxfId="34401" priority="111784" stopIfTrue="1" operator="equal">
      <formula>-1</formula>
    </cfRule>
  </conditionalFormatting>
  <conditionalFormatting sqref="T57">
    <cfRule type="cellIs" dxfId="34400" priority="111785" stopIfTrue="1" operator="lessThan">
      <formula>0.5</formula>
    </cfRule>
  </conditionalFormatting>
  <conditionalFormatting sqref="T57">
    <cfRule type="cellIs" dxfId="34399" priority="111786" stopIfTrue="1" operator="greaterThanOrEqual">
      <formula>0.5</formula>
    </cfRule>
  </conditionalFormatting>
  <conditionalFormatting sqref="T58">
    <cfRule type="cellIs" dxfId="34398" priority="111787" stopIfTrue="1" operator="equal">
      <formula>-1</formula>
    </cfRule>
  </conditionalFormatting>
  <conditionalFormatting sqref="T58">
    <cfRule type="cellIs" dxfId="34397" priority="111788" stopIfTrue="1" operator="lessThan">
      <formula>0.5</formula>
    </cfRule>
  </conditionalFormatting>
  <conditionalFormatting sqref="T58">
    <cfRule type="cellIs" dxfId="34396" priority="111789" stopIfTrue="1" operator="greaterThanOrEqual">
      <formula>0.5</formula>
    </cfRule>
  </conditionalFormatting>
  <conditionalFormatting sqref="V39">
    <cfRule type="cellIs" dxfId="34395" priority="111790" stopIfTrue="1" operator="equal">
      <formula>-1</formula>
    </cfRule>
  </conditionalFormatting>
  <conditionalFormatting sqref="V39">
    <cfRule type="cellIs" dxfId="34394" priority="111791" stopIfTrue="1" operator="lessThan">
      <formula>0.5</formula>
    </cfRule>
  </conditionalFormatting>
  <conditionalFormatting sqref="V39">
    <cfRule type="cellIs" dxfId="34393" priority="111792" stopIfTrue="1" operator="greaterThanOrEqual">
      <formula>0.5</formula>
    </cfRule>
  </conditionalFormatting>
  <conditionalFormatting sqref="V40">
    <cfRule type="cellIs" dxfId="34392" priority="111793" stopIfTrue="1" operator="equal">
      <formula>-1</formula>
    </cfRule>
  </conditionalFormatting>
  <conditionalFormatting sqref="V40">
    <cfRule type="cellIs" dxfId="34391" priority="111794" stopIfTrue="1" operator="lessThan">
      <formula>0.5</formula>
    </cfRule>
  </conditionalFormatting>
  <conditionalFormatting sqref="V40">
    <cfRule type="cellIs" dxfId="34390" priority="111795" stopIfTrue="1" operator="greaterThanOrEqual">
      <formula>0.5</formula>
    </cfRule>
  </conditionalFormatting>
  <conditionalFormatting sqref="V41">
    <cfRule type="cellIs" dxfId="34389" priority="111796" stopIfTrue="1" operator="equal">
      <formula>-1</formula>
    </cfRule>
  </conditionalFormatting>
  <conditionalFormatting sqref="V41">
    <cfRule type="cellIs" dxfId="34388" priority="111797" stopIfTrue="1" operator="lessThan">
      <formula>0.5</formula>
    </cfRule>
  </conditionalFormatting>
  <conditionalFormatting sqref="V41">
    <cfRule type="cellIs" dxfId="34387" priority="111798" stopIfTrue="1" operator="greaterThanOrEqual">
      <formula>0.5</formula>
    </cfRule>
  </conditionalFormatting>
  <conditionalFormatting sqref="V42">
    <cfRule type="cellIs" dxfId="34386" priority="111799" stopIfTrue="1" operator="equal">
      <formula>-1</formula>
    </cfRule>
  </conditionalFormatting>
  <conditionalFormatting sqref="V42">
    <cfRule type="cellIs" dxfId="34385" priority="111800" stopIfTrue="1" operator="lessThan">
      <formula>0.5</formula>
    </cfRule>
  </conditionalFormatting>
  <conditionalFormatting sqref="V42">
    <cfRule type="cellIs" dxfId="34384" priority="111801" stopIfTrue="1" operator="greaterThanOrEqual">
      <formula>0.5</formula>
    </cfRule>
  </conditionalFormatting>
  <conditionalFormatting sqref="V43">
    <cfRule type="cellIs" dxfId="34383" priority="111802" stopIfTrue="1" operator="equal">
      <formula>-1</formula>
    </cfRule>
  </conditionalFormatting>
  <conditionalFormatting sqref="V43">
    <cfRule type="cellIs" dxfId="34382" priority="111803" stopIfTrue="1" operator="lessThan">
      <formula>0.5</formula>
    </cfRule>
  </conditionalFormatting>
  <conditionalFormatting sqref="V43">
    <cfRule type="cellIs" dxfId="34381" priority="111804" stopIfTrue="1" operator="greaterThanOrEqual">
      <formula>0.5</formula>
    </cfRule>
  </conditionalFormatting>
  <conditionalFormatting sqref="V44">
    <cfRule type="cellIs" dxfId="34380" priority="111805" stopIfTrue="1" operator="equal">
      <formula>-1</formula>
    </cfRule>
  </conditionalFormatting>
  <conditionalFormatting sqref="V44">
    <cfRule type="cellIs" dxfId="34379" priority="111806" stopIfTrue="1" operator="lessThan">
      <formula>0.5</formula>
    </cfRule>
  </conditionalFormatting>
  <conditionalFormatting sqref="V44">
    <cfRule type="cellIs" dxfId="34378" priority="111807" stopIfTrue="1" operator="greaterThanOrEqual">
      <formula>0.5</formula>
    </cfRule>
  </conditionalFormatting>
  <conditionalFormatting sqref="V45">
    <cfRule type="cellIs" dxfId="34377" priority="111808" stopIfTrue="1" operator="equal">
      <formula>-1</formula>
    </cfRule>
  </conditionalFormatting>
  <conditionalFormatting sqref="V45">
    <cfRule type="cellIs" dxfId="34376" priority="111809" stopIfTrue="1" operator="lessThan">
      <formula>0.5</formula>
    </cfRule>
  </conditionalFormatting>
  <conditionalFormatting sqref="V45">
    <cfRule type="cellIs" dxfId="34375" priority="111810" stopIfTrue="1" operator="greaterThanOrEqual">
      <formula>0.5</formula>
    </cfRule>
  </conditionalFormatting>
  <conditionalFormatting sqref="V46">
    <cfRule type="cellIs" dxfId="34374" priority="111811" stopIfTrue="1" operator="equal">
      <formula>-1</formula>
    </cfRule>
  </conditionalFormatting>
  <conditionalFormatting sqref="V46">
    <cfRule type="cellIs" dxfId="34373" priority="111812" stopIfTrue="1" operator="lessThan">
      <formula>0.5</formula>
    </cfRule>
  </conditionalFormatting>
  <conditionalFormatting sqref="V46">
    <cfRule type="cellIs" dxfId="34372" priority="111813" stopIfTrue="1" operator="greaterThanOrEqual">
      <formula>0.5</formula>
    </cfRule>
  </conditionalFormatting>
  <conditionalFormatting sqref="V47">
    <cfRule type="cellIs" dxfId="34371" priority="111814" stopIfTrue="1" operator="equal">
      <formula>-1</formula>
    </cfRule>
  </conditionalFormatting>
  <conditionalFormatting sqref="V47">
    <cfRule type="cellIs" dxfId="34370" priority="111815" stopIfTrue="1" operator="lessThan">
      <formula>0.5</formula>
    </cfRule>
  </conditionalFormatting>
  <conditionalFormatting sqref="V47">
    <cfRule type="cellIs" dxfId="34369" priority="111816" stopIfTrue="1" operator="greaterThanOrEqual">
      <formula>0.5</formula>
    </cfRule>
  </conditionalFormatting>
  <conditionalFormatting sqref="V48">
    <cfRule type="cellIs" dxfId="34368" priority="111817" stopIfTrue="1" operator="equal">
      <formula>-1</formula>
    </cfRule>
  </conditionalFormatting>
  <conditionalFormatting sqref="V48">
    <cfRule type="cellIs" dxfId="34367" priority="111818" stopIfTrue="1" operator="lessThan">
      <formula>0.5</formula>
    </cfRule>
  </conditionalFormatting>
  <conditionalFormatting sqref="V48">
    <cfRule type="cellIs" dxfId="34366" priority="111819" stopIfTrue="1" operator="greaterThanOrEqual">
      <formula>0.5</formula>
    </cfRule>
  </conditionalFormatting>
  <conditionalFormatting sqref="V49">
    <cfRule type="cellIs" dxfId="34365" priority="111820" stopIfTrue="1" operator="equal">
      <formula>-1</formula>
    </cfRule>
  </conditionalFormatting>
  <conditionalFormatting sqref="V49">
    <cfRule type="cellIs" dxfId="34364" priority="111821" stopIfTrue="1" operator="lessThan">
      <formula>0.5</formula>
    </cfRule>
  </conditionalFormatting>
  <conditionalFormatting sqref="V49">
    <cfRule type="cellIs" dxfId="34363" priority="111822" stopIfTrue="1" operator="greaterThanOrEqual">
      <formula>0.5</formula>
    </cfRule>
  </conditionalFormatting>
  <conditionalFormatting sqref="V50">
    <cfRule type="cellIs" dxfId="34362" priority="111823" stopIfTrue="1" operator="equal">
      <formula>-1</formula>
    </cfRule>
  </conditionalFormatting>
  <conditionalFormatting sqref="V50">
    <cfRule type="cellIs" dxfId="34361" priority="111824" stopIfTrue="1" operator="lessThan">
      <formula>0.5</formula>
    </cfRule>
  </conditionalFormatting>
  <conditionalFormatting sqref="V50">
    <cfRule type="cellIs" dxfId="34360" priority="111825" stopIfTrue="1" operator="greaterThanOrEqual">
      <formula>0.5</formula>
    </cfRule>
  </conditionalFormatting>
  <conditionalFormatting sqref="V51">
    <cfRule type="cellIs" dxfId="34359" priority="111826" stopIfTrue="1" operator="equal">
      <formula>-1</formula>
    </cfRule>
  </conditionalFormatting>
  <conditionalFormatting sqref="V51">
    <cfRule type="cellIs" dxfId="34358" priority="111827" stopIfTrue="1" operator="lessThan">
      <formula>0.5</formula>
    </cfRule>
  </conditionalFormatting>
  <conditionalFormatting sqref="V51">
    <cfRule type="cellIs" dxfId="34357" priority="111828" stopIfTrue="1" operator="greaterThanOrEqual">
      <formula>0.5</formula>
    </cfRule>
  </conditionalFormatting>
  <conditionalFormatting sqref="V52">
    <cfRule type="cellIs" dxfId="34356" priority="111829" stopIfTrue="1" operator="equal">
      <formula>-1</formula>
    </cfRule>
  </conditionalFormatting>
  <conditionalFormatting sqref="V52">
    <cfRule type="cellIs" dxfId="34355" priority="111830" stopIfTrue="1" operator="lessThan">
      <formula>0.5</formula>
    </cfRule>
  </conditionalFormatting>
  <conditionalFormatting sqref="V52">
    <cfRule type="cellIs" dxfId="34354" priority="111831" stopIfTrue="1" operator="greaterThanOrEqual">
      <formula>0.5</formula>
    </cfRule>
  </conditionalFormatting>
  <conditionalFormatting sqref="V53">
    <cfRule type="cellIs" dxfId="34353" priority="111832" stopIfTrue="1" operator="equal">
      <formula>-1</formula>
    </cfRule>
  </conditionalFormatting>
  <conditionalFormatting sqref="V53">
    <cfRule type="cellIs" dxfId="34352" priority="111833" stopIfTrue="1" operator="lessThan">
      <formula>0.5</formula>
    </cfRule>
  </conditionalFormatting>
  <conditionalFormatting sqref="V53">
    <cfRule type="cellIs" dxfId="34351" priority="111834" stopIfTrue="1" operator="greaterThanOrEqual">
      <formula>0.5</formula>
    </cfRule>
  </conditionalFormatting>
  <conditionalFormatting sqref="V54">
    <cfRule type="cellIs" dxfId="34350" priority="111835" stopIfTrue="1" operator="equal">
      <formula>-1</formula>
    </cfRule>
  </conditionalFormatting>
  <conditionalFormatting sqref="V54">
    <cfRule type="cellIs" dxfId="34349" priority="111836" stopIfTrue="1" operator="lessThan">
      <formula>0.5</formula>
    </cfRule>
  </conditionalFormatting>
  <conditionalFormatting sqref="V54">
    <cfRule type="cellIs" dxfId="34348" priority="111837" stopIfTrue="1" operator="greaterThanOrEqual">
      <formula>0.5</formula>
    </cfRule>
  </conditionalFormatting>
  <conditionalFormatting sqref="V55">
    <cfRule type="cellIs" dxfId="34347" priority="111838" stopIfTrue="1" operator="equal">
      <formula>-1</formula>
    </cfRule>
  </conditionalFormatting>
  <conditionalFormatting sqref="V55">
    <cfRule type="cellIs" dxfId="34346" priority="111839" stopIfTrue="1" operator="lessThan">
      <formula>0.5</formula>
    </cfRule>
  </conditionalFormatting>
  <conditionalFormatting sqref="V55">
    <cfRule type="cellIs" dxfId="34345" priority="111840" stopIfTrue="1" operator="greaterThanOrEqual">
      <formula>0.5</formula>
    </cfRule>
  </conditionalFormatting>
  <conditionalFormatting sqref="V56">
    <cfRule type="cellIs" dxfId="34344" priority="111841" stopIfTrue="1" operator="equal">
      <formula>-1</formula>
    </cfRule>
  </conditionalFormatting>
  <conditionalFormatting sqref="V56">
    <cfRule type="cellIs" dxfId="34343" priority="111842" stopIfTrue="1" operator="lessThan">
      <formula>0.5</formula>
    </cfRule>
  </conditionalFormatting>
  <conditionalFormatting sqref="V56">
    <cfRule type="cellIs" dxfId="34342" priority="111843" stopIfTrue="1" operator="greaterThanOrEqual">
      <formula>0.5</formula>
    </cfRule>
  </conditionalFormatting>
  <conditionalFormatting sqref="V57">
    <cfRule type="cellIs" dxfId="34341" priority="111844" stopIfTrue="1" operator="equal">
      <formula>-1</formula>
    </cfRule>
  </conditionalFormatting>
  <conditionalFormatting sqref="V57">
    <cfRule type="cellIs" dxfId="34340" priority="111845" stopIfTrue="1" operator="lessThan">
      <formula>0.5</formula>
    </cfRule>
  </conditionalFormatting>
  <conditionalFormatting sqref="V57">
    <cfRule type="cellIs" dxfId="34339" priority="111846" stopIfTrue="1" operator="greaterThanOrEqual">
      <formula>0.5</formula>
    </cfRule>
  </conditionalFormatting>
  <conditionalFormatting sqref="V58">
    <cfRule type="cellIs" dxfId="34338" priority="111847" stopIfTrue="1" operator="equal">
      <formula>-1</formula>
    </cfRule>
  </conditionalFormatting>
  <conditionalFormatting sqref="V58">
    <cfRule type="cellIs" dxfId="34337" priority="111848" stopIfTrue="1" operator="lessThan">
      <formula>0.5</formula>
    </cfRule>
  </conditionalFormatting>
  <conditionalFormatting sqref="V58">
    <cfRule type="cellIs" dxfId="34336" priority="111849" stopIfTrue="1" operator="greaterThanOrEqual">
      <formula>0.5</formula>
    </cfRule>
  </conditionalFormatting>
  <conditionalFormatting sqref="X39">
    <cfRule type="cellIs" dxfId="34335" priority="111850" stopIfTrue="1" operator="equal">
      <formula>-1</formula>
    </cfRule>
  </conditionalFormatting>
  <conditionalFormatting sqref="X39">
    <cfRule type="cellIs" dxfId="34334" priority="111851" stopIfTrue="1" operator="lessThan">
      <formula>0.5</formula>
    </cfRule>
  </conditionalFormatting>
  <conditionalFormatting sqref="X39">
    <cfRule type="cellIs" dxfId="34333" priority="111852" stopIfTrue="1" operator="greaterThanOrEqual">
      <formula>0.5</formula>
    </cfRule>
  </conditionalFormatting>
  <conditionalFormatting sqref="X40">
    <cfRule type="cellIs" dxfId="34332" priority="111853" stopIfTrue="1" operator="equal">
      <formula>-1</formula>
    </cfRule>
  </conditionalFormatting>
  <conditionalFormatting sqref="X40">
    <cfRule type="cellIs" dxfId="34331" priority="111854" stopIfTrue="1" operator="lessThan">
      <formula>0.5</formula>
    </cfRule>
  </conditionalFormatting>
  <conditionalFormatting sqref="X40">
    <cfRule type="cellIs" dxfId="34330" priority="111855" stopIfTrue="1" operator="greaterThanOrEqual">
      <formula>0.5</formula>
    </cfRule>
  </conditionalFormatting>
  <conditionalFormatting sqref="X41">
    <cfRule type="cellIs" dxfId="34329" priority="111856" stopIfTrue="1" operator="equal">
      <formula>-1</formula>
    </cfRule>
  </conditionalFormatting>
  <conditionalFormatting sqref="X41">
    <cfRule type="cellIs" dxfId="34328" priority="111857" stopIfTrue="1" operator="lessThan">
      <formula>0.5</formula>
    </cfRule>
  </conditionalFormatting>
  <conditionalFormatting sqref="X41">
    <cfRule type="cellIs" dxfId="34327" priority="111858" stopIfTrue="1" operator="greaterThanOrEqual">
      <formula>0.5</formula>
    </cfRule>
  </conditionalFormatting>
  <conditionalFormatting sqref="X42">
    <cfRule type="cellIs" dxfId="34326" priority="111859" stopIfTrue="1" operator="equal">
      <formula>-1</formula>
    </cfRule>
  </conditionalFormatting>
  <conditionalFormatting sqref="X42">
    <cfRule type="cellIs" dxfId="34325" priority="111860" stopIfTrue="1" operator="lessThan">
      <formula>0.5</formula>
    </cfRule>
  </conditionalFormatting>
  <conditionalFormatting sqref="X42">
    <cfRule type="cellIs" dxfId="34324" priority="111861" stopIfTrue="1" operator="greaterThanOrEqual">
      <formula>0.5</formula>
    </cfRule>
  </conditionalFormatting>
  <conditionalFormatting sqref="X43">
    <cfRule type="cellIs" dxfId="34323" priority="111862" stopIfTrue="1" operator="equal">
      <formula>-1</formula>
    </cfRule>
  </conditionalFormatting>
  <conditionalFormatting sqref="X43">
    <cfRule type="cellIs" dxfId="34322" priority="111863" stopIfTrue="1" operator="lessThan">
      <formula>0.5</formula>
    </cfRule>
  </conditionalFormatting>
  <conditionalFormatting sqref="X43">
    <cfRule type="cellIs" dxfId="34321" priority="111864" stopIfTrue="1" operator="greaterThanOrEqual">
      <formula>0.5</formula>
    </cfRule>
  </conditionalFormatting>
  <conditionalFormatting sqref="X44">
    <cfRule type="cellIs" dxfId="34320" priority="111865" stopIfTrue="1" operator="equal">
      <formula>-1</formula>
    </cfRule>
  </conditionalFormatting>
  <conditionalFormatting sqref="X44">
    <cfRule type="cellIs" dxfId="34319" priority="111866" stopIfTrue="1" operator="lessThan">
      <formula>0.5</formula>
    </cfRule>
  </conditionalFormatting>
  <conditionalFormatting sqref="X44">
    <cfRule type="cellIs" dxfId="34318" priority="111867" stopIfTrue="1" operator="greaterThanOrEqual">
      <formula>0.5</formula>
    </cfRule>
  </conditionalFormatting>
  <conditionalFormatting sqref="X45">
    <cfRule type="cellIs" dxfId="34317" priority="111868" stopIfTrue="1" operator="equal">
      <formula>-1</formula>
    </cfRule>
  </conditionalFormatting>
  <conditionalFormatting sqref="X45">
    <cfRule type="cellIs" dxfId="34316" priority="111869" stopIfTrue="1" operator="lessThan">
      <formula>0.5</formula>
    </cfRule>
  </conditionalFormatting>
  <conditionalFormatting sqref="X45">
    <cfRule type="cellIs" dxfId="34315" priority="111870" stopIfTrue="1" operator="greaterThanOrEqual">
      <formula>0.5</formula>
    </cfRule>
  </conditionalFormatting>
  <conditionalFormatting sqref="X46">
    <cfRule type="cellIs" dxfId="34314" priority="111871" stopIfTrue="1" operator="equal">
      <formula>-1</formula>
    </cfRule>
  </conditionalFormatting>
  <conditionalFormatting sqref="X46">
    <cfRule type="cellIs" dxfId="34313" priority="111872" stopIfTrue="1" operator="lessThan">
      <formula>0.5</formula>
    </cfRule>
  </conditionalFormatting>
  <conditionalFormatting sqref="X46">
    <cfRule type="cellIs" dxfId="34312" priority="111873" stopIfTrue="1" operator="greaterThanOrEqual">
      <formula>0.5</formula>
    </cfRule>
  </conditionalFormatting>
  <conditionalFormatting sqref="X47">
    <cfRule type="cellIs" dxfId="34311" priority="111874" stopIfTrue="1" operator="equal">
      <formula>-1</formula>
    </cfRule>
  </conditionalFormatting>
  <conditionalFormatting sqref="X47">
    <cfRule type="cellIs" dxfId="34310" priority="111875" stopIfTrue="1" operator="lessThan">
      <formula>0.5</formula>
    </cfRule>
  </conditionalFormatting>
  <conditionalFormatting sqref="X47">
    <cfRule type="cellIs" dxfId="34309" priority="111876" stopIfTrue="1" operator="greaterThanOrEqual">
      <formula>0.5</formula>
    </cfRule>
  </conditionalFormatting>
  <conditionalFormatting sqref="X48">
    <cfRule type="cellIs" dxfId="34308" priority="111877" stopIfTrue="1" operator="equal">
      <formula>-1</formula>
    </cfRule>
  </conditionalFormatting>
  <conditionalFormatting sqref="X48">
    <cfRule type="cellIs" dxfId="34307" priority="111878" stopIfTrue="1" operator="lessThan">
      <formula>0.5</formula>
    </cfRule>
  </conditionalFormatting>
  <conditionalFormatting sqref="X48">
    <cfRule type="cellIs" dxfId="34306" priority="111879" stopIfTrue="1" operator="greaterThanOrEqual">
      <formula>0.5</formula>
    </cfRule>
  </conditionalFormatting>
  <conditionalFormatting sqref="X49">
    <cfRule type="cellIs" dxfId="34305" priority="111880" stopIfTrue="1" operator="equal">
      <formula>-1</formula>
    </cfRule>
  </conditionalFormatting>
  <conditionalFormatting sqref="X49">
    <cfRule type="cellIs" dxfId="34304" priority="111881" stopIfTrue="1" operator="lessThan">
      <formula>0.5</formula>
    </cfRule>
  </conditionalFormatting>
  <conditionalFormatting sqref="X49">
    <cfRule type="cellIs" dxfId="34303" priority="111882" stopIfTrue="1" operator="greaterThanOrEqual">
      <formula>0.5</formula>
    </cfRule>
  </conditionalFormatting>
  <conditionalFormatting sqref="X50">
    <cfRule type="cellIs" dxfId="34302" priority="111883" stopIfTrue="1" operator="equal">
      <formula>-1</formula>
    </cfRule>
  </conditionalFormatting>
  <conditionalFormatting sqref="X50">
    <cfRule type="cellIs" dxfId="34301" priority="111884" stopIfTrue="1" operator="lessThan">
      <formula>0.5</formula>
    </cfRule>
  </conditionalFormatting>
  <conditionalFormatting sqref="X50">
    <cfRule type="cellIs" dxfId="34300" priority="111885" stopIfTrue="1" operator="greaterThanOrEqual">
      <formula>0.5</formula>
    </cfRule>
  </conditionalFormatting>
  <conditionalFormatting sqref="X51">
    <cfRule type="cellIs" dxfId="34299" priority="111886" stopIfTrue="1" operator="equal">
      <formula>-1</formula>
    </cfRule>
  </conditionalFormatting>
  <conditionalFormatting sqref="X51">
    <cfRule type="cellIs" dxfId="34298" priority="111887" stopIfTrue="1" operator="lessThan">
      <formula>0.5</formula>
    </cfRule>
  </conditionalFormatting>
  <conditionalFormatting sqref="X51">
    <cfRule type="cellIs" dxfId="34297" priority="111888" stopIfTrue="1" operator="greaterThanOrEqual">
      <formula>0.5</formula>
    </cfRule>
  </conditionalFormatting>
  <conditionalFormatting sqref="X52">
    <cfRule type="cellIs" dxfId="34296" priority="111889" stopIfTrue="1" operator="equal">
      <formula>-1</formula>
    </cfRule>
  </conditionalFormatting>
  <conditionalFormatting sqref="X52">
    <cfRule type="cellIs" dxfId="34295" priority="111890" stopIfTrue="1" operator="lessThan">
      <formula>0.5</formula>
    </cfRule>
  </conditionalFormatting>
  <conditionalFormatting sqref="X52">
    <cfRule type="cellIs" dxfId="34294" priority="111891" stopIfTrue="1" operator="greaterThanOrEqual">
      <formula>0.5</formula>
    </cfRule>
  </conditionalFormatting>
  <conditionalFormatting sqref="X53">
    <cfRule type="cellIs" dxfId="34293" priority="111892" stopIfTrue="1" operator="equal">
      <formula>-1</formula>
    </cfRule>
  </conditionalFormatting>
  <conditionalFormatting sqref="X53">
    <cfRule type="cellIs" dxfId="34292" priority="111893" stopIfTrue="1" operator="lessThan">
      <formula>0.5</formula>
    </cfRule>
  </conditionalFormatting>
  <conditionalFormatting sqref="X53">
    <cfRule type="cellIs" dxfId="34291" priority="111894" stopIfTrue="1" operator="greaterThanOrEqual">
      <formula>0.5</formula>
    </cfRule>
  </conditionalFormatting>
  <conditionalFormatting sqref="X54">
    <cfRule type="cellIs" dxfId="34290" priority="111895" stopIfTrue="1" operator="equal">
      <formula>-1</formula>
    </cfRule>
  </conditionalFormatting>
  <conditionalFormatting sqref="X54">
    <cfRule type="cellIs" dxfId="34289" priority="111896" stopIfTrue="1" operator="lessThan">
      <formula>0.5</formula>
    </cfRule>
  </conditionalFormatting>
  <conditionalFormatting sqref="X54">
    <cfRule type="cellIs" dxfId="34288" priority="111897" stopIfTrue="1" operator="greaterThanOrEqual">
      <formula>0.5</formula>
    </cfRule>
  </conditionalFormatting>
  <conditionalFormatting sqref="X55">
    <cfRule type="cellIs" dxfId="34287" priority="111898" stopIfTrue="1" operator="equal">
      <formula>-1</formula>
    </cfRule>
  </conditionalFormatting>
  <conditionalFormatting sqref="X55">
    <cfRule type="cellIs" dxfId="34286" priority="111899" stopIfTrue="1" operator="lessThan">
      <formula>0.5</formula>
    </cfRule>
  </conditionalFormatting>
  <conditionalFormatting sqref="X55">
    <cfRule type="cellIs" dxfId="34285" priority="111900" stopIfTrue="1" operator="greaterThanOrEqual">
      <formula>0.5</formula>
    </cfRule>
  </conditionalFormatting>
  <conditionalFormatting sqref="X56">
    <cfRule type="cellIs" dxfId="34284" priority="111901" stopIfTrue="1" operator="equal">
      <formula>-1</formula>
    </cfRule>
  </conditionalFormatting>
  <conditionalFormatting sqref="X56">
    <cfRule type="cellIs" dxfId="34283" priority="111902" stopIfTrue="1" operator="lessThan">
      <formula>0.5</formula>
    </cfRule>
  </conditionalFormatting>
  <conditionalFormatting sqref="X56">
    <cfRule type="cellIs" dxfId="34282" priority="111903" stopIfTrue="1" operator="greaterThanOrEqual">
      <formula>0.5</formula>
    </cfRule>
  </conditionalFormatting>
  <conditionalFormatting sqref="X57">
    <cfRule type="cellIs" dxfId="34281" priority="111904" stopIfTrue="1" operator="equal">
      <formula>-1</formula>
    </cfRule>
  </conditionalFormatting>
  <conditionalFormatting sqref="X57">
    <cfRule type="cellIs" dxfId="34280" priority="111905" stopIfTrue="1" operator="lessThan">
      <formula>0.5</formula>
    </cfRule>
  </conditionalFormatting>
  <conditionalFormatting sqref="X57">
    <cfRule type="cellIs" dxfId="34279" priority="111906" stopIfTrue="1" operator="greaterThanOrEqual">
      <formula>0.5</formula>
    </cfRule>
  </conditionalFormatting>
  <conditionalFormatting sqref="X58">
    <cfRule type="cellIs" dxfId="34278" priority="111907" stopIfTrue="1" operator="equal">
      <formula>-1</formula>
    </cfRule>
  </conditionalFormatting>
  <conditionalFormatting sqref="X58">
    <cfRule type="cellIs" dxfId="34277" priority="111908" stopIfTrue="1" operator="lessThan">
      <formula>0.5</formula>
    </cfRule>
  </conditionalFormatting>
  <conditionalFormatting sqref="X58">
    <cfRule type="cellIs" dxfId="34276" priority="111909" stopIfTrue="1" operator="greaterThanOrEqual">
      <formula>0.5</formula>
    </cfRule>
  </conditionalFormatting>
  <conditionalFormatting sqref="Z39">
    <cfRule type="cellIs" dxfId="34275" priority="111910" stopIfTrue="1" operator="equal">
      <formula>-1</formula>
    </cfRule>
  </conditionalFormatting>
  <conditionalFormatting sqref="Z39">
    <cfRule type="cellIs" dxfId="34274" priority="111911" stopIfTrue="1" operator="lessThan">
      <formula>0.5</formula>
    </cfRule>
  </conditionalFormatting>
  <conditionalFormatting sqref="Z39">
    <cfRule type="cellIs" dxfId="34273" priority="111912" stopIfTrue="1" operator="greaterThanOrEqual">
      <formula>0.5</formula>
    </cfRule>
  </conditionalFormatting>
  <conditionalFormatting sqref="Z40">
    <cfRule type="cellIs" dxfId="34272" priority="111913" stopIfTrue="1" operator="equal">
      <formula>-1</formula>
    </cfRule>
  </conditionalFormatting>
  <conditionalFormatting sqref="Z40">
    <cfRule type="cellIs" dxfId="34271" priority="111914" stopIfTrue="1" operator="lessThan">
      <formula>0.5</formula>
    </cfRule>
  </conditionalFormatting>
  <conditionalFormatting sqref="Z40">
    <cfRule type="cellIs" dxfId="34270" priority="111915" stopIfTrue="1" operator="greaterThanOrEqual">
      <formula>0.5</formula>
    </cfRule>
  </conditionalFormatting>
  <conditionalFormatting sqref="Z41">
    <cfRule type="cellIs" dxfId="34269" priority="111916" stopIfTrue="1" operator="equal">
      <formula>-1</formula>
    </cfRule>
  </conditionalFormatting>
  <conditionalFormatting sqref="Z41">
    <cfRule type="cellIs" dxfId="34268" priority="111917" stopIfTrue="1" operator="lessThan">
      <formula>0.5</formula>
    </cfRule>
  </conditionalFormatting>
  <conditionalFormatting sqref="Z41">
    <cfRule type="cellIs" dxfId="34267" priority="111918" stopIfTrue="1" operator="greaterThanOrEqual">
      <formula>0.5</formula>
    </cfRule>
  </conditionalFormatting>
  <conditionalFormatting sqref="Z42">
    <cfRule type="cellIs" dxfId="34266" priority="111919" stopIfTrue="1" operator="equal">
      <formula>-1</formula>
    </cfRule>
  </conditionalFormatting>
  <conditionalFormatting sqref="Z42">
    <cfRule type="cellIs" dxfId="34265" priority="111920" stopIfTrue="1" operator="lessThan">
      <formula>0.5</formula>
    </cfRule>
  </conditionalFormatting>
  <conditionalFormatting sqref="Z42">
    <cfRule type="cellIs" dxfId="34264" priority="111921" stopIfTrue="1" operator="greaterThanOrEqual">
      <formula>0.5</formula>
    </cfRule>
  </conditionalFormatting>
  <conditionalFormatting sqref="Z43">
    <cfRule type="cellIs" dxfId="34263" priority="111922" stopIfTrue="1" operator="equal">
      <formula>-1</formula>
    </cfRule>
  </conditionalFormatting>
  <conditionalFormatting sqref="Z43">
    <cfRule type="cellIs" dxfId="34262" priority="111923" stopIfTrue="1" operator="lessThan">
      <formula>0.5</formula>
    </cfRule>
  </conditionalFormatting>
  <conditionalFormatting sqref="Z43">
    <cfRule type="cellIs" dxfId="34261" priority="111924" stopIfTrue="1" operator="greaterThanOrEqual">
      <formula>0.5</formula>
    </cfRule>
  </conditionalFormatting>
  <conditionalFormatting sqref="Z44">
    <cfRule type="cellIs" dxfId="34260" priority="111925" stopIfTrue="1" operator="equal">
      <formula>-1</formula>
    </cfRule>
  </conditionalFormatting>
  <conditionalFormatting sqref="Z44">
    <cfRule type="cellIs" dxfId="34259" priority="111926" stopIfTrue="1" operator="lessThan">
      <formula>0.5</formula>
    </cfRule>
  </conditionalFormatting>
  <conditionalFormatting sqref="Z44">
    <cfRule type="cellIs" dxfId="34258" priority="111927" stopIfTrue="1" operator="greaterThanOrEqual">
      <formula>0.5</formula>
    </cfRule>
  </conditionalFormatting>
  <conditionalFormatting sqref="Z45">
    <cfRule type="cellIs" dxfId="34257" priority="111928" stopIfTrue="1" operator="equal">
      <formula>-1</formula>
    </cfRule>
  </conditionalFormatting>
  <conditionalFormatting sqref="Z45">
    <cfRule type="cellIs" dxfId="34256" priority="111929" stopIfTrue="1" operator="lessThan">
      <formula>0.5</formula>
    </cfRule>
  </conditionalFormatting>
  <conditionalFormatting sqref="Z45">
    <cfRule type="cellIs" dxfId="34255" priority="111930" stopIfTrue="1" operator="greaterThanOrEqual">
      <formula>0.5</formula>
    </cfRule>
  </conditionalFormatting>
  <conditionalFormatting sqref="Z46">
    <cfRule type="cellIs" dxfId="34254" priority="111931" stopIfTrue="1" operator="equal">
      <formula>-1</formula>
    </cfRule>
  </conditionalFormatting>
  <conditionalFormatting sqref="Z46">
    <cfRule type="cellIs" dxfId="34253" priority="111932" stopIfTrue="1" operator="lessThan">
      <formula>0.5</formula>
    </cfRule>
  </conditionalFormatting>
  <conditionalFormatting sqref="Z46">
    <cfRule type="cellIs" dxfId="34252" priority="111933" stopIfTrue="1" operator="greaterThanOrEqual">
      <formula>0.5</formula>
    </cfRule>
  </conditionalFormatting>
  <conditionalFormatting sqref="Z47">
    <cfRule type="cellIs" dxfId="34251" priority="111934" stopIfTrue="1" operator="equal">
      <formula>-1</formula>
    </cfRule>
  </conditionalFormatting>
  <conditionalFormatting sqref="Z47">
    <cfRule type="cellIs" dxfId="34250" priority="111935" stopIfTrue="1" operator="lessThan">
      <formula>0.5</formula>
    </cfRule>
  </conditionalFormatting>
  <conditionalFormatting sqref="Z47">
    <cfRule type="cellIs" dxfId="34249" priority="111936" stopIfTrue="1" operator="greaterThanOrEqual">
      <formula>0.5</formula>
    </cfRule>
  </conditionalFormatting>
  <conditionalFormatting sqref="Z48">
    <cfRule type="cellIs" dxfId="34248" priority="111937" stopIfTrue="1" operator="equal">
      <formula>-1</formula>
    </cfRule>
  </conditionalFormatting>
  <conditionalFormatting sqref="Z48">
    <cfRule type="cellIs" dxfId="34247" priority="111938" stopIfTrue="1" operator="lessThan">
      <formula>0.5</formula>
    </cfRule>
  </conditionalFormatting>
  <conditionalFormatting sqref="Z48">
    <cfRule type="cellIs" dxfId="34246" priority="111939" stopIfTrue="1" operator="greaterThanOrEqual">
      <formula>0.5</formula>
    </cfRule>
  </conditionalFormatting>
  <conditionalFormatting sqref="Z49">
    <cfRule type="cellIs" dxfId="34245" priority="111940" stopIfTrue="1" operator="equal">
      <formula>-1</formula>
    </cfRule>
  </conditionalFormatting>
  <conditionalFormatting sqref="Z49">
    <cfRule type="cellIs" dxfId="34244" priority="111941" stopIfTrue="1" operator="lessThan">
      <formula>0.5</formula>
    </cfRule>
  </conditionalFormatting>
  <conditionalFormatting sqref="Z49">
    <cfRule type="cellIs" dxfId="34243" priority="111942" stopIfTrue="1" operator="greaterThanOrEqual">
      <formula>0.5</formula>
    </cfRule>
  </conditionalFormatting>
  <conditionalFormatting sqref="Z50">
    <cfRule type="cellIs" dxfId="34242" priority="111943" stopIfTrue="1" operator="equal">
      <formula>-1</formula>
    </cfRule>
  </conditionalFormatting>
  <conditionalFormatting sqref="Z50">
    <cfRule type="cellIs" dxfId="34241" priority="111944" stopIfTrue="1" operator="lessThan">
      <formula>0.5</formula>
    </cfRule>
  </conditionalFormatting>
  <conditionalFormatting sqref="Z50">
    <cfRule type="cellIs" dxfId="34240" priority="111945" stopIfTrue="1" operator="greaterThanOrEqual">
      <formula>0.5</formula>
    </cfRule>
  </conditionalFormatting>
  <conditionalFormatting sqref="Z51">
    <cfRule type="cellIs" dxfId="34239" priority="111946" stopIfTrue="1" operator="equal">
      <formula>-1</formula>
    </cfRule>
  </conditionalFormatting>
  <conditionalFormatting sqref="Z51">
    <cfRule type="cellIs" dxfId="34238" priority="111947" stopIfTrue="1" operator="lessThan">
      <formula>0.5</formula>
    </cfRule>
  </conditionalFormatting>
  <conditionalFormatting sqref="Z51">
    <cfRule type="cellIs" dxfId="34237" priority="111948" stopIfTrue="1" operator="greaterThanOrEqual">
      <formula>0.5</formula>
    </cfRule>
  </conditionalFormatting>
  <conditionalFormatting sqref="Z52">
    <cfRule type="cellIs" dxfId="34236" priority="111949" stopIfTrue="1" operator="equal">
      <formula>-1</formula>
    </cfRule>
  </conditionalFormatting>
  <conditionalFormatting sqref="Z52">
    <cfRule type="cellIs" dxfId="34235" priority="111950" stopIfTrue="1" operator="lessThan">
      <formula>0.5</formula>
    </cfRule>
  </conditionalFormatting>
  <conditionalFormatting sqref="Z52">
    <cfRule type="cellIs" dxfId="34234" priority="111951" stopIfTrue="1" operator="greaterThanOrEqual">
      <formula>0.5</formula>
    </cfRule>
  </conditionalFormatting>
  <conditionalFormatting sqref="Z53">
    <cfRule type="cellIs" dxfId="34233" priority="111952" stopIfTrue="1" operator="equal">
      <formula>-1</formula>
    </cfRule>
  </conditionalFormatting>
  <conditionalFormatting sqref="Z53">
    <cfRule type="cellIs" dxfId="34232" priority="111953" stopIfTrue="1" operator="lessThan">
      <formula>0.5</formula>
    </cfRule>
  </conditionalFormatting>
  <conditionalFormatting sqref="Z53">
    <cfRule type="cellIs" dxfId="34231" priority="111954" stopIfTrue="1" operator="greaterThanOrEqual">
      <formula>0.5</formula>
    </cfRule>
  </conditionalFormatting>
  <conditionalFormatting sqref="Z54">
    <cfRule type="cellIs" dxfId="34230" priority="111955" stopIfTrue="1" operator="equal">
      <formula>-1</formula>
    </cfRule>
  </conditionalFormatting>
  <conditionalFormatting sqref="Z54">
    <cfRule type="cellIs" dxfId="34229" priority="111956" stopIfTrue="1" operator="lessThan">
      <formula>0.5</formula>
    </cfRule>
  </conditionalFormatting>
  <conditionalFormatting sqref="Z54">
    <cfRule type="cellIs" dxfId="34228" priority="111957" stopIfTrue="1" operator="greaterThanOrEqual">
      <formula>0.5</formula>
    </cfRule>
  </conditionalFormatting>
  <conditionalFormatting sqref="Z55">
    <cfRule type="cellIs" dxfId="34227" priority="111958" stopIfTrue="1" operator="equal">
      <formula>-1</formula>
    </cfRule>
  </conditionalFormatting>
  <conditionalFormatting sqref="Z55">
    <cfRule type="cellIs" dxfId="34226" priority="111959" stopIfTrue="1" operator="lessThan">
      <formula>0.5</formula>
    </cfRule>
  </conditionalFormatting>
  <conditionalFormatting sqref="Z55">
    <cfRule type="cellIs" dxfId="34225" priority="111960" stopIfTrue="1" operator="greaterThanOrEqual">
      <formula>0.5</formula>
    </cfRule>
  </conditionalFormatting>
  <conditionalFormatting sqref="Z56">
    <cfRule type="cellIs" dxfId="34224" priority="111961" stopIfTrue="1" operator="equal">
      <formula>-1</formula>
    </cfRule>
  </conditionalFormatting>
  <conditionalFormatting sqref="Z56">
    <cfRule type="cellIs" dxfId="34223" priority="111962" stopIfTrue="1" operator="lessThan">
      <formula>0.5</formula>
    </cfRule>
  </conditionalFormatting>
  <conditionalFormatting sqref="Z56">
    <cfRule type="cellIs" dxfId="34222" priority="111963" stopIfTrue="1" operator="greaterThanOrEqual">
      <formula>0.5</formula>
    </cfRule>
  </conditionalFormatting>
  <conditionalFormatting sqref="Z57">
    <cfRule type="cellIs" dxfId="34221" priority="111964" stopIfTrue="1" operator="equal">
      <formula>-1</formula>
    </cfRule>
  </conditionalFormatting>
  <conditionalFormatting sqref="Z57">
    <cfRule type="cellIs" dxfId="34220" priority="111965" stopIfTrue="1" operator="lessThan">
      <formula>0.5</formula>
    </cfRule>
  </conditionalFormatting>
  <conditionalFormatting sqref="Z57">
    <cfRule type="cellIs" dxfId="34219" priority="111966" stopIfTrue="1" operator="greaterThanOrEqual">
      <formula>0.5</formula>
    </cfRule>
  </conditionalFormatting>
  <conditionalFormatting sqref="Z58">
    <cfRule type="cellIs" dxfId="34218" priority="111967" stopIfTrue="1" operator="equal">
      <formula>-1</formula>
    </cfRule>
  </conditionalFormatting>
  <conditionalFormatting sqref="Z58">
    <cfRule type="cellIs" dxfId="34217" priority="111968" stopIfTrue="1" operator="lessThan">
      <formula>0.5</formula>
    </cfRule>
  </conditionalFormatting>
  <conditionalFormatting sqref="Z58">
    <cfRule type="cellIs" dxfId="34216" priority="111969" stopIfTrue="1" operator="greaterThanOrEqual">
      <formula>0.5</formula>
    </cfRule>
  </conditionalFormatting>
  <conditionalFormatting sqref="AB39">
    <cfRule type="cellIs" dxfId="34215" priority="111970" stopIfTrue="1" operator="equal">
      <formula>-1</formula>
    </cfRule>
  </conditionalFormatting>
  <conditionalFormatting sqref="AB39">
    <cfRule type="cellIs" dxfId="34214" priority="111971" stopIfTrue="1" operator="lessThan">
      <formula>0.5</formula>
    </cfRule>
  </conditionalFormatting>
  <conditionalFormatting sqref="AB39">
    <cfRule type="cellIs" dxfId="34213" priority="111972" stopIfTrue="1" operator="greaterThanOrEqual">
      <formula>0.5</formula>
    </cfRule>
  </conditionalFormatting>
  <conditionalFormatting sqref="AB40">
    <cfRule type="cellIs" dxfId="34212" priority="111973" stopIfTrue="1" operator="equal">
      <formula>-1</formula>
    </cfRule>
  </conditionalFormatting>
  <conditionalFormatting sqref="AB40">
    <cfRule type="cellIs" dxfId="34211" priority="111974" stopIfTrue="1" operator="lessThan">
      <formula>0.5</formula>
    </cfRule>
  </conditionalFormatting>
  <conditionalFormatting sqref="AB40">
    <cfRule type="cellIs" dxfId="34210" priority="111975" stopIfTrue="1" operator="greaterThanOrEqual">
      <formula>0.5</formula>
    </cfRule>
  </conditionalFormatting>
  <conditionalFormatting sqref="AB41">
    <cfRule type="cellIs" dxfId="34209" priority="111976" stopIfTrue="1" operator="equal">
      <formula>-1</formula>
    </cfRule>
  </conditionalFormatting>
  <conditionalFormatting sqref="AB41">
    <cfRule type="cellIs" dxfId="34208" priority="111977" stopIfTrue="1" operator="lessThan">
      <formula>0.5</formula>
    </cfRule>
  </conditionalFormatting>
  <conditionalFormatting sqref="AB41">
    <cfRule type="cellIs" dxfId="34207" priority="111978" stopIfTrue="1" operator="greaterThanOrEqual">
      <formula>0.5</formula>
    </cfRule>
  </conditionalFormatting>
  <conditionalFormatting sqref="AB42">
    <cfRule type="cellIs" dxfId="34206" priority="111979" stopIfTrue="1" operator="equal">
      <formula>-1</formula>
    </cfRule>
  </conditionalFormatting>
  <conditionalFormatting sqref="AB42">
    <cfRule type="cellIs" dxfId="34205" priority="111980" stopIfTrue="1" operator="lessThan">
      <formula>0.5</formula>
    </cfRule>
  </conditionalFormatting>
  <conditionalFormatting sqref="AB42">
    <cfRule type="cellIs" dxfId="34204" priority="111981" stopIfTrue="1" operator="greaterThanOrEqual">
      <formula>0.5</formula>
    </cfRule>
  </conditionalFormatting>
  <conditionalFormatting sqref="AB43">
    <cfRule type="cellIs" dxfId="34203" priority="111982" stopIfTrue="1" operator="equal">
      <formula>-1</formula>
    </cfRule>
  </conditionalFormatting>
  <conditionalFormatting sqref="AB43">
    <cfRule type="cellIs" dxfId="34202" priority="111983" stopIfTrue="1" operator="lessThan">
      <formula>0.5</formula>
    </cfRule>
  </conditionalFormatting>
  <conditionalFormatting sqref="AB43">
    <cfRule type="cellIs" dxfId="34201" priority="111984" stopIfTrue="1" operator="greaterThanOrEqual">
      <formula>0.5</formula>
    </cfRule>
  </conditionalFormatting>
  <conditionalFormatting sqref="AB44">
    <cfRule type="cellIs" dxfId="34200" priority="111985" stopIfTrue="1" operator="equal">
      <formula>-1</formula>
    </cfRule>
  </conditionalFormatting>
  <conditionalFormatting sqref="AB44">
    <cfRule type="cellIs" dxfId="34199" priority="111986" stopIfTrue="1" operator="lessThan">
      <formula>0.5</formula>
    </cfRule>
  </conditionalFormatting>
  <conditionalFormatting sqref="AB44">
    <cfRule type="cellIs" dxfId="34198" priority="111987" stopIfTrue="1" operator="greaterThanOrEqual">
      <formula>0.5</formula>
    </cfRule>
  </conditionalFormatting>
  <conditionalFormatting sqref="AB45">
    <cfRule type="cellIs" dxfId="34197" priority="111988" stopIfTrue="1" operator="equal">
      <formula>-1</formula>
    </cfRule>
  </conditionalFormatting>
  <conditionalFormatting sqref="AB45">
    <cfRule type="cellIs" dxfId="34196" priority="111989" stopIfTrue="1" operator="lessThan">
      <formula>0.5</formula>
    </cfRule>
  </conditionalFormatting>
  <conditionalFormatting sqref="AB45">
    <cfRule type="cellIs" dxfId="34195" priority="111990" stopIfTrue="1" operator="greaterThanOrEqual">
      <formula>0.5</formula>
    </cfRule>
  </conditionalFormatting>
  <conditionalFormatting sqref="AB46">
    <cfRule type="cellIs" dxfId="34194" priority="111991" stopIfTrue="1" operator="equal">
      <formula>-1</formula>
    </cfRule>
  </conditionalFormatting>
  <conditionalFormatting sqref="AB46">
    <cfRule type="cellIs" dxfId="34193" priority="111992" stopIfTrue="1" operator="lessThan">
      <formula>0.5</formula>
    </cfRule>
  </conditionalFormatting>
  <conditionalFormatting sqref="AB46">
    <cfRule type="cellIs" dxfId="34192" priority="111993" stopIfTrue="1" operator="greaterThanOrEqual">
      <formula>0.5</formula>
    </cfRule>
  </conditionalFormatting>
  <conditionalFormatting sqref="AB47">
    <cfRule type="cellIs" dxfId="34191" priority="111994" stopIfTrue="1" operator="equal">
      <formula>-1</formula>
    </cfRule>
  </conditionalFormatting>
  <conditionalFormatting sqref="AB47">
    <cfRule type="cellIs" dxfId="34190" priority="111995" stopIfTrue="1" operator="lessThan">
      <formula>0.5</formula>
    </cfRule>
  </conditionalFormatting>
  <conditionalFormatting sqref="AB47">
    <cfRule type="cellIs" dxfId="34189" priority="111996" stopIfTrue="1" operator="greaterThanOrEqual">
      <formula>0.5</formula>
    </cfRule>
  </conditionalFormatting>
  <conditionalFormatting sqref="AB48">
    <cfRule type="cellIs" dxfId="34188" priority="111997" stopIfTrue="1" operator="equal">
      <formula>-1</formula>
    </cfRule>
  </conditionalFormatting>
  <conditionalFormatting sqref="AB48">
    <cfRule type="cellIs" dxfId="34187" priority="111998" stopIfTrue="1" operator="lessThan">
      <formula>0.5</formula>
    </cfRule>
  </conditionalFormatting>
  <conditionalFormatting sqref="AB48">
    <cfRule type="cellIs" dxfId="34186" priority="111999" stopIfTrue="1" operator="greaterThanOrEqual">
      <formula>0.5</formula>
    </cfRule>
  </conditionalFormatting>
  <conditionalFormatting sqref="AB49">
    <cfRule type="cellIs" dxfId="34185" priority="112000" stopIfTrue="1" operator="equal">
      <formula>-1</formula>
    </cfRule>
  </conditionalFormatting>
  <conditionalFormatting sqref="AB49">
    <cfRule type="cellIs" dxfId="34184" priority="112001" stopIfTrue="1" operator="lessThan">
      <formula>0.5</formula>
    </cfRule>
  </conditionalFormatting>
  <conditionalFormatting sqref="AB49">
    <cfRule type="cellIs" dxfId="34183" priority="112002" stopIfTrue="1" operator="greaterThanOrEqual">
      <formula>0.5</formula>
    </cfRule>
  </conditionalFormatting>
  <conditionalFormatting sqref="AB50">
    <cfRule type="cellIs" dxfId="34182" priority="112003" stopIfTrue="1" operator="equal">
      <formula>-1</formula>
    </cfRule>
  </conditionalFormatting>
  <conditionalFormatting sqref="AB50">
    <cfRule type="cellIs" dxfId="34181" priority="112004" stopIfTrue="1" operator="lessThan">
      <formula>0.5</formula>
    </cfRule>
  </conditionalFormatting>
  <conditionalFormatting sqref="AB50">
    <cfRule type="cellIs" dxfId="34180" priority="112005" stopIfTrue="1" operator="greaterThanOrEqual">
      <formula>0.5</formula>
    </cfRule>
  </conditionalFormatting>
  <conditionalFormatting sqref="AB51">
    <cfRule type="cellIs" dxfId="34179" priority="112006" stopIfTrue="1" operator="equal">
      <formula>-1</formula>
    </cfRule>
  </conditionalFormatting>
  <conditionalFormatting sqref="AB51">
    <cfRule type="cellIs" dxfId="34178" priority="112007" stopIfTrue="1" operator="lessThan">
      <formula>0.5</formula>
    </cfRule>
  </conditionalFormatting>
  <conditionalFormatting sqref="AB51">
    <cfRule type="cellIs" dxfId="34177" priority="112008" stopIfTrue="1" operator="greaterThanOrEqual">
      <formula>0.5</formula>
    </cfRule>
  </conditionalFormatting>
  <conditionalFormatting sqref="AB52">
    <cfRule type="cellIs" dxfId="34176" priority="112009" stopIfTrue="1" operator="equal">
      <formula>-1</formula>
    </cfRule>
  </conditionalFormatting>
  <conditionalFormatting sqref="AB52">
    <cfRule type="cellIs" dxfId="34175" priority="112010" stopIfTrue="1" operator="lessThan">
      <formula>0.5</formula>
    </cfRule>
  </conditionalFormatting>
  <conditionalFormatting sqref="AB52">
    <cfRule type="cellIs" dxfId="34174" priority="112011" stopIfTrue="1" operator="greaterThanOrEqual">
      <formula>0.5</formula>
    </cfRule>
  </conditionalFormatting>
  <conditionalFormatting sqref="AB53">
    <cfRule type="cellIs" dxfId="34173" priority="112012" stopIfTrue="1" operator="equal">
      <formula>-1</formula>
    </cfRule>
  </conditionalFormatting>
  <conditionalFormatting sqref="AB53">
    <cfRule type="cellIs" dxfId="34172" priority="112013" stopIfTrue="1" operator="lessThan">
      <formula>0.5</formula>
    </cfRule>
  </conditionalFormatting>
  <conditionalFormatting sqref="AB53">
    <cfRule type="cellIs" dxfId="34171" priority="112014" stopIfTrue="1" operator="greaterThanOrEqual">
      <formula>0.5</formula>
    </cfRule>
  </conditionalFormatting>
  <conditionalFormatting sqref="AB54">
    <cfRule type="cellIs" dxfId="34170" priority="112015" stopIfTrue="1" operator="equal">
      <formula>-1</formula>
    </cfRule>
  </conditionalFormatting>
  <conditionalFormatting sqref="AB54">
    <cfRule type="cellIs" dxfId="34169" priority="112016" stopIfTrue="1" operator="lessThan">
      <formula>0.5</formula>
    </cfRule>
  </conditionalFormatting>
  <conditionalFormatting sqref="AB54">
    <cfRule type="cellIs" dxfId="34168" priority="112017" stopIfTrue="1" operator="greaterThanOrEqual">
      <formula>0.5</formula>
    </cfRule>
  </conditionalFormatting>
  <conditionalFormatting sqref="AB55">
    <cfRule type="cellIs" dxfId="34167" priority="112018" stopIfTrue="1" operator="equal">
      <formula>-1</formula>
    </cfRule>
  </conditionalFormatting>
  <conditionalFormatting sqref="AB55">
    <cfRule type="cellIs" dxfId="34166" priority="112019" stopIfTrue="1" operator="lessThan">
      <formula>0.5</formula>
    </cfRule>
  </conditionalFormatting>
  <conditionalFormatting sqref="AB55">
    <cfRule type="cellIs" dxfId="34165" priority="112020" stopIfTrue="1" operator="greaterThanOrEqual">
      <formula>0.5</formula>
    </cfRule>
  </conditionalFormatting>
  <conditionalFormatting sqref="AB56">
    <cfRule type="cellIs" dxfId="34164" priority="112021" stopIfTrue="1" operator="equal">
      <formula>-1</formula>
    </cfRule>
  </conditionalFormatting>
  <conditionalFormatting sqref="AB56">
    <cfRule type="cellIs" dxfId="34163" priority="112022" stopIfTrue="1" operator="lessThan">
      <formula>0.5</formula>
    </cfRule>
  </conditionalFormatting>
  <conditionalFormatting sqref="AB56">
    <cfRule type="cellIs" dxfId="34162" priority="112023" stopIfTrue="1" operator="greaterThanOrEqual">
      <formula>0.5</formula>
    </cfRule>
  </conditionalFormatting>
  <conditionalFormatting sqref="AB57">
    <cfRule type="cellIs" dxfId="34161" priority="112024" stopIfTrue="1" operator="equal">
      <formula>-1</formula>
    </cfRule>
  </conditionalFormatting>
  <conditionalFormatting sqref="AB57">
    <cfRule type="cellIs" dxfId="34160" priority="112025" stopIfTrue="1" operator="lessThan">
      <formula>0.5</formula>
    </cfRule>
  </conditionalFormatting>
  <conditionalFormatting sqref="AB57">
    <cfRule type="cellIs" dxfId="34159" priority="112026" stopIfTrue="1" operator="greaterThanOrEqual">
      <formula>0.5</formula>
    </cfRule>
  </conditionalFormatting>
  <conditionalFormatting sqref="AB58">
    <cfRule type="cellIs" dxfId="34158" priority="112027" stopIfTrue="1" operator="equal">
      <formula>-1</formula>
    </cfRule>
  </conditionalFormatting>
  <conditionalFormatting sqref="AB58">
    <cfRule type="cellIs" dxfId="34157" priority="112028" stopIfTrue="1" operator="lessThan">
      <formula>0.5</formula>
    </cfRule>
  </conditionalFormatting>
  <conditionalFormatting sqref="AB58">
    <cfRule type="cellIs" dxfId="34156" priority="112029" stopIfTrue="1" operator="greaterThanOrEqual">
      <formula>0.5</formula>
    </cfRule>
  </conditionalFormatting>
  <conditionalFormatting sqref="AD39">
    <cfRule type="cellIs" dxfId="34155" priority="112030" stopIfTrue="1" operator="equal">
      <formula>-1</formula>
    </cfRule>
  </conditionalFormatting>
  <conditionalFormatting sqref="AD39">
    <cfRule type="cellIs" dxfId="34154" priority="112031" stopIfTrue="1" operator="lessThan">
      <formula>0.5</formula>
    </cfRule>
  </conditionalFormatting>
  <conditionalFormatting sqref="AD39">
    <cfRule type="cellIs" dxfId="34153" priority="112032" stopIfTrue="1" operator="greaterThanOrEqual">
      <formula>0.5</formula>
    </cfRule>
  </conditionalFormatting>
  <conditionalFormatting sqref="AD40">
    <cfRule type="cellIs" dxfId="34152" priority="112033" stopIfTrue="1" operator="equal">
      <formula>-1</formula>
    </cfRule>
  </conditionalFormatting>
  <conditionalFormatting sqref="AD40">
    <cfRule type="cellIs" dxfId="34151" priority="112034" stopIfTrue="1" operator="lessThan">
      <formula>0.5</formula>
    </cfRule>
  </conditionalFormatting>
  <conditionalFormatting sqref="AD40">
    <cfRule type="cellIs" dxfId="34150" priority="112035" stopIfTrue="1" operator="greaterThanOrEqual">
      <formula>0.5</formula>
    </cfRule>
  </conditionalFormatting>
  <conditionalFormatting sqref="AD41">
    <cfRule type="cellIs" dxfId="34149" priority="112036" stopIfTrue="1" operator="equal">
      <formula>-1</formula>
    </cfRule>
  </conditionalFormatting>
  <conditionalFormatting sqref="AD41">
    <cfRule type="cellIs" dxfId="34148" priority="112037" stopIfTrue="1" operator="lessThan">
      <formula>0.5</formula>
    </cfRule>
  </conditionalFormatting>
  <conditionalFormatting sqref="AD41">
    <cfRule type="cellIs" dxfId="34147" priority="112038" stopIfTrue="1" operator="greaterThanOrEqual">
      <formula>0.5</formula>
    </cfRule>
  </conditionalFormatting>
  <conditionalFormatting sqref="AD42">
    <cfRule type="cellIs" dxfId="34146" priority="112039" stopIfTrue="1" operator="equal">
      <formula>-1</formula>
    </cfRule>
  </conditionalFormatting>
  <conditionalFormatting sqref="AD42">
    <cfRule type="cellIs" dxfId="34145" priority="112040" stopIfTrue="1" operator="lessThan">
      <formula>0.5</formula>
    </cfRule>
  </conditionalFormatting>
  <conditionalFormatting sqref="AD42">
    <cfRule type="cellIs" dxfId="34144" priority="112041" stopIfTrue="1" operator="greaterThanOrEqual">
      <formula>0.5</formula>
    </cfRule>
  </conditionalFormatting>
  <conditionalFormatting sqref="AD43">
    <cfRule type="cellIs" dxfId="34143" priority="112042" stopIfTrue="1" operator="equal">
      <formula>-1</formula>
    </cfRule>
  </conditionalFormatting>
  <conditionalFormatting sqref="AD43">
    <cfRule type="cellIs" dxfId="34142" priority="112043" stopIfTrue="1" operator="lessThan">
      <formula>0.5</formula>
    </cfRule>
  </conditionalFormatting>
  <conditionalFormatting sqref="AD43">
    <cfRule type="cellIs" dxfId="34141" priority="112044" stopIfTrue="1" operator="greaterThanOrEqual">
      <formula>0.5</formula>
    </cfRule>
  </conditionalFormatting>
  <conditionalFormatting sqref="AD44">
    <cfRule type="cellIs" dxfId="34140" priority="112045" stopIfTrue="1" operator="equal">
      <formula>-1</formula>
    </cfRule>
  </conditionalFormatting>
  <conditionalFormatting sqref="AD44">
    <cfRule type="cellIs" dxfId="34139" priority="112046" stopIfTrue="1" operator="lessThan">
      <formula>0.5</formula>
    </cfRule>
  </conditionalFormatting>
  <conditionalFormatting sqref="AD44">
    <cfRule type="cellIs" dxfId="34138" priority="112047" stopIfTrue="1" operator="greaterThanOrEqual">
      <formula>0.5</formula>
    </cfRule>
  </conditionalFormatting>
  <conditionalFormatting sqref="AD45">
    <cfRule type="cellIs" dxfId="34137" priority="112048" stopIfTrue="1" operator="equal">
      <formula>-1</formula>
    </cfRule>
  </conditionalFormatting>
  <conditionalFormatting sqref="AD45">
    <cfRule type="cellIs" dxfId="34136" priority="112049" stopIfTrue="1" operator="lessThan">
      <formula>0.5</formula>
    </cfRule>
  </conditionalFormatting>
  <conditionalFormatting sqref="AD45">
    <cfRule type="cellIs" dxfId="34135" priority="112050" stopIfTrue="1" operator="greaterThanOrEqual">
      <formula>0.5</formula>
    </cfRule>
  </conditionalFormatting>
  <conditionalFormatting sqref="AD46">
    <cfRule type="cellIs" dxfId="34134" priority="112051" stopIfTrue="1" operator="equal">
      <formula>-1</formula>
    </cfRule>
  </conditionalFormatting>
  <conditionalFormatting sqref="AD46">
    <cfRule type="cellIs" dxfId="34133" priority="112052" stopIfTrue="1" operator="lessThan">
      <formula>0.5</formula>
    </cfRule>
  </conditionalFormatting>
  <conditionalFormatting sqref="AD46">
    <cfRule type="cellIs" dxfId="34132" priority="112053" stopIfTrue="1" operator="greaterThanOrEqual">
      <formula>0.5</formula>
    </cfRule>
  </conditionalFormatting>
  <conditionalFormatting sqref="AD47">
    <cfRule type="cellIs" dxfId="34131" priority="112054" stopIfTrue="1" operator="equal">
      <formula>-1</formula>
    </cfRule>
  </conditionalFormatting>
  <conditionalFormatting sqref="AD47">
    <cfRule type="cellIs" dxfId="34130" priority="112055" stopIfTrue="1" operator="lessThan">
      <formula>0.5</formula>
    </cfRule>
  </conditionalFormatting>
  <conditionalFormatting sqref="AD47">
    <cfRule type="cellIs" dxfId="34129" priority="112056" stopIfTrue="1" operator="greaterThanOrEqual">
      <formula>0.5</formula>
    </cfRule>
  </conditionalFormatting>
  <conditionalFormatting sqref="AD48">
    <cfRule type="cellIs" dxfId="34128" priority="112057" stopIfTrue="1" operator="equal">
      <formula>-1</formula>
    </cfRule>
  </conditionalFormatting>
  <conditionalFormatting sqref="AD48">
    <cfRule type="cellIs" dxfId="34127" priority="112058" stopIfTrue="1" operator="lessThan">
      <formula>0.5</formula>
    </cfRule>
  </conditionalFormatting>
  <conditionalFormatting sqref="AD48">
    <cfRule type="cellIs" dxfId="34126" priority="112059" stopIfTrue="1" operator="greaterThanOrEqual">
      <formula>0.5</formula>
    </cfRule>
  </conditionalFormatting>
  <conditionalFormatting sqref="AD49">
    <cfRule type="cellIs" dxfId="34125" priority="112060" stopIfTrue="1" operator="equal">
      <formula>-1</formula>
    </cfRule>
  </conditionalFormatting>
  <conditionalFormatting sqref="AD49">
    <cfRule type="cellIs" dxfId="34124" priority="112061" stopIfTrue="1" operator="lessThan">
      <formula>0.5</formula>
    </cfRule>
  </conditionalFormatting>
  <conditionalFormatting sqref="AD49">
    <cfRule type="cellIs" dxfId="34123" priority="112062" stopIfTrue="1" operator="greaterThanOrEqual">
      <formula>0.5</formula>
    </cfRule>
  </conditionalFormatting>
  <conditionalFormatting sqref="AD50">
    <cfRule type="cellIs" dxfId="34122" priority="112063" stopIfTrue="1" operator="equal">
      <formula>-1</formula>
    </cfRule>
  </conditionalFormatting>
  <conditionalFormatting sqref="AD50">
    <cfRule type="cellIs" dxfId="34121" priority="112064" stopIfTrue="1" operator="lessThan">
      <formula>0.5</formula>
    </cfRule>
  </conditionalFormatting>
  <conditionalFormatting sqref="AD50">
    <cfRule type="cellIs" dxfId="34120" priority="112065" stopIfTrue="1" operator="greaterThanOrEqual">
      <formula>0.5</formula>
    </cfRule>
  </conditionalFormatting>
  <conditionalFormatting sqref="AD51">
    <cfRule type="cellIs" dxfId="34119" priority="112066" stopIfTrue="1" operator="equal">
      <formula>-1</formula>
    </cfRule>
  </conditionalFormatting>
  <conditionalFormatting sqref="AD51">
    <cfRule type="cellIs" dxfId="34118" priority="112067" stopIfTrue="1" operator="lessThan">
      <formula>0.5</formula>
    </cfRule>
  </conditionalFormatting>
  <conditionalFormatting sqref="AD51">
    <cfRule type="cellIs" dxfId="34117" priority="112068" stopIfTrue="1" operator="greaterThanOrEqual">
      <formula>0.5</formula>
    </cfRule>
  </conditionalFormatting>
  <conditionalFormatting sqref="AD52">
    <cfRule type="cellIs" dxfId="34116" priority="112069" stopIfTrue="1" operator="equal">
      <formula>-1</formula>
    </cfRule>
  </conditionalFormatting>
  <conditionalFormatting sqref="AD52">
    <cfRule type="cellIs" dxfId="34115" priority="112070" stopIfTrue="1" operator="lessThan">
      <formula>0.5</formula>
    </cfRule>
  </conditionalFormatting>
  <conditionalFormatting sqref="AD52">
    <cfRule type="cellIs" dxfId="34114" priority="112071" stopIfTrue="1" operator="greaterThanOrEqual">
      <formula>0.5</formula>
    </cfRule>
  </conditionalFormatting>
  <conditionalFormatting sqref="AD53">
    <cfRule type="cellIs" dxfId="34113" priority="112072" stopIfTrue="1" operator="equal">
      <formula>-1</formula>
    </cfRule>
  </conditionalFormatting>
  <conditionalFormatting sqref="AD53">
    <cfRule type="cellIs" dxfId="34112" priority="112073" stopIfTrue="1" operator="lessThan">
      <formula>0.5</formula>
    </cfRule>
  </conditionalFormatting>
  <conditionalFormatting sqref="AD53">
    <cfRule type="cellIs" dxfId="34111" priority="112074" stopIfTrue="1" operator="greaterThanOrEqual">
      <formula>0.5</formula>
    </cfRule>
  </conditionalFormatting>
  <conditionalFormatting sqref="AD54">
    <cfRule type="cellIs" dxfId="34110" priority="112075" stopIfTrue="1" operator="equal">
      <formula>-1</formula>
    </cfRule>
  </conditionalFormatting>
  <conditionalFormatting sqref="AD54">
    <cfRule type="cellIs" dxfId="34109" priority="112076" stopIfTrue="1" operator="lessThan">
      <formula>0.5</formula>
    </cfRule>
  </conditionalFormatting>
  <conditionalFormatting sqref="AD54">
    <cfRule type="cellIs" dxfId="34108" priority="112077" stopIfTrue="1" operator="greaterThanOrEqual">
      <formula>0.5</formula>
    </cfRule>
  </conditionalFormatting>
  <conditionalFormatting sqref="AD55">
    <cfRule type="cellIs" dxfId="34107" priority="112078" stopIfTrue="1" operator="equal">
      <formula>-1</formula>
    </cfRule>
  </conditionalFormatting>
  <conditionalFormatting sqref="AD55">
    <cfRule type="cellIs" dxfId="34106" priority="112079" stopIfTrue="1" operator="lessThan">
      <formula>0.5</formula>
    </cfRule>
  </conditionalFormatting>
  <conditionalFormatting sqref="AD55">
    <cfRule type="cellIs" dxfId="34105" priority="112080" stopIfTrue="1" operator="greaterThanOrEqual">
      <formula>0.5</formula>
    </cfRule>
  </conditionalFormatting>
  <conditionalFormatting sqref="AD56">
    <cfRule type="cellIs" dxfId="34104" priority="112081" stopIfTrue="1" operator="equal">
      <formula>-1</formula>
    </cfRule>
  </conditionalFormatting>
  <conditionalFormatting sqref="AD56">
    <cfRule type="cellIs" dxfId="34103" priority="112082" stopIfTrue="1" operator="lessThan">
      <formula>0.5</formula>
    </cfRule>
  </conditionalFormatting>
  <conditionalFormatting sqref="AD56">
    <cfRule type="cellIs" dxfId="34102" priority="112083" stopIfTrue="1" operator="greaterThanOrEqual">
      <formula>0.5</formula>
    </cfRule>
  </conditionalFormatting>
  <conditionalFormatting sqref="AD57">
    <cfRule type="cellIs" dxfId="34101" priority="112084" stopIfTrue="1" operator="equal">
      <formula>-1</formula>
    </cfRule>
  </conditionalFormatting>
  <conditionalFormatting sqref="AD57">
    <cfRule type="cellIs" dxfId="34100" priority="112085" stopIfTrue="1" operator="lessThan">
      <formula>0.5</formula>
    </cfRule>
  </conditionalFormatting>
  <conditionalFormatting sqref="AD57">
    <cfRule type="cellIs" dxfId="34099" priority="112086" stopIfTrue="1" operator="greaterThanOrEqual">
      <formula>0.5</formula>
    </cfRule>
  </conditionalFormatting>
  <conditionalFormatting sqref="AD58">
    <cfRule type="cellIs" dxfId="34098" priority="112087" stopIfTrue="1" operator="equal">
      <formula>-1</formula>
    </cfRule>
  </conditionalFormatting>
  <conditionalFormatting sqref="AD58">
    <cfRule type="cellIs" dxfId="34097" priority="112088" stopIfTrue="1" operator="lessThan">
      <formula>0.5</formula>
    </cfRule>
  </conditionalFormatting>
  <conditionalFormatting sqref="AD58">
    <cfRule type="cellIs" dxfId="34096" priority="112089" stopIfTrue="1" operator="greaterThanOrEqual">
      <formula>0.5</formula>
    </cfRule>
  </conditionalFormatting>
  <conditionalFormatting sqref="AF39">
    <cfRule type="cellIs" dxfId="34095" priority="112090" stopIfTrue="1" operator="equal">
      <formula>-1</formula>
    </cfRule>
  </conditionalFormatting>
  <conditionalFormatting sqref="AF39">
    <cfRule type="cellIs" dxfId="34094" priority="112091" stopIfTrue="1" operator="lessThan">
      <formula>0.5</formula>
    </cfRule>
  </conditionalFormatting>
  <conditionalFormatting sqref="AF39">
    <cfRule type="cellIs" dxfId="34093" priority="112092" stopIfTrue="1" operator="greaterThanOrEqual">
      <formula>0.5</formula>
    </cfRule>
  </conditionalFormatting>
  <conditionalFormatting sqref="AF40">
    <cfRule type="cellIs" dxfId="34092" priority="112093" stopIfTrue="1" operator="equal">
      <formula>-1</formula>
    </cfRule>
  </conditionalFormatting>
  <conditionalFormatting sqref="AF40">
    <cfRule type="cellIs" dxfId="34091" priority="112094" stopIfTrue="1" operator="lessThan">
      <formula>0.5</formula>
    </cfRule>
  </conditionalFormatting>
  <conditionalFormatting sqref="AF40">
    <cfRule type="cellIs" dxfId="34090" priority="112095" stopIfTrue="1" operator="greaterThanOrEqual">
      <formula>0.5</formula>
    </cfRule>
  </conditionalFormatting>
  <conditionalFormatting sqref="AF41">
    <cfRule type="cellIs" dxfId="34089" priority="112096" stopIfTrue="1" operator="equal">
      <formula>-1</formula>
    </cfRule>
  </conditionalFormatting>
  <conditionalFormatting sqref="AF41">
    <cfRule type="cellIs" dxfId="34088" priority="112097" stopIfTrue="1" operator="lessThan">
      <formula>0.5</formula>
    </cfRule>
  </conditionalFormatting>
  <conditionalFormatting sqref="AF41">
    <cfRule type="cellIs" dxfId="34087" priority="112098" stopIfTrue="1" operator="greaterThanOrEqual">
      <formula>0.5</formula>
    </cfRule>
  </conditionalFormatting>
  <conditionalFormatting sqref="AF42">
    <cfRule type="cellIs" dxfId="34086" priority="112099" stopIfTrue="1" operator="equal">
      <formula>-1</formula>
    </cfRule>
  </conditionalFormatting>
  <conditionalFormatting sqref="AF42">
    <cfRule type="cellIs" dxfId="34085" priority="112100" stopIfTrue="1" operator="lessThan">
      <formula>0.5</formula>
    </cfRule>
  </conditionalFormatting>
  <conditionalFormatting sqref="AF42">
    <cfRule type="cellIs" dxfId="34084" priority="112101" stopIfTrue="1" operator="greaterThanOrEqual">
      <formula>0.5</formula>
    </cfRule>
  </conditionalFormatting>
  <conditionalFormatting sqref="AF43">
    <cfRule type="cellIs" dxfId="34083" priority="112102" stopIfTrue="1" operator="equal">
      <formula>-1</formula>
    </cfRule>
  </conditionalFormatting>
  <conditionalFormatting sqref="AF43">
    <cfRule type="cellIs" dxfId="34082" priority="112103" stopIfTrue="1" operator="lessThan">
      <formula>0.5</formula>
    </cfRule>
  </conditionalFormatting>
  <conditionalFormatting sqref="AF43">
    <cfRule type="cellIs" dxfId="34081" priority="112104" stopIfTrue="1" operator="greaterThanOrEqual">
      <formula>0.5</formula>
    </cfRule>
  </conditionalFormatting>
  <conditionalFormatting sqref="AF44">
    <cfRule type="cellIs" dxfId="34080" priority="112105" stopIfTrue="1" operator="equal">
      <formula>-1</formula>
    </cfRule>
  </conditionalFormatting>
  <conditionalFormatting sqref="AF44">
    <cfRule type="cellIs" dxfId="34079" priority="112106" stopIfTrue="1" operator="lessThan">
      <formula>0.5</formula>
    </cfRule>
  </conditionalFormatting>
  <conditionalFormatting sqref="AF44">
    <cfRule type="cellIs" dxfId="34078" priority="112107" stopIfTrue="1" operator="greaterThanOrEqual">
      <formula>0.5</formula>
    </cfRule>
  </conditionalFormatting>
  <conditionalFormatting sqref="AF45">
    <cfRule type="cellIs" dxfId="34077" priority="112108" stopIfTrue="1" operator="equal">
      <formula>-1</formula>
    </cfRule>
  </conditionalFormatting>
  <conditionalFormatting sqref="AF45">
    <cfRule type="cellIs" dxfId="34076" priority="112109" stopIfTrue="1" operator="lessThan">
      <formula>0.5</formula>
    </cfRule>
  </conditionalFormatting>
  <conditionalFormatting sqref="AF45">
    <cfRule type="cellIs" dxfId="34075" priority="112110" stopIfTrue="1" operator="greaterThanOrEqual">
      <formula>0.5</formula>
    </cfRule>
  </conditionalFormatting>
  <conditionalFormatting sqref="AF46">
    <cfRule type="cellIs" dxfId="34074" priority="112111" stopIfTrue="1" operator="equal">
      <formula>-1</formula>
    </cfRule>
  </conditionalFormatting>
  <conditionalFormatting sqref="AF46">
    <cfRule type="cellIs" dxfId="34073" priority="112112" stopIfTrue="1" operator="lessThan">
      <formula>0.5</formula>
    </cfRule>
  </conditionalFormatting>
  <conditionalFormatting sqref="AF46">
    <cfRule type="cellIs" dxfId="34072" priority="112113" stopIfTrue="1" operator="greaterThanOrEqual">
      <formula>0.5</formula>
    </cfRule>
  </conditionalFormatting>
  <conditionalFormatting sqref="AF47">
    <cfRule type="cellIs" dxfId="34071" priority="112114" stopIfTrue="1" operator="equal">
      <formula>-1</formula>
    </cfRule>
  </conditionalFormatting>
  <conditionalFormatting sqref="AF47">
    <cfRule type="cellIs" dxfId="34070" priority="112115" stopIfTrue="1" operator="lessThan">
      <formula>0.5</formula>
    </cfRule>
  </conditionalFormatting>
  <conditionalFormatting sqref="AF47">
    <cfRule type="cellIs" dxfId="34069" priority="112116" stopIfTrue="1" operator="greaterThanOrEqual">
      <formula>0.5</formula>
    </cfRule>
  </conditionalFormatting>
  <conditionalFormatting sqref="AF48">
    <cfRule type="cellIs" dxfId="34068" priority="112117" stopIfTrue="1" operator="equal">
      <formula>-1</formula>
    </cfRule>
  </conditionalFormatting>
  <conditionalFormatting sqref="AF48">
    <cfRule type="cellIs" dxfId="34067" priority="112118" stopIfTrue="1" operator="lessThan">
      <formula>0.5</formula>
    </cfRule>
  </conditionalFormatting>
  <conditionalFormatting sqref="AF48">
    <cfRule type="cellIs" dxfId="34066" priority="112119" stopIfTrue="1" operator="greaterThanOrEqual">
      <formula>0.5</formula>
    </cfRule>
  </conditionalFormatting>
  <conditionalFormatting sqref="AF49">
    <cfRule type="cellIs" dxfId="34065" priority="112120" stopIfTrue="1" operator="equal">
      <formula>-1</formula>
    </cfRule>
  </conditionalFormatting>
  <conditionalFormatting sqref="AF49">
    <cfRule type="cellIs" dxfId="34064" priority="112121" stopIfTrue="1" operator="lessThan">
      <formula>0.5</formula>
    </cfRule>
  </conditionalFormatting>
  <conditionalFormatting sqref="AF49">
    <cfRule type="cellIs" dxfId="34063" priority="112122" stopIfTrue="1" operator="greaterThanOrEqual">
      <formula>0.5</formula>
    </cfRule>
  </conditionalFormatting>
  <conditionalFormatting sqref="AF50">
    <cfRule type="cellIs" dxfId="34062" priority="112123" stopIfTrue="1" operator="equal">
      <formula>-1</formula>
    </cfRule>
  </conditionalFormatting>
  <conditionalFormatting sqref="AF50">
    <cfRule type="cellIs" dxfId="34061" priority="112124" stopIfTrue="1" operator="lessThan">
      <formula>0.5</formula>
    </cfRule>
  </conditionalFormatting>
  <conditionalFormatting sqref="AF50">
    <cfRule type="cellIs" dxfId="34060" priority="112125" stopIfTrue="1" operator="greaterThanOrEqual">
      <formula>0.5</formula>
    </cfRule>
  </conditionalFormatting>
  <conditionalFormatting sqref="AF51">
    <cfRule type="cellIs" dxfId="34059" priority="112126" stopIfTrue="1" operator="equal">
      <formula>-1</formula>
    </cfRule>
  </conditionalFormatting>
  <conditionalFormatting sqref="AF51">
    <cfRule type="cellIs" dxfId="34058" priority="112127" stopIfTrue="1" operator="lessThan">
      <formula>0.5</formula>
    </cfRule>
  </conditionalFormatting>
  <conditionalFormatting sqref="AF51">
    <cfRule type="cellIs" dxfId="34057" priority="112128" stopIfTrue="1" operator="greaterThanOrEqual">
      <formula>0.5</formula>
    </cfRule>
  </conditionalFormatting>
  <conditionalFormatting sqref="AF52">
    <cfRule type="cellIs" dxfId="34056" priority="112129" stopIfTrue="1" operator="equal">
      <formula>-1</formula>
    </cfRule>
  </conditionalFormatting>
  <conditionalFormatting sqref="AF52">
    <cfRule type="cellIs" dxfId="34055" priority="112130" stopIfTrue="1" operator="lessThan">
      <formula>0.5</formula>
    </cfRule>
  </conditionalFormatting>
  <conditionalFormatting sqref="AF52">
    <cfRule type="cellIs" dxfId="34054" priority="112131" stopIfTrue="1" operator="greaterThanOrEqual">
      <formula>0.5</formula>
    </cfRule>
  </conditionalFormatting>
  <conditionalFormatting sqref="AF53">
    <cfRule type="cellIs" dxfId="34053" priority="112132" stopIfTrue="1" operator="equal">
      <formula>-1</formula>
    </cfRule>
  </conditionalFormatting>
  <conditionalFormatting sqref="AF53">
    <cfRule type="cellIs" dxfId="34052" priority="112133" stopIfTrue="1" operator="lessThan">
      <formula>0.5</formula>
    </cfRule>
  </conditionalFormatting>
  <conditionalFormatting sqref="AF53">
    <cfRule type="cellIs" dxfId="34051" priority="112134" stopIfTrue="1" operator="greaterThanOrEqual">
      <formula>0.5</formula>
    </cfRule>
  </conditionalFormatting>
  <conditionalFormatting sqref="AF54">
    <cfRule type="cellIs" dxfId="34050" priority="112135" stopIfTrue="1" operator="equal">
      <formula>-1</formula>
    </cfRule>
  </conditionalFormatting>
  <conditionalFormatting sqref="AF54">
    <cfRule type="cellIs" dxfId="34049" priority="112136" stopIfTrue="1" operator="lessThan">
      <formula>0.5</formula>
    </cfRule>
  </conditionalFormatting>
  <conditionalFormatting sqref="AF54">
    <cfRule type="cellIs" dxfId="34048" priority="112137" stopIfTrue="1" operator="greaterThanOrEqual">
      <formula>0.5</formula>
    </cfRule>
  </conditionalFormatting>
  <conditionalFormatting sqref="AF55">
    <cfRule type="cellIs" dxfId="34047" priority="112138" stopIfTrue="1" operator="equal">
      <formula>-1</formula>
    </cfRule>
  </conditionalFormatting>
  <conditionalFormatting sqref="AF55">
    <cfRule type="cellIs" dxfId="34046" priority="112139" stopIfTrue="1" operator="lessThan">
      <formula>0.5</formula>
    </cfRule>
  </conditionalFormatting>
  <conditionalFormatting sqref="AF55">
    <cfRule type="cellIs" dxfId="34045" priority="112140" stopIfTrue="1" operator="greaterThanOrEqual">
      <formula>0.5</formula>
    </cfRule>
  </conditionalFormatting>
  <conditionalFormatting sqref="AF56">
    <cfRule type="cellIs" dxfId="34044" priority="112141" stopIfTrue="1" operator="equal">
      <formula>-1</formula>
    </cfRule>
  </conditionalFormatting>
  <conditionalFormatting sqref="AF56">
    <cfRule type="cellIs" dxfId="34043" priority="112142" stopIfTrue="1" operator="lessThan">
      <formula>0.5</formula>
    </cfRule>
  </conditionalFormatting>
  <conditionalFormatting sqref="AF56">
    <cfRule type="cellIs" dxfId="34042" priority="112143" stopIfTrue="1" operator="greaterThanOrEqual">
      <formula>0.5</formula>
    </cfRule>
  </conditionalFormatting>
  <conditionalFormatting sqref="AF57">
    <cfRule type="cellIs" dxfId="34041" priority="112144" stopIfTrue="1" operator="equal">
      <formula>-1</formula>
    </cfRule>
  </conditionalFormatting>
  <conditionalFormatting sqref="AF57">
    <cfRule type="cellIs" dxfId="34040" priority="112145" stopIfTrue="1" operator="lessThan">
      <formula>0.5</formula>
    </cfRule>
  </conditionalFormatting>
  <conditionalFormatting sqref="AF57">
    <cfRule type="cellIs" dxfId="34039" priority="112146" stopIfTrue="1" operator="greaterThanOrEqual">
      <formula>0.5</formula>
    </cfRule>
  </conditionalFormatting>
  <conditionalFormatting sqref="AF58">
    <cfRule type="cellIs" dxfId="34038" priority="112147" stopIfTrue="1" operator="equal">
      <formula>-1</formula>
    </cfRule>
  </conditionalFormatting>
  <conditionalFormatting sqref="AF58">
    <cfRule type="cellIs" dxfId="34037" priority="112148" stopIfTrue="1" operator="lessThan">
      <formula>0.5</formula>
    </cfRule>
  </conditionalFormatting>
  <conditionalFormatting sqref="AF58">
    <cfRule type="cellIs" dxfId="34036" priority="112149" stopIfTrue="1" operator="greaterThanOrEqual">
      <formula>0.5</formula>
    </cfRule>
  </conditionalFormatting>
  <conditionalFormatting sqref="AH39">
    <cfRule type="cellIs" dxfId="34035" priority="112150" stopIfTrue="1" operator="equal">
      <formula>-1</formula>
    </cfRule>
  </conditionalFormatting>
  <conditionalFormatting sqref="AH39">
    <cfRule type="cellIs" dxfId="34034" priority="112151" stopIfTrue="1" operator="lessThan">
      <formula>0.5</formula>
    </cfRule>
  </conditionalFormatting>
  <conditionalFormatting sqref="AH39">
    <cfRule type="cellIs" dxfId="34033" priority="112152" stopIfTrue="1" operator="greaterThanOrEqual">
      <formula>0.5</formula>
    </cfRule>
  </conditionalFormatting>
  <conditionalFormatting sqref="AH40">
    <cfRule type="cellIs" dxfId="34032" priority="112153" stopIfTrue="1" operator="equal">
      <formula>-1</formula>
    </cfRule>
  </conditionalFormatting>
  <conditionalFormatting sqref="AH40">
    <cfRule type="cellIs" dxfId="34031" priority="112154" stopIfTrue="1" operator="lessThan">
      <formula>0.5</formula>
    </cfRule>
  </conditionalFormatting>
  <conditionalFormatting sqref="AH40">
    <cfRule type="cellIs" dxfId="34030" priority="112155" stopIfTrue="1" operator="greaterThanOrEqual">
      <formula>0.5</formula>
    </cfRule>
  </conditionalFormatting>
  <conditionalFormatting sqref="AH41">
    <cfRule type="cellIs" dxfId="34029" priority="112156" stopIfTrue="1" operator="equal">
      <formula>-1</formula>
    </cfRule>
  </conditionalFormatting>
  <conditionalFormatting sqref="AH41">
    <cfRule type="cellIs" dxfId="34028" priority="112157" stopIfTrue="1" operator="lessThan">
      <formula>0.5</formula>
    </cfRule>
  </conditionalFormatting>
  <conditionalFormatting sqref="AH41">
    <cfRule type="cellIs" dxfId="34027" priority="112158" stopIfTrue="1" operator="greaterThanOrEqual">
      <formula>0.5</formula>
    </cfRule>
  </conditionalFormatting>
  <conditionalFormatting sqref="AH42">
    <cfRule type="cellIs" dxfId="34026" priority="112159" stopIfTrue="1" operator="equal">
      <formula>-1</formula>
    </cfRule>
  </conditionalFormatting>
  <conditionalFormatting sqref="AH42">
    <cfRule type="cellIs" dxfId="34025" priority="112160" stopIfTrue="1" operator="lessThan">
      <formula>0.5</formula>
    </cfRule>
  </conditionalFormatting>
  <conditionalFormatting sqref="AH42">
    <cfRule type="cellIs" dxfId="34024" priority="112161" stopIfTrue="1" operator="greaterThanOrEqual">
      <formula>0.5</formula>
    </cfRule>
  </conditionalFormatting>
  <conditionalFormatting sqref="AH43">
    <cfRule type="cellIs" dxfId="34023" priority="112162" stopIfTrue="1" operator="equal">
      <formula>-1</formula>
    </cfRule>
  </conditionalFormatting>
  <conditionalFormatting sqref="AH43">
    <cfRule type="cellIs" dxfId="34022" priority="112163" stopIfTrue="1" operator="lessThan">
      <formula>0.5</formula>
    </cfRule>
  </conditionalFormatting>
  <conditionalFormatting sqref="AH43">
    <cfRule type="cellIs" dxfId="34021" priority="112164" stopIfTrue="1" operator="greaterThanOrEqual">
      <formula>0.5</formula>
    </cfRule>
  </conditionalFormatting>
  <conditionalFormatting sqref="AH44">
    <cfRule type="cellIs" dxfId="34020" priority="112165" stopIfTrue="1" operator="equal">
      <formula>-1</formula>
    </cfRule>
  </conditionalFormatting>
  <conditionalFormatting sqref="AH44">
    <cfRule type="cellIs" dxfId="34019" priority="112166" stopIfTrue="1" operator="lessThan">
      <formula>0.5</formula>
    </cfRule>
  </conditionalFormatting>
  <conditionalFormatting sqref="AH44">
    <cfRule type="cellIs" dxfId="34018" priority="112167" stopIfTrue="1" operator="greaterThanOrEqual">
      <formula>0.5</formula>
    </cfRule>
  </conditionalFormatting>
  <conditionalFormatting sqref="AH45">
    <cfRule type="cellIs" dxfId="34017" priority="112168" stopIfTrue="1" operator="equal">
      <formula>-1</formula>
    </cfRule>
  </conditionalFormatting>
  <conditionalFormatting sqref="AH45">
    <cfRule type="cellIs" dxfId="34016" priority="112169" stopIfTrue="1" operator="lessThan">
      <formula>0.5</formula>
    </cfRule>
  </conditionalFormatting>
  <conditionalFormatting sqref="AH45">
    <cfRule type="cellIs" dxfId="34015" priority="112170" stopIfTrue="1" operator="greaterThanOrEqual">
      <formula>0.5</formula>
    </cfRule>
  </conditionalFormatting>
  <conditionalFormatting sqref="AH46">
    <cfRule type="cellIs" dxfId="34014" priority="112171" stopIfTrue="1" operator="equal">
      <formula>-1</formula>
    </cfRule>
  </conditionalFormatting>
  <conditionalFormatting sqref="AH46">
    <cfRule type="cellIs" dxfId="34013" priority="112172" stopIfTrue="1" operator="lessThan">
      <formula>0.5</formula>
    </cfRule>
  </conditionalFormatting>
  <conditionalFormatting sqref="AH46">
    <cfRule type="cellIs" dxfId="34012" priority="112173" stopIfTrue="1" operator="greaterThanOrEqual">
      <formula>0.5</formula>
    </cfRule>
  </conditionalFormatting>
  <conditionalFormatting sqref="AH47">
    <cfRule type="cellIs" dxfId="34011" priority="112174" stopIfTrue="1" operator="equal">
      <formula>-1</formula>
    </cfRule>
  </conditionalFormatting>
  <conditionalFormatting sqref="AH47">
    <cfRule type="cellIs" dxfId="34010" priority="112175" stopIfTrue="1" operator="lessThan">
      <formula>0.5</formula>
    </cfRule>
  </conditionalFormatting>
  <conditionalFormatting sqref="AH47">
    <cfRule type="cellIs" dxfId="34009" priority="112176" stopIfTrue="1" operator="greaterThanOrEqual">
      <formula>0.5</formula>
    </cfRule>
  </conditionalFormatting>
  <conditionalFormatting sqref="AH48">
    <cfRule type="cellIs" dxfId="34008" priority="112177" stopIfTrue="1" operator="equal">
      <formula>-1</formula>
    </cfRule>
  </conditionalFormatting>
  <conditionalFormatting sqref="AH48">
    <cfRule type="cellIs" dxfId="34007" priority="112178" stopIfTrue="1" operator="lessThan">
      <formula>0.5</formula>
    </cfRule>
  </conditionalFormatting>
  <conditionalFormatting sqref="AH48">
    <cfRule type="cellIs" dxfId="34006" priority="112179" stopIfTrue="1" operator="greaterThanOrEqual">
      <formula>0.5</formula>
    </cfRule>
  </conditionalFormatting>
  <conditionalFormatting sqref="AH49">
    <cfRule type="cellIs" dxfId="34005" priority="112180" stopIfTrue="1" operator="equal">
      <formula>-1</formula>
    </cfRule>
  </conditionalFormatting>
  <conditionalFormatting sqref="AH49">
    <cfRule type="cellIs" dxfId="34004" priority="112181" stopIfTrue="1" operator="lessThan">
      <formula>0.5</formula>
    </cfRule>
  </conditionalFormatting>
  <conditionalFormatting sqref="AH49">
    <cfRule type="cellIs" dxfId="34003" priority="112182" stopIfTrue="1" operator="greaterThanOrEqual">
      <formula>0.5</formula>
    </cfRule>
  </conditionalFormatting>
  <conditionalFormatting sqref="AH50">
    <cfRule type="cellIs" dxfId="34002" priority="112183" stopIfTrue="1" operator="equal">
      <formula>-1</formula>
    </cfRule>
  </conditionalFormatting>
  <conditionalFormatting sqref="AH50">
    <cfRule type="cellIs" dxfId="34001" priority="112184" stopIfTrue="1" operator="lessThan">
      <formula>0.5</formula>
    </cfRule>
  </conditionalFormatting>
  <conditionalFormatting sqref="AH50">
    <cfRule type="cellIs" dxfId="34000" priority="112185" stopIfTrue="1" operator="greaterThanOrEqual">
      <formula>0.5</formula>
    </cfRule>
  </conditionalFormatting>
  <conditionalFormatting sqref="AH51">
    <cfRule type="cellIs" dxfId="33999" priority="112186" stopIfTrue="1" operator="equal">
      <formula>-1</formula>
    </cfRule>
  </conditionalFormatting>
  <conditionalFormatting sqref="AH51">
    <cfRule type="cellIs" dxfId="33998" priority="112187" stopIfTrue="1" operator="lessThan">
      <formula>0.5</formula>
    </cfRule>
  </conditionalFormatting>
  <conditionalFormatting sqref="AH51">
    <cfRule type="cellIs" dxfId="33997" priority="112188" stopIfTrue="1" operator="greaterThanOrEqual">
      <formula>0.5</formula>
    </cfRule>
  </conditionalFormatting>
  <conditionalFormatting sqref="AH52">
    <cfRule type="cellIs" dxfId="33996" priority="112189" stopIfTrue="1" operator="equal">
      <formula>-1</formula>
    </cfRule>
  </conditionalFormatting>
  <conditionalFormatting sqref="AH52">
    <cfRule type="cellIs" dxfId="33995" priority="112190" stopIfTrue="1" operator="lessThan">
      <formula>0.5</formula>
    </cfRule>
  </conditionalFormatting>
  <conditionalFormatting sqref="AH52">
    <cfRule type="cellIs" dxfId="33994" priority="112191" stopIfTrue="1" operator="greaterThanOrEqual">
      <formula>0.5</formula>
    </cfRule>
  </conditionalFormatting>
  <conditionalFormatting sqref="AH53">
    <cfRule type="cellIs" dxfId="33993" priority="112192" stopIfTrue="1" operator="equal">
      <formula>-1</formula>
    </cfRule>
  </conditionalFormatting>
  <conditionalFormatting sqref="AH53">
    <cfRule type="cellIs" dxfId="33992" priority="112193" stopIfTrue="1" operator="lessThan">
      <formula>0.5</formula>
    </cfRule>
  </conditionalFormatting>
  <conditionalFormatting sqref="AH53">
    <cfRule type="cellIs" dxfId="33991" priority="112194" stopIfTrue="1" operator="greaterThanOrEqual">
      <formula>0.5</formula>
    </cfRule>
  </conditionalFormatting>
  <conditionalFormatting sqref="AH54">
    <cfRule type="cellIs" dxfId="33990" priority="112195" stopIfTrue="1" operator="equal">
      <formula>-1</formula>
    </cfRule>
  </conditionalFormatting>
  <conditionalFormatting sqref="AH54">
    <cfRule type="cellIs" dxfId="33989" priority="112196" stopIfTrue="1" operator="lessThan">
      <formula>0.5</formula>
    </cfRule>
  </conditionalFormatting>
  <conditionalFormatting sqref="AH54">
    <cfRule type="cellIs" dxfId="33988" priority="112197" stopIfTrue="1" operator="greaterThanOrEqual">
      <formula>0.5</formula>
    </cfRule>
  </conditionalFormatting>
  <conditionalFormatting sqref="AH55">
    <cfRule type="cellIs" dxfId="33987" priority="112198" stopIfTrue="1" operator="equal">
      <formula>-1</formula>
    </cfRule>
  </conditionalFormatting>
  <conditionalFormatting sqref="AH55">
    <cfRule type="cellIs" dxfId="33986" priority="112199" stopIfTrue="1" operator="lessThan">
      <formula>0.5</formula>
    </cfRule>
  </conditionalFormatting>
  <conditionalFormatting sqref="AH55">
    <cfRule type="cellIs" dxfId="33985" priority="112200" stopIfTrue="1" operator="greaterThanOrEqual">
      <formula>0.5</formula>
    </cfRule>
  </conditionalFormatting>
  <conditionalFormatting sqref="AH56">
    <cfRule type="cellIs" dxfId="33984" priority="112201" stopIfTrue="1" operator="equal">
      <formula>-1</formula>
    </cfRule>
  </conditionalFormatting>
  <conditionalFormatting sqref="AH56">
    <cfRule type="cellIs" dxfId="33983" priority="112202" stopIfTrue="1" operator="lessThan">
      <formula>0.5</formula>
    </cfRule>
  </conditionalFormatting>
  <conditionalFormatting sqref="AH56">
    <cfRule type="cellIs" dxfId="33982" priority="112203" stopIfTrue="1" operator="greaterThanOrEqual">
      <formula>0.5</formula>
    </cfRule>
  </conditionalFormatting>
  <conditionalFormatting sqref="AH57">
    <cfRule type="cellIs" dxfId="33981" priority="112204" stopIfTrue="1" operator="equal">
      <formula>-1</formula>
    </cfRule>
  </conditionalFormatting>
  <conditionalFormatting sqref="AH57">
    <cfRule type="cellIs" dxfId="33980" priority="112205" stopIfTrue="1" operator="lessThan">
      <formula>0.5</formula>
    </cfRule>
  </conditionalFormatting>
  <conditionalFormatting sqref="AH57">
    <cfRule type="cellIs" dxfId="33979" priority="112206" stopIfTrue="1" operator="greaterThanOrEqual">
      <formula>0.5</formula>
    </cfRule>
  </conditionalFormatting>
  <conditionalFormatting sqref="AH58">
    <cfRule type="cellIs" dxfId="33978" priority="112207" stopIfTrue="1" operator="equal">
      <formula>-1</formula>
    </cfRule>
  </conditionalFormatting>
  <conditionalFormatting sqref="AH58">
    <cfRule type="cellIs" dxfId="33977" priority="112208" stopIfTrue="1" operator="lessThan">
      <formula>0.5</formula>
    </cfRule>
  </conditionalFormatting>
  <conditionalFormatting sqref="AH58">
    <cfRule type="cellIs" dxfId="33976" priority="112209" stopIfTrue="1" operator="greaterThanOrEqual">
      <formula>0.5</formula>
    </cfRule>
  </conditionalFormatting>
  <conditionalFormatting sqref="AJ39">
    <cfRule type="cellIs" dxfId="33975" priority="112210" stopIfTrue="1" operator="equal">
      <formula>-1</formula>
    </cfRule>
  </conditionalFormatting>
  <conditionalFormatting sqref="AJ39">
    <cfRule type="cellIs" dxfId="33974" priority="112211" stopIfTrue="1" operator="lessThan">
      <formula>0.5</formula>
    </cfRule>
  </conditionalFormatting>
  <conditionalFormatting sqref="AJ39">
    <cfRule type="cellIs" dxfId="33973" priority="112212" stopIfTrue="1" operator="greaterThanOrEqual">
      <formula>0.5</formula>
    </cfRule>
  </conditionalFormatting>
  <conditionalFormatting sqref="AJ40">
    <cfRule type="cellIs" dxfId="33972" priority="112213" stopIfTrue="1" operator="equal">
      <formula>-1</formula>
    </cfRule>
  </conditionalFormatting>
  <conditionalFormatting sqref="AJ40">
    <cfRule type="cellIs" dxfId="33971" priority="112214" stopIfTrue="1" operator="lessThan">
      <formula>0.5</formula>
    </cfRule>
  </conditionalFormatting>
  <conditionalFormatting sqref="AJ40">
    <cfRule type="cellIs" dxfId="33970" priority="112215" stopIfTrue="1" operator="greaterThanOrEqual">
      <formula>0.5</formula>
    </cfRule>
  </conditionalFormatting>
  <conditionalFormatting sqref="AJ41">
    <cfRule type="cellIs" dxfId="33969" priority="112216" stopIfTrue="1" operator="equal">
      <formula>-1</formula>
    </cfRule>
  </conditionalFormatting>
  <conditionalFormatting sqref="AJ41">
    <cfRule type="cellIs" dxfId="33968" priority="112217" stopIfTrue="1" operator="lessThan">
      <formula>0.5</formula>
    </cfRule>
  </conditionalFormatting>
  <conditionalFormatting sqref="AJ41">
    <cfRule type="cellIs" dxfId="33967" priority="112218" stopIfTrue="1" operator="greaterThanOrEqual">
      <formula>0.5</formula>
    </cfRule>
  </conditionalFormatting>
  <conditionalFormatting sqref="AJ42">
    <cfRule type="cellIs" dxfId="33966" priority="112219" stopIfTrue="1" operator="equal">
      <formula>-1</formula>
    </cfRule>
  </conditionalFormatting>
  <conditionalFormatting sqref="AJ42">
    <cfRule type="cellIs" dxfId="33965" priority="112220" stopIfTrue="1" operator="lessThan">
      <formula>0.5</formula>
    </cfRule>
  </conditionalFormatting>
  <conditionalFormatting sqref="AJ42">
    <cfRule type="cellIs" dxfId="33964" priority="112221" stopIfTrue="1" operator="greaterThanOrEqual">
      <formula>0.5</formula>
    </cfRule>
  </conditionalFormatting>
  <conditionalFormatting sqref="AJ43">
    <cfRule type="cellIs" dxfId="33963" priority="112222" stopIfTrue="1" operator="equal">
      <formula>-1</formula>
    </cfRule>
  </conditionalFormatting>
  <conditionalFormatting sqref="AJ43">
    <cfRule type="cellIs" dxfId="33962" priority="112223" stopIfTrue="1" operator="lessThan">
      <formula>0.5</formula>
    </cfRule>
  </conditionalFormatting>
  <conditionalFormatting sqref="AJ43">
    <cfRule type="cellIs" dxfId="33961" priority="112224" stopIfTrue="1" operator="greaterThanOrEqual">
      <formula>0.5</formula>
    </cfRule>
  </conditionalFormatting>
  <conditionalFormatting sqref="AJ44">
    <cfRule type="cellIs" dxfId="33960" priority="112225" stopIfTrue="1" operator="equal">
      <formula>-1</formula>
    </cfRule>
  </conditionalFormatting>
  <conditionalFormatting sqref="AJ44">
    <cfRule type="cellIs" dxfId="33959" priority="112226" stopIfTrue="1" operator="lessThan">
      <formula>0.5</formula>
    </cfRule>
  </conditionalFormatting>
  <conditionalFormatting sqref="AJ44">
    <cfRule type="cellIs" dxfId="33958" priority="112227" stopIfTrue="1" operator="greaterThanOrEqual">
      <formula>0.5</formula>
    </cfRule>
  </conditionalFormatting>
  <conditionalFormatting sqref="AJ45">
    <cfRule type="cellIs" dxfId="33957" priority="112228" stopIfTrue="1" operator="equal">
      <formula>-1</formula>
    </cfRule>
  </conditionalFormatting>
  <conditionalFormatting sqref="AJ45">
    <cfRule type="cellIs" dxfId="33956" priority="112229" stopIfTrue="1" operator="lessThan">
      <formula>0.5</formula>
    </cfRule>
  </conditionalFormatting>
  <conditionalFormatting sqref="AJ45">
    <cfRule type="cellIs" dxfId="33955" priority="112230" stopIfTrue="1" operator="greaterThanOrEqual">
      <formula>0.5</formula>
    </cfRule>
  </conditionalFormatting>
  <conditionalFormatting sqref="AJ46">
    <cfRule type="cellIs" dxfId="33954" priority="112231" stopIfTrue="1" operator="equal">
      <formula>-1</formula>
    </cfRule>
  </conditionalFormatting>
  <conditionalFormatting sqref="AJ46">
    <cfRule type="cellIs" dxfId="33953" priority="112232" stopIfTrue="1" operator="lessThan">
      <formula>0.5</formula>
    </cfRule>
  </conditionalFormatting>
  <conditionalFormatting sqref="AJ46">
    <cfRule type="cellIs" dxfId="33952" priority="112233" stopIfTrue="1" operator="greaterThanOrEqual">
      <formula>0.5</formula>
    </cfRule>
  </conditionalFormatting>
  <conditionalFormatting sqref="AJ47">
    <cfRule type="cellIs" dxfId="33951" priority="112234" stopIfTrue="1" operator="equal">
      <formula>-1</formula>
    </cfRule>
  </conditionalFormatting>
  <conditionalFormatting sqref="AJ47">
    <cfRule type="cellIs" dxfId="33950" priority="112235" stopIfTrue="1" operator="lessThan">
      <formula>0.5</formula>
    </cfRule>
  </conditionalFormatting>
  <conditionalFormatting sqref="AJ47">
    <cfRule type="cellIs" dxfId="33949" priority="112236" stopIfTrue="1" operator="greaterThanOrEqual">
      <formula>0.5</formula>
    </cfRule>
  </conditionalFormatting>
  <conditionalFormatting sqref="AJ48">
    <cfRule type="cellIs" dxfId="33948" priority="112237" stopIfTrue="1" operator="equal">
      <formula>-1</formula>
    </cfRule>
  </conditionalFormatting>
  <conditionalFormatting sqref="AJ48">
    <cfRule type="cellIs" dxfId="33947" priority="112238" stopIfTrue="1" operator="lessThan">
      <formula>0.5</formula>
    </cfRule>
  </conditionalFormatting>
  <conditionalFormatting sqref="AJ48">
    <cfRule type="cellIs" dxfId="33946" priority="112239" stopIfTrue="1" operator="greaterThanOrEqual">
      <formula>0.5</formula>
    </cfRule>
  </conditionalFormatting>
  <conditionalFormatting sqref="AJ49">
    <cfRule type="cellIs" dxfId="33945" priority="112240" stopIfTrue="1" operator="equal">
      <formula>-1</formula>
    </cfRule>
  </conditionalFormatting>
  <conditionalFormatting sqref="AJ49">
    <cfRule type="cellIs" dxfId="33944" priority="112241" stopIfTrue="1" operator="lessThan">
      <formula>0.5</formula>
    </cfRule>
  </conditionalFormatting>
  <conditionalFormatting sqref="AJ49">
    <cfRule type="cellIs" dxfId="33943" priority="112242" stopIfTrue="1" operator="greaterThanOrEqual">
      <formula>0.5</formula>
    </cfRule>
  </conditionalFormatting>
  <conditionalFormatting sqref="AJ50">
    <cfRule type="cellIs" dxfId="33942" priority="112243" stopIfTrue="1" operator="equal">
      <formula>-1</formula>
    </cfRule>
  </conditionalFormatting>
  <conditionalFormatting sqref="AJ50">
    <cfRule type="cellIs" dxfId="33941" priority="112244" stopIfTrue="1" operator="lessThan">
      <formula>0.5</formula>
    </cfRule>
  </conditionalFormatting>
  <conditionalFormatting sqref="AJ50">
    <cfRule type="cellIs" dxfId="33940" priority="112245" stopIfTrue="1" operator="greaterThanOrEqual">
      <formula>0.5</formula>
    </cfRule>
  </conditionalFormatting>
  <conditionalFormatting sqref="AJ51">
    <cfRule type="cellIs" dxfId="33939" priority="112246" stopIfTrue="1" operator="equal">
      <formula>-1</formula>
    </cfRule>
  </conditionalFormatting>
  <conditionalFormatting sqref="AJ51">
    <cfRule type="cellIs" dxfId="33938" priority="112247" stopIfTrue="1" operator="lessThan">
      <formula>0.5</formula>
    </cfRule>
  </conditionalFormatting>
  <conditionalFormatting sqref="AJ51">
    <cfRule type="cellIs" dxfId="33937" priority="112248" stopIfTrue="1" operator="greaterThanOrEqual">
      <formula>0.5</formula>
    </cfRule>
  </conditionalFormatting>
  <conditionalFormatting sqref="AJ52">
    <cfRule type="cellIs" dxfId="33936" priority="112249" stopIfTrue="1" operator="equal">
      <formula>-1</formula>
    </cfRule>
  </conditionalFormatting>
  <conditionalFormatting sqref="AJ52">
    <cfRule type="cellIs" dxfId="33935" priority="112250" stopIfTrue="1" operator="lessThan">
      <formula>0.5</formula>
    </cfRule>
  </conditionalFormatting>
  <conditionalFormatting sqref="AJ52">
    <cfRule type="cellIs" dxfId="33934" priority="112251" stopIfTrue="1" operator="greaterThanOrEqual">
      <formula>0.5</formula>
    </cfRule>
  </conditionalFormatting>
  <conditionalFormatting sqref="AJ53">
    <cfRule type="cellIs" dxfId="33933" priority="112252" stopIfTrue="1" operator="equal">
      <formula>-1</formula>
    </cfRule>
  </conditionalFormatting>
  <conditionalFormatting sqref="AJ53">
    <cfRule type="cellIs" dxfId="33932" priority="112253" stopIfTrue="1" operator="lessThan">
      <formula>0.5</formula>
    </cfRule>
  </conditionalFormatting>
  <conditionalFormatting sqref="AJ53">
    <cfRule type="cellIs" dxfId="33931" priority="112254" stopIfTrue="1" operator="greaterThanOrEqual">
      <formula>0.5</formula>
    </cfRule>
  </conditionalFormatting>
  <conditionalFormatting sqref="AJ54">
    <cfRule type="cellIs" dxfId="33930" priority="112255" stopIfTrue="1" operator="equal">
      <formula>-1</formula>
    </cfRule>
  </conditionalFormatting>
  <conditionalFormatting sqref="AJ54">
    <cfRule type="cellIs" dxfId="33929" priority="112256" stopIfTrue="1" operator="lessThan">
      <formula>0.5</formula>
    </cfRule>
  </conditionalFormatting>
  <conditionalFormatting sqref="AJ54">
    <cfRule type="cellIs" dxfId="33928" priority="112257" stopIfTrue="1" operator="greaterThanOrEqual">
      <formula>0.5</formula>
    </cfRule>
  </conditionalFormatting>
  <conditionalFormatting sqref="AJ55">
    <cfRule type="cellIs" dxfId="33927" priority="112258" stopIfTrue="1" operator="equal">
      <formula>-1</formula>
    </cfRule>
  </conditionalFormatting>
  <conditionalFormatting sqref="AJ55">
    <cfRule type="cellIs" dxfId="33926" priority="112259" stopIfTrue="1" operator="lessThan">
      <formula>0.5</formula>
    </cfRule>
  </conditionalFormatting>
  <conditionalFormatting sqref="AJ55">
    <cfRule type="cellIs" dxfId="33925" priority="112260" stopIfTrue="1" operator="greaterThanOrEqual">
      <formula>0.5</formula>
    </cfRule>
  </conditionalFormatting>
  <conditionalFormatting sqref="AJ56">
    <cfRule type="cellIs" dxfId="33924" priority="112261" stopIfTrue="1" operator="equal">
      <formula>-1</formula>
    </cfRule>
  </conditionalFormatting>
  <conditionalFormatting sqref="AJ56">
    <cfRule type="cellIs" dxfId="33923" priority="112262" stopIfTrue="1" operator="lessThan">
      <formula>0.5</formula>
    </cfRule>
  </conditionalFormatting>
  <conditionalFormatting sqref="AJ56">
    <cfRule type="cellIs" dxfId="33922" priority="112263" stopIfTrue="1" operator="greaterThanOrEqual">
      <formula>0.5</formula>
    </cfRule>
  </conditionalFormatting>
  <conditionalFormatting sqref="AJ57">
    <cfRule type="cellIs" dxfId="33921" priority="112264" stopIfTrue="1" operator="equal">
      <formula>-1</formula>
    </cfRule>
  </conditionalFormatting>
  <conditionalFormatting sqref="AJ57">
    <cfRule type="cellIs" dxfId="33920" priority="112265" stopIfTrue="1" operator="lessThan">
      <formula>0.5</formula>
    </cfRule>
  </conditionalFormatting>
  <conditionalFormatting sqref="AJ57">
    <cfRule type="cellIs" dxfId="33919" priority="112266" stopIfTrue="1" operator="greaterThanOrEqual">
      <formula>0.5</formula>
    </cfRule>
  </conditionalFormatting>
  <conditionalFormatting sqref="AJ58">
    <cfRule type="cellIs" dxfId="33918" priority="112267" stopIfTrue="1" operator="equal">
      <formula>-1</formula>
    </cfRule>
  </conditionalFormatting>
  <conditionalFormatting sqref="AJ58">
    <cfRule type="cellIs" dxfId="33917" priority="112268" stopIfTrue="1" operator="lessThan">
      <formula>0.5</formula>
    </cfRule>
  </conditionalFormatting>
  <conditionalFormatting sqref="AJ58">
    <cfRule type="cellIs" dxfId="33916" priority="112269" stopIfTrue="1" operator="greaterThanOrEqual">
      <formula>0.5</formula>
    </cfRule>
  </conditionalFormatting>
  <conditionalFormatting sqref="AL39">
    <cfRule type="cellIs" dxfId="33915" priority="112270" stopIfTrue="1" operator="equal">
      <formula>-1</formula>
    </cfRule>
  </conditionalFormatting>
  <conditionalFormatting sqref="AL39">
    <cfRule type="cellIs" dxfId="33914" priority="112271" stopIfTrue="1" operator="lessThan">
      <formula>0.5</formula>
    </cfRule>
  </conditionalFormatting>
  <conditionalFormatting sqref="AL39">
    <cfRule type="cellIs" dxfId="33913" priority="112272" stopIfTrue="1" operator="greaterThanOrEqual">
      <formula>0.5</formula>
    </cfRule>
  </conditionalFormatting>
  <conditionalFormatting sqref="AL40">
    <cfRule type="cellIs" dxfId="33912" priority="112273" stopIfTrue="1" operator="equal">
      <formula>-1</formula>
    </cfRule>
  </conditionalFormatting>
  <conditionalFormatting sqref="AL40">
    <cfRule type="cellIs" dxfId="33911" priority="112274" stopIfTrue="1" operator="lessThan">
      <formula>0.5</formula>
    </cfRule>
  </conditionalFormatting>
  <conditionalFormatting sqref="AL40">
    <cfRule type="cellIs" dxfId="33910" priority="112275" stopIfTrue="1" operator="greaterThanOrEqual">
      <formula>0.5</formula>
    </cfRule>
  </conditionalFormatting>
  <conditionalFormatting sqref="AL41">
    <cfRule type="cellIs" dxfId="33909" priority="112276" stopIfTrue="1" operator="equal">
      <formula>-1</formula>
    </cfRule>
  </conditionalFormatting>
  <conditionalFormatting sqref="AL41">
    <cfRule type="cellIs" dxfId="33908" priority="112277" stopIfTrue="1" operator="lessThan">
      <formula>0.5</formula>
    </cfRule>
  </conditionalFormatting>
  <conditionalFormatting sqref="AL41">
    <cfRule type="cellIs" dxfId="33907" priority="112278" stopIfTrue="1" operator="greaterThanOrEqual">
      <formula>0.5</formula>
    </cfRule>
  </conditionalFormatting>
  <conditionalFormatting sqref="AL42">
    <cfRule type="cellIs" dxfId="33906" priority="112279" stopIfTrue="1" operator="equal">
      <formula>-1</formula>
    </cfRule>
  </conditionalFormatting>
  <conditionalFormatting sqref="AL42">
    <cfRule type="cellIs" dxfId="33905" priority="112280" stopIfTrue="1" operator="lessThan">
      <formula>0.5</formula>
    </cfRule>
  </conditionalFormatting>
  <conditionalFormatting sqref="AL42">
    <cfRule type="cellIs" dxfId="33904" priority="112281" stopIfTrue="1" operator="greaterThanOrEqual">
      <formula>0.5</formula>
    </cfRule>
  </conditionalFormatting>
  <conditionalFormatting sqref="AL43">
    <cfRule type="cellIs" dxfId="33903" priority="112282" stopIfTrue="1" operator="equal">
      <formula>-1</formula>
    </cfRule>
  </conditionalFormatting>
  <conditionalFormatting sqref="AL43">
    <cfRule type="cellIs" dxfId="33902" priority="112283" stopIfTrue="1" operator="lessThan">
      <formula>0.5</formula>
    </cfRule>
  </conditionalFormatting>
  <conditionalFormatting sqref="AL43">
    <cfRule type="cellIs" dxfId="33901" priority="112284" stopIfTrue="1" operator="greaterThanOrEqual">
      <formula>0.5</formula>
    </cfRule>
  </conditionalFormatting>
  <conditionalFormatting sqref="AL44">
    <cfRule type="cellIs" dxfId="33900" priority="112285" stopIfTrue="1" operator="equal">
      <formula>-1</formula>
    </cfRule>
  </conditionalFormatting>
  <conditionalFormatting sqref="AL44">
    <cfRule type="cellIs" dxfId="33899" priority="112286" stopIfTrue="1" operator="lessThan">
      <formula>0.5</formula>
    </cfRule>
  </conditionalFormatting>
  <conditionalFormatting sqref="AL44">
    <cfRule type="cellIs" dxfId="33898" priority="112287" stopIfTrue="1" operator="greaterThanOrEqual">
      <formula>0.5</formula>
    </cfRule>
  </conditionalFormatting>
  <conditionalFormatting sqref="AL45">
    <cfRule type="cellIs" dxfId="33897" priority="112288" stopIfTrue="1" operator="equal">
      <formula>-1</formula>
    </cfRule>
  </conditionalFormatting>
  <conditionalFormatting sqref="AL45">
    <cfRule type="cellIs" dxfId="33896" priority="112289" stopIfTrue="1" operator="lessThan">
      <formula>0.5</formula>
    </cfRule>
  </conditionalFormatting>
  <conditionalFormatting sqref="AL45">
    <cfRule type="cellIs" dxfId="33895" priority="112290" stopIfTrue="1" operator="greaterThanOrEqual">
      <formula>0.5</formula>
    </cfRule>
  </conditionalFormatting>
  <conditionalFormatting sqref="AL46">
    <cfRule type="cellIs" dxfId="33894" priority="112291" stopIfTrue="1" operator="equal">
      <formula>-1</formula>
    </cfRule>
  </conditionalFormatting>
  <conditionalFormatting sqref="AL46">
    <cfRule type="cellIs" dxfId="33893" priority="112292" stopIfTrue="1" operator="lessThan">
      <formula>0.5</formula>
    </cfRule>
  </conditionalFormatting>
  <conditionalFormatting sqref="AL46">
    <cfRule type="cellIs" dxfId="33892" priority="112293" stopIfTrue="1" operator="greaterThanOrEqual">
      <formula>0.5</formula>
    </cfRule>
  </conditionalFormatting>
  <conditionalFormatting sqref="AL47">
    <cfRule type="cellIs" dxfId="33891" priority="112294" stopIfTrue="1" operator="equal">
      <formula>-1</formula>
    </cfRule>
  </conditionalFormatting>
  <conditionalFormatting sqref="AL47">
    <cfRule type="cellIs" dxfId="33890" priority="112295" stopIfTrue="1" operator="lessThan">
      <formula>0.5</formula>
    </cfRule>
  </conditionalFormatting>
  <conditionalFormatting sqref="AL47">
    <cfRule type="cellIs" dxfId="33889" priority="112296" stopIfTrue="1" operator="greaterThanOrEqual">
      <formula>0.5</formula>
    </cfRule>
  </conditionalFormatting>
  <conditionalFormatting sqref="AL48">
    <cfRule type="cellIs" dxfId="33888" priority="112297" stopIfTrue="1" operator="equal">
      <formula>-1</formula>
    </cfRule>
  </conditionalFormatting>
  <conditionalFormatting sqref="AL48">
    <cfRule type="cellIs" dxfId="33887" priority="112298" stopIfTrue="1" operator="lessThan">
      <formula>0.5</formula>
    </cfRule>
  </conditionalFormatting>
  <conditionalFormatting sqref="AL48">
    <cfRule type="cellIs" dxfId="33886" priority="112299" stopIfTrue="1" operator="greaterThanOrEqual">
      <formula>0.5</formula>
    </cfRule>
  </conditionalFormatting>
  <conditionalFormatting sqref="AL49">
    <cfRule type="cellIs" dxfId="33885" priority="112300" stopIfTrue="1" operator="equal">
      <formula>-1</formula>
    </cfRule>
  </conditionalFormatting>
  <conditionalFormatting sqref="AL49">
    <cfRule type="cellIs" dxfId="33884" priority="112301" stopIfTrue="1" operator="lessThan">
      <formula>0.5</formula>
    </cfRule>
  </conditionalFormatting>
  <conditionalFormatting sqref="AL49">
    <cfRule type="cellIs" dxfId="33883" priority="112302" stopIfTrue="1" operator="greaterThanOrEqual">
      <formula>0.5</formula>
    </cfRule>
  </conditionalFormatting>
  <conditionalFormatting sqref="AL50">
    <cfRule type="cellIs" dxfId="33882" priority="112303" stopIfTrue="1" operator="equal">
      <formula>-1</formula>
    </cfRule>
  </conditionalFormatting>
  <conditionalFormatting sqref="AL50">
    <cfRule type="cellIs" dxfId="33881" priority="112304" stopIfTrue="1" operator="lessThan">
      <formula>0.5</formula>
    </cfRule>
  </conditionalFormatting>
  <conditionalFormatting sqref="AL50">
    <cfRule type="cellIs" dxfId="33880" priority="112305" stopIfTrue="1" operator="greaterThanOrEqual">
      <formula>0.5</formula>
    </cfRule>
  </conditionalFormatting>
  <conditionalFormatting sqref="AL51">
    <cfRule type="cellIs" dxfId="33879" priority="112306" stopIfTrue="1" operator="equal">
      <formula>-1</formula>
    </cfRule>
  </conditionalFormatting>
  <conditionalFormatting sqref="AL51">
    <cfRule type="cellIs" dxfId="33878" priority="112307" stopIfTrue="1" operator="lessThan">
      <formula>0.5</formula>
    </cfRule>
  </conditionalFormatting>
  <conditionalFormatting sqref="AL51">
    <cfRule type="cellIs" dxfId="33877" priority="112308" stopIfTrue="1" operator="greaterThanOrEqual">
      <formula>0.5</formula>
    </cfRule>
  </conditionalFormatting>
  <conditionalFormatting sqref="AL52">
    <cfRule type="cellIs" dxfId="33876" priority="112309" stopIfTrue="1" operator="equal">
      <formula>-1</formula>
    </cfRule>
  </conditionalFormatting>
  <conditionalFormatting sqref="AL52">
    <cfRule type="cellIs" dxfId="33875" priority="112310" stopIfTrue="1" operator="lessThan">
      <formula>0.5</formula>
    </cfRule>
  </conditionalFormatting>
  <conditionalFormatting sqref="AL52">
    <cfRule type="cellIs" dxfId="33874" priority="112311" stopIfTrue="1" operator="greaterThanOrEqual">
      <formula>0.5</formula>
    </cfRule>
  </conditionalFormatting>
  <conditionalFormatting sqref="AL53">
    <cfRule type="cellIs" dxfId="33873" priority="112312" stopIfTrue="1" operator="equal">
      <formula>-1</formula>
    </cfRule>
  </conditionalFormatting>
  <conditionalFormatting sqref="AL53">
    <cfRule type="cellIs" dxfId="33872" priority="112313" stopIfTrue="1" operator="lessThan">
      <formula>0.5</formula>
    </cfRule>
  </conditionalFormatting>
  <conditionalFormatting sqref="AL53">
    <cfRule type="cellIs" dxfId="33871" priority="112314" stopIfTrue="1" operator="greaterThanOrEqual">
      <formula>0.5</formula>
    </cfRule>
  </conditionalFormatting>
  <conditionalFormatting sqref="AL54">
    <cfRule type="cellIs" dxfId="33870" priority="112315" stopIfTrue="1" operator="equal">
      <formula>-1</formula>
    </cfRule>
  </conditionalFormatting>
  <conditionalFormatting sqref="AL54">
    <cfRule type="cellIs" dxfId="33869" priority="112316" stopIfTrue="1" operator="lessThan">
      <formula>0.5</formula>
    </cfRule>
  </conditionalFormatting>
  <conditionalFormatting sqref="AL54">
    <cfRule type="cellIs" dxfId="33868" priority="112317" stopIfTrue="1" operator="greaterThanOrEqual">
      <formula>0.5</formula>
    </cfRule>
  </conditionalFormatting>
  <conditionalFormatting sqref="AL55">
    <cfRule type="cellIs" dxfId="33867" priority="112318" stopIfTrue="1" operator="equal">
      <formula>-1</formula>
    </cfRule>
  </conditionalFormatting>
  <conditionalFormatting sqref="AL55">
    <cfRule type="cellIs" dxfId="33866" priority="112319" stopIfTrue="1" operator="lessThan">
      <formula>0.5</formula>
    </cfRule>
  </conditionalFormatting>
  <conditionalFormatting sqref="AL55">
    <cfRule type="cellIs" dxfId="33865" priority="112320" stopIfTrue="1" operator="greaterThanOrEqual">
      <formula>0.5</formula>
    </cfRule>
  </conditionalFormatting>
  <conditionalFormatting sqref="AL56">
    <cfRule type="cellIs" dxfId="33864" priority="112321" stopIfTrue="1" operator="equal">
      <formula>-1</formula>
    </cfRule>
  </conditionalFormatting>
  <conditionalFormatting sqref="AL56">
    <cfRule type="cellIs" dxfId="33863" priority="112322" stopIfTrue="1" operator="lessThan">
      <formula>0.5</formula>
    </cfRule>
  </conditionalFormatting>
  <conditionalFormatting sqref="AL56">
    <cfRule type="cellIs" dxfId="33862" priority="112323" stopIfTrue="1" operator="greaterThanOrEqual">
      <formula>0.5</formula>
    </cfRule>
  </conditionalFormatting>
  <conditionalFormatting sqref="AL57">
    <cfRule type="cellIs" dxfId="33861" priority="112324" stopIfTrue="1" operator="equal">
      <formula>-1</formula>
    </cfRule>
  </conditionalFormatting>
  <conditionalFormatting sqref="AL57">
    <cfRule type="cellIs" dxfId="33860" priority="112325" stopIfTrue="1" operator="lessThan">
      <formula>0.5</formula>
    </cfRule>
  </conditionalFormatting>
  <conditionalFormatting sqref="AL57">
    <cfRule type="cellIs" dxfId="33859" priority="112326" stopIfTrue="1" operator="greaterThanOrEqual">
      <formula>0.5</formula>
    </cfRule>
  </conditionalFormatting>
  <conditionalFormatting sqref="AL58">
    <cfRule type="cellIs" dxfId="33858" priority="112327" stopIfTrue="1" operator="equal">
      <formula>-1</formula>
    </cfRule>
  </conditionalFormatting>
  <conditionalFormatting sqref="AL58">
    <cfRule type="cellIs" dxfId="33857" priority="112328" stopIfTrue="1" operator="lessThan">
      <formula>0.5</formula>
    </cfRule>
  </conditionalFormatting>
  <conditionalFormatting sqref="AL58">
    <cfRule type="cellIs" dxfId="33856" priority="112329" stopIfTrue="1" operator="greaterThanOrEqual">
      <formula>0.5</formula>
    </cfRule>
  </conditionalFormatting>
  <conditionalFormatting sqref="AN39">
    <cfRule type="cellIs" dxfId="33855" priority="112330" stopIfTrue="1" operator="equal">
      <formula>-1</formula>
    </cfRule>
  </conditionalFormatting>
  <conditionalFormatting sqref="AN39">
    <cfRule type="cellIs" dxfId="33854" priority="112331" stopIfTrue="1" operator="lessThan">
      <formula>0.5</formula>
    </cfRule>
  </conditionalFormatting>
  <conditionalFormatting sqref="AN39">
    <cfRule type="cellIs" dxfId="33853" priority="112332" stopIfTrue="1" operator="greaterThanOrEqual">
      <formula>0.5</formula>
    </cfRule>
  </conditionalFormatting>
  <conditionalFormatting sqref="AN40">
    <cfRule type="cellIs" dxfId="33852" priority="112333" stopIfTrue="1" operator="equal">
      <formula>-1</formula>
    </cfRule>
  </conditionalFormatting>
  <conditionalFormatting sqref="AN40">
    <cfRule type="cellIs" dxfId="33851" priority="112334" stopIfTrue="1" operator="lessThan">
      <formula>0.5</formula>
    </cfRule>
  </conditionalFormatting>
  <conditionalFormatting sqref="AN40">
    <cfRule type="cellIs" dxfId="33850" priority="112335" stopIfTrue="1" operator="greaterThanOrEqual">
      <formula>0.5</formula>
    </cfRule>
  </conditionalFormatting>
  <conditionalFormatting sqref="AN41">
    <cfRule type="cellIs" dxfId="33849" priority="112336" stopIfTrue="1" operator="equal">
      <formula>-1</formula>
    </cfRule>
  </conditionalFormatting>
  <conditionalFormatting sqref="AN41">
    <cfRule type="cellIs" dxfId="33848" priority="112337" stopIfTrue="1" operator="lessThan">
      <formula>0.5</formula>
    </cfRule>
  </conditionalFormatting>
  <conditionalFormatting sqref="AN41">
    <cfRule type="cellIs" dxfId="33847" priority="112338" stopIfTrue="1" operator="greaterThanOrEqual">
      <formula>0.5</formula>
    </cfRule>
  </conditionalFormatting>
  <conditionalFormatting sqref="AN42">
    <cfRule type="cellIs" dxfId="33846" priority="112339" stopIfTrue="1" operator="equal">
      <formula>-1</formula>
    </cfRule>
  </conditionalFormatting>
  <conditionalFormatting sqref="AN42">
    <cfRule type="cellIs" dxfId="33845" priority="112340" stopIfTrue="1" operator="lessThan">
      <formula>0.5</formula>
    </cfRule>
  </conditionalFormatting>
  <conditionalFormatting sqref="AN42">
    <cfRule type="cellIs" dxfId="33844" priority="112341" stopIfTrue="1" operator="greaterThanOrEqual">
      <formula>0.5</formula>
    </cfRule>
  </conditionalFormatting>
  <conditionalFormatting sqref="AN43">
    <cfRule type="cellIs" dxfId="33843" priority="112342" stopIfTrue="1" operator="equal">
      <formula>-1</formula>
    </cfRule>
  </conditionalFormatting>
  <conditionalFormatting sqref="AN43">
    <cfRule type="cellIs" dxfId="33842" priority="112343" stopIfTrue="1" operator="lessThan">
      <formula>0.5</formula>
    </cfRule>
  </conditionalFormatting>
  <conditionalFormatting sqref="AN43">
    <cfRule type="cellIs" dxfId="33841" priority="112344" stopIfTrue="1" operator="greaterThanOrEqual">
      <formula>0.5</formula>
    </cfRule>
  </conditionalFormatting>
  <conditionalFormatting sqref="AN44">
    <cfRule type="cellIs" dxfId="33840" priority="112345" stopIfTrue="1" operator="equal">
      <formula>-1</formula>
    </cfRule>
  </conditionalFormatting>
  <conditionalFormatting sqref="AN44">
    <cfRule type="cellIs" dxfId="33839" priority="112346" stopIfTrue="1" operator="lessThan">
      <formula>0.5</formula>
    </cfRule>
  </conditionalFormatting>
  <conditionalFormatting sqref="AN44">
    <cfRule type="cellIs" dxfId="33838" priority="112347" stopIfTrue="1" operator="greaterThanOrEqual">
      <formula>0.5</formula>
    </cfRule>
  </conditionalFormatting>
  <conditionalFormatting sqref="AN45">
    <cfRule type="cellIs" dxfId="33837" priority="112348" stopIfTrue="1" operator="equal">
      <formula>-1</formula>
    </cfRule>
  </conditionalFormatting>
  <conditionalFormatting sqref="AN45">
    <cfRule type="cellIs" dxfId="33836" priority="112349" stopIfTrue="1" operator="lessThan">
      <formula>0.5</formula>
    </cfRule>
  </conditionalFormatting>
  <conditionalFormatting sqref="AN45">
    <cfRule type="cellIs" dxfId="33835" priority="112350" stopIfTrue="1" operator="greaterThanOrEqual">
      <formula>0.5</formula>
    </cfRule>
  </conditionalFormatting>
  <conditionalFormatting sqref="AN46">
    <cfRule type="cellIs" dxfId="33834" priority="112351" stopIfTrue="1" operator="equal">
      <formula>-1</formula>
    </cfRule>
  </conditionalFormatting>
  <conditionalFormatting sqref="AN46">
    <cfRule type="cellIs" dxfId="33833" priority="112352" stopIfTrue="1" operator="lessThan">
      <formula>0.5</formula>
    </cfRule>
  </conditionalFormatting>
  <conditionalFormatting sqref="AN46">
    <cfRule type="cellIs" dxfId="33832" priority="112353" stopIfTrue="1" operator="greaterThanOrEqual">
      <formula>0.5</formula>
    </cfRule>
  </conditionalFormatting>
  <conditionalFormatting sqref="AN47">
    <cfRule type="cellIs" dxfId="33831" priority="112354" stopIfTrue="1" operator="equal">
      <formula>-1</formula>
    </cfRule>
  </conditionalFormatting>
  <conditionalFormatting sqref="AN47">
    <cfRule type="cellIs" dxfId="33830" priority="112355" stopIfTrue="1" operator="lessThan">
      <formula>0.5</formula>
    </cfRule>
  </conditionalFormatting>
  <conditionalFormatting sqref="AN47">
    <cfRule type="cellIs" dxfId="33829" priority="112356" stopIfTrue="1" operator="greaterThanOrEqual">
      <formula>0.5</formula>
    </cfRule>
  </conditionalFormatting>
  <conditionalFormatting sqref="AN48">
    <cfRule type="cellIs" dxfId="33828" priority="112357" stopIfTrue="1" operator="equal">
      <formula>-1</formula>
    </cfRule>
  </conditionalFormatting>
  <conditionalFormatting sqref="AN48">
    <cfRule type="cellIs" dxfId="33827" priority="112358" stopIfTrue="1" operator="lessThan">
      <formula>0.5</formula>
    </cfRule>
  </conditionalFormatting>
  <conditionalFormatting sqref="AN48">
    <cfRule type="cellIs" dxfId="33826" priority="112359" stopIfTrue="1" operator="greaterThanOrEqual">
      <formula>0.5</formula>
    </cfRule>
  </conditionalFormatting>
  <conditionalFormatting sqref="AN49">
    <cfRule type="cellIs" dxfId="33825" priority="112360" stopIfTrue="1" operator="equal">
      <formula>-1</formula>
    </cfRule>
  </conditionalFormatting>
  <conditionalFormatting sqref="AN49">
    <cfRule type="cellIs" dxfId="33824" priority="112361" stopIfTrue="1" operator="lessThan">
      <formula>0.5</formula>
    </cfRule>
  </conditionalFormatting>
  <conditionalFormatting sqref="AN49">
    <cfRule type="cellIs" dxfId="33823" priority="112362" stopIfTrue="1" operator="greaterThanOrEqual">
      <formula>0.5</formula>
    </cfRule>
  </conditionalFormatting>
  <conditionalFormatting sqref="AN50">
    <cfRule type="cellIs" dxfId="33822" priority="112363" stopIfTrue="1" operator="equal">
      <formula>-1</formula>
    </cfRule>
  </conditionalFormatting>
  <conditionalFormatting sqref="AN50">
    <cfRule type="cellIs" dxfId="33821" priority="112364" stopIfTrue="1" operator="lessThan">
      <formula>0.5</formula>
    </cfRule>
  </conditionalFormatting>
  <conditionalFormatting sqref="AN50">
    <cfRule type="cellIs" dxfId="33820" priority="112365" stopIfTrue="1" operator="greaterThanOrEqual">
      <formula>0.5</formula>
    </cfRule>
  </conditionalFormatting>
  <conditionalFormatting sqref="AN51">
    <cfRule type="cellIs" dxfId="33819" priority="112366" stopIfTrue="1" operator="equal">
      <formula>-1</formula>
    </cfRule>
  </conditionalFormatting>
  <conditionalFormatting sqref="AN51">
    <cfRule type="cellIs" dxfId="33818" priority="112367" stopIfTrue="1" operator="lessThan">
      <formula>0.5</formula>
    </cfRule>
  </conditionalFormatting>
  <conditionalFormatting sqref="AN51">
    <cfRule type="cellIs" dxfId="33817" priority="112368" stopIfTrue="1" operator="greaterThanOrEqual">
      <formula>0.5</formula>
    </cfRule>
  </conditionalFormatting>
  <conditionalFormatting sqref="AN52">
    <cfRule type="cellIs" dxfId="33816" priority="112369" stopIfTrue="1" operator="equal">
      <formula>-1</formula>
    </cfRule>
  </conditionalFormatting>
  <conditionalFormatting sqref="AN52">
    <cfRule type="cellIs" dxfId="33815" priority="112370" stopIfTrue="1" operator="lessThan">
      <formula>0.5</formula>
    </cfRule>
  </conditionalFormatting>
  <conditionalFormatting sqref="AN52">
    <cfRule type="cellIs" dxfId="33814" priority="112371" stopIfTrue="1" operator="greaterThanOrEqual">
      <formula>0.5</formula>
    </cfRule>
  </conditionalFormatting>
  <conditionalFormatting sqref="AN53">
    <cfRule type="cellIs" dxfId="33813" priority="112372" stopIfTrue="1" operator="equal">
      <formula>-1</formula>
    </cfRule>
  </conditionalFormatting>
  <conditionalFormatting sqref="AN53">
    <cfRule type="cellIs" dxfId="33812" priority="112373" stopIfTrue="1" operator="lessThan">
      <formula>0.5</formula>
    </cfRule>
  </conditionalFormatting>
  <conditionalFormatting sqref="AN53">
    <cfRule type="cellIs" dxfId="33811" priority="112374" stopIfTrue="1" operator="greaterThanOrEqual">
      <formula>0.5</formula>
    </cfRule>
  </conditionalFormatting>
  <conditionalFormatting sqref="AN54">
    <cfRule type="cellIs" dxfId="33810" priority="112375" stopIfTrue="1" operator="equal">
      <formula>-1</formula>
    </cfRule>
  </conditionalFormatting>
  <conditionalFormatting sqref="AN54">
    <cfRule type="cellIs" dxfId="33809" priority="112376" stopIfTrue="1" operator="lessThan">
      <formula>0.5</formula>
    </cfRule>
  </conditionalFormatting>
  <conditionalFormatting sqref="AN54">
    <cfRule type="cellIs" dxfId="33808" priority="112377" stopIfTrue="1" operator="greaterThanOrEqual">
      <formula>0.5</formula>
    </cfRule>
  </conditionalFormatting>
  <conditionalFormatting sqref="AN55">
    <cfRule type="cellIs" dxfId="33807" priority="112378" stopIfTrue="1" operator="equal">
      <formula>-1</formula>
    </cfRule>
  </conditionalFormatting>
  <conditionalFormatting sqref="AN55">
    <cfRule type="cellIs" dxfId="33806" priority="112379" stopIfTrue="1" operator="lessThan">
      <formula>0.5</formula>
    </cfRule>
  </conditionalFormatting>
  <conditionalFormatting sqref="AN55">
    <cfRule type="cellIs" dxfId="33805" priority="112380" stopIfTrue="1" operator="greaterThanOrEqual">
      <formula>0.5</formula>
    </cfRule>
  </conditionalFormatting>
  <conditionalFormatting sqref="AN56">
    <cfRule type="cellIs" dxfId="33804" priority="112381" stopIfTrue="1" operator="equal">
      <formula>-1</formula>
    </cfRule>
  </conditionalFormatting>
  <conditionalFormatting sqref="AN56">
    <cfRule type="cellIs" dxfId="33803" priority="112382" stopIfTrue="1" operator="lessThan">
      <formula>0.5</formula>
    </cfRule>
  </conditionalFormatting>
  <conditionalFormatting sqref="AN56">
    <cfRule type="cellIs" dxfId="33802" priority="112383" stopIfTrue="1" operator="greaterThanOrEqual">
      <formula>0.5</formula>
    </cfRule>
  </conditionalFormatting>
  <conditionalFormatting sqref="AN57">
    <cfRule type="cellIs" dxfId="33801" priority="112384" stopIfTrue="1" operator="equal">
      <formula>-1</formula>
    </cfRule>
  </conditionalFormatting>
  <conditionalFormatting sqref="AN57">
    <cfRule type="cellIs" dxfId="33800" priority="112385" stopIfTrue="1" operator="lessThan">
      <formula>0.5</formula>
    </cfRule>
  </conditionalFormatting>
  <conditionalFormatting sqref="AN57">
    <cfRule type="cellIs" dxfId="33799" priority="112386" stopIfTrue="1" operator="greaterThanOrEqual">
      <formula>0.5</formula>
    </cfRule>
  </conditionalFormatting>
  <conditionalFormatting sqref="AN58">
    <cfRule type="cellIs" dxfId="33798" priority="112387" stopIfTrue="1" operator="equal">
      <formula>-1</formula>
    </cfRule>
  </conditionalFormatting>
  <conditionalFormatting sqref="AN58">
    <cfRule type="cellIs" dxfId="33797" priority="112388" stopIfTrue="1" operator="lessThan">
      <formula>0.5</formula>
    </cfRule>
  </conditionalFormatting>
  <conditionalFormatting sqref="AN58">
    <cfRule type="cellIs" dxfId="33796" priority="112389" stopIfTrue="1" operator="greaterThanOrEqual">
      <formula>0.5</formula>
    </cfRule>
  </conditionalFormatting>
  <conditionalFormatting sqref="AP39">
    <cfRule type="cellIs" dxfId="33795" priority="112390" stopIfTrue="1" operator="equal">
      <formula>-1</formula>
    </cfRule>
  </conditionalFormatting>
  <conditionalFormatting sqref="AP39">
    <cfRule type="cellIs" dxfId="33794" priority="112391" stopIfTrue="1" operator="lessThan">
      <formula>0.5</formula>
    </cfRule>
  </conditionalFormatting>
  <conditionalFormatting sqref="AP39">
    <cfRule type="cellIs" dxfId="33793" priority="112392" stopIfTrue="1" operator="greaterThanOrEqual">
      <formula>0.5</formula>
    </cfRule>
  </conditionalFormatting>
  <conditionalFormatting sqref="AP40">
    <cfRule type="cellIs" dxfId="33792" priority="112393" stopIfTrue="1" operator="equal">
      <formula>-1</formula>
    </cfRule>
  </conditionalFormatting>
  <conditionalFormatting sqref="AP40">
    <cfRule type="cellIs" dxfId="33791" priority="112394" stopIfTrue="1" operator="lessThan">
      <formula>0.5</formula>
    </cfRule>
  </conditionalFormatting>
  <conditionalFormatting sqref="AP40">
    <cfRule type="cellIs" dxfId="33790" priority="112395" stopIfTrue="1" operator="greaterThanOrEqual">
      <formula>0.5</formula>
    </cfRule>
  </conditionalFormatting>
  <conditionalFormatting sqref="AP41">
    <cfRule type="cellIs" dxfId="33789" priority="112396" stopIfTrue="1" operator="equal">
      <formula>-1</formula>
    </cfRule>
  </conditionalFormatting>
  <conditionalFormatting sqref="AP41">
    <cfRule type="cellIs" dxfId="33788" priority="112397" stopIfTrue="1" operator="lessThan">
      <formula>0.5</formula>
    </cfRule>
  </conditionalFormatting>
  <conditionalFormatting sqref="AP41">
    <cfRule type="cellIs" dxfId="33787" priority="112398" stopIfTrue="1" operator="greaterThanOrEqual">
      <formula>0.5</formula>
    </cfRule>
  </conditionalFormatting>
  <conditionalFormatting sqref="AP42">
    <cfRule type="cellIs" dxfId="33786" priority="112399" stopIfTrue="1" operator="equal">
      <formula>-1</formula>
    </cfRule>
  </conditionalFormatting>
  <conditionalFormatting sqref="AP42">
    <cfRule type="cellIs" dxfId="33785" priority="112400" stopIfTrue="1" operator="lessThan">
      <formula>0.5</formula>
    </cfRule>
  </conditionalFormatting>
  <conditionalFormatting sqref="AP42">
    <cfRule type="cellIs" dxfId="33784" priority="112401" stopIfTrue="1" operator="greaterThanOrEqual">
      <formula>0.5</formula>
    </cfRule>
  </conditionalFormatting>
  <conditionalFormatting sqref="AP43">
    <cfRule type="cellIs" dxfId="33783" priority="112402" stopIfTrue="1" operator="equal">
      <formula>-1</formula>
    </cfRule>
  </conditionalFormatting>
  <conditionalFormatting sqref="AP43">
    <cfRule type="cellIs" dxfId="33782" priority="112403" stopIfTrue="1" operator="lessThan">
      <formula>0.5</formula>
    </cfRule>
  </conditionalFormatting>
  <conditionalFormatting sqref="AP43">
    <cfRule type="cellIs" dxfId="33781" priority="112404" stopIfTrue="1" operator="greaterThanOrEqual">
      <formula>0.5</formula>
    </cfRule>
  </conditionalFormatting>
  <conditionalFormatting sqref="AP44">
    <cfRule type="cellIs" dxfId="33780" priority="112405" stopIfTrue="1" operator="equal">
      <formula>-1</formula>
    </cfRule>
  </conditionalFormatting>
  <conditionalFormatting sqref="AP44">
    <cfRule type="cellIs" dxfId="33779" priority="112406" stopIfTrue="1" operator="lessThan">
      <formula>0.5</formula>
    </cfRule>
  </conditionalFormatting>
  <conditionalFormatting sqref="AP44">
    <cfRule type="cellIs" dxfId="33778" priority="112407" stopIfTrue="1" operator="greaterThanOrEqual">
      <formula>0.5</formula>
    </cfRule>
  </conditionalFormatting>
  <conditionalFormatting sqref="AP45">
    <cfRule type="cellIs" dxfId="33777" priority="112408" stopIfTrue="1" operator="equal">
      <formula>-1</formula>
    </cfRule>
  </conditionalFormatting>
  <conditionalFormatting sqref="AP45">
    <cfRule type="cellIs" dxfId="33776" priority="112409" stopIfTrue="1" operator="lessThan">
      <formula>0.5</formula>
    </cfRule>
  </conditionalFormatting>
  <conditionalFormatting sqref="AP45">
    <cfRule type="cellIs" dxfId="33775" priority="112410" stopIfTrue="1" operator="greaterThanOrEqual">
      <formula>0.5</formula>
    </cfRule>
  </conditionalFormatting>
  <conditionalFormatting sqref="AP46">
    <cfRule type="cellIs" dxfId="33774" priority="112411" stopIfTrue="1" operator="equal">
      <formula>-1</formula>
    </cfRule>
  </conditionalFormatting>
  <conditionalFormatting sqref="AP46">
    <cfRule type="cellIs" dxfId="33773" priority="112412" stopIfTrue="1" operator="lessThan">
      <formula>0.5</formula>
    </cfRule>
  </conditionalFormatting>
  <conditionalFormatting sqref="AP46">
    <cfRule type="cellIs" dxfId="33772" priority="112413" stopIfTrue="1" operator="greaterThanOrEqual">
      <formula>0.5</formula>
    </cfRule>
  </conditionalFormatting>
  <conditionalFormatting sqref="AP47">
    <cfRule type="cellIs" dxfId="33771" priority="112414" stopIfTrue="1" operator="equal">
      <formula>-1</formula>
    </cfRule>
  </conditionalFormatting>
  <conditionalFormatting sqref="AP47">
    <cfRule type="cellIs" dxfId="33770" priority="112415" stopIfTrue="1" operator="lessThan">
      <formula>0.5</formula>
    </cfRule>
  </conditionalFormatting>
  <conditionalFormatting sqref="AP47">
    <cfRule type="cellIs" dxfId="33769" priority="112416" stopIfTrue="1" operator="greaterThanOrEqual">
      <formula>0.5</formula>
    </cfRule>
  </conditionalFormatting>
  <conditionalFormatting sqref="AP48">
    <cfRule type="cellIs" dxfId="33768" priority="112417" stopIfTrue="1" operator="equal">
      <formula>-1</formula>
    </cfRule>
  </conditionalFormatting>
  <conditionalFormatting sqref="AP48">
    <cfRule type="cellIs" dxfId="33767" priority="112418" stopIfTrue="1" operator="lessThan">
      <formula>0.5</formula>
    </cfRule>
  </conditionalFormatting>
  <conditionalFormatting sqref="AP48">
    <cfRule type="cellIs" dxfId="33766" priority="112419" stopIfTrue="1" operator="greaterThanOrEqual">
      <formula>0.5</formula>
    </cfRule>
  </conditionalFormatting>
  <conditionalFormatting sqref="AP49">
    <cfRule type="cellIs" dxfId="33765" priority="112420" stopIfTrue="1" operator="equal">
      <formula>-1</formula>
    </cfRule>
  </conditionalFormatting>
  <conditionalFormatting sqref="AP49">
    <cfRule type="cellIs" dxfId="33764" priority="112421" stopIfTrue="1" operator="lessThan">
      <formula>0.5</formula>
    </cfRule>
  </conditionalFormatting>
  <conditionalFormatting sqref="AP49">
    <cfRule type="cellIs" dxfId="33763" priority="112422" stopIfTrue="1" operator="greaterThanOrEqual">
      <formula>0.5</formula>
    </cfRule>
  </conditionalFormatting>
  <conditionalFormatting sqref="AP50">
    <cfRule type="cellIs" dxfId="33762" priority="112423" stopIfTrue="1" operator="equal">
      <formula>-1</formula>
    </cfRule>
  </conditionalFormatting>
  <conditionalFormatting sqref="AP50">
    <cfRule type="cellIs" dxfId="33761" priority="112424" stopIfTrue="1" operator="lessThan">
      <formula>0.5</formula>
    </cfRule>
  </conditionalFormatting>
  <conditionalFormatting sqref="AP50">
    <cfRule type="cellIs" dxfId="33760" priority="112425" stopIfTrue="1" operator="greaterThanOrEqual">
      <formula>0.5</formula>
    </cfRule>
  </conditionalFormatting>
  <conditionalFormatting sqref="AP51">
    <cfRule type="cellIs" dxfId="33759" priority="112426" stopIfTrue="1" operator="equal">
      <formula>-1</formula>
    </cfRule>
  </conditionalFormatting>
  <conditionalFormatting sqref="AP51">
    <cfRule type="cellIs" dxfId="33758" priority="112427" stopIfTrue="1" operator="lessThan">
      <formula>0.5</formula>
    </cfRule>
  </conditionalFormatting>
  <conditionalFormatting sqref="AP51">
    <cfRule type="cellIs" dxfId="33757" priority="112428" stopIfTrue="1" operator="greaterThanOrEqual">
      <formula>0.5</formula>
    </cfRule>
  </conditionalFormatting>
  <conditionalFormatting sqref="AP52">
    <cfRule type="cellIs" dxfId="33756" priority="112429" stopIfTrue="1" operator="equal">
      <formula>-1</formula>
    </cfRule>
  </conditionalFormatting>
  <conditionalFormatting sqref="AP52">
    <cfRule type="cellIs" dxfId="33755" priority="112430" stopIfTrue="1" operator="lessThan">
      <formula>0.5</formula>
    </cfRule>
  </conditionalFormatting>
  <conditionalFormatting sqref="AP52">
    <cfRule type="cellIs" dxfId="33754" priority="112431" stopIfTrue="1" operator="greaterThanOrEqual">
      <formula>0.5</formula>
    </cfRule>
  </conditionalFormatting>
  <conditionalFormatting sqref="AP53">
    <cfRule type="cellIs" dxfId="33753" priority="112432" stopIfTrue="1" operator="equal">
      <formula>-1</formula>
    </cfRule>
  </conditionalFormatting>
  <conditionalFormatting sqref="AP53">
    <cfRule type="cellIs" dxfId="33752" priority="112433" stopIfTrue="1" operator="lessThan">
      <formula>0.5</formula>
    </cfRule>
  </conditionalFormatting>
  <conditionalFormatting sqref="AP53">
    <cfRule type="cellIs" dxfId="33751" priority="112434" stopIfTrue="1" operator="greaterThanOrEqual">
      <formula>0.5</formula>
    </cfRule>
  </conditionalFormatting>
  <conditionalFormatting sqref="AP54">
    <cfRule type="cellIs" dxfId="33750" priority="112435" stopIfTrue="1" operator="equal">
      <formula>-1</formula>
    </cfRule>
  </conditionalFormatting>
  <conditionalFormatting sqref="AP54">
    <cfRule type="cellIs" dxfId="33749" priority="112436" stopIfTrue="1" operator="lessThan">
      <formula>0.5</formula>
    </cfRule>
  </conditionalFormatting>
  <conditionalFormatting sqref="AP54">
    <cfRule type="cellIs" dxfId="33748" priority="112437" stopIfTrue="1" operator="greaterThanOrEqual">
      <formula>0.5</formula>
    </cfRule>
  </conditionalFormatting>
  <conditionalFormatting sqref="AP55">
    <cfRule type="cellIs" dxfId="33747" priority="112438" stopIfTrue="1" operator="equal">
      <formula>-1</formula>
    </cfRule>
  </conditionalFormatting>
  <conditionalFormatting sqref="AP55">
    <cfRule type="cellIs" dxfId="33746" priority="112439" stopIfTrue="1" operator="lessThan">
      <formula>0.5</formula>
    </cfRule>
  </conditionalFormatting>
  <conditionalFormatting sqref="AP55">
    <cfRule type="cellIs" dxfId="33745" priority="112440" stopIfTrue="1" operator="greaterThanOrEqual">
      <formula>0.5</formula>
    </cfRule>
  </conditionalFormatting>
  <conditionalFormatting sqref="AP56">
    <cfRule type="cellIs" dxfId="33744" priority="112441" stopIfTrue="1" operator="equal">
      <formula>-1</formula>
    </cfRule>
  </conditionalFormatting>
  <conditionalFormatting sqref="AP56">
    <cfRule type="cellIs" dxfId="33743" priority="112442" stopIfTrue="1" operator="lessThan">
      <formula>0.5</formula>
    </cfRule>
  </conditionalFormatting>
  <conditionalFormatting sqref="AP56">
    <cfRule type="cellIs" dxfId="33742" priority="112443" stopIfTrue="1" operator="greaterThanOrEqual">
      <formula>0.5</formula>
    </cfRule>
  </conditionalFormatting>
  <conditionalFormatting sqref="AP57">
    <cfRule type="cellIs" dxfId="33741" priority="112444" stopIfTrue="1" operator="equal">
      <formula>-1</formula>
    </cfRule>
  </conditionalFormatting>
  <conditionalFormatting sqref="AP57">
    <cfRule type="cellIs" dxfId="33740" priority="112445" stopIfTrue="1" operator="lessThan">
      <formula>0.5</formula>
    </cfRule>
  </conditionalFormatting>
  <conditionalFormatting sqref="AP57">
    <cfRule type="cellIs" dxfId="33739" priority="112446" stopIfTrue="1" operator="greaterThanOrEqual">
      <formula>0.5</formula>
    </cfRule>
  </conditionalFormatting>
  <conditionalFormatting sqref="AP58">
    <cfRule type="cellIs" dxfId="33738" priority="112447" stopIfTrue="1" operator="equal">
      <formula>-1</formula>
    </cfRule>
  </conditionalFormatting>
  <conditionalFormatting sqref="AP58">
    <cfRule type="cellIs" dxfId="33737" priority="112448" stopIfTrue="1" operator="lessThan">
      <formula>0.5</formula>
    </cfRule>
  </conditionalFormatting>
  <conditionalFormatting sqref="AP58">
    <cfRule type="cellIs" dxfId="33736" priority="112449" stopIfTrue="1" operator="greaterThanOrEqual">
      <formula>0.5</formula>
    </cfRule>
  </conditionalFormatting>
  <conditionalFormatting sqref="AR39">
    <cfRule type="cellIs" dxfId="33735" priority="112450" stopIfTrue="1" operator="equal">
      <formula>-1</formula>
    </cfRule>
  </conditionalFormatting>
  <conditionalFormatting sqref="AR39">
    <cfRule type="cellIs" dxfId="33734" priority="112451" stopIfTrue="1" operator="lessThan">
      <formula>0.5</formula>
    </cfRule>
  </conditionalFormatting>
  <conditionalFormatting sqref="AR39">
    <cfRule type="cellIs" dxfId="33733" priority="112452" stopIfTrue="1" operator="greaterThanOrEqual">
      <formula>0.5</formula>
    </cfRule>
  </conditionalFormatting>
  <conditionalFormatting sqref="AR40">
    <cfRule type="cellIs" dxfId="33732" priority="112453" stopIfTrue="1" operator="equal">
      <formula>-1</formula>
    </cfRule>
  </conditionalFormatting>
  <conditionalFormatting sqref="AR40">
    <cfRule type="cellIs" dxfId="33731" priority="112454" stopIfTrue="1" operator="lessThan">
      <formula>0.5</formula>
    </cfRule>
  </conditionalFormatting>
  <conditionalFormatting sqref="AR40">
    <cfRule type="cellIs" dxfId="33730" priority="112455" stopIfTrue="1" operator="greaterThanOrEqual">
      <formula>0.5</formula>
    </cfRule>
  </conditionalFormatting>
  <conditionalFormatting sqref="AR41">
    <cfRule type="cellIs" dxfId="33729" priority="112456" stopIfTrue="1" operator="equal">
      <formula>-1</formula>
    </cfRule>
  </conditionalFormatting>
  <conditionalFormatting sqref="AR41">
    <cfRule type="cellIs" dxfId="33728" priority="112457" stopIfTrue="1" operator="lessThan">
      <formula>0.5</formula>
    </cfRule>
  </conditionalFormatting>
  <conditionalFormatting sqref="AR41">
    <cfRule type="cellIs" dxfId="33727" priority="112458" stopIfTrue="1" operator="greaterThanOrEqual">
      <formula>0.5</formula>
    </cfRule>
  </conditionalFormatting>
  <conditionalFormatting sqref="AR42">
    <cfRule type="cellIs" dxfId="33726" priority="112459" stopIfTrue="1" operator="equal">
      <formula>-1</formula>
    </cfRule>
  </conditionalFormatting>
  <conditionalFormatting sqref="AR42">
    <cfRule type="cellIs" dxfId="33725" priority="112460" stopIfTrue="1" operator="lessThan">
      <formula>0.5</formula>
    </cfRule>
  </conditionalFormatting>
  <conditionalFormatting sqref="AR42">
    <cfRule type="cellIs" dxfId="33724" priority="112461" stopIfTrue="1" operator="greaterThanOrEqual">
      <formula>0.5</formula>
    </cfRule>
  </conditionalFormatting>
  <conditionalFormatting sqref="AR43">
    <cfRule type="cellIs" dxfId="33723" priority="112462" stopIfTrue="1" operator="equal">
      <formula>-1</formula>
    </cfRule>
  </conditionalFormatting>
  <conditionalFormatting sqref="AR43">
    <cfRule type="cellIs" dxfId="33722" priority="112463" stopIfTrue="1" operator="lessThan">
      <formula>0.5</formula>
    </cfRule>
  </conditionalFormatting>
  <conditionalFormatting sqref="AR43">
    <cfRule type="cellIs" dxfId="33721" priority="112464" stopIfTrue="1" operator="greaterThanOrEqual">
      <formula>0.5</formula>
    </cfRule>
  </conditionalFormatting>
  <conditionalFormatting sqref="AR44">
    <cfRule type="cellIs" dxfId="33720" priority="112465" stopIfTrue="1" operator="equal">
      <formula>-1</formula>
    </cfRule>
  </conditionalFormatting>
  <conditionalFormatting sqref="AR44">
    <cfRule type="cellIs" dxfId="33719" priority="112466" stopIfTrue="1" operator="lessThan">
      <formula>0.5</formula>
    </cfRule>
  </conditionalFormatting>
  <conditionalFormatting sqref="AR44">
    <cfRule type="cellIs" dxfId="33718" priority="112467" stopIfTrue="1" operator="greaterThanOrEqual">
      <formula>0.5</formula>
    </cfRule>
  </conditionalFormatting>
  <conditionalFormatting sqref="AR45">
    <cfRule type="cellIs" dxfId="33717" priority="112468" stopIfTrue="1" operator="equal">
      <formula>-1</formula>
    </cfRule>
  </conditionalFormatting>
  <conditionalFormatting sqref="AR45">
    <cfRule type="cellIs" dxfId="33716" priority="112469" stopIfTrue="1" operator="lessThan">
      <formula>0.5</formula>
    </cfRule>
  </conditionalFormatting>
  <conditionalFormatting sqref="AR45">
    <cfRule type="cellIs" dxfId="33715" priority="112470" stopIfTrue="1" operator="greaterThanOrEqual">
      <formula>0.5</formula>
    </cfRule>
  </conditionalFormatting>
  <conditionalFormatting sqref="AR46">
    <cfRule type="cellIs" dxfId="33714" priority="112471" stopIfTrue="1" operator="equal">
      <formula>-1</formula>
    </cfRule>
  </conditionalFormatting>
  <conditionalFormatting sqref="AR46">
    <cfRule type="cellIs" dxfId="33713" priority="112472" stopIfTrue="1" operator="lessThan">
      <formula>0.5</formula>
    </cfRule>
  </conditionalFormatting>
  <conditionalFormatting sqref="AR46">
    <cfRule type="cellIs" dxfId="33712" priority="112473" stopIfTrue="1" operator="greaterThanOrEqual">
      <formula>0.5</formula>
    </cfRule>
  </conditionalFormatting>
  <conditionalFormatting sqref="AR47">
    <cfRule type="cellIs" dxfId="33711" priority="112474" stopIfTrue="1" operator="equal">
      <formula>-1</formula>
    </cfRule>
  </conditionalFormatting>
  <conditionalFormatting sqref="AR47">
    <cfRule type="cellIs" dxfId="33710" priority="112475" stopIfTrue="1" operator="lessThan">
      <formula>0.5</formula>
    </cfRule>
  </conditionalFormatting>
  <conditionalFormatting sqref="AR47">
    <cfRule type="cellIs" dxfId="33709" priority="112476" stopIfTrue="1" operator="greaterThanOrEqual">
      <formula>0.5</formula>
    </cfRule>
  </conditionalFormatting>
  <conditionalFormatting sqref="AR48">
    <cfRule type="cellIs" dxfId="33708" priority="112477" stopIfTrue="1" operator="equal">
      <formula>-1</formula>
    </cfRule>
  </conditionalFormatting>
  <conditionalFormatting sqref="AR48">
    <cfRule type="cellIs" dxfId="33707" priority="112478" stopIfTrue="1" operator="lessThan">
      <formula>0.5</formula>
    </cfRule>
  </conditionalFormatting>
  <conditionalFormatting sqref="AR48">
    <cfRule type="cellIs" dxfId="33706" priority="112479" stopIfTrue="1" operator="greaterThanOrEqual">
      <formula>0.5</formula>
    </cfRule>
  </conditionalFormatting>
  <conditionalFormatting sqref="AR49">
    <cfRule type="cellIs" dxfId="33705" priority="112480" stopIfTrue="1" operator="equal">
      <formula>-1</formula>
    </cfRule>
  </conditionalFormatting>
  <conditionalFormatting sqref="AR49">
    <cfRule type="cellIs" dxfId="33704" priority="112481" stopIfTrue="1" operator="lessThan">
      <formula>0.5</formula>
    </cfRule>
  </conditionalFormatting>
  <conditionalFormatting sqref="AR49">
    <cfRule type="cellIs" dxfId="33703" priority="112482" stopIfTrue="1" operator="greaterThanOrEqual">
      <formula>0.5</formula>
    </cfRule>
  </conditionalFormatting>
  <conditionalFormatting sqref="AR50">
    <cfRule type="cellIs" dxfId="33702" priority="112483" stopIfTrue="1" operator="equal">
      <formula>-1</formula>
    </cfRule>
  </conditionalFormatting>
  <conditionalFormatting sqref="AR50">
    <cfRule type="cellIs" dxfId="33701" priority="112484" stopIfTrue="1" operator="lessThan">
      <formula>0.5</formula>
    </cfRule>
  </conditionalFormatting>
  <conditionalFormatting sqref="AR50">
    <cfRule type="cellIs" dxfId="33700" priority="112485" stopIfTrue="1" operator="greaterThanOrEqual">
      <formula>0.5</formula>
    </cfRule>
  </conditionalFormatting>
  <conditionalFormatting sqref="AR51">
    <cfRule type="cellIs" dxfId="33699" priority="112486" stopIfTrue="1" operator="equal">
      <formula>-1</formula>
    </cfRule>
  </conditionalFormatting>
  <conditionalFormatting sqref="AR51">
    <cfRule type="cellIs" dxfId="33698" priority="112487" stopIfTrue="1" operator="lessThan">
      <formula>0.5</formula>
    </cfRule>
  </conditionalFormatting>
  <conditionalFormatting sqref="AR51">
    <cfRule type="cellIs" dxfId="33697" priority="112488" stopIfTrue="1" operator="greaterThanOrEqual">
      <formula>0.5</formula>
    </cfRule>
  </conditionalFormatting>
  <conditionalFormatting sqref="AR52">
    <cfRule type="cellIs" dxfId="33696" priority="112489" stopIfTrue="1" operator="equal">
      <formula>-1</formula>
    </cfRule>
  </conditionalFormatting>
  <conditionalFormatting sqref="AR52">
    <cfRule type="cellIs" dxfId="33695" priority="112490" stopIfTrue="1" operator="lessThan">
      <formula>0.5</formula>
    </cfRule>
  </conditionalFormatting>
  <conditionalFormatting sqref="AR52">
    <cfRule type="cellIs" dxfId="33694" priority="112491" stopIfTrue="1" operator="greaterThanOrEqual">
      <formula>0.5</formula>
    </cfRule>
  </conditionalFormatting>
  <conditionalFormatting sqref="AR53">
    <cfRule type="cellIs" dxfId="33693" priority="112492" stopIfTrue="1" operator="equal">
      <formula>-1</formula>
    </cfRule>
  </conditionalFormatting>
  <conditionalFormatting sqref="AR53">
    <cfRule type="cellIs" dxfId="33692" priority="112493" stopIfTrue="1" operator="lessThan">
      <formula>0.5</formula>
    </cfRule>
  </conditionalFormatting>
  <conditionalFormatting sqref="AR53">
    <cfRule type="cellIs" dxfId="33691" priority="112494" stopIfTrue="1" operator="greaterThanOrEqual">
      <formula>0.5</formula>
    </cfRule>
  </conditionalFormatting>
  <conditionalFormatting sqref="AR54">
    <cfRule type="cellIs" dxfId="33690" priority="112495" stopIfTrue="1" operator="equal">
      <formula>-1</formula>
    </cfRule>
  </conditionalFormatting>
  <conditionalFormatting sqref="AR54">
    <cfRule type="cellIs" dxfId="33689" priority="112496" stopIfTrue="1" operator="lessThan">
      <formula>0.5</formula>
    </cfRule>
  </conditionalFormatting>
  <conditionalFormatting sqref="AR54">
    <cfRule type="cellIs" dxfId="33688" priority="112497" stopIfTrue="1" operator="greaterThanOrEqual">
      <formula>0.5</formula>
    </cfRule>
  </conditionalFormatting>
  <conditionalFormatting sqref="AR55">
    <cfRule type="cellIs" dxfId="33687" priority="112498" stopIfTrue="1" operator="equal">
      <formula>-1</formula>
    </cfRule>
  </conditionalFormatting>
  <conditionalFormatting sqref="AR55">
    <cfRule type="cellIs" dxfId="33686" priority="112499" stopIfTrue="1" operator="lessThan">
      <formula>0.5</formula>
    </cfRule>
  </conditionalFormatting>
  <conditionalFormatting sqref="AR55">
    <cfRule type="cellIs" dxfId="33685" priority="112500" stopIfTrue="1" operator="greaterThanOrEqual">
      <formula>0.5</formula>
    </cfRule>
  </conditionalFormatting>
  <conditionalFormatting sqref="AR56">
    <cfRule type="cellIs" dxfId="33684" priority="112501" stopIfTrue="1" operator="equal">
      <formula>-1</formula>
    </cfRule>
  </conditionalFormatting>
  <conditionalFormatting sqref="AR56">
    <cfRule type="cellIs" dxfId="33683" priority="112502" stopIfTrue="1" operator="lessThan">
      <formula>0.5</formula>
    </cfRule>
  </conditionalFormatting>
  <conditionalFormatting sqref="AR56">
    <cfRule type="cellIs" dxfId="33682" priority="112503" stopIfTrue="1" operator="greaterThanOrEqual">
      <formula>0.5</formula>
    </cfRule>
  </conditionalFormatting>
  <conditionalFormatting sqref="AR57">
    <cfRule type="cellIs" dxfId="33681" priority="112504" stopIfTrue="1" operator="equal">
      <formula>-1</formula>
    </cfRule>
  </conditionalFormatting>
  <conditionalFormatting sqref="AR57">
    <cfRule type="cellIs" dxfId="33680" priority="112505" stopIfTrue="1" operator="lessThan">
      <formula>0.5</formula>
    </cfRule>
  </conditionalFormatting>
  <conditionalFormatting sqref="AR57">
    <cfRule type="cellIs" dxfId="33679" priority="112506" stopIfTrue="1" operator="greaterThanOrEqual">
      <formula>0.5</formula>
    </cfRule>
  </conditionalFormatting>
  <conditionalFormatting sqref="AR58">
    <cfRule type="cellIs" dxfId="33678" priority="112507" stopIfTrue="1" operator="equal">
      <formula>-1</formula>
    </cfRule>
  </conditionalFormatting>
  <conditionalFormatting sqref="AR58">
    <cfRule type="cellIs" dxfId="33677" priority="112508" stopIfTrue="1" operator="lessThan">
      <formula>0.5</formula>
    </cfRule>
  </conditionalFormatting>
  <conditionalFormatting sqref="AR58">
    <cfRule type="cellIs" dxfId="33676" priority="112509" stopIfTrue="1" operator="greaterThanOrEqual">
      <formula>0.5</formula>
    </cfRule>
  </conditionalFormatting>
  <conditionalFormatting sqref="AT39">
    <cfRule type="cellIs" dxfId="33675" priority="112510" stopIfTrue="1" operator="equal">
      <formula>-1</formula>
    </cfRule>
  </conditionalFormatting>
  <conditionalFormatting sqref="AT39">
    <cfRule type="cellIs" dxfId="33674" priority="112511" stopIfTrue="1" operator="lessThan">
      <formula>0.5</formula>
    </cfRule>
  </conditionalFormatting>
  <conditionalFormatting sqref="AT39">
    <cfRule type="cellIs" dxfId="33673" priority="112512" stopIfTrue="1" operator="greaterThanOrEqual">
      <formula>0.5</formula>
    </cfRule>
  </conditionalFormatting>
  <conditionalFormatting sqref="AT40">
    <cfRule type="cellIs" dxfId="33672" priority="112513" stopIfTrue="1" operator="equal">
      <formula>-1</formula>
    </cfRule>
  </conditionalFormatting>
  <conditionalFormatting sqref="AT40">
    <cfRule type="cellIs" dxfId="33671" priority="112514" stopIfTrue="1" operator="lessThan">
      <formula>0.5</formula>
    </cfRule>
  </conditionalFormatting>
  <conditionalFormatting sqref="AT40">
    <cfRule type="cellIs" dxfId="33670" priority="112515" stopIfTrue="1" operator="greaterThanOrEqual">
      <formula>0.5</formula>
    </cfRule>
  </conditionalFormatting>
  <conditionalFormatting sqref="AT41">
    <cfRule type="cellIs" dxfId="33669" priority="112516" stopIfTrue="1" operator="equal">
      <formula>-1</formula>
    </cfRule>
  </conditionalFormatting>
  <conditionalFormatting sqref="AT41">
    <cfRule type="cellIs" dxfId="33668" priority="112517" stopIfTrue="1" operator="lessThan">
      <formula>0.5</formula>
    </cfRule>
  </conditionalFormatting>
  <conditionalFormatting sqref="AT41">
    <cfRule type="cellIs" dxfId="33667" priority="112518" stopIfTrue="1" operator="greaterThanOrEqual">
      <formula>0.5</formula>
    </cfRule>
  </conditionalFormatting>
  <conditionalFormatting sqref="AT42">
    <cfRule type="cellIs" dxfId="33666" priority="112519" stopIfTrue="1" operator="equal">
      <formula>-1</formula>
    </cfRule>
  </conditionalFormatting>
  <conditionalFormatting sqref="AT42">
    <cfRule type="cellIs" dxfId="33665" priority="112520" stopIfTrue="1" operator="lessThan">
      <formula>0.5</formula>
    </cfRule>
  </conditionalFormatting>
  <conditionalFormatting sqref="AT42">
    <cfRule type="cellIs" dxfId="33664" priority="112521" stopIfTrue="1" operator="greaterThanOrEqual">
      <formula>0.5</formula>
    </cfRule>
  </conditionalFormatting>
  <conditionalFormatting sqref="AT43">
    <cfRule type="cellIs" dxfId="33663" priority="112522" stopIfTrue="1" operator="equal">
      <formula>-1</formula>
    </cfRule>
  </conditionalFormatting>
  <conditionalFormatting sqref="AT43">
    <cfRule type="cellIs" dxfId="33662" priority="112523" stopIfTrue="1" operator="lessThan">
      <formula>0.5</formula>
    </cfRule>
  </conditionalFormatting>
  <conditionalFormatting sqref="AT43">
    <cfRule type="cellIs" dxfId="33661" priority="112524" stopIfTrue="1" operator="greaterThanOrEqual">
      <formula>0.5</formula>
    </cfRule>
  </conditionalFormatting>
  <conditionalFormatting sqref="AT44">
    <cfRule type="cellIs" dxfId="33660" priority="112525" stopIfTrue="1" operator="equal">
      <formula>-1</formula>
    </cfRule>
  </conditionalFormatting>
  <conditionalFormatting sqref="AT44">
    <cfRule type="cellIs" dxfId="33659" priority="112526" stopIfTrue="1" operator="lessThan">
      <formula>0.5</formula>
    </cfRule>
  </conditionalFormatting>
  <conditionalFormatting sqref="AT44">
    <cfRule type="cellIs" dxfId="33658" priority="112527" stopIfTrue="1" operator="greaterThanOrEqual">
      <formula>0.5</formula>
    </cfRule>
  </conditionalFormatting>
  <conditionalFormatting sqref="AT45">
    <cfRule type="cellIs" dxfId="33657" priority="112528" stopIfTrue="1" operator="equal">
      <formula>-1</formula>
    </cfRule>
  </conditionalFormatting>
  <conditionalFormatting sqref="AT45">
    <cfRule type="cellIs" dxfId="33656" priority="112529" stopIfTrue="1" operator="lessThan">
      <formula>0.5</formula>
    </cfRule>
  </conditionalFormatting>
  <conditionalFormatting sqref="AT45">
    <cfRule type="cellIs" dxfId="33655" priority="112530" stopIfTrue="1" operator="greaterThanOrEqual">
      <formula>0.5</formula>
    </cfRule>
  </conditionalFormatting>
  <conditionalFormatting sqref="AT46">
    <cfRule type="cellIs" dxfId="33654" priority="112531" stopIfTrue="1" operator="equal">
      <formula>-1</formula>
    </cfRule>
  </conditionalFormatting>
  <conditionalFormatting sqref="AT46">
    <cfRule type="cellIs" dxfId="33653" priority="112532" stopIfTrue="1" operator="lessThan">
      <formula>0.5</formula>
    </cfRule>
  </conditionalFormatting>
  <conditionalFormatting sqref="AT46">
    <cfRule type="cellIs" dxfId="33652" priority="112533" stopIfTrue="1" operator="greaterThanOrEqual">
      <formula>0.5</formula>
    </cfRule>
  </conditionalFormatting>
  <conditionalFormatting sqref="AT47">
    <cfRule type="cellIs" dxfId="33651" priority="112534" stopIfTrue="1" operator="equal">
      <formula>-1</formula>
    </cfRule>
  </conditionalFormatting>
  <conditionalFormatting sqref="AT47">
    <cfRule type="cellIs" dxfId="33650" priority="112535" stopIfTrue="1" operator="lessThan">
      <formula>0.5</formula>
    </cfRule>
  </conditionalFormatting>
  <conditionalFormatting sqref="AT47">
    <cfRule type="cellIs" dxfId="33649" priority="112536" stopIfTrue="1" operator="greaterThanOrEqual">
      <formula>0.5</formula>
    </cfRule>
  </conditionalFormatting>
  <conditionalFormatting sqref="AT48">
    <cfRule type="cellIs" dxfId="33648" priority="112537" stopIfTrue="1" operator="equal">
      <formula>-1</formula>
    </cfRule>
  </conditionalFormatting>
  <conditionalFormatting sqref="AT48">
    <cfRule type="cellIs" dxfId="33647" priority="112538" stopIfTrue="1" operator="lessThan">
      <formula>0.5</formula>
    </cfRule>
  </conditionalFormatting>
  <conditionalFormatting sqref="AT48">
    <cfRule type="cellIs" dxfId="33646" priority="112539" stopIfTrue="1" operator="greaterThanOrEqual">
      <formula>0.5</formula>
    </cfRule>
  </conditionalFormatting>
  <conditionalFormatting sqref="AT49">
    <cfRule type="cellIs" dxfId="33645" priority="112540" stopIfTrue="1" operator="equal">
      <formula>-1</formula>
    </cfRule>
  </conditionalFormatting>
  <conditionalFormatting sqref="AT49">
    <cfRule type="cellIs" dxfId="33644" priority="112541" stopIfTrue="1" operator="lessThan">
      <formula>0.5</formula>
    </cfRule>
  </conditionalFormatting>
  <conditionalFormatting sqref="AT49">
    <cfRule type="cellIs" dxfId="33643" priority="112542" stopIfTrue="1" operator="greaterThanOrEqual">
      <formula>0.5</formula>
    </cfRule>
  </conditionalFormatting>
  <conditionalFormatting sqref="AT50">
    <cfRule type="cellIs" dxfId="33642" priority="112543" stopIfTrue="1" operator="equal">
      <formula>-1</formula>
    </cfRule>
  </conditionalFormatting>
  <conditionalFormatting sqref="AT50">
    <cfRule type="cellIs" dxfId="33641" priority="112544" stopIfTrue="1" operator="lessThan">
      <formula>0.5</formula>
    </cfRule>
  </conditionalFormatting>
  <conditionalFormatting sqref="AT50">
    <cfRule type="cellIs" dxfId="33640" priority="112545" stopIfTrue="1" operator="greaterThanOrEqual">
      <formula>0.5</formula>
    </cfRule>
  </conditionalFormatting>
  <conditionalFormatting sqref="AT51">
    <cfRule type="cellIs" dxfId="33639" priority="112546" stopIfTrue="1" operator="equal">
      <formula>-1</formula>
    </cfRule>
  </conditionalFormatting>
  <conditionalFormatting sqref="AT51">
    <cfRule type="cellIs" dxfId="33638" priority="112547" stopIfTrue="1" operator="lessThan">
      <formula>0.5</formula>
    </cfRule>
  </conditionalFormatting>
  <conditionalFormatting sqref="AT51">
    <cfRule type="cellIs" dxfId="33637" priority="112548" stopIfTrue="1" operator="greaterThanOrEqual">
      <formula>0.5</formula>
    </cfRule>
  </conditionalFormatting>
  <conditionalFormatting sqref="AT52">
    <cfRule type="cellIs" dxfId="33636" priority="112549" stopIfTrue="1" operator="equal">
      <formula>-1</formula>
    </cfRule>
  </conditionalFormatting>
  <conditionalFormatting sqref="AT52">
    <cfRule type="cellIs" dxfId="33635" priority="112550" stopIfTrue="1" operator="lessThan">
      <formula>0.5</formula>
    </cfRule>
  </conditionalFormatting>
  <conditionalFormatting sqref="AT52">
    <cfRule type="cellIs" dxfId="33634" priority="112551" stopIfTrue="1" operator="greaterThanOrEqual">
      <formula>0.5</formula>
    </cfRule>
  </conditionalFormatting>
  <conditionalFormatting sqref="AT53">
    <cfRule type="cellIs" dxfId="33633" priority="112552" stopIfTrue="1" operator="equal">
      <formula>-1</formula>
    </cfRule>
  </conditionalFormatting>
  <conditionalFormatting sqref="AT53">
    <cfRule type="cellIs" dxfId="33632" priority="112553" stopIfTrue="1" operator="lessThan">
      <formula>0.5</formula>
    </cfRule>
  </conditionalFormatting>
  <conditionalFormatting sqref="AT53">
    <cfRule type="cellIs" dxfId="33631" priority="112554" stopIfTrue="1" operator="greaterThanOrEqual">
      <formula>0.5</formula>
    </cfRule>
  </conditionalFormatting>
  <conditionalFormatting sqref="AT54">
    <cfRule type="cellIs" dxfId="33630" priority="112555" stopIfTrue="1" operator="equal">
      <formula>-1</formula>
    </cfRule>
  </conditionalFormatting>
  <conditionalFormatting sqref="AT54">
    <cfRule type="cellIs" dxfId="33629" priority="112556" stopIfTrue="1" operator="lessThan">
      <formula>0.5</formula>
    </cfRule>
  </conditionalFormatting>
  <conditionalFormatting sqref="AT54">
    <cfRule type="cellIs" dxfId="33628" priority="112557" stopIfTrue="1" operator="greaterThanOrEqual">
      <formula>0.5</formula>
    </cfRule>
  </conditionalFormatting>
  <conditionalFormatting sqref="AT55">
    <cfRule type="cellIs" dxfId="33627" priority="112558" stopIfTrue="1" operator="equal">
      <formula>-1</formula>
    </cfRule>
  </conditionalFormatting>
  <conditionalFormatting sqref="AT55">
    <cfRule type="cellIs" dxfId="33626" priority="112559" stopIfTrue="1" operator="lessThan">
      <formula>0.5</formula>
    </cfRule>
  </conditionalFormatting>
  <conditionalFormatting sqref="AT55">
    <cfRule type="cellIs" dxfId="33625" priority="112560" stopIfTrue="1" operator="greaterThanOrEqual">
      <formula>0.5</formula>
    </cfRule>
  </conditionalFormatting>
  <conditionalFormatting sqref="AT56">
    <cfRule type="cellIs" dxfId="33624" priority="112561" stopIfTrue="1" operator="equal">
      <formula>-1</formula>
    </cfRule>
  </conditionalFormatting>
  <conditionalFormatting sqref="AT56">
    <cfRule type="cellIs" dxfId="33623" priority="112562" stopIfTrue="1" operator="lessThan">
      <formula>0.5</formula>
    </cfRule>
  </conditionalFormatting>
  <conditionalFormatting sqref="AT56">
    <cfRule type="cellIs" dxfId="33622" priority="112563" stopIfTrue="1" operator="greaterThanOrEqual">
      <formula>0.5</formula>
    </cfRule>
  </conditionalFormatting>
  <conditionalFormatting sqref="AT57">
    <cfRule type="cellIs" dxfId="33621" priority="112564" stopIfTrue="1" operator="equal">
      <formula>-1</formula>
    </cfRule>
  </conditionalFormatting>
  <conditionalFormatting sqref="AT57">
    <cfRule type="cellIs" dxfId="33620" priority="112565" stopIfTrue="1" operator="lessThan">
      <formula>0.5</formula>
    </cfRule>
  </conditionalFormatting>
  <conditionalFormatting sqref="AT57">
    <cfRule type="cellIs" dxfId="33619" priority="112566" stopIfTrue="1" operator="greaterThanOrEqual">
      <formula>0.5</formula>
    </cfRule>
  </conditionalFormatting>
  <conditionalFormatting sqref="AT58">
    <cfRule type="cellIs" dxfId="33618" priority="112567" stopIfTrue="1" operator="equal">
      <formula>-1</formula>
    </cfRule>
  </conditionalFormatting>
  <conditionalFormatting sqref="AT58">
    <cfRule type="cellIs" dxfId="33617" priority="112568" stopIfTrue="1" operator="lessThan">
      <formula>0.5</formula>
    </cfRule>
  </conditionalFormatting>
  <conditionalFormatting sqref="AT58">
    <cfRule type="cellIs" dxfId="33616" priority="112569" stopIfTrue="1" operator="greaterThanOrEqual">
      <formula>0.5</formula>
    </cfRule>
  </conditionalFormatting>
  <conditionalFormatting sqref="AV39">
    <cfRule type="cellIs" dxfId="33615" priority="112570" stopIfTrue="1" operator="equal">
      <formula>-1</formula>
    </cfRule>
  </conditionalFormatting>
  <conditionalFormatting sqref="AV39">
    <cfRule type="cellIs" dxfId="33614" priority="112571" stopIfTrue="1" operator="lessThan">
      <formula>0.5</formula>
    </cfRule>
  </conditionalFormatting>
  <conditionalFormatting sqref="AV39">
    <cfRule type="cellIs" dxfId="33613" priority="112572" stopIfTrue="1" operator="greaterThanOrEqual">
      <formula>0.5</formula>
    </cfRule>
  </conditionalFormatting>
  <conditionalFormatting sqref="AV40">
    <cfRule type="cellIs" dxfId="33612" priority="112573" stopIfTrue="1" operator="equal">
      <formula>-1</formula>
    </cfRule>
  </conditionalFormatting>
  <conditionalFormatting sqref="AV40">
    <cfRule type="cellIs" dxfId="33611" priority="112574" stopIfTrue="1" operator="lessThan">
      <formula>0.5</formula>
    </cfRule>
  </conditionalFormatting>
  <conditionalFormatting sqref="AV40">
    <cfRule type="cellIs" dxfId="33610" priority="112575" stopIfTrue="1" operator="greaterThanOrEqual">
      <formula>0.5</formula>
    </cfRule>
  </conditionalFormatting>
  <conditionalFormatting sqref="AV41">
    <cfRule type="cellIs" dxfId="33609" priority="112576" stopIfTrue="1" operator="equal">
      <formula>-1</formula>
    </cfRule>
  </conditionalFormatting>
  <conditionalFormatting sqref="AV41">
    <cfRule type="cellIs" dxfId="33608" priority="112577" stopIfTrue="1" operator="lessThan">
      <formula>0.5</formula>
    </cfRule>
  </conditionalFormatting>
  <conditionalFormatting sqref="AV41">
    <cfRule type="cellIs" dxfId="33607" priority="112578" stopIfTrue="1" operator="greaterThanOrEqual">
      <formula>0.5</formula>
    </cfRule>
  </conditionalFormatting>
  <conditionalFormatting sqref="AV42">
    <cfRule type="cellIs" dxfId="33606" priority="112579" stopIfTrue="1" operator="equal">
      <formula>-1</formula>
    </cfRule>
  </conditionalFormatting>
  <conditionalFormatting sqref="AV42">
    <cfRule type="cellIs" dxfId="33605" priority="112580" stopIfTrue="1" operator="lessThan">
      <formula>0.5</formula>
    </cfRule>
  </conditionalFormatting>
  <conditionalFormatting sqref="AV42">
    <cfRule type="cellIs" dxfId="33604" priority="112581" stopIfTrue="1" operator="greaterThanOrEqual">
      <formula>0.5</formula>
    </cfRule>
  </conditionalFormatting>
  <conditionalFormatting sqref="AV43">
    <cfRule type="cellIs" dxfId="33603" priority="112582" stopIfTrue="1" operator="equal">
      <formula>-1</formula>
    </cfRule>
  </conditionalFormatting>
  <conditionalFormatting sqref="AV43">
    <cfRule type="cellIs" dxfId="33602" priority="112583" stopIfTrue="1" operator="lessThan">
      <formula>0.5</formula>
    </cfRule>
  </conditionalFormatting>
  <conditionalFormatting sqref="AV43">
    <cfRule type="cellIs" dxfId="33601" priority="112584" stopIfTrue="1" operator="greaterThanOrEqual">
      <formula>0.5</formula>
    </cfRule>
  </conditionalFormatting>
  <conditionalFormatting sqref="AV44">
    <cfRule type="cellIs" dxfId="33600" priority="112585" stopIfTrue="1" operator="equal">
      <formula>-1</formula>
    </cfRule>
  </conditionalFormatting>
  <conditionalFormatting sqref="AV44">
    <cfRule type="cellIs" dxfId="33599" priority="112586" stopIfTrue="1" operator="lessThan">
      <formula>0.5</formula>
    </cfRule>
  </conditionalFormatting>
  <conditionalFormatting sqref="AV44">
    <cfRule type="cellIs" dxfId="33598" priority="112587" stopIfTrue="1" operator="greaterThanOrEqual">
      <formula>0.5</formula>
    </cfRule>
  </conditionalFormatting>
  <conditionalFormatting sqref="AV45">
    <cfRule type="cellIs" dxfId="33597" priority="112588" stopIfTrue="1" operator="equal">
      <formula>-1</formula>
    </cfRule>
  </conditionalFormatting>
  <conditionalFormatting sqref="AV45">
    <cfRule type="cellIs" dxfId="33596" priority="112589" stopIfTrue="1" operator="lessThan">
      <formula>0.5</formula>
    </cfRule>
  </conditionalFormatting>
  <conditionalFormatting sqref="AV45">
    <cfRule type="cellIs" dxfId="33595" priority="112590" stopIfTrue="1" operator="greaterThanOrEqual">
      <formula>0.5</formula>
    </cfRule>
  </conditionalFormatting>
  <conditionalFormatting sqref="AV46">
    <cfRule type="cellIs" dxfId="33594" priority="112591" stopIfTrue="1" operator="equal">
      <formula>-1</formula>
    </cfRule>
  </conditionalFormatting>
  <conditionalFormatting sqref="AV46">
    <cfRule type="cellIs" dxfId="33593" priority="112592" stopIfTrue="1" operator="lessThan">
      <formula>0.5</formula>
    </cfRule>
  </conditionalFormatting>
  <conditionalFormatting sqref="AV46">
    <cfRule type="cellIs" dxfId="33592" priority="112593" stopIfTrue="1" operator="greaterThanOrEqual">
      <formula>0.5</formula>
    </cfRule>
  </conditionalFormatting>
  <conditionalFormatting sqref="AV47">
    <cfRule type="cellIs" dxfId="33591" priority="112594" stopIfTrue="1" operator="equal">
      <formula>-1</formula>
    </cfRule>
  </conditionalFormatting>
  <conditionalFormatting sqref="AV47">
    <cfRule type="cellIs" dxfId="33590" priority="112595" stopIfTrue="1" operator="lessThan">
      <formula>0.5</formula>
    </cfRule>
  </conditionalFormatting>
  <conditionalFormatting sqref="AV47">
    <cfRule type="cellIs" dxfId="33589" priority="112596" stopIfTrue="1" operator="greaterThanOrEqual">
      <formula>0.5</formula>
    </cfRule>
  </conditionalFormatting>
  <conditionalFormatting sqref="AV48">
    <cfRule type="cellIs" dxfId="33588" priority="112597" stopIfTrue="1" operator="equal">
      <formula>-1</formula>
    </cfRule>
  </conditionalFormatting>
  <conditionalFormatting sqref="AV48">
    <cfRule type="cellIs" dxfId="33587" priority="112598" stopIfTrue="1" operator="lessThan">
      <formula>0.5</formula>
    </cfRule>
  </conditionalFormatting>
  <conditionalFormatting sqref="AV48">
    <cfRule type="cellIs" dxfId="33586" priority="112599" stopIfTrue="1" operator="greaterThanOrEqual">
      <formula>0.5</formula>
    </cfRule>
  </conditionalFormatting>
  <conditionalFormatting sqref="AV49">
    <cfRule type="cellIs" dxfId="33585" priority="112600" stopIfTrue="1" operator="equal">
      <formula>-1</formula>
    </cfRule>
  </conditionalFormatting>
  <conditionalFormatting sqref="AV49">
    <cfRule type="cellIs" dxfId="33584" priority="112601" stopIfTrue="1" operator="lessThan">
      <formula>0.5</formula>
    </cfRule>
  </conditionalFormatting>
  <conditionalFormatting sqref="AV49">
    <cfRule type="cellIs" dxfId="33583" priority="112602" stopIfTrue="1" operator="greaterThanOrEqual">
      <formula>0.5</formula>
    </cfRule>
  </conditionalFormatting>
  <conditionalFormatting sqref="AV50">
    <cfRule type="cellIs" dxfId="33582" priority="112603" stopIfTrue="1" operator="equal">
      <formula>-1</formula>
    </cfRule>
  </conditionalFormatting>
  <conditionalFormatting sqref="AV50">
    <cfRule type="cellIs" dxfId="33581" priority="112604" stopIfTrue="1" operator="lessThan">
      <formula>0.5</formula>
    </cfRule>
  </conditionalFormatting>
  <conditionalFormatting sqref="AV50">
    <cfRule type="cellIs" dxfId="33580" priority="112605" stopIfTrue="1" operator="greaterThanOrEqual">
      <formula>0.5</formula>
    </cfRule>
  </conditionalFormatting>
  <conditionalFormatting sqref="AV51">
    <cfRule type="cellIs" dxfId="33579" priority="112606" stopIfTrue="1" operator="equal">
      <formula>-1</formula>
    </cfRule>
  </conditionalFormatting>
  <conditionalFormatting sqref="AV51">
    <cfRule type="cellIs" dxfId="33578" priority="112607" stopIfTrue="1" operator="lessThan">
      <formula>0.5</formula>
    </cfRule>
  </conditionalFormatting>
  <conditionalFormatting sqref="AV51">
    <cfRule type="cellIs" dxfId="33577" priority="112608" stopIfTrue="1" operator="greaterThanOrEqual">
      <formula>0.5</formula>
    </cfRule>
  </conditionalFormatting>
  <conditionalFormatting sqref="AV52">
    <cfRule type="cellIs" dxfId="33576" priority="112609" stopIfTrue="1" operator="equal">
      <formula>-1</formula>
    </cfRule>
  </conditionalFormatting>
  <conditionalFormatting sqref="AV52">
    <cfRule type="cellIs" dxfId="33575" priority="112610" stopIfTrue="1" operator="lessThan">
      <formula>0.5</formula>
    </cfRule>
  </conditionalFormatting>
  <conditionalFormatting sqref="AV52">
    <cfRule type="cellIs" dxfId="33574" priority="112611" stopIfTrue="1" operator="greaterThanOrEqual">
      <formula>0.5</formula>
    </cfRule>
  </conditionalFormatting>
  <conditionalFormatting sqref="AV53">
    <cfRule type="cellIs" dxfId="33573" priority="112612" stopIfTrue="1" operator="equal">
      <formula>-1</formula>
    </cfRule>
  </conditionalFormatting>
  <conditionalFormatting sqref="AV53">
    <cfRule type="cellIs" dxfId="33572" priority="112613" stopIfTrue="1" operator="lessThan">
      <formula>0.5</formula>
    </cfRule>
  </conditionalFormatting>
  <conditionalFormatting sqref="AV53">
    <cfRule type="cellIs" dxfId="33571" priority="112614" stopIfTrue="1" operator="greaterThanOrEqual">
      <formula>0.5</formula>
    </cfRule>
  </conditionalFormatting>
  <conditionalFormatting sqref="AV54">
    <cfRule type="cellIs" dxfId="33570" priority="112615" stopIfTrue="1" operator="equal">
      <formula>-1</formula>
    </cfRule>
  </conditionalFormatting>
  <conditionalFormatting sqref="AV54">
    <cfRule type="cellIs" dxfId="33569" priority="112616" stopIfTrue="1" operator="lessThan">
      <formula>0.5</formula>
    </cfRule>
  </conditionalFormatting>
  <conditionalFormatting sqref="AV54">
    <cfRule type="cellIs" dxfId="33568" priority="112617" stopIfTrue="1" operator="greaterThanOrEqual">
      <formula>0.5</formula>
    </cfRule>
  </conditionalFormatting>
  <conditionalFormatting sqref="AV55">
    <cfRule type="cellIs" dxfId="33567" priority="112618" stopIfTrue="1" operator="equal">
      <formula>-1</formula>
    </cfRule>
  </conditionalFormatting>
  <conditionalFormatting sqref="AV55">
    <cfRule type="cellIs" dxfId="33566" priority="112619" stopIfTrue="1" operator="lessThan">
      <formula>0.5</formula>
    </cfRule>
  </conditionalFormatting>
  <conditionalFormatting sqref="AV55">
    <cfRule type="cellIs" dxfId="33565" priority="112620" stopIfTrue="1" operator="greaterThanOrEqual">
      <formula>0.5</formula>
    </cfRule>
  </conditionalFormatting>
  <conditionalFormatting sqref="AV56">
    <cfRule type="cellIs" dxfId="33564" priority="112621" stopIfTrue="1" operator="equal">
      <formula>-1</formula>
    </cfRule>
  </conditionalFormatting>
  <conditionalFormatting sqref="AV56">
    <cfRule type="cellIs" dxfId="33563" priority="112622" stopIfTrue="1" operator="lessThan">
      <formula>0.5</formula>
    </cfRule>
  </conditionalFormatting>
  <conditionalFormatting sqref="AV56">
    <cfRule type="cellIs" dxfId="33562" priority="112623" stopIfTrue="1" operator="greaterThanOrEqual">
      <formula>0.5</formula>
    </cfRule>
  </conditionalFormatting>
  <conditionalFormatting sqref="AV57">
    <cfRule type="cellIs" dxfId="33561" priority="112624" stopIfTrue="1" operator="equal">
      <formula>-1</formula>
    </cfRule>
  </conditionalFormatting>
  <conditionalFormatting sqref="AV57">
    <cfRule type="cellIs" dxfId="33560" priority="112625" stopIfTrue="1" operator="lessThan">
      <formula>0.5</formula>
    </cfRule>
  </conditionalFormatting>
  <conditionalFormatting sqref="AV57">
    <cfRule type="cellIs" dxfId="33559" priority="112626" stopIfTrue="1" operator="greaterThanOrEqual">
      <formula>0.5</formula>
    </cfRule>
  </conditionalFormatting>
  <conditionalFormatting sqref="AV58">
    <cfRule type="cellIs" dxfId="33558" priority="112627" stopIfTrue="1" operator="equal">
      <formula>-1</formula>
    </cfRule>
  </conditionalFormatting>
  <conditionalFormatting sqref="AV58">
    <cfRule type="cellIs" dxfId="33557" priority="112628" stopIfTrue="1" operator="lessThan">
      <formula>0.5</formula>
    </cfRule>
  </conditionalFormatting>
  <conditionalFormatting sqref="AV58">
    <cfRule type="cellIs" dxfId="33556" priority="112629" stopIfTrue="1" operator="greaterThanOrEqual">
      <formula>0.5</formula>
    </cfRule>
  </conditionalFormatting>
  <conditionalFormatting sqref="AX39">
    <cfRule type="cellIs" dxfId="33555" priority="112630" stopIfTrue="1" operator="equal">
      <formula>-1</formula>
    </cfRule>
  </conditionalFormatting>
  <conditionalFormatting sqref="AX39">
    <cfRule type="cellIs" dxfId="33554" priority="112631" stopIfTrue="1" operator="lessThan">
      <formula>0.5</formula>
    </cfRule>
  </conditionalFormatting>
  <conditionalFormatting sqref="AX39">
    <cfRule type="cellIs" dxfId="33553" priority="112632" stopIfTrue="1" operator="greaterThanOrEqual">
      <formula>0.5</formula>
    </cfRule>
  </conditionalFormatting>
  <conditionalFormatting sqref="AX40">
    <cfRule type="cellIs" dxfId="33552" priority="112633" stopIfTrue="1" operator="equal">
      <formula>-1</formula>
    </cfRule>
  </conditionalFormatting>
  <conditionalFormatting sqref="AX40">
    <cfRule type="cellIs" dxfId="33551" priority="112634" stopIfTrue="1" operator="lessThan">
      <formula>0.5</formula>
    </cfRule>
  </conditionalFormatting>
  <conditionalFormatting sqref="AX40">
    <cfRule type="cellIs" dxfId="33550" priority="112635" stopIfTrue="1" operator="greaterThanOrEqual">
      <formula>0.5</formula>
    </cfRule>
  </conditionalFormatting>
  <conditionalFormatting sqref="AX41">
    <cfRule type="cellIs" dxfId="33549" priority="112636" stopIfTrue="1" operator="equal">
      <formula>-1</formula>
    </cfRule>
  </conditionalFormatting>
  <conditionalFormatting sqref="AX41">
    <cfRule type="cellIs" dxfId="33548" priority="112637" stopIfTrue="1" operator="lessThan">
      <formula>0.5</formula>
    </cfRule>
  </conditionalFormatting>
  <conditionalFormatting sqref="AX41">
    <cfRule type="cellIs" dxfId="33547" priority="112638" stopIfTrue="1" operator="greaterThanOrEqual">
      <formula>0.5</formula>
    </cfRule>
  </conditionalFormatting>
  <conditionalFormatting sqref="AX42">
    <cfRule type="cellIs" dxfId="33546" priority="112639" stopIfTrue="1" operator="equal">
      <formula>-1</formula>
    </cfRule>
  </conditionalFormatting>
  <conditionalFormatting sqref="AX42">
    <cfRule type="cellIs" dxfId="33545" priority="112640" stopIfTrue="1" operator="lessThan">
      <formula>0.5</formula>
    </cfRule>
  </conditionalFormatting>
  <conditionalFormatting sqref="AX42">
    <cfRule type="cellIs" dxfId="33544" priority="112641" stopIfTrue="1" operator="greaterThanOrEqual">
      <formula>0.5</formula>
    </cfRule>
  </conditionalFormatting>
  <conditionalFormatting sqref="AX43">
    <cfRule type="cellIs" dxfId="33543" priority="112642" stopIfTrue="1" operator="equal">
      <formula>-1</formula>
    </cfRule>
  </conditionalFormatting>
  <conditionalFormatting sqref="AX43">
    <cfRule type="cellIs" dxfId="33542" priority="112643" stopIfTrue="1" operator="lessThan">
      <formula>0.5</formula>
    </cfRule>
  </conditionalFormatting>
  <conditionalFormatting sqref="AX43">
    <cfRule type="cellIs" dxfId="33541" priority="112644" stopIfTrue="1" operator="greaterThanOrEqual">
      <formula>0.5</formula>
    </cfRule>
  </conditionalFormatting>
  <conditionalFormatting sqref="AX44">
    <cfRule type="cellIs" dxfId="33540" priority="112645" stopIfTrue="1" operator="equal">
      <formula>-1</formula>
    </cfRule>
  </conditionalFormatting>
  <conditionalFormatting sqref="AX44">
    <cfRule type="cellIs" dxfId="33539" priority="112646" stopIfTrue="1" operator="lessThan">
      <formula>0.5</formula>
    </cfRule>
  </conditionalFormatting>
  <conditionalFormatting sqref="AX44">
    <cfRule type="cellIs" dxfId="33538" priority="112647" stopIfTrue="1" operator="greaterThanOrEqual">
      <formula>0.5</formula>
    </cfRule>
  </conditionalFormatting>
  <conditionalFormatting sqref="AX45">
    <cfRule type="cellIs" dxfId="33537" priority="112648" stopIfTrue="1" operator="equal">
      <formula>-1</formula>
    </cfRule>
  </conditionalFormatting>
  <conditionalFormatting sqref="AX45">
    <cfRule type="cellIs" dxfId="33536" priority="112649" stopIfTrue="1" operator="lessThan">
      <formula>0.5</formula>
    </cfRule>
  </conditionalFormatting>
  <conditionalFormatting sqref="AX45">
    <cfRule type="cellIs" dxfId="33535" priority="112650" stopIfTrue="1" operator="greaterThanOrEqual">
      <formula>0.5</formula>
    </cfRule>
  </conditionalFormatting>
  <conditionalFormatting sqref="AX46">
    <cfRule type="cellIs" dxfId="33534" priority="112651" stopIfTrue="1" operator="equal">
      <formula>-1</formula>
    </cfRule>
  </conditionalFormatting>
  <conditionalFormatting sqref="AX46">
    <cfRule type="cellIs" dxfId="33533" priority="112652" stopIfTrue="1" operator="lessThan">
      <formula>0.5</formula>
    </cfRule>
  </conditionalFormatting>
  <conditionalFormatting sqref="AX46">
    <cfRule type="cellIs" dxfId="33532" priority="112653" stopIfTrue="1" operator="greaterThanOrEqual">
      <formula>0.5</formula>
    </cfRule>
  </conditionalFormatting>
  <conditionalFormatting sqref="AX47">
    <cfRule type="cellIs" dxfId="33531" priority="112654" stopIfTrue="1" operator="equal">
      <formula>-1</formula>
    </cfRule>
  </conditionalFormatting>
  <conditionalFormatting sqref="AX47">
    <cfRule type="cellIs" dxfId="33530" priority="112655" stopIfTrue="1" operator="lessThan">
      <formula>0.5</formula>
    </cfRule>
  </conditionalFormatting>
  <conditionalFormatting sqref="AX47">
    <cfRule type="cellIs" dxfId="33529" priority="112656" stopIfTrue="1" operator="greaterThanOrEqual">
      <formula>0.5</formula>
    </cfRule>
  </conditionalFormatting>
  <conditionalFormatting sqref="AX48">
    <cfRule type="cellIs" dxfId="33528" priority="112657" stopIfTrue="1" operator="equal">
      <formula>-1</formula>
    </cfRule>
  </conditionalFormatting>
  <conditionalFormatting sqref="AX48">
    <cfRule type="cellIs" dxfId="33527" priority="112658" stopIfTrue="1" operator="lessThan">
      <formula>0.5</formula>
    </cfRule>
  </conditionalFormatting>
  <conditionalFormatting sqref="AX48">
    <cfRule type="cellIs" dxfId="33526" priority="112659" stopIfTrue="1" operator="greaterThanOrEqual">
      <formula>0.5</formula>
    </cfRule>
  </conditionalFormatting>
  <conditionalFormatting sqref="AX49">
    <cfRule type="cellIs" dxfId="33525" priority="112660" stopIfTrue="1" operator="equal">
      <formula>-1</formula>
    </cfRule>
  </conditionalFormatting>
  <conditionalFormatting sqref="AX49">
    <cfRule type="cellIs" dxfId="33524" priority="112661" stopIfTrue="1" operator="lessThan">
      <formula>0.5</formula>
    </cfRule>
  </conditionalFormatting>
  <conditionalFormatting sqref="AX49">
    <cfRule type="cellIs" dxfId="33523" priority="112662" stopIfTrue="1" operator="greaterThanOrEqual">
      <formula>0.5</formula>
    </cfRule>
  </conditionalFormatting>
  <conditionalFormatting sqref="AX50">
    <cfRule type="cellIs" dxfId="33522" priority="112663" stopIfTrue="1" operator="equal">
      <formula>-1</formula>
    </cfRule>
  </conditionalFormatting>
  <conditionalFormatting sqref="AX50">
    <cfRule type="cellIs" dxfId="33521" priority="112664" stopIfTrue="1" operator="lessThan">
      <formula>0.5</formula>
    </cfRule>
  </conditionalFormatting>
  <conditionalFormatting sqref="AX50">
    <cfRule type="cellIs" dxfId="33520" priority="112665" stopIfTrue="1" operator="greaterThanOrEqual">
      <formula>0.5</formula>
    </cfRule>
  </conditionalFormatting>
  <conditionalFormatting sqref="AX51">
    <cfRule type="cellIs" dxfId="33519" priority="112666" stopIfTrue="1" operator="equal">
      <formula>-1</formula>
    </cfRule>
  </conditionalFormatting>
  <conditionalFormatting sqref="AX51">
    <cfRule type="cellIs" dxfId="33518" priority="112667" stopIfTrue="1" operator="lessThan">
      <formula>0.5</formula>
    </cfRule>
  </conditionalFormatting>
  <conditionalFormatting sqref="AX51">
    <cfRule type="cellIs" dxfId="33517" priority="112668" stopIfTrue="1" operator="greaterThanOrEqual">
      <formula>0.5</formula>
    </cfRule>
  </conditionalFormatting>
  <conditionalFormatting sqref="AX52">
    <cfRule type="cellIs" dxfId="33516" priority="112669" stopIfTrue="1" operator="equal">
      <formula>-1</formula>
    </cfRule>
  </conditionalFormatting>
  <conditionalFormatting sqref="AX52">
    <cfRule type="cellIs" dxfId="33515" priority="112670" stopIfTrue="1" operator="lessThan">
      <formula>0.5</formula>
    </cfRule>
  </conditionalFormatting>
  <conditionalFormatting sqref="AX52">
    <cfRule type="cellIs" dxfId="33514" priority="112671" stopIfTrue="1" operator="greaterThanOrEqual">
      <formula>0.5</formula>
    </cfRule>
  </conditionalFormatting>
  <conditionalFormatting sqref="AX53">
    <cfRule type="cellIs" dxfId="33513" priority="112672" stopIfTrue="1" operator="equal">
      <formula>-1</formula>
    </cfRule>
  </conditionalFormatting>
  <conditionalFormatting sqref="AX53">
    <cfRule type="cellIs" dxfId="33512" priority="112673" stopIfTrue="1" operator="lessThan">
      <formula>0.5</formula>
    </cfRule>
  </conditionalFormatting>
  <conditionalFormatting sqref="AX53">
    <cfRule type="cellIs" dxfId="33511" priority="112674" stopIfTrue="1" operator="greaterThanOrEqual">
      <formula>0.5</formula>
    </cfRule>
  </conditionalFormatting>
  <conditionalFormatting sqref="AX54">
    <cfRule type="cellIs" dxfId="33510" priority="112675" stopIfTrue="1" operator="equal">
      <formula>-1</formula>
    </cfRule>
  </conditionalFormatting>
  <conditionalFormatting sqref="AX54">
    <cfRule type="cellIs" dxfId="33509" priority="112676" stopIfTrue="1" operator="lessThan">
      <formula>0.5</formula>
    </cfRule>
  </conditionalFormatting>
  <conditionalFormatting sqref="AX54">
    <cfRule type="cellIs" dxfId="33508" priority="112677" stopIfTrue="1" operator="greaterThanOrEqual">
      <formula>0.5</formula>
    </cfRule>
  </conditionalFormatting>
  <conditionalFormatting sqref="AX55">
    <cfRule type="cellIs" dxfId="33507" priority="112678" stopIfTrue="1" operator="equal">
      <formula>-1</formula>
    </cfRule>
  </conditionalFormatting>
  <conditionalFormatting sqref="AX55">
    <cfRule type="cellIs" dxfId="33506" priority="112679" stopIfTrue="1" operator="lessThan">
      <formula>0.5</formula>
    </cfRule>
  </conditionalFormatting>
  <conditionalFormatting sqref="AX55">
    <cfRule type="cellIs" dxfId="33505" priority="112680" stopIfTrue="1" operator="greaterThanOrEqual">
      <formula>0.5</formula>
    </cfRule>
  </conditionalFormatting>
  <conditionalFormatting sqref="AX56">
    <cfRule type="cellIs" dxfId="33504" priority="112681" stopIfTrue="1" operator="equal">
      <formula>-1</formula>
    </cfRule>
  </conditionalFormatting>
  <conditionalFormatting sqref="AX56">
    <cfRule type="cellIs" dxfId="33503" priority="112682" stopIfTrue="1" operator="lessThan">
      <formula>0.5</formula>
    </cfRule>
  </conditionalFormatting>
  <conditionalFormatting sqref="AX56">
    <cfRule type="cellIs" dxfId="33502" priority="112683" stopIfTrue="1" operator="greaterThanOrEqual">
      <formula>0.5</formula>
    </cfRule>
  </conditionalFormatting>
  <conditionalFormatting sqref="AX57">
    <cfRule type="cellIs" dxfId="33501" priority="112684" stopIfTrue="1" operator="equal">
      <formula>-1</formula>
    </cfRule>
  </conditionalFormatting>
  <conditionalFormatting sqref="AX57">
    <cfRule type="cellIs" dxfId="33500" priority="112685" stopIfTrue="1" operator="lessThan">
      <formula>0.5</formula>
    </cfRule>
  </conditionalFormatting>
  <conditionalFormatting sqref="AX57">
    <cfRule type="cellIs" dxfId="33499" priority="112686" stopIfTrue="1" operator="greaterThanOrEqual">
      <formula>0.5</formula>
    </cfRule>
  </conditionalFormatting>
  <conditionalFormatting sqref="AX58">
    <cfRule type="cellIs" dxfId="33498" priority="112687" stopIfTrue="1" operator="equal">
      <formula>-1</formula>
    </cfRule>
  </conditionalFormatting>
  <conditionalFormatting sqref="AX58">
    <cfRule type="cellIs" dxfId="33497" priority="112688" stopIfTrue="1" operator="lessThan">
      <formula>0.5</formula>
    </cfRule>
  </conditionalFormatting>
  <conditionalFormatting sqref="AX58">
    <cfRule type="cellIs" dxfId="33496" priority="112689" stopIfTrue="1" operator="greaterThanOrEqual">
      <formula>0.5</formula>
    </cfRule>
  </conditionalFormatting>
  <conditionalFormatting sqref="AZ39">
    <cfRule type="cellIs" dxfId="33495" priority="112690" stopIfTrue="1" operator="equal">
      <formula>-1</formula>
    </cfRule>
  </conditionalFormatting>
  <conditionalFormatting sqref="AZ39">
    <cfRule type="cellIs" dxfId="33494" priority="112691" stopIfTrue="1" operator="lessThan">
      <formula>0.5</formula>
    </cfRule>
  </conditionalFormatting>
  <conditionalFormatting sqref="AZ39">
    <cfRule type="cellIs" dxfId="33493" priority="112692" stopIfTrue="1" operator="greaterThanOrEqual">
      <formula>0.5</formula>
    </cfRule>
  </conditionalFormatting>
  <conditionalFormatting sqref="AZ40">
    <cfRule type="cellIs" dxfId="33492" priority="112693" stopIfTrue="1" operator="equal">
      <formula>-1</formula>
    </cfRule>
  </conditionalFormatting>
  <conditionalFormatting sqref="AZ40">
    <cfRule type="cellIs" dxfId="33491" priority="112694" stopIfTrue="1" operator="lessThan">
      <formula>0.5</formula>
    </cfRule>
  </conditionalFormatting>
  <conditionalFormatting sqref="AZ40">
    <cfRule type="cellIs" dxfId="33490" priority="112695" stopIfTrue="1" operator="greaterThanOrEqual">
      <formula>0.5</formula>
    </cfRule>
  </conditionalFormatting>
  <conditionalFormatting sqref="AZ41">
    <cfRule type="cellIs" dxfId="33489" priority="112696" stopIfTrue="1" operator="equal">
      <formula>-1</formula>
    </cfRule>
  </conditionalFormatting>
  <conditionalFormatting sqref="AZ41">
    <cfRule type="cellIs" dxfId="33488" priority="112697" stopIfTrue="1" operator="lessThan">
      <formula>0.5</formula>
    </cfRule>
  </conditionalFormatting>
  <conditionalFormatting sqref="AZ41">
    <cfRule type="cellIs" dxfId="33487" priority="112698" stopIfTrue="1" operator="greaterThanOrEqual">
      <formula>0.5</formula>
    </cfRule>
  </conditionalFormatting>
  <conditionalFormatting sqref="AZ42">
    <cfRule type="cellIs" dxfId="33486" priority="112699" stopIfTrue="1" operator="equal">
      <formula>-1</formula>
    </cfRule>
  </conditionalFormatting>
  <conditionalFormatting sqref="AZ42">
    <cfRule type="cellIs" dxfId="33485" priority="112700" stopIfTrue="1" operator="lessThan">
      <formula>0.5</formula>
    </cfRule>
  </conditionalFormatting>
  <conditionalFormatting sqref="AZ42">
    <cfRule type="cellIs" dxfId="33484" priority="112701" stopIfTrue="1" operator="greaterThanOrEqual">
      <formula>0.5</formula>
    </cfRule>
  </conditionalFormatting>
  <conditionalFormatting sqref="AZ43">
    <cfRule type="cellIs" dxfId="33483" priority="112702" stopIfTrue="1" operator="equal">
      <formula>-1</formula>
    </cfRule>
  </conditionalFormatting>
  <conditionalFormatting sqref="AZ43">
    <cfRule type="cellIs" dxfId="33482" priority="112703" stopIfTrue="1" operator="lessThan">
      <formula>0.5</formula>
    </cfRule>
  </conditionalFormatting>
  <conditionalFormatting sqref="AZ43">
    <cfRule type="cellIs" dxfId="33481" priority="112704" stopIfTrue="1" operator="greaterThanOrEqual">
      <formula>0.5</formula>
    </cfRule>
  </conditionalFormatting>
  <conditionalFormatting sqref="AZ44">
    <cfRule type="cellIs" dxfId="33480" priority="112705" stopIfTrue="1" operator="equal">
      <formula>-1</formula>
    </cfRule>
  </conditionalFormatting>
  <conditionalFormatting sqref="AZ44">
    <cfRule type="cellIs" dxfId="33479" priority="112706" stopIfTrue="1" operator="lessThan">
      <formula>0.5</formula>
    </cfRule>
  </conditionalFormatting>
  <conditionalFormatting sqref="AZ44">
    <cfRule type="cellIs" dxfId="33478" priority="112707" stopIfTrue="1" operator="greaterThanOrEqual">
      <formula>0.5</formula>
    </cfRule>
  </conditionalFormatting>
  <conditionalFormatting sqref="AZ45">
    <cfRule type="cellIs" dxfId="33477" priority="112708" stopIfTrue="1" operator="equal">
      <formula>-1</formula>
    </cfRule>
  </conditionalFormatting>
  <conditionalFormatting sqref="AZ45">
    <cfRule type="cellIs" dxfId="33476" priority="112709" stopIfTrue="1" operator="lessThan">
      <formula>0.5</formula>
    </cfRule>
  </conditionalFormatting>
  <conditionalFormatting sqref="AZ45">
    <cfRule type="cellIs" dxfId="33475" priority="112710" stopIfTrue="1" operator="greaterThanOrEqual">
      <formula>0.5</formula>
    </cfRule>
  </conditionalFormatting>
  <conditionalFormatting sqref="AZ46">
    <cfRule type="cellIs" dxfId="33474" priority="112711" stopIfTrue="1" operator="equal">
      <formula>-1</formula>
    </cfRule>
  </conditionalFormatting>
  <conditionalFormatting sqref="AZ46">
    <cfRule type="cellIs" dxfId="33473" priority="112712" stopIfTrue="1" operator="lessThan">
      <formula>0.5</formula>
    </cfRule>
  </conditionalFormatting>
  <conditionalFormatting sqref="AZ46">
    <cfRule type="cellIs" dxfId="33472" priority="112713" stopIfTrue="1" operator="greaterThanOrEqual">
      <formula>0.5</formula>
    </cfRule>
  </conditionalFormatting>
  <conditionalFormatting sqref="AZ47">
    <cfRule type="cellIs" dxfId="33471" priority="112714" stopIfTrue="1" operator="equal">
      <formula>-1</formula>
    </cfRule>
  </conditionalFormatting>
  <conditionalFormatting sqref="AZ47">
    <cfRule type="cellIs" dxfId="33470" priority="112715" stopIfTrue="1" operator="lessThan">
      <formula>0.5</formula>
    </cfRule>
  </conditionalFormatting>
  <conditionalFormatting sqref="AZ47">
    <cfRule type="cellIs" dxfId="33469" priority="112716" stopIfTrue="1" operator="greaterThanOrEqual">
      <formula>0.5</formula>
    </cfRule>
  </conditionalFormatting>
  <conditionalFormatting sqref="AZ48">
    <cfRule type="cellIs" dxfId="33468" priority="112717" stopIfTrue="1" operator="equal">
      <formula>-1</formula>
    </cfRule>
  </conditionalFormatting>
  <conditionalFormatting sqref="AZ48">
    <cfRule type="cellIs" dxfId="33467" priority="112718" stopIfTrue="1" operator="lessThan">
      <formula>0.5</formula>
    </cfRule>
  </conditionalFormatting>
  <conditionalFormatting sqref="AZ48">
    <cfRule type="cellIs" dxfId="33466" priority="112719" stopIfTrue="1" operator="greaterThanOrEqual">
      <formula>0.5</formula>
    </cfRule>
  </conditionalFormatting>
  <conditionalFormatting sqref="AZ49">
    <cfRule type="cellIs" dxfId="33465" priority="112720" stopIfTrue="1" operator="equal">
      <formula>-1</formula>
    </cfRule>
  </conditionalFormatting>
  <conditionalFormatting sqref="AZ49">
    <cfRule type="cellIs" dxfId="33464" priority="112721" stopIfTrue="1" operator="lessThan">
      <formula>0.5</formula>
    </cfRule>
  </conditionalFormatting>
  <conditionalFormatting sqref="AZ49">
    <cfRule type="cellIs" dxfId="33463" priority="112722" stopIfTrue="1" operator="greaterThanOrEqual">
      <formula>0.5</formula>
    </cfRule>
  </conditionalFormatting>
  <conditionalFormatting sqref="AZ50">
    <cfRule type="cellIs" dxfId="33462" priority="112723" stopIfTrue="1" operator="equal">
      <formula>-1</formula>
    </cfRule>
  </conditionalFormatting>
  <conditionalFormatting sqref="AZ50">
    <cfRule type="cellIs" dxfId="33461" priority="112724" stopIfTrue="1" operator="lessThan">
      <formula>0.5</formula>
    </cfRule>
  </conditionalFormatting>
  <conditionalFormatting sqref="AZ50">
    <cfRule type="cellIs" dxfId="33460" priority="112725" stopIfTrue="1" operator="greaterThanOrEqual">
      <formula>0.5</formula>
    </cfRule>
  </conditionalFormatting>
  <conditionalFormatting sqref="AZ51">
    <cfRule type="cellIs" dxfId="33459" priority="112726" stopIfTrue="1" operator="equal">
      <formula>-1</formula>
    </cfRule>
  </conditionalFormatting>
  <conditionalFormatting sqref="AZ51">
    <cfRule type="cellIs" dxfId="33458" priority="112727" stopIfTrue="1" operator="lessThan">
      <formula>0.5</formula>
    </cfRule>
  </conditionalFormatting>
  <conditionalFormatting sqref="AZ51">
    <cfRule type="cellIs" dxfId="33457" priority="112728" stopIfTrue="1" operator="greaterThanOrEqual">
      <formula>0.5</formula>
    </cfRule>
  </conditionalFormatting>
  <conditionalFormatting sqref="AZ52">
    <cfRule type="cellIs" dxfId="33456" priority="112729" stopIfTrue="1" operator="equal">
      <formula>-1</formula>
    </cfRule>
  </conditionalFormatting>
  <conditionalFormatting sqref="AZ52">
    <cfRule type="cellIs" dxfId="33455" priority="112730" stopIfTrue="1" operator="lessThan">
      <formula>0.5</formula>
    </cfRule>
  </conditionalFormatting>
  <conditionalFormatting sqref="AZ52">
    <cfRule type="cellIs" dxfId="33454" priority="112731" stopIfTrue="1" operator="greaterThanOrEqual">
      <formula>0.5</formula>
    </cfRule>
  </conditionalFormatting>
  <conditionalFormatting sqref="AZ53">
    <cfRule type="cellIs" dxfId="33453" priority="112732" stopIfTrue="1" operator="equal">
      <formula>-1</formula>
    </cfRule>
  </conditionalFormatting>
  <conditionalFormatting sqref="AZ53">
    <cfRule type="cellIs" dxfId="33452" priority="112733" stopIfTrue="1" operator="lessThan">
      <formula>0.5</formula>
    </cfRule>
  </conditionalFormatting>
  <conditionalFormatting sqref="AZ53">
    <cfRule type="cellIs" dxfId="33451" priority="112734" stopIfTrue="1" operator="greaterThanOrEqual">
      <formula>0.5</formula>
    </cfRule>
  </conditionalFormatting>
  <conditionalFormatting sqref="AZ54">
    <cfRule type="cellIs" dxfId="33450" priority="112735" stopIfTrue="1" operator="equal">
      <formula>-1</formula>
    </cfRule>
  </conditionalFormatting>
  <conditionalFormatting sqref="AZ54">
    <cfRule type="cellIs" dxfId="33449" priority="112736" stopIfTrue="1" operator="lessThan">
      <formula>0.5</formula>
    </cfRule>
  </conditionalFormatting>
  <conditionalFormatting sqref="AZ54">
    <cfRule type="cellIs" dxfId="33448" priority="112737" stopIfTrue="1" operator="greaterThanOrEqual">
      <formula>0.5</formula>
    </cfRule>
  </conditionalFormatting>
  <conditionalFormatting sqref="AZ55">
    <cfRule type="cellIs" dxfId="33447" priority="112738" stopIfTrue="1" operator="equal">
      <formula>-1</formula>
    </cfRule>
  </conditionalFormatting>
  <conditionalFormatting sqref="AZ55">
    <cfRule type="cellIs" dxfId="33446" priority="112739" stopIfTrue="1" operator="lessThan">
      <formula>0.5</formula>
    </cfRule>
  </conditionalFormatting>
  <conditionalFormatting sqref="AZ55">
    <cfRule type="cellIs" dxfId="33445" priority="112740" stopIfTrue="1" operator="greaterThanOrEqual">
      <formula>0.5</formula>
    </cfRule>
  </conditionalFormatting>
  <conditionalFormatting sqref="AZ56">
    <cfRule type="cellIs" dxfId="33444" priority="112741" stopIfTrue="1" operator="equal">
      <formula>-1</formula>
    </cfRule>
  </conditionalFormatting>
  <conditionalFormatting sqref="AZ56">
    <cfRule type="cellIs" dxfId="33443" priority="112742" stopIfTrue="1" operator="lessThan">
      <formula>0.5</formula>
    </cfRule>
  </conditionalFormatting>
  <conditionalFormatting sqref="AZ56">
    <cfRule type="cellIs" dxfId="33442" priority="112743" stopIfTrue="1" operator="greaterThanOrEqual">
      <formula>0.5</formula>
    </cfRule>
  </conditionalFormatting>
  <conditionalFormatting sqref="AZ57">
    <cfRule type="cellIs" dxfId="33441" priority="112744" stopIfTrue="1" operator="equal">
      <formula>-1</formula>
    </cfRule>
  </conditionalFormatting>
  <conditionalFormatting sqref="AZ57">
    <cfRule type="cellIs" dxfId="33440" priority="112745" stopIfTrue="1" operator="lessThan">
      <formula>0.5</formula>
    </cfRule>
  </conditionalFormatting>
  <conditionalFormatting sqref="AZ57">
    <cfRule type="cellIs" dxfId="33439" priority="112746" stopIfTrue="1" operator="greaterThanOrEqual">
      <formula>0.5</formula>
    </cfRule>
  </conditionalFormatting>
  <conditionalFormatting sqref="AZ58">
    <cfRule type="cellIs" dxfId="33438" priority="112747" stopIfTrue="1" operator="equal">
      <formula>-1</formula>
    </cfRule>
  </conditionalFormatting>
  <conditionalFormatting sqref="AZ58">
    <cfRule type="cellIs" dxfId="33437" priority="112748" stopIfTrue="1" operator="lessThan">
      <formula>0.5</formula>
    </cfRule>
  </conditionalFormatting>
  <conditionalFormatting sqref="AZ58">
    <cfRule type="cellIs" dxfId="33436" priority="112749" stopIfTrue="1" operator="greaterThanOrEqual">
      <formula>0.5</formula>
    </cfRule>
  </conditionalFormatting>
  <conditionalFormatting sqref="BB39">
    <cfRule type="cellIs" dxfId="33435" priority="112750" stopIfTrue="1" operator="equal">
      <formula>-1</formula>
    </cfRule>
  </conditionalFormatting>
  <conditionalFormatting sqref="BB39">
    <cfRule type="cellIs" dxfId="33434" priority="112751" stopIfTrue="1" operator="lessThan">
      <formula>0.5</formula>
    </cfRule>
  </conditionalFormatting>
  <conditionalFormatting sqref="BB39">
    <cfRule type="cellIs" dxfId="33433" priority="112752" stopIfTrue="1" operator="greaterThanOrEqual">
      <formula>0.5</formula>
    </cfRule>
  </conditionalFormatting>
  <conditionalFormatting sqref="BB40">
    <cfRule type="cellIs" dxfId="33432" priority="112753" stopIfTrue="1" operator="equal">
      <formula>-1</formula>
    </cfRule>
  </conditionalFormatting>
  <conditionalFormatting sqref="BB40">
    <cfRule type="cellIs" dxfId="33431" priority="112754" stopIfTrue="1" operator="lessThan">
      <formula>0.5</formula>
    </cfRule>
  </conditionalFormatting>
  <conditionalFormatting sqref="BB40">
    <cfRule type="cellIs" dxfId="33430" priority="112755" stopIfTrue="1" operator="greaterThanOrEqual">
      <formula>0.5</formula>
    </cfRule>
  </conditionalFormatting>
  <conditionalFormatting sqref="BB41">
    <cfRule type="cellIs" dxfId="33429" priority="112756" stopIfTrue="1" operator="equal">
      <formula>-1</formula>
    </cfRule>
  </conditionalFormatting>
  <conditionalFormatting sqref="BB41">
    <cfRule type="cellIs" dxfId="33428" priority="112757" stopIfTrue="1" operator="lessThan">
      <formula>0.5</formula>
    </cfRule>
  </conditionalFormatting>
  <conditionalFormatting sqref="BB41">
    <cfRule type="cellIs" dxfId="33427" priority="112758" stopIfTrue="1" operator="greaterThanOrEqual">
      <formula>0.5</formula>
    </cfRule>
  </conditionalFormatting>
  <conditionalFormatting sqref="BB42">
    <cfRule type="cellIs" dxfId="33426" priority="112759" stopIfTrue="1" operator="equal">
      <formula>-1</formula>
    </cfRule>
  </conditionalFormatting>
  <conditionalFormatting sqref="BB42">
    <cfRule type="cellIs" dxfId="33425" priority="112760" stopIfTrue="1" operator="lessThan">
      <formula>0.5</formula>
    </cfRule>
  </conditionalFormatting>
  <conditionalFormatting sqref="BB42">
    <cfRule type="cellIs" dxfId="33424" priority="112761" stopIfTrue="1" operator="greaterThanOrEqual">
      <formula>0.5</formula>
    </cfRule>
  </conditionalFormatting>
  <conditionalFormatting sqref="BB43">
    <cfRule type="cellIs" dxfId="33423" priority="112762" stopIfTrue="1" operator="equal">
      <formula>-1</formula>
    </cfRule>
  </conditionalFormatting>
  <conditionalFormatting sqref="BB43">
    <cfRule type="cellIs" dxfId="33422" priority="112763" stopIfTrue="1" operator="lessThan">
      <formula>0.5</formula>
    </cfRule>
  </conditionalFormatting>
  <conditionalFormatting sqref="BB43">
    <cfRule type="cellIs" dxfId="33421" priority="112764" stopIfTrue="1" operator="greaterThanOrEqual">
      <formula>0.5</formula>
    </cfRule>
  </conditionalFormatting>
  <conditionalFormatting sqref="BB44">
    <cfRule type="cellIs" dxfId="33420" priority="112765" stopIfTrue="1" operator="equal">
      <formula>-1</formula>
    </cfRule>
  </conditionalFormatting>
  <conditionalFormatting sqref="BB44">
    <cfRule type="cellIs" dxfId="33419" priority="112766" stopIfTrue="1" operator="lessThan">
      <formula>0.5</formula>
    </cfRule>
  </conditionalFormatting>
  <conditionalFormatting sqref="BB44">
    <cfRule type="cellIs" dxfId="33418" priority="112767" stopIfTrue="1" operator="greaterThanOrEqual">
      <formula>0.5</formula>
    </cfRule>
  </conditionalFormatting>
  <conditionalFormatting sqref="BB45">
    <cfRule type="cellIs" dxfId="33417" priority="112768" stopIfTrue="1" operator="equal">
      <formula>-1</formula>
    </cfRule>
  </conditionalFormatting>
  <conditionalFormatting sqref="BB45">
    <cfRule type="cellIs" dxfId="33416" priority="112769" stopIfTrue="1" operator="lessThan">
      <formula>0.5</formula>
    </cfRule>
  </conditionalFormatting>
  <conditionalFormatting sqref="BB45">
    <cfRule type="cellIs" dxfId="33415" priority="112770" stopIfTrue="1" operator="greaterThanOrEqual">
      <formula>0.5</formula>
    </cfRule>
  </conditionalFormatting>
  <conditionalFormatting sqref="BB46">
    <cfRule type="cellIs" dxfId="33414" priority="112771" stopIfTrue="1" operator="equal">
      <formula>-1</formula>
    </cfRule>
  </conditionalFormatting>
  <conditionalFormatting sqref="BB46">
    <cfRule type="cellIs" dxfId="33413" priority="112772" stopIfTrue="1" operator="lessThan">
      <formula>0.5</formula>
    </cfRule>
  </conditionalFormatting>
  <conditionalFormatting sqref="BB46">
    <cfRule type="cellIs" dxfId="33412" priority="112773" stopIfTrue="1" operator="greaterThanOrEqual">
      <formula>0.5</formula>
    </cfRule>
  </conditionalFormatting>
  <conditionalFormatting sqref="BB47">
    <cfRule type="cellIs" dxfId="33411" priority="112774" stopIfTrue="1" operator="equal">
      <formula>-1</formula>
    </cfRule>
  </conditionalFormatting>
  <conditionalFormatting sqref="BB47">
    <cfRule type="cellIs" dxfId="33410" priority="112775" stopIfTrue="1" operator="lessThan">
      <formula>0.5</formula>
    </cfRule>
  </conditionalFormatting>
  <conditionalFormatting sqref="BB47">
    <cfRule type="cellIs" dxfId="33409" priority="112776" stopIfTrue="1" operator="greaterThanOrEqual">
      <formula>0.5</formula>
    </cfRule>
  </conditionalFormatting>
  <conditionalFormatting sqref="BB48">
    <cfRule type="cellIs" dxfId="33408" priority="112777" stopIfTrue="1" operator="equal">
      <formula>-1</formula>
    </cfRule>
  </conditionalFormatting>
  <conditionalFormatting sqref="BB48">
    <cfRule type="cellIs" dxfId="33407" priority="112778" stopIfTrue="1" operator="lessThan">
      <formula>0.5</formula>
    </cfRule>
  </conditionalFormatting>
  <conditionalFormatting sqref="BB48">
    <cfRule type="cellIs" dxfId="33406" priority="112779" stopIfTrue="1" operator="greaterThanOrEqual">
      <formula>0.5</formula>
    </cfRule>
  </conditionalFormatting>
  <conditionalFormatting sqref="BB49">
    <cfRule type="cellIs" dxfId="33405" priority="112780" stopIfTrue="1" operator="equal">
      <formula>-1</formula>
    </cfRule>
  </conditionalFormatting>
  <conditionalFormatting sqref="BB49">
    <cfRule type="cellIs" dxfId="33404" priority="112781" stopIfTrue="1" operator="lessThan">
      <formula>0.5</formula>
    </cfRule>
  </conditionalFormatting>
  <conditionalFormatting sqref="BB49">
    <cfRule type="cellIs" dxfId="33403" priority="112782" stopIfTrue="1" operator="greaterThanOrEqual">
      <formula>0.5</formula>
    </cfRule>
  </conditionalFormatting>
  <conditionalFormatting sqref="BB50">
    <cfRule type="cellIs" dxfId="33402" priority="112783" stopIfTrue="1" operator="equal">
      <formula>-1</formula>
    </cfRule>
  </conditionalFormatting>
  <conditionalFormatting sqref="BB50">
    <cfRule type="cellIs" dxfId="33401" priority="112784" stopIfTrue="1" operator="lessThan">
      <formula>0.5</formula>
    </cfRule>
  </conditionalFormatting>
  <conditionalFormatting sqref="BB50">
    <cfRule type="cellIs" dxfId="33400" priority="112785" stopIfTrue="1" operator="greaterThanOrEqual">
      <formula>0.5</formula>
    </cfRule>
  </conditionalFormatting>
  <conditionalFormatting sqref="BB51">
    <cfRule type="cellIs" dxfId="33399" priority="112786" stopIfTrue="1" operator="equal">
      <formula>-1</formula>
    </cfRule>
  </conditionalFormatting>
  <conditionalFormatting sqref="BB51">
    <cfRule type="cellIs" dxfId="33398" priority="112787" stopIfTrue="1" operator="lessThan">
      <formula>0.5</formula>
    </cfRule>
  </conditionalFormatting>
  <conditionalFormatting sqref="BB51">
    <cfRule type="cellIs" dxfId="33397" priority="112788" stopIfTrue="1" operator="greaterThanOrEqual">
      <formula>0.5</formula>
    </cfRule>
  </conditionalFormatting>
  <conditionalFormatting sqref="BB52">
    <cfRule type="cellIs" dxfId="33396" priority="112789" stopIfTrue="1" operator="equal">
      <formula>-1</formula>
    </cfRule>
  </conditionalFormatting>
  <conditionalFormatting sqref="BB52">
    <cfRule type="cellIs" dxfId="33395" priority="112790" stopIfTrue="1" operator="lessThan">
      <formula>0.5</formula>
    </cfRule>
  </conditionalFormatting>
  <conditionalFormatting sqref="BB52">
    <cfRule type="cellIs" dxfId="33394" priority="112791" stopIfTrue="1" operator="greaterThanOrEqual">
      <formula>0.5</formula>
    </cfRule>
  </conditionalFormatting>
  <conditionalFormatting sqref="BB53">
    <cfRule type="cellIs" dxfId="33393" priority="112792" stopIfTrue="1" operator="equal">
      <formula>-1</formula>
    </cfRule>
  </conditionalFormatting>
  <conditionalFormatting sqref="BB53">
    <cfRule type="cellIs" dxfId="33392" priority="112793" stopIfTrue="1" operator="lessThan">
      <formula>0.5</formula>
    </cfRule>
  </conditionalFormatting>
  <conditionalFormatting sqref="BB53">
    <cfRule type="cellIs" dxfId="33391" priority="112794" stopIfTrue="1" operator="greaterThanOrEqual">
      <formula>0.5</formula>
    </cfRule>
  </conditionalFormatting>
  <conditionalFormatting sqref="BB54">
    <cfRule type="cellIs" dxfId="33390" priority="112795" stopIfTrue="1" operator="equal">
      <formula>-1</formula>
    </cfRule>
  </conditionalFormatting>
  <conditionalFormatting sqref="BB54">
    <cfRule type="cellIs" dxfId="33389" priority="112796" stopIfTrue="1" operator="lessThan">
      <formula>0.5</formula>
    </cfRule>
  </conditionalFormatting>
  <conditionalFormatting sqref="BB54">
    <cfRule type="cellIs" dxfId="33388" priority="112797" stopIfTrue="1" operator="greaterThanOrEqual">
      <formula>0.5</formula>
    </cfRule>
  </conditionalFormatting>
  <conditionalFormatting sqref="BB55">
    <cfRule type="cellIs" dxfId="33387" priority="112798" stopIfTrue="1" operator="equal">
      <formula>-1</formula>
    </cfRule>
  </conditionalFormatting>
  <conditionalFormatting sqref="BB55">
    <cfRule type="cellIs" dxfId="33386" priority="112799" stopIfTrue="1" operator="lessThan">
      <formula>0.5</formula>
    </cfRule>
  </conditionalFormatting>
  <conditionalFormatting sqref="BB55">
    <cfRule type="cellIs" dxfId="33385" priority="112800" stopIfTrue="1" operator="greaterThanOrEqual">
      <formula>0.5</formula>
    </cfRule>
  </conditionalFormatting>
  <conditionalFormatting sqref="BB56">
    <cfRule type="cellIs" dxfId="33384" priority="112801" stopIfTrue="1" operator="equal">
      <formula>-1</formula>
    </cfRule>
  </conditionalFormatting>
  <conditionalFormatting sqref="BB56">
    <cfRule type="cellIs" dxfId="33383" priority="112802" stopIfTrue="1" operator="lessThan">
      <formula>0.5</formula>
    </cfRule>
  </conditionalFormatting>
  <conditionalFormatting sqref="BB56">
    <cfRule type="cellIs" dxfId="33382" priority="112803" stopIfTrue="1" operator="greaterThanOrEqual">
      <formula>0.5</formula>
    </cfRule>
  </conditionalFormatting>
  <conditionalFormatting sqref="BB57">
    <cfRule type="cellIs" dxfId="33381" priority="112804" stopIfTrue="1" operator="equal">
      <formula>-1</formula>
    </cfRule>
  </conditionalFormatting>
  <conditionalFormatting sqref="BB57">
    <cfRule type="cellIs" dxfId="33380" priority="112805" stopIfTrue="1" operator="lessThan">
      <formula>0.5</formula>
    </cfRule>
  </conditionalFormatting>
  <conditionalFormatting sqref="BB57">
    <cfRule type="cellIs" dxfId="33379" priority="112806" stopIfTrue="1" operator="greaterThanOrEqual">
      <formula>0.5</formula>
    </cfRule>
  </conditionalFormatting>
  <conditionalFormatting sqref="BB58">
    <cfRule type="cellIs" dxfId="33378" priority="112807" stopIfTrue="1" operator="equal">
      <formula>-1</formula>
    </cfRule>
  </conditionalFormatting>
  <conditionalFormatting sqref="BB58">
    <cfRule type="cellIs" dxfId="33377" priority="112808" stopIfTrue="1" operator="lessThan">
      <formula>0.5</formula>
    </cfRule>
  </conditionalFormatting>
  <conditionalFormatting sqref="BB58">
    <cfRule type="cellIs" dxfId="33376" priority="112809" stopIfTrue="1" operator="greaterThanOrEqual">
      <formula>0.5</formula>
    </cfRule>
  </conditionalFormatting>
  <conditionalFormatting sqref="BD39">
    <cfRule type="cellIs" dxfId="33375" priority="112810" stopIfTrue="1" operator="equal">
      <formula>-1</formula>
    </cfRule>
  </conditionalFormatting>
  <conditionalFormatting sqref="BD39">
    <cfRule type="cellIs" dxfId="33374" priority="112811" stopIfTrue="1" operator="lessThan">
      <formula>0.5</formula>
    </cfRule>
  </conditionalFormatting>
  <conditionalFormatting sqref="BD39">
    <cfRule type="cellIs" dxfId="33373" priority="112812" stopIfTrue="1" operator="greaterThanOrEqual">
      <formula>0.5</formula>
    </cfRule>
  </conditionalFormatting>
  <conditionalFormatting sqref="BD40">
    <cfRule type="cellIs" dxfId="33372" priority="112813" stopIfTrue="1" operator="equal">
      <formula>-1</formula>
    </cfRule>
  </conditionalFormatting>
  <conditionalFormatting sqref="BD40">
    <cfRule type="cellIs" dxfId="33371" priority="112814" stopIfTrue="1" operator="lessThan">
      <formula>0.5</formula>
    </cfRule>
  </conditionalFormatting>
  <conditionalFormatting sqref="BD40">
    <cfRule type="cellIs" dxfId="33370" priority="112815" stopIfTrue="1" operator="greaterThanOrEqual">
      <formula>0.5</formula>
    </cfRule>
  </conditionalFormatting>
  <conditionalFormatting sqref="BD41">
    <cfRule type="cellIs" dxfId="33369" priority="112816" stopIfTrue="1" operator="equal">
      <formula>-1</formula>
    </cfRule>
  </conditionalFormatting>
  <conditionalFormatting sqref="BD41">
    <cfRule type="cellIs" dxfId="33368" priority="112817" stopIfTrue="1" operator="lessThan">
      <formula>0.5</formula>
    </cfRule>
  </conditionalFormatting>
  <conditionalFormatting sqref="BD41">
    <cfRule type="cellIs" dxfId="33367" priority="112818" stopIfTrue="1" operator="greaterThanOrEqual">
      <formula>0.5</formula>
    </cfRule>
  </conditionalFormatting>
  <conditionalFormatting sqref="BD42">
    <cfRule type="cellIs" dxfId="33366" priority="112819" stopIfTrue="1" operator="equal">
      <formula>-1</formula>
    </cfRule>
  </conditionalFormatting>
  <conditionalFormatting sqref="BD42">
    <cfRule type="cellIs" dxfId="33365" priority="112820" stopIfTrue="1" operator="lessThan">
      <formula>0.5</formula>
    </cfRule>
  </conditionalFormatting>
  <conditionalFormatting sqref="BD42">
    <cfRule type="cellIs" dxfId="33364" priority="112821" stopIfTrue="1" operator="greaterThanOrEqual">
      <formula>0.5</formula>
    </cfRule>
  </conditionalFormatting>
  <conditionalFormatting sqref="BD43">
    <cfRule type="cellIs" dxfId="33363" priority="112822" stopIfTrue="1" operator="equal">
      <formula>-1</formula>
    </cfRule>
  </conditionalFormatting>
  <conditionalFormatting sqref="BD43">
    <cfRule type="cellIs" dxfId="33362" priority="112823" stopIfTrue="1" operator="lessThan">
      <formula>0.5</formula>
    </cfRule>
  </conditionalFormatting>
  <conditionalFormatting sqref="BD43">
    <cfRule type="cellIs" dxfId="33361" priority="112824" stopIfTrue="1" operator="greaterThanOrEqual">
      <formula>0.5</formula>
    </cfRule>
  </conditionalFormatting>
  <conditionalFormatting sqref="BD44">
    <cfRule type="cellIs" dxfId="33360" priority="112825" stopIfTrue="1" operator="equal">
      <formula>-1</formula>
    </cfRule>
  </conditionalFormatting>
  <conditionalFormatting sqref="BD44">
    <cfRule type="cellIs" dxfId="33359" priority="112826" stopIfTrue="1" operator="lessThan">
      <formula>0.5</formula>
    </cfRule>
  </conditionalFormatting>
  <conditionalFormatting sqref="BD44">
    <cfRule type="cellIs" dxfId="33358" priority="112827" stopIfTrue="1" operator="greaterThanOrEqual">
      <formula>0.5</formula>
    </cfRule>
  </conditionalFormatting>
  <conditionalFormatting sqref="BD45">
    <cfRule type="cellIs" dxfId="33357" priority="112828" stopIfTrue="1" operator="equal">
      <formula>-1</formula>
    </cfRule>
  </conditionalFormatting>
  <conditionalFormatting sqref="BD45">
    <cfRule type="cellIs" dxfId="33356" priority="112829" stopIfTrue="1" operator="lessThan">
      <formula>0.5</formula>
    </cfRule>
  </conditionalFormatting>
  <conditionalFormatting sqref="BD45">
    <cfRule type="cellIs" dxfId="33355" priority="112830" stopIfTrue="1" operator="greaterThanOrEqual">
      <formula>0.5</formula>
    </cfRule>
  </conditionalFormatting>
  <conditionalFormatting sqref="BD46">
    <cfRule type="cellIs" dxfId="33354" priority="112831" stopIfTrue="1" operator="equal">
      <formula>-1</formula>
    </cfRule>
  </conditionalFormatting>
  <conditionalFormatting sqref="BD46">
    <cfRule type="cellIs" dxfId="33353" priority="112832" stopIfTrue="1" operator="lessThan">
      <formula>0.5</formula>
    </cfRule>
  </conditionalFormatting>
  <conditionalFormatting sqref="BD46">
    <cfRule type="cellIs" dxfId="33352" priority="112833" stopIfTrue="1" operator="greaterThanOrEqual">
      <formula>0.5</formula>
    </cfRule>
  </conditionalFormatting>
  <conditionalFormatting sqref="BD47">
    <cfRule type="cellIs" dxfId="33351" priority="112834" stopIfTrue="1" operator="equal">
      <formula>-1</formula>
    </cfRule>
  </conditionalFormatting>
  <conditionalFormatting sqref="BD47">
    <cfRule type="cellIs" dxfId="33350" priority="112835" stopIfTrue="1" operator="lessThan">
      <formula>0.5</formula>
    </cfRule>
  </conditionalFormatting>
  <conditionalFormatting sqref="BD47">
    <cfRule type="cellIs" dxfId="33349" priority="112836" stopIfTrue="1" operator="greaterThanOrEqual">
      <formula>0.5</formula>
    </cfRule>
  </conditionalFormatting>
  <conditionalFormatting sqref="BD48">
    <cfRule type="cellIs" dxfId="33348" priority="112837" stopIfTrue="1" operator="equal">
      <formula>-1</formula>
    </cfRule>
  </conditionalFormatting>
  <conditionalFormatting sqref="BD48">
    <cfRule type="cellIs" dxfId="33347" priority="112838" stopIfTrue="1" operator="lessThan">
      <formula>0.5</formula>
    </cfRule>
  </conditionalFormatting>
  <conditionalFormatting sqref="BD48">
    <cfRule type="cellIs" dxfId="33346" priority="112839" stopIfTrue="1" operator="greaterThanOrEqual">
      <formula>0.5</formula>
    </cfRule>
  </conditionalFormatting>
  <conditionalFormatting sqref="BD49">
    <cfRule type="cellIs" dxfId="33345" priority="112840" stopIfTrue="1" operator="equal">
      <formula>-1</formula>
    </cfRule>
  </conditionalFormatting>
  <conditionalFormatting sqref="BD49">
    <cfRule type="cellIs" dxfId="33344" priority="112841" stopIfTrue="1" operator="lessThan">
      <formula>0.5</formula>
    </cfRule>
  </conditionalFormatting>
  <conditionalFormatting sqref="BD49">
    <cfRule type="cellIs" dxfId="33343" priority="112842" stopIfTrue="1" operator="greaterThanOrEqual">
      <formula>0.5</formula>
    </cfRule>
  </conditionalFormatting>
  <conditionalFormatting sqref="BD50">
    <cfRule type="cellIs" dxfId="33342" priority="112843" stopIfTrue="1" operator="equal">
      <formula>-1</formula>
    </cfRule>
  </conditionalFormatting>
  <conditionalFormatting sqref="BD50">
    <cfRule type="cellIs" dxfId="33341" priority="112844" stopIfTrue="1" operator="lessThan">
      <formula>0.5</formula>
    </cfRule>
  </conditionalFormatting>
  <conditionalFormatting sqref="BD50">
    <cfRule type="cellIs" dxfId="33340" priority="112845" stopIfTrue="1" operator="greaterThanOrEqual">
      <formula>0.5</formula>
    </cfRule>
  </conditionalFormatting>
  <conditionalFormatting sqref="BD51">
    <cfRule type="cellIs" dxfId="33339" priority="112846" stopIfTrue="1" operator="equal">
      <formula>-1</formula>
    </cfRule>
  </conditionalFormatting>
  <conditionalFormatting sqref="BD51">
    <cfRule type="cellIs" dxfId="33338" priority="112847" stopIfTrue="1" operator="lessThan">
      <formula>0.5</formula>
    </cfRule>
  </conditionalFormatting>
  <conditionalFormatting sqref="BD51">
    <cfRule type="cellIs" dxfId="33337" priority="112848" stopIfTrue="1" operator="greaterThanOrEqual">
      <formula>0.5</formula>
    </cfRule>
  </conditionalFormatting>
  <conditionalFormatting sqref="BD52">
    <cfRule type="cellIs" dxfId="33336" priority="112849" stopIfTrue="1" operator="equal">
      <formula>-1</formula>
    </cfRule>
  </conditionalFormatting>
  <conditionalFormatting sqref="BD52">
    <cfRule type="cellIs" dxfId="33335" priority="112850" stopIfTrue="1" operator="lessThan">
      <formula>0.5</formula>
    </cfRule>
  </conditionalFormatting>
  <conditionalFormatting sqref="BD52">
    <cfRule type="cellIs" dxfId="33334" priority="112851" stopIfTrue="1" operator="greaterThanOrEqual">
      <formula>0.5</formula>
    </cfRule>
  </conditionalFormatting>
  <conditionalFormatting sqref="BD53">
    <cfRule type="cellIs" dxfId="33333" priority="112852" stopIfTrue="1" operator="equal">
      <formula>-1</formula>
    </cfRule>
  </conditionalFormatting>
  <conditionalFormatting sqref="BD53">
    <cfRule type="cellIs" dxfId="33332" priority="112853" stopIfTrue="1" operator="lessThan">
      <formula>0.5</formula>
    </cfRule>
  </conditionalFormatting>
  <conditionalFormatting sqref="BD53">
    <cfRule type="cellIs" dxfId="33331" priority="112854" stopIfTrue="1" operator="greaterThanOrEqual">
      <formula>0.5</formula>
    </cfRule>
  </conditionalFormatting>
  <conditionalFormatting sqref="BD54">
    <cfRule type="cellIs" dxfId="33330" priority="112855" stopIfTrue="1" operator="equal">
      <formula>-1</formula>
    </cfRule>
  </conditionalFormatting>
  <conditionalFormatting sqref="BD54">
    <cfRule type="cellIs" dxfId="33329" priority="112856" stopIfTrue="1" operator="lessThan">
      <formula>0.5</formula>
    </cfRule>
  </conditionalFormatting>
  <conditionalFormatting sqref="BD54">
    <cfRule type="cellIs" dxfId="33328" priority="112857" stopIfTrue="1" operator="greaterThanOrEqual">
      <formula>0.5</formula>
    </cfRule>
  </conditionalFormatting>
  <conditionalFormatting sqref="BD55">
    <cfRule type="cellIs" dxfId="33327" priority="112858" stopIfTrue="1" operator="equal">
      <formula>-1</formula>
    </cfRule>
  </conditionalFormatting>
  <conditionalFormatting sqref="BD55">
    <cfRule type="cellIs" dxfId="33326" priority="112859" stopIfTrue="1" operator="lessThan">
      <formula>0.5</formula>
    </cfRule>
  </conditionalFormatting>
  <conditionalFormatting sqref="BD55">
    <cfRule type="cellIs" dxfId="33325" priority="112860" stopIfTrue="1" operator="greaterThanOrEqual">
      <formula>0.5</formula>
    </cfRule>
  </conditionalFormatting>
  <conditionalFormatting sqref="BD56">
    <cfRule type="cellIs" dxfId="33324" priority="112861" stopIfTrue="1" operator="equal">
      <formula>-1</formula>
    </cfRule>
  </conditionalFormatting>
  <conditionalFormatting sqref="BD56">
    <cfRule type="cellIs" dxfId="33323" priority="112862" stopIfTrue="1" operator="lessThan">
      <formula>0.5</formula>
    </cfRule>
  </conditionalFormatting>
  <conditionalFormatting sqref="BD56">
    <cfRule type="cellIs" dxfId="33322" priority="112863" stopIfTrue="1" operator="greaterThanOrEqual">
      <formula>0.5</formula>
    </cfRule>
  </conditionalFormatting>
  <conditionalFormatting sqref="BD57">
    <cfRule type="cellIs" dxfId="33321" priority="112864" stopIfTrue="1" operator="equal">
      <formula>-1</formula>
    </cfRule>
  </conditionalFormatting>
  <conditionalFormatting sqref="BD57">
    <cfRule type="cellIs" dxfId="33320" priority="112865" stopIfTrue="1" operator="lessThan">
      <formula>0.5</formula>
    </cfRule>
  </conditionalFormatting>
  <conditionalFormatting sqref="BD57">
    <cfRule type="cellIs" dxfId="33319" priority="112866" stopIfTrue="1" operator="greaterThanOrEqual">
      <formula>0.5</formula>
    </cfRule>
  </conditionalFormatting>
  <conditionalFormatting sqref="BD58">
    <cfRule type="cellIs" dxfId="33318" priority="112867" stopIfTrue="1" operator="equal">
      <formula>-1</formula>
    </cfRule>
  </conditionalFormatting>
  <conditionalFormatting sqref="BD58">
    <cfRule type="cellIs" dxfId="33317" priority="112868" stopIfTrue="1" operator="lessThan">
      <formula>0.5</formula>
    </cfRule>
  </conditionalFormatting>
  <conditionalFormatting sqref="BD58">
    <cfRule type="cellIs" dxfId="33316" priority="112869" stopIfTrue="1" operator="greaterThanOrEqual">
      <formula>0.5</formula>
    </cfRule>
  </conditionalFormatting>
  <conditionalFormatting sqref="BF39">
    <cfRule type="cellIs" dxfId="33315" priority="112870" stopIfTrue="1" operator="equal">
      <formula>-1</formula>
    </cfRule>
  </conditionalFormatting>
  <conditionalFormatting sqref="BF39">
    <cfRule type="cellIs" dxfId="33314" priority="112871" stopIfTrue="1" operator="lessThan">
      <formula>0.5</formula>
    </cfRule>
  </conditionalFormatting>
  <conditionalFormatting sqref="BF39">
    <cfRule type="cellIs" dxfId="33313" priority="112872" stopIfTrue="1" operator="greaterThanOrEqual">
      <formula>0.5</formula>
    </cfRule>
  </conditionalFormatting>
  <conditionalFormatting sqref="BF40">
    <cfRule type="cellIs" dxfId="33312" priority="112873" stopIfTrue="1" operator="equal">
      <formula>-1</formula>
    </cfRule>
  </conditionalFormatting>
  <conditionalFormatting sqref="BF40">
    <cfRule type="cellIs" dxfId="33311" priority="112874" stopIfTrue="1" operator="lessThan">
      <formula>0.5</formula>
    </cfRule>
  </conditionalFormatting>
  <conditionalFormatting sqref="BF40">
    <cfRule type="cellIs" dxfId="33310" priority="112875" stopIfTrue="1" operator="greaterThanOrEqual">
      <formula>0.5</formula>
    </cfRule>
  </conditionalFormatting>
  <conditionalFormatting sqref="BF41">
    <cfRule type="cellIs" dxfId="33309" priority="112876" stopIfTrue="1" operator="equal">
      <formula>-1</formula>
    </cfRule>
  </conditionalFormatting>
  <conditionalFormatting sqref="BF41">
    <cfRule type="cellIs" dxfId="33308" priority="112877" stopIfTrue="1" operator="lessThan">
      <formula>0.5</formula>
    </cfRule>
  </conditionalFormatting>
  <conditionalFormatting sqref="BF41">
    <cfRule type="cellIs" dxfId="33307" priority="112878" stopIfTrue="1" operator="greaterThanOrEqual">
      <formula>0.5</formula>
    </cfRule>
  </conditionalFormatting>
  <conditionalFormatting sqref="BF42">
    <cfRule type="cellIs" dxfId="33306" priority="112879" stopIfTrue="1" operator="equal">
      <formula>-1</formula>
    </cfRule>
  </conditionalFormatting>
  <conditionalFormatting sqref="BF42">
    <cfRule type="cellIs" dxfId="33305" priority="112880" stopIfTrue="1" operator="lessThan">
      <formula>0.5</formula>
    </cfRule>
  </conditionalFormatting>
  <conditionalFormatting sqref="BF42">
    <cfRule type="cellIs" dxfId="33304" priority="112881" stopIfTrue="1" operator="greaterThanOrEqual">
      <formula>0.5</formula>
    </cfRule>
  </conditionalFormatting>
  <conditionalFormatting sqref="BF43">
    <cfRule type="cellIs" dxfId="33303" priority="112882" stopIfTrue="1" operator="equal">
      <formula>-1</formula>
    </cfRule>
  </conditionalFormatting>
  <conditionalFormatting sqref="BF43">
    <cfRule type="cellIs" dxfId="33302" priority="112883" stopIfTrue="1" operator="lessThan">
      <formula>0.5</formula>
    </cfRule>
  </conditionalFormatting>
  <conditionalFormatting sqref="BF43">
    <cfRule type="cellIs" dxfId="33301" priority="112884" stopIfTrue="1" operator="greaterThanOrEqual">
      <formula>0.5</formula>
    </cfRule>
  </conditionalFormatting>
  <conditionalFormatting sqref="BF44">
    <cfRule type="cellIs" dxfId="33300" priority="112885" stopIfTrue="1" operator="equal">
      <formula>-1</formula>
    </cfRule>
  </conditionalFormatting>
  <conditionalFormatting sqref="BF44">
    <cfRule type="cellIs" dxfId="33299" priority="112886" stopIfTrue="1" operator="lessThan">
      <formula>0.5</formula>
    </cfRule>
  </conditionalFormatting>
  <conditionalFormatting sqref="BF44">
    <cfRule type="cellIs" dxfId="33298" priority="112887" stopIfTrue="1" operator="greaterThanOrEqual">
      <formula>0.5</formula>
    </cfRule>
  </conditionalFormatting>
  <conditionalFormatting sqref="BF45">
    <cfRule type="cellIs" dxfId="33297" priority="112888" stopIfTrue="1" operator="equal">
      <formula>-1</formula>
    </cfRule>
  </conditionalFormatting>
  <conditionalFormatting sqref="BF45">
    <cfRule type="cellIs" dxfId="33296" priority="112889" stopIfTrue="1" operator="lessThan">
      <formula>0.5</formula>
    </cfRule>
  </conditionalFormatting>
  <conditionalFormatting sqref="BF45">
    <cfRule type="cellIs" dxfId="33295" priority="112890" stopIfTrue="1" operator="greaterThanOrEqual">
      <formula>0.5</formula>
    </cfRule>
  </conditionalFormatting>
  <conditionalFormatting sqref="BF46">
    <cfRule type="cellIs" dxfId="33294" priority="112891" stopIfTrue="1" operator="equal">
      <formula>-1</formula>
    </cfRule>
  </conditionalFormatting>
  <conditionalFormatting sqref="BF46">
    <cfRule type="cellIs" dxfId="33293" priority="112892" stopIfTrue="1" operator="lessThan">
      <formula>0.5</formula>
    </cfRule>
  </conditionalFormatting>
  <conditionalFormatting sqref="BF46">
    <cfRule type="cellIs" dxfId="33292" priority="112893" stopIfTrue="1" operator="greaterThanOrEqual">
      <formula>0.5</formula>
    </cfRule>
  </conditionalFormatting>
  <conditionalFormatting sqref="BF47">
    <cfRule type="cellIs" dxfId="33291" priority="112894" stopIfTrue="1" operator="equal">
      <formula>-1</formula>
    </cfRule>
  </conditionalFormatting>
  <conditionalFormatting sqref="BF47">
    <cfRule type="cellIs" dxfId="33290" priority="112895" stopIfTrue="1" operator="lessThan">
      <formula>0.5</formula>
    </cfRule>
  </conditionalFormatting>
  <conditionalFormatting sqref="BF47">
    <cfRule type="cellIs" dxfId="33289" priority="112896" stopIfTrue="1" operator="greaterThanOrEqual">
      <formula>0.5</formula>
    </cfRule>
  </conditionalFormatting>
  <conditionalFormatting sqref="BF48">
    <cfRule type="cellIs" dxfId="33288" priority="112897" stopIfTrue="1" operator="equal">
      <formula>-1</formula>
    </cfRule>
  </conditionalFormatting>
  <conditionalFormatting sqref="BF48">
    <cfRule type="cellIs" dxfId="33287" priority="112898" stopIfTrue="1" operator="lessThan">
      <formula>0.5</formula>
    </cfRule>
  </conditionalFormatting>
  <conditionalFormatting sqref="BF48">
    <cfRule type="cellIs" dxfId="33286" priority="112899" stopIfTrue="1" operator="greaterThanOrEqual">
      <formula>0.5</formula>
    </cfRule>
  </conditionalFormatting>
  <conditionalFormatting sqref="BF49">
    <cfRule type="cellIs" dxfId="33285" priority="112900" stopIfTrue="1" operator="equal">
      <formula>-1</formula>
    </cfRule>
  </conditionalFormatting>
  <conditionalFormatting sqref="BF49">
    <cfRule type="cellIs" dxfId="33284" priority="112901" stopIfTrue="1" operator="lessThan">
      <formula>0.5</formula>
    </cfRule>
  </conditionalFormatting>
  <conditionalFormatting sqref="BF49">
    <cfRule type="cellIs" dxfId="33283" priority="112902" stopIfTrue="1" operator="greaterThanOrEqual">
      <formula>0.5</formula>
    </cfRule>
  </conditionalFormatting>
  <conditionalFormatting sqref="BF50">
    <cfRule type="cellIs" dxfId="33282" priority="112903" stopIfTrue="1" operator="equal">
      <formula>-1</formula>
    </cfRule>
  </conditionalFormatting>
  <conditionalFormatting sqref="BF50">
    <cfRule type="cellIs" dxfId="33281" priority="112904" stopIfTrue="1" operator="lessThan">
      <formula>0.5</formula>
    </cfRule>
  </conditionalFormatting>
  <conditionalFormatting sqref="BF50">
    <cfRule type="cellIs" dxfId="33280" priority="112905" stopIfTrue="1" operator="greaterThanOrEqual">
      <formula>0.5</formula>
    </cfRule>
  </conditionalFormatting>
  <conditionalFormatting sqref="BF51">
    <cfRule type="cellIs" dxfId="33279" priority="112906" stopIfTrue="1" operator="equal">
      <formula>-1</formula>
    </cfRule>
  </conditionalFormatting>
  <conditionalFormatting sqref="BF51">
    <cfRule type="cellIs" dxfId="33278" priority="112907" stopIfTrue="1" operator="lessThan">
      <formula>0.5</formula>
    </cfRule>
  </conditionalFormatting>
  <conditionalFormatting sqref="BF51">
    <cfRule type="cellIs" dxfId="33277" priority="112908" stopIfTrue="1" operator="greaterThanOrEqual">
      <formula>0.5</formula>
    </cfRule>
  </conditionalFormatting>
  <conditionalFormatting sqref="BF52">
    <cfRule type="cellIs" dxfId="33276" priority="112909" stopIfTrue="1" operator="equal">
      <formula>-1</formula>
    </cfRule>
  </conditionalFormatting>
  <conditionalFormatting sqref="BF52">
    <cfRule type="cellIs" dxfId="33275" priority="112910" stopIfTrue="1" operator="lessThan">
      <formula>0.5</formula>
    </cfRule>
  </conditionalFormatting>
  <conditionalFormatting sqref="BF52">
    <cfRule type="cellIs" dxfId="33274" priority="112911" stopIfTrue="1" operator="greaterThanOrEqual">
      <formula>0.5</formula>
    </cfRule>
  </conditionalFormatting>
  <conditionalFormatting sqref="BF53">
    <cfRule type="cellIs" dxfId="33273" priority="112912" stopIfTrue="1" operator="equal">
      <formula>-1</formula>
    </cfRule>
  </conditionalFormatting>
  <conditionalFormatting sqref="BF53">
    <cfRule type="cellIs" dxfId="33272" priority="112913" stopIfTrue="1" operator="lessThan">
      <formula>0.5</formula>
    </cfRule>
  </conditionalFormatting>
  <conditionalFormatting sqref="BF53">
    <cfRule type="cellIs" dxfId="33271" priority="112914" stopIfTrue="1" operator="greaterThanOrEqual">
      <formula>0.5</formula>
    </cfRule>
  </conditionalFormatting>
  <conditionalFormatting sqref="BF54">
    <cfRule type="cellIs" dxfId="33270" priority="112915" stopIfTrue="1" operator="equal">
      <formula>-1</formula>
    </cfRule>
  </conditionalFormatting>
  <conditionalFormatting sqref="BF54">
    <cfRule type="cellIs" dxfId="33269" priority="112916" stopIfTrue="1" operator="lessThan">
      <formula>0.5</formula>
    </cfRule>
  </conditionalFormatting>
  <conditionalFormatting sqref="BF54">
    <cfRule type="cellIs" dxfId="33268" priority="112917" stopIfTrue="1" operator="greaterThanOrEqual">
      <formula>0.5</formula>
    </cfRule>
  </conditionalFormatting>
  <conditionalFormatting sqref="BF55">
    <cfRule type="cellIs" dxfId="33267" priority="112918" stopIfTrue="1" operator="equal">
      <formula>-1</formula>
    </cfRule>
  </conditionalFormatting>
  <conditionalFormatting sqref="BF55">
    <cfRule type="cellIs" dxfId="33266" priority="112919" stopIfTrue="1" operator="lessThan">
      <formula>0.5</formula>
    </cfRule>
  </conditionalFormatting>
  <conditionalFormatting sqref="BF55">
    <cfRule type="cellIs" dxfId="33265" priority="112920" stopIfTrue="1" operator="greaterThanOrEqual">
      <formula>0.5</formula>
    </cfRule>
  </conditionalFormatting>
  <conditionalFormatting sqref="BF56">
    <cfRule type="cellIs" dxfId="33264" priority="112921" stopIfTrue="1" operator="equal">
      <formula>-1</formula>
    </cfRule>
  </conditionalFormatting>
  <conditionalFormatting sqref="BF56">
    <cfRule type="cellIs" dxfId="33263" priority="112922" stopIfTrue="1" operator="lessThan">
      <formula>0.5</formula>
    </cfRule>
  </conditionalFormatting>
  <conditionalFormatting sqref="BF56">
    <cfRule type="cellIs" dxfId="33262" priority="112923" stopIfTrue="1" operator="greaterThanOrEqual">
      <formula>0.5</formula>
    </cfRule>
  </conditionalFormatting>
  <conditionalFormatting sqref="BF57">
    <cfRule type="cellIs" dxfId="33261" priority="112924" stopIfTrue="1" operator="equal">
      <formula>-1</formula>
    </cfRule>
  </conditionalFormatting>
  <conditionalFormatting sqref="BF57">
    <cfRule type="cellIs" dxfId="33260" priority="112925" stopIfTrue="1" operator="lessThan">
      <formula>0.5</formula>
    </cfRule>
  </conditionalFormatting>
  <conditionalFormatting sqref="BF57">
    <cfRule type="cellIs" dxfId="33259" priority="112926" stopIfTrue="1" operator="greaterThanOrEqual">
      <formula>0.5</formula>
    </cfRule>
  </conditionalFormatting>
  <conditionalFormatting sqref="BF58">
    <cfRule type="cellIs" dxfId="33258" priority="112927" stopIfTrue="1" operator="equal">
      <formula>-1</formula>
    </cfRule>
  </conditionalFormatting>
  <conditionalFormatting sqref="BF58">
    <cfRule type="cellIs" dxfId="33257" priority="112928" stopIfTrue="1" operator="lessThan">
      <formula>0.5</formula>
    </cfRule>
  </conditionalFormatting>
  <conditionalFormatting sqref="BF58">
    <cfRule type="cellIs" dxfId="33256" priority="112929" stopIfTrue="1" operator="greaterThanOrEqual">
      <formula>0.5</formula>
    </cfRule>
  </conditionalFormatting>
  <conditionalFormatting sqref="BH39">
    <cfRule type="cellIs" dxfId="33255" priority="112930" stopIfTrue="1" operator="equal">
      <formula>-1</formula>
    </cfRule>
  </conditionalFormatting>
  <conditionalFormatting sqref="BH39">
    <cfRule type="cellIs" dxfId="33254" priority="112931" stopIfTrue="1" operator="lessThan">
      <formula>0.5</formula>
    </cfRule>
  </conditionalFormatting>
  <conditionalFormatting sqref="BH39">
    <cfRule type="cellIs" dxfId="33253" priority="112932" stopIfTrue="1" operator="greaterThanOrEqual">
      <formula>0.5</formula>
    </cfRule>
  </conditionalFormatting>
  <conditionalFormatting sqref="BH40">
    <cfRule type="cellIs" dxfId="33252" priority="112933" stopIfTrue="1" operator="equal">
      <formula>-1</formula>
    </cfRule>
  </conditionalFormatting>
  <conditionalFormatting sqref="BH40">
    <cfRule type="cellIs" dxfId="33251" priority="112934" stopIfTrue="1" operator="lessThan">
      <formula>0.5</formula>
    </cfRule>
  </conditionalFormatting>
  <conditionalFormatting sqref="BH40">
    <cfRule type="cellIs" dxfId="33250" priority="112935" stopIfTrue="1" operator="greaterThanOrEqual">
      <formula>0.5</formula>
    </cfRule>
  </conditionalFormatting>
  <conditionalFormatting sqref="BH41">
    <cfRule type="cellIs" dxfId="33249" priority="112936" stopIfTrue="1" operator="equal">
      <formula>-1</formula>
    </cfRule>
  </conditionalFormatting>
  <conditionalFormatting sqref="BH41">
    <cfRule type="cellIs" dxfId="33248" priority="112937" stopIfTrue="1" operator="lessThan">
      <formula>0.5</formula>
    </cfRule>
  </conditionalFormatting>
  <conditionalFormatting sqref="BH41">
    <cfRule type="cellIs" dxfId="33247" priority="112938" stopIfTrue="1" operator="greaterThanOrEqual">
      <formula>0.5</formula>
    </cfRule>
  </conditionalFormatting>
  <conditionalFormatting sqref="BH42">
    <cfRule type="cellIs" dxfId="33246" priority="112939" stopIfTrue="1" operator="equal">
      <formula>-1</formula>
    </cfRule>
  </conditionalFormatting>
  <conditionalFormatting sqref="BH42">
    <cfRule type="cellIs" dxfId="33245" priority="112940" stopIfTrue="1" operator="lessThan">
      <formula>0.5</formula>
    </cfRule>
  </conditionalFormatting>
  <conditionalFormatting sqref="BH42">
    <cfRule type="cellIs" dxfId="33244" priority="112941" stopIfTrue="1" operator="greaterThanOrEqual">
      <formula>0.5</formula>
    </cfRule>
  </conditionalFormatting>
  <conditionalFormatting sqref="BH43">
    <cfRule type="cellIs" dxfId="33243" priority="112942" stopIfTrue="1" operator="equal">
      <formula>-1</formula>
    </cfRule>
  </conditionalFormatting>
  <conditionalFormatting sqref="BH43">
    <cfRule type="cellIs" dxfId="33242" priority="112943" stopIfTrue="1" operator="lessThan">
      <formula>0.5</formula>
    </cfRule>
  </conditionalFormatting>
  <conditionalFormatting sqref="BH43">
    <cfRule type="cellIs" dxfId="33241" priority="112944" stopIfTrue="1" operator="greaterThanOrEqual">
      <formula>0.5</formula>
    </cfRule>
  </conditionalFormatting>
  <conditionalFormatting sqref="BH44">
    <cfRule type="cellIs" dxfId="33240" priority="112945" stopIfTrue="1" operator="equal">
      <formula>-1</formula>
    </cfRule>
  </conditionalFormatting>
  <conditionalFormatting sqref="BH44">
    <cfRule type="cellIs" dxfId="33239" priority="112946" stopIfTrue="1" operator="lessThan">
      <formula>0.5</formula>
    </cfRule>
  </conditionalFormatting>
  <conditionalFormatting sqref="BH44">
    <cfRule type="cellIs" dxfId="33238" priority="112947" stopIfTrue="1" operator="greaterThanOrEqual">
      <formula>0.5</formula>
    </cfRule>
  </conditionalFormatting>
  <conditionalFormatting sqref="BH45">
    <cfRule type="cellIs" dxfId="33237" priority="112948" stopIfTrue="1" operator="equal">
      <formula>-1</formula>
    </cfRule>
  </conditionalFormatting>
  <conditionalFormatting sqref="BH45">
    <cfRule type="cellIs" dxfId="33236" priority="112949" stopIfTrue="1" operator="lessThan">
      <formula>0.5</formula>
    </cfRule>
  </conditionalFormatting>
  <conditionalFormatting sqref="BH45">
    <cfRule type="cellIs" dxfId="33235" priority="112950" stopIfTrue="1" operator="greaterThanOrEqual">
      <formula>0.5</formula>
    </cfRule>
  </conditionalFormatting>
  <conditionalFormatting sqref="BH46">
    <cfRule type="cellIs" dxfId="33234" priority="112951" stopIfTrue="1" operator="equal">
      <formula>-1</formula>
    </cfRule>
  </conditionalFormatting>
  <conditionalFormatting sqref="BH46">
    <cfRule type="cellIs" dxfId="33233" priority="112952" stopIfTrue="1" operator="lessThan">
      <formula>0.5</formula>
    </cfRule>
  </conditionalFormatting>
  <conditionalFormatting sqref="BH46">
    <cfRule type="cellIs" dxfId="33232" priority="112953" stopIfTrue="1" operator="greaterThanOrEqual">
      <formula>0.5</formula>
    </cfRule>
  </conditionalFormatting>
  <conditionalFormatting sqref="BH47">
    <cfRule type="cellIs" dxfId="33231" priority="112954" stopIfTrue="1" operator="equal">
      <formula>-1</formula>
    </cfRule>
  </conditionalFormatting>
  <conditionalFormatting sqref="BH47">
    <cfRule type="cellIs" dxfId="33230" priority="112955" stopIfTrue="1" operator="lessThan">
      <formula>0.5</formula>
    </cfRule>
  </conditionalFormatting>
  <conditionalFormatting sqref="BH47">
    <cfRule type="cellIs" dxfId="33229" priority="112956" stopIfTrue="1" operator="greaterThanOrEqual">
      <formula>0.5</formula>
    </cfRule>
  </conditionalFormatting>
  <conditionalFormatting sqref="BH48">
    <cfRule type="cellIs" dxfId="33228" priority="112957" stopIfTrue="1" operator="equal">
      <formula>-1</formula>
    </cfRule>
  </conditionalFormatting>
  <conditionalFormatting sqref="BH48">
    <cfRule type="cellIs" dxfId="33227" priority="112958" stopIfTrue="1" operator="lessThan">
      <formula>0.5</formula>
    </cfRule>
  </conditionalFormatting>
  <conditionalFormatting sqref="BH48">
    <cfRule type="cellIs" dxfId="33226" priority="112959" stopIfTrue="1" operator="greaterThanOrEqual">
      <formula>0.5</formula>
    </cfRule>
  </conditionalFormatting>
  <conditionalFormatting sqref="BH49">
    <cfRule type="cellIs" dxfId="33225" priority="112960" stopIfTrue="1" operator="equal">
      <formula>-1</formula>
    </cfRule>
  </conditionalFormatting>
  <conditionalFormatting sqref="BH49">
    <cfRule type="cellIs" dxfId="33224" priority="112961" stopIfTrue="1" operator="lessThan">
      <formula>0.5</formula>
    </cfRule>
  </conditionalFormatting>
  <conditionalFormatting sqref="BH49">
    <cfRule type="cellIs" dxfId="33223" priority="112962" stopIfTrue="1" operator="greaterThanOrEqual">
      <formula>0.5</formula>
    </cfRule>
  </conditionalFormatting>
  <conditionalFormatting sqref="BH50">
    <cfRule type="cellIs" dxfId="33222" priority="112963" stopIfTrue="1" operator="equal">
      <formula>-1</formula>
    </cfRule>
  </conditionalFormatting>
  <conditionalFormatting sqref="BH50">
    <cfRule type="cellIs" dxfId="33221" priority="112964" stopIfTrue="1" operator="lessThan">
      <formula>0.5</formula>
    </cfRule>
  </conditionalFormatting>
  <conditionalFormatting sqref="BH50">
    <cfRule type="cellIs" dxfId="33220" priority="112965" stopIfTrue="1" operator="greaterThanOrEqual">
      <formula>0.5</formula>
    </cfRule>
  </conditionalFormatting>
  <conditionalFormatting sqref="BH51">
    <cfRule type="cellIs" dxfId="33219" priority="112966" stopIfTrue="1" operator="equal">
      <formula>-1</formula>
    </cfRule>
  </conditionalFormatting>
  <conditionalFormatting sqref="BH51">
    <cfRule type="cellIs" dxfId="33218" priority="112967" stopIfTrue="1" operator="lessThan">
      <formula>0.5</formula>
    </cfRule>
  </conditionalFormatting>
  <conditionalFormatting sqref="BH51">
    <cfRule type="cellIs" dxfId="33217" priority="112968" stopIfTrue="1" operator="greaterThanOrEqual">
      <formula>0.5</formula>
    </cfRule>
  </conditionalFormatting>
  <conditionalFormatting sqref="BH52">
    <cfRule type="cellIs" dxfId="33216" priority="112969" stopIfTrue="1" operator="equal">
      <formula>-1</formula>
    </cfRule>
  </conditionalFormatting>
  <conditionalFormatting sqref="BH52">
    <cfRule type="cellIs" dxfId="33215" priority="112970" stopIfTrue="1" operator="lessThan">
      <formula>0.5</formula>
    </cfRule>
  </conditionalFormatting>
  <conditionalFormatting sqref="BH52">
    <cfRule type="cellIs" dxfId="33214" priority="112971" stopIfTrue="1" operator="greaterThanOrEqual">
      <formula>0.5</formula>
    </cfRule>
  </conditionalFormatting>
  <conditionalFormatting sqref="BH53">
    <cfRule type="cellIs" dxfId="33213" priority="112972" stopIfTrue="1" operator="equal">
      <formula>-1</formula>
    </cfRule>
  </conditionalFormatting>
  <conditionalFormatting sqref="BH53">
    <cfRule type="cellIs" dxfId="33212" priority="112973" stopIfTrue="1" operator="lessThan">
      <formula>0.5</formula>
    </cfRule>
  </conditionalFormatting>
  <conditionalFormatting sqref="BH53">
    <cfRule type="cellIs" dxfId="33211" priority="112974" stopIfTrue="1" operator="greaterThanOrEqual">
      <formula>0.5</formula>
    </cfRule>
  </conditionalFormatting>
  <conditionalFormatting sqref="BH54">
    <cfRule type="cellIs" dxfId="33210" priority="112975" stopIfTrue="1" operator="equal">
      <formula>-1</formula>
    </cfRule>
  </conditionalFormatting>
  <conditionalFormatting sqref="BH54">
    <cfRule type="cellIs" dxfId="33209" priority="112976" stopIfTrue="1" operator="lessThan">
      <formula>0.5</formula>
    </cfRule>
  </conditionalFormatting>
  <conditionalFormatting sqref="BH54">
    <cfRule type="cellIs" dxfId="33208" priority="112977" stopIfTrue="1" operator="greaterThanOrEqual">
      <formula>0.5</formula>
    </cfRule>
  </conditionalFormatting>
  <conditionalFormatting sqref="BH55">
    <cfRule type="cellIs" dxfId="33207" priority="112978" stopIfTrue="1" operator="equal">
      <formula>-1</formula>
    </cfRule>
  </conditionalFormatting>
  <conditionalFormatting sqref="BH55">
    <cfRule type="cellIs" dxfId="33206" priority="112979" stopIfTrue="1" operator="lessThan">
      <formula>0.5</formula>
    </cfRule>
  </conditionalFormatting>
  <conditionalFormatting sqref="BH55">
    <cfRule type="cellIs" dxfId="33205" priority="112980" stopIfTrue="1" operator="greaterThanOrEqual">
      <formula>0.5</formula>
    </cfRule>
  </conditionalFormatting>
  <conditionalFormatting sqref="BH56">
    <cfRule type="cellIs" dxfId="33204" priority="112981" stopIfTrue="1" operator="equal">
      <formula>-1</formula>
    </cfRule>
  </conditionalFormatting>
  <conditionalFormatting sqref="BH56">
    <cfRule type="cellIs" dxfId="33203" priority="112982" stopIfTrue="1" operator="lessThan">
      <formula>0.5</formula>
    </cfRule>
  </conditionalFormatting>
  <conditionalFormatting sqref="BH56">
    <cfRule type="cellIs" dxfId="33202" priority="112983" stopIfTrue="1" operator="greaterThanOrEqual">
      <formula>0.5</formula>
    </cfRule>
  </conditionalFormatting>
  <conditionalFormatting sqref="BH57">
    <cfRule type="cellIs" dxfId="33201" priority="112984" stopIfTrue="1" operator="equal">
      <formula>-1</formula>
    </cfRule>
  </conditionalFormatting>
  <conditionalFormatting sqref="BH57">
    <cfRule type="cellIs" dxfId="33200" priority="112985" stopIfTrue="1" operator="lessThan">
      <formula>0.5</formula>
    </cfRule>
  </conditionalFormatting>
  <conditionalFormatting sqref="BH57">
    <cfRule type="cellIs" dxfId="33199" priority="112986" stopIfTrue="1" operator="greaterThanOrEqual">
      <formula>0.5</formula>
    </cfRule>
  </conditionalFormatting>
  <conditionalFormatting sqref="BH58">
    <cfRule type="cellIs" dxfId="33198" priority="112987" stopIfTrue="1" operator="equal">
      <formula>-1</formula>
    </cfRule>
  </conditionalFormatting>
  <conditionalFormatting sqref="BH58">
    <cfRule type="cellIs" dxfId="33197" priority="112988" stopIfTrue="1" operator="lessThan">
      <formula>0.5</formula>
    </cfRule>
  </conditionalFormatting>
  <conditionalFormatting sqref="BH58">
    <cfRule type="cellIs" dxfId="33196" priority="112989" stopIfTrue="1" operator="greaterThanOrEqual">
      <formula>0.5</formula>
    </cfRule>
  </conditionalFormatting>
  <conditionalFormatting sqref="BJ39">
    <cfRule type="cellIs" dxfId="33195" priority="112990" stopIfTrue="1" operator="equal">
      <formula>-1</formula>
    </cfRule>
  </conditionalFormatting>
  <conditionalFormatting sqref="BJ39">
    <cfRule type="cellIs" dxfId="33194" priority="112991" stopIfTrue="1" operator="lessThan">
      <formula>0.5</formula>
    </cfRule>
  </conditionalFormatting>
  <conditionalFormatting sqref="BJ39">
    <cfRule type="cellIs" dxfId="33193" priority="112992" stopIfTrue="1" operator="greaterThanOrEqual">
      <formula>0.5</formula>
    </cfRule>
  </conditionalFormatting>
  <conditionalFormatting sqref="BJ40">
    <cfRule type="cellIs" dxfId="33192" priority="112993" stopIfTrue="1" operator="equal">
      <formula>-1</formula>
    </cfRule>
  </conditionalFormatting>
  <conditionalFormatting sqref="BJ40">
    <cfRule type="cellIs" dxfId="33191" priority="112994" stopIfTrue="1" operator="lessThan">
      <formula>0.5</formula>
    </cfRule>
  </conditionalFormatting>
  <conditionalFormatting sqref="BJ40">
    <cfRule type="cellIs" dxfId="33190" priority="112995" stopIfTrue="1" operator="greaterThanOrEqual">
      <formula>0.5</formula>
    </cfRule>
  </conditionalFormatting>
  <conditionalFormatting sqref="BJ41">
    <cfRule type="cellIs" dxfId="33189" priority="112996" stopIfTrue="1" operator="equal">
      <formula>-1</formula>
    </cfRule>
  </conditionalFormatting>
  <conditionalFormatting sqref="BJ41">
    <cfRule type="cellIs" dxfId="33188" priority="112997" stopIfTrue="1" operator="lessThan">
      <formula>0.5</formula>
    </cfRule>
  </conditionalFormatting>
  <conditionalFormatting sqref="BJ41">
    <cfRule type="cellIs" dxfId="33187" priority="112998" stopIfTrue="1" operator="greaterThanOrEqual">
      <formula>0.5</formula>
    </cfRule>
  </conditionalFormatting>
  <conditionalFormatting sqref="BJ42">
    <cfRule type="cellIs" dxfId="33186" priority="112999" stopIfTrue="1" operator="equal">
      <formula>-1</formula>
    </cfRule>
  </conditionalFormatting>
  <conditionalFormatting sqref="BJ42">
    <cfRule type="cellIs" dxfId="33185" priority="113000" stopIfTrue="1" operator="lessThan">
      <formula>0.5</formula>
    </cfRule>
  </conditionalFormatting>
  <conditionalFormatting sqref="BJ42">
    <cfRule type="cellIs" dxfId="33184" priority="113001" stopIfTrue="1" operator="greaterThanOrEqual">
      <formula>0.5</formula>
    </cfRule>
  </conditionalFormatting>
  <conditionalFormatting sqref="BJ43">
    <cfRule type="cellIs" dxfId="33183" priority="113002" stopIfTrue="1" operator="equal">
      <formula>-1</formula>
    </cfRule>
  </conditionalFormatting>
  <conditionalFormatting sqref="BJ43">
    <cfRule type="cellIs" dxfId="33182" priority="113003" stopIfTrue="1" operator="lessThan">
      <formula>0.5</formula>
    </cfRule>
  </conditionalFormatting>
  <conditionalFormatting sqref="BJ43">
    <cfRule type="cellIs" dxfId="33181" priority="113004" stopIfTrue="1" operator="greaterThanOrEqual">
      <formula>0.5</formula>
    </cfRule>
  </conditionalFormatting>
  <conditionalFormatting sqref="BJ44">
    <cfRule type="cellIs" dxfId="33180" priority="113005" stopIfTrue="1" operator="equal">
      <formula>-1</formula>
    </cfRule>
  </conditionalFormatting>
  <conditionalFormatting sqref="BJ44">
    <cfRule type="cellIs" dxfId="33179" priority="113006" stopIfTrue="1" operator="lessThan">
      <formula>0.5</formula>
    </cfRule>
  </conditionalFormatting>
  <conditionalFormatting sqref="BJ44">
    <cfRule type="cellIs" dxfId="33178" priority="113007" stopIfTrue="1" operator="greaterThanOrEqual">
      <formula>0.5</formula>
    </cfRule>
  </conditionalFormatting>
  <conditionalFormatting sqref="BJ45">
    <cfRule type="cellIs" dxfId="33177" priority="113008" stopIfTrue="1" operator="equal">
      <formula>-1</formula>
    </cfRule>
  </conditionalFormatting>
  <conditionalFormatting sqref="BJ45">
    <cfRule type="cellIs" dxfId="33176" priority="113009" stopIfTrue="1" operator="lessThan">
      <formula>0.5</formula>
    </cfRule>
  </conditionalFormatting>
  <conditionalFormatting sqref="BJ45">
    <cfRule type="cellIs" dxfId="33175" priority="113010" stopIfTrue="1" operator="greaterThanOrEqual">
      <formula>0.5</formula>
    </cfRule>
  </conditionalFormatting>
  <conditionalFormatting sqref="BJ46">
    <cfRule type="cellIs" dxfId="33174" priority="113011" stopIfTrue="1" operator="equal">
      <formula>-1</formula>
    </cfRule>
  </conditionalFormatting>
  <conditionalFormatting sqref="BJ46">
    <cfRule type="cellIs" dxfId="33173" priority="113012" stopIfTrue="1" operator="lessThan">
      <formula>0.5</formula>
    </cfRule>
  </conditionalFormatting>
  <conditionalFormatting sqref="BJ46">
    <cfRule type="cellIs" dxfId="33172" priority="113013" stopIfTrue="1" operator="greaterThanOrEqual">
      <formula>0.5</formula>
    </cfRule>
  </conditionalFormatting>
  <conditionalFormatting sqref="BJ47">
    <cfRule type="cellIs" dxfId="33171" priority="113014" stopIfTrue="1" operator="equal">
      <formula>-1</formula>
    </cfRule>
  </conditionalFormatting>
  <conditionalFormatting sqref="BJ47">
    <cfRule type="cellIs" dxfId="33170" priority="113015" stopIfTrue="1" operator="lessThan">
      <formula>0.5</formula>
    </cfRule>
  </conditionalFormatting>
  <conditionalFormatting sqref="BJ47">
    <cfRule type="cellIs" dxfId="33169" priority="113016" stopIfTrue="1" operator="greaterThanOrEqual">
      <formula>0.5</formula>
    </cfRule>
  </conditionalFormatting>
  <conditionalFormatting sqref="BJ48">
    <cfRule type="cellIs" dxfId="33168" priority="113017" stopIfTrue="1" operator="equal">
      <formula>-1</formula>
    </cfRule>
  </conditionalFormatting>
  <conditionalFormatting sqref="BJ48">
    <cfRule type="cellIs" dxfId="33167" priority="113018" stopIfTrue="1" operator="lessThan">
      <formula>0.5</formula>
    </cfRule>
  </conditionalFormatting>
  <conditionalFormatting sqref="BJ48">
    <cfRule type="cellIs" dxfId="33166" priority="113019" stopIfTrue="1" operator="greaterThanOrEqual">
      <formula>0.5</formula>
    </cfRule>
  </conditionalFormatting>
  <conditionalFormatting sqref="BJ49">
    <cfRule type="cellIs" dxfId="33165" priority="113020" stopIfTrue="1" operator="equal">
      <formula>-1</formula>
    </cfRule>
  </conditionalFormatting>
  <conditionalFormatting sqref="BJ49">
    <cfRule type="cellIs" dxfId="33164" priority="113021" stopIfTrue="1" operator="lessThan">
      <formula>0.5</formula>
    </cfRule>
  </conditionalFormatting>
  <conditionalFormatting sqref="BJ49">
    <cfRule type="cellIs" dxfId="33163" priority="113022" stopIfTrue="1" operator="greaterThanOrEqual">
      <formula>0.5</formula>
    </cfRule>
  </conditionalFormatting>
  <conditionalFormatting sqref="BJ50">
    <cfRule type="cellIs" dxfId="33162" priority="113023" stopIfTrue="1" operator="equal">
      <formula>-1</formula>
    </cfRule>
  </conditionalFormatting>
  <conditionalFormatting sqref="BJ50">
    <cfRule type="cellIs" dxfId="33161" priority="113024" stopIfTrue="1" operator="lessThan">
      <formula>0.5</formula>
    </cfRule>
  </conditionalFormatting>
  <conditionalFormatting sqref="BJ50">
    <cfRule type="cellIs" dxfId="33160" priority="113025" stopIfTrue="1" operator="greaterThanOrEqual">
      <formula>0.5</formula>
    </cfRule>
  </conditionalFormatting>
  <conditionalFormatting sqref="BJ51">
    <cfRule type="cellIs" dxfId="33159" priority="113026" stopIfTrue="1" operator="equal">
      <formula>-1</formula>
    </cfRule>
  </conditionalFormatting>
  <conditionalFormatting sqref="BJ51">
    <cfRule type="cellIs" dxfId="33158" priority="113027" stopIfTrue="1" operator="lessThan">
      <formula>0.5</formula>
    </cfRule>
  </conditionalFormatting>
  <conditionalFormatting sqref="BJ51">
    <cfRule type="cellIs" dxfId="33157" priority="113028" stopIfTrue="1" operator="greaterThanOrEqual">
      <formula>0.5</formula>
    </cfRule>
  </conditionalFormatting>
  <conditionalFormatting sqref="BJ52">
    <cfRule type="cellIs" dxfId="33156" priority="113029" stopIfTrue="1" operator="equal">
      <formula>-1</formula>
    </cfRule>
  </conditionalFormatting>
  <conditionalFormatting sqref="BJ52">
    <cfRule type="cellIs" dxfId="33155" priority="113030" stopIfTrue="1" operator="lessThan">
      <formula>0.5</formula>
    </cfRule>
  </conditionalFormatting>
  <conditionalFormatting sqref="BJ52">
    <cfRule type="cellIs" dxfId="33154" priority="113031" stopIfTrue="1" operator="greaterThanOrEqual">
      <formula>0.5</formula>
    </cfRule>
  </conditionalFormatting>
  <conditionalFormatting sqref="BJ53">
    <cfRule type="cellIs" dxfId="33153" priority="113032" stopIfTrue="1" operator="equal">
      <formula>-1</formula>
    </cfRule>
  </conditionalFormatting>
  <conditionalFormatting sqref="BJ53">
    <cfRule type="cellIs" dxfId="33152" priority="113033" stopIfTrue="1" operator="lessThan">
      <formula>0.5</formula>
    </cfRule>
  </conditionalFormatting>
  <conditionalFormatting sqref="BJ53">
    <cfRule type="cellIs" dxfId="33151" priority="113034" stopIfTrue="1" operator="greaterThanOrEqual">
      <formula>0.5</formula>
    </cfRule>
  </conditionalFormatting>
  <conditionalFormatting sqref="BJ54">
    <cfRule type="cellIs" dxfId="33150" priority="113035" stopIfTrue="1" operator="equal">
      <formula>-1</formula>
    </cfRule>
  </conditionalFormatting>
  <conditionalFormatting sqref="BJ54">
    <cfRule type="cellIs" dxfId="33149" priority="113036" stopIfTrue="1" operator="lessThan">
      <formula>0.5</formula>
    </cfRule>
  </conditionalFormatting>
  <conditionalFormatting sqref="BJ54">
    <cfRule type="cellIs" dxfId="33148" priority="113037" stopIfTrue="1" operator="greaterThanOrEqual">
      <formula>0.5</formula>
    </cfRule>
  </conditionalFormatting>
  <conditionalFormatting sqref="BJ55">
    <cfRule type="cellIs" dxfId="33147" priority="113038" stopIfTrue="1" operator="equal">
      <formula>-1</formula>
    </cfRule>
  </conditionalFormatting>
  <conditionalFormatting sqref="BJ55">
    <cfRule type="cellIs" dxfId="33146" priority="113039" stopIfTrue="1" operator="lessThan">
      <formula>0.5</formula>
    </cfRule>
  </conditionalFormatting>
  <conditionalFormatting sqref="BJ55">
    <cfRule type="cellIs" dxfId="33145" priority="113040" stopIfTrue="1" operator="greaterThanOrEqual">
      <formula>0.5</formula>
    </cfRule>
  </conditionalFormatting>
  <conditionalFormatting sqref="BJ56">
    <cfRule type="cellIs" dxfId="33144" priority="113041" stopIfTrue="1" operator="equal">
      <formula>-1</formula>
    </cfRule>
  </conditionalFormatting>
  <conditionalFormatting sqref="BJ56">
    <cfRule type="cellIs" dxfId="33143" priority="113042" stopIfTrue="1" operator="lessThan">
      <formula>0.5</formula>
    </cfRule>
  </conditionalFormatting>
  <conditionalFormatting sqref="BJ56">
    <cfRule type="cellIs" dxfId="33142" priority="113043" stopIfTrue="1" operator="greaterThanOrEqual">
      <formula>0.5</formula>
    </cfRule>
  </conditionalFormatting>
  <conditionalFormatting sqref="BJ57">
    <cfRule type="cellIs" dxfId="33141" priority="113044" stopIfTrue="1" operator="equal">
      <formula>-1</formula>
    </cfRule>
  </conditionalFormatting>
  <conditionalFormatting sqref="BJ57">
    <cfRule type="cellIs" dxfId="33140" priority="113045" stopIfTrue="1" operator="lessThan">
      <formula>0.5</formula>
    </cfRule>
  </conditionalFormatting>
  <conditionalFormatting sqref="BJ57">
    <cfRule type="cellIs" dxfId="33139" priority="113046" stopIfTrue="1" operator="greaterThanOrEqual">
      <formula>0.5</formula>
    </cfRule>
  </conditionalFormatting>
  <conditionalFormatting sqref="BJ58">
    <cfRule type="cellIs" dxfId="33138" priority="113047" stopIfTrue="1" operator="equal">
      <formula>-1</formula>
    </cfRule>
  </conditionalFormatting>
  <conditionalFormatting sqref="BJ58">
    <cfRule type="cellIs" dxfId="33137" priority="113048" stopIfTrue="1" operator="lessThan">
      <formula>0.5</formula>
    </cfRule>
  </conditionalFormatting>
  <conditionalFormatting sqref="BJ58">
    <cfRule type="cellIs" dxfId="33136" priority="113049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0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F8F1A-0714-4D48-AA02-3A1460FC9DC0}">
  <sheetPr codeName="Sheet7">
    <tabColor theme="9" tint="-0.249977111117893"/>
    <pageSetUpPr fitToPage="1"/>
  </sheetPr>
  <dimension ref="A1:BJ61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65" t="str" cm="1">
        <f t="array" ref="A1">[2]!GRUPO</f>
        <v>2º Bach.</v>
      </c>
      <c r="B1" s="70" t="s">
        <v>101</v>
      </c>
      <c r="C1" s="67">
        <v>1</v>
      </c>
      <c r="D1" s="67"/>
      <c r="E1" s="67">
        <v>2</v>
      </c>
      <c r="F1" s="67" t="s">
        <v>0</v>
      </c>
      <c r="G1" s="67">
        <v>3</v>
      </c>
      <c r="H1" s="67" t="s">
        <v>0</v>
      </c>
      <c r="I1" s="67">
        <v>4</v>
      </c>
      <c r="J1" s="67" t="s">
        <v>0</v>
      </c>
      <c r="K1" s="67">
        <v>5</v>
      </c>
      <c r="L1" s="67" t="s">
        <v>0</v>
      </c>
      <c r="M1" s="67">
        <v>6</v>
      </c>
      <c r="N1" s="67" t="s">
        <v>0</v>
      </c>
      <c r="O1" s="67">
        <v>7</v>
      </c>
      <c r="P1" s="67" t="s">
        <v>0</v>
      </c>
      <c r="Q1" s="67">
        <v>8</v>
      </c>
      <c r="R1" s="67" t="s">
        <v>0</v>
      </c>
      <c r="S1" s="67">
        <v>9</v>
      </c>
      <c r="T1" s="67" t="s">
        <v>0</v>
      </c>
      <c r="U1" s="67">
        <v>10</v>
      </c>
      <c r="V1" s="67" t="s">
        <v>0</v>
      </c>
      <c r="W1" s="67">
        <v>11</v>
      </c>
      <c r="X1" s="67" t="s">
        <v>0</v>
      </c>
      <c r="Y1" s="67">
        <v>12</v>
      </c>
      <c r="Z1" s="67" t="s">
        <v>1</v>
      </c>
      <c r="AA1" s="67">
        <v>13</v>
      </c>
      <c r="AB1" s="67" t="s">
        <v>0</v>
      </c>
      <c r="AC1" s="67">
        <v>14</v>
      </c>
      <c r="AD1" s="67" t="s">
        <v>0</v>
      </c>
      <c r="AE1" s="67">
        <v>15</v>
      </c>
      <c r="AF1" s="67" t="s">
        <v>0</v>
      </c>
      <c r="AG1" s="67">
        <v>16</v>
      </c>
      <c r="AH1" s="67" t="s">
        <v>0</v>
      </c>
      <c r="AI1" s="67">
        <v>17</v>
      </c>
      <c r="AJ1" s="67"/>
      <c r="AK1" s="67">
        <v>18</v>
      </c>
      <c r="AL1" s="67"/>
      <c r="AM1" s="67">
        <v>19</v>
      </c>
      <c r="AN1" s="67"/>
      <c r="AO1" s="67">
        <v>20</v>
      </c>
      <c r="AP1" s="67" t="s">
        <v>0</v>
      </c>
      <c r="AQ1" s="67">
        <v>21</v>
      </c>
      <c r="AR1" s="67"/>
      <c r="AS1" s="67">
        <v>22</v>
      </c>
      <c r="AT1" s="67" t="s">
        <v>0</v>
      </c>
      <c r="AU1" s="67">
        <v>23</v>
      </c>
      <c r="AV1" s="67" t="s">
        <v>0</v>
      </c>
      <c r="AW1" s="67">
        <v>24</v>
      </c>
      <c r="AX1" s="67"/>
      <c r="AY1" s="67">
        <v>25</v>
      </c>
      <c r="AZ1" s="67"/>
      <c r="BA1" s="67">
        <v>26</v>
      </c>
      <c r="BB1" s="67"/>
      <c r="BC1" s="67">
        <v>27</v>
      </c>
      <c r="BD1" s="67"/>
      <c r="BE1" s="67">
        <v>28</v>
      </c>
      <c r="BF1" s="67"/>
      <c r="BG1" s="67">
        <v>29</v>
      </c>
      <c r="BH1" s="67"/>
      <c r="BI1" s="67">
        <v>30</v>
      </c>
      <c r="BJ1" s="67"/>
    </row>
    <row r="2" spans="1:62" ht="115" customHeight="1" x14ac:dyDescent="0.2">
      <c r="A2" s="65"/>
      <c r="B2" s="71"/>
      <c r="C2" s="66" t="str">
        <f ca="1">[2]Examen11!C$2</f>
        <v>Alma Casa, Mario</v>
      </c>
      <c r="D2" s="66"/>
      <c r="E2" s="66" t="str">
        <f ca="1">[2]Examen11!E$2</f>
        <v>Amado Luz, Martín</v>
      </c>
      <c r="F2" s="66"/>
      <c r="G2" s="66" t="str">
        <f ca="1">[2]Examen11!G$2</f>
        <v>Bonete Cune, Carla</v>
      </c>
      <c r="H2" s="66"/>
      <c r="I2" s="66" t="str">
        <f ca="1">[2]Examen11!I$2</f>
        <v>Casado Gómez, María</v>
      </c>
      <c r="J2" s="66"/>
      <c r="K2" s="66" t="str">
        <f ca="1">[2]Examen11!K$2</f>
        <v>Concepción García, Elena</v>
      </c>
      <c r="L2" s="66"/>
      <c r="M2" s="66" t="str">
        <f ca="1">[2]Examen11!M$2</f>
        <v>Díaz Lucas, Ricardo</v>
      </c>
      <c r="N2" s="66"/>
      <c r="O2" s="66" t="str">
        <f ca="1">[2]Examen11!O$2</f>
        <v>Díaz Ríos, Lucía</v>
      </c>
      <c r="P2" s="66"/>
      <c r="Q2" s="66" t="str">
        <f ca="1">[2]Examen11!Q$2</f>
        <v>García López, Juan Ángel</v>
      </c>
      <c r="R2" s="66"/>
      <c r="S2" s="66" t="str">
        <f ca="1">[2]Examen11!S$2</f>
        <v>García Pérez, Luis</v>
      </c>
      <c r="T2" s="66"/>
      <c r="U2" s="66" t="str">
        <f ca="1">[2]Examen11!U$2</f>
        <v>Garijo Piqueras, María</v>
      </c>
      <c r="V2" s="66"/>
      <c r="W2" s="66" t="str">
        <f ca="1">[2]Examen11!W$2</f>
        <v>Gómez Luna, José</v>
      </c>
      <c r="X2" s="66"/>
      <c r="Y2" s="66" t="str">
        <f ca="1">[2]Examen11!Y$2</f>
        <v>González García, Juan</v>
      </c>
      <c r="Z2" s="66"/>
      <c r="AA2" s="66" t="str">
        <f ca="1">[2]Examen11!AA$2</f>
        <v>González Pérez, María</v>
      </c>
      <c r="AB2" s="66"/>
      <c r="AC2" s="66" t="str">
        <f ca="1">[2]Examen11!AC$2</f>
        <v>Laín Hernández, Luisa</v>
      </c>
      <c r="AD2" s="66"/>
      <c r="AE2" s="66" t="str">
        <f ca="1">[2]Examen11!AE$2</f>
        <v>Lirios Lara, Juan</v>
      </c>
      <c r="AF2" s="66"/>
      <c r="AG2" s="66" t="str">
        <f ca="1">[2]Examen11!AG$2</f>
        <v>López Picazo, Marta</v>
      </c>
      <c r="AH2" s="66"/>
      <c r="AI2" s="66" t="str">
        <f ca="1">[2]Examen11!AI$2</f>
        <v>Molina Pérez, Marina</v>
      </c>
      <c r="AJ2" s="66"/>
      <c r="AK2" s="66" t="str">
        <f ca="1">[2]Examen11!AK$2</f>
        <v>Molina Sánchez, Inmaculada</v>
      </c>
      <c r="AL2" s="66"/>
      <c r="AM2" s="66" t="str">
        <f ca="1">[2]Examen11!AM$2</f>
        <v>Montero Pacheco, Pablo</v>
      </c>
      <c r="AN2" s="66"/>
      <c r="AO2" s="66" t="str">
        <f ca="1">[2]Examen11!AO$2</f>
        <v>Mora García, Javier</v>
      </c>
      <c r="AP2" s="66"/>
      <c r="AQ2" s="66" t="str">
        <f ca="1">[2]Examen11!AQ$2</f>
        <v>Morcillo Pared, Luna</v>
      </c>
      <c r="AR2" s="66"/>
      <c r="AS2" s="66" t="str">
        <f ca="1">[2]Examen11!AS$2</f>
        <v>Moreno Hernández, Francisco</v>
      </c>
      <c r="AT2" s="66"/>
      <c r="AU2" s="66" t="str">
        <f ca="1">[2]Examen11!AU$2</f>
        <v>Muñoz Garijo, Pablo</v>
      </c>
      <c r="AV2" s="66"/>
      <c r="AW2" s="66" t="str">
        <f ca="1">[2]Examen11!AW$2</f>
        <v>Pérez Garrido, Francisco</v>
      </c>
      <c r="AX2" s="66"/>
      <c r="AY2" s="66" t="str">
        <f ca="1">[2]Examen11!AY$2</f>
        <v>Serna Serna, Susana</v>
      </c>
      <c r="AZ2" s="66"/>
      <c r="BA2" s="66" t="str">
        <f ca="1">[2]Examen11!BA$2</f>
        <v>Soriano Tornero, Manuel</v>
      </c>
      <c r="BB2" s="66"/>
      <c r="BC2" s="66" t="str">
        <f ca="1">[2]Examen11!BC$2</f>
        <v>Sultán Zar, Pedro</v>
      </c>
      <c r="BD2" s="66"/>
      <c r="BE2" s="66" t="str">
        <f ca="1">[2]Examen11!BE$2</f>
        <v>Tendero Grande, Marina</v>
      </c>
      <c r="BF2" s="66"/>
      <c r="BG2" s="66" t="str">
        <f ca="1">[2]Examen11!BG$2</f>
        <v>Valencia Bueno, Isabel</v>
      </c>
      <c r="BH2" s="66"/>
      <c r="BI2" s="66" t="str">
        <f ca="1">[2]Examen11!BI$2</f>
        <v>Zarza Parrilla, Manuel</v>
      </c>
      <c r="BJ2" s="66"/>
    </row>
    <row r="3" spans="1:62" ht="33" customHeight="1" x14ac:dyDescent="0.2">
      <c r="A3" s="29" t="str" cm="1">
        <f t="array" ref="A3">[2]!VERSION</f>
        <v>Versión 1.2</v>
      </c>
      <c r="B3" s="9" t="str">
        <f>IF((B4+B7+B16+B38)=1,"Ok","Error % Bloques")</f>
        <v>Ok</v>
      </c>
      <c r="C3" s="59">
        <f>SUM(C4,C7,C16,C38)</f>
        <v>5.2999999813735483</v>
      </c>
      <c r="D3" s="60"/>
      <c r="E3" s="59">
        <f t="shared" ref="E3" si="0">SUM(E4,E7,E16,E38)</f>
        <v>4.810000017285347</v>
      </c>
      <c r="F3" s="60"/>
      <c r="G3" s="59">
        <f t="shared" ref="G3" si="1">SUM(G4,G7,G16,G38)</f>
        <v>4.1750000417232513</v>
      </c>
      <c r="H3" s="60"/>
      <c r="I3" s="59">
        <f t="shared" ref="I3" si="2">SUM(I4,I7,I16,I38)</f>
        <v>4.7500000335276127</v>
      </c>
      <c r="J3" s="60"/>
      <c r="K3" s="59">
        <f t="shared" ref="K3" si="3">SUM(K4,K7,K16,K38)</f>
        <v>4.6200000405311581</v>
      </c>
      <c r="L3" s="60"/>
      <c r="M3" s="59">
        <f t="shared" ref="M3" si="4">SUM(M4,M7,M16,M38)</f>
        <v>4.0900000438094137</v>
      </c>
      <c r="N3" s="60"/>
      <c r="O3" s="59">
        <f t="shared" ref="O3" si="5">SUM(O4,O7,O16,O38)</f>
        <v>5.0700000159442427</v>
      </c>
      <c r="P3" s="60"/>
      <c r="Q3" s="59">
        <f t="shared" ref="Q3" si="6">SUM(Q4,Q7,Q16,Q38)</f>
        <v>4.2300000570714484</v>
      </c>
      <c r="R3" s="60"/>
      <c r="S3" s="59">
        <f t="shared" ref="S3" si="7">SUM(S4,S7,S16,S38)</f>
        <v>3.6300000153481964</v>
      </c>
      <c r="T3" s="60"/>
      <c r="U3" s="59">
        <f t="shared" ref="U3" si="8">SUM(U4,U7,U16,U38)</f>
        <v>4.5150000084191557</v>
      </c>
      <c r="V3" s="60"/>
      <c r="W3" s="59">
        <f t="shared" ref="W3" si="9">SUM(W4,W7,W16,W38)</f>
        <v>3.9050000011920933</v>
      </c>
      <c r="X3" s="60"/>
      <c r="Y3" s="59">
        <f t="shared" ref="Y3" si="10">SUM(Y4,Y7,Y16,Y38)</f>
        <v>4.9300000309944156</v>
      </c>
      <c r="Z3" s="60"/>
      <c r="AA3" s="59">
        <f t="shared" ref="AA3" si="11">SUM(AA4,AA7,AA16,AA38)</f>
        <v>4.8750000581145283</v>
      </c>
      <c r="AB3" s="60"/>
      <c r="AC3" s="59">
        <f t="shared" ref="AC3" si="12">SUM(AC4,AC7,AC16,AC38)</f>
        <v>4.0700000271201136</v>
      </c>
      <c r="AD3" s="60"/>
      <c r="AE3" s="59">
        <f t="shared" ref="AE3" si="13">SUM(AE4,AE7,AE16,AE38)</f>
        <v>4.8250000134110458</v>
      </c>
      <c r="AF3" s="60"/>
      <c r="AG3" s="59">
        <f t="shared" ref="AG3" si="14">SUM(AG4,AG7,AG16,AG38)</f>
        <v>4.2700000315904614</v>
      </c>
      <c r="AH3" s="60"/>
      <c r="AI3" s="59">
        <f t="shared" ref="AI3" si="15">SUM(AI4,AI7,AI16,AI38)</f>
        <v>3.8900000229477882</v>
      </c>
      <c r="AJ3" s="60"/>
      <c r="AK3" s="59">
        <f t="shared" ref="AK3" si="16">SUM(AK4,AK7,AK16,AK38)</f>
        <v>4.6150000363588335</v>
      </c>
      <c r="AL3" s="60"/>
      <c r="AM3" s="59">
        <f t="shared" ref="AM3" si="17">SUM(AM4,AM7,AM16,AM38)</f>
        <v>4.5200000524520876</v>
      </c>
      <c r="AN3" s="60"/>
      <c r="AO3" s="59">
        <f t="shared" ref="AO3" si="18">SUM(AO4,AO7,AO16,AO38)</f>
        <v>3.9800000339746475</v>
      </c>
      <c r="AP3" s="60"/>
      <c r="AQ3" s="59">
        <f t="shared" ref="AQ3" si="19">SUM(AQ4,AQ7,AQ16,AQ38)</f>
        <v>4.8500000596046444</v>
      </c>
      <c r="AR3" s="60"/>
      <c r="AS3" s="59">
        <f t="shared" ref="AS3" si="20">SUM(AS4,AS7,AS16,AS38)</f>
        <v>4.7450000420212746</v>
      </c>
      <c r="AT3" s="60"/>
      <c r="AU3" s="59">
        <f t="shared" ref="AU3" si="21">SUM(AU4,AU7,AU16,AU38)</f>
        <v>4.2300000399351116</v>
      </c>
      <c r="AV3" s="60"/>
      <c r="AW3" s="59">
        <f t="shared" ref="AW3" si="22">SUM(AW4,AW7,AW16,AW38)</f>
        <v>4.0000000245869165</v>
      </c>
      <c r="AX3" s="60"/>
      <c r="AY3" s="59">
        <f t="shared" ref="AY3" si="23">SUM(AY4,AY7,AY16,AY38)</f>
        <v>4.020000045001507</v>
      </c>
      <c r="AZ3" s="60"/>
      <c r="BA3" s="59">
        <f t="shared" ref="BA3" si="24">SUM(BA4,BA7,BA16,BA38)</f>
        <v>3.7950000278651714</v>
      </c>
      <c r="BB3" s="60"/>
      <c r="BC3" s="59">
        <f t="shared" ref="BC3" si="25">SUM(BC4,BC7,BC16,BC38)</f>
        <v>5.3800000533461567</v>
      </c>
      <c r="BD3" s="60"/>
      <c r="BE3" s="59">
        <f t="shared" ref="BE3" si="26">SUM(BE4,BE7,BE16,BE38)</f>
        <v>3.6699999969452621</v>
      </c>
      <c r="BF3" s="60"/>
      <c r="BG3" s="59">
        <f t="shared" ref="BG3" si="27">SUM(BG4,BG7,BG16,BG38)</f>
        <v>4.2700000196695331</v>
      </c>
      <c r="BH3" s="60"/>
      <c r="BI3" s="59">
        <f t="shared" ref="BI3" si="28">SUM(BI4,BI7,BI16,BI38)</f>
        <v>3.3400000289082525</v>
      </c>
      <c r="BJ3" s="60"/>
    </row>
    <row r="4" spans="1:62" ht="38" x14ac:dyDescent="0.2">
      <c r="A4" s="6" t="s">
        <v>2</v>
      </c>
      <c r="B4" s="7">
        <f>Estructura!C2</f>
        <v>0.1</v>
      </c>
      <c r="C4" s="58" t="str">
        <f>IF(SUM($B5:$B6)&lt;&gt;0,SUM(C5:C6)/SUM($B5:$B6)*$B4*10, "")</f>
        <v/>
      </c>
      <c r="D4" s="58"/>
      <c r="E4" s="58" t="str">
        <f>IF(SUM($B5:$B6)&lt;&gt;0,SUM(E5:E6)/SUM($B5:$B6)*$B4*10, "")</f>
        <v/>
      </c>
      <c r="F4" s="58"/>
      <c r="G4" s="58" t="str">
        <f>IF(SUM($B5:$B6)&lt;&gt;0,SUM(G5:G6)/SUM($B5:$B6)*$B4*10, "")</f>
        <v/>
      </c>
      <c r="H4" s="58"/>
      <c r="I4" s="58" t="str">
        <f>IF(SUM($B5:$B6)&lt;&gt;0,SUM(I5:I6)/SUM($B5:$B6)*$B4*10, "")</f>
        <v/>
      </c>
      <c r="J4" s="58"/>
      <c r="K4" s="58" t="str">
        <f>IF(SUM($B5:$B6)&lt;&gt;0,SUM(K5:K6)/SUM($B5:$B6)*$B4*10, "")</f>
        <v/>
      </c>
      <c r="L4" s="58"/>
      <c r="M4" s="58" t="str">
        <f>IF(SUM($B5:$B6)&lt;&gt;0,SUM(M5:M6)/SUM($B5:$B6)*$B4*10, "")</f>
        <v/>
      </c>
      <c r="N4" s="58"/>
      <c r="O4" s="58" t="str">
        <f>IF(SUM($B5:$B6)&lt;&gt;0,SUM(O5:O6)/SUM($B5:$B6)*$B4*10, "")</f>
        <v/>
      </c>
      <c r="P4" s="58"/>
      <c r="Q4" s="58" t="str">
        <f>IF(SUM($B5:$B6)&lt;&gt;0,SUM(Q5:Q6)/SUM($B5:$B6)*$B4*10, "")</f>
        <v/>
      </c>
      <c r="R4" s="58"/>
      <c r="S4" s="58" t="str">
        <f>IF(SUM($B5:$B6)&lt;&gt;0,SUM(S5:S6)/SUM($B5:$B6)*$B4*10, "")</f>
        <v/>
      </c>
      <c r="T4" s="58"/>
      <c r="U4" s="58" t="str">
        <f>IF(SUM($B5:$B6)&lt;&gt;0,SUM(U5:U6)/SUM($B5:$B6)*$B4*10, "")</f>
        <v/>
      </c>
      <c r="V4" s="58"/>
      <c r="W4" s="58" t="str">
        <f>IF(SUM($B5:$B6)&lt;&gt;0,SUM(W5:W6)/SUM($B5:$B6)*$B4*10, "")</f>
        <v/>
      </c>
      <c r="X4" s="58"/>
      <c r="Y4" s="58" t="str">
        <f>IF(SUM($B5:$B6)&lt;&gt;0,SUM(Y5:Y6)/SUM($B5:$B6)*$B4*10, "")</f>
        <v/>
      </c>
      <c r="Z4" s="58"/>
      <c r="AA4" s="58" t="str">
        <f>IF(SUM($B5:$B6)&lt;&gt;0,SUM(AA5:AA6)/SUM($B5:$B6)*$B4*10, "")</f>
        <v/>
      </c>
      <c r="AB4" s="58"/>
      <c r="AC4" s="58" t="str">
        <f>IF(SUM($B5:$B6)&lt;&gt;0,SUM(AC5:AC6)/SUM($B5:$B6)*$B4*10, "")</f>
        <v/>
      </c>
      <c r="AD4" s="58"/>
      <c r="AE4" s="58" t="str">
        <f>IF(SUM($B5:$B6)&lt;&gt;0,SUM(AE5:AE6)/SUM($B5:$B6)*$B4*10, "")</f>
        <v/>
      </c>
      <c r="AF4" s="58"/>
      <c r="AG4" s="58" t="str">
        <f>IF(SUM($B5:$B6)&lt;&gt;0,SUM(AG5:AG6)/SUM($B5:$B6)*$B4*10, "")</f>
        <v/>
      </c>
      <c r="AH4" s="58"/>
      <c r="AI4" s="58" t="str">
        <f>IF(SUM($B5:$B6)&lt;&gt;0,SUM(AI5:AI6)/SUM($B5:$B6)*$B4*10, "")</f>
        <v/>
      </c>
      <c r="AJ4" s="58"/>
      <c r="AK4" s="58" t="str">
        <f>IF(SUM($B5:$B6)&lt;&gt;0,SUM(AK5:AK6)/SUM($B5:$B6)*$B4*10, "")</f>
        <v/>
      </c>
      <c r="AL4" s="58"/>
      <c r="AM4" s="58" t="str">
        <f>IF(SUM($B5:$B6)&lt;&gt;0,SUM(AM5:AM6)/SUM($B5:$B6)*$B4*10, "")</f>
        <v/>
      </c>
      <c r="AN4" s="58"/>
      <c r="AO4" s="58" t="str">
        <f>IF(SUM($B5:$B6)&lt;&gt;0,SUM(AO5:AO6)/SUM($B5:$B6)*$B4*10, "")</f>
        <v/>
      </c>
      <c r="AP4" s="58"/>
      <c r="AQ4" s="58" t="str">
        <f>IF(SUM($B5:$B6)&lt;&gt;0,SUM(AQ5:AQ6)/SUM($B5:$B6)*$B4*10, "")</f>
        <v/>
      </c>
      <c r="AR4" s="58"/>
      <c r="AS4" s="58" t="str">
        <f>IF(SUM($B5:$B6)&lt;&gt;0,SUM(AS5:AS6)/SUM($B5:$B6)*$B4*10, "")</f>
        <v/>
      </c>
      <c r="AT4" s="58"/>
      <c r="AU4" s="58" t="str">
        <f>IF(SUM($B5:$B6)&lt;&gt;0,SUM(AU5:AU6)/SUM($B5:$B6)*$B4*10, "")</f>
        <v/>
      </c>
      <c r="AV4" s="58"/>
      <c r="AW4" s="58" t="str">
        <f>IF(SUM($B5:$B6)&lt;&gt;0,SUM(AW5:AW6)/SUM($B5:$B6)*$B4*10, "")</f>
        <v/>
      </c>
      <c r="AX4" s="58"/>
      <c r="AY4" s="58" t="str">
        <f>IF(SUM($B5:$B6)&lt;&gt;0,SUM(AY5:AY6)/SUM($B5:$B6)*$B4*10, "")</f>
        <v/>
      </c>
      <c r="AZ4" s="58"/>
      <c r="BA4" s="58" t="str">
        <f>IF(SUM($B5:$B6)&lt;&gt;0,SUM(BA5:BA6)/SUM($B5:$B6)*$B4*10, "")</f>
        <v/>
      </c>
      <c r="BB4" s="58"/>
      <c r="BC4" s="58" t="str">
        <f>IF(SUM($B5:$B6)&lt;&gt;0,SUM(BC5:BC6)/SUM($B5:$B6)*$B4*10, "")</f>
        <v/>
      </c>
      <c r="BD4" s="58"/>
      <c r="BE4" s="58" t="str">
        <f>IF(SUM($B5:$B6)&lt;&gt;0,SUM(BE5:BE6)/SUM($B5:$B6)*$B4*10, "")</f>
        <v/>
      </c>
      <c r="BF4" s="58"/>
      <c r="BG4" s="58" t="str">
        <f>IF(SUM($B5:$B6)&lt;&gt;0,SUM(BG5:BG6)/SUM($B5:$B6)*$B4*10, "")</f>
        <v/>
      </c>
      <c r="BH4" s="58"/>
      <c r="BI4" s="58" t="str">
        <f>IF(SUM($B5:$B6)&lt;&gt;0,SUM(BI5:BI6)/SUM($B5:$B6)*$B4*10, "")</f>
        <v/>
      </c>
      <c r="BJ4" s="58"/>
    </row>
    <row r="5" spans="1:62" ht="28" x14ac:dyDescent="0.2">
      <c r="A5" s="2" t="s">
        <v>8</v>
      </c>
      <c r="B5" s="13">
        <f>Segunda!B5</f>
        <v>0</v>
      </c>
      <c r="C5" s="31">
        <f>Segunda!C5</f>
        <v>0</v>
      </c>
      <c r="D5" s="32">
        <f>IF($B5,C5/$B5,-1)</f>
        <v>-1</v>
      </c>
      <c r="E5" s="31">
        <f>Segunda!E5</f>
        <v>0</v>
      </c>
      <c r="F5" s="32">
        <f>IF($B5,E5/$B5,-1)</f>
        <v>-1</v>
      </c>
      <c r="G5" s="31">
        <f>Segunda!G5</f>
        <v>0</v>
      </c>
      <c r="H5" s="32">
        <f>IF($B5,G5/$B5,-1)</f>
        <v>-1</v>
      </c>
      <c r="I5" s="31">
        <f>Segunda!I5</f>
        <v>0</v>
      </c>
      <c r="J5" s="32">
        <f>IF($B5,I5/$B5,-1)</f>
        <v>-1</v>
      </c>
      <c r="K5" s="31">
        <f>Segunda!K5</f>
        <v>0</v>
      </c>
      <c r="L5" s="32">
        <f>IF($B5,K5/$B5,-1)</f>
        <v>-1</v>
      </c>
      <c r="M5" s="31">
        <f>Segunda!M5</f>
        <v>0</v>
      </c>
      <c r="N5" s="32">
        <f>IF($B5,M5/$B5,-1)</f>
        <v>-1</v>
      </c>
      <c r="O5" s="31">
        <f>Segunda!O5</f>
        <v>0</v>
      </c>
      <c r="P5" s="32">
        <f>IF($B5,O5/$B5,-1)</f>
        <v>-1</v>
      </c>
      <c r="Q5" s="31">
        <f>Segunda!Q5</f>
        <v>0</v>
      </c>
      <c r="R5" s="32">
        <f>IF($B5,Q5/$B5,-1)</f>
        <v>-1</v>
      </c>
      <c r="S5" s="31">
        <f>Segunda!S5</f>
        <v>0</v>
      </c>
      <c r="T5" s="32">
        <f>IF($B5,S5/$B5,-1)</f>
        <v>-1</v>
      </c>
      <c r="U5" s="31">
        <f>Segunda!U5</f>
        <v>0</v>
      </c>
      <c r="V5" s="32">
        <f>IF($B5,U5/$B5,-1)</f>
        <v>-1</v>
      </c>
      <c r="W5" s="31">
        <f>Segunda!W5</f>
        <v>0</v>
      </c>
      <c r="X5" s="32">
        <f>IF($B5,W5/$B5,-1)</f>
        <v>-1</v>
      </c>
      <c r="Y5" s="31">
        <f>Segunda!Y5</f>
        <v>0</v>
      </c>
      <c r="Z5" s="32">
        <f>IF($B5,Y5/$B5,-1)</f>
        <v>-1</v>
      </c>
      <c r="AA5" s="31">
        <f>Segunda!AA5</f>
        <v>0</v>
      </c>
      <c r="AB5" s="32">
        <f>IF($B5,AA5/$B5,-1)</f>
        <v>-1</v>
      </c>
      <c r="AC5" s="31">
        <f>Segunda!AC5</f>
        <v>0</v>
      </c>
      <c r="AD5" s="32">
        <f>IF($B5,AC5/$B5,-1)</f>
        <v>-1</v>
      </c>
      <c r="AE5" s="31">
        <f>Segunda!AE5</f>
        <v>0</v>
      </c>
      <c r="AF5" s="32">
        <f>IF($B5,AE5/$B5,-1)</f>
        <v>-1</v>
      </c>
      <c r="AG5" s="31">
        <f>Segunda!AG5</f>
        <v>0</v>
      </c>
      <c r="AH5" s="32">
        <f>IF($B5,AG5/$B5,-1)</f>
        <v>-1</v>
      </c>
      <c r="AI5" s="31">
        <f>Segunda!AI5</f>
        <v>0</v>
      </c>
      <c r="AJ5" s="32">
        <f>IF($B5,AI5/$B5,-1)</f>
        <v>-1</v>
      </c>
      <c r="AK5" s="31">
        <f>Segunda!AK5</f>
        <v>0</v>
      </c>
      <c r="AL5" s="32">
        <f>IF($B5,AK5/$B5,-1)</f>
        <v>-1</v>
      </c>
      <c r="AM5" s="31">
        <f>Segunda!AM5</f>
        <v>0</v>
      </c>
      <c r="AN5" s="32">
        <f>IF($B5,AM5/$B5,-1)</f>
        <v>-1</v>
      </c>
      <c r="AO5" s="31">
        <f>Segunda!AO5</f>
        <v>0</v>
      </c>
      <c r="AP5" s="32">
        <f>IF($B5,AO5/$B5,-1)</f>
        <v>-1</v>
      </c>
      <c r="AQ5" s="31">
        <f>Segunda!AQ5</f>
        <v>0</v>
      </c>
      <c r="AR5" s="32">
        <f>IF($B5,AQ5/$B5,-1)</f>
        <v>-1</v>
      </c>
      <c r="AS5" s="31">
        <f>Segunda!AS5</f>
        <v>0</v>
      </c>
      <c r="AT5" s="32">
        <f>IF($B5,AS5/$B5,-1)</f>
        <v>-1</v>
      </c>
      <c r="AU5" s="31">
        <f>Segunda!AU5</f>
        <v>0</v>
      </c>
      <c r="AV5" s="32">
        <f>IF($B5,AU5/$B5,-1)</f>
        <v>-1</v>
      </c>
      <c r="AW5" s="31">
        <f>Segunda!AW5</f>
        <v>0</v>
      </c>
      <c r="AX5" s="32">
        <f>IF($B5,AW5/$B5,-1)</f>
        <v>-1</v>
      </c>
      <c r="AY5" s="31">
        <f>Segunda!AY5</f>
        <v>0</v>
      </c>
      <c r="AZ5" s="32">
        <f>IF($B5,AY5/$B5,-1)</f>
        <v>-1</v>
      </c>
      <c r="BA5" s="31">
        <f>Segunda!BA5</f>
        <v>0</v>
      </c>
      <c r="BB5" s="32">
        <f>IF($B5,BA5/$B5,-1)</f>
        <v>-1</v>
      </c>
      <c r="BC5" s="31">
        <f>Segunda!BC5</f>
        <v>0</v>
      </c>
      <c r="BD5" s="32">
        <f>IF($B5,BC5/$B5,-1)</f>
        <v>-1</v>
      </c>
      <c r="BE5" s="31">
        <f>Segunda!BE5</f>
        <v>0</v>
      </c>
      <c r="BF5" s="32">
        <f>IF($B5,BE5/$B5,-1)</f>
        <v>-1</v>
      </c>
      <c r="BG5" s="31">
        <f>Segunda!BG5</f>
        <v>0</v>
      </c>
      <c r="BH5" s="32">
        <f>IF($B5,BG5/$B5,-1)</f>
        <v>-1</v>
      </c>
      <c r="BI5" s="31">
        <f>Segunda!BI5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Segunda!B6</f>
        <v>0</v>
      </c>
      <c r="C6" s="31">
        <f>Segunda!C6</f>
        <v>0</v>
      </c>
      <c r="D6" s="32">
        <f>IF($B6,C6/$B6,-1)</f>
        <v>-1</v>
      </c>
      <c r="E6" s="31">
        <f>Segunda!E6</f>
        <v>0</v>
      </c>
      <c r="F6" s="32">
        <f>IF($B6,E6/$B6,-1)</f>
        <v>-1</v>
      </c>
      <c r="G6" s="31">
        <f>Segunda!G6</f>
        <v>0</v>
      </c>
      <c r="H6" s="32">
        <f>IF($B6,G6/$B6,-1)</f>
        <v>-1</v>
      </c>
      <c r="I6" s="31">
        <f>Segunda!I6</f>
        <v>0</v>
      </c>
      <c r="J6" s="32">
        <f>IF($B6,I6/$B6,-1)</f>
        <v>-1</v>
      </c>
      <c r="K6" s="31">
        <f>Segunda!K6</f>
        <v>0</v>
      </c>
      <c r="L6" s="32">
        <f>IF($B6,K6/$B6,-1)</f>
        <v>-1</v>
      </c>
      <c r="M6" s="31">
        <f>Segunda!M6</f>
        <v>0</v>
      </c>
      <c r="N6" s="32">
        <f>IF($B6,M6/$B6,-1)</f>
        <v>-1</v>
      </c>
      <c r="O6" s="31">
        <f>Segunda!O6</f>
        <v>0</v>
      </c>
      <c r="P6" s="32">
        <f>IF($B6,O6/$B6,-1)</f>
        <v>-1</v>
      </c>
      <c r="Q6" s="31">
        <f>Segunda!Q6</f>
        <v>0</v>
      </c>
      <c r="R6" s="32">
        <f>IF($B6,Q6/$B6,-1)</f>
        <v>-1</v>
      </c>
      <c r="S6" s="31">
        <f>Segunda!S6</f>
        <v>0</v>
      </c>
      <c r="T6" s="32">
        <f>IF($B6,S6/$B6,-1)</f>
        <v>-1</v>
      </c>
      <c r="U6" s="31">
        <f>Segunda!U6</f>
        <v>0</v>
      </c>
      <c r="V6" s="32">
        <f>IF($B6,U6/$B6,-1)</f>
        <v>-1</v>
      </c>
      <c r="W6" s="31">
        <f>Segunda!W6</f>
        <v>0</v>
      </c>
      <c r="X6" s="32">
        <f>IF($B6,W6/$B6,-1)</f>
        <v>-1</v>
      </c>
      <c r="Y6" s="31">
        <f>Segunda!Y6</f>
        <v>0</v>
      </c>
      <c r="Z6" s="32">
        <f>IF($B6,Y6/$B6,-1)</f>
        <v>-1</v>
      </c>
      <c r="AA6" s="31">
        <f>Segunda!AA6</f>
        <v>0</v>
      </c>
      <c r="AB6" s="32">
        <f>IF($B6,AA6/$B6,-1)</f>
        <v>-1</v>
      </c>
      <c r="AC6" s="31">
        <f>Segunda!AC6</f>
        <v>0</v>
      </c>
      <c r="AD6" s="32">
        <f>IF($B6,AC6/$B6,-1)</f>
        <v>-1</v>
      </c>
      <c r="AE6" s="31">
        <f>Segunda!AE6</f>
        <v>0</v>
      </c>
      <c r="AF6" s="32">
        <f>IF($B6,AE6/$B6,-1)</f>
        <v>-1</v>
      </c>
      <c r="AG6" s="31">
        <f>Segunda!AG6</f>
        <v>0</v>
      </c>
      <c r="AH6" s="32">
        <f>IF($B6,AG6/$B6,-1)</f>
        <v>-1</v>
      </c>
      <c r="AI6" s="31">
        <f>Segunda!AI6</f>
        <v>0</v>
      </c>
      <c r="AJ6" s="32">
        <f>IF($B6,AI6/$B6,-1)</f>
        <v>-1</v>
      </c>
      <c r="AK6" s="31">
        <f>Segunda!AK6</f>
        <v>0</v>
      </c>
      <c r="AL6" s="32">
        <f>IF($B6,AK6/$B6,-1)</f>
        <v>-1</v>
      </c>
      <c r="AM6" s="31">
        <f>Segunda!AM6</f>
        <v>0</v>
      </c>
      <c r="AN6" s="32">
        <f>IF($B6,AM6/$B6,-1)</f>
        <v>-1</v>
      </c>
      <c r="AO6" s="31">
        <f>Segunda!AO6</f>
        <v>0</v>
      </c>
      <c r="AP6" s="32">
        <f>IF($B6,AO6/$B6,-1)</f>
        <v>-1</v>
      </c>
      <c r="AQ6" s="31">
        <f>Segunda!AQ6</f>
        <v>0</v>
      </c>
      <c r="AR6" s="32">
        <f>IF($B6,AQ6/$B6,-1)</f>
        <v>-1</v>
      </c>
      <c r="AS6" s="31">
        <f>Segunda!AS6</f>
        <v>0</v>
      </c>
      <c r="AT6" s="32">
        <f>IF($B6,AS6/$B6,-1)</f>
        <v>-1</v>
      </c>
      <c r="AU6" s="31">
        <f>Segunda!AU6</f>
        <v>0</v>
      </c>
      <c r="AV6" s="32">
        <f>IF($B6,AU6/$B6,-1)</f>
        <v>-1</v>
      </c>
      <c r="AW6" s="31">
        <f>Segunda!AW6</f>
        <v>0</v>
      </c>
      <c r="AX6" s="32">
        <f>IF($B6,AW6/$B6,-1)</f>
        <v>-1</v>
      </c>
      <c r="AY6" s="31">
        <f>Segunda!AY6</f>
        <v>0</v>
      </c>
      <c r="AZ6" s="32">
        <f>IF($B6,AY6/$B6,-1)</f>
        <v>-1</v>
      </c>
      <c r="BA6" s="31">
        <f>Segunda!BA6</f>
        <v>0</v>
      </c>
      <c r="BB6" s="32">
        <f>IF($B6,BA6/$B6,-1)</f>
        <v>-1</v>
      </c>
      <c r="BC6" s="31">
        <f>Segunda!BC6</f>
        <v>0</v>
      </c>
      <c r="BD6" s="32">
        <f>IF($B6,BC6/$B6,-1)</f>
        <v>-1</v>
      </c>
      <c r="BE6" s="31">
        <f>Segunda!BE6</f>
        <v>0</v>
      </c>
      <c r="BF6" s="32">
        <f>IF($B6,BE6/$B6,-1)</f>
        <v>-1</v>
      </c>
      <c r="BG6" s="31">
        <f>Segunda!BG6</f>
        <v>0</v>
      </c>
      <c r="BH6" s="32">
        <f>IF($B6,BG6/$B6,-1)</f>
        <v>-1</v>
      </c>
      <c r="BI6" s="31">
        <f>Segunda!BI6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Estructura!C3</f>
        <v>0.2</v>
      </c>
      <c r="C7" s="58">
        <f>IF(SUM($B8:$B15)&lt;&gt;0,SUM(C8:C15)/SUM($B8:$B15)*$B7*10, "")</f>
        <v>0.99999998807907109</v>
      </c>
      <c r="D7" s="58"/>
      <c r="E7" s="58">
        <f>IF(SUM($B8:$B15)&lt;&gt;0,SUM(E8:E15)/SUM($B8:$B15)*$B7*10, "")</f>
        <v>0.95999999344348907</v>
      </c>
      <c r="F7" s="58"/>
      <c r="G7" s="58">
        <f>IF(SUM($B8:$B15)&lt;&gt;0,SUM(G8:G15)/SUM($B8:$B15)*$B7*10, "")</f>
        <v>1.0000000238418578</v>
      </c>
      <c r="H7" s="58"/>
      <c r="I7" s="58">
        <f>IF(SUM($B8:$B15)&lt;&gt;0,SUM(I8:I15)/SUM($B8:$B15)*$B7*10, "")</f>
        <v>0.84000001251697543</v>
      </c>
      <c r="J7" s="58"/>
      <c r="K7" s="58">
        <f>IF(SUM($B8:$B15)&lt;&gt;0,SUM(K8:K15)/SUM($B8:$B15)*$B7*10, "")</f>
        <v>0.8400000154972076</v>
      </c>
      <c r="L7" s="58"/>
      <c r="M7" s="58">
        <f>IF(SUM($B8:$B15)&lt;&gt;0,SUM(M8:M15)/SUM($B8:$B15)*$B7*10, "")</f>
        <v>0.68000000715255737</v>
      </c>
      <c r="N7" s="58"/>
      <c r="O7" s="58">
        <f>IF(SUM($B8:$B15)&lt;&gt;0,SUM(O8:O15)/SUM($B8:$B15)*$B7*10, "")</f>
        <v>0.71999999284744265</v>
      </c>
      <c r="P7" s="58"/>
      <c r="Q7" s="58">
        <f>IF(SUM($B8:$B15)&lt;&gt;0,SUM(Q8:Q15)/SUM($B8:$B15)*$B7*10, "")</f>
        <v>1.5600000143051149</v>
      </c>
      <c r="R7" s="58"/>
      <c r="S7" s="58">
        <f>IF(SUM($B8:$B15)&lt;&gt;0,SUM(S8:S15)/SUM($B8:$B15)*$B7*10, "")</f>
        <v>0.7599999964237214</v>
      </c>
      <c r="T7" s="58"/>
      <c r="U7" s="58">
        <f>IF(SUM($B8:$B15)&lt;&gt;0,SUM(U8:U15)/SUM($B8:$B15)*$B7*10, "")</f>
        <v>0.83999999761581434</v>
      </c>
      <c r="V7" s="58"/>
      <c r="W7" s="58">
        <f>IF(SUM($B8:$B15)&lt;&gt;0,SUM(W8:W15)/SUM($B8:$B15)*$B7*10, "")</f>
        <v>0.6399999946355821</v>
      </c>
      <c r="X7" s="58"/>
      <c r="Y7" s="58">
        <f>IF(SUM($B8:$B15)&lt;&gt;0,SUM(Y8:Y15)/SUM($B8:$B15)*$B7*10, "")</f>
        <v>1.119999998807907</v>
      </c>
      <c r="Z7" s="58"/>
      <c r="AA7" s="58">
        <f>IF(SUM($B8:$B15)&lt;&gt;0,SUM(AA8:AA15)/SUM($B8:$B15)*$B7*10, "")</f>
        <v>1.159999993443489</v>
      </c>
      <c r="AB7" s="58"/>
      <c r="AC7" s="58">
        <f>IF(SUM($B8:$B15)&lt;&gt;0,SUM(AC8:AC15)/SUM($B8:$B15)*$B7*10, "")</f>
        <v>0.80000001192092896</v>
      </c>
      <c r="AD7" s="58"/>
      <c r="AE7" s="58">
        <f>IF(SUM($B8:$B15)&lt;&gt;0,SUM(AE8:AE15)/SUM($B8:$B15)*$B7*10, "")</f>
        <v>0.64000001847744004</v>
      </c>
      <c r="AF7" s="58"/>
      <c r="AG7" s="58">
        <f>IF(SUM($B8:$B15)&lt;&gt;0,SUM(AG8:AG15)/SUM($B8:$B15)*$B7*10, "")</f>
        <v>1.3600000053644181</v>
      </c>
      <c r="AH7" s="58"/>
      <c r="AI7" s="58">
        <f>IF(SUM($B8:$B15)&lt;&gt;0,SUM(AI8:AI15)/SUM($B8:$B15)*$B7*10, "")</f>
        <v>1.2400000005960465</v>
      </c>
      <c r="AJ7" s="58"/>
      <c r="AK7" s="58">
        <f>IF(SUM($B8:$B15)&lt;&gt;0,SUM(AK8:AK15)/SUM($B8:$B15)*$B7*10, "")</f>
        <v>0.80000001490116124</v>
      </c>
      <c r="AL7" s="58"/>
      <c r="AM7" s="58">
        <f>IF(SUM($B8:$B15)&lt;&gt;0,SUM(AM8:AM15)/SUM($B8:$B15)*$B7*10, "")</f>
        <v>1.0800000071525573</v>
      </c>
      <c r="AN7" s="58"/>
      <c r="AO7" s="58">
        <f>IF(SUM($B8:$B15)&lt;&gt;0,SUM(AO8:AO15)/SUM($B8:$B15)*$B7*10, "")</f>
        <v>0.80000000298023233</v>
      </c>
      <c r="AP7" s="58"/>
      <c r="AQ7" s="58">
        <f>IF(SUM($B8:$B15)&lt;&gt;0,SUM(AQ8:AQ15)/SUM($B8:$B15)*$B7*10, "")</f>
        <v>0.92000001668930065</v>
      </c>
      <c r="AR7" s="58"/>
      <c r="AS7" s="58">
        <f>IF(SUM($B8:$B15)&lt;&gt;0,SUM(AS8:AS15)/SUM($B8:$B15)*$B7*10, "")</f>
        <v>1.1200000047683716</v>
      </c>
      <c r="AT7" s="58"/>
      <c r="AU7" s="58">
        <f>IF(SUM($B8:$B15)&lt;&gt;0,SUM(AU8:AU15)/SUM($B8:$B15)*$B7*10, "")</f>
        <v>0.76000000536441803</v>
      </c>
      <c r="AV7" s="58"/>
      <c r="AW7" s="58">
        <f>IF(SUM($B8:$B15)&lt;&gt;0,SUM(AW8:AW15)/SUM($B8:$B15)*$B7*10, "")</f>
        <v>1.4000000059604645</v>
      </c>
      <c r="AX7" s="58"/>
      <c r="AY7" s="58">
        <f>IF(SUM($B8:$B15)&lt;&gt;0,SUM(AY8:AY15)/SUM($B8:$B15)*$B7*10, "")</f>
        <v>0.92000000476837163</v>
      </c>
      <c r="AZ7" s="58"/>
      <c r="BA7" s="58">
        <f>IF(SUM($B8:$B15)&lt;&gt;0,SUM(BA8:BA15)/SUM($B8:$B15)*$B7*10, "")</f>
        <v>0.84000001251697543</v>
      </c>
      <c r="BB7" s="58"/>
      <c r="BC7" s="58">
        <f>IF(SUM($B8:$B15)&lt;&gt;0,SUM(BC8:BC15)/SUM($B8:$B15)*$B7*10, "")</f>
        <v>1.240000033378601</v>
      </c>
      <c r="BD7" s="58"/>
      <c r="BE7" s="58">
        <f>IF(SUM($B8:$B15)&lt;&gt;0,SUM(BE8:BE15)/SUM($B8:$B15)*$B7*10, "")</f>
        <v>0.87999998927116407</v>
      </c>
      <c r="BF7" s="58"/>
      <c r="BG7" s="58">
        <f>IF(SUM($B8:$B15)&lt;&gt;0,SUM(BG8:BG15)/SUM($B8:$B15)*$B7*10, "")</f>
        <v>0.79999999701976787</v>
      </c>
      <c r="BH7" s="58"/>
      <c r="BI7" s="58">
        <f>IF(SUM($B8:$B15)&lt;&gt;0,SUM(BI8:BI15)/SUM($B8:$B15)*$B7*10, "")</f>
        <v>0.72000000178813939</v>
      </c>
      <c r="BJ7" s="58"/>
    </row>
    <row r="8" spans="1:62" ht="42" x14ac:dyDescent="0.2">
      <c r="A8" s="2" t="s">
        <v>10</v>
      </c>
      <c r="B8" s="13">
        <f>Segunda!B8</f>
        <v>2</v>
      </c>
      <c r="C8" s="33">
        <f>Segunda!C8</f>
        <v>1.3999999761581421</v>
      </c>
      <c r="D8" s="32">
        <f t="shared" ref="D8:D15" si="29">IF($B8,C8/$B8,-1)</f>
        <v>0.69999998807907104</v>
      </c>
      <c r="E8" s="33">
        <f>Segunda!E8</f>
        <v>1</v>
      </c>
      <c r="F8" s="32">
        <f t="shared" ref="F8:F15" si="30">IF($B8,E8/$B8,-1)</f>
        <v>0.5</v>
      </c>
      <c r="G8" s="33">
        <f>Segunda!G8</f>
        <v>1.2000000476837158</v>
      </c>
      <c r="H8" s="32">
        <f t="shared" ref="H8:H15" si="31">IF($B8,G8/$B8,-1)</f>
        <v>0.60000002384185791</v>
      </c>
      <c r="I8" s="33">
        <f>Segunda!I8</f>
        <v>0.60000002384185791</v>
      </c>
      <c r="J8" s="32">
        <f t="shared" ref="J8:J15" si="32">IF($B8,I8/$B8,-1)</f>
        <v>0.30000001192092896</v>
      </c>
      <c r="K8" s="33">
        <f>Segunda!K8</f>
        <v>0.60000002384185791</v>
      </c>
      <c r="L8" s="32">
        <f t="shared" ref="L8:L15" si="33">IF($B8,K8/$B8,-1)</f>
        <v>0.30000001192092896</v>
      </c>
      <c r="M8" s="33">
        <f>Segunda!M8</f>
        <v>1.6000000238418579</v>
      </c>
      <c r="N8" s="32">
        <f t="shared" ref="N8:N15" si="34">IF($B8,M8/$B8,-1)</f>
        <v>0.80000001192092896</v>
      </c>
      <c r="O8" s="33">
        <f>Segunda!O8</f>
        <v>0</v>
      </c>
      <c r="P8" s="32">
        <f t="shared" ref="P8:P15" si="35">IF($B8,O8/$B8,-1)</f>
        <v>0</v>
      </c>
      <c r="Q8" s="33">
        <f>Segunda!Q8</f>
        <v>1.6000000238418579</v>
      </c>
      <c r="R8" s="32">
        <f t="shared" ref="R8:R15" si="36">IF($B8,Q8/$B8,-1)</f>
        <v>0.80000001192092896</v>
      </c>
      <c r="S8" s="33">
        <f>Segunda!S8</f>
        <v>1.6000000238418579</v>
      </c>
      <c r="T8" s="32">
        <f t="shared" ref="T8:T15" si="37">IF($B8,S8/$B8,-1)</f>
        <v>0.80000001192092896</v>
      </c>
      <c r="U8" s="33">
        <f>Segunda!U8</f>
        <v>1.3999999761581421</v>
      </c>
      <c r="V8" s="32">
        <f t="shared" ref="V8:V15" si="38">IF($B8,U8/$B8,-1)</f>
        <v>0.69999998807907104</v>
      </c>
      <c r="W8" s="33">
        <f>Segunda!W8</f>
        <v>0</v>
      </c>
      <c r="X8" s="32">
        <f t="shared" ref="X8:X15" si="39">IF($B8,W8/$B8,-1)</f>
        <v>0</v>
      </c>
      <c r="Y8" s="33">
        <f>Segunda!Y8</f>
        <v>0.80000001192092896</v>
      </c>
      <c r="Z8" s="32">
        <f t="shared" ref="Z8:Z15" si="40">IF($B8,Y8/$B8,-1)</f>
        <v>0.40000000596046448</v>
      </c>
      <c r="AA8" s="33">
        <f>Segunda!AA8</f>
        <v>1.7999999523162842</v>
      </c>
      <c r="AB8" s="32">
        <f t="shared" ref="AB8:AB15" si="41">IF($B8,AA8/$B8,-1)</f>
        <v>0.89999997615814209</v>
      </c>
      <c r="AC8" s="33">
        <f>Segunda!AC8</f>
        <v>1.6000000238418579</v>
      </c>
      <c r="AD8" s="32">
        <f t="shared" ref="AD8:AD15" si="42">IF($B8,AC8/$B8,-1)</f>
        <v>0.80000001192092896</v>
      </c>
      <c r="AE8" s="33">
        <f>Segunda!AE8</f>
        <v>0.80000001192092896</v>
      </c>
      <c r="AF8" s="32">
        <f t="shared" ref="AF8:AF15" si="43">IF($B8,AE8/$B8,-1)</f>
        <v>0.40000000596046448</v>
      </c>
      <c r="AG8" s="33">
        <f>Segunda!AG8</f>
        <v>2</v>
      </c>
      <c r="AH8" s="32">
        <f t="shared" ref="AH8:AH15" si="44">IF($B8,AG8/$B8,-1)</f>
        <v>1</v>
      </c>
      <c r="AI8" s="33">
        <f>Segunda!AI8</f>
        <v>1.7999999523162842</v>
      </c>
      <c r="AJ8" s="32">
        <f t="shared" ref="AJ8:AJ15" si="45">IF($B8,AI8/$B8,-1)</f>
        <v>0.89999997615814209</v>
      </c>
      <c r="AK8" s="33">
        <f>Segunda!AK8</f>
        <v>0</v>
      </c>
      <c r="AL8" s="32">
        <f t="shared" ref="AL8:AL15" si="46">IF($B8,AK8/$B8,-1)</f>
        <v>0</v>
      </c>
      <c r="AM8" s="33">
        <f>Segunda!AM8</f>
        <v>2</v>
      </c>
      <c r="AN8" s="32">
        <f t="shared" ref="AN8:AN15" si="47">IF($B8,AM8/$B8,-1)</f>
        <v>1</v>
      </c>
      <c r="AO8" s="33">
        <f>Segunda!AO8</f>
        <v>0.80000001192092896</v>
      </c>
      <c r="AP8" s="32">
        <f t="shared" ref="AP8:AP15" si="48">IF($B8,AO8/$B8,-1)</f>
        <v>0.40000000596046448</v>
      </c>
      <c r="AQ8" s="33">
        <f>Segunda!AQ8</f>
        <v>1</v>
      </c>
      <c r="AR8" s="32">
        <f t="shared" ref="AR8:AR15" si="49">IF($B8,AQ8/$B8,-1)</f>
        <v>0.5</v>
      </c>
      <c r="AS8" s="33">
        <f>Segunda!AS8</f>
        <v>1.6000000238418579</v>
      </c>
      <c r="AT8" s="32">
        <f t="shared" ref="AT8:AT15" si="50">IF($B8,AS8/$B8,-1)</f>
        <v>0.80000001192092896</v>
      </c>
      <c r="AU8" s="33">
        <f>Segunda!AU8</f>
        <v>0</v>
      </c>
      <c r="AV8" s="32">
        <f t="shared" ref="AV8:AV15" si="51">IF($B8,AU8/$B8,-1)</f>
        <v>0</v>
      </c>
      <c r="AW8" s="33">
        <f>Segunda!AW8</f>
        <v>1.2000000476837158</v>
      </c>
      <c r="AX8" s="32">
        <f t="shared" ref="AX8:AX15" si="52">IF($B8,AW8/$B8,-1)</f>
        <v>0.60000002384185791</v>
      </c>
      <c r="AY8" s="33">
        <f>Segunda!AY8</f>
        <v>1</v>
      </c>
      <c r="AZ8" s="32">
        <f t="shared" ref="AZ8:AZ15" si="53">IF($B8,AY8/$B8,-1)</f>
        <v>0.5</v>
      </c>
      <c r="BA8" s="33">
        <f>Segunda!BA8</f>
        <v>0.60000002384185791</v>
      </c>
      <c r="BB8" s="32">
        <f t="shared" ref="BB8:BB15" si="54">IF($B8,BA8/$B8,-1)</f>
        <v>0.30000001192092896</v>
      </c>
      <c r="BC8" s="33">
        <f>Segunda!BC8</f>
        <v>1.2000000476837158</v>
      </c>
      <c r="BD8" s="32">
        <f t="shared" ref="BD8:BD15" si="55">IF($B8,BC8/$B8,-1)</f>
        <v>0.60000002384185791</v>
      </c>
      <c r="BE8" s="33">
        <f>Segunda!BE8</f>
        <v>1.3999999761581421</v>
      </c>
      <c r="BF8" s="32">
        <f t="shared" ref="BF8:BF15" si="56">IF($B8,BE8/$B8,-1)</f>
        <v>0.69999998807907104</v>
      </c>
      <c r="BG8" s="33">
        <f>Segunda!BG8</f>
        <v>0.40000000596046448</v>
      </c>
      <c r="BH8" s="32">
        <f t="shared" ref="BH8:BH15" si="57">IF($B8,BG8/$B8,-1)</f>
        <v>0.20000000298023224</v>
      </c>
      <c r="BI8" s="33">
        <f>Segunda!BI8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Segunda!B9</f>
        <v>2</v>
      </c>
      <c r="C9" s="33">
        <f>Segunda!C9</f>
        <v>1.7999999523162842</v>
      </c>
      <c r="D9" s="32">
        <f t="shared" si="29"/>
        <v>0.89999997615814209</v>
      </c>
      <c r="E9" s="33">
        <f>Segunda!E9</f>
        <v>1.7999999523162842</v>
      </c>
      <c r="F9" s="32">
        <f t="shared" si="30"/>
        <v>0.89999997615814209</v>
      </c>
      <c r="G9" s="33">
        <f>Segunda!G9</f>
        <v>1.2000000476837158</v>
      </c>
      <c r="H9" s="32">
        <f t="shared" si="31"/>
        <v>0.60000002384185791</v>
      </c>
      <c r="I9" s="33">
        <f>Segunda!I9</f>
        <v>2</v>
      </c>
      <c r="J9" s="32">
        <f t="shared" si="32"/>
        <v>1</v>
      </c>
      <c r="K9" s="33">
        <f>Segunda!K9</f>
        <v>2</v>
      </c>
      <c r="L9" s="32">
        <f t="shared" si="33"/>
        <v>1</v>
      </c>
      <c r="M9" s="33">
        <f>Segunda!M9</f>
        <v>0.40000000596046448</v>
      </c>
      <c r="N9" s="32">
        <f t="shared" si="34"/>
        <v>0.20000000298023224</v>
      </c>
      <c r="O9" s="33">
        <f>Segunda!O9</f>
        <v>1.3999999761581421</v>
      </c>
      <c r="P9" s="32">
        <f t="shared" si="35"/>
        <v>0.69999998807907104</v>
      </c>
      <c r="Q9" s="33">
        <f>Segunda!Q9</f>
        <v>2</v>
      </c>
      <c r="R9" s="32">
        <f t="shared" si="36"/>
        <v>1</v>
      </c>
      <c r="S9" s="33">
        <f>Segunda!S9</f>
        <v>0.40000000596046448</v>
      </c>
      <c r="T9" s="32">
        <f t="shared" si="37"/>
        <v>0.20000000298023224</v>
      </c>
      <c r="U9" s="33">
        <f>Segunda!U9</f>
        <v>1</v>
      </c>
      <c r="V9" s="32">
        <f t="shared" si="38"/>
        <v>0.5</v>
      </c>
      <c r="W9" s="33">
        <f>Segunda!W9</f>
        <v>0.20000000298023224</v>
      </c>
      <c r="X9" s="32">
        <f t="shared" si="39"/>
        <v>0.10000000149011612</v>
      </c>
      <c r="Y9" s="33">
        <f>Segunda!Y9</f>
        <v>2</v>
      </c>
      <c r="Z9" s="32">
        <f t="shared" si="40"/>
        <v>1</v>
      </c>
      <c r="AA9" s="33">
        <f>Segunda!AA9</f>
        <v>1.3999999761581421</v>
      </c>
      <c r="AB9" s="32">
        <f t="shared" si="41"/>
        <v>0.69999998807907104</v>
      </c>
      <c r="AC9" s="33">
        <f>Segunda!AC9</f>
        <v>0</v>
      </c>
      <c r="AD9" s="32">
        <f t="shared" si="42"/>
        <v>0</v>
      </c>
      <c r="AE9" s="33">
        <f>Segunda!AE9</f>
        <v>1.2000000476837158</v>
      </c>
      <c r="AF9" s="32">
        <f t="shared" si="43"/>
        <v>0.60000002384185791</v>
      </c>
      <c r="AG9" s="33">
        <f>Segunda!AG9</f>
        <v>0.20000000298023224</v>
      </c>
      <c r="AH9" s="32">
        <f t="shared" si="44"/>
        <v>0.10000000149011612</v>
      </c>
      <c r="AI9" s="33">
        <f>Segunda!AI9</f>
        <v>0.20000000298023224</v>
      </c>
      <c r="AJ9" s="32">
        <f t="shared" si="45"/>
        <v>0.10000000149011612</v>
      </c>
      <c r="AK9" s="33">
        <f>Segunda!AK9</f>
        <v>1.6000000238418579</v>
      </c>
      <c r="AL9" s="32">
        <f t="shared" si="46"/>
        <v>0.80000001192092896</v>
      </c>
      <c r="AM9" s="33">
        <f>Segunda!AM9</f>
        <v>0.60000002384185791</v>
      </c>
      <c r="AN9" s="32">
        <f t="shared" si="47"/>
        <v>0.30000001192092896</v>
      </c>
      <c r="AO9" s="33">
        <f>Segunda!AO9</f>
        <v>0</v>
      </c>
      <c r="AP9" s="32">
        <f t="shared" si="48"/>
        <v>0</v>
      </c>
      <c r="AQ9" s="33">
        <f>Segunda!AQ9</f>
        <v>0.60000002384185791</v>
      </c>
      <c r="AR9" s="32">
        <f t="shared" si="49"/>
        <v>0.30000001192092896</v>
      </c>
      <c r="AS9" s="33">
        <f>Segunda!AS9</f>
        <v>0.80000001192092896</v>
      </c>
      <c r="AT9" s="32">
        <f t="shared" si="50"/>
        <v>0.40000000596046448</v>
      </c>
      <c r="AU9" s="33">
        <f>Segunda!AU9</f>
        <v>0.60000002384185791</v>
      </c>
      <c r="AV9" s="32">
        <f t="shared" si="51"/>
        <v>0.30000001192092896</v>
      </c>
      <c r="AW9" s="33">
        <f>Segunda!AW9</f>
        <v>2</v>
      </c>
      <c r="AX9" s="32">
        <f t="shared" si="52"/>
        <v>1</v>
      </c>
      <c r="AY9" s="33">
        <f>Segunda!AY9</f>
        <v>2</v>
      </c>
      <c r="AZ9" s="32">
        <f t="shared" si="53"/>
        <v>1</v>
      </c>
      <c r="BA9" s="33">
        <f>Segunda!BA9</f>
        <v>0.80000001192092896</v>
      </c>
      <c r="BB9" s="32">
        <f t="shared" si="54"/>
        <v>0.40000000596046448</v>
      </c>
      <c r="BC9" s="33">
        <f>Segunda!BC9</f>
        <v>0.60000002384185791</v>
      </c>
      <c r="BD9" s="32">
        <f t="shared" si="55"/>
        <v>0.30000001192092896</v>
      </c>
      <c r="BE9" s="33">
        <f>Segunda!BE9</f>
        <v>0.20000000298023224</v>
      </c>
      <c r="BF9" s="32">
        <f t="shared" si="56"/>
        <v>0.10000000149011612</v>
      </c>
      <c r="BG9" s="33">
        <f>Segunda!BG9</f>
        <v>0.20000000298023224</v>
      </c>
      <c r="BH9" s="32">
        <f t="shared" si="57"/>
        <v>0.10000000149011612</v>
      </c>
      <c r="BI9" s="33">
        <f>Segunda!BI9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Segunda!B10</f>
        <v>2</v>
      </c>
      <c r="C10" s="33">
        <f>Segunda!C10</f>
        <v>0.80000001192092896</v>
      </c>
      <c r="D10" s="32">
        <f t="shared" si="29"/>
        <v>0.40000000596046448</v>
      </c>
      <c r="E10" s="33">
        <f>Segunda!E10</f>
        <v>0.80000001192092896</v>
      </c>
      <c r="F10" s="32">
        <f t="shared" si="30"/>
        <v>0.40000000596046448</v>
      </c>
      <c r="G10" s="33">
        <f>Segunda!G10</f>
        <v>1.3999999761581421</v>
      </c>
      <c r="H10" s="32">
        <f t="shared" si="31"/>
        <v>0.69999998807907104</v>
      </c>
      <c r="I10" s="33">
        <f>Segunda!I10</f>
        <v>0.60000002384185791</v>
      </c>
      <c r="J10" s="32">
        <f t="shared" si="32"/>
        <v>0.30000001192092896</v>
      </c>
      <c r="K10" s="33">
        <f>Segunda!K10</f>
        <v>1.2000000476837158</v>
      </c>
      <c r="L10" s="32">
        <f t="shared" si="33"/>
        <v>0.60000002384185791</v>
      </c>
      <c r="M10" s="33">
        <f>Segunda!M10</f>
        <v>0.40000000596046448</v>
      </c>
      <c r="N10" s="32">
        <f t="shared" si="34"/>
        <v>0.20000000298023224</v>
      </c>
      <c r="O10" s="33">
        <f>Segunda!O10</f>
        <v>0.40000000596046448</v>
      </c>
      <c r="P10" s="32">
        <f t="shared" si="35"/>
        <v>0.20000000298023224</v>
      </c>
      <c r="Q10" s="33">
        <f>Segunda!Q10</f>
        <v>1.2000000476837158</v>
      </c>
      <c r="R10" s="32">
        <f t="shared" si="36"/>
        <v>0.60000002384185791</v>
      </c>
      <c r="S10" s="33">
        <f>Segunda!S10</f>
        <v>0</v>
      </c>
      <c r="T10" s="32">
        <f t="shared" si="37"/>
        <v>0</v>
      </c>
      <c r="U10" s="33">
        <f>Segunda!U10</f>
        <v>1</v>
      </c>
      <c r="V10" s="32">
        <f t="shared" si="38"/>
        <v>0.5</v>
      </c>
      <c r="W10" s="33">
        <f>Segunda!W10</f>
        <v>1.7999999523162842</v>
      </c>
      <c r="X10" s="32">
        <f t="shared" si="39"/>
        <v>0.89999997615814209</v>
      </c>
      <c r="Y10" s="33">
        <f>Segunda!Y10</f>
        <v>0.40000000596046448</v>
      </c>
      <c r="Z10" s="32">
        <f t="shared" si="40"/>
        <v>0.20000000298023224</v>
      </c>
      <c r="AA10" s="33">
        <f>Segunda!AA10</f>
        <v>1.6000000238418579</v>
      </c>
      <c r="AB10" s="32">
        <f t="shared" si="41"/>
        <v>0.80000001192092896</v>
      </c>
      <c r="AC10" s="33">
        <f>Segunda!AC10</f>
        <v>0.80000001192092896</v>
      </c>
      <c r="AD10" s="32">
        <f t="shared" si="42"/>
        <v>0.40000000596046448</v>
      </c>
      <c r="AE10" s="33">
        <f>Segunda!AE10</f>
        <v>0.60000002384185791</v>
      </c>
      <c r="AF10" s="32">
        <f t="shared" si="43"/>
        <v>0.30000001192092896</v>
      </c>
      <c r="AG10" s="33">
        <f>Segunda!AG10</f>
        <v>2</v>
      </c>
      <c r="AH10" s="32">
        <f t="shared" si="44"/>
        <v>1</v>
      </c>
      <c r="AI10" s="33">
        <f>Segunda!AI10</f>
        <v>1.2000000476837158</v>
      </c>
      <c r="AJ10" s="32">
        <f t="shared" si="45"/>
        <v>0.60000002384185791</v>
      </c>
      <c r="AK10" s="33">
        <f>Segunda!AK10</f>
        <v>1.2000000476837158</v>
      </c>
      <c r="AL10" s="32">
        <f t="shared" si="46"/>
        <v>0.60000002384185791</v>
      </c>
      <c r="AM10" s="33">
        <f>Segunda!AM10</f>
        <v>0.80000001192092896</v>
      </c>
      <c r="AN10" s="32">
        <f t="shared" si="47"/>
        <v>0.40000000596046448</v>
      </c>
      <c r="AO10" s="33">
        <f>Segunda!AO10</f>
        <v>0.20000000298023224</v>
      </c>
      <c r="AP10" s="32">
        <f t="shared" si="48"/>
        <v>0.10000000149011612</v>
      </c>
      <c r="AQ10" s="33">
        <f>Segunda!AQ10</f>
        <v>1.2000000476837158</v>
      </c>
      <c r="AR10" s="32">
        <f t="shared" si="49"/>
        <v>0.60000002384185791</v>
      </c>
      <c r="AS10" s="33">
        <f>Segunda!AS10</f>
        <v>1.3999999761581421</v>
      </c>
      <c r="AT10" s="32">
        <f t="shared" si="50"/>
        <v>0.69999998807907104</v>
      </c>
      <c r="AU10" s="33">
        <f>Segunda!AU10</f>
        <v>2</v>
      </c>
      <c r="AV10" s="32">
        <f t="shared" si="51"/>
        <v>1</v>
      </c>
      <c r="AW10" s="33">
        <f>Segunda!AW10</f>
        <v>1.7999999523162842</v>
      </c>
      <c r="AX10" s="32">
        <f t="shared" si="52"/>
        <v>0.89999997615814209</v>
      </c>
      <c r="AY10" s="33">
        <f>Segunda!AY10</f>
        <v>0</v>
      </c>
      <c r="AZ10" s="32">
        <f t="shared" si="53"/>
        <v>0</v>
      </c>
      <c r="BA10" s="33">
        <f>Segunda!BA10</f>
        <v>1</v>
      </c>
      <c r="BB10" s="32">
        <f t="shared" si="54"/>
        <v>0.5</v>
      </c>
      <c r="BC10" s="33">
        <f>Segunda!BC10</f>
        <v>2</v>
      </c>
      <c r="BD10" s="32">
        <f t="shared" si="55"/>
        <v>1</v>
      </c>
      <c r="BE10" s="33">
        <f>Segunda!BE10</f>
        <v>0.80000001192092896</v>
      </c>
      <c r="BF10" s="32">
        <f t="shared" si="56"/>
        <v>0.40000000596046448</v>
      </c>
      <c r="BG10" s="33">
        <f>Segunda!BG10</f>
        <v>1.3999999761581421</v>
      </c>
      <c r="BH10" s="32">
        <f t="shared" si="57"/>
        <v>0.69999998807907104</v>
      </c>
      <c r="BI10" s="33">
        <f>Segunda!BI10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Segunda!B11</f>
        <v>0</v>
      </c>
      <c r="C11" s="33">
        <f>Segunda!C11</f>
        <v>0</v>
      </c>
      <c r="D11" s="32">
        <f t="shared" si="29"/>
        <v>-1</v>
      </c>
      <c r="E11" s="33">
        <f>Segunda!E11</f>
        <v>0</v>
      </c>
      <c r="F11" s="32">
        <f t="shared" si="30"/>
        <v>-1</v>
      </c>
      <c r="G11" s="33">
        <f>Segunda!G11</f>
        <v>0</v>
      </c>
      <c r="H11" s="32">
        <f t="shared" si="31"/>
        <v>-1</v>
      </c>
      <c r="I11" s="33">
        <f>Segunda!I11</f>
        <v>0</v>
      </c>
      <c r="J11" s="32">
        <f t="shared" si="32"/>
        <v>-1</v>
      </c>
      <c r="K11" s="33">
        <f>Segunda!K11</f>
        <v>0</v>
      </c>
      <c r="L11" s="32">
        <f t="shared" si="33"/>
        <v>-1</v>
      </c>
      <c r="M11" s="33">
        <f>Segunda!M11</f>
        <v>0</v>
      </c>
      <c r="N11" s="32">
        <f t="shared" si="34"/>
        <v>-1</v>
      </c>
      <c r="O11" s="33">
        <f>Segunda!O11</f>
        <v>0</v>
      </c>
      <c r="P11" s="32">
        <f t="shared" si="35"/>
        <v>-1</v>
      </c>
      <c r="Q11" s="33">
        <f>Segunda!Q11</f>
        <v>0</v>
      </c>
      <c r="R11" s="32">
        <f t="shared" si="36"/>
        <v>-1</v>
      </c>
      <c r="S11" s="33">
        <f>Segunda!S11</f>
        <v>0</v>
      </c>
      <c r="T11" s="32">
        <f t="shared" si="37"/>
        <v>-1</v>
      </c>
      <c r="U11" s="33">
        <f>Segunda!U11</f>
        <v>0</v>
      </c>
      <c r="V11" s="32">
        <f t="shared" si="38"/>
        <v>-1</v>
      </c>
      <c r="W11" s="33">
        <f>Segunda!W11</f>
        <v>0</v>
      </c>
      <c r="X11" s="32">
        <f t="shared" si="39"/>
        <v>-1</v>
      </c>
      <c r="Y11" s="33">
        <f>Segunda!Y11</f>
        <v>0</v>
      </c>
      <c r="Z11" s="32">
        <f t="shared" si="40"/>
        <v>-1</v>
      </c>
      <c r="AA11" s="33">
        <f>Segunda!AA11</f>
        <v>0</v>
      </c>
      <c r="AB11" s="32">
        <f t="shared" si="41"/>
        <v>-1</v>
      </c>
      <c r="AC11" s="33">
        <f>Segunda!AC11</f>
        <v>0</v>
      </c>
      <c r="AD11" s="32">
        <f t="shared" si="42"/>
        <v>-1</v>
      </c>
      <c r="AE11" s="33">
        <f>Segunda!AE11</f>
        <v>0</v>
      </c>
      <c r="AF11" s="32">
        <f t="shared" si="43"/>
        <v>-1</v>
      </c>
      <c r="AG11" s="33">
        <f>Segunda!AG11</f>
        <v>0</v>
      </c>
      <c r="AH11" s="32">
        <f t="shared" si="44"/>
        <v>-1</v>
      </c>
      <c r="AI11" s="33">
        <f>Segunda!AI11</f>
        <v>0</v>
      </c>
      <c r="AJ11" s="32">
        <f t="shared" si="45"/>
        <v>-1</v>
      </c>
      <c r="AK11" s="33">
        <f>Segunda!AK11</f>
        <v>0</v>
      </c>
      <c r="AL11" s="32">
        <f t="shared" si="46"/>
        <v>-1</v>
      </c>
      <c r="AM11" s="33">
        <f>Segunda!AM11</f>
        <v>0</v>
      </c>
      <c r="AN11" s="32">
        <f t="shared" si="47"/>
        <v>-1</v>
      </c>
      <c r="AO11" s="33">
        <f>Segunda!AO11</f>
        <v>0</v>
      </c>
      <c r="AP11" s="32">
        <f t="shared" si="48"/>
        <v>-1</v>
      </c>
      <c r="AQ11" s="33">
        <f>Segunda!AQ11</f>
        <v>0</v>
      </c>
      <c r="AR11" s="32">
        <f t="shared" si="49"/>
        <v>-1</v>
      </c>
      <c r="AS11" s="33">
        <f>Segunda!AS11</f>
        <v>0</v>
      </c>
      <c r="AT11" s="32">
        <f t="shared" si="50"/>
        <v>-1</v>
      </c>
      <c r="AU11" s="33">
        <f>Segunda!AU11</f>
        <v>0</v>
      </c>
      <c r="AV11" s="32">
        <f t="shared" si="51"/>
        <v>-1</v>
      </c>
      <c r="AW11" s="33">
        <f>Segunda!AW11</f>
        <v>0</v>
      </c>
      <c r="AX11" s="32">
        <f t="shared" si="52"/>
        <v>-1</v>
      </c>
      <c r="AY11" s="33">
        <f>Segunda!AY11</f>
        <v>0</v>
      </c>
      <c r="AZ11" s="32">
        <f t="shared" si="53"/>
        <v>-1</v>
      </c>
      <c r="BA11" s="33">
        <f>Segunda!BA11</f>
        <v>0</v>
      </c>
      <c r="BB11" s="32">
        <f t="shared" si="54"/>
        <v>-1</v>
      </c>
      <c r="BC11" s="33">
        <f>Segunda!BC11</f>
        <v>0</v>
      </c>
      <c r="BD11" s="32">
        <f t="shared" si="55"/>
        <v>-1</v>
      </c>
      <c r="BE11" s="33">
        <f>Segunda!BE11</f>
        <v>0</v>
      </c>
      <c r="BF11" s="32">
        <f t="shared" si="56"/>
        <v>-1</v>
      </c>
      <c r="BG11" s="33">
        <f>Segunda!BG11</f>
        <v>0</v>
      </c>
      <c r="BH11" s="32">
        <f t="shared" si="57"/>
        <v>-1</v>
      </c>
      <c r="BI11" s="33">
        <f>Segunda!BI11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Segunda!B12</f>
        <v>2</v>
      </c>
      <c r="C12" s="33">
        <f>Segunda!C12</f>
        <v>1</v>
      </c>
      <c r="D12" s="32">
        <f t="shared" si="29"/>
        <v>0.5</v>
      </c>
      <c r="E12" s="33">
        <f>Segunda!E12</f>
        <v>1</v>
      </c>
      <c r="F12" s="32">
        <f t="shared" si="30"/>
        <v>0.5</v>
      </c>
      <c r="G12" s="33">
        <f>Segunda!G12</f>
        <v>0.60000002384185791</v>
      </c>
      <c r="H12" s="32">
        <f t="shared" si="31"/>
        <v>0.30000001192092896</v>
      </c>
      <c r="I12" s="33">
        <f>Segunda!I12</f>
        <v>0.80000001192092896</v>
      </c>
      <c r="J12" s="32">
        <f t="shared" si="32"/>
        <v>0.40000000596046448</v>
      </c>
      <c r="K12" s="33">
        <f>Segunda!K12</f>
        <v>0.40000000596046448</v>
      </c>
      <c r="L12" s="32">
        <f t="shared" si="33"/>
        <v>0.20000000298023224</v>
      </c>
      <c r="M12" s="33">
        <f>Segunda!M12</f>
        <v>0</v>
      </c>
      <c r="N12" s="32">
        <f t="shared" si="34"/>
        <v>0</v>
      </c>
      <c r="O12" s="33">
        <f>Segunda!O12</f>
        <v>0.40000000596046448</v>
      </c>
      <c r="P12" s="32">
        <f t="shared" si="35"/>
        <v>0.20000000298023224</v>
      </c>
      <c r="Q12" s="33">
        <f>Segunda!Q12</f>
        <v>2</v>
      </c>
      <c r="R12" s="32">
        <f t="shared" si="36"/>
        <v>1</v>
      </c>
      <c r="S12" s="33">
        <f>Segunda!S12</f>
        <v>0</v>
      </c>
      <c r="T12" s="32">
        <f t="shared" si="37"/>
        <v>0</v>
      </c>
      <c r="U12" s="33">
        <f>Segunda!U12</f>
        <v>0.80000001192092896</v>
      </c>
      <c r="V12" s="32">
        <f t="shared" si="38"/>
        <v>0.40000000596046448</v>
      </c>
      <c r="W12" s="33">
        <f>Segunda!W12</f>
        <v>0.80000001192092896</v>
      </c>
      <c r="X12" s="32">
        <f t="shared" si="39"/>
        <v>0.40000000596046448</v>
      </c>
      <c r="Y12" s="33">
        <f>Segunda!Y12</f>
        <v>1</v>
      </c>
      <c r="Z12" s="32">
        <f t="shared" si="40"/>
        <v>0.5</v>
      </c>
      <c r="AA12" s="33">
        <f>Segunda!AA12</f>
        <v>0.20000000298023224</v>
      </c>
      <c r="AB12" s="32">
        <f t="shared" si="41"/>
        <v>0.10000000149011612</v>
      </c>
      <c r="AC12" s="33">
        <f>Segunda!AC12</f>
        <v>1</v>
      </c>
      <c r="AD12" s="32">
        <f t="shared" si="42"/>
        <v>0.5</v>
      </c>
      <c r="AE12" s="33">
        <f>Segunda!AE12</f>
        <v>0.40000000596046448</v>
      </c>
      <c r="AF12" s="32">
        <f t="shared" si="43"/>
        <v>0.20000000298023224</v>
      </c>
      <c r="AG12" s="33">
        <f>Segunda!AG12</f>
        <v>1.2000000476837158</v>
      </c>
      <c r="AH12" s="32">
        <f t="shared" si="44"/>
        <v>0.60000002384185791</v>
      </c>
      <c r="AI12" s="33">
        <f>Segunda!AI12</f>
        <v>1</v>
      </c>
      <c r="AJ12" s="32">
        <f t="shared" si="45"/>
        <v>0.5</v>
      </c>
      <c r="AK12" s="33">
        <f>Segunda!AK12</f>
        <v>0.20000000298023224</v>
      </c>
      <c r="AL12" s="32">
        <f t="shared" si="46"/>
        <v>0.10000000149011612</v>
      </c>
      <c r="AM12" s="33">
        <f>Segunda!AM12</f>
        <v>2</v>
      </c>
      <c r="AN12" s="32">
        <f t="shared" si="47"/>
        <v>1</v>
      </c>
      <c r="AO12" s="33">
        <f>Segunda!AO12</f>
        <v>1.3999999761581421</v>
      </c>
      <c r="AP12" s="32">
        <f t="shared" si="48"/>
        <v>0.69999998807907104</v>
      </c>
      <c r="AQ12" s="33">
        <f>Segunda!AQ12</f>
        <v>1</v>
      </c>
      <c r="AR12" s="32">
        <f t="shared" si="49"/>
        <v>0.5</v>
      </c>
      <c r="AS12" s="33">
        <f>Segunda!AS12</f>
        <v>0.80000001192092896</v>
      </c>
      <c r="AT12" s="32">
        <f t="shared" si="50"/>
        <v>0.40000000596046448</v>
      </c>
      <c r="AU12" s="33">
        <f>Segunda!AU12</f>
        <v>0.20000000298023224</v>
      </c>
      <c r="AV12" s="32">
        <f t="shared" si="51"/>
        <v>0.10000000149011612</v>
      </c>
      <c r="AW12" s="33">
        <f>Segunda!AW12</f>
        <v>1.6000000238418579</v>
      </c>
      <c r="AX12" s="32">
        <f t="shared" si="52"/>
        <v>0.80000001192092896</v>
      </c>
      <c r="AY12" s="33">
        <f>Segunda!AY12</f>
        <v>1</v>
      </c>
      <c r="AZ12" s="32">
        <f t="shared" si="53"/>
        <v>0.5</v>
      </c>
      <c r="BA12" s="33">
        <f>Segunda!BA12</f>
        <v>1.6000000238418579</v>
      </c>
      <c r="BB12" s="32">
        <f t="shared" si="54"/>
        <v>0.80000001192092896</v>
      </c>
      <c r="BC12" s="33">
        <f>Segunda!BC12</f>
        <v>1.2000000476837158</v>
      </c>
      <c r="BD12" s="32">
        <f t="shared" si="55"/>
        <v>0.60000002384185791</v>
      </c>
      <c r="BE12" s="33">
        <f>Segunda!BE12</f>
        <v>1.7999999523162842</v>
      </c>
      <c r="BF12" s="32">
        <f t="shared" si="56"/>
        <v>0.89999997615814209</v>
      </c>
      <c r="BG12" s="33">
        <f>Segunda!BG12</f>
        <v>0</v>
      </c>
      <c r="BH12" s="32">
        <f t="shared" si="57"/>
        <v>0</v>
      </c>
      <c r="BI12" s="33">
        <f>Segunda!BI12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Segunda!B13</f>
        <v>2</v>
      </c>
      <c r="C13" s="33">
        <f>Segunda!C13</f>
        <v>0</v>
      </c>
      <c r="D13" s="32">
        <f t="shared" si="29"/>
        <v>0</v>
      </c>
      <c r="E13" s="33">
        <f>Segunda!E13</f>
        <v>0.20000000298023224</v>
      </c>
      <c r="F13" s="32">
        <f t="shared" si="30"/>
        <v>0.10000000149011612</v>
      </c>
      <c r="G13" s="33">
        <f>Segunda!G13</f>
        <v>0.60000002384185791</v>
      </c>
      <c r="H13" s="32">
        <f t="shared" si="31"/>
        <v>0.30000001192092896</v>
      </c>
      <c r="I13" s="33">
        <f>Segunda!I13</f>
        <v>0.20000000298023224</v>
      </c>
      <c r="J13" s="32">
        <f t="shared" si="32"/>
        <v>0.10000000149011612</v>
      </c>
      <c r="K13" s="33">
        <f>Segunda!K13</f>
        <v>0</v>
      </c>
      <c r="L13" s="32">
        <f t="shared" si="33"/>
        <v>0</v>
      </c>
      <c r="M13" s="33">
        <f>Segunda!M13</f>
        <v>1</v>
      </c>
      <c r="N13" s="32">
        <f t="shared" si="34"/>
        <v>0.5</v>
      </c>
      <c r="O13" s="33">
        <f>Segunda!O13</f>
        <v>1.3999999761581421</v>
      </c>
      <c r="P13" s="32">
        <f t="shared" si="35"/>
        <v>0.69999998807907104</v>
      </c>
      <c r="Q13" s="33">
        <f>Segunda!Q13</f>
        <v>1</v>
      </c>
      <c r="R13" s="32">
        <f t="shared" si="36"/>
        <v>0.5</v>
      </c>
      <c r="S13" s="33">
        <f>Segunda!S13</f>
        <v>1.7999999523162842</v>
      </c>
      <c r="T13" s="32">
        <f t="shared" si="37"/>
        <v>0.89999997615814209</v>
      </c>
      <c r="U13" s="33">
        <f>Segunda!U13</f>
        <v>0</v>
      </c>
      <c r="V13" s="32">
        <f t="shared" si="38"/>
        <v>0</v>
      </c>
      <c r="W13" s="33">
        <f>Segunda!W13</f>
        <v>0.40000000596046448</v>
      </c>
      <c r="X13" s="32">
        <f t="shared" si="39"/>
        <v>0.20000000298023224</v>
      </c>
      <c r="Y13" s="33">
        <f>Segunda!Y13</f>
        <v>1.3999999761581421</v>
      </c>
      <c r="Z13" s="32">
        <f t="shared" si="40"/>
        <v>0.69999998807907104</v>
      </c>
      <c r="AA13" s="33">
        <f>Segunda!AA13</f>
        <v>0.80000001192092896</v>
      </c>
      <c r="AB13" s="32">
        <f t="shared" si="41"/>
        <v>0.40000000596046448</v>
      </c>
      <c r="AC13" s="33">
        <f>Segunda!AC13</f>
        <v>0.60000002384185791</v>
      </c>
      <c r="AD13" s="32">
        <f t="shared" si="42"/>
        <v>0.30000001192092896</v>
      </c>
      <c r="AE13" s="33">
        <f>Segunda!AE13</f>
        <v>0.20000000298023224</v>
      </c>
      <c r="AF13" s="32">
        <f t="shared" si="43"/>
        <v>0.10000000149011612</v>
      </c>
      <c r="AG13" s="33">
        <f>Segunda!AG13</f>
        <v>1.3999999761581421</v>
      </c>
      <c r="AH13" s="32">
        <f t="shared" si="44"/>
        <v>0.69999998807907104</v>
      </c>
      <c r="AI13" s="33">
        <f>Segunda!AI13</f>
        <v>2</v>
      </c>
      <c r="AJ13" s="32">
        <f t="shared" si="45"/>
        <v>1</v>
      </c>
      <c r="AK13" s="33">
        <f>Segunda!AK13</f>
        <v>1</v>
      </c>
      <c r="AL13" s="32">
        <f t="shared" si="46"/>
        <v>0.5</v>
      </c>
      <c r="AM13" s="33">
        <f>Segunda!AM13</f>
        <v>0</v>
      </c>
      <c r="AN13" s="32">
        <f t="shared" si="47"/>
        <v>0</v>
      </c>
      <c r="AO13" s="33">
        <f>Segunda!AO13</f>
        <v>1.6000000238418579</v>
      </c>
      <c r="AP13" s="32">
        <f t="shared" si="48"/>
        <v>0.80000001192092896</v>
      </c>
      <c r="AQ13" s="33">
        <f>Segunda!AQ13</f>
        <v>0.80000001192092896</v>
      </c>
      <c r="AR13" s="32">
        <f t="shared" si="49"/>
        <v>0.40000000596046448</v>
      </c>
      <c r="AS13" s="33">
        <f>Segunda!AS13</f>
        <v>1</v>
      </c>
      <c r="AT13" s="32">
        <f t="shared" si="50"/>
        <v>0.5</v>
      </c>
      <c r="AU13" s="33">
        <f>Segunda!AU13</f>
        <v>1</v>
      </c>
      <c r="AV13" s="32">
        <f t="shared" si="51"/>
        <v>0.5</v>
      </c>
      <c r="AW13" s="33">
        <f>Segunda!AW13</f>
        <v>0.40000000596046448</v>
      </c>
      <c r="AX13" s="32">
        <f t="shared" si="52"/>
        <v>0.20000000298023224</v>
      </c>
      <c r="AY13" s="33">
        <f>Segunda!AY13</f>
        <v>0.60000002384185791</v>
      </c>
      <c r="AZ13" s="32">
        <f t="shared" si="53"/>
        <v>0.30000001192092896</v>
      </c>
      <c r="BA13" s="33">
        <f>Segunda!BA13</f>
        <v>0.20000000298023224</v>
      </c>
      <c r="BB13" s="32">
        <f t="shared" si="54"/>
        <v>0.10000000149011612</v>
      </c>
      <c r="BC13" s="33">
        <f>Segunda!BC13</f>
        <v>1.2000000476837158</v>
      </c>
      <c r="BD13" s="32">
        <f t="shared" si="55"/>
        <v>0.60000002384185791</v>
      </c>
      <c r="BE13" s="33">
        <f>Segunda!BE13</f>
        <v>0.20000000298023224</v>
      </c>
      <c r="BF13" s="32">
        <f t="shared" si="56"/>
        <v>0.10000000149011612</v>
      </c>
      <c r="BG13" s="33">
        <f>Segunda!BG13</f>
        <v>2</v>
      </c>
      <c r="BH13" s="32">
        <f t="shared" si="57"/>
        <v>1</v>
      </c>
      <c r="BI13" s="33">
        <f>Segunda!BI13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Segunda!B14</f>
        <v>0</v>
      </c>
      <c r="C14" s="33">
        <f>Segunda!C14</f>
        <v>0</v>
      </c>
      <c r="D14" s="32">
        <f t="shared" si="29"/>
        <v>-1</v>
      </c>
      <c r="E14" s="33">
        <f>Segunda!E14</f>
        <v>0</v>
      </c>
      <c r="F14" s="32">
        <f t="shared" si="30"/>
        <v>-1</v>
      </c>
      <c r="G14" s="33">
        <f>Segunda!G14</f>
        <v>0</v>
      </c>
      <c r="H14" s="32">
        <f t="shared" si="31"/>
        <v>-1</v>
      </c>
      <c r="I14" s="33">
        <f>Segunda!I14</f>
        <v>0</v>
      </c>
      <c r="J14" s="32">
        <f t="shared" si="32"/>
        <v>-1</v>
      </c>
      <c r="K14" s="33">
        <f>Segunda!K14</f>
        <v>0</v>
      </c>
      <c r="L14" s="32">
        <f t="shared" si="33"/>
        <v>-1</v>
      </c>
      <c r="M14" s="33">
        <f>Segunda!M14</f>
        <v>0</v>
      </c>
      <c r="N14" s="32">
        <f t="shared" si="34"/>
        <v>-1</v>
      </c>
      <c r="O14" s="33">
        <f>Segunda!O14</f>
        <v>0</v>
      </c>
      <c r="P14" s="32">
        <f t="shared" si="35"/>
        <v>-1</v>
      </c>
      <c r="Q14" s="33">
        <f>Segunda!Q14</f>
        <v>0</v>
      </c>
      <c r="R14" s="32">
        <f t="shared" si="36"/>
        <v>-1</v>
      </c>
      <c r="S14" s="33">
        <f>Segunda!S14</f>
        <v>0</v>
      </c>
      <c r="T14" s="32">
        <f t="shared" si="37"/>
        <v>-1</v>
      </c>
      <c r="U14" s="33">
        <f>Segunda!U14</f>
        <v>0</v>
      </c>
      <c r="V14" s="32">
        <f t="shared" si="38"/>
        <v>-1</v>
      </c>
      <c r="W14" s="33">
        <f>Segunda!W14</f>
        <v>0</v>
      </c>
      <c r="X14" s="32">
        <f t="shared" si="39"/>
        <v>-1</v>
      </c>
      <c r="Y14" s="33">
        <f>Segunda!Y14</f>
        <v>0</v>
      </c>
      <c r="Z14" s="32">
        <f t="shared" si="40"/>
        <v>-1</v>
      </c>
      <c r="AA14" s="33">
        <f>Segunda!AA14</f>
        <v>0</v>
      </c>
      <c r="AB14" s="32">
        <f t="shared" si="41"/>
        <v>-1</v>
      </c>
      <c r="AC14" s="33">
        <f>Segunda!AC14</f>
        <v>0</v>
      </c>
      <c r="AD14" s="32">
        <f t="shared" si="42"/>
        <v>-1</v>
      </c>
      <c r="AE14" s="33">
        <f>Segunda!AE14</f>
        <v>0</v>
      </c>
      <c r="AF14" s="32">
        <f t="shared" si="43"/>
        <v>-1</v>
      </c>
      <c r="AG14" s="33">
        <f>Segunda!AG14</f>
        <v>0</v>
      </c>
      <c r="AH14" s="32">
        <f t="shared" si="44"/>
        <v>-1</v>
      </c>
      <c r="AI14" s="33">
        <f>Segunda!AI14</f>
        <v>0</v>
      </c>
      <c r="AJ14" s="32">
        <f t="shared" si="45"/>
        <v>-1</v>
      </c>
      <c r="AK14" s="33">
        <f>Segunda!AK14</f>
        <v>0</v>
      </c>
      <c r="AL14" s="32">
        <f t="shared" si="46"/>
        <v>-1</v>
      </c>
      <c r="AM14" s="33">
        <f>Segunda!AM14</f>
        <v>0</v>
      </c>
      <c r="AN14" s="32">
        <f t="shared" si="47"/>
        <v>-1</v>
      </c>
      <c r="AO14" s="33">
        <f>Segunda!AO14</f>
        <v>0</v>
      </c>
      <c r="AP14" s="32">
        <f t="shared" si="48"/>
        <v>-1</v>
      </c>
      <c r="AQ14" s="33">
        <f>Segunda!AQ14</f>
        <v>0</v>
      </c>
      <c r="AR14" s="32">
        <f t="shared" si="49"/>
        <v>-1</v>
      </c>
      <c r="AS14" s="33">
        <f>Segunda!AS14</f>
        <v>0</v>
      </c>
      <c r="AT14" s="32">
        <f t="shared" si="50"/>
        <v>-1</v>
      </c>
      <c r="AU14" s="33">
        <f>Segunda!AU14</f>
        <v>0</v>
      </c>
      <c r="AV14" s="32">
        <f t="shared" si="51"/>
        <v>-1</v>
      </c>
      <c r="AW14" s="33">
        <f>Segunda!AW14</f>
        <v>0</v>
      </c>
      <c r="AX14" s="32">
        <f t="shared" si="52"/>
        <v>-1</v>
      </c>
      <c r="AY14" s="33">
        <f>Segunda!AY14</f>
        <v>0</v>
      </c>
      <c r="AZ14" s="32">
        <f t="shared" si="53"/>
        <v>-1</v>
      </c>
      <c r="BA14" s="33">
        <f>Segunda!BA14</f>
        <v>0</v>
      </c>
      <c r="BB14" s="32">
        <f t="shared" si="54"/>
        <v>-1</v>
      </c>
      <c r="BC14" s="33">
        <f>Segunda!BC14</f>
        <v>0</v>
      </c>
      <c r="BD14" s="32">
        <f t="shared" si="55"/>
        <v>-1</v>
      </c>
      <c r="BE14" s="33">
        <f>Segunda!BE14</f>
        <v>0</v>
      </c>
      <c r="BF14" s="32">
        <f t="shared" si="56"/>
        <v>-1</v>
      </c>
      <c r="BG14" s="33">
        <f>Segunda!BG14</f>
        <v>0</v>
      </c>
      <c r="BH14" s="32">
        <f t="shared" si="57"/>
        <v>-1</v>
      </c>
      <c r="BI14" s="33">
        <f>Segunda!BI14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Segunda!B15</f>
        <v>0</v>
      </c>
      <c r="C15" s="33">
        <f>Segunda!C15</f>
        <v>0</v>
      </c>
      <c r="D15" s="32">
        <f t="shared" si="29"/>
        <v>-1</v>
      </c>
      <c r="E15" s="33">
        <f>Segunda!E15</f>
        <v>0</v>
      </c>
      <c r="F15" s="32">
        <f t="shared" si="30"/>
        <v>-1</v>
      </c>
      <c r="G15" s="33">
        <f>Segunda!G15</f>
        <v>0</v>
      </c>
      <c r="H15" s="32">
        <f t="shared" si="31"/>
        <v>-1</v>
      </c>
      <c r="I15" s="33">
        <f>Segunda!I15</f>
        <v>0</v>
      </c>
      <c r="J15" s="32">
        <f t="shared" si="32"/>
        <v>-1</v>
      </c>
      <c r="K15" s="33">
        <f>Segunda!K15</f>
        <v>0</v>
      </c>
      <c r="L15" s="32">
        <f t="shared" si="33"/>
        <v>-1</v>
      </c>
      <c r="M15" s="33">
        <f>Segunda!M15</f>
        <v>0</v>
      </c>
      <c r="N15" s="32">
        <f t="shared" si="34"/>
        <v>-1</v>
      </c>
      <c r="O15" s="33">
        <f>Segunda!O15</f>
        <v>0</v>
      </c>
      <c r="P15" s="32">
        <f t="shared" si="35"/>
        <v>-1</v>
      </c>
      <c r="Q15" s="33">
        <f>Segunda!Q15</f>
        <v>0</v>
      </c>
      <c r="R15" s="32">
        <f t="shared" si="36"/>
        <v>-1</v>
      </c>
      <c r="S15" s="33">
        <f>Segunda!S15</f>
        <v>0</v>
      </c>
      <c r="T15" s="32">
        <f t="shared" si="37"/>
        <v>-1</v>
      </c>
      <c r="U15" s="33">
        <f>Segunda!U15</f>
        <v>0</v>
      </c>
      <c r="V15" s="32">
        <f t="shared" si="38"/>
        <v>-1</v>
      </c>
      <c r="W15" s="33">
        <f>Segunda!W15</f>
        <v>0</v>
      </c>
      <c r="X15" s="32">
        <f t="shared" si="39"/>
        <v>-1</v>
      </c>
      <c r="Y15" s="33">
        <f>Segunda!Y15</f>
        <v>0</v>
      </c>
      <c r="Z15" s="32">
        <f t="shared" si="40"/>
        <v>-1</v>
      </c>
      <c r="AA15" s="33">
        <f>Segunda!AA15</f>
        <v>0</v>
      </c>
      <c r="AB15" s="32">
        <f t="shared" si="41"/>
        <v>-1</v>
      </c>
      <c r="AC15" s="33">
        <f>Segunda!AC15</f>
        <v>0</v>
      </c>
      <c r="AD15" s="32">
        <f t="shared" si="42"/>
        <v>-1</v>
      </c>
      <c r="AE15" s="33">
        <f>Segunda!AE15</f>
        <v>0</v>
      </c>
      <c r="AF15" s="32">
        <f t="shared" si="43"/>
        <v>-1</v>
      </c>
      <c r="AG15" s="33">
        <f>Segunda!AG15</f>
        <v>0</v>
      </c>
      <c r="AH15" s="32">
        <f t="shared" si="44"/>
        <v>-1</v>
      </c>
      <c r="AI15" s="33">
        <f>Segunda!AI15</f>
        <v>0</v>
      </c>
      <c r="AJ15" s="32">
        <f t="shared" si="45"/>
        <v>-1</v>
      </c>
      <c r="AK15" s="33">
        <f>Segunda!AK15</f>
        <v>0</v>
      </c>
      <c r="AL15" s="32">
        <f t="shared" si="46"/>
        <v>-1</v>
      </c>
      <c r="AM15" s="33">
        <f>Segunda!AM15</f>
        <v>0</v>
      </c>
      <c r="AN15" s="32">
        <f t="shared" si="47"/>
        <v>-1</v>
      </c>
      <c r="AO15" s="33">
        <f>Segunda!AO15</f>
        <v>0</v>
      </c>
      <c r="AP15" s="32">
        <f t="shared" si="48"/>
        <v>-1</v>
      </c>
      <c r="AQ15" s="33">
        <f>Segunda!AQ15</f>
        <v>0</v>
      </c>
      <c r="AR15" s="32">
        <f t="shared" si="49"/>
        <v>-1</v>
      </c>
      <c r="AS15" s="33">
        <f>Segunda!AS15</f>
        <v>0</v>
      </c>
      <c r="AT15" s="32">
        <f t="shared" si="50"/>
        <v>-1</v>
      </c>
      <c r="AU15" s="33">
        <f>Segunda!AU15</f>
        <v>0</v>
      </c>
      <c r="AV15" s="32">
        <f t="shared" si="51"/>
        <v>-1</v>
      </c>
      <c r="AW15" s="33">
        <f>Segunda!AW15</f>
        <v>0</v>
      </c>
      <c r="AX15" s="32">
        <f t="shared" si="52"/>
        <v>-1</v>
      </c>
      <c r="AY15" s="33">
        <f>Segunda!AY15</f>
        <v>0</v>
      </c>
      <c r="AZ15" s="32">
        <f t="shared" si="53"/>
        <v>-1</v>
      </c>
      <c r="BA15" s="33">
        <f>Segunda!BA15</f>
        <v>0</v>
      </c>
      <c r="BB15" s="32">
        <f t="shared" si="54"/>
        <v>-1</v>
      </c>
      <c r="BC15" s="33">
        <f>Segunda!BC15</f>
        <v>0</v>
      </c>
      <c r="BD15" s="32">
        <f t="shared" si="55"/>
        <v>-1</v>
      </c>
      <c r="BE15" s="33">
        <f>Segunda!BE15</f>
        <v>0</v>
      </c>
      <c r="BF15" s="32">
        <f t="shared" si="56"/>
        <v>-1</v>
      </c>
      <c r="BG15" s="33">
        <f>Segunda!BG15</f>
        <v>0</v>
      </c>
      <c r="BH15" s="32">
        <f t="shared" si="57"/>
        <v>-1</v>
      </c>
      <c r="BI15" s="33">
        <f>Segunda!BI15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Estructura!C4</f>
        <v>0.4</v>
      </c>
      <c r="C16" s="58">
        <f>IF(SUM($B17:$B37)&lt;&gt;0,SUM(C17:C37)/SUM($B17:$B37)*$B16*10, "")</f>
        <v>2.0799999982118607</v>
      </c>
      <c r="D16" s="58"/>
      <c r="E16" s="58">
        <f>IF(SUM($B17:$B37)&lt;&gt;0,SUM(E17:E37)/SUM($B17:$B37)*$B16*10, "")</f>
        <v>1.9900000095367432</v>
      </c>
      <c r="F16" s="58"/>
      <c r="G16" s="58">
        <f>IF(SUM($B17:$B37)&lt;&gt;0,SUM(G17:G37)/SUM($B17:$B37)*$B16*10, "")</f>
        <v>1.4800000071525574</v>
      </c>
      <c r="H16" s="58"/>
      <c r="I16" s="58">
        <f>IF(SUM($B17:$B37)&lt;&gt;0,SUM(I17:I37)/SUM($B17:$B37)*$B16*10, "")</f>
        <v>2.4100000075995922</v>
      </c>
      <c r="J16" s="58"/>
      <c r="K16" s="58">
        <f>IF(SUM($B17:$B37)&lt;&gt;0,SUM(K17:K37)/SUM($B17:$B37)*$B16*10, "")</f>
        <v>2.1</v>
      </c>
      <c r="L16" s="58"/>
      <c r="M16" s="58">
        <f>IF(SUM($B17:$B37)&lt;&gt;0,SUM(M17:M37)/SUM($B17:$B37)*$B16*10, "")</f>
        <v>2.2700000151991846</v>
      </c>
      <c r="N16" s="58"/>
      <c r="O16" s="58">
        <f>IF(SUM($B17:$B37)&lt;&gt;0,SUM(O17:O37)/SUM($B17:$B37)*$B16*10, "")</f>
        <v>2.8200000092387203</v>
      </c>
      <c r="P16" s="58"/>
      <c r="Q16" s="58">
        <f>IF(SUM($B17:$B37)&lt;&gt;0,SUM(Q17:Q37)/SUM($B17:$B37)*$B16*10, "")</f>
        <v>1.6500000230968002</v>
      </c>
      <c r="R16" s="58"/>
      <c r="S16" s="58">
        <f>IF(SUM($B17:$B37)&lt;&gt;0,SUM(S17:S37)/SUM($B17:$B37)*$B16*10, "")</f>
        <v>1.8799999907612803</v>
      </c>
      <c r="T16" s="58"/>
      <c r="U16" s="58">
        <f>IF(SUM($B17:$B37)&lt;&gt;0,SUM(U17:U37)/SUM($B17:$B37)*$B16*10, "")</f>
        <v>2.2799999922513963</v>
      </c>
      <c r="V16" s="58"/>
      <c r="W16" s="58">
        <f>IF(SUM($B17:$B37)&lt;&gt;0,SUM(W17:W37)/SUM($B17:$B37)*$B16*10, "")</f>
        <v>1.6000000208616258</v>
      </c>
      <c r="X16" s="58"/>
      <c r="Y16" s="58">
        <f>IF(SUM($B17:$B37)&lt;&gt;0,SUM(Y17:Y37)/SUM($B17:$B37)*$B16*10, "")</f>
        <v>2.3100000143051149</v>
      </c>
      <c r="Z16" s="58"/>
      <c r="AA16" s="58">
        <f>IF(SUM($B17:$B37)&lt;&gt;0,SUM(AA17:AA37)/SUM($B17:$B37)*$B16*10, "")</f>
        <v>1.8700000226497651</v>
      </c>
      <c r="AB16" s="58"/>
      <c r="AC16" s="58">
        <f>IF(SUM($B17:$B37)&lt;&gt;0,SUM(AC17:AC37)/SUM($B17:$B37)*$B16*10, "")</f>
        <v>1.7100000053644182</v>
      </c>
      <c r="AD16" s="58"/>
      <c r="AE16" s="58">
        <f>IF(SUM($B17:$B37)&lt;&gt;0,SUM(AE17:AE37)/SUM($B17:$B37)*$B16*10, "")</f>
        <v>2.2500000253319739</v>
      </c>
      <c r="AF16" s="58"/>
      <c r="AG16" s="58">
        <f>IF(SUM($B17:$B37)&lt;&gt;0,SUM(AG17:AG37)/SUM($B17:$B37)*$B16*10, "")</f>
        <v>1.6200000047683716</v>
      </c>
      <c r="AH16" s="58"/>
      <c r="AI16" s="58">
        <f>IF(SUM($B17:$B37)&lt;&gt;0,SUM(AI17:AI37)/SUM($B17:$B37)*$B16*10, "")</f>
        <v>1.7500000089406966</v>
      </c>
      <c r="AJ16" s="58"/>
      <c r="AK16" s="58">
        <f>IF(SUM($B17:$B37)&lt;&gt;0,SUM(AK17:AK37)/SUM($B17:$B37)*$B16*10, "")</f>
        <v>2.180000020563603</v>
      </c>
      <c r="AL16" s="58"/>
      <c r="AM16" s="58">
        <f>IF(SUM($B17:$B37)&lt;&gt;0,SUM(AM17:AM37)/SUM($B17:$B37)*$B16*10, "")</f>
        <v>1.7600000381469727</v>
      </c>
      <c r="AN16" s="58"/>
      <c r="AO16" s="58">
        <f>IF(SUM($B17:$B37)&lt;&gt;0,SUM(AO17:AO37)/SUM($B17:$B37)*$B16*10, "")</f>
        <v>1.860000015795231</v>
      </c>
      <c r="AP16" s="58"/>
      <c r="AQ16" s="58">
        <f>IF(SUM($B17:$B37)&lt;&gt;0,SUM(AQ17:AQ37)/SUM($B17:$B37)*$B16*10, "")</f>
        <v>2.4900000169873238</v>
      </c>
      <c r="AR16" s="58"/>
      <c r="AS16" s="58">
        <f>IF(SUM($B17:$B37)&lt;&gt;0,SUM(AS17:AS37)/SUM($B17:$B37)*$B16*10, "")</f>
        <v>2.2600000113248826</v>
      </c>
      <c r="AT16" s="58"/>
      <c r="AU16" s="58">
        <f>IF(SUM($B17:$B37)&lt;&gt;0,SUM(AU17:AU37)/SUM($B17:$B37)*$B16*10, "")</f>
        <v>1.7900000050663949</v>
      </c>
      <c r="AV16" s="58"/>
      <c r="AW16" s="58">
        <f>IF(SUM($B17:$B37)&lt;&gt;0,SUM(AW17:AW37)/SUM($B17:$B37)*$B16*10, "")</f>
        <v>1.5200000159442426</v>
      </c>
      <c r="AX16" s="58"/>
      <c r="AY16" s="58">
        <f>IF(SUM($B17:$B37)&lt;&gt;0,SUM(AY17:AY37)/SUM($B17:$B37)*$B16*10, "")</f>
        <v>2.0500000089406969</v>
      </c>
      <c r="AZ16" s="58"/>
      <c r="BA16" s="58">
        <f>IF(SUM($B17:$B37)&lt;&gt;0,SUM(BA17:BA37)/SUM($B17:$B37)*$B16*10, "")</f>
        <v>1.7700000166893006</v>
      </c>
      <c r="BB16" s="58"/>
      <c r="BC16" s="58">
        <f>IF(SUM($B17:$B37)&lt;&gt;0,SUM(BC17:BC37)/SUM($B17:$B37)*$B16*10, "")</f>
        <v>2.2800000190734862</v>
      </c>
      <c r="BD16" s="58"/>
      <c r="BE16" s="58">
        <f>IF(SUM($B17:$B37)&lt;&gt;0,SUM(BE17:BE37)/SUM($B17:$B37)*$B16*10, "")</f>
        <v>1.5899999886751175</v>
      </c>
      <c r="BF16" s="58"/>
      <c r="BG16" s="58">
        <f>IF(SUM($B17:$B37)&lt;&gt;0,SUM(BG17:BG37)/SUM($B17:$B37)*$B16*10, "")</f>
        <v>2.1800000011920928</v>
      </c>
      <c r="BH16" s="58"/>
      <c r="BI16" s="58">
        <f>IF(SUM($B17:$B37)&lt;&gt;0,SUM(BI17:BI37)/SUM($B17:$B37)*$B16*10, "")</f>
        <v>1.2400000132620335</v>
      </c>
      <c r="BJ16" s="58"/>
    </row>
    <row r="17" spans="1:62" ht="42" x14ac:dyDescent="0.2">
      <c r="A17" s="2" t="s">
        <v>18</v>
      </c>
      <c r="B17" s="13">
        <f>Segunda!B17</f>
        <v>1.5</v>
      </c>
      <c r="C17" s="33">
        <f>Segunda!C17</f>
        <v>0.60000000894069672</v>
      </c>
      <c r="D17" s="32">
        <f t="shared" ref="D17:D37" si="59">IF($B17,C17/$B17,-1)</f>
        <v>0.40000000596046448</v>
      </c>
      <c r="E17" s="33">
        <f>Segunda!E17</f>
        <v>0.45000001788139343</v>
      </c>
      <c r="F17" s="32">
        <f t="shared" ref="F17:F37" si="60">IF($B17,E17/$B17,-1)</f>
        <v>0.30000001192092896</v>
      </c>
      <c r="G17" s="33">
        <f>Segunda!G17</f>
        <v>1.3499999642372131</v>
      </c>
      <c r="H17" s="32">
        <f t="shared" ref="H17:H37" si="61">IF($B17,G17/$B17,-1)</f>
        <v>0.89999997615814209</v>
      </c>
      <c r="I17" s="33">
        <f>Segunda!I17</f>
        <v>1.2000000178813934</v>
      </c>
      <c r="J17" s="32">
        <f t="shared" ref="J17:J37" si="62">IF($B17,I17/$B17,-1)</f>
        <v>0.80000001192092896</v>
      </c>
      <c r="K17" s="33">
        <f>Segunda!K17</f>
        <v>0.45000001788139343</v>
      </c>
      <c r="L17" s="32">
        <f t="shared" ref="L17:L37" si="63">IF($B17,K17/$B17,-1)</f>
        <v>0.30000001192092896</v>
      </c>
      <c r="M17" s="33">
        <f>Segunda!M17</f>
        <v>1.0499999821186066</v>
      </c>
      <c r="N17" s="32">
        <f t="shared" ref="N17:N37" si="64">IF($B17,M17/$B17,-1)</f>
        <v>0.69999998807907104</v>
      </c>
      <c r="O17" s="33">
        <f>Segunda!O17</f>
        <v>0.30000000447034836</v>
      </c>
      <c r="P17" s="32">
        <f t="shared" ref="P17:P37" si="65">IF($B17,O17/$B17,-1)</f>
        <v>0.20000000298023224</v>
      </c>
      <c r="Q17" s="33">
        <f>Segunda!Q17</f>
        <v>0</v>
      </c>
      <c r="R17" s="32">
        <f t="shared" ref="R17:R37" si="66">IF($B17,Q17/$B17,-1)</f>
        <v>0</v>
      </c>
      <c r="S17" s="33">
        <f>Segunda!S17</f>
        <v>0</v>
      </c>
      <c r="T17" s="32">
        <f t="shared" ref="T17:T37" si="67">IF($B17,S17/$B17,-1)</f>
        <v>0</v>
      </c>
      <c r="U17" s="33">
        <f>Segunda!U17</f>
        <v>0.45000001788139343</v>
      </c>
      <c r="V17" s="32">
        <f t="shared" ref="V17:V37" si="68">IF($B17,U17/$B17,-1)</f>
        <v>0.30000001192092896</v>
      </c>
      <c r="W17" s="33">
        <f>Segunda!W17</f>
        <v>1.2000000178813934</v>
      </c>
      <c r="X17" s="32">
        <f t="shared" ref="X17:X37" si="69">IF($B17,W17/$B17,-1)</f>
        <v>0.80000001192092896</v>
      </c>
      <c r="Y17" s="33">
        <f>Segunda!Y17</f>
        <v>0.45000001788139343</v>
      </c>
      <c r="Z17" s="32">
        <f t="shared" ref="Z17:Z37" si="70">IF($B17,Y17/$B17,-1)</f>
        <v>0.30000001192092896</v>
      </c>
      <c r="AA17" s="33">
        <f>Segunda!AA17</f>
        <v>0.30000000447034836</v>
      </c>
      <c r="AB17" s="32">
        <f t="shared" ref="AB17:AB37" si="71">IF($B17,AA17/$B17,-1)</f>
        <v>0.20000000298023224</v>
      </c>
      <c r="AC17" s="33">
        <f>Segunda!AC17</f>
        <v>0.75</v>
      </c>
      <c r="AD17" s="32">
        <f t="shared" ref="AD17:AD37" si="72">IF($B17,AC17/$B17,-1)</f>
        <v>0.5</v>
      </c>
      <c r="AE17" s="33">
        <f>Segunda!AE17</f>
        <v>0.30000000447034836</v>
      </c>
      <c r="AF17" s="32">
        <f t="shared" ref="AF17:AF37" si="73">IF($B17,AE17/$B17,-1)</f>
        <v>0.20000000298023224</v>
      </c>
      <c r="AG17" s="33">
        <f>Segunda!AG17</f>
        <v>0.45000001788139343</v>
      </c>
      <c r="AH17" s="32">
        <f t="shared" ref="AH17:AH37" si="74">IF($B17,AG17/$B17,-1)</f>
        <v>0.30000001192092896</v>
      </c>
      <c r="AI17" s="33">
        <f>Segunda!AI17</f>
        <v>0</v>
      </c>
      <c r="AJ17" s="32">
        <f t="shared" ref="AJ17:AJ37" si="75">IF($B17,AI17/$B17,-1)</f>
        <v>0</v>
      </c>
      <c r="AK17" s="33">
        <f>Segunda!AK17</f>
        <v>0.75</v>
      </c>
      <c r="AL17" s="32">
        <f t="shared" ref="AL17:AL37" si="76">IF($B17,AK17/$B17,-1)</f>
        <v>0.5</v>
      </c>
      <c r="AM17" s="33">
        <f>Segunda!AM17</f>
        <v>0.30000000447034836</v>
      </c>
      <c r="AN17" s="32">
        <f t="shared" ref="AN17:AN37" si="77">IF($B17,AM17/$B17,-1)</f>
        <v>0.20000000298023224</v>
      </c>
      <c r="AO17" s="33">
        <f>Segunda!AO17</f>
        <v>1.3499999642372131</v>
      </c>
      <c r="AP17" s="32">
        <f t="shared" ref="AP17:AP37" si="78">IF($B17,AO17/$B17,-1)</f>
        <v>0.89999997615814209</v>
      </c>
      <c r="AQ17" s="33">
        <f>Segunda!AQ17</f>
        <v>0.90000003576278687</v>
      </c>
      <c r="AR17" s="32">
        <f t="shared" ref="AR17:AR37" si="79">IF($B17,AQ17/$B17,-1)</f>
        <v>0.60000002384185791</v>
      </c>
      <c r="AS17" s="33">
        <f>Segunda!AS17</f>
        <v>1.2000000178813934</v>
      </c>
      <c r="AT17" s="32">
        <f t="shared" ref="AT17:AT37" si="80">IF($B17,AS17/$B17,-1)</f>
        <v>0.80000001192092896</v>
      </c>
      <c r="AU17" s="33">
        <f>Segunda!AU17</f>
        <v>1.5</v>
      </c>
      <c r="AV17" s="32">
        <f t="shared" ref="AV17:AV37" si="81">IF($B17,AU17/$B17,-1)</f>
        <v>1</v>
      </c>
      <c r="AW17" s="33">
        <f>Segunda!AW17</f>
        <v>0.45000001788139343</v>
      </c>
      <c r="AX17" s="32">
        <f t="shared" ref="AX17:AX37" si="82">IF($B17,AW17/$B17,-1)</f>
        <v>0.30000001192092896</v>
      </c>
      <c r="AY17" s="33">
        <f>Segunda!AY17</f>
        <v>0.75</v>
      </c>
      <c r="AZ17" s="32">
        <f t="shared" ref="AZ17:AZ37" si="83">IF($B17,AY17/$B17,-1)</f>
        <v>0.5</v>
      </c>
      <c r="BA17" s="33">
        <f>Segunda!BA17</f>
        <v>0</v>
      </c>
      <c r="BB17" s="32">
        <f t="shared" ref="BB17:BB37" si="84">IF($B17,BA17/$B17,-1)</f>
        <v>0</v>
      </c>
      <c r="BC17" s="33">
        <f>Segunda!BC17</f>
        <v>0.90000003576278687</v>
      </c>
      <c r="BD17" s="32">
        <f t="shared" ref="BD17:BD37" si="85">IF($B17,BC17/$B17,-1)</f>
        <v>0.60000002384185791</v>
      </c>
      <c r="BE17" s="33">
        <f>Segunda!BE17</f>
        <v>0.60000000894069672</v>
      </c>
      <c r="BF17" s="32">
        <f t="shared" ref="BF17:BF37" si="86">IF($B17,BE17/$B17,-1)</f>
        <v>0.40000000596046448</v>
      </c>
      <c r="BG17" s="33">
        <f>Segunda!BG17</f>
        <v>1.5</v>
      </c>
      <c r="BH17" s="32">
        <f t="shared" ref="BH17:BH37" si="87">IF($B17,BG17/$B17,-1)</f>
        <v>1</v>
      </c>
      <c r="BI17" s="33">
        <f>Segunda!BI17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Segunda!B18</f>
        <v>1.5</v>
      </c>
      <c r="C18" s="33">
        <f>Segunda!C18</f>
        <v>1.5</v>
      </c>
      <c r="D18" s="32">
        <f t="shared" si="59"/>
        <v>1</v>
      </c>
      <c r="E18" s="33">
        <f>Segunda!E18</f>
        <v>0.90000003576278687</v>
      </c>
      <c r="F18" s="32">
        <f t="shared" si="60"/>
        <v>0.60000002384185791</v>
      </c>
      <c r="G18" s="33">
        <f>Segunda!G18</f>
        <v>0.45000001788139343</v>
      </c>
      <c r="H18" s="32">
        <f t="shared" si="61"/>
        <v>0.30000001192092896</v>
      </c>
      <c r="I18" s="33">
        <f>Segunda!I18</f>
        <v>0.15000000223517418</v>
      </c>
      <c r="J18" s="32">
        <f t="shared" si="62"/>
        <v>0.10000000149011612</v>
      </c>
      <c r="K18" s="33">
        <f>Segunda!K18</f>
        <v>0.75</v>
      </c>
      <c r="L18" s="32">
        <f t="shared" si="63"/>
        <v>0.5</v>
      </c>
      <c r="M18" s="33">
        <f>Segunda!M18</f>
        <v>0.30000000447034836</v>
      </c>
      <c r="N18" s="32">
        <f t="shared" si="64"/>
        <v>0.20000000298023224</v>
      </c>
      <c r="O18" s="33">
        <f>Segunda!O18</f>
        <v>1.5</v>
      </c>
      <c r="P18" s="32">
        <f t="shared" si="65"/>
        <v>1</v>
      </c>
      <c r="Q18" s="33">
        <f>Segunda!Q18</f>
        <v>0.15000000223517418</v>
      </c>
      <c r="R18" s="32">
        <f t="shared" si="66"/>
        <v>0.10000000149011612</v>
      </c>
      <c r="S18" s="33">
        <f>Segunda!S18</f>
        <v>0</v>
      </c>
      <c r="T18" s="32">
        <f t="shared" si="67"/>
        <v>0</v>
      </c>
      <c r="U18" s="33">
        <f>Segunda!U18</f>
        <v>0.45000001788139343</v>
      </c>
      <c r="V18" s="32">
        <f t="shared" si="68"/>
        <v>0.30000001192092896</v>
      </c>
      <c r="W18" s="33">
        <f>Segunda!W18</f>
        <v>0.90000003576278687</v>
      </c>
      <c r="X18" s="32">
        <f t="shared" si="69"/>
        <v>0.60000002384185791</v>
      </c>
      <c r="Y18" s="33">
        <f>Segunda!Y18</f>
        <v>1.5</v>
      </c>
      <c r="Z18" s="32">
        <f t="shared" si="70"/>
        <v>1</v>
      </c>
      <c r="AA18" s="33">
        <f>Segunda!AA18</f>
        <v>0.75</v>
      </c>
      <c r="AB18" s="32">
        <f t="shared" si="71"/>
        <v>0.5</v>
      </c>
      <c r="AC18" s="33">
        <f>Segunda!AC18</f>
        <v>0.60000000894069672</v>
      </c>
      <c r="AD18" s="32">
        <f t="shared" si="72"/>
        <v>0.40000000596046448</v>
      </c>
      <c r="AE18" s="33">
        <f>Segunda!AE18</f>
        <v>1.3499999642372131</v>
      </c>
      <c r="AF18" s="32">
        <f t="shared" si="73"/>
        <v>0.89999997615814209</v>
      </c>
      <c r="AG18" s="33">
        <f>Segunda!AG18</f>
        <v>1.3499999642372131</v>
      </c>
      <c r="AH18" s="32">
        <f t="shared" si="74"/>
        <v>0.89999997615814209</v>
      </c>
      <c r="AI18" s="33">
        <f>Segunda!AI18</f>
        <v>1.0499999821186066</v>
      </c>
      <c r="AJ18" s="32">
        <f t="shared" si="75"/>
        <v>0.69999998807907104</v>
      </c>
      <c r="AK18" s="33">
        <f>Segunda!AK18</f>
        <v>1.0499999821186066</v>
      </c>
      <c r="AL18" s="32">
        <f t="shared" si="76"/>
        <v>0.69999998807907104</v>
      </c>
      <c r="AM18" s="33">
        <f>Segunda!AM18</f>
        <v>1.5</v>
      </c>
      <c r="AN18" s="32">
        <f t="shared" si="77"/>
        <v>1</v>
      </c>
      <c r="AO18" s="33">
        <f>Segunda!AO18</f>
        <v>0.45000001788139343</v>
      </c>
      <c r="AP18" s="32">
        <f t="shared" si="78"/>
        <v>0.30000001192092896</v>
      </c>
      <c r="AQ18" s="33">
        <f>Segunda!AQ18</f>
        <v>0.75</v>
      </c>
      <c r="AR18" s="32">
        <f t="shared" si="79"/>
        <v>0.5</v>
      </c>
      <c r="AS18" s="33">
        <f>Segunda!AS18</f>
        <v>0.60000000894069672</v>
      </c>
      <c r="AT18" s="32">
        <f t="shared" si="80"/>
        <v>0.40000000596046448</v>
      </c>
      <c r="AU18" s="33">
        <f>Segunda!AU18</f>
        <v>1.0499999821186066</v>
      </c>
      <c r="AV18" s="32">
        <f t="shared" si="81"/>
        <v>0.69999998807907104</v>
      </c>
      <c r="AW18" s="33">
        <f>Segunda!AW18</f>
        <v>0.15000000223517418</v>
      </c>
      <c r="AX18" s="32">
        <f t="shared" si="82"/>
        <v>0.10000000149011612</v>
      </c>
      <c r="AY18" s="33">
        <f>Segunda!AY18</f>
        <v>0.60000000894069672</v>
      </c>
      <c r="AZ18" s="32">
        <f t="shared" si="83"/>
        <v>0.40000000596046448</v>
      </c>
      <c r="BA18" s="33">
        <f>Segunda!BA18</f>
        <v>0.75</v>
      </c>
      <c r="BB18" s="32">
        <f t="shared" si="84"/>
        <v>0.5</v>
      </c>
      <c r="BC18" s="33">
        <f>Segunda!BC18</f>
        <v>1.2000000178813934</v>
      </c>
      <c r="BD18" s="32">
        <f t="shared" si="85"/>
        <v>0.80000001192092896</v>
      </c>
      <c r="BE18" s="33">
        <f>Segunda!BE18</f>
        <v>0.75</v>
      </c>
      <c r="BF18" s="32">
        <f t="shared" si="86"/>
        <v>0.5</v>
      </c>
      <c r="BG18" s="33">
        <f>Segunda!BG18</f>
        <v>0.60000000894069672</v>
      </c>
      <c r="BH18" s="32">
        <f t="shared" si="87"/>
        <v>0.40000000596046448</v>
      </c>
      <c r="BI18" s="33">
        <f>Segunda!BI18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Segunda!B19</f>
        <v>1</v>
      </c>
      <c r="C19" s="33">
        <f>Segunda!C19</f>
        <v>0.20000000298023224</v>
      </c>
      <c r="D19" s="32">
        <f t="shared" si="59"/>
        <v>0.20000000298023224</v>
      </c>
      <c r="E19" s="33">
        <f>Segunda!E19</f>
        <v>0.60000002384185791</v>
      </c>
      <c r="F19" s="32">
        <f t="shared" si="60"/>
        <v>0.60000002384185791</v>
      </c>
      <c r="G19" s="33">
        <f>Segunda!G19</f>
        <v>0.5</v>
      </c>
      <c r="H19" s="32">
        <f t="shared" si="61"/>
        <v>0.5</v>
      </c>
      <c r="I19" s="33">
        <f>Segunda!I19</f>
        <v>0.69999998807907104</v>
      </c>
      <c r="J19" s="32">
        <f t="shared" si="62"/>
        <v>0.69999998807907104</v>
      </c>
      <c r="K19" s="33">
        <f>Segunda!K19</f>
        <v>0.89999997615814209</v>
      </c>
      <c r="L19" s="32">
        <f t="shared" si="63"/>
        <v>0.89999997615814209</v>
      </c>
      <c r="M19" s="33">
        <f>Segunda!M19</f>
        <v>0.40000000596046448</v>
      </c>
      <c r="N19" s="32">
        <f t="shared" si="64"/>
        <v>0.40000000596046448</v>
      </c>
      <c r="O19" s="33">
        <f>Segunda!O19</f>
        <v>0.30000001192092896</v>
      </c>
      <c r="P19" s="32">
        <f t="shared" si="65"/>
        <v>0.30000001192092896</v>
      </c>
      <c r="Q19" s="33">
        <f>Segunda!Q19</f>
        <v>0.30000001192092896</v>
      </c>
      <c r="R19" s="32">
        <f t="shared" si="66"/>
        <v>0.30000001192092896</v>
      </c>
      <c r="S19" s="33">
        <f>Segunda!S19</f>
        <v>0.10000000149011612</v>
      </c>
      <c r="T19" s="32">
        <f t="shared" si="67"/>
        <v>0.10000000149011612</v>
      </c>
      <c r="U19" s="33">
        <f>Segunda!U19</f>
        <v>0.5</v>
      </c>
      <c r="V19" s="32">
        <f t="shared" si="68"/>
        <v>0.5</v>
      </c>
      <c r="W19" s="33">
        <f>Segunda!W19</f>
        <v>0.20000000298023224</v>
      </c>
      <c r="X19" s="32">
        <f t="shared" si="69"/>
        <v>0.20000000298023224</v>
      </c>
      <c r="Y19" s="33">
        <f>Segunda!Y19</f>
        <v>0.60000002384185791</v>
      </c>
      <c r="Z19" s="32">
        <f t="shared" si="70"/>
        <v>0.60000002384185791</v>
      </c>
      <c r="AA19" s="33">
        <f>Segunda!AA19</f>
        <v>0.30000001192092896</v>
      </c>
      <c r="AB19" s="32">
        <f t="shared" si="71"/>
        <v>0.30000001192092896</v>
      </c>
      <c r="AC19" s="33">
        <f>Segunda!AC19</f>
        <v>0.89999997615814209</v>
      </c>
      <c r="AD19" s="32">
        <f t="shared" si="72"/>
        <v>0.89999997615814209</v>
      </c>
      <c r="AE19" s="33">
        <f>Segunda!AE19</f>
        <v>0.5</v>
      </c>
      <c r="AF19" s="32">
        <f t="shared" si="73"/>
        <v>0.5</v>
      </c>
      <c r="AG19" s="33">
        <f>Segunda!AG19</f>
        <v>0.20000000298023224</v>
      </c>
      <c r="AH19" s="32">
        <f t="shared" si="74"/>
        <v>0.20000000298023224</v>
      </c>
      <c r="AI19" s="33">
        <f>Segunda!AI19</f>
        <v>0.69999998807907104</v>
      </c>
      <c r="AJ19" s="32">
        <f t="shared" si="75"/>
        <v>0.69999998807907104</v>
      </c>
      <c r="AK19" s="33">
        <f>Segunda!AK19</f>
        <v>0.80000001192092896</v>
      </c>
      <c r="AL19" s="32">
        <f t="shared" si="76"/>
        <v>0.80000001192092896</v>
      </c>
      <c r="AM19" s="33">
        <f>Segunda!AM19</f>
        <v>0.60000002384185791</v>
      </c>
      <c r="AN19" s="32">
        <f t="shared" si="77"/>
        <v>0.60000002384185791</v>
      </c>
      <c r="AO19" s="33">
        <f>Segunda!AO19</f>
        <v>0.80000001192092896</v>
      </c>
      <c r="AP19" s="32">
        <f t="shared" si="78"/>
        <v>0.80000001192092896</v>
      </c>
      <c r="AQ19" s="33">
        <f>Segunda!AQ19</f>
        <v>0.10000000149011612</v>
      </c>
      <c r="AR19" s="32">
        <f t="shared" si="79"/>
        <v>0.10000000149011612</v>
      </c>
      <c r="AS19" s="33">
        <f>Segunda!AS19</f>
        <v>0.80000001192092896</v>
      </c>
      <c r="AT19" s="32">
        <f t="shared" si="80"/>
        <v>0.80000001192092896</v>
      </c>
      <c r="AU19" s="33">
        <f>Segunda!AU19</f>
        <v>0.20000000298023224</v>
      </c>
      <c r="AV19" s="32">
        <f t="shared" si="81"/>
        <v>0.20000000298023224</v>
      </c>
      <c r="AW19" s="33">
        <f>Segunda!AW19</f>
        <v>1</v>
      </c>
      <c r="AX19" s="32">
        <f t="shared" si="82"/>
        <v>1</v>
      </c>
      <c r="AY19" s="33">
        <f>Segunda!AY19</f>
        <v>0</v>
      </c>
      <c r="AZ19" s="32">
        <f t="shared" si="83"/>
        <v>0</v>
      </c>
      <c r="BA19" s="33">
        <f>Segunda!BA19</f>
        <v>0</v>
      </c>
      <c r="BB19" s="32">
        <f t="shared" si="84"/>
        <v>0</v>
      </c>
      <c r="BC19" s="33">
        <f>Segunda!BC19</f>
        <v>0.80000001192092896</v>
      </c>
      <c r="BD19" s="32">
        <f t="shared" si="85"/>
        <v>0.80000001192092896</v>
      </c>
      <c r="BE19" s="33">
        <f>Segunda!BE19</f>
        <v>0.40000000596046448</v>
      </c>
      <c r="BF19" s="32">
        <f t="shared" si="86"/>
        <v>0.40000000596046448</v>
      </c>
      <c r="BG19" s="33">
        <f>Segunda!BG19</f>
        <v>0.5</v>
      </c>
      <c r="BH19" s="32">
        <f t="shared" si="87"/>
        <v>0.5</v>
      </c>
      <c r="BI19" s="33">
        <f>Segunda!BI19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Segunda!B20</f>
        <v>2</v>
      </c>
      <c r="C20" s="33">
        <f>Segunda!C20</f>
        <v>0.20000000298023224</v>
      </c>
      <c r="D20" s="32">
        <f t="shared" si="59"/>
        <v>0.10000000149011612</v>
      </c>
      <c r="E20" s="33">
        <f>Segunda!E20</f>
        <v>0.20000000298023224</v>
      </c>
      <c r="F20" s="32">
        <f t="shared" si="60"/>
        <v>0.10000000149011612</v>
      </c>
      <c r="G20" s="33">
        <f>Segunda!G20</f>
        <v>0</v>
      </c>
      <c r="H20" s="32">
        <f t="shared" si="61"/>
        <v>0</v>
      </c>
      <c r="I20" s="33">
        <f>Segunda!I20</f>
        <v>1.3999999761581421</v>
      </c>
      <c r="J20" s="32">
        <f t="shared" si="62"/>
        <v>0.69999998807907104</v>
      </c>
      <c r="K20" s="33">
        <f>Segunda!K20</f>
        <v>1</v>
      </c>
      <c r="L20" s="32">
        <f t="shared" si="63"/>
        <v>0.5</v>
      </c>
      <c r="M20" s="33">
        <f>Segunda!M20</f>
        <v>1.2000000476837158</v>
      </c>
      <c r="N20" s="32">
        <f t="shared" si="64"/>
        <v>0.60000002384185791</v>
      </c>
      <c r="O20" s="33">
        <f>Segunda!O20</f>
        <v>0.40000000596046448</v>
      </c>
      <c r="P20" s="32">
        <f t="shared" si="65"/>
        <v>0.20000000298023224</v>
      </c>
      <c r="Q20" s="33">
        <f>Segunda!Q20</f>
        <v>1</v>
      </c>
      <c r="R20" s="32">
        <f t="shared" si="66"/>
        <v>0.5</v>
      </c>
      <c r="S20" s="33">
        <f>Segunda!S20</f>
        <v>1.6000000238418579</v>
      </c>
      <c r="T20" s="32">
        <f t="shared" si="67"/>
        <v>0.80000001192092896</v>
      </c>
      <c r="U20" s="33">
        <f>Segunda!U20</f>
        <v>1.6000000238418579</v>
      </c>
      <c r="V20" s="32">
        <f t="shared" si="68"/>
        <v>0.80000001192092896</v>
      </c>
      <c r="W20" s="33">
        <f>Segunda!W20</f>
        <v>0.80000001192092896</v>
      </c>
      <c r="X20" s="32">
        <f t="shared" si="69"/>
        <v>0.40000000596046448</v>
      </c>
      <c r="Y20" s="33">
        <f>Segunda!Y20</f>
        <v>1.7999999523162842</v>
      </c>
      <c r="Z20" s="32">
        <f t="shared" si="70"/>
        <v>0.89999997615814209</v>
      </c>
      <c r="AA20" s="33">
        <f>Segunda!AA20</f>
        <v>1.6000000238418579</v>
      </c>
      <c r="AB20" s="32">
        <f t="shared" si="71"/>
        <v>0.80000001192092896</v>
      </c>
      <c r="AC20" s="33">
        <f>Segunda!AC20</f>
        <v>0</v>
      </c>
      <c r="AD20" s="32">
        <f t="shared" si="72"/>
        <v>0</v>
      </c>
      <c r="AE20" s="33">
        <f>Segunda!AE20</f>
        <v>1.2000000476837158</v>
      </c>
      <c r="AF20" s="32">
        <f t="shared" si="73"/>
        <v>0.60000002384185791</v>
      </c>
      <c r="AG20" s="33">
        <f>Segunda!AG20</f>
        <v>1.3999999761581421</v>
      </c>
      <c r="AH20" s="32">
        <f t="shared" si="74"/>
        <v>0.69999998807907104</v>
      </c>
      <c r="AI20" s="33">
        <f>Segunda!AI20</f>
        <v>0</v>
      </c>
      <c r="AJ20" s="32">
        <f t="shared" si="75"/>
        <v>0</v>
      </c>
      <c r="AK20" s="33">
        <f>Segunda!AK20</f>
        <v>0.80000001192092896</v>
      </c>
      <c r="AL20" s="32">
        <f t="shared" si="76"/>
        <v>0.40000000596046448</v>
      </c>
      <c r="AM20" s="33">
        <f>Segunda!AM20</f>
        <v>0.80000001192092896</v>
      </c>
      <c r="AN20" s="32">
        <f t="shared" si="77"/>
        <v>0.40000000596046448</v>
      </c>
      <c r="AO20" s="33">
        <f>Segunda!AO20</f>
        <v>0.60000002384185791</v>
      </c>
      <c r="AP20" s="32">
        <f t="shared" si="78"/>
        <v>0.30000001192092896</v>
      </c>
      <c r="AQ20" s="33">
        <f>Segunda!AQ20</f>
        <v>2</v>
      </c>
      <c r="AR20" s="32">
        <f t="shared" si="79"/>
        <v>1</v>
      </c>
      <c r="AS20" s="33">
        <f>Segunda!AS20</f>
        <v>1.6000000238418579</v>
      </c>
      <c r="AT20" s="32">
        <f t="shared" si="80"/>
        <v>0.80000001192092896</v>
      </c>
      <c r="AU20" s="33">
        <f>Segunda!AU20</f>
        <v>1.3999999761581421</v>
      </c>
      <c r="AV20" s="32">
        <f t="shared" si="81"/>
        <v>0.69999998807907104</v>
      </c>
      <c r="AW20" s="33">
        <f>Segunda!AW20</f>
        <v>0.80000001192092896</v>
      </c>
      <c r="AX20" s="32">
        <f t="shared" si="82"/>
        <v>0.40000000596046448</v>
      </c>
      <c r="AY20" s="33">
        <f>Segunda!AY20</f>
        <v>1.6000000238418579</v>
      </c>
      <c r="AZ20" s="32">
        <f t="shared" si="83"/>
        <v>0.80000001192092896</v>
      </c>
      <c r="BA20" s="33">
        <f>Segunda!BA20</f>
        <v>0.60000002384185791</v>
      </c>
      <c r="BB20" s="32">
        <f t="shared" si="84"/>
        <v>0.30000001192092896</v>
      </c>
      <c r="BC20" s="33">
        <f>Segunda!BC20</f>
        <v>0.60000002384185791</v>
      </c>
      <c r="BD20" s="32">
        <f t="shared" si="85"/>
        <v>0.30000001192092896</v>
      </c>
      <c r="BE20" s="33">
        <f>Segunda!BE20</f>
        <v>0.80000001192092896</v>
      </c>
      <c r="BF20" s="32">
        <f t="shared" si="86"/>
        <v>0.40000000596046448</v>
      </c>
      <c r="BG20" s="33">
        <f>Segunda!BG20</f>
        <v>2</v>
      </c>
      <c r="BH20" s="32">
        <f t="shared" si="87"/>
        <v>1</v>
      </c>
      <c r="BI20" s="33">
        <f>Segunda!BI20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Segunda!B21</f>
        <v>2</v>
      </c>
      <c r="C21" s="33">
        <f>Segunda!C21</f>
        <v>1.3999999761581421</v>
      </c>
      <c r="D21" s="32">
        <f t="shared" si="59"/>
        <v>0.69999998807907104</v>
      </c>
      <c r="E21" s="33">
        <f>Segunda!E21</f>
        <v>0.60000002384185791</v>
      </c>
      <c r="F21" s="32">
        <f t="shared" si="60"/>
        <v>0.30000001192092896</v>
      </c>
      <c r="G21" s="33">
        <f>Segunda!G21</f>
        <v>0.20000000298023224</v>
      </c>
      <c r="H21" s="32">
        <f t="shared" si="61"/>
        <v>0.10000000149011612</v>
      </c>
      <c r="I21" s="33">
        <f>Segunda!I21</f>
        <v>0.40000000596046448</v>
      </c>
      <c r="J21" s="32">
        <f t="shared" si="62"/>
        <v>0.20000000298023224</v>
      </c>
      <c r="K21" s="33">
        <f>Segunda!K21</f>
        <v>0</v>
      </c>
      <c r="L21" s="32">
        <f t="shared" si="63"/>
        <v>0</v>
      </c>
      <c r="M21" s="33">
        <f>Segunda!M21</f>
        <v>0.80000001192092896</v>
      </c>
      <c r="N21" s="32">
        <f t="shared" si="64"/>
        <v>0.40000000596046448</v>
      </c>
      <c r="O21" s="33">
        <f>Segunda!O21</f>
        <v>2</v>
      </c>
      <c r="P21" s="32">
        <f t="shared" si="65"/>
        <v>1</v>
      </c>
      <c r="Q21" s="33">
        <f>Segunda!Q21</f>
        <v>1</v>
      </c>
      <c r="R21" s="32">
        <f t="shared" si="66"/>
        <v>0.5</v>
      </c>
      <c r="S21" s="33">
        <f>Segunda!S21</f>
        <v>1</v>
      </c>
      <c r="T21" s="32">
        <f t="shared" si="67"/>
        <v>0.5</v>
      </c>
      <c r="U21" s="33">
        <f>Segunda!U21</f>
        <v>2</v>
      </c>
      <c r="V21" s="32">
        <f t="shared" si="68"/>
        <v>1</v>
      </c>
      <c r="W21" s="33">
        <f>Segunda!W21</f>
        <v>0.40000000596046448</v>
      </c>
      <c r="X21" s="32">
        <f t="shared" si="69"/>
        <v>0.20000000298023224</v>
      </c>
      <c r="Y21" s="33">
        <f>Segunda!Y21</f>
        <v>0.80000001192092896</v>
      </c>
      <c r="Z21" s="32">
        <f t="shared" si="70"/>
        <v>0.40000000596046448</v>
      </c>
      <c r="AA21" s="33">
        <f>Segunda!AA21</f>
        <v>0.80000001192092896</v>
      </c>
      <c r="AB21" s="32">
        <f t="shared" si="71"/>
        <v>0.40000000596046448</v>
      </c>
      <c r="AC21" s="33">
        <f>Segunda!AC21</f>
        <v>0.60000002384185791</v>
      </c>
      <c r="AD21" s="32">
        <f t="shared" si="72"/>
        <v>0.30000001192092896</v>
      </c>
      <c r="AE21" s="33">
        <f>Segunda!AE21</f>
        <v>1</v>
      </c>
      <c r="AF21" s="32">
        <f t="shared" si="73"/>
        <v>0.5</v>
      </c>
      <c r="AG21" s="33">
        <f>Segunda!AG21</f>
        <v>0.20000000298023224</v>
      </c>
      <c r="AH21" s="32">
        <f t="shared" si="74"/>
        <v>0.10000000149011612</v>
      </c>
      <c r="AI21" s="33">
        <f>Segunda!AI21</f>
        <v>1</v>
      </c>
      <c r="AJ21" s="32">
        <f t="shared" si="75"/>
        <v>0.5</v>
      </c>
      <c r="AK21" s="33">
        <f>Segunda!AK21</f>
        <v>2</v>
      </c>
      <c r="AL21" s="32">
        <f t="shared" si="76"/>
        <v>1</v>
      </c>
      <c r="AM21" s="33">
        <f>Segunda!AM21</f>
        <v>1.2000000476837158</v>
      </c>
      <c r="AN21" s="32">
        <f t="shared" si="77"/>
        <v>0.60000002384185791</v>
      </c>
      <c r="AO21" s="33">
        <f>Segunda!AO21</f>
        <v>2</v>
      </c>
      <c r="AP21" s="32">
        <f t="shared" si="78"/>
        <v>1</v>
      </c>
      <c r="AQ21" s="33">
        <f>Segunda!AQ21</f>
        <v>1.3999999761581421</v>
      </c>
      <c r="AR21" s="32">
        <f t="shared" si="79"/>
        <v>0.69999998807907104</v>
      </c>
      <c r="AS21" s="33">
        <f>Segunda!AS21</f>
        <v>0.80000001192092896</v>
      </c>
      <c r="AT21" s="32">
        <f t="shared" si="80"/>
        <v>0.40000000596046448</v>
      </c>
      <c r="AU21" s="33">
        <f>Segunda!AU21</f>
        <v>1.3999999761581421</v>
      </c>
      <c r="AV21" s="32">
        <f t="shared" si="81"/>
        <v>0.69999998807907104</v>
      </c>
      <c r="AW21" s="33">
        <f>Segunda!AW21</f>
        <v>0</v>
      </c>
      <c r="AX21" s="32">
        <f t="shared" si="82"/>
        <v>0</v>
      </c>
      <c r="AY21" s="33">
        <f>Segunda!AY21</f>
        <v>1.6000000238418579</v>
      </c>
      <c r="AZ21" s="32">
        <f t="shared" si="83"/>
        <v>0.80000001192092896</v>
      </c>
      <c r="BA21" s="33">
        <f>Segunda!BA21</f>
        <v>1.3999999761581421</v>
      </c>
      <c r="BB21" s="32">
        <f t="shared" si="84"/>
        <v>0.69999998807907104</v>
      </c>
      <c r="BC21" s="33">
        <f>Segunda!BC21</f>
        <v>1</v>
      </c>
      <c r="BD21" s="32">
        <f t="shared" si="85"/>
        <v>0.5</v>
      </c>
      <c r="BE21" s="33">
        <f>Segunda!BE21</f>
        <v>0.20000000298023224</v>
      </c>
      <c r="BF21" s="32">
        <f t="shared" si="86"/>
        <v>0.10000000149011612</v>
      </c>
      <c r="BG21" s="33">
        <f>Segunda!BG21</f>
        <v>0.40000000596046448</v>
      </c>
      <c r="BH21" s="32">
        <f t="shared" si="87"/>
        <v>0.20000000298023224</v>
      </c>
      <c r="BI21" s="33">
        <f>Segunda!BI21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Segunda!B22</f>
        <v>1</v>
      </c>
      <c r="C22" s="33">
        <f>Segunda!C22</f>
        <v>0.80000001192092896</v>
      </c>
      <c r="D22" s="32">
        <f t="shared" si="59"/>
        <v>0.80000001192092896</v>
      </c>
      <c r="E22" s="33">
        <f>Segunda!E22</f>
        <v>0</v>
      </c>
      <c r="F22" s="32">
        <f t="shared" si="60"/>
        <v>0</v>
      </c>
      <c r="G22" s="33">
        <f>Segunda!G22</f>
        <v>0.5</v>
      </c>
      <c r="H22" s="32">
        <f t="shared" si="61"/>
        <v>0.5</v>
      </c>
      <c r="I22" s="33">
        <f>Segunda!I22</f>
        <v>0.80000001192092896</v>
      </c>
      <c r="J22" s="32">
        <f t="shared" si="62"/>
        <v>0.80000001192092896</v>
      </c>
      <c r="K22" s="33">
        <f>Segunda!K22</f>
        <v>0.80000001192092896</v>
      </c>
      <c r="L22" s="32">
        <f t="shared" si="63"/>
        <v>0.80000001192092896</v>
      </c>
      <c r="M22" s="33">
        <f>Segunda!M22</f>
        <v>0.30000001192092896</v>
      </c>
      <c r="N22" s="32">
        <f t="shared" si="64"/>
        <v>0.30000001192092896</v>
      </c>
      <c r="O22" s="33">
        <f>Segunda!O22</f>
        <v>1</v>
      </c>
      <c r="P22" s="32">
        <f t="shared" si="65"/>
        <v>1</v>
      </c>
      <c r="Q22" s="33">
        <f>Segunda!Q22</f>
        <v>0.80000001192092896</v>
      </c>
      <c r="R22" s="32">
        <f t="shared" si="66"/>
        <v>0.80000001192092896</v>
      </c>
      <c r="S22" s="33">
        <f>Segunda!S22</f>
        <v>0.69999998807907104</v>
      </c>
      <c r="T22" s="32">
        <f t="shared" si="67"/>
        <v>0.69999998807907104</v>
      </c>
      <c r="U22" s="33">
        <f>Segunda!U22</f>
        <v>0.89999997615814209</v>
      </c>
      <c r="V22" s="32">
        <f t="shared" si="68"/>
        <v>0.89999997615814209</v>
      </c>
      <c r="W22" s="33">
        <f>Segunda!W22</f>
        <v>0.89999997615814209</v>
      </c>
      <c r="X22" s="32">
        <f t="shared" si="69"/>
        <v>0.89999997615814209</v>
      </c>
      <c r="Y22" s="33">
        <f>Segunda!Y22</f>
        <v>0.40000000596046448</v>
      </c>
      <c r="Z22" s="32">
        <f t="shared" si="70"/>
        <v>0.40000000596046448</v>
      </c>
      <c r="AA22" s="33">
        <f>Segunda!AA22</f>
        <v>0.10000000149011612</v>
      </c>
      <c r="AB22" s="32">
        <f t="shared" si="71"/>
        <v>0.10000000149011612</v>
      </c>
      <c r="AC22" s="33">
        <f>Segunda!AC22</f>
        <v>1</v>
      </c>
      <c r="AD22" s="32">
        <f t="shared" si="72"/>
        <v>1</v>
      </c>
      <c r="AE22" s="33">
        <f>Segunda!AE22</f>
        <v>0.80000001192092896</v>
      </c>
      <c r="AF22" s="32">
        <f t="shared" si="73"/>
        <v>0.80000001192092896</v>
      </c>
      <c r="AG22" s="33">
        <f>Segunda!AG22</f>
        <v>0.69999998807907104</v>
      </c>
      <c r="AH22" s="32">
        <f t="shared" si="74"/>
        <v>0.69999998807907104</v>
      </c>
      <c r="AI22" s="33">
        <f>Segunda!AI22</f>
        <v>0.40000000596046448</v>
      </c>
      <c r="AJ22" s="32">
        <f t="shared" si="75"/>
        <v>0.40000000596046448</v>
      </c>
      <c r="AK22" s="33">
        <f>Segunda!AK22</f>
        <v>0</v>
      </c>
      <c r="AL22" s="32">
        <f t="shared" si="76"/>
        <v>0</v>
      </c>
      <c r="AM22" s="33">
        <f>Segunda!AM22</f>
        <v>0.10000000149011612</v>
      </c>
      <c r="AN22" s="32">
        <f t="shared" si="77"/>
        <v>0.10000000149011612</v>
      </c>
      <c r="AO22" s="33">
        <f>Segunda!AO22</f>
        <v>0.10000000149011612</v>
      </c>
      <c r="AP22" s="32">
        <f t="shared" si="78"/>
        <v>0.10000000149011612</v>
      </c>
      <c r="AQ22" s="33">
        <f>Segunda!AQ22</f>
        <v>0.5</v>
      </c>
      <c r="AR22" s="32">
        <f t="shared" si="79"/>
        <v>0.5</v>
      </c>
      <c r="AS22" s="33">
        <f>Segunda!AS22</f>
        <v>0.40000000596046448</v>
      </c>
      <c r="AT22" s="32">
        <f t="shared" si="80"/>
        <v>0.40000000596046448</v>
      </c>
      <c r="AU22" s="33">
        <f>Segunda!AU22</f>
        <v>0.10000000149011612</v>
      </c>
      <c r="AV22" s="32">
        <f t="shared" si="81"/>
        <v>0.10000000149011612</v>
      </c>
      <c r="AW22" s="33">
        <f>Segunda!AW22</f>
        <v>0.30000001192092896</v>
      </c>
      <c r="AX22" s="32">
        <f t="shared" si="82"/>
        <v>0.30000001192092896</v>
      </c>
      <c r="AY22" s="33">
        <f>Segunda!AY22</f>
        <v>0.69999998807907104</v>
      </c>
      <c r="AZ22" s="32">
        <f t="shared" si="83"/>
        <v>0.69999998807907104</v>
      </c>
      <c r="BA22" s="33">
        <f>Segunda!BA22</f>
        <v>0.89999997615814209</v>
      </c>
      <c r="BB22" s="32">
        <f t="shared" si="84"/>
        <v>0.89999997615814209</v>
      </c>
      <c r="BC22" s="33">
        <f>Segunda!BC22</f>
        <v>0.5</v>
      </c>
      <c r="BD22" s="32">
        <f t="shared" si="85"/>
        <v>0.5</v>
      </c>
      <c r="BE22" s="33">
        <f>Segunda!BE22</f>
        <v>0.20000000298023224</v>
      </c>
      <c r="BF22" s="32">
        <f t="shared" si="86"/>
        <v>0.20000000298023224</v>
      </c>
      <c r="BG22" s="33">
        <f>Segunda!BG22</f>
        <v>0.89999997615814209</v>
      </c>
      <c r="BH22" s="32">
        <f t="shared" si="87"/>
        <v>0.89999997615814209</v>
      </c>
      <c r="BI22" s="33">
        <f>Segunda!BI22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Segunda!B23</f>
        <v>1</v>
      </c>
      <c r="C23" s="33">
        <f>Segunda!C23</f>
        <v>0.30000001192092896</v>
      </c>
      <c r="D23" s="32">
        <f t="shared" si="59"/>
        <v>0.30000001192092896</v>
      </c>
      <c r="E23" s="33">
        <f>Segunda!E23</f>
        <v>0.80000001192092896</v>
      </c>
      <c r="F23" s="32">
        <f t="shared" si="60"/>
        <v>0.80000001192092896</v>
      </c>
      <c r="G23" s="33">
        <f>Segunda!G23</f>
        <v>0.20000000298023224</v>
      </c>
      <c r="H23" s="32">
        <f t="shared" si="61"/>
        <v>0.20000000298023224</v>
      </c>
      <c r="I23" s="33">
        <f>Segunda!I23</f>
        <v>0.40000000596046448</v>
      </c>
      <c r="J23" s="32">
        <f t="shared" si="62"/>
        <v>0.40000000596046448</v>
      </c>
      <c r="K23" s="33">
        <f>Segunda!K23</f>
        <v>0.20000000298023224</v>
      </c>
      <c r="L23" s="32">
        <f t="shared" si="63"/>
        <v>0.20000000298023224</v>
      </c>
      <c r="M23" s="33">
        <f>Segunda!M23</f>
        <v>0.89999997615814209</v>
      </c>
      <c r="N23" s="32">
        <f t="shared" si="64"/>
        <v>0.89999997615814209</v>
      </c>
      <c r="O23" s="33">
        <f>Segunda!O23</f>
        <v>0.60000002384185791</v>
      </c>
      <c r="P23" s="32">
        <f t="shared" si="65"/>
        <v>0.60000002384185791</v>
      </c>
      <c r="Q23" s="33">
        <f>Segunda!Q23</f>
        <v>0.40000000596046448</v>
      </c>
      <c r="R23" s="32">
        <f t="shared" si="66"/>
        <v>0.40000000596046448</v>
      </c>
      <c r="S23" s="33">
        <f>Segunda!S23</f>
        <v>0.40000000596046448</v>
      </c>
      <c r="T23" s="32">
        <f t="shared" si="67"/>
        <v>0.40000000596046448</v>
      </c>
      <c r="U23" s="33">
        <f>Segunda!U23</f>
        <v>0.89999997615814209</v>
      </c>
      <c r="V23" s="32">
        <f t="shared" si="68"/>
        <v>0.89999997615814209</v>
      </c>
      <c r="W23" s="33">
        <f>Segunda!W23</f>
        <v>0.60000002384185791</v>
      </c>
      <c r="X23" s="32">
        <f t="shared" si="69"/>
        <v>0.60000002384185791</v>
      </c>
      <c r="Y23" s="33">
        <f>Segunda!Y23</f>
        <v>1</v>
      </c>
      <c r="Z23" s="32">
        <f t="shared" si="70"/>
        <v>1</v>
      </c>
      <c r="AA23" s="33">
        <f>Segunda!AA23</f>
        <v>0.5</v>
      </c>
      <c r="AB23" s="32">
        <f t="shared" si="71"/>
        <v>0.5</v>
      </c>
      <c r="AC23" s="33">
        <f>Segunda!AC23</f>
        <v>0.30000001192092896</v>
      </c>
      <c r="AD23" s="32">
        <f t="shared" si="72"/>
        <v>0.30000001192092896</v>
      </c>
      <c r="AE23" s="33">
        <f>Segunda!AE23</f>
        <v>0.89999997615814209</v>
      </c>
      <c r="AF23" s="32">
        <f t="shared" si="73"/>
        <v>0.89999997615814209</v>
      </c>
      <c r="AG23" s="33">
        <f>Segunda!AG23</f>
        <v>0.20000000298023224</v>
      </c>
      <c r="AH23" s="32">
        <f t="shared" si="74"/>
        <v>0.20000000298023224</v>
      </c>
      <c r="AI23" s="33">
        <f>Segunda!AI23</f>
        <v>0.20000000298023224</v>
      </c>
      <c r="AJ23" s="32">
        <f t="shared" si="75"/>
        <v>0.20000000298023224</v>
      </c>
      <c r="AK23" s="33">
        <f>Segunda!AK23</f>
        <v>0.10000000149011612</v>
      </c>
      <c r="AL23" s="32">
        <f t="shared" si="76"/>
        <v>0.10000000149011612</v>
      </c>
      <c r="AM23" s="33">
        <f>Segunda!AM23</f>
        <v>0.30000001192092896</v>
      </c>
      <c r="AN23" s="32">
        <f t="shared" si="77"/>
        <v>0.30000001192092896</v>
      </c>
      <c r="AO23" s="33">
        <f>Segunda!AO23</f>
        <v>0</v>
      </c>
      <c r="AP23" s="32">
        <f t="shared" si="78"/>
        <v>0</v>
      </c>
      <c r="AQ23" s="33">
        <f>Segunda!AQ23</f>
        <v>0.80000001192092896</v>
      </c>
      <c r="AR23" s="32">
        <f t="shared" si="79"/>
        <v>0.80000001192092896</v>
      </c>
      <c r="AS23" s="33">
        <f>Segunda!AS23</f>
        <v>0.89999997615814209</v>
      </c>
      <c r="AT23" s="32">
        <f t="shared" si="80"/>
        <v>0.89999997615814209</v>
      </c>
      <c r="AU23" s="33">
        <f>Segunda!AU23</f>
        <v>0.30000001192092896</v>
      </c>
      <c r="AV23" s="32">
        <f t="shared" si="81"/>
        <v>0.30000001192092896</v>
      </c>
      <c r="AW23" s="33">
        <f>Segunda!AW23</f>
        <v>0.69999998807907104</v>
      </c>
      <c r="AX23" s="32">
        <f t="shared" si="82"/>
        <v>0.69999998807907104</v>
      </c>
      <c r="AY23" s="33">
        <f>Segunda!AY23</f>
        <v>0.40000000596046448</v>
      </c>
      <c r="AZ23" s="32">
        <f t="shared" si="83"/>
        <v>0.40000000596046448</v>
      </c>
      <c r="BA23" s="33">
        <f>Segunda!BA23</f>
        <v>0.80000001192092896</v>
      </c>
      <c r="BB23" s="32">
        <f t="shared" si="84"/>
        <v>0.80000001192092896</v>
      </c>
      <c r="BC23" s="33">
        <f>Segunda!BC23</f>
        <v>0.80000001192092896</v>
      </c>
      <c r="BD23" s="32">
        <f t="shared" si="85"/>
        <v>0.80000001192092896</v>
      </c>
      <c r="BE23" s="33">
        <f>Segunda!BE23</f>
        <v>0.40000000596046448</v>
      </c>
      <c r="BF23" s="32">
        <f t="shared" si="86"/>
        <v>0.40000000596046448</v>
      </c>
      <c r="BG23" s="33">
        <f>Segunda!BG23</f>
        <v>0</v>
      </c>
      <c r="BH23" s="32">
        <f t="shared" si="87"/>
        <v>0</v>
      </c>
      <c r="BI23" s="33">
        <f>Segunda!BI23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Segunda!B24</f>
        <v>0</v>
      </c>
      <c r="C24" s="33">
        <f>Segunda!C24</f>
        <v>0</v>
      </c>
      <c r="D24" s="32">
        <f t="shared" si="59"/>
        <v>-1</v>
      </c>
      <c r="E24" s="33">
        <f>Segunda!E24</f>
        <v>0</v>
      </c>
      <c r="F24" s="32">
        <f t="shared" si="60"/>
        <v>-1</v>
      </c>
      <c r="G24" s="33">
        <f>Segunda!G24</f>
        <v>0</v>
      </c>
      <c r="H24" s="32">
        <f t="shared" si="61"/>
        <v>-1</v>
      </c>
      <c r="I24" s="33">
        <f>Segunda!I24</f>
        <v>0</v>
      </c>
      <c r="J24" s="32">
        <f t="shared" si="62"/>
        <v>-1</v>
      </c>
      <c r="K24" s="33">
        <f>Segunda!K24</f>
        <v>0</v>
      </c>
      <c r="L24" s="32">
        <f t="shared" si="63"/>
        <v>-1</v>
      </c>
      <c r="M24" s="33">
        <f>Segunda!M24</f>
        <v>0</v>
      </c>
      <c r="N24" s="32">
        <f t="shared" si="64"/>
        <v>-1</v>
      </c>
      <c r="O24" s="33">
        <f>Segunda!O24</f>
        <v>0</v>
      </c>
      <c r="P24" s="32">
        <f t="shared" si="65"/>
        <v>-1</v>
      </c>
      <c r="Q24" s="33">
        <f>Segunda!Q24</f>
        <v>0</v>
      </c>
      <c r="R24" s="32">
        <f t="shared" si="66"/>
        <v>-1</v>
      </c>
      <c r="S24" s="33">
        <f>Segunda!S24</f>
        <v>0</v>
      </c>
      <c r="T24" s="32">
        <f t="shared" si="67"/>
        <v>-1</v>
      </c>
      <c r="U24" s="33">
        <f>Segunda!U24</f>
        <v>0</v>
      </c>
      <c r="V24" s="32">
        <f t="shared" si="68"/>
        <v>-1</v>
      </c>
      <c r="W24" s="33">
        <f>Segunda!W24</f>
        <v>0</v>
      </c>
      <c r="X24" s="32">
        <f t="shared" si="69"/>
        <v>-1</v>
      </c>
      <c r="Y24" s="33">
        <f>Segunda!Y24</f>
        <v>0</v>
      </c>
      <c r="Z24" s="32">
        <f t="shared" si="70"/>
        <v>-1</v>
      </c>
      <c r="AA24" s="33">
        <f>Segunda!AA24</f>
        <v>0</v>
      </c>
      <c r="AB24" s="32">
        <f t="shared" si="71"/>
        <v>-1</v>
      </c>
      <c r="AC24" s="33">
        <f>Segunda!AC24</f>
        <v>0</v>
      </c>
      <c r="AD24" s="32">
        <f t="shared" si="72"/>
        <v>-1</v>
      </c>
      <c r="AE24" s="33">
        <f>Segunda!AE24</f>
        <v>0</v>
      </c>
      <c r="AF24" s="32">
        <f t="shared" si="73"/>
        <v>-1</v>
      </c>
      <c r="AG24" s="33">
        <f>Segunda!AG24</f>
        <v>0</v>
      </c>
      <c r="AH24" s="32">
        <f t="shared" si="74"/>
        <v>-1</v>
      </c>
      <c r="AI24" s="33">
        <f>Segunda!AI24</f>
        <v>0</v>
      </c>
      <c r="AJ24" s="32">
        <f t="shared" si="75"/>
        <v>-1</v>
      </c>
      <c r="AK24" s="33">
        <f>Segunda!AK24</f>
        <v>0</v>
      </c>
      <c r="AL24" s="32">
        <f t="shared" si="76"/>
        <v>-1</v>
      </c>
      <c r="AM24" s="33">
        <f>Segunda!AM24</f>
        <v>0</v>
      </c>
      <c r="AN24" s="32">
        <f t="shared" si="77"/>
        <v>-1</v>
      </c>
      <c r="AO24" s="33">
        <f>Segunda!AO24</f>
        <v>0</v>
      </c>
      <c r="AP24" s="32">
        <f t="shared" si="78"/>
        <v>-1</v>
      </c>
      <c r="AQ24" s="33">
        <f>Segunda!AQ24</f>
        <v>0</v>
      </c>
      <c r="AR24" s="32">
        <f t="shared" si="79"/>
        <v>-1</v>
      </c>
      <c r="AS24" s="33">
        <f>Segunda!AS24</f>
        <v>0</v>
      </c>
      <c r="AT24" s="32">
        <f t="shared" si="80"/>
        <v>-1</v>
      </c>
      <c r="AU24" s="33">
        <f>Segunda!AU24</f>
        <v>0</v>
      </c>
      <c r="AV24" s="32">
        <f t="shared" si="81"/>
        <v>-1</v>
      </c>
      <c r="AW24" s="33">
        <f>Segunda!AW24</f>
        <v>0</v>
      </c>
      <c r="AX24" s="32">
        <f t="shared" si="82"/>
        <v>-1</v>
      </c>
      <c r="AY24" s="33">
        <f>Segunda!AY24</f>
        <v>0</v>
      </c>
      <c r="AZ24" s="32">
        <f t="shared" si="83"/>
        <v>-1</v>
      </c>
      <c r="BA24" s="33">
        <f>Segunda!BA24</f>
        <v>0</v>
      </c>
      <c r="BB24" s="32">
        <f t="shared" si="84"/>
        <v>-1</v>
      </c>
      <c r="BC24" s="33">
        <f>Segunda!BC24</f>
        <v>0</v>
      </c>
      <c r="BD24" s="32">
        <f t="shared" si="85"/>
        <v>-1</v>
      </c>
      <c r="BE24" s="33">
        <f>Segunda!BE24</f>
        <v>0</v>
      </c>
      <c r="BF24" s="32">
        <f t="shared" si="86"/>
        <v>-1</v>
      </c>
      <c r="BG24" s="33">
        <f>Segunda!BG24</f>
        <v>0</v>
      </c>
      <c r="BH24" s="32">
        <f t="shared" si="87"/>
        <v>-1</v>
      </c>
      <c r="BI24" s="33">
        <f>Segunda!BI24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Segunda!B25</f>
        <v>0</v>
      </c>
      <c r="C25" s="33">
        <f>Segunda!C25</f>
        <v>0</v>
      </c>
      <c r="D25" s="32">
        <f t="shared" si="59"/>
        <v>-1</v>
      </c>
      <c r="E25" s="33">
        <f>Segunda!E25</f>
        <v>0</v>
      </c>
      <c r="F25" s="32">
        <f t="shared" si="60"/>
        <v>-1</v>
      </c>
      <c r="G25" s="33">
        <f>Segunda!G25</f>
        <v>0</v>
      </c>
      <c r="H25" s="32">
        <f t="shared" si="61"/>
        <v>-1</v>
      </c>
      <c r="I25" s="33">
        <f>Segunda!I25</f>
        <v>0</v>
      </c>
      <c r="J25" s="32">
        <f t="shared" si="62"/>
        <v>-1</v>
      </c>
      <c r="K25" s="33">
        <f>Segunda!K25</f>
        <v>0</v>
      </c>
      <c r="L25" s="32">
        <f t="shared" si="63"/>
        <v>-1</v>
      </c>
      <c r="M25" s="33">
        <f>Segunda!M25</f>
        <v>0</v>
      </c>
      <c r="N25" s="32">
        <f t="shared" si="64"/>
        <v>-1</v>
      </c>
      <c r="O25" s="33">
        <f>Segunda!O25</f>
        <v>0</v>
      </c>
      <c r="P25" s="32">
        <f t="shared" si="65"/>
        <v>-1</v>
      </c>
      <c r="Q25" s="33">
        <f>Segunda!Q25</f>
        <v>0</v>
      </c>
      <c r="R25" s="32">
        <f t="shared" si="66"/>
        <v>-1</v>
      </c>
      <c r="S25" s="33">
        <f>Segunda!S25</f>
        <v>0</v>
      </c>
      <c r="T25" s="32">
        <f t="shared" si="67"/>
        <v>-1</v>
      </c>
      <c r="U25" s="33">
        <f>Segunda!U25</f>
        <v>0</v>
      </c>
      <c r="V25" s="32">
        <f t="shared" si="68"/>
        <v>-1</v>
      </c>
      <c r="W25" s="33">
        <f>Segunda!W25</f>
        <v>0</v>
      </c>
      <c r="X25" s="32">
        <f t="shared" si="69"/>
        <v>-1</v>
      </c>
      <c r="Y25" s="33">
        <f>Segunda!Y25</f>
        <v>0</v>
      </c>
      <c r="Z25" s="32">
        <f t="shared" si="70"/>
        <v>-1</v>
      </c>
      <c r="AA25" s="33">
        <f>Segunda!AA25</f>
        <v>0</v>
      </c>
      <c r="AB25" s="32">
        <f t="shared" si="71"/>
        <v>-1</v>
      </c>
      <c r="AC25" s="33">
        <f>Segunda!AC25</f>
        <v>0</v>
      </c>
      <c r="AD25" s="32">
        <f t="shared" si="72"/>
        <v>-1</v>
      </c>
      <c r="AE25" s="33">
        <f>Segunda!AE25</f>
        <v>0</v>
      </c>
      <c r="AF25" s="32">
        <f t="shared" si="73"/>
        <v>-1</v>
      </c>
      <c r="AG25" s="33">
        <f>Segunda!AG25</f>
        <v>0</v>
      </c>
      <c r="AH25" s="32">
        <f t="shared" si="74"/>
        <v>-1</v>
      </c>
      <c r="AI25" s="33">
        <f>Segunda!AI25</f>
        <v>0</v>
      </c>
      <c r="AJ25" s="32">
        <f t="shared" si="75"/>
        <v>-1</v>
      </c>
      <c r="AK25" s="33">
        <f>Segunda!AK25</f>
        <v>0</v>
      </c>
      <c r="AL25" s="32">
        <f t="shared" si="76"/>
        <v>-1</v>
      </c>
      <c r="AM25" s="33">
        <f>Segunda!AM25</f>
        <v>0</v>
      </c>
      <c r="AN25" s="32">
        <f t="shared" si="77"/>
        <v>-1</v>
      </c>
      <c r="AO25" s="33">
        <f>Segunda!AO25</f>
        <v>0</v>
      </c>
      <c r="AP25" s="32">
        <f t="shared" si="78"/>
        <v>-1</v>
      </c>
      <c r="AQ25" s="33">
        <f>Segunda!AQ25</f>
        <v>0</v>
      </c>
      <c r="AR25" s="32">
        <f t="shared" si="79"/>
        <v>-1</v>
      </c>
      <c r="AS25" s="33">
        <f>Segunda!AS25</f>
        <v>0</v>
      </c>
      <c r="AT25" s="32">
        <f t="shared" si="80"/>
        <v>-1</v>
      </c>
      <c r="AU25" s="33">
        <f>Segunda!AU25</f>
        <v>0</v>
      </c>
      <c r="AV25" s="32">
        <f t="shared" si="81"/>
        <v>-1</v>
      </c>
      <c r="AW25" s="33">
        <f>Segunda!AW25</f>
        <v>0</v>
      </c>
      <c r="AX25" s="32">
        <f t="shared" si="82"/>
        <v>-1</v>
      </c>
      <c r="AY25" s="33">
        <f>Segunda!AY25</f>
        <v>0</v>
      </c>
      <c r="AZ25" s="32">
        <f t="shared" si="83"/>
        <v>-1</v>
      </c>
      <c r="BA25" s="33">
        <f>Segunda!BA25</f>
        <v>0</v>
      </c>
      <c r="BB25" s="32">
        <f t="shared" si="84"/>
        <v>-1</v>
      </c>
      <c r="BC25" s="33">
        <f>Segunda!BC25</f>
        <v>0</v>
      </c>
      <c r="BD25" s="32">
        <f t="shared" si="85"/>
        <v>-1</v>
      </c>
      <c r="BE25" s="33">
        <f>Segunda!BE25</f>
        <v>0</v>
      </c>
      <c r="BF25" s="32">
        <f t="shared" si="86"/>
        <v>-1</v>
      </c>
      <c r="BG25" s="33">
        <f>Segunda!BG25</f>
        <v>0</v>
      </c>
      <c r="BH25" s="32">
        <f t="shared" si="87"/>
        <v>-1</v>
      </c>
      <c r="BI25" s="33">
        <f>Segunda!BI25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Segunda!B26</f>
        <v>2</v>
      </c>
      <c r="C26" s="31">
        <f>Segunda!C26</f>
        <v>0.60000002384185791</v>
      </c>
      <c r="D26" s="32">
        <f t="shared" si="59"/>
        <v>0.30000001192092896</v>
      </c>
      <c r="E26" s="31">
        <f>Segunda!E26</f>
        <v>1.3999999761581421</v>
      </c>
      <c r="F26" s="32">
        <f t="shared" si="60"/>
        <v>0.69999998807907104</v>
      </c>
      <c r="G26" s="31">
        <f>Segunda!G26</f>
        <v>0.60000002384185791</v>
      </c>
      <c r="H26" s="32">
        <f t="shared" si="61"/>
        <v>0.30000001192092896</v>
      </c>
      <c r="I26" s="31">
        <f>Segunda!I26</f>
        <v>1.6000000238418579</v>
      </c>
      <c r="J26" s="32">
        <f t="shared" si="62"/>
        <v>0.80000001192092896</v>
      </c>
      <c r="K26" s="31">
        <f>Segunda!K26</f>
        <v>0.20000000298023224</v>
      </c>
      <c r="L26" s="32">
        <f t="shared" si="63"/>
        <v>0.10000000149011612</v>
      </c>
      <c r="M26" s="31">
        <f>Segunda!M26</f>
        <v>1.2000000476837158</v>
      </c>
      <c r="N26" s="32">
        <f t="shared" si="64"/>
        <v>0.60000002384185791</v>
      </c>
      <c r="O26" s="31">
        <f>Segunda!O26</f>
        <v>2</v>
      </c>
      <c r="P26" s="32">
        <f t="shared" si="65"/>
        <v>1</v>
      </c>
      <c r="Q26" s="31">
        <f>Segunda!Q26</f>
        <v>0.40000000596046448</v>
      </c>
      <c r="R26" s="32">
        <f t="shared" si="66"/>
        <v>0.20000000298023224</v>
      </c>
      <c r="S26" s="31">
        <f>Segunda!S26</f>
        <v>2</v>
      </c>
      <c r="T26" s="32">
        <f t="shared" si="67"/>
        <v>1</v>
      </c>
      <c r="U26" s="31">
        <f>Segunda!U26</f>
        <v>0.20000000298023224</v>
      </c>
      <c r="V26" s="32">
        <f t="shared" si="68"/>
        <v>0.10000000149011612</v>
      </c>
      <c r="W26" s="31">
        <f>Segunda!W26</f>
        <v>2</v>
      </c>
      <c r="X26" s="32">
        <f t="shared" si="69"/>
        <v>1</v>
      </c>
      <c r="Y26" s="31">
        <f>Segunda!Y26</f>
        <v>1.2000000476837158</v>
      </c>
      <c r="Z26" s="32">
        <f t="shared" si="70"/>
        <v>0.60000002384185791</v>
      </c>
      <c r="AA26" s="31">
        <f>Segunda!AA26</f>
        <v>1.2000000476837158</v>
      </c>
      <c r="AB26" s="32">
        <f t="shared" si="71"/>
        <v>0.60000002384185791</v>
      </c>
      <c r="AC26" s="31">
        <f>Segunda!AC26</f>
        <v>1.7999999523162842</v>
      </c>
      <c r="AD26" s="32">
        <f t="shared" si="72"/>
        <v>0.89999997615814209</v>
      </c>
      <c r="AE26" s="31">
        <f>Segunda!AE26</f>
        <v>1.2000000476837158</v>
      </c>
      <c r="AF26" s="32">
        <f t="shared" si="73"/>
        <v>0.60000002384185791</v>
      </c>
      <c r="AG26" s="31">
        <f>Segunda!AG26</f>
        <v>0.40000000596046448</v>
      </c>
      <c r="AH26" s="32">
        <f t="shared" si="74"/>
        <v>0.20000000298023224</v>
      </c>
      <c r="AI26" s="31">
        <f>Segunda!AI26</f>
        <v>1.7999999523162842</v>
      </c>
      <c r="AJ26" s="32">
        <f t="shared" si="75"/>
        <v>0.89999997615814209</v>
      </c>
      <c r="AK26" s="31">
        <f>Segunda!AK26</f>
        <v>0</v>
      </c>
      <c r="AL26" s="32">
        <f t="shared" si="76"/>
        <v>0</v>
      </c>
      <c r="AM26" s="31">
        <f>Segunda!AM26</f>
        <v>0.80000001192092896</v>
      </c>
      <c r="AN26" s="32">
        <f t="shared" si="77"/>
        <v>0.40000000596046448</v>
      </c>
      <c r="AO26" s="31">
        <f>Segunda!AO26</f>
        <v>1.6000000238418579</v>
      </c>
      <c r="AP26" s="32">
        <f t="shared" si="78"/>
        <v>0.80000001192092896</v>
      </c>
      <c r="AQ26" s="31">
        <f>Segunda!AQ26</f>
        <v>0.40000000596046448</v>
      </c>
      <c r="AR26" s="32">
        <f t="shared" si="79"/>
        <v>0.20000000298023224</v>
      </c>
      <c r="AS26" s="31">
        <f>Segunda!AS26</f>
        <v>0.80000001192092896</v>
      </c>
      <c r="AT26" s="32">
        <f t="shared" si="80"/>
        <v>0.40000000596046448</v>
      </c>
      <c r="AU26" s="31">
        <f>Segunda!AU26</f>
        <v>0.80000001192092896</v>
      </c>
      <c r="AV26" s="32">
        <f t="shared" si="81"/>
        <v>0.40000000596046448</v>
      </c>
      <c r="AW26" s="31">
        <f>Segunda!AW26</f>
        <v>1</v>
      </c>
      <c r="AX26" s="32">
        <f t="shared" si="82"/>
        <v>0.5</v>
      </c>
      <c r="AY26" s="31">
        <f>Segunda!AY26</f>
        <v>0.40000000596046448</v>
      </c>
      <c r="AZ26" s="32">
        <f t="shared" si="83"/>
        <v>0.20000000298023224</v>
      </c>
      <c r="BA26" s="31">
        <f>Segunda!BA26</f>
        <v>1.2000000476837158</v>
      </c>
      <c r="BB26" s="32">
        <f t="shared" si="84"/>
        <v>0.60000002384185791</v>
      </c>
      <c r="BC26" s="31">
        <f>Segunda!BC26</f>
        <v>0.40000000596046448</v>
      </c>
      <c r="BD26" s="32">
        <f t="shared" si="85"/>
        <v>0.20000000298023224</v>
      </c>
      <c r="BE26" s="31">
        <f>Segunda!BE26</f>
        <v>0</v>
      </c>
      <c r="BF26" s="32">
        <f t="shared" si="86"/>
        <v>0</v>
      </c>
      <c r="BG26" s="31">
        <f>Segunda!BG26</f>
        <v>1.7999999523162842</v>
      </c>
      <c r="BH26" s="32">
        <f t="shared" si="87"/>
        <v>0.89999997615814209</v>
      </c>
      <c r="BI26" s="31">
        <f>Segunda!BI26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Segunda!B27</f>
        <v>2</v>
      </c>
      <c r="C27" s="31">
        <f>Segunda!C27</f>
        <v>1.3999999761581421</v>
      </c>
      <c r="D27" s="32">
        <f t="shared" si="59"/>
        <v>0.69999998807907104</v>
      </c>
      <c r="E27" s="31">
        <f>Segunda!E27</f>
        <v>1.7999999523162842</v>
      </c>
      <c r="F27" s="32">
        <f t="shared" si="60"/>
        <v>0.89999997615814209</v>
      </c>
      <c r="G27" s="31">
        <f>Segunda!G27</f>
        <v>0.40000000596046448</v>
      </c>
      <c r="H27" s="32">
        <f t="shared" si="61"/>
        <v>0.20000000298023224</v>
      </c>
      <c r="I27" s="31">
        <f>Segunda!I27</f>
        <v>2</v>
      </c>
      <c r="J27" s="32">
        <f t="shared" si="62"/>
        <v>1</v>
      </c>
      <c r="K27" s="31">
        <f>Segunda!K27</f>
        <v>1.7999999523162842</v>
      </c>
      <c r="L27" s="32">
        <f t="shared" si="63"/>
        <v>0.89999997615814209</v>
      </c>
      <c r="M27" s="31">
        <f>Segunda!M27</f>
        <v>0.80000001192092896</v>
      </c>
      <c r="N27" s="32">
        <f t="shared" si="64"/>
        <v>0.40000000596046448</v>
      </c>
      <c r="O27" s="31">
        <f>Segunda!O27</f>
        <v>1</v>
      </c>
      <c r="P27" s="32">
        <f t="shared" si="65"/>
        <v>0.5</v>
      </c>
      <c r="Q27" s="31">
        <f>Segunda!Q27</f>
        <v>1.6000000238418579</v>
      </c>
      <c r="R27" s="32">
        <f t="shared" si="66"/>
        <v>0.80000001192092896</v>
      </c>
      <c r="S27" s="31">
        <f>Segunda!S27</f>
        <v>1.7999999523162842</v>
      </c>
      <c r="T27" s="32">
        <f t="shared" si="67"/>
        <v>0.89999997615814209</v>
      </c>
      <c r="U27" s="31">
        <f>Segunda!U27</f>
        <v>0.80000001192092896</v>
      </c>
      <c r="V27" s="32">
        <f t="shared" si="68"/>
        <v>0.40000000596046448</v>
      </c>
      <c r="W27" s="31">
        <f>Segunda!W27</f>
        <v>0.40000000596046448</v>
      </c>
      <c r="X27" s="32">
        <f t="shared" si="69"/>
        <v>0.20000000298023224</v>
      </c>
      <c r="Y27" s="31">
        <f>Segunda!Y27</f>
        <v>0.60000002384185791</v>
      </c>
      <c r="Z27" s="32">
        <f t="shared" si="70"/>
        <v>0.30000001192092896</v>
      </c>
      <c r="AA27" s="31">
        <f>Segunda!AA27</f>
        <v>0.80000001192092896</v>
      </c>
      <c r="AB27" s="32">
        <f t="shared" si="71"/>
        <v>0.40000000596046448</v>
      </c>
      <c r="AC27" s="31">
        <f>Segunda!AC27</f>
        <v>0.20000000298023224</v>
      </c>
      <c r="AD27" s="32">
        <f t="shared" si="72"/>
        <v>0.10000000149011612</v>
      </c>
      <c r="AE27" s="31">
        <f>Segunda!AE27</f>
        <v>1.2000000476837158</v>
      </c>
      <c r="AF27" s="32">
        <f t="shared" si="73"/>
        <v>0.60000002384185791</v>
      </c>
      <c r="AG27" s="31">
        <f>Segunda!AG27</f>
        <v>0.20000000298023224</v>
      </c>
      <c r="AH27" s="32">
        <f t="shared" si="74"/>
        <v>0.10000000149011612</v>
      </c>
      <c r="AI27" s="31">
        <f>Segunda!AI27</f>
        <v>0.40000000596046448</v>
      </c>
      <c r="AJ27" s="32">
        <f t="shared" si="75"/>
        <v>0.20000000298023224</v>
      </c>
      <c r="AK27" s="31">
        <f>Segunda!AK27</f>
        <v>1.3999999761581421</v>
      </c>
      <c r="AL27" s="32">
        <f t="shared" si="76"/>
        <v>0.69999998807907104</v>
      </c>
      <c r="AM27" s="31">
        <f>Segunda!AM27</f>
        <v>1</v>
      </c>
      <c r="AN27" s="32">
        <f t="shared" si="77"/>
        <v>0.5</v>
      </c>
      <c r="AO27" s="31">
        <f>Segunda!AO27</f>
        <v>0.40000000596046448</v>
      </c>
      <c r="AP27" s="32">
        <f t="shared" si="78"/>
        <v>0.20000000298023224</v>
      </c>
      <c r="AQ27" s="31">
        <f>Segunda!AQ27</f>
        <v>2</v>
      </c>
      <c r="AR27" s="32">
        <f t="shared" si="79"/>
        <v>1</v>
      </c>
      <c r="AS27" s="31">
        <f>Segunda!AS27</f>
        <v>1</v>
      </c>
      <c r="AT27" s="32">
        <f t="shared" si="80"/>
        <v>0.5</v>
      </c>
      <c r="AU27" s="31">
        <f>Segunda!AU27</f>
        <v>0</v>
      </c>
      <c r="AV27" s="32">
        <f t="shared" si="81"/>
        <v>0</v>
      </c>
      <c r="AW27" s="31">
        <f>Segunda!AW27</f>
        <v>0.80000001192092896</v>
      </c>
      <c r="AX27" s="32">
        <f t="shared" si="82"/>
        <v>0.40000000596046448</v>
      </c>
      <c r="AY27" s="31">
        <f>Segunda!AY27</f>
        <v>0.60000002384185791</v>
      </c>
      <c r="AZ27" s="32">
        <f t="shared" si="83"/>
        <v>0.30000001192092896</v>
      </c>
      <c r="BA27" s="31">
        <f>Segunda!BA27</f>
        <v>1.6000000238418579</v>
      </c>
      <c r="BB27" s="32">
        <f t="shared" si="84"/>
        <v>0.80000001192092896</v>
      </c>
      <c r="BC27" s="31">
        <f>Segunda!BC27</f>
        <v>1.7999999523162842</v>
      </c>
      <c r="BD27" s="32">
        <f t="shared" si="85"/>
        <v>0.89999997615814209</v>
      </c>
      <c r="BE27" s="31">
        <f>Segunda!BE27</f>
        <v>1.7999999523162842</v>
      </c>
      <c r="BF27" s="32">
        <f t="shared" si="86"/>
        <v>0.89999997615814209</v>
      </c>
      <c r="BG27" s="31">
        <f>Segunda!BG27</f>
        <v>0.20000000298023224</v>
      </c>
      <c r="BH27" s="32">
        <f t="shared" si="87"/>
        <v>0.10000000149011612</v>
      </c>
      <c r="BI27" s="31">
        <f>Segunda!BI27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Segunda!B28</f>
        <v>2</v>
      </c>
      <c r="C28" s="31">
        <f>Segunda!C28</f>
        <v>0</v>
      </c>
      <c r="D28" s="32">
        <f t="shared" si="59"/>
        <v>0</v>
      </c>
      <c r="E28" s="31">
        <f>Segunda!E28</f>
        <v>0.20000000298023224</v>
      </c>
      <c r="F28" s="32">
        <f t="shared" si="60"/>
        <v>0.10000000149011612</v>
      </c>
      <c r="G28" s="31">
        <f>Segunda!G28</f>
        <v>0.80000001192092896</v>
      </c>
      <c r="H28" s="32">
        <f t="shared" si="61"/>
        <v>0.40000000596046448</v>
      </c>
      <c r="I28" s="31">
        <f>Segunda!I28</f>
        <v>0.40000000596046448</v>
      </c>
      <c r="J28" s="32">
        <f t="shared" si="62"/>
        <v>0.20000000298023224</v>
      </c>
      <c r="K28" s="31">
        <f>Segunda!K28</f>
        <v>2</v>
      </c>
      <c r="L28" s="32">
        <f t="shared" si="63"/>
        <v>1</v>
      </c>
      <c r="M28" s="31">
        <f>Segunda!M28</f>
        <v>1.7999999523162842</v>
      </c>
      <c r="N28" s="32">
        <f t="shared" si="64"/>
        <v>0.89999997615814209</v>
      </c>
      <c r="O28" s="31">
        <f>Segunda!O28</f>
        <v>1.2000000476837158</v>
      </c>
      <c r="P28" s="32">
        <f t="shared" si="65"/>
        <v>0.60000002384185791</v>
      </c>
      <c r="Q28" s="31">
        <f>Segunda!Q28</f>
        <v>1.6000000238418579</v>
      </c>
      <c r="R28" s="32">
        <f t="shared" si="66"/>
        <v>0.80000001192092896</v>
      </c>
      <c r="S28" s="31">
        <f>Segunda!S28</f>
        <v>0.20000000298023224</v>
      </c>
      <c r="T28" s="32">
        <f t="shared" si="67"/>
        <v>0.10000000149011612</v>
      </c>
      <c r="U28" s="31">
        <f>Segunda!U28</f>
        <v>0.40000000596046448</v>
      </c>
      <c r="V28" s="32">
        <f t="shared" si="68"/>
        <v>0.20000000298023224</v>
      </c>
      <c r="W28" s="31">
        <f>Segunda!W28</f>
        <v>0</v>
      </c>
      <c r="X28" s="32">
        <f t="shared" si="69"/>
        <v>0</v>
      </c>
      <c r="Y28" s="31">
        <f>Segunda!Y28</f>
        <v>1.7999999523162842</v>
      </c>
      <c r="Z28" s="32">
        <f t="shared" si="70"/>
        <v>0.89999997615814209</v>
      </c>
      <c r="AA28" s="31">
        <f>Segunda!AA28</f>
        <v>1.6000000238418579</v>
      </c>
      <c r="AB28" s="32">
        <f t="shared" si="71"/>
        <v>0.80000001192092896</v>
      </c>
      <c r="AC28" s="31">
        <f>Segunda!AC28</f>
        <v>1.6000000238418579</v>
      </c>
      <c r="AD28" s="32">
        <f t="shared" si="72"/>
        <v>0.80000001192092896</v>
      </c>
      <c r="AE28" s="31">
        <f>Segunda!AE28</f>
        <v>0.60000002384185791</v>
      </c>
      <c r="AF28" s="32">
        <f t="shared" si="73"/>
        <v>0.30000001192092896</v>
      </c>
      <c r="AG28" s="31">
        <f>Segunda!AG28</f>
        <v>0.80000001192092896</v>
      </c>
      <c r="AH28" s="32">
        <f t="shared" si="74"/>
        <v>0.40000000596046448</v>
      </c>
      <c r="AI28" s="31">
        <f>Segunda!AI28</f>
        <v>1.2000000476837158</v>
      </c>
      <c r="AJ28" s="32">
        <f t="shared" si="75"/>
        <v>0.60000002384185791</v>
      </c>
      <c r="AK28" s="31">
        <f>Segunda!AK28</f>
        <v>1.6000000238418579</v>
      </c>
      <c r="AL28" s="32">
        <f t="shared" si="76"/>
        <v>0.80000001192092896</v>
      </c>
      <c r="AM28" s="31">
        <f>Segunda!AM28</f>
        <v>1.2000000476837158</v>
      </c>
      <c r="AN28" s="32">
        <f t="shared" si="77"/>
        <v>0.60000002384185791</v>
      </c>
      <c r="AO28" s="31">
        <f>Segunda!AO28</f>
        <v>0.40000000596046448</v>
      </c>
      <c r="AP28" s="32">
        <f t="shared" si="78"/>
        <v>0.20000000298023224</v>
      </c>
      <c r="AQ28" s="31">
        <f>Segunda!AQ28</f>
        <v>0.40000000596046448</v>
      </c>
      <c r="AR28" s="32">
        <f t="shared" si="79"/>
        <v>0.20000000298023224</v>
      </c>
      <c r="AS28" s="31">
        <f>Segunda!AS28</f>
        <v>0.80000001192092896</v>
      </c>
      <c r="AT28" s="32">
        <f t="shared" si="80"/>
        <v>0.40000000596046448</v>
      </c>
      <c r="AU28" s="31">
        <f>Segunda!AU28</f>
        <v>1.2000000476837158</v>
      </c>
      <c r="AV28" s="32">
        <f t="shared" si="81"/>
        <v>0.60000002384185791</v>
      </c>
      <c r="AW28" s="31">
        <f>Segunda!AW28</f>
        <v>0.60000002384185791</v>
      </c>
      <c r="AX28" s="32">
        <f t="shared" si="82"/>
        <v>0.30000001192092896</v>
      </c>
      <c r="AY28" s="31">
        <f>Segunda!AY28</f>
        <v>1</v>
      </c>
      <c r="AZ28" s="32">
        <f t="shared" si="83"/>
        <v>0.5</v>
      </c>
      <c r="BA28" s="31">
        <f>Segunda!BA28</f>
        <v>0.80000001192092896</v>
      </c>
      <c r="BB28" s="32">
        <f t="shared" si="84"/>
        <v>0.40000000596046448</v>
      </c>
      <c r="BC28" s="31">
        <f>Segunda!BC28</f>
        <v>1.2000000476837158</v>
      </c>
      <c r="BD28" s="32">
        <f t="shared" si="85"/>
        <v>0.60000002384185791</v>
      </c>
      <c r="BE28" s="31">
        <f>Segunda!BE28</f>
        <v>0</v>
      </c>
      <c r="BF28" s="32">
        <f t="shared" si="86"/>
        <v>0</v>
      </c>
      <c r="BG28" s="31">
        <f>Segunda!BG28</f>
        <v>1.2000000476837158</v>
      </c>
      <c r="BH28" s="32">
        <f t="shared" si="87"/>
        <v>0.60000002384185791</v>
      </c>
      <c r="BI28" s="31">
        <f>Segunda!BI28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Segunda!B29</f>
        <v>2</v>
      </c>
      <c r="C29" s="31">
        <f>Segunda!C29</f>
        <v>2</v>
      </c>
      <c r="D29" s="32">
        <f t="shared" si="59"/>
        <v>1</v>
      </c>
      <c r="E29" s="31">
        <f>Segunda!E29</f>
        <v>2</v>
      </c>
      <c r="F29" s="32">
        <f t="shared" si="60"/>
        <v>1</v>
      </c>
      <c r="G29" s="31">
        <f>Segunda!G29</f>
        <v>2</v>
      </c>
      <c r="H29" s="32">
        <f t="shared" si="61"/>
        <v>1</v>
      </c>
      <c r="I29" s="31">
        <f>Segunda!I29</f>
        <v>1.7999999523162842</v>
      </c>
      <c r="J29" s="32">
        <f t="shared" si="62"/>
        <v>0.89999997615814209</v>
      </c>
      <c r="K29" s="31">
        <f>Segunda!K29</f>
        <v>0.80000001192092896</v>
      </c>
      <c r="L29" s="32">
        <f t="shared" si="63"/>
        <v>0.40000000596046448</v>
      </c>
      <c r="M29" s="31">
        <f>Segunda!M29</f>
        <v>1.6000000238418579</v>
      </c>
      <c r="N29" s="32">
        <f t="shared" si="64"/>
        <v>0.80000001192092896</v>
      </c>
      <c r="O29" s="31">
        <f>Segunda!O29</f>
        <v>2</v>
      </c>
      <c r="P29" s="32">
        <f t="shared" si="65"/>
        <v>1</v>
      </c>
      <c r="Q29" s="31">
        <f>Segunda!Q29</f>
        <v>0.40000000596046448</v>
      </c>
      <c r="R29" s="32">
        <f t="shared" si="66"/>
        <v>0.20000000298023224</v>
      </c>
      <c r="S29" s="31">
        <f>Segunda!S29</f>
        <v>0.20000000298023224</v>
      </c>
      <c r="T29" s="32">
        <f t="shared" si="67"/>
        <v>0.10000000149011612</v>
      </c>
      <c r="U29" s="31">
        <f>Segunda!U29</f>
        <v>1.3999999761581421</v>
      </c>
      <c r="V29" s="32">
        <f t="shared" si="68"/>
        <v>0.69999998807907104</v>
      </c>
      <c r="W29" s="31">
        <f>Segunda!W29</f>
        <v>0</v>
      </c>
      <c r="X29" s="32">
        <f t="shared" si="69"/>
        <v>0</v>
      </c>
      <c r="Y29" s="31">
        <f>Segunda!Y29</f>
        <v>0.60000002384185791</v>
      </c>
      <c r="Z29" s="32">
        <f t="shared" si="70"/>
        <v>0.30000001192092896</v>
      </c>
      <c r="AA29" s="31">
        <f>Segunda!AA29</f>
        <v>1.3999999761581421</v>
      </c>
      <c r="AB29" s="32">
        <f t="shared" si="71"/>
        <v>0.69999998807907104</v>
      </c>
      <c r="AC29" s="31">
        <f>Segunda!AC29</f>
        <v>0.20000000298023224</v>
      </c>
      <c r="AD29" s="32">
        <f t="shared" si="72"/>
        <v>0.10000000149011612</v>
      </c>
      <c r="AE29" s="31">
        <f>Segunda!AE29</f>
        <v>0.20000000298023224</v>
      </c>
      <c r="AF29" s="32">
        <f t="shared" si="73"/>
        <v>0.10000000149011612</v>
      </c>
      <c r="AG29" s="31">
        <f>Segunda!AG29</f>
        <v>0.60000002384185791</v>
      </c>
      <c r="AH29" s="32">
        <f t="shared" si="74"/>
        <v>0.30000001192092896</v>
      </c>
      <c r="AI29" s="31">
        <f>Segunda!AI29</f>
        <v>0.80000001192092896</v>
      </c>
      <c r="AJ29" s="32">
        <f t="shared" si="75"/>
        <v>0.40000000596046448</v>
      </c>
      <c r="AK29" s="31">
        <f>Segunda!AK29</f>
        <v>1.2000000476837158</v>
      </c>
      <c r="AL29" s="32">
        <f t="shared" si="76"/>
        <v>0.60000002384185791</v>
      </c>
      <c r="AM29" s="31">
        <f>Segunda!AM29</f>
        <v>0.60000002384185791</v>
      </c>
      <c r="AN29" s="32">
        <f t="shared" si="77"/>
        <v>0.30000001192092896</v>
      </c>
      <c r="AO29" s="31">
        <f>Segunda!AO29</f>
        <v>0.60000002384185791</v>
      </c>
      <c r="AP29" s="32">
        <f t="shared" si="78"/>
        <v>0.30000001192092896</v>
      </c>
      <c r="AQ29" s="31">
        <f>Segunda!AQ29</f>
        <v>1.6000000238418579</v>
      </c>
      <c r="AR29" s="32">
        <f t="shared" si="79"/>
        <v>0.80000001192092896</v>
      </c>
      <c r="AS29" s="31">
        <f>Segunda!AS29</f>
        <v>0.60000002384185791</v>
      </c>
      <c r="AT29" s="32">
        <f t="shared" si="80"/>
        <v>0.30000001192092896</v>
      </c>
      <c r="AU29" s="31">
        <f>Segunda!AU29</f>
        <v>0.80000001192092896</v>
      </c>
      <c r="AV29" s="32">
        <f t="shared" si="81"/>
        <v>0.40000000596046448</v>
      </c>
      <c r="AW29" s="31">
        <f>Segunda!AW29</f>
        <v>0.80000001192092896</v>
      </c>
      <c r="AX29" s="32">
        <f t="shared" si="82"/>
        <v>0.40000000596046448</v>
      </c>
      <c r="AY29" s="31">
        <f>Segunda!AY29</f>
        <v>1.7999999523162842</v>
      </c>
      <c r="AZ29" s="32">
        <f t="shared" si="83"/>
        <v>0.89999997615814209</v>
      </c>
      <c r="BA29" s="31">
        <f>Segunda!BA29</f>
        <v>0.80000001192092896</v>
      </c>
      <c r="BB29" s="32">
        <f t="shared" si="84"/>
        <v>0.40000000596046448</v>
      </c>
      <c r="BC29" s="31">
        <f>Segunda!BC29</f>
        <v>1.3999999761581421</v>
      </c>
      <c r="BD29" s="32">
        <f t="shared" si="85"/>
        <v>0.69999998807907104</v>
      </c>
      <c r="BE29" s="31">
        <f>Segunda!BE29</f>
        <v>1.3999999761581421</v>
      </c>
      <c r="BF29" s="32">
        <f t="shared" si="86"/>
        <v>0.69999998807907104</v>
      </c>
      <c r="BG29" s="31">
        <f>Segunda!BG29</f>
        <v>0.80000001192092896</v>
      </c>
      <c r="BH29" s="32">
        <f t="shared" si="87"/>
        <v>0.40000000596046448</v>
      </c>
      <c r="BI29" s="31">
        <f>Segunda!BI29</f>
        <v>2</v>
      </c>
      <c r="BJ29" s="32">
        <f t="shared" si="88"/>
        <v>1</v>
      </c>
    </row>
    <row r="30" spans="1:62" ht="70" x14ac:dyDescent="0.2">
      <c r="A30" s="2" t="s">
        <v>31</v>
      </c>
      <c r="B30" s="13">
        <f>Segunda!B30</f>
        <v>0</v>
      </c>
      <c r="C30" s="31">
        <f>Segunda!C30</f>
        <v>0</v>
      </c>
      <c r="D30" s="32">
        <f t="shared" si="59"/>
        <v>-1</v>
      </c>
      <c r="E30" s="31">
        <f>Segunda!E30</f>
        <v>0</v>
      </c>
      <c r="F30" s="32">
        <f t="shared" si="60"/>
        <v>-1</v>
      </c>
      <c r="G30" s="31">
        <f>Segunda!G30</f>
        <v>0</v>
      </c>
      <c r="H30" s="32">
        <f t="shared" si="61"/>
        <v>-1</v>
      </c>
      <c r="I30" s="31">
        <f>Segunda!I30</f>
        <v>0</v>
      </c>
      <c r="J30" s="32">
        <f t="shared" si="62"/>
        <v>-1</v>
      </c>
      <c r="K30" s="31">
        <f>Segunda!K30</f>
        <v>0</v>
      </c>
      <c r="L30" s="32">
        <f t="shared" si="63"/>
        <v>-1</v>
      </c>
      <c r="M30" s="31">
        <f>Segunda!M30</f>
        <v>0</v>
      </c>
      <c r="N30" s="32">
        <f t="shared" si="64"/>
        <v>-1</v>
      </c>
      <c r="O30" s="31">
        <f>Segunda!O30</f>
        <v>0</v>
      </c>
      <c r="P30" s="32">
        <f t="shared" si="65"/>
        <v>-1</v>
      </c>
      <c r="Q30" s="31">
        <f>Segunda!Q30</f>
        <v>0</v>
      </c>
      <c r="R30" s="32">
        <f t="shared" si="66"/>
        <v>-1</v>
      </c>
      <c r="S30" s="31">
        <f>Segunda!S30</f>
        <v>0</v>
      </c>
      <c r="T30" s="32">
        <f t="shared" si="67"/>
        <v>-1</v>
      </c>
      <c r="U30" s="31">
        <f>Segunda!U30</f>
        <v>0</v>
      </c>
      <c r="V30" s="32">
        <f t="shared" si="68"/>
        <v>-1</v>
      </c>
      <c r="W30" s="31">
        <f>Segunda!W30</f>
        <v>0</v>
      </c>
      <c r="X30" s="32">
        <f t="shared" si="69"/>
        <v>-1</v>
      </c>
      <c r="Y30" s="31">
        <f>Segunda!Y30</f>
        <v>0</v>
      </c>
      <c r="Z30" s="32">
        <f t="shared" si="70"/>
        <v>-1</v>
      </c>
      <c r="AA30" s="31">
        <f>Segunda!AA30</f>
        <v>0</v>
      </c>
      <c r="AB30" s="32">
        <f t="shared" si="71"/>
        <v>-1</v>
      </c>
      <c r="AC30" s="31">
        <f>Segunda!AC30</f>
        <v>0</v>
      </c>
      <c r="AD30" s="32">
        <f t="shared" si="72"/>
        <v>-1</v>
      </c>
      <c r="AE30" s="31">
        <f>Segunda!AE30</f>
        <v>0</v>
      </c>
      <c r="AF30" s="32">
        <f t="shared" si="73"/>
        <v>-1</v>
      </c>
      <c r="AG30" s="31">
        <f>Segunda!AG30</f>
        <v>0</v>
      </c>
      <c r="AH30" s="32">
        <f t="shared" si="74"/>
        <v>-1</v>
      </c>
      <c r="AI30" s="31">
        <f>Segunda!AI30</f>
        <v>0</v>
      </c>
      <c r="AJ30" s="32">
        <f t="shared" si="75"/>
        <v>-1</v>
      </c>
      <c r="AK30" s="31">
        <f>Segunda!AK30</f>
        <v>0</v>
      </c>
      <c r="AL30" s="32">
        <f t="shared" si="76"/>
        <v>-1</v>
      </c>
      <c r="AM30" s="31">
        <f>Segunda!AM30</f>
        <v>0</v>
      </c>
      <c r="AN30" s="32">
        <f t="shared" si="77"/>
        <v>-1</v>
      </c>
      <c r="AO30" s="31">
        <f>Segunda!AO30</f>
        <v>0</v>
      </c>
      <c r="AP30" s="32">
        <f t="shared" si="78"/>
        <v>-1</v>
      </c>
      <c r="AQ30" s="31">
        <f>Segunda!AQ30</f>
        <v>0</v>
      </c>
      <c r="AR30" s="32">
        <f t="shared" si="79"/>
        <v>-1</v>
      </c>
      <c r="AS30" s="31">
        <f>Segunda!AS30</f>
        <v>0</v>
      </c>
      <c r="AT30" s="32">
        <f t="shared" si="80"/>
        <v>-1</v>
      </c>
      <c r="AU30" s="31">
        <f>Segunda!AU30</f>
        <v>0</v>
      </c>
      <c r="AV30" s="32">
        <f t="shared" si="81"/>
        <v>-1</v>
      </c>
      <c r="AW30" s="31">
        <f>Segunda!AW30</f>
        <v>0</v>
      </c>
      <c r="AX30" s="32">
        <f t="shared" si="82"/>
        <v>-1</v>
      </c>
      <c r="AY30" s="31">
        <f>Segunda!AY30</f>
        <v>0</v>
      </c>
      <c r="AZ30" s="32">
        <f t="shared" si="83"/>
        <v>-1</v>
      </c>
      <c r="BA30" s="31">
        <f>Segunda!BA30</f>
        <v>0</v>
      </c>
      <c r="BB30" s="32">
        <f t="shared" si="84"/>
        <v>-1</v>
      </c>
      <c r="BC30" s="31">
        <f>Segunda!BC30</f>
        <v>0</v>
      </c>
      <c r="BD30" s="32">
        <f t="shared" si="85"/>
        <v>-1</v>
      </c>
      <c r="BE30" s="31">
        <f>Segunda!BE30</f>
        <v>0</v>
      </c>
      <c r="BF30" s="32">
        <f t="shared" si="86"/>
        <v>-1</v>
      </c>
      <c r="BG30" s="31">
        <f>Segunda!BG30</f>
        <v>0</v>
      </c>
      <c r="BH30" s="32">
        <f t="shared" si="87"/>
        <v>-1</v>
      </c>
      <c r="BI30" s="31">
        <f>Segunda!BI30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Segunda!B31</f>
        <v>2</v>
      </c>
      <c r="C31" s="31">
        <f>Segunda!C31</f>
        <v>1.3999999761581421</v>
      </c>
      <c r="D31" s="32">
        <f t="shared" si="59"/>
        <v>0.69999998807907104</v>
      </c>
      <c r="E31" s="31">
        <f>Segunda!E31</f>
        <v>1</v>
      </c>
      <c r="F31" s="32">
        <f t="shared" si="60"/>
        <v>0.5</v>
      </c>
      <c r="G31" s="31">
        <f>Segunda!G31</f>
        <v>0.40000000596046448</v>
      </c>
      <c r="H31" s="32">
        <f t="shared" si="61"/>
        <v>0.20000000298023224</v>
      </c>
      <c r="I31" s="31">
        <f>Segunda!I31</f>
        <v>1.2000000476837158</v>
      </c>
      <c r="J31" s="32">
        <f t="shared" si="62"/>
        <v>0.60000002384185791</v>
      </c>
      <c r="K31" s="31">
        <f>Segunda!K31</f>
        <v>1.6000000238418579</v>
      </c>
      <c r="L31" s="32">
        <f t="shared" si="63"/>
        <v>0.80000001192092896</v>
      </c>
      <c r="M31" s="31">
        <f>Segunda!M31</f>
        <v>1</v>
      </c>
      <c r="N31" s="32">
        <f t="shared" si="64"/>
        <v>0.5</v>
      </c>
      <c r="O31" s="31">
        <f>Segunda!O31</f>
        <v>1.7999999523162842</v>
      </c>
      <c r="P31" s="32">
        <f t="shared" si="65"/>
        <v>0.89999997615814209</v>
      </c>
      <c r="Q31" s="31">
        <f>Segunda!Q31</f>
        <v>0.60000002384185791</v>
      </c>
      <c r="R31" s="32">
        <f t="shared" si="66"/>
        <v>0.30000001192092896</v>
      </c>
      <c r="S31" s="31">
        <f>Segunda!S31</f>
        <v>1.3999999761581421</v>
      </c>
      <c r="T31" s="32">
        <f t="shared" si="67"/>
        <v>0.69999998807907104</v>
      </c>
      <c r="U31" s="31">
        <f>Segunda!U31</f>
        <v>1.7999999523162842</v>
      </c>
      <c r="V31" s="32">
        <f t="shared" si="68"/>
        <v>0.89999997615814209</v>
      </c>
      <c r="W31" s="31">
        <f>Segunda!W31</f>
        <v>0.60000002384185791</v>
      </c>
      <c r="X31" s="32">
        <f t="shared" si="69"/>
        <v>0.30000001192092896</v>
      </c>
      <c r="Y31" s="31">
        <f>Segunda!Y31</f>
        <v>0.80000001192092896</v>
      </c>
      <c r="Z31" s="32">
        <f t="shared" si="70"/>
        <v>0.40000000596046448</v>
      </c>
      <c r="AA31" s="31">
        <f>Segunda!AA31</f>
        <v>0</v>
      </c>
      <c r="AB31" s="32">
        <f t="shared" si="71"/>
        <v>0</v>
      </c>
      <c r="AC31" s="31">
        <f>Segunda!AC31</f>
        <v>0.60000002384185791</v>
      </c>
      <c r="AD31" s="32">
        <f t="shared" si="72"/>
        <v>0.30000001192092896</v>
      </c>
      <c r="AE31" s="31">
        <f>Segunda!AE31</f>
        <v>2</v>
      </c>
      <c r="AF31" s="32">
        <f t="shared" si="73"/>
        <v>1</v>
      </c>
      <c r="AG31" s="31">
        <f>Segunda!AG31</f>
        <v>1.6000000238418579</v>
      </c>
      <c r="AH31" s="32">
        <f t="shared" si="74"/>
        <v>0.80000001192092896</v>
      </c>
      <c r="AI31" s="31">
        <f>Segunda!AI31</f>
        <v>1.2000000476837158</v>
      </c>
      <c r="AJ31" s="32">
        <f t="shared" si="75"/>
        <v>0.60000002384185791</v>
      </c>
      <c r="AK31" s="31">
        <f>Segunda!AK31</f>
        <v>1.2000000476837158</v>
      </c>
      <c r="AL31" s="32">
        <f t="shared" si="76"/>
        <v>0.60000002384185791</v>
      </c>
      <c r="AM31" s="31">
        <f>Segunda!AM31</f>
        <v>0.40000000596046448</v>
      </c>
      <c r="AN31" s="32">
        <f t="shared" si="77"/>
        <v>0.20000000298023224</v>
      </c>
      <c r="AO31" s="31">
        <f>Segunda!AO31</f>
        <v>1</v>
      </c>
      <c r="AP31" s="32">
        <f t="shared" si="78"/>
        <v>0.5</v>
      </c>
      <c r="AQ31" s="31">
        <f>Segunda!AQ31</f>
        <v>1.6000000238418579</v>
      </c>
      <c r="AR31" s="32">
        <f t="shared" si="79"/>
        <v>0.80000001192092896</v>
      </c>
      <c r="AS31" s="31">
        <f>Segunda!AS31</f>
        <v>1.7999999523162842</v>
      </c>
      <c r="AT31" s="32">
        <f t="shared" si="80"/>
        <v>0.89999997615814209</v>
      </c>
      <c r="AU31" s="31">
        <f>Segunda!AU31</f>
        <v>0.20000000298023224</v>
      </c>
      <c r="AV31" s="32">
        <f t="shared" si="81"/>
        <v>0.10000000149011612</v>
      </c>
      <c r="AW31" s="31">
        <f>Segunda!AW31</f>
        <v>1</v>
      </c>
      <c r="AX31" s="32">
        <f t="shared" si="82"/>
        <v>0.5</v>
      </c>
      <c r="AY31" s="31">
        <f>Segunda!AY31</f>
        <v>0.80000001192092896</v>
      </c>
      <c r="AZ31" s="32">
        <f t="shared" si="83"/>
        <v>0.40000000596046448</v>
      </c>
      <c r="BA31" s="31">
        <f>Segunda!BA31</f>
        <v>0</v>
      </c>
      <c r="BB31" s="32">
        <f t="shared" si="84"/>
        <v>0</v>
      </c>
      <c r="BC31" s="31">
        <f>Segunda!BC31</f>
        <v>0.80000001192092896</v>
      </c>
      <c r="BD31" s="32">
        <f t="shared" si="85"/>
        <v>0.40000000596046448</v>
      </c>
      <c r="BE31" s="31">
        <f>Segunda!BE31</f>
        <v>1.3999999761581421</v>
      </c>
      <c r="BF31" s="32">
        <f t="shared" si="86"/>
        <v>0.69999998807907104</v>
      </c>
      <c r="BG31" s="31">
        <f>Segunda!BG31</f>
        <v>1</v>
      </c>
      <c r="BH31" s="32">
        <f t="shared" si="87"/>
        <v>0.5</v>
      </c>
      <c r="BI31" s="31">
        <f>Segunda!BI31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Segunda!B32</f>
        <v>0</v>
      </c>
      <c r="C32" s="31">
        <f>Segunda!C32</f>
        <v>0</v>
      </c>
      <c r="D32" s="32">
        <f t="shared" si="59"/>
        <v>-1</v>
      </c>
      <c r="E32" s="31">
        <f>Segunda!E32</f>
        <v>0</v>
      </c>
      <c r="F32" s="32">
        <f t="shared" si="60"/>
        <v>-1</v>
      </c>
      <c r="G32" s="31">
        <f>Segunda!G32</f>
        <v>0</v>
      </c>
      <c r="H32" s="32">
        <f t="shared" si="61"/>
        <v>-1</v>
      </c>
      <c r="I32" s="31">
        <f>Segunda!I32</f>
        <v>0</v>
      </c>
      <c r="J32" s="32">
        <f t="shared" si="62"/>
        <v>-1</v>
      </c>
      <c r="K32" s="31">
        <f>Segunda!K32</f>
        <v>0</v>
      </c>
      <c r="L32" s="32">
        <f t="shared" si="63"/>
        <v>-1</v>
      </c>
      <c r="M32" s="31">
        <f>Segunda!M32</f>
        <v>0</v>
      </c>
      <c r="N32" s="32">
        <f t="shared" si="64"/>
        <v>-1</v>
      </c>
      <c r="O32" s="31">
        <f>Segunda!O32</f>
        <v>0</v>
      </c>
      <c r="P32" s="32">
        <f t="shared" si="65"/>
        <v>-1</v>
      </c>
      <c r="Q32" s="31">
        <f>Segunda!Q32</f>
        <v>0</v>
      </c>
      <c r="R32" s="32">
        <f t="shared" si="66"/>
        <v>-1</v>
      </c>
      <c r="S32" s="31">
        <f>Segunda!S32</f>
        <v>0</v>
      </c>
      <c r="T32" s="32">
        <f t="shared" si="67"/>
        <v>-1</v>
      </c>
      <c r="U32" s="31">
        <f>Segunda!U32</f>
        <v>0</v>
      </c>
      <c r="V32" s="32">
        <f t="shared" si="68"/>
        <v>-1</v>
      </c>
      <c r="W32" s="31">
        <f>Segunda!W32</f>
        <v>0</v>
      </c>
      <c r="X32" s="32">
        <f t="shared" si="69"/>
        <v>-1</v>
      </c>
      <c r="Y32" s="31">
        <f>Segunda!Y32</f>
        <v>0</v>
      </c>
      <c r="Z32" s="32">
        <f t="shared" si="70"/>
        <v>-1</v>
      </c>
      <c r="AA32" s="31">
        <f>Segunda!AA32</f>
        <v>0</v>
      </c>
      <c r="AB32" s="32">
        <f t="shared" si="71"/>
        <v>-1</v>
      </c>
      <c r="AC32" s="31">
        <f>Segunda!AC32</f>
        <v>0</v>
      </c>
      <c r="AD32" s="32">
        <f t="shared" si="72"/>
        <v>-1</v>
      </c>
      <c r="AE32" s="31">
        <f>Segunda!AE32</f>
        <v>0</v>
      </c>
      <c r="AF32" s="32">
        <f t="shared" si="73"/>
        <v>-1</v>
      </c>
      <c r="AG32" s="31">
        <f>Segunda!AG32</f>
        <v>0</v>
      </c>
      <c r="AH32" s="32">
        <f t="shared" si="74"/>
        <v>-1</v>
      </c>
      <c r="AI32" s="31">
        <f>Segunda!AI32</f>
        <v>0</v>
      </c>
      <c r="AJ32" s="32">
        <f t="shared" si="75"/>
        <v>-1</v>
      </c>
      <c r="AK32" s="31">
        <f>Segunda!AK32</f>
        <v>0</v>
      </c>
      <c r="AL32" s="32">
        <f t="shared" si="76"/>
        <v>-1</v>
      </c>
      <c r="AM32" s="31">
        <f>Segunda!AM32</f>
        <v>0</v>
      </c>
      <c r="AN32" s="32">
        <f t="shared" si="77"/>
        <v>-1</v>
      </c>
      <c r="AO32" s="31">
        <f>Segunda!AO32</f>
        <v>0</v>
      </c>
      <c r="AP32" s="32">
        <f t="shared" si="78"/>
        <v>-1</v>
      </c>
      <c r="AQ32" s="31">
        <f>Segunda!AQ32</f>
        <v>0</v>
      </c>
      <c r="AR32" s="32">
        <f t="shared" si="79"/>
        <v>-1</v>
      </c>
      <c r="AS32" s="31">
        <f>Segunda!AS32</f>
        <v>0</v>
      </c>
      <c r="AT32" s="32">
        <f t="shared" si="80"/>
        <v>-1</v>
      </c>
      <c r="AU32" s="31">
        <f>Segunda!AU32</f>
        <v>0</v>
      </c>
      <c r="AV32" s="32">
        <f t="shared" si="81"/>
        <v>-1</v>
      </c>
      <c r="AW32" s="31">
        <f>Segunda!AW32</f>
        <v>0</v>
      </c>
      <c r="AX32" s="32">
        <f t="shared" si="82"/>
        <v>-1</v>
      </c>
      <c r="AY32" s="31">
        <f>Segunda!AY32</f>
        <v>0</v>
      </c>
      <c r="AZ32" s="32">
        <f t="shared" si="83"/>
        <v>-1</v>
      </c>
      <c r="BA32" s="31">
        <f>Segunda!BA32</f>
        <v>0</v>
      </c>
      <c r="BB32" s="32">
        <f t="shared" si="84"/>
        <v>-1</v>
      </c>
      <c r="BC32" s="31">
        <f>Segunda!BC32</f>
        <v>0</v>
      </c>
      <c r="BD32" s="32">
        <f t="shared" si="85"/>
        <v>-1</v>
      </c>
      <c r="BE32" s="31">
        <f>Segunda!BE32</f>
        <v>0</v>
      </c>
      <c r="BF32" s="32">
        <f t="shared" si="86"/>
        <v>-1</v>
      </c>
      <c r="BG32" s="31">
        <f>Segunda!BG32</f>
        <v>0</v>
      </c>
      <c r="BH32" s="32">
        <f t="shared" si="87"/>
        <v>-1</v>
      </c>
      <c r="BI32" s="31">
        <f>Segunda!BI32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Segunda!B33</f>
        <v>0</v>
      </c>
      <c r="C33" s="31">
        <f>Segunda!C33</f>
        <v>0</v>
      </c>
      <c r="D33" s="32">
        <f t="shared" si="59"/>
        <v>-1</v>
      </c>
      <c r="E33" s="31">
        <f>Segunda!E33</f>
        <v>0</v>
      </c>
      <c r="F33" s="32">
        <f t="shared" si="60"/>
        <v>-1</v>
      </c>
      <c r="G33" s="31">
        <f>Segunda!G33</f>
        <v>0</v>
      </c>
      <c r="H33" s="32">
        <f t="shared" si="61"/>
        <v>-1</v>
      </c>
      <c r="I33" s="31">
        <f>Segunda!I33</f>
        <v>0</v>
      </c>
      <c r="J33" s="32">
        <f t="shared" si="62"/>
        <v>-1</v>
      </c>
      <c r="K33" s="31">
        <f>Segunda!K33</f>
        <v>0</v>
      </c>
      <c r="L33" s="32">
        <f t="shared" si="63"/>
        <v>-1</v>
      </c>
      <c r="M33" s="31">
        <f>Segunda!M33</f>
        <v>0</v>
      </c>
      <c r="N33" s="32">
        <f t="shared" si="64"/>
        <v>-1</v>
      </c>
      <c r="O33" s="31">
        <f>Segunda!O33</f>
        <v>0</v>
      </c>
      <c r="P33" s="32">
        <f t="shared" si="65"/>
        <v>-1</v>
      </c>
      <c r="Q33" s="31">
        <f>Segunda!Q33</f>
        <v>0</v>
      </c>
      <c r="R33" s="32">
        <f t="shared" si="66"/>
        <v>-1</v>
      </c>
      <c r="S33" s="31">
        <f>Segunda!S33</f>
        <v>0</v>
      </c>
      <c r="T33" s="32">
        <f t="shared" si="67"/>
        <v>-1</v>
      </c>
      <c r="U33" s="31">
        <f>Segunda!U33</f>
        <v>0</v>
      </c>
      <c r="V33" s="32">
        <f t="shared" si="68"/>
        <v>-1</v>
      </c>
      <c r="W33" s="31">
        <f>Segunda!W33</f>
        <v>0</v>
      </c>
      <c r="X33" s="32">
        <f t="shared" si="69"/>
        <v>-1</v>
      </c>
      <c r="Y33" s="31">
        <f>Segunda!Y33</f>
        <v>0</v>
      </c>
      <c r="Z33" s="32">
        <f t="shared" si="70"/>
        <v>-1</v>
      </c>
      <c r="AA33" s="31">
        <f>Segunda!AA33</f>
        <v>0</v>
      </c>
      <c r="AB33" s="32">
        <f t="shared" si="71"/>
        <v>-1</v>
      </c>
      <c r="AC33" s="31">
        <f>Segunda!AC33</f>
        <v>0</v>
      </c>
      <c r="AD33" s="32">
        <f t="shared" si="72"/>
        <v>-1</v>
      </c>
      <c r="AE33" s="31">
        <f>Segunda!AE33</f>
        <v>0</v>
      </c>
      <c r="AF33" s="32">
        <f t="shared" si="73"/>
        <v>-1</v>
      </c>
      <c r="AG33" s="31">
        <f>Segunda!AG33</f>
        <v>0</v>
      </c>
      <c r="AH33" s="32">
        <f t="shared" si="74"/>
        <v>-1</v>
      </c>
      <c r="AI33" s="31">
        <f>Segunda!AI33</f>
        <v>0</v>
      </c>
      <c r="AJ33" s="32">
        <f t="shared" si="75"/>
        <v>-1</v>
      </c>
      <c r="AK33" s="31">
        <f>Segunda!AK33</f>
        <v>0</v>
      </c>
      <c r="AL33" s="32">
        <f t="shared" si="76"/>
        <v>-1</v>
      </c>
      <c r="AM33" s="31">
        <f>Segunda!AM33</f>
        <v>0</v>
      </c>
      <c r="AN33" s="32">
        <f t="shared" si="77"/>
        <v>-1</v>
      </c>
      <c r="AO33" s="31">
        <f>Segunda!AO33</f>
        <v>0</v>
      </c>
      <c r="AP33" s="32">
        <f t="shared" si="78"/>
        <v>-1</v>
      </c>
      <c r="AQ33" s="31">
        <f>Segunda!AQ33</f>
        <v>0</v>
      </c>
      <c r="AR33" s="32">
        <f t="shared" si="79"/>
        <v>-1</v>
      </c>
      <c r="AS33" s="31">
        <f>Segunda!AS33</f>
        <v>0</v>
      </c>
      <c r="AT33" s="32">
        <f t="shared" si="80"/>
        <v>-1</v>
      </c>
      <c r="AU33" s="31">
        <f>Segunda!AU33</f>
        <v>0</v>
      </c>
      <c r="AV33" s="32">
        <f t="shared" si="81"/>
        <v>-1</v>
      </c>
      <c r="AW33" s="31">
        <f>Segunda!AW33</f>
        <v>0</v>
      </c>
      <c r="AX33" s="32">
        <f t="shared" si="82"/>
        <v>-1</v>
      </c>
      <c r="AY33" s="31">
        <f>Segunda!AY33</f>
        <v>0</v>
      </c>
      <c r="AZ33" s="32">
        <f t="shared" si="83"/>
        <v>-1</v>
      </c>
      <c r="BA33" s="31">
        <f>Segunda!BA33</f>
        <v>0</v>
      </c>
      <c r="BB33" s="32">
        <f t="shared" si="84"/>
        <v>-1</v>
      </c>
      <c r="BC33" s="31">
        <f>Segunda!BC33</f>
        <v>0</v>
      </c>
      <c r="BD33" s="32">
        <f t="shared" si="85"/>
        <v>-1</v>
      </c>
      <c r="BE33" s="31">
        <f>Segunda!BE33</f>
        <v>0</v>
      </c>
      <c r="BF33" s="32">
        <f t="shared" si="86"/>
        <v>-1</v>
      </c>
      <c r="BG33" s="31">
        <f>Segunda!BG33</f>
        <v>0</v>
      </c>
      <c r="BH33" s="32">
        <f t="shared" si="87"/>
        <v>-1</v>
      </c>
      <c r="BI33" s="31">
        <f>Segunda!BI33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Segunda!B34</f>
        <v>0</v>
      </c>
      <c r="C34" s="31">
        <f>Segunda!C34</f>
        <v>0</v>
      </c>
      <c r="D34" s="32">
        <f t="shared" si="59"/>
        <v>-1</v>
      </c>
      <c r="E34" s="31">
        <f>Segunda!E34</f>
        <v>0</v>
      </c>
      <c r="F34" s="32">
        <f t="shared" si="60"/>
        <v>-1</v>
      </c>
      <c r="G34" s="31">
        <f>Segunda!G34</f>
        <v>0</v>
      </c>
      <c r="H34" s="32">
        <f t="shared" si="61"/>
        <v>-1</v>
      </c>
      <c r="I34" s="31">
        <f>Segunda!I34</f>
        <v>0</v>
      </c>
      <c r="J34" s="32">
        <f t="shared" si="62"/>
        <v>-1</v>
      </c>
      <c r="K34" s="31">
        <f>Segunda!K34</f>
        <v>0</v>
      </c>
      <c r="L34" s="32">
        <f t="shared" si="63"/>
        <v>-1</v>
      </c>
      <c r="M34" s="31">
        <f>Segunda!M34</f>
        <v>0</v>
      </c>
      <c r="N34" s="32">
        <f t="shared" si="64"/>
        <v>-1</v>
      </c>
      <c r="O34" s="31">
        <f>Segunda!O34</f>
        <v>0</v>
      </c>
      <c r="P34" s="32">
        <f t="shared" si="65"/>
        <v>-1</v>
      </c>
      <c r="Q34" s="31">
        <f>Segunda!Q34</f>
        <v>0</v>
      </c>
      <c r="R34" s="32">
        <f t="shared" si="66"/>
        <v>-1</v>
      </c>
      <c r="S34" s="31">
        <f>Segunda!S34</f>
        <v>0</v>
      </c>
      <c r="T34" s="32">
        <f t="shared" si="67"/>
        <v>-1</v>
      </c>
      <c r="U34" s="31">
        <f>Segunda!U34</f>
        <v>0</v>
      </c>
      <c r="V34" s="32">
        <f t="shared" si="68"/>
        <v>-1</v>
      </c>
      <c r="W34" s="31">
        <f>Segunda!W34</f>
        <v>0</v>
      </c>
      <c r="X34" s="32">
        <f t="shared" si="69"/>
        <v>-1</v>
      </c>
      <c r="Y34" s="31">
        <f>Segunda!Y34</f>
        <v>0</v>
      </c>
      <c r="Z34" s="32">
        <f t="shared" si="70"/>
        <v>-1</v>
      </c>
      <c r="AA34" s="31">
        <f>Segunda!AA34</f>
        <v>0</v>
      </c>
      <c r="AB34" s="32">
        <f t="shared" si="71"/>
        <v>-1</v>
      </c>
      <c r="AC34" s="31">
        <f>Segunda!AC34</f>
        <v>0</v>
      </c>
      <c r="AD34" s="32">
        <f t="shared" si="72"/>
        <v>-1</v>
      </c>
      <c r="AE34" s="31">
        <f>Segunda!AE34</f>
        <v>0</v>
      </c>
      <c r="AF34" s="32">
        <f t="shared" si="73"/>
        <v>-1</v>
      </c>
      <c r="AG34" s="31">
        <f>Segunda!AG34</f>
        <v>0</v>
      </c>
      <c r="AH34" s="32">
        <f t="shared" si="74"/>
        <v>-1</v>
      </c>
      <c r="AI34" s="31">
        <f>Segunda!AI34</f>
        <v>0</v>
      </c>
      <c r="AJ34" s="32">
        <f t="shared" si="75"/>
        <v>-1</v>
      </c>
      <c r="AK34" s="31">
        <f>Segunda!AK34</f>
        <v>0</v>
      </c>
      <c r="AL34" s="32">
        <f t="shared" si="76"/>
        <v>-1</v>
      </c>
      <c r="AM34" s="31">
        <f>Segunda!AM34</f>
        <v>0</v>
      </c>
      <c r="AN34" s="32">
        <f t="shared" si="77"/>
        <v>-1</v>
      </c>
      <c r="AO34" s="31">
        <f>Segunda!AO34</f>
        <v>0</v>
      </c>
      <c r="AP34" s="32">
        <f t="shared" si="78"/>
        <v>-1</v>
      </c>
      <c r="AQ34" s="31">
        <f>Segunda!AQ34</f>
        <v>0</v>
      </c>
      <c r="AR34" s="32">
        <f t="shared" si="79"/>
        <v>-1</v>
      </c>
      <c r="AS34" s="31">
        <f>Segunda!AS34</f>
        <v>0</v>
      </c>
      <c r="AT34" s="32">
        <f t="shared" si="80"/>
        <v>-1</v>
      </c>
      <c r="AU34" s="31">
        <f>Segunda!AU34</f>
        <v>0</v>
      </c>
      <c r="AV34" s="32">
        <f t="shared" si="81"/>
        <v>-1</v>
      </c>
      <c r="AW34" s="31">
        <f>Segunda!AW34</f>
        <v>0</v>
      </c>
      <c r="AX34" s="32">
        <f t="shared" si="82"/>
        <v>-1</v>
      </c>
      <c r="AY34" s="31">
        <f>Segunda!AY34</f>
        <v>0</v>
      </c>
      <c r="AZ34" s="32">
        <f t="shared" si="83"/>
        <v>-1</v>
      </c>
      <c r="BA34" s="31">
        <f>Segunda!BA34</f>
        <v>0</v>
      </c>
      <c r="BB34" s="32">
        <f t="shared" si="84"/>
        <v>-1</v>
      </c>
      <c r="BC34" s="31">
        <f>Segunda!BC34</f>
        <v>0</v>
      </c>
      <c r="BD34" s="32">
        <f t="shared" si="85"/>
        <v>-1</v>
      </c>
      <c r="BE34" s="31">
        <f>Segunda!BE34</f>
        <v>0</v>
      </c>
      <c r="BF34" s="32">
        <f t="shared" si="86"/>
        <v>-1</v>
      </c>
      <c r="BG34" s="31">
        <f>Segunda!BG34</f>
        <v>0</v>
      </c>
      <c r="BH34" s="32">
        <f t="shared" si="87"/>
        <v>-1</v>
      </c>
      <c r="BI34" s="31">
        <f>Segunda!BI34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Segunda!B35</f>
        <v>0</v>
      </c>
      <c r="C35" s="31">
        <f>Segunda!C35</f>
        <v>0</v>
      </c>
      <c r="D35" s="32">
        <f t="shared" si="59"/>
        <v>-1</v>
      </c>
      <c r="E35" s="31">
        <f>Segunda!E35</f>
        <v>0</v>
      </c>
      <c r="F35" s="32">
        <f t="shared" si="60"/>
        <v>-1</v>
      </c>
      <c r="G35" s="31">
        <f>Segunda!G35</f>
        <v>0</v>
      </c>
      <c r="H35" s="32">
        <f t="shared" si="61"/>
        <v>-1</v>
      </c>
      <c r="I35" s="31">
        <f>Segunda!I35</f>
        <v>0</v>
      </c>
      <c r="J35" s="32">
        <f t="shared" si="62"/>
        <v>-1</v>
      </c>
      <c r="K35" s="31">
        <f>Segunda!K35</f>
        <v>0</v>
      </c>
      <c r="L35" s="32">
        <f t="shared" si="63"/>
        <v>-1</v>
      </c>
      <c r="M35" s="31">
        <f>Segunda!M35</f>
        <v>0</v>
      </c>
      <c r="N35" s="32">
        <f t="shared" si="64"/>
        <v>-1</v>
      </c>
      <c r="O35" s="31">
        <f>Segunda!O35</f>
        <v>0</v>
      </c>
      <c r="P35" s="32">
        <f t="shared" si="65"/>
        <v>-1</v>
      </c>
      <c r="Q35" s="31">
        <f>Segunda!Q35</f>
        <v>0</v>
      </c>
      <c r="R35" s="32">
        <f t="shared" si="66"/>
        <v>-1</v>
      </c>
      <c r="S35" s="31">
        <f>Segunda!S35</f>
        <v>0</v>
      </c>
      <c r="T35" s="32">
        <f t="shared" si="67"/>
        <v>-1</v>
      </c>
      <c r="U35" s="31">
        <f>Segunda!U35</f>
        <v>0</v>
      </c>
      <c r="V35" s="32">
        <f t="shared" si="68"/>
        <v>-1</v>
      </c>
      <c r="W35" s="31">
        <f>Segunda!W35</f>
        <v>0</v>
      </c>
      <c r="X35" s="32">
        <f t="shared" si="69"/>
        <v>-1</v>
      </c>
      <c r="Y35" s="31">
        <f>Segunda!Y35</f>
        <v>0</v>
      </c>
      <c r="Z35" s="32">
        <f t="shared" si="70"/>
        <v>-1</v>
      </c>
      <c r="AA35" s="31">
        <f>Segunda!AA35</f>
        <v>0</v>
      </c>
      <c r="AB35" s="32">
        <f t="shared" si="71"/>
        <v>-1</v>
      </c>
      <c r="AC35" s="31">
        <f>Segunda!AC35</f>
        <v>0</v>
      </c>
      <c r="AD35" s="32">
        <f t="shared" si="72"/>
        <v>-1</v>
      </c>
      <c r="AE35" s="31">
        <f>Segunda!AE35</f>
        <v>0</v>
      </c>
      <c r="AF35" s="32">
        <f t="shared" si="73"/>
        <v>-1</v>
      </c>
      <c r="AG35" s="31">
        <f>Segunda!AG35</f>
        <v>0</v>
      </c>
      <c r="AH35" s="32">
        <f t="shared" si="74"/>
        <v>-1</v>
      </c>
      <c r="AI35" s="31">
        <f>Segunda!AI35</f>
        <v>0</v>
      </c>
      <c r="AJ35" s="32">
        <f t="shared" si="75"/>
        <v>-1</v>
      </c>
      <c r="AK35" s="31">
        <f>Segunda!AK35</f>
        <v>0</v>
      </c>
      <c r="AL35" s="32">
        <f t="shared" si="76"/>
        <v>-1</v>
      </c>
      <c r="AM35" s="31">
        <f>Segunda!AM35</f>
        <v>0</v>
      </c>
      <c r="AN35" s="32">
        <f t="shared" si="77"/>
        <v>-1</v>
      </c>
      <c r="AO35" s="31">
        <f>Segunda!AO35</f>
        <v>0</v>
      </c>
      <c r="AP35" s="32">
        <f t="shared" si="78"/>
        <v>-1</v>
      </c>
      <c r="AQ35" s="31">
        <f>Segunda!AQ35</f>
        <v>0</v>
      </c>
      <c r="AR35" s="32">
        <f t="shared" si="79"/>
        <v>-1</v>
      </c>
      <c r="AS35" s="31">
        <f>Segunda!AS35</f>
        <v>0</v>
      </c>
      <c r="AT35" s="32">
        <f t="shared" si="80"/>
        <v>-1</v>
      </c>
      <c r="AU35" s="31">
        <f>Segunda!AU35</f>
        <v>0</v>
      </c>
      <c r="AV35" s="32">
        <f t="shared" si="81"/>
        <v>-1</v>
      </c>
      <c r="AW35" s="31">
        <f>Segunda!AW35</f>
        <v>0</v>
      </c>
      <c r="AX35" s="32">
        <f t="shared" si="82"/>
        <v>-1</v>
      </c>
      <c r="AY35" s="31">
        <f>Segunda!AY35</f>
        <v>0</v>
      </c>
      <c r="AZ35" s="32">
        <f t="shared" si="83"/>
        <v>-1</v>
      </c>
      <c r="BA35" s="31">
        <f>Segunda!BA35</f>
        <v>0</v>
      </c>
      <c r="BB35" s="32">
        <f t="shared" si="84"/>
        <v>-1</v>
      </c>
      <c r="BC35" s="31">
        <f>Segunda!BC35</f>
        <v>0</v>
      </c>
      <c r="BD35" s="32">
        <f t="shared" si="85"/>
        <v>-1</v>
      </c>
      <c r="BE35" s="31">
        <f>Segunda!BE35</f>
        <v>0</v>
      </c>
      <c r="BF35" s="32">
        <f t="shared" si="86"/>
        <v>-1</v>
      </c>
      <c r="BG35" s="31">
        <f>Segunda!BG35</f>
        <v>0</v>
      </c>
      <c r="BH35" s="32">
        <f t="shared" si="87"/>
        <v>-1</v>
      </c>
      <c r="BI35" s="31">
        <f>Segunda!BI35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Segunda!B36</f>
        <v>0</v>
      </c>
      <c r="C36" s="31">
        <f>Segunda!C36</f>
        <v>0</v>
      </c>
      <c r="D36" s="32">
        <f t="shared" si="59"/>
        <v>-1</v>
      </c>
      <c r="E36" s="31">
        <f>Segunda!E36</f>
        <v>0</v>
      </c>
      <c r="F36" s="32">
        <f t="shared" si="60"/>
        <v>-1</v>
      </c>
      <c r="G36" s="31">
        <f>Segunda!G36</f>
        <v>0</v>
      </c>
      <c r="H36" s="32">
        <f t="shared" si="61"/>
        <v>-1</v>
      </c>
      <c r="I36" s="31">
        <f>Segunda!I36</f>
        <v>0</v>
      </c>
      <c r="J36" s="32">
        <f t="shared" si="62"/>
        <v>-1</v>
      </c>
      <c r="K36" s="31">
        <f>Segunda!K36</f>
        <v>0</v>
      </c>
      <c r="L36" s="32">
        <f t="shared" si="63"/>
        <v>-1</v>
      </c>
      <c r="M36" s="31">
        <f>Segunda!M36</f>
        <v>0</v>
      </c>
      <c r="N36" s="32">
        <f t="shared" si="64"/>
        <v>-1</v>
      </c>
      <c r="O36" s="31">
        <f>Segunda!O36</f>
        <v>0</v>
      </c>
      <c r="P36" s="32">
        <f t="shared" si="65"/>
        <v>-1</v>
      </c>
      <c r="Q36" s="31">
        <f>Segunda!Q36</f>
        <v>0</v>
      </c>
      <c r="R36" s="32">
        <f t="shared" si="66"/>
        <v>-1</v>
      </c>
      <c r="S36" s="31">
        <f>Segunda!S36</f>
        <v>0</v>
      </c>
      <c r="T36" s="32">
        <f t="shared" si="67"/>
        <v>-1</v>
      </c>
      <c r="U36" s="31">
        <f>Segunda!U36</f>
        <v>0</v>
      </c>
      <c r="V36" s="32">
        <f t="shared" si="68"/>
        <v>-1</v>
      </c>
      <c r="W36" s="31">
        <f>Segunda!W36</f>
        <v>0</v>
      </c>
      <c r="X36" s="32">
        <f t="shared" si="69"/>
        <v>-1</v>
      </c>
      <c r="Y36" s="31">
        <f>Segunda!Y36</f>
        <v>0</v>
      </c>
      <c r="Z36" s="32">
        <f t="shared" si="70"/>
        <v>-1</v>
      </c>
      <c r="AA36" s="31">
        <f>Segunda!AA36</f>
        <v>0</v>
      </c>
      <c r="AB36" s="32">
        <f t="shared" si="71"/>
        <v>-1</v>
      </c>
      <c r="AC36" s="31">
        <f>Segunda!AC36</f>
        <v>0</v>
      </c>
      <c r="AD36" s="32">
        <f t="shared" si="72"/>
        <v>-1</v>
      </c>
      <c r="AE36" s="31">
        <f>Segunda!AE36</f>
        <v>0</v>
      </c>
      <c r="AF36" s="32">
        <f t="shared" si="73"/>
        <v>-1</v>
      </c>
      <c r="AG36" s="31">
        <f>Segunda!AG36</f>
        <v>0</v>
      </c>
      <c r="AH36" s="32">
        <f t="shared" si="74"/>
        <v>-1</v>
      </c>
      <c r="AI36" s="31">
        <f>Segunda!AI36</f>
        <v>0</v>
      </c>
      <c r="AJ36" s="32">
        <f t="shared" si="75"/>
        <v>-1</v>
      </c>
      <c r="AK36" s="31">
        <f>Segunda!AK36</f>
        <v>0</v>
      </c>
      <c r="AL36" s="32">
        <f t="shared" si="76"/>
        <v>-1</v>
      </c>
      <c r="AM36" s="31">
        <f>Segunda!AM36</f>
        <v>0</v>
      </c>
      <c r="AN36" s="32">
        <f t="shared" si="77"/>
        <v>-1</v>
      </c>
      <c r="AO36" s="31">
        <f>Segunda!AO36</f>
        <v>0</v>
      </c>
      <c r="AP36" s="32">
        <f t="shared" si="78"/>
        <v>-1</v>
      </c>
      <c r="AQ36" s="31">
        <f>Segunda!AQ36</f>
        <v>0</v>
      </c>
      <c r="AR36" s="32">
        <f t="shared" si="79"/>
        <v>-1</v>
      </c>
      <c r="AS36" s="31">
        <f>Segunda!AS36</f>
        <v>0</v>
      </c>
      <c r="AT36" s="32">
        <f t="shared" si="80"/>
        <v>-1</v>
      </c>
      <c r="AU36" s="31">
        <f>Segunda!AU36</f>
        <v>0</v>
      </c>
      <c r="AV36" s="32">
        <f t="shared" si="81"/>
        <v>-1</v>
      </c>
      <c r="AW36" s="31">
        <f>Segunda!AW36</f>
        <v>0</v>
      </c>
      <c r="AX36" s="32">
        <f t="shared" si="82"/>
        <v>-1</v>
      </c>
      <c r="AY36" s="31">
        <f>Segunda!AY36</f>
        <v>0</v>
      </c>
      <c r="AZ36" s="32">
        <f t="shared" si="83"/>
        <v>-1</v>
      </c>
      <c r="BA36" s="31">
        <f>Segunda!BA36</f>
        <v>0</v>
      </c>
      <c r="BB36" s="32">
        <f t="shared" si="84"/>
        <v>-1</v>
      </c>
      <c r="BC36" s="31">
        <f>Segunda!BC36</f>
        <v>0</v>
      </c>
      <c r="BD36" s="32">
        <f t="shared" si="85"/>
        <v>-1</v>
      </c>
      <c r="BE36" s="31">
        <f>Segunda!BE36</f>
        <v>0</v>
      </c>
      <c r="BF36" s="32">
        <f t="shared" si="86"/>
        <v>-1</v>
      </c>
      <c r="BG36" s="31">
        <f>Segunda!BG36</f>
        <v>0</v>
      </c>
      <c r="BH36" s="32">
        <f t="shared" si="87"/>
        <v>-1</v>
      </c>
      <c r="BI36" s="31">
        <f>Segunda!BI36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Segunda!B37</f>
        <v>0</v>
      </c>
      <c r="C37" s="31">
        <f>Segunda!C37</f>
        <v>0</v>
      </c>
      <c r="D37" s="32">
        <f t="shared" si="59"/>
        <v>-1</v>
      </c>
      <c r="E37" s="31">
        <f>Segunda!E37</f>
        <v>0</v>
      </c>
      <c r="F37" s="32">
        <f t="shared" si="60"/>
        <v>-1</v>
      </c>
      <c r="G37" s="31">
        <f>Segunda!G37</f>
        <v>0</v>
      </c>
      <c r="H37" s="32">
        <f t="shared" si="61"/>
        <v>-1</v>
      </c>
      <c r="I37" s="31">
        <f>Segunda!I37</f>
        <v>0</v>
      </c>
      <c r="J37" s="32">
        <f t="shared" si="62"/>
        <v>-1</v>
      </c>
      <c r="K37" s="31">
        <f>Segunda!K37</f>
        <v>0</v>
      </c>
      <c r="L37" s="32">
        <f t="shared" si="63"/>
        <v>-1</v>
      </c>
      <c r="M37" s="31">
        <f>Segunda!M37</f>
        <v>0</v>
      </c>
      <c r="N37" s="32">
        <f t="shared" si="64"/>
        <v>-1</v>
      </c>
      <c r="O37" s="31">
        <f>Segunda!O37</f>
        <v>0</v>
      </c>
      <c r="P37" s="32">
        <f t="shared" si="65"/>
        <v>-1</v>
      </c>
      <c r="Q37" s="31">
        <f>Segunda!Q37</f>
        <v>0</v>
      </c>
      <c r="R37" s="32">
        <f t="shared" si="66"/>
        <v>-1</v>
      </c>
      <c r="S37" s="31">
        <f>Segunda!S37</f>
        <v>0</v>
      </c>
      <c r="T37" s="32">
        <f t="shared" si="67"/>
        <v>-1</v>
      </c>
      <c r="U37" s="31">
        <f>Segunda!U37</f>
        <v>0</v>
      </c>
      <c r="V37" s="32">
        <f t="shared" si="68"/>
        <v>-1</v>
      </c>
      <c r="W37" s="31">
        <f>Segunda!W37</f>
        <v>0</v>
      </c>
      <c r="X37" s="32">
        <f t="shared" si="69"/>
        <v>-1</v>
      </c>
      <c r="Y37" s="31">
        <f>Segunda!Y37</f>
        <v>0</v>
      </c>
      <c r="Z37" s="32">
        <f t="shared" si="70"/>
        <v>-1</v>
      </c>
      <c r="AA37" s="31">
        <f>Segunda!AA37</f>
        <v>0</v>
      </c>
      <c r="AB37" s="32">
        <f t="shared" si="71"/>
        <v>-1</v>
      </c>
      <c r="AC37" s="31">
        <f>Segunda!AC37</f>
        <v>0</v>
      </c>
      <c r="AD37" s="32">
        <f t="shared" si="72"/>
        <v>-1</v>
      </c>
      <c r="AE37" s="31">
        <f>Segunda!AE37</f>
        <v>0</v>
      </c>
      <c r="AF37" s="32">
        <f t="shared" si="73"/>
        <v>-1</v>
      </c>
      <c r="AG37" s="31">
        <f>Segunda!AG37</f>
        <v>0</v>
      </c>
      <c r="AH37" s="32">
        <f t="shared" si="74"/>
        <v>-1</v>
      </c>
      <c r="AI37" s="31">
        <f>Segunda!AI37</f>
        <v>0</v>
      </c>
      <c r="AJ37" s="32">
        <f t="shared" si="75"/>
        <v>-1</v>
      </c>
      <c r="AK37" s="31">
        <f>Segunda!AK37</f>
        <v>0</v>
      </c>
      <c r="AL37" s="32">
        <f t="shared" si="76"/>
        <v>-1</v>
      </c>
      <c r="AM37" s="31">
        <f>Segunda!AM37</f>
        <v>0</v>
      </c>
      <c r="AN37" s="32">
        <f t="shared" si="77"/>
        <v>-1</v>
      </c>
      <c r="AO37" s="31">
        <f>Segunda!AO37</f>
        <v>0</v>
      </c>
      <c r="AP37" s="32">
        <f t="shared" si="78"/>
        <v>-1</v>
      </c>
      <c r="AQ37" s="31">
        <f>Segunda!AQ37</f>
        <v>0</v>
      </c>
      <c r="AR37" s="32">
        <f t="shared" si="79"/>
        <v>-1</v>
      </c>
      <c r="AS37" s="31">
        <f>Segunda!AS37</f>
        <v>0</v>
      </c>
      <c r="AT37" s="32">
        <f t="shared" si="80"/>
        <v>-1</v>
      </c>
      <c r="AU37" s="31">
        <f>Segunda!AU37</f>
        <v>0</v>
      </c>
      <c r="AV37" s="32">
        <f t="shared" si="81"/>
        <v>-1</v>
      </c>
      <c r="AW37" s="31">
        <f>Segunda!AW37</f>
        <v>0</v>
      </c>
      <c r="AX37" s="32">
        <f t="shared" si="82"/>
        <v>-1</v>
      </c>
      <c r="AY37" s="31">
        <f>Segunda!AY37</f>
        <v>0</v>
      </c>
      <c r="AZ37" s="32">
        <f t="shared" si="83"/>
        <v>-1</v>
      </c>
      <c r="BA37" s="31">
        <f>Segunda!BA37</f>
        <v>0</v>
      </c>
      <c r="BB37" s="32">
        <f t="shared" si="84"/>
        <v>-1</v>
      </c>
      <c r="BC37" s="31">
        <f>Segunda!BC37</f>
        <v>0</v>
      </c>
      <c r="BD37" s="32">
        <f t="shared" si="85"/>
        <v>-1</v>
      </c>
      <c r="BE37" s="31">
        <f>Segunda!BE37</f>
        <v>0</v>
      </c>
      <c r="BF37" s="32">
        <f t="shared" si="86"/>
        <v>-1</v>
      </c>
      <c r="BG37" s="31">
        <f>Segunda!BG37</f>
        <v>0</v>
      </c>
      <c r="BH37" s="32">
        <f t="shared" si="87"/>
        <v>-1</v>
      </c>
      <c r="BI37" s="31">
        <f>Segunda!BI37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Estructura!C5</f>
        <v>0.3</v>
      </c>
      <c r="C38" s="58">
        <f>IF(SUM($B39:$B58)&lt;&gt;0,SUM(C39:C58)/SUM($B39:$B58)*$B38*10, "")</f>
        <v>2.2199999950826168</v>
      </c>
      <c r="D38" s="58"/>
      <c r="E38" s="58">
        <f>IF(SUM($B39:$B58)&lt;&gt;0,SUM(E39:E58)/SUM($B39:$B58)*$B38*10, "")</f>
        <v>1.8600000143051145</v>
      </c>
      <c r="F38" s="58"/>
      <c r="G38" s="58">
        <f>IF(SUM($B39:$B58)&lt;&gt;0,SUM(G39:G58)/SUM($B39:$B58)*$B38*10, "")</f>
        <v>1.6950000107288359</v>
      </c>
      <c r="H38" s="58"/>
      <c r="I38" s="58">
        <f>IF(SUM($B39:$B58)&lt;&gt;0,SUM(I39:I58)/SUM($B39:$B58)*$B38*10, "")</f>
        <v>1.5000000134110449</v>
      </c>
      <c r="J38" s="58"/>
      <c r="K38" s="58">
        <f>IF(SUM($B39:$B58)&lt;&gt;0,SUM(K39:K58)/SUM($B39:$B58)*$B38*10, "")</f>
        <v>1.6800000250339506</v>
      </c>
      <c r="L38" s="58"/>
      <c r="M38" s="58">
        <f>IF(SUM($B39:$B58)&lt;&gt;0,SUM(M39:M58)/SUM($B39:$B58)*$B38*10, "")</f>
        <v>1.140000021457672</v>
      </c>
      <c r="N38" s="58"/>
      <c r="O38" s="58">
        <f>IF(SUM($B39:$B58)&lt;&gt;0,SUM(O39:O58)/SUM($B39:$B58)*$B38*10, "")</f>
        <v>1.5300000138580798</v>
      </c>
      <c r="P38" s="58"/>
      <c r="Q38" s="58">
        <f>IF(SUM($B39:$B58)&lt;&gt;0,SUM(Q39:Q58)/SUM($B39:$B58)*$B38*10, "")</f>
        <v>1.0200000196695327</v>
      </c>
      <c r="R38" s="58"/>
      <c r="S38" s="58">
        <f>IF(SUM($B39:$B58)&lt;&gt;0,SUM(S39:S58)/SUM($B39:$B58)*$B38*10, "")</f>
        <v>0.99000002816319466</v>
      </c>
      <c r="T38" s="58"/>
      <c r="U38" s="58">
        <f>IF(SUM($B39:$B58)&lt;&gt;0,SUM(U39:U58)/SUM($B39:$B58)*$B38*10, "")</f>
        <v>1.3950000185519458</v>
      </c>
      <c r="V38" s="58"/>
      <c r="W38" s="58">
        <f>IF(SUM($B39:$B58)&lt;&gt;0,SUM(W39:W58)/SUM($B39:$B58)*$B38*10, "")</f>
        <v>1.6649999856948852</v>
      </c>
      <c r="X38" s="58"/>
      <c r="Y38" s="58">
        <f>IF(SUM($B39:$B58)&lt;&gt;0,SUM(Y39:Y58)/SUM($B39:$B58)*$B38*10, "")</f>
        <v>1.5000000178813933</v>
      </c>
      <c r="Z38" s="58"/>
      <c r="AA38" s="58">
        <f>IF(SUM($B39:$B58)&lt;&gt;0,SUM(AA39:AA58)/SUM($B39:$B58)*$B38*10, "")</f>
        <v>1.8450000420212744</v>
      </c>
      <c r="AB38" s="58"/>
      <c r="AC38" s="58">
        <f>IF(SUM($B39:$B58)&lt;&gt;0,SUM(AC39:AC58)/SUM($B39:$B58)*$B38*10, "")</f>
        <v>1.5600000098347664</v>
      </c>
      <c r="AD38" s="58"/>
      <c r="AE38" s="58">
        <f>IF(SUM($B39:$B58)&lt;&gt;0,SUM(AE39:AE58)/SUM($B39:$B58)*$B38*10, "")</f>
        <v>1.9349999696016313</v>
      </c>
      <c r="AF38" s="58"/>
      <c r="AG38" s="58">
        <f>IF(SUM($B39:$B58)&lt;&gt;0,SUM(AG39:AG58)/SUM($B39:$B58)*$B38*10, "")</f>
        <v>1.2900000214576721</v>
      </c>
      <c r="AH38" s="58"/>
      <c r="AI38" s="58">
        <f>IF(SUM($B39:$B58)&lt;&gt;0,SUM(AI39:AI58)/SUM($B39:$B58)*$B38*10, "")</f>
        <v>0.90000001341104507</v>
      </c>
      <c r="AJ38" s="58"/>
      <c r="AK38" s="58">
        <f>IF(SUM($B39:$B58)&lt;&gt;0,SUM(AK39:AK58)/SUM($B39:$B58)*$B38*10, "")</f>
        <v>1.6350000008940695</v>
      </c>
      <c r="AL38" s="58"/>
      <c r="AM38" s="58">
        <f>IF(SUM($B39:$B58)&lt;&gt;0,SUM(AM39:AM58)/SUM($B39:$B58)*$B38*10, "")</f>
        <v>1.6800000071525574</v>
      </c>
      <c r="AN38" s="58"/>
      <c r="AO38" s="58">
        <f>IF(SUM($B39:$B58)&lt;&gt;0,SUM(AO39:AO58)/SUM($B39:$B58)*$B38*10, "")</f>
        <v>1.3200000151991844</v>
      </c>
      <c r="AP38" s="58"/>
      <c r="AQ38" s="58">
        <f>IF(SUM($B39:$B58)&lt;&gt;0,SUM(AQ39:AQ58)/SUM($B39:$B58)*$B38*10, "")</f>
        <v>1.4400000259280206</v>
      </c>
      <c r="AR38" s="58"/>
      <c r="AS38" s="58">
        <f>IF(SUM($B39:$B58)&lt;&gt;0,SUM(AS39:AS58)/SUM($B39:$B58)*$B38*10, "")</f>
        <v>1.3650000259280204</v>
      </c>
      <c r="AT38" s="58"/>
      <c r="AU38" s="58">
        <f>IF(SUM($B39:$B58)&lt;&gt;0,SUM(AU39:AU58)/SUM($B39:$B58)*$B38*10, "")</f>
        <v>1.6800000295042992</v>
      </c>
      <c r="AV38" s="58"/>
      <c r="AW38" s="58">
        <f>IF(SUM($B39:$B58)&lt;&gt;0,SUM(AW39:AW58)/SUM($B39:$B58)*$B38*10, "")</f>
        <v>1.080000002682209</v>
      </c>
      <c r="AX38" s="58"/>
      <c r="AY38" s="58">
        <f>IF(SUM($B39:$B58)&lt;&gt;0,SUM(AY39:AY58)/SUM($B39:$B58)*$B38*10, "")</f>
        <v>1.0500000312924387</v>
      </c>
      <c r="AZ38" s="58"/>
      <c r="BA38" s="58">
        <f>IF(SUM($B39:$B58)&lt;&gt;0,SUM(BA39:BA58)/SUM($B39:$B58)*$B38*10, "")</f>
        <v>1.1849999986588955</v>
      </c>
      <c r="BB38" s="58"/>
      <c r="BC38" s="58">
        <f>IF(SUM($B39:$B58)&lt;&gt;0,SUM(BC39:BC58)/SUM($B39:$B58)*$B38*10, "")</f>
        <v>1.8600000008940698</v>
      </c>
      <c r="BD38" s="58"/>
      <c r="BE38" s="58">
        <f>IF(SUM($B39:$B58)&lt;&gt;0,SUM(BE39:BE58)/SUM($B39:$B58)*$B38*10, "")</f>
        <v>1.2000000189989803</v>
      </c>
      <c r="BF38" s="58"/>
      <c r="BG38" s="58">
        <f>IF(SUM($B39:$B58)&lt;&gt;0,SUM(BG39:BG58)/SUM($B39:$B58)*$B38*10, "")</f>
        <v>1.2900000214576721</v>
      </c>
      <c r="BH38" s="58"/>
      <c r="BI38" s="58">
        <f>IF(SUM($B39:$B58)&lt;&gt;0,SUM(BI39:BI58)/SUM($B39:$B58)*$B38*10, "")</f>
        <v>1.3800000138580799</v>
      </c>
      <c r="BJ38" s="58"/>
    </row>
    <row r="39" spans="1:62" ht="28" x14ac:dyDescent="0.2">
      <c r="A39" s="2" t="s">
        <v>39</v>
      </c>
      <c r="B39" s="13">
        <f>Segunda!B39</f>
        <v>1.5</v>
      </c>
      <c r="C39" s="31">
        <f>Segunda!C39</f>
        <v>1.5</v>
      </c>
      <c r="D39" s="32">
        <f t="shared" ref="D39:D58" si="89">IF($B39,C39/$B39,-1)</f>
        <v>1</v>
      </c>
      <c r="E39" s="31">
        <f>Segunda!E39</f>
        <v>1.5</v>
      </c>
      <c r="F39" s="32">
        <f t="shared" ref="F39:F58" si="90">IF($B39,E39/$B39,-1)</f>
        <v>1</v>
      </c>
      <c r="G39" s="31">
        <f>Segunda!G39</f>
        <v>0.90000003576278687</v>
      </c>
      <c r="H39" s="32">
        <f t="shared" ref="H39:H58" si="91">IF($B39,G39/$B39,-1)</f>
        <v>0.60000002384185791</v>
      </c>
      <c r="I39" s="31">
        <f>Segunda!I39</f>
        <v>0.75</v>
      </c>
      <c r="J39" s="32">
        <f t="shared" ref="J39:J58" si="92">IF($B39,I39/$B39,-1)</f>
        <v>0.5</v>
      </c>
      <c r="K39" s="31">
        <f>Segunda!K39</f>
        <v>0.90000003576278687</v>
      </c>
      <c r="L39" s="32">
        <f t="shared" ref="L39:L58" si="93">IF($B39,K39/$B39,-1)</f>
        <v>0.60000002384185791</v>
      </c>
      <c r="M39" s="31">
        <f>Segunda!M39</f>
        <v>0</v>
      </c>
      <c r="N39" s="32">
        <f t="shared" ref="N39:N58" si="94">IF($B39,M39/$B39,-1)</f>
        <v>0</v>
      </c>
      <c r="O39" s="31">
        <f>Segunda!O39</f>
        <v>0.30000000447034836</v>
      </c>
      <c r="P39" s="32">
        <f t="shared" ref="P39:P58" si="95">IF($B39,O39/$B39,-1)</f>
        <v>0.20000000298023224</v>
      </c>
      <c r="Q39" s="31">
        <f>Segunda!Q39</f>
        <v>0.45000001788139343</v>
      </c>
      <c r="R39" s="32">
        <f t="shared" ref="R39:R58" si="96">IF($B39,Q39/$B39,-1)</f>
        <v>0.30000001192092896</v>
      </c>
      <c r="S39" s="31">
        <f>Segunda!S39</f>
        <v>0</v>
      </c>
      <c r="T39" s="32">
        <f t="shared" ref="T39:T58" si="97">IF($B39,S39/$B39,-1)</f>
        <v>0</v>
      </c>
      <c r="U39" s="31">
        <f>Segunda!U39</f>
        <v>0.15000000223517418</v>
      </c>
      <c r="V39" s="32">
        <f t="shared" ref="V39:V58" si="98">IF($B39,U39/$B39,-1)</f>
        <v>0.10000000149011612</v>
      </c>
      <c r="W39" s="31">
        <f>Segunda!W39</f>
        <v>0.60000000894069672</v>
      </c>
      <c r="X39" s="32">
        <f t="shared" ref="X39:X58" si="99">IF($B39,W39/$B39,-1)</f>
        <v>0.40000000596046448</v>
      </c>
      <c r="Y39" s="31">
        <f>Segunda!Y39</f>
        <v>0.90000003576278687</v>
      </c>
      <c r="Z39" s="32">
        <f t="shared" ref="Z39:Z58" si="100">IF($B39,Y39/$B39,-1)</f>
        <v>0.60000002384185791</v>
      </c>
      <c r="AA39" s="31">
        <f>Segunda!AA39</f>
        <v>0.90000003576278687</v>
      </c>
      <c r="AB39" s="32">
        <f t="shared" ref="AB39:AB58" si="101">IF($B39,AA39/$B39,-1)</f>
        <v>0.60000002384185791</v>
      </c>
      <c r="AC39" s="31">
        <f>Segunda!AC39</f>
        <v>1.2000000178813934</v>
      </c>
      <c r="AD39" s="32">
        <f t="shared" ref="AD39:AD58" si="102">IF($B39,AC39/$B39,-1)</f>
        <v>0.80000001192092896</v>
      </c>
      <c r="AE39" s="31">
        <f>Segunda!AE39</f>
        <v>0</v>
      </c>
      <c r="AF39" s="32">
        <f t="shared" ref="AF39:AF58" si="103">IF($B39,AE39/$B39,-1)</f>
        <v>0</v>
      </c>
      <c r="AG39" s="31">
        <f>Segunda!AG39</f>
        <v>0.60000000894069672</v>
      </c>
      <c r="AH39" s="32">
        <f t="shared" ref="AH39:AH58" si="104">IF($B39,AG39/$B39,-1)</f>
        <v>0.40000000596046448</v>
      </c>
      <c r="AI39" s="31">
        <f>Segunda!AI39</f>
        <v>0</v>
      </c>
      <c r="AJ39" s="32">
        <f t="shared" ref="AJ39:AJ58" si="105">IF($B39,AI39/$B39,-1)</f>
        <v>0</v>
      </c>
      <c r="AK39" s="31">
        <f>Segunda!AK39</f>
        <v>0.45000001788139343</v>
      </c>
      <c r="AL39" s="32">
        <f t="shared" ref="AL39:AL58" si="106">IF($B39,AK39/$B39,-1)</f>
        <v>0.30000001192092896</v>
      </c>
      <c r="AM39" s="31">
        <f>Segunda!AM39</f>
        <v>0.90000003576278687</v>
      </c>
      <c r="AN39" s="32">
        <f t="shared" ref="AN39:AN58" si="107">IF($B39,AM39/$B39,-1)</f>
        <v>0.60000002384185791</v>
      </c>
      <c r="AO39" s="31">
        <f>Segunda!AO39</f>
        <v>0.75</v>
      </c>
      <c r="AP39" s="32">
        <f t="shared" ref="AP39:AP58" si="108">IF($B39,AO39/$B39,-1)</f>
        <v>0.5</v>
      </c>
      <c r="AQ39" s="31">
        <f>Segunda!AQ39</f>
        <v>0.90000003576278687</v>
      </c>
      <c r="AR39" s="32">
        <f t="shared" ref="AR39:AR58" si="109">IF($B39,AQ39/$B39,-1)</f>
        <v>0.60000002384185791</v>
      </c>
      <c r="AS39" s="31">
        <f>Segunda!AS39</f>
        <v>0.45000001788139343</v>
      </c>
      <c r="AT39" s="32">
        <f t="shared" ref="AT39:AT58" si="110">IF($B39,AS39/$B39,-1)</f>
        <v>0.30000001192092896</v>
      </c>
      <c r="AU39" s="31">
        <f>Segunda!AU39</f>
        <v>1.5</v>
      </c>
      <c r="AV39" s="32">
        <f t="shared" ref="AV39:AV58" si="111">IF($B39,AU39/$B39,-1)</f>
        <v>1</v>
      </c>
      <c r="AW39" s="31">
        <f>Segunda!AW39</f>
        <v>1.2000000178813934</v>
      </c>
      <c r="AX39" s="32">
        <f t="shared" ref="AX39:AX58" si="112">IF($B39,AW39/$B39,-1)</f>
        <v>0.80000001192092896</v>
      </c>
      <c r="AY39" s="31">
        <f>Segunda!AY39</f>
        <v>0.90000003576278687</v>
      </c>
      <c r="AZ39" s="32">
        <f t="shared" ref="AZ39:AZ58" si="113">IF($B39,AY39/$B39,-1)</f>
        <v>0.60000002384185791</v>
      </c>
      <c r="BA39" s="31">
        <f>Segunda!BA39</f>
        <v>0.60000000894069672</v>
      </c>
      <c r="BB39" s="32">
        <f t="shared" ref="BB39:BB58" si="114">IF($B39,BA39/$B39,-1)</f>
        <v>0.40000000596046448</v>
      </c>
      <c r="BC39" s="31">
        <f>Segunda!BC39</f>
        <v>1.2000000178813934</v>
      </c>
      <c r="BD39" s="32">
        <f t="shared" ref="BD39:BD58" si="115">IF($B39,BC39/$B39,-1)</f>
        <v>0.80000001192092896</v>
      </c>
      <c r="BE39" s="31">
        <f>Segunda!BE39</f>
        <v>0.15000000223517418</v>
      </c>
      <c r="BF39" s="32">
        <f t="shared" ref="BF39:BF58" si="116">IF($B39,BE39/$B39,-1)</f>
        <v>0.10000000149011612</v>
      </c>
      <c r="BG39" s="31">
        <f>Segunda!BG39</f>
        <v>0</v>
      </c>
      <c r="BH39" s="32">
        <f t="shared" ref="BH39:BH58" si="117">IF($B39,BG39/$B39,-1)</f>
        <v>0</v>
      </c>
      <c r="BI39" s="31">
        <f>Segunda!BI39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Segunda!B40</f>
        <v>1.5</v>
      </c>
      <c r="C40" s="31">
        <f>Segunda!C40</f>
        <v>1.2000000178813934</v>
      </c>
      <c r="D40" s="32">
        <f t="shared" si="89"/>
        <v>0.80000001192092896</v>
      </c>
      <c r="E40" s="31">
        <f>Segunda!E40</f>
        <v>1.5</v>
      </c>
      <c r="F40" s="32">
        <f t="shared" si="90"/>
        <v>1</v>
      </c>
      <c r="G40" s="31">
        <f>Segunda!G40</f>
        <v>0.45000001788139343</v>
      </c>
      <c r="H40" s="32">
        <f t="shared" si="91"/>
        <v>0.30000001192092896</v>
      </c>
      <c r="I40" s="31">
        <f>Segunda!I40</f>
        <v>1.0499999821186066</v>
      </c>
      <c r="J40" s="32">
        <f t="shared" si="92"/>
        <v>0.69999998807907104</v>
      </c>
      <c r="K40" s="31">
        <f>Segunda!K40</f>
        <v>1.2000000178813934</v>
      </c>
      <c r="L40" s="32">
        <f t="shared" si="93"/>
        <v>0.80000001192092896</v>
      </c>
      <c r="M40" s="31">
        <f>Segunda!M40</f>
        <v>0</v>
      </c>
      <c r="N40" s="32">
        <f t="shared" si="94"/>
        <v>0</v>
      </c>
      <c r="O40" s="31">
        <f>Segunda!O40</f>
        <v>1.2000000178813934</v>
      </c>
      <c r="P40" s="32">
        <f t="shared" si="95"/>
        <v>0.80000001192092896</v>
      </c>
      <c r="Q40" s="31">
        <f>Segunda!Q40</f>
        <v>0.75</v>
      </c>
      <c r="R40" s="32">
        <f t="shared" si="96"/>
        <v>0.5</v>
      </c>
      <c r="S40" s="31">
        <f>Segunda!S40</f>
        <v>0.30000000447034836</v>
      </c>
      <c r="T40" s="32">
        <f t="shared" si="97"/>
        <v>0.20000000298023224</v>
      </c>
      <c r="U40" s="31">
        <f>Segunda!U40</f>
        <v>0.90000003576278687</v>
      </c>
      <c r="V40" s="32">
        <f t="shared" si="98"/>
        <v>0.60000002384185791</v>
      </c>
      <c r="W40" s="31">
        <f>Segunda!W40</f>
        <v>1.3499999642372131</v>
      </c>
      <c r="X40" s="32">
        <f t="shared" si="99"/>
        <v>0.89999997615814209</v>
      </c>
      <c r="Y40" s="31">
        <f>Segunda!Y40</f>
        <v>1.5</v>
      </c>
      <c r="Z40" s="32">
        <f t="shared" si="100"/>
        <v>1</v>
      </c>
      <c r="AA40" s="31">
        <f>Segunda!AA40</f>
        <v>1.0499999821186066</v>
      </c>
      <c r="AB40" s="32">
        <f t="shared" si="101"/>
        <v>0.69999998807907104</v>
      </c>
      <c r="AC40" s="31">
        <f>Segunda!AC40</f>
        <v>0</v>
      </c>
      <c r="AD40" s="32">
        <f t="shared" si="102"/>
        <v>0</v>
      </c>
      <c r="AE40" s="31">
        <f>Segunda!AE40</f>
        <v>1.0499999821186066</v>
      </c>
      <c r="AF40" s="32">
        <f t="shared" si="103"/>
        <v>0.69999998807907104</v>
      </c>
      <c r="AG40" s="31">
        <f>Segunda!AG40</f>
        <v>1.5</v>
      </c>
      <c r="AH40" s="32">
        <f t="shared" si="104"/>
        <v>1</v>
      </c>
      <c r="AI40" s="31">
        <f>Segunda!AI40</f>
        <v>0</v>
      </c>
      <c r="AJ40" s="32">
        <f t="shared" si="105"/>
        <v>0</v>
      </c>
      <c r="AK40" s="31">
        <f>Segunda!AK40</f>
        <v>1.5</v>
      </c>
      <c r="AL40" s="32">
        <f t="shared" si="106"/>
        <v>1</v>
      </c>
      <c r="AM40" s="31">
        <f>Segunda!AM40</f>
        <v>0</v>
      </c>
      <c r="AN40" s="32">
        <f t="shared" si="107"/>
        <v>0</v>
      </c>
      <c r="AO40" s="31">
        <f>Segunda!AO40</f>
        <v>0.45000001788139343</v>
      </c>
      <c r="AP40" s="32">
        <f t="shared" si="108"/>
        <v>0.30000001192092896</v>
      </c>
      <c r="AQ40" s="31">
        <f>Segunda!AQ40</f>
        <v>0.90000003576278687</v>
      </c>
      <c r="AR40" s="32">
        <f t="shared" si="109"/>
        <v>0.60000002384185791</v>
      </c>
      <c r="AS40" s="31">
        <f>Segunda!AS40</f>
        <v>1.2000000178813934</v>
      </c>
      <c r="AT40" s="32">
        <f t="shared" si="110"/>
        <v>0.80000001192092896</v>
      </c>
      <c r="AU40" s="31">
        <f>Segunda!AU40</f>
        <v>0</v>
      </c>
      <c r="AV40" s="32">
        <f t="shared" si="111"/>
        <v>0</v>
      </c>
      <c r="AW40" s="31">
        <f>Segunda!AW40</f>
        <v>0</v>
      </c>
      <c r="AX40" s="32">
        <f t="shared" si="112"/>
        <v>0</v>
      </c>
      <c r="AY40" s="31">
        <f>Segunda!AY40</f>
        <v>0.90000003576278687</v>
      </c>
      <c r="AZ40" s="32">
        <f t="shared" si="113"/>
        <v>0.60000002384185791</v>
      </c>
      <c r="BA40" s="31">
        <f>Segunda!BA40</f>
        <v>0.45000001788139343</v>
      </c>
      <c r="BB40" s="32">
        <f t="shared" si="114"/>
        <v>0.30000001192092896</v>
      </c>
      <c r="BC40" s="31">
        <f>Segunda!BC40</f>
        <v>0.60000000894069672</v>
      </c>
      <c r="BD40" s="32">
        <f t="shared" si="115"/>
        <v>0.40000000596046448</v>
      </c>
      <c r="BE40" s="31">
        <f>Segunda!BE40</f>
        <v>0.75</v>
      </c>
      <c r="BF40" s="32">
        <f t="shared" si="116"/>
        <v>0.5</v>
      </c>
      <c r="BG40" s="31">
        <f>Segunda!BG40</f>
        <v>1.2000000178813934</v>
      </c>
      <c r="BH40" s="32">
        <f t="shared" si="117"/>
        <v>0.80000001192092896</v>
      </c>
      <c r="BI40" s="31">
        <f>Segunda!BI40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Segunda!B41</f>
        <v>1</v>
      </c>
      <c r="C41" s="31">
        <f>Segunda!C41</f>
        <v>0.30000001192092896</v>
      </c>
      <c r="D41" s="32">
        <f t="shared" si="89"/>
        <v>0.30000001192092896</v>
      </c>
      <c r="E41" s="31">
        <f>Segunda!E41</f>
        <v>0</v>
      </c>
      <c r="F41" s="32">
        <f t="shared" si="90"/>
        <v>0</v>
      </c>
      <c r="G41" s="31">
        <f>Segunda!G41</f>
        <v>0.40000000596046448</v>
      </c>
      <c r="H41" s="32">
        <f t="shared" si="91"/>
        <v>0.40000000596046448</v>
      </c>
      <c r="I41" s="31">
        <f>Segunda!I41</f>
        <v>0.60000002384185791</v>
      </c>
      <c r="J41" s="32">
        <f t="shared" si="92"/>
        <v>0.60000002384185791</v>
      </c>
      <c r="K41" s="31">
        <f>Segunda!K41</f>
        <v>0.80000001192092896</v>
      </c>
      <c r="L41" s="32">
        <f t="shared" si="93"/>
        <v>0.80000001192092896</v>
      </c>
      <c r="M41" s="31">
        <f>Segunda!M41</f>
        <v>0.60000002384185791</v>
      </c>
      <c r="N41" s="32">
        <f t="shared" si="94"/>
        <v>0.60000002384185791</v>
      </c>
      <c r="O41" s="31">
        <f>Segunda!O41</f>
        <v>0.69999998807907104</v>
      </c>
      <c r="P41" s="32">
        <f t="shared" si="95"/>
        <v>0.69999998807907104</v>
      </c>
      <c r="Q41" s="31">
        <f>Segunda!Q41</f>
        <v>0.80000001192092896</v>
      </c>
      <c r="R41" s="32">
        <f t="shared" si="96"/>
        <v>0.80000001192092896</v>
      </c>
      <c r="S41" s="31">
        <f>Segunda!S41</f>
        <v>0.40000000596046448</v>
      </c>
      <c r="T41" s="32">
        <f t="shared" si="97"/>
        <v>0.40000000596046448</v>
      </c>
      <c r="U41" s="31">
        <f>Segunda!U41</f>
        <v>0.80000001192092896</v>
      </c>
      <c r="V41" s="32">
        <f t="shared" si="98"/>
        <v>0.80000001192092896</v>
      </c>
      <c r="W41" s="31">
        <f>Segunda!W41</f>
        <v>0.69999998807907104</v>
      </c>
      <c r="X41" s="32">
        <f t="shared" si="99"/>
        <v>0.69999998807907104</v>
      </c>
      <c r="Y41" s="31">
        <f>Segunda!Y41</f>
        <v>0.69999998807907104</v>
      </c>
      <c r="Z41" s="32">
        <f t="shared" si="100"/>
        <v>0.69999998807907104</v>
      </c>
      <c r="AA41" s="31">
        <f>Segunda!AA41</f>
        <v>0.80000001192092896</v>
      </c>
      <c r="AB41" s="32">
        <f t="shared" si="101"/>
        <v>0.80000001192092896</v>
      </c>
      <c r="AC41" s="31">
        <f>Segunda!AC41</f>
        <v>0.20000000298023224</v>
      </c>
      <c r="AD41" s="32">
        <f t="shared" si="102"/>
        <v>0.20000000298023224</v>
      </c>
      <c r="AE41" s="31">
        <f>Segunda!AE41</f>
        <v>0.80000001192092896</v>
      </c>
      <c r="AF41" s="32">
        <f t="shared" si="103"/>
        <v>0.80000001192092896</v>
      </c>
      <c r="AG41" s="31">
        <f>Segunda!AG41</f>
        <v>0</v>
      </c>
      <c r="AH41" s="32">
        <f t="shared" si="104"/>
        <v>0</v>
      </c>
      <c r="AI41" s="31">
        <f>Segunda!AI41</f>
        <v>0.20000000298023224</v>
      </c>
      <c r="AJ41" s="32">
        <f t="shared" si="105"/>
        <v>0.20000000298023224</v>
      </c>
      <c r="AK41" s="31">
        <f>Segunda!AK41</f>
        <v>1</v>
      </c>
      <c r="AL41" s="32">
        <f t="shared" si="106"/>
        <v>1</v>
      </c>
      <c r="AM41" s="31">
        <f>Segunda!AM41</f>
        <v>0.89999997615814209</v>
      </c>
      <c r="AN41" s="32">
        <f t="shared" si="107"/>
        <v>0.89999997615814209</v>
      </c>
      <c r="AO41" s="31">
        <f>Segunda!AO41</f>
        <v>0.20000000298023224</v>
      </c>
      <c r="AP41" s="32">
        <f t="shared" si="108"/>
        <v>0.20000000298023224</v>
      </c>
      <c r="AQ41" s="31">
        <f>Segunda!AQ41</f>
        <v>0.20000000298023224</v>
      </c>
      <c r="AR41" s="32">
        <f t="shared" si="109"/>
        <v>0.20000000298023224</v>
      </c>
      <c r="AS41" s="31">
        <f>Segunda!AS41</f>
        <v>0.20000000298023224</v>
      </c>
      <c r="AT41" s="32">
        <f t="shared" si="110"/>
        <v>0.20000000298023224</v>
      </c>
      <c r="AU41" s="31">
        <f>Segunda!AU41</f>
        <v>1</v>
      </c>
      <c r="AV41" s="32">
        <f t="shared" si="111"/>
        <v>1</v>
      </c>
      <c r="AW41" s="31">
        <f>Segunda!AW41</f>
        <v>0.20000000298023224</v>
      </c>
      <c r="AX41" s="32">
        <f t="shared" si="112"/>
        <v>0.20000000298023224</v>
      </c>
      <c r="AY41" s="31">
        <f>Segunda!AY41</f>
        <v>0.20000000298023224</v>
      </c>
      <c r="AZ41" s="32">
        <f t="shared" si="113"/>
        <v>0.20000000298023224</v>
      </c>
      <c r="BA41" s="31">
        <f>Segunda!BA41</f>
        <v>0.69999998807907104</v>
      </c>
      <c r="BB41" s="32">
        <f t="shared" si="114"/>
        <v>0.69999998807907104</v>
      </c>
      <c r="BC41" s="31">
        <f>Segunda!BC41</f>
        <v>0.69999998807907104</v>
      </c>
      <c r="BD41" s="32">
        <f t="shared" si="115"/>
        <v>0.69999998807907104</v>
      </c>
      <c r="BE41" s="31">
        <f>Segunda!BE41</f>
        <v>0.80000001192092896</v>
      </c>
      <c r="BF41" s="32">
        <f t="shared" si="116"/>
        <v>0.80000001192092896</v>
      </c>
      <c r="BG41" s="31">
        <f>Segunda!BG41</f>
        <v>0.80000001192092896</v>
      </c>
      <c r="BH41" s="32">
        <f t="shared" si="117"/>
        <v>0.80000001192092896</v>
      </c>
      <c r="BI41" s="31">
        <f>Segunda!BI41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Segunda!B42</f>
        <v>0</v>
      </c>
      <c r="C42" s="31">
        <f>Segunda!C42</f>
        <v>0</v>
      </c>
      <c r="D42" s="32">
        <f t="shared" si="89"/>
        <v>-1</v>
      </c>
      <c r="E42" s="31">
        <f>Segunda!E42</f>
        <v>0</v>
      </c>
      <c r="F42" s="32">
        <f t="shared" si="90"/>
        <v>-1</v>
      </c>
      <c r="G42" s="31">
        <f>Segunda!G42</f>
        <v>0</v>
      </c>
      <c r="H42" s="32">
        <f t="shared" si="91"/>
        <v>-1</v>
      </c>
      <c r="I42" s="31">
        <f>Segunda!I42</f>
        <v>0</v>
      </c>
      <c r="J42" s="32">
        <f t="shared" si="92"/>
        <v>-1</v>
      </c>
      <c r="K42" s="31">
        <f>Segunda!K42</f>
        <v>0</v>
      </c>
      <c r="L42" s="32">
        <f t="shared" si="93"/>
        <v>-1</v>
      </c>
      <c r="M42" s="31">
        <f>Segunda!M42</f>
        <v>0</v>
      </c>
      <c r="N42" s="32">
        <f t="shared" si="94"/>
        <v>-1</v>
      </c>
      <c r="O42" s="31">
        <f>Segunda!O42</f>
        <v>0</v>
      </c>
      <c r="P42" s="32">
        <f t="shared" si="95"/>
        <v>-1</v>
      </c>
      <c r="Q42" s="31">
        <f>Segunda!Q42</f>
        <v>0</v>
      </c>
      <c r="R42" s="32">
        <f t="shared" si="96"/>
        <v>-1</v>
      </c>
      <c r="S42" s="31">
        <f>Segunda!S42</f>
        <v>0</v>
      </c>
      <c r="T42" s="32">
        <f t="shared" si="97"/>
        <v>-1</v>
      </c>
      <c r="U42" s="31">
        <f>Segunda!U42</f>
        <v>0</v>
      </c>
      <c r="V42" s="32">
        <f t="shared" si="98"/>
        <v>-1</v>
      </c>
      <c r="W42" s="31">
        <f>Segunda!W42</f>
        <v>0</v>
      </c>
      <c r="X42" s="32">
        <f t="shared" si="99"/>
        <v>-1</v>
      </c>
      <c r="Y42" s="31">
        <f>Segunda!Y42</f>
        <v>0</v>
      </c>
      <c r="Z42" s="32">
        <f t="shared" si="100"/>
        <v>-1</v>
      </c>
      <c r="AA42" s="31">
        <f>Segunda!AA42</f>
        <v>0</v>
      </c>
      <c r="AB42" s="32">
        <f t="shared" si="101"/>
        <v>-1</v>
      </c>
      <c r="AC42" s="31">
        <f>Segunda!AC42</f>
        <v>0</v>
      </c>
      <c r="AD42" s="32">
        <f t="shared" si="102"/>
        <v>-1</v>
      </c>
      <c r="AE42" s="31">
        <f>Segunda!AE42</f>
        <v>0</v>
      </c>
      <c r="AF42" s="32">
        <f t="shared" si="103"/>
        <v>-1</v>
      </c>
      <c r="AG42" s="31">
        <f>Segunda!AG42</f>
        <v>0</v>
      </c>
      <c r="AH42" s="32">
        <f t="shared" si="104"/>
        <v>-1</v>
      </c>
      <c r="AI42" s="31">
        <f>Segunda!AI42</f>
        <v>0</v>
      </c>
      <c r="AJ42" s="32">
        <f t="shared" si="105"/>
        <v>-1</v>
      </c>
      <c r="AK42" s="31">
        <f>Segunda!AK42</f>
        <v>0</v>
      </c>
      <c r="AL42" s="32">
        <f t="shared" si="106"/>
        <v>-1</v>
      </c>
      <c r="AM42" s="31">
        <f>Segunda!AM42</f>
        <v>0</v>
      </c>
      <c r="AN42" s="32">
        <f t="shared" si="107"/>
        <v>-1</v>
      </c>
      <c r="AO42" s="31">
        <f>Segunda!AO42</f>
        <v>0</v>
      </c>
      <c r="AP42" s="32">
        <f t="shared" si="108"/>
        <v>-1</v>
      </c>
      <c r="AQ42" s="31">
        <f>Segunda!AQ42</f>
        <v>0</v>
      </c>
      <c r="AR42" s="32">
        <f t="shared" si="109"/>
        <v>-1</v>
      </c>
      <c r="AS42" s="31">
        <f>Segunda!AS42</f>
        <v>0</v>
      </c>
      <c r="AT42" s="32">
        <f t="shared" si="110"/>
        <v>-1</v>
      </c>
      <c r="AU42" s="31">
        <f>Segunda!AU42</f>
        <v>0</v>
      </c>
      <c r="AV42" s="32">
        <f t="shared" si="111"/>
        <v>-1</v>
      </c>
      <c r="AW42" s="31">
        <f>Segunda!AW42</f>
        <v>0</v>
      </c>
      <c r="AX42" s="32">
        <f t="shared" si="112"/>
        <v>-1</v>
      </c>
      <c r="AY42" s="31">
        <f>Segunda!AY42</f>
        <v>0</v>
      </c>
      <c r="AZ42" s="32">
        <f t="shared" si="113"/>
        <v>-1</v>
      </c>
      <c r="BA42" s="31">
        <f>Segunda!BA42</f>
        <v>0</v>
      </c>
      <c r="BB42" s="32">
        <f t="shared" si="114"/>
        <v>-1</v>
      </c>
      <c r="BC42" s="31">
        <f>Segunda!BC42</f>
        <v>0</v>
      </c>
      <c r="BD42" s="32">
        <f t="shared" si="115"/>
        <v>-1</v>
      </c>
      <c r="BE42" s="31">
        <f>Segunda!BE42</f>
        <v>0</v>
      </c>
      <c r="BF42" s="32">
        <f t="shared" si="116"/>
        <v>-1</v>
      </c>
      <c r="BG42" s="31">
        <f>Segunda!BG42</f>
        <v>0</v>
      </c>
      <c r="BH42" s="32">
        <f t="shared" si="117"/>
        <v>-1</v>
      </c>
      <c r="BI42" s="31">
        <f>Segunda!BI42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Segunda!B43</f>
        <v>2</v>
      </c>
      <c r="C43" s="31">
        <f>Segunda!C43</f>
        <v>1.7999999523162842</v>
      </c>
      <c r="D43" s="32">
        <f t="shared" si="89"/>
        <v>0.89999997615814209</v>
      </c>
      <c r="E43" s="31">
        <f>Segunda!E43</f>
        <v>1.3999999761581421</v>
      </c>
      <c r="F43" s="32">
        <f t="shared" si="90"/>
        <v>0.69999998807907104</v>
      </c>
      <c r="G43" s="31">
        <f>Segunda!G43</f>
        <v>1.7999999523162842</v>
      </c>
      <c r="H43" s="32">
        <f t="shared" si="91"/>
        <v>0.89999997615814209</v>
      </c>
      <c r="I43" s="31">
        <f>Segunda!I43</f>
        <v>0.40000000596046448</v>
      </c>
      <c r="J43" s="32">
        <f t="shared" si="92"/>
        <v>0.20000000298023224</v>
      </c>
      <c r="K43" s="31">
        <f>Segunda!K43</f>
        <v>0.60000002384185791</v>
      </c>
      <c r="L43" s="32">
        <f t="shared" si="93"/>
        <v>0.30000001192092896</v>
      </c>
      <c r="M43" s="31">
        <f>Segunda!M43</f>
        <v>1.2000000476837158</v>
      </c>
      <c r="N43" s="32">
        <f t="shared" si="94"/>
        <v>0.60000002384185791</v>
      </c>
      <c r="O43" s="31">
        <f>Segunda!O43</f>
        <v>0.60000002384185791</v>
      </c>
      <c r="P43" s="32">
        <f t="shared" si="95"/>
        <v>0.30000001192092896</v>
      </c>
      <c r="Q43" s="31">
        <f>Segunda!Q43</f>
        <v>0.40000000596046448</v>
      </c>
      <c r="R43" s="32">
        <f t="shared" si="96"/>
        <v>0.20000000298023224</v>
      </c>
      <c r="S43" s="31">
        <f>Segunda!S43</f>
        <v>1.2000000476837158</v>
      </c>
      <c r="T43" s="32">
        <f t="shared" si="97"/>
        <v>0.60000002384185791</v>
      </c>
      <c r="U43" s="31">
        <f>Segunda!U43</f>
        <v>1.2000000476837158</v>
      </c>
      <c r="V43" s="32">
        <f t="shared" si="98"/>
        <v>0.60000002384185791</v>
      </c>
      <c r="W43" s="31">
        <f>Segunda!W43</f>
        <v>0.20000000298023224</v>
      </c>
      <c r="X43" s="32">
        <f t="shared" si="99"/>
        <v>0.10000000149011612</v>
      </c>
      <c r="Y43" s="31">
        <f>Segunda!Y43</f>
        <v>0</v>
      </c>
      <c r="Z43" s="32">
        <f t="shared" si="100"/>
        <v>0</v>
      </c>
      <c r="AA43" s="31">
        <f>Segunda!AA43</f>
        <v>1.2000000476837158</v>
      </c>
      <c r="AB43" s="32">
        <f t="shared" si="101"/>
        <v>0.60000002384185791</v>
      </c>
      <c r="AC43" s="31">
        <f>Segunda!AC43</f>
        <v>1.7999999523162842</v>
      </c>
      <c r="AD43" s="32">
        <f t="shared" si="102"/>
        <v>0.89999997615814209</v>
      </c>
      <c r="AE43" s="31">
        <f>Segunda!AE43</f>
        <v>1.3999999761581421</v>
      </c>
      <c r="AF43" s="32">
        <f t="shared" si="103"/>
        <v>0.69999998807907104</v>
      </c>
      <c r="AG43" s="31">
        <f>Segunda!AG43</f>
        <v>0.80000001192092896</v>
      </c>
      <c r="AH43" s="32">
        <f t="shared" si="104"/>
        <v>0.40000000596046448</v>
      </c>
      <c r="AI43" s="31">
        <f>Segunda!AI43</f>
        <v>0.40000000596046448</v>
      </c>
      <c r="AJ43" s="32">
        <f t="shared" si="105"/>
        <v>0.20000000298023224</v>
      </c>
      <c r="AK43" s="31">
        <f>Segunda!AK43</f>
        <v>1</v>
      </c>
      <c r="AL43" s="32">
        <f t="shared" si="106"/>
        <v>0.5</v>
      </c>
      <c r="AM43" s="31">
        <f>Segunda!AM43</f>
        <v>2</v>
      </c>
      <c r="AN43" s="32">
        <f t="shared" si="107"/>
        <v>1</v>
      </c>
      <c r="AO43" s="31">
        <f>Segunda!AO43</f>
        <v>1.6000000238418579</v>
      </c>
      <c r="AP43" s="32">
        <f t="shared" si="108"/>
        <v>0.80000001192092896</v>
      </c>
      <c r="AQ43" s="31">
        <f>Segunda!AQ43</f>
        <v>0.80000001192092896</v>
      </c>
      <c r="AR43" s="32">
        <f t="shared" si="109"/>
        <v>0.40000000596046448</v>
      </c>
      <c r="AS43" s="31">
        <f>Segunda!AS43</f>
        <v>1</v>
      </c>
      <c r="AT43" s="32">
        <f t="shared" si="110"/>
        <v>0.5</v>
      </c>
      <c r="AU43" s="31">
        <f>Segunda!AU43</f>
        <v>1.2000000476837158</v>
      </c>
      <c r="AV43" s="32">
        <f t="shared" si="111"/>
        <v>0.60000002384185791</v>
      </c>
      <c r="AW43" s="31">
        <f>Segunda!AW43</f>
        <v>1.3999999761581421</v>
      </c>
      <c r="AX43" s="32">
        <f t="shared" si="112"/>
        <v>0.69999998807907104</v>
      </c>
      <c r="AY43" s="31">
        <f>Segunda!AY43</f>
        <v>0</v>
      </c>
      <c r="AZ43" s="32">
        <f t="shared" si="113"/>
        <v>0</v>
      </c>
      <c r="BA43" s="31">
        <f>Segunda!BA43</f>
        <v>1.3999999761581421</v>
      </c>
      <c r="BB43" s="32">
        <f t="shared" si="114"/>
        <v>0.69999998807907104</v>
      </c>
      <c r="BC43" s="31">
        <f>Segunda!BC43</f>
        <v>1.7999999523162842</v>
      </c>
      <c r="BD43" s="32">
        <f t="shared" si="115"/>
        <v>0.89999997615814209</v>
      </c>
      <c r="BE43" s="31">
        <f>Segunda!BE43</f>
        <v>0.60000002384185791</v>
      </c>
      <c r="BF43" s="32">
        <f t="shared" si="116"/>
        <v>0.30000001192092896</v>
      </c>
      <c r="BG43" s="31">
        <f>Segunda!BG43</f>
        <v>0.20000000298023224</v>
      </c>
      <c r="BH43" s="32">
        <f t="shared" si="117"/>
        <v>0.10000000149011612</v>
      </c>
      <c r="BI43" s="31">
        <f>Segunda!BI43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Segunda!B44</f>
        <v>2</v>
      </c>
      <c r="C44" s="31">
        <f>Segunda!C44</f>
        <v>1.6000000238418579</v>
      </c>
      <c r="D44" s="32">
        <f t="shared" si="89"/>
        <v>0.80000001192092896</v>
      </c>
      <c r="E44" s="31">
        <f>Segunda!E44</f>
        <v>0.60000002384185791</v>
      </c>
      <c r="F44" s="32">
        <f t="shared" si="90"/>
        <v>0.30000001192092896</v>
      </c>
      <c r="G44" s="31">
        <f>Segunda!G44</f>
        <v>0.80000001192092896</v>
      </c>
      <c r="H44" s="32">
        <f t="shared" si="91"/>
        <v>0.40000000596046448</v>
      </c>
      <c r="I44" s="31">
        <f>Segunda!I44</f>
        <v>1.6000000238418579</v>
      </c>
      <c r="J44" s="32">
        <f t="shared" si="92"/>
        <v>0.80000001192092896</v>
      </c>
      <c r="K44" s="31">
        <f>Segunda!K44</f>
        <v>0.80000001192092896</v>
      </c>
      <c r="L44" s="32">
        <f t="shared" si="93"/>
        <v>0.40000000596046448</v>
      </c>
      <c r="M44" s="31">
        <f>Segunda!M44</f>
        <v>1.3999999761581421</v>
      </c>
      <c r="N44" s="32">
        <f t="shared" si="94"/>
        <v>0.69999998807907104</v>
      </c>
      <c r="O44" s="31">
        <f>Segunda!O44</f>
        <v>1</v>
      </c>
      <c r="P44" s="32">
        <f t="shared" si="95"/>
        <v>0.5</v>
      </c>
      <c r="Q44" s="31">
        <f>Segunda!Q44</f>
        <v>0.20000000298023224</v>
      </c>
      <c r="R44" s="32">
        <f t="shared" si="96"/>
        <v>0.10000000149011612</v>
      </c>
      <c r="S44" s="31">
        <f>Segunda!S44</f>
        <v>0.60000002384185791</v>
      </c>
      <c r="T44" s="32">
        <f t="shared" si="97"/>
        <v>0.30000001192092896</v>
      </c>
      <c r="U44" s="31">
        <f>Segunda!U44</f>
        <v>0</v>
      </c>
      <c r="V44" s="32">
        <f t="shared" si="98"/>
        <v>0</v>
      </c>
      <c r="W44" s="31">
        <f>Segunda!W44</f>
        <v>2</v>
      </c>
      <c r="X44" s="32">
        <f t="shared" si="99"/>
        <v>1</v>
      </c>
      <c r="Y44" s="31">
        <f>Segunda!Y44</f>
        <v>0.60000002384185791</v>
      </c>
      <c r="Z44" s="32">
        <f t="shared" si="100"/>
        <v>0.30000001192092896</v>
      </c>
      <c r="AA44" s="31">
        <f>Segunda!AA44</f>
        <v>1.2000000476837158</v>
      </c>
      <c r="AB44" s="32">
        <f t="shared" si="101"/>
        <v>0.60000002384185791</v>
      </c>
      <c r="AC44" s="31">
        <f>Segunda!AC44</f>
        <v>0.60000002384185791</v>
      </c>
      <c r="AD44" s="32">
        <f t="shared" si="102"/>
        <v>0.30000001192092896</v>
      </c>
      <c r="AE44" s="31">
        <f>Segunda!AE44</f>
        <v>1.7999999523162842</v>
      </c>
      <c r="AF44" s="32">
        <f t="shared" si="103"/>
        <v>0.89999997615814209</v>
      </c>
      <c r="AG44" s="31">
        <f>Segunda!AG44</f>
        <v>0.60000002384185791</v>
      </c>
      <c r="AH44" s="32">
        <f t="shared" si="104"/>
        <v>0.30000001192092896</v>
      </c>
      <c r="AI44" s="31">
        <f>Segunda!AI44</f>
        <v>1.6000000238418579</v>
      </c>
      <c r="AJ44" s="32">
        <f t="shared" si="105"/>
        <v>0.80000001192092896</v>
      </c>
      <c r="AK44" s="31">
        <f>Segunda!AK44</f>
        <v>0.20000000298023224</v>
      </c>
      <c r="AL44" s="32">
        <f t="shared" si="106"/>
        <v>0.10000000149011612</v>
      </c>
      <c r="AM44" s="31">
        <f>Segunda!AM44</f>
        <v>0.60000002384185791</v>
      </c>
      <c r="AN44" s="32">
        <f t="shared" si="107"/>
        <v>0.30000001192092896</v>
      </c>
      <c r="AO44" s="31">
        <f>Segunda!AO44</f>
        <v>0</v>
      </c>
      <c r="AP44" s="32">
        <f t="shared" si="108"/>
        <v>0</v>
      </c>
      <c r="AQ44" s="31">
        <f>Segunda!AQ44</f>
        <v>1</v>
      </c>
      <c r="AR44" s="32">
        <f t="shared" si="109"/>
        <v>0.5</v>
      </c>
      <c r="AS44" s="31">
        <f>Segunda!AS44</f>
        <v>0.80000001192092896</v>
      </c>
      <c r="AT44" s="32">
        <f t="shared" si="110"/>
        <v>0.40000000596046448</v>
      </c>
      <c r="AU44" s="31">
        <f>Segunda!AU44</f>
        <v>1.2000000476837158</v>
      </c>
      <c r="AV44" s="32">
        <f t="shared" si="111"/>
        <v>0.60000002384185791</v>
      </c>
      <c r="AW44" s="31">
        <f>Segunda!AW44</f>
        <v>0</v>
      </c>
      <c r="AX44" s="32">
        <f t="shared" si="112"/>
        <v>0</v>
      </c>
      <c r="AY44" s="31">
        <f>Segunda!AY44</f>
        <v>0.60000002384185791</v>
      </c>
      <c r="AZ44" s="32">
        <f t="shared" si="113"/>
        <v>0.30000001192092896</v>
      </c>
      <c r="BA44" s="31">
        <f>Segunda!BA44</f>
        <v>0.20000000298023224</v>
      </c>
      <c r="BB44" s="32">
        <f t="shared" si="114"/>
        <v>0.10000000149011612</v>
      </c>
      <c r="BC44" s="31">
        <f>Segunda!BC44</f>
        <v>0.60000002384185791</v>
      </c>
      <c r="BD44" s="32">
        <f t="shared" si="115"/>
        <v>0.30000001192092896</v>
      </c>
      <c r="BE44" s="31">
        <f>Segunda!BE44</f>
        <v>1.6000000238418579</v>
      </c>
      <c r="BF44" s="32">
        <f t="shared" si="116"/>
        <v>0.80000001192092896</v>
      </c>
      <c r="BG44" s="31">
        <f>Segunda!BG44</f>
        <v>1.2000000476837158</v>
      </c>
      <c r="BH44" s="32">
        <f t="shared" si="117"/>
        <v>0.60000002384185791</v>
      </c>
      <c r="BI44" s="31">
        <f>Segunda!BI44</f>
        <v>2</v>
      </c>
      <c r="BJ44" s="32">
        <f t="shared" si="118"/>
        <v>1</v>
      </c>
    </row>
    <row r="45" spans="1:62" ht="42" x14ac:dyDescent="0.2">
      <c r="A45" s="3" t="s">
        <v>45</v>
      </c>
      <c r="B45" s="13">
        <f>Segunda!B45</f>
        <v>1</v>
      </c>
      <c r="C45" s="31">
        <f>Segunda!C45</f>
        <v>0.89999997615814209</v>
      </c>
      <c r="D45" s="32">
        <f t="shared" si="89"/>
        <v>0.89999997615814209</v>
      </c>
      <c r="E45" s="31">
        <f>Segunda!E45</f>
        <v>0.60000002384185791</v>
      </c>
      <c r="F45" s="32">
        <f t="shared" si="90"/>
        <v>0.60000002384185791</v>
      </c>
      <c r="G45" s="31">
        <f>Segunda!G45</f>
        <v>0.60000002384185791</v>
      </c>
      <c r="H45" s="32">
        <f t="shared" si="91"/>
        <v>0.60000002384185791</v>
      </c>
      <c r="I45" s="31">
        <f>Segunda!I45</f>
        <v>0.20000000298023224</v>
      </c>
      <c r="J45" s="32">
        <f t="shared" si="92"/>
        <v>0.20000000298023224</v>
      </c>
      <c r="K45" s="31">
        <f>Segunda!K45</f>
        <v>0.89999997615814209</v>
      </c>
      <c r="L45" s="32">
        <f t="shared" si="93"/>
        <v>0.89999997615814209</v>
      </c>
      <c r="M45" s="31">
        <f>Segunda!M45</f>
        <v>0.30000001192092896</v>
      </c>
      <c r="N45" s="32">
        <f t="shared" si="94"/>
        <v>0.30000001192092896</v>
      </c>
      <c r="O45" s="31">
        <f>Segunda!O45</f>
        <v>0.60000002384185791</v>
      </c>
      <c r="P45" s="32">
        <f t="shared" si="95"/>
        <v>0.60000002384185791</v>
      </c>
      <c r="Q45" s="31">
        <f>Segunda!Q45</f>
        <v>0.60000002384185791</v>
      </c>
      <c r="R45" s="32">
        <f t="shared" si="96"/>
        <v>0.60000002384185791</v>
      </c>
      <c r="S45" s="31">
        <f>Segunda!S45</f>
        <v>0.80000001192092896</v>
      </c>
      <c r="T45" s="32">
        <f t="shared" si="97"/>
        <v>0.80000001192092896</v>
      </c>
      <c r="U45" s="31">
        <f>Segunda!U45</f>
        <v>0.69999998807907104</v>
      </c>
      <c r="V45" s="32">
        <f t="shared" si="98"/>
        <v>0.69999998807907104</v>
      </c>
      <c r="W45" s="31">
        <f>Segunda!W45</f>
        <v>0.69999998807907104</v>
      </c>
      <c r="X45" s="32">
        <f t="shared" si="99"/>
        <v>0.69999998807907104</v>
      </c>
      <c r="Y45" s="31">
        <f>Segunda!Y45</f>
        <v>0.80000001192092896</v>
      </c>
      <c r="Z45" s="32">
        <f t="shared" si="100"/>
        <v>0.80000001192092896</v>
      </c>
      <c r="AA45" s="31">
        <f>Segunda!AA45</f>
        <v>0.20000000298023224</v>
      </c>
      <c r="AB45" s="32">
        <f t="shared" si="101"/>
        <v>0.20000000298023224</v>
      </c>
      <c r="AC45" s="31">
        <f>Segunda!AC45</f>
        <v>0.60000002384185791</v>
      </c>
      <c r="AD45" s="32">
        <f t="shared" si="102"/>
        <v>0.60000002384185791</v>
      </c>
      <c r="AE45" s="31">
        <f>Segunda!AE45</f>
        <v>0.5</v>
      </c>
      <c r="AF45" s="32">
        <f t="shared" si="103"/>
        <v>0.5</v>
      </c>
      <c r="AG45" s="31">
        <f>Segunda!AG45</f>
        <v>0.60000002384185791</v>
      </c>
      <c r="AH45" s="32">
        <f t="shared" si="104"/>
        <v>0.60000002384185791</v>
      </c>
      <c r="AI45" s="31">
        <f>Segunda!AI45</f>
        <v>0.30000001192092896</v>
      </c>
      <c r="AJ45" s="32">
        <f t="shared" si="105"/>
        <v>0.30000001192092896</v>
      </c>
      <c r="AK45" s="31">
        <f>Segunda!AK45</f>
        <v>0.40000000596046448</v>
      </c>
      <c r="AL45" s="32">
        <f t="shared" si="106"/>
        <v>0.40000000596046448</v>
      </c>
      <c r="AM45" s="31">
        <f>Segunda!AM45</f>
        <v>0.30000001192092896</v>
      </c>
      <c r="AN45" s="32">
        <f t="shared" si="107"/>
        <v>0.30000001192092896</v>
      </c>
      <c r="AO45" s="31">
        <f>Segunda!AO45</f>
        <v>1</v>
      </c>
      <c r="AP45" s="32">
        <f t="shared" si="108"/>
        <v>1</v>
      </c>
      <c r="AQ45" s="31">
        <f>Segunda!AQ45</f>
        <v>0.5</v>
      </c>
      <c r="AR45" s="32">
        <f t="shared" si="109"/>
        <v>0.5</v>
      </c>
      <c r="AS45" s="31">
        <f>Segunda!AS45</f>
        <v>0.60000002384185791</v>
      </c>
      <c r="AT45" s="32">
        <f t="shared" si="110"/>
        <v>0.60000002384185791</v>
      </c>
      <c r="AU45" s="31">
        <f>Segunda!AU45</f>
        <v>0.5</v>
      </c>
      <c r="AV45" s="32">
        <f t="shared" si="111"/>
        <v>0.5</v>
      </c>
      <c r="AW45" s="31">
        <f>Segunda!AW45</f>
        <v>0</v>
      </c>
      <c r="AX45" s="32">
        <f t="shared" si="112"/>
        <v>0</v>
      </c>
      <c r="AY45" s="31">
        <f>Segunda!AY45</f>
        <v>0.40000000596046448</v>
      </c>
      <c r="AZ45" s="32">
        <f t="shared" si="113"/>
        <v>0.40000000596046448</v>
      </c>
      <c r="BA45" s="31">
        <f>Segunda!BA45</f>
        <v>0.10000000149011612</v>
      </c>
      <c r="BB45" s="32">
        <f t="shared" si="114"/>
        <v>0.10000000149011612</v>
      </c>
      <c r="BC45" s="31">
        <f>Segunda!BC45</f>
        <v>0.69999998807907104</v>
      </c>
      <c r="BD45" s="32">
        <f t="shared" si="115"/>
        <v>0.69999998807907104</v>
      </c>
      <c r="BE45" s="31">
        <f>Segunda!BE45</f>
        <v>0.10000000149011612</v>
      </c>
      <c r="BF45" s="32">
        <f t="shared" si="116"/>
        <v>0.10000000149011612</v>
      </c>
      <c r="BG45" s="31">
        <f>Segunda!BG45</f>
        <v>0.20000000298023224</v>
      </c>
      <c r="BH45" s="32">
        <f t="shared" si="117"/>
        <v>0.20000000298023224</v>
      </c>
      <c r="BI45" s="31">
        <f>Segunda!BI45</f>
        <v>0.40000000596046448</v>
      </c>
      <c r="BJ45" s="32">
        <f t="shared" si="118"/>
        <v>0.40000000596046448</v>
      </c>
    </row>
    <row r="46" spans="1:62" ht="42" x14ac:dyDescent="0.2">
      <c r="A46" s="2" t="s">
        <v>46</v>
      </c>
      <c r="B46" s="13">
        <f>Segunda!B46</f>
        <v>1</v>
      </c>
      <c r="C46" s="31">
        <f>Segunda!C46</f>
        <v>0.10000000149011612</v>
      </c>
      <c r="D46" s="32">
        <f t="shared" si="89"/>
        <v>0.10000000149011612</v>
      </c>
      <c r="E46" s="31">
        <f>Segunda!E46</f>
        <v>0.60000002384185791</v>
      </c>
      <c r="F46" s="32">
        <f t="shared" si="90"/>
        <v>0.60000002384185791</v>
      </c>
      <c r="G46" s="31">
        <f>Segunda!G46</f>
        <v>0.69999998807907104</v>
      </c>
      <c r="H46" s="32">
        <f t="shared" si="91"/>
        <v>0.69999998807907104</v>
      </c>
      <c r="I46" s="31">
        <f>Segunda!I46</f>
        <v>0.40000000596046448</v>
      </c>
      <c r="J46" s="32">
        <f t="shared" si="92"/>
        <v>0.40000000596046448</v>
      </c>
      <c r="K46" s="31">
        <f>Segunda!K46</f>
        <v>0.40000000596046448</v>
      </c>
      <c r="L46" s="32">
        <f t="shared" si="93"/>
        <v>0.40000000596046448</v>
      </c>
      <c r="M46" s="31">
        <f>Segunda!M46</f>
        <v>0.30000001192092896</v>
      </c>
      <c r="N46" s="32">
        <f t="shared" si="94"/>
        <v>0.30000001192092896</v>
      </c>
      <c r="O46" s="31">
        <f>Segunda!O46</f>
        <v>0.69999998807907104</v>
      </c>
      <c r="P46" s="32">
        <f t="shared" si="95"/>
        <v>0.69999998807907104</v>
      </c>
      <c r="Q46" s="31">
        <f>Segunda!Q46</f>
        <v>0.20000000298023224</v>
      </c>
      <c r="R46" s="32">
        <f t="shared" si="96"/>
        <v>0.20000000298023224</v>
      </c>
      <c r="S46" s="31">
        <f>Segunda!S46</f>
        <v>0</v>
      </c>
      <c r="T46" s="32">
        <f t="shared" si="97"/>
        <v>0</v>
      </c>
      <c r="U46" s="31">
        <f>Segunda!U46</f>
        <v>0.89999997615814209</v>
      </c>
      <c r="V46" s="32">
        <f t="shared" si="98"/>
        <v>0.89999997615814209</v>
      </c>
      <c r="W46" s="31">
        <f>Segunda!W46</f>
        <v>0</v>
      </c>
      <c r="X46" s="32">
        <f t="shared" si="99"/>
        <v>0</v>
      </c>
      <c r="Y46" s="31">
        <f>Segunda!Y46</f>
        <v>0.5</v>
      </c>
      <c r="Z46" s="32">
        <f t="shared" si="100"/>
        <v>0.5</v>
      </c>
      <c r="AA46" s="31">
        <f>Segunda!AA46</f>
        <v>0.80000001192092896</v>
      </c>
      <c r="AB46" s="32">
        <f t="shared" si="101"/>
        <v>0.80000001192092896</v>
      </c>
      <c r="AC46" s="31">
        <f>Segunda!AC46</f>
        <v>0.80000001192092896</v>
      </c>
      <c r="AD46" s="32">
        <f t="shared" si="102"/>
        <v>0.80000001192092896</v>
      </c>
      <c r="AE46" s="31">
        <f>Segunda!AE46</f>
        <v>0.89999997615814209</v>
      </c>
      <c r="AF46" s="32">
        <f t="shared" si="103"/>
        <v>0.89999997615814209</v>
      </c>
      <c r="AG46" s="31">
        <f>Segunda!AG46</f>
        <v>0.20000000298023224</v>
      </c>
      <c r="AH46" s="32">
        <f t="shared" si="104"/>
        <v>0.20000000298023224</v>
      </c>
      <c r="AI46" s="31">
        <f>Segunda!AI46</f>
        <v>0.5</v>
      </c>
      <c r="AJ46" s="32">
        <f t="shared" si="105"/>
        <v>0.5</v>
      </c>
      <c r="AK46" s="31">
        <f>Segunda!AK46</f>
        <v>0.89999997615814209</v>
      </c>
      <c r="AL46" s="32">
        <f t="shared" si="106"/>
        <v>0.89999997615814209</v>
      </c>
      <c r="AM46" s="31">
        <f>Segunda!AM46</f>
        <v>0.89999997615814209</v>
      </c>
      <c r="AN46" s="32">
        <f t="shared" si="107"/>
        <v>0.89999997615814209</v>
      </c>
      <c r="AO46" s="31">
        <f>Segunda!AO46</f>
        <v>0.40000000596046448</v>
      </c>
      <c r="AP46" s="32">
        <f t="shared" si="108"/>
        <v>0.40000000596046448</v>
      </c>
      <c r="AQ46" s="31">
        <f>Segunda!AQ46</f>
        <v>0.5</v>
      </c>
      <c r="AR46" s="32">
        <f t="shared" si="109"/>
        <v>0.5</v>
      </c>
      <c r="AS46" s="31">
        <f>Segunda!AS46</f>
        <v>0.30000001192092896</v>
      </c>
      <c r="AT46" s="32">
        <f t="shared" si="110"/>
        <v>0.30000001192092896</v>
      </c>
      <c r="AU46" s="31">
        <f>Segunda!AU46</f>
        <v>0.20000000298023224</v>
      </c>
      <c r="AV46" s="32">
        <f t="shared" si="111"/>
        <v>0.20000000298023224</v>
      </c>
      <c r="AW46" s="31">
        <f>Segunda!AW46</f>
        <v>0.80000001192092896</v>
      </c>
      <c r="AX46" s="32">
        <f t="shared" si="112"/>
        <v>0.80000001192092896</v>
      </c>
      <c r="AY46" s="31">
        <f>Segunda!AY46</f>
        <v>0.5</v>
      </c>
      <c r="AZ46" s="32">
        <f t="shared" si="113"/>
        <v>0.5</v>
      </c>
      <c r="BA46" s="31">
        <f>Segunda!BA46</f>
        <v>0.5</v>
      </c>
      <c r="BB46" s="32">
        <f t="shared" si="114"/>
        <v>0.5</v>
      </c>
      <c r="BC46" s="31">
        <f>Segunda!BC46</f>
        <v>0.60000002384185791</v>
      </c>
      <c r="BD46" s="32">
        <f t="shared" si="115"/>
        <v>0.60000002384185791</v>
      </c>
      <c r="BE46" s="31">
        <f>Segunda!BE46</f>
        <v>0</v>
      </c>
      <c r="BF46" s="32">
        <f t="shared" si="116"/>
        <v>0</v>
      </c>
      <c r="BG46" s="31">
        <f>Segunda!BG46</f>
        <v>0.69999998807907104</v>
      </c>
      <c r="BH46" s="32">
        <f t="shared" si="117"/>
        <v>0.69999998807907104</v>
      </c>
      <c r="BI46" s="31">
        <f>Segunda!BI46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Segunda!B47</f>
        <v>0</v>
      </c>
      <c r="C47" s="31">
        <f>Segunda!C47</f>
        <v>0</v>
      </c>
      <c r="D47" s="32">
        <f t="shared" si="89"/>
        <v>-1</v>
      </c>
      <c r="E47" s="31">
        <f>Segunda!E47</f>
        <v>0</v>
      </c>
      <c r="F47" s="32">
        <f t="shared" si="90"/>
        <v>-1</v>
      </c>
      <c r="G47" s="31">
        <f>Segunda!G47</f>
        <v>0</v>
      </c>
      <c r="H47" s="32">
        <f t="shared" si="91"/>
        <v>-1</v>
      </c>
      <c r="I47" s="31">
        <f>Segunda!I47</f>
        <v>0</v>
      </c>
      <c r="J47" s="32">
        <f t="shared" si="92"/>
        <v>-1</v>
      </c>
      <c r="K47" s="31">
        <f>Segunda!K47</f>
        <v>0</v>
      </c>
      <c r="L47" s="32">
        <f t="shared" si="93"/>
        <v>-1</v>
      </c>
      <c r="M47" s="31">
        <f>Segunda!M47</f>
        <v>0</v>
      </c>
      <c r="N47" s="32">
        <f t="shared" si="94"/>
        <v>-1</v>
      </c>
      <c r="O47" s="31">
        <f>Segunda!O47</f>
        <v>0</v>
      </c>
      <c r="P47" s="32">
        <f t="shared" si="95"/>
        <v>-1</v>
      </c>
      <c r="Q47" s="31">
        <f>Segunda!Q47</f>
        <v>0</v>
      </c>
      <c r="R47" s="32">
        <f t="shared" si="96"/>
        <v>-1</v>
      </c>
      <c r="S47" s="31">
        <f>Segunda!S47</f>
        <v>0</v>
      </c>
      <c r="T47" s="32">
        <f t="shared" si="97"/>
        <v>-1</v>
      </c>
      <c r="U47" s="31">
        <f>Segunda!U47</f>
        <v>0</v>
      </c>
      <c r="V47" s="32">
        <f t="shared" si="98"/>
        <v>-1</v>
      </c>
      <c r="W47" s="31">
        <f>Segunda!W47</f>
        <v>0</v>
      </c>
      <c r="X47" s="32">
        <f t="shared" si="99"/>
        <v>-1</v>
      </c>
      <c r="Y47" s="31">
        <f>Segunda!Y47</f>
        <v>0</v>
      </c>
      <c r="Z47" s="32">
        <f t="shared" si="100"/>
        <v>-1</v>
      </c>
      <c r="AA47" s="31">
        <f>Segunda!AA47</f>
        <v>0</v>
      </c>
      <c r="AB47" s="32">
        <f t="shared" si="101"/>
        <v>-1</v>
      </c>
      <c r="AC47" s="31">
        <f>Segunda!AC47</f>
        <v>0</v>
      </c>
      <c r="AD47" s="32">
        <f t="shared" si="102"/>
        <v>-1</v>
      </c>
      <c r="AE47" s="31">
        <f>Segunda!AE47</f>
        <v>0</v>
      </c>
      <c r="AF47" s="32">
        <f t="shared" si="103"/>
        <v>-1</v>
      </c>
      <c r="AG47" s="31">
        <f>Segunda!AG47</f>
        <v>0</v>
      </c>
      <c r="AH47" s="32">
        <f t="shared" si="104"/>
        <v>-1</v>
      </c>
      <c r="AI47" s="31">
        <f>Segunda!AI47</f>
        <v>0</v>
      </c>
      <c r="AJ47" s="32">
        <f t="shared" si="105"/>
        <v>-1</v>
      </c>
      <c r="AK47" s="31">
        <f>Segunda!AK47</f>
        <v>0</v>
      </c>
      <c r="AL47" s="32">
        <f t="shared" si="106"/>
        <v>-1</v>
      </c>
      <c r="AM47" s="31">
        <f>Segunda!AM47</f>
        <v>0</v>
      </c>
      <c r="AN47" s="32">
        <f t="shared" si="107"/>
        <v>-1</v>
      </c>
      <c r="AO47" s="31">
        <f>Segunda!AO47</f>
        <v>0</v>
      </c>
      <c r="AP47" s="32">
        <f t="shared" si="108"/>
        <v>-1</v>
      </c>
      <c r="AQ47" s="31">
        <f>Segunda!AQ47</f>
        <v>0</v>
      </c>
      <c r="AR47" s="32">
        <f t="shared" si="109"/>
        <v>-1</v>
      </c>
      <c r="AS47" s="31">
        <f>Segunda!AS47</f>
        <v>0</v>
      </c>
      <c r="AT47" s="32">
        <f t="shared" si="110"/>
        <v>-1</v>
      </c>
      <c r="AU47" s="31">
        <f>Segunda!AU47</f>
        <v>0</v>
      </c>
      <c r="AV47" s="32">
        <f t="shared" si="111"/>
        <v>-1</v>
      </c>
      <c r="AW47" s="31">
        <f>Segunda!AW47</f>
        <v>0</v>
      </c>
      <c r="AX47" s="32">
        <f t="shared" si="112"/>
        <v>-1</v>
      </c>
      <c r="AY47" s="31">
        <f>Segunda!AY47</f>
        <v>0</v>
      </c>
      <c r="AZ47" s="32">
        <f t="shared" si="113"/>
        <v>-1</v>
      </c>
      <c r="BA47" s="31">
        <f>Segunda!BA47</f>
        <v>0</v>
      </c>
      <c r="BB47" s="32">
        <f t="shared" si="114"/>
        <v>-1</v>
      </c>
      <c r="BC47" s="31">
        <f>Segunda!BC47</f>
        <v>0</v>
      </c>
      <c r="BD47" s="32">
        <f t="shared" si="115"/>
        <v>-1</v>
      </c>
      <c r="BE47" s="31">
        <f>Segunda!BE47</f>
        <v>0</v>
      </c>
      <c r="BF47" s="32">
        <f t="shared" si="116"/>
        <v>-1</v>
      </c>
      <c r="BG47" s="31">
        <f>Segunda!BG47</f>
        <v>0</v>
      </c>
      <c r="BH47" s="32">
        <f t="shared" si="117"/>
        <v>-1</v>
      </c>
      <c r="BI47" s="31">
        <f>Segunda!BI47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Segunda!B48</f>
        <v>0</v>
      </c>
      <c r="C48" s="31">
        <f>Segunda!C48</f>
        <v>0</v>
      </c>
      <c r="D48" s="32">
        <f t="shared" si="89"/>
        <v>-1</v>
      </c>
      <c r="E48" s="31">
        <f>Segunda!E48</f>
        <v>0</v>
      </c>
      <c r="F48" s="32">
        <f t="shared" si="90"/>
        <v>-1</v>
      </c>
      <c r="G48" s="31">
        <f>Segunda!G48</f>
        <v>0</v>
      </c>
      <c r="H48" s="32">
        <f t="shared" si="91"/>
        <v>-1</v>
      </c>
      <c r="I48" s="31">
        <f>Segunda!I48</f>
        <v>0</v>
      </c>
      <c r="J48" s="32">
        <f t="shared" si="92"/>
        <v>-1</v>
      </c>
      <c r="K48" s="31">
        <f>Segunda!K48</f>
        <v>0</v>
      </c>
      <c r="L48" s="32">
        <f t="shared" si="93"/>
        <v>-1</v>
      </c>
      <c r="M48" s="31">
        <f>Segunda!M48</f>
        <v>0</v>
      </c>
      <c r="N48" s="32">
        <f t="shared" si="94"/>
        <v>-1</v>
      </c>
      <c r="O48" s="31">
        <f>Segunda!O48</f>
        <v>0</v>
      </c>
      <c r="P48" s="32">
        <f t="shared" si="95"/>
        <v>-1</v>
      </c>
      <c r="Q48" s="31">
        <f>Segunda!Q48</f>
        <v>0</v>
      </c>
      <c r="R48" s="32">
        <f t="shared" si="96"/>
        <v>-1</v>
      </c>
      <c r="S48" s="31">
        <f>Segunda!S48</f>
        <v>0</v>
      </c>
      <c r="T48" s="32">
        <f t="shared" si="97"/>
        <v>-1</v>
      </c>
      <c r="U48" s="31">
        <f>Segunda!U48</f>
        <v>0</v>
      </c>
      <c r="V48" s="32">
        <f t="shared" si="98"/>
        <v>-1</v>
      </c>
      <c r="W48" s="31">
        <f>Segunda!W48</f>
        <v>0</v>
      </c>
      <c r="X48" s="32">
        <f t="shared" si="99"/>
        <v>-1</v>
      </c>
      <c r="Y48" s="31">
        <f>Segunda!Y48</f>
        <v>0</v>
      </c>
      <c r="Z48" s="32">
        <f t="shared" si="100"/>
        <v>-1</v>
      </c>
      <c r="AA48" s="31">
        <f>Segunda!AA48</f>
        <v>0</v>
      </c>
      <c r="AB48" s="32">
        <f t="shared" si="101"/>
        <v>-1</v>
      </c>
      <c r="AC48" s="31">
        <f>Segunda!AC48</f>
        <v>0</v>
      </c>
      <c r="AD48" s="32">
        <f t="shared" si="102"/>
        <v>-1</v>
      </c>
      <c r="AE48" s="31">
        <f>Segunda!AE48</f>
        <v>0</v>
      </c>
      <c r="AF48" s="32">
        <f t="shared" si="103"/>
        <v>-1</v>
      </c>
      <c r="AG48" s="31">
        <f>Segunda!AG48</f>
        <v>0</v>
      </c>
      <c r="AH48" s="32">
        <f t="shared" si="104"/>
        <v>-1</v>
      </c>
      <c r="AI48" s="31">
        <f>Segunda!AI48</f>
        <v>0</v>
      </c>
      <c r="AJ48" s="32">
        <f t="shared" si="105"/>
        <v>-1</v>
      </c>
      <c r="AK48" s="31">
        <f>Segunda!AK48</f>
        <v>0</v>
      </c>
      <c r="AL48" s="32">
        <f t="shared" si="106"/>
        <v>-1</v>
      </c>
      <c r="AM48" s="31">
        <f>Segunda!AM48</f>
        <v>0</v>
      </c>
      <c r="AN48" s="32">
        <f t="shared" si="107"/>
        <v>-1</v>
      </c>
      <c r="AO48" s="31">
        <f>Segunda!AO48</f>
        <v>0</v>
      </c>
      <c r="AP48" s="32">
        <f t="shared" si="108"/>
        <v>-1</v>
      </c>
      <c r="AQ48" s="31">
        <f>Segunda!AQ48</f>
        <v>0</v>
      </c>
      <c r="AR48" s="32">
        <f t="shared" si="109"/>
        <v>-1</v>
      </c>
      <c r="AS48" s="31">
        <f>Segunda!AS48</f>
        <v>0</v>
      </c>
      <c r="AT48" s="32">
        <f t="shared" si="110"/>
        <v>-1</v>
      </c>
      <c r="AU48" s="31">
        <f>Segunda!AU48</f>
        <v>0</v>
      </c>
      <c r="AV48" s="32">
        <f t="shared" si="111"/>
        <v>-1</v>
      </c>
      <c r="AW48" s="31">
        <f>Segunda!AW48</f>
        <v>0</v>
      </c>
      <c r="AX48" s="32">
        <f t="shared" si="112"/>
        <v>-1</v>
      </c>
      <c r="AY48" s="31">
        <f>Segunda!AY48</f>
        <v>0</v>
      </c>
      <c r="AZ48" s="32">
        <f t="shared" si="113"/>
        <v>-1</v>
      </c>
      <c r="BA48" s="31">
        <f>Segunda!BA48</f>
        <v>0</v>
      </c>
      <c r="BB48" s="32">
        <f t="shared" si="114"/>
        <v>-1</v>
      </c>
      <c r="BC48" s="31">
        <f>Segunda!BC48</f>
        <v>0</v>
      </c>
      <c r="BD48" s="32">
        <f t="shared" si="115"/>
        <v>-1</v>
      </c>
      <c r="BE48" s="31">
        <f>Segunda!BE48</f>
        <v>0</v>
      </c>
      <c r="BF48" s="32">
        <f t="shared" si="116"/>
        <v>-1</v>
      </c>
      <c r="BG48" s="31">
        <f>Segunda!BG48</f>
        <v>0</v>
      </c>
      <c r="BH48" s="32">
        <f t="shared" si="117"/>
        <v>-1</v>
      </c>
      <c r="BI48" s="31">
        <f>Segunda!BI48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Segunda!B49</f>
        <v>0</v>
      </c>
      <c r="C49" s="31">
        <f>Segunda!C49</f>
        <v>0</v>
      </c>
      <c r="D49" s="32">
        <f t="shared" si="89"/>
        <v>-1</v>
      </c>
      <c r="E49" s="31">
        <f>Segunda!E49</f>
        <v>0</v>
      </c>
      <c r="F49" s="32">
        <f t="shared" si="90"/>
        <v>-1</v>
      </c>
      <c r="G49" s="31">
        <f>Segunda!G49</f>
        <v>0</v>
      </c>
      <c r="H49" s="32">
        <f t="shared" si="91"/>
        <v>-1</v>
      </c>
      <c r="I49" s="31">
        <f>Segunda!I49</f>
        <v>0</v>
      </c>
      <c r="J49" s="32">
        <f t="shared" si="92"/>
        <v>-1</v>
      </c>
      <c r="K49" s="31">
        <f>Segunda!K49</f>
        <v>0</v>
      </c>
      <c r="L49" s="32">
        <f t="shared" si="93"/>
        <v>-1</v>
      </c>
      <c r="M49" s="31">
        <f>Segunda!M49</f>
        <v>0</v>
      </c>
      <c r="N49" s="32">
        <f t="shared" si="94"/>
        <v>-1</v>
      </c>
      <c r="O49" s="31">
        <f>Segunda!O49</f>
        <v>0</v>
      </c>
      <c r="P49" s="32">
        <f t="shared" si="95"/>
        <v>-1</v>
      </c>
      <c r="Q49" s="31">
        <f>Segunda!Q49</f>
        <v>0</v>
      </c>
      <c r="R49" s="32">
        <f t="shared" si="96"/>
        <v>-1</v>
      </c>
      <c r="S49" s="31">
        <f>Segunda!S49</f>
        <v>0</v>
      </c>
      <c r="T49" s="32">
        <f t="shared" si="97"/>
        <v>-1</v>
      </c>
      <c r="U49" s="31">
        <f>Segunda!U49</f>
        <v>0</v>
      </c>
      <c r="V49" s="32">
        <f t="shared" si="98"/>
        <v>-1</v>
      </c>
      <c r="W49" s="31">
        <f>Segunda!W49</f>
        <v>0</v>
      </c>
      <c r="X49" s="32">
        <f t="shared" si="99"/>
        <v>-1</v>
      </c>
      <c r="Y49" s="31">
        <f>Segunda!Y49</f>
        <v>0</v>
      </c>
      <c r="Z49" s="32">
        <f t="shared" si="100"/>
        <v>-1</v>
      </c>
      <c r="AA49" s="31">
        <f>Segunda!AA49</f>
        <v>0</v>
      </c>
      <c r="AB49" s="32">
        <f t="shared" si="101"/>
        <v>-1</v>
      </c>
      <c r="AC49" s="31">
        <f>Segunda!AC49</f>
        <v>0</v>
      </c>
      <c r="AD49" s="32">
        <f t="shared" si="102"/>
        <v>-1</v>
      </c>
      <c r="AE49" s="31">
        <f>Segunda!AE49</f>
        <v>0</v>
      </c>
      <c r="AF49" s="32">
        <f t="shared" si="103"/>
        <v>-1</v>
      </c>
      <c r="AG49" s="31">
        <f>Segunda!AG49</f>
        <v>0</v>
      </c>
      <c r="AH49" s="32">
        <f t="shared" si="104"/>
        <v>-1</v>
      </c>
      <c r="AI49" s="31">
        <f>Segunda!AI49</f>
        <v>0</v>
      </c>
      <c r="AJ49" s="32">
        <f t="shared" si="105"/>
        <v>-1</v>
      </c>
      <c r="AK49" s="31">
        <f>Segunda!AK49</f>
        <v>0</v>
      </c>
      <c r="AL49" s="32">
        <f t="shared" si="106"/>
        <v>-1</v>
      </c>
      <c r="AM49" s="31">
        <f>Segunda!AM49</f>
        <v>0</v>
      </c>
      <c r="AN49" s="32">
        <f t="shared" si="107"/>
        <v>-1</v>
      </c>
      <c r="AO49" s="31">
        <f>Segunda!AO49</f>
        <v>0</v>
      </c>
      <c r="AP49" s="32">
        <f t="shared" si="108"/>
        <v>-1</v>
      </c>
      <c r="AQ49" s="31">
        <f>Segunda!AQ49</f>
        <v>0</v>
      </c>
      <c r="AR49" s="32">
        <f t="shared" si="109"/>
        <v>-1</v>
      </c>
      <c r="AS49" s="31">
        <f>Segunda!AS49</f>
        <v>0</v>
      </c>
      <c r="AT49" s="32">
        <f t="shared" si="110"/>
        <v>-1</v>
      </c>
      <c r="AU49" s="31">
        <f>Segunda!AU49</f>
        <v>0</v>
      </c>
      <c r="AV49" s="32">
        <f t="shared" si="111"/>
        <v>-1</v>
      </c>
      <c r="AW49" s="31">
        <f>Segunda!AW49</f>
        <v>0</v>
      </c>
      <c r="AX49" s="32">
        <f t="shared" si="112"/>
        <v>-1</v>
      </c>
      <c r="AY49" s="31">
        <f>Segunda!AY49</f>
        <v>0</v>
      </c>
      <c r="AZ49" s="32">
        <f t="shared" si="113"/>
        <v>-1</v>
      </c>
      <c r="BA49" s="31">
        <f>Segunda!BA49</f>
        <v>0</v>
      </c>
      <c r="BB49" s="32">
        <f t="shared" si="114"/>
        <v>-1</v>
      </c>
      <c r="BC49" s="31">
        <f>Segunda!BC49</f>
        <v>0</v>
      </c>
      <c r="BD49" s="32">
        <f t="shared" si="115"/>
        <v>-1</v>
      </c>
      <c r="BE49" s="31">
        <f>Segunda!BE49</f>
        <v>0</v>
      </c>
      <c r="BF49" s="32">
        <f t="shared" si="116"/>
        <v>-1</v>
      </c>
      <c r="BG49" s="31">
        <f>Segunda!BG49</f>
        <v>0</v>
      </c>
      <c r="BH49" s="32">
        <f t="shared" si="117"/>
        <v>-1</v>
      </c>
      <c r="BI49" s="31">
        <f>Segunda!BI49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Segunda!B50</f>
        <v>0</v>
      </c>
      <c r="C50" s="31">
        <f>Segunda!C50</f>
        <v>0</v>
      </c>
      <c r="D50" s="32">
        <f t="shared" si="89"/>
        <v>-1</v>
      </c>
      <c r="E50" s="31">
        <f>Segunda!E50</f>
        <v>0</v>
      </c>
      <c r="F50" s="32">
        <f t="shared" si="90"/>
        <v>-1</v>
      </c>
      <c r="G50" s="31">
        <f>Segunda!G50</f>
        <v>0</v>
      </c>
      <c r="H50" s="32">
        <f t="shared" si="91"/>
        <v>-1</v>
      </c>
      <c r="I50" s="31">
        <f>Segunda!I50</f>
        <v>0</v>
      </c>
      <c r="J50" s="32">
        <f t="shared" si="92"/>
        <v>-1</v>
      </c>
      <c r="K50" s="31">
        <f>Segunda!K50</f>
        <v>0</v>
      </c>
      <c r="L50" s="32">
        <f t="shared" si="93"/>
        <v>-1</v>
      </c>
      <c r="M50" s="31">
        <f>Segunda!M50</f>
        <v>0</v>
      </c>
      <c r="N50" s="32">
        <f t="shared" si="94"/>
        <v>-1</v>
      </c>
      <c r="O50" s="31">
        <f>Segunda!O50</f>
        <v>0</v>
      </c>
      <c r="P50" s="32">
        <f t="shared" si="95"/>
        <v>-1</v>
      </c>
      <c r="Q50" s="31">
        <f>Segunda!Q50</f>
        <v>0</v>
      </c>
      <c r="R50" s="32">
        <f t="shared" si="96"/>
        <v>-1</v>
      </c>
      <c r="S50" s="31">
        <f>Segunda!S50</f>
        <v>0</v>
      </c>
      <c r="T50" s="32">
        <f t="shared" si="97"/>
        <v>-1</v>
      </c>
      <c r="U50" s="31">
        <f>Segunda!U50</f>
        <v>0</v>
      </c>
      <c r="V50" s="32">
        <f t="shared" si="98"/>
        <v>-1</v>
      </c>
      <c r="W50" s="31">
        <f>Segunda!W50</f>
        <v>0</v>
      </c>
      <c r="X50" s="32">
        <f t="shared" si="99"/>
        <v>-1</v>
      </c>
      <c r="Y50" s="31">
        <f>Segunda!Y50</f>
        <v>0</v>
      </c>
      <c r="Z50" s="32">
        <f t="shared" si="100"/>
        <v>-1</v>
      </c>
      <c r="AA50" s="31">
        <f>Segunda!AA50</f>
        <v>0</v>
      </c>
      <c r="AB50" s="32">
        <f t="shared" si="101"/>
        <v>-1</v>
      </c>
      <c r="AC50" s="31">
        <f>Segunda!AC50</f>
        <v>0</v>
      </c>
      <c r="AD50" s="32">
        <f t="shared" si="102"/>
        <v>-1</v>
      </c>
      <c r="AE50" s="31">
        <f>Segunda!AE50</f>
        <v>0</v>
      </c>
      <c r="AF50" s="32">
        <f t="shared" si="103"/>
        <v>-1</v>
      </c>
      <c r="AG50" s="31">
        <f>Segunda!AG50</f>
        <v>0</v>
      </c>
      <c r="AH50" s="32">
        <f t="shared" si="104"/>
        <v>-1</v>
      </c>
      <c r="AI50" s="31">
        <f>Segunda!AI50</f>
        <v>0</v>
      </c>
      <c r="AJ50" s="32">
        <f t="shared" si="105"/>
        <v>-1</v>
      </c>
      <c r="AK50" s="31">
        <f>Segunda!AK50</f>
        <v>0</v>
      </c>
      <c r="AL50" s="32">
        <f t="shared" si="106"/>
        <v>-1</v>
      </c>
      <c r="AM50" s="31">
        <f>Segunda!AM50</f>
        <v>0</v>
      </c>
      <c r="AN50" s="32">
        <f t="shared" si="107"/>
        <v>-1</v>
      </c>
      <c r="AO50" s="31">
        <f>Segunda!AO50</f>
        <v>0</v>
      </c>
      <c r="AP50" s="32">
        <f t="shared" si="108"/>
        <v>-1</v>
      </c>
      <c r="AQ50" s="31">
        <f>Segunda!AQ50</f>
        <v>0</v>
      </c>
      <c r="AR50" s="32">
        <f t="shared" si="109"/>
        <v>-1</v>
      </c>
      <c r="AS50" s="31">
        <f>Segunda!AS50</f>
        <v>0</v>
      </c>
      <c r="AT50" s="32">
        <f t="shared" si="110"/>
        <v>-1</v>
      </c>
      <c r="AU50" s="31">
        <f>Segunda!AU50</f>
        <v>0</v>
      </c>
      <c r="AV50" s="32">
        <f t="shared" si="111"/>
        <v>-1</v>
      </c>
      <c r="AW50" s="31">
        <f>Segunda!AW50</f>
        <v>0</v>
      </c>
      <c r="AX50" s="32">
        <f t="shared" si="112"/>
        <v>-1</v>
      </c>
      <c r="AY50" s="31">
        <f>Segunda!AY50</f>
        <v>0</v>
      </c>
      <c r="AZ50" s="32">
        <f t="shared" si="113"/>
        <v>-1</v>
      </c>
      <c r="BA50" s="31">
        <f>Segunda!BA50</f>
        <v>0</v>
      </c>
      <c r="BB50" s="32">
        <f t="shared" si="114"/>
        <v>-1</v>
      </c>
      <c r="BC50" s="31">
        <f>Segunda!BC50</f>
        <v>0</v>
      </c>
      <c r="BD50" s="32">
        <f t="shared" si="115"/>
        <v>-1</v>
      </c>
      <c r="BE50" s="31">
        <f>Segunda!BE50</f>
        <v>0</v>
      </c>
      <c r="BF50" s="32">
        <f t="shared" si="116"/>
        <v>-1</v>
      </c>
      <c r="BG50" s="31">
        <f>Segunda!BG50</f>
        <v>0</v>
      </c>
      <c r="BH50" s="32">
        <f t="shared" si="117"/>
        <v>-1</v>
      </c>
      <c r="BI50" s="31">
        <f>Segunda!BI50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Segunda!B51</f>
        <v>0</v>
      </c>
      <c r="C51" s="31">
        <f>Segunda!C51</f>
        <v>0</v>
      </c>
      <c r="D51" s="32">
        <f t="shared" si="89"/>
        <v>-1</v>
      </c>
      <c r="E51" s="31">
        <f>Segunda!E51</f>
        <v>0</v>
      </c>
      <c r="F51" s="32">
        <f t="shared" si="90"/>
        <v>-1</v>
      </c>
      <c r="G51" s="31">
        <f>Segunda!G51</f>
        <v>0</v>
      </c>
      <c r="H51" s="32">
        <f t="shared" si="91"/>
        <v>-1</v>
      </c>
      <c r="I51" s="31">
        <f>Segunda!I51</f>
        <v>0</v>
      </c>
      <c r="J51" s="32">
        <f t="shared" si="92"/>
        <v>-1</v>
      </c>
      <c r="K51" s="31">
        <f>Segunda!K51</f>
        <v>0</v>
      </c>
      <c r="L51" s="32">
        <f t="shared" si="93"/>
        <v>-1</v>
      </c>
      <c r="M51" s="31">
        <f>Segunda!M51</f>
        <v>0</v>
      </c>
      <c r="N51" s="32">
        <f t="shared" si="94"/>
        <v>-1</v>
      </c>
      <c r="O51" s="31">
        <f>Segunda!O51</f>
        <v>0</v>
      </c>
      <c r="P51" s="32">
        <f t="shared" si="95"/>
        <v>-1</v>
      </c>
      <c r="Q51" s="31">
        <f>Segunda!Q51</f>
        <v>0</v>
      </c>
      <c r="R51" s="32">
        <f t="shared" si="96"/>
        <v>-1</v>
      </c>
      <c r="S51" s="31">
        <f>Segunda!S51</f>
        <v>0</v>
      </c>
      <c r="T51" s="32">
        <f t="shared" si="97"/>
        <v>-1</v>
      </c>
      <c r="U51" s="31">
        <f>Segunda!U51</f>
        <v>0</v>
      </c>
      <c r="V51" s="32">
        <f t="shared" si="98"/>
        <v>-1</v>
      </c>
      <c r="W51" s="31">
        <f>Segunda!W51</f>
        <v>0</v>
      </c>
      <c r="X51" s="32">
        <f t="shared" si="99"/>
        <v>-1</v>
      </c>
      <c r="Y51" s="31">
        <f>Segunda!Y51</f>
        <v>0</v>
      </c>
      <c r="Z51" s="32">
        <f t="shared" si="100"/>
        <v>-1</v>
      </c>
      <c r="AA51" s="31">
        <f>Segunda!AA51</f>
        <v>0</v>
      </c>
      <c r="AB51" s="32">
        <f t="shared" si="101"/>
        <v>-1</v>
      </c>
      <c r="AC51" s="31">
        <f>Segunda!AC51</f>
        <v>0</v>
      </c>
      <c r="AD51" s="32">
        <f t="shared" si="102"/>
        <v>-1</v>
      </c>
      <c r="AE51" s="31">
        <f>Segunda!AE51</f>
        <v>0</v>
      </c>
      <c r="AF51" s="32">
        <f t="shared" si="103"/>
        <v>-1</v>
      </c>
      <c r="AG51" s="31">
        <f>Segunda!AG51</f>
        <v>0</v>
      </c>
      <c r="AH51" s="32">
        <f t="shared" si="104"/>
        <v>-1</v>
      </c>
      <c r="AI51" s="31">
        <f>Segunda!AI51</f>
        <v>0</v>
      </c>
      <c r="AJ51" s="32">
        <f t="shared" si="105"/>
        <v>-1</v>
      </c>
      <c r="AK51" s="31">
        <f>Segunda!AK51</f>
        <v>0</v>
      </c>
      <c r="AL51" s="32">
        <f t="shared" si="106"/>
        <v>-1</v>
      </c>
      <c r="AM51" s="31">
        <f>Segunda!AM51</f>
        <v>0</v>
      </c>
      <c r="AN51" s="32">
        <f t="shared" si="107"/>
        <v>-1</v>
      </c>
      <c r="AO51" s="31">
        <f>Segunda!AO51</f>
        <v>0</v>
      </c>
      <c r="AP51" s="32">
        <f t="shared" si="108"/>
        <v>-1</v>
      </c>
      <c r="AQ51" s="31">
        <f>Segunda!AQ51</f>
        <v>0</v>
      </c>
      <c r="AR51" s="32">
        <f t="shared" si="109"/>
        <v>-1</v>
      </c>
      <c r="AS51" s="31">
        <f>Segunda!AS51</f>
        <v>0</v>
      </c>
      <c r="AT51" s="32">
        <f t="shared" si="110"/>
        <v>-1</v>
      </c>
      <c r="AU51" s="31">
        <f>Segunda!AU51</f>
        <v>0</v>
      </c>
      <c r="AV51" s="32">
        <f t="shared" si="111"/>
        <v>-1</v>
      </c>
      <c r="AW51" s="31">
        <f>Segunda!AW51</f>
        <v>0</v>
      </c>
      <c r="AX51" s="32">
        <f t="shared" si="112"/>
        <v>-1</v>
      </c>
      <c r="AY51" s="31">
        <f>Segunda!AY51</f>
        <v>0</v>
      </c>
      <c r="AZ51" s="32">
        <f t="shared" si="113"/>
        <v>-1</v>
      </c>
      <c r="BA51" s="31">
        <f>Segunda!BA51</f>
        <v>0</v>
      </c>
      <c r="BB51" s="32">
        <f t="shared" si="114"/>
        <v>-1</v>
      </c>
      <c r="BC51" s="31">
        <f>Segunda!BC51</f>
        <v>0</v>
      </c>
      <c r="BD51" s="32">
        <f t="shared" si="115"/>
        <v>-1</v>
      </c>
      <c r="BE51" s="31">
        <f>Segunda!BE51</f>
        <v>0</v>
      </c>
      <c r="BF51" s="32">
        <f t="shared" si="116"/>
        <v>-1</v>
      </c>
      <c r="BG51" s="31">
        <f>Segunda!BG51</f>
        <v>0</v>
      </c>
      <c r="BH51" s="32">
        <f t="shared" si="117"/>
        <v>-1</v>
      </c>
      <c r="BI51" s="31">
        <f>Segunda!BI51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Segunda!B52</f>
        <v>0</v>
      </c>
      <c r="C52" s="31">
        <f>Segunda!C52</f>
        <v>0</v>
      </c>
      <c r="D52" s="32">
        <f t="shared" si="89"/>
        <v>-1</v>
      </c>
      <c r="E52" s="31">
        <f>Segunda!E52</f>
        <v>0</v>
      </c>
      <c r="F52" s="32">
        <f t="shared" si="90"/>
        <v>-1</v>
      </c>
      <c r="G52" s="31">
        <f>Segunda!G52</f>
        <v>0</v>
      </c>
      <c r="H52" s="32">
        <f t="shared" si="91"/>
        <v>-1</v>
      </c>
      <c r="I52" s="31">
        <f>Segunda!I52</f>
        <v>0</v>
      </c>
      <c r="J52" s="32">
        <f t="shared" si="92"/>
        <v>-1</v>
      </c>
      <c r="K52" s="31">
        <f>Segunda!K52</f>
        <v>0</v>
      </c>
      <c r="L52" s="32">
        <f t="shared" si="93"/>
        <v>-1</v>
      </c>
      <c r="M52" s="31">
        <f>Segunda!M52</f>
        <v>0</v>
      </c>
      <c r="N52" s="32">
        <f t="shared" si="94"/>
        <v>-1</v>
      </c>
      <c r="O52" s="31">
        <f>Segunda!O52</f>
        <v>0</v>
      </c>
      <c r="P52" s="32">
        <f t="shared" si="95"/>
        <v>-1</v>
      </c>
      <c r="Q52" s="31">
        <f>Segunda!Q52</f>
        <v>0</v>
      </c>
      <c r="R52" s="32">
        <f t="shared" si="96"/>
        <v>-1</v>
      </c>
      <c r="S52" s="31">
        <f>Segunda!S52</f>
        <v>0</v>
      </c>
      <c r="T52" s="32">
        <f t="shared" si="97"/>
        <v>-1</v>
      </c>
      <c r="U52" s="31">
        <f>Segunda!U52</f>
        <v>0</v>
      </c>
      <c r="V52" s="32">
        <f t="shared" si="98"/>
        <v>-1</v>
      </c>
      <c r="W52" s="31">
        <f>Segunda!W52</f>
        <v>0</v>
      </c>
      <c r="X52" s="32">
        <f t="shared" si="99"/>
        <v>-1</v>
      </c>
      <c r="Y52" s="31">
        <f>Segunda!Y52</f>
        <v>0</v>
      </c>
      <c r="Z52" s="32">
        <f t="shared" si="100"/>
        <v>-1</v>
      </c>
      <c r="AA52" s="31">
        <f>Segunda!AA52</f>
        <v>0</v>
      </c>
      <c r="AB52" s="32">
        <f t="shared" si="101"/>
        <v>-1</v>
      </c>
      <c r="AC52" s="31">
        <f>Segunda!AC52</f>
        <v>0</v>
      </c>
      <c r="AD52" s="32">
        <f t="shared" si="102"/>
        <v>-1</v>
      </c>
      <c r="AE52" s="31">
        <f>Segunda!AE52</f>
        <v>0</v>
      </c>
      <c r="AF52" s="32">
        <f t="shared" si="103"/>
        <v>-1</v>
      </c>
      <c r="AG52" s="31">
        <f>Segunda!AG52</f>
        <v>0</v>
      </c>
      <c r="AH52" s="32">
        <f t="shared" si="104"/>
        <v>-1</v>
      </c>
      <c r="AI52" s="31">
        <f>Segunda!AI52</f>
        <v>0</v>
      </c>
      <c r="AJ52" s="32">
        <f t="shared" si="105"/>
        <v>-1</v>
      </c>
      <c r="AK52" s="31">
        <f>Segunda!AK52</f>
        <v>0</v>
      </c>
      <c r="AL52" s="32">
        <f t="shared" si="106"/>
        <v>-1</v>
      </c>
      <c r="AM52" s="31">
        <f>Segunda!AM52</f>
        <v>0</v>
      </c>
      <c r="AN52" s="32">
        <f t="shared" si="107"/>
        <v>-1</v>
      </c>
      <c r="AO52" s="31">
        <f>Segunda!AO52</f>
        <v>0</v>
      </c>
      <c r="AP52" s="32">
        <f t="shared" si="108"/>
        <v>-1</v>
      </c>
      <c r="AQ52" s="31">
        <f>Segunda!AQ52</f>
        <v>0</v>
      </c>
      <c r="AR52" s="32">
        <f t="shared" si="109"/>
        <v>-1</v>
      </c>
      <c r="AS52" s="31">
        <f>Segunda!AS52</f>
        <v>0</v>
      </c>
      <c r="AT52" s="32">
        <f t="shared" si="110"/>
        <v>-1</v>
      </c>
      <c r="AU52" s="31">
        <f>Segunda!AU52</f>
        <v>0</v>
      </c>
      <c r="AV52" s="32">
        <f t="shared" si="111"/>
        <v>-1</v>
      </c>
      <c r="AW52" s="31">
        <f>Segunda!AW52</f>
        <v>0</v>
      </c>
      <c r="AX52" s="32">
        <f t="shared" si="112"/>
        <v>-1</v>
      </c>
      <c r="AY52" s="31">
        <f>Segunda!AY52</f>
        <v>0</v>
      </c>
      <c r="AZ52" s="32">
        <f t="shared" si="113"/>
        <v>-1</v>
      </c>
      <c r="BA52" s="31">
        <f>Segunda!BA52</f>
        <v>0</v>
      </c>
      <c r="BB52" s="32">
        <f t="shared" si="114"/>
        <v>-1</v>
      </c>
      <c r="BC52" s="31">
        <f>Segunda!BC52</f>
        <v>0</v>
      </c>
      <c r="BD52" s="32">
        <f t="shared" si="115"/>
        <v>-1</v>
      </c>
      <c r="BE52" s="31">
        <f>Segunda!BE52</f>
        <v>0</v>
      </c>
      <c r="BF52" s="32">
        <f t="shared" si="116"/>
        <v>-1</v>
      </c>
      <c r="BG52" s="31">
        <f>Segunda!BG52</f>
        <v>0</v>
      </c>
      <c r="BH52" s="32">
        <f t="shared" si="117"/>
        <v>-1</v>
      </c>
      <c r="BI52" s="31">
        <f>Segunda!BI52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Segunda!B53</f>
        <v>0</v>
      </c>
      <c r="C53" s="31">
        <f>Segunda!C53</f>
        <v>0</v>
      </c>
      <c r="D53" s="32">
        <f t="shared" si="89"/>
        <v>-1</v>
      </c>
      <c r="E53" s="31">
        <f>Segunda!E53</f>
        <v>0</v>
      </c>
      <c r="F53" s="32">
        <f t="shared" si="90"/>
        <v>-1</v>
      </c>
      <c r="G53" s="31">
        <f>Segunda!G53</f>
        <v>0</v>
      </c>
      <c r="H53" s="32">
        <f t="shared" si="91"/>
        <v>-1</v>
      </c>
      <c r="I53" s="31">
        <f>Segunda!I53</f>
        <v>0</v>
      </c>
      <c r="J53" s="32">
        <f t="shared" si="92"/>
        <v>-1</v>
      </c>
      <c r="K53" s="31">
        <f>Segunda!K53</f>
        <v>0</v>
      </c>
      <c r="L53" s="32">
        <f t="shared" si="93"/>
        <v>-1</v>
      </c>
      <c r="M53" s="31">
        <f>Segunda!M53</f>
        <v>0</v>
      </c>
      <c r="N53" s="32">
        <f t="shared" si="94"/>
        <v>-1</v>
      </c>
      <c r="O53" s="31">
        <f>Segunda!O53</f>
        <v>0</v>
      </c>
      <c r="P53" s="32">
        <f t="shared" si="95"/>
        <v>-1</v>
      </c>
      <c r="Q53" s="31">
        <f>Segunda!Q53</f>
        <v>0</v>
      </c>
      <c r="R53" s="32">
        <f t="shared" si="96"/>
        <v>-1</v>
      </c>
      <c r="S53" s="31">
        <f>Segunda!S53</f>
        <v>0</v>
      </c>
      <c r="T53" s="32">
        <f t="shared" si="97"/>
        <v>-1</v>
      </c>
      <c r="U53" s="31">
        <f>Segunda!U53</f>
        <v>0</v>
      </c>
      <c r="V53" s="32">
        <f t="shared" si="98"/>
        <v>-1</v>
      </c>
      <c r="W53" s="31">
        <f>Segunda!W53</f>
        <v>0</v>
      </c>
      <c r="X53" s="32">
        <f t="shared" si="99"/>
        <v>-1</v>
      </c>
      <c r="Y53" s="31">
        <f>Segunda!Y53</f>
        <v>0</v>
      </c>
      <c r="Z53" s="32">
        <f t="shared" si="100"/>
        <v>-1</v>
      </c>
      <c r="AA53" s="31">
        <f>Segunda!AA53</f>
        <v>0</v>
      </c>
      <c r="AB53" s="32">
        <f t="shared" si="101"/>
        <v>-1</v>
      </c>
      <c r="AC53" s="31">
        <f>Segunda!AC53</f>
        <v>0</v>
      </c>
      <c r="AD53" s="32">
        <f t="shared" si="102"/>
        <v>-1</v>
      </c>
      <c r="AE53" s="31">
        <f>Segunda!AE53</f>
        <v>0</v>
      </c>
      <c r="AF53" s="32">
        <f t="shared" si="103"/>
        <v>-1</v>
      </c>
      <c r="AG53" s="31">
        <f>Segunda!AG53</f>
        <v>0</v>
      </c>
      <c r="AH53" s="32">
        <f t="shared" si="104"/>
        <v>-1</v>
      </c>
      <c r="AI53" s="31">
        <f>Segunda!AI53</f>
        <v>0</v>
      </c>
      <c r="AJ53" s="32">
        <f t="shared" si="105"/>
        <v>-1</v>
      </c>
      <c r="AK53" s="31">
        <f>Segunda!AK53</f>
        <v>0</v>
      </c>
      <c r="AL53" s="32">
        <f t="shared" si="106"/>
        <v>-1</v>
      </c>
      <c r="AM53" s="31">
        <f>Segunda!AM53</f>
        <v>0</v>
      </c>
      <c r="AN53" s="32">
        <f t="shared" si="107"/>
        <v>-1</v>
      </c>
      <c r="AO53" s="31">
        <f>Segunda!AO53</f>
        <v>0</v>
      </c>
      <c r="AP53" s="32">
        <f t="shared" si="108"/>
        <v>-1</v>
      </c>
      <c r="AQ53" s="31">
        <f>Segunda!AQ53</f>
        <v>0</v>
      </c>
      <c r="AR53" s="32">
        <f t="shared" si="109"/>
        <v>-1</v>
      </c>
      <c r="AS53" s="31">
        <f>Segunda!AS53</f>
        <v>0</v>
      </c>
      <c r="AT53" s="32">
        <f t="shared" si="110"/>
        <v>-1</v>
      </c>
      <c r="AU53" s="31">
        <f>Segunda!AU53</f>
        <v>0</v>
      </c>
      <c r="AV53" s="32">
        <f t="shared" si="111"/>
        <v>-1</v>
      </c>
      <c r="AW53" s="31">
        <f>Segunda!AW53</f>
        <v>0</v>
      </c>
      <c r="AX53" s="32">
        <f t="shared" si="112"/>
        <v>-1</v>
      </c>
      <c r="AY53" s="31">
        <f>Segunda!AY53</f>
        <v>0</v>
      </c>
      <c r="AZ53" s="32">
        <f t="shared" si="113"/>
        <v>-1</v>
      </c>
      <c r="BA53" s="31">
        <f>Segunda!BA53</f>
        <v>0</v>
      </c>
      <c r="BB53" s="32">
        <f t="shared" si="114"/>
        <v>-1</v>
      </c>
      <c r="BC53" s="31">
        <f>Segunda!BC53</f>
        <v>0</v>
      </c>
      <c r="BD53" s="32">
        <f t="shared" si="115"/>
        <v>-1</v>
      </c>
      <c r="BE53" s="31">
        <f>Segunda!BE53</f>
        <v>0</v>
      </c>
      <c r="BF53" s="32">
        <f t="shared" si="116"/>
        <v>-1</v>
      </c>
      <c r="BG53" s="31">
        <f>Segunda!BG53</f>
        <v>0</v>
      </c>
      <c r="BH53" s="32">
        <f t="shared" si="117"/>
        <v>-1</v>
      </c>
      <c r="BI53" s="31">
        <f>Segunda!BI53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Segunda!B54</f>
        <v>0</v>
      </c>
      <c r="C54" s="31">
        <f>Segunda!C54</f>
        <v>0</v>
      </c>
      <c r="D54" s="32">
        <f t="shared" si="89"/>
        <v>-1</v>
      </c>
      <c r="E54" s="31">
        <f>Segunda!E54</f>
        <v>0</v>
      </c>
      <c r="F54" s="32">
        <f t="shared" si="90"/>
        <v>-1</v>
      </c>
      <c r="G54" s="31">
        <f>Segunda!G54</f>
        <v>0</v>
      </c>
      <c r="H54" s="32">
        <f t="shared" si="91"/>
        <v>-1</v>
      </c>
      <c r="I54" s="31">
        <f>Segunda!I54</f>
        <v>0</v>
      </c>
      <c r="J54" s="32">
        <f t="shared" si="92"/>
        <v>-1</v>
      </c>
      <c r="K54" s="31">
        <f>Segunda!K54</f>
        <v>0</v>
      </c>
      <c r="L54" s="32">
        <f t="shared" si="93"/>
        <v>-1</v>
      </c>
      <c r="M54" s="31">
        <f>Segunda!M54</f>
        <v>0</v>
      </c>
      <c r="N54" s="32">
        <f t="shared" si="94"/>
        <v>-1</v>
      </c>
      <c r="O54" s="31">
        <f>Segunda!O54</f>
        <v>0</v>
      </c>
      <c r="P54" s="32">
        <f t="shared" si="95"/>
        <v>-1</v>
      </c>
      <c r="Q54" s="31">
        <f>Segunda!Q54</f>
        <v>0</v>
      </c>
      <c r="R54" s="32">
        <f t="shared" si="96"/>
        <v>-1</v>
      </c>
      <c r="S54" s="31">
        <f>Segunda!S54</f>
        <v>0</v>
      </c>
      <c r="T54" s="32">
        <f t="shared" si="97"/>
        <v>-1</v>
      </c>
      <c r="U54" s="31">
        <f>Segunda!U54</f>
        <v>0</v>
      </c>
      <c r="V54" s="32">
        <f t="shared" si="98"/>
        <v>-1</v>
      </c>
      <c r="W54" s="31">
        <f>Segunda!W54</f>
        <v>0</v>
      </c>
      <c r="X54" s="32">
        <f t="shared" si="99"/>
        <v>-1</v>
      </c>
      <c r="Y54" s="31">
        <f>Segunda!Y54</f>
        <v>0</v>
      </c>
      <c r="Z54" s="32">
        <f t="shared" si="100"/>
        <v>-1</v>
      </c>
      <c r="AA54" s="31">
        <f>Segunda!AA54</f>
        <v>0</v>
      </c>
      <c r="AB54" s="32">
        <f t="shared" si="101"/>
        <v>-1</v>
      </c>
      <c r="AC54" s="31">
        <f>Segunda!AC54</f>
        <v>0</v>
      </c>
      <c r="AD54" s="32">
        <f t="shared" si="102"/>
        <v>-1</v>
      </c>
      <c r="AE54" s="31">
        <f>Segunda!AE54</f>
        <v>0</v>
      </c>
      <c r="AF54" s="32">
        <f t="shared" si="103"/>
        <v>-1</v>
      </c>
      <c r="AG54" s="31">
        <f>Segunda!AG54</f>
        <v>0</v>
      </c>
      <c r="AH54" s="32">
        <f t="shared" si="104"/>
        <v>-1</v>
      </c>
      <c r="AI54" s="31">
        <f>Segunda!AI54</f>
        <v>0</v>
      </c>
      <c r="AJ54" s="32">
        <f t="shared" si="105"/>
        <v>-1</v>
      </c>
      <c r="AK54" s="31">
        <f>Segunda!AK54</f>
        <v>0</v>
      </c>
      <c r="AL54" s="32">
        <f t="shared" si="106"/>
        <v>-1</v>
      </c>
      <c r="AM54" s="31">
        <f>Segunda!AM54</f>
        <v>0</v>
      </c>
      <c r="AN54" s="32">
        <f t="shared" si="107"/>
        <v>-1</v>
      </c>
      <c r="AO54" s="31">
        <f>Segunda!AO54</f>
        <v>0</v>
      </c>
      <c r="AP54" s="32">
        <f t="shared" si="108"/>
        <v>-1</v>
      </c>
      <c r="AQ54" s="31">
        <f>Segunda!AQ54</f>
        <v>0</v>
      </c>
      <c r="AR54" s="32">
        <f t="shared" si="109"/>
        <v>-1</v>
      </c>
      <c r="AS54" s="31">
        <f>Segunda!AS54</f>
        <v>0</v>
      </c>
      <c r="AT54" s="32">
        <f t="shared" si="110"/>
        <v>-1</v>
      </c>
      <c r="AU54" s="31">
        <f>Segunda!AU54</f>
        <v>0</v>
      </c>
      <c r="AV54" s="32">
        <f t="shared" si="111"/>
        <v>-1</v>
      </c>
      <c r="AW54" s="31">
        <f>Segunda!AW54</f>
        <v>0</v>
      </c>
      <c r="AX54" s="32">
        <f t="shared" si="112"/>
        <v>-1</v>
      </c>
      <c r="AY54" s="31">
        <f>Segunda!AY54</f>
        <v>0</v>
      </c>
      <c r="AZ54" s="32">
        <f t="shared" si="113"/>
        <v>-1</v>
      </c>
      <c r="BA54" s="31">
        <f>Segunda!BA54</f>
        <v>0</v>
      </c>
      <c r="BB54" s="32">
        <f t="shared" si="114"/>
        <v>-1</v>
      </c>
      <c r="BC54" s="31">
        <f>Segunda!BC54</f>
        <v>0</v>
      </c>
      <c r="BD54" s="32">
        <f t="shared" si="115"/>
        <v>-1</v>
      </c>
      <c r="BE54" s="31">
        <f>Segunda!BE54</f>
        <v>0</v>
      </c>
      <c r="BF54" s="32">
        <f t="shared" si="116"/>
        <v>-1</v>
      </c>
      <c r="BG54" s="31">
        <f>Segunda!BG54</f>
        <v>0</v>
      </c>
      <c r="BH54" s="32">
        <f t="shared" si="117"/>
        <v>-1</v>
      </c>
      <c r="BI54" s="31">
        <f>Segunda!BI54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Segunda!B55</f>
        <v>0</v>
      </c>
      <c r="C55" s="31">
        <f>Segunda!C55</f>
        <v>0</v>
      </c>
      <c r="D55" s="32">
        <f t="shared" si="89"/>
        <v>-1</v>
      </c>
      <c r="E55" s="31">
        <f>Segunda!E55</f>
        <v>0</v>
      </c>
      <c r="F55" s="32">
        <f t="shared" si="90"/>
        <v>-1</v>
      </c>
      <c r="G55" s="31">
        <f>Segunda!G55</f>
        <v>0</v>
      </c>
      <c r="H55" s="32">
        <f t="shared" si="91"/>
        <v>-1</v>
      </c>
      <c r="I55" s="31">
        <f>Segunda!I55</f>
        <v>0</v>
      </c>
      <c r="J55" s="32">
        <f t="shared" si="92"/>
        <v>-1</v>
      </c>
      <c r="K55" s="31">
        <f>Segunda!K55</f>
        <v>0</v>
      </c>
      <c r="L55" s="32">
        <f t="shared" si="93"/>
        <v>-1</v>
      </c>
      <c r="M55" s="31">
        <f>Segunda!M55</f>
        <v>0</v>
      </c>
      <c r="N55" s="32">
        <f t="shared" si="94"/>
        <v>-1</v>
      </c>
      <c r="O55" s="31">
        <f>Segunda!O55</f>
        <v>0</v>
      </c>
      <c r="P55" s="32">
        <f t="shared" si="95"/>
        <v>-1</v>
      </c>
      <c r="Q55" s="31">
        <f>Segunda!Q55</f>
        <v>0</v>
      </c>
      <c r="R55" s="32">
        <f t="shared" si="96"/>
        <v>-1</v>
      </c>
      <c r="S55" s="31">
        <f>Segunda!S55</f>
        <v>0</v>
      </c>
      <c r="T55" s="32">
        <f t="shared" si="97"/>
        <v>-1</v>
      </c>
      <c r="U55" s="31">
        <f>Segunda!U55</f>
        <v>0</v>
      </c>
      <c r="V55" s="32">
        <f t="shared" si="98"/>
        <v>-1</v>
      </c>
      <c r="W55" s="31">
        <f>Segunda!W55</f>
        <v>0</v>
      </c>
      <c r="X55" s="32">
        <f t="shared" si="99"/>
        <v>-1</v>
      </c>
      <c r="Y55" s="31">
        <f>Segunda!Y55</f>
        <v>0</v>
      </c>
      <c r="Z55" s="32">
        <f t="shared" si="100"/>
        <v>-1</v>
      </c>
      <c r="AA55" s="31">
        <f>Segunda!AA55</f>
        <v>0</v>
      </c>
      <c r="AB55" s="32">
        <f t="shared" si="101"/>
        <v>-1</v>
      </c>
      <c r="AC55" s="31">
        <f>Segunda!AC55</f>
        <v>0</v>
      </c>
      <c r="AD55" s="32">
        <f t="shared" si="102"/>
        <v>-1</v>
      </c>
      <c r="AE55" s="31">
        <f>Segunda!AE55</f>
        <v>0</v>
      </c>
      <c r="AF55" s="32">
        <f t="shared" si="103"/>
        <v>-1</v>
      </c>
      <c r="AG55" s="31">
        <f>Segunda!AG55</f>
        <v>0</v>
      </c>
      <c r="AH55" s="32">
        <f t="shared" si="104"/>
        <v>-1</v>
      </c>
      <c r="AI55" s="31">
        <f>Segunda!AI55</f>
        <v>0</v>
      </c>
      <c r="AJ55" s="32">
        <f t="shared" si="105"/>
        <v>-1</v>
      </c>
      <c r="AK55" s="31">
        <f>Segunda!AK55</f>
        <v>0</v>
      </c>
      <c r="AL55" s="32">
        <f t="shared" si="106"/>
        <v>-1</v>
      </c>
      <c r="AM55" s="31">
        <f>Segunda!AM55</f>
        <v>0</v>
      </c>
      <c r="AN55" s="32">
        <f t="shared" si="107"/>
        <v>-1</v>
      </c>
      <c r="AO55" s="31">
        <f>Segunda!AO55</f>
        <v>0</v>
      </c>
      <c r="AP55" s="32">
        <f t="shared" si="108"/>
        <v>-1</v>
      </c>
      <c r="AQ55" s="31">
        <f>Segunda!AQ55</f>
        <v>0</v>
      </c>
      <c r="AR55" s="32">
        <f t="shared" si="109"/>
        <v>-1</v>
      </c>
      <c r="AS55" s="31">
        <f>Segunda!AS55</f>
        <v>0</v>
      </c>
      <c r="AT55" s="32">
        <f t="shared" si="110"/>
        <v>-1</v>
      </c>
      <c r="AU55" s="31">
        <f>Segunda!AU55</f>
        <v>0</v>
      </c>
      <c r="AV55" s="32">
        <f t="shared" si="111"/>
        <v>-1</v>
      </c>
      <c r="AW55" s="31">
        <f>Segunda!AW55</f>
        <v>0</v>
      </c>
      <c r="AX55" s="32">
        <f t="shared" si="112"/>
        <v>-1</v>
      </c>
      <c r="AY55" s="31">
        <f>Segunda!AY55</f>
        <v>0</v>
      </c>
      <c r="AZ55" s="32">
        <f t="shared" si="113"/>
        <v>-1</v>
      </c>
      <c r="BA55" s="31">
        <f>Segunda!BA55</f>
        <v>0</v>
      </c>
      <c r="BB55" s="32">
        <f t="shared" si="114"/>
        <v>-1</v>
      </c>
      <c r="BC55" s="31">
        <f>Segunda!BC55</f>
        <v>0</v>
      </c>
      <c r="BD55" s="32">
        <f t="shared" si="115"/>
        <v>-1</v>
      </c>
      <c r="BE55" s="31">
        <f>Segunda!BE55</f>
        <v>0</v>
      </c>
      <c r="BF55" s="32">
        <f t="shared" si="116"/>
        <v>-1</v>
      </c>
      <c r="BG55" s="31">
        <f>Segunda!BG55</f>
        <v>0</v>
      </c>
      <c r="BH55" s="32">
        <f t="shared" si="117"/>
        <v>-1</v>
      </c>
      <c r="BI55" s="31">
        <f>Segunda!BI55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Segunda!B56</f>
        <v>0</v>
      </c>
      <c r="C56" s="31">
        <f>Segunda!C56</f>
        <v>0</v>
      </c>
      <c r="D56" s="32">
        <f t="shared" si="89"/>
        <v>-1</v>
      </c>
      <c r="E56" s="31">
        <f>Segunda!E56</f>
        <v>0</v>
      </c>
      <c r="F56" s="32">
        <f t="shared" si="90"/>
        <v>-1</v>
      </c>
      <c r="G56" s="31">
        <f>Segunda!G56</f>
        <v>0</v>
      </c>
      <c r="H56" s="32">
        <f t="shared" si="91"/>
        <v>-1</v>
      </c>
      <c r="I56" s="31">
        <f>Segunda!I56</f>
        <v>0</v>
      </c>
      <c r="J56" s="32">
        <f t="shared" si="92"/>
        <v>-1</v>
      </c>
      <c r="K56" s="31">
        <f>Segunda!K56</f>
        <v>0</v>
      </c>
      <c r="L56" s="32">
        <f t="shared" si="93"/>
        <v>-1</v>
      </c>
      <c r="M56" s="31">
        <f>Segunda!M56</f>
        <v>0</v>
      </c>
      <c r="N56" s="32">
        <f t="shared" si="94"/>
        <v>-1</v>
      </c>
      <c r="O56" s="31">
        <f>Segunda!O56</f>
        <v>0</v>
      </c>
      <c r="P56" s="32">
        <f t="shared" si="95"/>
        <v>-1</v>
      </c>
      <c r="Q56" s="31">
        <f>Segunda!Q56</f>
        <v>0</v>
      </c>
      <c r="R56" s="32">
        <f t="shared" si="96"/>
        <v>-1</v>
      </c>
      <c r="S56" s="31">
        <f>Segunda!S56</f>
        <v>0</v>
      </c>
      <c r="T56" s="32">
        <f t="shared" si="97"/>
        <v>-1</v>
      </c>
      <c r="U56" s="31">
        <f>Segunda!U56</f>
        <v>0</v>
      </c>
      <c r="V56" s="32">
        <f t="shared" si="98"/>
        <v>-1</v>
      </c>
      <c r="W56" s="31">
        <f>Segunda!W56</f>
        <v>0</v>
      </c>
      <c r="X56" s="32">
        <f t="shared" si="99"/>
        <v>-1</v>
      </c>
      <c r="Y56" s="31">
        <f>Segunda!Y56</f>
        <v>0</v>
      </c>
      <c r="Z56" s="32">
        <f t="shared" si="100"/>
        <v>-1</v>
      </c>
      <c r="AA56" s="31">
        <f>Segunda!AA56</f>
        <v>0</v>
      </c>
      <c r="AB56" s="32">
        <f t="shared" si="101"/>
        <v>-1</v>
      </c>
      <c r="AC56" s="31">
        <f>Segunda!AC56</f>
        <v>0</v>
      </c>
      <c r="AD56" s="32">
        <f t="shared" si="102"/>
        <v>-1</v>
      </c>
      <c r="AE56" s="31">
        <f>Segunda!AE56</f>
        <v>0</v>
      </c>
      <c r="AF56" s="32">
        <f t="shared" si="103"/>
        <v>-1</v>
      </c>
      <c r="AG56" s="31">
        <f>Segunda!AG56</f>
        <v>0</v>
      </c>
      <c r="AH56" s="32">
        <f t="shared" si="104"/>
        <v>-1</v>
      </c>
      <c r="AI56" s="31">
        <f>Segunda!AI56</f>
        <v>0</v>
      </c>
      <c r="AJ56" s="32">
        <f t="shared" si="105"/>
        <v>-1</v>
      </c>
      <c r="AK56" s="31">
        <f>Segunda!AK56</f>
        <v>0</v>
      </c>
      <c r="AL56" s="32">
        <f t="shared" si="106"/>
        <v>-1</v>
      </c>
      <c r="AM56" s="31">
        <f>Segunda!AM56</f>
        <v>0</v>
      </c>
      <c r="AN56" s="32">
        <f t="shared" si="107"/>
        <v>-1</v>
      </c>
      <c r="AO56" s="31">
        <f>Segunda!AO56</f>
        <v>0</v>
      </c>
      <c r="AP56" s="32">
        <f t="shared" si="108"/>
        <v>-1</v>
      </c>
      <c r="AQ56" s="31">
        <f>Segunda!AQ56</f>
        <v>0</v>
      </c>
      <c r="AR56" s="32">
        <f t="shared" si="109"/>
        <v>-1</v>
      </c>
      <c r="AS56" s="31">
        <f>Segunda!AS56</f>
        <v>0</v>
      </c>
      <c r="AT56" s="32">
        <f t="shared" si="110"/>
        <v>-1</v>
      </c>
      <c r="AU56" s="31">
        <f>Segunda!AU56</f>
        <v>0</v>
      </c>
      <c r="AV56" s="32">
        <f t="shared" si="111"/>
        <v>-1</v>
      </c>
      <c r="AW56" s="31">
        <f>Segunda!AW56</f>
        <v>0</v>
      </c>
      <c r="AX56" s="32">
        <f t="shared" si="112"/>
        <v>-1</v>
      </c>
      <c r="AY56" s="31">
        <f>Segunda!AY56</f>
        <v>0</v>
      </c>
      <c r="AZ56" s="32">
        <f t="shared" si="113"/>
        <v>-1</v>
      </c>
      <c r="BA56" s="31">
        <f>Segunda!BA56</f>
        <v>0</v>
      </c>
      <c r="BB56" s="32">
        <f t="shared" si="114"/>
        <v>-1</v>
      </c>
      <c r="BC56" s="31">
        <f>Segunda!BC56</f>
        <v>0</v>
      </c>
      <c r="BD56" s="32">
        <f t="shared" si="115"/>
        <v>-1</v>
      </c>
      <c r="BE56" s="31">
        <f>Segunda!BE56</f>
        <v>0</v>
      </c>
      <c r="BF56" s="32">
        <f t="shared" si="116"/>
        <v>-1</v>
      </c>
      <c r="BG56" s="31">
        <f>Segunda!BG56</f>
        <v>0</v>
      </c>
      <c r="BH56" s="32">
        <f t="shared" si="117"/>
        <v>-1</v>
      </c>
      <c r="BI56" s="31">
        <f>Segunda!BI56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Segunda!B57</f>
        <v>0</v>
      </c>
      <c r="C57" s="31">
        <f>Segunda!C57</f>
        <v>0</v>
      </c>
      <c r="D57" s="32">
        <f t="shared" si="89"/>
        <v>-1</v>
      </c>
      <c r="E57" s="31">
        <f>Segunda!E57</f>
        <v>0</v>
      </c>
      <c r="F57" s="32">
        <f t="shared" si="90"/>
        <v>-1</v>
      </c>
      <c r="G57" s="31">
        <f>Segunda!G57</f>
        <v>0</v>
      </c>
      <c r="H57" s="32">
        <f t="shared" si="91"/>
        <v>-1</v>
      </c>
      <c r="I57" s="31">
        <f>Segunda!I57</f>
        <v>0</v>
      </c>
      <c r="J57" s="32">
        <f t="shared" si="92"/>
        <v>-1</v>
      </c>
      <c r="K57" s="31">
        <f>Segunda!K57</f>
        <v>0</v>
      </c>
      <c r="L57" s="32">
        <f t="shared" si="93"/>
        <v>-1</v>
      </c>
      <c r="M57" s="31">
        <f>Segunda!M57</f>
        <v>0</v>
      </c>
      <c r="N57" s="32">
        <f t="shared" si="94"/>
        <v>-1</v>
      </c>
      <c r="O57" s="31">
        <f>Segunda!O57</f>
        <v>0</v>
      </c>
      <c r="P57" s="32">
        <f t="shared" si="95"/>
        <v>-1</v>
      </c>
      <c r="Q57" s="31">
        <f>Segunda!Q57</f>
        <v>0</v>
      </c>
      <c r="R57" s="32">
        <f t="shared" si="96"/>
        <v>-1</v>
      </c>
      <c r="S57" s="31">
        <f>Segunda!S57</f>
        <v>0</v>
      </c>
      <c r="T57" s="32">
        <f t="shared" si="97"/>
        <v>-1</v>
      </c>
      <c r="U57" s="31">
        <f>Segunda!U57</f>
        <v>0</v>
      </c>
      <c r="V57" s="32">
        <f t="shared" si="98"/>
        <v>-1</v>
      </c>
      <c r="W57" s="31">
        <f>Segunda!W57</f>
        <v>0</v>
      </c>
      <c r="X57" s="32">
        <f t="shared" si="99"/>
        <v>-1</v>
      </c>
      <c r="Y57" s="31">
        <f>Segunda!Y57</f>
        <v>0</v>
      </c>
      <c r="Z57" s="32">
        <f t="shared" si="100"/>
        <v>-1</v>
      </c>
      <c r="AA57" s="31">
        <f>Segunda!AA57</f>
        <v>0</v>
      </c>
      <c r="AB57" s="32">
        <f t="shared" si="101"/>
        <v>-1</v>
      </c>
      <c r="AC57" s="31">
        <f>Segunda!AC57</f>
        <v>0</v>
      </c>
      <c r="AD57" s="32">
        <f t="shared" si="102"/>
        <v>-1</v>
      </c>
      <c r="AE57" s="31">
        <f>Segunda!AE57</f>
        <v>0</v>
      </c>
      <c r="AF57" s="32">
        <f t="shared" si="103"/>
        <v>-1</v>
      </c>
      <c r="AG57" s="31">
        <f>Segunda!AG57</f>
        <v>0</v>
      </c>
      <c r="AH57" s="32">
        <f t="shared" si="104"/>
        <v>-1</v>
      </c>
      <c r="AI57" s="31">
        <f>Segunda!AI57</f>
        <v>0</v>
      </c>
      <c r="AJ57" s="32">
        <f t="shared" si="105"/>
        <v>-1</v>
      </c>
      <c r="AK57" s="31">
        <f>Segunda!AK57</f>
        <v>0</v>
      </c>
      <c r="AL57" s="32">
        <f t="shared" si="106"/>
        <v>-1</v>
      </c>
      <c r="AM57" s="31">
        <f>Segunda!AM57</f>
        <v>0</v>
      </c>
      <c r="AN57" s="32">
        <f t="shared" si="107"/>
        <v>-1</v>
      </c>
      <c r="AO57" s="31">
        <f>Segunda!AO57</f>
        <v>0</v>
      </c>
      <c r="AP57" s="32">
        <f t="shared" si="108"/>
        <v>-1</v>
      </c>
      <c r="AQ57" s="31">
        <f>Segunda!AQ57</f>
        <v>0</v>
      </c>
      <c r="AR57" s="32">
        <f t="shared" si="109"/>
        <v>-1</v>
      </c>
      <c r="AS57" s="31">
        <f>Segunda!AS57</f>
        <v>0</v>
      </c>
      <c r="AT57" s="32">
        <f t="shared" si="110"/>
        <v>-1</v>
      </c>
      <c r="AU57" s="31">
        <f>Segunda!AU57</f>
        <v>0</v>
      </c>
      <c r="AV57" s="32">
        <f t="shared" si="111"/>
        <v>-1</v>
      </c>
      <c r="AW57" s="31">
        <f>Segunda!AW57</f>
        <v>0</v>
      </c>
      <c r="AX57" s="32">
        <f t="shared" si="112"/>
        <v>-1</v>
      </c>
      <c r="AY57" s="31">
        <f>Segunda!AY57</f>
        <v>0</v>
      </c>
      <c r="AZ57" s="32">
        <f t="shared" si="113"/>
        <v>-1</v>
      </c>
      <c r="BA57" s="31">
        <f>Segunda!BA57</f>
        <v>0</v>
      </c>
      <c r="BB57" s="32">
        <f t="shared" si="114"/>
        <v>-1</v>
      </c>
      <c r="BC57" s="31">
        <f>Segunda!BC57</f>
        <v>0</v>
      </c>
      <c r="BD57" s="32">
        <f t="shared" si="115"/>
        <v>-1</v>
      </c>
      <c r="BE57" s="31">
        <f>Segunda!BE57</f>
        <v>0</v>
      </c>
      <c r="BF57" s="32">
        <f t="shared" si="116"/>
        <v>-1</v>
      </c>
      <c r="BG57" s="31">
        <f>Segunda!BG57</f>
        <v>0</v>
      </c>
      <c r="BH57" s="32">
        <f t="shared" si="117"/>
        <v>-1</v>
      </c>
      <c r="BI57" s="31">
        <f>Segunda!BI57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Segunda!B58</f>
        <v>0</v>
      </c>
      <c r="C58" s="31">
        <f>Segunda!C58</f>
        <v>0</v>
      </c>
      <c r="D58" s="32">
        <f t="shared" si="89"/>
        <v>-1</v>
      </c>
      <c r="E58" s="31">
        <f>Segunda!E58</f>
        <v>0</v>
      </c>
      <c r="F58" s="32">
        <f t="shared" si="90"/>
        <v>-1</v>
      </c>
      <c r="G58" s="31">
        <f>Segunda!G58</f>
        <v>0</v>
      </c>
      <c r="H58" s="32">
        <f t="shared" si="91"/>
        <v>-1</v>
      </c>
      <c r="I58" s="31">
        <f>Segunda!I58</f>
        <v>0</v>
      </c>
      <c r="J58" s="32">
        <f t="shared" si="92"/>
        <v>-1</v>
      </c>
      <c r="K58" s="31">
        <f>Segunda!K58</f>
        <v>0</v>
      </c>
      <c r="L58" s="32">
        <f t="shared" si="93"/>
        <v>-1</v>
      </c>
      <c r="M58" s="31">
        <f>Segunda!M58</f>
        <v>0</v>
      </c>
      <c r="N58" s="32">
        <f t="shared" si="94"/>
        <v>-1</v>
      </c>
      <c r="O58" s="31">
        <f>Segunda!O58</f>
        <v>0</v>
      </c>
      <c r="P58" s="32">
        <f t="shared" si="95"/>
        <v>-1</v>
      </c>
      <c r="Q58" s="31">
        <f>Segunda!Q58</f>
        <v>0</v>
      </c>
      <c r="R58" s="32">
        <f t="shared" si="96"/>
        <v>-1</v>
      </c>
      <c r="S58" s="31">
        <f>Segunda!S58</f>
        <v>0</v>
      </c>
      <c r="T58" s="32">
        <f t="shared" si="97"/>
        <v>-1</v>
      </c>
      <c r="U58" s="31">
        <f>Segunda!U58</f>
        <v>0</v>
      </c>
      <c r="V58" s="32">
        <f t="shared" si="98"/>
        <v>-1</v>
      </c>
      <c r="W58" s="31">
        <f>Segunda!W58</f>
        <v>0</v>
      </c>
      <c r="X58" s="32">
        <f t="shared" si="99"/>
        <v>-1</v>
      </c>
      <c r="Y58" s="31">
        <f>Segunda!Y58</f>
        <v>0</v>
      </c>
      <c r="Z58" s="32">
        <f t="shared" si="100"/>
        <v>-1</v>
      </c>
      <c r="AA58" s="31">
        <f>Segunda!AA58</f>
        <v>0</v>
      </c>
      <c r="AB58" s="32">
        <f t="shared" si="101"/>
        <v>-1</v>
      </c>
      <c r="AC58" s="31">
        <f>Segunda!AC58</f>
        <v>0</v>
      </c>
      <c r="AD58" s="32">
        <f t="shared" si="102"/>
        <v>-1</v>
      </c>
      <c r="AE58" s="31">
        <f>Segunda!AE58</f>
        <v>0</v>
      </c>
      <c r="AF58" s="32">
        <f t="shared" si="103"/>
        <v>-1</v>
      </c>
      <c r="AG58" s="31">
        <f>Segunda!AG58</f>
        <v>0</v>
      </c>
      <c r="AH58" s="32">
        <f t="shared" si="104"/>
        <v>-1</v>
      </c>
      <c r="AI58" s="31">
        <f>Segunda!AI58</f>
        <v>0</v>
      </c>
      <c r="AJ58" s="32">
        <f t="shared" si="105"/>
        <v>-1</v>
      </c>
      <c r="AK58" s="31">
        <f>Segunda!AK58</f>
        <v>0</v>
      </c>
      <c r="AL58" s="32">
        <f t="shared" si="106"/>
        <v>-1</v>
      </c>
      <c r="AM58" s="31">
        <f>Segunda!AM58</f>
        <v>0</v>
      </c>
      <c r="AN58" s="32">
        <f t="shared" si="107"/>
        <v>-1</v>
      </c>
      <c r="AO58" s="31">
        <f>Segunda!AO58</f>
        <v>0</v>
      </c>
      <c r="AP58" s="32">
        <f t="shared" si="108"/>
        <v>-1</v>
      </c>
      <c r="AQ58" s="31">
        <f>Segunda!AQ58</f>
        <v>0</v>
      </c>
      <c r="AR58" s="32">
        <f t="shared" si="109"/>
        <v>-1</v>
      </c>
      <c r="AS58" s="31">
        <f>Segunda!AS58</f>
        <v>0</v>
      </c>
      <c r="AT58" s="32">
        <f t="shared" si="110"/>
        <v>-1</v>
      </c>
      <c r="AU58" s="31">
        <f>Segunda!AU58</f>
        <v>0</v>
      </c>
      <c r="AV58" s="32">
        <f t="shared" si="111"/>
        <v>-1</v>
      </c>
      <c r="AW58" s="31">
        <f>Segunda!AW58</f>
        <v>0</v>
      </c>
      <c r="AX58" s="32">
        <f t="shared" si="112"/>
        <v>-1</v>
      </c>
      <c r="AY58" s="31">
        <f>Segunda!AY58</f>
        <v>0</v>
      </c>
      <c r="AZ58" s="32">
        <f t="shared" si="113"/>
        <v>-1</v>
      </c>
      <c r="BA58" s="31">
        <f>Segunda!BA58</f>
        <v>0</v>
      </c>
      <c r="BB58" s="32">
        <f t="shared" si="114"/>
        <v>-1</v>
      </c>
      <c r="BC58" s="31">
        <f>Segunda!BC58</f>
        <v>0</v>
      </c>
      <c r="BD58" s="32">
        <f t="shared" si="115"/>
        <v>-1</v>
      </c>
      <c r="BE58" s="31">
        <f>Segunda!BE58</f>
        <v>0</v>
      </c>
      <c r="BF58" s="32">
        <f t="shared" si="116"/>
        <v>-1</v>
      </c>
      <c r="BG58" s="31">
        <f>Segunda!BG58</f>
        <v>0</v>
      </c>
      <c r="BH58" s="32">
        <f t="shared" si="117"/>
        <v>-1</v>
      </c>
      <c r="BI58" s="31">
        <f>Segunda!BI58</f>
        <v>0</v>
      </c>
      <c r="BJ58" s="32">
        <f t="shared" si="118"/>
        <v>-1</v>
      </c>
    </row>
    <row r="59" spans="1:62" ht="19" customHeight="1" x14ac:dyDescent="0.2">
      <c r="A59" s="54" t="s">
        <v>84</v>
      </c>
      <c r="B59" s="55"/>
      <c r="C59" s="59">
        <f>SUM(C4,C7,C16,C38)</f>
        <v>5.2999999813735483</v>
      </c>
      <c r="D59" s="60"/>
      <c r="E59" s="59">
        <f t="shared" ref="E59" si="119">SUM(E4,E7,E16,E38)</f>
        <v>4.810000017285347</v>
      </c>
      <c r="F59" s="60"/>
      <c r="G59" s="59">
        <f t="shared" ref="G59" si="120">SUM(G4,G7,G16,G38)</f>
        <v>4.1750000417232513</v>
      </c>
      <c r="H59" s="60"/>
      <c r="I59" s="59">
        <f t="shared" ref="I59" si="121">SUM(I4,I7,I16,I38)</f>
        <v>4.7500000335276127</v>
      </c>
      <c r="J59" s="60"/>
      <c r="K59" s="59">
        <f t="shared" ref="K59" si="122">SUM(K4,K7,K16,K38)</f>
        <v>4.6200000405311581</v>
      </c>
      <c r="L59" s="60"/>
      <c r="M59" s="59">
        <f t="shared" ref="M59" si="123">SUM(M4,M7,M16,M38)</f>
        <v>4.0900000438094137</v>
      </c>
      <c r="N59" s="60"/>
      <c r="O59" s="59">
        <f t="shared" ref="O59" si="124">SUM(O4,O7,O16,O38)</f>
        <v>5.0700000159442427</v>
      </c>
      <c r="P59" s="60"/>
      <c r="Q59" s="59">
        <f t="shared" ref="Q59" si="125">SUM(Q4,Q7,Q16,Q38)</f>
        <v>4.2300000570714484</v>
      </c>
      <c r="R59" s="60"/>
      <c r="S59" s="59">
        <f t="shared" ref="S59" si="126">SUM(S4,S7,S16,S38)</f>
        <v>3.6300000153481964</v>
      </c>
      <c r="T59" s="60"/>
      <c r="U59" s="59">
        <f t="shared" ref="U59" si="127">SUM(U4,U7,U16,U38)</f>
        <v>4.5150000084191557</v>
      </c>
      <c r="V59" s="60"/>
      <c r="W59" s="59">
        <f t="shared" ref="W59" si="128">SUM(W4,W7,W16,W38)</f>
        <v>3.9050000011920933</v>
      </c>
      <c r="X59" s="60"/>
      <c r="Y59" s="59">
        <f t="shared" ref="Y59" si="129">SUM(Y4,Y7,Y16,Y38)</f>
        <v>4.9300000309944156</v>
      </c>
      <c r="Z59" s="60"/>
      <c r="AA59" s="59">
        <f t="shared" ref="AA59" si="130">SUM(AA4,AA7,AA16,AA38)</f>
        <v>4.8750000581145283</v>
      </c>
      <c r="AB59" s="60"/>
      <c r="AC59" s="59">
        <f t="shared" ref="AC59" si="131">SUM(AC4,AC7,AC16,AC38)</f>
        <v>4.0700000271201136</v>
      </c>
      <c r="AD59" s="60"/>
      <c r="AE59" s="59">
        <f t="shared" ref="AE59" si="132">SUM(AE4,AE7,AE16,AE38)</f>
        <v>4.8250000134110458</v>
      </c>
      <c r="AF59" s="60"/>
      <c r="AG59" s="59">
        <f t="shared" ref="AG59" si="133">SUM(AG4,AG7,AG16,AG38)</f>
        <v>4.2700000315904614</v>
      </c>
      <c r="AH59" s="60"/>
      <c r="AI59" s="59">
        <f t="shared" ref="AI59" si="134">SUM(AI4,AI7,AI16,AI38)</f>
        <v>3.8900000229477882</v>
      </c>
      <c r="AJ59" s="60"/>
      <c r="AK59" s="59">
        <f t="shared" ref="AK59" si="135">SUM(AK4,AK7,AK16,AK38)</f>
        <v>4.6150000363588335</v>
      </c>
      <c r="AL59" s="60"/>
      <c r="AM59" s="59">
        <f t="shared" ref="AM59" si="136">SUM(AM4,AM7,AM16,AM38)</f>
        <v>4.5200000524520876</v>
      </c>
      <c r="AN59" s="60"/>
      <c r="AO59" s="59">
        <f t="shared" ref="AO59" si="137">SUM(AO4,AO7,AO16,AO38)</f>
        <v>3.9800000339746475</v>
      </c>
      <c r="AP59" s="60"/>
      <c r="AQ59" s="59">
        <f t="shared" ref="AQ59" si="138">SUM(AQ4,AQ7,AQ16,AQ38)</f>
        <v>4.8500000596046444</v>
      </c>
      <c r="AR59" s="60"/>
      <c r="AS59" s="59">
        <f t="shared" ref="AS59" si="139">SUM(AS4,AS7,AS16,AS38)</f>
        <v>4.7450000420212746</v>
      </c>
      <c r="AT59" s="60"/>
      <c r="AU59" s="59">
        <f t="shared" ref="AU59" si="140">SUM(AU4,AU7,AU16,AU38)</f>
        <v>4.2300000399351116</v>
      </c>
      <c r="AV59" s="60"/>
      <c r="AW59" s="59">
        <f t="shared" ref="AW59" si="141">SUM(AW4,AW7,AW16,AW38)</f>
        <v>4.0000000245869165</v>
      </c>
      <c r="AX59" s="60"/>
      <c r="AY59" s="59">
        <f t="shared" ref="AY59" si="142">SUM(AY4,AY7,AY16,AY38)</f>
        <v>4.020000045001507</v>
      </c>
      <c r="AZ59" s="60"/>
      <c r="BA59" s="59">
        <f t="shared" ref="BA59" si="143">SUM(BA4,BA7,BA16,BA38)</f>
        <v>3.7950000278651714</v>
      </c>
      <c r="BB59" s="60"/>
      <c r="BC59" s="59">
        <f t="shared" ref="BC59" si="144">SUM(BC4,BC7,BC16,BC38)</f>
        <v>5.3800000533461567</v>
      </c>
      <c r="BD59" s="60"/>
      <c r="BE59" s="59">
        <f t="shared" ref="BE59" si="145">SUM(BE4,BE7,BE16,BE38)</f>
        <v>3.6699999969452621</v>
      </c>
      <c r="BF59" s="60"/>
      <c r="BG59" s="59">
        <f t="shared" ref="BG59" si="146">SUM(BG4,BG7,BG16,BG38)</f>
        <v>4.2700000196695331</v>
      </c>
      <c r="BH59" s="60"/>
      <c r="BI59" s="59">
        <f t="shared" ref="BI59" si="147">SUM(BI4,BI7,BI16,BI38)</f>
        <v>3.3400000289082525</v>
      </c>
      <c r="BJ59" s="60"/>
    </row>
    <row r="60" spans="1:62" ht="19" customHeight="1" x14ac:dyDescent="0.2">
      <c r="A60" s="54"/>
      <c r="B60" s="55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</row>
    <row r="61" spans="1:62" ht="19" customHeight="1" x14ac:dyDescent="0.2">
      <c r="A61" s="54"/>
      <c r="B61" s="55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</row>
  </sheetData>
  <sheetProtection algorithmName="SHA-512" hashValue="46M35rAg2aY7VYiBY83x0EVu90s/F0s3Qj0mkHDZHwnPdVEgpklI6hypBnaD1z75CT1+Xij9+kdN6ZGFgZe9Iw==" saltValue="EnyBsyL6DugStyuBhcbCvA==" spinCount="100000" sheet="1" objects="1" scenarios="1"/>
  <mergeCells count="24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C59:D61"/>
    <mergeCell ref="E59:F61"/>
    <mergeCell ref="G59:H61"/>
    <mergeCell ref="I59:J61"/>
    <mergeCell ref="K59:L61"/>
    <mergeCell ref="Y59:Z61"/>
    <mergeCell ref="AA59:AB61"/>
    <mergeCell ref="AC59:AD61"/>
    <mergeCell ref="AY38:AZ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A1:A2"/>
    <mergeCell ref="BI59:BJ61"/>
    <mergeCell ref="AW59:AX61"/>
    <mergeCell ref="AY59:AZ61"/>
    <mergeCell ref="BA59:BB61"/>
    <mergeCell ref="BC59:BD61"/>
    <mergeCell ref="BE59:BF61"/>
    <mergeCell ref="BG59:BH61"/>
    <mergeCell ref="AK59:AL61"/>
    <mergeCell ref="AM59:AN61"/>
    <mergeCell ref="AO59:AP61"/>
    <mergeCell ref="AQ59:AR61"/>
    <mergeCell ref="AS59:AT61"/>
    <mergeCell ref="AU59:AV61"/>
    <mergeCell ref="AE59:AF61"/>
    <mergeCell ref="AG59:AH61"/>
    <mergeCell ref="AI59:AJ61"/>
    <mergeCell ref="M59:N61"/>
    <mergeCell ref="O59:P61"/>
    <mergeCell ref="Q59:R61"/>
    <mergeCell ref="S59:T61"/>
    <mergeCell ref="U59:V61"/>
    <mergeCell ref="W59:X61"/>
    <mergeCell ref="A59:B61"/>
  </mergeCells>
  <conditionalFormatting sqref="C59 E59 G59 I59 K59 M59 O59 Q59 S59 U59 W59 Y59 AA59 AC59 AE59 AG59 AI59 AK59 AM59 AO59 AQ59 AS59 AU59 AW59 AY59 BA59 BC59 BE59 BG59 BI59">
    <cfRule type="cellIs" dxfId="33135" priority="92" stopIfTrue="1" operator="lessThan">
      <formula>5</formula>
    </cfRule>
    <cfRule type="cellIs" dxfId="33134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33133" priority="2" stopIfTrue="1" operator="lessThan">
      <formula>5</formula>
    </cfRule>
    <cfRule type="cellIs" dxfId="33132" priority="3" operator="greaterThanOrEqual">
      <formula>5</formula>
    </cfRule>
  </conditionalFormatting>
  <conditionalFormatting sqref="B3">
    <cfRule type="cellIs" dxfId="33131" priority="1" operator="notEqual">
      <formula>"Ok"</formula>
    </cfRule>
  </conditionalFormatting>
  <conditionalFormatting sqref="D5">
    <cfRule type="cellIs" dxfId="33130" priority="91896" stopIfTrue="1" operator="equal">
      <formula>-1</formula>
    </cfRule>
  </conditionalFormatting>
  <conditionalFormatting sqref="D5">
    <cfRule type="cellIs" dxfId="33129" priority="91897" stopIfTrue="1" operator="lessThan">
      <formula>0.5</formula>
    </cfRule>
  </conditionalFormatting>
  <conditionalFormatting sqref="D5">
    <cfRule type="cellIs" dxfId="33128" priority="91898" stopIfTrue="1" operator="greaterThanOrEqual">
      <formula>0.5</formula>
    </cfRule>
  </conditionalFormatting>
  <conditionalFormatting sqref="D6">
    <cfRule type="cellIs" dxfId="33127" priority="91899" stopIfTrue="1" operator="equal">
      <formula>-1</formula>
    </cfRule>
  </conditionalFormatting>
  <conditionalFormatting sqref="D6">
    <cfRule type="cellIs" dxfId="33126" priority="91900" stopIfTrue="1" operator="lessThan">
      <formula>0.5</formula>
    </cfRule>
  </conditionalFormatting>
  <conditionalFormatting sqref="D6">
    <cfRule type="cellIs" dxfId="33125" priority="91901" stopIfTrue="1" operator="greaterThanOrEqual">
      <formula>0.5</formula>
    </cfRule>
  </conditionalFormatting>
  <conditionalFormatting sqref="F5">
    <cfRule type="cellIs" dxfId="33124" priority="91902" stopIfTrue="1" operator="equal">
      <formula>-1</formula>
    </cfRule>
  </conditionalFormatting>
  <conditionalFormatting sqref="F5">
    <cfRule type="cellIs" dxfId="33123" priority="91903" stopIfTrue="1" operator="lessThan">
      <formula>0.5</formula>
    </cfRule>
  </conditionalFormatting>
  <conditionalFormatting sqref="F5">
    <cfRule type="cellIs" dxfId="33122" priority="91904" stopIfTrue="1" operator="greaterThanOrEqual">
      <formula>0.5</formula>
    </cfRule>
  </conditionalFormatting>
  <conditionalFormatting sqref="F6">
    <cfRule type="cellIs" dxfId="33121" priority="91905" stopIfTrue="1" operator="equal">
      <formula>-1</formula>
    </cfRule>
  </conditionalFormatting>
  <conditionalFormatting sqref="F6">
    <cfRule type="cellIs" dxfId="33120" priority="91906" stopIfTrue="1" operator="lessThan">
      <formula>0.5</formula>
    </cfRule>
  </conditionalFormatting>
  <conditionalFormatting sqref="F6">
    <cfRule type="cellIs" dxfId="33119" priority="91907" stopIfTrue="1" operator="greaterThanOrEqual">
      <formula>0.5</formula>
    </cfRule>
  </conditionalFormatting>
  <conditionalFormatting sqref="H5">
    <cfRule type="cellIs" dxfId="33118" priority="91908" stopIfTrue="1" operator="equal">
      <formula>-1</formula>
    </cfRule>
  </conditionalFormatting>
  <conditionalFormatting sqref="H5">
    <cfRule type="cellIs" dxfId="33117" priority="91909" stopIfTrue="1" operator="lessThan">
      <formula>0.5</formula>
    </cfRule>
  </conditionalFormatting>
  <conditionalFormatting sqref="H5">
    <cfRule type="cellIs" dxfId="33116" priority="91910" stopIfTrue="1" operator="greaterThanOrEqual">
      <formula>0.5</formula>
    </cfRule>
  </conditionalFormatting>
  <conditionalFormatting sqref="H6">
    <cfRule type="cellIs" dxfId="33115" priority="91911" stopIfTrue="1" operator="equal">
      <formula>-1</formula>
    </cfRule>
  </conditionalFormatting>
  <conditionalFormatting sqref="H6">
    <cfRule type="cellIs" dxfId="33114" priority="91912" stopIfTrue="1" operator="lessThan">
      <formula>0.5</formula>
    </cfRule>
  </conditionalFormatting>
  <conditionalFormatting sqref="H6">
    <cfRule type="cellIs" dxfId="33113" priority="91913" stopIfTrue="1" operator="greaterThanOrEqual">
      <formula>0.5</formula>
    </cfRule>
  </conditionalFormatting>
  <conditionalFormatting sqref="J5">
    <cfRule type="cellIs" dxfId="33112" priority="91914" stopIfTrue="1" operator="equal">
      <formula>-1</formula>
    </cfRule>
  </conditionalFormatting>
  <conditionalFormatting sqref="J5">
    <cfRule type="cellIs" dxfId="33111" priority="91915" stopIfTrue="1" operator="lessThan">
      <formula>0.5</formula>
    </cfRule>
  </conditionalFormatting>
  <conditionalFormatting sqref="J5">
    <cfRule type="cellIs" dxfId="33110" priority="91916" stopIfTrue="1" operator="greaterThanOrEqual">
      <formula>0.5</formula>
    </cfRule>
  </conditionalFormatting>
  <conditionalFormatting sqref="J6">
    <cfRule type="cellIs" dxfId="33109" priority="91917" stopIfTrue="1" operator="equal">
      <formula>-1</formula>
    </cfRule>
  </conditionalFormatting>
  <conditionalFormatting sqref="J6">
    <cfRule type="cellIs" dxfId="33108" priority="91918" stopIfTrue="1" operator="lessThan">
      <formula>0.5</formula>
    </cfRule>
  </conditionalFormatting>
  <conditionalFormatting sqref="J6">
    <cfRule type="cellIs" dxfId="33107" priority="91919" stopIfTrue="1" operator="greaterThanOrEqual">
      <formula>0.5</formula>
    </cfRule>
  </conditionalFormatting>
  <conditionalFormatting sqref="L5">
    <cfRule type="cellIs" dxfId="33106" priority="91920" stopIfTrue="1" operator="equal">
      <formula>-1</formula>
    </cfRule>
  </conditionalFormatting>
  <conditionalFormatting sqref="L5">
    <cfRule type="cellIs" dxfId="33105" priority="91921" stopIfTrue="1" operator="lessThan">
      <formula>0.5</formula>
    </cfRule>
  </conditionalFormatting>
  <conditionalFormatting sqref="L5">
    <cfRule type="cellIs" dxfId="33104" priority="91922" stopIfTrue="1" operator="greaterThanOrEqual">
      <formula>0.5</formula>
    </cfRule>
  </conditionalFormatting>
  <conditionalFormatting sqref="L6">
    <cfRule type="cellIs" dxfId="33103" priority="91923" stopIfTrue="1" operator="equal">
      <formula>-1</formula>
    </cfRule>
  </conditionalFormatting>
  <conditionalFormatting sqref="L6">
    <cfRule type="cellIs" dxfId="33102" priority="91924" stopIfTrue="1" operator="lessThan">
      <formula>0.5</formula>
    </cfRule>
  </conditionalFormatting>
  <conditionalFormatting sqref="L6">
    <cfRule type="cellIs" dxfId="33101" priority="91925" stopIfTrue="1" operator="greaterThanOrEqual">
      <formula>0.5</formula>
    </cfRule>
  </conditionalFormatting>
  <conditionalFormatting sqref="N5">
    <cfRule type="cellIs" dxfId="33100" priority="91926" stopIfTrue="1" operator="equal">
      <formula>-1</formula>
    </cfRule>
  </conditionalFormatting>
  <conditionalFormatting sqref="N5">
    <cfRule type="cellIs" dxfId="33099" priority="91927" stopIfTrue="1" operator="lessThan">
      <formula>0.5</formula>
    </cfRule>
  </conditionalFormatting>
  <conditionalFormatting sqref="N5">
    <cfRule type="cellIs" dxfId="33098" priority="91928" stopIfTrue="1" operator="greaterThanOrEqual">
      <formula>0.5</formula>
    </cfRule>
  </conditionalFormatting>
  <conditionalFormatting sqref="N6">
    <cfRule type="cellIs" dxfId="33097" priority="91929" stopIfTrue="1" operator="equal">
      <formula>-1</formula>
    </cfRule>
  </conditionalFormatting>
  <conditionalFormatting sqref="N6">
    <cfRule type="cellIs" dxfId="33096" priority="91930" stopIfTrue="1" operator="lessThan">
      <formula>0.5</formula>
    </cfRule>
  </conditionalFormatting>
  <conditionalFormatting sqref="N6">
    <cfRule type="cellIs" dxfId="33095" priority="91931" stopIfTrue="1" operator="greaterThanOrEqual">
      <formula>0.5</formula>
    </cfRule>
  </conditionalFormatting>
  <conditionalFormatting sqref="P5">
    <cfRule type="cellIs" dxfId="33094" priority="91932" stopIfTrue="1" operator="equal">
      <formula>-1</formula>
    </cfRule>
  </conditionalFormatting>
  <conditionalFormatting sqref="P5">
    <cfRule type="cellIs" dxfId="33093" priority="91933" stopIfTrue="1" operator="lessThan">
      <formula>0.5</formula>
    </cfRule>
  </conditionalFormatting>
  <conditionalFormatting sqref="P5">
    <cfRule type="cellIs" dxfId="33092" priority="91934" stopIfTrue="1" operator="greaterThanOrEqual">
      <formula>0.5</formula>
    </cfRule>
  </conditionalFormatting>
  <conditionalFormatting sqref="P6">
    <cfRule type="cellIs" dxfId="33091" priority="91935" stopIfTrue="1" operator="equal">
      <formula>-1</formula>
    </cfRule>
  </conditionalFormatting>
  <conditionalFormatting sqref="P6">
    <cfRule type="cellIs" dxfId="33090" priority="91936" stopIfTrue="1" operator="lessThan">
      <formula>0.5</formula>
    </cfRule>
  </conditionalFormatting>
  <conditionalFormatting sqref="P6">
    <cfRule type="cellIs" dxfId="33089" priority="91937" stopIfTrue="1" operator="greaterThanOrEqual">
      <formula>0.5</formula>
    </cfRule>
  </conditionalFormatting>
  <conditionalFormatting sqref="R5">
    <cfRule type="cellIs" dxfId="33088" priority="91938" stopIfTrue="1" operator="equal">
      <formula>-1</formula>
    </cfRule>
  </conditionalFormatting>
  <conditionalFormatting sqref="R5">
    <cfRule type="cellIs" dxfId="33087" priority="91939" stopIfTrue="1" operator="lessThan">
      <formula>0.5</formula>
    </cfRule>
  </conditionalFormatting>
  <conditionalFormatting sqref="R5">
    <cfRule type="cellIs" dxfId="33086" priority="91940" stopIfTrue="1" operator="greaterThanOrEqual">
      <formula>0.5</formula>
    </cfRule>
  </conditionalFormatting>
  <conditionalFormatting sqref="R6">
    <cfRule type="cellIs" dxfId="33085" priority="91941" stopIfTrue="1" operator="equal">
      <formula>-1</formula>
    </cfRule>
  </conditionalFormatting>
  <conditionalFormatting sqref="R6">
    <cfRule type="cellIs" dxfId="33084" priority="91942" stopIfTrue="1" operator="lessThan">
      <formula>0.5</formula>
    </cfRule>
  </conditionalFormatting>
  <conditionalFormatting sqref="R6">
    <cfRule type="cellIs" dxfId="33083" priority="91943" stopIfTrue="1" operator="greaterThanOrEqual">
      <formula>0.5</formula>
    </cfRule>
  </conditionalFormatting>
  <conditionalFormatting sqref="T5">
    <cfRule type="cellIs" dxfId="33082" priority="91944" stopIfTrue="1" operator="equal">
      <formula>-1</formula>
    </cfRule>
  </conditionalFormatting>
  <conditionalFormatting sqref="T5">
    <cfRule type="cellIs" dxfId="33081" priority="91945" stopIfTrue="1" operator="lessThan">
      <formula>0.5</formula>
    </cfRule>
  </conditionalFormatting>
  <conditionalFormatting sqref="T5">
    <cfRule type="cellIs" dxfId="33080" priority="91946" stopIfTrue="1" operator="greaterThanOrEqual">
      <formula>0.5</formula>
    </cfRule>
  </conditionalFormatting>
  <conditionalFormatting sqref="T6">
    <cfRule type="cellIs" dxfId="33079" priority="91947" stopIfTrue="1" operator="equal">
      <formula>-1</formula>
    </cfRule>
  </conditionalFormatting>
  <conditionalFormatting sqref="T6">
    <cfRule type="cellIs" dxfId="33078" priority="91948" stopIfTrue="1" operator="lessThan">
      <formula>0.5</formula>
    </cfRule>
  </conditionalFormatting>
  <conditionalFormatting sqref="T6">
    <cfRule type="cellIs" dxfId="33077" priority="91949" stopIfTrue="1" operator="greaterThanOrEqual">
      <formula>0.5</formula>
    </cfRule>
  </conditionalFormatting>
  <conditionalFormatting sqref="V5">
    <cfRule type="cellIs" dxfId="33076" priority="91950" stopIfTrue="1" operator="equal">
      <formula>-1</formula>
    </cfRule>
  </conditionalFormatting>
  <conditionalFormatting sqref="V5">
    <cfRule type="cellIs" dxfId="33075" priority="91951" stopIfTrue="1" operator="lessThan">
      <formula>0.5</formula>
    </cfRule>
  </conditionalFormatting>
  <conditionalFormatting sqref="V5">
    <cfRule type="cellIs" dxfId="33074" priority="91952" stopIfTrue="1" operator="greaterThanOrEqual">
      <formula>0.5</formula>
    </cfRule>
  </conditionalFormatting>
  <conditionalFormatting sqref="V6">
    <cfRule type="cellIs" dxfId="33073" priority="91953" stopIfTrue="1" operator="equal">
      <formula>-1</formula>
    </cfRule>
  </conditionalFormatting>
  <conditionalFormatting sqref="V6">
    <cfRule type="cellIs" dxfId="33072" priority="91954" stopIfTrue="1" operator="lessThan">
      <formula>0.5</formula>
    </cfRule>
  </conditionalFormatting>
  <conditionalFormatting sqref="V6">
    <cfRule type="cellIs" dxfId="33071" priority="91955" stopIfTrue="1" operator="greaterThanOrEqual">
      <formula>0.5</formula>
    </cfRule>
  </conditionalFormatting>
  <conditionalFormatting sqref="X5">
    <cfRule type="cellIs" dxfId="33070" priority="91956" stopIfTrue="1" operator="equal">
      <formula>-1</formula>
    </cfRule>
  </conditionalFormatting>
  <conditionalFormatting sqref="X5">
    <cfRule type="cellIs" dxfId="33069" priority="91957" stopIfTrue="1" operator="lessThan">
      <formula>0.5</formula>
    </cfRule>
  </conditionalFormatting>
  <conditionalFormatting sqref="X5">
    <cfRule type="cellIs" dxfId="33068" priority="91958" stopIfTrue="1" operator="greaterThanOrEqual">
      <formula>0.5</formula>
    </cfRule>
  </conditionalFormatting>
  <conditionalFormatting sqref="X6">
    <cfRule type="cellIs" dxfId="33067" priority="91959" stopIfTrue="1" operator="equal">
      <formula>-1</formula>
    </cfRule>
  </conditionalFormatting>
  <conditionalFormatting sqref="X6">
    <cfRule type="cellIs" dxfId="33066" priority="91960" stopIfTrue="1" operator="lessThan">
      <formula>0.5</formula>
    </cfRule>
  </conditionalFormatting>
  <conditionalFormatting sqref="X6">
    <cfRule type="cellIs" dxfId="33065" priority="91961" stopIfTrue="1" operator="greaterThanOrEqual">
      <formula>0.5</formula>
    </cfRule>
  </conditionalFormatting>
  <conditionalFormatting sqref="Z5">
    <cfRule type="cellIs" dxfId="33064" priority="91962" stopIfTrue="1" operator="equal">
      <formula>-1</formula>
    </cfRule>
  </conditionalFormatting>
  <conditionalFormatting sqref="Z5">
    <cfRule type="cellIs" dxfId="33063" priority="91963" stopIfTrue="1" operator="lessThan">
      <formula>0.5</formula>
    </cfRule>
  </conditionalFormatting>
  <conditionalFormatting sqref="Z5">
    <cfRule type="cellIs" dxfId="33062" priority="91964" stopIfTrue="1" operator="greaterThanOrEqual">
      <formula>0.5</formula>
    </cfRule>
  </conditionalFormatting>
  <conditionalFormatting sqref="Z6">
    <cfRule type="cellIs" dxfId="33061" priority="91965" stopIfTrue="1" operator="equal">
      <formula>-1</formula>
    </cfRule>
  </conditionalFormatting>
  <conditionalFormatting sqref="Z6">
    <cfRule type="cellIs" dxfId="33060" priority="91966" stopIfTrue="1" operator="lessThan">
      <formula>0.5</formula>
    </cfRule>
  </conditionalFormatting>
  <conditionalFormatting sqref="Z6">
    <cfRule type="cellIs" dxfId="33059" priority="91967" stopIfTrue="1" operator="greaterThanOrEqual">
      <formula>0.5</formula>
    </cfRule>
  </conditionalFormatting>
  <conditionalFormatting sqref="AB5">
    <cfRule type="cellIs" dxfId="33058" priority="91968" stopIfTrue="1" operator="equal">
      <formula>-1</formula>
    </cfRule>
  </conditionalFormatting>
  <conditionalFormatting sqref="AB5">
    <cfRule type="cellIs" dxfId="33057" priority="91969" stopIfTrue="1" operator="lessThan">
      <formula>0.5</formula>
    </cfRule>
  </conditionalFormatting>
  <conditionalFormatting sqref="AB5">
    <cfRule type="cellIs" dxfId="33056" priority="91970" stopIfTrue="1" operator="greaterThanOrEqual">
      <formula>0.5</formula>
    </cfRule>
  </conditionalFormatting>
  <conditionalFormatting sqref="AB6">
    <cfRule type="cellIs" dxfId="33055" priority="91971" stopIfTrue="1" operator="equal">
      <formula>-1</formula>
    </cfRule>
  </conditionalFormatting>
  <conditionalFormatting sqref="AB6">
    <cfRule type="cellIs" dxfId="33054" priority="91972" stopIfTrue="1" operator="lessThan">
      <formula>0.5</formula>
    </cfRule>
  </conditionalFormatting>
  <conditionalFormatting sqref="AB6">
    <cfRule type="cellIs" dxfId="33053" priority="91973" stopIfTrue="1" operator="greaterThanOrEqual">
      <formula>0.5</formula>
    </cfRule>
  </conditionalFormatting>
  <conditionalFormatting sqref="AD5">
    <cfRule type="cellIs" dxfId="33052" priority="91974" stopIfTrue="1" operator="equal">
      <formula>-1</formula>
    </cfRule>
  </conditionalFormatting>
  <conditionalFormatting sqref="AD5">
    <cfRule type="cellIs" dxfId="33051" priority="91975" stopIfTrue="1" operator="lessThan">
      <formula>0.5</formula>
    </cfRule>
  </conditionalFormatting>
  <conditionalFormatting sqref="AD5">
    <cfRule type="cellIs" dxfId="33050" priority="91976" stopIfTrue="1" operator="greaterThanOrEqual">
      <formula>0.5</formula>
    </cfRule>
  </conditionalFormatting>
  <conditionalFormatting sqref="AD6">
    <cfRule type="cellIs" dxfId="33049" priority="91977" stopIfTrue="1" operator="equal">
      <formula>-1</formula>
    </cfRule>
  </conditionalFormatting>
  <conditionalFormatting sqref="AD6">
    <cfRule type="cellIs" dxfId="33048" priority="91978" stopIfTrue="1" operator="lessThan">
      <formula>0.5</formula>
    </cfRule>
  </conditionalFormatting>
  <conditionalFormatting sqref="AD6">
    <cfRule type="cellIs" dxfId="33047" priority="91979" stopIfTrue="1" operator="greaterThanOrEqual">
      <formula>0.5</formula>
    </cfRule>
  </conditionalFormatting>
  <conditionalFormatting sqref="AF5">
    <cfRule type="cellIs" dxfId="33046" priority="91980" stopIfTrue="1" operator="equal">
      <formula>-1</formula>
    </cfRule>
  </conditionalFormatting>
  <conditionalFormatting sqref="AF5">
    <cfRule type="cellIs" dxfId="33045" priority="91981" stopIfTrue="1" operator="lessThan">
      <formula>0.5</formula>
    </cfRule>
  </conditionalFormatting>
  <conditionalFormatting sqref="AF5">
    <cfRule type="cellIs" dxfId="33044" priority="91982" stopIfTrue="1" operator="greaterThanOrEqual">
      <formula>0.5</formula>
    </cfRule>
  </conditionalFormatting>
  <conditionalFormatting sqref="AF6">
    <cfRule type="cellIs" dxfId="33043" priority="91983" stopIfTrue="1" operator="equal">
      <formula>-1</formula>
    </cfRule>
  </conditionalFormatting>
  <conditionalFormatting sqref="AF6">
    <cfRule type="cellIs" dxfId="33042" priority="91984" stopIfTrue="1" operator="lessThan">
      <formula>0.5</formula>
    </cfRule>
  </conditionalFormatting>
  <conditionalFormatting sqref="AF6">
    <cfRule type="cellIs" dxfId="33041" priority="91985" stopIfTrue="1" operator="greaterThanOrEqual">
      <formula>0.5</formula>
    </cfRule>
  </conditionalFormatting>
  <conditionalFormatting sqref="AH5">
    <cfRule type="cellIs" dxfId="33040" priority="91986" stopIfTrue="1" operator="equal">
      <formula>-1</formula>
    </cfRule>
  </conditionalFormatting>
  <conditionalFormatting sqref="AH5">
    <cfRule type="cellIs" dxfId="33039" priority="91987" stopIfTrue="1" operator="lessThan">
      <formula>0.5</formula>
    </cfRule>
  </conditionalFormatting>
  <conditionalFormatting sqref="AH5">
    <cfRule type="cellIs" dxfId="33038" priority="91988" stopIfTrue="1" operator="greaterThanOrEqual">
      <formula>0.5</formula>
    </cfRule>
  </conditionalFormatting>
  <conditionalFormatting sqref="AH6">
    <cfRule type="cellIs" dxfId="33037" priority="91989" stopIfTrue="1" operator="equal">
      <formula>-1</formula>
    </cfRule>
  </conditionalFormatting>
  <conditionalFormatting sqref="AH6">
    <cfRule type="cellIs" dxfId="33036" priority="91990" stopIfTrue="1" operator="lessThan">
      <formula>0.5</formula>
    </cfRule>
  </conditionalFormatting>
  <conditionalFormatting sqref="AH6">
    <cfRule type="cellIs" dxfId="33035" priority="91991" stopIfTrue="1" operator="greaterThanOrEqual">
      <formula>0.5</formula>
    </cfRule>
  </conditionalFormatting>
  <conditionalFormatting sqref="AJ5">
    <cfRule type="cellIs" dxfId="33034" priority="91992" stopIfTrue="1" operator="equal">
      <formula>-1</formula>
    </cfRule>
  </conditionalFormatting>
  <conditionalFormatting sqref="AJ5">
    <cfRule type="cellIs" dxfId="33033" priority="91993" stopIfTrue="1" operator="lessThan">
      <formula>0.5</formula>
    </cfRule>
  </conditionalFormatting>
  <conditionalFormatting sqref="AJ5">
    <cfRule type="cellIs" dxfId="33032" priority="91994" stopIfTrue="1" operator="greaterThanOrEqual">
      <formula>0.5</formula>
    </cfRule>
  </conditionalFormatting>
  <conditionalFormatting sqref="AJ6">
    <cfRule type="cellIs" dxfId="33031" priority="91995" stopIfTrue="1" operator="equal">
      <formula>-1</formula>
    </cfRule>
  </conditionalFormatting>
  <conditionalFormatting sqref="AJ6">
    <cfRule type="cellIs" dxfId="33030" priority="91996" stopIfTrue="1" operator="lessThan">
      <formula>0.5</formula>
    </cfRule>
  </conditionalFormatting>
  <conditionalFormatting sqref="AJ6">
    <cfRule type="cellIs" dxfId="33029" priority="91997" stopIfTrue="1" operator="greaterThanOrEqual">
      <formula>0.5</formula>
    </cfRule>
  </conditionalFormatting>
  <conditionalFormatting sqref="AL5">
    <cfRule type="cellIs" dxfId="33028" priority="91998" stopIfTrue="1" operator="equal">
      <formula>-1</formula>
    </cfRule>
  </conditionalFormatting>
  <conditionalFormatting sqref="AL5">
    <cfRule type="cellIs" dxfId="33027" priority="91999" stopIfTrue="1" operator="lessThan">
      <formula>0.5</formula>
    </cfRule>
  </conditionalFormatting>
  <conditionalFormatting sqref="AL5">
    <cfRule type="cellIs" dxfId="33026" priority="92000" stopIfTrue="1" operator="greaterThanOrEqual">
      <formula>0.5</formula>
    </cfRule>
  </conditionalFormatting>
  <conditionalFormatting sqref="AL6">
    <cfRule type="cellIs" dxfId="33025" priority="92001" stopIfTrue="1" operator="equal">
      <formula>-1</formula>
    </cfRule>
  </conditionalFormatting>
  <conditionalFormatting sqref="AL6">
    <cfRule type="cellIs" dxfId="33024" priority="92002" stopIfTrue="1" operator="lessThan">
      <formula>0.5</formula>
    </cfRule>
  </conditionalFormatting>
  <conditionalFormatting sqref="AL6">
    <cfRule type="cellIs" dxfId="33023" priority="92003" stopIfTrue="1" operator="greaterThanOrEqual">
      <formula>0.5</formula>
    </cfRule>
  </conditionalFormatting>
  <conditionalFormatting sqref="AN5">
    <cfRule type="cellIs" dxfId="33022" priority="92004" stopIfTrue="1" operator="equal">
      <formula>-1</formula>
    </cfRule>
  </conditionalFormatting>
  <conditionalFormatting sqref="AN5">
    <cfRule type="cellIs" dxfId="33021" priority="92005" stopIfTrue="1" operator="lessThan">
      <formula>0.5</formula>
    </cfRule>
  </conditionalFormatting>
  <conditionalFormatting sqref="AN5">
    <cfRule type="cellIs" dxfId="33020" priority="92006" stopIfTrue="1" operator="greaterThanOrEqual">
      <formula>0.5</formula>
    </cfRule>
  </conditionalFormatting>
  <conditionalFormatting sqref="AN6">
    <cfRule type="cellIs" dxfId="33019" priority="92007" stopIfTrue="1" operator="equal">
      <formula>-1</formula>
    </cfRule>
  </conditionalFormatting>
  <conditionalFormatting sqref="AN6">
    <cfRule type="cellIs" dxfId="33018" priority="92008" stopIfTrue="1" operator="lessThan">
      <formula>0.5</formula>
    </cfRule>
  </conditionalFormatting>
  <conditionalFormatting sqref="AN6">
    <cfRule type="cellIs" dxfId="33017" priority="92009" stopIfTrue="1" operator="greaterThanOrEqual">
      <formula>0.5</formula>
    </cfRule>
  </conditionalFormatting>
  <conditionalFormatting sqref="AP5">
    <cfRule type="cellIs" dxfId="33016" priority="92010" stopIfTrue="1" operator="equal">
      <formula>-1</formula>
    </cfRule>
  </conditionalFormatting>
  <conditionalFormatting sqref="AP5">
    <cfRule type="cellIs" dxfId="33015" priority="92011" stopIfTrue="1" operator="lessThan">
      <formula>0.5</formula>
    </cfRule>
  </conditionalFormatting>
  <conditionalFormatting sqref="AP5">
    <cfRule type="cellIs" dxfId="33014" priority="92012" stopIfTrue="1" operator="greaterThanOrEqual">
      <formula>0.5</formula>
    </cfRule>
  </conditionalFormatting>
  <conditionalFormatting sqref="AP6">
    <cfRule type="cellIs" dxfId="33013" priority="92013" stopIfTrue="1" operator="equal">
      <formula>-1</formula>
    </cfRule>
  </conditionalFormatting>
  <conditionalFormatting sqref="AP6">
    <cfRule type="cellIs" dxfId="33012" priority="92014" stopIfTrue="1" operator="lessThan">
      <formula>0.5</formula>
    </cfRule>
  </conditionalFormatting>
  <conditionalFormatting sqref="AP6">
    <cfRule type="cellIs" dxfId="33011" priority="92015" stopIfTrue="1" operator="greaterThanOrEqual">
      <formula>0.5</formula>
    </cfRule>
  </conditionalFormatting>
  <conditionalFormatting sqref="AR5">
    <cfRule type="cellIs" dxfId="33010" priority="92016" stopIfTrue="1" operator="equal">
      <formula>-1</formula>
    </cfRule>
  </conditionalFormatting>
  <conditionalFormatting sqref="AR5">
    <cfRule type="cellIs" dxfId="33009" priority="92017" stopIfTrue="1" operator="lessThan">
      <formula>0.5</formula>
    </cfRule>
  </conditionalFormatting>
  <conditionalFormatting sqref="AR5">
    <cfRule type="cellIs" dxfId="33008" priority="92018" stopIfTrue="1" operator="greaterThanOrEqual">
      <formula>0.5</formula>
    </cfRule>
  </conditionalFormatting>
  <conditionalFormatting sqref="AR6">
    <cfRule type="cellIs" dxfId="33007" priority="92019" stopIfTrue="1" operator="equal">
      <formula>-1</formula>
    </cfRule>
  </conditionalFormatting>
  <conditionalFormatting sqref="AR6">
    <cfRule type="cellIs" dxfId="33006" priority="92020" stopIfTrue="1" operator="lessThan">
      <formula>0.5</formula>
    </cfRule>
  </conditionalFormatting>
  <conditionalFormatting sqref="AR6">
    <cfRule type="cellIs" dxfId="33005" priority="92021" stopIfTrue="1" operator="greaterThanOrEqual">
      <formula>0.5</formula>
    </cfRule>
  </conditionalFormatting>
  <conditionalFormatting sqref="AT5">
    <cfRule type="cellIs" dxfId="33004" priority="92022" stopIfTrue="1" operator="equal">
      <formula>-1</formula>
    </cfRule>
  </conditionalFormatting>
  <conditionalFormatting sqref="AT5">
    <cfRule type="cellIs" dxfId="33003" priority="92023" stopIfTrue="1" operator="lessThan">
      <formula>0.5</formula>
    </cfRule>
  </conditionalFormatting>
  <conditionalFormatting sqref="AT5">
    <cfRule type="cellIs" dxfId="33002" priority="92024" stopIfTrue="1" operator="greaterThanOrEqual">
      <formula>0.5</formula>
    </cfRule>
  </conditionalFormatting>
  <conditionalFormatting sqref="AT6">
    <cfRule type="cellIs" dxfId="33001" priority="92025" stopIfTrue="1" operator="equal">
      <formula>-1</formula>
    </cfRule>
  </conditionalFormatting>
  <conditionalFormatting sqref="AT6">
    <cfRule type="cellIs" dxfId="33000" priority="92026" stopIfTrue="1" operator="lessThan">
      <formula>0.5</formula>
    </cfRule>
  </conditionalFormatting>
  <conditionalFormatting sqref="AT6">
    <cfRule type="cellIs" dxfId="32999" priority="92027" stopIfTrue="1" operator="greaterThanOrEqual">
      <formula>0.5</formula>
    </cfRule>
  </conditionalFormatting>
  <conditionalFormatting sqref="AV5">
    <cfRule type="cellIs" dxfId="32998" priority="92028" stopIfTrue="1" operator="equal">
      <formula>-1</formula>
    </cfRule>
  </conditionalFormatting>
  <conditionalFormatting sqref="AV5">
    <cfRule type="cellIs" dxfId="32997" priority="92029" stopIfTrue="1" operator="lessThan">
      <formula>0.5</formula>
    </cfRule>
  </conditionalFormatting>
  <conditionalFormatting sqref="AV5">
    <cfRule type="cellIs" dxfId="32996" priority="92030" stopIfTrue="1" operator="greaterThanOrEqual">
      <formula>0.5</formula>
    </cfRule>
  </conditionalFormatting>
  <conditionalFormatting sqref="AV6">
    <cfRule type="cellIs" dxfId="32995" priority="92031" stopIfTrue="1" operator="equal">
      <formula>-1</formula>
    </cfRule>
  </conditionalFormatting>
  <conditionalFormatting sqref="AV6">
    <cfRule type="cellIs" dxfId="32994" priority="92032" stopIfTrue="1" operator="lessThan">
      <formula>0.5</formula>
    </cfRule>
  </conditionalFormatting>
  <conditionalFormatting sqref="AV6">
    <cfRule type="cellIs" dxfId="32993" priority="92033" stopIfTrue="1" operator="greaterThanOrEqual">
      <formula>0.5</formula>
    </cfRule>
  </conditionalFormatting>
  <conditionalFormatting sqref="AX5">
    <cfRule type="cellIs" dxfId="32992" priority="92034" stopIfTrue="1" operator="equal">
      <formula>-1</formula>
    </cfRule>
  </conditionalFormatting>
  <conditionalFormatting sqref="AX5">
    <cfRule type="cellIs" dxfId="32991" priority="92035" stopIfTrue="1" operator="lessThan">
      <formula>0.5</formula>
    </cfRule>
  </conditionalFormatting>
  <conditionalFormatting sqref="AX5">
    <cfRule type="cellIs" dxfId="32990" priority="92036" stopIfTrue="1" operator="greaterThanOrEqual">
      <formula>0.5</formula>
    </cfRule>
  </conditionalFormatting>
  <conditionalFormatting sqref="AX6">
    <cfRule type="cellIs" dxfId="32989" priority="92037" stopIfTrue="1" operator="equal">
      <formula>-1</formula>
    </cfRule>
  </conditionalFormatting>
  <conditionalFormatting sqref="AX6">
    <cfRule type="cellIs" dxfId="32988" priority="92038" stopIfTrue="1" operator="lessThan">
      <formula>0.5</formula>
    </cfRule>
  </conditionalFormatting>
  <conditionalFormatting sqref="AX6">
    <cfRule type="cellIs" dxfId="32987" priority="92039" stopIfTrue="1" operator="greaterThanOrEqual">
      <formula>0.5</formula>
    </cfRule>
  </conditionalFormatting>
  <conditionalFormatting sqref="AZ5">
    <cfRule type="cellIs" dxfId="32986" priority="92040" stopIfTrue="1" operator="equal">
      <formula>-1</formula>
    </cfRule>
  </conditionalFormatting>
  <conditionalFormatting sqref="AZ5">
    <cfRule type="cellIs" dxfId="32985" priority="92041" stopIfTrue="1" operator="lessThan">
      <formula>0.5</formula>
    </cfRule>
  </conditionalFormatting>
  <conditionalFormatting sqref="AZ5">
    <cfRule type="cellIs" dxfId="32984" priority="92042" stopIfTrue="1" operator="greaterThanOrEqual">
      <formula>0.5</formula>
    </cfRule>
  </conditionalFormatting>
  <conditionalFormatting sqref="AZ6">
    <cfRule type="cellIs" dxfId="32983" priority="92043" stopIfTrue="1" operator="equal">
      <formula>-1</formula>
    </cfRule>
  </conditionalFormatting>
  <conditionalFormatting sqref="AZ6">
    <cfRule type="cellIs" dxfId="32982" priority="92044" stopIfTrue="1" operator="lessThan">
      <formula>0.5</formula>
    </cfRule>
  </conditionalFormatting>
  <conditionalFormatting sqref="AZ6">
    <cfRule type="cellIs" dxfId="32981" priority="92045" stopIfTrue="1" operator="greaterThanOrEqual">
      <formula>0.5</formula>
    </cfRule>
  </conditionalFormatting>
  <conditionalFormatting sqref="BB5">
    <cfRule type="cellIs" dxfId="32980" priority="92046" stopIfTrue="1" operator="equal">
      <formula>-1</formula>
    </cfRule>
  </conditionalFormatting>
  <conditionalFormatting sqref="BB5">
    <cfRule type="cellIs" dxfId="32979" priority="92047" stopIfTrue="1" operator="lessThan">
      <formula>0.5</formula>
    </cfRule>
  </conditionalFormatting>
  <conditionalFormatting sqref="BB5">
    <cfRule type="cellIs" dxfId="32978" priority="92048" stopIfTrue="1" operator="greaterThanOrEqual">
      <formula>0.5</formula>
    </cfRule>
  </conditionalFormatting>
  <conditionalFormatting sqref="BB6">
    <cfRule type="cellIs" dxfId="32977" priority="92049" stopIfTrue="1" operator="equal">
      <formula>-1</formula>
    </cfRule>
  </conditionalFormatting>
  <conditionalFormatting sqref="BB6">
    <cfRule type="cellIs" dxfId="32976" priority="92050" stopIfTrue="1" operator="lessThan">
      <formula>0.5</formula>
    </cfRule>
  </conditionalFormatting>
  <conditionalFormatting sqref="BB6">
    <cfRule type="cellIs" dxfId="32975" priority="92051" stopIfTrue="1" operator="greaterThanOrEqual">
      <formula>0.5</formula>
    </cfRule>
  </conditionalFormatting>
  <conditionalFormatting sqref="BD5">
    <cfRule type="cellIs" dxfId="32974" priority="92052" stopIfTrue="1" operator="equal">
      <formula>-1</formula>
    </cfRule>
  </conditionalFormatting>
  <conditionalFormatting sqref="BD5">
    <cfRule type="cellIs" dxfId="32973" priority="92053" stopIfTrue="1" operator="lessThan">
      <formula>0.5</formula>
    </cfRule>
  </conditionalFormatting>
  <conditionalFormatting sqref="BD5">
    <cfRule type="cellIs" dxfId="32972" priority="92054" stopIfTrue="1" operator="greaterThanOrEqual">
      <formula>0.5</formula>
    </cfRule>
  </conditionalFormatting>
  <conditionalFormatting sqref="BD6">
    <cfRule type="cellIs" dxfId="32971" priority="92055" stopIfTrue="1" operator="equal">
      <formula>-1</formula>
    </cfRule>
  </conditionalFormatting>
  <conditionalFormatting sqref="BD6">
    <cfRule type="cellIs" dxfId="32970" priority="92056" stopIfTrue="1" operator="lessThan">
      <formula>0.5</formula>
    </cfRule>
  </conditionalFormatting>
  <conditionalFormatting sqref="BD6">
    <cfRule type="cellIs" dxfId="32969" priority="92057" stopIfTrue="1" operator="greaterThanOrEqual">
      <formula>0.5</formula>
    </cfRule>
  </conditionalFormatting>
  <conditionalFormatting sqref="BF5">
    <cfRule type="cellIs" dxfId="32968" priority="92058" stopIfTrue="1" operator="equal">
      <formula>-1</formula>
    </cfRule>
  </conditionalFormatting>
  <conditionalFormatting sqref="BF5">
    <cfRule type="cellIs" dxfId="32967" priority="92059" stopIfTrue="1" operator="lessThan">
      <formula>0.5</formula>
    </cfRule>
  </conditionalFormatting>
  <conditionalFormatting sqref="BF5">
    <cfRule type="cellIs" dxfId="32966" priority="92060" stopIfTrue="1" operator="greaterThanOrEqual">
      <formula>0.5</formula>
    </cfRule>
  </conditionalFormatting>
  <conditionalFormatting sqref="BF6">
    <cfRule type="cellIs" dxfId="32965" priority="92061" stopIfTrue="1" operator="equal">
      <formula>-1</formula>
    </cfRule>
  </conditionalFormatting>
  <conditionalFormatting sqref="BF6">
    <cfRule type="cellIs" dxfId="32964" priority="92062" stopIfTrue="1" operator="lessThan">
      <formula>0.5</formula>
    </cfRule>
  </conditionalFormatting>
  <conditionalFormatting sqref="BF6">
    <cfRule type="cellIs" dxfId="32963" priority="92063" stopIfTrue="1" operator="greaterThanOrEqual">
      <formula>0.5</formula>
    </cfRule>
  </conditionalFormatting>
  <conditionalFormatting sqref="BH5">
    <cfRule type="cellIs" dxfId="32962" priority="92064" stopIfTrue="1" operator="equal">
      <formula>-1</formula>
    </cfRule>
  </conditionalFormatting>
  <conditionalFormatting sqref="BH5">
    <cfRule type="cellIs" dxfId="32961" priority="92065" stopIfTrue="1" operator="lessThan">
      <formula>0.5</formula>
    </cfRule>
  </conditionalFormatting>
  <conditionalFormatting sqref="BH5">
    <cfRule type="cellIs" dxfId="32960" priority="92066" stopIfTrue="1" operator="greaterThanOrEqual">
      <formula>0.5</formula>
    </cfRule>
  </conditionalFormatting>
  <conditionalFormatting sqref="BH6">
    <cfRule type="cellIs" dxfId="32959" priority="92067" stopIfTrue="1" operator="equal">
      <formula>-1</formula>
    </cfRule>
  </conditionalFormatting>
  <conditionalFormatting sqref="BH6">
    <cfRule type="cellIs" dxfId="32958" priority="92068" stopIfTrue="1" operator="lessThan">
      <formula>0.5</formula>
    </cfRule>
  </conditionalFormatting>
  <conditionalFormatting sqref="BH6">
    <cfRule type="cellIs" dxfId="32957" priority="92069" stopIfTrue="1" operator="greaterThanOrEqual">
      <formula>0.5</formula>
    </cfRule>
  </conditionalFormatting>
  <conditionalFormatting sqref="BJ5">
    <cfRule type="cellIs" dxfId="32956" priority="92070" stopIfTrue="1" operator="equal">
      <formula>-1</formula>
    </cfRule>
  </conditionalFormatting>
  <conditionalFormatting sqref="BJ5">
    <cfRule type="cellIs" dxfId="32955" priority="92071" stopIfTrue="1" operator="lessThan">
      <formula>0.5</formula>
    </cfRule>
  </conditionalFormatting>
  <conditionalFormatting sqref="BJ5">
    <cfRule type="cellIs" dxfId="32954" priority="92072" stopIfTrue="1" operator="greaterThanOrEqual">
      <formula>0.5</formula>
    </cfRule>
  </conditionalFormatting>
  <conditionalFormatting sqref="BJ6">
    <cfRule type="cellIs" dxfId="32953" priority="92073" stopIfTrue="1" operator="equal">
      <formula>-1</formula>
    </cfRule>
  </conditionalFormatting>
  <conditionalFormatting sqref="BJ6">
    <cfRule type="cellIs" dxfId="32952" priority="92074" stopIfTrue="1" operator="lessThan">
      <formula>0.5</formula>
    </cfRule>
  </conditionalFormatting>
  <conditionalFormatting sqref="BJ6">
    <cfRule type="cellIs" dxfId="32951" priority="92075" stopIfTrue="1" operator="greaterThanOrEqual">
      <formula>0.5</formula>
    </cfRule>
  </conditionalFormatting>
  <conditionalFormatting sqref="D8">
    <cfRule type="cellIs" dxfId="32950" priority="92076" stopIfTrue="1" operator="equal">
      <formula>-1</formula>
    </cfRule>
  </conditionalFormatting>
  <conditionalFormatting sqref="D8">
    <cfRule type="cellIs" dxfId="32949" priority="92077" stopIfTrue="1" operator="lessThan">
      <formula>0.5</formula>
    </cfRule>
  </conditionalFormatting>
  <conditionalFormatting sqref="D8">
    <cfRule type="cellIs" dxfId="32948" priority="92078" stopIfTrue="1" operator="greaterThanOrEqual">
      <formula>0.5</formula>
    </cfRule>
  </conditionalFormatting>
  <conditionalFormatting sqref="D9">
    <cfRule type="cellIs" dxfId="32947" priority="92079" stopIfTrue="1" operator="equal">
      <formula>-1</formula>
    </cfRule>
  </conditionalFormatting>
  <conditionalFormatting sqref="D9">
    <cfRule type="cellIs" dxfId="32946" priority="92080" stopIfTrue="1" operator="lessThan">
      <formula>0.5</formula>
    </cfRule>
  </conditionalFormatting>
  <conditionalFormatting sqref="D9">
    <cfRule type="cellIs" dxfId="32945" priority="92081" stopIfTrue="1" operator="greaterThanOrEqual">
      <formula>0.5</formula>
    </cfRule>
  </conditionalFormatting>
  <conditionalFormatting sqref="D10">
    <cfRule type="cellIs" dxfId="32944" priority="92082" stopIfTrue="1" operator="equal">
      <formula>-1</formula>
    </cfRule>
  </conditionalFormatting>
  <conditionalFormatting sqref="D10">
    <cfRule type="cellIs" dxfId="32943" priority="92083" stopIfTrue="1" operator="lessThan">
      <formula>0.5</formula>
    </cfRule>
  </conditionalFormatting>
  <conditionalFormatting sqref="D10">
    <cfRule type="cellIs" dxfId="32942" priority="92084" stopIfTrue="1" operator="greaterThanOrEqual">
      <formula>0.5</formula>
    </cfRule>
  </conditionalFormatting>
  <conditionalFormatting sqref="D11">
    <cfRule type="cellIs" dxfId="32941" priority="92085" stopIfTrue="1" operator="equal">
      <formula>-1</formula>
    </cfRule>
  </conditionalFormatting>
  <conditionalFormatting sqref="D11">
    <cfRule type="cellIs" dxfId="32940" priority="92086" stopIfTrue="1" operator="lessThan">
      <formula>0.5</formula>
    </cfRule>
  </conditionalFormatting>
  <conditionalFormatting sqref="D11">
    <cfRule type="cellIs" dxfId="32939" priority="92087" stopIfTrue="1" operator="greaterThanOrEqual">
      <formula>0.5</formula>
    </cfRule>
  </conditionalFormatting>
  <conditionalFormatting sqref="D12">
    <cfRule type="cellIs" dxfId="32938" priority="92088" stopIfTrue="1" operator="equal">
      <formula>-1</formula>
    </cfRule>
  </conditionalFormatting>
  <conditionalFormatting sqref="D12">
    <cfRule type="cellIs" dxfId="32937" priority="92089" stopIfTrue="1" operator="lessThan">
      <formula>0.5</formula>
    </cfRule>
  </conditionalFormatting>
  <conditionalFormatting sqref="D12">
    <cfRule type="cellIs" dxfId="32936" priority="92090" stopIfTrue="1" operator="greaterThanOrEqual">
      <formula>0.5</formula>
    </cfRule>
  </conditionalFormatting>
  <conditionalFormatting sqref="D13">
    <cfRule type="cellIs" dxfId="32935" priority="92091" stopIfTrue="1" operator="equal">
      <formula>-1</formula>
    </cfRule>
  </conditionalFormatting>
  <conditionalFormatting sqref="D13">
    <cfRule type="cellIs" dxfId="32934" priority="92092" stopIfTrue="1" operator="lessThan">
      <formula>0.5</formula>
    </cfRule>
  </conditionalFormatting>
  <conditionalFormatting sqref="D13">
    <cfRule type="cellIs" dxfId="32933" priority="92093" stopIfTrue="1" operator="greaterThanOrEqual">
      <formula>0.5</formula>
    </cfRule>
  </conditionalFormatting>
  <conditionalFormatting sqref="D14">
    <cfRule type="cellIs" dxfId="32932" priority="92094" stopIfTrue="1" operator="equal">
      <formula>-1</formula>
    </cfRule>
  </conditionalFormatting>
  <conditionalFormatting sqref="D14">
    <cfRule type="cellIs" dxfId="32931" priority="92095" stopIfTrue="1" operator="lessThan">
      <formula>0.5</formula>
    </cfRule>
  </conditionalFormatting>
  <conditionalFormatting sqref="D14">
    <cfRule type="cellIs" dxfId="32930" priority="92096" stopIfTrue="1" operator="greaterThanOrEqual">
      <formula>0.5</formula>
    </cfRule>
  </conditionalFormatting>
  <conditionalFormatting sqref="D15">
    <cfRule type="cellIs" dxfId="32929" priority="92097" stopIfTrue="1" operator="equal">
      <formula>-1</formula>
    </cfRule>
  </conditionalFormatting>
  <conditionalFormatting sqref="D15">
    <cfRule type="cellIs" dxfId="32928" priority="92098" stopIfTrue="1" operator="lessThan">
      <formula>0.5</formula>
    </cfRule>
  </conditionalFormatting>
  <conditionalFormatting sqref="D15">
    <cfRule type="cellIs" dxfId="32927" priority="92099" stopIfTrue="1" operator="greaterThanOrEqual">
      <formula>0.5</formula>
    </cfRule>
  </conditionalFormatting>
  <conditionalFormatting sqref="F8">
    <cfRule type="cellIs" dxfId="32926" priority="92100" stopIfTrue="1" operator="equal">
      <formula>-1</formula>
    </cfRule>
  </conditionalFormatting>
  <conditionalFormatting sqref="F8">
    <cfRule type="cellIs" dxfId="32925" priority="92101" stopIfTrue="1" operator="lessThan">
      <formula>0.5</formula>
    </cfRule>
  </conditionalFormatting>
  <conditionalFormatting sqref="F8">
    <cfRule type="cellIs" dxfId="32924" priority="92102" stopIfTrue="1" operator="greaterThanOrEqual">
      <formula>0.5</formula>
    </cfRule>
  </conditionalFormatting>
  <conditionalFormatting sqref="F9">
    <cfRule type="cellIs" dxfId="32923" priority="92103" stopIfTrue="1" operator="equal">
      <formula>-1</formula>
    </cfRule>
  </conditionalFormatting>
  <conditionalFormatting sqref="F9">
    <cfRule type="cellIs" dxfId="32922" priority="92104" stopIfTrue="1" operator="lessThan">
      <formula>0.5</formula>
    </cfRule>
  </conditionalFormatting>
  <conditionalFormatting sqref="F9">
    <cfRule type="cellIs" dxfId="32921" priority="92105" stopIfTrue="1" operator="greaterThanOrEqual">
      <formula>0.5</formula>
    </cfRule>
  </conditionalFormatting>
  <conditionalFormatting sqref="F10">
    <cfRule type="cellIs" dxfId="32920" priority="92106" stopIfTrue="1" operator="equal">
      <formula>-1</formula>
    </cfRule>
  </conditionalFormatting>
  <conditionalFormatting sqref="F10">
    <cfRule type="cellIs" dxfId="32919" priority="92107" stopIfTrue="1" operator="lessThan">
      <formula>0.5</formula>
    </cfRule>
  </conditionalFormatting>
  <conditionalFormatting sqref="F10">
    <cfRule type="cellIs" dxfId="32918" priority="92108" stopIfTrue="1" operator="greaterThanOrEqual">
      <formula>0.5</formula>
    </cfRule>
  </conditionalFormatting>
  <conditionalFormatting sqref="F11">
    <cfRule type="cellIs" dxfId="32917" priority="92109" stopIfTrue="1" operator="equal">
      <formula>-1</formula>
    </cfRule>
  </conditionalFormatting>
  <conditionalFormatting sqref="F11">
    <cfRule type="cellIs" dxfId="32916" priority="92110" stopIfTrue="1" operator="lessThan">
      <formula>0.5</formula>
    </cfRule>
  </conditionalFormatting>
  <conditionalFormatting sqref="F11">
    <cfRule type="cellIs" dxfId="32915" priority="92111" stopIfTrue="1" operator="greaterThanOrEqual">
      <formula>0.5</formula>
    </cfRule>
  </conditionalFormatting>
  <conditionalFormatting sqref="F12">
    <cfRule type="cellIs" dxfId="32914" priority="92112" stopIfTrue="1" operator="equal">
      <formula>-1</formula>
    </cfRule>
  </conditionalFormatting>
  <conditionalFormatting sqref="F12">
    <cfRule type="cellIs" dxfId="32913" priority="92113" stopIfTrue="1" operator="lessThan">
      <formula>0.5</formula>
    </cfRule>
  </conditionalFormatting>
  <conditionalFormatting sqref="F12">
    <cfRule type="cellIs" dxfId="32912" priority="92114" stopIfTrue="1" operator="greaterThanOrEqual">
      <formula>0.5</formula>
    </cfRule>
  </conditionalFormatting>
  <conditionalFormatting sqref="F13">
    <cfRule type="cellIs" dxfId="32911" priority="92115" stopIfTrue="1" operator="equal">
      <formula>-1</formula>
    </cfRule>
  </conditionalFormatting>
  <conditionalFormatting sqref="F13">
    <cfRule type="cellIs" dxfId="32910" priority="92116" stopIfTrue="1" operator="lessThan">
      <formula>0.5</formula>
    </cfRule>
  </conditionalFormatting>
  <conditionalFormatting sqref="F13">
    <cfRule type="cellIs" dxfId="32909" priority="92117" stopIfTrue="1" operator="greaterThanOrEqual">
      <formula>0.5</formula>
    </cfRule>
  </conditionalFormatting>
  <conditionalFormatting sqref="F14">
    <cfRule type="cellIs" dxfId="32908" priority="92118" stopIfTrue="1" operator="equal">
      <formula>-1</formula>
    </cfRule>
  </conditionalFormatting>
  <conditionalFormatting sqref="F14">
    <cfRule type="cellIs" dxfId="32907" priority="92119" stopIfTrue="1" operator="lessThan">
      <formula>0.5</formula>
    </cfRule>
  </conditionalFormatting>
  <conditionalFormatting sqref="F14">
    <cfRule type="cellIs" dxfId="32906" priority="92120" stopIfTrue="1" operator="greaterThanOrEqual">
      <formula>0.5</formula>
    </cfRule>
  </conditionalFormatting>
  <conditionalFormatting sqref="F15">
    <cfRule type="cellIs" dxfId="32905" priority="92121" stopIfTrue="1" operator="equal">
      <formula>-1</formula>
    </cfRule>
  </conditionalFormatting>
  <conditionalFormatting sqref="F15">
    <cfRule type="cellIs" dxfId="32904" priority="92122" stopIfTrue="1" operator="lessThan">
      <formula>0.5</formula>
    </cfRule>
  </conditionalFormatting>
  <conditionalFormatting sqref="F15">
    <cfRule type="cellIs" dxfId="32903" priority="92123" stopIfTrue="1" operator="greaterThanOrEqual">
      <formula>0.5</formula>
    </cfRule>
  </conditionalFormatting>
  <conditionalFormatting sqref="H8">
    <cfRule type="cellIs" dxfId="32902" priority="92124" stopIfTrue="1" operator="equal">
      <formula>-1</formula>
    </cfRule>
  </conditionalFormatting>
  <conditionalFormatting sqref="H8">
    <cfRule type="cellIs" dxfId="32901" priority="92125" stopIfTrue="1" operator="lessThan">
      <formula>0.5</formula>
    </cfRule>
  </conditionalFormatting>
  <conditionalFormatting sqref="H8">
    <cfRule type="cellIs" dxfId="32900" priority="92126" stopIfTrue="1" operator="greaterThanOrEqual">
      <formula>0.5</formula>
    </cfRule>
  </conditionalFormatting>
  <conditionalFormatting sqref="H9">
    <cfRule type="cellIs" dxfId="32899" priority="92127" stopIfTrue="1" operator="equal">
      <formula>-1</formula>
    </cfRule>
  </conditionalFormatting>
  <conditionalFormatting sqref="H9">
    <cfRule type="cellIs" dxfId="32898" priority="92128" stopIfTrue="1" operator="lessThan">
      <formula>0.5</formula>
    </cfRule>
  </conditionalFormatting>
  <conditionalFormatting sqref="H9">
    <cfRule type="cellIs" dxfId="32897" priority="92129" stopIfTrue="1" operator="greaterThanOrEqual">
      <formula>0.5</formula>
    </cfRule>
  </conditionalFormatting>
  <conditionalFormatting sqref="H10">
    <cfRule type="cellIs" dxfId="32896" priority="92130" stopIfTrue="1" operator="equal">
      <formula>-1</formula>
    </cfRule>
  </conditionalFormatting>
  <conditionalFormatting sqref="H10">
    <cfRule type="cellIs" dxfId="32895" priority="92131" stopIfTrue="1" operator="lessThan">
      <formula>0.5</formula>
    </cfRule>
  </conditionalFormatting>
  <conditionalFormatting sqref="H10">
    <cfRule type="cellIs" dxfId="32894" priority="92132" stopIfTrue="1" operator="greaterThanOrEqual">
      <formula>0.5</formula>
    </cfRule>
  </conditionalFormatting>
  <conditionalFormatting sqref="H11">
    <cfRule type="cellIs" dxfId="32893" priority="92133" stopIfTrue="1" operator="equal">
      <formula>-1</formula>
    </cfRule>
  </conditionalFormatting>
  <conditionalFormatting sqref="H11">
    <cfRule type="cellIs" dxfId="32892" priority="92134" stopIfTrue="1" operator="lessThan">
      <formula>0.5</formula>
    </cfRule>
  </conditionalFormatting>
  <conditionalFormatting sqref="H11">
    <cfRule type="cellIs" dxfId="32891" priority="92135" stopIfTrue="1" operator="greaterThanOrEqual">
      <formula>0.5</formula>
    </cfRule>
  </conditionalFormatting>
  <conditionalFormatting sqref="H12">
    <cfRule type="cellIs" dxfId="32890" priority="92136" stopIfTrue="1" operator="equal">
      <formula>-1</formula>
    </cfRule>
  </conditionalFormatting>
  <conditionalFormatting sqref="H12">
    <cfRule type="cellIs" dxfId="32889" priority="92137" stopIfTrue="1" operator="lessThan">
      <formula>0.5</formula>
    </cfRule>
  </conditionalFormatting>
  <conditionalFormatting sqref="H12">
    <cfRule type="cellIs" dxfId="32888" priority="92138" stopIfTrue="1" operator="greaterThanOrEqual">
      <formula>0.5</formula>
    </cfRule>
  </conditionalFormatting>
  <conditionalFormatting sqref="H13">
    <cfRule type="cellIs" dxfId="32887" priority="92139" stopIfTrue="1" operator="equal">
      <formula>-1</formula>
    </cfRule>
  </conditionalFormatting>
  <conditionalFormatting sqref="H13">
    <cfRule type="cellIs" dxfId="32886" priority="92140" stopIfTrue="1" operator="lessThan">
      <formula>0.5</formula>
    </cfRule>
  </conditionalFormatting>
  <conditionalFormatting sqref="H13">
    <cfRule type="cellIs" dxfId="32885" priority="92141" stopIfTrue="1" operator="greaterThanOrEqual">
      <formula>0.5</formula>
    </cfRule>
  </conditionalFormatting>
  <conditionalFormatting sqref="H14">
    <cfRule type="cellIs" dxfId="32884" priority="92142" stopIfTrue="1" operator="equal">
      <formula>-1</formula>
    </cfRule>
  </conditionalFormatting>
  <conditionalFormatting sqref="H14">
    <cfRule type="cellIs" dxfId="32883" priority="92143" stopIfTrue="1" operator="lessThan">
      <formula>0.5</formula>
    </cfRule>
  </conditionalFormatting>
  <conditionalFormatting sqref="H14">
    <cfRule type="cellIs" dxfId="32882" priority="92144" stopIfTrue="1" operator="greaterThanOrEqual">
      <formula>0.5</formula>
    </cfRule>
  </conditionalFormatting>
  <conditionalFormatting sqref="H15">
    <cfRule type="cellIs" dxfId="32881" priority="92145" stopIfTrue="1" operator="equal">
      <formula>-1</formula>
    </cfRule>
  </conditionalFormatting>
  <conditionalFormatting sqref="H15">
    <cfRule type="cellIs" dxfId="32880" priority="92146" stopIfTrue="1" operator="lessThan">
      <formula>0.5</formula>
    </cfRule>
  </conditionalFormatting>
  <conditionalFormatting sqref="H15">
    <cfRule type="cellIs" dxfId="32879" priority="92147" stopIfTrue="1" operator="greaterThanOrEqual">
      <formula>0.5</formula>
    </cfRule>
  </conditionalFormatting>
  <conditionalFormatting sqref="J8">
    <cfRule type="cellIs" dxfId="32878" priority="92148" stopIfTrue="1" operator="equal">
      <formula>-1</formula>
    </cfRule>
  </conditionalFormatting>
  <conditionalFormatting sqref="J8">
    <cfRule type="cellIs" dxfId="32877" priority="92149" stopIfTrue="1" operator="lessThan">
      <formula>0.5</formula>
    </cfRule>
  </conditionalFormatting>
  <conditionalFormatting sqref="J8">
    <cfRule type="cellIs" dxfId="32876" priority="92150" stopIfTrue="1" operator="greaterThanOrEqual">
      <formula>0.5</formula>
    </cfRule>
  </conditionalFormatting>
  <conditionalFormatting sqref="J9">
    <cfRule type="cellIs" dxfId="32875" priority="92151" stopIfTrue="1" operator="equal">
      <formula>-1</formula>
    </cfRule>
  </conditionalFormatting>
  <conditionalFormatting sqref="J9">
    <cfRule type="cellIs" dxfId="32874" priority="92152" stopIfTrue="1" operator="lessThan">
      <formula>0.5</formula>
    </cfRule>
  </conditionalFormatting>
  <conditionalFormatting sqref="J9">
    <cfRule type="cellIs" dxfId="32873" priority="92153" stopIfTrue="1" operator="greaterThanOrEqual">
      <formula>0.5</formula>
    </cfRule>
  </conditionalFormatting>
  <conditionalFormatting sqref="J10">
    <cfRule type="cellIs" dxfId="32872" priority="92154" stopIfTrue="1" operator="equal">
      <formula>-1</formula>
    </cfRule>
  </conditionalFormatting>
  <conditionalFormatting sqref="J10">
    <cfRule type="cellIs" dxfId="32871" priority="92155" stopIfTrue="1" operator="lessThan">
      <formula>0.5</formula>
    </cfRule>
  </conditionalFormatting>
  <conditionalFormatting sqref="J10">
    <cfRule type="cellIs" dxfId="32870" priority="92156" stopIfTrue="1" operator="greaterThanOrEqual">
      <formula>0.5</formula>
    </cfRule>
  </conditionalFormatting>
  <conditionalFormatting sqref="J11">
    <cfRule type="cellIs" dxfId="32869" priority="92157" stopIfTrue="1" operator="equal">
      <formula>-1</formula>
    </cfRule>
  </conditionalFormatting>
  <conditionalFormatting sqref="J11">
    <cfRule type="cellIs" dxfId="32868" priority="92158" stopIfTrue="1" operator="lessThan">
      <formula>0.5</formula>
    </cfRule>
  </conditionalFormatting>
  <conditionalFormatting sqref="J11">
    <cfRule type="cellIs" dxfId="32867" priority="92159" stopIfTrue="1" operator="greaterThanOrEqual">
      <formula>0.5</formula>
    </cfRule>
  </conditionalFormatting>
  <conditionalFormatting sqref="J12">
    <cfRule type="cellIs" dxfId="32866" priority="92160" stopIfTrue="1" operator="equal">
      <formula>-1</formula>
    </cfRule>
  </conditionalFormatting>
  <conditionalFormatting sqref="J12">
    <cfRule type="cellIs" dxfId="32865" priority="92161" stopIfTrue="1" operator="lessThan">
      <formula>0.5</formula>
    </cfRule>
  </conditionalFormatting>
  <conditionalFormatting sqref="J12">
    <cfRule type="cellIs" dxfId="32864" priority="92162" stopIfTrue="1" operator="greaterThanOrEqual">
      <formula>0.5</formula>
    </cfRule>
  </conditionalFormatting>
  <conditionalFormatting sqref="J13">
    <cfRule type="cellIs" dxfId="32863" priority="92163" stopIfTrue="1" operator="equal">
      <formula>-1</formula>
    </cfRule>
  </conditionalFormatting>
  <conditionalFormatting sqref="J13">
    <cfRule type="cellIs" dxfId="32862" priority="92164" stopIfTrue="1" operator="lessThan">
      <formula>0.5</formula>
    </cfRule>
  </conditionalFormatting>
  <conditionalFormatting sqref="J13">
    <cfRule type="cellIs" dxfId="32861" priority="92165" stopIfTrue="1" operator="greaterThanOrEqual">
      <formula>0.5</formula>
    </cfRule>
  </conditionalFormatting>
  <conditionalFormatting sqref="J14">
    <cfRule type="cellIs" dxfId="32860" priority="92166" stopIfTrue="1" operator="equal">
      <formula>-1</formula>
    </cfRule>
  </conditionalFormatting>
  <conditionalFormatting sqref="J14">
    <cfRule type="cellIs" dxfId="32859" priority="92167" stopIfTrue="1" operator="lessThan">
      <formula>0.5</formula>
    </cfRule>
  </conditionalFormatting>
  <conditionalFormatting sqref="J14">
    <cfRule type="cellIs" dxfId="32858" priority="92168" stopIfTrue="1" operator="greaterThanOrEqual">
      <formula>0.5</formula>
    </cfRule>
  </conditionalFormatting>
  <conditionalFormatting sqref="J15">
    <cfRule type="cellIs" dxfId="32857" priority="92169" stopIfTrue="1" operator="equal">
      <formula>-1</formula>
    </cfRule>
  </conditionalFormatting>
  <conditionalFormatting sqref="J15">
    <cfRule type="cellIs" dxfId="32856" priority="92170" stopIfTrue="1" operator="lessThan">
      <formula>0.5</formula>
    </cfRule>
  </conditionalFormatting>
  <conditionalFormatting sqref="J15">
    <cfRule type="cellIs" dxfId="32855" priority="92171" stopIfTrue="1" operator="greaterThanOrEqual">
      <formula>0.5</formula>
    </cfRule>
  </conditionalFormatting>
  <conditionalFormatting sqref="L8">
    <cfRule type="cellIs" dxfId="32854" priority="92172" stopIfTrue="1" operator="equal">
      <formula>-1</formula>
    </cfRule>
  </conditionalFormatting>
  <conditionalFormatting sqref="L8">
    <cfRule type="cellIs" dxfId="32853" priority="92173" stopIfTrue="1" operator="lessThan">
      <formula>0.5</formula>
    </cfRule>
  </conditionalFormatting>
  <conditionalFormatting sqref="L8">
    <cfRule type="cellIs" dxfId="32852" priority="92174" stopIfTrue="1" operator="greaterThanOrEqual">
      <formula>0.5</formula>
    </cfRule>
  </conditionalFormatting>
  <conditionalFormatting sqref="L9">
    <cfRule type="cellIs" dxfId="32851" priority="92175" stopIfTrue="1" operator="equal">
      <formula>-1</formula>
    </cfRule>
  </conditionalFormatting>
  <conditionalFormatting sqref="L9">
    <cfRule type="cellIs" dxfId="32850" priority="92176" stopIfTrue="1" operator="lessThan">
      <formula>0.5</formula>
    </cfRule>
  </conditionalFormatting>
  <conditionalFormatting sqref="L9">
    <cfRule type="cellIs" dxfId="32849" priority="92177" stopIfTrue="1" operator="greaterThanOrEqual">
      <formula>0.5</formula>
    </cfRule>
  </conditionalFormatting>
  <conditionalFormatting sqref="L10">
    <cfRule type="cellIs" dxfId="32848" priority="92178" stopIfTrue="1" operator="equal">
      <formula>-1</formula>
    </cfRule>
  </conditionalFormatting>
  <conditionalFormatting sqref="L10">
    <cfRule type="cellIs" dxfId="32847" priority="92179" stopIfTrue="1" operator="lessThan">
      <formula>0.5</formula>
    </cfRule>
  </conditionalFormatting>
  <conditionalFormatting sqref="L10">
    <cfRule type="cellIs" dxfId="32846" priority="92180" stopIfTrue="1" operator="greaterThanOrEqual">
      <formula>0.5</formula>
    </cfRule>
  </conditionalFormatting>
  <conditionalFormatting sqref="L11">
    <cfRule type="cellIs" dxfId="32845" priority="92181" stopIfTrue="1" operator="equal">
      <formula>-1</formula>
    </cfRule>
  </conditionalFormatting>
  <conditionalFormatting sqref="L11">
    <cfRule type="cellIs" dxfId="32844" priority="92182" stopIfTrue="1" operator="lessThan">
      <formula>0.5</formula>
    </cfRule>
  </conditionalFormatting>
  <conditionalFormatting sqref="L11">
    <cfRule type="cellIs" dxfId="32843" priority="92183" stopIfTrue="1" operator="greaterThanOrEqual">
      <formula>0.5</formula>
    </cfRule>
  </conditionalFormatting>
  <conditionalFormatting sqref="L12">
    <cfRule type="cellIs" dxfId="32842" priority="92184" stopIfTrue="1" operator="equal">
      <formula>-1</formula>
    </cfRule>
  </conditionalFormatting>
  <conditionalFormatting sqref="L12">
    <cfRule type="cellIs" dxfId="32841" priority="92185" stopIfTrue="1" operator="lessThan">
      <formula>0.5</formula>
    </cfRule>
  </conditionalFormatting>
  <conditionalFormatting sqref="L12">
    <cfRule type="cellIs" dxfId="32840" priority="92186" stopIfTrue="1" operator="greaterThanOrEqual">
      <formula>0.5</formula>
    </cfRule>
  </conditionalFormatting>
  <conditionalFormatting sqref="L13">
    <cfRule type="cellIs" dxfId="32839" priority="92187" stopIfTrue="1" operator="equal">
      <formula>-1</formula>
    </cfRule>
  </conditionalFormatting>
  <conditionalFormatting sqref="L13">
    <cfRule type="cellIs" dxfId="32838" priority="92188" stopIfTrue="1" operator="lessThan">
      <formula>0.5</formula>
    </cfRule>
  </conditionalFormatting>
  <conditionalFormatting sqref="L13">
    <cfRule type="cellIs" dxfId="32837" priority="92189" stopIfTrue="1" operator="greaterThanOrEqual">
      <formula>0.5</formula>
    </cfRule>
  </conditionalFormatting>
  <conditionalFormatting sqref="L14">
    <cfRule type="cellIs" dxfId="32836" priority="92190" stopIfTrue="1" operator="equal">
      <formula>-1</formula>
    </cfRule>
  </conditionalFormatting>
  <conditionalFormatting sqref="L14">
    <cfRule type="cellIs" dxfId="32835" priority="92191" stopIfTrue="1" operator="lessThan">
      <formula>0.5</formula>
    </cfRule>
  </conditionalFormatting>
  <conditionalFormatting sqref="L14">
    <cfRule type="cellIs" dxfId="32834" priority="92192" stopIfTrue="1" operator="greaterThanOrEqual">
      <formula>0.5</formula>
    </cfRule>
  </conditionalFormatting>
  <conditionalFormatting sqref="L15">
    <cfRule type="cellIs" dxfId="32833" priority="92193" stopIfTrue="1" operator="equal">
      <formula>-1</formula>
    </cfRule>
  </conditionalFormatting>
  <conditionalFormatting sqref="L15">
    <cfRule type="cellIs" dxfId="32832" priority="92194" stopIfTrue="1" operator="lessThan">
      <formula>0.5</formula>
    </cfRule>
  </conditionalFormatting>
  <conditionalFormatting sqref="L15">
    <cfRule type="cellIs" dxfId="32831" priority="92195" stopIfTrue="1" operator="greaterThanOrEqual">
      <formula>0.5</formula>
    </cfRule>
  </conditionalFormatting>
  <conditionalFormatting sqref="N8">
    <cfRule type="cellIs" dxfId="32830" priority="92196" stopIfTrue="1" operator="equal">
      <formula>-1</formula>
    </cfRule>
  </conditionalFormatting>
  <conditionalFormatting sqref="N8">
    <cfRule type="cellIs" dxfId="32829" priority="92197" stopIfTrue="1" operator="lessThan">
      <formula>0.5</formula>
    </cfRule>
  </conditionalFormatting>
  <conditionalFormatting sqref="N8">
    <cfRule type="cellIs" dxfId="32828" priority="92198" stopIfTrue="1" operator="greaterThanOrEqual">
      <formula>0.5</formula>
    </cfRule>
  </conditionalFormatting>
  <conditionalFormatting sqref="N9">
    <cfRule type="cellIs" dxfId="32827" priority="92199" stopIfTrue="1" operator="equal">
      <formula>-1</formula>
    </cfRule>
  </conditionalFormatting>
  <conditionalFormatting sqref="N9">
    <cfRule type="cellIs" dxfId="32826" priority="92200" stopIfTrue="1" operator="lessThan">
      <formula>0.5</formula>
    </cfRule>
  </conditionalFormatting>
  <conditionalFormatting sqref="N9">
    <cfRule type="cellIs" dxfId="32825" priority="92201" stopIfTrue="1" operator="greaterThanOrEqual">
      <formula>0.5</formula>
    </cfRule>
  </conditionalFormatting>
  <conditionalFormatting sqref="N10">
    <cfRule type="cellIs" dxfId="32824" priority="92202" stopIfTrue="1" operator="equal">
      <formula>-1</formula>
    </cfRule>
  </conditionalFormatting>
  <conditionalFormatting sqref="N10">
    <cfRule type="cellIs" dxfId="32823" priority="92203" stopIfTrue="1" operator="lessThan">
      <formula>0.5</formula>
    </cfRule>
  </conditionalFormatting>
  <conditionalFormatting sqref="N10">
    <cfRule type="cellIs" dxfId="32822" priority="92204" stopIfTrue="1" operator="greaterThanOrEqual">
      <formula>0.5</formula>
    </cfRule>
  </conditionalFormatting>
  <conditionalFormatting sqref="N11">
    <cfRule type="cellIs" dxfId="32821" priority="92205" stopIfTrue="1" operator="equal">
      <formula>-1</formula>
    </cfRule>
  </conditionalFormatting>
  <conditionalFormatting sqref="N11">
    <cfRule type="cellIs" dxfId="32820" priority="92206" stopIfTrue="1" operator="lessThan">
      <formula>0.5</formula>
    </cfRule>
  </conditionalFormatting>
  <conditionalFormatting sqref="N11">
    <cfRule type="cellIs" dxfId="32819" priority="92207" stopIfTrue="1" operator="greaterThanOrEqual">
      <formula>0.5</formula>
    </cfRule>
  </conditionalFormatting>
  <conditionalFormatting sqref="N12">
    <cfRule type="cellIs" dxfId="32818" priority="92208" stopIfTrue="1" operator="equal">
      <formula>-1</formula>
    </cfRule>
  </conditionalFormatting>
  <conditionalFormatting sqref="N12">
    <cfRule type="cellIs" dxfId="32817" priority="92209" stopIfTrue="1" operator="lessThan">
      <formula>0.5</formula>
    </cfRule>
  </conditionalFormatting>
  <conditionalFormatting sqref="N12">
    <cfRule type="cellIs" dxfId="32816" priority="92210" stopIfTrue="1" operator="greaterThanOrEqual">
      <formula>0.5</formula>
    </cfRule>
  </conditionalFormatting>
  <conditionalFormatting sqref="N13">
    <cfRule type="cellIs" dxfId="32815" priority="92211" stopIfTrue="1" operator="equal">
      <formula>-1</formula>
    </cfRule>
  </conditionalFormatting>
  <conditionalFormatting sqref="N13">
    <cfRule type="cellIs" dxfId="32814" priority="92212" stopIfTrue="1" operator="lessThan">
      <formula>0.5</formula>
    </cfRule>
  </conditionalFormatting>
  <conditionalFormatting sqref="N13">
    <cfRule type="cellIs" dxfId="32813" priority="92213" stopIfTrue="1" operator="greaterThanOrEqual">
      <formula>0.5</formula>
    </cfRule>
  </conditionalFormatting>
  <conditionalFormatting sqref="N14">
    <cfRule type="cellIs" dxfId="32812" priority="92214" stopIfTrue="1" operator="equal">
      <formula>-1</formula>
    </cfRule>
  </conditionalFormatting>
  <conditionalFormatting sqref="N14">
    <cfRule type="cellIs" dxfId="32811" priority="92215" stopIfTrue="1" operator="lessThan">
      <formula>0.5</formula>
    </cfRule>
  </conditionalFormatting>
  <conditionalFormatting sqref="N14">
    <cfRule type="cellIs" dxfId="32810" priority="92216" stopIfTrue="1" operator="greaterThanOrEqual">
      <formula>0.5</formula>
    </cfRule>
  </conditionalFormatting>
  <conditionalFormatting sqref="N15">
    <cfRule type="cellIs" dxfId="32809" priority="92217" stopIfTrue="1" operator="equal">
      <formula>-1</formula>
    </cfRule>
  </conditionalFormatting>
  <conditionalFormatting sqref="N15">
    <cfRule type="cellIs" dxfId="32808" priority="92218" stopIfTrue="1" operator="lessThan">
      <formula>0.5</formula>
    </cfRule>
  </conditionalFormatting>
  <conditionalFormatting sqref="N15">
    <cfRule type="cellIs" dxfId="32807" priority="92219" stopIfTrue="1" operator="greaterThanOrEqual">
      <formula>0.5</formula>
    </cfRule>
  </conditionalFormatting>
  <conditionalFormatting sqref="P8">
    <cfRule type="cellIs" dxfId="32806" priority="92220" stopIfTrue="1" operator="equal">
      <formula>-1</formula>
    </cfRule>
  </conditionalFormatting>
  <conditionalFormatting sqref="P8">
    <cfRule type="cellIs" dxfId="32805" priority="92221" stopIfTrue="1" operator="lessThan">
      <formula>0.5</formula>
    </cfRule>
  </conditionalFormatting>
  <conditionalFormatting sqref="P8">
    <cfRule type="cellIs" dxfId="32804" priority="92222" stopIfTrue="1" operator="greaterThanOrEqual">
      <formula>0.5</formula>
    </cfRule>
  </conditionalFormatting>
  <conditionalFormatting sqref="P9">
    <cfRule type="cellIs" dxfId="32803" priority="92223" stopIfTrue="1" operator="equal">
      <formula>-1</formula>
    </cfRule>
  </conditionalFormatting>
  <conditionalFormatting sqref="P9">
    <cfRule type="cellIs" dxfId="32802" priority="92224" stopIfTrue="1" operator="lessThan">
      <formula>0.5</formula>
    </cfRule>
  </conditionalFormatting>
  <conditionalFormatting sqref="P9">
    <cfRule type="cellIs" dxfId="32801" priority="92225" stopIfTrue="1" operator="greaterThanOrEqual">
      <formula>0.5</formula>
    </cfRule>
  </conditionalFormatting>
  <conditionalFormatting sqref="P10">
    <cfRule type="cellIs" dxfId="32800" priority="92226" stopIfTrue="1" operator="equal">
      <formula>-1</formula>
    </cfRule>
  </conditionalFormatting>
  <conditionalFormatting sqref="P10">
    <cfRule type="cellIs" dxfId="32799" priority="92227" stopIfTrue="1" operator="lessThan">
      <formula>0.5</formula>
    </cfRule>
  </conditionalFormatting>
  <conditionalFormatting sqref="P10">
    <cfRule type="cellIs" dxfId="32798" priority="92228" stopIfTrue="1" operator="greaterThanOrEqual">
      <formula>0.5</formula>
    </cfRule>
  </conditionalFormatting>
  <conditionalFormatting sqref="P11">
    <cfRule type="cellIs" dxfId="32797" priority="92229" stopIfTrue="1" operator="equal">
      <formula>-1</formula>
    </cfRule>
  </conditionalFormatting>
  <conditionalFormatting sqref="P11">
    <cfRule type="cellIs" dxfId="32796" priority="92230" stopIfTrue="1" operator="lessThan">
      <formula>0.5</formula>
    </cfRule>
  </conditionalFormatting>
  <conditionalFormatting sqref="P11">
    <cfRule type="cellIs" dxfId="32795" priority="92231" stopIfTrue="1" operator="greaterThanOrEqual">
      <formula>0.5</formula>
    </cfRule>
  </conditionalFormatting>
  <conditionalFormatting sqref="P12">
    <cfRule type="cellIs" dxfId="32794" priority="92232" stopIfTrue="1" operator="equal">
      <formula>-1</formula>
    </cfRule>
  </conditionalFormatting>
  <conditionalFormatting sqref="P12">
    <cfRule type="cellIs" dxfId="32793" priority="92233" stopIfTrue="1" operator="lessThan">
      <formula>0.5</formula>
    </cfRule>
  </conditionalFormatting>
  <conditionalFormatting sqref="P12">
    <cfRule type="cellIs" dxfId="32792" priority="92234" stopIfTrue="1" operator="greaterThanOrEqual">
      <formula>0.5</formula>
    </cfRule>
  </conditionalFormatting>
  <conditionalFormatting sqref="P13">
    <cfRule type="cellIs" dxfId="32791" priority="92235" stopIfTrue="1" operator="equal">
      <formula>-1</formula>
    </cfRule>
  </conditionalFormatting>
  <conditionalFormatting sqref="P13">
    <cfRule type="cellIs" dxfId="32790" priority="92236" stopIfTrue="1" operator="lessThan">
      <formula>0.5</formula>
    </cfRule>
  </conditionalFormatting>
  <conditionalFormatting sqref="P13">
    <cfRule type="cellIs" dxfId="32789" priority="92237" stopIfTrue="1" operator="greaterThanOrEqual">
      <formula>0.5</formula>
    </cfRule>
  </conditionalFormatting>
  <conditionalFormatting sqref="P14">
    <cfRule type="cellIs" dxfId="32788" priority="92238" stopIfTrue="1" operator="equal">
      <formula>-1</formula>
    </cfRule>
  </conditionalFormatting>
  <conditionalFormatting sqref="P14">
    <cfRule type="cellIs" dxfId="32787" priority="92239" stopIfTrue="1" operator="lessThan">
      <formula>0.5</formula>
    </cfRule>
  </conditionalFormatting>
  <conditionalFormatting sqref="P14">
    <cfRule type="cellIs" dxfId="32786" priority="92240" stopIfTrue="1" operator="greaterThanOrEqual">
      <formula>0.5</formula>
    </cfRule>
  </conditionalFormatting>
  <conditionalFormatting sqref="P15">
    <cfRule type="cellIs" dxfId="32785" priority="92241" stopIfTrue="1" operator="equal">
      <formula>-1</formula>
    </cfRule>
  </conditionalFormatting>
  <conditionalFormatting sqref="P15">
    <cfRule type="cellIs" dxfId="32784" priority="92242" stopIfTrue="1" operator="lessThan">
      <formula>0.5</formula>
    </cfRule>
  </conditionalFormatting>
  <conditionalFormatting sqref="P15">
    <cfRule type="cellIs" dxfId="32783" priority="92243" stopIfTrue="1" operator="greaterThanOrEqual">
      <formula>0.5</formula>
    </cfRule>
  </conditionalFormatting>
  <conditionalFormatting sqref="R8">
    <cfRule type="cellIs" dxfId="32782" priority="92244" stopIfTrue="1" operator="equal">
      <formula>-1</formula>
    </cfRule>
  </conditionalFormatting>
  <conditionalFormatting sqref="R8">
    <cfRule type="cellIs" dxfId="32781" priority="92245" stopIfTrue="1" operator="lessThan">
      <formula>0.5</formula>
    </cfRule>
  </conditionalFormatting>
  <conditionalFormatting sqref="R8">
    <cfRule type="cellIs" dxfId="32780" priority="92246" stopIfTrue="1" operator="greaterThanOrEqual">
      <formula>0.5</formula>
    </cfRule>
  </conditionalFormatting>
  <conditionalFormatting sqref="R9">
    <cfRule type="cellIs" dxfId="32779" priority="92247" stopIfTrue="1" operator="equal">
      <formula>-1</formula>
    </cfRule>
  </conditionalFormatting>
  <conditionalFormatting sqref="R9">
    <cfRule type="cellIs" dxfId="32778" priority="92248" stopIfTrue="1" operator="lessThan">
      <formula>0.5</formula>
    </cfRule>
  </conditionalFormatting>
  <conditionalFormatting sqref="R9">
    <cfRule type="cellIs" dxfId="32777" priority="92249" stopIfTrue="1" operator="greaterThanOrEqual">
      <formula>0.5</formula>
    </cfRule>
  </conditionalFormatting>
  <conditionalFormatting sqref="R10">
    <cfRule type="cellIs" dxfId="32776" priority="92250" stopIfTrue="1" operator="equal">
      <formula>-1</formula>
    </cfRule>
  </conditionalFormatting>
  <conditionalFormatting sqref="R10">
    <cfRule type="cellIs" dxfId="32775" priority="92251" stopIfTrue="1" operator="lessThan">
      <formula>0.5</formula>
    </cfRule>
  </conditionalFormatting>
  <conditionalFormatting sqref="R10">
    <cfRule type="cellIs" dxfId="32774" priority="92252" stopIfTrue="1" operator="greaterThanOrEqual">
      <formula>0.5</formula>
    </cfRule>
  </conditionalFormatting>
  <conditionalFormatting sqref="R11">
    <cfRule type="cellIs" dxfId="32773" priority="92253" stopIfTrue="1" operator="equal">
      <formula>-1</formula>
    </cfRule>
  </conditionalFormatting>
  <conditionalFormatting sqref="R11">
    <cfRule type="cellIs" dxfId="32772" priority="92254" stopIfTrue="1" operator="lessThan">
      <formula>0.5</formula>
    </cfRule>
  </conditionalFormatting>
  <conditionalFormatting sqref="R11">
    <cfRule type="cellIs" dxfId="32771" priority="92255" stopIfTrue="1" operator="greaterThanOrEqual">
      <formula>0.5</formula>
    </cfRule>
  </conditionalFormatting>
  <conditionalFormatting sqref="R12">
    <cfRule type="cellIs" dxfId="32770" priority="92256" stopIfTrue="1" operator="equal">
      <formula>-1</formula>
    </cfRule>
  </conditionalFormatting>
  <conditionalFormatting sqref="R12">
    <cfRule type="cellIs" dxfId="32769" priority="92257" stopIfTrue="1" operator="lessThan">
      <formula>0.5</formula>
    </cfRule>
  </conditionalFormatting>
  <conditionalFormatting sqref="R12">
    <cfRule type="cellIs" dxfId="32768" priority="92258" stopIfTrue="1" operator="greaterThanOrEqual">
      <formula>0.5</formula>
    </cfRule>
  </conditionalFormatting>
  <conditionalFormatting sqref="R13">
    <cfRule type="cellIs" dxfId="32767" priority="92259" stopIfTrue="1" operator="equal">
      <formula>-1</formula>
    </cfRule>
  </conditionalFormatting>
  <conditionalFormatting sqref="R13">
    <cfRule type="cellIs" dxfId="32766" priority="92260" stopIfTrue="1" operator="lessThan">
      <formula>0.5</formula>
    </cfRule>
  </conditionalFormatting>
  <conditionalFormatting sqref="R13">
    <cfRule type="cellIs" dxfId="32765" priority="92261" stopIfTrue="1" operator="greaterThanOrEqual">
      <formula>0.5</formula>
    </cfRule>
  </conditionalFormatting>
  <conditionalFormatting sqref="R14">
    <cfRule type="cellIs" dxfId="32764" priority="92262" stopIfTrue="1" operator="equal">
      <formula>-1</formula>
    </cfRule>
  </conditionalFormatting>
  <conditionalFormatting sqref="R14">
    <cfRule type="cellIs" dxfId="32763" priority="92263" stopIfTrue="1" operator="lessThan">
      <formula>0.5</formula>
    </cfRule>
  </conditionalFormatting>
  <conditionalFormatting sqref="R14">
    <cfRule type="cellIs" dxfId="32762" priority="92264" stopIfTrue="1" operator="greaterThanOrEqual">
      <formula>0.5</formula>
    </cfRule>
  </conditionalFormatting>
  <conditionalFormatting sqref="R15">
    <cfRule type="cellIs" dxfId="32761" priority="92265" stopIfTrue="1" operator="equal">
      <formula>-1</formula>
    </cfRule>
  </conditionalFormatting>
  <conditionalFormatting sqref="R15">
    <cfRule type="cellIs" dxfId="32760" priority="92266" stopIfTrue="1" operator="lessThan">
      <formula>0.5</formula>
    </cfRule>
  </conditionalFormatting>
  <conditionalFormatting sqref="R15">
    <cfRule type="cellIs" dxfId="32759" priority="92267" stopIfTrue="1" operator="greaterThanOrEqual">
      <formula>0.5</formula>
    </cfRule>
  </conditionalFormatting>
  <conditionalFormatting sqref="T8">
    <cfRule type="cellIs" dxfId="32758" priority="92268" stopIfTrue="1" operator="equal">
      <formula>-1</formula>
    </cfRule>
  </conditionalFormatting>
  <conditionalFormatting sqref="T8">
    <cfRule type="cellIs" dxfId="32757" priority="92269" stopIfTrue="1" operator="lessThan">
      <formula>0.5</formula>
    </cfRule>
  </conditionalFormatting>
  <conditionalFormatting sqref="T8">
    <cfRule type="cellIs" dxfId="32756" priority="92270" stopIfTrue="1" operator="greaterThanOrEqual">
      <formula>0.5</formula>
    </cfRule>
  </conditionalFormatting>
  <conditionalFormatting sqref="T9">
    <cfRule type="cellIs" dxfId="32755" priority="92271" stopIfTrue="1" operator="equal">
      <formula>-1</formula>
    </cfRule>
  </conditionalFormatting>
  <conditionalFormatting sqref="T9">
    <cfRule type="cellIs" dxfId="32754" priority="92272" stopIfTrue="1" operator="lessThan">
      <formula>0.5</formula>
    </cfRule>
  </conditionalFormatting>
  <conditionalFormatting sqref="T9">
    <cfRule type="cellIs" dxfId="32753" priority="92273" stopIfTrue="1" operator="greaterThanOrEqual">
      <formula>0.5</formula>
    </cfRule>
  </conditionalFormatting>
  <conditionalFormatting sqref="T10">
    <cfRule type="cellIs" dxfId="32752" priority="92274" stopIfTrue="1" operator="equal">
      <formula>-1</formula>
    </cfRule>
  </conditionalFormatting>
  <conditionalFormatting sqref="T10">
    <cfRule type="cellIs" dxfId="32751" priority="92275" stopIfTrue="1" operator="lessThan">
      <formula>0.5</formula>
    </cfRule>
  </conditionalFormatting>
  <conditionalFormatting sqref="T10">
    <cfRule type="cellIs" dxfId="32750" priority="92276" stopIfTrue="1" operator="greaterThanOrEqual">
      <formula>0.5</formula>
    </cfRule>
  </conditionalFormatting>
  <conditionalFormatting sqref="T11">
    <cfRule type="cellIs" dxfId="32749" priority="92277" stopIfTrue="1" operator="equal">
      <formula>-1</formula>
    </cfRule>
  </conditionalFormatting>
  <conditionalFormatting sqref="T11">
    <cfRule type="cellIs" dxfId="32748" priority="92278" stopIfTrue="1" operator="lessThan">
      <formula>0.5</formula>
    </cfRule>
  </conditionalFormatting>
  <conditionalFormatting sqref="T11">
    <cfRule type="cellIs" dxfId="32747" priority="92279" stopIfTrue="1" operator="greaterThanOrEqual">
      <formula>0.5</formula>
    </cfRule>
  </conditionalFormatting>
  <conditionalFormatting sqref="T12">
    <cfRule type="cellIs" dxfId="32746" priority="92280" stopIfTrue="1" operator="equal">
      <formula>-1</formula>
    </cfRule>
  </conditionalFormatting>
  <conditionalFormatting sqref="T12">
    <cfRule type="cellIs" dxfId="32745" priority="92281" stopIfTrue="1" operator="lessThan">
      <formula>0.5</formula>
    </cfRule>
  </conditionalFormatting>
  <conditionalFormatting sqref="T12">
    <cfRule type="cellIs" dxfId="32744" priority="92282" stopIfTrue="1" operator="greaterThanOrEqual">
      <formula>0.5</formula>
    </cfRule>
  </conditionalFormatting>
  <conditionalFormatting sqref="T13">
    <cfRule type="cellIs" dxfId="32743" priority="92283" stopIfTrue="1" operator="equal">
      <formula>-1</formula>
    </cfRule>
  </conditionalFormatting>
  <conditionalFormatting sqref="T13">
    <cfRule type="cellIs" dxfId="32742" priority="92284" stopIfTrue="1" operator="lessThan">
      <formula>0.5</formula>
    </cfRule>
  </conditionalFormatting>
  <conditionalFormatting sqref="T13">
    <cfRule type="cellIs" dxfId="32741" priority="92285" stopIfTrue="1" operator="greaterThanOrEqual">
      <formula>0.5</formula>
    </cfRule>
  </conditionalFormatting>
  <conditionalFormatting sqref="T14">
    <cfRule type="cellIs" dxfId="32740" priority="92286" stopIfTrue="1" operator="equal">
      <formula>-1</formula>
    </cfRule>
  </conditionalFormatting>
  <conditionalFormatting sqref="T14">
    <cfRule type="cellIs" dxfId="32739" priority="92287" stopIfTrue="1" operator="lessThan">
      <formula>0.5</formula>
    </cfRule>
  </conditionalFormatting>
  <conditionalFormatting sqref="T14">
    <cfRule type="cellIs" dxfId="32738" priority="92288" stopIfTrue="1" operator="greaterThanOrEqual">
      <formula>0.5</formula>
    </cfRule>
  </conditionalFormatting>
  <conditionalFormatting sqref="T15">
    <cfRule type="cellIs" dxfId="32737" priority="92289" stopIfTrue="1" operator="equal">
      <formula>-1</formula>
    </cfRule>
  </conditionalFormatting>
  <conditionalFormatting sqref="T15">
    <cfRule type="cellIs" dxfId="32736" priority="92290" stopIfTrue="1" operator="lessThan">
      <formula>0.5</formula>
    </cfRule>
  </conditionalFormatting>
  <conditionalFormatting sqref="T15">
    <cfRule type="cellIs" dxfId="32735" priority="92291" stopIfTrue="1" operator="greaterThanOrEqual">
      <formula>0.5</formula>
    </cfRule>
  </conditionalFormatting>
  <conditionalFormatting sqref="V8">
    <cfRule type="cellIs" dxfId="32734" priority="92292" stopIfTrue="1" operator="equal">
      <formula>-1</formula>
    </cfRule>
  </conditionalFormatting>
  <conditionalFormatting sqref="V8">
    <cfRule type="cellIs" dxfId="32733" priority="92293" stopIfTrue="1" operator="lessThan">
      <formula>0.5</formula>
    </cfRule>
  </conditionalFormatting>
  <conditionalFormatting sqref="V8">
    <cfRule type="cellIs" dxfId="32732" priority="92294" stopIfTrue="1" operator="greaterThanOrEqual">
      <formula>0.5</formula>
    </cfRule>
  </conditionalFormatting>
  <conditionalFormatting sqref="V9">
    <cfRule type="cellIs" dxfId="32731" priority="92295" stopIfTrue="1" operator="equal">
      <formula>-1</formula>
    </cfRule>
  </conditionalFormatting>
  <conditionalFormatting sqref="V9">
    <cfRule type="cellIs" dxfId="32730" priority="92296" stopIfTrue="1" operator="lessThan">
      <formula>0.5</formula>
    </cfRule>
  </conditionalFormatting>
  <conditionalFormatting sqref="V9">
    <cfRule type="cellIs" dxfId="32729" priority="92297" stopIfTrue="1" operator="greaterThanOrEqual">
      <formula>0.5</formula>
    </cfRule>
  </conditionalFormatting>
  <conditionalFormatting sqref="V10">
    <cfRule type="cellIs" dxfId="32728" priority="92298" stopIfTrue="1" operator="equal">
      <formula>-1</formula>
    </cfRule>
  </conditionalFormatting>
  <conditionalFormatting sqref="V10">
    <cfRule type="cellIs" dxfId="32727" priority="92299" stopIfTrue="1" operator="lessThan">
      <formula>0.5</formula>
    </cfRule>
  </conditionalFormatting>
  <conditionalFormatting sqref="V10">
    <cfRule type="cellIs" dxfId="32726" priority="92300" stopIfTrue="1" operator="greaterThanOrEqual">
      <formula>0.5</formula>
    </cfRule>
  </conditionalFormatting>
  <conditionalFormatting sqref="V11">
    <cfRule type="cellIs" dxfId="32725" priority="92301" stopIfTrue="1" operator="equal">
      <formula>-1</formula>
    </cfRule>
  </conditionalFormatting>
  <conditionalFormatting sqref="V11">
    <cfRule type="cellIs" dxfId="32724" priority="92302" stopIfTrue="1" operator="lessThan">
      <formula>0.5</formula>
    </cfRule>
  </conditionalFormatting>
  <conditionalFormatting sqref="V11">
    <cfRule type="cellIs" dxfId="32723" priority="92303" stopIfTrue="1" operator="greaterThanOrEqual">
      <formula>0.5</formula>
    </cfRule>
  </conditionalFormatting>
  <conditionalFormatting sqref="V12">
    <cfRule type="cellIs" dxfId="32722" priority="92304" stopIfTrue="1" operator="equal">
      <formula>-1</formula>
    </cfRule>
  </conditionalFormatting>
  <conditionalFormatting sqref="V12">
    <cfRule type="cellIs" dxfId="32721" priority="92305" stopIfTrue="1" operator="lessThan">
      <formula>0.5</formula>
    </cfRule>
  </conditionalFormatting>
  <conditionalFormatting sqref="V12">
    <cfRule type="cellIs" dxfId="32720" priority="92306" stopIfTrue="1" operator="greaterThanOrEqual">
      <formula>0.5</formula>
    </cfRule>
  </conditionalFormatting>
  <conditionalFormatting sqref="V13">
    <cfRule type="cellIs" dxfId="32719" priority="92307" stopIfTrue="1" operator="equal">
      <formula>-1</formula>
    </cfRule>
  </conditionalFormatting>
  <conditionalFormatting sqref="V13">
    <cfRule type="cellIs" dxfId="32718" priority="92308" stopIfTrue="1" operator="lessThan">
      <formula>0.5</formula>
    </cfRule>
  </conditionalFormatting>
  <conditionalFormatting sqref="V13">
    <cfRule type="cellIs" dxfId="32717" priority="92309" stopIfTrue="1" operator="greaterThanOrEqual">
      <formula>0.5</formula>
    </cfRule>
  </conditionalFormatting>
  <conditionalFormatting sqref="V14">
    <cfRule type="cellIs" dxfId="32716" priority="92310" stopIfTrue="1" operator="equal">
      <formula>-1</formula>
    </cfRule>
  </conditionalFormatting>
  <conditionalFormatting sqref="V14">
    <cfRule type="cellIs" dxfId="32715" priority="92311" stopIfTrue="1" operator="lessThan">
      <formula>0.5</formula>
    </cfRule>
  </conditionalFormatting>
  <conditionalFormatting sqref="V14">
    <cfRule type="cellIs" dxfId="32714" priority="92312" stopIfTrue="1" operator="greaterThanOrEqual">
      <formula>0.5</formula>
    </cfRule>
  </conditionalFormatting>
  <conditionalFormatting sqref="V15">
    <cfRule type="cellIs" dxfId="32713" priority="92313" stopIfTrue="1" operator="equal">
      <formula>-1</formula>
    </cfRule>
  </conditionalFormatting>
  <conditionalFormatting sqref="V15">
    <cfRule type="cellIs" dxfId="32712" priority="92314" stopIfTrue="1" operator="lessThan">
      <formula>0.5</formula>
    </cfRule>
  </conditionalFormatting>
  <conditionalFormatting sqref="V15">
    <cfRule type="cellIs" dxfId="32711" priority="92315" stopIfTrue="1" operator="greaterThanOrEqual">
      <formula>0.5</formula>
    </cfRule>
  </conditionalFormatting>
  <conditionalFormatting sqref="X8">
    <cfRule type="cellIs" dxfId="32710" priority="92316" stopIfTrue="1" operator="equal">
      <formula>-1</formula>
    </cfRule>
  </conditionalFormatting>
  <conditionalFormatting sqref="X8">
    <cfRule type="cellIs" dxfId="32709" priority="92317" stopIfTrue="1" operator="lessThan">
      <formula>0.5</formula>
    </cfRule>
  </conditionalFormatting>
  <conditionalFormatting sqref="X8">
    <cfRule type="cellIs" dxfId="32708" priority="92318" stopIfTrue="1" operator="greaterThanOrEqual">
      <formula>0.5</formula>
    </cfRule>
  </conditionalFormatting>
  <conditionalFormatting sqref="X9">
    <cfRule type="cellIs" dxfId="32707" priority="92319" stopIfTrue="1" operator="equal">
      <formula>-1</formula>
    </cfRule>
  </conditionalFormatting>
  <conditionalFormatting sqref="X9">
    <cfRule type="cellIs" dxfId="32706" priority="92320" stopIfTrue="1" operator="lessThan">
      <formula>0.5</formula>
    </cfRule>
  </conditionalFormatting>
  <conditionalFormatting sqref="X9">
    <cfRule type="cellIs" dxfId="32705" priority="92321" stopIfTrue="1" operator="greaterThanOrEqual">
      <formula>0.5</formula>
    </cfRule>
  </conditionalFormatting>
  <conditionalFormatting sqref="X10">
    <cfRule type="cellIs" dxfId="32704" priority="92322" stopIfTrue="1" operator="equal">
      <formula>-1</formula>
    </cfRule>
  </conditionalFormatting>
  <conditionalFormatting sqref="X10">
    <cfRule type="cellIs" dxfId="32703" priority="92323" stopIfTrue="1" operator="lessThan">
      <formula>0.5</formula>
    </cfRule>
  </conditionalFormatting>
  <conditionalFormatting sqref="X10">
    <cfRule type="cellIs" dxfId="32702" priority="92324" stopIfTrue="1" operator="greaterThanOrEqual">
      <formula>0.5</formula>
    </cfRule>
  </conditionalFormatting>
  <conditionalFormatting sqref="X11">
    <cfRule type="cellIs" dxfId="32701" priority="92325" stopIfTrue="1" operator="equal">
      <formula>-1</formula>
    </cfRule>
  </conditionalFormatting>
  <conditionalFormatting sqref="X11">
    <cfRule type="cellIs" dxfId="32700" priority="92326" stopIfTrue="1" operator="lessThan">
      <formula>0.5</formula>
    </cfRule>
  </conditionalFormatting>
  <conditionalFormatting sqref="X11">
    <cfRule type="cellIs" dxfId="32699" priority="92327" stopIfTrue="1" operator="greaterThanOrEqual">
      <formula>0.5</formula>
    </cfRule>
  </conditionalFormatting>
  <conditionalFormatting sqref="X12">
    <cfRule type="cellIs" dxfId="32698" priority="92328" stopIfTrue="1" operator="equal">
      <formula>-1</formula>
    </cfRule>
  </conditionalFormatting>
  <conditionalFormatting sqref="X12">
    <cfRule type="cellIs" dxfId="32697" priority="92329" stopIfTrue="1" operator="lessThan">
      <formula>0.5</formula>
    </cfRule>
  </conditionalFormatting>
  <conditionalFormatting sqref="X12">
    <cfRule type="cellIs" dxfId="32696" priority="92330" stopIfTrue="1" operator="greaterThanOrEqual">
      <formula>0.5</formula>
    </cfRule>
  </conditionalFormatting>
  <conditionalFormatting sqref="X13">
    <cfRule type="cellIs" dxfId="32695" priority="92331" stopIfTrue="1" operator="equal">
      <formula>-1</formula>
    </cfRule>
  </conditionalFormatting>
  <conditionalFormatting sqref="X13">
    <cfRule type="cellIs" dxfId="32694" priority="92332" stopIfTrue="1" operator="lessThan">
      <formula>0.5</formula>
    </cfRule>
  </conditionalFormatting>
  <conditionalFormatting sqref="X13">
    <cfRule type="cellIs" dxfId="32693" priority="92333" stopIfTrue="1" operator="greaterThanOrEqual">
      <formula>0.5</formula>
    </cfRule>
  </conditionalFormatting>
  <conditionalFormatting sqref="X14">
    <cfRule type="cellIs" dxfId="32692" priority="92334" stopIfTrue="1" operator="equal">
      <formula>-1</formula>
    </cfRule>
  </conditionalFormatting>
  <conditionalFormatting sqref="X14">
    <cfRule type="cellIs" dxfId="32691" priority="92335" stopIfTrue="1" operator="lessThan">
      <formula>0.5</formula>
    </cfRule>
  </conditionalFormatting>
  <conditionalFormatting sqref="X14">
    <cfRule type="cellIs" dxfId="32690" priority="92336" stopIfTrue="1" operator="greaterThanOrEqual">
      <formula>0.5</formula>
    </cfRule>
  </conditionalFormatting>
  <conditionalFormatting sqref="X15">
    <cfRule type="cellIs" dxfId="32689" priority="92337" stopIfTrue="1" operator="equal">
      <formula>-1</formula>
    </cfRule>
  </conditionalFormatting>
  <conditionalFormatting sqref="X15">
    <cfRule type="cellIs" dxfId="32688" priority="92338" stopIfTrue="1" operator="lessThan">
      <formula>0.5</formula>
    </cfRule>
  </conditionalFormatting>
  <conditionalFormatting sqref="X15">
    <cfRule type="cellIs" dxfId="32687" priority="92339" stopIfTrue="1" operator="greaterThanOrEqual">
      <formula>0.5</formula>
    </cfRule>
  </conditionalFormatting>
  <conditionalFormatting sqref="Z8">
    <cfRule type="cellIs" dxfId="32686" priority="92340" stopIfTrue="1" operator="equal">
      <formula>-1</formula>
    </cfRule>
  </conditionalFormatting>
  <conditionalFormatting sqref="Z8">
    <cfRule type="cellIs" dxfId="32685" priority="92341" stopIfTrue="1" operator="lessThan">
      <formula>0.5</formula>
    </cfRule>
  </conditionalFormatting>
  <conditionalFormatting sqref="Z8">
    <cfRule type="cellIs" dxfId="32684" priority="92342" stopIfTrue="1" operator="greaterThanOrEqual">
      <formula>0.5</formula>
    </cfRule>
  </conditionalFormatting>
  <conditionalFormatting sqref="Z9">
    <cfRule type="cellIs" dxfId="32683" priority="92343" stopIfTrue="1" operator="equal">
      <formula>-1</formula>
    </cfRule>
  </conditionalFormatting>
  <conditionalFormatting sqref="Z9">
    <cfRule type="cellIs" dxfId="32682" priority="92344" stopIfTrue="1" operator="lessThan">
      <formula>0.5</formula>
    </cfRule>
  </conditionalFormatting>
  <conditionalFormatting sqref="Z9">
    <cfRule type="cellIs" dxfId="32681" priority="92345" stopIfTrue="1" operator="greaterThanOrEqual">
      <formula>0.5</formula>
    </cfRule>
  </conditionalFormatting>
  <conditionalFormatting sqref="Z10">
    <cfRule type="cellIs" dxfId="32680" priority="92346" stopIfTrue="1" operator="equal">
      <formula>-1</formula>
    </cfRule>
  </conditionalFormatting>
  <conditionalFormatting sqref="Z10">
    <cfRule type="cellIs" dxfId="32679" priority="92347" stopIfTrue="1" operator="lessThan">
      <formula>0.5</formula>
    </cfRule>
  </conditionalFormatting>
  <conditionalFormatting sqref="Z10">
    <cfRule type="cellIs" dxfId="32678" priority="92348" stopIfTrue="1" operator="greaterThanOrEqual">
      <formula>0.5</formula>
    </cfRule>
  </conditionalFormatting>
  <conditionalFormatting sqref="Z11">
    <cfRule type="cellIs" dxfId="32677" priority="92349" stopIfTrue="1" operator="equal">
      <formula>-1</formula>
    </cfRule>
  </conditionalFormatting>
  <conditionalFormatting sqref="Z11">
    <cfRule type="cellIs" dxfId="32676" priority="92350" stopIfTrue="1" operator="lessThan">
      <formula>0.5</formula>
    </cfRule>
  </conditionalFormatting>
  <conditionalFormatting sqref="Z11">
    <cfRule type="cellIs" dxfId="32675" priority="92351" stopIfTrue="1" operator="greaterThanOrEqual">
      <formula>0.5</formula>
    </cfRule>
  </conditionalFormatting>
  <conditionalFormatting sqref="Z12">
    <cfRule type="cellIs" dxfId="32674" priority="92352" stopIfTrue="1" operator="equal">
      <formula>-1</formula>
    </cfRule>
  </conditionalFormatting>
  <conditionalFormatting sqref="Z12">
    <cfRule type="cellIs" dxfId="32673" priority="92353" stopIfTrue="1" operator="lessThan">
      <formula>0.5</formula>
    </cfRule>
  </conditionalFormatting>
  <conditionalFormatting sqref="Z12">
    <cfRule type="cellIs" dxfId="32672" priority="92354" stopIfTrue="1" operator="greaterThanOrEqual">
      <formula>0.5</formula>
    </cfRule>
  </conditionalFormatting>
  <conditionalFormatting sqref="Z13">
    <cfRule type="cellIs" dxfId="32671" priority="92355" stopIfTrue="1" operator="equal">
      <formula>-1</formula>
    </cfRule>
  </conditionalFormatting>
  <conditionalFormatting sqref="Z13">
    <cfRule type="cellIs" dxfId="32670" priority="92356" stopIfTrue="1" operator="lessThan">
      <formula>0.5</formula>
    </cfRule>
  </conditionalFormatting>
  <conditionalFormatting sqref="Z13">
    <cfRule type="cellIs" dxfId="32669" priority="92357" stopIfTrue="1" operator="greaterThanOrEqual">
      <formula>0.5</formula>
    </cfRule>
  </conditionalFormatting>
  <conditionalFormatting sqref="Z14">
    <cfRule type="cellIs" dxfId="32668" priority="92358" stopIfTrue="1" operator="equal">
      <formula>-1</formula>
    </cfRule>
  </conditionalFormatting>
  <conditionalFormatting sqref="Z14">
    <cfRule type="cellIs" dxfId="32667" priority="92359" stopIfTrue="1" operator="lessThan">
      <formula>0.5</formula>
    </cfRule>
  </conditionalFormatting>
  <conditionalFormatting sqref="Z14">
    <cfRule type="cellIs" dxfId="32666" priority="92360" stopIfTrue="1" operator="greaterThanOrEqual">
      <formula>0.5</formula>
    </cfRule>
  </conditionalFormatting>
  <conditionalFormatting sqref="Z15">
    <cfRule type="cellIs" dxfId="32665" priority="92361" stopIfTrue="1" operator="equal">
      <formula>-1</formula>
    </cfRule>
  </conditionalFormatting>
  <conditionalFormatting sqref="Z15">
    <cfRule type="cellIs" dxfId="32664" priority="92362" stopIfTrue="1" operator="lessThan">
      <formula>0.5</formula>
    </cfRule>
  </conditionalFormatting>
  <conditionalFormatting sqref="Z15">
    <cfRule type="cellIs" dxfId="32663" priority="92363" stopIfTrue="1" operator="greaterThanOrEqual">
      <formula>0.5</formula>
    </cfRule>
  </conditionalFormatting>
  <conditionalFormatting sqref="AB8">
    <cfRule type="cellIs" dxfId="32662" priority="92364" stopIfTrue="1" operator="equal">
      <formula>-1</formula>
    </cfRule>
  </conditionalFormatting>
  <conditionalFormatting sqref="AB8">
    <cfRule type="cellIs" dxfId="32661" priority="92365" stopIfTrue="1" operator="lessThan">
      <formula>0.5</formula>
    </cfRule>
  </conditionalFormatting>
  <conditionalFormatting sqref="AB8">
    <cfRule type="cellIs" dxfId="32660" priority="92366" stopIfTrue="1" operator="greaterThanOrEqual">
      <formula>0.5</formula>
    </cfRule>
  </conditionalFormatting>
  <conditionalFormatting sqref="AB9">
    <cfRule type="cellIs" dxfId="32659" priority="92367" stopIfTrue="1" operator="equal">
      <formula>-1</formula>
    </cfRule>
  </conditionalFormatting>
  <conditionalFormatting sqref="AB9">
    <cfRule type="cellIs" dxfId="32658" priority="92368" stopIfTrue="1" operator="lessThan">
      <formula>0.5</formula>
    </cfRule>
  </conditionalFormatting>
  <conditionalFormatting sqref="AB9">
    <cfRule type="cellIs" dxfId="32657" priority="92369" stopIfTrue="1" operator="greaterThanOrEqual">
      <formula>0.5</formula>
    </cfRule>
  </conditionalFormatting>
  <conditionalFormatting sqref="AB10">
    <cfRule type="cellIs" dxfId="32656" priority="92370" stopIfTrue="1" operator="equal">
      <formula>-1</formula>
    </cfRule>
  </conditionalFormatting>
  <conditionalFormatting sqref="AB10">
    <cfRule type="cellIs" dxfId="32655" priority="92371" stopIfTrue="1" operator="lessThan">
      <formula>0.5</formula>
    </cfRule>
  </conditionalFormatting>
  <conditionalFormatting sqref="AB10">
    <cfRule type="cellIs" dxfId="32654" priority="92372" stopIfTrue="1" operator="greaterThanOrEqual">
      <formula>0.5</formula>
    </cfRule>
  </conditionalFormatting>
  <conditionalFormatting sqref="AB11">
    <cfRule type="cellIs" dxfId="32653" priority="92373" stopIfTrue="1" operator="equal">
      <formula>-1</formula>
    </cfRule>
  </conditionalFormatting>
  <conditionalFormatting sqref="AB11">
    <cfRule type="cellIs" dxfId="32652" priority="92374" stopIfTrue="1" operator="lessThan">
      <formula>0.5</formula>
    </cfRule>
  </conditionalFormatting>
  <conditionalFormatting sqref="AB11">
    <cfRule type="cellIs" dxfId="32651" priority="92375" stopIfTrue="1" operator="greaterThanOrEqual">
      <formula>0.5</formula>
    </cfRule>
  </conditionalFormatting>
  <conditionalFormatting sqref="AB12">
    <cfRule type="cellIs" dxfId="32650" priority="92376" stopIfTrue="1" operator="equal">
      <formula>-1</formula>
    </cfRule>
  </conditionalFormatting>
  <conditionalFormatting sqref="AB12">
    <cfRule type="cellIs" dxfId="32649" priority="92377" stopIfTrue="1" operator="lessThan">
      <formula>0.5</formula>
    </cfRule>
  </conditionalFormatting>
  <conditionalFormatting sqref="AB12">
    <cfRule type="cellIs" dxfId="32648" priority="92378" stopIfTrue="1" operator="greaterThanOrEqual">
      <formula>0.5</formula>
    </cfRule>
  </conditionalFormatting>
  <conditionalFormatting sqref="AB13">
    <cfRule type="cellIs" dxfId="32647" priority="92379" stopIfTrue="1" operator="equal">
      <formula>-1</formula>
    </cfRule>
  </conditionalFormatting>
  <conditionalFormatting sqref="AB13">
    <cfRule type="cellIs" dxfId="32646" priority="92380" stopIfTrue="1" operator="lessThan">
      <formula>0.5</formula>
    </cfRule>
  </conditionalFormatting>
  <conditionalFormatting sqref="AB13">
    <cfRule type="cellIs" dxfId="32645" priority="92381" stopIfTrue="1" operator="greaterThanOrEqual">
      <formula>0.5</formula>
    </cfRule>
  </conditionalFormatting>
  <conditionalFormatting sqref="AB14">
    <cfRule type="cellIs" dxfId="32644" priority="92382" stopIfTrue="1" operator="equal">
      <formula>-1</formula>
    </cfRule>
  </conditionalFormatting>
  <conditionalFormatting sqref="AB14">
    <cfRule type="cellIs" dxfId="32643" priority="92383" stopIfTrue="1" operator="lessThan">
      <formula>0.5</formula>
    </cfRule>
  </conditionalFormatting>
  <conditionalFormatting sqref="AB14">
    <cfRule type="cellIs" dxfId="32642" priority="92384" stopIfTrue="1" operator="greaterThanOrEqual">
      <formula>0.5</formula>
    </cfRule>
  </conditionalFormatting>
  <conditionalFormatting sqref="AB15">
    <cfRule type="cellIs" dxfId="32641" priority="92385" stopIfTrue="1" operator="equal">
      <formula>-1</formula>
    </cfRule>
  </conditionalFormatting>
  <conditionalFormatting sqref="AB15">
    <cfRule type="cellIs" dxfId="32640" priority="92386" stopIfTrue="1" operator="lessThan">
      <formula>0.5</formula>
    </cfRule>
  </conditionalFormatting>
  <conditionalFormatting sqref="AB15">
    <cfRule type="cellIs" dxfId="32639" priority="92387" stopIfTrue="1" operator="greaterThanOrEqual">
      <formula>0.5</formula>
    </cfRule>
  </conditionalFormatting>
  <conditionalFormatting sqref="AD8">
    <cfRule type="cellIs" dxfId="32638" priority="92388" stopIfTrue="1" operator="equal">
      <formula>-1</formula>
    </cfRule>
  </conditionalFormatting>
  <conditionalFormatting sqref="AD8">
    <cfRule type="cellIs" dxfId="32637" priority="92389" stopIfTrue="1" operator="lessThan">
      <formula>0.5</formula>
    </cfRule>
  </conditionalFormatting>
  <conditionalFormatting sqref="AD8">
    <cfRule type="cellIs" dxfId="32636" priority="92390" stopIfTrue="1" operator="greaterThanOrEqual">
      <formula>0.5</formula>
    </cfRule>
  </conditionalFormatting>
  <conditionalFormatting sqref="AD9">
    <cfRule type="cellIs" dxfId="32635" priority="92391" stopIfTrue="1" operator="equal">
      <formula>-1</formula>
    </cfRule>
  </conditionalFormatting>
  <conditionalFormatting sqref="AD9">
    <cfRule type="cellIs" dxfId="32634" priority="92392" stopIfTrue="1" operator="lessThan">
      <formula>0.5</formula>
    </cfRule>
  </conditionalFormatting>
  <conditionalFormatting sqref="AD9">
    <cfRule type="cellIs" dxfId="32633" priority="92393" stopIfTrue="1" operator="greaterThanOrEqual">
      <formula>0.5</formula>
    </cfRule>
  </conditionalFormatting>
  <conditionalFormatting sqref="AD10">
    <cfRule type="cellIs" dxfId="32632" priority="92394" stopIfTrue="1" operator="equal">
      <formula>-1</formula>
    </cfRule>
  </conditionalFormatting>
  <conditionalFormatting sqref="AD10">
    <cfRule type="cellIs" dxfId="32631" priority="92395" stopIfTrue="1" operator="lessThan">
      <formula>0.5</formula>
    </cfRule>
  </conditionalFormatting>
  <conditionalFormatting sqref="AD10">
    <cfRule type="cellIs" dxfId="32630" priority="92396" stopIfTrue="1" operator="greaterThanOrEqual">
      <formula>0.5</formula>
    </cfRule>
  </conditionalFormatting>
  <conditionalFormatting sqref="AD11">
    <cfRule type="cellIs" dxfId="32629" priority="92397" stopIfTrue="1" operator="equal">
      <formula>-1</formula>
    </cfRule>
  </conditionalFormatting>
  <conditionalFormatting sqref="AD11">
    <cfRule type="cellIs" dxfId="32628" priority="92398" stopIfTrue="1" operator="lessThan">
      <formula>0.5</formula>
    </cfRule>
  </conditionalFormatting>
  <conditionalFormatting sqref="AD11">
    <cfRule type="cellIs" dxfId="32627" priority="92399" stopIfTrue="1" operator="greaterThanOrEqual">
      <formula>0.5</formula>
    </cfRule>
  </conditionalFormatting>
  <conditionalFormatting sqref="AD12">
    <cfRule type="cellIs" dxfId="32626" priority="92400" stopIfTrue="1" operator="equal">
      <formula>-1</formula>
    </cfRule>
  </conditionalFormatting>
  <conditionalFormatting sqref="AD12">
    <cfRule type="cellIs" dxfId="32625" priority="92401" stopIfTrue="1" operator="lessThan">
      <formula>0.5</formula>
    </cfRule>
  </conditionalFormatting>
  <conditionalFormatting sqref="AD12">
    <cfRule type="cellIs" dxfId="32624" priority="92402" stopIfTrue="1" operator="greaterThanOrEqual">
      <formula>0.5</formula>
    </cfRule>
  </conditionalFormatting>
  <conditionalFormatting sqref="AD13">
    <cfRule type="cellIs" dxfId="32623" priority="92403" stopIfTrue="1" operator="equal">
      <formula>-1</formula>
    </cfRule>
  </conditionalFormatting>
  <conditionalFormatting sqref="AD13">
    <cfRule type="cellIs" dxfId="32622" priority="92404" stopIfTrue="1" operator="lessThan">
      <formula>0.5</formula>
    </cfRule>
  </conditionalFormatting>
  <conditionalFormatting sqref="AD13">
    <cfRule type="cellIs" dxfId="32621" priority="92405" stopIfTrue="1" operator="greaterThanOrEqual">
      <formula>0.5</formula>
    </cfRule>
  </conditionalFormatting>
  <conditionalFormatting sqref="AD14">
    <cfRule type="cellIs" dxfId="32620" priority="92406" stopIfTrue="1" operator="equal">
      <formula>-1</formula>
    </cfRule>
  </conditionalFormatting>
  <conditionalFormatting sqref="AD14">
    <cfRule type="cellIs" dxfId="32619" priority="92407" stopIfTrue="1" operator="lessThan">
      <formula>0.5</formula>
    </cfRule>
  </conditionalFormatting>
  <conditionalFormatting sqref="AD14">
    <cfRule type="cellIs" dxfId="32618" priority="92408" stopIfTrue="1" operator="greaterThanOrEqual">
      <formula>0.5</formula>
    </cfRule>
  </conditionalFormatting>
  <conditionalFormatting sqref="AD15">
    <cfRule type="cellIs" dxfId="32617" priority="92409" stopIfTrue="1" operator="equal">
      <formula>-1</formula>
    </cfRule>
  </conditionalFormatting>
  <conditionalFormatting sqref="AD15">
    <cfRule type="cellIs" dxfId="32616" priority="92410" stopIfTrue="1" operator="lessThan">
      <formula>0.5</formula>
    </cfRule>
  </conditionalFormatting>
  <conditionalFormatting sqref="AD15">
    <cfRule type="cellIs" dxfId="32615" priority="92411" stopIfTrue="1" operator="greaterThanOrEqual">
      <formula>0.5</formula>
    </cfRule>
  </conditionalFormatting>
  <conditionalFormatting sqref="AF8">
    <cfRule type="cellIs" dxfId="32614" priority="92412" stopIfTrue="1" operator="equal">
      <formula>-1</formula>
    </cfRule>
  </conditionalFormatting>
  <conditionalFormatting sqref="AF8">
    <cfRule type="cellIs" dxfId="32613" priority="92413" stopIfTrue="1" operator="lessThan">
      <formula>0.5</formula>
    </cfRule>
  </conditionalFormatting>
  <conditionalFormatting sqref="AF8">
    <cfRule type="cellIs" dxfId="32612" priority="92414" stopIfTrue="1" operator="greaterThanOrEqual">
      <formula>0.5</formula>
    </cfRule>
  </conditionalFormatting>
  <conditionalFormatting sqref="AF9">
    <cfRule type="cellIs" dxfId="32611" priority="92415" stopIfTrue="1" operator="equal">
      <formula>-1</formula>
    </cfRule>
  </conditionalFormatting>
  <conditionalFormatting sqref="AF9">
    <cfRule type="cellIs" dxfId="32610" priority="92416" stopIfTrue="1" operator="lessThan">
      <formula>0.5</formula>
    </cfRule>
  </conditionalFormatting>
  <conditionalFormatting sqref="AF9">
    <cfRule type="cellIs" dxfId="32609" priority="92417" stopIfTrue="1" operator="greaterThanOrEqual">
      <formula>0.5</formula>
    </cfRule>
  </conditionalFormatting>
  <conditionalFormatting sqref="AF10">
    <cfRule type="cellIs" dxfId="32608" priority="92418" stopIfTrue="1" operator="equal">
      <formula>-1</formula>
    </cfRule>
  </conditionalFormatting>
  <conditionalFormatting sqref="AF10">
    <cfRule type="cellIs" dxfId="32607" priority="92419" stopIfTrue="1" operator="lessThan">
      <formula>0.5</formula>
    </cfRule>
  </conditionalFormatting>
  <conditionalFormatting sqref="AF10">
    <cfRule type="cellIs" dxfId="32606" priority="92420" stopIfTrue="1" operator="greaterThanOrEqual">
      <formula>0.5</formula>
    </cfRule>
  </conditionalFormatting>
  <conditionalFormatting sqref="AF11">
    <cfRule type="cellIs" dxfId="32605" priority="92421" stopIfTrue="1" operator="equal">
      <formula>-1</formula>
    </cfRule>
  </conditionalFormatting>
  <conditionalFormatting sqref="AF11">
    <cfRule type="cellIs" dxfId="32604" priority="92422" stopIfTrue="1" operator="lessThan">
      <formula>0.5</formula>
    </cfRule>
  </conditionalFormatting>
  <conditionalFormatting sqref="AF11">
    <cfRule type="cellIs" dxfId="32603" priority="92423" stopIfTrue="1" operator="greaterThanOrEqual">
      <formula>0.5</formula>
    </cfRule>
  </conditionalFormatting>
  <conditionalFormatting sqref="AF12">
    <cfRule type="cellIs" dxfId="32602" priority="92424" stopIfTrue="1" operator="equal">
      <formula>-1</formula>
    </cfRule>
  </conditionalFormatting>
  <conditionalFormatting sqref="AF12">
    <cfRule type="cellIs" dxfId="32601" priority="92425" stopIfTrue="1" operator="lessThan">
      <formula>0.5</formula>
    </cfRule>
  </conditionalFormatting>
  <conditionalFormatting sqref="AF12">
    <cfRule type="cellIs" dxfId="32600" priority="92426" stopIfTrue="1" operator="greaterThanOrEqual">
      <formula>0.5</formula>
    </cfRule>
  </conditionalFormatting>
  <conditionalFormatting sqref="AF13">
    <cfRule type="cellIs" dxfId="32599" priority="92427" stopIfTrue="1" operator="equal">
      <formula>-1</formula>
    </cfRule>
  </conditionalFormatting>
  <conditionalFormatting sqref="AF13">
    <cfRule type="cellIs" dxfId="32598" priority="92428" stopIfTrue="1" operator="lessThan">
      <formula>0.5</formula>
    </cfRule>
  </conditionalFormatting>
  <conditionalFormatting sqref="AF13">
    <cfRule type="cellIs" dxfId="32597" priority="92429" stopIfTrue="1" operator="greaterThanOrEqual">
      <formula>0.5</formula>
    </cfRule>
  </conditionalFormatting>
  <conditionalFormatting sqref="AF14">
    <cfRule type="cellIs" dxfId="32596" priority="92430" stopIfTrue="1" operator="equal">
      <formula>-1</formula>
    </cfRule>
  </conditionalFormatting>
  <conditionalFormatting sqref="AF14">
    <cfRule type="cellIs" dxfId="32595" priority="92431" stopIfTrue="1" operator="lessThan">
      <formula>0.5</formula>
    </cfRule>
  </conditionalFormatting>
  <conditionalFormatting sqref="AF14">
    <cfRule type="cellIs" dxfId="32594" priority="92432" stopIfTrue="1" operator="greaterThanOrEqual">
      <formula>0.5</formula>
    </cfRule>
  </conditionalFormatting>
  <conditionalFormatting sqref="AF15">
    <cfRule type="cellIs" dxfId="32593" priority="92433" stopIfTrue="1" operator="equal">
      <formula>-1</formula>
    </cfRule>
  </conditionalFormatting>
  <conditionalFormatting sqref="AF15">
    <cfRule type="cellIs" dxfId="32592" priority="92434" stopIfTrue="1" operator="lessThan">
      <formula>0.5</formula>
    </cfRule>
  </conditionalFormatting>
  <conditionalFormatting sqref="AF15">
    <cfRule type="cellIs" dxfId="32591" priority="92435" stopIfTrue="1" operator="greaterThanOrEqual">
      <formula>0.5</formula>
    </cfRule>
  </conditionalFormatting>
  <conditionalFormatting sqref="AH8">
    <cfRule type="cellIs" dxfId="32590" priority="92436" stopIfTrue="1" operator="equal">
      <formula>-1</formula>
    </cfRule>
  </conditionalFormatting>
  <conditionalFormatting sqref="AH8">
    <cfRule type="cellIs" dxfId="32589" priority="92437" stopIfTrue="1" operator="lessThan">
      <formula>0.5</formula>
    </cfRule>
  </conditionalFormatting>
  <conditionalFormatting sqref="AH8">
    <cfRule type="cellIs" dxfId="32588" priority="92438" stopIfTrue="1" operator="greaterThanOrEqual">
      <formula>0.5</formula>
    </cfRule>
  </conditionalFormatting>
  <conditionalFormatting sqref="AH9">
    <cfRule type="cellIs" dxfId="32587" priority="92439" stopIfTrue="1" operator="equal">
      <formula>-1</formula>
    </cfRule>
  </conditionalFormatting>
  <conditionalFormatting sqref="AH9">
    <cfRule type="cellIs" dxfId="32586" priority="92440" stopIfTrue="1" operator="lessThan">
      <formula>0.5</formula>
    </cfRule>
  </conditionalFormatting>
  <conditionalFormatting sqref="AH9">
    <cfRule type="cellIs" dxfId="32585" priority="92441" stopIfTrue="1" operator="greaterThanOrEqual">
      <formula>0.5</formula>
    </cfRule>
  </conditionalFormatting>
  <conditionalFormatting sqref="AH10">
    <cfRule type="cellIs" dxfId="32584" priority="92442" stopIfTrue="1" operator="equal">
      <formula>-1</formula>
    </cfRule>
  </conditionalFormatting>
  <conditionalFormatting sqref="AH10">
    <cfRule type="cellIs" dxfId="32583" priority="92443" stopIfTrue="1" operator="lessThan">
      <formula>0.5</formula>
    </cfRule>
  </conditionalFormatting>
  <conditionalFormatting sqref="AH10">
    <cfRule type="cellIs" dxfId="32582" priority="92444" stopIfTrue="1" operator="greaterThanOrEqual">
      <formula>0.5</formula>
    </cfRule>
  </conditionalFormatting>
  <conditionalFormatting sqref="AH11">
    <cfRule type="cellIs" dxfId="32581" priority="92445" stopIfTrue="1" operator="equal">
      <formula>-1</formula>
    </cfRule>
  </conditionalFormatting>
  <conditionalFormatting sqref="AH11">
    <cfRule type="cellIs" dxfId="32580" priority="92446" stopIfTrue="1" operator="lessThan">
      <formula>0.5</formula>
    </cfRule>
  </conditionalFormatting>
  <conditionalFormatting sqref="AH11">
    <cfRule type="cellIs" dxfId="32579" priority="92447" stopIfTrue="1" operator="greaterThanOrEqual">
      <formula>0.5</formula>
    </cfRule>
  </conditionalFormatting>
  <conditionalFormatting sqref="AH12">
    <cfRule type="cellIs" dxfId="32578" priority="92448" stopIfTrue="1" operator="equal">
      <formula>-1</formula>
    </cfRule>
  </conditionalFormatting>
  <conditionalFormatting sqref="AH12">
    <cfRule type="cellIs" dxfId="32577" priority="92449" stopIfTrue="1" operator="lessThan">
      <formula>0.5</formula>
    </cfRule>
  </conditionalFormatting>
  <conditionalFormatting sqref="AH12">
    <cfRule type="cellIs" dxfId="32576" priority="92450" stopIfTrue="1" operator="greaterThanOrEqual">
      <formula>0.5</formula>
    </cfRule>
  </conditionalFormatting>
  <conditionalFormatting sqref="AH13">
    <cfRule type="cellIs" dxfId="32575" priority="92451" stopIfTrue="1" operator="equal">
      <formula>-1</formula>
    </cfRule>
  </conditionalFormatting>
  <conditionalFormatting sqref="AH13">
    <cfRule type="cellIs" dxfId="32574" priority="92452" stopIfTrue="1" operator="lessThan">
      <formula>0.5</formula>
    </cfRule>
  </conditionalFormatting>
  <conditionalFormatting sqref="AH13">
    <cfRule type="cellIs" dxfId="32573" priority="92453" stopIfTrue="1" operator="greaterThanOrEqual">
      <formula>0.5</formula>
    </cfRule>
  </conditionalFormatting>
  <conditionalFormatting sqref="AH14">
    <cfRule type="cellIs" dxfId="32572" priority="92454" stopIfTrue="1" operator="equal">
      <formula>-1</formula>
    </cfRule>
  </conditionalFormatting>
  <conditionalFormatting sqref="AH14">
    <cfRule type="cellIs" dxfId="32571" priority="92455" stopIfTrue="1" operator="lessThan">
      <formula>0.5</formula>
    </cfRule>
  </conditionalFormatting>
  <conditionalFormatting sqref="AH14">
    <cfRule type="cellIs" dxfId="32570" priority="92456" stopIfTrue="1" operator="greaterThanOrEqual">
      <formula>0.5</formula>
    </cfRule>
  </conditionalFormatting>
  <conditionalFormatting sqref="AH15">
    <cfRule type="cellIs" dxfId="32569" priority="92457" stopIfTrue="1" operator="equal">
      <formula>-1</formula>
    </cfRule>
  </conditionalFormatting>
  <conditionalFormatting sqref="AH15">
    <cfRule type="cellIs" dxfId="32568" priority="92458" stopIfTrue="1" operator="lessThan">
      <formula>0.5</formula>
    </cfRule>
  </conditionalFormatting>
  <conditionalFormatting sqref="AH15">
    <cfRule type="cellIs" dxfId="32567" priority="92459" stopIfTrue="1" operator="greaterThanOrEqual">
      <formula>0.5</formula>
    </cfRule>
  </conditionalFormatting>
  <conditionalFormatting sqref="AJ8">
    <cfRule type="cellIs" dxfId="32566" priority="92460" stopIfTrue="1" operator="equal">
      <formula>-1</formula>
    </cfRule>
  </conditionalFormatting>
  <conditionalFormatting sqref="AJ8">
    <cfRule type="cellIs" dxfId="32565" priority="92461" stopIfTrue="1" operator="lessThan">
      <formula>0.5</formula>
    </cfRule>
  </conditionalFormatting>
  <conditionalFormatting sqref="AJ8">
    <cfRule type="cellIs" dxfId="32564" priority="92462" stopIfTrue="1" operator="greaterThanOrEqual">
      <formula>0.5</formula>
    </cfRule>
  </conditionalFormatting>
  <conditionalFormatting sqref="AJ9">
    <cfRule type="cellIs" dxfId="32563" priority="92463" stopIfTrue="1" operator="equal">
      <formula>-1</formula>
    </cfRule>
  </conditionalFormatting>
  <conditionalFormatting sqref="AJ9">
    <cfRule type="cellIs" dxfId="32562" priority="92464" stopIfTrue="1" operator="lessThan">
      <formula>0.5</formula>
    </cfRule>
  </conditionalFormatting>
  <conditionalFormatting sqref="AJ9">
    <cfRule type="cellIs" dxfId="32561" priority="92465" stopIfTrue="1" operator="greaterThanOrEqual">
      <formula>0.5</formula>
    </cfRule>
  </conditionalFormatting>
  <conditionalFormatting sqref="AJ10">
    <cfRule type="cellIs" dxfId="32560" priority="92466" stopIfTrue="1" operator="equal">
      <formula>-1</formula>
    </cfRule>
  </conditionalFormatting>
  <conditionalFormatting sqref="AJ10">
    <cfRule type="cellIs" dxfId="32559" priority="92467" stopIfTrue="1" operator="lessThan">
      <formula>0.5</formula>
    </cfRule>
  </conditionalFormatting>
  <conditionalFormatting sqref="AJ10">
    <cfRule type="cellIs" dxfId="32558" priority="92468" stopIfTrue="1" operator="greaterThanOrEqual">
      <formula>0.5</formula>
    </cfRule>
  </conditionalFormatting>
  <conditionalFormatting sqref="AJ11">
    <cfRule type="cellIs" dxfId="32557" priority="92469" stopIfTrue="1" operator="equal">
      <formula>-1</formula>
    </cfRule>
  </conditionalFormatting>
  <conditionalFormatting sqref="AJ11">
    <cfRule type="cellIs" dxfId="32556" priority="92470" stopIfTrue="1" operator="lessThan">
      <formula>0.5</formula>
    </cfRule>
  </conditionalFormatting>
  <conditionalFormatting sqref="AJ11">
    <cfRule type="cellIs" dxfId="32555" priority="92471" stopIfTrue="1" operator="greaterThanOrEqual">
      <formula>0.5</formula>
    </cfRule>
  </conditionalFormatting>
  <conditionalFormatting sqref="AJ12">
    <cfRule type="cellIs" dxfId="32554" priority="92472" stopIfTrue="1" operator="equal">
      <formula>-1</formula>
    </cfRule>
  </conditionalFormatting>
  <conditionalFormatting sqref="AJ12">
    <cfRule type="cellIs" dxfId="32553" priority="92473" stopIfTrue="1" operator="lessThan">
      <formula>0.5</formula>
    </cfRule>
  </conditionalFormatting>
  <conditionalFormatting sqref="AJ12">
    <cfRule type="cellIs" dxfId="32552" priority="92474" stopIfTrue="1" operator="greaterThanOrEqual">
      <formula>0.5</formula>
    </cfRule>
  </conditionalFormatting>
  <conditionalFormatting sqref="AJ13">
    <cfRule type="cellIs" dxfId="32551" priority="92475" stopIfTrue="1" operator="equal">
      <formula>-1</formula>
    </cfRule>
  </conditionalFormatting>
  <conditionalFormatting sqref="AJ13">
    <cfRule type="cellIs" dxfId="32550" priority="92476" stopIfTrue="1" operator="lessThan">
      <formula>0.5</formula>
    </cfRule>
  </conditionalFormatting>
  <conditionalFormatting sqref="AJ13">
    <cfRule type="cellIs" dxfId="32549" priority="92477" stopIfTrue="1" operator="greaterThanOrEqual">
      <formula>0.5</formula>
    </cfRule>
  </conditionalFormatting>
  <conditionalFormatting sqref="AJ14">
    <cfRule type="cellIs" dxfId="32548" priority="92478" stopIfTrue="1" operator="equal">
      <formula>-1</formula>
    </cfRule>
  </conditionalFormatting>
  <conditionalFormatting sqref="AJ14">
    <cfRule type="cellIs" dxfId="32547" priority="92479" stopIfTrue="1" operator="lessThan">
      <formula>0.5</formula>
    </cfRule>
  </conditionalFormatting>
  <conditionalFormatting sqref="AJ14">
    <cfRule type="cellIs" dxfId="32546" priority="92480" stopIfTrue="1" operator="greaterThanOrEqual">
      <formula>0.5</formula>
    </cfRule>
  </conditionalFormatting>
  <conditionalFormatting sqref="AJ15">
    <cfRule type="cellIs" dxfId="32545" priority="92481" stopIfTrue="1" operator="equal">
      <formula>-1</formula>
    </cfRule>
  </conditionalFormatting>
  <conditionalFormatting sqref="AJ15">
    <cfRule type="cellIs" dxfId="32544" priority="92482" stopIfTrue="1" operator="lessThan">
      <formula>0.5</formula>
    </cfRule>
  </conditionalFormatting>
  <conditionalFormatting sqref="AJ15">
    <cfRule type="cellIs" dxfId="32543" priority="92483" stopIfTrue="1" operator="greaterThanOrEqual">
      <formula>0.5</formula>
    </cfRule>
  </conditionalFormatting>
  <conditionalFormatting sqref="AL8">
    <cfRule type="cellIs" dxfId="32542" priority="92484" stopIfTrue="1" operator="equal">
      <formula>-1</formula>
    </cfRule>
  </conditionalFormatting>
  <conditionalFormatting sqref="AL8">
    <cfRule type="cellIs" dxfId="32541" priority="92485" stopIfTrue="1" operator="lessThan">
      <formula>0.5</formula>
    </cfRule>
  </conditionalFormatting>
  <conditionalFormatting sqref="AL8">
    <cfRule type="cellIs" dxfId="32540" priority="92486" stopIfTrue="1" operator="greaterThanOrEqual">
      <formula>0.5</formula>
    </cfRule>
  </conditionalFormatting>
  <conditionalFormatting sqref="AL9">
    <cfRule type="cellIs" dxfId="32539" priority="92487" stopIfTrue="1" operator="equal">
      <formula>-1</formula>
    </cfRule>
  </conditionalFormatting>
  <conditionalFormatting sqref="AL9">
    <cfRule type="cellIs" dxfId="32538" priority="92488" stopIfTrue="1" operator="lessThan">
      <formula>0.5</formula>
    </cfRule>
  </conditionalFormatting>
  <conditionalFormatting sqref="AL9">
    <cfRule type="cellIs" dxfId="32537" priority="92489" stopIfTrue="1" operator="greaterThanOrEqual">
      <formula>0.5</formula>
    </cfRule>
  </conditionalFormatting>
  <conditionalFormatting sqref="AL10">
    <cfRule type="cellIs" dxfId="32536" priority="92490" stopIfTrue="1" operator="equal">
      <formula>-1</formula>
    </cfRule>
  </conditionalFormatting>
  <conditionalFormatting sqref="AL10">
    <cfRule type="cellIs" dxfId="32535" priority="92491" stopIfTrue="1" operator="lessThan">
      <formula>0.5</formula>
    </cfRule>
  </conditionalFormatting>
  <conditionalFormatting sqref="AL10">
    <cfRule type="cellIs" dxfId="32534" priority="92492" stopIfTrue="1" operator="greaterThanOrEqual">
      <formula>0.5</formula>
    </cfRule>
  </conditionalFormatting>
  <conditionalFormatting sqref="AL11">
    <cfRule type="cellIs" dxfId="32533" priority="92493" stopIfTrue="1" operator="equal">
      <formula>-1</formula>
    </cfRule>
  </conditionalFormatting>
  <conditionalFormatting sqref="AL11">
    <cfRule type="cellIs" dxfId="32532" priority="92494" stopIfTrue="1" operator="lessThan">
      <formula>0.5</formula>
    </cfRule>
  </conditionalFormatting>
  <conditionalFormatting sqref="AL11">
    <cfRule type="cellIs" dxfId="32531" priority="92495" stopIfTrue="1" operator="greaterThanOrEqual">
      <formula>0.5</formula>
    </cfRule>
  </conditionalFormatting>
  <conditionalFormatting sqref="AL12">
    <cfRule type="cellIs" dxfId="32530" priority="92496" stopIfTrue="1" operator="equal">
      <formula>-1</formula>
    </cfRule>
  </conditionalFormatting>
  <conditionalFormatting sqref="AL12">
    <cfRule type="cellIs" dxfId="32529" priority="92497" stopIfTrue="1" operator="lessThan">
      <formula>0.5</formula>
    </cfRule>
  </conditionalFormatting>
  <conditionalFormatting sqref="AL12">
    <cfRule type="cellIs" dxfId="32528" priority="92498" stopIfTrue="1" operator="greaterThanOrEqual">
      <formula>0.5</formula>
    </cfRule>
  </conditionalFormatting>
  <conditionalFormatting sqref="AL13">
    <cfRule type="cellIs" dxfId="32527" priority="92499" stopIfTrue="1" operator="equal">
      <formula>-1</formula>
    </cfRule>
  </conditionalFormatting>
  <conditionalFormatting sqref="AL13">
    <cfRule type="cellIs" dxfId="32526" priority="92500" stopIfTrue="1" operator="lessThan">
      <formula>0.5</formula>
    </cfRule>
  </conditionalFormatting>
  <conditionalFormatting sqref="AL13">
    <cfRule type="cellIs" dxfId="32525" priority="92501" stopIfTrue="1" operator="greaterThanOrEqual">
      <formula>0.5</formula>
    </cfRule>
  </conditionalFormatting>
  <conditionalFormatting sqref="AL14">
    <cfRule type="cellIs" dxfId="32524" priority="92502" stopIfTrue="1" operator="equal">
      <formula>-1</formula>
    </cfRule>
  </conditionalFormatting>
  <conditionalFormatting sqref="AL14">
    <cfRule type="cellIs" dxfId="32523" priority="92503" stopIfTrue="1" operator="lessThan">
      <formula>0.5</formula>
    </cfRule>
  </conditionalFormatting>
  <conditionalFormatting sqref="AL14">
    <cfRule type="cellIs" dxfId="32522" priority="92504" stopIfTrue="1" operator="greaterThanOrEqual">
      <formula>0.5</formula>
    </cfRule>
  </conditionalFormatting>
  <conditionalFormatting sqref="AL15">
    <cfRule type="cellIs" dxfId="32521" priority="92505" stopIfTrue="1" operator="equal">
      <formula>-1</formula>
    </cfRule>
  </conditionalFormatting>
  <conditionalFormatting sqref="AL15">
    <cfRule type="cellIs" dxfId="32520" priority="92506" stopIfTrue="1" operator="lessThan">
      <formula>0.5</formula>
    </cfRule>
  </conditionalFormatting>
  <conditionalFormatting sqref="AL15">
    <cfRule type="cellIs" dxfId="32519" priority="92507" stopIfTrue="1" operator="greaterThanOrEqual">
      <formula>0.5</formula>
    </cfRule>
  </conditionalFormatting>
  <conditionalFormatting sqref="AN8">
    <cfRule type="cellIs" dxfId="32518" priority="92508" stopIfTrue="1" operator="equal">
      <formula>-1</formula>
    </cfRule>
  </conditionalFormatting>
  <conditionalFormatting sqref="AN8">
    <cfRule type="cellIs" dxfId="32517" priority="92509" stopIfTrue="1" operator="lessThan">
      <formula>0.5</formula>
    </cfRule>
  </conditionalFormatting>
  <conditionalFormatting sqref="AN8">
    <cfRule type="cellIs" dxfId="32516" priority="92510" stopIfTrue="1" operator="greaterThanOrEqual">
      <formula>0.5</formula>
    </cfRule>
  </conditionalFormatting>
  <conditionalFormatting sqref="AN9">
    <cfRule type="cellIs" dxfId="32515" priority="92511" stopIfTrue="1" operator="equal">
      <formula>-1</formula>
    </cfRule>
  </conditionalFormatting>
  <conditionalFormatting sqref="AN9">
    <cfRule type="cellIs" dxfId="32514" priority="92512" stopIfTrue="1" operator="lessThan">
      <formula>0.5</formula>
    </cfRule>
  </conditionalFormatting>
  <conditionalFormatting sqref="AN9">
    <cfRule type="cellIs" dxfId="32513" priority="92513" stopIfTrue="1" operator="greaterThanOrEqual">
      <formula>0.5</formula>
    </cfRule>
  </conditionalFormatting>
  <conditionalFormatting sqref="AN10">
    <cfRule type="cellIs" dxfId="32512" priority="92514" stopIfTrue="1" operator="equal">
      <formula>-1</formula>
    </cfRule>
  </conditionalFormatting>
  <conditionalFormatting sqref="AN10">
    <cfRule type="cellIs" dxfId="32511" priority="92515" stopIfTrue="1" operator="lessThan">
      <formula>0.5</formula>
    </cfRule>
  </conditionalFormatting>
  <conditionalFormatting sqref="AN10">
    <cfRule type="cellIs" dxfId="32510" priority="92516" stopIfTrue="1" operator="greaterThanOrEqual">
      <formula>0.5</formula>
    </cfRule>
  </conditionalFormatting>
  <conditionalFormatting sqref="AN11">
    <cfRule type="cellIs" dxfId="32509" priority="92517" stopIfTrue="1" operator="equal">
      <formula>-1</formula>
    </cfRule>
  </conditionalFormatting>
  <conditionalFormatting sqref="AN11">
    <cfRule type="cellIs" dxfId="32508" priority="92518" stopIfTrue="1" operator="lessThan">
      <formula>0.5</formula>
    </cfRule>
  </conditionalFormatting>
  <conditionalFormatting sqref="AN11">
    <cfRule type="cellIs" dxfId="32507" priority="92519" stopIfTrue="1" operator="greaterThanOrEqual">
      <formula>0.5</formula>
    </cfRule>
  </conditionalFormatting>
  <conditionalFormatting sqref="AN12">
    <cfRule type="cellIs" dxfId="32506" priority="92520" stopIfTrue="1" operator="equal">
      <formula>-1</formula>
    </cfRule>
  </conditionalFormatting>
  <conditionalFormatting sqref="AN12">
    <cfRule type="cellIs" dxfId="32505" priority="92521" stopIfTrue="1" operator="lessThan">
      <formula>0.5</formula>
    </cfRule>
  </conditionalFormatting>
  <conditionalFormatting sqref="AN12">
    <cfRule type="cellIs" dxfId="32504" priority="92522" stopIfTrue="1" operator="greaterThanOrEqual">
      <formula>0.5</formula>
    </cfRule>
  </conditionalFormatting>
  <conditionalFormatting sqref="AN13">
    <cfRule type="cellIs" dxfId="32503" priority="92523" stopIfTrue="1" operator="equal">
      <formula>-1</formula>
    </cfRule>
  </conditionalFormatting>
  <conditionalFormatting sqref="AN13">
    <cfRule type="cellIs" dxfId="32502" priority="92524" stopIfTrue="1" operator="lessThan">
      <formula>0.5</formula>
    </cfRule>
  </conditionalFormatting>
  <conditionalFormatting sqref="AN13">
    <cfRule type="cellIs" dxfId="32501" priority="92525" stopIfTrue="1" operator="greaterThanOrEqual">
      <formula>0.5</formula>
    </cfRule>
  </conditionalFormatting>
  <conditionalFormatting sqref="AN14">
    <cfRule type="cellIs" dxfId="32500" priority="92526" stopIfTrue="1" operator="equal">
      <formula>-1</formula>
    </cfRule>
  </conditionalFormatting>
  <conditionalFormatting sqref="AN14">
    <cfRule type="cellIs" dxfId="32499" priority="92527" stopIfTrue="1" operator="lessThan">
      <formula>0.5</formula>
    </cfRule>
  </conditionalFormatting>
  <conditionalFormatting sqref="AN14">
    <cfRule type="cellIs" dxfId="32498" priority="92528" stopIfTrue="1" operator="greaterThanOrEqual">
      <formula>0.5</formula>
    </cfRule>
  </conditionalFormatting>
  <conditionalFormatting sqref="AN15">
    <cfRule type="cellIs" dxfId="32497" priority="92529" stopIfTrue="1" operator="equal">
      <formula>-1</formula>
    </cfRule>
  </conditionalFormatting>
  <conditionalFormatting sqref="AN15">
    <cfRule type="cellIs" dxfId="32496" priority="92530" stopIfTrue="1" operator="lessThan">
      <formula>0.5</formula>
    </cfRule>
  </conditionalFormatting>
  <conditionalFormatting sqref="AN15">
    <cfRule type="cellIs" dxfId="32495" priority="92531" stopIfTrue="1" operator="greaterThanOrEqual">
      <formula>0.5</formula>
    </cfRule>
  </conditionalFormatting>
  <conditionalFormatting sqref="AP8">
    <cfRule type="cellIs" dxfId="32494" priority="92532" stopIfTrue="1" operator="equal">
      <formula>-1</formula>
    </cfRule>
  </conditionalFormatting>
  <conditionalFormatting sqref="AP8">
    <cfRule type="cellIs" dxfId="32493" priority="92533" stopIfTrue="1" operator="lessThan">
      <formula>0.5</formula>
    </cfRule>
  </conditionalFormatting>
  <conditionalFormatting sqref="AP8">
    <cfRule type="cellIs" dxfId="32492" priority="92534" stopIfTrue="1" operator="greaterThanOrEqual">
      <formula>0.5</formula>
    </cfRule>
  </conditionalFormatting>
  <conditionalFormatting sqref="AP9">
    <cfRule type="cellIs" dxfId="32491" priority="92535" stopIfTrue="1" operator="equal">
      <formula>-1</formula>
    </cfRule>
  </conditionalFormatting>
  <conditionalFormatting sqref="AP9">
    <cfRule type="cellIs" dxfId="32490" priority="92536" stopIfTrue="1" operator="lessThan">
      <formula>0.5</formula>
    </cfRule>
  </conditionalFormatting>
  <conditionalFormatting sqref="AP9">
    <cfRule type="cellIs" dxfId="32489" priority="92537" stopIfTrue="1" operator="greaterThanOrEqual">
      <formula>0.5</formula>
    </cfRule>
  </conditionalFormatting>
  <conditionalFormatting sqref="AP10">
    <cfRule type="cellIs" dxfId="32488" priority="92538" stopIfTrue="1" operator="equal">
      <formula>-1</formula>
    </cfRule>
  </conditionalFormatting>
  <conditionalFormatting sqref="AP10">
    <cfRule type="cellIs" dxfId="32487" priority="92539" stopIfTrue="1" operator="lessThan">
      <formula>0.5</formula>
    </cfRule>
  </conditionalFormatting>
  <conditionalFormatting sqref="AP10">
    <cfRule type="cellIs" dxfId="32486" priority="92540" stopIfTrue="1" operator="greaterThanOrEqual">
      <formula>0.5</formula>
    </cfRule>
  </conditionalFormatting>
  <conditionalFormatting sqref="AP11">
    <cfRule type="cellIs" dxfId="32485" priority="92541" stopIfTrue="1" operator="equal">
      <formula>-1</formula>
    </cfRule>
  </conditionalFormatting>
  <conditionalFormatting sqref="AP11">
    <cfRule type="cellIs" dxfId="32484" priority="92542" stopIfTrue="1" operator="lessThan">
      <formula>0.5</formula>
    </cfRule>
  </conditionalFormatting>
  <conditionalFormatting sqref="AP11">
    <cfRule type="cellIs" dxfId="32483" priority="92543" stopIfTrue="1" operator="greaterThanOrEqual">
      <formula>0.5</formula>
    </cfRule>
  </conditionalFormatting>
  <conditionalFormatting sqref="AP12">
    <cfRule type="cellIs" dxfId="32482" priority="92544" stopIfTrue="1" operator="equal">
      <formula>-1</formula>
    </cfRule>
  </conditionalFormatting>
  <conditionalFormatting sqref="AP12">
    <cfRule type="cellIs" dxfId="32481" priority="92545" stopIfTrue="1" operator="lessThan">
      <formula>0.5</formula>
    </cfRule>
  </conditionalFormatting>
  <conditionalFormatting sqref="AP12">
    <cfRule type="cellIs" dxfId="32480" priority="92546" stopIfTrue="1" operator="greaterThanOrEqual">
      <formula>0.5</formula>
    </cfRule>
  </conditionalFormatting>
  <conditionalFormatting sqref="AP13">
    <cfRule type="cellIs" dxfId="32479" priority="92547" stopIfTrue="1" operator="equal">
      <formula>-1</formula>
    </cfRule>
  </conditionalFormatting>
  <conditionalFormatting sqref="AP13">
    <cfRule type="cellIs" dxfId="32478" priority="92548" stopIfTrue="1" operator="lessThan">
      <formula>0.5</formula>
    </cfRule>
  </conditionalFormatting>
  <conditionalFormatting sqref="AP13">
    <cfRule type="cellIs" dxfId="32477" priority="92549" stopIfTrue="1" operator="greaterThanOrEqual">
      <formula>0.5</formula>
    </cfRule>
  </conditionalFormatting>
  <conditionalFormatting sqref="AP14">
    <cfRule type="cellIs" dxfId="32476" priority="92550" stopIfTrue="1" operator="equal">
      <formula>-1</formula>
    </cfRule>
  </conditionalFormatting>
  <conditionalFormatting sqref="AP14">
    <cfRule type="cellIs" dxfId="32475" priority="92551" stopIfTrue="1" operator="lessThan">
      <formula>0.5</formula>
    </cfRule>
  </conditionalFormatting>
  <conditionalFormatting sqref="AP14">
    <cfRule type="cellIs" dxfId="32474" priority="92552" stopIfTrue="1" operator="greaterThanOrEqual">
      <formula>0.5</formula>
    </cfRule>
  </conditionalFormatting>
  <conditionalFormatting sqref="AP15">
    <cfRule type="cellIs" dxfId="32473" priority="92553" stopIfTrue="1" operator="equal">
      <formula>-1</formula>
    </cfRule>
  </conditionalFormatting>
  <conditionalFormatting sqref="AP15">
    <cfRule type="cellIs" dxfId="32472" priority="92554" stopIfTrue="1" operator="lessThan">
      <formula>0.5</formula>
    </cfRule>
  </conditionalFormatting>
  <conditionalFormatting sqref="AP15">
    <cfRule type="cellIs" dxfId="32471" priority="92555" stopIfTrue="1" operator="greaterThanOrEqual">
      <formula>0.5</formula>
    </cfRule>
  </conditionalFormatting>
  <conditionalFormatting sqref="AR8">
    <cfRule type="cellIs" dxfId="32470" priority="92556" stopIfTrue="1" operator="equal">
      <formula>-1</formula>
    </cfRule>
  </conditionalFormatting>
  <conditionalFormatting sqref="AR8">
    <cfRule type="cellIs" dxfId="32469" priority="92557" stopIfTrue="1" operator="lessThan">
      <formula>0.5</formula>
    </cfRule>
  </conditionalFormatting>
  <conditionalFormatting sqref="AR8">
    <cfRule type="cellIs" dxfId="32468" priority="92558" stopIfTrue="1" operator="greaterThanOrEqual">
      <formula>0.5</formula>
    </cfRule>
  </conditionalFormatting>
  <conditionalFormatting sqref="AR9">
    <cfRule type="cellIs" dxfId="32467" priority="92559" stopIfTrue="1" operator="equal">
      <formula>-1</formula>
    </cfRule>
  </conditionalFormatting>
  <conditionalFormatting sqref="AR9">
    <cfRule type="cellIs" dxfId="32466" priority="92560" stopIfTrue="1" operator="lessThan">
      <formula>0.5</formula>
    </cfRule>
  </conditionalFormatting>
  <conditionalFormatting sqref="AR9">
    <cfRule type="cellIs" dxfId="32465" priority="92561" stopIfTrue="1" operator="greaterThanOrEqual">
      <formula>0.5</formula>
    </cfRule>
  </conditionalFormatting>
  <conditionalFormatting sqref="AR10">
    <cfRule type="cellIs" dxfId="32464" priority="92562" stopIfTrue="1" operator="equal">
      <formula>-1</formula>
    </cfRule>
  </conditionalFormatting>
  <conditionalFormatting sqref="AR10">
    <cfRule type="cellIs" dxfId="32463" priority="92563" stopIfTrue="1" operator="lessThan">
      <formula>0.5</formula>
    </cfRule>
  </conditionalFormatting>
  <conditionalFormatting sqref="AR10">
    <cfRule type="cellIs" dxfId="32462" priority="92564" stopIfTrue="1" operator="greaterThanOrEqual">
      <formula>0.5</formula>
    </cfRule>
  </conditionalFormatting>
  <conditionalFormatting sqref="AR11">
    <cfRule type="cellIs" dxfId="32461" priority="92565" stopIfTrue="1" operator="equal">
      <formula>-1</formula>
    </cfRule>
  </conditionalFormatting>
  <conditionalFormatting sqref="AR11">
    <cfRule type="cellIs" dxfId="32460" priority="92566" stopIfTrue="1" operator="lessThan">
      <formula>0.5</formula>
    </cfRule>
  </conditionalFormatting>
  <conditionalFormatting sqref="AR11">
    <cfRule type="cellIs" dxfId="32459" priority="92567" stopIfTrue="1" operator="greaterThanOrEqual">
      <formula>0.5</formula>
    </cfRule>
  </conditionalFormatting>
  <conditionalFormatting sqref="AR12">
    <cfRule type="cellIs" dxfId="32458" priority="92568" stopIfTrue="1" operator="equal">
      <formula>-1</formula>
    </cfRule>
  </conditionalFormatting>
  <conditionalFormatting sqref="AR12">
    <cfRule type="cellIs" dxfId="32457" priority="92569" stopIfTrue="1" operator="lessThan">
      <formula>0.5</formula>
    </cfRule>
  </conditionalFormatting>
  <conditionalFormatting sqref="AR12">
    <cfRule type="cellIs" dxfId="32456" priority="92570" stopIfTrue="1" operator="greaterThanOrEqual">
      <formula>0.5</formula>
    </cfRule>
  </conditionalFormatting>
  <conditionalFormatting sqref="AR13">
    <cfRule type="cellIs" dxfId="32455" priority="92571" stopIfTrue="1" operator="equal">
      <formula>-1</formula>
    </cfRule>
  </conditionalFormatting>
  <conditionalFormatting sqref="AR13">
    <cfRule type="cellIs" dxfId="32454" priority="92572" stopIfTrue="1" operator="lessThan">
      <formula>0.5</formula>
    </cfRule>
  </conditionalFormatting>
  <conditionalFormatting sqref="AR13">
    <cfRule type="cellIs" dxfId="32453" priority="92573" stopIfTrue="1" operator="greaterThanOrEqual">
      <formula>0.5</formula>
    </cfRule>
  </conditionalFormatting>
  <conditionalFormatting sqref="AR14">
    <cfRule type="cellIs" dxfId="32452" priority="92574" stopIfTrue="1" operator="equal">
      <formula>-1</formula>
    </cfRule>
  </conditionalFormatting>
  <conditionalFormatting sqref="AR14">
    <cfRule type="cellIs" dxfId="32451" priority="92575" stopIfTrue="1" operator="lessThan">
      <formula>0.5</formula>
    </cfRule>
  </conditionalFormatting>
  <conditionalFormatting sqref="AR14">
    <cfRule type="cellIs" dxfId="32450" priority="92576" stopIfTrue="1" operator="greaterThanOrEqual">
      <formula>0.5</formula>
    </cfRule>
  </conditionalFormatting>
  <conditionalFormatting sqref="AR15">
    <cfRule type="cellIs" dxfId="32449" priority="92577" stopIfTrue="1" operator="equal">
      <formula>-1</formula>
    </cfRule>
  </conditionalFormatting>
  <conditionalFormatting sqref="AR15">
    <cfRule type="cellIs" dxfId="32448" priority="92578" stopIfTrue="1" operator="lessThan">
      <formula>0.5</formula>
    </cfRule>
  </conditionalFormatting>
  <conditionalFormatting sqref="AR15">
    <cfRule type="cellIs" dxfId="32447" priority="92579" stopIfTrue="1" operator="greaterThanOrEqual">
      <formula>0.5</formula>
    </cfRule>
  </conditionalFormatting>
  <conditionalFormatting sqref="AT8">
    <cfRule type="cellIs" dxfId="32446" priority="92580" stopIfTrue="1" operator="equal">
      <formula>-1</formula>
    </cfRule>
  </conditionalFormatting>
  <conditionalFormatting sqref="AT8">
    <cfRule type="cellIs" dxfId="32445" priority="92581" stopIfTrue="1" operator="lessThan">
      <formula>0.5</formula>
    </cfRule>
  </conditionalFormatting>
  <conditionalFormatting sqref="AT8">
    <cfRule type="cellIs" dxfId="32444" priority="92582" stopIfTrue="1" operator="greaterThanOrEqual">
      <formula>0.5</formula>
    </cfRule>
  </conditionalFormatting>
  <conditionalFormatting sqref="AT9">
    <cfRule type="cellIs" dxfId="32443" priority="92583" stopIfTrue="1" operator="equal">
      <formula>-1</formula>
    </cfRule>
  </conditionalFormatting>
  <conditionalFormatting sqref="AT9">
    <cfRule type="cellIs" dxfId="32442" priority="92584" stopIfTrue="1" operator="lessThan">
      <formula>0.5</formula>
    </cfRule>
  </conditionalFormatting>
  <conditionalFormatting sqref="AT9">
    <cfRule type="cellIs" dxfId="32441" priority="92585" stopIfTrue="1" operator="greaterThanOrEqual">
      <formula>0.5</formula>
    </cfRule>
  </conditionalFormatting>
  <conditionalFormatting sqref="AT10">
    <cfRule type="cellIs" dxfId="32440" priority="92586" stopIfTrue="1" operator="equal">
      <formula>-1</formula>
    </cfRule>
  </conditionalFormatting>
  <conditionalFormatting sqref="AT10">
    <cfRule type="cellIs" dxfId="32439" priority="92587" stopIfTrue="1" operator="lessThan">
      <formula>0.5</formula>
    </cfRule>
  </conditionalFormatting>
  <conditionalFormatting sqref="AT10">
    <cfRule type="cellIs" dxfId="32438" priority="92588" stopIfTrue="1" operator="greaterThanOrEqual">
      <formula>0.5</formula>
    </cfRule>
  </conditionalFormatting>
  <conditionalFormatting sqref="AT11">
    <cfRule type="cellIs" dxfId="32437" priority="92589" stopIfTrue="1" operator="equal">
      <formula>-1</formula>
    </cfRule>
  </conditionalFormatting>
  <conditionalFormatting sqref="AT11">
    <cfRule type="cellIs" dxfId="32436" priority="92590" stopIfTrue="1" operator="lessThan">
      <formula>0.5</formula>
    </cfRule>
  </conditionalFormatting>
  <conditionalFormatting sqref="AT11">
    <cfRule type="cellIs" dxfId="32435" priority="92591" stopIfTrue="1" operator="greaterThanOrEqual">
      <formula>0.5</formula>
    </cfRule>
  </conditionalFormatting>
  <conditionalFormatting sqref="AT12">
    <cfRule type="cellIs" dxfId="32434" priority="92592" stopIfTrue="1" operator="equal">
      <formula>-1</formula>
    </cfRule>
  </conditionalFormatting>
  <conditionalFormatting sqref="AT12">
    <cfRule type="cellIs" dxfId="32433" priority="92593" stopIfTrue="1" operator="lessThan">
      <formula>0.5</formula>
    </cfRule>
  </conditionalFormatting>
  <conditionalFormatting sqref="AT12">
    <cfRule type="cellIs" dxfId="32432" priority="92594" stopIfTrue="1" operator="greaterThanOrEqual">
      <formula>0.5</formula>
    </cfRule>
  </conditionalFormatting>
  <conditionalFormatting sqref="AT13">
    <cfRule type="cellIs" dxfId="32431" priority="92595" stopIfTrue="1" operator="equal">
      <formula>-1</formula>
    </cfRule>
  </conditionalFormatting>
  <conditionalFormatting sqref="AT13">
    <cfRule type="cellIs" dxfId="32430" priority="92596" stopIfTrue="1" operator="lessThan">
      <formula>0.5</formula>
    </cfRule>
  </conditionalFormatting>
  <conditionalFormatting sqref="AT13">
    <cfRule type="cellIs" dxfId="32429" priority="92597" stopIfTrue="1" operator="greaterThanOrEqual">
      <formula>0.5</formula>
    </cfRule>
  </conditionalFormatting>
  <conditionalFormatting sqref="AT14">
    <cfRule type="cellIs" dxfId="32428" priority="92598" stopIfTrue="1" operator="equal">
      <formula>-1</formula>
    </cfRule>
  </conditionalFormatting>
  <conditionalFormatting sqref="AT14">
    <cfRule type="cellIs" dxfId="32427" priority="92599" stopIfTrue="1" operator="lessThan">
      <formula>0.5</formula>
    </cfRule>
  </conditionalFormatting>
  <conditionalFormatting sqref="AT14">
    <cfRule type="cellIs" dxfId="32426" priority="92600" stopIfTrue="1" operator="greaterThanOrEqual">
      <formula>0.5</formula>
    </cfRule>
  </conditionalFormatting>
  <conditionalFormatting sqref="AT15">
    <cfRule type="cellIs" dxfId="32425" priority="92601" stopIfTrue="1" operator="equal">
      <formula>-1</formula>
    </cfRule>
  </conditionalFormatting>
  <conditionalFormatting sqref="AT15">
    <cfRule type="cellIs" dxfId="32424" priority="92602" stopIfTrue="1" operator="lessThan">
      <formula>0.5</formula>
    </cfRule>
  </conditionalFormatting>
  <conditionalFormatting sqref="AT15">
    <cfRule type="cellIs" dxfId="32423" priority="92603" stopIfTrue="1" operator="greaterThanOrEqual">
      <formula>0.5</formula>
    </cfRule>
  </conditionalFormatting>
  <conditionalFormatting sqref="AV8">
    <cfRule type="cellIs" dxfId="32422" priority="92604" stopIfTrue="1" operator="equal">
      <formula>-1</formula>
    </cfRule>
  </conditionalFormatting>
  <conditionalFormatting sqref="AV8">
    <cfRule type="cellIs" dxfId="32421" priority="92605" stopIfTrue="1" operator="lessThan">
      <formula>0.5</formula>
    </cfRule>
  </conditionalFormatting>
  <conditionalFormatting sqref="AV8">
    <cfRule type="cellIs" dxfId="32420" priority="92606" stopIfTrue="1" operator="greaterThanOrEqual">
      <formula>0.5</formula>
    </cfRule>
  </conditionalFormatting>
  <conditionalFormatting sqref="AV9">
    <cfRule type="cellIs" dxfId="32419" priority="92607" stopIfTrue="1" operator="equal">
      <formula>-1</formula>
    </cfRule>
  </conditionalFormatting>
  <conditionalFormatting sqref="AV9">
    <cfRule type="cellIs" dxfId="32418" priority="92608" stopIfTrue="1" operator="lessThan">
      <formula>0.5</formula>
    </cfRule>
  </conditionalFormatting>
  <conditionalFormatting sqref="AV9">
    <cfRule type="cellIs" dxfId="32417" priority="92609" stopIfTrue="1" operator="greaterThanOrEqual">
      <formula>0.5</formula>
    </cfRule>
  </conditionalFormatting>
  <conditionalFormatting sqref="AV10">
    <cfRule type="cellIs" dxfId="32416" priority="92610" stopIfTrue="1" operator="equal">
      <formula>-1</formula>
    </cfRule>
  </conditionalFormatting>
  <conditionalFormatting sqref="AV10">
    <cfRule type="cellIs" dxfId="32415" priority="92611" stopIfTrue="1" operator="lessThan">
      <formula>0.5</formula>
    </cfRule>
  </conditionalFormatting>
  <conditionalFormatting sqref="AV10">
    <cfRule type="cellIs" dxfId="32414" priority="92612" stopIfTrue="1" operator="greaterThanOrEqual">
      <formula>0.5</formula>
    </cfRule>
  </conditionalFormatting>
  <conditionalFormatting sqref="AV11">
    <cfRule type="cellIs" dxfId="32413" priority="92613" stopIfTrue="1" operator="equal">
      <formula>-1</formula>
    </cfRule>
  </conditionalFormatting>
  <conditionalFormatting sqref="AV11">
    <cfRule type="cellIs" dxfId="32412" priority="92614" stopIfTrue="1" operator="lessThan">
      <formula>0.5</formula>
    </cfRule>
  </conditionalFormatting>
  <conditionalFormatting sqref="AV11">
    <cfRule type="cellIs" dxfId="32411" priority="92615" stopIfTrue="1" operator="greaterThanOrEqual">
      <formula>0.5</formula>
    </cfRule>
  </conditionalFormatting>
  <conditionalFormatting sqref="AV12">
    <cfRule type="cellIs" dxfId="32410" priority="92616" stopIfTrue="1" operator="equal">
      <formula>-1</formula>
    </cfRule>
  </conditionalFormatting>
  <conditionalFormatting sqref="AV12">
    <cfRule type="cellIs" dxfId="32409" priority="92617" stopIfTrue="1" operator="lessThan">
      <formula>0.5</formula>
    </cfRule>
  </conditionalFormatting>
  <conditionalFormatting sqref="AV12">
    <cfRule type="cellIs" dxfId="32408" priority="92618" stopIfTrue="1" operator="greaterThanOrEqual">
      <formula>0.5</formula>
    </cfRule>
  </conditionalFormatting>
  <conditionalFormatting sqref="AV13">
    <cfRule type="cellIs" dxfId="32407" priority="92619" stopIfTrue="1" operator="equal">
      <formula>-1</formula>
    </cfRule>
  </conditionalFormatting>
  <conditionalFormatting sqref="AV13">
    <cfRule type="cellIs" dxfId="32406" priority="92620" stopIfTrue="1" operator="lessThan">
      <formula>0.5</formula>
    </cfRule>
  </conditionalFormatting>
  <conditionalFormatting sqref="AV13">
    <cfRule type="cellIs" dxfId="32405" priority="92621" stopIfTrue="1" operator="greaterThanOrEqual">
      <formula>0.5</formula>
    </cfRule>
  </conditionalFormatting>
  <conditionalFormatting sqref="AV14">
    <cfRule type="cellIs" dxfId="32404" priority="92622" stopIfTrue="1" operator="equal">
      <formula>-1</formula>
    </cfRule>
  </conditionalFormatting>
  <conditionalFormatting sqref="AV14">
    <cfRule type="cellIs" dxfId="32403" priority="92623" stopIfTrue="1" operator="lessThan">
      <formula>0.5</formula>
    </cfRule>
  </conditionalFormatting>
  <conditionalFormatting sqref="AV14">
    <cfRule type="cellIs" dxfId="32402" priority="92624" stopIfTrue="1" operator="greaterThanOrEqual">
      <formula>0.5</formula>
    </cfRule>
  </conditionalFormatting>
  <conditionalFormatting sqref="AV15">
    <cfRule type="cellIs" dxfId="32401" priority="92625" stopIfTrue="1" operator="equal">
      <formula>-1</formula>
    </cfRule>
  </conditionalFormatting>
  <conditionalFormatting sqref="AV15">
    <cfRule type="cellIs" dxfId="32400" priority="92626" stopIfTrue="1" operator="lessThan">
      <formula>0.5</formula>
    </cfRule>
  </conditionalFormatting>
  <conditionalFormatting sqref="AV15">
    <cfRule type="cellIs" dxfId="32399" priority="92627" stopIfTrue="1" operator="greaterThanOrEqual">
      <formula>0.5</formula>
    </cfRule>
  </conditionalFormatting>
  <conditionalFormatting sqref="AX8">
    <cfRule type="cellIs" dxfId="32398" priority="92628" stopIfTrue="1" operator="equal">
      <formula>-1</formula>
    </cfRule>
  </conditionalFormatting>
  <conditionalFormatting sqref="AX8">
    <cfRule type="cellIs" dxfId="32397" priority="92629" stopIfTrue="1" operator="lessThan">
      <formula>0.5</formula>
    </cfRule>
  </conditionalFormatting>
  <conditionalFormatting sqref="AX8">
    <cfRule type="cellIs" dxfId="32396" priority="92630" stopIfTrue="1" operator="greaterThanOrEqual">
      <formula>0.5</formula>
    </cfRule>
  </conditionalFormatting>
  <conditionalFormatting sqref="AX9">
    <cfRule type="cellIs" dxfId="32395" priority="92631" stopIfTrue="1" operator="equal">
      <formula>-1</formula>
    </cfRule>
  </conditionalFormatting>
  <conditionalFormatting sqref="AX9">
    <cfRule type="cellIs" dxfId="32394" priority="92632" stopIfTrue="1" operator="lessThan">
      <formula>0.5</formula>
    </cfRule>
  </conditionalFormatting>
  <conditionalFormatting sqref="AX9">
    <cfRule type="cellIs" dxfId="32393" priority="92633" stopIfTrue="1" operator="greaterThanOrEqual">
      <formula>0.5</formula>
    </cfRule>
  </conditionalFormatting>
  <conditionalFormatting sqref="AX10">
    <cfRule type="cellIs" dxfId="32392" priority="92634" stopIfTrue="1" operator="equal">
      <formula>-1</formula>
    </cfRule>
  </conditionalFormatting>
  <conditionalFormatting sqref="AX10">
    <cfRule type="cellIs" dxfId="32391" priority="92635" stopIfTrue="1" operator="lessThan">
      <formula>0.5</formula>
    </cfRule>
  </conditionalFormatting>
  <conditionalFormatting sqref="AX10">
    <cfRule type="cellIs" dxfId="32390" priority="92636" stopIfTrue="1" operator="greaterThanOrEqual">
      <formula>0.5</formula>
    </cfRule>
  </conditionalFormatting>
  <conditionalFormatting sqref="AX11">
    <cfRule type="cellIs" dxfId="32389" priority="92637" stopIfTrue="1" operator="equal">
      <formula>-1</formula>
    </cfRule>
  </conditionalFormatting>
  <conditionalFormatting sqref="AX11">
    <cfRule type="cellIs" dxfId="32388" priority="92638" stopIfTrue="1" operator="lessThan">
      <formula>0.5</formula>
    </cfRule>
  </conditionalFormatting>
  <conditionalFormatting sqref="AX11">
    <cfRule type="cellIs" dxfId="32387" priority="92639" stopIfTrue="1" operator="greaterThanOrEqual">
      <formula>0.5</formula>
    </cfRule>
  </conditionalFormatting>
  <conditionalFormatting sqref="AX12">
    <cfRule type="cellIs" dxfId="32386" priority="92640" stopIfTrue="1" operator="equal">
      <formula>-1</formula>
    </cfRule>
  </conditionalFormatting>
  <conditionalFormatting sqref="AX12">
    <cfRule type="cellIs" dxfId="32385" priority="92641" stopIfTrue="1" operator="lessThan">
      <formula>0.5</formula>
    </cfRule>
  </conditionalFormatting>
  <conditionalFormatting sqref="AX12">
    <cfRule type="cellIs" dxfId="32384" priority="92642" stopIfTrue="1" operator="greaterThanOrEqual">
      <formula>0.5</formula>
    </cfRule>
  </conditionalFormatting>
  <conditionalFormatting sqref="AX13">
    <cfRule type="cellIs" dxfId="32383" priority="92643" stopIfTrue="1" operator="equal">
      <formula>-1</formula>
    </cfRule>
  </conditionalFormatting>
  <conditionalFormatting sqref="AX13">
    <cfRule type="cellIs" dxfId="32382" priority="92644" stopIfTrue="1" operator="lessThan">
      <formula>0.5</formula>
    </cfRule>
  </conditionalFormatting>
  <conditionalFormatting sqref="AX13">
    <cfRule type="cellIs" dxfId="32381" priority="92645" stopIfTrue="1" operator="greaterThanOrEqual">
      <formula>0.5</formula>
    </cfRule>
  </conditionalFormatting>
  <conditionalFormatting sqref="AX14">
    <cfRule type="cellIs" dxfId="32380" priority="92646" stopIfTrue="1" operator="equal">
      <formula>-1</formula>
    </cfRule>
  </conditionalFormatting>
  <conditionalFormatting sqref="AX14">
    <cfRule type="cellIs" dxfId="32379" priority="92647" stopIfTrue="1" operator="lessThan">
      <formula>0.5</formula>
    </cfRule>
  </conditionalFormatting>
  <conditionalFormatting sqref="AX14">
    <cfRule type="cellIs" dxfId="32378" priority="92648" stopIfTrue="1" operator="greaterThanOrEqual">
      <formula>0.5</formula>
    </cfRule>
  </conditionalFormatting>
  <conditionalFormatting sqref="AX15">
    <cfRule type="cellIs" dxfId="32377" priority="92649" stopIfTrue="1" operator="equal">
      <formula>-1</formula>
    </cfRule>
  </conditionalFormatting>
  <conditionalFormatting sqref="AX15">
    <cfRule type="cellIs" dxfId="32376" priority="92650" stopIfTrue="1" operator="lessThan">
      <formula>0.5</formula>
    </cfRule>
  </conditionalFormatting>
  <conditionalFormatting sqref="AX15">
    <cfRule type="cellIs" dxfId="32375" priority="92651" stopIfTrue="1" operator="greaterThanOrEqual">
      <formula>0.5</formula>
    </cfRule>
  </conditionalFormatting>
  <conditionalFormatting sqref="AZ8">
    <cfRule type="cellIs" dxfId="32374" priority="92652" stopIfTrue="1" operator="equal">
      <formula>-1</formula>
    </cfRule>
  </conditionalFormatting>
  <conditionalFormatting sqref="AZ8">
    <cfRule type="cellIs" dxfId="32373" priority="92653" stopIfTrue="1" operator="lessThan">
      <formula>0.5</formula>
    </cfRule>
  </conditionalFormatting>
  <conditionalFormatting sqref="AZ8">
    <cfRule type="cellIs" dxfId="32372" priority="92654" stopIfTrue="1" operator="greaterThanOrEqual">
      <formula>0.5</formula>
    </cfRule>
  </conditionalFormatting>
  <conditionalFormatting sqref="AZ9">
    <cfRule type="cellIs" dxfId="32371" priority="92655" stopIfTrue="1" operator="equal">
      <formula>-1</formula>
    </cfRule>
  </conditionalFormatting>
  <conditionalFormatting sqref="AZ9">
    <cfRule type="cellIs" dxfId="32370" priority="92656" stopIfTrue="1" operator="lessThan">
      <formula>0.5</formula>
    </cfRule>
  </conditionalFormatting>
  <conditionalFormatting sqref="AZ9">
    <cfRule type="cellIs" dxfId="32369" priority="92657" stopIfTrue="1" operator="greaterThanOrEqual">
      <formula>0.5</formula>
    </cfRule>
  </conditionalFormatting>
  <conditionalFormatting sqref="AZ10">
    <cfRule type="cellIs" dxfId="32368" priority="92658" stopIfTrue="1" operator="equal">
      <formula>-1</formula>
    </cfRule>
  </conditionalFormatting>
  <conditionalFormatting sqref="AZ10">
    <cfRule type="cellIs" dxfId="32367" priority="92659" stopIfTrue="1" operator="lessThan">
      <formula>0.5</formula>
    </cfRule>
  </conditionalFormatting>
  <conditionalFormatting sqref="AZ10">
    <cfRule type="cellIs" dxfId="32366" priority="92660" stopIfTrue="1" operator="greaterThanOrEqual">
      <formula>0.5</formula>
    </cfRule>
  </conditionalFormatting>
  <conditionalFormatting sqref="AZ11">
    <cfRule type="cellIs" dxfId="32365" priority="92661" stopIfTrue="1" operator="equal">
      <formula>-1</formula>
    </cfRule>
  </conditionalFormatting>
  <conditionalFormatting sqref="AZ11">
    <cfRule type="cellIs" dxfId="32364" priority="92662" stopIfTrue="1" operator="lessThan">
      <formula>0.5</formula>
    </cfRule>
  </conditionalFormatting>
  <conditionalFormatting sqref="AZ11">
    <cfRule type="cellIs" dxfId="32363" priority="92663" stopIfTrue="1" operator="greaterThanOrEqual">
      <formula>0.5</formula>
    </cfRule>
  </conditionalFormatting>
  <conditionalFormatting sqref="AZ12">
    <cfRule type="cellIs" dxfId="32362" priority="92664" stopIfTrue="1" operator="equal">
      <formula>-1</formula>
    </cfRule>
  </conditionalFormatting>
  <conditionalFormatting sqref="AZ12">
    <cfRule type="cellIs" dxfId="32361" priority="92665" stopIfTrue="1" operator="lessThan">
      <formula>0.5</formula>
    </cfRule>
  </conditionalFormatting>
  <conditionalFormatting sqref="AZ12">
    <cfRule type="cellIs" dxfId="32360" priority="92666" stopIfTrue="1" operator="greaterThanOrEqual">
      <formula>0.5</formula>
    </cfRule>
  </conditionalFormatting>
  <conditionalFormatting sqref="AZ13">
    <cfRule type="cellIs" dxfId="32359" priority="92667" stopIfTrue="1" operator="equal">
      <formula>-1</formula>
    </cfRule>
  </conditionalFormatting>
  <conditionalFormatting sqref="AZ13">
    <cfRule type="cellIs" dxfId="32358" priority="92668" stopIfTrue="1" operator="lessThan">
      <formula>0.5</formula>
    </cfRule>
  </conditionalFormatting>
  <conditionalFormatting sqref="AZ13">
    <cfRule type="cellIs" dxfId="32357" priority="92669" stopIfTrue="1" operator="greaterThanOrEqual">
      <formula>0.5</formula>
    </cfRule>
  </conditionalFormatting>
  <conditionalFormatting sqref="AZ14">
    <cfRule type="cellIs" dxfId="32356" priority="92670" stopIfTrue="1" operator="equal">
      <formula>-1</formula>
    </cfRule>
  </conditionalFormatting>
  <conditionalFormatting sqref="AZ14">
    <cfRule type="cellIs" dxfId="32355" priority="92671" stopIfTrue="1" operator="lessThan">
      <formula>0.5</formula>
    </cfRule>
  </conditionalFormatting>
  <conditionalFormatting sqref="AZ14">
    <cfRule type="cellIs" dxfId="32354" priority="92672" stopIfTrue="1" operator="greaterThanOrEqual">
      <formula>0.5</formula>
    </cfRule>
  </conditionalFormatting>
  <conditionalFormatting sqref="AZ15">
    <cfRule type="cellIs" dxfId="32353" priority="92673" stopIfTrue="1" operator="equal">
      <formula>-1</formula>
    </cfRule>
  </conditionalFormatting>
  <conditionalFormatting sqref="AZ15">
    <cfRule type="cellIs" dxfId="32352" priority="92674" stopIfTrue="1" operator="lessThan">
      <formula>0.5</formula>
    </cfRule>
  </conditionalFormatting>
  <conditionalFormatting sqref="AZ15">
    <cfRule type="cellIs" dxfId="32351" priority="92675" stopIfTrue="1" operator="greaterThanOrEqual">
      <formula>0.5</formula>
    </cfRule>
  </conditionalFormatting>
  <conditionalFormatting sqref="BB8">
    <cfRule type="cellIs" dxfId="32350" priority="92676" stopIfTrue="1" operator="equal">
      <formula>-1</formula>
    </cfRule>
  </conditionalFormatting>
  <conditionalFormatting sqref="BB8">
    <cfRule type="cellIs" dxfId="32349" priority="92677" stopIfTrue="1" operator="lessThan">
      <formula>0.5</formula>
    </cfRule>
  </conditionalFormatting>
  <conditionalFormatting sqref="BB8">
    <cfRule type="cellIs" dxfId="32348" priority="92678" stopIfTrue="1" operator="greaterThanOrEqual">
      <formula>0.5</formula>
    </cfRule>
  </conditionalFormatting>
  <conditionalFormatting sqref="BB9">
    <cfRule type="cellIs" dxfId="32347" priority="92679" stopIfTrue="1" operator="equal">
      <formula>-1</formula>
    </cfRule>
  </conditionalFormatting>
  <conditionalFormatting sqref="BB9">
    <cfRule type="cellIs" dxfId="32346" priority="92680" stopIfTrue="1" operator="lessThan">
      <formula>0.5</formula>
    </cfRule>
  </conditionalFormatting>
  <conditionalFormatting sqref="BB9">
    <cfRule type="cellIs" dxfId="32345" priority="92681" stopIfTrue="1" operator="greaterThanOrEqual">
      <formula>0.5</formula>
    </cfRule>
  </conditionalFormatting>
  <conditionalFormatting sqref="BB10">
    <cfRule type="cellIs" dxfId="32344" priority="92682" stopIfTrue="1" operator="equal">
      <formula>-1</formula>
    </cfRule>
  </conditionalFormatting>
  <conditionalFormatting sqref="BB10">
    <cfRule type="cellIs" dxfId="32343" priority="92683" stopIfTrue="1" operator="lessThan">
      <formula>0.5</formula>
    </cfRule>
  </conditionalFormatting>
  <conditionalFormatting sqref="BB10">
    <cfRule type="cellIs" dxfId="32342" priority="92684" stopIfTrue="1" operator="greaterThanOrEqual">
      <formula>0.5</formula>
    </cfRule>
  </conditionalFormatting>
  <conditionalFormatting sqref="BB11">
    <cfRule type="cellIs" dxfId="32341" priority="92685" stopIfTrue="1" operator="equal">
      <formula>-1</formula>
    </cfRule>
  </conditionalFormatting>
  <conditionalFormatting sqref="BB11">
    <cfRule type="cellIs" dxfId="32340" priority="92686" stopIfTrue="1" operator="lessThan">
      <formula>0.5</formula>
    </cfRule>
  </conditionalFormatting>
  <conditionalFormatting sqref="BB11">
    <cfRule type="cellIs" dxfId="32339" priority="92687" stopIfTrue="1" operator="greaterThanOrEqual">
      <formula>0.5</formula>
    </cfRule>
  </conditionalFormatting>
  <conditionalFormatting sqref="BB12">
    <cfRule type="cellIs" dxfId="32338" priority="92688" stopIfTrue="1" operator="equal">
      <formula>-1</formula>
    </cfRule>
  </conditionalFormatting>
  <conditionalFormatting sqref="BB12">
    <cfRule type="cellIs" dxfId="32337" priority="92689" stopIfTrue="1" operator="lessThan">
      <formula>0.5</formula>
    </cfRule>
  </conditionalFormatting>
  <conditionalFormatting sqref="BB12">
    <cfRule type="cellIs" dxfId="32336" priority="92690" stopIfTrue="1" operator="greaterThanOrEqual">
      <formula>0.5</formula>
    </cfRule>
  </conditionalFormatting>
  <conditionalFormatting sqref="BB13">
    <cfRule type="cellIs" dxfId="32335" priority="92691" stopIfTrue="1" operator="equal">
      <formula>-1</formula>
    </cfRule>
  </conditionalFormatting>
  <conditionalFormatting sqref="BB13">
    <cfRule type="cellIs" dxfId="32334" priority="92692" stopIfTrue="1" operator="lessThan">
      <formula>0.5</formula>
    </cfRule>
  </conditionalFormatting>
  <conditionalFormatting sqref="BB13">
    <cfRule type="cellIs" dxfId="32333" priority="92693" stopIfTrue="1" operator="greaterThanOrEqual">
      <formula>0.5</formula>
    </cfRule>
  </conditionalFormatting>
  <conditionalFormatting sqref="BB14">
    <cfRule type="cellIs" dxfId="32332" priority="92694" stopIfTrue="1" operator="equal">
      <formula>-1</formula>
    </cfRule>
  </conditionalFormatting>
  <conditionalFormatting sqref="BB14">
    <cfRule type="cellIs" dxfId="32331" priority="92695" stopIfTrue="1" operator="lessThan">
      <formula>0.5</formula>
    </cfRule>
  </conditionalFormatting>
  <conditionalFormatting sqref="BB14">
    <cfRule type="cellIs" dxfId="32330" priority="92696" stopIfTrue="1" operator="greaterThanOrEqual">
      <formula>0.5</formula>
    </cfRule>
  </conditionalFormatting>
  <conditionalFormatting sqref="BB15">
    <cfRule type="cellIs" dxfId="32329" priority="92697" stopIfTrue="1" operator="equal">
      <formula>-1</formula>
    </cfRule>
  </conditionalFormatting>
  <conditionalFormatting sqref="BB15">
    <cfRule type="cellIs" dxfId="32328" priority="92698" stopIfTrue="1" operator="lessThan">
      <formula>0.5</formula>
    </cfRule>
  </conditionalFormatting>
  <conditionalFormatting sqref="BB15">
    <cfRule type="cellIs" dxfId="32327" priority="92699" stopIfTrue="1" operator="greaterThanOrEqual">
      <formula>0.5</formula>
    </cfRule>
  </conditionalFormatting>
  <conditionalFormatting sqref="BD8">
    <cfRule type="cellIs" dxfId="32326" priority="92700" stopIfTrue="1" operator="equal">
      <formula>-1</formula>
    </cfRule>
  </conditionalFormatting>
  <conditionalFormatting sqref="BD8">
    <cfRule type="cellIs" dxfId="32325" priority="92701" stopIfTrue="1" operator="lessThan">
      <formula>0.5</formula>
    </cfRule>
  </conditionalFormatting>
  <conditionalFormatting sqref="BD8">
    <cfRule type="cellIs" dxfId="32324" priority="92702" stopIfTrue="1" operator="greaterThanOrEqual">
      <formula>0.5</formula>
    </cfRule>
  </conditionalFormatting>
  <conditionalFormatting sqref="BD9">
    <cfRule type="cellIs" dxfId="32323" priority="92703" stopIfTrue="1" operator="equal">
      <formula>-1</formula>
    </cfRule>
  </conditionalFormatting>
  <conditionalFormatting sqref="BD9">
    <cfRule type="cellIs" dxfId="32322" priority="92704" stopIfTrue="1" operator="lessThan">
      <formula>0.5</formula>
    </cfRule>
  </conditionalFormatting>
  <conditionalFormatting sqref="BD9">
    <cfRule type="cellIs" dxfId="32321" priority="92705" stopIfTrue="1" operator="greaterThanOrEqual">
      <formula>0.5</formula>
    </cfRule>
  </conditionalFormatting>
  <conditionalFormatting sqref="BD10">
    <cfRule type="cellIs" dxfId="32320" priority="92706" stopIfTrue="1" operator="equal">
      <formula>-1</formula>
    </cfRule>
  </conditionalFormatting>
  <conditionalFormatting sqref="BD10">
    <cfRule type="cellIs" dxfId="32319" priority="92707" stopIfTrue="1" operator="lessThan">
      <formula>0.5</formula>
    </cfRule>
  </conditionalFormatting>
  <conditionalFormatting sqref="BD10">
    <cfRule type="cellIs" dxfId="32318" priority="92708" stopIfTrue="1" operator="greaterThanOrEqual">
      <formula>0.5</formula>
    </cfRule>
  </conditionalFormatting>
  <conditionalFormatting sqref="BD11">
    <cfRule type="cellIs" dxfId="32317" priority="92709" stopIfTrue="1" operator="equal">
      <formula>-1</formula>
    </cfRule>
  </conditionalFormatting>
  <conditionalFormatting sqref="BD11">
    <cfRule type="cellIs" dxfId="32316" priority="92710" stopIfTrue="1" operator="lessThan">
      <formula>0.5</formula>
    </cfRule>
  </conditionalFormatting>
  <conditionalFormatting sqref="BD11">
    <cfRule type="cellIs" dxfId="32315" priority="92711" stopIfTrue="1" operator="greaterThanOrEqual">
      <formula>0.5</formula>
    </cfRule>
  </conditionalFormatting>
  <conditionalFormatting sqref="BD12">
    <cfRule type="cellIs" dxfId="32314" priority="92712" stopIfTrue="1" operator="equal">
      <formula>-1</formula>
    </cfRule>
  </conditionalFormatting>
  <conditionalFormatting sqref="BD12">
    <cfRule type="cellIs" dxfId="32313" priority="92713" stopIfTrue="1" operator="lessThan">
      <formula>0.5</formula>
    </cfRule>
  </conditionalFormatting>
  <conditionalFormatting sqref="BD12">
    <cfRule type="cellIs" dxfId="32312" priority="92714" stopIfTrue="1" operator="greaterThanOrEqual">
      <formula>0.5</formula>
    </cfRule>
  </conditionalFormatting>
  <conditionalFormatting sqref="BD13">
    <cfRule type="cellIs" dxfId="32311" priority="92715" stopIfTrue="1" operator="equal">
      <formula>-1</formula>
    </cfRule>
  </conditionalFormatting>
  <conditionalFormatting sqref="BD13">
    <cfRule type="cellIs" dxfId="32310" priority="92716" stopIfTrue="1" operator="lessThan">
      <formula>0.5</formula>
    </cfRule>
  </conditionalFormatting>
  <conditionalFormatting sqref="BD13">
    <cfRule type="cellIs" dxfId="32309" priority="92717" stopIfTrue="1" operator="greaterThanOrEqual">
      <formula>0.5</formula>
    </cfRule>
  </conditionalFormatting>
  <conditionalFormatting sqref="BD14">
    <cfRule type="cellIs" dxfId="32308" priority="92718" stopIfTrue="1" operator="equal">
      <formula>-1</formula>
    </cfRule>
  </conditionalFormatting>
  <conditionalFormatting sqref="BD14">
    <cfRule type="cellIs" dxfId="32307" priority="92719" stopIfTrue="1" operator="lessThan">
      <formula>0.5</formula>
    </cfRule>
  </conditionalFormatting>
  <conditionalFormatting sqref="BD14">
    <cfRule type="cellIs" dxfId="32306" priority="92720" stopIfTrue="1" operator="greaterThanOrEqual">
      <formula>0.5</formula>
    </cfRule>
  </conditionalFormatting>
  <conditionalFormatting sqref="BD15">
    <cfRule type="cellIs" dxfId="32305" priority="92721" stopIfTrue="1" operator="equal">
      <formula>-1</formula>
    </cfRule>
  </conditionalFormatting>
  <conditionalFormatting sqref="BD15">
    <cfRule type="cellIs" dxfId="32304" priority="92722" stopIfTrue="1" operator="lessThan">
      <formula>0.5</formula>
    </cfRule>
  </conditionalFormatting>
  <conditionalFormatting sqref="BD15">
    <cfRule type="cellIs" dxfId="32303" priority="92723" stopIfTrue="1" operator="greaterThanOrEqual">
      <formula>0.5</formula>
    </cfRule>
  </conditionalFormatting>
  <conditionalFormatting sqref="BF8">
    <cfRule type="cellIs" dxfId="32302" priority="92724" stopIfTrue="1" operator="equal">
      <formula>-1</formula>
    </cfRule>
  </conditionalFormatting>
  <conditionalFormatting sqref="BF8">
    <cfRule type="cellIs" dxfId="32301" priority="92725" stopIfTrue="1" operator="lessThan">
      <formula>0.5</formula>
    </cfRule>
  </conditionalFormatting>
  <conditionalFormatting sqref="BF8">
    <cfRule type="cellIs" dxfId="32300" priority="92726" stopIfTrue="1" operator="greaterThanOrEqual">
      <formula>0.5</formula>
    </cfRule>
  </conditionalFormatting>
  <conditionalFormatting sqref="BF9">
    <cfRule type="cellIs" dxfId="32299" priority="92727" stopIfTrue="1" operator="equal">
      <formula>-1</formula>
    </cfRule>
  </conditionalFormatting>
  <conditionalFormatting sqref="BF9">
    <cfRule type="cellIs" dxfId="32298" priority="92728" stopIfTrue="1" operator="lessThan">
      <formula>0.5</formula>
    </cfRule>
  </conditionalFormatting>
  <conditionalFormatting sqref="BF9">
    <cfRule type="cellIs" dxfId="32297" priority="92729" stopIfTrue="1" operator="greaterThanOrEqual">
      <formula>0.5</formula>
    </cfRule>
  </conditionalFormatting>
  <conditionalFormatting sqref="BF10">
    <cfRule type="cellIs" dxfId="32296" priority="92730" stopIfTrue="1" operator="equal">
      <formula>-1</formula>
    </cfRule>
  </conditionalFormatting>
  <conditionalFormatting sqref="BF10">
    <cfRule type="cellIs" dxfId="32295" priority="92731" stopIfTrue="1" operator="lessThan">
      <formula>0.5</formula>
    </cfRule>
  </conditionalFormatting>
  <conditionalFormatting sqref="BF10">
    <cfRule type="cellIs" dxfId="32294" priority="92732" stopIfTrue="1" operator="greaterThanOrEqual">
      <formula>0.5</formula>
    </cfRule>
  </conditionalFormatting>
  <conditionalFormatting sqref="BF11">
    <cfRule type="cellIs" dxfId="32293" priority="92733" stopIfTrue="1" operator="equal">
      <formula>-1</formula>
    </cfRule>
  </conditionalFormatting>
  <conditionalFormatting sqref="BF11">
    <cfRule type="cellIs" dxfId="32292" priority="92734" stopIfTrue="1" operator="lessThan">
      <formula>0.5</formula>
    </cfRule>
  </conditionalFormatting>
  <conditionalFormatting sqref="BF11">
    <cfRule type="cellIs" dxfId="32291" priority="92735" stopIfTrue="1" operator="greaterThanOrEqual">
      <formula>0.5</formula>
    </cfRule>
  </conditionalFormatting>
  <conditionalFormatting sqref="BF12">
    <cfRule type="cellIs" dxfId="32290" priority="92736" stopIfTrue="1" operator="equal">
      <formula>-1</formula>
    </cfRule>
  </conditionalFormatting>
  <conditionalFormatting sqref="BF12">
    <cfRule type="cellIs" dxfId="32289" priority="92737" stopIfTrue="1" operator="lessThan">
      <formula>0.5</formula>
    </cfRule>
  </conditionalFormatting>
  <conditionalFormatting sqref="BF12">
    <cfRule type="cellIs" dxfId="32288" priority="92738" stopIfTrue="1" operator="greaterThanOrEqual">
      <formula>0.5</formula>
    </cfRule>
  </conditionalFormatting>
  <conditionalFormatting sqref="BF13">
    <cfRule type="cellIs" dxfId="32287" priority="92739" stopIfTrue="1" operator="equal">
      <formula>-1</formula>
    </cfRule>
  </conditionalFormatting>
  <conditionalFormatting sqref="BF13">
    <cfRule type="cellIs" dxfId="32286" priority="92740" stopIfTrue="1" operator="lessThan">
      <formula>0.5</formula>
    </cfRule>
  </conditionalFormatting>
  <conditionalFormatting sqref="BF13">
    <cfRule type="cellIs" dxfId="32285" priority="92741" stopIfTrue="1" operator="greaterThanOrEqual">
      <formula>0.5</formula>
    </cfRule>
  </conditionalFormatting>
  <conditionalFormatting sqref="BF14">
    <cfRule type="cellIs" dxfId="32284" priority="92742" stopIfTrue="1" operator="equal">
      <formula>-1</formula>
    </cfRule>
  </conditionalFormatting>
  <conditionalFormatting sqref="BF14">
    <cfRule type="cellIs" dxfId="32283" priority="92743" stopIfTrue="1" operator="lessThan">
      <formula>0.5</formula>
    </cfRule>
  </conditionalFormatting>
  <conditionalFormatting sqref="BF14">
    <cfRule type="cellIs" dxfId="32282" priority="92744" stopIfTrue="1" operator="greaterThanOrEqual">
      <formula>0.5</formula>
    </cfRule>
  </conditionalFormatting>
  <conditionalFormatting sqref="BF15">
    <cfRule type="cellIs" dxfId="32281" priority="92745" stopIfTrue="1" operator="equal">
      <formula>-1</formula>
    </cfRule>
  </conditionalFormatting>
  <conditionalFormatting sqref="BF15">
    <cfRule type="cellIs" dxfId="32280" priority="92746" stopIfTrue="1" operator="lessThan">
      <formula>0.5</formula>
    </cfRule>
  </conditionalFormatting>
  <conditionalFormatting sqref="BF15">
    <cfRule type="cellIs" dxfId="32279" priority="92747" stopIfTrue="1" operator="greaterThanOrEqual">
      <formula>0.5</formula>
    </cfRule>
  </conditionalFormatting>
  <conditionalFormatting sqref="BH8">
    <cfRule type="cellIs" dxfId="32278" priority="92748" stopIfTrue="1" operator="equal">
      <formula>-1</formula>
    </cfRule>
  </conditionalFormatting>
  <conditionalFormatting sqref="BH8">
    <cfRule type="cellIs" dxfId="32277" priority="92749" stopIfTrue="1" operator="lessThan">
      <formula>0.5</formula>
    </cfRule>
  </conditionalFormatting>
  <conditionalFormatting sqref="BH8">
    <cfRule type="cellIs" dxfId="32276" priority="92750" stopIfTrue="1" operator="greaterThanOrEqual">
      <formula>0.5</formula>
    </cfRule>
  </conditionalFormatting>
  <conditionalFormatting sqref="BH9">
    <cfRule type="cellIs" dxfId="32275" priority="92751" stopIfTrue="1" operator="equal">
      <formula>-1</formula>
    </cfRule>
  </conditionalFormatting>
  <conditionalFormatting sqref="BH9">
    <cfRule type="cellIs" dxfId="32274" priority="92752" stopIfTrue="1" operator="lessThan">
      <formula>0.5</formula>
    </cfRule>
  </conditionalFormatting>
  <conditionalFormatting sqref="BH9">
    <cfRule type="cellIs" dxfId="32273" priority="92753" stopIfTrue="1" operator="greaterThanOrEqual">
      <formula>0.5</formula>
    </cfRule>
  </conditionalFormatting>
  <conditionalFormatting sqref="BH10">
    <cfRule type="cellIs" dxfId="32272" priority="92754" stopIfTrue="1" operator="equal">
      <formula>-1</formula>
    </cfRule>
  </conditionalFormatting>
  <conditionalFormatting sqref="BH10">
    <cfRule type="cellIs" dxfId="32271" priority="92755" stopIfTrue="1" operator="lessThan">
      <formula>0.5</formula>
    </cfRule>
  </conditionalFormatting>
  <conditionalFormatting sqref="BH10">
    <cfRule type="cellIs" dxfId="32270" priority="92756" stopIfTrue="1" operator="greaterThanOrEqual">
      <formula>0.5</formula>
    </cfRule>
  </conditionalFormatting>
  <conditionalFormatting sqref="BH11">
    <cfRule type="cellIs" dxfId="32269" priority="92757" stopIfTrue="1" operator="equal">
      <formula>-1</formula>
    </cfRule>
  </conditionalFormatting>
  <conditionalFormatting sqref="BH11">
    <cfRule type="cellIs" dxfId="32268" priority="92758" stopIfTrue="1" operator="lessThan">
      <formula>0.5</formula>
    </cfRule>
  </conditionalFormatting>
  <conditionalFormatting sqref="BH11">
    <cfRule type="cellIs" dxfId="32267" priority="92759" stopIfTrue="1" operator="greaterThanOrEqual">
      <formula>0.5</formula>
    </cfRule>
  </conditionalFormatting>
  <conditionalFormatting sqref="BH12">
    <cfRule type="cellIs" dxfId="32266" priority="92760" stopIfTrue="1" operator="equal">
      <formula>-1</formula>
    </cfRule>
  </conditionalFormatting>
  <conditionalFormatting sqref="BH12">
    <cfRule type="cellIs" dxfId="32265" priority="92761" stopIfTrue="1" operator="lessThan">
      <formula>0.5</formula>
    </cfRule>
  </conditionalFormatting>
  <conditionalFormatting sqref="BH12">
    <cfRule type="cellIs" dxfId="32264" priority="92762" stopIfTrue="1" operator="greaterThanOrEqual">
      <formula>0.5</formula>
    </cfRule>
  </conditionalFormatting>
  <conditionalFormatting sqref="BH13">
    <cfRule type="cellIs" dxfId="32263" priority="92763" stopIfTrue="1" operator="equal">
      <formula>-1</formula>
    </cfRule>
  </conditionalFormatting>
  <conditionalFormatting sqref="BH13">
    <cfRule type="cellIs" dxfId="32262" priority="92764" stopIfTrue="1" operator="lessThan">
      <formula>0.5</formula>
    </cfRule>
  </conditionalFormatting>
  <conditionalFormatting sqref="BH13">
    <cfRule type="cellIs" dxfId="32261" priority="92765" stopIfTrue="1" operator="greaterThanOrEqual">
      <formula>0.5</formula>
    </cfRule>
  </conditionalFormatting>
  <conditionalFormatting sqref="BH14">
    <cfRule type="cellIs" dxfId="32260" priority="92766" stopIfTrue="1" operator="equal">
      <formula>-1</formula>
    </cfRule>
  </conditionalFormatting>
  <conditionalFormatting sqref="BH14">
    <cfRule type="cellIs" dxfId="32259" priority="92767" stopIfTrue="1" operator="lessThan">
      <formula>0.5</formula>
    </cfRule>
  </conditionalFormatting>
  <conditionalFormatting sqref="BH14">
    <cfRule type="cellIs" dxfId="32258" priority="92768" stopIfTrue="1" operator="greaterThanOrEqual">
      <formula>0.5</formula>
    </cfRule>
  </conditionalFormatting>
  <conditionalFormatting sqref="BH15">
    <cfRule type="cellIs" dxfId="32257" priority="92769" stopIfTrue="1" operator="equal">
      <formula>-1</formula>
    </cfRule>
  </conditionalFormatting>
  <conditionalFormatting sqref="BH15">
    <cfRule type="cellIs" dxfId="32256" priority="92770" stopIfTrue="1" operator="lessThan">
      <formula>0.5</formula>
    </cfRule>
  </conditionalFormatting>
  <conditionalFormatting sqref="BH15">
    <cfRule type="cellIs" dxfId="32255" priority="92771" stopIfTrue="1" operator="greaterThanOrEqual">
      <formula>0.5</formula>
    </cfRule>
  </conditionalFormatting>
  <conditionalFormatting sqref="BJ8">
    <cfRule type="cellIs" dxfId="32254" priority="92772" stopIfTrue="1" operator="equal">
      <formula>-1</formula>
    </cfRule>
  </conditionalFormatting>
  <conditionalFormatting sqref="BJ8">
    <cfRule type="cellIs" dxfId="32253" priority="92773" stopIfTrue="1" operator="lessThan">
      <formula>0.5</formula>
    </cfRule>
  </conditionalFormatting>
  <conditionalFormatting sqref="BJ8">
    <cfRule type="cellIs" dxfId="32252" priority="92774" stopIfTrue="1" operator="greaterThanOrEqual">
      <formula>0.5</formula>
    </cfRule>
  </conditionalFormatting>
  <conditionalFormatting sqref="BJ9">
    <cfRule type="cellIs" dxfId="32251" priority="92775" stopIfTrue="1" operator="equal">
      <formula>-1</formula>
    </cfRule>
  </conditionalFormatting>
  <conditionalFormatting sqref="BJ9">
    <cfRule type="cellIs" dxfId="32250" priority="92776" stopIfTrue="1" operator="lessThan">
      <formula>0.5</formula>
    </cfRule>
  </conditionalFormatting>
  <conditionalFormatting sqref="BJ9">
    <cfRule type="cellIs" dxfId="32249" priority="92777" stopIfTrue="1" operator="greaterThanOrEqual">
      <formula>0.5</formula>
    </cfRule>
  </conditionalFormatting>
  <conditionalFormatting sqref="BJ10">
    <cfRule type="cellIs" dxfId="32248" priority="92778" stopIfTrue="1" operator="equal">
      <formula>-1</formula>
    </cfRule>
  </conditionalFormatting>
  <conditionalFormatting sqref="BJ10">
    <cfRule type="cellIs" dxfId="32247" priority="92779" stopIfTrue="1" operator="lessThan">
      <formula>0.5</formula>
    </cfRule>
  </conditionalFormatting>
  <conditionalFormatting sqref="BJ10">
    <cfRule type="cellIs" dxfId="32246" priority="92780" stopIfTrue="1" operator="greaterThanOrEqual">
      <formula>0.5</formula>
    </cfRule>
  </conditionalFormatting>
  <conditionalFormatting sqref="BJ11">
    <cfRule type="cellIs" dxfId="32245" priority="92781" stopIfTrue="1" operator="equal">
      <formula>-1</formula>
    </cfRule>
  </conditionalFormatting>
  <conditionalFormatting sqref="BJ11">
    <cfRule type="cellIs" dxfId="32244" priority="92782" stopIfTrue="1" operator="lessThan">
      <formula>0.5</formula>
    </cfRule>
  </conditionalFormatting>
  <conditionalFormatting sqref="BJ11">
    <cfRule type="cellIs" dxfId="32243" priority="92783" stopIfTrue="1" operator="greaterThanOrEqual">
      <formula>0.5</formula>
    </cfRule>
  </conditionalFormatting>
  <conditionalFormatting sqref="BJ12">
    <cfRule type="cellIs" dxfId="32242" priority="92784" stopIfTrue="1" operator="equal">
      <formula>-1</formula>
    </cfRule>
  </conditionalFormatting>
  <conditionalFormatting sqref="BJ12">
    <cfRule type="cellIs" dxfId="32241" priority="92785" stopIfTrue="1" operator="lessThan">
      <formula>0.5</formula>
    </cfRule>
  </conditionalFormatting>
  <conditionalFormatting sqref="BJ12">
    <cfRule type="cellIs" dxfId="32240" priority="92786" stopIfTrue="1" operator="greaterThanOrEqual">
      <formula>0.5</formula>
    </cfRule>
  </conditionalFormatting>
  <conditionalFormatting sqref="BJ13">
    <cfRule type="cellIs" dxfId="32239" priority="92787" stopIfTrue="1" operator="equal">
      <formula>-1</formula>
    </cfRule>
  </conditionalFormatting>
  <conditionalFormatting sqref="BJ13">
    <cfRule type="cellIs" dxfId="32238" priority="92788" stopIfTrue="1" operator="lessThan">
      <formula>0.5</formula>
    </cfRule>
  </conditionalFormatting>
  <conditionalFormatting sqref="BJ13">
    <cfRule type="cellIs" dxfId="32237" priority="92789" stopIfTrue="1" operator="greaterThanOrEqual">
      <formula>0.5</formula>
    </cfRule>
  </conditionalFormatting>
  <conditionalFormatting sqref="BJ14">
    <cfRule type="cellIs" dxfId="32236" priority="92790" stopIfTrue="1" operator="equal">
      <formula>-1</formula>
    </cfRule>
  </conditionalFormatting>
  <conditionalFormatting sqref="BJ14">
    <cfRule type="cellIs" dxfId="32235" priority="92791" stopIfTrue="1" operator="lessThan">
      <formula>0.5</formula>
    </cfRule>
  </conditionalFormatting>
  <conditionalFormatting sqref="BJ14">
    <cfRule type="cellIs" dxfId="32234" priority="92792" stopIfTrue="1" operator="greaterThanOrEqual">
      <formula>0.5</formula>
    </cfRule>
  </conditionalFormatting>
  <conditionalFormatting sqref="BJ15">
    <cfRule type="cellIs" dxfId="32233" priority="92793" stopIfTrue="1" operator="equal">
      <formula>-1</formula>
    </cfRule>
  </conditionalFormatting>
  <conditionalFormatting sqref="BJ15">
    <cfRule type="cellIs" dxfId="32232" priority="92794" stopIfTrue="1" operator="lessThan">
      <formula>0.5</formula>
    </cfRule>
  </conditionalFormatting>
  <conditionalFormatting sqref="BJ15">
    <cfRule type="cellIs" dxfId="32231" priority="92795" stopIfTrue="1" operator="greaterThanOrEqual">
      <formula>0.5</formula>
    </cfRule>
  </conditionalFormatting>
  <conditionalFormatting sqref="D17">
    <cfRule type="cellIs" dxfId="32230" priority="92796" stopIfTrue="1" operator="equal">
      <formula>-1</formula>
    </cfRule>
  </conditionalFormatting>
  <conditionalFormatting sqref="D17">
    <cfRule type="cellIs" dxfId="32229" priority="92797" stopIfTrue="1" operator="lessThan">
      <formula>0.5</formula>
    </cfRule>
  </conditionalFormatting>
  <conditionalFormatting sqref="D17">
    <cfRule type="cellIs" dxfId="32228" priority="92798" stopIfTrue="1" operator="greaterThanOrEqual">
      <formula>0.5</formula>
    </cfRule>
  </conditionalFormatting>
  <conditionalFormatting sqref="D18">
    <cfRule type="cellIs" dxfId="32227" priority="92799" stopIfTrue="1" operator="equal">
      <formula>-1</formula>
    </cfRule>
  </conditionalFormatting>
  <conditionalFormatting sqref="D18">
    <cfRule type="cellIs" dxfId="32226" priority="92800" stopIfTrue="1" operator="lessThan">
      <formula>0.5</formula>
    </cfRule>
  </conditionalFormatting>
  <conditionalFormatting sqref="D18">
    <cfRule type="cellIs" dxfId="32225" priority="92801" stopIfTrue="1" operator="greaterThanOrEqual">
      <formula>0.5</formula>
    </cfRule>
  </conditionalFormatting>
  <conditionalFormatting sqref="D19">
    <cfRule type="cellIs" dxfId="32224" priority="92802" stopIfTrue="1" operator="equal">
      <formula>-1</formula>
    </cfRule>
  </conditionalFormatting>
  <conditionalFormatting sqref="D19">
    <cfRule type="cellIs" dxfId="32223" priority="92803" stopIfTrue="1" operator="lessThan">
      <formula>0.5</formula>
    </cfRule>
  </conditionalFormatting>
  <conditionalFormatting sqref="D19">
    <cfRule type="cellIs" dxfId="32222" priority="92804" stopIfTrue="1" operator="greaterThanOrEqual">
      <formula>0.5</formula>
    </cfRule>
  </conditionalFormatting>
  <conditionalFormatting sqref="D20">
    <cfRule type="cellIs" dxfId="32221" priority="92805" stopIfTrue="1" operator="equal">
      <formula>-1</formula>
    </cfRule>
  </conditionalFormatting>
  <conditionalFormatting sqref="D20">
    <cfRule type="cellIs" dxfId="32220" priority="92806" stopIfTrue="1" operator="lessThan">
      <formula>0.5</formula>
    </cfRule>
  </conditionalFormatting>
  <conditionalFormatting sqref="D20">
    <cfRule type="cellIs" dxfId="32219" priority="92807" stopIfTrue="1" operator="greaterThanOrEqual">
      <formula>0.5</formula>
    </cfRule>
  </conditionalFormatting>
  <conditionalFormatting sqref="D21">
    <cfRule type="cellIs" dxfId="32218" priority="92808" stopIfTrue="1" operator="equal">
      <formula>-1</formula>
    </cfRule>
  </conditionalFormatting>
  <conditionalFormatting sqref="D21">
    <cfRule type="cellIs" dxfId="32217" priority="92809" stopIfTrue="1" operator="lessThan">
      <formula>0.5</formula>
    </cfRule>
  </conditionalFormatting>
  <conditionalFormatting sqref="D21">
    <cfRule type="cellIs" dxfId="32216" priority="92810" stopIfTrue="1" operator="greaterThanOrEqual">
      <formula>0.5</formula>
    </cfRule>
  </conditionalFormatting>
  <conditionalFormatting sqref="D22">
    <cfRule type="cellIs" dxfId="32215" priority="92811" stopIfTrue="1" operator="equal">
      <formula>-1</formula>
    </cfRule>
  </conditionalFormatting>
  <conditionalFormatting sqref="D22">
    <cfRule type="cellIs" dxfId="32214" priority="92812" stopIfTrue="1" operator="lessThan">
      <formula>0.5</formula>
    </cfRule>
  </conditionalFormatting>
  <conditionalFormatting sqref="D22">
    <cfRule type="cellIs" dxfId="32213" priority="92813" stopIfTrue="1" operator="greaterThanOrEqual">
      <formula>0.5</formula>
    </cfRule>
  </conditionalFormatting>
  <conditionalFormatting sqref="D23">
    <cfRule type="cellIs" dxfId="32212" priority="92814" stopIfTrue="1" operator="equal">
      <formula>-1</formula>
    </cfRule>
  </conditionalFormatting>
  <conditionalFormatting sqref="D23">
    <cfRule type="cellIs" dxfId="32211" priority="92815" stopIfTrue="1" operator="lessThan">
      <formula>0.5</formula>
    </cfRule>
  </conditionalFormatting>
  <conditionalFormatting sqref="D23">
    <cfRule type="cellIs" dxfId="32210" priority="92816" stopIfTrue="1" operator="greaterThanOrEqual">
      <formula>0.5</formula>
    </cfRule>
  </conditionalFormatting>
  <conditionalFormatting sqref="D24">
    <cfRule type="cellIs" dxfId="32209" priority="92817" stopIfTrue="1" operator="equal">
      <formula>-1</formula>
    </cfRule>
  </conditionalFormatting>
  <conditionalFormatting sqref="D24">
    <cfRule type="cellIs" dxfId="32208" priority="92818" stopIfTrue="1" operator="lessThan">
      <formula>0.5</formula>
    </cfRule>
  </conditionalFormatting>
  <conditionalFormatting sqref="D24">
    <cfRule type="cellIs" dxfId="32207" priority="92819" stopIfTrue="1" operator="greaterThanOrEqual">
      <formula>0.5</formula>
    </cfRule>
  </conditionalFormatting>
  <conditionalFormatting sqref="D25">
    <cfRule type="cellIs" dxfId="32206" priority="92820" stopIfTrue="1" operator="equal">
      <formula>-1</formula>
    </cfRule>
  </conditionalFormatting>
  <conditionalFormatting sqref="D25">
    <cfRule type="cellIs" dxfId="32205" priority="92821" stopIfTrue="1" operator="lessThan">
      <formula>0.5</formula>
    </cfRule>
  </conditionalFormatting>
  <conditionalFormatting sqref="D25">
    <cfRule type="cellIs" dxfId="32204" priority="92822" stopIfTrue="1" operator="greaterThanOrEqual">
      <formula>0.5</formula>
    </cfRule>
  </conditionalFormatting>
  <conditionalFormatting sqref="D26">
    <cfRule type="cellIs" dxfId="32203" priority="92823" stopIfTrue="1" operator="equal">
      <formula>-1</formula>
    </cfRule>
  </conditionalFormatting>
  <conditionalFormatting sqref="D26">
    <cfRule type="cellIs" dxfId="32202" priority="92824" stopIfTrue="1" operator="lessThan">
      <formula>0.5</formula>
    </cfRule>
  </conditionalFormatting>
  <conditionalFormatting sqref="D26">
    <cfRule type="cellIs" dxfId="32201" priority="92825" stopIfTrue="1" operator="greaterThanOrEqual">
      <formula>0.5</formula>
    </cfRule>
  </conditionalFormatting>
  <conditionalFormatting sqref="D27">
    <cfRule type="cellIs" dxfId="32200" priority="92826" stopIfTrue="1" operator="equal">
      <formula>-1</formula>
    </cfRule>
  </conditionalFormatting>
  <conditionalFormatting sqref="D27">
    <cfRule type="cellIs" dxfId="32199" priority="92827" stopIfTrue="1" operator="lessThan">
      <formula>0.5</formula>
    </cfRule>
  </conditionalFormatting>
  <conditionalFormatting sqref="D27">
    <cfRule type="cellIs" dxfId="32198" priority="92828" stopIfTrue="1" operator="greaterThanOrEqual">
      <formula>0.5</formula>
    </cfRule>
  </conditionalFormatting>
  <conditionalFormatting sqref="D28">
    <cfRule type="cellIs" dxfId="32197" priority="92829" stopIfTrue="1" operator="equal">
      <formula>-1</formula>
    </cfRule>
  </conditionalFormatting>
  <conditionalFormatting sqref="D28">
    <cfRule type="cellIs" dxfId="32196" priority="92830" stopIfTrue="1" operator="lessThan">
      <formula>0.5</formula>
    </cfRule>
  </conditionalFormatting>
  <conditionalFormatting sqref="D28">
    <cfRule type="cellIs" dxfId="32195" priority="92831" stopIfTrue="1" operator="greaterThanOrEqual">
      <formula>0.5</formula>
    </cfRule>
  </conditionalFormatting>
  <conditionalFormatting sqref="D29">
    <cfRule type="cellIs" dxfId="32194" priority="92832" stopIfTrue="1" operator="equal">
      <formula>-1</formula>
    </cfRule>
  </conditionalFormatting>
  <conditionalFormatting sqref="D29">
    <cfRule type="cellIs" dxfId="32193" priority="92833" stopIfTrue="1" operator="lessThan">
      <formula>0.5</formula>
    </cfRule>
  </conditionalFormatting>
  <conditionalFormatting sqref="D29">
    <cfRule type="cellIs" dxfId="32192" priority="92834" stopIfTrue="1" operator="greaterThanOrEqual">
      <formula>0.5</formula>
    </cfRule>
  </conditionalFormatting>
  <conditionalFormatting sqref="D30">
    <cfRule type="cellIs" dxfId="32191" priority="92835" stopIfTrue="1" operator="equal">
      <formula>-1</formula>
    </cfRule>
  </conditionalFormatting>
  <conditionalFormatting sqref="D30">
    <cfRule type="cellIs" dxfId="32190" priority="92836" stopIfTrue="1" operator="lessThan">
      <formula>0.5</formula>
    </cfRule>
  </conditionalFormatting>
  <conditionalFormatting sqref="D30">
    <cfRule type="cellIs" dxfId="32189" priority="92837" stopIfTrue="1" operator="greaterThanOrEqual">
      <formula>0.5</formula>
    </cfRule>
  </conditionalFormatting>
  <conditionalFormatting sqref="D31">
    <cfRule type="cellIs" dxfId="32188" priority="92838" stopIfTrue="1" operator="equal">
      <formula>-1</formula>
    </cfRule>
  </conditionalFormatting>
  <conditionalFormatting sqref="D31">
    <cfRule type="cellIs" dxfId="32187" priority="92839" stopIfTrue="1" operator="lessThan">
      <formula>0.5</formula>
    </cfRule>
  </conditionalFormatting>
  <conditionalFormatting sqref="D31">
    <cfRule type="cellIs" dxfId="32186" priority="92840" stopIfTrue="1" operator="greaterThanOrEqual">
      <formula>0.5</formula>
    </cfRule>
  </conditionalFormatting>
  <conditionalFormatting sqref="D32">
    <cfRule type="cellIs" dxfId="32185" priority="92841" stopIfTrue="1" operator="equal">
      <formula>-1</formula>
    </cfRule>
  </conditionalFormatting>
  <conditionalFormatting sqref="D32">
    <cfRule type="cellIs" dxfId="32184" priority="92842" stopIfTrue="1" operator="lessThan">
      <formula>0.5</formula>
    </cfRule>
  </conditionalFormatting>
  <conditionalFormatting sqref="D32">
    <cfRule type="cellIs" dxfId="32183" priority="92843" stopIfTrue="1" operator="greaterThanOrEqual">
      <formula>0.5</formula>
    </cfRule>
  </conditionalFormatting>
  <conditionalFormatting sqref="D33">
    <cfRule type="cellIs" dxfId="32182" priority="92844" stopIfTrue="1" operator="equal">
      <formula>-1</formula>
    </cfRule>
  </conditionalFormatting>
  <conditionalFormatting sqref="D33">
    <cfRule type="cellIs" dxfId="32181" priority="92845" stopIfTrue="1" operator="lessThan">
      <formula>0.5</formula>
    </cfRule>
  </conditionalFormatting>
  <conditionalFormatting sqref="D33">
    <cfRule type="cellIs" dxfId="32180" priority="92846" stopIfTrue="1" operator="greaterThanOrEqual">
      <formula>0.5</formula>
    </cfRule>
  </conditionalFormatting>
  <conditionalFormatting sqref="D34">
    <cfRule type="cellIs" dxfId="32179" priority="92847" stopIfTrue="1" operator="equal">
      <formula>-1</formula>
    </cfRule>
  </conditionalFormatting>
  <conditionalFormatting sqref="D34">
    <cfRule type="cellIs" dxfId="32178" priority="92848" stopIfTrue="1" operator="lessThan">
      <formula>0.5</formula>
    </cfRule>
  </conditionalFormatting>
  <conditionalFormatting sqref="D34">
    <cfRule type="cellIs" dxfId="32177" priority="92849" stopIfTrue="1" operator="greaterThanOrEqual">
      <formula>0.5</formula>
    </cfRule>
  </conditionalFormatting>
  <conditionalFormatting sqref="D35">
    <cfRule type="cellIs" dxfId="32176" priority="92850" stopIfTrue="1" operator="equal">
      <formula>-1</formula>
    </cfRule>
  </conditionalFormatting>
  <conditionalFormatting sqref="D35">
    <cfRule type="cellIs" dxfId="32175" priority="92851" stopIfTrue="1" operator="lessThan">
      <formula>0.5</formula>
    </cfRule>
  </conditionalFormatting>
  <conditionalFormatting sqref="D35">
    <cfRule type="cellIs" dxfId="32174" priority="92852" stopIfTrue="1" operator="greaterThanOrEqual">
      <formula>0.5</formula>
    </cfRule>
  </conditionalFormatting>
  <conditionalFormatting sqref="D36">
    <cfRule type="cellIs" dxfId="32173" priority="92853" stopIfTrue="1" operator="equal">
      <formula>-1</formula>
    </cfRule>
  </conditionalFormatting>
  <conditionalFormatting sqref="D36">
    <cfRule type="cellIs" dxfId="32172" priority="92854" stopIfTrue="1" operator="lessThan">
      <formula>0.5</formula>
    </cfRule>
  </conditionalFormatting>
  <conditionalFormatting sqref="D36">
    <cfRule type="cellIs" dxfId="32171" priority="92855" stopIfTrue="1" operator="greaterThanOrEqual">
      <formula>0.5</formula>
    </cfRule>
  </conditionalFormatting>
  <conditionalFormatting sqref="D37">
    <cfRule type="cellIs" dxfId="32170" priority="92856" stopIfTrue="1" operator="equal">
      <formula>-1</formula>
    </cfRule>
  </conditionalFormatting>
  <conditionalFormatting sqref="D37">
    <cfRule type="cellIs" dxfId="32169" priority="92857" stopIfTrue="1" operator="lessThan">
      <formula>0.5</formula>
    </cfRule>
  </conditionalFormatting>
  <conditionalFormatting sqref="D37">
    <cfRule type="cellIs" dxfId="32168" priority="92858" stopIfTrue="1" operator="greaterThanOrEqual">
      <formula>0.5</formula>
    </cfRule>
  </conditionalFormatting>
  <conditionalFormatting sqref="F17">
    <cfRule type="cellIs" dxfId="32167" priority="92859" stopIfTrue="1" operator="equal">
      <formula>-1</formula>
    </cfRule>
  </conditionalFormatting>
  <conditionalFormatting sqref="F17">
    <cfRule type="cellIs" dxfId="32166" priority="92860" stopIfTrue="1" operator="lessThan">
      <formula>0.5</formula>
    </cfRule>
  </conditionalFormatting>
  <conditionalFormatting sqref="F17">
    <cfRule type="cellIs" dxfId="32165" priority="92861" stopIfTrue="1" operator="greaterThanOrEqual">
      <formula>0.5</formula>
    </cfRule>
  </conditionalFormatting>
  <conditionalFormatting sqref="F18">
    <cfRule type="cellIs" dxfId="32164" priority="92862" stopIfTrue="1" operator="equal">
      <formula>-1</formula>
    </cfRule>
  </conditionalFormatting>
  <conditionalFormatting sqref="F18">
    <cfRule type="cellIs" dxfId="32163" priority="92863" stopIfTrue="1" operator="lessThan">
      <formula>0.5</formula>
    </cfRule>
  </conditionalFormatting>
  <conditionalFormatting sqref="F18">
    <cfRule type="cellIs" dxfId="32162" priority="92864" stopIfTrue="1" operator="greaterThanOrEqual">
      <formula>0.5</formula>
    </cfRule>
  </conditionalFormatting>
  <conditionalFormatting sqref="F19">
    <cfRule type="cellIs" dxfId="32161" priority="92865" stopIfTrue="1" operator="equal">
      <formula>-1</formula>
    </cfRule>
  </conditionalFormatting>
  <conditionalFormatting sqref="F19">
    <cfRule type="cellIs" dxfId="32160" priority="92866" stopIfTrue="1" operator="lessThan">
      <formula>0.5</formula>
    </cfRule>
  </conditionalFormatting>
  <conditionalFormatting sqref="F19">
    <cfRule type="cellIs" dxfId="32159" priority="92867" stopIfTrue="1" operator="greaterThanOrEqual">
      <formula>0.5</formula>
    </cfRule>
  </conditionalFormatting>
  <conditionalFormatting sqref="F20">
    <cfRule type="cellIs" dxfId="32158" priority="92868" stopIfTrue="1" operator="equal">
      <formula>-1</formula>
    </cfRule>
  </conditionalFormatting>
  <conditionalFormatting sqref="F20">
    <cfRule type="cellIs" dxfId="32157" priority="92869" stopIfTrue="1" operator="lessThan">
      <formula>0.5</formula>
    </cfRule>
  </conditionalFormatting>
  <conditionalFormatting sqref="F20">
    <cfRule type="cellIs" dxfId="32156" priority="92870" stopIfTrue="1" operator="greaterThanOrEqual">
      <formula>0.5</formula>
    </cfRule>
  </conditionalFormatting>
  <conditionalFormatting sqref="F21">
    <cfRule type="cellIs" dxfId="32155" priority="92871" stopIfTrue="1" operator="equal">
      <formula>-1</formula>
    </cfRule>
  </conditionalFormatting>
  <conditionalFormatting sqref="F21">
    <cfRule type="cellIs" dxfId="32154" priority="92872" stopIfTrue="1" operator="lessThan">
      <formula>0.5</formula>
    </cfRule>
  </conditionalFormatting>
  <conditionalFormatting sqref="F21">
    <cfRule type="cellIs" dxfId="32153" priority="92873" stopIfTrue="1" operator="greaterThanOrEqual">
      <formula>0.5</formula>
    </cfRule>
  </conditionalFormatting>
  <conditionalFormatting sqref="F22">
    <cfRule type="cellIs" dxfId="32152" priority="92874" stopIfTrue="1" operator="equal">
      <formula>-1</formula>
    </cfRule>
  </conditionalFormatting>
  <conditionalFormatting sqref="F22">
    <cfRule type="cellIs" dxfId="32151" priority="92875" stopIfTrue="1" operator="lessThan">
      <formula>0.5</formula>
    </cfRule>
  </conditionalFormatting>
  <conditionalFormatting sqref="F22">
    <cfRule type="cellIs" dxfId="32150" priority="92876" stopIfTrue="1" operator="greaterThanOrEqual">
      <formula>0.5</formula>
    </cfRule>
  </conditionalFormatting>
  <conditionalFormatting sqref="F23">
    <cfRule type="cellIs" dxfId="32149" priority="92877" stopIfTrue="1" operator="equal">
      <formula>-1</formula>
    </cfRule>
  </conditionalFormatting>
  <conditionalFormatting sqref="F23">
    <cfRule type="cellIs" dxfId="32148" priority="92878" stopIfTrue="1" operator="lessThan">
      <formula>0.5</formula>
    </cfRule>
  </conditionalFormatting>
  <conditionalFormatting sqref="F23">
    <cfRule type="cellIs" dxfId="32147" priority="92879" stopIfTrue="1" operator="greaterThanOrEqual">
      <formula>0.5</formula>
    </cfRule>
  </conditionalFormatting>
  <conditionalFormatting sqref="F24">
    <cfRule type="cellIs" dxfId="32146" priority="92880" stopIfTrue="1" operator="equal">
      <formula>-1</formula>
    </cfRule>
  </conditionalFormatting>
  <conditionalFormatting sqref="F24">
    <cfRule type="cellIs" dxfId="32145" priority="92881" stopIfTrue="1" operator="lessThan">
      <formula>0.5</formula>
    </cfRule>
  </conditionalFormatting>
  <conditionalFormatting sqref="F24">
    <cfRule type="cellIs" dxfId="32144" priority="92882" stopIfTrue="1" operator="greaterThanOrEqual">
      <formula>0.5</formula>
    </cfRule>
  </conditionalFormatting>
  <conditionalFormatting sqref="F25">
    <cfRule type="cellIs" dxfId="32143" priority="92883" stopIfTrue="1" operator="equal">
      <formula>-1</formula>
    </cfRule>
  </conditionalFormatting>
  <conditionalFormatting sqref="F25">
    <cfRule type="cellIs" dxfId="32142" priority="92884" stopIfTrue="1" operator="lessThan">
      <formula>0.5</formula>
    </cfRule>
  </conditionalFormatting>
  <conditionalFormatting sqref="F25">
    <cfRule type="cellIs" dxfId="32141" priority="92885" stopIfTrue="1" operator="greaterThanOrEqual">
      <formula>0.5</formula>
    </cfRule>
  </conditionalFormatting>
  <conditionalFormatting sqref="F26">
    <cfRule type="cellIs" dxfId="32140" priority="92886" stopIfTrue="1" operator="equal">
      <formula>-1</formula>
    </cfRule>
  </conditionalFormatting>
  <conditionalFormatting sqref="F26">
    <cfRule type="cellIs" dxfId="32139" priority="92887" stopIfTrue="1" operator="lessThan">
      <formula>0.5</formula>
    </cfRule>
  </conditionalFormatting>
  <conditionalFormatting sqref="F26">
    <cfRule type="cellIs" dxfId="32138" priority="92888" stopIfTrue="1" operator="greaterThanOrEqual">
      <formula>0.5</formula>
    </cfRule>
  </conditionalFormatting>
  <conditionalFormatting sqref="F27">
    <cfRule type="cellIs" dxfId="32137" priority="92889" stopIfTrue="1" operator="equal">
      <formula>-1</formula>
    </cfRule>
  </conditionalFormatting>
  <conditionalFormatting sqref="F27">
    <cfRule type="cellIs" dxfId="32136" priority="92890" stopIfTrue="1" operator="lessThan">
      <formula>0.5</formula>
    </cfRule>
  </conditionalFormatting>
  <conditionalFormatting sqref="F27">
    <cfRule type="cellIs" dxfId="32135" priority="92891" stopIfTrue="1" operator="greaterThanOrEqual">
      <formula>0.5</formula>
    </cfRule>
  </conditionalFormatting>
  <conditionalFormatting sqref="F28">
    <cfRule type="cellIs" dxfId="32134" priority="92892" stopIfTrue="1" operator="equal">
      <formula>-1</formula>
    </cfRule>
  </conditionalFormatting>
  <conditionalFormatting sqref="F28">
    <cfRule type="cellIs" dxfId="32133" priority="92893" stopIfTrue="1" operator="lessThan">
      <formula>0.5</formula>
    </cfRule>
  </conditionalFormatting>
  <conditionalFormatting sqref="F28">
    <cfRule type="cellIs" dxfId="32132" priority="92894" stopIfTrue="1" operator="greaterThanOrEqual">
      <formula>0.5</formula>
    </cfRule>
  </conditionalFormatting>
  <conditionalFormatting sqref="F29">
    <cfRule type="cellIs" dxfId="32131" priority="92895" stopIfTrue="1" operator="equal">
      <formula>-1</formula>
    </cfRule>
  </conditionalFormatting>
  <conditionalFormatting sqref="F29">
    <cfRule type="cellIs" dxfId="32130" priority="92896" stopIfTrue="1" operator="lessThan">
      <formula>0.5</formula>
    </cfRule>
  </conditionalFormatting>
  <conditionalFormatting sqref="F29">
    <cfRule type="cellIs" dxfId="32129" priority="92897" stopIfTrue="1" operator="greaterThanOrEqual">
      <formula>0.5</formula>
    </cfRule>
  </conditionalFormatting>
  <conditionalFormatting sqref="F30">
    <cfRule type="cellIs" dxfId="32128" priority="92898" stopIfTrue="1" operator="equal">
      <formula>-1</formula>
    </cfRule>
  </conditionalFormatting>
  <conditionalFormatting sqref="F30">
    <cfRule type="cellIs" dxfId="32127" priority="92899" stopIfTrue="1" operator="lessThan">
      <formula>0.5</formula>
    </cfRule>
  </conditionalFormatting>
  <conditionalFormatting sqref="F30">
    <cfRule type="cellIs" dxfId="32126" priority="92900" stopIfTrue="1" operator="greaterThanOrEqual">
      <formula>0.5</formula>
    </cfRule>
  </conditionalFormatting>
  <conditionalFormatting sqref="F31">
    <cfRule type="cellIs" dxfId="32125" priority="92901" stopIfTrue="1" operator="equal">
      <formula>-1</formula>
    </cfRule>
  </conditionalFormatting>
  <conditionalFormatting sqref="F31">
    <cfRule type="cellIs" dxfId="32124" priority="92902" stopIfTrue="1" operator="lessThan">
      <formula>0.5</formula>
    </cfRule>
  </conditionalFormatting>
  <conditionalFormatting sqref="F31">
    <cfRule type="cellIs" dxfId="32123" priority="92903" stopIfTrue="1" operator="greaterThanOrEqual">
      <formula>0.5</formula>
    </cfRule>
  </conditionalFormatting>
  <conditionalFormatting sqref="F32">
    <cfRule type="cellIs" dxfId="32122" priority="92904" stopIfTrue="1" operator="equal">
      <formula>-1</formula>
    </cfRule>
  </conditionalFormatting>
  <conditionalFormatting sqref="F32">
    <cfRule type="cellIs" dxfId="32121" priority="92905" stopIfTrue="1" operator="lessThan">
      <formula>0.5</formula>
    </cfRule>
  </conditionalFormatting>
  <conditionalFormatting sqref="F32">
    <cfRule type="cellIs" dxfId="32120" priority="92906" stopIfTrue="1" operator="greaterThanOrEqual">
      <formula>0.5</formula>
    </cfRule>
  </conditionalFormatting>
  <conditionalFormatting sqref="F33">
    <cfRule type="cellIs" dxfId="32119" priority="92907" stopIfTrue="1" operator="equal">
      <formula>-1</formula>
    </cfRule>
  </conditionalFormatting>
  <conditionalFormatting sqref="F33">
    <cfRule type="cellIs" dxfId="32118" priority="92908" stopIfTrue="1" operator="lessThan">
      <formula>0.5</formula>
    </cfRule>
  </conditionalFormatting>
  <conditionalFormatting sqref="F33">
    <cfRule type="cellIs" dxfId="32117" priority="92909" stopIfTrue="1" operator="greaterThanOrEqual">
      <formula>0.5</formula>
    </cfRule>
  </conditionalFormatting>
  <conditionalFormatting sqref="F34">
    <cfRule type="cellIs" dxfId="32116" priority="92910" stopIfTrue="1" operator="equal">
      <formula>-1</formula>
    </cfRule>
  </conditionalFormatting>
  <conditionalFormatting sqref="F34">
    <cfRule type="cellIs" dxfId="32115" priority="92911" stopIfTrue="1" operator="lessThan">
      <formula>0.5</formula>
    </cfRule>
  </conditionalFormatting>
  <conditionalFormatting sqref="F34">
    <cfRule type="cellIs" dxfId="32114" priority="92912" stopIfTrue="1" operator="greaterThanOrEqual">
      <formula>0.5</formula>
    </cfRule>
  </conditionalFormatting>
  <conditionalFormatting sqref="F35">
    <cfRule type="cellIs" dxfId="32113" priority="92913" stopIfTrue="1" operator="equal">
      <formula>-1</formula>
    </cfRule>
  </conditionalFormatting>
  <conditionalFormatting sqref="F35">
    <cfRule type="cellIs" dxfId="32112" priority="92914" stopIfTrue="1" operator="lessThan">
      <formula>0.5</formula>
    </cfRule>
  </conditionalFormatting>
  <conditionalFormatting sqref="F35">
    <cfRule type="cellIs" dxfId="32111" priority="92915" stopIfTrue="1" operator="greaterThanOrEqual">
      <formula>0.5</formula>
    </cfRule>
  </conditionalFormatting>
  <conditionalFormatting sqref="F36">
    <cfRule type="cellIs" dxfId="32110" priority="92916" stopIfTrue="1" operator="equal">
      <formula>-1</formula>
    </cfRule>
  </conditionalFormatting>
  <conditionalFormatting sqref="F36">
    <cfRule type="cellIs" dxfId="32109" priority="92917" stopIfTrue="1" operator="lessThan">
      <formula>0.5</formula>
    </cfRule>
  </conditionalFormatting>
  <conditionalFormatting sqref="F36">
    <cfRule type="cellIs" dxfId="32108" priority="92918" stopIfTrue="1" operator="greaterThanOrEqual">
      <formula>0.5</formula>
    </cfRule>
  </conditionalFormatting>
  <conditionalFormatting sqref="F37">
    <cfRule type="cellIs" dxfId="32107" priority="92919" stopIfTrue="1" operator="equal">
      <formula>-1</formula>
    </cfRule>
  </conditionalFormatting>
  <conditionalFormatting sqref="F37">
    <cfRule type="cellIs" dxfId="32106" priority="92920" stopIfTrue="1" operator="lessThan">
      <formula>0.5</formula>
    </cfRule>
  </conditionalFormatting>
  <conditionalFormatting sqref="F37">
    <cfRule type="cellIs" dxfId="32105" priority="92921" stopIfTrue="1" operator="greaterThanOrEqual">
      <formula>0.5</formula>
    </cfRule>
  </conditionalFormatting>
  <conditionalFormatting sqref="H17">
    <cfRule type="cellIs" dxfId="32104" priority="92922" stopIfTrue="1" operator="equal">
      <formula>-1</formula>
    </cfRule>
  </conditionalFormatting>
  <conditionalFormatting sqref="H17">
    <cfRule type="cellIs" dxfId="32103" priority="92923" stopIfTrue="1" operator="lessThan">
      <formula>0.5</formula>
    </cfRule>
  </conditionalFormatting>
  <conditionalFormatting sqref="H17">
    <cfRule type="cellIs" dxfId="32102" priority="92924" stopIfTrue="1" operator="greaterThanOrEqual">
      <formula>0.5</formula>
    </cfRule>
  </conditionalFormatting>
  <conditionalFormatting sqref="H18">
    <cfRule type="cellIs" dxfId="32101" priority="92925" stopIfTrue="1" operator="equal">
      <formula>-1</formula>
    </cfRule>
  </conditionalFormatting>
  <conditionalFormatting sqref="H18">
    <cfRule type="cellIs" dxfId="32100" priority="92926" stopIfTrue="1" operator="lessThan">
      <formula>0.5</formula>
    </cfRule>
  </conditionalFormatting>
  <conditionalFormatting sqref="H18">
    <cfRule type="cellIs" dxfId="32099" priority="92927" stopIfTrue="1" operator="greaterThanOrEqual">
      <formula>0.5</formula>
    </cfRule>
  </conditionalFormatting>
  <conditionalFormatting sqref="H19">
    <cfRule type="cellIs" dxfId="32098" priority="92928" stopIfTrue="1" operator="equal">
      <formula>-1</formula>
    </cfRule>
  </conditionalFormatting>
  <conditionalFormatting sqref="H19">
    <cfRule type="cellIs" dxfId="32097" priority="92929" stopIfTrue="1" operator="lessThan">
      <formula>0.5</formula>
    </cfRule>
  </conditionalFormatting>
  <conditionalFormatting sqref="H19">
    <cfRule type="cellIs" dxfId="32096" priority="92930" stopIfTrue="1" operator="greaterThanOrEqual">
      <formula>0.5</formula>
    </cfRule>
  </conditionalFormatting>
  <conditionalFormatting sqref="H20">
    <cfRule type="cellIs" dxfId="32095" priority="92931" stopIfTrue="1" operator="equal">
      <formula>-1</formula>
    </cfRule>
  </conditionalFormatting>
  <conditionalFormatting sqref="H20">
    <cfRule type="cellIs" dxfId="32094" priority="92932" stopIfTrue="1" operator="lessThan">
      <formula>0.5</formula>
    </cfRule>
  </conditionalFormatting>
  <conditionalFormatting sqref="H20">
    <cfRule type="cellIs" dxfId="32093" priority="92933" stopIfTrue="1" operator="greaterThanOrEqual">
      <formula>0.5</formula>
    </cfRule>
  </conditionalFormatting>
  <conditionalFormatting sqref="H21">
    <cfRule type="cellIs" dxfId="32092" priority="92934" stopIfTrue="1" operator="equal">
      <formula>-1</formula>
    </cfRule>
  </conditionalFormatting>
  <conditionalFormatting sqref="H21">
    <cfRule type="cellIs" dxfId="32091" priority="92935" stopIfTrue="1" operator="lessThan">
      <formula>0.5</formula>
    </cfRule>
  </conditionalFormatting>
  <conditionalFormatting sqref="H21">
    <cfRule type="cellIs" dxfId="32090" priority="92936" stopIfTrue="1" operator="greaterThanOrEqual">
      <formula>0.5</formula>
    </cfRule>
  </conditionalFormatting>
  <conditionalFormatting sqref="H22">
    <cfRule type="cellIs" dxfId="32089" priority="92937" stopIfTrue="1" operator="equal">
      <formula>-1</formula>
    </cfRule>
  </conditionalFormatting>
  <conditionalFormatting sqref="H22">
    <cfRule type="cellIs" dxfId="32088" priority="92938" stopIfTrue="1" operator="lessThan">
      <formula>0.5</formula>
    </cfRule>
  </conditionalFormatting>
  <conditionalFormatting sqref="H22">
    <cfRule type="cellIs" dxfId="32087" priority="92939" stopIfTrue="1" operator="greaterThanOrEqual">
      <formula>0.5</formula>
    </cfRule>
  </conditionalFormatting>
  <conditionalFormatting sqref="H23">
    <cfRule type="cellIs" dxfId="32086" priority="92940" stopIfTrue="1" operator="equal">
      <formula>-1</formula>
    </cfRule>
  </conditionalFormatting>
  <conditionalFormatting sqref="H23">
    <cfRule type="cellIs" dxfId="32085" priority="92941" stopIfTrue="1" operator="lessThan">
      <formula>0.5</formula>
    </cfRule>
  </conditionalFormatting>
  <conditionalFormatting sqref="H23">
    <cfRule type="cellIs" dxfId="32084" priority="92942" stopIfTrue="1" operator="greaterThanOrEqual">
      <formula>0.5</formula>
    </cfRule>
  </conditionalFormatting>
  <conditionalFormatting sqref="H24">
    <cfRule type="cellIs" dxfId="32083" priority="92943" stopIfTrue="1" operator="equal">
      <formula>-1</formula>
    </cfRule>
  </conditionalFormatting>
  <conditionalFormatting sqref="H24">
    <cfRule type="cellIs" dxfId="32082" priority="92944" stopIfTrue="1" operator="lessThan">
      <formula>0.5</formula>
    </cfRule>
  </conditionalFormatting>
  <conditionalFormatting sqref="H24">
    <cfRule type="cellIs" dxfId="32081" priority="92945" stopIfTrue="1" operator="greaterThanOrEqual">
      <formula>0.5</formula>
    </cfRule>
  </conditionalFormatting>
  <conditionalFormatting sqref="H25">
    <cfRule type="cellIs" dxfId="32080" priority="92946" stopIfTrue="1" operator="equal">
      <formula>-1</formula>
    </cfRule>
  </conditionalFormatting>
  <conditionalFormatting sqref="H25">
    <cfRule type="cellIs" dxfId="32079" priority="92947" stopIfTrue="1" operator="lessThan">
      <formula>0.5</formula>
    </cfRule>
  </conditionalFormatting>
  <conditionalFormatting sqref="H25">
    <cfRule type="cellIs" dxfId="32078" priority="92948" stopIfTrue="1" operator="greaterThanOrEqual">
      <formula>0.5</formula>
    </cfRule>
  </conditionalFormatting>
  <conditionalFormatting sqref="H26">
    <cfRule type="cellIs" dxfId="32077" priority="92949" stopIfTrue="1" operator="equal">
      <formula>-1</formula>
    </cfRule>
  </conditionalFormatting>
  <conditionalFormatting sqref="H26">
    <cfRule type="cellIs" dxfId="32076" priority="92950" stopIfTrue="1" operator="lessThan">
      <formula>0.5</formula>
    </cfRule>
  </conditionalFormatting>
  <conditionalFormatting sqref="H26">
    <cfRule type="cellIs" dxfId="32075" priority="92951" stopIfTrue="1" operator="greaterThanOrEqual">
      <formula>0.5</formula>
    </cfRule>
  </conditionalFormatting>
  <conditionalFormatting sqref="H27">
    <cfRule type="cellIs" dxfId="32074" priority="92952" stopIfTrue="1" operator="equal">
      <formula>-1</formula>
    </cfRule>
  </conditionalFormatting>
  <conditionalFormatting sqref="H27">
    <cfRule type="cellIs" dxfId="32073" priority="92953" stopIfTrue="1" operator="lessThan">
      <formula>0.5</formula>
    </cfRule>
  </conditionalFormatting>
  <conditionalFormatting sqref="H27">
    <cfRule type="cellIs" dxfId="32072" priority="92954" stopIfTrue="1" operator="greaterThanOrEqual">
      <formula>0.5</formula>
    </cfRule>
  </conditionalFormatting>
  <conditionalFormatting sqref="H28">
    <cfRule type="cellIs" dxfId="32071" priority="92955" stopIfTrue="1" operator="equal">
      <formula>-1</formula>
    </cfRule>
  </conditionalFormatting>
  <conditionalFormatting sqref="H28">
    <cfRule type="cellIs" dxfId="32070" priority="92956" stopIfTrue="1" operator="lessThan">
      <formula>0.5</formula>
    </cfRule>
  </conditionalFormatting>
  <conditionalFormatting sqref="H28">
    <cfRule type="cellIs" dxfId="32069" priority="92957" stopIfTrue="1" operator="greaterThanOrEqual">
      <formula>0.5</formula>
    </cfRule>
  </conditionalFormatting>
  <conditionalFormatting sqref="H29">
    <cfRule type="cellIs" dxfId="32068" priority="92958" stopIfTrue="1" operator="equal">
      <formula>-1</formula>
    </cfRule>
  </conditionalFormatting>
  <conditionalFormatting sqref="H29">
    <cfRule type="cellIs" dxfId="32067" priority="92959" stopIfTrue="1" operator="lessThan">
      <formula>0.5</formula>
    </cfRule>
  </conditionalFormatting>
  <conditionalFormatting sqref="H29">
    <cfRule type="cellIs" dxfId="32066" priority="92960" stopIfTrue="1" operator="greaterThanOrEqual">
      <formula>0.5</formula>
    </cfRule>
  </conditionalFormatting>
  <conditionalFormatting sqref="H30">
    <cfRule type="cellIs" dxfId="32065" priority="92961" stopIfTrue="1" operator="equal">
      <formula>-1</formula>
    </cfRule>
  </conditionalFormatting>
  <conditionalFormatting sqref="H30">
    <cfRule type="cellIs" dxfId="32064" priority="92962" stopIfTrue="1" operator="lessThan">
      <formula>0.5</formula>
    </cfRule>
  </conditionalFormatting>
  <conditionalFormatting sqref="H30">
    <cfRule type="cellIs" dxfId="32063" priority="92963" stopIfTrue="1" operator="greaterThanOrEqual">
      <formula>0.5</formula>
    </cfRule>
  </conditionalFormatting>
  <conditionalFormatting sqref="H31">
    <cfRule type="cellIs" dxfId="32062" priority="92964" stopIfTrue="1" operator="equal">
      <formula>-1</formula>
    </cfRule>
  </conditionalFormatting>
  <conditionalFormatting sqref="H31">
    <cfRule type="cellIs" dxfId="32061" priority="92965" stopIfTrue="1" operator="lessThan">
      <formula>0.5</formula>
    </cfRule>
  </conditionalFormatting>
  <conditionalFormatting sqref="H31">
    <cfRule type="cellIs" dxfId="32060" priority="92966" stopIfTrue="1" operator="greaterThanOrEqual">
      <formula>0.5</formula>
    </cfRule>
  </conditionalFormatting>
  <conditionalFormatting sqref="H32">
    <cfRule type="cellIs" dxfId="32059" priority="92967" stopIfTrue="1" operator="equal">
      <formula>-1</formula>
    </cfRule>
  </conditionalFormatting>
  <conditionalFormatting sqref="H32">
    <cfRule type="cellIs" dxfId="32058" priority="92968" stopIfTrue="1" operator="lessThan">
      <formula>0.5</formula>
    </cfRule>
  </conditionalFormatting>
  <conditionalFormatting sqref="H32">
    <cfRule type="cellIs" dxfId="32057" priority="92969" stopIfTrue="1" operator="greaterThanOrEqual">
      <formula>0.5</formula>
    </cfRule>
  </conditionalFormatting>
  <conditionalFormatting sqref="H33">
    <cfRule type="cellIs" dxfId="32056" priority="92970" stopIfTrue="1" operator="equal">
      <formula>-1</formula>
    </cfRule>
  </conditionalFormatting>
  <conditionalFormatting sqref="H33">
    <cfRule type="cellIs" dxfId="32055" priority="92971" stopIfTrue="1" operator="lessThan">
      <formula>0.5</formula>
    </cfRule>
  </conditionalFormatting>
  <conditionalFormatting sqref="H33">
    <cfRule type="cellIs" dxfId="32054" priority="92972" stopIfTrue="1" operator="greaterThanOrEqual">
      <formula>0.5</formula>
    </cfRule>
  </conditionalFormatting>
  <conditionalFormatting sqref="H34">
    <cfRule type="cellIs" dxfId="32053" priority="92973" stopIfTrue="1" operator="equal">
      <formula>-1</formula>
    </cfRule>
  </conditionalFormatting>
  <conditionalFormatting sqref="H34">
    <cfRule type="cellIs" dxfId="32052" priority="92974" stopIfTrue="1" operator="lessThan">
      <formula>0.5</formula>
    </cfRule>
  </conditionalFormatting>
  <conditionalFormatting sqref="H34">
    <cfRule type="cellIs" dxfId="32051" priority="92975" stopIfTrue="1" operator="greaterThanOrEqual">
      <formula>0.5</formula>
    </cfRule>
  </conditionalFormatting>
  <conditionalFormatting sqref="H35">
    <cfRule type="cellIs" dxfId="32050" priority="92976" stopIfTrue="1" operator="equal">
      <formula>-1</formula>
    </cfRule>
  </conditionalFormatting>
  <conditionalFormatting sqref="H35">
    <cfRule type="cellIs" dxfId="32049" priority="92977" stopIfTrue="1" operator="lessThan">
      <formula>0.5</formula>
    </cfRule>
  </conditionalFormatting>
  <conditionalFormatting sqref="H35">
    <cfRule type="cellIs" dxfId="32048" priority="92978" stopIfTrue="1" operator="greaterThanOrEqual">
      <formula>0.5</formula>
    </cfRule>
  </conditionalFormatting>
  <conditionalFormatting sqref="H36">
    <cfRule type="cellIs" dxfId="32047" priority="92979" stopIfTrue="1" operator="equal">
      <formula>-1</formula>
    </cfRule>
  </conditionalFormatting>
  <conditionalFormatting sqref="H36">
    <cfRule type="cellIs" dxfId="32046" priority="92980" stopIfTrue="1" operator="lessThan">
      <formula>0.5</formula>
    </cfRule>
  </conditionalFormatting>
  <conditionalFormatting sqref="H36">
    <cfRule type="cellIs" dxfId="32045" priority="92981" stopIfTrue="1" operator="greaterThanOrEqual">
      <formula>0.5</formula>
    </cfRule>
  </conditionalFormatting>
  <conditionalFormatting sqref="H37">
    <cfRule type="cellIs" dxfId="32044" priority="92982" stopIfTrue="1" operator="equal">
      <formula>-1</formula>
    </cfRule>
  </conditionalFormatting>
  <conditionalFormatting sqref="H37">
    <cfRule type="cellIs" dxfId="32043" priority="92983" stopIfTrue="1" operator="lessThan">
      <formula>0.5</formula>
    </cfRule>
  </conditionalFormatting>
  <conditionalFormatting sqref="H37">
    <cfRule type="cellIs" dxfId="32042" priority="92984" stopIfTrue="1" operator="greaterThanOrEqual">
      <formula>0.5</formula>
    </cfRule>
  </conditionalFormatting>
  <conditionalFormatting sqref="J17">
    <cfRule type="cellIs" dxfId="32041" priority="92985" stopIfTrue="1" operator="equal">
      <formula>-1</formula>
    </cfRule>
  </conditionalFormatting>
  <conditionalFormatting sqref="J17">
    <cfRule type="cellIs" dxfId="32040" priority="92986" stopIfTrue="1" operator="lessThan">
      <formula>0.5</formula>
    </cfRule>
  </conditionalFormatting>
  <conditionalFormatting sqref="J17">
    <cfRule type="cellIs" dxfId="32039" priority="92987" stopIfTrue="1" operator="greaterThanOrEqual">
      <formula>0.5</formula>
    </cfRule>
  </conditionalFormatting>
  <conditionalFormatting sqref="J18">
    <cfRule type="cellIs" dxfId="32038" priority="92988" stopIfTrue="1" operator="equal">
      <formula>-1</formula>
    </cfRule>
  </conditionalFormatting>
  <conditionalFormatting sqref="J18">
    <cfRule type="cellIs" dxfId="32037" priority="92989" stopIfTrue="1" operator="lessThan">
      <formula>0.5</formula>
    </cfRule>
  </conditionalFormatting>
  <conditionalFormatting sqref="J18">
    <cfRule type="cellIs" dxfId="32036" priority="92990" stopIfTrue="1" operator="greaterThanOrEqual">
      <formula>0.5</formula>
    </cfRule>
  </conditionalFormatting>
  <conditionalFormatting sqref="J19">
    <cfRule type="cellIs" dxfId="32035" priority="92991" stopIfTrue="1" operator="equal">
      <formula>-1</formula>
    </cfRule>
  </conditionalFormatting>
  <conditionalFormatting sqref="J19">
    <cfRule type="cellIs" dxfId="32034" priority="92992" stopIfTrue="1" operator="lessThan">
      <formula>0.5</formula>
    </cfRule>
  </conditionalFormatting>
  <conditionalFormatting sqref="J19">
    <cfRule type="cellIs" dxfId="32033" priority="92993" stopIfTrue="1" operator="greaterThanOrEqual">
      <formula>0.5</formula>
    </cfRule>
  </conditionalFormatting>
  <conditionalFormatting sqref="J20">
    <cfRule type="cellIs" dxfId="32032" priority="92994" stopIfTrue="1" operator="equal">
      <formula>-1</formula>
    </cfRule>
  </conditionalFormatting>
  <conditionalFormatting sqref="J20">
    <cfRule type="cellIs" dxfId="32031" priority="92995" stopIfTrue="1" operator="lessThan">
      <formula>0.5</formula>
    </cfRule>
  </conditionalFormatting>
  <conditionalFormatting sqref="J20">
    <cfRule type="cellIs" dxfId="32030" priority="92996" stopIfTrue="1" operator="greaterThanOrEqual">
      <formula>0.5</formula>
    </cfRule>
  </conditionalFormatting>
  <conditionalFormatting sqref="J21">
    <cfRule type="cellIs" dxfId="32029" priority="92997" stopIfTrue="1" operator="equal">
      <formula>-1</formula>
    </cfRule>
  </conditionalFormatting>
  <conditionalFormatting sqref="J21">
    <cfRule type="cellIs" dxfId="32028" priority="92998" stopIfTrue="1" operator="lessThan">
      <formula>0.5</formula>
    </cfRule>
  </conditionalFormatting>
  <conditionalFormatting sqref="J21">
    <cfRule type="cellIs" dxfId="32027" priority="92999" stopIfTrue="1" operator="greaterThanOrEqual">
      <formula>0.5</formula>
    </cfRule>
  </conditionalFormatting>
  <conditionalFormatting sqref="J22">
    <cfRule type="cellIs" dxfId="32026" priority="93000" stopIfTrue="1" operator="equal">
      <formula>-1</formula>
    </cfRule>
  </conditionalFormatting>
  <conditionalFormatting sqref="J22">
    <cfRule type="cellIs" dxfId="32025" priority="93001" stopIfTrue="1" operator="lessThan">
      <formula>0.5</formula>
    </cfRule>
  </conditionalFormatting>
  <conditionalFormatting sqref="J22">
    <cfRule type="cellIs" dxfId="32024" priority="93002" stopIfTrue="1" operator="greaterThanOrEqual">
      <formula>0.5</formula>
    </cfRule>
  </conditionalFormatting>
  <conditionalFormatting sqref="J23">
    <cfRule type="cellIs" dxfId="32023" priority="93003" stopIfTrue="1" operator="equal">
      <formula>-1</formula>
    </cfRule>
  </conditionalFormatting>
  <conditionalFormatting sqref="J23">
    <cfRule type="cellIs" dxfId="32022" priority="93004" stopIfTrue="1" operator="lessThan">
      <formula>0.5</formula>
    </cfRule>
  </conditionalFormatting>
  <conditionalFormatting sqref="J23">
    <cfRule type="cellIs" dxfId="32021" priority="93005" stopIfTrue="1" operator="greaterThanOrEqual">
      <formula>0.5</formula>
    </cfRule>
  </conditionalFormatting>
  <conditionalFormatting sqref="J24">
    <cfRule type="cellIs" dxfId="32020" priority="93006" stopIfTrue="1" operator="equal">
      <formula>-1</formula>
    </cfRule>
  </conditionalFormatting>
  <conditionalFormatting sqref="J24">
    <cfRule type="cellIs" dxfId="32019" priority="93007" stopIfTrue="1" operator="lessThan">
      <formula>0.5</formula>
    </cfRule>
  </conditionalFormatting>
  <conditionalFormatting sqref="J24">
    <cfRule type="cellIs" dxfId="32018" priority="93008" stopIfTrue="1" operator="greaterThanOrEqual">
      <formula>0.5</formula>
    </cfRule>
  </conditionalFormatting>
  <conditionalFormatting sqref="J25">
    <cfRule type="cellIs" dxfId="32017" priority="93009" stopIfTrue="1" operator="equal">
      <formula>-1</formula>
    </cfRule>
  </conditionalFormatting>
  <conditionalFormatting sqref="J25">
    <cfRule type="cellIs" dxfId="32016" priority="93010" stopIfTrue="1" operator="lessThan">
      <formula>0.5</formula>
    </cfRule>
  </conditionalFormatting>
  <conditionalFormatting sqref="J25">
    <cfRule type="cellIs" dxfId="32015" priority="93011" stopIfTrue="1" operator="greaterThanOrEqual">
      <formula>0.5</formula>
    </cfRule>
  </conditionalFormatting>
  <conditionalFormatting sqref="J26">
    <cfRule type="cellIs" dxfId="32014" priority="93012" stopIfTrue="1" operator="equal">
      <formula>-1</formula>
    </cfRule>
  </conditionalFormatting>
  <conditionalFormatting sqref="J26">
    <cfRule type="cellIs" dxfId="32013" priority="93013" stopIfTrue="1" operator="lessThan">
      <formula>0.5</formula>
    </cfRule>
  </conditionalFormatting>
  <conditionalFormatting sqref="J26">
    <cfRule type="cellIs" dxfId="32012" priority="93014" stopIfTrue="1" operator="greaterThanOrEqual">
      <formula>0.5</formula>
    </cfRule>
  </conditionalFormatting>
  <conditionalFormatting sqref="J27">
    <cfRule type="cellIs" dxfId="32011" priority="93015" stopIfTrue="1" operator="equal">
      <formula>-1</formula>
    </cfRule>
  </conditionalFormatting>
  <conditionalFormatting sqref="J27">
    <cfRule type="cellIs" dxfId="32010" priority="93016" stopIfTrue="1" operator="lessThan">
      <formula>0.5</formula>
    </cfRule>
  </conditionalFormatting>
  <conditionalFormatting sqref="J27">
    <cfRule type="cellIs" dxfId="32009" priority="93017" stopIfTrue="1" operator="greaterThanOrEqual">
      <formula>0.5</formula>
    </cfRule>
  </conditionalFormatting>
  <conditionalFormatting sqref="J28">
    <cfRule type="cellIs" dxfId="32008" priority="93018" stopIfTrue="1" operator="equal">
      <formula>-1</formula>
    </cfRule>
  </conditionalFormatting>
  <conditionalFormatting sqref="J28">
    <cfRule type="cellIs" dxfId="32007" priority="93019" stopIfTrue="1" operator="lessThan">
      <formula>0.5</formula>
    </cfRule>
  </conditionalFormatting>
  <conditionalFormatting sqref="J28">
    <cfRule type="cellIs" dxfId="32006" priority="93020" stopIfTrue="1" operator="greaterThanOrEqual">
      <formula>0.5</formula>
    </cfRule>
  </conditionalFormatting>
  <conditionalFormatting sqref="J29">
    <cfRule type="cellIs" dxfId="32005" priority="93021" stopIfTrue="1" operator="equal">
      <formula>-1</formula>
    </cfRule>
  </conditionalFormatting>
  <conditionalFormatting sqref="J29">
    <cfRule type="cellIs" dxfId="32004" priority="93022" stopIfTrue="1" operator="lessThan">
      <formula>0.5</formula>
    </cfRule>
  </conditionalFormatting>
  <conditionalFormatting sqref="J29">
    <cfRule type="cellIs" dxfId="32003" priority="93023" stopIfTrue="1" operator="greaterThanOrEqual">
      <formula>0.5</formula>
    </cfRule>
  </conditionalFormatting>
  <conditionalFormatting sqref="J30">
    <cfRule type="cellIs" dxfId="32002" priority="93024" stopIfTrue="1" operator="equal">
      <formula>-1</formula>
    </cfRule>
  </conditionalFormatting>
  <conditionalFormatting sqref="J30">
    <cfRule type="cellIs" dxfId="32001" priority="93025" stopIfTrue="1" operator="lessThan">
      <formula>0.5</formula>
    </cfRule>
  </conditionalFormatting>
  <conditionalFormatting sqref="J30">
    <cfRule type="cellIs" dxfId="32000" priority="93026" stopIfTrue="1" operator="greaterThanOrEqual">
      <formula>0.5</formula>
    </cfRule>
  </conditionalFormatting>
  <conditionalFormatting sqref="J31">
    <cfRule type="cellIs" dxfId="31999" priority="93027" stopIfTrue="1" operator="equal">
      <formula>-1</formula>
    </cfRule>
  </conditionalFormatting>
  <conditionalFormatting sqref="J31">
    <cfRule type="cellIs" dxfId="31998" priority="93028" stopIfTrue="1" operator="lessThan">
      <formula>0.5</formula>
    </cfRule>
  </conditionalFormatting>
  <conditionalFormatting sqref="J31">
    <cfRule type="cellIs" dxfId="31997" priority="93029" stopIfTrue="1" operator="greaterThanOrEqual">
      <formula>0.5</formula>
    </cfRule>
  </conditionalFormatting>
  <conditionalFormatting sqref="J32">
    <cfRule type="cellIs" dxfId="31996" priority="93030" stopIfTrue="1" operator="equal">
      <formula>-1</formula>
    </cfRule>
  </conditionalFormatting>
  <conditionalFormatting sqref="J32">
    <cfRule type="cellIs" dxfId="31995" priority="93031" stopIfTrue="1" operator="lessThan">
      <formula>0.5</formula>
    </cfRule>
  </conditionalFormatting>
  <conditionalFormatting sqref="J32">
    <cfRule type="cellIs" dxfId="31994" priority="93032" stopIfTrue="1" operator="greaterThanOrEqual">
      <formula>0.5</formula>
    </cfRule>
  </conditionalFormatting>
  <conditionalFormatting sqref="J33">
    <cfRule type="cellIs" dxfId="31993" priority="93033" stopIfTrue="1" operator="equal">
      <formula>-1</formula>
    </cfRule>
  </conditionalFormatting>
  <conditionalFormatting sqref="J33">
    <cfRule type="cellIs" dxfId="31992" priority="93034" stopIfTrue="1" operator="lessThan">
      <formula>0.5</formula>
    </cfRule>
  </conditionalFormatting>
  <conditionalFormatting sqref="J33">
    <cfRule type="cellIs" dxfId="31991" priority="93035" stopIfTrue="1" operator="greaterThanOrEqual">
      <formula>0.5</formula>
    </cfRule>
  </conditionalFormatting>
  <conditionalFormatting sqref="J34">
    <cfRule type="cellIs" dxfId="31990" priority="93036" stopIfTrue="1" operator="equal">
      <formula>-1</formula>
    </cfRule>
  </conditionalFormatting>
  <conditionalFormatting sqref="J34">
    <cfRule type="cellIs" dxfId="31989" priority="93037" stopIfTrue="1" operator="lessThan">
      <formula>0.5</formula>
    </cfRule>
  </conditionalFormatting>
  <conditionalFormatting sqref="J34">
    <cfRule type="cellIs" dxfId="31988" priority="93038" stopIfTrue="1" operator="greaterThanOrEqual">
      <formula>0.5</formula>
    </cfRule>
  </conditionalFormatting>
  <conditionalFormatting sqref="J35">
    <cfRule type="cellIs" dxfId="31987" priority="93039" stopIfTrue="1" operator="equal">
      <formula>-1</formula>
    </cfRule>
  </conditionalFormatting>
  <conditionalFormatting sqref="J35">
    <cfRule type="cellIs" dxfId="31986" priority="93040" stopIfTrue="1" operator="lessThan">
      <formula>0.5</formula>
    </cfRule>
  </conditionalFormatting>
  <conditionalFormatting sqref="J35">
    <cfRule type="cellIs" dxfId="31985" priority="93041" stopIfTrue="1" operator="greaterThanOrEqual">
      <formula>0.5</formula>
    </cfRule>
  </conditionalFormatting>
  <conditionalFormatting sqref="J36">
    <cfRule type="cellIs" dxfId="31984" priority="93042" stopIfTrue="1" operator="equal">
      <formula>-1</formula>
    </cfRule>
  </conditionalFormatting>
  <conditionalFormatting sqref="J36">
    <cfRule type="cellIs" dxfId="31983" priority="93043" stopIfTrue="1" operator="lessThan">
      <formula>0.5</formula>
    </cfRule>
  </conditionalFormatting>
  <conditionalFormatting sqref="J36">
    <cfRule type="cellIs" dxfId="31982" priority="93044" stopIfTrue="1" operator="greaterThanOrEqual">
      <formula>0.5</formula>
    </cfRule>
  </conditionalFormatting>
  <conditionalFormatting sqref="J37">
    <cfRule type="cellIs" dxfId="31981" priority="93045" stopIfTrue="1" operator="equal">
      <formula>-1</formula>
    </cfRule>
  </conditionalFormatting>
  <conditionalFormatting sqref="J37">
    <cfRule type="cellIs" dxfId="31980" priority="93046" stopIfTrue="1" operator="lessThan">
      <formula>0.5</formula>
    </cfRule>
  </conditionalFormatting>
  <conditionalFormatting sqref="J37">
    <cfRule type="cellIs" dxfId="31979" priority="93047" stopIfTrue="1" operator="greaterThanOrEqual">
      <formula>0.5</formula>
    </cfRule>
  </conditionalFormatting>
  <conditionalFormatting sqref="L17">
    <cfRule type="cellIs" dxfId="31978" priority="93048" stopIfTrue="1" operator="equal">
      <formula>-1</formula>
    </cfRule>
  </conditionalFormatting>
  <conditionalFormatting sqref="L17">
    <cfRule type="cellIs" dxfId="31977" priority="93049" stopIfTrue="1" operator="lessThan">
      <formula>0.5</formula>
    </cfRule>
  </conditionalFormatting>
  <conditionalFormatting sqref="L17">
    <cfRule type="cellIs" dxfId="31976" priority="93050" stopIfTrue="1" operator="greaterThanOrEqual">
      <formula>0.5</formula>
    </cfRule>
  </conditionalFormatting>
  <conditionalFormatting sqref="L18">
    <cfRule type="cellIs" dxfId="31975" priority="93051" stopIfTrue="1" operator="equal">
      <formula>-1</formula>
    </cfRule>
  </conditionalFormatting>
  <conditionalFormatting sqref="L18">
    <cfRule type="cellIs" dxfId="31974" priority="93052" stopIfTrue="1" operator="lessThan">
      <formula>0.5</formula>
    </cfRule>
  </conditionalFormatting>
  <conditionalFormatting sqref="L18">
    <cfRule type="cellIs" dxfId="31973" priority="93053" stopIfTrue="1" operator="greaterThanOrEqual">
      <formula>0.5</formula>
    </cfRule>
  </conditionalFormatting>
  <conditionalFormatting sqref="L19">
    <cfRule type="cellIs" dxfId="31972" priority="93054" stopIfTrue="1" operator="equal">
      <formula>-1</formula>
    </cfRule>
  </conditionalFormatting>
  <conditionalFormatting sqref="L19">
    <cfRule type="cellIs" dxfId="31971" priority="93055" stopIfTrue="1" operator="lessThan">
      <formula>0.5</formula>
    </cfRule>
  </conditionalFormatting>
  <conditionalFormatting sqref="L19">
    <cfRule type="cellIs" dxfId="31970" priority="93056" stopIfTrue="1" operator="greaterThanOrEqual">
      <formula>0.5</formula>
    </cfRule>
  </conditionalFormatting>
  <conditionalFormatting sqref="L20">
    <cfRule type="cellIs" dxfId="31969" priority="93057" stopIfTrue="1" operator="equal">
      <formula>-1</formula>
    </cfRule>
  </conditionalFormatting>
  <conditionalFormatting sqref="L20">
    <cfRule type="cellIs" dxfId="31968" priority="93058" stopIfTrue="1" operator="lessThan">
      <formula>0.5</formula>
    </cfRule>
  </conditionalFormatting>
  <conditionalFormatting sqref="L20">
    <cfRule type="cellIs" dxfId="31967" priority="93059" stopIfTrue="1" operator="greaterThanOrEqual">
      <formula>0.5</formula>
    </cfRule>
  </conditionalFormatting>
  <conditionalFormatting sqref="L21">
    <cfRule type="cellIs" dxfId="31966" priority="93060" stopIfTrue="1" operator="equal">
      <formula>-1</formula>
    </cfRule>
  </conditionalFormatting>
  <conditionalFormatting sqref="L21">
    <cfRule type="cellIs" dxfId="31965" priority="93061" stopIfTrue="1" operator="lessThan">
      <formula>0.5</formula>
    </cfRule>
  </conditionalFormatting>
  <conditionalFormatting sqref="L21">
    <cfRule type="cellIs" dxfId="31964" priority="93062" stopIfTrue="1" operator="greaterThanOrEqual">
      <formula>0.5</formula>
    </cfRule>
  </conditionalFormatting>
  <conditionalFormatting sqref="L22">
    <cfRule type="cellIs" dxfId="31963" priority="93063" stopIfTrue="1" operator="equal">
      <formula>-1</formula>
    </cfRule>
  </conditionalFormatting>
  <conditionalFormatting sqref="L22">
    <cfRule type="cellIs" dxfId="31962" priority="93064" stopIfTrue="1" operator="lessThan">
      <formula>0.5</formula>
    </cfRule>
  </conditionalFormatting>
  <conditionalFormatting sqref="L22">
    <cfRule type="cellIs" dxfId="31961" priority="93065" stopIfTrue="1" operator="greaterThanOrEqual">
      <formula>0.5</formula>
    </cfRule>
  </conditionalFormatting>
  <conditionalFormatting sqref="L23">
    <cfRule type="cellIs" dxfId="31960" priority="93066" stopIfTrue="1" operator="equal">
      <formula>-1</formula>
    </cfRule>
  </conditionalFormatting>
  <conditionalFormatting sqref="L23">
    <cfRule type="cellIs" dxfId="31959" priority="93067" stopIfTrue="1" operator="lessThan">
      <formula>0.5</formula>
    </cfRule>
  </conditionalFormatting>
  <conditionalFormatting sqref="L23">
    <cfRule type="cellIs" dxfId="31958" priority="93068" stopIfTrue="1" operator="greaterThanOrEqual">
      <formula>0.5</formula>
    </cfRule>
  </conditionalFormatting>
  <conditionalFormatting sqref="L24">
    <cfRule type="cellIs" dxfId="31957" priority="93069" stopIfTrue="1" operator="equal">
      <formula>-1</formula>
    </cfRule>
  </conditionalFormatting>
  <conditionalFormatting sqref="L24">
    <cfRule type="cellIs" dxfId="31956" priority="93070" stopIfTrue="1" operator="lessThan">
      <formula>0.5</formula>
    </cfRule>
  </conditionalFormatting>
  <conditionalFormatting sqref="L24">
    <cfRule type="cellIs" dxfId="31955" priority="93071" stopIfTrue="1" operator="greaterThanOrEqual">
      <formula>0.5</formula>
    </cfRule>
  </conditionalFormatting>
  <conditionalFormatting sqref="L25">
    <cfRule type="cellIs" dxfId="31954" priority="93072" stopIfTrue="1" operator="equal">
      <formula>-1</formula>
    </cfRule>
  </conditionalFormatting>
  <conditionalFormatting sqref="L25">
    <cfRule type="cellIs" dxfId="31953" priority="93073" stopIfTrue="1" operator="lessThan">
      <formula>0.5</formula>
    </cfRule>
  </conditionalFormatting>
  <conditionalFormatting sqref="L25">
    <cfRule type="cellIs" dxfId="31952" priority="93074" stopIfTrue="1" operator="greaterThanOrEqual">
      <formula>0.5</formula>
    </cfRule>
  </conditionalFormatting>
  <conditionalFormatting sqref="L26">
    <cfRule type="cellIs" dxfId="31951" priority="93075" stopIfTrue="1" operator="equal">
      <formula>-1</formula>
    </cfRule>
  </conditionalFormatting>
  <conditionalFormatting sqref="L26">
    <cfRule type="cellIs" dxfId="31950" priority="93076" stopIfTrue="1" operator="lessThan">
      <formula>0.5</formula>
    </cfRule>
  </conditionalFormatting>
  <conditionalFormatting sqref="L26">
    <cfRule type="cellIs" dxfId="31949" priority="93077" stopIfTrue="1" operator="greaterThanOrEqual">
      <formula>0.5</formula>
    </cfRule>
  </conditionalFormatting>
  <conditionalFormatting sqref="L27">
    <cfRule type="cellIs" dxfId="31948" priority="93078" stopIfTrue="1" operator="equal">
      <formula>-1</formula>
    </cfRule>
  </conditionalFormatting>
  <conditionalFormatting sqref="L27">
    <cfRule type="cellIs" dxfId="31947" priority="93079" stopIfTrue="1" operator="lessThan">
      <formula>0.5</formula>
    </cfRule>
  </conditionalFormatting>
  <conditionalFormatting sqref="L27">
    <cfRule type="cellIs" dxfId="31946" priority="93080" stopIfTrue="1" operator="greaterThanOrEqual">
      <formula>0.5</formula>
    </cfRule>
  </conditionalFormatting>
  <conditionalFormatting sqref="L28">
    <cfRule type="cellIs" dxfId="31945" priority="93081" stopIfTrue="1" operator="equal">
      <formula>-1</formula>
    </cfRule>
  </conditionalFormatting>
  <conditionalFormatting sqref="L28">
    <cfRule type="cellIs" dxfId="31944" priority="93082" stopIfTrue="1" operator="lessThan">
      <formula>0.5</formula>
    </cfRule>
  </conditionalFormatting>
  <conditionalFormatting sqref="L28">
    <cfRule type="cellIs" dxfId="31943" priority="93083" stopIfTrue="1" operator="greaterThanOrEqual">
      <formula>0.5</formula>
    </cfRule>
  </conditionalFormatting>
  <conditionalFormatting sqref="L29">
    <cfRule type="cellIs" dxfId="31942" priority="93084" stopIfTrue="1" operator="equal">
      <formula>-1</formula>
    </cfRule>
  </conditionalFormatting>
  <conditionalFormatting sqref="L29">
    <cfRule type="cellIs" dxfId="31941" priority="93085" stopIfTrue="1" operator="lessThan">
      <formula>0.5</formula>
    </cfRule>
  </conditionalFormatting>
  <conditionalFormatting sqref="L29">
    <cfRule type="cellIs" dxfId="31940" priority="93086" stopIfTrue="1" operator="greaterThanOrEqual">
      <formula>0.5</formula>
    </cfRule>
  </conditionalFormatting>
  <conditionalFormatting sqref="L30">
    <cfRule type="cellIs" dxfId="31939" priority="93087" stopIfTrue="1" operator="equal">
      <formula>-1</formula>
    </cfRule>
  </conditionalFormatting>
  <conditionalFormatting sqref="L30">
    <cfRule type="cellIs" dxfId="31938" priority="93088" stopIfTrue="1" operator="lessThan">
      <formula>0.5</formula>
    </cfRule>
  </conditionalFormatting>
  <conditionalFormatting sqref="L30">
    <cfRule type="cellIs" dxfId="31937" priority="93089" stopIfTrue="1" operator="greaterThanOrEqual">
      <formula>0.5</formula>
    </cfRule>
  </conditionalFormatting>
  <conditionalFormatting sqref="L31">
    <cfRule type="cellIs" dxfId="31936" priority="93090" stopIfTrue="1" operator="equal">
      <formula>-1</formula>
    </cfRule>
  </conditionalFormatting>
  <conditionalFormatting sqref="L31">
    <cfRule type="cellIs" dxfId="31935" priority="93091" stopIfTrue="1" operator="lessThan">
      <formula>0.5</formula>
    </cfRule>
  </conditionalFormatting>
  <conditionalFormatting sqref="L31">
    <cfRule type="cellIs" dxfId="31934" priority="93092" stopIfTrue="1" operator="greaterThanOrEqual">
      <formula>0.5</formula>
    </cfRule>
  </conditionalFormatting>
  <conditionalFormatting sqref="L32">
    <cfRule type="cellIs" dxfId="31933" priority="93093" stopIfTrue="1" operator="equal">
      <formula>-1</formula>
    </cfRule>
  </conditionalFormatting>
  <conditionalFormatting sqref="L32">
    <cfRule type="cellIs" dxfId="31932" priority="93094" stopIfTrue="1" operator="lessThan">
      <formula>0.5</formula>
    </cfRule>
  </conditionalFormatting>
  <conditionalFormatting sqref="L32">
    <cfRule type="cellIs" dxfId="31931" priority="93095" stopIfTrue="1" operator="greaterThanOrEqual">
      <formula>0.5</formula>
    </cfRule>
  </conditionalFormatting>
  <conditionalFormatting sqref="L33">
    <cfRule type="cellIs" dxfId="31930" priority="93096" stopIfTrue="1" operator="equal">
      <formula>-1</formula>
    </cfRule>
  </conditionalFormatting>
  <conditionalFormatting sqref="L33">
    <cfRule type="cellIs" dxfId="31929" priority="93097" stopIfTrue="1" operator="lessThan">
      <formula>0.5</formula>
    </cfRule>
  </conditionalFormatting>
  <conditionalFormatting sqref="L33">
    <cfRule type="cellIs" dxfId="31928" priority="93098" stopIfTrue="1" operator="greaterThanOrEqual">
      <formula>0.5</formula>
    </cfRule>
  </conditionalFormatting>
  <conditionalFormatting sqref="L34">
    <cfRule type="cellIs" dxfId="31927" priority="93099" stopIfTrue="1" operator="equal">
      <formula>-1</formula>
    </cfRule>
  </conditionalFormatting>
  <conditionalFormatting sqref="L34">
    <cfRule type="cellIs" dxfId="31926" priority="93100" stopIfTrue="1" operator="lessThan">
      <formula>0.5</formula>
    </cfRule>
  </conditionalFormatting>
  <conditionalFormatting sqref="L34">
    <cfRule type="cellIs" dxfId="31925" priority="93101" stopIfTrue="1" operator="greaterThanOrEqual">
      <formula>0.5</formula>
    </cfRule>
  </conditionalFormatting>
  <conditionalFormatting sqref="L35">
    <cfRule type="cellIs" dxfId="31924" priority="93102" stopIfTrue="1" operator="equal">
      <formula>-1</formula>
    </cfRule>
  </conditionalFormatting>
  <conditionalFormatting sqref="L35">
    <cfRule type="cellIs" dxfId="31923" priority="93103" stopIfTrue="1" operator="lessThan">
      <formula>0.5</formula>
    </cfRule>
  </conditionalFormatting>
  <conditionalFormatting sqref="L35">
    <cfRule type="cellIs" dxfId="31922" priority="93104" stopIfTrue="1" operator="greaterThanOrEqual">
      <formula>0.5</formula>
    </cfRule>
  </conditionalFormatting>
  <conditionalFormatting sqref="L36">
    <cfRule type="cellIs" dxfId="31921" priority="93105" stopIfTrue="1" operator="equal">
      <formula>-1</formula>
    </cfRule>
  </conditionalFormatting>
  <conditionalFormatting sqref="L36">
    <cfRule type="cellIs" dxfId="31920" priority="93106" stopIfTrue="1" operator="lessThan">
      <formula>0.5</formula>
    </cfRule>
  </conditionalFormatting>
  <conditionalFormatting sqref="L36">
    <cfRule type="cellIs" dxfId="31919" priority="93107" stopIfTrue="1" operator="greaterThanOrEqual">
      <formula>0.5</formula>
    </cfRule>
  </conditionalFormatting>
  <conditionalFormatting sqref="L37">
    <cfRule type="cellIs" dxfId="31918" priority="93108" stopIfTrue="1" operator="equal">
      <formula>-1</formula>
    </cfRule>
  </conditionalFormatting>
  <conditionalFormatting sqref="L37">
    <cfRule type="cellIs" dxfId="31917" priority="93109" stopIfTrue="1" operator="lessThan">
      <formula>0.5</formula>
    </cfRule>
  </conditionalFormatting>
  <conditionalFormatting sqref="L37">
    <cfRule type="cellIs" dxfId="31916" priority="93110" stopIfTrue="1" operator="greaterThanOrEqual">
      <formula>0.5</formula>
    </cfRule>
  </conditionalFormatting>
  <conditionalFormatting sqref="N17">
    <cfRule type="cellIs" dxfId="31915" priority="93111" stopIfTrue="1" operator="equal">
      <formula>-1</formula>
    </cfRule>
  </conditionalFormatting>
  <conditionalFormatting sqref="N17">
    <cfRule type="cellIs" dxfId="31914" priority="93112" stopIfTrue="1" operator="lessThan">
      <formula>0.5</formula>
    </cfRule>
  </conditionalFormatting>
  <conditionalFormatting sqref="N17">
    <cfRule type="cellIs" dxfId="31913" priority="93113" stopIfTrue="1" operator="greaterThanOrEqual">
      <formula>0.5</formula>
    </cfRule>
  </conditionalFormatting>
  <conditionalFormatting sqref="N18">
    <cfRule type="cellIs" dxfId="31912" priority="93114" stopIfTrue="1" operator="equal">
      <formula>-1</formula>
    </cfRule>
  </conditionalFormatting>
  <conditionalFormatting sqref="N18">
    <cfRule type="cellIs" dxfId="31911" priority="93115" stopIfTrue="1" operator="lessThan">
      <formula>0.5</formula>
    </cfRule>
  </conditionalFormatting>
  <conditionalFormatting sqref="N18">
    <cfRule type="cellIs" dxfId="31910" priority="93116" stopIfTrue="1" operator="greaterThanOrEqual">
      <formula>0.5</formula>
    </cfRule>
  </conditionalFormatting>
  <conditionalFormatting sqref="N19">
    <cfRule type="cellIs" dxfId="31909" priority="93117" stopIfTrue="1" operator="equal">
      <formula>-1</formula>
    </cfRule>
  </conditionalFormatting>
  <conditionalFormatting sqref="N19">
    <cfRule type="cellIs" dxfId="31908" priority="93118" stopIfTrue="1" operator="lessThan">
      <formula>0.5</formula>
    </cfRule>
  </conditionalFormatting>
  <conditionalFormatting sqref="N19">
    <cfRule type="cellIs" dxfId="31907" priority="93119" stopIfTrue="1" operator="greaterThanOrEqual">
      <formula>0.5</formula>
    </cfRule>
  </conditionalFormatting>
  <conditionalFormatting sqref="N20">
    <cfRule type="cellIs" dxfId="31906" priority="93120" stopIfTrue="1" operator="equal">
      <formula>-1</formula>
    </cfRule>
  </conditionalFormatting>
  <conditionalFormatting sqref="N20">
    <cfRule type="cellIs" dxfId="31905" priority="93121" stopIfTrue="1" operator="lessThan">
      <formula>0.5</formula>
    </cfRule>
  </conditionalFormatting>
  <conditionalFormatting sqref="N20">
    <cfRule type="cellIs" dxfId="31904" priority="93122" stopIfTrue="1" operator="greaterThanOrEqual">
      <formula>0.5</formula>
    </cfRule>
  </conditionalFormatting>
  <conditionalFormatting sqref="N21">
    <cfRule type="cellIs" dxfId="31903" priority="93123" stopIfTrue="1" operator="equal">
      <formula>-1</formula>
    </cfRule>
  </conditionalFormatting>
  <conditionalFormatting sqref="N21">
    <cfRule type="cellIs" dxfId="31902" priority="93124" stopIfTrue="1" operator="lessThan">
      <formula>0.5</formula>
    </cfRule>
  </conditionalFormatting>
  <conditionalFormatting sqref="N21">
    <cfRule type="cellIs" dxfId="31901" priority="93125" stopIfTrue="1" operator="greaterThanOrEqual">
      <formula>0.5</formula>
    </cfRule>
  </conditionalFormatting>
  <conditionalFormatting sqref="N22">
    <cfRule type="cellIs" dxfId="31900" priority="93126" stopIfTrue="1" operator="equal">
      <formula>-1</formula>
    </cfRule>
  </conditionalFormatting>
  <conditionalFormatting sqref="N22">
    <cfRule type="cellIs" dxfId="31899" priority="93127" stopIfTrue="1" operator="lessThan">
      <formula>0.5</formula>
    </cfRule>
  </conditionalFormatting>
  <conditionalFormatting sqref="N22">
    <cfRule type="cellIs" dxfId="31898" priority="93128" stopIfTrue="1" operator="greaterThanOrEqual">
      <formula>0.5</formula>
    </cfRule>
  </conditionalFormatting>
  <conditionalFormatting sqref="N23">
    <cfRule type="cellIs" dxfId="31897" priority="93129" stopIfTrue="1" operator="equal">
      <formula>-1</formula>
    </cfRule>
  </conditionalFormatting>
  <conditionalFormatting sqref="N23">
    <cfRule type="cellIs" dxfId="31896" priority="93130" stopIfTrue="1" operator="lessThan">
      <formula>0.5</formula>
    </cfRule>
  </conditionalFormatting>
  <conditionalFormatting sqref="N23">
    <cfRule type="cellIs" dxfId="31895" priority="93131" stopIfTrue="1" operator="greaterThanOrEqual">
      <formula>0.5</formula>
    </cfRule>
  </conditionalFormatting>
  <conditionalFormatting sqref="N24">
    <cfRule type="cellIs" dxfId="31894" priority="93132" stopIfTrue="1" operator="equal">
      <formula>-1</formula>
    </cfRule>
  </conditionalFormatting>
  <conditionalFormatting sqref="N24">
    <cfRule type="cellIs" dxfId="31893" priority="93133" stopIfTrue="1" operator="lessThan">
      <formula>0.5</formula>
    </cfRule>
  </conditionalFormatting>
  <conditionalFormatting sqref="N24">
    <cfRule type="cellIs" dxfId="31892" priority="93134" stopIfTrue="1" operator="greaterThanOrEqual">
      <formula>0.5</formula>
    </cfRule>
  </conditionalFormatting>
  <conditionalFormatting sqref="N25">
    <cfRule type="cellIs" dxfId="31891" priority="93135" stopIfTrue="1" operator="equal">
      <formula>-1</formula>
    </cfRule>
  </conditionalFormatting>
  <conditionalFormatting sqref="N25">
    <cfRule type="cellIs" dxfId="31890" priority="93136" stopIfTrue="1" operator="lessThan">
      <formula>0.5</formula>
    </cfRule>
  </conditionalFormatting>
  <conditionalFormatting sqref="N25">
    <cfRule type="cellIs" dxfId="31889" priority="93137" stopIfTrue="1" operator="greaterThanOrEqual">
      <formula>0.5</formula>
    </cfRule>
  </conditionalFormatting>
  <conditionalFormatting sqref="N26">
    <cfRule type="cellIs" dxfId="31888" priority="93138" stopIfTrue="1" operator="equal">
      <formula>-1</formula>
    </cfRule>
  </conditionalFormatting>
  <conditionalFormatting sqref="N26">
    <cfRule type="cellIs" dxfId="31887" priority="93139" stopIfTrue="1" operator="lessThan">
      <formula>0.5</formula>
    </cfRule>
  </conditionalFormatting>
  <conditionalFormatting sqref="N26">
    <cfRule type="cellIs" dxfId="31886" priority="93140" stopIfTrue="1" operator="greaterThanOrEqual">
      <formula>0.5</formula>
    </cfRule>
  </conditionalFormatting>
  <conditionalFormatting sqref="N27">
    <cfRule type="cellIs" dxfId="31885" priority="93141" stopIfTrue="1" operator="equal">
      <formula>-1</formula>
    </cfRule>
  </conditionalFormatting>
  <conditionalFormatting sqref="N27">
    <cfRule type="cellIs" dxfId="31884" priority="93142" stopIfTrue="1" operator="lessThan">
      <formula>0.5</formula>
    </cfRule>
  </conditionalFormatting>
  <conditionalFormatting sqref="N27">
    <cfRule type="cellIs" dxfId="31883" priority="93143" stopIfTrue="1" operator="greaterThanOrEqual">
      <formula>0.5</formula>
    </cfRule>
  </conditionalFormatting>
  <conditionalFormatting sqref="N28">
    <cfRule type="cellIs" dxfId="31882" priority="93144" stopIfTrue="1" operator="equal">
      <formula>-1</formula>
    </cfRule>
  </conditionalFormatting>
  <conditionalFormatting sqref="N28">
    <cfRule type="cellIs" dxfId="31881" priority="93145" stopIfTrue="1" operator="lessThan">
      <formula>0.5</formula>
    </cfRule>
  </conditionalFormatting>
  <conditionalFormatting sqref="N28">
    <cfRule type="cellIs" dxfId="31880" priority="93146" stopIfTrue="1" operator="greaterThanOrEqual">
      <formula>0.5</formula>
    </cfRule>
  </conditionalFormatting>
  <conditionalFormatting sqref="N29">
    <cfRule type="cellIs" dxfId="31879" priority="93147" stopIfTrue="1" operator="equal">
      <formula>-1</formula>
    </cfRule>
  </conditionalFormatting>
  <conditionalFormatting sqref="N29">
    <cfRule type="cellIs" dxfId="31878" priority="93148" stopIfTrue="1" operator="lessThan">
      <formula>0.5</formula>
    </cfRule>
  </conditionalFormatting>
  <conditionalFormatting sqref="N29">
    <cfRule type="cellIs" dxfId="31877" priority="93149" stopIfTrue="1" operator="greaterThanOrEqual">
      <formula>0.5</formula>
    </cfRule>
  </conditionalFormatting>
  <conditionalFormatting sqref="N30">
    <cfRule type="cellIs" dxfId="31876" priority="93150" stopIfTrue="1" operator="equal">
      <formula>-1</formula>
    </cfRule>
  </conditionalFormatting>
  <conditionalFormatting sqref="N30">
    <cfRule type="cellIs" dxfId="31875" priority="93151" stopIfTrue="1" operator="lessThan">
      <formula>0.5</formula>
    </cfRule>
  </conditionalFormatting>
  <conditionalFormatting sqref="N30">
    <cfRule type="cellIs" dxfId="31874" priority="93152" stopIfTrue="1" operator="greaterThanOrEqual">
      <formula>0.5</formula>
    </cfRule>
  </conditionalFormatting>
  <conditionalFormatting sqref="N31">
    <cfRule type="cellIs" dxfId="31873" priority="93153" stopIfTrue="1" operator="equal">
      <formula>-1</formula>
    </cfRule>
  </conditionalFormatting>
  <conditionalFormatting sqref="N31">
    <cfRule type="cellIs" dxfId="31872" priority="93154" stopIfTrue="1" operator="lessThan">
      <formula>0.5</formula>
    </cfRule>
  </conditionalFormatting>
  <conditionalFormatting sqref="N31">
    <cfRule type="cellIs" dxfId="31871" priority="93155" stopIfTrue="1" operator="greaterThanOrEqual">
      <formula>0.5</formula>
    </cfRule>
  </conditionalFormatting>
  <conditionalFormatting sqref="N32">
    <cfRule type="cellIs" dxfId="31870" priority="93156" stopIfTrue="1" operator="equal">
      <formula>-1</formula>
    </cfRule>
  </conditionalFormatting>
  <conditionalFormatting sqref="N32">
    <cfRule type="cellIs" dxfId="31869" priority="93157" stopIfTrue="1" operator="lessThan">
      <formula>0.5</formula>
    </cfRule>
  </conditionalFormatting>
  <conditionalFormatting sqref="N32">
    <cfRule type="cellIs" dxfId="31868" priority="93158" stopIfTrue="1" operator="greaterThanOrEqual">
      <formula>0.5</formula>
    </cfRule>
  </conditionalFormatting>
  <conditionalFormatting sqref="N33">
    <cfRule type="cellIs" dxfId="31867" priority="93159" stopIfTrue="1" operator="equal">
      <formula>-1</formula>
    </cfRule>
  </conditionalFormatting>
  <conditionalFormatting sqref="N33">
    <cfRule type="cellIs" dxfId="31866" priority="93160" stopIfTrue="1" operator="lessThan">
      <formula>0.5</formula>
    </cfRule>
  </conditionalFormatting>
  <conditionalFormatting sqref="N33">
    <cfRule type="cellIs" dxfId="31865" priority="93161" stopIfTrue="1" operator="greaterThanOrEqual">
      <formula>0.5</formula>
    </cfRule>
  </conditionalFormatting>
  <conditionalFormatting sqref="N34">
    <cfRule type="cellIs" dxfId="31864" priority="93162" stopIfTrue="1" operator="equal">
      <formula>-1</formula>
    </cfRule>
  </conditionalFormatting>
  <conditionalFormatting sqref="N34">
    <cfRule type="cellIs" dxfId="31863" priority="93163" stopIfTrue="1" operator="lessThan">
      <formula>0.5</formula>
    </cfRule>
  </conditionalFormatting>
  <conditionalFormatting sqref="N34">
    <cfRule type="cellIs" dxfId="31862" priority="93164" stopIfTrue="1" operator="greaterThanOrEqual">
      <formula>0.5</formula>
    </cfRule>
  </conditionalFormatting>
  <conditionalFormatting sqref="N35">
    <cfRule type="cellIs" dxfId="31861" priority="93165" stopIfTrue="1" operator="equal">
      <formula>-1</formula>
    </cfRule>
  </conditionalFormatting>
  <conditionalFormatting sqref="N35">
    <cfRule type="cellIs" dxfId="31860" priority="93166" stopIfTrue="1" operator="lessThan">
      <formula>0.5</formula>
    </cfRule>
  </conditionalFormatting>
  <conditionalFormatting sqref="N35">
    <cfRule type="cellIs" dxfId="31859" priority="93167" stopIfTrue="1" operator="greaterThanOrEqual">
      <formula>0.5</formula>
    </cfRule>
  </conditionalFormatting>
  <conditionalFormatting sqref="N36">
    <cfRule type="cellIs" dxfId="31858" priority="93168" stopIfTrue="1" operator="equal">
      <formula>-1</formula>
    </cfRule>
  </conditionalFormatting>
  <conditionalFormatting sqref="N36">
    <cfRule type="cellIs" dxfId="31857" priority="93169" stopIfTrue="1" operator="lessThan">
      <formula>0.5</formula>
    </cfRule>
  </conditionalFormatting>
  <conditionalFormatting sqref="N36">
    <cfRule type="cellIs" dxfId="31856" priority="93170" stopIfTrue="1" operator="greaterThanOrEqual">
      <formula>0.5</formula>
    </cfRule>
  </conditionalFormatting>
  <conditionalFormatting sqref="N37">
    <cfRule type="cellIs" dxfId="31855" priority="93171" stopIfTrue="1" operator="equal">
      <formula>-1</formula>
    </cfRule>
  </conditionalFormatting>
  <conditionalFormatting sqref="N37">
    <cfRule type="cellIs" dxfId="31854" priority="93172" stopIfTrue="1" operator="lessThan">
      <formula>0.5</formula>
    </cfRule>
  </conditionalFormatting>
  <conditionalFormatting sqref="N37">
    <cfRule type="cellIs" dxfId="31853" priority="93173" stopIfTrue="1" operator="greaterThanOrEqual">
      <formula>0.5</formula>
    </cfRule>
  </conditionalFormatting>
  <conditionalFormatting sqref="P17">
    <cfRule type="cellIs" dxfId="31852" priority="93174" stopIfTrue="1" operator="equal">
      <formula>-1</formula>
    </cfRule>
  </conditionalFormatting>
  <conditionalFormatting sqref="P17">
    <cfRule type="cellIs" dxfId="31851" priority="93175" stopIfTrue="1" operator="lessThan">
      <formula>0.5</formula>
    </cfRule>
  </conditionalFormatting>
  <conditionalFormatting sqref="P17">
    <cfRule type="cellIs" dxfId="31850" priority="93176" stopIfTrue="1" operator="greaterThanOrEqual">
      <formula>0.5</formula>
    </cfRule>
  </conditionalFormatting>
  <conditionalFormatting sqref="P18">
    <cfRule type="cellIs" dxfId="31849" priority="93177" stopIfTrue="1" operator="equal">
      <formula>-1</formula>
    </cfRule>
  </conditionalFormatting>
  <conditionalFormatting sqref="P18">
    <cfRule type="cellIs" dxfId="31848" priority="93178" stopIfTrue="1" operator="lessThan">
      <formula>0.5</formula>
    </cfRule>
  </conditionalFormatting>
  <conditionalFormatting sqref="P18">
    <cfRule type="cellIs" dxfId="31847" priority="93179" stopIfTrue="1" operator="greaterThanOrEqual">
      <formula>0.5</formula>
    </cfRule>
  </conditionalFormatting>
  <conditionalFormatting sqref="P19">
    <cfRule type="cellIs" dxfId="31846" priority="93180" stopIfTrue="1" operator="equal">
      <formula>-1</formula>
    </cfRule>
  </conditionalFormatting>
  <conditionalFormatting sqref="P19">
    <cfRule type="cellIs" dxfId="31845" priority="93181" stopIfTrue="1" operator="lessThan">
      <formula>0.5</formula>
    </cfRule>
  </conditionalFormatting>
  <conditionalFormatting sqref="P19">
    <cfRule type="cellIs" dxfId="31844" priority="93182" stopIfTrue="1" operator="greaterThanOrEqual">
      <formula>0.5</formula>
    </cfRule>
  </conditionalFormatting>
  <conditionalFormatting sqref="P20">
    <cfRule type="cellIs" dxfId="31843" priority="93183" stopIfTrue="1" operator="equal">
      <formula>-1</formula>
    </cfRule>
  </conditionalFormatting>
  <conditionalFormatting sqref="P20">
    <cfRule type="cellIs" dxfId="31842" priority="93184" stopIfTrue="1" operator="lessThan">
      <formula>0.5</formula>
    </cfRule>
  </conditionalFormatting>
  <conditionalFormatting sqref="P20">
    <cfRule type="cellIs" dxfId="31841" priority="93185" stopIfTrue="1" operator="greaterThanOrEqual">
      <formula>0.5</formula>
    </cfRule>
  </conditionalFormatting>
  <conditionalFormatting sqref="P21">
    <cfRule type="cellIs" dxfId="31840" priority="93186" stopIfTrue="1" operator="equal">
      <formula>-1</formula>
    </cfRule>
  </conditionalFormatting>
  <conditionalFormatting sqref="P21">
    <cfRule type="cellIs" dxfId="31839" priority="93187" stopIfTrue="1" operator="lessThan">
      <formula>0.5</formula>
    </cfRule>
  </conditionalFormatting>
  <conditionalFormatting sqref="P21">
    <cfRule type="cellIs" dxfId="31838" priority="93188" stopIfTrue="1" operator="greaterThanOrEqual">
      <formula>0.5</formula>
    </cfRule>
  </conditionalFormatting>
  <conditionalFormatting sqref="P22">
    <cfRule type="cellIs" dxfId="31837" priority="93189" stopIfTrue="1" operator="equal">
      <formula>-1</formula>
    </cfRule>
  </conditionalFormatting>
  <conditionalFormatting sqref="P22">
    <cfRule type="cellIs" dxfId="31836" priority="93190" stopIfTrue="1" operator="lessThan">
      <formula>0.5</formula>
    </cfRule>
  </conditionalFormatting>
  <conditionalFormatting sqref="P22">
    <cfRule type="cellIs" dxfId="31835" priority="93191" stopIfTrue="1" operator="greaterThanOrEqual">
      <formula>0.5</formula>
    </cfRule>
  </conditionalFormatting>
  <conditionalFormatting sqref="P23">
    <cfRule type="cellIs" dxfId="31834" priority="93192" stopIfTrue="1" operator="equal">
      <formula>-1</formula>
    </cfRule>
  </conditionalFormatting>
  <conditionalFormatting sqref="P23">
    <cfRule type="cellIs" dxfId="31833" priority="93193" stopIfTrue="1" operator="lessThan">
      <formula>0.5</formula>
    </cfRule>
  </conditionalFormatting>
  <conditionalFormatting sqref="P23">
    <cfRule type="cellIs" dxfId="31832" priority="93194" stopIfTrue="1" operator="greaterThanOrEqual">
      <formula>0.5</formula>
    </cfRule>
  </conditionalFormatting>
  <conditionalFormatting sqref="P24">
    <cfRule type="cellIs" dxfId="31831" priority="93195" stopIfTrue="1" operator="equal">
      <formula>-1</formula>
    </cfRule>
  </conditionalFormatting>
  <conditionalFormatting sqref="P24">
    <cfRule type="cellIs" dxfId="31830" priority="93196" stopIfTrue="1" operator="lessThan">
      <formula>0.5</formula>
    </cfRule>
  </conditionalFormatting>
  <conditionalFormatting sqref="P24">
    <cfRule type="cellIs" dxfId="31829" priority="93197" stopIfTrue="1" operator="greaterThanOrEqual">
      <formula>0.5</formula>
    </cfRule>
  </conditionalFormatting>
  <conditionalFormatting sqref="P25">
    <cfRule type="cellIs" dxfId="31828" priority="93198" stopIfTrue="1" operator="equal">
      <formula>-1</formula>
    </cfRule>
  </conditionalFormatting>
  <conditionalFormatting sqref="P25">
    <cfRule type="cellIs" dxfId="31827" priority="93199" stopIfTrue="1" operator="lessThan">
      <formula>0.5</formula>
    </cfRule>
  </conditionalFormatting>
  <conditionalFormatting sqref="P25">
    <cfRule type="cellIs" dxfId="31826" priority="93200" stopIfTrue="1" operator="greaterThanOrEqual">
      <formula>0.5</formula>
    </cfRule>
  </conditionalFormatting>
  <conditionalFormatting sqref="P26">
    <cfRule type="cellIs" dxfId="31825" priority="93201" stopIfTrue="1" operator="equal">
      <formula>-1</formula>
    </cfRule>
  </conditionalFormatting>
  <conditionalFormatting sqref="P26">
    <cfRule type="cellIs" dxfId="31824" priority="93202" stopIfTrue="1" operator="lessThan">
      <formula>0.5</formula>
    </cfRule>
  </conditionalFormatting>
  <conditionalFormatting sqref="P26">
    <cfRule type="cellIs" dxfId="31823" priority="93203" stopIfTrue="1" operator="greaterThanOrEqual">
      <formula>0.5</formula>
    </cfRule>
  </conditionalFormatting>
  <conditionalFormatting sqref="P27">
    <cfRule type="cellIs" dxfId="31822" priority="93204" stopIfTrue="1" operator="equal">
      <formula>-1</formula>
    </cfRule>
  </conditionalFormatting>
  <conditionalFormatting sqref="P27">
    <cfRule type="cellIs" dxfId="31821" priority="93205" stopIfTrue="1" operator="lessThan">
      <formula>0.5</formula>
    </cfRule>
  </conditionalFormatting>
  <conditionalFormatting sqref="P27">
    <cfRule type="cellIs" dxfId="31820" priority="93206" stopIfTrue="1" operator="greaterThanOrEqual">
      <formula>0.5</formula>
    </cfRule>
  </conditionalFormatting>
  <conditionalFormatting sqref="P28">
    <cfRule type="cellIs" dxfId="31819" priority="93207" stopIfTrue="1" operator="equal">
      <formula>-1</formula>
    </cfRule>
  </conditionalFormatting>
  <conditionalFormatting sqref="P28">
    <cfRule type="cellIs" dxfId="31818" priority="93208" stopIfTrue="1" operator="lessThan">
      <formula>0.5</formula>
    </cfRule>
  </conditionalFormatting>
  <conditionalFormatting sqref="P28">
    <cfRule type="cellIs" dxfId="31817" priority="93209" stopIfTrue="1" operator="greaterThanOrEqual">
      <formula>0.5</formula>
    </cfRule>
  </conditionalFormatting>
  <conditionalFormatting sqref="P29">
    <cfRule type="cellIs" dxfId="31816" priority="93210" stopIfTrue="1" operator="equal">
      <formula>-1</formula>
    </cfRule>
  </conditionalFormatting>
  <conditionalFormatting sqref="P29">
    <cfRule type="cellIs" dxfId="31815" priority="93211" stopIfTrue="1" operator="lessThan">
      <formula>0.5</formula>
    </cfRule>
  </conditionalFormatting>
  <conditionalFormatting sqref="P29">
    <cfRule type="cellIs" dxfId="31814" priority="93212" stopIfTrue="1" operator="greaterThanOrEqual">
      <formula>0.5</formula>
    </cfRule>
  </conditionalFormatting>
  <conditionalFormatting sqref="P30">
    <cfRule type="cellIs" dxfId="31813" priority="93213" stopIfTrue="1" operator="equal">
      <formula>-1</formula>
    </cfRule>
  </conditionalFormatting>
  <conditionalFormatting sqref="P30">
    <cfRule type="cellIs" dxfId="31812" priority="93214" stopIfTrue="1" operator="lessThan">
      <formula>0.5</formula>
    </cfRule>
  </conditionalFormatting>
  <conditionalFormatting sqref="P30">
    <cfRule type="cellIs" dxfId="31811" priority="93215" stopIfTrue="1" operator="greaterThanOrEqual">
      <formula>0.5</formula>
    </cfRule>
  </conditionalFormatting>
  <conditionalFormatting sqref="P31">
    <cfRule type="cellIs" dxfId="31810" priority="93216" stopIfTrue="1" operator="equal">
      <formula>-1</formula>
    </cfRule>
  </conditionalFormatting>
  <conditionalFormatting sqref="P31">
    <cfRule type="cellIs" dxfId="31809" priority="93217" stopIfTrue="1" operator="lessThan">
      <formula>0.5</formula>
    </cfRule>
  </conditionalFormatting>
  <conditionalFormatting sqref="P31">
    <cfRule type="cellIs" dxfId="31808" priority="93218" stopIfTrue="1" operator="greaterThanOrEqual">
      <formula>0.5</formula>
    </cfRule>
  </conditionalFormatting>
  <conditionalFormatting sqref="P32">
    <cfRule type="cellIs" dxfId="31807" priority="93219" stopIfTrue="1" operator="equal">
      <formula>-1</formula>
    </cfRule>
  </conditionalFormatting>
  <conditionalFormatting sqref="P32">
    <cfRule type="cellIs" dxfId="31806" priority="93220" stopIfTrue="1" operator="lessThan">
      <formula>0.5</formula>
    </cfRule>
  </conditionalFormatting>
  <conditionalFormatting sqref="P32">
    <cfRule type="cellIs" dxfId="31805" priority="93221" stopIfTrue="1" operator="greaterThanOrEqual">
      <formula>0.5</formula>
    </cfRule>
  </conditionalFormatting>
  <conditionalFormatting sqref="P33">
    <cfRule type="cellIs" dxfId="31804" priority="93222" stopIfTrue="1" operator="equal">
      <formula>-1</formula>
    </cfRule>
  </conditionalFormatting>
  <conditionalFormatting sqref="P33">
    <cfRule type="cellIs" dxfId="31803" priority="93223" stopIfTrue="1" operator="lessThan">
      <formula>0.5</formula>
    </cfRule>
  </conditionalFormatting>
  <conditionalFormatting sqref="P33">
    <cfRule type="cellIs" dxfId="31802" priority="93224" stopIfTrue="1" operator="greaterThanOrEqual">
      <formula>0.5</formula>
    </cfRule>
  </conditionalFormatting>
  <conditionalFormatting sqref="P34">
    <cfRule type="cellIs" dxfId="31801" priority="93225" stopIfTrue="1" operator="equal">
      <formula>-1</formula>
    </cfRule>
  </conditionalFormatting>
  <conditionalFormatting sqref="P34">
    <cfRule type="cellIs" dxfId="31800" priority="93226" stopIfTrue="1" operator="lessThan">
      <formula>0.5</formula>
    </cfRule>
  </conditionalFormatting>
  <conditionalFormatting sqref="P34">
    <cfRule type="cellIs" dxfId="31799" priority="93227" stopIfTrue="1" operator="greaterThanOrEqual">
      <formula>0.5</formula>
    </cfRule>
  </conditionalFormatting>
  <conditionalFormatting sqref="P35">
    <cfRule type="cellIs" dxfId="31798" priority="93228" stopIfTrue="1" operator="equal">
      <formula>-1</formula>
    </cfRule>
  </conditionalFormatting>
  <conditionalFormatting sqref="P35">
    <cfRule type="cellIs" dxfId="31797" priority="93229" stopIfTrue="1" operator="lessThan">
      <formula>0.5</formula>
    </cfRule>
  </conditionalFormatting>
  <conditionalFormatting sqref="P35">
    <cfRule type="cellIs" dxfId="31796" priority="93230" stopIfTrue="1" operator="greaterThanOrEqual">
      <formula>0.5</formula>
    </cfRule>
  </conditionalFormatting>
  <conditionalFormatting sqref="P36">
    <cfRule type="cellIs" dxfId="31795" priority="93231" stopIfTrue="1" operator="equal">
      <formula>-1</formula>
    </cfRule>
  </conditionalFormatting>
  <conditionalFormatting sqref="P36">
    <cfRule type="cellIs" dxfId="31794" priority="93232" stopIfTrue="1" operator="lessThan">
      <formula>0.5</formula>
    </cfRule>
  </conditionalFormatting>
  <conditionalFormatting sqref="P36">
    <cfRule type="cellIs" dxfId="31793" priority="93233" stopIfTrue="1" operator="greaterThanOrEqual">
      <formula>0.5</formula>
    </cfRule>
  </conditionalFormatting>
  <conditionalFormatting sqref="P37">
    <cfRule type="cellIs" dxfId="31792" priority="93234" stopIfTrue="1" operator="equal">
      <formula>-1</formula>
    </cfRule>
  </conditionalFormatting>
  <conditionalFormatting sqref="P37">
    <cfRule type="cellIs" dxfId="31791" priority="93235" stopIfTrue="1" operator="lessThan">
      <formula>0.5</formula>
    </cfRule>
  </conditionalFormatting>
  <conditionalFormatting sqref="P37">
    <cfRule type="cellIs" dxfId="31790" priority="93236" stopIfTrue="1" operator="greaterThanOrEqual">
      <formula>0.5</formula>
    </cfRule>
  </conditionalFormatting>
  <conditionalFormatting sqref="R17">
    <cfRule type="cellIs" dxfId="31789" priority="93237" stopIfTrue="1" operator="equal">
      <formula>-1</formula>
    </cfRule>
  </conditionalFormatting>
  <conditionalFormatting sqref="R17">
    <cfRule type="cellIs" dxfId="31788" priority="93238" stopIfTrue="1" operator="lessThan">
      <formula>0.5</formula>
    </cfRule>
  </conditionalFormatting>
  <conditionalFormatting sqref="R17">
    <cfRule type="cellIs" dxfId="31787" priority="93239" stopIfTrue="1" operator="greaterThanOrEqual">
      <formula>0.5</formula>
    </cfRule>
  </conditionalFormatting>
  <conditionalFormatting sqref="R18">
    <cfRule type="cellIs" dxfId="31786" priority="93240" stopIfTrue="1" operator="equal">
      <formula>-1</formula>
    </cfRule>
  </conditionalFormatting>
  <conditionalFormatting sqref="R18">
    <cfRule type="cellIs" dxfId="31785" priority="93241" stopIfTrue="1" operator="lessThan">
      <formula>0.5</formula>
    </cfRule>
  </conditionalFormatting>
  <conditionalFormatting sqref="R18">
    <cfRule type="cellIs" dxfId="31784" priority="93242" stopIfTrue="1" operator="greaterThanOrEqual">
      <formula>0.5</formula>
    </cfRule>
  </conditionalFormatting>
  <conditionalFormatting sqref="R19">
    <cfRule type="cellIs" dxfId="31783" priority="93243" stopIfTrue="1" operator="equal">
      <formula>-1</formula>
    </cfRule>
  </conditionalFormatting>
  <conditionalFormatting sqref="R19">
    <cfRule type="cellIs" dxfId="31782" priority="93244" stopIfTrue="1" operator="lessThan">
      <formula>0.5</formula>
    </cfRule>
  </conditionalFormatting>
  <conditionalFormatting sqref="R19">
    <cfRule type="cellIs" dxfId="31781" priority="93245" stopIfTrue="1" operator="greaterThanOrEqual">
      <formula>0.5</formula>
    </cfRule>
  </conditionalFormatting>
  <conditionalFormatting sqref="R20">
    <cfRule type="cellIs" dxfId="31780" priority="93246" stopIfTrue="1" operator="equal">
      <formula>-1</formula>
    </cfRule>
  </conditionalFormatting>
  <conditionalFormatting sqref="R20">
    <cfRule type="cellIs" dxfId="31779" priority="93247" stopIfTrue="1" operator="lessThan">
      <formula>0.5</formula>
    </cfRule>
  </conditionalFormatting>
  <conditionalFormatting sqref="R20">
    <cfRule type="cellIs" dxfId="31778" priority="93248" stopIfTrue="1" operator="greaterThanOrEqual">
      <formula>0.5</formula>
    </cfRule>
  </conditionalFormatting>
  <conditionalFormatting sqref="R21">
    <cfRule type="cellIs" dxfId="31777" priority="93249" stopIfTrue="1" operator="equal">
      <formula>-1</formula>
    </cfRule>
  </conditionalFormatting>
  <conditionalFormatting sqref="R21">
    <cfRule type="cellIs" dxfId="31776" priority="93250" stopIfTrue="1" operator="lessThan">
      <formula>0.5</formula>
    </cfRule>
  </conditionalFormatting>
  <conditionalFormatting sqref="R21">
    <cfRule type="cellIs" dxfId="31775" priority="93251" stopIfTrue="1" operator="greaterThanOrEqual">
      <formula>0.5</formula>
    </cfRule>
  </conditionalFormatting>
  <conditionalFormatting sqref="R22">
    <cfRule type="cellIs" dxfId="31774" priority="93252" stopIfTrue="1" operator="equal">
      <formula>-1</formula>
    </cfRule>
  </conditionalFormatting>
  <conditionalFormatting sqref="R22">
    <cfRule type="cellIs" dxfId="31773" priority="93253" stopIfTrue="1" operator="lessThan">
      <formula>0.5</formula>
    </cfRule>
  </conditionalFormatting>
  <conditionalFormatting sqref="R22">
    <cfRule type="cellIs" dxfId="31772" priority="93254" stopIfTrue="1" operator="greaterThanOrEqual">
      <formula>0.5</formula>
    </cfRule>
  </conditionalFormatting>
  <conditionalFormatting sqref="R23">
    <cfRule type="cellIs" dxfId="31771" priority="93255" stopIfTrue="1" operator="equal">
      <formula>-1</formula>
    </cfRule>
  </conditionalFormatting>
  <conditionalFormatting sqref="R23">
    <cfRule type="cellIs" dxfId="31770" priority="93256" stopIfTrue="1" operator="lessThan">
      <formula>0.5</formula>
    </cfRule>
  </conditionalFormatting>
  <conditionalFormatting sqref="R23">
    <cfRule type="cellIs" dxfId="31769" priority="93257" stopIfTrue="1" operator="greaterThanOrEqual">
      <formula>0.5</formula>
    </cfRule>
  </conditionalFormatting>
  <conditionalFormatting sqref="R24">
    <cfRule type="cellIs" dxfId="31768" priority="93258" stopIfTrue="1" operator="equal">
      <formula>-1</formula>
    </cfRule>
  </conditionalFormatting>
  <conditionalFormatting sqref="R24">
    <cfRule type="cellIs" dxfId="31767" priority="93259" stopIfTrue="1" operator="lessThan">
      <formula>0.5</formula>
    </cfRule>
  </conditionalFormatting>
  <conditionalFormatting sqref="R24">
    <cfRule type="cellIs" dxfId="31766" priority="93260" stopIfTrue="1" operator="greaterThanOrEqual">
      <formula>0.5</formula>
    </cfRule>
  </conditionalFormatting>
  <conditionalFormatting sqref="R25">
    <cfRule type="cellIs" dxfId="31765" priority="93261" stopIfTrue="1" operator="equal">
      <formula>-1</formula>
    </cfRule>
  </conditionalFormatting>
  <conditionalFormatting sqref="R25">
    <cfRule type="cellIs" dxfId="31764" priority="93262" stopIfTrue="1" operator="lessThan">
      <formula>0.5</formula>
    </cfRule>
  </conditionalFormatting>
  <conditionalFormatting sqref="R25">
    <cfRule type="cellIs" dxfId="31763" priority="93263" stopIfTrue="1" operator="greaterThanOrEqual">
      <formula>0.5</formula>
    </cfRule>
  </conditionalFormatting>
  <conditionalFormatting sqref="R26">
    <cfRule type="cellIs" dxfId="31762" priority="93264" stopIfTrue="1" operator="equal">
      <formula>-1</formula>
    </cfRule>
  </conditionalFormatting>
  <conditionalFormatting sqref="R26">
    <cfRule type="cellIs" dxfId="31761" priority="93265" stopIfTrue="1" operator="lessThan">
      <formula>0.5</formula>
    </cfRule>
  </conditionalFormatting>
  <conditionalFormatting sqref="R26">
    <cfRule type="cellIs" dxfId="31760" priority="93266" stopIfTrue="1" operator="greaterThanOrEqual">
      <formula>0.5</formula>
    </cfRule>
  </conditionalFormatting>
  <conditionalFormatting sqref="R27">
    <cfRule type="cellIs" dxfId="31759" priority="93267" stopIfTrue="1" operator="equal">
      <formula>-1</formula>
    </cfRule>
  </conditionalFormatting>
  <conditionalFormatting sqref="R27">
    <cfRule type="cellIs" dxfId="31758" priority="93268" stopIfTrue="1" operator="lessThan">
      <formula>0.5</formula>
    </cfRule>
  </conditionalFormatting>
  <conditionalFormatting sqref="R27">
    <cfRule type="cellIs" dxfId="31757" priority="93269" stopIfTrue="1" operator="greaterThanOrEqual">
      <formula>0.5</formula>
    </cfRule>
  </conditionalFormatting>
  <conditionalFormatting sqref="R28">
    <cfRule type="cellIs" dxfId="31756" priority="93270" stopIfTrue="1" operator="equal">
      <formula>-1</formula>
    </cfRule>
  </conditionalFormatting>
  <conditionalFormatting sqref="R28">
    <cfRule type="cellIs" dxfId="31755" priority="93271" stopIfTrue="1" operator="lessThan">
      <formula>0.5</formula>
    </cfRule>
  </conditionalFormatting>
  <conditionalFormatting sqref="R28">
    <cfRule type="cellIs" dxfId="31754" priority="93272" stopIfTrue="1" operator="greaterThanOrEqual">
      <formula>0.5</formula>
    </cfRule>
  </conditionalFormatting>
  <conditionalFormatting sqref="R29">
    <cfRule type="cellIs" dxfId="31753" priority="93273" stopIfTrue="1" operator="equal">
      <formula>-1</formula>
    </cfRule>
  </conditionalFormatting>
  <conditionalFormatting sqref="R29">
    <cfRule type="cellIs" dxfId="31752" priority="93274" stopIfTrue="1" operator="lessThan">
      <formula>0.5</formula>
    </cfRule>
  </conditionalFormatting>
  <conditionalFormatting sqref="R29">
    <cfRule type="cellIs" dxfId="31751" priority="93275" stopIfTrue="1" operator="greaterThanOrEqual">
      <formula>0.5</formula>
    </cfRule>
  </conditionalFormatting>
  <conditionalFormatting sqref="R30">
    <cfRule type="cellIs" dxfId="31750" priority="93276" stopIfTrue="1" operator="equal">
      <formula>-1</formula>
    </cfRule>
  </conditionalFormatting>
  <conditionalFormatting sqref="R30">
    <cfRule type="cellIs" dxfId="31749" priority="93277" stopIfTrue="1" operator="lessThan">
      <formula>0.5</formula>
    </cfRule>
  </conditionalFormatting>
  <conditionalFormatting sqref="R30">
    <cfRule type="cellIs" dxfId="31748" priority="93278" stopIfTrue="1" operator="greaterThanOrEqual">
      <formula>0.5</formula>
    </cfRule>
  </conditionalFormatting>
  <conditionalFormatting sqref="R31">
    <cfRule type="cellIs" dxfId="31747" priority="93279" stopIfTrue="1" operator="equal">
      <formula>-1</formula>
    </cfRule>
  </conditionalFormatting>
  <conditionalFormatting sqref="R31">
    <cfRule type="cellIs" dxfId="31746" priority="93280" stopIfTrue="1" operator="lessThan">
      <formula>0.5</formula>
    </cfRule>
  </conditionalFormatting>
  <conditionalFormatting sqref="R31">
    <cfRule type="cellIs" dxfId="31745" priority="93281" stopIfTrue="1" operator="greaterThanOrEqual">
      <formula>0.5</formula>
    </cfRule>
  </conditionalFormatting>
  <conditionalFormatting sqref="R32">
    <cfRule type="cellIs" dxfId="31744" priority="93282" stopIfTrue="1" operator="equal">
      <formula>-1</formula>
    </cfRule>
  </conditionalFormatting>
  <conditionalFormatting sqref="R32">
    <cfRule type="cellIs" dxfId="31743" priority="93283" stopIfTrue="1" operator="lessThan">
      <formula>0.5</formula>
    </cfRule>
  </conditionalFormatting>
  <conditionalFormatting sqref="R32">
    <cfRule type="cellIs" dxfId="31742" priority="93284" stopIfTrue="1" operator="greaterThanOrEqual">
      <formula>0.5</formula>
    </cfRule>
  </conditionalFormatting>
  <conditionalFormatting sqref="R33">
    <cfRule type="cellIs" dxfId="31741" priority="93285" stopIfTrue="1" operator="equal">
      <formula>-1</formula>
    </cfRule>
  </conditionalFormatting>
  <conditionalFormatting sqref="R33">
    <cfRule type="cellIs" dxfId="31740" priority="93286" stopIfTrue="1" operator="lessThan">
      <formula>0.5</formula>
    </cfRule>
  </conditionalFormatting>
  <conditionalFormatting sqref="R33">
    <cfRule type="cellIs" dxfId="31739" priority="93287" stopIfTrue="1" operator="greaterThanOrEqual">
      <formula>0.5</formula>
    </cfRule>
  </conditionalFormatting>
  <conditionalFormatting sqref="R34">
    <cfRule type="cellIs" dxfId="31738" priority="93288" stopIfTrue="1" operator="equal">
      <formula>-1</formula>
    </cfRule>
  </conditionalFormatting>
  <conditionalFormatting sqref="R34">
    <cfRule type="cellIs" dxfId="31737" priority="93289" stopIfTrue="1" operator="lessThan">
      <formula>0.5</formula>
    </cfRule>
  </conditionalFormatting>
  <conditionalFormatting sqref="R34">
    <cfRule type="cellIs" dxfId="31736" priority="93290" stopIfTrue="1" operator="greaterThanOrEqual">
      <formula>0.5</formula>
    </cfRule>
  </conditionalFormatting>
  <conditionalFormatting sqref="R35">
    <cfRule type="cellIs" dxfId="31735" priority="93291" stopIfTrue="1" operator="equal">
      <formula>-1</formula>
    </cfRule>
  </conditionalFormatting>
  <conditionalFormatting sqref="R35">
    <cfRule type="cellIs" dxfId="31734" priority="93292" stopIfTrue="1" operator="lessThan">
      <formula>0.5</formula>
    </cfRule>
  </conditionalFormatting>
  <conditionalFormatting sqref="R35">
    <cfRule type="cellIs" dxfId="31733" priority="93293" stopIfTrue="1" operator="greaterThanOrEqual">
      <formula>0.5</formula>
    </cfRule>
  </conditionalFormatting>
  <conditionalFormatting sqref="R36">
    <cfRule type="cellIs" dxfId="31732" priority="93294" stopIfTrue="1" operator="equal">
      <formula>-1</formula>
    </cfRule>
  </conditionalFormatting>
  <conditionalFormatting sqref="R36">
    <cfRule type="cellIs" dxfId="31731" priority="93295" stopIfTrue="1" operator="lessThan">
      <formula>0.5</formula>
    </cfRule>
  </conditionalFormatting>
  <conditionalFormatting sqref="R36">
    <cfRule type="cellIs" dxfId="31730" priority="93296" stopIfTrue="1" operator="greaterThanOrEqual">
      <formula>0.5</formula>
    </cfRule>
  </conditionalFormatting>
  <conditionalFormatting sqref="R37">
    <cfRule type="cellIs" dxfId="31729" priority="93297" stopIfTrue="1" operator="equal">
      <formula>-1</formula>
    </cfRule>
  </conditionalFormatting>
  <conditionalFormatting sqref="R37">
    <cfRule type="cellIs" dxfId="31728" priority="93298" stopIfTrue="1" operator="lessThan">
      <formula>0.5</formula>
    </cfRule>
  </conditionalFormatting>
  <conditionalFormatting sqref="R37">
    <cfRule type="cellIs" dxfId="31727" priority="93299" stopIfTrue="1" operator="greaterThanOrEqual">
      <formula>0.5</formula>
    </cfRule>
  </conditionalFormatting>
  <conditionalFormatting sqref="T17">
    <cfRule type="cellIs" dxfId="31726" priority="93300" stopIfTrue="1" operator="equal">
      <formula>-1</formula>
    </cfRule>
  </conditionalFormatting>
  <conditionalFormatting sqref="T17">
    <cfRule type="cellIs" dxfId="31725" priority="93301" stopIfTrue="1" operator="lessThan">
      <formula>0.5</formula>
    </cfRule>
  </conditionalFormatting>
  <conditionalFormatting sqref="T17">
    <cfRule type="cellIs" dxfId="31724" priority="93302" stopIfTrue="1" operator="greaterThanOrEqual">
      <formula>0.5</formula>
    </cfRule>
  </conditionalFormatting>
  <conditionalFormatting sqref="T18">
    <cfRule type="cellIs" dxfId="31723" priority="93303" stopIfTrue="1" operator="equal">
      <formula>-1</formula>
    </cfRule>
  </conditionalFormatting>
  <conditionalFormatting sqref="T18">
    <cfRule type="cellIs" dxfId="31722" priority="93304" stopIfTrue="1" operator="lessThan">
      <formula>0.5</formula>
    </cfRule>
  </conditionalFormatting>
  <conditionalFormatting sqref="T18">
    <cfRule type="cellIs" dxfId="31721" priority="93305" stopIfTrue="1" operator="greaterThanOrEqual">
      <formula>0.5</formula>
    </cfRule>
  </conditionalFormatting>
  <conditionalFormatting sqref="T19">
    <cfRule type="cellIs" dxfId="31720" priority="93306" stopIfTrue="1" operator="equal">
      <formula>-1</formula>
    </cfRule>
  </conditionalFormatting>
  <conditionalFormatting sqref="T19">
    <cfRule type="cellIs" dxfId="31719" priority="93307" stopIfTrue="1" operator="lessThan">
      <formula>0.5</formula>
    </cfRule>
  </conditionalFormatting>
  <conditionalFormatting sqref="T19">
    <cfRule type="cellIs" dxfId="31718" priority="93308" stopIfTrue="1" operator="greaterThanOrEqual">
      <formula>0.5</formula>
    </cfRule>
  </conditionalFormatting>
  <conditionalFormatting sqref="T20">
    <cfRule type="cellIs" dxfId="31717" priority="93309" stopIfTrue="1" operator="equal">
      <formula>-1</formula>
    </cfRule>
  </conditionalFormatting>
  <conditionalFormatting sqref="T20">
    <cfRule type="cellIs" dxfId="31716" priority="93310" stopIfTrue="1" operator="lessThan">
      <formula>0.5</formula>
    </cfRule>
  </conditionalFormatting>
  <conditionalFormatting sqref="T20">
    <cfRule type="cellIs" dxfId="31715" priority="93311" stopIfTrue="1" operator="greaterThanOrEqual">
      <formula>0.5</formula>
    </cfRule>
  </conditionalFormatting>
  <conditionalFormatting sqref="T21">
    <cfRule type="cellIs" dxfId="31714" priority="93312" stopIfTrue="1" operator="equal">
      <formula>-1</formula>
    </cfRule>
  </conditionalFormatting>
  <conditionalFormatting sqref="T21">
    <cfRule type="cellIs" dxfId="31713" priority="93313" stopIfTrue="1" operator="lessThan">
      <formula>0.5</formula>
    </cfRule>
  </conditionalFormatting>
  <conditionalFormatting sqref="T21">
    <cfRule type="cellIs" dxfId="31712" priority="93314" stopIfTrue="1" operator="greaterThanOrEqual">
      <formula>0.5</formula>
    </cfRule>
  </conditionalFormatting>
  <conditionalFormatting sqref="T22">
    <cfRule type="cellIs" dxfId="31711" priority="93315" stopIfTrue="1" operator="equal">
      <formula>-1</formula>
    </cfRule>
  </conditionalFormatting>
  <conditionalFormatting sqref="T22">
    <cfRule type="cellIs" dxfId="31710" priority="93316" stopIfTrue="1" operator="lessThan">
      <formula>0.5</formula>
    </cfRule>
  </conditionalFormatting>
  <conditionalFormatting sqref="T22">
    <cfRule type="cellIs" dxfId="31709" priority="93317" stopIfTrue="1" operator="greaterThanOrEqual">
      <formula>0.5</formula>
    </cfRule>
  </conditionalFormatting>
  <conditionalFormatting sqref="T23">
    <cfRule type="cellIs" dxfId="31708" priority="93318" stopIfTrue="1" operator="equal">
      <formula>-1</formula>
    </cfRule>
  </conditionalFormatting>
  <conditionalFormatting sqref="T23">
    <cfRule type="cellIs" dxfId="31707" priority="93319" stopIfTrue="1" operator="lessThan">
      <formula>0.5</formula>
    </cfRule>
  </conditionalFormatting>
  <conditionalFormatting sqref="T23">
    <cfRule type="cellIs" dxfId="31706" priority="93320" stopIfTrue="1" operator="greaterThanOrEqual">
      <formula>0.5</formula>
    </cfRule>
  </conditionalFormatting>
  <conditionalFormatting sqref="T24">
    <cfRule type="cellIs" dxfId="31705" priority="93321" stopIfTrue="1" operator="equal">
      <formula>-1</formula>
    </cfRule>
  </conditionalFormatting>
  <conditionalFormatting sqref="T24">
    <cfRule type="cellIs" dxfId="31704" priority="93322" stopIfTrue="1" operator="lessThan">
      <formula>0.5</formula>
    </cfRule>
  </conditionalFormatting>
  <conditionalFormatting sqref="T24">
    <cfRule type="cellIs" dxfId="31703" priority="93323" stopIfTrue="1" operator="greaterThanOrEqual">
      <formula>0.5</formula>
    </cfRule>
  </conditionalFormatting>
  <conditionalFormatting sqref="T25">
    <cfRule type="cellIs" dxfId="31702" priority="93324" stopIfTrue="1" operator="equal">
      <formula>-1</formula>
    </cfRule>
  </conditionalFormatting>
  <conditionalFormatting sqref="T25">
    <cfRule type="cellIs" dxfId="31701" priority="93325" stopIfTrue="1" operator="lessThan">
      <formula>0.5</formula>
    </cfRule>
  </conditionalFormatting>
  <conditionalFormatting sqref="T25">
    <cfRule type="cellIs" dxfId="31700" priority="93326" stopIfTrue="1" operator="greaterThanOrEqual">
      <formula>0.5</formula>
    </cfRule>
  </conditionalFormatting>
  <conditionalFormatting sqref="T26">
    <cfRule type="cellIs" dxfId="31699" priority="93327" stopIfTrue="1" operator="equal">
      <formula>-1</formula>
    </cfRule>
  </conditionalFormatting>
  <conditionalFormatting sqref="T26">
    <cfRule type="cellIs" dxfId="31698" priority="93328" stopIfTrue="1" operator="lessThan">
      <formula>0.5</formula>
    </cfRule>
  </conditionalFormatting>
  <conditionalFormatting sqref="T26">
    <cfRule type="cellIs" dxfId="31697" priority="93329" stopIfTrue="1" operator="greaterThanOrEqual">
      <formula>0.5</formula>
    </cfRule>
  </conditionalFormatting>
  <conditionalFormatting sqref="T27">
    <cfRule type="cellIs" dxfId="31696" priority="93330" stopIfTrue="1" operator="equal">
      <formula>-1</formula>
    </cfRule>
  </conditionalFormatting>
  <conditionalFormatting sqref="T27">
    <cfRule type="cellIs" dxfId="31695" priority="93331" stopIfTrue="1" operator="lessThan">
      <formula>0.5</formula>
    </cfRule>
  </conditionalFormatting>
  <conditionalFormatting sqref="T27">
    <cfRule type="cellIs" dxfId="31694" priority="93332" stopIfTrue="1" operator="greaterThanOrEqual">
      <formula>0.5</formula>
    </cfRule>
  </conditionalFormatting>
  <conditionalFormatting sqref="T28">
    <cfRule type="cellIs" dxfId="31693" priority="93333" stopIfTrue="1" operator="equal">
      <formula>-1</formula>
    </cfRule>
  </conditionalFormatting>
  <conditionalFormatting sqref="T28">
    <cfRule type="cellIs" dxfId="31692" priority="93334" stopIfTrue="1" operator="lessThan">
      <formula>0.5</formula>
    </cfRule>
  </conditionalFormatting>
  <conditionalFormatting sqref="T28">
    <cfRule type="cellIs" dxfId="31691" priority="93335" stopIfTrue="1" operator="greaterThanOrEqual">
      <formula>0.5</formula>
    </cfRule>
  </conditionalFormatting>
  <conditionalFormatting sqref="T29">
    <cfRule type="cellIs" dxfId="31690" priority="93336" stopIfTrue="1" operator="equal">
      <formula>-1</formula>
    </cfRule>
  </conditionalFormatting>
  <conditionalFormatting sqref="T29">
    <cfRule type="cellIs" dxfId="31689" priority="93337" stopIfTrue="1" operator="lessThan">
      <formula>0.5</formula>
    </cfRule>
  </conditionalFormatting>
  <conditionalFormatting sqref="T29">
    <cfRule type="cellIs" dxfId="31688" priority="93338" stopIfTrue="1" operator="greaterThanOrEqual">
      <formula>0.5</formula>
    </cfRule>
  </conditionalFormatting>
  <conditionalFormatting sqref="T30">
    <cfRule type="cellIs" dxfId="31687" priority="93339" stopIfTrue="1" operator="equal">
      <formula>-1</formula>
    </cfRule>
  </conditionalFormatting>
  <conditionalFormatting sqref="T30">
    <cfRule type="cellIs" dxfId="31686" priority="93340" stopIfTrue="1" operator="lessThan">
      <formula>0.5</formula>
    </cfRule>
  </conditionalFormatting>
  <conditionalFormatting sqref="T30">
    <cfRule type="cellIs" dxfId="31685" priority="93341" stopIfTrue="1" operator="greaterThanOrEqual">
      <formula>0.5</formula>
    </cfRule>
  </conditionalFormatting>
  <conditionalFormatting sqref="T31">
    <cfRule type="cellIs" dxfId="31684" priority="93342" stopIfTrue="1" operator="equal">
      <formula>-1</formula>
    </cfRule>
  </conditionalFormatting>
  <conditionalFormatting sqref="T31">
    <cfRule type="cellIs" dxfId="31683" priority="93343" stopIfTrue="1" operator="lessThan">
      <formula>0.5</formula>
    </cfRule>
  </conditionalFormatting>
  <conditionalFormatting sqref="T31">
    <cfRule type="cellIs" dxfId="31682" priority="93344" stopIfTrue="1" operator="greaterThanOrEqual">
      <formula>0.5</formula>
    </cfRule>
  </conditionalFormatting>
  <conditionalFormatting sqref="T32">
    <cfRule type="cellIs" dxfId="31681" priority="93345" stopIfTrue="1" operator="equal">
      <formula>-1</formula>
    </cfRule>
  </conditionalFormatting>
  <conditionalFormatting sqref="T32">
    <cfRule type="cellIs" dxfId="31680" priority="93346" stopIfTrue="1" operator="lessThan">
      <formula>0.5</formula>
    </cfRule>
  </conditionalFormatting>
  <conditionalFormatting sqref="T32">
    <cfRule type="cellIs" dxfId="31679" priority="93347" stopIfTrue="1" operator="greaterThanOrEqual">
      <formula>0.5</formula>
    </cfRule>
  </conditionalFormatting>
  <conditionalFormatting sqref="T33">
    <cfRule type="cellIs" dxfId="31678" priority="93348" stopIfTrue="1" operator="equal">
      <formula>-1</formula>
    </cfRule>
  </conditionalFormatting>
  <conditionalFormatting sqref="T33">
    <cfRule type="cellIs" dxfId="31677" priority="93349" stopIfTrue="1" operator="lessThan">
      <formula>0.5</formula>
    </cfRule>
  </conditionalFormatting>
  <conditionalFormatting sqref="T33">
    <cfRule type="cellIs" dxfId="31676" priority="93350" stopIfTrue="1" operator="greaterThanOrEqual">
      <formula>0.5</formula>
    </cfRule>
  </conditionalFormatting>
  <conditionalFormatting sqref="T34">
    <cfRule type="cellIs" dxfId="31675" priority="93351" stopIfTrue="1" operator="equal">
      <formula>-1</formula>
    </cfRule>
  </conditionalFormatting>
  <conditionalFormatting sqref="T34">
    <cfRule type="cellIs" dxfId="31674" priority="93352" stopIfTrue="1" operator="lessThan">
      <formula>0.5</formula>
    </cfRule>
  </conditionalFormatting>
  <conditionalFormatting sqref="T34">
    <cfRule type="cellIs" dxfId="31673" priority="93353" stopIfTrue="1" operator="greaterThanOrEqual">
      <formula>0.5</formula>
    </cfRule>
  </conditionalFormatting>
  <conditionalFormatting sqref="T35">
    <cfRule type="cellIs" dxfId="31672" priority="93354" stopIfTrue="1" operator="equal">
      <formula>-1</formula>
    </cfRule>
  </conditionalFormatting>
  <conditionalFormatting sqref="T35">
    <cfRule type="cellIs" dxfId="31671" priority="93355" stopIfTrue="1" operator="lessThan">
      <formula>0.5</formula>
    </cfRule>
  </conditionalFormatting>
  <conditionalFormatting sqref="T35">
    <cfRule type="cellIs" dxfId="31670" priority="93356" stopIfTrue="1" operator="greaterThanOrEqual">
      <formula>0.5</formula>
    </cfRule>
  </conditionalFormatting>
  <conditionalFormatting sqref="T36">
    <cfRule type="cellIs" dxfId="31669" priority="93357" stopIfTrue="1" operator="equal">
      <formula>-1</formula>
    </cfRule>
  </conditionalFormatting>
  <conditionalFormatting sqref="T36">
    <cfRule type="cellIs" dxfId="31668" priority="93358" stopIfTrue="1" operator="lessThan">
      <formula>0.5</formula>
    </cfRule>
  </conditionalFormatting>
  <conditionalFormatting sqref="T36">
    <cfRule type="cellIs" dxfId="31667" priority="93359" stopIfTrue="1" operator="greaterThanOrEqual">
      <formula>0.5</formula>
    </cfRule>
  </conditionalFormatting>
  <conditionalFormatting sqref="T37">
    <cfRule type="cellIs" dxfId="31666" priority="93360" stopIfTrue="1" operator="equal">
      <formula>-1</formula>
    </cfRule>
  </conditionalFormatting>
  <conditionalFormatting sqref="T37">
    <cfRule type="cellIs" dxfId="31665" priority="93361" stopIfTrue="1" operator="lessThan">
      <formula>0.5</formula>
    </cfRule>
  </conditionalFormatting>
  <conditionalFormatting sqref="T37">
    <cfRule type="cellIs" dxfId="31664" priority="93362" stopIfTrue="1" operator="greaterThanOrEqual">
      <formula>0.5</formula>
    </cfRule>
  </conditionalFormatting>
  <conditionalFormatting sqref="V17">
    <cfRule type="cellIs" dxfId="31663" priority="93363" stopIfTrue="1" operator="equal">
      <formula>-1</formula>
    </cfRule>
  </conditionalFormatting>
  <conditionalFormatting sqref="V17">
    <cfRule type="cellIs" dxfId="31662" priority="93364" stopIfTrue="1" operator="lessThan">
      <formula>0.5</formula>
    </cfRule>
  </conditionalFormatting>
  <conditionalFormatting sqref="V17">
    <cfRule type="cellIs" dxfId="31661" priority="93365" stopIfTrue="1" operator="greaterThanOrEqual">
      <formula>0.5</formula>
    </cfRule>
  </conditionalFormatting>
  <conditionalFormatting sqref="V18">
    <cfRule type="cellIs" dxfId="31660" priority="93366" stopIfTrue="1" operator="equal">
      <formula>-1</formula>
    </cfRule>
  </conditionalFormatting>
  <conditionalFormatting sqref="V18">
    <cfRule type="cellIs" dxfId="31659" priority="93367" stopIfTrue="1" operator="lessThan">
      <formula>0.5</formula>
    </cfRule>
  </conditionalFormatting>
  <conditionalFormatting sqref="V18">
    <cfRule type="cellIs" dxfId="31658" priority="93368" stopIfTrue="1" operator="greaterThanOrEqual">
      <formula>0.5</formula>
    </cfRule>
  </conditionalFormatting>
  <conditionalFormatting sqref="V19">
    <cfRule type="cellIs" dxfId="31657" priority="93369" stopIfTrue="1" operator="equal">
      <formula>-1</formula>
    </cfRule>
  </conditionalFormatting>
  <conditionalFormatting sqref="V19">
    <cfRule type="cellIs" dxfId="31656" priority="93370" stopIfTrue="1" operator="lessThan">
      <formula>0.5</formula>
    </cfRule>
  </conditionalFormatting>
  <conditionalFormatting sqref="V19">
    <cfRule type="cellIs" dxfId="31655" priority="93371" stopIfTrue="1" operator="greaterThanOrEqual">
      <formula>0.5</formula>
    </cfRule>
  </conditionalFormatting>
  <conditionalFormatting sqref="V20">
    <cfRule type="cellIs" dxfId="31654" priority="93372" stopIfTrue="1" operator="equal">
      <formula>-1</formula>
    </cfRule>
  </conditionalFormatting>
  <conditionalFormatting sqref="V20">
    <cfRule type="cellIs" dxfId="31653" priority="93373" stopIfTrue="1" operator="lessThan">
      <formula>0.5</formula>
    </cfRule>
  </conditionalFormatting>
  <conditionalFormatting sqref="V20">
    <cfRule type="cellIs" dxfId="31652" priority="93374" stopIfTrue="1" operator="greaterThanOrEqual">
      <formula>0.5</formula>
    </cfRule>
  </conditionalFormatting>
  <conditionalFormatting sqref="V21">
    <cfRule type="cellIs" dxfId="31651" priority="93375" stopIfTrue="1" operator="equal">
      <formula>-1</formula>
    </cfRule>
  </conditionalFormatting>
  <conditionalFormatting sqref="V21">
    <cfRule type="cellIs" dxfId="31650" priority="93376" stopIfTrue="1" operator="lessThan">
      <formula>0.5</formula>
    </cfRule>
  </conditionalFormatting>
  <conditionalFormatting sqref="V21">
    <cfRule type="cellIs" dxfId="31649" priority="93377" stopIfTrue="1" operator="greaterThanOrEqual">
      <formula>0.5</formula>
    </cfRule>
  </conditionalFormatting>
  <conditionalFormatting sqref="V22">
    <cfRule type="cellIs" dxfId="31648" priority="93378" stopIfTrue="1" operator="equal">
      <formula>-1</formula>
    </cfRule>
  </conditionalFormatting>
  <conditionalFormatting sqref="V22">
    <cfRule type="cellIs" dxfId="31647" priority="93379" stopIfTrue="1" operator="lessThan">
      <formula>0.5</formula>
    </cfRule>
  </conditionalFormatting>
  <conditionalFormatting sqref="V22">
    <cfRule type="cellIs" dxfId="31646" priority="93380" stopIfTrue="1" operator="greaterThanOrEqual">
      <formula>0.5</formula>
    </cfRule>
  </conditionalFormatting>
  <conditionalFormatting sqref="V23">
    <cfRule type="cellIs" dxfId="31645" priority="93381" stopIfTrue="1" operator="equal">
      <formula>-1</formula>
    </cfRule>
  </conditionalFormatting>
  <conditionalFormatting sqref="V23">
    <cfRule type="cellIs" dxfId="31644" priority="93382" stopIfTrue="1" operator="lessThan">
      <formula>0.5</formula>
    </cfRule>
  </conditionalFormatting>
  <conditionalFormatting sqref="V23">
    <cfRule type="cellIs" dxfId="31643" priority="93383" stopIfTrue="1" operator="greaterThanOrEqual">
      <formula>0.5</formula>
    </cfRule>
  </conditionalFormatting>
  <conditionalFormatting sqref="V24">
    <cfRule type="cellIs" dxfId="31642" priority="93384" stopIfTrue="1" operator="equal">
      <formula>-1</formula>
    </cfRule>
  </conditionalFormatting>
  <conditionalFormatting sqref="V24">
    <cfRule type="cellIs" dxfId="31641" priority="93385" stopIfTrue="1" operator="lessThan">
      <formula>0.5</formula>
    </cfRule>
  </conditionalFormatting>
  <conditionalFormatting sqref="V24">
    <cfRule type="cellIs" dxfId="31640" priority="93386" stopIfTrue="1" operator="greaterThanOrEqual">
      <formula>0.5</formula>
    </cfRule>
  </conditionalFormatting>
  <conditionalFormatting sqref="V25">
    <cfRule type="cellIs" dxfId="31639" priority="93387" stopIfTrue="1" operator="equal">
      <formula>-1</formula>
    </cfRule>
  </conditionalFormatting>
  <conditionalFormatting sqref="V25">
    <cfRule type="cellIs" dxfId="31638" priority="93388" stopIfTrue="1" operator="lessThan">
      <formula>0.5</formula>
    </cfRule>
  </conditionalFormatting>
  <conditionalFormatting sqref="V25">
    <cfRule type="cellIs" dxfId="31637" priority="93389" stopIfTrue="1" operator="greaterThanOrEqual">
      <formula>0.5</formula>
    </cfRule>
  </conditionalFormatting>
  <conditionalFormatting sqref="V26">
    <cfRule type="cellIs" dxfId="31636" priority="93390" stopIfTrue="1" operator="equal">
      <formula>-1</formula>
    </cfRule>
  </conditionalFormatting>
  <conditionalFormatting sqref="V26">
    <cfRule type="cellIs" dxfId="31635" priority="93391" stopIfTrue="1" operator="lessThan">
      <formula>0.5</formula>
    </cfRule>
  </conditionalFormatting>
  <conditionalFormatting sqref="V26">
    <cfRule type="cellIs" dxfId="31634" priority="93392" stopIfTrue="1" operator="greaterThanOrEqual">
      <formula>0.5</formula>
    </cfRule>
  </conditionalFormatting>
  <conditionalFormatting sqref="V27">
    <cfRule type="cellIs" dxfId="31633" priority="93393" stopIfTrue="1" operator="equal">
      <formula>-1</formula>
    </cfRule>
  </conditionalFormatting>
  <conditionalFormatting sqref="V27">
    <cfRule type="cellIs" dxfId="31632" priority="93394" stopIfTrue="1" operator="lessThan">
      <formula>0.5</formula>
    </cfRule>
  </conditionalFormatting>
  <conditionalFormatting sqref="V27">
    <cfRule type="cellIs" dxfId="31631" priority="93395" stopIfTrue="1" operator="greaterThanOrEqual">
      <formula>0.5</formula>
    </cfRule>
  </conditionalFormatting>
  <conditionalFormatting sqref="V28">
    <cfRule type="cellIs" dxfId="31630" priority="93396" stopIfTrue="1" operator="equal">
      <formula>-1</formula>
    </cfRule>
  </conditionalFormatting>
  <conditionalFormatting sqref="V28">
    <cfRule type="cellIs" dxfId="31629" priority="93397" stopIfTrue="1" operator="lessThan">
      <formula>0.5</formula>
    </cfRule>
  </conditionalFormatting>
  <conditionalFormatting sqref="V28">
    <cfRule type="cellIs" dxfId="31628" priority="93398" stopIfTrue="1" operator="greaterThanOrEqual">
      <formula>0.5</formula>
    </cfRule>
  </conditionalFormatting>
  <conditionalFormatting sqref="V29">
    <cfRule type="cellIs" dxfId="31627" priority="93399" stopIfTrue="1" operator="equal">
      <formula>-1</formula>
    </cfRule>
  </conditionalFormatting>
  <conditionalFormatting sqref="V29">
    <cfRule type="cellIs" dxfId="31626" priority="93400" stopIfTrue="1" operator="lessThan">
      <formula>0.5</formula>
    </cfRule>
  </conditionalFormatting>
  <conditionalFormatting sqref="V29">
    <cfRule type="cellIs" dxfId="31625" priority="93401" stopIfTrue="1" operator="greaterThanOrEqual">
      <formula>0.5</formula>
    </cfRule>
  </conditionalFormatting>
  <conditionalFormatting sqref="V30">
    <cfRule type="cellIs" dxfId="31624" priority="93402" stopIfTrue="1" operator="equal">
      <formula>-1</formula>
    </cfRule>
  </conditionalFormatting>
  <conditionalFormatting sqref="V30">
    <cfRule type="cellIs" dxfId="31623" priority="93403" stopIfTrue="1" operator="lessThan">
      <formula>0.5</formula>
    </cfRule>
  </conditionalFormatting>
  <conditionalFormatting sqref="V30">
    <cfRule type="cellIs" dxfId="31622" priority="93404" stopIfTrue="1" operator="greaterThanOrEqual">
      <formula>0.5</formula>
    </cfRule>
  </conditionalFormatting>
  <conditionalFormatting sqref="V31">
    <cfRule type="cellIs" dxfId="31621" priority="93405" stopIfTrue="1" operator="equal">
      <formula>-1</formula>
    </cfRule>
  </conditionalFormatting>
  <conditionalFormatting sqref="V31">
    <cfRule type="cellIs" dxfId="31620" priority="93406" stopIfTrue="1" operator="lessThan">
      <formula>0.5</formula>
    </cfRule>
  </conditionalFormatting>
  <conditionalFormatting sqref="V31">
    <cfRule type="cellIs" dxfId="31619" priority="93407" stopIfTrue="1" operator="greaterThanOrEqual">
      <formula>0.5</formula>
    </cfRule>
  </conditionalFormatting>
  <conditionalFormatting sqref="V32">
    <cfRule type="cellIs" dxfId="31618" priority="93408" stopIfTrue="1" operator="equal">
      <formula>-1</formula>
    </cfRule>
  </conditionalFormatting>
  <conditionalFormatting sqref="V32">
    <cfRule type="cellIs" dxfId="31617" priority="93409" stopIfTrue="1" operator="lessThan">
      <formula>0.5</formula>
    </cfRule>
  </conditionalFormatting>
  <conditionalFormatting sqref="V32">
    <cfRule type="cellIs" dxfId="31616" priority="93410" stopIfTrue="1" operator="greaterThanOrEqual">
      <formula>0.5</formula>
    </cfRule>
  </conditionalFormatting>
  <conditionalFormatting sqref="V33">
    <cfRule type="cellIs" dxfId="31615" priority="93411" stopIfTrue="1" operator="equal">
      <formula>-1</formula>
    </cfRule>
  </conditionalFormatting>
  <conditionalFormatting sqref="V33">
    <cfRule type="cellIs" dxfId="31614" priority="93412" stopIfTrue="1" operator="lessThan">
      <formula>0.5</formula>
    </cfRule>
  </conditionalFormatting>
  <conditionalFormatting sqref="V33">
    <cfRule type="cellIs" dxfId="31613" priority="93413" stopIfTrue="1" operator="greaterThanOrEqual">
      <formula>0.5</formula>
    </cfRule>
  </conditionalFormatting>
  <conditionalFormatting sqref="V34">
    <cfRule type="cellIs" dxfId="31612" priority="93414" stopIfTrue="1" operator="equal">
      <formula>-1</formula>
    </cfRule>
  </conditionalFormatting>
  <conditionalFormatting sqref="V34">
    <cfRule type="cellIs" dxfId="31611" priority="93415" stopIfTrue="1" operator="lessThan">
      <formula>0.5</formula>
    </cfRule>
  </conditionalFormatting>
  <conditionalFormatting sqref="V34">
    <cfRule type="cellIs" dxfId="31610" priority="93416" stopIfTrue="1" operator="greaterThanOrEqual">
      <formula>0.5</formula>
    </cfRule>
  </conditionalFormatting>
  <conditionalFormatting sqref="V35">
    <cfRule type="cellIs" dxfId="31609" priority="93417" stopIfTrue="1" operator="equal">
      <formula>-1</formula>
    </cfRule>
  </conditionalFormatting>
  <conditionalFormatting sqref="V35">
    <cfRule type="cellIs" dxfId="31608" priority="93418" stopIfTrue="1" operator="lessThan">
      <formula>0.5</formula>
    </cfRule>
  </conditionalFormatting>
  <conditionalFormatting sqref="V35">
    <cfRule type="cellIs" dxfId="31607" priority="93419" stopIfTrue="1" operator="greaterThanOrEqual">
      <formula>0.5</formula>
    </cfRule>
  </conditionalFormatting>
  <conditionalFormatting sqref="V36">
    <cfRule type="cellIs" dxfId="31606" priority="93420" stopIfTrue="1" operator="equal">
      <formula>-1</formula>
    </cfRule>
  </conditionalFormatting>
  <conditionalFormatting sqref="V36">
    <cfRule type="cellIs" dxfId="31605" priority="93421" stopIfTrue="1" operator="lessThan">
      <formula>0.5</formula>
    </cfRule>
  </conditionalFormatting>
  <conditionalFormatting sqref="V36">
    <cfRule type="cellIs" dxfId="31604" priority="93422" stopIfTrue="1" operator="greaterThanOrEqual">
      <formula>0.5</formula>
    </cfRule>
  </conditionalFormatting>
  <conditionalFormatting sqref="V37">
    <cfRule type="cellIs" dxfId="31603" priority="93423" stopIfTrue="1" operator="equal">
      <formula>-1</formula>
    </cfRule>
  </conditionalFormatting>
  <conditionalFormatting sqref="V37">
    <cfRule type="cellIs" dxfId="31602" priority="93424" stopIfTrue="1" operator="lessThan">
      <formula>0.5</formula>
    </cfRule>
  </conditionalFormatting>
  <conditionalFormatting sqref="V37">
    <cfRule type="cellIs" dxfId="31601" priority="93425" stopIfTrue="1" operator="greaterThanOrEqual">
      <formula>0.5</formula>
    </cfRule>
  </conditionalFormatting>
  <conditionalFormatting sqref="X17">
    <cfRule type="cellIs" dxfId="31600" priority="93426" stopIfTrue="1" operator="equal">
      <formula>-1</formula>
    </cfRule>
  </conditionalFormatting>
  <conditionalFormatting sqref="X17">
    <cfRule type="cellIs" dxfId="31599" priority="93427" stopIfTrue="1" operator="lessThan">
      <formula>0.5</formula>
    </cfRule>
  </conditionalFormatting>
  <conditionalFormatting sqref="X17">
    <cfRule type="cellIs" dxfId="31598" priority="93428" stopIfTrue="1" operator="greaterThanOrEqual">
      <formula>0.5</formula>
    </cfRule>
  </conditionalFormatting>
  <conditionalFormatting sqref="X18">
    <cfRule type="cellIs" dxfId="31597" priority="93429" stopIfTrue="1" operator="equal">
      <formula>-1</formula>
    </cfRule>
  </conditionalFormatting>
  <conditionalFormatting sqref="X18">
    <cfRule type="cellIs" dxfId="31596" priority="93430" stopIfTrue="1" operator="lessThan">
      <formula>0.5</formula>
    </cfRule>
  </conditionalFormatting>
  <conditionalFormatting sqref="X18">
    <cfRule type="cellIs" dxfId="31595" priority="93431" stopIfTrue="1" operator="greaterThanOrEqual">
      <formula>0.5</formula>
    </cfRule>
  </conditionalFormatting>
  <conditionalFormatting sqref="X19">
    <cfRule type="cellIs" dxfId="31594" priority="93432" stopIfTrue="1" operator="equal">
      <formula>-1</formula>
    </cfRule>
  </conditionalFormatting>
  <conditionalFormatting sqref="X19">
    <cfRule type="cellIs" dxfId="31593" priority="93433" stopIfTrue="1" operator="lessThan">
      <formula>0.5</formula>
    </cfRule>
  </conditionalFormatting>
  <conditionalFormatting sqref="X19">
    <cfRule type="cellIs" dxfId="31592" priority="93434" stopIfTrue="1" operator="greaterThanOrEqual">
      <formula>0.5</formula>
    </cfRule>
  </conditionalFormatting>
  <conditionalFormatting sqref="X20">
    <cfRule type="cellIs" dxfId="31591" priority="93435" stopIfTrue="1" operator="equal">
      <formula>-1</formula>
    </cfRule>
  </conditionalFormatting>
  <conditionalFormatting sqref="X20">
    <cfRule type="cellIs" dxfId="31590" priority="93436" stopIfTrue="1" operator="lessThan">
      <formula>0.5</formula>
    </cfRule>
  </conditionalFormatting>
  <conditionalFormatting sqref="X20">
    <cfRule type="cellIs" dxfId="31589" priority="93437" stopIfTrue="1" operator="greaterThanOrEqual">
      <formula>0.5</formula>
    </cfRule>
  </conditionalFormatting>
  <conditionalFormatting sqref="X21">
    <cfRule type="cellIs" dxfId="31588" priority="93438" stopIfTrue="1" operator="equal">
      <formula>-1</formula>
    </cfRule>
  </conditionalFormatting>
  <conditionalFormatting sqref="X21">
    <cfRule type="cellIs" dxfId="31587" priority="93439" stopIfTrue="1" operator="lessThan">
      <formula>0.5</formula>
    </cfRule>
  </conditionalFormatting>
  <conditionalFormatting sqref="X21">
    <cfRule type="cellIs" dxfId="31586" priority="93440" stopIfTrue="1" operator="greaterThanOrEqual">
      <formula>0.5</formula>
    </cfRule>
  </conditionalFormatting>
  <conditionalFormatting sqref="X22">
    <cfRule type="cellIs" dxfId="31585" priority="93441" stopIfTrue="1" operator="equal">
      <formula>-1</formula>
    </cfRule>
  </conditionalFormatting>
  <conditionalFormatting sqref="X22">
    <cfRule type="cellIs" dxfId="31584" priority="93442" stopIfTrue="1" operator="lessThan">
      <formula>0.5</formula>
    </cfRule>
  </conditionalFormatting>
  <conditionalFormatting sqref="X22">
    <cfRule type="cellIs" dxfId="31583" priority="93443" stopIfTrue="1" operator="greaterThanOrEqual">
      <formula>0.5</formula>
    </cfRule>
  </conditionalFormatting>
  <conditionalFormatting sqref="X23">
    <cfRule type="cellIs" dxfId="31582" priority="93444" stopIfTrue="1" operator="equal">
      <formula>-1</formula>
    </cfRule>
  </conditionalFormatting>
  <conditionalFormatting sqref="X23">
    <cfRule type="cellIs" dxfId="31581" priority="93445" stopIfTrue="1" operator="lessThan">
      <formula>0.5</formula>
    </cfRule>
  </conditionalFormatting>
  <conditionalFormatting sqref="X23">
    <cfRule type="cellIs" dxfId="31580" priority="93446" stopIfTrue="1" operator="greaterThanOrEqual">
      <formula>0.5</formula>
    </cfRule>
  </conditionalFormatting>
  <conditionalFormatting sqref="X24">
    <cfRule type="cellIs" dxfId="31579" priority="93447" stopIfTrue="1" operator="equal">
      <formula>-1</formula>
    </cfRule>
  </conditionalFormatting>
  <conditionalFormatting sqref="X24">
    <cfRule type="cellIs" dxfId="31578" priority="93448" stopIfTrue="1" operator="lessThan">
      <formula>0.5</formula>
    </cfRule>
  </conditionalFormatting>
  <conditionalFormatting sqref="X24">
    <cfRule type="cellIs" dxfId="31577" priority="93449" stopIfTrue="1" operator="greaterThanOrEqual">
      <formula>0.5</formula>
    </cfRule>
  </conditionalFormatting>
  <conditionalFormatting sqref="X25">
    <cfRule type="cellIs" dxfId="31576" priority="93450" stopIfTrue="1" operator="equal">
      <formula>-1</formula>
    </cfRule>
  </conditionalFormatting>
  <conditionalFormatting sqref="X25">
    <cfRule type="cellIs" dxfId="31575" priority="93451" stopIfTrue="1" operator="lessThan">
      <formula>0.5</formula>
    </cfRule>
  </conditionalFormatting>
  <conditionalFormatting sqref="X25">
    <cfRule type="cellIs" dxfId="31574" priority="93452" stopIfTrue="1" operator="greaterThanOrEqual">
      <formula>0.5</formula>
    </cfRule>
  </conditionalFormatting>
  <conditionalFormatting sqref="X26">
    <cfRule type="cellIs" dxfId="31573" priority="93453" stopIfTrue="1" operator="equal">
      <formula>-1</formula>
    </cfRule>
  </conditionalFormatting>
  <conditionalFormatting sqref="X26">
    <cfRule type="cellIs" dxfId="31572" priority="93454" stopIfTrue="1" operator="lessThan">
      <formula>0.5</formula>
    </cfRule>
  </conditionalFormatting>
  <conditionalFormatting sqref="X26">
    <cfRule type="cellIs" dxfId="31571" priority="93455" stopIfTrue="1" operator="greaterThanOrEqual">
      <formula>0.5</formula>
    </cfRule>
  </conditionalFormatting>
  <conditionalFormatting sqref="X27">
    <cfRule type="cellIs" dxfId="31570" priority="93456" stopIfTrue="1" operator="equal">
      <formula>-1</formula>
    </cfRule>
  </conditionalFormatting>
  <conditionalFormatting sqref="X27">
    <cfRule type="cellIs" dxfId="31569" priority="93457" stopIfTrue="1" operator="lessThan">
      <formula>0.5</formula>
    </cfRule>
  </conditionalFormatting>
  <conditionalFormatting sqref="X27">
    <cfRule type="cellIs" dxfId="31568" priority="93458" stopIfTrue="1" operator="greaterThanOrEqual">
      <formula>0.5</formula>
    </cfRule>
  </conditionalFormatting>
  <conditionalFormatting sqref="X28">
    <cfRule type="cellIs" dxfId="31567" priority="93459" stopIfTrue="1" operator="equal">
      <formula>-1</formula>
    </cfRule>
  </conditionalFormatting>
  <conditionalFormatting sqref="X28">
    <cfRule type="cellIs" dxfId="31566" priority="93460" stopIfTrue="1" operator="lessThan">
      <formula>0.5</formula>
    </cfRule>
  </conditionalFormatting>
  <conditionalFormatting sqref="X28">
    <cfRule type="cellIs" dxfId="31565" priority="93461" stopIfTrue="1" operator="greaterThanOrEqual">
      <formula>0.5</formula>
    </cfRule>
  </conditionalFormatting>
  <conditionalFormatting sqref="X29">
    <cfRule type="cellIs" dxfId="31564" priority="93462" stopIfTrue="1" operator="equal">
      <formula>-1</formula>
    </cfRule>
  </conditionalFormatting>
  <conditionalFormatting sqref="X29">
    <cfRule type="cellIs" dxfId="31563" priority="93463" stopIfTrue="1" operator="lessThan">
      <formula>0.5</formula>
    </cfRule>
  </conditionalFormatting>
  <conditionalFormatting sqref="X29">
    <cfRule type="cellIs" dxfId="31562" priority="93464" stopIfTrue="1" operator="greaterThanOrEqual">
      <formula>0.5</formula>
    </cfRule>
  </conditionalFormatting>
  <conditionalFormatting sqref="X30">
    <cfRule type="cellIs" dxfId="31561" priority="93465" stopIfTrue="1" operator="equal">
      <formula>-1</formula>
    </cfRule>
  </conditionalFormatting>
  <conditionalFormatting sqref="X30">
    <cfRule type="cellIs" dxfId="31560" priority="93466" stopIfTrue="1" operator="lessThan">
      <formula>0.5</formula>
    </cfRule>
  </conditionalFormatting>
  <conditionalFormatting sqref="X30">
    <cfRule type="cellIs" dxfId="31559" priority="93467" stopIfTrue="1" operator="greaterThanOrEqual">
      <formula>0.5</formula>
    </cfRule>
  </conditionalFormatting>
  <conditionalFormatting sqref="X31">
    <cfRule type="cellIs" dxfId="31558" priority="93468" stopIfTrue="1" operator="equal">
      <formula>-1</formula>
    </cfRule>
  </conditionalFormatting>
  <conditionalFormatting sqref="X31">
    <cfRule type="cellIs" dxfId="31557" priority="93469" stopIfTrue="1" operator="lessThan">
      <formula>0.5</formula>
    </cfRule>
  </conditionalFormatting>
  <conditionalFormatting sqref="X31">
    <cfRule type="cellIs" dxfId="31556" priority="93470" stopIfTrue="1" operator="greaterThanOrEqual">
      <formula>0.5</formula>
    </cfRule>
  </conditionalFormatting>
  <conditionalFormatting sqref="X32">
    <cfRule type="cellIs" dxfId="31555" priority="93471" stopIfTrue="1" operator="equal">
      <formula>-1</formula>
    </cfRule>
  </conditionalFormatting>
  <conditionalFormatting sqref="X32">
    <cfRule type="cellIs" dxfId="31554" priority="93472" stopIfTrue="1" operator="lessThan">
      <formula>0.5</formula>
    </cfRule>
  </conditionalFormatting>
  <conditionalFormatting sqref="X32">
    <cfRule type="cellIs" dxfId="31553" priority="93473" stopIfTrue="1" operator="greaterThanOrEqual">
      <formula>0.5</formula>
    </cfRule>
  </conditionalFormatting>
  <conditionalFormatting sqref="X33">
    <cfRule type="cellIs" dxfId="31552" priority="93474" stopIfTrue="1" operator="equal">
      <formula>-1</formula>
    </cfRule>
  </conditionalFormatting>
  <conditionalFormatting sqref="X33">
    <cfRule type="cellIs" dxfId="31551" priority="93475" stopIfTrue="1" operator="lessThan">
      <formula>0.5</formula>
    </cfRule>
  </conditionalFormatting>
  <conditionalFormatting sqref="X33">
    <cfRule type="cellIs" dxfId="31550" priority="93476" stopIfTrue="1" operator="greaterThanOrEqual">
      <formula>0.5</formula>
    </cfRule>
  </conditionalFormatting>
  <conditionalFormatting sqref="X34">
    <cfRule type="cellIs" dxfId="31549" priority="93477" stopIfTrue="1" operator="equal">
      <formula>-1</formula>
    </cfRule>
  </conditionalFormatting>
  <conditionalFormatting sqref="X34">
    <cfRule type="cellIs" dxfId="31548" priority="93478" stopIfTrue="1" operator="lessThan">
      <formula>0.5</formula>
    </cfRule>
  </conditionalFormatting>
  <conditionalFormatting sqref="X34">
    <cfRule type="cellIs" dxfId="31547" priority="93479" stopIfTrue="1" operator="greaterThanOrEqual">
      <formula>0.5</formula>
    </cfRule>
  </conditionalFormatting>
  <conditionalFormatting sqref="X35">
    <cfRule type="cellIs" dxfId="31546" priority="93480" stopIfTrue="1" operator="equal">
      <formula>-1</formula>
    </cfRule>
  </conditionalFormatting>
  <conditionalFormatting sqref="X35">
    <cfRule type="cellIs" dxfId="31545" priority="93481" stopIfTrue="1" operator="lessThan">
      <formula>0.5</formula>
    </cfRule>
  </conditionalFormatting>
  <conditionalFormatting sqref="X35">
    <cfRule type="cellIs" dxfId="31544" priority="93482" stopIfTrue="1" operator="greaterThanOrEqual">
      <formula>0.5</formula>
    </cfRule>
  </conditionalFormatting>
  <conditionalFormatting sqref="X36">
    <cfRule type="cellIs" dxfId="31543" priority="93483" stopIfTrue="1" operator="equal">
      <formula>-1</formula>
    </cfRule>
  </conditionalFormatting>
  <conditionalFormatting sqref="X36">
    <cfRule type="cellIs" dxfId="31542" priority="93484" stopIfTrue="1" operator="lessThan">
      <formula>0.5</formula>
    </cfRule>
  </conditionalFormatting>
  <conditionalFormatting sqref="X36">
    <cfRule type="cellIs" dxfId="31541" priority="93485" stopIfTrue="1" operator="greaterThanOrEqual">
      <formula>0.5</formula>
    </cfRule>
  </conditionalFormatting>
  <conditionalFormatting sqref="X37">
    <cfRule type="cellIs" dxfId="31540" priority="93486" stopIfTrue="1" operator="equal">
      <formula>-1</formula>
    </cfRule>
  </conditionalFormatting>
  <conditionalFormatting sqref="X37">
    <cfRule type="cellIs" dxfId="31539" priority="93487" stopIfTrue="1" operator="lessThan">
      <formula>0.5</formula>
    </cfRule>
  </conditionalFormatting>
  <conditionalFormatting sqref="X37">
    <cfRule type="cellIs" dxfId="31538" priority="93488" stopIfTrue="1" operator="greaterThanOrEqual">
      <formula>0.5</formula>
    </cfRule>
  </conditionalFormatting>
  <conditionalFormatting sqref="Z17">
    <cfRule type="cellIs" dxfId="31537" priority="93489" stopIfTrue="1" operator="equal">
      <formula>-1</formula>
    </cfRule>
  </conditionalFormatting>
  <conditionalFormatting sqref="Z17">
    <cfRule type="cellIs" dxfId="31536" priority="93490" stopIfTrue="1" operator="lessThan">
      <formula>0.5</formula>
    </cfRule>
  </conditionalFormatting>
  <conditionalFormatting sqref="Z17">
    <cfRule type="cellIs" dxfId="31535" priority="93491" stopIfTrue="1" operator="greaterThanOrEqual">
      <formula>0.5</formula>
    </cfRule>
  </conditionalFormatting>
  <conditionalFormatting sqref="Z18">
    <cfRule type="cellIs" dxfId="31534" priority="93492" stopIfTrue="1" operator="equal">
      <formula>-1</formula>
    </cfRule>
  </conditionalFormatting>
  <conditionalFormatting sqref="Z18">
    <cfRule type="cellIs" dxfId="31533" priority="93493" stopIfTrue="1" operator="lessThan">
      <formula>0.5</formula>
    </cfRule>
  </conditionalFormatting>
  <conditionalFormatting sqref="Z18">
    <cfRule type="cellIs" dxfId="31532" priority="93494" stopIfTrue="1" operator="greaterThanOrEqual">
      <formula>0.5</formula>
    </cfRule>
  </conditionalFormatting>
  <conditionalFormatting sqref="Z19">
    <cfRule type="cellIs" dxfId="31531" priority="93495" stopIfTrue="1" operator="equal">
      <formula>-1</formula>
    </cfRule>
  </conditionalFormatting>
  <conditionalFormatting sqref="Z19">
    <cfRule type="cellIs" dxfId="31530" priority="93496" stopIfTrue="1" operator="lessThan">
      <formula>0.5</formula>
    </cfRule>
  </conditionalFormatting>
  <conditionalFormatting sqref="Z19">
    <cfRule type="cellIs" dxfId="31529" priority="93497" stopIfTrue="1" operator="greaterThanOrEqual">
      <formula>0.5</formula>
    </cfRule>
  </conditionalFormatting>
  <conditionalFormatting sqref="Z20">
    <cfRule type="cellIs" dxfId="31528" priority="93498" stopIfTrue="1" operator="equal">
      <formula>-1</formula>
    </cfRule>
  </conditionalFormatting>
  <conditionalFormatting sqref="Z20">
    <cfRule type="cellIs" dxfId="31527" priority="93499" stopIfTrue="1" operator="lessThan">
      <formula>0.5</formula>
    </cfRule>
  </conditionalFormatting>
  <conditionalFormatting sqref="Z20">
    <cfRule type="cellIs" dxfId="31526" priority="93500" stopIfTrue="1" operator="greaterThanOrEqual">
      <formula>0.5</formula>
    </cfRule>
  </conditionalFormatting>
  <conditionalFormatting sqref="Z21">
    <cfRule type="cellIs" dxfId="31525" priority="93501" stopIfTrue="1" operator="equal">
      <formula>-1</formula>
    </cfRule>
  </conditionalFormatting>
  <conditionalFormatting sqref="Z21">
    <cfRule type="cellIs" dxfId="31524" priority="93502" stopIfTrue="1" operator="lessThan">
      <formula>0.5</formula>
    </cfRule>
  </conditionalFormatting>
  <conditionalFormatting sqref="Z21">
    <cfRule type="cellIs" dxfId="31523" priority="93503" stopIfTrue="1" operator="greaterThanOrEqual">
      <formula>0.5</formula>
    </cfRule>
  </conditionalFormatting>
  <conditionalFormatting sqref="Z22">
    <cfRule type="cellIs" dxfId="31522" priority="93504" stopIfTrue="1" operator="equal">
      <formula>-1</formula>
    </cfRule>
  </conditionalFormatting>
  <conditionalFormatting sqref="Z22">
    <cfRule type="cellIs" dxfId="31521" priority="93505" stopIfTrue="1" operator="lessThan">
      <formula>0.5</formula>
    </cfRule>
  </conditionalFormatting>
  <conditionalFormatting sqref="Z22">
    <cfRule type="cellIs" dxfId="31520" priority="93506" stopIfTrue="1" operator="greaterThanOrEqual">
      <formula>0.5</formula>
    </cfRule>
  </conditionalFormatting>
  <conditionalFormatting sqref="Z23">
    <cfRule type="cellIs" dxfId="31519" priority="93507" stopIfTrue="1" operator="equal">
      <formula>-1</formula>
    </cfRule>
  </conditionalFormatting>
  <conditionalFormatting sqref="Z23">
    <cfRule type="cellIs" dxfId="31518" priority="93508" stopIfTrue="1" operator="lessThan">
      <formula>0.5</formula>
    </cfRule>
  </conditionalFormatting>
  <conditionalFormatting sqref="Z23">
    <cfRule type="cellIs" dxfId="31517" priority="93509" stopIfTrue="1" operator="greaterThanOrEqual">
      <formula>0.5</formula>
    </cfRule>
  </conditionalFormatting>
  <conditionalFormatting sqref="Z24">
    <cfRule type="cellIs" dxfId="31516" priority="93510" stopIfTrue="1" operator="equal">
      <formula>-1</formula>
    </cfRule>
  </conditionalFormatting>
  <conditionalFormatting sqref="Z24">
    <cfRule type="cellIs" dxfId="31515" priority="93511" stopIfTrue="1" operator="lessThan">
      <formula>0.5</formula>
    </cfRule>
  </conditionalFormatting>
  <conditionalFormatting sqref="Z24">
    <cfRule type="cellIs" dxfId="31514" priority="93512" stopIfTrue="1" operator="greaterThanOrEqual">
      <formula>0.5</formula>
    </cfRule>
  </conditionalFormatting>
  <conditionalFormatting sqref="Z25">
    <cfRule type="cellIs" dxfId="31513" priority="93513" stopIfTrue="1" operator="equal">
      <formula>-1</formula>
    </cfRule>
  </conditionalFormatting>
  <conditionalFormatting sqref="Z25">
    <cfRule type="cellIs" dxfId="31512" priority="93514" stopIfTrue="1" operator="lessThan">
      <formula>0.5</formula>
    </cfRule>
  </conditionalFormatting>
  <conditionalFormatting sqref="Z25">
    <cfRule type="cellIs" dxfId="31511" priority="93515" stopIfTrue="1" operator="greaterThanOrEqual">
      <formula>0.5</formula>
    </cfRule>
  </conditionalFormatting>
  <conditionalFormatting sqref="Z26">
    <cfRule type="cellIs" dxfId="31510" priority="93516" stopIfTrue="1" operator="equal">
      <formula>-1</formula>
    </cfRule>
  </conditionalFormatting>
  <conditionalFormatting sqref="Z26">
    <cfRule type="cellIs" dxfId="31509" priority="93517" stopIfTrue="1" operator="lessThan">
      <formula>0.5</formula>
    </cfRule>
  </conditionalFormatting>
  <conditionalFormatting sqref="Z26">
    <cfRule type="cellIs" dxfId="31508" priority="93518" stopIfTrue="1" operator="greaterThanOrEqual">
      <formula>0.5</formula>
    </cfRule>
  </conditionalFormatting>
  <conditionalFormatting sqref="Z27">
    <cfRule type="cellIs" dxfId="31507" priority="93519" stopIfTrue="1" operator="equal">
      <formula>-1</formula>
    </cfRule>
  </conditionalFormatting>
  <conditionalFormatting sqref="Z27">
    <cfRule type="cellIs" dxfId="31506" priority="93520" stopIfTrue="1" operator="lessThan">
      <formula>0.5</formula>
    </cfRule>
  </conditionalFormatting>
  <conditionalFormatting sqref="Z27">
    <cfRule type="cellIs" dxfId="31505" priority="93521" stopIfTrue="1" operator="greaterThanOrEqual">
      <formula>0.5</formula>
    </cfRule>
  </conditionalFormatting>
  <conditionalFormatting sqref="Z28">
    <cfRule type="cellIs" dxfId="31504" priority="93522" stopIfTrue="1" operator="equal">
      <formula>-1</formula>
    </cfRule>
  </conditionalFormatting>
  <conditionalFormatting sqref="Z28">
    <cfRule type="cellIs" dxfId="31503" priority="93523" stopIfTrue="1" operator="lessThan">
      <formula>0.5</formula>
    </cfRule>
  </conditionalFormatting>
  <conditionalFormatting sqref="Z28">
    <cfRule type="cellIs" dxfId="31502" priority="93524" stopIfTrue="1" operator="greaterThanOrEqual">
      <formula>0.5</formula>
    </cfRule>
  </conditionalFormatting>
  <conditionalFormatting sqref="Z29">
    <cfRule type="cellIs" dxfId="31501" priority="93525" stopIfTrue="1" operator="equal">
      <formula>-1</formula>
    </cfRule>
  </conditionalFormatting>
  <conditionalFormatting sqref="Z29">
    <cfRule type="cellIs" dxfId="31500" priority="93526" stopIfTrue="1" operator="lessThan">
      <formula>0.5</formula>
    </cfRule>
  </conditionalFormatting>
  <conditionalFormatting sqref="Z29">
    <cfRule type="cellIs" dxfId="31499" priority="93527" stopIfTrue="1" operator="greaterThanOrEqual">
      <formula>0.5</formula>
    </cfRule>
  </conditionalFormatting>
  <conditionalFormatting sqref="Z30">
    <cfRule type="cellIs" dxfId="31498" priority="93528" stopIfTrue="1" operator="equal">
      <formula>-1</formula>
    </cfRule>
  </conditionalFormatting>
  <conditionalFormatting sqref="Z30">
    <cfRule type="cellIs" dxfId="31497" priority="93529" stopIfTrue="1" operator="lessThan">
      <formula>0.5</formula>
    </cfRule>
  </conditionalFormatting>
  <conditionalFormatting sqref="Z30">
    <cfRule type="cellIs" dxfId="31496" priority="93530" stopIfTrue="1" operator="greaterThanOrEqual">
      <formula>0.5</formula>
    </cfRule>
  </conditionalFormatting>
  <conditionalFormatting sqref="Z31">
    <cfRule type="cellIs" dxfId="31495" priority="93531" stopIfTrue="1" operator="equal">
      <formula>-1</formula>
    </cfRule>
  </conditionalFormatting>
  <conditionalFormatting sqref="Z31">
    <cfRule type="cellIs" dxfId="31494" priority="93532" stopIfTrue="1" operator="lessThan">
      <formula>0.5</formula>
    </cfRule>
  </conditionalFormatting>
  <conditionalFormatting sqref="Z31">
    <cfRule type="cellIs" dxfId="31493" priority="93533" stopIfTrue="1" operator="greaterThanOrEqual">
      <formula>0.5</formula>
    </cfRule>
  </conditionalFormatting>
  <conditionalFormatting sqref="Z32">
    <cfRule type="cellIs" dxfId="31492" priority="93534" stopIfTrue="1" operator="equal">
      <formula>-1</formula>
    </cfRule>
  </conditionalFormatting>
  <conditionalFormatting sqref="Z32">
    <cfRule type="cellIs" dxfId="31491" priority="93535" stopIfTrue="1" operator="lessThan">
      <formula>0.5</formula>
    </cfRule>
  </conditionalFormatting>
  <conditionalFormatting sqref="Z32">
    <cfRule type="cellIs" dxfId="31490" priority="93536" stopIfTrue="1" operator="greaterThanOrEqual">
      <formula>0.5</formula>
    </cfRule>
  </conditionalFormatting>
  <conditionalFormatting sqref="Z33">
    <cfRule type="cellIs" dxfId="31489" priority="93537" stopIfTrue="1" operator="equal">
      <formula>-1</formula>
    </cfRule>
  </conditionalFormatting>
  <conditionalFormatting sqref="Z33">
    <cfRule type="cellIs" dxfId="31488" priority="93538" stopIfTrue="1" operator="lessThan">
      <formula>0.5</formula>
    </cfRule>
  </conditionalFormatting>
  <conditionalFormatting sqref="Z33">
    <cfRule type="cellIs" dxfId="31487" priority="93539" stopIfTrue="1" operator="greaterThanOrEqual">
      <formula>0.5</formula>
    </cfRule>
  </conditionalFormatting>
  <conditionalFormatting sqref="Z34">
    <cfRule type="cellIs" dxfId="31486" priority="93540" stopIfTrue="1" operator="equal">
      <formula>-1</formula>
    </cfRule>
  </conditionalFormatting>
  <conditionalFormatting sqref="Z34">
    <cfRule type="cellIs" dxfId="31485" priority="93541" stopIfTrue="1" operator="lessThan">
      <formula>0.5</formula>
    </cfRule>
  </conditionalFormatting>
  <conditionalFormatting sqref="Z34">
    <cfRule type="cellIs" dxfId="31484" priority="93542" stopIfTrue="1" operator="greaterThanOrEqual">
      <formula>0.5</formula>
    </cfRule>
  </conditionalFormatting>
  <conditionalFormatting sqref="Z35">
    <cfRule type="cellIs" dxfId="31483" priority="93543" stopIfTrue="1" operator="equal">
      <formula>-1</formula>
    </cfRule>
  </conditionalFormatting>
  <conditionalFormatting sqref="Z35">
    <cfRule type="cellIs" dxfId="31482" priority="93544" stopIfTrue="1" operator="lessThan">
      <formula>0.5</formula>
    </cfRule>
  </conditionalFormatting>
  <conditionalFormatting sqref="Z35">
    <cfRule type="cellIs" dxfId="31481" priority="93545" stopIfTrue="1" operator="greaterThanOrEqual">
      <formula>0.5</formula>
    </cfRule>
  </conditionalFormatting>
  <conditionalFormatting sqref="Z36">
    <cfRule type="cellIs" dxfId="31480" priority="93546" stopIfTrue="1" operator="equal">
      <formula>-1</formula>
    </cfRule>
  </conditionalFormatting>
  <conditionalFormatting sqref="Z36">
    <cfRule type="cellIs" dxfId="31479" priority="93547" stopIfTrue="1" operator="lessThan">
      <formula>0.5</formula>
    </cfRule>
  </conditionalFormatting>
  <conditionalFormatting sqref="Z36">
    <cfRule type="cellIs" dxfId="31478" priority="93548" stopIfTrue="1" operator="greaterThanOrEqual">
      <formula>0.5</formula>
    </cfRule>
  </conditionalFormatting>
  <conditionalFormatting sqref="Z37">
    <cfRule type="cellIs" dxfId="31477" priority="93549" stopIfTrue="1" operator="equal">
      <formula>-1</formula>
    </cfRule>
  </conditionalFormatting>
  <conditionalFormatting sqref="Z37">
    <cfRule type="cellIs" dxfId="31476" priority="93550" stopIfTrue="1" operator="lessThan">
      <formula>0.5</formula>
    </cfRule>
  </conditionalFormatting>
  <conditionalFormatting sqref="Z37">
    <cfRule type="cellIs" dxfId="31475" priority="93551" stopIfTrue="1" operator="greaterThanOrEqual">
      <formula>0.5</formula>
    </cfRule>
  </conditionalFormatting>
  <conditionalFormatting sqref="AB17">
    <cfRule type="cellIs" dxfId="31474" priority="93552" stopIfTrue="1" operator="equal">
      <formula>-1</formula>
    </cfRule>
  </conditionalFormatting>
  <conditionalFormatting sqref="AB17">
    <cfRule type="cellIs" dxfId="31473" priority="93553" stopIfTrue="1" operator="lessThan">
      <formula>0.5</formula>
    </cfRule>
  </conditionalFormatting>
  <conditionalFormatting sqref="AB17">
    <cfRule type="cellIs" dxfId="31472" priority="93554" stopIfTrue="1" operator="greaterThanOrEqual">
      <formula>0.5</formula>
    </cfRule>
  </conditionalFormatting>
  <conditionalFormatting sqref="AB18">
    <cfRule type="cellIs" dxfId="31471" priority="93555" stopIfTrue="1" operator="equal">
      <formula>-1</formula>
    </cfRule>
  </conditionalFormatting>
  <conditionalFormatting sqref="AB18">
    <cfRule type="cellIs" dxfId="31470" priority="93556" stopIfTrue="1" operator="lessThan">
      <formula>0.5</formula>
    </cfRule>
  </conditionalFormatting>
  <conditionalFormatting sqref="AB18">
    <cfRule type="cellIs" dxfId="31469" priority="93557" stopIfTrue="1" operator="greaterThanOrEqual">
      <formula>0.5</formula>
    </cfRule>
  </conditionalFormatting>
  <conditionalFormatting sqref="AB19">
    <cfRule type="cellIs" dxfId="31468" priority="93558" stopIfTrue="1" operator="equal">
      <formula>-1</formula>
    </cfRule>
  </conditionalFormatting>
  <conditionalFormatting sqref="AB19">
    <cfRule type="cellIs" dxfId="31467" priority="93559" stopIfTrue="1" operator="lessThan">
      <formula>0.5</formula>
    </cfRule>
  </conditionalFormatting>
  <conditionalFormatting sqref="AB19">
    <cfRule type="cellIs" dxfId="31466" priority="93560" stopIfTrue="1" operator="greaterThanOrEqual">
      <formula>0.5</formula>
    </cfRule>
  </conditionalFormatting>
  <conditionalFormatting sqref="AB20">
    <cfRule type="cellIs" dxfId="31465" priority="93561" stopIfTrue="1" operator="equal">
      <formula>-1</formula>
    </cfRule>
  </conditionalFormatting>
  <conditionalFormatting sqref="AB20">
    <cfRule type="cellIs" dxfId="31464" priority="93562" stopIfTrue="1" operator="lessThan">
      <formula>0.5</formula>
    </cfRule>
  </conditionalFormatting>
  <conditionalFormatting sqref="AB20">
    <cfRule type="cellIs" dxfId="31463" priority="93563" stopIfTrue="1" operator="greaterThanOrEqual">
      <formula>0.5</formula>
    </cfRule>
  </conditionalFormatting>
  <conditionalFormatting sqref="AB21">
    <cfRule type="cellIs" dxfId="31462" priority="93564" stopIfTrue="1" operator="equal">
      <formula>-1</formula>
    </cfRule>
  </conditionalFormatting>
  <conditionalFormatting sqref="AB21">
    <cfRule type="cellIs" dxfId="31461" priority="93565" stopIfTrue="1" operator="lessThan">
      <formula>0.5</formula>
    </cfRule>
  </conditionalFormatting>
  <conditionalFormatting sqref="AB21">
    <cfRule type="cellIs" dxfId="31460" priority="93566" stopIfTrue="1" operator="greaterThanOrEqual">
      <formula>0.5</formula>
    </cfRule>
  </conditionalFormatting>
  <conditionalFormatting sqref="AB22">
    <cfRule type="cellIs" dxfId="31459" priority="93567" stopIfTrue="1" operator="equal">
      <formula>-1</formula>
    </cfRule>
  </conditionalFormatting>
  <conditionalFormatting sqref="AB22">
    <cfRule type="cellIs" dxfId="31458" priority="93568" stopIfTrue="1" operator="lessThan">
      <formula>0.5</formula>
    </cfRule>
  </conditionalFormatting>
  <conditionalFormatting sqref="AB22">
    <cfRule type="cellIs" dxfId="31457" priority="93569" stopIfTrue="1" operator="greaterThanOrEqual">
      <formula>0.5</formula>
    </cfRule>
  </conditionalFormatting>
  <conditionalFormatting sqref="AB23">
    <cfRule type="cellIs" dxfId="31456" priority="93570" stopIfTrue="1" operator="equal">
      <formula>-1</formula>
    </cfRule>
  </conditionalFormatting>
  <conditionalFormatting sqref="AB23">
    <cfRule type="cellIs" dxfId="31455" priority="93571" stopIfTrue="1" operator="lessThan">
      <formula>0.5</formula>
    </cfRule>
  </conditionalFormatting>
  <conditionalFormatting sqref="AB23">
    <cfRule type="cellIs" dxfId="31454" priority="93572" stopIfTrue="1" operator="greaterThanOrEqual">
      <formula>0.5</formula>
    </cfRule>
  </conditionalFormatting>
  <conditionalFormatting sqref="AB24">
    <cfRule type="cellIs" dxfId="31453" priority="93573" stopIfTrue="1" operator="equal">
      <formula>-1</formula>
    </cfRule>
  </conditionalFormatting>
  <conditionalFormatting sqref="AB24">
    <cfRule type="cellIs" dxfId="31452" priority="93574" stopIfTrue="1" operator="lessThan">
      <formula>0.5</formula>
    </cfRule>
  </conditionalFormatting>
  <conditionalFormatting sqref="AB24">
    <cfRule type="cellIs" dxfId="31451" priority="93575" stopIfTrue="1" operator="greaterThanOrEqual">
      <formula>0.5</formula>
    </cfRule>
  </conditionalFormatting>
  <conditionalFormatting sqref="AB25">
    <cfRule type="cellIs" dxfId="31450" priority="93576" stopIfTrue="1" operator="equal">
      <formula>-1</formula>
    </cfRule>
  </conditionalFormatting>
  <conditionalFormatting sqref="AB25">
    <cfRule type="cellIs" dxfId="31449" priority="93577" stopIfTrue="1" operator="lessThan">
      <formula>0.5</formula>
    </cfRule>
  </conditionalFormatting>
  <conditionalFormatting sqref="AB25">
    <cfRule type="cellIs" dxfId="31448" priority="93578" stopIfTrue="1" operator="greaterThanOrEqual">
      <formula>0.5</formula>
    </cfRule>
  </conditionalFormatting>
  <conditionalFormatting sqref="AB26">
    <cfRule type="cellIs" dxfId="31447" priority="93579" stopIfTrue="1" operator="equal">
      <formula>-1</formula>
    </cfRule>
  </conditionalFormatting>
  <conditionalFormatting sqref="AB26">
    <cfRule type="cellIs" dxfId="31446" priority="93580" stopIfTrue="1" operator="lessThan">
      <formula>0.5</formula>
    </cfRule>
  </conditionalFormatting>
  <conditionalFormatting sqref="AB26">
    <cfRule type="cellIs" dxfId="31445" priority="93581" stopIfTrue="1" operator="greaterThanOrEqual">
      <formula>0.5</formula>
    </cfRule>
  </conditionalFormatting>
  <conditionalFormatting sqref="AB27">
    <cfRule type="cellIs" dxfId="31444" priority="93582" stopIfTrue="1" operator="equal">
      <formula>-1</formula>
    </cfRule>
  </conditionalFormatting>
  <conditionalFormatting sqref="AB27">
    <cfRule type="cellIs" dxfId="31443" priority="93583" stopIfTrue="1" operator="lessThan">
      <formula>0.5</formula>
    </cfRule>
  </conditionalFormatting>
  <conditionalFormatting sqref="AB27">
    <cfRule type="cellIs" dxfId="31442" priority="93584" stopIfTrue="1" operator="greaterThanOrEqual">
      <formula>0.5</formula>
    </cfRule>
  </conditionalFormatting>
  <conditionalFormatting sqref="AB28">
    <cfRule type="cellIs" dxfId="31441" priority="93585" stopIfTrue="1" operator="equal">
      <formula>-1</formula>
    </cfRule>
  </conditionalFormatting>
  <conditionalFormatting sqref="AB28">
    <cfRule type="cellIs" dxfId="31440" priority="93586" stopIfTrue="1" operator="lessThan">
      <formula>0.5</formula>
    </cfRule>
  </conditionalFormatting>
  <conditionalFormatting sqref="AB28">
    <cfRule type="cellIs" dxfId="31439" priority="93587" stopIfTrue="1" operator="greaterThanOrEqual">
      <formula>0.5</formula>
    </cfRule>
  </conditionalFormatting>
  <conditionalFormatting sqref="AB29">
    <cfRule type="cellIs" dxfId="31438" priority="93588" stopIfTrue="1" operator="equal">
      <formula>-1</formula>
    </cfRule>
  </conditionalFormatting>
  <conditionalFormatting sqref="AB29">
    <cfRule type="cellIs" dxfId="31437" priority="93589" stopIfTrue="1" operator="lessThan">
      <formula>0.5</formula>
    </cfRule>
  </conditionalFormatting>
  <conditionalFormatting sqref="AB29">
    <cfRule type="cellIs" dxfId="31436" priority="93590" stopIfTrue="1" operator="greaterThanOrEqual">
      <formula>0.5</formula>
    </cfRule>
  </conditionalFormatting>
  <conditionalFormatting sqref="AB30">
    <cfRule type="cellIs" dxfId="31435" priority="93591" stopIfTrue="1" operator="equal">
      <formula>-1</formula>
    </cfRule>
  </conditionalFormatting>
  <conditionalFormatting sqref="AB30">
    <cfRule type="cellIs" dxfId="31434" priority="93592" stopIfTrue="1" operator="lessThan">
      <formula>0.5</formula>
    </cfRule>
  </conditionalFormatting>
  <conditionalFormatting sqref="AB30">
    <cfRule type="cellIs" dxfId="31433" priority="93593" stopIfTrue="1" operator="greaterThanOrEqual">
      <formula>0.5</formula>
    </cfRule>
  </conditionalFormatting>
  <conditionalFormatting sqref="AB31">
    <cfRule type="cellIs" dxfId="31432" priority="93594" stopIfTrue="1" operator="equal">
      <formula>-1</formula>
    </cfRule>
  </conditionalFormatting>
  <conditionalFormatting sqref="AB31">
    <cfRule type="cellIs" dxfId="31431" priority="93595" stopIfTrue="1" operator="lessThan">
      <formula>0.5</formula>
    </cfRule>
  </conditionalFormatting>
  <conditionalFormatting sqref="AB31">
    <cfRule type="cellIs" dxfId="31430" priority="93596" stopIfTrue="1" operator="greaterThanOrEqual">
      <formula>0.5</formula>
    </cfRule>
  </conditionalFormatting>
  <conditionalFormatting sqref="AB32">
    <cfRule type="cellIs" dxfId="31429" priority="93597" stopIfTrue="1" operator="equal">
      <formula>-1</formula>
    </cfRule>
  </conditionalFormatting>
  <conditionalFormatting sqref="AB32">
    <cfRule type="cellIs" dxfId="31428" priority="93598" stopIfTrue="1" operator="lessThan">
      <formula>0.5</formula>
    </cfRule>
  </conditionalFormatting>
  <conditionalFormatting sqref="AB32">
    <cfRule type="cellIs" dxfId="31427" priority="93599" stopIfTrue="1" operator="greaterThanOrEqual">
      <formula>0.5</formula>
    </cfRule>
  </conditionalFormatting>
  <conditionalFormatting sqref="AB33">
    <cfRule type="cellIs" dxfId="31426" priority="93600" stopIfTrue="1" operator="equal">
      <formula>-1</formula>
    </cfRule>
  </conditionalFormatting>
  <conditionalFormatting sqref="AB33">
    <cfRule type="cellIs" dxfId="31425" priority="93601" stopIfTrue="1" operator="lessThan">
      <formula>0.5</formula>
    </cfRule>
  </conditionalFormatting>
  <conditionalFormatting sqref="AB33">
    <cfRule type="cellIs" dxfId="31424" priority="93602" stopIfTrue="1" operator="greaterThanOrEqual">
      <formula>0.5</formula>
    </cfRule>
  </conditionalFormatting>
  <conditionalFormatting sqref="AB34">
    <cfRule type="cellIs" dxfId="31423" priority="93603" stopIfTrue="1" operator="equal">
      <formula>-1</formula>
    </cfRule>
  </conditionalFormatting>
  <conditionalFormatting sqref="AB34">
    <cfRule type="cellIs" dxfId="31422" priority="93604" stopIfTrue="1" operator="lessThan">
      <formula>0.5</formula>
    </cfRule>
  </conditionalFormatting>
  <conditionalFormatting sqref="AB34">
    <cfRule type="cellIs" dxfId="31421" priority="93605" stopIfTrue="1" operator="greaterThanOrEqual">
      <formula>0.5</formula>
    </cfRule>
  </conditionalFormatting>
  <conditionalFormatting sqref="AB35">
    <cfRule type="cellIs" dxfId="31420" priority="93606" stopIfTrue="1" operator="equal">
      <formula>-1</formula>
    </cfRule>
  </conditionalFormatting>
  <conditionalFormatting sqref="AB35">
    <cfRule type="cellIs" dxfId="31419" priority="93607" stopIfTrue="1" operator="lessThan">
      <formula>0.5</formula>
    </cfRule>
  </conditionalFormatting>
  <conditionalFormatting sqref="AB35">
    <cfRule type="cellIs" dxfId="31418" priority="93608" stopIfTrue="1" operator="greaterThanOrEqual">
      <formula>0.5</formula>
    </cfRule>
  </conditionalFormatting>
  <conditionalFormatting sqref="AB36">
    <cfRule type="cellIs" dxfId="31417" priority="93609" stopIfTrue="1" operator="equal">
      <formula>-1</formula>
    </cfRule>
  </conditionalFormatting>
  <conditionalFormatting sqref="AB36">
    <cfRule type="cellIs" dxfId="31416" priority="93610" stopIfTrue="1" operator="lessThan">
      <formula>0.5</formula>
    </cfRule>
  </conditionalFormatting>
  <conditionalFormatting sqref="AB36">
    <cfRule type="cellIs" dxfId="31415" priority="93611" stopIfTrue="1" operator="greaterThanOrEqual">
      <formula>0.5</formula>
    </cfRule>
  </conditionalFormatting>
  <conditionalFormatting sqref="AB37">
    <cfRule type="cellIs" dxfId="31414" priority="93612" stopIfTrue="1" operator="equal">
      <formula>-1</formula>
    </cfRule>
  </conditionalFormatting>
  <conditionalFormatting sqref="AB37">
    <cfRule type="cellIs" dxfId="31413" priority="93613" stopIfTrue="1" operator="lessThan">
      <formula>0.5</formula>
    </cfRule>
  </conditionalFormatting>
  <conditionalFormatting sqref="AB37">
    <cfRule type="cellIs" dxfId="31412" priority="93614" stopIfTrue="1" operator="greaterThanOrEqual">
      <formula>0.5</formula>
    </cfRule>
  </conditionalFormatting>
  <conditionalFormatting sqref="AD17">
    <cfRule type="cellIs" dxfId="31411" priority="93615" stopIfTrue="1" operator="equal">
      <formula>-1</formula>
    </cfRule>
  </conditionalFormatting>
  <conditionalFormatting sqref="AD17">
    <cfRule type="cellIs" dxfId="31410" priority="93616" stopIfTrue="1" operator="lessThan">
      <formula>0.5</formula>
    </cfRule>
  </conditionalFormatting>
  <conditionalFormatting sqref="AD17">
    <cfRule type="cellIs" dxfId="31409" priority="93617" stopIfTrue="1" operator="greaterThanOrEqual">
      <formula>0.5</formula>
    </cfRule>
  </conditionalFormatting>
  <conditionalFormatting sqref="AD18">
    <cfRule type="cellIs" dxfId="31408" priority="93618" stopIfTrue="1" operator="equal">
      <formula>-1</formula>
    </cfRule>
  </conditionalFormatting>
  <conditionalFormatting sqref="AD18">
    <cfRule type="cellIs" dxfId="31407" priority="93619" stopIfTrue="1" operator="lessThan">
      <formula>0.5</formula>
    </cfRule>
  </conditionalFormatting>
  <conditionalFormatting sqref="AD18">
    <cfRule type="cellIs" dxfId="31406" priority="93620" stopIfTrue="1" operator="greaterThanOrEqual">
      <formula>0.5</formula>
    </cfRule>
  </conditionalFormatting>
  <conditionalFormatting sqref="AD19">
    <cfRule type="cellIs" dxfId="31405" priority="93621" stopIfTrue="1" operator="equal">
      <formula>-1</formula>
    </cfRule>
  </conditionalFormatting>
  <conditionalFormatting sqref="AD19">
    <cfRule type="cellIs" dxfId="31404" priority="93622" stopIfTrue="1" operator="lessThan">
      <formula>0.5</formula>
    </cfRule>
  </conditionalFormatting>
  <conditionalFormatting sqref="AD19">
    <cfRule type="cellIs" dxfId="31403" priority="93623" stopIfTrue="1" operator="greaterThanOrEqual">
      <formula>0.5</formula>
    </cfRule>
  </conditionalFormatting>
  <conditionalFormatting sqref="AD20">
    <cfRule type="cellIs" dxfId="31402" priority="93624" stopIfTrue="1" operator="equal">
      <formula>-1</formula>
    </cfRule>
  </conditionalFormatting>
  <conditionalFormatting sqref="AD20">
    <cfRule type="cellIs" dxfId="31401" priority="93625" stopIfTrue="1" operator="lessThan">
      <formula>0.5</formula>
    </cfRule>
  </conditionalFormatting>
  <conditionalFormatting sqref="AD20">
    <cfRule type="cellIs" dxfId="31400" priority="93626" stopIfTrue="1" operator="greaterThanOrEqual">
      <formula>0.5</formula>
    </cfRule>
  </conditionalFormatting>
  <conditionalFormatting sqref="AD21">
    <cfRule type="cellIs" dxfId="31399" priority="93627" stopIfTrue="1" operator="equal">
      <formula>-1</formula>
    </cfRule>
  </conditionalFormatting>
  <conditionalFormatting sqref="AD21">
    <cfRule type="cellIs" dxfId="31398" priority="93628" stopIfTrue="1" operator="lessThan">
      <formula>0.5</formula>
    </cfRule>
  </conditionalFormatting>
  <conditionalFormatting sqref="AD21">
    <cfRule type="cellIs" dxfId="31397" priority="93629" stopIfTrue="1" operator="greaterThanOrEqual">
      <formula>0.5</formula>
    </cfRule>
  </conditionalFormatting>
  <conditionalFormatting sqref="AD22">
    <cfRule type="cellIs" dxfId="31396" priority="93630" stopIfTrue="1" operator="equal">
      <formula>-1</formula>
    </cfRule>
  </conditionalFormatting>
  <conditionalFormatting sqref="AD22">
    <cfRule type="cellIs" dxfId="31395" priority="93631" stopIfTrue="1" operator="lessThan">
      <formula>0.5</formula>
    </cfRule>
  </conditionalFormatting>
  <conditionalFormatting sqref="AD22">
    <cfRule type="cellIs" dxfId="31394" priority="93632" stopIfTrue="1" operator="greaterThanOrEqual">
      <formula>0.5</formula>
    </cfRule>
  </conditionalFormatting>
  <conditionalFormatting sqref="AD23">
    <cfRule type="cellIs" dxfId="31393" priority="93633" stopIfTrue="1" operator="equal">
      <formula>-1</formula>
    </cfRule>
  </conditionalFormatting>
  <conditionalFormatting sqref="AD23">
    <cfRule type="cellIs" dxfId="31392" priority="93634" stopIfTrue="1" operator="lessThan">
      <formula>0.5</formula>
    </cfRule>
  </conditionalFormatting>
  <conditionalFormatting sqref="AD23">
    <cfRule type="cellIs" dxfId="31391" priority="93635" stopIfTrue="1" operator="greaterThanOrEqual">
      <formula>0.5</formula>
    </cfRule>
  </conditionalFormatting>
  <conditionalFormatting sqref="AD24">
    <cfRule type="cellIs" dxfId="31390" priority="93636" stopIfTrue="1" operator="equal">
      <formula>-1</formula>
    </cfRule>
  </conditionalFormatting>
  <conditionalFormatting sqref="AD24">
    <cfRule type="cellIs" dxfId="31389" priority="93637" stopIfTrue="1" operator="lessThan">
      <formula>0.5</formula>
    </cfRule>
  </conditionalFormatting>
  <conditionalFormatting sqref="AD24">
    <cfRule type="cellIs" dxfId="31388" priority="93638" stopIfTrue="1" operator="greaterThanOrEqual">
      <formula>0.5</formula>
    </cfRule>
  </conditionalFormatting>
  <conditionalFormatting sqref="AD25">
    <cfRule type="cellIs" dxfId="31387" priority="93639" stopIfTrue="1" operator="equal">
      <formula>-1</formula>
    </cfRule>
  </conditionalFormatting>
  <conditionalFormatting sqref="AD25">
    <cfRule type="cellIs" dxfId="31386" priority="93640" stopIfTrue="1" operator="lessThan">
      <formula>0.5</formula>
    </cfRule>
  </conditionalFormatting>
  <conditionalFormatting sqref="AD25">
    <cfRule type="cellIs" dxfId="31385" priority="93641" stopIfTrue="1" operator="greaterThanOrEqual">
      <formula>0.5</formula>
    </cfRule>
  </conditionalFormatting>
  <conditionalFormatting sqref="AD26">
    <cfRule type="cellIs" dxfId="31384" priority="93642" stopIfTrue="1" operator="equal">
      <formula>-1</formula>
    </cfRule>
  </conditionalFormatting>
  <conditionalFormatting sqref="AD26">
    <cfRule type="cellIs" dxfId="31383" priority="93643" stopIfTrue="1" operator="lessThan">
      <formula>0.5</formula>
    </cfRule>
  </conditionalFormatting>
  <conditionalFormatting sqref="AD26">
    <cfRule type="cellIs" dxfId="31382" priority="93644" stopIfTrue="1" operator="greaterThanOrEqual">
      <formula>0.5</formula>
    </cfRule>
  </conditionalFormatting>
  <conditionalFormatting sqref="AD27">
    <cfRule type="cellIs" dxfId="31381" priority="93645" stopIfTrue="1" operator="equal">
      <formula>-1</formula>
    </cfRule>
  </conditionalFormatting>
  <conditionalFormatting sqref="AD27">
    <cfRule type="cellIs" dxfId="31380" priority="93646" stopIfTrue="1" operator="lessThan">
      <formula>0.5</formula>
    </cfRule>
  </conditionalFormatting>
  <conditionalFormatting sqref="AD27">
    <cfRule type="cellIs" dxfId="31379" priority="93647" stopIfTrue="1" operator="greaterThanOrEqual">
      <formula>0.5</formula>
    </cfRule>
  </conditionalFormatting>
  <conditionalFormatting sqref="AD28">
    <cfRule type="cellIs" dxfId="31378" priority="93648" stopIfTrue="1" operator="equal">
      <formula>-1</formula>
    </cfRule>
  </conditionalFormatting>
  <conditionalFormatting sqref="AD28">
    <cfRule type="cellIs" dxfId="31377" priority="93649" stopIfTrue="1" operator="lessThan">
      <formula>0.5</formula>
    </cfRule>
  </conditionalFormatting>
  <conditionalFormatting sqref="AD28">
    <cfRule type="cellIs" dxfId="31376" priority="93650" stopIfTrue="1" operator="greaterThanOrEqual">
      <formula>0.5</formula>
    </cfRule>
  </conditionalFormatting>
  <conditionalFormatting sqref="AD29">
    <cfRule type="cellIs" dxfId="31375" priority="93651" stopIfTrue="1" operator="equal">
      <formula>-1</formula>
    </cfRule>
  </conditionalFormatting>
  <conditionalFormatting sqref="AD29">
    <cfRule type="cellIs" dxfId="31374" priority="93652" stopIfTrue="1" operator="lessThan">
      <formula>0.5</formula>
    </cfRule>
  </conditionalFormatting>
  <conditionalFormatting sqref="AD29">
    <cfRule type="cellIs" dxfId="31373" priority="93653" stopIfTrue="1" operator="greaterThanOrEqual">
      <formula>0.5</formula>
    </cfRule>
  </conditionalFormatting>
  <conditionalFormatting sqref="AD30">
    <cfRule type="cellIs" dxfId="31372" priority="93654" stopIfTrue="1" operator="equal">
      <formula>-1</formula>
    </cfRule>
  </conditionalFormatting>
  <conditionalFormatting sqref="AD30">
    <cfRule type="cellIs" dxfId="31371" priority="93655" stopIfTrue="1" operator="lessThan">
      <formula>0.5</formula>
    </cfRule>
  </conditionalFormatting>
  <conditionalFormatting sqref="AD30">
    <cfRule type="cellIs" dxfId="31370" priority="93656" stopIfTrue="1" operator="greaterThanOrEqual">
      <formula>0.5</formula>
    </cfRule>
  </conditionalFormatting>
  <conditionalFormatting sqref="AD31">
    <cfRule type="cellIs" dxfId="31369" priority="93657" stopIfTrue="1" operator="equal">
      <formula>-1</formula>
    </cfRule>
  </conditionalFormatting>
  <conditionalFormatting sqref="AD31">
    <cfRule type="cellIs" dxfId="31368" priority="93658" stopIfTrue="1" operator="lessThan">
      <formula>0.5</formula>
    </cfRule>
  </conditionalFormatting>
  <conditionalFormatting sqref="AD31">
    <cfRule type="cellIs" dxfId="31367" priority="93659" stopIfTrue="1" operator="greaterThanOrEqual">
      <formula>0.5</formula>
    </cfRule>
  </conditionalFormatting>
  <conditionalFormatting sqref="AD32">
    <cfRule type="cellIs" dxfId="31366" priority="93660" stopIfTrue="1" operator="equal">
      <formula>-1</formula>
    </cfRule>
  </conditionalFormatting>
  <conditionalFormatting sqref="AD32">
    <cfRule type="cellIs" dxfId="31365" priority="93661" stopIfTrue="1" operator="lessThan">
      <formula>0.5</formula>
    </cfRule>
  </conditionalFormatting>
  <conditionalFormatting sqref="AD32">
    <cfRule type="cellIs" dxfId="31364" priority="93662" stopIfTrue="1" operator="greaterThanOrEqual">
      <formula>0.5</formula>
    </cfRule>
  </conditionalFormatting>
  <conditionalFormatting sqref="AD33">
    <cfRule type="cellIs" dxfId="31363" priority="93663" stopIfTrue="1" operator="equal">
      <formula>-1</formula>
    </cfRule>
  </conditionalFormatting>
  <conditionalFormatting sqref="AD33">
    <cfRule type="cellIs" dxfId="31362" priority="93664" stopIfTrue="1" operator="lessThan">
      <formula>0.5</formula>
    </cfRule>
  </conditionalFormatting>
  <conditionalFormatting sqref="AD33">
    <cfRule type="cellIs" dxfId="31361" priority="93665" stopIfTrue="1" operator="greaterThanOrEqual">
      <formula>0.5</formula>
    </cfRule>
  </conditionalFormatting>
  <conditionalFormatting sqref="AD34">
    <cfRule type="cellIs" dxfId="31360" priority="93666" stopIfTrue="1" operator="equal">
      <formula>-1</formula>
    </cfRule>
  </conditionalFormatting>
  <conditionalFormatting sqref="AD34">
    <cfRule type="cellIs" dxfId="31359" priority="93667" stopIfTrue="1" operator="lessThan">
      <formula>0.5</formula>
    </cfRule>
  </conditionalFormatting>
  <conditionalFormatting sqref="AD34">
    <cfRule type="cellIs" dxfId="31358" priority="93668" stopIfTrue="1" operator="greaterThanOrEqual">
      <formula>0.5</formula>
    </cfRule>
  </conditionalFormatting>
  <conditionalFormatting sqref="AD35">
    <cfRule type="cellIs" dxfId="31357" priority="93669" stopIfTrue="1" operator="equal">
      <formula>-1</formula>
    </cfRule>
  </conditionalFormatting>
  <conditionalFormatting sqref="AD35">
    <cfRule type="cellIs" dxfId="31356" priority="93670" stopIfTrue="1" operator="lessThan">
      <formula>0.5</formula>
    </cfRule>
  </conditionalFormatting>
  <conditionalFormatting sqref="AD35">
    <cfRule type="cellIs" dxfId="31355" priority="93671" stopIfTrue="1" operator="greaterThanOrEqual">
      <formula>0.5</formula>
    </cfRule>
  </conditionalFormatting>
  <conditionalFormatting sqref="AD36">
    <cfRule type="cellIs" dxfId="31354" priority="93672" stopIfTrue="1" operator="equal">
      <formula>-1</formula>
    </cfRule>
  </conditionalFormatting>
  <conditionalFormatting sqref="AD36">
    <cfRule type="cellIs" dxfId="31353" priority="93673" stopIfTrue="1" operator="lessThan">
      <formula>0.5</formula>
    </cfRule>
  </conditionalFormatting>
  <conditionalFormatting sqref="AD36">
    <cfRule type="cellIs" dxfId="31352" priority="93674" stopIfTrue="1" operator="greaterThanOrEqual">
      <formula>0.5</formula>
    </cfRule>
  </conditionalFormatting>
  <conditionalFormatting sqref="AD37">
    <cfRule type="cellIs" dxfId="31351" priority="93675" stopIfTrue="1" operator="equal">
      <formula>-1</formula>
    </cfRule>
  </conditionalFormatting>
  <conditionalFormatting sqref="AD37">
    <cfRule type="cellIs" dxfId="31350" priority="93676" stopIfTrue="1" operator="lessThan">
      <formula>0.5</formula>
    </cfRule>
  </conditionalFormatting>
  <conditionalFormatting sqref="AD37">
    <cfRule type="cellIs" dxfId="31349" priority="93677" stopIfTrue="1" operator="greaterThanOrEqual">
      <formula>0.5</formula>
    </cfRule>
  </conditionalFormatting>
  <conditionalFormatting sqref="AF17">
    <cfRule type="cellIs" dxfId="31348" priority="93678" stopIfTrue="1" operator="equal">
      <formula>-1</formula>
    </cfRule>
  </conditionalFormatting>
  <conditionalFormatting sqref="AF17">
    <cfRule type="cellIs" dxfId="31347" priority="93679" stopIfTrue="1" operator="lessThan">
      <formula>0.5</formula>
    </cfRule>
  </conditionalFormatting>
  <conditionalFormatting sqref="AF17">
    <cfRule type="cellIs" dxfId="31346" priority="93680" stopIfTrue="1" operator="greaterThanOrEqual">
      <formula>0.5</formula>
    </cfRule>
  </conditionalFormatting>
  <conditionalFormatting sqref="AF18">
    <cfRule type="cellIs" dxfId="31345" priority="93681" stopIfTrue="1" operator="equal">
      <formula>-1</formula>
    </cfRule>
  </conditionalFormatting>
  <conditionalFormatting sqref="AF18">
    <cfRule type="cellIs" dxfId="31344" priority="93682" stopIfTrue="1" operator="lessThan">
      <formula>0.5</formula>
    </cfRule>
  </conditionalFormatting>
  <conditionalFormatting sqref="AF18">
    <cfRule type="cellIs" dxfId="31343" priority="93683" stopIfTrue="1" operator="greaterThanOrEqual">
      <formula>0.5</formula>
    </cfRule>
  </conditionalFormatting>
  <conditionalFormatting sqref="AF19">
    <cfRule type="cellIs" dxfId="31342" priority="93684" stopIfTrue="1" operator="equal">
      <formula>-1</formula>
    </cfRule>
  </conditionalFormatting>
  <conditionalFormatting sqref="AF19">
    <cfRule type="cellIs" dxfId="31341" priority="93685" stopIfTrue="1" operator="lessThan">
      <formula>0.5</formula>
    </cfRule>
  </conditionalFormatting>
  <conditionalFormatting sqref="AF19">
    <cfRule type="cellIs" dxfId="31340" priority="93686" stopIfTrue="1" operator="greaterThanOrEqual">
      <formula>0.5</formula>
    </cfRule>
  </conditionalFormatting>
  <conditionalFormatting sqref="AF20">
    <cfRule type="cellIs" dxfId="31339" priority="93687" stopIfTrue="1" operator="equal">
      <formula>-1</formula>
    </cfRule>
  </conditionalFormatting>
  <conditionalFormatting sqref="AF20">
    <cfRule type="cellIs" dxfId="31338" priority="93688" stopIfTrue="1" operator="lessThan">
      <formula>0.5</formula>
    </cfRule>
  </conditionalFormatting>
  <conditionalFormatting sqref="AF20">
    <cfRule type="cellIs" dxfId="31337" priority="93689" stopIfTrue="1" operator="greaterThanOrEqual">
      <formula>0.5</formula>
    </cfRule>
  </conditionalFormatting>
  <conditionalFormatting sqref="AF21">
    <cfRule type="cellIs" dxfId="31336" priority="93690" stopIfTrue="1" operator="equal">
      <formula>-1</formula>
    </cfRule>
  </conditionalFormatting>
  <conditionalFormatting sqref="AF21">
    <cfRule type="cellIs" dxfId="31335" priority="93691" stopIfTrue="1" operator="lessThan">
      <formula>0.5</formula>
    </cfRule>
  </conditionalFormatting>
  <conditionalFormatting sqref="AF21">
    <cfRule type="cellIs" dxfId="31334" priority="93692" stopIfTrue="1" operator="greaterThanOrEqual">
      <formula>0.5</formula>
    </cfRule>
  </conditionalFormatting>
  <conditionalFormatting sqref="AF22">
    <cfRule type="cellIs" dxfId="31333" priority="93693" stopIfTrue="1" operator="equal">
      <formula>-1</formula>
    </cfRule>
  </conditionalFormatting>
  <conditionalFormatting sqref="AF22">
    <cfRule type="cellIs" dxfId="31332" priority="93694" stopIfTrue="1" operator="lessThan">
      <formula>0.5</formula>
    </cfRule>
  </conditionalFormatting>
  <conditionalFormatting sqref="AF22">
    <cfRule type="cellIs" dxfId="31331" priority="93695" stopIfTrue="1" operator="greaterThanOrEqual">
      <formula>0.5</formula>
    </cfRule>
  </conditionalFormatting>
  <conditionalFormatting sqref="AF23">
    <cfRule type="cellIs" dxfId="31330" priority="93696" stopIfTrue="1" operator="equal">
      <formula>-1</formula>
    </cfRule>
  </conditionalFormatting>
  <conditionalFormatting sqref="AF23">
    <cfRule type="cellIs" dxfId="31329" priority="93697" stopIfTrue="1" operator="lessThan">
      <formula>0.5</formula>
    </cfRule>
  </conditionalFormatting>
  <conditionalFormatting sqref="AF23">
    <cfRule type="cellIs" dxfId="31328" priority="93698" stopIfTrue="1" operator="greaterThanOrEqual">
      <formula>0.5</formula>
    </cfRule>
  </conditionalFormatting>
  <conditionalFormatting sqref="AF24">
    <cfRule type="cellIs" dxfId="31327" priority="93699" stopIfTrue="1" operator="equal">
      <formula>-1</formula>
    </cfRule>
  </conditionalFormatting>
  <conditionalFormatting sqref="AF24">
    <cfRule type="cellIs" dxfId="31326" priority="93700" stopIfTrue="1" operator="lessThan">
      <formula>0.5</formula>
    </cfRule>
  </conditionalFormatting>
  <conditionalFormatting sqref="AF24">
    <cfRule type="cellIs" dxfId="31325" priority="93701" stopIfTrue="1" operator="greaterThanOrEqual">
      <formula>0.5</formula>
    </cfRule>
  </conditionalFormatting>
  <conditionalFormatting sqref="AF25">
    <cfRule type="cellIs" dxfId="31324" priority="93702" stopIfTrue="1" operator="equal">
      <formula>-1</formula>
    </cfRule>
  </conditionalFormatting>
  <conditionalFormatting sqref="AF25">
    <cfRule type="cellIs" dxfId="31323" priority="93703" stopIfTrue="1" operator="lessThan">
      <formula>0.5</formula>
    </cfRule>
  </conditionalFormatting>
  <conditionalFormatting sqref="AF25">
    <cfRule type="cellIs" dxfId="31322" priority="93704" stopIfTrue="1" operator="greaterThanOrEqual">
      <formula>0.5</formula>
    </cfRule>
  </conditionalFormatting>
  <conditionalFormatting sqref="AF26">
    <cfRule type="cellIs" dxfId="31321" priority="93705" stopIfTrue="1" operator="equal">
      <formula>-1</formula>
    </cfRule>
  </conditionalFormatting>
  <conditionalFormatting sqref="AF26">
    <cfRule type="cellIs" dxfId="31320" priority="93706" stopIfTrue="1" operator="lessThan">
      <formula>0.5</formula>
    </cfRule>
  </conditionalFormatting>
  <conditionalFormatting sqref="AF26">
    <cfRule type="cellIs" dxfId="31319" priority="93707" stopIfTrue="1" operator="greaterThanOrEqual">
      <formula>0.5</formula>
    </cfRule>
  </conditionalFormatting>
  <conditionalFormatting sqref="AF27">
    <cfRule type="cellIs" dxfId="31318" priority="93708" stopIfTrue="1" operator="equal">
      <formula>-1</formula>
    </cfRule>
  </conditionalFormatting>
  <conditionalFormatting sqref="AF27">
    <cfRule type="cellIs" dxfId="31317" priority="93709" stopIfTrue="1" operator="lessThan">
      <formula>0.5</formula>
    </cfRule>
  </conditionalFormatting>
  <conditionalFormatting sqref="AF27">
    <cfRule type="cellIs" dxfId="31316" priority="93710" stopIfTrue="1" operator="greaterThanOrEqual">
      <formula>0.5</formula>
    </cfRule>
  </conditionalFormatting>
  <conditionalFormatting sqref="AF28">
    <cfRule type="cellIs" dxfId="31315" priority="93711" stopIfTrue="1" operator="equal">
      <formula>-1</formula>
    </cfRule>
  </conditionalFormatting>
  <conditionalFormatting sqref="AF28">
    <cfRule type="cellIs" dxfId="31314" priority="93712" stopIfTrue="1" operator="lessThan">
      <formula>0.5</formula>
    </cfRule>
  </conditionalFormatting>
  <conditionalFormatting sqref="AF28">
    <cfRule type="cellIs" dxfId="31313" priority="93713" stopIfTrue="1" operator="greaterThanOrEqual">
      <formula>0.5</formula>
    </cfRule>
  </conditionalFormatting>
  <conditionalFormatting sqref="AF29">
    <cfRule type="cellIs" dxfId="31312" priority="93714" stopIfTrue="1" operator="equal">
      <formula>-1</formula>
    </cfRule>
  </conditionalFormatting>
  <conditionalFormatting sqref="AF29">
    <cfRule type="cellIs" dxfId="31311" priority="93715" stopIfTrue="1" operator="lessThan">
      <formula>0.5</formula>
    </cfRule>
  </conditionalFormatting>
  <conditionalFormatting sqref="AF29">
    <cfRule type="cellIs" dxfId="31310" priority="93716" stopIfTrue="1" operator="greaterThanOrEqual">
      <formula>0.5</formula>
    </cfRule>
  </conditionalFormatting>
  <conditionalFormatting sqref="AF30">
    <cfRule type="cellIs" dxfId="31309" priority="93717" stopIfTrue="1" operator="equal">
      <formula>-1</formula>
    </cfRule>
  </conditionalFormatting>
  <conditionalFormatting sqref="AF30">
    <cfRule type="cellIs" dxfId="31308" priority="93718" stopIfTrue="1" operator="lessThan">
      <formula>0.5</formula>
    </cfRule>
  </conditionalFormatting>
  <conditionalFormatting sqref="AF30">
    <cfRule type="cellIs" dxfId="31307" priority="93719" stopIfTrue="1" operator="greaterThanOrEqual">
      <formula>0.5</formula>
    </cfRule>
  </conditionalFormatting>
  <conditionalFormatting sqref="AF31">
    <cfRule type="cellIs" dxfId="31306" priority="93720" stopIfTrue="1" operator="equal">
      <formula>-1</formula>
    </cfRule>
  </conditionalFormatting>
  <conditionalFormatting sqref="AF31">
    <cfRule type="cellIs" dxfId="31305" priority="93721" stopIfTrue="1" operator="lessThan">
      <formula>0.5</formula>
    </cfRule>
  </conditionalFormatting>
  <conditionalFormatting sqref="AF31">
    <cfRule type="cellIs" dxfId="31304" priority="93722" stopIfTrue="1" operator="greaterThanOrEqual">
      <formula>0.5</formula>
    </cfRule>
  </conditionalFormatting>
  <conditionalFormatting sqref="AF32">
    <cfRule type="cellIs" dxfId="31303" priority="93723" stopIfTrue="1" operator="equal">
      <formula>-1</formula>
    </cfRule>
  </conditionalFormatting>
  <conditionalFormatting sqref="AF32">
    <cfRule type="cellIs" dxfId="31302" priority="93724" stopIfTrue="1" operator="lessThan">
      <formula>0.5</formula>
    </cfRule>
  </conditionalFormatting>
  <conditionalFormatting sqref="AF32">
    <cfRule type="cellIs" dxfId="31301" priority="93725" stopIfTrue="1" operator="greaterThanOrEqual">
      <formula>0.5</formula>
    </cfRule>
  </conditionalFormatting>
  <conditionalFormatting sqref="AF33">
    <cfRule type="cellIs" dxfId="31300" priority="93726" stopIfTrue="1" operator="equal">
      <formula>-1</formula>
    </cfRule>
  </conditionalFormatting>
  <conditionalFormatting sqref="AF33">
    <cfRule type="cellIs" dxfId="31299" priority="93727" stopIfTrue="1" operator="lessThan">
      <formula>0.5</formula>
    </cfRule>
  </conditionalFormatting>
  <conditionalFormatting sqref="AF33">
    <cfRule type="cellIs" dxfId="31298" priority="93728" stopIfTrue="1" operator="greaterThanOrEqual">
      <formula>0.5</formula>
    </cfRule>
  </conditionalFormatting>
  <conditionalFormatting sqref="AF34">
    <cfRule type="cellIs" dxfId="31297" priority="93729" stopIfTrue="1" operator="equal">
      <formula>-1</formula>
    </cfRule>
  </conditionalFormatting>
  <conditionalFormatting sqref="AF34">
    <cfRule type="cellIs" dxfId="31296" priority="93730" stopIfTrue="1" operator="lessThan">
      <formula>0.5</formula>
    </cfRule>
  </conditionalFormatting>
  <conditionalFormatting sqref="AF34">
    <cfRule type="cellIs" dxfId="31295" priority="93731" stopIfTrue="1" operator="greaterThanOrEqual">
      <formula>0.5</formula>
    </cfRule>
  </conditionalFormatting>
  <conditionalFormatting sqref="AF35">
    <cfRule type="cellIs" dxfId="31294" priority="93732" stopIfTrue="1" operator="equal">
      <formula>-1</formula>
    </cfRule>
  </conditionalFormatting>
  <conditionalFormatting sqref="AF35">
    <cfRule type="cellIs" dxfId="31293" priority="93733" stopIfTrue="1" operator="lessThan">
      <formula>0.5</formula>
    </cfRule>
  </conditionalFormatting>
  <conditionalFormatting sqref="AF35">
    <cfRule type="cellIs" dxfId="31292" priority="93734" stopIfTrue="1" operator="greaterThanOrEqual">
      <formula>0.5</formula>
    </cfRule>
  </conditionalFormatting>
  <conditionalFormatting sqref="AF36">
    <cfRule type="cellIs" dxfId="31291" priority="93735" stopIfTrue="1" operator="equal">
      <formula>-1</formula>
    </cfRule>
  </conditionalFormatting>
  <conditionalFormatting sqref="AF36">
    <cfRule type="cellIs" dxfId="31290" priority="93736" stopIfTrue="1" operator="lessThan">
      <formula>0.5</formula>
    </cfRule>
  </conditionalFormatting>
  <conditionalFormatting sqref="AF36">
    <cfRule type="cellIs" dxfId="31289" priority="93737" stopIfTrue="1" operator="greaterThanOrEqual">
      <formula>0.5</formula>
    </cfRule>
  </conditionalFormatting>
  <conditionalFormatting sqref="AF37">
    <cfRule type="cellIs" dxfId="31288" priority="93738" stopIfTrue="1" operator="equal">
      <formula>-1</formula>
    </cfRule>
  </conditionalFormatting>
  <conditionalFormatting sqref="AF37">
    <cfRule type="cellIs" dxfId="31287" priority="93739" stopIfTrue="1" operator="lessThan">
      <formula>0.5</formula>
    </cfRule>
  </conditionalFormatting>
  <conditionalFormatting sqref="AF37">
    <cfRule type="cellIs" dxfId="31286" priority="93740" stopIfTrue="1" operator="greaterThanOrEqual">
      <formula>0.5</formula>
    </cfRule>
  </conditionalFormatting>
  <conditionalFormatting sqref="AH17">
    <cfRule type="cellIs" dxfId="31285" priority="93741" stopIfTrue="1" operator="equal">
      <formula>-1</formula>
    </cfRule>
  </conditionalFormatting>
  <conditionalFormatting sqref="AH17">
    <cfRule type="cellIs" dxfId="31284" priority="93742" stopIfTrue="1" operator="lessThan">
      <formula>0.5</formula>
    </cfRule>
  </conditionalFormatting>
  <conditionalFormatting sqref="AH17">
    <cfRule type="cellIs" dxfId="31283" priority="93743" stopIfTrue="1" operator="greaterThanOrEqual">
      <formula>0.5</formula>
    </cfRule>
  </conditionalFormatting>
  <conditionalFormatting sqref="AH18">
    <cfRule type="cellIs" dxfId="31282" priority="93744" stopIfTrue="1" operator="equal">
      <formula>-1</formula>
    </cfRule>
  </conditionalFormatting>
  <conditionalFormatting sqref="AH18">
    <cfRule type="cellIs" dxfId="31281" priority="93745" stopIfTrue="1" operator="lessThan">
      <formula>0.5</formula>
    </cfRule>
  </conditionalFormatting>
  <conditionalFormatting sqref="AH18">
    <cfRule type="cellIs" dxfId="31280" priority="93746" stopIfTrue="1" operator="greaterThanOrEqual">
      <formula>0.5</formula>
    </cfRule>
  </conditionalFormatting>
  <conditionalFormatting sqref="AH19">
    <cfRule type="cellIs" dxfId="31279" priority="93747" stopIfTrue="1" operator="equal">
      <formula>-1</formula>
    </cfRule>
  </conditionalFormatting>
  <conditionalFormatting sqref="AH19">
    <cfRule type="cellIs" dxfId="31278" priority="93748" stopIfTrue="1" operator="lessThan">
      <formula>0.5</formula>
    </cfRule>
  </conditionalFormatting>
  <conditionalFormatting sqref="AH19">
    <cfRule type="cellIs" dxfId="31277" priority="93749" stopIfTrue="1" operator="greaterThanOrEqual">
      <formula>0.5</formula>
    </cfRule>
  </conditionalFormatting>
  <conditionalFormatting sqref="AH20">
    <cfRule type="cellIs" dxfId="31276" priority="93750" stopIfTrue="1" operator="equal">
      <formula>-1</formula>
    </cfRule>
  </conditionalFormatting>
  <conditionalFormatting sqref="AH20">
    <cfRule type="cellIs" dxfId="31275" priority="93751" stopIfTrue="1" operator="lessThan">
      <formula>0.5</formula>
    </cfRule>
  </conditionalFormatting>
  <conditionalFormatting sqref="AH20">
    <cfRule type="cellIs" dxfId="31274" priority="93752" stopIfTrue="1" operator="greaterThanOrEqual">
      <formula>0.5</formula>
    </cfRule>
  </conditionalFormatting>
  <conditionalFormatting sqref="AH21">
    <cfRule type="cellIs" dxfId="31273" priority="93753" stopIfTrue="1" operator="equal">
      <formula>-1</formula>
    </cfRule>
  </conditionalFormatting>
  <conditionalFormatting sqref="AH21">
    <cfRule type="cellIs" dxfId="31272" priority="93754" stopIfTrue="1" operator="lessThan">
      <formula>0.5</formula>
    </cfRule>
  </conditionalFormatting>
  <conditionalFormatting sqref="AH21">
    <cfRule type="cellIs" dxfId="31271" priority="93755" stopIfTrue="1" operator="greaterThanOrEqual">
      <formula>0.5</formula>
    </cfRule>
  </conditionalFormatting>
  <conditionalFormatting sqref="AH22">
    <cfRule type="cellIs" dxfId="31270" priority="93756" stopIfTrue="1" operator="equal">
      <formula>-1</formula>
    </cfRule>
  </conditionalFormatting>
  <conditionalFormatting sqref="AH22">
    <cfRule type="cellIs" dxfId="31269" priority="93757" stopIfTrue="1" operator="lessThan">
      <formula>0.5</formula>
    </cfRule>
  </conditionalFormatting>
  <conditionalFormatting sqref="AH22">
    <cfRule type="cellIs" dxfId="31268" priority="93758" stopIfTrue="1" operator="greaterThanOrEqual">
      <formula>0.5</formula>
    </cfRule>
  </conditionalFormatting>
  <conditionalFormatting sqref="AH23">
    <cfRule type="cellIs" dxfId="31267" priority="93759" stopIfTrue="1" operator="equal">
      <formula>-1</formula>
    </cfRule>
  </conditionalFormatting>
  <conditionalFormatting sqref="AH23">
    <cfRule type="cellIs" dxfId="31266" priority="93760" stopIfTrue="1" operator="lessThan">
      <formula>0.5</formula>
    </cfRule>
  </conditionalFormatting>
  <conditionalFormatting sqref="AH23">
    <cfRule type="cellIs" dxfId="31265" priority="93761" stopIfTrue="1" operator="greaterThanOrEqual">
      <formula>0.5</formula>
    </cfRule>
  </conditionalFormatting>
  <conditionalFormatting sqref="AH24">
    <cfRule type="cellIs" dxfId="31264" priority="93762" stopIfTrue="1" operator="equal">
      <formula>-1</formula>
    </cfRule>
  </conditionalFormatting>
  <conditionalFormatting sqref="AH24">
    <cfRule type="cellIs" dxfId="31263" priority="93763" stopIfTrue="1" operator="lessThan">
      <formula>0.5</formula>
    </cfRule>
  </conditionalFormatting>
  <conditionalFormatting sqref="AH24">
    <cfRule type="cellIs" dxfId="31262" priority="93764" stopIfTrue="1" operator="greaterThanOrEqual">
      <formula>0.5</formula>
    </cfRule>
  </conditionalFormatting>
  <conditionalFormatting sqref="AH25">
    <cfRule type="cellIs" dxfId="31261" priority="93765" stopIfTrue="1" operator="equal">
      <formula>-1</formula>
    </cfRule>
  </conditionalFormatting>
  <conditionalFormatting sqref="AH25">
    <cfRule type="cellIs" dxfId="31260" priority="93766" stopIfTrue="1" operator="lessThan">
      <formula>0.5</formula>
    </cfRule>
  </conditionalFormatting>
  <conditionalFormatting sqref="AH25">
    <cfRule type="cellIs" dxfId="31259" priority="93767" stopIfTrue="1" operator="greaterThanOrEqual">
      <formula>0.5</formula>
    </cfRule>
  </conditionalFormatting>
  <conditionalFormatting sqref="AH26">
    <cfRule type="cellIs" dxfId="31258" priority="93768" stopIfTrue="1" operator="equal">
      <formula>-1</formula>
    </cfRule>
  </conditionalFormatting>
  <conditionalFormatting sqref="AH26">
    <cfRule type="cellIs" dxfId="31257" priority="93769" stopIfTrue="1" operator="lessThan">
      <formula>0.5</formula>
    </cfRule>
  </conditionalFormatting>
  <conditionalFormatting sqref="AH26">
    <cfRule type="cellIs" dxfId="31256" priority="93770" stopIfTrue="1" operator="greaterThanOrEqual">
      <formula>0.5</formula>
    </cfRule>
  </conditionalFormatting>
  <conditionalFormatting sqref="AH27">
    <cfRule type="cellIs" dxfId="31255" priority="93771" stopIfTrue="1" operator="equal">
      <formula>-1</formula>
    </cfRule>
  </conditionalFormatting>
  <conditionalFormatting sqref="AH27">
    <cfRule type="cellIs" dxfId="31254" priority="93772" stopIfTrue="1" operator="lessThan">
      <formula>0.5</formula>
    </cfRule>
  </conditionalFormatting>
  <conditionalFormatting sqref="AH27">
    <cfRule type="cellIs" dxfId="31253" priority="93773" stopIfTrue="1" operator="greaterThanOrEqual">
      <formula>0.5</formula>
    </cfRule>
  </conditionalFormatting>
  <conditionalFormatting sqref="AH28">
    <cfRule type="cellIs" dxfId="31252" priority="93774" stopIfTrue="1" operator="equal">
      <formula>-1</formula>
    </cfRule>
  </conditionalFormatting>
  <conditionalFormatting sqref="AH28">
    <cfRule type="cellIs" dxfId="31251" priority="93775" stopIfTrue="1" operator="lessThan">
      <formula>0.5</formula>
    </cfRule>
  </conditionalFormatting>
  <conditionalFormatting sqref="AH28">
    <cfRule type="cellIs" dxfId="31250" priority="93776" stopIfTrue="1" operator="greaterThanOrEqual">
      <formula>0.5</formula>
    </cfRule>
  </conditionalFormatting>
  <conditionalFormatting sqref="AH29">
    <cfRule type="cellIs" dxfId="31249" priority="93777" stopIfTrue="1" operator="equal">
      <formula>-1</formula>
    </cfRule>
  </conditionalFormatting>
  <conditionalFormatting sqref="AH29">
    <cfRule type="cellIs" dxfId="31248" priority="93778" stopIfTrue="1" operator="lessThan">
      <formula>0.5</formula>
    </cfRule>
  </conditionalFormatting>
  <conditionalFormatting sqref="AH29">
    <cfRule type="cellIs" dxfId="31247" priority="93779" stopIfTrue="1" operator="greaterThanOrEqual">
      <formula>0.5</formula>
    </cfRule>
  </conditionalFormatting>
  <conditionalFormatting sqref="AH30">
    <cfRule type="cellIs" dxfId="31246" priority="93780" stopIfTrue="1" operator="equal">
      <formula>-1</formula>
    </cfRule>
  </conditionalFormatting>
  <conditionalFormatting sqref="AH30">
    <cfRule type="cellIs" dxfId="31245" priority="93781" stopIfTrue="1" operator="lessThan">
      <formula>0.5</formula>
    </cfRule>
  </conditionalFormatting>
  <conditionalFormatting sqref="AH30">
    <cfRule type="cellIs" dxfId="31244" priority="93782" stopIfTrue="1" operator="greaterThanOrEqual">
      <formula>0.5</formula>
    </cfRule>
  </conditionalFormatting>
  <conditionalFormatting sqref="AH31">
    <cfRule type="cellIs" dxfId="31243" priority="93783" stopIfTrue="1" operator="equal">
      <formula>-1</formula>
    </cfRule>
  </conditionalFormatting>
  <conditionalFormatting sqref="AH31">
    <cfRule type="cellIs" dxfId="31242" priority="93784" stopIfTrue="1" operator="lessThan">
      <formula>0.5</formula>
    </cfRule>
  </conditionalFormatting>
  <conditionalFormatting sqref="AH31">
    <cfRule type="cellIs" dxfId="31241" priority="93785" stopIfTrue="1" operator="greaterThanOrEqual">
      <formula>0.5</formula>
    </cfRule>
  </conditionalFormatting>
  <conditionalFormatting sqref="AH32">
    <cfRule type="cellIs" dxfId="31240" priority="93786" stopIfTrue="1" operator="equal">
      <formula>-1</formula>
    </cfRule>
  </conditionalFormatting>
  <conditionalFormatting sqref="AH32">
    <cfRule type="cellIs" dxfId="31239" priority="93787" stopIfTrue="1" operator="lessThan">
      <formula>0.5</formula>
    </cfRule>
  </conditionalFormatting>
  <conditionalFormatting sqref="AH32">
    <cfRule type="cellIs" dxfId="31238" priority="93788" stopIfTrue="1" operator="greaterThanOrEqual">
      <formula>0.5</formula>
    </cfRule>
  </conditionalFormatting>
  <conditionalFormatting sqref="AH33">
    <cfRule type="cellIs" dxfId="31237" priority="93789" stopIfTrue="1" operator="equal">
      <formula>-1</formula>
    </cfRule>
  </conditionalFormatting>
  <conditionalFormatting sqref="AH33">
    <cfRule type="cellIs" dxfId="31236" priority="93790" stopIfTrue="1" operator="lessThan">
      <formula>0.5</formula>
    </cfRule>
  </conditionalFormatting>
  <conditionalFormatting sqref="AH33">
    <cfRule type="cellIs" dxfId="31235" priority="93791" stopIfTrue="1" operator="greaterThanOrEqual">
      <formula>0.5</formula>
    </cfRule>
  </conditionalFormatting>
  <conditionalFormatting sqref="AH34">
    <cfRule type="cellIs" dxfId="31234" priority="93792" stopIfTrue="1" operator="equal">
      <formula>-1</formula>
    </cfRule>
  </conditionalFormatting>
  <conditionalFormatting sqref="AH34">
    <cfRule type="cellIs" dxfId="31233" priority="93793" stopIfTrue="1" operator="lessThan">
      <formula>0.5</formula>
    </cfRule>
  </conditionalFormatting>
  <conditionalFormatting sqref="AH34">
    <cfRule type="cellIs" dxfId="31232" priority="93794" stopIfTrue="1" operator="greaterThanOrEqual">
      <formula>0.5</formula>
    </cfRule>
  </conditionalFormatting>
  <conditionalFormatting sqref="AH35">
    <cfRule type="cellIs" dxfId="31231" priority="93795" stopIfTrue="1" operator="equal">
      <formula>-1</formula>
    </cfRule>
  </conditionalFormatting>
  <conditionalFormatting sqref="AH35">
    <cfRule type="cellIs" dxfId="31230" priority="93796" stopIfTrue="1" operator="lessThan">
      <formula>0.5</formula>
    </cfRule>
  </conditionalFormatting>
  <conditionalFormatting sqref="AH35">
    <cfRule type="cellIs" dxfId="31229" priority="93797" stopIfTrue="1" operator="greaterThanOrEqual">
      <formula>0.5</formula>
    </cfRule>
  </conditionalFormatting>
  <conditionalFormatting sqref="AH36">
    <cfRule type="cellIs" dxfId="31228" priority="93798" stopIfTrue="1" operator="equal">
      <formula>-1</formula>
    </cfRule>
  </conditionalFormatting>
  <conditionalFormatting sqref="AH36">
    <cfRule type="cellIs" dxfId="31227" priority="93799" stopIfTrue="1" operator="lessThan">
      <formula>0.5</formula>
    </cfRule>
  </conditionalFormatting>
  <conditionalFormatting sqref="AH36">
    <cfRule type="cellIs" dxfId="31226" priority="93800" stopIfTrue="1" operator="greaterThanOrEqual">
      <formula>0.5</formula>
    </cfRule>
  </conditionalFormatting>
  <conditionalFormatting sqref="AH37">
    <cfRule type="cellIs" dxfId="31225" priority="93801" stopIfTrue="1" operator="equal">
      <formula>-1</formula>
    </cfRule>
  </conditionalFormatting>
  <conditionalFormatting sqref="AH37">
    <cfRule type="cellIs" dxfId="31224" priority="93802" stopIfTrue="1" operator="lessThan">
      <formula>0.5</formula>
    </cfRule>
  </conditionalFormatting>
  <conditionalFormatting sqref="AH37">
    <cfRule type="cellIs" dxfId="31223" priority="93803" stopIfTrue="1" operator="greaterThanOrEqual">
      <formula>0.5</formula>
    </cfRule>
  </conditionalFormatting>
  <conditionalFormatting sqref="AJ17">
    <cfRule type="cellIs" dxfId="31222" priority="93804" stopIfTrue="1" operator="equal">
      <formula>-1</formula>
    </cfRule>
  </conditionalFormatting>
  <conditionalFormatting sqref="AJ17">
    <cfRule type="cellIs" dxfId="31221" priority="93805" stopIfTrue="1" operator="lessThan">
      <formula>0.5</formula>
    </cfRule>
  </conditionalFormatting>
  <conditionalFormatting sqref="AJ17">
    <cfRule type="cellIs" dxfId="31220" priority="93806" stopIfTrue="1" operator="greaterThanOrEqual">
      <formula>0.5</formula>
    </cfRule>
  </conditionalFormatting>
  <conditionalFormatting sqref="AJ18">
    <cfRule type="cellIs" dxfId="31219" priority="93807" stopIfTrue="1" operator="equal">
      <formula>-1</formula>
    </cfRule>
  </conditionalFormatting>
  <conditionalFormatting sqref="AJ18">
    <cfRule type="cellIs" dxfId="31218" priority="93808" stopIfTrue="1" operator="lessThan">
      <formula>0.5</formula>
    </cfRule>
  </conditionalFormatting>
  <conditionalFormatting sqref="AJ18">
    <cfRule type="cellIs" dxfId="31217" priority="93809" stopIfTrue="1" operator="greaterThanOrEqual">
      <formula>0.5</formula>
    </cfRule>
  </conditionalFormatting>
  <conditionalFormatting sqref="AJ19">
    <cfRule type="cellIs" dxfId="31216" priority="93810" stopIfTrue="1" operator="equal">
      <formula>-1</formula>
    </cfRule>
  </conditionalFormatting>
  <conditionalFormatting sqref="AJ19">
    <cfRule type="cellIs" dxfId="31215" priority="93811" stopIfTrue="1" operator="lessThan">
      <formula>0.5</formula>
    </cfRule>
  </conditionalFormatting>
  <conditionalFormatting sqref="AJ19">
    <cfRule type="cellIs" dxfId="31214" priority="93812" stopIfTrue="1" operator="greaterThanOrEqual">
      <formula>0.5</formula>
    </cfRule>
  </conditionalFormatting>
  <conditionalFormatting sqref="AJ20">
    <cfRule type="cellIs" dxfId="31213" priority="93813" stopIfTrue="1" operator="equal">
      <formula>-1</formula>
    </cfRule>
  </conditionalFormatting>
  <conditionalFormatting sqref="AJ20">
    <cfRule type="cellIs" dxfId="31212" priority="93814" stopIfTrue="1" operator="lessThan">
      <formula>0.5</formula>
    </cfRule>
  </conditionalFormatting>
  <conditionalFormatting sqref="AJ20">
    <cfRule type="cellIs" dxfId="31211" priority="93815" stopIfTrue="1" operator="greaterThanOrEqual">
      <formula>0.5</formula>
    </cfRule>
  </conditionalFormatting>
  <conditionalFormatting sqref="AJ21">
    <cfRule type="cellIs" dxfId="31210" priority="93816" stopIfTrue="1" operator="equal">
      <formula>-1</formula>
    </cfRule>
  </conditionalFormatting>
  <conditionalFormatting sqref="AJ21">
    <cfRule type="cellIs" dxfId="31209" priority="93817" stopIfTrue="1" operator="lessThan">
      <formula>0.5</formula>
    </cfRule>
  </conditionalFormatting>
  <conditionalFormatting sqref="AJ21">
    <cfRule type="cellIs" dxfId="31208" priority="93818" stopIfTrue="1" operator="greaterThanOrEqual">
      <formula>0.5</formula>
    </cfRule>
  </conditionalFormatting>
  <conditionalFormatting sqref="AJ22">
    <cfRule type="cellIs" dxfId="31207" priority="93819" stopIfTrue="1" operator="equal">
      <formula>-1</formula>
    </cfRule>
  </conditionalFormatting>
  <conditionalFormatting sqref="AJ22">
    <cfRule type="cellIs" dxfId="31206" priority="93820" stopIfTrue="1" operator="lessThan">
      <formula>0.5</formula>
    </cfRule>
  </conditionalFormatting>
  <conditionalFormatting sqref="AJ22">
    <cfRule type="cellIs" dxfId="31205" priority="93821" stopIfTrue="1" operator="greaterThanOrEqual">
      <formula>0.5</formula>
    </cfRule>
  </conditionalFormatting>
  <conditionalFormatting sqref="AJ23">
    <cfRule type="cellIs" dxfId="31204" priority="93822" stopIfTrue="1" operator="equal">
      <formula>-1</formula>
    </cfRule>
  </conditionalFormatting>
  <conditionalFormatting sqref="AJ23">
    <cfRule type="cellIs" dxfId="31203" priority="93823" stopIfTrue="1" operator="lessThan">
      <formula>0.5</formula>
    </cfRule>
  </conditionalFormatting>
  <conditionalFormatting sqref="AJ23">
    <cfRule type="cellIs" dxfId="31202" priority="93824" stopIfTrue="1" operator="greaterThanOrEqual">
      <formula>0.5</formula>
    </cfRule>
  </conditionalFormatting>
  <conditionalFormatting sqref="AJ24">
    <cfRule type="cellIs" dxfId="31201" priority="93825" stopIfTrue="1" operator="equal">
      <formula>-1</formula>
    </cfRule>
  </conditionalFormatting>
  <conditionalFormatting sqref="AJ24">
    <cfRule type="cellIs" dxfId="31200" priority="93826" stopIfTrue="1" operator="lessThan">
      <formula>0.5</formula>
    </cfRule>
  </conditionalFormatting>
  <conditionalFormatting sqref="AJ24">
    <cfRule type="cellIs" dxfId="31199" priority="93827" stopIfTrue="1" operator="greaterThanOrEqual">
      <formula>0.5</formula>
    </cfRule>
  </conditionalFormatting>
  <conditionalFormatting sqref="AJ25">
    <cfRule type="cellIs" dxfId="31198" priority="93828" stopIfTrue="1" operator="equal">
      <formula>-1</formula>
    </cfRule>
  </conditionalFormatting>
  <conditionalFormatting sqref="AJ25">
    <cfRule type="cellIs" dxfId="31197" priority="93829" stopIfTrue="1" operator="lessThan">
      <formula>0.5</formula>
    </cfRule>
  </conditionalFormatting>
  <conditionalFormatting sqref="AJ25">
    <cfRule type="cellIs" dxfId="31196" priority="93830" stopIfTrue="1" operator="greaterThanOrEqual">
      <formula>0.5</formula>
    </cfRule>
  </conditionalFormatting>
  <conditionalFormatting sqref="AJ26">
    <cfRule type="cellIs" dxfId="31195" priority="93831" stopIfTrue="1" operator="equal">
      <formula>-1</formula>
    </cfRule>
  </conditionalFormatting>
  <conditionalFormatting sqref="AJ26">
    <cfRule type="cellIs" dxfId="31194" priority="93832" stopIfTrue="1" operator="lessThan">
      <formula>0.5</formula>
    </cfRule>
  </conditionalFormatting>
  <conditionalFormatting sqref="AJ26">
    <cfRule type="cellIs" dxfId="31193" priority="93833" stopIfTrue="1" operator="greaterThanOrEqual">
      <formula>0.5</formula>
    </cfRule>
  </conditionalFormatting>
  <conditionalFormatting sqref="AJ27">
    <cfRule type="cellIs" dxfId="31192" priority="93834" stopIfTrue="1" operator="equal">
      <formula>-1</formula>
    </cfRule>
  </conditionalFormatting>
  <conditionalFormatting sqref="AJ27">
    <cfRule type="cellIs" dxfId="31191" priority="93835" stopIfTrue="1" operator="lessThan">
      <formula>0.5</formula>
    </cfRule>
  </conditionalFormatting>
  <conditionalFormatting sqref="AJ27">
    <cfRule type="cellIs" dxfId="31190" priority="93836" stopIfTrue="1" operator="greaterThanOrEqual">
      <formula>0.5</formula>
    </cfRule>
  </conditionalFormatting>
  <conditionalFormatting sqref="AJ28">
    <cfRule type="cellIs" dxfId="31189" priority="93837" stopIfTrue="1" operator="equal">
      <formula>-1</formula>
    </cfRule>
  </conditionalFormatting>
  <conditionalFormatting sqref="AJ28">
    <cfRule type="cellIs" dxfId="31188" priority="93838" stopIfTrue="1" operator="lessThan">
      <formula>0.5</formula>
    </cfRule>
  </conditionalFormatting>
  <conditionalFormatting sqref="AJ28">
    <cfRule type="cellIs" dxfId="31187" priority="93839" stopIfTrue="1" operator="greaterThanOrEqual">
      <formula>0.5</formula>
    </cfRule>
  </conditionalFormatting>
  <conditionalFormatting sqref="AJ29">
    <cfRule type="cellIs" dxfId="31186" priority="93840" stopIfTrue="1" operator="equal">
      <formula>-1</formula>
    </cfRule>
  </conditionalFormatting>
  <conditionalFormatting sqref="AJ29">
    <cfRule type="cellIs" dxfId="31185" priority="93841" stopIfTrue="1" operator="lessThan">
      <formula>0.5</formula>
    </cfRule>
  </conditionalFormatting>
  <conditionalFormatting sqref="AJ29">
    <cfRule type="cellIs" dxfId="31184" priority="93842" stopIfTrue="1" operator="greaterThanOrEqual">
      <formula>0.5</formula>
    </cfRule>
  </conditionalFormatting>
  <conditionalFormatting sqref="AJ30">
    <cfRule type="cellIs" dxfId="31183" priority="93843" stopIfTrue="1" operator="equal">
      <formula>-1</formula>
    </cfRule>
  </conditionalFormatting>
  <conditionalFormatting sqref="AJ30">
    <cfRule type="cellIs" dxfId="31182" priority="93844" stopIfTrue="1" operator="lessThan">
      <formula>0.5</formula>
    </cfRule>
  </conditionalFormatting>
  <conditionalFormatting sqref="AJ30">
    <cfRule type="cellIs" dxfId="31181" priority="93845" stopIfTrue="1" operator="greaterThanOrEqual">
      <formula>0.5</formula>
    </cfRule>
  </conditionalFormatting>
  <conditionalFormatting sqref="AJ31">
    <cfRule type="cellIs" dxfId="31180" priority="93846" stopIfTrue="1" operator="equal">
      <formula>-1</formula>
    </cfRule>
  </conditionalFormatting>
  <conditionalFormatting sqref="AJ31">
    <cfRule type="cellIs" dxfId="31179" priority="93847" stopIfTrue="1" operator="lessThan">
      <formula>0.5</formula>
    </cfRule>
  </conditionalFormatting>
  <conditionalFormatting sqref="AJ31">
    <cfRule type="cellIs" dxfId="31178" priority="93848" stopIfTrue="1" operator="greaterThanOrEqual">
      <formula>0.5</formula>
    </cfRule>
  </conditionalFormatting>
  <conditionalFormatting sqref="AJ32">
    <cfRule type="cellIs" dxfId="31177" priority="93849" stopIfTrue="1" operator="equal">
      <formula>-1</formula>
    </cfRule>
  </conditionalFormatting>
  <conditionalFormatting sqref="AJ32">
    <cfRule type="cellIs" dxfId="31176" priority="93850" stopIfTrue="1" operator="lessThan">
      <formula>0.5</formula>
    </cfRule>
  </conditionalFormatting>
  <conditionalFormatting sqref="AJ32">
    <cfRule type="cellIs" dxfId="31175" priority="93851" stopIfTrue="1" operator="greaterThanOrEqual">
      <formula>0.5</formula>
    </cfRule>
  </conditionalFormatting>
  <conditionalFormatting sqref="AJ33">
    <cfRule type="cellIs" dxfId="31174" priority="93852" stopIfTrue="1" operator="equal">
      <formula>-1</formula>
    </cfRule>
  </conditionalFormatting>
  <conditionalFormatting sqref="AJ33">
    <cfRule type="cellIs" dxfId="31173" priority="93853" stopIfTrue="1" operator="lessThan">
      <formula>0.5</formula>
    </cfRule>
  </conditionalFormatting>
  <conditionalFormatting sqref="AJ33">
    <cfRule type="cellIs" dxfId="31172" priority="93854" stopIfTrue="1" operator="greaterThanOrEqual">
      <formula>0.5</formula>
    </cfRule>
  </conditionalFormatting>
  <conditionalFormatting sqref="AJ34">
    <cfRule type="cellIs" dxfId="31171" priority="93855" stopIfTrue="1" operator="equal">
      <formula>-1</formula>
    </cfRule>
  </conditionalFormatting>
  <conditionalFormatting sqref="AJ34">
    <cfRule type="cellIs" dxfId="31170" priority="93856" stopIfTrue="1" operator="lessThan">
      <formula>0.5</formula>
    </cfRule>
  </conditionalFormatting>
  <conditionalFormatting sqref="AJ34">
    <cfRule type="cellIs" dxfId="31169" priority="93857" stopIfTrue="1" operator="greaterThanOrEqual">
      <formula>0.5</formula>
    </cfRule>
  </conditionalFormatting>
  <conditionalFormatting sqref="AJ35">
    <cfRule type="cellIs" dxfId="31168" priority="93858" stopIfTrue="1" operator="equal">
      <formula>-1</formula>
    </cfRule>
  </conditionalFormatting>
  <conditionalFormatting sqref="AJ35">
    <cfRule type="cellIs" dxfId="31167" priority="93859" stopIfTrue="1" operator="lessThan">
      <formula>0.5</formula>
    </cfRule>
  </conditionalFormatting>
  <conditionalFormatting sqref="AJ35">
    <cfRule type="cellIs" dxfId="31166" priority="93860" stopIfTrue="1" operator="greaterThanOrEqual">
      <formula>0.5</formula>
    </cfRule>
  </conditionalFormatting>
  <conditionalFormatting sqref="AJ36">
    <cfRule type="cellIs" dxfId="31165" priority="93861" stopIfTrue="1" operator="equal">
      <formula>-1</formula>
    </cfRule>
  </conditionalFormatting>
  <conditionalFormatting sqref="AJ36">
    <cfRule type="cellIs" dxfId="31164" priority="93862" stopIfTrue="1" operator="lessThan">
      <formula>0.5</formula>
    </cfRule>
  </conditionalFormatting>
  <conditionalFormatting sqref="AJ36">
    <cfRule type="cellIs" dxfId="31163" priority="93863" stopIfTrue="1" operator="greaterThanOrEqual">
      <formula>0.5</formula>
    </cfRule>
  </conditionalFormatting>
  <conditionalFormatting sqref="AJ37">
    <cfRule type="cellIs" dxfId="31162" priority="93864" stopIfTrue="1" operator="equal">
      <formula>-1</formula>
    </cfRule>
  </conditionalFormatting>
  <conditionalFormatting sqref="AJ37">
    <cfRule type="cellIs" dxfId="31161" priority="93865" stopIfTrue="1" operator="lessThan">
      <formula>0.5</formula>
    </cfRule>
  </conditionalFormatting>
  <conditionalFormatting sqref="AJ37">
    <cfRule type="cellIs" dxfId="31160" priority="93866" stopIfTrue="1" operator="greaterThanOrEqual">
      <formula>0.5</formula>
    </cfRule>
  </conditionalFormatting>
  <conditionalFormatting sqref="AL17">
    <cfRule type="cellIs" dxfId="31159" priority="93867" stopIfTrue="1" operator="equal">
      <formula>-1</formula>
    </cfRule>
  </conditionalFormatting>
  <conditionalFormatting sqref="AL17">
    <cfRule type="cellIs" dxfId="31158" priority="93868" stopIfTrue="1" operator="lessThan">
      <formula>0.5</formula>
    </cfRule>
  </conditionalFormatting>
  <conditionalFormatting sqref="AL17">
    <cfRule type="cellIs" dxfId="31157" priority="93869" stopIfTrue="1" operator="greaterThanOrEqual">
      <formula>0.5</formula>
    </cfRule>
  </conditionalFormatting>
  <conditionalFormatting sqref="AL18">
    <cfRule type="cellIs" dxfId="31156" priority="93870" stopIfTrue="1" operator="equal">
      <formula>-1</formula>
    </cfRule>
  </conditionalFormatting>
  <conditionalFormatting sqref="AL18">
    <cfRule type="cellIs" dxfId="31155" priority="93871" stopIfTrue="1" operator="lessThan">
      <formula>0.5</formula>
    </cfRule>
  </conditionalFormatting>
  <conditionalFormatting sqref="AL18">
    <cfRule type="cellIs" dxfId="31154" priority="93872" stopIfTrue="1" operator="greaterThanOrEqual">
      <formula>0.5</formula>
    </cfRule>
  </conditionalFormatting>
  <conditionalFormatting sqref="AL19">
    <cfRule type="cellIs" dxfId="31153" priority="93873" stopIfTrue="1" operator="equal">
      <formula>-1</formula>
    </cfRule>
  </conditionalFormatting>
  <conditionalFormatting sqref="AL19">
    <cfRule type="cellIs" dxfId="31152" priority="93874" stopIfTrue="1" operator="lessThan">
      <formula>0.5</formula>
    </cfRule>
  </conditionalFormatting>
  <conditionalFormatting sqref="AL19">
    <cfRule type="cellIs" dxfId="31151" priority="93875" stopIfTrue="1" operator="greaterThanOrEqual">
      <formula>0.5</formula>
    </cfRule>
  </conditionalFormatting>
  <conditionalFormatting sqref="AL20">
    <cfRule type="cellIs" dxfId="31150" priority="93876" stopIfTrue="1" operator="equal">
      <formula>-1</formula>
    </cfRule>
  </conditionalFormatting>
  <conditionalFormatting sqref="AL20">
    <cfRule type="cellIs" dxfId="31149" priority="93877" stopIfTrue="1" operator="lessThan">
      <formula>0.5</formula>
    </cfRule>
  </conditionalFormatting>
  <conditionalFormatting sqref="AL20">
    <cfRule type="cellIs" dxfId="31148" priority="93878" stopIfTrue="1" operator="greaterThanOrEqual">
      <formula>0.5</formula>
    </cfRule>
  </conditionalFormatting>
  <conditionalFormatting sqref="AL21">
    <cfRule type="cellIs" dxfId="31147" priority="93879" stopIfTrue="1" operator="equal">
      <formula>-1</formula>
    </cfRule>
  </conditionalFormatting>
  <conditionalFormatting sqref="AL21">
    <cfRule type="cellIs" dxfId="31146" priority="93880" stopIfTrue="1" operator="lessThan">
      <formula>0.5</formula>
    </cfRule>
  </conditionalFormatting>
  <conditionalFormatting sqref="AL21">
    <cfRule type="cellIs" dxfId="31145" priority="93881" stopIfTrue="1" operator="greaterThanOrEqual">
      <formula>0.5</formula>
    </cfRule>
  </conditionalFormatting>
  <conditionalFormatting sqref="AL22">
    <cfRule type="cellIs" dxfId="31144" priority="93882" stopIfTrue="1" operator="equal">
      <formula>-1</formula>
    </cfRule>
  </conditionalFormatting>
  <conditionalFormatting sqref="AL22">
    <cfRule type="cellIs" dxfId="31143" priority="93883" stopIfTrue="1" operator="lessThan">
      <formula>0.5</formula>
    </cfRule>
  </conditionalFormatting>
  <conditionalFormatting sqref="AL22">
    <cfRule type="cellIs" dxfId="31142" priority="93884" stopIfTrue="1" operator="greaterThanOrEqual">
      <formula>0.5</formula>
    </cfRule>
  </conditionalFormatting>
  <conditionalFormatting sqref="AL23">
    <cfRule type="cellIs" dxfId="31141" priority="93885" stopIfTrue="1" operator="equal">
      <formula>-1</formula>
    </cfRule>
  </conditionalFormatting>
  <conditionalFormatting sqref="AL23">
    <cfRule type="cellIs" dxfId="31140" priority="93886" stopIfTrue="1" operator="lessThan">
      <formula>0.5</formula>
    </cfRule>
  </conditionalFormatting>
  <conditionalFormatting sqref="AL23">
    <cfRule type="cellIs" dxfId="31139" priority="93887" stopIfTrue="1" operator="greaterThanOrEqual">
      <formula>0.5</formula>
    </cfRule>
  </conditionalFormatting>
  <conditionalFormatting sqref="AL24">
    <cfRule type="cellIs" dxfId="31138" priority="93888" stopIfTrue="1" operator="equal">
      <formula>-1</formula>
    </cfRule>
  </conditionalFormatting>
  <conditionalFormatting sqref="AL24">
    <cfRule type="cellIs" dxfId="31137" priority="93889" stopIfTrue="1" operator="lessThan">
      <formula>0.5</formula>
    </cfRule>
  </conditionalFormatting>
  <conditionalFormatting sqref="AL24">
    <cfRule type="cellIs" dxfId="31136" priority="93890" stopIfTrue="1" operator="greaterThanOrEqual">
      <formula>0.5</formula>
    </cfRule>
  </conditionalFormatting>
  <conditionalFormatting sqref="AL25">
    <cfRule type="cellIs" dxfId="31135" priority="93891" stopIfTrue="1" operator="equal">
      <formula>-1</formula>
    </cfRule>
  </conditionalFormatting>
  <conditionalFormatting sqref="AL25">
    <cfRule type="cellIs" dxfId="31134" priority="93892" stopIfTrue="1" operator="lessThan">
      <formula>0.5</formula>
    </cfRule>
  </conditionalFormatting>
  <conditionalFormatting sqref="AL25">
    <cfRule type="cellIs" dxfId="31133" priority="93893" stopIfTrue="1" operator="greaterThanOrEqual">
      <formula>0.5</formula>
    </cfRule>
  </conditionalFormatting>
  <conditionalFormatting sqref="AL26">
    <cfRule type="cellIs" dxfId="31132" priority="93894" stopIfTrue="1" operator="equal">
      <formula>-1</formula>
    </cfRule>
  </conditionalFormatting>
  <conditionalFormatting sqref="AL26">
    <cfRule type="cellIs" dxfId="31131" priority="93895" stopIfTrue="1" operator="lessThan">
      <formula>0.5</formula>
    </cfRule>
  </conditionalFormatting>
  <conditionalFormatting sqref="AL26">
    <cfRule type="cellIs" dxfId="31130" priority="93896" stopIfTrue="1" operator="greaterThanOrEqual">
      <formula>0.5</formula>
    </cfRule>
  </conditionalFormatting>
  <conditionalFormatting sqref="AL27">
    <cfRule type="cellIs" dxfId="31129" priority="93897" stopIfTrue="1" operator="equal">
      <formula>-1</formula>
    </cfRule>
  </conditionalFormatting>
  <conditionalFormatting sqref="AL27">
    <cfRule type="cellIs" dxfId="31128" priority="93898" stopIfTrue="1" operator="lessThan">
      <formula>0.5</formula>
    </cfRule>
  </conditionalFormatting>
  <conditionalFormatting sqref="AL27">
    <cfRule type="cellIs" dxfId="31127" priority="93899" stopIfTrue="1" operator="greaterThanOrEqual">
      <formula>0.5</formula>
    </cfRule>
  </conditionalFormatting>
  <conditionalFormatting sqref="AL28">
    <cfRule type="cellIs" dxfId="31126" priority="93900" stopIfTrue="1" operator="equal">
      <formula>-1</formula>
    </cfRule>
  </conditionalFormatting>
  <conditionalFormatting sqref="AL28">
    <cfRule type="cellIs" dxfId="31125" priority="93901" stopIfTrue="1" operator="lessThan">
      <formula>0.5</formula>
    </cfRule>
  </conditionalFormatting>
  <conditionalFormatting sqref="AL28">
    <cfRule type="cellIs" dxfId="31124" priority="93902" stopIfTrue="1" operator="greaterThanOrEqual">
      <formula>0.5</formula>
    </cfRule>
  </conditionalFormatting>
  <conditionalFormatting sqref="AL29">
    <cfRule type="cellIs" dxfId="31123" priority="93903" stopIfTrue="1" operator="equal">
      <formula>-1</formula>
    </cfRule>
  </conditionalFormatting>
  <conditionalFormatting sqref="AL29">
    <cfRule type="cellIs" dxfId="31122" priority="93904" stopIfTrue="1" operator="lessThan">
      <formula>0.5</formula>
    </cfRule>
  </conditionalFormatting>
  <conditionalFormatting sqref="AL29">
    <cfRule type="cellIs" dxfId="31121" priority="93905" stopIfTrue="1" operator="greaterThanOrEqual">
      <formula>0.5</formula>
    </cfRule>
  </conditionalFormatting>
  <conditionalFormatting sqref="AL30">
    <cfRule type="cellIs" dxfId="31120" priority="93906" stopIfTrue="1" operator="equal">
      <formula>-1</formula>
    </cfRule>
  </conditionalFormatting>
  <conditionalFormatting sqref="AL30">
    <cfRule type="cellIs" dxfId="31119" priority="93907" stopIfTrue="1" operator="lessThan">
      <formula>0.5</formula>
    </cfRule>
  </conditionalFormatting>
  <conditionalFormatting sqref="AL30">
    <cfRule type="cellIs" dxfId="31118" priority="93908" stopIfTrue="1" operator="greaterThanOrEqual">
      <formula>0.5</formula>
    </cfRule>
  </conditionalFormatting>
  <conditionalFormatting sqref="AL31">
    <cfRule type="cellIs" dxfId="31117" priority="93909" stopIfTrue="1" operator="equal">
      <formula>-1</formula>
    </cfRule>
  </conditionalFormatting>
  <conditionalFormatting sqref="AL31">
    <cfRule type="cellIs" dxfId="31116" priority="93910" stopIfTrue="1" operator="lessThan">
      <formula>0.5</formula>
    </cfRule>
  </conditionalFormatting>
  <conditionalFormatting sqref="AL31">
    <cfRule type="cellIs" dxfId="31115" priority="93911" stopIfTrue="1" operator="greaterThanOrEqual">
      <formula>0.5</formula>
    </cfRule>
  </conditionalFormatting>
  <conditionalFormatting sqref="AL32">
    <cfRule type="cellIs" dxfId="31114" priority="93912" stopIfTrue="1" operator="equal">
      <formula>-1</formula>
    </cfRule>
  </conditionalFormatting>
  <conditionalFormatting sqref="AL32">
    <cfRule type="cellIs" dxfId="31113" priority="93913" stopIfTrue="1" operator="lessThan">
      <formula>0.5</formula>
    </cfRule>
  </conditionalFormatting>
  <conditionalFormatting sqref="AL32">
    <cfRule type="cellIs" dxfId="31112" priority="93914" stopIfTrue="1" operator="greaterThanOrEqual">
      <formula>0.5</formula>
    </cfRule>
  </conditionalFormatting>
  <conditionalFormatting sqref="AL33">
    <cfRule type="cellIs" dxfId="31111" priority="93915" stopIfTrue="1" operator="equal">
      <formula>-1</formula>
    </cfRule>
  </conditionalFormatting>
  <conditionalFormatting sqref="AL33">
    <cfRule type="cellIs" dxfId="31110" priority="93916" stopIfTrue="1" operator="lessThan">
      <formula>0.5</formula>
    </cfRule>
  </conditionalFormatting>
  <conditionalFormatting sqref="AL33">
    <cfRule type="cellIs" dxfId="31109" priority="93917" stopIfTrue="1" operator="greaterThanOrEqual">
      <formula>0.5</formula>
    </cfRule>
  </conditionalFormatting>
  <conditionalFormatting sqref="AL34">
    <cfRule type="cellIs" dxfId="31108" priority="93918" stopIfTrue="1" operator="equal">
      <formula>-1</formula>
    </cfRule>
  </conditionalFormatting>
  <conditionalFormatting sqref="AL34">
    <cfRule type="cellIs" dxfId="31107" priority="93919" stopIfTrue="1" operator="lessThan">
      <formula>0.5</formula>
    </cfRule>
  </conditionalFormatting>
  <conditionalFormatting sqref="AL34">
    <cfRule type="cellIs" dxfId="31106" priority="93920" stopIfTrue="1" operator="greaterThanOrEqual">
      <formula>0.5</formula>
    </cfRule>
  </conditionalFormatting>
  <conditionalFormatting sqref="AL35">
    <cfRule type="cellIs" dxfId="31105" priority="93921" stopIfTrue="1" operator="equal">
      <formula>-1</formula>
    </cfRule>
  </conditionalFormatting>
  <conditionalFormatting sqref="AL35">
    <cfRule type="cellIs" dxfId="31104" priority="93922" stopIfTrue="1" operator="lessThan">
      <formula>0.5</formula>
    </cfRule>
  </conditionalFormatting>
  <conditionalFormatting sqref="AL35">
    <cfRule type="cellIs" dxfId="31103" priority="93923" stopIfTrue="1" operator="greaterThanOrEqual">
      <formula>0.5</formula>
    </cfRule>
  </conditionalFormatting>
  <conditionalFormatting sqref="AL36">
    <cfRule type="cellIs" dxfId="31102" priority="93924" stopIfTrue="1" operator="equal">
      <formula>-1</formula>
    </cfRule>
  </conditionalFormatting>
  <conditionalFormatting sqref="AL36">
    <cfRule type="cellIs" dxfId="31101" priority="93925" stopIfTrue="1" operator="lessThan">
      <formula>0.5</formula>
    </cfRule>
  </conditionalFormatting>
  <conditionalFormatting sqref="AL36">
    <cfRule type="cellIs" dxfId="31100" priority="93926" stopIfTrue="1" operator="greaterThanOrEqual">
      <formula>0.5</formula>
    </cfRule>
  </conditionalFormatting>
  <conditionalFormatting sqref="AL37">
    <cfRule type="cellIs" dxfId="31099" priority="93927" stopIfTrue="1" operator="equal">
      <formula>-1</formula>
    </cfRule>
  </conditionalFormatting>
  <conditionalFormatting sqref="AL37">
    <cfRule type="cellIs" dxfId="31098" priority="93928" stopIfTrue="1" operator="lessThan">
      <formula>0.5</formula>
    </cfRule>
  </conditionalFormatting>
  <conditionalFormatting sqref="AL37">
    <cfRule type="cellIs" dxfId="31097" priority="93929" stopIfTrue="1" operator="greaterThanOrEqual">
      <formula>0.5</formula>
    </cfRule>
  </conditionalFormatting>
  <conditionalFormatting sqref="AN17">
    <cfRule type="cellIs" dxfId="31096" priority="93930" stopIfTrue="1" operator="equal">
      <formula>-1</formula>
    </cfRule>
  </conditionalFormatting>
  <conditionalFormatting sqref="AN17">
    <cfRule type="cellIs" dxfId="31095" priority="93931" stopIfTrue="1" operator="lessThan">
      <formula>0.5</formula>
    </cfRule>
  </conditionalFormatting>
  <conditionalFormatting sqref="AN17">
    <cfRule type="cellIs" dxfId="31094" priority="93932" stopIfTrue="1" operator="greaterThanOrEqual">
      <formula>0.5</formula>
    </cfRule>
  </conditionalFormatting>
  <conditionalFormatting sqref="AN18">
    <cfRule type="cellIs" dxfId="31093" priority="93933" stopIfTrue="1" operator="equal">
      <formula>-1</formula>
    </cfRule>
  </conditionalFormatting>
  <conditionalFormatting sqref="AN18">
    <cfRule type="cellIs" dxfId="31092" priority="93934" stopIfTrue="1" operator="lessThan">
      <formula>0.5</formula>
    </cfRule>
  </conditionalFormatting>
  <conditionalFormatting sqref="AN18">
    <cfRule type="cellIs" dxfId="31091" priority="93935" stopIfTrue="1" operator="greaterThanOrEqual">
      <formula>0.5</formula>
    </cfRule>
  </conditionalFormatting>
  <conditionalFormatting sqref="AN19">
    <cfRule type="cellIs" dxfId="31090" priority="93936" stopIfTrue="1" operator="equal">
      <formula>-1</formula>
    </cfRule>
  </conditionalFormatting>
  <conditionalFormatting sqref="AN19">
    <cfRule type="cellIs" dxfId="31089" priority="93937" stopIfTrue="1" operator="lessThan">
      <formula>0.5</formula>
    </cfRule>
  </conditionalFormatting>
  <conditionalFormatting sqref="AN19">
    <cfRule type="cellIs" dxfId="31088" priority="93938" stopIfTrue="1" operator="greaterThanOrEqual">
      <formula>0.5</formula>
    </cfRule>
  </conditionalFormatting>
  <conditionalFormatting sqref="AN20">
    <cfRule type="cellIs" dxfId="31087" priority="93939" stopIfTrue="1" operator="equal">
      <formula>-1</formula>
    </cfRule>
  </conditionalFormatting>
  <conditionalFormatting sqref="AN20">
    <cfRule type="cellIs" dxfId="31086" priority="93940" stopIfTrue="1" operator="lessThan">
      <formula>0.5</formula>
    </cfRule>
  </conditionalFormatting>
  <conditionalFormatting sqref="AN20">
    <cfRule type="cellIs" dxfId="31085" priority="93941" stopIfTrue="1" operator="greaterThanOrEqual">
      <formula>0.5</formula>
    </cfRule>
  </conditionalFormatting>
  <conditionalFormatting sqref="AN21">
    <cfRule type="cellIs" dxfId="31084" priority="93942" stopIfTrue="1" operator="equal">
      <formula>-1</formula>
    </cfRule>
  </conditionalFormatting>
  <conditionalFormatting sqref="AN21">
    <cfRule type="cellIs" dxfId="31083" priority="93943" stopIfTrue="1" operator="lessThan">
      <formula>0.5</formula>
    </cfRule>
  </conditionalFormatting>
  <conditionalFormatting sqref="AN21">
    <cfRule type="cellIs" dxfId="31082" priority="93944" stopIfTrue="1" operator="greaterThanOrEqual">
      <formula>0.5</formula>
    </cfRule>
  </conditionalFormatting>
  <conditionalFormatting sqref="AN22">
    <cfRule type="cellIs" dxfId="31081" priority="93945" stopIfTrue="1" operator="equal">
      <formula>-1</formula>
    </cfRule>
  </conditionalFormatting>
  <conditionalFormatting sqref="AN22">
    <cfRule type="cellIs" dxfId="31080" priority="93946" stopIfTrue="1" operator="lessThan">
      <formula>0.5</formula>
    </cfRule>
  </conditionalFormatting>
  <conditionalFormatting sqref="AN22">
    <cfRule type="cellIs" dxfId="31079" priority="93947" stopIfTrue="1" operator="greaterThanOrEqual">
      <formula>0.5</formula>
    </cfRule>
  </conditionalFormatting>
  <conditionalFormatting sqref="AN23">
    <cfRule type="cellIs" dxfId="31078" priority="93948" stopIfTrue="1" operator="equal">
      <formula>-1</formula>
    </cfRule>
  </conditionalFormatting>
  <conditionalFormatting sqref="AN23">
    <cfRule type="cellIs" dxfId="31077" priority="93949" stopIfTrue="1" operator="lessThan">
      <formula>0.5</formula>
    </cfRule>
  </conditionalFormatting>
  <conditionalFormatting sqref="AN23">
    <cfRule type="cellIs" dxfId="31076" priority="93950" stopIfTrue="1" operator="greaterThanOrEqual">
      <formula>0.5</formula>
    </cfRule>
  </conditionalFormatting>
  <conditionalFormatting sqref="AN24">
    <cfRule type="cellIs" dxfId="31075" priority="93951" stopIfTrue="1" operator="equal">
      <formula>-1</formula>
    </cfRule>
  </conditionalFormatting>
  <conditionalFormatting sqref="AN24">
    <cfRule type="cellIs" dxfId="31074" priority="93952" stopIfTrue="1" operator="lessThan">
      <formula>0.5</formula>
    </cfRule>
  </conditionalFormatting>
  <conditionalFormatting sqref="AN24">
    <cfRule type="cellIs" dxfId="31073" priority="93953" stopIfTrue="1" operator="greaterThanOrEqual">
      <formula>0.5</formula>
    </cfRule>
  </conditionalFormatting>
  <conditionalFormatting sqref="AN25">
    <cfRule type="cellIs" dxfId="31072" priority="93954" stopIfTrue="1" operator="equal">
      <formula>-1</formula>
    </cfRule>
  </conditionalFormatting>
  <conditionalFormatting sqref="AN25">
    <cfRule type="cellIs" dxfId="31071" priority="93955" stopIfTrue="1" operator="lessThan">
      <formula>0.5</formula>
    </cfRule>
  </conditionalFormatting>
  <conditionalFormatting sqref="AN25">
    <cfRule type="cellIs" dxfId="31070" priority="93956" stopIfTrue="1" operator="greaterThanOrEqual">
      <formula>0.5</formula>
    </cfRule>
  </conditionalFormatting>
  <conditionalFormatting sqref="AN26">
    <cfRule type="cellIs" dxfId="31069" priority="93957" stopIfTrue="1" operator="equal">
      <formula>-1</formula>
    </cfRule>
  </conditionalFormatting>
  <conditionalFormatting sqref="AN26">
    <cfRule type="cellIs" dxfId="31068" priority="93958" stopIfTrue="1" operator="lessThan">
      <formula>0.5</formula>
    </cfRule>
  </conditionalFormatting>
  <conditionalFormatting sqref="AN26">
    <cfRule type="cellIs" dxfId="31067" priority="93959" stopIfTrue="1" operator="greaterThanOrEqual">
      <formula>0.5</formula>
    </cfRule>
  </conditionalFormatting>
  <conditionalFormatting sqref="AN27">
    <cfRule type="cellIs" dxfId="31066" priority="93960" stopIfTrue="1" operator="equal">
      <formula>-1</formula>
    </cfRule>
  </conditionalFormatting>
  <conditionalFormatting sqref="AN27">
    <cfRule type="cellIs" dxfId="31065" priority="93961" stopIfTrue="1" operator="lessThan">
      <formula>0.5</formula>
    </cfRule>
  </conditionalFormatting>
  <conditionalFormatting sqref="AN27">
    <cfRule type="cellIs" dxfId="31064" priority="93962" stopIfTrue="1" operator="greaterThanOrEqual">
      <formula>0.5</formula>
    </cfRule>
  </conditionalFormatting>
  <conditionalFormatting sqref="AN28">
    <cfRule type="cellIs" dxfId="31063" priority="93963" stopIfTrue="1" operator="equal">
      <formula>-1</formula>
    </cfRule>
  </conditionalFormatting>
  <conditionalFormatting sqref="AN28">
    <cfRule type="cellIs" dxfId="31062" priority="93964" stopIfTrue="1" operator="lessThan">
      <formula>0.5</formula>
    </cfRule>
  </conditionalFormatting>
  <conditionalFormatting sqref="AN28">
    <cfRule type="cellIs" dxfId="31061" priority="93965" stopIfTrue="1" operator="greaterThanOrEqual">
      <formula>0.5</formula>
    </cfRule>
  </conditionalFormatting>
  <conditionalFormatting sqref="AN29">
    <cfRule type="cellIs" dxfId="31060" priority="93966" stopIfTrue="1" operator="equal">
      <formula>-1</formula>
    </cfRule>
  </conditionalFormatting>
  <conditionalFormatting sqref="AN29">
    <cfRule type="cellIs" dxfId="31059" priority="93967" stopIfTrue="1" operator="lessThan">
      <formula>0.5</formula>
    </cfRule>
  </conditionalFormatting>
  <conditionalFormatting sqref="AN29">
    <cfRule type="cellIs" dxfId="31058" priority="93968" stopIfTrue="1" operator="greaterThanOrEqual">
      <formula>0.5</formula>
    </cfRule>
  </conditionalFormatting>
  <conditionalFormatting sqref="AN30">
    <cfRule type="cellIs" dxfId="31057" priority="93969" stopIfTrue="1" operator="equal">
      <formula>-1</formula>
    </cfRule>
  </conditionalFormatting>
  <conditionalFormatting sqref="AN30">
    <cfRule type="cellIs" dxfId="31056" priority="93970" stopIfTrue="1" operator="lessThan">
      <formula>0.5</formula>
    </cfRule>
  </conditionalFormatting>
  <conditionalFormatting sqref="AN30">
    <cfRule type="cellIs" dxfId="31055" priority="93971" stopIfTrue="1" operator="greaterThanOrEqual">
      <formula>0.5</formula>
    </cfRule>
  </conditionalFormatting>
  <conditionalFormatting sqref="AN31">
    <cfRule type="cellIs" dxfId="31054" priority="93972" stopIfTrue="1" operator="equal">
      <formula>-1</formula>
    </cfRule>
  </conditionalFormatting>
  <conditionalFormatting sqref="AN31">
    <cfRule type="cellIs" dxfId="31053" priority="93973" stopIfTrue="1" operator="lessThan">
      <formula>0.5</formula>
    </cfRule>
  </conditionalFormatting>
  <conditionalFormatting sqref="AN31">
    <cfRule type="cellIs" dxfId="31052" priority="93974" stopIfTrue="1" operator="greaterThanOrEqual">
      <formula>0.5</formula>
    </cfRule>
  </conditionalFormatting>
  <conditionalFormatting sqref="AN32">
    <cfRule type="cellIs" dxfId="31051" priority="93975" stopIfTrue="1" operator="equal">
      <formula>-1</formula>
    </cfRule>
  </conditionalFormatting>
  <conditionalFormatting sqref="AN32">
    <cfRule type="cellIs" dxfId="31050" priority="93976" stopIfTrue="1" operator="lessThan">
      <formula>0.5</formula>
    </cfRule>
  </conditionalFormatting>
  <conditionalFormatting sqref="AN32">
    <cfRule type="cellIs" dxfId="31049" priority="93977" stopIfTrue="1" operator="greaterThanOrEqual">
      <formula>0.5</formula>
    </cfRule>
  </conditionalFormatting>
  <conditionalFormatting sqref="AN33">
    <cfRule type="cellIs" dxfId="31048" priority="93978" stopIfTrue="1" operator="equal">
      <formula>-1</formula>
    </cfRule>
  </conditionalFormatting>
  <conditionalFormatting sqref="AN33">
    <cfRule type="cellIs" dxfId="31047" priority="93979" stopIfTrue="1" operator="lessThan">
      <formula>0.5</formula>
    </cfRule>
  </conditionalFormatting>
  <conditionalFormatting sqref="AN33">
    <cfRule type="cellIs" dxfId="31046" priority="93980" stopIfTrue="1" operator="greaterThanOrEqual">
      <formula>0.5</formula>
    </cfRule>
  </conditionalFormatting>
  <conditionalFormatting sqref="AN34">
    <cfRule type="cellIs" dxfId="31045" priority="93981" stopIfTrue="1" operator="equal">
      <formula>-1</formula>
    </cfRule>
  </conditionalFormatting>
  <conditionalFormatting sqref="AN34">
    <cfRule type="cellIs" dxfId="31044" priority="93982" stopIfTrue="1" operator="lessThan">
      <formula>0.5</formula>
    </cfRule>
  </conditionalFormatting>
  <conditionalFormatting sqref="AN34">
    <cfRule type="cellIs" dxfId="31043" priority="93983" stopIfTrue="1" operator="greaterThanOrEqual">
      <formula>0.5</formula>
    </cfRule>
  </conditionalFormatting>
  <conditionalFormatting sqref="AN35">
    <cfRule type="cellIs" dxfId="31042" priority="93984" stopIfTrue="1" operator="equal">
      <formula>-1</formula>
    </cfRule>
  </conditionalFormatting>
  <conditionalFormatting sqref="AN35">
    <cfRule type="cellIs" dxfId="31041" priority="93985" stopIfTrue="1" operator="lessThan">
      <formula>0.5</formula>
    </cfRule>
  </conditionalFormatting>
  <conditionalFormatting sqref="AN35">
    <cfRule type="cellIs" dxfId="31040" priority="93986" stopIfTrue="1" operator="greaterThanOrEqual">
      <formula>0.5</formula>
    </cfRule>
  </conditionalFormatting>
  <conditionalFormatting sqref="AN36">
    <cfRule type="cellIs" dxfId="31039" priority="93987" stopIfTrue="1" operator="equal">
      <formula>-1</formula>
    </cfRule>
  </conditionalFormatting>
  <conditionalFormatting sqref="AN36">
    <cfRule type="cellIs" dxfId="31038" priority="93988" stopIfTrue="1" operator="lessThan">
      <formula>0.5</formula>
    </cfRule>
  </conditionalFormatting>
  <conditionalFormatting sqref="AN36">
    <cfRule type="cellIs" dxfId="31037" priority="93989" stopIfTrue="1" operator="greaterThanOrEqual">
      <formula>0.5</formula>
    </cfRule>
  </conditionalFormatting>
  <conditionalFormatting sqref="AN37">
    <cfRule type="cellIs" dxfId="31036" priority="93990" stopIfTrue="1" operator="equal">
      <formula>-1</formula>
    </cfRule>
  </conditionalFormatting>
  <conditionalFormatting sqref="AN37">
    <cfRule type="cellIs" dxfId="31035" priority="93991" stopIfTrue="1" operator="lessThan">
      <formula>0.5</formula>
    </cfRule>
  </conditionalFormatting>
  <conditionalFormatting sqref="AN37">
    <cfRule type="cellIs" dxfId="31034" priority="93992" stopIfTrue="1" operator="greaterThanOrEqual">
      <formula>0.5</formula>
    </cfRule>
  </conditionalFormatting>
  <conditionalFormatting sqref="AP17">
    <cfRule type="cellIs" dxfId="31033" priority="93993" stopIfTrue="1" operator="equal">
      <formula>-1</formula>
    </cfRule>
  </conditionalFormatting>
  <conditionalFormatting sqref="AP17">
    <cfRule type="cellIs" dxfId="31032" priority="93994" stopIfTrue="1" operator="lessThan">
      <formula>0.5</formula>
    </cfRule>
  </conditionalFormatting>
  <conditionalFormatting sqref="AP17">
    <cfRule type="cellIs" dxfId="31031" priority="93995" stopIfTrue="1" operator="greaterThanOrEqual">
      <formula>0.5</formula>
    </cfRule>
  </conditionalFormatting>
  <conditionalFormatting sqref="AP18">
    <cfRule type="cellIs" dxfId="31030" priority="93996" stopIfTrue="1" operator="equal">
      <formula>-1</formula>
    </cfRule>
  </conditionalFormatting>
  <conditionalFormatting sqref="AP18">
    <cfRule type="cellIs" dxfId="31029" priority="93997" stopIfTrue="1" operator="lessThan">
      <formula>0.5</formula>
    </cfRule>
  </conditionalFormatting>
  <conditionalFormatting sqref="AP18">
    <cfRule type="cellIs" dxfId="31028" priority="93998" stopIfTrue="1" operator="greaterThanOrEqual">
      <formula>0.5</formula>
    </cfRule>
  </conditionalFormatting>
  <conditionalFormatting sqref="AP19">
    <cfRule type="cellIs" dxfId="31027" priority="93999" stopIfTrue="1" operator="equal">
      <formula>-1</formula>
    </cfRule>
  </conditionalFormatting>
  <conditionalFormatting sqref="AP19">
    <cfRule type="cellIs" dxfId="31026" priority="94000" stopIfTrue="1" operator="lessThan">
      <formula>0.5</formula>
    </cfRule>
  </conditionalFormatting>
  <conditionalFormatting sqref="AP19">
    <cfRule type="cellIs" dxfId="31025" priority="94001" stopIfTrue="1" operator="greaterThanOrEqual">
      <formula>0.5</formula>
    </cfRule>
  </conditionalFormatting>
  <conditionalFormatting sqref="AP20">
    <cfRule type="cellIs" dxfId="31024" priority="94002" stopIfTrue="1" operator="equal">
      <formula>-1</formula>
    </cfRule>
  </conditionalFormatting>
  <conditionalFormatting sqref="AP20">
    <cfRule type="cellIs" dxfId="31023" priority="94003" stopIfTrue="1" operator="lessThan">
      <formula>0.5</formula>
    </cfRule>
  </conditionalFormatting>
  <conditionalFormatting sqref="AP20">
    <cfRule type="cellIs" dxfId="31022" priority="94004" stopIfTrue="1" operator="greaterThanOrEqual">
      <formula>0.5</formula>
    </cfRule>
  </conditionalFormatting>
  <conditionalFormatting sqref="AP21">
    <cfRule type="cellIs" dxfId="31021" priority="94005" stopIfTrue="1" operator="equal">
      <formula>-1</formula>
    </cfRule>
  </conditionalFormatting>
  <conditionalFormatting sqref="AP21">
    <cfRule type="cellIs" dxfId="31020" priority="94006" stopIfTrue="1" operator="lessThan">
      <formula>0.5</formula>
    </cfRule>
  </conditionalFormatting>
  <conditionalFormatting sqref="AP21">
    <cfRule type="cellIs" dxfId="31019" priority="94007" stopIfTrue="1" operator="greaterThanOrEqual">
      <formula>0.5</formula>
    </cfRule>
  </conditionalFormatting>
  <conditionalFormatting sqref="AP22">
    <cfRule type="cellIs" dxfId="31018" priority="94008" stopIfTrue="1" operator="equal">
      <formula>-1</formula>
    </cfRule>
  </conditionalFormatting>
  <conditionalFormatting sqref="AP22">
    <cfRule type="cellIs" dxfId="31017" priority="94009" stopIfTrue="1" operator="lessThan">
      <formula>0.5</formula>
    </cfRule>
  </conditionalFormatting>
  <conditionalFormatting sqref="AP22">
    <cfRule type="cellIs" dxfId="31016" priority="94010" stopIfTrue="1" operator="greaterThanOrEqual">
      <formula>0.5</formula>
    </cfRule>
  </conditionalFormatting>
  <conditionalFormatting sqref="AP23">
    <cfRule type="cellIs" dxfId="31015" priority="94011" stopIfTrue="1" operator="equal">
      <formula>-1</formula>
    </cfRule>
  </conditionalFormatting>
  <conditionalFormatting sqref="AP23">
    <cfRule type="cellIs" dxfId="31014" priority="94012" stopIfTrue="1" operator="lessThan">
      <formula>0.5</formula>
    </cfRule>
  </conditionalFormatting>
  <conditionalFormatting sqref="AP23">
    <cfRule type="cellIs" dxfId="31013" priority="94013" stopIfTrue="1" operator="greaterThanOrEqual">
      <formula>0.5</formula>
    </cfRule>
  </conditionalFormatting>
  <conditionalFormatting sqref="AP24">
    <cfRule type="cellIs" dxfId="31012" priority="94014" stopIfTrue="1" operator="equal">
      <formula>-1</formula>
    </cfRule>
  </conditionalFormatting>
  <conditionalFormatting sqref="AP24">
    <cfRule type="cellIs" dxfId="31011" priority="94015" stopIfTrue="1" operator="lessThan">
      <formula>0.5</formula>
    </cfRule>
  </conditionalFormatting>
  <conditionalFormatting sqref="AP24">
    <cfRule type="cellIs" dxfId="31010" priority="94016" stopIfTrue="1" operator="greaterThanOrEqual">
      <formula>0.5</formula>
    </cfRule>
  </conditionalFormatting>
  <conditionalFormatting sqref="AP25">
    <cfRule type="cellIs" dxfId="31009" priority="94017" stopIfTrue="1" operator="equal">
      <formula>-1</formula>
    </cfRule>
  </conditionalFormatting>
  <conditionalFormatting sqref="AP25">
    <cfRule type="cellIs" dxfId="31008" priority="94018" stopIfTrue="1" operator="lessThan">
      <formula>0.5</formula>
    </cfRule>
  </conditionalFormatting>
  <conditionalFormatting sqref="AP25">
    <cfRule type="cellIs" dxfId="31007" priority="94019" stopIfTrue="1" operator="greaterThanOrEqual">
      <formula>0.5</formula>
    </cfRule>
  </conditionalFormatting>
  <conditionalFormatting sqref="AP26">
    <cfRule type="cellIs" dxfId="31006" priority="94020" stopIfTrue="1" operator="equal">
      <formula>-1</formula>
    </cfRule>
  </conditionalFormatting>
  <conditionalFormatting sqref="AP26">
    <cfRule type="cellIs" dxfId="31005" priority="94021" stopIfTrue="1" operator="lessThan">
      <formula>0.5</formula>
    </cfRule>
  </conditionalFormatting>
  <conditionalFormatting sqref="AP26">
    <cfRule type="cellIs" dxfId="31004" priority="94022" stopIfTrue="1" operator="greaterThanOrEqual">
      <formula>0.5</formula>
    </cfRule>
  </conditionalFormatting>
  <conditionalFormatting sqref="AP27">
    <cfRule type="cellIs" dxfId="31003" priority="94023" stopIfTrue="1" operator="equal">
      <formula>-1</formula>
    </cfRule>
  </conditionalFormatting>
  <conditionalFormatting sqref="AP27">
    <cfRule type="cellIs" dxfId="31002" priority="94024" stopIfTrue="1" operator="lessThan">
      <formula>0.5</formula>
    </cfRule>
  </conditionalFormatting>
  <conditionalFormatting sqref="AP27">
    <cfRule type="cellIs" dxfId="31001" priority="94025" stopIfTrue="1" operator="greaterThanOrEqual">
      <formula>0.5</formula>
    </cfRule>
  </conditionalFormatting>
  <conditionalFormatting sqref="AP28">
    <cfRule type="cellIs" dxfId="31000" priority="94026" stopIfTrue="1" operator="equal">
      <formula>-1</formula>
    </cfRule>
  </conditionalFormatting>
  <conditionalFormatting sqref="AP28">
    <cfRule type="cellIs" dxfId="30999" priority="94027" stopIfTrue="1" operator="lessThan">
      <formula>0.5</formula>
    </cfRule>
  </conditionalFormatting>
  <conditionalFormatting sqref="AP28">
    <cfRule type="cellIs" dxfId="30998" priority="94028" stopIfTrue="1" operator="greaterThanOrEqual">
      <formula>0.5</formula>
    </cfRule>
  </conditionalFormatting>
  <conditionalFormatting sqref="AP29">
    <cfRule type="cellIs" dxfId="30997" priority="94029" stopIfTrue="1" operator="equal">
      <formula>-1</formula>
    </cfRule>
  </conditionalFormatting>
  <conditionalFormatting sqref="AP29">
    <cfRule type="cellIs" dxfId="30996" priority="94030" stopIfTrue="1" operator="lessThan">
      <formula>0.5</formula>
    </cfRule>
  </conditionalFormatting>
  <conditionalFormatting sqref="AP29">
    <cfRule type="cellIs" dxfId="30995" priority="94031" stopIfTrue="1" operator="greaterThanOrEqual">
      <formula>0.5</formula>
    </cfRule>
  </conditionalFormatting>
  <conditionalFormatting sqref="AP30">
    <cfRule type="cellIs" dxfId="30994" priority="94032" stopIfTrue="1" operator="equal">
      <formula>-1</formula>
    </cfRule>
  </conditionalFormatting>
  <conditionalFormatting sqref="AP30">
    <cfRule type="cellIs" dxfId="30993" priority="94033" stopIfTrue="1" operator="lessThan">
      <formula>0.5</formula>
    </cfRule>
  </conditionalFormatting>
  <conditionalFormatting sqref="AP30">
    <cfRule type="cellIs" dxfId="30992" priority="94034" stopIfTrue="1" operator="greaterThanOrEqual">
      <formula>0.5</formula>
    </cfRule>
  </conditionalFormatting>
  <conditionalFormatting sqref="AP31">
    <cfRule type="cellIs" dxfId="30991" priority="94035" stopIfTrue="1" operator="equal">
      <formula>-1</formula>
    </cfRule>
  </conditionalFormatting>
  <conditionalFormatting sqref="AP31">
    <cfRule type="cellIs" dxfId="30990" priority="94036" stopIfTrue="1" operator="lessThan">
      <formula>0.5</formula>
    </cfRule>
  </conditionalFormatting>
  <conditionalFormatting sqref="AP31">
    <cfRule type="cellIs" dxfId="30989" priority="94037" stopIfTrue="1" operator="greaterThanOrEqual">
      <formula>0.5</formula>
    </cfRule>
  </conditionalFormatting>
  <conditionalFormatting sqref="AP32">
    <cfRule type="cellIs" dxfId="30988" priority="94038" stopIfTrue="1" operator="equal">
      <formula>-1</formula>
    </cfRule>
  </conditionalFormatting>
  <conditionalFormatting sqref="AP32">
    <cfRule type="cellIs" dxfId="30987" priority="94039" stopIfTrue="1" operator="lessThan">
      <formula>0.5</formula>
    </cfRule>
  </conditionalFormatting>
  <conditionalFormatting sqref="AP32">
    <cfRule type="cellIs" dxfId="30986" priority="94040" stopIfTrue="1" operator="greaterThanOrEqual">
      <formula>0.5</formula>
    </cfRule>
  </conditionalFormatting>
  <conditionalFormatting sqref="AP33">
    <cfRule type="cellIs" dxfId="30985" priority="94041" stopIfTrue="1" operator="equal">
      <formula>-1</formula>
    </cfRule>
  </conditionalFormatting>
  <conditionalFormatting sqref="AP33">
    <cfRule type="cellIs" dxfId="30984" priority="94042" stopIfTrue="1" operator="lessThan">
      <formula>0.5</formula>
    </cfRule>
  </conditionalFormatting>
  <conditionalFormatting sqref="AP33">
    <cfRule type="cellIs" dxfId="30983" priority="94043" stopIfTrue="1" operator="greaterThanOrEqual">
      <formula>0.5</formula>
    </cfRule>
  </conditionalFormatting>
  <conditionalFormatting sqref="AP34">
    <cfRule type="cellIs" dxfId="30982" priority="94044" stopIfTrue="1" operator="equal">
      <formula>-1</formula>
    </cfRule>
  </conditionalFormatting>
  <conditionalFormatting sqref="AP34">
    <cfRule type="cellIs" dxfId="30981" priority="94045" stopIfTrue="1" operator="lessThan">
      <formula>0.5</formula>
    </cfRule>
  </conditionalFormatting>
  <conditionalFormatting sqref="AP34">
    <cfRule type="cellIs" dxfId="30980" priority="94046" stopIfTrue="1" operator="greaterThanOrEqual">
      <formula>0.5</formula>
    </cfRule>
  </conditionalFormatting>
  <conditionalFormatting sqref="AP35">
    <cfRule type="cellIs" dxfId="30979" priority="94047" stopIfTrue="1" operator="equal">
      <formula>-1</formula>
    </cfRule>
  </conditionalFormatting>
  <conditionalFormatting sqref="AP35">
    <cfRule type="cellIs" dxfId="30978" priority="94048" stopIfTrue="1" operator="lessThan">
      <formula>0.5</formula>
    </cfRule>
  </conditionalFormatting>
  <conditionalFormatting sqref="AP35">
    <cfRule type="cellIs" dxfId="30977" priority="94049" stopIfTrue="1" operator="greaterThanOrEqual">
      <formula>0.5</formula>
    </cfRule>
  </conditionalFormatting>
  <conditionalFormatting sqref="AP36">
    <cfRule type="cellIs" dxfId="30976" priority="94050" stopIfTrue="1" operator="equal">
      <formula>-1</formula>
    </cfRule>
  </conditionalFormatting>
  <conditionalFormatting sqref="AP36">
    <cfRule type="cellIs" dxfId="30975" priority="94051" stopIfTrue="1" operator="lessThan">
      <formula>0.5</formula>
    </cfRule>
  </conditionalFormatting>
  <conditionalFormatting sqref="AP36">
    <cfRule type="cellIs" dxfId="30974" priority="94052" stopIfTrue="1" operator="greaterThanOrEqual">
      <formula>0.5</formula>
    </cfRule>
  </conditionalFormatting>
  <conditionalFormatting sqref="AP37">
    <cfRule type="cellIs" dxfId="30973" priority="94053" stopIfTrue="1" operator="equal">
      <formula>-1</formula>
    </cfRule>
  </conditionalFormatting>
  <conditionalFormatting sqref="AP37">
    <cfRule type="cellIs" dxfId="30972" priority="94054" stopIfTrue="1" operator="lessThan">
      <formula>0.5</formula>
    </cfRule>
  </conditionalFormatting>
  <conditionalFormatting sqref="AP37">
    <cfRule type="cellIs" dxfId="30971" priority="94055" stopIfTrue="1" operator="greaterThanOrEqual">
      <formula>0.5</formula>
    </cfRule>
  </conditionalFormatting>
  <conditionalFormatting sqref="AR17">
    <cfRule type="cellIs" dxfId="30970" priority="94056" stopIfTrue="1" operator="equal">
      <formula>-1</formula>
    </cfRule>
  </conditionalFormatting>
  <conditionalFormatting sqref="AR17">
    <cfRule type="cellIs" dxfId="30969" priority="94057" stopIfTrue="1" operator="lessThan">
      <formula>0.5</formula>
    </cfRule>
  </conditionalFormatting>
  <conditionalFormatting sqref="AR17">
    <cfRule type="cellIs" dxfId="30968" priority="94058" stopIfTrue="1" operator="greaterThanOrEqual">
      <formula>0.5</formula>
    </cfRule>
  </conditionalFormatting>
  <conditionalFormatting sqref="AR18">
    <cfRule type="cellIs" dxfId="30967" priority="94059" stopIfTrue="1" operator="equal">
      <formula>-1</formula>
    </cfRule>
  </conditionalFormatting>
  <conditionalFormatting sqref="AR18">
    <cfRule type="cellIs" dxfId="30966" priority="94060" stopIfTrue="1" operator="lessThan">
      <formula>0.5</formula>
    </cfRule>
  </conditionalFormatting>
  <conditionalFormatting sqref="AR18">
    <cfRule type="cellIs" dxfId="30965" priority="94061" stopIfTrue="1" operator="greaterThanOrEqual">
      <formula>0.5</formula>
    </cfRule>
  </conditionalFormatting>
  <conditionalFormatting sqref="AR19">
    <cfRule type="cellIs" dxfId="30964" priority="94062" stopIfTrue="1" operator="equal">
      <formula>-1</formula>
    </cfRule>
  </conditionalFormatting>
  <conditionalFormatting sqref="AR19">
    <cfRule type="cellIs" dxfId="30963" priority="94063" stopIfTrue="1" operator="lessThan">
      <formula>0.5</formula>
    </cfRule>
  </conditionalFormatting>
  <conditionalFormatting sqref="AR19">
    <cfRule type="cellIs" dxfId="30962" priority="94064" stopIfTrue="1" operator="greaterThanOrEqual">
      <formula>0.5</formula>
    </cfRule>
  </conditionalFormatting>
  <conditionalFormatting sqref="AR20">
    <cfRule type="cellIs" dxfId="30961" priority="94065" stopIfTrue="1" operator="equal">
      <formula>-1</formula>
    </cfRule>
  </conditionalFormatting>
  <conditionalFormatting sqref="AR20">
    <cfRule type="cellIs" dxfId="30960" priority="94066" stopIfTrue="1" operator="lessThan">
      <formula>0.5</formula>
    </cfRule>
  </conditionalFormatting>
  <conditionalFormatting sqref="AR20">
    <cfRule type="cellIs" dxfId="30959" priority="94067" stopIfTrue="1" operator="greaterThanOrEqual">
      <formula>0.5</formula>
    </cfRule>
  </conditionalFormatting>
  <conditionalFormatting sqref="AR21">
    <cfRule type="cellIs" dxfId="30958" priority="94068" stopIfTrue="1" operator="equal">
      <formula>-1</formula>
    </cfRule>
  </conditionalFormatting>
  <conditionalFormatting sqref="AR21">
    <cfRule type="cellIs" dxfId="30957" priority="94069" stopIfTrue="1" operator="lessThan">
      <formula>0.5</formula>
    </cfRule>
  </conditionalFormatting>
  <conditionalFormatting sqref="AR21">
    <cfRule type="cellIs" dxfId="30956" priority="94070" stopIfTrue="1" operator="greaterThanOrEqual">
      <formula>0.5</formula>
    </cfRule>
  </conditionalFormatting>
  <conditionalFormatting sqref="AR22">
    <cfRule type="cellIs" dxfId="30955" priority="94071" stopIfTrue="1" operator="equal">
      <formula>-1</formula>
    </cfRule>
  </conditionalFormatting>
  <conditionalFormatting sqref="AR22">
    <cfRule type="cellIs" dxfId="30954" priority="94072" stopIfTrue="1" operator="lessThan">
      <formula>0.5</formula>
    </cfRule>
  </conditionalFormatting>
  <conditionalFormatting sqref="AR22">
    <cfRule type="cellIs" dxfId="30953" priority="94073" stopIfTrue="1" operator="greaterThanOrEqual">
      <formula>0.5</formula>
    </cfRule>
  </conditionalFormatting>
  <conditionalFormatting sqref="AR23">
    <cfRule type="cellIs" dxfId="30952" priority="94074" stopIfTrue="1" operator="equal">
      <formula>-1</formula>
    </cfRule>
  </conditionalFormatting>
  <conditionalFormatting sqref="AR23">
    <cfRule type="cellIs" dxfId="30951" priority="94075" stopIfTrue="1" operator="lessThan">
      <formula>0.5</formula>
    </cfRule>
  </conditionalFormatting>
  <conditionalFormatting sqref="AR23">
    <cfRule type="cellIs" dxfId="30950" priority="94076" stopIfTrue="1" operator="greaterThanOrEqual">
      <formula>0.5</formula>
    </cfRule>
  </conditionalFormatting>
  <conditionalFormatting sqref="AR24">
    <cfRule type="cellIs" dxfId="30949" priority="94077" stopIfTrue="1" operator="equal">
      <formula>-1</formula>
    </cfRule>
  </conditionalFormatting>
  <conditionalFormatting sqref="AR24">
    <cfRule type="cellIs" dxfId="30948" priority="94078" stopIfTrue="1" operator="lessThan">
      <formula>0.5</formula>
    </cfRule>
  </conditionalFormatting>
  <conditionalFormatting sqref="AR24">
    <cfRule type="cellIs" dxfId="30947" priority="94079" stopIfTrue="1" operator="greaterThanOrEqual">
      <formula>0.5</formula>
    </cfRule>
  </conditionalFormatting>
  <conditionalFormatting sqref="AR25">
    <cfRule type="cellIs" dxfId="30946" priority="94080" stopIfTrue="1" operator="equal">
      <formula>-1</formula>
    </cfRule>
  </conditionalFormatting>
  <conditionalFormatting sqref="AR25">
    <cfRule type="cellIs" dxfId="30945" priority="94081" stopIfTrue="1" operator="lessThan">
      <formula>0.5</formula>
    </cfRule>
  </conditionalFormatting>
  <conditionalFormatting sqref="AR25">
    <cfRule type="cellIs" dxfId="30944" priority="94082" stopIfTrue="1" operator="greaterThanOrEqual">
      <formula>0.5</formula>
    </cfRule>
  </conditionalFormatting>
  <conditionalFormatting sqref="AR26">
    <cfRule type="cellIs" dxfId="30943" priority="94083" stopIfTrue="1" operator="equal">
      <formula>-1</formula>
    </cfRule>
  </conditionalFormatting>
  <conditionalFormatting sqref="AR26">
    <cfRule type="cellIs" dxfId="30942" priority="94084" stopIfTrue="1" operator="lessThan">
      <formula>0.5</formula>
    </cfRule>
  </conditionalFormatting>
  <conditionalFormatting sqref="AR26">
    <cfRule type="cellIs" dxfId="30941" priority="94085" stopIfTrue="1" operator="greaterThanOrEqual">
      <formula>0.5</formula>
    </cfRule>
  </conditionalFormatting>
  <conditionalFormatting sqref="AR27">
    <cfRule type="cellIs" dxfId="30940" priority="94086" stopIfTrue="1" operator="equal">
      <formula>-1</formula>
    </cfRule>
  </conditionalFormatting>
  <conditionalFormatting sqref="AR27">
    <cfRule type="cellIs" dxfId="30939" priority="94087" stopIfTrue="1" operator="lessThan">
      <formula>0.5</formula>
    </cfRule>
  </conditionalFormatting>
  <conditionalFormatting sqref="AR27">
    <cfRule type="cellIs" dxfId="30938" priority="94088" stopIfTrue="1" operator="greaterThanOrEqual">
      <formula>0.5</formula>
    </cfRule>
  </conditionalFormatting>
  <conditionalFormatting sqref="AR28">
    <cfRule type="cellIs" dxfId="30937" priority="94089" stopIfTrue="1" operator="equal">
      <formula>-1</formula>
    </cfRule>
  </conditionalFormatting>
  <conditionalFormatting sqref="AR28">
    <cfRule type="cellIs" dxfId="30936" priority="94090" stopIfTrue="1" operator="lessThan">
      <formula>0.5</formula>
    </cfRule>
  </conditionalFormatting>
  <conditionalFormatting sqref="AR28">
    <cfRule type="cellIs" dxfId="30935" priority="94091" stopIfTrue="1" operator="greaterThanOrEqual">
      <formula>0.5</formula>
    </cfRule>
  </conditionalFormatting>
  <conditionalFormatting sqref="AR29">
    <cfRule type="cellIs" dxfId="30934" priority="94092" stopIfTrue="1" operator="equal">
      <formula>-1</formula>
    </cfRule>
  </conditionalFormatting>
  <conditionalFormatting sqref="AR29">
    <cfRule type="cellIs" dxfId="30933" priority="94093" stopIfTrue="1" operator="lessThan">
      <formula>0.5</formula>
    </cfRule>
  </conditionalFormatting>
  <conditionalFormatting sqref="AR29">
    <cfRule type="cellIs" dxfId="30932" priority="94094" stopIfTrue="1" operator="greaterThanOrEqual">
      <formula>0.5</formula>
    </cfRule>
  </conditionalFormatting>
  <conditionalFormatting sqref="AR30">
    <cfRule type="cellIs" dxfId="30931" priority="94095" stopIfTrue="1" operator="equal">
      <formula>-1</formula>
    </cfRule>
  </conditionalFormatting>
  <conditionalFormatting sqref="AR30">
    <cfRule type="cellIs" dxfId="30930" priority="94096" stopIfTrue="1" operator="lessThan">
      <formula>0.5</formula>
    </cfRule>
  </conditionalFormatting>
  <conditionalFormatting sqref="AR30">
    <cfRule type="cellIs" dxfId="30929" priority="94097" stopIfTrue="1" operator="greaterThanOrEqual">
      <formula>0.5</formula>
    </cfRule>
  </conditionalFormatting>
  <conditionalFormatting sqref="AR31">
    <cfRule type="cellIs" dxfId="30928" priority="94098" stopIfTrue="1" operator="equal">
      <formula>-1</formula>
    </cfRule>
  </conditionalFormatting>
  <conditionalFormatting sqref="AR31">
    <cfRule type="cellIs" dxfId="30927" priority="94099" stopIfTrue="1" operator="lessThan">
      <formula>0.5</formula>
    </cfRule>
  </conditionalFormatting>
  <conditionalFormatting sqref="AR31">
    <cfRule type="cellIs" dxfId="30926" priority="94100" stopIfTrue="1" operator="greaterThanOrEqual">
      <formula>0.5</formula>
    </cfRule>
  </conditionalFormatting>
  <conditionalFormatting sqref="AR32">
    <cfRule type="cellIs" dxfId="30925" priority="94101" stopIfTrue="1" operator="equal">
      <formula>-1</formula>
    </cfRule>
  </conditionalFormatting>
  <conditionalFormatting sqref="AR32">
    <cfRule type="cellIs" dxfId="30924" priority="94102" stopIfTrue="1" operator="lessThan">
      <formula>0.5</formula>
    </cfRule>
  </conditionalFormatting>
  <conditionalFormatting sqref="AR32">
    <cfRule type="cellIs" dxfId="30923" priority="94103" stopIfTrue="1" operator="greaterThanOrEqual">
      <formula>0.5</formula>
    </cfRule>
  </conditionalFormatting>
  <conditionalFormatting sqref="AR33">
    <cfRule type="cellIs" dxfId="30922" priority="94104" stopIfTrue="1" operator="equal">
      <formula>-1</formula>
    </cfRule>
  </conditionalFormatting>
  <conditionalFormatting sqref="AR33">
    <cfRule type="cellIs" dxfId="30921" priority="94105" stopIfTrue="1" operator="lessThan">
      <formula>0.5</formula>
    </cfRule>
  </conditionalFormatting>
  <conditionalFormatting sqref="AR33">
    <cfRule type="cellIs" dxfId="30920" priority="94106" stopIfTrue="1" operator="greaterThanOrEqual">
      <formula>0.5</formula>
    </cfRule>
  </conditionalFormatting>
  <conditionalFormatting sqref="AR34">
    <cfRule type="cellIs" dxfId="30919" priority="94107" stopIfTrue="1" operator="equal">
      <formula>-1</formula>
    </cfRule>
  </conditionalFormatting>
  <conditionalFormatting sqref="AR34">
    <cfRule type="cellIs" dxfId="30918" priority="94108" stopIfTrue="1" operator="lessThan">
      <formula>0.5</formula>
    </cfRule>
  </conditionalFormatting>
  <conditionalFormatting sqref="AR34">
    <cfRule type="cellIs" dxfId="30917" priority="94109" stopIfTrue="1" operator="greaterThanOrEqual">
      <formula>0.5</formula>
    </cfRule>
  </conditionalFormatting>
  <conditionalFormatting sqref="AR35">
    <cfRule type="cellIs" dxfId="30916" priority="94110" stopIfTrue="1" operator="equal">
      <formula>-1</formula>
    </cfRule>
  </conditionalFormatting>
  <conditionalFormatting sqref="AR35">
    <cfRule type="cellIs" dxfId="30915" priority="94111" stopIfTrue="1" operator="lessThan">
      <formula>0.5</formula>
    </cfRule>
  </conditionalFormatting>
  <conditionalFormatting sqref="AR35">
    <cfRule type="cellIs" dxfId="30914" priority="94112" stopIfTrue="1" operator="greaterThanOrEqual">
      <formula>0.5</formula>
    </cfRule>
  </conditionalFormatting>
  <conditionalFormatting sqref="AR36">
    <cfRule type="cellIs" dxfId="30913" priority="94113" stopIfTrue="1" operator="equal">
      <formula>-1</formula>
    </cfRule>
  </conditionalFormatting>
  <conditionalFormatting sqref="AR36">
    <cfRule type="cellIs" dxfId="30912" priority="94114" stopIfTrue="1" operator="lessThan">
      <formula>0.5</formula>
    </cfRule>
  </conditionalFormatting>
  <conditionalFormatting sqref="AR36">
    <cfRule type="cellIs" dxfId="30911" priority="94115" stopIfTrue="1" operator="greaterThanOrEqual">
      <formula>0.5</formula>
    </cfRule>
  </conditionalFormatting>
  <conditionalFormatting sqref="AR37">
    <cfRule type="cellIs" dxfId="30910" priority="94116" stopIfTrue="1" operator="equal">
      <formula>-1</formula>
    </cfRule>
  </conditionalFormatting>
  <conditionalFormatting sqref="AR37">
    <cfRule type="cellIs" dxfId="30909" priority="94117" stopIfTrue="1" operator="lessThan">
      <formula>0.5</formula>
    </cfRule>
  </conditionalFormatting>
  <conditionalFormatting sqref="AR37">
    <cfRule type="cellIs" dxfId="30908" priority="94118" stopIfTrue="1" operator="greaterThanOrEqual">
      <formula>0.5</formula>
    </cfRule>
  </conditionalFormatting>
  <conditionalFormatting sqref="AT17">
    <cfRule type="cellIs" dxfId="30907" priority="94119" stopIfTrue="1" operator="equal">
      <formula>-1</formula>
    </cfRule>
  </conditionalFormatting>
  <conditionalFormatting sqref="AT17">
    <cfRule type="cellIs" dxfId="30906" priority="94120" stopIfTrue="1" operator="lessThan">
      <formula>0.5</formula>
    </cfRule>
  </conditionalFormatting>
  <conditionalFormatting sqref="AT17">
    <cfRule type="cellIs" dxfId="30905" priority="94121" stopIfTrue="1" operator="greaterThanOrEqual">
      <formula>0.5</formula>
    </cfRule>
  </conditionalFormatting>
  <conditionalFormatting sqref="AT18">
    <cfRule type="cellIs" dxfId="30904" priority="94122" stopIfTrue="1" operator="equal">
      <formula>-1</formula>
    </cfRule>
  </conditionalFormatting>
  <conditionalFormatting sqref="AT18">
    <cfRule type="cellIs" dxfId="30903" priority="94123" stopIfTrue="1" operator="lessThan">
      <formula>0.5</formula>
    </cfRule>
  </conditionalFormatting>
  <conditionalFormatting sqref="AT18">
    <cfRule type="cellIs" dxfId="30902" priority="94124" stopIfTrue="1" operator="greaterThanOrEqual">
      <formula>0.5</formula>
    </cfRule>
  </conditionalFormatting>
  <conditionalFormatting sqref="AT19">
    <cfRule type="cellIs" dxfId="30901" priority="94125" stopIfTrue="1" operator="equal">
      <formula>-1</formula>
    </cfRule>
  </conditionalFormatting>
  <conditionalFormatting sqref="AT19">
    <cfRule type="cellIs" dxfId="30900" priority="94126" stopIfTrue="1" operator="lessThan">
      <formula>0.5</formula>
    </cfRule>
  </conditionalFormatting>
  <conditionalFormatting sqref="AT19">
    <cfRule type="cellIs" dxfId="30899" priority="94127" stopIfTrue="1" operator="greaterThanOrEqual">
      <formula>0.5</formula>
    </cfRule>
  </conditionalFormatting>
  <conditionalFormatting sqref="AT20">
    <cfRule type="cellIs" dxfId="30898" priority="94128" stopIfTrue="1" operator="equal">
      <formula>-1</formula>
    </cfRule>
  </conditionalFormatting>
  <conditionalFormatting sqref="AT20">
    <cfRule type="cellIs" dxfId="30897" priority="94129" stopIfTrue="1" operator="lessThan">
      <formula>0.5</formula>
    </cfRule>
  </conditionalFormatting>
  <conditionalFormatting sqref="AT20">
    <cfRule type="cellIs" dxfId="30896" priority="94130" stopIfTrue="1" operator="greaterThanOrEqual">
      <formula>0.5</formula>
    </cfRule>
  </conditionalFormatting>
  <conditionalFormatting sqref="AT21">
    <cfRule type="cellIs" dxfId="30895" priority="94131" stopIfTrue="1" operator="equal">
      <formula>-1</formula>
    </cfRule>
  </conditionalFormatting>
  <conditionalFormatting sqref="AT21">
    <cfRule type="cellIs" dxfId="30894" priority="94132" stopIfTrue="1" operator="lessThan">
      <formula>0.5</formula>
    </cfRule>
  </conditionalFormatting>
  <conditionalFormatting sqref="AT21">
    <cfRule type="cellIs" dxfId="30893" priority="94133" stopIfTrue="1" operator="greaterThanOrEqual">
      <formula>0.5</formula>
    </cfRule>
  </conditionalFormatting>
  <conditionalFormatting sqref="AT22">
    <cfRule type="cellIs" dxfId="30892" priority="94134" stopIfTrue="1" operator="equal">
      <formula>-1</formula>
    </cfRule>
  </conditionalFormatting>
  <conditionalFormatting sqref="AT22">
    <cfRule type="cellIs" dxfId="30891" priority="94135" stopIfTrue="1" operator="lessThan">
      <formula>0.5</formula>
    </cfRule>
  </conditionalFormatting>
  <conditionalFormatting sqref="AT22">
    <cfRule type="cellIs" dxfId="30890" priority="94136" stopIfTrue="1" operator="greaterThanOrEqual">
      <formula>0.5</formula>
    </cfRule>
  </conditionalFormatting>
  <conditionalFormatting sqref="AT23">
    <cfRule type="cellIs" dxfId="30889" priority="94137" stopIfTrue="1" operator="equal">
      <formula>-1</formula>
    </cfRule>
  </conditionalFormatting>
  <conditionalFormatting sqref="AT23">
    <cfRule type="cellIs" dxfId="30888" priority="94138" stopIfTrue="1" operator="lessThan">
      <formula>0.5</formula>
    </cfRule>
  </conditionalFormatting>
  <conditionalFormatting sqref="AT23">
    <cfRule type="cellIs" dxfId="30887" priority="94139" stopIfTrue="1" operator="greaterThanOrEqual">
      <formula>0.5</formula>
    </cfRule>
  </conditionalFormatting>
  <conditionalFormatting sqref="AT24">
    <cfRule type="cellIs" dxfId="30886" priority="94140" stopIfTrue="1" operator="equal">
      <formula>-1</formula>
    </cfRule>
  </conditionalFormatting>
  <conditionalFormatting sqref="AT24">
    <cfRule type="cellIs" dxfId="30885" priority="94141" stopIfTrue="1" operator="lessThan">
      <formula>0.5</formula>
    </cfRule>
  </conditionalFormatting>
  <conditionalFormatting sqref="AT24">
    <cfRule type="cellIs" dxfId="30884" priority="94142" stopIfTrue="1" operator="greaterThanOrEqual">
      <formula>0.5</formula>
    </cfRule>
  </conditionalFormatting>
  <conditionalFormatting sqref="AT25">
    <cfRule type="cellIs" dxfId="30883" priority="94143" stopIfTrue="1" operator="equal">
      <formula>-1</formula>
    </cfRule>
  </conditionalFormatting>
  <conditionalFormatting sqref="AT25">
    <cfRule type="cellIs" dxfId="30882" priority="94144" stopIfTrue="1" operator="lessThan">
      <formula>0.5</formula>
    </cfRule>
  </conditionalFormatting>
  <conditionalFormatting sqref="AT25">
    <cfRule type="cellIs" dxfId="30881" priority="94145" stopIfTrue="1" operator="greaterThanOrEqual">
      <formula>0.5</formula>
    </cfRule>
  </conditionalFormatting>
  <conditionalFormatting sqref="AT26">
    <cfRule type="cellIs" dxfId="30880" priority="94146" stopIfTrue="1" operator="equal">
      <formula>-1</formula>
    </cfRule>
  </conditionalFormatting>
  <conditionalFormatting sqref="AT26">
    <cfRule type="cellIs" dxfId="30879" priority="94147" stopIfTrue="1" operator="lessThan">
      <formula>0.5</formula>
    </cfRule>
  </conditionalFormatting>
  <conditionalFormatting sqref="AT26">
    <cfRule type="cellIs" dxfId="30878" priority="94148" stopIfTrue="1" operator="greaterThanOrEqual">
      <formula>0.5</formula>
    </cfRule>
  </conditionalFormatting>
  <conditionalFormatting sqref="AT27">
    <cfRule type="cellIs" dxfId="30877" priority="94149" stopIfTrue="1" operator="equal">
      <formula>-1</formula>
    </cfRule>
  </conditionalFormatting>
  <conditionalFormatting sqref="AT27">
    <cfRule type="cellIs" dxfId="30876" priority="94150" stopIfTrue="1" operator="lessThan">
      <formula>0.5</formula>
    </cfRule>
  </conditionalFormatting>
  <conditionalFormatting sqref="AT27">
    <cfRule type="cellIs" dxfId="30875" priority="94151" stopIfTrue="1" operator="greaterThanOrEqual">
      <formula>0.5</formula>
    </cfRule>
  </conditionalFormatting>
  <conditionalFormatting sqref="AT28">
    <cfRule type="cellIs" dxfId="30874" priority="94152" stopIfTrue="1" operator="equal">
      <formula>-1</formula>
    </cfRule>
  </conditionalFormatting>
  <conditionalFormatting sqref="AT28">
    <cfRule type="cellIs" dxfId="30873" priority="94153" stopIfTrue="1" operator="lessThan">
      <formula>0.5</formula>
    </cfRule>
  </conditionalFormatting>
  <conditionalFormatting sqref="AT28">
    <cfRule type="cellIs" dxfId="30872" priority="94154" stopIfTrue="1" operator="greaterThanOrEqual">
      <formula>0.5</formula>
    </cfRule>
  </conditionalFormatting>
  <conditionalFormatting sqref="AT29">
    <cfRule type="cellIs" dxfId="30871" priority="94155" stopIfTrue="1" operator="equal">
      <formula>-1</formula>
    </cfRule>
  </conditionalFormatting>
  <conditionalFormatting sqref="AT29">
    <cfRule type="cellIs" dxfId="30870" priority="94156" stopIfTrue="1" operator="lessThan">
      <formula>0.5</formula>
    </cfRule>
  </conditionalFormatting>
  <conditionalFormatting sqref="AT29">
    <cfRule type="cellIs" dxfId="30869" priority="94157" stopIfTrue="1" operator="greaterThanOrEqual">
      <formula>0.5</formula>
    </cfRule>
  </conditionalFormatting>
  <conditionalFormatting sqref="AT30">
    <cfRule type="cellIs" dxfId="30868" priority="94158" stopIfTrue="1" operator="equal">
      <formula>-1</formula>
    </cfRule>
  </conditionalFormatting>
  <conditionalFormatting sqref="AT30">
    <cfRule type="cellIs" dxfId="30867" priority="94159" stopIfTrue="1" operator="lessThan">
      <formula>0.5</formula>
    </cfRule>
  </conditionalFormatting>
  <conditionalFormatting sqref="AT30">
    <cfRule type="cellIs" dxfId="30866" priority="94160" stopIfTrue="1" operator="greaterThanOrEqual">
      <formula>0.5</formula>
    </cfRule>
  </conditionalFormatting>
  <conditionalFormatting sqref="AT31">
    <cfRule type="cellIs" dxfId="30865" priority="94161" stopIfTrue="1" operator="equal">
      <formula>-1</formula>
    </cfRule>
  </conditionalFormatting>
  <conditionalFormatting sqref="AT31">
    <cfRule type="cellIs" dxfId="30864" priority="94162" stopIfTrue="1" operator="lessThan">
      <formula>0.5</formula>
    </cfRule>
  </conditionalFormatting>
  <conditionalFormatting sqref="AT31">
    <cfRule type="cellIs" dxfId="30863" priority="94163" stopIfTrue="1" operator="greaterThanOrEqual">
      <formula>0.5</formula>
    </cfRule>
  </conditionalFormatting>
  <conditionalFormatting sqref="AT32">
    <cfRule type="cellIs" dxfId="30862" priority="94164" stopIfTrue="1" operator="equal">
      <formula>-1</formula>
    </cfRule>
  </conditionalFormatting>
  <conditionalFormatting sqref="AT32">
    <cfRule type="cellIs" dxfId="30861" priority="94165" stopIfTrue="1" operator="lessThan">
      <formula>0.5</formula>
    </cfRule>
  </conditionalFormatting>
  <conditionalFormatting sqref="AT32">
    <cfRule type="cellIs" dxfId="30860" priority="94166" stopIfTrue="1" operator="greaterThanOrEqual">
      <formula>0.5</formula>
    </cfRule>
  </conditionalFormatting>
  <conditionalFormatting sqref="AT33">
    <cfRule type="cellIs" dxfId="30859" priority="94167" stopIfTrue="1" operator="equal">
      <formula>-1</formula>
    </cfRule>
  </conditionalFormatting>
  <conditionalFormatting sqref="AT33">
    <cfRule type="cellIs" dxfId="30858" priority="94168" stopIfTrue="1" operator="lessThan">
      <formula>0.5</formula>
    </cfRule>
  </conditionalFormatting>
  <conditionalFormatting sqref="AT33">
    <cfRule type="cellIs" dxfId="30857" priority="94169" stopIfTrue="1" operator="greaterThanOrEqual">
      <formula>0.5</formula>
    </cfRule>
  </conditionalFormatting>
  <conditionalFormatting sqref="AT34">
    <cfRule type="cellIs" dxfId="30856" priority="94170" stopIfTrue="1" operator="equal">
      <formula>-1</formula>
    </cfRule>
  </conditionalFormatting>
  <conditionalFormatting sqref="AT34">
    <cfRule type="cellIs" dxfId="30855" priority="94171" stopIfTrue="1" operator="lessThan">
      <formula>0.5</formula>
    </cfRule>
  </conditionalFormatting>
  <conditionalFormatting sqref="AT34">
    <cfRule type="cellIs" dxfId="30854" priority="94172" stopIfTrue="1" operator="greaterThanOrEqual">
      <formula>0.5</formula>
    </cfRule>
  </conditionalFormatting>
  <conditionalFormatting sqref="AT35">
    <cfRule type="cellIs" dxfId="30853" priority="94173" stopIfTrue="1" operator="equal">
      <formula>-1</formula>
    </cfRule>
  </conditionalFormatting>
  <conditionalFormatting sqref="AT35">
    <cfRule type="cellIs" dxfId="30852" priority="94174" stopIfTrue="1" operator="lessThan">
      <formula>0.5</formula>
    </cfRule>
  </conditionalFormatting>
  <conditionalFormatting sqref="AT35">
    <cfRule type="cellIs" dxfId="30851" priority="94175" stopIfTrue="1" operator="greaterThanOrEqual">
      <formula>0.5</formula>
    </cfRule>
  </conditionalFormatting>
  <conditionalFormatting sqref="AT36">
    <cfRule type="cellIs" dxfId="30850" priority="94176" stopIfTrue="1" operator="equal">
      <formula>-1</formula>
    </cfRule>
  </conditionalFormatting>
  <conditionalFormatting sqref="AT36">
    <cfRule type="cellIs" dxfId="30849" priority="94177" stopIfTrue="1" operator="lessThan">
      <formula>0.5</formula>
    </cfRule>
  </conditionalFormatting>
  <conditionalFormatting sqref="AT36">
    <cfRule type="cellIs" dxfId="30848" priority="94178" stopIfTrue="1" operator="greaterThanOrEqual">
      <formula>0.5</formula>
    </cfRule>
  </conditionalFormatting>
  <conditionalFormatting sqref="AT37">
    <cfRule type="cellIs" dxfId="30847" priority="94179" stopIfTrue="1" operator="equal">
      <formula>-1</formula>
    </cfRule>
  </conditionalFormatting>
  <conditionalFormatting sqref="AT37">
    <cfRule type="cellIs" dxfId="30846" priority="94180" stopIfTrue="1" operator="lessThan">
      <formula>0.5</formula>
    </cfRule>
  </conditionalFormatting>
  <conditionalFormatting sqref="AT37">
    <cfRule type="cellIs" dxfId="30845" priority="94181" stopIfTrue="1" operator="greaterThanOrEqual">
      <formula>0.5</formula>
    </cfRule>
  </conditionalFormatting>
  <conditionalFormatting sqref="AV17">
    <cfRule type="cellIs" dxfId="30844" priority="94182" stopIfTrue="1" operator="equal">
      <formula>-1</formula>
    </cfRule>
  </conditionalFormatting>
  <conditionalFormatting sqref="AV17">
    <cfRule type="cellIs" dxfId="30843" priority="94183" stopIfTrue="1" operator="lessThan">
      <formula>0.5</formula>
    </cfRule>
  </conditionalFormatting>
  <conditionalFormatting sqref="AV17">
    <cfRule type="cellIs" dxfId="30842" priority="94184" stopIfTrue="1" operator="greaterThanOrEqual">
      <formula>0.5</formula>
    </cfRule>
  </conditionalFormatting>
  <conditionalFormatting sqref="AV18">
    <cfRule type="cellIs" dxfId="30841" priority="94185" stopIfTrue="1" operator="equal">
      <formula>-1</formula>
    </cfRule>
  </conditionalFormatting>
  <conditionalFormatting sqref="AV18">
    <cfRule type="cellIs" dxfId="30840" priority="94186" stopIfTrue="1" operator="lessThan">
      <formula>0.5</formula>
    </cfRule>
  </conditionalFormatting>
  <conditionalFormatting sqref="AV18">
    <cfRule type="cellIs" dxfId="30839" priority="94187" stopIfTrue="1" operator="greaterThanOrEqual">
      <formula>0.5</formula>
    </cfRule>
  </conditionalFormatting>
  <conditionalFormatting sqref="AV19">
    <cfRule type="cellIs" dxfId="30838" priority="94188" stopIfTrue="1" operator="equal">
      <formula>-1</formula>
    </cfRule>
  </conditionalFormatting>
  <conditionalFormatting sqref="AV19">
    <cfRule type="cellIs" dxfId="30837" priority="94189" stopIfTrue="1" operator="lessThan">
      <formula>0.5</formula>
    </cfRule>
  </conditionalFormatting>
  <conditionalFormatting sqref="AV19">
    <cfRule type="cellIs" dxfId="30836" priority="94190" stopIfTrue="1" operator="greaterThanOrEqual">
      <formula>0.5</formula>
    </cfRule>
  </conditionalFormatting>
  <conditionalFormatting sqref="AV20">
    <cfRule type="cellIs" dxfId="30835" priority="94191" stopIfTrue="1" operator="equal">
      <formula>-1</formula>
    </cfRule>
  </conditionalFormatting>
  <conditionalFormatting sqref="AV20">
    <cfRule type="cellIs" dxfId="30834" priority="94192" stopIfTrue="1" operator="lessThan">
      <formula>0.5</formula>
    </cfRule>
  </conditionalFormatting>
  <conditionalFormatting sqref="AV20">
    <cfRule type="cellIs" dxfId="30833" priority="94193" stopIfTrue="1" operator="greaterThanOrEqual">
      <formula>0.5</formula>
    </cfRule>
  </conditionalFormatting>
  <conditionalFormatting sqref="AV21">
    <cfRule type="cellIs" dxfId="30832" priority="94194" stopIfTrue="1" operator="equal">
      <formula>-1</formula>
    </cfRule>
  </conditionalFormatting>
  <conditionalFormatting sqref="AV21">
    <cfRule type="cellIs" dxfId="30831" priority="94195" stopIfTrue="1" operator="lessThan">
      <formula>0.5</formula>
    </cfRule>
  </conditionalFormatting>
  <conditionalFormatting sqref="AV21">
    <cfRule type="cellIs" dxfId="30830" priority="94196" stopIfTrue="1" operator="greaterThanOrEqual">
      <formula>0.5</formula>
    </cfRule>
  </conditionalFormatting>
  <conditionalFormatting sqref="AV22">
    <cfRule type="cellIs" dxfId="30829" priority="94197" stopIfTrue="1" operator="equal">
      <formula>-1</formula>
    </cfRule>
  </conditionalFormatting>
  <conditionalFormatting sqref="AV22">
    <cfRule type="cellIs" dxfId="30828" priority="94198" stopIfTrue="1" operator="lessThan">
      <formula>0.5</formula>
    </cfRule>
  </conditionalFormatting>
  <conditionalFormatting sqref="AV22">
    <cfRule type="cellIs" dxfId="30827" priority="94199" stopIfTrue="1" operator="greaterThanOrEqual">
      <formula>0.5</formula>
    </cfRule>
  </conditionalFormatting>
  <conditionalFormatting sqref="AV23">
    <cfRule type="cellIs" dxfId="30826" priority="94200" stopIfTrue="1" operator="equal">
      <formula>-1</formula>
    </cfRule>
  </conditionalFormatting>
  <conditionalFormatting sqref="AV23">
    <cfRule type="cellIs" dxfId="30825" priority="94201" stopIfTrue="1" operator="lessThan">
      <formula>0.5</formula>
    </cfRule>
  </conditionalFormatting>
  <conditionalFormatting sqref="AV23">
    <cfRule type="cellIs" dxfId="30824" priority="94202" stopIfTrue="1" operator="greaterThanOrEqual">
      <formula>0.5</formula>
    </cfRule>
  </conditionalFormatting>
  <conditionalFormatting sqref="AV24">
    <cfRule type="cellIs" dxfId="30823" priority="94203" stopIfTrue="1" operator="equal">
      <formula>-1</formula>
    </cfRule>
  </conditionalFormatting>
  <conditionalFormatting sqref="AV24">
    <cfRule type="cellIs" dxfId="30822" priority="94204" stopIfTrue="1" operator="lessThan">
      <formula>0.5</formula>
    </cfRule>
  </conditionalFormatting>
  <conditionalFormatting sqref="AV24">
    <cfRule type="cellIs" dxfId="30821" priority="94205" stopIfTrue="1" operator="greaterThanOrEqual">
      <formula>0.5</formula>
    </cfRule>
  </conditionalFormatting>
  <conditionalFormatting sqref="AV25">
    <cfRule type="cellIs" dxfId="30820" priority="94206" stopIfTrue="1" operator="equal">
      <formula>-1</formula>
    </cfRule>
  </conditionalFormatting>
  <conditionalFormatting sqref="AV25">
    <cfRule type="cellIs" dxfId="30819" priority="94207" stopIfTrue="1" operator="lessThan">
      <formula>0.5</formula>
    </cfRule>
  </conditionalFormatting>
  <conditionalFormatting sqref="AV25">
    <cfRule type="cellIs" dxfId="30818" priority="94208" stopIfTrue="1" operator="greaterThanOrEqual">
      <formula>0.5</formula>
    </cfRule>
  </conditionalFormatting>
  <conditionalFormatting sqref="AV26">
    <cfRule type="cellIs" dxfId="30817" priority="94209" stopIfTrue="1" operator="equal">
      <formula>-1</formula>
    </cfRule>
  </conditionalFormatting>
  <conditionalFormatting sqref="AV26">
    <cfRule type="cellIs" dxfId="30816" priority="94210" stopIfTrue="1" operator="lessThan">
      <formula>0.5</formula>
    </cfRule>
  </conditionalFormatting>
  <conditionalFormatting sqref="AV26">
    <cfRule type="cellIs" dxfId="30815" priority="94211" stopIfTrue="1" operator="greaterThanOrEqual">
      <formula>0.5</formula>
    </cfRule>
  </conditionalFormatting>
  <conditionalFormatting sqref="AV27">
    <cfRule type="cellIs" dxfId="30814" priority="94212" stopIfTrue="1" operator="equal">
      <formula>-1</formula>
    </cfRule>
  </conditionalFormatting>
  <conditionalFormatting sqref="AV27">
    <cfRule type="cellIs" dxfId="30813" priority="94213" stopIfTrue="1" operator="lessThan">
      <formula>0.5</formula>
    </cfRule>
  </conditionalFormatting>
  <conditionalFormatting sqref="AV27">
    <cfRule type="cellIs" dxfId="30812" priority="94214" stopIfTrue="1" operator="greaterThanOrEqual">
      <formula>0.5</formula>
    </cfRule>
  </conditionalFormatting>
  <conditionalFormatting sqref="AV28">
    <cfRule type="cellIs" dxfId="30811" priority="94215" stopIfTrue="1" operator="equal">
      <formula>-1</formula>
    </cfRule>
  </conditionalFormatting>
  <conditionalFormatting sqref="AV28">
    <cfRule type="cellIs" dxfId="30810" priority="94216" stopIfTrue="1" operator="lessThan">
      <formula>0.5</formula>
    </cfRule>
  </conditionalFormatting>
  <conditionalFormatting sqref="AV28">
    <cfRule type="cellIs" dxfId="30809" priority="94217" stopIfTrue="1" operator="greaterThanOrEqual">
      <formula>0.5</formula>
    </cfRule>
  </conditionalFormatting>
  <conditionalFormatting sqref="AV29">
    <cfRule type="cellIs" dxfId="30808" priority="94218" stopIfTrue="1" operator="equal">
      <formula>-1</formula>
    </cfRule>
  </conditionalFormatting>
  <conditionalFormatting sqref="AV29">
    <cfRule type="cellIs" dxfId="30807" priority="94219" stopIfTrue="1" operator="lessThan">
      <formula>0.5</formula>
    </cfRule>
  </conditionalFormatting>
  <conditionalFormatting sqref="AV29">
    <cfRule type="cellIs" dxfId="30806" priority="94220" stopIfTrue="1" operator="greaterThanOrEqual">
      <formula>0.5</formula>
    </cfRule>
  </conditionalFormatting>
  <conditionalFormatting sqref="AV30">
    <cfRule type="cellIs" dxfId="30805" priority="94221" stopIfTrue="1" operator="equal">
      <formula>-1</formula>
    </cfRule>
  </conditionalFormatting>
  <conditionalFormatting sqref="AV30">
    <cfRule type="cellIs" dxfId="30804" priority="94222" stopIfTrue="1" operator="lessThan">
      <formula>0.5</formula>
    </cfRule>
  </conditionalFormatting>
  <conditionalFormatting sqref="AV30">
    <cfRule type="cellIs" dxfId="30803" priority="94223" stopIfTrue="1" operator="greaterThanOrEqual">
      <formula>0.5</formula>
    </cfRule>
  </conditionalFormatting>
  <conditionalFormatting sqref="AV31">
    <cfRule type="cellIs" dxfId="30802" priority="94224" stopIfTrue="1" operator="equal">
      <formula>-1</formula>
    </cfRule>
  </conditionalFormatting>
  <conditionalFormatting sqref="AV31">
    <cfRule type="cellIs" dxfId="30801" priority="94225" stopIfTrue="1" operator="lessThan">
      <formula>0.5</formula>
    </cfRule>
  </conditionalFormatting>
  <conditionalFormatting sqref="AV31">
    <cfRule type="cellIs" dxfId="30800" priority="94226" stopIfTrue="1" operator="greaterThanOrEqual">
      <formula>0.5</formula>
    </cfRule>
  </conditionalFormatting>
  <conditionalFormatting sqref="AV32">
    <cfRule type="cellIs" dxfId="30799" priority="94227" stopIfTrue="1" operator="equal">
      <formula>-1</formula>
    </cfRule>
  </conditionalFormatting>
  <conditionalFormatting sqref="AV32">
    <cfRule type="cellIs" dxfId="30798" priority="94228" stopIfTrue="1" operator="lessThan">
      <formula>0.5</formula>
    </cfRule>
  </conditionalFormatting>
  <conditionalFormatting sqref="AV32">
    <cfRule type="cellIs" dxfId="30797" priority="94229" stopIfTrue="1" operator="greaterThanOrEqual">
      <formula>0.5</formula>
    </cfRule>
  </conditionalFormatting>
  <conditionalFormatting sqref="AV33">
    <cfRule type="cellIs" dxfId="30796" priority="94230" stopIfTrue="1" operator="equal">
      <formula>-1</formula>
    </cfRule>
  </conditionalFormatting>
  <conditionalFormatting sqref="AV33">
    <cfRule type="cellIs" dxfId="30795" priority="94231" stopIfTrue="1" operator="lessThan">
      <formula>0.5</formula>
    </cfRule>
  </conditionalFormatting>
  <conditionalFormatting sqref="AV33">
    <cfRule type="cellIs" dxfId="30794" priority="94232" stopIfTrue="1" operator="greaterThanOrEqual">
      <formula>0.5</formula>
    </cfRule>
  </conditionalFormatting>
  <conditionalFormatting sqref="AV34">
    <cfRule type="cellIs" dxfId="30793" priority="94233" stopIfTrue="1" operator="equal">
      <formula>-1</formula>
    </cfRule>
  </conditionalFormatting>
  <conditionalFormatting sqref="AV34">
    <cfRule type="cellIs" dxfId="30792" priority="94234" stopIfTrue="1" operator="lessThan">
      <formula>0.5</formula>
    </cfRule>
  </conditionalFormatting>
  <conditionalFormatting sqref="AV34">
    <cfRule type="cellIs" dxfId="30791" priority="94235" stopIfTrue="1" operator="greaterThanOrEqual">
      <formula>0.5</formula>
    </cfRule>
  </conditionalFormatting>
  <conditionalFormatting sqref="AV35">
    <cfRule type="cellIs" dxfId="30790" priority="94236" stopIfTrue="1" operator="equal">
      <formula>-1</formula>
    </cfRule>
  </conditionalFormatting>
  <conditionalFormatting sqref="AV35">
    <cfRule type="cellIs" dxfId="30789" priority="94237" stopIfTrue="1" operator="lessThan">
      <formula>0.5</formula>
    </cfRule>
  </conditionalFormatting>
  <conditionalFormatting sqref="AV35">
    <cfRule type="cellIs" dxfId="30788" priority="94238" stopIfTrue="1" operator="greaterThanOrEqual">
      <formula>0.5</formula>
    </cfRule>
  </conditionalFormatting>
  <conditionalFormatting sqref="AV36">
    <cfRule type="cellIs" dxfId="30787" priority="94239" stopIfTrue="1" operator="equal">
      <formula>-1</formula>
    </cfRule>
  </conditionalFormatting>
  <conditionalFormatting sqref="AV36">
    <cfRule type="cellIs" dxfId="30786" priority="94240" stopIfTrue="1" operator="lessThan">
      <formula>0.5</formula>
    </cfRule>
  </conditionalFormatting>
  <conditionalFormatting sqref="AV36">
    <cfRule type="cellIs" dxfId="30785" priority="94241" stopIfTrue="1" operator="greaterThanOrEqual">
      <formula>0.5</formula>
    </cfRule>
  </conditionalFormatting>
  <conditionalFormatting sqref="AV37">
    <cfRule type="cellIs" dxfId="30784" priority="94242" stopIfTrue="1" operator="equal">
      <formula>-1</formula>
    </cfRule>
  </conditionalFormatting>
  <conditionalFormatting sqref="AV37">
    <cfRule type="cellIs" dxfId="30783" priority="94243" stopIfTrue="1" operator="lessThan">
      <formula>0.5</formula>
    </cfRule>
  </conditionalFormatting>
  <conditionalFormatting sqref="AV37">
    <cfRule type="cellIs" dxfId="30782" priority="94244" stopIfTrue="1" operator="greaterThanOrEqual">
      <formula>0.5</formula>
    </cfRule>
  </conditionalFormatting>
  <conditionalFormatting sqref="AX17">
    <cfRule type="cellIs" dxfId="30781" priority="94245" stopIfTrue="1" operator="equal">
      <formula>-1</formula>
    </cfRule>
  </conditionalFormatting>
  <conditionalFormatting sqref="AX17">
    <cfRule type="cellIs" dxfId="30780" priority="94246" stopIfTrue="1" operator="lessThan">
      <formula>0.5</formula>
    </cfRule>
  </conditionalFormatting>
  <conditionalFormatting sqref="AX17">
    <cfRule type="cellIs" dxfId="30779" priority="94247" stopIfTrue="1" operator="greaterThanOrEqual">
      <formula>0.5</formula>
    </cfRule>
  </conditionalFormatting>
  <conditionalFormatting sqref="AX18">
    <cfRule type="cellIs" dxfId="30778" priority="94248" stopIfTrue="1" operator="equal">
      <formula>-1</formula>
    </cfRule>
  </conditionalFormatting>
  <conditionalFormatting sqref="AX18">
    <cfRule type="cellIs" dxfId="30777" priority="94249" stopIfTrue="1" operator="lessThan">
      <formula>0.5</formula>
    </cfRule>
  </conditionalFormatting>
  <conditionalFormatting sqref="AX18">
    <cfRule type="cellIs" dxfId="30776" priority="94250" stopIfTrue="1" operator="greaterThanOrEqual">
      <formula>0.5</formula>
    </cfRule>
  </conditionalFormatting>
  <conditionalFormatting sqref="AX19">
    <cfRule type="cellIs" dxfId="30775" priority="94251" stopIfTrue="1" operator="equal">
      <formula>-1</formula>
    </cfRule>
  </conditionalFormatting>
  <conditionalFormatting sqref="AX19">
    <cfRule type="cellIs" dxfId="30774" priority="94252" stopIfTrue="1" operator="lessThan">
      <formula>0.5</formula>
    </cfRule>
  </conditionalFormatting>
  <conditionalFormatting sqref="AX19">
    <cfRule type="cellIs" dxfId="30773" priority="94253" stopIfTrue="1" operator="greaterThanOrEqual">
      <formula>0.5</formula>
    </cfRule>
  </conditionalFormatting>
  <conditionalFormatting sqref="AX20">
    <cfRule type="cellIs" dxfId="30772" priority="94254" stopIfTrue="1" operator="equal">
      <formula>-1</formula>
    </cfRule>
  </conditionalFormatting>
  <conditionalFormatting sqref="AX20">
    <cfRule type="cellIs" dxfId="30771" priority="94255" stopIfTrue="1" operator="lessThan">
      <formula>0.5</formula>
    </cfRule>
  </conditionalFormatting>
  <conditionalFormatting sqref="AX20">
    <cfRule type="cellIs" dxfId="30770" priority="94256" stopIfTrue="1" operator="greaterThanOrEqual">
      <formula>0.5</formula>
    </cfRule>
  </conditionalFormatting>
  <conditionalFormatting sqref="AX21">
    <cfRule type="cellIs" dxfId="30769" priority="94257" stopIfTrue="1" operator="equal">
      <formula>-1</formula>
    </cfRule>
  </conditionalFormatting>
  <conditionalFormatting sqref="AX21">
    <cfRule type="cellIs" dxfId="30768" priority="94258" stopIfTrue="1" operator="lessThan">
      <formula>0.5</formula>
    </cfRule>
  </conditionalFormatting>
  <conditionalFormatting sqref="AX21">
    <cfRule type="cellIs" dxfId="30767" priority="94259" stopIfTrue="1" operator="greaterThanOrEqual">
      <formula>0.5</formula>
    </cfRule>
  </conditionalFormatting>
  <conditionalFormatting sqref="AX22">
    <cfRule type="cellIs" dxfId="30766" priority="94260" stopIfTrue="1" operator="equal">
      <formula>-1</formula>
    </cfRule>
  </conditionalFormatting>
  <conditionalFormatting sqref="AX22">
    <cfRule type="cellIs" dxfId="30765" priority="94261" stopIfTrue="1" operator="lessThan">
      <formula>0.5</formula>
    </cfRule>
  </conditionalFormatting>
  <conditionalFormatting sqref="AX22">
    <cfRule type="cellIs" dxfId="30764" priority="94262" stopIfTrue="1" operator="greaterThanOrEqual">
      <formula>0.5</formula>
    </cfRule>
  </conditionalFormatting>
  <conditionalFormatting sqref="AX23">
    <cfRule type="cellIs" dxfId="30763" priority="94263" stopIfTrue="1" operator="equal">
      <formula>-1</formula>
    </cfRule>
  </conditionalFormatting>
  <conditionalFormatting sqref="AX23">
    <cfRule type="cellIs" dxfId="30762" priority="94264" stopIfTrue="1" operator="lessThan">
      <formula>0.5</formula>
    </cfRule>
  </conditionalFormatting>
  <conditionalFormatting sqref="AX23">
    <cfRule type="cellIs" dxfId="30761" priority="94265" stopIfTrue="1" operator="greaterThanOrEqual">
      <formula>0.5</formula>
    </cfRule>
  </conditionalFormatting>
  <conditionalFormatting sqref="AX24">
    <cfRule type="cellIs" dxfId="30760" priority="94266" stopIfTrue="1" operator="equal">
      <formula>-1</formula>
    </cfRule>
  </conditionalFormatting>
  <conditionalFormatting sqref="AX24">
    <cfRule type="cellIs" dxfId="30759" priority="94267" stopIfTrue="1" operator="lessThan">
      <formula>0.5</formula>
    </cfRule>
  </conditionalFormatting>
  <conditionalFormatting sqref="AX24">
    <cfRule type="cellIs" dxfId="30758" priority="94268" stopIfTrue="1" operator="greaterThanOrEqual">
      <formula>0.5</formula>
    </cfRule>
  </conditionalFormatting>
  <conditionalFormatting sqref="AX25">
    <cfRule type="cellIs" dxfId="30757" priority="94269" stopIfTrue="1" operator="equal">
      <formula>-1</formula>
    </cfRule>
  </conditionalFormatting>
  <conditionalFormatting sqref="AX25">
    <cfRule type="cellIs" dxfId="30756" priority="94270" stopIfTrue="1" operator="lessThan">
      <formula>0.5</formula>
    </cfRule>
  </conditionalFormatting>
  <conditionalFormatting sqref="AX25">
    <cfRule type="cellIs" dxfId="30755" priority="94271" stopIfTrue="1" operator="greaterThanOrEqual">
      <formula>0.5</formula>
    </cfRule>
  </conditionalFormatting>
  <conditionalFormatting sqref="AX26">
    <cfRule type="cellIs" dxfId="30754" priority="94272" stopIfTrue="1" operator="equal">
      <formula>-1</formula>
    </cfRule>
  </conditionalFormatting>
  <conditionalFormatting sqref="AX26">
    <cfRule type="cellIs" dxfId="30753" priority="94273" stopIfTrue="1" operator="lessThan">
      <formula>0.5</formula>
    </cfRule>
  </conditionalFormatting>
  <conditionalFormatting sqref="AX26">
    <cfRule type="cellIs" dxfId="30752" priority="94274" stopIfTrue="1" operator="greaterThanOrEqual">
      <formula>0.5</formula>
    </cfRule>
  </conditionalFormatting>
  <conditionalFormatting sqref="AX27">
    <cfRule type="cellIs" dxfId="30751" priority="94275" stopIfTrue="1" operator="equal">
      <formula>-1</formula>
    </cfRule>
  </conditionalFormatting>
  <conditionalFormatting sqref="AX27">
    <cfRule type="cellIs" dxfId="30750" priority="94276" stopIfTrue="1" operator="lessThan">
      <formula>0.5</formula>
    </cfRule>
  </conditionalFormatting>
  <conditionalFormatting sqref="AX27">
    <cfRule type="cellIs" dxfId="30749" priority="94277" stopIfTrue="1" operator="greaterThanOrEqual">
      <formula>0.5</formula>
    </cfRule>
  </conditionalFormatting>
  <conditionalFormatting sqref="AX28">
    <cfRule type="cellIs" dxfId="30748" priority="94278" stopIfTrue="1" operator="equal">
      <formula>-1</formula>
    </cfRule>
  </conditionalFormatting>
  <conditionalFormatting sqref="AX28">
    <cfRule type="cellIs" dxfId="30747" priority="94279" stopIfTrue="1" operator="lessThan">
      <formula>0.5</formula>
    </cfRule>
  </conditionalFormatting>
  <conditionalFormatting sqref="AX28">
    <cfRule type="cellIs" dxfId="30746" priority="94280" stopIfTrue="1" operator="greaterThanOrEqual">
      <formula>0.5</formula>
    </cfRule>
  </conditionalFormatting>
  <conditionalFormatting sqref="AX29">
    <cfRule type="cellIs" dxfId="30745" priority="94281" stopIfTrue="1" operator="equal">
      <formula>-1</formula>
    </cfRule>
  </conditionalFormatting>
  <conditionalFormatting sqref="AX29">
    <cfRule type="cellIs" dxfId="30744" priority="94282" stopIfTrue="1" operator="lessThan">
      <formula>0.5</formula>
    </cfRule>
  </conditionalFormatting>
  <conditionalFormatting sqref="AX29">
    <cfRule type="cellIs" dxfId="30743" priority="94283" stopIfTrue="1" operator="greaterThanOrEqual">
      <formula>0.5</formula>
    </cfRule>
  </conditionalFormatting>
  <conditionalFormatting sqref="AX30">
    <cfRule type="cellIs" dxfId="30742" priority="94284" stopIfTrue="1" operator="equal">
      <formula>-1</formula>
    </cfRule>
  </conditionalFormatting>
  <conditionalFormatting sqref="AX30">
    <cfRule type="cellIs" dxfId="30741" priority="94285" stopIfTrue="1" operator="lessThan">
      <formula>0.5</formula>
    </cfRule>
  </conditionalFormatting>
  <conditionalFormatting sqref="AX30">
    <cfRule type="cellIs" dxfId="30740" priority="94286" stopIfTrue="1" operator="greaterThanOrEqual">
      <formula>0.5</formula>
    </cfRule>
  </conditionalFormatting>
  <conditionalFormatting sqref="AX31">
    <cfRule type="cellIs" dxfId="30739" priority="94287" stopIfTrue="1" operator="equal">
      <formula>-1</formula>
    </cfRule>
  </conditionalFormatting>
  <conditionalFormatting sqref="AX31">
    <cfRule type="cellIs" dxfId="30738" priority="94288" stopIfTrue="1" operator="lessThan">
      <formula>0.5</formula>
    </cfRule>
  </conditionalFormatting>
  <conditionalFormatting sqref="AX31">
    <cfRule type="cellIs" dxfId="30737" priority="94289" stopIfTrue="1" operator="greaterThanOrEqual">
      <formula>0.5</formula>
    </cfRule>
  </conditionalFormatting>
  <conditionalFormatting sqref="AX32">
    <cfRule type="cellIs" dxfId="30736" priority="94290" stopIfTrue="1" operator="equal">
      <formula>-1</formula>
    </cfRule>
  </conditionalFormatting>
  <conditionalFormatting sqref="AX32">
    <cfRule type="cellIs" dxfId="30735" priority="94291" stopIfTrue="1" operator="lessThan">
      <formula>0.5</formula>
    </cfRule>
  </conditionalFormatting>
  <conditionalFormatting sqref="AX32">
    <cfRule type="cellIs" dxfId="30734" priority="94292" stopIfTrue="1" operator="greaterThanOrEqual">
      <formula>0.5</formula>
    </cfRule>
  </conditionalFormatting>
  <conditionalFormatting sqref="AX33">
    <cfRule type="cellIs" dxfId="30733" priority="94293" stopIfTrue="1" operator="equal">
      <formula>-1</formula>
    </cfRule>
  </conditionalFormatting>
  <conditionalFormatting sqref="AX33">
    <cfRule type="cellIs" dxfId="30732" priority="94294" stopIfTrue="1" operator="lessThan">
      <formula>0.5</formula>
    </cfRule>
  </conditionalFormatting>
  <conditionalFormatting sqref="AX33">
    <cfRule type="cellIs" dxfId="30731" priority="94295" stopIfTrue="1" operator="greaterThanOrEqual">
      <formula>0.5</formula>
    </cfRule>
  </conditionalFormatting>
  <conditionalFormatting sqref="AX34">
    <cfRule type="cellIs" dxfId="30730" priority="94296" stopIfTrue="1" operator="equal">
      <formula>-1</formula>
    </cfRule>
  </conditionalFormatting>
  <conditionalFormatting sqref="AX34">
    <cfRule type="cellIs" dxfId="30729" priority="94297" stopIfTrue="1" operator="lessThan">
      <formula>0.5</formula>
    </cfRule>
  </conditionalFormatting>
  <conditionalFormatting sqref="AX34">
    <cfRule type="cellIs" dxfId="30728" priority="94298" stopIfTrue="1" operator="greaterThanOrEqual">
      <formula>0.5</formula>
    </cfRule>
  </conditionalFormatting>
  <conditionalFormatting sqref="AX35">
    <cfRule type="cellIs" dxfId="30727" priority="94299" stopIfTrue="1" operator="equal">
      <formula>-1</formula>
    </cfRule>
  </conditionalFormatting>
  <conditionalFormatting sqref="AX35">
    <cfRule type="cellIs" dxfId="30726" priority="94300" stopIfTrue="1" operator="lessThan">
      <formula>0.5</formula>
    </cfRule>
  </conditionalFormatting>
  <conditionalFormatting sqref="AX35">
    <cfRule type="cellIs" dxfId="30725" priority="94301" stopIfTrue="1" operator="greaterThanOrEqual">
      <formula>0.5</formula>
    </cfRule>
  </conditionalFormatting>
  <conditionalFormatting sqref="AX36">
    <cfRule type="cellIs" dxfId="30724" priority="94302" stopIfTrue="1" operator="equal">
      <formula>-1</formula>
    </cfRule>
  </conditionalFormatting>
  <conditionalFormatting sqref="AX36">
    <cfRule type="cellIs" dxfId="30723" priority="94303" stopIfTrue="1" operator="lessThan">
      <formula>0.5</formula>
    </cfRule>
  </conditionalFormatting>
  <conditionalFormatting sqref="AX36">
    <cfRule type="cellIs" dxfId="30722" priority="94304" stopIfTrue="1" operator="greaterThanOrEqual">
      <formula>0.5</formula>
    </cfRule>
  </conditionalFormatting>
  <conditionalFormatting sqref="AX37">
    <cfRule type="cellIs" dxfId="30721" priority="94305" stopIfTrue="1" operator="equal">
      <formula>-1</formula>
    </cfRule>
  </conditionalFormatting>
  <conditionalFormatting sqref="AX37">
    <cfRule type="cellIs" dxfId="30720" priority="94306" stopIfTrue="1" operator="lessThan">
      <formula>0.5</formula>
    </cfRule>
  </conditionalFormatting>
  <conditionalFormatting sqref="AX37">
    <cfRule type="cellIs" dxfId="30719" priority="94307" stopIfTrue="1" operator="greaterThanOrEqual">
      <formula>0.5</formula>
    </cfRule>
  </conditionalFormatting>
  <conditionalFormatting sqref="AZ17">
    <cfRule type="cellIs" dxfId="30718" priority="94308" stopIfTrue="1" operator="equal">
      <formula>-1</formula>
    </cfRule>
  </conditionalFormatting>
  <conditionalFormatting sqref="AZ17">
    <cfRule type="cellIs" dxfId="30717" priority="94309" stopIfTrue="1" operator="lessThan">
      <formula>0.5</formula>
    </cfRule>
  </conditionalFormatting>
  <conditionalFormatting sqref="AZ17">
    <cfRule type="cellIs" dxfId="30716" priority="94310" stopIfTrue="1" operator="greaterThanOrEqual">
      <formula>0.5</formula>
    </cfRule>
  </conditionalFormatting>
  <conditionalFormatting sqref="AZ18">
    <cfRule type="cellIs" dxfId="30715" priority="94311" stopIfTrue="1" operator="equal">
      <formula>-1</formula>
    </cfRule>
  </conditionalFormatting>
  <conditionalFormatting sqref="AZ18">
    <cfRule type="cellIs" dxfId="30714" priority="94312" stopIfTrue="1" operator="lessThan">
      <formula>0.5</formula>
    </cfRule>
  </conditionalFormatting>
  <conditionalFormatting sqref="AZ18">
    <cfRule type="cellIs" dxfId="30713" priority="94313" stopIfTrue="1" operator="greaterThanOrEqual">
      <formula>0.5</formula>
    </cfRule>
  </conditionalFormatting>
  <conditionalFormatting sqref="AZ19">
    <cfRule type="cellIs" dxfId="30712" priority="94314" stopIfTrue="1" operator="equal">
      <formula>-1</formula>
    </cfRule>
  </conditionalFormatting>
  <conditionalFormatting sqref="AZ19">
    <cfRule type="cellIs" dxfId="30711" priority="94315" stopIfTrue="1" operator="lessThan">
      <formula>0.5</formula>
    </cfRule>
  </conditionalFormatting>
  <conditionalFormatting sqref="AZ19">
    <cfRule type="cellIs" dxfId="30710" priority="94316" stopIfTrue="1" operator="greaterThanOrEqual">
      <formula>0.5</formula>
    </cfRule>
  </conditionalFormatting>
  <conditionalFormatting sqref="AZ20">
    <cfRule type="cellIs" dxfId="30709" priority="94317" stopIfTrue="1" operator="equal">
      <formula>-1</formula>
    </cfRule>
  </conditionalFormatting>
  <conditionalFormatting sqref="AZ20">
    <cfRule type="cellIs" dxfId="30708" priority="94318" stopIfTrue="1" operator="lessThan">
      <formula>0.5</formula>
    </cfRule>
  </conditionalFormatting>
  <conditionalFormatting sqref="AZ20">
    <cfRule type="cellIs" dxfId="30707" priority="94319" stopIfTrue="1" operator="greaterThanOrEqual">
      <formula>0.5</formula>
    </cfRule>
  </conditionalFormatting>
  <conditionalFormatting sqref="AZ21">
    <cfRule type="cellIs" dxfId="30706" priority="94320" stopIfTrue="1" operator="equal">
      <formula>-1</formula>
    </cfRule>
  </conditionalFormatting>
  <conditionalFormatting sqref="AZ21">
    <cfRule type="cellIs" dxfId="30705" priority="94321" stopIfTrue="1" operator="lessThan">
      <formula>0.5</formula>
    </cfRule>
  </conditionalFormatting>
  <conditionalFormatting sqref="AZ21">
    <cfRule type="cellIs" dxfId="30704" priority="94322" stopIfTrue="1" operator="greaterThanOrEqual">
      <formula>0.5</formula>
    </cfRule>
  </conditionalFormatting>
  <conditionalFormatting sqref="AZ22">
    <cfRule type="cellIs" dxfId="30703" priority="94323" stopIfTrue="1" operator="equal">
      <formula>-1</formula>
    </cfRule>
  </conditionalFormatting>
  <conditionalFormatting sqref="AZ22">
    <cfRule type="cellIs" dxfId="30702" priority="94324" stopIfTrue="1" operator="lessThan">
      <formula>0.5</formula>
    </cfRule>
  </conditionalFormatting>
  <conditionalFormatting sqref="AZ22">
    <cfRule type="cellIs" dxfId="30701" priority="94325" stopIfTrue="1" operator="greaterThanOrEqual">
      <formula>0.5</formula>
    </cfRule>
  </conditionalFormatting>
  <conditionalFormatting sqref="AZ23">
    <cfRule type="cellIs" dxfId="30700" priority="94326" stopIfTrue="1" operator="equal">
      <formula>-1</formula>
    </cfRule>
  </conditionalFormatting>
  <conditionalFormatting sqref="AZ23">
    <cfRule type="cellIs" dxfId="30699" priority="94327" stopIfTrue="1" operator="lessThan">
      <formula>0.5</formula>
    </cfRule>
  </conditionalFormatting>
  <conditionalFormatting sqref="AZ23">
    <cfRule type="cellIs" dxfId="30698" priority="94328" stopIfTrue="1" operator="greaterThanOrEqual">
      <formula>0.5</formula>
    </cfRule>
  </conditionalFormatting>
  <conditionalFormatting sqref="AZ24">
    <cfRule type="cellIs" dxfId="30697" priority="94329" stopIfTrue="1" operator="equal">
      <formula>-1</formula>
    </cfRule>
  </conditionalFormatting>
  <conditionalFormatting sqref="AZ24">
    <cfRule type="cellIs" dxfId="30696" priority="94330" stopIfTrue="1" operator="lessThan">
      <formula>0.5</formula>
    </cfRule>
  </conditionalFormatting>
  <conditionalFormatting sqref="AZ24">
    <cfRule type="cellIs" dxfId="30695" priority="94331" stopIfTrue="1" operator="greaterThanOrEqual">
      <formula>0.5</formula>
    </cfRule>
  </conditionalFormatting>
  <conditionalFormatting sqref="AZ25">
    <cfRule type="cellIs" dxfId="30694" priority="94332" stopIfTrue="1" operator="equal">
      <formula>-1</formula>
    </cfRule>
  </conditionalFormatting>
  <conditionalFormatting sqref="AZ25">
    <cfRule type="cellIs" dxfId="30693" priority="94333" stopIfTrue="1" operator="lessThan">
      <formula>0.5</formula>
    </cfRule>
  </conditionalFormatting>
  <conditionalFormatting sqref="AZ25">
    <cfRule type="cellIs" dxfId="30692" priority="94334" stopIfTrue="1" operator="greaterThanOrEqual">
      <formula>0.5</formula>
    </cfRule>
  </conditionalFormatting>
  <conditionalFormatting sqref="AZ26">
    <cfRule type="cellIs" dxfId="30691" priority="94335" stopIfTrue="1" operator="equal">
      <formula>-1</formula>
    </cfRule>
  </conditionalFormatting>
  <conditionalFormatting sqref="AZ26">
    <cfRule type="cellIs" dxfId="30690" priority="94336" stopIfTrue="1" operator="lessThan">
      <formula>0.5</formula>
    </cfRule>
  </conditionalFormatting>
  <conditionalFormatting sqref="AZ26">
    <cfRule type="cellIs" dxfId="30689" priority="94337" stopIfTrue="1" operator="greaterThanOrEqual">
      <formula>0.5</formula>
    </cfRule>
  </conditionalFormatting>
  <conditionalFormatting sqref="AZ27">
    <cfRule type="cellIs" dxfId="30688" priority="94338" stopIfTrue="1" operator="equal">
      <formula>-1</formula>
    </cfRule>
  </conditionalFormatting>
  <conditionalFormatting sqref="AZ27">
    <cfRule type="cellIs" dxfId="30687" priority="94339" stopIfTrue="1" operator="lessThan">
      <formula>0.5</formula>
    </cfRule>
  </conditionalFormatting>
  <conditionalFormatting sqref="AZ27">
    <cfRule type="cellIs" dxfId="30686" priority="94340" stopIfTrue="1" operator="greaterThanOrEqual">
      <formula>0.5</formula>
    </cfRule>
  </conditionalFormatting>
  <conditionalFormatting sqref="AZ28">
    <cfRule type="cellIs" dxfId="30685" priority="94341" stopIfTrue="1" operator="equal">
      <formula>-1</formula>
    </cfRule>
  </conditionalFormatting>
  <conditionalFormatting sqref="AZ28">
    <cfRule type="cellIs" dxfId="30684" priority="94342" stopIfTrue="1" operator="lessThan">
      <formula>0.5</formula>
    </cfRule>
  </conditionalFormatting>
  <conditionalFormatting sqref="AZ28">
    <cfRule type="cellIs" dxfId="30683" priority="94343" stopIfTrue="1" operator="greaterThanOrEqual">
      <formula>0.5</formula>
    </cfRule>
  </conditionalFormatting>
  <conditionalFormatting sqref="AZ29">
    <cfRule type="cellIs" dxfId="30682" priority="94344" stopIfTrue="1" operator="equal">
      <formula>-1</formula>
    </cfRule>
  </conditionalFormatting>
  <conditionalFormatting sqref="AZ29">
    <cfRule type="cellIs" dxfId="30681" priority="94345" stopIfTrue="1" operator="lessThan">
      <formula>0.5</formula>
    </cfRule>
  </conditionalFormatting>
  <conditionalFormatting sqref="AZ29">
    <cfRule type="cellIs" dxfId="30680" priority="94346" stopIfTrue="1" operator="greaterThanOrEqual">
      <formula>0.5</formula>
    </cfRule>
  </conditionalFormatting>
  <conditionalFormatting sqref="AZ30">
    <cfRule type="cellIs" dxfId="30679" priority="94347" stopIfTrue="1" operator="equal">
      <formula>-1</formula>
    </cfRule>
  </conditionalFormatting>
  <conditionalFormatting sqref="AZ30">
    <cfRule type="cellIs" dxfId="30678" priority="94348" stopIfTrue="1" operator="lessThan">
      <formula>0.5</formula>
    </cfRule>
  </conditionalFormatting>
  <conditionalFormatting sqref="AZ30">
    <cfRule type="cellIs" dxfId="30677" priority="94349" stopIfTrue="1" operator="greaterThanOrEqual">
      <formula>0.5</formula>
    </cfRule>
  </conditionalFormatting>
  <conditionalFormatting sqref="AZ31">
    <cfRule type="cellIs" dxfId="30676" priority="94350" stopIfTrue="1" operator="equal">
      <formula>-1</formula>
    </cfRule>
  </conditionalFormatting>
  <conditionalFormatting sqref="AZ31">
    <cfRule type="cellIs" dxfId="30675" priority="94351" stopIfTrue="1" operator="lessThan">
      <formula>0.5</formula>
    </cfRule>
  </conditionalFormatting>
  <conditionalFormatting sqref="AZ31">
    <cfRule type="cellIs" dxfId="30674" priority="94352" stopIfTrue="1" operator="greaterThanOrEqual">
      <formula>0.5</formula>
    </cfRule>
  </conditionalFormatting>
  <conditionalFormatting sqref="AZ32">
    <cfRule type="cellIs" dxfId="30673" priority="94353" stopIfTrue="1" operator="equal">
      <formula>-1</formula>
    </cfRule>
  </conditionalFormatting>
  <conditionalFormatting sqref="AZ32">
    <cfRule type="cellIs" dxfId="30672" priority="94354" stopIfTrue="1" operator="lessThan">
      <formula>0.5</formula>
    </cfRule>
  </conditionalFormatting>
  <conditionalFormatting sqref="AZ32">
    <cfRule type="cellIs" dxfId="30671" priority="94355" stopIfTrue="1" operator="greaterThanOrEqual">
      <formula>0.5</formula>
    </cfRule>
  </conditionalFormatting>
  <conditionalFormatting sqref="AZ33">
    <cfRule type="cellIs" dxfId="30670" priority="94356" stopIfTrue="1" operator="equal">
      <formula>-1</formula>
    </cfRule>
  </conditionalFormatting>
  <conditionalFormatting sqref="AZ33">
    <cfRule type="cellIs" dxfId="30669" priority="94357" stopIfTrue="1" operator="lessThan">
      <formula>0.5</formula>
    </cfRule>
  </conditionalFormatting>
  <conditionalFormatting sqref="AZ33">
    <cfRule type="cellIs" dxfId="30668" priority="94358" stopIfTrue="1" operator="greaterThanOrEqual">
      <formula>0.5</formula>
    </cfRule>
  </conditionalFormatting>
  <conditionalFormatting sqref="AZ34">
    <cfRule type="cellIs" dxfId="30667" priority="94359" stopIfTrue="1" operator="equal">
      <formula>-1</formula>
    </cfRule>
  </conditionalFormatting>
  <conditionalFormatting sqref="AZ34">
    <cfRule type="cellIs" dxfId="30666" priority="94360" stopIfTrue="1" operator="lessThan">
      <formula>0.5</formula>
    </cfRule>
  </conditionalFormatting>
  <conditionalFormatting sqref="AZ34">
    <cfRule type="cellIs" dxfId="30665" priority="94361" stopIfTrue="1" operator="greaterThanOrEqual">
      <formula>0.5</formula>
    </cfRule>
  </conditionalFormatting>
  <conditionalFormatting sqref="AZ35">
    <cfRule type="cellIs" dxfId="30664" priority="94362" stopIfTrue="1" operator="equal">
      <formula>-1</formula>
    </cfRule>
  </conditionalFormatting>
  <conditionalFormatting sqref="AZ35">
    <cfRule type="cellIs" dxfId="30663" priority="94363" stopIfTrue="1" operator="lessThan">
      <formula>0.5</formula>
    </cfRule>
  </conditionalFormatting>
  <conditionalFormatting sqref="AZ35">
    <cfRule type="cellIs" dxfId="30662" priority="94364" stopIfTrue="1" operator="greaterThanOrEqual">
      <formula>0.5</formula>
    </cfRule>
  </conditionalFormatting>
  <conditionalFormatting sqref="AZ36">
    <cfRule type="cellIs" dxfId="30661" priority="94365" stopIfTrue="1" operator="equal">
      <formula>-1</formula>
    </cfRule>
  </conditionalFormatting>
  <conditionalFormatting sqref="AZ36">
    <cfRule type="cellIs" dxfId="30660" priority="94366" stopIfTrue="1" operator="lessThan">
      <formula>0.5</formula>
    </cfRule>
  </conditionalFormatting>
  <conditionalFormatting sqref="AZ36">
    <cfRule type="cellIs" dxfId="30659" priority="94367" stopIfTrue="1" operator="greaterThanOrEqual">
      <formula>0.5</formula>
    </cfRule>
  </conditionalFormatting>
  <conditionalFormatting sqref="AZ37">
    <cfRule type="cellIs" dxfId="30658" priority="94368" stopIfTrue="1" operator="equal">
      <formula>-1</formula>
    </cfRule>
  </conditionalFormatting>
  <conditionalFormatting sqref="AZ37">
    <cfRule type="cellIs" dxfId="30657" priority="94369" stopIfTrue="1" operator="lessThan">
      <formula>0.5</formula>
    </cfRule>
  </conditionalFormatting>
  <conditionalFormatting sqref="AZ37">
    <cfRule type="cellIs" dxfId="30656" priority="94370" stopIfTrue="1" operator="greaterThanOrEqual">
      <formula>0.5</formula>
    </cfRule>
  </conditionalFormatting>
  <conditionalFormatting sqref="BB17">
    <cfRule type="cellIs" dxfId="30655" priority="94371" stopIfTrue="1" operator="equal">
      <formula>-1</formula>
    </cfRule>
  </conditionalFormatting>
  <conditionalFormatting sqref="BB17">
    <cfRule type="cellIs" dxfId="30654" priority="94372" stopIfTrue="1" operator="lessThan">
      <formula>0.5</formula>
    </cfRule>
  </conditionalFormatting>
  <conditionalFormatting sqref="BB17">
    <cfRule type="cellIs" dxfId="30653" priority="94373" stopIfTrue="1" operator="greaterThanOrEqual">
      <formula>0.5</formula>
    </cfRule>
  </conditionalFormatting>
  <conditionalFormatting sqref="BB18">
    <cfRule type="cellIs" dxfId="30652" priority="94374" stopIfTrue="1" operator="equal">
      <formula>-1</formula>
    </cfRule>
  </conditionalFormatting>
  <conditionalFormatting sqref="BB18">
    <cfRule type="cellIs" dxfId="30651" priority="94375" stopIfTrue="1" operator="lessThan">
      <formula>0.5</formula>
    </cfRule>
  </conditionalFormatting>
  <conditionalFormatting sqref="BB18">
    <cfRule type="cellIs" dxfId="30650" priority="94376" stopIfTrue="1" operator="greaterThanOrEqual">
      <formula>0.5</formula>
    </cfRule>
  </conditionalFormatting>
  <conditionalFormatting sqref="BB19">
    <cfRule type="cellIs" dxfId="30649" priority="94377" stopIfTrue="1" operator="equal">
      <formula>-1</formula>
    </cfRule>
  </conditionalFormatting>
  <conditionalFormatting sqref="BB19">
    <cfRule type="cellIs" dxfId="30648" priority="94378" stopIfTrue="1" operator="lessThan">
      <formula>0.5</formula>
    </cfRule>
  </conditionalFormatting>
  <conditionalFormatting sqref="BB19">
    <cfRule type="cellIs" dxfId="30647" priority="94379" stopIfTrue="1" operator="greaterThanOrEqual">
      <formula>0.5</formula>
    </cfRule>
  </conditionalFormatting>
  <conditionalFormatting sqref="BB20">
    <cfRule type="cellIs" dxfId="30646" priority="94380" stopIfTrue="1" operator="equal">
      <formula>-1</formula>
    </cfRule>
  </conditionalFormatting>
  <conditionalFormatting sqref="BB20">
    <cfRule type="cellIs" dxfId="30645" priority="94381" stopIfTrue="1" operator="lessThan">
      <formula>0.5</formula>
    </cfRule>
  </conditionalFormatting>
  <conditionalFormatting sqref="BB20">
    <cfRule type="cellIs" dxfId="30644" priority="94382" stopIfTrue="1" operator="greaterThanOrEqual">
      <formula>0.5</formula>
    </cfRule>
  </conditionalFormatting>
  <conditionalFormatting sqref="BB21">
    <cfRule type="cellIs" dxfId="30643" priority="94383" stopIfTrue="1" operator="equal">
      <formula>-1</formula>
    </cfRule>
  </conditionalFormatting>
  <conditionalFormatting sqref="BB21">
    <cfRule type="cellIs" dxfId="30642" priority="94384" stopIfTrue="1" operator="lessThan">
      <formula>0.5</formula>
    </cfRule>
  </conditionalFormatting>
  <conditionalFormatting sqref="BB21">
    <cfRule type="cellIs" dxfId="30641" priority="94385" stopIfTrue="1" operator="greaterThanOrEqual">
      <formula>0.5</formula>
    </cfRule>
  </conditionalFormatting>
  <conditionalFormatting sqref="BB22">
    <cfRule type="cellIs" dxfId="30640" priority="94386" stopIfTrue="1" operator="equal">
      <formula>-1</formula>
    </cfRule>
  </conditionalFormatting>
  <conditionalFormatting sqref="BB22">
    <cfRule type="cellIs" dxfId="30639" priority="94387" stopIfTrue="1" operator="lessThan">
      <formula>0.5</formula>
    </cfRule>
  </conditionalFormatting>
  <conditionalFormatting sqref="BB22">
    <cfRule type="cellIs" dxfId="30638" priority="94388" stopIfTrue="1" operator="greaterThanOrEqual">
      <formula>0.5</formula>
    </cfRule>
  </conditionalFormatting>
  <conditionalFormatting sqref="BB23">
    <cfRule type="cellIs" dxfId="30637" priority="94389" stopIfTrue="1" operator="equal">
      <formula>-1</formula>
    </cfRule>
  </conditionalFormatting>
  <conditionalFormatting sqref="BB23">
    <cfRule type="cellIs" dxfId="30636" priority="94390" stopIfTrue="1" operator="lessThan">
      <formula>0.5</formula>
    </cfRule>
  </conditionalFormatting>
  <conditionalFormatting sqref="BB23">
    <cfRule type="cellIs" dxfId="30635" priority="94391" stopIfTrue="1" operator="greaterThanOrEqual">
      <formula>0.5</formula>
    </cfRule>
  </conditionalFormatting>
  <conditionalFormatting sqref="BB24">
    <cfRule type="cellIs" dxfId="30634" priority="94392" stopIfTrue="1" operator="equal">
      <formula>-1</formula>
    </cfRule>
  </conditionalFormatting>
  <conditionalFormatting sqref="BB24">
    <cfRule type="cellIs" dxfId="30633" priority="94393" stopIfTrue="1" operator="lessThan">
      <formula>0.5</formula>
    </cfRule>
  </conditionalFormatting>
  <conditionalFormatting sqref="BB24">
    <cfRule type="cellIs" dxfId="30632" priority="94394" stopIfTrue="1" operator="greaterThanOrEqual">
      <formula>0.5</formula>
    </cfRule>
  </conditionalFormatting>
  <conditionalFormatting sqref="BB25">
    <cfRule type="cellIs" dxfId="30631" priority="94395" stopIfTrue="1" operator="equal">
      <formula>-1</formula>
    </cfRule>
  </conditionalFormatting>
  <conditionalFormatting sqref="BB25">
    <cfRule type="cellIs" dxfId="30630" priority="94396" stopIfTrue="1" operator="lessThan">
      <formula>0.5</formula>
    </cfRule>
  </conditionalFormatting>
  <conditionalFormatting sqref="BB25">
    <cfRule type="cellIs" dxfId="30629" priority="94397" stopIfTrue="1" operator="greaterThanOrEqual">
      <formula>0.5</formula>
    </cfRule>
  </conditionalFormatting>
  <conditionalFormatting sqref="BB26">
    <cfRule type="cellIs" dxfId="30628" priority="94398" stopIfTrue="1" operator="equal">
      <formula>-1</formula>
    </cfRule>
  </conditionalFormatting>
  <conditionalFormatting sqref="BB26">
    <cfRule type="cellIs" dxfId="30627" priority="94399" stopIfTrue="1" operator="lessThan">
      <formula>0.5</formula>
    </cfRule>
  </conditionalFormatting>
  <conditionalFormatting sqref="BB26">
    <cfRule type="cellIs" dxfId="30626" priority="94400" stopIfTrue="1" operator="greaterThanOrEqual">
      <formula>0.5</formula>
    </cfRule>
  </conditionalFormatting>
  <conditionalFormatting sqref="BB27">
    <cfRule type="cellIs" dxfId="30625" priority="94401" stopIfTrue="1" operator="equal">
      <formula>-1</formula>
    </cfRule>
  </conditionalFormatting>
  <conditionalFormatting sqref="BB27">
    <cfRule type="cellIs" dxfId="30624" priority="94402" stopIfTrue="1" operator="lessThan">
      <formula>0.5</formula>
    </cfRule>
  </conditionalFormatting>
  <conditionalFormatting sqref="BB27">
    <cfRule type="cellIs" dxfId="30623" priority="94403" stopIfTrue="1" operator="greaterThanOrEqual">
      <formula>0.5</formula>
    </cfRule>
  </conditionalFormatting>
  <conditionalFormatting sqref="BB28">
    <cfRule type="cellIs" dxfId="30622" priority="94404" stopIfTrue="1" operator="equal">
      <formula>-1</formula>
    </cfRule>
  </conditionalFormatting>
  <conditionalFormatting sqref="BB28">
    <cfRule type="cellIs" dxfId="30621" priority="94405" stopIfTrue="1" operator="lessThan">
      <formula>0.5</formula>
    </cfRule>
  </conditionalFormatting>
  <conditionalFormatting sqref="BB28">
    <cfRule type="cellIs" dxfId="30620" priority="94406" stopIfTrue="1" operator="greaterThanOrEqual">
      <formula>0.5</formula>
    </cfRule>
  </conditionalFormatting>
  <conditionalFormatting sqref="BB29">
    <cfRule type="cellIs" dxfId="30619" priority="94407" stopIfTrue="1" operator="equal">
      <formula>-1</formula>
    </cfRule>
  </conditionalFormatting>
  <conditionalFormatting sqref="BB29">
    <cfRule type="cellIs" dxfId="30618" priority="94408" stopIfTrue="1" operator="lessThan">
      <formula>0.5</formula>
    </cfRule>
  </conditionalFormatting>
  <conditionalFormatting sqref="BB29">
    <cfRule type="cellIs" dxfId="30617" priority="94409" stopIfTrue="1" operator="greaterThanOrEqual">
      <formula>0.5</formula>
    </cfRule>
  </conditionalFormatting>
  <conditionalFormatting sqref="BB30">
    <cfRule type="cellIs" dxfId="30616" priority="94410" stopIfTrue="1" operator="equal">
      <formula>-1</formula>
    </cfRule>
  </conditionalFormatting>
  <conditionalFormatting sqref="BB30">
    <cfRule type="cellIs" dxfId="30615" priority="94411" stopIfTrue="1" operator="lessThan">
      <formula>0.5</formula>
    </cfRule>
  </conditionalFormatting>
  <conditionalFormatting sqref="BB30">
    <cfRule type="cellIs" dxfId="30614" priority="94412" stopIfTrue="1" operator="greaterThanOrEqual">
      <formula>0.5</formula>
    </cfRule>
  </conditionalFormatting>
  <conditionalFormatting sqref="BB31">
    <cfRule type="cellIs" dxfId="30613" priority="94413" stopIfTrue="1" operator="equal">
      <formula>-1</formula>
    </cfRule>
  </conditionalFormatting>
  <conditionalFormatting sqref="BB31">
    <cfRule type="cellIs" dxfId="30612" priority="94414" stopIfTrue="1" operator="lessThan">
      <formula>0.5</formula>
    </cfRule>
  </conditionalFormatting>
  <conditionalFormatting sqref="BB31">
    <cfRule type="cellIs" dxfId="30611" priority="94415" stopIfTrue="1" operator="greaterThanOrEqual">
      <formula>0.5</formula>
    </cfRule>
  </conditionalFormatting>
  <conditionalFormatting sqref="BB32">
    <cfRule type="cellIs" dxfId="30610" priority="94416" stopIfTrue="1" operator="equal">
      <formula>-1</formula>
    </cfRule>
  </conditionalFormatting>
  <conditionalFormatting sqref="BB32">
    <cfRule type="cellIs" dxfId="30609" priority="94417" stopIfTrue="1" operator="lessThan">
      <formula>0.5</formula>
    </cfRule>
  </conditionalFormatting>
  <conditionalFormatting sqref="BB32">
    <cfRule type="cellIs" dxfId="30608" priority="94418" stopIfTrue="1" operator="greaterThanOrEqual">
      <formula>0.5</formula>
    </cfRule>
  </conditionalFormatting>
  <conditionalFormatting sqref="BB33">
    <cfRule type="cellIs" dxfId="30607" priority="94419" stopIfTrue="1" operator="equal">
      <formula>-1</formula>
    </cfRule>
  </conditionalFormatting>
  <conditionalFormatting sqref="BB33">
    <cfRule type="cellIs" dxfId="30606" priority="94420" stopIfTrue="1" operator="lessThan">
      <formula>0.5</formula>
    </cfRule>
  </conditionalFormatting>
  <conditionalFormatting sqref="BB33">
    <cfRule type="cellIs" dxfId="30605" priority="94421" stopIfTrue="1" operator="greaterThanOrEqual">
      <formula>0.5</formula>
    </cfRule>
  </conditionalFormatting>
  <conditionalFormatting sqref="BB34">
    <cfRule type="cellIs" dxfId="30604" priority="94422" stopIfTrue="1" operator="equal">
      <formula>-1</formula>
    </cfRule>
  </conditionalFormatting>
  <conditionalFormatting sqref="BB34">
    <cfRule type="cellIs" dxfId="30603" priority="94423" stopIfTrue="1" operator="lessThan">
      <formula>0.5</formula>
    </cfRule>
  </conditionalFormatting>
  <conditionalFormatting sqref="BB34">
    <cfRule type="cellIs" dxfId="30602" priority="94424" stopIfTrue="1" operator="greaterThanOrEqual">
      <formula>0.5</formula>
    </cfRule>
  </conditionalFormatting>
  <conditionalFormatting sqref="BB35">
    <cfRule type="cellIs" dxfId="30601" priority="94425" stopIfTrue="1" operator="equal">
      <formula>-1</formula>
    </cfRule>
  </conditionalFormatting>
  <conditionalFormatting sqref="BB35">
    <cfRule type="cellIs" dxfId="30600" priority="94426" stopIfTrue="1" operator="lessThan">
      <formula>0.5</formula>
    </cfRule>
  </conditionalFormatting>
  <conditionalFormatting sqref="BB35">
    <cfRule type="cellIs" dxfId="30599" priority="94427" stopIfTrue="1" operator="greaterThanOrEqual">
      <formula>0.5</formula>
    </cfRule>
  </conditionalFormatting>
  <conditionalFormatting sqref="BB36">
    <cfRule type="cellIs" dxfId="30598" priority="94428" stopIfTrue="1" operator="equal">
      <formula>-1</formula>
    </cfRule>
  </conditionalFormatting>
  <conditionalFormatting sqref="BB36">
    <cfRule type="cellIs" dxfId="30597" priority="94429" stopIfTrue="1" operator="lessThan">
      <formula>0.5</formula>
    </cfRule>
  </conditionalFormatting>
  <conditionalFormatting sqref="BB36">
    <cfRule type="cellIs" dxfId="30596" priority="94430" stopIfTrue="1" operator="greaterThanOrEqual">
      <formula>0.5</formula>
    </cfRule>
  </conditionalFormatting>
  <conditionalFormatting sqref="BB37">
    <cfRule type="cellIs" dxfId="30595" priority="94431" stopIfTrue="1" operator="equal">
      <formula>-1</formula>
    </cfRule>
  </conditionalFormatting>
  <conditionalFormatting sqref="BB37">
    <cfRule type="cellIs" dxfId="30594" priority="94432" stopIfTrue="1" operator="lessThan">
      <formula>0.5</formula>
    </cfRule>
  </conditionalFormatting>
  <conditionalFormatting sqref="BB37">
    <cfRule type="cellIs" dxfId="30593" priority="94433" stopIfTrue="1" operator="greaterThanOrEqual">
      <formula>0.5</formula>
    </cfRule>
  </conditionalFormatting>
  <conditionalFormatting sqref="BD17">
    <cfRule type="cellIs" dxfId="30592" priority="94434" stopIfTrue="1" operator="equal">
      <formula>-1</formula>
    </cfRule>
  </conditionalFormatting>
  <conditionalFormatting sqref="BD17">
    <cfRule type="cellIs" dxfId="30591" priority="94435" stopIfTrue="1" operator="lessThan">
      <formula>0.5</formula>
    </cfRule>
  </conditionalFormatting>
  <conditionalFormatting sqref="BD17">
    <cfRule type="cellIs" dxfId="30590" priority="94436" stopIfTrue="1" operator="greaterThanOrEqual">
      <formula>0.5</formula>
    </cfRule>
  </conditionalFormatting>
  <conditionalFormatting sqref="BD18">
    <cfRule type="cellIs" dxfId="30589" priority="94437" stopIfTrue="1" operator="equal">
      <formula>-1</formula>
    </cfRule>
  </conditionalFormatting>
  <conditionalFormatting sqref="BD18">
    <cfRule type="cellIs" dxfId="30588" priority="94438" stopIfTrue="1" operator="lessThan">
      <formula>0.5</formula>
    </cfRule>
  </conditionalFormatting>
  <conditionalFormatting sqref="BD18">
    <cfRule type="cellIs" dxfId="30587" priority="94439" stopIfTrue="1" operator="greaterThanOrEqual">
      <formula>0.5</formula>
    </cfRule>
  </conditionalFormatting>
  <conditionalFormatting sqref="BD19">
    <cfRule type="cellIs" dxfId="30586" priority="94440" stopIfTrue="1" operator="equal">
      <formula>-1</formula>
    </cfRule>
  </conditionalFormatting>
  <conditionalFormatting sqref="BD19">
    <cfRule type="cellIs" dxfId="30585" priority="94441" stopIfTrue="1" operator="lessThan">
      <formula>0.5</formula>
    </cfRule>
  </conditionalFormatting>
  <conditionalFormatting sqref="BD19">
    <cfRule type="cellIs" dxfId="30584" priority="94442" stopIfTrue="1" operator="greaterThanOrEqual">
      <formula>0.5</formula>
    </cfRule>
  </conditionalFormatting>
  <conditionalFormatting sqref="BD20">
    <cfRule type="cellIs" dxfId="30583" priority="94443" stopIfTrue="1" operator="equal">
      <formula>-1</formula>
    </cfRule>
  </conditionalFormatting>
  <conditionalFormatting sqref="BD20">
    <cfRule type="cellIs" dxfId="30582" priority="94444" stopIfTrue="1" operator="lessThan">
      <formula>0.5</formula>
    </cfRule>
  </conditionalFormatting>
  <conditionalFormatting sqref="BD20">
    <cfRule type="cellIs" dxfId="30581" priority="94445" stopIfTrue="1" operator="greaterThanOrEqual">
      <formula>0.5</formula>
    </cfRule>
  </conditionalFormatting>
  <conditionalFormatting sqref="BD21">
    <cfRule type="cellIs" dxfId="30580" priority="94446" stopIfTrue="1" operator="equal">
      <formula>-1</formula>
    </cfRule>
  </conditionalFormatting>
  <conditionalFormatting sqref="BD21">
    <cfRule type="cellIs" dxfId="30579" priority="94447" stopIfTrue="1" operator="lessThan">
      <formula>0.5</formula>
    </cfRule>
  </conditionalFormatting>
  <conditionalFormatting sqref="BD21">
    <cfRule type="cellIs" dxfId="30578" priority="94448" stopIfTrue="1" operator="greaterThanOrEqual">
      <formula>0.5</formula>
    </cfRule>
  </conditionalFormatting>
  <conditionalFormatting sqref="BD22">
    <cfRule type="cellIs" dxfId="30577" priority="94449" stopIfTrue="1" operator="equal">
      <formula>-1</formula>
    </cfRule>
  </conditionalFormatting>
  <conditionalFormatting sqref="BD22">
    <cfRule type="cellIs" dxfId="30576" priority="94450" stopIfTrue="1" operator="lessThan">
      <formula>0.5</formula>
    </cfRule>
  </conditionalFormatting>
  <conditionalFormatting sqref="BD22">
    <cfRule type="cellIs" dxfId="30575" priority="94451" stopIfTrue="1" operator="greaterThanOrEqual">
      <formula>0.5</formula>
    </cfRule>
  </conditionalFormatting>
  <conditionalFormatting sqref="BD23">
    <cfRule type="cellIs" dxfId="30574" priority="94452" stopIfTrue="1" operator="equal">
      <formula>-1</formula>
    </cfRule>
  </conditionalFormatting>
  <conditionalFormatting sqref="BD23">
    <cfRule type="cellIs" dxfId="30573" priority="94453" stopIfTrue="1" operator="lessThan">
      <formula>0.5</formula>
    </cfRule>
  </conditionalFormatting>
  <conditionalFormatting sqref="BD23">
    <cfRule type="cellIs" dxfId="30572" priority="94454" stopIfTrue="1" operator="greaterThanOrEqual">
      <formula>0.5</formula>
    </cfRule>
  </conditionalFormatting>
  <conditionalFormatting sqref="BD24">
    <cfRule type="cellIs" dxfId="30571" priority="94455" stopIfTrue="1" operator="equal">
      <formula>-1</formula>
    </cfRule>
  </conditionalFormatting>
  <conditionalFormatting sqref="BD24">
    <cfRule type="cellIs" dxfId="30570" priority="94456" stopIfTrue="1" operator="lessThan">
      <formula>0.5</formula>
    </cfRule>
  </conditionalFormatting>
  <conditionalFormatting sqref="BD24">
    <cfRule type="cellIs" dxfId="30569" priority="94457" stopIfTrue="1" operator="greaterThanOrEqual">
      <formula>0.5</formula>
    </cfRule>
  </conditionalFormatting>
  <conditionalFormatting sqref="BD25">
    <cfRule type="cellIs" dxfId="30568" priority="94458" stopIfTrue="1" operator="equal">
      <formula>-1</formula>
    </cfRule>
  </conditionalFormatting>
  <conditionalFormatting sqref="BD25">
    <cfRule type="cellIs" dxfId="30567" priority="94459" stopIfTrue="1" operator="lessThan">
      <formula>0.5</formula>
    </cfRule>
  </conditionalFormatting>
  <conditionalFormatting sqref="BD25">
    <cfRule type="cellIs" dxfId="30566" priority="94460" stopIfTrue="1" operator="greaterThanOrEqual">
      <formula>0.5</formula>
    </cfRule>
  </conditionalFormatting>
  <conditionalFormatting sqref="BD26">
    <cfRule type="cellIs" dxfId="30565" priority="94461" stopIfTrue="1" operator="equal">
      <formula>-1</formula>
    </cfRule>
  </conditionalFormatting>
  <conditionalFormatting sqref="BD26">
    <cfRule type="cellIs" dxfId="30564" priority="94462" stopIfTrue="1" operator="lessThan">
      <formula>0.5</formula>
    </cfRule>
  </conditionalFormatting>
  <conditionalFormatting sqref="BD26">
    <cfRule type="cellIs" dxfId="30563" priority="94463" stopIfTrue="1" operator="greaterThanOrEqual">
      <formula>0.5</formula>
    </cfRule>
  </conditionalFormatting>
  <conditionalFormatting sqref="BD27">
    <cfRule type="cellIs" dxfId="30562" priority="94464" stopIfTrue="1" operator="equal">
      <formula>-1</formula>
    </cfRule>
  </conditionalFormatting>
  <conditionalFormatting sqref="BD27">
    <cfRule type="cellIs" dxfId="30561" priority="94465" stopIfTrue="1" operator="lessThan">
      <formula>0.5</formula>
    </cfRule>
  </conditionalFormatting>
  <conditionalFormatting sqref="BD27">
    <cfRule type="cellIs" dxfId="30560" priority="94466" stopIfTrue="1" operator="greaterThanOrEqual">
      <formula>0.5</formula>
    </cfRule>
  </conditionalFormatting>
  <conditionalFormatting sqref="BD28">
    <cfRule type="cellIs" dxfId="30559" priority="94467" stopIfTrue="1" operator="equal">
      <formula>-1</formula>
    </cfRule>
  </conditionalFormatting>
  <conditionalFormatting sqref="BD28">
    <cfRule type="cellIs" dxfId="30558" priority="94468" stopIfTrue="1" operator="lessThan">
      <formula>0.5</formula>
    </cfRule>
  </conditionalFormatting>
  <conditionalFormatting sqref="BD28">
    <cfRule type="cellIs" dxfId="30557" priority="94469" stopIfTrue="1" operator="greaterThanOrEqual">
      <formula>0.5</formula>
    </cfRule>
  </conditionalFormatting>
  <conditionalFormatting sqref="BD29">
    <cfRule type="cellIs" dxfId="30556" priority="94470" stopIfTrue="1" operator="equal">
      <formula>-1</formula>
    </cfRule>
  </conditionalFormatting>
  <conditionalFormatting sqref="BD29">
    <cfRule type="cellIs" dxfId="30555" priority="94471" stopIfTrue="1" operator="lessThan">
      <formula>0.5</formula>
    </cfRule>
  </conditionalFormatting>
  <conditionalFormatting sqref="BD29">
    <cfRule type="cellIs" dxfId="30554" priority="94472" stopIfTrue="1" operator="greaterThanOrEqual">
      <formula>0.5</formula>
    </cfRule>
  </conditionalFormatting>
  <conditionalFormatting sqref="BD30">
    <cfRule type="cellIs" dxfId="30553" priority="94473" stopIfTrue="1" operator="equal">
      <formula>-1</formula>
    </cfRule>
  </conditionalFormatting>
  <conditionalFormatting sqref="BD30">
    <cfRule type="cellIs" dxfId="30552" priority="94474" stopIfTrue="1" operator="lessThan">
      <formula>0.5</formula>
    </cfRule>
  </conditionalFormatting>
  <conditionalFormatting sqref="BD30">
    <cfRule type="cellIs" dxfId="30551" priority="94475" stopIfTrue="1" operator="greaterThanOrEqual">
      <formula>0.5</formula>
    </cfRule>
  </conditionalFormatting>
  <conditionalFormatting sqref="BD31">
    <cfRule type="cellIs" dxfId="30550" priority="94476" stopIfTrue="1" operator="equal">
      <formula>-1</formula>
    </cfRule>
  </conditionalFormatting>
  <conditionalFormatting sqref="BD31">
    <cfRule type="cellIs" dxfId="30549" priority="94477" stopIfTrue="1" operator="lessThan">
      <formula>0.5</formula>
    </cfRule>
  </conditionalFormatting>
  <conditionalFormatting sqref="BD31">
    <cfRule type="cellIs" dxfId="30548" priority="94478" stopIfTrue="1" operator="greaterThanOrEqual">
      <formula>0.5</formula>
    </cfRule>
  </conditionalFormatting>
  <conditionalFormatting sqref="BD32">
    <cfRule type="cellIs" dxfId="30547" priority="94479" stopIfTrue="1" operator="equal">
      <formula>-1</formula>
    </cfRule>
  </conditionalFormatting>
  <conditionalFormatting sqref="BD32">
    <cfRule type="cellIs" dxfId="30546" priority="94480" stopIfTrue="1" operator="lessThan">
      <formula>0.5</formula>
    </cfRule>
  </conditionalFormatting>
  <conditionalFormatting sqref="BD32">
    <cfRule type="cellIs" dxfId="30545" priority="94481" stopIfTrue="1" operator="greaterThanOrEqual">
      <formula>0.5</formula>
    </cfRule>
  </conditionalFormatting>
  <conditionalFormatting sqref="BD33">
    <cfRule type="cellIs" dxfId="30544" priority="94482" stopIfTrue="1" operator="equal">
      <formula>-1</formula>
    </cfRule>
  </conditionalFormatting>
  <conditionalFormatting sqref="BD33">
    <cfRule type="cellIs" dxfId="30543" priority="94483" stopIfTrue="1" operator="lessThan">
      <formula>0.5</formula>
    </cfRule>
  </conditionalFormatting>
  <conditionalFormatting sqref="BD33">
    <cfRule type="cellIs" dxfId="30542" priority="94484" stopIfTrue="1" operator="greaterThanOrEqual">
      <formula>0.5</formula>
    </cfRule>
  </conditionalFormatting>
  <conditionalFormatting sqref="BD34">
    <cfRule type="cellIs" dxfId="30541" priority="94485" stopIfTrue="1" operator="equal">
      <formula>-1</formula>
    </cfRule>
  </conditionalFormatting>
  <conditionalFormatting sqref="BD34">
    <cfRule type="cellIs" dxfId="30540" priority="94486" stopIfTrue="1" operator="lessThan">
      <formula>0.5</formula>
    </cfRule>
  </conditionalFormatting>
  <conditionalFormatting sqref="BD34">
    <cfRule type="cellIs" dxfId="30539" priority="94487" stopIfTrue="1" operator="greaterThanOrEqual">
      <formula>0.5</formula>
    </cfRule>
  </conditionalFormatting>
  <conditionalFormatting sqref="BD35">
    <cfRule type="cellIs" dxfId="30538" priority="94488" stopIfTrue="1" operator="equal">
      <formula>-1</formula>
    </cfRule>
  </conditionalFormatting>
  <conditionalFormatting sqref="BD35">
    <cfRule type="cellIs" dxfId="30537" priority="94489" stopIfTrue="1" operator="lessThan">
      <formula>0.5</formula>
    </cfRule>
  </conditionalFormatting>
  <conditionalFormatting sqref="BD35">
    <cfRule type="cellIs" dxfId="30536" priority="94490" stopIfTrue="1" operator="greaterThanOrEqual">
      <formula>0.5</formula>
    </cfRule>
  </conditionalFormatting>
  <conditionalFormatting sqref="BD36">
    <cfRule type="cellIs" dxfId="30535" priority="94491" stopIfTrue="1" operator="equal">
      <formula>-1</formula>
    </cfRule>
  </conditionalFormatting>
  <conditionalFormatting sqref="BD36">
    <cfRule type="cellIs" dxfId="30534" priority="94492" stopIfTrue="1" operator="lessThan">
      <formula>0.5</formula>
    </cfRule>
  </conditionalFormatting>
  <conditionalFormatting sqref="BD36">
    <cfRule type="cellIs" dxfId="30533" priority="94493" stopIfTrue="1" operator="greaterThanOrEqual">
      <formula>0.5</formula>
    </cfRule>
  </conditionalFormatting>
  <conditionalFormatting sqref="BD37">
    <cfRule type="cellIs" dxfId="30532" priority="94494" stopIfTrue="1" operator="equal">
      <formula>-1</formula>
    </cfRule>
  </conditionalFormatting>
  <conditionalFormatting sqref="BD37">
    <cfRule type="cellIs" dxfId="30531" priority="94495" stopIfTrue="1" operator="lessThan">
      <formula>0.5</formula>
    </cfRule>
  </conditionalFormatting>
  <conditionalFormatting sqref="BD37">
    <cfRule type="cellIs" dxfId="30530" priority="94496" stopIfTrue="1" operator="greaterThanOrEqual">
      <formula>0.5</formula>
    </cfRule>
  </conditionalFormatting>
  <conditionalFormatting sqref="BF17">
    <cfRule type="cellIs" dxfId="30529" priority="94497" stopIfTrue="1" operator="equal">
      <formula>-1</formula>
    </cfRule>
  </conditionalFormatting>
  <conditionalFormatting sqref="BF17">
    <cfRule type="cellIs" dxfId="30528" priority="94498" stopIfTrue="1" operator="lessThan">
      <formula>0.5</formula>
    </cfRule>
  </conditionalFormatting>
  <conditionalFormatting sqref="BF17">
    <cfRule type="cellIs" dxfId="30527" priority="94499" stopIfTrue="1" operator="greaterThanOrEqual">
      <formula>0.5</formula>
    </cfRule>
  </conditionalFormatting>
  <conditionalFormatting sqref="BF18">
    <cfRule type="cellIs" dxfId="30526" priority="94500" stopIfTrue="1" operator="equal">
      <formula>-1</formula>
    </cfRule>
  </conditionalFormatting>
  <conditionalFormatting sqref="BF18">
    <cfRule type="cellIs" dxfId="30525" priority="94501" stopIfTrue="1" operator="lessThan">
      <formula>0.5</formula>
    </cfRule>
  </conditionalFormatting>
  <conditionalFormatting sqref="BF18">
    <cfRule type="cellIs" dxfId="30524" priority="94502" stopIfTrue="1" operator="greaterThanOrEqual">
      <formula>0.5</formula>
    </cfRule>
  </conditionalFormatting>
  <conditionalFormatting sqref="BF19">
    <cfRule type="cellIs" dxfId="30523" priority="94503" stopIfTrue="1" operator="equal">
      <formula>-1</formula>
    </cfRule>
  </conditionalFormatting>
  <conditionalFormatting sqref="BF19">
    <cfRule type="cellIs" dxfId="30522" priority="94504" stopIfTrue="1" operator="lessThan">
      <formula>0.5</formula>
    </cfRule>
  </conditionalFormatting>
  <conditionalFormatting sqref="BF19">
    <cfRule type="cellIs" dxfId="30521" priority="94505" stopIfTrue="1" operator="greaterThanOrEqual">
      <formula>0.5</formula>
    </cfRule>
  </conditionalFormatting>
  <conditionalFormatting sqref="BF20">
    <cfRule type="cellIs" dxfId="30520" priority="94506" stopIfTrue="1" operator="equal">
      <formula>-1</formula>
    </cfRule>
  </conditionalFormatting>
  <conditionalFormatting sqref="BF20">
    <cfRule type="cellIs" dxfId="30519" priority="94507" stopIfTrue="1" operator="lessThan">
      <formula>0.5</formula>
    </cfRule>
  </conditionalFormatting>
  <conditionalFormatting sqref="BF20">
    <cfRule type="cellIs" dxfId="30518" priority="94508" stopIfTrue="1" operator="greaterThanOrEqual">
      <formula>0.5</formula>
    </cfRule>
  </conditionalFormatting>
  <conditionalFormatting sqref="BF21">
    <cfRule type="cellIs" dxfId="30517" priority="94509" stopIfTrue="1" operator="equal">
      <formula>-1</formula>
    </cfRule>
  </conditionalFormatting>
  <conditionalFormatting sqref="BF21">
    <cfRule type="cellIs" dxfId="30516" priority="94510" stopIfTrue="1" operator="lessThan">
      <formula>0.5</formula>
    </cfRule>
  </conditionalFormatting>
  <conditionalFormatting sqref="BF21">
    <cfRule type="cellIs" dxfId="30515" priority="94511" stopIfTrue="1" operator="greaterThanOrEqual">
      <formula>0.5</formula>
    </cfRule>
  </conditionalFormatting>
  <conditionalFormatting sqref="BF22">
    <cfRule type="cellIs" dxfId="30514" priority="94512" stopIfTrue="1" operator="equal">
      <formula>-1</formula>
    </cfRule>
  </conditionalFormatting>
  <conditionalFormatting sqref="BF22">
    <cfRule type="cellIs" dxfId="30513" priority="94513" stopIfTrue="1" operator="lessThan">
      <formula>0.5</formula>
    </cfRule>
  </conditionalFormatting>
  <conditionalFormatting sqref="BF22">
    <cfRule type="cellIs" dxfId="30512" priority="94514" stopIfTrue="1" operator="greaterThanOrEqual">
      <formula>0.5</formula>
    </cfRule>
  </conditionalFormatting>
  <conditionalFormatting sqref="BF23">
    <cfRule type="cellIs" dxfId="30511" priority="94515" stopIfTrue="1" operator="equal">
      <formula>-1</formula>
    </cfRule>
  </conditionalFormatting>
  <conditionalFormatting sqref="BF23">
    <cfRule type="cellIs" dxfId="30510" priority="94516" stopIfTrue="1" operator="lessThan">
      <formula>0.5</formula>
    </cfRule>
  </conditionalFormatting>
  <conditionalFormatting sqref="BF23">
    <cfRule type="cellIs" dxfId="30509" priority="94517" stopIfTrue="1" operator="greaterThanOrEqual">
      <formula>0.5</formula>
    </cfRule>
  </conditionalFormatting>
  <conditionalFormatting sqref="BF24">
    <cfRule type="cellIs" dxfId="30508" priority="94518" stopIfTrue="1" operator="equal">
      <formula>-1</formula>
    </cfRule>
  </conditionalFormatting>
  <conditionalFormatting sqref="BF24">
    <cfRule type="cellIs" dxfId="30507" priority="94519" stopIfTrue="1" operator="lessThan">
      <formula>0.5</formula>
    </cfRule>
  </conditionalFormatting>
  <conditionalFormatting sqref="BF24">
    <cfRule type="cellIs" dxfId="30506" priority="94520" stopIfTrue="1" operator="greaterThanOrEqual">
      <formula>0.5</formula>
    </cfRule>
  </conditionalFormatting>
  <conditionalFormatting sqref="BF25">
    <cfRule type="cellIs" dxfId="30505" priority="94521" stopIfTrue="1" operator="equal">
      <formula>-1</formula>
    </cfRule>
  </conditionalFormatting>
  <conditionalFormatting sqref="BF25">
    <cfRule type="cellIs" dxfId="30504" priority="94522" stopIfTrue="1" operator="lessThan">
      <formula>0.5</formula>
    </cfRule>
  </conditionalFormatting>
  <conditionalFormatting sqref="BF25">
    <cfRule type="cellIs" dxfId="30503" priority="94523" stopIfTrue="1" operator="greaterThanOrEqual">
      <formula>0.5</formula>
    </cfRule>
  </conditionalFormatting>
  <conditionalFormatting sqref="BF26">
    <cfRule type="cellIs" dxfId="30502" priority="94524" stopIfTrue="1" operator="equal">
      <formula>-1</formula>
    </cfRule>
  </conditionalFormatting>
  <conditionalFormatting sqref="BF26">
    <cfRule type="cellIs" dxfId="30501" priority="94525" stopIfTrue="1" operator="lessThan">
      <formula>0.5</formula>
    </cfRule>
  </conditionalFormatting>
  <conditionalFormatting sqref="BF26">
    <cfRule type="cellIs" dxfId="30500" priority="94526" stopIfTrue="1" operator="greaterThanOrEqual">
      <formula>0.5</formula>
    </cfRule>
  </conditionalFormatting>
  <conditionalFormatting sqref="BF27">
    <cfRule type="cellIs" dxfId="30499" priority="94527" stopIfTrue="1" operator="equal">
      <formula>-1</formula>
    </cfRule>
  </conditionalFormatting>
  <conditionalFormatting sqref="BF27">
    <cfRule type="cellIs" dxfId="30498" priority="94528" stopIfTrue="1" operator="lessThan">
      <formula>0.5</formula>
    </cfRule>
  </conditionalFormatting>
  <conditionalFormatting sqref="BF27">
    <cfRule type="cellIs" dxfId="30497" priority="94529" stopIfTrue="1" operator="greaterThanOrEqual">
      <formula>0.5</formula>
    </cfRule>
  </conditionalFormatting>
  <conditionalFormatting sqref="BF28">
    <cfRule type="cellIs" dxfId="30496" priority="94530" stopIfTrue="1" operator="equal">
      <formula>-1</formula>
    </cfRule>
  </conditionalFormatting>
  <conditionalFormatting sqref="BF28">
    <cfRule type="cellIs" dxfId="30495" priority="94531" stopIfTrue="1" operator="lessThan">
      <formula>0.5</formula>
    </cfRule>
  </conditionalFormatting>
  <conditionalFormatting sqref="BF28">
    <cfRule type="cellIs" dxfId="30494" priority="94532" stopIfTrue="1" operator="greaterThanOrEqual">
      <formula>0.5</formula>
    </cfRule>
  </conditionalFormatting>
  <conditionalFormatting sqref="BF29">
    <cfRule type="cellIs" dxfId="30493" priority="94533" stopIfTrue="1" operator="equal">
      <formula>-1</formula>
    </cfRule>
  </conditionalFormatting>
  <conditionalFormatting sqref="BF29">
    <cfRule type="cellIs" dxfId="30492" priority="94534" stopIfTrue="1" operator="lessThan">
      <formula>0.5</formula>
    </cfRule>
  </conditionalFormatting>
  <conditionalFormatting sqref="BF29">
    <cfRule type="cellIs" dxfId="30491" priority="94535" stopIfTrue="1" operator="greaterThanOrEqual">
      <formula>0.5</formula>
    </cfRule>
  </conditionalFormatting>
  <conditionalFormatting sqref="BF30">
    <cfRule type="cellIs" dxfId="30490" priority="94536" stopIfTrue="1" operator="equal">
      <formula>-1</formula>
    </cfRule>
  </conditionalFormatting>
  <conditionalFormatting sqref="BF30">
    <cfRule type="cellIs" dxfId="30489" priority="94537" stopIfTrue="1" operator="lessThan">
      <formula>0.5</formula>
    </cfRule>
  </conditionalFormatting>
  <conditionalFormatting sqref="BF30">
    <cfRule type="cellIs" dxfId="30488" priority="94538" stopIfTrue="1" operator="greaterThanOrEqual">
      <formula>0.5</formula>
    </cfRule>
  </conditionalFormatting>
  <conditionalFormatting sqref="BF31">
    <cfRule type="cellIs" dxfId="30487" priority="94539" stopIfTrue="1" operator="equal">
      <formula>-1</formula>
    </cfRule>
  </conditionalFormatting>
  <conditionalFormatting sqref="BF31">
    <cfRule type="cellIs" dxfId="30486" priority="94540" stopIfTrue="1" operator="lessThan">
      <formula>0.5</formula>
    </cfRule>
  </conditionalFormatting>
  <conditionalFormatting sqref="BF31">
    <cfRule type="cellIs" dxfId="30485" priority="94541" stopIfTrue="1" operator="greaterThanOrEqual">
      <formula>0.5</formula>
    </cfRule>
  </conditionalFormatting>
  <conditionalFormatting sqref="BF32">
    <cfRule type="cellIs" dxfId="30484" priority="94542" stopIfTrue="1" operator="equal">
      <formula>-1</formula>
    </cfRule>
  </conditionalFormatting>
  <conditionalFormatting sqref="BF32">
    <cfRule type="cellIs" dxfId="30483" priority="94543" stopIfTrue="1" operator="lessThan">
      <formula>0.5</formula>
    </cfRule>
  </conditionalFormatting>
  <conditionalFormatting sqref="BF32">
    <cfRule type="cellIs" dxfId="30482" priority="94544" stopIfTrue="1" operator="greaterThanOrEqual">
      <formula>0.5</formula>
    </cfRule>
  </conditionalFormatting>
  <conditionalFormatting sqref="BF33">
    <cfRule type="cellIs" dxfId="30481" priority="94545" stopIfTrue="1" operator="equal">
      <formula>-1</formula>
    </cfRule>
  </conditionalFormatting>
  <conditionalFormatting sqref="BF33">
    <cfRule type="cellIs" dxfId="30480" priority="94546" stopIfTrue="1" operator="lessThan">
      <formula>0.5</formula>
    </cfRule>
  </conditionalFormatting>
  <conditionalFormatting sqref="BF33">
    <cfRule type="cellIs" dxfId="30479" priority="94547" stopIfTrue="1" operator="greaterThanOrEqual">
      <formula>0.5</formula>
    </cfRule>
  </conditionalFormatting>
  <conditionalFormatting sqref="BF34">
    <cfRule type="cellIs" dxfId="30478" priority="94548" stopIfTrue="1" operator="equal">
      <formula>-1</formula>
    </cfRule>
  </conditionalFormatting>
  <conditionalFormatting sqref="BF34">
    <cfRule type="cellIs" dxfId="30477" priority="94549" stopIfTrue="1" operator="lessThan">
      <formula>0.5</formula>
    </cfRule>
  </conditionalFormatting>
  <conditionalFormatting sqref="BF34">
    <cfRule type="cellIs" dxfId="30476" priority="94550" stopIfTrue="1" operator="greaterThanOrEqual">
      <formula>0.5</formula>
    </cfRule>
  </conditionalFormatting>
  <conditionalFormatting sqref="BF35">
    <cfRule type="cellIs" dxfId="30475" priority="94551" stopIfTrue="1" operator="equal">
      <formula>-1</formula>
    </cfRule>
  </conditionalFormatting>
  <conditionalFormatting sqref="BF35">
    <cfRule type="cellIs" dxfId="30474" priority="94552" stopIfTrue="1" operator="lessThan">
      <formula>0.5</formula>
    </cfRule>
  </conditionalFormatting>
  <conditionalFormatting sqref="BF35">
    <cfRule type="cellIs" dxfId="30473" priority="94553" stopIfTrue="1" operator="greaterThanOrEqual">
      <formula>0.5</formula>
    </cfRule>
  </conditionalFormatting>
  <conditionalFormatting sqref="BF36">
    <cfRule type="cellIs" dxfId="30472" priority="94554" stopIfTrue="1" operator="equal">
      <formula>-1</formula>
    </cfRule>
  </conditionalFormatting>
  <conditionalFormatting sqref="BF36">
    <cfRule type="cellIs" dxfId="30471" priority="94555" stopIfTrue="1" operator="lessThan">
      <formula>0.5</formula>
    </cfRule>
  </conditionalFormatting>
  <conditionalFormatting sqref="BF36">
    <cfRule type="cellIs" dxfId="30470" priority="94556" stopIfTrue="1" operator="greaterThanOrEqual">
      <formula>0.5</formula>
    </cfRule>
  </conditionalFormatting>
  <conditionalFormatting sqref="BF37">
    <cfRule type="cellIs" dxfId="30469" priority="94557" stopIfTrue="1" operator="equal">
      <formula>-1</formula>
    </cfRule>
  </conditionalFormatting>
  <conditionalFormatting sqref="BF37">
    <cfRule type="cellIs" dxfId="30468" priority="94558" stopIfTrue="1" operator="lessThan">
      <formula>0.5</formula>
    </cfRule>
  </conditionalFormatting>
  <conditionalFormatting sqref="BF37">
    <cfRule type="cellIs" dxfId="30467" priority="94559" stopIfTrue="1" operator="greaterThanOrEqual">
      <formula>0.5</formula>
    </cfRule>
  </conditionalFormatting>
  <conditionalFormatting sqref="BH17">
    <cfRule type="cellIs" dxfId="30466" priority="94560" stopIfTrue="1" operator="equal">
      <formula>-1</formula>
    </cfRule>
  </conditionalFormatting>
  <conditionalFormatting sqref="BH17">
    <cfRule type="cellIs" dxfId="30465" priority="94561" stopIfTrue="1" operator="lessThan">
      <formula>0.5</formula>
    </cfRule>
  </conditionalFormatting>
  <conditionalFormatting sqref="BH17">
    <cfRule type="cellIs" dxfId="30464" priority="94562" stopIfTrue="1" operator="greaterThanOrEqual">
      <formula>0.5</formula>
    </cfRule>
  </conditionalFormatting>
  <conditionalFormatting sqref="BH18">
    <cfRule type="cellIs" dxfId="30463" priority="94563" stopIfTrue="1" operator="equal">
      <formula>-1</formula>
    </cfRule>
  </conditionalFormatting>
  <conditionalFormatting sqref="BH18">
    <cfRule type="cellIs" dxfId="30462" priority="94564" stopIfTrue="1" operator="lessThan">
      <formula>0.5</formula>
    </cfRule>
  </conditionalFormatting>
  <conditionalFormatting sqref="BH18">
    <cfRule type="cellIs" dxfId="30461" priority="94565" stopIfTrue="1" operator="greaterThanOrEqual">
      <formula>0.5</formula>
    </cfRule>
  </conditionalFormatting>
  <conditionalFormatting sqref="BH19">
    <cfRule type="cellIs" dxfId="30460" priority="94566" stopIfTrue="1" operator="equal">
      <formula>-1</formula>
    </cfRule>
  </conditionalFormatting>
  <conditionalFormatting sqref="BH19">
    <cfRule type="cellIs" dxfId="30459" priority="94567" stopIfTrue="1" operator="lessThan">
      <formula>0.5</formula>
    </cfRule>
  </conditionalFormatting>
  <conditionalFormatting sqref="BH19">
    <cfRule type="cellIs" dxfId="30458" priority="94568" stopIfTrue="1" operator="greaterThanOrEqual">
      <formula>0.5</formula>
    </cfRule>
  </conditionalFormatting>
  <conditionalFormatting sqref="BH20">
    <cfRule type="cellIs" dxfId="30457" priority="94569" stopIfTrue="1" operator="equal">
      <formula>-1</formula>
    </cfRule>
  </conditionalFormatting>
  <conditionalFormatting sqref="BH20">
    <cfRule type="cellIs" dxfId="30456" priority="94570" stopIfTrue="1" operator="lessThan">
      <formula>0.5</formula>
    </cfRule>
  </conditionalFormatting>
  <conditionalFormatting sqref="BH20">
    <cfRule type="cellIs" dxfId="30455" priority="94571" stopIfTrue="1" operator="greaterThanOrEqual">
      <formula>0.5</formula>
    </cfRule>
  </conditionalFormatting>
  <conditionalFormatting sqref="BH21">
    <cfRule type="cellIs" dxfId="30454" priority="94572" stopIfTrue="1" operator="equal">
      <formula>-1</formula>
    </cfRule>
  </conditionalFormatting>
  <conditionalFormatting sqref="BH21">
    <cfRule type="cellIs" dxfId="30453" priority="94573" stopIfTrue="1" operator="lessThan">
      <formula>0.5</formula>
    </cfRule>
  </conditionalFormatting>
  <conditionalFormatting sqref="BH21">
    <cfRule type="cellIs" dxfId="30452" priority="94574" stopIfTrue="1" operator="greaterThanOrEqual">
      <formula>0.5</formula>
    </cfRule>
  </conditionalFormatting>
  <conditionalFormatting sqref="BH22">
    <cfRule type="cellIs" dxfId="30451" priority="94575" stopIfTrue="1" operator="equal">
      <formula>-1</formula>
    </cfRule>
  </conditionalFormatting>
  <conditionalFormatting sqref="BH22">
    <cfRule type="cellIs" dxfId="30450" priority="94576" stopIfTrue="1" operator="lessThan">
      <formula>0.5</formula>
    </cfRule>
  </conditionalFormatting>
  <conditionalFormatting sqref="BH22">
    <cfRule type="cellIs" dxfId="30449" priority="94577" stopIfTrue="1" operator="greaterThanOrEqual">
      <formula>0.5</formula>
    </cfRule>
  </conditionalFormatting>
  <conditionalFormatting sqref="BH23">
    <cfRule type="cellIs" dxfId="30448" priority="94578" stopIfTrue="1" operator="equal">
      <formula>-1</formula>
    </cfRule>
  </conditionalFormatting>
  <conditionalFormatting sqref="BH23">
    <cfRule type="cellIs" dxfId="30447" priority="94579" stopIfTrue="1" operator="lessThan">
      <formula>0.5</formula>
    </cfRule>
  </conditionalFormatting>
  <conditionalFormatting sqref="BH23">
    <cfRule type="cellIs" dxfId="30446" priority="94580" stopIfTrue="1" operator="greaterThanOrEqual">
      <formula>0.5</formula>
    </cfRule>
  </conditionalFormatting>
  <conditionalFormatting sqref="BH24">
    <cfRule type="cellIs" dxfId="30445" priority="94581" stopIfTrue="1" operator="equal">
      <formula>-1</formula>
    </cfRule>
  </conditionalFormatting>
  <conditionalFormatting sqref="BH24">
    <cfRule type="cellIs" dxfId="30444" priority="94582" stopIfTrue="1" operator="lessThan">
      <formula>0.5</formula>
    </cfRule>
  </conditionalFormatting>
  <conditionalFormatting sqref="BH24">
    <cfRule type="cellIs" dxfId="30443" priority="94583" stopIfTrue="1" operator="greaterThanOrEqual">
      <formula>0.5</formula>
    </cfRule>
  </conditionalFormatting>
  <conditionalFormatting sqref="BH25">
    <cfRule type="cellIs" dxfId="30442" priority="94584" stopIfTrue="1" operator="equal">
      <formula>-1</formula>
    </cfRule>
  </conditionalFormatting>
  <conditionalFormatting sqref="BH25">
    <cfRule type="cellIs" dxfId="30441" priority="94585" stopIfTrue="1" operator="lessThan">
      <formula>0.5</formula>
    </cfRule>
  </conditionalFormatting>
  <conditionalFormatting sqref="BH25">
    <cfRule type="cellIs" dxfId="30440" priority="94586" stopIfTrue="1" operator="greaterThanOrEqual">
      <formula>0.5</formula>
    </cfRule>
  </conditionalFormatting>
  <conditionalFormatting sqref="BH26">
    <cfRule type="cellIs" dxfId="30439" priority="94587" stopIfTrue="1" operator="equal">
      <formula>-1</formula>
    </cfRule>
  </conditionalFormatting>
  <conditionalFormatting sqref="BH26">
    <cfRule type="cellIs" dxfId="30438" priority="94588" stopIfTrue="1" operator="lessThan">
      <formula>0.5</formula>
    </cfRule>
  </conditionalFormatting>
  <conditionalFormatting sqref="BH26">
    <cfRule type="cellIs" dxfId="30437" priority="94589" stopIfTrue="1" operator="greaterThanOrEqual">
      <formula>0.5</formula>
    </cfRule>
  </conditionalFormatting>
  <conditionalFormatting sqref="BH27">
    <cfRule type="cellIs" dxfId="30436" priority="94590" stopIfTrue="1" operator="equal">
      <formula>-1</formula>
    </cfRule>
  </conditionalFormatting>
  <conditionalFormatting sqref="BH27">
    <cfRule type="cellIs" dxfId="30435" priority="94591" stopIfTrue="1" operator="lessThan">
      <formula>0.5</formula>
    </cfRule>
  </conditionalFormatting>
  <conditionalFormatting sqref="BH27">
    <cfRule type="cellIs" dxfId="30434" priority="94592" stopIfTrue="1" operator="greaterThanOrEqual">
      <formula>0.5</formula>
    </cfRule>
  </conditionalFormatting>
  <conditionalFormatting sqref="BH28">
    <cfRule type="cellIs" dxfId="30433" priority="94593" stopIfTrue="1" operator="equal">
      <formula>-1</formula>
    </cfRule>
  </conditionalFormatting>
  <conditionalFormatting sqref="BH28">
    <cfRule type="cellIs" dxfId="30432" priority="94594" stopIfTrue="1" operator="lessThan">
      <formula>0.5</formula>
    </cfRule>
  </conditionalFormatting>
  <conditionalFormatting sqref="BH28">
    <cfRule type="cellIs" dxfId="30431" priority="94595" stopIfTrue="1" operator="greaterThanOrEqual">
      <formula>0.5</formula>
    </cfRule>
  </conditionalFormatting>
  <conditionalFormatting sqref="BH29">
    <cfRule type="cellIs" dxfId="30430" priority="94596" stopIfTrue="1" operator="equal">
      <formula>-1</formula>
    </cfRule>
  </conditionalFormatting>
  <conditionalFormatting sqref="BH29">
    <cfRule type="cellIs" dxfId="30429" priority="94597" stopIfTrue="1" operator="lessThan">
      <formula>0.5</formula>
    </cfRule>
  </conditionalFormatting>
  <conditionalFormatting sqref="BH29">
    <cfRule type="cellIs" dxfId="30428" priority="94598" stopIfTrue="1" operator="greaterThanOrEqual">
      <formula>0.5</formula>
    </cfRule>
  </conditionalFormatting>
  <conditionalFormatting sqref="BH30">
    <cfRule type="cellIs" dxfId="30427" priority="94599" stopIfTrue="1" operator="equal">
      <formula>-1</formula>
    </cfRule>
  </conditionalFormatting>
  <conditionalFormatting sqref="BH30">
    <cfRule type="cellIs" dxfId="30426" priority="94600" stopIfTrue="1" operator="lessThan">
      <formula>0.5</formula>
    </cfRule>
  </conditionalFormatting>
  <conditionalFormatting sqref="BH30">
    <cfRule type="cellIs" dxfId="30425" priority="94601" stopIfTrue="1" operator="greaterThanOrEqual">
      <formula>0.5</formula>
    </cfRule>
  </conditionalFormatting>
  <conditionalFormatting sqref="BH31">
    <cfRule type="cellIs" dxfId="30424" priority="94602" stopIfTrue="1" operator="equal">
      <formula>-1</formula>
    </cfRule>
  </conditionalFormatting>
  <conditionalFormatting sqref="BH31">
    <cfRule type="cellIs" dxfId="30423" priority="94603" stopIfTrue="1" operator="lessThan">
      <formula>0.5</formula>
    </cfRule>
  </conditionalFormatting>
  <conditionalFormatting sqref="BH31">
    <cfRule type="cellIs" dxfId="30422" priority="94604" stopIfTrue="1" operator="greaterThanOrEqual">
      <formula>0.5</formula>
    </cfRule>
  </conditionalFormatting>
  <conditionalFormatting sqref="BH32">
    <cfRule type="cellIs" dxfId="30421" priority="94605" stopIfTrue="1" operator="equal">
      <formula>-1</formula>
    </cfRule>
  </conditionalFormatting>
  <conditionalFormatting sqref="BH32">
    <cfRule type="cellIs" dxfId="30420" priority="94606" stopIfTrue="1" operator="lessThan">
      <formula>0.5</formula>
    </cfRule>
  </conditionalFormatting>
  <conditionalFormatting sqref="BH32">
    <cfRule type="cellIs" dxfId="30419" priority="94607" stopIfTrue="1" operator="greaterThanOrEqual">
      <formula>0.5</formula>
    </cfRule>
  </conditionalFormatting>
  <conditionalFormatting sqref="BH33">
    <cfRule type="cellIs" dxfId="30418" priority="94608" stopIfTrue="1" operator="equal">
      <formula>-1</formula>
    </cfRule>
  </conditionalFormatting>
  <conditionalFormatting sqref="BH33">
    <cfRule type="cellIs" dxfId="30417" priority="94609" stopIfTrue="1" operator="lessThan">
      <formula>0.5</formula>
    </cfRule>
  </conditionalFormatting>
  <conditionalFormatting sqref="BH33">
    <cfRule type="cellIs" dxfId="30416" priority="94610" stopIfTrue="1" operator="greaterThanOrEqual">
      <formula>0.5</formula>
    </cfRule>
  </conditionalFormatting>
  <conditionalFormatting sqref="BH34">
    <cfRule type="cellIs" dxfId="30415" priority="94611" stopIfTrue="1" operator="equal">
      <formula>-1</formula>
    </cfRule>
  </conditionalFormatting>
  <conditionalFormatting sqref="BH34">
    <cfRule type="cellIs" dxfId="30414" priority="94612" stopIfTrue="1" operator="lessThan">
      <formula>0.5</formula>
    </cfRule>
  </conditionalFormatting>
  <conditionalFormatting sqref="BH34">
    <cfRule type="cellIs" dxfId="30413" priority="94613" stopIfTrue="1" operator="greaterThanOrEqual">
      <formula>0.5</formula>
    </cfRule>
  </conditionalFormatting>
  <conditionalFormatting sqref="BH35">
    <cfRule type="cellIs" dxfId="30412" priority="94614" stopIfTrue="1" operator="equal">
      <formula>-1</formula>
    </cfRule>
  </conditionalFormatting>
  <conditionalFormatting sqref="BH35">
    <cfRule type="cellIs" dxfId="30411" priority="94615" stopIfTrue="1" operator="lessThan">
      <formula>0.5</formula>
    </cfRule>
  </conditionalFormatting>
  <conditionalFormatting sqref="BH35">
    <cfRule type="cellIs" dxfId="30410" priority="94616" stopIfTrue="1" operator="greaterThanOrEqual">
      <formula>0.5</formula>
    </cfRule>
  </conditionalFormatting>
  <conditionalFormatting sqref="BH36">
    <cfRule type="cellIs" dxfId="30409" priority="94617" stopIfTrue="1" operator="equal">
      <formula>-1</formula>
    </cfRule>
  </conditionalFormatting>
  <conditionalFormatting sqref="BH36">
    <cfRule type="cellIs" dxfId="30408" priority="94618" stopIfTrue="1" operator="lessThan">
      <formula>0.5</formula>
    </cfRule>
  </conditionalFormatting>
  <conditionalFormatting sqref="BH36">
    <cfRule type="cellIs" dxfId="30407" priority="94619" stopIfTrue="1" operator="greaterThanOrEqual">
      <formula>0.5</formula>
    </cfRule>
  </conditionalFormatting>
  <conditionalFormatting sqref="BH37">
    <cfRule type="cellIs" dxfId="30406" priority="94620" stopIfTrue="1" operator="equal">
      <formula>-1</formula>
    </cfRule>
  </conditionalFormatting>
  <conditionalFormatting sqref="BH37">
    <cfRule type="cellIs" dxfId="30405" priority="94621" stopIfTrue="1" operator="lessThan">
      <formula>0.5</formula>
    </cfRule>
  </conditionalFormatting>
  <conditionalFormatting sqref="BH37">
    <cfRule type="cellIs" dxfId="30404" priority="94622" stopIfTrue="1" operator="greaterThanOrEqual">
      <formula>0.5</formula>
    </cfRule>
  </conditionalFormatting>
  <conditionalFormatting sqref="BJ17">
    <cfRule type="cellIs" dxfId="30403" priority="94623" stopIfTrue="1" operator="equal">
      <formula>-1</formula>
    </cfRule>
  </conditionalFormatting>
  <conditionalFormatting sqref="BJ17">
    <cfRule type="cellIs" dxfId="30402" priority="94624" stopIfTrue="1" operator="lessThan">
      <formula>0.5</formula>
    </cfRule>
  </conditionalFormatting>
  <conditionalFormatting sqref="BJ17">
    <cfRule type="cellIs" dxfId="30401" priority="94625" stopIfTrue="1" operator="greaterThanOrEqual">
      <formula>0.5</formula>
    </cfRule>
  </conditionalFormatting>
  <conditionalFormatting sqref="BJ18">
    <cfRule type="cellIs" dxfId="30400" priority="94626" stopIfTrue="1" operator="equal">
      <formula>-1</formula>
    </cfRule>
  </conditionalFormatting>
  <conditionalFormatting sqref="BJ18">
    <cfRule type="cellIs" dxfId="30399" priority="94627" stopIfTrue="1" operator="lessThan">
      <formula>0.5</formula>
    </cfRule>
  </conditionalFormatting>
  <conditionalFormatting sqref="BJ18">
    <cfRule type="cellIs" dxfId="30398" priority="94628" stopIfTrue="1" operator="greaterThanOrEqual">
      <formula>0.5</formula>
    </cfRule>
  </conditionalFormatting>
  <conditionalFormatting sqref="BJ19">
    <cfRule type="cellIs" dxfId="30397" priority="94629" stopIfTrue="1" operator="equal">
      <formula>-1</formula>
    </cfRule>
  </conditionalFormatting>
  <conditionalFormatting sqref="BJ19">
    <cfRule type="cellIs" dxfId="30396" priority="94630" stopIfTrue="1" operator="lessThan">
      <formula>0.5</formula>
    </cfRule>
  </conditionalFormatting>
  <conditionalFormatting sqref="BJ19">
    <cfRule type="cellIs" dxfId="30395" priority="94631" stopIfTrue="1" operator="greaterThanOrEqual">
      <formula>0.5</formula>
    </cfRule>
  </conditionalFormatting>
  <conditionalFormatting sqref="BJ20">
    <cfRule type="cellIs" dxfId="30394" priority="94632" stopIfTrue="1" operator="equal">
      <formula>-1</formula>
    </cfRule>
  </conditionalFormatting>
  <conditionalFormatting sqref="BJ20">
    <cfRule type="cellIs" dxfId="30393" priority="94633" stopIfTrue="1" operator="lessThan">
      <formula>0.5</formula>
    </cfRule>
  </conditionalFormatting>
  <conditionalFormatting sqref="BJ20">
    <cfRule type="cellIs" dxfId="30392" priority="94634" stopIfTrue="1" operator="greaterThanOrEqual">
      <formula>0.5</formula>
    </cfRule>
  </conditionalFormatting>
  <conditionalFormatting sqref="BJ21">
    <cfRule type="cellIs" dxfId="30391" priority="94635" stopIfTrue="1" operator="equal">
      <formula>-1</formula>
    </cfRule>
  </conditionalFormatting>
  <conditionalFormatting sqref="BJ21">
    <cfRule type="cellIs" dxfId="30390" priority="94636" stopIfTrue="1" operator="lessThan">
      <formula>0.5</formula>
    </cfRule>
  </conditionalFormatting>
  <conditionalFormatting sqref="BJ21">
    <cfRule type="cellIs" dxfId="30389" priority="94637" stopIfTrue="1" operator="greaterThanOrEqual">
      <formula>0.5</formula>
    </cfRule>
  </conditionalFormatting>
  <conditionalFormatting sqref="BJ22">
    <cfRule type="cellIs" dxfId="30388" priority="94638" stopIfTrue="1" operator="equal">
      <formula>-1</formula>
    </cfRule>
  </conditionalFormatting>
  <conditionalFormatting sqref="BJ22">
    <cfRule type="cellIs" dxfId="30387" priority="94639" stopIfTrue="1" operator="lessThan">
      <formula>0.5</formula>
    </cfRule>
  </conditionalFormatting>
  <conditionalFormatting sqref="BJ22">
    <cfRule type="cellIs" dxfId="30386" priority="94640" stopIfTrue="1" operator="greaterThanOrEqual">
      <formula>0.5</formula>
    </cfRule>
  </conditionalFormatting>
  <conditionalFormatting sqref="BJ23">
    <cfRule type="cellIs" dxfId="30385" priority="94641" stopIfTrue="1" operator="equal">
      <formula>-1</formula>
    </cfRule>
  </conditionalFormatting>
  <conditionalFormatting sqref="BJ23">
    <cfRule type="cellIs" dxfId="30384" priority="94642" stopIfTrue="1" operator="lessThan">
      <formula>0.5</formula>
    </cfRule>
  </conditionalFormatting>
  <conditionalFormatting sqref="BJ23">
    <cfRule type="cellIs" dxfId="30383" priority="94643" stopIfTrue="1" operator="greaterThanOrEqual">
      <formula>0.5</formula>
    </cfRule>
  </conditionalFormatting>
  <conditionalFormatting sqref="BJ24">
    <cfRule type="cellIs" dxfId="30382" priority="94644" stopIfTrue="1" operator="equal">
      <formula>-1</formula>
    </cfRule>
  </conditionalFormatting>
  <conditionalFormatting sqref="BJ24">
    <cfRule type="cellIs" dxfId="30381" priority="94645" stopIfTrue="1" operator="lessThan">
      <formula>0.5</formula>
    </cfRule>
  </conditionalFormatting>
  <conditionalFormatting sqref="BJ24">
    <cfRule type="cellIs" dxfId="30380" priority="94646" stopIfTrue="1" operator="greaterThanOrEqual">
      <formula>0.5</formula>
    </cfRule>
  </conditionalFormatting>
  <conditionalFormatting sqref="BJ25">
    <cfRule type="cellIs" dxfId="30379" priority="94647" stopIfTrue="1" operator="equal">
      <formula>-1</formula>
    </cfRule>
  </conditionalFormatting>
  <conditionalFormatting sqref="BJ25">
    <cfRule type="cellIs" dxfId="30378" priority="94648" stopIfTrue="1" operator="lessThan">
      <formula>0.5</formula>
    </cfRule>
  </conditionalFormatting>
  <conditionalFormatting sqref="BJ25">
    <cfRule type="cellIs" dxfId="30377" priority="94649" stopIfTrue="1" operator="greaterThanOrEqual">
      <formula>0.5</formula>
    </cfRule>
  </conditionalFormatting>
  <conditionalFormatting sqref="BJ26">
    <cfRule type="cellIs" dxfId="30376" priority="94650" stopIfTrue="1" operator="equal">
      <formula>-1</formula>
    </cfRule>
  </conditionalFormatting>
  <conditionalFormatting sqref="BJ26">
    <cfRule type="cellIs" dxfId="30375" priority="94651" stopIfTrue="1" operator="lessThan">
      <formula>0.5</formula>
    </cfRule>
  </conditionalFormatting>
  <conditionalFormatting sqref="BJ26">
    <cfRule type="cellIs" dxfId="30374" priority="94652" stopIfTrue="1" operator="greaterThanOrEqual">
      <formula>0.5</formula>
    </cfRule>
  </conditionalFormatting>
  <conditionalFormatting sqref="BJ27">
    <cfRule type="cellIs" dxfId="30373" priority="94653" stopIfTrue="1" operator="equal">
      <formula>-1</formula>
    </cfRule>
  </conditionalFormatting>
  <conditionalFormatting sqref="BJ27">
    <cfRule type="cellIs" dxfId="30372" priority="94654" stopIfTrue="1" operator="lessThan">
      <formula>0.5</formula>
    </cfRule>
  </conditionalFormatting>
  <conditionalFormatting sqref="BJ27">
    <cfRule type="cellIs" dxfId="30371" priority="94655" stopIfTrue="1" operator="greaterThanOrEqual">
      <formula>0.5</formula>
    </cfRule>
  </conditionalFormatting>
  <conditionalFormatting sqref="BJ28">
    <cfRule type="cellIs" dxfId="30370" priority="94656" stopIfTrue="1" operator="equal">
      <formula>-1</formula>
    </cfRule>
  </conditionalFormatting>
  <conditionalFormatting sqref="BJ28">
    <cfRule type="cellIs" dxfId="30369" priority="94657" stopIfTrue="1" operator="lessThan">
      <formula>0.5</formula>
    </cfRule>
  </conditionalFormatting>
  <conditionalFormatting sqref="BJ28">
    <cfRule type="cellIs" dxfId="30368" priority="94658" stopIfTrue="1" operator="greaterThanOrEqual">
      <formula>0.5</formula>
    </cfRule>
  </conditionalFormatting>
  <conditionalFormatting sqref="BJ29">
    <cfRule type="cellIs" dxfId="30367" priority="94659" stopIfTrue="1" operator="equal">
      <formula>-1</formula>
    </cfRule>
  </conditionalFormatting>
  <conditionalFormatting sqref="BJ29">
    <cfRule type="cellIs" dxfId="30366" priority="94660" stopIfTrue="1" operator="lessThan">
      <formula>0.5</formula>
    </cfRule>
  </conditionalFormatting>
  <conditionalFormatting sqref="BJ29">
    <cfRule type="cellIs" dxfId="30365" priority="94661" stopIfTrue="1" operator="greaterThanOrEqual">
      <formula>0.5</formula>
    </cfRule>
  </conditionalFormatting>
  <conditionalFormatting sqref="BJ30">
    <cfRule type="cellIs" dxfId="30364" priority="94662" stopIfTrue="1" operator="equal">
      <formula>-1</formula>
    </cfRule>
  </conditionalFormatting>
  <conditionalFormatting sqref="BJ30">
    <cfRule type="cellIs" dxfId="30363" priority="94663" stopIfTrue="1" operator="lessThan">
      <formula>0.5</formula>
    </cfRule>
  </conditionalFormatting>
  <conditionalFormatting sqref="BJ30">
    <cfRule type="cellIs" dxfId="30362" priority="94664" stopIfTrue="1" operator="greaterThanOrEqual">
      <formula>0.5</formula>
    </cfRule>
  </conditionalFormatting>
  <conditionalFormatting sqref="BJ31">
    <cfRule type="cellIs" dxfId="30361" priority="94665" stopIfTrue="1" operator="equal">
      <formula>-1</formula>
    </cfRule>
  </conditionalFormatting>
  <conditionalFormatting sqref="BJ31">
    <cfRule type="cellIs" dxfId="30360" priority="94666" stopIfTrue="1" operator="lessThan">
      <formula>0.5</formula>
    </cfRule>
  </conditionalFormatting>
  <conditionalFormatting sqref="BJ31">
    <cfRule type="cellIs" dxfId="30359" priority="94667" stopIfTrue="1" operator="greaterThanOrEqual">
      <formula>0.5</formula>
    </cfRule>
  </conditionalFormatting>
  <conditionalFormatting sqref="BJ32">
    <cfRule type="cellIs" dxfId="30358" priority="94668" stopIfTrue="1" operator="equal">
      <formula>-1</formula>
    </cfRule>
  </conditionalFormatting>
  <conditionalFormatting sqref="BJ32">
    <cfRule type="cellIs" dxfId="30357" priority="94669" stopIfTrue="1" operator="lessThan">
      <formula>0.5</formula>
    </cfRule>
  </conditionalFormatting>
  <conditionalFormatting sqref="BJ32">
    <cfRule type="cellIs" dxfId="30356" priority="94670" stopIfTrue="1" operator="greaterThanOrEqual">
      <formula>0.5</formula>
    </cfRule>
  </conditionalFormatting>
  <conditionalFormatting sqref="BJ33">
    <cfRule type="cellIs" dxfId="30355" priority="94671" stopIfTrue="1" operator="equal">
      <formula>-1</formula>
    </cfRule>
  </conditionalFormatting>
  <conditionalFormatting sqref="BJ33">
    <cfRule type="cellIs" dxfId="30354" priority="94672" stopIfTrue="1" operator="lessThan">
      <formula>0.5</formula>
    </cfRule>
  </conditionalFormatting>
  <conditionalFormatting sqref="BJ33">
    <cfRule type="cellIs" dxfId="30353" priority="94673" stopIfTrue="1" operator="greaterThanOrEqual">
      <formula>0.5</formula>
    </cfRule>
  </conditionalFormatting>
  <conditionalFormatting sqref="BJ34">
    <cfRule type="cellIs" dxfId="30352" priority="94674" stopIfTrue="1" operator="equal">
      <formula>-1</formula>
    </cfRule>
  </conditionalFormatting>
  <conditionalFormatting sqref="BJ34">
    <cfRule type="cellIs" dxfId="30351" priority="94675" stopIfTrue="1" operator="lessThan">
      <formula>0.5</formula>
    </cfRule>
  </conditionalFormatting>
  <conditionalFormatting sqref="BJ34">
    <cfRule type="cellIs" dxfId="30350" priority="94676" stopIfTrue="1" operator="greaterThanOrEqual">
      <formula>0.5</formula>
    </cfRule>
  </conditionalFormatting>
  <conditionalFormatting sqref="BJ35">
    <cfRule type="cellIs" dxfId="30349" priority="94677" stopIfTrue="1" operator="equal">
      <formula>-1</formula>
    </cfRule>
  </conditionalFormatting>
  <conditionalFormatting sqref="BJ35">
    <cfRule type="cellIs" dxfId="30348" priority="94678" stopIfTrue="1" operator="lessThan">
      <formula>0.5</formula>
    </cfRule>
  </conditionalFormatting>
  <conditionalFormatting sqref="BJ35">
    <cfRule type="cellIs" dxfId="30347" priority="94679" stopIfTrue="1" operator="greaterThanOrEqual">
      <formula>0.5</formula>
    </cfRule>
  </conditionalFormatting>
  <conditionalFormatting sqref="BJ36">
    <cfRule type="cellIs" dxfId="30346" priority="94680" stopIfTrue="1" operator="equal">
      <formula>-1</formula>
    </cfRule>
  </conditionalFormatting>
  <conditionalFormatting sqref="BJ36">
    <cfRule type="cellIs" dxfId="30345" priority="94681" stopIfTrue="1" operator="lessThan">
      <formula>0.5</formula>
    </cfRule>
  </conditionalFormatting>
  <conditionalFormatting sqref="BJ36">
    <cfRule type="cellIs" dxfId="30344" priority="94682" stopIfTrue="1" operator="greaterThanOrEqual">
      <formula>0.5</formula>
    </cfRule>
  </conditionalFormatting>
  <conditionalFormatting sqref="BJ37">
    <cfRule type="cellIs" dxfId="30343" priority="94683" stopIfTrue="1" operator="equal">
      <formula>-1</formula>
    </cfRule>
  </conditionalFormatting>
  <conditionalFormatting sqref="BJ37">
    <cfRule type="cellIs" dxfId="30342" priority="94684" stopIfTrue="1" operator="lessThan">
      <formula>0.5</formula>
    </cfRule>
  </conditionalFormatting>
  <conditionalFormatting sqref="BJ37">
    <cfRule type="cellIs" dxfId="30341" priority="94685" stopIfTrue="1" operator="greaterThanOrEqual">
      <formula>0.5</formula>
    </cfRule>
  </conditionalFormatting>
  <conditionalFormatting sqref="D39">
    <cfRule type="cellIs" dxfId="30340" priority="94686" stopIfTrue="1" operator="equal">
      <formula>-1</formula>
    </cfRule>
  </conditionalFormatting>
  <conditionalFormatting sqref="D39">
    <cfRule type="cellIs" dxfId="30339" priority="94687" stopIfTrue="1" operator="lessThan">
      <formula>0.5</formula>
    </cfRule>
  </conditionalFormatting>
  <conditionalFormatting sqref="D39">
    <cfRule type="cellIs" dxfId="30338" priority="94688" stopIfTrue="1" operator="greaterThanOrEqual">
      <formula>0.5</formula>
    </cfRule>
  </conditionalFormatting>
  <conditionalFormatting sqref="D40">
    <cfRule type="cellIs" dxfId="30337" priority="94689" stopIfTrue="1" operator="equal">
      <formula>-1</formula>
    </cfRule>
  </conditionalFormatting>
  <conditionalFormatting sqref="D40">
    <cfRule type="cellIs" dxfId="30336" priority="94690" stopIfTrue="1" operator="lessThan">
      <formula>0.5</formula>
    </cfRule>
  </conditionalFormatting>
  <conditionalFormatting sqref="D40">
    <cfRule type="cellIs" dxfId="30335" priority="94691" stopIfTrue="1" operator="greaterThanOrEqual">
      <formula>0.5</formula>
    </cfRule>
  </conditionalFormatting>
  <conditionalFormatting sqref="D41">
    <cfRule type="cellIs" dxfId="30334" priority="94692" stopIfTrue="1" operator="equal">
      <formula>-1</formula>
    </cfRule>
  </conditionalFormatting>
  <conditionalFormatting sqref="D41">
    <cfRule type="cellIs" dxfId="30333" priority="94693" stopIfTrue="1" operator="lessThan">
      <formula>0.5</formula>
    </cfRule>
  </conditionalFormatting>
  <conditionalFormatting sqref="D41">
    <cfRule type="cellIs" dxfId="30332" priority="94694" stopIfTrue="1" operator="greaterThanOrEqual">
      <formula>0.5</formula>
    </cfRule>
  </conditionalFormatting>
  <conditionalFormatting sqref="D42">
    <cfRule type="cellIs" dxfId="30331" priority="94695" stopIfTrue="1" operator="equal">
      <formula>-1</formula>
    </cfRule>
  </conditionalFormatting>
  <conditionalFormatting sqref="D42">
    <cfRule type="cellIs" dxfId="30330" priority="94696" stopIfTrue="1" operator="lessThan">
      <formula>0.5</formula>
    </cfRule>
  </conditionalFormatting>
  <conditionalFormatting sqref="D42">
    <cfRule type="cellIs" dxfId="30329" priority="94697" stopIfTrue="1" operator="greaterThanOrEqual">
      <formula>0.5</formula>
    </cfRule>
  </conditionalFormatting>
  <conditionalFormatting sqref="D43">
    <cfRule type="cellIs" dxfId="30328" priority="94698" stopIfTrue="1" operator="equal">
      <formula>-1</formula>
    </cfRule>
  </conditionalFormatting>
  <conditionalFormatting sqref="D43">
    <cfRule type="cellIs" dxfId="30327" priority="94699" stopIfTrue="1" operator="lessThan">
      <formula>0.5</formula>
    </cfRule>
  </conditionalFormatting>
  <conditionalFormatting sqref="D43">
    <cfRule type="cellIs" dxfId="30326" priority="94700" stopIfTrue="1" operator="greaterThanOrEqual">
      <formula>0.5</formula>
    </cfRule>
  </conditionalFormatting>
  <conditionalFormatting sqref="D44">
    <cfRule type="cellIs" dxfId="30325" priority="94701" stopIfTrue="1" operator="equal">
      <formula>-1</formula>
    </cfRule>
  </conditionalFormatting>
  <conditionalFormatting sqref="D44">
    <cfRule type="cellIs" dxfId="30324" priority="94702" stopIfTrue="1" operator="lessThan">
      <formula>0.5</formula>
    </cfRule>
  </conditionalFormatting>
  <conditionalFormatting sqref="D44">
    <cfRule type="cellIs" dxfId="30323" priority="94703" stopIfTrue="1" operator="greaterThanOrEqual">
      <formula>0.5</formula>
    </cfRule>
  </conditionalFormatting>
  <conditionalFormatting sqref="D45">
    <cfRule type="cellIs" dxfId="30322" priority="94704" stopIfTrue="1" operator="equal">
      <formula>-1</formula>
    </cfRule>
  </conditionalFormatting>
  <conditionalFormatting sqref="D45">
    <cfRule type="cellIs" dxfId="30321" priority="94705" stopIfTrue="1" operator="lessThan">
      <formula>0.5</formula>
    </cfRule>
  </conditionalFormatting>
  <conditionalFormatting sqref="D45">
    <cfRule type="cellIs" dxfId="30320" priority="94706" stopIfTrue="1" operator="greaterThanOrEqual">
      <formula>0.5</formula>
    </cfRule>
  </conditionalFormatting>
  <conditionalFormatting sqref="D46">
    <cfRule type="cellIs" dxfId="30319" priority="94707" stopIfTrue="1" operator="equal">
      <formula>-1</formula>
    </cfRule>
  </conditionalFormatting>
  <conditionalFormatting sqref="D46">
    <cfRule type="cellIs" dxfId="30318" priority="94708" stopIfTrue="1" operator="lessThan">
      <formula>0.5</formula>
    </cfRule>
  </conditionalFormatting>
  <conditionalFormatting sqref="D46">
    <cfRule type="cellIs" dxfId="30317" priority="94709" stopIfTrue="1" operator="greaterThanOrEqual">
      <formula>0.5</formula>
    </cfRule>
  </conditionalFormatting>
  <conditionalFormatting sqref="D47">
    <cfRule type="cellIs" dxfId="30316" priority="94710" stopIfTrue="1" operator="equal">
      <formula>-1</formula>
    </cfRule>
  </conditionalFormatting>
  <conditionalFormatting sqref="D47">
    <cfRule type="cellIs" dxfId="30315" priority="94711" stopIfTrue="1" operator="lessThan">
      <formula>0.5</formula>
    </cfRule>
  </conditionalFormatting>
  <conditionalFormatting sqref="D47">
    <cfRule type="cellIs" dxfId="30314" priority="94712" stopIfTrue="1" operator="greaterThanOrEqual">
      <formula>0.5</formula>
    </cfRule>
  </conditionalFormatting>
  <conditionalFormatting sqref="D48">
    <cfRule type="cellIs" dxfId="30313" priority="94713" stopIfTrue="1" operator="equal">
      <formula>-1</formula>
    </cfRule>
  </conditionalFormatting>
  <conditionalFormatting sqref="D48">
    <cfRule type="cellIs" dxfId="30312" priority="94714" stopIfTrue="1" operator="lessThan">
      <formula>0.5</formula>
    </cfRule>
  </conditionalFormatting>
  <conditionalFormatting sqref="D48">
    <cfRule type="cellIs" dxfId="30311" priority="94715" stopIfTrue="1" operator="greaterThanOrEqual">
      <formula>0.5</formula>
    </cfRule>
  </conditionalFormatting>
  <conditionalFormatting sqref="D49">
    <cfRule type="cellIs" dxfId="30310" priority="94716" stopIfTrue="1" operator="equal">
      <formula>-1</formula>
    </cfRule>
  </conditionalFormatting>
  <conditionalFormatting sqref="D49">
    <cfRule type="cellIs" dxfId="30309" priority="94717" stopIfTrue="1" operator="lessThan">
      <formula>0.5</formula>
    </cfRule>
  </conditionalFormatting>
  <conditionalFormatting sqref="D49">
    <cfRule type="cellIs" dxfId="30308" priority="94718" stopIfTrue="1" operator="greaterThanOrEqual">
      <formula>0.5</formula>
    </cfRule>
  </conditionalFormatting>
  <conditionalFormatting sqref="D50">
    <cfRule type="cellIs" dxfId="30307" priority="94719" stopIfTrue="1" operator="equal">
      <formula>-1</formula>
    </cfRule>
  </conditionalFormatting>
  <conditionalFormatting sqref="D50">
    <cfRule type="cellIs" dxfId="30306" priority="94720" stopIfTrue="1" operator="lessThan">
      <formula>0.5</formula>
    </cfRule>
  </conditionalFormatting>
  <conditionalFormatting sqref="D50">
    <cfRule type="cellIs" dxfId="30305" priority="94721" stopIfTrue="1" operator="greaterThanOrEqual">
      <formula>0.5</formula>
    </cfRule>
  </conditionalFormatting>
  <conditionalFormatting sqref="D51">
    <cfRule type="cellIs" dxfId="30304" priority="94722" stopIfTrue="1" operator="equal">
      <formula>-1</formula>
    </cfRule>
  </conditionalFormatting>
  <conditionalFormatting sqref="D51">
    <cfRule type="cellIs" dxfId="30303" priority="94723" stopIfTrue="1" operator="lessThan">
      <formula>0.5</formula>
    </cfRule>
  </conditionalFormatting>
  <conditionalFormatting sqref="D51">
    <cfRule type="cellIs" dxfId="30302" priority="94724" stopIfTrue="1" operator="greaterThanOrEqual">
      <formula>0.5</formula>
    </cfRule>
  </conditionalFormatting>
  <conditionalFormatting sqref="D52">
    <cfRule type="cellIs" dxfId="30301" priority="94725" stopIfTrue="1" operator="equal">
      <formula>-1</formula>
    </cfRule>
  </conditionalFormatting>
  <conditionalFormatting sqref="D52">
    <cfRule type="cellIs" dxfId="30300" priority="94726" stopIfTrue="1" operator="lessThan">
      <formula>0.5</formula>
    </cfRule>
  </conditionalFormatting>
  <conditionalFormatting sqref="D52">
    <cfRule type="cellIs" dxfId="30299" priority="94727" stopIfTrue="1" operator="greaterThanOrEqual">
      <formula>0.5</formula>
    </cfRule>
  </conditionalFormatting>
  <conditionalFormatting sqref="D53">
    <cfRule type="cellIs" dxfId="30298" priority="94728" stopIfTrue="1" operator="equal">
      <formula>-1</formula>
    </cfRule>
  </conditionalFormatting>
  <conditionalFormatting sqref="D53">
    <cfRule type="cellIs" dxfId="30297" priority="94729" stopIfTrue="1" operator="lessThan">
      <formula>0.5</formula>
    </cfRule>
  </conditionalFormatting>
  <conditionalFormatting sqref="D53">
    <cfRule type="cellIs" dxfId="30296" priority="94730" stopIfTrue="1" operator="greaterThanOrEqual">
      <formula>0.5</formula>
    </cfRule>
  </conditionalFormatting>
  <conditionalFormatting sqref="D54">
    <cfRule type="cellIs" dxfId="30295" priority="94731" stopIfTrue="1" operator="equal">
      <formula>-1</formula>
    </cfRule>
  </conditionalFormatting>
  <conditionalFormatting sqref="D54">
    <cfRule type="cellIs" dxfId="30294" priority="94732" stopIfTrue="1" operator="lessThan">
      <formula>0.5</formula>
    </cfRule>
  </conditionalFormatting>
  <conditionalFormatting sqref="D54">
    <cfRule type="cellIs" dxfId="30293" priority="94733" stopIfTrue="1" operator="greaterThanOrEqual">
      <formula>0.5</formula>
    </cfRule>
  </conditionalFormatting>
  <conditionalFormatting sqref="D55">
    <cfRule type="cellIs" dxfId="30292" priority="94734" stopIfTrue="1" operator="equal">
      <formula>-1</formula>
    </cfRule>
  </conditionalFormatting>
  <conditionalFormatting sqref="D55">
    <cfRule type="cellIs" dxfId="30291" priority="94735" stopIfTrue="1" operator="lessThan">
      <formula>0.5</formula>
    </cfRule>
  </conditionalFormatting>
  <conditionalFormatting sqref="D55">
    <cfRule type="cellIs" dxfId="30290" priority="94736" stopIfTrue="1" operator="greaterThanOrEqual">
      <formula>0.5</formula>
    </cfRule>
  </conditionalFormatting>
  <conditionalFormatting sqref="D56">
    <cfRule type="cellIs" dxfId="30289" priority="94737" stopIfTrue="1" operator="equal">
      <formula>-1</formula>
    </cfRule>
  </conditionalFormatting>
  <conditionalFormatting sqref="D56">
    <cfRule type="cellIs" dxfId="30288" priority="94738" stopIfTrue="1" operator="lessThan">
      <formula>0.5</formula>
    </cfRule>
  </conditionalFormatting>
  <conditionalFormatting sqref="D56">
    <cfRule type="cellIs" dxfId="30287" priority="94739" stopIfTrue="1" operator="greaterThanOrEqual">
      <formula>0.5</formula>
    </cfRule>
  </conditionalFormatting>
  <conditionalFormatting sqref="D57">
    <cfRule type="cellIs" dxfId="30286" priority="94740" stopIfTrue="1" operator="equal">
      <formula>-1</formula>
    </cfRule>
  </conditionalFormatting>
  <conditionalFormatting sqref="D57">
    <cfRule type="cellIs" dxfId="30285" priority="94741" stopIfTrue="1" operator="lessThan">
      <formula>0.5</formula>
    </cfRule>
  </conditionalFormatting>
  <conditionalFormatting sqref="D57">
    <cfRule type="cellIs" dxfId="30284" priority="94742" stopIfTrue="1" operator="greaterThanOrEqual">
      <formula>0.5</formula>
    </cfRule>
  </conditionalFormatting>
  <conditionalFormatting sqref="D58">
    <cfRule type="cellIs" dxfId="30283" priority="94743" stopIfTrue="1" operator="equal">
      <formula>-1</formula>
    </cfRule>
  </conditionalFormatting>
  <conditionalFormatting sqref="D58">
    <cfRule type="cellIs" dxfId="30282" priority="94744" stopIfTrue="1" operator="lessThan">
      <formula>0.5</formula>
    </cfRule>
  </conditionalFormatting>
  <conditionalFormatting sqref="D58">
    <cfRule type="cellIs" dxfId="30281" priority="94745" stopIfTrue="1" operator="greaterThanOrEqual">
      <formula>0.5</formula>
    </cfRule>
  </conditionalFormatting>
  <conditionalFormatting sqref="F39">
    <cfRule type="cellIs" dxfId="30280" priority="94746" stopIfTrue="1" operator="equal">
      <formula>-1</formula>
    </cfRule>
  </conditionalFormatting>
  <conditionalFormatting sqref="F39">
    <cfRule type="cellIs" dxfId="30279" priority="94747" stopIfTrue="1" operator="lessThan">
      <formula>0.5</formula>
    </cfRule>
  </conditionalFormatting>
  <conditionalFormatting sqref="F39">
    <cfRule type="cellIs" dxfId="30278" priority="94748" stopIfTrue="1" operator="greaterThanOrEqual">
      <formula>0.5</formula>
    </cfRule>
  </conditionalFormatting>
  <conditionalFormatting sqref="F40">
    <cfRule type="cellIs" dxfId="30277" priority="94749" stopIfTrue="1" operator="equal">
      <formula>-1</formula>
    </cfRule>
  </conditionalFormatting>
  <conditionalFormatting sqref="F40">
    <cfRule type="cellIs" dxfId="30276" priority="94750" stopIfTrue="1" operator="lessThan">
      <formula>0.5</formula>
    </cfRule>
  </conditionalFormatting>
  <conditionalFormatting sqref="F40">
    <cfRule type="cellIs" dxfId="30275" priority="94751" stopIfTrue="1" operator="greaterThanOrEqual">
      <formula>0.5</formula>
    </cfRule>
  </conditionalFormatting>
  <conditionalFormatting sqref="F41">
    <cfRule type="cellIs" dxfId="30274" priority="94752" stopIfTrue="1" operator="equal">
      <formula>-1</formula>
    </cfRule>
  </conditionalFormatting>
  <conditionalFormatting sqref="F41">
    <cfRule type="cellIs" dxfId="30273" priority="94753" stopIfTrue="1" operator="lessThan">
      <formula>0.5</formula>
    </cfRule>
  </conditionalFormatting>
  <conditionalFormatting sqref="F41">
    <cfRule type="cellIs" dxfId="30272" priority="94754" stopIfTrue="1" operator="greaterThanOrEqual">
      <formula>0.5</formula>
    </cfRule>
  </conditionalFormatting>
  <conditionalFormatting sqref="F42">
    <cfRule type="cellIs" dxfId="30271" priority="94755" stopIfTrue="1" operator="equal">
      <formula>-1</formula>
    </cfRule>
  </conditionalFormatting>
  <conditionalFormatting sqref="F42">
    <cfRule type="cellIs" dxfId="30270" priority="94756" stopIfTrue="1" operator="lessThan">
      <formula>0.5</formula>
    </cfRule>
  </conditionalFormatting>
  <conditionalFormatting sqref="F42">
    <cfRule type="cellIs" dxfId="30269" priority="94757" stopIfTrue="1" operator="greaterThanOrEqual">
      <formula>0.5</formula>
    </cfRule>
  </conditionalFormatting>
  <conditionalFormatting sqref="F43">
    <cfRule type="cellIs" dxfId="30268" priority="94758" stopIfTrue="1" operator="equal">
      <formula>-1</formula>
    </cfRule>
  </conditionalFormatting>
  <conditionalFormatting sqref="F43">
    <cfRule type="cellIs" dxfId="30267" priority="94759" stopIfTrue="1" operator="lessThan">
      <formula>0.5</formula>
    </cfRule>
  </conditionalFormatting>
  <conditionalFormatting sqref="F43">
    <cfRule type="cellIs" dxfId="30266" priority="94760" stopIfTrue="1" operator="greaterThanOrEqual">
      <formula>0.5</formula>
    </cfRule>
  </conditionalFormatting>
  <conditionalFormatting sqref="F44">
    <cfRule type="cellIs" dxfId="30265" priority="94761" stopIfTrue="1" operator="equal">
      <formula>-1</formula>
    </cfRule>
  </conditionalFormatting>
  <conditionalFormatting sqref="F44">
    <cfRule type="cellIs" dxfId="30264" priority="94762" stopIfTrue="1" operator="lessThan">
      <formula>0.5</formula>
    </cfRule>
  </conditionalFormatting>
  <conditionalFormatting sqref="F44">
    <cfRule type="cellIs" dxfId="30263" priority="94763" stopIfTrue="1" operator="greaterThanOrEqual">
      <formula>0.5</formula>
    </cfRule>
  </conditionalFormatting>
  <conditionalFormatting sqref="F45">
    <cfRule type="cellIs" dxfId="30262" priority="94764" stopIfTrue="1" operator="equal">
      <formula>-1</formula>
    </cfRule>
  </conditionalFormatting>
  <conditionalFormatting sqref="F45">
    <cfRule type="cellIs" dxfId="30261" priority="94765" stopIfTrue="1" operator="lessThan">
      <formula>0.5</formula>
    </cfRule>
  </conditionalFormatting>
  <conditionalFormatting sqref="F45">
    <cfRule type="cellIs" dxfId="30260" priority="94766" stopIfTrue="1" operator="greaterThanOrEqual">
      <formula>0.5</formula>
    </cfRule>
  </conditionalFormatting>
  <conditionalFormatting sqref="F46">
    <cfRule type="cellIs" dxfId="30259" priority="94767" stopIfTrue="1" operator="equal">
      <formula>-1</formula>
    </cfRule>
  </conditionalFormatting>
  <conditionalFormatting sqref="F46">
    <cfRule type="cellIs" dxfId="30258" priority="94768" stopIfTrue="1" operator="lessThan">
      <formula>0.5</formula>
    </cfRule>
  </conditionalFormatting>
  <conditionalFormatting sqref="F46">
    <cfRule type="cellIs" dxfId="30257" priority="94769" stopIfTrue="1" operator="greaterThanOrEqual">
      <formula>0.5</formula>
    </cfRule>
  </conditionalFormatting>
  <conditionalFormatting sqref="F47">
    <cfRule type="cellIs" dxfId="30256" priority="94770" stopIfTrue="1" operator="equal">
      <formula>-1</formula>
    </cfRule>
  </conditionalFormatting>
  <conditionalFormatting sqref="F47">
    <cfRule type="cellIs" dxfId="30255" priority="94771" stopIfTrue="1" operator="lessThan">
      <formula>0.5</formula>
    </cfRule>
  </conditionalFormatting>
  <conditionalFormatting sqref="F47">
    <cfRule type="cellIs" dxfId="30254" priority="94772" stopIfTrue="1" operator="greaterThanOrEqual">
      <formula>0.5</formula>
    </cfRule>
  </conditionalFormatting>
  <conditionalFormatting sqref="F48">
    <cfRule type="cellIs" dxfId="30253" priority="94773" stopIfTrue="1" operator="equal">
      <formula>-1</formula>
    </cfRule>
  </conditionalFormatting>
  <conditionalFormatting sqref="F48">
    <cfRule type="cellIs" dxfId="30252" priority="94774" stopIfTrue="1" operator="lessThan">
      <formula>0.5</formula>
    </cfRule>
  </conditionalFormatting>
  <conditionalFormatting sqref="F48">
    <cfRule type="cellIs" dxfId="30251" priority="94775" stopIfTrue="1" operator="greaterThanOrEqual">
      <formula>0.5</formula>
    </cfRule>
  </conditionalFormatting>
  <conditionalFormatting sqref="F49">
    <cfRule type="cellIs" dxfId="30250" priority="94776" stopIfTrue="1" operator="equal">
      <formula>-1</formula>
    </cfRule>
  </conditionalFormatting>
  <conditionalFormatting sqref="F49">
    <cfRule type="cellIs" dxfId="30249" priority="94777" stopIfTrue="1" operator="lessThan">
      <formula>0.5</formula>
    </cfRule>
  </conditionalFormatting>
  <conditionalFormatting sqref="F49">
    <cfRule type="cellIs" dxfId="30248" priority="94778" stopIfTrue="1" operator="greaterThanOrEqual">
      <formula>0.5</formula>
    </cfRule>
  </conditionalFormatting>
  <conditionalFormatting sqref="F50">
    <cfRule type="cellIs" dxfId="30247" priority="94779" stopIfTrue="1" operator="equal">
      <formula>-1</formula>
    </cfRule>
  </conditionalFormatting>
  <conditionalFormatting sqref="F50">
    <cfRule type="cellIs" dxfId="30246" priority="94780" stopIfTrue="1" operator="lessThan">
      <formula>0.5</formula>
    </cfRule>
  </conditionalFormatting>
  <conditionalFormatting sqref="F50">
    <cfRule type="cellIs" dxfId="30245" priority="94781" stopIfTrue="1" operator="greaterThanOrEqual">
      <formula>0.5</formula>
    </cfRule>
  </conditionalFormatting>
  <conditionalFormatting sqref="F51">
    <cfRule type="cellIs" dxfId="30244" priority="94782" stopIfTrue="1" operator="equal">
      <formula>-1</formula>
    </cfRule>
  </conditionalFormatting>
  <conditionalFormatting sqref="F51">
    <cfRule type="cellIs" dxfId="30243" priority="94783" stopIfTrue="1" operator="lessThan">
      <formula>0.5</formula>
    </cfRule>
  </conditionalFormatting>
  <conditionalFormatting sqref="F51">
    <cfRule type="cellIs" dxfId="30242" priority="94784" stopIfTrue="1" operator="greaterThanOrEqual">
      <formula>0.5</formula>
    </cfRule>
  </conditionalFormatting>
  <conditionalFormatting sqref="F52">
    <cfRule type="cellIs" dxfId="30241" priority="94785" stopIfTrue="1" operator="equal">
      <formula>-1</formula>
    </cfRule>
  </conditionalFormatting>
  <conditionalFormatting sqref="F52">
    <cfRule type="cellIs" dxfId="30240" priority="94786" stopIfTrue="1" operator="lessThan">
      <formula>0.5</formula>
    </cfRule>
  </conditionalFormatting>
  <conditionalFormatting sqref="F52">
    <cfRule type="cellIs" dxfId="30239" priority="94787" stopIfTrue="1" operator="greaterThanOrEqual">
      <formula>0.5</formula>
    </cfRule>
  </conditionalFormatting>
  <conditionalFormatting sqref="F53">
    <cfRule type="cellIs" dxfId="30238" priority="94788" stopIfTrue="1" operator="equal">
      <formula>-1</formula>
    </cfRule>
  </conditionalFormatting>
  <conditionalFormatting sqref="F53">
    <cfRule type="cellIs" dxfId="30237" priority="94789" stopIfTrue="1" operator="lessThan">
      <formula>0.5</formula>
    </cfRule>
  </conditionalFormatting>
  <conditionalFormatting sqref="F53">
    <cfRule type="cellIs" dxfId="30236" priority="94790" stopIfTrue="1" operator="greaterThanOrEqual">
      <formula>0.5</formula>
    </cfRule>
  </conditionalFormatting>
  <conditionalFormatting sqref="F54">
    <cfRule type="cellIs" dxfId="30235" priority="94791" stopIfTrue="1" operator="equal">
      <formula>-1</formula>
    </cfRule>
  </conditionalFormatting>
  <conditionalFormatting sqref="F54">
    <cfRule type="cellIs" dxfId="30234" priority="94792" stopIfTrue="1" operator="lessThan">
      <formula>0.5</formula>
    </cfRule>
  </conditionalFormatting>
  <conditionalFormatting sqref="F54">
    <cfRule type="cellIs" dxfId="30233" priority="94793" stopIfTrue="1" operator="greaterThanOrEqual">
      <formula>0.5</formula>
    </cfRule>
  </conditionalFormatting>
  <conditionalFormatting sqref="F55">
    <cfRule type="cellIs" dxfId="30232" priority="94794" stopIfTrue="1" operator="equal">
      <formula>-1</formula>
    </cfRule>
  </conditionalFormatting>
  <conditionalFormatting sqref="F55">
    <cfRule type="cellIs" dxfId="30231" priority="94795" stopIfTrue="1" operator="lessThan">
      <formula>0.5</formula>
    </cfRule>
  </conditionalFormatting>
  <conditionalFormatting sqref="F55">
    <cfRule type="cellIs" dxfId="30230" priority="94796" stopIfTrue="1" operator="greaterThanOrEqual">
      <formula>0.5</formula>
    </cfRule>
  </conditionalFormatting>
  <conditionalFormatting sqref="F56">
    <cfRule type="cellIs" dxfId="30229" priority="94797" stopIfTrue="1" operator="equal">
      <formula>-1</formula>
    </cfRule>
  </conditionalFormatting>
  <conditionalFormatting sqref="F56">
    <cfRule type="cellIs" dxfId="30228" priority="94798" stopIfTrue="1" operator="lessThan">
      <formula>0.5</formula>
    </cfRule>
  </conditionalFormatting>
  <conditionalFormatting sqref="F56">
    <cfRule type="cellIs" dxfId="30227" priority="94799" stopIfTrue="1" operator="greaterThanOrEqual">
      <formula>0.5</formula>
    </cfRule>
  </conditionalFormatting>
  <conditionalFormatting sqref="F57">
    <cfRule type="cellIs" dxfId="30226" priority="94800" stopIfTrue="1" operator="equal">
      <formula>-1</formula>
    </cfRule>
  </conditionalFormatting>
  <conditionalFormatting sqref="F57">
    <cfRule type="cellIs" dxfId="30225" priority="94801" stopIfTrue="1" operator="lessThan">
      <formula>0.5</formula>
    </cfRule>
  </conditionalFormatting>
  <conditionalFormatting sqref="F57">
    <cfRule type="cellIs" dxfId="30224" priority="94802" stopIfTrue="1" operator="greaterThanOrEqual">
      <formula>0.5</formula>
    </cfRule>
  </conditionalFormatting>
  <conditionalFormatting sqref="F58">
    <cfRule type="cellIs" dxfId="30223" priority="94803" stopIfTrue="1" operator="equal">
      <formula>-1</formula>
    </cfRule>
  </conditionalFormatting>
  <conditionalFormatting sqref="F58">
    <cfRule type="cellIs" dxfId="30222" priority="94804" stopIfTrue="1" operator="lessThan">
      <formula>0.5</formula>
    </cfRule>
  </conditionalFormatting>
  <conditionalFormatting sqref="F58">
    <cfRule type="cellIs" dxfId="30221" priority="94805" stopIfTrue="1" operator="greaterThanOrEqual">
      <formula>0.5</formula>
    </cfRule>
  </conditionalFormatting>
  <conditionalFormatting sqref="H39">
    <cfRule type="cellIs" dxfId="30220" priority="94806" stopIfTrue="1" operator="equal">
      <formula>-1</formula>
    </cfRule>
  </conditionalFormatting>
  <conditionalFormatting sqref="H39">
    <cfRule type="cellIs" dxfId="30219" priority="94807" stopIfTrue="1" operator="lessThan">
      <formula>0.5</formula>
    </cfRule>
  </conditionalFormatting>
  <conditionalFormatting sqref="H39">
    <cfRule type="cellIs" dxfId="30218" priority="94808" stopIfTrue="1" operator="greaterThanOrEqual">
      <formula>0.5</formula>
    </cfRule>
  </conditionalFormatting>
  <conditionalFormatting sqref="H40">
    <cfRule type="cellIs" dxfId="30217" priority="94809" stopIfTrue="1" operator="equal">
      <formula>-1</formula>
    </cfRule>
  </conditionalFormatting>
  <conditionalFormatting sqref="H40">
    <cfRule type="cellIs" dxfId="30216" priority="94810" stopIfTrue="1" operator="lessThan">
      <formula>0.5</formula>
    </cfRule>
  </conditionalFormatting>
  <conditionalFormatting sqref="H40">
    <cfRule type="cellIs" dxfId="30215" priority="94811" stopIfTrue="1" operator="greaterThanOrEqual">
      <formula>0.5</formula>
    </cfRule>
  </conditionalFormatting>
  <conditionalFormatting sqref="H41">
    <cfRule type="cellIs" dxfId="30214" priority="94812" stopIfTrue="1" operator="equal">
      <formula>-1</formula>
    </cfRule>
  </conditionalFormatting>
  <conditionalFormatting sqref="H41">
    <cfRule type="cellIs" dxfId="30213" priority="94813" stopIfTrue="1" operator="lessThan">
      <formula>0.5</formula>
    </cfRule>
  </conditionalFormatting>
  <conditionalFormatting sqref="H41">
    <cfRule type="cellIs" dxfId="30212" priority="94814" stopIfTrue="1" operator="greaterThanOrEqual">
      <formula>0.5</formula>
    </cfRule>
  </conditionalFormatting>
  <conditionalFormatting sqref="H42">
    <cfRule type="cellIs" dxfId="30211" priority="94815" stopIfTrue="1" operator="equal">
      <formula>-1</formula>
    </cfRule>
  </conditionalFormatting>
  <conditionalFormatting sqref="H42">
    <cfRule type="cellIs" dxfId="30210" priority="94816" stopIfTrue="1" operator="lessThan">
      <formula>0.5</formula>
    </cfRule>
  </conditionalFormatting>
  <conditionalFormatting sqref="H42">
    <cfRule type="cellIs" dxfId="30209" priority="94817" stopIfTrue="1" operator="greaterThanOrEqual">
      <formula>0.5</formula>
    </cfRule>
  </conditionalFormatting>
  <conditionalFormatting sqref="H43">
    <cfRule type="cellIs" dxfId="30208" priority="94818" stopIfTrue="1" operator="equal">
      <formula>-1</formula>
    </cfRule>
  </conditionalFormatting>
  <conditionalFormatting sqref="H43">
    <cfRule type="cellIs" dxfId="30207" priority="94819" stopIfTrue="1" operator="lessThan">
      <formula>0.5</formula>
    </cfRule>
  </conditionalFormatting>
  <conditionalFormatting sqref="H43">
    <cfRule type="cellIs" dxfId="30206" priority="94820" stopIfTrue="1" operator="greaterThanOrEqual">
      <formula>0.5</formula>
    </cfRule>
  </conditionalFormatting>
  <conditionalFormatting sqref="H44">
    <cfRule type="cellIs" dxfId="30205" priority="94821" stopIfTrue="1" operator="equal">
      <formula>-1</formula>
    </cfRule>
  </conditionalFormatting>
  <conditionalFormatting sqref="H44">
    <cfRule type="cellIs" dxfId="30204" priority="94822" stopIfTrue="1" operator="lessThan">
      <formula>0.5</formula>
    </cfRule>
  </conditionalFormatting>
  <conditionalFormatting sqref="H44">
    <cfRule type="cellIs" dxfId="30203" priority="94823" stopIfTrue="1" operator="greaterThanOrEqual">
      <formula>0.5</formula>
    </cfRule>
  </conditionalFormatting>
  <conditionalFormatting sqref="H45">
    <cfRule type="cellIs" dxfId="30202" priority="94824" stopIfTrue="1" operator="equal">
      <formula>-1</formula>
    </cfRule>
  </conditionalFormatting>
  <conditionalFormatting sqref="H45">
    <cfRule type="cellIs" dxfId="30201" priority="94825" stopIfTrue="1" operator="lessThan">
      <formula>0.5</formula>
    </cfRule>
  </conditionalFormatting>
  <conditionalFormatting sqref="H45">
    <cfRule type="cellIs" dxfId="30200" priority="94826" stopIfTrue="1" operator="greaterThanOrEqual">
      <formula>0.5</formula>
    </cfRule>
  </conditionalFormatting>
  <conditionalFormatting sqref="H46">
    <cfRule type="cellIs" dxfId="30199" priority="94827" stopIfTrue="1" operator="equal">
      <formula>-1</formula>
    </cfRule>
  </conditionalFormatting>
  <conditionalFormatting sqref="H46">
    <cfRule type="cellIs" dxfId="30198" priority="94828" stopIfTrue="1" operator="lessThan">
      <formula>0.5</formula>
    </cfRule>
  </conditionalFormatting>
  <conditionalFormatting sqref="H46">
    <cfRule type="cellIs" dxfId="30197" priority="94829" stopIfTrue="1" operator="greaterThanOrEqual">
      <formula>0.5</formula>
    </cfRule>
  </conditionalFormatting>
  <conditionalFormatting sqref="H47">
    <cfRule type="cellIs" dxfId="30196" priority="94830" stopIfTrue="1" operator="equal">
      <formula>-1</formula>
    </cfRule>
  </conditionalFormatting>
  <conditionalFormatting sqref="H47">
    <cfRule type="cellIs" dxfId="30195" priority="94831" stopIfTrue="1" operator="lessThan">
      <formula>0.5</formula>
    </cfRule>
  </conditionalFormatting>
  <conditionalFormatting sqref="H47">
    <cfRule type="cellIs" dxfId="30194" priority="94832" stopIfTrue="1" operator="greaterThanOrEqual">
      <formula>0.5</formula>
    </cfRule>
  </conditionalFormatting>
  <conditionalFormatting sqref="H48">
    <cfRule type="cellIs" dxfId="30193" priority="94833" stopIfTrue="1" operator="equal">
      <formula>-1</formula>
    </cfRule>
  </conditionalFormatting>
  <conditionalFormatting sqref="H48">
    <cfRule type="cellIs" dxfId="30192" priority="94834" stopIfTrue="1" operator="lessThan">
      <formula>0.5</formula>
    </cfRule>
  </conditionalFormatting>
  <conditionalFormatting sqref="H48">
    <cfRule type="cellIs" dxfId="30191" priority="94835" stopIfTrue="1" operator="greaterThanOrEqual">
      <formula>0.5</formula>
    </cfRule>
  </conditionalFormatting>
  <conditionalFormatting sqref="H49">
    <cfRule type="cellIs" dxfId="30190" priority="94836" stopIfTrue="1" operator="equal">
      <formula>-1</formula>
    </cfRule>
  </conditionalFormatting>
  <conditionalFormatting sqref="H49">
    <cfRule type="cellIs" dxfId="30189" priority="94837" stopIfTrue="1" operator="lessThan">
      <formula>0.5</formula>
    </cfRule>
  </conditionalFormatting>
  <conditionalFormatting sqref="H49">
    <cfRule type="cellIs" dxfId="30188" priority="94838" stopIfTrue="1" operator="greaterThanOrEqual">
      <formula>0.5</formula>
    </cfRule>
  </conditionalFormatting>
  <conditionalFormatting sqref="H50">
    <cfRule type="cellIs" dxfId="30187" priority="94839" stopIfTrue="1" operator="equal">
      <formula>-1</formula>
    </cfRule>
  </conditionalFormatting>
  <conditionalFormatting sqref="H50">
    <cfRule type="cellIs" dxfId="30186" priority="94840" stopIfTrue="1" operator="lessThan">
      <formula>0.5</formula>
    </cfRule>
  </conditionalFormatting>
  <conditionalFormatting sqref="H50">
    <cfRule type="cellIs" dxfId="30185" priority="94841" stopIfTrue="1" operator="greaterThanOrEqual">
      <formula>0.5</formula>
    </cfRule>
  </conditionalFormatting>
  <conditionalFormatting sqref="H51">
    <cfRule type="cellIs" dxfId="30184" priority="94842" stopIfTrue="1" operator="equal">
      <formula>-1</formula>
    </cfRule>
  </conditionalFormatting>
  <conditionalFormatting sqref="H51">
    <cfRule type="cellIs" dxfId="30183" priority="94843" stopIfTrue="1" operator="lessThan">
      <formula>0.5</formula>
    </cfRule>
  </conditionalFormatting>
  <conditionalFormatting sqref="H51">
    <cfRule type="cellIs" dxfId="30182" priority="94844" stopIfTrue="1" operator="greaterThanOrEqual">
      <formula>0.5</formula>
    </cfRule>
  </conditionalFormatting>
  <conditionalFormatting sqref="H52">
    <cfRule type="cellIs" dxfId="30181" priority="94845" stopIfTrue="1" operator="equal">
      <formula>-1</formula>
    </cfRule>
  </conditionalFormatting>
  <conditionalFormatting sqref="H52">
    <cfRule type="cellIs" dxfId="30180" priority="94846" stopIfTrue="1" operator="lessThan">
      <formula>0.5</formula>
    </cfRule>
  </conditionalFormatting>
  <conditionalFormatting sqref="H52">
    <cfRule type="cellIs" dxfId="30179" priority="94847" stopIfTrue="1" operator="greaterThanOrEqual">
      <formula>0.5</formula>
    </cfRule>
  </conditionalFormatting>
  <conditionalFormatting sqref="H53">
    <cfRule type="cellIs" dxfId="30178" priority="94848" stopIfTrue="1" operator="equal">
      <formula>-1</formula>
    </cfRule>
  </conditionalFormatting>
  <conditionalFormatting sqref="H53">
    <cfRule type="cellIs" dxfId="30177" priority="94849" stopIfTrue="1" operator="lessThan">
      <formula>0.5</formula>
    </cfRule>
  </conditionalFormatting>
  <conditionalFormatting sqref="H53">
    <cfRule type="cellIs" dxfId="30176" priority="94850" stopIfTrue="1" operator="greaterThanOrEqual">
      <formula>0.5</formula>
    </cfRule>
  </conditionalFormatting>
  <conditionalFormatting sqref="H54">
    <cfRule type="cellIs" dxfId="30175" priority="94851" stopIfTrue="1" operator="equal">
      <formula>-1</formula>
    </cfRule>
  </conditionalFormatting>
  <conditionalFormatting sqref="H54">
    <cfRule type="cellIs" dxfId="30174" priority="94852" stopIfTrue="1" operator="lessThan">
      <formula>0.5</formula>
    </cfRule>
  </conditionalFormatting>
  <conditionalFormatting sqref="H54">
    <cfRule type="cellIs" dxfId="30173" priority="94853" stopIfTrue="1" operator="greaterThanOrEqual">
      <formula>0.5</formula>
    </cfRule>
  </conditionalFormatting>
  <conditionalFormatting sqref="H55">
    <cfRule type="cellIs" dxfId="30172" priority="94854" stopIfTrue="1" operator="equal">
      <formula>-1</formula>
    </cfRule>
  </conditionalFormatting>
  <conditionalFormatting sqref="H55">
    <cfRule type="cellIs" dxfId="30171" priority="94855" stopIfTrue="1" operator="lessThan">
      <formula>0.5</formula>
    </cfRule>
  </conditionalFormatting>
  <conditionalFormatting sqref="H55">
    <cfRule type="cellIs" dxfId="30170" priority="94856" stopIfTrue="1" operator="greaterThanOrEqual">
      <formula>0.5</formula>
    </cfRule>
  </conditionalFormatting>
  <conditionalFormatting sqref="H56">
    <cfRule type="cellIs" dxfId="30169" priority="94857" stopIfTrue="1" operator="equal">
      <formula>-1</formula>
    </cfRule>
  </conditionalFormatting>
  <conditionalFormatting sqref="H56">
    <cfRule type="cellIs" dxfId="30168" priority="94858" stopIfTrue="1" operator="lessThan">
      <formula>0.5</formula>
    </cfRule>
  </conditionalFormatting>
  <conditionalFormatting sqref="H56">
    <cfRule type="cellIs" dxfId="30167" priority="94859" stopIfTrue="1" operator="greaterThanOrEqual">
      <formula>0.5</formula>
    </cfRule>
  </conditionalFormatting>
  <conditionalFormatting sqref="H57">
    <cfRule type="cellIs" dxfId="30166" priority="94860" stopIfTrue="1" operator="equal">
      <formula>-1</formula>
    </cfRule>
  </conditionalFormatting>
  <conditionalFormatting sqref="H57">
    <cfRule type="cellIs" dxfId="30165" priority="94861" stopIfTrue="1" operator="lessThan">
      <formula>0.5</formula>
    </cfRule>
  </conditionalFormatting>
  <conditionalFormatting sqref="H57">
    <cfRule type="cellIs" dxfId="30164" priority="94862" stopIfTrue="1" operator="greaterThanOrEqual">
      <formula>0.5</formula>
    </cfRule>
  </conditionalFormatting>
  <conditionalFormatting sqref="H58">
    <cfRule type="cellIs" dxfId="30163" priority="94863" stopIfTrue="1" operator="equal">
      <formula>-1</formula>
    </cfRule>
  </conditionalFormatting>
  <conditionalFormatting sqref="H58">
    <cfRule type="cellIs" dxfId="30162" priority="94864" stopIfTrue="1" operator="lessThan">
      <formula>0.5</formula>
    </cfRule>
  </conditionalFormatting>
  <conditionalFormatting sqref="H58">
    <cfRule type="cellIs" dxfId="30161" priority="94865" stopIfTrue="1" operator="greaterThanOrEqual">
      <formula>0.5</formula>
    </cfRule>
  </conditionalFormatting>
  <conditionalFormatting sqref="J39">
    <cfRule type="cellIs" dxfId="30160" priority="94866" stopIfTrue="1" operator="equal">
      <formula>-1</formula>
    </cfRule>
  </conditionalFormatting>
  <conditionalFormatting sqref="J39">
    <cfRule type="cellIs" dxfId="30159" priority="94867" stopIfTrue="1" operator="lessThan">
      <formula>0.5</formula>
    </cfRule>
  </conditionalFormatting>
  <conditionalFormatting sqref="J39">
    <cfRule type="cellIs" dxfId="30158" priority="94868" stopIfTrue="1" operator="greaterThanOrEqual">
      <formula>0.5</formula>
    </cfRule>
  </conditionalFormatting>
  <conditionalFormatting sqref="J40">
    <cfRule type="cellIs" dxfId="30157" priority="94869" stopIfTrue="1" operator="equal">
      <formula>-1</formula>
    </cfRule>
  </conditionalFormatting>
  <conditionalFormatting sqref="J40">
    <cfRule type="cellIs" dxfId="30156" priority="94870" stopIfTrue="1" operator="lessThan">
      <formula>0.5</formula>
    </cfRule>
  </conditionalFormatting>
  <conditionalFormatting sqref="J40">
    <cfRule type="cellIs" dxfId="30155" priority="94871" stopIfTrue="1" operator="greaterThanOrEqual">
      <formula>0.5</formula>
    </cfRule>
  </conditionalFormatting>
  <conditionalFormatting sqref="J41">
    <cfRule type="cellIs" dxfId="30154" priority="94872" stopIfTrue="1" operator="equal">
      <formula>-1</formula>
    </cfRule>
  </conditionalFormatting>
  <conditionalFormatting sqref="J41">
    <cfRule type="cellIs" dxfId="30153" priority="94873" stopIfTrue="1" operator="lessThan">
      <formula>0.5</formula>
    </cfRule>
  </conditionalFormatting>
  <conditionalFormatting sqref="J41">
    <cfRule type="cellIs" dxfId="30152" priority="94874" stopIfTrue="1" operator="greaterThanOrEqual">
      <formula>0.5</formula>
    </cfRule>
  </conditionalFormatting>
  <conditionalFormatting sqref="J42">
    <cfRule type="cellIs" dxfId="30151" priority="94875" stopIfTrue="1" operator="equal">
      <formula>-1</formula>
    </cfRule>
  </conditionalFormatting>
  <conditionalFormatting sqref="J42">
    <cfRule type="cellIs" dxfId="30150" priority="94876" stopIfTrue="1" operator="lessThan">
      <formula>0.5</formula>
    </cfRule>
  </conditionalFormatting>
  <conditionalFormatting sqref="J42">
    <cfRule type="cellIs" dxfId="30149" priority="94877" stopIfTrue="1" operator="greaterThanOrEqual">
      <formula>0.5</formula>
    </cfRule>
  </conditionalFormatting>
  <conditionalFormatting sqref="J43">
    <cfRule type="cellIs" dxfId="30148" priority="94878" stopIfTrue="1" operator="equal">
      <formula>-1</formula>
    </cfRule>
  </conditionalFormatting>
  <conditionalFormatting sqref="J43">
    <cfRule type="cellIs" dxfId="30147" priority="94879" stopIfTrue="1" operator="lessThan">
      <formula>0.5</formula>
    </cfRule>
  </conditionalFormatting>
  <conditionalFormatting sqref="J43">
    <cfRule type="cellIs" dxfId="30146" priority="94880" stopIfTrue="1" operator="greaterThanOrEqual">
      <formula>0.5</formula>
    </cfRule>
  </conditionalFormatting>
  <conditionalFormatting sqref="J44">
    <cfRule type="cellIs" dxfId="30145" priority="94881" stopIfTrue="1" operator="equal">
      <formula>-1</formula>
    </cfRule>
  </conditionalFormatting>
  <conditionalFormatting sqref="J44">
    <cfRule type="cellIs" dxfId="30144" priority="94882" stopIfTrue="1" operator="lessThan">
      <formula>0.5</formula>
    </cfRule>
  </conditionalFormatting>
  <conditionalFormatting sqref="J44">
    <cfRule type="cellIs" dxfId="30143" priority="94883" stopIfTrue="1" operator="greaterThanOrEqual">
      <formula>0.5</formula>
    </cfRule>
  </conditionalFormatting>
  <conditionalFormatting sqref="J45">
    <cfRule type="cellIs" dxfId="30142" priority="94884" stopIfTrue="1" operator="equal">
      <formula>-1</formula>
    </cfRule>
  </conditionalFormatting>
  <conditionalFormatting sqref="J45">
    <cfRule type="cellIs" dxfId="30141" priority="94885" stopIfTrue="1" operator="lessThan">
      <formula>0.5</formula>
    </cfRule>
  </conditionalFormatting>
  <conditionalFormatting sqref="J45">
    <cfRule type="cellIs" dxfId="30140" priority="94886" stopIfTrue="1" operator="greaterThanOrEqual">
      <formula>0.5</formula>
    </cfRule>
  </conditionalFormatting>
  <conditionalFormatting sqref="J46">
    <cfRule type="cellIs" dxfId="30139" priority="94887" stopIfTrue="1" operator="equal">
      <formula>-1</formula>
    </cfRule>
  </conditionalFormatting>
  <conditionalFormatting sqref="J46">
    <cfRule type="cellIs" dxfId="30138" priority="94888" stopIfTrue="1" operator="lessThan">
      <formula>0.5</formula>
    </cfRule>
  </conditionalFormatting>
  <conditionalFormatting sqref="J46">
    <cfRule type="cellIs" dxfId="30137" priority="94889" stopIfTrue="1" operator="greaterThanOrEqual">
      <formula>0.5</formula>
    </cfRule>
  </conditionalFormatting>
  <conditionalFormatting sqref="J47">
    <cfRule type="cellIs" dxfId="30136" priority="94890" stopIfTrue="1" operator="equal">
      <formula>-1</formula>
    </cfRule>
  </conditionalFormatting>
  <conditionalFormatting sqref="J47">
    <cfRule type="cellIs" dxfId="30135" priority="94891" stopIfTrue="1" operator="lessThan">
      <formula>0.5</formula>
    </cfRule>
  </conditionalFormatting>
  <conditionalFormatting sqref="J47">
    <cfRule type="cellIs" dxfId="30134" priority="94892" stopIfTrue="1" operator="greaterThanOrEqual">
      <formula>0.5</formula>
    </cfRule>
  </conditionalFormatting>
  <conditionalFormatting sqref="J48">
    <cfRule type="cellIs" dxfId="30133" priority="94893" stopIfTrue="1" operator="equal">
      <formula>-1</formula>
    </cfRule>
  </conditionalFormatting>
  <conditionalFormatting sqref="J48">
    <cfRule type="cellIs" dxfId="30132" priority="94894" stopIfTrue="1" operator="lessThan">
      <formula>0.5</formula>
    </cfRule>
  </conditionalFormatting>
  <conditionalFormatting sqref="J48">
    <cfRule type="cellIs" dxfId="30131" priority="94895" stopIfTrue="1" operator="greaterThanOrEqual">
      <formula>0.5</formula>
    </cfRule>
  </conditionalFormatting>
  <conditionalFormatting sqref="J49">
    <cfRule type="cellIs" dxfId="30130" priority="94896" stopIfTrue="1" operator="equal">
      <formula>-1</formula>
    </cfRule>
  </conditionalFormatting>
  <conditionalFormatting sqref="J49">
    <cfRule type="cellIs" dxfId="30129" priority="94897" stopIfTrue="1" operator="lessThan">
      <formula>0.5</formula>
    </cfRule>
  </conditionalFormatting>
  <conditionalFormatting sqref="J49">
    <cfRule type="cellIs" dxfId="30128" priority="94898" stopIfTrue="1" operator="greaterThanOrEqual">
      <formula>0.5</formula>
    </cfRule>
  </conditionalFormatting>
  <conditionalFormatting sqref="J50">
    <cfRule type="cellIs" dxfId="30127" priority="94899" stopIfTrue="1" operator="equal">
      <formula>-1</formula>
    </cfRule>
  </conditionalFormatting>
  <conditionalFormatting sqref="J50">
    <cfRule type="cellIs" dxfId="30126" priority="94900" stopIfTrue="1" operator="lessThan">
      <formula>0.5</formula>
    </cfRule>
  </conditionalFormatting>
  <conditionalFormatting sqref="J50">
    <cfRule type="cellIs" dxfId="30125" priority="94901" stopIfTrue="1" operator="greaterThanOrEqual">
      <formula>0.5</formula>
    </cfRule>
  </conditionalFormatting>
  <conditionalFormatting sqref="J51">
    <cfRule type="cellIs" dxfId="30124" priority="94902" stopIfTrue="1" operator="equal">
      <formula>-1</formula>
    </cfRule>
  </conditionalFormatting>
  <conditionalFormatting sqref="J51">
    <cfRule type="cellIs" dxfId="30123" priority="94903" stopIfTrue="1" operator="lessThan">
      <formula>0.5</formula>
    </cfRule>
  </conditionalFormatting>
  <conditionalFormatting sqref="J51">
    <cfRule type="cellIs" dxfId="30122" priority="94904" stopIfTrue="1" operator="greaterThanOrEqual">
      <formula>0.5</formula>
    </cfRule>
  </conditionalFormatting>
  <conditionalFormatting sqref="J52">
    <cfRule type="cellIs" dxfId="30121" priority="94905" stopIfTrue="1" operator="equal">
      <formula>-1</formula>
    </cfRule>
  </conditionalFormatting>
  <conditionalFormatting sqref="J52">
    <cfRule type="cellIs" dxfId="30120" priority="94906" stopIfTrue="1" operator="lessThan">
      <formula>0.5</formula>
    </cfRule>
  </conditionalFormatting>
  <conditionalFormatting sqref="J52">
    <cfRule type="cellIs" dxfId="30119" priority="94907" stopIfTrue="1" operator="greaterThanOrEqual">
      <formula>0.5</formula>
    </cfRule>
  </conditionalFormatting>
  <conditionalFormatting sqref="J53">
    <cfRule type="cellIs" dxfId="30118" priority="94908" stopIfTrue="1" operator="equal">
      <formula>-1</formula>
    </cfRule>
  </conditionalFormatting>
  <conditionalFormatting sqref="J53">
    <cfRule type="cellIs" dxfId="30117" priority="94909" stopIfTrue="1" operator="lessThan">
      <formula>0.5</formula>
    </cfRule>
  </conditionalFormatting>
  <conditionalFormatting sqref="J53">
    <cfRule type="cellIs" dxfId="30116" priority="94910" stopIfTrue="1" operator="greaterThanOrEqual">
      <formula>0.5</formula>
    </cfRule>
  </conditionalFormatting>
  <conditionalFormatting sqref="J54">
    <cfRule type="cellIs" dxfId="30115" priority="94911" stopIfTrue="1" operator="equal">
      <formula>-1</formula>
    </cfRule>
  </conditionalFormatting>
  <conditionalFormatting sqref="J54">
    <cfRule type="cellIs" dxfId="30114" priority="94912" stopIfTrue="1" operator="lessThan">
      <formula>0.5</formula>
    </cfRule>
  </conditionalFormatting>
  <conditionalFormatting sqref="J54">
    <cfRule type="cellIs" dxfId="30113" priority="94913" stopIfTrue="1" operator="greaterThanOrEqual">
      <formula>0.5</formula>
    </cfRule>
  </conditionalFormatting>
  <conditionalFormatting sqref="J55">
    <cfRule type="cellIs" dxfId="30112" priority="94914" stopIfTrue="1" operator="equal">
      <formula>-1</formula>
    </cfRule>
  </conditionalFormatting>
  <conditionalFormatting sqref="J55">
    <cfRule type="cellIs" dxfId="30111" priority="94915" stopIfTrue="1" operator="lessThan">
      <formula>0.5</formula>
    </cfRule>
  </conditionalFormatting>
  <conditionalFormatting sqref="J55">
    <cfRule type="cellIs" dxfId="30110" priority="94916" stopIfTrue="1" operator="greaterThanOrEqual">
      <formula>0.5</formula>
    </cfRule>
  </conditionalFormatting>
  <conditionalFormatting sqref="J56">
    <cfRule type="cellIs" dxfId="30109" priority="94917" stopIfTrue="1" operator="equal">
      <formula>-1</formula>
    </cfRule>
  </conditionalFormatting>
  <conditionalFormatting sqref="J56">
    <cfRule type="cellIs" dxfId="30108" priority="94918" stopIfTrue="1" operator="lessThan">
      <formula>0.5</formula>
    </cfRule>
  </conditionalFormatting>
  <conditionalFormatting sqref="J56">
    <cfRule type="cellIs" dxfId="30107" priority="94919" stopIfTrue="1" operator="greaterThanOrEqual">
      <formula>0.5</formula>
    </cfRule>
  </conditionalFormatting>
  <conditionalFormatting sqref="J57">
    <cfRule type="cellIs" dxfId="30106" priority="94920" stopIfTrue="1" operator="equal">
      <formula>-1</formula>
    </cfRule>
  </conditionalFormatting>
  <conditionalFormatting sqref="J57">
    <cfRule type="cellIs" dxfId="30105" priority="94921" stopIfTrue="1" operator="lessThan">
      <formula>0.5</formula>
    </cfRule>
  </conditionalFormatting>
  <conditionalFormatting sqref="J57">
    <cfRule type="cellIs" dxfId="30104" priority="94922" stopIfTrue="1" operator="greaterThanOrEqual">
      <formula>0.5</formula>
    </cfRule>
  </conditionalFormatting>
  <conditionalFormatting sqref="J58">
    <cfRule type="cellIs" dxfId="30103" priority="94923" stopIfTrue="1" operator="equal">
      <formula>-1</formula>
    </cfRule>
  </conditionalFormatting>
  <conditionalFormatting sqref="J58">
    <cfRule type="cellIs" dxfId="30102" priority="94924" stopIfTrue="1" operator="lessThan">
      <formula>0.5</formula>
    </cfRule>
  </conditionalFormatting>
  <conditionalFormatting sqref="J58">
    <cfRule type="cellIs" dxfId="30101" priority="94925" stopIfTrue="1" operator="greaterThanOrEqual">
      <formula>0.5</formula>
    </cfRule>
  </conditionalFormatting>
  <conditionalFormatting sqref="L39">
    <cfRule type="cellIs" dxfId="30100" priority="94926" stopIfTrue="1" operator="equal">
      <formula>-1</formula>
    </cfRule>
  </conditionalFormatting>
  <conditionalFormatting sqref="L39">
    <cfRule type="cellIs" dxfId="30099" priority="94927" stopIfTrue="1" operator="lessThan">
      <formula>0.5</formula>
    </cfRule>
  </conditionalFormatting>
  <conditionalFormatting sqref="L39">
    <cfRule type="cellIs" dxfId="30098" priority="94928" stopIfTrue="1" operator="greaterThanOrEqual">
      <formula>0.5</formula>
    </cfRule>
  </conditionalFormatting>
  <conditionalFormatting sqref="L40">
    <cfRule type="cellIs" dxfId="30097" priority="94929" stopIfTrue="1" operator="equal">
      <formula>-1</formula>
    </cfRule>
  </conditionalFormatting>
  <conditionalFormatting sqref="L40">
    <cfRule type="cellIs" dxfId="30096" priority="94930" stopIfTrue="1" operator="lessThan">
      <formula>0.5</formula>
    </cfRule>
  </conditionalFormatting>
  <conditionalFormatting sqref="L40">
    <cfRule type="cellIs" dxfId="30095" priority="94931" stopIfTrue="1" operator="greaterThanOrEqual">
      <formula>0.5</formula>
    </cfRule>
  </conditionalFormatting>
  <conditionalFormatting sqref="L41">
    <cfRule type="cellIs" dxfId="30094" priority="94932" stopIfTrue="1" operator="equal">
      <formula>-1</formula>
    </cfRule>
  </conditionalFormatting>
  <conditionalFormatting sqref="L41">
    <cfRule type="cellIs" dxfId="30093" priority="94933" stopIfTrue="1" operator="lessThan">
      <formula>0.5</formula>
    </cfRule>
  </conditionalFormatting>
  <conditionalFormatting sqref="L41">
    <cfRule type="cellIs" dxfId="30092" priority="94934" stopIfTrue="1" operator="greaterThanOrEqual">
      <formula>0.5</formula>
    </cfRule>
  </conditionalFormatting>
  <conditionalFormatting sqref="L42">
    <cfRule type="cellIs" dxfId="30091" priority="94935" stopIfTrue="1" operator="equal">
      <formula>-1</formula>
    </cfRule>
  </conditionalFormatting>
  <conditionalFormatting sqref="L42">
    <cfRule type="cellIs" dxfId="30090" priority="94936" stopIfTrue="1" operator="lessThan">
      <formula>0.5</formula>
    </cfRule>
  </conditionalFormatting>
  <conditionalFormatting sqref="L42">
    <cfRule type="cellIs" dxfId="30089" priority="94937" stopIfTrue="1" operator="greaterThanOrEqual">
      <formula>0.5</formula>
    </cfRule>
  </conditionalFormatting>
  <conditionalFormatting sqref="L43">
    <cfRule type="cellIs" dxfId="30088" priority="94938" stopIfTrue="1" operator="equal">
      <formula>-1</formula>
    </cfRule>
  </conditionalFormatting>
  <conditionalFormatting sqref="L43">
    <cfRule type="cellIs" dxfId="30087" priority="94939" stopIfTrue="1" operator="lessThan">
      <formula>0.5</formula>
    </cfRule>
  </conditionalFormatting>
  <conditionalFormatting sqref="L43">
    <cfRule type="cellIs" dxfId="30086" priority="94940" stopIfTrue="1" operator="greaterThanOrEqual">
      <formula>0.5</formula>
    </cfRule>
  </conditionalFormatting>
  <conditionalFormatting sqref="L44">
    <cfRule type="cellIs" dxfId="30085" priority="94941" stopIfTrue="1" operator="equal">
      <formula>-1</formula>
    </cfRule>
  </conditionalFormatting>
  <conditionalFormatting sqref="L44">
    <cfRule type="cellIs" dxfId="30084" priority="94942" stopIfTrue="1" operator="lessThan">
      <formula>0.5</formula>
    </cfRule>
  </conditionalFormatting>
  <conditionalFormatting sqref="L44">
    <cfRule type="cellIs" dxfId="30083" priority="94943" stopIfTrue="1" operator="greaterThanOrEqual">
      <formula>0.5</formula>
    </cfRule>
  </conditionalFormatting>
  <conditionalFormatting sqref="L45">
    <cfRule type="cellIs" dxfId="30082" priority="94944" stopIfTrue="1" operator="equal">
      <formula>-1</formula>
    </cfRule>
  </conditionalFormatting>
  <conditionalFormatting sqref="L45">
    <cfRule type="cellIs" dxfId="30081" priority="94945" stopIfTrue="1" operator="lessThan">
      <formula>0.5</formula>
    </cfRule>
  </conditionalFormatting>
  <conditionalFormatting sqref="L45">
    <cfRule type="cellIs" dxfId="30080" priority="94946" stopIfTrue="1" operator="greaterThanOrEqual">
      <formula>0.5</formula>
    </cfRule>
  </conditionalFormatting>
  <conditionalFormatting sqref="L46">
    <cfRule type="cellIs" dxfId="30079" priority="94947" stopIfTrue="1" operator="equal">
      <formula>-1</formula>
    </cfRule>
  </conditionalFormatting>
  <conditionalFormatting sqref="L46">
    <cfRule type="cellIs" dxfId="30078" priority="94948" stopIfTrue="1" operator="lessThan">
      <formula>0.5</formula>
    </cfRule>
  </conditionalFormatting>
  <conditionalFormatting sqref="L46">
    <cfRule type="cellIs" dxfId="30077" priority="94949" stopIfTrue="1" operator="greaterThanOrEqual">
      <formula>0.5</formula>
    </cfRule>
  </conditionalFormatting>
  <conditionalFormatting sqref="L47">
    <cfRule type="cellIs" dxfId="30076" priority="94950" stopIfTrue="1" operator="equal">
      <formula>-1</formula>
    </cfRule>
  </conditionalFormatting>
  <conditionalFormatting sqref="L47">
    <cfRule type="cellIs" dxfId="30075" priority="94951" stopIfTrue="1" operator="lessThan">
      <formula>0.5</formula>
    </cfRule>
  </conditionalFormatting>
  <conditionalFormatting sqref="L47">
    <cfRule type="cellIs" dxfId="30074" priority="94952" stopIfTrue="1" operator="greaterThanOrEqual">
      <formula>0.5</formula>
    </cfRule>
  </conditionalFormatting>
  <conditionalFormatting sqref="L48">
    <cfRule type="cellIs" dxfId="30073" priority="94953" stopIfTrue="1" operator="equal">
      <formula>-1</formula>
    </cfRule>
  </conditionalFormatting>
  <conditionalFormatting sqref="L48">
    <cfRule type="cellIs" dxfId="30072" priority="94954" stopIfTrue="1" operator="lessThan">
      <formula>0.5</formula>
    </cfRule>
  </conditionalFormatting>
  <conditionalFormatting sqref="L48">
    <cfRule type="cellIs" dxfId="30071" priority="94955" stopIfTrue="1" operator="greaterThanOrEqual">
      <formula>0.5</formula>
    </cfRule>
  </conditionalFormatting>
  <conditionalFormatting sqref="L49">
    <cfRule type="cellIs" dxfId="30070" priority="94956" stopIfTrue="1" operator="equal">
      <formula>-1</formula>
    </cfRule>
  </conditionalFormatting>
  <conditionalFormatting sqref="L49">
    <cfRule type="cellIs" dxfId="30069" priority="94957" stopIfTrue="1" operator="lessThan">
      <formula>0.5</formula>
    </cfRule>
  </conditionalFormatting>
  <conditionalFormatting sqref="L49">
    <cfRule type="cellIs" dxfId="30068" priority="94958" stopIfTrue="1" operator="greaterThanOrEqual">
      <formula>0.5</formula>
    </cfRule>
  </conditionalFormatting>
  <conditionalFormatting sqref="L50">
    <cfRule type="cellIs" dxfId="30067" priority="94959" stopIfTrue="1" operator="equal">
      <formula>-1</formula>
    </cfRule>
  </conditionalFormatting>
  <conditionalFormatting sqref="L50">
    <cfRule type="cellIs" dxfId="30066" priority="94960" stopIfTrue="1" operator="lessThan">
      <formula>0.5</formula>
    </cfRule>
  </conditionalFormatting>
  <conditionalFormatting sqref="L50">
    <cfRule type="cellIs" dxfId="30065" priority="94961" stopIfTrue="1" operator="greaterThanOrEqual">
      <formula>0.5</formula>
    </cfRule>
  </conditionalFormatting>
  <conditionalFormatting sqref="L51">
    <cfRule type="cellIs" dxfId="30064" priority="94962" stopIfTrue="1" operator="equal">
      <formula>-1</formula>
    </cfRule>
  </conditionalFormatting>
  <conditionalFormatting sqref="L51">
    <cfRule type="cellIs" dxfId="30063" priority="94963" stopIfTrue="1" operator="lessThan">
      <formula>0.5</formula>
    </cfRule>
  </conditionalFormatting>
  <conditionalFormatting sqref="L51">
    <cfRule type="cellIs" dxfId="30062" priority="94964" stopIfTrue="1" operator="greaterThanOrEqual">
      <formula>0.5</formula>
    </cfRule>
  </conditionalFormatting>
  <conditionalFormatting sqref="L52">
    <cfRule type="cellIs" dxfId="30061" priority="94965" stopIfTrue="1" operator="equal">
      <formula>-1</formula>
    </cfRule>
  </conditionalFormatting>
  <conditionalFormatting sqref="L52">
    <cfRule type="cellIs" dxfId="30060" priority="94966" stopIfTrue="1" operator="lessThan">
      <formula>0.5</formula>
    </cfRule>
  </conditionalFormatting>
  <conditionalFormatting sqref="L52">
    <cfRule type="cellIs" dxfId="30059" priority="94967" stopIfTrue="1" operator="greaterThanOrEqual">
      <formula>0.5</formula>
    </cfRule>
  </conditionalFormatting>
  <conditionalFormatting sqref="L53">
    <cfRule type="cellIs" dxfId="30058" priority="94968" stopIfTrue="1" operator="equal">
      <formula>-1</formula>
    </cfRule>
  </conditionalFormatting>
  <conditionalFormatting sqref="L53">
    <cfRule type="cellIs" dxfId="30057" priority="94969" stopIfTrue="1" operator="lessThan">
      <formula>0.5</formula>
    </cfRule>
  </conditionalFormatting>
  <conditionalFormatting sqref="L53">
    <cfRule type="cellIs" dxfId="30056" priority="94970" stopIfTrue="1" operator="greaterThanOrEqual">
      <formula>0.5</formula>
    </cfRule>
  </conditionalFormatting>
  <conditionalFormatting sqref="L54">
    <cfRule type="cellIs" dxfId="30055" priority="94971" stopIfTrue="1" operator="equal">
      <formula>-1</formula>
    </cfRule>
  </conditionalFormatting>
  <conditionalFormatting sqref="L54">
    <cfRule type="cellIs" dxfId="30054" priority="94972" stopIfTrue="1" operator="lessThan">
      <formula>0.5</formula>
    </cfRule>
  </conditionalFormatting>
  <conditionalFormatting sqref="L54">
    <cfRule type="cellIs" dxfId="30053" priority="94973" stopIfTrue="1" operator="greaterThanOrEqual">
      <formula>0.5</formula>
    </cfRule>
  </conditionalFormatting>
  <conditionalFormatting sqref="L55">
    <cfRule type="cellIs" dxfId="30052" priority="94974" stopIfTrue="1" operator="equal">
      <formula>-1</formula>
    </cfRule>
  </conditionalFormatting>
  <conditionalFormatting sqref="L55">
    <cfRule type="cellIs" dxfId="30051" priority="94975" stopIfTrue="1" operator="lessThan">
      <formula>0.5</formula>
    </cfRule>
  </conditionalFormatting>
  <conditionalFormatting sqref="L55">
    <cfRule type="cellIs" dxfId="30050" priority="94976" stopIfTrue="1" operator="greaterThanOrEqual">
      <formula>0.5</formula>
    </cfRule>
  </conditionalFormatting>
  <conditionalFormatting sqref="L56">
    <cfRule type="cellIs" dxfId="30049" priority="94977" stopIfTrue="1" operator="equal">
      <formula>-1</formula>
    </cfRule>
  </conditionalFormatting>
  <conditionalFormatting sqref="L56">
    <cfRule type="cellIs" dxfId="30048" priority="94978" stopIfTrue="1" operator="lessThan">
      <formula>0.5</formula>
    </cfRule>
  </conditionalFormatting>
  <conditionalFormatting sqref="L56">
    <cfRule type="cellIs" dxfId="30047" priority="94979" stopIfTrue="1" operator="greaterThanOrEqual">
      <formula>0.5</formula>
    </cfRule>
  </conditionalFormatting>
  <conditionalFormatting sqref="L57">
    <cfRule type="cellIs" dxfId="30046" priority="94980" stopIfTrue="1" operator="equal">
      <formula>-1</formula>
    </cfRule>
  </conditionalFormatting>
  <conditionalFormatting sqref="L57">
    <cfRule type="cellIs" dxfId="30045" priority="94981" stopIfTrue="1" operator="lessThan">
      <formula>0.5</formula>
    </cfRule>
  </conditionalFormatting>
  <conditionalFormatting sqref="L57">
    <cfRule type="cellIs" dxfId="30044" priority="94982" stopIfTrue="1" operator="greaterThanOrEqual">
      <formula>0.5</formula>
    </cfRule>
  </conditionalFormatting>
  <conditionalFormatting sqref="L58">
    <cfRule type="cellIs" dxfId="30043" priority="94983" stopIfTrue="1" operator="equal">
      <formula>-1</formula>
    </cfRule>
  </conditionalFormatting>
  <conditionalFormatting sqref="L58">
    <cfRule type="cellIs" dxfId="30042" priority="94984" stopIfTrue="1" operator="lessThan">
      <formula>0.5</formula>
    </cfRule>
  </conditionalFormatting>
  <conditionalFormatting sqref="L58">
    <cfRule type="cellIs" dxfId="30041" priority="94985" stopIfTrue="1" operator="greaterThanOrEqual">
      <formula>0.5</formula>
    </cfRule>
  </conditionalFormatting>
  <conditionalFormatting sqref="N39">
    <cfRule type="cellIs" dxfId="30040" priority="94986" stopIfTrue="1" operator="equal">
      <formula>-1</formula>
    </cfRule>
  </conditionalFormatting>
  <conditionalFormatting sqref="N39">
    <cfRule type="cellIs" dxfId="30039" priority="94987" stopIfTrue="1" operator="lessThan">
      <formula>0.5</formula>
    </cfRule>
  </conditionalFormatting>
  <conditionalFormatting sqref="N39">
    <cfRule type="cellIs" dxfId="30038" priority="94988" stopIfTrue="1" operator="greaterThanOrEqual">
      <formula>0.5</formula>
    </cfRule>
  </conditionalFormatting>
  <conditionalFormatting sqref="N40">
    <cfRule type="cellIs" dxfId="30037" priority="94989" stopIfTrue="1" operator="equal">
      <formula>-1</formula>
    </cfRule>
  </conditionalFormatting>
  <conditionalFormatting sqref="N40">
    <cfRule type="cellIs" dxfId="30036" priority="94990" stopIfTrue="1" operator="lessThan">
      <formula>0.5</formula>
    </cfRule>
  </conditionalFormatting>
  <conditionalFormatting sqref="N40">
    <cfRule type="cellIs" dxfId="30035" priority="94991" stopIfTrue="1" operator="greaterThanOrEqual">
      <formula>0.5</formula>
    </cfRule>
  </conditionalFormatting>
  <conditionalFormatting sqref="N41">
    <cfRule type="cellIs" dxfId="30034" priority="94992" stopIfTrue="1" operator="equal">
      <formula>-1</formula>
    </cfRule>
  </conditionalFormatting>
  <conditionalFormatting sqref="N41">
    <cfRule type="cellIs" dxfId="30033" priority="94993" stopIfTrue="1" operator="lessThan">
      <formula>0.5</formula>
    </cfRule>
  </conditionalFormatting>
  <conditionalFormatting sqref="N41">
    <cfRule type="cellIs" dxfId="30032" priority="94994" stopIfTrue="1" operator="greaterThanOrEqual">
      <formula>0.5</formula>
    </cfRule>
  </conditionalFormatting>
  <conditionalFormatting sqref="N42">
    <cfRule type="cellIs" dxfId="30031" priority="94995" stopIfTrue="1" operator="equal">
      <formula>-1</formula>
    </cfRule>
  </conditionalFormatting>
  <conditionalFormatting sqref="N42">
    <cfRule type="cellIs" dxfId="30030" priority="94996" stopIfTrue="1" operator="lessThan">
      <formula>0.5</formula>
    </cfRule>
  </conditionalFormatting>
  <conditionalFormatting sqref="N42">
    <cfRule type="cellIs" dxfId="30029" priority="94997" stopIfTrue="1" operator="greaterThanOrEqual">
      <formula>0.5</formula>
    </cfRule>
  </conditionalFormatting>
  <conditionalFormatting sqref="N43">
    <cfRule type="cellIs" dxfId="30028" priority="94998" stopIfTrue="1" operator="equal">
      <formula>-1</formula>
    </cfRule>
  </conditionalFormatting>
  <conditionalFormatting sqref="N43">
    <cfRule type="cellIs" dxfId="30027" priority="94999" stopIfTrue="1" operator="lessThan">
      <formula>0.5</formula>
    </cfRule>
  </conditionalFormatting>
  <conditionalFormatting sqref="N43">
    <cfRule type="cellIs" dxfId="30026" priority="95000" stopIfTrue="1" operator="greaterThanOrEqual">
      <formula>0.5</formula>
    </cfRule>
  </conditionalFormatting>
  <conditionalFormatting sqref="N44">
    <cfRule type="cellIs" dxfId="30025" priority="95001" stopIfTrue="1" operator="equal">
      <formula>-1</formula>
    </cfRule>
  </conditionalFormatting>
  <conditionalFormatting sqref="N44">
    <cfRule type="cellIs" dxfId="30024" priority="95002" stopIfTrue="1" operator="lessThan">
      <formula>0.5</formula>
    </cfRule>
  </conditionalFormatting>
  <conditionalFormatting sqref="N44">
    <cfRule type="cellIs" dxfId="30023" priority="95003" stopIfTrue="1" operator="greaterThanOrEqual">
      <formula>0.5</formula>
    </cfRule>
  </conditionalFormatting>
  <conditionalFormatting sqref="N45">
    <cfRule type="cellIs" dxfId="30022" priority="95004" stopIfTrue="1" operator="equal">
      <formula>-1</formula>
    </cfRule>
  </conditionalFormatting>
  <conditionalFormatting sqref="N45">
    <cfRule type="cellIs" dxfId="30021" priority="95005" stopIfTrue="1" operator="lessThan">
      <formula>0.5</formula>
    </cfRule>
  </conditionalFormatting>
  <conditionalFormatting sqref="N45">
    <cfRule type="cellIs" dxfId="30020" priority="95006" stopIfTrue="1" operator="greaterThanOrEqual">
      <formula>0.5</formula>
    </cfRule>
  </conditionalFormatting>
  <conditionalFormatting sqref="N46">
    <cfRule type="cellIs" dxfId="30019" priority="95007" stopIfTrue="1" operator="equal">
      <formula>-1</formula>
    </cfRule>
  </conditionalFormatting>
  <conditionalFormatting sqref="N46">
    <cfRule type="cellIs" dxfId="30018" priority="95008" stopIfTrue="1" operator="lessThan">
      <formula>0.5</formula>
    </cfRule>
  </conditionalFormatting>
  <conditionalFormatting sqref="N46">
    <cfRule type="cellIs" dxfId="30017" priority="95009" stopIfTrue="1" operator="greaterThanOrEqual">
      <formula>0.5</formula>
    </cfRule>
  </conditionalFormatting>
  <conditionalFormatting sqref="N47">
    <cfRule type="cellIs" dxfId="30016" priority="95010" stopIfTrue="1" operator="equal">
      <formula>-1</formula>
    </cfRule>
  </conditionalFormatting>
  <conditionalFormatting sqref="N47">
    <cfRule type="cellIs" dxfId="30015" priority="95011" stopIfTrue="1" operator="lessThan">
      <formula>0.5</formula>
    </cfRule>
  </conditionalFormatting>
  <conditionalFormatting sqref="N47">
    <cfRule type="cellIs" dxfId="30014" priority="95012" stopIfTrue="1" operator="greaterThanOrEqual">
      <formula>0.5</formula>
    </cfRule>
  </conditionalFormatting>
  <conditionalFormatting sqref="N48">
    <cfRule type="cellIs" dxfId="30013" priority="95013" stopIfTrue="1" operator="equal">
      <formula>-1</formula>
    </cfRule>
  </conditionalFormatting>
  <conditionalFormatting sqref="N48">
    <cfRule type="cellIs" dxfId="30012" priority="95014" stopIfTrue="1" operator="lessThan">
      <formula>0.5</formula>
    </cfRule>
  </conditionalFormatting>
  <conditionalFormatting sqref="N48">
    <cfRule type="cellIs" dxfId="30011" priority="95015" stopIfTrue="1" operator="greaterThanOrEqual">
      <formula>0.5</formula>
    </cfRule>
  </conditionalFormatting>
  <conditionalFormatting sqref="N49">
    <cfRule type="cellIs" dxfId="30010" priority="95016" stopIfTrue="1" operator="equal">
      <formula>-1</formula>
    </cfRule>
  </conditionalFormatting>
  <conditionalFormatting sqref="N49">
    <cfRule type="cellIs" dxfId="30009" priority="95017" stopIfTrue="1" operator="lessThan">
      <formula>0.5</formula>
    </cfRule>
  </conditionalFormatting>
  <conditionalFormatting sqref="N49">
    <cfRule type="cellIs" dxfId="30008" priority="95018" stopIfTrue="1" operator="greaterThanOrEqual">
      <formula>0.5</formula>
    </cfRule>
  </conditionalFormatting>
  <conditionalFormatting sqref="N50">
    <cfRule type="cellIs" dxfId="30007" priority="95019" stopIfTrue="1" operator="equal">
      <formula>-1</formula>
    </cfRule>
  </conditionalFormatting>
  <conditionalFormatting sqref="N50">
    <cfRule type="cellIs" dxfId="30006" priority="95020" stopIfTrue="1" operator="lessThan">
      <formula>0.5</formula>
    </cfRule>
  </conditionalFormatting>
  <conditionalFormatting sqref="N50">
    <cfRule type="cellIs" dxfId="30005" priority="95021" stopIfTrue="1" operator="greaterThanOrEqual">
      <formula>0.5</formula>
    </cfRule>
  </conditionalFormatting>
  <conditionalFormatting sqref="N51">
    <cfRule type="cellIs" dxfId="30004" priority="95022" stopIfTrue="1" operator="equal">
      <formula>-1</formula>
    </cfRule>
  </conditionalFormatting>
  <conditionalFormatting sqref="N51">
    <cfRule type="cellIs" dxfId="30003" priority="95023" stopIfTrue="1" operator="lessThan">
      <formula>0.5</formula>
    </cfRule>
  </conditionalFormatting>
  <conditionalFormatting sqref="N51">
    <cfRule type="cellIs" dxfId="30002" priority="95024" stopIfTrue="1" operator="greaterThanOrEqual">
      <formula>0.5</formula>
    </cfRule>
  </conditionalFormatting>
  <conditionalFormatting sqref="N52">
    <cfRule type="cellIs" dxfId="30001" priority="95025" stopIfTrue="1" operator="equal">
      <formula>-1</formula>
    </cfRule>
  </conditionalFormatting>
  <conditionalFormatting sqref="N52">
    <cfRule type="cellIs" dxfId="30000" priority="95026" stopIfTrue="1" operator="lessThan">
      <formula>0.5</formula>
    </cfRule>
  </conditionalFormatting>
  <conditionalFormatting sqref="N52">
    <cfRule type="cellIs" dxfId="29999" priority="95027" stopIfTrue="1" operator="greaterThanOrEqual">
      <formula>0.5</formula>
    </cfRule>
  </conditionalFormatting>
  <conditionalFormatting sqref="N53">
    <cfRule type="cellIs" dxfId="29998" priority="95028" stopIfTrue="1" operator="equal">
      <formula>-1</formula>
    </cfRule>
  </conditionalFormatting>
  <conditionalFormatting sqref="N53">
    <cfRule type="cellIs" dxfId="29997" priority="95029" stopIfTrue="1" operator="lessThan">
      <formula>0.5</formula>
    </cfRule>
  </conditionalFormatting>
  <conditionalFormatting sqref="N53">
    <cfRule type="cellIs" dxfId="29996" priority="95030" stopIfTrue="1" operator="greaterThanOrEqual">
      <formula>0.5</formula>
    </cfRule>
  </conditionalFormatting>
  <conditionalFormatting sqref="N54">
    <cfRule type="cellIs" dxfId="29995" priority="95031" stopIfTrue="1" operator="equal">
      <formula>-1</formula>
    </cfRule>
  </conditionalFormatting>
  <conditionalFormatting sqref="N54">
    <cfRule type="cellIs" dxfId="29994" priority="95032" stopIfTrue="1" operator="lessThan">
      <formula>0.5</formula>
    </cfRule>
  </conditionalFormatting>
  <conditionalFormatting sqref="N54">
    <cfRule type="cellIs" dxfId="29993" priority="95033" stopIfTrue="1" operator="greaterThanOrEqual">
      <formula>0.5</formula>
    </cfRule>
  </conditionalFormatting>
  <conditionalFormatting sqref="N55">
    <cfRule type="cellIs" dxfId="29992" priority="95034" stopIfTrue="1" operator="equal">
      <formula>-1</formula>
    </cfRule>
  </conditionalFormatting>
  <conditionalFormatting sqref="N55">
    <cfRule type="cellIs" dxfId="29991" priority="95035" stopIfTrue="1" operator="lessThan">
      <formula>0.5</formula>
    </cfRule>
  </conditionalFormatting>
  <conditionalFormatting sqref="N55">
    <cfRule type="cellIs" dxfId="29990" priority="95036" stopIfTrue="1" operator="greaterThanOrEqual">
      <formula>0.5</formula>
    </cfRule>
  </conditionalFormatting>
  <conditionalFormatting sqref="N56">
    <cfRule type="cellIs" dxfId="29989" priority="95037" stopIfTrue="1" operator="equal">
      <formula>-1</formula>
    </cfRule>
  </conditionalFormatting>
  <conditionalFormatting sqref="N56">
    <cfRule type="cellIs" dxfId="29988" priority="95038" stopIfTrue="1" operator="lessThan">
      <formula>0.5</formula>
    </cfRule>
  </conditionalFormatting>
  <conditionalFormatting sqref="N56">
    <cfRule type="cellIs" dxfId="29987" priority="95039" stopIfTrue="1" operator="greaterThanOrEqual">
      <formula>0.5</formula>
    </cfRule>
  </conditionalFormatting>
  <conditionalFormatting sqref="N57">
    <cfRule type="cellIs" dxfId="29986" priority="95040" stopIfTrue="1" operator="equal">
      <formula>-1</formula>
    </cfRule>
  </conditionalFormatting>
  <conditionalFormatting sqref="N57">
    <cfRule type="cellIs" dxfId="29985" priority="95041" stopIfTrue="1" operator="lessThan">
      <formula>0.5</formula>
    </cfRule>
  </conditionalFormatting>
  <conditionalFormatting sqref="N57">
    <cfRule type="cellIs" dxfId="29984" priority="95042" stopIfTrue="1" operator="greaterThanOrEqual">
      <formula>0.5</formula>
    </cfRule>
  </conditionalFormatting>
  <conditionalFormatting sqref="N58">
    <cfRule type="cellIs" dxfId="29983" priority="95043" stopIfTrue="1" operator="equal">
      <formula>-1</formula>
    </cfRule>
  </conditionalFormatting>
  <conditionalFormatting sqref="N58">
    <cfRule type="cellIs" dxfId="29982" priority="95044" stopIfTrue="1" operator="lessThan">
      <formula>0.5</formula>
    </cfRule>
  </conditionalFormatting>
  <conditionalFormatting sqref="N58">
    <cfRule type="cellIs" dxfId="29981" priority="95045" stopIfTrue="1" operator="greaterThanOrEqual">
      <formula>0.5</formula>
    </cfRule>
  </conditionalFormatting>
  <conditionalFormatting sqref="P39">
    <cfRule type="cellIs" dxfId="29980" priority="95046" stopIfTrue="1" operator="equal">
      <formula>-1</formula>
    </cfRule>
  </conditionalFormatting>
  <conditionalFormatting sqref="P39">
    <cfRule type="cellIs" dxfId="29979" priority="95047" stopIfTrue="1" operator="lessThan">
      <formula>0.5</formula>
    </cfRule>
  </conditionalFormatting>
  <conditionalFormatting sqref="P39">
    <cfRule type="cellIs" dxfId="29978" priority="95048" stopIfTrue="1" operator="greaterThanOrEqual">
      <formula>0.5</formula>
    </cfRule>
  </conditionalFormatting>
  <conditionalFormatting sqref="P40">
    <cfRule type="cellIs" dxfId="29977" priority="95049" stopIfTrue="1" operator="equal">
      <formula>-1</formula>
    </cfRule>
  </conditionalFormatting>
  <conditionalFormatting sqref="P40">
    <cfRule type="cellIs" dxfId="29976" priority="95050" stopIfTrue="1" operator="lessThan">
      <formula>0.5</formula>
    </cfRule>
  </conditionalFormatting>
  <conditionalFormatting sqref="P40">
    <cfRule type="cellIs" dxfId="29975" priority="95051" stopIfTrue="1" operator="greaterThanOrEqual">
      <formula>0.5</formula>
    </cfRule>
  </conditionalFormatting>
  <conditionalFormatting sqref="P41">
    <cfRule type="cellIs" dxfId="29974" priority="95052" stopIfTrue="1" operator="equal">
      <formula>-1</formula>
    </cfRule>
  </conditionalFormatting>
  <conditionalFormatting sqref="P41">
    <cfRule type="cellIs" dxfId="29973" priority="95053" stopIfTrue="1" operator="lessThan">
      <formula>0.5</formula>
    </cfRule>
  </conditionalFormatting>
  <conditionalFormatting sqref="P41">
    <cfRule type="cellIs" dxfId="29972" priority="95054" stopIfTrue="1" operator="greaterThanOrEqual">
      <formula>0.5</formula>
    </cfRule>
  </conditionalFormatting>
  <conditionalFormatting sqref="P42">
    <cfRule type="cellIs" dxfId="29971" priority="95055" stopIfTrue="1" operator="equal">
      <formula>-1</formula>
    </cfRule>
  </conditionalFormatting>
  <conditionalFormatting sqref="P42">
    <cfRule type="cellIs" dxfId="29970" priority="95056" stopIfTrue="1" operator="lessThan">
      <formula>0.5</formula>
    </cfRule>
  </conditionalFormatting>
  <conditionalFormatting sqref="P42">
    <cfRule type="cellIs" dxfId="29969" priority="95057" stopIfTrue="1" operator="greaterThanOrEqual">
      <formula>0.5</formula>
    </cfRule>
  </conditionalFormatting>
  <conditionalFormatting sqref="P43">
    <cfRule type="cellIs" dxfId="29968" priority="95058" stopIfTrue="1" operator="equal">
      <formula>-1</formula>
    </cfRule>
  </conditionalFormatting>
  <conditionalFormatting sqref="P43">
    <cfRule type="cellIs" dxfId="29967" priority="95059" stopIfTrue="1" operator="lessThan">
      <formula>0.5</formula>
    </cfRule>
  </conditionalFormatting>
  <conditionalFormatting sqref="P43">
    <cfRule type="cellIs" dxfId="29966" priority="95060" stopIfTrue="1" operator="greaterThanOrEqual">
      <formula>0.5</formula>
    </cfRule>
  </conditionalFormatting>
  <conditionalFormatting sqref="P44">
    <cfRule type="cellIs" dxfId="29965" priority="95061" stopIfTrue="1" operator="equal">
      <formula>-1</formula>
    </cfRule>
  </conditionalFormatting>
  <conditionalFormatting sqref="P44">
    <cfRule type="cellIs" dxfId="29964" priority="95062" stopIfTrue="1" operator="lessThan">
      <formula>0.5</formula>
    </cfRule>
  </conditionalFormatting>
  <conditionalFormatting sqref="P44">
    <cfRule type="cellIs" dxfId="29963" priority="95063" stopIfTrue="1" operator="greaterThanOrEqual">
      <formula>0.5</formula>
    </cfRule>
  </conditionalFormatting>
  <conditionalFormatting sqref="P45">
    <cfRule type="cellIs" dxfId="29962" priority="95064" stopIfTrue="1" operator="equal">
      <formula>-1</formula>
    </cfRule>
  </conditionalFormatting>
  <conditionalFormatting sqref="P45">
    <cfRule type="cellIs" dxfId="29961" priority="95065" stopIfTrue="1" operator="lessThan">
      <formula>0.5</formula>
    </cfRule>
  </conditionalFormatting>
  <conditionalFormatting sqref="P45">
    <cfRule type="cellIs" dxfId="29960" priority="95066" stopIfTrue="1" operator="greaterThanOrEqual">
      <formula>0.5</formula>
    </cfRule>
  </conditionalFormatting>
  <conditionalFormatting sqref="P46">
    <cfRule type="cellIs" dxfId="29959" priority="95067" stopIfTrue="1" operator="equal">
      <formula>-1</formula>
    </cfRule>
  </conditionalFormatting>
  <conditionalFormatting sqref="P46">
    <cfRule type="cellIs" dxfId="29958" priority="95068" stopIfTrue="1" operator="lessThan">
      <formula>0.5</formula>
    </cfRule>
  </conditionalFormatting>
  <conditionalFormatting sqref="P46">
    <cfRule type="cellIs" dxfId="29957" priority="95069" stopIfTrue="1" operator="greaterThanOrEqual">
      <formula>0.5</formula>
    </cfRule>
  </conditionalFormatting>
  <conditionalFormatting sqref="P47">
    <cfRule type="cellIs" dxfId="29956" priority="95070" stopIfTrue="1" operator="equal">
      <formula>-1</formula>
    </cfRule>
  </conditionalFormatting>
  <conditionalFormatting sqref="P47">
    <cfRule type="cellIs" dxfId="29955" priority="95071" stopIfTrue="1" operator="lessThan">
      <formula>0.5</formula>
    </cfRule>
  </conditionalFormatting>
  <conditionalFormatting sqref="P47">
    <cfRule type="cellIs" dxfId="29954" priority="95072" stopIfTrue="1" operator="greaterThanOrEqual">
      <formula>0.5</formula>
    </cfRule>
  </conditionalFormatting>
  <conditionalFormatting sqref="P48">
    <cfRule type="cellIs" dxfId="29953" priority="95073" stopIfTrue="1" operator="equal">
      <formula>-1</formula>
    </cfRule>
  </conditionalFormatting>
  <conditionalFormatting sqref="P48">
    <cfRule type="cellIs" dxfId="29952" priority="95074" stopIfTrue="1" operator="lessThan">
      <formula>0.5</formula>
    </cfRule>
  </conditionalFormatting>
  <conditionalFormatting sqref="P48">
    <cfRule type="cellIs" dxfId="29951" priority="95075" stopIfTrue="1" operator="greaterThanOrEqual">
      <formula>0.5</formula>
    </cfRule>
  </conditionalFormatting>
  <conditionalFormatting sqref="P49">
    <cfRule type="cellIs" dxfId="29950" priority="95076" stopIfTrue="1" operator="equal">
      <formula>-1</formula>
    </cfRule>
  </conditionalFormatting>
  <conditionalFormatting sqref="P49">
    <cfRule type="cellIs" dxfId="29949" priority="95077" stopIfTrue="1" operator="lessThan">
      <formula>0.5</formula>
    </cfRule>
  </conditionalFormatting>
  <conditionalFormatting sqref="P49">
    <cfRule type="cellIs" dxfId="29948" priority="95078" stopIfTrue="1" operator="greaterThanOrEqual">
      <formula>0.5</formula>
    </cfRule>
  </conditionalFormatting>
  <conditionalFormatting sqref="P50">
    <cfRule type="cellIs" dxfId="29947" priority="95079" stopIfTrue="1" operator="equal">
      <formula>-1</formula>
    </cfRule>
  </conditionalFormatting>
  <conditionalFormatting sqref="P50">
    <cfRule type="cellIs" dxfId="29946" priority="95080" stopIfTrue="1" operator="lessThan">
      <formula>0.5</formula>
    </cfRule>
  </conditionalFormatting>
  <conditionalFormatting sqref="P50">
    <cfRule type="cellIs" dxfId="29945" priority="95081" stopIfTrue="1" operator="greaterThanOrEqual">
      <formula>0.5</formula>
    </cfRule>
  </conditionalFormatting>
  <conditionalFormatting sqref="P51">
    <cfRule type="cellIs" dxfId="29944" priority="95082" stopIfTrue="1" operator="equal">
      <formula>-1</formula>
    </cfRule>
  </conditionalFormatting>
  <conditionalFormatting sqref="P51">
    <cfRule type="cellIs" dxfId="29943" priority="95083" stopIfTrue="1" operator="lessThan">
      <formula>0.5</formula>
    </cfRule>
  </conditionalFormatting>
  <conditionalFormatting sqref="P51">
    <cfRule type="cellIs" dxfId="29942" priority="95084" stopIfTrue="1" operator="greaterThanOrEqual">
      <formula>0.5</formula>
    </cfRule>
  </conditionalFormatting>
  <conditionalFormatting sqref="P52">
    <cfRule type="cellIs" dxfId="29941" priority="95085" stopIfTrue="1" operator="equal">
      <formula>-1</formula>
    </cfRule>
  </conditionalFormatting>
  <conditionalFormatting sqref="P52">
    <cfRule type="cellIs" dxfId="29940" priority="95086" stopIfTrue="1" operator="lessThan">
      <formula>0.5</formula>
    </cfRule>
  </conditionalFormatting>
  <conditionalFormatting sqref="P52">
    <cfRule type="cellIs" dxfId="29939" priority="95087" stopIfTrue="1" operator="greaterThanOrEqual">
      <formula>0.5</formula>
    </cfRule>
  </conditionalFormatting>
  <conditionalFormatting sqref="P53">
    <cfRule type="cellIs" dxfId="29938" priority="95088" stopIfTrue="1" operator="equal">
      <formula>-1</formula>
    </cfRule>
  </conditionalFormatting>
  <conditionalFormatting sqref="P53">
    <cfRule type="cellIs" dxfId="29937" priority="95089" stopIfTrue="1" operator="lessThan">
      <formula>0.5</formula>
    </cfRule>
  </conditionalFormatting>
  <conditionalFormatting sqref="P53">
    <cfRule type="cellIs" dxfId="29936" priority="95090" stopIfTrue="1" operator="greaterThanOrEqual">
      <formula>0.5</formula>
    </cfRule>
  </conditionalFormatting>
  <conditionalFormatting sqref="P54">
    <cfRule type="cellIs" dxfId="29935" priority="95091" stopIfTrue="1" operator="equal">
      <formula>-1</formula>
    </cfRule>
  </conditionalFormatting>
  <conditionalFormatting sqref="P54">
    <cfRule type="cellIs" dxfId="29934" priority="95092" stopIfTrue="1" operator="lessThan">
      <formula>0.5</formula>
    </cfRule>
  </conditionalFormatting>
  <conditionalFormatting sqref="P54">
    <cfRule type="cellIs" dxfId="29933" priority="95093" stopIfTrue="1" operator="greaterThanOrEqual">
      <formula>0.5</formula>
    </cfRule>
  </conditionalFormatting>
  <conditionalFormatting sqref="P55">
    <cfRule type="cellIs" dxfId="29932" priority="95094" stopIfTrue="1" operator="equal">
      <formula>-1</formula>
    </cfRule>
  </conditionalFormatting>
  <conditionalFormatting sqref="P55">
    <cfRule type="cellIs" dxfId="29931" priority="95095" stopIfTrue="1" operator="lessThan">
      <formula>0.5</formula>
    </cfRule>
  </conditionalFormatting>
  <conditionalFormatting sqref="P55">
    <cfRule type="cellIs" dxfId="29930" priority="95096" stopIfTrue="1" operator="greaterThanOrEqual">
      <formula>0.5</formula>
    </cfRule>
  </conditionalFormatting>
  <conditionalFormatting sqref="P56">
    <cfRule type="cellIs" dxfId="29929" priority="95097" stopIfTrue="1" operator="equal">
      <formula>-1</formula>
    </cfRule>
  </conditionalFormatting>
  <conditionalFormatting sqref="P56">
    <cfRule type="cellIs" dxfId="29928" priority="95098" stopIfTrue="1" operator="lessThan">
      <formula>0.5</formula>
    </cfRule>
  </conditionalFormatting>
  <conditionalFormatting sqref="P56">
    <cfRule type="cellIs" dxfId="29927" priority="95099" stopIfTrue="1" operator="greaterThanOrEqual">
      <formula>0.5</formula>
    </cfRule>
  </conditionalFormatting>
  <conditionalFormatting sqref="P57">
    <cfRule type="cellIs" dxfId="29926" priority="95100" stopIfTrue="1" operator="equal">
      <formula>-1</formula>
    </cfRule>
  </conditionalFormatting>
  <conditionalFormatting sqref="P57">
    <cfRule type="cellIs" dxfId="29925" priority="95101" stopIfTrue="1" operator="lessThan">
      <formula>0.5</formula>
    </cfRule>
  </conditionalFormatting>
  <conditionalFormatting sqref="P57">
    <cfRule type="cellIs" dxfId="29924" priority="95102" stopIfTrue="1" operator="greaterThanOrEqual">
      <formula>0.5</formula>
    </cfRule>
  </conditionalFormatting>
  <conditionalFormatting sqref="P58">
    <cfRule type="cellIs" dxfId="29923" priority="95103" stopIfTrue="1" operator="equal">
      <formula>-1</formula>
    </cfRule>
  </conditionalFormatting>
  <conditionalFormatting sqref="P58">
    <cfRule type="cellIs" dxfId="29922" priority="95104" stopIfTrue="1" operator="lessThan">
      <formula>0.5</formula>
    </cfRule>
  </conditionalFormatting>
  <conditionalFormatting sqref="P58">
    <cfRule type="cellIs" dxfId="29921" priority="95105" stopIfTrue="1" operator="greaterThanOrEqual">
      <formula>0.5</formula>
    </cfRule>
  </conditionalFormatting>
  <conditionalFormatting sqref="R39">
    <cfRule type="cellIs" dxfId="29920" priority="95106" stopIfTrue="1" operator="equal">
      <formula>-1</formula>
    </cfRule>
  </conditionalFormatting>
  <conditionalFormatting sqref="R39">
    <cfRule type="cellIs" dxfId="29919" priority="95107" stopIfTrue="1" operator="lessThan">
      <formula>0.5</formula>
    </cfRule>
  </conditionalFormatting>
  <conditionalFormatting sqref="R39">
    <cfRule type="cellIs" dxfId="29918" priority="95108" stopIfTrue="1" operator="greaterThanOrEqual">
      <formula>0.5</formula>
    </cfRule>
  </conditionalFormatting>
  <conditionalFormatting sqref="R40">
    <cfRule type="cellIs" dxfId="29917" priority="95109" stopIfTrue="1" operator="equal">
      <formula>-1</formula>
    </cfRule>
  </conditionalFormatting>
  <conditionalFormatting sqref="R40">
    <cfRule type="cellIs" dxfId="29916" priority="95110" stopIfTrue="1" operator="lessThan">
      <formula>0.5</formula>
    </cfRule>
  </conditionalFormatting>
  <conditionalFormatting sqref="R40">
    <cfRule type="cellIs" dxfId="29915" priority="95111" stopIfTrue="1" operator="greaterThanOrEqual">
      <formula>0.5</formula>
    </cfRule>
  </conditionalFormatting>
  <conditionalFormatting sqref="R41">
    <cfRule type="cellIs" dxfId="29914" priority="95112" stopIfTrue="1" operator="equal">
      <formula>-1</formula>
    </cfRule>
  </conditionalFormatting>
  <conditionalFormatting sqref="R41">
    <cfRule type="cellIs" dxfId="29913" priority="95113" stopIfTrue="1" operator="lessThan">
      <formula>0.5</formula>
    </cfRule>
  </conditionalFormatting>
  <conditionalFormatting sqref="R41">
    <cfRule type="cellIs" dxfId="29912" priority="95114" stopIfTrue="1" operator="greaterThanOrEqual">
      <formula>0.5</formula>
    </cfRule>
  </conditionalFormatting>
  <conditionalFormatting sqref="R42">
    <cfRule type="cellIs" dxfId="29911" priority="95115" stopIfTrue="1" operator="equal">
      <formula>-1</formula>
    </cfRule>
  </conditionalFormatting>
  <conditionalFormatting sqref="R42">
    <cfRule type="cellIs" dxfId="29910" priority="95116" stopIfTrue="1" operator="lessThan">
      <formula>0.5</formula>
    </cfRule>
  </conditionalFormatting>
  <conditionalFormatting sqref="R42">
    <cfRule type="cellIs" dxfId="29909" priority="95117" stopIfTrue="1" operator="greaterThanOrEqual">
      <formula>0.5</formula>
    </cfRule>
  </conditionalFormatting>
  <conditionalFormatting sqref="R43">
    <cfRule type="cellIs" dxfId="29908" priority="95118" stopIfTrue="1" operator="equal">
      <formula>-1</formula>
    </cfRule>
  </conditionalFormatting>
  <conditionalFormatting sqref="R43">
    <cfRule type="cellIs" dxfId="29907" priority="95119" stopIfTrue="1" operator="lessThan">
      <formula>0.5</formula>
    </cfRule>
  </conditionalFormatting>
  <conditionalFormatting sqref="R43">
    <cfRule type="cellIs" dxfId="29906" priority="95120" stopIfTrue="1" operator="greaterThanOrEqual">
      <formula>0.5</formula>
    </cfRule>
  </conditionalFormatting>
  <conditionalFormatting sqref="R44">
    <cfRule type="cellIs" dxfId="29905" priority="95121" stopIfTrue="1" operator="equal">
      <formula>-1</formula>
    </cfRule>
  </conditionalFormatting>
  <conditionalFormatting sqref="R44">
    <cfRule type="cellIs" dxfId="29904" priority="95122" stopIfTrue="1" operator="lessThan">
      <formula>0.5</formula>
    </cfRule>
  </conditionalFormatting>
  <conditionalFormatting sqref="R44">
    <cfRule type="cellIs" dxfId="29903" priority="95123" stopIfTrue="1" operator="greaterThanOrEqual">
      <formula>0.5</formula>
    </cfRule>
  </conditionalFormatting>
  <conditionalFormatting sqref="R45">
    <cfRule type="cellIs" dxfId="29902" priority="95124" stopIfTrue="1" operator="equal">
      <formula>-1</formula>
    </cfRule>
  </conditionalFormatting>
  <conditionalFormatting sqref="R45">
    <cfRule type="cellIs" dxfId="29901" priority="95125" stopIfTrue="1" operator="lessThan">
      <formula>0.5</formula>
    </cfRule>
  </conditionalFormatting>
  <conditionalFormatting sqref="R45">
    <cfRule type="cellIs" dxfId="29900" priority="95126" stopIfTrue="1" operator="greaterThanOrEqual">
      <formula>0.5</formula>
    </cfRule>
  </conditionalFormatting>
  <conditionalFormatting sqref="R46">
    <cfRule type="cellIs" dxfId="29899" priority="95127" stopIfTrue="1" operator="equal">
      <formula>-1</formula>
    </cfRule>
  </conditionalFormatting>
  <conditionalFormatting sqref="R46">
    <cfRule type="cellIs" dxfId="29898" priority="95128" stopIfTrue="1" operator="lessThan">
      <formula>0.5</formula>
    </cfRule>
  </conditionalFormatting>
  <conditionalFormatting sqref="R46">
    <cfRule type="cellIs" dxfId="29897" priority="95129" stopIfTrue="1" operator="greaterThanOrEqual">
      <formula>0.5</formula>
    </cfRule>
  </conditionalFormatting>
  <conditionalFormatting sqref="R47">
    <cfRule type="cellIs" dxfId="29896" priority="95130" stopIfTrue="1" operator="equal">
      <formula>-1</formula>
    </cfRule>
  </conditionalFormatting>
  <conditionalFormatting sqref="R47">
    <cfRule type="cellIs" dxfId="29895" priority="95131" stopIfTrue="1" operator="lessThan">
      <formula>0.5</formula>
    </cfRule>
  </conditionalFormatting>
  <conditionalFormatting sqref="R47">
    <cfRule type="cellIs" dxfId="29894" priority="95132" stopIfTrue="1" operator="greaterThanOrEqual">
      <formula>0.5</formula>
    </cfRule>
  </conditionalFormatting>
  <conditionalFormatting sqref="R48">
    <cfRule type="cellIs" dxfId="29893" priority="95133" stopIfTrue="1" operator="equal">
      <formula>-1</formula>
    </cfRule>
  </conditionalFormatting>
  <conditionalFormatting sqref="R48">
    <cfRule type="cellIs" dxfId="29892" priority="95134" stopIfTrue="1" operator="lessThan">
      <formula>0.5</formula>
    </cfRule>
  </conditionalFormatting>
  <conditionalFormatting sqref="R48">
    <cfRule type="cellIs" dxfId="29891" priority="95135" stopIfTrue="1" operator="greaterThanOrEqual">
      <formula>0.5</formula>
    </cfRule>
  </conditionalFormatting>
  <conditionalFormatting sqref="R49">
    <cfRule type="cellIs" dxfId="29890" priority="95136" stopIfTrue="1" operator="equal">
      <formula>-1</formula>
    </cfRule>
  </conditionalFormatting>
  <conditionalFormatting sqref="R49">
    <cfRule type="cellIs" dxfId="29889" priority="95137" stopIfTrue="1" operator="lessThan">
      <formula>0.5</formula>
    </cfRule>
  </conditionalFormatting>
  <conditionalFormatting sqref="R49">
    <cfRule type="cellIs" dxfId="29888" priority="95138" stopIfTrue="1" operator="greaterThanOrEqual">
      <formula>0.5</formula>
    </cfRule>
  </conditionalFormatting>
  <conditionalFormatting sqref="R50">
    <cfRule type="cellIs" dxfId="29887" priority="95139" stopIfTrue="1" operator="equal">
      <formula>-1</formula>
    </cfRule>
  </conditionalFormatting>
  <conditionalFormatting sqref="R50">
    <cfRule type="cellIs" dxfId="29886" priority="95140" stopIfTrue="1" operator="lessThan">
      <formula>0.5</formula>
    </cfRule>
  </conditionalFormatting>
  <conditionalFormatting sqref="R50">
    <cfRule type="cellIs" dxfId="29885" priority="95141" stopIfTrue="1" operator="greaterThanOrEqual">
      <formula>0.5</formula>
    </cfRule>
  </conditionalFormatting>
  <conditionalFormatting sqref="R51">
    <cfRule type="cellIs" dxfId="29884" priority="95142" stopIfTrue="1" operator="equal">
      <formula>-1</formula>
    </cfRule>
  </conditionalFormatting>
  <conditionalFormatting sqref="R51">
    <cfRule type="cellIs" dxfId="29883" priority="95143" stopIfTrue="1" operator="lessThan">
      <formula>0.5</formula>
    </cfRule>
  </conditionalFormatting>
  <conditionalFormatting sqref="R51">
    <cfRule type="cellIs" dxfId="29882" priority="95144" stopIfTrue="1" operator="greaterThanOrEqual">
      <formula>0.5</formula>
    </cfRule>
  </conditionalFormatting>
  <conditionalFormatting sqref="R52">
    <cfRule type="cellIs" dxfId="29881" priority="95145" stopIfTrue="1" operator="equal">
      <formula>-1</formula>
    </cfRule>
  </conditionalFormatting>
  <conditionalFormatting sqref="R52">
    <cfRule type="cellIs" dxfId="29880" priority="95146" stopIfTrue="1" operator="lessThan">
      <formula>0.5</formula>
    </cfRule>
  </conditionalFormatting>
  <conditionalFormatting sqref="R52">
    <cfRule type="cellIs" dxfId="29879" priority="95147" stopIfTrue="1" operator="greaterThanOrEqual">
      <formula>0.5</formula>
    </cfRule>
  </conditionalFormatting>
  <conditionalFormatting sqref="R53">
    <cfRule type="cellIs" dxfId="29878" priority="95148" stopIfTrue="1" operator="equal">
      <formula>-1</formula>
    </cfRule>
  </conditionalFormatting>
  <conditionalFormatting sqref="R53">
    <cfRule type="cellIs" dxfId="29877" priority="95149" stopIfTrue="1" operator="lessThan">
      <formula>0.5</formula>
    </cfRule>
  </conditionalFormatting>
  <conditionalFormatting sqref="R53">
    <cfRule type="cellIs" dxfId="29876" priority="95150" stopIfTrue="1" operator="greaterThanOrEqual">
      <formula>0.5</formula>
    </cfRule>
  </conditionalFormatting>
  <conditionalFormatting sqref="R54">
    <cfRule type="cellIs" dxfId="29875" priority="95151" stopIfTrue="1" operator="equal">
      <formula>-1</formula>
    </cfRule>
  </conditionalFormatting>
  <conditionalFormatting sqref="R54">
    <cfRule type="cellIs" dxfId="29874" priority="95152" stopIfTrue="1" operator="lessThan">
      <formula>0.5</formula>
    </cfRule>
  </conditionalFormatting>
  <conditionalFormatting sqref="R54">
    <cfRule type="cellIs" dxfId="29873" priority="95153" stopIfTrue="1" operator="greaterThanOrEqual">
      <formula>0.5</formula>
    </cfRule>
  </conditionalFormatting>
  <conditionalFormatting sqref="R55">
    <cfRule type="cellIs" dxfId="29872" priority="95154" stopIfTrue="1" operator="equal">
      <formula>-1</formula>
    </cfRule>
  </conditionalFormatting>
  <conditionalFormatting sqref="R55">
    <cfRule type="cellIs" dxfId="29871" priority="95155" stopIfTrue="1" operator="lessThan">
      <formula>0.5</formula>
    </cfRule>
  </conditionalFormatting>
  <conditionalFormatting sqref="R55">
    <cfRule type="cellIs" dxfId="29870" priority="95156" stopIfTrue="1" operator="greaterThanOrEqual">
      <formula>0.5</formula>
    </cfRule>
  </conditionalFormatting>
  <conditionalFormatting sqref="R56">
    <cfRule type="cellIs" dxfId="29869" priority="95157" stopIfTrue="1" operator="equal">
      <formula>-1</formula>
    </cfRule>
  </conditionalFormatting>
  <conditionalFormatting sqref="R56">
    <cfRule type="cellIs" dxfId="29868" priority="95158" stopIfTrue="1" operator="lessThan">
      <formula>0.5</formula>
    </cfRule>
  </conditionalFormatting>
  <conditionalFormatting sqref="R56">
    <cfRule type="cellIs" dxfId="29867" priority="95159" stopIfTrue="1" operator="greaterThanOrEqual">
      <formula>0.5</formula>
    </cfRule>
  </conditionalFormatting>
  <conditionalFormatting sqref="R57">
    <cfRule type="cellIs" dxfId="29866" priority="95160" stopIfTrue="1" operator="equal">
      <formula>-1</formula>
    </cfRule>
  </conditionalFormatting>
  <conditionalFormatting sqref="R57">
    <cfRule type="cellIs" dxfId="29865" priority="95161" stopIfTrue="1" operator="lessThan">
      <formula>0.5</formula>
    </cfRule>
  </conditionalFormatting>
  <conditionalFormatting sqref="R57">
    <cfRule type="cellIs" dxfId="29864" priority="95162" stopIfTrue="1" operator="greaterThanOrEqual">
      <formula>0.5</formula>
    </cfRule>
  </conditionalFormatting>
  <conditionalFormatting sqref="R58">
    <cfRule type="cellIs" dxfId="29863" priority="95163" stopIfTrue="1" operator="equal">
      <formula>-1</formula>
    </cfRule>
  </conditionalFormatting>
  <conditionalFormatting sqref="R58">
    <cfRule type="cellIs" dxfId="29862" priority="95164" stopIfTrue="1" operator="lessThan">
      <formula>0.5</formula>
    </cfRule>
  </conditionalFormatting>
  <conditionalFormatting sqref="R58">
    <cfRule type="cellIs" dxfId="29861" priority="95165" stopIfTrue="1" operator="greaterThanOrEqual">
      <formula>0.5</formula>
    </cfRule>
  </conditionalFormatting>
  <conditionalFormatting sqref="T39">
    <cfRule type="cellIs" dxfId="29860" priority="95166" stopIfTrue="1" operator="equal">
      <formula>-1</formula>
    </cfRule>
  </conditionalFormatting>
  <conditionalFormatting sqref="T39">
    <cfRule type="cellIs" dxfId="29859" priority="95167" stopIfTrue="1" operator="lessThan">
      <formula>0.5</formula>
    </cfRule>
  </conditionalFormatting>
  <conditionalFormatting sqref="T39">
    <cfRule type="cellIs" dxfId="29858" priority="95168" stopIfTrue="1" operator="greaterThanOrEqual">
      <formula>0.5</formula>
    </cfRule>
  </conditionalFormatting>
  <conditionalFormatting sqref="T40">
    <cfRule type="cellIs" dxfId="29857" priority="95169" stopIfTrue="1" operator="equal">
      <formula>-1</formula>
    </cfRule>
  </conditionalFormatting>
  <conditionalFormatting sqref="T40">
    <cfRule type="cellIs" dxfId="29856" priority="95170" stopIfTrue="1" operator="lessThan">
      <formula>0.5</formula>
    </cfRule>
  </conditionalFormatting>
  <conditionalFormatting sqref="T40">
    <cfRule type="cellIs" dxfId="29855" priority="95171" stopIfTrue="1" operator="greaterThanOrEqual">
      <formula>0.5</formula>
    </cfRule>
  </conditionalFormatting>
  <conditionalFormatting sqref="T41">
    <cfRule type="cellIs" dxfId="29854" priority="95172" stopIfTrue="1" operator="equal">
      <formula>-1</formula>
    </cfRule>
  </conditionalFormatting>
  <conditionalFormatting sqref="T41">
    <cfRule type="cellIs" dxfId="29853" priority="95173" stopIfTrue="1" operator="lessThan">
      <formula>0.5</formula>
    </cfRule>
  </conditionalFormatting>
  <conditionalFormatting sqref="T41">
    <cfRule type="cellIs" dxfId="29852" priority="95174" stopIfTrue="1" operator="greaterThanOrEqual">
      <formula>0.5</formula>
    </cfRule>
  </conditionalFormatting>
  <conditionalFormatting sqref="T42">
    <cfRule type="cellIs" dxfId="29851" priority="95175" stopIfTrue="1" operator="equal">
      <formula>-1</formula>
    </cfRule>
  </conditionalFormatting>
  <conditionalFormatting sqref="T42">
    <cfRule type="cellIs" dxfId="29850" priority="95176" stopIfTrue="1" operator="lessThan">
      <formula>0.5</formula>
    </cfRule>
  </conditionalFormatting>
  <conditionalFormatting sqref="T42">
    <cfRule type="cellIs" dxfId="29849" priority="95177" stopIfTrue="1" operator="greaterThanOrEqual">
      <formula>0.5</formula>
    </cfRule>
  </conditionalFormatting>
  <conditionalFormatting sqref="T43">
    <cfRule type="cellIs" dxfId="29848" priority="95178" stopIfTrue="1" operator="equal">
      <formula>-1</formula>
    </cfRule>
  </conditionalFormatting>
  <conditionalFormatting sqref="T43">
    <cfRule type="cellIs" dxfId="29847" priority="95179" stopIfTrue="1" operator="lessThan">
      <formula>0.5</formula>
    </cfRule>
  </conditionalFormatting>
  <conditionalFormatting sqref="T43">
    <cfRule type="cellIs" dxfId="29846" priority="95180" stopIfTrue="1" operator="greaterThanOrEqual">
      <formula>0.5</formula>
    </cfRule>
  </conditionalFormatting>
  <conditionalFormatting sqref="T44">
    <cfRule type="cellIs" dxfId="29845" priority="95181" stopIfTrue="1" operator="equal">
      <formula>-1</formula>
    </cfRule>
  </conditionalFormatting>
  <conditionalFormatting sqref="T44">
    <cfRule type="cellIs" dxfId="29844" priority="95182" stopIfTrue="1" operator="lessThan">
      <formula>0.5</formula>
    </cfRule>
  </conditionalFormatting>
  <conditionalFormatting sqref="T44">
    <cfRule type="cellIs" dxfId="29843" priority="95183" stopIfTrue="1" operator="greaterThanOrEqual">
      <formula>0.5</formula>
    </cfRule>
  </conditionalFormatting>
  <conditionalFormatting sqref="T45">
    <cfRule type="cellIs" dxfId="29842" priority="95184" stopIfTrue="1" operator="equal">
      <formula>-1</formula>
    </cfRule>
  </conditionalFormatting>
  <conditionalFormatting sqref="T45">
    <cfRule type="cellIs" dxfId="29841" priority="95185" stopIfTrue="1" operator="lessThan">
      <formula>0.5</formula>
    </cfRule>
  </conditionalFormatting>
  <conditionalFormatting sqref="T45">
    <cfRule type="cellIs" dxfId="29840" priority="95186" stopIfTrue="1" operator="greaterThanOrEqual">
      <formula>0.5</formula>
    </cfRule>
  </conditionalFormatting>
  <conditionalFormatting sqref="T46">
    <cfRule type="cellIs" dxfId="29839" priority="95187" stopIfTrue="1" operator="equal">
      <formula>-1</formula>
    </cfRule>
  </conditionalFormatting>
  <conditionalFormatting sqref="T46">
    <cfRule type="cellIs" dxfId="29838" priority="95188" stopIfTrue="1" operator="lessThan">
      <formula>0.5</formula>
    </cfRule>
  </conditionalFormatting>
  <conditionalFormatting sqref="T46">
    <cfRule type="cellIs" dxfId="29837" priority="95189" stopIfTrue="1" operator="greaterThanOrEqual">
      <formula>0.5</formula>
    </cfRule>
  </conditionalFormatting>
  <conditionalFormatting sqref="T47">
    <cfRule type="cellIs" dxfId="29836" priority="95190" stopIfTrue="1" operator="equal">
      <formula>-1</formula>
    </cfRule>
  </conditionalFormatting>
  <conditionalFormatting sqref="T47">
    <cfRule type="cellIs" dxfId="29835" priority="95191" stopIfTrue="1" operator="lessThan">
      <formula>0.5</formula>
    </cfRule>
  </conditionalFormatting>
  <conditionalFormatting sqref="T47">
    <cfRule type="cellIs" dxfId="29834" priority="95192" stopIfTrue="1" operator="greaterThanOrEqual">
      <formula>0.5</formula>
    </cfRule>
  </conditionalFormatting>
  <conditionalFormatting sqref="T48">
    <cfRule type="cellIs" dxfId="29833" priority="95193" stopIfTrue="1" operator="equal">
      <formula>-1</formula>
    </cfRule>
  </conditionalFormatting>
  <conditionalFormatting sqref="T48">
    <cfRule type="cellIs" dxfId="29832" priority="95194" stopIfTrue="1" operator="lessThan">
      <formula>0.5</formula>
    </cfRule>
  </conditionalFormatting>
  <conditionalFormatting sqref="T48">
    <cfRule type="cellIs" dxfId="29831" priority="95195" stopIfTrue="1" operator="greaterThanOrEqual">
      <formula>0.5</formula>
    </cfRule>
  </conditionalFormatting>
  <conditionalFormatting sqref="T49">
    <cfRule type="cellIs" dxfId="29830" priority="95196" stopIfTrue="1" operator="equal">
      <formula>-1</formula>
    </cfRule>
  </conditionalFormatting>
  <conditionalFormatting sqref="T49">
    <cfRule type="cellIs" dxfId="29829" priority="95197" stopIfTrue="1" operator="lessThan">
      <formula>0.5</formula>
    </cfRule>
  </conditionalFormatting>
  <conditionalFormatting sqref="T49">
    <cfRule type="cellIs" dxfId="29828" priority="95198" stopIfTrue="1" operator="greaterThanOrEqual">
      <formula>0.5</formula>
    </cfRule>
  </conditionalFormatting>
  <conditionalFormatting sqref="T50">
    <cfRule type="cellIs" dxfId="29827" priority="95199" stopIfTrue="1" operator="equal">
      <formula>-1</formula>
    </cfRule>
  </conditionalFormatting>
  <conditionalFormatting sqref="T50">
    <cfRule type="cellIs" dxfId="29826" priority="95200" stopIfTrue="1" operator="lessThan">
      <formula>0.5</formula>
    </cfRule>
  </conditionalFormatting>
  <conditionalFormatting sqref="T50">
    <cfRule type="cellIs" dxfId="29825" priority="95201" stopIfTrue="1" operator="greaterThanOrEqual">
      <formula>0.5</formula>
    </cfRule>
  </conditionalFormatting>
  <conditionalFormatting sqref="T51">
    <cfRule type="cellIs" dxfId="29824" priority="95202" stopIfTrue="1" operator="equal">
      <formula>-1</formula>
    </cfRule>
  </conditionalFormatting>
  <conditionalFormatting sqref="T51">
    <cfRule type="cellIs" dxfId="29823" priority="95203" stopIfTrue="1" operator="lessThan">
      <formula>0.5</formula>
    </cfRule>
  </conditionalFormatting>
  <conditionalFormatting sqref="T51">
    <cfRule type="cellIs" dxfId="29822" priority="95204" stopIfTrue="1" operator="greaterThanOrEqual">
      <formula>0.5</formula>
    </cfRule>
  </conditionalFormatting>
  <conditionalFormatting sqref="T52">
    <cfRule type="cellIs" dxfId="29821" priority="95205" stopIfTrue="1" operator="equal">
      <formula>-1</formula>
    </cfRule>
  </conditionalFormatting>
  <conditionalFormatting sqref="T52">
    <cfRule type="cellIs" dxfId="29820" priority="95206" stopIfTrue="1" operator="lessThan">
      <formula>0.5</formula>
    </cfRule>
  </conditionalFormatting>
  <conditionalFormatting sqref="T52">
    <cfRule type="cellIs" dxfId="29819" priority="95207" stopIfTrue="1" operator="greaterThanOrEqual">
      <formula>0.5</formula>
    </cfRule>
  </conditionalFormatting>
  <conditionalFormatting sqref="T53">
    <cfRule type="cellIs" dxfId="29818" priority="95208" stopIfTrue="1" operator="equal">
      <formula>-1</formula>
    </cfRule>
  </conditionalFormatting>
  <conditionalFormatting sqref="T53">
    <cfRule type="cellIs" dxfId="29817" priority="95209" stopIfTrue="1" operator="lessThan">
      <formula>0.5</formula>
    </cfRule>
  </conditionalFormatting>
  <conditionalFormatting sqref="T53">
    <cfRule type="cellIs" dxfId="29816" priority="95210" stopIfTrue="1" operator="greaterThanOrEqual">
      <formula>0.5</formula>
    </cfRule>
  </conditionalFormatting>
  <conditionalFormatting sqref="T54">
    <cfRule type="cellIs" dxfId="29815" priority="95211" stopIfTrue="1" operator="equal">
      <formula>-1</formula>
    </cfRule>
  </conditionalFormatting>
  <conditionalFormatting sqref="T54">
    <cfRule type="cellIs" dxfId="29814" priority="95212" stopIfTrue="1" operator="lessThan">
      <formula>0.5</formula>
    </cfRule>
  </conditionalFormatting>
  <conditionalFormatting sqref="T54">
    <cfRule type="cellIs" dxfId="29813" priority="95213" stopIfTrue="1" operator="greaterThanOrEqual">
      <formula>0.5</formula>
    </cfRule>
  </conditionalFormatting>
  <conditionalFormatting sqref="T55">
    <cfRule type="cellIs" dxfId="29812" priority="95214" stopIfTrue="1" operator="equal">
      <formula>-1</formula>
    </cfRule>
  </conditionalFormatting>
  <conditionalFormatting sqref="T55">
    <cfRule type="cellIs" dxfId="29811" priority="95215" stopIfTrue="1" operator="lessThan">
      <formula>0.5</formula>
    </cfRule>
  </conditionalFormatting>
  <conditionalFormatting sqref="T55">
    <cfRule type="cellIs" dxfId="29810" priority="95216" stopIfTrue="1" operator="greaterThanOrEqual">
      <formula>0.5</formula>
    </cfRule>
  </conditionalFormatting>
  <conditionalFormatting sqref="T56">
    <cfRule type="cellIs" dxfId="29809" priority="95217" stopIfTrue="1" operator="equal">
      <formula>-1</formula>
    </cfRule>
  </conditionalFormatting>
  <conditionalFormatting sqref="T56">
    <cfRule type="cellIs" dxfId="29808" priority="95218" stopIfTrue="1" operator="lessThan">
      <formula>0.5</formula>
    </cfRule>
  </conditionalFormatting>
  <conditionalFormatting sqref="T56">
    <cfRule type="cellIs" dxfId="29807" priority="95219" stopIfTrue="1" operator="greaterThanOrEqual">
      <formula>0.5</formula>
    </cfRule>
  </conditionalFormatting>
  <conditionalFormatting sqref="T57">
    <cfRule type="cellIs" dxfId="29806" priority="95220" stopIfTrue="1" operator="equal">
      <formula>-1</formula>
    </cfRule>
  </conditionalFormatting>
  <conditionalFormatting sqref="T57">
    <cfRule type="cellIs" dxfId="29805" priority="95221" stopIfTrue="1" operator="lessThan">
      <formula>0.5</formula>
    </cfRule>
  </conditionalFormatting>
  <conditionalFormatting sqref="T57">
    <cfRule type="cellIs" dxfId="29804" priority="95222" stopIfTrue="1" operator="greaterThanOrEqual">
      <formula>0.5</formula>
    </cfRule>
  </conditionalFormatting>
  <conditionalFormatting sqref="T58">
    <cfRule type="cellIs" dxfId="29803" priority="95223" stopIfTrue="1" operator="equal">
      <formula>-1</formula>
    </cfRule>
  </conditionalFormatting>
  <conditionalFormatting sqref="T58">
    <cfRule type="cellIs" dxfId="29802" priority="95224" stopIfTrue="1" operator="lessThan">
      <formula>0.5</formula>
    </cfRule>
  </conditionalFormatting>
  <conditionalFormatting sqref="T58">
    <cfRule type="cellIs" dxfId="29801" priority="95225" stopIfTrue="1" operator="greaterThanOrEqual">
      <formula>0.5</formula>
    </cfRule>
  </conditionalFormatting>
  <conditionalFormatting sqref="V39">
    <cfRule type="cellIs" dxfId="29800" priority="95226" stopIfTrue="1" operator="equal">
      <formula>-1</formula>
    </cfRule>
  </conditionalFormatting>
  <conditionalFormatting sqref="V39">
    <cfRule type="cellIs" dxfId="29799" priority="95227" stopIfTrue="1" operator="lessThan">
      <formula>0.5</formula>
    </cfRule>
  </conditionalFormatting>
  <conditionalFormatting sqref="V39">
    <cfRule type="cellIs" dxfId="29798" priority="95228" stopIfTrue="1" operator="greaterThanOrEqual">
      <formula>0.5</formula>
    </cfRule>
  </conditionalFormatting>
  <conditionalFormatting sqref="V40">
    <cfRule type="cellIs" dxfId="29797" priority="95229" stopIfTrue="1" operator="equal">
      <formula>-1</formula>
    </cfRule>
  </conditionalFormatting>
  <conditionalFormatting sqref="V40">
    <cfRule type="cellIs" dxfId="29796" priority="95230" stopIfTrue="1" operator="lessThan">
      <formula>0.5</formula>
    </cfRule>
  </conditionalFormatting>
  <conditionalFormatting sqref="V40">
    <cfRule type="cellIs" dxfId="29795" priority="95231" stopIfTrue="1" operator="greaterThanOrEqual">
      <formula>0.5</formula>
    </cfRule>
  </conditionalFormatting>
  <conditionalFormatting sqref="V41">
    <cfRule type="cellIs" dxfId="29794" priority="95232" stopIfTrue="1" operator="equal">
      <formula>-1</formula>
    </cfRule>
  </conditionalFormatting>
  <conditionalFormatting sqref="V41">
    <cfRule type="cellIs" dxfId="29793" priority="95233" stopIfTrue="1" operator="lessThan">
      <formula>0.5</formula>
    </cfRule>
  </conditionalFormatting>
  <conditionalFormatting sqref="V41">
    <cfRule type="cellIs" dxfId="29792" priority="95234" stopIfTrue="1" operator="greaterThanOrEqual">
      <formula>0.5</formula>
    </cfRule>
  </conditionalFormatting>
  <conditionalFormatting sqref="V42">
    <cfRule type="cellIs" dxfId="29791" priority="95235" stopIfTrue="1" operator="equal">
      <formula>-1</formula>
    </cfRule>
  </conditionalFormatting>
  <conditionalFormatting sqref="V42">
    <cfRule type="cellIs" dxfId="29790" priority="95236" stopIfTrue="1" operator="lessThan">
      <formula>0.5</formula>
    </cfRule>
  </conditionalFormatting>
  <conditionalFormatting sqref="V42">
    <cfRule type="cellIs" dxfId="29789" priority="95237" stopIfTrue="1" operator="greaterThanOrEqual">
      <formula>0.5</formula>
    </cfRule>
  </conditionalFormatting>
  <conditionalFormatting sqref="V43">
    <cfRule type="cellIs" dxfId="29788" priority="95238" stopIfTrue="1" operator="equal">
      <formula>-1</formula>
    </cfRule>
  </conditionalFormatting>
  <conditionalFormatting sqref="V43">
    <cfRule type="cellIs" dxfId="29787" priority="95239" stopIfTrue="1" operator="lessThan">
      <formula>0.5</formula>
    </cfRule>
  </conditionalFormatting>
  <conditionalFormatting sqref="V43">
    <cfRule type="cellIs" dxfId="29786" priority="95240" stopIfTrue="1" operator="greaterThanOrEqual">
      <formula>0.5</formula>
    </cfRule>
  </conditionalFormatting>
  <conditionalFormatting sqref="V44">
    <cfRule type="cellIs" dxfId="29785" priority="95241" stopIfTrue="1" operator="equal">
      <formula>-1</formula>
    </cfRule>
  </conditionalFormatting>
  <conditionalFormatting sqref="V44">
    <cfRule type="cellIs" dxfId="29784" priority="95242" stopIfTrue="1" operator="lessThan">
      <formula>0.5</formula>
    </cfRule>
  </conditionalFormatting>
  <conditionalFormatting sqref="V44">
    <cfRule type="cellIs" dxfId="29783" priority="95243" stopIfTrue="1" operator="greaterThanOrEqual">
      <formula>0.5</formula>
    </cfRule>
  </conditionalFormatting>
  <conditionalFormatting sqref="V45">
    <cfRule type="cellIs" dxfId="29782" priority="95244" stopIfTrue="1" operator="equal">
      <formula>-1</formula>
    </cfRule>
  </conditionalFormatting>
  <conditionalFormatting sqref="V45">
    <cfRule type="cellIs" dxfId="29781" priority="95245" stopIfTrue="1" operator="lessThan">
      <formula>0.5</formula>
    </cfRule>
  </conditionalFormatting>
  <conditionalFormatting sqref="V45">
    <cfRule type="cellIs" dxfId="29780" priority="95246" stopIfTrue="1" operator="greaterThanOrEqual">
      <formula>0.5</formula>
    </cfRule>
  </conditionalFormatting>
  <conditionalFormatting sqref="V46">
    <cfRule type="cellIs" dxfId="29779" priority="95247" stopIfTrue="1" operator="equal">
      <formula>-1</formula>
    </cfRule>
  </conditionalFormatting>
  <conditionalFormatting sqref="V46">
    <cfRule type="cellIs" dxfId="29778" priority="95248" stopIfTrue="1" operator="lessThan">
      <formula>0.5</formula>
    </cfRule>
  </conditionalFormatting>
  <conditionalFormatting sqref="V46">
    <cfRule type="cellIs" dxfId="29777" priority="95249" stopIfTrue="1" operator="greaterThanOrEqual">
      <formula>0.5</formula>
    </cfRule>
  </conditionalFormatting>
  <conditionalFormatting sqref="V47">
    <cfRule type="cellIs" dxfId="29776" priority="95250" stopIfTrue="1" operator="equal">
      <formula>-1</formula>
    </cfRule>
  </conditionalFormatting>
  <conditionalFormatting sqref="V47">
    <cfRule type="cellIs" dxfId="29775" priority="95251" stopIfTrue="1" operator="lessThan">
      <formula>0.5</formula>
    </cfRule>
  </conditionalFormatting>
  <conditionalFormatting sqref="V47">
    <cfRule type="cellIs" dxfId="29774" priority="95252" stopIfTrue="1" operator="greaterThanOrEqual">
      <formula>0.5</formula>
    </cfRule>
  </conditionalFormatting>
  <conditionalFormatting sqref="V48">
    <cfRule type="cellIs" dxfId="29773" priority="95253" stopIfTrue="1" operator="equal">
      <formula>-1</formula>
    </cfRule>
  </conditionalFormatting>
  <conditionalFormatting sqref="V48">
    <cfRule type="cellIs" dxfId="29772" priority="95254" stopIfTrue="1" operator="lessThan">
      <formula>0.5</formula>
    </cfRule>
  </conditionalFormatting>
  <conditionalFormatting sqref="V48">
    <cfRule type="cellIs" dxfId="29771" priority="95255" stopIfTrue="1" operator="greaterThanOrEqual">
      <formula>0.5</formula>
    </cfRule>
  </conditionalFormatting>
  <conditionalFormatting sqref="V49">
    <cfRule type="cellIs" dxfId="29770" priority="95256" stopIfTrue="1" operator="equal">
      <formula>-1</formula>
    </cfRule>
  </conditionalFormatting>
  <conditionalFormatting sqref="V49">
    <cfRule type="cellIs" dxfId="29769" priority="95257" stopIfTrue="1" operator="lessThan">
      <formula>0.5</formula>
    </cfRule>
  </conditionalFormatting>
  <conditionalFormatting sqref="V49">
    <cfRule type="cellIs" dxfId="29768" priority="95258" stopIfTrue="1" operator="greaterThanOrEqual">
      <formula>0.5</formula>
    </cfRule>
  </conditionalFormatting>
  <conditionalFormatting sqref="V50">
    <cfRule type="cellIs" dxfId="29767" priority="95259" stopIfTrue="1" operator="equal">
      <formula>-1</formula>
    </cfRule>
  </conditionalFormatting>
  <conditionalFormatting sqref="V50">
    <cfRule type="cellIs" dxfId="29766" priority="95260" stopIfTrue="1" operator="lessThan">
      <formula>0.5</formula>
    </cfRule>
  </conditionalFormatting>
  <conditionalFormatting sqref="V50">
    <cfRule type="cellIs" dxfId="29765" priority="95261" stopIfTrue="1" operator="greaterThanOrEqual">
      <formula>0.5</formula>
    </cfRule>
  </conditionalFormatting>
  <conditionalFormatting sqref="V51">
    <cfRule type="cellIs" dxfId="29764" priority="95262" stopIfTrue="1" operator="equal">
      <formula>-1</formula>
    </cfRule>
  </conditionalFormatting>
  <conditionalFormatting sqref="V51">
    <cfRule type="cellIs" dxfId="29763" priority="95263" stopIfTrue="1" operator="lessThan">
      <formula>0.5</formula>
    </cfRule>
  </conditionalFormatting>
  <conditionalFormatting sqref="V51">
    <cfRule type="cellIs" dxfId="29762" priority="95264" stopIfTrue="1" operator="greaterThanOrEqual">
      <formula>0.5</formula>
    </cfRule>
  </conditionalFormatting>
  <conditionalFormatting sqref="V52">
    <cfRule type="cellIs" dxfId="29761" priority="95265" stopIfTrue="1" operator="equal">
      <formula>-1</formula>
    </cfRule>
  </conditionalFormatting>
  <conditionalFormatting sqref="V52">
    <cfRule type="cellIs" dxfId="29760" priority="95266" stopIfTrue="1" operator="lessThan">
      <formula>0.5</formula>
    </cfRule>
  </conditionalFormatting>
  <conditionalFormatting sqref="V52">
    <cfRule type="cellIs" dxfId="29759" priority="95267" stopIfTrue="1" operator="greaterThanOrEqual">
      <formula>0.5</formula>
    </cfRule>
  </conditionalFormatting>
  <conditionalFormatting sqref="V53">
    <cfRule type="cellIs" dxfId="29758" priority="95268" stopIfTrue="1" operator="equal">
      <formula>-1</formula>
    </cfRule>
  </conditionalFormatting>
  <conditionalFormatting sqref="V53">
    <cfRule type="cellIs" dxfId="29757" priority="95269" stopIfTrue="1" operator="lessThan">
      <formula>0.5</formula>
    </cfRule>
  </conditionalFormatting>
  <conditionalFormatting sqref="V53">
    <cfRule type="cellIs" dxfId="29756" priority="95270" stopIfTrue="1" operator="greaterThanOrEqual">
      <formula>0.5</formula>
    </cfRule>
  </conditionalFormatting>
  <conditionalFormatting sqref="V54">
    <cfRule type="cellIs" dxfId="29755" priority="95271" stopIfTrue="1" operator="equal">
      <formula>-1</formula>
    </cfRule>
  </conditionalFormatting>
  <conditionalFormatting sqref="V54">
    <cfRule type="cellIs" dxfId="29754" priority="95272" stopIfTrue="1" operator="lessThan">
      <formula>0.5</formula>
    </cfRule>
  </conditionalFormatting>
  <conditionalFormatting sqref="V54">
    <cfRule type="cellIs" dxfId="29753" priority="95273" stopIfTrue="1" operator="greaterThanOrEqual">
      <formula>0.5</formula>
    </cfRule>
  </conditionalFormatting>
  <conditionalFormatting sqref="V55">
    <cfRule type="cellIs" dxfId="29752" priority="95274" stopIfTrue="1" operator="equal">
      <formula>-1</formula>
    </cfRule>
  </conditionalFormatting>
  <conditionalFormatting sqref="V55">
    <cfRule type="cellIs" dxfId="29751" priority="95275" stopIfTrue="1" operator="lessThan">
      <formula>0.5</formula>
    </cfRule>
  </conditionalFormatting>
  <conditionalFormatting sqref="V55">
    <cfRule type="cellIs" dxfId="29750" priority="95276" stopIfTrue="1" operator="greaterThanOrEqual">
      <formula>0.5</formula>
    </cfRule>
  </conditionalFormatting>
  <conditionalFormatting sqref="V56">
    <cfRule type="cellIs" dxfId="29749" priority="95277" stopIfTrue="1" operator="equal">
      <formula>-1</formula>
    </cfRule>
  </conditionalFormatting>
  <conditionalFormatting sqref="V56">
    <cfRule type="cellIs" dxfId="29748" priority="95278" stopIfTrue="1" operator="lessThan">
      <formula>0.5</formula>
    </cfRule>
  </conditionalFormatting>
  <conditionalFormatting sqref="V56">
    <cfRule type="cellIs" dxfId="29747" priority="95279" stopIfTrue="1" operator="greaterThanOrEqual">
      <formula>0.5</formula>
    </cfRule>
  </conditionalFormatting>
  <conditionalFormatting sqref="V57">
    <cfRule type="cellIs" dxfId="29746" priority="95280" stopIfTrue="1" operator="equal">
      <formula>-1</formula>
    </cfRule>
  </conditionalFormatting>
  <conditionalFormatting sqref="V57">
    <cfRule type="cellIs" dxfId="29745" priority="95281" stopIfTrue="1" operator="lessThan">
      <formula>0.5</formula>
    </cfRule>
  </conditionalFormatting>
  <conditionalFormatting sqref="V57">
    <cfRule type="cellIs" dxfId="29744" priority="95282" stopIfTrue="1" operator="greaterThanOrEqual">
      <formula>0.5</formula>
    </cfRule>
  </conditionalFormatting>
  <conditionalFormatting sqref="V58">
    <cfRule type="cellIs" dxfId="29743" priority="95283" stopIfTrue="1" operator="equal">
      <formula>-1</formula>
    </cfRule>
  </conditionalFormatting>
  <conditionalFormatting sqref="V58">
    <cfRule type="cellIs" dxfId="29742" priority="95284" stopIfTrue="1" operator="lessThan">
      <formula>0.5</formula>
    </cfRule>
  </conditionalFormatting>
  <conditionalFormatting sqref="V58">
    <cfRule type="cellIs" dxfId="29741" priority="95285" stopIfTrue="1" operator="greaterThanOrEqual">
      <formula>0.5</formula>
    </cfRule>
  </conditionalFormatting>
  <conditionalFormatting sqref="X39">
    <cfRule type="cellIs" dxfId="29740" priority="95286" stopIfTrue="1" operator="equal">
      <formula>-1</formula>
    </cfRule>
  </conditionalFormatting>
  <conditionalFormatting sqref="X39">
    <cfRule type="cellIs" dxfId="29739" priority="95287" stopIfTrue="1" operator="lessThan">
      <formula>0.5</formula>
    </cfRule>
  </conditionalFormatting>
  <conditionalFormatting sqref="X39">
    <cfRule type="cellIs" dxfId="29738" priority="95288" stopIfTrue="1" operator="greaterThanOrEqual">
      <formula>0.5</formula>
    </cfRule>
  </conditionalFormatting>
  <conditionalFormatting sqref="X40">
    <cfRule type="cellIs" dxfId="29737" priority="95289" stopIfTrue="1" operator="equal">
      <formula>-1</formula>
    </cfRule>
  </conditionalFormatting>
  <conditionalFormatting sqref="X40">
    <cfRule type="cellIs" dxfId="29736" priority="95290" stopIfTrue="1" operator="lessThan">
      <formula>0.5</formula>
    </cfRule>
  </conditionalFormatting>
  <conditionalFormatting sqref="X40">
    <cfRule type="cellIs" dxfId="29735" priority="95291" stopIfTrue="1" operator="greaterThanOrEqual">
      <formula>0.5</formula>
    </cfRule>
  </conditionalFormatting>
  <conditionalFormatting sqref="X41">
    <cfRule type="cellIs" dxfId="29734" priority="95292" stopIfTrue="1" operator="equal">
      <formula>-1</formula>
    </cfRule>
  </conditionalFormatting>
  <conditionalFormatting sqref="X41">
    <cfRule type="cellIs" dxfId="29733" priority="95293" stopIfTrue="1" operator="lessThan">
      <formula>0.5</formula>
    </cfRule>
  </conditionalFormatting>
  <conditionalFormatting sqref="X41">
    <cfRule type="cellIs" dxfId="29732" priority="95294" stopIfTrue="1" operator="greaterThanOrEqual">
      <formula>0.5</formula>
    </cfRule>
  </conditionalFormatting>
  <conditionalFormatting sqref="X42">
    <cfRule type="cellIs" dxfId="29731" priority="95295" stopIfTrue="1" operator="equal">
      <formula>-1</formula>
    </cfRule>
  </conditionalFormatting>
  <conditionalFormatting sqref="X42">
    <cfRule type="cellIs" dxfId="29730" priority="95296" stopIfTrue="1" operator="lessThan">
      <formula>0.5</formula>
    </cfRule>
  </conditionalFormatting>
  <conditionalFormatting sqref="X42">
    <cfRule type="cellIs" dxfId="29729" priority="95297" stopIfTrue="1" operator="greaterThanOrEqual">
      <formula>0.5</formula>
    </cfRule>
  </conditionalFormatting>
  <conditionalFormatting sqref="X43">
    <cfRule type="cellIs" dxfId="29728" priority="95298" stopIfTrue="1" operator="equal">
      <formula>-1</formula>
    </cfRule>
  </conditionalFormatting>
  <conditionalFormatting sqref="X43">
    <cfRule type="cellIs" dxfId="29727" priority="95299" stopIfTrue="1" operator="lessThan">
      <formula>0.5</formula>
    </cfRule>
  </conditionalFormatting>
  <conditionalFormatting sqref="X43">
    <cfRule type="cellIs" dxfId="29726" priority="95300" stopIfTrue="1" operator="greaterThanOrEqual">
      <formula>0.5</formula>
    </cfRule>
  </conditionalFormatting>
  <conditionalFormatting sqref="X44">
    <cfRule type="cellIs" dxfId="29725" priority="95301" stopIfTrue="1" operator="equal">
      <formula>-1</formula>
    </cfRule>
  </conditionalFormatting>
  <conditionalFormatting sqref="X44">
    <cfRule type="cellIs" dxfId="29724" priority="95302" stopIfTrue="1" operator="lessThan">
      <formula>0.5</formula>
    </cfRule>
  </conditionalFormatting>
  <conditionalFormatting sqref="X44">
    <cfRule type="cellIs" dxfId="29723" priority="95303" stopIfTrue="1" operator="greaterThanOrEqual">
      <formula>0.5</formula>
    </cfRule>
  </conditionalFormatting>
  <conditionalFormatting sqref="X45">
    <cfRule type="cellIs" dxfId="29722" priority="95304" stopIfTrue="1" operator="equal">
      <formula>-1</formula>
    </cfRule>
  </conditionalFormatting>
  <conditionalFormatting sqref="X45">
    <cfRule type="cellIs" dxfId="29721" priority="95305" stopIfTrue="1" operator="lessThan">
      <formula>0.5</formula>
    </cfRule>
  </conditionalFormatting>
  <conditionalFormatting sqref="X45">
    <cfRule type="cellIs" dxfId="29720" priority="95306" stopIfTrue="1" operator="greaterThanOrEqual">
      <formula>0.5</formula>
    </cfRule>
  </conditionalFormatting>
  <conditionalFormatting sqref="X46">
    <cfRule type="cellIs" dxfId="29719" priority="95307" stopIfTrue="1" operator="equal">
      <formula>-1</formula>
    </cfRule>
  </conditionalFormatting>
  <conditionalFormatting sqref="X46">
    <cfRule type="cellIs" dxfId="29718" priority="95308" stopIfTrue="1" operator="lessThan">
      <formula>0.5</formula>
    </cfRule>
  </conditionalFormatting>
  <conditionalFormatting sqref="X46">
    <cfRule type="cellIs" dxfId="29717" priority="95309" stopIfTrue="1" operator="greaterThanOrEqual">
      <formula>0.5</formula>
    </cfRule>
  </conditionalFormatting>
  <conditionalFormatting sqref="X47">
    <cfRule type="cellIs" dxfId="29716" priority="95310" stopIfTrue="1" operator="equal">
      <formula>-1</formula>
    </cfRule>
  </conditionalFormatting>
  <conditionalFormatting sqref="X47">
    <cfRule type="cellIs" dxfId="29715" priority="95311" stopIfTrue="1" operator="lessThan">
      <formula>0.5</formula>
    </cfRule>
  </conditionalFormatting>
  <conditionalFormatting sqref="X47">
    <cfRule type="cellIs" dxfId="29714" priority="95312" stopIfTrue="1" operator="greaterThanOrEqual">
      <formula>0.5</formula>
    </cfRule>
  </conditionalFormatting>
  <conditionalFormatting sqref="X48">
    <cfRule type="cellIs" dxfId="29713" priority="95313" stopIfTrue="1" operator="equal">
      <formula>-1</formula>
    </cfRule>
  </conditionalFormatting>
  <conditionalFormatting sqref="X48">
    <cfRule type="cellIs" dxfId="29712" priority="95314" stopIfTrue="1" operator="lessThan">
      <formula>0.5</formula>
    </cfRule>
  </conditionalFormatting>
  <conditionalFormatting sqref="X48">
    <cfRule type="cellIs" dxfId="29711" priority="95315" stopIfTrue="1" operator="greaterThanOrEqual">
      <formula>0.5</formula>
    </cfRule>
  </conditionalFormatting>
  <conditionalFormatting sqref="X49">
    <cfRule type="cellIs" dxfId="29710" priority="95316" stopIfTrue="1" operator="equal">
      <formula>-1</formula>
    </cfRule>
  </conditionalFormatting>
  <conditionalFormatting sqref="X49">
    <cfRule type="cellIs" dxfId="29709" priority="95317" stopIfTrue="1" operator="lessThan">
      <formula>0.5</formula>
    </cfRule>
  </conditionalFormatting>
  <conditionalFormatting sqref="X49">
    <cfRule type="cellIs" dxfId="29708" priority="95318" stopIfTrue="1" operator="greaterThanOrEqual">
      <formula>0.5</formula>
    </cfRule>
  </conditionalFormatting>
  <conditionalFormatting sqref="X50">
    <cfRule type="cellIs" dxfId="29707" priority="95319" stopIfTrue="1" operator="equal">
      <formula>-1</formula>
    </cfRule>
  </conditionalFormatting>
  <conditionalFormatting sqref="X50">
    <cfRule type="cellIs" dxfId="29706" priority="95320" stopIfTrue="1" operator="lessThan">
      <formula>0.5</formula>
    </cfRule>
  </conditionalFormatting>
  <conditionalFormatting sqref="X50">
    <cfRule type="cellIs" dxfId="29705" priority="95321" stopIfTrue="1" operator="greaterThanOrEqual">
      <formula>0.5</formula>
    </cfRule>
  </conditionalFormatting>
  <conditionalFormatting sqref="X51">
    <cfRule type="cellIs" dxfId="29704" priority="95322" stopIfTrue="1" operator="equal">
      <formula>-1</formula>
    </cfRule>
  </conditionalFormatting>
  <conditionalFormatting sqref="X51">
    <cfRule type="cellIs" dxfId="29703" priority="95323" stopIfTrue="1" operator="lessThan">
      <formula>0.5</formula>
    </cfRule>
  </conditionalFormatting>
  <conditionalFormatting sqref="X51">
    <cfRule type="cellIs" dxfId="29702" priority="95324" stopIfTrue="1" operator="greaterThanOrEqual">
      <formula>0.5</formula>
    </cfRule>
  </conditionalFormatting>
  <conditionalFormatting sqref="X52">
    <cfRule type="cellIs" dxfId="29701" priority="95325" stopIfTrue="1" operator="equal">
      <formula>-1</formula>
    </cfRule>
  </conditionalFormatting>
  <conditionalFormatting sqref="X52">
    <cfRule type="cellIs" dxfId="29700" priority="95326" stopIfTrue="1" operator="lessThan">
      <formula>0.5</formula>
    </cfRule>
  </conditionalFormatting>
  <conditionalFormatting sqref="X52">
    <cfRule type="cellIs" dxfId="29699" priority="95327" stopIfTrue="1" operator="greaterThanOrEqual">
      <formula>0.5</formula>
    </cfRule>
  </conditionalFormatting>
  <conditionalFormatting sqref="X53">
    <cfRule type="cellIs" dxfId="29698" priority="95328" stopIfTrue="1" operator="equal">
      <formula>-1</formula>
    </cfRule>
  </conditionalFormatting>
  <conditionalFormatting sqref="X53">
    <cfRule type="cellIs" dxfId="29697" priority="95329" stopIfTrue="1" operator="lessThan">
      <formula>0.5</formula>
    </cfRule>
  </conditionalFormatting>
  <conditionalFormatting sqref="X53">
    <cfRule type="cellIs" dxfId="29696" priority="95330" stopIfTrue="1" operator="greaterThanOrEqual">
      <formula>0.5</formula>
    </cfRule>
  </conditionalFormatting>
  <conditionalFormatting sqref="X54">
    <cfRule type="cellIs" dxfId="29695" priority="95331" stopIfTrue="1" operator="equal">
      <formula>-1</formula>
    </cfRule>
  </conditionalFormatting>
  <conditionalFormatting sqref="X54">
    <cfRule type="cellIs" dxfId="29694" priority="95332" stopIfTrue="1" operator="lessThan">
      <formula>0.5</formula>
    </cfRule>
  </conditionalFormatting>
  <conditionalFormatting sqref="X54">
    <cfRule type="cellIs" dxfId="29693" priority="95333" stopIfTrue="1" operator="greaterThanOrEqual">
      <formula>0.5</formula>
    </cfRule>
  </conditionalFormatting>
  <conditionalFormatting sqref="X55">
    <cfRule type="cellIs" dxfId="29692" priority="95334" stopIfTrue="1" operator="equal">
      <formula>-1</formula>
    </cfRule>
  </conditionalFormatting>
  <conditionalFormatting sqref="X55">
    <cfRule type="cellIs" dxfId="29691" priority="95335" stopIfTrue="1" operator="lessThan">
      <formula>0.5</formula>
    </cfRule>
  </conditionalFormatting>
  <conditionalFormatting sqref="X55">
    <cfRule type="cellIs" dxfId="29690" priority="95336" stopIfTrue="1" operator="greaterThanOrEqual">
      <formula>0.5</formula>
    </cfRule>
  </conditionalFormatting>
  <conditionalFormatting sqref="X56">
    <cfRule type="cellIs" dxfId="29689" priority="95337" stopIfTrue="1" operator="equal">
      <formula>-1</formula>
    </cfRule>
  </conditionalFormatting>
  <conditionalFormatting sqref="X56">
    <cfRule type="cellIs" dxfId="29688" priority="95338" stopIfTrue="1" operator="lessThan">
      <formula>0.5</formula>
    </cfRule>
  </conditionalFormatting>
  <conditionalFormatting sqref="X56">
    <cfRule type="cellIs" dxfId="29687" priority="95339" stopIfTrue="1" operator="greaterThanOrEqual">
      <formula>0.5</formula>
    </cfRule>
  </conditionalFormatting>
  <conditionalFormatting sqref="X57">
    <cfRule type="cellIs" dxfId="29686" priority="95340" stopIfTrue="1" operator="equal">
      <formula>-1</formula>
    </cfRule>
  </conditionalFormatting>
  <conditionalFormatting sqref="X57">
    <cfRule type="cellIs" dxfId="29685" priority="95341" stopIfTrue="1" operator="lessThan">
      <formula>0.5</formula>
    </cfRule>
  </conditionalFormatting>
  <conditionalFormatting sqref="X57">
    <cfRule type="cellIs" dxfId="29684" priority="95342" stopIfTrue="1" operator="greaterThanOrEqual">
      <formula>0.5</formula>
    </cfRule>
  </conditionalFormatting>
  <conditionalFormatting sqref="X58">
    <cfRule type="cellIs" dxfId="29683" priority="95343" stopIfTrue="1" operator="equal">
      <formula>-1</formula>
    </cfRule>
  </conditionalFormatting>
  <conditionalFormatting sqref="X58">
    <cfRule type="cellIs" dxfId="29682" priority="95344" stopIfTrue="1" operator="lessThan">
      <formula>0.5</formula>
    </cfRule>
  </conditionalFormatting>
  <conditionalFormatting sqref="X58">
    <cfRule type="cellIs" dxfId="29681" priority="95345" stopIfTrue="1" operator="greaterThanOrEqual">
      <formula>0.5</formula>
    </cfRule>
  </conditionalFormatting>
  <conditionalFormatting sqref="Z39">
    <cfRule type="cellIs" dxfId="29680" priority="95346" stopIfTrue="1" operator="equal">
      <formula>-1</formula>
    </cfRule>
  </conditionalFormatting>
  <conditionalFormatting sqref="Z39">
    <cfRule type="cellIs" dxfId="29679" priority="95347" stopIfTrue="1" operator="lessThan">
      <formula>0.5</formula>
    </cfRule>
  </conditionalFormatting>
  <conditionalFormatting sqref="Z39">
    <cfRule type="cellIs" dxfId="29678" priority="95348" stopIfTrue="1" operator="greaterThanOrEqual">
      <formula>0.5</formula>
    </cfRule>
  </conditionalFormatting>
  <conditionalFormatting sqref="Z40">
    <cfRule type="cellIs" dxfId="29677" priority="95349" stopIfTrue="1" operator="equal">
      <formula>-1</formula>
    </cfRule>
  </conditionalFormatting>
  <conditionalFormatting sqref="Z40">
    <cfRule type="cellIs" dxfId="29676" priority="95350" stopIfTrue="1" operator="lessThan">
      <formula>0.5</formula>
    </cfRule>
  </conditionalFormatting>
  <conditionalFormatting sqref="Z40">
    <cfRule type="cellIs" dxfId="29675" priority="95351" stopIfTrue="1" operator="greaterThanOrEqual">
      <formula>0.5</formula>
    </cfRule>
  </conditionalFormatting>
  <conditionalFormatting sqref="Z41">
    <cfRule type="cellIs" dxfId="29674" priority="95352" stopIfTrue="1" operator="equal">
      <formula>-1</formula>
    </cfRule>
  </conditionalFormatting>
  <conditionalFormatting sqref="Z41">
    <cfRule type="cellIs" dxfId="29673" priority="95353" stopIfTrue="1" operator="lessThan">
      <formula>0.5</formula>
    </cfRule>
  </conditionalFormatting>
  <conditionalFormatting sqref="Z41">
    <cfRule type="cellIs" dxfId="29672" priority="95354" stopIfTrue="1" operator="greaterThanOrEqual">
      <formula>0.5</formula>
    </cfRule>
  </conditionalFormatting>
  <conditionalFormatting sqref="Z42">
    <cfRule type="cellIs" dxfId="29671" priority="95355" stopIfTrue="1" operator="equal">
      <formula>-1</formula>
    </cfRule>
  </conditionalFormatting>
  <conditionalFormatting sqref="Z42">
    <cfRule type="cellIs" dxfId="29670" priority="95356" stopIfTrue="1" operator="lessThan">
      <formula>0.5</formula>
    </cfRule>
  </conditionalFormatting>
  <conditionalFormatting sqref="Z42">
    <cfRule type="cellIs" dxfId="29669" priority="95357" stopIfTrue="1" operator="greaterThanOrEqual">
      <formula>0.5</formula>
    </cfRule>
  </conditionalFormatting>
  <conditionalFormatting sqref="Z43">
    <cfRule type="cellIs" dxfId="29668" priority="95358" stopIfTrue="1" operator="equal">
      <formula>-1</formula>
    </cfRule>
  </conditionalFormatting>
  <conditionalFormatting sqref="Z43">
    <cfRule type="cellIs" dxfId="29667" priority="95359" stopIfTrue="1" operator="lessThan">
      <formula>0.5</formula>
    </cfRule>
  </conditionalFormatting>
  <conditionalFormatting sqref="Z43">
    <cfRule type="cellIs" dxfId="29666" priority="95360" stopIfTrue="1" operator="greaterThanOrEqual">
      <formula>0.5</formula>
    </cfRule>
  </conditionalFormatting>
  <conditionalFormatting sqref="Z44">
    <cfRule type="cellIs" dxfId="29665" priority="95361" stopIfTrue="1" operator="equal">
      <formula>-1</formula>
    </cfRule>
  </conditionalFormatting>
  <conditionalFormatting sqref="Z44">
    <cfRule type="cellIs" dxfId="29664" priority="95362" stopIfTrue="1" operator="lessThan">
      <formula>0.5</formula>
    </cfRule>
  </conditionalFormatting>
  <conditionalFormatting sqref="Z44">
    <cfRule type="cellIs" dxfId="29663" priority="95363" stopIfTrue="1" operator="greaterThanOrEqual">
      <formula>0.5</formula>
    </cfRule>
  </conditionalFormatting>
  <conditionalFormatting sqref="Z45">
    <cfRule type="cellIs" dxfId="29662" priority="95364" stopIfTrue="1" operator="equal">
      <formula>-1</formula>
    </cfRule>
  </conditionalFormatting>
  <conditionalFormatting sqref="Z45">
    <cfRule type="cellIs" dxfId="29661" priority="95365" stopIfTrue="1" operator="lessThan">
      <formula>0.5</formula>
    </cfRule>
  </conditionalFormatting>
  <conditionalFormatting sqref="Z45">
    <cfRule type="cellIs" dxfId="29660" priority="95366" stopIfTrue="1" operator="greaterThanOrEqual">
      <formula>0.5</formula>
    </cfRule>
  </conditionalFormatting>
  <conditionalFormatting sqref="Z46">
    <cfRule type="cellIs" dxfId="29659" priority="95367" stopIfTrue="1" operator="equal">
      <formula>-1</formula>
    </cfRule>
  </conditionalFormatting>
  <conditionalFormatting sqref="Z46">
    <cfRule type="cellIs" dxfId="29658" priority="95368" stopIfTrue="1" operator="lessThan">
      <formula>0.5</formula>
    </cfRule>
  </conditionalFormatting>
  <conditionalFormatting sqref="Z46">
    <cfRule type="cellIs" dxfId="29657" priority="95369" stopIfTrue="1" operator="greaterThanOrEqual">
      <formula>0.5</formula>
    </cfRule>
  </conditionalFormatting>
  <conditionalFormatting sqref="Z47">
    <cfRule type="cellIs" dxfId="29656" priority="95370" stopIfTrue="1" operator="equal">
      <formula>-1</formula>
    </cfRule>
  </conditionalFormatting>
  <conditionalFormatting sqref="Z47">
    <cfRule type="cellIs" dxfId="29655" priority="95371" stopIfTrue="1" operator="lessThan">
      <formula>0.5</formula>
    </cfRule>
  </conditionalFormatting>
  <conditionalFormatting sqref="Z47">
    <cfRule type="cellIs" dxfId="29654" priority="95372" stopIfTrue="1" operator="greaterThanOrEqual">
      <formula>0.5</formula>
    </cfRule>
  </conditionalFormatting>
  <conditionalFormatting sqref="Z48">
    <cfRule type="cellIs" dxfId="29653" priority="95373" stopIfTrue="1" operator="equal">
      <formula>-1</formula>
    </cfRule>
  </conditionalFormatting>
  <conditionalFormatting sqref="Z48">
    <cfRule type="cellIs" dxfId="29652" priority="95374" stopIfTrue="1" operator="lessThan">
      <formula>0.5</formula>
    </cfRule>
  </conditionalFormatting>
  <conditionalFormatting sqref="Z48">
    <cfRule type="cellIs" dxfId="29651" priority="95375" stopIfTrue="1" operator="greaterThanOrEqual">
      <formula>0.5</formula>
    </cfRule>
  </conditionalFormatting>
  <conditionalFormatting sqref="Z49">
    <cfRule type="cellIs" dxfId="29650" priority="95376" stopIfTrue="1" operator="equal">
      <formula>-1</formula>
    </cfRule>
  </conditionalFormatting>
  <conditionalFormatting sqref="Z49">
    <cfRule type="cellIs" dxfId="29649" priority="95377" stopIfTrue="1" operator="lessThan">
      <formula>0.5</formula>
    </cfRule>
  </conditionalFormatting>
  <conditionalFormatting sqref="Z49">
    <cfRule type="cellIs" dxfId="29648" priority="95378" stopIfTrue="1" operator="greaterThanOrEqual">
      <formula>0.5</formula>
    </cfRule>
  </conditionalFormatting>
  <conditionalFormatting sqref="Z50">
    <cfRule type="cellIs" dxfId="29647" priority="95379" stopIfTrue="1" operator="equal">
      <formula>-1</formula>
    </cfRule>
  </conditionalFormatting>
  <conditionalFormatting sqref="Z50">
    <cfRule type="cellIs" dxfId="29646" priority="95380" stopIfTrue="1" operator="lessThan">
      <formula>0.5</formula>
    </cfRule>
  </conditionalFormatting>
  <conditionalFormatting sqref="Z50">
    <cfRule type="cellIs" dxfId="29645" priority="95381" stopIfTrue="1" operator="greaterThanOrEqual">
      <formula>0.5</formula>
    </cfRule>
  </conditionalFormatting>
  <conditionalFormatting sqref="Z51">
    <cfRule type="cellIs" dxfId="29644" priority="95382" stopIfTrue="1" operator="equal">
      <formula>-1</formula>
    </cfRule>
  </conditionalFormatting>
  <conditionalFormatting sqref="Z51">
    <cfRule type="cellIs" dxfId="29643" priority="95383" stopIfTrue="1" operator="lessThan">
      <formula>0.5</formula>
    </cfRule>
  </conditionalFormatting>
  <conditionalFormatting sqref="Z51">
    <cfRule type="cellIs" dxfId="29642" priority="95384" stopIfTrue="1" operator="greaterThanOrEqual">
      <formula>0.5</formula>
    </cfRule>
  </conditionalFormatting>
  <conditionalFormatting sqref="Z52">
    <cfRule type="cellIs" dxfId="29641" priority="95385" stopIfTrue="1" operator="equal">
      <formula>-1</formula>
    </cfRule>
  </conditionalFormatting>
  <conditionalFormatting sqref="Z52">
    <cfRule type="cellIs" dxfId="29640" priority="95386" stopIfTrue="1" operator="lessThan">
      <formula>0.5</formula>
    </cfRule>
  </conditionalFormatting>
  <conditionalFormatting sqref="Z52">
    <cfRule type="cellIs" dxfId="29639" priority="95387" stopIfTrue="1" operator="greaterThanOrEqual">
      <formula>0.5</formula>
    </cfRule>
  </conditionalFormatting>
  <conditionalFormatting sqref="Z53">
    <cfRule type="cellIs" dxfId="29638" priority="95388" stopIfTrue="1" operator="equal">
      <formula>-1</formula>
    </cfRule>
  </conditionalFormatting>
  <conditionalFormatting sqref="Z53">
    <cfRule type="cellIs" dxfId="29637" priority="95389" stopIfTrue="1" operator="lessThan">
      <formula>0.5</formula>
    </cfRule>
  </conditionalFormatting>
  <conditionalFormatting sqref="Z53">
    <cfRule type="cellIs" dxfId="29636" priority="95390" stopIfTrue="1" operator="greaterThanOrEqual">
      <formula>0.5</formula>
    </cfRule>
  </conditionalFormatting>
  <conditionalFormatting sqref="Z54">
    <cfRule type="cellIs" dxfId="29635" priority="95391" stopIfTrue="1" operator="equal">
      <formula>-1</formula>
    </cfRule>
  </conditionalFormatting>
  <conditionalFormatting sqref="Z54">
    <cfRule type="cellIs" dxfId="29634" priority="95392" stopIfTrue="1" operator="lessThan">
      <formula>0.5</formula>
    </cfRule>
  </conditionalFormatting>
  <conditionalFormatting sqref="Z54">
    <cfRule type="cellIs" dxfId="29633" priority="95393" stopIfTrue="1" operator="greaterThanOrEqual">
      <formula>0.5</formula>
    </cfRule>
  </conditionalFormatting>
  <conditionalFormatting sqref="Z55">
    <cfRule type="cellIs" dxfId="29632" priority="95394" stopIfTrue="1" operator="equal">
      <formula>-1</formula>
    </cfRule>
  </conditionalFormatting>
  <conditionalFormatting sqref="Z55">
    <cfRule type="cellIs" dxfId="29631" priority="95395" stopIfTrue="1" operator="lessThan">
      <formula>0.5</formula>
    </cfRule>
  </conditionalFormatting>
  <conditionalFormatting sqref="Z55">
    <cfRule type="cellIs" dxfId="29630" priority="95396" stopIfTrue="1" operator="greaterThanOrEqual">
      <formula>0.5</formula>
    </cfRule>
  </conditionalFormatting>
  <conditionalFormatting sqref="Z56">
    <cfRule type="cellIs" dxfId="29629" priority="95397" stopIfTrue="1" operator="equal">
      <formula>-1</formula>
    </cfRule>
  </conditionalFormatting>
  <conditionalFormatting sqref="Z56">
    <cfRule type="cellIs" dxfId="29628" priority="95398" stopIfTrue="1" operator="lessThan">
      <formula>0.5</formula>
    </cfRule>
  </conditionalFormatting>
  <conditionalFormatting sqref="Z56">
    <cfRule type="cellIs" dxfId="29627" priority="95399" stopIfTrue="1" operator="greaterThanOrEqual">
      <formula>0.5</formula>
    </cfRule>
  </conditionalFormatting>
  <conditionalFormatting sqref="Z57">
    <cfRule type="cellIs" dxfId="29626" priority="95400" stopIfTrue="1" operator="equal">
      <formula>-1</formula>
    </cfRule>
  </conditionalFormatting>
  <conditionalFormatting sqref="Z57">
    <cfRule type="cellIs" dxfId="29625" priority="95401" stopIfTrue="1" operator="lessThan">
      <formula>0.5</formula>
    </cfRule>
  </conditionalFormatting>
  <conditionalFormatting sqref="Z57">
    <cfRule type="cellIs" dxfId="29624" priority="95402" stopIfTrue="1" operator="greaterThanOrEqual">
      <formula>0.5</formula>
    </cfRule>
  </conditionalFormatting>
  <conditionalFormatting sqref="Z58">
    <cfRule type="cellIs" dxfId="29623" priority="95403" stopIfTrue="1" operator="equal">
      <formula>-1</formula>
    </cfRule>
  </conditionalFormatting>
  <conditionalFormatting sqref="Z58">
    <cfRule type="cellIs" dxfId="29622" priority="95404" stopIfTrue="1" operator="lessThan">
      <formula>0.5</formula>
    </cfRule>
  </conditionalFormatting>
  <conditionalFormatting sqref="Z58">
    <cfRule type="cellIs" dxfId="29621" priority="95405" stopIfTrue="1" operator="greaterThanOrEqual">
      <formula>0.5</formula>
    </cfRule>
  </conditionalFormatting>
  <conditionalFormatting sqref="AB39">
    <cfRule type="cellIs" dxfId="29620" priority="95406" stopIfTrue="1" operator="equal">
      <formula>-1</formula>
    </cfRule>
  </conditionalFormatting>
  <conditionalFormatting sqref="AB39">
    <cfRule type="cellIs" dxfId="29619" priority="95407" stopIfTrue="1" operator="lessThan">
      <formula>0.5</formula>
    </cfRule>
  </conditionalFormatting>
  <conditionalFormatting sqref="AB39">
    <cfRule type="cellIs" dxfId="29618" priority="95408" stopIfTrue="1" operator="greaterThanOrEqual">
      <formula>0.5</formula>
    </cfRule>
  </conditionalFormatting>
  <conditionalFormatting sqref="AB40">
    <cfRule type="cellIs" dxfId="29617" priority="95409" stopIfTrue="1" operator="equal">
      <formula>-1</formula>
    </cfRule>
  </conditionalFormatting>
  <conditionalFormatting sqref="AB40">
    <cfRule type="cellIs" dxfId="29616" priority="95410" stopIfTrue="1" operator="lessThan">
      <formula>0.5</formula>
    </cfRule>
  </conditionalFormatting>
  <conditionalFormatting sqref="AB40">
    <cfRule type="cellIs" dxfId="29615" priority="95411" stopIfTrue="1" operator="greaterThanOrEqual">
      <formula>0.5</formula>
    </cfRule>
  </conditionalFormatting>
  <conditionalFormatting sqref="AB41">
    <cfRule type="cellIs" dxfId="29614" priority="95412" stopIfTrue="1" operator="equal">
      <formula>-1</formula>
    </cfRule>
  </conditionalFormatting>
  <conditionalFormatting sqref="AB41">
    <cfRule type="cellIs" dxfId="29613" priority="95413" stopIfTrue="1" operator="lessThan">
      <formula>0.5</formula>
    </cfRule>
  </conditionalFormatting>
  <conditionalFormatting sqref="AB41">
    <cfRule type="cellIs" dxfId="29612" priority="95414" stopIfTrue="1" operator="greaterThanOrEqual">
      <formula>0.5</formula>
    </cfRule>
  </conditionalFormatting>
  <conditionalFormatting sqref="AB42">
    <cfRule type="cellIs" dxfId="29611" priority="95415" stopIfTrue="1" operator="equal">
      <formula>-1</formula>
    </cfRule>
  </conditionalFormatting>
  <conditionalFormatting sqref="AB42">
    <cfRule type="cellIs" dxfId="29610" priority="95416" stopIfTrue="1" operator="lessThan">
      <formula>0.5</formula>
    </cfRule>
  </conditionalFormatting>
  <conditionalFormatting sqref="AB42">
    <cfRule type="cellIs" dxfId="29609" priority="95417" stopIfTrue="1" operator="greaterThanOrEqual">
      <formula>0.5</formula>
    </cfRule>
  </conditionalFormatting>
  <conditionalFormatting sqref="AB43">
    <cfRule type="cellIs" dxfId="29608" priority="95418" stopIfTrue="1" operator="equal">
      <formula>-1</formula>
    </cfRule>
  </conditionalFormatting>
  <conditionalFormatting sqref="AB43">
    <cfRule type="cellIs" dxfId="29607" priority="95419" stopIfTrue="1" operator="lessThan">
      <formula>0.5</formula>
    </cfRule>
  </conditionalFormatting>
  <conditionalFormatting sqref="AB43">
    <cfRule type="cellIs" dxfId="29606" priority="95420" stopIfTrue="1" operator="greaterThanOrEqual">
      <formula>0.5</formula>
    </cfRule>
  </conditionalFormatting>
  <conditionalFormatting sqref="AB44">
    <cfRule type="cellIs" dxfId="29605" priority="95421" stopIfTrue="1" operator="equal">
      <formula>-1</formula>
    </cfRule>
  </conditionalFormatting>
  <conditionalFormatting sqref="AB44">
    <cfRule type="cellIs" dxfId="29604" priority="95422" stopIfTrue="1" operator="lessThan">
      <formula>0.5</formula>
    </cfRule>
  </conditionalFormatting>
  <conditionalFormatting sqref="AB44">
    <cfRule type="cellIs" dxfId="29603" priority="95423" stopIfTrue="1" operator="greaterThanOrEqual">
      <formula>0.5</formula>
    </cfRule>
  </conditionalFormatting>
  <conditionalFormatting sqref="AB45">
    <cfRule type="cellIs" dxfId="29602" priority="95424" stopIfTrue="1" operator="equal">
      <formula>-1</formula>
    </cfRule>
  </conditionalFormatting>
  <conditionalFormatting sqref="AB45">
    <cfRule type="cellIs" dxfId="29601" priority="95425" stopIfTrue="1" operator="lessThan">
      <formula>0.5</formula>
    </cfRule>
  </conditionalFormatting>
  <conditionalFormatting sqref="AB45">
    <cfRule type="cellIs" dxfId="29600" priority="95426" stopIfTrue="1" operator="greaterThanOrEqual">
      <formula>0.5</formula>
    </cfRule>
  </conditionalFormatting>
  <conditionalFormatting sqref="AB46">
    <cfRule type="cellIs" dxfId="29599" priority="95427" stopIfTrue="1" operator="equal">
      <formula>-1</formula>
    </cfRule>
  </conditionalFormatting>
  <conditionalFormatting sqref="AB46">
    <cfRule type="cellIs" dxfId="29598" priority="95428" stopIfTrue="1" operator="lessThan">
      <formula>0.5</formula>
    </cfRule>
  </conditionalFormatting>
  <conditionalFormatting sqref="AB46">
    <cfRule type="cellIs" dxfId="29597" priority="95429" stopIfTrue="1" operator="greaterThanOrEqual">
      <formula>0.5</formula>
    </cfRule>
  </conditionalFormatting>
  <conditionalFormatting sqref="AB47">
    <cfRule type="cellIs" dxfId="29596" priority="95430" stopIfTrue="1" operator="equal">
      <formula>-1</formula>
    </cfRule>
  </conditionalFormatting>
  <conditionalFormatting sqref="AB47">
    <cfRule type="cellIs" dxfId="29595" priority="95431" stopIfTrue="1" operator="lessThan">
      <formula>0.5</formula>
    </cfRule>
  </conditionalFormatting>
  <conditionalFormatting sqref="AB47">
    <cfRule type="cellIs" dxfId="29594" priority="95432" stopIfTrue="1" operator="greaterThanOrEqual">
      <formula>0.5</formula>
    </cfRule>
  </conditionalFormatting>
  <conditionalFormatting sqref="AB48">
    <cfRule type="cellIs" dxfId="29593" priority="95433" stopIfTrue="1" operator="equal">
      <formula>-1</formula>
    </cfRule>
  </conditionalFormatting>
  <conditionalFormatting sqref="AB48">
    <cfRule type="cellIs" dxfId="29592" priority="95434" stopIfTrue="1" operator="lessThan">
      <formula>0.5</formula>
    </cfRule>
  </conditionalFormatting>
  <conditionalFormatting sqref="AB48">
    <cfRule type="cellIs" dxfId="29591" priority="95435" stopIfTrue="1" operator="greaterThanOrEqual">
      <formula>0.5</formula>
    </cfRule>
  </conditionalFormatting>
  <conditionalFormatting sqref="AB49">
    <cfRule type="cellIs" dxfId="29590" priority="95436" stopIfTrue="1" operator="equal">
      <formula>-1</formula>
    </cfRule>
  </conditionalFormatting>
  <conditionalFormatting sqref="AB49">
    <cfRule type="cellIs" dxfId="29589" priority="95437" stopIfTrue="1" operator="lessThan">
      <formula>0.5</formula>
    </cfRule>
  </conditionalFormatting>
  <conditionalFormatting sqref="AB49">
    <cfRule type="cellIs" dxfId="29588" priority="95438" stopIfTrue="1" operator="greaterThanOrEqual">
      <formula>0.5</formula>
    </cfRule>
  </conditionalFormatting>
  <conditionalFormatting sqref="AB50">
    <cfRule type="cellIs" dxfId="29587" priority="95439" stopIfTrue="1" operator="equal">
      <formula>-1</formula>
    </cfRule>
  </conditionalFormatting>
  <conditionalFormatting sqref="AB50">
    <cfRule type="cellIs" dxfId="29586" priority="95440" stopIfTrue="1" operator="lessThan">
      <formula>0.5</formula>
    </cfRule>
  </conditionalFormatting>
  <conditionalFormatting sqref="AB50">
    <cfRule type="cellIs" dxfId="29585" priority="95441" stopIfTrue="1" operator="greaterThanOrEqual">
      <formula>0.5</formula>
    </cfRule>
  </conditionalFormatting>
  <conditionalFormatting sqref="AB51">
    <cfRule type="cellIs" dxfId="29584" priority="95442" stopIfTrue="1" operator="equal">
      <formula>-1</formula>
    </cfRule>
  </conditionalFormatting>
  <conditionalFormatting sqref="AB51">
    <cfRule type="cellIs" dxfId="29583" priority="95443" stopIfTrue="1" operator="lessThan">
      <formula>0.5</formula>
    </cfRule>
  </conditionalFormatting>
  <conditionalFormatting sqref="AB51">
    <cfRule type="cellIs" dxfId="29582" priority="95444" stopIfTrue="1" operator="greaterThanOrEqual">
      <formula>0.5</formula>
    </cfRule>
  </conditionalFormatting>
  <conditionalFormatting sqref="AB52">
    <cfRule type="cellIs" dxfId="29581" priority="95445" stopIfTrue="1" operator="equal">
      <formula>-1</formula>
    </cfRule>
  </conditionalFormatting>
  <conditionalFormatting sqref="AB52">
    <cfRule type="cellIs" dxfId="29580" priority="95446" stopIfTrue="1" operator="lessThan">
      <formula>0.5</formula>
    </cfRule>
  </conditionalFormatting>
  <conditionalFormatting sqref="AB52">
    <cfRule type="cellIs" dxfId="29579" priority="95447" stopIfTrue="1" operator="greaterThanOrEqual">
      <formula>0.5</formula>
    </cfRule>
  </conditionalFormatting>
  <conditionalFormatting sqref="AB53">
    <cfRule type="cellIs" dxfId="29578" priority="95448" stopIfTrue="1" operator="equal">
      <formula>-1</formula>
    </cfRule>
  </conditionalFormatting>
  <conditionalFormatting sqref="AB53">
    <cfRule type="cellIs" dxfId="29577" priority="95449" stopIfTrue="1" operator="lessThan">
      <formula>0.5</formula>
    </cfRule>
  </conditionalFormatting>
  <conditionalFormatting sqref="AB53">
    <cfRule type="cellIs" dxfId="29576" priority="95450" stopIfTrue="1" operator="greaterThanOrEqual">
      <formula>0.5</formula>
    </cfRule>
  </conditionalFormatting>
  <conditionalFormatting sqref="AB54">
    <cfRule type="cellIs" dxfId="29575" priority="95451" stopIfTrue="1" operator="equal">
      <formula>-1</formula>
    </cfRule>
  </conditionalFormatting>
  <conditionalFormatting sqref="AB54">
    <cfRule type="cellIs" dxfId="29574" priority="95452" stopIfTrue="1" operator="lessThan">
      <formula>0.5</formula>
    </cfRule>
  </conditionalFormatting>
  <conditionalFormatting sqref="AB54">
    <cfRule type="cellIs" dxfId="29573" priority="95453" stopIfTrue="1" operator="greaterThanOrEqual">
      <formula>0.5</formula>
    </cfRule>
  </conditionalFormatting>
  <conditionalFormatting sqref="AB55">
    <cfRule type="cellIs" dxfId="29572" priority="95454" stopIfTrue="1" operator="equal">
      <formula>-1</formula>
    </cfRule>
  </conditionalFormatting>
  <conditionalFormatting sqref="AB55">
    <cfRule type="cellIs" dxfId="29571" priority="95455" stopIfTrue="1" operator="lessThan">
      <formula>0.5</formula>
    </cfRule>
  </conditionalFormatting>
  <conditionalFormatting sqref="AB55">
    <cfRule type="cellIs" dxfId="29570" priority="95456" stopIfTrue="1" operator="greaterThanOrEqual">
      <formula>0.5</formula>
    </cfRule>
  </conditionalFormatting>
  <conditionalFormatting sqref="AB56">
    <cfRule type="cellIs" dxfId="29569" priority="95457" stopIfTrue="1" operator="equal">
      <formula>-1</formula>
    </cfRule>
  </conditionalFormatting>
  <conditionalFormatting sqref="AB56">
    <cfRule type="cellIs" dxfId="29568" priority="95458" stopIfTrue="1" operator="lessThan">
      <formula>0.5</formula>
    </cfRule>
  </conditionalFormatting>
  <conditionalFormatting sqref="AB56">
    <cfRule type="cellIs" dxfId="29567" priority="95459" stopIfTrue="1" operator="greaterThanOrEqual">
      <formula>0.5</formula>
    </cfRule>
  </conditionalFormatting>
  <conditionalFormatting sqref="AB57">
    <cfRule type="cellIs" dxfId="29566" priority="95460" stopIfTrue="1" operator="equal">
      <formula>-1</formula>
    </cfRule>
  </conditionalFormatting>
  <conditionalFormatting sqref="AB57">
    <cfRule type="cellIs" dxfId="29565" priority="95461" stopIfTrue="1" operator="lessThan">
      <formula>0.5</formula>
    </cfRule>
  </conditionalFormatting>
  <conditionalFormatting sqref="AB57">
    <cfRule type="cellIs" dxfId="29564" priority="95462" stopIfTrue="1" operator="greaterThanOrEqual">
      <formula>0.5</formula>
    </cfRule>
  </conditionalFormatting>
  <conditionalFormatting sqref="AB58">
    <cfRule type="cellIs" dxfId="29563" priority="95463" stopIfTrue="1" operator="equal">
      <formula>-1</formula>
    </cfRule>
  </conditionalFormatting>
  <conditionalFormatting sqref="AB58">
    <cfRule type="cellIs" dxfId="29562" priority="95464" stopIfTrue="1" operator="lessThan">
      <formula>0.5</formula>
    </cfRule>
  </conditionalFormatting>
  <conditionalFormatting sqref="AB58">
    <cfRule type="cellIs" dxfId="29561" priority="95465" stopIfTrue="1" operator="greaterThanOrEqual">
      <formula>0.5</formula>
    </cfRule>
  </conditionalFormatting>
  <conditionalFormatting sqref="AD39">
    <cfRule type="cellIs" dxfId="29560" priority="95466" stopIfTrue="1" operator="equal">
      <formula>-1</formula>
    </cfRule>
  </conditionalFormatting>
  <conditionalFormatting sqref="AD39">
    <cfRule type="cellIs" dxfId="29559" priority="95467" stopIfTrue="1" operator="lessThan">
      <formula>0.5</formula>
    </cfRule>
  </conditionalFormatting>
  <conditionalFormatting sqref="AD39">
    <cfRule type="cellIs" dxfId="29558" priority="95468" stopIfTrue="1" operator="greaterThanOrEqual">
      <formula>0.5</formula>
    </cfRule>
  </conditionalFormatting>
  <conditionalFormatting sqref="AD40">
    <cfRule type="cellIs" dxfId="29557" priority="95469" stopIfTrue="1" operator="equal">
      <formula>-1</formula>
    </cfRule>
  </conditionalFormatting>
  <conditionalFormatting sqref="AD40">
    <cfRule type="cellIs" dxfId="29556" priority="95470" stopIfTrue="1" operator="lessThan">
      <formula>0.5</formula>
    </cfRule>
  </conditionalFormatting>
  <conditionalFormatting sqref="AD40">
    <cfRule type="cellIs" dxfId="29555" priority="95471" stopIfTrue="1" operator="greaterThanOrEqual">
      <formula>0.5</formula>
    </cfRule>
  </conditionalFormatting>
  <conditionalFormatting sqref="AD41">
    <cfRule type="cellIs" dxfId="29554" priority="95472" stopIfTrue="1" operator="equal">
      <formula>-1</formula>
    </cfRule>
  </conditionalFormatting>
  <conditionalFormatting sqref="AD41">
    <cfRule type="cellIs" dxfId="29553" priority="95473" stopIfTrue="1" operator="lessThan">
      <formula>0.5</formula>
    </cfRule>
  </conditionalFormatting>
  <conditionalFormatting sqref="AD41">
    <cfRule type="cellIs" dxfId="29552" priority="95474" stopIfTrue="1" operator="greaterThanOrEqual">
      <formula>0.5</formula>
    </cfRule>
  </conditionalFormatting>
  <conditionalFormatting sqref="AD42">
    <cfRule type="cellIs" dxfId="29551" priority="95475" stopIfTrue="1" operator="equal">
      <formula>-1</formula>
    </cfRule>
  </conditionalFormatting>
  <conditionalFormatting sqref="AD42">
    <cfRule type="cellIs" dxfId="29550" priority="95476" stopIfTrue="1" operator="lessThan">
      <formula>0.5</formula>
    </cfRule>
  </conditionalFormatting>
  <conditionalFormatting sqref="AD42">
    <cfRule type="cellIs" dxfId="29549" priority="95477" stopIfTrue="1" operator="greaterThanOrEqual">
      <formula>0.5</formula>
    </cfRule>
  </conditionalFormatting>
  <conditionalFormatting sqref="AD43">
    <cfRule type="cellIs" dxfId="29548" priority="95478" stopIfTrue="1" operator="equal">
      <formula>-1</formula>
    </cfRule>
  </conditionalFormatting>
  <conditionalFormatting sqref="AD43">
    <cfRule type="cellIs" dxfId="29547" priority="95479" stopIfTrue="1" operator="lessThan">
      <formula>0.5</formula>
    </cfRule>
  </conditionalFormatting>
  <conditionalFormatting sqref="AD43">
    <cfRule type="cellIs" dxfId="29546" priority="95480" stopIfTrue="1" operator="greaterThanOrEqual">
      <formula>0.5</formula>
    </cfRule>
  </conditionalFormatting>
  <conditionalFormatting sqref="AD44">
    <cfRule type="cellIs" dxfId="29545" priority="95481" stopIfTrue="1" operator="equal">
      <formula>-1</formula>
    </cfRule>
  </conditionalFormatting>
  <conditionalFormatting sqref="AD44">
    <cfRule type="cellIs" dxfId="29544" priority="95482" stopIfTrue="1" operator="lessThan">
      <formula>0.5</formula>
    </cfRule>
  </conditionalFormatting>
  <conditionalFormatting sqref="AD44">
    <cfRule type="cellIs" dxfId="29543" priority="95483" stopIfTrue="1" operator="greaterThanOrEqual">
      <formula>0.5</formula>
    </cfRule>
  </conditionalFormatting>
  <conditionalFormatting sqref="AD45">
    <cfRule type="cellIs" dxfId="29542" priority="95484" stopIfTrue="1" operator="equal">
      <formula>-1</formula>
    </cfRule>
  </conditionalFormatting>
  <conditionalFormatting sqref="AD45">
    <cfRule type="cellIs" dxfId="29541" priority="95485" stopIfTrue="1" operator="lessThan">
      <formula>0.5</formula>
    </cfRule>
  </conditionalFormatting>
  <conditionalFormatting sqref="AD45">
    <cfRule type="cellIs" dxfId="29540" priority="95486" stopIfTrue="1" operator="greaterThanOrEqual">
      <formula>0.5</formula>
    </cfRule>
  </conditionalFormatting>
  <conditionalFormatting sqref="AD46">
    <cfRule type="cellIs" dxfId="29539" priority="95487" stopIfTrue="1" operator="equal">
      <formula>-1</formula>
    </cfRule>
  </conditionalFormatting>
  <conditionalFormatting sqref="AD46">
    <cfRule type="cellIs" dxfId="29538" priority="95488" stopIfTrue="1" operator="lessThan">
      <formula>0.5</formula>
    </cfRule>
  </conditionalFormatting>
  <conditionalFormatting sqref="AD46">
    <cfRule type="cellIs" dxfId="29537" priority="95489" stopIfTrue="1" operator="greaterThanOrEqual">
      <formula>0.5</formula>
    </cfRule>
  </conditionalFormatting>
  <conditionalFormatting sqref="AD47">
    <cfRule type="cellIs" dxfId="29536" priority="95490" stopIfTrue="1" operator="equal">
      <formula>-1</formula>
    </cfRule>
  </conditionalFormatting>
  <conditionalFormatting sqref="AD47">
    <cfRule type="cellIs" dxfId="29535" priority="95491" stopIfTrue="1" operator="lessThan">
      <formula>0.5</formula>
    </cfRule>
  </conditionalFormatting>
  <conditionalFormatting sqref="AD47">
    <cfRule type="cellIs" dxfId="29534" priority="95492" stopIfTrue="1" operator="greaterThanOrEqual">
      <formula>0.5</formula>
    </cfRule>
  </conditionalFormatting>
  <conditionalFormatting sqref="AD48">
    <cfRule type="cellIs" dxfId="29533" priority="95493" stopIfTrue="1" operator="equal">
      <formula>-1</formula>
    </cfRule>
  </conditionalFormatting>
  <conditionalFormatting sqref="AD48">
    <cfRule type="cellIs" dxfId="29532" priority="95494" stopIfTrue="1" operator="lessThan">
      <formula>0.5</formula>
    </cfRule>
  </conditionalFormatting>
  <conditionalFormatting sqref="AD48">
    <cfRule type="cellIs" dxfId="29531" priority="95495" stopIfTrue="1" operator="greaterThanOrEqual">
      <formula>0.5</formula>
    </cfRule>
  </conditionalFormatting>
  <conditionalFormatting sqref="AD49">
    <cfRule type="cellIs" dxfId="29530" priority="95496" stopIfTrue="1" operator="equal">
      <formula>-1</formula>
    </cfRule>
  </conditionalFormatting>
  <conditionalFormatting sqref="AD49">
    <cfRule type="cellIs" dxfId="29529" priority="95497" stopIfTrue="1" operator="lessThan">
      <formula>0.5</formula>
    </cfRule>
  </conditionalFormatting>
  <conditionalFormatting sqref="AD49">
    <cfRule type="cellIs" dxfId="29528" priority="95498" stopIfTrue="1" operator="greaterThanOrEqual">
      <formula>0.5</formula>
    </cfRule>
  </conditionalFormatting>
  <conditionalFormatting sqref="AD50">
    <cfRule type="cellIs" dxfId="29527" priority="95499" stopIfTrue="1" operator="equal">
      <formula>-1</formula>
    </cfRule>
  </conditionalFormatting>
  <conditionalFormatting sqref="AD50">
    <cfRule type="cellIs" dxfId="29526" priority="95500" stopIfTrue="1" operator="lessThan">
      <formula>0.5</formula>
    </cfRule>
  </conditionalFormatting>
  <conditionalFormatting sqref="AD50">
    <cfRule type="cellIs" dxfId="29525" priority="95501" stopIfTrue="1" operator="greaterThanOrEqual">
      <formula>0.5</formula>
    </cfRule>
  </conditionalFormatting>
  <conditionalFormatting sqref="AD51">
    <cfRule type="cellIs" dxfId="29524" priority="95502" stopIfTrue="1" operator="equal">
      <formula>-1</formula>
    </cfRule>
  </conditionalFormatting>
  <conditionalFormatting sqref="AD51">
    <cfRule type="cellIs" dxfId="29523" priority="95503" stopIfTrue="1" operator="lessThan">
      <formula>0.5</formula>
    </cfRule>
  </conditionalFormatting>
  <conditionalFormatting sqref="AD51">
    <cfRule type="cellIs" dxfId="29522" priority="95504" stopIfTrue="1" operator="greaterThanOrEqual">
      <formula>0.5</formula>
    </cfRule>
  </conditionalFormatting>
  <conditionalFormatting sqref="AD52">
    <cfRule type="cellIs" dxfId="29521" priority="95505" stopIfTrue="1" operator="equal">
      <formula>-1</formula>
    </cfRule>
  </conditionalFormatting>
  <conditionalFormatting sqref="AD52">
    <cfRule type="cellIs" dxfId="29520" priority="95506" stopIfTrue="1" operator="lessThan">
      <formula>0.5</formula>
    </cfRule>
  </conditionalFormatting>
  <conditionalFormatting sqref="AD52">
    <cfRule type="cellIs" dxfId="29519" priority="95507" stopIfTrue="1" operator="greaterThanOrEqual">
      <formula>0.5</formula>
    </cfRule>
  </conditionalFormatting>
  <conditionalFormatting sqref="AD53">
    <cfRule type="cellIs" dxfId="29518" priority="95508" stopIfTrue="1" operator="equal">
      <formula>-1</formula>
    </cfRule>
  </conditionalFormatting>
  <conditionalFormatting sqref="AD53">
    <cfRule type="cellIs" dxfId="29517" priority="95509" stopIfTrue="1" operator="lessThan">
      <formula>0.5</formula>
    </cfRule>
  </conditionalFormatting>
  <conditionalFormatting sqref="AD53">
    <cfRule type="cellIs" dxfId="29516" priority="95510" stopIfTrue="1" operator="greaterThanOrEqual">
      <formula>0.5</formula>
    </cfRule>
  </conditionalFormatting>
  <conditionalFormatting sqref="AD54">
    <cfRule type="cellIs" dxfId="29515" priority="95511" stopIfTrue="1" operator="equal">
      <formula>-1</formula>
    </cfRule>
  </conditionalFormatting>
  <conditionalFormatting sqref="AD54">
    <cfRule type="cellIs" dxfId="29514" priority="95512" stopIfTrue="1" operator="lessThan">
      <formula>0.5</formula>
    </cfRule>
  </conditionalFormatting>
  <conditionalFormatting sqref="AD54">
    <cfRule type="cellIs" dxfId="29513" priority="95513" stopIfTrue="1" operator="greaterThanOrEqual">
      <formula>0.5</formula>
    </cfRule>
  </conditionalFormatting>
  <conditionalFormatting sqref="AD55">
    <cfRule type="cellIs" dxfId="29512" priority="95514" stopIfTrue="1" operator="equal">
      <formula>-1</formula>
    </cfRule>
  </conditionalFormatting>
  <conditionalFormatting sqref="AD55">
    <cfRule type="cellIs" dxfId="29511" priority="95515" stopIfTrue="1" operator="lessThan">
      <formula>0.5</formula>
    </cfRule>
  </conditionalFormatting>
  <conditionalFormatting sqref="AD55">
    <cfRule type="cellIs" dxfId="29510" priority="95516" stopIfTrue="1" operator="greaterThanOrEqual">
      <formula>0.5</formula>
    </cfRule>
  </conditionalFormatting>
  <conditionalFormatting sqref="AD56">
    <cfRule type="cellIs" dxfId="29509" priority="95517" stopIfTrue="1" operator="equal">
      <formula>-1</formula>
    </cfRule>
  </conditionalFormatting>
  <conditionalFormatting sqref="AD56">
    <cfRule type="cellIs" dxfId="29508" priority="95518" stopIfTrue="1" operator="lessThan">
      <formula>0.5</formula>
    </cfRule>
  </conditionalFormatting>
  <conditionalFormatting sqref="AD56">
    <cfRule type="cellIs" dxfId="29507" priority="95519" stopIfTrue="1" operator="greaterThanOrEqual">
      <formula>0.5</formula>
    </cfRule>
  </conditionalFormatting>
  <conditionalFormatting sqref="AD57">
    <cfRule type="cellIs" dxfId="29506" priority="95520" stopIfTrue="1" operator="equal">
      <formula>-1</formula>
    </cfRule>
  </conditionalFormatting>
  <conditionalFormatting sqref="AD57">
    <cfRule type="cellIs" dxfId="29505" priority="95521" stopIfTrue="1" operator="lessThan">
      <formula>0.5</formula>
    </cfRule>
  </conditionalFormatting>
  <conditionalFormatting sqref="AD57">
    <cfRule type="cellIs" dxfId="29504" priority="95522" stopIfTrue="1" operator="greaterThanOrEqual">
      <formula>0.5</formula>
    </cfRule>
  </conditionalFormatting>
  <conditionalFormatting sqref="AD58">
    <cfRule type="cellIs" dxfId="29503" priority="95523" stopIfTrue="1" operator="equal">
      <formula>-1</formula>
    </cfRule>
  </conditionalFormatting>
  <conditionalFormatting sqref="AD58">
    <cfRule type="cellIs" dxfId="29502" priority="95524" stopIfTrue="1" operator="lessThan">
      <formula>0.5</formula>
    </cfRule>
  </conditionalFormatting>
  <conditionalFormatting sqref="AD58">
    <cfRule type="cellIs" dxfId="29501" priority="95525" stopIfTrue="1" operator="greaterThanOrEqual">
      <formula>0.5</formula>
    </cfRule>
  </conditionalFormatting>
  <conditionalFormatting sqref="AF39">
    <cfRule type="cellIs" dxfId="29500" priority="95526" stopIfTrue="1" operator="equal">
      <formula>-1</formula>
    </cfRule>
  </conditionalFormatting>
  <conditionalFormatting sqref="AF39">
    <cfRule type="cellIs" dxfId="29499" priority="95527" stopIfTrue="1" operator="lessThan">
      <formula>0.5</formula>
    </cfRule>
  </conditionalFormatting>
  <conditionalFormatting sqref="AF39">
    <cfRule type="cellIs" dxfId="29498" priority="95528" stopIfTrue="1" operator="greaterThanOrEqual">
      <formula>0.5</formula>
    </cfRule>
  </conditionalFormatting>
  <conditionalFormatting sqref="AF40">
    <cfRule type="cellIs" dxfId="29497" priority="95529" stopIfTrue="1" operator="equal">
      <formula>-1</formula>
    </cfRule>
  </conditionalFormatting>
  <conditionalFormatting sqref="AF40">
    <cfRule type="cellIs" dxfId="29496" priority="95530" stopIfTrue="1" operator="lessThan">
      <formula>0.5</formula>
    </cfRule>
  </conditionalFormatting>
  <conditionalFormatting sqref="AF40">
    <cfRule type="cellIs" dxfId="29495" priority="95531" stopIfTrue="1" operator="greaterThanOrEqual">
      <formula>0.5</formula>
    </cfRule>
  </conditionalFormatting>
  <conditionalFormatting sqref="AF41">
    <cfRule type="cellIs" dxfId="29494" priority="95532" stopIfTrue="1" operator="equal">
      <formula>-1</formula>
    </cfRule>
  </conditionalFormatting>
  <conditionalFormatting sqref="AF41">
    <cfRule type="cellIs" dxfId="29493" priority="95533" stopIfTrue="1" operator="lessThan">
      <formula>0.5</formula>
    </cfRule>
  </conditionalFormatting>
  <conditionalFormatting sqref="AF41">
    <cfRule type="cellIs" dxfId="29492" priority="95534" stopIfTrue="1" operator="greaterThanOrEqual">
      <formula>0.5</formula>
    </cfRule>
  </conditionalFormatting>
  <conditionalFormatting sqref="AF42">
    <cfRule type="cellIs" dxfId="29491" priority="95535" stopIfTrue="1" operator="equal">
      <formula>-1</formula>
    </cfRule>
  </conditionalFormatting>
  <conditionalFormatting sqref="AF42">
    <cfRule type="cellIs" dxfId="29490" priority="95536" stopIfTrue="1" operator="lessThan">
      <formula>0.5</formula>
    </cfRule>
  </conditionalFormatting>
  <conditionalFormatting sqref="AF42">
    <cfRule type="cellIs" dxfId="29489" priority="95537" stopIfTrue="1" operator="greaterThanOrEqual">
      <formula>0.5</formula>
    </cfRule>
  </conditionalFormatting>
  <conditionalFormatting sqref="AF43">
    <cfRule type="cellIs" dxfId="29488" priority="95538" stopIfTrue="1" operator="equal">
      <formula>-1</formula>
    </cfRule>
  </conditionalFormatting>
  <conditionalFormatting sqref="AF43">
    <cfRule type="cellIs" dxfId="29487" priority="95539" stopIfTrue="1" operator="lessThan">
      <formula>0.5</formula>
    </cfRule>
  </conditionalFormatting>
  <conditionalFormatting sqref="AF43">
    <cfRule type="cellIs" dxfId="29486" priority="95540" stopIfTrue="1" operator="greaterThanOrEqual">
      <formula>0.5</formula>
    </cfRule>
  </conditionalFormatting>
  <conditionalFormatting sqref="AF44">
    <cfRule type="cellIs" dxfId="29485" priority="95541" stopIfTrue="1" operator="equal">
      <formula>-1</formula>
    </cfRule>
  </conditionalFormatting>
  <conditionalFormatting sqref="AF44">
    <cfRule type="cellIs" dxfId="29484" priority="95542" stopIfTrue="1" operator="lessThan">
      <formula>0.5</formula>
    </cfRule>
  </conditionalFormatting>
  <conditionalFormatting sqref="AF44">
    <cfRule type="cellIs" dxfId="29483" priority="95543" stopIfTrue="1" operator="greaterThanOrEqual">
      <formula>0.5</formula>
    </cfRule>
  </conditionalFormatting>
  <conditionalFormatting sqref="AF45">
    <cfRule type="cellIs" dxfId="29482" priority="95544" stopIfTrue="1" operator="equal">
      <formula>-1</formula>
    </cfRule>
  </conditionalFormatting>
  <conditionalFormatting sqref="AF45">
    <cfRule type="cellIs" dxfId="29481" priority="95545" stopIfTrue="1" operator="lessThan">
      <formula>0.5</formula>
    </cfRule>
  </conditionalFormatting>
  <conditionalFormatting sqref="AF45">
    <cfRule type="cellIs" dxfId="29480" priority="95546" stopIfTrue="1" operator="greaterThanOrEqual">
      <formula>0.5</formula>
    </cfRule>
  </conditionalFormatting>
  <conditionalFormatting sqref="AF46">
    <cfRule type="cellIs" dxfId="29479" priority="95547" stopIfTrue="1" operator="equal">
      <formula>-1</formula>
    </cfRule>
  </conditionalFormatting>
  <conditionalFormatting sqref="AF46">
    <cfRule type="cellIs" dxfId="29478" priority="95548" stopIfTrue="1" operator="lessThan">
      <formula>0.5</formula>
    </cfRule>
  </conditionalFormatting>
  <conditionalFormatting sqref="AF46">
    <cfRule type="cellIs" dxfId="29477" priority="95549" stopIfTrue="1" operator="greaterThanOrEqual">
      <formula>0.5</formula>
    </cfRule>
  </conditionalFormatting>
  <conditionalFormatting sqref="AF47">
    <cfRule type="cellIs" dxfId="29476" priority="95550" stopIfTrue="1" operator="equal">
      <formula>-1</formula>
    </cfRule>
  </conditionalFormatting>
  <conditionalFormatting sqref="AF47">
    <cfRule type="cellIs" dxfId="29475" priority="95551" stopIfTrue="1" operator="lessThan">
      <formula>0.5</formula>
    </cfRule>
  </conditionalFormatting>
  <conditionalFormatting sqref="AF47">
    <cfRule type="cellIs" dxfId="29474" priority="95552" stopIfTrue="1" operator="greaterThanOrEqual">
      <formula>0.5</formula>
    </cfRule>
  </conditionalFormatting>
  <conditionalFormatting sqref="AF48">
    <cfRule type="cellIs" dxfId="29473" priority="95553" stopIfTrue="1" operator="equal">
      <formula>-1</formula>
    </cfRule>
  </conditionalFormatting>
  <conditionalFormatting sqref="AF48">
    <cfRule type="cellIs" dxfId="29472" priority="95554" stopIfTrue="1" operator="lessThan">
      <formula>0.5</formula>
    </cfRule>
  </conditionalFormatting>
  <conditionalFormatting sqref="AF48">
    <cfRule type="cellIs" dxfId="29471" priority="95555" stopIfTrue="1" operator="greaterThanOrEqual">
      <formula>0.5</formula>
    </cfRule>
  </conditionalFormatting>
  <conditionalFormatting sqref="AF49">
    <cfRule type="cellIs" dxfId="29470" priority="95556" stopIfTrue="1" operator="equal">
      <formula>-1</formula>
    </cfRule>
  </conditionalFormatting>
  <conditionalFormatting sqref="AF49">
    <cfRule type="cellIs" dxfId="29469" priority="95557" stopIfTrue="1" operator="lessThan">
      <formula>0.5</formula>
    </cfRule>
  </conditionalFormatting>
  <conditionalFormatting sqref="AF49">
    <cfRule type="cellIs" dxfId="29468" priority="95558" stopIfTrue="1" operator="greaterThanOrEqual">
      <formula>0.5</formula>
    </cfRule>
  </conditionalFormatting>
  <conditionalFormatting sqref="AF50">
    <cfRule type="cellIs" dxfId="29467" priority="95559" stopIfTrue="1" operator="equal">
      <formula>-1</formula>
    </cfRule>
  </conditionalFormatting>
  <conditionalFormatting sqref="AF50">
    <cfRule type="cellIs" dxfId="29466" priority="95560" stopIfTrue="1" operator="lessThan">
      <formula>0.5</formula>
    </cfRule>
  </conditionalFormatting>
  <conditionalFormatting sqref="AF50">
    <cfRule type="cellIs" dxfId="29465" priority="95561" stopIfTrue="1" operator="greaterThanOrEqual">
      <formula>0.5</formula>
    </cfRule>
  </conditionalFormatting>
  <conditionalFormatting sqref="AF51">
    <cfRule type="cellIs" dxfId="29464" priority="95562" stopIfTrue="1" operator="equal">
      <formula>-1</formula>
    </cfRule>
  </conditionalFormatting>
  <conditionalFormatting sqref="AF51">
    <cfRule type="cellIs" dxfId="29463" priority="95563" stopIfTrue="1" operator="lessThan">
      <formula>0.5</formula>
    </cfRule>
  </conditionalFormatting>
  <conditionalFormatting sqref="AF51">
    <cfRule type="cellIs" dxfId="29462" priority="95564" stopIfTrue="1" operator="greaterThanOrEqual">
      <formula>0.5</formula>
    </cfRule>
  </conditionalFormatting>
  <conditionalFormatting sqref="AF52">
    <cfRule type="cellIs" dxfId="29461" priority="95565" stopIfTrue="1" operator="equal">
      <formula>-1</formula>
    </cfRule>
  </conditionalFormatting>
  <conditionalFormatting sqref="AF52">
    <cfRule type="cellIs" dxfId="29460" priority="95566" stopIfTrue="1" operator="lessThan">
      <formula>0.5</formula>
    </cfRule>
  </conditionalFormatting>
  <conditionalFormatting sqref="AF52">
    <cfRule type="cellIs" dxfId="29459" priority="95567" stopIfTrue="1" operator="greaterThanOrEqual">
      <formula>0.5</formula>
    </cfRule>
  </conditionalFormatting>
  <conditionalFormatting sqref="AF53">
    <cfRule type="cellIs" dxfId="29458" priority="95568" stopIfTrue="1" operator="equal">
      <formula>-1</formula>
    </cfRule>
  </conditionalFormatting>
  <conditionalFormatting sqref="AF53">
    <cfRule type="cellIs" dxfId="29457" priority="95569" stopIfTrue="1" operator="lessThan">
      <formula>0.5</formula>
    </cfRule>
  </conditionalFormatting>
  <conditionalFormatting sqref="AF53">
    <cfRule type="cellIs" dxfId="29456" priority="95570" stopIfTrue="1" operator="greaterThanOrEqual">
      <formula>0.5</formula>
    </cfRule>
  </conditionalFormatting>
  <conditionalFormatting sqref="AF54">
    <cfRule type="cellIs" dxfId="29455" priority="95571" stopIfTrue="1" operator="equal">
      <formula>-1</formula>
    </cfRule>
  </conditionalFormatting>
  <conditionalFormatting sqref="AF54">
    <cfRule type="cellIs" dxfId="29454" priority="95572" stopIfTrue="1" operator="lessThan">
      <formula>0.5</formula>
    </cfRule>
  </conditionalFormatting>
  <conditionalFormatting sqref="AF54">
    <cfRule type="cellIs" dxfId="29453" priority="95573" stopIfTrue="1" operator="greaterThanOrEqual">
      <formula>0.5</formula>
    </cfRule>
  </conditionalFormatting>
  <conditionalFormatting sqref="AF55">
    <cfRule type="cellIs" dxfId="29452" priority="95574" stopIfTrue="1" operator="equal">
      <formula>-1</formula>
    </cfRule>
  </conditionalFormatting>
  <conditionalFormatting sqref="AF55">
    <cfRule type="cellIs" dxfId="29451" priority="95575" stopIfTrue="1" operator="lessThan">
      <formula>0.5</formula>
    </cfRule>
  </conditionalFormatting>
  <conditionalFormatting sqref="AF55">
    <cfRule type="cellIs" dxfId="29450" priority="95576" stopIfTrue="1" operator="greaterThanOrEqual">
      <formula>0.5</formula>
    </cfRule>
  </conditionalFormatting>
  <conditionalFormatting sqref="AF56">
    <cfRule type="cellIs" dxfId="29449" priority="95577" stopIfTrue="1" operator="equal">
      <formula>-1</formula>
    </cfRule>
  </conditionalFormatting>
  <conditionalFormatting sqref="AF56">
    <cfRule type="cellIs" dxfId="29448" priority="95578" stopIfTrue="1" operator="lessThan">
      <formula>0.5</formula>
    </cfRule>
  </conditionalFormatting>
  <conditionalFormatting sqref="AF56">
    <cfRule type="cellIs" dxfId="29447" priority="95579" stopIfTrue="1" operator="greaterThanOrEqual">
      <formula>0.5</formula>
    </cfRule>
  </conditionalFormatting>
  <conditionalFormatting sqref="AF57">
    <cfRule type="cellIs" dxfId="29446" priority="95580" stopIfTrue="1" operator="equal">
      <formula>-1</formula>
    </cfRule>
  </conditionalFormatting>
  <conditionalFormatting sqref="AF57">
    <cfRule type="cellIs" dxfId="29445" priority="95581" stopIfTrue="1" operator="lessThan">
      <formula>0.5</formula>
    </cfRule>
  </conditionalFormatting>
  <conditionalFormatting sqref="AF57">
    <cfRule type="cellIs" dxfId="29444" priority="95582" stopIfTrue="1" operator="greaterThanOrEqual">
      <formula>0.5</formula>
    </cfRule>
  </conditionalFormatting>
  <conditionalFormatting sqref="AF58">
    <cfRule type="cellIs" dxfId="29443" priority="95583" stopIfTrue="1" operator="equal">
      <formula>-1</formula>
    </cfRule>
  </conditionalFormatting>
  <conditionalFormatting sqref="AF58">
    <cfRule type="cellIs" dxfId="29442" priority="95584" stopIfTrue="1" operator="lessThan">
      <formula>0.5</formula>
    </cfRule>
  </conditionalFormatting>
  <conditionalFormatting sqref="AF58">
    <cfRule type="cellIs" dxfId="29441" priority="95585" stopIfTrue="1" operator="greaterThanOrEqual">
      <formula>0.5</formula>
    </cfRule>
  </conditionalFormatting>
  <conditionalFormatting sqref="AH39">
    <cfRule type="cellIs" dxfId="29440" priority="95586" stopIfTrue="1" operator="equal">
      <formula>-1</formula>
    </cfRule>
  </conditionalFormatting>
  <conditionalFormatting sqref="AH39">
    <cfRule type="cellIs" dxfId="29439" priority="95587" stopIfTrue="1" operator="lessThan">
      <formula>0.5</formula>
    </cfRule>
  </conditionalFormatting>
  <conditionalFormatting sqref="AH39">
    <cfRule type="cellIs" dxfId="29438" priority="95588" stopIfTrue="1" operator="greaterThanOrEqual">
      <formula>0.5</formula>
    </cfRule>
  </conditionalFormatting>
  <conditionalFormatting sqref="AH40">
    <cfRule type="cellIs" dxfId="29437" priority="95589" stopIfTrue="1" operator="equal">
      <formula>-1</formula>
    </cfRule>
  </conditionalFormatting>
  <conditionalFormatting sqref="AH40">
    <cfRule type="cellIs" dxfId="29436" priority="95590" stopIfTrue="1" operator="lessThan">
      <formula>0.5</formula>
    </cfRule>
  </conditionalFormatting>
  <conditionalFormatting sqref="AH40">
    <cfRule type="cellIs" dxfId="29435" priority="95591" stopIfTrue="1" operator="greaterThanOrEqual">
      <formula>0.5</formula>
    </cfRule>
  </conditionalFormatting>
  <conditionalFormatting sqref="AH41">
    <cfRule type="cellIs" dxfId="29434" priority="95592" stopIfTrue="1" operator="equal">
      <formula>-1</formula>
    </cfRule>
  </conditionalFormatting>
  <conditionalFormatting sqref="AH41">
    <cfRule type="cellIs" dxfId="29433" priority="95593" stopIfTrue="1" operator="lessThan">
      <formula>0.5</formula>
    </cfRule>
  </conditionalFormatting>
  <conditionalFormatting sqref="AH41">
    <cfRule type="cellIs" dxfId="29432" priority="95594" stopIfTrue="1" operator="greaterThanOrEqual">
      <formula>0.5</formula>
    </cfRule>
  </conditionalFormatting>
  <conditionalFormatting sqref="AH42">
    <cfRule type="cellIs" dxfId="29431" priority="95595" stopIfTrue="1" operator="equal">
      <formula>-1</formula>
    </cfRule>
  </conditionalFormatting>
  <conditionalFormatting sqref="AH42">
    <cfRule type="cellIs" dxfId="29430" priority="95596" stopIfTrue="1" operator="lessThan">
      <formula>0.5</formula>
    </cfRule>
  </conditionalFormatting>
  <conditionalFormatting sqref="AH42">
    <cfRule type="cellIs" dxfId="29429" priority="95597" stopIfTrue="1" operator="greaterThanOrEqual">
      <formula>0.5</formula>
    </cfRule>
  </conditionalFormatting>
  <conditionalFormatting sqref="AH43">
    <cfRule type="cellIs" dxfId="29428" priority="95598" stopIfTrue="1" operator="equal">
      <formula>-1</formula>
    </cfRule>
  </conditionalFormatting>
  <conditionalFormatting sqref="AH43">
    <cfRule type="cellIs" dxfId="29427" priority="95599" stopIfTrue="1" operator="lessThan">
      <formula>0.5</formula>
    </cfRule>
  </conditionalFormatting>
  <conditionalFormatting sqref="AH43">
    <cfRule type="cellIs" dxfId="29426" priority="95600" stopIfTrue="1" operator="greaterThanOrEqual">
      <formula>0.5</formula>
    </cfRule>
  </conditionalFormatting>
  <conditionalFormatting sqref="AH44">
    <cfRule type="cellIs" dxfId="29425" priority="95601" stopIfTrue="1" operator="equal">
      <formula>-1</formula>
    </cfRule>
  </conditionalFormatting>
  <conditionalFormatting sqref="AH44">
    <cfRule type="cellIs" dxfId="29424" priority="95602" stopIfTrue="1" operator="lessThan">
      <formula>0.5</formula>
    </cfRule>
  </conditionalFormatting>
  <conditionalFormatting sqref="AH44">
    <cfRule type="cellIs" dxfId="29423" priority="95603" stopIfTrue="1" operator="greaterThanOrEqual">
      <formula>0.5</formula>
    </cfRule>
  </conditionalFormatting>
  <conditionalFormatting sqref="AH45">
    <cfRule type="cellIs" dxfId="29422" priority="95604" stopIfTrue="1" operator="equal">
      <formula>-1</formula>
    </cfRule>
  </conditionalFormatting>
  <conditionalFormatting sqref="AH45">
    <cfRule type="cellIs" dxfId="29421" priority="95605" stopIfTrue="1" operator="lessThan">
      <formula>0.5</formula>
    </cfRule>
  </conditionalFormatting>
  <conditionalFormatting sqref="AH45">
    <cfRule type="cellIs" dxfId="29420" priority="95606" stopIfTrue="1" operator="greaterThanOrEqual">
      <formula>0.5</formula>
    </cfRule>
  </conditionalFormatting>
  <conditionalFormatting sqref="AH46">
    <cfRule type="cellIs" dxfId="29419" priority="95607" stopIfTrue="1" operator="equal">
      <formula>-1</formula>
    </cfRule>
  </conditionalFormatting>
  <conditionalFormatting sqref="AH46">
    <cfRule type="cellIs" dxfId="29418" priority="95608" stopIfTrue="1" operator="lessThan">
      <formula>0.5</formula>
    </cfRule>
  </conditionalFormatting>
  <conditionalFormatting sqref="AH46">
    <cfRule type="cellIs" dxfId="29417" priority="95609" stopIfTrue="1" operator="greaterThanOrEqual">
      <formula>0.5</formula>
    </cfRule>
  </conditionalFormatting>
  <conditionalFormatting sqref="AH47">
    <cfRule type="cellIs" dxfId="29416" priority="95610" stopIfTrue="1" operator="equal">
      <formula>-1</formula>
    </cfRule>
  </conditionalFormatting>
  <conditionalFormatting sqref="AH47">
    <cfRule type="cellIs" dxfId="29415" priority="95611" stopIfTrue="1" operator="lessThan">
      <formula>0.5</formula>
    </cfRule>
  </conditionalFormatting>
  <conditionalFormatting sqref="AH47">
    <cfRule type="cellIs" dxfId="29414" priority="95612" stopIfTrue="1" operator="greaterThanOrEqual">
      <formula>0.5</formula>
    </cfRule>
  </conditionalFormatting>
  <conditionalFormatting sqref="AH48">
    <cfRule type="cellIs" dxfId="29413" priority="95613" stopIfTrue="1" operator="equal">
      <formula>-1</formula>
    </cfRule>
  </conditionalFormatting>
  <conditionalFormatting sqref="AH48">
    <cfRule type="cellIs" dxfId="29412" priority="95614" stopIfTrue="1" operator="lessThan">
      <formula>0.5</formula>
    </cfRule>
  </conditionalFormatting>
  <conditionalFormatting sqref="AH48">
    <cfRule type="cellIs" dxfId="29411" priority="95615" stopIfTrue="1" operator="greaterThanOrEqual">
      <formula>0.5</formula>
    </cfRule>
  </conditionalFormatting>
  <conditionalFormatting sqref="AH49">
    <cfRule type="cellIs" dxfId="29410" priority="95616" stopIfTrue="1" operator="equal">
      <formula>-1</formula>
    </cfRule>
  </conditionalFormatting>
  <conditionalFormatting sqref="AH49">
    <cfRule type="cellIs" dxfId="29409" priority="95617" stopIfTrue="1" operator="lessThan">
      <formula>0.5</formula>
    </cfRule>
  </conditionalFormatting>
  <conditionalFormatting sqref="AH49">
    <cfRule type="cellIs" dxfId="29408" priority="95618" stopIfTrue="1" operator="greaterThanOrEqual">
      <formula>0.5</formula>
    </cfRule>
  </conditionalFormatting>
  <conditionalFormatting sqref="AH50">
    <cfRule type="cellIs" dxfId="29407" priority="95619" stopIfTrue="1" operator="equal">
      <formula>-1</formula>
    </cfRule>
  </conditionalFormatting>
  <conditionalFormatting sqref="AH50">
    <cfRule type="cellIs" dxfId="29406" priority="95620" stopIfTrue="1" operator="lessThan">
      <formula>0.5</formula>
    </cfRule>
  </conditionalFormatting>
  <conditionalFormatting sqref="AH50">
    <cfRule type="cellIs" dxfId="29405" priority="95621" stopIfTrue="1" operator="greaterThanOrEqual">
      <formula>0.5</formula>
    </cfRule>
  </conditionalFormatting>
  <conditionalFormatting sqref="AH51">
    <cfRule type="cellIs" dxfId="29404" priority="95622" stopIfTrue="1" operator="equal">
      <formula>-1</formula>
    </cfRule>
  </conditionalFormatting>
  <conditionalFormatting sqref="AH51">
    <cfRule type="cellIs" dxfId="29403" priority="95623" stopIfTrue="1" operator="lessThan">
      <formula>0.5</formula>
    </cfRule>
  </conditionalFormatting>
  <conditionalFormatting sqref="AH51">
    <cfRule type="cellIs" dxfId="29402" priority="95624" stopIfTrue="1" operator="greaterThanOrEqual">
      <formula>0.5</formula>
    </cfRule>
  </conditionalFormatting>
  <conditionalFormatting sqref="AH52">
    <cfRule type="cellIs" dxfId="29401" priority="95625" stopIfTrue="1" operator="equal">
      <formula>-1</formula>
    </cfRule>
  </conditionalFormatting>
  <conditionalFormatting sqref="AH52">
    <cfRule type="cellIs" dxfId="29400" priority="95626" stopIfTrue="1" operator="lessThan">
      <formula>0.5</formula>
    </cfRule>
  </conditionalFormatting>
  <conditionalFormatting sqref="AH52">
    <cfRule type="cellIs" dxfId="29399" priority="95627" stopIfTrue="1" operator="greaterThanOrEqual">
      <formula>0.5</formula>
    </cfRule>
  </conditionalFormatting>
  <conditionalFormatting sqref="AH53">
    <cfRule type="cellIs" dxfId="29398" priority="95628" stopIfTrue="1" operator="equal">
      <formula>-1</formula>
    </cfRule>
  </conditionalFormatting>
  <conditionalFormatting sqref="AH53">
    <cfRule type="cellIs" dxfId="29397" priority="95629" stopIfTrue="1" operator="lessThan">
      <formula>0.5</formula>
    </cfRule>
  </conditionalFormatting>
  <conditionalFormatting sqref="AH53">
    <cfRule type="cellIs" dxfId="29396" priority="95630" stopIfTrue="1" operator="greaterThanOrEqual">
      <formula>0.5</formula>
    </cfRule>
  </conditionalFormatting>
  <conditionalFormatting sqref="AH54">
    <cfRule type="cellIs" dxfId="29395" priority="95631" stopIfTrue="1" operator="equal">
      <formula>-1</formula>
    </cfRule>
  </conditionalFormatting>
  <conditionalFormatting sqref="AH54">
    <cfRule type="cellIs" dxfId="29394" priority="95632" stopIfTrue="1" operator="lessThan">
      <formula>0.5</formula>
    </cfRule>
  </conditionalFormatting>
  <conditionalFormatting sqref="AH54">
    <cfRule type="cellIs" dxfId="29393" priority="95633" stopIfTrue="1" operator="greaterThanOrEqual">
      <formula>0.5</formula>
    </cfRule>
  </conditionalFormatting>
  <conditionalFormatting sqref="AH55">
    <cfRule type="cellIs" dxfId="29392" priority="95634" stopIfTrue="1" operator="equal">
      <formula>-1</formula>
    </cfRule>
  </conditionalFormatting>
  <conditionalFormatting sqref="AH55">
    <cfRule type="cellIs" dxfId="29391" priority="95635" stopIfTrue="1" operator="lessThan">
      <formula>0.5</formula>
    </cfRule>
  </conditionalFormatting>
  <conditionalFormatting sqref="AH55">
    <cfRule type="cellIs" dxfId="29390" priority="95636" stopIfTrue="1" operator="greaterThanOrEqual">
      <formula>0.5</formula>
    </cfRule>
  </conditionalFormatting>
  <conditionalFormatting sqref="AH56">
    <cfRule type="cellIs" dxfId="29389" priority="95637" stopIfTrue="1" operator="equal">
      <formula>-1</formula>
    </cfRule>
  </conditionalFormatting>
  <conditionalFormatting sqref="AH56">
    <cfRule type="cellIs" dxfId="29388" priority="95638" stopIfTrue="1" operator="lessThan">
      <formula>0.5</formula>
    </cfRule>
  </conditionalFormatting>
  <conditionalFormatting sqref="AH56">
    <cfRule type="cellIs" dxfId="29387" priority="95639" stopIfTrue="1" operator="greaterThanOrEqual">
      <formula>0.5</formula>
    </cfRule>
  </conditionalFormatting>
  <conditionalFormatting sqref="AH57">
    <cfRule type="cellIs" dxfId="29386" priority="95640" stopIfTrue="1" operator="equal">
      <formula>-1</formula>
    </cfRule>
  </conditionalFormatting>
  <conditionalFormatting sqref="AH57">
    <cfRule type="cellIs" dxfId="29385" priority="95641" stopIfTrue="1" operator="lessThan">
      <formula>0.5</formula>
    </cfRule>
  </conditionalFormatting>
  <conditionalFormatting sqref="AH57">
    <cfRule type="cellIs" dxfId="29384" priority="95642" stopIfTrue="1" operator="greaterThanOrEqual">
      <formula>0.5</formula>
    </cfRule>
  </conditionalFormatting>
  <conditionalFormatting sqref="AH58">
    <cfRule type="cellIs" dxfId="29383" priority="95643" stopIfTrue="1" operator="equal">
      <formula>-1</formula>
    </cfRule>
  </conditionalFormatting>
  <conditionalFormatting sqref="AH58">
    <cfRule type="cellIs" dxfId="29382" priority="95644" stopIfTrue="1" operator="lessThan">
      <formula>0.5</formula>
    </cfRule>
  </conditionalFormatting>
  <conditionalFormatting sqref="AH58">
    <cfRule type="cellIs" dxfId="29381" priority="95645" stopIfTrue="1" operator="greaterThanOrEqual">
      <formula>0.5</formula>
    </cfRule>
  </conditionalFormatting>
  <conditionalFormatting sqref="AJ39">
    <cfRule type="cellIs" dxfId="29380" priority="95646" stopIfTrue="1" operator="equal">
      <formula>-1</formula>
    </cfRule>
  </conditionalFormatting>
  <conditionalFormatting sqref="AJ39">
    <cfRule type="cellIs" dxfId="29379" priority="95647" stopIfTrue="1" operator="lessThan">
      <formula>0.5</formula>
    </cfRule>
  </conditionalFormatting>
  <conditionalFormatting sqref="AJ39">
    <cfRule type="cellIs" dxfId="29378" priority="95648" stopIfTrue="1" operator="greaterThanOrEqual">
      <formula>0.5</formula>
    </cfRule>
  </conditionalFormatting>
  <conditionalFormatting sqref="AJ40">
    <cfRule type="cellIs" dxfId="29377" priority="95649" stopIfTrue="1" operator="equal">
      <formula>-1</formula>
    </cfRule>
  </conditionalFormatting>
  <conditionalFormatting sqref="AJ40">
    <cfRule type="cellIs" dxfId="29376" priority="95650" stopIfTrue="1" operator="lessThan">
      <formula>0.5</formula>
    </cfRule>
  </conditionalFormatting>
  <conditionalFormatting sqref="AJ40">
    <cfRule type="cellIs" dxfId="29375" priority="95651" stopIfTrue="1" operator="greaterThanOrEqual">
      <formula>0.5</formula>
    </cfRule>
  </conditionalFormatting>
  <conditionalFormatting sqref="AJ41">
    <cfRule type="cellIs" dxfId="29374" priority="95652" stopIfTrue="1" operator="equal">
      <formula>-1</formula>
    </cfRule>
  </conditionalFormatting>
  <conditionalFormatting sqref="AJ41">
    <cfRule type="cellIs" dxfId="29373" priority="95653" stopIfTrue="1" operator="lessThan">
      <formula>0.5</formula>
    </cfRule>
  </conditionalFormatting>
  <conditionalFormatting sqref="AJ41">
    <cfRule type="cellIs" dxfId="29372" priority="95654" stopIfTrue="1" operator="greaterThanOrEqual">
      <formula>0.5</formula>
    </cfRule>
  </conditionalFormatting>
  <conditionalFormatting sqref="AJ42">
    <cfRule type="cellIs" dxfId="29371" priority="95655" stopIfTrue="1" operator="equal">
      <formula>-1</formula>
    </cfRule>
  </conditionalFormatting>
  <conditionalFormatting sqref="AJ42">
    <cfRule type="cellIs" dxfId="29370" priority="95656" stopIfTrue="1" operator="lessThan">
      <formula>0.5</formula>
    </cfRule>
  </conditionalFormatting>
  <conditionalFormatting sqref="AJ42">
    <cfRule type="cellIs" dxfId="29369" priority="95657" stopIfTrue="1" operator="greaterThanOrEqual">
      <formula>0.5</formula>
    </cfRule>
  </conditionalFormatting>
  <conditionalFormatting sqref="AJ43">
    <cfRule type="cellIs" dxfId="29368" priority="95658" stopIfTrue="1" operator="equal">
      <formula>-1</formula>
    </cfRule>
  </conditionalFormatting>
  <conditionalFormatting sqref="AJ43">
    <cfRule type="cellIs" dxfId="29367" priority="95659" stopIfTrue="1" operator="lessThan">
      <formula>0.5</formula>
    </cfRule>
  </conditionalFormatting>
  <conditionalFormatting sqref="AJ43">
    <cfRule type="cellIs" dxfId="29366" priority="95660" stopIfTrue="1" operator="greaterThanOrEqual">
      <formula>0.5</formula>
    </cfRule>
  </conditionalFormatting>
  <conditionalFormatting sqref="AJ44">
    <cfRule type="cellIs" dxfId="29365" priority="95661" stopIfTrue="1" operator="equal">
      <formula>-1</formula>
    </cfRule>
  </conditionalFormatting>
  <conditionalFormatting sqref="AJ44">
    <cfRule type="cellIs" dxfId="29364" priority="95662" stopIfTrue="1" operator="lessThan">
      <formula>0.5</formula>
    </cfRule>
  </conditionalFormatting>
  <conditionalFormatting sqref="AJ44">
    <cfRule type="cellIs" dxfId="29363" priority="95663" stopIfTrue="1" operator="greaterThanOrEqual">
      <formula>0.5</formula>
    </cfRule>
  </conditionalFormatting>
  <conditionalFormatting sqref="AJ45">
    <cfRule type="cellIs" dxfId="29362" priority="95664" stopIfTrue="1" operator="equal">
      <formula>-1</formula>
    </cfRule>
  </conditionalFormatting>
  <conditionalFormatting sqref="AJ45">
    <cfRule type="cellIs" dxfId="29361" priority="95665" stopIfTrue="1" operator="lessThan">
      <formula>0.5</formula>
    </cfRule>
  </conditionalFormatting>
  <conditionalFormatting sqref="AJ45">
    <cfRule type="cellIs" dxfId="29360" priority="95666" stopIfTrue="1" operator="greaterThanOrEqual">
      <formula>0.5</formula>
    </cfRule>
  </conditionalFormatting>
  <conditionalFormatting sqref="AJ46">
    <cfRule type="cellIs" dxfId="29359" priority="95667" stopIfTrue="1" operator="equal">
      <formula>-1</formula>
    </cfRule>
  </conditionalFormatting>
  <conditionalFormatting sqref="AJ46">
    <cfRule type="cellIs" dxfId="29358" priority="95668" stopIfTrue="1" operator="lessThan">
      <formula>0.5</formula>
    </cfRule>
  </conditionalFormatting>
  <conditionalFormatting sqref="AJ46">
    <cfRule type="cellIs" dxfId="29357" priority="95669" stopIfTrue="1" operator="greaterThanOrEqual">
      <formula>0.5</formula>
    </cfRule>
  </conditionalFormatting>
  <conditionalFormatting sqref="AJ47">
    <cfRule type="cellIs" dxfId="29356" priority="95670" stopIfTrue="1" operator="equal">
      <formula>-1</formula>
    </cfRule>
  </conditionalFormatting>
  <conditionalFormatting sqref="AJ47">
    <cfRule type="cellIs" dxfId="29355" priority="95671" stopIfTrue="1" operator="lessThan">
      <formula>0.5</formula>
    </cfRule>
  </conditionalFormatting>
  <conditionalFormatting sqref="AJ47">
    <cfRule type="cellIs" dxfId="29354" priority="95672" stopIfTrue="1" operator="greaterThanOrEqual">
      <formula>0.5</formula>
    </cfRule>
  </conditionalFormatting>
  <conditionalFormatting sqref="AJ48">
    <cfRule type="cellIs" dxfId="29353" priority="95673" stopIfTrue="1" operator="equal">
      <formula>-1</formula>
    </cfRule>
  </conditionalFormatting>
  <conditionalFormatting sqref="AJ48">
    <cfRule type="cellIs" dxfId="29352" priority="95674" stopIfTrue="1" operator="lessThan">
      <formula>0.5</formula>
    </cfRule>
  </conditionalFormatting>
  <conditionalFormatting sqref="AJ48">
    <cfRule type="cellIs" dxfId="29351" priority="95675" stopIfTrue="1" operator="greaterThanOrEqual">
      <formula>0.5</formula>
    </cfRule>
  </conditionalFormatting>
  <conditionalFormatting sqref="AJ49">
    <cfRule type="cellIs" dxfId="29350" priority="95676" stopIfTrue="1" operator="equal">
      <formula>-1</formula>
    </cfRule>
  </conditionalFormatting>
  <conditionalFormatting sqref="AJ49">
    <cfRule type="cellIs" dxfId="29349" priority="95677" stopIfTrue="1" operator="lessThan">
      <formula>0.5</formula>
    </cfRule>
  </conditionalFormatting>
  <conditionalFormatting sqref="AJ49">
    <cfRule type="cellIs" dxfId="29348" priority="95678" stopIfTrue="1" operator="greaterThanOrEqual">
      <formula>0.5</formula>
    </cfRule>
  </conditionalFormatting>
  <conditionalFormatting sqref="AJ50">
    <cfRule type="cellIs" dxfId="29347" priority="95679" stopIfTrue="1" operator="equal">
      <formula>-1</formula>
    </cfRule>
  </conditionalFormatting>
  <conditionalFormatting sqref="AJ50">
    <cfRule type="cellIs" dxfId="29346" priority="95680" stopIfTrue="1" operator="lessThan">
      <formula>0.5</formula>
    </cfRule>
  </conditionalFormatting>
  <conditionalFormatting sqref="AJ50">
    <cfRule type="cellIs" dxfId="29345" priority="95681" stopIfTrue="1" operator="greaterThanOrEqual">
      <formula>0.5</formula>
    </cfRule>
  </conditionalFormatting>
  <conditionalFormatting sqref="AJ51">
    <cfRule type="cellIs" dxfId="29344" priority="95682" stopIfTrue="1" operator="equal">
      <formula>-1</formula>
    </cfRule>
  </conditionalFormatting>
  <conditionalFormatting sqref="AJ51">
    <cfRule type="cellIs" dxfId="29343" priority="95683" stopIfTrue="1" operator="lessThan">
      <formula>0.5</formula>
    </cfRule>
  </conditionalFormatting>
  <conditionalFormatting sqref="AJ51">
    <cfRule type="cellIs" dxfId="29342" priority="95684" stopIfTrue="1" operator="greaterThanOrEqual">
      <formula>0.5</formula>
    </cfRule>
  </conditionalFormatting>
  <conditionalFormatting sqref="AJ52">
    <cfRule type="cellIs" dxfId="29341" priority="95685" stopIfTrue="1" operator="equal">
      <formula>-1</formula>
    </cfRule>
  </conditionalFormatting>
  <conditionalFormatting sqref="AJ52">
    <cfRule type="cellIs" dxfId="29340" priority="95686" stopIfTrue="1" operator="lessThan">
      <formula>0.5</formula>
    </cfRule>
  </conditionalFormatting>
  <conditionalFormatting sqref="AJ52">
    <cfRule type="cellIs" dxfId="29339" priority="95687" stopIfTrue="1" operator="greaterThanOrEqual">
      <formula>0.5</formula>
    </cfRule>
  </conditionalFormatting>
  <conditionalFormatting sqref="AJ53">
    <cfRule type="cellIs" dxfId="29338" priority="95688" stopIfTrue="1" operator="equal">
      <formula>-1</formula>
    </cfRule>
  </conditionalFormatting>
  <conditionalFormatting sqref="AJ53">
    <cfRule type="cellIs" dxfId="29337" priority="95689" stopIfTrue="1" operator="lessThan">
      <formula>0.5</formula>
    </cfRule>
  </conditionalFormatting>
  <conditionalFormatting sqref="AJ53">
    <cfRule type="cellIs" dxfId="29336" priority="95690" stopIfTrue="1" operator="greaterThanOrEqual">
      <formula>0.5</formula>
    </cfRule>
  </conditionalFormatting>
  <conditionalFormatting sqref="AJ54">
    <cfRule type="cellIs" dxfId="29335" priority="95691" stopIfTrue="1" operator="equal">
      <formula>-1</formula>
    </cfRule>
  </conditionalFormatting>
  <conditionalFormatting sqref="AJ54">
    <cfRule type="cellIs" dxfId="29334" priority="95692" stopIfTrue="1" operator="lessThan">
      <formula>0.5</formula>
    </cfRule>
  </conditionalFormatting>
  <conditionalFormatting sqref="AJ54">
    <cfRule type="cellIs" dxfId="29333" priority="95693" stopIfTrue="1" operator="greaterThanOrEqual">
      <formula>0.5</formula>
    </cfRule>
  </conditionalFormatting>
  <conditionalFormatting sqref="AJ55">
    <cfRule type="cellIs" dxfId="29332" priority="95694" stopIfTrue="1" operator="equal">
      <formula>-1</formula>
    </cfRule>
  </conditionalFormatting>
  <conditionalFormatting sqref="AJ55">
    <cfRule type="cellIs" dxfId="29331" priority="95695" stopIfTrue="1" operator="lessThan">
      <formula>0.5</formula>
    </cfRule>
  </conditionalFormatting>
  <conditionalFormatting sqref="AJ55">
    <cfRule type="cellIs" dxfId="29330" priority="95696" stopIfTrue="1" operator="greaterThanOrEqual">
      <formula>0.5</formula>
    </cfRule>
  </conditionalFormatting>
  <conditionalFormatting sqref="AJ56">
    <cfRule type="cellIs" dxfId="29329" priority="95697" stopIfTrue="1" operator="equal">
      <formula>-1</formula>
    </cfRule>
  </conditionalFormatting>
  <conditionalFormatting sqref="AJ56">
    <cfRule type="cellIs" dxfId="29328" priority="95698" stopIfTrue="1" operator="lessThan">
      <formula>0.5</formula>
    </cfRule>
  </conditionalFormatting>
  <conditionalFormatting sqref="AJ56">
    <cfRule type="cellIs" dxfId="29327" priority="95699" stopIfTrue="1" operator="greaterThanOrEqual">
      <formula>0.5</formula>
    </cfRule>
  </conditionalFormatting>
  <conditionalFormatting sqref="AJ57">
    <cfRule type="cellIs" dxfId="29326" priority="95700" stopIfTrue="1" operator="equal">
      <formula>-1</formula>
    </cfRule>
  </conditionalFormatting>
  <conditionalFormatting sqref="AJ57">
    <cfRule type="cellIs" dxfId="29325" priority="95701" stopIfTrue="1" operator="lessThan">
      <formula>0.5</formula>
    </cfRule>
  </conditionalFormatting>
  <conditionalFormatting sqref="AJ57">
    <cfRule type="cellIs" dxfId="29324" priority="95702" stopIfTrue="1" operator="greaterThanOrEqual">
      <formula>0.5</formula>
    </cfRule>
  </conditionalFormatting>
  <conditionalFormatting sqref="AJ58">
    <cfRule type="cellIs" dxfId="29323" priority="95703" stopIfTrue="1" operator="equal">
      <formula>-1</formula>
    </cfRule>
  </conditionalFormatting>
  <conditionalFormatting sqref="AJ58">
    <cfRule type="cellIs" dxfId="29322" priority="95704" stopIfTrue="1" operator="lessThan">
      <formula>0.5</formula>
    </cfRule>
  </conditionalFormatting>
  <conditionalFormatting sqref="AJ58">
    <cfRule type="cellIs" dxfId="29321" priority="95705" stopIfTrue="1" operator="greaterThanOrEqual">
      <formula>0.5</formula>
    </cfRule>
  </conditionalFormatting>
  <conditionalFormatting sqref="AL39">
    <cfRule type="cellIs" dxfId="29320" priority="95706" stopIfTrue="1" operator="equal">
      <formula>-1</formula>
    </cfRule>
  </conditionalFormatting>
  <conditionalFormatting sqref="AL39">
    <cfRule type="cellIs" dxfId="29319" priority="95707" stopIfTrue="1" operator="lessThan">
      <formula>0.5</formula>
    </cfRule>
  </conditionalFormatting>
  <conditionalFormatting sqref="AL39">
    <cfRule type="cellIs" dxfId="29318" priority="95708" stopIfTrue="1" operator="greaterThanOrEqual">
      <formula>0.5</formula>
    </cfRule>
  </conditionalFormatting>
  <conditionalFormatting sqref="AL40">
    <cfRule type="cellIs" dxfId="29317" priority="95709" stopIfTrue="1" operator="equal">
      <formula>-1</formula>
    </cfRule>
  </conditionalFormatting>
  <conditionalFormatting sqref="AL40">
    <cfRule type="cellIs" dxfId="29316" priority="95710" stopIfTrue="1" operator="lessThan">
      <formula>0.5</formula>
    </cfRule>
  </conditionalFormatting>
  <conditionalFormatting sqref="AL40">
    <cfRule type="cellIs" dxfId="29315" priority="95711" stopIfTrue="1" operator="greaterThanOrEqual">
      <formula>0.5</formula>
    </cfRule>
  </conditionalFormatting>
  <conditionalFormatting sqref="AL41">
    <cfRule type="cellIs" dxfId="29314" priority="95712" stopIfTrue="1" operator="equal">
      <formula>-1</formula>
    </cfRule>
  </conditionalFormatting>
  <conditionalFormatting sqref="AL41">
    <cfRule type="cellIs" dxfId="29313" priority="95713" stopIfTrue="1" operator="lessThan">
      <formula>0.5</formula>
    </cfRule>
  </conditionalFormatting>
  <conditionalFormatting sqref="AL41">
    <cfRule type="cellIs" dxfId="29312" priority="95714" stopIfTrue="1" operator="greaterThanOrEqual">
      <formula>0.5</formula>
    </cfRule>
  </conditionalFormatting>
  <conditionalFormatting sqref="AL42">
    <cfRule type="cellIs" dxfId="29311" priority="95715" stopIfTrue="1" operator="equal">
      <formula>-1</formula>
    </cfRule>
  </conditionalFormatting>
  <conditionalFormatting sqref="AL42">
    <cfRule type="cellIs" dxfId="29310" priority="95716" stopIfTrue="1" operator="lessThan">
      <formula>0.5</formula>
    </cfRule>
  </conditionalFormatting>
  <conditionalFormatting sqref="AL42">
    <cfRule type="cellIs" dxfId="29309" priority="95717" stopIfTrue="1" operator="greaterThanOrEqual">
      <formula>0.5</formula>
    </cfRule>
  </conditionalFormatting>
  <conditionalFormatting sqref="AL43">
    <cfRule type="cellIs" dxfId="29308" priority="95718" stopIfTrue="1" operator="equal">
      <formula>-1</formula>
    </cfRule>
  </conditionalFormatting>
  <conditionalFormatting sqref="AL43">
    <cfRule type="cellIs" dxfId="29307" priority="95719" stopIfTrue="1" operator="lessThan">
      <formula>0.5</formula>
    </cfRule>
  </conditionalFormatting>
  <conditionalFormatting sqref="AL43">
    <cfRule type="cellIs" dxfId="29306" priority="95720" stopIfTrue="1" operator="greaterThanOrEqual">
      <formula>0.5</formula>
    </cfRule>
  </conditionalFormatting>
  <conditionalFormatting sqref="AL44">
    <cfRule type="cellIs" dxfId="29305" priority="95721" stopIfTrue="1" operator="equal">
      <formula>-1</formula>
    </cfRule>
  </conditionalFormatting>
  <conditionalFormatting sqref="AL44">
    <cfRule type="cellIs" dxfId="29304" priority="95722" stopIfTrue="1" operator="lessThan">
      <formula>0.5</formula>
    </cfRule>
  </conditionalFormatting>
  <conditionalFormatting sqref="AL44">
    <cfRule type="cellIs" dxfId="29303" priority="95723" stopIfTrue="1" operator="greaterThanOrEqual">
      <formula>0.5</formula>
    </cfRule>
  </conditionalFormatting>
  <conditionalFormatting sqref="AL45">
    <cfRule type="cellIs" dxfId="29302" priority="95724" stopIfTrue="1" operator="equal">
      <formula>-1</formula>
    </cfRule>
  </conditionalFormatting>
  <conditionalFormatting sqref="AL45">
    <cfRule type="cellIs" dxfId="29301" priority="95725" stopIfTrue="1" operator="lessThan">
      <formula>0.5</formula>
    </cfRule>
  </conditionalFormatting>
  <conditionalFormatting sqref="AL45">
    <cfRule type="cellIs" dxfId="29300" priority="95726" stopIfTrue="1" operator="greaterThanOrEqual">
      <formula>0.5</formula>
    </cfRule>
  </conditionalFormatting>
  <conditionalFormatting sqref="AL46">
    <cfRule type="cellIs" dxfId="29299" priority="95727" stopIfTrue="1" operator="equal">
      <formula>-1</formula>
    </cfRule>
  </conditionalFormatting>
  <conditionalFormatting sqref="AL46">
    <cfRule type="cellIs" dxfId="29298" priority="95728" stopIfTrue="1" operator="lessThan">
      <formula>0.5</formula>
    </cfRule>
  </conditionalFormatting>
  <conditionalFormatting sqref="AL46">
    <cfRule type="cellIs" dxfId="29297" priority="95729" stopIfTrue="1" operator="greaterThanOrEqual">
      <formula>0.5</formula>
    </cfRule>
  </conditionalFormatting>
  <conditionalFormatting sqref="AL47">
    <cfRule type="cellIs" dxfId="29296" priority="95730" stopIfTrue="1" operator="equal">
      <formula>-1</formula>
    </cfRule>
  </conditionalFormatting>
  <conditionalFormatting sqref="AL47">
    <cfRule type="cellIs" dxfId="29295" priority="95731" stopIfTrue="1" operator="lessThan">
      <formula>0.5</formula>
    </cfRule>
  </conditionalFormatting>
  <conditionalFormatting sqref="AL47">
    <cfRule type="cellIs" dxfId="29294" priority="95732" stopIfTrue="1" operator="greaterThanOrEqual">
      <formula>0.5</formula>
    </cfRule>
  </conditionalFormatting>
  <conditionalFormatting sqref="AL48">
    <cfRule type="cellIs" dxfId="29293" priority="95733" stopIfTrue="1" operator="equal">
      <formula>-1</formula>
    </cfRule>
  </conditionalFormatting>
  <conditionalFormatting sqref="AL48">
    <cfRule type="cellIs" dxfId="29292" priority="95734" stopIfTrue="1" operator="lessThan">
      <formula>0.5</formula>
    </cfRule>
  </conditionalFormatting>
  <conditionalFormatting sqref="AL48">
    <cfRule type="cellIs" dxfId="29291" priority="95735" stopIfTrue="1" operator="greaterThanOrEqual">
      <formula>0.5</formula>
    </cfRule>
  </conditionalFormatting>
  <conditionalFormatting sqref="AL49">
    <cfRule type="cellIs" dxfId="29290" priority="95736" stopIfTrue="1" operator="equal">
      <formula>-1</formula>
    </cfRule>
  </conditionalFormatting>
  <conditionalFormatting sqref="AL49">
    <cfRule type="cellIs" dxfId="29289" priority="95737" stopIfTrue="1" operator="lessThan">
      <formula>0.5</formula>
    </cfRule>
  </conditionalFormatting>
  <conditionalFormatting sqref="AL49">
    <cfRule type="cellIs" dxfId="29288" priority="95738" stopIfTrue="1" operator="greaterThanOrEqual">
      <formula>0.5</formula>
    </cfRule>
  </conditionalFormatting>
  <conditionalFormatting sqref="AL50">
    <cfRule type="cellIs" dxfId="29287" priority="95739" stopIfTrue="1" operator="equal">
      <formula>-1</formula>
    </cfRule>
  </conditionalFormatting>
  <conditionalFormatting sqref="AL50">
    <cfRule type="cellIs" dxfId="29286" priority="95740" stopIfTrue="1" operator="lessThan">
      <formula>0.5</formula>
    </cfRule>
  </conditionalFormatting>
  <conditionalFormatting sqref="AL50">
    <cfRule type="cellIs" dxfId="29285" priority="95741" stopIfTrue="1" operator="greaterThanOrEqual">
      <formula>0.5</formula>
    </cfRule>
  </conditionalFormatting>
  <conditionalFormatting sqref="AL51">
    <cfRule type="cellIs" dxfId="29284" priority="95742" stopIfTrue="1" operator="equal">
      <formula>-1</formula>
    </cfRule>
  </conditionalFormatting>
  <conditionalFormatting sqref="AL51">
    <cfRule type="cellIs" dxfId="29283" priority="95743" stopIfTrue="1" operator="lessThan">
      <formula>0.5</formula>
    </cfRule>
  </conditionalFormatting>
  <conditionalFormatting sqref="AL51">
    <cfRule type="cellIs" dxfId="29282" priority="95744" stopIfTrue="1" operator="greaterThanOrEqual">
      <formula>0.5</formula>
    </cfRule>
  </conditionalFormatting>
  <conditionalFormatting sqref="AL52">
    <cfRule type="cellIs" dxfId="29281" priority="95745" stopIfTrue="1" operator="equal">
      <formula>-1</formula>
    </cfRule>
  </conditionalFormatting>
  <conditionalFormatting sqref="AL52">
    <cfRule type="cellIs" dxfId="29280" priority="95746" stopIfTrue="1" operator="lessThan">
      <formula>0.5</formula>
    </cfRule>
  </conditionalFormatting>
  <conditionalFormatting sqref="AL52">
    <cfRule type="cellIs" dxfId="29279" priority="95747" stopIfTrue="1" operator="greaterThanOrEqual">
      <formula>0.5</formula>
    </cfRule>
  </conditionalFormatting>
  <conditionalFormatting sqref="AL53">
    <cfRule type="cellIs" dxfId="29278" priority="95748" stopIfTrue="1" operator="equal">
      <formula>-1</formula>
    </cfRule>
  </conditionalFormatting>
  <conditionalFormatting sqref="AL53">
    <cfRule type="cellIs" dxfId="29277" priority="95749" stopIfTrue="1" operator="lessThan">
      <formula>0.5</formula>
    </cfRule>
  </conditionalFormatting>
  <conditionalFormatting sqref="AL53">
    <cfRule type="cellIs" dxfId="29276" priority="95750" stopIfTrue="1" operator="greaterThanOrEqual">
      <formula>0.5</formula>
    </cfRule>
  </conditionalFormatting>
  <conditionalFormatting sqref="AL54">
    <cfRule type="cellIs" dxfId="29275" priority="95751" stopIfTrue="1" operator="equal">
      <formula>-1</formula>
    </cfRule>
  </conditionalFormatting>
  <conditionalFormatting sqref="AL54">
    <cfRule type="cellIs" dxfId="29274" priority="95752" stopIfTrue="1" operator="lessThan">
      <formula>0.5</formula>
    </cfRule>
  </conditionalFormatting>
  <conditionalFormatting sqref="AL54">
    <cfRule type="cellIs" dxfId="29273" priority="95753" stopIfTrue="1" operator="greaterThanOrEqual">
      <formula>0.5</formula>
    </cfRule>
  </conditionalFormatting>
  <conditionalFormatting sqref="AL55">
    <cfRule type="cellIs" dxfId="29272" priority="95754" stopIfTrue="1" operator="equal">
      <formula>-1</formula>
    </cfRule>
  </conditionalFormatting>
  <conditionalFormatting sqref="AL55">
    <cfRule type="cellIs" dxfId="29271" priority="95755" stopIfTrue="1" operator="lessThan">
      <formula>0.5</formula>
    </cfRule>
  </conditionalFormatting>
  <conditionalFormatting sqref="AL55">
    <cfRule type="cellIs" dxfId="29270" priority="95756" stopIfTrue="1" operator="greaterThanOrEqual">
      <formula>0.5</formula>
    </cfRule>
  </conditionalFormatting>
  <conditionalFormatting sqref="AL56">
    <cfRule type="cellIs" dxfId="29269" priority="95757" stopIfTrue="1" operator="equal">
      <formula>-1</formula>
    </cfRule>
  </conditionalFormatting>
  <conditionalFormatting sqref="AL56">
    <cfRule type="cellIs" dxfId="29268" priority="95758" stopIfTrue="1" operator="lessThan">
      <formula>0.5</formula>
    </cfRule>
  </conditionalFormatting>
  <conditionalFormatting sqref="AL56">
    <cfRule type="cellIs" dxfId="29267" priority="95759" stopIfTrue="1" operator="greaterThanOrEqual">
      <formula>0.5</formula>
    </cfRule>
  </conditionalFormatting>
  <conditionalFormatting sqref="AL57">
    <cfRule type="cellIs" dxfId="29266" priority="95760" stopIfTrue="1" operator="equal">
      <formula>-1</formula>
    </cfRule>
  </conditionalFormatting>
  <conditionalFormatting sqref="AL57">
    <cfRule type="cellIs" dxfId="29265" priority="95761" stopIfTrue="1" operator="lessThan">
      <formula>0.5</formula>
    </cfRule>
  </conditionalFormatting>
  <conditionalFormatting sqref="AL57">
    <cfRule type="cellIs" dxfId="29264" priority="95762" stopIfTrue="1" operator="greaterThanOrEqual">
      <formula>0.5</formula>
    </cfRule>
  </conditionalFormatting>
  <conditionalFormatting sqref="AL58">
    <cfRule type="cellIs" dxfId="29263" priority="95763" stopIfTrue="1" operator="equal">
      <formula>-1</formula>
    </cfRule>
  </conditionalFormatting>
  <conditionalFormatting sqref="AL58">
    <cfRule type="cellIs" dxfId="29262" priority="95764" stopIfTrue="1" operator="lessThan">
      <formula>0.5</formula>
    </cfRule>
  </conditionalFormatting>
  <conditionalFormatting sqref="AL58">
    <cfRule type="cellIs" dxfId="29261" priority="95765" stopIfTrue="1" operator="greaterThanOrEqual">
      <formula>0.5</formula>
    </cfRule>
  </conditionalFormatting>
  <conditionalFormatting sqref="AN39">
    <cfRule type="cellIs" dxfId="29260" priority="95766" stopIfTrue="1" operator="equal">
      <formula>-1</formula>
    </cfRule>
  </conditionalFormatting>
  <conditionalFormatting sqref="AN39">
    <cfRule type="cellIs" dxfId="29259" priority="95767" stopIfTrue="1" operator="lessThan">
      <formula>0.5</formula>
    </cfRule>
  </conditionalFormatting>
  <conditionalFormatting sqref="AN39">
    <cfRule type="cellIs" dxfId="29258" priority="95768" stopIfTrue="1" operator="greaterThanOrEqual">
      <formula>0.5</formula>
    </cfRule>
  </conditionalFormatting>
  <conditionalFormatting sqref="AN40">
    <cfRule type="cellIs" dxfId="29257" priority="95769" stopIfTrue="1" operator="equal">
      <formula>-1</formula>
    </cfRule>
  </conditionalFormatting>
  <conditionalFormatting sqref="AN40">
    <cfRule type="cellIs" dxfId="29256" priority="95770" stopIfTrue="1" operator="lessThan">
      <formula>0.5</formula>
    </cfRule>
  </conditionalFormatting>
  <conditionalFormatting sqref="AN40">
    <cfRule type="cellIs" dxfId="29255" priority="95771" stopIfTrue="1" operator="greaterThanOrEqual">
      <formula>0.5</formula>
    </cfRule>
  </conditionalFormatting>
  <conditionalFormatting sqref="AN41">
    <cfRule type="cellIs" dxfId="29254" priority="95772" stopIfTrue="1" operator="equal">
      <formula>-1</formula>
    </cfRule>
  </conditionalFormatting>
  <conditionalFormatting sqref="AN41">
    <cfRule type="cellIs" dxfId="29253" priority="95773" stopIfTrue="1" operator="lessThan">
      <formula>0.5</formula>
    </cfRule>
  </conditionalFormatting>
  <conditionalFormatting sqref="AN41">
    <cfRule type="cellIs" dxfId="29252" priority="95774" stopIfTrue="1" operator="greaterThanOrEqual">
      <formula>0.5</formula>
    </cfRule>
  </conditionalFormatting>
  <conditionalFormatting sqref="AN42">
    <cfRule type="cellIs" dxfId="29251" priority="95775" stopIfTrue="1" operator="equal">
      <formula>-1</formula>
    </cfRule>
  </conditionalFormatting>
  <conditionalFormatting sqref="AN42">
    <cfRule type="cellIs" dxfId="29250" priority="95776" stopIfTrue="1" operator="lessThan">
      <formula>0.5</formula>
    </cfRule>
  </conditionalFormatting>
  <conditionalFormatting sqref="AN42">
    <cfRule type="cellIs" dxfId="29249" priority="95777" stopIfTrue="1" operator="greaterThanOrEqual">
      <formula>0.5</formula>
    </cfRule>
  </conditionalFormatting>
  <conditionalFormatting sqref="AN43">
    <cfRule type="cellIs" dxfId="29248" priority="95778" stopIfTrue="1" operator="equal">
      <formula>-1</formula>
    </cfRule>
  </conditionalFormatting>
  <conditionalFormatting sqref="AN43">
    <cfRule type="cellIs" dxfId="29247" priority="95779" stopIfTrue="1" operator="lessThan">
      <formula>0.5</formula>
    </cfRule>
  </conditionalFormatting>
  <conditionalFormatting sqref="AN43">
    <cfRule type="cellIs" dxfId="29246" priority="95780" stopIfTrue="1" operator="greaterThanOrEqual">
      <formula>0.5</formula>
    </cfRule>
  </conditionalFormatting>
  <conditionalFormatting sqref="AN44">
    <cfRule type="cellIs" dxfId="29245" priority="95781" stopIfTrue="1" operator="equal">
      <formula>-1</formula>
    </cfRule>
  </conditionalFormatting>
  <conditionalFormatting sqref="AN44">
    <cfRule type="cellIs" dxfId="29244" priority="95782" stopIfTrue="1" operator="lessThan">
      <formula>0.5</formula>
    </cfRule>
  </conditionalFormatting>
  <conditionalFormatting sqref="AN44">
    <cfRule type="cellIs" dxfId="29243" priority="95783" stopIfTrue="1" operator="greaterThanOrEqual">
      <formula>0.5</formula>
    </cfRule>
  </conditionalFormatting>
  <conditionalFormatting sqref="AN45">
    <cfRule type="cellIs" dxfId="29242" priority="95784" stopIfTrue="1" operator="equal">
      <formula>-1</formula>
    </cfRule>
  </conditionalFormatting>
  <conditionalFormatting sqref="AN45">
    <cfRule type="cellIs" dxfId="29241" priority="95785" stopIfTrue="1" operator="lessThan">
      <formula>0.5</formula>
    </cfRule>
  </conditionalFormatting>
  <conditionalFormatting sqref="AN45">
    <cfRule type="cellIs" dxfId="29240" priority="95786" stopIfTrue="1" operator="greaterThanOrEqual">
      <formula>0.5</formula>
    </cfRule>
  </conditionalFormatting>
  <conditionalFormatting sqref="AN46">
    <cfRule type="cellIs" dxfId="29239" priority="95787" stopIfTrue="1" operator="equal">
      <formula>-1</formula>
    </cfRule>
  </conditionalFormatting>
  <conditionalFormatting sqref="AN46">
    <cfRule type="cellIs" dxfId="29238" priority="95788" stopIfTrue="1" operator="lessThan">
      <formula>0.5</formula>
    </cfRule>
  </conditionalFormatting>
  <conditionalFormatting sqref="AN46">
    <cfRule type="cellIs" dxfId="29237" priority="95789" stopIfTrue="1" operator="greaterThanOrEqual">
      <formula>0.5</formula>
    </cfRule>
  </conditionalFormatting>
  <conditionalFormatting sqref="AN47">
    <cfRule type="cellIs" dxfId="29236" priority="95790" stopIfTrue="1" operator="equal">
      <formula>-1</formula>
    </cfRule>
  </conditionalFormatting>
  <conditionalFormatting sqref="AN47">
    <cfRule type="cellIs" dxfId="29235" priority="95791" stopIfTrue="1" operator="lessThan">
      <formula>0.5</formula>
    </cfRule>
  </conditionalFormatting>
  <conditionalFormatting sqref="AN47">
    <cfRule type="cellIs" dxfId="29234" priority="95792" stopIfTrue="1" operator="greaterThanOrEqual">
      <formula>0.5</formula>
    </cfRule>
  </conditionalFormatting>
  <conditionalFormatting sqref="AN48">
    <cfRule type="cellIs" dxfId="29233" priority="95793" stopIfTrue="1" operator="equal">
      <formula>-1</formula>
    </cfRule>
  </conditionalFormatting>
  <conditionalFormatting sqref="AN48">
    <cfRule type="cellIs" dxfId="29232" priority="95794" stopIfTrue="1" operator="lessThan">
      <formula>0.5</formula>
    </cfRule>
  </conditionalFormatting>
  <conditionalFormatting sqref="AN48">
    <cfRule type="cellIs" dxfId="29231" priority="95795" stopIfTrue="1" operator="greaterThanOrEqual">
      <formula>0.5</formula>
    </cfRule>
  </conditionalFormatting>
  <conditionalFormatting sqref="AN49">
    <cfRule type="cellIs" dxfId="29230" priority="95796" stopIfTrue="1" operator="equal">
      <formula>-1</formula>
    </cfRule>
  </conditionalFormatting>
  <conditionalFormatting sqref="AN49">
    <cfRule type="cellIs" dxfId="29229" priority="95797" stopIfTrue="1" operator="lessThan">
      <formula>0.5</formula>
    </cfRule>
  </conditionalFormatting>
  <conditionalFormatting sqref="AN49">
    <cfRule type="cellIs" dxfId="29228" priority="95798" stopIfTrue="1" operator="greaterThanOrEqual">
      <formula>0.5</formula>
    </cfRule>
  </conditionalFormatting>
  <conditionalFormatting sqref="AN50">
    <cfRule type="cellIs" dxfId="29227" priority="95799" stopIfTrue="1" operator="equal">
      <formula>-1</formula>
    </cfRule>
  </conditionalFormatting>
  <conditionalFormatting sqref="AN50">
    <cfRule type="cellIs" dxfId="29226" priority="95800" stopIfTrue="1" operator="lessThan">
      <formula>0.5</formula>
    </cfRule>
  </conditionalFormatting>
  <conditionalFormatting sqref="AN50">
    <cfRule type="cellIs" dxfId="29225" priority="95801" stopIfTrue="1" operator="greaterThanOrEqual">
      <formula>0.5</formula>
    </cfRule>
  </conditionalFormatting>
  <conditionalFormatting sqref="AN51">
    <cfRule type="cellIs" dxfId="29224" priority="95802" stopIfTrue="1" operator="equal">
      <formula>-1</formula>
    </cfRule>
  </conditionalFormatting>
  <conditionalFormatting sqref="AN51">
    <cfRule type="cellIs" dxfId="29223" priority="95803" stopIfTrue="1" operator="lessThan">
      <formula>0.5</formula>
    </cfRule>
  </conditionalFormatting>
  <conditionalFormatting sqref="AN51">
    <cfRule type="cellIs" dxfId="29222" priority="95804" stopIfTrue="1" operator="greaterThanOrEqual">
      <formula>0.5</formula>
    </cfRule>
  </conditionalFormatting>
  <conditionalFormatting sqref="AN52">
    <cfRule type="cellIs" dxfId="29221" priority="95805" stopIfTrue="1" operator="equal">
      <formula>-1</formula>
    </cfRule>
  </conditionalFormatting>
  <conditionalFormatting sqref="AN52">
    <cfRule type="cellIs" dxfId="29220" priority="95806" stopIfTrue="1" operator="lessThan">
      <formula>0.5</formula>
    </cfRule>
  </conditionalFormatting>
  <conditionalFormatting sqref="AN52">
    <cfRule type="cellIs" dxfId="29219" priority="95807" stopIfTrue="1" operator="greaterThanOrEqual">
      <formula>0.5</formula>
    </cfRule>
  </conditionalFormatting>
  <conditionalFormatting sqref="AN53">
    <cfRule type="cellIs" dxfId="29218" priority="95808" stopIfTrue="1" operator="equal">
      <formula>-1</formula>
    </cfRule>
  </conditionalFormatting>
  <conditionalFormatting sqref="AN53">
    <cfRule type="cellIs" dxfId="29217" priority="95809" stopIfTrue="1" operator="lessThan">
      <formula>0.5</formula>
    </cfRule>
  </conditionalFormatting>
  <conditionalFormatting sqref="AN53">
    <cfRule type="cellIs" dxfId="29216" priority="95810" stopIfTrue="1" operator="greaterThanOrEqual">
      <formula>0.5</formula>
    </cfRule>
  </conditionalFormatting>
  <conditionalFormatting sqref="AN54">
    <cfRule type="cellIs" dxfId="29215" priority="95811" stopIfTrue="1" operator="equal">
      <formula>-1</formula>
    </cfRule>
  </conditionalFormatting>
  <conditionalFormatting sqref="AN54">
    <cfRule type="cellIs" dxfId="29214" priority="95812" stopIfTrue="1" operator="lessThan">
      <formula>0.5</formula>
    </cfRule>
  </conditionalFormatting>
  <conditionalFormatting sqref="AN54">
    <cfRule type="cellIs" dxfId="29213" priority="95813" stopIfTrue="1" operator="greaterThanOrEqual">
      <formula>0.5</formula>
    </cfRule>
  </conditionalFormatting>
  <conditionalFormatting sqref="AN55">
    <cfRule type="cellIs" dxfId="29212" priority="95814" stopIfTrue="1" operator="equal">
      <formula>-1</formula>
    </cfRule>
  </conditionalFormatting>
  <conditionalFormatting sqref="AN55">
    <cfRule type="cellIs" dxfId="29211" priority="95815" stopIfTrue="1" operator="lessThan">
      <formula>0.5</formula>
    </cfRule>
  </conditionalFormatting>
  <conditionalFormatting sqref="AN55">
    <cfRule type="cellIs" dxfId="29210" priority="95816" stopIfTrue="1" operator="greaterThanOrEqual">
      <formula>0.5</formula>
    </cfRule>
  </conditionalFormatting>
  <conditionalFormatting sqref="AN56">
    <cfRule type="cellIs" dxfId="29209" priority="95817" stopIfTrue="1" operator="equal">
      <formula>-1</formula>
    </cfRule>
  </conditionalFormatting>
  <conditionalFormatting sqref="AN56">
    <cfRule type="cellIs" dxfId="29208" priority="95818" stopIfTrue="1" operator="lessThan">
      <formula>0.5</formula>
    </cfRule>
  </conditionalFormatting>
  <conditionalFormatting sqref="AN56">
    <cfRule type="cellIs" dxfId="29207" priority="95819" stopIfTrue="1" operator="greaterThanOrEqual">
      <formula>0.5</formula>
    </cfRule>
  </conditionalFormatting>
  <conditionalFormatting sqref="AN57">
    <cfRule type="cellIs" dxfId="29206" priority="95820" stopIfTrue="1" operator="equal">
      <formula>-1</formula>
    </cfRule>
  </conditionalFormatting>
  <conditionalFormatting sqref="AN57">
    <cfRule type="cellIs" dxfId="29205" priority="95821" stopIfTrue="1" operator="lessThan">
      <formula>0.5</formula>
    </cfRule>
  </conditionalFormatting>
  <conditionalFormatting sqref="AN57">
    <cfRule type="cellIs" dxfId="29204" priority="95822" stopIfTrue="1" operator="greaterThanOrEqual">
      <formula>0.5</formula>
    </cfRule>
  </conditionalFormatting>
  <conditionalFormatting sqref="AN58">
    <cfRule type="cellIs" dxfId="29203" priority="95823" stopIfTrue="1" operator="equal">
      <formula>-1</formula>
    </cfRule>
  </conditionalFormatting>
  <conditionalFormatting sqref="AN58">
    <cfRule type="cellIs" dxfId="29202" priority="95824" stopIfTrue="1" operator="lessThan">
      <formula>0.5</formula>
    </cfRule>
  </conditionalFormatting>
  <conditionalFormatting sqref="AN58">
    <cfRule type="cellIs" dxfId="29201" priority="95825" stopIfTrue="1" operator="greaterThanOrEqual">
      <formula>0.5</formula>
    </cfRule>
  </conditionalFormatting>
  <conditionalFormatting sqref="AP39">
    <cfRule type="cellIs" dxfId="29200" priority="95826" stopIfTrue="1" operator="equal">
      <formula>-1</formula>
    </cfRule>
  </conditionalFormatting>
  <conditionalFormatting sqref="AP39">
    <cfRule type="cellIs" dxfId="29199" priority="95827" stopIfTrue="1" operator="lessThan">
      <formula>0.5</formula>
    </cfRule>
  </conditionalFormatting>
  <conditionalFormatting sqref="AP39">
    <cfRule type="cellIs" dxfId="29198" priority="95828" stopIfTrue="1" operator="greaterThanOrEqual">
      <formula>0.5</formula>
    </cfRule>
  </conditionalFormatting>
  <conditionalFormatting sqref="AP40">
    <cfRule type="cellIs" dxfId="29197" priority="95829" stopIfTrue="1" operator="equal">
      <formula>-1</formula>
    </cfRule>
  </conditionalFormatting>
  <conditionalFormatting sqref="AP40">
    <cfRule type="cellIs" dxfId="29196" priority="95830" stopIfTrue="1" operator="lessThan">
      <formula>0.5</formula>
    </cfRule>
  </conditionalFormatting>
  <conditionalFormatting sqref="AP40">
    <cfRule type="cellIs" dxfId="29195" priority="95831" stopIfTrue="1" operator="greaterThanOrEqual">
      <formula>0.5</formula>
    </cfRule>
  </conditionalFormatting>
  <conditionalFormatting sqref="AP41">
    <cfRule type="cellIs" dxfId="29194" priority="95832" stopIfTrue="1" operator="equal">
      <formula>-1</formula>
    </cfRule>
  </conditionalFormatting>
  <conditionalFormatting sqref="AP41">
    <cfRule type="cellIs" dxfId="29193" priority="95833" stopIfTrue="1" operator="lessThan">
      <formula>0.5</formula>
    </cfRule>
  </conditionalFormatting>
  <conditionalFormatting sqref="AP41">
    <cfRule type="cellIs" dxfId="29192" priority="95834" stopIfTrue="1" operator="greaterThanOrEqual">
      <formula>0.5</formula>
    </cfRule>
  </conditionalFormatting>
  <conditionalFormatting sqref="AP42">
    <cfRule type="cellIs" dxfId="29191" priority="95835" stopIfTrue="1" operator="equal">
      <formula>-1</formula>
    </cfRule>
  </conditionalFormatting>
  <conditionalFormatting sqref="AP42">
    <cfRule type="cellIs" dxfId="29190" priority="95836" stopIfTrue="1" operator="lessThan">
      <formula>0.5</formula>
    </cfRule>
  </conditionalFormatting>
  <conditionalFormatting sqref="AP42">
    <cfRule type="cellIs" dxfId="29189" priority="95837" stopIfTrue="1" operator="greaterThanOrEqual">
      <formula>0.5</formula>
    </cfRule>
  </conditionalFormatting>
  <conditionalFormatting sqref="AP43">
    <cfRule type="cellIs" dxfId="29188" priority="95838" stopIfTrue="1" operator="equal">
      <formula>-1</formula>
    </cfRule>
  </conditionalFormatting>
  <conditionalFormatting sqref="AP43">
    <cfRule type="cellIs" dxfId="29187" priority="95839" stopIfTrue="1" operator="lessThan">
      <formula>0.5</formula>
    </cfRule>
  </conditionalFormatting>
  <conditionalFormatting sqref="AP43">
    <cfRule type="cellIs" dxfId="29186" priority="95840" stopIfTrue="1" operator="greaterThanOrEqual">
      <formula>0.5</formula>
    </cfRule>
  </conditionalFormatting>
  <conditionalFormatting sqref="AP44">
    <cfRule type="cellIs" dxfId="29185" priority="95841" stopIfTrue="1" operator="equal">
      <formula>-1</formula>
    </cfRule>
  </conditionalFormatting>
  <conditionalFormatting sqref="AP44">
    <cfRule type="cellIs" dxfId="29184" priority="95842" stopIfTrue="1" operator="lessThan">
      <formula>0.5</formula>
    </cfRule>
  </conditionalFormatting>
  <conditionalFormatting sqref="AP44">
    <cfRule type="cellIs" dxfId="29183" priority="95843" stopIfTrue="1" operator="greaterThanOrEqual">
      <formula>0.5</formula>
    </cfRule>
  </conditionalFormatting>
  <conditionalFormatting sqref="AP45">
    <cfRule type="cellIs" dxfId="29182" priority="95844" stopIfTrue="1" operator="equal">
      <formula>-1</formula>
    </cfRule>
  </conditionalFormatting>
  <conditionalFormatting sqref="AP45">
    <cfRule type="cellIs" dxfId="29181" priority="95845" stopIfTrue="1" operator="lessThan">
      <formula>0.5</formula>
    </cfRule>
  </conditionalFormatting>
  <conditionalFormatting sqref="AP45">
    <cfRule type="cellIs" dxfId="29180" priority="95846" stopIfTrue="1" operator="greaterThanOrEqual">
      <formula>0.5</formula>
    </cfRule>
  </conditionalFormatting>
  <conditionalFormatting sqref="AP46">
    <cfRule type="cellIs" dxfId="29179" priority="95847" stopIfTrue="1" operator="equal">
      <formula>-1</formula>
    </cfRule>
  </conditionalFormatting>
  <conditionalFormatting sqref="AP46">
    <cfRule type="cellIs" dxfId="29178" priority="95848" stopIfTrue="1" operator="lessThan">
      <formula>0.5</formula>
    </cfRule>
  </conditionalFormatting>
  <conditionalFormatting sqref="AP46">
    <cfRule type="cellIs" dxfId="29177" priority="95849" stopIfTrue="1" operator="greaterThanOrEqual">
      <formula>0.5</formula>
    </cfRule>
  </conditionalFormatting>
  <conditionalFormatting sqref="AP47">
    <cfRule type="cellIs" dxfId="29176" priority="95850" stopIfTrue="1" operator="equal">
      <formula>-1</formula>
    </cfRule>
  </conditionalFormatting>
  <conditionalFormatting sqref="AP47">
    <cfRule type="cellIs" dxfId="29175" priority="95851" stopIfTrue="1" operator="lessThan">
      <formula>0.5</formula>
    </cfRule>
  </conditionalFormatting>
  <conditionalFormatting sqref="AP47">
    <cfRule type="cellIs" dxfId="29174" priority="95852" stopIfTrue="1" operator="greaterThanOrEqual">
      <formula>0.5</formula>
    </cfRule>
  </conditionalFormatting>
  <conditionalFormatting sqref="AP48">
    <cfRule type="cellIs" dxfId="29173" priority="95853" stopIfTrue="1" operator="equal">
      <formula>-1</formula>
    </cfRule>
  </conditionalFormatting>
  <conditionalFormatting sqref="AP48">
    <cfRule type="cellIs" dxfId="29172" priority="95854" stopIfTrue="1" operator="lessThan">
      <formula>0.5</formula>
    </cfRule>
  </conditionalFormatting>
  <conditionalFormatting sqref="AP48">
    <cfRule type="cellIs" dxfId="29171" priority="95855" stopIfTrue="1" operator="greaterThanOrEqual">
      <formula>0.5</formula>
    </cfRule>
  </conditionalFormatting>
  <conditionalFormatting sqref="AP49">
    <cfRule type="cellIs" dxfId="29170" priority="95856" stopIfTrue="1" operator="equal">
      <formula>-1</formula>
    </cfRule>
  </conditionalFormatting>
  <conditionalFormatting sqref="AP49">
    <cfRule type="cellIs" dxfId="29169" priority="95857" stopIfTrue="1" operator="lessThan">
      <formula>0.5</formula>
    </cfRule>
  </conditionalFormatting>
  <conditionalFormatting sqref="AP49">
    <cfRule type="cellIs" dxfId="29168" priority="95858" stopIfTrue="1" operator="greaterThanOrEqual">
      <formula>0.5</formula>
    </cfRule>
  </conditionalFormatting>
  <conditionalFormatting sqref="AP50">
    <cfRule type="cellIs" dxfId="29167" priority="95859" stopIfTrue="1" operator="equal">
      <formula>-1</formula>
    </cfRule>
  </conditionalFormatting>
  <conditionalFormatting sqref="AP50">
    <cfRule type="cellIs" dxfId="29166" priority="95860" stopIfTrue="1" operator="lessThan">
      <formula>0.5</formula>
    </cfRule>
  </conditionalFormatting>
  <conditionalFormatting sqref="AP50">
    <cfRule type="cellIs" dxfId="29165" priority="95861" stopIfTrue="1" operator="greaterThanOrEqual">
      <formula>0.5</formula>
    </cfRule>
  </conditionalFormatting>
  <conditionalFormatting sqref="AP51">
    <cfRule type="cellIs" dxfId="29164" priority="95862" stopIfTrue="1" operator="equal">
      <formula>-1</formula>
    </cfRule>
  </conditionalFormatting>
  <conditionalFormatting sqref="AP51">
    <cfRule type="cellIs" dxfId="29163" priority="95863" stopIfTrue="1" operator="lessThan">
      <formula>0.5</formula>
    </cfRule>
  </conditionalFormatting>
  <conditionalFormatting sqref="AP51">
    <cfRule type="cellIs" dxfId="29162" priority="95864" stopIfTrue="1" operator="greaterThanOrEqual">
      <formula>0.5</formula>
    </cfRule>
  </conditionalFormatting>
  <conditionalFormatting sqref="AP52">
    <cfRule type="cellIs" dxfId="29161" priority="95865" stopIfTrue="1" operator="equal">
      <formula>-1</formula>
    </cfRule>
  </conditionalFormatting>
  <conditionalFormatting sqref="AP52">
    <cfRule type="cellIs" dxfId="29160" priority="95866" stopIfTrue="1" operator="lessThan">
      <formula>0.5</formula>
    </cfRule>
  </conditionalFormatting>
  <conditionalFormatting sqref="AP52">
    <cfRule type="cellIs" dxfId="29159" priority="95867" stopIfTrue="1" operator="greaterThanOrEqual">
      <formula>0.5</formula>
    </cfRule>
  </conditionalFormatting>
  <conditionalFormatting sqref="AP53">
    <cfRule type="cellIs" dxfId="29158" priority="95868" stopIfTrue="1" operator="equal">
      <formula>-1</formula>
    </cfRule>
  </conditionalFormatting>
  <conditionalFormatting sqref="AP53">
    <cfRule type="cellIs" dxfId="29157" priority="95869" stopIfTrue="1" operator="lessThan">
      <formula>0.5</formula>
    </cfRule>
  </conditionalFormatting>
  <conditionalFormatting sqref="AP53">
    <cfRule type="cellIs" dxfId="29156" priority="95870" stopIfTrue="1" operator="greaterThanOrEqual">
      <formula>0.5</formula>
    </cfRule>
  </conditionalFormatting>
  <conditionalFormatting sqref="AP54">
    <cfRule type="cellIs" dxfId="29155" priority="95871" stopIfTrue="1" operator="equal">
      <formula>-1</formula>
    </cfRule>
  </conditionalFormatting>
  <conditionalFormatting sqref="AP54">
    <cfRule type="cellIs" dxfId="29154" priority="95872" stopIfTrue="1" operator="lessThan">
      <formula>0.5</formula>
    </cfRule>
  </conditionalFormatting>
  <conditionalFormatting sqref="AP54">
    <cfRule type="cellIs" dxfId="29153" priority="95873" stopIfTrue="1" operator="greaterThanOrEqual">
      <formula>0.5</formula>
    </cfRule>
  </conditionalFormatting>
  <conditionalFormatting sqref="AP55">
    <cfRule type="cellIs" dxfId="29152" priority="95874" stopIfTrue="1" operator="equal">
      <formula>-1</formula>
    </cfRule>
  </conditionalFormatting>
  <conditionalFormatting sqref="AP55">
    <cfRule type="cellIs" dxfId="29151" priority="95875" stopIfTrue="1" operator="lessThan">
      <formula>0.5</formula>
    </cfRule>
  </conditionalFormatting>
  <conditionalFormatting sqref="AP55">
    <cfRule type="cellIs" dxfId="29150" priority="95876" stopIfTrue="1" operator="greaterThanOrEqual">
      <formula>0.5</formula>
    </cfRule>
  </conditionalFormatting>
  <conditionalFormatting sqref="AP56">
    <cfRule type="cellIs" dxfId="29149" priority="95877" stopIfTrue="1" operator="equal">
      <formula>-1</formula>
    </cfRule>
  </conditionalFormatting>
  <conditionalFormatting sqref="AP56">
    <cfRule type="cellIs" dxfId="29148" priority="95878" stopIfTrue="1" operator="lessThan">
      <formula>0.5</formula>
    </cfRule>
  </conditionalFormatting>
  <conditionalFormatting sqref="AP56">
    <cfRule type="cellIs" dxfId="29147" priority="95879" stopIfTrue="1" operator="greaterThanOrEqual">
      <formula>0.5</formula>
    </cfRule>
  </conditionalFormatting>
  <conditionalFormatting sqref="AP57">
    <cfRule type="cellIs" dxfId="29146" priority="95880" stopIfTrue="1" operator="equal">
      <formula>-1</formula>
    </cfRule>
  </conditionalFormatting>
  <conditionalFormatting sqref="AP57">
    <cfRule type="cellIs" dxfId="29145" priority="95881" stopIfTrue="1" operator="lessThan">
      <formula>0.5</formula>
    </cfRule>
  </conditionalFormatting>
  <conditionalFormatting sqref="AP57">
    <cfRule type="cellIs" dxfId="29144" priority="95882" stopIfTrue="1" operator="greaterThanOrEqual">
      <formula>0.5</formula>
    </cfRule>
  </conditionalFormatting>
  <conditionalFormatting sqref="AP58">
    <cfRule type="cellIs" dxfId="29143" priority="95883" stopIfTrue="1" operator="equal">
      <formula>-1</formula>
    </cfRule>
  </conditionalFormatting>
  <conditionalFormatting sqref="AP58">
    <cfRule type="cellIs" dxfId="29142" priority="95884" stopIfTrue="1" operator="lessThan">
      <formula>0.5</formula>
    </cfRule>
  </conditionalFormatting>
  <conditionalFormatting sqref="AP58">
    <cfRule type="cellIs" dxfId="29141" priority="95885" stopIfTrue="1" operator="greaterThanOrEqual">
      <formula>0.5</formula>
    </cfRule>
  </conditionalFormatting>
  <conditionalFormatting sqref="AR39">
    <cfRule type="cellIs" dxfId="29140" priority="95886" stopIfTrue="1" operator="equal">
      <formula>-1</formula>
    </cfRule>
  </conditionalFormatting>
  <conditionalFormatting sqref="AR39">
    <cfRule type="cellIs" dxfId="29139" priority="95887" stopIfTrue="1" operator="lessThan">
      <formula>0.5</formula>
    </cfRule>
  </conditionalFormatting>
  <conditionalFormatting sqref="AR39">
    <cfRule type="cellIs" dxfId="29138" priority="95888" stopIfTrue="1" operator="greaterThanOrEqual">
      <formula>0.5</formula>
    </cfRule>
  </conditionalFormatting>
  <conditionalFormatting sqref="AR40">
    <cfRule type="cellIs" dxfId="29137" priority="95889" stopIfTrue="1" operator="equal">
      <formula>-1</formula>
    </cfRule>
  </conditionalFormatting>
  <conditionalFormatting sqref="AR40">
    <cfRule type="cellIs" dxfId="29136" priority="95890" stopIfTrue="1" operator="lessThan">
      <formula>0.5</formula>
    </cfRule>
  </conditionalFormatting>
  <conditionalFormatting sqref="AR40">
    <cfRule type="cellIs" dxfId="29135" priority="95891" stopIfTrue="1" operator="greaterThanOrEqual">
      <formula>0.5</formula>
    </cfRule>
  </conditionalFormatting>
  <conditionalFormatting sqref="AR41">
    <cfRule type="cellIs" dxfId="29134" priority="95892" stopIfTrue="1" operator="equal">
      <formula>-1</formula>
    </cfRule>
  </conditionalFormatting>
  <conditionalFormatting sqref="AR41">
    <cfRule type="cellIs" dxfId="29133" priority="95893" stopIfTrue="1" operator="lessThan">
      <formula>0.5</formula>
    </cfRule>
  </conditionalFormatting>
  <conditionalFormatting sqref="AR41">
    <cfRule type="cellIs" dxfId="29132" priority="95894" stopIfTrue="1" operator="greaterThanOrEqual">
      <formula>0.5</formula>
    </cfRule>
  </conditionalFormatting>
  <conditionalFormatting sqref="AR42">
    <cfRule type="cellIs" dxfId="29131" priority="95895" stopIfTrue="1" operator="equal">
      <formula>-1</formula>
    </cfRule>
  </conditionalFormatting>
  <conditionalFormatting sqref="AR42">
    <cfRule type="cellIs" dxfId="29130" priority="95896" stopIfTrue="1" operator="lessThan">
      <formula>0.5</formula>
    </cfRule>
  </conditionalFormatting>
  <conditionalFormatting sqref="AR42">
    <cfRule type="cellIs" dxfId="29129" priority="95897" stopIfTrue="1" operator="greaterThanOrEqual">
      <formula>0.5</formula>
    </cfRule>
  </conditionalFormatting>
  <conditionalFormatting sqref="AR43">
    <cfRule type="cellIs" dxfId="29128" priority="95898" stopIfTrue="1" operator="equal">
      <formula>-1</formula>
    </cfRule>
  </conditionalFormatting>
  <conditionalFormatting sqref="AR43">
    <cfRule type="cellIs" dxfId="29127" priority="95899" stopIfTrue="1" operator="lessThan">
      <formula>0.5</formula>
    </cfRule>
  </conditionalFormatting>
  <conditionalFormatting sqref="AR43">
    <cfRule type="cellIs" dxfId="29126" priority="95900" stopIfTrue="1" operator="greaterThanOrEqual">
      <formula>0.5</formula>
    </cfRule>
  </conditionalFormatting>
  <conditionalFormatting sqref="AR44">
    <cfRule type="cellIs" dxfId="29125" priority="95901" stopIfTrue="1" operator="equal">
      <formula>-1</formula>
    </cfRule>
  </conditionalFormatting>
  <conditionalFormatting sqref="AR44">
    <cfRule type="cellIs" dxfId="29124" priority="95902" stopIfTrue="1" operator="lessThan">
      <formula>0.5</formula>
    </cfRule>
  </conditionalFormatting>
  <conditionalFormatting sqref="AR44">
    <cfRule type="cellIs" dxfId="29123" priority="95903" stopIfTrue="1" operator="greaterThanOrEqual">
      <formula>0.5</formula>
    </cfRule>
  </conditionalFormatting>
  <conditionalFormatting sqref="AR45">
    <cfRule type="cellIs" dxfId="29122" priority="95904" stopIfTrue="1" operator="equal">
      <formula>-1</formula>
    </cfRule>
  </conditionalFormatting>
  <conditionalFormatting sqref="AR45">
    <cfRule type="cellIs" dxfId="29121" priority="95905" stopIfTrue="1" operator="lessThan">
      <formula>0.5</formula>
    </cfRule>
  </conditionalFormatting>
  <conditionalFormatting sqref="AR45">
    <cfRule type="cellIs" dxfId="29120" priority="95906" stopIfTrue="1" operator="greaterThanOrEqual">
      <formula>0.5</formula>
    </cfRule>
  </conditionalFormatting>
  <conditionalFormatting sqref="AR46">
    <cfRule type="cellIs" dxfId="29119" priority="95907" stopIfTrue="1" operator="equal">
      <formula>-1</formula>
    </cfRule>
  </conditionalFormatting>
  <conditionalFormatting sqref="AR46">
    <cfRule type="cellIs" dxfId="29118" priority="95908" stopIfTrue="1" operator="lessThan">
      <formula>0.5</formula>
    </cfRule>
  </conditionalFormatting>
  <conditionalFormatting sqref="AR46">
    <cfRule type="cellIs" dxfId="29117" priority="95909" stopIfTrue="1" operator="greaterThanOrEqual">
      <formula>0.5</formula>
    </cfRule>
  </conditionalFormatting>
  <conditionalFormatting sqref="AR47">
    <cfRule type="cellIs" dxfId="29116" priority="95910" stopIfTrue="1" operator="equal">
      <formula>-1</formula>
    </cfRule>
  </conditionalFormatting>
  <conditionalFormatting sqref="AR47">
    <cfRule type="cellIs" dxfId="29115" priority="95911" stopIfTrue="1" operator="lessThan">
      <formula>0.5</formula>
    </cfRule>
  </conditionalFormatting>
  <conditionalFormatting sqref="AR47">
    <cfRule type="cellIs" dxfId="29114" priority="95912" stopIfTrue="1" operator="greaterThanOrEqual">
      <formula>0.5</formula>
    </cfRule>
  </conditionalFormatting>
  <conditionalFormatting sqref="AR48">
    <cfRule type="cellIs" dxfId="29113" priority="95913" stopIfTrue="1" operator="equal">
      <formula>-1</formula>
    </cfRule>
  </conditionalFormatting>
  <conditionalFormatting sqref="AR48">
    <cfRule type="cellIs" dxfId="29112" priority="95914" stopIfTrue="1" operator="lessThan">
      <formula>0.5</formula>
    </cfRule>
  </conditionalFormatting>
  <conditionalFormatting sqref="AR48">
    <cfRule type="cellIs" dxfId="29111" priority="95915" stopIfTrue="1" operator="greaterThanOrEqual">
      <formula>0.5</formula>
    </cfRule>
  </conditionalFormatting>
  <conditionalFormatting sqref="AR49">
    <cfRule type="cellIs" dxfId="29110" priority="95916" stopIfTrue="1" operator="equal">
      <formula>-1</formula>
    </cfRule>
  </conditionalFormatting>
  <conditionalFormatting sqref="AR49">
    <cfRule type="cellIs" dxfId="29109" priority="95917" stopIfTrue="1" operator="lessThan">
      <formula>0.5</formula>
    </cfRule>
  </conditionalFormatting>
  <conditionalFormatting sqref="AR49">
    <cfRule type="cellIs" dxfId="29108" priority="95918" stopIfTrue="1" operator="greaterThanOrEqual">
      <formula>0.5</formula>
    </cfRule>
  </conditionalFormatting>
  <conditionalFormatting sqref="AR50">
    <cfRule type="cellIs" dxfId="29107" priority="95919" stopIfTrue="1" operator="equal">
      <formula>-1</formula>
    </cfRule>
  </conditionalFormatting>
  <conditionalFormatting sqref="AR50">
    <cfRule type="cellIs" dxfId="29106" priority="95920" stopIfTrue="1" operator="lessThan">
      <formula>0.5</formula>
    </cfRule>
  </conditionalFormatting>
  <conditionalFormatting sqref="AR50">
    <cfRule type="cellIs" dxfId="29105" priority="95921" stopIfTrue="1" operator="greaterThanOrEqual">
      <formula>0.5</formula>
    </cfRule>
  </conditionalFormatting>
  <conditionalFormatting sqref="AR51">
    <cfRule type="cellIs" dxfId="29104" priority="95922" stopIfTrue="1" operator="equal">
      <formula>-1</formula>
    </cfRule>
  </conditionalFormatting>
  <conditionalFormatting sqref="AR51">
    <cfRule type="cellIs" dxfId="29103" priority="95923" stopIfTrue="1" operator="lessThan">
      <formula>0.5</formula>
    </cfRule>
  </conditionalFormatting>
  <conditionalFormatting sqref="AR51">
    <cfRule type="cellIs" dxfId="29102" priority="95924" stopIfTrue="1" operator="greaterThanOrEqual">
      <formula>0.5</formula>
    </cfRule>
  </conditionalFormatting>
  <conditionalFormatting sqref="AR52">
    <cfRule type="cellIs" dxfId="29101" priority="95925" stopIfTrue="1" operator="equal">
      <formula>-1</formula>
    </cfRule>
  </conditionalFormatting>
  <conditionalFormatting sqref="AR52">
    <cfRule type="cellIs" dxfId="29100" priority="95926" stopIfTrue="1" operator="lessThan">
      <formula>0.5</formula>
    </cfRule>
  </conditionalFormatting>
  <conditionalFormatting sqref="AR52">
    <cfRule type="cellIs" dxfId="29099" priority="95927" stopIfTrue="1" operator="greaterThanOrEqual">
      <formula>0.5</formula>
    </cfRule>
  </conditionalFormatting>
  <conditionalFormatting sqref="AR53">
    <cfRule type="cellIs" dxfId="29098" priority="95928" stopIfTrue="1" operator="equal">
      <formula>-1</formula>
    </cfRule>
  </conditionalFormatting>
  <conditionalFormatting sqref="AR53">
    <cfRule type="cellIs" dxfId="29097" priority="95929" stopIfTrue="1" operator="lessThan">
      <formula>0.5</formula>
    </cfRule>
  </conditionalFormatting>
  <conditionalFormatting sqref="AR53">
    <cfRule type="cellIs" dxfId="29096" priority="95930" stopIfTrue="1" operator="greaterThanOrEqual">
      <formula>0.5</formula>
    </cfRule>
  </conditionalFormatting>
  <conditionalFormatting sqref="AR54">
    <cfRule type="cellIs" dxfId="29095" priority="95931" stopIfTrue="1" operator="equal">
      <formula>-1</formula>
    </cfRule>
  </conditionalFormatting>
  <conditionalFormatting sqref="AR54">
    <cfRule type="cellIs" dxfId="29094" priority="95932" stopIfTrue="1" operator="lessThan">
      <formula>0.5</formula>
    </cfRule>
  </conditionalFormatting>
  <conditionalFormatting sqref="AR54">
    <cfRule type="cellIs" dxfId="29093" priority="95933" stopIfTrue="1" operator="greaterThanOrEqual">
      <formula>0.5</formula>
    </cfRule>
  </conditionalFormatting>
  <conditionalFormatting sqref="AR55">
    <cfRule type="cellIs" dxfId="29092" priority="95934" stopIfTrue="1" operator="equal">
      <formula>-1</formula>
    </cfRule>
  </conditionalFormatting>
  <conditionalFormatting sqref="AR55">
    <cfRule type="cellIs" dxfId="29091" priority="95935" stopIfTrue="1" operator="lessThan">
      <formula>0.5</formula>
    </cfRule>
  </conditionalFormatting>
  <conditionalFormatting sqref="AR55">
    <cfRule type="cellIs" dxfId="29090" priority="95936" stopIfTrue="1" operator="greaterThanOrEqual">
      <formula>0.5</formula>
    </cfRule>
  </conditionalFormatting>
  <conditionalFormatting sqref="AR56">
    <cfRule type="cellIs" dxfId="29089" priority="95937" stopIfTrue="1" operator="equal">
      <formula>-1</formula>
    </cfRule>
  </conditionalFormatting>
  <conditionalFormatting sqref="AR56">
    <cfRule type="cellIs" dxfId="29088" priority="95938" stopIfTrue="1" operator="lessThan">
      <formula>0.5</formula>
    </cfRule>
  </conditionalFormatting>
  <conditionalFormatting sqref="AR56">
    <cfRule type="cellIs" dxfId="29087" priority="95939" stopIfTrue="1" operator="greaterThanOrEqual">
      <formula>0.5</formula>
    </cfRule>
  </conditionalFormatting>
  <conditionalFormatting sqref="AR57">
    <cfRule type="cellIs" dxfId="29086" priority="95940" stopIfTrue="1" operator="equal">
      <formula>-1</formula>
    </cfRule>
  </conditionalFormatting>
  <conditionalFormatting sqref="AR57">
    <cfRule type="cellIs" dxfId="29085" priority="95941" stopIfTrue="1" operator="lessThan">
      <formula>0.5</formula>
    </cfRule>
  </conditionalFormatting>
  <conditionalFormatting sqref="AR57">
    <cfRule type="cellIs" dxfId="29084" priority="95942" stopIfTrue="1" operator="greaterThanOrEqual">
      <formula>0.5</formula>
    </cfRule>
  </conditionalFormatting>
  <conditionalFormatting sqref="AR58">
    <cfRule type="cellIs" dxfId="29083" priority="95943" stopIfTrue="1" operator="equal">
      <formula>-1</formula>
    </cfRule>
  </conditionalFormatting>
  <conditionalFormatting sqref="AR58">
    <cfRule type="cellIs" dxfId="29082" priority="95944" stopIfTrue="1" operator="lessThan">
      <formula>0.5</formula>
    </cfRule>
  </conditionalFormatting>
  <conditionalFormatting sqref="AR58">
    <cfRule type="cellIs" dxfId="29081" priority="95945" stopIfTrue="1" operator="greaterThanOrEqual">
      <formula>0.5</formula>
    </cfRule>
  </conditionalFormatting>
  <conditionalFormatting sqref="AT39">
    <cfRule type="cellIs" dxfId="29080" priority="95946" stopIfTrue="1" operator="equal">
      <formula>-1</formula>
    </cfRule>
  </conditionalFormatting>
  <conditionalFormatting sqref="AT39">
    <cfRule type="cellIs" dxfId="29079" priority="95947" stopIfTrue="1" operator="lessThan">
      <formula>0.5</formula>
    </cfRule>
  </conditionalFormatting>
  <conditionalFormatting sqref="AT39">
    <cfRule type="cellIs" dxfId="29078" priority="95948" stopIfTrue="1" operator="greaterThanOrEqual">
      <formula>0.5</formula>
    </cfRule>
  </conditionalFormatting>
  <conditionalFormatting sqref="AT40">
    <cfRule type="cellIs" dxfId="29077" priority="95949" stopIfTrue="1" operator="equal">
      <formula>-1</formula>
    </cfRule>
  </conditionalFormatting>
  <conditionalFormatting sqref="AT40">
    <cfRule type="cellIs" dxfId="29076" priority="95950" stopIfTrue="1" operator="lessThan">
      <formula>0.5</formula>
    </cfRule>
  </conditionalFormatting>
  <conditionalFormatting sqref="AT40">
    <cfRule type="cellIs" dxfId="29075" priority="95951" stopIfTrue="1" operator="greaterThanOrEqual">
      <formula>0.5</formula>
    </cfRule>
  </conditionalFormatting>
  <conditionalFormatting sqref="AT41">
    <cfRule type="cellIs" dxfId="29074" priority="95952" stopIfTrue="1" operator="equal">
      <formula>-1</formula>
    </cfRule>
  </conditionalFormatting>
  <conditionalFormatting sqref="AT41">
    <cfRule type="cellIs" dxfId="29073" priority="95953" stopIfTrue="1" operator="lessThan">
      <formula>0.5</formula>
    </cfRule>
  </conditionalFormatting>
  <conditionalFormatting sqref="AT41">
    <cfRule type="cellIs" dxfId="29072" priority="95954" stopIfTrue="1" operator="greaterThanOrEqual">
      <formula>0.5</formula>
    </cfRule>
  </conditionalFormatting>
  <conditionalFormatting sqref="AT42">
    <cfRule type="cellIs" dxfId="29071" priority="95955" stopIfTrue="1" operator="equal">
      <formula>-1</formula>
    </cfRule>
  </conditionalFormatting>
  <conditionalFormatting sqref="AT42">
    <cfRule type="cellIs" dxfId="29070" priority="95956" stopIfTrue="1" operator="lessThan">
      <formula>0.5</formula>
    </cfRule>
  </conditionalFormatting>
  <conditionalFormatting sqref="AT42">
    <cfRule type="cellIs" dxfId="29069" priority="95957" stopIfTrue="1" operator="greaterThanOrEqual">
      <formula>0.5</formula>
    </cfRule>
  </conditionalFormatting>
  <conditionalFormatting sqref="AT43">
    <cfRule type="cellIs" dxfId="29068" priority="95958" stopIfTrue="1" operator="equal">
      <formula>-1</formula>
    </cfRule>
  </conditionalFormatting>
  <conditionalFormatting sqref="AT43">
    <cfRule type="cellIs" dxfId="29067" priority="95959" stopIfTrue="1" operator="lessThan">
      <formula>0.5</formula>
    </cfRule>
  </conditionalFormatting>
  <conditionalFormatting sqref="AT43">
    <cfRule type="cellIs" dxfId="29066" priority="95960" stopIfTrue="1" operator="greaterThanOrEqual">
      <formula>0.5</formula>
    </cfRule>
  </conditionalFormatting>
  <conditionalFormatting sqref="AT44">
    <cfRule type="cellIs" dxfId="29065" priority="95961" stopIfTrue="1" operator="equal">
      <formula>-1</formula>
    </cfRule>
  </conditionalFormatting>
  <conditionalFormatting sqref="AT44">
    <cfRule type="cellIs" dxfId="29064" priority="95962" stopIfTrue="1" operator="lessThan">
      <formula>0.5</formula>
    </cfRule>
  </conditionalFormatting>
  <conditionalFormatting sqref="AT44">
    <cfRule type="cellIs" dxfId="29063" priority="95963" stopIfTrue="1" operator="greaterThanOrEqual">
      <formula>0.5</formula>
    </cfRule>
  </conditionalFormatting>
  <conditionalFormatting sqref="AT45">
    <cfRule type="cellIs" dxfId="29062" priority="95964" stopIfTrue="1" operator="equal">
      <formula>-1</formula>
    </cfRule>
  </conditionalFormatting>
  <conditionalFormatting sqref="AT45">
    <cfRule type="cellIs" dxfId="29061" priority="95965" stopIfTrue="1" operator="lessThan">
      <formula>0.5</formula>
    </cfRule>
  </conditionalFormatting>
  <conditionalFormatting sqref="AT45">
    <cfRule type="cellIs" dxfId="29060" priority="95966" stopIfTrue="1" operator="greaterThanOrEqual">
      <formula>0.5</formula>
    </cfRule>
  </conditionalFormatting>
  <conditionalFormatting sqref="AT46">
    <cfRule type="cellIs" dxfId="29059" priority="95967" stopIfTrue="1" operator="equal">
      <formula>-1</formula>
    </cfRule>
  </conditionalFormatting>
  <conditionalFormatting sqref="AT46">
    <cfRule type="cellIs" dxfId="29058" priority="95968" stopIfTrue="1" operator="lessThan">
      <formula>0.5</formula>
    </cfRule>
  </conditionalFormatting>
  <conditionalFormatting sqref="AT46">
    <cfRule type="cellIs" dxfId="29057" priority="95969" stopIfTrue="1" operator="greaterThanOrEqual">
      <formula>0.5</formula>
    </cfRule>
  </conditionalFormatting>
  <conditionalFormatting sqref="AT47">
    <cfRule type="cellIs" dxfId="29056" priority="95970" stopIfTrue="1" operator="equal">
      <formula>-1</formula>
    </cfRule>
  </conditionalFormatting>
  <conditionalFormatting sqref="AT47">
    <cfRule type="cellIs" dxfId="29055" priority="95971" stopIfTrue="1" operator="lessThan">
      <formula>0.5</formula>
    </cfRule>
  </conditionalFormatting>
  <conditionalFormatting sqref="AT47">
    <cfRule type="cellIs" dxfId="29054" priority="95972" stopIfTrue="1" operator="greaterThanOrEqual">
      <formula>0.5</formula>
    </cfRule>
  </conditionalFormatting>
  <conditionalFormatting sqref="AT48">
    <cfRule type="cellIs" dxfId="29053" priority="95973" stopIfTrue="1" operator="equal">
      <formula>-1</formula>
    </cfRule>
  </conditionalFormatting>
  <conditionalFormatting sqref="AT48">
    <cfRule type="cellIs" dxfId="29052" priority="95974" stopIfTrue="1" operator="lessThan">
      <formula>0.5</formula>
    </cfRule>
  </conditionalFormatting>
  <conditionalFormatting sqref="AT48">
    <cfRule type="cellIs" dxfId="29051" priority="95975" stopIfTrue="1" operator="greaterThanOrEqual">
      <formula>0.5</formula>
    </cfRule>
  </conditionalFormatting>
  <conditionalFormatting sqref="AT49">
    <cfRule type="cellIs" dxfId="29050" priority="95976" stopIfTrue="1" operator="equal">
      <formula>-1</formula>
    </cfRule>
  </conditionalFormatting>
  <conditionalFormatting sqref="AT49">
    <cfRule type="cellIs" dxfId="29049" priority="95977" stopIfTrue="1" operator="lessThan">
      <formula>0.5</formula>
    </cfRule>
  </conditionalFormatting>
  <conditionalFormatting sqref="AT49">
    <cfRule type="cellIs" dxfId="29048" priority="95978" stopIfTrue="1" operator="greaterThanOrEqual">
      <formula>0.5</formula>
    </cfRule>
  </conditionalFormatting>
  <conditionalFormatting sqref="AT50">
    <cfRule type="cellIs" dxfId="29047" priority="95979" stopIfTrue="1" operator="equal">
      <formula>-1</formula>
    </cfRule>
  </conditionalFormatting>
  <conditionalFormatting sqref="AT50">
    <cfRule type="cellIs" dxfId="29046" priority="95980" stopIfTrue="1" operator="lessThan">
      <formula>0.5</formula>
    </cfRule>
  </conditionalFormatting>
  <conditionalFormatting sqref="AT50">
    <cfRule type="cellIs" dxfId="29045" priority="95981" stopIfTrue="1" operator="greaterThanOrEqual">
      <formula>0.5</formula>
    </cfRule>
  </conditionalFormatting>
  <conditionalFormatting sqref="AT51">
    <cfRule type="cellIs" dxfId="29044" priority="95982" stopIfTrue="1" operator="equal">
      <formula>-1</formula>
    </cfRule>
  </conditionalFormatting>
  <conditionalFormatting sqref="AT51">
    <cfRule type="cellIs" dxfId="29043" priority="95983" stopIfTrue="1" operator="lessThan">
      <formula>0.5</formula>
    </cfRule>
  </conditionalFormatting>
  <conditionalFormatting sqref="AT51">
    <cfRule type="cellIs" dxfId="29042" priority="95984" stopIfTrue="1" operator="greaterThanOrEqual">
      <formula>0.5</formula>
    </cfRule>
  </conditionalFormatting>
  <conditionalFormatting sqref="AT52">
    <cfRule type="cellIs" dxfId="29041" priority="95985" stopIfTrue="1" operator="equal">
      <formula>-1</formula>
    </cfRule>
  </conditionalFormatting>
  <conditionalFormatting sqref="AT52">
    <cfRule type="cellIs" dxfId="29040" priority="95986" stopIfTrue="1" operator="lessThan">
      <formula>0.5</formula>
    </cfRule>
  </conditionalFormatting>
  <conditionalFormatting sqref="AT52">
    <cfRule type="cellIs" dxfId="29039" priority="95987" stopIfTrue="1" operator="greaterThanOrEqual">
      <formula>0.5</formula>
    </cfRule>
  </conditionalFormatting>
  <conditionalFormatting sqref="AT53">
    <cfRule type="cellIs" dxfId="29038" priority="95988" stopIfTrue="1" operator="equal">
      <formula>-1</formula>
    </cfRule>
  </conditionalFormatting>
  <conditionalFormatting sqref="AT53">
    <cfRule type="cellIs" dxfId="29037" priority="95989" stopIfTrue="1" operator="lessThan">
      <formula>0.5</formula>
    </cfRule>
  </conditionalFormatting>
  <conditionalFormatting sqref="AT53">
    <cfRule type="cellIs" dxfId="29036" priority="95990" stopIfTrue="1" operator="greaterThanOrEqual">
      <formula>0.5</formula>
    </cfRule>
  </conditionalFormatting>
  <conditionalFormatting sqref="AT54">
    <cfRule type="cellIs" dxfId="29035" priority="95991" stopIfTrue="1" operator="equal">
      <formula>-1</formula>
    </cfRule>
  </conditionalFormatting>
  <conditionalFormatting sqref="AT54">
    <cfRule type="cellIs" dxfId="29034" priority="95992" stopIfTrue="1" operator="lessThan">
      <formula>0.5</formula>
    </cfRule>
  </conditionalFormatting>
  <conditionalFormatting sqref="AT54">
    <cfRule type="cellIs" dxfId="29033" priority="95993" stopIfTrue="1" operator="greaterThanOrEqual">
      <formula>0.5</formula>
    </cfRule>
  </conditionalFormatting>
  <conditionalFormatting sqref="AT55">
    <cfRule type="cellIs" dxfId="29032" priority="95994" stopIfTrue="1" operator="equal">
      <formula>-1</formula>
    </cfRule>
  </conditionalFormatting>
  <conditionalFormatting sqref="AT55">
    <cfRule type="cellIs" dxfId="29031" priority="95995" stopIfTrue="1" operator="lessThan">
      <formula>0.5</formula>
    </cfRule>
  </conditionalFormatting>
  <conditionalFormatting sqref="AT55">
    <cfRule type="cellIs" dxfId="29030" priority="95996" stopIfTrue="1" operator="greaterThanOrEqual">
      <formula>0.5</formula>
    </cfRule>
  </conditionalFormatting>
  <conditionalFormatting sqref="AT56">
    <cfRule type="cellIs" dxfId="29029" priority="95997" stopIfTrue="1" operator="equal">
      <formula>-1</formula>
    </cfRule>
  </conditionalFormatting>
  <conditionalFormatting sqref="AT56">
    <cfRule type="cellIs" dxfId="29028" priority="95998" stopIfTrue="1" operator="lessThan">
      <formula>0.5</formula>
    </cfRule>
  </conditionalFormatting>
  <conditionalFormatting sqref="AT56">
    <cfRule type="cellIs" dxfId="29027" priority="95999" stopIfTrue="1" operator="greaterThanOrEqual">
      <formula>0.5</formula>
    </cfRule>
  </conditionalFormatting>
  <conditionalFormatting sqref="AT57">
    <cfRule type="cellIs" dxfId="29026" priority="96000" stopIfTrue="1" operator="equal">
      <formula>-1</formula>
    </cfRule>
  </conditionalFormatting>
  <conditionalFormatting sqref="AT57">
    <cfRule type="cellIs" dxfId="29025" priority="96001" stopIfTrue="1" operator="lessThan">
      <formula>0.5</formula>
    </cfRule>
  </conditionalFormatting>
  <conditionalFormatting sqref="AT57">
    <cfRule type="cellIs" dxfId="29024" priority="96002" stopIfTrue="1" operator="greaterThanOrEqual">
      <formula>0.5</formula>
    </cfRule>
  </conditionalFormatting>
  <conditionalFormatting sqref="AT58">
    <cfRule type="cellIs" dxfId="29023" priority="96003" stopIfTrue="1" operator="equal">
      <formula>-1</formula>
    </cfRule>
  </conditionalFormatting>
  <conditionalFormatting sqref="AT58">
    <cfRule type="cellIs" dxfId="29022" priority="96004" stopIfTrue="1" operator="lessThan">
      <formula>0.5</formula>
    </cfRule>
  </conditionalFormatting>
  <conditionalFormatting sqref="AT58">
    <cfRule type="cellIs" dxfId="29021" priority="96005" stopIfTrue="1" operator="greaterThanOrEqual">
      <formula>0.5</formula>
    </cfRule>
  </conditionalFormatting>
  <conditionalFormatting sqref="AV39">
    <cfRule type="cellIs" dxfId="29020" priority="96006" stopIfTrue="1" operator="equal">
      <formula>-1</formula>
    </cfRule>
  </conditionalFormatting>
  <conditionalFormatting sqref="AV39">
    <cfRule type="cellIs" dxfId="29019" priority="96007" stopIfTrue="1" operator="lessThan">
      <formula>0.5</formula>
    </cfRule>
  </conditionalFormatting>
  <conditionalFormatting sqref="AV39">
    <cfRule type="cellIs" dxfId="29018" priority="96008" stopIfTrue="1" operator="greaterThanOrEqual">
      <formula>0.5</formula>
    </cfRule>
  </conditionalFormatting>
  <conditionalFormatting sqref="AV40">
    <cfRule type="cellIs" dxfId="29017" priority="96009" stopIfTrue="1" operator="equal">
      <formula>-1</formula>
    </cfRule>
  </conditionalFormatting>
  <conditionalFormatting sqref="AV40">
    <cfRule type="cellIs" dxfId="29016" priority="96010" stopIfTrue="1" operator="lessThan">
      <formula>0.5</formula>
    </cfRule>
  </conditionalFormatting>
  <conditionalFormatting sqref="AV40">
    <cfRule type="cellIs" dxfId="29015" priority="96011" stopIfTrue="1" operator="greaterThanOrEqual">
      <formula>0.5</formula>
    </cfRule>
  </conditionalFormatting>
  <conditionalFormatting sqref="AV41">
    <cfRule type="cellIs" dxfId="29014" priority="96012" stopIfTrue="1" operator="equal">
      <formula>-1</formula>
    </cfRule>
  </conditionalFormatting>
  <conditionalFormatting sqref="AV41">
    <cfRule type="cellIs" dxfId="29013" priority="96013" stopIfTrue="1" operator="lessThan">
      <formula>0.5</formula>
    </cfRule>
  </conditionalFormatting>
  <conditionalFormatting sqref="AV41">
    <cfRule type="cellIs" dxfId="29012" priority="96014" stopIfTrue="1" operator="greaterThanOrEqual">
      <formula>0.5</formula>
    </cfRule>
  </conditionalFormatting>
  <conditionalFormatting sqref="AV42">
    <cfRule type="cellIs" dxfId="29011" priority="96015" stopIfTrue="1" operator="equal">
      <formula>-1</formula>
    </cfRule>
  </conditionalFormatting>
  <conditionalFormatting sqref="AV42">
    <cfRule type="cellIs" dxfId="29010" priority="96016" stopIfTrue="1" operator="lessThan">
      <formula>0.5</formula>
    </cfRule>
  </conditionalFormatting>
  <conditionalFormatting sqref="AV42">
    <cfRule type="cellIs" dxfId="29009" priority="96017" stopIfTrue="1" operator="greaterThanOrEqual">
      <formula>0.5</formula>
    </cfRule>
  </conditionalFormatting>
  <conditionalFormatting sqref="AV43">
    <cfRule type="cellIs" dxfId="29008" priority="96018" stopIfTrue="1" operator="equal">
      <formula>-1</formula>
    </cfRule>
  </conditionalFormatting>
  <conditionalFormatting sqref="AV43">
    <cfRule type="cellIs" dxfId="29007" priority="96019" stopIfTrue="1" operator="lessThan">
      <formula>0.5</formula>
    </cfRule>
  </conditionalFormatting>
  <conditionalFormatting sqref="AV43">
    <cfRule type="cellIs" dxfId="29006" priority="96020" stopIfTrue="1" operator="greaterThanOrEqual">
      <formula>0.5</formula>
    </cfRule>
  </conditionalFormatting>
  <conditionalFormatting sqref="AV44">
    <cfRule type="cellIs" dxfId="29005" priority="96021" stopIfTrue="1" operator="equal">
      <formula>-1</formula>
    </cfRule>
  </conditionalFormatting>
  <conditionalFormatting sqref="AV44">
    <cfRule type="cellIs" dxfId="29004" priority="96022" stopIfTrue="1" operator="lessThan">
      <formula>0.5</formula>
    </cfRule>
  </conditionalFormatting>
  <conditionalFormatting sqref="AV44">
    <cfRule type="cellIs" dxfId="29003" priority="96023" stopIfTrue="1" operator="greaterThanOrEqual">
      <formula>0.5</formula>
    </cfRule>
  </conditionalFormatting>
  <conditionalFormatting sqref="AV45">
    <cfRule type="cellIs" dxfId="29002" priority="96024" stopIfTrue="1" operator="equal">
      <formula>-1</formula>
    </cfRule>
  </conditionalFormatting>
  <conditionalFormatting sqref="AV45">
    <cfRule type="cellIs" dxfId="29001" priority="96025" stopIfTrue="1" operator="lessThan">
      <formula>0.5</formula>
    </cfRule>
  </conditionalFormatting>
  <conditionalFormatting sqref="AV45">
    <cfRule type="cellIs" dxfId="29000" priority="96026" stopIfTrue="1" operator="greaterThanOrEqual">
      <formula>0.5</formula>
    </cfRule>
  </conditionalFormatting>
  <conditionalFormatting sqref="AV46">
    <cfRule type="cellIs" dxfId="28999" priority="96027" stopIfTrue="1" operator="equal">
      <formula>-1</formula>
    </cfRule>
  </conditionalFormatting>
  <conditionalFormatting sqref="AV46">
    <cfRule type="cellIs" dxfId="28998" priority="96028" stopIfTrue="1" operator="lessThan">
      <formula>0.5</formula>
    </cfRule>
  </conditionalFormatting>
  <conditionalFormatting sqref="AV46">
    <cfRule type="cellIs" dxfId="28997" priority="96029" stopIfTrue="1" operator="greaterThanOrEqual">
      <formula>0.5</formula>
    </cfRule>
  </conditionalFormatting>
  <conditionalFormatting sqref="AV47">
    <cfRule type="cellIs" dxfId="28996" priority="96030" stopIfTrue="1" operator="equal">
      <formula>-1</formula>
    </cfRule>
  </conditionalFormatting>
  <conditionalFormatting sqref="AV47">
    <cfRule type="cellIs" dxfId="28995" priority="96031" stopIfTrue="1" operator="lessThan">
      <formula>0.5</formula>
    </cfRule>
  </conditionalFormatting>
  <conditionalFormatting sqref="AV47">
    <cfRule type="cellIs" dxfId="28994" priority="96032" stopIfTrue="1" operator="greaterThanOrEqual">
      <formula>0.5</formula>
    </cfRule>
  </conditionalFormatting>
  <conditionalFormatting sqref="AV48">
    <cfRule type="cellIs" dxfId="28993" priority="96033" stopIfTrue="1" operator="equal">
      <formula>-1</formula>
    </cfRule>
  </conditionalFormatting>
  <conditionalFormatting sqref="AV48">
    <cfRule type="cellIs" dxfId="28992" priority="96034" stopIfTrue="1" operator="lessThan">
      <formula>0.5</formula>
    </cfRule>
  </conditionalFormatting>
  <conditionalFormatting sqref="AV48">
    <cfRule type="cellIs" dxfId="28991" priority="96035" stopIfTrue="1" operator="greaterThanOrEqual">
      <formula>0.5</formula>
    </cfRule>
  </conditionalFormatting>
  <conditionalFormatting sqref="AV49">
    <cfRule type="cellIs" dxfId="28990" priority="96036" stopIfTrue="1" operator="equal">
      <formula>-1</formula>
    </cfRule>
  </conditionalFormatting>
  <conditionalFormatting sqref="AV49">
    <cfRule type="cellIs" dxfId="28989" priority="96037" stopIfTrue="1" operator="lessThan">
      <formula>0.5</formula>
    </cfRule>
  </conditionalFormatting>
  <conditionalFormatting sqref="AV49">
    <cfRule type="cellIs" dxfId="28988" priority="96038" stopIfTrue="1" operator="greaterThanOrEqual">
      <formula>0.5</formula>
    </cfRule>
  </conditionalFormatting>
  <conditionalFormatting sqref="AV50">
    <cfRule type="cellIs" dxfId="28987" priority="96039" stopIfTrue="1" operator="equal">
      <formula>-1</formula>
    </cfRule>
  </conditionalFormatting>
  <conditionalFormatting sqref="AV50">
    <cfRule type="cellIs" dxfId="28986" priority="96040" stopIfTrue="1" operator="lessThan">
      <formula>0.5</formula>
    </cfRule>
  </conditionalFormatting>
  <conditionalFormatting sqref="AV50">
    <cfRule type="cellIs" dxfId="28985" priority="96041" stopIfTrue="1" operator="greaterThanOrEqual">
      <formula>0.5</formula>
    </cfRule>
  </conditionalFormatting>
  <conditionalFormatting sqref="AV51">
    <cfRule type="cellIs" dxfId="28984" priority="96042" stopIfTrue="1" operator="equal">
      <formula>-1</formula>
    </cfRule>
  </conditionalFormatting>
  <conditionalFormatting sqref="AV51">
    <cfRule type="cellIs" dxfId="28983" priority="96043" stopIfTrue="1" operator="lessThan">
      <formula>0.5</formula>
    </cfRule>
  </conditionalFormatting>
  <conditionalFormatting sqref="AV51">
    <cfRule type="cellIs" dxfId="28982" priority="96044" stopIfTrue="1" operator="greaterThanOrEqual">
      <formula>0.5</formula>
    </cfRule>
  </conditionalFormatting>
  <conditionalFormatting sqref="AV52">
    <cfRule type="cellIs" dxfId="28981" priority="96045" stopIfTrue="1" operator="equal">
      <formula>-1</formula>
    </cfRule>
  </conditionalFormatting>
  <conditionalFormatting sqref="AV52">
    <cfRule type="cellIs" dxfId="28980" priority="96046" stopIfTrue="1" operator="lessThan">
      <formula>0.5</formula>
    </cfRule>
  </conditionalFormatting>
  <conditionalFormatting sqref="AV52">
    <cfRule type="cellIs" dxfId="28979" priority="96047" stopIfTrue="1" operator="greaterThanOrEqual">
      <formula>0.5</formula>
    </cfRule>
  </conditionalFormatting>
  <conditionalFormatting sqref="AV53">
    <cfRule type="cellIs" dxfId="28978" priority="96048" stopIfTrue="1" operator="equal">
      <formula>-1</formula>
    </cfRule>
  </conditionalFormatting>
  <conditionalFormatting sqref="AV53">
    <cfRule type="cellIs" dxfId="28977" priority="96049" stopIfTrue="1" operator="lessThan">
      <formula>0.5</formula>
    </cfRule>
  </conditionalFormatting>
  <conditionalFormatting sqref="AV53">
    <cfRule type="cellIs" dxfId="28976" priority="96050" stopIfTrue="1" operator="greaterThanOrEqual">
      <formula>0.5</formula>
    </cfRule>
  </conditionalFormatting>
  <conditionalFormatting sqref="AV54">
    <cfRule type="cellIs" dxfId="28975" priority="96051" stopIfTrue="1" operator="equal">
      <formula>-1</formula>
    </cfRule>
  </conditionalFormatting>
  <conditionalFormatting sqref="AV54">
    <cfRule type="cellIs" dxfId="28974" priority="96052" stopIfTrue="1" operator="lessThan">
      <formula>0.5</formula>
    </cfRule>
  </conditionalFormatting>
  <conditionalFormatting sqref="AV54">
    <cfRule type="cellIs" dxfId="28973" priority="96053" stopIfTrue="1" operator="greaterThanOrEqual">
      <formula>0.5</formula>
    </cfRule>
  </conditionalFormatting>
  <conditionalFormatting sqref="AV55">
    <cfRule type="cellIs" dxfId="28972" priority="96054" stopIfTrue="1" operator="equal">
      <formula>-1</formula>
    </cfRule>
  </conditionalFormatting>
  <conditionalFormatting sqref="AV55">
    <cfRule type="cellIs" dxfId="28971" priority="96055" stopIfTrue="1" operator="lessThan">
      <formula>0.5</formula>
    </cfRule>
  </conditionalFormatting>
  <conditionalFormatting sqref="AV55">
    <cfRule type="cellIs" dxfId="28970" priority="96056" stopIfTrue="1" operator="greaterThanOrEqual">
      <formula>0.5</formula>
    </cfRule>
  </conditionalFormatting>
  <conditionalFormatting sqref="AV56">
    <cfRule type="cellIs" dxfId="28969" priority="96057" stopIfTrue="1" operator="equal">
      <formula>-1</formula>
    </cfRule>
  </conditionalFormatting>
  <conditionalFormatting sqref="AV56">
    <cfRule type="cellIs" dxfId="28968" priority="96058" stopIfTrue="1" operator="lessThan">
      <formula>0.5</formula>
    </cfRule>
  </conditionalFormatting>
  <conditionalFormatting sqref="AV56">
    <cfRule type="cellIs" dxfId="28967" priority="96059" stopIfTrue="1" operator="greaterThanOrEqual">
      <formula>0.5</formula>
    </cfRule>
  </conditionalFormatting>
  <conditionalFormatting sqref="AV57">
    <cfRule type="cellIs" dxfId="28966" priority="96060" stopIfTrue="1" operator="equal">
      <formula>-1</formula>
    </cfRule>
  </conditionalFormatting>
  <conditionalFormatting sqref="AV57">
    <cfRule type="cellIs" dxfId="28965" priority="96061" stopIfTrue="1" operator="lessThan">
      <formula>0.5</formula>
    </cfRule>
  </conditionalFormatting>
  <conditionalFormatting sqref="AV57">
    <cfRule type="cellIs" dxfId="28964" priority="96062" stopIfTrue="1" operator="greaterThanOrEqual">
      <formula>0.5</formula>
    </cfRule>
  </conditionalFormatting>
  <conditionalFormatting sqref="AV58">
    <cfRule type="cellIs" dxfId="28963" priority="96063" stopIfTrue="1" operator="equal">
      <formula>-1</formula>
    </cfRule>
  </conditionalFormatting>
  <conditionalFormatting sqref="AV58">
    <cfRule type="cellIs" dxfId="28962" priority="96064" stopIfTrue="1" operator="lessThan">
      <formula>0.5</formula>
    </cfRule>
  </conditionalFormatting>
  <conditionalFormatting sqref="AV58">
    <cfRule type="cellIs" dxfId="28961" priority="96065" stopIfTrue="1" operator="greaterThanOrEqual">
      <formula>0.5</formula>
    </cfRule>
  </conditionalFormatting>
  <conditionalFormatting sqref="AX39">
    <cfRule type="cellIs" dxfId="28960" priority="96066" stopIfTrue="1" operator="equal">
      <formula>-1</formula>
    </cfRule>
  </conditionalFormatting>
  <conditionalFormatting sqref="AX39">
    <cfRule type="cellIs" dxfId="28959" priority="96067" stopIfTrue="1" operator="lessThan">
      <formula>0.5</formula>
    </cfRule>
  </conditionalFormatting>
  <conditionalFormatting sqref="AX39">
    <cfRule type="cellIs" dxfId="28958" priority="96068" stopIfTrue="1" operator="greaterThanOrEqual">
      <formula>0.5</formula>
    </cfRule>
  </conditionalFormatting>
  <conditionalFormatting sqref="AX40">
    <cfRule type="cellIs" dxfId="28957" priority="96069" stopIfTrue="1" operator="equal">
      <formula>-1</formula>
    </cfRule>
  </conditionalFormatting>
  <conditionalFormatting sqref="AX40">
    <cfRule type="cellIs" dxfId="28956" priority="96070" stopIfTrue="1" operator="lessThan">
      <formula>0.5</formula>
    </cfRule>
  </conditionalFormatting>
  <conditionalFormatting sqref="AX40">
    <cfRule type="cellIs" dxfId="28955" priority="96071" stopIfTrue="1" operator="greaterThanOrEqual">
      <formula>0.5</formula>
    </cfRule>
  </conditionalFormatting>
  <conditionalFormatting sqref="AX41">
    <cfRule type="cellIs" dxfId="28954" priority="96072" stopIfTrue="1" operator="equal">
      <formula>-1</formula>
    </cfRule>
  </conditionalFormatting>
  <conditionalFormatting sqref="AX41">
    <cfRule type="cellIs" dxfId="28953" priority="96073" stopIfTrue="1" operator="lessThan">
      <formula>0.5</formula>
    </cfRule>
  </conditionalFormatting>
  <conditionalFormatting sqref="AX41">
    <cfRule type="cellIs" dxfId="28952" priority="96074" stopIfTrue="1" operator="greaterThanOrEqual">
      <formula>0.5</formula>
    </cfRule>
  </conditionalFormatting>
  <conditionalFormatting sqref="AX42">
    <cfRule type="cellIs" dxfId="28951" priority="96075" stopIfTrue="1" operator="equal">
      <formula>-1</formula>
    </cfRule>
  </conditionalFormatting>
  <conditionalFormatting sqref="AX42">
    <cfRule type="cellIs" dxfId="28950" priority="96076" stopIfTrue="1" operator="lessThan">
      <formula>0.5</formula>
    </cfRule>
  </conditionalFormatting>
  <conditionalFormatting sqref="AX42">
    <cfRule type="cellIs" dxfId="28949" priority="96077" stopIfTrue="1" operator="greaterThanOrEqual">
      <formula>0.5</formula>
    </cfRule>
  </conditionalFormatting>
  <conditionalFormatting sqref="AX43">
    <cfRule type="cellIs" dxfId="28948" priority="96078" stopIfTrue="1" operator="equal">
      <formula>-1</formula>
    </cfRule>
  </conditionalFormatting>
  <conditionalFormatting sqref="AX43">
    <cfRule type="cellIs" dxfId="28947" priority="96079" stopIfTrue="1" operator="lessThan">
      <formula>0.5</formula>
    </cfRule>
  </conditionalFormatting>
  <conditionalFormatting sqref="AX43">
    <cfRule type="cellIs" dxfId="28946" priority="96080" stopIfTrue="1" operator="greaterThanOrEqual">
      <formula>0.5</formula>
    </cfRule>
  </conditionalFormatting>
  <conditionalFormatting sqref="AX44">
    <cfRule type="cellIs" dxfId="28945" priority="96081" stopIfTrue="1" operator="equal">
      <formula>-1</formula>
    </cfRule>
  </conditionalFormatting>
  <conditionalFormatting sqref="AX44">
    <cfRule type="cellIs" dxfId="28944" priority="96082" stopIfTrue="1" operator="lessThan">
      <formula>0.5</formula>
    </cfRule>
  </conditionalFormatting>
  <conditionalFormatting sqref="AX44">
    <cfRule type="cellIs" dxfId="28943" priority="96083" stopIfTrue="1" operator="greaterThanOrEqual">
      <formula>0.5</formula>
    </cfRule>
  </conditionalFormatting>
  <conditionalFormatting sqref="AX45">
    <cfRule type="cellIs" dxfId="28942" priority="96084" stopIfTrue="1" operator="equal">
      <formula>-1</formula>
    </cfRule>
  </conditionalFormatting>
  <conditionalFormatting sqref="AX45">
    <cfRule type="cellIs" dxfId="28941" priority="96085" stopIfTrue="1" operator="lessThan">
      <formula>0.5</formula>
    </cfRule>
  </conditionalFormatting>
  <conditionalFormatting sqref="AX45">
    <cfRule type="cellIs" dxfId="28940" priority="96086" stopIfTrue="1" operator="greaterThanOrEqual">
      <formula>0.5</formula>
    </cfRule>
  </conditionalFormatting>
  <conditionalFormatting sqref="AX46">
    <cfRule type="cellIs" dxfId="28939" priority="96087" stopIfTrue="1" operator="equal">
      <formula>-1</formula>
    </cfRule>
  </conditionalFormatting>
  <conditionalFormatting sqref="AX46">
    <cfRule type="cellIs" dxfId="28938" priority="96088" stopIfTrue="1" operator="lessThan">
      <formula>0.5</formula>
    </cfRule>
  </conditionalFormatting>
  <conditionalFormatting sqref="AX46">
    <cfRule type="cellIs" dxfId="28937" priority="96089" stopIfTrue="1" operator="greaterThanOrEqual">
      <formula>0.5</formula>
    </cfRule>
  </conditionalFormatting>
  <conditionalFormatting sqref="AX47">
    <cfRule type="cellIs" dxfId="28936" priority="96090" stopIfTrue="1" operator="equal">
      <formula>-1</formula>
    </cfRule>
  </conditionalFormatting>
  <conditionalFormatting sqref="AX47">
    <cfRule type="cellIs" dxfId="28935" priority="96091" stopIfTrue="1" operator="lessThan">
      <formula>0.5</formula>
    </cfRule>
  </conditionalFormatting>
  <conditionalFormatting sqref="AX47">
    <cfRule type="cellIs" dxfId="28934" priority="96092" stopIfTrue="1" operator="greaterThanOrEqual">
      <formula>0.5</formula>
    </cfRule>
  </conditionalFormatting>
  <conditionalFormatting sqref="AX48">
    <cfRule type="cellIs" dxfId="28933" priority="96093" stopIfTrue="1" operator="equal">
      <formula>-1</formula>
    </cfRule>
  </conditionalFormatting>
  <conditionalFormatting sqref="AX48">
    <cfRule type="cellIs" dxfId="28932" priority="96094" stopIfTrue="1" operator="lessThan">
      <formula>0.5</formula>
    </cfRule>
  </conditionalFormatting>
  <conditionalFormatting sqref="AX48">
    <cfRule type="cellIs" dxfId="28931" priority="96095" stopIfTrue="1" operator="greaterThanOrEqual">
      <formula>0.5</formula>
    </cfRule>
  </conditionalFormatting>
  <conditionalFormatting sqref="AX49">
    <cfRule type="cellIs" dxfId="28930" priority="96096" stopIfTrue="1" operator="equal">
      <formula>-1</formula>
    </cfRule>
  </conditionalFormatting>
  <conditionalFormatting sqref="AX49">
    <cfRule type="cellIs" dxfId="28929" priority="96097" stopIfTrue="1" operator="lessThan">
      <formula>0.5</formula>
    </cfRule>
  </conditionalFormatting>
  <conditionalFormatting sqref="AX49">
    <cfRule type="cellIs" dxfId="28928" priority="96098" stopIfTrue="1" operator="greaterThanOrEqual">
      <formula>0.5</formula>
    </cfRule>
  </conditionalFormatting>
  <conditionalFormatting sqref="AX50">
    <cfRule type="cellIs" dxfId="28927" priority="96099" stopIfTrue="1" operator="equal">
      <formula>-1</formula>
    </cfRule>
  </conditionalFormatting>
  <conditionalFormatting sqref="AX50">
    <cfRule type="cellIs" dxfId="28926" priority="96100" stopIfTrue="1" operator="lessThan">
      <formula>0.5</formula>
    </cfRule>
  </conditionalFormatting>
  <conditionalFormatting sqref="AX50">
    <cfRule type="cellIs" dxfId="28925" priority="96101" stopIfTrue="1" operator="greaterThanOrEqual">
      <formula>0.5</formula>
    </cfRule>
  </conditionalFormatting>
  <conditionalFormatting sqref="AX51">
    <cfRule type="cellIs" dxfId="28924" priority="96102" stopIfTrue="1" operator="equal">
      <formula>-1</formula>
    </cfRule>
  </conditionalFormatting>
  <conditionalFormatting sqref="AX51">
    <cfRule type="cellIs" dxfId="28923" priority="96103" stopIfTrue="1" operator="lessThan">
      <formula>0.5</formula>
    </cfRule>
  </conditionalFormatting>
  <conditionalFormatting sqref="AX51">
    <cfRule type="cellIs" dxfId="28922" priority="96104" stopIfTrue="1" operator="greaterThanOrEqual">
      <formula>0.5</formula>
    </cfRule>
  </conditionalFormatting>
  <conditionalFormatting sqref="AX52">
    <cfRule type="cellIs" dxfId="28921" priority="96105" stopIfTrue="1" operator="equal">
      <formula>-1</formula>
    </cfRule>
  </conditionalFormatting>
  <conditionalFormatting sqref="AX52">
    <cfRule type="cellIs" dxfId="28920" priority="96106" stopIfTrue="1" operator="lessThan">
      <formula>0.5</formula>
    </cfRule>
  </conditionalFormatting>
  <conditionalFormatting sqref="AX52">
    <cfRule type="cellIs" dxfId="28919" priority="96107" stopIfTrue="1" operator="greaterThanOrEqual">
      <formula>0.5</formula>
    </cfRule>
  </conditionalFormatting>
  <conditionalFormatting sqref="AX53">
    <cfRule type="cellIs" dxfId="28918" priority="96108" stopIfTrue="1" operator="equal">
      <formula>-1</formula>
    </cfRule>
  </conditionalFormatting>
  <conditionalFormatting sqref="AX53">
    <cfRule type="cellIs" dxfId="28917" priority="96109" stopIfTrue="1" operator="lessThan">
      <formula>0.5</formula>
    </cfRule>
  </conditionalFormatting>
  <conditionalFormatting sqref="AX53">
    <cfRule type="cellIs" dxfId="28916" priority="96110" stopIfTrue="1" operator="greaterThanOrEqual">
      <formula>0.5</formula>
    </cfRule>
  </conditionalFormatting>
  <conditionalFormatting sqref="AX54">
    <cfRule type="cellIs" dxfId="28915" priority="96111" stopIfTrue="1" operator="equal">
      <formula>-1</formula>
    </cfRule>
  </conditionalFormatting>
  <conditionalFormatting sqref="AX54">
    <cfRule type="cellIs" dxfId="28914" priority="96112" stopIfTrue="1" operator="lessThan">
      <formula>0.5</formula>
    </cfRule>
  </conditionalFormatting>
  <conditionalFormatting sqref="AX54">
    <cfRule type="cellIs" dxfId="28913" priority="96113" stopIfTrue="1" operator="greaterThanOrEqual">
      <formula>0.5</formula>
    </cfRule>
  </conditionalFormatting>
  <conditionalFormatting sqref="AX55">
    <cfRule type="cellIs" dxfId="28912" priority="96114" stopIfTrue="1" operator="equal">
      <formula>-1</formula>
    </cfRule>
  </conditionalFormatting>
  <conditionalFormatting sqref="AX55">
    <cfRule type="cellIs" dxfId="28911" priority="96115" stopIfTrue="1" operator="lessThan">
      <formula>0.5</formula>
    </cfRule>
  </conditionalFormatting>
  <conditionalFormatting sqref="AX55">
    <cfRule type="cellIs" dxfId="28910" priority="96116" stopIfTrue="1" operator="greaterThanOrEqual">
      <formula>0.5</formula>
    </cfRule>
  </conditionalFormatting>
  <conditionalFormatting sqref="AX56">
    <cfRule type="cellIs" dxfId="28909" priority="96117" stopIfTrue="1" operator="equal">
      <formula>-1</formula>
    </cfRule>
  </conditionalFormatting>
  <conditionalFormatting sqref="AX56">
    <cfRule type="cellIs" dxfId="28908" priority="96118" stopIfTrue="1" operator="lessThan">
      <formula>0.5</formula>
    </cfRule>
  </conditionalFormatting>
  <conditionalFormatting sqref="AX56">
    <cfRule type="cellIs" dxfId="28907" priority="96119" stopIfTrue="1" operator="greaterThanOrEqual">
      <formula>0.5</formula>
    </cfRule>
  </conditionalFormatting>
  <conditionalFormatting sqref="AX57">
    <cfRule type="cellIs" dxfId="28906" priority="96120" stopIfTrue="1" operator="equal">
      <formula>-1</formula>
    </cfRule>
  </conditionalFormatting>
  <conditionalFormatting sqref="AX57">
    <cfRule type="cellIs" dxfId="28905" priority="96121" stopIfTrue="1" operator="lessThan">
      <formula>0.5</formula>
    </cfRule>
  </conditionalFormatting>
  <conditionalFormatting sqref="AX57">
    <cfRule type="cellIs" dxfId="28904" priority="96122" stopIfTrue="1" operator="greaterThanOrEqual">
      <formula>0.5</formula>
    </cfRule>
  </conditionalFormatting>
  <conditionalFormatting sqref="AX58">
    <cfRule type="cellIs" dxfId="28903" priority="96123" stopIfTrue="1" operator="equal">
      <formula>-1</formula>
    </cfRule>
  </conditionalFormatting>
  <conditionalFormatting sqref="AX58">
    <cfRule type="cellIs" dxfId="28902" priority="96124" stopIfTrue="1" operator="lessThan">
      <formula>0.5</formula>
    </cfRule>
  </conditionalFormatting>
  <conditionalFormatting sqref="AX58">
    <cfRule type="cellIs" dxfId="28901" priority="96125" stopIfTrue="1" operator="greaterThanOrEqual">
      <formula>0.5</formula>
    </cfRule>
  </conditionalFormatting>
  <conditionalFormatting sqref="AZ39">
    <cfRule type="cellIs" dxfId="28900" priority="96126" stopIfTrue="1" operator="equal">
      <formula>-1</formula>
    </cfRule>
  </conditionalFormatting>
  <conditionalFormatting sqref="AZ39">
    <cfRule type="cellIs" dxfId="28899" priority="96127" stopIfTrue="1" operator="lessThan">
      <formula>0.5</formula>
    </cfRule>
  </conditionalFormatting>
  <conditionalFormatting sqref="AZ39">
    <cfRule type="cellIs" dxfId="28898" priority="96128" stopIfTrue="1" operator="greaterThanOrEqual">
      <formula>0.5</formula>
    </cfRule>
  </conditionalFormatting>
  <conditionalFormatting sqref="AZ40">
    <cfRule type="cellIs" dxfId="28897" priority="96129" stopIfTrue="1" operator="equal">
      <formula>-1</formula>
    </cfRule>
  </conditionalFormatting>
  <conditionalFormatting sqref="AZ40">
    <cfRule type="cellIs" dxfId="28896" priority="96130" stopIfTrue="1" operator="lessThan">
      <formula>0.5</formula>
    </cfRule>
  </conditionalFormatting>
  <conditionalFormatting sqref="AZ40">
    <cfRule type="cellIs" dxfId="28895" priority="96131" stopIfTrue="1" operator="greaterThanOrEqual">
      <formula>0.5</formula>
    </cfRule>
  </conditionalFormatting>
  <conditionalFormatting sqref="AZ41">
    <cfRule type="cellIs" dxfId="28894" priority="96132" stopIfTrue="1" operator="equal">
      <formula>-1</formula>
    </cfRule>
  </conditionalFormatting>
  <conditionalFormatting sqref="AZ41">
    <cfRule type="cellIs" dxfId="28893" priority="96133" stopIfTrue="1" operator="lessThan">
      <formula>0.5</formula>
    </cfRule>
  </conditionalFormatting>
  <conditionalFormatting sqref="AZ41">
    <cfRule type="cellIs" dxfId="28892" priority="96134" stopIfTrue="1" operator="greaterThanOrEqual">
      <formula>0.5</formula>
    </cfRule>
  </conditionalFormatting>
  <conditionalFormatting sqref="AZ42">
    <cfRule type="cellIs" dxfId="28891" priority="96135" stopIfTrue="1" operator="equal">
      <formula>-1</formula>
    </cfRule>
  </conditionalFormatting>
  <conditionalFormatting sqref="AZ42">
    <cfRule type="cellIs" dxfId="28890" priority="96136" stopIfTrue="1" operator="lessThan">
      <formula>0.5</formula>
    </cfRule>
  </conditionalFormatting>
  <conditionalFormatting sqref="AZ42">
    <cfRule type="cellIs" dxfId="28889" priority="96137" stopIfTrue="1" operator="greaterThanOrEqual">
      <formula>0.5</formula>
    </cfRule>
  </conditionalFormatting>
  <conditionalFormatting sqref="AZ43">
    <cfRule type="cellIs" dxfId="28888" priority="96138" stopIfTrue="1" operator="equal">
      <formula>-1</formula>
    </cfRule>
  </conditionalFormatting>
  <conditionalFormatting sqref="AZ43">
    <cfRule type="cellIs" dxfId="28887" priority="96139" stopIfTrue="1" operator="lessThan">
      <formula>0.5</formula>
    </cfRule>
  </conditionalFormatting>
  <conditionalFormatting sqref="AZ43">
    <cfRule type="cellIs" dxfId="28886" priority="96140" stopIfTrue="1" operator="greaterThanOrEqual">
      <formula>0.5</formula>
    </cfRule>
  </conditionalFormatting>
  <conditionalFormatting sqref="AZ44">
    <cfRule type="cellIs" dxfId="28885" priority="96141" stopIfTrue="1" operator="equal">
      <formula>-1</formula>
    </cfRule>
  </conditionalFormatting>
  <conditionalFormatting sqref="AZ44">
    <cfRule type="cellIs" dxfId="28884" priority="96142" stopIfTrue="1" operator="lessThan">
      <formula>0.5</formula>
    </cfRule>
  </conditionalFormatting>
  <conditionalFormatting sqref="AZ44">
    <cfRule type="cellIs" dxfId="28883" priority="96143" stopIfTrue="1" operator="greaterThanOrEqual">
      <formula>0.5</formula>
    </cfRule>
  </conditionalFormatting>
  <conditionalFormatting sqref="AZ45">
    <cfRule type="cellIs" dxfId="28882" priority="96144" stopIfTrue="1" operator="equal">
      <formula>-1</formula>
    </cfRule>
  </conditionalFormatting>
  <conditionalFormatting sqref="AZ45">
    <cfRule type="cellIs" dxfId="28881" priority="96145" stopIfTrue="1" operator="lessThan">
      <formula>0.5</formula>
    </cfRule>
  </conditionalFormatting>
  <conditionalFormatting sqref="AZ45">
    <cfRule type="cellIs" dxfId="28880" priority="96146" stopIfTrue="1" operator="greaterThanOrEqual">
      <formula>0.5</formula>
    </cfRule>
  </conditionalFormatting>
  <conditionalFormatting sqref="AZ46">
    <cfRule type="cellIs" dxfId="28879" priority="96147" stopIfTrue="1" operator="equal">
      <formula>-1</formula>
    </cfRule>
  </conditionalFormatting>
  <conditionalFormatting sqref="AZ46">
    <cfRule type="cellIs" dxfId="28878" priority="96148" stopIfTrue="1" operator="lessThan">
      <formula>0.5</formula>
    </cfRule>
  </conditionalFormatting>
  <conditionalFormatting sqref="AZ46">
    <cfRule type="cellIs" dxfId="28877" priority="96149" stopIfTrue="1" operator="greaterThanOrEqual">
      <formula>0.5</formula>
    </cfRule>
  </conditionalFormatting>
  <conditionalFormatting sqref="AZ47">
    <cfRule type="cellIs" dxfId="28876" priority="96150" stopIfTrue="1" operator="equal">
      <formula>-1</formula>
    </cfRule>
  </conditionalFormatting>
  <conditionalFormatting sqref="AZ47">
    <cfRule type="cellIs" dxfId="28875" priority="96151" stopIfTrue="1" operator="lessThan">
      <formula>0.5</formula>
    </cfRule>
  </conditionalFormatting>
  <conditionalFormatting sqref="AZ47">
    <cfRule type="cellIs" dxfId="28874" priority="96152" stopIfTrue="1" operator="greaterThanOrEqual">
      <formula>0.5</formula>
    </cfRule>
  </conditionalFormatting>
  <conditionalFormatting sqref="AZ48">
    <cfRule type="cellIs" dxfId="28873" priority="96153" stopIfTrue="1" operator="equal">
      <formula>-1</formula>
    </cfRule>
  </conditionalFormatting>
  <conditionalFormatting sqref="AZ48">
    <cfRule type="cellIs" dxfId="28872" priority="96154" stopIfTrue="1" operator="lessThan">
      <formula>0.5</formula>
    </cfRule>
  </conditionalFormatting>
  <conditionalFormatting sqref="AZ48">
    <cfRule type="cellIs" dxfId="28871" priority="96155" stopIfTrue="1" operator="greaterThanOrEqual">
      <formula>0.5</formula>
    </cfRule>
  </conditionalFormatting>
  <conditionalFormatting sqref="AZ49">
    <cfRule type="cellIs" dxfId="28870" priority="96156" stopIfTrue="1" operator="equal">
      <formula>-1</formula>
    </cfRule>
  </conditionalFormatting>
  <conditionalFormatting sqref="AZ49">
    <cfRule type="cellIs" dxfId="28869" priority="96157" stopIfTrue="1" operator="lessThan">
      <formula>0.5</formula>
    </cfRule>
  </conditionalFormatting>
  <conditionalFormatting sqref="AZ49">
    <cfRule type="cellIs" dxfId="28868" priority="96158" stopIfTrue="1" operator="greaterThanOrEqual">
      <formula>0.5</formula>
    </cfRule>
  </conditionalFormatting>
  <conditionalFormatting sqref="AZ50">
    <cfRule type="cellIs" dxfId="28867" priority="96159" stopIfTrue="1" operator="equal">
      <formula>-1</formula>
    </cfRule>
  </conditionalFormatting>
  <conditionalFormatting sqref="AZ50">
    <cfRule type="cellIs" dxfId="28866" priority="96160" stopIfTrue="1" operator="lessThan">
      <formula>0.5</formula>
    </cfRule>
  </conditionalFormatting>
  <conditionalFormatting sqref="AZ50">
    <cfRule type="cellIs" dxfId="28865" priority="96161" stopIfTrue="1" operator="greaterThanOrEqual">
      <formula>0.5</formula>
    </cfRule>
  </conditionalFormatting>
  <conditionalFormatting sqref="AZ51">
    <cfRule type="cellIs" dxfId="28864" priority="96162" stopIfTrue="1" operator="equal">
      <formula>-1</formula>
    </cfRule>
  </conditionalFormatting>
  <conditionalFormatting sqref="AZ51">
    <cfRule type="cellIs" dxfId="28863" priority="96163" stopIfTrue="1" operator="lessThan">
      <formula>0.5</formula>
    </cfRule>
  </conditionalFormatting>
  <conditionalFormatting sqref="AZ51">
    <cfRule type="cellIs" dxfId="28862" priority="96164" stopIfTrue="1" operator="greaterThanOrEqual">
      <formula>0.5</formula>
    </cfRule>
  </conditionalFormatting>
  <conditionalFormatting sqref="AZ52">
    <cfRule type="cellIs" dxfId="28861" priority="96165" stopIfTrue="1" operator="equal">
      <formula>-1</formula>
    </cfRule>
  </conditionalFormatting>
  <conditionalFormatting sqref="AZ52">
    <cfRule type="cellIs" dxfId="28860" priority="96166" stopIfTrue="1" operator="lessThan">
      <formula>0.5</formula>
    </cfRule>
  </conditionalFormatting>
  <conditionalFormatting sqref="AZ52">
    <cfRule type="cellIs" dxfId="28859" priority="96167" stopIfTrue="1" operator="greaterThanOrEqual">
      <formula>0.5</formula>
    </cfRule>
  </conditionalFormatting>
  <conditionalFormatting sqref="AZ53">
    <cfRule type="cellIs" dxfId="28858" priority="96168" stopIfTrue="1" operator="equal">
      <formula>-1</formula>
    </cfRule>
  </conditionalFormatting>
  <conditionalFormatting sqref="AZ53">
    <cfRule type="cellIs" dxfId="28857" priority="96169" stopIfTrue="1" operator="lessThan">
      <formula>0.5</formula>
    </cfRule>
  </conditionalFormatting>
  <conditionalFormatting sqref="AZ53">
    <cfRule type="cellIs" dxfId="28856" priority="96170" stopIfTrue="1" operator="greaterThanOrEqual">
      <formula>0.5</formula>
    </cfRule>
  </conditionalFormatting>
  <conditionalFormatting sqref="AZ54">
    <cfRule type="cellIs" dxfId="28855" priority="96171" stopIfTrue="1" operator="equal">
      <formula>-1</formula>
    </cfRule>
  </conditionalFormatting>
  <conditionalFormatting sqref="AZ54">
    <cfRule type="cellIs" dxfId="28854" priority="96172" stopIfTrue="1" operator="lessThan">
      <formula>0.5</formula>
    </cfRule>
  </conditionalFormatting>
  <conditionalFormatting sqref="AZ54">
    <cfRule type="cellIs" dxfId="28853" priority="96173" stopIfTrue="1" operator="greaterThanOrEqual">
      <formula>0.5</formula>
    </cfRule>
  </conditionalFormatting>
  <conditionalFormatting sqref="AZ55">
    <cfRule type="cellIs" dxfId="28852" priority="96174" stopIfTrue="1" operator="equal">
      <formula>-1</formula>
    </cfRule>
  </conditionalFormatting>
  <conditionalFormatting sqref="AZ55">
    <cfRule type="cellIs" dxfId="28851" priority="96175" stopIfTrue="1" operator="lessThan">
      <formula>0.5</formula>
    </cfRule>
  </conditionalFormatting>
  <conditionalFormatting sqref="AZ55">
    <cfRule type="cellIs" dxfId="28850" priority="96176" stopIfTrue="1" operator="greaterThanOrEqual">
      <formula>0.5</formula>
    </cfRule>
  </conditionalFormatting>
  <conditionalFormatting sqref="AZ56">
    <cfRule type="cellIs" dxfId="28849" priority="96177" stopIfTrue="1" operator="equal">
      <formula>-1</formula>
    </cfRule>
  </conditionalFormatting>
  <conditionalFormatting sqref="AZ56">
    <cfRule type="cellIs" dxfId="28848" priority="96178" stopIfTrue="1" operator="lessThan">
      <formula>0.5</formula>
    </cfRule>
  </conditionalFormatting>
  <conditionalFormatting sqref="AZ56">
    <cfRule type="cellIs" dxfId="28847" priority="96179" stopIfTrue="1" operator="greaterThanOrEqual">
      <formula>0.5</formula>
    </cfRule>
  </conditionalFormatting>
  <conditionalFormatting sqref="AZ57">
    <cfRule type="cellIs" dxfId="28846" priority="96180" stopIfTrue="1" operator="equal">
      <formula>-1</formula>
    </cfRule>
  </conditionalFormatting>
  <conditionalFormatting sqref="AZ57">
    <cfRule type="cellIs" dxfId="28845" priority="96181" stopIfTrue="1" operator="lessThan">
      <formula>0.5</formula>
    </cfRule>
  </conditionalFormatting>
  <conditionalFormatting sqref="AZ57">
    <cfRule type="cellIs" dxfId="28844" priority="96182" stopIfTrue="1" operator="greaterThanOrEqual">
      <formula>0.5</formula>
    </cfRule>
  </conditionalFormatting>
  <conditionalFormatting sqref="AZ58">
    <cfRule type="cellIs" dxfId="28843" priority="96183" stopIfTrue="1" operator="equal">
      <formula>-1</formula>
    </cfRule>
  </conditionalFormatting>
  <conditionalFormatting sqref="AZ58">
    <cfRule type="cellIs" dxfId="28842" priority="96184" stopIfTrue="1" operator="lessThan">
      <formula>0.5</formula>
    </cfRule>
  </conditionalFormatting>
  <conditionalFormatting sqref="AZ58">
    <cfRule type="cellIs" dxfId="28841" priority="96185" stopIfTrue="1" operator="greaterThanOrEqual">
      <formula>0.5</formula>
    </cfRule>
  </conditionalFormatting>
  <conditionalFormatting sqref="BB39">
    <cfRule type="cellIs" dxfId="28840" priority="96186" stopIfTrue="1" operator="equal">
      <formula>-1</formula>
    </cfRule>
  </conditionalFormatting>
  <conditionalFormatting sqref="BB39">
    <cfRule type="cellIs" dxfId="28839" priority="96187" stopIfTrue="1" operator="lessThan">
      <formula>0.5</formula>
    </cfRule>
  </conditionalFormatting>
  <conditionalFormatting sqref="BB39">
    <cfRule type="cellIs" dxfId="28838" priority="96188" stopIfTrue="1" operator="greaterThanOrEqual">
      <formula>0.5</formula>
    </cfRule>
  </conditionalFormatting>
  <conditionalFormatting sqref="BB40">
    <cfRule type="cellIs" dxfId="28837" priority="96189" stopIfTrue="1" operator="equal">
      <formula>-1</formula>
    </cfRule>
  </conditionalFormatting>
  <conditionalFormatting sqref="BB40">
    <cfRule type="cellIs" dxfId="28836" priority="96190" stopIfTrue="1" operator="lessThan">
      <formula>0.5</formula>
    </cfRule>
  </conditionalFormatting>
  <conditionalFormatting sqref="BB40">
    <cfRule type="cellIs" dxfId="28835" priority="96191" stopIfTrue="1" operator="greaterThanOrEqual">
      <formula>0.5</formula>
    </cfRule>
  </conditionalFormatting>
  <conditionalFormatting sqref="BB41">
    <cfRule type="cellIs" dxfId="28834" priority="96192" stopIfTrue="1" operator="equal">
      <formula>-1</formula>
    </cfRule>
  </conditionalFormatting>
  <conditionalFormatting sqref="BB41">
    <cfRule type="cellIs" dxfId="28833" priority="96193" stopIfTrue="1" operator="lessThan">
      <formula>0.5</formula>
    </cfRule>
  </conditionalFormatting>
  <conditionalFormatting sqref="BB41">
    <cfRule type="cellIs" dxfId="28832" priority="96194" stopIfTrue="1" operator="greaterThanOrEqual">
      <formula>0.5</formula>
    </cfRule>
  </conditionalFormatting>
  <conditionalFormatting sqref="BB42">
    <cfRule type="cellIs" dxfId="28831" priority="96195" stopIfTrue="1" operator="equal">
      <formula>-1</formula>
    </cfRule>
  </conditionalFormatting>
  <conditionalFormatting sqref="BB42">
    <cfRule type="cellIs" dxfId="28830" priority="96196" stopIfTrue="1" operator="lessThan">
      <formula>0.5</formula>
    </cfRule>
  </conditionalFormatting>
  <conditionalFormatting sqref="BB42">
    <cfRule type="cellIs" dxfId="28829" priority="96197" stopIfTrue="1" operator="greaterThanOrEqual">
      <formula>0.5</formula>
    </cfRule>
  </conditionalFormatting>
  <conditionalFormatting sqref="BB43">
    <cfRule type="cellIs" dxfId="28828" priority="96198" stopIfTrue="1" operator="equal">
      <formula>-1</formula>
    </cfRule>
  </conditionalFormatting>
  <conditionalFormatting sqref="BB43">
    <cfRule type="cellIs" dxfId="28827" priority="96199" stopIfTrue="1" operator="lessThan">
      <formula>0.5</formula>
    </cfRule>
  </conditionalFormatting>
  <conditionalFormatting sqref="BB43">
    <cfRule type="cellIs" dxfId="28826" priority="96200" stopIfTrue="1" operator="greaterThanOrEqual">
      <formula>0.5</formula>
    </cfRule>
  </conditionalFormatting>
  <conditionalFormatting sqref="BB44">
    <cfRule type="cellIs" dxfId="28825" priority="96201" stopIfTrue="1" operator="equal">
      <formula>-1</formula>
    </cfRule>
  </conditionalFormatting>
  <conditionalFormatting sqref="BB44">
    <cfRule type="cellIs" dxfId="28824" priority="96202" stopIfTrue="1" operator="lessThan">
      <formula>0.5</formula>
    </cfRule>
  </conditionalFormatting>
  <conditionalFormatting sqref="BB44">
    <cfRule type="cellIs" dxfId="28823" priority="96203" stopIfTrue="1" operator="greaterThanOrEqual">
      <formula>0.5</formula>
    </cfRule>
  </conditionalFormatting>
  <conditionalFormatting sqref="BB45">
    <cfRule type="cellIs" dxfId="28822" priority="96204" stopIfTrue="1" operator="equal">
      <formula>-1</formula>
    </cfRule>
  </conditionalFormatting>
  <conditionalFormatting sqref="BB45">
    <cfRule type="cellIs" dxfId="28821" priority="96205" stopIfTrue="1" operator="lessThan">
      <formula>0.5</formula>
    </cfRule>
  </conditionalFormatting>
  <conditionalFormatting sqref="BB45">
    <cfRule type="cellIs" dxfId="28820" priority="96206" stopIfTrue="1" operator="greaterThanOrEqual">
      <formula>0.5</formula>
    </cfRule>
  </conditionalFormatting>
  <conditionalFormatting sqref="BB46">
    <cfRule type="cellIs" dxfId="28819" priority="96207" stopIfTrue="1" operator="equal">
      <formula>-1</formula>
    </cfRule>
  </conditionalFormatting>
  <conditionalFormatting sqref="BB46">
    <cfRule type="cellIs" dxfId="28818" priority="96208" stopIfTrue="1" operator="lessThan">
      <formula>0.5</formula>
    </cfRule>
  </conditionalFormatting>
  <conditionalFormatting sqref="BB46">
    <cfRule type="cellIs" dxfId="28817" priority="96209" stopIfTrue="1" operator="greaterThanOrEqual">
      <formula>0.5</formula>
    </cfRule>
  </conditionalFormatting>
  <conditionalFormatting sqref="BB47">
    <cfRule type="cellIs" dxfId="28816" priority="96210" stopIfTrue="1" operator="equal">
      <formula>-1</formula>
    </cfRule>
  </conditionalFormatting>
  <conditionalFormatting sqref="BB47">
    <cfRule type="cellIs" dxfId="28815" priority="96211" stopIfTrue="1" operator="lessThan">
      <formula>0.5</formula>
    </cfRule>
  </conditionalFormatting>
  <conditionalFormatting sqref="BB47">
    <cfRule type="cellIs" dxfId="28814" priority="96212" stopIfTrue="1" operator="greaterThanOrEqual">
      <formula>0.5</formula>
    </cfRule>
  </conditionalFormatting>
  <conditionalFormatting sqref="BB48">
    <cfRule type="cellIs" dxfId="28813" priority="96213" stopIfTrue="1" operator="equal">
      <formula>-1</formula>
    </cfRule>
  </conditionalFormatting>
  <conditionalFormatting sqref="BB48">
    <cfRule type="cellIs" dxfId="28812" priority="96214" stopIfTrue="1" operator="lessThan">
      <formula>0.5</formula>
    </cfRule>
  </conditionalFormatting>
  <conditionalFormatting sqref="BB48">
    <cfRule type="cellIs" dxfId="28811" priority="96215" stopIfTrue="1" operator="greaterThanOrEqual">
      <formula>0.5</formula>
    </cfRule>
  </conditionalFormatting>
  <conditionalFormatting sqref="BB49">
    <cfRule type="cellIs" dxfId="28810" priority="96216" stopIfTrue="1" operator="equal">
      <formula>-1</formula>
    </cfRule>
  </conditionalFormatting>
  <conditionalFormatting sqref="BB49">
    <cfRule type="cellIs" dxfId="28809" priority="96217" stopIfTrue="1" operator="lessThan">
      <formula>0.5</formula>
    </cfRule>
  </conditionalFormatting>
  <conditionalFormatting sqref="BB49">
    <cfRule type="cellIs" dxfId="28808" priority="96218" stopIfTrue="1" operator="greaterThanOrEqual">
      <formula>0.5</formula>
    </cfRule>
  </conditionalFormatting>
  <conditionalFormatting sqref="BB50">
    <cfRule type="cellIs" dxfId="28807" priority="96219" stopIfTrue="1" operator="equal">
      <formula>-1</formula>
    </cfRule>
  </conditionalFormatting>
  <conditionalFormatting sqref="BB50">
    <cfRule type="cellIs" dxfId="28806" priority="96220" stopIfTrue="1" operator="lessThan">
      <formula>0.5</formula>
    </cfRule>
  </conditionalFormatting>
  <conditionalFormatting sqref="BB50">
    <cfRule type="cellIs" dxfId="28805" priority="96221" stopIfTrue="1" operator="greaterThanOrEqual">
      <formula>0.5</formula>
    </cfRule>
  </conditionalFormatting>
  <conditionalFormatting sqref="BB51">
    <cfRule type="cellIs" dxfId="28804" priority="96222" stopIfTrue="1" operator="equal">
      <formula>-1</formula>
    </cfRule>
  </conditionalFormatting>
  <conditionalFormatting sqref="BB51">
    <cfRule type="cellIs" dxfId="28803" priority="96223" stopIfTrue="1" operator="lessThan">
      <formula>0.5</formula>
    </cfRule>
  </conditionalFormatting>
  <conditionalFormatting sqref="BB51">
    <cfRule type="cellIs" dxfId="28802" priority="96224" stopIfTrue="1" operator="greaterThanOrEqual">
      <formula>0.5</formula>
    </cfRule>
  </conditionalFormatting>
  <conditionalFormatting sqref="BB52">
    <cfRule type="cellIs" dxfId="28801" priority="96225" stopIfTrue="1" operator="equal">
      <formula>-1</formula>
    </cfRule>
  </conditionalFormatting>
  <conditionalFormatting sqref="BB52">
    <cfRule type="cellIs" dxfId="28800" priority="96226" stopIfTrue="1" operator="lessThan">
      <formula>0.5</formula>
    </cfRule>
  </conditionalFormatting>
  <conditionalFormatting sqref="BB52">
    <cfRule type="cellIs" dxfId="28799" priority="96227" stopIfTrue="1" operator="greaterThanOrEqual">
      <formula>0.5</formula>
    </cfRule>
  </conditionalFormatting>
  <conditionalFormatting sqref="BB53">
    <cfRule type="cellIs" dxfId="28798" priority="96228" stopIfTrue="1" operator="equal">
      <formula>-1</formula>
    </cfRule>
  </conditionalFormatting>
  <conditionalFormatting sqref="BB53">
    <cfRule type="cellIs" dxfId="28797" priority="96229" stopIfTrue="1" operator="lessThan">
      <formula>0.5</formula>
    </cfRule>
  </conditionalFormatting>
  <conditionalFormatting sqref="BB53">
    <cfRule type="cellIs" dxfId="28796" priority="96230" stopIfTrue="1" operator="greaterThanOrEqual">
      <formula>0.5</formula>
    </cfRule>
  </conditionalFormatting>
  <conditionalFormatting sqref="BB54">
    <cfRule type="cellIs" dxfId="28795" priority="96231" stopIfTrue="1" operator="equal">
      <formula>-1</formula>
    </cfRule>
  </conditionalFormatting>
  <conditionalFormatting sqref="BB54">
    <cfRule type="cellIs" dxfId="28794" priority="96232" stopIfTrue="1" operator="lessThan">
      <formula>0.5</formula>
    </cfRule>
  </conditionalFormatting>
  <conditionalFormatting sqref="BB54">
    <cfRule type="cellIs" dxfId="28793" priority="96233" stopIfTrue="1" operator="greaterThanOrEqual">
      <formula>0.5</formula>
    </cfRule>
  </conditionalFormatting>
  <conditionalFormatting sqref="BB55">
    <cfRule type="cellIs" dxfId="28792" priority="96234" stopIfTrue="1" operator="equal">
      <formula>-1</formula>
    </cfRule>
  </conditionalFormatting>
  <conditionalFormatting sqref="BB55">
    <cfRule type="cellIs" dxfId="28791" priority="96235" stopIfTrue="1" operator="lessThan">
      <formula>0.5</formula>
    </cfRule>
  </conditionalFormatting>
  <conditionalFormatting sqref="BB55">
    <cfRule type="cellIs" dxfId="28790" priority="96236" stopIfTrue="1" operator="greaterThanOrEqual">
      <formula>0.5</formula>
    </cfRule>
  </conditionalFormatting>
  <conditionalFormatting sqref="BB56">
    <cfRule type="cellIs" dxfId="28789" priority="96237" stopIfTrue="1" operator="equal">
      <formula>-1</formula>
    </cfRule>
  </conditionalFormatting>
  <conditionalFormatting sqref="BB56">
    <cfRule type="cellIs" dxfId="28788" priority="96238" stopIfTrue="1" operator="lessThan">
      <formula>0.5</formula>
    </cfRule>
  </conditionalFormatting>
  <conditionalFormatting sqref="BB56">
    <cfRule type="cellIs" dxfId="28787" priority="96239" stopIfTrue="1" operator="greaterThanOrEqual">
      <formula>0.5</formula>
    </cfRule>
  </conditionalFormatting>
  <conditionalFormatting sqref="BB57">
    <cfRule type="cellIs" dxfId="28786" priority="96240" stopIfTrue="1" operator="equal">
      <formula>-1</formula>
    </cfRule>
  </conditionalFormatting>
  <conditionalFormatting sqref="BB57">
    <cfRule type="cellIs" dxfId="28785" priority="96241" stopIfTrue="1" operator="lessThan">
      <formula>0.5</formula>
    </cfRule>
  </conditionalFormatting>
  <conditionalFormatting sqref="BB57">
    <cfRule type="cellIs" dxfId="28784" priority="96242" stopIfTrue="1" operator="greaterThanOrEqual">
      <formula>0.5</formula>
    </cfRule>
  </conditionalFormatting>
  <conditionalFormatting sqref="BB58">
    <cfRule type="cellIs" dxfId="28783" priority="96243" stopIfTrue="1" operator="equal">
      <formula>-1</formula>
    </cfRule>
  </conditionalFormatting>
  <conditionalFormatting sqref="BB58">
    <cfRule type="cellIs" dxfId="28782" priority="96244" stopIfTrue="1" operator="lessThan">
      <formula>0.5</formula>
    </cfRule>
  </conditionalFormatting>
  <conditionalFormatting sqref="BB58">
    <cfRule type="cellIs" dxfId="28781" priority="96245" stopIfTrue="1" operator="greaterThanOrEqual">
      <formula>0.5</formula>
    </cfRule>
  </conditionalFormatting>
  <conditionalFormatting sqref="BD39">
    <cfRule type="cellIs" dxfId="28780" priority="96246" stopIfTrue="1" operator="equal">
      <formula>-1</formula>
    </cfRule>
  </conditionalFormatting>
  <conditionalFormatting sqref="BD39">
    <cfRule type="cellIs" dxfId="28779" priority="96247" stopIfTrue="1" operator="lessThan">
      <formula>0.5</formula>
    </cfRule>
  </conditionalFormatting>
  <conditionalFormatting sqref="BD39">
    <cfRule type="cellIs" dxfId="28778" priority="96248" stopIfTrue="1" operator="greaterThanOrEqual">
      <formula>0.5</formula>
    </cfRule>
  </conditionalFormatting>
  <conditionalFormatting sqref="BD40">
    <cfRule type="cellIs" dxfId="28777" priority="96249" stopIfTrue="1" operator="equal">
      <formula>-1</formula>
    </cfRule>
  </conditionalFormatting>
  <conditionalFormatting sqref="BD40">
    <cfRule type="cellIs" dxfId="28776" priority="96250" stopIfTrue="1" operator="lessThan">
      <formula>0.5</formula>
    </cfRule>
  </conditionalFormatting>
  <conditionalFormatting sqref="BD40">
    <cfRule type="cellIs" dxfId="28775" priority="96251" stopIfTrue="1" operator="greaterThanOrEqual">
      <formula>0.5</formula>
    </cfRule>
  </conditionalFormatting>
  <conditionalFormatting sqref="BD41">
    <cfRule type="cellIs" dxfId="28774" priority="96252" stopIfTrue="1" operator="equal">
      <formula>-1</formula>
    </cfRule>
  </conditionalFormatting>
  <conditionalFormatting sqref="BD41">
    <cfRule type="cellIs" dxfId="28773" priority="96253" stopIfTrue="1" operator="lessThan">
      <formula>0.5</formula>
    </cfRule>
  </conditionalFormatting>
  <conditionalFormatting sqref="BD41">
    <cfRule type="cellIs" dxfId="28772" priority="96254" stopIfTrue="1" operator="greaterThanOrEqual">
      <formula>0.5</formula>
    </cfRule>
  </conditionalFormatting>
  <conditionalFormatting sqref="BD42">
    <cfRule type="cellIs" dxfId="28771" priority="96255" stopIfTrue="1" operator="equal">
      <formula>-1</formula>
    </cfRule>
  </conditionalFormatting>
  <conditionalFormatting sqref="BD42">
    <cfRule type="cellIs" dxfId="28770" priority="96256" stopIfTrue="1" operator="lessThan">
      <formula>0.5</formula>
    </cfRule>
  </conditionalFormatting>
  <conditionalFormatting sqref="BD42">
    <cfRule type="cellIs" dxfId="28769" priority="96257" stopIfTrue="1" operator="greaterThanOrEqual">
      <formula>0.5</formula>
    </cfRule>
  </conditionalFormatting>
  <conditionalFormatting sqref="BD43">
    <cfRule type="cellIs" dxfId="28768" priority="96258" stopIfTrue="1" operator="equal">
      <formula>-1</formula>
    </cfRule>
  </conditionalFormatting>
  <conditionalFormatting sqref="BD43">
    <cfRule type="cellIs" dxfId="28767" priority="96259" stopIfTrue="1" operator="lessThan">
      <formula>0.5</formula>
    </cfRule>
  </conditionalFormatting>
  <conditionalFormatting sqref="BD43">
    <cfRule type="cellIs" dxfId="28766" priority="96260" stopIfTrue="1" operator="greaterThanOrEqual">
      <formula>0.5</formula>
    </cfRule>
  </conditionalFormatting>
  <conditionalFormatting sqref="BD44">
    <cfRule type="cellIs" dxfId="28765" priority="96261" stopIfTrue="1" operator="equal">
      <formula>-1</formula>
    </cfRule>
  </conditionalFormatting>
  <conditionalFormatting sqref="BD44">
    <cfRule type="cellIs" dxfId="28764" priority="96262" stopIfTrue="1" operator="lessThan">
      <formula>0.5</formula>
    </cfRule>
  </conditionalFormatting>
  <conditionalFormatting sqref="BD44">
    <cfRule type="cellIs" dxfId="28763" priority="96263" stopIfTrue="1" operator="greaterThanOrEqual">
      <formula>0.5</formula>
    </cfRule>
  </conditionalFormatting>
  <conditionalFormatting sqref="BD45">
    <cfRule type="cellIs" dxfId="28762" priority="96264" stopIfTrue="1" operator="equal">
      <formula>-1</formula>
    </cfRule>
  </conditionalFormatting>
  <conditionalFormatting sqref="BD45">
    <cfRule type="cellIs" dxfId="28761" priority="96265" stopIfTrue="1" operator="lessThan">
      <formula>0.5</formula>
    </cfRule>
  </conditionalFormatting>
  <conditionalFormatting sqref="BD45">
    <cfRule type="cellIs" dxfId="28760" priority="96266" stopIfTrue="1" operator="greaterThanOrEqual">
      <formula>0.5</formula>
    </cfRule>
  </conditionalFormatting>
  <conditionalFormatting sqref="BD46">
    <cfRule type="cellIs" dxfId="28759" priority="96267" stopIfTrue="1" operator="equal">
      <formula>-1</formula>
    </cfRule>
  </conditionalFormatting>
  <conditionalFormatting sqref="BD46">
    <cfRule type="cellIs" dxfId="28758" priority="96268" stopIfTrue="1" operator="lessThan">
      <formula>0.5</formula>
    </cfRule>
  </conditionalFormatting>
  <conditionalFormatting sqref="BD46">
    <cfRule type="cellIs" dxfId="28757" priority="96269" stopIfTrue="1" operator="greaterThanOrEqual">
      <formula>0.5</formula>
    </cfRule>
  </conditionalFormatting>
  <conditionalFormatting sqref="BD47">
    <cfRule type="cellIs" dxfId="28756" priority="96270" stopIfTrue="1" operator="equal">
      <formula>-1</formula>
    </cfRule>
  </conditionalFormatting>
  <conditionalFormatting sqref="BD47">
    <cfRule type="cellIs" dxfId="28755" priority="96271" stopIfTrue="1" operator="lessThan">
      <formula>0.5</formula>
    </cfRule>
  </conditionalFormatting>
  <conditionalFormatting sqref="BD47">
    <cfRule type="cellIs" dxfId="28754" priority="96272" stopIfTrue="1" operator="greaterThanOrEqual">
      <formula>0.5</formula>
    </cfRule>
  </conditionalFormatting>
  <conditionalFormatting sqref="BD48">
    <cfRule type="cellIs" dxfId="28753" priority="96273" stopIfTrue="1" operator="equal">
      <formula>-1</formula>
    </cfRule>
  </conditionalFormatting>
  <conditionalFormatting sqref="BD48">
    <cfRule type="cellIs" dxfId="28752" priority="96274" stopIfTrue="1" operator="lessThan">
      <formula>0.5</formula>
    </cfRule>
  </conditionalFormatting>
  <conditionalFormatting sqref="BD48">
    <cfRule type="cellIs" dxfId="28751" priority="96275" stopIfTrue="1" operator="greaterThanOrEqual">
      <formula>0.5</formula>
    </cfRule>
  </conditionalFormatting>
  <conditionalFormatting sqref="BD49">
    <cfRule type="cellIs" dxfId="28750" priority="96276" stopIfTrue="1" operator="equal">
      <formula>-1</formula>
    </cfRule>
  </conditionalFormatting>
  <conditionalFormatting sqref="BD49">
    <cfRule type="cellIs" dxfId="28749" priority="96277" stopIfTrue="1" operator="lessThan">
      <formula>0.5</formula>
    </cfRule>
  </conditionalFormatting>
  <conditionalFormatting sqref="BD49">
    <cfRule type="cellIs" dxfId="28748" priority="96278" stopIfTrue="1" operator="greaterThanOrEqual">
      <formula>0.5</formula>
    </cfRule>
  </conditionalFormatting>
  <conditionalFormatting sqref="BD50">
    <cfRule type="cellIs" dxfId="28747" priority="96279" stopIfTrue="1" operator="equal">
      <formula>-1</formula>
    </cfRule>
  </conditionalFormatting>
  <conditionalFormatting sqref="BD50">
    <cfRule type="cellIs" dxfId="28746" priority="96280" stopIfTrue="1" operator="lessThan">
      <formula>0.5</formula>
    </cfRule>
  </conditionalFormatting>
  <conditionalFormatting sqref="BD50">
    <cfRule type="cellIs" dxfId="28745" priority="96281" stopIfTrue="1" operator="greaterThanOrEqual">
      <formula>0.5</formula>
    </cfRule>
  </conditionalFormatting>
  <conditionalFormatting sqref="BD51">
    <cfRule type="cellIs" dxfId="28744" priority="96282" stopIfTrue="1" operator="equal">
      <formula>-1</formula>
    </cfRule>
  </conditionalFormatting>
  <conditionalFormatting sqref="BD51">
    <cfRule type="cellIs" dxfId="28743" priority="96283" stopIfTrue="1" operator="lessThan">
      <formula>0.5</formula>
    </cfRule>
  </conditionalFormatting>
  <conditionalFormatting sqref="BD51">
    <cfRule type="cellIs" dxfId="28742" priority="96284" stopIfTrue="1" operator="greaterThanOrEqual">
      <formula>0.5</formula>
    </cfRule>
  </conditionalFormatting>
  <conditionalFormatting sqref="BD52">
    <cfRule type="cellIs" dxfId="28741" priority="96285" stopIfTrue="1" operator="equal">
      <formula>-1</formula>
    </cfRule>
  </conditionalFormatting>
  <conditionalFormatting sqref="BD52">
    <cfRule type="cellIs" dxfId="28740" priority="96286" stopIfTrue="1" operator="lessThan">
      <formula>0.5</formula>
    </cfRule>
  </conditionalFormatting>
  <conditionalFormatting sqref="BD52">
    <cfRule type="cellIs" dxfId="28739" priority="96287" stopIfTrue="1" operator="greaterThanOrEqual">
      <formula>0.5</formula>
    </cfRule>
  </conditionalFormatting>
  <conditionalFormatting sqref="BD53">
    <cfRule type="cellIs" dxfId="28738" priority="96288" stopIfTrue="1" operator="equal">
      <formula>-1</formula>
    </cfRule>
  </conditionalFormatting>
  <conditionalFormatting sqref="BD53">
    <cfRule type="cellIs" dxfId="28737" priority="96289" stopIfTrue="1" operator="lessThan">
      <formula>0.5</formula>
    </cfRule>
  </conditionalFormatting>
  <conditionalFormatting sqref="BD53">
    <cfRule type="cellIs" dxfId="28736" priority="96290" stopIfTrue="1" operator="greaterThanOrEqual">
      <formula>0.5</formula>
    </cfRule>
  </conditionalFormatting>
  <conditionalFormatting sqref="BD54">
    <cfRule type="cellIs" dxfId="28735" priority="96291" stopIfTrue="1" operator="equal">
      <formula>-1</formula>
    </cfRule>
  </conditionalFormatting>
  <conditionalFormatting sqref="BD54">
    <cfRule type="cellIs" dxfId="28734" priority="96292" stopIfTrue="1" operator="lessThan">
      <formula>0.5</formula>
    </cfRule>
  </conditionalFormatting>
  <conditionalFormatting sqref="BD54">
    <cfRule type="cellIs" dxfId="28733" priority="96293" stopIfTrue="1" operator="greaterThanOrEqual">
      <formula>0.5</formula>
    </cfRule>
  </conditionalFormatting>
  <conditionalFormatting sqref="BD55">
    <cfRule type="cellIs" dxfId="28732" priority="96294" stopIfTrue="1" operator="equal">
      <formula>-1</formula>
    </cfRule>
  </conditionalFormatting>
  <conditionalFormatting sqref="BD55">
    <cfRule type="cellIs" dxfId="28731" priority="96295" stopIfTrue="1" operator="lessThan">
      <formula>0.5</formula>
    </cfRule>
  </conditionalFormatting>
  <conditionalFormatting sqref="BD55">
    <cfRule type="cellIs" dxfId="28730" priority="96296" stopIfTrue="1" operator="greaterThanOrEqual">
      <formula>0.5</formula>
    </cfRule>
  </conditionalFormatting>
  <conditionalFormatting sqref="BD56">
    <cfRule type="cellIs" dxfId="28729" priority="96297" stopIfTrue="1" operator="equal">
      <formula>-1</formula>
    </cfRule>
  </conditionalFormatting>
  <conditionalFormatting sqref="BD56">
    <cfRule type="cellIs" dxfId="28728" priority="96298" stopIfTrue="1" operator="lessThan">
      <formula>0.5</formula>
    </cfRule>
  </conditionalFormatting>
  <conditionalFormatting sqref="BD56">
    <cfRule type="cellIs" dxfId="28727" priority="96299" stopIfTrue="1" operator="greaterThanOrEqual">
      <formula>0.5</formula>
    </cfRule>
  </conditionalFormatting>
  <conditionalFormatting sqref="BD57">
    <cfRule type="cellIs" dxfId="28726" priority="96300" stopIfTrue="1" operator="equal">
      <formula>-1</formula>
    </cfRule>
  </conditionalFormatting>
  <conditionalFormatting sqref="BD57">
    <cfRule type="cellIs" dxfId="28725" priority="96301" stopIfTrue="1" operator="lessThan">
      <formula>0.5</formula>
    </cfRule>
  </conditionalFormatting>
  <conditionalFormatting sqref="BD57">
    <cfRule type="cellIs" dxfId="28724" priority="96302" stopIfTrue="1" operator="greaterThanOrEqual">
      <formula>0.5</formula>
    </cfRule>
  </conditionalFormatting>
  <conditionalFormatting sqref="BD58">
    <cfRule type="cellIs" dxfId="28723" priority="96303" stopIfTrue="1" operator="equal">
      <formula>-1</formula>
    </cfRule>
  </conditionalFormatting>
  <conditionalFormatting sqref="BD58">
    <cfRule type="cellIs" dxfId="28722" priority="96304" stopIfTrue="1" operator="lessThan">
      <formula>0.5</formula>
    </cfRule>
  </conditionalFormatting>
  <conditionalFormatting sqref="BD58">
    <cfRule type="cellIs" dxfId="28721" priority="96305" stopIfTrue="1" operator="greaterThanOrEqual">
      <formula>0.5</formula>
    </cfRule>
  </conditionalFormatting>
  <conditionalFormatting sqref="BF39">
    <cfRule type="cellIs" dxfId="28720" priority="96306" stopIfTrue="1" operator="equal">
      <formula>-1</formula>
    </cfRule>
  </conditionalFormatting>
  <conditionalFormatting sqref="BF39">
    <cfRule type="cellIs" dxfId="28719" priority="96307" stopIfTrue="1" operator="lessThan">
      <formula>0.5</formula>
    </cfRule>
  </conditionalFormatting>
  <conditionalFormatting sqref="BF39">
    <cfRule type="cellIs" dxfId="28718" priority="96308" stopIfTrue="1" operator="greaterThanOrEqual">
      <formula>0.5</formula>
    </cfRule>
  </conditionalFormatting>
  <conditionalFormatting sqref="BF40">
    <cfRule type="cellIs" dxfId="28717" priority="96309" stopIfTrue="1" operator="equal">
      <formula>-1</formula>
    </cfRule>
  </conditionalFormatting>
  <conditionalFormatting sqref="BF40">
    <cfRule type="cellIs" dxfId="28716" priority="96310" stopIfTrue="1" operator="lessThan">
      <formula>0.5</formula>
    </cfRule>
  </conditionalFormatting>
  <conditionalFormatting sqref="BF40">
    <cfRule type="cellIs" dxfId="28715" priority="96311" stopIfTrue="1" operator="greaterThanOrEqual">
      <formula>0.5</formula>
    </cfRule>
  </conditionalFormatting>
  <conditionalFormatting sqref="BF41">
    <cfRule type="cellIs" dxfId="28714" priority="96312" stopIfTrue="1" operator="equal">
      <formula>-1</formula>
    </cfRule>
  </conditionalFormatting>
  <conditionalFormatting sqref="BF41">
    <cfRule type="cellIs" dxfId="28713" priority="96313" stopIfTrue="1" operator="lessThan">
      <formula>0.5</formula>
    </cfRule>
  </conditionalFormatting>
  <conditionalFormatting sqref="BF41">
    <cfRule type="cellIs" dxfId="28712" priority="96314" stopIfTrue="1" operator="greaterThanOrEqual">
      <formula>0.5</formula>
    </cfRule>
  </conditionalFormatting>
  <conditionalFormatting sqref="BF42">
    <cfRule type="cellIs" dxfId="28711" priority="96315" stopIfTrue="1" operator="equal">
      <formula>-1</formula>
    </cfRule>
  </conditionalFormatting>
  <conditionalFormatting sqref="BF42">
    <cfRule type="cellIs" dxfId="28710" priority="96316" stopIfTrue="1" operator="lessThan">
      <formula>0.5</formula>
    </cfRule>
  </conditionalFormatting>
  <conditionalFormatting sqref="BF42">
    <cfRule type="cellIs" dxfId="28709" priority="96317" stopIfTrue="1" operator="greaterThanOrEqual">
      <formula>0.5</formula>
    </cfRule>
  </conditionalFormatting>
  <conditionalFormatting sqref="BF43">
    <cfRule type="cellIs" dxfId="28708" priority="96318" stopIfTrue="1" operator="equal">
      <formula>-1</formula>
    </cfRule>
  </conditionalFormatting>
  <conditionalFormatting sqref="BF43">
    <cfRule type="cellIs" dxfId="28707" priority="96319" stopIfTrue="1" operator="lessThan">
      <formula>0.5</formula>
    </cfRule>
  </conditionalFormatting>
  <conditionalFormatting sqref="BF43">
    <cfRule type="cellIs" dxfId="28706" priority="96320" stopIfTrue="1" operator="greaterThanOrEqual">
      <formula>0.5</formula>
    </cfRule>
  </conditionalFormatting>
  <conditionalFormatting sqref="BF44">
    <cfRule type="cellIs" dxfId="28705" priority="96321" stopIfTrue="1" operator="equal">
      <formula>-1</formula>
    </cfRule>
  </conditionalFormatting>
  <conditionalFormatting sqref="BF44">
    <cfRule type="cellIs" dxfId="28704" priority="96322" stopIfTrue="1" operator="lessThan">
      <formula>0.5</formula>
    </cfRule>
  </conditionalFormatting>
  <conditionalFormatting sqref="BF44">
    <cfRule type="cellIs" dxfId="28703" priority="96323" stopIfTrue="1" operator="greaterThanOrEqual">
      <formula>0.5</formula>
    </cfRule>
  </conditionalFormatting>
  <conditionalFormatting sqref="BF45">
    <cfRule type="cellIs" dxfId="28702" priority="96324" stopIfTrue="1" operator="equal">
      <formula>-1</formula>
    </cfRule>
  </conditionalFormatting>
  <conditionalFormatting sqref="BF45">
    <cfRule type="cellIs" dxfId="28701" priority="96325" stopIfTrue="1" operator="lessThan">
      <formula>0.5</formula>
    </cfRule>
  </conditionalFormatting>
  <conditionalFormatting sqref="BF45">
    <cfRule type="cellIs" dxfId="28700" priority="96326" stopIfTrue="1" operator="greaterThanOrEqual">
      <formula>0.5</formula>
    </cfRule>
  </conditionalFormatting>
  <conditionalFormatting sqref="BF46">
    <cfRule type="cellIs" dxfId="28699" priority="96327" stopIfTrue="1" operator="equal">
      <formula>-1</formula>
    </cfRule>
  </conditionalFormatting>
  <conditionalFormatting sqref="BF46">
    <cfRule type="cellIs" dxfId="28698" priority="96328" stopIfTrue="1" operator="lessThan">
      <formula>0.5</formula>
    </cfRule>
  </conditionalFormatting>
  <conditionalFormatting sqref="BF46">
    <cfRule type="cellIs" dxfId="28697" priority="96329" stopIfTrue="1" operator="greaterThanOrEqual">
      <formula>0.5</formula>
    </cfRule>
  </conditionalFormatting>
  <conditionalFormatting sqref="BF47">
    <cfRule type="cellIs" dxfId="28696" priority="96330" stopIfTrue="1" operator="equal">
      <formula>-1</formula>
    </cfRule>
  </conditionalFormatting>
  <conditionalFormatting sqref="BF47">
    <cfRule type="cellIs" dxfId="28695" priority="96331" stopIfTrue="1" operator="lessThan">
      <formula>0.5</formula>
    </cfRule>
  </conditionalFormatting>
  <conditionalFormatting sqref="BF47">
    <cfRule type="cellIs" dxfId="28694" priority="96332" stopIfTrue="1" operator="greaterThanOrEqual">
      <formula>0.5</formula>
    </cfRule>
  </conditionalFormatting>
  <conditionalFormatting sqref="BF48">
    <cfRule type="cellIs" dxfId="28693" priority="96333" stopIfTrue="1" operator="equal">
      <formula>-1</formula>
    </cfRule>
  </conditionalFormatting>
  <conditionalFormatting sqref="BF48">
    <cfRule type="cellIs" dxfId="28692" priority="96334" stopIfTrue="1" operator="lessThan">
      <formula>0.5</formula>
    </cfRule>
  </conditionalFormatting>
  <conditionalFormatting sqref="BF48">
    <cfRule type="cellIs" dxfId="28691" priority="96335" stopIfTrue="1" operator="greaterThanOrEqual">
      <formula>0.5</formula>
    </cfRule>
  </conditionalFormatting>
  <conditionalFormatting sqref="BF49">
    <cfRule type="cellIs" dxfId="28690" priority="96336" stopIfTrue="1" operator="equal">
      <formula>-1</formula>
    </cfRule>
  </conditionalFormatting>
  <conditionalFormatting sqref="BF49">
    <cfRule type="cellIs" dxfId="28689" priority="96337" stopIfTrue="1" operator="lessThan">
      <formula>0.5</formula>
    </cfRule>
  </conditionalFormatting>
  <conditionalFormatting sqref="BF49">
    <cfRule type="cellIs" dxfId="28688" priority="96338" stopIfTrue="1" operator="greaterThanOrEqual">
      <formula>0.5</formula>
    </cfRule>
  </conditionalFormatting>
  <conditionalFormatting sqref="BF50">
    <cfRule type="cellIs" dxfId="28687" priority="96339" stopIfTrue="1" operator="equal">
      <formula>-1</formula>
    </cfRule>
  </conditionalFormatting>
  <conditionalFormatting sqref="BF50">
    <cfRule type="cellIs" dxfId="28686" priority="96340" stopIfTrue="1" operator="lessThan">
      <formula>0.5</formula>
    </cfRule>
  </conditionalFormatting>
  <conditionalFormatting sqref="BF50">
    <cfRule type="cellIs" dxfId="28685" priority="96341" stopIfTrue="1" operator="greaterThanOrEqual">
      <formula>0.5</formula>
    </cfRule>
  </conditionalFormatting>
  <conditionalFormatting sqref="BF51">
    <cfRule type="cellIs" dxfId="28684" priority="96342" stopIfTrue="1" operator="equal">
      <formula>-1</formula>
    </cfRule>
  </conditionalFormatting>
  <conditionalFormatting sqref="BF51">
    <cfRule type="cellIs" dxfId="28683" priority="96343" stopIfTrue="1" operator="lessThan">
      <formula>0.5</formula>
    </cfRule>
  </conditionalFormatting>
  <conditionalFormatting sqref="BF51">
    <cfRule type="cellIs" dxfId="28682" priority="96344" stopIfTrue="1" operator="greaterThanOrEqual">
      <formula>0.5</formula>
    </cfRule>
  </conditionalFormatting>
  <conditionalFormatting sqref="BF52">
    <cfRule type="cellIs" dxfId="28681" priority="96345" stopIfTrue="1" operator="equal">
      <formula>-1</formula>
    </cfRule>
  </conditionalFormatting>
  <conditionalFormatting sqref="BF52">
    <cfRule type="cellIs" dxfId="28680" priority="96346" stopIfTrue="1" operator="lessThan">
      <formula>0.5</formula>
    </cfRule>
  </conditionalFormatting>
  <conditionalFormatting sqref="BF52">
    <cfRule type="cellIs" dxfId="28679" priority="96347" stopIfTrue="1" operator="greaterThanOrEqual">
      <formula>0.5</formula>
    </cfRule>
  </conditionalFormatting>
  <conditionalFormatting sqref="BF53">
    <cfRule type="cellIs" dxfId="28678" priority="96348" stopIfTrue="1" operator="equal">
      <formula>-1</formula>
    </cfRule>
  </conditionalFormatting>
  <conditionalFormatting sqref="BF53">
    <cfRule type="cellIs" dxfId="28677" priority="96349" stopIfTrue="1" operator="lessThan">
      <formula>0.5</formula>
    </cfRule>
  </conditionalFormatting>
  <conditionalFormatting sqref="BF53">
    <cfRule type="cellIs" dxfId="28676" priority="96350" stopIfTrue="1" operator="greaterThanOrEqual">
      <formula>0.5</formula>
    </cfRule>
  </conditionalFormatting>
  <conditionalFormatting sqref="BF54">
    <cfRule type="cellIs" dxfId="28675" priority="96351" stopIfTrue="1" operator="equal">
      <formula>-1</formula>
    </cfRule>
  </conditionalFormatting>
  <conditionalFormatting sqref="BF54">
    <cfRule type="cellIs" dxfId="28674" priority="96352" stopIfTrue="1" operator="lessThan">
      <formula>0.5</formula>
    </cfRule>
  </conditionalFormatting>
  <conditionalFormatting sqref="BF54">
    <cfRule type="cellIs" dxfId="28673" priority="96353" stopIfTrue="1" operator="greaterThanOrEqual">
      <formula>0.5</formula>
    </cfRule>
  </conditionalFormatting>
  <conditionalFormatting sqref="BF55">
    <cfRule type="cellIs" dxfId="28672" priority="96354" stopIfTrue="1" operator="equal">
      <formula>-1</formula>
    </cfRule>
  </conditionalFormatting>
  <conditionalFormatting sqref="BF55">
    <cfRule type="cellIs" dxfId="28671" priority="96355" stopIfTrue="1" operator="lessThan">
      <formula>0.5</formula>
    </cfRule>
  </conditionalFormatting>
  <conditionalFormatting sqref="BF55">
    <cfRule type="cellIs" dxfId="28670" priority="96356" stopIfTrue="1" operator="greaterThanOrEqual">
      <formula>0.5</formula>
    </cfRule>
  </conditionalFormatting>
  <conditionalFormatting sqref="BF56">
    <cfRule type="cellIs" dxfId="28669" priority="96357" stopIfTrue="1" operator="equal">
      <formula>-1</formula>
    </cfRule>
  </conditionalFormatting>
  <conditionalFormatting sqref="BF56">
    <cfRule type="cellIs" dxfId="28668" priority="96358" stopIfTrue="1" operator="lessThan">
      <formula>0.5</formula>
    </cfRule>
  </conditionalFormatting>
  <conditionalFormatting sqref="BF56">
    <cfRule type="cellIs" dxfId="28667" priority="96359" stopIfTrue="1" operator="greaterThanOrEqual">
      <formula>0.5</formula>
    </cfRule>
  </conditionalFormatting>
  <conditionalFormatting sqref="BF57">
    <cfRule type="cellIs" dxfId="28666" priority="96360" stopIfTrue="1" operator="equal">
      <formula>-1</formula>
    </cfRule>
  </conditionalFormatting>
  <conditionalFormatting sqref="BF57">
    <cfRule type="cellIs" dxfId="28665" priority="96361" stopIfTrue="1" operator="lessThan">
      <formula>0.5</formula>
    </cfRule>
  </conditionalFormatting>
  <conditionalFormatting sqref="BF57">
    <cfRule type="cellIs" dxfId="28664" priority="96362" stopIfTrue="1" operator="greaterThanOrEqual">
      <formula>0.5</formula>
    </cfRule>
  </conditionalFormatting>
  <conditionalFormatting sqref="BF58">
    <cfRule type="cellIs" dxfId="28663" priority="96363" stopIfTrue="1" operator="equal">
      <formula>-1</formula>
    </cfRule>
  </conditionalFormatting>
  <conditionalFormatting sqref="BF58">
    <cfRule type="cellIs" dxfId="28662" priority="96364" stopIfTrue="1" operator="lessThan">
      <formula>0.5</formula>
    </cfRule>
  </conditionalFormatting>
  <conditionalFormatting sqref="BF58">
    <cfRule type="cellIs" dxfId="28661" priority="96365" stopIfTrue="1" operator="greaterThanOrEqual">
      <formula>0.5</formula>
    </cfRule>
  </conditionalFormatting>
  <conditionalFormatting sqref="BH39">
    <cfRule type="cellIs" dxfId="28660" priority="96366" stopIfTrue="1" operator="equal">
      <formula>-1</formula>
    </cfRule>
  </conditionalFormatting>
  <conditionalFormatting sqref="BH39">
    <cfRule type="cellIs" dxfId="28659" priority="96367" stopIfTrue="1" operator="lessThan">
      <formula>0.5</formula>
    </cfRule>
  </conditionalFormatting>
  <conditionalFormatting sqref="BH39">
    <cfRule type="cellIs" dxfId="28658" priority="96368" stopIfTrue="1" operator="greaterThanOrEqual">
      <formula>0.5</formula>
    </cfRule>
  </conditionalFormatting>
  <conditionalFormatting sqref="BH40">
    <cfRule type="cellIs" dxfId="28657" priority="96369" stopIfTrue="1" operator="equal">
      <formula>-1</formula>
    </cfRule>
  </conditionalFormatting>
  <conditionalFormatting sqref="BH40">
    <cfRule type="cellIs" dxfId="28656" priority="96370" stopIfTrue="1" operator="lessThan">
      <formula>0.5</formula>
    </cfRule>
  </conditionalFormatting>
  <conditionalFormatting sqref="BH40">
    <cfRule type="cellIs" dxfId="28655" priority="96371" stopIfTrue="1" operator="greaterThanOrEqual">
      <formula>0.5</formula>
    </cfRule>
  </conditionalFormatting>
  <conditionalFormatting sqref="BH41">
    <cfRule type="cellIs" dxfId="28654" priority="96372" stopIfTrue="1" operator="equal">
      <formula>-1</formula>
    </cfRule>
  </conditionalFormatting>
  <conditionalFormatting sqref="BH41">
    <cfRule type="cellIs" dxfId="28653" priority="96373" stopIfTrue="1" operator="lessThan">
      <formula>0.5</formula>
    </cfRule>
  </conditionalFormatting>
  <conditionalFormatting sqref="BH41">
    <cfRule type="cellIs" dxfId="28652" priority="96374" stopIfTrue="1" operator="greaterThanOrEqual">
      <formula>0.5</formula>
    </cfRule>
  </conditionalFormatting>
  <conditionalFormatting sqref="BH42">
    <cfRule type="cellIs" dxfId="28651" priority="96375" stopIfTrue="1" operator="equal">
      <formula>-1</formula>
    </cfRule>
  </conditionalFormatting>
  <conditionalFormatting sqref="BH42">
    <cfRule type="cellIs" dxfId="28650" priority="96376" stopIfTrue="1" operator="lessThan">
      <formula>0.5</formula>
    </cfRule>
  </conditionalFormatting>
  <conditionalFormatting sqref="BH42">
    <cfRule type="cellIs" dxfId="28649" priority="96377" stopIfTrue="1" operator="greaterThanOrEqual">
      <formula>0.5</formula>
    </cfRule>
  </conditionalFormatting>
  <conditionalFormatting sqref="BH43">
    <cfRule type="cellIs" dxfId="28648" priority="96378" stopIfTrue="1" operator="equal">
      <formula>-1</formula>
    </cfRule>
  </conditionalFormatting>
  <conditionalFormatting sqref="BH43">
    <cfRule type="cellIs" dxfId="28647" priority="96379" stopIfTrue="1" operator="lessThan">
      <formula>0.5</formula>
    </cfRule>
  </conditionalFormatting>
  <conditionalFormatting sqref="BH43">
    <cfRule type="cellIs" dxfId="28646" priority="96380" stopIfTrue="1" operator="greaterThanOrEqual">
      <formula>0.5</formula>
    </cfRule>
  </conditionalFormatting>
  <conditionalFormatting sqref="BH44">
    <cfRule type="cellIs" dxfId="28645" priority="96381" stopIfTrue="1" operator="equal">
      <formula>-1</formula>
    </cfRule>
  </conditionalFormatting>
  <conditionalFormatting sqref="BH44">
    <cfRule type="cellIs" dxfId="28644" priority="96382" stopIfTrue="1" operator="lessThan">
      <formula>0.5</formula>
    </cfRule>
  </conditionalFormatting>
  <conditionalFormatting sqref="BH44">
    <cfRule type="cellIs" dxfId="28643" priority="96383" stopIfTrue="1" operator="greaterThanOrEqual">
      <formula>0.5</formula>
    </cfRule>
  </conditionalFormatting>
  <conditionalFormatting sqref="BH45">
    <cfRule type="cellIs" dxfId="28642" priority="96384" stopIfTrue="1" operator="equal">
      <formula>-1</formula>
    </cfRule>
  </conditionalFormatting>
  <conditionalFormatting sqref="BH45">
    <cfRule type="cellIs" dxfId="28641" priority="96385" stopIfTrue="1" operator="lessThan">
      <formula>0.5</formula>
    </cfRule>
  </conditionalFormatting>
  <conditionalFormatting sqref="BH45">
    <cfRule type="cellIs" dxfId="28640" priority="96386" stopIfTrue="1" operator="greaterThanOrEqual">
      <formula>0.5</formula>
    </cfRule>
  </conditionalFormatting>
  <conditionalFormatting sqref="BH46">
    <cfRule type="cellIs" dxfId="28639" priority="96387" stopIfTrue="1" operator="equal">
      <formula>-1</formula>
    </cfRule>
  </conditionalFormatting>
  <conditionalFormatting sqref="BH46">
    <cfRule type="cellIs" dxfId="28638" priority="96388" stopIfTrue="1" operator="lessThan">
      <formula>0.5</formula>
    </cfRule>
  </conditionalFormatting>
  <conditionalFormatting sqref="BH46">
    <cfRule type="cellIs" dxfId="28637" priority="96389" stopIfTrue="1" operator="greaterThanOrEqual">
      <formula>0.5</formula>
    </cfRule>
  </conditionalFormatting>
  <conditionalFormatting sqref="BH47">
    <cfRule type="cellIs" dxfId="28636" priority="96390" stopIfTrue="1" operator="equal">
      <formula>-1</formula>
    </cfRule>
  </conditionalFormatting>
  <conditionalFormatting sqref="BH47">
    <cfRule type="cellIs" dxfId="28635" priority="96391" stopIfTrue="1" operator="lessThan">
      <formula>0.5</formula>
    </cfRule>
  </conditionalFormatting>
  <conditionalFormatting sqref="BH47">
    <cfRule type="cellIs" dxfId="28634" priority="96392" stopIfTrue="1" operator="greaterThanOrEqual">
      <formula>0.5</formula>
    </cfRule>
  </conditionalFormatting>
  <conditionalFormatting sqref="BH48">
    <cfRule type="cellIs" dxfId="28633" priority="96393" stopIfTrue="1" operator="equal">
      <formula>-1</formula>
    </cfRule>
  </conditionalFormatting>
  <conditionalFormatting sqref="BH48">
    <cfRule type="cellIs" dxfId="28632" priority="96394" stopIfTrue="1" operator="lessThan">
      <formula>0.5</formula>
    </cfRule>
  </conditionalFormatting>
  <conditionalFormatting sqref="BH48">
    <cfRule type="cellIs" dxfId="28631" priority="96395" stopIfTrue="1" operator="greaterThanOrEqual">
      <formula>0.5</formula>
    </cfRule>
  </conditionalFormatting>
  <conditionalFormatting sqref="BH49">
    <cfRule type="cellIs" dxfId="28630" priority="96396" stopIfTrue="1" operator="equal">
      <formula>-1</formula>
    </cfRule>
  </conditionalFormatting>
  <conditionalFormatting sqref="BH49">
    <cfRule type="cellIs" dxfId="28629" priority="96397" stopIfTrue="1" operator="lessThan">
      <formula>0.5</formula>
    </cfRule>
  </conditionalFormatting>
  <conditionalFormatting sqref="BH49">
    <cfRule type="cellIs" dxfId="28628" priority="96398" stopIfTrue="1" operator="greaterThanOrEqual">
      <formula>0.5</formula>
    </cfRule>
  </conditionalFormatting>
  <conditionalFormatting sqref="BH50">
    <cfRule type="cellIs" dxfId="28627" priority="96399" stopIfTrue="1" operator="equal">
      <formula>-1</formula>
    </cfRule>
  </conditionalFormatting>
  <conditionalFormatting sqref="BH50">
    <cfRule type="cellIs" dxfId="28626" priority="96400" stopIfTrue="1" operator="lessThan">
      <formula>0.5</formula>
    </cfRule>
  </conditionalFormatting>
  <conditionalFormatting sqref="BH50">
    <cfRule type="cellIs" dxfId="28625" priority="96401" stopIfTrue="1" operator="greaterThanOrEqual">
      <formula>0.5</formula>
    </cfRule>
  </conditionalFormatting>
  <conditionalFormatting sqref="BH51">
    <cfRule type="cellIs" dxfId="28624" priority="96402" stopIfTrue="1" operator="equal">
      <formula>-1</formula>
    </cfRule>
  </conditionalFormatting>
  <conditionalFormatting sqref="BH51">
    <cfRule type="cellIs" dxfId="28623" priority="96403" stopIfTrue="1" operator="lessThan">
      <formula>0.5</formula>
    </cfRule>
  </conditionalFormatting>
  <conditionalFormatting sqref="BH51">
    <cfRule type="cellIs" dxfId="28622" priority="96404" stopIfTrue="1" operator="greaterThanOrEqual">
      <formula>0.5</formula>
    </cfRule>
  </conditionalFormatting>
  <conditionalFormatting sqref="BH52">
    <cfRule type="cellIs" dxfId="28621" priority="96405" stopIfTrue="1" operator="equal">
      <formula>-1</formula>
    </cfRule>
  </conditionalFormatting>
  <conditionalFormatting sqref="BH52">
    <cfRule type="cellIs" dxfId="28620" priority="96406" stopIfTrue="1" operator="lessThan">
      <formula>0.5</formula>
    </cfRule>
  </conditionalFormatting>
  <conditionalFormatting sqref="BH52">
    <cfRule type="cellIs" dxfId="28619" priority="96407" stopIfTrue="1" operator="greaterThanOrEqual">
      <formula>0.5</formula>
    </cfRule>
  </conditionalFormatting>
  <conditionalFormatting sqref="BH53">
    <cfRule type="cellIs" dxfId="28618" priority="96408" stopIfTrue="1" operator="equal">
      <formula>-1</formula>
    </cfRule>
  </conditionalFormatting>
  <conditionalFormatting sqref="BH53">
    <cfRule type="cellIs" dxfId="28617" priority="96409" stopIfTrue="1" operator="lessThan">
      <formula>0.5</formula>
    </cfRule>
  </conditionalFormatting>
  <conditionalFormatting sqref="BH53">
    <cfRule type="cellIs" dxfId="28616" priority="96410" stopIfTrue="1" operator="greaterThanOrEqual">
      <formula>0.5</formula>
    </cfRule>
  </conditionalFormatting>
  <conditionalFormatting sqref="BH54">
    <cfRule type="cellIs" dxfId="28615" priority="96411" stopIfTrue="1" operator="equal">
      <formula>-1</formula>
    </cfRule>
  </conditionalFormatting>
  <conditionalFormatting sqref="BH54">
    <cfRule type="cellIs" dxfId="28614" priority="96412" stopIfTrue="1" operator="lessThan">
      <formula>0.5</formula>
    </cfRule>
  </conditionalFormatting>
  <conditionalFormatting sqref="BH54">
    <cfRule type="cellIs" dxfId="28613" priority="96413" stopIfTrue="1" operator="greaterThanOrEqual">
      <formula>0.5</formula>
    </cfRule>
  </conditionalFormatting>
  <conditionalFormatting sqref="BH55">
    <cfRule type="cellIs" dxfId="28612" priority="96414" stopIfTrue="1" operator="equal">
      <formula>-1</formula>
    </cfRule>
  </conditionalFormatting>
  <conditionalFormatting sqref="BH55">
    <cfRule type="cellIs" dxfId="28611" priority="96415" stopIfTrue="1" operator="lessThan">
      <formula>0.5</formula>
    </cfRule>
  </conditionalFormatting>
  <conditionalFormatting sqref="BH55">
    <cfRule type="cellIs" dxfId="28610" priority="96416" stopIfTrue="1" operator="greaterThanOrEqual">
      <formula>0.5</formula>
    </cfRule>
  </conditionalFormatting>
  <conditionalFormatting sqref="BH56">
    <cfRule type="cellIs" dxfId="28609" priority="96417" stopIfTrue="1" operator="equal">
      <formula>-1</formula>
    </cfRule>
  </conditionalFormatting>
  <conditionalFormatting sqref="BH56">
    <cfRule type="cellIs" dxfId="28608" priority="96418" stopIfTrue="1" operator="lessThan">
      <formula>0.5</formula>
    </cfRule>
  </conditionalFormatting>
  <conditionalFormatting sqref="BH56">
    <cfRule type="cellIs" dxfId="28607" priority="96419" stopIfTrue="1" operator="greaterThanOrEqual">
      <formula>0.5</formula>
    </cfRule>
  </conditionalFormatting>
  <conditionalFormatting sqref="BH57">
    <cfRule type="cellIs" dxfId="28606" priority="96420" stopIfTrue="1" operator="equal">
      <formula>-1</formula>
    </cfRule>
  </conditionalFormatting>
  <conditionalFormatting sqref="BH57">
    <cfRule type="cellIs" dxfId="28605" priority="96421" stopIfTrue="1" operator="lessThan">
      <formula>0.5</formula>
    </cfRule>
  </conditionalFormatting>
  <conditionalFormatting sqref="BH57">
    <cfRule type="cellIs" dxfId="28604" priority="96422" stopIfTrue="1" operator="greaterThanOrEqual">
      <formula>0.5</formula>
    </cfRule>
  </conditionalFormatting>
  <conditionalFormatting sqref="BH58">
    <cfRule type="cellIs" dxfId="28603" priority="96423" stopIfTrue="1" operator="equal">
      <formula>-1</formula>
    </cfRule>
  </conditionalFormatting>
  <conditionalFormatting sqref="BH58">
    <cfRule type="cellIs" dxfId="28602" priority="96424" stopIfTrue="1" operator="lessThan">
      <formula>0.5</formula>
    </cfRule>
  </conditionalFormatting>
  <conditionalFormatting sqref="BH58">
    <cfRule type="cellIs" dxfId="28601" priority="96425" stopIfTrue="1" operator="greaterThanOrEqual">
      <formula>0.5</formula>
    </cfRule>
  </conditionalFormatting>
  <conditionalFormatting sqref="BJ39">
    <cfRule type="cellIs" dxfId="28600" priority="96426" stopIfTrue="1" operator="equal">
      <formula>-1</formula>
    </cfRule>
  </conditionalFormatting>
  <conditionalFormatting sqref="BJ39">
    <cfRule type="cellIs" dxfId="28599" priority="96427" stopIfTrue="1" operator="lessThan">
      <formula>0.5</formula>
    </cfRule>
  </conditionalFormatting>
  <conditionalFormatting sqref="BJ39">
    <cfRule type="cellIs" dxfId="28598" priority="96428" stopIfTrue="1" operator="greaterThanOrEqual">
      <formula>0.5</formula>
    </cfRule>
  </conditionalFormatting>
  <conditionalFormatting sqref="BJ40">
    <cfRule type="cellIs" dxfId="28597" priority="96429" stopIfTrue="1" operator="equal">
      <formula>-1</formula>
    </cfRule>
  </conditionalFormatting>
  <conditionalFormatting sqref="BJ40">
    <cfRule type="cellIs" dxfId="28596" priority="96430" stopIfTrue="1" operator="lessThan">
      <formula>0.5</formula>
    </cfRule>
  </conditionalFormatting>
  <conditionalFormatting sqref="BJ40">
    <cfRule type="cellIs" dxfId="28595" priority="96431" stopIfTrue="1" operator="greaterThanOrEqual">
      <formula>0.5</formula>
    </cfRule>
  </conditionalFormatting>
  <conditionalFormatting sqref="BJ41">
    <cfRule type="cellIs" dxfId="28594" priority="96432" stopIfTrue="1" operator="equal">
      <formula>-1</formula>
    </cfRule>
  </conditionalFormatting>
  <conditionalFormatting sqref="BJ41">
    <cfRule type="cellIs" dxfId="28593" priority="96433" stopIfTrue="1" operator="lessThan">
      <formula>0.5</formula>
    </cfRule>
  </conditionalFormatting>
  <conditionalFormatting sqref="BJ41">
    <cfRule type="cellIs" dxfId="28592" priority="96434" stopIfTrue="1" operator="greaterThanOrEqual">
      <formula>0.5</formula>
    </cfRule>
  </conditionalFormatting>
  <conditionalFormatting sqref="BJ42">
    <cfRule type="cellIs" dxfId="28591" priority="96435" stopIfTrue="1" operator="equal">
      <formula>-1</formula>
    </cfRule>
  </conditionalFormatting>
  <conditionalFormatting sqref="BJ42">
    <cfRule type="cellIs" dxfId="28590" priority="96436" stopIfTrue="1" operator="lessThan">
      <formula>0.5</formula>
    </cfRule>
  </conditionalFormatting>
  <conditionalFormatting sqref="BJ42">
    <cfRule type="cellIs" dxfId="28589" priority="96437" stopIfTrue="1" operator="greaterThanOrEqual">
      <formula>0.5</formula>
    </cfRule>
  </conditionalFormatting>
  <conditionalFormatting sqref="BJ43">
    <cfRule type="cellIs" dxfId="28588" priority="96438" stopIfTrue="1" operator="equal">
      <formula>-1</formula>
    </cfRule>
  </conditionalFormatting>
  <conditionalFormatting sqref="BJ43">
    <cfRule type="cellIs" dxfId="28587" priority="96439" stopIfTrue="1" operator="lessThan">
      <formula>0.5</formula>
    </cfRule>
  </conditionalFormatting>
  <conditionalFormatting sqref="BJ43">
    <cfRule type="cellIs" dxfId="28586" priority="96440" stopIfTrue="1" operator="greaterThanOrEqual">
      <formula>0.5</formula>
    </cfRule>
  </conditionalFormatting>
  <conditionalFormatting sqref="BJ44">
    <cfRule type="cellIs" dxfId="28585" priority="96441" stopIfTrue="1" operator="equal">
      <formula>-1</formula>
    </cfRule>
  </conditionalFormatting>
  <conditionalFormatting sqref="BJ44">
    <cfRule type="cellIs" dxfId="28584" priority="96442" stopIfTrue="1" operator="lessThan">
      <formula>0.5</formula>
    </cfRule>
  </conditionalFormatting>
  <conditionalFormatting sqref="BJ44">
    <cfRule type="cellIs" dxfId="28583" priority="96443" stopIfTrue="1" operator="greaterThanOrEqual">
      <formula>0.5</formula>
    </cfRule>
  </conditionalFormatting>
  <conditionalFormatting sqref="BJ45">
    <cfRule type="cellIs" dxfId="28582" priority="96444" stopIfTrue="1" operator="equal">
      <formula>-1</formula>
    </cfRule>
  </conditionalFormatting>
  <conditionalFormatting sqref="BJ45">
    <cfRule type="cellIs" dxfId="28581" priority="96445" stopIfTrue="1" operator="lessThan">
      <formula>0.5</formula>
    </cfRule>
  </conditionalFormatting>
  <conditionalFormatting sqref="BJ45">
    <cfRule type="cellIs" dxfId="28580" priority="96446" stopIfTrue="1" operator="greaterThanOrEqual">
      <formula>0.5</formula>
    </cfRule>
  </conditionalFormatting>
  <conditionalFormatting sqref="BJ46">
    <cfRule type="cellIs" dxfId="28579" priority="96447" stopIfTrue="1" operator="equal">
      <formula>-1</formula>
    </cfRule>
  </conditionalFormatting>
  <conditionalFormatting sqref="BJ46">
    <cfRule type="cellIs" dxfId="28578" priority="96448" stopIfTrue="1" operator="lessThan">
      <formula>0.5</formula>
    </cfRule>
  </conditionalFormatting>
  <conditionalFormatting sqref="BJ46">
    <cfRule type="cellIs" dxfId="28577" priority="96449" stopIfTrue="1" operator="greaterThanOrEqual">
      <formula>0.5</formula>
    </cfRule>
  </conditionalFormatting>
  <conditionalFormatting sqref="BJ47">
    <cfRule type="cellIs" dxfId="28576" priority="96450" stopIfTrue="1" operator="equal">
      <formula>-1</formula>
    </cfRule>
  </conditionalFormatting>
  <conditionalFormatting sqref="BJ47">
    <cfRule type="cellIs" dxfId="28575" priority="96451" stopIfTrue="1" operator="lessThan">
      <formula>0.5</formula>
    </cfRule>
  </conditionalFormatting>
  <conditionalFormatting sqref="BJ47">
    <cfRule type="cellIs" dxfId="28574" priority="96452" stopIfTrue="1" operator="greaterThanOrEqual">
      <formula>0.5</formula>
    </cfRule>
  </conditionalFormatting>
  <conditionalFormatting sqref="BJ48">
    <cfRule type="cellIs" dxfId="28573" priority="96453" stopIfTrue="1" operator="equal">
      <formula>-1</formula>
    </cfRule>
  </conditionalFormatting>
  <conditionalFormatting sqref="BJ48">
    <cfRule type="cellIs" dxfId="28572" priority="96454" stopIfTrue="1" operator="lessThan">
      <formula>0.5</formula>
    </cfRule>
  </conditionalFormatting>
  <conditionalFormatting sqref="BJ48">
    <cfRule type="cellIs" dxfId="28571" priority="96455" stopIfTrue="1" operator="greaterThanOrEqual">
      <formula>0.5</formula>
    </cfRule>
  </conditionalFormatting>
  <conditionalFormatting sqref="BJ49">
    <cfRule type="cellIs" dxfId="28570" priority="96456" stopIfTrue="1" operator="equal">
      <formula>-1</formula>
    </cfRule>
  </conditionalFormatting>
  <conditionalFormatting sqref="BJ49">
    <cfRule type="cellIs" dxfId="28569" priority="96457" stopIfTrue="1" operator="lessThan">
      <formula>0.5</formula>
    </cfRule>
  </conditionalFormatting>
  <conditionalFormatting sqref="BJ49">
    <cfRule type="cellIs" dxfId="28568" priority="96458" stopIfTrue="1" operator="greaterThanOrEqual">
      <formula>0.5</formula>
    </cfRule>
  </conditionalFormatting>
  <conditionalFormatting sqref="BJ50">
    <cfRule type="cellIs" dxfId="28567" priority="96459" stopIfTrue="1" operator="equal">
      <formula>-1</formula>
    </cfRule>
  </conditionalFormatting>
  <conditionalFormatting sqref="BJ50">
    <cfRule type="cellIs" dxfId="28566" priority="96460" stopIfTrue="1" operator="lessThan">
      <formula>0.5</formula>
    </cfRule>
  </conditionalFormatting>
  <conditionalFormatting sqref="BJ50">
    <cfRule type="cellIs" dxfId="28565" priority="96461" stopIfTrue="1" operator="greaterThanOrEqual">
      <formula>0.5</formula>
    </cfRule>
  </conditionalFormatting>
  <conditionalFormatting sqref="BJ51">
    <cfRule type="cellIs" dxfId="28564" priority="96462" stopIfTrue="1" operator="equal">
      <formula>-1</formula>
    </cfRule>
  </conditionalFormatting>
  <conditionalFormatting sqref="BJ51">
    <cfRule type="cellIs" dxfId="28563" priority="96463" stopIfTrue="1" operator="lessThan">
      <formula>0.5</formula>
    </cfRule>
  </conditionalFormatting>
  <conditionalFormatting sqref="BJ51">
    <cfRule type="cellIs" dxfId="28562" priority="96464" stopIfTrue="1" operator="greaterThanOrEqual">
      <formula>0.5</formula>
    </cfRule>
  </conditionalFormatting>
  <conditionalFormatting sqref="BJ52">
    <cfRule type="cellIs" dxfId="28561" priority="96465" stopIfTrue="1" operator="equal">
      <formula>-1</formula>
    </cfRule>
  </conditionalFormatting>
  <conditionalFormatting sqref="BJ52">
    <cfRule type="cellIs" dxfId="28560" priority="96466" stopIfTrue="1" operator="lessThan">
      <formula>0.5</formula>
    </cfRule>
  </conditionalFormatting>
  <conditionalFormatting sqref="BJ52">
    <cfRule type="cellIs" dxfId="28559" priority="96467" stopIfTrue="1" operator="greaterThanOrEqual">
      <formula>0.5</formula>
    </cfRule>
  </conditionalFormatting>
  <conditionalFormatting sqref="BJ53">
    <cfRule type="cellIs" dxfId="28558" priority="96468" stopIfTrue="1" operator="equal">
      <formula>-1</formula>
    </cfRule>
  </conditionalFormatting>
  <conditionalFormatting sqref="BJ53">
    <cfRule type="cellIs" dxfId="28557" priority="96469" stopIfTrue="1" operator="lessThan">
      <formula>0.5</formula>
    </cfRule>
  </conditionalFormatting>
  <conditionalFormatting sqref="BJ53">
    <cfRule type="cellIs" dxfId="28556" priority="96470" stopIfTrue="1" operator="greaterThanOrEqual">
      <formula>0.5</formula>
    </cfRule>
  </conditionalFormatting>
  <conditionalFormatting sqref="BJ54">
    <cfRule type="cellIs" dxfId="28555" priority="96471" stopIfTrue="1" operator="equal">
      <formula>-1</formula>
    </cfRule>
  </conditionalFormatting>
  <conditionalFormatting sqref="BJ54">
    <cfRule type="cellIs" dxfId="28554" priority="96472" stopIfTrue="1" operator="lessThan">
      <formula>0.5</formula>
    </cfRule>
  </conditionalFormatting>
  <conditionalFormatting sqref="BJ54">
    <cfRule type="cellIs" dxfId="28553" priority="96473" stopIfTrue="1" operator="greaterThanOrEqual">
      <formula>0.5</formula>
    </cfRule>
  </conditionalFormatting>
  <conditionalFormatting sqref="BJ55">
    <cfRule type="cellIs" dxfId="28552" priority="96474" stopIfTrue="1" operator="equal">
      <formula>-1</formula>
    </cfRule>
  </conditionalFormatting>
  <conditionalFormatting sqref="BJ55">
    <cfRule type="cellIs" dxfId="28551" priority="96475" stopIfTrue="1" operator="lessThan">
      <formula>0.5</formula>
    </cfRule>
  </conditionalFormatting>
  <conditionalFormatting sqref="BJ55">
    <cfRule type="cellIs" dxfId="28550" priority="96476" stopIfTrue="1" operator="greaterThanOrEqual">
      <formula>0.5</formula>
    </cfRule>
  </conditionalFormatting>
  <conditionalFormatting sqref="BJ56">
    <cfRule type="cellIs" dxfId="28549" priority="96477" stopIfTrue="1" operator="equal">
      <formula>-1</formula>
    </cfRule>
  </conditionalFormatting>
  <conditionalFormatting sqref="BJ56">
    <cfRule type="cellIs" dxfId="28548" priority="96478" stopIfTrue="1" operator="lessThan">
      <formula>0.5</formula>
    </cfRule>
  </conditionalFormatting>
  <conditionalFormatting sqref="BJ56">
    <cfRule type="cellIs" dxfId="28547" priority="96479" stopIfTrue="1" operator="greaterThanOrEqual">
      <formula>0.5</formula>
    </cfRule>
  </conditionalFormatting>
  <conditionalFormatting sqref="BJ57">
    <cfRule type="cellIs" dxfId="28546" priority="96480" stopIfTrue="1" operator="equal">
      <formula>-1</formula>
    </cfRule>
  </conditionalFormatting>
  <conditionalFormatting sqref="BJ57">
    <cfRule type="cellIs" dxfId="28545" priority="96481" stopIfTrue="1" operator="lessThan">
      <formula>0.5</formula>
    </cfRule>
  </conditionalFormatting>
  <conditionalFormatting sqref="BJ57">
    <cfRule type="cellIs" dxfId="28544" priority="96482" stopIfTrue="1" operator="greaterThanOrEqual">
      <formula>0.5</formula>
    </cfRule>
  </conditionalFormatting>
  <conditionalFormatting sqref="BJ58">
    <cfRule type="cellIs" dxfId="28543" priority="96483" stopIfTrue="1" operator="equal">
      <formula>-1</formula>
    </cfRule>
  </conditionalFormatting>
  <conditionalFormatting sqref="BJ58">
    <cfRule type="cellIs" dxfId="28542" priority="96484" stopIfTrue="1" operator="lessThan">
      <formula>0.5</formula>
    </cfRule>
  </conditionalFormatting>
  <conditionalFormatting sqref="BJ58">
    <cfRule type="cellIs" dxfId="28541" priority="9648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0"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7E658-76D5-2349-A31E-7E7683B3687A}">
  <sheetPr codeName="Sheet9">
    <tabColor rgb="FFC0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2" t="str" cm="1">
        <f t="array" ref="A1">[2]!GRUPO</f>
        <v>2º Bach.</v>
      </c>
      <c r="B1" s="75" t="s">
        <v>95</v>
      </c>
      <c r="C1" s="73">
        <v>1</v>
      </c>
      <c r="D1" s="73"/>
      <c r="E1" s="73">
        <v>2</v>
      </c>
      <c r="F1" s="73" t="s">
        <v>0</v>
      </c>
      <c r="G1" s="73">
        <v>3</v>
      </c>
      <c r="H1" s="73" t="s">
        <v>0</v>
      </c>
      <c r="I1" s="73">
        <v>4</v>
      </c>
      <c r="J1" s="73" t="s">
        <v>0</v>
      </c>
      <c r="K1" s="73">
        <v>5</v>
      </c>
      <c r="L1" s="73" t="s">
        <v>0</v>
      </c>
      <c r="M1" s="73">
        <v>6</v>
      </c>
      <c r="N1" s="73" t="s">
        <v>0</v>
      </c>
      <c r="O1" s="73">
        <v>7</v>
      </c>
      <c r="P1" s="73" t="s">
        <v>0</v>
      </c>
      <c r="Q1" s="73">
        <v>8</v>
      </c>
      <c r="R1" s="73" t="s">
        <v>0</v>
      </c>
      <c r="S1" s="73">
        <v>9</v>
      </c>
      <c r="T1" s="73" t="s">
        <v>0</v>
      </c>
      <c r="U1" s="73">
        <v>10</v>
      </c>
      <c r="V1" s="73" t="s">
        <v>0</v>
      </c>
      <c r="W1" s="73">
        <v>11</v>
      </c>
      <c r="X1" s="73" t="s">
        <v>0</v>
      </c>
      <c r="Y1" s="73">
        <v>12</v>
      </c>
      <c r="Z1" s="73" t="s">
        <v>1</v>
      </c>
      <c r="AA1" s="73">
        <v>13</v>
      </c>
      <c r="AB1" s="73" t="s">
        <v>0</v>
      </c>
      <c r="AC1" s="73">
        <v>14</v>
      </c>
      <c r="AD1" s="73" t="s">
        <v>0</v>
      </c>
      <c r="AE1" s="73">
        <v>15</v>
      </c>
      <c r="AF1" s="73" t="s">
        <v>0</v>
      </c>
      <c r="AG1" s="73">
        <v>16</v>
      </c>
      <c r="AH1" s="73" t="s">
        <v>0</v>
      </c>
      <c r="AI1" s="73">
        <v>17</v>
      </c>
      <c r="AJ1" s="73"/>
      <c r="AK1" s="73">
        <v>18</v>
      </c>
      <c r="AL1" s="73"/>
      <c r="AM1" s="73">
        <v>19</v>
      </c>
      <c r="AN1" s="73"/>
      <c r="AO1" s="73">
        <v>20</v>
      </c>
      <c r="AP1" s="73" t="s">
        <v>0</v>
      </c>
      <c r="AQ1" s="73">
        <v>21</v>
      </c>
      <c r="AR1" s="73"/>
      <c r="AS1" s="73">
        <v>22</v>
      </c>
      <c r="AT1" s="73" t="s">
        <v>0</v>
      </c>
      <c r="AU1" s="73">
        <v>23</v>
      </c>
      <c r="AV1" s="73" t="s">
        <v>0</v>
      </c>
      <c r="AW1" s="73">
        <v>24</v>
      </c>
      <c r="AX1" s="73"/>
      <c r="AY1" s="73">
        <v>25</v>
      </c>
      <c r="AZ1" s="73"/>
      <c r="BA1" s="73">
        <v>26</v>
      </c>
      <c r="BB1" s="73"/>
      <c r="BC1" s="73">
        <v>27</v>
      </c>
      <c r="BD1" s="73"/>
      <c r="BE1" s="73">
        <v>28</v>
      </c>
      <c r="BF1" s="73"/>
      <c r="BG1" s="73">
        <v>29</v>
      </c>
      <c r="BH1" s="73"/>
      <c r="BI1" s="73">
        <v>30</v>
      </c>
      <c r="BJ1" s="73"/>
    </row>
    <row r="2" spans="1:62" ht="115" customHeight="1" x14ac:dyDescent="0.2">
      <c r="A2" s="72"/>
      <c r="B2" s="76"/>
      <c r="C2" s="74" t="str">
        <f ca="1">[2]Examen11!C$2</f>
        <v>Alma Casa, Mario</v>
      </c>
      <c r="D2" s="74"/>
      <c r="E2" s="74" t="str">
        <f ca="1">[2]Examen11!E$2</f>
        <v>Amado Luz, Martín</v>
      </c>
      <c r="F2" s="74"/>
      <c r="G2" s="74" t="str">
        <f ca="1">[2]Examen11!G$2</f>
        <v>Bonete Cune, Carla</v>
      </c>
      <c r="H2" s="74"/>
      <c r="I2" s="74" t="str">
        <f ca="1">[2]Examen11!I$2</f>
        <v>Casado Gómez, María</v>
      </c>
      <c r="J2" s="74"/>
      <c r="K2" s="74" t="str">
        <f ca="1">[2]Examen11!K$2</f>
        <v>Concepción García, Elena</v>
      </c>
      <c r="L2" s="74"/>
      <c r="M2" s="74" t="str">
        <f ca="1">[2]Examen11!M$2</f>
        <v>Díaz Lucas, Ricardo</v>
      </c>
      <c r="N2" s="74"/>
      <c r="O2" s="74" t="str">
        <f ca="1">[2]Examen11!O$2</f>
        <v>Díaz Ríos, Lucía</v>
      </c>
      <c r="P2" s="74"/>
      <c r="Q2" s="74" t="str">
        <f ca="1">[2]Examen11!Q$2</f>
        <v>García López, Juan Ángel</v>
      </c>
      <c r="R2" s="74"/>
      <c r="S2" s="74" t="str">
        <f ca="1">[2]Examen11!S$2</f>
        <v>García Pérez, Luis</v>
      </c>
      <c r="T2" s="74"/>
      <c r="U2" s="74" t="str">
        <f ca="1">[2]Examen11!U$2</f>
        <v>Garijo Piqueras, María</v>
      </c>
      <c r="V2" s="74"/>
      <c r="W2" s="74" t="str">
        <f ca="1">[2]Examen11!W$2</f>
        <v>Gómez Luna, José</v>
      </c>
      <c r="X2" s="74"/>
      <c r="Y2" s="74" t="str">
        <f ca="1">[2]Examen11!Y$2</f>
        <v>González García, Juan</v>
      </c>
      <c r="Z2" s="74"/>
      <c r="AA2" s="74" t="str">
        <f ca="1">[2]Examen11!AA$2</f>
        <v>González Pérez, María</v>
      </c>
      <c r="AB2" s="74"/>
      <c r="AC2" s="74" t="str">
        <f ca="1">[2]Examen11!AC$2</f>
        <v>Laín Hernández, Luisa</v>
      </c>
      <c r="AD2" s="74"/>
      <c r="AE2" s="74" t="str">
        <f ca="1">[2]Examen11!AE$2</f>
        <v>Lirios Lara, Juan</v>
      </c>
      <c r="AF2" s="74"/>
      <c r="AG2" s="74" t="str">
        <f ca="1">[2]Examen11!AG$2</f>
        <v>López Picazo, Marta</v>
      </c>
      <c r="AH2" s="74"/>
      <c r="AI2" s="74" t="str">
        <f ca="1">[2]Examen11!AI$2</f>
        <v>Molina Pérez, Marina</v>
      </c>
      <c r="AJ2" s="74"/>
      <c r="AK2" s="74" t="str">
        <f ca="1">[2]Examen11!AK$2</f>
        <v>Molina Sánchez, Inmaculada</v>
      </c>
      <c r="AL2" s="74"/>
      <c r="AM2" s="74" t="str">
        <f ca="1">[2]Examen11!AM$2</f>
        <v>Montero Pacheco, Pablo</v>
      </c>
      <c r="AN2" s="74"/>
      <c r="AO2" s="74" t="str">
        <f ca="1">[2]Examen11!AO$2</f>
        <v>Mora García, Javier</v>
      </c>
      <c r="AP2" s="74"/>
      <c r="AQ2" s="74" t="str">
        <f ca="1">[2]Examen11!AQ$2</f>
        <v>Morcillo Pared, Luna</v>
      </c>
      <c r="AR2" s="74"/>
      <c r="AS2" s="74" t="str">
        <f ca="1">[2]Examen11!AS$2</f>
        <v>Moreno Hernández, Francisco</v>
      </c>
      <c r="AT2" s="74"/>
      <c r="AU2" s="74" t="str">
        <f ca="1">[2]Examen11!AU$2</f>
        <v>Muñoz Garijo, Pablo</v>
      </c>
      <c r="AV2" s="74"/>
      <c r="AW2" s="74" t="str">
        <f ca="1">[2]Examen11!AW$2</f>
        <v>Pérez Garrido, Francisco</v>
      </c>
      <c r="AX2" s="74"/>
      <c r="AY2" s="74" t="str">
        <f ca="1">[2]Examen11!AY$2</f>
        <v>Serna Serna, Susana</v>
      </c>
      <c r="AZ2" s="74"/>
      <c r="BA2" s="74" t="str">
        <f ca="1">[2]Examen11!BA$2</f>
        <v>Soriano Tornero, Manuel</v>
      </c>
      <c r="BB2" s="74"/>
      <c r="BC2" s="74" t="str">
        <f ca="1">[2]Examen11!BC$2</f>
        <v>Sultán Zar, Pedro</v>
      </c>
      <c r="BD2" s="74"/>
      <c r="BE2" s="74" t="str">
        <f ca="1">[2]Examen11!BE$2</f>
        <v>Tendero Grande, Marina</v>
      </c>
      <c r="BF2" s="74"/>
      <c r="BG2" s="74" t="str">
        <f ca="1">[2]Examen11!BG$2</f>
        <v>Valencia Bueno, Isabel</v>
      </c>
      <c r="BH2" s="74"/>
      <c r="BI2" s="74" t="str">
        <f ca="1">[2]Examen11!BI$2</f>
        <v>Zarza Parrilla, Manuel</v>
      </c>
      <c r="BJ2" s="74"/>
    </row>
    <row r="3" spans="1:62" ht="33" customHeight="1" x14ac:dyDescent="0.2">
      <c r="A3" s="34" t="str" cm="1">
        <f t="array" ref="A3">[2]!VERSION</f>
        <v>Versión 1.2</v>
      </c>
      <c r="B3" s="10" t="str">
        <f>IF((B4+B7+B16+B38+B59+B64)=1,"Ok","Error % Bloques")</f>
        <v>Ok</v>
      </c>
      <c r="C3" s="59">
        <f>SUM(C4,C7,C16,C38,C59,C64)</f>
        <v>4.4649999825283881</v>
      </c>
      <c r="D3" s="60"/>
      <c r="E3" s="59">
        <f t="shared" ref="E3" si="0">SUM(E4,E7,E16,E38,E59,E64)</f>
        <v>4.5775000117719173</v>
      </c>
      <c r="F3" s="60"/>
      <c r="G3" s="59">
        <f t="shared" ref="G3" si="1">SUM(G4,G7,G16,G38,G59,G64)</f>
        <v>3.7775000449270006</v>
      </c>
      <c r="H3" s="60"/>
      <c r="I3" s="59">
        <f t="shared" ref="I3" si="2">SUM(I4,I7,I16,I38,I59,I64)</f>
        <v>4.2625000251457088</v>
      </c>
      <c r="J3" s="60"/>
      <c r="K3" s="59">
        <f t="shared" ref="K3" si="3">SUM(K4,K7,K16,K38,K59,K64)</f>
        <v>4.3750000216066836</v>
      </c>
      <c r="L3" s="60"/>
      <c r="M3" s="59">
        <f t="shared" ref="M3" si="4">SUM(M4,M7,M16,M38,M59,M64)</f>
        <v>3.2725000383332379</v>
      </c>
      <c r="N3" s="60"/>
      <c r="O3" s="59">
        <f t="shared" ref="O3" si="5">SUM(O4,O7,O16,O38,O59,O64)</f>
        <v>4.4625000309199088</v>
      </c>
      <c r="P3" s="60"/>
      <c r="Q3" s="59">
        <f t="shared" ref="Q3" si="6">SUM(Q4,Q7,Q16,Q38,Q59,Q64)</f>
        <v>3.6125000545755026</v>
      </c>
      <c r="R3" s="60"/>
      <c r="S3" s="59">
        <f t="shared" ref="S3" si="7">SUM(S4,S7,S16,S38,S59,S64)</f>
        <v>3.2775000214576719</v>
      </c>
      <c r="T3" s="60"/>
      <c r="U3" s="59">
        <f t="shared" ref="U3" si="8">SUM(U4,U7,U16,U38,U59,U64)</f>
        <v>3.7950000042095784</v>
      </c>
      <c r="V3" s="60"/>
      <c r="W3" s="59">
        <f t="shared" ref="W3" si="9">SUM(W4,W7,W16,W38,W59,W64)</f>
        <v>3.7649999998509882</v>
      </c>
      <c r="X3" s="60"/>
      <c r="Y3" s="59">
        <f t="shared" ref="Y3" si="10">SUM(Y4,Y7,Y16,Y38,Y59,Y64)</f>
        <v>4.2475000318139795</v>
      </c>
      <c r="Z3" s="60"/>
      <c r="AA3" s="59">
        <f t="shared" ref="AA3" si="11">SUM(AA4,AA7,AA16,AA38,AA59,AA64)</f>
        <v>3.9525000523775815</v>
      </c>
      <c r="AB3" s="60"/>
      <c r="AC3" s="59">
        <f t="shared" ref="AC3" si="12">SUM(AC4,AC7,AC16,AC38,AC59,AC64)</f>
        <v>4.0474999971687797</v>
      </c>
      <c r="AD3" s="60"/>
      <c r="AE3" s="59">
        <f t="shared" ref="AE3" si="13">SUM(AE4,AE7,AE16,AE38,AE59,AE64)</f>
        <v>4.0200000321492553</v>
      </c>
      <c r="AF3" s="60"/>
      <c r="AG3" s="59">
        <f t="shared" ref="AG3" si="14">SUM(AG4,AG7,AG16,AG38,AG59,AG64)</f>
        <v>4.0325000219047071</v>
      </c>
      <c r="AH3" s="60"/>
      <c r="AI3" s="59">
        <f t="shared" ref="AI3" si="15">SUM(AI4,AI7,AI16,AI38,AI59,AI64)</f>
        <v>3.2925000227987766</v>
      </c>
      <c r="AJ3" s="60"/>
      <c r="AK3" s="59">
        <f t="shared" ref="AK3" si="16">SUM(AK4,AK7,AK16,AK38,AK59,AK64)</f>
        <v>4.2250000182539225</v>
      </c>
      <c r="AL3" s="60"/>
      <c r="AM3" s="59">
        <f t="shared" ref="AM3" si="17">SUM(AM4,AM7,AM16,AM38,AM59,AM64)</f>
        <v>3.7000000482425093</v>
      </c>
      <c r="AN3" s="60"/>
      <c r="AO3" s="59">
        <f t="shared" ref="AO3" si="18">SUM(AO4,AO7,AO16,AO38,AO59,AO64)</f>
        <v>3.6625000163912773</v>
      </c>
      <c r="AP3" s="60"/>
      <c r="AQ3" s="59">
        <f t="shared" ref="AQ3" si="19">SUM(AQ4,AQ7,AQ16,AQ38,AQ59,AQ64)</f>
        <v>4.0425000503659252</v>
      </c>
      <c r="AR3" s="60"/>
      <c r="AS3" s="59">
        <f t="shared" ref="AS3" si="20">SUM(AS4,AS7,AS16,AS38,AS59,AS64)</f>
        <v>4.3450000539422042</v>
      </c>
      <c r="AT3" s="60"/>
      <c r="AU3" s="59">
        <f t="shared" ref="AU3" si="21">SUM(AU4,AU7,AU16,AU38,AU59,AU64)</f>
        <v>3.5950000274926426</v>
      </c>
      <c r="AV3" s="60"/>
      <c r="AW3" s="59">
        <f t="shared" ref="AW3" si="22">SUM(AW4,AW7,AW16,AW38,AW59,AW64)</f>
        <v>3.5850000170990821</v>
      </c>
      <c r="AX3" s="60"/>
      <c r="AY3" s="59">
        <f t="shared" ref="AY3" si="23">SUM(AY4,AY7,AY16,AY38,AY59,AY64)</f>
        <v>3.7525000238791106</v>
      </c>
      <c r="AZ3" s="60"/>
      <c r="BA3" s="59">
        <f t="shared" ref="BA3" si="24">SUM(BA4,BA7,BA16,BA38,BA59,BA64)</f>
        <v>3.5725000305101275</v>
      </c>
      <c r="BB3" s="60"/>
      <c r="BC3" s="59">
        <f t="shared" ref="BC3" si="25">SUM(BC4,BC7,BC16,BC38,BC59,BC64)</f>
        <v>4.7425000332295895</v>
      </c>
      <c r="BD3" s="60"/>
      <c r="BE3" s="59">
        <f t="shared" ref="BE3" si="26">SUM(BE4,BE7,BE16,BE38,BE59,BE64)</f>
        <v>3.2899999972432852</v>
      </c>
      <c r="BF3" s="60"/>
      <c r="BG3" s="59">
        <f t="shared" ref="BG3" si="27">SUM(BG4,BG7,BG16,BG38,BG59,BG64)</f>
        <v>3.8825000274926422</v>
      </c>
      <c r="BH3" s="60"/>
      <c r="BI3" s="59">
        <f t="shared" ref="BI3" si="28">SUM(BI4,BI7,BI16,BI38,BI59,BI64)</f>
        <v>2.9525000344961883</v>
      </c>
      <c r="BJ3" s="60"/>
    </row>
    <row r="4" spans="1:62" ht="38" x14ac:dyDescent="0.2">
      <c r="A4" s="6" t="s">
        <v>2</v>
      </c>
      <c r="B4" s="7">
        <f>Estructura!D2</f>
        <v>0.1</v>
      </c>
      <c r="C4" s="58" t="str">
        <f>IF(SUM($B5:$B6)&lt;&gt;0,SUM(C5:C6)/SUM($B5:$B6)*$B4*10, "")</f>
        <v/>
      </c>
      <c r="D4" s="58"/>
      <c r="E4" s="58" t="str">
        <f>IF(SUM($B5:$B6)&lt;&gt;0,SUM(E5:E6)/SUM($B5:$B6)*$B4*10, "")</f>
        <v/>
      </c>
      <c r="F4" s="58"/>
      <c r="G4" s="58" t="str">
        <f>IF(SUM($B5:$B6)&lt;&gt;0,SUM(G5:G6)/SUM($B5:$B6)*$B4*10, "")</f>
        <v/>
      </c>
      <c r="H4" s="58"/>
      <c r="I4" s="58" t="str">
        <f>IF(SUM($B5:$B6)&lt;&gt;0,SUM(I5:I6)/SUM($B5:$B6)*$B4*10, "")</f>
        <v/>
      </c>
      <c r="J4" s="58"/>
      <c r="K4" s="58" t="str">
        <f>IF(SUM($B5:$B6)&lt;&gt;0,SUM(K5:K6)/SUM($B5:$B6)*$B4*10, "")</f>
        <v/>
      </c>
      <c r="L4" s="58"/>
      <c r="M4" s="58" t="str">
        <f>IF(SUM($B5:$B6)&lt;&gt;0,SUM(M5:M6)/SUM($B5:$B6)*$B4*10, "")</f>
        <v/>
      </c>
      <c r="N4" s="58"/>
      <c r="O4" s="58" t="str">
        <f>IF(SUM($B5:$B6)&lt;&gt;0,SUM(O5:O6)/SUM($B5:$B6)*$B4*10, "")</f>
        <v/>
      </c>
      <c r="P4" s="58"/>
      <c r="Q4" s="58" t="str">
        <f>IF(SUM($B5:$B6)&lt;&gt;0,SUM(Q5:Q6)/SUM($B5:$B6)*$B4*10, "")</f>
        <v/>
      </c>
      <c r="R4" s="58"/>
      <c r="S4" s="58" t="str">
        <f>IF(SUM($B5:$B6)&lt;&gt;0,SUM(S5:S6)/SUM($B5:$B6)*$B4*10, "")</f>
        <v/>
      </c>
      <c r="T4" s="58"/>
      <c r="U4" s="58" t="str">
        <f>IF(SUM($B5:$B6)&lt;&gt;0,SUM(U5:U6)/SUM($B5:$B6)*$B4*10, "")</f>
        <v/>
      </c>
      <c r="V4" s="58"/>
      <c r="W4" s="58" t="str">
        <f>IF(SUM($B5:$B6)&lt;&gt;0,SUM(W5:W6)/SUM($B5:$B6)*$B4*10, "")</f>
        <v/>
      </c>
      <c r="X4" s="58"/>
      <c r="Y4" s="58" t="str">
        <f>IF(SUM($B5:$B6)&lt;&gt;0,SUM(Y5:Y6)/SUM($B5:$B6)*$B4*10, "")</f>
        <v/>
      </c>
      <c r="Z4" s="58"/>
      <c r="AA4" s="58" t="str">
        <f>IF(SUM($B5:$B6)&lt;&gt;0,SUM(AA5:AA6)/SUM($B5:$B6)*$B4*10, "")</f>
        <v/>
      </c>
      <c r="AB4" s="58"/>
      <c r="AC4" s="58" t="str">
        <f>IF(SUM($B5:$B6)&lt;&gt;0,SUM(AC5:AC6)/SUM($B5:$B6)*$B4*10, "")</f>
        <v/>
      </c>
      <c r="AD4" s="58"/>
      <c r="AE4" s="58" t="str">
        <f>IF(SUM($B5:$B6)&lt;&gt;0,SUM(AE5:AE6)/SUM($B5:$B6)*$B4*10, "")</f>
        <v/>
      </c>
      <c r="AF4" s="58"/>
      <c r="AG4" s="58" t="str">
        <f>IF(SUM($B5:$B6)&lt;&gt;0,SUM(AG5:AG6)/SUM($B5:$B6)*$B4*10, "")</f>
        <v/>
      </c>
      <c r="AH4" s="58"/>
      <c r="AI4" s="58" t="str">
        <f>IF(SUM($B5:$B6)&lt;&gt;0,SUM(AI5:AI6)/SUM($B5:$B6)*$B4*10, "")</f>
        <v/>
      </c>
      <c r="AJ4" s="58"/>
      <c r="AK4" s="58" t="str">
        <f>IF(SUM($B5:$B6)&lt;&gt;0,SUM(AK5:AK6)/SUM($B5:$B6)*$B4*10, "")</f>
        <v/>
      </c>
      <c r="AL4" s="58"/>
      <c r="AM4" s="58" t="str">
        <f>IF(SUM($B5:$B6)&lt;&gt;0,SUM(AM5:AM6)/SUM($B5:$B6)*$B4*10, "")</f>
        <v/>
      </c>
      <c r="AN4" s="58"/>
      <c r="AO4" s="58" t="str">
        <f>IF(SUM($B5:$B6)&lt;&gt;0,SUM(AO5:AO6)/SUM($B5:$B6)*$B4*10, "")</f>
        <v/>
      </c>
      <c r="AP4" s="58"/>
      <c r="AQ4" s="58" t="str">
        <f>IF(SUM($B5:$B6)&lt;&gt;0,SUM(AQ5:AQ6)/SUM($B5:$B6)*$B4*10, "")</f>
        <v/>
      </c>
      <c r="AR4" s="58"/>
      <c r="AS4" s="58" t="str">
        <f>IF(SUM($B5:$B6)&lt;&gt;0,SUM(AS5:AS6)/SUM($B5:$B6)*$B4*10, "")</f>
        <v/>
      </c>
      <c r="AT4" s="58"/>
      <c r="AU4" s="58" t="str">
        <f>IF(SUM($B5:$B6)&lt;&gt;0,SUM(AU5:AU6)/SUM($B5:$B6)*$B4*10, "")</f>
        <v/>
      </c>
      <c r="AV4" s="58"/>
      <c r="AW4" s="58" t="str">
        <f>IF(SUM($B5:$B6)&lt;&gt;0,SUM(AW5:AW6)/SUM($B5:$B6)*$B4*10, "")</f>
        <v/>
      </c>
      <c r="AX4" s="58"/>
      <c r="AY4" s="58" t="str">
        <f>IF(SUM($B5:$B6)&lt;&gt;0,SUM(AY5:AY6)/SUM($B5:$B6)*$B4*10, "")</f>
        <v/>
      </c>
      <c r="AZ4" s="58"/>
      <c r="BA4" s="58" t="str">
        <f>IF(SUM($B5:$B6)&lt;&gt;0,SUM(BA5:BA6)/SUM($B5:$B6)*$B4*10, "")</f>
        <v/>
      </c>
      <c r="BB4" s="58"/>
      <c r="BC4" s="58" t="str">
        <f>IF(SUM($B5:$B6)&lt;&gt;0,SUM(BC5:BC6)/SUM($B5:$B6)*$B4*10, "")</f>
        <v/>
      </c>
      <c r="BD4" s="58"/>
      <c r="BE4" s="58" t="str">
        <f>IF(SUM($B5:$B6)&lt;&gt;0,SUM(BE5:BE6)/SUM($B5:$B6)*$B4*10, "")</f>
        <v/>
      </c>
      <c r="BF4" s="58"/>
      <c r="BG4" s="58" t="str">
        <f>IF(SUM($B5:$B6)&lt;&gt;0,SUM(BG5:BG6)/SUM($B5:$B6)*$B4*10, "")</f>
        <v/>
      </c>
      <c r="BH4" s="58"/>
      <c r="BI4" s="58" t="str">
        <f>IF(SUM($B5:$B6)&lt;&gt;0,SUM(BI5:BI6)/SUM($B5:$B6)*$B4*10, "")</f>
        <v/>
      </c>
      <c r="BJ4" s="58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8">
        <f>IF(SUM($B8:$B15)&lt;&gt;0,SUM(C8:C15)/SUM($B8:$B15)*$B7*10, "")</f>
        <v>0.74999999105930337</v>
      </c>
      <c r="D7" s="58"/>
      <c r="E7" s="58">
        <f>IF(SUM($B8:$B15)&lt;&gt;0,SUM(E8:E15)/SUM($B8:$B15)*$B7*10, "")</f>
        <v>0.71999999508261681</v>
      </c>
      <c r="F7" s="58"/>
      <c r="G7" s="58">
        <f>IF(SUM($B8:$B15)&lt;&gt;0,SUM(G8:G15)/SUM($B8:$B15)*$B7*10, "")</f>
        <v>0.75000001788139325</v>
      </c>
      <c r="H7" s="58"/>
      <c r="I7" s="58">
        <f>IF(SUM($B8:$B15)&lt;&gt;0,SUM(I8:I15)/SUM($B8:$B15)*$B7*10, "")</f>
        <v>0.6300000093877316</v>
      </c>
      <c r="J7" s="58"/>
      <c r="K7" s="58">
        <f>IF(SUM($B8:$B15)&lt;&gt;0,SUM(K8:K15)/SUM($B8:$B15)*$B7*10, "")</f>
        <v>0.63000001162290564</v>
      </c>
      <c r="L7" s="58"/>
      <c r="M7" s="58">
        <f>IF(SUM($B8:$B15)&lt;&gt;0,SUM(M8:M15)/SUM($B8:$B15)*$B7*10, "")</f>
        <v>0.51000000536441803</v>
      </c>
      <c r="N7" s="58"/>
      <c r="O7" s="58">
        <f>IF(SUM($B8:$B15)&lt;&gt;0,SUM(O8:O15)/SUM($B8:$B15)*$B7*10, "")</f>
        <v>0.53999999463558201</v>
      </c>
      <c r="P7" s="58"/>
      <c r="Q7" s="58">
        <f>IF(SUM($B8:$B15)&lt;&gt;0,SUM(Q8:Q15)/SUM($B8:$B15)*$B7*10, "")</f>
        <v>1.170000010728836</v>
      </c>
      <c r="R7" s="58"/>
      <c r="S7" s="58">
        <f>IF(SUM($B8:$B15)&lt;&gt;0,SUM(S8:S15)/SUM($B8:$B15)*$B7*10, "")</f>
        <v>0.56999999731779094</v>
      </c>
      <c r="T7" s="58"/>
      <c r="U7" s="58">
        <f>IF(SUM($B8:$B15)&lt;&gt;0,SUM(U8:U15)/SUM($B8:$B15)*$B7*10, "")</f>
        <v>0.6299999982118607</v>
      </c>
      <c r="V7" s="58"/>
      <c r="W7" s="58">
        <f>IF(SUM($B8:$B15)&lt;&gt;0,SUM(W8:W15)/SUM($B8:$B15)*$B7*10, "")</f>
        <v>0.47999999597668647</v>
      </c>
      <c r="X7" s="58"/>
      <c r="Y7" s="58">
        <f>IF(SUM($B8:$B15)&lt;&gt;0,SUM(Y8:Y15)/SUM($B8:$B15)*$B7*10, "")</f>
        <v>0.83999999910593026</v>
      </c>
      <c r="Z7" s="58"/>
      <c r="AA7" s="58">
        <f>IF(SUM($B8:$B15)&lt;&gt;0,SUM(AA8:AA15)/SUM($B8:$B15)*$B7*10, "")</f>
        <v>0.86999999508261672</v>
      </c>
      <c r="AB7" s="58"/>
      <c r="AC7" s="58">
        <f>IF(SUM($B8:$B15)&lt;&gt;0,SUM(AC8:AC15)/SUM($B8:$B15)*$B7*10, "")</f>
        <v>0.60000000894069672</v>
      </c>
      <c r="AD7" s="58"/>
      <c r="AE7" s="58">
        <f>IF(SUM($B8:$B15)&lt;&gt;0,SUM(AE8:AE15)/SUM($B8:$B15)*$B7*10, "")</f>
        <v>0.48000001385807989</v>
      </c>
      <c r="AF7" s="58"/>
      <c r="AG7" s="58">
        <f>IF(SUM($B8:$B15)&lt;&gt;0,SUM(AG8:AG15)/SUM($B8:$B15)*$B7*10, "")</f>
        <v>1.0200000040233135</v>
      </c>
      <c r="AH7" s="58"/>
      <c r="AI7" s="58">
        <f>IF(SUM($B8:$B15)&lt;&gt;0,SUM(AI8:AI15)/SUM($B8:$B15)*$B7*10, "")</f>
        <v>0.9300000004470349</v>
      </c>
      <c r="AJ7" s="58"/>
      <c r="AK7" s="58">
        <f>IF(SUM($B8:$B15)&lt;&gt;0,SUM(AK8:AK15)/SUM($B8:$B15)*$B7*10, "")</f>
        <v>0.60000001117587087</v>
      </c>
      <c r="AL7" s="58"/>
      <c r="AM7" s="58">
        <f>IF(SUM($B8:$B15)&lt;&gt;0,SUM(AM8:AM15)/SUM($B8:$B15)*$B7*10, "")</f>
        <v>0.81000000536441796</v>
      </c>
      <c r="AN7" s="58"/>
      <c r="AO7" s="58">
        <f>IF(SUM($B8:$B15)&lt;&gt;0,SUM(AO8:AO15)/SUM($B8:$B15)*$B7*10, "")</f>
        <v>0.60000000223517413</v>
      </c>
      <c r="AP7" s="58"/>
      <c r="AQ7" s="58">
        <f>IF(SUM($B8:$B15)&lt;&gt;0,SUM(AQ8:AQ15)/SUM($B8:$B15)*$B7*10, "")</f>
        <v>0.6900000125169754</v>
      </c>
      <c r="AR7" s="58"/>
      <c r="AS7" s="58">
        <f>IF(SUM($B8:$B15)&lt;&gt;0,SUM(AS8:AS15)/SUM($B8:$B15)*$B7*10, "")</f>
        <v>0.84000000357627869</v>
      </c>
      <c r="AT7" s="58"/>
      <c r="AU7" s="58">
        <f>IF(SUM($B8:$B15)&lt;&gt;0,SUM(AU8:AU15)/SUM($B8:$B15)*$B7*10, "")</f>
        <v>0.57000000402331352</v>
      </c>
      <c r="AV7" s="58"/>
      <c r="AW7" s="58">
        <f>IF(SUM($B8:$B15)&lt;&gt;0,SUM(AW8:AW15)/SUM($B8:$B15)*$B7*10, "")</f>
        <v>1.0500000044703484</v>
      </c>
      <c r="AX7" s="58"/>
      <c r="AY7" s="58">
        <f>IF(SUM($B8:$B15)&lt;&gt;0,SUM(AY8:AY15)/SUM($B8:$B15)*$B7*10, "")</f>
        <v>0.69000000357627866</v>
      </c>
      <c r="AZ7" s="58"/>
      <c r="BA7" s="58">
        <f>IF(SUM($B8:$B15)&lt;&gt;0,SUM(BA8:BA15)/SUM($B8:$B15)*$B7*10, "")</f>
        <v>0.6300000093877316</v>
      </c>
      <c r="BB7" s="58"/>
      <c r="BC7" s="58">
        <f>IF(SUM($B8:$B15)&lt;&gt;0,SUM(BC8:BC15)/SUM($B8:$B15)*$B7*10, "")</f>
        <v>0.93000002503395074</v>
      </c>
      <c r="BD7" s="58"/>
      <c r="BE7" s="58">
        <f>IF(SUM($B8:$B15)&lt;&gt;0,SUM(BE8:BE15)/SUM($B8:$B15)*$B7*10, "")</f>
        <v>0.65999999195337289</v>
      </c>
      <c r="BF7" s="58"/>
      <c r="BG7" s="58">
        <f>IF(SUM($B8:$B15)&lt;&gt;0,SUM(BG8:BG15)/SUM($B8:$B15)*$B7*10, "")</f>
        <v>0.59999999776482582</v>
      </c>
      <c r="BH7" s="58"/>
      <c r="BI7" s="58">
        <f>IF(SUM($B8:$B15)&lt;&gt;0,SUM(BI8:BI15)/SUM($B8:$B15)*$B7*10, "")</f>
        <v>0.54000000134110449</v>
      </c>
      <c r="BJ7" s="58"/>
    </row>
    <row r="8" spans="1:62" ht="42" x14ac:dyDescent="0.2">
      <c r="A8" s="2" t="s">
        <v>10</v>
      </c>
      <c r="B8" s="13">
        <f>Recu2!B8</f>
        <v>2</v>
      </c>
      <c r="C8" s="33">
        <f>Recu2!C8</f>
        <v>1.3999999761581421</v>
      </c>
      <c r="D8" s="32">
        <f t="shared" ref="D8:D15" si="29">IF($B8,C8/$B8,-1)</f>
        <v>0.69999998807907104</v>
      </c>
      <c r="E8" s="33">
        <f>Recu2!E8</f>
        <v>1</v>
      </c>
      <c r="F8" s="32">
        <f t="shared" ref="F8:F15" si="30">IF($B8,E8/$B8,-1)</f>
        <v>0.5</v>
      </c>
      <c r="G8" s="33">
        <f>Recu2!G8</f>
        <v>1.2000000476837158</v>
      </c>
      <c r="H8" s="32">
        <f t="shared" ref="H8:H15" si="31">IF($B8,G8/$B8,-1)</f>
        <v>0.60000002384185791</v>
      </c>
      <c r="I8" s="33">
        <f>Recu2!I8</f>
        <v>0.60000002384185791</v>
      </c>
      <c r="J8" s="32">
        <f t="shared" ref="J8:J15" si="32">IF($B8,I8/$B8,-1)</f>
        <v>0.30000001192092896</v>
      </c>
      <c r="K8" s="33">
        <f>Recu2!K8</f>
        <v>0.60000002384185791</v>
      </c>
      <c r="L8" s="32">
        <f t="shared" ref="L8:L15" si="33">IF($B8,K8/$B8,-1)</f>
        <v>0.30000001192092896</v>
      </c>
      <c r="M8" s="33">
        <f>Recu2!M8</f>
        <v>1.6000000238418579</v>
      </c>
      <c r="N8" s="32">
        <f t="shared" ref="N8:N15" si="34">IF($B8,M8/$B8,-1)</f>
        <v>0.80000001192092896</v>
      </c>
      <c r="O8" s="33">
        <f>Recu2!O8</f>
        <v>0</v>
      </c>
      <c r="P8" s="32">
        <f t="shared" ref="P8:P15" si="35">IF($B8,O8/$B8,-1)</f>
        <v>0</v>
      </c>
      <c r="Q8" s="33">
        <f>Recu2!Q8</f>
        <v>1.6000000238418579</v>
      </c>
      <c r="R8" s="32">
        <f t="shared" ref="R8:R15" si="36">IF($B8,Q8/$B8,-1)</f>
        <v>0.80000001192092896</v>
      </c>
      <c r="S8" s="33">
        <f>Recu2!S8</f>
        <v>1.6000000238418579</v>
      </c>
      <c r="T8" s="32">
        <f t="shared" ref="T8:T15" si="37">IF($B8,S8/$B8,-1)</f>
        <v>0.80000001192092896</v>
      </c>
      <c r="U8" s="33">
        <f>Recu2!U8</f>
        <v>1.3999999761581421</v>
      </c>
      <c r="V8" s="32">
        <f t="shared" ref="V8:V15" si="38">IF($B8,U8/$B8,-1)</f>
        <v>0.69999998807907104</v>
      </c>
      <c r="W8" s="33">
        <f>Recu2!W8</f>
        <v>0</v>
      </c>
      <c r="X8" s="32">
        <f t="shared" ref="X8:X15" si="39">IF($B8,W8/$B8,-1)</f>
        <v>0</v>
      </c>
      <c r="Y8" s="33">
        <f>Recu2!Y8</f>
        <v>0.80000001192092896</v>
      </c>
      <c r="Z8" s="32">
        <f t="shared" ref="Z8:Z15" si="40">IF($B8,Y8/$B8,-1)</f>
        <v>0.40000000596046448</v>
      </c>
      <c r="AA8" s="33">
        <f>Recu2!AA8</f>
        <v>1.7999999523162842</v>
      </c>
      <c r="AB8" s="32">
        <f t="shared" ref="AB8:AB15" si="41">IF($B8,AA8/$B8,-1)</f>
        <v>0.89999997615814209</v>
      </c>
      <c r="AC8" s="33">
        <f>Recu2!AC8</f>
        <v>1.6000000238418579</v>
      </c>
      <c r="AD8" s="32">
        <f t="shared" ref="AD8:AD15" si="42">IF($B8,AC8/$B8,-1)</f>
        <v>0.80000001192092896</v>
      </c>
      <c r="AE8" s="33">
        <f>Recu2!AE8</f>
        <v>0.80000001192092896</v>
      </c>
      <c r="AF8" s="32">
        <f t="shared" ref="AF8:AF15" si="43">IF($B8,AE8/$B8,-1)</f>
        <v>0.40000000596046448</v>
      </c>
      <c r="AG8" s="33">
        <f>Recu2!AG8</f>
        <v>2</v>
      </c>
      <c r="AH8" s="32">
        <f t="shared" ref="AH8:AH15" si="44">IF($B8,AG8/$B8,-1)</f>
        <v>1</v>
      </c>
      <c r="AI8" s="33">
        <f>Recu2!AI8</f>
        <v>1.7999999523162842</v>
      </c>
      <c r="AJ8" s="32">
        <f t="shared" ref="AJ8:AJ15" si="45">IF($B8,AI8/$B8,-1)</f>
        <v>0.89999997615814209</v>
      </c>
      <c r="AK8" s="33">
        <f>Recu2!AK8</f>
        <v>0</v>
      </c>
      <c r="AL8" s="32">
        <f t="shared" ref="AL8:AL15" si="46">IF($B8,AK8/$B8,-1)</f>
        <v>0</v>
      </c>
      <c r="AM8" s="33">
        <f>Recu2!AM8</f>
        <v>2</v>
      </c>
      <c r="AN8" s="32">
        <f t="shared" ref="AN8:AN15" si="47">IF($B8,AM8/$B8,-1)</f>
        <v>1</v>
      </c>
      <c r="AO8" s="33">
        <f>Recu2!AO8</f>
        <v>0.80000001192092896</v>
      </c>
      <c r="AP8" s="32">
        <f t="shared" ref="AP8:AP15" si="48">IF($B8,AO8/$B8,-1)</f>
        <v>0.40000000596046448</v>
      </c>
      <c r="AQ8" s="33">
        <f>Recu2!AQ8</f>
        <v>1</v>
      </c>
      <c r="AR8" s="32">
        <f t="shared" ref="AR8:AR15" si="49">IF($B8,AQ8/$B8,-1)</f>
        <v>0.5</v>
      </c>
      <c r="AS8" s="33">
        <f>Recu2!AS8</f>
        <v>1.6000000238418579</v>
      </c>
      <c r="AT8" s="32">
        <f t="shared" ref="AT8:AT15" si="50">IF($B8,AS8/$B8,-1)</f>
        <v>0.80000001192092896</v>
      </c>
      <c r="AU8" s="33">
        <f>Recu2!AU8</f>
        <v>0</v>
      </c>
      <c r="AV8" s="32">
        <f t="shared" ref="AV8:AV15" si="51">IF($B8,AU8/$B8,-1)</f>
        <v>0</v>
      </c>
      <c r="AW8" s="33">
        <f>Recu2!AW8</f>
        <v>1.2000000476837158</v>
      </c>
      <c r="AX8" s="32">
        <f t="shared" ref="AX8:AX15" si="52">IF($B8,AW8/$B8,-1)</f>
        <v>0.60000002384185791</v>
      </c>
      <c r="AY8" s="33">
        <f>Recu2!AY8</f>
        <v>1</v>
      </c>
      <c r="AZ8" s="32">
        <f t="shared" ref="AZ8:AZ15" si="53">IF($B8,AY8/$B8,-1)</f>
        <v>0.5</v>
      </c>
      <c r="BA8" s="33">
        <f>Recu2!BA8</f>
        <v>0.60000002384185791</v>
      </c>
      <c r="BB8" s="32">
        <f t="shared" ref="BB8:BB15" si="54">IF($B8,BA8/$B8,-1)</f>
        <v>0.30000001192092896</v>
      </c>
      <c r="BC8" s="33">
        <f>Recu2!BC8</f>
        <v>1.2000000476837158</v>
      </c>
      <c r="BD8" s="32">
        <f t="shared" ref="BD8:BD15" si="55">IF($B8,BC8/$B8,-1)</f>
        <v>0.60000002384185791</v>
      </c>
      <c r="BE8" s="33">
        <f>Recu2!BE8</f>
        <v>1.3999999761581421</v>
      </c>
      <c r="BF8" s="32">
        <f t="shared" ref="BF8:BF15" si="56">IF($B8,BE8/$B8,-1)</f>
        <v>0.69999998807907104</v>
      </c>
      <c r="BG8" s="33">
        <f>Recu2!BG8</f>
        <v>0.40000000596046448</v>
      </c>
      <c r="BH8" s="32">
        <f t="shared" ref="BH8:BH15" si="57">IF($B8,BG8/$B8,-1)</f>
        <v>0.20000000298023224</v>
      </c>
      <c r="BI8" s="33">
        <f>Recu2!BI8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Recu2!B9</f>
        <v>2</v>
      </c>
      <c r="C9" s="33">
        <f>Recu2!C9</f>
        <v>1.7999999523162842</v>
      </c>
      <c r="D9" s="32">
        <f t="shared" si="29"/>
        <v>0.89999997615814209</v>
      </c>
      <c r="E9" s="33">
        <f>Recu2!E9</f>
        <v>1.7999999523162842</v>
      </c>
      <c r="F9" s="32">
        <f t="shared" si="30"/>
        <v>0.89999997615814209</v>
      </c>
      <c r="G9" s="33">
        <f>Recu2!G9</f>
        <v>1.2000000476837158</v>
      </c>
      <c r="H9" s="32">
        <f t="shared" si="31"/>
        <v>0.60000002384185791</v>
      </c>
      <c r="I9" s="33">
        <f>Recu2!I9</f>
        <v>2</v>
      </c>
      <c r="J9" s="32">
        <f t="shared" si="32"/>
        <v>1</v>
      </c>
      <c r="K9" s="33">
        <f>Recu2!K9</f>
        <v>2</v>
      </c>
      <c r="L9" s="32">
        <f t="shared" si="33"/>
        <v>1</v>
      </c>
      <c r="M9" s="33">
        <f>Recu2!M9</f>
        <v>0.40000000596046448</v>
      </c>
      <c r="N9" s="32">
        <f t="shared" si="34"/>
        <v>0.20000000298023224</v>
      </c>
      <c r="O9" s="33">
        <f>Recu2!O9</f>
        <v>1.3999999761581421</v>
      </c>
      <c r="P9" s="32">
        <f t="shared" si="35"/>
        <v>0.69999998807907104</v>
      </c>
      <c r="Q9" s="33">
        <f>Recu2!Q9</f>
        <v>2</v>
      </c>
      <c r="R9" s="32">
        <f t="shared" si="36"/>
        <v>1</v>
      </c>
      <c r="S9" s="33">
        <f>Recu2!S9</f>
        <v>0.40000000596046448</v>
      </c>
      <c r="T9" s="32">
        <f t="shared" si="37"/>
        <v>0.20000000298023224</v>
      </c>
      <c r="U9" s="33">
        <f>Recu2!U9</f>
        <v>1</v>
      </c>
      <c r="V9" s="32">
        <f t="shared" si="38"/>
        <v>0.5</v>
      </c>
      <c r="W9" s="33">
        <f>Recu2!W9</f>
        <v>0.20000000298023224</v>
      </c>
      <c r="X9" s="32">
        <f t="shared" si="39"/>
        <v>0.10000000149011612</v>
      </c>
      <c r="Y9" s="33">
        <f>Recu2!Y9</f>
        <v>2</v>
      </c>
      <c r="Z9" s="32">
        <f t="shared" si="40"/>
        <v>1</v>
      </c>
      <c r="AA9" s="33">
        <f>Recu2!AA9</f>
        <v>1.3999999761581421</v>
      </c>
      <c r="AB9" s="32">
        <f t="shared" si="41"/>
        <v>0.69999998807907104</v>
      </c>
      <c r="AC9" s="33">
        <f>Recu2!AC9</f>
        <v>0</v>
      </c>
      <c r="AD9" s="32">
        <f t="shared" si="42"/>
        <v>0</v>
      </c>
      <c r="AE9" s="33">
        <f>Recu2!AE9</f>
        <v>1.2000000476837158</v>
      </c>
      <c r="AF9" s="32">
        <f t="shared" si="43"/>
        <v>0.60000002384185791</v>
      </c>
      <c r="AG9" s="33">
        <f>Recu2!AG9</f>
        <v>0.20000000298023224</v>
      </c>
      <c r="AH9" s="32">
        <f t="shared" si="44"/>
        <v>0.10000000149011612</v>
      </c>
      <c r="AI9" s="33">
        <f>Recu2!AI9</f>
        <v>0.20000000298023224</v>
      </c>
      <c r="AJ9" s="32">
        <f t="shared" si="45"/>
        <v>0.10000000149011612</v>
      </c>
      <c r="AK9" s="33">
        <f>Recu2!AK9</f>
        <v>1.6000000238418579</v>
      </c>
      <c r="AL9" s="32">
        <f t="shared" si="46"/>
        <v>0.80000001192092896</v>
      </c>
      <c r="AM9" s="33">
        <f>Recu2!AM9</f>
        <v>0.60000002384185791</v>
      </c>
      <c r="AN9" s="32">
        <f t="shared" si="47"/>
        <v>0.30000001192092896</v>
      </c>
      <c r="AO9" s="33">
        <f>Recu2!AO9</f>
        <v>0</v>
      </c>
      <c r="AP9" s="32">
        <f t="shared" si="48"/>
        <v>0</v>
      </c>
      <c r="AQ9" s="33">
        <f>Recu2!AQ9</f>
        <v>0.60000002384185791</v>
      </c>
      <c r="AR9" s="32">
        <f t="shared" si="49"/>
        <v>0.30000001192092896</v>
      </c>
      <c r="AS9" s="33">
        <f>Recu2!AS9</f>
        <v>0.80000001192092896</v>
      </c>
      <c r="AT9" s="32">
        <f t="shared" si="50"/>
        <v>0.40000000596046448</v>
      </c>
      <c r="AU9" s="33">
        <f>Recu2!AU9</f>
        <v>0.60000002384185791</v>
      </c>
      <c r="AV9" s="32">
        <f t="shared" si="51"/>
        <v>0.30000001192092896</v>
      </c>
      <c r="AW9" s="33">
        <f>Recu2!AW9</f>
        <v>2</v>
      </c>
      <c r="AX9" s="32">
        <f t="shared" si="52"/>
        <v>1</v>
      </c>
      <c r="AY9" s="33">
        <f>Recu2!AY9</f>
        <v>2</v>
      </c>
      <c r="AZ9" s="32">
        <f t="shared" si="53"/>
        <v>1</v>
      </c>
      <c r="BA9" s="33">
        <f>Recu2!BA9</f>
        <v>0.80000001192092896</v>
      </c>
      <c r="BB9" s="32">
        <f t="shared" si="54"/>
        <v>0.40000000596046448</v>
      </c>
      <c r="BC9" s="33">
        <f>Recu2!BC9</f>
        <v>0.60000002384185791</v>
      </c>
      <c r="BD9" s="32">
        <f t="shared" si="55"/>
        <v>0.30000001192092896</v>
      </c>
      <c r="BE9" s="33">
        <f>Recu2!BE9</f>
        <v>0.20000000298023224</v>
      </c>
      <c r="BF9" s="32">
        <f t="shared" si="56"/>
        <v>0.10000000149011612</v>
      </c>
      <c r="BG9" s="33">
        <f>Recu2!BG9</f>
        <v>0.20000000298023224</v>
      </c>
      <c r="BH9" s="32">
        <f t="shared" si="57"/>
        <v>0.10000000149011612</v>
      </c>
      <c r="BI9" s="33">
        <f>Recu2!BI9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Recu2!B10</f>
        <v>2</v>
      </c>
      <c r="C10" s="33">
        <f>Recu2!C10</f>
        <v>0.80000001192092896</v>
      </c>
      <c r="D10" s="32">
        <f t="shared" si="29"/>
        <v>0.40000000596046448</v>
      </c>
      <c r="E10" s="33">
        <f>Recu2!E10</f>
        <v>0.80000001192092896</v>
      </c>
      <c r="F10" s="32">
        <f t="shared" si="30"/>
        <v>0.40000000596046448</v>
      </c>
      <c r="G10" s="33">
        <f>Recu2!G10</f>
        <v>1.3999999761581421</v>
      </c>
      <c r="H10" s="32">
        <f t="shared" si="31"/>
        <v>0.69999998807907104</v>
      </c>
      <c r="I10" s="33">
        <f>Recu2!I10</f>
        <v>0.60000002384185791</v>
      </c>
      <c r="J10" s="32">
        <f t="shared" si="32"/>
        <v>0.30000001192092896</v>
      </c>
      <c r="K10" s="33">
        <f>Recu2!K10</f>
        <v>1.2000000476837158</v>
      </c>
      <c r="L10" s="32">
        <f t="shared" si="33"/>
        <v>0.60000002384185791</v>
      </c>
      <c r="M10" s="33">
        <f>Recu2!M10</f>
        <v>0.40000000596046448</v>
      </c>
      <c r="N10" s="32">
        <f t="shared" si="34"/>
        <v>0.20000000298023224</v>
      </c>
      <c r="O10" s="33">
        <f>Recu2!O10</f>
        <v>0.40000000596046448</v>
      </c>
      <c r="P10" s="32">
        <f t="shared" si="35"/>
        <v>0.20000000298023224</v>
      </c>
      <c r="Q10" s="33">
        <f>Recu2!Q10</f>
        <v>1.2000000476837158</v>
      </c>
      <c r="R10" s="32">
        <f t="shared" si="36"/>
        <v>0.60000002384185791</v>
      </c>
      <c r="S10" s="33">
        <f>Recu2!S10</f>
        <v>0</v>
      </c>
      <c r="T10" s="32">
        <f t="shared" si="37"/>
        <v>0</v>
      </c>
      <c r="U10" s="33">
        <f>Recu2!U10</f>
        <v>1</v>
      </c>
      <c r="V10" s="32">
        <f t="shared" si="38"/>
        <v>0.5</v>
      </c>
      <c r="W10" s="33">
        <f>Recu2!W10</f>
        <v>1.7999999523162842</v>
      </c>
      <c r="X10" s="32">
        <f t="shared" si="39"/>
        <v>0.89999997615814209</v>
      </c>
      <c r="Y10" s="33">
        <f>Recu2!Y10</f>
        <v>0.40000000596046448</v>
      </c>
      <c r="Z10" s="32">
        <f t="shared" si="40"/>
        <v>0.20000000298023224</v>
      </c>
      <c r="AA10" s="33">
        <f>Recu2!AA10</f>
        <v>1.6000000238418579</v>
      </c>
      <c r="AB10" s="32">
        <f t="shared" si="41"/>
        <v>0.80000001192092896</v>
      </c>
      <c r="AC10" s="33">
        <f>Recu2!AC10</f>
        <v>0.80000001192092896</v>
      </c>
      <c r="AD10" s="32">
        <f t="shared" si="42"/>
        <v>0.40000000596046448</v>
      </c>
      <c r="AE10" s="33">
        <f>Recu2!AE10</f>
        <v>0.60000002384185791</v>
      </c>
      <c r="AF10" s="32">
        <f t="shared" si="43"/>
        <v>0.30000001192092896</v>
      </c>
      <c r="AG10" s="33">
        <f>Recu2!AG10</f>
        <v>2</v>
      </c>
      <c r="AH10" s="32">
        <f t="shared" si="44"/>
        <v>1</v>
      </c>
      <c r="AI10" s="33">
        <f>Recu2!AI10</f>
        <v>1.2000000476837158</v>
      </c>
      <c r="AJ10" s="32">
        <f t="shared" si="45"/>
        <v>0.60000002384185791</v>
      </c>
      <c r="AK10" s="33">
        <f>Recu2!AK10</f>
        <v>1.2000000476837158</v>
      </c>
      <c r="AL10" s="32">
        <f t="shared" si="46"/>
        <v>0.60000002384185791</v>
      </c>
      <c r="AM10" s="33">
        <f>Recu2!AM10</f>
        <v>0.80000001192092896</v>
      </c>
      <c r="AN10" s="32">
        <f t="shared" si="47"/>
        <v>0.40000000596046448</v>
      </c>
      <c r="AO10" s="33">
        <f>Recu2!AO10</f>
        <v>0.20000000298023224</v>
      </c>
      <c r="AP10" s="32">
        <f t="shared" si="48"/>
        <v>0.10000000149011612</v>
      </c>
      <c r="AQ10" s="33">
        <f>Recu2!AQ10</f>
        <v>1.2000000476837158</v>
      </c>
      <c r="AR10" s="32">
        <f t="shared" si="49"/>
        <v>0.60000002384185791</v>
      </c>
      <c r="AS10" s="33">
        <f>Recu2!AS10</f>
        <v>1.3999999761581421</v>
      </c>
      <c r="AT10" s="32">
        <f t="shared" si="50"/>
        <v>0.69999998807907104</v>
      </c>
      <c r="AU10" s="33">
        <f>Recu2!AU10</f>
        <v>2</v>
      </c>
      <c r="AV10" s="32">
        <f t="shared" si="51"/>
        <v>1</v>
      </c>
      <c r="AW10" s="33">
        <f>Recu2!AW10</f>
        <v>1.7999999523162842</v>
      </c>
      <c r="AX10" s="32">
        <f t="shared" si="52"/>
        <v>0.89999997615814209</v>
      </c>
      <c r="AY10" s="33">
        <f>Recu2!AY10</f>
        <v>0</v>
      </c>
      <c r="AZ10" s="32">
        <f t="shared" si="53"/>
        <v>0</v>
      </c>
      <c r="BA10" s="33">
        <f>Recu2!BA10</f>
        <v>1</v>
      </c>
      <c r="BB10" s="32">
        <f t="shared" si="54"/>
        <v>0.5</v>
      </c>
      <c r="BC10" s="33">
        <f>Recu2!BC10</f>
        <v>2</v>
      </c>
      <c r="BD10" s="32">
        <f t="shared" si="55"/>
        <v>1</v>
      </c>
      <c r="BE10" s="33">
        <f>Recu2!BE10</f>
        <v>0.80000001192092896</v>
      </c>
      <c r="BF10" s="32">
        <f t="shared" si="56"/>
        <v>0.40000000596046448</v>
      </c>
      <c r="BG10" s="33">
        <f>Recu2!BG10</f>
        <v>1.3999999761581421</v>
      </c>
      <c r="BH10" s="32">
        <f t="shared" si="57"/>
        <v>0.69999998807907104</v>
      </c>
      <c r="BI10" s="33">
        <f>Recu2!BI10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Recu2!B11</f>
        <v>0</v>
      </c>
      <c r="C11" s="33">
        <f>Recu2!C11</f>
        <v>0</v>
      </c>
      <c r="D11" s="32">
        <f t="shared" si="29"/>
        <v>-1</v>
      </c>
      <c r="E11" s="33">
        <f>Recu2!E11</f>
        <v>0</v>
      </c>
      <c r="F11" s="32">
        <f t="shared" si="30"/>
        <v>-1</v>
      </c>
      <c r="G11" s="33">
        <f>Recu2!G11</f>
        <v>0</v>
      </c>
      <c r="H11" s="32">
        <f t="shared" si="31"/>
        <v>-1</v>
      </c>
      <c r="I11" s="33">
        <f>Recu2!I11</f>
        <v>0</v>
      </c>
      <c r="J11" s="32">
        <f t="shared" si="32"/>
        <v>-1</v>
      </c>
      <c r="K11" s="33">
        <f>Recu2!K11</f>
        <v>0</v>
      </c>
      <c r="L11" s="32">
        <f t="shared" si="33"/>
        <v>-1</v>
      </c>
      <c r="M11" s="33">
        <f>Recu2!M11</f>
        <v>0</v>
      </c>
      <c r="N11" s="32">
        <f t="shared" si="34"/>
        <v>-1</v>
      </c>
      <c r="O11" s="33">
        <f>Recu2!O11</f>
        <v>0</v>
      </c>
      <c r="P11" s="32">
        <f t="shared" si="35"/>
        <v>-1</v>
      </c>
      <c r="Q11" s="33">
        <f>Recu2!Q11</f>
        <v>0</v>
      </c>
      <c r="R11" s="32">
        <f t="shared" si="36"/>
        <v>-1</v>
      </c>
      <c r="S11" s="33">
        <f>Recu2!S11</f>
        <v>0</v>
      </c>
      <c r="T11" s="32">
        <f t="shared" si="37"/>
        <v>-1</v>
      </c>
      <c r="U11" s="33">
        <f>Recu2!U11</f>
        <v>0</v>
      </c>
      <c r="V11" s="32">
        <f t="shared" si="38"/>
        <v>-1</v>
      </c>
      <c r="W11" s="33">
        <f>Recu2!W11</f>
        <v>0</v>
      </c>
      <c r="X11" s="32">
        <f t="shared" si="39"/>
        <v>-1</v>
      </c>
      <c r="Y11" s="33">
        <f>Recu2!Y11</f>
        <v>0</v>
      </c>
      <c r="Z11" s="32">
        <f t="shared" si="40"/>
        <v>-1</v>
      </c>
      <c r="AA11" s="33">
        <f>Recu2!AA11</f>
        <v>0</v>
      </c>
      <c r="AB11" s="32">
        <f t="shared" si="41"/>
        <v>-1</v>
      </c>
      <c r="AC11" s="33">
        <f>Recu2!AC11</f>
        <v>0</v>
      </c>
      <c r="AD11" s="32">
        <f t="shared" si="42"/>
        <v>-1</v>
      </c>
      <c r="AE11" s="33">
        <f>Recu2!AE11</f>
        <v>0</v>
      </c>
      <c r="AF11" s="32">
        <f t="shared" si="43"/>
        <v>-1</v>
      </c>
      <c r="AG11" s="33">
        <f>Recu2!AG11</f>
        <v>0</v>
      </c>
      <c r="AH11" s="32">
        <f t="shared" si="44"/>
        <v>-1</v>
      </c>
      <c r="AI11" s="33">
        <f>Recu2!AI11</f>
        <v>0</v>
      </c>
      <c r="AJ11" s="32">
        <f t="shared" si="45"/>
        <v>-1</v>
      </c>
      <c r="AK11" s="33">
        <f>Recu2!AK11</f>
        <v>0</v>
      </c>
      <c r="AL11" s="32">
        <f t="shared" si="46"/>
        <v>-1</v>
      </c>
      <c r="AM11" s="33">
        <f>Recu2!AM11</f>
        <v>0</v>
      </c>
      <c r="AN11" s="32">
        <f t="shared" si="47"/>
        <v>-1</v>
      </c>
      <c r="AO11" s="33">
        <f>Recu2!AO11</f>
        <v>0</v>
      </c>
      <c r="AP11" s="32">
        <f t="shared" si="48"/>
        <v>-1</v>
      </c>
      <c r="AQ11" s="33">
        <f>Recu2!AQ11</f>
        <v>0</v>
      </c>
      <c r="AR11" s="32">
        <f t="shared" si="49"/>
        <v>-1</v>
      </c>
      <c r="AS11" s="33">
        <f>Recu2!AS11</f>
        <v>0</v>
      </c>
      <c r="AT11" s="32">
        <f t="shared" si="50"/>
        <v>-1</v>
      </c>
      <c r="AU11" s="33">
        <f>Recu2!AU11</f>
        <v>0</v>
      </c>
      <c r="AV11" s="32">
        <f t="shared" si="51"/>
        <v>-1</v>
      </c>
      <c r="AW11" s="33">
        <f>Recu2!AW11</f>
        <v>0</v>
      </c>
      <c r="AX11" s="32">
        <f t="shared" si="52"/>
        <v>-1</v>
      </c>
      <c r="AY11" s="33">
        <f>Recu2!AY11</f>
        <v>0</v>
      </c>
      <c r="AZ11" s="32">
        <f t="shared" si="53"/>
        <v>-1</v>
      </c>
      <c r="BA11" s="33">
        <f>Recu2!BA11</f>
        <v>0</v>
      </c>
      <c r="BB11" s="32">
        <f t="shared" si="54"/>
        <v>-1</v>
      </c>
      <c r="BC11" s="33">
        <f>Recu2!BC11</f>
        <v>0</v>
      </c>
      <c r="BD11" s="32">
        <f t="shared" si="55"/>
        <v>-1</v>
      </c>
      <c r="BE11" s="33">
        <f>Recu2!BE11</f>
        <v>0</v>
      </c>
      <c r="BF11" s="32">
        <f t="shared" si="56"/>
        <v>-1</v>
      </c>
      <c r="BG11" s="33">
        <f>Recu2!BG11</f>
        <v>0</v>
      </c>
      <c r="BH11" s="32">
        <f t="shared" si="57"/>
        <v>-1</v>
      </c>
      <c r="BI11" s="33">
        <f>Recu2!BI11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Recu2!B12</f>
        <v>2</v>
      </c>
      <c r="C12" s="33">
        <f>Recu2!C12</f>
        <v>1</v>
      </c>
      <c r="D12" s="32">
        <f t="shared" si="29"/>
        <v>0.5</v>
      </c>
      <c r="E12" s="33">
        <f>Recu2!E12</f>
        <v>1</v>
      </c>
      <c r="F12" s="32">
        <f t="shared" si="30"/>
        <v>0.5</v>
      </c>
      <c r="G12" s="33">
        <f>Recu2!G12</f>
        <v>0.60000002384185791</v>
      </c>
      <c r="H12" s="32">
        <f t="shared" si="31"/>
        <v>0.30000001192092896</v>
      </c>
      <c r="I12" s="33">
        <f>Recu2!I12</f>
        <v>0.80000001192092896</v>
      </c>
      <c r="J12" s="32">
        <f t="shared" si="32"/>
        <v>0.40000000596046448</v>
      </c>
      <c r="K12" s="33">
        <f>Recu2!K12</f>
        <v>0.40000000596046448</v>
      </c>
      <c r="L12" s="32">
        <f t="shared" si="33"/>
        <v>0.20000000298023224</v>
      </c>
      <c r="M12" s="33">
        <f>Recu2!M12</f>
        <v>0</v>
      </c>
      <c r="N12" s="32">
        <f t="shared" si="34"/>
        <v>0</v>
      </c>
      <c r="O12" s="33">
        <f>Recu2!O12</f>
        <v>0.40000000596046448</v>
      </c>
      <c r="P12" s="32">
        <f t="shared" si="35"/>
        <v>0.20000000298023224</v>
      </c>
      <c r="Q12" s="33">
        <f>Recu2!Q12</f>
        <v>2</v>
      </c>
      <c r="R12" s="32">
        <f t="shared" si="36"/>
        <v>1</v>
      </c>
      <c r="S12" s="33">
        <f>Recu2!S12</f>
        <v>0</v>
      </c>
      <c r="T12" s="32">
        <f t="shared" si="37"/>
        <v>0</v>
      </c>
      <c r="U12" s="33">
        <f>Recu2!U12</f>
        <v>0.80000001192092896</v>
      </c>
      <c r="V12" s="32">
        <f t="shared" si="38"/>
        <v>0.40000000596046448</v>
      </c>
      <c r="W12" s="33">
        <f>Recu2!W12</f>
        <v>0.80000001192092896</v>
      </c>
      <c r="X12" s="32">
        <f t="shared" si="39"/>
        <v>0.40000000596046448</v>
      </c>
      <c r="Y12" s="33">
        <f>Recu2!Y12</f>
        <v>1</v>
      </c>
      <c r="Z12" s="32">
        <f t="shared" si="40"/>
        <v>0.5</v>
      </c>
      <c r="AA12" s="33">
        <f>Recu2!AA12</f>
        <v>0.20000000298023224</v>
      </c>
      <c r="AB12" s="32">
        <f t="shared" si="41"/>
        <v>0.10000000149011612</v>
      </c>
      <c r="AC12" s="33">
        <f>Recu2!AC12</f>
        <v>1</v>
      </c>
      <c r="AD12" s="32">
        <f t="shared" si="42"/>
        <v>0.5</v>
      </c>
      <c r="AE12" s="33">
        <f>Recu2!AE12</f>
        <v>0.40000000596046448</v>
      </c>
      <c r="AF12" s="32">
        <f t="shared" si="43"/>
        <v>0.20000000298023224</v>
      </c>
      <c r="AG12" s="33">
        <f>Recu2!AG12</f>
        <v>1.2000000476837158</v>
      </c>
      <c r="AH12" s="32">
        <f t="shared" si="44"/>
        <v>0.60000002384185791</v>
      </c>
      <c r="AI12" s="33">
        <f>Recu2!AI12</f>
        <v>1</v>
      </c>
      <c r="AJ12" s="32">
        <f t="shared" si="45"/>
        <v>0.5</v>
      </c>
      <c r="AK12" s="33">
        <f>Recu2!AK12</f>
        <v>0.20000000298023224</v>
      </c>
      <c r="AL12" s="32">
        <f t="shared" si="46"/>
        <v>0.10000000149011612</v>
      </c>
      <c r="AM12" s="33">
        <f>Recu2!AM12</f>
        <v>2</v>
      </c>
      <c r="AN12" s="32">
        <f t="shared" si="47"/>
        <v>1</v>
      </c>
      <c r="AO12" s="33">
        <f>Recu2!AO12</f>
        <v>1.3999999761581421</v>
      </c>
      <c r="AP12" s="32">
        <f t="shared" si="48"/>
        <v>0.69999998807907104</v>
      </c>
      <c r="AQ12" s="33">
        <f>Recu2!AQ12</f>
        <v>1</v>
      </c>
      <c r="AR12" s="32">
        <f t="shared" si="49"/>
        <v>0.5</v>
      </c>
      <c r="AS12" s="33">
        <f>Recu2!AS12</f>
        <v>0.80000001192092896</v>
      </c>
      <c r="AT12" s="32">
        <f t="shared" si="50"/>
        <v>0.40000000596046448</v>
      </c>
      <c r="AU12" s="33">
        <f>Recu2!AU12</f>
        <v>0.20000000298023224</v>
      </c>
      <c r="AV12" s="32">
        <f t="shared" si="51"/>
        <v>0.10000000149011612</v>
      </c>
      <c r="AW12" s="33">
        <f>Recu2!AW12</f>
        <v>1.6000000238418579</v>
      </c>
      <c r="AX12" s="32">
        <f t="shared" si="52"/>
        <v>0.80000001192092896</v>
      </c>
      <c r="AY12" s="33">
        <f>Recu2!AY12</f>
        <v>1</v>
      </c>
      <c r="AZ12" s="32">
        <f t="shared" si="53"/>
        <v>0.5</v>
      </c>
      <c r="BA12" s="33">
        <f>Recu2!BA12</f>
        <v>1.6000000238418579</v>
      </c>
      <c r="BB12" s="32">
        <f t="shared" si="54"/>
        <v>0.80000001192092896</v>
      </c>
      <c r="BC12" s="33">
        <f>Recu2!BC12</f>
        <v>1.2000000476837158</v>
      </c>
      <c r="BD12" s="32">
        <f t="shared" si="55"/>
        <v>0.60000002384185791</v>
      </c>
      <c r="BE12" s="33">
        <f>Recu2!BE12</f>
        <v>1.7999999523162842</v>
      </c>
      <c r="BF12" s="32">
        <f t="shared" si="56"/>
        <v>0.89999997615814209</v>
      </c>
      <c r="BG12" s="33">
        <f>Recu2!BG12</f>
        <v>0</v>
      </c>
      <c r="BH12" s="32">
        <f t="shared" si="57"/>
        <v>0</v>
      </c>
      <c r="BI12" s="33">
        <f>Recu2!BI12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Recu2!B13</f>
        <v>2</v>
      </c>
      <c r="C13" s="33">
        <f>Recu2!C13</f>
        <v>0</v>
      </c>
      <c r="D13" s="32">
        <f t="shared" si="29"/>
        <v>0</v>
      </c>
      <c r="E13" s="33">
        <f>Recu2!E13</f>
        <v>0.20000000298023224</v>
      </c>
      <c r="F13" s="32">
        <f t="shared" si="30"/>
        <v>0.10000000149011612</v>
      </c>
      <c r="G13" s="33">
        <f>Recu2!G13</f>
        <v>0.60000002384185791</v>
      </c>
      <c r="H13" s="32">
        <f t="shared" si="31"/>
        <v>0.30000001192092896</v>
      </c>
      <c r="I13" s="33">
        <f>Recu2!I13</f>
        <v>0.20000000298023224</v>
      </c>
      <c r="J13" s="32">
        <f t="shared" si="32"/>
        <v>0.10000000149011612</v>
      </c>
      <c r="K13" s="33">
        <f>Recu2!K13</f>
        <v>0</v>
      </c>
      <c r="L13" s="32">
        <f t="shared" si="33"/>
        <v>0</v>
      </c>
      <c r="M13" s="33">
        <f>Recu2!M13</f>
        <v>1</v>
      </c>
      <c r="N13" s="32">
        <f t="shared" si="34"/>
        <v>0.5</v>
      </c>
      <c r="O13" s="33">
        <f>Recu2!O13</f>
        <v>1.3999999761581421</v>
      </c>
      <c r="P13" s="32">
        <f t="shared" si="35"/>
        <v>0.69999998807907104</v>
      </c>
      <c r="Q13" s="33">
        <f>Recu2!Q13</f>
        <v>1</v>
      </c>
      <c r="R13" s="32">
        <f t="shared" si="36"/>
        <v>0.5</v>
      </c>
      <c r="S13" s="33">
        <f>Recu2!S13</f>
        <v>1.7999999523162842</v>
      </c>
      <c r="T13" s="32">
        <f t="shared" si="37"/>
        <v>0.89999997615814209</v>
      </c>
      <c r="U13" s="33">
        <f>Recu2!U13</f>
        <v>0</v>
      </c>
      <c r="V13" s="32">
        <f t="shared" si="38"/>
        <v>0</v>
      </c>
      <c r="W13" s="33">
        <f>Recu2!W13</f>
        <v>0.40000000596046448</v>
      </c>
      <c r="X13" s="32">
        <f t="shared" si="39"/>
        <v>0.20000000298023224</v>
      </c>
      <c r="Y13" s="33">
        <f>Recu2!Y13</f>
        <v>1.3999999761581421</v>
      </c>
      <c r="Z13" s="32">
        <f t="shared" si="40"/>
        <v>0.69999998807907104</v>
      </c>
      <c r="AA13" s="33">
        <f>Recu2!AA13</f>
        <v>0.80000001192092896</v>
      </c>
      <c r="AB13" s="32">
        <f t="shared" si="41"/>
        <v>0.40000000596046448</v>
      </c>
      <c r="AC13" s="33">
        <f>Recu2!AC13</f>
        <v>0.60000002384185791</v>
      </c>
      <c r="AD13" s="32">
        <f t="shared" si="42"/>
        <v>0.30000001192092896</v>
      </c>
      <c r="AE13" s="33">
        <f>Recu2!AE13</f>
        <v>0.20000000298023224</v>
      </c>
      <c r="AF13" s="32">
        <f t="shared" si="43"/>
        <v>0.10000000149011612</v>
      </c>
      <c r="AG13" s="33">
        <f>Recu2!AG13</f>
        <v>1.3999999761581421</v>
      </c>
      <c r="AH13" s="32">
        <f t="shared" si="44"/>
        <v>0.69999998807907104</v>
      </c>
      <c r="AI13" s="33">
        <f>Recu2!AI13</f>
        <v>2</v>
      </c>
      <c r="AJ13" s="32">
        <f t="shared" si="45"/>
        <v>1</v>
      </c>
      <c r="AK13" s="33">
        <f>Recu2!AK13</f>
        <v>1</v>
      </c>
      <c r="AL13" s="32">
        <f t="shared" si="46"/>
        <v>0.5</v>
      </c>
      <c r="AM13" s="33">
        <f>Recu2!AM13</f>
        <v>0</v>
      </c>
      <c r="AN13" s="32">
        <f t="shared" si="47"/>
        <v>0</v>
      </c>
      <c r="AO13" s="33">
        <f>Recu2!AO13</f>
        <v>1.6000000238418579</v>
      </c>
      <c r="AP13" s="32">
        <f t="shared" si="48"/>
        <v>0.80000001192092896</v>
      </c>
      <c r="AQ13" s="33">
        <f>Recu2!AQ13</f>
        <v>0.80000001192092896</v>
      </c>
      <c r="AR13" s="32">
        <f t="shared" si="49"/>
        <v>0.40000000596046448</v>
      </c>
      <c r="AS13" s="33">
        <f>Recu2!AS13</f>
        <v>1</v>
      </c>
      <c r="AT13" s="32">
        <f t="shared" si="50"/>
        <v>0.5</v>
      </c>
      <c r="AU13" s="33">
        <f>Recu2!AU13</f>
        <v>1</v>
      </c>
      <c r="AV13" s="32">
        <f t="shared" si="51"/>
        <v>0.5</v>
      </c>
      <c r="AW13" s="33">
        <f>Recu2!AW13</f>
        <v>0.40000000596046448</v>
      </c>
      <c r="AX13" s="32">
        <f t="shared" si="52"/>
        <v>0.20000000298023224</v>
      </c>
      <c r="AY13" s="33">
        <f>Recu2!AY13</f>
        <v>0.60000002384185791</v>
      </c>
      <c r="AZ13" s="32">
        <f t="shared" si="53"/>
        <v>0.30000001192092896</v>
      </c>
      <c r="BA13" s="33">
        <f>Recu2!BA13</f>
        <v>0.20000000298023224</v>
      </c>
      <c r="BB13" s="32">
        <f t="shared" si="54"/>
        <v>0.10000000149011612</v>
      </c>
      <c r="BC13" s="33">
        <f>Recu2!BC13</f>
        <v>1.2000000476837158</v>
      </c>
      <c r="BD13" s="32">
        <f t="shared" si="55"/>
        <v>0.60000002384185791</v>
      </c>
      <c r="BE13" s="33">
        <f>Recu2!BE13</f>
        <v>0.20000000298023224</v>
      </c>
      <c r="BF13" s="32">
        <f t="shared" si="56"/>
        <v>0.10000000149011612</v>
      </c>
      <c r="BG13" s="33">
        <f>Recu2!BG13</f>
        <v>2</v>
      </c>
      <c r="BH13" s="32">
        <f t="shared" si="57"/>
        <v>1</v>
      </c>
      <c r="BI13" s="33">
        <f>Recu2!BI13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Recu2!B14</f>
        <v>0</v>
      </c>
      <c r="C14" s="33">
        <f>Recu2!C14</f>
        <v>0</v>
      </c>
      <c r="D14" s="32">
        <f t="shared" si="29"/>
        <v>-1</v>
      </c>
      <c r="E14" s="33">
        <f>Recu2!E14</f>
        <v>0</v>
      </c>
      <c r="F14" s="32">
        <f t="shared" si="30"/>
        <v>-1</v>
      </c>
      <c r="G14" s="33">
        <f>Recu2!G14</f>
        <v>0</v>
      </c>
      <c r="H14" s="32">
        <f t="shared" si="31"/>
        <v>-1</v>
      </c>
      <c r="I14" s="33">
        <f>Recu2!I14</f>
        <v>0</v>
      </c>
      <c r="J14" s="32">
        <f t="shared" si="32"/>
        <v>-1</v>
      </c>
      <c r="K14" s="33">
        <f>Recu2!K14</f>
        <v>0</v>
      </c>
      <c r="L14" s="32">
        <f t="shared" si="33"/>
        <v>-1</v>
      </c>
      <c r="M14" s="33">
        <f>Recu2!M14</f>
        <v>0</v>
      </c>
      <c r="N14" s="32">
        <f t="shared" si="34"/>
        <v>-1</v>
      </c>
      <c r="O14" s="33">
        <f>Recu2!O14</f>
        <v>0</v>
      </c>
      <c r="P14" s="32">
        <f t="shared" si="35"/>
        <v>-1</v>
      </c>
      <c r="Q14" s="33">
        <f>Recu2!Q14</f>
        <v>0</v>
      </c>
      <c r="R14" s="32">
        <f t="shared" si="36"/>
        <v>-1</v>
      </c>
      <c r="S14" s="33">
        <f>Recu2!S14</f>
        <v>0</v>
      </c>
      <c r="T14" s="32">
        <f t="shared" si="37"/>
        <v>-1</v>
      </c>
      <c r="U14" s="33">
        <f>Recu2!U14</f>
        <v>0</v>
      </c>
      <c r="V14" s="32">
        <f t="shared" si="38"/>
        <v>-1</v>
      </c>
      <c r="W14" s="33">
        <f>Recu2!W14</f>
        <v>0</v>
      </c>
      <c r="X14" s="32">
        <f t="shared" si="39"/>
        <v>-1</v>
      </c>
      <c r="Y14" s="33">
        <f>Recu2!Y14</f>
        <v>0</v>
      </c>
      <c r="Z14" s="32">
        <f t="shared" si="40"/>
        <v>-1</v>
      </c>
      <c r="AA14" s="33">
        <f>Recu2!AA14</f>
        <v>0</v>
      </c>
      <c r="AB14" s="32">
        <f t="shared" si="41"/>
        <v>-1</v>
      </c>
      <c r="AC14" s="33">
        <f>Recu2!AC14</f>
        <v>0</v>
      </c>
      <c r="AD14" s="32">
        <f t="shared" si="42"/>
        <v>-1</v>
      </c>
      <c r="AE14" s="33">
        <f>Recu2!AE14</f>
        <v>0</v>
      </c>
      <c r="AF14" s="32">
        <f t="shared" si="43"/>
        <v>-1</v>
      </c>
      <c r="AG14" s="33">
        <f>Recu2!AG14</f>
        <v>0</v>
      </c>
      <c r="AH14" s="32">
        <f t="shared" si="44"/>
        <v>-1</v>
      </c>
      <c r="AI14" s="33">
        <f>Recu2!AI14</f>
        <v>0</v>
      </c>
      <c r="AJ14" s="32">
        <f t="shared" si="45"/>
        <v>-1</v>
      </c>
      <c r="AK14" s="33">
        <f>Recu2!AK14</f>
        <v>0</v>
      </c>
      <c r="AL14" s="32">
        <f t="shared" si="46"/>
        <v>-1</v>
      </c>
      <c r="AM14" s="33">
        <f>Recu2!AM14</f>
        <v>0</v>
      </c>
      <c r="AN14" s="32">
        <f t="shared" si="47"/>
        <v>-1</v>
      </c>
      <c r="AO14" s="33">
        <f>Recu2!AO14</f>
        <v>0</v>
      </c>
      <c r="AP14" s="32">
        <f t="shared" si="48"/>
        <v>-1</v>
      </c>
      <c r="AQ14" s="33">
        <f>Recu2!AQ14</f>
        <v>0</v>
      </c>
      <c r="AR14" s="32">
        <f t="shared" si="49"/>
        <v>-1</v>
      </c>
      <c r="AS14" s="33">
        <f>Recu2!AS14</f>
        <v>0</v>
      </c>
      <c r="AT14" s="32">
        <f t="shared" si="50"/>
        <v>-1</v>
      </c>
      <c r="AU14" s="33">
        <f>Recu2!AU14</f>
        <v>0</v>
      </c>
      <c r="AV14" s="32">
        <f t="shared" si="51"/>
        <v>-1</v>
      </c>
      <c r="AW14" s="33">
        <f>Recu2!AW14</f>
        <v>0</v>
      </c>
      <c r="AX14" s="32">
        <f t="shared" si="52"/>
        <v>-1</v>
      </c>
      <c r="AY14" s="33">
        <f>Recu2!AY14</f>
        <v>0</v>
      </c>
      <c r="AZ14" s="32">
        <f t="shared" si="53"/>
        <v>-1</v>
      </c>
      <c r="BA14" s="33">
        <f>Recu2!BA14</f>
        <v>0</v>
      </c>
      <c r="BB14" s="32">
        <f t="shared" si="54"/>
        <v>-1</v>
      </c>
      <c r="BC14" s="33">
        <f>Recu2!BC14</f>
        <v>0</v>
      </c>
      <c r="BD14" s="32">
        <f t="shared" si="55"/>
        <v>-1</v>
      </c>
      <c r="BE14" s="33">
        <f>Recu2!BE14</f>
        <v>0</v>
      </c>
      <c r="BF14" s="32">
        <f t="shared" si="56"/>
        <v>-1</v>
      </c>
      <c r="BG14" s="33">
        <f>Recu2!BG14</f>
        <v>0</v>
      </c>
      <c r="BH14" s="32">
        <f t="shared" si="57"/>
        <v>-1</v>
      </c>
      <c r="BI14" s="33">
        <f>Recu2!BI14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Recu2!B15</f>
        <v>0</v>
      </c>
      <c r="C15" s="33">
        <f>Recu2!C15</f>
        <v>0</v>
      </c>
      <c r="D15" s="32">
        <f t="shared" si="29"/>
        <v>-1</v>
      </c>
      <c r="E15" s="33">
        <f>Recu2!E15</f>
        <v>0</v>
      </c>
      <c r="F15" s="32">
        <f t="shared" si="30"/>
        <v>-1</v>
      </c>
      <c r="G15" s="33">
        <f>Recu2!G15</f>
        <v>0</v>
      </c>
      <c r="H15" s="32">
        <f t="shared" si="31"/>
        <v>-1</v>
      </c>
      <c r="I15" s="33">
        <f>Recu2!I15</f>
        <v>0</v>
      </c>
      <c r="J15" s="32">
        <f t="shared" si="32"/>
        <v>-1</v>
      </c>
      <c r="K15" s="33">
        <f>Recu2!K15</f>
        <v>0</v>
      </c>
      <c r="L15" s="32">
        <f t="shared" si="33"/>
        <v>-1</v>
      </c>
      <c r="M15" s="33">
        <f>Recu2!M15</f>
        <v>0</v>
      </c>
      <c r="N15" s="32">
        <f t="shared" si="34"/>
        <v>-1</v>
      </c>
      <c r="O15" s="33">
        <f>Recu2!O15</f>
        <v>0</v>
      </c>
      <c r="P15" s="32">
        <f t="shared" si="35"/>
        <v>-1</v>
      </c>
      <c r="Q15" s="33">
        <f>Recu2!Q15</f>
        <v>0</v>
      </c>
      <c r="R15" s="32">
        <f t="shared" si="36"/>
        <v>-1</v>
      </c>
      <c r="S15" s="33">
        <f>Recu2!S15</f>
        <v>0</v>
      </c>
      <c r="T15" s="32">
        <f t="shared" si="37"/>
        <v>-1</v>
      </c>
      <c r="U15" s="33">
        <f>Recu2!U15</f>
        <v>0</v>
      </c>
      <c r="V15" s="32">
        <f t="shared" si="38"/>
        <v>-1</v>
      </c>
      <c r="W15" s="33">
        <f>Recu2!W15</f>
        <v>0</v>
      </c>
      <c r="X15" s="32">
        <f t="shared" si="39"/>
        <v>-1</v>
      </c>
      <c r="Y15" s="33">
        <f>Recu2!Y15</f>
        <v>0</v>
      </c>
      <c r="Z15" s="32">
        <f t="shared" si="40"/>
        <v>-1</v>
      </c>
      <c r="AA15" s="33">
        <f>Recu2!AA15</f>
        <v>0</v>
      </c>
      <c r="AB15" s="32">
        <f t="shared" si="41"/>
        <v>-1</v>
      </c>
      <c r="AC15" s="33">
        <f>Recu2!AC15</f>
        <v>0</v>
      </c>
      <c r="AD15" s="32">
        <f t="shared" si="42"/>
        <v>-1</v>
      </c>
      <c r="AE15" s="33">
        <f>Recu2!AE15</f>
        <v>0</v>
      </c>
      <c r="AF15" s="32">
        <f t="shared" si="43"/>
        <v>-1</v>
      </c>
      <c r="AG15" s="33">
        <f>Recu2!AG15</f>
        <v>0</v>
      </c>
      <c r="AH15" s="32">
        <f t="shared" si="44"/>
        <v>-1</v>
      </c>
      <c r="AI15" s="33">
        <f>Recu2!AI15</f>
        <v>0</v>
      </c>
      <c r="AJ15" s="32">
        <f t="shared" si="45"/>
        <v>-1</v>
      </c>
      <c r="AK15" s="33">
        <f>Recu2!AK15</f>
        <v>0</v>
      </c>
      <c r="AL15" s="32">
        <f t="shared" si="46"/>
        <v>-1</v>
      </c>
      <c r="AM15" s="33">
        <f>Recu2!AM15</f>
        <v>0</v>
      </c>
      <c r="AN15" s="32">
        <f t="shared" si="47"/>
        <v>-1</v>
      </c>
      <c r="AO15" s="33">
        <f>Recu2!AO15</f>
        <v>0</v>
      </c>
      <c r="AP15" s="32">
        <f t="shared" si="48"/>
        <v>-1</v>
      </c>
      <c r="AQ15" s="33">
        <f>Recu2!AQ15</f>
        <v>0</v>
      </c>
      <c r="AR15" s="32">
        <f t="shared" si="49"/>
        <v>-1</v>
      </c>
      <c r="AS15" s="33">
        <f>Recu2!AS15</f>
        <v>0</v>
      </c>
      <c r="AT15" s="32">
        <f t="shared" si="50"/>
        <v>-1</v>
      </c>
      <c r="AU15" s="33">
        <f>Recu2!AU15</f>
        <v>0</v>
      </c>
      <c r="AV15" s="32">
        <f t="shared" si="51"/>
        <v>-1</v>
      </c>
      <c r="AW15" s="33">
        <f>Recu2!AW15</f>
        <v>0</v>
      </c>
      <c r="AX15" s="32">
        <f t="shared" si="52"/>
        <v>-1</v>
      </c>
      <c r="AY15" s="33">
        <f>Recu2!AY15</f>
        <v>0</v>
      </c>
      <c r="AZ15" s="32">
        <f t="shared" si="53"/>
        <v>-1</v>
      </c>
      <c r="BA15" s="33">
        <f>Recu2!BA15</f>
        <v>0</v>
      </c>
      <c r="BB15" s="32">
        <f t="shared" si="54"/>
        <v>-1</v>
      </c>
      <c r="BC15" s="33">
        <f>Recu2!BC15</f>
        <v>0</v>
      </c>
      <c r="BD15" s="32">
        <f t="shared" si="55"/>
        <v>-1</v>
      </c>
      <c r="BE15" s="33">
        <f>Recu2!BE15</f>
        <v>0</v>
      </c>
      <c r="BF15" s="32">
        <f t="shared" si="56"/>
        <v>-1</v>
      </c>
      <c r="BG15" s="33">
        <f>Recu2!BG15</f>
        <v>0</v>
      </c>
      <c r="BH15" s="32">
        <f t="shared" si="57"/>
        <v>-1</v>
      </c>
      <c r="BI15" s="33">
        <f>Recu2!BI15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8">
        <f>IF(SUM($B17:$B37)&lt;&gt;0,SUM(C17:C37)/SUM($B17:$B37)*$B16*10, "")</f>
        <v>1.5599999986588955</v>
      </c>
      <c r="D16" s="58"/>
      <c r="E16" s="58">
        <f>IF(SUM($B17:$B37)&lt;&gt;0,SUM(E17:E37)/SUM($B17:$B37)*$B16*10, "")</f>
        <v>1.4925000071525574</v>
      </c>
      <c r="F16" s="58"/>
      <c r="G16" s="58">
        <f>IF(SUM($B17:$B37)&lt;&gt;0,SUM(G17:G37)/SUM($B17:$B37)*$B16*10, "")</f>
        <v>1.1100000053644181</v>
      </c>
      <c r="H16" s="58"/>
      <c r="I16" s="58">
        <f>IF(SUM($B17:$B37)&lt;&gt;0,SUM(I17:I37)/SUM($B17:$B37)*$B16*10, "")</f>
        <v>1.8075000056996939</v>
      </c>
      <c r="J16" s="58"/>
      <c r="K16" s="58">
        <f>IF(SUM($B17:$B37)&lt;&gt;0,SUM(K17:K37)/SUM($B17:$B37)*$B16*10, "")</f>
        <v>1.575</v>
      </c>
      <c r="L16" s="58"/>
      <c r="M16" s="58">
        <f>IF(SUM($B17:$B37)&lt;&gt;0,SUM(M17:M37)/SUM($B17:$B37)*$B16*10, "")</f>
        <v>1.7025000113993884</v>
      </c>
      <c r="N16" s="58"/>
      <c r="O16" s="58">
        <f>IF(SUM($B17:$B37)&lt;&gt;0,SUM(O17:O37)/SUM($B17:$B37)*$B16*10, "")</f>
        <v>2.1150000069290398</v>
      </c>
      <c r="P16" s="58"/>
      <c r="Q16" s="58">
        <f>IF(SUM($B17:$B37)&lt;&gt;0,SUM(Q17:Q37)/SUM($B17:$B37)*$B16*10, "")</f>
        <v>1.2375000173225998</v>
      </c>
      <c r="R16" s="58"/>
      <c r="S16" s="58">
        <f>IF(SUM($B17:$B37)&lt;&gt;0,SUM(S17:S37)/SUM($B17:$B37)*$B16*10, "")</f>
        <v>1.4099999930709601</v>
      </c>
      <c r="T16" s="58"/>
      <c r="U16" s="58">
        <f>IF(SUM($B17:$B37)&lt;&gt;0,SUM(U17:U37)/SUM($B17:$B37)*$B16*10, "")</f>
        <v>1.7099999941885471</v>
      </c>
      <c r="V16" s="58"/>
      <c r="W16" s="58">
        <f>IF(SUM($B17:$B37)&lt;&gt;0,SUM(W17:W37)/SUM($B17:$B37)*$B16*10, "")</f>
        <v>1.2000000156462192</v>
      </c>
      <c r="X16" s="58"/>
      <c r="Y16" s="58">
        <f>IF(SUM($B17:$B37)&lt;&gt;0,SUM(Y17:Y37)/SUM($B17:$B37)*$B16*10, "")</f>
        <v>1.732500010728836</v>
      </c>
      <c r="Z16" s="58"/>
      <c r="AA16" s="58">
        <f>IF(SUM($B17:$B37)&lt;&gt;0,SUM(AA17:AA37)/SUM($B17:$B37)*$B16*10, "")</f>
        <v>1.4025000169873236</v>
      </c>
      <c r="AB16" s="58"/>
      <c r="AC16" s="58">
        <f>IF(SUM($B17:$B37)&lt;&gt;0,SUM(AC17:AC37)/SUM($B17:$B37)*$B16*10, "")</f>
        <v>1.2825000040233134</v>
      </c>
      <c r="AD16" s="58"/>
      <c r="AE16" s="58">
        <f>IF(SUM($B17:$B37)&lt;&gt;0,SUM(AE17:AE37)/SUM($B17:$B37)*$B16*10, "")</f>
        <v>1.6875000189989802</v>
      </c>
      <c r="AF16" s="58"/>
      <c r="AG16" s="58">
        <f>IF(SUM($B17:$B37)&lt;&gt;0,SUM(AG17:AG37)/SUM($B17:$B37)*$B16*10, "")</f>
        <v>1.2150000035762787</v>
      </c>
      <c r="AH16" s="58"/>
      <c r="AI16" s="58">
        <f>IF(SUM($B17:$B37)&lt;&gt;0,SUM(AI17:AI37)/SUM($B17:$B37)*$B16*10, "")</f>
        <v>1.3125000067055224</v>
      </c>
      <c r="AJ16" s="58"/>
      <c r="AK16" s="58">
        <f>IF(SUM($B17:$B37)&lt;&gt;0,SUM(AK17:AK37)/SUM($B17:$B37)*$B16*10, "")</f>
        <v>1.6350000154227018</v>
      </c>
      <c r="AL16" s="58"/>
      <c r="AM16" s="58">
        <f>IF(SUM($B17:$B37)&lt;&gt;0,SUM(AM17:AM37)/SUM($B17:$B37)*$B16*10, "")</f>
        <v>1.3200000286102296</v>
      </c>
      <c r="AN16" s="58"/>
      <c r="AO16" s="58">
        <f>IF(SUM($B17:$B37)&lt;&gt;0,SUM(AO17:AO37)/SUM($B17:$B37)*$B16*10, "")</f>
        <v>1.3950000118464232</v>
      </c>
      <c r="AP16" s="58"/>
      <c r="AQ16" s="58">
        <f>IF(SUM($B17:$B37)&lt;&gt;0,SUM(AQ17:AQ37)/SUM($B17:$B37)*$B16*10, "")</f>
        <v>1.8675000127404928</v>
      </c>
      <c r="AR16" s="58"/>
      <c r="AS16" s="58">
        <f>IF(SUM($B17:$B37)&lt;&gt;0,SUM(AS17:AS37)/SUM($B17:$B37)*$B16*10, "")</f>
        <v>1.6950000084936621</v>
      </c>
      <c r="AT16" s="58"/>
      <c r="AU16" s="58">
        <f>IF(SUM($B17:$B37)&lt;&gt;0,SUM(AU17:AU37)/SUM($B17:$B37)*$B16*10, "")</f>
        <v>1.3425000037997961</v>
      </c>
      <c r="AV16" s="58"/>
      <c r="AW16" s="58">
        <f>IF(SUM($B17:$B37)&lt;&gt;0,SUM(AW17:AW37)/SUM($B17:$B37)*$B16*10, "")</f>
        <v>1.1400000119581817</v>
      </c>
      <c r="AX16" s="58"/>
      <c r="AY16" s="58">
        <f>IF(SUM($B17:$B37)&lt;&gt;0,SUM(AY17:AY37)/SUM($B17:$B37)*$B16*10, "")</f>
        <v>1.5375000067055224</v>
      </c>
      <c r="AZ16" s="58"/>
      <c r="BA16" s="58">
        <f>IF(SUM($B17:$B37)&lt;&gt;0,SUM(BA17:BA37)/SUM($B17:$B37)*$B16*10, "")</f>
        <v>1.3275000125169754</v>
      </c>
      <c r="BB16" s="58"/>
      <c r="BC16" s="58">
        <f>IF(SUM($B17:$B37)&lt;&gt;0,SUM(BC17:BC37)/SUM($B17:$B37)*$B16*10, "")</f>
        <v>1.7100000143051144</v>
      </c>
      <c r="BD16" s="58"/>
      <c r="BE16" s="58">
        <f>IF(SUM($B17:$B37)&lt;&gt;0,SUM(BE17:BE37)/SUM($B17:$B37)*$B16*10, "")</f>
        <v>1.1924999915063381</v>
      </c>
      <c r="BF16" s="58"/>
      <c r="BG16" s="58">
        <f>IF(SUM($B17:$B37)&lt;&gt;0,SUM(BG17:BG37)/SUM($B17:$B37)*$B16*10, "")</f>
        <v>1.6350000008940695</v>
      </c>
      <c r="BH16" s="58"/>
      <c r="BI16" s="58">
        <f>IF(SUM($B17:$B37)&lt;&gt;0,SUM(BI17:BI37)/SUM($B17:$B37)*$B16*10, "")</f>
        <v>0.9300000099465251</v>
      </c>
      <c r="BJ16" s="58"/>
    </row>
    <row r="17" spans="1:62" ht="42" x14ac:dyDescent="0.2">
      <c r="A17" s="2" t="s">
        <v>18</v>
      </c>
      <c r="B17" s="13">
        <f>Recu2!B17</f>
        <v>1.5</v>
      </c>
      <c r="C17" s="33">
        <f>Recu2!C17</f>
        <v>0.60000000894069672</v>
      </c>
      <c r="D17" s="32">
        <f t="shared" ref="D17:D37" si="59">IF($B17,C17/$B17,-1)</f>
        <v>0.40000000596046448</v>
      </c>
      <c r="E17" s="33">
        <f>Recu2!E17</f>
        <v>0.45000001788139343</v>
      </c>
      <c r="F17" s="32">
        <f t="shared" ref="F17:F37" si="60">IF($B17,E17/$B17,-1)</f>
        <v>0.30000001192092896</v>
      </c>
      <c r="G17" s="33">
        <f>Recu2!G17</f>
        <v>1.3499999642372131</v>
      </c>
      <c r="H17" s="32">
        <f t="shared" ref="H17:H37" si="61">IF($B17,G17/$B17,-1)</f>
        <v>0.89999997615814209</v>
      </c>
      <c r="I17" s="33">
        <f>Recu2!I17</f>
        <v>1.2000000178813934</v>
      </c>
      <c r="J17" s="32">
        <f t="shared" ref="J17:J37" si="62">IF($B17,I17/$B17,-1)</f>
        <v>0.80000001192092896</v>
      </c>
      <c r="K17" s="33">
        <f>Recu2!K17</f>
        <v>0.45000001788139343</v>
      </c>
      <c r="L17" s="32">
        <f t="shared" ref="L17:L37" si="63">IF($B17,K17/$B17,-1)</f>
        <v>0.30000001192092896</v>
      </c>
      <c r="M17" s="33">
        <f>Recu2!M17</f>
        <v>1.0499999821186066</v>
      </c>
      <c r="N17" s="32">
        <f t="shared" ref="N17:N37" si="64">IF($B17,M17/$B17,-1)</f>
        <v>0.69999998807907104</v>
      </c>
      <c r="O17" s="33">
        <f>Recu2!O17</f>
        <v>0.30000000447034836</v>
      </c>
      <c r="P17" s="32">
        <f t="shared" ref="P17:P37" si="65">IF($B17,O17/$B17,-1)</f>
        <v>0.20000000298023224</v>
      </c>
      <c r="Q17" s="33">
        <f>Recu2!Q17</f>
        <v>0</v>
      </c>
      <c r="R17" s="32">
        <f t="shared" ref="R17:R37" si="66">IF($B17,Q17/$B17,-1)</f>
        <v>0</v>
      </c>
      <c r="S17" s="33">
        <f>Recu2!S17</f>
        <v>0</v>
      </c>
      <c r="T17" s="32">
        <f t="shared" ref="T17:T37" si="67">IF($B17,S17/$B17,-1)</f>
        <v>0</v>
      </c>
      <c r="U17" s="33">
        <f>Recu2!U17</f>
        <v>0.45000001788139343</v>
      </c>
      <c r="V17" s="32">
        <f t="shared" ref="V17:V37" si="68">IF($B17,U17/$B17,-1)</f>
        <v>0.30000001192092896</v>
      </c>
      <c r="W17" s="33">
        <f>Recu2!W17</f>
        <v>1.2000000178813934</v>
      </c>
      <c r="X17" s="32">
        <f t="shared" ref="X17:X37" si="69">IF($B17,W17/$B17,-1)</f>
        <v>0.80000001192092896</v>
      </c>
      <c r="Y17" s="33">
        <f>Recu2!Y17</f>
        <v>0.45000001788139343</v>
      </c>
      <c r="Z17" s="32">
        <f t="shared" ref="Z17:Z37" si="70">IF($B17,Y17/$B17,-1)</f>
        <v>0.30000001192092896</v>
      </c>
      <c r="AA17" s="33">
        <f>Recu2!AA17</f>
        <v>0.30000000447034836</v>
      </c>
      <c r="AB17" s="32">
        <f t="shared" ref="AB17:AB37" si="71">IF($B17,AA17/$B17,-1)</f>
        <v>0.20000000298023224</v>
      </c>
      <c r="AC17" s="33">
        <f>Recu2!AC17</f>
        <v>0.75</v>
      </c>
      <c r="AD17" s="32">
        <f t="shared" ref="AD17:AD37" si="72">IF($B17,AC17/$B17,-1)</f>
        <v>0.5</v>
      </c>
      <c r="AE17" s="33">
        <f>Recu2!AE17</f>
        <v>0.30000000447034836</v>
      </c>
      <c r="AF17" s="32">
        <f t="shared" ref="AF17:AF37" si="73">IF($B17,AE17/$B17,-1)</f>
        <v>0.20000000298023224</v>
      </c>
      <c r="AG17" s="33">
        <f>Recu2!AG17</f>
        <v>0.45000001788139343</v>
      </c>
      <c r="AH17" s="32">
        <f t="shared" ref="AH17:AH37" si="74">IF($B17,AG17/$B17,-1)</f>
        <v>0.30000001192092896</v>
      </c>
      <c r="AI17" s="33">
        <f>Recu2!AI17</f>
        <v>0</v>
      </c>
      <c r="AJ17" s="32">
        <f t="shared" ref="AJ17:AJ37" si="75">IF($B17,AI17/$B17,-1)</f>
        <v>0</v>
      </c>
      <c r="AK17" s="33">
        <f>Recu2!AK17</f>
        <v>0.75</v>
      </c>
      <c r="AL17" s="32">
        <f t="shared" ref="AL17:AL37" si="76">IF($B17,AK17/$B17,-1)</f>
        <v>0.5</v>
      </c>
      <c r="AM17" s="33">
        <f>Recu2!AM17</f>
        <v>0.30000000447034836</v>
      </c>
      <c r="AN17" s="32">
        <f t="shared" ref="AN17:AN37" si="77">IF($B17,AM17/$B17,-1)</f>
        <v>0.20000000298023224</v>
      </c>
      <c r="AO17" s="33">
        <f>Recu2!AO17</f>
        <v>1.3499999642372131</v>
      </c>
      <c r="AP17" s="32">
        <f t="shared" ref="AP17:AP37" si="78">IF($B17,AO17/$B17,-1)</f>
        <v>0.89999997615814209</v>
      </c>
      <c r="AQ17" s="33">
        <f>Recu2!AQ17</f>
        <v>0.90000003576278687</v>
      </c>
      <c r="AR17" s="32">
        <f t="shared" ref="AR17:AR37" si="79">IF($B17,AQ17/$B17,-1)</f>
        <v>0.60000002384185791</v>
      </c>
      <c r="AS17" s="33">
        <f>Recu2!AS17</f>
        <v>1.2000000178813934</v>
      </c>
      <c r="AT17" s="32">
        <f t="shared" ref="AT17:AT37" si="80">IF($B17,AS17/$B17,-1)</f>
        <v>0.80000001192092896</v>
      </c>
      <c r="AU17" s="33">
        <f>Recu2!AU17</f>
        <v>1.5</v>
      </c>
      <c r="AV17" s="32">
        <f t="shared" ref="AV17:AV37" si="81">IF($B17,AU17/$B17,-1)</f>
        <v>1</v>
      </c>
      <c r="AW17" s="33">
        <f>Recu2!AW17</f>
        <v>0.45000001788139343</v>
      </c>
      <c r="AX17" s="32">
        <f t="shared" ref="AX17:AX37" si="82">IF($B17,AW17/$B17,-1)</f>
        <v>0.30000001192092896</v>
      </c>
      <c r="AY17" s="33">
        <f>Recu2!AY17</f>
        <v>0.75</v>
      </c>
      <c r="AZ17" s="32">
        <f t="shared" ref="AZ17:AZ37" si="83">IF($B17,AY17/$B17,-1)</f>
        <v>0.5</v>
      </c>
      <c r="BA17" s="33">
        <f>Recu2!BA17</f>
        <v>0</v>
      </c>
      <c r="BB17" s="32">
        <f t="shared" ref="BB17:BB37" si="84">IF($B17,BA17/$B17,-1)</f>
        <v>0</v>
      </c>
      <c r="BC17" s="33">
        <f>Recu2!BC17</f>
        <v>0.90000003576278687</v>
      </c>
      <c r="BD17" s="32">
        <f t="shared" ref="BD17:BD37" si="85">IF($B17,BC17/$B17,-1)</f>
        <v>0.60000002384185791</v>
      </c>
      <c r="BE17" s="33">
        <f>Recu2!BE17</f>
        <v>0.60000000894069672</v>
      </c>
      <c r="BF17" s="32">
        <f t="shared" ref="BF17:BF37" si="86">IF($B17,BE17/$B17,-1)</f>
        <v>0.40000000596046448</v>
      </c>
      <c r="BG17" s="33">
        <f>Recu2!BG17</f>
        <v>1.5</v>
      </c>
      <c r="BH17" s="32">
        <f t="shared" ref="BH17:BH37" si="87">IF($B17,BG17/$B17,-1)</f>
        <v>1</v>
      </c>
      <c r="BI17" s="33">
        <f>Recu2!BI17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Recu2!B18</f>
        <v>1.5</v>
      </c>
      <c r="C18" s="33">
        <f>Recu2!C18</f>
        <v>1.5</v>
      </c>
      <c r="D18" s="32">
        <f t="shared" si="59"/>
        <v>1</v>
      </c>
      <c r="E18" s="33">
        <f>Recu2!E18</f>
        <v>0.90000003576278687</v>
      </c>
      <c r="F18" s="32">
        <f t="shared" si="60"/>
        <v>0.60000002384185791</v>
      </c>
      <c r="G18" s="33">
        <f>Recu2!G18</f>
        <v>0.45000001788139343</v>
      </c>
      <c r="H18" s="32">
        <f t="shared" si="61"/>
        <v>0.30000001192092896</v>
      </c>
      <c r="I18" s="33">
        <f>Recu2!I18</f>
        <v>0.15000000223517418</v>
      </c>
      <c r="J18" s="32">
        <f t="shared" si="62"/>
        <v>0.10000000149011612</v>
      </c>
      <c r="K18" s="33">
        <f>Recu2!K18</f>
        <v>0.75</v>
      </c>
      <c r="L18" s="32">
        <f t="shared" si="63"/>
        <v>0.5</v>
      </c>
      <c r="M18" s="33">
        <f>Recu2!M18</f>
        <v>0.30000000447034836</v>
      </c>
      <c r="N18" s="32">
        <f t="shared" si="64"/>
        <v>0.20000000298023224</v>
      </c>
      <c r="O18" s="33">
        <f>Recu2!O18</f>
        <v>1.5</v>
      </c>
      <c r="P18" s="32">
        <f t="shared" si="65"/>
        <v>1</v>
      </c>
      <c r="Q18" s="33">
        <f>Recu2!Q18</f>
        <v>0.15000000223517418</v>
      </c>
      <c r="R18" s="32">
        <f t="shared" si="66"/>
        <v>0.10000000149011612</v>
      </c>
      <c r="S18" s="33">
        <f>Recu2!S18</f>
        <v>0</v>
      </c>
      <c r="T18" s="32">
        <f t="shared" si="67"/>
        <v>0</v>
      </c>
      <c r="U18" s="33">
        <f>Recu2!U18</f>
        <v>0.45000001788139343</v>
      </c>
      <c r="V18" s="32">
        <f t="shared" si="68"/>
        <v>0.30000001192092896</v>
      </c>
      <c r="W18" s="33">
        <f>Recu2!W18</f>
        <v>0.90000003576278687</v>
      </c>
      <c r="X18" s="32">
        <f t="shared" si="69"/>
        <v>0.60000002384185791</v>
      </c>
      <c r="Y18" s="33">
        <f>Recu2!Y18</f>
        <v>1.5</v>
      </c>
      <c r="Z18" s="32">
        <f t="shared" si="70"/>
        <v>1</v>
      </c>
      <c r="AA18" s="33">
        <f>Recu2!AA18</f>
        <v>0.75</v>
      </c>
      <c r="AB18" s="32">
        <f t="shared" si="71"/>
        <v>0.5</v>
      </c>
      <c r="AC18" s="33">
        <f>Recu2!AC18</f>
        <v>0.60000000894069672</v>
      </c>
      <c r="AD18" s="32">
        <f t="shared" si="72"/>
        <v>0.40000000596046448</v>
      </c>
      <c r="AE18" s="33">
        <f>Recu2!AE18</f>
        <v>1.3499999642372131</v>
      </c>
      <c r="AF18" s="32">
        <f t="shared" si="73"/>
        <v>0.89999997615814209</v>
      </c>
      <c r="AG18" s="33">
        <f>Recu2!AG18</f>
        <v>1.3499999642372131</v>
      </c>
      <c r="AH18" s="32">
        <f t="shared" si="74"/>
        <v>0.89999997615814209</v>
      </c>
      <c r="AI18" s="33">
        <f>Recu2!AI18</f>
        <v>1.0499999821186066</v>
      </c>
      <c r="AJ18" s="32">
        <f t="shared" si="75"/>
        <v>0.69999998807907104</v>
      </c>
      <c r="AK18" s="33">
        <f>Recu2!AK18</f>
        <v>1.0499999821186066</v>
      </c>
      <c r="AL18" s="32">
        <f t="shared" si="76"/>
        <v>0.69999998807907104</v>
      </c>
      <c r="AM18" s="33">
        <f>Recu2!AM18</f>
        <v>1.5</v>
      </c>
      <c r="AN18" s="32">
        <f t="shared" si="77"/>
        <v>1</v>
      </c>
      <c r="AO18" s="33">
        <f>Recu2!AO18</f>
        <v>0.45000001788139343</v>
      </c>
      <c r="AP18" s="32">
        <f t="shared" si="78"/>
        <v>0.30000001192092896</v>
      </c>
      <c r="AQ18" s="33">
        <f>Recu2!AQ18</f>
        <v>0.75</v>
      </c>
      <c r="AR18" s="32">
        <f t="shared" si="79"/>
        <v>0.5</v>
      </c>
      <c r="AS18" s="33">
        <f>Recu2!AS18</f>
        <v>0.60000000894069672</v>
      </c>
      <c r="AT18" s="32">
        <f t="shared" si="80"/>
        <v>0.40000000596046448</v>
      </c>
      <c r="AU18" s="33">
        <f>Recu2!AU18</f>
        <v>1.0499999821186066</v>
      </c>
      <c r="AV18" s="32">
        <f t="shared" si="81"/>
        <v>0.69999998807907104</v>
      </c>
      <c r="AW18" s="33">
        <f>Recu2!AW18</f>
        <v>0.15000000223517418</v>
      </c>
      <c r="AX18" s="32">
        <f t="shared" si="82"/>
        <v>0.10000000149011612</v>
      </c>
      <c r="AY18" s="33">
        <f>Recu2!AY18</f>
        <v>0.60000000894069672</v>
      </c>
      <c r="AZ18" s="32">
        <f t="shared" si="83"/>
        <v>0.40000000596046448</v>
      </c>
      <c r="BA18" s="33">
        <f>Recu2!BA18</f>
        <v>0.75</v>
      </c>
      <c r="BB18" s="32">
        <f t="shared" si="84"/>
        <v>0.5</v>
      </c>
      <c r="BC18" s="33">
        <f>Recu2!BC18</f>
        <v>1.2000000178813934</v>
      </c>
      <c r="BD18" s="32">
        <f t="shared" si="85"/>
        <v>0.80000001192092896</v>
      </c>
      <c r="BE18" s="33">
        <f>Recu2!BE18</f>
        <v>0.75</v>
      </c>
      <c r="BF18" s="32">
        <f t="shared" si="86"/>
        <v>0.5</v>
      </c>
      <c r="BG18" s="33">
        <f>Recu2!BG18</f>
        <v>0.60000000894069672</v>
      </c>
      <c r="BH18" s="32">
        <f t="shared" si="87"/>
        <v>0.40000000596046448</v>
      </c>
      <c r="BI18" s="33">
        <f>Recu2!BI18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Recu2!B19</f>
        <v>1</v>
      </c>
      <c r="C19" s="33">
        <f>Recu2!C19</f>
        <v>0.20000000298023224</v>
      </c>
      <c r="D19" s="32">
        <f t="shared" si="59"/>
        <v>0.20000000298023224</v>
      </c>
      <c r="E19" s="33">
        <f>Recu2!E19</f>
        <v>0.60000002384185791</v>
      </c>
      <c r="F19" s="32">
        <f t="shared" si="60"/>
        <v>0.60000002384185791</v>
      </c>
      <c r="G19" s="33">
        <f>Recu2!G19</f>
        <v>0.5</v>
      </c>
      <c r="H19" s="32">
        <f t="shared" si="61"/>
        <v>0.5</v>
      </c>
      <c r="I19" s="33">
        <f>Recu2!I19</f>
        <v>0.69999998807907104</v>
      </c>
      <c r="J19" s="32">
        <f t="shared" si="62"/>
        <v>0.69999998807907104</v>
      </c>
      <c r="K19" s="33">
        <f>Recu2!K19</f>
        <v>0.89999997615814209</v>
      </c>
      <c r="L19" s="32">
        <f t="shared" si="63"/>
        <v>0.89999997615814209</v>
      </c>
      <c r="M19" s="33">
        <f>Recu2!M19</f>
        <v>0.40000000596046448</v>
      </c>
      <c r="N19" s="32">
        <f t="shared" si="64"/>
        <v>0.40000000596046448</v>
      </c>
      <c r="O19" s="33">
        <f>Recu2!O19</f>
        <v>0.30000001192092896</v>
      </c>
      <c r="P19" s="32">
        <f t="shared" si="65"/>
        <v>0.30000001192092896</v>
      </c>
      <c r="Q19" s="33">
        <f>Recu2!Q19</f>
        <v>0.30000001192092896</v>
      </c>
      <c r="R19" s="32">
        <f t="shared" si="66"/>
        <v>0.30000001192092896</v>
      </c>
      <c r="S19" s="33">
        <f>Recu2!S19</f>
        <v>0.10000000149011612</v>
      </c>
      <c r="T19" s="32">
        <f t="shared" si="67"/>
        <v>0.10000000149011612</v>
      </c>
      <c r="U19" s="33">
        <f>Recu2!U19</f>
        <v>0.5</v>
      </c>
      <c r="V19" s="32">
        <f t="shared" si="68"/>
        <v>0.5</v>
      </c>
      <c r="W19" s="33">
        <f>Recu2!W19</f>
        <v>0.20000000298023224</v>
      </c>
      <c r="X19" s="32">
        <f t="shared" si="69"/>
        <v>0.20000000298023224</v>
      </c>
      <c r="Y19" s="33">
        <f>Recu2!Y19</f>
        <v>0.60000002384185791</v>
      </c>
      <c r="Z19" s="32">
        <f t="shared" si="70"/>
        <v>0.60000002384185791</v>
      </c>
      <c r="AA19" s="33">
        <f>Recu2!AA19</f>
        <v>0.30000001192092896</v>
      </c>
      <c r="AB19" s="32">
        <f t="shared" si="71"/>
        <v>0.30000001192092896</v>
      </c>
      <c r="AC19" s="33">
        <f>Recu2!AC19</f>
        <v>0.89999997615814209</v>
      </c>
      <c r="AD19" s="32">
        <f t="shared" si="72"/>
        <v>0.89999997615814209</v>
      </c>
      <c r="AE19" s="33">
        <f>Recu2!AE19</f>
        <v>0.5</v>
      </c>
      <c r="AF19" s="32">
        <f t="shared" si="73"/>
        <v>0.5</v>
      </c>
      <c r="AG19" s="33">
        <f>Recu2!AG19</f>
        <v>0.20000000298023224</v>
      </c>
      <c r="AH19" s="32">
        <f t="shared" si="74"/>
        <v>0.20000000298023224</v>
      </c>
      <c r="AI19" s="33">
        <f>Recu2!AI19</f>
        <v>0.69999998807907104</v>
      </c>
      <c r="AJ19" s="32">
        <f t="shared" si="75"/>
        <v>0.69999998807907104</v>
      </c>
      <c r="AK19" s="33">
        <f>Recu2!AK19</f>
        <v>0.80000001192092896</v>
      </c>
      <c r="AL19" s="32">
        <f t="shared" si="76"/>
        <v>0.80000001192092896</v>
      </c>
      <c r="AM19" s="33">
        <f>Recu2!AM19</f>
        <v>0.60000002384185791</v>
      </c>
      <c r="AN19" s="32">
        <f t="shared" si="77"/>
        <v>0.60000002384185791</v>
      </c>
      <c r="AO19" s="33">
        <f>Recu2!AO19</f>
        <v>0.80000001192092896</v>
      </c>
      <c r="AP19" s="32">
        <f t="shared" si="78"/>
        <v>0.80000001192092896</v>
      </c>
      <c r="AQ19" s="33">
        <f>Recu2!AQ19</f>
        <v>0.10000000149011612</v>
      </c>
      <c r="AR19" s="32">
        <f t="shared" si="79"/>
        <v>0.10000000149011612</v>
      </c>
      <c r="AS19" s="33">
        <f>Recu2!AS19</f>
        <v>0.80000001192092896</v>
      </c>
      <c r="AT19" s="32">
        <f t="shared" si="80"/>
        <v>0.80000001192092896</v>
      </c>
      <c r="AU19" s="33">
        <f>Recu2!AU19</f>
        <v>0.20000000298023224</v>
      </c>
      <c r="AV19" s="32">
        <f t="shared" si="81"/>
        <v>0.20000000298023224</v>
      </c>
      <c r="AW19" s="33">
        <f>Recu2!AW19</f>
        <v>1</v>
      </c>
      <c r="AX19" s="32">
        <f t="shared" si="82"/>
        <v>1</v>
      </c>
      <c r="AY19" s="33">
        <f>Recu2!AY19</f>
        <v>0</v>
      </c>
      <c r="AZ19" s="32">
        <f t="shared" si="83"/>
        <v>0</v>
      </c>
      <c r="BA19" s="33">
        <f>Recu2!BA19</f>
        <v>0</v>
      </c>
      <c r="BB19" s="32">
        <f t="shared" si="84"/>
        <v>0</v>
      </c>
      <c r="BC19" s="33">
        <f>Recu2!BC19</f>
        <v>0.80000001192092896</v>
      </c>
      <c r="BD19" s="32">
        <f t="shared" si="85"/>
        <v>0.80000001192092896</v>
      </c>
      <c r="BE19" s="33">
        <f>Recu2!BE19</f>
        <v>0.40000000596046448</v>
      </c>
      <c r="BF19" s="32">
        <f t="shared" si="86"/>
        <v>0.40000000596046448</v>
      </c>
      <c r="BG19" s="33">
        <f>Recu2!BG19</f>
        <v>0.5</v>
      </c>
      <c r="BH19" s="32">
        <f t="shared" si="87"/>
        <v>0.5</v>
      </c>
      <c r="BI19" s="33">
        <f>Recu2!BI19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Recu2!B20</f>
        <v>2</v>
      </c>
      <c r="C20" s="33">
        <f>Recu2!C20</f>
        <v>0.20000000298023224</v>
      </c>
      <c r="D20" s="32">
        <f t="shared" si="59"/>
        <v>0.10000000149011612</v>
      </c>
      <c r="E20" s="33">
        <f>Recu2!E20</f>
        <v>0.20000000298023224</v>
      </c>
      <c r="F20" s="32">
        <f t="shared" si="60"/>
        <v>0.10000000149011612</v>
      </c>
      <c r="G20" s="33">
        <f>Recu2!G20</f>
        <v>0</v>
      </c>
      <c r="H20" s="32">
        <f t="shared" si="61"/>
        <v>0</v>
      </c>
      <c r="I20" s="33">
        <f>Recu2!I20</f>
        <v>1.3999999761581421</v>
      </c>
      <c r="J20" s="32">
        <f t="shared" si="62"/>
        <v>0.69999998807907104</v>
      </c>
      <c r="K20" s="33">
        <f>Recu2!K20</f>
        <v>1</v>
      </c>
      <c r="L20" s="32">
        <f t="shared" si="63"/>
        <v>0.5</v>
      </c>
      <c r="M20" s="33">
        <f>Recu2!M20</f>
        <v>1.2000000476837158</v>
      </c>
      <c r="N20" s="32">
        <f t="shared" si="64"/>
        <v>0.60000002384185791</v>
      </c>
      <c r="O20" s="33">
        <f>Recu2!O20</f>
        <v>0.40000000596046448</v>
      </c>
      <c r="P20" s="32">
        <f t="shared" si="65"/>
        <v>0.20000000298023224</v>
      </c>
      <c r="Q20" s="33">
        <f>Recu2!Q20</f>
        <v>1</v>
      </c>
      <c r="R20" s="32">
        <f t="shared" si="66"/>
        <v>0.5</v>
      </c>
      <c r="S20" s="33">
        <f>Recu2!S20</f>
        <v>1.6000000238418579</v>
      </c>
      <c r="T20" s="32">
        <f t="shared" si="67"/>
        <v>0.80000001192092896</v>
      </c>
      <c r="U20" s="33">
        <f>Recu2!U20</f>
        <v>1.6000000238418579</v>
      </c>
      <c r="V20" s="32">
        <f t="shared" si="68"/>
        <v>0.80000001192092896</v>
      </c>
      <c r="W20" s="33">
        <f>Recu2!W20</f>
        <v>0.80000001192092896</v>
      </c>
      <c r="X20" s="32">
        <f t="shared" si="69"/>
        <v>0.40000000596046448</v>
      </c>
      <c r="Y20" s="33">
        <f>Recu2!Y20</f>
        <v>1.7999999523162842</v>
      </c>
      <c r="Z20" s="32">
        <f t="shared" si="70"/>
        <v>0.89999997615814209</v>
      </c>
      <c r="AA20" s="33">
        <f>Recu2!AA20</f>
        <v>1.6000000238418579</v>
      </c>
      <c r="AB20" s="32">
        <f t="shared" si="71"/>
        <v>0.80000001192092896</v>
      </c>
      <c r="AC20" s="33">
        <f>Recu2!AC20</f>
        <v>0</v>
      </c>
      <c r="AD20" s="32">
        <f t="shared" si="72"/>
        <v>0</v>
      </c>
      <c r="AE20" s="33">
        <f>Recu2!AE20</f>
        <v>1.2000000476837158</v>
      </c>
      <c r="AF20" s="32">
        <f t="shared" si="73"/>
        <v>0.60000002384185791</v>
      </c>
      <c r="AG20" s="33">
        <f>Recu2!AG20</f>
        <v>1.3999999761581421</v>
      </c>
      <c r="AH20" s="32">
        <f t="shared" si="74"/>
        <v>0.69999998807907104</v>
      </c>
      <c r="AI20" s="33">
        <f>Recu2!AI20</f>
        <v>0</v>
      </c>
      <c r="AJ20" s="32">
        <f t="shared" si="75"/>
        <v>0</v>
      </c>
      <c r="AK20" s="33">
        <f>Recu2!AK20</f>
        <v>0.80000001192092896</v>
      </c>
      <c r="AL20" s="32">
        <f t="shared" si="76"/>
        <v>0.40000000596046448</v>
      </c>
      <c r="AM20" s="33">
        <f>Recu2!AM20</f>
        <v>0.80000001192092896</v>
      </c>
      <c r="AN20" s="32">
        <f t="shared" si="77"/>
        <v>0.40000000596046448</v>
      </c>
      <c r="AO20" s="33">
        <f>Recu2!AO20</f>
        <v>0.60000002384185791</v>
      </c>
      <c r="AP20" s="32">
        <f t="shared" si="78"/>
        <v>0.30000001192092896</v>
      </c>
      <c r="AQ20" s="33">
        <f>Recu2!AQ20</f>
        <v>2</v>
      </c>
      <c r="AR20" s="32">
        <f t="shared" si="79"/>
        <v>1</v>
      </c>
      <c r="AS20" s="33">
        <f>Recu2!AS20</f>
        <v>1.6000000238418579</v>
      </c>
      <c r="AT20" s="32">
        <f t="shared" si="80"/>
        <v>0.80000001192092896</v>
      </c>
      <c r="AU20" s="33">
        <f>Recu2!AU20</f>
        <v>1.3999999761581421</v>
      </c>
      <c r="AV20" s="32">
        <f t="shared" si="81"/>
        <v>0.69999998807907104</v>
      </c>
      <c r="AW20" s="33">
        <f>Recu2!AW20</f>
        <v>0.80000001192092896</v>
      </c>
      <c r="AX20" s="32">
        <f t="shared" si="82"/>
        <v>0.40000000596046448</v>
      </c>
      <c r="AY20" s="33">
        <f>Recu2!AY20</f>
        <v>1.6000000238418579</v>
      </c>
      <c r="AZ20" s="32">
        <f t="shared" si="83"/>
        <v>0.80000001192092896</v>
      </c>
      <c r="BA20" s="33">
        <f>Recu2!BA20</f>
        <v>0.60000002384185791</v>
      </c>
      <c r="BB20" s="32">
        <f t="shared" si="84"/>
        <v>0.30000001192092896</v>
      </c>
      <c r="BC20" s="33">
        <f>Recu2!BC20</f>
        <v>0.60000002384185791</v>
      </c>
      <c r="BD20" s="32">
        <f t="shared" si="85"/>
        <v>0.30000001192092896</v>
      </c>
      <c r="BE20" s="33">
        <f>Recu2!BE20</f>
        <v>0.80000001192092896</v>
      </c>
      <c r="BF20" s="32">
        <f t="shared" si="86"/>
        <v>0.40000000596046448</v>
      </c>
      <c r="BG20" s="33">
        <f>Recu2!BG20</f>
        <v>2</v>
      </c>
      <c r="BH20" s="32">
        <f t="shared" si="87"/>
        <v>1</v>
      </c>
      <c r="BI20" s="33">
        <f>Recu2!BI20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Recu2!B21</f>
        <v>2</v>
      </c>
      <c r="C21" s="33">
        <f>Recu2!C21</f>
        <v>1.3999999761581421</v>
      </c>
      <c r="D21" s="32">
        <f t="shared" si="59"/>
        <v>0.69999998807907104</v>
      </c>
      <c r="E21" s="33">
        <f>Recu2!E21</f>
        <v>0.60000002384185791</v>
      </c>
      <c r="F21" s="32">
        <f t="shared" si="60"/>
        <v>0.30000001192092896</v>
      </c>
      <c r="G21" s="33">
        <f>Recu2!G21</f>
        <v>0.20000000298023224</v>
      </c>
      <c r="H21" s="32">
        <f t="shared" si="61"/>
        <v>0.10000000149011612</v>
      </c>
      <c r="I21" s="33">
        <f>Recu2!I21</f>
        <v>0.40000000596046448</v>
      </c>
      <c r="J21" s="32">
        <f t="shared" si="62"/>
        <v>0.20000000298023224</v>
      </c>
      <c r="K21" s="33">
        <f>Recu2!K21</f>
        <v>0</v>
      </c>
      <c r="L21" s="32">
        <f t="shared" si="63"/>
        <v>0</v>
      </c>
      <c r="M21" s="33">
        <f>Recu2!M21</f>
        <v>0.80000001192092896</v>
      </c>
      <c r="N21" s="32">
        <f t="shared" si="64"/>
        <v>0.40000000596046448</v>
      </c>
      <c r="O21" s="33">
        <f>Recu2!O21</f>
        <v>2</v>
      </c>
      <c r="P21" s="32">
        <f t="shared" si="65"/>
        <v>1</v>
      </c>
      <c r="Q21" s="33">
        <f>Recu2!Q21</f>
        <v>1</v>
      </c>
      <c r="R21" s="32">
        <f t="shared" si="66"/>
        <v>0.5</v>
      </c>
      <c r="S21" s="33">
        <f>Recu2!S21</f>
        <v>1</v>
      </c>
      <c r="T21" s="32">
        <f t="shared" si="67"/>
        <v>0.5</v>
      </c>
      <c r="U21" s="33">
        <f>Recu2!U21</f>
        <v>2</v>
      </c>
      <c r="V21" s="32">
        <f t="shared" si="68"/>
        <v>1</v>
      </c>
      <c r="W21" s="33">
        <f>Recu2!W21</f>
        <v>0.40000000596046448</v>
      </c>
      <c r="X21" s="32">
        <f t="shared" si="69"/>
        <v>0.20000000298023224</v>
      </c>
      <c r="Y21" s="33">
        <f>Recu2!Y21</f>
        <v>0.80000001192092896</v>
      </c>
      <c r="Z21" s="32">
        <f t="shared" si="70"/>
        <v>0.40000000596046448</v>
      </c>
      <c r="AA21" s="33">
        <f>Recu2!AA21</f>
        <v>0.80000001192092896</v>
      </c>
      <c r="AB21" s="32">
        <f t="shared" si="71"/>
        <v>0.40000000596046448</v>
      </c>
      <c r="AC21" s="33">
        <f>Recu2!AC21</f>
        <v>0.60000002384185791</v>
      </c>
      <c r="AD21" s="32">
        <f t="shared" si="72"/>
        <v>0.30000001192092896</v>
      </c>
      <c r="AE21" s="33">
        <f>Recu2!AE21</f>
        <v>1</v>
      </c>
      <c r="AF21" s="32">
        <f t="shared" si="73"/>
        <v>0.5</v>
      </c>
      <c r="AG21" s="33">
        <f>Recu2!AG21</f>
        <v>0.20000000298023224</v>
      </c>
      <c r="AH21" s="32">
        <f t="shared" si="74"/>
        <v>0.10000000149011612</v>
      </c>
      <c r="AI21" s="33">
        <f>Recu2!AI21</f>
        <v>1</v>
      </c>
      <c r="AJ21" s="32">
        <f t="shared" si="75"/>
        <v>0.5</v>
      </c>
      <c r="AK21" s="33">
        <f>Recu2!AK21</f>
        <v>2</v>
      </c>
      <c r="AL21" s="32">
        <f t="shared" si="76"/>
        <v>1</v>
      </c>
      <c r="AM21" s="33">
        <f>Recu2!AM21</f>
        <v>1.2000000476837158</v>
      </c>
      <c r="AN21" s="32">
        <f t="shared" si="77"/>
        <v>0.60000002384185791</v>
      </c>
      <c r="AO21" s="33">
        <f>Recu2!AO21</f>
        <v>2</v>
      </c>
      <c r="AP21" s="32">
        <f t="shared" si="78"/>
        <v>1</v>
      </c>
      <c r="AQ21" s="33">
        <f>Recu2!AQ21</f>
        <v>1.3999999761581421</v>
      </c>
      <c r="AR21" s="32">
        <f t="shared" si="79"/>
        <v>0.69999998807907104</v>
      </c>
      <c r="AS21" s="33">
        <f>Recu2!AS21</f>
        <v>0.80000001192092896</v>
      </c>
      <c r="AT21" s="32">
        <f t="shared" si="80"/>
        <v>0.40000000596046448</v>
      </c>
      <c r="AU21" s="33">
        <f>Recu2!AU21</f>
        <v>1.3999999761581421</v>
      </c>
      <c r="AV21" s="32">
        <f t="shared" si="81"/>
        <v>0.69999998807907104</v>
      </c>
      <c r="AW21" s="33">
        <f>Recu2!AW21</f>
        <v>0</v>
      </c>
      <c r="AX21" s="32">
        <f t="shared" si="82"/>
        <v>0</v>
      </c>
      <c r="AY21" s="33">
        <f>Recu2!AY21</f>
        <v>1.6000000238418579</v>
      </c>
      <c r="AZ21" s="32">
        <f t="shared" si="83"/>
        <v>0.80000001192092896</v>
      </c>
      <c r="BA21" s="33">
        <f>Recu2!BA21</f>
        <v>1.3999999761581421</v>
      </c>
      <c r="BB21" s="32">
        <f t="shared" si="84"/>
        <v>0.69999998807907104</v>
      </c>
      <c r="BC21" s="33">
        <f>Recu2!BC21</f>
        <v>1</v>
      </c>
      <c r="BD21" s="32">
        <f t="shared" si="85"/>
        <v>0.5</v>
      </c>
      <c r="BE21" s="33">
        <f>Recu2!BE21</f>
        <v>0.20000000298023224</v>
      </c>
      <c r="BF21" s="32">
        <f t="shared" si="86"/>
        <v>0.10000000149011612</v>
      </c>
      <c r="BG21" s="33">
        <f>Recu2!BG21</f>
        <v>0.40000000596046448</v>
      </c>
      <c r="BH21" s="32">
        <f t="shared" si="87"/>
        <v>0.20000000298023224</v>
      </c>
      <c r="BI21" s="33">
        <f>Recu2!BI21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Recu2!B22</f>
        <v>1</v>
      </c>
      <c r="C22" s="33">
        <f>Recu2!C22</f>
        <v>0.80000001192092896</v>
      </c>
      <c r="D22" s="32">
        <f t="shared" si="59"/>
        <v>0.80000001192092896</v>
      </c>
      <c r="E22" s="33">
        <f>Recu2!E22</f>
        <v>0</v>
      </c>
      <c r="F22" s="32">
        <f t="shared" si="60"/>
        <v>0</v>
      </c>
      <c r="G22" s="33">
        <f>Recu2!G22</f>
        <v>0.5</v>
      </c>
      <c r="H22" s="32">
        <f t="shared" si="61"/>
        <v>0.5</v>
      </c>
      <c r="I22" s="33">
        <f>Recu2!I22</f>
        <v>0.80000001192092896</v>
      </c>
      <c r="J22" s="32">
        <f t="shared" si="62"/>
        <v>0.80000001192092896</v>
      </c>
      <c r="K22" s="33">
        <f>Recu2!K22</f>
        <v>0.80000001192092896</v>
      </c>
      <c r="L22" s="32">
        <f t="shared" si="63"/>
        <v>0.80000001192092896</v>
      </c>
      <c r="M22" s="33">
        <f>Recu2!M22</f>
        <v>0.30000001192092896</v>
      </c>
      <c r="N22" s="32">
        <f t="shared" si="64"/>
        <v>0.30000001192092896</v>
      </c>
      <c r="O22" s="33">
        <f>Recu2!O22</f>
        <v>1</v>
      </c>
      <c r="P22" s="32">
        <f t="shared" si="65"/>
        <v>1</v>
      </c>
      <c r="Q22" s="33">
        <f>Recu2!Q22</f>
        <v>0.80000001192092896</v>
      </c>
      <c r="R22" s="32">
        <f t="shared" si="66"/>
        <v>0.80000001192092896</v>
      </c>
      <c r="S22" s="33">
        <f>Recu2!S22</f>
        <v>0.69999998807907104</v>
      </c>
      <c r="T22" s="32">
        <f t="shared" si="67"/>
        <v>0.69999998807907104</v>
      </c>
      <c r="U22" s="33">
        <f>Recu2!U22</f>
        <v>0.89999997615814209</v>
      </c>
      <c r="V22" s="32">
        <f t="shared" si="68"/>
        <v>0.89999997615814209</v>
      </c>
      <c r="W22" s="33">
        <f>Recu2!W22</f>
        <v>0.89999997615814209</v>
      </c>
      <c r="X22" s="32">
        <f t="shared" si="69"/>
        <v>0.89999997615814209</v>
      </c>
      <c r="Y22" s="33">
        <f>Recu2!Y22</f>
        <v>0.40000000596046448</v>
      </c>
      <c r="Z22" s="32">
        <f t="shared" si="70"/>
        <v>0.40000000596046448</v>
      </c>
      <c r="AA22" s="33">
        <f>Recu2!AA22</f>
        <v>0.10000000149011612</v>
      </c>
      <c r="AB22" s="32">
        <f t="shared" si="71"/>
        <v>0.10000000149011612</v>
      </c>
      <c r="AC22" s="33">
        <f>Recu2!AC22</f>
        <v>1</v>
      </c>
      <c r="AD22" s="32">
        <f t="shared" si="72"/>
        <v>1</v>
      </c>
      <c r="AE22" s="33">
        <f>Recu2!AE22</f>
        <v>0.80000001192092896</v>
      </c>
      <c r="AF22" s="32">
        <f t="shared" si="73"/>
        <v>0.80000001192092896</v>
      </c>
      <c r="AG22" s="33">
        <f>Recu2!AG22</f>
        <v>0.69999998807907104</v>
      </c>
      <c r="AH22" s="32">
        <f t="shared" si="74"/>
        <v>0.69999998807907104</v>
      </c>
      <c r="AI22" s="33">
        <f>Recu2!AI22</f>
        <v>0.40000000596046448</v>
      </c>
      <c r="AJ22" s="32">
        <f t="shared" si="75"/>
        <v>0.40000000596046448</v>
      </c>
      <c r="AK22" s="33">
        <f>Recu2!AK22</f>
        <v>0</v>
      </c>
      <c r="AL22" s="32">
        <f t="shared" si="76"/>
        <v>0</v>
      </c>
      <c r="AM22" s="33">
        <f>Recu2!AM22</f>
        <v>0.10000000149011612</v>
      </c>
      <c r="AN22" s="32">
        <f t="shared" si="77"/>
        <v>0.10000000149011612</v>
      </c>
      <c r="AO22" s="33">
        <f>Recu2!AO22</f>
        <v>0.10000000149011612</v>
      </c>
      <c r="AP22" s="32">
        <f t="shared" si="78"/>
        <v>0.10000000149011612</v>
      </c>
      <c r="AQ22" s="33">
        <f>Recu2!AQ22</f>
        <v>0.5</v>
      </c>
      <c r="AR22" s="32">
        <f t="shared" si="79"/>
        <v>0.5</v>
      </c>
      <c r="AS22" s="33">
        <f>Recu2!AS22</f>
        <v>0.40000000596046448</v>
      </c>
      <c r="AT22" s="32">
        <f t="shared" si="80"/>
        <v>0.40000000596046448</v>
      </c>
      <c r="AU22" s="33">
        <f>Recu2!AU22</f>
        <v>0.10000000149011612</v>
      </c>
      <c r="AV22" s="32">
        <f t="shared" si="81"/>
        <v>0.10000000149011612</v>
      </c>
      <c r="AW22" s="33">
        <f>Recu2!AW22</f>
        <v>0.30000001192092896</v>
      </c>
      <c r="AX22" s="32">
        <f t="shared" si="82"/>
        <v>0.30000001192092896</v>
      </c>
      <c r="AY22" s="33">
        <f>Recu2!AY22</f>
        <v>0.69999998807907104</v>
      </c>
      <c r="AZ22" s="32">
        <f t="shared" si="83"/>
        <v>0.69999998807907104</v>
      </c>
      <c r="BA22" s="33">
        <f>Recu2!BA22</f>
        <v>0.89999997615814209</v>
      </c>
      <c r="BB22" s="32">
        <f t="shared" si="84"/>
        <v>0.89999997615814209</v>
      </c>
      <c r="BC22" s="33">
        <f>Recu2!BC22</f>
        <v>0.5</v>
      </c>
      <c r="BD22" s="32">
        <f t="shared" si="85"/>
        <v>0.5</v>
      </c>
      <c r="BE22" s="33">
        <f>Recu2!BE22</f>
        <v>0.20000000298023224</v>
      </c>
      <c r="BF22" s="32">
        <f t="shared" si="86"/>
        <v>0.20000000298023224</v>
      </c>
      <c r="BG22" s="33">
        <f>Recu2!BG22</f>
        <v>0.89999997615814209</v>
      </c>
      <c r="BH22" s="32">
        <f t="shared" si="87"/>
        <v>0.89999997615814209</v>
      </c>
      <c r="BI22" s="33">
        <f>Recu2!BI22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Recu2!B23</f>
        <v>1</v>
      </c>
      <c r="C23" s="33">
        <f>Recu2!C23</f>
        <v>0.30000001192092896</v>
      </c>
      <c r="D23" s="32">
        <f t="shared" si="59"/>
        <v>0.30000001192092896</v>
      </c>
      <c r="E23" s="33">
        <f>Recu2!E23</f>
        <v>0.80000001192092896</v>
      </c>
      <c r="F23" s="32">
        <f t="shared" si="60"/>
        <v>0.80000001192092896</v>
      </c>
      <c r="G23" s="33">
        <f>Recu2!G23</f>
        <v>0.20000000298023224</v>
      </c>
      <c r="H23" s="32">
        <f t="shared" si="61"/>
        <v>0.20000000298023224</v>
      </c>
      <c r="I23" s="33">
        <f>Recu2!I23</f>
        <v>0.40000000596046448</v>
      </c>
      <c r="J23" s="32">
        <f t="shared" si="62"/>
        <v>0.40000000596046448</v>
      </c>
      <c r="K23" s="33">
        <f>Recu2!K23</f>
        <v>0.20000000298023224</v>
      </c>
      <c r="L23" s="32">
        <f t="shared" si="63"/>
        <v>0.20000000298023224</v>
      </c>
      <c r="M23" s="33">
        <f>Recu2!M23</f>
        <v>0.89999997615814209</v>
      </c>
      <c r="N23" s="32">
        <f t="shared" si="64"/>
        <v>0.89999997615814209</v>
      </c>
      <c r="O23" s="33">
        <f>Recu2!O23</f>
        <v>0.60000002384185791</v>
      </c>
      <c r="P23" s="32">
        <f t="shared" si="65"/>
        <v>0.60000002384185791</v>
      </c>
      <c r="Q23" s="33">
        <f>Recu2!Q23</f>
        <v>0.40000000596046448</v>
      </c>
      <c r="R23" s="32">
        <f t="shared" si="66"/>
        <v>0.40000000596046448</v>
      </c>
      <c r="S23" s="33">
        <f>Recu2!S23</f>
        <v>0.40000000596046448</v>
      </c>
      <c r="T23" s="32">
        <f t="shared" si="67"/>
        <v>0.40000000596046448</v>
      </c>
      <c r="U23" s="33">
        <f>Recu2!U23</f>
        <v>0.89999997615814209</v>
      </c>
      <c r="V23" s="32">
        <f t="shared" si="68"/>
        <v>0.89999997615814209</v>
      </c>
      <c r="W23" s="33">
        <f>Recu2!W23</f>
        <v>0.60000002384185791</v>
      </c>
      <c r="X23" s="32">
        <f t="shared" si="69"/>
        <v>0.60000002384185791</v>
      </c>
      <c r="Y23" s="33">
        <f>Recu2!Y23</f>
        <v>1</v>
      </c>
      <c r="Z23" s="32">
        <f t="shared" si="70"/>
        <v>1</v>
      </c>
      <c r="AA23" s="33">
        <f>Recu2!AA23</f>
        <v>0.5</v>
      </c>
      <c r="AB23" s="32">
        <f t="shared" si="71"/>
        <v>0.5</v>
      </c>
      <c r="AC23" s="33">
        <f>Recu2!AC23</f>
        <v>0.30000001192092896</v>
      </c>
      <c r="AD23" s="32">
        <f t="shared" si="72"/>
        <v>0.30000001192092896</v>
      </c>
      <c r="AE23" s="33">
        <f>Recu2!AE23</f>
        <v>0.89999997615814209</v>
      </c>
      <c r="AF23" s="32">
        <f t="shared" si="73"/>
        <v>0.89999997615814209</v>
      </c>
      <c r="AG23" s="33">
        <f>Recu2!AG23</f>
        <v>0.20000000298023224</v>
      </c>
      <c r="AH23" s="32">
        <f t="shared" si="74"/>
        <v>0.20000000298023224</v>
      </c>
      <c r="AI23" s="33">
        <f>Recu2!AI23</f>
        <v>0.20000000298023224</v>
      </c>
      <c r="AJ23" s="32">
        <f t="shared" si="75"/>
        <v>0.20000000298023224</v>
      </c>
      <c r="AK23" s="33">
        <f>Recu2!AK23</f>
        <v>0.10000000149011612</v>
      </c>
      <c r="AL23" s="32">
        <f t="shared" si="76"/>
        <v>0.10000000149011612</v>
      </c>
      <c r="AM23" s="33">
        <f>Recu2!AM23</f>
        <v>0.30000001192092896</v>
      </c>
      <c r="AN23" s="32">
        <f t="shared" si="77"/>
        <v>0.30000001192092896</v>
      </c>
      <c r="AO23" s="33">
        <f>Recu2!AO23</f>
        <v>0</v>
      </c>
      <c r="AP23" s="32">
        <f t="shared" si="78"/>
        <v>0</v>
      </c>
      <c r="AQ23" s="33">
        <f>Recu2!AQ23</f>
        <v>0.80000001192092896</v>
      </c>
      <c r="AR23" s="32">
        <f t="shared" si="79"/>
        <v>0.80000001192092896</v>
      </c>
      <c r="AS23" s="33">
        <f>Recu2!AS23</f>
        <v>0.89999997615814209</v>
      </c>
      <c r="AT23" s="32">
        <f t="shared" si="80"/>
        <v>0.89999997615814209</v>
      </c>
      <c r="AU23" s="33">
        <f>Recu2!AU23</f>
        <v>0.30000001192092896</v>
      </c>
      <c r="AV23" s="32">
        <f t="shared" si="81"/>
        <v>0.30000001192092896</v>
      </c>
      <c r="AW23" s="33">
        <f>Recu2!AW23</f>
        <v>0.69999998807907104</v>
      </c>
      <c r="AX23" s="32">
        <f t="shared" si="82"/>
        <v>0.69999998807907104</v>
      </c>
      <c r="AY23" s="33">
        <f>Recu2!AY23</f>
        <v>0.40000000596046448</v>
      </c>
      <c r="AZ23" s="32">
        <f t="shared" si="83"/>
        <v>0.40000000596046448</v>
      </c>
      <c r="BA23" s="33">
        <f>Recu2!BA23</f>
        <v>0.80000001192092896</v>
      </c>
      <c r="BB23" s="32">
        <f t="shared" si="84"/>
        <v>0.80000001192092896</v>
      </c>
      <c r="BC23" s="33">
        <f>Recu2!BC23</f>
        <v>0.80000001192092896</v>
      </c>
      <c r="BD23" s="32">
        <f t="shared" si="85"/>
        <v>0.80000001192092896</v>
      </c>
      <c r="BE23" s="33">
        <f>Recu2!BE23</f>
        <v>0.40000000596046448</v>
      </c>
      <c r="BF23" s="32">
        <f t="shared" si="86"/>
        <v>0.40000000596046448</v>
      </c>
      <c r="BG23" s="33">
        <f>Recu2!BG23</f>
        <v>0</v>
      </c>
      <c r="BH23" s="32">
        <f t="shared" si="87"/>
        <v>0</v>
      </c>
      <c r="BI23" s="33">
        <f>Recu2!BI23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Recu2!B24</f>
        <v>0</v>
      </c>
      <c r="C24" s="33">
        <f>Recu2!C24</f>
        <v>0</v>
      </c>
      <c r="D24" s="32">
        <f t="shared" si="59"/>
        <v>-1</v>
      </c>
      <c r="E24" s="33">
        <f>Recu2!E24</f>
        <v>0</v>
      </c>
      <c r="F24" s="32">
        <f t="shared" si="60"/>
        <v>-1</v>
      </c>
      <c r="G24" s="33">
        <f>Recu2!G24</f>
        <v>0</v>
      </c>
      <c r="H24" s="32">
        <f t="shared" si="61"/>
        <v>-1</v>
      </c>
      <c r="I24" s="33">
        <f>Recu2!I24</f>
        <v>0</v>
      </c>
      <c r="J24" s="32">
        <f t="shared" si="62"/>
        <v>-1</v>
      </c>
      <c r="K24" s="33">
        <f>Recu2!K24</f>
        <v>0</v>
      </c>
      <c r="L24" s="32">
        <f t="shared" si="63"/>
        <v>-1</v>
      </c>
      <c r="M24" s="33">
        <f>Recu2!M24</f>
        <v>0</v>
      </c>
      <c r="N24" s="32">
        <f t="shared" si="64"/>
        <v>-1</v>
      </c>
      <c r="O24" s="33">
        <f>Recu2!O24</f>
        <v>0</v>
      </c>
      <c r="P24" s="32">
        <f t="shared" si="65"/>
        <v>-1</v>
      </c>
      <c r="Q24" s="33">
        <f>Recu2!Q24</f>
        <v>0</v>
      </c>
      <c r="R24" s="32">
        <f t="shared" si="66"/>
        <v>-1</v>
      </c>
      <c r="S24" s="33">
        <f>Recu2!S24</f>
        <v>0</v>
      </c>
      <c r="T24" s="32">
        <f t="shared" si="67"/>
        <v>-1</v>
      </c>
      <c r="U24" s="33">
        <f>Recu2!U24</f>
        <v>0</v>
      </c>
      <c r="V24" s="32">
        <f t="shared" si="68"/>
        <v>-1</v>
      </c>
      <c r="W24" s="33">
        <f>Recu2!W24</f>
        <v>0</v>
      </c>
      <c r="X24" s="32">
        <f t="shared" si="69"/>
        <v>-1</v>
      </c>
      <c r="Y24" s="33">
        <f>Recu2!Y24</f>
        <v>0</v>
      </c>
      <c r="Z24" s="32">
        <f t="shared" si="70"/>
        <v>-1</v>
      </c>
      <c r="AA24" s="33">
        <f>Recu2!AA24</f>
        <v>0</v>
      </c>
      <c r="AB24" s="32">
        <f t="shared" si="71"/>
        <v>-1</v>
      </c>
      <c r="AC24" s="33">
        <f>Recu2!AC24</f>
        <v>0</v>
      </c>
      <c r="AD24" s="32">
        <f t="shared" si="72"/>
        <v>-1</v>
      </c>
      <c r="AE24" s="33">
        <f>Recu2!AE24</f>
        <v>0</v>
      </c>
      <c r="AF24" s="32">
        <f t="shared" si="73"/>
        <v>-1</v>
      </c>
      <c r="AG24" s="33">
        <f>Recu2!AG24</f>
        <v>0</v>
      </c>
      <c r="AH24" s="32">
        <f t="shared" si="74"/>
        <v>-1</v>
      </c>
      <c r="AI24" s="33">
        <f>Recu2!AI24</f>
        <v>0</v>
      </c>
      <c r="AJ24" s="32">
        <f t="shared" si="75"/>
        <v>-1</v>
      </c>
      <c r="AK24" s="33">
        <f>Recu2!AK24</f>
        <v>0</v>
      </c>
      <c r="AL24" s="32">
        <f t="shared" si="76"/>
        <v>-1</v>
      </c>
      <c r="AM24" s="33">
        <f>Recu2!AM24</f>
        <v>0</v>
      </c>
      <c r="AN24" s="32">
        <f t="shared" si="77"/>
        <v>-1</v>
      </c>
      <c r="AO24" s="33">
        <f>Recu2!AO24</f>
        <v>0</v>
      </c>
      <c r="AP24" s="32">
        <f t="shared" si="78"/>
        <v>-1</v>
      </c>
      <c r="AQ24" s="33">
        <f>Recu2!AQ24</f>
        <v>0</v>
      </c>
      <c r="AR24" s="32">
        <f t="shared" si="79"/>
        <v>-1</v>
      </c>
      <c r="AS24" s="33">
        <f>Recu2!AS24</f>
        <v>0</v>
      </c>
      <c r="AT24" s="32">
        <f t="shared" si="80"/>
        <v>-1</v>
      </c>
      <c r="AU24" s="33">
        <f>Recu2!AU24</f>
        <v>0</v>
      </c>
      <c r="AV24" s="32">
        <f t="shared" si="81"/>
        <v>-1</v>
      </c>
      <c r="AW24" s="33">
        <f>Recu2!AW24</f>
        <v>0</v>
      </c>
      <c r="AX24" s="32">
        <f t="shared" si="82"/>
        <v>-1</v>
      </c>
      <c r="AY24" s="33">
        <f>Recu2!AY24</f>
        <v>0</v>
      </c>
      <c r="AZ24" s="32">
        <f t="shared" si="83"/>
        <v>-1</v>
      </c>
      <c r="BA24" s="33">
        <f>Recu2!BA24</f>
        <v>0</v>
      </c>
      <c r="BB24" s="32">
        <f t="shared" si="84"/>
        <v>-1</v>
      </c>
      <c r="BC24" s="33">
        <f>Recu2!BC24</f>
        <v>0</v>
      </c>
      <c r="BD24" s="32">
        <f t="shared" si="85"/>
        <v>-1</v>
      </c>
      <c r="BE24" s="33">
        <f>Recu2!BE24</f>
        <v>0</v>
      </c>
      <c r="BF24" s="32">
        <f t="shared" si="86"/>
        <v>-1</v>
      </c>
      <c r="BG24" s="33">
        <f>Recu2!BG24</f>
        <v>0</v>
      </c>
      <c r="BH24" s="32">
        <f t="shared" si="87"/>
        <v>-1</v>
      </c>
      <c r="BI24" s="33">
        <f>Recu2!BI24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Recu2!B25</f>
        <v>0</v>
      </c>
      <c r="C25" s="33">
        <f>Recu2!C25</f>
        <v>0</v>
      </c>
      <c r="D25" s="32">
        <f t="shared" si="59"/>
        <v>-1</v>
      </c>
      <c r="E25" s="33">
        <f>Recu2!E25</f>
        <v>0</v>
      </c>
      <c r="F25" s="32">
        <f t="shared" si="60"/>
        <v>-1</v>
      </c>
      <c r="G25" s="33">
        <f>Recu2!G25</f>
        <v>0</v>
      </c>
      <c r="H25" s="32">
        <f t="shared" si="61"/>
        <v>-1</v>
      </c>
      <c r="I25" s="33">
        <f>Recu2!I25</f>
        <v>0</v>
      </c>
      <c r="J25" s="32">
        <f t="shared" si="62"/>
        <v>-1</v>
      </c>
      <c r="K25" s="33">
        <f>Recu2!K25</f>
        <v>0</v>
      </c>
      <c r="L25" s="32">
        <f t="shared" si="63"/>
        <v>-1</v>
      </c>
      <c r="M25" s="33">
        <f>Recu2!M25</f>
        <v>0</v>
      </c>
      <c r="N25" s="32">
        <f t="shared" si="64"/>
        <v>-1</v>
      </c>
      <c r="O25" s="33">
        <f>Recu2!O25</f>
        <v>0</v>
      </c>
      <c r="P25" s="32">
        <f t="shared" si="65"/>
        <v>-1</v>
      </c>
      <c r="Q25" s="33">
        <f>Recu2!Q25</f>
        <v>0</v>
      </c>
      <c r="R25" s="32">
        <f t="shared" si="66"/>
        <v>-1</v>
      </c>
      <c r="S25" s="33">
        <f>Recu2!S25</f>
        <v>0</v>
      </c>
      <c r="T25" s="32">
        <f t="shared" si="67"/>
        <v>-1</v>
      </c>
      <c r="U25" s="33">
        <f>Recu2!U25</f>
        <v>0</v>
      </c>
      <c r="V25" s="32">
        <f t="shared" si="68"/>
        <v>-1</v>
      </c>
      <c r="W25" s="33">
        <f>Recu2!W25</f>
        <v>0</v>
      </c>
      <c r="X25" s="32">
        <f t="shared" si="69"/>
        <v>-1</v>
      </c>
      <c r="Y25" s="33">
        <f>Recu2!Y25</f>
        <v>0</v>
      </c>
      <c r="Z25" s="32">
        <f t="shared" si="70"/>
        <v>-1</v>
      </c>
      <c r="AA25" s="33">
        <f>Recu2!AA25</f>
        <v>0</v>
      </c>
      <c r="AB25" s="32">
        <f t="shared" si="71"/>
        <v>-1</v>
      </c>
      <c r="AC25" s="33">
        <f>Recu2!AC25</f>
        <v>0</v>
      </c>
      <c r="AD25" s="32">
        <f t="shared" si="72"/>
        <v>-1</v>
      </c>
      <c r="AE25" s="33">
        <f>Recu2!AE25</f>
        <v>0</v>
      </c>
      <c r="AF25" s="32">
        <f t="shared" si="73"/>
        <v>-1</v>
      </c>
      <c r="AG25" s="33">
        <f>Recu2!AG25</f>
        <v>0</v>
      </c>
      <c r="AH25" s="32">
        <f t="shared" si="74"/>
        <v>-1</v>
      </c>
      <c r="AI25" s="33">
        <f>Recu2!AI25</f>
        <v>0</v>
      </c>
      <c r="AJ25" s="32">
        <f t="shared" si="75"/>
        <v>-1</v>
      </c>
      <c r="AK25" s="33">
        <f>Recu2!AK25</f>
        <v>0</v>
      </c>
      <c r="AL25" s="32">
        <f t="shared" si="76"/>
        <v>-1</v>
      </c>
      <c r="AM25" s="33">
        <f>Recu2!AM25</f>
        <v>0</v>
      </c>
      <c r="AN25" s="32">
        <f t="shared" si="77"/>
        <v>-1</v>
      </c>
      <c r="AO25" s="33">
        <f>Recu2!AO25</f>
        <v>0</v>
      </c>
      <c r="AP25" s="32">
        <f t="shared" si="78"/>
        <v>-1</v>
      </c>
      <c r="AQ25" s="33">
        <f>Recu2!AQ25</f>
        <v>0</v>
      </c>
      <c r="AR25" s="32">
        <f t="shared" si="79"/>
        <v>-1</v>
      </c>
      <c r="AS25" s="33">
        <f>Recu2!AS25</f>
        <v>0</v>
      </c>
      <c r="AT25" s="32">
        <f t="shared" si="80"/>
        <v>-1</v>
      </c>
      <c r="AU25" s="33">
        <f>Recu2!AU25</f>
        <v>0</v>
      </c>
      <c r="AV25" s="32">
        <f t="shared" si="81"/>
        <v>-1</v>
      </c>
      <c r="AW25" s="33">
        <f>Recu2!AW25</f>
        <v>0</v>
      </c>
      <c r="AX25" s="32">
        <f t="shared" si="82"/>
        <v>-1</v>
      </c>
      <c r="AY25" s="33">
        <f>Recu2!AY25</f>
        <v>0</v>
      </c>
      <c r="AZ25" s="32">
        <f t="shared" si="83"/>
        <v>-1</v>
      </c>
      <c r="BA25" s="33">
        <f>Recu2!BA25</f>
        <v>0</v>
      </c>
      <c r="BB25" s="32">
        <f t="shared" si="84"/>
        <v>-1</v>
      </c>
      <c r="BC25" s="33">
        <f>Recu2!BC25</f>
        <v>0</v>
      </c>
      <c r="BD25" s="32">
        <f t="shared" si="85"/>
        <v>-1</v>
      </c>
      <c r="BE25" s="33">
        <f>Recu2!BE25</f>
        <v>0</v>
      </c>
      <c r="BF25" s="32">
        <f t="shared" si="86"/>
        <v>-1</v>
      </c>
      <c r="BG25" s="33">
        <f>Recu2!BG25</f>
        <v>0</v>
      </c>
      <c r="BH25" s="32">
        <f t="shared" si="87"/>
        <v>-1</v>
      </c>
      <c r="BI25" s="33">
        <f>Recu2!BI25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Recu2!B26</f>
        <v>2</v>
      </c>
      <c r="C26" s="33">
        <f>Recu2!C26</f>
        <v>0.60000002384185791</v>
      </c>
      <c r="D26" s="32">
        <f t="shared" si="59"/>
        <v>0.30000001192092896</v>
      </c>
      <c r="E26" s="33">
        <f>Recu2!E26</f>
        <v>1.3999999761581421</v>
      </c>
      <c r="F26" s="32">
        <f t="shared" si="60"/>
        <v>0.69999998807907104</v>
      </c>
      <c r="G26" s="33">
        <f>Recu2!G26</f>
        <v>0.60000002384185791</v>
      </c>
      <c r="H26" s="32">
        <f t="shared" si="61"/>
        <v>0.30000001192092896</v>
      </c>
      <c r="I26" s="33">
        <f>Recu2!I26</f>
        <v>1.6000000238418579</v>
      </c>
      <c r="J26" s="32">
        <f t="shared" si="62"/>
        <v>0.80000001192092896</v>
      </c>
      <c r="K26" s="33">
        <f>Recu2!K26</f>
        <v>0.20000000298023224</v>
      </c>
      <c r="L26" s="32">
        <f t="shared" si="63"/>
        <v>0.10000000149011612</v>
      </c>
      <c r="M26" s="33">
        <f>Recu2!M26</f>
        <v>1.2000000476837158</v>
      </c>
      <c r="N26" s="32">
        <f t="shared" si="64"/>
        <v>0.60000002384185791</v>
      </c>
      <c r="O26" s="33">
        <f>Recu2!O26</f>
        <v>2</v>
      </c>
      <c r="P26" s="32">
        <f t="shared" si="65"/>
        <v>1</v>
      </c>
      <c r="Q26" s="33">
        <f>Recu2!Q26</f>
        <v>0.40000000596046448</v>
      </c>
      <c r="R26" s="32">
        <f t="shared" si="66"/>
        <v>0.20000000298023224</v>
      </c>
      <c r="S26" s="33">
        <f>Recu2!S26</f>
        <v>2</v>
      </c>
      <c r="T26" s="32">
        <f t="shared" si="67"/>
        <v>1</v>
      </c>
      <c r="U26" s="33">
        <f>Recu2!U26</f>
        <v>0.20000000298023224</v>
      </c>
      <c r="V26" s="32">
        <f t="shared" si="68"/>
        <v>0.10000000149011612</v>
      </c>
      <c r="W26" s="33">
        <f>Recu2!W26</f>
        <v>2</v>
      </c>
      <c r="X26" s="32">
        <f t="shared" si="69"/>
        <v>1</v>
      </c>
      <c r="Y26" s="33">
        <f>Recu2!Y26</f>
        <v>1.2000000476837158</v>
      </c>
      <c r="Z26" s="32">
        <f t="shared" si="70"/>
        <v>0.60000002384185791</v>
      </c>
      <c r="AA26" s="33">
        <f>Recu2!AA26</f>
        <v>1.2000000476837158</v>
      </c>
      <c r="AB26" s="32">
        <f t="shared" si="71"/>
        <v>0.60000002384185791</v>
      </c>
      <c r="AC26" s="33">
        <f>Recu2!AC26</f>
        <v>1.7999999523162842</v>
      </c>
      <c r="AD26" s="32">
        <f t="shared" si="72"/>
        <v>0.89999997615814209</v>
      </c>
      <c r="AE26" s="33">
        <f>Recu2!AE26</f>
        <v>1.2000000476837158</v>
      </c>
      <c r="AF26" s="32">
        <f t="shared" si="73"/>
        <v>0.60000002384185791</v>
      </c>
      <c r="AG26" s="33">
        <f>Recu2!AG26</f>
        <v>0.40000000596046448</v>
      </c>
      <c r="AH26" s="32">
        <f t="shared" si="74"/>
        <v>0.20000000298023224</v>
      </c>
      <c r="AI26" s="33">
        <f>Recu2!AI26</f>
        <v>1.7999999523162842</v>
      </c>
      <c r="AJ26" s="32">
        <f t="shared" si="75"/>
        <v>0.89999997615814209</v>
      </c>
      <c r="AK26" s="33">
        <f>Recu2!AK26</f>
        <v>0</v>
      </c>
      <c r="AL26" s="32">
        <f t="shared" si="76"/>
        <v>0</v>
      </c>
      <c r="AM26" s="33">
        <f>Recu2!AM26</f>
        <v>0.80000001192092896</v>
      </c>
      <c r="AN26" s="32">
        <f t="shared" si="77"/>
        <v>0.40000000596046448</v>
      </c>
      <c r="AO26" s="33">
        <f>Recu2!AO26</f>
        <v>1.6000000238418579</v>
      </c>
      <c r="AP26" s="32">
        <f t="shared" si="78"/>
        <v>0.80000001192092896</v>
      </c>
      <c r="AQ26" s="33">
        <f>Recu2!AQ26</f>
        <v>0.40000000596046448</v>
      </c>
      <c r="AR26" s="32">
        <f t="shared" si="79"/>
        <v>0.20000000298023224</v>
      </c>
      <c r="AS26" s="33">
        <f>Recu2!AS26</f>
        <v>0.80000001192092896</v>
      </c>
      <c r="AT26" s="32">
        <f t="shared" si="80"/>
        <v>0.40000000596046448</v>
      </c>
      <c r="AU26" s="33">
        <f>Recu2!AU26</f>
        <v>0.80000001192092896</v>
      </c>
      <c r="AV26" s="32">
        <f t="shared" si="81"/>
        <v>0.40000000596046448</v>
      </c>
      <c r="AW26" s="33">
        <f>Recu2!AW26</f>
        <v>1</v>
      </c>
      <c r="AX26" s="32">
        <f t="shared" si="82"/>
        <v>0.5</v>
      </c>
      <c r="AY26" s="33">
        <f>Recu2!AY26</f>
        <v>0.40000000596046448</v>
      </c>
      <c r="AZ26" s="32">
        <f t="shared" si="83"/>
        <v>0.20000000298023224</v>
      </c>
      <c r="BA26" s="33">
        <f>Recu2!BA26</f>
        <v>1.2000000476837158</v>
      </c>
      <c r="BB26" s="32">
        <f t="shared" si="84"/>
        <v>0.60000002384185791</v>
      </c>
      <c r="BC26" s="33">
        <f>Recu2!BC26</f>
        <v>0.40000000596046448</v>
      </c>
      <c r="BD26" s="32">
        <f t="shared" si="85"/>
        <v>0.20000000298023224</v>
      </c>
      <c r="BE26" s="33">
        <f>Recu2!BE26</f>
        <v>0</v>
      </c>
      <c r="BF26" s="32">
        <f t="shared" si="86"/>
        <v>0</v>
      </c>
      <c r="BG26" s="33">
        <f>Recu2!BG26</f>
        <v>1.7999999523162842</v>
      </c>
      <c r="BH26" s="32">
        <f t="shared" si="87"/>
        <v>0.89999997615814209</v>
      </c>
      <c r="BI26" s="33">
        <f>Recu2!BI26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Recu2!B27</f>
        <v>2</v>
      </c>
      <c r="C27" s="33">
        <f>Recu2!C27</f>
        <v>1.3999999761581421</v>
      </c>
      <c r="D27" s="32">
        <f t="shared" si="59"/>
        <v>0.69999998807907104</v>
      </c>
      <c r="E27" s="33">
        <f>Recu2!E27</f>
        <v>1.7999999523162842</v>
      </c>
      <c r="F27" s="32">
        <f t="shared" si="60"/>
        <v>0.89999997615814209</v>
      </c>
      <c r="G27" s="33">
        <f>Recu2!G27</f>
        <v>0.40000000596046448</v>
      </c>
      <c r="H27" s="32">
        <f t="shared" si="61"/>
        <v>0.20000000298023224</v>
      </c>
      <c r="I27" s="33">
        <f>Recu2!I27</f>
        <v>2</v>
      </c>
      <c r="J27" s="32">
        <f t="shared" si="62"/>
        <v>1</v>
      </c>
      <c r="K27" s="33">
        <f>Recu2!K27</f>
        <v>1.7999999523162842</v>
      </c>
      <c r="L27" s="32">
        <f t="shared" si="63"/>
        <v>0.89999997615814209</v>
      </c>
      <c r="M27" s="33">
        <f>Recu2!M27</f>
        <v>0.80000001192092896</v>
      </c>
      <c r="N27" s="32">
        <f t="shared" si="64"/>
        <v>0.40000000596046448</v>
      </c>
      <c r="O27" s="33">
        <f>Recu2!O27</f>
        <v>1</v>
      </c>
      <c r="P27" s="32">
        <f t="shared" si="65"/>
        <v>0.5</v>
      </c>
      <c r="Q27" s="33">
        <f>Recu2!Q27</f>
        <v>1.6000000238418579</v>
      </c>
      <c r="R27" s="32">
        <f t="shared" si="66"/>
        <v>0.80000001192092896</v>
      </c>
      <c r="S27" s="33">
        <f>Recu2!S27</f>
        <v>1.7999999523162842</v>
      </c>
      <c r="T27" s="32">
        <f t="shared" si="67"/>
        <v>0.89999997615814209</v>
      </c>
      <c r="U27" s="33">
        <f>Recu2!U27</f>
        <v>0.80000001192092896</v>
      </c>
      <c r="V27" s="32">
        <f t="shared" si="68"/>
        <v>0.40000000596046448</v>
      </c>
      <c r="W27" s="33">
        <f>Recu2!W27</f>
        <v>0.40000000596046448</v>
      </c>
      <c r="X27" s="32">
        <f t="shared" si="69"/>
        <v>0.20000000298023224</v>
      </c>
      <c r="Y27" s="33">
        <f>Recu2!Y27</f>
        <v>0.60000002384185791</v>
      </c>
      <c r="Z27" s="32">
        <f t="shared" si="70"/>
        <v>0.30000001192092896</v>
      </c>
      <c r="AA27" s="33">
        <f>Recu2!AA27</f>
        <v>0.80000001192092896</v>
      </c>
      <c r="AB27" s="32">
        <f t="shared" si="71"/>
        <v>0.40000000596046448</v>
      </c>
      <c r="AC27" s="33">
        <f>Recu2!AC27</f>
        <v>0.20000000298023224</v>
      </c>
      <c r="AD27" s="32">
        <f t="shared" si="72"/>
        <v>0.10000000149011612</v>
      </c>
      <c r="AE27" s="33">
        <f>Recu2!AE27</f>
        <v>1.2000000476837158</v>
      </c>
      <c r="AF27" s="32">
        <f t="shared" si="73"/>
        <v>0.60000002384185791</v>
      </c>
      <c r="AG27" s="33">
        <f>Recu2!AG27</f>
        <v>0.20000000298023224</v>
      </c>
      <c r="AH27" s="32">
        <f t="shared" si="74"/>
        <v>0.10000000149011612</v>
      </c>
      <c r="AI27" s="33">
        <f>Recu2!AI27</f>
        <v>0.40000000596046448</v>
      </c>
      <c r="AJ27" s="32">
        <f t="shared" si="75"/>
        <v>0.20000000298023224</v>
      </c>
      <c r="AK27" s="33">
        <f>Recu2!AK27</f>
        <v>1.3999999761581421</v>
      </c>
      <c r="AL27" s="32">
        <f t="shared" si="76"/>
        <v>0.69999998807907104</v>
      </c>
      <c r="AM27" s="33">
        <f>Recu2!AM27</f>
        <v>1</v>
      </c>
      <c r="AN27" s="32">
        <f t="shared" si="77"/>
        <v>0.5</v>
      </c>
      <c r="AO27" s="33">
        <f>Recu2!AO27</f>
        <v>0.40000000596046448</v>
      </c>
      <c r="AP27" s="32">
        <f t="shared" si="78"/>
        <v>0.20000000298023224</v>
      </c>
      <c r="AQ27" s="33">
        <f>Recu2!AQ27</f>
        <v>2</v>
      </c>
      <c r="AR27" s="32">
        <f t="shared" si="79"/>
        <v>1</v>
      </c>
      <c r="AS27" s="33">
        <f>Recu2!AS27</f>
        <v>1</v>
      </c>
      <c r="AT27" s="32">
        <f t="shared" si="80"/>
        <v>0.5</v>
      </c>
      <c r="AU27" s="33">
        <f>Recu2!AU27</f>
        <v>0</v>
      </c>
      <c r="AV27" s="32">
        <f t="shared" si="81"/>
        <v>0</v>
      </c>
      <c r="AW27" s="33">
        <f>Recu2!AW27</f>
        <v>0.80000001192092896</v>
      </c>
      <c r="AX27" s="32">
        <f t="shared" si="82"/>
        <v>0.40000000596046448</v>
      </c>
      <c r="AY27" s="33">
        <f>Recu2!AY27</f>
        <v>0.60000002384185791</v>
      </c>
      <c r="AZ27" s="32">
        <f t="shared" si="83"/>
        <v>0.30000001192092896</v>
      </c>
      <c r="BA27" s="33">
        <f>Recu2!BA27</f>
        <v>1.6000000238418579</v>
      </c>
      <c r="BB27" s="32">
        <f t="shared" si="84"/>
        <v>0.80000001192092896</v>
      </c>
      <c r="BC27" s="33">
        <f>Recu2!BC27</f>
        <v>1.7999999523162842</v>
      </c>
      <c r="BD27" s="32">
        <f t="shared" si="85"/>
        <v>0.89999997615814209</v>
      </c>
      <c r="BE27" s="33">
        <f>Recu2!BE27</f>
        <v>1.7999999523162842</v>
      </c>
      <c r="BF27" s="32">
        <f t="shared" si="86"/>
        <v>0.89999997615814209</v>
      </c>
      <c r="BG27" s="33">
        <f>Recu2!BG27</f>
        <v>0.20000000298023224</v>
      </c>
      <c r="BH27" s="32">
        <f t="shared" si="87"/>
        <v>0.10000000149011612</v>
      </c>
      <c r="BI27" s="33">
        <f>Recu2!BI27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Recu2!B28</f>
        <v>2</v>
      </c>
      <c r="C28" s="33">
        <f>Recu2!C28</f>
        <v>0</v>
      </c>
      <c r="D28" s="32">
        <f t="shared" si="59"/>
        <v>0</v>
      </c>
      <c r="E28" s="33">
        <f>Recu2!E28</f>
        <v>0.20000000298023224</v>
      </c>
      <c r="F28" s="32">
        <f t="shared" si="60"/>
        <v>0.10000000149011612</v>
      </c>
      <c r="G28" s="33">
        <f>Recu2!G28</f>
        <v>0.80000001192092896</v>
      </c>
      <c r="H28" s="32">
        <f t="shared" si="61"/>
        <v>0.40000000596046448</v>
      </c>
      <c r="I28" s="33">
        <f>Recu2!I28</f>
        <v>0.40000000596046448</v>
      </c>
      <c r="J28" s="32">
        <f t="shared" si="62"/>
        <v>0.20000000298023224</v>
      </c>
      <c r="K28" s="33">
        <f>Recu2!K28</f>
        <v>2</v>
      </c>
      <c r="L28" s="32">
        <f t="shared" si="63"/>
        <v>1</v>
      </c>
      <c r="M28" s="33">
        <f>Recu2!M28</f>
        <v>1.7999999523162842</v>
      </c>
      <c r="N28" s="32">
        <f t="shared" si="64"/>
        <v>0.89999997615814209</v>
      </c>
      <c r="O28" s="33">
        <f>Recu2!O28</f>
        <v>1.2000000476837158</v>
      </c>
      <c r="P28" s="32">
        <f t="shared" si="65"/>
        <v>0.60000002384185791</v>
      </c>
      <c r="Q28" s="33">
        <f>Recu2!Q28</f>
        <v>1.6000000238418579</v>
      </c>
      <c r="R28" s="32">
        <f t="shared" si="66"/>
        <v>0.80000001192092896</v>
      </c>
      <c r="S28" s="33">
        <f>Recu2!S28</f>
        <v>0.20000000298023224</v>
      </c>
      <c r="T28" s="32">
        <f t="shared" si="67"/>
        <v>0.10000000149011612</v>
      </c>
      <c r="U28" s="33">
        <f>Recu2!U28</f>
        <v>0.40000000596046448</v>
      </c>
      <c r="V28" s="32">
        <f t="shared" si="68"/>
        <v>0.20000000298023224</v>
      </c>
      <c r="W28" s="33">
        <f>Recu2!W28</f>
        <v>0</v>
      </c>
      <c r="X28" s="32">
        <f t="shared" si="69"/>
        <v>0</v>
      </c>
      <c r="Y28" s="33">
        <f>Recu2!Y28</f>
        <v>1.7999999523162842</v>
      </c>
      <c r="Z28" s="32">
        <f t="shared" si="70"/>
        <v>0.89999997615814209</v>
      </c>
      <c r="AA28" s="33">
        <f>Recu2!AA28</f>
        <v>1.6000000238418579</v>
      </c>
      <c r="AB28" s="32">
        <f t="shared" si="71"/>
        <v>0.80000001192092896</v>
      </c>
      <c r="AC28" s="33">
        <f>Recu2!AC28</f>
        <v>1.6000000238418579</v>
      </c>
      <c r="AD28" s="32">
        <f t="shared" si="72"/>
        <v>0.80000001192092896</v>
      </c>
      <c r="AE28" s="33">
        <f>Recu2!AE28</f>
        <v>0.60000002384185791</v>
      </c>
      <c r="AF28" s="32">
        <f t="shared" si="73"/>
        <v>0.30000001192092896</v>
      </c>
      <c r="AG28" s="33">
        <f>Recu2!AG28</f>
        <v>0.80000001192092896</v>
      </c>
      <c r="AH28" s="32">
        <f t="shared" si="74"/>
        <v>0.40000000596046448</v>
      </c>
      <c r="AI28" s="33">
        <f>Recu2!AI28</f>
        <v>1.2000000476837158</v>
      </c>
      <c r="AJ28" s="32">
        <f t="shared" si="75"/>
        <v>0.60000002384185791</v>
      </c>
      <c r="AK28" s="33">
        <f>Recu2!AK28</f>
        <v>1.6000000238418579</v>
      </c>
      <c r="AL28" s="32">
        <f t="shared" si="76"/>
        <v>0.80000001192092896</v>
      </c>
      <c r="AM28" s="33">
        <f>Recu2!AM28</f>
        <v>1.2000000476837158</v>
      </c>
      <c r="AN28" s="32">
        <f t="shared" si="77"/>
        <v>0.60000002384185791</v>
      </c>
      <c r="AO28" s="33">
        <f>Recu2!AO28</f>
        <v>0.40000000596046448</v>
      </c>
      <c r="AP28" s="32">
        <f t="shared" si="78"/>
        <v>0.20000000298023224</v>
      </c>
      <c r="AQ28" s="33">
        <f>Recu2!AQ28</f>
        <v>0.40000000596046448</v>
      </c>
      <c r="AR28" s="32">
        <f t="shared" si="79"/>
        <v>0.20000000298023224</v>
      </c>
      <c r="AS28" s="33">
        <f>Recu2!AS28</f>
        <v>0.80000001192092896</v>
      </c>
      <c r="AT28" s="32">
        <f t="shared" si="80"/>
        <v>0.40000000596046448</v>
      </c>
      <c r="AU28" s="33">
        <f>Recu2!AU28</f>
        <v>1.2000000476837158</v>
      </c>
      <c r="AV28" s="32">
        <f t="shared" si="81"/>
        <v>0.60000002384185791</v>
      </c>
      <c r="AW28" s="33">
        <f>Recu2!AW28</f>
        <v>0.60000002384185791</v>
      </c>
      <c r="AX28" s="32">
        <f t="shared" si="82"/>
        <v>0.30000001192092896</v>
      </c>
      <c r="AY28" s="33">
        <f>Recu2!AY28</f>
        <v>1</v>
      </c>
      <c r="AZ28" s="32">
        <f t="shared" si="83"/>
        <v>0.5</v>
      </c>
      <c r="BA28" s="33">
        <f>Recu2!BA28</f>
        <v>0.80000001192092896</v>
      </c>
      <c r="BB28" s="32">
        <f t="shared" si="84"/>
        <v>0.40000000596046448</v>
      </c>
      <c r="BC28" s="33">
        <f>Recu2!BC28</f>
        <v>1.2000000476837158</v>
      </c>
      <c r="BD28" s="32">
        <f t="shared" si="85"/>
        <v>0.60000002384185791</v>
      </c>
      <c r="BE28" s="33">
        <f>Recu2!BE28</f>
        <v>0</v>
      </c>
      <c r="BF28" s="32">
        <f t="shared" si="86"/>
        <v>0</v>
      </c>
      <c r="BG28" s="33">
        <f>Recu2!BG28</f>
        <v>1.2000000476837158</v>
      </c>
      <c r="BH28" s="32">
        <f t="shared" si="87"/>
        <v>0.60000002384185791</v>
      </c>
      <c r="BI28" s="33">
        <f>Recu2!BI28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Recu2!B29</f>
        <v>2</v>
      </c>
      <c r="C29" s="33">
        <f>Recu2!C29</f>
        <v>2</v>
      </c>
      <c r="D29" s="32">
        <f t="shared" si="59"/>
        <v>1</v>
      </c>
      <c r="E29" s="33">
        <f>Recu2!E29</f>
        <v>2</v>
      </c>
      <c r="F29" s="32">
        <f t="shared" si="60"/>
        <v>1</v>
      </c>
      <c r="G29" s="33">
        <f>Recu2!G29</f>
        <v>2</v>
      </c>
      <c r="H29" s="32">
        <f t="shared" si="61"/>
        <v>1</v>
      </c>
      <c r="I29" s="33">
        <f>Recu2!I29</f>
        <v>1.7999999523162842</v>
      </c>
      <c r="J29" s="32">
        <f t="shared" si="62"/>
        <v>0.89999997615814209</v>
      </c>
      <c r="K29" s="33">
        <f>Recu2!K29</f>
        <v>0.80000001192092896</v>
      </c>
      <c r="L29" s="32">
        <f t="shared" si="63"/>
        <v>0.40000000596046448</v>
      </c>
      <c r="M29" s="33">
        <f>Recu2!M29</f>
        <v>1.6000000238418579</v>
      </c>
      <c r="N29" s="32">
        <f t="shared" si="64"/>
        <v>0.80000001192092896</v>
      </c>
      <c r="O29" s="33">
        <f>Recu2!O29</f>
        <v>2</v>
      </c>
      <c r="P29" s="32">
        <f t="shared" si="65"/>
        <v>1</v>
      </c>
      <c r="Q29" s="33">
        <f>Recu2!Q29</f>
        <v>0.40000000596046448</v>
      </c>
      <c r="R29" s="32">
        <f t="shared" si="66"/>
        <v>0.20000000298023224</v>
      </c>
      <c r="S29" s="33">
        <f>Recu2!S29</f>
        <v>0.20000000298023224</v>
      </c>
      <c r="T29" s="32">
        <f t="shared" si="67"/>
        <v>0.10000000149011612</v>
      </c>
      <c r="U29" s="33">
        <f>Recu2!U29</f>
        <v>1.3999999761581421</v>
      </c>
      <c r="V29" s="32">
        <f t="shared" si="68"/>
        <v>0.69999998807907104</v>
      </c>
      <c r="W29" s="33">
        <f>Recu2!W29</f>
        <v>0</v>
      </c>
      <c r="X29" s="32">
        <f t="shared" si="69"/>
        <v>0</v>
      </c>
      <c r="Y29" s="33">
        <f>Recu2!Y29</f>
        <v>0.60000002384185791</v>
      </c>
      <c r="Z29" s="32">
        <f t="shared" si="70"/>
        <v>0.30000001192092896</v>
      </c>
      <c r="AA29" s="33">
        <f>Recu2!AA29</f>
        <v>1.3999999761581421</v>
      </c>
      <c r="AB29" s="32">
        <f t="shared" si="71"/>
        <v>0.69999998807907104</v>
      </c>
      <c r="AC29" s="33">
        <f>Recu2!AC29</f>
        <v>0.20000000298023224</v>
      </c>
      <c r="AD29" s="32">
        <f t="shared" si="72"/>
        <v>0.10000000149011612</v>
      </c>
      <c r="AE29" s="33">
        <f>Recu2!AE29</f>
        <v>0.20000000298023224</v>
      </c>
      <c r="AF29" s="32">
        <f t="shared" si="73"/>
        <v>0.10000000149011612</v>
      </c>
      <c r="AG29" s="33">
        <f>Recu2!AG29</f>
        <v>0.60000002384185791</v>
      </c>
      <c r="AH29" s="32">
        <f t="shared" si="74"/>
        <v>0.30000001192092896</v>
      </c>
      <c r="AI29" s="33">
        <f>Recu2!AI29</f>
        <v>0.80000001192092896</v>
      </c>
      <c r="AJ29" s="32">
        <f t="shared" si="75"/>
        <v>0.40000000596046448</v>
      </c>
      <c r="AK29" s="33">
        <f>Recu2!AK29</f>
        <v>1.2000000476837158</v>
      </c>
      <c r="AL29" s="32">
        <f t="shared" si="76"/>
        <v>0.60000002384185791</v>
      </c>
      <c r="AM29" s="33">
        <f>Recu2!AM29</f>
        <v>0.60000002384185791</v>
      </c>
      <c r="AN29" s="32">
        <f t="shared" si="77"/>
        <v>0.30000001192092896</v>
      </c>
      <c r="AO29" s="33">
        <f>Recu2!AO29</f>
        <v>0.60000002384185791</v>
      </c>
      <c r="AP29" s="32">
        <f t="shared" si="78"/>
        <v>0.30000001192092896</v>
      </c>
      <c r="AQ29" s="33">
        <f>Recu2!AQ29</f>
        <v>1.6000000238418579</v>
      </c>
      <c r="AR29" s="32">
        <f t="shared" si="79"/>
        <v>0.80000001192092896</v>
      </c>
      <c r="AS29" s="33">
        <f>Recu2!AS29</f>
        <v>0.60000002384185791</v>
      </c>
      <c r="AT29" s="32">
        <f t="shared" si="80"/>
        <v>0.30000001192092896</v>
      </c>
      <c r="AU29" s="33">
        <f>Recu2!AU29</f>
        <v>0.80000001192092896</v>
      </c>
      <c r="AV29" s="32">
        <f t="shared" si="81"/>
        <v>0.40000000596046448</v>
      </c>
      <c r="AW29" s="33">
        <f>Recu2!AW29</f>
        <v>0.80000001192092896</v>
      </c>
      <c r="AX29" s="32">
        <f t="shared" si="82"/>
        <v>0.40000000596046448</v>
      </c>
      <c r="AY29" s="33">
        <f>Recu2!AY29</f>
        <v>1.7999999523162842</v>
      </c>
      <c r="AZ29" s="32">
        <f t="shared" si="83"/>
        <v>0.89999997615814209</v>
      </c>
      <c r="BA29" s="33">
        <f>Recu2!BA29</f>
        <v>0.80000001192092896</v>
      </c>
      <c r="BB29" s="32">
        <f t="shared" si="84"/>
        <v>0.40000000596046448</v>
      </c>
      <c r="BC29" s="33">
        <f>Recu2!BC29</f>
        <v>1.3999999761581421</v>
      </c>
      <c r="BD29" s="32">
        <f t="shared" si="85"/>
        <v>0.69999998807907104</v>
      </c>
      <c r="BE29" s="33">
        <f>Recu2!BE29</f>
        <v>1.3999999761581421</v>
      </c>
      <c r="BF29" s="32">
        <f t="shared" si="86"/>
        <v>0.69999998807907104</v>
      </c>
      <c r="BG29" s="33">
        <f>Recu2!BG29</f>
        <v>0.80000001192092896</v>
      </c>
      <c r="BH29" s="32">
        <f t="shared" si="87"/>
        <v>0.40000000596046448</v>
      </c>
      <c r="BI29" s="33">
        <f>Recu2!BI29</f>
        <v>2</v>
      </c>
      <c r="BJ29" s="32">
        <f t="shared" si="88"/>
        <v>1</v>
      </c>
    </row>
    <row r="30" spans="1:62" ht="70" x14ac:dyDescent="0.2">
      <c r="A30" s="2" t="s">
        <v>31</v>
      </c>
      <c r="B30" s="13">
        <f>Recu2!B30</f>
        <v>0</v>
      </c>
      <c r="C30" s="33">
        <f>Recu2!C30</f>
        <v>0</v>
      </c>
      <c r="D30" s="32">
        <f t="shared" si="59"/>
        <v>-1</v>
      </c>
      <c r="E30" s="33">
        <f>Recu2!E30</f>
        <v>0</v>
      </c>
      <c r="F30" s="32">
        <f t="shared" si="60"/>
        <v>-1</v>
      </c>
      <c r="G30" s="33">
        <f>Recu2!G30</f>
        <v>0</v>
      </c>
      <c r="H30" s="32">
        <f t="shared" si="61"/>
        <v>-1</v>
      </c>
      <c r="I30" s="33">
        <f>Recu2!I30</f>
        <v>0</v>
      </c>
      <c r="J30" s="32">
        <f t="shared" si="62"/>
        <v>-1</v>
      </c>
      <c r="K30" s="33">
        <f>Recu2!K30</f>
        <v>0</v>
      </c>
      <c r="L30" s="32">
        <f t="shared" si="63"/>
        <v>-1</v>
      </c>
      <c r="M30" s="33">
        <f>Recu2!M30</f>
        <v>0</v>
      </c>
      <c r="N30" s="32">
        <f t="shared" si="64"/>
        <v>-1</v>
      </c>
      <c r="O30" s="33">
        <f>Recu2!O30</f>
        <v>0</v>
      </c>
      <c r="P30" s="32">
        <f t="shared" si="65"/>
        <v>-1</v>
      </c>
      <c r="Q30" s="33">
        <f>Recu2!Q30</f>
        <v>0</v>
      </c>
      <c r="R30" s="32">
        <f t="shared" si="66"/>
        <v>-1</v>
      </c>
      <c r="S30" s="33">
        <f>Recu2!S30</f>
        <v>0</v>
      </c>
      <c r="T30" s="32">
        <f t="shared" si="67"/>
        <v>-1</v>
      </c>
      <c r="U30" s="33">
        <f>Recu2!U30</f>
        <v>0</v>
      </c>
      <c r="V30" s="32">
        <f t="shared" si="68"/>
        <v>-1</v>
      </c>
      <c r="W30" s="33">
        <f>Recu2!W30</f>
        <v>0</v>
      </c>
      <c r="X30" s="32">
        <f t="shared" si="69"/>
        <v>-1</v>
      </c>
      <c r="Y30" s="33">
        <f>Recu2!Y30</f>
        <v>0</v>
      </c>
      <c r="Z30" s="32">
        <f t="shared" si="70"/>
        <v>-1</v>
      </c>
      <c r="AA30" s="33">
        <f>Recu2!AA30</f>
        <v>0</v>
      </c>
      <c r="AB30" s="32">
        <f t="shared" si="71"/>
        <v>-1</v>
      </c>
      <c r="AC30" s="33">
        <f>Recu2!AC30</f>
        <v>0</v>
      </c>
      <c r="AD30" s="32">
        <f t="shared" si="72"/>
        <v>-1</v>
      </c>
      <c r="AE30" s="33">
        <f>Recu2!AE30</f>
        <v>0</v>
      </c>
      <c r="AF30" s="32">
        <f t="shared" si="73"/>
        <v>-1</v>
      </c>
      <c r="AG30" s="33">
        <f>Recu2!AG30</f>
        <v>0</v>
      </c>
      <c r="AH30" s="32">
        <f t="shared" si="74"/>
        <v>-1</v>
      </c>
      <c r="AI30" s="33">
        <f>Recu2!AI30</f>
        <v>0</v>
      </c>
      <c r="AJ30" s="32">
        <f t="shared" si="75"/>
        <v>-1</v>
      </c>
      <c r="AK30" s="33">
        <f>Recu2!AK30</f>
        <v>0</v>
      </c>
      <c r="AL30" s="32">
        <f t="shared" si="76"/>
        <v>-1</v>
      </c>
      <c r="AM30" s="33">
        <f>Recu2!AM30</f>
        <v>0</v>
      </c>
      <c r="AN30" s="32">
        <f t="shared" si="77"/>
        <v>-1</v>
      </c>
      <c r="AO30" s="33">
        <f>Recu2!AO30</f>
        <v>0</v>
      </c>
      <c r="AP30" s="32">
        <f t="shared" si="78"/>
        <v>-1</v>
      </c>
      <c r="AQ30" s="33">
        <f>Recu2!AQ30</f>
        <v>0</v>
      </c>
      <c r="AR30" s="32">
        <f t="shared" si="79"/>
        <v>-1</v>
      </c>
      <c r="AS30" s="33">
        <f>Recu2!AS30</f>
        <v>0</v>
      </c>
      <c r="AT30" s="32">
        <f t="shared" si="80"/>
        <v>-1</v>
      </c>
      <c r="AU30" s="33">
        <f>Recu2!AU30</f>
        <v>0</v>
      </c>
      <c r="AV30" s="32">
        <f t="shared" si="81"/>
        <v>-1</v>
      </c>
      <c r="AW30" s="33">
        <f>Recu2!AW30</f>
        <v>0</v>
      </c>
      <c r="AX30" s="32">
        <f t="shared" si="82"/>
        <v>-1</v>
      </c>
      <c r="AY30" s="33">
        <f>Recu2!AY30</f>
        <v>0</v>
      </c>
      <c r="AZ30" s="32">
        <f t="shared" si="83"/>
        <v>-1</v>
      </c>
      <c r="BA30" s="33">
        <f>Recu2!BA30</f>
        <v>0</v>
      </c>
      <c r="BB30" s="32">
        <f t="shared" si="84"/>
        <v>-1</v>
      </c>
      <c r="BC30" s="33">
        <f>Recu2!BC30</f>
        <v>0</v>
      </c>
      <c r="BD30" s="32">
        <f t="shared" si="85"/>
        <v>-1</v>
      </c>
      <c r="BE30" s="33">
        <f>Recu2!BE30</f>
        <v>0</v>
      </c>
      <c r="BF30" s="32">
        <f t="shared" si="86"/>
        <v>-1</v>
      </c>
      <c r="BG30" s="33">
        <f>Recu2!BG30</f>
        <v>0</v>
      </c>
      <c r="BH30" s="32">
        <f t="shared" si="87"/>
        <v>-1</v>
      </c>
      <c r="BI30" s="33">
        <f>Recu2!BI30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Recu2!B31</f>
        <v>2</v>
      </c>
      <c r="C31" s="33">
        <f>Recu2!C31</f>
        <v>1.3999999761581421</v>
      </c>
      <c r="D31" s="32">
        <f t="shared" si="59"/>
        <v>0.69999998807907104</v>
      </c>
      <c r="E31" s="33">
        <f>Recu2!E31</f>
        <v>1</v>
      </c>
      <c r="F31" s="32">
        <f t="shared" si="60"/>
        <v>0.5</v>
      </c>
      <c r="G31" s="33">
        <f>Recu2!G31</f>
        <v>0.40000000596046448</v>
      </c>
      <c r="H31" s="32">
        <f t="shared" si="61"/>
        <v>0.20000000298023224</v>
      </c>
      <c r="I31" s="33">
        <f>Recu2!I31</f>
        <v>1.2000000476837158</v>
      </c>
      <c r="J31" s="32">
        <f t="shared" si="62"/>
        <v>0.60000002384185791</v>
      </c>
      <c r="K31" s="33">
        <f>Recu2!K31</f>
        <v>1.6000000238418579</v>
      </c>
      <c r="L31" s="32">
        <f t="shared" si="63"/>
        <v>0.80000001192092896</v>
      </c>
      <c r="M31" s="33">
        <f>Recu2!M31</f>
        <v>1</v>
      </c>
      <c r="N31" s="32">
        <f t="shared" si="64"/>
        <v>0.5</v>
      </c>
      <c r="O31" s="33">
        <f>Recu2!O31</f>
        <v>1.7999999523162842</v>
      </c>
      <c r="P31" s="32">
        <f t="shared" si="65"/>
        <v>0.89999997615814209</v>
      </c>
      <c r="Q31" s="33">
        <f>Recu2!Q31</f>
        <v>0.60000002384185791</v>
      </c>
      <c r="R31" s="32">
        <f t="shared" si="66"/>
        <v>0.30000001192092896</v>
      </c>
      <c r="S31" s="33">
        <f>Recu2!S31</f>
        <v>1.3999999761581421</v>
      </c>
      <c r="T31" s="32">
        <f t="shared" si="67"/>
        <v>0.69999998807907104</v>
      </c>
      <c r="U31" s="33">
        <f>Recu2!U31</f>
        <v>1.7999999523162842</v>
      </c>
      <c r="V31" s="32">
        <f t="shared" si="68"/>
        <v>0.89999997615814209</v>
      </c>
      <c r="W31" s="33">
        <f>Recu2!W31</f>
        <v>0.60000002384185791</v>
      </c>
      <c r="X31" s="32">
        <f t="shared" si="69"/>
        <v>0.30000001192092896</v>
      </c>
      <c r="Y31" s="33">
        <f>Recu2!Y31</f>
        <v>0.80000001192092896</v>
      </c>
      <c r="Z31" s="32">
        <f t="shared" si="70"/>
        <v>0.40000000596046448</v>
      </c>
      <c r="AA31" s="33">
        <f>Recu2!AA31</f>
        <v>0</v>
      </c>
      <c r="AB31" s="32">
        <f t="shared" si="71"/>
        <v>0</v>
      </c>
      <c r="AC31" s="33">
        <f>Recu2!AC31</f>
        <v>0.60000002384185791</v>
      </c>
      <c r="AD31" s="32">
        <f t="shared" si="72"/>
        <v>0.30000001192092896</v>
      </c>
      <c r="AE31" s="33">
        <f>Recu2!AE31</f>
        <v>2</v>
      </c>
      <c r="AF31" s="32">
        <f t="shared" si="73"/>
        <v>1</v>
      </c>
      <c r="AG31" s="33">
        <f>Recu2!AG31</f>
        <v>1.6000000238418579</v>
      </c>
      <c r="AH31" s="32">
        <f t="shared" si="74"/>
        <v>0.80000001192092896</v>
      </c>
      <c r="AI31" s="33">
        <f>Recu2!AI31</f>
        <v>1.2000000476837158</v>
      </c>
      <c r="AJ31" s="32">
        <f t="shared" si="75"/>
        <v>0.60000002384185791</v>
      </c>
      <c r="AK31" s="33">
        <f>Recu2!AK31</f>
        <v>1.2000000476837158</v>
      </c>
      <c r="AL31" s="32">
        <f t="shared" si="76"/>
        <v>0.60000002384185791</v>
      </c>
      <c r="AM31" s="33">
        <f>Recu2!AM31</f>
        <v>0.40000000596046448</v>
      </c>
      <c r="AN31" s="32">
        <f t="shared" si="77"/>
        <v>0.20000000298023224</v>
      </c>
      <c r="AO31" s="33">
        <f>Recu2!AO31</f>
        <v>1</v>
      </c>
      <c r="AP31" s="32">
        <f t="shared" si="78"/>
        <v>0.5</v>
      </c>
      <c r="AQ31" s="33">
        <f>Recu2!AQ31</f>
        <v>1.6000000238418579</v>
      </c>
      <c r="AR31" s="32">
        <f t="shared" si="79"/>
        <v>0.80000001192092896</v>
      </c>
      <c r="AS31" s="33">
        <f>Recu2!AS31</f>
        <v>1.7999999523162842</v>
      </c>
      <c r="AT31" s="32">
        <f t="shared" si="80"/>
        <v>0.89999997615814209</v>
      </c>
      <c r="AU31" s="33">
        <f>Recu2!AU31</f>
        <v>0.20000000298023224</v>
      </c>
      <c r="AV31" s="32">
        <f t="shared" si="81"/>
        <v>0.10000000149011612</v>
      </c>
      <c r="AW31" s="33">
        <f>Recu2!AW31</f>
        <v>1</v>
      </c>
      <c r="AX31" s="32">
        <f t="shared" si="82"/>
        <v>0.5</v>
      </c>
      <c r="AY31" s="33">
        <f>Recu2!AY31</f>
        <v>0.80000001192092896</v>
      </c>
      <c r="AZ31" s="32">
        <f t="shared" si="83"/>
        <v>0.40000000596046448</v>
      </c>
      <c r="BA31" s="33">
        <f>Recu2!BA31</f>
        <v>0</v>
      </c>
      <c r="BB31" s="32">
        <f t="shared" si="84"/>
        <v>0</v>
      </c>
      <c r="BC31" s="33">
        <f>Recu2!BC31</f>
        <v>0.80000001192092896</v>
      </c>
      <c r="BD31" s="32">
        <f t="shared" si="85"/>
        <v>0.40000000596046448</v>
      </c>
      <c r="BE31" s="33">
        <f>Recu2!BE31</f>
        <v>1.3999999761581421</v>
      </c>
      <c r="BF31" s="32">
        <f t="shared" si="86"/>
        <v>0.69999998807907104</v>
      </c>
      <c r="BG31" s="33">
        <f>Recu2!BG31</f>
        <v>1</v>
      </c>
      <c r="BH31" s="32">
        <f t="shared" si="87"/>
        <v>0.5</v>
      </c>
      <c r="BI31" s="33">
        <f>Recu2!BI31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Recu2!B32</f>
        <v>0</v>
      </c>
      <c r="C32" s="33">
        <f>Recu2!C32</f>
        <v>0</v>
      </c>
      <c r="D32" s="32">
        <f t="shared" si="59"/>
        <v>-1</v>
      </c>
      <c r="E32" s="33">
        <f>Recu2!E32</f>
        <v>0</v>
      </c>
      <c r="F32" s="32">
        <f t="shared" si="60"/>
        <v>-1</v>
      </c>
      <c r="G32" s="33">
        <f>Recu2!G32</f>
        <v>0</v>
      </c>
      <c r="H32" s="32">
        <f t="shared" si="61"/>
        <v>-1</v>
      </c>
      <c r="I32" s="33">
        <f>Recu2!I32</f>
        <v>0</v>
      </c>
      <c r="J32" s="32">
        <f t="shared" si="62"/>
        <v>-1</v>
      </c>
      <c r="K32" s="33">
        <f>Recu2!K32</f>
        <v>0</v>
      </c>
      <c r="L32" s="32">
        <f t="shared" si="63"/>
        <v>-1</v>
      </c>
      <c r="M32" s="33">
        <f>Recu2!M32</f>
        <v>0</v>
      </c>
      <c r="N32" s="32">
        <f t="shared" si="64"/>
        <v>-1</v>
      </c>
      <c r="O32" s="33">
        <f>Recu2!O32</f>
        <v>0</v>
      </c>
      <c r="P32" s="32">
        <f t="shared" si="65"/>
        <v>-1</v>
      </c>
      <c r="Q32" s="33">
        <f>Recu2!Q32</f>
        <v>0</v>
      </c>
      <c r="R32" s="32">
        <f t="shared" si="66"/>
        <v>-1</v>
      </c>
      <c r="S32" s="33">
        <f>Recu2!S32</f>
        <v>0</v>
      </c>
      <c r="T32" s="32">
        <f t="shared" si="67"/>
        <v>-1</v>
      </c>
      <c r="U32" s="33">
        <f>Recu2!U32</f>
        <v>0</v>
      </c>
      <c r="V32" s="32">
        <f t="shared" si="68"/>
        <v>-1</v>
      </c>
      <c r="W32" s="33">
        <f>Recu2!W32</f>
        <v>0</v>
      </c>
      <c r="X32" s="32">
        <f t="shared" si="69"/>
        <v>-1</v>
      </c>
      <c r="Y32" s="33">
        <f>Recu2!Y32</f>
        <v>0</v>
      </c>
      <c r="Z32" s="32">
        <f t="shared" si="70"/>
        <v>-1</v>
      </c>
      <c r="AA32" s="33">
        <f>Recu2!AA32</f>
        <v>0</v>
      </c>
      <c r="AB32" s="32">
        <f t="shared" si="71"/>
        <v>-1</v>
      </c>
      <c r="AC32" s="33">
        <f>Recu2!AC32</f>
        <v>0</v>
      </c>
      <c r="AD32" s="32">
        <f t="shared" si="72"/>
        <v>-1</v>
      </c>
      <c r="AE32" s="33">
        <f>Recu2!AE32</f>
        <v>0</v>
      </c>
      <c r="AF32" s="32">
        <f t="shared" si="73"/>
        <v>-1</v>
      </c>
      <c r="AG32" s="33">
        <f>Recu2!AG32</f>
        <v>0</v>
      </c>
      <c r="AH32" s="32">
        <f t="shared" si="74"/>
        <v>-1</v>
      </c>
      <c r="AI32" s="33">
        <f>Recu2!AI32</f>
        <v>0</v>
      </c>
      <c r="AJ32" s="32">
        <f t="shared" si="75"/>
        <v>-1</v>
      </c>
      <c r="AK32" s="33">
        <f>Recu2!AK32</f>
        <v>0</v>
      </c>
      <c r="AL32" s="32">
        <f t="shared" si="76"/>
        <v>-1</v>
      </c>
      <c r="AM32" s="33">
        <f>Recu2!AM32</f>
        <v>0</v>
      </c>
      <c r="AN32" s="32">
        <f t="shared" si="77"/>
        <v>-1</v>
      </c>
      <c r="AO32" s="33">
        <f>Recu2!AO32</f>
        <v>0</v>
      </c>
      <c r="AP32" s="32">
        <f t="shared" si="78"/>
        <v>-1</v>
      </c>
      <c r="AQ32" s="33">
        <f>Recu2!AQ32</f>
        <v>0</v>
      </c>
      <c r="AR32" s="32">
        <f t="shared" si="79"/>
        <v>-1</v>
      </c>
      <c r="AS32" s="33">
        <f>Recu2!AS32</f>
        <v>0</v>
      </c>
      <c r="AT32" s="32">
        <f t="shared" si="80"/>
        <v>-1</v>
      </c>
      <c r="AU32" s="33">
        <f>Recu2!AU32</f>
        <v>0</v>
      </c>
      <c r="AV32" s="32">
        <f t="shared" si="81"/>
        <v>-1</v>
      </c>
      <c r="AW32" s="33">
        <f>Recu2!AW32</f>
        <v>0</v>
      </c>
      <c r="AX32" s="32">
        <f t="shared" si="82"/>
        <v>-1</v>
      </c>
      <c r="AY32" s="33">
        <f>Recu2!AY32</f>
        <v>0</v>
      </c>
      <c r="AZ32" s="32">
        <f t="shared" si="83"/>
        <v>-1</v>
      </c>
      <c r="BA32" s="33">
        <f>Recu2!BA32</f>
        <v>0</v>
      </c>
      <c r="BB32" s="32">
        <f t="shared" si="84"/>
        <v>-1</v>
      </c>
      <c r="BC32" s="33">
        <f>Recu2!BC32</f>
        <v>0</v>
      </c>
      <c r="BD32" s="32">
        <f t="shared" si="85"/>
        <v>-1</v>
      </c>
      <c r="BE32" s="33">
        <f>Recu2!BE32</f>
        <v>0</v>
      </c>
      <c r="BF32" s="32">
        <f t="shared" si="86"/>
        <v>-1</v>
      </c>
      <c r="BG32" s="33">
        <f>Recu2!BG32</f>
        <v>0</v>
      </c>
      <c r="BH32" s="32">
        <f t="shared" si="87"/>
        <v>-1</v>
      </c>
      <c r="BI32" s="33">
        <f>Recu2!BI32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Recu2!B33</f>
        <v>0</v>
      </c>
      <c r="C33" s="33">
        <f>Recu2!C33</f>
        <v>0</v>
      </c>
      <c r="D33" s="32">
        <f t="shared" si="59"/>
        <v>-1</v>
      </c>
      <c r="E33" s="33">
        <f>Recu2!E33</f>
        <v>0</v>
      </c>
      <c r="F33" s="32">
        <f t="shared" si="60"/>
        <v>-1</v>
      </c>
      <c r="G33" s="33">
        <f>Recu2!G33</f>
        <v>0</v>
      </c>
      <c r="H33" s="32">
        <f t="shared" si="61"/>
        <v>-1</v>
      </c>
      <c r="I33" s="33">
        <f>Recu2!I33</f>
        <v>0</v>
      </c>
      <c r="J33" s="32">
        <f t="shared" si="62"/>
        <v>-1</v>
      </c>
      <c r="K33" s="33">
        <f>Recu2!K33</f>
        <v>0</v>
      </c>
      <c r="L33" s="32">
        <f t="shared" si="63"/>
        <v>-1</v>
      </c>
      <c r="M33" s="33">
        <f>Recu2!M33</f>
        <v>0</v>
      </c>
      <c r="N33" s="32">
        <f t="shared" si="64"/>
        <v>-1</v>
      </c>
      <c r="O33" s="33">
        <f>Recu2!O33</f>
        <v>0</v>
      </c>
      <c r="P33" s="32">
        <f t="shared" si="65"/>
        <v>-1</v>
      </c>
      <c r="Q33" s="33">
        <f>Recu2!Q33</f>
        <v>0</v>
      </c>
      <c r="R33" s="32">
        <f t="shared" si="66"/>
        <v>-1</v>
      </c>
      <c r="S33" s="33">
        <f>Recu2!S33</f>
        <v>0</v>
      </c>
      <c r="T33" s="32">
        <f t="shared" si="67"/>
        <v>-1</v>
      </c>
      <c r="U33" s="33">
        <f>Recu2!U33</f>
        <v>0</v>
      </c>
      <c r="V33" s="32">
        <f t="shared" si="68"/>
        <v>-1</v>
      </c>
      <c r="W33" s="33">
        <f>Recu2!W33</f>
        <v>0</v>
      </c>
      <c r="X33" s="32">
        <f t="shared" si="69"/>
        <v>-1</v>
      </c>
      <c r="Y33" s="33">
        <f>Recu2!Y33</f>
        <v>0</v>
      </c>
      <c r="Z33" s="32">
        <f t="shared" si="70"/>
        <v>-1</v>
      </c>
      <c r="AA33" s="33">
        <f>Recu2!AA33</f>
        <v>0</v>
      </c>
      <c r="AB33" s="32">
        <f t="shared" si="71"/>
        <v>-1</v>
      </c>
      <c r="AC33" s="33">
        <f>Recu2!AC33</f>
        <v>0</v>
      </c>
      <c r="AD33" s="32">
        <f t="shared" si="72"/>
        <v>-1</v>
      </c>
      <c r="AE33" s="33">
        <f>Recu2!AE33</f>
        <v>0</v>
      </c>
      <c r="AF33" s="32">
        <f t="shared" si="73"/>
        <v>-1</v>
      </c>
      <c r="AG33" s="33">
        <f>Recu2!AG33</f>
        <v>0</v>
      </c>
      <c r="AH33" s="32">
        <f t="shared" si="74"/>
        <v>-1</v>
      </c>
      <c r="AI33" s="33">
        <f>Recu2!AI33</f>
        <v>0</v>
      </c>
      <c r="AJ33" s="32">
        <f t="shared" si="75"/>
        <v>-1</v>
      </c>
      <c r="AK33" s="33">
        <f>Recu2!AK33</f>
        <v>0</v>
      </c>
      <c r="AL33" s="32">
        <f t="shared" si="76"/>
        <v>-1</v>
      </c>
      <c r="AM33" s="33">
        <f>Recu2!AM33</f>
        <v>0</v>
      </c>
      <c r="AN33" s="32">
        <f t="shared" si="77"/>
        <v>-1</v>
      </c>
      <c r="AO33" s="33">
        <f>Recu2!AO33</f>
        <v>0</v>
      </c>
      <c r="AP33" s="32">
        <f t="shared" si="78"/>
        <v>-1</v>
      </c>
      <c r="AQ33" s="33">
        <f>Recu2!AQ33</f>
        <v>0</v>
      </c>
      <c r="AR33" s="32">
        <f t="shared" si="79"/>
        <v>-1</v>
      </c>
      <c r="AS33" s="33">
        <f>Recu2!AS33</f>
        <v>0</v>
      </c>
      <c r="AT33" s="32">
        <f t="shared" si="80"/>
        <v>-1</v>
      </c>
      <c r="AU33" s="33">
        <f>Recu2!AU33</f>
        <v>0</v>
      </c>
      <c r="AV33" s="32">
        <f t="shared" si="81"/>
        <v>-1</v>
      </c>
      <c r="AW33" s="33">
        <f>Recu2!AW33</f>
        <v>0</v>
      </c>
      <c r="AX33" s="32">
        <f t="shared" si="82"/>
        <v>-1</v>
      </c>
      <c r="AY33" s="33">
        <f>Recu2!AY33</f>
        <v>0</v>
      </c>
      <c r="AZ33" s="32">
        <f t="shared" si="83"/>
        <v>-1</v>
      </c>
      <c r="BA33" s="33">
        <f>Recu2!BA33</f>
        <v>0</v>
      </c>
      <c r="BB33" s="32">
        <f t="shared" si="84"/>
        <v>-1</v>
      </c>
      <c r="BC33" s="33">
        <f>Recu2!BC33</f>
        <v>0</v>
      </c>
      <c r="BD33" s="32">
        <f t="shared" si="85"/>
        <v>-1</v>
      </c>
      <c r="BE33" s="33">
        <f>Recu2!BE33</f>
        <v>0</v>
      </c>
      <c r="BF33" s="32">
        <f t="shared" si="86"/>
        <v>-1</v>
      </c>
      <c r="BG33" s="33">
        <f>Recu2!BG33</f>
        <v>0</v>
      </c>
      <c r="BH33" s="32">
        <f t="shared" si="87"/>
        <v>-1</v>
      </c>
      <c r="BI33" s="33">
        <f>Recu2!BI33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Recu2!B34</f>
        <v>0</v>
      </c>
      <c r="C34" s="33">
        <f>Recu2!C34</f>
        <v>0</v>
      </c>
      <c r="D34" s="32">
        <f t="shared" si="59"/>
        <v>-1</v>
      </c>
      <c r="E34" s="33">
        <f>Recu2!E34</f>
        <v>0</v>
      </c>
      <c r="F34" s="32">
        <f t="shared" si="60"/>
        <v>-1</v>
      </c>
      <c r="G34" s="33">
        <f>Recu2!G34</f>
        <v>0</v>
      </c>
      <c r="H34" s="32">
        <f t="shared" si="61"/>
        <v>-1</v>
      </c>
      <c r="I34" s="33">
        <f>Recu2!I34</f>
        <v>0</v>
      </c>
      <c r="J34" s="32">
        <f t="shared" si="62"/>
        <v>-1</v>
      </c>
      <c r="K34" s="33">
        <f>Recu2!K34</f>
        <v>0</v>
      </c>
      <c r="L34" s="32">
        <f t="shared" si="63"/>
        <v>-1</v>
      </c>
      <c r="M34" s="33">
        <f>Recu2!M34</f>
        <v>0</v>
      </c>
      <c r="N34" s="32">
        <f t="shared" si="64"/>
        <v>-1</v>
      </c>
      <c r="O34" s="33">
        <f>Recu2!O34</f>
        <v>0</v>
      </c>
      <c r="P34" s="32">
        <f t="shared" si="65"/>
        <v>-1</v>
      </c>
      <c r="Q34" s="33">
        <f>Recu2!Q34</f>
        <v>0</v>
      </c>
      <c r="R34" s="32">
        <f t="shared" si="66"/>
        <v>-1</v>
      </c>
      <c r="S34" s="33">
        <f>Recu2!S34</f>
        <v>0</v>
      </c>
      <c r="T34" s="32">
        <f t="shared" si="67"/>
        <v>-1</v>
      </c>
      <c r="U34" s="33">
        <f>Recu2!U34</f>
        <v>0</v>
      </c>
      <c r="V34" s="32">
        <f t="shared" si="68"/>
        <v>-1</v>
      </c>
      <c r="W34" s="33">
        <f>Recu2!W34</f>
        <v>0</v>
      </c>
      <c r="X34" s="32">
        <f t="shared" si="69"/>
        <v>-1</v>
      </c>
      <c r="Y34" s="33">
        <f>Recu2!Y34</f>
        <v>0</v>
      </c>
      <c r="Z34" s="32">
        <f t="shared" si="70"/>
        <v>-1</v>
      </c>
      <c r="AA34" s="33">
        <f>Recu2!AA34</f>
        <v>0</v>
      </c>
      <c r="AB34" s="32">
        <f t="shared" si="71"/>
        <v>-1</v>
      </c>
      <c r="AC34" s="33">
        <f>Recu2!AC34</f>
        <v>0</v>
      </c>
      <c r="AD34" s="32">
        <f t="shared" si="72"/>
        <v>-1</v>
      </c>
      <c r="AE34" s="33">
        <f>Recu2!AE34</f>
        <v>0</v>
      </c>
      <c r="AF34" s="32">
        <f t="shared" si="73"/>
        <v>-1</v>
      </c>
      <c r="AG34" s="33">
        <f>Recu2!AG34</f>
        <v>0</v>
      </c>
      <c r="AH34" s="32">
        <f t="shared" si="74"/>
        <v>-1</v>
      </c>
      <c r="AI34" s="33">
        <f>Recu2!AI34</f>
        <v>0</v>
      </c>
      <c r="AJ34" s="32">
        <f t="shared" si="75"/>
        <v>-1</v>
      </c>
      <c r="AK34" s="33">
        <f>Recu2!AK34</f>
        <v>0</v>
      </c>
      <c r="AL34" s="32">
        <f t="shared" si="76"/>
        <v>-1</v>
      </c>
      <c r="AM34" s="33">
        <f>Recu2!AM34</f>
        <v>0</v>
      </c>
      <c r="AN34" s="32">
        <f t="shared" si="77"/>
        <v>-1</v>
      </c>
      <c r="AO34" s="33">
        <f>Recu2!AO34</f>
        <v>0</v>
      </c>
      <c r="AP34" s="32">
        <f t="shared" si="78"/>
        <v>-1</v>
      </c>
      <c r="AQ34" s="33">
        <f>Recu2!AQ34</f>
        <v>0</v>
      </c>
      <c r="AR34" s="32">
        <f t="shared" si="79"/>
        <v>-1</v>
      </c>
      <c r="AS34" s="33">
        <f>Recu2!AS34</f>
        <v>0</v>
      </c>
      <c r="AT34" s="32">
        <f t="shared" si="80"/>
        <v>-1</v>
      </c>
      <c r="AU34" s="33">
        <f>Recu2!AU34</f>
        <v>0</v>
      </c>
      <c r="AV34" s="32">
        <f t="shared" si="81"/>
        <v>-1</v>
      </c>
      <c r="AW34" s="33">
        <f>Recu2!AW34</f>
        <v>0</v>
      </c>
      <c r="AX34" s="32">
        <f t="shared" si="82"/>
        <v>-1</v>
      </c>
      <c r="AY34" s="33">
        <f>Recu2!AY34</f>
        <v>0</v>
      </c>
      <c r="AZ34" s="32">
        <f t="shared" si="83"/>
        <v>-1</v>
      </c>
      <c r="BA34" s="33">
        <f>Recu2!BA34</f>
        <v>0</v>
      </c>
      <c r="BB34" s="32">
        <f t="shared" si="84"/>
        <v>-1</v>
      </c>
      <c r="BC34" s="33">
        <f>Recu2!BC34</f>
        <v>0</v>
      </c>
      <c r="BD34" s="32">
        <f t="shared" si="85"/>
        <v>-1</v>
      </c>
      <c r="BE34" s="33">
        <f>Recu2!BE34</f>
        <v>0</v>
      </c>
      <c r="BF34" s="32">
        <f t="shared" si="86"/>
        <v>-1</v>
      </c>
      <c r="BG34" s="33">
        <f>Recu2!BG34</f>
        <v>0</v>
      </c>
      <c r="BH34" s="32">
        <f t="shared" si="87"/>
        <v>-1</v>
      </c>
      <c r="BI34" s="33">
        <f>Recu2!BI34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Recu2!B35</f>
        <v>0</v>
      </c>
      <c r="C35" s="33">
        <f>Recu2!C35</f>
        <v>0</v>
      </c>
      <c r="D35" s="32">
        <f t="shared" si="59"/>
        <v>-1</v>
      </c>
      <c r="E35" s="33">
        <f>Recu2!E35</f>
        <v>0</v>
      </c>
      <c r="F35" s="32">
        <f t="shared" si="60"/>
        <v>-1</v>
      </c>
      <c r="G35" s="33">
        <f>Recu2!G35</f>
        <v>0</v>
      </c>
      <c r="H35" s="32">
        <f t="shared" si="61"/>
        <v>-1</v>
      </c>
      <c r="I35" s="33">
        <f>Recu2!I35</f>
        <v>0</v>
      </c>
      <c r="J35" s="32">
        <f t="shared" si="62"/>
        <v>-1</v>
      </c>
      <c r="K35" s="33">
        <f>Recu2!K35</f>
        <v>0</v>
      </c>
      <c r="L35" s="32">
        <f t="shared" si="63"/>
        <v>-1</v>
      </c>
      <c r="M35" s="33">
        <f>Recu2!M35</f>
        <v>0</v>
      </c>
      <c r="N35" s="32">
        <f t="shared" si="64"/>
        <v>-1</v>
      </c>
      <c r="O35" s="33">
        <f>Recu2!O35</f>
        <v>0</v>
      </c>
      <c r="P35" s="32">
        <f t="shared" si="65"/>
        <v>-1</v>
      </c>
      <c r="Q35" s="33">
        <f>Recu2!Q35</f>
        <v>0</v>
      </c>
      <c r="R35" s="32">
        <f t="shared" si="66"/>
        <v>-1</v>
      </c>
      <c r="S35" s="33">
        <f>Recu2!S35</f>
        <v>0</v>
      </c>
      <c r="T35" s="32">
        <f t="shared" si="67"/>
        <v>-1</v>
      </c>
      <c r="U35" s="33">
        <f>Recu2!U35</f>
        <v>0</v>
      </c>
      <c r="V35" s="32">
        <f t="shared" si="68"/>
        <v>-1</v>
      </c>
      <c r="W35" s="33">
        <f>Recu2!W35</f>
        <v>0</v>
      </c>
      <c r="X35" s="32">
        <f t="shared" si="69"/>
        <v>-1</v>
      </c>
      <c r="Y35" s="33">
        <f>Recu2!Y35</f>
        <v>0</v>
      </c>
      <c r="Z35" s="32">
        <f t="shared" si="70"/>
        <v>-1</v>
      </c>
      <c r="AA35" s="33">
        <f>Recu2!AA35</f>
        <v>0</v>
      </c>
      <c r="AB35" s="32">
        <f t="shared" si="71"/>
        <v>-1</v>
      </c>
      <c r="AC35" s="33">
        <f>Recu2!AC35</f>
        <v>0</v>
      </c>
      <c r="AD35" s="32">
        <f t="shared" si="72"/>
        <v>-1</v>
      </c>
      <c r="AE35" s="33">
        <f>Recu2!AE35</f>
        <v>0</v>
      </c>
      <c r="AF35" s="32">
        <f t="shared" si="73"/>
        <v>-1</v>
      </c>
      <c r="AG35" s="33">
        <f>Recu2!AG35</f>
        <v>0</v>
      </c>
      <c r="AH35" s="32">
        <f t="shared" si="74"/>
        <v>-1</v>
      </c>
      <c r="AI35" s="33">
        <f>Recu2!AI35</f>
        <v>0</v>
      </c>
      <c r="AJ35" s="32">
        <f t="shared" si="75"/>
        <v>-1</v>
      </c>
      <c r="AK35" s="33">
        <f>Recu2!AK35</f>
        <v>0</v>
      </c>
      <c r="AL35" s="32">
        <f t="shared" si="76"/>
        <v>-1</v>
      </c>
      <c r="AM35" s="33">
        <f>Recu2!AM35</f>
        <v>0</v>
      </c>
      <c r="AN35" s="32">
        <f t="shared" si="77"/>
        <v>-1</v>
      </c>
      <c r="AO35" s="33">
        <f>Recu2!AO35</f>
        <v>0</v>
      </c>
      <c r="AP35" s="32">
        <f t="shared" si="78"/>
        <v>-1</v>
      </c>
      <c r="AQ35" s="33">
        <f>Recu2!AQ35</f>
        <v>0</v>
      </c>
      <c r="AR35" s="32">
        <f t="shared" si="79"/>
        <v>-1</v>
      </c>
      <c r="AS35" s="33">
        <f>Recu2!AS35</f>
        <v>0</v>
      </c>
      <c r="AT35" s="32">
        <f t="shared" si="80"/>
        <v>-1</v>
      </c>
      <c r="AU35" s="33">
        <f>Recu2!AU35</f>
        <v>0</v>
      </c>
      <c r="AV35" s="32">
        <f t="shared" si="81"/>
        <v>-1</v>
      </c>
      <c r="AW35" s="33">
        <f>Recu2!AW35</f>
        <v>0</v>
      </c>
      <c r="AX35" s="32">
        <f t="shared" si="82"/>
        <v>-1</v>
      </c>
      <c r="AY35" s="33">
        <f>Recu2!AY35</f>
        <v>0</v>
      </c>
      <c r="AZ35" s="32">
        <f t="shared" si="83"/>
        <v>-1</v>
      </c>
      <c r="BA35" s="33">
        <f>Recu2!BA35</f>
        <v>0</v>
      </c>
      <c r="BB35" s="32">
        <f t="shared" si="84"/>
        <v>-1</v>
      </c>
      <c r="BC35" s="33">
        <f>Recu2!BC35</f>
        <v>0</v>
      </c>
      <c r="BD35" s="32">
        <f t="shared" si="85"/>
        <v>-1</v>
      </c>
      <c r="BE35" s="33">
        <f>Recu2!BE35</f>
        <v>0</v>
      </c>
      <c r="BF35" s="32">
        <f t="shared" si="86"/>
        <v>-1</v>
      </c>
      <c r="BG35" s="33">
        <f>Recu2!BG35</f>
        <v>0</v>
      </c>
      <c r="BH35" s="32">
        <f t="shared" si="87"/>
        <v>-1</v>
      </c>
      <c r="BI35" s="33">
        <f>Recu2!BI35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Recu2!B36</f>
        <v>0</v>
      </c>
      <c r="C36" s="33">
        <f>Recu2!C36</f>
        <v>0</v>
      </c>
      <c r="D36" s="32">
        <f t="shared" si="59"/>
        <v>-1</v>
      </c>
      <c r="E36" s="33">
        <f>Recu2!E36</f>
        <v>0</v>
      </c>
      <c r="F36" s="32">
        <f t="shared" si="60"/>
        <v>-1</v>
      </c>
      <c r="G36" s="33">
        <f>Recu2!G36</f>
        <v>0</v>
      </c>
      <c r="H36" s="32">
        <f t="shared" si="61"/>
        <v>-1</v>
      </c>
      <c r="I36" s="33">
        <f>Recu2!I36</f>
        <v>0</v>
      </c>
      <c r="J36" s="32">
        <f t="shared" si="62"/>
        <v>-1</v>
      </c>
      <c r="K36" s="33">
        <f>Recu2!K36</f>
        <v>0</v>
      </c>
      <c r="L36" s="32">
        <f t="shared" si="63"/>
        <v>-1</v>
      </c>
      <c r="M36" s="33">
        <f>Recu2!M36</f>
        <v>0</v>
      </c>
      <c r="N36" s="32">
        <f t="shared" si="64"/>
        <v>-1</v>
      </c>
      <c r="O36" s="33">
        <f>Recu2!O36</f>
        <v>0</v>
      </c>
      <c r="P36" s="32">
        <f t="shared" si="65"/>
        <v>-1</v>
      </c>
      <c r="Q36" s="33">
        <f>Recu2!Q36</f>
        <v>0</v>
      </c>
      <c r="R36" s="32">
        <f t="shared" si="66"/>
        <v>-1</v>
      </c>
      <c r="S36" s="33">
        <f>Recu2!S36</f>
        <v>0</v>
      </c>
      <c r="T36" s="32">
        <f t="shared" si="67"/>
        <v>-1</v>
      </c>
      <c r="U36" s="33">
        <f>Recu2!U36</f>
        <v>0</v>
      </c>
      <c r="V36" s="32">
        <f t="shared" si="68"/>
        <v>-1</v>
      </c>
      <c r="W36" s="33">
        <f>Recu2!W36</f>
        <v>0</v>
      </c>
      <c r="X36" s="32">
        <f t="shared" si="69"/>
        <v>-1</v>
      </c>
      <c r="Y36" s="33">
        <f>Recu2!Y36</f>
        <v>0</v>
      </c>
      <c r="Z36" s="32">
        <f t="shared" si="70"/>
        <v>-1</v>
      </c>
      <c r="AA36" s="33">
        <f>Recu2!AA36</f>
        <v>0</v>
      </c>
      <c r="AB36" s="32">
        <f t="shared" si="71"/>
        <v>-1</v>
      </c>
      <c r="AC36" s="33">
        <f>Recu2!AC36</f>
        <v>0</v>
      </c>
      <c r="AD36" s="32">
        <f t="shared" si="72"/>
        <v>-1</v>
      </c>
      <c r="AE36" s="33">
        <f>Recu2!AE36</f>
        <v>0</v>
      </c>
      <c r="AF36" s="32">
        <f t="shared" si="73"/>
        <v>-1</v>
      </c>
      <c r="AG36" s="33">
        <f>Recu2!AG36</f>
        <v>0</v>
      </c>
      <c r="AH36" s="32">
        <f t="shared" si="74"/>
        <v>-1</v>
      </c>
      <c r="AI36" s="33">
        <f>Recu2!AI36</f>
        <v>0</v>
      </c>
      <c r="AJ36" s="32">
        <f t="shared" si="75"/>
        <v>-1</v>
      </c>
      <c r="AK36" s="33">
        <f>Recu2!AK36</f>
        <v>0</v>
      </c>
      <c r="AL36" s="32">
        <f t="shared" si="76"/>
        <v>-1</v>
      </c>
      <c r="AM36" s="33">
        <f>Recu2!AM36</f>
        <v>0</v>
      </c>
      <c r="AN36" s="32">
        <f t="shared" si="77"/>
        <v>-1</v>
      </c>
      <c r="AO36" s="33">
        <f>Recu2!AO36</f>
        <v>0</v>
      </c>
      <c r="AP36" s="32">
        <f t="shared" si="78"/>
        <v>-1</v>
      </c>
      <c r="AQ36" s="33">
        <f>Recu2!AQ36</f>
        <v>0</v>
      </c>
      <c r="AR36" s="32">
        <f t="shared" si="79"/>
        <v>-1</v>
      </c>
      <c r="AS36" s="33">
        <f>Recu2!AS36</f>
        <v>0</v>
      </c>
      <c r="AT36" s="32">
        <f t="shared" si="80"/>
        <v>-1</v>
      </c>
      <c r="AU36" s="33">
        <f>Recu2!AU36</f>
        <v>0</v>
      </c>
      <c r="AV36" s="32">
        <f t="shared" si="81"/>
        <v>-1</v>
      </c>
      <c r="AW36" s="33">
        <f>Recu2!AW36</f>
        <v>0</v>
      </c>
      <c r="AX36" s="32">
        <f t="shared" si="82"/>
        <v>-1</v>
      </c>
      <c r="AY36" s="33">
        <f>Recu2!AY36</f>
        <v>0</v>
      </c>
      <c r="AZ36" s="32">
        <f t="shared" si="83"/>
        <v>-1</v>
      </c>
      <c r="BA36" s="33">
        <f>Recu2!BA36</f>
        <v>0</v>
      </c>
      <c r="BB36" s="32">
        <f t="shared" si="84"/>
        <v>-1</v>
      </c>
      <c r="BC36" s="33">
        <f>Recu2!BC36</f>
        <v>0</v>
      </c>
      <c r="BD36" s="32">
        <f t="shared" si="85"/>
        <v>-1</v>
      </c>
      <c r="BE36" s="33">
        <f>Recu2!BE36</f>
        <v>0</v>
      </c>
      <c r="BF36" s="32">
        <f t="shared" si="86"/>
        <v>-1</v>
      </c>
      <c r="BG36" s="33">
        <f>Recu2!BG36</f>
        <v>0</v>
      </c>
      <c r="BH36" s="32">
        <f t="shared" si="87"/>
        <v>-1</v>
      </c>
      <c r="BI36" s="33">
        <f>Recu2!BI36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Recu2!B37</f>
        <v>0</v>
      </c>
      <c r="C37" s="33">
        <f>Recu2!C37</f>
        <v>0</v>
      </c>
      <c r="D37" s="32">
        <f t="shared" si="59"/>
        <v>-1</v>
      </c>
      <c r="E37" s="33">
        <f>Recu2!E37</f>
        <v>0</v>
      </c>
      <c r="F37" s="32">
        <f t="shared" si="60"/>
        <v>-1</v>
      </c>
      <c r="G37" s="33">
        <f>Recu2!G37</f>
        <v>0</v>
      </c>
      <c r="H37" s="32">
        <f t="shared" si="61"/>
        <v>-1</v>
      </c>
      <c r="I37" s="33">
        <f>Recu2!I37</f>
        <v>0</v>
      </c>
      <c r="J37" s="32">
        <f t="shared" si="62"/>
        <v>-1</v>
      </c>
      <c r="K37" s="33">
        <f>Recu2!K37</f>
        <v>0</v>
      </c>
      <c r="L37" s="32">
        <f t="shared" si="63"/>
        <v>-1</v>
      </c>
      <c r="M37" s="33">
        <f>Recu2!M37</f>
        <v>0</v>
      </c>
      <c r="N37" s="32">
        <f t="shared" si="64"/>
        <v>-1</v>
      </c>
      <c r="O37" s="33">
        <f>Recu2!O37</f>
        <v>0</v>
      </c>
      <c r="P37" s="32">
        <f t="shared" si="65"/>
        <v>-1</v>
      </c>
      <c r="Q37" s="33">
        <f>Recu2!Q37</f>
        <v>0</v>
      </c>
      <c r="R37" s="32">
        <f t="shared" si="66"/>
        <v>-1</v>
      </c>
      <c r="S37" s="33">
        <f>Recu2!S37</f>
        <v>0</v>
      </c>
      <c r="T37" s="32">
        <f t="shared" si="67"/>
        <v>-1</v>
      </c>
      <c r="U37" s="33">
        <f>Recu2!U37</f>
        <v>0</v>
      </c>
      <c r="V37" s="32">
        <f t="shared" si="68"/>
        <v>-1</v>
      </c>
      <c r="W37" s="33">
        <f>Recu2!W37</f>
        <v>0</v>
      </c>
      <c r="X37" s="32">
        <f t="shared" si="69"/>
        <v>-1</v>
      </c>
      <c r="Y37" s="33">
        <f>Recu2!Y37</f>
        <v>0</v>
      </c>
      <c r="Z37" s="32">
        <f t="shared" si="70"/>
        <v>-1</v>
      </c>
      <c r="AA37" s="33">
        <f>Recu2!AA37</f>
        <v>0</v>
      </c>
      <c r="AB37" s="32">
        <f t="shared" si="71"/>
        <v>-1</v>
      </c>
      <c r="AC37" s="33">
        <f>Recu2!AC37</f>
        <v>0</v>
      </c>
      <c r="AD37" s="32">
        <f t="shared" si="72"/>
        <v>-1</v>
      </c>
      <c r="AE37" s="33">
        <f>Recu2!AE37</f>
        <v>0</v>
      </c>
      <c r="AF37" s="32">
        <f t="shared" si="73"/>
        <v>-1</v>
      </c>
      <c r="AG37" s="33">
        <f>Recu2!AG37</f>
        <v>0</v>
      </c>
      <c r="AH37" s="32">
        <f t="shared" si="74"/>
        <v>-1</v>
      </c>
      <c r="AI37" s="33">
        <f>Recu2!AI37</f>
        <v>0</v>
      </c>
      <c r="AJ37" s="32">
        <f t="shared" si="75"/>
        <v>-1</v>
      </c>
      <c r="AK37" s="33">
        <f>Recu2!AK37</f>
        <v>0</v>
      </c>
      <c r="AL37" s="32">
        <f t="shared" si="76"/>
        <v>-1</v>
      </c>
      <c r="AM37" s="33">
        <f>Recu2!AM37</f>
        <v>0</v>
      </c>
      <c r="AN37" s="32">
        <f t="shared" si="77"/>
        <v>-1</v>
      </c>
      <c r="AO37" s="33">
        <f>Recu2!AO37</f>
        <v>0</v>
      </c>
      <c r="AP37" s="32">
        <f t="shared" si="78"/>
        <v>-1</v>
      </c>
      <c r="AQ37" s="33">
        <f>Recu2!AQ37</f>
        <v>0</v>
      </c>
      <c r="AR37" s="32">
        <f t="shared" si="79"/>
        <v>-1</v>
      </c>
      <c r="AS37" s="33">
        <f>Recu2!AS37</f>
        <v>0</v>
      </c>
      <c r="AT37" s="32">
        <f t="shared" si="80"/>
        <v>-1</v>
      </c>
      <c r="AU37" s="33">
        <f>Recu2!AU37</f>
        <v>0</v>
      </c>
      <c r="AV37" s="32">
        <f t="shared" si="81"/>
        <v>-1</v>
      </c>
      <c r="AW37" s="33">
        <f>Recu2!AW37</f>
        <v>0</v>
      </c>
      <c r="AX37" s="32">
        <f t="shared" si="82"/>
        <v>-1</v>
      </c>
      <c r="AY37" s="33">
        <f>Recu2!AY37</f>
        <v>0</v>
      </c>
      <c r="AZ37" s="32">
        <f t="shared" si="83"/>
        <v>-1</v>
      </c>
      <c r="BA37" s="33">
        <f>Recu2!BA37</f>
        <v>0</v>
      </c>
      <c r="BB37" s="32">
        <f t="shared" si="84"/>
        <v>-1</v>
      </c>
      <c r="BC37" s="33">
        <f>Recu2!BC37</f>
        <v>0</v>
      </c>
      <c r="BD37" s="32">
        <f t="shared" si="85"/>
        <v>-1</v>
      </c>
      <c r="BE37" s="33">
        <f>Recu2!BE37</f>
        <v>0</v>
      </c>
      <c r="BF37" s="32">
        <f t="shared" si="86"/>
        <v>-1</v>
      </c>
      <c r="BG37" s="33">
        <f>Recu2!BG37</f>
        <v>0</v>
      </c>
      <c r="BH37" s="32">
        <f t="shared" si="87"/>
        <v>-1</v>
      </c>
      <c r="BI37" s="33">
        <f>Recu2!BI37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8">
        <f>IF(SUM($B39:$B58)&lt;&gt;0,SUM(C39:C58)/SUM($B39:$B58)*$B38*10, "")</f>
        <v>1.4799999967217445</v>
      </c>
      <c r="D38" s="58"/>
      <c r="E38" s="58">
        <f>IF(SUM($B39:$B58)&lt;&gt;0,SUM(E39:E58)/SUM($B39:$B58)*$B38*10, "")</f>
        <v>1.2400000095367432</v>
      </c>
      <c r="F38" s="58"/>
      <c r="G38" s="58">
        <f>IF(SUM($B39:$B58)&lt;&gt;0,SUM(G39:G58)/SUM($B39:$B58)*$B38*10, "")</f>
        <v>1.1300000071525573</v>
      </c>
      <c r="H38" s="58"/>
      <c r="I38" s="58">
        <f>IF(SUM($B39:$B58)&lt;&gt;0,SUM(I39:I58)/SUM($B39:$B58)*$B38*10, "")</f>
        <v>1.0000000089406966</v>
      </c>
      <c r="J38" s="58"/>
      <c r="K38" s="58">
        <f>IF(SUM($B39:$B58)&lt;&gt;0,SUM(K39:K58)/SUM($B39:$B58)*$B38*10, "")</f>
        <v>1.1200000166893005</v>
      </c>
      <c r="L38" s="58"/>
      <c r="M38" s="58">
        <f>IF(SUM($B39:$B58)&lt;&gt;0,SUM(M39:M58)/SUM($B39:$B58)*$B38*10, "")</f>
        <v>0.76000001430511488</v>
      </c>
      <c r="N38" s="58"/>
      <c r="O38" s="58">
        <f>IF(SUM($B39:$B58)&lt;&gt;0,SUM(O39:O58)/SUM($B39:$B58)*$B38*10, "")</f>
        <v>1.02000000923872</v>
      </c>
      <c r="P38" s="58"/>
      <c r="Q38" s="58">
        <f>IF(SUM($B39:$B58)&lt;&gt;0,SUM(Q39:Q58)/SUM($B39:$B58)*$B38*10, "")</f>
        <v>0.68000001311302183</v>
      </c>
      <c r="R38" s="58"/>
      <c r="S38" s="58">
        <f>IF(SUM($B39:$B58)&lt;&gt;0,SUM(S39:S58)/SUM($B39:$B58)*$B38*10, "")</f>
        <v>0.6600000187754631</v>
      </c>
      <c r="T38" s="58"/>
      <c r="U38" s="58">
        <f>IF(SUM($B39:$B58)&lt;&gt;0,SUM(U39:U58)/SUM($B39:$B58)*$B38*10, "")</f>
        <v>0.93000001236796392</v>
      </c>
      <c r="V38" s="58"/>
      <c r="W38" s="58">
        <f>IF(SUM($B39:$B58)&lt;&gt;0,SUM(W39:W58)/SUM($B39:$B58)*$B38*10, "")</f>
        <v>1.1099999904632569</v>
      </c>
      <c r="X38" s="58"/>
      <c r="Y38" s="58">
        <f>IF(SUM($B39:$B58)&lt;&gt;0,SUM(Y39:Y58)/SUM($B39:$B58)*$B38*10, "")</f>
        <v>1.0000000119209291</v>
      </c>
      <c r="Z38" s="58"/>
      <c r="AA38" s="58">
        <f>IF(SUM($B39:$B58)&lt;&gt;0,SUM(AA39:AA58)/SUM($B39:$B58)*$B38*10, "")</f>
        <v>1.230000028014183</v>
      </c>
      <c r="AB38" s="58"/>
      <c r="AC38" s="58">
        <f>IF(SUM($B39:$B58)&lt;&gt;0,SUM(AC39:AC58)/SUM($B39:$B58)*$B38*10, "")</f>
        <v>1.0400000065565109</v>
      </c>
      <c r="AD38" s="58"/>
      <c r="AE38" s="58">
        <f>IF(SUM($B39:$B58)&lt;&gt;0,SUM(AE39:AE58)/SUM($B39:$B58)*$B38*10, "")</f>
        <v>1.2899999797344208</v>
      </c>
      <c r="AF38" s="58"/>
      <c r="AG38" s="58">
        <f>IF(SUM($B39:$B58)&lt;&gt;0,SUM(AG39:AG58)/SUM($B39:$B58)*$B38*10, "")</f>
        <v>0.86000001430511475</v>
      </c>
      <c r="AH38" s="58"/>
      <c r="AI38" s="58">
        <f>IF(SUM($B39:$B58)&lt;&gt;0,SUM(AI39:AI58)/SUM($B39:$B58)*$B38*10, "")</f>
        <v>0.60000000894069672</v>
      </c>
      <c r="AJ38" s="58"/>
      <c r="AK38" s="58">
        <f>IF(SUM($B39:$B58)&lt;&gt;0,SUM(AK39:AK58)/SUM($B39:$B58)*$B38*10, "")</f>
        <v>1.0900000005960464</v>
      </c>
      <c r="AL38" s="58"/>
      <c r="AM38" s="58">
        <f>IF(SUM($B39:$B58)&lt;&gt;0,SUM(AM39:AM58)/SUM($B39:$B58)*$B38*10, "")</f>
        <v>1.1200000047683716</v>
      </c>
      <c r="AN38" s="58"/>
      <c r="AO38" s="58">
        <f>IF(SUM($B39:$B58)&lt;&gt;0,SUM(AO39:AO58)/SUM($B39:$B58)*$B38*10, "")</f>
        <v>0.88000001013278972</v>
      </c>
      <c r="AP38" s="58"/>
      <c r="AQ38" s="58">
        <f>IF(SUM($B39:$B58)&lt;&gt;0,SUM(AQ39:AQ58)/SUM($B39:$B58)*$B38*10, "")</f>
        <v>0.96000001728534712</v>
      </c>
      <c r="AR38" s="58"/>
      <c r="AS38" s="58">
        <f>IF(SUM($B39:$B58)&lt;&gt;0,SUM(AS39:AS58)/SUM($B39:$B58)*$B38*10, "")</f>
        <v>0.91000001728534707</v>
      </c>
      <c r="AT38" s="58"/>
      <c r="AU38" s="58">
        <f>IF(SUM($B39:$B58)&lt;&gt;0,SUM(AU39:AU58)/SUM($B39:$B58)*$B38*10, "")</f>
        <v>1.1200000196695328</v>
      </c>
      <c r="AV38" s="58"/>
      <c r="AW38" s="58">
        <f>IF(SUM($B39:$B58)&lt;&gt;0,SUM(AW39:AW58)/SUM($B39:$B58)*$B38*10, "")</f>
        <v>0.72000000178813939</v>
      </c>
      <c r="AX38" s="58"/>
      <c r="AY38" s="58">
        <f>IF(SUM($B39:$B58)&lt;&gt;0,SUM(AY39:AY58)/SUM($B39:$B58)*$B38*10, "")</f>
        <v>0.70000002086162572</v>
      </c>
      <c r="AZ38" s="58"/>
      <c r="BA38" s="58">
        <f>IF(SUM($B39:$B58)&lt;&gt;0,SUM(BA39:BA58)/SUM($B39:$B58)*$B38*10, "")</f>
        <v>0.78999999910593033</v>
      </c>
      <c r="BB38" s="58"/>
      <c r="BC38" s="58">
        <f>IF(SUM($B39:$B58)&lt;&gt;0,SUM(BC39:BC58)/SUM($B39:$B58)*$B38*10, "")</f>
        <v>1.2400000005960465</v>
      </c>
      <c r="BD38" s="58"/>
      <c r="BE38" s="58">
        <f>IF(SUM($B39:$B58)&lt;&gt;0,SUM(BE39:BE58)/SUM($B39:$B58)*$B38*10, "")</f>
        <v>0.80000001266598697</v>
      </c>
      <c r="BF38" s="58"/>
      <c r="BG38" s="58">
        <f>IF(SUM($B39:$B58)&lt;&gt;0,SUM(BG39:BG58)/SUM($B39:$B58)*$B38*10, "")</f>
        <v>0.86000001430511475</v>
      </c>
      <c r="BH38" s="58"/>
      <c r="BI38" s="58">
        <f>IF(SUM($B39:$B58)&lt;&gt;0,SUM(BI39:BI58)/SUM($B39:$B58)*$B38*10, "")</f>
        <v>0.92000000923872005</v>
      </c>
      <c r="BJ38" s="58"/>
    </row>
    <row r="39" spans="1:62" ht="28" x14ac:dyDescent="0.2">
      <c r="A39" s="2" t="s">
        <v>39</v>
      </c>
      <c r="B39" s="13">
        <f>Recu2!B39</f>
        <v>1.5</v>
      </c>
      <c r="C39" s="33">
        <f>Recu2!C39</f>
        <v>1.5</v>
      </c>
      <c r="D39" s="32">
        <f t="shared" ref="D39:D58" si="89">IF($B39,C39/$B39,-1)</f>
        <v>1</v>
      </c>
      <c r="E39" s="33">
        <f>Recu2!E39</f>
        <v>1.5</v>
      </c>
      <c r="F39" s="32">
        <f t="shared" ref="F39:F58" si="90">IF($B39,E39/$B39,-1)</f>
        <v>1</v>
      </c>
      <c r="G39" s="33">
        <f>Recu2!G39</f>
        <v>0.90000003576278687</v>
      </c>
      <c r="H39" s="32">
        <f t="shared" ref="H39:H58" si="91">IF($B39,G39/$B39,-1)</f>
        <v>0.60000002384185791</v>
      </c>
      <c r="I39" s="33">
        <f>Recu2!I39</f>
        <v>0.75</v>
      </c>
      <c r="J39" s="32">
        <f t="shared" ref="J39:J58" si="92">IF($B39,I39/$B39,-1)</f>
        <v>0.5</v>
      </c>
      <c r="K39" s="33">
        <f>Recu2!K39</f>
        <v>0.90000003576278687</v>
      </c>
      <c r="L39" s="32">
        <f t="shared" ref="L39:L58" si="93">IF($B39,K39/$B39,-1)</f>
        <v>0.60000002384185791</v>
      </c>
      <c r="M39" s="33">
        <f>Recu2!M39</f>
        <v>0</v>
      </c>
      <c r="N39" s="32">
        <f t="shared" ref="N39:N58" si="94">IF($B39,M39/$B39,-1)</f>
        <v>0</v>
      </c>
      <c r="O39" s="33">
        <f>Recu2!O39</f>
        <v>0.30000000447034836</v>
      </c>
      <c r="P39" s="32">
        <f t="shared" ref="P39:P58" si="95">IF($B39,O39/$B39,-1)</f>
        <v>0.20000000298023224</v>
      </c>
      <c r="Q39" s="33">
        <f>Recu2!Q39</f>
        <v>0.45000001788139343</v>
      </c>
      <c r="R39" s="32">
        <f t="shared" ref="R39:R58" si="96">IF($B39,Q39/$B39,-1)</f>
        <v>0.30000001192092896</v>
      </c>
      <c r="S39" s="33">
        <f>Recu2!S39</f>
        <v>0</v>
      </c>
      <c r="T39" s="32">
        <f t="shared" ref="T39:T58" si="97">IF($B39,S39/$B39,-1)</f>
        <v>0</v>
      </c>
      <c r="U39" s="33">
        <f>Recu2!U39</f>
        <v>0.15000000223517418</v>
      </c>
      <c r="V39" s="32">
        <f t="shared" ref="V39:V58" si="98">IF($B39,U39/$B39,-1)</f>
        <v>0.10000000149011612</v>
      </c>
      <c r="W39" s="33">
        <f>Recu2!W39</f>
        <v>0.60000000894069672</v>
      </c>
      <c r="X39" s="32">
        <f t="shared" ref="X39:X58" si="99">IF($B39,W39/$B39,-1)</f>
        <v>0.40000000596046448</v>
      </c>
      <c r="Y39" s="33">
        <f>Recu2!Y39</f>
        <v>0.90000003576278687</v>
      </c>
      <c r="Z39" s="32">
        <f t="shared" ref="Z39:Z58" si="100">IF($B39,Y39/$B39,-1)</f>
        <v>0.60000002384185791</v>
      </c>
      <c r="AA39" s="33">
        <f>Recu2!AA39</f>
        <v>0.90000003576278687</v>
      </c>
      <c r="AB39" s="32">
        <f t="shared" ref="AB39:AB58" si="101">IF($B39,AA39/$B39,-1)</f>
        <v>0.60000002384185791</v>
      </c>
      <c r="AC39" s="33">
        <f>Recu2!AC39</f>
        <v>1.2000000178813934</v>
      </c>
      <c r="AD39" s="32">
        <f t="shared" ref="AD39:AD58" si="102">IF($B39,AC39/$B39,-1)</f>
        <v>0.80000001192092896</v>
      </c>
      <c r="AE39" s="33">
        <f>Recu2!AE39</f>
        <v>0</v>
      </c>
      <c r="AF39" s="32">
        <f t="shared" ref="AF39:AF58" si="103">IF($B39,AE39/$B39,-1)</f>
        <v>0</v>
      </c>
      <c r="AG39" s="33">
        <f>Recu2!AG39</f>
        <v>0.60000000894069672</v>
      </c>
      <c r="AH39" s="32">
        <f t="shared" ref="AH39:AH58" si="104">IF($B39,AG39/$B39,-1)</f>
        <v>0.40000000596046448</v>
      </c>
      <c r="AI39" s="33">
        <f>Recu2!AI39</f>
        <v>0</v>
      </c>
      <c r="AJ39" s="32">
        <f t="shared" ref="AJ39:AJ58" si="105">IF($B39,AI39/$B39,-1)</f>
        <v>0</v>
      </c>
      <c r="AK39" s="33">
        <f>Recu2!AK39</f>
        <v>0.45000001788139343</v>
      </c>
      <c r="AL39" s="32">
        <f t="shared" ref="AL39:AL58" si="106">IF($B39,AK39/$B39,-1)</f>
        <v>0.30000001192092896</v>
      </c>
      <c r="AM39" s="33">
        <f>Recu2!AM39</f>
        <v>0.90000003576278687</v>
      </c>
      <c r="AN39" s="32">
        <f t="shared" ref="AN39:AN58" si="107">IF($B39,AM39/$B39,-1)</f>
        <v>0.60000002384185791</v>
      </c>
      <c r="AO39" s="33">
        <f>Recu2!AO39</f>
        <v>0.75</v>
      </c>
      <c r="AP39" s="32">
        <f t="shared" ref="AP39:AP58" si="108">IF($B39,AO39/$B39,-1)</f>
        <v>0.5</v>
      </c>
      <c r="AQ39" s="33">
        <f>Recu2!AQ39</f>
        <v>0.90000003576278687</v>
      </c>
      <c r="AR39" s="32">
        <f t="shared" ref="AR39:AR58" si="109">IF($B39,AQ39/$B39,-1)</f>
        <v>0.60000002384185791</v>
      </c>
      <c r="AS39" s="33">
        <f>Recu2!AS39</f>
        <v>0.45000001788139343</v>
      </c>
      <c r="AT39" s="32">
        <f t="shared" ref="AT39:AT58" si="110">IF($B39,AS39/$B39,-1)</f>
        <v>0.30000001192092896</v>
      </c>
      <c r="AU39" s="33">
        <f>Recu2!AU39</f>
        <v>1.5</v>
      </c>
      <c r="AV39" s="32">
        <f t="shared" ref="AV39:AV58" si="111">IF($B39,AU39/$B39,-1)</f>
        <v>1</v>
      </c>
      <c r="AW39" s="33">
        <f>Recu2!AW39</f>
        <v>1.2000000178813934</v>
      </c>
      <c r="AX39" s="32">
        <f t="shared" ref="AX39:AX58" si="112">IF($B39,AW39/$B39,-1)</f>
        <v>0.80000001192092896</v>
      </c>
      <c r="AY39" s="33">
        <f>Recu2!AY39</f>
        <v>0.90000003576278687</v>
      </c>
      <c r="AZ39" s="32">
        <f t="shared" ref="AZ39:AZ58" si="113">IF($B39,AY39/$B39,-1)</f>
        <v>0.60000002384185791</v>
      </c>
      <c r="BA39" s="33">
        <f>Recu2!BA39</f>
        <v>0.60000000894069672</v>
      </c>
      <c r="BB39" s="32">
        <f t="shared" ref="BB39:BB58" si="114">IF($B39,BA39/$B39,-1)</f>
        <v>0.40000000596046448</v>
      </c>
      <c r="BC39" s="33">
        <f>Recu2!BC39</f>
        <v>1.2000000178813934</v>
      </c>
      <c r="BD39" s="32">
        <f t="shared" ref="BD39:BD58" si="115">IF($B39,BC39/$B39,-1)</f>
        <v>0.80000001192092896</v>
      </c>
      <c r="BE39" s="33">
        <f>Recu2!BE39</f>
        <v>0.15000000223517418</v>
      </c>
      <c r="BF39" s="32">
        <f t="shared" ref="BF39:BF58" si="116">IF($B39,BE39/$B39,-1)</f>
        <v>0.10000000149011612</v>
      </c>
      <c r="BG39" s="33">
        <f>Recu2!BG39</f>
        <v>0</v>
      </c>
      <c r="BH39" s="32">
        <f t="shared" ref="BH39:BH58" si="117">IF($B39,BG39/$B39,-1)</f>
        <v>0</v>
      </c>
      <c r="BI39" s="33">
        <f>Recu2!BI39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Recu2!B40</f>
        <v>1.5</v>
      </c>
      <c r="C40" s="33">
        <f>Recu2!C40</f>
        <v>1.2000000178813934</v>
      </c>
      <c r="D40" s="32">
        <f t="shared" si="89"/>
        <v>0.80000001192092896</v>
      </c>
      <c r="E40" s="33">
        <f>Recu2!E40</f>
        <v>1.5</v>
      </c>
      <c r="F40" s="32">
        <f t="shared" si="90"/>
        <v>1</v>
      </c>
      <c r="G40" s="33">
        <f>Recu2!G40</f>
        <v>0.45000001788139343</v>
      </c>
      <c r="H40" s="32">
        <f t="shared" si="91"/>
        <v>0.30000001192092896</v>
      </c>
      <c r="I40" s="33">
        <f>Recu2!I40</f>
        <v>1.0499999821186066</v>
      </c>
      <c r="J40" s="32">
        <f t="shared" si="92"/>
        <v>0.69999998807907104</v>
      </c>
      <c r="K40" s="33">
        <f>Recu2!K40</f>
        <v>1.2000000178813934</v>
      </c>
      <c r="L40" s="32">
        <f t="shared" si="93"/>
        <v>0.80000001192092896</v>
      </c>
      <c r="M40" s="33">
        <f>Recu2!M40</f>
        <v>0</v>
      </c>
      <c r="N40" s="32">
        <f t="shared" si="94"/>
        <v>0</v>
      </c>
      <c r="O40" s="33">
        <f>Recu2!O40</f>
        <v>1.2000000178813934</v>
      </c>
      <c r="P40" s="32">
        <f t="shared" si="95"/>
        <v>0.80000001192092896</v>
      </c>
      <c r="Q40" s="33">
        <f>Recu2!Q40</f>
        <v>0.75</v>
      </c>
      <c r="R40" s="32">
        <f t="shared" si="96"/>
        <v>0.5</v>
      </c>
      <c r="S40" s="33">
        <f>Recu2!S40</f>
        <v>0.30000000447034836</v>
      </c>
      <c r="T40" s="32">
        <f t="shared" si="97"/>
        <v>0.20000000298023224</v>
      </c>
      <c r="U40" s="33">
        <f>Recu2!U40</f>
        <v>0.90000003576278687</v>
      </c>
      <c r="V40" s="32">
        <f t="shared" si="98"/>
        <v>0.60000002384185791</v>
      </c>
      <c r="W40" s="33">
        <f>Recu2!W40</f>
        <v>1.3499999642372131</v>
      </c>
      <c r="X40" s="32">
        <f t="shared" si="99"/>
        <v>0.89999997615814209</v>
      </c>
      <c r="Y40" s="33">
        <f>Recu2!Y40</f>
        <v>1.5</v>
      </c>
      <c r="Z40" s="32">
        <f t="shared" si="100"/>
        <v>1</v>
      </c>
      <c r="AA40" s="33">
        <f>Recu2!AA40</f>
        <v>1.0499999821186066</v>
      </c>
      <c r="AB40" s="32">
        <f t="shared" si="101"/>
        <v>0.69999998807907104</v>
      </c>
      <c r="AC40" s="33">
        <f>Recu2!AC40</f>
        <v>0</v>
      </c>
      <c r="AD40" s="32">
        <f t="shared" si="102"/>
        <v>0</v>
      </c>
      <c r="AE40" s="33">
        <f>Recu2!AE40</f>
        <v>1.0499999821186066</v>
      </c>
      <c r="AF40" s="32">
        <f t="shared" si="103"/>
        <v>0.69999998807907104</v>
      </c>
      <c r="AG40" s="33">
        <f>Recu2!AG40</f>
        <v>1.5</v>
      </c>
      <c r="AH40" s="32">
        <f t="shared" si="104"/>
        <v>1</v>
      </c>
      <c r="AI40" s="33">
        <f>Recu2!AI40</f>
        <v>0</v>
      </c>
      <c r="AJ40" s="32">
        <f t="shared" si="105"/>
        <v>0</v>
      </c>
      <c r="AK40" s="33">
        <f>Recu2!AK40</f>
        <v>1.5</v>
      </c>
      <c r="AL40" s="32">
        <f t="shared" si="106"/>
        <v>1</v>
      </c>
      <c r="AM40" s="33">
        <f>Recu2!AM40</f>
        <v>0</v>
      </c>
      <c r="AN40" s="32">
        <f t="shared" si="107"/>
        <v>0</v>
      </c>
      <c r="AO40" s="33">
        <f>Recu2!AO40</f>
        <v>0.45000001788139343</v>
      </c>
      <c r="AP40" s="32">
        <f t="shared" si="108"/>
        <v>0.30000001192092896</v>
      </c>
      <c r="AQ40" s="33">
        <f>Recu2!AQ40</f>
        <v>0.90000003576278687</v>
      </c>
      <c r="AR40" s="32">
        <f t="shared" si="109"/>
        <v>0.60000002384185791</v>
      </c>
      <c r="AS40" s="33">
        <f>Recu2!AS40</f>
        <v>1.2000000178813934</v>
      </c>
      <c r="AT40" s="32">
        <f t="shared" si="110"/>
        <v>0.80000001192092896</v>
      </c>
      <c r="AU40" s="33">
        <f>Recu2!AU40</f>
        <v>0</v>
      </c>
      <c r="AV40" s="32">
        <f t="shared" si="111"/>
        <v>0</v>
      </c>
      <c r="AW40" s="33">
        <f>Recu2!AW40</f>
        <v>0</v>
      </c>
      <c r="AX40" s="32">
        <f t="shared" si="112"/>
        <v>0</v>
      </c>
      <c r="AY40" s="33">
        <f>Recu2!AY40</f>
        <v>0.90000003576278687</v>
      </c>
      <c r="AZ40" s="32">
        <f t="shared" si="113"/>
        <v>0.60000002384185791</v>
      </c>
      <c r="BA40" s="33">
        <f>Recu2!BA40</f>
        <v>0.45000001788139343</v>
      </c>
      <c r="BB40" s="32">
        <f t="shared" si="114"/>
        <v>0.30000001192092896</v>
      </c>
      <c r="BC40" s="33">
        <f>Recu2!BC40</f>
        <v>0.60000000894069672</v>
      </c>
      <c r="BD40" s="32">
        <f t="shared" si="115"/>
        <v>0.40000000596046448</v>
      </c>
      <c r="BE40" s="33">
        <f>Recu2!BE40</f>
        <v>0.75</v>
      </c>
      <c r="BF40" s="32">
        <f t="shared" si="116"/>
        <v>0.5</v>
      </c>
      <c r="BG40" s="33">
        <f>Recu2!BG40</f>
        <v>1.2000000178813934</v>
      </c>
      <c r="BH40" s="32">
        <f t="shared" si="117"/>
        <v>0.80000001192092896</v>
      </c>
      <c r="BI40" s="33">
        <f>Recu2!BI40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Recu2!B41</f>
        <v>1</v>
      </c>
      <c r="C41" s="33">
        <f>Recu2!C41</f>
        <v>0.30000001192092896</v>
      </c>
      <c r="D41" s="32">
        <f t="shared" si="89"/>
        <v>0.30000001192092896</v>
      </c>
      <c r="E41" s="33">
        <f>Recu2!E41</f>
        <v>0</v>
      </c>
      <c r="F41" s="32">
        <f t="shared" si="90"/>
        <v>0</v>
      </c>
      <c r="G41" s="33">
        <f>Recu2!G41</f>
        <v>0.40000000596046448</v>
      </c>
      <c r="H41" s="32">
        <f t="shared" si="91"/>
        <v>0.40000000596046448</v>
      </c>
      <c r="I41" s="33">
        <f>Recu2!I41</f>
        <v>0.60000002384185791</v>
      </c>
      <c r="J41" s="32">
        <f t="shared" si="92"/>
        <v>0.60000002384185791</v>
      </c>
      <c r="K41" s="33">
        <f>Recu2!K41</f>
        <v>0.80000001192092896</v>
      </c>
      <c r="L41" s="32">
        <f t="shared" si="93"/>
        <v>0.80000001192092896</v>
      </c>
      <c r="M41" s="33">
        <f>Recu2!M41</f>
        <v>0.60000002384185791</v>
      </c>
      <c r="N41" s="32">
        <f t="shared" si="94"/>
        <v>0.60000002384185791</v>
      </c>
      <c r="O41" s="33">
        <f>Recu2!O41</f>
        <v>0.69999998807907104</v>
      </c>
      <c r="P41" s="32">
        <f t="shared" si="95"/>
        <v>0.69999998807907104</v>
      </c>
      <c r="Q41" s="33">
        <f>Recu2!Q41</f>
        <v>0.80000001192092896</v>
      </c>
      <c r="R41" s="32">
        <f t="shared" si="96"/>
        <v>0.80000001192092896</v>
      </c>
      <c r="S41" s="33">
        <f>Recu2!S41</f>
        <v>0.40000000596046448</v>
      </c>
      <c r="T41" s="32">
        <f t="shared" si="97"/>
        <v>0.40000000596046448</v>
      </c>
      <c r="U41" s="33">
        <f>Recu2!U41</f>
        <v>0.80000001192092896</v>
      </c>
      <c r="V41" s="32">
        <f t="shared" si="98"/>
        <v>0.80000001192092896</v>
      </c>
      <c r="W41" s="33">
        <f>Recu2!W41</f>
        <v>0.69999998807907104</v>
      </c>
      <c r="X41" s="32">
        <f t="shared" si="99"/>
        <v>0.69999998807907104</v>
      </c>
      <c r="Y41" s="33">
        <f>Recu2!Y41</f>
        <v>0.69999998807907104</v>
      </c>
      <c r="Z41" s="32">
        <f t="shared" si="100"/>
        <v>0.69999998807907104</v>
      </c>
      <c r="AA41" s="33">
        <f>Recu2!AA41</f>
        <v>0.80000001192092896</v>
      </c>
      <c r="AB41" s="32">
        <f t="shared" si="101"/>
        <v>0.80000001192092896</v>
      </c>
      <c r="AC41" s="33">
        <f>Recu2!AC41</f>
        <v>0.20000000298023224</v>
      </c>
      <c r="AD41" s="32">
        <f t="shared" si="102"/>
        <v>0.20000000298023224</v>
      </c>
      <c r="AE41" s="33">
        <f>Recu2!AE41</f>
        <v>0.80000001192092896</v>
      </c>
      <c r="AF41" s="32">
        <f t="shared" si="103"/>
        <v>0.80000001192092896</v>
      </c>
      <c r="AG41" s="33">
        <f>Recu2!AG41</f>
        <v>0</v>
      </c>
      <c r="AH41" s="32">
        <f t="shared" si="104"/>
        <v>0</v>
      </c>
      <c r="AI41" s="33">
        <f>Recu2!AI41</f>
        <v>0.20000000298023224</v>
      </c>
      <c r="AJ41" s="32">
        <f t="shared" si="105"/>
        <v>0.20000000298023224</v>
      </c>
      <c r="AK41" s="33">
        <f>Recu2!AK41</f>
        <v>1</v>
      </c>
      <c r="AL41" s="32">
        <f t="shared" si="106"/>
        <v>1</v>
      </c>
      <c r="AM41" s="33">
        <f>Recu2!AM41</f>
        <v>0.89999997615814209</v>
      </c>
      <c r="AN41" s="32">
        <f t="shared" si="107"/>
        <v>0.89999997615814209</v>
      </c>
      <c r="AO41" s="33">
        <f>Recu2!AO41</f>
        <v>0.20000000298023224</v>
      </c>
      <c r="AP41" s="32">
        <f t="shared" si="108"/>
        <v>0.20000000298023224</v>
      </c>
      <c r="AQ41" s="33">
        <f>Recu2!AQ41</f>
        <v>0.20000000298023224</v>
      </c>
      <c r="AR41" s="32">
        <f t="shared" si="109"/>
        <v>0.20000000298023224</v>
      </c>
      <c r="AS41" s="33">
        <f>Recu2!AS41</f>
        <v>0.20000000298023224</v>
      </c>
      <c r="AT41" s="32">
        <f t="shared" si="110"/>
        <v>0.20000000298023224</v>
      </c>
      <c r="AU41" s="33">
        <f>Recu2!AU41</f>
        <v>1</v>
      </c>
      <c r="AV41" s="32">
        <f t="shared" si="111"/>
        <v>1</v>
      </c>
      <c r="AW41" s="33">
        <f>Recu2!AW41</f>
        <v>0.20000000298023224</v>
      </c>
      <c r="AX41" s="32">
        <f t="shared" si="112"/>
        <v>0.20000000298023224</v>
      </c>
      <c r="AY41" s="33">
        <f>Recu2!AY41</f>
        <v>0.20000000298023224</v>
      </c>
      <c r="AZ41" s="32">
        <f t="shared" si="113"/>
        <v>0.20000000298023224</v>
      </c>
      <c r="BA41" s="33">
        <f>Recu2!BA41</f>
        <v>0.69999998807907104</v>
      </c>
      <c r="BB41" s="32">
        <f t="shared" si="114"/>
        <v>0.69999998807907104</v>
      </c>
      <c r="BC41" s="33">
        <f>Recu2!BC41</f>
        <v>0.69999998807907104</v>
      </c>
      <c r="BD41" s="32">
        <f t="shared" si="115"/>
        <v>0.69999998807907104</v>
      </c>
      <c r="BE41" s="33">
        <f>Recu2!BE41</f>
        <v>0.80000001192092896</v>
      </c>
      <c r="BF41" s="32">
        <f t="shared" si="116"/>
        <v>0.80000001192092896</v>
      </c>
      <c r="BG41" s="33">
        <f>Recu2!BG41</f>
        <v>0.80000001192092896</v>
      </c>
      <c r="BH41" s="32">
        <f t="shared" si="117"/>
        <v>0.80000001192092896</v>
      </c>
      <c r="BI41" s="33">
        <f>Recu2!BI41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Recu2!B42</f>
        <v>0</v>
      </c>
      <c r="C42" s="33">
        <f>Recu2!C42</f>
        <v>0</v>
      </c>
      <c r="D42" s="32">
        <f t="shared" si="89"/>
        <v>-1</v>
      </c>
      <c r="E42" s="33">
        <f>Recu2!E42</f>
        <v>0</v>
      </c>
      <c r="F42" s="32">
        <f t="shared" si="90"/>
        <v>-1</v>
      </c>
      <c r="G42" s="33">
        <f>Recu2!G42</f>
        <v>0</v>
      </c>
      <c r="H42" s="32">
        <f t="shared" si="91"/>
        <v>-1</v>
      </c>
      <c r="I42" s="33">
        <f>Recu2!I42</f>
        <v>0</v>
      </c>
      <c r="J42" s="32">
        <f t="shared" si="92"/>
        <v>-1</v>
      </c>
      <c r="K42" s="33">
        <f>Recu2!K42</f>
        <v>0</v>
      </c>
      <c r="L42" s="32">
        <f t="shared" si="93"/>
        <v>-1</v>
      </c>
      <c r="M42" s="33">
        <f>Recu2!M42</f>
        <v>0</v>
      </c>
      <c r="N42" s="32">
        <f t="shared" si="94"/>
        <v>-1</v>
      </c>
      <c r="O42" s="33">
        <f>Recu2!O42</f>
        <v>0</v>
      </c>
      <c r="P42" s="32">
        <f t="shared" si="95"/>
        <v>-1</v>
      </c>
      <c r="Q42" s="33">
        <f>Recu2!Q42</f>
        <v>0</v>
      </c>
      <c r="R42" s="32">
        <f t="shared" si="96"/>
        <v>-1</v>
      </c>
      <c r="S42" s="33">
        <f>Recu2!S42</f>
        <v>0</v>
      </c>
      <c r="T42" s="32">
        <f t="shared" si="97"/>
        <v>-1</v>
      </c>
      <c r="U42" s="33">
        <f>Recu2!U42</f>
        <v>0</v>
      </c>
      <c r="V42" s="32">
        <f t="shared" si="98"/>
        <v>-1</v>
      </c>
      <c r="W42" s="33">
        <f>Recu2!W42</f>
        <v>0</v>
      </c>
      <c r="X42" s="32">
        <f t="shared" si="99"/>
        <v>-1</v>
      </c>
      <c r="Y42" s="33">
        <f>Recu2!Y42</f>
        <v>0</v>
      </c>
      <c r="Z42" s="32">
        <f t="shared" si="100"/>
        <v>-1</v>
      </c>
      <c r="AA42" s="33">
        <f>Recu2!AA42</f>
        <v>0</v>
      </c>
      <c r="AB42" s="32">
        <f t="shared" si="101"/>
        <v>-1</v>
      </c>
      <c r="AC42" s="33">
        <f>Recu2!AC42</f>
        <v>0</v>
      </c>
      <c r="AD42" s="32">
        <f t="shared" si="102"/>
        <v>-1</v>
      </c>
      <c r="AE42" s="33">
        <f>Recu2!AE42</f>
        <v>0</v>
      </c>
      <c r="AF42" s="32">
        <f t="shared" si="103"/>
        <v>-1</v>
      </c>
      <c r="AG42" s="33">
        <f>Recu2!AG42</f>
        <v>0</v>
      </c>
      <c r="AH42" s="32">
        <f t="shared" si="104"/>
        <v>-1</v>
      </c>
      <c r="AI42" s="33">
        <f>Recu2!AI42</f>
        <v>0</v>
      </c>
      <c r="AJ42" s="32">
        <f t="shared" si="105"/>
        <v>-1</v>
      </c>
      <c r="AK42" s="33">
        <f>Recu2!AK42</f>
        <v>0</v>
      </c>
      <c r="AL42" s="32">
        <f t="shared" si="106"/>
        <v>-1</v>
      </c>
      <c r="AM42" s="33">
        <f>Recu2!AM42</f>
        <v>0</v>
      </c>
      <c r="AN42" s="32">
        <f t="shared" si="107"/>
        <v>-1</v>
      </c>
      <c r="AO42" s="33">
        <f>Recu2!AO42</f>
        <v>0</v>
      </c>
      <c r="AP42" s="32">
        <f t="shared" si="108"/>
        <v>-1</v>
      </c>
      <c r="AQ42" s="33">
        <f>Recu2!AQ42</f>
        <v>0</v>
      </c>
      <c r="AR42" s="32">
        <f t="shared" si="109"/>
        <v>-1</v>
      </c>
      <c r="AS42" s="33">
        <f>Recu2!AS42</f>
        <v>0</v>
      </c>
      <c r="AT42" s="32">
        <f t="shared" si="110"/>
        <v>-1</v>
      </c>
      <c r="AU42" s="33">
        <f>Recu2!AU42</f>
        <v>0</v>
      </c>
      <c r="AV42" s="32">
        <f t="shared" si="111"/>
        <v>-1</v>
      </c>
      <c r="AW42" s="33">
        <f>Recu2!AW42</f>
        <v>0</v>
      </c>
      <c r="AX42" s="32">
        <f t="shared" si="112"/>
        <v>-1</v>
      </c>
      <c r="AY42" s="33">
        <f>Recu2!AY42</f>
        <v>0</v>
      </c>
      <c r="AZ42" s="32">
        <f t="shared" si="113"/>
        <v>-1</v>
      </c>
      <c r="BA42" s="33">
        <f>Recu2!BA42</f>
        <v>0</v>
      </c>
      <c r="BB42" s="32">
        <f t="shared" si="114"/>
        <v>-1</v>
      </c>
      <c r="BC42" s="33">
        <f>Recu2!BC42</f>
        <v>0</v>
      </c>
      <c r="BD42" s="32">
        <f t="shared" si="115"/>
        <v>-1</v>
      </c>
      <c r="BE42" s="33">
        <f>Recu2!BE42</f>
        <v>0</v>
      </c>
      <c r="BF42" s="32">
        <f t="shared" si="116"/>
        <v>-1</v>
      </c>
      <c r="BG42" s="33">
        <f>Recu2!BG42</f>
        <v>0</v>
      </c>
      <c r="BH42" s="32">
        <f t="shared" si="117"/>
        <v>-1</v>
      </c>
      <c r="BI42" s="33">
        <f>Recu2!BI42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Recu2!B43</f>
        <v>2</v>
      </c>
      <c r="C43" s="33">
        <f>Recu2!C43</f>
        <v>1.7999999523162842</v>
      </c>
      <c r="D43" s="32">
        <f t="shared" si="89"/>
        <v>0.89999997615814209</v>
      </c>
      <c r="E43" s="33">
        <f>Recu2!E43</f>
        <v>1.3999999761581421</v>
      </c>
      <c r="F43" s="32">
        <f t="shared" si="90"/>
        <v>0.69999998807907104</v>
      </c>
      <c r="G43" s="33">
        <f>Recu2!G43</f>
        <v>1.7999999523162842</v>
      </c>
      <c r="H43" s="32">
        <f t="shared" si="91"/>
        <v>0.89999997615814209</v>
      </c>
      <c r="I43" s="33">
        <f>Recu2!I43</f>
        <v>0.40000000596046448</v>
      </c>
      <c r="J43" s="32">
        <f t="shared" si="92"/>
        <v>0.20000000298023224</v>
      </c>
      <c r="K43" s="33">
        <f>Recu2!K43</f>
        <v>0.60000002384185791</v>
      </c>
      <c r="L43" s="32">
        <f t="shared" si="93"/>
        <v>0.30000001192092896</v>
      </c>
      <c r="M43" s="33">
        <f>Recu2!M43</f>
        <v>1.2000000476837158</v>
      </c>
      <c r="N43" s="32">
        <f t="shared" si="94"/>
        <v>0.60000002384185791</v>
      </c>
      <c r="O43" s="33">
        <f>Recu2!O43</f>
        <v>0.60000002384185791</v>
      </c>
      <c r="P43" s="32">
        <f t="shared" si="95"/>
        <v>0.30000001192092896</v>
      </c>
      <c r="Q43" s="33">
        <f>Recu2!Q43</f>
        <v>0.40000000596046448</v>
      </c>
      <c r="R43" s="32">
        <f t="shared" si="96"/>
        <v>0.20000000298023224</v>
      </c>
      <c r="S43" s="33">
        <f>Recu2!S43</f>
        <v>1.2000000476837158</v>
      </c>
      <c r="T43" s="32">
        <f t="shared" si="97"/>
        <v>0.60000002384185791</v>
      </c>
      <c r="U43" s="33">
        <f>Recu2!U43</f>
        <v>1.2000000476837158</v>
      </c>
      <c r="V43" s="32">
        <f t="shared" si="98"/>
        <v>0.60000002384185791</v>
      </c>
      <c r="W43" s="33">
        <f>Recu2!W43</f>
        <v>0.20000000298023224</v>
      </c>
      <c r="X43" s="32">
        <f t="shared" si="99"/>
        <v>0.10000000149011612</v>
      </c>
      <c r="Y43" s="33">
        <f>Recu2!Y43</f>
        <v>0</v>
      </c>
      <c r="Z43" s="32">
        <f t="shared" si="100"/>
        <v>0</v>
      </c>
      <c r="AA43" s="33">
        <f>Recu2!AA43</f>
        <v>1.2000000476837158</v>
      </c>
      <c r="AB43" s="32">
        <f t="shared" si="101"/>
        <v>0.60000002384185791</v>
      </c>
      <c r="AC43" s="33">
        <f>Recu2!AC43</f>
        <v>1.7999999523162842</v>
      </c>
      <c r="AD43" s="32">
        <f t="shared" si="102"/>
        <v>0.89999997615814209</v>
      </c>
      <c r="AE43" s="33">
        <f>Recu2!AE43</f>
        <v>1.3999999761581421</v>
      </c>
      <c r="AF43" s="32">
        <f t="shared" si="103"/>
        <v>0.69999998807907104</v>
      </c>
      <c r="AG43" s="33">
        <f>Recu2!AG43</f>
        <v>0.80000001192092896</v>
      </c>
      <c r="AH43" s="32">
        <f t="shared" si="104"/>
        <v>0.40000000596046448</v>
      </c>
      <c r="AI43" s="33">
        <f>Recu2!AI43</f>
        <v>0.40000000596046448</v>
      </c>
      <c r="AJ43" s="32">
        <f t="shared" si="105"/>
        <v>0.20000000298023224</v>
      </c>
      <c r="AK43" s="33">
        <f>Recu2!AK43</f>
        <v>1</v>
      </c>
      <c r="AL43" s="32">
        <f t="shared" si="106"/>
        <v>0.5</v>
      </c>
      <c r="AM43" s="33">
        <f>Recu2!AM43</f>
        <v>2</v>
      </c>
      <c r="AN43" s="32">
        <f t="shared" si="107"/>
        <v>1</v>
      </c>
      <c r="AO43" s="33">
        <f>Recu2!AO43</f>
        <v>1.6000000238418579</v>
      </c>
      <c r="AP43" s="32">
        <f t="shared" si="108"/>
        <v>0.80000001192092896</v>
      </c>
      <c r="AQ43" s="33">
        <f>Recu2!AQ43</f>
        <v>0.80000001192092896</v>
      </c>
      <c r="AR43" s="32">
        <f t="shared" si="109"/>
        <v>0.40000000596046448</v>
      </c>
      <c r="AS43" s="33">
        <f>Recu2!AS43</f>
        <v>1</v>
      </c>
      <c r="AT43" s="32">
        <f t="shared" si="110"/>
        <v>0.5</v>
      </c>
      <c r="AU43" s="33">
        <f>Recu2!AU43</f>
        <v>1.2000000476837158</v>
      </c>
      <c r="AV43" s="32">
        <f t="shared" si="111"/>
        <v>0.60000002384185791</v>
      </c>
      <c r="AW43" s="33">
        <f>Recu2!AW43</f>
        <v>1.3999999761581421</v>
      </c>
      <c r="AX43" s="32">
        <f t="shared" si="112"/>
        <v>0.69999998807907104</v>
      </c>
      <c r="AY43" s="33">
        <f>Recu2!AY43</f>
        <v>0</v>
      </c>
      <c r="AZ43" s="32">
        <f t="shared" si="113"/>
        <v>0</v>
      </c>
      <c r="BA43" s="33">
        <f>Recu2!BA43</f>
        <v>1.3999999761581421</v>
      </c>
      <c r="BB43" s="32">
        <f t="shared" si="114"/>
        <v>0.69999998807907104</v>
      </c>
      <c r="BC43" s="33">
        <f>Recu2!BC43</f>
        <v>1.7999999523162842</v>
      </c>
      <c r="BD43" s="32">
        <f t="shared" si="115"/>
        <v>0.89999997615814209</v>
      </c>
      <c r="BE43" s="33">
        <f>Recu2!BE43</f>
        <v>0.60000002384185791</v>
      </c>
      <c r="BF43" s="32">
        <f t="shared" si="116"/>
        <v>0.30000001192092896</v>
      </c>
      <c r="BG43" s="33">
        <f>Recu2!BG43</f>
        <v>0.20000000298023224</v>
      </c>
      <c r="BH43" s="32">
        <f t="shared" si="117"/>
        <v>0.10000000149011612</v>
      </c>
      <c r="BI43" s="33">
        <f>Recu2!BI43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Recu2!B44</f>
        <v>2</v>
      </c>
      <c r="C44" s="33">
        <f>Recu2!C44</f>
        <v>1.6000000238418579</v>
      </c>
      <c r="D44" s="32">
        <f t="shared" si="89"/>
        <v>0.80000001192092896</v>
      </c>
      <c r="E44" s="33">
        <f>Recu2!E44</f>
        <v>0.60000002384185791</v>
      </c>
      <c r="F44" s="32">
        <f t="shared" si="90"/>
        <v>0.30000001192092896</v>
      </c>
      <c r="G44" s="33">
        <f>Recu2!G44</f>
        <v>0.80000001192092896</v>
      </c>
      <c r="H44" s="32">
        <f t="shared" si="91"/>
        <v>0.40000000596046448</v>
      </c>
      <c r="I44" s="33">
        <f>Recu2!I44</f>
        <v>1.6000000238418579</v>
      </c>
      <c r="J44" s="32">
        <f t="shared" si="92"/>
        <v>0.80000001192092896</v>
      </c>
      <c r="K44" s="33">
        <f>Recu2!K44</f>
        <v>0.80000001192092896</v>
      </c>
      <c r="L44" s="32">
        <f t="shared" si="93"/>
        <v>0.40000000596046448</v>
      </c>
      <c r="M44" s="33">
        <f>Recu2!M44</f>
        <v>1.3999999761581421</v>
      </c>
      <c r="N44" s="32">
        <f t="shared" si="94"/>
        <v>0.69999998807907104</v>
      </c>
      <c r="O44" s="33">
        <f>Recu2!O44</f>
        <v>1</v>
      </c>
      <c r="P44" s="32">
        <f t="shared" si="95"/>
        <v>0.5</v>
      </c>
      <c r="Q44" s="33">
        <f>Recu2!Q44</f>
        <v>0.20000000298023224</v>
      </c>
      <c r="R44" s="32">
        <f t="shared" si="96"/>
        <v>0.10000000149011612</v>
      </c>
      <c r="S44" s="33">
        <f>Recu2!S44</f>
        <v>0.60000002384185791</v>
      </c>
      <c r="T44" s="32">
        <f t="shared" si="97"/>
        <v>0.30000001192092896</v>
      </c>
      <c r="U44" s="33">
        <f>Recu2!U44</f>
        <v>0</v>
      </c>
      <c r="V44" s="32">
        <f t="shared" si="98"/>
        <v>0</v>
      </c>
      <c r="W44" s="33">
        <f>Recu2!W44</f>
        <v>2</v>
      </c>
      <c r="X44" s="32">
        <f t="shared" si="99"/>
        <v>1</v>
      </c>
      <c r="Y44" s="33">
        <f>Recu2!Y44</f>
        <v>0.60000002384185791</v>
      </c>
      <c r="Z44" s="32">
        <f t="shared" si="100"/>
        <v>0.30000001192092896</v>
      </c>
      <c r="AA44" s="33">
        <f>Recu2!AA44</f>
        <v>1.2000000476837158</v>
      </c>
      <c r="AB44" s="32">
        <f t="shared" si="101"/>
        <v>0.60000002384185791</v>
      </c>
      <c r="AC44" s="33">
        <f>Recu2!AC44</f>
        <v>0.60000002384185791</v>
      </c>
      <c r="AD44" s="32">
        <f t="shared" si="102"/>
        <v>0.30000001192092896</v>
      </c>
      <c r="AE44" s="33">
        <f>Recu2!AE44</f>
        <v>1.7999999523162842</v>
      </c>
      <c r="AF44" s="32">
        <f t="shared" si="103"/>
        <v>0.89999997615814209</v>
      </c>
      <c r="AG44" s="33">
        <f>Recu2!AG44</f>
        <v>0.60000002384185791</v>
      </c>
      <c r="AH44" s="32">
        <f t="shared" si="104"/>
        <v>0.30000001192092896</v>
      </c>
      <c r="AI44" s="33">
        <f>Recu2!AI44</f>
        <v>1.6000000238418579</v>
      </c>
      <c r="AJ44" s="32">
        <f t="shared" si="105"/>
        <v>0.80000001192092896</v>
      </c>
      <c r="AK44" s="33">
        <f>Recu2!AK44</f>
        <v>0.20000000298023224</v>
      </c>
      <c r="AL44" s="32">
        <f t="shared" si="106"/>
        <v>0.10000000149011612</v>
      </c>
      <c r="AM44" s="33">
        <f>Recu2!AM44</f>
        <v>0.60000002384185791</v>
      </c>
      <c r="AN44" s="32">
        <f t="shared" si="107"/>
        <v>0.30000001192092896</v>
      </c>
      <c r="AO44" s="33">
        <f>Recu2!AO44</f>
        <v>0</v>
      </c>
      <c r="AP44" s="32">
        <f t="shared" si="108"/>
        <v>0</v>
      </c>
      <c r="AQ44" s="33">
        <f>Recu2!AQ44</f>
        <v>1</v>
      </c>
      <c r="AR44" s="32">
        <f t="shared" si="109"/>
        <v>0.5</v>
      </c>
      <c r="AS44" s="33">
        <f>Recu2!AS44</f>
        <v>0.80000001192092896</v>
      </c>
      <c r="AT44" s="32">
        <f t="shared" si="110"/>
        <v>0.40000000596046448</v>
      </c>
      <c r="AU44" s="33">
        <f>Recu2!AU44</f>
        <v>1.2000000476837158</v>
      </c>
      <c r="AV44" s="32">
        <f t="shared" si="111"/>
        <v>0.60000002384185791</v>
      </c>
      <c r="AW44" s="33">
        <f>Recu2!AW44</f>
        <v>0</v>
      </c>
      <c r="AX44" s="32">
        <f t="shared" si="112"/>
        <v>0</v>
      </c>
      <c r="AY44" s="33">
        <f>Recu2!AY44</f>
        <v>0.60000002384185791</v>
      </c>
      <c r="AZ44" s="32">
        <f t="shared" si="113"/>
        <v>0.30000001192092896</v>
      </c>
      <c r="BA44" s="33">
        <f>Recu2!BA44</f>
        <v>0.20000000298023224</v>
      </c>
      <c r="BB44" s="32">
        <f t="shared" si="114"/>
        <v>0.10000000149011612</v>
      </c>
      <c r="BC44" s="33">
        <f>Recu2!BC44</f>
        <v>0.60000002384185791</v>
      </c>
      <c r="BD44" s="32">
        <f t="shared" si="115"/>
        <v>0.30000001192092896</v>
      </c>
      <c r="BE44" s="33">
        <f>Recu2!BE44</f>
        <v>1.6000000238418579</v>
      </c>
      <c r="BF44" s="32">
        <f t="shared" si="116"/>
        <v>0.80000001192092896</v>
      </c>
      <c r="BG44" s="33">
        <f>Recu2!BG44</f>
        <v>1.2000000476837158</v>
      </c>
      <c r="BH44" s="32">
        <f t="shared" si="117"/>
        <v>0.60000002384185791</v>
      </c>
      <c r="BI44" s="33">
        <f>Recu2!BI44</f>
        <v>2</v>
      </c>
      <c r="BJ44" s="32">
        <f t="shared" si="118"/>
        <v>1</v>
      </c>
    </row>
    <row r="45" spans="1:62" ht="42" x14ac:dyDescent="0.2">
      <c r="A45" s="3" t="s">
        <v>45</v>
      </c>
      <c r="B45" s="13">
        <f>Recu2!B45</f>
        <v>1</v>
      </c>
      <c r="C45" s="33">
        <f>Recu2!C45</f>
        <v>0.89999997615814209</v>
      </c>
      <c r="D45" s="32">
        <f t="shared" si="89"/>
        <v>0.89999997615814209</v>
      </c>
      <c r="E45" s="33">
        <f>Recu2!E45</f>
        <v>0.60000002384185791</v>
      </c>
      <c r="F45" s="32">
        <f t="shared" si="90"/>
        <v>0.60000002384185791</v>
      </c>
      <c r="G45" s="33">
        <f>Recu2!G45</f>
        <v>0.60000002384185791</v>
      </c>
      <c r="H45" s="32">
        <f t="shared" si="91"/>
        <v>0.60000002384185791</v>
      </c>
      <c r="I45" s="33">
        <f>Recu2!I45</f>
        <v>0.20000000298023224</v>
      </c>
      <c r="J45" s="32">
        <f t="shared" si="92"/>
        <v>0.20000000298023224</v>
      </c>
      <c r="K45" s="33">
        <f>Recu2!K45</f>
        <v>0.89999997615814209</v>
      </c>
      <c r="L45" s="32">
        <f t="shared" si="93"/>
        <v>0.89999997615814209</v>
      </c>
      <c r="M45" s="33">
        <f>Recu2!M45</f>
        <v>0.30000001192092896</v>
      </c>
      <c r="N45" s="32">
        <f t="shared" si="94"/>
        <v>0.30000001192092896</v>
      </c>
      <c r="O45" s="33">
        <f>Recu2!O45</f>
        <v>0.60000002384185791</v>
      </c>
      <c r="P45" s="32">
        <f t="shared" si="95"/>
        <v>0.60000002384185791</v>
      </c>
      <c r="Q45" s="33">
        <f>Recu2!Q45</f>
        <v>0.60000002384185791</v>
      </c>
      <c r="R45" s="32">
        <f t="shared" si="96"/>
        <v>0.60000002384185791</v>
      </c>
      <c r="S45" s="33">
        <f>Recu2!S45</f>
        <v>0.80000001192092896</v>
      </c>
      <c r="T45" s="32">
        <f t="shared" si="97"/>
        <v>0.80000001192092896</v>
      </c>
      <c r="U45" s="33">
        <f>Recu2!U45</f>
        <v>0.69999998807907104</v>
      </c>
      <c r="V45" s="32">
        <f t="shared" si="98"/>
        <v>0.69999998807907104</v>
      </c>
      <c r="W45" s="33">
        <f>Recu2!W45</f>
        <v>0.69999998807907104</v>
      </c>
      <c r="X45" s="32">
        <f t="shared" si="99"/>
        <v>0.69999998807907104</v>
      </c>
      <c r="Y45" s="33">
        <f>Recu2!Y45</f>
        <v>0.80000001192092896</v>
      </c>
      <c r="Z45" s="32">
        <f t="shared" si="100"/>
        <v>0.80000001192092896</v>
      </c>
      <c r="AA45" s="33">
        <f>Recu2!AA45</f>
        <v>0.20000000298023224</v>
      </c>
      <c r="AB45" s="32">
        <f t="shared" si="101"/>
        <v>0.20000000298023224</v>
      </c>
      <c r="AC45" s="33">
        <f>Recu2!AC45</f>
        <v>0.60000002384185791</v>
      </c>
      <c r="AD45" s="32">
        <f t="shared" si="102"/>
        <v>0.60000002384185791</v>
      </c>
      <c r="AE45" s="33">
        <f>Recu2!AE45</f>
        <v>0.5</v>
      </c>
      <c r="AF45" s="32">
        <f t="shared" si="103"/>
        <v>0.5</v>
      </c>
      <c r="AG45" s="33">
        <f>Recu2!AG45</f>
        <v>0.60000002384185791</v>
      </c>
      <c r="AH45" s="32">
        <f t="shared" si="104"/>
        <v>0.60000002384185791</v>
      </c>
      <c r="AI45" s="33">
        <f>Recu2!AI45</f>
        <v>0.30000001192092896</v>
      </c>
      <c r="AJ45" s="32">
        <f t="shared" si="105"/>
        <v>0.30000001192092896</v>
      </c>
      <c r="AK45" s="33">
        <f>Recu2!AK45</f>
        <v>0.40000000596046448</v>
      </c>
      <c r="AL45" s="32">
        <f t="shared" si="106"/>
        <v>0.40000000596046448</v>
      </c>
      <c r="AM45" s="33">
        <f>Recu2!AM45</f>
        <v>0.30000001192092896</v>
      </c>
      <c r="AN45" s="32">
        <f t="shared" si="107"/>
        <v>0.30000001192092896</v>
      </c>
      <c r="AO45" s="33">
        <f>Recu2!AO45</f>
        <v>1</v>
      </c>
      <c r="AP45" s="32">
        <f t="shared" si="108"/>
        <v>1</v>
      </c>
      <c r="AQ45" s="33">
        <f>Recu2!AQ45</f>
        <v>0.5</v>
      </c>
      <c r="AR45" s="32">
        <f t="shared" si="109"/>
        <v>0.5</v>
      </c>
      <c r="AS45" s="33">
        <f>Recu2!AS45</f>
        <v>0.60000002384185791</v>
      </c>
      <c r="AT45" s="32">
        <f t="shared" si="110"/>
        <v>0.60000002384185791</v>
      </c>
      <c r="AU45" s="33">
        <f>Recu2!AU45</f>
        <v>0.5</v>
      </c>
      <c r="AV45" s="32">
        <f t="shared" si="111"/>
        <v>0.5</v>
      </c>
      <c r="AW45" s="33">
        <f>Recu2!AW45</f>
        <v>0</v>
      </c>
      <c r="AX45" s="32">
        <f t="shared" si="112"/>
        <v>0</v>
      </c>
      <c r="AY45" s="33">
        <f>Recu2!AY45</f>
        <v>0.40000000596046448</v>
      </c>
      <c r="AZ45" s="32">
        <f t="shared" si="113"/>
        <v>0.40000000596046448</v>
      </c>
      <c r="BA45" s="33">
        <f>Recu2!BA45</f>
        <v>0.10000000149011612</v>
      </c>
      <c r="BB45" s="32">
        <f t="shared" si="114"/>
        <v>0.10000000149011612</v>
      </c>
      <c r="BC45" s="33">
        <f>Recu2!BC45</f>
        <v>0.69999998807907104</v>
      </c>
      <c r="BD45" s="32">
        <f t="shared" si="115"/>
        <v>0.69999998807907104</v>
      </c>
      <c r="BE45" s="33">
        <f>Recu2!BE45</f>
        <v>0.10000000149011612</v>
      </c>
      <c r="BF45" s="32">
        <f t="shared" si="116"/>
        <v>0.10000000149011612</v>
      </c>
      <c r="BG45" s="33">
        <f>Recu2!BG45</f>
        <v>0.20000000298023224</v>
      </c>
      <c r="BH45" s="32">
        <f t="shared" si="117"/>
        <v>0.20000000298023224</v>
      </c>
      <c r="BI45" s="33">
        <f>Recu2!BI45</f>
        <v>0.40000000596046448</v>
      </c>
      <c r="BJ45" s="32">
        <f t="shared" si="118"/>
        <v>0.40000000596046448</v>
      </c>
    </row>
    <row r="46" spans="1:62" ht="42" x14ac:dyDescent="0.2">
      <c r="A46" s="2" t="s">
        <v>46</v>
      </c>
      <c r="B46" s="13">
        <f>Recu2!B46</f>
        <v>1</v>
      </c>
      <c r="C46" s="33">
        <f>Recu2!C46</f>
        <v>0.10000000149011612</v>
      </c>
      <c r="D46" s="32">
        <f t="shared" si="89"/>
        <v>0.10000000149011612</v>
      </c>
      <c r="E46" s="33">
        <f>Recu2!E46</f>
        <v>0.60000002384185791</v>
      </c>
      <c r="F46" s="32">
        <f t="shared" si="90"/>
        <v>0.60000002384185791</v>
      </c>
      <c r="G46" s="33">
        <f>Recu2!G46</f>
        <v>0.69999998807907104</v>
      </c>
      <c r="H46" s="32">
        <f t="shared" si="91"/>
        <v>0.69999998807907104</v>
      </c>
      <c r="I46" s="33">
        <f>Recu2!I46</f>
        <v>0.40000000596046448</v>
      </c>
      <c r="J46" s="32">
        <f t="shared" si="92"/>
        <v>0.40000000596046448</v>
      </c>
      <c r="K46" s="33">
        <f>Recu2!K46</f>
        <v>0.40000000596046448</v>
      </c>
      <c r="L46" s="32">
        <f t="shared" si="93"/>
        <v>0.40000000596046448</v>
      </c>
      <c r="M46" s="33">
        <f>Recu2!M46</f>
        <v>0.30000001192092896</v>
      </c>
      <c r="N46" s="32">
        <f t="shared" si="94"/>
        <v>0.30000001192092896</v>
      </c>
      <c r="O46" s="33">
        <f>Recu2!O46</f>
        <v>0.69999998807907104</v>
      </c>
      <c r="P46" s="32">
        <f t="shared" si="95"/>
        <v>0.69999998807907104</v>
      </c>
      <c r="Q46" s="33">
        <f>Recu2!Q46</f>
        <v>0.20000000298023224</v>
      </c>
      <c r="R46" s="32">
        <f t="shared" si="96"/>
        <v>0.20000000298023224</v>
      </c>
      <c r="S46" s="33">
        <f>Recu2!S46</f>
        <v>0</v>
      </c>
      <c r="T46" s="32">
        <f t="shared" si="97"/>
        <v>0</v>
      </c>
      <c r="U46" s="33">
        <f>Recu2!U46</f>
        <v>0.89999997615814209</v>
      </c>
      <c r="V46" s="32">
        <f t="shared" si="98"/>
        <v>0.89999997615814209</v>
      </c>
      <c r="W46" s="33">
        <f>Recu2!W46</f>
        <v>0</v>
      </c>
      <c r="X46" s="32">
        <f t="shared" si="99"/>
        <v>0</v>
      </c>
      <c r="Y46" s="33">
        <f>Recu2!Y46</f>
        <v>0.5</v>
      </c>
      <c r="Z46" s="32">
        <f t="shared" si="100"/>
        <v>0.5</v>
      </c>
      <c r="AA46" s="33">
        <f>Recu2!AA46</f>
        <v>0.80000001192092896</v>
      </c>
      <c r="AB46" s="32">
        <f t="shared" si="101"/>
        <v>0.80000001192092896</v>
      </c>
      <c r="AC46" s="33">
        <f>Recu2!AC46</f>
        <v>0.80000001192092896</v>
      </c>
      <c r="AD46" s="32">
        <f t="shared" si="102"/>
        <v>0.80000001192092896</v>
      </c>
      <c r="AE46" s="33">
        <f>Recu2!AE46</f>
        <v>0.89999997615814209</v>
      </c>
      <c r="AF46" s="32">
        <f t="shared" si="103"/>
        <v>0.89999997615814209</v>
      </c>
      <c r="AG46" s="33">
        <f>Recu2!AG46</f>
        <v>0.20000000298023224</v>
      </c>
      <c r="AH46" s="32">
        <f t="shared" si="104"/>
        <v>0.20000000298023224</v>
      </c>
      <c r="AI46" s="33">
        <f>Recu2!AI46</f>
        <v>0.5</v>
      </c>
      <c r="AJ46" s="32">
        <f t="shared" si="105"/>
        <v>0.5</v>
      </c>
      <c r="AK46" s="33">
        <f>Recu2!AK46</f>
        <v>0.89999997615814209</v>
      </c>
      <c r="AL46" s="32">
        <f t="shared" si="106"/>
        <v>0.89999997615814209</v>
      </c>
      <c r="AM46" s="33">
        <f>Recu2!AM46</f>
        <v>0.89999997615814209</v>
      </c>
      <c r="AN46" s="32">
        <f t="shared" si="107"/>
        <v>0.89999997615814209</v>
      </c>
      <c r="AO46" s="33">
        <f>Recu2!AO46</f>
        <v>0.40000000596046448</v>
      </c>
      <c r="AP46" s="32">
        <f t="shared" si="108"/>
        <v>0.40000000596046448</v>
      </c>
      <c r="AQ46" s="33">
        <f>Recu2!AQ46</f>
        <v>0.5</v>
      </c>
      <c r="AR46" s="32">
        <f t="shared" si="109"/>
        <v>0.5</v>
      </c>
      <c r="AS46" s="33">
        <f>Recu2!AS46</f>
        <v>0.30000001192092896</v>
      </c>
      <c r="AT46" s="32">
        <f t="shared" si="110"/>
        <v>0.30000001192092896</v>
      </c>
      <c r="AU46" s="33">
        <f>Recu2!AU46</f>
        <v>0.20000000298023224</v>
      </c>
      <c r="AV46" s="32">
        <f t="shared" si="111"/>
        <v>0.20000000298023224</v>
      </c>
      <c r="AW46" s="33">
        <f>Recu2!AW46</f>
        <v>0.80000001192092896</v>
      </c>
      <c r="AX46" s="32">
        <f t="shared" si="112"/>
        <v>0.80000001192092896</v>
      </c>
      <c r="AY46" s="33">
        <f>Recu2!AY46</f>
        <v>0.5</v>
      </c>
      <c r="AZ46" s="32">
        <f t="shared" si="113"/>
        <v>0.5</v>
      </c>
      <c r="BA46" s="33">
        <f>Recu2!BA46</f>
        <v>0.5</v>
      </c>
      <c r="BB46" s="32">
        <f t="shared" si="114"/>
        <v>0.5</v>
      </c>
      <c r="BC46" s="33">
        <f>Recu2!BC46</f>
        <v>0.60000002384185791</v>
      </c>
      <c r="BD46" s="32">
        <f t="shared" si="115"/>
        <v>0.60000002384185791</v>
      </c>
      <c r="BE46" s="33">
        <f>Recu2!BE46</f>
        <v>0</v>
      </c>
      <c r="BF46" s="32">
        <f t="shared" si="116"/>
        <v>0</v>
      </c>
      <c r="BG46" s="33">
        <f>Recu2!BG46</f>
        <v>0.69999998807907104</v>
      </c>
      <c r="BH46" s="32">
        <f t="shared" si="117"/>
        <v>0.69999998807907104</v>
      </c>
      <c r="BI46" s="33">
        <f>Recu2!BI46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Recu2!B47</f>
        <v>0</v>
      </c>
      <c r="C47" s="33">
        <f>Recu2!C47</f>
        <v>0</v>
      </c>
      <c r="D47" s="32">
        <f t="shared" si="89"/>
        <v>-1</v>
      </c>
      <c r="E47" s="33">
        <f>Recu2!E47</f>
        <v>0</v>
      </c>
      <c r="F47" s="32">
        <f t="shared" si="90"/>
        <v>-1</v>
      </c>
      <c r="G47" s="33">
        <f>Recu2!G47</f>
        <v>0</v>
      </c>
      <c r="H47" s="32">
        <f t="shared" si="91"/>
        <v>-1</v>
      </c>
      <c r="I47" s="33">
        <f>Recu2!I47</f>
        <v>0</v>
      </c>
      <c r="J47" s="32">
        <f t="shared" si="92"/>
        <v>-1</v>
      </c>
      <c r="K47" s="33">
        <f>Recu2!K47</f>
        <v>0</v>
      </c>
      <c r="L47" s="32">
        <f t="shared" si="93"/>
        <v>-1</v>
      </c>
      <c r="M47" s="33">
        <f>Recu2!M47</f>
        <v>0</v>
      </c>
      <c r="N47" s="32">
        <f t="shared" si="94"/>
        <v>-1</v>
      </c>
      <c r="O47" s="33">
        <f>Recu2!O47</f>
        <v>0</v>
      </c>
      <c r="P47" s="32">
        <f t="shared" si="95"/>
        <v>-1</v>
      </c>
      <c r="Q47" s="33">
        <f>Recu2!Q47</f>
        <v>0</v>
      </c>
      <c r="R47" s="32">
        <f t="shared" si="96"/>
        <v>-1</v>
      </c>
      <c r="S47" s="33">
        <f>Recu2!S47</f>
        <v>0</v>
      </c>
      <c r="T47" s="32">
        <f t="shared" si="97"/>
        <v>-1</v>
      </c>
      <c r="U47" s="33">
        <f>Recu2!U47</f>
        <v>0</v>
      </c>
      <c r="V47" s="32">
        <f t="shared" si="98"/>
        <v>-1</v>
      </c>
      <c r="W47" s="33">
        <f>Recu2!W47</f>
        <v>0</v>
      </c>
      <c r="X47" s="32">
        <f t="shared" si="99"/>
        <v>-1</v>
      </c>
      <c r="Y47" s="33">
        <f>Recu2!Y47</f>
        <v>0</v>
      </c>
      <c r="Z47" s="32">
        <f t="shared" si="100"/>
        <v>-1</v>
      </c>
      <c r="AA47" s="33">
        <f>Recu2!AA47</f>
        <v>0</v>
      </c>
      <c r="AB47" s="32">
        <f t="shared" si="101"/>
        <v>-1</v>
      </c>
      <c r="AC47" s="33">
        <f>Recu2!AC47</f>
        <v>0</v>
      </c>
      <c r="AD47" s="32">
        <f t="shared" si="102"/>
        <v>-1</v>
      </c>
      <c r="AE47" s="33">
        <f>Recu2!AE47</f>
        <v>0</v>
      </c>
      <c r="AF47" s="32">
        <f t="shared" si="103"/>
        <v>-1</v>
      </c>
      <c r="AG47" s="33">
        <f>Recu2!AG47</f>
        <v>0</v>
      </c>
      <c r="AH47" s="32">
        <f t="shared" si="104"/>
        <v>-1</v>
      </c>
      <c r="AI47" s="33">
        <f>Recu2!AI47</f>
        <v>0</v>
      </c>
      <c r="AJ47" s="32">
        <f t="shared" si="105"/>
        <v>-1</v>
      </c>
      <c r="AK47" s="33">
        <f>Recu2!AK47</f>
        <v>0</v>
      </c>
      <c r="AL47" s="32">
        <f t="shared" si="106"/>
        <v>-1</v>
      </c>
      <c r="AM47" s="33">
        <f>Recu2!AM47</f>
        <v>0</v>
      </c>
      <c r="AN47" s="32">
        <f t="shared" si="107"/>
        <v>-1</v>
      </c>
      <c r="AO47" s="33">
        <f>Recu2!AO47</f>
        <v>0</v>
      </c>
      <c r="AP47" s="32">
        <f t="shared" si="108"/>
        <v>-1</v>
      </c>
      <c r="AQ47" s="33">
        <f>Recu2!AQ47</f>
        <v>0</v>
      </c>
      <c r="AR47" s="32">
        <f t="shared" si="109"/>
        <v>-1</v>
      </c>
      <c r="AS47" s="33">
        <f>Recu2!AS47</f>
        <v>0</v>
      </c>
      <c r="AT47" s="32">
        <f t="shared" si="110"/>
        <v>-1</v>
      </c>
      <c r="AU47" s="33">
        <f>Recu2!AU47</f>
        <v>0</v>
      </c>
      <c r="AV47" s="32">
        <f t="shared" si="111"/>
        <v>-1</v>
      </c>
      <c r="AW47" s="33">
        <f>Recu2!AW47</f>
        <v>0</v>
      </c>
      <c r="AX47" s="32">
        <f t="shared" si="112"/>
        <v>-1</v>
      </c>
      <c r="AY47" s="33">
        <f>Recu2!AY47</f>
        <v>0</v>
      </c>
      <c r="AZ47" s="32">
        <f t="shared" si="113"/>
        <v>-1</v>
      </c>
      <c r="BA47" s="33">
        <f>Recu2!BA47</f>
        <v>0</v>
      </c>
      <c r="BB47" s="32">
        <f t="shared" si="114"/>
        <v>-1</v>
      </c>
      <c r="BC47" s="33">
        <f>Recu2!BC47</f>
        <v>0</v>
      </c>
      <c r="BD47" s="32">
        <f t="shared" si="115"/>
        <v>-1</v>
      </c>
      <c r="BE47" s="33">
        <f>Recu2!BE47</f>
        <v>0</v>
      </c>
      <c r="BF47" s="32">
        <f t="shared" si="116"/>
        <v>-1</v>
      </c>
      <c r="BG47" s="33">
        <f>Recu2!BG47</f>
        <v>0</v>
      </c>
      <c r="BH47" s="32">
        <f t="shared" si="117"/>
        <v>-1</v>
      </c>
      <c r="BI47" s="33">
        <f>Recu2!BI47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Recu2!B48</f>
        <v>0</v>
      </c>
      <c r="C48" s="33">
        <f>Recu2!C48</f>
        <v>0</v>
      </c>
      <c r="D48" s="32">
        <f t="shared" si="89"/>
        <v>-1</v>
      </c>
      <c r="E48" s="33">
        <f>Recu2!E48</f>
        <v>0</v>
      </c>
      <c r="F48" s="32">
        <f t="shared" si="90"/>
        <v>-1</v>
      </c>
      <c r="G48" s="33">
        <f>Recu2!G48</f>
        <v>0</v>
      </c>
      <c r="H48" s="32">
        <f t="shared" si="91"/>
        <v>-1</v>
      </c>
      <c r="I48" s="33">
        <f>Recu2!I48</f>
        <v>0</v>
      </c>
      <c r="J48" s="32">
        <f t="shared" si="92"/>
        <v>-1</v>
      </c>
      <c r="K48" s="33">
        <f>Recu2!K48</f>
        <v>0</v>
      </c>
      <c r="L48" s="32">
        <f t="shared" si="93"/>
        <v>-1</v>
      </c>
      <c r="M48" s="33">
        <f>Recu2!M48</f>
        <v>0</v>
      </c>
      <c r="N48" s="32">
        <f t="shared" si="94"/>
        <v>-1</v>
      </c>
      <c r="O48" s="33">
        <f>Recu2!O48</f>
        <v>0</v>
      </c>
      <c r="P48" s="32">
        <f t="shared" si="95"/>
        <v>-1</v>
      </c>
      <c r="Q48" s="33">
        <f>Recu2!Q48</f>
        <v>0</v>
      </c>
      <c r="R48" s="32">
        <f t="shared" si="96"/>
        <v>-1</v>
      </c>
      <c r="S48" s="33">
        <f>Recu2!S48</f>
        <v>0</v>
      </c>
      <c r="T48" s="32">
        <f t="shared" si="97"/>
        <v>-1</v>
      </c>
      <c r="U48" s="33">
        <f>Recu2!U48</f>
        <v>0</v>
      </c>
      <c r="V48" s="32">
        <f t="shared" si="98"/>
        <v>-1</v>
      </c>
      <c r="W48" s="33">
        <f>Recu2!W48</f>
        <v>0</v>
      </c>
      <c r="X48" s="32">
        <f t="shared" si="99"/>
        <v>-1</v>
      </c>
      <c r="Y48" s="33">
        <f>Recu2!Y48</f>
        <v>0</v>
      </c>
      <c r="Z48" s="32">
        <f t="shared" si="100"/>
        <v>-1</v>
      </c>
      <c r="AA48" s="33">
        <f>Recu2!AA48</f>
        <v>0</v>
      </c>
      <c r="AB48" s="32">
        <f t="shared" si="101"/>
        <v>-1</v>
      </c>
      <c r="AC48" s="33">
        <f>Recu2!AC48</f>
        <v>0</v>
      </c>
      <c r="AD48" s="32">
        <f t="shared" si="102"/>
        <v>-1</v>
      </c>
      <c r="AE48" s="33">
        <f>Recu2!AE48</f>
        <v>0</v>
      </c>
      <c r="AF48" s="32">
        <f t="shared" si="103"/>
        <v>-1</v>
      </c>
      <c r="AG48" s="33">
        <f>Recu2!AG48</f>
        <v>0</v>
      </c>
      <c r="AH48" s="32">
        <f t="shared" si="104"/>
        <v>-1</v>
      </c>
      <c r="AI48" s="33">
        <f>Recu2!AI48</f>
        <v>0</v>
      </c>
      <c r="AJ48" s="32">
        <f t="shared" si="105"/>
        <v>-1</v>
      </c>
      <c r="AK48" s="33">
        <f>Recu2!AK48</f>
        <v>0</v>
      </c>
      <c r="AL48" s="32">
        <f t="shared" si="106"/>
        <v>-1</v>
      </c>
      <c r="AM48" s="33">
        <f>Recu2!AM48</f>
        <v>0</v>
      </c>
      <c r="AN48" s="32">
        <f t="shared" si="107"/>
        <v>-1</v>
      </c>
      <c r="AO48" s="33">
        <f>Recu2!AO48</f>
        <v>0</v>
      </c>
      <c r="AP48" s="32">
        <f t="shared" si="108"/>
        <v>-1</v>
      </c>
      <c r="AQ48" s="33">
        <f>Recu2!AQ48</f>
        <v>0</v>
      </c>
      <c r="AR48" s="32">
        <f t="shared" si="109"/>
        <v>-1</v>
      </c>
      <c r="AS48" s="33">
        <f>Recu2!AS48</f>
        <v>0</v>
      </c>
      <c r="AT48" s="32">
        <f t="shared" si="110"/>
        <v>-1</v>
      </c>
      <c r="AU48" s="33">
        <f>Recu2!AU48</f>
        <v>0</v>
      </c>
      <c r="AV48" s="32">
        <f t="shared" si="111"/>
        <v>-1</v>
      </c>
      <c r="AW48" s="33">
        <f>Recu2!AW48</f>
        <v>0</v>
      </c>
      <c r="AX48" s="32">
        <f t="shared" si="112"/>
        <v>-1</v>
      </c>
      <c r="AY48" s="33">
        <f>Recu2!AY48</f>
        <v>0</v>
      </c>
      <c r="AZ48" s="32">
        <f t="shared" si="113"/>
        <v>-1</v>
      </c>
      <c r="BA48" s="33">
        <f>Recu2!BA48</f>
        <v>0</v>
      </c>
      <c r="BB48" s="32">
        <f t="shared" si="114"/>
        <v>-1</v>
      </c>
      <c r="BC48" s="33">
        <f>Recu2!BC48</f>
        <v>0</v>
      </c>
      <c r="BD48" s="32">
        <f t="shared" si="115"/>
        <v>-1</v>
      </c>
      <c r="BE48" s="33">
        <f>Recu2!BE48</f>
        <v>0</v>
      </c>
      <c r="BF48" s="32">
        <f t="shared" si="116"/>
        <v>-1</v>
      </c>
      <c r="BG48" s="33">
        <f>Recu2!BG48</f>
        <v>0</v>
      </c>
      <c r="BH48" s="32">
        <f t="shared" si="117"/>
        <v>-1</v>
      </c>
      <c r="BI48" s="33">
        <f>Recu2!BI48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Recu2!B49</f>
        <v>0</v>
      </c>
      <c r="C49" s="33">
        <f>Recu2!C49</f>
        <v>0</v>
      </c>
      <c r="D49" s="32">
        <f t="shared" si="89"/>
        <v>-1</v>
      </c>
      <c r="E49" s="33">
        <f>Recu2!E49</f>
        <v>0</v>
      </c>
      <c r="F49" s="32">
        <f t="shared" si="90"/>
        <v>-1</v>
      </c>
      <c r="G49" s="33">
        <f>Recu2!G49</f>
        <v>0</v>
      </c>
      <c r="H49" s="32">
        <f t="shared" si="91"/>
        <v>-1</v>
      </c>
      <c r="I49" s="33">
        <f>Recu2!I49</f>
        <v>0</v>
      </c>
      <c r="J49" s="32">
        <f t="shared" si="92"/>
        <v>-1</v>
      </c>
      <c r="K49" s="33">
        <f>Recu2!K49</f>
        <v>0</v>
      </c>
      <c r="L49" s="32">
        <f t="shared" si="93"/>
        <v>-1</v>
      </c>
      <c r="M49" s="33">
        <f>Recu2!M49</f>
        <v>0</v>
      </c>
      <c r="N49" s="32">
        <f t="shared" si="94"/>
        <v>-1</v>
      </c>
      <c r="O49" s="33">
        <f>Recu2!O49</f>
        <v>0</v>
      </c>
      <c r="P49" s="32">
        <f t="shared" si="95"/>
        <v>-1</v>
      </c>
      <c r="Q49" s="33">
        <f>Recu2!Q49</f>
        <v>0</v>
      </c>
      <c r="R49" s="32">
        <f t="shared" si="96"/>
        <v>-1</v>
      </c>
      <c r="S49" s="33">
        <f>Recu2!S49</f>
        <v>0</v>
      </c>
      <c r="T49" s="32">
        <f t="shared" si="97"/>
        <v>-1</v>
      </c>
      <c r="U49" s="33">
        <f>Recu2!U49</f>
        <v>0</v>
      </c>
      <c r="V49" s="32">
        <f t="shared" si="98"/>
        <v>-1</v>
      </c>
      <c r="W49" s="33">
        <f>Recu2!W49</f>
        <v>0</v>
      </c>
      <c r="X49" s="32">
        <f t="shared" si="99"/>
        <v>-1</v>
      </c>
      <c r="Y49" s="33">
        <f>Recu2!Y49</f>
        <v>0</v>
      </c>
      <c r="Z49" s="32">
        <f t="shared" si="100"/>
        <v>-1</v>
      </c>
      <c r="AA49" s="33">
        <f>Recu2!AA49</f>
        <v>0</v>
      </c>
      <c r="AB49" s="32">
        <f t="shared" si="101"/>
        <v>-1</v>
      </c>
      <c r="AC49" s="33">
        <f>Recu2!AC49</f>
        <v>0</v>
      </c>
      <c r="AD49" s="32">
        <f t="shared" si="102"/>
        <v>-1</v>
      </c>
      <c r="AE49" s="33">
        <f>Recu2!AE49</f>
        <v>0</v>
      </c>
      <c r="AF49" s="32">
        <f t="shared" si="103"/>
        <v>-1</v>
      </c>
      <c r="AG49" s="33">
        <f>Recu2!AG49</f>
        <v>0</v>
      </c>
      <c r="AH49" s="32">
        <f t="shared" si="104"/>
        <v>-1</v>
      </c>
      <c r="AI49" s="33">
        <f>Recu2!AI49</f>
        <v>0</v>
      </c>
      <c r="AJ49" s="32">
        <f t="shared" si="105"/>
        <v>-1</v>
      </c>
      <c r="AK49" s="33">
        <f>Recu2!AK49</f>
        <v>0</v>
      </c>
      <c r="AL49" s="32">
        <f t="shared" si="106"/>
        <v>-1</v>
      </c>
      <c r="AM49" s="33">
        <f>Recu2!AM49</f>
        <v>0</v>
      </c>
      <c r="AN49" s="32">
        <f t="shared" si="107"/>
        <v>-1</v>
      </c>
      <c r="AO49" s="33">
        <f>Recu2!AO49</f>
        <v>0</v>
      </c>
      <c r="AP49" s="32">
        <f t="shared" si="108"/>
        <v>-1</v>
      </c>
      <c r="AQ49" s="33">
        <f>Recu2!AQ49</f>
        <v>0</v>
      </c>
      <c r="AR49" s="32">
        <f t="shared" si="109"/>
        <v>-1</v>
      </c>
      <c r="AS49" s="33">
        <f>Recu2!AS49</f>
        <v>0</v>
      </c>
      <c r="AT49" s="32">
        <f t="shared" si="110"/>
        <v>-1</v>
      </c>
      <c r="AU49" s="33">
        <f>Recu2!AU49</f>
        <v>0</v>
      </c>
      <c r="AV49" s="32">
        <f t="shared" si="111"/>
        <v>-1</v>
      </c>
      <c r="AW49" s="33">
        <f>Recu2!AW49</f>
        <v>0</v>
      </c>
      <c r="AX49" s="32">
        <f t="shared" si="112"/>
        <v>-1</v>
      </c>
      <c r="AY49" s="33">
        <f>Recu2!AY49</f>
        <v>0</v>
      </c>
      <c r="AZ49" s="32">
        <f t="shared" si="113"/>
        <v>-1</v>
      </c>
      <c r="BA49" s="33">
        <f>Recu2!BA49</f>
        <v>0</v>
      </c>
      <c r="BB49" s="32">
        <f t="shared" si="114"/>
        <v>-1</v>
      </c>
      <c r="BC49" s="33">
        <f>Recu2!BC49</f>
        <v>0</v>
      </c>
      <c r="BD49" s="32">
        <f t="shared" si="115"/>
        <v>-1</v>
      </c>
      <c r="BE49" s="33">
        <f>Recu2!BE49</f>
        <v>0</v>
      </c>
      <c r="BF49" s="32">
        <f t="shared" si="116"/>
        <v>-1</v>
      </c>
      <c r="BG49" s="33">
        <f>Recu2!BG49</f>
        <v>0</v>
      </c>
      <c r="BH49" s="32">
        <f t="shared" si="117"/>
        <v>-1</v>
      </c>
      <c r="BI49" s="33">
        <f>Recu2!BI49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Recu2!B50</f>
        <v>0</v>
      </c>
      <c r="C50" s="33">
        <f>Recu2!C50</f>
        <v>0</v>
      </c>
      <c r="D50" s="32">
        <f t="shared" si="89"/>
        <v>-1</v>
      </c>
      <c r="E50" s="33">
        <f>Recu2!E50</f>
        <v>0</v>
      </c>
      <c r="F50" s="32">
        <f t="shared" si="90"/>
        <v>-1</v>
      </c>
      <c r="G50" s="33">
        <f>Recu2!G50</f>
        <v>0</v>
      </c>
      <c r="H50" s="32">
        <f t="shared" si="91"/>
        <v>-1</v>
      </c>
      <c r="I50" s="33">
        <f>Recu2!I50</f>
        <v>0</v>
      </c>
      <c r="J50" s="32">
        <f t="shared" si="92"/>
        <v>-1</v>
      </c>
      <c r="K50" s="33">
        <f>Recu2!K50</f>
        <v>0</v>
      </c>
      <c r="L50" s="32">
        <f t="shared" si="93"/>
        <v>-1</v>
      </c>
      <c r="M50" s="33">
        <f>Recu2!M50</f>
        <v>0</v>
      </c>
      <c r="N50" s="32">
        <f t="shared" si="94"/>
        <v>-1</v>
      </c>
      <c r="O50" s="33">
        <f>Recu2!O50</f>
        <v>0</v>
      </c>
      <c r="P50" s="32">
        <f t="shared" si="95"/>
        <v>-1</v>
      </c>
      <c r="Q50" s="33">
        <f>Recu2!Q50</f>
        <v>0</v>
      </c>
      <c r="R50" s="32">
        <f t="shared" si="96"/>
        <v>-1</v>
      </c>
      <c r="S50" s="33">
        <f>Recu2!S50</f>
        <v>0</v>
      </c>
      <c r="T50" s="32">
        <f t="shared" si="97"/>
        <v>-1</v>
      </c>
      <c r="U50" s="33">
        <f>Recu2!U50</f>
        <v>0</v>
      </c>
      <c r="V50" s="32">
        <f t="shared" si="98"/>
        <v>-1</v>
      </c>
      <c r="W50" s="33">
        <f>Recu2!W50</f>
        <v>0</v>
      </c>
      <c r="X50" s="32">
        <f t="shared" si="99"/>
        <v>-1</v>
      </c>
      <c r="Y50" s="33">
        <f>Recu2!Y50</f>
        <v>0</v>
      </c>
      <c r="Z50" s="32">
        <f t="shared" si="100"/>
        <v>-1</v>
      </c>
      <c r="AA50" s="33">
        <f>Recu2!AA50</f>
        <v>0</v>
      </c>
      <c r="AB50" s="32">
        <f t="shared" si="101"/>
        <v>-1</v>
      </c>
      <c r="AC50" s="33">
        <f>Recu2!AC50</f>
        <v>0</v>
      </c>
      <c r="AD50" s="32">
        <f t="shared" si="102"/>
        <v>-1</v>
      </c>
      <c r="AE50" s="33">
        <f>Recu2!AE50</f>
        <v>0</v>
      </c>
      <c r="AF50" s="32">
        <f t="shared" si="103"/>
        <v>-1</v>
      </c>
      <c r="AG50" s="33">
        <f>Recu2!AG50</f>
        <v>0</v>
      </c>
      <c r="AH50" s="32">
        <f t="shared" si="104"/>
        <v>-1</v>
      </c>
      <c r="AI50" s="33">
        <f>Recu2!AI50</f>
        <v>0</v>
      </c>
      <c r="AJ50" s="32">
        <f t="shared" si="105"/>
        <v>-1</v>
      </c>
      <c r="AK50" s="33">
        <f>Recu2!AK50</f>
        <v>0</v>
      </c>
      <c r="AL50" s="32">
        <f t="shared" si="106"/>
        <v>-1</v>
      </c>
      <c r="AM50" s="33">
        <f>Recu2!AM50</f>
        <v>0</v>
      </c>
      <c r="AN50" s="32">
        <f t="shared" si="107"/>
        <v>-1</v>
      </c>
      <c r="AO50" s="33">
        <f>Recu2!AO50</f>
        <v>0</v>
      </c>
      <c r="AP50" s="32">
        <f t="shared" si="108"/>
        <v>-1</v>
      </c>
      <c r="AQ50" s="33">
        <f>Recu2!AQ50</f>
        <v>0</v>
      </c>
      <c r="AR50" s="32">
        <f t="shared" si="109"/>
        <v>-1</v>
      </c>
      <c r="AS50" s="33">
        <f>Recu2!AS50</f>
        <v>0</v>
      </c>
      <c r="AT50" s="32">
        <f t="shared" si="110"/>
        <v>-1</v>
      </c>
      <c r="AU50" s="33">
        <f>Recu2!AU50</f>
        <v>0</v>
      </c>
      <c r="AV50" s="32">
        <f t="shared" si="111"/>
        <v>-1</v>
      </c>
      <c r="AW50" s="33">
        <f>Recu2!AW50</f>
        <v>0</v>
      </c>
      <c r="AX50" s="32">
        <f t="shared" si="112"/>
        <v>-1</v>
      </c>
      <c r="AY50" s="33">
        <f>Recu2!AY50</f>
        <v>0</v>
      </c>
      <c r="AZ50" s="32">
        <f t="shared" si="113"/>
        <v>-1</v>
      </c>
      <c r="BA50" s="33">
        <f>Recu2!BA50</f>
        <v>0</v>
      </c>
      <c r="BB50" s="32">
        <f t="shared" si="114"/>
        <v>-1</v>
      </c>
      <c r="BC50" s="33">
        <f>Recu2!BC50</f>
        <v>0</v>
      </c>
      <c r="BD50" s="32">
        <f t="shared" si="115"/>
        <v>-1</v>
      </c>
      <c r="BE50" s="33">
        <f>Recu2!BE50</f>
        <v>0</v>
      </c>
      <c r="BF50" s="32">
        <f t="shared" si="116"/>
        <v>-1</v>
      </c>
      <c r="BG50" s="33">
        <f>Recu2!BG50</f>
        <v>0</v>
      </c>
      <c r="BH50" s="32">
        <f t="shared" si="117"/>
        <v>-1</v>
      </c>
      <c r="BI50" s="33">
        <f>Recu2!BI50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Recu2!B51</f>
        <v>0</v>
      </c>
      <c r="C51" s="33">
        <f>Recu2!C51</f>
        <v>0</v>
      </c>
      <c r="D51" s="32">
        <f t="shared" si="89"/>
        <v>-1</v>
      </c>
      <c r="E51" s="33">
        <f>Recu2!E51</f>
        <v>0</v>
      </c>
      <c r="F51" s="32">
        <f t="shared" si="90"/>
        <v>-1</v>
      </c>
      <c r="G51" s="33">
        <f>Recu2!G51</f>
        <v>0</v>
      </c>
      <c r="H51" s="32">
        <f t="shared" si="91"/>
        <v>-1</v>
      </c>
      <c r="I51" s="33">
        <f>Recu2!I51</f>
        <v>0</v>
      </c>
      <c r="J51" s="32">
        <f t="shared" si="92"/>
        <v>-1</v>
      </c>
      <c r="K51" s="33">
        <f>Recu2!K51</f>
        <v>0</v>
      </c>
      <c r="L51" s="32">
        <f t="shared" si="93"/>
        <v>-1</v>
      </c>
      <c r="M51" s="33">
        <f>Recu2!M51</f>
        <v>0</v>
      </c>
      <c r="N51" s="32">
        <f t="shared" si="94"/>
        <v>-1</v>
      </c>
      <c r="O51" s="33">
        <f>Recu2!O51</f>
        <v>0</v>
      </c>
      <c r="P51" s="32">
        <f t="shared" si="95"/>
        <v>-1</v>
      </c>
      <c r="Q51" s="33">
        <f>Recu2!Q51</f>
        <v>0</v>
      </c>
      <c r="R51" s="32">
        <f t="shared" si="96"/>
        <v>-1</v>
      </c>
      <c r="S51" s="33">
        <f>Recu2!S51</f>
        <v>0</v>
      </c>
      <c r="T51" s="32">
        <f t="shared" si="97"/>
        <v>-1</v>
      </c>
      <c r="U51" s="33">
        <f>Recu2!U51</f>
        <v>0</v>
      </c>
      <c r="V51" s="32">
        <f t="shared" si="98"/>
        <v>-1</v>
      </c>
      <c r="W51" s="33">
        <f>Recu2!W51</f>
        <v>0</v>
      </c>
      <c r="X51" s="32">
        <f t="shared" si="99"/>
        <v>-1</v>
      </c>
      <c r="Y51" s="33">
        <f>Recu2!Y51</f>
        <v>0</v>
      </c>
      <c r="Z51" s="32">
        <f t="shared" si="100"/>
        <v>-1</v>
      </c>
      <c r="AA51" s="33">
        <f>Recu2!AA51</f>
        <v>0</v>
      </c>
      <c r="AB51" s="32">
        <f t="shared" si="101"/>
        <v>-1</v>
      </c>
      <c r="AC51" s="33">
        <f>Recu2!AC51</f>
        <v>0</v>
      </c>
      <c r="AD51" s="32">
        <f t="shared" si="102"/>
        <v>-1</v>
      </c>
      <c r="AE51" s="33">
        <f>Recu2!AE51</f>
        <v>0</v>
      </c>
      <c r="AF51" s="32">
        <f t="shared" si="103"/>
        <v>-1</v>
      </c>
      <c r="AG51" s="33">
        <f>Recu2!AG51</f>
        <v>0</v>
      </c>
      <c r="AH51" s="32">
        <f t="shared" si="104"/>
        <v>-1</v>
      </c>
      <c r="AI51" s="33">
        <f>Recu2!AI51</f>
        <v>0</v>
      </c>
      <c r="AJ51" s="32">
        <f t="shared" si="105"/>
        <v>-1</v>
      </c>
      <c r="AK51" s="33">
        <f>Recu2!AK51</f>
        <v>0</v>
      </c>
      <c r="AL51" s="32">
        <f t="shared" si="106"/>
        <v>-1</v>
      </c>
      <c r="AM51" s="33">
        <f>Recu2!AM51</f>
        <v>0</v>
      </c>
      <c r="AN51" s="32">
        <f t="shared" si="107"/>
        <v>-1</v>
      </c>
      <c r="AO51" s="33">
        <f>Recu2!AO51</f>
        <v>0</v>
      </c>
      <c r="AP51" s="32">
        <f t="shared" si="108"/>
        <v>-1</v>
      </c>
      <c r="AQ51" s="33">
        <f>Recu2!AQ51</f>
        <v>0</v>
      </c>
      <c r="AR51" s="32">
        <f t="shared" si="109"/>
        <v>-1</v>
      </c>
      <c r="AS51" s="33">
        <f>Recu2!AS51</f>
        <v>0</v>
      </c>
      <c r="AT51" s="32">
        <f t="shared" si="110"/>
        <v>-1</v>
      </c>
      <c r="AU51" s="33">
        <f>Recu2!AU51</f>
        <v>0</v>
      </c>
      <c r="AV51" s="32">
        <f t="shared" si="111"/>
        <v>-1</v>
      </c>
      <c r="AW51" s="33">
        <f>Recu2!AW51</f>
        <v>0</v>
      </c>
      <c r="AX51" s="32">
        <f t="shared" si="112"/>
        <v>-1</v>
      </c>
      <c r="AY51" s="33">
        <f>Recu2!AY51</f>
        <v>0</v>
      </c>
      <c r="AZ51" s="32">
        <f t="shared" si="113"/>
        <v>-1</v>
      </c>
      <c r="BA51" s="33">
        <f>Recu2!BA51</f>
        <v>0</v>
      </c>
      <c r="BB51" s="32">
        <f t="shared" si="114"/>
        <v>-1</v>
      </c>
      <c r="BC51" s="33">
        <f>Recu2!BC51</f>
        <v>0</v>
      </c>
      <c r="BD51" s="32">
        <f t="shared" si="115"/>
        <v>-1</v>
      </c>
      <c r="BE51" s="33">
        <f>Recu2!BE51</f>
        <v>0</v>
      </c>
      <c r="BF51" s="32">
        <f t="shared" si="116"/>
        <v>-1</v>
      </c>
      <c r="BG51" s="33">
        <f>Recu2!BG51</f>
        <v>0</v>
      </c>
      <c r="BH51" s="32">
        <f t="shared" si="117"/>
        <v>-1</v>
      </c>
      <c r="BI51" s="33">
        <f>Recu2!BI51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Recu2!B52</f>
        <v>0</v>
      </c>
      <c r="C52" s="33">
        <f>Recu2!C52</f>
        <v>0</v>
      </c>
      <c r="D52" s="32">
        <f t="shared" si="89"/>
        <v>-1</v>
      </c>
      <c r="E52" s="33">
        <f>Recu2!E52</f>
        <v>0</v>
      </c>
      <c r="F52" s="32">
        <f t="shared" si="90"/>
        <v>-1</v>
      </c>
      <c r="G52" s="33">
        <f>Recu2!G52</f>
        <v>0</v>
      </c>
      <c r="H52" s="32">
        <f t="shared" si="91"/>
        <v>-1</v>
      </c>
      <c r="I52" s="33">
        <f>Recu2!I52</f>
        <v>0</v>
      </c>
      <c r="J52" s="32">
        <f t="shared" si="92"/>
        <v>-1</v>
      </c>
      <c r="K52" s="33">
        <f>Recu2!K52</f>
        <v>0</v>
      </c>
      <c r="L52" s="32">
        <f t="shared" si="93"/>
        <v>-1</v>
      </c>
      <c r="M52" s="33">
        <f>Recu2!M52</f>
        <v>0</v>
      </c>
      <c r="N52" s="32">
        <f t="shared" si="94"/>
        <v>-1</v>
      </c>
      <c r="O52" s="33">
        <f>Recu2!O52</f>
        <v>0</v>
      </c>
      <c r="P52" s="32">
        <f t="shared" si="95"/>
        <v>-1</v>
      </c>
      <c r="Q52" s="33">
        <f>Recu2!Q52</f>
        <v>0</v>
      </c>
      <c r="R52" s="32">
        <f t="shared" si="96"/>
        <v>-1</v>
      </c>
      <c r="S52" s="33">
        <f>Recu2!S52</f>
        <v>0</v>
      </c>
      <c r="T52" s="32">
        <f t="shared" si="97"/>
        <v>-1</v>
      </c>
      <c r="U52" s="33">
        <f>Recu2!U52</f>
        <v>0</v>
      </c>
      <c r="V52" s="32">
        <f t="shared" si="98"/>
        <v>-1</v>
      </c>
      <c r="W52" s="33">
        <f>Recu2!W52</f>
        <v>0</v>
      </c>
      <c r="X52" s="32">
        <f t="shared" si="99"/>
        <v>-1</v>
      </c>
      <c r="Y52" s="33">
        <f>Recu2!Y52</f>
        <v>0</v>
      </c>
      <c r="Z52" s="32">
        <f t="shared" si="100"/>
        <v>-1</v>
      </c>
      <c r="AA52" s="33">
        <f>Recu2!AA52</f>
        <v>0</v>
      </c>
      <c r="AB52" s="32">
        <f t="shared" si="101"/>
        <v>-1</v>
      </c>
      <c r="AC52" s="33">
        <f>Recu2!AC52</f>
        <v>0</v>
      </c>
      <c r="AD52" s="32">
        <f t="shared" si="102"/>
        <v>-1</v>
      </c>
      <c r="AE52" s="33">
        <f>Recu2!AE52</f>
        <v>0</v>
      </c>
      <c r="AF52" s="32">
        <f t="shared" si="103"/>
        <v>-1</v>
      </c>
      <c r="AG52" s="33">
        <f>Recu2!AG52</f>
        <v>0</v>
      </c>
      <c r="AH52" s="32">
        <f t="shared" si="104"/>
        <v>-1</v>
      </c>
      <c r="AI52" s="33">
        <f>Recu2!AI52</f>
        <v>0</v>
      </c>
      <c r="AJ52" s="32">
        <f t="shared" si="105"/>
        <v>-1</v>
      </c>
      <c r="AK52" s="33">
        <f>Recu2!AK52</f>
        <v>0</v>
      </c>
      <c r="AL52" s="32">
        <f t="shared" si="106"/>
        <v>-1</v>
      </c>
      <c r="AM52" s="33">
        <f>Recu2!AM52</f>
        <v>0</v>
      </c>
      <c r="AN52" s="32">
        <f t="shared" si="107"/>
        <v>-1</v>
      </c>
      <c r="AO52" s="33">
        <f>Recu2!AO52</f>
        <v>0</v>
      </c>
      <c r="AP52" s="32">
        <f t="shared" si="108"/>
        <v>-1</v>
      </c>
      <c r="AQ52" s="33">
        <f>Recu2!AQ52</f>
        <v>0</v>
      </c>
      <c r="AR52" s="32">
        <f t="shared" si="109"/>
        <v>-1</v>
      </c>
      <c r="AS52" s="33">
        <f>Recu2!AS52</f>
        <v>0</v>
      </c>
      <c r="AT52" s="32">
        <f t="shared" si="110"/>
        <v>-1</v>
      </c>
      <c r="AU52" s="33">
        <f>Recu2!AU52</f>
        <v>0</v>
      </c>
      <c r="AV52" s="32">
        <f t="shared" si="111"/>
        <v>-1</v>
      </c>
      <c r="AW52" s="33">
        <f>Recu2!AW52</f>
        <v>0</v>
      </c>
      <c r="AX52" s="32">
        <f t="shared" si="112"/>
        <v>-1</v>
      </c>
      <c r="AY52" s="33">
        <f>Recu2!AY52</f>
        <v>0</v>
      </c>
      <c r="AZ52" s="32">
        <f t="shared" si="113"/>
        <v>-1</v>
      </c>
      <c r="BA52" s="33">
        <f>Recu2!BA52</f>
        <v>0</v>
      </c>
      <c r="BB52" s="32">
        <f t="shared" si="114"/>
        <v>-1</v>
      </c>
      <c r="BC52" s="33">
        <f>Recu2!BC52</f>
        <v>0</v>
      </c>
      <c r="BD52" s="32">
        <f t="shared" si="115"/>
        <v>-1</v>
      </c>
      <c r="BE52" s="33">
        <f>Recu2!BE52</f>
        <v>0</v>
      </c>
      <c r="BF52" s="32">
        <f t="shared" si="116"/>
        <v>-1</v>
      </c>
      <c r="BG52" s="33">
        <f>Recu2!BG52</f>
        <v>0</v>
      </c>
      <c r="BH52" s="32">
        <f t="shared" si="117"/>
        <v>-1</v>
      </c>
      <c r="BI52" s="33">
        <f>Recu2!BI52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Recu2!B53</f>
        <v>0</v>
      </c>
      <c r="C53" s="33">
        <f>Recu2!C53</f>
        <v>0</v>
      </c>
      <c r="D53" s="32">
        <f t="shared" si="89"/>
        <v>-1</v>
      </c>
      <c r="E53" s="33">
        <f>Recu2!E53</f>
        <v>0</v>
      </c>
      <c r="F53" s="32">
        <f t="shared" si="90"/>
        <v>-1</v>
      </c>
      <c r="G53" s="33">
        <f>Recu2!G53</f>
        <v>0</v>
      </c>
      <c r="H53" s="32">
        <f t="shared" si="91"/>
        <v>-1</v>
      </c>
      <c r="I53" s="33">
        <f>Recu2!I53</f>
        <v>0</v>
      </c>
      <c r="J53" s="32">
        <f t="shared" si="92"/>
        <v>-1</v>
      </c>
      <c r="K53" s="33">
        <f>Recu2!K53</f>
        <v>0</v>
      </c>
      <c r="L53" s="32">
        <f t="shared" si="93"/>
        <v>-1</v>
      </c>
      <c r="M53" s="33">
        <f>Recu2!M53</f>
        <v>0</v>
      </c>
      <c r="N53" s="32">
        <f t="shared" si="94"/>
        <v>-1</v>
      </c>
      <c r="O53" s="33">
        <f>Recu2!O53</f>
        <v>0</v>
      </c>
      <c r="P53" s="32">
        <f t="shared" si="95"/>
        <v>-1</v>
      </c>
      <c r="Q53" s="33">
        <f>Recu2!Q53</f>
        <v>0</v>
      </c>
      <c r="R53" s="32">
        <f t="shared" si="96"/>
        <v>-1</v>
      </c>
      <c r="S53" s="33">
        <f>Recu2!S53</f>
        <v>0</v>
      </c>
      <c r="T53" s="32">
        <f t="shared" si="97"/>
        <v>-1</v>
      </c>
      <c r="U53" s="33">
        <f>Recu2!U53</f>
        <v>0</v>
      </c>
      <c r="V53" s="32">
        <f t="shared" si="98"/>
        <v>-1</v>
      </c>
      <c r="W53" s="33">
        <f>Recu2!W53</f>
        <v>0</v>
      </c>
      <c r="X53" s="32">
        <f t="shared" si="99"/>
        <v>-1</v>
      </c>
      <c r="Y53" s="33">
        <f>Recu2!Y53</f>
        <v>0</v>
      </c>
      <c r="Z53" s="32">
        <f t="shared" si="100"/>
        <v>-1</v>
      </c>
      <c r="AA53" s="33">
        <f>Recu2!AA53</f>
        <v>0</v>
      </c>
      <c r="AB53" s="32">
        <f t="shared" si="101"/>
        <v>-1</v>
      </c>
      <c r="AC53" s="33">
        <f>Recu2!AC53</f>
        <v>0</v>
      </c>
      <c r="AD53" s="32">
        <f t="shared" si="102"/>
        <v>-1</v>
      </c>
      <c r="AE53" s="33">
        <f>Recu2!AE53</f>
        <v>0</v>
      </c>
      <c r="AF53" s="32">
        <f t="shared" si="103"/>
        <v>-1</v>
      </c>
      <c r="AG53" s="33">
        <f>Recu2!AG53</f>
        <v>0</v>
      </c>
      <c r="AH53" s="32">
        <f t="shared" si="104"/>
        <v>-1</v>
      </c>
      <c r="AI53" s="33">
        <f>Recu2!AI53</f>
        <v>0</v>
      </c>
      <c r="AJ53" s="32">
        <f t="shared" si="105"/>
        <v>-1</v>
      </c>
      <c r="AK53" s="33">
        <f>Recu2!AK53</f>
        <v>0</v>
      </c>
      <c r="AL53" s="32">
        <f t="shared" si="106"/>
        <v>-1</v>
      </c>
      <c r="AM53" s="33">
        <f>Recu2!AM53</f>
        <v>0</v>
      </c>
      <c r="AN53" s="32">
        <f t="shared" si="107"/>
        <v>-1</v>
      </c>
      <c r="AO53" s="33">
        <f>Recu2!AO53</f>
        <v>0</v>
      </c>
      <c r="AP53" s="32">
        <f t="shared" si="108"/>
        <v>-1</v>
      </c>
      <c r="AQ53" s="33">
        <f>Recu2!AQ53</f>
        <v>0</v>
      </c>
      <c r="AR53" s="32">
        <f t="shared" si="109"/>
        <v>-1</v>
      </c>
      <c r="AS53" s="33">
        <f>Recu2!AS53</f>
        <v>0</v>
      </c>
      <c r="AT53" s="32">
        <f t="shared" si="110"/>
        <v>-1</v>
      </c>
      <c r="AU53" s="33">
        <f>Recu2!AU53</f>
        <v>0</v>
      </c>
      <c r="AV53" s="32">
        <f t="shared" si="111"/>
        <v>-1</v>
      </c>
      <c r="AW53" s="33">
        <f>Recu2!AW53</f>
        <v>0</v>
      </c>
      <c r="AX53" s="32">
        <f t="shared" si="112"/>
        <v>-1</v>
      </c>
      <c r="AY53" s="33">
        <f>Recu2!AY53</f>
        <v>0</v>
      </c>
      <c r="AZ53" s="32">
        <f t="shared" si="113"/>
        <v>-1</v>
      </c>
      <c r="BA53" s="33">
        <f>Recu2!BA53</f>
        <v>0</v>
      </c>
      <c r="BB53" s="32">
        <f t="shared" si="114"/>
        <v>-1</v>
      </c>
      <c r="BC53" s="33">
        <f>Recu2!BC53</f>
        <v>0</v>
      </c>
      <c r="BD53" s="32">
        <f t="shared" si="115"/>
        <v>-1</v>
      </c>
      <c r="BE53" s="33">
        <f>Recu2!BE53</f>
        <v>0</v>
      </c>
      <c r="BF53" s="32">
        <f t="shared" si="116"/>
        <v>-1</v>
      </c>
      <c r="BG53" s="33">
        <f>Recu2!BG53</f>
        <v>0</v>
      </c>
      <c r="BH53" s="32">
        <f t="shared" si="117"/>
        <v>-1</v>
      </c>
      <c r="BI53" s="33">
        <f>Recu2!BI53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Recu2!B54</f>
        <v>0</v>
      </c>
      <c r="C54" s="33">
        <f>Recu2!C54</f>
        <v>0</v>
      </c>
      <c r="D54" s="32">
        <f t="shared" si="89"/>
        <v>-1</v>
      </c>
      <c r="E54" s="33">
        <f>Recu2!E54</f>
        <v>0</v>
      </c>
      <c r="F54" s="32">
        <f t="shared" si="90"/>
        <v>-1</v>
      </c>
      <c r="G54" s="33">
        <f>Recu2!G54</f>
        <v>0</v>
      </c>
      <c r="H54" s="32">
        <f t="shared" si="91"/>
        <v>-1</v>
      </c>
      <c r="I54" s="33">
        <f>Recu2!I54</f>
        <v>0</v>
      </c>
      <c r="J54" s="32">
        <f t="shared" si="92"/>
        <v>-1</v>
      </c>
      <c r="K54" s="33">
        <f>Recu2!K54</f>
        <v>0</v>
      </c>
      <c r="L54" s="32">
        <f t="shared" si="93"/>
        <v>-1</v>
      </c>
      <c r="M54" s="33">
        <f>Recu2!M54</f>
        <v>0</v>
      </c>
      <c r="N54" s="32">
        <f t="shared" si="94"/>
        <v>-1</v>
      </c>
      <c r="O54" s="33">
        <f>Recu2!O54</f>
        <v>0</v>
      </c>
      <c r="P54" s="32">
        <f t="shared" si="95"/>
        <v>-1</v>
      </c>
      <c r="Q54" s="33">
        <f>Recu2!Q54</f>
        <v>0</v>
      </c>
      <c r="R54" s="32">
        <f t="shared" si="96"/>
        <v>-1</v>
      </c>
      <c r="S54" s="33">
        <f>Recu2!S54</f>
        <v>0</v>
      </c>
      <c r="T54" s="32">
        <f t="shared" si="97"/>
        <v>-1</v>
      </c>
      <c r="U54" s="33">
        <f>Recu2!U54</f>
        <v>0</v>
      </c>
      <c r="V54" s="32">
        <f t="shared" si="98"/>
        <v>-1</v>
      </c>
      <c r="W54" s="33">
        <f>Recu2!W54</f>
        <v>0</v>
      </c>
      <c r="X54" s="32">
        <f t="shared" si="99"/>
        <v>-1</v>
      </c>
      <c r="Y54" s="33">
        <f>Recu2!Y54</f>
        <v>0</v>
      </c>
      <c r="Z54" s="32">
        <f t="shared" si="100"/>
        <v>-1</v>
      </c>
      <c r="AA54" s="33">
        <f>Recu2!AA54</f>
        <v>0</v>
      </c>
      <c r="AB54" s="32">
        <f t="shared" si="101"/>
        <v>-1</v>
      </c>
      <c r="AC54" s="33">
        <f>Recu2!AC54</f>
        <v>0</v>
      </c>
      <c r="AD54" s="32">
        <f t="shared" si="102"/>
        <v>-1</v>
      </c>
      <c r="AE54" s="33">
        <f>Recu2!AE54</f>
        <v>0</v>
      </c>
      <c r="AF54" s="32">
        <f t="shared" si="103"/>
        <v>-1</v>
      </c>
      <c r="AG54" s="33">
        <f>Recu2!AG54</f>
        <v>0</v>
      </c>
      <c r="AH54" s="32">
        <f t="shared" si="104"/>
        <v>-1</v>
      </c>
      <c r="AI54" s="33">
        <f>Recu2!AI54</f>
        <v>0</v>
      </c>
      <c r="AJ54" s="32">
        <f t="shared" si="105"/>
        <v>-1</v>
      </c>
      <c r="AK54" s="33">
        <f>Recu2!AK54</f>
        <v>0</v>
      </c>
      <c r="AL54" s="32">
        <f t="shared" si="106"/>
        <v>-1</v>
      </c>
      <c r="AM54" s="33">
        <f>Recu2!AM54</f>
        <v>0</v>
      </c>
      <c r="AN54" s="32">
        <f t="shared" si="107"/>
        <v>-1</v>
      </c>
      <c r="AO54" s="33">
        <f>Recu2!AO54</f>
        <v>0</v>
      </c>
      <c r="AP54" s="32">
        <f t="shared" si="108"/>
        <v>-1</v>
      </c>
      <c r="AQ54" s="33">
        <f>Recu2!AQ54</f>
        <v>0</v>
      </c>
      <c r="AR54" s="32">
        <f t="shared" si="109"/>
        <v>-1</v>
      </c>
      <c r="AS54" s="33">
        <f>Recu2!AS54</f>
        <v>0</v>
      </c>
      <c r="AT54" s="32">
        <f t="shared" si="110"/>
        <v>-1</v>
      </c>
      <c r="AU54" s="33">
        <f>Recu2!AU54</f>
        <v>0</v>
      </c>
      <c r="AV54" s="32">
        <f t="shared" si="111"/>
        <v>-1</v>
      </c>
      <c r="AW54" s="33">
        <f>Recu2!AW54</f>
        <v>0</v>
      </c>
      <c r="AX54" s="32">
        <f t="shared" si="112"/>
        <v>-1</v>
      </c>
      <c r="AY54" s="33">
        <f>Recu2!AY54</f>
        <v>0</v>
      </c>
      <c r="AZ54" s="32">
        <f t="shared" si="113"/>
        <v>-1</v>
      </c>
      <c r="BA54" s="33">
        <f>Recu2!BA54</f>
        <v>0</v>
      </c>
      <c r="BB54" s="32">
        <f t="shared" si="114"/>
        <v>-1</v>
      </c>
      <c r="BC54" s="33">
        <f>Recu2!BC54</f>
        <v>0</v>
      </c>
      <c r="BD54" s="32">
        <f t="shared" si="115"/>
        <v>-1</v>
      </c>
      <c r="BE54" s="33">
        <f>Recu2!BE54</f>
        <v>0</v>
      </c>
      <c r="BF54" s="32">
        <f t="shared" si="116"/>
        <v>-1</v>
      </c>
      <c r="BG54" s="33">
        <f>Recu2!BG54</f>
        <v>0</v>
      </c>
      <c r="BH54" s="32">
        <f t="shared" si="117"/>
        <v>-1</v>
      </c>
      <c r="BI54" s="33">
        <f>Recu2!BI54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Recu2!B55</f>
        <v>0</v>
      </c>
      <c r="C55" s="33">
        <f>Recu2!C55</f>
        <v>0</v>
      </c>
      <c r="D55" s="32">
        <f t="shared" si="89"/>
        <v>-1</v>
      </c>
      <c r="E55" s="33">
        <f>Recu2!E55</f>
        <v>0</v>
      </c>
      <c r="F55" s="32">
        <f t="shared" si="90"/>
        <v>-1</v>
      </c>
      <c r="G55" s="33">
        <f>Recu2!G55</f>
        <v>0</v>
      </c>
      <c r="H55" s="32">
        <f t="shared" si="91"/>
        <v>-1</v>
      </c>
      <c r="I55" s="33">
        <f>Recu2!I55</f>
        <v>0</v>
      </c>
      <c r="J55" s="32">
        <f t="shared" si="92"/>
        <v>-1</v>
      </c>
      <c r="K55" s="33">
        <f>Recu2!K55</f>
        <v>0</v>
      </c>
      <c r="L55" s="32">
        <f t="shared" si="93"/>
        <v>-1</v>
      </c>
      <c r="M55" s="33">
        <f>Recu2!M55</f>
        <v>0</v>
      </c>
      <c r="N55" s="32">
        <f t="shared" si="94"/>
        <v>-1</v>
      </c>
      <c r="O55" s="33">
        <f>Recu2!O55</f>
        <v>0</v>
      </c>
      <c r="P55" s="32">
        <f t="shared" si="95"/>
        <v>-1</v>
      </c>
      <c r="Q55" s="33">
        <f>Recu2!Q55</f>
        <v>0</v>
      </c>
      <c r="R55" s="32">
        <f t="shared" si="96"/>
        <v>-1</v>
      </c>
      <c r="S55" s="33">
        <f>Recu2!S55</f>
        <v>0</v>
      </c>
      <c r="T55" s="32">
        <f t="shared" si="97"/>
        <v>-1</v>
      </c>
      <c r="U55" s="33">
        <f>Recu2!U55</f>
        <v>0</v>
      </c>
      <c r="V55" s="32">
        <f t="shared" si="98"/>
        <v>-1</v>
      </c>
      <c r="W55" s="33">
        <f>Recu2!W55</f>
        <v>0</v>
      </c>
      <c r="X55" s="32">
        <f t="shared" si="99"/>
        <v>-1</v>
      </c>
      <c r="Y55" s="33">
        <f>Recu2!Y55</f>
        <v>0</v>
      </c>
      <c r="Z55" s="32">
        <f t="shared" si="100"/>
        <v>-1</v>
      </c>
      <c r="AA55" s="33">
        <f>Recu2!AA55</f>
        <v>0</v>
      </c>
      <c r="AB55" s="32">
        <f t="shared" si="101"/>
        <v>-1</v>
      </c>
      <c r="AC55" s="33">
        <f>Recu2!AC55</f>
        <v>0</v>
      </c>
      <c r="AD55" s="32">
        <f t="shared" si="102"/>
        <v>-1</v>
      </c>
      <c r="AE55" s="33">
        <f>Recu2!AE55</f>
        <v>0</v>
      </c>
      <c r="AF55" s="32">
        <f t="shared" si="103"/>
        <v>-1</v>
      </c>
      <c r="AG55" s="33">
        <f>Recu2!AG55</f>
        <v>0</v>
      </c>
      <c r="AH55" s="32">
        <f t="shared" si="104"/>
        <v>-1</v>
      </c>
      <c r="AI55" s="33">
        <f>Recu2!AI55</f>
        <v>0</v>
      </c>
      <c r="AJ55" s="32">
        <f t="shared" si="105"/>
        <v>-1</v>
      </c>
      <c r="AK55" s="33">
        <f>Recu2!AK55</f>
        <v>0</v>
      </c>
      <c r="AL55" s="32">
        <f t="shared" si="106"/>
        <v>-1</v>
      </c>
      <c r="AM55" s="33">
        <f>Recu2!AM55</f>
        <v>0</v>
      </c>
      <c r="AN55" s="32">
        <f t="shared" si="107"/>
        <v>-1</v>
      </c>
      <c r="AO55" s="33">
        <f>Recu2!AO55</f>
        <v>0</v>
      </c>
      <c r="AP55" s="32">
        <f t="shared" si="108"/>
        <v>-1</v>
      </c>
      <c r="AQ55" s="33">
        <f>Recu2!AQ55</f>
        <v>0</v>
      </c>
      <c r="AR55" s="32">
        <f t="shared" si="109"/>
        <v>-1</v>
      </c>
      <c r="AS55" s="33">
        <f>Recu2!AS55</f>
        <v>0</v>
      </c>
      <c r="AT55" s="32">
        <f t="shared" si="110"/>
        <v>-1</v>
      </c>
      <c r="AU55" s="33">
        <f>Recu2!AU55</f>
        <v>0</v>
      </c>
      <c r="AV55" s="32">
        <f t="shared" si="111"/>
        <v>-1</v>
      </c>
      <c r="AW55" s="33">
        <f>Recu2!AW55</f>
        <v>0</v>
      </c>
      <c r="AX55" s="32">
        <f t="shared" si="112"/>
        <v>-1</v>
      </c>
      <c r="AY55" s="33">
        <f>Recu2!AY55</f>
        <v>0</v>
      </c>
      <c r="AZ55" s="32">
        <f t="shared" si="113"/>
        <v>-1</v>
      </c>
      <c r="BA55" s="33">
        <f>Recu2!BA55</f>
        <v>0</v>
      </c>
      <c r="BB55" s="32">
        <f t="shared" si="114"/>
        <v>-1</v>
      </c>
      <c r="BC55" s="33">
        <f>Recu2!BC55</f>
        <v>0</v>
      </c>
      <c r="BD55" s="32">
        <f t="shared" si="115"/>
        <v>-1</v>
      </c>
      <c r="BE55" s="33">
        <f>Recu2!BE55</f>
        <v>0</v>
      </c>
      <c r="BF55" s="32">
        <f t="shared" si="116"/>
        <v>-1</v>
      </c>
      <c r="BG55" s="33">
        <f>Recu2!BG55</f>
        <v>0</v>
      </c>
      <c r="BH55" s="32">
        <f t="shared" si="117"/>
        <v>-1</v>
      </c>
      <c r="BI55" s="33">
        <f>Recu2!BI55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Recu2!B56</f>
        <v>0</v>
      </c>
      <c r="C56" s="33">
        <f>Recu2!C56</f>
        <v>0</v>
      </c>
      <c r="D56" s="32">
        <f t="shared" si="89"/>
        <v>-1</v>
      </c>
      <c r="E56" s="33">
        <f>Recu2!E56</f>
        <v>0</v>
      </c>
      <c r="F56" s="32">
        <f t="shared" si="90"/>
        <v>-1</v>
      </c>
      <c r="G56" s="33">
        <f>Recu2!G56</f>
        <v>0</v>
      </c>
      <c r="H56" s="32">
        <f t="shared" si="91"/>
        <v>-1</v>
      </c>
      <c r="I56" s="33">
        <f>Recu2!I56</f>
        <v>0</v>
      </c>
      <c r="J56" s="32">
        <f t="shared" si="92"/>
        <v>-1</v>
      </c>
      <c r="K56" s="33">
        <f>Recu2!K56</f>
        <v>0</v>
      </c>
      <c r="L56" s="32">
        <f t="shared" si="93"/>
        <v>-1</v>
      </c>
      <c r="M56" s="33">
        <f>Recu2!M56</f>
        <v>0</v>
      </c>
      <c r="N56" s="32">
        <f t="shared" si="94"/>
        <v>-1</v>
      </c>
      <c r="O56" s="33">
        <f>Recu2!O56</f>
        <v>0</v>
      </c>
      <c r="P56" s="32">
        <f t="shared" si="95"/>
        <v>-1</v>
      </c>
      <c r="Q56" s="33">
        <f>Recu2!Q56</f>
        <v>0</v>
      </c>
      <c r="R56" s="32">
        <f t="shared" si="96"/>
        <v>-1</v>
      </c>
      <c r="S56" s="33">
        <f>Recu2!S56</f>
        <v>0</v>
      </c>
      <c r="T56" s="32">
        <f t="shared" si="97"/>
        <v>-1</v>
      </c>
      <c r="U56" s="33">
        <f>Recu2!U56</f>
        <v>0</v>
      </c>
      <c r="V56" s="32">
        <f t="shared" si="98"/>
        <v>-1</v>
      </c>
      <c r="W56" s="33">
        <f>Recu2!W56</f>
        <v>0</v>
      </c>
      <c r="X56" s="32">
        <f t="shared" si="99"/>
        <v>-1</v>
      </c>
      <c r="Y56" s="33">
        <f>Recu2!Y56</f>
        <v>0</v>
      </c>
      <c r="Z56" s="32">
        <f t="shared" si="100"/>
        <v>-1</v>
      </c>
      <c r="AA56" s="33">
        <f>Recu2!AA56</f>
        <v>0</v>
      </c>
      <c r="AB56" s="32">
        <f t="shared" si="101"/>
        <v>-1</v>
      </c>
      <c r="AC56" s="33">
        <f>Recu2!AC56</f>
        <v>0</v>
      </c>
      <c r="AD56" s="32">
        <f t="shared" si="102"/>
        <v>-1</v>
      </c>
      <c r="AE56" s="33">
        <f>Recu2!AE56</f>
        <v>0</v>
      </c>
      <c r="AF56" s="32">
        <f t="shared" si="103"/>
        <v>-1</v>
      </c>
      <c r="AG56" s="33">
        <f>Recu2!AG56</f>
        <v>0</v>
      </c>
      <c r="AH56" s="32">
        <f t="shared" si="104"/>
        <v>-1</v>
      </c>
      <c r="AI56" s="33">
        <f>Recu2!AI56</f>
        <v>0</v>
      </c>
      <c r="AJ56" s="32">
        <f t="shared" si="105"/>
        <v>-1</v>
      </c>
      <c r="AK56" s="33">
        <f>Recu2!AK56</f>
        <v>0</v>
      </c>
      <c r="AL56" s="32">
        <f t="shared" si="106"/>
        <v>-1</v>
      </c>
      <c r="AM56" s="33">
        <f>Recu2!AM56</f>
        <v>0</v>
      </c>
      <c r="AN56" s="32">
        <f t="shared" si="107"/>
        <v>-1</v>
      </c>
      <c r="AO56" s="33">
        <f>Recu2!AO56</f>
        <v>0</v>
      </c>
      <c r="AP56" s="32">
        <f t="shared" si="108"/>
        <v>-1</v>
      </c>
      <c r="AQ56" s="33">
        <f>Recu2!AQ56</f>
        <v>0</v>
      </c>
      <c r="AR56" s="32">
        <f t="shared" si="109"/>
        <v>-1</v>
      </c>
      <c r="AS56" s="33">
        <f>Recu2!AS56</f>
        <v>0</v>
      </c>
      <c r="AT56" s="32">
        <f t="shared" si="110"/>
        <v>-1</v>
      </c>
      <c r="AU56" s="33">
        <f>Recu2!AU56</f>
        <v>0</v>
      </c>
      <c r="AV56" s="32">
        <f t="shared" si="111"/>
        <v>-1</v>
      </c>
      <c r="AW56" s="33">
        <f>Recu2!AW56</f>
        <v>0</v>
      </c>
      <c r="AX56" s="32">
        <f t="shared" si="112"/>
        <v>-1</v>
      </c>
      <c r="AY56" s="33">
        <f>Recu2!AY56</f>
        <v>0</v>
      </c>
      <c r="AZ56" s="32">
        <f t="shared" si="113"/>
        <v>-1</v>
      </c>
      <c r="BA56" s="33">
        <f>Recu2!BA56</f>
        <v>0</v>
      </c>
      <c r="BB56" s="32">
        <f t="shared" si="114"/>
        <v>-1</v>
      </c>
      <c r="BC56" s="33">
        <f>Recu2!BC56</f>
        <v>0</v>
      </c>
      <c r="BD56" s="32">
        <f t="shared" si="115"/>
        <v>-1</v>
      </c>
      <c r="BE56" s="33">
        <f>Recu2!BE56</f>
        <v>0</v>
      </c>
      <c r="BF56" s="32">
        <f t="shared" si="116"/>
        <v>-1</v>
      </c>
      <c r="BG56" s="33">
        <f>Recu2!BG56</f>
        <v>0</v>
      </c>
      <c r="BH56" s="32">
        <f t="shared" si="117"/>
        <v>-1</v>
      </c>
      <c r="BI56" s="33">
        <f>Recu2!BI56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Recu2!B57</f>
        <v>0</v>
      </c>
      <c r="C57" s="33">
        <f>Recu2!C57</f>
        <v>0</v>
      </c>
      <c r="D57" s="32">
        <f t="shared" si="89"/>
        <v>-1</v>
      </c>
      <c r="E57" s="33">
        <f>Recu2!E57</f>
        <v>0</v>
      </c>
      <c r="F57" s="32">
        <f t="shared" si="90"/>
        <v>-1</v>
      </c>
      <c r="G57" s="33">
        <f>Recu2!G57</f>
        <v>0</v>
      </c>
      <c r="H57" s="32">
        <f t="shared" si="91"/>
        <v>-1</v>
      </c>
      <c r="I57" s="33">
        <f>Recu2!I57</f>
        <v>0</v>
      </c>
      <c r="J57" s="32">
        <f t="shared" si="92"/>
        <v>-1</v>
      </c>
      <c r="K57" s="33">
        <f>Recu2!K57</f>
        <v>0</v>
      </c>
      <c r="L57" s="32">
        <f t="shared" si="93"/>
        <v>-1</v>
      </c>
      <c r="M57" s="33">
        <f>Recu2!M57</f>
        <v>0</v>
      </c>
      <c r="N57" s="32">
        <f t="shared" si="94"/>
        <v>-1</v>
      </c>
      <c r="O57" s="33">
        <f>Recu2!O57</f>
        <v>0</v>
      </c>
      <c r="P57" s="32">
        <f t="shared" si="95"/>
        <v>-1</v>
      </c>
      <c r="Q57" s="33">
        <f>Recu2!Q57</f>
        <v>0</v>
      </c>
      <c r="R57" s="32">
        <f t="shared" si="96"/>
        <v>-1</v>
      </c>
      <c r="S57" s="33">
        <f>Recu2!S57</f>
        <v>0</v>
      </c>
      <c r="T57" s="32">
        <f t="shared" si="97"/>
        <v>-1</v>
      </c>
      <c r="U57" s="33">
        <f>Recu2!U57</f>
        <v>0</v>
      </c>
      <c r="V57" s="32">
        <f t="shared" si="98"/>
        <v>-1</v>
      </c>
      <c r="W57" s="33">
        <f>Recu2!W57</f>
        <v>0</v>
      </c>
      <c r="X57" s="32">
        <f t="shared" si="99"/>
        <v>-1</v>
      </c>
      <c r="Y57" s="33">
        <f>Recu2!Y57</f>
        <v>0</v>
      </c>
      <c r="Z57" s="32">
        <f t="shared" si="100"/>
        <v>-1</v>
      </c>
      <c r="AA57" s="33">
        <f>Recu2!AA57</f>
        <v>0</v>
      </c>
      <c r="AB57" s="32">
        <f t="shared" si="101"/>
        <v>-1</v>
      </c>
      <c r="AC57" s="33">
        <f>Recu2!AC57</f>
        <v>0</v>
      </c>
      <c r="AD57" s="32">
        <f t="shared" si="102"/>
        <v>-1</v>
      </c>
      <c r="AE57" s="33">
        <f>Recu2!AE57</f>
        <v>0</v>
      </c>
      <c r="AF57" s="32">
        <f t="shared" si="103"/>
        <v>-1</v>
      </c>
      <c r="AG57" s="33">
        <f>Recu2!AG57</f>
        <v>0</v>
      </c>
      <c r="AH57" s="32">
        <f t="shared" si="104"/>
        <v>-1</v>
      </c>
      <c r="AI57" s="33">
        <f>Recu2!AI57</f>
        <v>0</v>
      </c>
      <c r="AJ57" s="32">
        <f t="shared" si="105"/>
        <v>-1</v>
      </c>
      <c r="AK57" s="33">
        <f>Recu2!AK57</f>
        <v>0</v>
      </c>
      <c r="AL57" s="32">
        <f t="shared" si="106"/>
        <v>-1</v>
      </c>
      <c r="AM57" s="33">
        <f>Recu2!AM57</f>
        <v>0</v>
      </c>
      <c r="AN57" s="32">
        <f t="shared" si="107"/>
        <v>-1</v>
      </c>
      <c r="AO57" s="33">
        <f>Recu2!AO57</f>
        <v>0</v>
      </c>
      <c r="AP57" s="32">
        <f t="shared" si="108"/>
        <v>-1</v>
      </c>
      <c r="AQ57" s="33">
        <f>Recu2!AQ57</f>
        <v>0</v>
      </c>
      <c r="AR57" s="32">
        <f t="shared" si="109"/>
        <v>-1</v>
      </c>
      <c r="AS57" s="33">
        <f>Recu2!AS57</f>
        <v>0</v>
      </c>
      <c r="AT57" s="32">
        <f t="shared" si="110"/>
        <v>-1</v>
      </c>
      <c r="AU57" s="33">
        <f>Recu2!AU57</f>
        <v>0</v>
      </c>
      <c r="AV57" s="32">
        <f t="shared" si="111"/>
        <v>-1</v>
      </c>
      <c r="AW57" s="33">
        <f>Recu2!AW57</f>
        <v>0</v>
      </c>
      <c r="AX57" s="32">
        <f t="shared" si="112"/>
        <v>-1</v>
      </c>
      <c r="AY57" s="33">
        <f>Recu2!AY57</f>
        <v>0</v>
      </c>
      <c r="AZ57" s="32">
        <f t="shared" si="113"/>
        <v>-1</v>
      </c>
      <c r="BA57" s="33">
        <f>Recu2!BA57</f>
        <v>0</v>
      </c>
      <c r="BB57" s="32">
        <f t="shared" si="114"/>
        <v>-1</v>
      </c>
      <c r="BC57" s="33">
        <f>Recu2!BC57</f>
        <v>0</v>
      </c>
      <c r="BD57" s="32">
        <f t="shared" si="115"/>
        <v>-1</v>
      </c>
      <c r="BE57" s="33">
        <f>Recu2!BE57</f>
        <v>0</v>
      </c>
      <c r="BF57" s="32">
        <f t="shared" si="116"/>
        <v>-1</v>
      </c>
      <c r="BG57" s="33">
        <f>Recu2!BG57</f>
        <v>0</v>
      </c>
      <c r="BH57" s="32">
        <f t="shared" si="117"/>
        <v>-1</v>
      </c>
      <c r="BI57" s="33">
        <f>Recu2!BI57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Recu2!B58</f>
        <v>0</v>
      </c>
      <c r="C58" s="33">
        <f>Recu2!C58</f>
        <v>0</v>
      </c>
      <c r="D58" s="32">
        <f t="shared" si="89"/>
        <v>-1</v>
      </c>
      <c r="E58" s="33">
        <f>Recu2!E58</f>
        <v>0</v>
      </c>
      <c r="F58" s="32">
        <f t="shared" si="90"/>
        <v>-1</v>
      </c>
      <c r="G58" s="33">
        <f>Recu2!G58</f>
        <v>0</v>
      </c>
      <c r="H58" s="32">
        <f t="shared" si="91"/>
        <v>-1</v>
      </c>
      <c r="I58" s="33">
        <f>Recu2!I58</f>
        <v>0</v>
      </c>
      <c r="J58" s="32">
        <f t="shared" si="92"/>
        <v>-1</v>
      </c>
      <c r="K58" s="33">
        <f>Recu2!K58</f>
        <v>0</v>
      </c>
      <c r="L58" s="32">
        <f t="shared" si="93"/>
        <v>-1</v>
      </c>
      <c r="M58" s="33">
        <f>Recu2!M58</f>
        <v>0</v>
      </c>
      <c r="N58" s="32">
        <f t="shared" si="94"/>
        <v>-1</v>
      </c>
      <c r="O58" s="33">
        <f>Recu2!O58</f>
        <v>0</v>
      </c>
      <c r="P58" s="32">
        <f t="shared" si="95"/>
        <v>-1</v>
      </c>
      <c r="Q58" s="33">
        <f>Recu2!Q58</f>
        <v>0</v>
      </c>
      <c r="R58" s="32">
        <f t="shared" si="96"/>
        <v>-1</v>
      </c>
      <c r="S58" s="33">
        <f>Recu2!S58</f>
        <v>0</v>
      </c>
      <c r="T58" s="32">
        <f t="shared" si="97"/>
        <v>-1</v>
      </c>
      <c r="U58" s="33">
        <f>Recu2!U58</f>
        <v>0</v>
      </c>
      <c r="V58" s="32">
        <f t="shared" si="98"/>
        <v>-1</v>
      </c>
      <c r="W58" s="33">
        <f>Recu2!W58</f>
        <v>0</v>
      </c>
      <c r="X58" s="32">
        <f t="shared" si="99"/>
        <v>-1</v>
      </c>
      <c r="Y58" s="33">
        <f>Recu2!Y58</f>
        <v>0</v>
      </c>
      <c r="Z58" s="32">
        <f t="shared" si="100"/>
        <v>-1</v>
      </c>
      <c r="AA58" s="33">
        <f>Recu2!AA58</f>
        <v>0</v>
      </c>
      <c r="AB58" s="32">
        <f t="shared" si="101"/>
        <v>-1</v>
      </c>
      <c r="AC58" s="33">
        <f>Recu2!AC58</f>
        <v>0</v>
      </c>
      <c r="AD58" s="32">
        <f t="shared" si="102"/>
        <v>-1</v>
      </c>
      <c r="AE58" s="33">
        <f>Recu2!AE58</f>
        <v>0</v>
      </c>
      <c r="AF58" s="32">
        <f t="shared" si="103"/>
        <v>-1</v>
      </c>
      <c r="AG58" s="33">
        <f>Recu2!AG58</f>
        <v>0</v>
      </c>
      <c r="AH58" s="32">
        <f t="shared" si="104"/>
        <v>-1</v>
      </c>
      <c r="AI58" s="33">
        <f>Recu2!AI58</f>
        <v>0</v>
      </c>
      <c r="AJ58" s="32">
        <f t="shared" si="105"/>
        <v>-1</v>
      </c>
      <c r="AK58" s="33">
        <f>Recu2!AK58</f>
        <v>0</v>
      </c>
      <c r="AL58" s="32">
        <f t="shared" si="106"/>
        <v>-1</v>
      </c>
      <c r="AM58" s="33">
        <f>Recu2!AM58</f>
        <v>0</v>
      </c>
      <c r="AN58" s="32">
        <f t="shared" si="107"/>
        <v>-1</v>
      </c>
      <c r="AO58" s="33">
        <f>Recu2!AO58</f>
        <v>0</v>
      </c>
      <c r="AP58" s="32">
        <f t="shared" si="108"/>
        <v>-1</v>
      </c>
      <c r="AQ58" s="33">
        <f>Recu2!AQ58</f>
        <v>0</v>
      </c>
      <c r="AR58" s="32">
        <f t="shared" si="109"/>
        <v>-1</v>
      </c>
      <c r="AS58" s="33">
        <f>Recu2!AS58</f>
        <v>0</v>
      </c>
      <c r="AT58" s="32">
        <f t="shared" si="110"/>
        <v>-1</v>
      </c>
      <c r="AU58" s="33">
        <f>Recu2!AU58</f>
        <v>0</v>
      </c>
      <c r="AV58" s="32">
        <f t="shared" si="111"/>
        <v>-1</v>
      </c>
      <c r="AW58" s="33">
        <f>Recu2!AW58</f>
        <v>0</v>
      </c>
      <c r="AX58" s="32">
        <f t="shared" si="112"/>
        <v>-1</v>
      </c>
      <c r="AY58" s="33">
        <f>Recu2!AY58</f>
        <v>0</v>
      </c>
      <c r="AZ58" s="32">
        <f t="shared" si="113"/>
        <v>-1</v>
      </c>
      <c r="BA58" s="33">
        <f>Recu2!BA58</f>
        <v>0</v>
      </c>
      <c r="BB58" s="32">
        <f t="shared" si="114"/>
        <v>-1</v>
      </c>
      <c r="BC58" s="33">
        <f>Recu2!BC58</f>
        <v>0</v>
      </c>
      <c r="BD58" s="32">
        <f t="shared" si="115"/>
        <v>-1</v>
      </c>
      <c r="BE58" s="33">
        <f>Recu2!BE58</f>
        <v>0</v>
      </c>
      <c r="BF58" s="32">
        <f t="shared" si="116"/>
        <v>-1</v>
      </c>
      <c r="BG58" s="33">
        <f>Recu2!BG58</f>
        <v>0</v>
      </c>
      <c r="BH58" s="32">
        <f t="shared" si="117"/>
        <v>-1</v>
      </c>
      <c r="BI58" s="33">
        <f>Recu2!BI58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8">
        <f>IF(SUM($B60:$B63)&lt;&gt;0,SUM(C60:C63)/SUM($B60:$B63)*$B59*10, "")</f>
        <v>0.67499999608844519</v>
      </c>
      <c r="D59" s="58"/>
      <c r="E59" s="58">
        <f>IF(SUM($B60:$B63)&lt;&gt;0,SUM(E60:E63)/SUM($B60:$B63)*$B59*10, "")</f>
        <v>1.125</v>
      </c>
      <c r="F59" s="58"/>
      <c r="G59" s="58">
        <f>IF(SUM($B60:$B63)&lt;&gt;0,SUM(G60:G63)/SUM($B60:$B63)*$B59*10, "")</f>
        <v>0.78750001452863216</v>
      </c>
      <c r="H59" s="58"/>
      <c r="I59" s="58">
        <f>IF(SUM($B60:$B63)&lt;&gt;0,SUM(I60:I63)/SUM($B60:$B63)*$B59*10, "")</f>
        <v>0.82500000111758709</v>
      </c>
      <c r="J59" s="58"/>
      <c r="K59" s="58">
        <f>IF(SUM($B60:$B63)&lt;&gt;0,SUM(K60:K63)/SUM($B60:$B63)*$B59*10, "")</f>
        <v>1.0499999932944775</v>
      </c>
      <c r="L59" s="58"/>
      <c r="M59" s="58">
        <f>IF(SUM($B60:$B63)&lt;&gt;0,SUM(M60:M63)/SUM($B60:$B63)*$B59*10, "")</f>
        <v>0.30000000726431608</v>
      </c>
      <c r="N59" s="58"/>
      <c r="O59" s="58">
        <f>IF(SUM($B60:$B63)&lt;&gt;0,SUM(O60:O63)/SUM($B60:$B63)*$B59*10, "")</f>
        <v>0.78750002011656761</v>
      </c>
      <c r="P59" s="58"/>
      <c r="Q59" s="58">
        <f>IF(SUM($B60:$B63)&lt;&gt;0,SUM(Q60:Q63)/SUM($B60:$B63)*$B59*10, "")</f>
        <v>0.52500001341104507</v>
      </c>
      <c r="R59" s="58"/>
      <c r="S59" s="58">
        <f>IF(SUM($B60:$B63)&lt;&gt;0,SUM(S60:S63)/SUM($B60:$B63)*$B59*10, "")</f>
        <v>0.63750001229345798</v>
      </c>
      <c r="T59" s="58"/>
      <c r="U59" s="58">
        <f>IF(SUM($B60:$B63)&lt;&gt;0,SUM(U60:U63)/SUM($B60:$B63)*$B59*10, "")</f>
        <v>0.52499999944120646</v>
      </c>
      <c r="V59" s="58"/>
      <c r="W59" s="58">
        <f>IF(SUM($B60:$B63)&lt;&gt;0,SUM(W60:W63)/SUM($B60:$B63)*$B59*10, "")</f>
        <v>0.97499999776482582</v>
      </c>
      <c r="X59" s="58"/>
      <c r="Y59" s="58">
        <f>IF(SUM($B60:$B63)&lt;&gt;0,SUM(Y60:Y63)/SUM($B60:$B63)*$B59*10, "")</f>
        <v>0.67500001005828381</v>
      </c>
      <c r="Z59" s="58"/>
      <c r="AA59" s="58">
        <f>IF(SUM($B60:$B63)&lt;&gt;0,SUM(AA60:AA63)/SUM($B60:$B63)*$B59*10, "")</f>
        <v>0.45000001229345798</v>
      </c>
      <c r="AB59" s="58"/>
      <c r="AC59" s="58">
        <f>IF(SUM($B60:$B63)&lt;&gt;0,SUM(AC60:AC63)/SUM($B60:$B63)*$B59*10, "")</f>
        <v>1.1249999776482582</v>
      </c>
      <c r="AD59" s="58"/>
      <c r="AE59" s="58">
        <f>IF(SUM($B60:$B63)&lt;&gt;0,SUM(AE60:AE63)/SUM($B60:$B63)*$B59*10, "")</f>
        <v>0.56250001955777407</v>
      </c>
      <c r="AF59" s="58"/>
      <c r="AG59" s="58">
        <f>IF(SUM($B60:$B63)&lt;&gt;0,SUM(AG60:AG63)/SUM($B60:$B63)*$B59*10, "")</f>
        <v>0.9375</v>
      </c>
      <c r="AH59" s="58"/>
      <c r="AI59" s="58">
        <f>IF(SUM($B60:$B63)&lt;&gt;0,SUM(AI60:AI63)/SUM($B60:$B63)*$B59*10, "")</f>
        <v>0.45000000670552254</v>
      </c>
      <c r="AJ59" s="58"/>
      <c r="AK59" s="58">
        <f>IF(SUM($B60:$B63)&lt;&gt;0,SUM(AK60:AK63)/SUM($B60:$B63)*$B59*10, "")</f>
        <v>0.89999999105930328</v>
      </c>
      <c r="AL59" s="58"/>
      <c r="AM59" s="58">
        <f>IF(SUM($B60:$B63)&lt;&gt;0,SUM(AM60:AM63)/SUM($B60:$B63)*$B59*10, "")</f>
        <v>0.45000000949949026</v>
      </c>
      <c r="AN59" s="58"/>
      <c r="AO59" s="58">
        <f>IF(SUM($B60:$B63)&lt;&gt;0,SUM(AO60:AO63)/SUM($B60:$B63)*$B59*10, "")</f>
        <v>0.78749999217689037</v>
      </c>
      <c r="AP59" s="58"/>
      <c r="AQ59" s="58">
        <f>IF(SUM($B60:$B63)&lt;&gt;0,SUM(AQ60:AQ63)/SUM($B60:$B63)*$B59*10, "")</f>
        <v>0.52500000782310963</v>
      </c>
      <c r="AR59" s="58"/>
      <c r="AS59" s="58">
        <f>IF(SUM($B60:$B63)&lt;&gt;0,SUM(AS60:AS63)/SUM($B60:$B63)*$B59*10, "")</f>
        <v>0.90000002458691597</v>
      </c>
      <c r="AT59" s="58"/>
      <c r="AU59" s="58">
        <f>IF(SUM($B60:$B63)&lt;&gt;0,SUM(AU60:AU63)/SUM($B60:$B63)*$B59*10, "")</f>
        <v>0.5625</v>
      </c>
      <c r="AV59" s="58"/>
      <c r="AW59" s="58">
        <f>IF(SUM($B60:$B63)&lt;&gt;0,SUM(AW60:AW63)/SUM($B60:$B63)*$B59*10, "")</f>
        <v>0.67499999888241291</v>
      </c>
      <c r="AX59" s="58"/>
      <c r="AY59" s="58">
        <f>IF(SUM($B60:$B63)&lt;&gt;0,SUM(AY60:AY63)/SUM($B60:$B63)*$B59*10, "")</f>
        <v>0.82499999273568392</v>
      </c>
      <c r="AZ59" s="58"/>
      <c r="BA59" s="58">
        <f>IF(SUM($B60:$B63)&lt;&gt;0,SUM(BA60:BA63)/SUM($B60:$B63)*$B59*10, "")</f>
        <v>0.82500000949949026</v>
      </c>
      <c r="BB59" s="58"/>
      <c r="BC59" s="58">
        <f>IF(SUM($B60:$B63)&lt;&gt;0,SUM(BC60:BC63)/SUM($B60:$B63)*$B59*10, "")</f>
        <v>0.86249999329447746</v>
      </c>
      <c r="BD59" s="58"/>
      <c r="BE59" s="58">
        <f>IF(SUM($B60:$B63)&lt;&gt;0,SUM(BE60:BE63)/SUM($B60:$B63)*$B59*10, "")</f>
        <v>0.63750000111758698</v>
      </c>
      <c r="BF59" s="58"/>
      <c r="BG59" s="58">
        <f>IF(SUM($B60:$B63)&lt;&gt;0,SUM(BG60:BG63)/SUM($B60:$B63)*$B59*10, "")</f>
        <v>0.78750001452863216</v>
      </c>
      <c r="BH59" s="58"/>
      <c r="BI59" s="58">
        <f>IF(SUM($B60:$B63)&lt;&gt;0,SUM(BI60:BI63)/SUM($B60:$B63)*$B59*10, "")</f>
        <v>0.56250001396983862</v>
      </c>
      <c r="BJ59" s="58"/>
    </row>
    <row r="60" spans="1:62" ht="28" x14ac:dyDescent="0.2">
      <c r="A60" s="2" t="s">
        <v>59</v>
      </c>
      <c r="B60" s="13">
        <f>MAX([2]Examen31!B5,[2]Examen32!B5,[2]Examen33!B5)</f>
        <v>2.5</v>
      </c>
      <c r="C60" s="33">
        <f>MAX([2]Examen31!C5,[2]Examen32!C5,[2]Examen33!C5)</f>
        <v>0</v>
      </c>
      <c r="D60" s="32">
        <f>IF($B60,C60/$B60,-1)</f>
        <v>0</v>
      </c>
      <c r="E60" s="33">
        <f>MAX([2]Examen31!E5,[2]Examen32!E5,[2]Examen33!E5)</f>
        <v>0.75000002980232239</v>
      </c>
      <c r="F60" s="32">
        <f>IF($B60,E60/$B60,-1)</f>
        <v>0.30000001192092896</v>
      </c>
      <c r="G60" s="33">
        <f>MAX([2]Examen31!G5,[2]Examen32!G5,[2]Examen33!G5)</f>
        <v>2.5</v>
      </c>
      <c r="H60" s="32">
        <f>IF($B60,G60/$B60,-1)</f>
        <v>1</v>
      </c>
      <c r="I60" s="33">
        <f>MAX([2]Examen31!I5,[2]Examen32!I5,[2]Examen33!I5)</f>
        <v>0.75000002980232239</v>
      </c>
      <c r="J60" s="32">
        <f>IF($B60,I60/$B60,-1)</f>
        <v>0.30000001192092896</v>
      </c>
      <c r="K60" s="33">
        <f>MAX([2]Examen31!K5,[2]Examen32!K5,[2]Examen33!K5)</f>
        <v>1.7499999701976776</v>
      </c>
      <c r="L60" s="32">
        <f>IF($B60,K60/$B60,-1)</f>
        <v>0.69999998807907104</v>
      </c>
      <c r="M60" s="33">
        <f>MAX([2]Examen31!M5,[2]Examen32!M5,[2]Examen33!M5)</f>
        <v>0.75000002980232239</v>
      </c>
      <c r="N60" s="32">
        <f>IF($B60,M60/$B60,-1)</f>
        <v>0.30000001192092896</v>
      </c>
      <c r="O60" s="33">
        <f>MAX([2]Examen31!O5,[2]Examen32!O5,[2]Examen33!O5)</f>
        <v>1.0000000149011612</v>
      </c>
      <c r="P60" s="32">
        <f>IF($B60,O60/$B60,-1)</f>
        <v>0.40000000596046448</v>
      </c>
      <c r="Q60" s="33">
        <f>MAX([2]Examen31!Q5,[2]Examen32!Q5,[2]Examen33!Q5)</f>
        <v>0.75000002980232239</v>
      </c>
      <c r="R60" s="32">
        <f>IF($B60,Q60/$B60,-1)</f>
        <v>0.30000001192092896</v>
      </c>
      <c r="S60" s="33">
        <f>MAX([2]Examen31!S5,[2]Examen32!S5,[2]Examen33!S5)</f>
        <v>0.5000000074505806</v>
      </c>
      <c r="T60" s="32">
        <f>IF($B60,S60/$B60,-1)</f>
        <v>0.20000000298023224</v>
      </c>
      <c r="U60" s="33">
        <f>MAX([2]Examen31!U5,[2]Examen32!U5,[2]Examen33!U5)</f>
        <v>0.5000000074505806</v>
      </c>
      <c r="V60" s="32">
        <f>IF($B60,U60/$B60,-1)</f>
        <v>0.20000000298023224</v>
      </c>
      <c r="W60" s="33">
        <f>MAX([2]Examen31!W5,[2]Examen32!W5,[2]Examen33!W5)</f>
        <v>1.0000000149011612</v>
      </c>
      <c r="X60" s="32">
        <f>IF($B60,W60/$B60,-1)</f>
        <v>0.40000000596046448</v>
      </c>
      <c r="Y60" s="33">
        <f>MAX([2]Examen31!Y5,[2]Examen32!Y5,[2]Examen33!Y5)</f>
        <v>1.5000000596046448</v>
      </c>
      <c r="Z60" s="32">
        <f>IF($B60,Y60/$B60,-1)</f>
        <v>0.60000002384185791</v>
      </c>
      <c r="AA60" s="33">
        <f>MAX([2]Examen31!AA5,[2]Examen32!AA5,[2]Examen33!AA5)</f>
        <v>0.5000000074505806</v>
      </c>
      <c r="AB60" s="32">
        <f>IF($B60,AA60/$B60,-1)</f>
        <v>0.20000000298023224</v>
      </c>
      <c r="AC60" s="33">
        <f>MAX([2]Examen31!AC5,[2]Examen32!AC5,[2]Examen33!AC5)</f>
        <v>1.7499999701976776</v>
      </c>
      <c r="AD60" s="32">
        <f>IF($B60,AC60/$B60,-1)</f>
        <v>0.69999998807907104</v>
      </c>
      <c r="AE60" s="33">
        <f>MAX([2]Examen31!AE5,[2]Examen32!AE5,[2]Examen33!AE5)</f>
        <v>1.5000000596046448</v>
      </c>
      <c r="AF60" s="32">
        <f>IF($B60,AE60/$B60,-1)</f>
        <v>0.60000002384185791</v>
      </c>
      <c r="AG60" s="33">
        <f>MAX([2]Examen31!AG5,[2]Examen32!AG5,[2]Examen33!AG5)</f>
        <v>1.5000000596046448</v>
      </c>
      <c r="AH60" s="32">
        <f>IF($B60,AG60/$B60,-1)</f>
        <v>0.60000002384185791</v>
      </c>
      <c r="AI60" s="33">
        <f>MAX([2]Examen31!AI5,[2]Examen32!AI5,[2]Examen33!AI5)</f>
        <v>0</v>
      </c>
      <c r="AJ60" s="32">
        <f>IF($B60,AI60/$B60,-1)</f>
        <v>0</v>
      </c>
      <c r="AK60" s="33">
        <f>MAX([2]Examen31!AK5,[2]Examen32!AK5,[2]Examen33!AK5)</f>
        <v>0</v>
      </c>
      <c r="AL60" s="32">
        <f>IF($B60,AK60/$B60,-1)</f>
        <v>0</v>
      </c>
      <c r="AM60" s="33">
        <f>MAX([2]Examen31!AM5,[2]Examen32!AM5,[2]Examen33!AM5)</f>
        <v>0.2500000037252903</v>
      </c>
      <c r="AN60" s="32">
        <f>IF($B60,AM60/$B60,-1)</f>
        <v>0.10000000149011612</v>
      </c>
      <c r="AO60" s="33">
        <f>MAX([2]Examen31!AO5,[2]Examen32!AO5,[2]Examen33!AO5)</f>
        <v>0.5000000074505806</v>
      </c>
      <c r="AP60" s="32">
        <f>IF($B60,AO60/$B60,-1)</f>
        <v>0.20000000298023224</v>
      </c>
      <c r="AQ60" s="33">
        <f>MAX([2]Examen31!AQ5,[2]Examen32!AQ5,[2]Examen33!AQ5)</f>
        <v>1.0000000149011612</v>
      </c>
      <c r="AR60" s="32">
        <f>IF($B60,AQ60/$B60,-1)</f>
        <v>0.40000000596046448</v>
      </c>
      <c r="AS60" s="33">
        <f>MAX([2]Examen31!AS5,[2]Examen32!AS5,[2]Examen33!AS5)</f>
        <v>1.5000000596046448</v>
      </c>
      <c r="AT60" s="32">
        <f>IF($B60,AS60/$B60,-1)</f>
        <v>0.60000002384185791</v>
      </c>
      <c r="AU60" s="33">
        <f>MAX([2]Examen31!AU5,[2]Examen32!AU5,[2]Examen33!AU5)</f>
        <v>0.75000002980232239</v>
      </c>
      <c r="AV60" s="32">
        <f>IF($B60,AU60/$B60,-1)</f>
        <v>0.30000001192092896</v>
      </c>
      <c r="AW60" s="33">
        <f>MAX([2]Examen31!AW5,[2]Examen32!AW5,[2]Examen33!AW5)</f>
        <v>2.2499999403953552</v>
      </c>
      <c r="AX60" s="32">
        <f>IF($B60,AW60/$B60,-1)</f>
        <v>0.89999997615814209</v>
      </c>
      <c r="AY60" s="33">
        <f>MAX([2]Examen31!AY5,[2]Examen32!AY5,[2]Examen33!AY5)</f>
        <v>2.2499999403953552</v>
      </c>
      <c r="AZ60" s="32">
        <f>IF($B60,AY60/$B60,-1)</f>
        <v>0.89999997615814209</v>
      </c>
      <c r="BA60" s="33">
        <f>MAX([2]Examen31!BA5,[2]Examen32!BA5,[2]Examen33!BA5)</f>
        <v>1.25</v>
      </c>
      <c r="BB60" s="32">
        <f>IF($B60,BA60/$B60,-1)</f>
        <v>0.5</v>
      </c>
      <c r="BC60" s="33">
        <f>MAX([2]Examen31!BC5,[2]Examen32!BC5,[2]Examen33!BC5)</f>
        <v>1.0000000149011612</v>
      </c>
      <c r="BD60" s="32">
        <f>IF($B60,BC60/$B60,-1)</f>
        <v>0.40000000596046448</v>
      </c>
      <c r="BE60" s="33">
        <f>MAX([2]Examen31!BE5,[2]Examen32!BE5,[2]Examen33!BE5)</f>
        <v>0</v>
      </c>
      <c r="BF60" s="32">
        <f>IF($B60,BE60/$B60,-1)</f>
        <v>0</v>
      </c>
      <c r="BG60" s="33">
        <f>MAX([2]Examen31!BG5,[2]Examen32!BG5,[2]Examen33!BG5)</f>
        <v>0.5000000074505806</v>
      </c>
      <c r="BH60" s="32">
        <f>IF($B60,BG60/$B60,-1)</f>
        <v>0.20000000298023224</v>
      </c>
      <c r="BI60" s="33">
        <f>MAX([2]Examen31!BI5,[2]Examen32!BI5,[2]Examen33!BI5)</f>
        <v>0.2500000037252903</v>
      </c>
      <c r="BJ60" s="32">
        <f>IF($B60,BI60/$B60,-1)</f>
        <v>0.10000000149011612</v>
      </c>
    </row>
    <row r="61" spans="1:62" ht="70" x14ac:dyDescent="0.2">
      <c r="A61" s="2" t="s">
        <v>60</v>
      </c>
      <c r="B61" s="13">
        <f>MAX([2]Examen31!B6,[2]Examen32!B6,[2]Examen33!B6)</f>
        <v>2.5</v>
      </c>
      <c r="C61" s="33">
        <f>MAX([2]Examen31!C6,[2]Examen32!C6,[2]Examen33!C6)</f>
        <v>1.7499999701976776</v>
      </c>
      <c r="D61" s="32">
        <f>IF($B61,C61/$B61,-1)</f>
        <v>0.69999998807907104</v>
      </c>
      <c r="E61" s="33">
        <f>MAX([2]Examen31!E6,[2]Examen32!E6,[2]Examen33!E6)</f>
        <v>2.5</v>
      </c>
      <c r="F61" s="32">
        <f>IF($B61,E61/$B61,-1)</f>
        <v>1</v>
      </c>
      <c r="G61" s="33">
        <f>MAX([2]Examen31!G6,[2]Examen32!G6,[2]Examen33!G6)</f>
        <v>0.75000002980232239</v>
      </c>
      <c r="H61" s="32">
        <f>IF($B61,G61/$B61,-1)</f>
        <v>0.30000001192092896</v>
      </c>
      <c r="I61" s="33">
        <f>MAX([2]Examen31!I6,[2]Examen32!I6,[2]Examen33!I6)</f>
        <v>0.5000000074505806</v>
      </c>
      <c r="J61" s="32">
        <f>IF($B61,I61/$B61,-1)</f>
        <v>0.20000000298023224</v>
      </c>
      <c r="K61" s="33">
        <f>MAX([2]Examen31!K6,[2]Examen32!K6,[2]Examen33!K6)</f>
        <v>2.2499999403953552</v>
      </c>
      <c r="L61" s="32">
        <f>IF($B61,K61/$B61,-1)</f>
        <v>0.89999997615814209</v>
      </c>
      <c r="M61" s="33">
        <f>MAX([2]Examen31!M6,[2]Examen32!M6,[2]Examen33!M6)</f>
        <v>0.2500000037252903</v>
      </c>
      <c r="N61" s="32">
        <f>IF($B61,M61/$B61,-1)</f>
        <v>0.10000000149011612</v>
      </c>
      <c r="O61" s="33">
        <f>MAX([2]Examen31!O6,[2]Examen32!O6,[2]Examen33!O6)</f>
        <v>1.5000000596046448</v>
      </c>
      <c r="P61" s="32">
        <f>IF($B61,O61/$B61,-1)</f>
        <v>0.60000002384185791</v>
      </c>
      <c r="Q61" s="33">
        <f>MAX([2]Examen31!Q6,[2]Examen32!Q6,[2]Examen33!Q6)</f>
        <v>1.5000000596046448</v>
      </c>
      <c r="R61" s="32">
        <f>IF($B61,Q61/$B61,-1)</f>
        <v>0.60000002384185791</v>
      </c>
      <c r="S61" s="33">
        <f>MAX([2]Examen31!S6,[2]Examen32!S6,[2]Examen33!S6)</f>
        <v>1.5000000596046448</v>
      </c>
      <c r="T61" s="32">
        <f>IF($B61,S61/$B61,-1)</f>
        <v>0.60000002384185791</v>
      </c>
      <c r="U61" s="33">
        <f>MAX([2]Examen31!U6,[2]Examen32!U6,[2]Examen33!U6)</f>
        <v>1.7499999701976776</v>
      </c>
      <c r="V61" s="32">
        <f>IF($B61,U61/$B61,-1)</f>
        <v>0.69999998807907104</v>
      </c>
      <c r="W61" s="33">
        <f>MAX([2]Examen31!W6,[2]Examen32!W6,[2]Examen33!W6)</f>
        <v>2.2499999403953552</v>
      </c>
      <c r="X61" s="32">
        <f>IF($B61,W61/$B61,-1)</f>
        <v>0.89999997615814209</v>
      </c>
      <c r="Y61" s="33">
        <f>MAX([2]Examen31!Y6,[2]Examen32!Y6,[2]Examen33!Y6)</f>
        <v>0.2500000037252903</v>
      </c>
      <c r="Z61" s="32">
        <f>IF($B61,Y61/$B61,-1)</f>
        <v>0.10000000149011612</v>
      </c>
      <c r="AA61" s="33">
        <f>MAX([2]Examen31!AA6,[2]Examen32!AA6,[2]Examen33!AA6)</f>
        <v>1.0000000149011612</v>
      </c>
      <c r="AB61" s="32">
        <f>IF($B61,AA61/$B61,-1)</f>
        <v>0.40000000596046448</v>
      </c>
      <c r="AC61" s="33">
        <f>MAX([2]Examen31!AC6,[2]Examen32!AC6,[2]Examen33!AC6)</f>
        <v>2.2499999403953552</v>
      </c>
      <c r="AD61" s="32">
        <f>IF($B61,AC61/$B61,-1)</f>
        <v>0.89999997615814209</v>
      </c>
      <c r="AE61" s="33">
        <f>MAX([2]Examen31!AE6,[2]Examen32!AE6,[2]Examen33!AE6)</f>
        <v>0.5000000074505806</v>
      </c>
      <c r="AF61" s="32">
        <f>IF($B61,AE61/$B61,-1)</f>
        <v>0.20000000298023224</v>
      </c>
      <c r="AG61" s="33">
        <f>MAX([2]Examen31!AG6,[2]Examen32!AG6,[2]Examen33!AG6)</f>
        <v>1.7499999701976776</v>
      </c>
      <c r="AH61" s="32">
        <f>IF($B61,AG61/$B61,-1)</f>
        <v>0.69999998807907104</v>
      </c>
      <c r="AI61" s="33">
        <f>MAX([2]Examen31!AI6,[2]Examen32!AI6,[2]Examen33!AI6)</f>
        <v>1.0000000149011612</v>
      </c>
      <c r="AJ61" s="32">
        <f>IF($B61,AI61/$B61,-1)</f>
        <v>0.40000000596046448</v>
      </c>
      <c r="AK61" s="33">
        <f>MAX([2]Examen31!AK6,[2]Examen32!AK6,[2]Examen33!AK6)</f>
        <v>2.2499999403953552</v>
      </c>
      <c r="AL61" s="32">
        <f>IF($B61,AK61/$B61,-1)</f>
        <v>0.89999997615814209</v>
      </c>
      <c r="AM61" s="33">
        <f>MAX([2]Examen31!AM6,[2]Examen32!AM6,[2]Examen33!AM6)</f>
        <v>1.0000000149011612</v>
      </c>
      <c r="AN61" s="32">
        <f>IF($B61,AM61/$B61,-1)</f>
        <v>0.40000000596046448</v>
      </c>
      <c r="AO61" s="33">
        <f>MAX([2]Examen31!AO6,[2]Examen32!AO6,[2]Examen33!AO6)</f>
        <v>2.2499999403953552</v>
      </c>
      <c r="AP61" s="32">
        <f>IF($B61,AO61/$B61,-1)</f>
        <v>0.89999997615814209</v>
      </c>
      <c r="AQ61" s="33">
        <f>MAX([2]Examen31!AQ6,[2]Examen32!AQ6,[2]Examen33!AQ6)</f>
        <v>0.5000000074505806</v>
      </c>
      <c r="AR61" s="32">
        <f>IF($B61,AQ61/$B61,-1)</f>
        <v>0.20000000298023224</v>
      </c>
      <c r="AS61" s="33">
        <f>MAX([2]Examen31!AS6,[2]Examen32!AS6,[2]Examen33!AS6)</f>
        <v>2.0000000298023224</v>
      </c>
      <c r="AT61" s="32">
        <f>IF($B61,AS61/$B61,-1)</f>
        <v>0.80000001192092896</v>
      </c>
      <c r="AU61" s="33">
        <f>MAX([2]Examen31!AU6,[2]Examen32!AU6,[2]Examen33!AU6)</f>
        <v>2.2499999403953552</v>
      </c>
      <c r="AV61" s="32">
        <f>IF($B61,AU61/$B61,-1)</f>
        <v>0.89999997615814209</v>
      </c>
      <c r="AW61" s="33">
        <f>MAX([2]Examen31!AW6,[2]Examen32!AW6,[2]Examen33!AW6)</f>
        <v>0.5000000074505806</v>
      </c>
      <c r="AX61" s="32">
        <f>IF($B61,AW61/$B61,-1)</f>
        <v>0.20000000298023224</v>
      </c>
      <c r="AY61" s="33">
        <f>MAX([2]Examen31!AY6,[2]Examen32!AY6,[2]Examen33!AY6)</f>
        <v>2.5</v>
      </c>
      <c r="AZ61" s="32">
        <f>IF($B61,AY61/$B61,-1)</f>
        <v>1</v>
      </c>
      <c r="BA61" s="33">
        <f>MAX([2]Examen31!BA6,[2]Examen32!BA6,[2]Examen33!BA6)</f>
        <v>2.5</v>
      </c>
      <c r="BB61" s="32">
        <f>IF($B61,BA61/$B61,-1)</f>
        <v>1</v>
      </c>
      <c r="BC61" s="33">
        <f>MAX([2]Examen31!BC6,[2]Examen32!BC6,[2]Examen33!BC6)</f>
        <v>2.2499999403953552</v>
      </c>
      <c r="BD61" s="32">
        <f>IF($B61,BC61/$B61,-1)</f>
        <v>0.89999997615814209</v>
      </c>
      <c r="BE61" s="33">
        <f>MAX([2]Examen31!BE6,[2]Examen32!BE6,[2]Examen33!BE6)</f>
        <v>1.25</v>
      </c>
      <c r="BF61" s="32">
        <f>IF($B61,BE61/$B61,-1)</f>
        <v>0.5</v>
      </c>
      <c r="BG61" s="33">
        <f>MAX([2]Examen31!BG6,[2]Examen32!BG6,[2]Examen33!BG6)</f>
        <v>1.7499999701976776</v>
      </c>
      <c r="BH61" s="32">
        <f>IF($B61,BG61/$B61,-1)</f>
        <v>0.69999998807907104</v>
      </c>
      <c r="BI61" s="33">
        <f>MAX([2]Examen31!BI6,[2]Examen32!BI6,[2]Examen33!BI6)</f>
        <v>1.25</v>
      </c>
      <c r="BJ61" s="32">
        <f>IF($B61,BI61/$B61,-1)</f>
        <v>0.5</v>
      </c>
    </row>
    <row r="62" spans="1:62" ht="56" x14ac:dyDescent="0.2">
      <c r="A62" s="2" t="s">
        <v>61</v>
      </c>
      <c r="B62" s="13">
        <f>MAX([2]Examen31!B7,[2]Examen32!B7,[2]Examen33!B7)</f>
        <v>2.5</v>
      </c>
      <c r="C62" s="33">
        <f>MAX([2]Examen31!C7,[2]Examen32!C7,[2]Examen33!C7)</f>
        <v>0.2500000037252903</v>
      </c>
      <c r="D62" s="32">
        <f>IF($B62,C62/$B62,-1)</f>
        <v>0.10000000149011612</v>
      </c>
      <c r="E62" s="33">
        <f>MAX([2]Examen31!E7,[2]Examen32!E7,[2]Examen33!E7)</f>
        <v>1.7499999701976776</v>
      </c>
      <c r="F62" s="32">
        <f>IF($B62,E62/$B62,-1)</f>
        <v>0.69999998807907104</v>
      </c>
      <c r="G62" s="33">
        <f>MAX([2]Examen31!G7,[2]Examen32!G7,[2]Examen33!G7)</f>
        <v>1.5000000596046448</v>
      </c>
      <c r="H62" s="32">
        <f>IF($B62,G62/$B62,-1)</f>
        <v>0.60000002384185791</v>
      </c>
      <c r="I62" s="33">
        <f>MAX([2]Examen31!I7,[2]Examen32!I7,[2]Examen33!I7)</f>
        <v>2.2499999403953552</v>
      </c>
      <c r="J62" s="32">
        <f>IF($B62,I62/$B62,-1)</f>
        <v>0.89999997615814209</v>
      </c>
      <c r="K62" s="33">
        <f>MAX([2]Examen31!K7,[2]Examen32!K7,[2]Examen33!K7)</f>
        <v>1.0000000149011612</v>
      </c>
      <c r="L62" s="32">
        <f>IF($B62,K62/$B62,-1)</f>
        <v>0.40000000596046448</v>
      </c>
      <c r="M62" s="33">
        <f>MAX([2]Examen31!M7,[2]Examen32!M7,[2]Examen33!M7)</f>
        <v>0</v>
      </c>
      <c r="N62" s="32">
        <f>IF($B62,M62/$B62,-1)</f>
        <v>0</v>
      </c>
      <c r="O62" s="33">
        <f>MAX([2]Examen31!O7,[2]Examen32!O7,[2]Examen33!O7)</f>
        <v>1.25</v>
      </c>
      <c r="P62" s="32">
        <f>IF($B62,O62/$B62,-1)</f>
        <v>0.5</v>
      </c>
      <c r="Q62" s="33">
        <f>MAX([2]Examen31!Q7,[2]Examen32!Q7,[2]Examen33!Q7)</f>
        <v>0</v>
      </c>
      <c r="R62" s="32">
        <f>IF($B62,Q62/$B62,-1)</f>
        <v>0</v>
      </c>
      <c r="S62" s="33">
        <f>MAX([2]Examen31!S7,[2]Examen32!S7,[2]Examen33!S7)</f>
        <v>1.0000000149011612</v>
      </c>
      <c r="T62" s="32">
        <f>IF($B62,S62/$B62,-1)</f>
        <v>0.40000000596046448</v>
      </c>
      <c r="U62" s="33">
        <f>MAX([2]Examen31!U7,[2]Examen32!U7,[2]Examen33!U7)</f>
        <v>1.0000000149011612</v>
      </c>
      <c r="V62" s="32">
        <f>IF($B62,U62/$B62,-1)</f>
        <v>0.40000000596046448</v>
      </c>
      <c r="W62" s="33">
        <f>MAX([2]Examen31!W7,[2]Examen32!W7,[2]Examen33!W7)</f>
        <v>0.75000002980232239</v>
      </c>
      <c r="X62" s="32">
        <f>IF($B62,W62/$B62,-1)</f>
        <v>0.30000001192092896</v>
      </c>
      <c r="Y62" s="33">
        <f>MAX([2]Examen31!Y7,[2]Examen32!Y7,[2]Examen33!Y7)</f>
        <v>2.5</v>
      </c>
      <c r="Z62" s="32">
        <f>IF($B62,Y62/$B62,-1)</f>
        <v>1</v>
      </c>
      <c r="AA62" s="33">
        <f>MAX([2]Examen31!AA7,[2]Examen32!AA7,[2]Examen33!AA7)</f>
        <v>0</v>
      </c>
      <c r="AB62" s="32">
        <f>IF($B62,AA62/$B62,-1)</f>
        <v>0</v>
      </c>
      <c r="AC62" s="33">
        <f>MAX([2]Examen31!AC7,[2]Examen32!AC7,[2]Examen33!AC7)</f>
        <v>1.7499999701976776</v>
      </c>
      <c r="AD62" s="32">
        <f>IF($B62,AC62/$B62,-1)</f>
        <v>0.69999998807907104</v>
      </c>
      <c r="AE62" s="33">
        <f>MAX([2]Examen31!AE7,[2]Examen32!AE7,[2]Examen33!AE7)</f>
        <v>1.5000000596046448</v>
      </c>
      <c r="AF62" s="32">
        <f>IF($B62,AE62/$B62,-1)</f>
        <v>0.60000002384185791</v>
      </c>
      <c r="AG62" s="33">
        <f>MAX([2]Examen31!AG7,[2]Examen32!AG7,[2]Examen33!AG7)</f>
        <v>1.25</v>
      </c>
      <c r="AH62" s="32">
        <f>IF($B62,AG62/$B62,-1)</f>
        <v>0.5</v>
      </c>
      <c r="AI62" s="33">
        <f>MAX([2]Examen31!AI7,[2]Examen32!AI7,[2]Examen33!AI7)</f>
        <v>0</v>
      </c>
      <c r="AJ62" s="32">
        <f>IF($B62,AI62/$B62,-1)</f>
        <v>0</v>
      </c>
      <c r="AK62" s="33">
        <f>MAX([2]Examen31!AK7,[2]Examen32!AK7,[2]Examen33!AK7)</f>
        <v>1.7499999701976776</v>
      </c>
      <c r="AL62" s="32">
        <f>IF($B62,AK62/$B62,-1)</f>
        <v>0.69999998807907104</v>
      </c>
      <c r="AM62" s="33">
        <f>MAX([2]Examen31!AM7,[2]Examen32!AM7,[2]Examen33!AM7)</f>
        <v>0.75000002980232239</v>
      </c>
      <c r="AN62" s="32">
        <f>IF($B62,AM62/$B62,-1)</f>
        <v>0.30000001192092896</v>
      </c>
      <c r="AO62" s="33">
        <f>MAX([2]Examen31!AO7,[2]Examen32!AO7,[2]Examen33!AO7)</f>
        <v>2.5</v>
      </c>
      <c r="AP62" s="32">
        <f>IF($B62,AO62/$B62,-1)</f>
        <v>1</v>
      </c>
      <c r="AQ62" s="33">
        <f>MAX([2]Examen31!AQ7,[2]Examen32!AQ7,[2]Examen33!AQ7)</f>
        <v>0.75000002980232239</v>
      </c>
      <c r="AR62" s="32">
        <f>IF($B62,AQ62/$B62,-1)</f>
        <v>0.30000001192092896</v>
      </c>
      <c r="AS62" s="33">
        <f>MAX([2]Examen31!AS7,[2]Examen32!AS7,[2]Examen33!AS7)</f>
        <v>1.0000000149011612</v>
      </c>
      <c r="AT62" s="32">
        <f>IF($B62,AS62/$B62,-1)</f>
        <v>0.40000000596046448</v>
      </c>
      <c r="AU62" s="33">
        <f>MAX([2]Examen31!AU7,[2]Examen32!AU7,[2]Examen33!AU7)</f>
        <v>0.75000002980232239</v>
      </c>
      <c r="AV62" s="32">
        <f>IF($B62,AU62/$B62,-1)</f>
        <v>0.30000001192092896</v>
      </c>
      <c r="AW62" s="33">
        <f>MAX([2]Examen31!AW7,[2]Examen32!AW7,[2]Examen33!AW7)</f>
        <v>0.75000002980232239</v>
      </c>
      <c r="AX62" s="32">
        <f>IF($B62,AW62/$B62,-1)</f>
        <v>0.30000001192092896</v>
      </c>
      <c r="AY62" s="33">
        <f>MAX([2]Examen31!AY7,[2]Examen32!AY7,[2]Examen33!AY7)</f>
        <v>0.5000000074505806</v>
      </c>
      <c r="AZ62" s="32">
        <f>IF($B62,AY62/$B62,-1)</f>
        <v>0.20000000298023224</v>
      </c>
      <c r="BA62" s="33">
        <f>MAX([2]Examen31!BA7,[2]Examen32!BA7,[2]Examen33!BA7)</f>
        <v>1.5000000596046448</v>
      </c>
      <c r="BB62" s="32">
        <f>IF($B62,BA62/$B62,-1)</f>
        <v>0.60000002384185791</v>
      </c>
      <c r="BC62" s="33">
        <f>MAX([2]Examen31!BC7,[2]Examen32!BC7,[2]Examen33!BC7)</f>
        <v>1.7499999701976776</v>
      </c>
      <c r="BD62" s="32">
        <f>IF($B62,BC62/$B62,-1)</f>
        <v>0.69999998807907104</v>
      </c>
      <c r="BE62" s="33">
        <f>MAX([2]Examen31!BE7,[2]Examen32!BE7,[2]Examen33!BE7)</f>
        <v>0.5000000074505806</v>
      </c>
      <c r="BF62" s="32">
        <f>IF($B62,BE62/$B62,-1)</f>
        <v>0.20000000298023224</v>
      </c>
      <c r="BG62" s="33">
        <f>MAX([2]Examen31!BG7,[2]Examen32!BG7,[2]Examen33!BG7)</f>
        <v>1.5000000596046448</v>
      </c>
      <c r="BH62" s="32">
        <f>IF($B62,BG62/$B62,-1)</f>
        <v>0.60000002384185791</v>
      </c>
      <c r="BI62" s="33">
        <f>MAX([2]Examen31!BI7,[2]Examen32!BI7,[2]Examen33!BI7)</f>
        <v>1.5000000596046448</v>
      </c>
      <c r="BJ62" s="32">
        <f>IF($B62,BI62/$B62,-1)</f>
        <v>0.60000002384185791</v>
      </c>
    </row>
    <row r="63" spans="1:62" ht="42" x14ac:dyDescent="0.2">
      <c r="A63" s="2" t="s">
        <v>62</v>
      </c>
      <c r="B63" s="13">
        <f>MAX([2]Examen31!B8,[2]Examen32!B8,[2]Examen33!B8)</f>
        <v>2.5</v>
      </c>
      <c r="C63" s="33">
        <f>MAX([2]Examen31!C8,[2]Examen32!C8,[2]Examen33!C8)</f>
        <v>2.5</v>
      </c>
      <c r="D63" s="32">
        <f>IF($B63,C63/$B63,-1)</f>
        <v>1</v>
      </c>
      <c r="E63" s="33">
        <f>MAX([2]Examen31!E8,[2]Examen32!E8,[2]Examen33!E8)</f>
        <v>2.5</v>
      </c>
      <c r="F63" s="32">
        <f>IF($B63,E63/$B63,-1)</f>
        <v>1</v>
      </c>
      <c r="G63" s="33">
        <f>MAX([2]Examen31!G8,[2]Examen32!G8,[2]Examen33!G8)</f>
        <v>0.5000000074505806</v>
      </c>
      <c r="H63" s="32">
        <f>IF($B63,G63/$B63,-1)</f>
        <v>0.20000000298023224</v>
      </c>
      <c r="I63" s="33">
        <f>MAX([2]Examen31!I8,[2]Examen32!I8,[2]Examen33!I8)</f>
        <v>2.0000000298023224</v>
      </c>
      <c r="J63" s="32">
        <f>IF($B63,I63/$B63,-1)</f>
        <v>0.80000001192092896</v>
      </c>
      <c r="K63" s="33">
        <f>MAX([2]Examen31!K8,[2]Examen32!K8,[2]Examen33!K8)</f>
        <v>2.0000000298023224</v>
      </c>
      <c r="L63" s="32">
        <f>IF($B63,K63/$B63,-1)</f>
        <v>0.80000001192092896</v>
      </c>
      <c r="M63" s="33">
        <f>MAX([2]Examen31!M8,[2]Examen32!M8,[2]Examen33!M8)</f>
        <v>1.0000000149011612</v>
      </c>
      <c r="N63" s="32">
        <f>IF($B63,M63/$B63,-1)</f>
        <v>0.40000000596046448</v>
      </c>
      <c r="O63" s="33">
        <f>MAX([2]Examen31!O8,[2]Examen32!O8,[2]Examen33!O8)</f>
        <v>1.5000000596046448</v>
      </c>
      <c r="P63" s="32">
        <f>IF($B63,O63/$B63,-1)</f>
        <v>0.60000002384185791</v>
      </c>
      <c r="Q63" s="33">
        <f>MAX([2]Examen31!Q8,[2]Examen32!Q8,[2]Examen33!Q8)</f>
        <v>1.25</v>
      </c>
      <c r="R63" s="32">
        <f>IF($B63,Q63/$B63,-1)</f>
        <v>0.5</v>
      </c>
      <c r="S63" s="33">
        <f>MAX([2]Examen31!S8,[2]Examen32!S8,[2]Examen33!S8)</f>
        <v>1.25</v>
      </c>
      <c r="T63" s="32">
        <f>IF($B63,S63/$B63,-1)</f>
        <v>0.5</v>
      </c>
      <c r="U63" s="33">
        <f>MAX([2]Examen31!U8,[2]Examen32!U8,[2]Examen33!U8)</f>
        <v>0.2500000037252903</v>
      </c>
      <c r="V63" s="32">
        <f>IF($B63,U63/$B63,-1)</f>
        <v>0.10000000149011612</v>
      </c>
      <c r="W63" s="33">
        <f>MAX([2]Examen31!W8,[2]Examen32!W8,[2]Examen33!W8)</f>
        <v>2.5</v>
      </c>
      <c r="X63" s="32">
        <f>IF($B63,W63/$B63,-1)</f>
        <v>1</v>
      </c>
      <c r="Y63" s="33">
        <f>MAX([2]Examen31!Y8,[2]Examen32!Y8,[2]Examen33!Y8)</f>
        <v>0.2500000037252903</v>
      </c>
      <c r="Z63" s="32">
        <f>IF($B63,Y63/$B63,-1)</f>
        <v>0.10000000149011612</v>
      </c>
      <c r="AA63" s="33">
        <f>MAX([2]Examen31!AA8,[2]Examen32!AA8,[2]Examen33!AA8)</f>
        <v>1.5000000596046448</v>
      </c>
      <c r="AB63" s="32">
        <f>IF($B63,AA63/$B63,-1)</f>
        <v>0.60000002384185791</v>
      </c>
      <c r="AC63" s="33">
        <f>MAX([2]Examen31!AC8,[2]Examen32!AC8,[2]Examen33!AC8)</f>
        <v>1.7499999701976776</v>
      </c>
      <c r="AD63" s="32">
        <f>IF($B63,AC63/$B63,-1)</f>
        <v>0.69999998807907104</v>
      </c>
      <c r="AE63" s="33">
        <f>MAX([2]Examen31!AE8,[2]Examen32!AE8,[2]Examen33!AE8)</f>
        <v>0.2500000037252903</v>
      </c>
      <c r="AF63" s="32">
        <f>IF($B63,AE63/$B63,-1)</f>
        <v>0.10000000149011612</v>
      </c>
      <c r="AG63" s="33">
        <f>MAX([2]Examen31!AG8,[2]Examen32!AG8,[2]Examen33!AG8)</f>
        <v>1.7499999701976776</v>
      </c>
      <c r="AH63" s="32">
        <f>IF($B63,AG63/$B63,-1)</f>
        <v>0.69999998807907104</v>
      </c>
      <c r="AI63" s="33">
        <f>MAX([2]Examen31!AI8,[2]Examen32!AI8,[2]Examen33!AI8)</f>
        <v>2.0000000298023224</v>
      </c>
      <c r="AJ63" s="32">
        <f>IF($B63,AI63/$B63,-1)</f>
        <v>0.80000001192092896</v>
      </c>
      <c r="AK63" s="33">
        <f>MAX([2]Examen31!AK8,[2]Examen32!AK8,[2]Examen33!AK8)</f>
        <v>2.0000000298023224</v>
      </c>
      <c r="AL63" s="32">
        <f>IF($B63,AK63/$B63,-1)</f>
        <v>0.80000001192092896</v>
      </c>
      <c r="AM63" s="33">
        <f>MAX([2]Examen31!AM8,[2]Examen32!AM8,[2]Examen33!AM8)</f>
        <v>1.0000000149011612</v>
      </c>
      <c r="AN63" s="32">
        <f>IF($B63,AM63/$B63,-1)</f>
        <v>0.40000000596046448</v>
      </c>
      <c r="AO63" s="33">
        <f>MAX([2]Examen31!AO8,[2]Examen32!AO8,[2]Examen33!AO8)</f>
        <v>0</v>
      </c>
      <c r="AP63" s="32">
        <f>IF($B63,AO63/$B63,-1)</f>
        <v>0</v>
      </c>
      <c r="AQ63" s="33">
        <f>MAX([2]Examen31!AQ8,[2]Examen32!AQ8,[2]Examen33!AQ8)</f>
        <v>1.25</v>
      </c>
      <c r="AR63" s="32">
        <f>IF($B63,AQ63/$B63,-1)</f>
        <v>0.5</v>
      </c>
      <c r="AS63" s="33">
        <f>MAX([2]Examen31!AS8,[2]Examen32!AS8,[2]Examen33!AS8)</f>
        <v>1.5000000596046448</v>
      </c>
      <c r="AT63" s="32">
        <f>IF($B63,AS63/$B63,-1)</f>
        <v>0.60000002384185791</v>
      </c>
      <c r="AU63" s="33">
        <f>MAX([2]Examen31!AU8,[2]Examen32!AU8,[2]Examen33!AU8)</f>
        <v>0</v>
      </c>
      <c r="AV63" s="32">
        <f>IF($B63,AU63/$B63,-1)</f>
        <v>0</v>
      </c>
      <c r="AW63" s="33">
        <f>MAX([2]Examen31!AW8,[2]Examen32!AW8,[2]Examen33!AW8)</f>
        <v>1.0000000149011612</v>
      </c>
      <c r="AX63" s="32">
        <f>IF($B63,AW63/$B63,-1)</f>
        <v>0.40000000596046448</v>
      </c>
      <c r="AY63" s="33">
        <f>MAX([2]Examen31!AY8,[2]Examen32!AY8,[2]Examen33!AY8)</f>
        <v>0.2500000037252903</v>
      </c>
      <c r="AZ63" s="32">
        <f>IF($B63,AY63/$B63,-1)</f>
        <v>0.10000000149011612</v>
      </c>
      <c r="BA63" s="33">
        <f>MAX([2]Examen31!BA8,[2]Examen32!BA8,[2]Examen33!BA8)</f>
        <v>0.2500000037252903</v>
      </c>
      <c r="BB63" s="32">
        <f>IF($B63,BA63/$B63,-1)</f>
        <v>0.10000000149011612</v>
      </c>
      <c r="BC63" s="33">
        <f>MAX([2]Examen31!BC8,[2]Examen32!BC8,[2]Examen33!BC8)</f>
        <v>0.75000002980232239</v>
      </c>
      <c r="BD63" s="32">
        <f>IF($B63,BC63/$B63,-1)</f>
        <v>0.30000001192092896</v>
      </c>
      <c r="BE63" s="33">
        <f>MAX([2]Examen31!BE8,[2]Examen32!BE8,[2]Examen33!BE8)</f>
        <v>2.5</v>
      </c>
      <c r="BF63" s="32">
        <f>IF($B63,BE63/$B63,-1)</f>
        <v>1</v>
      </c>
      <c r="BG63" s="33">
        <f>MAX([2]Examen31!BG8,[2]Examen32!BG8,[2]Examen33!BG8)</f>
        <v>1.5000000596046448</v>
      </c>
      <c r="BH63" s="32">
        <f>IF($B63,BG63/$B63,-1)</f>
        <v>0.60000002384185791</v>
      </c>
      <c r="BI63" s="33">
        <f>MAX([2]Examen31!BI8,[2]Examen32!BI8,[2]Examen33!BI8)</f>
        <v>0.75000002980232239</v>
      </c>
      <c r="BJ63" s="32">
        <f>IF($B63,BI63/$B63,-1)</f>
        <v>0.30000001192092896</v>
      </c>
    </row>
    <row r="64" spans="1:62" ht="38" x14ac:dyDescent="0.2">
      <c r="A64" s="6" t="s">
        <v>7</v>
      </c>
      <c r="B64" s="7">
        <f>Estructura!D7</f>
        <v>0.1</v>
      </c>
      <c r="C64" s="58" t="str">
        <f>IF(SUM($B65:$B85)&lt;&gt;0,SUM(C65:C85)/SUM($B65:$B85)*$B64*10, "")</f>
        <v/>
      </c>
      <c r="D64" s="58"/>
      <c r="E64" s="58" t="str">
        <f>IF(SUM($B65:$B85)&lt;&gt;0,SUM(E65:E85)/SUM($B65:$B85)*$B64*10, "")</f>
        <v/>
      </c>
      <c r="F64" s="58"/>
      <c r="G64" s="58" t="str">
        <f>IF(SUM($B65:$B85)&lt;&gt;0,SUM(G65:G85)/SUM($B65:$B85)*$B64*10, "")</f>
        <v/>
      </c>
      <c r="H64" s="58"/>
      <c r="I64" s="58" t="str">
        <f>IF(SUM($B65:$B85)&lt;&gt;0,SUM(I65:I85)/SUM($B65:$B85)*$B64*10, "")</f>
        <v/>
      </c>
      <c r="J64" s="58"/>
      <c r="K64" s="58" t="str">
        <f>IF(SUM($B65:$B85)&lt;&gt;0,SUM(K65:K85)/SUM($B65:$B85)*$B64*10, "")</f>
        <v/>
      </c>
      <c r="L64" s="58"/>
      <c r="M64" s="58" t="str">
        <f>IF(SUM($B65:$B85)&lt;&gt;0,SUM(M65:M85)/SUM($B65:$B85)*$B64*10, "")</f>
        <v/>
      </c>
      <c r="N64" s="58"/>
      <c r="O64" s="58" t="str">
        <f>IF(SUM($B65:$B85)&lt;&gt;0,SUM(O65:O85)/SUM($B65:$B85)*$B64*10, "")</f>
        <v/>
      </c>
      <c r="P64" s="58"/>
      <c r="Q64" s="58" t="str">
        <f>IF(SUM($B65:$B85)&lt;&gt;0,SUM(Q65:Q85)/SUM($B65:$B85)*$B64*10, "")</f>
        <v/>
      </c>
      <c r="R64" s="58"/>
      <c r="S64" s="58" t="str">
        <f>IF(SUM($B65:$B85)&lt;&gt;0,SUM(S65:S85)/SUM($B65:$B85)*$B64*10, "")</f>
        <v/>
      </c>
      <c r="T64" s="58"/>
      <c r="U64" s="58" t="str">
        <f>IF(SUM($B65:$B85)&lt;&gt;0,SUM(U65:U85)/SUM($B65:$B85)*$B64*10, "")</f>
        <v/>
      </c>
      <c r="V64" s="58"/>
      <c r="W64" s="58" t="str">
        <f>IF(SUM($B65:$B85)&lt;&gt;0,SUM(W65:W85)/SUM($B65:$B85)*$B64*10, "")</f>
        <v/>
      </c>
      <c r="X64" s="58"/>
      <c r="Y64" s="58" t="str">
        <f>IF(SUM($B65:$B85)&lt;&gt;0,SUM(Y65:Y85)/SUM($B65:$B85)*$B64*10, "")</f>
        <v/>
      </c>
      <c r="Z64" s="58"/>
      <c r="AA64" s="58" t="str">
        <f>IF(SUM($B65:$B85)&lt;&gt;0,SUM(AA65:AA85)/SUM($B65:$B85)*$B64*10, "")</f>
        <v/>
      </c>
      <c r="AB64" s="58"/>
      <c r="AC64" s="58" t="str">
        <f>IF(SUM($B65:$B85)&lt;&gt;0,SUM(AC65:AC85)/SUM($B65:$B85)*$B64*10, "")</f>
        <v/>
      </c>
      <c r="AD64" s="58"/>
      <c r="AE64" s="58" t="str">
        <f>IF(SUM($B65:$B85)&lt;&gt;0,SUM(AE65:AE85)/SUM($B65:$B85)*$B64*10, "")</f>
        <v/>
      </c>
      <c r="AF64" s="58"/>
      <c r="AG64" s="58" t="str">
        <f>IF(SUM($B65:$B85)&lt;&gt;0,SUM(AG65:AG85)/SUM($B65:$B85)*$B64*10, "")</f>
        <v/>
      </c>
      <c r="AH64" s="58"/>
      <c r="AI64" s="58" t="str">
        <f>IF(SUM($B65:$B85)&lt;&gt;0,SUM(AI65:AI85)/SUM($B65:$B85)*$B64*10, "")</f>
        <v/>
      </c>
      <c r="AJ64" s="58"/>
      <c r="AK64" s="58" t="str">
        <f>IF(SUM($B65:$B85)&lt;&gt;0,SUM(AK65:AK85)/SUM($B65:$B85)*$B64*10, "")</f>
        <v/>
      </c>
      <c r="AL64" s="58"/>
      <c r="AM64" s="58" t="str">
        <f>IF(SUM($B65:$B85)&lt;&gt;0,SUM(AM65:AM85)/SUM($B65:$B85)*$B64*10, "")</f>
        <v/>
      </c>
      <c r="AN64" s="58"/>
      <c r="AO64" s="58" t="str">
        <f>IF(SUM($B65:$B85)&lt;&gt;0,SUM(AO65:AO85)/SUM($B65:$B85)*$B64*10, "")</f>
        <v/>
      </c>
      <c r="AP64" s="58"/>
      <c r="AQ64" s="58" t="str">
        <f>IF(SUM($B65:$B85)&lt;&gt;0,SUM(AQ65:AQ85)/SUM($B65:$B85)*$B64*10, "")</f>
        <v/>
      </c>
      <c r="AR64" s="58"/>
      <c r="AS64" s="58" t="str">
        <f>IF(SUM($B65:$B85)&lt;&gt;0,SUM(AS65:AS85)/SUM($B65:$B85)*$B64*10, "")</f>
        <v/>
      </c>
      <c r="AT64" s="58"/>
      <c r="AU64" s="58" t="str">
        <f>IF(SUM($B65:$B85)&lt;&gt;0,SUM(AU65:AU85)/SUM($B65:$B85)*$B64*10, "")</f>
        <v/>
      </c>
      <c r="AV64" s="58"/>
      <c r="AW64" s="58" t="str">
        <f>IF(SUM($B65:$B85)&lt;&gt;0,SUM(AW65:AW85)/SUM($B65:$B85)*$B64*10, "")</f>
        <v/>
      </c>
      <c r="AX64" s="58"/>
      <c r="AY64" s="58" t="str">
        <f>IF(SUM($B65:$B85)&lt;&gt;0,SUM(AY65:AY85)/SUM($B65:$B85)*$B64*10, "")</f>
        <v/>
      </c>
      <c r="AZ64" s="58"/>
      <c r="BA64" s="58" t="str">
        <f>IF(SUM($B65:$B85)&lt;&gt;0,SUM(BA65:BA85)/SUM($B65:$B85)*$B64*10, "")</f>
        <v/>
      </c>
      <c r="BB64" s="58"/>
      <c r="BC64" s="58" t="str">
        <f>IF(SUM($B65:$B85)&lt;&gt;0,SUM(BC65:BC85)/SUM($B65:$B85)*$B64*10, "")</f>
        <v/>
      </c>
      <c r="BD64" s="58"/>
      <c r="BE64" s="58" t="str">
        <f>IF(SUM($B65:$B85)&lt;&gt;0,SUM(BE65:BE85)/SUM($B65:$B85)*$B64*10, "")</f>
        <v/>
      </c>
      <c r="BF64" s="58"/>
      <c r="BG64" s="58" t="str">
        <f>IF(SUM($B65:$B85)&lt;&gt;0,SUM(BG65:BG85)/SUM($B65:$B85)*$B64*10, "")</f>
        <v/>
      </c>
      <c r="BH64" s="58"/>
      <c r="BI64" s="58" t="str">
        <f>IF(SUM($B65:$B85)&lt;&gt;0,SUM(BI65:BI85)/SUM($B65:$B85)*$B64*10, "")</f>
        <v/>
      </c>
      <c r="BJ64" s="58"/>
    </row>
    <row r="65" spans="1:62" ht="56" x14ac:dyDescent="0.2">
      <c r="A65" s="2" t="s">
        <v>63</v>
      </c>
      <c r="B65" s="13">
        <f>MAX([2]Examen31!B10,[2]Examen32!B10,[2]Examen33!B10)</f>
        <v>0</v>
      </c>
      <c r="C65" s="33">
        <f>MAX([2]Examen31!C10,[2]Examen32!C10,[2]Examen33!C10)</f>
        <v>0</v>
      </c>
      <c r="D65" s="32">
        <f t="shared" ref="D65:D85" si="119">IF($B65,C65/$B65,-1)</f>
        <v>-1</v>
      </c>
      <c r="E65" s="33">
        <f>MAX([2]Examen31!E10,[2]Examen32!E10,[2]Examen33!E10)</f>
        <v>0</v>
      </c>
      <c r="F65" s="32">
        <f t="shared" ref="F65:F85" si="120">IF($B65,E65/$B65,-1)</f>
        <v>-1</v>
      </c>
      <c r="G65" s="33">
        <f>MAX([2]Examen31!G10,[2]Examen32!G10,[2]Examen33!G10)</f>
        <v>0</v>
      </c>
      <c r="H65" s="32">
        <f t="shared" ref="H65:H85" si="121">IF($B65,G65/$B65,-1)</f>
        <v>-1</v>
      </c>
      <c r="I65" s="33">
        <f>MAX([2]Examen31!I10,[2]Examen32!I10,[2]Examen33!I10)</f>
        <v>0</v>
      </c>
      <c r="J65" s="32">
        <f t="shared" ref="J65:J85" si="122">IF($B65,I65/$B65,-1)</f>
        <v>-1</v>
      </c>
      <c r="K65" s="33">
        <f>MAX([2]Examen31!K10,[2]Examen32!K10,[2]Examen33!K10)</f>
        <v>0</v>
      </c>
      <c r="L65" s="32">
        <f t="shared" ref="L65:L85" si="123">IF($B65,K65/$B65,-1)</f>
        <v>-1</v>
      </c>
      <c r="M65" s="33">
        <f>MAX([2]Examen31!M10,[2]Examen32!M10,[2]Examen33!M10)</f>
        <v>0</v>
      </c>
      <c r="N65" s="32">
        <f t="shared" ref="N65:N85" si="124">IF($B65,M65/$B65,-1)</f>
        <v>-1</v>
      </c>
      <c r="O65" s="33">
        <f>MAX([2]Examen31!O10,[2]Examen32!O10,[2]Examen33!O10)</f>
        <v>0</v>
      </c>
      <c r="P65" s="32">
        <f t="shared" ref="P65:P85" si="125">IF($B65,O65/$B65,-1)</f>
        <v>-1</v>
      </c>
      <c r="Q65" s="33">
        <f>MAX([2]Examen31!Q10,[2]Examen32!Q10,[2]Examen33!Q10)</f>
        <v>0</v>
      </c>
      <c r="R65" s="32">
        <f t="shared" ref="R65:R85" si="126">IF($B65,Q65/$B65,-1)</f>
        <v>-1</v>
      </c>
      <c r="S65" s="33">
        <f>MAX([2]Examen31!S10,[2]Examen32!S10,[2]Examen33!S10)</f>
        <v>0</v>
      </c>
      <c r="T65" s="32">
        <f t="shared" ref="T65:T85" si="127">IF($B65,S65/$B65,-1)</f>
        <v>-1</v>
      </c>
      <c r="U65" s="33">
        <f>MAX([2]Examen31!U10,[2]Examen32!U10,[2]Examen33!U10)</f>
        <v>0</v>
      </c>
      <c r="V65" s="32">
        <f t="shared" ref="V65:V85" si="128">IF($B65,U65/$B65,-1)</f>
        <v>-1</v>
      </c>
      <c r="W65" s="33">
        <f>MAX([2]Examen31!W10,[2]Examen32!W10,[2]Examen33!W10)</f>
        <v>0</v>
      </c>
      <c r="X65" s="32">
        <f t="shared" ref="X65:X85" si="129">IF($B65,W65/$B65,-1)</f>
        <v>-1</v>
      </c>
      <c r="Y65" s="33">
        <f>MAX([2]Examen31!Y10,[2]Examen32!Y10,[2]Examen33!Y10)</f>
        <v>0</v>
      </c>
      <c r="Z65" s="32">
        <f t="shared" ref="Z65:Z85" si="130">IF($B65,Y65/$B65,-1)</f>
        <v>-1</v>
      </c>
      <c r="AA65" s="33">
        <f>MAX([2]Examen31!AA10,[2]Examen32!AA10,[2]Examen33!AA10)</f>
        <v>0</v>
      </c>
      <c r="AB65" s="32">
        <f t="shared" ref="AB65:AB85" si="131">IF($B65,AA65/$B65,-1)</f>
        <v>-1</v>
      </c>
      <c r="AC65" s="33">
        <f>MAX([2]Examen31!AC10,[2]Examen32!AC10,[2]Examen33!AC10)</f>
        <v>0</v>
      </c>
      <c r="AD65" s="32">
        <f t="shared" ref="AD65:AD85" si="132">IF($B65,AC65/$B65,-1)</f>
        <v>-1</v>
      </c>
      <c r="AE65" s="33">
        <f>MAX([2]Examen31!AE10,[2]Examen32!AE10,[2]Examen33!AE10)</f>
        <v>0</v>
      </c>
      <c r="AF65" s="32">
        <f t="shared" ref="AF65:AF85" si="133">IF($B65,AE65/$B65,-1)</f>
        <v>-1</v>
      </c>
      <c r="AG65" s="33">
        <f>MAX([2]Examen31!AG10,[2]Examen32!AG10,[2]Examen33!AG10)</f>
        <v>0</v>
      </c>
      <c r="AH65" s="32">
        <f t="shared" ref="AH65:AH85" si="134">IF($B65,AG65/$B65,-1)</f>
        <v>-1</v>
      </c>
      <c r="AI65" s="33">
        <f>MAX([2]Examen31!AI10,[2]Examen32!AI10,[2]Examen33!AI10)</f>
        <v>0</v>
      </c>
      <c r="AJ65" s="32">
        <f t="shared" ref="AJ65:AJ85" si="135">IF($B65,AI65/$B65,-1)</f>
        <v>-1</v>
      </c>
      <c r="AK65" s="33">
        <f>MAX([2]Examen31!AK10,[2]Examen32!AK10,[2]Examen33!AK10)</f>
        <v>0</v>
      </c>
      <c r="AL65" s="32">
        <f t="shared" ref="AL65:AL85" si="136">IF($B65,AK65/$B65,-1)</f>
        <v>-1</v>
      </c>
      <c r="AM65" s="33">
        <f>MAX([2]Examen31!AM10,[2]Examen32!AM10,[2]Examen33!AM10)</f>
        <v>0</v>
      </c>
      <c r="AN65" s="32">
        <f t="shared" ref="AN65:AN85" si="137">IF($B65,AM65/$B65,-1)</f>
        <v>-1</v>
      </c>
      <c r="AO65" s="33">
        <f>MAX([2]Examen31!AO10,[2]Examen32!AO10,[2]Examen33!AO10)</f>
        <v>0</v>
      </c>
      <c r="AP65" s="32">
        <f t="shared" ref="AP65:AP85" si="138">IF($B65,AO65/$B65,-1)</f>
        <v>-1</v>
      </c>
      <c r="AQ65" s="33">
        <f>MAX([2]Examen31!AQ10,[2]Examen32!AQ10,[2]Examen33!AQ10)</f>
        <v>0</v>
      </c>
      <c r="AR65" s="32">
        <f t="shared" ref="AR65:AR85" si="139">IF($B65,AQ65/$B65,-1)</f>
        <v>-1</v>
      </c>
      <c r="AS65" s="33">
        <f>MAX([2]Examen31!AS10,[2]Examen32!AS10,[2]Examen33!AS10)</f>
        <v>0</v>
      </c>
      <c r="AT65" s="32">
        <f t="shared" ref="AT65:AT85" si="140">IF($B65,AS65/$B65,-1)</f>
        <v>-1</v>
      </c>
      <c r="AU65" s="33">
        <f>MAX([2]Examen31!AU10,[2]Examen32!AU10,[2]Examen33!AU10)</f>
        <v>0</v>
      </c>
      <c r="AV65" s="32">
        <f t="shared" ref="AV65:AV85" si="141">IF($B65,AU65/$B65,-1)</f>
        <v>-1</v>
      </c>
      <c r="AW65" s="33">
        <f>MAX([2]Examen31!AW10,[2]Examen32!AW10,[2]Examen33!AW10)</f>
        <v>0</v>
      </c>
      <c r="AX65" s="32">
        <f t="shared" ref="AX65:AX85" si="142">IF($B65,AW65/$B65,-1)</f>
        <v>-1</v>
      </c>
      <c r="AY65" s="33">
        <f>MAX([2]Examen31!AY10,[2]Examen32!AY10,[2]Examen33!AY10)</f>
        <v>0</v>
      </c>
      <c r="AZ65" s="32">
        <f t="shared" ref="AZ65:AZ85" si="143">IF($B65,AY65/$B65,-1)</f>
        <v>-1</v>
      </c>
      <c r="BA65" s="33">
        <f>MAX([2]Examen31!BA10,[2]Examen32!BA10,[2]Examen33!BA10)</f>
        <v>0</v>
      </c>
      <c r="BB65" s="32">
        <f t="shared" ref="BB65:BB85" si="144">IF($B65,BA65/$B65,-1)</f>
        <v>-1</v>
      </c>
      <c r="BC65" s="33">
        <f>MAX([2]Examen31!BC10,[2]Examen32!BC10,[2]Examen33!BC10)</f>
        <v>0</v>
      </c>
      <c r="BD65" s="32">
        <f t="shared" ref="BD65:BD85" si="145">IF($B65,BC65/$B65,-1)</f>
        <v>-1</v>
      </c>
      <c r="BE65" s="33">
        <f>MAX([2]Examen31!BE10,[2]Examen32!BE10,[2]Examen33!BE10)</f>
        <v>0</v>
      </c>
      <c r="BF65" s="32">
        <f t="shared" ref="BF65:BF85" si="146">IF($B65,BE65/$B65,-1)</f>
        <v>-1</v>
      </c>
      <c r="BG65" s="33">
        <f>MAX([2]Examen31!BG10,[2]Examen32!BG10,[2]Examen33!BG10)</f>
        <v>0</v>
      </c>
      <c r="BH65" s="32">
        <f t="shared" ref="BH65:BH85" si="147">IF($B65,BG65/$B65,-1)</f>
        <v>-1</v>
      </c>
      <c r="BI65" s="33">
        <f>MAX([2]Examen31!BI10,[2]Examen32!BI10,[2]Examen33!BI10)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MAX([2]Examen31!B11,[2]Examen32!B11,[2]Examen33!B11)</f>
        <v>0</v>
      </c>
      <c r="C66" s="33">
        <f>MAX([2]Examen31!C11,[2]Examen32!C11,[2]Examen33!C11)</f>
        <v>0</v>
      </c>
      <c r="D66" s="32">
        <f t="shared" si="119"/>
        <v>-1</v>
      </c>
      <c r="E66" s="33">
        <f>MAX([2]Examen31!E11,[2]Examen32!E11,[2]Examen33!E11)</f>
        <v>0</v>
      </c>
      <c r="F66" s="32">
        <f t="shared" si="120"/>
        <v>-1</v>
      </c>
      <c r="G66" s="33">
        <f>MAX([2]Examen31!G11,[2]Examen32!G11,[2]Examen33!G11)</f>
        <v>0</v>
      </c>
      <c r="H66" s="32">
        <f t="shared" si="121"/>
        <v>-1</v>
      </c>
      <c r="I66" s="33">
        <f>MAX([2]Examen31!I11,[2]Examen32!I11,[2]Examen33!I11)</f>
        <v>0</v>
      </c>
      <c r="J66" s="32">
        <f t="shared" si="122"/>
        <v>-1</v>
      </c>
      <c r="K66" s="33">
        <f>MAX([2]Examen31!K11,[2]Examen32!K11,[2]Examen33!K11)</f>
        <v>0</v>
      </c>
      <c r="L66" s="32">
        <f t="shared" si="123"/>
        <v>-1</v>
      </c>
      <c r="M66" s="33">
        <f>MAX([2]Examen31!M11,[2]Examen32!M11,[2]Examen33!M11)</f>
        <v>0</v>
      </c>
      <c r="N66" s="32">
        <f t="shared" si="124"/>
        <v>-1</v>
      </c>
      <c r="O66" s="33">
        <f>MAX([2]Examen31!O11,[2]Examen32!O11,[2]Examen33!O11)</f>
        <v>0</v>
      </c>
      <c r="P66" s="32">
        <f t="shared" si="125"/>
        <v>-1</v>
      </c>
      <c r="Q66" s="33">
        <f>MAX([2]Examen31!Q11,[2]Examen32!Q11,[2]Examen33!Q11)</f>
        <v>0</v>
      </c>
      <c r="R66" s="32">
        <f t="shared" si="126"/>
        <v>-1</v>
      </c>
      <c r="S66" s="33">
        <f>MAX([2]Examen31!S11,[2]Examen32!S11,[2]Examen33!S11)</f>
        <v>0</v>
      </c>
      <c r="T66" s="32">
        <f t="shared" si="127"/>
        <v>-1</v>
      </c>
      <c r="U66" s="33">
        <f>MAX([2]Examen31!U11,[2]Examen32!U11,[2]Examen33!U11)</f>
        <v>0</v>
      </c>
      <c r="V66" s="32">
        <f t="shared" si="128"/>
        <v>-1</v>
      </c>
      <c r="W66" s="33">
        <f>MAX([2]Examen31!W11,[2]Examen32!W11,[2]Examen33!W11)</f>
        <v>0</v>
      </c>
      <c r="X66" s="32">
        <f t="shared" si="129"/>
        <v>-1</v>
      </c>
      <c r="Y66" s="33">
        <f>MAX([2]Examen31!Y11,[2]Examen32!Y11,[2]Examen33!Y11)</f>
        <v>0</v>
      </c>
      <c r="Z66" s="32">
        <f t="shared" si="130"/>
        <v>-1</v>
      </c>
      <c r="AA66" s="33">
        <f>MAX([2]Examen31!AA11,[2]Examen32!AA11,[2]Examen33!AA11)</f>
        <v>0</v>
      </c>
      <c r="AB66" s="32">
        <f t="shared" si="131"/>
        <v>-1</v>
      </c>
      <c r="AC66" s="33">
        <f>MAX([2]Examen31!AC11,[2]Examen32!AC11,[2]Examen33!AC11)</f>
        <v>0</v>
      </c>
      <c r="AD66" s="32">
        <f t="shared" si="132"/>
        <v>-1</v>
      </c>
      <c r="AE66" s="33">
        <f>MAX([2]Examen31!AE11,[2]Examen32!AE11,[2]Examen33!AE11)</f>
        <v>0</v>
      </c>
      <c r="AF66" s="32">
        <f t="shared" si="133"/>
        <v>-1</v>
      </c>
      <c r="AG66" s="33">
        <f>MAX([2]Examen31!AG11,[2]Examen32!AG11,[2]Examen33!AG11)</f>
        <v>0</v>
      </c>
      <c r="AH66" s="32">
        <f t="shared" si="134"/>
        <v>-1</v>
      </c>
      <c r="AI66" s="33">
        <f>MAX([2]Examen31!AI11,[2]Examen32!AI11,[2]Examen33!AI11)</f>
        <v>0</v>
      </c>
      <c r="AJ66" s="32">
        <f t="shared" si="135"/>
        <v>-1</v>
      </c>
      <c r="AK66" s="33">
        <f>MAX([2]Examen31!AK11,[2]Examen32!AK11,[2]Examen33!AK11)</f>
        <v>0</v>
      </c>
      <c r="AL66" s="32">
        <f t="shared" si="136"/>
        <v>-1</v>
      </c>
      <c r="AM66" s="33">
        <f>MAX([2]Examen31!AM11,[2]Examen32!AM11,[2]Examen33!AM11)</f>
        <v>0</v>
      </c>
      <c r="AN66" s="32">
        <f t="shared" si="137"/>
        <v>-1</v>
      </c>
      <c r="AO66" s="33">
        <f>MAX([2]Examen31!AO11,[2]Examen32!AO11,[2]Examen33!AO11)</f>
        <v>0</v>
      </c>
      <c r="AP66" s="32">
        <f t="shared" si="138"/>
        <v>-1</v>
      </c>
      <c r="AQ66" s="33">
        <f>MAX([2]Examen31!AQ11,[2]Examen32!AQ11,[2]Examen33!AQ11)</f>
        <v>0</v>
      </c>
      <c r="AR66" s="32">
        <f t="shared" si="139"/>
        <v>-1</v>
      </c>
      <c r="AS66" s="33">
        <f>MAX([2]Examen31!AS11,[2]Examen32!AS11,[2]Examen33!AS11)</f>
        <v>0</v>
      </c>
      <c r="AT66" s="32">
        <f t="shared" si="140"/>
        <v>-1</v>
      </c>
      <c r="AU66" s="33">
        <f>MAX([2]Examen31!AU11,[2]Examen32!AU11,[2]Examen33!AU11)</f>
        <v>0</v>
      </c>
      <c r="AV66" s="32">
        <f t="shared" si="141"/>
        <v>-1</v>
      </c>
      <c r="AW66" s="33">
        <f>MAX([2]Examen31!AW11,[2]Examen32!AW11,[2]Examen33!AW11)</f>
        <v>0</v>
      </c>
      <c r="AX66" s="32">
        <f t="shared" si="142"/>
        <v>-1</v>
      </c>
      <c r="AY66" s="33">
        <f>MAX([2]Examen31!AY11,[2]Examen32!AY11,[2]Examen33!AY11)</f>
        <v>0</v>
      </c>
      <c r="AZ66" s="32">
        <f t="shared" si="143"/>
        <v>-1</v>
      </c>
      <c r="BA66" s="33">
        <f>MAX([2]Examen31!BA11,[2]Examen32!BA11,[2]Examen33!BA11)</f>
        <v>0</v>
      </c>
      <c r="BB66" s="32">
        <f t="shared" si="144"/>
        <v>-1</v>
      </c>
      <c r="BC66" s="33">
        <f>MAX([2]Examen31!BC11,[2]Examen32!BC11,[2]Examen33!BC11)</f>
        <v>0</v>
      </c>
      <c r="BD66" s="32">
        <f t="shared" si="145"/>
        <v>-1</v>
      </c>
      <c r="BE66" s="33">
        <f>MAX([2]Examen31!BE11,[2]Examen32!BE11,[2]Examen33!BE11)</f>
        <v>0</v>
      </c>
      <c r="BF66" s="32">
        <f t="shared" si="146"/>
        <v>-1</v>
      </c>
      <c r="BG66" s="33">
        <f>MAX([2]Examen31!BG11,[2]Examen32!BG11,[2]Examen33!BG11)</f>
        <v>0</v>
      </c>
      <c r="BH66" s="32">
        <f t="shared" si="147"/>
        <v>-1</v>
      </c>
      <c r="BI66" s="33">
        <f>MAX([2]Examen31!BI11,[2]Examen32!BI11,[2]Examen33!BI11)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MAX([2]Examen31!B12,[2]Examen32!B12,[2]Examen33!B12)</f>
        <v>0</v>
      </c>
      <c r="C67" s="33">
        <f>MAX([2]Examen31!C12,[2]Examen32!C12,[2]Examen33!C12)</f>
        <v>0</v>
      </c>
      <c r="D67" s="32">
        <f t="shared" si="119"/>
        <v>-1</v>
      </c>
      <c r="E67" s="33">
        <f>MAX([2]Examen31!E12,[2]Examen32!E12,[2]Examen33!E12)</f>
        <v>0</v>
      </c>
      <c r="F67" s="32">
        <f t="shared" si="120"/>
        <v>-1</v>
      </c>
      <c r="G67" s="33">
        <f>MAX([2]Examen31!G12,[2]Examen32!G12,[2]Examen33!G12)</f>
        <v>0</v>
      </c>
      <c r="H67" s="32">
        <f t="shared" si="121"/>
        <v>-1</v>
      </c>
      <c r="I67" s="33">
        <f>MAX([2]Examen31!I12,[2]Examen32!I12,[2]Examen33!I12)</f>
        <v>0</v>
      </c>
      <c r="J67" s="32">
        <f t="shared" si="122"/>
        <v>-1</v>
      </c>
      <c r="K67" s="33">
        <f>MAX([2]Examen31!K12,[2]Examen32!K12,[2]Examen33!K12)</f>
        <v>0</v>
      </c>
      <c r="L67" s="32">
        <f t="shared" si="123"/>
        <v>-1</v>
      </c>
      <c r="M67" s="33">
        <f>MAX([2]Examen31!M12,[2]Examen32!M12,[2]Examen33!M12)</f>
        <v>0</v>
      </c>
      <c r="N67" s="32">
        <f t="shared" si="124"/>
        <v>-1</v>
      </c>
      <c r="O67" s="33">
        <f>MAX([2]Examen31!O12,[2]Examen32!O12,[2]Examen33!O12)</f>
        <v>0</v>
      </c>
      <c r="P67" s="32">
        <f t="shared" si="125"/>
        <v>-1</v>
      </c>
      <c r="Q67" s="33">
        <f>MAX([2]Examen31!Q12,[2]Examen32!Q12,[2]Examen33!Q12)</f>
        <v>0</v>
      </c>
      <c r="R67" s="32">
        <f t="shared" si="126"/>
        <v>-1</v>
      </c>
      <c r="S67" s="33">
        <f>MAX([2]Examen31!S12,[2]Examen32!S12,[2]Examen33!S12)</f>
        <v>0</v>
      </c>
      <c r="T67" s="32">
        <f t="shared" si="127"/>
        <v>-1</v>
      </c>
      <c r="U67" s="33">
        <f>MAX([2]Examen31!U12,[2]Examen32!U12,[2]Examen33!U12)</f>
        <v>0</v>
      </c>
      <c r="V67" s="32">
        <f t="shared" si="128"/>
        <v>-1</v>
      </c>
      <c r="W67" s="33">
        <f>MAX([2]Examen31!W12,[2]Examen32!W12,[2]Examen33!W12)</f>
        <v>0</v>
      </c>
      <c r="X67" s="32">
        <f t="shared" si="129"/>
        <v>-1</v>
      </c>
      <c r="Y67" s="33">
        <f>MAX([2]Examen31!Y12,[2]Examen32!Y12,[2]Examen33!Y12)</f>
        <v>0</v>
      </c>
      <c r="Z67" s="32">
        <f t="shared" si="130"/>
        <v>-1</v>
      </c>
      <c r="AA67" s="33">
        <f>MAX([2]Examen31!AA12,[2]Examen32!AA12,[2]Examen33!AA12)</f>
        <v>0</v>
      </c>
      <c r="AB67" s="32">
        <f t="shared" si="131"/>
        <v>-1</v>
      </c>
      <c r="AC67" s="33">
        <f>MAX([2]Examen31!AC12,[2]Examen32!AC12,[2]Examen33!AC12)</f>
        <v>0</v>
      </c>
      <c r="AD67" s="32">
        <f t="shared" si="132"/>
        <v>-1</v>
      </c>
      <c r="AE67" s="33">
        <f>MAX([2]Examen31!AE12,[2]Examen32!AE12,[2]Examen33!AE12)</f>
        <v>0</v>
      </c>
      <c r="AF67" s="32">
        <f t="shared" si="133"/>
        <v>-1</v>
      </c>
      <c r="AG67" s="33">
        <f>MAX([2]Examen31!AG12,[2]Examen32!AG12,[2]Examen33!AG12)</f>
        <v>0</v>
      </c>
      <c r="AH67" s="32">
        <f t="shared" si="134"/>
        <v>-1</v>
      </c>
      <c r="AI67" s="33">
        <f>MAX([2]Examen31!AI12,[2]Examen32!AI12,[2]Examen33!AI12)</f>
        <v>0</v>
      </c>
      <c r="AJ67" s="32">
        <f t="shared" si="135"/>
        <v>-1</v>
      </c>
      <c r="AK67" s="33">
        <f>MAX([2]Examen31!AK12,[2]Examen32!AK12,[2]Examen33!AK12)</f>
        <v>0</v>
      </c>
      <c r="AL67" s="32">
        <f t="shared" si="136"/>
        <v>-1</v>
      </c>
      <c r="AM67" s="33">
        <f>MAX([2]Examen31!AM12,[2]Examen32!AM12,[2]Examen33!AM12)</f>
        <v>0</v>
      </c>
      <c r="AN67" s="32">
        <f t="shared" si="137"/>
        <v>-1</v>
      </c>
      <c r="AO67" s="33">
        <f>MAX([2]Examen31!AO12,[2]Examen32!AO12,[2]Examen33!AO12)</f>
        <v>0</v>
      </c>
      <c r="AP67" s="32">
        <f t="shared" si="138"/>
        <v>-1</v>
      </c>
      <c r="AQ67" s="33">
        <f>MAX([2]Examen31!AQ12,[2]Examen32!AQ12,[2]Examen33!AQ12)</f>
        <v>0</v>
      </c>
      <c r="AR67" s="32">
        <f t="shared" si="139"/>
        <v>-1</v>
      </c>
      <c r="AS67" s="33">
        <f>MAX([2]Examen31!AS12,[2]Examen32!AS12,[2]Examen33!AS12)</f>
        <v>0</v>
      </c>
      <c r="AT67" s="32">
        <f t="shared" si="140"/>
        <v>-1</v>
      </c>
      <c r="AU67" s="33">
        <f>MAX([2]Examen31!AU12,[2]Examen32!AU12,[2]Examen33!AU12)</f>
        <v>0</v>
      </c>
      <c r="AV67" s="32">
        <f t="shared" si="141"/>
        <v>-1</v>
      </c>
      <c r="AW67" s="33">
        <f>MAX([2]Examen31!AW12,[2]Examen32!AW12,[2]Examen33!AW12)</f>
        <v>0</v>
      </c>
      <c r="AX67" s="32">
        <f t="shared" si="142"/>
        <v>-1</v>
      </c>
      <c r="AY67" s="33">
        <f>MAX([2]Examen31!AY12,[2]Examen32!AY12,[2]Examen33!AY12)</f>
        <v>0</v>
      </c>
      <c r="AZ67" s="32">
        <f t="shared" si="143"/>
        <v>-1</v>
      </c>
      <c r="BA67" s="33">
        <f>MAX([2]Examen31!BA12,[2]Examen32!BA12,[2]Examen33!BA12)</f>
        <v>0</v>
      </c>
      <c r="BB67" s="32">
        <f t="shared" si="144"/>
        <v>-1</v>
      </c>
      <c r="BC67" s="33">
        <f>MAX([2]Examen31!BC12,[2]Examen32!BC12,[2]Examen33!BC12)</f>
        <v>0</v>
      </c>
      <c r="BD67" s="32">
        <f t="shared" si="145"/>
        <v>-1</v>
      </c>
      <c r="BE67" s="33">
        <f>MAX([2]Examen31!BE12,[2]Examen32!BE12,[2]Examen33!BE12)</f>
        <v>0</v>
      </c>
      <c r="BF67" s="32">
        <f t="shared" si="146"/>
        <v>-1</v>
      </c>
      <c r="BG67" s="33">
        <f>MAX([2]Examen31!BG12,[2]Examen32!BG12,[2]Examen33!BG12)</f>
        <v>0</v>
      </c>
      <c r="BH67" s="32">
        <f t="shared" si="147"/>
        <v>-1</v>
      </c>
      <c r="BI67" s="33">
        <f>MAX([2]Examen31!BI12,[2]Examen32!BI12,[2]Examen33!BI12)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MAX([2]Examen31!B13,[2]Examen32!B13,[2]Examen33!B13)</f>
        <v>0</v>
      </c>
      <c r="C68" s="33">
        <f>MAX([2]Examen31!C13,[2]Examen32!C13,[2]Examen33!C13)</f>
        <v>0</v>
      </c>
      <c r="D68" s="32">
        <f t="shared" si="119"/>
        <v>-1</v>
      </c>
      <c r="E68" s="33">
        <f>MAX([2]Examen31!E13,[2]Examen32!E13,[2]Examen33!E13)</f>
        <v>0</v>
      </c>
      <c r="F68" s="32">
        <f t="shared" si="120"/>
        <v>-1</v>
      </c>
      <c r="G68" s="33">
        <f>MAX([2]Examen31!G13,[2]Examen32!G13,[2]Examen33!G13)</f>
        <v>0</v>
      </c>
      <c r="H68" s="32">
        <f t="shared" si="121"/>
        <v>-1</v>
      </c>
      <c r="I68" s="33">
        <f>MAX([2]Examen31!I13,[2]Examen32!I13,[2]Examen33!I13)</f>
        <v>0</v>
      </c>
      <c r="J68" s="32">
        <f t="shared" si="122"/>
        <v>-1</v>
      </c>
      <c r="K68" s="33">
        <f>MAX([2]Examen31!K13,[2]Examen32!K13,[2]Examen33!K13)</f>
        <v>0</v>
      </c>
      <c r="L68" s="32">
        <f t="shared" si="123"/>
        <v>-1</v>
      </c>
      <c r="M68" s="33">
        <f>MAX([2]Examen31!M13,[2]Examen32!M13,[2]Examen33!M13)</f>
        <v>0</v>
      </c>
      <c r="N68" s="32">
        <f t="shared" si="124"/>
        <v>-1</v>
      </c>
      <c r="O68" s="33">
        <f>MAX([2]Examen31!O13,[2]Examen32!O13,[2]Examen33!O13)</f>
        <v>0</v>
      </c>
      <c r="P68" s="32">
        <f t="shared" si="125"/>
        <v>-1</v>
      </c>
      <c r="Q68" s="33">
        <f>MAX([2]Examen31!Q13,[2]Examen32!Q13,[2]Examen33!Q13)</f>
        <v>0</v>
      </c>
      <c r="R68" s="32">
        <f t="shared" si="126"/>
        <v>-1</v>
      </c>
      <c r="S68" s="33">
        <f>MAX([2]Examen31!S13,[2]Examen32!S13,[2]Examen33!S13)</f>
        <v>0</v>
      </c>
      <c r="T68" s="32">
        <f t="shared" si="127"/>
        <v>-1</v>
      </c>
      <c r="U68" s="33">
        <f>MAX([2]Examen31!U13,[2]Examen32!U13,[2]Examen33!U13)</f>
        <v>0</v>
      </c>
      <c r="V68" s="32">
        <f t="shared" si="128"/>
        <v>-1</v>
      </c>
      <c r="W68" s="33">
        <f>MAX([2]Examen31!W13,[2]Examen32!W13,[2]Examen33!W13)</f>
        <v>0</v>
      </c>
      <c r="X68" s="32">
        <f t="shared" si="129"/>
        <v>-1</v>
      </c>
      <c r="Y68" s="33">
        <f>MAX([2]Examen31!Y13,[2]Examen32!Y13,[2]Examen33!Y13)</f>
        <v>0</v>
      </c>
      <c r="Z68" s="32">
        <f t="shared" si="130"/>
        <v>-1</v>
      </c>
      <c r="AA68" s="33">
        <f>MAX([2]Examen31!AA13,[2]Examen32!AA13,[2]Examen33!AA13)</f>
        <v>0</v>
      </c>
      <c r="AB68" s="32">
        <f t="shared" si="131"/>
        <v>-1</v>
      </c>
      <c r="AC68" s="33">
        <f>MAX([2]Examen31!AC13,[2]Examen32!AC13,[2]Examen33!AC13)</f>
        <v>0</v>
      </c>
      <c r="AD68" s="32">
        <f t="shared" si="132"/>
        <v>-1</v>
      </c>
      <c r="AE68" s="33">
        <f>MAX([2]Examen31!AE13,[2]Examen32!AE13,[2]Examen33!AE13)</f>
        <v>0</v>
      </c>
      <c r="AF68" s="32">
        <f t="shared" si="133"/>
        <v>-1</v>
      </c>
      <c r="AG68" s="33">
        <f>MAX([2]Examen31!AG13,[2]Examen32!AG13,[2]Examen33!AG13)</f>
        <v>0</v>
      </c>
      <c r="AH68" s="32">
        <f t="shared" si="134"/>
        <v>-1</v>
      </c>
      <c r="AI68" s="33">
        <f>MAX([2]Examen31!AI13,[2]Examen32!AI13,[2]Examen33!AI13)</f>
        <v>0</v>
      </c>
      <c r="AJ68" s="32">
        <f t="shared" si="135"/>
        <v>-1</v>
      </c>
      <c r="AK68" s="33">
        <f>MAX([2]Examen31!AK13,[2]Examen32!AK13,[2]Examen33!AK13)</f>
        <v>0</v>
      </c>
      <c r="AL68" s="32">
        <f t="shared" si="136"/>
        <v>-1</v>
      </c>
      <c r="AM68" s="33">
        <f>MAX([2]Examen31!AM13,[2]Examen32!AM13,[2]Examen33!AM13)</f>
        <v>0</v>
      </c>
      <c r="AN68" s="32">
        <f t="shared" si="137"/>
        <v>-1</v>
      </c>
      <c r="AO68" s="33">
        <f>MAX([2]Examen31!AO13,[2]Examen32!AO13,[2]Examen33!AO13)</f>
        <v>0</v>
      </c>
      <c r="AP68" s="32">
        <f t="shared" si="138"/>
        <v>-1</v>
      </c>
      <c r="AQ68" s="33">
        <f>MAX([2]Examen31!AQ13,[2]Examen32!AQ13,[2]Examen33!AQ13)</f>
        <v>0</v>
      </c>
      <c r="AR68" s="32">
        <f t="shared" si="139"/>
        <v>-1</v>
      </c>
      <c r="AS68" s="33">
        <f>MAX([2]Examen31!AS13,[2]Examen32!AS13,[2]Examen33!AS13)</f>
        <v>0</v>
      </c>
      <c r="AT68" s="32">
        <f t="shared" si="140"/>
        <v>-1</v>
      </c>
      <c r="AU68" s="33">
        <f>MAX([2]Examen31!AU13,[2]Examen32!AU13,[2]Examen33!AU13)</f>
        <v>0</v>
      </c>
      <c r="AV68" s="32">
        <f t="shared" si="141"/>
        <v>-1</v>
      </c>
      <c r="AW68" s="33">
        <f>MAX([2]Examen31!AW13,[2]Examen32!AW13,[2]Examen33!AW13)</f>
        <v>0</v>
      </c>
      <c r="AX68" s="32">
        <f t="shared" si="142"/>
        <v>-1</v>
      </c>
      <c r="AY68" s="33">
        <f>MAX([2]Examen31!AY13,[2]Examen32!AY13,[2]Examen33!AY13)</f>
        <v>0</v>
      </c>
      <c r="AZ68" s="32">
        <f t="shared" si="143"/>
        <v>-1</v>
      </c>
      <c r="BA68" s="33">
        <f>MAX([2]Examen31!BA13,[2]Examen32!BA13,[2]Examen33!BA13)</f>
        <v>0</v>
      </c>
      <c r="BB68" s="32">
        <f t="shared" si="144"/>
        <v>-1</v>
      </c>
      <c r="BC68" s="33">
        <f>MAX([2]Examen31!BC13,[2]Examen32!BC13,[2]Examen33!BC13)</f>
        <v>0</v>
      </c>
      <c r="BD68" s="32">
        <f t="shared" si="145"/>
        <v>-1</v>
      </c>
      <c r="BE68" s="33">
        <f>MAX([2]Examen31!BE13,[2]Examen32!BE13,[2]Examen33!BE13)</f>
        <v>0</v>
      </c>
      <c r="BF68" s="32">
        <f t="shared" si="146"/>
        <v>-1</v>
      </c>
      <c r="BG68" s="33">
        <f>MAX([2]Examen31!BG13,[2]Examen32!BG13,[2]Examen33!BG13)</f>
        <v>0</v>
      </c>
      <c r="BH68" s="32">
        <f t="shared" si="147"/>
        <v>-1</v>
      </c>
      <c r="BI68" s="33">
        <f>MAX([2]Examen31!BI13,[2]Examen32!BI13,[2]Examen33!BI13)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MAX([2]Examen31!B14,[2]Examen32!B14,[2]Examen33!B14)</f>
        <v>0</v>
      </c>
      <c r="C69" s="33">
        <f>MAX([2]Examen31!C14,[2]Examen32!C14,[2]Examen33!C14)</f>
        <v>0</v>
      </c>
      <c r="D69" s="32">
        <f t="shared" si="119"/>
        <v>-1</v>
      </c>
      <c r="E69" s="33">
        <f>MAX([2]Examen31!E14,[2]Examen32!E14,[2]Examen33!E14)</f>
        <v>0</v>
      </c>
      <c r="F69" s="32">
        <f t="shared" si="120"/>
        <v>-1</v>
      </c>
      <c r="G69" s="33">
        <f>MAX([2]Examen31!G14,[2]Examen32!G14,[2]Examen33!G14)</f>
        <v>0</v>
      </c>
      <c r="H69" s="32">
        <f t="shared" si="121"/>
        <v>-1</v>
      </c>
      <c r="I69" s="33">
        <f>MAX([2]Examen31!I14,[2]Examen32!I14,[2]Examen33!I14)</f>
        <v>0</v>
      </c>
      <c r="J69" s="32">
        <f t="shared" si="122"/>
        <v>-1</v>
      </c>
      <c r="K69" s="33">
        <f>MAX([2]Examen31!K14,[2]Examen32!K14,[2]Examen33!K14)</f>
        <v>0</v>
      </c>
      <c r="L69" s="32">
        <f t="shared" si="123"/>
        <v>-1</v>
      </c>
      <c r="M69" s="33">
        <f>MAX([2]Examen31!M14,[2]Examen32!M14,[2]Examen33!M14)</f>
        <v>0</v>
      </c>
      <c r="N69" s="32">
        <f t="shared" si="124"/>
        <v>-1</v>
      </c>
      <c r="O69" s="33">
        <f>MAX([2]Examen31!O14,[2]Examen32!O14,[2]Examen33!O14)</f>
        <v>0</v>
      </c>
      <c r="P69" s="32">
        <f t="shared" si="125"/>
        <v>-1</v>
      </c>
      <c r="Q69" s="33">
        <f>MAX([2]Examen31!Q14,[2]Examen32!Q14,[2]Examen33!Q14)</f>
        <v>0</v>
      </c>
      <c r="R69" s="32">
        <f t="shared" si="126"/>
        <v>-1</v>
      </c>
      <c r="S69" s="33">
        <f>MAX([2]Examen31!S14,[2]Examen32!S14,[2]Examen33!S14)</f>
        <v>0</v>
      </c>
      <c r="T69" s="32">
        <f t="shared" si="127"/>
        <v>-1</v>
      </c>
      <c r="U69" s="33">
        <f>MAX([2]Examen31!U14,[2]Examen32!U14,[2]Examen33!U14)</f>
        <v>0</v>
      </c>
      <c r="V69" s="32">
        <f t="shared" si="128"/>
        <v>-1</v>
      </c>
      <c r="W69" s="33">
        <f>MAX([2]Examen31!W14,[2]Examen32!W14,[2]Examen33!W14)</f>
        <v>0</v>
      </c>
      <c r="X69" s="32">
        <f t="shared" si="129"/>
        <v>-1</v>
      </c>
      <c r="Y69" s="33">
        <f>MAX([2]Examen31!Y14,[2]Examen32!Y14,[2]Examen33!Y14)</f>
        <v>0</v>
      </c>
      <c r="Z69" s="32">
        <f t="shared" si="130"/>
        <v>-1</v>
      </c>
      <c r="AA69" s="33">
        <f>MAX([2]Examen31!AA14,[2]Examen32!AA14,[2]Examen33!AA14)</f>
        <v>0</v>
      </c>
      <c r="AB69" s="32">
        <f t="shared" si="131"/>
        <v>-1</v>
      </c>
      <c r="AC69" s="33">
        <f>MAX([2]Examen31!AC14,[2]Examen32!AC14,[2]Examen33!AC14)</f>
        <v>0</v>
      </c>
      <c r="AD69" s="32">
        <f t="shared" si="132"/>
        <v>-1</v>
      </c>
      <c r="AE69" s="33">
        <f>MAX([2]Examen31!AE14,[2]Examen32!AE14,[2]Examen33!AE14)</f>
        <v>0</v>
      </c>
      <c r="AF69" s="32">
        <f t="shared" si="133"/>
        <v>-1</v>
      </c>
      <c r="AG69" s="33">
        <f>MAX([2]Examen31!AG14,[2]Examen32!AG14,[2]Examen33!AG14)</f>
        <v>0</v>
      </c>
      <c r="AH69" s="32">
        <f t="shared" si="134"/>
        <v>-1</v>
      </c>
      <c r="AI69" s="33">
        <f>MAX([2]Examen31!AI14,[2]Examen32!AI14,[2]Examen33!AI14)</f>
        <v>0</v>
      </c>
      <c r="AJ69" s="32">
        <f t="shared" si="135"/>
        <v>-1</v>
      </c>
      <c r="AK69" s="33">
        <f>MAX([2]Examen31!AK14,[2]Examen32!AK14,[2]Examen33!AK14)</f>
        <v>0</v>
      </c>
      <c r="AL69" s="32">
        <f t="shared" si="136"/>
        <v>-1</v>
      </c>
      <c r="AM69" s="33">
        <f>MAX([2]Examen31!AM14,[2]Examen32!AM14,[2]Examen33!AM14)</f>
        <v>0</v>
      </c>
      <c r="AN69" s="32">
        <f t="shared" si="137"/>
        <v>-1</v>
      </c>
      <c r="AO69" s="33">
        <f>MAX([2]Examen31!AO14,[2]Examen32!AO14,[2]Examen33!AO14)</f>
        <v>0</v>
      </c>
      <c r="AP69" s="32">
        <f t="shared" si="138"/>
        <v>-1</v>
      </c>
      <c r="AQ69" s="33">
        <f>MAX([2]Examen31!AQ14,[2]Examen32!AQ14,[2]Examen33!AQ14)</f>
        <v>0</v>
      </c>
      <c r="AR69" s="32">
        <f t="shared" si="139"/>
        <v>-1</v>
      </c>
      <c r="AS69" s="33">
        <f>MAX([2]Examen31!AS14,[2]Examen32!AS14,[2]Examen33!AS14)</f>
        <v>0</v>
      </c>
      <c r="AT69" s="32">
        <f t="shared" si="140"/>
        <v>-1</v>
      </c>
      <c r="AU69" s="33">
        <f>MAX([2]Examen31!AU14,[2]Examen32!AU14,[2]Examen33!AU14)</f>
        <v>0</v>
      </c>
      <c r="AV69" s="32">
        <f t="shared" si="141"/>
        <v>-1</v>
      </c>
      <c r="AW69" s="33">
        <f>MAX([2]Examen31!AW14,[2]Examen32!AW14,[2]Examen33!AW14)</f>
        <v>0</v>
      </c>
      <c r="AX69" s="32">
        <f t="shared" si="142"/>
        <v>-1</v>
      </c>
      <c r="AY69" s="33">
        <f>MAX([2]Examen31!AY14,[2]Examen32!AY14,[2]Examen33!AY14)</f>
        <v>0</v>
      </c>
      <c r="AZ69" s="32">
        <f t="shared" si="143"/>
        <v>-1</v>
      </c>
      <c r="BA69" s="33">
        <f>MAX([2]Examen31!BA14,[2]Examen32!BA14,[2]Examen33!BA14)</f>
        <v>0</v>
      </c>
      <c r="BB69" s="32">
        <f t="shared" si="144"/>
        <v>-1</v>
      </c>
      <c r="BC69" s="33">
        <f>MAX([2]Examen31!BC14,[2]Examen32!BC14,[2]Examen33!BC14)</f>
        <v>0</v>
      </c>
      <c r="BD69" s="32">
        <f t="shared" si="145"/>
        <v>-1</v>
      </c>
      <c r="BE69" s="33">
        <f>MAX([2]Examen31!BE14,[2]Examen32!BE14,[2]Examen33!BE14)</f>
        <v>0</v>
      </c>
      <c r="BF69" s="32">
        <f t="shared" si="146"/>
        <v>-1</v>
      </c>
      <c r="BG69" s="33">
        <f>MAX([2]Examen31!BG14,[2]Examen32!BG14,[2]Examen33!BG14)</f>
        <v>0</v>
      </c>
      <c r="BH69" s="32">
        <f t="shared" si="147"/>
        <v>-1</v>
      </c>
      <c r="BI69" s="33">
        <f>MAX([2]Examen31!BI14,[2]Examen32!BI14,[2]Examen33!BI14)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MAX([2]Examen31!B15,[2]Examen32!B15,[2]Examen33!B15)</f>
        <v>0</v>
      </c>
      <c r="C70" s="33">
        <f>MAX([2]Examen31!C15,[2]Examen32!C15,[2]Examen33!C15)</f>
        <v>0</v>
      </c>
      <c r="D70" s="32">
        <f t="shared" si="119"/>
        <v>-1</v>
      </c>
      <c r="E70" s="33">
        <f>MAX([2]Examen31!E15,[2]Examen32!E15,[2]Examen33!E15)</f>
        <v>0</v>
      </c>
      <c r="F70" s="32">
        <f t="shared" si="120"/>
        <v>-1</v>
      </c>
      <c r="G70" s="33">
        <f>MAX([2]Examen31!G15,[2]Examen32!G15,[2]Examen33!G15)</f>
        <v>0</v>
      </c>
      <c r="H70" s="32">
        <f t="shared" si="121"/>
        <v>-1</v>
      </c>
      <c r="I70" s="33">
        <f>MAX([2]Examen31!I15,[2]Examen32!I15,[2]Examen33!I15)</f>
        <v>0</v>
      </c>
      <c r="J70" s="32">
        <f t="shared" si="122"/>
        <v>-1</v>
      </c>
      <c r="K70" s="33">
        <f>MAX([2]Examen31!K15,[2]Examen32!K15,[2]Examen33!K15)</f>
        <v>0</v>
      </c>
      <c r="L70" s="32">
        <f t="shared" si="123"/>
        <v>-1</v>
      </c>
      <c r="M70" s="33">
        <f>MAX([2]Examen31!M15,[2]Examen32!M15,[2]Examen33!M15)</f>
        <v>0</v>
      </c>
      <c r="N70" s="32">
        <f t="shared" si="124"/>
        <v>-1</v>
      </c>
      <c r="O70" s="33">
        <f>MAX([2]Examen31!O15,[2]Examen32!O15,[2]Examen33!O15)</f>
        <v>0</v>
      </c>
      <c r="P70" s="32">
        <f t="shared" si="125"/>
        <v>-1</v>
      </c>
      <c r="Q70" s="33">
        <f>MAX([2]Examen31!Q15,[2]Examen32!Q15,[2]Examen33!Q15)</f>
        <v>0</v>
      </c>
      <c r="R70" s="32">
        <f t="shared" si="126"/>
        <v>-1</v>
      </c>
      <c r="S70" s="33">
        <f>MAX([2]Examen31!S15,[2]Examen32!S15,[2]Examen33!S15)</f>
        <v>0</v>
      </c>
      <c r="T70" s="32">
        <f t="shared" si="127"/>
        <v>-1</v>
      </c>
      <c r="U70" s="33">
        <f>MAX([2]Examen31!U15,[2]Examen32!U15,[2]Examen33!U15)</f>
        <v>0</v>
      </c>
      <c r="V70" s="32">
        <f t="shared" si="128"/>
        <v>-1</v>
      </c>
      <c r="W70" s="33">
        <f>MAX([2]Examen31!W15,[2]Examen32!W15,[2]Examen33!W15)</f>
        <v>0</v>
      </c>
      <c r="X70" s="32">
        <f t="shared" si="129"/>
        <v>-1</v>
      </c>
      <c r="Y70" s="33">
        <f>MAX([2]Examen31!Y15,[2]Examen32!Y15,[2]Examen33!Y15)</f>
        <v>0</v>
      </c>
      <c r="Z70" s="32">
        <f t="shared" si="130"/>
        <v>-1</v>
      </c>
      <c r="AA70" s="33">
        <f>MAX([2]Examen31!AA15,[2]Examen32!AA15,[2]Examen33!AA15)</f>
        <v>0</v>
      </c>
      <c r="AB70" s="32">
        <f t="shared" si="131"/>
        <v>-1</v>
      </c>
      <c r="AC70" s="33">
        <f>MAX([2]Examen31!AC15,[2]Examen32!AC15,[2]Examen33!AC15)</f>
        <v>0</v>
      </c>
      <c r="AD70" s="32">
        <f t="shared" si="132"/>
        <v>-1</v>
      </c>
      <c r="AE70" s="33">
        <f>MAX([2]Examen31!AE15,[2]Examen32!AE15,[2]Examen33!AE15)</f>
        <v>0</v>
      </c>
      <c r="AF70" s="32">
        <f t="shared" si="133"/>
        <v>-1</v>
      </c>
      <c r="AG70" s="33">
        <f>MAX([2]Examen31!AG15,[2]Examen32!AG15,[2]Examen33!AG15)</f>
        <v>0</v>
      </c>
      <c r="AH70" s="32">
        <f t="shared" si="134"/>
        <v>-1</v>
      </c>
      <c r="AI70" s="33">
        <f>MAX([2]Examen31!AI15,[2]Examen32!AI15,[2]Examen33!AI15)</f>
        <v>0</v>
      </c>
      <c r="AJ70" s="32">
        <f t="shared" si="135"/>
        <v>-1</v>
      </c>
      <c r="AK70" s="33">
        <f>MAX([2]Examen31!AK15,[2]Examen32!AK15,[2]Examen33!AK15)</f>
        <v>0</v>
      </c>
      <c r="AL70" s="32">
        <f t="shared" si="136"/>
        <v>-1</v>
      </c>
      <c r="AM70" s="33">
        <f>MAX([2]Examen31!AM15,[2]Examen32!AM15,[2]Examen33!AM15)</f>
        <v>0</v>
      </c>
      <c r="AN70" s="32">
        <f t="shared" si="137"/>
        <v>-1</v>
      </c>
      <c r="AO70" s="33">
        <f>MAX([2]Examen31!AO15,[2]Examen32!AO15,[2]Examen33!AO15)</f>
        <v>0</v>
      </c>
      <c r="AP70" s="32">
        <f t="shared" si="138"/>
        <v>-1</v>
      </c>
      <c r="AQ70" s="33">
        <f>MAX([2]Examen31!AQ15,[2]Examen32!AQ15,[2]Examen33!AQ15)</f>
        <v>0</v>
      </c>
      <c r="AR70" s="32">
        <f t="shared" si="139"/>
        <v>-1</v>
      </c>
      <c r="AS70" s="33">
        <f>MAX([2]Examen31!AS15,[2]Examen32!AS15,[2]Examen33!AS15)</f>
        <v>0</v>
      </c>
      <c r="AT70" s="32">
        <f t="shared" si="140"/>
        <v>-1</v>
      </c>
      <c r="AU70" s="33">
        <f>MAX([2]Examen31!AU15,[2]Examen32!AU15,[2]Examen33!AU15)</f>
        <v>0</v>
      </c>
      <c r="AV70" s="32">
        <f t="shared" si="141"/>
        <v>-1</v>
      </c>
      <c r="AW70" s="33">
        <f>MAX([2]Examen31!AW15,[2]Examen32!AW15,[2]Examen33!AW15)</f>
        <v>0</v>
      </c>
      <c r="AX70" s="32">
        <f t="shared" si="142"/>
        <v>-1</v>
      </c>
      <c r="AY70" s="33">
        <f>MAX([2]Examen31!AY15,[2]Examen32!AY15,[2]Examen33!AY15)</f>
        <v>0</v>
      </c>
      <c r="AZ70" s="32">
        <f t="shared" si="143"/>
        <v>-1</v>
      </c>
      <c r="BA70" s="33">
        <f>MAX([2]Examen31!BA15,[2]Examen32!BA15,[2]Examen33!BA15)</f>
        <v>0</v>
      </c>
      <c r="BB70" s="32">
        <f t="shared" si="144"/>
        <v>-1</v>
      </c>
      <c r="BC70" s="33">
        <f>MAX([2]Examen31!BC15,[2]Examen32!BC15,[2]Examen33!BC15)</f>
        <v>0</v>
      </c>
      <c r="BD70" s="32">
        <f t="shared" si="145"/>
        <v>-1</v>
      </c>
      <c r="BE70" s="33">
        <f>MAX([2]Examen31!BE15,[2]Examen32!BE15,[2]Examen33!BE15)</f>
        <v>0</v>
      </c>
      <c r="BF70" s="32">
        <f t="shared" si="146"/>
        <v>-1</v>
      </c>
      <c r="BG70" s="33">
        <f>MAX([2]Examen31!BG15,[2]Examen32!BG15,[2]Examen33!BG15)</f>
        <v>0</v>
      </c>
      <c r="BH70" s="32">
        <f t="shared" si="147"/>
        <v>-1</v>
      </c>
      <c r="BI70" s="33">
        <f>MAX([2]Examen31!BI15,[2]Examen32!BI15,[2]Examen33!BI15)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MAX([2]Examen31!B16,[2]Examen32!B16,[2]Examen33!B16)</f>
        <v>0</v>
      </c>
      <c r="C71" s="33">
        <f>MAX([2]Examen31!C16,[2]Examen32!C16,[2]Examen33!C16)</f>
        <v>0</v>
      </c>
      <c r="D71" s="32">
        <f t="shared" si="119"/>
        <v>-1</v>
      </c>
      <c r="E71" s="33">
        <f>MAX([2]Examen31!E16,[2]Examen32!E16,[2]Examen33!E16)</f>
        <v>0</v>
      </c>
      <c r="F71" s="32">
        <f t="shared" si="120"/>
        <v>-1</v>
      </c>
      <c r="G71" s="33">
        <f>MAX([2]Examen31!G16,[2]Examen32!G16,[2]Examen33!G16)</f>
        <v>0</v>
      </c>
      <c r="H71" s="32">
        <f t="shared" si="121"/>
        <v>-1</v>
      </c>
      <c r="I71" s="33">
        <f>MAX([2]Examen31!I16,[2]Examen32!I16,[2]Examen33!I16)</f>
        <v>0</v>
      </c>
      <c r="J71" s="32">
        <f t="shared" si="122"/>
        <v>-1</v>
      </c>
      <c r="K71" s="33">
        <f>MAX([2]Examen31!K16,[2]Examen32!K16,[2]Examen33!K16)</f>
        <v>0</v>
      </c>
      <c r="L71" s="32">
        <f t="shared" si="123"/>
        <v>-1</v>
      </c>
      <c r="M71" s="33">
        <f>MAX([2]Examen31!M16,[2]Examen32!M16,[2]Examen33!M16)</f>
        <v>0</v>
      </c>
      <c r="N71" s="32">
        <f t="shared" si="124"/>
        <v>-1</v>
      </c>
      <c r="O71" s="33">
        <f>MAX([2]Examen31!O16,[2]Examen32!O16,[2]Examen33!O16)</f>
        <v>0</v>
      </c>
      <c r="P71" s="32">
        <f t="shared" si="125"/>
        <v>-1</v>
      </c>
      <c r="Q71" s="33">
        <f>MAX([2]Examen31!Q16,[2]Examen32!Q16,[2]Examen33!Q16)</f>
        <v>0</v>
      </c>
      <c r="R71" s="32">
        <f t="shared" si="126"/>
        <v>-1</v>
      </c>
      <c r="S71" s="33">
        <f>MAX([2]Examen31!S16,[2]Examen32!S16,[2]Examen33!S16)</f>
        <v>0</v>
      </c>
      <c r="T71" s="32">
        <f t="shared" si="127"/>
        <v>-1</v>
      </c>
      <c r="U71" s="33">
        <f>MAX([2]Examen31!U16,[2]Examen32!U16,[2]Examen33!U16)</f>
        <v>0</v>
      </c>
      <c r="V71" s="32">
        <f t="shared" si="128"/>
        <v>-1</v>
      </c>
      <c r="W71" s="33">
        <f>MAX([2]Examen31!W16,[2]Examen32!W16,[2]Examen33!W16)</f>
        <v>0</v>
      </c>
      <c r="X71" s="32">
        <f t="shared" si="129"/>
        <v>-1</v>
      </c>
      <c r="Y71" s="33">
        <f>MAX([2]Examen31!Y16,[2]Examen32!Y16,[2]Examen33!Y16)</f>
        <v>0</v>
      </c>
      <c r="Z71" s="32">
        <f t="shared" si="130"/>
        <v>-1</v>
      </c>
      <c r="AA71" s="33">
        <f>MAX([2]Examen31!AA16,[2]Examen32!AA16,[2]Examen33!AA16)</f>
        <v>0</v>
      </c>
      <c r="AB71" s="32">
        <f t="shared" si="131"/>
        <v>-1</v>
      </c>
      <c r="AC71" s="33">
        <f>MAX([2]Examen31!AC16,[2]Examen32!AC16,[2]Examen33!AC16)</f>
        <v>0</v>
      </c>
      <c r="AD71" s="32">
        <f t="shared" si="132"/>
        <v>-1</v>
      </c>
      <c r="AE71" s="33">
        <f>MAX([2]Examen31!AE16,[2]Examen32!AE16,[2]Examen33!AE16)</f>
        <v>0</v>
      </c>
      <c r="AF71" s="32">
        <f t="shared" si="133"/>
        <v>-1</v>
      </c>
      <c r="AG71" s="33">
        <f>MAX([2]Examen31!AG16,[2]Examen32!AG16,[2]Examen33!AG16)</f>
        <v>0</v>
      </c>
      <c r="AH71" s="32">
        <f t="shared" si="134"/>
        <v>-1</v>
      </c>
      <c r="AI71" s="33">
        <f>MAX([2]Examen31!AI16,[2]Examen32!AI16,[2]Examen33!AI16)</f>
        <v>0</v>
      </c>
      <c r="AJ71" s="32">
        <f t="shared" si="135"/>
        <v>-1</v>
      </c>
      <c r="AK71" s="33">
        <f>MAX([2]Examen31!AK16,[2]Examen32!AK16,[2]Examen33!AK16)</f>
        <v>0</v>
      </c>
      <c r="AL71" s="32">
        <f t="shared" si="136"/>
        <v>-1</v>
      </c>
      <c r="AM71" s="33">
        <f>MAX([2]Examen31!AM16,[2]Examen32!AM16,[2]Examen33!AM16)</f>
        <v>0</v>
      </c>
      <c r="AN71" s="32">
        <f t="shared" si="137"/>
        <v>-1</v>
      </c>
      <c r="AO71" s="33">
        <f>MAX([2]Examen31!AO16,[2]Examen32!AO16,[2]Examen33!AO16)</f>
        <v>0</v>
      </c>
      <c r="AP71" s="32">
        <f t="shared" si="138"/>
        <v>-1</v>
      </c>
      <c r="AQ71" s="33">
        <f>MAX([2]Examen31!AQ16,[2]Examen32!AQ16,[2]Examen33!AQ16)</f>
        <v>0</v>
      </c>
      <c r="AR71" s="32">
        <f t="shared" si="139"/>
        <v>-1</v>
      </c>
      <c r="AS71" s="33">
        <f>MAX([2]Examen31!AS16,[2]Examen32!AS16,[2]Examen33!AS16)</f>
        <v>0</v>
      </c>
      <c r="AT71" s="32">
        <f t="shared" si="140"/>
        <v>-1</v>
      </c>
      <c r="AU71" s="33">
        <f>MAX([2]Examen31!AU16,[2]Examen32!AU16,[2]Examen33!AU16)</f>
        <v>0</v>
      </c>
      <c r="AV71" s="32">
        <f t="shared" si="141"/>
        <v>-1</v>
      </c>
      <c r="AW71" s="33">
        <f>MAX([2]Examen31!AW16,[2]Examen32!AW16,[2]Examen33!AW16)</f>
        <v>0</v>
      </c>
      <c r="AX71" s="32">
        <f t="shared" si="142"/>
        <v>-1</v>
      </c>
      <c r="AY71" s="33">
        <f>MAX([2]Examen31!AY16,[2]Examen32!AY16,[2]Examen33!AY16)</f>
        <v>0</v>
      </c>
      <c r="AZ71" s="32">
        <f t="shared" si="143"/>
        <v>-1</v>
      </c>
      <c r="BA71" s="33">
        <f>MAX([2]Examen31!BA16,[2]Examen32!BA16,[2]Examen33!BA16)</f>
        <v>0</v>
      </c>
      <c r="BB71" s="32">
        <f t="shared" si="144"/>
        <v>-1</v>
      </c>
      <c r="BC71" s="33">
        <f>MAX([2]Examen31!BC16,[2]Examen32!BC16,[2]Examen33!BC16)</f>
        <v>0</v>
      </c>
      <c r="BD71" s="32">
        <f t="shared" si="145"/>
        <v>-1</v>
      </c>
      <c r="BE71" s="33">
        <f>MAX([2]Examen31!BE16,[2]Examen32!BE16,[2]Examen33!BE16)</f>
        <v>0</v>
      </c>
      <c r="BF71" s="32">
        <f t="shared" si="146"/>
        <v>-1</v>
      </c>
      <c r="BG71" s="33">
        <f>MAX([2]Examen31!BG16,[2]Examen32!BG16,[2]Examen33!BG16)</f>
        <v>0</v>
      </c>
      <c r="BH71" s="32">
        <f t="shared" si="147"/>
        <v>-1</v>
      </c>
      <c r="BI71" s="33">
        <f>MAX([2]Examen31!BI16,[2]Examen32!BI16,[2]Examen33!BI16)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MAX([2]Examen31!B17,[2]Examen32!B17,[2]Examen33!B17)</f>
        <v>0</v>
      </c>
      <c r="C72" s="33">
        <f>MAX([2]Examen31!C17,[2]Examen32!C17,[2]Examen33!C17)</f>
        <v>0</v>
      </c>
      <c r="D72" s="32">
        <f t="shared" si="119"/>
        <v>-1</v>
      </c>
      <c r="E72" s="33">
        <f>MAX([2]Examen31!E17,[2]Examen32!E17,[2]Examen33!E17)</f>
        <v>0</v>
      </c>
      <c r="F72" s="32">
        <f t="shared" si="120"/>
        <v>-1</v>
      </c>
      <c r="G72" s="33">
        <f>MAX([2]Examen31!G17,[2]Examen32!G17,[2]Examen33!G17)</f>
        <v>0</v>
      </c>
      <c r="H72" s="32">
        <f t="shared" si="121"/>
        <v>-1</v>
      </c>
      <c r="I72" s="33">
        <f>MAX([2]Examen31!I17,[2]Examen32!I17,[2]Examen33!I17)</f>
        <v>0</v>
      </c>
      <c r="J72" s="32">
        <f t="shared" si="122"/>
        <v>-1</v>
      </c>
      <c r="K72" s="33">
        <f>MAX([2]Examen31!K17,[2]Examen32!K17,[2]Examen33!K17)</f>
        <v>0</v>
      </c>
      <c r="L72" s="32">
        <f t="shared" si="123"/>
        <v>-1</v>
      </c>
      <c r="M72" s="33">
        <f>MAX([2]Examen31!M17,[2]Examen32!M17,[2]Examen33!M17)</f>
        <v>0</v>
      </c>
      <c r="N72" s="32">
        <f t="shared" si="124"/>
        <v>-1</v>
      </c>
      <c r="O72" s="33">
        <f>MAX([2]Examen31!O17,[2]Examen32!O17,[2]Examen33!O17)</f>
        <v>0</v>
      </c>
      <c r="P72" s="32">
        <f t="shared" si="125"/>
        <v>-1</v>
      </c>
      <c r="Q72" s="33">
        <f>MAX([2]Examen31!Q17,[2]Examen32!Q17,[2]Examen33!Q17)</f>
        <v>0</v>
      </c>
      <c r="R72" s="32">
        <f t="shared" si="126"/>
        <v>-1</v>
      </c>
      <c r="S72" s="33">
        <f>MAX([2]Examen31!S17,[2]Examen32!S17,[2]Examen33!S17)</f>
        <v>0</v>
      </c>
      <c r="T72" s="32">
        <f t="shared" si="127"/>
        <v>-1</v>
      </c>
      <c r="U72" s="33">
        <f>MAX([2]Examen31!U17,[2]Examen32!U17,[2]Examen33!U17)</f>
        <v>0</v>
      </c>
      <c r="V72" s="32">
        <f t="shared" si="128"/>
        <v>-1</v>
      </c>
      <c r="W72" s="33">
        <f>MAX([2]Examen31!W17,[2]Examen32!W17,[2]Examen33!W17)</f>
        <v>0</v>
      </c>
      <c r="X72" s="32">
        <f t="shared" si="129"/>
        <v>-1</v>
      </c>
      <c r="Y72" s="33">
        <f>MAX([2]Examen31!Y17,[2]Examen32!Y17,[2]Examen33!Y17)</f>
        <v>0</v>
      </c>
      <c r="Z72" s="32">
        <f t="shared" si="130"/>
        <v>-1</v>
      </c>
      <c r="AA72" s="33">
        <f>MAX([2]Examen31!AA17,[2]Examen32!AA17,[2]Examen33!AA17)</f>
        <v>0</v>
      </c>
      <c r="AB72" s="32">
        <f t="shared" si="131"/>
        <v>-1</v>
      </c>
      <c r="AC72" s="33">
        <f>MAX([2]Examen31!AC17,[2]Examen32!AC17,[2]Examen33!AC17)</f>
        <v>0</v>
      </c>
      <c r="AD72" s="32">
        <f t="shared" si="132"/>
        <v>-1</v>
      </c>
      <c r="AE72" s="33">
        <f>MAX([2]Examen31!AE17,[2]Examen32!AE17,[2]Examen33!AE17)</f>
        <v>0</v>
      </c>
      <c r="AF72" s="32">
        <f t="shared" si="133"/>
        <v>-1</v>
      </c>
      <c r="AG72" s="33">
        <f>MAX([2]Examen31!AG17,[2]Examen32!AG17,[2]Examen33!AG17)</f>
        <v>0</v>
      </c>
      <c r="AH72" s="32">
        <f t="shared" si="134"/>
        <v>-1</v>
      </c>
      <c r="AI72" s="33">
        <f>MAX([2]Examen31!AI17,[2]Examen32!AI17,[2]Examen33!AI17)</f>
        <v>0</v>
      </c>
      <c r="AJ72" s="32">
        <f t="shared" si="135"/>
        <v>-1</v>
      </c>
      <c r="AK72" s="33">
        <f>MAX([2]Examen31!AK17,[2]Examen32!AK17,[2]Examen33!AK17)</f>
        <v>0</v>
      </c>
      <c r="AL72" s="32">
        <f t="shared" si="136"/>
        <v>-1</v>
      </c>
      <c r="AM72" s="33">
        <f>MAX([2]Examen31!AM17,[2]Examen32!AM17,[2]Examen33!AM17)</f>
        <v>0</v>
      </c>
      <c r="AN72" s="32">
        <f t="shared" si="137"/>
        <v>-1</v>
      </c>
      <c r="AO72" s="33">
        <f>MAX([2]Examen31!AO17,[2]Examen32!AO17,[2]Examen33!AO17)</f>
        <v>0</v>
      </c>
      <c r="AP72" s="32">
        <f t="shared" si="138"/>
        <v>-1</v>
      </c>
      <c r="AQ72" s="33">
        <f>MAX([2]Examen31!AQ17,[2]Examen32!AQ17,[2]Examen33!AQ17)</f>
        <v>0</v>
      </c>
      <c r="AR72" s="32">
        <f t="shared" si="139"/>
        <v>-1</v>
      </c>
      <c r="AS72" s="33">
        <f>MAX([2]Examen31!AS17,[2]Examen32!AS17,[2]Examen33!AS17)</f>
        <v>0</v>
      </c>
      <c r="AT72" s="32">
        <f t="shared" si="140"/>
        <v>-1</v>
      </c>
      <c r="AU72" s="33">
        <f>MAX([2]Examen31!AU17,[2]Examen32!AU17,[2]Examen33!AU17)</f>
        <v>0</v>
      </c>
      <c r="AV72" s="32">
        <f t="shared" si="141"/>
        <v>-1</v>
      </c>
      <c r="AW72" s="33">
        <f>MAX([2]Examen31!AW17,[2]Examen32!AW17,[2]Examen33!AW17)</f>
        <v>0</v>
      </c>
      <c r="AX72" s="32">
        <f t="shared" si="142"/>
        <v>-1</v>
      </c>
      <c r="AY72" s="33">
        <f>MAX([2]Examen31!AY17,[2]Examen32!AY17,[2]Examen33!AY17)</f>
        <v>0</v>
      </c>
      <c r="AZ72" s="32">
        <f t="shared" si="143"/>
        <v>-1</v>
      </c>
      <c r="BA72" s="33">
        <f>MAX([2]Examen31!BA17,[2]Examen32!BA17,[2]Examen33!BA17)</f>
        <v>0</v>
      </c>
      <c r="BB72" s="32">
        <f t="shared" si="144"/>
        <v>-1</v>
      </c>
      <c r="BC72" s="33">
        <f>MAX([2]Examen31!BC17,[2]Examen32!BC17,[2]Examen33!BC17)</f>
        <v>0</v>
      </c>
      <c r="BD72" s="32">
        <f t="shared" si="145"/>
        <v>-1</v>
      </c>
      <c r="BE72" s="33">
        <f>MAX([2]Examen31!BE17,[2]Examen32!BE17,[2]Examen33!BE17)</f>
        <v>0</v>
      </c>
      <c r="BF72" s="32">
        <f t="shared" si="146"/>
        <v>-1</v>
      </c>
      <c r="BG72" s="33">
        <f>MAX([2]Examen31!BG17,[2]Examen32!BG17,[2]Examen33!BG17)</f>
        <v>0</v>
      </c>
      <c r="BH72" s="32">
        <f t="shared" si="147"/>
        <v>-1</v>
      </c>
      <c r="BI72" s="33">
        <f>MAX([2]Examen31!BI17,[2]Examen32!BI17,[2]Examen33!BI17)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MAX([2]Examen31!B18,[2]Examen32!B18,[2]Examen33!B18)</f>
        <v>0</v>
      </c>
      <c r="C73" s="33">
        <f>MAX([2]Examen31!C18,[2]Examen32!C18,[2]Examen33!C18)</f>
        <v>0</v>
      </c>
      <c r="D73" s="32">
        <f t="shared" si="119"/>
        <v>-1</v>
      </c>
      <c r="E73" s="33">
        <f>MAX([2]Examen31!E18,[2]Examen32!E18,[2]Examen33!E18)</f>
        <v>0</v>
      </c>
      <c r="F73" s="32">
        <f t="shared" si="120"/>
        <v>-1</v>
      </c>
      <c r="G73" s="33">
        <f>MAX([2]Examen31!G18,[2]Examen32!G18,[2]Examen33!G18)</f>
        <v>0</v>
      </c>
      <c r="H73" s="32">
        <f t="shared" si="121"/>
        <v>-1</v>
      </c>
      <c r="I73" s="33">
        <f>MAX([2]Examen31!I18,[2]Examen32!I18,[2]Examen33!I18)</f>
        <v>0</v>
      </c>
      <c r="J73" s="32">
        <f t="shared" si="122"/>
        <v>-1</v>
      </c>
      <c r="K73" s="33">
        <f>MAX([2]Examen31!K18,[2]Examen32!K18,[2]Examen33!K18)</f>
        <v>0</v>
      </c>
      <c r="L73" s="32">
        <f t="shared" si="123"/>
        <v>-1</v>
      </c>
      <c r="M73" s="33">
        <f>MAX([2]Examen31!M18,[2]Examen32!M18,[2]Examen33!M18)</f>
        <v>0</v>
      </c>
      <c r="N73" s="32">
        <f t="shared" si="124"/>
        <v>-1</v>
      </c>
      <c r="O73" s="33">
        <f>MAX([2]Examen31!O18,[2]Examen32!O18,[2]Examen33!O18)</f>
        <v>0</v>
      </c>
      <c r="P73" s="32">
        <f t="shared" si="125"/>
        <v>-1</v>
      </c>
      <c r="Q73" s="33">
        <f>MAX([2]Examen31!Q18,[2]Examen32!Q18,[2]Examen33!Q18)</f>
        <v>0</v>
      </c>
      <c r="R73" s="32">
        <f t="shared" si="126"/>
        <v>-1</v>
      </c>
      <c r="S73" s="33">
        <f>MAX([2]Examen31!S18,[2]Examen32!S18,[2]Examen33!S18)</f>
        <v>0</v>
      </c>
      <c r="T73" s="32">
        <f t="shared" si="127"/>
        <v>-1</v>
      </c>
      <c r="U73" s="33">
        <f>MAX([2]Examen31!U18,[2]Examen32!U18,[2]Examen33!U18)</f>
        <v>0</v>
      </c>
      <c r="V73" s="32">
        <f t="shared" si="128"/>
        <v>-1</v>
      </c>
      <c r="W73" s="33">
        <f>MAX([2]Examen31!W18,[2]Examen32!W18,[2]Examen33!W18)</f>
        <v>0</v>
      </c>
      <c r="X73" s="32">
        <f t="shared" si="129"/>
        <v>-1</v>
      </c>
      <c r="Y73" s="33">
        <f>MAX([2]Examen31!Y18,[2]Examen32!Y18,[2]Examen33!Y18)</f>
        <v>0</v>
      </c>
      <c r="Z73" s="32">
        <f t="shared" si="130"/>
        <v>-1</v>
      </c>
      <c r="AA73" s="33">
        <f>MAX([2]Examen31!AA18,[2]Examen32!AA18,[2]Examen33!AA18)</f>
        <v>0</v>
      </c>
      <c r="AB73" s="32">
        <f t="shared" si="131"/>
        <v>-1</v>
      </c>
      <c r="AC73" s="33">
        <f>MAX([2]Examen31!AC18,[2]Examen32!AC18,[2]Examen33!AC18)</f>
        <v>0</v>
      </c>
      <c r="AD73" s="32">
        <f t="shared" si="132"/>
        <v>-1</v>
      </c>
      <c r="AE73" s="33">
        <f>MAX([2]Examen31!AE18,[2]Examen32!AE18,[2]Examen33!AE18)</f>
        <v>0</v>
      </c>
      <c r="AF73" s="32">
        <f t="shared" si="133"/>
        <v>-1</v>
      </c>
      <c r="AG73" s="33">
        <f>MAX([2]Examen31!AG18,[2]Examen32!AG18,[2]Examen33!AG18)</f>
        <v>0</v>
      </c>
      <c r="AH73" s="32">
        <f t="shared" si="134"/>
        <v>-1</v>
      </c>
      <c r="AI73" s="33">
        <f>MAX([2]Examen31!AI18,[2]Examen32!AI18,[2]Examen33!AI18)</f>
        <v>0</v>
      </c>
      <c r="AJ73" s="32">
        <f t="shared" si="135"/>
        <v>-1</v>
      </c>
      <c r="AK73" s="33">
        <f>MAX([2]Examen31!AK18,[2]Examen32!AK18,[2]Examen33!AK18)</f>
        <v>0</v>
      </c>
      <c r="AL73" s="32">
        <f t="shared" si="136"/>
        <v>-1</v>
      </c>
      <c r="AM73" s="33">
        <f>MAX([2]Examen31!AM18,[2]Examen32!AM18,[2]Examen33!AM18)</f>
        <v>0</v>
      </c>
      <c r="AN73" s="32">
        <f t="shared" si="137"/>
        <v>-1</v>
      </c>
      <c r="AO73" s="33">
        <f>MAX([2]Examen31!AO18,[2]Examen32!AO18,[2]Examen33!AO18)</f>
        <v>0</v>
      </c>
      <c r="AP73" s="32">
        <f t="shared" si="138"/>
        <v>-1</v>
      </c>
      <c r="AQ73" s="33">
        <f>MAX([2]Examen31!AQ18,[2]Examen32!AQ18,[2]Examen33!AQ18)</f>
        <v>0</v>
      </c>
      <c r="AR73" s="32">
        <f t="shared" si="139"/>
        <v>-1</v>
      </c>
      <c r="AS73" s="33">
        <f>MAX([2]Examen31!AS18,[2]Examen32!AS18,[2]Examen33!AS18)</f>
        <v>0</v>
      </c>
      <c r="AT73" s="32">
        <f t="shared" si="140"/>
        <v>-1</v>
      </c>
      <c r="AU73" s="33">
        <f>MAX([2]Examen31!AU18,[2]Examen32!AU18,[2]Examen33!AU18)</f>
        <v>0</v>
      </c>
      <c r="AV73" s="32">
        <f t="shared" si="141"/>
        <v>-1</v>
      </c>
      <c r="AW73" s="33">
        <f>MAX([2]Examen31!AW18,[2]Examen32!AW18,[2]Examen33!AW18)</f>
        <v>0</v>
      </c>
      <c r="AX73" s="32">
        <f t="shared" si="142"/>
        <v>-1</v>
      </c>
      <c r="AY73" s="33">
        <f>MAX([2]Examen31!AY18,[2]Examen32!AY18,[2]Examen33!AY18)</f>
        <v>0</v>
      </c>
      <c r="AZ73" s="32">
        <f t="shared" si="143"/>
        <v>-1</v>
      </c>
      <c r="BA73" s="33">
        <f>MAX([2]Examen31!BA18,[2]Examen32!BA18,[2]Examen33!BA18)</f>
        <v>0</v>
      </c>
      <c r="BB73" s="32">
        <f t="shared" si="144"/>
        <v>-1</v>
      </c>
      <c r="BC73" s="33">
        <f>MAX([2]Examen31!BC18,[2]Examen32!BC18,[2]Examen33!BC18)</f>
        <v>0</v>
      </c>
      <c r="BD73" s="32">
        <f t="shared" si="145"/>
        <v>-1</v>
      </c>
      <c r="BE73" s="33">
        <f>MAX([2]Examen31!BE18,[2]Examen32!BE18,[2]Examen33!BE18)</f>
        <v>0</v>
      </c>
      <c r="BF73" s="32">
        <f t="shared" si="146"/>
        <v>-1</v>
      </c>
      <c r="BG73" s="33">
        <f>MAX([2]Examen31!BG18,[2]Examen32!BG18,[2]Examen33!BG18)</f>
        <v>0</v>
      </c>
      <c r="BH73" s="32">
        <f t="shared" si="147"/>
        <v>-1</v>
      </c>
      <c r="BI73" s="33">
        <f>MAX([2]Examen31!BI18,[2]Examen32!BI18,[2]Examen33!BI18)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MAX([2]Examen31!B19,[2]Examen32!B19,[2]Examen33!B19)</f>
        <v>0</v>
      </c>
      <c r="C74" s="33">
        <f>MAX([2]Examen31!C19,[2]Examen32!C19,[2]Examen33!C19)</f>
        <v>0</v>
      </c>
      <c r="D74" s="32">
        <f t="shared" si="119"/>
        <v>-1</v>
      </c>
      <c r="E74" s="33">
        <f>MAX([2]Examen31!E19,[2]Examen32!E19,[2]Examen33!E19)</f>
        <v>0</v>
      </c>
      <c r="F74" s="32">
        <f t="shared" si="120"/>
        <v>-1</v>
      </c>
      <c r="G74" s="33">
        <f>MAX([2]Examen31!G19,[2]Examen32!G19,[2]Examen33!G19)</f>
        <v>0</v>
      </c>
      <c r="H74" s="32">
        <f t="shared" si="121"/>
        <v>-1</v>
      </c>
      <c r="I74" s="33">
        <f>MAX([2]Examen31!I19,[2]Examen32!I19,[2]Examen33!I19)</f>
        <v>0</v>
      </c>
      <c r="J74" s="32">
        <f t="shared" si="122"/>
        <v>-1</v>
      </c>
      <c r="K74" s="33">
        <f>MAX([2]Examen31!K19,[2]Examen32!K19,[2]Examen33!K19)</f>
        <v>0</v>
      </c>
      <c r="L74" s="32">
        <f t="shared" si="123"/>
        <v>-1</v>
      </c>
      <c r="M74" s="33">
        <f>MAX([2]Examen31!M19,[2]Examen32!M19,[2]Examen33!M19)</f>
        <v>0</v>
      </c>
      <c r="N74" s="32">
        <f t="shared" si="124"/>
        <v>-1</v>
      </c>
      <c r="O74" s="33">
        <f>MAX([2]Examen31!O19,[2]Examen32!O19,[2]Examen33!O19)</f>
        <v>0</v>
      </c>
      <c r="P74" s="32">
        <f t="shared" si="125"/>
        <v>-1</v>
      </c>
      <c r="Q74" s="33">
        <f>MAX([2]Examen31!Q19,[2]Examen32!Q19,[2]Examen33!Q19)</f>
        <v>0</v>
      </c>
      <c r="R74" s="32">
        <f t="shared" si="126"/>
        <v>-1</v>
      </c>
      <c r="S74" s="33">
        <f>MAX([2]Examen31!S19,[2]Examen32!S19,[2]Examen33!S19)</f>
        <v>0</v>
      </c>
      <c r="T74" s="32">
        <f t="shared" si="127"/>
        <v>-1</v>
      </c>
      <c r="U74" s="33">
        <f>MAX([2]Examen31!U19,[2]Examen32!U19,[2]Examen33!U19)</f>
        <v>0</v>
      </c>
      <c r="V74" s="32">
        <f t="shared" si="128"/>
        <v>-1</v>
      </c>
      <c r="W74" s="33">
        <f>MAX([2]Examen31!W19,[2]Examen32!W19,[2]Examen33!W19)</f>
        <v>0</v>
      </c>
      <c r="X74" s="32">
        <f t="shared" si="129"/>
        <v>-1</v>
      </c>
      <c r="Y74" s="33">
        <f>MAX([2]Examen31!Y19,[2]Examen32!Y19,[2]Examen33!Y19)</f>
        <v>0</v>
      </c>
      <c r="Z74" s="32">
        <f t="shared" si="130"/>
        <v>-1</v>
      </c>
      <c r="AA74" s="33">
        <f>MAX([2]Examen31!AA19,[2]Examen32!AA19,[2]Examen33!AA19)</f>
        <v>0</v>
      </c>
      <c r="AB74" s="32">
        <f t="shared" si="131"/>
        <v>-1</v>
      </c>
      <c r="AC74" s="33">
        <f>MAX([2]Examen31!AC19,[2]Examen32!AC19,[2]Examen33!AC19)</f>
        <v>0</v>
      </c>
      <c r="AD74" s="32">
        <f t="shared" si="132"/>
        <v>-1</v>
      </c>
      <c r="AE74" s="33">
        <f>MAX([2]Examen31!AE19,[2]Examen32!AE19,[2]Examen33!AE19)</f>
        <v>0</v>
      </c>
      <c r="AF74" s="32">
        <f t="shared" si="133"/>
        <v>-1</v>
      </c>
      <c r="AG74" s="33">
        <f>MAX([2]Examen31!AG19,[2]Examen32!AG19,[2]Examen33!AG19)</f>
        <v>0</v>
      </c>
      <c r="AH74" s="32">
        <f t="shared" si="134"/>
        <v>-1</v>
      </c>
      <c r="AI74" s="33">
        <f>MAX([2]Examen31!AI19,[2]Examen32!AI19,[2]Examen33!AI19)</f>
        <v>0</v>
      </c>
      <c r="AJ74" s="32">
        <f t="shared" si="135"/>
        <v>-1</v>
      </c>
      <c r="AK74" s="33">
        <f>MAX([2]Examen31!AK19,[2]Examen32!AK19,[2]Examen33!AK19)</f>
        <v>0</v>
      </c>
      <c r="AL74" s="32">
        <f t="shared" si="136"/>
        <v>-1</v>
      </c>
      <c r="AM74" s="33">
        <f>MAX([2]Examen31!AM19,[2]Examen32!AM19,[2]Examen33!AM19)</f>
        <v>0</v>
      </c>
      <c r="AN74" s="32">
        <f t="shared" si="137"/>
        <v>-1</v>
      </c>
      <c r="AO74" s="33">
        <f>MAX([2]Examen31!AO19,[2]Examen32!AO19,[2]Examen33!AO19)</f>
        <v>0</v>
      </c>
      <c r="AP74" s="32">
        <f t="shared" si="138"/>
        <v>-1</v>
      </c>
      <c r="AQ74" s="33">
        <f>MAX([2]Examen31!AQ19,[2]Examen32!AQ19,[2]Examen33!AQ19)</f>
        <v>0</v>
      </c>
      <c r="AR74" s="32">
        <f t="shared" si="139"/>
        <v>-1</v>
      </c>
      <c r="AS74" s="33">
        <f>MAX([2]Examen31!AS19,[2]Examen32!AS19,[2]Examen33!AS19)</f>
        <v>0</v>
      </c>
      <c r="AT74" s="32">
        <f t="shared" si="140"/>
        <v>-1</v>
      </c>
      <c r="AU74" s="33">
        <f>MAX([2]Examen31!AU19,[2]Examen32!AU19,[2]Examen33!AU19)</f>
        <v>0</v>
      </c>
      <c r="AV74" s="32">
        <f t="shared" si="141"/>
        <v>-1</v>
      </c>
      <c r="AW74" s="33">
        <f>MAX([2]Examen31!AW19,[2]Examen32!AW19,[2]Examen33!AW19)</f>
        <v>0</v>
      </c>
      <c r="AX74" s="32">
        <f t="shared" si="142"/>
        <v>-1</v>
      </c>
      <c r="AY74" s="33">
        <f>MAX([2]Examen31!AY19,[2]Examen32!AY19,[2]Examen33!AY19)</f>
        <v>0</v>
      </c>
      <c r="AZ74" s="32">
        <f t="shared" si="143"/>
        <v>-1</v>
      </c>
      <c r="BA74" s="33">
        <f>MAX([2]Examen31!BA19,[2]Examen32!BA19,[2]Examen33!BA19)</f>
        <v>0</v>
      </c>
      <c r="BB74" s="32">
        <f t="shared" si="144"/>
        <v>-1</v>
      </c>
      <c r="BC74" s="33">
        <f>MAX([2]Examen31!BC19,[2]Examen32!BC19,[2]Examen33!BC19)</f>
        <v>0</v>
      </c>
      <c r="BD74" s="32">
        <f t="shared" si="145"/>
        <v>-1</v>
      </c>
      <c r="BE74" s="33">
        <f>MAX([2]Examen31!BE19,[2]Examen32!BE19,[2]Examen33!BE19)</f>
        <v>0</v>
      </c>
      <c r="BF74" s="32">
        <f t="shared" si="146"/>
        <v>-1</v>
      </c>
      <c r="BG74" s="33">
        <f>MAX([2]Examen31!BG19,[2]Examen32!BG19,[2]Examen33!BG19)</f>
        <v>0</v>
      </c>
      <c r="BH74" s="32">
        <f t="shared" si="147"/>
        <v>-1</v>
      </c>
      <c r="BI74" s="33">
        <f>MAX([2]Examen31!BI19,[2]Examen32!BI19,[2]Examen33!BI19)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MAX([2]Examen31!B20,[2]Examen32!B20,[2]Examen33!B20)</f>
        <v>0</v>
      </c>
      <c r="C75" s="33">
        <f>MAX([2]Examen31!C20,[2]Examen32!C20,[2]Examen33!C20)</f>
        <v>0</v>
      </c>
      <c r="D75" s="32">
        <f t="shared" si="119"/>
        <v>-1</v>
      </c>
      <c r="E75" s="33">
        <f>MAX([2]Examen31!E20,[2]Examen32!E20,[2]Examen33!E20)</f>
        <v>0</v>
      </c>
      <c r="F75" s="32">
        <f t="shared" si="120"/>
        <v>-1</v>
      </c>
      <c r="G75" s="33">
        <f>MAX([2]Examen31!G20,[2]Examen32!G20,[2]Examen33!G20)</f>
        <v>0</v>
      </c>
      <c r="H75" s="32">
        <f t="shared" si="121"/>
        <v>-1</v>
      </c>
      <c r="I75" s="33">
        <f>MAX([2]Examen31!I20,[2]Examen32!I20,[2]Examen33!I20)</f>
        <v>0</v>
      </c>
      <c r="J75" s="32">
        <f t="shared" si="122"/>
        <v>-1</v>
      </c>
      <c r="K75" s="33">
        <f>MAX([2]Examen31!K20,[2]Examen32!K20,[2]Examen33!K20)</f>
        <v>0</v>
      </c>
      <c r="L75" s="32">
        <f t="shared" si="123"/>
        <v>-1</v>
      </c>
      <c r="M75" s="33">
        <f>MAX([2]Examen31!M20,[2]Examen32!M20,[2]Examen33!M20)</f>
        <v>0</v>
      </c>
      <c r="N75" s="32">
        <f t="shared" si="124"/>
        <v>-1</v>
      </c>
      <c r="O75" s="33">
        <f>MAX([2]Examen31!O20,[2]Examen32!O20,[2]Examen33!O20)</f>
        <v>0</v>
      </c>
      <c r="P75" s="32">
        <f t="shared" si="125"/>
        <v>-1</v>
      </c>
      <c r="Q75" s="33">
        <f>MAX([2]Examen31!Q20,[2]Examen32!Q20,[2]Examen33!Q20)</f>
        <v>0</v>
      </c>
      <c r="R75" s="32">
        <f t="shared" si="126"/>
        <v>-1</v>
      </c>
      <c r="S75" s="33">
        <f>MAX([2]Examen31!S20,[2]Examen32!S20,[2]Examen33!S20)</f>
        <v>0</v>
      </c>
      <c r="T75" s="32">
        <f t="shared" si="127"/>
        <v>-1</v>
      </c>
      <c r="U75" s="33">
        <f>MAX([2]Examen31!U20,[2]Examen32!U20,[2]Examen33!U20)</f>
        <v>0</v>
      </c>
      <c r="V75" s="32">
        <f t="shared" si="128"/>
        <v>-1</v>
      </c>
      <c r="W75" s="33">
        <f>MAX([2]Examen31!W20,[2]Examen32!W20,[2]Examen33!W20)</f>
        <v>0</v>
      </c>
      <c r="X75" s="32">
        <f t="shared" si="129"/>
        <v>-1</v>
      </c>
      <c r="Y75" s="33">
        <f>MAX([2]Examen31!Y20,[2]Examen32!Y20,[2]Examen33!Y20)</f>
        <v>0</v>
      </c>
      <c r="Z75" s="32">
        <f t="shared" si="130"/>
        <v>-1</v>
      </c>
      <c r="AA75" s="33">
        <f>MAX([2]Examen31!AA20,[2]Examen32!AA20,[2]Examen33!AA20)</f>
        <v>0</v>
      </c>
      <c r="AB75" s="32">
        <f t="shared" si="131"/>
        <v>-1</v>
      </c>
      <c r="AC75" s="33">
        <f>MAX([2]Examen31!AC20,[2]Examen32!AC20,[2]Examen33!AC20)</f>
        <v>0</v>
      </c>
      <c r="AD75" s="32">
        <f t="shared" si="132"/>
        <v>-1</v>
      </c>
      <c r="AE75" s="33">
        <f>MAX([2]Examen31!AE20,[2]Examen32!AE20,[2]Examen33!AE20)</f>
        <v>0</v>
      </c>
      <c r="AF75" s="32">
        <f t="shared" si="133"/>
        <v>-1</v>
      </c>
      <c r="AG75" s="33">
        <f>MAX([2]Examen31!AG20,[2]Examen32!AG20,[2]Examen33!AG20)</f>
        <v>0</v>
      </c>
      <c r="AH75" s="32">
        <f t="shared" si="134"/>
        <v>-1</v>
      </c>
      <c r="AI75" s="33">
        <f>MAX([2]Examen31!AI20,[2]Examen32!AI20,[2]Examen33!AI20)</f>
        <v>0</v>
      </c>
      <c r="AJ75" s="32">
        <f t="shared" si="135"/>
        <v>-1</v>
      </c>
      <c r="AK75" s="33">
        <f>MAX([2]Examen31!AK20,[2]Examen32!AK20,[2]Examen33!AK20)</f>
        <v>0</v>
      </c>
      <c r="AL75" s="32">
        <f t="shared" si="136"/>
        <v>-1</v>
      </c>
      <c r="AM75" s="33">
        <f>MAX([2]Examen31!AM20,[2]Examen32!AM20,[2]Examen33!AM20)</f>
        <v>0</v>
      </c>
      <c r="AN75" s="32">
        <f t="shared" si="137"/>
        <v>-1</v>
      </c>
      <c r="AO75" s="33">
        <f>MAX([2]Examen31!AO20,[2]Examen32!AO20,[2]Examen33!AO20)</f>
        <v>0</v>
      </c>
      <c r="AP75" s="32">
        <f t="shared" si="138"/>
        <v>-1</v>
      </c>
      <c r="AQ75" s="33">
        <f>MAX([2]Examen31!AQ20,[2]Examen32!AQ20,[2]Examen33!AQ20)</f>
        <v>0</v>
      </c>
      <c r="AR75" s="32">
        <f t="shared" si="139"/>
        <v>-1</v>
      </c>
      <c r="AS75" s="33">
        <f>MAX([2]Examen31!AS20,[2]Examen32!AS20,[2]Examen33!AS20)</f>
        <v>0</v>
      </c>
      <c r="AT75" s="32">
        <f t="shared" si="140"/>
        <v>-1</v>
      </c>
      <c r="AU75" s="33">
        <f>MAX([2]Examen31!AU20,[2]Examen32!AU20,[2]Examen33!AU20)</f>
        <v>0</v>
      </c>
      <c r="AV75" s="32">
        <f t="shared" si="141"/>
        <v>-1</v>
      </c>
      <c r="AW75" s="33">
        <f>MAX([2]Examen31!AW20,[2]Examen32!AW20,[2]Examen33!AW20)</f>
        <v>0</v>
      </c>
      <c r="AX75" s="32">
        <f t="shared" si="142"/>
        <v>-1</v>
      </c>
      <c r="AY75" s="33">
        <f>MAX([2]Examen31!AY20,[2]Examen32!AY20,[2]Examen33!AY20)</f>
        <v>0</v>
      </c>
      <c r="AZ75" s="32">
        <f t="shared" si="143"/>
        <v>-1</v>
      </c>
      <c r="BA75" s="33">
        <f>MAX([2]Examen31!BA20,[2]Examen32!BA20,[2]Examen33!BA20)</f>
        <v>0</v>
      </c>
      <c r="BB75" s="32">
        <f t="shared" si="144"/>
        <v>-1</v>
      </c>
      <c r="BC75" s="33">
        <f>MAX([2]Examen31!BC20,[2]Examen32!BC20,[2]Examen33!BC20)</f>
        <v>0</v>
      </c>
      <c r="BD75" s="32">
        <f t="shared" si="145"/>
        <v>-1</v>
      </c>
      <c r="BE75" s="33">
        <f>MAX([2]Examen31!BE20,[2]Examen32!BE20,[2]Examen33!BE20)</f>
        <v>0</v>
      </c>
      <c r="BF75" s="32">
        <f t="shared" si="146"/>
        <v>-1</v>
      </c>
      <c r="BG75" s="33">
        <f>MAX([2]Examen31!BG20,[2]Examen32!BG20,[2]Examen33!BG20)</f>
        <v>0</v>
      </c>
      <c r="BH75" s="32">
        <f t="shared" si="147"/>
        <v>-1</v>
      </c>
      <c r="BI75" s="33">
        <f>MAX([2]Examen31!BI20,[2]Examen32!BI20,[2]Examen33!BI20)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MAX([2]Examen31!B21,[2]Examen32!B21,[2]Examen33!B21)</f>
        <v>0</v>
      </c>
      <c r="C76" s="33">
        <f>MAX([2]Examen31!C21,[2]Examen32!C21,[2]Examen33!C21)</f>
        <v>0</v>
      </c>
      <c r="D76" s="32">
        <f t="shared" si="119"/>
        <v>-1</v>
      </c>
      <c r="E76" s="33">
        <f>MAX([2]Examen31!E21,[2]Examen32!E21,[2]Examen33!E21)</f>
        <v>0</v>
      </c>
      <c r="F76" s="32">
        <f t="shared" si="120"/>
        <v>-1</v>
      </c>
      <c r="G76" s="33">
        <f>MAX([2]Examen31!G21,[2]Examen32!G21,[2]Examen33!G21)</f>
        <v>0</v>
      </c>
      <c r="H76" s="32">
        <f t="shared" si="121"/>
        <v>-1</v>
      </c>
      <c r="I76" s="33">
        <f>MAX([2]Examen31!I21,[2]Examen32!I21,[2]Examen33!I21)</f>
        <v>0</v>
      </c>
      <c r="J76" s="32">
        <f t="shared" si="122"/>
        <v>-1</v>
      </c>
      <c r="K76" s="33">
        <f>MAX([2]Examen31!K21,[2]Examen32!K21,[2]Examen33!K21)</f>
        <v>0</v>
      </c>
      <c r="L76" s="32">
        <f t="shared" si="123"/>
        <v>-1</v>
      </c>
      <c r="M76" s="33">
        <f>MAX([2]Examen31!M21,[2]Examen32!M21,[2]Examen33!M21)</f>
        <v>0</v>
      </c>
      <c r="N76" s="32">
        <f t="shared" si="124"/>
        <v>-1</v>
      </c>
      <c r="O76" s="33">
        <f>MAX([2]Examen31!O21,[2]Examen32!O21,[2]Examen33!O21)</f>
        <v>0</v>
      </c>
      <c r="P76" s="32">
        <f t="shared" si="125"/>
        <v>-1</v>
      </c>
      <c r="Q76" s="33">
        <f>MAX([2]Examen31!Q21,[2]Examen32!Q21,[2]Examen33!Q21)</f>
        <v>0</v>
      </c>
      <c r="R76" s="32">
        <f t="shared" si="126"/>
        <v>-1</v>
      </c>
      <c r="S76" s="33">
        <f>MAX([2]Examen31!S21,[2]Examen32!S21,[2]Examen33!S21)</f>
        <v>0</v>
      </c>
      <c r="T76" s="32">
        <f t="shared" si="127"/>
        <v>-1</v>
      </c>
      <c r="U76" s="33">
        <f>MAX([2]Examen31!U21,[2]Examen32!U21,[2]Examen33!U21)</f>
        <v>0</v>
      </c>
      <c r="V76" s="32">
        <f t="shared" si="128"/>
        <v>-1</v>
      </c>
      <c r="W76" s="33">
        <f>MAX([2]Examen31!W21,[2]Examen32!W21,[2]Examen33!W21)</f>
        <v>0</v>
      </c>
      <c r="X76" s="32">
        <f t="shared" si="129"/>
        <v>-1</v>
      </c>
      <c r="Y76" s="33">
        <f>MAX([2]Examen31!Y21,[2]Examen32!Y21,[2]Examen33!Y21)</f>
        <v>0</v>
      </c>
      <c r="Z76" s="32">
        <f t="shared" si="130"/>
        <v>-1</v>
      </c>
      <c r="AA76" s="33">
        <f>MAX([2]Examen31!AA21,[2]Examen32!AA21,[2]Examen33!AA21)</f>
        <v>0</v>
      </c>
      <c r="AB76" s="32">
        <f t="shared" si="131"/>
        <v>-1</v>
      </c>
      <c r="AC76" s="33">
        <f>MAX([2]Examen31!AC21,[2]Examen32!AC21,[2]Examen33!AC21)</f>
        <v>0</v>
      </c>
      <c r="AD76" s="32">
        <f t="shared" si="132"/>
        <v>-1</v>
      </c>
      <c r="AE76" s="33">
        <f>MAX([2]Examen31!AE21,[2]Examen32!AE21,[2]Examen33!AE21)</f>
        <v>0</v>
      </c>
      <c r="AF76" s="32">
        <f t="shared" si="133"/>
        <v>-1</v>
      </c>
      <c r="AG76" s="33">
        <f>MAX([2]Examen31!AG21,[2]Examen32!AG21,[2]Examen33!AG21)</f>
        <v>0</v>
      </c>
      <c r="AH76" s="32">
        <f t="shared" si="134"/>
        <v>-1</v>
      </c>
      <c r="AI76" s="33">
        <f>MAX([2]Examen31!AI21,[2]Examen32!AI21,[2]Examen33!AI21)</f>
        <v>0</v>
      </c>
      <c r="AJ76" s="32">
        <f t="shared" si="135"/>
        <v>-1</v>
      </c>
      <c r="AK76" s="33">
        <f>MAX([2]Examen31!AK21,[2]Examen32!AK21,[2]Examen33!AK21)</f>
        <v>0</v>
      </c>
      <c r="AL76" s="32">
        <f t="shared" si="136"/>
        <v>-1</v>
      </c>
      <c r="AM76" s="33">
        <f>MAX([2]Examen31!AM21,[2]Examen32!AM21,[2]Examen33!AM21)</f>
        <v>0</v>
      </c>
      <c r="AN76" s="32">
        <f t="shared" si="137"/>
        <v>-1</v>
      </c>
      <c r="AO76" s="33">
        <f>MAX([2]Examen31!AO21,[2]Examen32!AO21,[2]Examen33!AO21)</f>
        <v>0</v>
      </c>
      <c r="AP76" s="32">
        <f t="shared" si="138"/>
        <v>-1</v>
      </c>
      <c r="AQ76" s="33">
        <f>MAX([2]Examen31!AQ21,[2]Examen32!AQ21,[2]Examen33!AQ21)</f>
        <v>0</v>
      </c>
      <c r="AR76" s="32">
        <f t="shared" si="139"/>
        <v>-1</v>
      </c>
      <c r="AS76" s="33">
        <f>MAX([2]Examen31!AS21,[2]Examen32!AS21,[2]Examen33!AS21)</f>
        <v>0</v>
      </c>
      <c r="AT76" s="32">
        <f t="shared" si="140"/>
        <v>-1</v>
      </c>
      <c r="AU76" s="33">
        <f>MAX([2]Examen31!AU21,[2]Examen32!AU21,[2]Examen33!AU21)</f>
        <v>0</v>
      </c>
      <c r="AV76" s="32">
        <f t="shared" si="141"/>
        <v>-1</v>
      </c>
      <c r="AW76" s="33">
        <f>MAX([2]Examen31!AW21,[2]Examen32!AW21,[2]Examen33!AW21)</f>
        <v>0</v>
      </c>
      <c r="AX76" s="32">
        <f t="shared" si="142"/>
        <v>-1</v>
      </c>
      <c r="AY76" s="33">
        <f>MAX([2]Examen31!AY21,[2]Examen32!AY21,[2]Examen33!AY21)</f>
        <v>0</v>
      </c>
      <c r="AZ76" s="32">
        <f t="shared" si="143"/>
        <v>-1</v>
      </c>
      <c r="BA76" s="33">
        <f>MAX([2]Examen31!BA21,[2]Examen32!BA21,[2]Examen33!BA21)</f>
        <v>0</v>
      </c>
      <c r="BB76" s="32">
        <f t="shared" si="144"/>
        <v>-1</v>
      </c>
      <c r="BC76" s="33">
        <f>MAX([2]Examen31!BC21,[2]Examen32!BC21,[2]Examen33!BC21)</f>
        <v>0</v>
      </c>
      <c r="BD76" s="32">
        <f t="shared" si="145"/>
        <v>-1</v>
      </c>
      <c r="BE76" s="33">
        <f>MAX([2]Examen31!BE21,[2]Examen32!BE21,[2]Examen33!BE21)</f>
        <v>0</v>
      </c>
      <c r="BF76" s="32">
        <f t="shared" si="146"/>
        <v>-1</v>
      </c>
      <c r="BG76" s="33">
        <f>MAX([2]Examen31!BG21,[2]Examen32!BG21,[2]Examen33!BG21)</f>
        <v>0</v>
      </c>
      <c r="BH76" s="32">
        <f t="shared" si="147"/>
        <v>-1</v>
      </c>
      <c r="BI76" s="33">
        <f>MAX([2]Examen31!BI21,[2]Examen32!BI21,[2]Examen33!BI21)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MAX([2]Examen31!B22,[2]Examen32!B22,[2]Examen33!B22)</f>
        <v>0</v>
      </c>
      <c r="C77" s="33">
        <f>MAX([2]Examen31!C22,[2]Examen32!C22,[2]Examen33!C22)</f>
        <v>0</v>
      </c>
      <c r="D77" s="32">
        <f t="shared" si="119"/>
        <v>-1</v>
      </c>
      <c r="E77" s="33">
        <f>MAX([2]Examen31!E22,[2]Examen32!E22,[2]Examen33!E22)</f>
        <v>0</v>
      </c>
      <c r="F77" s="32">
        <f t="shared" si="120"/>
        <v>-1</v>
      </c>
      <c r="G77" s="33">
        <f>MAX([2]Examen31!G22,[2]Examen32!G22,[2]Examen33!G22)</f>
        <v>0</v>
      </c>
      <c r="H77" s="32">
        <f t="shared" si="121"/>
        <v>-1</v>
      </c>
      <c r="I77" s="33">
        <f>MAX([2]Examen31!I22,[2]Examen32!I22,[2]Examen33!I22)</f>
        <v>0</v>
      </c>
      <c r="J77" s="32">
        <f t="shared" si="122"/>
        <v>-1</v>
      </c>
      <c r="K77" s="33">
        <f>MAX([2]Examen31!K22,[2]Examen32!K22,[2]Examen33!K22)</f>
        <v>0</v>
      </c>
      <c r="L77" s="32">
        <f t="shared" si="123"/>
        <v>-1</v>
      </c>
      <c r="M77" s="33">
        <f>MAX([2]Examen31!M22,[2]Examen32!M22,[2]Examen33!M22)</f>
        <v>0</v>
      </c>
      <c r="N77" s="32">
        <f t="shared" si="124"/>
        <v>-1</v>
      </c>
      <c r="O77" s="33">
        <f>MAX([2]Examen31!O22,[2]Examen32!O22,[2]Examen33!O22)</f>
        <v>0</v>
      </c>
      <c r="P77" s="32">
        <f t="shared" si="125"/>
        <v>-1</v>
      </c>
      <c r="Q77" s="33">
        <f>MAX([2]Examen31!Q22,[2]Examen32!Q22,[2]Examen33!Q22)</f>
        <v>0</v>
      </c>
      <c r="R77" s="32">
        <f t="shared" si="126"/>
        <v>-1</v>
      </c>
      <c r="S77" s="33">
        <f>MAX([2]Examen31!S22,[2]Examen32!S22,[2]Examen33!S22)</f>
        <v>0</v>
      </c>
      <c r="T77" s="32">
        <f t="shared" si="127"/>
        <v>-1</v>
      </c>
      <c r="U77" s="33">
        <f>MAX([2]Examen31!U22,[2]Examen32!U22,[2]Examen33!U22)</f>
        <v>0</v>
      </c>
      <c r="V77" s="32">
        <f t="shared" si="128"/>
        <v>-1</v>
      </c>
      <c r="W77" s="33">
        <f>MAX([2]Examen31!W22,[2]Examen32!W22,[2]Examen33!W22)</f>
        <v>0</v>
      </c>
      <c r="X77" s="32">
        <f t="shared" si="129"/>
        <v>-1</v>
      </c>
      <c r="Y77" s="33">
        <f>MAX([2]Examen31!Y22,[2]Examen32!Y22,[2]Examen33!Y22)</f>
        <v>0</v>
      </c>
      <c r="Z77" s="32">
        <f t="shared" si="130"/>
        <v>-1</v>
      </c>
      <c r="AA77" s="33">
        <f>MAX([2]Examen31!AA22,[2]Examen32!AA22,[2]Examen33!AA22)</f>
        <v>0</v>
      </c>
      <c r="AB77" s="32">
        <f t="shared" si="131"/>
        <v>-1</v>
      </c>
      <c r="AC77" s="33">
        <f>MAX([2]Examen31!AC22,[2]Examen32!AC22,[2]Examen33!AC22)</f>
        <v>0</v>
      </c>
      <c r="AD77" s="32">
        <f t="shared" si="132"/>
        <v>-1</v>
      </c>
      <c r="AE77" s="33">
        <f>MAX([2]Examen31!AE22,[2]Examen32!AE22,[2]Examen33!AE22)</f>
        <v>0</v>
      </c>
      <c r="AF77" s="32">
        <f t="shared" si="133"/>
        <v>-1</v>
      </c>
      <c r="AG77" s="33">
        <f>MAX([2]Examen31!AG22,[2]Examen32!AG22,[2]Examen33!AG22)</f>
        <v>0</v>
      </c>
      <c r="AH77" s="32">
        <f t="shared" si="134"/>
        <v>-1</v>
      </c>
      <c r="AI77" s="33">
        <f>MAX([2]Examen31!AI22,[2]Examen32!AI22,[2]Examen33!AI22)</f>
        <v>0</v>
      </c>
      <c r="AJ77" s="32">
        <f t="shared" si="135"/>
        <v>-1</v>
      </c>
      <c r="AK77" s="33">
        <f>MAX([2]Examen31!AK22,[2]Examen32!AK22,[2]Examen33!AK22)</f>
        <v>0</v>
      </c>
      <c r="AL77" s="32">
        <f t="shared" si="136"/>
        <v>-1</v>
      </c>
      <c r="AM77" s="33">
        <f>MAX([2]Examen31!AM22,[2]Examen32!AM22,[2]Examen33!AM22)</f>
        <v>0</v>
      </c>
      <c r="AN77" s="32">
        <f t="shared" si="137"/>
        <v>-1</v>
      </c>
      <c r="AO77" s="33">
        <f>MAX([2]Examen31!AO22,[2]Examen32!AO22,[2]Examen33!AO22)</f>
        <v>0</v>
      </c>
      <c r="AP77" s="32">
        <f t="shared" si="138"/>
        <v>-1</v>
      </c>
      <c r="AQ77" s="33">
        <f>MAX([2]Examen31!AQ22,[2]Examen32!AQ22,[2]Examen33!AQ22)</f>
        <v>0</v>
      </c>
      <c r="AR77" s="32">
        <f t="shared" si="139"/>
        <v>-1</v>
      </c>
      <c r="AS77" s="33">
        <f>MAX([2]Examen31!AS22,[2]Examen32!AS22,[2]Examen33!AS22)</f>
        <v>0</v>
      </c>
      <c r="AT77" s="32">
        <f t="shared" si="140"/>
        <v>-1</v>
      </c>
      <c r="AU77" s="33">
        <f>MAX([2]Examen31!AU22,[2]Examen32!AU22,[2]Examen33!AU22)</f>
        <v>0</v>
      </c>
      <c r="AV77" s="32">
        <f t="shared" si="141"/>
        <v>-1</v>
      </c>
      <c r="AW77" s="33">
        <f>MAX([2]Examen31!AW22,[2]Examen32!AW22,[2]Examen33!AW22)</f>
        <v>0</v>
      </c>
      <c r="AX77" s="32">
        <f t="shared" si="142"/>
        <v>-1</v>
      </c>
      <c r="AY77" s="33">
        <f>MAX([2]Examen31!AY22,[2]Examen32!AY22,[2]Examen33!AY22)</f>
        <v>0</v>
      </c>
      <c r="AZ77" s="32">
        <f t="shared" si="143"/>
        <v>-1</v>
      </c>
      <c r="BA77" s="33">
        <f>MAX([2]Examen31!BA22,[2]Examen32!BA22,[2]Examen33!BA22)</f>
        <v>0</v>
      </c>
      <c r="BB77" s="32">
        <f t="shared" si="144"/>
        <v>-1</v>
      </c>
      <c r="BC77" s="33">
        <f>MAX([2]Examen31!BC22,[2]Examen32!BC22,[2]Examen33!BC22)</f>
        <v>0</v>
      </c>
      <c r="BD77" s="32">
        <f t="shared" si="145"/>
        <v>-1</v>
      </c>
      <c r="BE77" s="33">
        <f>MAX([2]Examen31!BE22,[2]Examen32!BE22,[2]Examen33!BE22)</f>
        <v>0</v>
      </c>
      <c r="BF77" s="32">
        <f t="shared" si="146"/>
        <v>-1</v>
      </c>
      <c r="BG77" s="33">
        <f>MAX([2]Examen31!BG22,[2]Examen32!BG22,[2]Examen33!BG22)</f>
        <v>0</v>
      </c>
      <c r="BH77" s="32">
        <f t="shared" si="147"/>
        <v>-1</v>
      </c>
      <c r="BI77" s="33">
        <f>MAX([2]Examen31!BI22,[2]Examen32!BI22,[2]Examen33!BI22)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MAX([2]Examen31!B23,[2]Examen32!B23,[2]Examen33!B23)</f>
        <v>0</v>
      </c>
      <c r="C78" s="33">
        <f>MAX([2]Examen31!C23,[2]Examen32!C23,[2]Examen33!C23)</f>
        <v>0</v>
      </c>
      <c r="D78" s="32">
        <f t="shared" si="119"/>
        <v>-1</v>
      </c>
      <c r="E78" s="33">
        <f>MAX([2]Examen31!E23,[2]Examen32!E23,[2]Examen33!E23)</f>
        <v>0</v>
      </c>
      <c r="F78" s="32">
        <f t="shared" si="120"/>
        <v>-1</v>
      </c>
      <c r="G78" s="33">
        <f>MAX([2]Examen31!G23,[2]Examen32!G23,[2]Examen33!G23)</f>
        <v>0</v>
      </c>
      <c r="H78" s="32">
        <f t="shared" si="121"/>
        <v>-1</v>
      </c>
      <c r="I78" s="33">
        <f>MAX([2]Examen31!I23,[2]Examen32!I23,[2]Examen33!I23)</f>
        <v>0</v>
      </c>
      <c r="J78" s="32">
        <f t="shared" si="122"/>
        <v>-1</v>
      </c>
      <c r="K78" s="33">
        <f>MAX([2]Examen31!K23,[2]Examen32!K23,[2]Examen33!K23)</f>
        <v>0</v>
      </c>
      <c r="L78" s="32">
        <f t="shared" si="123"/>
        <v>-1</v>
      </c>
      <c r="M78" s="33">
        <f>MAX([2]Examen31!M23,[2]Examen32!M23,[2]Examen33!M23)</f>
        <v>0</v>
      </c>
      <c r="N78" s="32">
        <f t="shared" si="124"/>
        <v>-1</v>
      </c>
      <c r="O78" s="33">
        <f>MAX([2]Examen31!O23,[2]Examen32!O23,[2]Examen33!O23)</f>
        <v>0</v>
      </c>
      <c r="P78" s="32">
        <f t="shared" si="125"/>
        <v>-1</v>
      </c>
      <c r="Q78" s="33">
        <f>MAX([2]Examen31!Q23,[2]Examen32!Q23,[2]Examen33!Q23)</f>
        <v>0</v>
      </c>
      <c r="R78" s="32">
        <f t="shared" si="126"/>
        <v>-1</v>
      </c>
      <c r="S78" s="33">
        <f>MAX([2]Examen31!S23,[2]Examen32!S23,[2]Examen33!S23)</f>
        <v>0</v>
      </c>
      <c r="T78" s="32">
        <f t="shared" si="127"/>
        <v>-1</v>
      </c>
      <c r="U78" s="33">
        <f>MAX([2]Examen31!U23,[2]Examen32!U23,[2]Examen33!U23)</f>
        <v>0</v>
      </c>
      <c r="V78" s="32">
        <f t="shared" si="128"/>
        <v>-1</v>
      </c>
      <c r="W78" s="33">
        <f>MAX([2]Examen31!W23,[2]Examen32!W23,[2]Examen33!W23)</f>
        <v>0</v>
      </c>
      <c r="X78" s="32">
        <f t="shared" si="129"/>
        <v>-1</v>
      </c>
      <c r="Y78" s="33">
        <f>MAX([2]Examen31!Y23,[2]Examen32!Y23,[2]Examen33!Y23)</f>
        <v>0</v>
      </c>
      <c r="Z78" s="32">
        <f t="shared" si="130"/>
        <v>-1</v>
      </c>
      <c r="AA78" s="33">
        <f>MAX([2]Examen31!AA23,[2]Examen32!AA23,[2]Examen33!AA23)</f>
        <v>0</v>
      </c>
      <c r="AB78" s="32">
        <f t="shared" si="131"/>
        <v>-1</v>
      </c>
      <c r="AC78" s="33">
        <f>MAX([2]Examen31!AC23,[2]Examen32!AC23,[2]Examen33!AC23)</f>
        <v>0</v>
      </c>
      <c r="AD78" s="32">
        <f t="shared" si="132"/>
        <v>-1</v>
      </c>
      <c r="AE78" s="33">
        <f>MAX([2]Examen31!AE23,[2]Examen32!AE23,[2]Examen33!AE23)</f>
        <v>0</v>
      </c>
      <c r="AF78" s="32">
        <f t="shared" si="133"/>
        <v>-1</v>
      </c>
      <c r="AG78" s="33">
        <f>MAX([2]Examen31!AG23,[2]Examen32!AG23,[2]Examen33!AG23)</f>
        <v>0</v>
      </c>
      <c r="AH78" s="32">
        <f t="shared" si="134"/>
        <v>-1</v>
      </c>
      <c r="AI78" s="33">
        <f>MAX([2]Examen31!AI23,[2]Examen32!AI23,[2]Examen33!AI23)</f>
        <v>0</v>
      </c>
      <c r="AJ78" s="32">
        <f t="shared" si="135"/>
        <v>-1</v>
      </c>
      <c r="AK78" s="33">
        <f>MAX([2]Examen31!AK23,[2]Examen32!AK23,[2]Examen33!AK23)</f>
        <v>0</v>
      </c>
      <c r="AL78" s="32">
        <f t="shared" si="136"/>
        <v>-1</v>
      </c>
      <c r="AM78" s="33">
        <f>MAX([2]Examen31!AM23,[2]Examen32!AM23,[2]Examen33!AM23)</f>
        <v>0</v>
      </c>
      <c r="AN78" s="32">
        <f t="shared" si="137"/>
        <v>-1</v>
      </c>
      <c r="AO78" s="33">
        <f>MAX([2]Examen31!AO23,[2]Examen32!AO23,[2]Examen33!AO23)</f>
        <v>0</v>
      </c>
      <c r="AP78" s="32">
        <f t="shared" si="138"/>
        <v>-1</v>
      </c>
      <c r="AQ78" s="33">
        <f>MAX([2]Examen31!AQ23,[2]Examen32!AQ23,[2]Examen33!AQ23)</f>
        <v>0</v>
      </c>
      <c r="AR78" s="32">
        <f t="shared" si="139"/>
        <v>-1</v>
      </c>
      <c r="AS78" s="33">
        <f>MAX([2]Examen31!AS23,[2]Examen32!AS23,[2]Examen33!AS23)</f>
        <v>0</v>
      </c>
      <c r="AT78" s="32">
        <f t="shared" si="140"/>
        <v>-1</v>
      </c>
      <c r="AU78" s="33">
        <f>MAX([2]Examen31!AU23,[2]Examen32!AU23,[2]Examen33!AU23)</f>
        <v>0</v>
      </c>
      <c r="AV78" s="32">
        <f t="shared" si="141"/>
        <v>-1</v>
      </c>
      <c r="AW78" s="33">
        <f>MAX([2]Examen31!AW23,[2]Examen32!AW23,[2]Examen33!AW23)</f>
        <v>0</v>
      </c>
      <c r="AX78" s="32">
        <f t="shared" si="142"/>
        <v>-1</v>
      </c>
      <c r="AY78" s="33">
        <f>MAX([2]Examen31!AY23,[2]Examen32!AY23,[2]Examen33!AY23)</f>
        <v>0</v>
      </c>
      <c r="AZ78" s="32">
        <f t="shared" si="143"/>
        <v>-1</v>
      </c>
      <c r="BA78" s="33">
        <f>MAX([2]Examen31!BA23,[2]Examen32!BA23,[2]Examen33!BA23)</f>
        <v>0</v>
      </c>
      <c r="BB78" s="32">
        <f t="shared" si="144"/>
        <v>-1</v>
      </c>
      <c r="BC78" s="33">
        <f>MAX([2]Examen31!BC23,[2]Examen32!BC23,[2]Examen33!BC23)</f>
        <v>0</v>
      </c>
      <c r="BD78" s="32">
        <f t="shared" si="145"/>
        <v>-1</v>
      </c>
      <c r="BE78" s="33">
        <f>MAX([2]Examen31!BE23,[2]Examen32!BE23,[2]Examen33!BE23)</f>
        <v>0</v>
      </c>
      <c r="BF78" s="32">
        <f t="shared" si="146"/>
        <v>-1</v>
      </c>
      <c r="BG78" s="33">
        <f>MAX([2]Examen31!BG23,[2]Examen32!BG23,[2]Examen33!BG23)</f>
        <v>0</v>
      </c>
      <c r="BH78" s="32">
        <f t="shared" si="147"/>
        <v>-1</v>
      </c>
      <c r="BI78" s="33">
        <f>MAX([2]Examen31!BI23,[2]Examen32!BI23,[2]Examen33!BI23)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MAX([2]Examen31!B24,[2]Examen32!B24,[2]Examen33!B24)</f>
        <v>0</v>
      </c>
      <c r="C79" s="33">
        <f>MAX([2]Examen31!C24,[2]Examen32!C24,[2]Examen33!C24)</f>
        <v>0</v>
      </c>
      <c r="D79" s="32">
        <f t="shared" si="119"/>
        <v>-1</v>
      </c>
      <c r="E79" s="33">
        <f>MAX([2]Examen31!E24,[2]Examen32!E24,[2]Examen33!E24)</f>
        <v>0</v>
      </c>
      <c r="F79" s="32">
        <f t="shared" si="120"/>
        <v>-1</v>
      </c>
      <c r="G79" s="33">
        <f>MAX([2]Examen31!G24,[2]Examen32!G24,[2]Examen33!G24)</f>
        <v>0</v>
      </c>
      <c r="H79" s="32">
        <f t="shared" si="121"/>
        <v>-1</v>
      </c>
      <c r="I79" s="33">
        <f>MAX([2]Examen31!I24,[2]Examen32!I24,[2]Examen33!I24)</f>
        <v>0</v>
      </c>
      <c r="J79" s="32">
        <f t="shared" si="122"/>
        <v>-1</v>
      </c>
      <c r="K79" s="33">
        <f>MAX([2]Examen31!K24,[2]Examen32!K24,[2]Examen33!K24)</f>
        <v>0</v>
      </c>
      <c r="L79" s="32">
        <f t="shared" si="123"/>
        <v>-1</v>
      </c>
      <c r="M79" s="33">
        <f>MAX([2]Examen31!M24,[2]Examen32!M24,[2]Examen33!M24)</f>
        <v>0</v>
      </c>
      <c r="N79" s="32">
        <f t="shared" si="124"/>
        <v>-1</v>
      </c>
      <c r="O79" s="33">
        <f>MAX([2]Examen31!O24,[2]Examen32!O24,[2]Examen33!O24)</f>
        <v>0</v>
      </c>
      <c r="P79" s="32">
        <f t="shared" si="125"/>
        <v>-1</v>
      </c>
      <c r="Q79" s="33">
        <f>MAX([2]Examen31!Q24,[2]Examen32!Q24,[2]Examen33!Q24)</f>
        <v>0</v>
      </c>
      <c r="R79" s="32">
        <f t="shared" si="126"/>
        <v>-1</v>
      </c>
      <c r="S79" s="33">
        <f>MAX([2]Examen31!S24,[2]Examen32!S24,[2]Examen33!S24)</f>
        <v>0</v>
      </c>
      <c r="T79" s="32">
        <f t="shared" si="127"/>
        <v>-1</v>
      </c>
      <c r="U79" s="33">
        <f>MAX([2]Examen31!U24,[2]Examen32!U24,[2]Examen33!U24)</f>
        <v>0</v>
      </c>
      <c r="V79" s="32">
        <f t="shared" si="128"/>
        <v>-1</v>
      </c>
      <c r="W79" s="33">
        <f>MAX([2]Examen31!W24,[2]Examen32!W24,[2]Examen33!W24)</f>
        <v>0</v>
      </c>
      <c r="X79" s="32">
        <f t="shared" si="129"/>
        <v>-1</v>
      </c>
      <c r="Y79" s="33">
        <f>MAX([2]Examen31!Y24,[2]Examen32!Y24,[2]Examen33!Y24)</f>
        <v>0</v>
      </c>
      <c r="Z79" s="32">
        <f t="shared" si="130"/>
        <v>-1</v>
      </c>
      <c r="AA79" s="33">
        <f>MAX([2]Examen31!AA24,[2]Examen32!AA24,[2]Examen33!AA24)</f>
        <v>0</v>
      </c>
      <c r="AB79" s="32">
        <f t="shared" si="131"/>
        <v>-1</v>
      </c>
      <c r="AC79" s="33">
        <f>MAX([2]Examen31!AC24,[2]Examen32!AC24,[2]Examen33!AC24)</f>
        <v>0</v>
      </c>
      <c r="AD79" s="32">
        <f t="shared" si="132"/>
        <v>-1</v>
      </c>
      <c r="AE79" s="33">
        <f>MAX([2]Examen31!AE24,[2]Examen32!AE24,[2]Examen33!AE24)</f>
        <v>0</v>
      </c>
      <c r="AF79" s="32">
        <f t="shared" si="133"/>
        <v>-1</v>
      </c>
      <c r="AG79" s="33">
        <f>MAX([2]Examen31!AG24,[2]Examen32!AG24,[2]Examen33!AG24)</f>
        <v>0</v>
      </c>
      <c r="AH79" s="32">
        <f t="shared" si="134"/>
        <v>-1</v>
      </c>
      <c r="AI79" s="33">
        <f>MAX([2]Examen31!AI24,[2]Examen32!AI24,[2]Examen33!AI24)</f>
        <v>0</v>
      </c>
      <c r="AJ79" s="32">
        <f t="shared" si="135"/>
        <v>-1</v>
      </c>
      <c r="AK79" s="33">
        <f>MAX([2]Examen31!AK24,[2]Examen32!AK24,[2]Examen33!AK24)</f>
        <v>0</v>
      </c>
      <c r="AL79" s="32">
        <f t="shared" si="136"/>
        <v>-1</v>
      </c>
      <c r="AM79" s="33">
        <f>MAX([2]Examen31!AM24,[2]Examen32!AM24,[2]Examen33!AM24)</f>
        <v>0</v>
      </c>
      <c r="AN79" s="32">
        <f t="shared" si="137"/>
        <v>-1</v>
      </c>
      <c r="AO79" s="33">
        <f>MAX([2]Examen31!AO24,[2]Examen32!AO24,[2]Examen33!AO24)</f>
        <v>0</v>
      </c>
      <c r="AP79" s="32">
        <f t="shared" si="138"/>
        <v>-1</v>
      </c>
      <c r="AQ79" s="33">
        <f>MAX([2]Examen31!AQ24,[2]Examen32!AQ24,[2]Examen33!AQ24)</f>
        <v>0</v>
      </c>
      <c r="AR79" s="32">
        <f t="shared" si="139"/>
        <v>-1</v>
      </c>
      <c r="AS79" s="33">
        <f>MAX([2]Examen31!AS24,[2]Examen32!AS24,[2]Examen33!AS24)</f>
        <v>0</v>
      </c>
      <c r="AT79" s="32">
        <f t="shared" si="140"/>
        <v>-1</v>
      </c>
      <c r="AU79" s="33">
        <f>MAX([2]Examen31!AU24,[2]Examen32!AU24,[2]Examen33!AU24)</f>
        <v>0</v>
      </c>
      <c r="AV79" s="32">
        <f t="shared" si="141"/>
        <v>-1</v>
      </c>
      <c r="AW79" s="33">
        <f>MAX([2]Examen31!AW24,[2]Examen32!AW24,[2]Examen33!AW24)</f>
        <v>0</v>
      </c>
      <c r="AX79" s="32">
        <f t="shared" si="142"/>
        <v>-1</v>
      </c>
      <c r="AY79" s="33">
        <f>MAX([2]Examen31!AY24,[2]Examen32!AY24,[2]Examen33!AY24)</f>
        <v>0</v>
      </c>
      <c r="AZ79" s="32">
        <f t="shared" si="143"/>
        <v>-1</v>
      </c>
      <c r="BA79" s="33">
        <f>MAX([2]Examen31!BA24,[2]Examen32!BA24,[2]Examen33!BA24)</f>
        <v>0</v>
      </c>
      <c r="BB79" s="32">
        <f t="shared" si="144"/>
        <v>-1</v>
      </c>
      <c r="BC79" s="33">
        <f>MAX([2]Examen31!BC24,[2]Examen32!BC24,[2]Examen33!BC24)</f>
        <v>0</v>
      </c>
      <c r="BD79" s="32">
        <f t="shared" si="145"/>
        <v>-1</v>
      </c>
      <c r="BE79" s="33">
        <f>MAX([2]Examen31!BE24,[2]Examen32!BE24,[2]Examen33!BE24)</f>
        <v>0</v>
      </c>
      <c r="BF79" s="32">
        <f t="shared" si="146"/>
        <v>-1</v>
      </c>
      <c r="BG79" s="33">
        <f>MAX([2]Examen31!BG24,[2]Examen32!BG24,[2]Examen33!BG24)</f>
        <v>0</v>
      </c>
      <c r="BH79" s="32">
        <f t="shared" si="147"/>
        <v>-1</v>
      </c>
      <c r="BI79" s="33">
        <f>MAX([2]Examen31!BI24,[2]Examen32!BI24,[2]Examen33!BI24)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MAX([2]Examen31!B25,[2]Examen32!B25,[2]Examen33!B25)</f>
        <v>0</v>
      </c>
      <c r="C80" s="33">
        <f>MAX([2]Examen31!C25,[2]Examen32!C25,[2]Examen33!C25)</f>
        <v>0</v>
      </c>
      <c r="D80" s="32">
        <f t="shared" si="119"/>
        <v>-1</v>
      </c>
      <c r="E80" s="33">
        <f>MAX([2]Examen31!E25,[2]Examen32!E25,[2]Examen33!E25)</f>
        <v>0</v>
      </c>
      <c r="F80" s="32">
        <f t="shared" si="120"/>
        <v>-1</v>
      </c>
      <c r="G80" s="33">
        <f>MAX([2]Examen31!G25,[2]Examen32!G25,[2]Examen33!G25)</f>
        <v>0</v>
      </c>
      <c r="H80" s="32">
        <f t="shared" si="121"/>
        <v>-1</v>
      </c>
      <c r="I80" s="33">
        <f>MAX([2]Examen31!I25,[2]Examen32!I25,[2]Examen33!I25)</f>
        <v>0</v>
      </c>
      <c r="J80" s="32">
        <f t="shared" si="122"/>
        <v>-1</v>
      </c>
      <c r="K80" s="33">
        <f>MAX([2]Examen31!K25,[2]Examen32!K25,[2]Examen33!K25)</f>
        <v>0</v>
      </c>
      <c r="L80" s="32">
        <f t="shared" si="123"/>
        <v>-1</v>
      </c>
      <c r="M80" s="33">
        <f>MAX([2]Examen31!M25,[2]Examen32!M25,[2]Examen33!M25)</f>
        <v>0</v>
      </c>
      <c r="N80" s="32">
        <f t="shared" si="124"/>
        <v>-1</v>
      </c>
      <c r="O80" s="33">
        <f>MAX([2]Examen31!O25,[2]Examen32!O25,[2]Examen33!O25)</f>
        <v>0</v>
      </c>
      <c r="P80" s="32">
        <f t="shared" si="125"/>
        <v>-1</v>
      </c>
      <c r="Q80" s="33">
        <f>MAX([2]Examen31!Q25,[2]Examen32!Q25,[2]Examen33!Q25)</f>
        <v>0</v>
      </c>
      <c r="R80" s="32">
        <f t="shared" si="126"/>
        <v>-1</v>
      </c>
      <c r="S80" s="33">
        <f>MAX([2]Examen31!S25,[2]Examen32!S25,[2]Examen33!S25)</f>
        <v>0</v>
      </c>
      <c r="T80" s="32">
        <f t="shared" si="127"/>
        <v>-1</v>
      </c>
      <c r="U80" s="33">
        <f>MAX([2]Examen31!U25,[2]Examen32!U25,[2]Examen33!U25)</f>
        <v>0</v>
      </c>
      <c r="V80" s="32">
        <f t="shared" si="128"/>
        <v>-1</v>
      </c>
      <c r="W80" s="33">
        <f>MAX([2]Examen31!W25,[2]Examen32!W25,[2]Examen33!W25)</f>
        <v>0</v>
      </c>
      <c r="X80" s="32">
        <f t="shared" si="129"/>
        <v>-1</v>
      </c>
      <c r="Y80" s="33">
        <f>MAX([2]Examen31!Y25,[2]Examen32!Y25,[2]Examen33!Y25)</f>
        <v>0</v>
      </c>
      <c r="Z80" s="32">
        <f t="shared" si="130"/>
        <v>-1</v>
      </c>
      <c r="AA80" s="33">
        <f>MAX([2]Examen31!AA25,[2]Examen32!AA25,[2]Examen33!AA25)</f>
        <v>0</v>
      </c>
      <c r="AB80" s="32">
        <f t="shared" si="131"/>
        <v>-1</v>
      </c>
      <c r="AC80" s="33">
        <f>MAX([2]Examen31!AC25,[2]Examen32!AC25,[2]Examen33!AC25)</f>
        <v>0</v>
      </c>
      <c r="AD80" s="32">
        <f t="shared" si="132"/>
        <v>-1</v>
      </c>
      <c r="AE80" s="33">
        <f>MAX([2]Examen31!AE25,[2]Examen32!AE25,[2]Examen33!AE25)</f>
        <v>0</v>
      </c>
      <c r="AF80" s="32">
        <f t="shared" si="133"/>
        <v>-1</v>
      </c>
      <c r="AG80" s="33">
        <f>MAX([2]Examen31!AG25,[2]Examen32!AG25,[2]Examen33!AG25)</f>
        <v>0</v>
      </c>
      <c r="AH80" s="32">
        <f t="shared" si="134"/>
        <v>-1</v>
      </c>
      <c r="AI80" s="33">
        <f>MAX([2]Examen31!AI25,[2]Examen32!AI25,[2]Examen33!AI25)</f>
        <v>0</v>
      </c>
      <c r="AJ80" s="32">
        <f t="shared" si="135"/>
        <v>-1</v>
      </c>
      <c r="AK80" s="33">
        <f>MAX([2]Examen31!AK25,[2]Examen32!AK25,[2]Examen33!AK25)</f>
        <v>0</v>
      </c>
      <c r="AL80" s="32">
        <f t="shared" si="136"/>
        <v>-1</v>
      </c>
      <c r="AM80" s="33">
        <f>MAX([2]Examen31!AM25,[2]Examen32!AM25,[2]Examen33!AM25)</f>
        <v>0</v>
      </c>
      <c r="AN80" s="32">
        <f t="shared" si="137"/>
        <v>-1</v>
      </c>
      <c r="AO80" s="33">
        <f>MAX([2]Examen31!AO25,[2]Examen32!AO25,[2]Examen33!AO25)</f>
        <v>0</v>
      </c>
      <c r="AP80" s="32">
        <f t="shared" si="138"/>
        <v>-1</v>
      </c>
      <c r="AQ80" s="33">
        <f>MAX([2]Examen31!AQ25,[2]Examen32!AQ25,[2]Examen33!AQ25)</f>
        <v>0</v>
      </c>
      <c r="AR80" s="32">
        <f t="shared" si="139"/>
        <v>-1</v>
      </c>
      <c r="AS80" s="33">
        <f>MAX([2]Examen31!AS25,[2]Examen32!AS25,[2]Examen33!AS25)</f>
        <v>0</v>
      </c>
      <c r="AT80" s="32">
        <f t="shared" si="140"/>
        <v>-1</v>
      </c>
      <c r="AU80" s="33">
        <f>MAX([2]Examen31!AU25,[2]Examen32!AU25,[2]Examen33!AU25)</f>
        <v>0</v>
      </c>
      <c r="AV80" s="32">
        <f t="shared" si="141"/>
        <v>-1</v>
      </c>
      <c r="AW80" s="33">
        <f>MAX([2]Examen31!AW25,[2]Examen32!AW25,[2]Examen33!AW25)</f>
        <v>0</v>
      </c>
      <c r="AX80" s="32">
        <f t="shared" si="142"/>
        <v>-1</v>
      </c>
      <c r="AY80" s="33">
        <f>MAX([2]Examen31!AY25,[2]Examen32!AY25,[2]Examen33!AY25)</f>
        <v>0</v>
      </c>
      <c r="AZ80" s="32">
        <f t="shared" si="143"/>
        <v>-1</v>
      </c>
      <c r="BA80" s="33">
        <f>MAX([2]Examen31!BA25,[2]Examen32!BA25,[2]Examen33!BA25)</f>
        <v>0</v>
      </c>
      <c r="BB80" s="32">
        <f t="shared" si="144"/>
        <v>-1</v>
      </c>
      <c r="BC80" s="33">
        <f>MAX([2]Examen31!BC25,[2]Examen32!BC25,[2]Examen33!BC25)</f>
        <v>0</v>
      </c>
      <c r="BD80" s="32">
        <f t="shared" si="145"/>
        <v>-1</v>
      </c>
      <c r="BE80" s="33">
        <f>MAX([2]Examen31!BE25,[2]Examen32!BE25,[2]Examen33!BE25)</f>
        <v>0</v>
      </c>
      <c r="BF80" s="32">
        <f t="shared" si="146"/>
        <v>-1</v>
      </c>
      <c r="BG80" s="33">
        <f>MAX([2]Examen31!BG25,[2]Examen32!BG25,[2]Examen33!BG25)</f>
        <v>0</v>
      </c>
      <c r="BH80" s="32">
        <f t="shared" si="147"/>
        <v>-1</v>
      </c>
      <c r="BI80" s="33">
        <f>MAX([2]Examen31!BI25,[2]Examen32!BI25,[2]Examen33!BI25)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MAX([2]Examen31!B26,[2]Examen32!B26,[2]Examen33!B26)</f>
        <v>0</v>
      </c>
      <c r="C81" s="33">
        <f>MAX([2]Examen31!C26,[2]Examen32!C26,[2]Examen33!C26)</f>
        <v>0</v>
      </c>
      <c r="D81" s="32">
        <f t="shared" si="119"/>
        <v>-1</v>
      </c>
      <c r="E81" s="33">
        <f>MAX([2]Examen31!E26,[2]Examen32!E26,[2]Examen33!E26)</f>
        <v>0</v>
      </c>
      <c r="F81" s="32">
        <f t="shared" si="120"/>
        <v>-1</v>
      </c>
      <c r="G81" s="33">
        <f>MAX([2]Examen31!G26,[2]Examen32!G26,[2]Examen33!G26)</f>
        <v>0</v>
      </c>
      <c r="H81" s="32">
        <f t="shared" si="121"/>
        <v>-1</v>
      </c>
      <c r="I81" s="33">
        <f>MAX([2]Examen31!I26,[2]Examen32!I26,[2]Examen33!I26)</f>
        <v>0</v>
      </c>
      <c r="J81" s="32">
        <f t="shared" si="122"/>
        <v>-1</v>
      </c>
      <c r="K81" s="33">
        <f>MAX([2]Examen31!K26,[2]Examen32!K26,[2]Examen33!K26)</f>
        <v>0</v>
      </c>
      <c r="L81" s="32">
        <f t="shared" si="123"/>
        <v>-1</v>
      </c>
      <c r="M81" s="33">
        <f>MAX([2]Examen31!M26,[2]Examen32!M26,[2]Examen33!M26)</f>
        <v>0</v>
      </c>
      <c r="N81" s="32">
        <f t="shared" si="124"/>
        <v>-1</v>
      </c>
      <c r="O81" s="33">
        <f>MAX([2]Examen31!O26,[2]Examen32!O26,[2]Examen33!O26)</f>
        <v>0</v>
      </c>
      <c r="P81" s="32">
        <f t="shared" si="125"/>
        <v>-1</v>
      </c>
      <c r="Q81" s="33">
        <f>MAX([2]Examen31!Q26,[2]Examen32!Q26,[2]Examen33!Q26)</f>
        <v>0</v>
      </c>
      <c r="R81" s="32">
        <f t="shared" si="126"/>
        <v>-1</v>
      </c>
      <c r="S81" s="33">
        <f>MAX([2]Examen31!S26,[2]Examen32!S26,[2]Examen33!S26)</f>
        <v>0</v>
      </c>
      <c r="T81" s="32">
        <f t="shared" si="127"/>
        <v>-1</v>
      </c>
      <c r="U81" s="33">
        <f>MAX([2]Examen31!U26,[2]Examen32!U26,[2]Examen33!U26)</f>
        <v>0</v>
      </c>
      <c r="V81" s="32">
        <f t="shared" si="128"/>
        <v>-1</v>
      </c>
      <c r="W81" s="33">
        <f>MAX([2]Examen31!W26,[2]Examen32!W26,[2]Examen33!W26)</f>
        <v>0</v>
      </c>
      <c r="X81" s="32">
        <f t="shared" si="129"/>
        <v>-1</v>
      </c>
      <c r="Y81" s="33">
        <f>MAX([2]Examen31!Y26,[2]Examen32!Y26,[2]Examen33!Y26)</f>
        <v>0</v>
      </c>
      <c r="Z81" s="32">
        <f t="shared" si="130"/>
        <v>-1</v>
      </c>
      <c r="AA81" s="33">
        <f>MAX([2]Examen31!AA26,[2]Examen32!AA26,[2]Examen33!AA26)</f>
        <v>0</v>
      </c>
      <c r="AB81" s="32">
        <f t="shared" si="131"/>
        <v>-1</v>
      </c>
      <c r="AC81" s="33">
        <f>MAX([2]Examen31!AC26,[2]Examen32!AC26,[2]Examen33!AC26)</f>
        <v>0</v>
      </c>
      <c r="AD81" s="32">
        <f t="shared" si="132"/>
        <v>-1</v>
      </c>
      <c r="AE81" s="33">
        <f>MAX([2]Examen31!AE26,[2]Examen32!AE26,[2]Examen33!AE26)</f>
        <v>0</v>
      </c>
      <c r="AF81" s="32">
        <f t="shared" si="133"/>
        <v>-1</v>
      </c>
      <c r="AG81" s="33">
        <f>MAX([2]Examen31!AG26,[2]Examen32!AG26,[2]Examen33!AG26)</f>
        <v>0</v>
      </c>
      <c r="AH81" s="32">
        <f t="shared" si="134"/>
        <v>-1</v>
      </c>
      <c r="AI81" s="33">
        <f>MAX([2]Examen31!AI26,[2]Examen32!AI26,[2]Examen33!AI26)</f>
        <v>0</v>
      </c>
      <c r="AJ81" s="32">
        <f t="shared" si="135"/>
        <v>-1</v>
      </c>
      <c r="AK81" s="33">
        <f>MAX([2]Examen31!AK26,[2]Examen32!AK26,[2]Examen33!AK26)</f>
        <v>0</v>
      </c>
      <c r="AL81" s="32">
        <f t="shared" si="136"/>
        <v>-1</v>
      </c>
      <c r="AM81" s="33">
        <f>MAX([2]Examen31!AM26,[2]Examen32!AM26,[2]Examen33!AM26)</f>
        <v>0</v>
      </c>
      <c r="AN81" s="32">
        <f t="shared" si="137"/>
        <v>-1</v>
      </c>
      <c r="AO81" s="33">
        <f>MAX([2]Examen31!AO26,[2]Examen32!AO26,[2]Examen33!AO26)</f>
        <v>0</v>
      </c>
      <c r="AP81" s="32">
        <f t="shared" si="138"/>
        <v>-1</v>
      </c>
      <c r="AQ81" s="33">
        <f>MAX([2]Examen31!AQ26,[2]Examen32!AQ26,[2]Examen33!AQ26)</f>
        <v>0</v>
      </c>
      <c r="AR81" s="32">
        <f t="shared" si="139"/>
        <v>-1</v>
      </c>
      <c r="AS81" s="33">
        <f>MAX([2]Examen31!AS26,[2]Examen32!AS26,[2]Examen33!AS26)</f>
        <v>0</v>
      </c>
      <c r="AT81" s="32">
        <f t="shared" si="140"/>
        <v>-1</v>
      </c>
      <c r="AU81" s="33">
        <f>MAX([2]Examen31!AU26,[2]Examen32!AU26,[2]Examen33!AU26)</f>
        <v>0</v>
      </c>
      <c r="AV81" s="32">
        <f t="shared" si="141"/>
        <v>-1</v>
      </c>
      <c r="AW81" s="33">
        <f>MAX([2]Examen31!AW26,[2]Examen32!AW26,[2]Examen33!AW26)</f>
        <v>0</v>
      </c>
      <c r="AX81" s="32">
        <f t="shared" si="142"/>
        <v>-1</v>
      </c>
      <c r="AY81" s="33">
        <f>MAX([2]Examen31!AY26,[2]Examen32!AY26,[2]Examen33!AY26)</f>
        <v>0</v>
      </c>
      <c r="AZ81" s="32">
        <f t="shared" si="143"/>
        <v>-1</v>
      </c>
      <c r="BA81" s="33">
        <f>MAX([2]Examen31!BA26,[2]Examen32!BA26,[2]Examen33!BA26)</f>
        <v>0</v>
      </c>
      <c r="BB81" s="32">
        <f t="shared" si="144"/>
        <v>-1</v>
      </c>
      <c r="BC81" s="33">
        <f>MAX([2]Examen31!BC26,[2]Examen32!BC26,[2]Examen33!BC26)</f>
        <v>0</v>
      </c>
      <c r="BD81" s="32">
        <f t="shared" si="145"/>
        <v>-1</v>
      </c>
      <c r="BE81" s="33">
        <f>MAX([2]Examen31!BE26,[2]Examen32!BE26,[2]Examen33!BE26)</f>
        <v>0</v>
      </c>
      <c r="BF81" s="32">
        <f t="shared" si="146"/>
        <v>-1</v>
      </c>
      <c r="BG81" s="33">
        <f>MAX([2]Examen31!BG26,[2]Examen32!BG26,[2]Examen33!BG26)</f>
        <v>0</v>
      </c>
      <c r="BH81" s="32">
        <f t="shared" si="147"/>
        <v>-1</v>
      </c>
      <c r="BI81" s="33">
        <f>MAX([2]Examen31!BI26,[2]Examen32!BI26,[2]Examen33!BI26)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MAX([2]Examen31!B27,[2]Examen32!B27,[2]Examen33!B27)</f>
        <v>0</v>
      </c>
      <c r="C82" s="33">
        <f>MAX([2]Examen31!C27,[2]Examen32!C27,[2]Examen33!C27)</f>
        <v>0</v>
      </c>
      <c r="D82" s="32">
        <f t="shared" si="119"/>
        <v>-1</v>
      </c>
      <c r="E82" s="33">
        <f>MAX([2]Examen31!E27,[2]Examen32!E27,[2]Examen33!E27)</f>
        <v>0</v>
      </c>
      <c r="F82" s="32">
        <f t="shared" si="120"/>
        <v>-1</v>
      </c>
      <c r="G82" s="33">
        <f>MAX([2]Examen31!G27,[2]Examen32!G27,[2]Examen33!G27)</f>
        <v>0</v>
      </c>
      <c r="H82" s="32">
        <f t="shared" si="121"/>
        <v>-1</v>
      </c>
      <c r="I82" s="33">
        <f>MAX([2]Examen31!I27,[2]Examen32!I27,[2]Examen33!I27)</f>
        <v>0</v>
      </c>
      <c r="J82" s="32">
        <f t="shared" si="122"/>
        <v>-1</v>
      </c>
      <c r="K82" s="33">
        <f>MAX([2]Examen31!K27,[2]Examen32!K27,[2]Examen33!K27)</f>
        <v>0</v>
      </c>
      <c r="L82" s="32">
        <f t="shared" si="123"/>
        <v>-1</v>
      </c>
      <c r="M82" s="33">
        <f>MAX([2]Examen31!M27,[2]Examen32!M27,[2]Examen33!M27)</f>
        <v>0</v>
      </c>
      <c r="N82" s="32">
        <f t="shared" si="124"/>
        <v>-1</v>
      </c>
      <c r="O82" s="33">
        <f>MAX([2]Examen31!O27,[2]Examen32!O27,[2]Examen33!O27)</f>
        <v>0</v>
      </c>
      <c r="P82" s="32">
        <f t="shared" si="125"/>
        <v>-1</v>
      </c>
      <c r="Q82" s="33">
        <f>MAX([2]Examen31!Q27,[2]Examen32!Q27,[2]Examen33!Q27)</f>
        <v>0</v>
      </c>
      <c r="R82" s="32">
        <f t="shared" si="126"/>
        <v>-1</v>
      </c>
      <c r="S82" s="33">
        <f>MAX([2]Examen31!S27,[2]Examen32!S27,[2]Examen33!S27)</f>
        <v>0</v>
      </c>
      <c r="T82" s="32">
        <f t="shared" si="127"/>
        <v>-1</v>
      </c>
      <c r="U82" s="33">
        <f>MAX([2]Examen31!U27,[2]Examen32!U27,[2]Examen33!U27)</f>
        <v>0</v>
      </c>
      <c r="V82" s="32">
        <f t="shared" si="128"/>
        <v>-1</v>
      </c>
      <c r="W82" s="33">
        <f>MAX([2]Examen31!W27,[2]Examen32!W27,[2]Examen33!W27)</f>
        <v>0</v>
      </c>
      <c r="X82" s="32">
        <f t="shared" si="129"/>
        <v>-1</v>
      </c>
      <c r="Y82" s="33">
        <f>MAX([2]Examen31!Y27,[2]Examen32!Y27,[2]Examen33!Y27)</f>
        <v>0</v>
      </c>
      <c r="Z82" s="32">
        <f t="shared" si="130"/>
        <v>-1</v>
      </c>
      <c r="AA82" s="33">
        <f>MAX([2]Examen31!AA27,[2]Examen32!AA27,[2]Examen33!AA27)</f>
        <v>0</v>
      </c>
      <c r="AB82" s="32">
        <f t="shared" si="131"/>
        <v>-1</v>
      </c>
      <c r="AC82" s="33">
        <f>MAX([2]Examen31!AC27,[2]Examen32!AC27,[2]Examen33!AC27)</f>
        <v>0</v>
      </c>
      <c r="AD82" s="32">
        <f t="shared" si="132"/>
        <v>-1</v>
      </c>
      <c r="AE82" s="33">
        <f>MAX([2]Examen31!AE27,[2]Examen32!AE27,[2]Examen33!AE27)</f>
        <v>0</v>
      </c>
      <c r="AF82" s="32">
        <f t="shared" si="133"/>
        <v>-1</v>
      </c>
      <c r="AG82" s="33">
        <f>MAX([2]Examen31!AG27,[2]Examen32!AG27,[2]Examen33!AG27)</f>
        <v>0</v>
      </c>
      <c r="AH82" s="32">
        <f t="shared" si="134"/>
        <v>-1</v>
      </c>
      <c r="AI82" s="33">
        <f>MAX([2]Examen31!AI27,[2]Examen32!AI27,[2]Examen33!AI27)</f>
        <v>0</v>
      </c>
      <c r="AJ82" s="32">
        <f t="shared" si="135"/>
        <v>-1</v>
      </c>
      <c r="AK82" s="33">
        <f>MAX([2]Examen31!AK27,[2]Examen32!AK27,[2]Examen33!AK27)</f>
        <v>0</v>
      </c>
      <c r="AL82" s="32">
        <f t="shared" si="136"/>
        <v>-1</v>
      </c>
      <c r="AM82" s="33">
        <f>MAX([2]Examen31!AM27,[2]Examen32!AM27,[2]Examen33!AM27)</f>
        <v>0</v>
      </c>
      <c r="AN82" s="32">
        <f t="shared" si="137"/>
        <v>-1</v>
      </c>
      <c r="AO82" s="33">
        <f>MAX([2]Examen31!AO27,[2]Examen32!AO27,[2]Examen33!AO27)</f>
        <v>0</v>
      </c>
      <c r="AP82" s="32">
        <f t="shared" si="138"/>
        <v>-1</v>
      </c>
      <c r="AQ82" s="33">
        <f>MAX([2]Examen31!AQ27,[2]Examen32!AQ27,[2]Examen33!AQ27)</f>
        <v>0</v>
      </c>
      <c r="AR82" s="32">
        <f t="shared" si="139"/>
        <v>-1</v>
      </c>
      <c r="AS82" s="33">
        <f>MAX([2]Examen31!AS27,[2]Examen32!AS27,[2]Examen33!AS27)</f>
        <v>0</v>
      </c>
      <c r="AT82" s="32">
        <f t="shared" si="140"/>
        <v>-1</v>
      </c>
      <c r="AU82" s="33">
        <f>MAX([2]Examen31!AU27,[2]Examen32!AU27,[2]Examen33!AU27)</f>
        <v>0</v>
      </c>
      <c r="AV82" s="32">
        <f t="shared" si="141"/>
        <v>-1</v>
      </c>
      <c r="AW82" s="33">
        <f>MAX([2]Examen31!AW27,[2]Examen32!AW27,[2]Examen33!AW27)</f>
        <v>0</v>
      </c>
      <c r="AX82" s="32">
        <f t="shared" si="142"/>
        <v>-1</v>
      </c>
      <c r="AY82" s="33">
        <f>MAX([2]Examen31!AY27,[2]Examen32!AY27,[2]Examen33!AY27)</f>
        <v>0</v>
      </c>
      <c r="AZ82" s="32">
        <f t="shared" si="143"/>
        <v>-1</v>
      </c>
      <c r="BA82" s="33">
        <f>MAX([2]Examen31!BA27,[2]Examen32!BA27,[2]Examen33!BA27)</f>
        <v>0</v>
      </c>
      <c r="BB82" s="32">
        <f t="shared" si="144"/>
        <v>-1</v>
      </c>
      <c r="BC82" s="33">
        <f>MAX([2]Examen31!BC27,[2]Examen32!BC27,[2]Examen33!BC27)</f>
        <v>0</v>
      </c>
      <c r="BD82" s="32">
        <f t="shared" si="145"/>
        <v>-1</v>
      </c>
      <c r="BE82" s="33">
        <f>MAX([2]Examen31!BE27,[2]Examen32!BE27,[2]Examen33!BE27)</f>
        <v>0</v>
      </c>
      <c r="BF82" s="32">
        <f t="shared" si="146"/>
        <v>-1</v>
      </c>
      <c r="BG82" s="33">
        <f>MAX([2]Examen31!BG27,[2]Examen32!BG27,[2]Examen33!BG27)</f>
        <v>0</v>
      </c>
      <c r="BH82" s="32">
        <f t="shared" si="147"/>
        <v>-1</v>
      </c>
      <c r="BI82" s="33">
        <f>MAX([2]Examen31!BI27,[2]Examen32!BI27,[2]Examen33!BI27)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MAX([2]Examen31!B28,[2]Examen32!B28,[2]Examen33!B28)</f>
        <v>0</v>
      </c>
      <c r="C83" s="33">
        <f>MAX([2]Examen31!C28,[2]Examen32!C28,[2]Examen33!C28)</f>
        <v>0</v>
      </c>
      <c r="D83" s="32">
        <f t="shared" si="119"/>
        <v>-1</v>
      </c>
      <c r="E83" s="33">
        <f>MAX([2]Examen31!E28,[2]Examen32!E28,[2]Examen33!E28)</f>
        <v>0</v>
      </c>
      <c r="F83" s="32">
        <f t="shared" si="120"/>
        <v>-1</v>
      </c>
      <c r="G83" s="33">
        <f>MAX([2]Examen31!G28,[2]Examen32!G28,[2]Examen33!G28)</f>
        <v>0</v>
      </c>
      <c r="H83" s="32">
        <f t="shared" si="121"/>
        <v>-1</v>
      </c>
      <c r="I83" s="33">
        <f>MAX([2]Examen31!I28,[2]Examen32!I28,[2]Examen33!I28)</f>
        <v>0</v>
      </c>
      <c r="J83" s="32">
        <f t="shared" si="122"/>
        <v>-1</v>
      </c>
      <c r="K83" s="33">
        <f>MAX([2]Examen31!K28,[2]Examen32!K28,[2]Examen33!K28)</f>
        <v>0</v>
      </c>
      <c r="L83" s="32">
        <f t="shared" si="123"/>
        <v>-1</v>
      </c>
      <c r="M83" s="33">
        <f>MAX([2]Examen31!M28,[2]Examen32!M28,[2]Examen33!M28)</f>
        <v>0</v>
      </c>
      <c r="N83" s="32">
        <f t="shared" si="124"/>
        <v>-1</v>
      </c>
      <c r="O83" s="33">
        <f>MAX([2]Examen31!O28,[2]Examen32!O28,[2]Examen33!O28)</f>
        <v>0</v>
      </c>
      <c r="P83" s="32">
        <f t="shared" si="125"/>
        <v>-1</v>
      </c>
      <c r="Q83" s="33">
        <f>MAX([2]Examen31!Q28,[2]Examen32!Q28,[2]Examen33!Q28)</f>
        <v>0</v>
      </c>
      <c r="R83" s="32">
        <f t="shared" si="126"/>
        <v>-1</v>
      </c>
      <c r="S83" s="33">
        <f>MAX([2]Examen31!S28,[2]Examen32!S28,[2]Examen33!S28)</f>
        <v>0</v>
      </c>
      <c r="T83" s="32">
        <f t="shared" si="127"/>
        <v>-1</v>
      </c>
      <c r="U83" s="33">
        <f>MAX([2]Examen31!U28,[2]Examen32!U28,[2]Examen33!U28)</f>
        <v>0</v>
      </c>
      <c r="V83" s="32">
        <f t="shared" si="128"/>
        <v>-1</v>
      </c>
      <c r="W83" s="33">
        <f>MAX([2]Examen31!W28,[2]Examen32!W28,[2]Examen33!W28)</f>
        <v>0</v>
      </c>
      <c r="X83" s="32">
        <f t="shared" si="129"/>
        <v>-1</v>
      </c>
      <c r="Y83" s="33">
        <f>MAX([2]Examen31!Y28,[2]Examen32!Y28,[2]Examen33!Y28)</f>
        <v>0</v>
      </c>
      <c r="Z83" s="32">
        <f t="shared" si="130"/>
        <v>-1</v>
      </c>
      <c r="AA83" s="33">
        <f>MAX([2]Examen31!AA28,[2]Examen32!AA28,[2]Examen33!AA28)</f>
        <v>0</v>
      </c>
      <c r="AB83" s="32">
        <f t="shared" si="131"/>
        <v>-1</v>
      </c>
      <c r="AC83" s="33">
        <f>MAX([2]Examen31!AC28,[2]Examen32!AC28,[2]Examen33!AC28)</f>
        <v>0</v>
      </c>
      <c r="AD83" s="32">
        <f t="shared" si="132"/>
        <v>-1</v>
      </c>
      <c r="AE83" s="33">
        <f>MAX([2]Examen31!AE28,[2]Examen32!AE28,[2]Examen33!AE28)</f>
        <v>0</v>
      </c>
      <c r="AF83" s="32">
        <f t="shared" si="133"/>
        <v>-1</v>
      </c>
      <c r="AG83" s="33">
        <f>MAX([2]Examen31!AG28,[2]Examen32!AG28,[2]Examen33!AG28)</f>
        <v>0</v>
      </c>
      <c r="AH83" s="32">
        <f t="shared" si="134"/>
        <v>-1</v>
      </c>
      <c r="AI83" s="33">
        <f>MAX([2]Examen31!AI28,[2]Examen32!AI28,[2]Examen33!AI28)</f>
        <v>0</v>
      </c>
      <c r="AJ83" s="32">
        <f t="shared" si="135"/>
        <v>-1</v>
      </c>
      <c r="AK83" s="33">
        <f>MAX([2]Examen31!AK28,[2]Examen32!AK28,[2]Examen33!AK28)</f>
        <v>0</v>
      </c>
      <c r="AL83" s="32">
        <f t="shared" si="136"/>
        <v>-1</v>
      </c>
      <c r="AM83" s="33">
        <f>MAX([2]Examen31!AM28,[2]Examen32!AM28,[2]Examen33!AM28)</f>
        <v>0</v>
      </c>
      <c r="AN83" s="32">
        <f t="shared" si="137"/>
        <v>-1</v>
      </c>
      <c r="AO83" s="33">
        <f>MAX([2]Examen31!AO28,[2]Examen32!AO28,[2]Examen33!AO28)</f>
        <v>0</v>
      </c>
      <c r="AP83" s="32">
        <f t="shared" si="138"/>
        <v>-1</v>
      </c>
      <c r="AQ83" s="33">
        <f>MAX([2]Examen31!AQ28,[2]Examen32!AQ28,[2]Examen33!AQ28)</f>
        <v>0</v>
      </c>
      <c r="AR83" s="32">
        <f t="shared" si="139"/>
        <v>-1</v>
      </c>
      <c r="AS83" s="33">
        <f>MAX([2]Examen31!AS28,[2]Examen32!AS28,[2]Examen33!AS28)</f>
        <v>0</v>
      </c>
      <c r="AT83" s="32">
        <f t="shared" si="140"/>
        <v>-1</v>
      </c>
      <c r="AU83" s="33">
        <f>MAX([2]Examen31!AU28,[2]Examen32!AU28,[2]Examen33!AU28)</f>
        <v>0</v>
      </c>
      <c r="AV83" s="32">
        <f t="shared" si="141"/>
        <v>-1</v>
      </c>
      <c r="AW83" s="33">
        <f>MAX([2]Examen31!AW28,[2]Examen32!AW28,[2]Examen33!AW28)</f>
        <v>0</v>
      </c>
      <c r="AX83" s="32">
        <f t="shared" si="142"/>
        <v>-1</v>
      </c>
      <c r="AY83" s="33">
        <f>MAX([2]Examen31!AY28,[2]Examen32!AY28,[2]Examen33!AY28)</f>
        <v>0</v>
      </c>
      <c r="AZ83" s="32">
        <f t="shared" si="143"/>
        <v>-1</v>
      </c>
      <c r="BA83" s="33">
        <f>MAX([2]Examen31!BA28,[2]Examen32!BA28,[2]Examen33!BA28)</f>
        <v>0</v>
      </c>
      <c r="BB83" s="32">
        <f t="shared" si="144"/>
        <v>-1</v>
      </c>
      <c r="BC83" s="33">
        <f>MAX([2]Examen31!BC28,[2]Examen32!BC28,[2]Examen33!BC28)</f>
        <v>0</v>
      </c>
      <c r="BD83" s="32">
        <f t="shared" si="145"/>
        <v>-1</v>
      </c>
      <c r="BE83" s="33">
        <f>MAX([2]Examen31!BE28,[2]Examen32!BE28,[2]Examen33!BE28)</f>
        <v>0</v>
      </c>
      <c r="BF83" s="32">
        <f t="shared" si="146"/>
        <v>-1</v>
      </c>
      <c r="BG83" s="33">
        <f>MAX([2]Examen31!BG28,[2]Examen32!BG28,[2]Examen33!BG28)</f>
        <v>0</v>
      </c>
      <c r="BH83" s="32">
        <f t="shared" si="147"/>
        <v>-1</v>
      </c>
      <c r="BI83" s="33">
        <f>MAX([2]Examen31!BI28,[2]Examen32!BI28,[2]Examen33!BI28)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MAX([2]Examen31!B29,[2]Examen32!B29,[2]Examen33!B29)</f>
        <v>0</v>
      </c>
      <c r="C84" s="33">
        <f>MAX([2]Examen31!C29,[2]Examen32!C29,[2]Examen33!C29)</f>
        <v>0</v>
      </c>
      <c r="D84" s="32">
        <f t="shared" si="119"/>
        <v>-1</v>
      </c>
      <c r="E84" s="33">
        <f>MAX([2]Examen31!E29,[2]Examen32!E29,[2]Examen33!E29)</f>
        <v>0</v>
      </c>
      <c r="F84" s="32">
        <f t="shared" si="120"/>
        <v>-1</v>
      </c>
      <c r="G84" s="33">
        <f>MAX([2]Examen31!G29,[2]Examen32!G29,[2]Examen33!G29)</f>
        <v>0</v>
      </c>
      <c r="H84" s="32">
        <f t="shared" si="121"/>
        <v>-1</v>
      </c>
      <c r="I84" s="33">
        <f>MAX([2]Examen31!I29,[2]Examen32!I29,[2]Examen33!I29)</f>
        <v>0</v>
      </c>
      <c r="J84" s="32">
        <f t="shared" si="122"/>
        <v>-1</v>
      </c>
      <c r="K84" s="33">
        <f>MAX([2]Examen31!K29,[2]Examen32!K29,[2]Examen33!K29)</f>
        <v>0</v>
      </c>
      <c r="L84" s="32">
        <f t="shared" si="123"/>
        <v>-1</v>
      </c>
      <c r="M84" s="33">
        <f>MAX([2]Examen31!M29,[2]Examen32!M29,[2]Examen33!M29)</f>
        <v>0</v>
      </c>
      <c r="N84" s="32">
        <f t="shared" si="124"/>
        <v>-1</v>
      </c>
      <c r="O84" s="33">
        <f>MAX([2]Examen31!O29,[2]Examen32!O29,[2]Examen33!O29)</f>
        <v>0</v>
      </c>
      <c r="P84" s="32">
        <f t="shared" si="125"/>
        <v>-1</v>
      </c>
      <c r="Q84" s="33">
        <f>MAX([2]Examen31!Q29,[2]Examen32!Q29,[2]Examen33!Q29)</f>
        <v>0</v>
      </c>
      <c r="R84" s="32">
        <f t="shared" si="126"/>
        <v>-1</v>
      </c>
      <c r="S84" s="33">
        <f>MAX([2]Examen31!S29,[2]Examen32!S29,[2]Examen33!S29)</f>
        <v>0</v>
      </c>
      <c r="T84" s="32">
        <f t="shared" si="127"/>
        <v>-1</v>
      </c>
      <c r="U84" s="33">
        <f>MAX([2]Examen31!U29,[2]Examen32!U29,[2]Examen33!U29)</f>
        <v>0</v>
      </c>
      <c r="V84" s="32">
        <f t="shared" si="128"/>
        <v>-1</v>
      </c>
      <c r="W84" s="33">
        <f>MAX([2]Examen31!W29,[2]Examen32!W29,[2]Examen33!W29)</f>
        <v>0</v>
      </c>
      <c r="X84" s="32">
        <f t="shared" si="129"/>
        <v>-1</v>
      </c>
      <c r="Y84" s="33">
        <f>MAX([2]Examen31!Y29,[2]Examen32!Y29,[2]Examen33!Y29)</f>
        <v>0</v>
      </c>
      <c r="Z84" s="32">
        <f t="shared" si="130"/>
        <v>-1</v>
      </c>
      <c r="AA84" s="33">
        <f>MAX([2]Examen31!AA29,[2]Examen32!AA29,[2]Examen33!AA29)</f>
        <v>0</v>
      </c>
      <c r="AB84" s="32">
        <f t="shared" si="131"/>
        <v>-1</v>
      </c>
      <c r="AC84" s="33">
        <f>MAX([2]Examen31!AC29,[2]Examen32!AC29,[2]Examen33!AC29)</f>
        <v>0</v>
      </c>
      <c r="AD84" s="32">
        <f t="shared" si="132"/>
        <v>-1</v>
      </c>
      <c r="AE84" s="33">
        <f>MAX([2]Examen31!AE29,[2]Examen32!AE29,[2]Examen33!AE29)</f>
        <v>0</v>
      </c>
      <c r="AF84" s="32">
        <f t="shared" si="133"/>
        <v>-1</v>
      </c>
      <c r="AG84" s="33">
        <f>MAX([2]Examen31!AG29,[2]Examen32!AG29,[2]Examen33!AG29)</f>
        <v>0</v>
      </c>
      <c r="AH84" s="32">
        <f t="shared" si="134"/>
        <v>-1</v>
      </c>
      <c r="AI84" s="33">
        <f>MAX([2]Examen31!AI29,[2]Examen32!AI29,[2]Examen33!AI29)</f>
        <v>0</v>
      </c>
      <c r="AJ84" s="32">
        <f t="shared" si="135"/>
        <v>-1</v>
      </c>
      <c r="AK84" s="33">
        <f>MAX([2]Examen31!AK29,[2]Examen32!AK29,[2]Examen33!AK29)</f>
        <v>0</v>
      </c>
      <c r="AL84" s="32">
        <f t="shared" si="136"/>
        <v>-1</v>
      </c>
      <c r="AM84" s="33">
        <f>MAX([2]Examen31!AM29,[2]Examen32!AM29,[2]Examen33!AM29)</f>
        <v>0</v>
      </c>
      <c r="AN84" s="32">
        <f t="shared" si="137"/>
        <v>-1</v>
      </c>
      <c r="AO84" s="33">
        <f>MAX([2]Examen31!AO29,[2]Examen32!AO29,[2]Examen33!AO29)</f>
        <v>0</v>
      </c>
      <c r="AP84" s="32">
        <f t="shared" si="138"/>
        <v>-1</v>
      </c>
      <c r="AQ84" s="33">
        <f>MAX([2]Examen31!AQ29,[2]Examen32!AQ29,[2]Examen33!AQ29)</f>
        <v>0</v>
      </c>
      <c r="AR84" s="32">
        <f t="shared" si="139"/>
        <v>-1</v>
      </c>
      <c r="AS84" s="33">
        <f>MAX([2]Examen31!AS29,[2]Examen32!AS29,[2]Examen33!AS29)</f>
        <v>0</v>
      </c>
      <c r="AT84" s="32">
        <f t="shared" si="140"/>
        <v>-1</v>
      </c>
      <c r="AU84" s="33">
        <f>MAX([2]Examen31!AU29,[2]Examen32!AU29,[2]Examen33!AU29)</f>
        <v>0</v>
      </c>
      <c r="AV84" s="32">
        <f t="shared" si="141"/>
        <v>-1</v>
      </c>
      <c r="AW84" s="33">
        <f>MAX([2]Examen31!AW29,[2]Examen32!AW29,[2]Examen33!AW29)</f>
        <v>0</v>
      </c>
      <c r="AX84" s="32">
        <f t="shared" si="142"/>
        <v>-1</v>
      </c>
      <c r="AY84" s="33">
        <f>MAX([2]Examen31!AY29,[2]Examen32!AY29,[2]Examen33!AY29)</f>
        <v>0</v>
      </c>
      <c r="AZ84" s="32">
        <f t="shared" si="143"/>
        <v>-1</v>
      </c>
      <c r="BA84" s="33">
        <f>MAX([2]Examen31!BA29,[2]Examen32!BA29,[2]Examen33!BA29)</f>
        <v>0</v>
      </c>
      <c r="BB84" s="32">
        <f t="shared" si="144"/>
        <v>-1</v>
      </c>
      <c r="BC84" s="33">
        <f>MAX([2]Examen31!BC29,[2]Examen32!BC29,[2]Examen33!BC29)</f>
        <v>0</v>
      </c>
      <c r="BD84" s="32">
        <f t="shared" si="145"/>
        <v>-1</v>
      </c>
      <c r="BE84" s="33">
        <f>MAX([2]Examen31!BE29,[2]Examen32!BE29,[2]Examen33!BE29)</f>
        <v>0</v>
      </c>
      <c r="BF84" s="32">
        <f t="shared" si="146"/>
        <v>-1</v>
      </c>
      <c r="BG84" s="33">
        <f>MAX([2]Examen31!BG29,[2]Examen32!BG29,[2]Examen33!BG29)</f>
        <v>0</v>
      </c>
      <c r="BH84" s="32">
        <f t="shared" si="147"/>
        <v>-1</v>
      </c>
      <c r="BI84" s="33">
        <f>MAX([2]Examen31!BI29,[2]Examen32!BI29,[2]Examen33!BI29)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MAX([2]Examen31!B30,[2]Examen32!B30,[2]Examen33!B30)</f>
        <v>0</v>
      </c>
      <c r="C85" s="33">
        <f>MAX([2]Examen31!C30,[2]Examen32!C30,[2]Examen33!C30)</f>
        <v>0</v>
      </c>
      <c r="D85" s="32">
        <f t="shared" si="119"/>
        <v>-1</v>
      </c>
      <c r="E85" s="33">
        <f>MAX([2]Examen31!E30,[2]Examen32!E30,[2]Examen33!E30)</f>
        <v>0</v>
      </c>
      <c r="F85" s="32">
        <f t="shared" si="120"/>
        <v>-1</v>
      </c>
      <c r="G85" s="33">
        <f>MAX([2]Examen31!G30,[2]Examen32!G30,[2]Examen33!G30)</f>
        <v>0</v>
      </c>
      <c r="H85" s="32">
        <f t="shared" si="121"/>
        <v>-1</v>
      </c>
      <c r="I85" s="33">
        <f>MAX([2]Examen31!I30,[2]Examen32!I30,[2]Examen33!I30)</f>
        <v>0</v>
      </c>
      <c r="J85" s="32">
        <f t="shared" si="122"/>
        <v>-1</v>
      </c>
      <c r="K85" s="33">
        <f>MAX([2]Examen31!K30,[2]Examen32!K30,[2]Examen33!K30)</f>
        <v>0</v>
      </c>
      <c r="L85" s="32">
        <f t="shared" si="123"/>
        <v>-1</v>
      </c>
      <c r="M85" s="33">
        <f>MAX([2]Examen31!M30,[2]Examen32!M30,[2]Examen33!M30)</f>
        <v>0</v>
      </c>
      <c r="N85" s="32">
        <f t="shared" si="124"/>
        <v>-1</v>
      </c>
      <c r="O85" s="33">
        <f>MAX([2]Examen31!O30,[2]Examen32!O30,[2]Examen33!O30)</f>
        <v>0</v>
      </c>
      <c r="P85" s="32">
        <f t="shared" si="125"/>
        <v>-1</v>
      </c>
      <c r="Q85" s="33">
        <f>MAX([2]Examen31!Q30,[2]Examen32!Q30,[2]Examen33!Q30)</f>
        <v>0</v>
      </c>
      <c r="R85" s="32">
        <f t="shared" si="126"/>
        <v>-1</v>
      </c>
      <c r="S85" s="33">
        <f>MAX([2]Examen31!S30,[2]Examen32!S30,[2]Examen33!S30)</f>
        <v>0</v>
      </c>
      <c r="T85" s="32">
        <f t="shared" si="127"/>
        <v>-1</v>
      </c>
      <c r="U85" s="33">
        <f>MAX([2]Examen31!U30,[2]Examen32!U30,[2]Examen33!U30)</f>
        <v>0</v>
      </c>
      <c r="V85" s="32">
        <f t="shared" si="128"/>
        <v>-1</v>
      </c>
      <c r="W85" s="33">
        <f>MAX([2]Examen31!W30,[2]Examen32!W30,[2]Examen33!W30)</f>
        <v>0</v>
      </c>
      <c r="X85" s="32">
        <f t="shared" si="129"/>
        <v>-1</v>
      </c>
      <c r="Y85" s="33">
        <f>MAX([2]Examen31!Y30,[2]Examen32!Y30,[2]Examen33!Y30)</f>
        <v>0</v>
      </c>
      <c r="Z85" s="32">
        <f t="shared" si="130"/>
        <v>-1</v>
      </c>
      <c r="AA85" s="33">
        <f>MAX([2]Examen31!AA30,[2]Examen32!AA30,[2]Examen33!AA30)</f>
        <v>0</v>
      </c>
      <c r="AB85" s="32">
        <f t="shared" si="131"/>
        <v>-1</v>
      </c>
      <c r="AC85" s="33">
        <f>MAX([2]Examen31!AC30,[2]Examen32!AC30,[2]Examen33!AC30)</f>
        <v>0</v>
      </c>
      <c r="AD85" s="32">
        <f t="shared" si="132"/>
        <v>-1</v>
      </c>
      <c r="AE85" s="33">
        <f>MAX([2]Examen31!AE30,[2]Examen32!AE30,[2]Examen33!AE30)</f>
        <v>0</v>
      </c>
      <c r="AF85" s="32">
        <f t="shared" si="133"/>
        <v>-1</v>
      </c>
      <c r="AG85" s="33">
        <f>MAX([2]Examen31!AG30,[2]Examen32!AG30,[2]Examen33!AG30)</f>
        <v>0</v>
      </c>
      <c r="AH85" s="32">
        <f t="shared" si="134"/>
        <v>-1</v>
      </c>
      <c r="AI85" s="33">
        <f>MAX([2]Examen31!AI30,[2]Examen32!AI30,[2]Examen33!AI30)</f>
        <v>0</v>
      </c>
      <c r="AJ85" s="32">
        <f t="shared" si="135"/>
        <v>-1</v>
      </c>
      <c r="AK85" s="33">
        <f>MAX([2]Examen31!AK30,[2]Examen32!AK30,[2]Examen33!AK30)</f>
        <v>0</v>
      </c>
      <c r="AL85" s="32">
        <f t="shared" si="136"/>
        <v>-1</v>
      </c>
      <c r="AM85" s="33">
        <f>MAX([2]Examen31!AM30,[2]Examen32!AM30,[2]Examen33!AM30)</f>
        <v>0</v>
      </c>
      <c r="AN85" s="32">
        <f t="shared" si="137"/>
        <v>-1</v>
      </c>
      <c r="AO85" s="33">
        <f>MAX([2]Examen31!AO30,[2]Examen32!AO30,[2]Examen33!AO30)</f>
        <v>0</v>
      </c>
      <c r="AP85" s="32">
        <f t="shared" si="138"/>
        <v>-1</v>
      </c>
      <c r="AQ85" s="33">
        <f>MAX([2]Examen31!AQ30,[2]Examen32!AQ30,[2]Examen33!AQ30)</f>
        <v>0</v>
      </c>
      <c r="AR85" s="32">
        <f t="shared" si="139"/>
        <v>-1</v>
      </c>
      <c r="AS85" s="33">
        <f>MAX([2]Examen31!AS30,[2]Examen32!AS30,[2]Examen33!AS30)</f>
        <v>0</v>
      </c>
      <c r="AT85" s="32">
        <f t="shared" si="140"/>
        <v>-1</v>
      </c>
      <c r="AU85" s="33">
        <f>MAX([2]Examen31!AU30,[2]Examen32!AU30,[2]Examen33!AU30)</f>
        <v>0</v>
      </c>
      <c r="AV85" s="32">
        <f t="shared" si="141"/>
        <v>-1</v>
      </c>
      <c r="AW85" s="33">
        <f>MAX([2]Examen31!AW30,[2]Examen32!AW30,[2]Examen33!AW30)</f>
        <v>0</v>
      </c>
      <c r="AX85" s="32">
        <f t="shared" si="142"/>
        <v>-1</v>
      </c>
      <c r="AY85" s="33">
        <f>MAX([2]Examen31!AY30,[2]Examen32!AY30,[2]Examen33!AY30)</f>
        <v>0</v>
      </c>
      <c r="AZ85" s="32">
        <f t="shared" si="143"/>
        <v>-1</v>
      </c>
      <c r="BA85" s="33">
        <f>MAX([2]Examen31!BA30,[2]Examen32!BA30,[2]Examen33!BA30)</f>
        <v>0</v>
      </c>
      <c r="BB85" s="32">
        <f t="shared" si="144"/>
        <v>-1</v>
      </c>
      <c r="BC85" s="33">
        <f>MAX([2]Examen31!BC30,[2]Examen32!BC30,[2]Examen33!BC30)</f>
        <v>0</v>
      </c>
      <c r="BD85" s="32">
        <f t="shared" si="145"/>
        <v>-1</v>
      </c>
      <c r="BE85" s="33">
        <f>MAX([2]Examen31!BE30,[2]Examen32!BE30,[2]Examen33!BE30)</f>
        <v>0</v>
      </c>
      <c r="BF85" s="32">
        <f t="shared" si="146"/>
        <v>-1</v>
      </c>
      <c r="BG85" s="33">
        <f>MAX([2]Examen31!BG30,[2]Examen32!BG30,[2]Examen33!BG30)</f>
        <v>0</v>
      </c>
      <c r="BH85" s="32">
        <f t="shared" si="147"/>
        <v>-1</v>
      </c>
      <c r="BI85" s="33">
        <f>MAX([2]Examen31!BI30,[2]Examen32!BI30,[2]Examen33!BI30)</f>
        <v>0</v>
      </c>
      <c r="BJ85" s="32">
        <f t="shared" si="148"/>
        <v>-1</v>
      </c>
    </row>
    <row r="86" spans="1:62" ht="19" customHeight="1" x14ac:dyDescent="0.2">
      <c r="A86" s="54" t="s">
        <v>84</v>
      </c>
      <c r="B86" s="55"/>
      <c r="C86" s="59">
        <f>SUM(C4,C7,C16,C38,C59,C64)</f>
        <v>4.4649999825283881</v>
      </c>
      <c r="D86" s="60"/>
      <c r="E86" s="59">
        <f t="shared" ref="E86" si="149">SUM(E4,E7,E16,E38,E59,E64)</f>
        <v>4.5775000117719173</v>
      </c>
      <c r="F86" s="60"/>
      <c r="G86" s="59">
        <f t="shared" ref="G86" si="150">SUM(G4,G7,G16,G38,G59,G64)</f>
        <v>3.7775000449270006</v>
      </c>
      <c r="H86" s="60"/>
      <c r="I86" s="59">
        <f t="shared" ref="I86" si="151">SUM(I4,I7,I16,I38,I59,I64)</f>
        <v>4.2625000251457088</v>
      </c>
      <c r="J86" s="60"/>
      <c r="K86" s="59">
        <f t="shared" ref="K86" si="152">SUM(K4,K7,K16,K38,K59,K64)</f>
        <v>4.3750000216066836</v>
      </c>
      <c r="L86" s="60"/>
      <c r="M86" s="59">
        <f t="shared" ref="M86" si="153">SUM(M4,M7,M16,M38,M59,M64)</f>
        <v>3.2725000383332379</v>
      </c>
      <c r="N86" s="60"/>
      <c r="O86" s="59">
        <f t="shared" ref="O86" si="154">SUM(O4,O7,O16,O38,O59,O64)</f>
        <v>4.4625000309199088</v>
      </c>
      <c r="P86" s="60"/>
      <c r="Q86" s="59">
        <f t="shared" ref="Q86" si="155">SUM(Q4,Q7,Q16,Q38,Q59,Q64)</f>
        <v>3.6125000545755026</v>
      </c>
      <c r="R86" s="60"/>
      <c r="S86" s="59">
        <f t="shared" ref="S86" si="156">SUM(S4,S7,S16,S38,S59,S64)</f>
        <v>3.2775000214576719</v>
      </c>
      <c r="T86" s="60"/>
      <c r="U86" s="59">
        <f t="shared" ref="U86" si="157">SUM(U4,U7,U16,U38,U59,U64)</f>
        <v>3.7950000042095784</v>
      </c>
      <c r="V86" s="60"/>
      <c r="W86" s="59">
        <f t="shared" ref="W86" si="158">SUM(W4,W7,W16,W38,W59,W64)</f>
        <v>3.7649999998509882</v>
      </c>
      <c r="X86" s="60"/>
      <c r="Y86" s="59">
        <f t="shared" ref="Y86" si="159">SUM(Y4,Y7,Y16,Y38,Y59,Y64)</f>
        <v>4.2475000318139795</v>
      </c>
      <c r="Z86" s="60"/>
      <c r="AA86" s="59">
        <f t="shared" ref="AA86" si="160">SUM(AA4,AA7,AA16,AA38,AA59,AA64)</f>
        <v>3.9525000523775815</v>
      </c>
      <c r="AB86" s="60"/>
      <c r="AC86" s="59">
        <f t="shared" ref="AC86" si="161">SUM(AC4,AC7,AC16,AC38,AC59,AC64)</f>
        <v>4.0474999971687797</v>
      </c>
      <c r="AD86" s="60"/>
      <c r="AE86" s="59">
        <f t="shared" ref="AE86" si="162">SUM(AE4,AE7,AE16,AE38,AE59,AE64)</f>
        <v>4.0200000321492553</v>
      </c>
      <c r="AF86" s="60"/>
      <c r="AG86" s="59">
        <f t="shared" ref="AG86" si="163">SUM(AG4,AG7,AG16,AG38,AG59,AG64)</f>
        <v>4.0325000219047071</v>
      </c>
      <c r="AH86" s="60"/>
      <c r="AI86" s="59">
        <f t="shared" ref="AI86" si="164">SUM(AI4,AI7,AI16,AI38,AI59,AI64)</f>
        <v>3.2925000227987766</v>
      </c>
      <c r="AJ86" s="60"/>
      <c r="AK86" s="59">
        <f t="shared" ref="AK86" si="165">SUM(AK4,AK7,AK16,AK38,AK59,AK64)</f>
        <v>4.2250000182539225</v>
      </c>
      <c r="AL86" s="60"/>
      <c r="AM86" s="59">
        <f t="shared" ref="AM86" si="166">SUM(AM4,AM7,AM16,AM38,AM59,AM64)</f>
        <v>3.7000000482425093</v>
      </c>
      <c r="AN86" s="60"/>
      <c r="AO86" s="59">
        <f t="shared" ref="AO86" si="167">SUM(AO4,AO7,AO16,AO38,AO59,AO64)</f>
        <v>3.6625000163912773</v>
      </c>
      <c r="AP86" s="60"/>
      <c r="AQ86" s="59">
        <f t="shared" ref="AQ86" si="168">SUM(AQ4,AQ7,AQ16,AQ38,AQ59,AQ64)</f>
        <v>4.0425000503659252</v>
      </c>
      <c r="AR86" s="60"/>
      <c r="AS86" s="59">
        <f t="shared" ref="AS86" si="169">SUM(AS4,AS7,AS16,AS38,AS59,AS64)</f>
        <v>4.3450000539422042</v>
      </c>
      <c r="AT86" s="60"/>
      <c r="AU86" s="59">
        <f t="shared" ref="AU86" si="170">SUM(AU4,AU7,AU16,AU38,AU59,AU64)</f>
        <v>3.5950000274926426</v>
      </c>
      <c r="AV86" s="60"/>
      <c r="AW86" s="59">
        <f t="shared" ref="AW86" si="171">SUM(AW4,AW7,AW16,AW38,AW59,AW64)</f>
        <v>3.5850000170990821</v>
      </c>
      <c r="AX86" s="60"/>
      <c r="AY86" s="59">
        <f t="shared" ref="AY86" si="172">SUM(AY4,AY7,AY16,AY38,AY59,AY64)</f>
        <v>3.7525000238791106</v>
      </c>
      <c r="AZ86" s="60"/>
      <c r="BA86" s="59">
        <f t="shared" ref="BA86" si="173">SUM(BA4,BA7,BA16,BA38,BA59,BA64)</f>
        <v>3.5725000305101275</v>
      </c>
      <c r="BB86" s="60"/>
      <c r="BC86" s="59">
        <f t="shared" ref="BC86" si="174">SUM(BC4,BC7,BC16,BC38,BC59,BC64)</f>
        <v>4.7425000332295895</v>
      </c>
      <c r="BD86" s="60"/>
      <c r="BE86" s="59">
        <f t="shared" ref="BE86" si="175">SUM(BE4,BE7,BE16,BE38,BE59,BE64)</f>
        <v>3.2899999972432852</v>
      </c>
      <c r="BF86" s="60"/>
      <c r="BG86" s="59">
        <f t="shared" ref="BG86" si="176">SUM(BG4,BG7,BG16,BG38,BG59,BG64)</f>
        <v>3.8825000274926422</v>
      </c>
      <c r="BH86" s="60"/>
      <c r="BI86" s="59">
        <f t="shared" ref="BI86" si="177">SUM(BI4,BI7,BI16,BI38,BI59,BI64)</f>
        <v>2.9525000344961883</v>
      </c>
      <c r="BJ86" s="60"/>
    </row>
    <row r="87" spans="1:62" ht="19" customHeight="1" x14ac:dyDescent="0.2">
      <c r="A87" s="54"/>
      <c r="B87" s="55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</row>
    <row r="88" spans="1:62" ht="19" customHeight="1" x14ac:dyDescent="0.2">
      <c r="A88" s="54"/>
      <c r="B88" s="55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</row>
  </sheetData>
  <sheetProtection algorithmName="SHA-512" hashValue="QTw9T1nfcoJU4wUECHSQ9K8pnkbVaYIed7TdgiGB3Kpb4WUP0u88cxhyAyG95O+pz+g3HytStwBla3dkvTrvKg==" saltValue="ScHgFC/kj8ChzG/QfbzgZg==" spinCount="100000" sheet="1" objects="1" scenarios="1"/>
  <mergeCells count="303">
    <mergeCell ref="B1:B2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BC64:BD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BI2:BJ2"/>
    <mergeCell ref="AW2:AX2"/>
    <mergeCell ref="AY2:AZ2"/>
    <mergeCell ref="BA2:BB2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E2:AF2"/>
    <mergeCell ref="AG2:AH2"/>
    <mergeCell ref="AI2:AJ2"/>
    <mergeCell ref="AK2:AL2"/>
    <mergeCell ref="AO2:AP2"/>
    <mergeCell ref="C3:D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A1:A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AM2:AN2"/>
  </mergeCells>
  <conditionalFormatting sqref="C86 E86 G86 I86 K86 M86 O86 Q86 S86 U86 W86 Y86 AA86 AC86 AE86 AG86 AI86 AK86 AM86 AO86 AQ86 AS86 AU86 AW86 AY86 BA86 BC86 BE86 BG86 BI86">
    <cfRule type="cellIs" dxfId="28540" priority="92" stopIfTrue="1" operator="lessThan">
      <formula>5</formula>
    </cfRule>
    <cfRule type="cellIs" dxfId="28539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28538" priority="2" stopIfTrue="1" operator="lessThan">
      <formula>5</formula>
    </cfRule>
    <cfRule type="cellIs" dxfId="28537" priority="3" operator="greaterThanOrEqual">
      <formula>5</formula>
    </cfRule>
  </conditionalFormatting>
  <conditionalFormatting sqref="D7">
    <cfRule type="cellIs" dxfId="28536" priority="2352" stopIfTrue="1" operator="equal">
      <formula>-1</formula>
    </cfRule>
  </conditionalFormatting>
  <conditionalFormatting sqref="D7">
    <cfRule type="cellIs" dxfId="28535" priority="2353" stopIfTrue="1" operator="lessThan">
      <formula>0.5</formula>
    </cfRule>
  </conditionalFormatting>
  <conditionalFormatting sqref="D7">
    <cfRule type="cellIs" dxfId="28534" priority="2354" stopIfTrue="1" operator="greaterThanOrEqual">
      <formula>0.5</formula>
    </cfRule>
  </conditionalFormatting>
  <conditionalFormatting sqref="F7">
    <cfRule type="cellIs" dxfId="28533" priority="2364" stopIfTrue="1" operator="equal">
      <formula>-1</formula>
    </cfRule>
  </conditionalFormatting>
  <conditionalFormatting sqref="F7">
    <cfRule type="cellIs" dxfId="28532" priority="2365" stopIfTrue="1" operator="lessThan">
      <formula>0.5</formula>
    </cfRule>
  </conditionalFormatting>
  <conditionalFormatting sqref="F7">
    <cfRule type="cellIs" dxfId="28531" priority="2366" stopIfTrue="1" operator="greaterThanOrEqual">
      <formula>0.5</formula>
    </cfRule>
  </conditionalFormatting>
  <conditionalFormatting sqref="H7">
    <cfRule type="cellIs" dxfId="28530" priority="2376" stopIfTrue="1" operator="equal">
      <formula>-1</formula>
    </cfRule>
  </conditionalFormatting>
  <conditionalFormatting sqref="H7">
    <cfRule type="cellIs" dxfId="28529" priority="2377" stopIfTrue="1" operator="lessThan">
      <formula>0.5</formula>
    </cfRule>
  </conditionalFormatting>
  <conditionalFormatting sqref="H7">
    <cfRule type="cellIs" dxfId="28528" priority="2378" stopIfTrue="1" operator="greaterThanOrEqual">
      <formula>0.5</formula>
    </cfRule>
  </conditionalFormatting>
  <conditionalFormatting sqref="J7">
    <cfRule type="cellIs" dxfId="28527" priority="2388" stopIfTrue="1" operator="equal">
      <formula>-1</formula>
    </cfRule>
  </conditionalFormatting>
  <conditionalFormatting sqref="J7">
    <cfRule type="cellIs" dxfId="28526" priority="2389" stopIfTrue="1" operator="lessThan">
      <formula>0.5</formula>
    </cfRule>
  </conditionalFormatting>
  <conditionalFormatting sqref="J7">
    <cfRule type="cellIs" dxfId="28525" priority="2390" stopIfTrue="1" operator="greaterThanOrEqual">
      <formula>0.5</formula>
    </cfRule>
  </conditionalFormatting>
  <conditionalFormatting sqref="L7">
    <cfRule type="cellIs" dxfId="28524" priority="2400" stopIfTrue="1" operator="equal">
      <formula>-1</formula>
    </cfRule>
  </conditionalFormatting>
  <conditionalFormatting sqref="L7">
    <cfRule type="cellIs" dxfId="28523" priority="2401" stopIfTrue="1" operator="lessThan">
      <formula>0.5</formula>
    </cfRule>
  </conditionalFormatting>
  <conditionalFormatting sqref="L7">
    <cfRule type="cellIs" dxfId="28522" priority="2402" stopIfTrue="1" operator="greaterThanOrEqual">
      <formula>0.5</formula>
    </cfRule>
  </conditionalFormatting>
  <conditionalFormatting sqref="N7">
    <cfRule type="cellIs" dxfId="28521" priority="2412" stopIfTrue="1" operator="equal">
      <formula>-1</formula>
    </cfRule>
  </conditionalFormatting>
  <conditionalFormatting sqref="N7">
    <cfRule type="cellIs" dxfId="28520" priority="2413" stopIfTrue="1" operator="lessThan">
      <formula>0.5</formula>
    </cfRule>
  </conditionalFormatting>
  <conditionalFormatting sqref="N7">
    <cfRule type="cellIs" dxfId="28519" priority="2414" stopIfTrue="1" operator="greaterThanOrEqual">
      <formula>0.5</formula>
    </cfRule>
  </conditionalFormatting>
  <conditionalFormatting sqref="P7">
    <cfRule type="cellIs" dxfId="28518" priority="2424" stopIfTrue="1" operator="equal">
      <formula>-1</formula>
    </cfRule>
  </conditionalFormatting>
  <conditionalFormatting sqref="P7">
    <cfRule type="cellIs" dxfId="28517" priority="2425" stopIfTrue="1" operator="lessThan">
      <formula>0.5</formula>
    </cfRule>
  </conditionalFormatting>
  <conditionalFormatting sqref="P7">
    <cfRule type="cellIs" dxfId="28516" priority="2426" stopIfTrue="1" operator="greaterThanOrEqual">
      <formula>0.5</formula>
    </cfRule>
  </conditionalFormatting>
  <conditionalFormatting sqref="R7">
    <cfRule type="cellIs" dxfId="28515" priority="2436" stopIfTrue="1" operator="equal">
      <formula>-1</formula>
    </cfRule>
  </conditionalFormatting>
  <conditionalFormatting sqref="R7">
    <cfRule type="cellIs" dxfId="28514" priority="2437" stopIfTrue="1" operator="lessThan">
      <formula>0.5</formula>
    </cfRule>
  </conditionalFormatting>
  <conditionalFormatting sqref="R7">
    <cfRule type="cellIs" dxfId="28513" priority="2438" stopIfTrue="1" operator="greaterThanOrEqual">
      <formula>0.5</formula>
    </cfRule>
  </conditionalFormatting>
  <conditionalFormatting sqref="T7">
    <cfRule type="cellIs" dxfId="28512" priority="2448" stopIfTrue="1" operator="equal">
      <formula>-1</formula>
    </cfRule>
  </conditionalFormatting>
  <conditionalFormatting sqref="T7">
    <cfRule type="cellIs" dxfId="28511" priority="2449" stopIfTrue="1" operator="lessThan">
      <formula>0.5</formula>
    </cfRule>
  </conditionalFormatting>
  <conditionalFormatting sqref="T7">
    <cfRule type="cellIs" dxfId="28510" priority="2450" stopIfTrue="1" operator="greaterThanOrEqual">
      <formula>0.5</formula>
    </cfRule>
  </conditionalFormatting>
  <conditionalFormatting sqref="V7">
    <cfRule type="cellIs" dxfId="28509" priority="2460" stopIfTrue="1" operator="equal">
      <formula>-1</formula>
    </cfRule>
  </conditionalFormatting>
  <conditionalFormatting sqref="V7">
    <cfRule type="cellIs" dxfId="28508" priority="2461" stopIfTrue="1" operator="lessThan">
      <formula>0.5</formula>
    </cfRule>
  </conditionalFormatting>
  <conditionalFormatting sqref="V7">
    <cfRule type="cellIs" dxfId="28507" priority="2462" stopIfTrue="1" operator="greaterThanOrEqual">
      <formula>0.5</formula>
    </cfRule>
  </conditionalFormatting>
  <conditionalFormatting sqref="X7">
    <cfRule type="cellIs" dxfId="28506" priority="2472" stopIfTrue="1" operator="equal">
      <formula>-1</formula>
    </cfRule>
  </conditionalFormatting>
  <conditionalFormatting sqref="X7">
    <cfRule type="cellIs" dxfId="28505" priority="2473" stopIfTrue="1" operator="lessThan">
      <formula>0.5</formula>
    </cfRule>
  </conditionalFormatting>
  <conditionalFormatting sqref="X7">
    <cfRule type="cellIs" dxfId="28504" priority="2474" stopIfTrue="1" operator="greaterThanOrEqual">
      <formula>0.5</formula>
    </cfRule>
  </conditionalFormatting>
  <conditionalFormatting sqref="Z7">
    <cfRule type="cellIs" dxfId="28503" priority="2484" stopIfTrue="1" operator="equal">
      <formula>-1</formula>
    </cfRule>
  </conditionalFormatting>
  <conditionalFormatting sqref="Z7">
    <cfRule type="cellIs" dxfId="28502" priority="2485" stopIfTrue="1" operator="lessThan">
      <formula>0.5</formula>
    </cfRule>
  </conditionalFormatting>
  <conditionalFormatting sqref="Z7">
    <cfRule type="cellIs" dxfId="28501" priority="2486" stopIfTrue="1" operator="greaterThanOrEqual">
      <formula>0.5</formula>
    </cfRule>
  </conditionalFormatting>
  <conditionalFormatting sqref="AB7">
    <cfRule type="cellIs" dxfId="28500" priority="2496" stopIfTrue="1" operator="equal">
      <formula>-1</formula>
    </cfRule>
  </conditionalFormatting>
  <conditionalFormatting sqref="AB7">
    <cfRule type="cellIs" dxfId="28499" priority="2497" stopIfTrue="1" operator="lessThan">
      <formula>0.5</formula>
    </cfRule>
  </conditionalFormatting>
  <conditionalFormatting sqref="AB7">
    <cfRule type="cellIs" dxfId="28498" priority="2498" stopIfTrue="1" operator="greaterThanOrEqual">
      <formula>0.5</formula>
    </cfRule>
  </conditionalFormatting>
  <conditionalFormatting sqref="AD7">
    <cfRule type="cellIs" dxfId="28497" priority="2508" stopIfTrue="1" operator="equal">
      <formula>-1</formula>
    </cfRule>
  </conditionalFormatting>
  <conditionalFormatting sqref="AD7">
    <cfRule type="cellIs" dxfId="28496" priority="2509" stopIfTrue="1" operator="lessThan">
      <formula>0.5</formula>
    </cfRule>
  </conditionalFormatting>
  <conditionalFormatting sqref="AD7">
    <cfRule type="cellIs" dxfId="28495" priority="2510" stopIfTrue="1" operator="greaterThanOrEqual">
      <formula>0.5</formula>
    </cfRule>
  </conditionalFormatting>
  <conditionalFormatting sqref="AF7">
    <cfRule type="cellIs" dxfId="28494" priority="2520" stopIfTrue="1" operator="equal">
      <formula>-1</formula>
    </cfRule>
  </conditionalFormatting>
  <conditionalFormatting sqref="AF7">
    <cfRule type="cellIs" dxfId="28493" priority="2521" stopIfTrue="1" operator="lessThan">
      <formula>0.5</formula>
    </cfRule>
  </conditionalFormatting>
  <conditionalFormatting sqref="AF7">
    <cfRule type="cellIs" dxfId="28492" priority="2522" stopIfTrue="1" operator="greaterThanOrEqual">
      <formula>0.5</formula>
    </cfRule>
  </conditionalFormatting>
  <conditionalFormatting sqref="AH7">
    <cfRule type="cellIs" dxfId="28491" priority="2532" stopIfTrue="1" operator="equal">
      <formula>-1</formula>
    </cfRule>
  </conditionalFormatting>
  <conditionalFormatting sqref="AH7">
    <cfRule type="cellIs" dxfId="28490" priority="2533" stopIfTrue="1" operator="lessThan">
      <formula>0.5</formula>
    </cfRule>
  </conditionalFormatting>
  <conditionalFormatting sqref="AH7">
    <cfRule type="cellIs" dxfId="28489" priority="2534" stopIfTrue="1" operator="greaterThanOrEqual">
      <formula>0.5</formula>
    </cfRule>
  </conditionalFormatting>
  <conditionalFormatting sqref="AJ7">
    <cfRule type="cellIs" dxfId="28488" priority="2544" stopIfTrue="1" operator="equal">
      <formula>-1</formula>
    </cfRule>
  </conditionalFormatting>
  <conditionalFormatting sqref="AJ7">
    <cfRule type="cellIs" dxfId="28487" priority="2545" stopIfTrue="1" operator="lessThan">
      <formula>0.5</formula>
    </cfRule>
  </conditionalFormatting>
  <conditionalFormatting sqref="AJ7">
    <cfRule type="cellIs" dxfId="28486" priority="2546" stopIfTrue="1" operator="greaterThanOrEqual">
      <formula>0.5</formula>
    </cfRule>
  </conditionalFormatting>
  <conditionalFormatting sqref="AL7">
    <cfRule type="cellIs" dxfId="28485" priority="2556" stopIfTrue="1" operator="equal">
      <formula>-1</formula>
    </cfRule>
  </conditionalFormatting>
  <conditionalFormatting sqref="AL7">
    <cfRule type="cellIs" dxfId="28484" priority="2557" stopIfTrue="1" operator="lessThan">
      <formula>0.5</formula>
    </cfRule>
  </conditionalFormatting>
  <conditionalFormatting sqref="AL7">
    <cfRule type="cellIs" dxfId="28483" priority="2558" stopIfTrue="1" operator="greaterThanOrEqual">
      <formula>0.5</formula>
    </cfRule>
  </conditionalFormatting>
  <conditionalFormatting sqref="AN7">
    <cfRule type="cellIs" dxfId="28482" priority="2568" stopIfTrue="1" operator="equal">
      <formula>-1</formula>
    </cfRule>
  </conditionalFormatting>
  <conditionalFormatting sqref="AN7">
    <cfRule type="cellIs" dxfId="28481" priority="2569" stopIfTrue="1" operator="lessThan">
      <formula>0.5</formula>
    </cfRule>
  </conditionalFormatting>
  <conditionalFormatting sqref="AN7">
    <cfRule type="cellIs" dxfId="28480" priority="2570" stopIfTrue="1" operator="greaterThanOrEqual">
      <formula>0.5</formula>
    </cfRule>
  </conditionalFormatting>
  <conditionalFormatting sqref="AP7">
    <cfRule type="cellIs" dxfId="28479" priority="2580" stopIfTrue="1" operator="equal">
      <formula>-1</formula>
    </cfRule>
  </conditionalFormatting>
  <conditionalFormatting sqref="AP7">
    <cfRule type="cellIs" dxfId="28478" priority="2581" stopIfTrue="1" operator="lessThan">
      <formula>0.5</formula>
    </cfRule>
  </conditionalFormatting>
  <conditionalFormatting sqref="AP7">
    <cfRule type="cellIs" dxfId="28477" priority="2582" stopIfTrue="1" operator="greaterThanOrEqual">
      <formula>0.5</formula>
    </cfRule>
  </conditionalFormatting>
  <conditionalFormatting sqref="AR7">
    <cfRule type="cellIs" dxfId="28476" priority="2592" stopIfTrue="1" operator="equal">
      <formula>-1</formula>
    </cfRule>
  </conditionalFormatting>
  <conditionalFormatting sqref="AR7">
    <cfRule type="cellIs" dxfId="28475" priority="2593" stopIfTrue="1" operator="lessThan">
      <formula>0.5</formula>
    </cfRule>
  </conditionalFormatting>
  <conditionalFormatting sqref="AR7">
    <cfRule type="cellIs" dxfId="28474" priority="2594" stopIfTrue="1" operator="greaterThanOrEqual">
      <formula>0.5</formula>
    </cfRule>
  </conditionalFormatting>
  <conditionalFormatting sqref="AT7">
    <cfRule type="cellIs" dxfId="28473" priority="2604" stopIfTrue="1" operator="equal">
      <formula>-1</formula>
    </cfRule>
  </conditionalFormatting>
  <conditionalFormatting sqref="AT7">
    <cfRule type="cellIs" dxfId="28472" priority="2605" stopIfTrue="1" operator="lessThan">
      <formula>0.5</formula>
    </cfRule>
  </conditionalFormatting>
  <conditionalFormatting sqref="AT7">
    <cfRule type="cellIs" dxfId="28471" priority="2606" stopIfTrue="1" operator="greaterThanOrEqual">
      <formula>0.5</formula>
    </cfRule>
  </conditionalFormatting>
  <conditionalFormatting sqref="AV7">
    <cfRule type="cellIs" dxfId="28470" priority="2616" stopIfTrue="1" operator="equal">
      <formula>-1</formula>
    </cfRule>
  </conditionalFormatting>
  <conditionalFormatting sqref="AV7">
    <cfRule type="cellIs" dxfId="28469" priority="2617" stopIfTrue="1" operator="lessThan">
      <formula>0.5</formula>
    </cfRule>
  </conditionalFormatting>
  <conditionalFormatting sqref="AV7">
    <cfRule type="cellIs" dxfId="28468" priority="2618" stopIfTrue="1" operator="greaterThanOrEqual">
      <formula>0.5</formula>
    </cfRule>
  </conditionalFormatting>
  <conditionalFormatting sqref="AX7">
    <cfRule type="cellIs" dxfId="28467" priority="2628" stopIfTrue="1" operator="equal">
      <formula>-1</formula>
    </cfRule>
  </conditionalFormatting>
  <conditionalFormatting sqref="AX7">
    <cfRule type="cellIs" dxfId="28466" priority="2629" stopIfTrue="1" operator="lessThan">
      <formula>0.5</formula>
    </cfRule>
  </conditionalFormatting>
  <conditionalFormatting sqref="AX7">
    <cfRule type="cellIs" dxfId="28465" priority="2630" stopIfTrue="1" operator="greaterThanOrEqual">
      <formula>0.5</formula>
    </cfRule>
  </conditionalFormatting>
  <conditionalFormatting sqref="AZ7">
    <cfRule type="cellIs" dxfId="28464" priority="2640" stopIfTrue="1" operator="equal">
      <formula>-1</formula>
    </cfRule>
  </conditionalFormatting>
  <conditionalFormatting sqref="AZ7">
    <cfRule type="cellIs" dxfId="28463" priority="2641" stopIfTrue="1" operator="lessThan">
      <formula>0.5</formula>
    </cfRule>
  </conditionalFormatting>
  <conditionalFormatting sqref="AZ7">
    <cfRule type="cellIs" dxfId="28462" priority="2642" stopIfTrue="1" operator="greaterThanOrEqual">
      <formula>0.5</formula>
    </cfRule>
  </conditionalFormatting>
  <conditionalFormatting sqref="BB7">
    <cfRule type="cellIs" dxfId="28461" priority="2652" stopIfTrue="1" operator="equal">
      <formula>-1</formula>
    </cfRule>
  </conditionalFormatting>
  <conditionalFormatting sqref="BB7">
    <cfRule type="cellIs" dxfId="28460" priority="2653" stopIfTrue="1" operator="lessThan">
      <formula>0.5</formula>
    </cfRule>
  </conditionalFormatting>
  <conditionalFormatting sqref="BB7">
    <cfRule type="cellIs" dxfId="28459" priority="2654" stopIfTrue="1" operator="greaterThanOrEqual">
      <formula>0.5</formula>
    </cfRule>
  </conditionalFormatting>
  <conditionalFormatting sqref="BD7">
    <cfRule type="cellIs" dxfId="28458" priority="2664" stopIfTrue="1" operator="equal">
      <formula>-1</formula>
    </cfRule>
  </conditionalFormatting>
  <conditionalFormatting sqref="BD7">
    <cfRule type="cellIs" dxfId="28457" priority="2665" stopIfTrue="1" operator="lessThan">
      <formula>0.5</formula>
    </cfRule>
  </conditionalFormatting>
  <conditionalFormatting sqref="BD7">
    <cfRule type="cellIs" dxfId="28456" priority="2666" stopIfTrue="1" operator="greaterThanOrEqual">
      <formula>0.5</formula>
    </cfRule>
  </conditionalFormatting>
  <conditionalFormatting sqref="BF7">
    <cfRule type="cellIs" dxfId="28455" priority="2676" stopIfTrue="1" operator="equal">
      <formula>-1</formula>
    </cfRule>
  </conditionalFormatting>
  <conditionalFormatting sqref="BF7">
    <cfRule type="cellIs" dxfId="28454" priority="2677" stopIfTrue="1" operator="lessThan">
      <formula>0.5</formula>
    </cfRule>
  </conditionalFormatting>
  <conditionalFormatting sqref="BF7">
    <cfRule type="cellIs" dxfId="28453" priority="2678" stopIfTrue="1" operator="greaterThanOrEqual">
      <formula>0.5</formula>
    </cfRule>
  </conditionalFormatting>
  <conditionalFormatting sqref="BH7">
    <cfRule type="cellIs" dxfId="28452" priority="2688" stopIfTrue="1" operator="equal">
      <formula>-1</formula>
    </cfRule>
  </conditionalFormatting>
  <conditionalFormatting sqref="BH7">
    <cfRule type="cellIs" dxfId="28451" priority="2689" stopIfTrue="1" operator="lessThan">
      <formula>0.5</formula>
    </cfRule>
  </conditionalFormatting>
  <conditionalFormatting sqref="BH7">
    <cfRule type="cellIs" dxfId="28450" priority="2690" stopIfTrue="1" operator="greaterThanOrEqual">
      <formula>0.5</formula>
    </cfRule>
  </conditionalFormatting>
  <conditionalFormatting sqref="BJ7">
    <cfRule type="cellIs" dxfId="28449" priority="2700" stopIfTrue="1" operator="equal">
      <formula>-1</formula>
    </cfRule>
  </conditionalFormatting>
  <conditionalFormatting sqref="BJ7">
    <cfRule type="cellIs" dxfId="28448" priority="2701" stopIfTrue="1" operator="lessThan">
      <formula>0.5</formula>
    </cfRule>
  </conditionalFormatting>
  <conditionalFormatting sqref="BJ7">
    <cfRule type="cellIs" dxfId="28447" priority="2702" stopIfTrue="1" operator="greaterThanOrEqual">
      <formula>0.5</formula>
    </cfRule>
  </conditionalFormatting>
  <conditionalFormatting sqref="D16">
    <cfRule type="cellIs" dxfId="28446" priority="2724" stopIfTrue="1" operator="equal">
      <formula>-1</formula>
    </cfRule>
  </conditionalFormatting>
  <conditionalFormatting sqref="D16">
    <cfRule type="cellIs" dxfId="28445" priority="2725" stopIfTrue="1" operator="lessThan">
      <formula>0.5</formula>
    </cfRule>
  </conditionalFormatting>
  <conditionalFormatting sqref="D16">
    <cfRule type="cellIs" dxfId="28444" priority="2726" stopIfTrue="1" operator="greaterThanOrEqual">
      <formula>0.5</formula>
    </cfRule>
  </conditionalFormatting>
  <conditionalFormatting sqref="F16">
    <cfRule type="cellIs" dxfId="28443" priority="2787" stopIfTrue="1" operator="equal">
      <formula>-1</formula>
    </cfRule>
  </conditionalFormatting>
  <conditionalFormatting sqref="F16">
    <cfRule type="cellIs" dxfId="28442" priority="2788" stopIfTrue="1" operator="lessThan">
      <formula>0.5</formula>
    </cfRule>
  </conditionalFormatting>
  <conditionalFormatting sqref="F16">
    <cfRule type="cellIs" dxfId="28441" priority="2789" stopIfTrue="1" operator="greaterThanOrEqual">
      <formula>0.5</formula>
    </cfRule>
  </conditionalFormatting>
  <conditionalFormatting sqref="H16">
    <cfRule type="cellIs" dxfId="28440" priority="2850" stopIfTrue="1" operator="equal">
      <formula>-1</formula>
    </cfRule>
  </conditionalFormatting>
  <conditionalFormatting sqref="H16">
    <cfRule type="cellIs" dxfId="28439" priority="2851" stopIfTrue="1" operator="lessThan">
      <formula>0.5</formula>
    </cfRule>
  </conditionalFormatting>
  <conditionalFormatting sqref="H16">
    <cfRule type="cellIs" dxfId="28438" priority="2852" stopIfTrue="1" operator="greaterThanOrEqual">
      <formula>0.5</formula>
    </cfRule>
  </conditionalFormatting>
  <conditionalFormatting sqref="J16">
    <cfRule type="cellIs" dxfId="28437" priority="2913" stopIfTrue="1" operator="equal">
      <formula>-1</formula>
    </cfRule>
  </conditionalFormatting>
  <conditionalFormatting sqref="J16">
    <cfRule type="cellIs" dxfId="28436" priority="2914" stopIfTrue="1" operator="lessThan">
      <formula>0.5</formula>
    </cfRule>
  </conditionalFormatting>
  <conditionalFormatting sqref="J16">
    <cfRule type="cellIs" dxfId="28435" priority="2915" stopIfTrue="1" operator="greaterThanOrEqual">
      <formula>0.5</formula>
    </cfRule>
  </conditionalFormatting>
  <conditionalFormatting sqref="L16">
    <cfRule type="cellIs" dxfId="28434" priority="2976" stopIfTrue="1" operator="equal">
      <formula>-1</formula>
    </cfRule>
  </conditionalFormatting>
  <conditionalFormatting sqref="L16">
    <cfRule type="cellIs" dxfId="28433" priority="2977" stopIfTrue="1" operator="lessThan">
      <formula>0.5</formula>
    </cfRule>
  </conditionalFormatting>
  <conditionalFormatting sqref="L16">
    <cfRule type="cellIs" dxfId="28432" priority="2978" stopIfTrue="1" operator="greaterThanOrEqual">
      <formula>0.5</formula>
    </cfRule>
  </conditionalFormatting>
  <conditionalFormatting sqref="N16">
    <cfRule type="cellIs" dxfId="28431" priority="3039" stopIfTrue="1" operator="equal">
      <formula>-1</formula>
    </cfRule>
  </conditionalFormatting>
  <conditionalFormatting sqref="N16">
    <cfRule type="cellIs" dxfId="28430" priority="3040" stopIfTrue="1" operator="lessThan">
      <formula>0.5</formula>
    </cfRule>
  </conditionalFormatting>
  <conditionalFormatting sqref="N16">
    <cfRule type="cellIs" dxfId="28429" priority="3041" stopIfTrue="1" operator="greaterThanOrEqual">
      <formula>0.5</formula>
    </cfRule>
  </conditionalFormatting>
  <conditionalFormatting sqref="P16">
    <cfRule type="cellIs" dxfId="28428" priority="3102" stopIfTrue="1" operator="equal">
      <formula>-1</formula>
    </cfRule>
  </conditionalFormatting>
  <conditionalFormatting sqref="P16">
    <cfRule type="cellIs" dxfId="28427" priority="3103" stopIfTrue="1" operator="lessThan">
      <formula>0.5</formula>
    </cfRule>
  </conditionalFormatting>
  <conditionalFormatting sqref="P16">
    <cfRule type="cellIs" dxfId="28426" priority="3104" stopIfTrue="1" operator="greaterThanOrEqual">
      <formula>0.5</formula>
    </cfRule>
  </conditionalFormatting>
  <conditionalFormatting sqref="R16">
    <cfRule type="cellIs" dxfId="28425" priority="3165" stopIfTrue="1" operator="equal">
      <formula>-1</formula>
    </cfRule>
  </conditionalFormatting>
  <conditionalFormatting sqref="R16">
    <cfRule type="cellIs" dxfId="28424" priority="3166" stopIfTrue="1" operator="lessThan">
      <formula>0.5</formula>
    </cfRule>
  </conditionalFormatting>
  <conditionalFormatting sqref="R16">
    <cfRule type="cellIs" dxfId="28423" priority="3167" stopIfTrue="1" operator="greaterThanOrEqual">
      <formula>0.5</formula>
    </cfRule>
  </conditionalFormatting>
  <conditionalFormatting sqref="T16">
    <cfRule type="cellIs" dxfId="28422" priority="3228" stopIfTrue="1" operator="equal">
      <formula>-1</formula>
    </cfRule>
  </conditionalFormatting>
  <conditionalFormatting sqref="T16">
    <cfRule type="cellIs" dxfId="28421" priority="3229" stopIfTrue="1" operator="lessThan">
      <formula>0.5</formula>
    </cfRule>
  </conditionalFormatting>
  <conditionalFormatting sqref="T16">
    <cfRule type="cellIs" dxfId="28420" priority="3230" stopIfTrue="1" operator="greaterThanOrEqual">
      <formula>0.5</formula>
    </cfRule>
  </conditionalFormatting>
  <conditionalFormatting sqref="V16">
    <cfRule type="cellIs" dxfId="28419" priority="3291" stopIfTrue="1" operator="equal">
      <formula>-1</formula>
    </cfRule>
  </conditionalFormatting>
  <conditionalFormatting sqref="V16">
    <cfRule type="cellIs" dxfId="28418" priority="3292" stopIfTrue="1" operator="lessThan">
      <formula>0.5</formula>
    </cfRule>
  </conditionalFormatting>
  <conditionalFormatting sqref="V16">
    <cfRule type="cellIs" dxfId="28417" priority="3293" stopIfTrue="1" operator="greaterThanOrEqual">
      <formula>0.5</formula>
    </cfRule>
  </conditionalFormatting>
  <conditionalFormatting sqref="X16">
    <cfRule type="cellIs" dxfId="28416" priority="3354" stopIfTrue="1" operator="equal">
      <formula>-1</formula>
    </cfRule>
  </conditionalFormatting>
  <conditionalFormatting sqref="X16">
    <cfRule type="cellIs" dxfId="28415" priority="3355" stopIfTrue="1" operator="lessThan">
      <formula>0.5</formula>
    </cfRule>
  </conditionalFormatting>
  <conditionalFormatting sqref="X16">
    <cfRule type="cellIs" dxfId="28414" priority="3356" stopIfTrue="1" operator="greaterThanOrEqual">
      <formula>0.5</formula>
    </cfRule>
  </conditionalFormatting>
  <conditionalFormatting sqref="Z16">
    <cfRule type="cellIs" dxfId="28413" priority="3417" stopIfTrue="1" operator="equal">
      <formula>-1</formula>
    </cfRule>
  </conditionalFormatting>
  <conditionalFormatting sqref="Z16">
    <cfRule type="cellIs" dxfId="28412" priority="3418" stopIfTrue="1" operator="lessThan">
      <formula>0.5</formula>
    </cfRule>
  </conditionalFormatting>
  <conditionalFormatting sqref="Z16">
    <cfRule type="cellIs" dxfId="28411" priority="3419" stopIfTrue="1" operator="greaterThanOrEqual">
      <formula>0.5</formula>
    </cfRule>
  </conditionalFormatting>
  <conditionalFormatting sqref="AB16">
    <cfRule type="cellIs" dxfId="28410" priority="3480" stopIfTrue="1" operator="equal">
      <formula>-1</formula>
    </cfRule>
  </conditionalFormatting>
  <conditionalFormatting sqref="AB16">
    <cfRule type="cellIs" dxfId="28409" priority="3481" stopIfTrue="1" operator="lessThan">
      <formula>0.5</formula>
    </cfRule>
  </conditionalFormatting>
  <conditionalFormatting sqref="AB16">
    <cfRule type="cellIs" dxfId="28408" priority="3482" stopIfTrue="1" operator="greaterThanOrEqual">
      <formula>0.5</formula>
    </cfRule>
  </conditionalFormatting>
  <conditionalFormatting sqref="AD16">
    <cfRule type="cellIs" dxfId="28407" priority="3543" stopIfTrue="1" operator="equal">
      <formula>-1</formula>
    </cfRule>
  </conditionalFormatting>
  <conditionalFormatting sqref="AD16">
    <cfRule type="cellIs" dxfId="28406" priority="3544" stopIfTrue="1" operator="lessThan">
      <formula>0.5</formula>
    </cfRule>
  </conditionalFormatting>
  <conditionalFormatting sqref="AD16">
    <cfRule type="cellIs" dxfId="28405" priority="3545" stopIfTrue="1" operator="greaterThanOrEqual">
      <formula>0.5</formula>
    </cfRule>
  </conditionalFormatting>
  <conditionalFormatting sqref="AF16">
    <cfRule type="cellIs" dxfId="28404" priority="3606" stopIfTrue="1" operator="equal">
      <formula>-1</formula>
    </cfRule>
  </conditionalFormatting>
  <conditionalFormatting sqref="AF16">
    <cfRule type="cellIs" dxfId="28403" priority="3607" stopIfTrue="1" operator="lessThan">
      <formula>0.5</formula>
    </cfRule>
  </conditionalFormatting>
  <conditionalFormatting sqref="AF16">
    <cfRule type="cellIs" dxfId="28402" priority="3608" stopIfTrue="1" operator="greaterThanOrEqual">
      <formula>0.5</formula>
    </cfRule>
  </conditionalFormatting>
  <conditionalFormatting sqref="AH16">
    <cfRule type="cellIs" dxfId="28401" priority="3669" stopIfTrue="1" operator="equal">
      <formula>-1</formula>
    </cfRule>
  </conditionalFormatting>
  <conditionalFormatting sqref="AH16">
    <cfRule type="cellIs" dxfId="28400" priority="3670" stopIfTrue="1" operator="lessThan">
      <formula>0.5</formula>
    </cfRule>
  </conditionalFormatting>
  <conditionalFormatting sqref="AH16">
    <cfRule type="cellIs" dxfId="28399" priority="3671" stopIfTrue="1" operator="greaterThanOrEqual">
      <formula>0.5</formula>
    </cfRule>
  </conditionalFormatting>
  <conditionalFormatting sqref="AJ16">
    <cfRule type="cellIs" dxfId="28398" priority="3732" stopIfTrue="1" operator="equal">
      <formula>-1</formula>
    </cfRule>
  </conditionalFormatting>
  <conditionalFormatting sqref="AJ16">
    <cfRule type="cellIs" dxfId="28397" priority="3733" stopIfTrue="1" operator="lessThan">
      <formula>0.5</formula>
    </cfRule>
  </conditionalFormatting>
  <conditionalFormatting sqref="AJ16">
    <cfRule type="cellIs" dxfId="28396" priority="3734" stopIfTrue="1" operator="greaterThanOrEqual">
      <formula>0.5</formula>
    </cfRule>
  </conditionalFormatting>
  <conditionalFormatting sqref="AL16">
    <cfRule type="cellIs" dxfId="28395" priority="3795" stopIfTrue="1" operator="equal">
      <formula>-1</formula>
    </cfRule>
  </conditionalFormatting>
  <conditionalFormatting sqref="AL16">
    <cfRule type="cellIs" dxfId="28394" priority="3796" stopIfTrue="1" operator="lessThan">
      <formula>0.5</formula>
    </cfRule>
  </conditionalFormatting>
  <conditionalFormatting sqref="AL16">
    <cfRule type="cellIs" dxfId="28393" priority="3797" stopIfTrue="1" operator="greaterThanOrEqual">
      <formula>0.5</formula>
    </cfRule>
  </conditionalFormatting>
  <conditionalFormatting sqref="AN16">
    <cfRule type="cellIs" dxfId="28392" priority="3858" stopIfTrue="1" operator="equal">
      <formula>-1</formula>
    </cfRule>
  </conditionalFormatting>
  <conditionalFormatting sqref="AN16">
    <cfRule type="cellIs" dxfId="28391" priority="3859" stopIfTrue="1" operator="lessThan">
      <formula>0.5</formula>
    </cfRule>
  </conditionalFormatting>
  <conditionalFormatting sqref="AN16">
    <cfRule type="cellIs" dxfId="28390" priority="3860" stopIfTrue="1" operator="greaterThanOrEqual">
      <formula>0.5</formula>
    </cfRule>
  </conditionalFormatting>
  <conditionalFormatting sqref="AP16">
    <cfRule type="cellIs" dxfId="28389" priority="3921" stopIfTrue="1" operator="equal">
      <formula>-1</formula>
    </cfRule>
  </conditionalFormatting>
  <conditionalFormatting sqref="AP16">
    <cfRule type="cellIs" dxfId="28388" priority="3922" stopIfTrue="1" operator="lessThan">
      <formula>0.5</formula>
    </cfRule>
  </conditionalFormatting>
  <conditionalFormatting sqref="AP16">
    <cfRule type="cellIs" dxfId="28387" priority="3923" stopIfTrue="1" operator="greaterThanOrEqual">
      <formula>0.5</formula>
    </cfRule>
  </conditionalFormatting>
  <conditionalFormatting sqref="AR16">
    <cfRule type="cellIs" dxfId="28386" priority="3984" stopIfTrue="1" operator="equal">
      <formula>-1</formula>
    </cfRule>
  </conditionalFormatting>
  <conditionalFormatting sqref="AR16">
    <cfRule type="cellIs" dxfId="28385" priority="3985" stopIfTrue="1" operator="lessThan">
      <formula>0.5</formula>
    </cfRule>
  </conditionalFormatting>
  <conditionalFormatting sqref="AR16">
    <cfRule type="cellIs" dxfId="28384" priority="3986" stopIfTrue="1" operator="greaterThanOrEqual">
      <formula>0.5</formula>
    </cfRule>
  </conditionalFormatting>
  <conditionalFormatting sqref="AT16">
    <cfRule type="cellIs" dxfId="28383" priority="4047" stopIfTrue="1" operator="equal">
      <formula>-1</formula>
    </cfRule>
  </conditionalFormatting>
  <conditionalFormatting sqref="AT16">
    <cfRule type="cellIs" dxfId="28382" priority="4048" stopIfTrue="1" operator="lessThan">
      <formula>0.5</formula>
    </cfRule>
  </conditionalFormatting>
  <conditionalFormatting sqref="AT16">
    <cfRule type="cellIs" dxfId="28381" priority="4049" stopIfTrue="1" operator="greaterThanOrEqual">
      <formula>0.5</formula>
    </cfRule>
  </conditionalFormatting>
  <conditionalFormatting sqref="AV16">
    <cfRule type="cellIs" dxfId="28380" priority="4110" stopIfTrue="1" operator="equal">
      <formula>-1</formula>
    </cfRule>
  </conditionalFormatting>
  <conditionalFormatting sqref="AV16">
    <cfRule type="cellIs" dxfId="28379" priority="4111" stopIfTrue="1" operator="lessThan">
      <formula>0.5</formula>
    </cfRule>
  </conditionalFormatting>
  <conditionalFormatting sqref="AV16">
    <cfRule type="cellIs" dxfId="28378" priority="4112" stopIfTrue="1" operator="greaterThanOrEqual">
      <formula>0.5</formula>
    </cfRule>
  </conditionalFormatting>
  <conditionalFormatting sqref="AX16">
    <cfRule type="cellIs" dxfId="28377" priority="4173" stopIfTrue="1" operator="equal">
      <formula>-1</formula>
    </cfRule>
  </conditionalFormatting>
  <conditionalFormatting sqref="AX16">
    <cfRule type="cellIs" dxfId="28376" priority="4174" stopIfTrue="1" operator="lessThan">
      <formula>0.5</formula>
    </cfRule>
  </conditionalFormatting>
  <conditionalFormatting sqref="AX16">
    <cfRule type="cellIs" dxfId="28375" priority="4175" stopIfTrue="1" operator="greaterThanOrEqual">
      <formula>0.5</formula>
    </cfRule>
  </conditionalFormatting>
  <conditionalFormatting sqref="AZ16">
    <cfRule type="cellIs" dxfId="28374" priority="4236" stopIfTrue="1" operator="equal">
      <formula>-1</formula>
    </cfRule>
  </conditionalFormatting>
  <conditionalFormatting sqref="AZ16">
    <cfRule type="cellIs" dxfId="28373" priority="4237" stopIfTrue="1" operator="lessThan">
      <formula>0.5</formula>
    </cfRule>
  </conditionalFormatting>
  <conditionalFormatting sqref="AZ16">
    <cfRule type="cellIs" dxfId="28372" priority="4238" stopIfTrue="1" operator="greaterThanOrEqual">
      <formula>0.5</formula>
    </cfRule>
  </conditionalFormatting>
  <conditionalFormatting sqref="BB16">
    <cfRule type="cellIs" dxfId="28371" priority="4299" stopIfTrue="1" operator="equal">
      <formula>-1</formula>
    </cfRule>
  </conditionalFormatting>
  <conditionalFormatting sqref="BB16">
    <cfRule type="cellIs" dxfId="28370" priority="4300" stopIfTrue="1" operator="lessThan">
      <formula>0.5</formula>
    </cfRule>
  </conditionalFormatting>
  <conditionalFormatting sqref="BB16">
    <cfRule type="cellIs" dxfId="28369" priority="4301" stopIfTrue="1" operator="greaterThanOrEqual">
      <formula>0.5</formula>
    </cfRule>
  </conditionalFormatting>
  <conditionalFormatting sqref="BD16">
    <cfRule type="cellIs" dxfId="28368" priority="4362" stopIfTrue="1" operator="equal">
      <formula>-1</formula>
    </cfRule>
  </conditionalFormatting>
  <conditionalFormatting sqref="BD16">
    <cfRule type="cellIs" dxfId="28367" priority="4363" stopIfTrue="1" operator="lessThan">
      <formula>0.5</formula>
    </cfRule>
  </conditionalFormatting>
  <conditionalFormatting sqref="BD16">
    <cfRule type="cellIs" dxfId="28366" priority="4364" stopIfTrue="1" operator="greaterThanOrEqual">
      <formula>0.5</formula>
    </cfRule>
  </conditionalFormatting>
  <conditionalFormatting sqref="BF16">
    <cfRule type="cellIs" dxfId="28365" priority="4425" stopIfTrue="1" operator="equal">
      <formula>-1</formula>
    </cfRule>
  </conditionalFormatting>
  <conditionalFormatting sqref="BF16">
    <cfRule type="cellIs" dxfId="28364" priority="4426" stopIfTrue="1" operator="lessThan">
      <formula>0.5</formula>
    </cfRule>
  </conditionalFormatting>
  <conditionalFormatting sqref="BF16">
    <cfRule type="cellIs" dxfId="28363" priority="4427" stopIfTrue="1" operator="greaterThanOrEqual">
      <formula>0.5</formula>
    </cfRule>
  </conditionalFormatting>
  <conditionalFormatting sqref="BH16">
    <cfRule type="cellIs" dxfId="28362" priority="4488" stopIfTrue="1" operator="equal">
      <formula>-1</formula>
    </cfRule>
  </conditionalFormatting>
  <conditionalFormatting sqref="BH16">
    <cfRule type="cellIs" dxfId="28361" priority="4489" stopIfTrue="1" operator="lessThan">
      <formula>0.5</formula>
    </cfRule>
  </conditionalFormatting>
  <conditionalFormatting sqref="BH16">
    <cfRule type="cellIs" dxfId="28360" priority="4490" stopIfTrue="1" operator="greaterThanOrEqual">
      <formula>0.5</formula>
    </cfRule>
  </conditionalFormatting>
  <conditionalFormatting sqref="BJ16">
    <cfRule type="cellIs" dxfId="28359" priority="4551" stopIfTrue="1" operator="equal">
      <formula>-1</formula>
    </cfRule>
  </conditionalFormatting>
  <conditionalFormatting sqref="BJ16">
    <cfRule type="cellIs" dxfId="28358" priority="4552" stopIfTrue="1" operator="lessThan">
      <formula>0.5</formula>
    </cfRule>
  </conditionalFormatting>
  <conditionalFormatting sqref="BJ16">
    <cfRule type="cellIs" dxfId="28357" priority="4553" stopIfTrue="1" operator="greaterThanOrEqual">
      <formula>0.5</formula>
    </cfRule>
  </conditionalFormatting>
  <conditionalFormatting sqref="B3">
    <cfRule type="cellIs" dxfId="28356" priority="1" operator="notEqual">
      <formula>"Ok"</formula>
    </cfRule>
  </conditionalFormatting>
  <conditionalFormatting sqref="D5">
    <cfRule type="cellIs" dxfId="28355" priority="161916" stopIfTrue="1" operator="equal">
      <formula>-1</formula>
    </cfRule>
  </conditionalFormatting>
  <conditionalFormatting sqref="D5">
    <cfRule type="cellIs" dxfId="28354" priority="161917" stopIfTrue="1" operator="lessThan">
      <formula>0.5</formula>
    </cfRule>
  </conditionalFormatting>
  <conditionalFormatting sqref="D5">
    <cfRule type="cellIs" dxfId="28353" priority="161918" stopIfTrue="1" operator="greaterThanOrEqual">
      <formula>0.5</formula>
    </cfRule>
  </conditionalFormatting>
  <conditionalFormatting sqref="D6">
    <cfRule type="cellIs" dxfId="28352" priority="161919" stopIfTrue="1" operator="equal">
      <formula>-1</formula>
    </cfRule>
  </conditionalFormatting>
  <conditionalFormatting sqref="D6">
    <cfRule type="cellIs" dxfId="28351" priority="161920" stopIfTrue="1" operator="lessThan">
      <formula>0.5</formula>
    </cfRule>
  </conditionalFormatting>
  <conditionalFormatting sqref="D6">
    <cfRule type="cellIs" dxfId="28350" priority="161921" stopIfTrue="1" operator="greaterThanOrEqual">
      <formula>0.5</formula>
    </cfRule>
  </conditionalFormatting>
  <conditionalFormatting sqref="F5">
    <cfRule type="cellIs" dxfId="28349" priority="161922" stopIfTrue="1" operator="equal">
      <formula>-1</formula>
    </cfRule>
  </conditionalFormatting>
  <conditionalFormatting sqref="F5">
    <cfRule type="cellIs" dxfId="28348" priority="161923" stopIfTrue="1" operator="lessThan">
      <formula>0.5</formula>
    </cfRule>
  </conditionalFormatting>
  <conditionalFormatting sqref="F5">
    <cfRule type="cellIs" dxfId="28347" priority="161924" stopIfTrue="1" operator="greaterThanOrEqual">
      <formula>0.5</formula>
    </cfRule>
  </conditionalFormatting>
  <conditionalFormatting sqref="F6">
    <cfRule type="cellIs" dxfId="28346" priority="161925" stopIfTrue="1" operator="equal">
      <formula>-1</formula>
    </cfRule>
  </conditionalFormatting>
  <conditionalFormatting sqref="F6">
    <cfRule type="cellIs" dxfId="28345" priority="161926" stopIfTrue="1" operator="lessThan">
      <formula>0.5</formula>
    </cfRule>
  </conditionalFormatting>
  <conditionalFormatting sqref="F6">
    <cfRule type="cellIs" dxfId="28344" priority="161927" stopIfTrue="1" operator="greaterThanOrEqual">
      <formula>0.5</formula>
    </cfRule>
  </conditionalFormatting>
  <conditionalFormatting sqref="H5">
    <cfRule type="cellIs" dxfId="28343" priority="161928" stopIfTrue="1" operator="equal">
      <formula>-1</formula>
    </cfRule>
  </conditionalFormatting>
  <conditionalFormatting sqref="H5">
    <cfRule type="cellIs" dxfId="28342" priority="161929" stopIfTrue="1" operator="lessThan">
      <formula>0.5</formula>
    </cfRule>
  </conditionalFormatting>
  <conditionalFormatting sqref="H5">
    <cfRule type="cellIs" dxfId="28341" priority="161930" stopIfTrue="1" operator="greaterThanOrEqual">
      <formula>0.5</formula>
    </cfRule>
  </conditionalFormatting>
  <conditionalFormatting sqref="H6">
    <cfRule type="cellIs" dxfId="28340" priority="161931" stopIfTrue="1" operator="equal">
      <formula>-1</formula>
    </cfRule>
  </conditionalFormatting>
  <conditionalFormatting sqref="H6">
    <cfRule type="cellIs" dxfId="28339" priority="161932" stopIfTrue="1" operator="lessThan">
      <formula>0.5</formula>
    </cfRule>
  </conditionalFormatting>
  <conditionalFormatting sqref="H6">
    <cfRule type="cellIs" dxfId="28338" priority="161933" stopIfTrue="1" operator="greaterThanOrEqual">
      <formula>0.5</formula>
    </cfRule>
  </conditionalFormatting>
  <conditionalFormatting sqref="J5">
    <cfRule type="cellIs" dxfId="28337" priority="161934" stopIfTrue="1" operator="equal">
      <formula>-1</formula>
    </cfRule>
  </conditionalFormatting>
  <conditionalFormatting sqref="J5">
    <cfRule type="cellIs" dxfId="28336" priority="161935" stopIfTrue="1" operator="lessThan">
      <formula>0.5</formula>
    </cfRule>
  </conditionalFormatting>
  <conditionalFormatting sqref="J5">
    <cfRule type="cellIs" dxfId="28335" priority="161936" stopIfTrue="1" operator="greaterThanOrEqual">
      <formula>0.5</formula>
    </cfRule>
  </conditionalFormatting>
  <conditionalFormatting sqref="J6">
    <cfRule type="cellIs" dxfId="28334" priority="161937" stopIfTrue="1" operator="equal">
      <formula>-1</formula>
    </cfRule>
  </conditionalFormatting>
  <conditionalFormatting sqref="J6">
    <cfRule type="cellIs" dxfId="28333" priority="161938" stopIfTrue="1" operator="lessThan">
      <formula>0.5</formula>
    </cfRule>
  </conditionalFormatting>
  <conditionalFormatting sqref="J6">
    <cfRule type="cellIs" dxfId="28332" priority="161939" stopIfTrue="1" operator="greaterThanOrEqual">
      <formula>0.5</formula>
    </cfRule>
  </conditionalFormatting>
  <conditionalFormatting sqref="L5">
    <cfRule type="cellIs" dxfId="28331" priority="161940" stopIfTrue="1" operator="equal">
      <formula>-1</formula>
    </cfRule>
  </conditionalFormatting>
  <conditionalFormatting sqref="L5">
    <cfRule type="cellIs" dxfId="28330" priority="161941" stopIfTrue="1" operator="lessThan">
      <formula>0.5</formula>
    </cfRule>
  </conditionalFormatting>
  <conditionalFormatting sqref="L5">
    <cfRule type="cellIs" dxfId="28329" priority="161942" stopIfTrue="1" operator="greaterThanOrEqual">
      <formula>0.5</formula>
    </cfRule>
  </conditionalFormatting>
  <conditionalFormatting sqref="L6">
    <cfRule type="cellIs" dxfId="28328" priority="161943" stopIfTrue="1" operator="equal">
      <formula>-1</formula>
    </cfRule>
  </conditionalFormatting>
  <conditionalFormatting sqref="L6">
    <cfRule type="cellIs" dxfId="28327" priority="161944" stopIfTrue="1" operator="lessThan">
      <formula>0.5</formula>
    </cfRule>
  </conditionalFormatting>
  <conditionalFormatting sqref="L6">
    <cfRule type="cellIs" dxfId="28326" priority="161945" stopIfTrue="1" operator="greaterThanOrEqual">
      <formula>0.5</formula>
    </cfRule>
  </conditionalFormatting>
  <conditionalFormatting sqref="N5">
    <cfRule type="cellIs" dxfId="28325" priority="161946" stopIfTrue="1" operator="equal">
      <formula>-1</formula>
    </cfRule>
  </conditionalFormatting>
  <conditionalFormatting sqref="N5">
    <cfRule type="cellIs" dxfId="28324" priority="161947" stopIfTrue="1" operator="lessThan">
      <formula>0.5</formula>
    </cfRule>
  </conditionalFormatting>
  <conditionalFormatting sqref="N5">
    <cfRule type="cellIs" dxfId="28323" priority="161948" stopIfTrue="1" operator="greaterThanOrEqual">
      <formula>0.5</formula>
    </cfRule>
  </conditionalFormatting>
  <conditionalFormatting sqref="N6">
    <cfRule type="cellIs" dxfId="28322" priority="161949" stopIfTrue="1" operator="equal">
      <formula>-1</formula>
    </cfRule>
  </conditionalFormatting>
  <conditionalFormatting sqref="N6">
    <cfRule type="cellIs" dxfId="28321" priority="161950" stopIfTrue="1" operator="lessThan">
      <formula>0.5</formula>
    </cfRule>
  </conditionalFormatting>
  <conditionalFormatting sqref="N6">
    <cfRule type="cellIs" dxfId="28320" priority="161951" stopIfTrue="1" operator="greaterThanOrEqual">
      <formula>0.5</formula>
    </cfRule>
  </conditionalFormatting>
  <conditionalFormatting sqref="P5">
    <cfRule type="cellIs" dxfId="28319" priority="161952" stopIfTrue="1" operator="equal">
      <formula>-1</formula>
    </cfRule>
  </conditionalFormatting>
  <conditionalFormatting sqref="P5">
    <cfRule type="cellIs" dxfId="28318" priority="161953" stopIfTrue="1" operator="lessThan">
      <formula>0.5</formula>
    </cfRule>
  </conditionalFormatting>
  <conditionalFormatting sqref="P5">
    <cfRule type="cellIs" dxfId="28317" priority="161954" stopIfTrue="1" operator="greaterThanOrEqual">
      <formula>0.5</formula>
    </cfRule>
  </conditionalFormatting>
  <conditionalFormatting sqref="P6">
    <cfRule type="cellIs" dxfId="28316" priority="161955" stopIfTrue="1" operator="equal">
      <formula>-1</formula>
    </cfRule>
  </conditionalFormatting>
  <conditionalFormatting sqref="P6">
    <cfRule type="cellIs" dxfId="28315" priority="161956" stopIfTrue="1" operator="lessThan">
      <formula>0.5</formula>
    </cfRule>
  </conditionalFormatting>
  <conditionalFormatting sqref="P6">
    <cfRule type="cellIs" dxfId="28314" priority="161957" stopIfTrue="1" operator="greaterThanOrEqual">
      <formula>0.5</formula>
    </cfRule>
  </conditionalFormatting>
  <conditionalFormatting sqref="R5">
    <cfRule type="cellIs" dxfId="28313" priority="161958" stopIfTrue="1" operator="equal">
      <formula>-1</formula>
    </cfRule>
  </conditionalFormatting>
  <conditionalFormatting sqref="R5">
    <cfRule type="cellIs" dxfId="28312" priority="161959" stopIfTrue="1" operator="lessThan">
      <formula>0.5</formula>
    </cfRule>
  </conditionalFormatting>
  <conditionalFormatting sqref="R5">
    <cfRule type="cellIs" dxfId="28311" priority="161960" stopIfTrue="1" operator="greaterThanOrEqual">
      <formula>0.5</formula>
    </cfRule>
  </conditionalFormatting>
  <conditionalFormatting sqref="R6">
    <cfRule type="cellIs" dxfId="28310" priority="161961" stopIfTrue="1" operator="equal">
      <formula>-1</formula>
    </cfRule>
  </conditionalFormatting>
  <conditionalFormatting sqref="R6">
    <cfRule type="cellIs" dxfId="28309" priority="161962" stopIfTrue="1" operator="lessThan">
      <formula>0.5</formula>
    </cfRule>
  </conditionalFormatting>
  <conditionalFormatting sqref="R6">
    <cfRule type="cellIs" dxfId="28308" priority="161963" stopIfTrue="1" operator="greaterThanOrEqual">
      <formula>0.5</formula>
    </cfRule>
  </conditionalFormatting>
  <conditionalFormatting sqref="T5">
    <cfRule type="cellIs" dxfId="28307" priority="161964" stopIfTrue="1" operator="equal">
      <formula>-1</formula>
    </cfRule>
  </conditionalFormatting>
  <conditionalFormatting sqref="T5">
    <cfRule type="cellIs" dxfId="28306" priority="161965" stopIfTrue="1" operator="lessThan">
      <formula>0.5</formula>
    </cfRule>
  </conditionalFormatting>
  <conditionalFormatting sqref="T5">
    <cfRule type="cellIs" dxfId="28305" priority="161966" stopIfTrue="1" operator="greaterThanOrEqual">
      <formula>0.5</formula>
    </cfRule>
  </conditionalFormatting>
  <conditionalFormatting sqref="T6">
    <cfRule type="cellIs" dxfId="28304" priority="161967" stopIfTrue="1" operator="equal">
      <formula>-1</formula>
    </cfRule>
  </conditionalFormatting>
  <conditionalFormatting sqref="T6">
    <cfRule type="cellIs" dxfId="28303" priority="161968" stopIfTrue="1" operator="lessThan">
      <formula>0.5</formula>
    </cfRule>
  </conditionalFormatting>
  <conditionalFormatting sqref="T6">
    <cfRule type="cellIs" dxfId="28302" priority="161969" stopIfTrue="1" operator="greaterThanOrEqual">
      <formula>0.5</formula>
    </cfRule>
  </conditionalFormatting>
  <conditionalFormatting sqref="V5">
    <cfRule type="cellIs" dxfId="28301" priority="161970" stopIfTrue="1" operator="equal">
      <formula>-1</formula>
    </cfRule>
  </conditionalFormatting>
  <conditionalFormatting sqref="V5">
    <cfRule type="cellIs" dxfId="28300" priority="161971" stopIfTrue="1" operator="lessThan">
      <formula>0.5</formula>
    </cfRule>
  </conditionalFormatting>
  <conditionalFormatting sqref="V5">
    <cfRule type="cellIs" dxfId="28299" priority="161972" stopIfTrue="1" operator="greaterThanOrEqual">
      <formula>0.5</formula>
    </cfRule>
  </conditionalFormatting>
  <conditionalFormatting sqref="V6">
    <cfRule type="cellIs" dxfId="28298" priority="161973" stopIfTrue="1" operator="equal">
      <formula>-1</formula>
    </cfRule>
  </conditionalFormatting>
  <conditionalFormatting sqref="V6">
    <cfRule type="cellIs" dxfId="28297" priority="161974" stopIfTrue="1" operator="lessThan">
      <formula>0.5</formula>
    </cfRule>
  </conditionalFormatting>
  <conditionalFormatting sqref="V6">
    <cfRule type="cellIs" dxfId="28296" priority="161975" stopIfTrue="1" operator="greaterThanOrEqual">
      <formula>0.5</formula>
    </cfRule>
  </conditionalFormatting>
  <conditionalFormatting sqref="X5">
    <cfRule type="cellIs" dxfId="28295" priority="161976" stopIfTrue="1" operator="equal">
      <formula>-1</formula>
    </cfRule>
  </conditionalFormatting>
  <conditionalFormatting sqref="X5">
    <cfRule type="cellIs" dxfId="28294" priority="161977" stopIfTrue="1" operator="lessThan">
      <formula>0.5</formula>
    </cfRule>
  </conditionalFormatting>
  <conditionalFormatting sqref="X5">
    <cfRule type="cellIs" dxfId="28293" priority="161978" stopIfTrue="1" operator="greaterThanOrEqual">
      <formula>0.5</formula>
    </cfRule>
  </conditionalFormatting>
  <conditionalFormatting sqref="X6">
    <cfRule type="cellIs" dxfId="28292" priority="161979" stopIfTrue="1" operator="equal">
      <formula>-1</formula>
    </cfRule>
  </conditionalFormatting>
  <conditionalFormatting sqref="X6">
    <cfRule type="cellIs" dxfId="28291" priority="161980" stopIfTrue="1" operator="lessThan">
      <formula>0.5</formula>
    </cfRule>
  </conditionalFormatting>
  <conditionalFormatting sqref="X6">
    <cfRule type="cellIs" dxfId="28290" priority="161981" stopIfTrue="1" operator="greaterThanOrEqual">
      <formula>0.5</formula>
    </cfRule>
  </conditionalFormatting>
  <conditionalFormatting sqref="Z5">
    <cfRule type="cellIs" dxfId="28289" priority="161982" stopIfTrue="1" operator="equal">
      <formula>-1</formula>
    </cfRule>
  </conditionalFormatting>
  <conditionalFormatting sqref="Z5">
    <cfRule type="cellIs" dxfId="28288" priority="161983" stopIfTrue="1" operator="lessThan">
      <formula>0.5</formula>
    </cfRule>
  </conditionalFormatting>
  <conditionalFormatting sqref="Z5">
    <cfRule type="cellIs" dxfId="28287" priority="161984" stopIfTrue="1" operator="greaterThanOrEqual">
      <formula>0.5</formula>
    </cfRule>
  </conditionalFormatting>
  <conditionalFormatting sqref="Z6">
    <cfRule type="cellIs" dxfId="28286" priority="161985" stopIfTrue="1" operator="equal">
      <formula>-1</formula>
    </cfRule>
  </conditionalFormatting>
  <conditionalFormatting sqref="Z6">
    <cfRule type="cellIs" dxfId="28285" priority="161986" stopIfTrue="1" operator="lessThan">
      <formula>0.5</formula>
    </cfRule>
  </conditionalFormatting>
  <conditionalFormatting sqref="Z6">
    <cfRule type="cellIs" dxfId="28284" priority="161987" stopIfTrue="1" operator="greaterThanOrEqual">
      <formula>0.5</formula>
    </cfRule>
  </conditionalFormatting>
  <conditionalFormatting sqref="AB5">
    <cfRule type="cellIs" dxfId="28283" priority="161988" stopIfTrue="1" operator="equal">
      <formula>-1</formula>
    </cfRule>
  </conditionalFormatting>
  <conditionalFormatting sqref="AB5">
    <cfRule type="cellIs" dxfId="28282" priority="161989" stopIfTrue="1" operator="lessThan">
      <formula>0.5</formula>
    </cfRule>
  </conditionalFormatting>
  <conditionalFormatting sqref="AB5">
    <cfRule type="cellIs" dxfId="28281" priority="161990" stopIfTrue="1" operator="greaterThanOrEqual">
      <formula>0.5</formula>
    </cfRule>
  </conditionalFormatting>
  <conditionalFormatting sqref="AB6">
    <cfRule type="cellIs" dxfId="28280" priority="161991" stopIfTrue="1" operator="equal">
      <formula>-1</formula>
    </cfRule>
  </conditionalFormatting>
  <conditionalFormatting sqref="AB6">
    <cfRule type="cellIs" dxfId="28279" priority="161992" stopIfTrue="1" operator="lessThan">
      <formula>0.5</formula>
    </cfRule>
  </conditionalFormatting>
  <conditionalFormatting sqref="AB6">
    <cfRule type="cellIs" dxfId="28278" priority="161993" stopIfTrue="1" operator="greaterThanOrEqual">
      <formula>0.5</formula>
    </cfRule>
  </conditionalFormatting>
  <conditionalFormatting sqref="AD5">
    <cfRule type="cellIs" dxfId="28277" priority="161994" stopIfTrue="1" operator="equal">
      <formula>-1</formula>
    </cfRule>
  </conditionalFormatting>
  <conditionalFormatting sqref="AD5">
    <cfRule type="cellIs" dxfId="28276" priority="161995" stopIfTrue="1" operator="lessThan">
      <formula>0.5</formula>
    </cfRule>
  </conditionalFormatting>
  <conditionalFormatting sqref="AD5">
    <cfRule type="cellIs" dxfId="28275" priority="161996" stopIfTrue="1" operator="greaterThanOrEqual">
      <formula>0.5</formula>
    </cfRule>
  </conditionalFormatting>
  <conditionalFormatting sqref="AD6">
    <cfRule type="cellIs" dxfId="28274" priority="161997" stopIfTrue="1" operator="equal">
      <formula>-1</formula>
    </cfRule>
  </conditionalFormatting>
  <conditionalFormatting sqref="AD6">
    <cfRule type="cellIs" dxfId="28273" priority="161998" stopIfTrue="1" operator="lessThan">
      <formula>0.5</formula>
    </cfRule>
  </conditionalFormatting>
  <conditionalFormatting sqref="AD6">
    <cfRule type="cellIs" dxfId="28272" priority="161999" stopIfTrue="1" operator="greaterThanOrEqual">
      <formula>0.5</formula>
    </cfRule>
  </conditionalFormatting>
  <conditionalFormatting sqref="AF5">
    <cfRule type="cellIs" dxfId="28271" priority="162000" stopIfTrue="1" operator="equal">
      <formula>-1</formula>
    </cfRule>
  </conditionalFormatting>
  <conditionalFormatting sqref="AF5">
    <cfRule type="cellIs" dxfId="28270" priority="162001" stopIfTrue="1" operator="lessThan">
      <formula>0.5</formula>
    </cfRule>
  </conditionalFormatting>
  <conditionalFormatting sqref="AF5">
    <cfRule type="cellIs" dxfId="28269" priority="162002" stopIfTrue="1" operator="greaterThanOrEqual">
      <formula>0.5</formula>
    </cfRule>
  </conditionalFormatting>
  <conditionalFormatting sqref="AF6">
    <cfRule type="cellIs" dxfId="28268" priority="162003" stopIfTrue="1" operator="equal">
      <formula>-1</formula>
    </cfRule>
  </conditionalFormatting>
  <conditionalFormatting sqref="AF6">
    <cfRule type="cellIs" dxfId="28267" priority="162004" stopIfTrue="1" operator="lessThan">
      <formula>0.5</formula>
    </cfRule>
  </conditionalFormatting>
  <conditionalFormatting sqref="AF6">
    <cfRule type="cellIs" dxfId="28266" priority="162005" stopIfTrue="1" operator="greaterThanOrEqual">
      <formula>0.5</formula>
    </cfRule>
  </conditionalFormatting>
  <conditionalFormatting sqref="AH5">
    <cfRule type="cellIs" dxfId="28265" priority="162006" stopIfTrue="1" operator="equal">
      <formula>-1</formula>
    </cfRule>
  </conditionalFormatting>
  <conditionalFormatting sqref="AH5">
    <cfRule type="cellIs" dxfId="28264" priority="162007" stopIfTrue="1" operator="lessThan">
      <formula>0.5</formula>
    </cfRule>
  </conditionalFormatting>
  <conditionalFormatting sqref="AH5">
    <cfRule type="cellIs" dxfId="28263" priority="162008" stopIfTrue="1" operator="greaterThanOrEqual">
      <formula>0.5</formula>
    </cfRule>
  </conditionalFormatting>
  <conditionalFormatting sqref="AH6">
    <cfRule type="cellIs" dxfId="28262" priority="162009" stopIfTrue="1" operator="equal">
      <formula>-1</formula>
    </cfRule>
  </conditionalFormatting>
  <conditionalFormatting sqref="AH6">
    <cfRule type="cellIs" dxfId="28261" priority="162010" stopIfTrue="1" operator="lessThan">
      <formula>0.5</formula>
    </cfRule>
  </conditionalFormatting>
  <conditionalFormatting sqref="AH6">
    <cfRule type="cellIs" dxfId="28260" priority="162011" stopIfTrue="1" operator="greaterThanOrEqual">
      <formula>0.5</formula>
    </cfRule>
  </conditionalFormatting>
  <conditionalFormatting sqref="AJ5">
    <cfRule type="cellIs" dxfId="28259" priority="162012" stopIfTrue="1" operator="equal">
      <formula>-1</formula>
    </cfRule>
  </conditionalFormatting>
  <conditionalFormatting sqref="AJ5">
    <cfRule type="cellIs" dxfId="28258" priority="162013" stopIfTrue="1" operator="lessThan">
      <formula>0.5</formula>
    </cfRule>
  </conditionalFormatting>
  <conditionalFormatting sqref="AJ5">
    <cfRule type="cellIs" dxfId="28257" priority="162014" stopIfTrue="1" operator="greaterThanOrEqual">
      <formula>0.5</formula>
    </cfRule>
  </conditionalFormatting>
  <conditionalFormatting sqref="AJ6">
    <cfRule type="cellIs" dxfId="28256" priority="162015" stopIfTrue="1" operator="equal">
      <formula>-1</formula>
    </cfRule>
  </conditionalFormatting>
  <conditionalFormatting sqref="AJ6">
    <cfRule type="cellIs" dxfId="28255" priority="162016" stopIfTrue="1" operator="lessThan">
      <formula>0.5</formula>
    </cfRule>
  </conditionalFormatting>
  <conditionalFormatting sqref="AJ6">
    <cfRule type="cellIs" dxfId="28254" priority="162017" stopIfTrue="1" operator="greaterThanOrEqual">
      <formula>0.5</formula>
    </cfRule>
  </conditionalFormatting>
  <conditionalFormatting sqref="AL5">
    <cfRule type="cellIs" dxfId="28253" priority="162018" stopIfTrue="1" operator="equal">
      <formula>-1</formula>
    </cfRule>
  </conditionalFormatting>
  <conditionalFormatting sqref="AL5">
    <cfRule type="cellIs" dxfId="28252" priority="162019" stopIfTrue="1" operator="lessThan">
      <formula>0.5</formula>
    </cfRule>
  </conditionalFormatting>
  <conditionalFormatting sqref="AL5">
    <cfRule type="cellIs" dxfId="28251" priority="162020" stopIfTrue="1" operator="greaterThanOrEqual">
      <formula>0.5</formula>
    </cfRule>
  </conditionalFormatting>
  <conditionalFormatting sqref="AL6">
    <cfRule type="cellIs" dxfId="28250" priority="162021" stopIfTrue="1" operator="equal">
      <formula>-1</formula>
    </cfRule>
  </conditionalFormatting>
  <conditionalFormatting sqref="AL6">
    <cfRule type="cellIs" dxfId="28249" priority="162022" stopIfTrue="1" operator="lessThan">
      <formula>0.5</formula>
    </cfRule>
  </conditionalFormatting>
  <conditionalFormatting sqref="AL6">
    <cfRule type="cellIs" dxfId="28248" priority="162023" stopIfTrue="1" operator="greaterThanOrEqual">
      <formula>0.5</formula>
    </cfRule>
  </conditionalFormatting>
  <conditionalFormatting sqref="AN5">
    <cfRule type="cellIs" dxfId="28247" priority="162024" stopIfTrue="1" operator="equal">
      <formula>-1</formula>
    </cfRule>
  </conditionalFormatting>
  <conditionalFormatting sqref="AN5">
    <cfRule type="cellIs" dxfId="28246" priority="162025" stopIfTrue="1" operator="lessThan">
      <formula>0.5</formula>
    </cfRule>
  </conditionalFormatting>
  <conditionalFormatting sqref="AN5">
    <cfRule type="cellIs" dxfId="28245" priority="162026" stopIfTrue="1" operator="greaterThanOrEqual">
      <formula>0.5</formula>
    </cfRule>
  </conditionalFormatting>
  <conditionalFormatting sqref="AN6">
    <cfRule type="cellIs" dxfId="28244" priority="162027" stopIfTrue="1" operator="equal">
      <formula>-1</formula>
    </cfRule>
  </conditionalFormatting>
  <conditionalFormatting sqref="AN6">
    <cfRule type="cellIs" dxfId="28243" priority="162028" stopIfTrue="1" operator="lessThan">
      <formula>0.5</formula>
    </cfRule>
  </conditionalFormatting>
  <conditionalFormatting sqref="AN6">
    <cfRule type="cellIs" dxfId="28242" priority="162029" stopIfTrue="1" operator="greaterThanOrEqual">
      <formula>0.5</formula>
    </cfRule>
  </conditionalFormatting>
  <conditionalFormatting sqref="AP5">
    <cfRule type="cellIs" dxfId="28241" priority="162030" stopIfTrue="1" operator="equal">
      <formula>-1</formula>
    </cfRule>
  </conditionalFormatting>
  <conditionalFormatting sqref="AP5">
    <cfRule type="cellIs" dxfId="28240" priority="162031" stopIfTrue="1" operator="lessThan">
      <formula>0.5</formula>
    </cfRule>
  </conditionalFormatting>
  <conditionalFormatting sqref="AP5">
    <cfRule type="cellIs" dxfId="28239" priority="162032" stopIfTrue="1" operator="greaterThanOrEqual">
      <formula>0.5</formula>
    </cfRule>
  </conditionalFormatting>
  <conditionalFormatting sqref="AP6">
    <cfRule type="cellIs" dxfId="28238" priority="162033" stopIfTrue="1" operator="equal">
      <formula>-1</formula>
    </cfRule>
  </conditionalFormatting>
  <conditionalFormatting sqref="AP6">
    <cfRule type="cellIs" dxfId="28237" priority="162034" stopIfTrue="1" operator="lessThan">
      <formula>0.5</formula>
    </cfRule>
  </conditionalFormatting>
  <conditionalFormatting sqref="AP6">
    <cfRule type="cellIs" dxfId="28236" priority="162035" stopIfTrue="1" operator="greaterThanOrEqual">
      <formula>0.5</formula>
    </cfRule>
  </conditionalFormatting>
  <conditionalFormatting sqref="AR5">
    <cfRule type="cellIs" dxfId="28235" priority="162036" stopIfTrue="1" operator="equal">
      <formula>-1</formula>
    </cfRule>
  </conditionalFormatting>
  <conditionalFormatting sqref="AR5">
    <cfRule type="cellIs" dxfId="28234" priority="162037" stopIfTrue="1" operator="lessThan">
      <formula>0.5</formula>
    </cfRule>
  </conditionalFormatting>
  <conditionalFormatting sqref="AR5">
    <cfRule type="cellIs" dxfId="28233" priority="162038" stopIfTrue="1" operator="greaterThanOrEqual">
      <formula>0.5</formula>
    </cfRule>
  </conditionalFormatting>
  <conditionalFormatting sqref="AR6">
    <cfRule type="cellIs" dxfId="28232" priority="162039" stopIfTrue="1" operator="equal">
      <formula>-1</formula>
    </cfRule>
  </conditionalFormatting>
  <conditionalFormatting sqref="AR6">
    <cfRule type="cellIs" dxfId="28231" priority="162040" stopIfTrue="1" operator="lessThan">
      <formula>0.5</formula>
    </cfRule>
  </conditionalFormatting>
  <conditionalFormatting sqref="AR6">
    <cfRule type="cellIs" dxfId="28230" priority="162041" stopIfTrue="1" operator="greaterThanOrEqual">
      <formula>0.5</formula>
    </cfRule>
  </conditionalFormatting>
  <conditionalFormatting sqref="AT5">
    <cfRule type="cellIs" dxfId="28229" priority="162042" stopIfTrue="1" operator="equal">
      <formula>-1</formula>
    </cfRule>
  </conditionalFormatting>
  <conditionalFormatting sqref="AT5">
    <cfRule type="cellIs" dxfId="28228" priority="162043" stopIfTrue="1" operator="lessThan">
      <formula>0.5</formula>
    </cfRule>
  </conditionalFormatting>
  <conditionalFormatting sqref="AT5">
    <cfRule type="cellIs" dxfId="28227" priority="162044" stopIfTrue="1" operator="greaterThanOrEqual">
      <formula>0.5</formula>
    </cfRule>
  </conditionalFormatting>
  <conditionalFormatting sqref="AT6">
    <cfRule type="cellIs" dxfId="28226" priority="162045" stopIfTrue="1" operator="equal">
      <formula>-1</formula>
    </cfRule>
  </conditionalFormatting>
  <conditionalFormatting sqref="AT6">
    <cfRule type="cellIs" dxfId="28225" priority="162046" stopIfTrue="1" operator="lessThan">
      <formula>0.5</formula>
    </cfRule>
  </conditionalFormatting>
  <conditionalFormatting sqref="AT6">
    <cfRule type="cellIs" dxfId="28224" priority="162047" stopIfTrue="1" operator="greaterThanOrEqual">
      <formula>0.5</formula>
    </cfRule>
  </conditionalFormatting>
  <conditionalFormatting sqref="AV5">
    <cfRule type="cellIs" dxfId="28223" priority="162048" stopIfTrue="1" operator="equal">
      <formula>-1</formula>
    </cfRule>
  </conditionalFormatting>
  <conditionalFormatting sqref="AV5">
    <cfRule type="cellIs" dxfId="28222" priority="162049" stopIfTrue="1" operator="lessThan">
      <formula>0.5</formula>
    </cfRule>
  </conditionalFormatting>
  <conditionalFormatting sqref="AV5">
    <cfRule type="cellIs" dxfId="28221" priority="162050" stopIfTrue="1" operator="greaterThanOrEqual">
      <formula>0.5</formula>
    </cfRule>
  </conditionalFormatting>
  <conditionalFormatting sqref="AV6">
    <cfRule type="cellIs" dxfId="28220" priority="162051" stopIfTrue="1" operator="equal">
      <formula>-1</formula>
    </cfRule>
  </conditionalFormatting>
  <conditionalFormatting sqref="AV6">
    <cfRule type="cellIs" dxfId="28219" priority="162052" stopIfTrue="1" operator="lessThan">
      <formula>0.5</formula>
    </cfRule>
  </conditionalFormatting>
  <conditionalFormatting sqref="AV6">
    <cfRule type="cellIs" dxfId="28218" priority="162053" stopIfTrue="1" operator="greaterThanOrEqual">
      <formula>0.5</formula>
    </cfRule>
  </conditionalFormatting>
  <conditionalFormatting sqref="AX5">
    <cfRule type="cellIs" dxfId="28217" priority="162054" stopIfTrue="1" operator="equal">
      <formula>-1</formula>
    </cfRule>
  </conditionalFormatting>
  <conditionalFormatting sqref="AX5">
    <cfRule type="cellIs" dxfId="28216" priority="162055" stopIfTrue="1" operator="lessThan">
      <formula>0.5</formula>
    </cfRule>
  </conditionalFormatting>
  <conditionalFormatting sqref="AX5">
    <cfRule type="cellIs" dxfId="28215" priority="162056" stopIfTrue="1" operator="greaterThanOrEqual">
      <formula>0.5</formula>
    </cfRule>
  </conditionalFormatting>
  <conditionalFormatting sqref="AX6">
    <cfRule type="cellIs" dxfId="28214" priority="162057" stopIfTrue="1" operator="equal">
      <formula>-1</formula>
    </cfRule>
  </conditionalFormatting>
  <conditionalFormatting sqref="AX6">
    <cfRule type="cellIs" dxfId="28213" priority="162058" stopIfTrue="1" operator="lessThan">
      <formula>0.5</formula>
    </cfRule>
  </conditionalFormatting>
  <conditionalFormatting sqref="AX6">
    <cfRule type="cellIs" dxfId="28212" priority="162059" stopIfTrue="1" operator="greaterThanOrEqual">
      <formula>0.5</formula>
    </cfRule>
  </conditionalFormatting>
  <conditionalFormatting sqref="AZ5">
    <cfRule type="cellIs" dxfId="28211" priority="162060" stopIfTrue="1" operator="equal">
      <formula>-1</formula>
    </cfRule>
  </conditionalFormatting>
  <conditionalFormatting sqref="AZ5">
    <cfRule type="cellIs" dxfId="28210" priority="162061" stopIfTrue="1" operator="lessThan">
      <formula>0.5</formula>
    </cfRule>
  </conditionalFormatting>
  <conditionalFormatting sqref="AZ5">
    <cfRule type="cellIs" dxfId="28209" priority="162062" stopIfTrue="1" operator="greaterThanOrEqual">
      <formula>0.5</formula>
    </cfRule>
  </conditionalFormatting>
  <conditionalFormatting sqref="AZ6">
    <cfRule type="cellIs" dxfId="28208" priority="162063" stopIfTrue="1" operator="equal">
      <formula>-1</formula>
    </cfRule>
  </conditionalFormatting>
  <conditionalFormatting sqref="AZ6">
    <cfRule type="cellIs" dxfId="28207" priority="162064" stopIfTrue="1" operator="lessThan">
      <formula>0.5</formula>
    </cfRule>
  </conditionalFormatting>
  <conditionalFormatting sqref="AZ6">
    <cfRule type="cellIs" dxfId="28206" priority="162065" stopIfTrue="1" operator="greaterThanOrEqual">
      <formula>0.5</formula>
    </cfRule>
  </conditionalFormatting>
  <conditionalFormatting sqref="BB5">
    <cfRule type="cellIs" dxfId="28205" priority="162066" stopIfTrue="1" operator="equal">
      <formula>-1</formula>
    </cfRule>
  </conditionalFormatting>
  <conditionalFormatting sqref="BB5">
    <cfRule type="cellIs" dxfId="28204" priority="162067" stopIfTrue="1" operator="lessThan">
      <formula>0.5</formula>
    </cfRule>
  </conditionalFormatting>
  <conditionalFormatting sqref="BB5">
    <cfRule type="cellIs" dxfId="28203" priority="162068" stopIfTrue="1" operator="greaterThanOrEqual">
      <formula>0.5</formula>
    </cfRule>
  </conditionalFormatting>
  <conditionalFormatting sqref="BB6">
    <cfRule type="cellIs" dxfId="28202" priority="162069" stopIfTrue="1" operator="equal">
      <formula>-1</formula>
    </cfRule>
  </conditionalFormatting>
  <conditionalFormatting sqref="BB6">
    <cfRule type="cellIs" dxfId="28201" priority="162070" stopIfTrue="1" operator="lessThan">
      <formula>0.5</formula>
    </cfRule>
  </conditionalFormatting>
  <conditionalFormatting sqref="BB6">
    <cfRule type="cellIs" dxfId="28200" priority="162071" stopIfTrue="1" operator="greaterThanOrEqual">
      <formula>0.5</formula>
    </cfRule>
  </conditionalFormatting>
  <conditionalFormatting sqref="BD5">
    <cfRule type="cellIs" dxfId="28199" priority="162072" stopIfTrue="1" operator="equal">
      <formula>-1</formula>
    </cfRule>
  </conditionalFormatting>
  <conditionalFormatting sqref="BD5">
    <cfRule type="cellIs" dxfId="28198" priority="162073" stopIfTrue="1" operator="lessThan">
      <formula>0.5</formula>
    </cfRule>
  </conditionalFormatting>
  <conditionalFormatting sqref="BD5">
    <cfRule type="cellIs" dxfId="28197" priority="162074" stopIfTrue="1" operator="greaterThanOrEqual">
      <formula>0.5</formula>
    </cfRule>
  </conditionalFormatting>
  <conditionalFormatting sqref="BD6">
    <cfRule type="cellIs" dxfId="28196" priority="162075" stopIfTrue="1" operator="equal">
      <formula>-1</formula>
    </cfRule>
  </conditionalFormatting>
  <conditionalFormatting sqref="BD6">
    <cfRule type="cellIs" dxfId="28195" priority="162076" stopIfTrue="1" operator="lessThan">
      <formula>0.5</formula>
    </cfRule>
  </conditionalFormatting>
  <conditionalFormatting sqref="BD6">
    <cfRule type="cellIs" dxfId="28194" priority="162077" stopIfTrue="1" operator="greaterThanOrEqual">
      <formula>0.5</formula>
    </cfRule>
  </conditionalFormatting>
  <conditionalFormatting sqref="BF5">
    <cfRule type="cellIs" dxfId="28193" priority="162078" stopIfTrue="1" operator="equal">
      <formula>-1</formula>
    </cfRule>
  </conditionalFormatting>
  <conditionalFormatting sqref="BF5">
    <cfRule type="cellIs" dxfId="28192" priority="162079" stopIfTrue="1" operator="lessThan">
      <formula>0.5</formula>
    </cfRule>
  </conditionalFormatting>
  <conditionalFormatting sqref="BF5">
    <cfRule type="cellIs" dxfId="28191" priority="162080" stopIfTrue="1" operator="greaterThanOrEqual">
      <formula>0.5</formula>
    </cfRule>
  </conditionalFormatting>
  <conditionalFormatting sqref="BF6">
    <cfRule type="cellIs" dxfId="28190" priority="162081" stopIfTrue="1" operator="equal">
      <formula>-1</formula>
    </cfRule>
  </conditionalFormatting>
  <conditionalFormatting sqref="BF6">
    <cfRule type="cellIs" dxfId="28189" priority="162082" stopIfTrue="1" operator="lessThan">
      <formula>0.5</formula>
    </cfRule>
  </conditionalFormatting>
  <conditionalFormatting sqref="BF6">
    <cfRule type="cellIs" dxfId="28188" priority="162083" stopIfTrue="1" operator="greaterThanOrEqual">
      <formula>0.5</formula>
    </cfRule>
  </conditionalFormatting>
  <conditionalFormatting sqref="BH5">
    <cfRule type="cellIs" dxfId="28187" priority="162084" stopIfTrue="1" operator="equal">
      <formula>-1</formula>
    </cfRule>
  </conditionalFormatting>
  <conditionalFormatting sqref="BH5">
    <cfRule type="cellIs" dxfId="28186" priority="162085" stopIfTrue="1" operator="lessThan">
      <formula>0.5</formula>
    </cfRule>
  </conditionalFormatting>
  <conditionalFormatting sqref="BH5">
    <cfRule type="cellIs" dxfId="28185" priority="162086" stopIfTrue="1" operator="greaterThanOrEqual">
      <formula>0.5</formula>
    </cfRule>
  </conditionalFormatting>
  <conditionalFormatting sqref="BH6">
    <cfRule type="cellIs" dxfId="28184" priority="162087" stopIfTrue="1" operator="equal">
      <formula>-1</formula>
    </cfRule>
  </conditionalFormatting>
  <conditionalFormatting sqref="BH6">
    <cfRule type="cellIs" dxfId="28183" priority="162088" stopIfTrue="1" operator="lessThan">
      <formula>0.5</formula>
    </cfRule>
  </conditionalFormatting>
  <conditionalFormatting sqref="BH6">
    <cfRule type="cellIs" dxfId="28182" priority="162089" stopIfTrue="1" operator="greaterThanOrEqual">
      <formula>0.5</formula>
    </cfRule>
  </conditionalFormatting>
  <conditionalFormatting sqref="BJ5">
    <cfRule type="cellIs" dxfId="28181" priority="162090" stopIfTrue="1" operator="equal">
      <formula>-1</formula>
    </cfRule>
  </conditionalFormatting>
  <conditionalFormatting sqref="BJ5">
    <cfRule type="cellIs" dxfId="28180" priority="162091" stopIfTrue="1" operator="lessThan">
      <formula>0.5</formula>
    </cfRule>
  </conditionalFormatting>
  <conditionalFormatting sqref="BJ5">
    <cfRule type="cellIs" dxfId="28179" priority="162092" stopIfTrue="1" operator="greaterThanOrEqual">
      <formula>0.5</formula>
    </cfRule>
  </conditionalFormatting>
  <conditionalFormatting sqref="BJ6">
    <cfRule type="cellIs" dxfId="28178" priority="162093" stopIfTrue="1" operator="equal">
      <formula>-1</formula>
    </cfRule>
  </conditionalFormatting>
  <conditionalFormatting sqref="BJ6">
    <cfRule type="cellIs" dxfId="28177" priority="162094" stopIfTrue="1" operator="lessThan">
      <formula>0.5</formula>
    </cfRule>
  </conditionalFormatting>
  <conditionalFormatting sqref="BJ6">
    <cfRule type="cellIs" dxfId="28176" priority="162095" stopIfTrue="1" operator="greaterThanOrEqual">
      <formula>0.5</formula>
    </cfRule>
  </conditionalFormatting>
  <conditionalFormatting sqref="D8">
    <cfRule type="cellIs" dxfId="28175" priority="162096" stopIfTrue="1" operator="equal">
      <formula>-1</formula>
    </cfRule>
  </conditionalFormatting>
  <conditionalFormatting sqref="D8">
    <cfRule type="cellIs" dxfId="28174" priority="162097" stopIfTrue="1" operator="lessThan">
      <formula>0.5</formula>
    </cfRule>
  </conditionalFormatting>
  <conditionalFormatting sqref="D8">
    <cfRule type="cellIs" dxfId="28173" priority="162098" stopIfTrue="1" operator="greaterThanOrEqual">
      <formula>0.5</formula>
    </cfRule>
  </conditionalFormatting>
  <conditionalFormatting sqref="D9">
    <cfRule type="cellIs" dxfId="28172" priority="162099" stopIfTrue="1" operator="equal">
      <formula>-1</formula>
    </cfRule>
  </conditionalFormatting>
  <conditionalFormatting sqref="D9">
    <cfRule type="cellIs" dxfId="28171" priority="162100" stopIfTrue="1" operator="lessThan">
      <formula>0.5</formula>
    </cfRule>
  </conditionalFormatting>
  <conditionalFormatting sqref="D9">
    <cfRule type="cellIs" dxfId="28170" priority="162101" stopIfTrue="1" operator="greaterThanOrEqual">
      <formula>0.5</formula>
    </cfRule>
  </conditionalFormatting>
  <conditionalFormatting sqref="D10">
    <cfRule type="cellIs" dxfId="28169" priority="162102" stopIfTrue="1" operator="equal">
      <formula>-1</formula>
    </cfRule>
  </conditionalFormatting>
  <conditionalFormatting sqref="D10">
    <cfRule type="cellIs" dxfId="28168" priority="162103" stopIfTrue="1" operator="lessThan">
      <formula>0.5</formula>
    </cfRule>
  </conditionalFormatting>
  <conditionalFormatting sqref="D10">
    <cfRule type="cellIs" dxfId="28167" priority="162104" stopIfTrue="1" operator="greaterThanOrEqual">
      <formula>0.5</formula>
    </cfRule>
  </conditionalFormatting>
  <conditionalFormatting sqref="D11">
    <cfRule type="cellIs" dxfId="28166" priority="162105" stopIfTrue="1" operator="equal">
      <formula>-1</formula>
    </cfRule>
  </conditionalFormatting>
  <conditionalFormatting sqref="D11">
    <cfRule type="cellIs" dxfId="28165" priority="162106" stopIfTrue="1" operator="lessThan">
      <formula>0.5</formula>
    </cfRule>
  </conditionalFormatting>
  <conditionalFormatting sqref="D11">
    <cfRule type="cellIs" dxfId="28164" priority="162107" stopIfTrue="1" operator="greaterThanOrEqual">
      <formula>0.5</formula>
    </cfRule>
  </conditionalFormatting>
  <conditionalFormatting sqref="D12">
    <cfRule type="cellIs" dxfId="28163" priority="162108" stopIfTrue="1" operator="equal">
      <formula>-1</formula>
    </cfRule>
  </conditionalFormatting>
  <conditionalFormatting sqref="D12">
    <cfRule type="cellIs" dxfId="28162" priority="162109" stopIfTrue="1" operator="lessThan">
      <formula>0.5</formula>
    </cfRule>
  </conditionalFormatting>
  <conditionalFormatting sqref="D12">
    <cfRule type="cellIs" dxfId="28161" priority="162110" stopIfTrue="1" operator="greaterThanOrEqual">
      <formula>0.5</formula>
    </cfRule>
  </conditionalFormatting>
  <conditionalFormatting sqref="D13">
    <cfRule type="cellIs" dxfId="28160" priority="162111" stopIfTrue="1" operator="equal">
      <formula>-1</formula>
    </cfRule>
  </conditionalFormatting>
  <conditionalFormatting sqref="D13">
    <cfRule type="cellIs" dxfId="28159" priority="162112" stopIfTrue="1" operator="lessThan">
      <formula>0.5</formula>
    </cfRule>
  </conditionalFormatting>
  <conditionalFormatting sqref="D13">
    <cfRule type="cellIs" dxfId="28158" priority="162113" stopIfTrue="1" operator="greaterThanOrEqual">
      <formula>0.5</formula>
    </cfRule>
  </conditionalFormatting>
  <conditionalFormatting sqref="D14">
    <cfRule type="cellIs" dxfId="28157" priority="162114" stopIfTrue="1" operator="equal">
      <formula>-1</formula>
    </cfRule>
  </conditionalFormatting>
  <conditionalFormatting sqref="D14">
    <cfRule type="cellIs" dxfId="28156" priority="162115" stopIfTrue="1" operator="lessThan">
      <formula>0.5</formula>
    </cfRule>
  </conditionalFormatting>
  <conditionalFormatting sqref="D14">
    <cfRule type="cellIs" dxfId="28155" priority="162116" stopIfTrue="1" operator="greaterThanOrEqual">
      <formula>0.5</formula>
    </cfRule>
  </conditionalFormatting>
  <conditionalFormatting sqref="D15">
    <cfRule type="cellIs" dxfId="28154" priority="162117" stopIfTrue="1" operator="equal">
      <formula>-1</formula>
    </cfRule>
  </conditionalFormatting>
  <conditionalFormatting sqref="D15">
    <cfRule type="cellIs" dxfId="28153" priority="162118" stopIfTrue="1" operator="lessThan">
      <formula>0.5</formula>
    </cfRule>
  </conditionalFormatting>
  <conditionalFormatting sqref="D15">
    <cfRule type="cellIs" dxfId="28152" priority="162119" stopIfTrue="1" operator="greaterThanOrEqual">
      <formula>0.5</formula>
    </cfRule>
  </conditionalFormatting>
  <conditionalFormatting sqref="F8">
    <cfRule type="cellIs" dxfId="28151" priority="162120" stopIfTrue="1" operator="equal">
      <formula>-1</formula>
    </cfRule>
  </conditionalFormatting>
  <conditionalFormatting sqref="F8">
    <cfRule type="cellIs" dxfId="28150" priority="162121" stopIfTrue="1" operator="lessThan">
      <formula>0.5</formula>
    </cfRule>
  </conditionalFormatting>
  <conditionalFormatting sqref="F8">
    <cfRule type="cellIs" dxfId="28149" priority="162122" stopIfTrue="1" operator="greaterThanOrEqual">
      <formula>0.5</formula>
    </cfRule>
  </conditionalFormatting>
  <conditionalFormatting sqref="F9">
    <cfRule type="cellIs" dxfId="28148" priority="162123" stopIfTrue="1" operator="equal">
      <formula>-1</formula>
    </cfRule>
  </conditionalFormatting>
  <conditionalFormatting sqref="F9">
    <cfRule type="cellIs" dxfId="28147" priority="162124" stopIfTrue="1" operator="lessThan">
      <formula>0.5</formula>
    </cfRule>
  </conditionalFormatting>
  <conditionalFormatting sqref="F9">
    <cfRule type="cellIs" dxfId="28146" priority="162125" stopIfTrue="1" operator="greaterThanOrEqual">
      <formula>0.5</formula>
    </cfRule>
  </conditionalFormatting>
  <conditionalFormatting sqref="F10">
    <cfRule type="cellIs" dxfId="28145" priority="162126" stopIfTrue="1" operator="equal">
      <formula>-1</formula>
    </cfRule>
  </conditionalFormatting>
  <conditionalFormatting sqref="F10">
    <cfRule type="cellIs" dxfId="28144" priority="162127" stopIfTrue="1" operator="lessThan">
      <formula>0.5</formula>
    </cfRule>
  </conditionalFormatting>
  <conditionalFormatting sqref="F10">
    <cfRule type="cellIs" dxfId="28143" priority="162128" stopIfTrue="1" operator="greaterThanOrEqual">
      <formula>0.5</formula>
    </cfRule>
  </conditionalFormatting>
  <conditionalFormatting sqref="F11">
    <cfRule type="cellIs" dxfId="28142" priority="162129" stopIfTrue="1" operator="equal">
      <formula>-1</formula>
    </cfRule>
  </conditionalFormatting>
  <conditionalFormatting sqref="F11">
    <cfRule type="cellIs" dxfId="28141" priority="162130" stopIfTrue="1" operator="lessThan">
      <formula>0.5</formula>
    </cfRule>
  </conditionalFormatting>
  <conditionalFormatting sqref="F11">
    <cfRule type="cellIs" dxfId="28140" priority="162131" stopIfTrue="1" operator="greaterThanOrEqual">
      <formula>0.5</formula>
    </cfRule>
  </conditionalFormatting>
  <conditionalFormatting sqref="F12">
    <cfRule type="cellIs" dxfId="28139" priority="162132" stopIfTrue="1" operator="equal">
      <formula>-1</formula>
    </cfRule>
  </conditionalFormatting>
  <conditionalFormatting sqref="F12">
    <cfRule type="cellIs" dxfId="28138" priority="162133" stopIfTrue="1" operator="lessThan">
      <formula>0.5</formula>
    </cfRule>
  </conditionalFormatting>
  <conditionalFormatting sqref="F12">
    <cfRule type="cellIs" dxfId="28137" priority="162134" stopIfTrue="1" operator="greaterThanOrEqual">
      <formula>0.5</formula>
    </cfRule>
  </conditionalFormatting>
  <conditionalFormatting sqref="F13">
    <cfRule type="cellIs" dxfId="28136" priority="162135" stopIfTrue="1" operator="equal">
      <formula>-1</formula>
    </cfRule>
  </conditionalFormatting>
  <conditionalFormatting sqref="F13">
    <cfRule type="cellIs" dxfId="28135" priority="162136" stopIfTrue="1" operator="lessThan">
      <formula>0.5</formula>
    </cfRule>
  </conditionalFormatting>
  <conditionalFormatting sqref="F13">
    <cfRule type="cellIs" dxfId="28134" priority="162137" stopIfTrue="1" operator="greaterThanOrEqual">
      <formula>0.5</formula>
    </cfRule>
  </conditionalFormatting>
  <conditionalFormatting sqref="F14">
    <cfRule type="cellIs" dxfId="28133" priority="162138" stopIfTrue="1" operator="equal">
      <formula>-1</formula>
    </cfRule>
  </conditionalFormatting>
  <conditionalFormatting sqref="F14">
    <cfRule type="cellIs" dxfId="28132" priority="162139" stopIfTrue="1" operator="lessThan">
      <formula>0.5</formula>
    </cfRule>
  </conditionalFormatting>
  <conditionalFormatting sqref="F14">
    <cfRule type="cellIs" dxfId="28131" priority="162140" stopIfTrue="1" operator="greaterThanOrEqual">
      <formula>0.5</formula>
    </cfRule>
  </conditionalFormatting>
  <conditionalFormatting sqref="F15">
    <cfRule type="cellIs" dxfId="28130" priority="162141" stopIfTrue="1" operator="equal">
      <formula>-1</formula>
    </cfRule>
  </conditionalFormatting>
  <conditionalFormatting sqref="F15">
    <cfRule type="cellIs" dxfId="28129" priority="162142" stopIfTrue="1" operator="lessThan">
      <formula>0.5</formula>
    </cfRule>
  </conditionalFormatting>
  <conditionalFormatting sqref="F15">
    <cfRule type="cellIs" dxfId="28128" priority="162143" stopIfTrue="1" operator="greaterThanOrEqual">
      <formula>0.5</formula>
    </cfRule>
  </conditionalFormatting>
  <conditionalFormatting sqref="H8">
    <cfRule type="cellIs" dxfId="28127" priority="162144" stopIfTrue="1" operator="equal">
      <formula>-1</formula>
    </cfRule>
  </conditionalFormatting>
  <conditionalFormatting sqref="H8">
    <cfRule type="cellIs" dxfId="28126" priority="162145" stopIfTrue="1" operator="lessThan">
      <formula>0.5</formula>
    </cfRule>
  </conditionalFormatting>
  <conditionalFormatting sqref="H8">
    <cfRule type="cellIs" dxfId="28125" priority="162146" stopIfTrue="1" operator="greaterThanOrEqual">
      <formula>0.5</formula>
    </cfRule>
  </conditionalFormatting>
  <conditionalFormatting sqref="H9">
    <cfRule type="cellIs" dxfId="28124" priority="162147" stopIfTrue="1" operator="equal">
      <formula>-1</formula>
    </cfRule>
  </conditionalFormatting>
  <conditionalFormatting sqref="H9">
    <cfRule type="cellIs" dxfId="28123" priority="162148" stopIfTrue="1" operator="lessThan">
      <formula>0.5</formula>
    </cfRule>
  </conditionalFormatting>
  <conditionalFormatting sqref="H9">
    <cfRule type="cellIs" dxfId="28122" priority="162149" stopIfTrue="1" operator="greaterThanOrEqual">
      <formula>0.5</formula>
    </cfRule>
  </conditionalFormatting>
  <conditionalFormatting sqref="H10">
    <cfRule type="cellIs" dxfId="28121" priority="162150" stopIfTrue="1" operator="equal">
      <formula>-1</formula>
    </cfRule>
  </conditionalFormatting>
  <conditionalFormatting sqref="H10">
    <cfRule type="cellIs" dxfId="28120" priority="162151" stopIfTrue="1" operator="lessThan">
      <formula>0.5</formula>
    </cfRule>
  </conditionalFormatting>
  <conditionalFormatting sqref="H10">
    <cfRule type="cellIs" dxfId="28119" priority="162152" stopIfTrue="1" operator="greaterThanOrEqual">
      <formula>0.5</formula>
    </cfRule>
  </conditionalFormatting>
  <conditionalFormatting sqref="H11">
    <cfRule type="cellIs" dxfId="28118" priority="162153" stopIfTrue="1" operator="equal">
      <formula>-1</formula>
    </cfRule>
  </conditionalFormatting>
  <conditionalFormatting sqref="H11">
    <cfRule type="cellIs" dxfId="28117" priority="162154" stopIfTrue="1" operator="lessThan">
      <formula>0.5</formula>
    </cfRule>
  </conditionalFormatting>
  <conditionalFormatting sqref="H11">
    <cfRule type="cellIs" dxfId="28116" priority="162155" stopIfTrue="1" operator="greaterThanOrEqual">
      <formula>0.5</formula>
    </cfRule>
  </conditionalFormatting>
  <conditionalFormatting sqref="H12">
    <cfRule type="cellIs" dxfId="28115" priority="162156" stopIfTrue="1" operator="equal">
      <formula>-1</formula>
    </cfRule>
  </conditionalFormatting>
  <conditionalFormatting sqref="H12">
    <cfRule type="cellIs" dxfId="28114" priority="162157" stopIfTrue="1" operator="lessThan">
      <formula>0.5</formula>
    </cfRule>
  </conditionalFormatting>
  <conditionalFormatting sqref="H12">
    <cfRule type="cellIs" dxfId="28113" priority="162158" stopIfTrue="1" operator="greaterThanOrEqual">
      <formula>0.5</formula>
    </cfRule>
  </conditionalFormatting>
  <conditionalFormatting sqref="H13">
    <cfRule type="cellIs" dxfId="28112" priority="162159" stopIfTrue="1" operator="equal">
      <formula>-1</formula>
    </cfRule>
  </conditionalFormatting>
  <conditionalFormatting sqref="H13">
    <cfRule type="cellIs" dxfId="28111" priority="162160" stopIfTrue="1" operator="lessThan">
      <formula>0.5</formula>
    </cfRule>
  </conditionalFormatting>
  <conditionalFormatting sqref="H13">
    <cfRule type="cellIs" dxfId="28110" priority="162161" stopIfTrue="1" operator="greaterThanOrEqual">
      <formula>0.5</formula>
    </cfRule>
  </conditionalFormatting>
  <conditionalFormatting sqref="H14">
    <cfRule type="cellIs" dxfId="28109" priority="162162" stopIfTrue="1" operator="equal">
      <formula>-1</formula>
    </cfRule>
  </conditionalFormatting>
  <conditionalFormatting sqref="H14">
    <cfRule type="cellIs" dxfId="28108" priority="162163" stopIfTrue="1" operator="lessThan">
      <formula>0.5</formula>
    </cfRule>
  </conditionalFormatting>
  <conditionalFormatting sqref="H14">
    <cfRule type="cellIs" dxfId="28107" priority="162164" stopIfTrue="1" operator="greaterThanOrEqual">
      <formula>0.5</formula>
    </cfRule>
  </conditionalFormatting>
  <conditionalFormatting sqref="H15">
    <cfRule type="cellIs" dxfId="28106" priority="162165" stopIfTrue="1" operator="equal">
      <formula>-1</formula>
    </cfRule>
  </conditionalFormatting>
  <conditionalFormatting sqref="H15">
    <cfRule type="cellIs" dxfId="28105" priority="162166" stopIfTrue="1" operator="lessThan">
      <formula>0.5</formula>
    </cfRule>
  </conditionalFormatting>
  <conditionalFormatting sqref="H15">
    <cfRule type="cellIs" dxfId="28104" priority="162167" stopIfTrue="1" operator="greaterThanOrEqual">
      <formula>0.5</formula>
    </cfRule>
  </conditionalFormatting>
  <conditionalFormatting sqref="J8">
    <cfRule type="cellIs" dxfId="28103" priority="162168" stopIfTrue="1" operator="equal">
      <formula>-1</formula>
    </cfRule>
  </conditionalFormatting>
  <conditionalFormatting sqref="J8">
    <cfRule type="cellIs" dxfId="28102" priority="162169" stopIfTrue="1" operator="lessThan">
      <formula>0.5</formula>
    </cfRule>
  </conditionalFormatting>
  <conditionalFormatting sqref="J8">
    <cfRule type="cellIs" dxfId="28101" priority="162170" stopIfTrue="1" operator="greaterThanOrEqual">
      <formula>0.5</formula>
    </cfRule>
  </conditionalFormatting>
  <conditionalFormatting sqref="J9">
    <cfRule type="cellIs" dxfId="28100" priority="162171" stopIfTrue="1" operator="equal">
      <formula>-1</formula>
    </cfRule>
  </conditionalFormatting>
  <conditionalFormatting sqref="J9">
    <cfRule type="cellIs" dxfId="28099" priority="162172" stopIfTrue="1" operator="lessThan">
      <formula>0.5</formula>
    </cfRule>
  </conditionalFormatting>
  <conditionalFormatting sqref="J9">
    <cfRule type="cellIs" dxfId="28098" priority="162173" stopIfTrue="1" operator="greaterThanOrEqual">
      <formula>0.5</formula>
    </cfRule>
  </conditionalFormatting>
  <conditionalFormatting sqref="J10">
    <cfRule type="cellIs" dxfId="28097" priority="162174" stopIfTrue="1" operator="equal">
      <formula>-1</formula>
    </cfRule>
  </conditionalFormatting>
  <conditionalFormatting sqref="J10">
    <cfRule type="cellIs" dxfId="28096" priority="162175" stopIfTrue="1" operator="lessThan">
      <formula>0.5</formula>
    </cfRule>
  </conditionalFormatting>
  <conditionalFormatting sqref="J10">
    <cfRule type="cellIs" dxfId="28095" priority="162176" stopIfTrue="1" operator="greaterThanOrEqual">
      <formula>0.5</formula>
    </cfRule>
  </conditionalFormatting>
  <conditionalFormatting sqref="J11">
    <cfRule type="cellIs" dxfId="28094" priority="162177" stopIfTrue="1" operator="equal">
      <formula>-1</formula>
    </cfRule>
  </conditionalFormatting>
  <conditionalFormatting sqref="J11">
    <cfRule type="cellIs" dxfId="28093" priority="162178" stopIfTrue="1" operator="lessThan">
      <formula>0.5</formula>
    </cfRule>
  </conditionalFormatting>
  <conditionalFormatting sqref="J11">
    <cfRule type="cellIs" dxfId="28092" priority="162179" stopIfTrue="1" operator="greaterThanOrEqual">
      <formula>0.5</formula>
    </cfRule>
  </conditionalFormatting>
  <conditionalFormatting sqref="J12">
    <cfRule type="cellIs" dxfId="28091" priority="162180" stopIfTrue="1" operator="equal">
      <formula>-1</formula>
    </cfRule>
  </conditionalFormatting>
  <conditionalFormatting sqref="J12">
    <cfRule type="cellIs" dxfId="28090" priority="162181" stopIfTrue="1" operator="lessThan">
      <formula>0.5</formula>
    </cfRule>
  </conditionalFormatting>
  <conditionalFormatting sqref="J12">
    <cfRule type="cellIs" dxfId="28089" priority="162182" stopIfTrue="1" operator="greaterThanOrEqual">
      <formula>0.5</formula>
    </cfRule>
  </conditionalFormatting>
  <conditionalFormatting sqref="J13">
    <cfRule type="cellIs" dxfId="28088" priority="162183" stopIfTrue="1" operator="equal">
      <formula>-1</formula>
    </cfRule>
  </conditionalFormatting>
  <conditionalFormatting sqref="J13">
    <cfRule type="cellIs" dxfId="28087" priority="162184" stopIfTrue="1" operator="lessThan">
      <formula>0.5</formula>
    </cfRule>
  </conditionalFormatting>
  <conditionalFormatting sqref="J13">
    <cfRule type="cellIs" dxfId="28086" priority="162185" stopIfTrue="1" operator="greaterThanOrEqual">
      <formula>0.5</formula>
    </cfRule>
  </conditionalFormatting>
  <conditionalFormatting sqref="J14">
    <cfRule type="cellIs" dxfId="28085" priority="162186" stopIfTrue="1" operator="equal">
      <formula>-1</formula>
    </cfRule>
  </conditionalFormatting>
  <conditionalFormatting sqref="J14">
    <cfRule type="cellIs" dxfId="28084" priority="162187" stopIfTrue="1" operator="lessThan">
      <formula>0.5</formula>
    </cfRule>
  </conditionalFormatting>
  <conditionalFormatting sqref="J14">
    <cfRule type="cellIs" dxfId="28083" priority="162188" stopIfTrue="1" operator="greaterThanOrEqual">
      <formula>0.5</formula>
    </cfRule>
  </conditionalFormatting>
  <conditionalFormatting sqref="J15">
    <cfRule type="cellIs" dxfId="28082" priority="162189" stopIfTrue="1" operator="equal">
      <formula>-1</formula>
    </cfRule>
  </conditionalFormatting>
  <conditionalFormatting sqref="J15">
    <cfRule type="cellIs" dxfId="28081" priority="162190" stopIfTrue="1" operator="lessThan">
      <formula>0.5</formula>
    </cfRule>
  </conditionalFormatting>
  <conditionalFormatting sqref="J15">
    <cfRule type="cellIs" dxfId="28080" priority="162191" stopIfTrue="1" operator="greaterThanOrEqual">
      <formula>0.5</formula>
    </cfRule>
  </conditionalFormatting>
  <conditionalFormatting sqref="L8">
    <cfRule type="cellIs" dxfId="28079" priority="162192" stopIfTrue="1" operator="equal">
      <formula>-1</formula>
    </cfRule>
  </conditionalFormatting>
  <conditionalFormatting sqref="L8">
    <cfRule type="cellIs" dxfId="28078" priority="162193" stopIfTrue="1" operator="lessThan">
      <formula>0.5</formula>
    </cfRule>
  </conditionalFormatting>
  <conditionalFormatting sqref="L8">
    <cfRule type="cellIs" dxfId="28077" priority="162194" stopIfTrue="1" operator="greaterThanOrEqual">
      <formula>0.5</formula>
    </cfRule>
  </conditionalFormatting>
  <conditionalFormatting sqref="L9">
    <cfRule type="cellIs" dxfId="28076" priority="162195" stopIfTrue="1" operator="equal">
      <formula>-1</formula>
    </cfRule>
  </conditionalFormatting>
  <conditionalFormatting sqref="L9">
    <cfRule type="cellIs" dxfId="28075" priority="162196" stopIfTrue="1" operator="lessThan">
      <formula>0.5</formula>
    </cfRule>
  </conditionalFormatting>
  <conditionalFormatting sqref="L9">
    <cfRule type="cellIs" dxfId="28074" priority="162197" stopIfTrue="1" operator="greaterThanOrEqual">
      <formula>0.5</formula>
    </cfRule>
  </conditionalFormatting>
  <conditionalFormatting sqref="L10">
    <cfRule type="cellIs" dxfId="28073" priority="162198" stopIfTrue="1" operator="equal">
      <formula>-1</formula>
    </cfRule>
  </conditionalFormatting>
  <conditionalFormatting sqref="L10">
    <cfRule type="cellIs" dxfId="28072" priority="162199" stopIfTrue="1" operator="lessThan">
      <formula>0.5</formula>
    </cfRule>
  </conditionalFormatting>
  <conditionalFormatting sqref="L10">
    <cfRule type="cellIs" dxfId="28071" priority="162200" stopIfTrue="1" operator="greaterThanOrEqual">
      <formula>0.5</formula>
    </cfRule>
  </conditionalFormatting>
  <conditionalFormatting sqref="L11">
    <cfRule type="cellIs" dxfId="28070" priority="162201" stopIfTrue="1" operator="equal">
      <formula>-1</formula>
    </cfRule>
  </conditionalFormatting>
  <conditionalFormatting sqref="L11">
    <cfRule type="cellIs" dxfId="28069" priority="162202" stopIfTrue="1" operator="lessThan">
      <formula>0.5</formula>
    </cfRule>
  </conditionalFormatting>
  <conditionalFormatting sqref="L11">
    <cfRule type="cellIs" dxfId="28068" priority="162203" stopIfTrue="1" operator="greaterThanOrEqual">
      <formula>0.5</formula>
    </cfRule>
  </conditionalFormatting>
  <conditionalFormatting sqref="L12">
    <cfRule type="cellIs" dxfId="28067" priority="162204" stopIfTrue="1" operator="equal">
      <formula>-1</formula>
    </cfRule>
  </conditionalFormatting>
  <conditionalFormatting sqref="L12">
    <cfRule type="cellIs" dxfId="28066" priority="162205" stopIfTrue="1" operator="lessThan">
      <formula>0.5</formula>
    </cfRule>
  </conditionalFormatting>
  <conditionalFormatting sqref="L12">
    <cfRule type="cellIs" dxfId="28065" priority="162206" stopIfTrue="1" operator="greaterThanOrEqual">
      <formula>0.5</formula>
    </cfRule>
  </conditionalFormatting>
  <conditionalFormatting sqref="L13">
    <cfRule type="cellIs" dxfId="28064" priority="162207" stopIfTrue="1" operator="equal">
      <formula>-1</formula>
    </cfRule>
  </conditionalFormatting>
  <conditionalFormatting sqref="L13">
    <cfRule type="cellIs" dxfId="28063" priority="162208" stopIfTrue="1" operator="lessThan">
      <formula>0.5</formula>
    </cfRule>
  </conditionalFormatting>
  <conditionalFormatting sqref="L13">
    <cfRule type="cellIs" dxfId="28062" priority="162209" stopIfTrue="1" operator="greaterThanOrEqual">
      <formula>0.5</formula>
    </cfRule>
  </conditionalFormatting>
  <conditionalFormatting sqref="L14">
    <cfRule type="cellIs" dxfId="28061" priority="162210" stopIfTrue="1" operator="equal">
      <formula>-1</formula>
    </cfRule>
  </conditionalFormatting>
  <conditionalFormatting sqref="L14">
    <cfRule type="cellIs" dxfId="28060" priority="162211" stopIfTrue="1" operator="lessThan">
      <formula>0.5</formula>
    </cfRule>
  </conditionalFormatting>
  <conditionalFormatting sqref="L14">
    <cfRule type="cellIs" dxfId="28059" priority="162212" stopIfTrue="1" operator="greaterThanOrEqual">
      <formula>0.5</formula>
    </cfRule>
  </conditionalFormatting>
  <conditionalFormatting sqref="L15">
    <cfRule type="cellIs" dxfId="28058" priority="162213" stopIfTrue="1" operator="equal">
      <formula>-1</formula>
    </cfRule>
  </conditionalFormatting>
  <conditionalFormatting sqref="L15">
    <cfRule type="cellIs" dxfId="28057" priority="162214" stopIfTrue="1" operator="lessThan">
      <formula>0.5</formula>
    </cfRule>
  </conditionalFormatting>
  <conditionalFormatting sqref="L15">
    <cfRule type="cellIs" dxfId="28056" priority="162215" stopIfTrue="1" operator="greaterThanOrEqual">
      <formula>0.5</formula>
    </cfRule>
  </conditionalFormatting>
  <conditionalFormatting sqref="N8">
    <cfRule type="cellIs" dxfId="28055" priority="162216" stopIfTrue="1" operator="equal">
      <formula>-1</formula>
    </cfRule>
  </conditionalFormatting>
  <conditionalFormatting sqref="N8">
    <cfRule type="cellIs" dxfId="28054" priority="162217" stopIfTrue="1" operator="lessThan">
      <formula>0.5</formula>
    </cfRule>
  </conditionalFormatting>
  <conditionalFormatting sqref="N8">
    <cfRule type="cellIs" dxfId="28053" priority="162218" stopIfTrue="1" operator="greaterThanOrEqual">
      <formula>0.5</formula>
    </cfRule>
  </conditionalFormatting>
  <conditionalFormatting sqref="N9">
    <cfRule type="cellIs" dxfId="28052" priority="162219" stopIfTrue="1" operator="equal">
      <formula>-1</formula>
    </cfRule>
  </conditionalFormatting>
  <conditionalFormatting sqref="N9">
    <cfRule type="cellIs" dxfId="28051" priority="162220" stopIfTrue="1" operator="lessThan">
      <formula>0.5</formula>
    </cfRule>
  </conditionalFormatting>
  <conditionalFormatting sqref="N9">
    <cfRule type="cellIs" dxfId="28050" priority="162221" stopIfTrue="1" operator="greaterThanOrEqual">
      <formula>0.5</formula>
    </cfRule>
  </conditionalFormatting>
  <conditionalFormatting sqref="N10">
    <cfRule type="cellIs" dxfId="28049" priority="162222" stopIfTrue="1" operator="equal">
      <formula>-1</formula>
    </cfRule>
  </conditionalFormatting>
  <conditionalFormatting sqref="N10">
    <cfRule type="cellIs" dxfId="28048" priority="162223" stopIfTrue="1" operator="lessThan">
      <formula>0.5</formula>
    </cfRule>
  </conditionalFormatting>
  <conditionalFormatting sqref="N10">
    <cfRule type="cellIs" dxfId="28047" priority="162224" stopIfTrue="1" operator="greaterThanOrEqual">
      <formula>0.5</formula>
    </cfRule>
  </conditionalFormatting>
  <conditionalFormatting sqref="N11">
    <cfRule type="cellIs" dxfId="28046" priority="162225" stopIfTrue="1" operator="equal">
      <formula>-1</formula>
    </cfRule>
  </conditionalFormatting>
  <conditionalFormatting sqref="N11">
    <cfRule type="cellIs" dxfId="28045" priority="162226" stopIfTrue="1" operator="lessThan">
      <formula>0.5</formula>
    </cfRule>
  </conditionalFormatting>
  <conditionalFormatting sqref="N11">
    <cfRule type="cellIs" dxfId="28044" priority="162227" stopIfTrue="1" operator="greaterThanOrEqual">
      <formula>0.5</formula>
    </cfRule>
  </conditionalFormatting>
  <conditionalFormatting sqref="N12">
    <cfRule type="cellIs" dxfId="28043" priority="162228" stopIfTrue="1" operator="equal">
      <formula>-1</formula>
    </cfRule>
  </conditionalFormatting>
  <conditionalFormatting sqref="N12">
    <cfRule type="cellIs" dxfId="28042" priority="162229" stopIfTrue="1" operator="lessThan">
      <formula>0.5</formula>
    </cfRule>
  </conditionalFormatting>
  <conditionalFormatting sqref="N12">
    <cfRule type="cellIs" dxfId="28041" priority="162230" stopIfTrue="1" operator="greaterThanOrEqual">
      <formula>0.5</formula>
    </cfRule>
  </conditionalFormatting>
  <conditionalFormatting sqref="N13">
    <cfRule type="cellIs" dxfId="28040" priority="162231" stopIfTrue="1" operator="equal">
      <formula>-1</formula>
    </cfRule>
  </conditionalFormatting>
  <conditionalFormatting sqref="N13">
    <cfRule type="cellIs" dxfId="28039" priority="162232" stopIfTrue="1" operator="lessThan">
      <formula>0.5</formula>
    </cfRule>
  </conditionalFormatting>
  <conditionalFormatting sqref="N13">
    <cfRule type="cellIs" dxfId="28038" priority="162233" stopIfTrue="1" operator="greaterThanOrEqual">
      <formula>0.5</formula>
    </cfRule>
  </conditionalFormatting>
  <conditionalFormatting sqref="N14">
    <cfRule type="cellIs" dxfId="28037" priority="162234" stopIfTrue="1" operator="equal">
      <formula>-1</formula>
    </cfRule>
  </conditionalFormatting>
  <conditionalFormatting sqref="N14">
    <cfRule type="cellIs" dxfId="28036" priority="162235" stopIfTrue="1" operator="lessThan">
      <formula>0.5</formula>
    </cfRule>
  </conditionalFormatting>
  <conditionalFormatting sqref="N14">
    <cfRule type="cellIs" dxfId="28035" priority="162236" stopIfTrue="1" operator="greaterThanOrEqual">
      <formula>0.5</formula>
    </cfRule>
  </conditionalFormatting>
  <conditionalFormatting sqref="N15">
    <cfRule type="cellIs" dxfId="28034" priority="162237" stopIfTrue="1" operator="equal">
      <formula>-1</formula>
    </cfRule>
  </conditionalFormatting>
  <conditionalFormatting sqref="N15">
    <cfRule type="cellIs" dxfId="28033" priority="162238" stopIfTrue="1" operator="lessThan">
      <formula>0.5</formula>
    </cfRule>
  </conditionalFormatting>
  <conditionalFormatting sqref="N15">
    <cfRule type="cellIs" dxfId="28032" priority="162239" stopIfTrue="1" operator="greaterThanOrEqual">
      <formula>0.5</formula>
    </cfRule>
  </conditionalFormatting>
  <conditionalFormatting sqref="P8">
    <cfRule type="cellIs" dxfId="28031" priority="162240" stopIfTrue="1" operator="equal">
      <formula>-1</formula>
    </cfRule>
  </conditionalFormatting>
  <conditionalFormatting sqref="P8">
    <cfRule type="cellIs" dxfId="28030" priority="162241" stopIfTrue="1" operator="lessThan">
      <formula>0.5</formula>
    </cfRule>
  </conditionalFormatting>
  <conditionalFormatting sqref="P8">
    <cfRule type="cellIs" dxfId="28029" priority="162242" stopIfTrue="1" operator="greaterThanOrEqual">
      <formula>0.5</formula>
    </cfRule>
  </conditionalFormatting>
  <conditionalFormatting sqref="P9">
    <cfRule type="cellIs" dxfId="28028" priority="162243" stopIfTrue="1" operator="equal">
      <formula>-1</formula>
    </cfRule>
  </conditionalFormatting>
  <conditionalFormatting sqref="P9">
    <cfRule type="cellIs" dxfId="28027" priority="162244" stopIfTrue="1" operator="lessThan">
      <formula>0.5</formula>
    </cfRule>
  </conditionalFormatting>
  <conditionalFormatting sqref="P9">
    <cfRule type="cellIs" dxfId="28026" priority="162245" stopIfTrue="1" operator="greaterThanOrEqual">
      <formula>0.5</formula>
    </cfRule>
  </conditionalFormatting>
  <conditionalFormatting sqref="P10">
    <cfRule type="cellIs" dxfId="28025" priority="162246" stopIfTrue="1" operator="equal">
      <formula>-1</formula>
    </cfRule>
  </conditionalFormatting>
  <conditionalFormatting sqref="P10">
    <cfRule type="cellIs" dxfId="28024" priority="162247" stopIfTrue="1" operator="lessThan">
      <formula>0.5</formula>
    </cfRule>
  </conditionalFormatting>
  <conditionalFormatting sqref="P10">
    <cfRule type="cellIs" dxfId="28023" priority="162248" stopIfTrue="1" operator="greaterThanOrEqual">
      <formula>0.5</formula>
    </cfRule>
  </conditionalFormatting>
  <conditionalFormatting sqref="P11">
    <cfRule type="cellIs" dxfId="28022" priority="162249" stopIfTrue="1" operator="equal">
      <formula>-1</formula>
    </cfRule>
  </conditionalFormatting>
  <conditionalFormatting sqref="P11">
    <cfRule type="cellIs" dxfId="28021" priority="162250" stopIfTrue="1" operator="lessThan">
      <formula>0.5</formula>
    </cfRule>
  </conditionalFormatting>
  <conditionalFormatting sqref="P11">
    <cfRule type="cellIs" dxfId="28020" priority="162251" stopIfTrue="1" operator="greaterThanOrEqual">
      <formula>0.5</formula>
    </cfRule>
  </conditionalFormatting>
  <conditionalFormatting sqref="P12">
    <cfRule type="cellIs" dxfId="28019" priority="162252" stopIfTrue="1" operator="equal">
      <formula>-1</formula>
    </cfRule>
  </conditionalFormatting>
  <conditionalFormatting sqref="P12">
    <cfRule type="cellIs" dxfId="28018" priority="162253" stopIfTrue="1" operator="lessThan">
      <formula>0.5</formula>
    </cfRule>
  </conditionalFormatting>
  <conditionalFormatting sqref="P12">
    <cfRule type="cellIs" dxfId="28017" priority="162254" stopIfTrue="1" operator="greaterThanOrEqual">
      <formula>0.5</formula>
    </cfRule>
  </conditionalFormatting>
  <conditionalFormatting sqref="P13">
    <cfRule type="cellIs" dxfId="28016" priority="162255" stopIfTrue="1" operator="equal">
      <formula>-1</formula>
    </cfRule>
  </conditionalFormatting>
  <conditionalFormatting sqref="P13">
    <cfRule type="cellIs" dxfId="28015" priority="162256" stopIfTrue="1" operator="lessThan">
      <formula>0.5</formula>
    </cfRule>
  </conditionalFormatting>
  <conditionalFormatting sqref="P13">
    <cfRule type="cellIs" dxfId="28014" priority="162257" stopIfTrue="1" operator="greaterThanOrEqual">
      <formula>0.5</formula>
    </cfRule>
  </conditionalFormatting>
  <conditionalFormatting sqref="P14">
    <cfRule type="cellIs" dxfId="28013" priority="162258" stopIfTrue="1" operator="equal">
      <formula>-1</formula>
    </cfRule>
  </conditionalFormatting>
  <conditionalFormatting sqref="P14">
    <cfRule type="cellIs" dxfId="28012" priority="162259" stopIfTrue="1" operator="lessThan">
      <formula>0.5</formula>
    </cfRule>
  </conditionalFormatting>
  <conditionalFormatting sqref="P14">
    <cfRule type="cellIs" dxfId="28011" priority="162260" stopIfTrue="1" operator="greaterThanOrEqual">
      <formula>0.5</formula>
    </cfRule>
  </conditionalFormatting>
  <conditionalFormatting sqref="P15">
    <cfRule type="cellIs" dxfId="28010" priority="162261" stopIfTrue="1" operator="equal">
      <formula>-1</formula>
    </cfRule>
  </conditionalFormatting>
  <conditionalFormatting sqref="P15">
    <cfRule type="cellIs" dxfId="28009" priority="162262" stopIfTrue="1" operator="lessThan">
      <formula>0.5</formula>
    </cfRule>
  </conditionalFormatting>
  <conditionalFormatting sqref="P15">
    <cfRule type="cellIs" dxfId="28008" priority="162263" stopIfTrue="1" operator="greaterThanOrEqual">
      <formula>0.5</formula>
    </cfRule>
  </conditionalFormatting>
  <conditionalFormatting sqref="R8">
    <cfRule type="cellIs" dxfId="28007" priority="162264" stopIfTrue="1" operator="equal">
      <formula>-1</formula>
    </cfRule>
  </conditionalFormatting>
  <conditionalFormatting sqref="R8">
    <cfRule type="cellIs" dxfId="28006" priority="162265" stopIfTrue="1" operator="lessThan">
      <formula>0.5</formula>
    </cfRule>
  </conditionalFormatting>
  <conditionalFormatting sqref="R8">
    <cfRule type="cellIs" dxfId="28005" priority="162266" stopIfTrue="1" operator="greaterThanOrEqual">
      <formula>0.5</formula>
    </cfRule>
  </conditionalFormatting>
  <conditionalFormatting sqref="R9">
    <cfRule type="cellIs" dxfId="28004" priority="162267" stopIfTrue="1" operator="equal">
      <formula>-1</formula>
    </cfRule>
  </conditionalFormatting>
  <conditionalFormatting sqref="R9">
    <cfRule type="cellIs" dxfId="28003" priority="162268" stopIfTrue="1" operator="lessThan">
      <formula>0.5</formula>
    </cfRule>
  </conditionalFormatting>
  <conditionalFormatting sqref="R9">
    <cfRule type="cellIs" dxfId="28002" priority="162269" stopIfTrue="1" operator="greaterThanOrEqual">
      <formula>0.5</formula>
    </cfRule>
  </conditionalFormatting>
  <conditionalFormatting sqref="R10">
    <cfRule type="cellIs" dxfId="28001" priority="162270" stopIfTrue="1" operator="equal">
      <formula>-1</formula>
    </cfRule>
  </conditionalFormatting>
  <conditionalFormatting sqref="R10">
    <cfRule type="cellIs" dxfId="28000" priority="162271" stopIfTrue="1" operator="lessThan">
      <formula>0.5</formula>
    </cfRule>
  </conditionalFormatting>
  <conditionalFormatting sqref="R10">
    <cfRule type="cellIs" dxfId="27999" priority="162272" stopIfTrue="1" operator="greaterThanOrEqual">
      <formula>0.5</formula>
    </cfRule>
  </conditionalFormatting>
  <conditionalFormatting sqref="R11">
    <cfRule type="cellIs" dxfId="27998" priority="162273" stopIfTrue="1" operator="equal">
      <formula>-1</formula>
    </cfRule>
  </conditionalFormatting>
  <conditionalFormatting sqref="R11">
    <cfRule type="cellIs" dxfId="27997" priority="162274" stopIfTrue="1" operator="lessThan">
      <formula>0.5</formula>
    </cfRule>
  </conditionalFormatting>
  <conditionalFormatting sqref="R11">
    <cfRule type="cellIs" dxfId="27996" priority="162275" stopIfTrue="1" operator="greaterThanOrEqual">
      <formula>0.5</formula>
    </cfRule>
  </conditionalFormatting>
  <conditionalFormatting sqref="R12">
    <cfRule type="cellIs" dxfId="27995" priority="162276" stopIfTrue="1" operator="equal">
      <formula>-1</formula>
    </cfRule>
  </conditionalFormatting>
  <conditionalFormatting sqref="R12">
    <cfRule type="cellIs" dxfId="27994" priority="162277" stopIfTrue="1" operator="lessThan">
      <formula>0.5</formula>
    </cfRule>
  </conditionalFormatting>
  <conditionalFormatting sqref="R12">
    <cfRule type="cellIs" dxfId="27993" priority="162278" stopIfTrue="1" operator="greaterThanOrEqual">
      <formula>0.5</formula>
    </cfRule>
  </conditionalFormatting>
  <conditionalFormatting sqref="R13">
    <cfRule type="cellIs" dxfId="27992" priority="162279" stopIfTrue="1" operator="equal">
      <formula>-1</formula>
    </cfRule>
  </conditionalFormatting>
  <conditionalFormatting sqref="R13">
    <cfRule type="cellIs" dxfId="27991" priority="162280" stopIfTrue="1" operator="lessThan">
      <formula>0.5</formula>
    </cfRule>
  </conditionalFormatting>
  <conditionalFormatting sqref="R13">
    <cfRule type="cellIs" dxfId="27990" priority="162281" stopIfTrue="1" operator="greaterThanOrEqual">
      <formula>0.5</formula>
    </cfRule>
  </conditionalFormatting>
  <conditionalFormatting sqref="R14">
    <cfRule type="cellIs" dxfId="27989" priority="162282" stopIfTrue="1" operator="equal">
      <formula>-1</formula>
    </cfRule>
  </conditionalFormatting>
  <conditionalFormatting sqref="R14">
    <cfRule type="cellIs" dxfId="27988" priority="162283" stopIfTrue="1" operator="lessThan">
      <formula>0.5</formula>
    </cfRule>
  </conditionalFormatting>
  <conditionalFormatting sqref="R14">
    <cfRule type="cellIs" dxfId="27987" priority="162284" stopIfTrue="1" operator="greaterThanOrEqual">
      <formula>0.5</formula>
    </cfRule>
  </conditionalFormatting>
  <conditionalFormatting sqref="R15">
    <cfRule type="cellIs" dxfId="27986" priority="162285" stopIfTrue="1" operator="equal">
      <formula>-1</formula>
    </cfRule>
  </conditionalFormatting>
  <conditionalFormatting sqref="R15">
    <cfRule type="cellIs" dxfId="27985" priority="162286" stopIfTrue="1" operator="lessThan">
      <formula>0.5</formula>
    </cfRule>
  </conditionalFormatting>
  <conditionalFormatting sqref="R15">
    <cfRule type="cellIs" dxfId="27984" priority="162287" stopIfTrue="1" operator="greaterThanOrEqual">
      <formula>0.5</formula>
    </cfRule>
  </conditionalFormatting>
  <conditionalFormatting sqref="T8">
    <cfRule type="cellIs" dxfId="27983" priority="162288" stopIfTrue="1" operator="equal">
      <formula>-1</formula>
    </cfRule>
  </conditionalFormatting>
  <conditionalFormatting sqref="T8">
    <cfRule type="cellIs" dxfId="27982" priority="162289" stopIfTrue="1" operator="lessThan">
      <formula>0.5</formula>
    </cfRule>
  </conditionalFormatting>
  <conditionalFormatting sqref="T8">
    <cfRule type="cellIs" dxfId="27981" priority="162290" stopIfTrue="1" operator="greaterThanOrEqual">
      <formula>0.5</formula>
    </cfRule>
  </conditionalFormatting>
  <conditionalFormatting sqref="T9">
    <cfRule type="cellIs" dxfId="27980" priority="162291" stopIfTrue="1" operator="equal">
      <formula>-1</formula>
    </cfRule>
  </conditionalFormatting>
  <conditionalFormatting sqref="T9">
    <cfRule type="cellIs" dxfId="27979" priority="162292" stopIfTrue="1" operator="lessThan">
      <formula>0.5</formula>
    </cfRule>
  </conditionalFormatting>
  <conditionalFormatting sqref="T9">
    <cfRule type="cellIs" dxfId="27978" priority="162293" stopIfTrue="1" operator="greaterThanOrEqual">
      <formula>0.5</formula>
    </cfRule>
  </conditionalFormatting>
  <conditionalFormatting sqref="T10">
    <cfRule type="cellIs" dxfId="27977" priority="162294" stopIfTrue="1" operator="equal">
      <formula>-1</formula>
    </cfRule>
  </conditionalFormatting>
  <conditionalFormatting sqref="T10">
    <cfRule type="cellIs" dxfId="27976" priority="162295" stopIfTrue="1" operator="lessThan">
      <formula>0.5</formula>
    </cfRule>
  </conditionalFormatting>
  <conditionalFormatting sqref="T10">
    <cfRule type="cellIs" dxfId="27975" priority="162296" stopIfTrue="1" operator="greaterThanOrEqual">
      <formula>0.5</formula>
    </cfRule>
  </conditionalFormatting>
  <conditionalFormatting sqref="T11">
    <cfRule type="cellIs" dxfId="27974" priority="162297" stopIfTrue="1" operator="equal">
      <formula>-1</formula>
    </cfRule>
  </conditionalFormatting>
  <conditionalFormatting sqref="T11">
    <cfRule type="cellIs" dxfId="27973" priority="162298" stopIfTrue="1" operator="lessThan">
      <formula>0.5</formula>
    </cfRule>
  </conditionalFormatting>
  <conditionalFormatting sqref="T11">
    <cfRule type="cellIs" dxfId="27972" priority="162299" stopIfTrue="1" operator="greaterThanOrEqual">
      <formula>0.5</formula>
    </cfRule>
  </conditionalFormatting>
  <conditionalFormatting sqref="T12">
    <cfRule type="cellIs" dxfId="27971" priority="162300" stopIfTrue="1" operator="equal">
      <formula>-1</formula>
    </cfRule>
  </conditionalFormatting>
  <conditionalFormatting sqref="T12">
    <cfRule type="cellIs" dxfId="27970" priority="162301" stopIfTrue="1" operator="lessThan">
      <formula>0.5</formula>
    </cfRule>
  </conditionalFormatting>
  <conditionalFormatting sqref="T12">
    <cfRule type="cellIs" dxfId="27969" priority="162302" stopIfTrue="1" operator="greaterThanOrEqual">
      <formula>0.5</formula>
    </cfRule>
  </conditionalFormatting>
  <conditionalFormatting sqref="T13">
    <cfRule type="cellIs" dxfId="27968" priority="162303" stopIfTrue="1" operator="equal">
      <formula>-1</formula>
    </cfRule>
  </conditionalFormatting>
  <conditionalFormatting sqref="T13">
    <cfRule type="cellIs" dxfId="27967" priority="162304" stopIfTrue="1" operator="lessThan">
      <formula>0.5</formula>
    </cfRule>
  </conditionalFormatting>
  <conditionalFormatting sqref="T13">
    <cfRule type="cellIs" dxfId="27966" priority="162305" stopIfTrue="1" operator="greaterThanOrEqual">
      <formula>0.5</formula>
    </cfRule>
  </conditionalFormatting>
  <conditionalFormatting sqref="T14">
    <cfRule type="cellIs" dxfId="27965" priority="162306" stopIfTrue="1" operator="equal">
      <formula>-1</formula>
    </cfRule>
  </conditionalFormatting>
  <conditionalFormatting sqref="T14">
    <cfRule type="cellIs" dxfId="27964" priority="162307" stopIfTrue="1" operator="lessThan">
      <formula>0.5</formula>
    </cfRule>
  </conditionalFormatting>
  <conditionalFormatting sqref="T14">
    <cfRule type="cellIs" dxfId="27963" priority="162308" stopIfTrue="1" operator="greaterThanOrEqual">
      <formula>0.5</formula>
    </cfRule>
  </conditionalFormatting>
  <conditionalFormatting sqref="T15">
    <cfRule type="cellIs" dxfId="27962" priority="162309" stopIfTrue="1" operator="equal">
      <formula>-1</formula>
    </cfRule>
  </conditionalFormatting>
  <conditionalFormatting sqref="T15">
    <cfRule type="cellIs" dxfId="27961" priority="162310" stopIfTrue="1" operator="lessThan">
      <formula>0.5</formula>
    </cfRule>
  </conditionalFormatting>
  <conditionalFormatting sqref="T15">
    <cfRule type="cellIs" dxfId="27960" priority="162311" stopIfTrue="1" operator="greaterThanOrEqual">
      <formula>0.5</formula>
    </cfRule>
  </conditionalFormatting>
  <conditionalFormatting sqref="V8">
    <cfRule type="cellIs" dxfId="27959" priority="162312" stopIfTrue="1" operator="equal">
      <formula>-1</formula>
    </cfRule>
  </conditionalFormatting>
  <conditionalFormatting sqref="V8">
    <cfRule type="cellIs" dxfId="27958" priority="162313" stopIfTrue="1" operator="lessThan">
      <formula>0.5</formula>
    </cfRule>
  </conditionalFormatting>
  <conditionalFormatting sqref="V8">
    <cfRule type="cellIs" dxfId="27957" priority="162314" stopIfTrue="1" operator="greaterThanOrEqual">
      <formula>0.5</formula>
    </cfRule>
  </conditionalFormatting>
  <conditionalFormatting sqref="V9">
    <cfRule type="cellIs" dxfId="27956" priority="162315" stopIfTrue="1" operator="equal">
      <formula>-1</formula>
    </cfRule>
  </conditionalFormatting>
  <conditionalFormatting sqref="V9">
    <cfRule type="cellIs" dxfId="27955" priority="162316" stopIfTrue="1" operator="lessThan">
      <formula>0.5</formula>
    </cfRule>
  </conditionalFormatting>
  <conditionalFormatting sqref="V9">
    <cfRule type="cellIs" dxfId="27954" priority="162317" stopIfTrue="1" operator="greaterThanOrEqual">
      <formula>0.5</formula>
    </cfRule>
  </conditionalFormatting>
  <conditionalFormatting sqref="V10">
    <cfRule type="cellIs" dxfId="27953" priority="162318" stopIfTrue="1" operator="equal">
      <formula>-1</formula>
    </cfRule>
  </conditionalFormatting>
  <conditionalFormatting sqref="V10">
    <cfRule type="cellIs" dxfId="27952" priority="162319" stopIfTrue="1" operator="lessThan">
      <formula>0.5</formula>
    </cfRule>
  </conditionalFormatting>
  <conditionalFormatting sqref="V10">
    <cfRule type="cellIs" dxfId="27951" priority="162320" stopIfTrue="1" operator="greaterThanOrEqual">
      <formula>0.5</formula>
    </cfRule>
  </conditionalFormatting>
  <conditionalFormatting sqref="V11">
    <cfRule type="cellIs" dxfId="27950" priority="162321" stopIfTrue="1" operator="equal">
      <formula>-1</formula>
    </cfRule>
  </conditionalFormatting>
  <conditionalFormatting sqref="V11">
    <cfRule type="cellIs" dxfId="27949" priority="162322" stopIfTrue="1" operator="lessThan">
      <formula>0.5</formula>
    </cfRule>
  </conditionalFormatting>
  <conditionalFormatting sqref="V11">
    <cfRule type="cellIs" dxfId="27948" priority="162323" stopIfTrue="1" operator="greaterThanOrEqual">
      <formula>0.5</formula>
    </cfRule>
  </conditionalFormatting>
  <conditionalFormatting sqref="V12">
    <cfRule type="cellIs" dxfId="27947" priority="162324" stopIfTrue="1" operator="equal">
      <formula>-1</formula>
    </cfRule>
  </conditionalFormatting>
  <conditionalFormatting sqref="V12">
    <cfRule type="cellIs" dxfId="27946" priority="162325" stopIfTrue="1" operator="lessThan">
      <formula>0.5</formula>
    </cfRule>
  </conditionalFormatting>
  <conditionalFormatting sqref="V12">
    <cfRule type="cellIs" dxfId="27945" priority="162326" stopIfTrue="1" operator="greaterThanOrEqual">
      <formula>0.5</formula>
    </cfRule>
  </conditionalFormatting>
  <conditionalFormatting sqref="V13">
    <cfRule type="cellIs" dxfId="27944" priority="162327" stopIfTrue="1" operator="equal">
      <formula>-1</formula>
    </cfRule>
  </conditionalFormatting>
  <conditionalFormatting sqref="V13">
    <cfRule type="cellIs" dxfId="27943" priority="162328" stopIfTrue="1" operator="lessThan">
      <formula>0.5</formula>
    </cfRule>
  </conditionalFormatting>
  <conditionalFormatting sqref="V13">
    <cfRule type="cellIs" dxfId="27942" priority="162329" stopIfTrue="1" operator="greaterThanOrEqual">
      <formula>0.5</formula>
    </cfRule>
  </conditionalFormatting>
  <conditionalFormatting sqref="V14">
    <cfRule type="cellIs" dxfId="27941" priority="162330" stopIfTrue="1" operator="equal">
      <formula>-1</formula>
    </cfRule>
  </conditionalFormatting>
  <conditionalFormatting sqref="V14">
    <cfRule type="cellIs" dxfId="27940" priority="162331" stopIfTrue="1" operator="lessThan">
      <formula>0.5</formula>
    </cfRule>
  </conditionalFormatting>
  <conditionalFormatting sqref="V14">
    <cfRule type="cellIs" dxfId="27939" priority="162332" stopIfTrue="1" operator="greaterThanOrEqual">
      <formula>0.5</formula>
    </cfRule>
  </conditionalFormatting>
  <conditionalFormatting sqref="V15">
    <cfRule type="cellIs" dxfId="27938" priority="162333" stopIfTrue="1" operator="equal">
      <formula>-1</formula>
    </cfRule>
  </conditionalFormatting>
  <conditionalFormatting sqref="V15">
    <cfRule type="cellIs" dxfId="27937" priority="162334" stopIfTrue="1" operator="lessThan">
      <formula>0.5</formula>
    </cfRule>
  </conditionalFormatting>
  <conditionalFormatting sqref="V15">
    <cfRule type="cellIs" dxfId="27936" priority="162335" stopIfTrue="1" operator="greaterThanOrEqual">
      <formula>0.5</formula>
    </cfRule>
  </conditionalFormatting>
  <conditionalFormatting sqref="X8">
    <cfRule type="cellIs" dxfId="27935" priority="162336" stopIfTrue="1" operator="equal">
      <formula>-1</formula>
    </cfRule>
  </conditionalFormatting>
  <conditionalFormatting sqref="X8">
    <cfRule type="cellIs" dxfId="27934" priority="162337" stopIfTrue="1" operator="lessThan">
      <formula>0.5</formula>
    </cfRule>
  </conditionalFormatting>
  <conditionalFormatting sqref="X8">
    <cfRule type="cellIs" dxfId="27933" priority="162338" stopIfTrue="1" operator="greaterThanOrEqual">
      <formula>0.5</formula>
    </cfRule>
  </conditionalFormatting>
  <conditionalFormatting sqref="X9">
    <cfRule type="cellIs" dxfId="27932" priority="162339" stopIfTrue="1" operator="equal">
      <formula>-1</formula>
    </cfRule>
  </conditionalFormatting>
  <conditionalFormatting sqref="X9">
    <cfRule type="cellIs" dxfId="27931" priority="162340" stopIfTrue="1" operator="lessThan">
      <formula>0.5</formula>
    </cfRule>
  </conditionalFormatting>
  <conditionalFormatting sqref="X9">
    <cfRule type="cellIs" dxfId="27930" priority="162341" stopIfTrue="1" operator="greaterThanOrEqual">
      <formula>0.5</formula>
    </cfRule>
  </conditionalFormatting>
  <conditionalFormatting sqref="X10">
    <cfRule type="cellIs" dxfId="27929" priority="162342" stopIfTrue="1" operator="equal">
      <formula>-1</formula>
    </cfRule>
  </conditionalFormatting>
  <conditionalFormatting sqref="X10">
    <cfRule type="cellIs" dxfId="27928" priority="162343" stopIfTrue="1" operator="lessThan">
      <formula>0.5</formula>
    </cfRule>
  </conditionalFormatting>
  <conditionalFormatting sqref="X10">
    <cfRule type="cellIs" dxfId="27927" priority="162344" stopIfTrue="1" operator="greaterThanOrEqual">
      <formula>0.5</formula>
    </cfRule>
  </conditionalFormatting>
  <conditionalFormatting sqref="X11">
    <cfRule type="cellIs" dxfId="27926" priority="162345" stopIfTrue="1" operator="equal">
      <formula>-1</formula>
    </cfRule>
  </conditionalFormatting>
  <conditionalFormatting sqref="X11">
    <cfRule type="cellIs" dxfId="27925" priority="162346" stopIfTrue="1" operator="lessThan">
      <formula>0.5</formula>
    </cfRule>
  </conditionalFormatting>
  <conditionalFormatting sqref="X11">
    <cfRule type="cellIs" dxfId="27924" priority="162347" stopIfTrue="1" operator="greaterThanOrEqual">
      <formula>0.5</formula>
    </cfRule>
  </conditionalFormatting>
  <conditionalFormatting sqref="X12">
    <cfRule type="cellIs" dxfId="27923" priority="162348" stopIfTrue="1" operator="equal">
      <formula>-1</formula>
    </cfRule>
  </conditionalFormatting>
  <conditionalFormatting sqref="X12">
    <cfRule type="cellIs" dxfId="27922" priority="162349" stopIfTrue="1" operator="lessThan">
      <formula>0.5</formula>
    </cfRule>
  </conditionalFormatting>
  <conditionalFormatting sqref="X12">
    <cfRule type="cellIs" dxfId="27921" priority="162350" stopIfTrue="1" operator="greaterThanOrEqual">
      <formula>0.5</formula>
    </cfRule>
  </conditionalFormatting>
  <conditionalFormatting sqref="X13">
    <cfRule type="cellIs" dxfId="27920" priority="162351" stopIfTrue="1" operator="equal">
      <formula>-1</formula>
    </cfRule>
  </conditionalFormatting>
  <conditionalFormatting sqref="X13">
    <cfRule type="cellIs" dxfId="27919" priority="162352" stopIfTrue="1" operator="lessThan">
      <formula>0.5</formula>
    </cfRule>
  </conditionalFormatting>
  <conditionalFormatting sqref="X13">
    <cfRule type="cellIs" dxfId="27918" priority="162353" stopIfTrue="1" operator="greaterThanOrEqual">
      <formula>0.5</formula>
    </cfRule>
  </conditionalFormatting>
  <conditionalFormatting sqref="X14">
    <cfRule type="cellIs" dxfId="27917" priority="162354" stopIfTrue="1" operator="equal">
      <formula>-1</formula>
    </cfRule>
  </conditionalFormatting>
  <conditionalFormatting sqref="X14">
    <cfRule type="cellIs" dxfId="27916" priority="162355" stopIfTrue="1" operator="lessThan">
      <formula>0.5</formula>
    </cfRule>
  </conditionalFormatting>
  <conditionalFormatting sqref="X14">
    <cfRule type="cellIs" dxfId="27915" priority="162356" stopIfTrue="1" operator="greaterThanOrEqual">
      <formula>0.5</formula>
    </cfRule>
  </conditionalFormatting>
  <conditionalFormatting sqref="X15">
    <cfRule type="cellIs" dxfId="27914" priority="162357" stopIfTrue="1" operator="equal">
      <formula>-1</formula>
    </cfRule>
  </conditionalFormatting>
  <conditionalFormatting sqref="X15">
    <cfRule type="cellIs" dxfId="27913" priority="162358" stopIfTrue="1" operator="lessThan">
      <formula>0.5</formula>
    </cfRule>
  </conditionalFormatting>
  <conditionalFormatting sqref="X15">
    <cfRule type="cellIs" dxfId="27912" priority="162359" stopIfTrue="1" operator="greaterThanOrEqual">
      <formula>0.5</formula>
    </cfRule>
  </conditionalFormatting>
  <conditionalFormatting sqref="Z8">
    <cfRule type="cellIs" dxfId="27911" priority="162360" stopIfTrue="1" operator="equal">
      <formula>-1</formula>
    </cfRule>
  </conditionalFormatting>
  <conditionalFormatting sqref="Z8">
    <cfRule type="cellIs" dxfId="27910" priority="162361" stopIfTrue="1" operator="lessThan">
      <formula>0.5</formula>
    </cfRule>
  </conditionalFormatting>
  <conditionalFormatting sqref="Z8">
    <cfRule type="cellIs" dxfId="27909" priority="162362" stopIfTrue="1" operator="greaterThanOrEqual">
      <formula>0.5</formula>
    </cfRule>
  </conditionalFormatting>
  <conditionalFormatting sqref="Z9">
    <cfRule type="cellIs" dxfId="27908" priority="162363" stopIfTrue="1" operator="equal">
      <formula>-1</formula>
    </cfRule>
  </conditionalFormatting>
  <conditionalFormatting sqref="Z9">
    <cfRule type="cellIs" dxfId="27907" priority="162364" stopIfTrue="1" operator="lessThan">
      <formula>0.5</formula>
    </cfRule>
  </conditionalFormatting>
  <conditionalFormatting sqref="Z9">
    <cfRule type="cellIs" dxfId="27906" priority="162365" stopIfTrue="1" operator="greaterThanOrEqual">
      <formula>0.5</formula>
    </cfRule>
  </conditionalFormatting>
  <conditionalFormatting sqref="Z10">
    <cfRule type="cellIs" dxfId="27905" priority="162366" stopIfTrue="1" operator="equal">
      <formula>-1</formula>
    </cfRule>
  </conditionalFormatting>
  <conditionalFormatting sqref="Z10">
    <cfRule type="cellIs" dxfId="27904" priority="162367" stopIfTrue="1" operator="lessThan">
      <formula>0.5</formula>
    </cfRule>
  </conditionalFormatting>
  <conditionalFormatting sqref="Z10">
    <cfRule type="cellIs" dxfId="27903" priority="162368" stopIfTrue="1" operator="greaterThanOrEqual">
      <formula>0.5</formula>
    </cfRule>
  </conditionalFormatting>
  <conditionalFormatting sqref="Z11">
    <cfRule type="cellIs" dxfId="27902" priority="162369" stopIfTrue="1" operator="equal">
      <formula>-1</formula>
    </cfRule>
  </conditionalFormatting>
  <conditionalFormatting sqref="Z11">
    <cfRule type="cellIs" dxfId="27901" priority="162370" stopIfTrue="1" operator="lessThan">
      <formula>0.5</formula>
    </cfRule>
  </conditionalFormatting>
  <conditionalFormatting sqref="Z11">
    <cfRule type="cellIs" dxfId="27900" priority="162371" stopIfTrue="1" operator="greaterThanOrEqual">
      <formula>0.5</formula>
    </cfRule>
  </conditionalFormatting>
  <conditionalFormatting sqref="Z12">
    <cfRule type="cellIs" dxfId="27899" priority="162372" stopIfTrue="1" operator="equal">
      <formula>-1</formula>
    </cfRule>
  </conditionalFormatting>
  <conditionalFormatting sqref="Z12">
    <cfRule type="cellIs" dxfId="27898" priority="162373" stopIfTrue="1" operator="lessThan">
      <formula>0.5</formula>
    </cfRule>
  </conditionalFormatting>
  <conditionalFormatting sqref="Z12">
    <cfRule type="cellIs" dxfId="27897" priority="162374" stopIfTrue="1" operator="greaterThanOrEqual">
      <formula>0.5</formula>
    </cfRule>
  </conditionalFormatting>
  <conditionalFormatting sqref="Z13">
    <cfRule type="cellIs" dxfId="27896" priority="162375" stopIfTrue="1" operator="equal">
      <formula>-1</formula>
    </cfRule>
  </conditionalFormatting>
  <conditionalFormatting sqref="Z13">
    <cfRule type="cellIs" dxfId="27895" priority="162376" stopIfTrue="1" operator="lessThan">
      <formula>0.5</formula>
    </cfRule>
  </conditionalFormatting>
  <conditionalFormatting sqref="Z13">
    <cfRule type="cellIs" dxfId="27894" priority="162377" stopIfTrue="1" operator="greaterThanOrEqual">
      <formula>0.5</formula>
    </cfRule>
  </conditionalFormatting>
  <conditionalFormatting sqref="Z14">
    <cfRule type="cellIs" dxfId="27893" priority="162378" stopIfTrue="1" operator="equal">
      <formula>-1</formula>
    </cfRule>
  </conditionalFormatting>
  <conditionalFormatting sqref="Z14">
    <cfRule type="cellIs" dxfId="27892" priority="162379" stopIfTrue="1" operator="lessThan">
      <formula>0.5</formula>
    </cfRule>
  </conditionalFormatting>
  <conditionalFormatting sqref="Z14">
    <cfRule type="cellIs" dxfId="27891" priority="162380" stopIfTrue="1" operator="greaterThanOrEqual">
      <formula>0.5</formula>
    </cfRule>
  </conditionalFormatting>
  <conditionalFormatting sqref="Z15">
    <cfRule type="cellIs" dxfId="27890" priority="162381" stopIfTrue="1" operator="equal">
      <formula>-1</formula>
    </cfRule>
  </conditionalFormatting>
  <conditionalFormatting sqref="Z15">
    <cfRule type="cellIs" dxfId="27889" priority="162382" stopIfTrue="1" operator="lessThan">
      <formula>0.5</formula>
    </cfRule>
  </conditionalFormatting>
  <conditionalFormatting sqref="Z15">
    <cfRule type="cellIs" dxfId="27888" priority="162383" stopIfTrue="1" operator="greaterThanOrEqual">
      <formula>0.5</formula>
    </cfRule>
  </conditionalFormatting>
  <conditionalFormatting sqref="AB8">
    <cfRule type="cellIs" dxfId="27887" priority="162384" stopIfTrue="1" operator="equal">
      <formula>-1</formula>
    </cfRule>
  </conditionalFormatting>
  <conditionalFormatting sqref="AB8">
    <cfRule type="cellIs" dxfId="27886" priority="162385" stopIfTrue="1" operator="lessThan">
      <formula>0.5</formula>
    </cfRule>
  </conditionalFormatting>
  <conditionalFormatting sqref="AB8">
    <cfRule type="cellIs" dxfId="27885" priority="162386" stopIfTrue="1" operator="greaterThanOrEqual">
      <formula>0.5</formula>
    </cfRule>
  </conditionalFormatting>
  <conditionalFormatting sqref="AB9">
    <cfRule type="cellIs" dxfId="27884" priority="162387" stopIfTrue="1" operator="equal">
      <formula>-1</formula>
    </cfRule>
  </conditionalFormatting>
  <conditionalFormatting sqref="AB9">
    <cfRule type="cellIs" dxfId="27883" priority="162388" stopIfTrue="1" operator="lessThan">
      <formula>0.5</formula>
    </cfRule>
  </conditionalFormatting>
  <conditionalFormatting sqref="AB9">
    <cfRule type="cellIs" dxfId="27882" priority="162389" stopIfTrue="1" operator="greaterThanOrEqual">
      <formula>0.5</formula>
    </cfRule>
  </conditionalFormatting>
  <conditionalFormatting sqref="AB10">
    <cfRule type="cellIs" dxfId="27881" priority="162390" stopIfTrue="1" operator="equal">
      <formula>-1</formula>
    </cfRule>
  </conditionalFormatting>
  <conditionalFormatting sqref="AB10">
    <cfRule type="cellIs" dxfId="27880" priority="162391" stopIfTrue="1" operator="lessThan">
      <formula>0.5</formula>
    </cfRule>
  </conditionalFormatting>
  <conditionalFormatting sqref="AB10">
    <cfRule type="cellIs" dxfId="27879" priority="162392" stopIfTrue="1" operator="greaterThanOrEqual">
      <formula>0.5</formula>
    </cfRule>
  </conditionalFormatting>
  <conditionalFormatting sqref="AB11">
    <cfRule type="cellIs" dxfId="27878" priority="162393" stopIfTrue="1" operator="equal">
      <formula>-1</formula>
    </cfRule>
  </conditionalFormatting>
  <conditionalFormatting sqref="AB11">
    <cfRule type="cellIs" dxfId="27877" priority="162394" stopIfTrue="1" operator="lessThan">
      <formula>0.5</formula>
    </cfRule>
  </conditionalFormatting>
  <conditionalFormatting sqref="AB11">
    <cfRule type="cellIs" dxfId="27876" priority="162395" stopIfTrue="1" operator="greaterThanOrEqual">
      <formula>0.5</formula>
    </cfRule>
  </conditionalFormatting>
  <conditionalFormatting sqref="AB12">
    <cfRule type="cellIs" dxfId="27875" priority="162396" stopIfTrue="1" operator="equal">
      <formula>-1</formula>
    </cfRule>
  </conditionalFormatting>
  <conditionalFormatting sqref="AB12">
    <cfRule type="cellIs" dxfId="27874" priority="162397" stopIfTrue="1" operator="lessThan">
      <formula>0.5</formula>
    </cfRule>
  </conditionalFormatting>
  <conditionalFormatting sqref="AB12">
    <cfRule type="cellIs" dxfId="27873" priority="162398" stopIfTrue="1" operator="greaterThanOrEqual">
      <formula>0.5</formula>
    </cfRule>
  </conditionalFormatting>
  <conditionalFormatting sqref="AB13">
    <cfRule type="cellIs" dxfId="27872" priority="162399" stopIfTrue="1" operator="equal">
      <formula>-1</formula>
    </cfRule>
  </conditionalFormatting>
  <conditionalFormatting sqref="AB13">
    <cfRule type="cellIs" dxfId="27871" priority="162400" stopIfTrue="1" operator="lessThan">
      <formula>0.5</formula>
    </cfRule>
  </conditionalFormatting>
  <conditionalFormatting sqref="AB13">
    <cfRule type="cellIs" dxfId="27870" priority="162401" stopIfTrue="1" operator="greaterThanOrEqual">
      <formula>0.5</formula>
    </cfRule>
  </conditionalFormatting>
  <conditionalFormatting sqref="AB14">
    <cfRule type="cellIs" dxfId="27869" priority="162402" stopIfTrue="1" operator="equal">
      <formula>-1</formula>
    </cfRule>
  </conditionalFormatting>
  <conditionalFormatting sqref="AB14">
    <cfRule type="cellIs" dxfId="27868" priority="162403" stopIfTrue="1" operator="lessThan">
      <formula>0.5</formula>
    </cfRule>
  </conditionalFormatting>
  <conditionalFormatting sqref="AB14">
    <cfRule type="cellIs" dxfId="27867" priority="162404" stopIfTrue="1" operator="greaterThanOrEqual">
      <formula>0.5</formula>
    </cfRule>
  </conditionalFormatting>
  <conditionalFormatting sqref="AB15">
    <cfRule type="cellIs" dxfId="27866" priority="162405" stopIfTrue="1" operator="equal">
      <formula>-1</formula>
    </cfRule>
  </conditionalFormatting>
  <conditionalFormatting sqref="AB15">
    <cfRule type="cellIs" dxfId="27865" priority="162406" stopIfTrue="1" operator="lessThan">
      <formula>0.5</formula>
    </cfRule>
  </conditionalFormatting>
  <conditionalFormatting sqref="AB15">
    <cfRule type="cellIs" dxfId="27864" priority="162407" stopIfTrue="1" operator="greaterThanOrEqual">
      <formula>0.5</formula>
    </cfRule>
  </conditionalFormatting>
  <conditionalFormatting sqref="AD8">
    <cfRule type="cellIs" dxfId="27863" priority="162408" stopIfTrue="1" operator="equal">
      <formula>-1</formula>
    </cfRule>
  </conditionalFormatting>
  <conditionalFormatting sqref="AD8">
    <cfRule type="cellIs" dxfId="27862" priority="162409" stopIfTrue="1" operator="lessThan">
      <formula>0.5</formula>
    </cfRule>
  </conditionalFormatting>
  <conditionalFormatting sqref="AD8">
    <cfRule type="cellIs" dxfId="27861" priority="162410" stopIfTrue="1" operator="greaterThanOrEqual">
      <formula>0.5</formula>
    </cfRule>
  </conditionalFormatting>
  <conditionalFormatting sqref="AD9">
    <cfRule type="cellIs" dxfId="27860" priority="162411" stopIfTrue="1" operator="equal">
      <formula>-1</formula>
    </cfRule>
  </conditionalFormatting>
  <conditionalFormatting sqref="AD9">
    <cfRule type="cellIs" dxfId="27859" priority="162412" stopIfTrue="1" operator="lessThan">
      <formula>0.5</formula>
    </cfRule>
  </conditionalFormatting>
  <conditionalFormatting sqref="AD9">
    <cfRule type="cellIs" dxfId="27858" priority="162413" stopIfTrue="1" operator="greaterThanOrEqual">
      <formula>0.5</formula>
    </cfRule>
  </conditionalFormatting>
  <conditionalFormatting sqref="AD10">
    <cfRule type="cellIs" dxfId="27857" priority="162414" stopIfTrue="1" operator="equal">
      <formula>-1</formula>
    </cfRule>
  </conditionalFormatting>
  <conditionalFormatting sqref="AD10">
    <cfRule type="cellIs" dxfId="27856" priority="162415" stopIfTrue="1" operator="lessThan">
      <formula>0.5</formula>
    </cfRule>
  </conditionalFormatting>
  <conditionalFormatting sqref="AD10">
    <cfRule type="cellIs" dxfId="27855" priority="162416" stopIfTrue="1" operator="greaterThanOrEqual">
      <formula>0.5</formula>
    </cfRule>
  </conditionalFormatting>
  <conditionalFormatting sqref="AD11">
    <cfRule type="cellIs" dxfId="27854" priority="162417" stopIfTrue="1" operator="equal">
      <formula>-1</formula>
    </cfRule>
  </conditionalFormatting>
  <conditionalFormatting sqref="AD11">
    <cfRule type="cellIs" dxfId="27853" priority="162418" stopIfTrue="1" operator="lessThan">
      <formula>0.5</formula>
    </cfRule>
  </conditionalFormatting>
  <conditionalFormatting sqref="AD11">
    <cfRule type="cellIs" dxfId="27852" priority="162419" stopIfTrue="1" operator="greaterThanOrEqual">
      <formula>0.5</formula>
    </cfRule>
  </conditionalFormatting>
  <conditionalFormatting sqref="AD12">
    <cfRule type="cellIs" dxfId="27851" priority="162420" stopIfTrue="1" operator="equal">
      <formula>-1</formula>
    </cfRule>
  </conditionalFormatting>
  <conditionalFormatting sqref="AD12">
    <cfRule type="cellIs" dxfId="27850" priority="162421" stopIfTrue="1" operator="lessThan">
      <formula>0.5</formula>
    </cfRule>
  </conditionalFormatting>
  <conditionalFormatting sqref="AD12">
    <cfRule type="cellIs" dxfId="27849" priority="162422" stopIfTrue="1" operator="greaterThanOrEqual">
      <formula>0.5</formula>
    </cfRule>
  </conditionalFormatting>
  <conditionalFormatting sqref="AD13">
    <cfRule type="cellIs" dxfId="27848" priority="162423" stopIfTrue="1" operator="equal">
      <formula>-1</formula>
    </cfRule>
  </conditionalFormatting>
  <conditionalFormatting sqref="AD13">
    <cfRule type="cellIs" dxfId="27847" priority="162424" stopIfTrue="1" operator="lessThan">
      <formula>0.5</formula>
    </cfRule>
  </conditionalFormatting>
  <conditionalFormatting sqref="AD13">
    <cfRule type="cellIs" dxfId="27846" priority="162425" stopIfTrue="1" operator="greaterThanOrEqual">
      <formula>0.5</formula>
    </cfRule>
  </conditionalFormatting>
  <conditionalFormatting sqref="AD14">
    <cfRule type="cellIs" dxfId="27845" priority="162426" stopIfTrue="1" operator="equal">
      <formula>-1</formula>
    </cfRule>
  </conditionalFormatting>
  <conditionalFormatting sqref="AD14">
    <cfRule type="cellIs" dxfId="27844" priority="162427" stopIfTrue="1" operator="lessThan">
      <formula>0.5</formula>
    </cfRule>
  </conditionalFormatting>
  <conditionalFormatting sqref="AD14">
    <cfRule type="cellIs" dxfId="27843" priority="162428" stopIfTrue="1" operator="greaterThanOrEqual">
      <formula>0.5</formula>
    </cfRule>
  </conditionalFormatting>
  <conditionalFormatting sqref="AD15">
    <cfRule type="cellIs" dxfId="27842" priority="162429" stopIfTrue="1" operator="equal">
      <formula>-1</formula>
    </cfRule>
  </conditionalFormatting>
  <conditionalFormatting sqref="AD15">
    <cfRule type="cellIs" dxfId="27841" priority="162430" stopIfTrue="1" operator="lessThan">
      <formula>0.5</formula>
    </cfRule>
  </conditionalFormatting>
  <conditionalFormatting sqref="AD15">
    <cfRule type="cellIs" dxfId="27840" priority="162431" stopIfTrue="1" operator="greaterThanOrEqual">
      <formula>0.5</formula>
    </cfRule>
  </conditionalFormatting>
  <conditionalFormatting sqref="AF8">
    <cfRule type="cellIs" dxfId="27839" priority="162432" stopIfTrue="1" operator="equal">
      <formula>-1</formula>
    </cfRule>
  </conditionalFormatting>
  <conditionalFormatting sqref="AF8">
    <cfRule type="cellIs" dxfId="27838" priority="162433" stopIfTrue="1" operator="lessThan">
      <formula>0.5</formula>
    </cfRule>
  </conditionalFormatting>
  <conditionalFormatting sqref="AF8">
    <cfRule type="cellIs" dxfId="27837" priority="162434" stopIfTrue="1" operator="greaterThanOrEqual">
      <formula>0.5</formula>
    </cfRule>
  </conditionalFormatting>
  <conditionalFormatting sqref="AF9">
    <cfRule type="cellIs" dxfId="27836" priority="162435" stopIfTrue="1" operator="equal">
      <formula>-1</formula>
    </cfRule>
  </conditionalFormatting>
  <conditionalFormatting sqref="AF9">
    <cfRule type="cellIs" dxfId="27835" priority="162436" stopIfTrue="1" operator="lessThan">
      <formula>0.5</formula>
    </cfRule>
  </conditionalFormatting>
  <conditionalFormatting sqref="AF9">
    <cfRule type="cellIs" dxfId="27834" priority="162437" stopIfTrue="1" operator="greaterThanOrEqual">
      <formula>0.5</formula>
    </cfRule>
  </conditionalFormatting>
  <conditionalFormatting sqref="AF10">
    <cfRule type="cellIs" dxfId="27833" priority="162438" stopIfTrue="1" operator="equal">
      <formula>-1</formula>
    </cfRule>
  </conditionalFormatting>
  <conditionalFormatting sqref="AF10">
    <cfRule type="cellIs" dxfId="27832" priority="162439" stopIfTrue="1" operator="lessThan">
      <formula>0.5</formula>
    </cfRule>
  </conditionalFormatting>
  <conditionalFormatting sqref="AF10">
    <cfRule type="cellIs" dxfId="27831" priority="162440" stopIfTrue="1" operator="greaterThanOrEqual">
      <formula>0.5</formula>
    </cfRule>
  </conditionalFormatting>
  <conditionalFormatting sqref="AF11">
    <cfRule type="cellIs" dxfId="27830" priority="162441" stopIfTrue="1" operator="equal">
      <formula>-1</formula>
    </cfRule>
  </conditionalFormatting>
  <conditionalFormatting sqref="AF11">
    <cfRule type="cellIs" dxfId="27829" priority="162442" stopIfTrue="1" operator="lessThan">
      <formula>0.5</formula>
    </cfRule>
  </conditionalFormatting>
  <conditionalFormatting sqref="AF11">
    <cfRule type="cellIs" dxfId="27828" priority="162443" stopIfTrue="1" operator="greaterThanOrEqual">
      <formula>0.5</formula>
    </cfRule>
  </conditionalFormatting>
  <conditionalFormatting sqref="AF12">
    <cfRule type="cellIs" dxfId="27827" priority="162444" stopIfTrue="1" operator="equal">
      <formula>-1</formula>
    </cfRule>
  </conditionalFormatting>
  <conditionalFormatting sqref="AF12">
    <cfRule type="cellIs" dxfId="27826" priority="162445" stopIfTrue="1" operator="lessThan">
      <formula>0.5</formula>
    </cfRule>
  </conditionalFormatting>
  <conditionalFormatting sqref="AF12">
    <cfRule type="cellIs" dxfId="27825" priority="162446" stopIfTrue="1" operator="greaterThanOrEqual">
      <formula>0.5</formula>
    </cfRule>
  </conditionalFormatting>
  <conditionalFormatting sqref="AF13">
    <cfRule type="cellIs" dxfId="27824" priority="162447" stopIfTrue="1" operator="equal">
      <formula>-1</formula>
    </cfRule>
  </conditionalFormatting>
  <conditionalFormatting sqref="AF13">
    <cfRule type="cellIs" dxfId="27823" priority="162448" stopIfTrue="1" operator="lessThan">
      <formula>0.5</formula>
    </cfRule>
  </conditionalFormatting>
  <conditionalFormatting sqref="AF13">
    <cfRule type="cellIs" dxfId="27822" priority="162449" stopIfTrue="1" operator="greaterThanOrEqual">
      <formula>0.5</formula>
    </cfRule>
  </conditionalFormatting>
  <conditionalFormatting sqref="AF14">
    <cfRule type="cellIs" dxfId="27821" priority="162450" stopIfTrue="1" operator="equal">
      <formula>-1</formula>
    </cfRule>
  </conditionalFormatting>
  <conditionalFormatting sqref="AF14">
    <cfRule type="cellIs" dxfId="27820" priority="162451" stopIfTrue="1" operator="lessThan">
      <formula>0.5</formula>
    </cfRule>
  </conditionalFormatting>
  <conditionalFormatting sqref="AF14">
    <cfRule type="cellIs" dxfId="27819" priority="162452" stopIfTrue="1" operator="greaterThanOrEqual">
      <formula>0.5</formula>
    </cfRule>
  </conditionalFormatting>
  <conditionalFormatting sqref="AF15">
    <cfRule type="cellIs" dxfId="27818" priority="162453" stopIfTrue="1" operator="equal">
      <formula>-1</formula>
    </cfRule>
  </conditionalFormatting>
  <conditionalFormatting sqref="AF15">
    <cfRule type="cellIs" dxfId="27817" priority="162454" stopIfTrue="1" operator="lessThan">
      <formula>0.5</formula>
    </cfRule>
  </conditionalFormatting>
  <conditionalFormatting sqref="AF15">
    <cfRule type="cellIs" dxfId="27816" priority="162455" stopIfTrue="1" operator="greaterThanOrEqual">
      <formula>0.5</formula>
    </cfRule>
  </conditionalFormatting>
  <conditionalFormatting sqref="AH8">
    <cfRule type="cellIs" dxfId="27815" priority="162456" stopIfTrue="1" operator="equal">
      <formula>-1</formula>
    </cfRule>
  </conditionalFormatting>
  <conditionalFormatting sqref="AH8">
    <cfRule type="cellIs" dxfId="27814" priority="162457" stopIfTrue="1" operator="lessThan">
      <formula>0.5</formula>
    </cfRule>
  </conditionalFormatting>
  <conditionalFormatting sqref="AH8">
    <cfRule type="cellIs" dxfId="27813" priority="162458" stopIfTrue="1" operator="greaterThanOrEqual">
      <formula>0.5</formula>
    </cfRule>
  </conditionalFormatting>
  <conditionalFormatting sqref="AH9">
    <cfRule type="cellIs" dxfId="27812" priority="162459" stopIfTrue="1" operator="equal">
      <formula>-1</formula>
    </cfRule>
  </conditionalFormatting>
  <conditionalFormatting sqref="AH9">
    <cfRule type="cellIs" dxfId="27811" priority="162460" stopIfTrue="1" operator="lessThan">
      <formula>0.5</formula>
    </cfRule>
  </conditionalFormatting>
  <conditionalFormatting sqref="AH9">
    <cfRule type="cellIs" dxfId="27810" priority="162461" stopIfTrue="1" operator="greaterThanOrEqual">
      <formula>0.5</formula>
    </cfRule>
  </conditionalFormatting>
  <conditionalFormatting sqref="AH10">
    <cfRule type="cellIs" dxfId="27809" priority="162462" stopIfTrue="1" operator="equal">
      <formula>-1</formula>
    </cfRule>
  </conditionalFormatting>
  <conditionalFormatting sqref="AH10">
    <cfRule type="cellIs" dxfId="27808" priority="162463" stopIfTrue="1" operator="lessThan">
      <formula>0.5</formula>
    </cfRule>
  </conditionalFormatting>
  <conditionalFormatting sqref="AH10">
    <cfRule type="cellIs" dxfId="27807" priority="162464" stopIfTrue="1" operator="greaterThanOrEqual">
      <formula>0.5</formula>
    </cfRule>
  </conditionalFormatting>
  <conditionalFormatting sqref="AH11">
    <cfRule type="cellIs" dxfId="27806" priority="162465" stopIfTrue="1" operator="equal">
      <formula>-1</formula>
    </cfRule>
  </conditionalFormatting>
  <conditionalFormatting sqref="AH11">
    <cfRule type="cellIs" dxfId="27805" priority="162466" stopIfTrue="1" operator="lessThan">
      <formula>0.5</formula>
    </cfRule>
  </conditionalFormatting>
  <conditionalFormatting sqref="AH11">
    <cfRule type="cellIs" dxfId="27804" priority="162467" stopIfTrue="1" operator="greaterThanOrEqual">
      <formula>0.5</formula>
    </cfRule>
  </conditionalFormatting>
  <conditionalFormatting sqref="AH12">
    <cfRule type="cellIs" dxfId="27803" priority="162468" stopIfTrue="1" operator="equal">
      <formula>-1</formula>
    </cfRule>
  </conditionalFormatting>
  <conditionalFormatting sqref="AH12">
    <cfRule type="cellIs" dxfId="27802" priority="162469" stopIfTrue="1" operator="lessThan">
      <formula>0.5</formula>
    </cfRule>
  </conditionalFormatting>
  <conditionalFormatting sqref="AH12">
    <cfRule type="cellIs" dxfId="27801" priority="162470" stopIfTrue="1" operator="greaterThanOrEqual">
      <formula>0.5</formula>
    </cfRule>
  </conditionalFormatting>
  <conditionalFormatting sqref="AH13">
    <cfRule type="cellIs" dxfId="27800" priority="162471" stopIfTrue="1" operator="equal">
      <formula>-1</formula>
    </cfRule>
  </conditionalFormatting>
  <conditionalFormatting sqref="AH13">
    <cfRule type="cellIs" dxfId="27799" priority="162472" stopIfTrue="1" operator="lessThan">
      <formula>0.5</formula>
    </cfRule>
  </conditionalFormatting>
  <conditionalFormatting sqref="AH13">
    <cfRule type="cellIs" dxfId="27798" priority="162473" stopIfTrue="1" operator="greaterThanOrEqual">
      <formula>0.5</formula>
    </cfRule>
  </conditionalFormatting>
  <conditionalFormatting sqref="AH14">
    <cfRule type="cellIs" dxfId="27797" priority="162474" stopIfTrue="1" operator="equal">
      <formula>-1</formula>
    </cfRule>
  </conditionalFormatting>
  <conditionalFormatting sqref="AH14">
    <cfRule type="cellIs" dxfId="27796" priority="162475" stopIfTrue="1" operator="lessThan">
      <formula>0.5</formula>
    </cfRule>
  </conditionalFormatting>
  <conditionalFormatting sqref="AH14">
    <cfRule type="cellIs" dxfId="27795" priority="162476" stopIfTrue="1" operator="greaterThanOrEqual">
      <formula>0.5</formula>
    </cfRule>
  </conditionalFormatting>
  <conditionalFormatting sqref="AH15">
    <cfRule type="cellIs" dxfId="27794" priority="162477" stopIfTrue="1" operator="equal">
      <formula>-1</formula>
    </cfRule>
  </conditionalFormatting>
  <conditionalFormatting sqref="AH15">
    <cfRule type="cellIs" dxfId="27793" priority="162478" stopIfTrue="1" operator="lessThan">
      <formula>0.5</formula>
    </cfRule>
  </conditionalFormatting>
  <conditionalFormatting sqref="AH15">
    <cfRule type="cellIs" dxfId="27792" priority="162479" stopIfTrue="1" operator="greaterThanOrEqual">
      <formula>0.5</formula>
    </cfRule>
  </conditionalFormatting>
  <conditionalFormatting sqref="AJ8">
    <cfRule type="cellIs" dxfId="27791" priority="162480" stopIfTrue="1" operator="equal">
      <formula>-1</formula>
    </cfRule>
  </conditionalFormatting>
  <conditionalFormatting sqref="AJ8">
    <cfRule type="cellIs" dxfId="27790" priority="162481" stopIfTrue="1" operator="lessThan">
      <formula>0.5</formula>
    </cfRule>
  </conditionalFormatting>
  <conditionalFormatting sqref="AJ8">
    <cfRule type="cellIs" dxfId="27789" priority="162482" stopIfTrue="1" operator="greaterThanOrEqual">
      <formula>0.5</formula>
    </cfRule>
  </conditionalFormatting>
  <conditionalFormatting sqref="AJ9">
    <cfRule type="cellIs" dxfId="27788" priority="162483" stopIfTrue="1" operator="equal">
      <formula>-1</formula>
    </cfRule>
  </conditionalFormatting>
  <conditionalFormatting sqref="AJ9">
    <cfRule type="cellIs" dxfId="27787" priority="162484" stopIfTrue="1" operator="lessThan">
      <formula>0.5</formula>
    </cfRule>
  </conditionalFormatting>
  <conditionalFormatting sqref="AJ9">
    <cfRule type="cellIs" dxfId="27786" priority="162485" stopIfTrue="1" operator="greaterThanOrEqual">
      <formula>0.5</formula>
    </cfRule>
  </conditionalFormatting>
  <conditionalFormatting sqref="AJ10">
    <cfRule type="cellIs" dxfId="27785" priority="162486" stopIfTrue="1" operator="equal">
      <formula>-1</formula>
    </cfRule>
  </conditionalFormatting>
  <conditionalFormatting sqref="AJ10">
    <cfRule type="cellIs" dxfId="27784" priority="162487" stopIfTrue="1" operator="lessThan">
      <formula>0.5</formula>
    </cfRule>
  </conditionalFormatting>
  <conditionalFormatting sqref="AJ10">
    <cfRule type="cellIs" dxfId="27783" priority="162488" stopIfTrue="1" operator="greaterThanOrEqual">
      <formula>0.5</formula>
    </cfRule>
  </conditionalFormatting>
  <conditionalFormatting sqref="AJ11">
    <cfRule type="cellIs" dxfId="27782" priority="162489" stopIfTrue="1" operator="equal">
      <formula>-1</formula>
    </cfRule>
  </conditionalFormatting>
  <conditionalFormatting sqref="AJ11">
    <cfRule type="cellIs" dxfId="27781" priority="162490" stopIfTrue="1" operator="lessThan">
      <formula>0.5</formula>
    </cfRule>
  </conditionalFormatting>
  <conditionalFormatting sqref="AJ11">
    <cfRule type="cellIs" dxfId="27780" priority="162491" stopIfTrue="1" operator="greaterThanOrEqual">
      <formula>0.5</formula>
    </cfRule>
  </conditionalFormatting>
  <conditionalFormatting sqref="AJ12">
    <cfRule type="cellIs" dxfId="27779" priority="162492" stopIfTrue="1" operator="equal">
      <formula>-1</formula>
    </cfRule>
  </conditionalFormatting>
  <conditionalFormatting sqref="AJ12">
    <cfRule type="cellIs" dxfId="27778" priority="162493" stopIfTrue="1" operator="lessThan">
      <formula>0.5</formula>
    </cfRule>
  </conditionalFormatting>
  <conditionalFormatting sqref="AJ12">
    <cfRule type="cellIs" dxfId="27777" priority="162494" stopIfTrue="1" operator="greaterThanOrEqual">
      <formula>0.5</formula>
    </cfRule>
  </conditionalFormatting>
  <conditionalFormatting sqref="AJ13">
    <cfRule type="cellIs" dxfId="27776" priority="162495" stopIfTrue="1" operator="equal">
      <formula>-1</formula>
    </cfRule>
  </conditionalFormatting>
  <conditionalFormatting sqref="AJ13">
    <cfRule type="cellIs" dxfId="27775" priority="162496" stopIfTrue="1" operator="lessThan">
      <formula>0.5</formula>
    </cfRule>
  </conditionalFormatting>
  <conditionalFormatting sqref="AJ13">
    <cfRule type="cellIs" dxfId="27774" priority="162497" stopIfTrue="1" operator="greaterThanOrEqual">
      <formula>0.5</formula>
    </cfRule>
  </conditionalFormatting>
  <conditionalFormatting sqref="AJ14">
    <cfRule type="cellIs" dxfId="27773" priority="162498" stopIfTrue="1" operator="equal">
      <formula>-1</formula>
    </cfRule>
  </conditionalFormatting>
  <conditionalFormatting sqref="AJ14">
    <cfRule type="cellIs" dxfId="27772" priority="162499" stopIfTrue="1" operator="lessThan">
      <formula>0.5</formula>
    </cfRule>
  </conditionalFormatting>
  <conditionalFormatting sqref="AJ14">
    <cfRule type="cellIs" dxfId="27771" priority="162500" stopIfTrue="1" operator="greaterThanOrEqual">
      <formula>0.5</formula>
    </cfRule>
  </conditionalFormatting>
  <conditionalFormatting sqref="AJ15">
    <cfRule type="cellIs" dxfId="27770" priority="162501" stopIfTrue="1" operator="equal">
      <formula>-1</formula>
    </cfRule>
  </conditionalFormatting>
  <conditionalFormatting sqref="AJ15">
    <cfRule type="cellIs" dxfId="27769" priority="162502" stopIfTrue="1" operator="lessThan">
      <formula>0.5</formula>
    </cfRule>
  </conditionalFormatting>
  <conditionalFormatting sqref="AJ15">
    <cfRule type="cellIs" dxfId="27768" priority="162503" stopIfTrue="1" operator="greaterThanOrEqual">
      <formula>0.5</formula>
    </cfRule>
  </conditionalFormatting>
  <conditionalFormatting sqref="AL8">
    <cfRule type="cellIs" dxfId="27767" priority="162504" stopIfTrue="1" operator="equal">
      <formula>-1</formula>
    </cfRule>
  </conditionalFormatting>
  <conditionalFormatting sqref="AL8">
    <cfRule type="cellIs" dxfId="27766" priority="162505" stopIfTrue="1" operator="lessThan">
      <formula>0.5</formula>
    </cfRule>
  </conditionalFormatting>
  <conditionalFormatting sqref="AL8">
    <cfRule type="cellIs" dxfId="27765" priority="162506" stopIfTrue="1" operator="greaterThanOrEqual">
      <formula>0.5</formula>
    </cfRule>
  </conditionalFormatting>
  <conditionalFormatting sqref="AL9">
    <cfRule type="cellIs" dxfId="27764" priority="162507" stopIfTrue="1" operator="equal">
      <formula>-1</formula>
    </cfRule>
  </conditionalFormatting>
  <conditionalFormatting sqref="AL9">
    <cfRule type="cellIs" dxfId="27763" priority="162508" stopIfTrue="1" operator="lessThan">
      <formula>0.5</formula>
    </cfRule>
  </conditionalFormatting>
  <conditionalFormatting sqref="AL9">
    <cfRule type="cellIs" dxfId="27762" priority="162509" stopIfTrue="1" operator="greaterThanOrEqual">
      <formula>0.5</formula>
    </cfRule>
  </conditionalFormatting>
  <conditionalFormatting sqref="AL10">
    <cfRule type="cellIs" dxfId="27761" priority="162510" stopIfTrue="1" operator="equal">
      <formula>-1</formula>
    </cfRule>
  </conditionalFormatting>
  <conditionalFormatting sqref="AL10">
    <cfRule type="cellIs" dxfId="27760" priority="162511" stopIfTrue="1" operator="lessThan">
      <formula>0.5</formula>
    </cfRule>
  </conditionalFormatting>
  <conditionalFormatting sqref="AL10">
    <cfRule type="cellIs" dxfId="27759" priority="162512" stopIfTrue="1" operator="greaterThanOrEqual">
      <formula>0.5</formula>
    </cfRule>
  </conditionalFormatting>
  <conditionalFormatting sqref="AL11">
    <cfRule type="cellIs" dxfId="27758" priority="162513" stopIfTrue="1" operator="equal">
      <formula>-1</formula>
    </cfRule>
  </conditionalFormatting>
  <conditionalFormatting sqref="AL11">
    <cfRule type="cellIs" dxfId="27757" priority="162514" stopIfTrue="1" operator="lessThan">
      <formula>0.5</formula>
    </cfRule>
  </conditionalFormatting>
  <conditionalFormatting sqref="AL11">
    <cfRule type="cellIs" dxfId="27756" priority="162515" stopIfTrue="1" operator="greaterThanOrEqual">
      <formula>0.5</formula>
    </cfRule>
  </conditionalFormatting>
  <conditionalFormatting sqref="AL12">
    <cfRule type="cellIs" dxfId="27755" priority="162516" stopIfTrue="1" operator="equal">
      <formula>-1</formula>
    </cfRule>
  </conditionalFormatting>
  <conditionalFormatting sqref="AL12">
    <cfRule type="cellIs" dxfId="27754" priority="162517" stopIfTrue="1" operator="lessThan">
      <formula>0.5</formula>
    </cfRule>
  </conditionalFormatting>
  <conditionalFormatting sqref="AL12">
    <cfRule type="cellIs" dxfId="27753" priority="162518" stopIfTrue="1" operator="greaterThanOrEqual">
      <formula>0.5</formula>
    </cfRule>
  </conditionalFormatting>
  <conditionalFormatting sqref="AL13">
    <cfRule type="cellIs" dxfId="27752" priority="162519" stopIfTrue="1" operator="equal">
      <formula>-1</formula>
    </cfRule>
  </conditionalFormatting>
  <conditionalFormatting sqref="AL13">
    <cfRule type="cellIs" dxfId="27751" priority="162520" stopIfTrue="1" operator="lessThan">
      <formula>0.5</formula>
    </cfRule>
  </conditionalFormatting>
  <conditionalFormatting sqref="AL13">
    <cfRule type="cellIs" dxfId="27750" priority="162521" stopIfTrue="1" operator="greaterThanOrEqual">
      <formula>0.5</formula>
    </cfRule>
  </conditionalFormatting>
  <conditionalFormatting sqref="AL14">
    <cfRule type="cellIs" dxfId="27749" priority="162522" stopIfTrue="1" operator="equal">
      <formula>-1</formula>
    </cfRule>
  </conditionalFormatting>
  <conditionalFormatting sqref="AL14">
    <cfRule type="cellIs" dxfId="27748" priority="162523" stopIfTrue="1" operator="lessThan">
      <formula>0.5</formula>
    </cfRule>
  </conditionalFormatting>
  <conditionalFormatting sqref="AL14">
    <cfRule type="cellIs" dxfId="27747" priority="162524" stopIfTrue="1" operator="greaterThanOrEqual">
      <formula>0.5</formula>
    </cfRule>
  </conditionalFormatting>
  <conditionalFormatting sqref="AL15">
    <cfRule type="cellIs" dxfId="27746" priority="162525" stopIfTrue="1" operator="equal">
      <formula>-1</formula>
    </cfRule>
  </conditionalFormatting>
  <conditionalFormatting sqref="AL15">
    <cfRule type="cellIs" dxfId="27745" priority="162526" stopIfTrue="1" operator="lessThan">
      <formula>0.5</formula>
    </cfRule>
  </conditionalFormatting>
  <conditionalFormatting sqref="AL15">
    <cfRule type="cellIs" dxfId="27744" priority="162527" stopIfTrue="1" operator="greaterThanOrEqual">
      <formula>0.5</formula>
    </cfRule>
  </conditionalFormatting>
  <conditionalFormatting sqref="AN8">
    <cfRule type="cellIs" dxfId="27743" priority="162528" stopIfTrue="1" operator="equal">
      <formula>-1</formula>
    </cfRule>
  </conditionalFormatting>
  <conditionalFormatting sqref="AN8">
    <cfRule type="cellIs" dxfId="27742" priority="162529" stopIfTrue="1" operator="lessThan">
      <formula>0.5</formula>
    </cfRule>
  </conditionalFormatting>
  <conditionalFormatting sqref="AN8">
    <cfRule type="cellIs" dxfId="27741" priority="162530" stopIfTrue="1" operator="greaterThanOrEqual">
      <formula>0.5</formula>
    </cfRule>
  </conditionalFormatting>
  <conditionalFormatting sqref="AN9">
    <cfRule type="cellIs" dxfId="27740" priority="162531" stopIfTrue="1" operator="equal">
      <formula>-1</formula>
    </cfRule>
  </conditionalFormatting>
  <conditionalFormatting sqref="AN9">
    <cfRule type="cellIs" dxfId="27739" priority="162532" stopIfTrue="1" operator="lessThan">
      <formula>0.5</formula>
    </cfRule>
  </conditionalFormatting>
  <conditionalFormatting sqref="AN9">
    <cfRule type="cellIs" dxfId="27738" priority="162533" stopIfTrue="1" operator="greaterThanOrEqual">
      <formula>0.5</formula>
    </cfRule>
  </conditionalFormatting>
  <conditionalFormatting sqref="AN10">
    <cfRule type="cellIs" dxfId="27737" priority="162534" stopIfTrue="1" operator="equal">
      <formula>-1</formula>
    </cfRule>
  </conditionalFormatting>
  <conditionalFormatting sqref="AN10">
    <cfRule type="cellIs" dxfId="27736" priority="162535" stopIfTrue="1" operator="lessThan">
      <formula>0.5</formula>
    </cfRule>
  </conditionalFormatting>
  <conditionalFormatting sqref="AN10">
    <cfRule type="cellIs" dxfId="27735" priority="162536" stopIfTrue="1" operator="greaterThanOrEqual">
      <formula>0.5</formula>
    </cfRule>
  </conditionalFormatting>
  <conditionalFormatting sqref="AN11">
    <cfRule type="cellIs" dxfId="27734" priority="162537" stopIfTrue="1" operator="equal">
      <formula>-1</formula>
    </cfRule>
  </conditionalFormatting>
  <conditionalFormatting sqref="AN11">
    <cfRule type="cellIs" dxfId="27733" priority="162538" stopIfTrue="1" operator="lessThan">
      <formula>0.5</formula>
    </cfRule>
  </conditionalFormatting>
  <conditionalFormatting sqref="AN11">
    <cfRule type="cellIs" dxfId="27732" priority="162539" stopIfTrue="1" operator="greaterThanOrEqual">
      <formula>0.5</formula>
    </cfRule>
  </conditionalFormatting>
  <conditionalFormatting sqref="AN12">
    <cfRule type="cellIs" dxfId="27731" priority="162540" stopIfTrue="1" operator="equal">
      <formula>-1</formula>
    </cfRule>
  </conditionalFormatting>
  <conditionalFormatting sqref="AN12">
    <cfRule type="cellIs" dxfId="27730" priority="162541" stopIfTrue="1" operator="lessThan">
      <formula>0.5</formula>
    </cfRule>
  </conditionalFormatting>
  <conditionalFormatting sqref="AN12">
    <cfRule type="cellIs" dxfId="27729" priority="162542" stopIfTrue="1" operator="greaterThanOrEqual">
      <formula>0.5</formula>
    </cfRule>
  </conditionalFormatting>
  <conditionalFormatting sqref="AN13">
    <cfRule type="cellIs" dxfId="27728" priority="162543" stopIfTrue="1" operator="equal">
      <formula>-1</formula>
    </cfRule>
  </conditionalFormatting>
  <conditionalFormatting sqref="AN13">
    <cfRule type="cellIs" dxfId="27727" priority="162544" stopIfTrue="1" operator="lessThan">
      <formula>0.5</formula>
    </cfRule>
  </conditionalFormatting>
  <conditionalFormatting sqref="AN13">
    <cfRule type="cellIs" dxfId="27726" priority="162545" stopIfTrue="1" operator="greaterThanOrEqual">
      <formula>0.5</formula>
    </cfRule>
  </conditionalFormatting>
  <conditionalFormatting sqref="AN14">
    <cfRule type="cellIs" dxfId="27725" priority="162546" stopIfTrue="1" operator="equal">
      <formula>-1</formula>
    </cfRule>
  </conditionalFormatting>
  <conditionalFormatting sqref="AN14">
    <cfRule type="cellIs" dxfId="27724" priority="162547" stopIfTrue="1" operator="lessThan">
      <formula>0.5</formula>
    </cfRule>
  </conditionalFormatting>
  <conditionalFormatting sqref="AN14">
    <cfRule type="cellIs" dxfId="27723" priority="162548" stopIfTrue="1" operator="greaterThanOrEqual">
      <formula>0.5</formula>
    </cfRule>
  </conditionalFormatting>
  <conditionalFormatting sqref="AN15">
    <cfRule type="cellIs" dxfId="27722" priority="162549" stopIfTrue="1" operator="equal">
      <formula>-1</formula>
    </cfRule>
  </conditionalFormatting>
  <conditionalFormatting sqref="AN15">
    <cfRule type="cellIs" dxfId="27721" priority="162550" stopIfTrue="1" operator="lessThan">
      <formula>0.5</formula>
    </cfRule>
  </conditionalFormatting>
  <conditionalFormatting sqref="AN15">
    <cfRule type="cellIs" dxfId="27720" priority="162551" stopIfTrue="1" operator="greaterThanOrEqual">
      <formula>0.5</formula>
    </cfRule>
  </conditionalFormatting>
  <conditionalFormatting sqref="AP8">
    <cfRule type="cellIs" dxfId="27719" priority="162552" stopIfTrue="1" operator="equal">
      <formula>-1</formula>
    </cfRule>
  </conditionalFormatting>
  <conditionalFormatting sqref="AP8">
    <cfRule type="cellIs" dxfId="27718" priority="162553" stopIfTrue="1" operator="lessThan">
      <formula>0.5</formula>
    </cfRule>
  </conditionalFormatting>
  <conditionalFormatting sqref="AP8">
    <cfRule type="cellIs" dxfId="27717" priority="162554" stopIfTrue="1" operator="greaterThanOrEqual">
      <formula>0.5</formula>
    </cfRule>
  </conditionalFormatting>
  <conditionalFormatting sqref="AP9">
    <cfRule type="cellIs" dxfId="27716" priority="162555" stopIfTrue="1" operator="equal">
      <formula>-1</formula>
    </cfRule>
  </conditionalFormatting>
  <conditionalFormatting sqref="AP9">
    <cfRule type="cellIs" dxfId="27715" priority="162556" stopIfTrue="1" operator="lessThan">
      <formula>0.5</formula>
    </cfRule>
  </conditionalFormatting>
  <conditionalFormatting sqref="AP9">
    <cfRule type="cellIs" dxfId="27714" priority="162557" stopIfTrue="1" operator="greaterThanOrEqual">
      <formula>0.5</formula>
    </cfRule>
  </conditionalFormatting>
  <conditionalFormatting sqref="AP10">
    <cfRule type="cellIs" dxfId="27713" priority="162558" stopIfTrue="1" operator="equal">
      <formula>-1</formula>
    </cfRule>
  </conditionalFormatting>
  <conditionalFormatting sqref="AP10">
    <cfRule type="cellIs" dxfId="27712" priority="162559" stopIfTrue="1" operator="lessThan">
      <formula>0.5</formula>
    </cfRule>
  </conditionalFormatting>
  <conditionalFormatting sqref="AP10">
    <cfRule type="cellIs" dxfId="27711" priority="162560" stopIfTrue="1" operator="greaterThanOrEqual">
      <formula>0.5</formula>
    </cfRule>
  </conditionalFormatting>
  <conditionalFormatting sqref="AP11">
    <cfRule type="cellIs" dxfId="27710" priority="162561" stopIfTrue="1" operator="equal">
      <formula>-1</formula>
    </cfRule>
  </conditionalFormatting>
  <conditionalFormatting sqref="AP11">
    <cfRule type="cellIs" dxfId="27709" priority="162562" stopIfTrue="1" operator="lessThan">
      <formula>0.5</formula>
    </cfRule>
  </conditionalFormatting>
  <conditionalFormatting sqref="AP11">
    <cfRule type="cellIs" dxfId="27708" priority="162563" stopIfTrue="1" operator="greaterThanOrEqual">
      <formula>0.5</formula>
    </cfRule>
  </conditionalFormatting>
  <conditionalFormatting sqref="AP12">
    <cfRule type="cellIs" dxfId="27707" priority="162564" stopIfTrue="1" operator="equal">
      <formula>-1</formula>
    </cfRule>
  </conditionalFormatting>
  <conditionalFormatting sqref="AP12">
    <cfRule type="cellIs" dxfId="27706" priority="162565" stopIfTrue="1" operator="lessThan">
      <formula>0.5</formula>
    </cfRule>
  </conditionalFormatting>
  <conditionalFormatting sqref="AP12">
    <cfRule type="cellIs" dxfId="27705" priority="162566" stopIfTrue="1" operator="greaterThanOrEqual">
      <formula>0.5</formula>
    </cfRule>
  </conditionalFormatting>
  <conditionalFormatting sqref="AP13">
    <cfRule type="cellIs" dxfId="27704" priority="162567" stopIfTrue="1" operator="equal">
      <formula>-1</formula>
    </cfRule>
  </conditionalFormatting>
  <conditionalFormatting sqref="AP13">
    <cfRule type="cellIs" dxfId="27703" priority="162568" stopIfTrue="1" operator="lessThan">
      <formula>0.5</formula>
    </cfRule>
  </conditionalFormatting>
  <conditionalFormatting sqref="AP13">
    <cfRule type="cellIs" dxfId="27702" priority="162569" stopIfTrue="1" operator="greaterThanOrEqual">
      <formula>0.5</formula>
    </cfRule>
  </conditionalFormatting>
  <conditionalFormatting sqref="AP14">
    <cfRule type="cellIs" dxfId="27701" priority="162570" stopIfTrue="1" operator="equal">
      <formula>-1</formula>
    </cfRule>
  </conditionalFormatting>
  <conditionalFormatting sqref="AP14">
    <cfRule type="cellIs" dxfId="27700" priority="162571" stopIfTrue="1" operator="lessThan">
      <formula>0.5</formula>
    </cfRule>
  </conditionalFormatting>
  <conditionalFormatting sqref="AP14">
    <cfRule type="cellIs" dxfId="27699" priority="162572" stopIfTrue="1" operator="greaterThanOrEqual">
      <formula>0.5</formula>
    </cfRule>
  </conditionalFormatting>
  <conditionalFormatting sqref="AP15">
    <cfRule type="cellIs" dxfId="27698" priority="162573" stopIfTrue="1" operator="equal">
      <formula>-1</formula>
    </cfRule>
  </conditionalFormatting>
  <conditionalFormatting sqref="AP15">
    <cfRule type="cellIs" dxfId="27697" priority="162574" stopIfTrue="1" operator="lessThan">
      <formula>0.5</formula>
    </cfRule>
  </conditionalFormatting>
  <conditionalFormatting sqref="AP15">
    <cfRule type="cellIs" dxfId="27696" priority="162575" stopIfTrue="1" operator="greaterThanOrEqual">
      <formula>0.5</formula>
    </cfRule>
  </conditionalFormatting>
  <conditionalFormatting sqref="AR8">
    <cfRule type="cellIs" dxfId="27695" priority="162576" stopIfTrue="1" operator="equal">
      <formula>-1</formula>
    </cfRule>
  </conditionalFormatting>
  <conditionalFormatting sqref="AR8">
    <cfRule type="cellIs" dxfId="27694" priority="162577" stopIfTrue="1" operator="lessThan">
      <formula>0.5</formula>
    </cfRule>
  </conditionalFormatting>
  <conditionalFormatting sqref="AR8">
    <cfRule type="cellIs" dxfId="27693" priority="162578" stopIfTrue="1" operator="greaterThanOrEqual">
      <formula>0.5</formula>
    </cfRule>
  </conditionalFormatting>
  <conditionalFormatting sqref="AR9">
    <cfRule type="cellIs" dxfId="27692" priority="162579" stopIfTrue="1" operator="equal">
      <formula>-1</formula>
    </cfRule>
  </conditionalFormatting>
  <conditionalFormatting sqref="AR9">
    <cfRule type="cellIs" dxfId="27691" priority="162580" stopIfTrue="1" operator="lessThan">
      <formula>0.5</formula>
    </cfRule>
  </conditionalFormatting>
  <conditionalFormatting sqref="AR9">
    <cfRule type="cellIs" dxfId="27690" priority="162581" stopIfTrue="1" operator="greaterThanOrEqual">
      <formula>0.5</formula>
    </cfRule>
  </conditionalFormatting>
  <conditionalFormatting sqref="AR10">
    <cfRule type="cellIs" dxfId="27689" priority="162582" stopIfTrue="1" operator="equal">
      <formula>-1</formula>
    </cfRule>
  </conditionalFormatting>
  <conditionalFormatting sqref="AR10">
    <cfRule type="cellIs" dxfId="27688" priority="162583" stopIfTrue="1" operator="lessThan">
      <formula>0.5</formula>
    </cfRule>
  </conditionalFormatting>
  <conditionalFormatting sqref="AR10">
    <cfRule type="cellIs" dxfId="27687" priority="162584" stopIfTrue="1" operator="greaterThanOrEqual">
      <formula>0.5</formula>
    </cfRule>
  </conditionalFormatting>
  <conditionalFormatting sqref="AR11">
    <cfRule type="cellIs" dxfId="27686" priority="162585" stopIfTrue="1" operator="equal">
      <formula>-1</formula>
    </cfRule>
  </conditionalFormatting>
  <conditionalFormatting sqref="AR11">
    <cfRule type="cellIs" dxfId="27685" priority="162586" stopIfTrue="1" operator="lessThan">
      <formula>0.5</formula>
    </cfRule>
  </conditionalFormatting>
  <conditionalFormatting sqref="AR11">
    <cfRule type="cellIs" dxfId="27684" priority="162587" stopIfTrue="1" operator="greaterThanOrEqual">
      <formula>0.5</formula>
    </cfRule>
  </conditionalFormatting>
  <conditionalFormatting sqref="AR12">
    <cfRule type="cellIs" dxfId="27683" priority="162588" stopIfTrue="1" operator="equal">
      <formula>-1</formula>
    </cfRule>
  </conditionalFormatting>
  <conditionalFormatting sqref="AR12">
    <cfRule type="cellIs" dxfId="27682" priority="162589" stopIfTrue="1" operator="lessThan">
      <formula>0.5</formula>
    </cfRule>
  </conditionalFormatting>
  <conditionalFormatting sqref="AR12">
    <cfRule type="cellIs" dxfId="27681" priority="162590" stopIfTrue="1" operator="greaterThanOrEqual">
      <formula>0.5</formula>
    </cfRule>
  </conditionalFormatting>
  <conditionalFormatting sqref="AR13">
    <cfRule type="cellIs" dxfId="27680" priority="162591" stopIfTrue="1" operator="equal">
      <formula>-1</formula>
    </cfRule>
  </conditionalFormatting>
  <conditionalFormatting sqref="AR13">
    <cfRule type="cellIs" dxfId="27679" priority="162592" stopIfTrue="1" operator="lessThan">
      <formula>0.5</formula>
    </cfRule>
  </conditionalFormatting>
  <conditionalFormatting sqref="AR13">
    <cfRule type="cellIs" dxfId="27678" priority="162593" stopIfTrue="1" operator="greaterThanOrEqual">
      <formula>0.5</formula>
    </cfRule>
  </conditionalFormatting>
  <conditionalFormatting sqref="AR14">
    <cfRule type="cellIs" dxfId="27677" priority="162594" stopIfTrue="1" operator="equal">
      <formula>-1</formula>
    </cfRule>
  </conditionalFormatting>
  <conditionalFormatting sqref="AR14">
    <cfRule type="cellIs" dxfId="27676" priority="162595" stopIfTrue="1" operator="lessThan">
      <formula>0.5</formula>
    </cfRule>
  </conditionalFormatting>
  <conditionalFormatting sqref="AR14">
    <cfRule type="cellIs" dxfId="27675" priority="162596" stopIfTrue="1" operator="greaterThanOrEqual">
      <formula>0.5</formula>
    </cfRule>
  </conditionalFormatting>
  <conditionalFormatting sqref="AR15">
    <cfRule type="cellIs" dxfId="27674" priority="162597" stopIfTrue="1" operator="equal">
      <formula>-1</formula>
    </cfRule>
  </conditionalFormatting>
  <conditionalFormatting sqref="AR15">
    <cfRule type="cellIs" dxfId="27673" priority="162598" stopIfTrue="1" operator="lessThan">
      <formula>0.5</formula>
    </cfRule>
  </conditionalFormatting>
  <conditionalFormatting sqref="AR15">
    <cfRule type="cellIs" dxfId="27672" priority="162599" stopIfTrue="1" operator="greaterThanOrEqual">
      <formula>0.5</formula>
    </cfRule>
  </conditionalFormatting>
  <conditionalFormatting sqref="AT8">
    <cfRule type="cellIs" dxfId="27671" priority="162600" stopIfTrue="1" operator="equal">
      <formula>-1</formula>
    </cfRule>
  </conditionalFormatting>
  <conditionalFormatting sqref="AT8">
    <cfRule type="cellIs" dxfId="27670" priority="162601" stopIfTrue="1" operator="lessThan">
      <formula>0.5</formula>
    </cfRule>
  </conditionalFormatting>
  <conditionalFormatting sqref="AT8">
    <cfRule type="cellIs" dxfId="27669" priority="162602" stopIfTrue="1" operator="greaterThanOrEqual">
      <formula>0.5</formula>
    </cfRule>
  </conditionalFormatting>
  <conditionalFormatting sqref="AT9">
    <cfRule type="cellIs" dxfId="27668" priority="162603" stopIfTrue="1" operator="equal">
      <formula>-1</formula>
    </cfRule>
  </conditionalFormatting>
  <conditionalFormatting sqref="AT9">
    <cfRule type="cellIs" dxfId="27667" priority="162604" stopIfTrue="1" operator="lessThan">
      <formula>0.5</formula>
    </cfRule>
  </conditionalFormatting>
  <conditionalFormatting sqref="AT9">
    <cfRule type="cellIs" dxfId="27666" priority="162605" stopIfTrue="1" operator="greaterThanOrEqual">
      <formula>0.5</formula>
    </cfRule>
  </conditionalFormatting>
  <conditionalFormatting sqref="AT10">
    <cfRule type="cellIs" dxfId="27665" priority="162606" stopIfTrue="1" operator="equal">
      <formula>-1</formula>
    </cfRule>
  </conditionalFormatting>
  <conditionalFormatting sqref="AT10">
    <cfRule type="cellIs" dxfId="27664" priority="162607" stopIfTrue="1" operator="lessThan">
      <formula>0.5</formula>
    </cfRule>
  </conditionalFormatting>
  <conditionalFormatting sqref="AT10">
    <cfRule type="cellIs" dxfId="27663" priority="162608" stopIfTrue="1" operator="greaterThanOrEqual">
      <formula>0.5</formula>
    </cfRule>
  </conditionalFormatting>
  <conditionalFormatting sqref="AT11">
    <cfRule type="cellIs" dxfId="27662" priority="162609" stopIfTrue="1" operator="equal">
      <formula>-1</formula>
    </cfRule>
  </conditionalFormatting>
  <conditionalFormatting sqref="AT11">
    <cfRule type="cellIs" dxfId="27661" priority="162610" stopIfTrue="1" operator="lessThan">
      <formula>0.5</formula>
    </cfRule>
  </conditionalFormatting>
  <conditionalFormatting sqref="AT11">
    <cfRule type="cellIs" dxfId="27660" priority="162611" stopIfTrue="1" operator="greaterThanOrEqual">
      <formula>0.5</formula>
    </cfRule>
  </conditionalFormatting>
  <conditionalFormatting sqref="AT12">
    <cfRule type="cellIs" dxfId="27659" priority="162612" stopIfTrue="1" operator="equal">
      <formula>-1</formula>
    </cfRule>
  </conditionalFormatting>
  <conditionalFormatting sqref="AT12">
    <cfRule type="cellIs" dxfId="27658" priority="162613" stopIfTrue="1" operator="lessThan">
      <formula>0.5</formula>
    </cfRule>
  </conditionalFormatting>
  <conditionalFormatting sqref="AT12">
    <cfRule type="cellIs" dxfId="27657" priority="162614" stopIfTrue="1" operator="greaterThanOrEqual">
      <formula>0.5</formula>
    </cfRule>
  </conditionalFormatting>
  <conditionalFormatting sqref="AT13">
    <cfRule type="cellIs" dxfId="27656" priority="162615" stopIfTrue="1" operator="equal">
      <formula>-1</formula>
    </cfRule>
  </conditionalFormatting>
  <conditionalFormatting sqref="AT13">
    <cfRule type="cellIs" dxfId="27655" priority="162616" stopIfTrue="1" operator="lessThan">
      <formula>0.5</formula>
    </cfRule>
  </conditionalFormatting>
  <conditionalFormatting sqref="AT13">
    <cfRule type="cellIs" dxfId="27654" priority="162617" stopIfTrue="1" operator="greaterThanOrEqual">
      <formula>0.5</formula>
    </cfRule>
  </conditionalFormatting>
  <conditionalFormatting sqref="AT14">
    <cfRule type="cellIs" dxfId="27653" priority="162618" stopIfTrue="1" operator="equal">
      <formula>-1</formula>
    </cfRule>
  </conditionalFormatting>
  <conditionalFormatting sqref="AT14">
    <cfRule type="cellIs" dxfId="27652" priority="162619" stopIfTrue="1" operator="lessThan">
      <formula>0.5</formula>
    </cfRule>
  </conditionalFormatting>
  <conditionalFormatting sqref="AT14">
    <cfRule type="cellIs" dxfId="27651" priority="162620" stopIfTrue="1" operator="greaterThanOrEqual">
      <formula>0.5</formula>
    </cfRule>
  </conditionalFormatting>
  <conditionalFormatting sqref="AT15">
    <cfRule type="cellIs" dxfId="27650" priority="162621" stopIfTrue="1" operator="equal">
      <formula>-1</formula>
    </cfRule>
  </conditionalFormatting>
  <conditionalFormatting sqref="AT15">
    <cfRule type="cellIs" dxfId="27649" priority="162622" stopIfTrue="1" operator="lessThan">
      <formula>0.5</formula>
    </cfRule>
  </conditionalFormatting>
  <conditionalFormatting sqref="AT15">
    <cfRule type="cellIs" dxfId="27648" priority="162623" stopIfTrue="1" operator="greaterThanOrEqual">
      <formula>0.5</formula>
    </cfRule>
  </conditionalFormatting>
  <conditionalFormatting sqref="AV8">
    <cfRule type="cellIs" dxfId="27647" priority="162624" stopIfTrue="1" operator="equal">
      <formula>-1</formula>
    </cfRule>
  </conditionalFormatting>
  <conditionalFormatting sqref="AV8">
    <cfRule type="cellIs" dxfId="27646" priority="162625" stopIfTrue="1" operator="lessThan">
      <formula>0.5</formula>
    </cfRule>
  </conditionalFormatting>
  <conditionalFormatting sqref="AV8">
    <cfRule type="cellIs" dxfId="27645" priority="162626" stopIfTrue="1" operator="greaterThanOrEqual">
      <formula>0.5</formula>
    </cfRule>
  </conditionalFormatting>
  <conditionalFormatting sqref="AV9">
    <cfRule type="cellIs" dxfId="27644" priority="162627" stopIfTrue="1" operator="equal">
      <formula>-1</formula>
    </cfRule>
  </conditionalFormatting>
  <conditionalFormatting sqref="AV9">
    <cfRule type="cellIs" dxfId="27643" priority="162628" stopIfTrue="1" operator="lessThan">
      <formula>0.5</formula>
    </cfRule>
  </conditionalFormatting>
  <conditionalFormatting sqref="AV9">
    <cfRule type="cellIs" dxfId="27642" priority="162629" stopIfTrue="1" operator="greaterThanOrEqual">
      <formula>0.5</formula>
    </cfRule>
  </conditionalFormatting>
  <conditionalFormatting sqref="AV10">
    <cfRule type="cellIs" dxfId="27641" priority="162630" stopIfTrue="1" operator="equal">
      <formula>-1</formula>
    </cfRule>
  </conditionalFormatting>
  <conditionalFormatting sqref="AV10">
    <cfRule type="cellIs" dxfId="27640" priority="162631" stopIfTrue="1" operator="lessThan">
      <formula>0.5</formula>
    </cfRule>
  </conditionalFormatting>
  <conditionalFormatting sqref="AV10">
    <cfRule type="cellIs" dxfId="27639" priority="162632" stopIfTrue="1" operator="greaterThanOrEqual">
      <formula>0.5</formula>
    </cfRule>
  </conditionalFormatting>
  <conditionalFormatting sqref="AV11">
    <cfRule type="cellIs" dxfId="27638" priority="162633" stopIfTrue="1" operator="equal">
      <formula>-1</formula>
    </cfRule>
  </conditionalFormatting>
  <conditionalFormatting sqref="AV11">
    <cfRule type="cellIs" dxfId="27637" priority="162634" stopIfTrue="1" operator="lessThan">
      <formula>0.5</formula>
    </cfRule>
  </conditionalFormatting>
  <conditionalFormatting sqref="AV11">
    <cfRule type="cellIs" dxfId="27636" priority="162635" stopIfTrue="1" operator="greaterThanOrEqual">
      <formula>0.5</formula>
    </cfRule>
  </conditionalFormatting>
  <conditionalFormatting sqref="AV12">
    <cfRule type="cellIs" dxfId="27635" priority="162636" stopIfTrue="1" operator="equal">
      <formula>-1</formula>
    </cfRule>
  </conditionalFormatting>
  <conditionalFormatting sqref="AV12">
    <cfRule type="cellIs" dxfId="27634" priority="162637" stopIfTrue="1" operator="lessThan">
      <formula>0.5</formula>
    </cfRule>
  </conditionalFormatting>
  <conditionalFormatting sqref="AV12">
    <cfRule type="cellIs" dxfId="27633" priority="162638" stopIfTrue="1" operator="greaterThanOrEqual">
      <formula>0.5</formula>
    </cfRule>
  </conditionalFormatting>
  <conditionalFormatting sqref="AV13">
    <cfRule type="cellIs" dxfId="27632" priority="162639" stopIfTrue="1" operator="equal">
      <formula>-1</formula>
    </cfRule>
  </conditionalFormatting>
  <conditionalFormatting sqref="AV13">
    <cfRule type="cellIs" dxfId="27631" priority="162640" stopIfTrue="1" operator="lessThan">
      <formula>0.5</formula>
    </cfRule>
  </conditionalFormatting>
  <conditionalFormatting sqref="AV13">
    <cfRule type="cellIs" dxfId="27630" priority="162641" stopIfTrue="1" operator="greaterThanOrEqual">
      <formula>0.5</formula>
    </cfRule>
  </conditionalFormatting>
  <conditionalFormatting sqref="AV14">
    <cfRule type="cellIs" dxfId="27629" priority="162642" stopIfTrue="1" operator="equal">
      <formula>-1</formula>
    </cfRule>
  </conditionalFormatting>
  <conditionalFormatting sqref="AV14">
    <cfRule type="cellIs" dxfId="27628" priority="162643" stopIfTrue="1" operator="lessThan">
      <formula>0.5</formula>
    </cfRule>
  </conditionalFormatting>
  <conditionalFormatting sqref="AV14">
    <cfRule type="cellIs" dxfId="27627" priority="162644" stopIfTrue="1" operator="greaterThanOrEqual">
      <formula>0.5</formula>
    </cfRule>
  </conditionalFormatting>
  <conditionalFormatting sqref="AV15">
    <cfRule type="cellIs" dxfId="27626" priority="162645" stopIfTrue="1" operator="equal">
      <formula>-1</formula>
    </cfRule>
  </conditionalFormatting>
  <conditionalFormatting sqref="AV15">
    <cfRule type="cellIs" dxfId="27625" priority="162646" stopIfTrue="1" operator="lessThan">
      <formula>0.5</formula>
    </cfRule>
  </conditionalFormatting>
  <conditionalFormatting sqref="AV15">
    <cfRule type="cellIs" dxfId="27624" priority="162647" stopIfTrue="1" operator="greaterThanOrEqual">
      <formula>0.5</formula>
    </cfRule>
  </conditionalFormatting>
  <conditionalFormatting sqref="AX8">
    <cfRule type="cellIs" dxfId="27623" priority="162648" stopIfTrue="1" operator="equal">
      <formula>-1</formula>
    </cfRule>
  </conditionalFormatting>
  <conditionalFormatting sqref="AX8">
    <cfRule type="cellIs" dxfId="27622" priority="162649" stopIfTrue="1" operator="lessThan">
      <formula>0.5</formula>
    </cfRule>
  </conditionalFormatting>
  <conditionalFormatting sqref="AX8">
    <cfRule type="cellIs" dxfId="27621" priority="162650" stopIfTrue="1" operator="greaterThanOrEqual">
      <formula>0.5</formula>
    </cfRule>
  </conditionalFormatting>
  <conditionalFormatting sqref="AX9">
    <cfRule type="cellIs" dxfId="27620" priority="162651" stopIfTrue="1" operator="equal">
      <formula>-1</formula>
    </cfRule>
  </conditionalFormatting>
  <conditionalFormatting sqref="AX9">
    <cfRule type="cellIs" dxfId="27619" priority="162652" stopIfTrue="1" operator="lessThan">
      <formula>0.5</formula>
    </cfRule>
  </conditionalFormatting>
  <conditionalFormatting sqref="AX9">
    <cfRule type="cellIs" dxfId="27618" priority="162653" stopIfTrue="1" operator="greaterThanOrEqual">
      <formula>0.5</formula>
    </cfRule>
  </conditionalFormatting>
  <conditionalFormatting sqref="AX10">
    <cfRule type="cellIs" dxfId="27617" priority="162654" stopIfTrue="1" operator="equal">
      <formula>-1</formula>
    </cfRule>
  </conditionalFormatting>
  <conditionalFormatting sqref="AX10">
    <cfRule type="cellIs" dxfId="27616" priority="162655" stopIfTrue="1" operator="lessThan">
      <formula>0.5</formula>
    </cfRule>
  </conditionalFormatting>
  <conditionalFormatting sqref="AX10">
    <cfRule type="cellIs" dxfId="27615" priority="162656" stopIfTrue="1" operator="greaterThanOrEqual">
      <formula>0.5</formula>
    </cfRule>
  </conditionalFormatting>
  <conditionalFormatting sqref="AX11">
    <cfRule type="cellIs" dxfId="27614" priority="162657" stopIfTrue="1" operator="equal">
      <formula>-1</formula>
    </cfRule>
  </conditionalFormatting>
  <conditionalFormatting sqref="AX11">
    <cfRule type="cellIs" dxfId="27613" priority="162658" stopIfTrue="1" operator="lessThan">
      <formula>0.5</formula>
    </cfRule>
  </conditionalFormatting>
  <conditionalFormatting sqref="AX11">
    <cfRule type="cellIs" dxfId="27612" priority="162659" stopIfTrue="1" operator="greaterThanOrEqual">
      <formula>0.5</formula>
    </cfRule>
  </conditionalFormatting>
  <conditionalFormatting sqref="AX12">
    <cfRule type="cellIs" dxfId="27611" priority="162660" stopIfTrue="1" operator="equal">
      <formula>-1</formula>
    </cfRule>
  </conditionalFormatting>
  <conditionalFormatting sqref="AX12">
    <cfRule type="cellIs" dxfId="27610" priority="162661" stopIfTrue="1" operator="lessThan">
      <formula>0.5</formula>
    </cfRule>
  </conditionalFormatting>
  <conditionalFormatting sqref="AX12">
    <cfRule type="cellIs" dxfId="27609" priority="162662" stopIfTrue="1" operator="greaterThanOrEqual">
      <formula>0.5</formula>
    </cfRule>
  </conditionalFormatting>
  <conditionalFormatting sqref="AX13">
    <cfRule type="cellIs" dxfId="27608" priority="162663" stopIfTrue="1" operator="equal">
      <formula>-1</formula>
    </cfRule>
  </conditionalFormatting>
  <conditionalFormatting sqref="AX13">
    <cfRule type="cellIs" dxfId="27607" priority="162664" stopIfTrue="1" operator="lessThan">
      <formula>0.5</formula>
    </cfRule>
  </conditionalFormatting>
  <conditionalFormatting sqref="AX13">
    <cfRule type="cellIs" dxfId="27606" priority="162665" stopIfTrue="1" operator="greaterThanOrEqual">
      <formula>0.5</formula>
    </cfRule>
  </conditionalFormatting>
  <conditionalFormatting sqref="AX14">
    <cfRule type="cellIs" dxfId="27605" priority="162666" stopIfTrue="1" operator="equal">
      <formula>-1</formula>
    </cfRule>
  </conditionalFormatting>
  <conditionalFormatting sqref="AX14">
    <cfRule type="cellIs" dxfId="27604" priority="162667" stopIfTrue="1" operator="lessThan">
      <formula>0.5</formula>
    </cfRule>
  </conditionalFormatting>
  <conditionalFormatting sqref="AX14">
    <cfRule type="cellIs" dxfId="27603" priority="162668" stopIfTrue="1" operator="greaterThanOrEqual">
      <formula>0.5</formula>
    </cfRule>
  </conditionalFormatting>
  <conditionalFormatting sqref="AX15">
    <cfRule type="cellIs" dxfId="27602" priority="162669" stopIfTrue="1" operator="equal">
      <formula>-1</formula>
    </cfRule>
  </conditionalFormatting>
  <conditionalFormatting sqref="AX15">
    <cfRule type="cellIs" dxfId="27601" priority="162670" stopIfTrue="1" operator="lessThan">
      <formula>0.5</formula>
    </cfRule>
  </conditionalFormatting>
  <conditionalFormatting sqref="AX15">
    <cfRule type="cellIs" dxfId="27600" priority="162671" stopIfTrue="1" operator="greaterThanOrEqual">
      <formula>0.5</formula>
    </cfRule>
  </conditionalFormatting>
  <conditionalFormatting sqref="AZ8">
    <cfRule type="cellIs" dxfId="27599" priority="162672" stopIfTrue="1" operator="equal">
      <formula>-1</formula>
    </cfRule>
  </conditionalFormatting>
  <conditionalFormatting sqref="AZ8">
    <cfRule type="cellIs" dxfId="27598" priority="162673" stopIfTrue="1" operator="lessThan">
      <formula>0.5</formula>
    </cfRule>
  </conditionalFormatting>
  <conditionalFormatting sqref="AZ8">
    <cfRule type="cellIs" dxfId="27597" priority="162674" stopIfTrue="1" operator="greaterThanOrEqual">
      <formula>0.5</formula>
    </cfRule>
  </conditionalFormatting>
  <conditionalFormatting sqref="AZ9">
    <cfRule type="cellIs" dxfId="27596" priority="162675" stopIfTrue="1" operator="equal">
      <formula>-1</formula>
    </cfRule>
  </conditionalFormatting>
  <conditionalFormatting sqref="AZ9">
    <cfRule type="cellIs" dxfId="27595" priority="162676" stopIfTrue="1" operator="lessThan">
      <formula>0.5</formula>
    </cfRule>
  </conditionalFormatting>
  <conditionalFormatting sqref="AZ9">
    <cfRule type="cellIs" dxfId="27594" priority="162677" stopIfTrue="1" operator="greaterThanOrEqual">
      <formula>0.5</formula>
    </cfRule>
  </conditionalFormatting>
  <conditionalFormatting sqref="AZ10">
    <cfRule type="cellIs" dxfId="27593" priority="162678" stopIfTrue="1" operator="equal">
      <formula>-1</formula>
    </cfRule>
  </conditionalFormatting>
  <conditionalFormatting sqref="AZ10">
    <cfRule type="cellIs" dxfId="27592" priority="162679" stopIfTrue="1" operator="lessThan">
      <formula>0.5</formula>
    </cfRule>
  </conditionalFormatting>
  <conditionalFormatting sqref="AZ10">
    <cfRule type="cellIs" dxfId="27591" priority="162680" stopIfTrue="1" operator="greaterThanOrEqual">
      <formula>0.5</formula>
    </cfRule>
  </conditionalFormatting>
  <conditionalFormatting sqref="AZ11">
    <cfRule type="cellIs" dxfId="27590" priority="162681" stopIfTrue="1" operator="equal">
      <formula>-1</formula>
    </cfRule>
  </conditionalFormatting>
  <conditionalFormatting sqref="AZ11">
    <cfRule type="cellIs" dxfId="27589" priority="162682" stopIfTrue="1" operator="lessThan">
      <formula>0.5</formula>
    </cfRule>
  </conditionalFormatting>
  <conditionalFormatting sqref="AZ11">
    <cfRule type="cellIs" dxfId="27588" priority="162683" stopIfTrue="1" operator="greaterThanOrEqual">
      <formula>0.5</formula>
    </cfRule>
  </conditionalFormatting>
  <conditionalFormatting sqref="AZ12">
    <cfRule type="cellIs" dxfId="27587" priority="162684" stopIfTrue="1" operator="equal">
      <formula>-1</formula>
    </cfRule>
  </conditionalFormatting>
  <conditionalFormatting sqref="AZ12">
    <cfRule type="cellIs" dxfId="27586" priority="162685" stopIfTrue="1" operator="lessThan">
      <formula>0.5</formula>
    </cfRule>
  </conditionalFormatting>
  <conditionalFormatting sqref="AZ12">
    <cfRule type="cellIs" dxfId="27585" priority="162686" stopIfTrue="1" operator="greaterThanOrEqual">
      <formula>0.5</formula>
    </cfRule>
  </conditionalFormatting>
  <conditionalFormatting sqref="AZ13">
    <cfRule type="cellIs" dxfId="27584" priority="162687" stopIfTrue="1" operator="equal">
      <formula>-1</formula>
    </cfRule>
  </conditionalFormatting>
  <conditionalFormatting sqref="AZ13">
    <cfRule type="cellIs" dxfId="27583" priority="162688" stopIfTrue="1" operator="lessThan">
      <formula>0.5</formula>
    </cfRule>
  </conditionalFormatting>
  <conditionalFormatting sqref="AZ13">
    <cfRule type="cellIs" dxfId="27582" priority="162689" stopIfTrue="1" operator="greaterThanOrEqual">
      <formula>0.5</formula>
    </cfRule>
  </conditionalFormatting>
  <conditionalFormatting sqref="AZ14">
    <cfRule type="cellIs" dxfId="27581" priority="162690" stopIfTrue="1" operator="equal">
      <formula>-1</formula>
    </cfRule>
  </conditionalFormatting>
  <conditionalFormatting sqref="AZ14">
    <cfRule type="cellIs" dxfId="27580" priority="162691" stopIfTrue="1" operator="lessThan">
      <formula>0.5</formula>
    </cfRule>
  </conditionalFormatting>
  <conditionalFormatting sqref="AZ14">
    <cfRule type="cellIs" dxfId="27579" priority="162692" stopIfTrue="1" operator="greaterThanOrEqual">
      <formula>0.5</formula>
    </cfRule>
  </conditionalFormatting>
  <conditionalFormatting sqref="AZ15">
    <cfRule type="cellIs" dxfId="27578" priority="162693" stopIfTrue="1" operator="equal">
      <formula>-1</formula>
    </cfRule>
  </conditionalFormatting>
  <conditionalFormatting sqref="AZ15">
    <cfRule type="cellIs" dxfId="27577" priority="162694" stopIfTrue="1" operator="lessThan">
      <formula>0.5</formula>
    </cfRule>
  </conditionalFormatting>
  <conditionalFormatting sqref="AZ15">
    <cfRule type="cellIs" dxfId="27576" priority="162695" stopIfTrue="1" operator="greaterThanOrEqual">
      <formula>0.5</formula>
    </cfRule>
  </conditionalFormatting>
  <conditionalFormatting sqref="BB8">
    <cfRule type="cellIs" dxfId="27575" priority="162696" stopIfTrue="1" operator="equal">
      <formula>-1</formula>
    </cfRule>
  </conditionalFormatting>
  <conditionalFormatting sqref="BB8">
    <cfRule type="cellIs" dxfId="27574" priority="162697" stopIfTrue="1" operator="lessThan">
      <formula>0.5</formula>
    </cfRule>
  </conditionalFormatting>
  <conditionalFormatting sqref="BB8">
    <cfRule type="cellIs" dxfId="27573" priority="162698" stopIfTrue="1" operator="greaterThanOrEqual">
      <formula>0.5</formula>
    </cfRule>
  </conditionalFormatting>
  <conditionalFormatting sqref="BB9">
    <cfRule type="cellIs" dxfId="27572" priority="162699" stopIfTrue="1" operator="equal">
      <formula>-1</formula>
    </cfRule>
  </conditionalFormatting>
  <conditionalFormatting sqref="BB9">
    <cfRule type="cellIs" dxfId="27571" priority="162700" stopIfTrue="1" operator="lessThan">
      <formula>0.5</formula>
    </cfRule>
  </conditionalFormatting>
  <conditionalFormatting sqref="BB9">
    <cfRule type="cellIs" dxfId="27570" priority="162701" stopIfTrue="1" operator="greaterThanOrEqual">
      <formula>0.5</formula>
    </cfRule>
  </conditionalFormatting>
  <conditionalFormatting sqref="BB10">
    <cfRule type="cellIs" dxfId="27569" priority="162702" stopIfTrue="1" operator="equal">
      <formula>-1</formula>
    </cfRule>
  </conditionalFormatting>
  <conditionalFormatting sqref="BB10">
    <cfRule type="cellIs" dxfId="27568" priority="162703" stopIfTrue="1" operator="lessThan">
      <formula>0.5</formula>
    </cfRule>
  </conditionalFormatting>
  <conditionalFormatting sqref="BB10">
    <cfRule type="cellIs" dxfId="27567" priority="162704" stopIfTrue="1" operator="greaterThanOrEqual">
      <formula>0.5</formula>
    </cfRule>
  </conditionalFormatting>
  <conditionalFormatting sqref="BB11">
    <cfRule type="cellIs" dxfId="27566" priority="162705" stopIfTrue="1" operator="equal">
      <formula>-1</formula>
    </cfRule>
  </conditionalFormatting>
  <conditionalFormatting sqref="BB11">
    <cfRule type="cellIs" dxfId="27565" priority="162706" stopIfTrue="1" operator="lessThan">
      <formula>0.5</formula>
    </cfRule>
  </conditionalFormatting>
  <conditionalFormatting sqref="BB11">
    <cfRule type="cellIs" dxfId="27564" priority="162707" stopIfTrue="1" operator="greaterThanOrEqual">
      <formula>0.5</formula>
    </cfRule>
  </conditionalFormatting>
  <conditionalFormatting sqref="BB12">
    <cfRule type="cellIs" dxfId="27563" priority="162708" stopIfTrue="1" operator="equal">
      <formula>-1</formula>
    </cfRule>
  </conditionalFormatting>
  <conditionalFormatting sqref="BB12">
    <cfRule type="cellIs" dxfId="27562" priority="162709" stopIfTrue="1" operator="lessThan">
      <formula>0.5</formula>
    </cfRule>
  </conditionalFormatting>
  <conditionalFormatting sqref="BB12">
    <cfRule type="cellIs" dxfId="27561" priority="162710" stopIfTrue="1" operator="greaterThanOrEqual">
      <formula>0.5</formula>
    </cfRule>
  </conditionalFormatting>
  <conditionalFormatting sqref="BB13">
    <cfRule type="cellIs" dxfId="27560" priority="162711" stopIfTrue="1" operator="equal">
      <formula>-1</formula>
    </cfRule>
  </conditionalFormatting>
  <conditionalFormatting sqref="BB13">
    <cfRule type="cellIs" dxfId="27559" priority="162712" stopIfTrue="1" operator="lessThan">
      <formula>0.5</formula>
    </cfRule>
  </conditionalFormatting>
  <conditionalFormatting sqref="BB13">
    <cfRule type="cellIs" dxfId="27558" priority="162713" stopIfTrue="1" operator="greaterThanOrEqual">
      <formula>0.5</formula>
    </cfRule>
  </conditionalFormatting>
  <conditionalFormatting sqref="BB14">
    <cfRule type="cellIs" dxfId="27557" priority="162714" stopIfTrue="1" operator="equal">
      <formula>-1</formula>
    </cfRule>
  </conditionalFormatting>
  <conditionalFormatting sqref="BB14">
    <cfRule type="cellIs" dxfId="27556" priority="162715" stopIfTrue="1" operator="lessThan">
      <formula>0.5</formula>
    </cfRule>
  </conditionalFormatting>
  <conditionalFormatting sqref="BB14">
    <cfRule type="cellIs" dxfId="27555" priority="162716" stopIfTrue="1" operator="greaterThanOrEqual">
      <formula>0.5</formula>
    </cfRule>
  </conditionalFormatting>
  <conditionalFormatting sqref="BB15">
    <cfRule type="cellIs" dxfId="27554" priority="162717" stopIfTrue="1" operator="equal">
      <formula>-1</formula>
    </cfRule>
  </conditionalFormatting>
  <conditionalFormatting sqref="BB15">
    <cfRule type="cellIs" dxfId="27553" priority="162718" stopIfTrue="1" operator="lessThan">
      <formula>0.5</formula>
    </cfRule>
  </conditionalFormatting>
  <conditionalFormatting sqref="BB15">
    <cfRule type="cellIs" dxfId="27552" priority="162719" stopIfTrue="1" operator="greaterThanOrEqual">
      <formula>0.5</formula>
    </cfRule>
  </conditionalFormatting>
  <conditionalFormatting sqref="BD8">
    <cfRule type="cellIs" dxfId="27551" priority="162720" stopIfTrue="1" operator="equal">
      <formula>-1</formula>
    </cfRule>
  </conditionalFormatting>
  <conditionalFormatting sqref="BD8">
    <cfRule type="cellIs" dxfId="27550" priority="162721" stopIfTrue="1" operator="lessThan">
      <formula>0.5</formula>
    </cfRule>
  </conditionalFormatting>
  <conditionalFormatting sqref="BD8">
    <cfRule type="cellIs" dxfId="27549" priority="162722" stopIfTrue="1" operator="greaterThanOrEqual">
      <formula>0.5</formula>
    </cfRule>
  </conditionalFormatting>
  <conditionalFormatting sqref="BD9">
    <cfRule type="cellIs" dxfId="27548" priority="162723" stopIfTrue="1" operator="equal">
      <formula>-1</formula>
    </cfRule>
  </conditionalFormatting>
  <conditionalFormatting sqref="BD9">
    <cfRule type="cellIs" dxfId="27547" priority="162724" stopIfTrue="1" operator="lessThan">
      <formula>0.5</formula>
    </cfRule>
  </conditionalFormatting>
  <conditionalFormatting sqref="BD9">
    <cfRule type="cellIs" dxfId="27546" priority="162725" stopIfTrue="1" operator="greaterThanOrEqual">
      <formula>0.5</formula>
    </cfRule>
  </conditionalFormatting>
  <conditionalFormatting sqref="BD10">
    <cfRule type="cellIs" dxfId="27545" priority="162726" stopIfTrue="1" operator="equal">
      <formula>-1</formula>
    </cfRule>
  </conditionalFormatting>
  <conditionalFormatting sqref="BD10">
    <cfRule type="cellIs" dxfId="27544" priority="162727" stopIfTrue="1" operator="lessThan">
      <formula>0.5</formula>
    </cfRule>
  </conditionalFormatting>
  <conditionalFormatting sqref="BD10">
    <cfRule type="cellIs" dxfId="27543" priority="162728" stopIfTrue="1" operator="greaterThanOrEqual">
      <formula>0.5</formula>
    </cfRule>
  </conditionalFormatting>
  <conditionalFormatting sqref="BD11">
    <cfRule type="cellIs" dxfId="27542" priority="162729" stopIfTrue="1" operator="equal">
      <formula>-1</formula>
    </cfRule>
  </conditionalFormatting>
  <conditionalFormatting sqref="BD11">
    <cfRule type="cellIs" dxfId="27541" priority="162730" stopIfTrue="1" operator="lessThan">
      <formula>0.5</formula>
    </cfRule>
  </conditionalFormatting>
  <conditionalFormatting sqref="BD11">
    <cfRule type="cellIs" dxfId="27540" priority="162731" stopIfTrue="1" operator="greaterThanOrEqual">
      <formula>0.5</formula>
    </cfRule>
  </conditionalFormatting>
  <conditionalFormatting sqref="BD12">
    <cfRule type="cellIs" dxfId="27539" priority="162732" stopIfTrue="1" operator="equal">
      <formula>-1</formula>
    </cfRule>
  </conditionalFormatting>
  <conditionalFormatting sqref="BD12">
    <cfRule type="cellIs" dxfId="27538" priority="162733" stopIfTrue="1" operator="lessThan">
      <formula>0.5</formula>
    </cfRule>
  </conditionalFormatting>
  <conditionalFormatting sqref="BD12">
    <cfRule type="cellIs" dxfId="27537" priority="162734" stopIfTrue="1" operator="greaterThanOrEqual">
      <formula>0.5</formula>
    </cfRule>
  </conditionalFormatting>
  <conditionalFormatting sqref="BD13">
    <cfRule type="cellIs" dxfId="27536" priority="162735" stopIfTrue="1" operator="equal">
      <formula>-1</formula>
    </cfRule>
  </conditionalFormatting>
  <conditionalFormatting sqref="BD13">
    <cfRule type="cellIs" dxfId="27535" priority="162736" stopIfTrue="1" operator="lessThan">
      <formula>0.5</formula>
    </cfRule>
  </conditionalFormatting>
  <conditionalFormatting sqref="BD13">
    <cfRule type="cellIs" dxfId="27534" priority="162737" stopIfTrue="1" operator="greaterThanOrEqual">
      <formula>0.5</formula>
    </cfRule>
  </conditionalFormatting>
  <conditionalFormatting sqref="BD14">
    <cfRule type="cellIs" dxfId="27533" priority="162738" stopIfTrue="1" operator="equal">
      <formula>-1</formula>
    </cfRule>
  </conditionalFormatting>
  <conditionalFormatting sqref="BD14">
    <cfRule type="cellIs" dxfId="27532" priority="162739" stopIfTrue="1" operator="lessThan">
      <formula>0.5</formula>
    </cfRule>
  </conditionalFormatting>
  <conditionalFormatting sqref="BD14">
    <cfRule type="cellIs" dxfId="27531" priority="162740" stopIfTrue="1" operator="greaterThanOrEqual">
      <formula>0.5</formula>
    </cfRule>
  </conditionalFormatting>
  <conditionalFormatting sqref="BD15">
    <cfRule type="cellIs" dxfId="27530" priority="162741" stopIfTrue="1" operator="equal">
      <formula>-1</formula>
    </cfRule>
  </conditionalFormatting>
  <conditionalFormatting sqref="BD15">
    <cfRule type="cellIs" dxfId="27529" priority="162742" stopIfTrue="1" operator="lessThan">
      <formula>0.5</formula>
    </cfRule>
  </conditionalFormatting>
  <conditionalFormatting sqref="BD15">
    <cfRule type="cellIs" dxfId="27528" priority="162743" stopIfTrue="1" operator="greaterThanOrEqual">
      <formula>0.5</formula>
    </cfRule>
  </conditionalFormatting>
  <conditionalFormatting sqref="BF8">
    <cfRule type="cellIs" dxfId="27527" priority="162744" stopIfTrue="1" operator="equal">
      <formula>-1</formula>
    </cfRule>
  </conditionalFormatting>
  <conditionalFormatting sqref="BF8">
    <cfRule type="cellIs" dxfId="27526" priority="162745" stopIfTrue="1" operator="lessThan">
      <formula>0.5</formula>
    </cfRule>
  </conditionalFormatting>
  <conditionalFormatting sqref="BF8">
    <cfRule type="cellIs" dxfId="27525" priority="162746" stopIfTrue="1" operator="greaterThanOrEqual">
      <formula>0.5</formula>
    </cfRule>
  </conditionalFormatting>
  <conditionalFormatting sqref="BF9">
    <cfRule type="cellIs" dxfId="27524" priority="162747" stopIfTrue="1" operator="equal">
      <formula>-1</formula>
    </cfRule>
  </conditionalFormatting>
  <conditionalFormatting sqref="BF9">
    <cfRule type="cellIs" dxfId="27523" priority="162748" stopIfTrue="1" operator="lessThan">
      <formula>0.5</formula>
    </cfRule>
  </conditionalFormatting>
  <conditionalFormatting sqref="BF9">
    <cfRule type="cellIs" dxfId="27522" priority="162749" stopIfTrue="1" operator="greaterThanOrEqual">
      <formula>0.5</formula>
    </cfRule>
  </conditionalFormatting>
  <conditionalFormatting sqref="BF10">
    <cfRule type="cellIs" dxfId="27521" priority="162750" stopIfTrue="1" operator="equal">
      <formula>-1</formula>
    </cfRule>
  </conditionalFormatting>
  <conditionalFormatting sqref="BF10">
    <cfRule type="cellIs" dxfId="27520" priority="162751" stopIfTrue="1" operator="lessThan">
      <formula>0.5</formula>
    </cfRule>
  </conditionalFormatting>
  <conditionalFormatting sqref="BF10">
    <cfRule type="cellIs" dxfId="27519" priority="162752" stopIfTrue="1" operator="greaterThanOrEqual">
      <formula>0.5</formula>
    </cfRule>
  </conditionalFormatting>
  <conditionalFormatting sqref="BF11">
    <cfRule type="cellIs" dxfId="27518" priority="162753" stopIfTrue="1" operator="equal">
      <formula>-1</formula>
    </cfRule>
  </conditionalFormatting>
  <conditionalFormatting sqref="BF11">
    <cfRule type="cellIs" dxfId="27517" priority="162754" stopIfTrue="1" operator="lessThan">
      <formula>0.5</formula>
    </cfRule>
  </conditionalFormatting>
  <conditionalFormatting sqref="BF11">
    <cfRule type="cellIs" dxfId="27516" priority="162755" stopIfTrue="1" operator="greaterThanOrEqual">
      <formula>0.5</formula>
    </cfRule>
  </conditionalFormatting>
  <conditionalFormatting sqref="BF12">
    <cfRule type="cellIs" dxfId="27515" priority="162756" stopIfTrue="1" operator="equal">
      <formula>-1</formula>
    </cfRule>
  </conditionalFormatting>
  <conditionalFormatting sqref="BF12">
    <cfRule type="cellIs" dxfId="27514" priority="162757" stopIfTrue="1" operator="lessThan">
      <formula>0.5</formula>
    </cfRule>
  </conditionalFormatting>
  <conditionalFormatting sqref="BF12">
    <cfRule type="cellIs" dxfId="27513" priority="162758" stopIfTrue="1" operator="greaterThanOrEqual">
      <formula>0.5</formula>
    </cfRule>
  </conditionalFormatting>
  <conditionalFormatting sqref="BF13">
    <cfRule type="cellIs" dxfId="27512" priority="162759" stopIfTrue="1" operator="equal">
      <formula>-1</formula>
    </cfRule>
  </conditionalFormatting>
  <conditionalFormatting sqref="BF13">
    <cfRule type="cellIs" dxfId="27511" priority="162760" stopIfTrue="1" operator="lessThan">
      <formula>0.5</formula>
    </cfRule>
  </conditionalFormatting>
  <conditionalFormatting sqref="BF13">
    <cfRule type="cellIs" dxfId="27510" priority="162761" stopIfTrue="1" operator="greaterThanOrEqual">
      <formula>0.5</formula>
    </cfRule>
  </conditionalFormatting>
  <conditionalFormatting sqref="BF14">
    <cfRule type="cellIs" dxfId="27509" priority="162762" stopIfTrue="1" operator="equal">
      <formula>-1</formula>
    </cfRule>
  </conditionalFormatting>
  <conditionalFormatting sqref="BF14">
    <cfRule type="cellIs" dxfId="27508" priority="162763" stopIfTrue="1" operator="lessThan">
      <formula>0.5</formula>
    </cfRule>
  </conditionalFormatting>
  <conditionalFormatting sqref="BF14">
    <cfRule type="cellIs" dxfId="27507" priority="162764" stopIfTrue="1" operator="greaterThanOrEqual">
      <formula>0.5</formula>
    </cfRule>
  </conditionalFormatting>
  <conditionalFormatting sqref="BF15">
    <cfRule type="cellIs" dxfId="27506" priority="162765" stopIfTrue="1" operator="equal">
      <formula>-1</formula>
    </cfRule>
  </conditionalFormatting>
  <conditionalFormatting sqref="BF15">
    <cfRule type="cellIs" dxfId="27505" priority="162766" stopIfTrue="1" operator="lessThan">
      <formula>0.5</formula>
    </cfRule>
  </conditionalFormatting>
  <conditionalFormatting sqref="BF15">
    <cfRule type="cellIs" dxfId="27504" priority="162767" stopIfTrue="1" operator="greaterThanOrEqual">
      <formula>0.5</formula>
    </cfRule>
  </conditionalFormatting>
  <conditionalFormatting sqref="BH8">
    <cfRule type="cellIs" dxfId="27503" priority="162768" stopIfTrue="1" operator="equal">
      <formula>-1</formula>
    </cfRule>
  </conditionalFormatting>
  <conditionalFormatting sqref="BH8">
    <cfRule type="cellIs" dxfId="27502" priority="162769" stopIfTrue="1" operator="lessThan">
      <formula>0.5</formula>
    </cfRule>
  </conditionalFormatting>
  <conditionalFormatting sqref="BH8">
    <cfRule type="cellIs" dxfId="27501" priority="162770" stopIfTrue="1" operator="greaterThanOrEqual">
      <formula>0.5</formula>
    </cfRule>
  </conditionalFormatting>
  <conditionalFormatting sqref="BH9">
    <cfRule type="cellIs" dxfId="27500" priority="162771" stopIfTrue="1" operator="equal">
      <formula>-1</formula>
    </cfRule>
  </conditionalFormatting>
  <conditionalFormatting sqref="BH9">
    <cfRule type="cellIs" dxfId="27499" priority="162772" stopIfTrue="1" operator="lessThan">
      <formula>0.5</formula>
    </cfRule>
  </conditionalFormatting>
  <conditionalFormatting sqref="BH9">
    <cfRule type="cellIs" dxfId="27498" priority="162773" stopIfTrue="1" operator="greaterThanOrEqual">
      <formula>0.5</formula>
    </cfRule>
  </conditionalFormatting>
  <conditionalFormatting sqref="BH10">
    <cfRule type="cellIs" dxfId="27497" priority="162774" stopIfTrue="1" operator="equal">
      <formula>-1</formula>
    </cfRule>
  </conditionalFormatting>
  <conditionalFormatting sqref="BH10">
    <cfRule type="cellIs" dxfId="27496" priority="162775" stopIfTrue="1" operator="lessThan">
      <formula>0.5</formula>
    </cfRule>
  </conditionalFormatting>
  <conditionalFormatting sqref="BH10">
    <cfRule type="cellIs" dxfId="27495" priority="162776" stopIfTrue="1" operator="greaterThanOrEqual">
      <formula>0.5</formula>
    </cfRule>
  </conditionalFormatting>
  <conditionalFormatting sqref="BH11">
    <cfRule type="cellIs" dxfId="27494" priority="162777" stopIfTrue="1" operator="equal">
      <formula>-1</formula>
    </cfRule>
  </conditionalFormatting>
  <conditionalFormatting sqref="BH11">
    <cfRule type="cellIs" dxfId="27493" priority="162778" stopIfTrue="1" operator="lessThan">
      <formula>0.5</formula>
    </cfRule>
  </conditionalFormatting>
  <conditionalFormatting sqref="BH11">
    <cfRule type="cellIs" dxfId="27492" priority="162779" stopIfTrue="1" operator="greaterThanOrEqual">
      <formula>0.5</formula>
    </cfRule>
  </conditionalFormatting>
  <conditionalFormatting sqref="BH12">
    <cfRule type="cellIs" dxfId="27491" priority="162780" stopIfTrue="1" operator="equal">
      <formula>-1</formula>
    </cfRule>
  </conditionalFormatting>
  <conditionalFormatting sqref="BH12">
    <cfRule type="cellIs" dxfId="27490" priority="162781" stopIfTrue="1" operator="lessThan">
      <formula>0.5</formula>
    </cfRule>
  </conditionalFormatting>
  <conditionalFormatting sqref="BH12">
    <cfRule type="cellIs" dxfId="27489" priority="162782" stopIfTrue="1" operator="greaterThanOrEqual">
      <formula>0.5</formula>
    </cfRule>
  </conditionalFormatting>
  <conditionalFormatting sqref="BH13">
    <cfRule type="cellIs" dxfId="27488" priority="162783" stopIfTrue="1" operator="equal">
      <formula>-1</formula>
    </cfRule>
  </conditionalFormatting>
  <conditionalFormatting sqref="BH13">
    <cfRule type="cellIs" dxfId="27487" priority="162784" stopIfTrue="1" operator="lessThan">
      <formula>0.5</formula>
    </cfRule>
  </conditionalFormatting>
  <conditionalFormatting sqref="BH13">
    <cfRule type="cellIs" dxfId="27486" priority="162785" stopIfTrue="1" operator="greaterThanOrEqual">
      <formula>0.5</formula>
    </cfRule>
  </conditionalFormatting>
  <conditionalFormatting sqref="BH14">
    <cfRule type="cellIs" dxfId="27485" priority="162786" stopIfTrue="1" operator="equal">
      <formula>-1</formula>
    </cfRule>
  </conditionalFormatting>
  <conditionalFormatting sqref="BH14">
    <cfRule type="cellIs" dxfId="27484" priority="162787" stopIfTrue="1" operator="lessThan">
      <formula>0.5</formula>
    </cfRule>
  </conditionalFormatting>
  <conditionalFormatting sqref="BH14">
    <cfRule type="cellIs" dxfId="27483" priority="162788" stopIfTrue="1" operator="greaterThanOrEqual">
      <formula>0.5</formula>
    </cfRule>
  </conditionalFormatting>
  <conditionalFormatting sqref="BH15">
    <cfRule type="cellIs" dxfId="27482" priority="162789" stopIfTrue="1" operator="equal">
      <formula>-1</formula>
    </cfRule>
  </conditionalFormatting>
  <conditionalFormatting sqref="BH15">
    <cfRule type="cellIs" dxfId="27481" priority="162790" stopIfTrue="1" operator="lessThan">
      <formula>0.5</formula>
    </cfRule>
  </conditionalFormatting>
  <conditionalFormatting sqref="BH15">
    <cfRule type="cellIs" dxfId="27480" priority="162791" stopIfTrue="1" operator="greaterThanOrEqual">
      <formula>0.5</formula>
    </cfRule>
  </conditionalFormatting>
  <conditionalFormatting sqref="BJ8">
    <cfRule type="cellIs" dxfId="27479" priority="162792" stopIfTrue="1" operator="equal">
      <formula>-1</formula>
    </cfRule>
  </conditionalFormatting>
  <conditionalFormatting sqref="BJ8">
    <cfRule type="cellIs" dxfId="27478" priority="162793" stopIfTrue="1" operator="lessThan">
      <formula>0.5</formula>
    </cfRule>
  </conditionalFormatting>
  <conditionalFormatting sqref="BJ8">
    <cfRule type="cellIs" dxfId="27477" priority="162794" stopIfTrue="1" operator="greaterThanOrEqual">
      <formula>0.5</formula>
    </cfRule>
  </conditionalFormatting>
  <conditionalFormatting sqref="BJ9">
    <cfRule type="cellIs" dxfId="27476" priority="162795" stopIfTrue="1" operator="equal">
      <formula>-1</formula>
    </cfRule>
  </conditionalFormatting>
  <conditionalFormatting sqref="BJ9">
    <cfRule type="cellIs" dxfId="27475" priority="162796" stopIfTrue="1" operator="lessThan">
      <formula>0.5</formula>
    </cfRule>
  </conditionalFormatting>
  <conditionalFormatting sqref="BJ9">
    <cfRule type="cellIs" dxfId="27474" priority="162797" stopIfTrue="1" operator="greaterThanOrEqual">
      <formula>0.5</formula>
    </cfRule>
  </conditionalFormatting>
  <conditionalFormatting sqref="BJ10">
    <cfRule type="cellIs" dxfId="27473" priority="162798" stopIfTrue="1" operator="equal">
      <formula>-1</formula>
    </cfRule>
  </conditionalFormatting>
  <conditionalFormatting sqref="BJ10">
    <cfRule type="cellIs" dxfId="27472" priority="162799" stopIfTrue="1" operator="lessThan">
      <formula>0.5</formula>
    </cfRule>
  </conditionalFormatting>
  <conditionalFormatting sqref="BJ10">
    <cfRule type="cellIs" dxfId="27471" priority="162800" stopIfTrue="1" operator="greaterThanOrEqual">
      <formula>0.5</formula>
    </cfRule>
  </conditionalFormatting>
  <conditionalFormatting sqref="BJ11">
    <cfRule type="cellIs" dxfId="27470" priority="162801" stopIfTrue="1" operator="equal">
      <formula>-1</formula>
    </cfRule>
  </conditionalFormatting>
  <conditionalFormatting sqref="BJ11">
    <cfRule type="cellIs" dxfId="27469" priority="162802" stopIfTrue="1" operator="lessThan">
      <formula>0.5</formula>
    </cfRule>
  </conditionalFormatting>
  <conditionalFormatting sqref="BJ11">
    <cfRule type="cellIs" dxfId="27468" priority="162803" stopIfTrue="1" operator="greaterThanOrEqual">
      <formula>0.5</formula>
    </cfRule>
  </conditionalFormatting>
  <conditionalFormatting sqref="BJ12">
    <cfRule type="cellIs" dxfId="27467" priority="162804" stopIfTrue="1" operator="equal">
      <formula>-1</formula>
    </cfRule>
  </conditionalFormatting>
  <conditionalFormatting sqref="BJ12">
    <cfRule type="cellIs" dxfId="27466" priority="162805" stopIfTrue="1" operator="lessThan">
      <formula>0.5</formula>
    </cfRule>
  </conditionalFormatting>
  <conditionalFormatting sqref="BJ12">
    <cfRule type="cellIs" dxfId="27465" priority="162806" stopIfTrue="1" operator="greaterThanOrEqual">
      <formula>0.5</formula>
    </cfRule>
  </conditionalFormatting>
  <conditionalFormatting sqref="BJ13">
    <cfRule type="cellIs" dxfId="27464" priority="162807" stopIfTrue="1" operator="equal">
      <formula>-1</formula>
    </cfRule>
  </conditionalFormatting>
  <conditionalFormatting sqref="BJ13">
    <cfRule type="cellIs" dxfId="27463" priority="162808" stopIfTrue="1" operator="lessThan">
      <formula>0.5</formula>
    </cfRule>
  </conditionalFormatting>
  <conditionalFormatting sqref="BJ13">
    <cfRule type="cellIs" dxfId="27462" priority="162809" stopIfTrue="1" operator="greaterThanOrEqual">
      <formula>0.5</formula>
    </cfRule>
  </conditionalFormatting>
  <conditionalFormatting sqref="BJ14">
    <cfRule type="cellIs" dxfId="27461" priority="162810" stopIfTrue="1" operator="equal">
      <formula>-1</formula>
    </cfRule>
  </conditionalFormatting>
  <conditionalFormatting sqref="BJ14">
    <cfRule type="cellIs" dxfId="27460" priority="162811" stopIfTrue="1" operator="lessThan">
      <formula>0.5</formula>
    </cfRule>
  </conditionalFormatting>
  <conditionalFormatting sqref="BJ14">
    <cfRule type="cellIs" dxfId="27459" priority="162812" stopIfTrue="1" operator="greaterThanOrEqual">
      <formula>0.5</formula>
    </cfRule>
  </conditionalFormatting>
  <conditionalFormatting sqref="BJ15">
    <cfRule type="cellIs" dxfId="27458" priority="162813" stopIfTrue="1" operator="equal">
      <formula>-1</formula>
    </cfRule>
  </conditionalFormatting>
  <conditionalFormatting sqref="BJ15">
    <cfRule type="cellIs" dxfId="27457" priority="162814" stopIfTrue="1" operator="lessThan">
      <formula>0.5</formula>
    </cfRule>
  </conditionalFormatting>
  <conditionalFormatting sqref="BJ15">
    <cfRule type="cellIs" dxfId="27456" priority="162815" stopIfTrue="1" operator="greaterThanOrEqual">
      <formula>0.5</formula>
    </cfRule>
  </conditionalFormatting>
  <conditionalFormatting sqref="D17">
    <cfRule type="cellIs" dxfId="27455" priority="162816" stopIfTrue="1" operator="equal">
      <formula>-1</formula>
    </cfRule>
  </conditionalFormatting>
  <conditionalFormatting sqref="D17">
    <cfRule type="cellIs" dxfId="27454" priority="162817" stopIfTrue="1" operator="lessThan">
      <formula>0.5</formula>
    </cfRule>
  </conditionalFormatting>
  <conditionalFormatting sqref="D17">
    <cfRule type="cellIs" dxfId="27453" priority="162818" stopIfTrue="1" operator="greaterThanOrEqual">
      <formula>0.5</formula>
    </cfRule>
  </conditionalFormatting>
  <conditionalFormatting sqref="D18">
    <cfRule type="cellIs" dxfId="27452" priority="162819" stopIfTrue="1" operator="equal">
      <formula>-1</formula>
    </cfRule>
  </conditionalFormatting>
  <conditionalFormatting sqref="D18">
    <cfRule type="cellIs" dxfId="27451" priority="162820" stopIfTrue="1" operator="lessThan">
      <formula>0.5</formula>
    </cfRule>
  </conditionalFormatting>
  <conditionalFormatting sqref="D18">
    <cfRule type="cellIs" dxfId="27450" priority="162821" stopIfTrue="1" operator="greaterThanOrEqual">
      <formula>0.5</formula>
    </cfRule>
  </conditionalFormatting>
  <conditionalFormatting sqref="D19">
    <cfRule type="cellIs" dxfId="27449" priority="162822" stopIfTrue="1" operator="equal">
      <formula>-1</formula>
    </cfRule>
  </conditionalFormatting>
  <conditionalFormatting sqref="D19">
    <cfRule type="cellIs" dxfId="27448" priority="162823" stopIfTrue="1" operator="lessThan">
      <formula>0.5</formula>
    </cfRule>
  </conditionalFormatting>
  <conditionalFormatting sqref="D19">
    <cfRule type="cellIs" dxfId="27447" priority="162824" stopIfTrue="1" operator="greaterThanOrEqual">
      <formula>0.5</formula>
    </cfRule>
  </conditionalFormatting>
  <conditionalFormatting sqref="D20">
    <cfRule type="cellIs" dxfId="27446" priority="162825" stopIfTrue="1" operator="equal">
      <formula>-1</formula>
    </cfRule>
  </conditionalFormatting>
  <conditionalFormatting sqref="D20">
    <cfRule type="cellIs" dxfId="27445" priority="162826" stopIfTrue="1" operator="lessThan">
      <formula>0.5</formula>
    </cfRule>
  </conditionalFormatting>
  <conditionalFormatting sqref="D20">
    <cfRule type="cellIs" dxfId="27444" priority="162827" stopIfTrue="1" operator="greaterThanOrEqual">
      <formula>0.5</formula>
    </cfRule>
  </conditionalFormatting>
  <conditionalFormatting sqref="D21">
    <cfRule type="cellIs" dxfId="27443" priority="162828" stopIfTrue="1" operator="equal">
      <formula>-1</formula>
    </cfRule>
  </conditionalFormatting>
  <conditionalFormatting sqref="D21">
    <cfRule type="cellIs" dxfId="27442" priority="162829" stopIfTrue="1" operator="lessThan">
      <formula>0.5</formula>
    </cfRule>
  </conditionalFormatting>
  <conditionalFormatting sqref="D21">
    <cfRule type="cellIs" dxfId="27441" priority="162830" stopIfTrue="1" operator="greaterThanOrEqual">
      <formula>0.5</formula>
    </cfRule>
  </conditionalFormatting>
  <conditionalFormatting sqref="D22">
    <cfRule type="cellIs" dxfId="27440" priority="162831" stopIfTrue="1" operator="equal">
      <formula>-1</formula>
    </cfRule>
  </conditionalFormatting>
  <conditionalFormatting sqref="D22">
    <cfRule type="cellIs" dxfId="27439" priority="162832" stopIfTrue="1" operator="lessThan">
      <formula>0.5</formula>
    </cfRule>
  </conditionalFormatting>
  <conditionalFormatting sqref="D22">
    <cfRule type="cellIs" dxfId="27438" priority="162833" stopIfTrue="1" operator="greaterThanOrEqual">
      <formula>0.5</formula>
    </cfRule>
  </conditionalFormatting>
  <conditionalFormatting sqref="D23">
    <cfRule type="cellIs" dxfId="27437" priority="162834" stopIfTrue="1" operator="equal">
      <formula>-1</formula>
    </cfRule>
  </conditionalFormatting>
  <conditionalFormatting sqref="D23">
    <cfRule type="cellIs" dxfId="27436" priority="162835" stopIfTrue="1" operator="lessThan">
      <formula>0.5</formula>
    </cfRule>
  </conditionalFormatting>
  <conditionalFormatting sqref="D23">
    <cfRule type="cellIs" dxfId="27435" priority="162836" stopIfTrue="1" operator="greaterThanOrEqual">
      <formula>0.5</formula>
    </cfRule>
  </conditionalFormatting>
  <conditionalFormatting sqref="D24">
    <cfRule type="cellIs" dxfId="27434" priority="162837" stopIfTrue="1" operator="equal">
      <formula>-1</formula>
    </cfRule>
  </conditionalFormatting>
  <conditionalFormatting sqref="D24">
    <cfRule type="cellIs" dxfId="27433" priority="162838" stopIfTrue="1" operator="lessThan">
      <formula>0.5</formula>
    </cfRule>
  </conditionalFormatting>
  <conditionalFormatting sqref="D24">
    <cfRule type="cellIs" dxfId="27432" priority="162839" stopIfTrue="1" operator="greaterThanOrEqual">
      <formula>0.5</formula>
    </cfRule>
  </conditionalFormatting>
  <conditionalFormatting sqref="D25">
    <cfRule type="cellIs" dxfId="27431" priority="162840" stopIfTrue="1" operator="equal">
      <formula>-1</formula>
    </cfRule>
  </conditionalFormatting>
  <conditionalFormatting sqref="D25">
    <cfRule type="cellIs" dxfId="27430" priority="162841" stopIfTrue="1" operator="lessThan">
      <formula>0.5</formula>
    </cfRule>
  </conditionalFormatting>
  <conditionalFormatting sqref="D25">
    <cfRule type="cellIs" dxfId="27429" priority="162842" stopIfTrue="1" operator="greaterThanOrEqual">
      <formula>0.5</formula>
    </cfRule>
  </conditionalFormatting>
  <conditionalFormatting sqref="D26">
    <cfRule type="cellIs" dxfId="27428" priority="162843" stopIfTrue="1" operator="equal">
      <formula>-1</formula>
    </cfRule>
  </conditionalFormatting>
  <conditionalFormatting sqref="D26">
    <cfRule type="cellIs" dxfId="27427" priority="162844" stopIfTrue="1" operator="lessThan">
      <formula>0.5</formula>
    </cfRule>
  </conditionalFormatting>
  <conditionalFormatting sqref="D26">
    <cfRule type="cellIs" dxfId="27426" priority="162845" stopIfTrue="1" operator="greaterThanOrEqual">
      <formula>0.5</formula>
    </cfRule>
  </conditionalFormatting>
  <conditionalFormatting sqref="D27">
    <cfRule type="cellIs" dxfId="27425" priority="162846" stopIfTrue="1" operator="equal">
      <formula>-1</formula>
    </cfRule>
  </conditionalFormatting>
  <conditionalFormatting sqref="D27">
    <cfRule type="cellIs" dxfId="27424" priority="162847" stopIfTrue="1" operator="lessThan">
      <formula>0.5</formula>
    </cfRule>
  </conditionalFormatting>
  <conditionalFormatting sqref="D27">
    <cfRule type="cellIs" dxfId="27423" priority="162848" stopIfTrue="1" operator="greaterThanOrEqual">
      <formula>0.5</formula>
    </cfRule>
  </conditionalFormatting>
  <conditionalFormatting sqref="D28">
    <cfRule type="cellIs" dxfId="27422" priority="162849" stopIfTrue="1" operator="equal">
      <formula>-1</formula>
    </cfRule>
  </conditionalFormatting>
  <conditionalFormatting sqref="D28">
    <cfRule type="cellIs" dxfId="27421" priority="162850" stopIfTrue="1" operator="lessThan">
      <formula>0.5</formula>
    </cfRule>
  </conditionalFormatting>
  <conditionalFormatting sqref="D28">
    <cfRule type="cellIs" dxfId="27420" priority="162851" stopIfTrue="1" operator="greaterThanOrEqual">
      <formula>0.5</formula>
    </cfRule>
  </conditionalFormatting>
  <conditionalFormatting sqref="D29">
    <cfRule type="cellIs" dxfId="27419" priority="162852" stopIfTrue="1" operator="equal">
      <formula>-1</formula>
    </cfRule>
  </conditionalFormatting>
  <conditionalFormatting sqref="D29">
    <cfRule type="cellIs" dxfId="27418" priority="162853" stopIfTrue="1" operator="lessThan">
      <formula>0.5</formula>
    </cfRule>
  </conditionalFormatting>
  <conditionalFormatting sqref="D29">
    <cfRule type="cellIs" dxfId="27417" priority="162854" stopIfTrue="1" operator="greaterThanOrEqual">
      <formula>0.5</formula>
    </cfRule>
  </conditionalFormatting>
  <conditionalFormatting sqref="D30">
    <cfRule type="cellIs" dxfId="27416" priority="162855" stopIfTrue="1" operator="equal">
      <formula>-1</formula>
    </cfRule>
  </conditionalFormatting>
  <conditionalFormatting sqref="D30">
    <cfRule type="cellIs" dxfId="27415" priority="162856" stopIfTrue="1" operator="lessThan">
      <formula>0.5</formula>
    </cfRule>
  </conditionalFormatting>
  <conditionalFormatting sqref="D30">
    <cfRule type="cellIs" dxfId="27414" priority="162857" stopIfTrue="1" operator="greaterThanOrEqual">
      <formula>0.5</formula>
    </cfRule>
  </conditionalFormatting>
  <conditionalFormatting sqref="D31">
    <cfRule type="cellIs" dxfId="27413" priority="162858" stopIfTrue="1" operator="equal">
      <formula>-1</formula>
    </cfRule>
  </conditionalFormatting>
  <conditionalFormatting sqref="D31">
    <cfRule type="cellIs" dxfId="27412" priority="162859" stopIfTrue="1" operator="lessThan">
      <formula>0.5</formula>
    </cfRule>
  </conditionalFormatting>
  <conditionalFormatting sqref="D31">
    <cfRule type="cellIs" dxfId="27411" priority="162860" stopIfTrue="1" operator="greaterThanOrEqual">
      <formula>0.5</formula>
    </cfRule>
  </conditionalFormatting>
  <conditionalFormatting sqref="D32">
    <cfRule type="cellIs" dxfId="27410" priority="162861" stopIfTrue="1" operator="equal">
      <formula>-1</formula>
    </cfRule>
  </conditionalFormatting>
  <conditionalFormatting sqref="D32">
    <cfRule type="cellIs" dxfId="27409" priority="162862" stopIfTrue="1" operator="lessThan">
      <formula>0.5</formula>
    </cfRule>
  </conditionalFormatting>
  <conditionalFormatting sqref="D32">
    <cfRule type="cellIs" dxfId="27408" priority="162863" stopIfTrue="1" operator="greaterThanOrEqual">
      <formula>0.5</formula>
    </cfRule>
  </conditionalFormatting>
  <conditionalFormatting sqref="D33">
    <cfRule type="cellIs" dxfId="27407" priority="162864" stopIfTrue="1" operator="equal">
      <formula>-1</formula>
    </cfRule>
  </conditionalFormatting>
  <conditionalFormatting sqref="D33">
    <cfRule type="cellIs" dxfId="27406" priority="162865" stopIfTrue="1" operator="lessThan">
      <formula>0.5</formula>
    </cfRule>
  </conditionalFormatting>
  <conditionalFormatting sqref="D33">
    <cfRule type="cellIs" dxfId="27405" priority="162866" stopIfTrue="1" operator="greaterThanOrEqual">
      <formula>0.5</formula>
    </cfRule>
  </conditionalFormatting>
  <conditionalFormatting sqref="D34">
    <cfRule type="cellIs" dxfId="27404" priority="162867" stopIfTrue="1" operator="equal">
      <formula>-1</formula>
    </cfRule>
  </conditionalFormatting>
  <conditionalFormatting sqref="D34">
    <cfRule type="cellIs" dxfId="27403" priority="162868" stopIfTrue="1" operator="lessThan">
      <formula>0.5</formula>
    </cfRule>
  </conditionalFormatting>
  <conditionalFormatting sqref="D34">
    <cfRule type="cellIs" dxfId="27402" priority="162869" stopIfTrue="1" operator="greaterThanOrEqual">
      <formula>0.5</formula>
    </cfRule>
  </conditionalFormatting>
  <conditionalFormatting sqref="D35">
    <cfRule type="cellIs" dxfId="27401" priority="162870" stopIfTrue="1" operator="equal">
      <formula>-1</formula>
    </cfRule>
  </conditionalFormatting>
  <conditionalFormatting sqref="D35">
    <cfRule type="cellIs" dxfId="27400" priority="162871" stopIfTrue="1" operator="lessThan">
      <formula>0.5</formula>
    </cfRule>
  </conditionalFormatting>
  <conditionalFormatting sqref="D35">
    <cfRule type="cellIs" dxfId="27399" priority="162872" stopIfTrue="1" operator="greaterThanOrEqual">
      <formula>0.5</formula>
    </cfRule>
  </conditionalFormatting>
  <conditionalFormatting sqref="D36">
    <cfRule type="cellIs" dxfId="27398" priority="162873" stopIfTrue="1" operator="equal">
      <formula>-1</formula>
    </cfRule>
  </conditionalFormatting>
  <conditionalFormatting sqref="D36">
    <cfRule type="cellIs" dxfId="27397" priority="162874" stopIfTrue="1" operator="lessThan">
      <formula>0.5</formula>
    </cfRule>
  </conditionalFormatting>
  <conditionalFormatting sqref="D36">
    <cfRule type="cellIs" dxfId="27396" priority="162875" stopIfTrue="1" operator="greaterThanOrEqual">
      <formula>0.5</formula>
    </cfRule>
  </conditionalFormatting>
  <conditionalFormatting sqref="D37">
    <cfRule type="cellIs" dxfId="27395" priority="162876" stopIfTrue="1" operator="equal">
      <formula>-1</formula>
    </cfRule>
  </conditionalFormatting>
  <conditionalFormatting sqref="D37">
    <cfRule type="cellIs" dxfId="27394" priority="162877" stopIfTrue="1" operator="lessThan">
      <formula>0.5</formula>
    </cfRule>
  </conditionalFormatting>
  <conditionalFormatting sqref="D37">
    <cfRule type="cellIs" dxfId="27393" priority="162878" stopIfTrue="1" operator="greaterThanOrEqual">
      <formula>0.5</formula>
    </cfRule>
  </conditionalFormatting>
  <conditionalFormatting sqref="F17">
    <cfRule type="cellIs" dxfId="27392" priority="162879" stopIfTrue="1" operator="equal">
      <formula>-1</formula>
    </cfRule>
  </conditionalFormatting>
  <conditionalFormatting sqref="F17">
    <cfRule type="cellIs" dxfId="27391" priority="162880" stopIfTrue="1" operator="lessThan">
      <formula>0.5</formula>
    </cfRule>
  </conditionalFormatting>
  <conditionalFormatting sqref="F17">
    <cfRule type="cellIs" dxfId="27390" priority="162881" stopIfTrue="1" operator="greaterThanOrEqual">
      <formula>0.5</formula>
    </cfRule>
  </conditionalFormatting>
  <conditionalFormatting sqref="F18">
    <cfRule type="cellIs" dxfId="27389" priority="162882" stopIfTrue="1" operator="equal">
      <formula>-1</formula>
    </cfRule>
  </conditionalFormatting>
  <conditionalFormatting sqref="F18">
    <cfRule type="cellIs" dxfId="27388" priority="162883" stopIfTrue="1" operator="lessThan">
      <formula>0.5</formula>
    </cfRule>
  </conditionalFormatting>
  <conditionalFormatting sqref="F18">
    <cfRule type="cellIs" dxfId="27387" priority="162884" stopIfTrue="1" operator="greaterThanOrEqual">
      <formula>0.5</formula>
    </cfRule>
  </conditionalFormatting>
  <conditionalFormatting sqref="F19">
    <cfRule type="cellIs" dxfId="27386" priority="162885" stopIfTrue="1" operator="equal">
      <formula>-1</formula>
    </cfRule>
  </conditionalFormatting>
  <conditionalFormatting sqref="F19">
    <cfRule type="cellIs" dxfId="27385" priority="162886" stopIfTrue="1" operator="lessThan">
      <formula>0.5</formula>
    </cfRule>
  </conditionalFormatting>
  <conditionalFormatting sqref="F19">
    <cfRule type="cellIs" dxfId="27384" priority="162887" stopIfTrue="1" operator="greaterThanOrEqual">
      <formula>0.5</formula>
    </cfRule>
  </conditionalFormatting>
  <conditionalFormatting sqref="F20">
    <cfRule type="cellIs" dxfId="27383" priority="162888" stopIfTrue="1" operator="equal">
      <formula>-1</formula>
    </cfRule>
  </conditionalFormatting>
  <conditionalFormatting sqref="F20">
    <cfRule type="cellIs" dxfId="27382" priority="162889" stopIfTrue="1" operator="lessThan">
      <formula>0.5</formula>
    </cfRule>
  </conditionalFormatting>
  <conditionalFormatting sqref="F20">
    <cfRule type="cellIs" dxfId="27381" priority="162890" stopIfTrue="1" operator="greaterThanOrEqual">
      <formula>0.5</formula>
    </cfRule>
  </conditionalFormatting>
  <conditionalFormatting sqref="F21">
    <cfRule type="cellIs" dxfId="27380" priority="162891" stopIfTrue="1" operator="equal">
      <formula>-1</formula>
    </cfRule>
  </conditionalFormatting>
  <conditionalFormatting sqref="F21">
    <cfRule type="cellIs" dxfId="27379" priority="162892" stopIfTrue="1" operator="lessThan">
      <formula>0.5</formula>
    </cfRule>
  </conditionalFormatting>
  <conditionalFormatting sqref="F21">
    <cfRule type="cellIs" dxfId="27378" priority="162893" stopIfTrue="1" operator="greaterThanOrEqual">
      <formula>0.5</formula>
    </cfRule>
  </conditionalFormatting>
  <conditionalFormatting sqref="F22">
    <cfRule type="cellIs" dxfId="27377" priority="162894" stopIfTrue="1" operator="equal">
      <formula>-1</formula>
    </cfRule>
  </conditionalFormatting>
  <conditionalFormatting sqref="F22">
    <cfRule type="cellIs" dxfId="27376" priority="162895" stopIfTrue="1" operator="lessThan">
      <formula>0.5</formula>
    </cfRule>
  </conditionalFormatting>
  <conditionalFormatting sqref="F22">
    <cfRule type="cellIs" dxfId="27375" priority="162896" stopIfTrue="1" operator="greaterThanOrEqual">
      <formula>0.5</formula>
    </cfRule>
  </conditionalFormatting>
  <conditionalFormatting sqref="F23">
    <cfRule type="cellIs" dxfId="27374" priority="162897" stopIfTrue="1" operator="equal">
      <formula>-1</formula>
    </cfRule>
  </conditionalFormatting>
  <conditionalFormatting sqref="F23">
    <cfRule type="cellIs" dxfId="27373" priority="162898" stopIfTrue="1" operator="lessThan">
      <formula>0.5</formula>
    </cfRule>
  </conditionalFormatting>
  <conditionalFormatting sqref="F23">
    <cfRule type="cellIs" dxfId="27372" priority="162899" stopIfTrue="1" operator="greaterThanOrEqual">
      <formula>0.5</formula>
    </cfRule>
  </conditionalFormatting>
  <conditionalFormatting sqref="F24">
    <cfRule type="cellIs" dxfId="27371" priority="162900" stopIfTrue="1" operator="equal">
      <formula>-1</formula>
    </cfRule>
  </conditionalFormatting>
  <conditionalFormatting sqref="F24">
    <cfRule type="cellIs" dxfId="27370" priority="162901" stopIfTrue="1" operator="lessThan">
      <formula>0.5</formula>
    </cfRule>
  </conditionalFormatting>
  <conditionalFormatting sqref="F24">
    <cfRule type="cellIs" dxfId="27369" priority="162902" stopIfTrue="1" operator="greaterThanOrEqual">
      <formula>0.5</formula>
    </cfRule>
  </conditionalFormatting>
  <conditionalFormatting sqref="F25">
    <cfRule type="cellIs" dxfId="27368" priority="162903" stopIfTrue="1" operator="equal">
      <formula>-1</formula>
    </cfRule>
  </conditionalFormatting>
  <conditionalFormatting sqref="F25">
    <cfRule type="cellIs" dxfId="27367" priority="162904" stopIfTrue="1" operator="lessThan">
      <formula>0.5</formula>
    </cfRule>
  </conditionalFormatting>
  <conditionalFormatting sqref="F25">
    <cfRule type="cellIs" dxfId="27366" priority="162905" stopIfTrue="1" operator="greaterThanOrEqual">
      <formula>0.5</formula>
    </cfRule>
  </conditionalFormatting>
  <conditionalFormatting sqref="F26">
    <cfRule type="cellIs" dxfId="27365" priority="162906" stopIfTrue="1" operator="equal">
      <formula>-1</formula>
    </cfRule>
  </conditionalFormatting>
  <conditionalFormatting sqref="F26">
    <cfRule type="cellIs" dxfId="27364" priority="162907" stopIfTrue="1" operator="lessThan">
      <formula>0.5</formula>
    </cfRule>
  </conditionalFormatting>
  <conditionalFormatting sqref="F26">
    <cfRule type="cellIs" dxfId="27363" priority="162908" stopIfTrue="1" operator="greaterThanOrEqual">
      <formula>0.5</formula>
    </cfRule>
  </conditionalFormatting>
  <conditionalFormatting sqref="F27">
    <cfRule type="cellIs" dxfId="27362" priority="162909" stopIfTrue="1" operator="equal">
      <formula>-1</formula>
    </cfRule>
  </conditionalFormatting>
  <conditionalFormatting sqref="F27">
    <cfRule type="cellIs" dxfId="27361" priority="162910" stopIfTrue="1" operator="lessThan">
      <formula>0.5</formula>
    </cfRule>
  </conditionalFormatting>
  <conditionalFormatting sqref="F27">
    <cfRule type="cellIs" dxfId="27360" priority="162911" stopIfTrue="1" operator="greaterThanOrEqual">
      <formula>0.5</formula>
    </cfRule>
  </conditionalFormatting>
  <conditionalFormatting sqref="F28">
    <cfRule type="cellIs" dxfId="27359" priority="162912" stopIfTrue="1" operator="equal">
      <formula>-1</formula>
    </cfRule>
  </conditionalFormatting>
  <conditionalFormatting sqref="F28">
    <cfRule type="cellIs" dxfId="27358" priority="162913" stopIfTrue="1" operator="lessThan">
      <formula>0.5</formula>
    </cfRule>
  </conditionalFormatting>
  <conditionalFormatting sqref="F28">
    <cfRule type="cellIs" dxfId="27357" priority="162914" stopIfTrue="1" operator="greaterThanOrEqual">
      <formula>0.5</formula>
    </cfRule>
  </conditionalFormatting>
  <conditionalFormatting sqref="F29">
    <cfRule type="cellIs" dxfId="27356" priority="162915" stopIfTrue="1" operator="equal">
      <formula>-1</formula>
    </cfRule>
  </conditionalFormatting>
  <conditionalFormatting sqref="F29">
    <cfRule type="cellIs" dxfId="27355" priority="162916" stopIfTrue="1" operator="lessThan">
      <formula>0.5</formula>
    </cfRule>
  </conditionalFormatting>
  <conditionalFormatting sqref="F29">
    <cfRule type="cellIs" dxfId="27354" priority="162917" stopIfTrue="1" operator="greaterThanOrEqual">
      <formula>0.5</formula>
    </cfRule>
  </conditionalFormatting>
  <conditionalFormatting sqref="F30">
    <cfRule type="cellIs" dxfId="27353" priority="162918" stopIfTrue="1" operator="equal">
      <formula>-1</formula>
    </cfRule>
  </conditionalFormatting>
  <conditionalFormatting sqref="F30">
    <cfRule type="cellIs" dxfId="27352" priority="162919" stopIfTrue="1" operator="lessThan">
      <formula>0.5</formula>
    </cfRule>
  </conditionalFormatting>
  <conditionalFormatting sqref="F30">
    <cfRule type="cellIs" dxfId="27351" priority="162920" stopIfTrue="1" operator="greaterThanOrEqual">
      <formula>0.5</formula>
    </cfRule>
  </conditionalFormatting>
  <conditionalFormatting sqref="F31">
    <cfRule type="cellIs" dxfId="27350" priority="162921" stopIfTrue="1" operator="equal">
      <formula>-1</formula>
    </cfRule>
  </conditionalFormatting>
  <conditionalFormatting sqref="F31">
    <cfRule type="cellIs" dxfId="27349" priority="162922" stopIfTrue="1" operator="lessThan">
      <formula>0.5</formula>
    </cfRule>
  </conditionalFormatting>
  <conditionalFormatting sqref="F31">
    <cfRule type="cellIs" dxfId="27348" priority="162923" stopIfTrue="1" operator="greaterThanOrEqual">
      <formula>0.5</formula>
    </cfRule>
  </conditionalFormatting>
  <conditionalFormatting sqref="F32">
    <cfRule type="cellIs" dxfId="27347" priority="162924" stopIfTrue="1" operator="equal">
      <formula>-1</formula>
    </cfRule>
  </conditionalFormatting>
  <conditionalFormatting sqref="F32">
    <cfRule type="cellIs" dxfId="27346" priority="162925" stopIfTrue="1" operator="lessThan">
      <formula>0.5</formula>
    </cfRule>
  </conditionalFormatting>
  <conditionalFormatting sqref="F32">
    <cfRule type="cellIs" dxfId="27345" priority="162926" stopIfTrue="1" operator="greaterThanOrEqual">
      <formula>0.5</formula>
    </cfRule>
  </conditionalFormatting>
  <conditionalFormatting sqref="F33">
    <cfRule type="cellIs" dxfId="27344" priority="162927" stopIfTrue="1" operator="equal">
      <formula>-1</formula>
    </cfRule>
  </conditionalFormatting>
  <conditionalFormatting sqref="F33">
    <cfRule type="cellIs" dxfId="27343" priority="162928" stopIfTrue="1" operator="lessThan">
      <formula>0.5</formula>
    </cfRule>
  </conditionalFormatting>
  <conditionalFormatting sqref="F33">
    <cfRule type="cellIs" dxfId="27342" priority="162929" stopIfTrue="1" operator="greaterThanOrEqual">
      <formula>0.5</formula>
    </cfRule>
  </conditionalFormatting>
  <conditionalFormatting sqref="F34">
    <cfRule type="cellIs" dxfId="27341" priority="162930" stopIfTrue="1" operator="equal">
      <formula>-1</formula>
    </cfRule>
  </conditionalFormatting>
  <conditionalFormatting sqref="F34">
    <cfRule type="cellIs" dxfId="27340" priority="162931" stopIfTrue="1" operator="lessThan">
      <formula>0.5</formula>
    </cfRule>
  </conditionalFormatting>
  <conditionalFormatting sqref="F34">
    <cfRule type="cellIs" dxfId="27339" priority="162932" stopIfTrue="1" operator="greaterThanOrEqual">
      <formula>0.5</formula>
    </cfRule>
  </conditionalFormatting>
  <conditionalFormatting sqref="F35">
    <cfRule type="cellIs" dxfId="27338" priority="162933" stopIfTrue="1" operator="equal">
      <formula>-1</formula>
    </cfRule>
  </conditionalFormatting>
  <conditionalFormatting sqref="F35">
    <cfRule type="cellIs" dxfId="27337" priority="162934" stopIfTrue="1" operator="lessThan">
      <formula>0.5</formula>
    </cfRule>
  </conditionalFormatting>
  <conditionalFormatting sqref="F35">
    <cfRule type="cellIs" dxfId="27336" priority="162935" stopIfTrue="1" operator="greaterThanOrEqual">
      <formula>0.5</formula>
    </cfRule>
  </conditionalFormatting>
  <conditionalFormatting sqref="F36">
    <cfRule type="cellIs" dxfId="27335" priority="162936" stopIfTrue="1" operator="equal">
      <formula>-1</formula>
    </cfRule>
  </conditionalFormatting>
  <conditionalFormatting sqref="F36">
    <cfRule type="cellIs" dxfId="27334" priority="162937" stopIfTrue="1" operator="lessThan">
      <formula>0.5</formula>
    </cfRule>
  </conditionalFormatting>
  <conditionalFormatting sqref="F36">
    <cfRule type="cellIs" dxfId="27333" priority="162938" stopIfTrue="1" operator="greaterThanOrEqual">
      <formula>0.5</formula>
    </cfRule>
  </conditionalFormatting>
  <conditionalFormatting sqref="F37">
    <cfRule type="cellIs" dxfId="27332" priority="162939" stopIfTrue="1" operator="equal">
      <formula>-1</formula>
    </cfRule>
  </conditionalFormatting>
  <conditionalFormatting sqref="F37">
    <cfRule type="cellIs" dxfId="27331" priority="162940" stopIfTrue="1" operator="lessThan">
      <formula>0.5</formula>
    </cfRule>
  </conditionalFormatting>
  <conditionalFormatting sqref="F37">
    <cfRule type="cellIs" dxfId="27330" priority="162941" stopIfTrue="1" operator="greaterThanOrEqual">
      <formula>0.5</formula>
    </cfRule>
  </conditionalFormatting>
  <conditionalFormatting sqref="H17">
    <cfRule type="cellIs" dxfId="27329" priority="162942" stopIfTrue="1" operator="equal">
      <formula>-1</formula>
    </cfRule>
  </conditionalFormatting>
  <conditionalFormatting sqref="H17">
    <cfRule type="cellIs" dxfId="27328" priority="162943" stopIfTrue="1" operator="lessThan">
      <formula>0.5</formula>
    </cfRule>
  </conditionalFormatting>
  <conditionalFormatting sqref="H17">
    <cfRule type="cellIs" dxfId="27327" priority="162944" stopIfTrue="1" operator="greaterThanOrEqual">
      <formula>0.5</formula>
    </cfRule>
  </conditionalFormatting>
  <conditionalFormatting sqref="H18">
    <cfRule type="cellIs" dxfId="27326" priority="162945" stopIfTrue="1" operator="equal">
      <formula>-1</formula>
    </cfRule>
  </conditionalFormatting>
  <conditionalFormatting sqref="H18">
    <cfRule type="cellIs" dxfId="27325" priority="162946" stopIfTrue="1" operator="lessThan">
      <formula>0.5</formula>
    </cfRule>
  </conditionalFormatting>
  <conditionalFormatting sqref="H18">
    <cfRule type="cellIs" dxfId="27324" priority="162947" stopIfTrue="1" operator="greaterThanOrEqual">
      <formula>0.5</formula>
    </cfRule>
  </conditionalFormatting>
  <conditionalFormatting sqref="H19">
    <cfRule type="cellIs" dxfId="27323" priority="162948" stopIfTrue="1" operator="equal">
      <formula>-1</formula>
    </cfRule>
  </conditionalFormatting>
  <conditionalFormatting sqref="H19">
    <cfRule type="cellIs" dxfId="27322" priority="162949" stopIfTrue="1" operator="lessThan">
      <formula>0.5</formula>
    </cfRule>
  </conditionalFormatting>
  <conditionalFormatting sqref="H19">
    <cfRule type="cellIs" dxfId="27321" priority="162950" stopIfTrue="1" operator="greaterThanOrEqual">
      <formula>0.5</formula>
    </cfRule>
  </conditionalFormatting>
  <conditionalFormatting sqref="H20">
    <cfRule type="cellIs" dxfId="27320" priority="162951" stopIfTrue="1" operator="equal">
      <formula>-1</formula>
    </cfRule>
  </conditionalFormatting>
  <conditionalFormatting sqref="H20">
    <cfRule type="cellIs" dxfId="27319" priority="162952" stopIfTrue="1" operator="lessThan">
      <formula>0.5</formula>
    </cfRule>
  </conditionalFormatting>
  <conditionalFormatting sqref="H20">
    <cfRule type="cellIs" dxfId="27318" priority="162953" stopIfTrue="1" operator="greaterThanOrEqual">
      <formula>0.5</formula>
    </cfRule>
  </conditionalFormatting>
  <conditionalFormatting sqref="H21">
    <cfRule type="cellIs" dxfId="27317" priority="162954" stopIfTrue="1" operator="equal">
      <formula>-1</formula>
    </cfRule>
  </conditionalFormatting>
  <conditionalFormatting sqref="H21">
    <cfRule type="cellIs" dxfId="27316" priority="162955" stopIfTrue="1" operator="lessThan">
      <formula>0.5</formula>
    </cfRule>
  </conditionalFormatting>
  <conditionalFormatting sqref="H21">
    <cfRule type="cellIs" dxfId="27315" priority="162956" stopIfTrue="1" operator="greaterThanOrEqual">
      <formula>0.5</formula>
    </cfRule>
  </conditionalFormatting>
  <conditionalFormatting sqref="H22">
    <cfRule type="cellIs" dxfId="27314" priority="162957" stopIfTrue="1" operator="equal">
      <formula>-1</formula>
    </cfRule>
  </conditionalFormatting>
  <conditionalFormatting sqref="H22">
    <cfRule type="cellIs" dxfId="27313" priority="162958" stopIfTrue="1" operator="lessThan">
      <formula>0.5</formula>
    </cfRule>
  </conditionalFormatting>
  <conditionalFormatting sqref="H22">
    <cfRule type="cellIs" dxfId="27312" priority="162959" stopIfTrue="1" operator="greaterThanOrEqual">
      <formula>0.5</formula>
    </cfRule>
  </conditionalFormatting>
  <conditionalFormatting sqref="H23">
    <cfRule type="cellIs" dxfId="27311" priority="162960" stopIfTrue="1" operator="equal">
      <formula>-1</formula>
    </cfRule>
  </conditionalFormatting>
  <conditionalFormatting sqref="H23">
    <cfRule type="cellIs" dxfId="27310" priority="162961" stopIfTrue="1" operator="lessThan">
      <formula>0.5</formula>
    </cfRule>
  </conditionalFormatting>
  <conditionalFormatting sqref="H23">
    <cfRule type="cellIs" dxfId="27309" priority="162962" stopIfTrue="1" operator="greaterThanOrEqual">
      <formula>0.5</formula>
    </cfRule>
  </conditionalFormatting>
  <conditionalFormatting sqref="H24">
    <cfRule type="cellIs" dxfId="27308" priority="162963" stopIfTrue="1" operator="equal">
      <formula>-1</formula>
    </cfRule>
  </conditionalFormatting>
  <conditionalFormatting sqref="H24">
    <cfRule type="cellIs" dxfId="27307" priority="162964" stopIfTrue="1" operator="lessThan">
      <formula>0.5</formula>
    </cfRule>
  </conditionalFormatting>
  <conditionalFormatting sqref="H24">
    <cfRule type="cellIs" dxfId="27306" priority="162965" stopIfTrue="1" operator="greaterThanOrEqual">
      <formula>0.5</formula>
    </cfRule>
  </conditionalFormatting>
  <conditionalFormatting sqref="H25">
    <cfRule type="cellIs" dxfId="27305" priority="162966" stopIfTrue="1" operator="equal">
      <formula>-1</formula>
    </cfRule>
  </conditionalFormatting>
  <conditionalFormatting sqref="H25">
    <cfRule type="cellIs" dxfId="27304" priority="162967" stopIfTrue="1" operator="lessThan">
      <formula>0.5</formula>
    </cfRule>
  </conditionalFormatting>
  <conditionalFormatting sqref="H25">
    <cfRule type="cellIs" dxfId="27303" priority="162968" stopIfTrue="1" operator="greaterThanOrEqual">
      <formula>0.5</formula>
    </cfRule>
  </conditionalFormatting>
  <conditionalFormatting sqref="H26">
    <cfRule type="cellIs" dxfId="27302" priority="162969" stopIfTrue="1" operator="equal">
      <formula>-1</formula>
    </cfRule>
  </conditionalFormatting>
  <conditionalFormatting sqref="H26">
    <cfRule type="cellIs" dxfId="27301" priority="162970" stopIfTrue="1" operator="lessThan">
      <formula>0.5</formula>
    </cfRule>
  </conditionalFormatting>
  <conditionalFormatting sqref="H26">
    <cfRule type="cellIs" dxfId="27300" priority="162971" stopIfTrue="1" operator="greaterThanOrEqual">
      <formula>0.5</formula>
    </cfRule>
  </conditionalFormatting>
  <conditionalFormatting sqref="H27">
    <cfRule type="cellIs" dxfId="27299" priority="162972" stopIfTrue="1" operator="equal">
      <formula>-1</formula>
    </cfRule>
  </conditionalFormatting>
  <conditionalFormatting sqref="H27">
    <cfRule type="cellIs" dxfId="27298" priority="162973" stopIfTrue="1" operator="lessThan">
      <formula>0.5</formula>
    </cfRule>
  </conditionalFormatting>
  <conditionalFormatting sqref="H27">
    <cfRule type="cellIs" dxfId="27297" priority="162974" stopIfTrue="1" operator="greaterThanOrEqual">
      <formula>0.5</formula>
    </cfRule>
  </conditionalFormatting>
  <conditionalFormatting sqref="H28">
    <cfRule type="cellIs" dxfId="27296" priority="162975" stopIfTrue="1" operator="equal">
      <formula>-1</formula>
    </cfRule>
  </conditionalFormatting>
  <conditionalFormatting sqref="H28">
    <cfRule type="cellIs" dxfId="27295" priority="162976" stopIfTrue="1" operator="lessThan">
      <formula>0.5</formula>
    </cfRule>
  </conditionalFormatting>
  <conditionalFormatting sqref="H28">
    <cfRule type="cellIs" dxfId="27294" priority="162977" stopIfTrue="1" operator="greaterThanOrEqual">
      <formula>0.5</formula>
    </cfRule>
  </conditionalFormatting>
  <conditionalFormatting sqref="H29">
    <cfRule type="cellIs" dxfId="27293" priority="162978" stopIfTrue="1" operator="equal">
      <formula>-1</formula>
    </cfRule>
  </conditionalFormatting>
  <conditionalFormatting sqref="H29">
    <cfRule type="cellIs" dxfId="27292" priority="162979" stopIfTrue="1" operator="lessThan">
      <formula>0.5</formula>
    </cfRule>
  </conditionalFormatting>
  <conditionalFormatting sqref="H29">
    <cfRule type="cellIs" dxfId="27291" priority="162980" stopIfTrue="1" operator="greaterThanOrEqual">
      <formula>0.5</formula>
    </cfRule>
  </conditionalFormatting>
  <conditionalFormatting sqref="H30">
    <cfRule type="cellIs" dxfId="27290" priority="162981" stopIfTrue="1" operator="equal">
      <formula>-1</formula>
    </cfRule>
  </conditionalFormatting>
  <conditionalFormatting sqref="H30">
    <cfRule type="cellIs" dxfId="27289" priority="162982" stopIfTrue="1" operator="lessThan">
      <formula>0.5</formula>
    </cfRule>
  </conditionalFormatting>
  <conditionalFormatting sqref="H30">
    <cfRule type="cellIs" dxfId="27288" priority="162983" stopIfTrue="1" operator="greaterThanOrEqual">
      <formula>0.5</formula>
    </cfRule>
  </conditionalFormatting>
  <conditionalFormatting sqref="H31">
    <cfRule type="cellIs" dxfId="27287" priority="162984" stopIfTrue="1" operator="equal">
      <formula>-1</formula>
    </cfRule>
  </conditionalFormatting>
  <conditionalFormatting sqref="H31">
    <cfRule type="cellIs" dxfId="27286" priority="162985" stopIfTrue="1" operator="lessThan">
      <formula>0.5</formula>
    </cfRule>
  </conditionalFormatting>
  <conditionalFormatting sqref="H31">
    <cfRule type="cellIs" dxfId="27285" priority="162986" stopIfTrue="1" operator="greaterThanOrEqual">
      <formula>0.5</formula>
    </cfRule>
  </conditionalFormatting>
  <conditionalFormatting sqref="H32">
    <cfRule type="cellIs" dxfId="27284" priority="162987" stopIfTrue="1" operator="equal">
      <formula>-1</formula>
    </cfRule>
  </conditionalFormatting>
  <conditionalFormatting sqref="H32">
    <cfRule type="cellIs" dxfId="27283" priority="162988" stopIfTrue="1" operator="lessThan">
      <formula>0.5</formula>
    </cfRule>
  </conditionalFormatting>
  <conditionalFormatting sqref="H32">
    <cfRule type="cellIs" dxfId="27282" priority="162989" stopIfTrue="1" operator="greaterThanOrEqual">
      <formula>0.5</formula>
    </cfRule>
  </conditionalFormatting>
  <conditionalFormatting sqref="H33">
    <cfRule type="cellIs" dxfId="27281" priority="162990" stopIfTrue="1" operator="equal">
      <formula>-1</formula>
    </cfRule>
  </conditionalFormatting>
  <conditionalFormatting sqref="H33">
    <cfRule type="cellIs" dxfId="27280" priority="162991" stopIfTrue="1" operator="lessThan">
      <formula>0.5</formula>
    </cfRule>
  </conditionalFormatting>
  <conditionalFormatting sqref="H33">
    <cfRule type="cellIs" dxfId="27279" priority="162992" stopIfTrue="1" operator="greaterThanOrEqual">
      <formula>0.5</formula>
    </cfRule>
  </conditionalFormatting>
  <conditionalFormatting sqref="H34">
    <cfRule type="cellIs" dxfId="27278" priority="162993" stopIfTrue="1" operator="equal">
      <formula>-1</formula>
    </cfRule>
  </conditionalFormatting>
  <conditionalFormatting sqref="H34">
    <cfRule type="cellIs" dxfId="27277" priority="162994" stopIfTrue="1" operator="lessThan">
      <formula>0.5</formula>
    </cfRule>
  </conditionalFormatting>
  <conditionalFormatting sqref="H34">
    <cfRule type="cellIs" dxfId="27276" priority="162995" stopIfTrue="1" operator="greaterThanOrEqual">
      <formula>0.5</formula>
    </cfRule>
  </conditionalFormatting>
  <conditionalFormatting sqref="H35">
    <cfRule type="cellIs" dxfId="27275" priority="162996" stopIfTrue="1" operator="equal">
      <formula>-1</formula>
    </cfRule>
  </conditionalFormatting>
  <conditionalFormatting sqref="H35">
    <cfRule type="cellIs" dxfId="27274" priority="162997" stopIfTrue="1" operator="lessThan">
      <formula>0.5</formula>
    </cfRule>
  </conditionalFormatting>
  <conditionalFormatting sqref="H35">
    <cfRule type="cellIs" dxfId="27273" priority="162998" stopIfTrue="1" operator="greaterThanOrEqual">
      <formula>0.5</formula>
    </cfRule>
  </conditionalFormatting>
  <conditionalFormatting sqref="H36">
    <cfRule type="cellIs" dxfId="27272" priority="162999" stopIfTrue="1" operator="equal">
      <formula>-1</formula>
    </cfRule>
  </conditionalFormatting>
  <conditionalFormatting sqref="H36">
    <cfRule type="cellIs" dxfId="27271" priority="163000" stopIfTrue="1" operator="lessThan">
      <formula>0.5</formula>
    </cfRule>
  </conditionalFormatting>
  <conditionalFormatting sqref="H36">
    <cfRule type="cellIs" dxfId="27270" priority="163001" stopIfTrue="1" operator="greaterThanOrEqual">
      <formula>0.5</formula>
    </cfRule>
  </conditionalFormatting>
  <conditionalFormatting sqref="H37">
    <cfRule type="cellIs" dxfId="27269" priority="163002" stopIfTrue="1" operator="equal">
      <formula>-1</formula>
    </cfRule>
  </conditionalFormatting>
  <conditionalFormatting sqref="H37">
    <cfRule type="cellIs" dxfId="27268" priority="163003" stopIfTrue="1" operator="lessThan">
      <formula>0.5</formula>
    </cfRule>
  </conditionalFormatting>
  <conditionalFormatting sqref="H37">
    <cfRule type="cellIs" dxfId="27267" priority="163004" stopIfTrue="1" operator="greaterThanOrEqual">
      <formula>0.5</formula>
    </cfRule>
  </conditionalFormatting>
  <conditionalFormatting sqref="J17">
    <cfRule type="cellIs" dxfId="27266" priority="163005" stopIfTrue="1" operator="equal">
      <formula>-1</formula>
    </cfRule>
  </conditionalFormatting>
  <conditionalFormatting sqref="J17">
    <cfRule type="cellIs" dxfId="27265" priority="163006" stopIfTrue="1" operator="lessThan">
      <formula>0.5</formula>
    </cfRule>
  </conditionalFormatting>
  <conditionalFormatting sqref="J17">
    <cfRule type="cellIs" dxfId="27264" priority="163007" stopIfTrue="1" operator="greaterThanOrEqual">
      <formula>0.5</formula>
    </cfRule>
  </conditionalFormatting>
  <conditionalFormatting sqref="J18">
    <cfRule type="cellIs" dxfId="27263" priority="163008" stopIfTrue="1" operator="equal">
      <formula>-1</formula>
    </cfRule>
  </conditionalFormatting>
  <conditionalFormatting sqref="J18">
    <cfRule type="cellIs" dxfId="27262" priority="163009" stopIfTrue="1" operator="lessThan">
      <formula>0.5</formula>
    </cfRule>
  </conditionalFormatting>
  <conditionalFormatting sqref="J18">
    <cfRule type="cellIs" dxfId="27261" priority="163010" stopIfTrue="1" operator="greaterThanOrEqual">
      <formula>0.5</formula>
    </cfRule>
  </conditionalFormatting>
  <conditionalFormatting sqref="J19">
    <cfRule type="cellIs" dxfId="27260" priority="163011" stopIfTrue="1" operator="equal">
      <formula>-1</formula>
    </cfRule>
  </conditionalFormatting>
  <conditionalFormatting sqref="J19">
    <cfRule type="cellIs" dxfId="27259" priority="163012" stopIfTrue="1" operator="lessThan">
      <formula>0.5</formula>
    </cfRule>
  </conditionalFormatting>
  <conditionalFormatting sqref="J19">
    <cfRule type="cellIs" dxfId="27258" priority="163013" stopIfTrue="1" operator="greaterThanOrEqual">
      <formula>0.5</formula>
    </cfRule>
  </conditionalFormatting>
  <conditionalFormatting sqref="J20">
    <cfRule type="cellIs" dxfId="27257" priority="163014" stopIfTrue="1" operator="equal">
      <formula>-1</formula>
    </cfRule>
  </conditionalFormatting>
  <conditionalFormatting sqref="J20">
    <cfRule type="cellIs" dxfId="27256" priority="163015" stopIfTrue="1" operator="lessThan">
      <formula>0.5</formula>
    </cfRule>
  </conditionalFormatting>
  <conditionalFormatting sqref="J20">
    <cfRule type="cellIs" dxfId="27255" priority="163016" stopIfTrue="1" operator="greaterThanOrEqual">
      <formula>0.5</formula>
    </cfRule>
  </conditionalFormatting>
  <conditionalFormatting sqref="J21">
    <cfRule type="cellIs" dxfId="27254" priority="163017" stopIfTrue="1" operator="equal">
      <formula>-1</formula>
    </cfRule>
  </conditionalFormatting>
  <conditionalFormatting sqref="J21">
    <cfRule type="cellIs" dxfId="27253" priority="163018" stopIfTrue="1" operator="lessThan">
      <formula>0.5</formula>
    </cfRule>
  </conditionalFormatting>
  <conditionalFormatting sqref="J21">
    <cfRule type="cellIs" dxfId="27252" priority="163019" stopIfTrue="1" operator="greaterThanOrEqual">
      <formula>0.5</formula>
    </cfRule>
  </conditionalFormatting>
  <conditionalFormatting sqref="J22">
    <cfRule type="cellIs" dxfId="27251" priority="163020" stopIfTrue="1" operator="equal">
      <formula>-1</formula>
    </cfRule>
  </conditionalFormatting>
  <conditionalFormatting sqref="J22">
    <cfRule type="cellIs" dxfId="27250" priority="163021" stopIfTrue="1" operator="lessThan">
      <formula>0.5</formula>
    </cfRule>
  </conditionalFormatting>
  <conditionalFormatting sqref="J22">
    <cfRule type="cellIs" dxfId="27249" priority="163022" stopIfTrue="1" operator="greaterThanOrEqual">
      <formula>0.5</formula>
    </cfRule>
  </conditionalFormatting>
  <conditionalFormatting sqref="J23">
    <cfRule type="cellIs" dxfId="27248" priority="163023" stopIfTrue="1" operator="equal">
      <formula>-1</formula>
    </cfRule>
  </conditionalFormatting>
  <conditionalFormatting sqref="J23">
    <cfRule type="cellIs" dxfId="27247" priority="163024" stopIfTrue="1" operator="lessThan">
      <formula>0.5</formula>
    </cfRule>
  </conditionalFormatting>
  <conditionalFormatting sqref="J23">
    <cfRule type="cellIs" dxfId="27246" priority="163025" stopIfTrue="1" operator="greaterThanOrEqual">
      <formula>0.5</formula>
    </cfRule>
  </conditionalFormatting>
  <conditionalFormatting sqref="J24">
    <cfRule type="cellIs" dxfId="27245" priority="163026" stopIfTrue="1" operator="equal">
      <formula>-1</formula>
    </cfRule>
  </conditionalFormatting>
  <conditionalFormatting sqref="J24">
    <cfRule type="cellIs" dxfId="27244" priority="163027" stopIfTrue="1" operator="lessThan">
      <formula>0.5</formula>
    </cfRule>
  </conditionalFormatting>
  <conditionalFormatting sqref="J24">
    <cfRule type="cellIs" dxfId="27243" priority="163028" stopIfTrue="1" operator="greaterThanOrEqual">
      <formula>0.5</formula>
    </cfRule>
  </conditionalFormatting>
  <conditionalFormatting sqref="J25">
    <cfRule type="cellIs" dxfId="27242" priority="163029" stopIfTrue="1" operator="equal">
      <formula>-1</formula>
    </cfRule>
  </conditionalFormatting>
  <conditionalFormatting sqref="J25">
    <cfRule type="cellIs" dxfId="27241" priority="163030" stopIfTrue="1" operator="lessThan">
      <formula>0.5</formula>
    </cfRule>
  </conditionalFormatting>
  <conditionalFormatting sqref="J25">
    <cfRule type="cellIs" dxfId="27240" priority="163031" stopIfTrue="1" operator="greaterThanOrEqual">
      <formula>0.5</formula>
    </cfRule>
  </conditionalFormatting>
  <conditionalFormatting sqref="J26">
    <cfRule type="cellIs" dxfId="27239" priority="163032" stopIfTrue="1" operator="equal">
      <formula>-1</formula>
    </cfRule>
  </conditionalFormatting>
  <conditionalFormatting sqref="J26">
    <cfRule type="cellIs" dxfId="27238" priority="163033" stopIfTrue="1" operator="lessThan">
      <formula>0.5</formula>
    </cfRule>
  </conditionalFormatting>
  <conditionalFormatting sqref="J26">
    <cfRule type="cellIs" dxfId="27237" priority="163034" stopIfTrue="1" operator="greaterThanOrEqual">
      <formula>0.5</formula>
    </cfRule>
  </conditionalFormatting>
  <conditionalFormatting sqref="J27">
    <cfRule type="cellIs" dxfId="27236" priority="163035" stopIfTrue="1" operator="equal">
      <formula>-1</formula>
    </cfRule>
  </conditionalFormatting>
  <conditionalFormatting sqref="J27">
    <cfRule type="cellIs" dxfId="27235" priority="163036" stopIfTrue="1" operator="lessThan">
      <formula>0.5</formula>
    </cfRule>
  </conditionalFormatting>
  <conditionalFormatting sqref="J27">
    <cfRule type="cellIs" dxfId="27234" priority="163037" stopIfTrue="1" operator="greaterThanOrEqual">
      <formula>0.5</formula>
    </cfRule>
  </conditionalFormatting>
  <conditionalFormatting sqref="J28">
    <cfRule type="cellIs" dxfId="27233" priority="163038" stopIfTrue="1" operator="equal">
      <formula>-1</formula>
    </cfRule>
  </conditionalFormatting>
  <conditionalFormatting sqref="J28">
    <cfRule type="cellIs" dxfId="27232" priority="163039" stopIfTrue="1" operator="lessThan">
      <formula>0.5</formula>
    </cfRule>
  </conditionalFormatting>
  <conditionalFormatting sqref="J28">
    <cfRule type="cellIs" dxfId="27231" priority="163040" stopIfTrue="1" operator="greaterThanOrEqual">
      <formula>0.5</formula>
    </cfRule>
  </conditionalFormatting>
  <conditionalFormatting sqref="J29">
    <cfRule type="cellIs" dxfId="27230" priority="163041" stopIfTrue="1" operator="equal">
      <formula>-1</formula>
    </cfRule>
  </conditionalFormatting>
  <conditionalFormatting sqref="J29">
    <cfRule type="cellIs" dxfId="27229" priority="163042" stopIfTrue="1" operator="lessThan">
      <formula>0.5</formula>
    </cfRule>
  </conditionalFormatting>
  <conditionalFormatting sqref="J29">
    <cfRule type="cellIs" dxfId="27228" priority="163043" stopIfTrue="1" operator="greaterThanOrEqual">
      <formula>0.5</formula>
    </cfRule>
  </conditionalFormatting>
  <conditionalFormatting sqref="J30">
    <cfRule type="cellIs" dxfId="27227" priority="163044" stopIfTrue="1" operator="equal">
      <formula>-1</formula>
    </cfRule>
  </conditionalFormatting>
  <conditionalFormatting sqref="J30">
    <cfRule type="cellIs" dxfId="27226" priority="163045" stopIfTrue="1" operator="lessThan">
      <formula>0.5</formula>
    </cfRule>
  </conditionalFormatting>
  <conditionalFormatting sqref="J30">
    <cfRule type="cellIs" dxfId="27225" priority="163046" stopIfTrue="1" operator="greaterThanOrEqual">
      <formula>0.5</formula>
    </cfRule>
  </conditionalFormatting>
  <conditionalFormatting sqref="J31">
    <cfRule type="cellIs" dxfId="27224" priority="163047" stopIfTrue="1" operator="equal">
      <formula>-1</formula>
    </cfRule>
  </conditionalFormatting>
  <conditionalFormatting sqref="J31">
    <cfRule type="cellIs" dxfId="27223" priority="163048" stopIfTrue="1" operator="lessThan">
      <formula>0.5</formula>
    </cfRule>
  </conditionalFormatting>
  <conditionalFormatting sqref="J31">
    <cfRule type="cellIs" dxfId="27222" priority="163049" stopIfTrue="1" operator="greaterThanOrEqual">
      <formula>0.5</formula>
    </cfRule>
  </conditionalFormatting>
  <conditionalFormatting sqref="J32">
    <cfRule type="cellIs" dxfId="27221" priority="163050" stopIfTrue="1" operator="equal">
      <formula>-1</formula>
    </cfRule>
  </conditionalFormatting>
  <conditionalFormatting sqref="J32">
    <cfRule type="cellIs" dxfId="27220" priority="163051" stopIfTrue="1" operator="lessThan">
      <formula>0.5</formula>
    </cfRule>
  </conditionalFormatting>
  <conditionalFormatting sqref="J32">
    <cfRule type="cellIs" dxfId="27219" priority="163052" stopIfTrue="1" operator="greaterThanOrEqual">
      <formula>0.5</formula>
    </cfRule>
  </conditionalFormatting>
  <conditionalFormatting sqref="J33">
    <cfRule type="cellIs" dxfId="27218" priority="163053" stopIfTrue="1" operator="equal">
      <formula>-1</formula>
    </cfRule>
  </conditionalFormatting>
  <conditionalFormatting sqref="J33">
    <cfRule type="cellIs" dxfId="27217" priority="163054" stopIfTrue="1" operator="lessThan">
      <formula>0.5</formula>
    </cfRule>
  </conditionalFormatting>
  <conditionalFormatting sqref="J33">
    <cfRule type="cellIs" dxfId="27216" priority="163055" stopIfTrue="1" operator="greaterThanOrEqual">
      <formula>0.5</formula>
    </cfRule>
  </conditionalFormatting>
  <conditionalFormatting sqref="J34">
    <cfRule type="cellIs" dxfId="27215" priority="163056" stopIfTrue="1" operator="equal">
      <formula>-1</formula>
    </cfRule>
  </conditionalFormatting>
  <conditionalFormatting sqref="J34">
    <cfRule type="cellIs" dxfId="27214" priority="163057" stopIfTrue="1" operator="lessThan">
      <formula>0.5</formula>
    </cfRule>
  </conditionalFormatting>
  <conditionalFormatting sqref="J34">
    <cfRule type="cellIs" dxfId="27213" priority="163058" stopIfTrue="1" operator="greaterThanOrEqual">
      <formula>0.5</formula>
    </cfRule>
  </conditionalFormatting>
  <conditionalFormatting sqref="J35">
    <cfRule type="cellIs" dxfId="27212" priority="163059" stopIfTrue="1" operator="equal">
      <formula>-1</formula>
    </cfRule>
  </conditionalFormatting>
  <conditionalFormatting sqref="J35">
    <cfRule type="cellIs" dxfId="27211" priority="163060" stopIfTrue="1" operator="lessThan">
      <formula>0.5</formula>
    </cfRule>
  </conditionalFormatting>
  <conditionalFormatting sqref="J35">
    <cfRule type="cellIs" dxfId="27210" priority="163061" stopIfTrue="1" operator="greaterThanOrEqual">
      <formula>0.5</formula>
    </cfRule>
  </conditionalFormatting>
  <conditionalFormatting sqref="J36">
    <cfRule type="cellIs" dxfId="27209" priority="163062" stopIfTrue="1" operator="equal">
      <formula>-1</formula>
    </cfRule>
  </conditionalFormatting>
  <conditionalFormatting sqref="J36">
    <cfRule type="cellIs" dxfId="27208" priority="163063" stopIfTrue="1" operator="lessThan">
      <formula>0.5</formula>
    </cfRule>
  </conditionalFormatting>
  <conditionalFormatting sqref="J36">
    <cfRule type="cellIs" dxfId="27207" priority="163064" stopIfTrue="1" operator="greaterThanOrEqual">
      <formula>0.5</formula>
    </cfRule>
  </conditionalFormatting>
  <conditionalFormatting sqref="J37">
    <cfRule type="cellIs" dxfId="27206" priority="163065" stopIfTrue="1" operator="equal">
      <formula>-1</formula>
    </cfRule>
  </conditionalFormatting>
  <conditionalFormatting sqref="J37">
    <cfRule type="cellIs" dxfId="27205" priority="163066" stopIfTrue="1" operator="lessThan">
      <formula>0.5</formula>
    </cfRule>
  </conditionalFormatting>
  <conditionalFormatting sqref="J37">
    <cfRule type="cellIs" dxfId="27204" priority="163067" stopIfTrue="1" operator="greaterThanOrEqual">
      <formula>0.5</formula>
    </cfRule>
  </conditionalFormatting>
  <conditionalFormatting sqref="L17">
    <cfRule type="cellIs" dxfId="27203" priority="163068" stopIfTrue="1" operator="equal">
      <formula>-1</formula>
    </cfRule>
  </conditionalFormatting>
  <conditionalFormatting sqref="L17">
    <cfRule type="cellIs" dxfId="27202" priority="163069" stopIfTrue="1" operator="lessThan">
      <formula>0.5</formula>
    </cfRule>
  </conditionalFormatting>
  <conditionalFormatting sqref="L17">
    <cfRule type="cellIs" dxfId="27201" priority="163070" stopIfTrue="1" operator="greaterThanOrEqual">
      <formula>0.5</formula>
    </cfRule>
  </conditionalFormatting>
  <conditionalFormatting sqref="L18">
    <cfRule type="cellIs" dxfId="27200" priority="163071" stopIfTrue="1" operator="equal">
      <formula>-1</formula>
    </cfRule>
  </conditionalFormatting>
  <conditionalFormatting sqref="L18">
    <cfRule type="cellIs" dxfId="27199" priority="163072" stopIfTrue="1" operator="lessThan">
      <formula>0.5</formula>
    </cfRule>
  </conditionalFormatting>
  <conditionalFormatting sqref="L18">
    <cfRule type="cellIs" dxfId="27198" priority="163073" stopIfTrue="1" operator="greaterThanOrEqual">
      <formula>0.5</formula>
    </cfRule>
  </conditionalFormatting>
  <conditionalFormatting sqref="L19">
    <cfRule type="cellIs" dxfId="27197" priority="163074" stopIfTrue="1" operator="equal">
      <formula>-1</formula>
    </cfRule>
  </conditionalFormatting>
  <conditionalFormatting sqref="L19">
    <cfRule type="cellIs" dxfId="27196" priority="163075" stopIfTrue="1" operator="lessThan">
      <formula>0.5</formula>
    </cfRule>
  </conditionalFormatting>
  <conditionalFormatting sqref="L19">
    <cfRule type="cellIs" dxfId="27195" priority="163076" stopIfTrue="1" operator="greaterThanOrEqual">
      <formula>0.5</formula>
    </cfRule>
  </conditionalFormatting>
  <conditionalFormatting sqref="L20">
    <cfRule type="cellIs" dxfId="27194" priority="163077" stopIfTrue="1" operator="equal">
      <formula>-1</formula>
    </cfRule>
  </conditionalFormatting>
  <conditionalFormatting sqref="L20">
    <cfRule type="cellIs" dxfId="27193" priority="163078" stopIfTrue="1" operator="lessThan">
      <formula>0.5</formula>
    </cfRule>
  </conditionalFormatting>
  <conditionalFormatting sqref="L20">
    <cfRule type="cellIs" dxfId="27192" priority="163079" stopIfTrue="1" operator="greaterThanOrEqual">
      <formula>0.5</formula>
    </cfRule>
  </conditionalFormatting>
  <conditionalFormatting sqref="L21">
    <cfRule type="cellIs" dxfId="27191" priority="163080" stopIfTrue="1" operator="equal">
      <formula>-1</formula>
    </cfRule>
  </conditionalFormatting>
  <conditionalFormatting sqref="L21">
    <cfRule type="cellIs" dxfId="27190" priority="163081" stopIfTrue="1" operator="lessThan">
      <formula>0.5</formula>
    </cfRule>
  </conditionalFormatting>
  <conditionalFormatting sqref="L21">
    <cfRule type="cellIs" dxfId="27189" priority="163082" stopIfTrue="1" operator="greaterThanOrEqual">
      <formula>0.5</formula>
    </cfRule>
  </conditionalFormatting>
  <conditionalFormatting sqref="L22">
    <cfRule type="cellIs" dxfId="27188" priority="163083" stopIfTrue="1" operator="equal">
      <formula>-1</formula>
    </cfRule>
  </conditionalFormatting>
  <conditionalFormatting sqref="L22">
    <cfRule type="cellIs" dxfId="27187" priority="163084" stopIfTrue="1" operator="lessThan">
      <formula>0.5</formula>
    </cfRule>
  </conditionalFormatting>
  <conditionalFormatting sqref="L22">
    <cfRule type="cellIs" dxfId="27186" priority="163085" stopIfTrue="1" operator="greaterThanOrEqual">
      <formula>0.5</formula>
    </cfRule>
  </conditionalFormatting>
  <conditionalFormatting sqref="L23">
    <cfRule type="cellIs" dxfId="27185" priority="163086" stopIfTrue="1" operator="equal">
      <formula>-1</formula>
    </cfRule>
  </conditionalFormatting>
  <conditionalFormatting sqref="L23">
    <cfRule type="cellIs" dxfId="27184" priority="163087" stopIfTrue="1" operator="lessThan">
      <formula>0.5</formula>
    </cfRule>
  </conditionalFormatting>
  <conditionalFormatting sqref="L23">
    <cfRule type="cellIs" dxfId="27183" priority="163088" stopIfTrue="1" operator="greaterThanOrEqual">
      <formula>0.5</formula>
    </cfRule>
  </conditionalFormatting>
  <conditionalFormatting sqref="L24">
    <cfRule type="cellIs" dxfId="27182" priority="163089" stopIfTrue="1" operator="equal">
      <formula>-1</formula>
    </cfRule>
  </conditionalFormatting>
  <conditionalFormatting sqref="L24">
    <cfRule type="cellIs" dxfId="27181" priority="163090" stopIfTrue="1" operator="lessThan">
      <formula>0.5</formula>
    </cfRule>
  </conditionalFormatting>
  <conditionalFormatting sqref="L24">
    <cfRule type="cellIs" dxfId="27180" priority="163091" stopIfTrue="1" operator="greaterThanOrEqual">
      <formula>0.5</formula>
    </cfRule>
  </conditionalFormatting>
  <conditionalFormatting sqref="L25">
    <cfRule type="cellIs" dxfId="27179" priority="163092" stopIfTrue="1" operator="equal">
      <formula>-1</formula>
    </cfRule>
  </conditionalFormatting>
  <conditionalFormatting sqref="L25">
    <cfRule type="cellIs" dxfId="27178" priority="163093" stopIfTrue="1" operator="lessThan">
      <formula>0.5</formula>
    </cfRule>
  </conditionalFormatting>
  <conditionalFormatting sqref="L25">
    <cfRule type="cellIs" dxfId="27177" priority="163094" stopIfTrue="1" operator="greaterThanOrEqual">
      <formula>0.5</formula>
    </cfRule>
  </conditionalFormatting>
  <conditionalFormatting sqref="L26">
    <cfRule type="cellIs" dxfId="27176" priority="163095" stopIfTrue="1" operator="equal">
      <formula>-1</formula>
    </cfRule>
  </conditionalFormatting>
  <conditionalFormatting sqref="L26">
    <cfRule type="cellIs" dxfId="27175" priority="163096" stopIfTrue="1" operator="lessThan">
      <formula>0.5</formula>
    </cfRule>
  </conditionalFormatting>
  <conditionalFormatting sqref="L26">
    <cfRule type="cellIs" dxfId="27174" priority="163097" stopIfTrue="1" operator="greaterThanOrEqual">
      <formula>0.5</formula>
    </cfRule>
  </conditionalFormatting>
  <conditionalFormatting sqref="L27">
    <cfRule type="cellIs" dxfId="27173" priority="163098" stopIfTrue="1" operator="equal">
      <formula>-1</formula>
    </cfRule>
  </conditionalFormatting>
  <conditionalFormatting sqref="L27">
    <cfRule type="cellIs" dxfId="27172" priority="163099" stopIfTrue="1" operator="lessThan">
      <formula>0.5</formula>
    </cfRule>
  </conditionalFormatting>
  <conditionalFormatting sqref="L27">
    <cfRule type="cellIs" dxfId="27171" priority="163100" stopIfTrue="1" operator="greaterThanOrEqual">
      <formula>0.5</formula>
    </cfRule>
  </conditionalFormatting>
  <conditionalFormatting sqref="L28">
    <cfRule type="cellIs" dxfId="27170" priority="163101" stopIfTrue="1" operator="equal">
      <formula>-1</formula>
    </cfRule>
  </conditionalFormatting>
  <conditionalFormatting sqref="L28">
    <cfRule type="cellIs" dxfId="27169" priority="163102" stopIfTrue="1" operator="lessThan">
      <formula>0.5</formula>
    </cfRule>
  </conditionalFormatting>
  <conditionalFormatting sqref="L28">
    <cfRule type="cellIs" dxfId="27168" priority="163103" stopIfTrue="1" operator="greaterThanOrEqual">
      <formula>0.5</formula>
    </cfRule>
  </conditionalFormatting>
  <conditionalFormatting sqref="L29">
    <cfRule type="cellIs" dxfId="27167" priority="163104" stopIfTrue="1" operator="equal">
      <formula>-1</formula>
    </cfRule>
  </conditionalFormatting>
  <conditionalFormatting sqref="L29">
    <cfRule type="cellIs" dxfId="27166" priority="163105" stopIfTrue="1" operator="lessThan">
      <formula>0.5</formula>
    </cfRule>
  </conditionalFormatting>
  <conditionalFormatting sqref="L29">
    <cfRule type="cellIs" dxfId="27165" priority="163106" stopIfTrue="1" operator="greaterThanOrEqual">
      <formula>0.5</formula>
    </cfRule>
  </conditionalFormatting>
  <conditionalFormatting sqref="L30">
    <cfRule type="cellIs" dxfId="27164" priority="163107" stopIfTrue="1" operator="equal">
      <formula>-1</formula>
    </cfRule>
  </conditionalFormatting>
  <conditionalFormatting sqref="L30">
    <cfRule type="cellIs" dxfId="27163" priority="163108" stopIfTrue="1" operator="lessThan">
      <formula>0.5</formula>
    </cfRule>
  </conditionalFormatting>
  <conditionalFormatting sqref="L30">
    <cfRule type="cellIs" dxfId="27162" priority="163109" stopIfTrue="1" operator="greaterThanOrEqual">
      <formula>0.5</formula>
    </cfRule>
  </conditionalFormatting>
  <conditionalFormatting sqref="L31">
    <cfRule type="cellIs" dxfId="27161" priority="163110" stopIfTrue="1" operator="equal">
      <formula>-1</formula>
    </cfRule>
  </conditionalFormatting>
  <conditionalFormatting sqref="L31">
    <cfRule type="cellIs" dxfId="27160" priority="163111" stopIfTrue="1" operator="lessThan">
      <formula>0.5</formula>
    </cfRule>
  </conditionalFormatting>
  <conditionalFormatting sqref="L31">
    <cfRule type="cellIs" dxfId="27159" priority="163112" stopIfTrue="1" operator="greaterThanOrEqual">
      <formula>0.5</formula>
    </cfRule>
  </conditionalFormatting>
  <conditionalFormatting sqref="L32">
    <cfRule type="cellIs" dxfId="27158" priority="163113" stopIfTrue="1" operator="equal">
      <formula>-1</formula>
    </cfRule>
  </conditionalFormatting>
  <conditionalFormatting sqref="L32">
    <cfRule type="cellIs" dxfId="27157" priority="163114" stopIfTrue="1" operator="lessThan">
      <formula>0.5</formula>
    </cfRule>
  </conditionalFormatting>
  <conditionalFormatting sqref="L32">
    <cfRule type="cellIs" dxfId="27156" priority="163115" stopIfTrue="1" operator="greaterThanOrEqual">
      <formula>0.5</formula>
    </cfRule>
  </conditionalFormatting>
  <conditionalFormatting sqref="L33">
    <cfRule type="cellIs" dxfId="27155" priority="163116" stopIfTrue="1" operator="equal">
      <formula>-1</formula>
    </cfRule>
  </conditionalFormatting>
  <conditionalFormatting sqref="L33">
    <cfRule type="cellIs" dxfId="27154" priority="163117" stopIfTrue="1" operator="lessThan">
      <formula>0.5</formula>
    </cfRule>
  </conditionalFormatting>
  <conditionalFormatting sqref="L33">
    <cfRule type="cellIs" dxfId="27153" priority="163118" stopIfTrue="1" operator="greaterThanOrEqual">
      <formula>0.5</formula>
    </cfRule>
  </conditionalFormatting>
  <conditionalFormatting sqref="L34">
    <cfRule type="cellIs" dxfId="27152" priority="163119" stopIfTrue="1" operator="equal">
      <formula>-1</formula>
    </cfRule>
  </conditionalFormatting>
  <conditionalFormatting sqref="L34">
    <cfRule type="cellIs" dxfId="27151" priority="163120" stopIfTrue="1" operator="lessThan">
      <formula>0.5</formula>
    </cfRule>
  </conditionalFormatting>
  <conditionalFormatting sqref="L34">
    <cfRule type="cellIs" dxfId="27150" priority="163121" stopIfTrue="1" operator="greaterThanOrEqual">
      <formula>0.5</formula>
    </cfRule>
  </conditionalFormatting>
  <conditionalFormatting sqref="L35">
    <cfRule type="cellIs" dxfId="27149" priority="163122" stopIfTrue="1" operator="equal">
      <formula>-1</formula>
    </cfRule>
  </conditionalFormatting>
  <conditionalFormatting sqref="L35">
    <cfRule type="cellIs" dxfId="27148" priority="163123" stopIfTrue="1" operator="lessThan">
      <formula>0.5</formula>
    </cfRule>
  </conditionalFormatting>
  <conditionalFormatting sqref="L35">
    <cfRule type="cellIs" dxfId="27147" priority="163124" stopIfTrue="1" operator="greaterThanOrEqual">
      <formula>0.5</formula>
    </cfRule>
  </conditionalFormatting>
  <conditionalFormatting sqref="L36">
    <cfRule type="cellIs" dxfId="27146" priority="163125" stopIfTrue="1" operator="equal">
      <formula>-1</formula>
    </cfRule>
  </conditionalFormatting>
  <conditionalFormatting sqref="L36">
    <cfRule type="cellIs" dxfId="27145" priority="163126" stopIfTrue="1" operator="lessThan">
      <formula>0.5</formula>
    </cfRule>
  </conditionalFormatting>
  <conditionalFormatting sqref="L36">
    <cfRule type="cellIs" dxfId="27144" priority="163127" stopIfTrue="1" operator="greaterThanOrEqual">
      <formula>0.5</formula>
    </cfRule>
  </conditionalFormatting>
  <conditionalFormatting sqref="L37">
    <cfRule type="cellIs" dxfId="27143" priority="163128" stopIfTrue="1" operator="equal">
      <formula>-1</formula>
    </cfRule>
  </conditionalFormatting>
  <conditionalFormatting sqref="L37">
    <cfRule type="cellIs" dxfId="27142" priority="163129" stopIfTrue="1" operator="lessThan">
      <formula>0.5</formula>
    </cfRule>
  </conditionalFormatting>
  <conditionalFormatting sqref="L37">
    <cfRule type="cellIs" dxfId="27141" priority="163130" stopIfTrue="1" operator="greaterThanOrEqual">
      <formula>0.5</formula>
    </cfRule>
  </conditionalFormatting>
  <conditionalFormatting sqref="N17">
    <cfRule type="cellIs" dxfId="27140" priority="163131" stopIfTrue="1" operator="equal">
      <formula>-1</formula>
    </cfRule>
  </conditionalFormatting>
  <conditionalFormatting sqref="N17">
    <cfRule type="cellIs" dxfId="27139" priority="163132" stopIfTrue="1" operator="lessThan">
      <formula>0.5</formula>
    </cfRule>
  </conditionalFormatting>
  <conditionalFormatting sqref="N17">
    <cfRule type="cellIs" dxfId="27138" priority="163133" stopIfTrue="1" operator="greaterThanOrEqual">
      <formula>0.5</formula>
    </cfRule>
  </conditionalFormatting>
  <conditionalFormatting sqref="N18">
    <cfRule type="cellIs" dxfId="27137" priority="163134" stopIfTrue="1" operator="equal">
      <formula>-1</formula>
    </cfRule>
  </conditionalFormatting>
  <conditionalFormatting sqref="N18">
    <cfRule type="cellIs" dxfId="27136" priority="163135" stopIfTrue="1" operator="lessThan">
      <formula>0.5</formula>
    </cfRule>
  </conditionalFormatting>
  <conditionalFormatting sqref="N18">
    <cfRule type="cellIs" dxfId="27135" priority="163136" stopIfTrue="1" operator="greaterThanOrEqual">
      <formula>0.5</formula>
    </cfRule>
  </conditionalFormatting>
  <conditionalFormatting sqref="N19">
    <cfRule type="cellIs" dxfId="27134" priority="163137" stopIfTrue="1" operator="equal">
      <formula>-1</formula>
    </cfRule>
  </conditionalFormatting>
  <conditionalFormatting sqref="N19">
    <cfRule type="cellIs" dxfId="27133" priority="163138" stopIfTrue="1" operator="lessThan">
      <formula>0.5</formula>
    </cfRule>
  </conditionalFormatting>
  <conditionalFormatting sqref="N19">
    <cfRule type="cellIs" dxfId="27132" priority="163139" stopIfTrue="1" operator="greaterThanOrEqual">
      <formula>0.5</formula>
    </cfRule>
  </conditionalFormatting>
  <conditionalFormatting sqref="N20">
    <cfRule type="cellIs" dxfId="27131" priority="163140" stopIfTrue="1" operator="equal">
      <formula>-1</formula>
    </cfRule>
  </conditionalFormatting>
  <conditionalFormatting sqref="N20">
    <cfRule type="cellIs" dxfId="27130" priority="163141" stopIfTrue="1" operator="lessThan">
      <formula>0.5</formula>
    </cfRule>
  </conditionalFormatting>
  <conditionalFormatting sqref="N20">
    <cfRule type="cellIs" dxfId="27129" priority="163142" stopIfTrue="1" operator="greaterThanOrEqual">
      <formula>0.5</formula>
    </cfRule>
  </conditionalFormatting>
  <conditionalFormatting sqref="N21">
    <cfRule type="cellIs" dxfId="27128" priority="163143" stopIfTrue="1" operator="equal">
      <formula>-1</formula>
    </cfRule>
  </conditionalFormatting>
  <conditionalFormatting sqref="N21">
    <cfRule type="cellIs" dxfId="27127" priority="163144" stopIfTrue="1" operator="lessThan">
      <formula>0.5</formula>
    </cfRule>
  </conditionalFormatting>
  <conditionalFormatting sqref="N21">
    <cfRule type="cellIs" dxfId="27126" priority="163145" stopIfTrue="1" operator="greaterThanOrEqual">
      <formula>0.5</formula>
    </cfRule>
  </conditionalFormatting>
  <conditionalFormatting sqref="N22">
    <cfRule type="cellIs" dxfId="27125" priority="163146" stopIfTrue="1" operator="equal">
      <formula>-1</formula>
    </cfRule>
  </conditionalFormatting>
  <conditionalFormatting sqref="N22">
    <cfRule type="cellIs" dxfId="27124" priority="163147" stopIfTrue="1" operator="lessThan">
      <formula>0.5</formula>
    </cfRule>
  </conditionalFormatting>
  <conditionalFormatting sqref="N22">
    <cfRule type="cellIs" dxfId="27123" priority="163148" stopIfTrue="1" operator="greaterThanOrEqual">
      <formula>0.5</formula>
    </cfRule>
  </conditionalFormatting>
  <conditionalFormatting sqref="N23">
    <cfRule type="cellIs" dxfId="27122" priority="163149" stopIfTrue="1" operator="equal">
      <formula>-1</formula>
    </cfRule>
  </conditionalFormatting>
  <conditionalFormatting sqref="N23">
    <cfRule type="cellIs" dxfId="27121" priority="163150" stopIfTrue="1" operator="lessThan">
      <formula>0.5</formula>
    </cfRule>
  </conditionalFormatting>
  <conditionalFormatting sqref="N23">
    <cfRule type="cellIs" dxfId="27120" priority="163151" stopIfTrue="1" operator="greaterThanOrEqual">
      <formula>0.5</formula>
    </cfRule>
  </conditionalFormatting>
  <conditionalFormatting sqref="N24">
    <cfRule type="cellIs" dxfId="27119" priority="163152" stopIfTrue="1" operator="equal">
      <formula>-1</formula>
    </cfRule>
  </conditionalFormatting>
  <conditionalFormatting sqref="N24">
    <cfRule type="cellIs" dxfId="27118" priority="163153" stopIfTrue="1" operator="lessThan">
      <formula>0.5</formula>
    </cfRule>
  </conditionalFormatting>
  <conditionalFormatting sqref="N24">
    <cfRule type="cellIs" dxfId="27117" priority="163154" stopIfTrue="1" operator="greaterThanOrEqual">
      <formula>0.5</formula>
    </cfRule>
  </conditionalFormatting>
  <conditionalFormatting sqref="N25">
    <cfRule type="cellIs" dxfId="27116" priority="163155" stopIfTrue="1" operator="equal">
      <formula>-1</formula>
    </cfRule>
  </conditionalFormatting>
  <conditionalFormatting sqref="N25">
    <cfRule type="cellIs" dxfId="27115" priority="163156" stopIfTrue="1" operator="lessThan">
      <formula>0.5</formula>
    </cfRule>
  </conditionalFormatting>
  <conditionalFormatting sqref="N25">
    <cfRule type="cellIs" dxfId="27114" priority="163157" stopIfTrue="1" operator="greaterThanOrEqual">
      <formula>0.5</formula>
    </cfRule>
  </conditionalFormatting>
  <conditionalFormatting sqref="N26">
    <cfRule type="cellIs" dxfId="27113" priority="163158" stopIfTrue="1" operator="equal">
      <formula>-1</formula>
    </cfRule>
  </conditionalFormatting>
  <conditionalFormatting sqref="N26">
    <cfRule type="cellIs" dxfId="27112" priority="163159" stopIfTrue="1" operator="lessThan">
      <formula>0.5</formula>
    </cfRule>
  </conditionalFormatting>
  <conditionalFormatting sqref="N26">
    <cfRule type="cellIs" dxfId="27111" priority="163160" stopIfTrue="1" operator="greaterThanOrEqual">
      <formula>0.5</formula>
    </cfRule>
  </conditionalFormatting>
  <conditionalFormatting sqref="N27">
    <cfRule type="cellIs" dxfId="27110" priority="163161" stopIfTrue="1" operator="equal">
      <formula>-1</formula>
    </cfRule>
  </conditionalFormatting>
  <conditionalFormatting sqref="N27">
    <cfRule type="cellIs" dxfId="27109" priority="163162" stopIfTrue="1" operator="lessThan">
      <formula>0.5</formula>
    </cfRule>
  </conditionalFormatting>
  <conditionalFormatting sqref="N27">
    <cfRule type="cellIs" dxfId="27108" priority="163163" stopIfTrue="1" operator="greaterThanOrEqual">
      <formula>0.5</formula>
    </cfRule>
  </conditionalFormatting>
  <conditionalFormatting sqref="N28">
    <cfRule type="cellIs" dxfId="27107" priority="163164" stopIfTrue="1" operator="equal">
      <formula>-1</formula>
    </cfRule>
  </conditionalFormatting>
  <conditionalFormatting sqref="N28">
    <cfRule type="cellIs" dxfId="27106" priority="163165" stopIfTrue="1" operator="lessThan">
      <formula>0.5</formula>
    </cfRule>
  </conditionalFormatting>
  <conditionalFormatting sqref="N28">
    <cfRule type="cellIs" dxfId="27105" priority="163166" stopIfTrue="1" operator="greaterThanOrEqual">
      <formula>0.5</formula>
    </cfRule>
  </conditionalFormatting>
  <conditionalFormatting sqref="N29">
    <cfRule type="cellIs" dxfId="27104" priority="163167" stopIfTrue="1" operator="equal">
      <formula>-1</formula>
    </cfRule>
  </conditionalFormatting>
  <conditionalFormatting sqref="N29">
    <cfRule type="cellIs" dxfId="27103" priority="163168" stopIfTrue="1" operator="lessThan">
      <formula>0.5</formula>
    </cfRule>
  </conditionalFormatting>
  <conditionalFormatting sqref="N29">
    <cfRule type="cellIs" dxfId="27102" priority="163169" stopIfTrue="1" operator="greaterThanOrEqual">
      <formula>0.5</formula>
    </cfRule>
  </conditionalFormatting>
  <conditionalFormatting sqref="N30">
    <cfRule type="cellIs" dxfId="27101" priority="163170" stopIfTrue="1" operator="equal">
      <formula>-1</formula>
    </cfRule>
  </conditionalFormatting>
  <conditionalFormatting sqref="N30">
    <cfRule type="cellIs" dxfId="27100" priority="163171" stopIfTrue="1" operator="lessThan">
      <formula>0.5</formula>
    </cfRule>
  </conditionalFormatting>
  <conditionalFormatting sqref="N30">
    <cfRule type="cellIs" dxfId="27099" priority="163172" stopIfTrue="1" operator="greaterThanOrEqual">
      <formula>0.5</formula>
    </cfRule>
  </conditionalFormatting>
  <conditionalFormatting sqref="N31">
    <cfRule type="cellIs" dxfId="27098" priority="163173" stopIfTrue="1" operator="equal">
      <formula>-1</formula>
    </cfRule>
  </conditionalFormatting>
  <conditionalFormatting sqref="N31">
    <cfRule type="cellIs" dxfId="27097" priority="163174" stopIfTrue="1" operator="lessThan">
      <formula>0.5</formula>
    </cfRule>
  </conditionalFormatting>
  <conditionalFormatting sqref="N31">
    <cfRule type="cellIs" dxfId="27096" priority="163175" stopIfTrue="1" operator="greaterThanOrEqual">
      <formula>0.5</formula>
    </cfRule>
  </conditionalFormatting>
  <conditionalFormatting sqref="N32">
    <cfRule type="cellIs" dxfId="27095" priority="163176" stopIfTrue="1" operator="equal">
      <formula>-1</formula>
    </cfRule>
  </conditionalFormatting>
  <conditionalFormatting sqref="N32">
    <cfRule type="cellIs" dxfId="27094" priority="163177" stopIfTrue="1" operator="lessThan">
      <formula>0.5</formula>
    </cfRule>
  </conditionalFormatting>
  <conditionalFormatting sqref="N32">
    <cfRule type="cellIs" dxfId="27093" priority="163178" stopIfTrue="1" operator="greaterThanOrEqual">
      <formula>0.5</formula>
    </cfRule>
  </conditionalFormatting>
  <conditionalFormatting sqref="N33">
    <cfRule type="cellIs" dxfId="27092" priority="163179" stopIfTrue="1" operator="equal">
      <formula>-1</formula>
    </cfRule>
  </conditionalFormatting>
  <conditionalFormatting sqref="N33">
    <cfRule type="cellIs" dxfId="27091" priority="163180" stopIfTrue="1" operator="lessThan">
      <formula>0.5</formula>
    </cfRule>
  </conditionalFormatting>
  <conditionalFormatting sqref="N33">
    <cfRule type="cellIs" dxfId="27090" priority="163181" stopIfTrue="1" operator="greaterThanOrEqual">
      <formula>0.5</formula>
    </cfRule>
  </conditionalFormatting>
  <conditionalFormatting sqref="N34">
    <cfRule type="cellIs" dxfId="27089" priority="163182" stopIfTrue="1" operator="equal">
      <formula>-1</formula>
    </cfRule>
  </conditionalFormatting>
  <conditionalFormatting sqref="N34">
    <cfRule type="cellIs" dxfId="27088" priority="163183" stopIfTrue="1" operator="lessThan">
      <formula>0.5</formula>
    </cfRule>
  </conditionalFormatting>
  <conditionalFormatting sqref="N34">
    <cfRule type="cellIs" dxfId="27087" priority="163184" stopIfTrue="1" operator="greaterThanOrEqual">
      <formula>0.5</formula>
    </cfRule>
  </conditionalFormatting>
  <conditionalFormatting sqref="N35">
    <cfRule type="cellIs" dxfId="27086" priority="163185" stopIfTrue="1" operator="equal">
      <formula>-1</formula>
    </cfRule>
  </conditionalFormatting>
  <conditionalFormatting sqref="N35">
    <cfRule type="cellIs" dxfId="27085" priority="163186" stopIfTrue="1" operator="lessThan">
      <formula>0.5</formula>
    </cfRule>
  </conditionalFormatting>
  <conditionalFormatting sqref="N35">
    <cfRule type="cellIs" dxfId="27084" priority="163187" stopIfTrue="1" operator="greaterThanOrEqual">
      <formula>0.5</formula>
    </cfRule>
  </conditionalFormatting>
  <conditionalFormatting sqref="N36">
    <cfRule type="cellIs" dxfId="27083" priority="163188" stopIfTrue="1" operator="equal">
      <formula>-1</formula>
    </cfRule>
  </conditionalFormatting>
  <conditionalFormatting sqref="N36">
    <cfRule type="cellIs" dxfId="27082" priority="163189" stopIfTrue="1" operator="lessThan">
      <formula>0.5</formula>
    </cfRule>
  </conditionalFormatting>
  <conditionalFormatting sqref="N36">
    <cfRule type="cellIs" dxfId="27081" priority="163190" stopIfTrue="1" operator="greaterThanOrEqual">
      <formula>0.5</formula>
    </cfRule>
  </conditionalFormatting>
  <conditionalFormatting sqref="N37">
    <cfRule type="cellIs" dxfId="27080" priority="163191" stopIfTrue="1" operator="equal">
      <formula>-1</formula>
    </cfRule>
  </conditionalFormatting>
  <conditionalFormatting sqref="N37">
    <cfRule type="cellIs" dxfId="27079" priority="163192" stopIfTrue="1" operator="lessThan">
      <formula>0.5</formula>
    </cfRule>
  </conditionalFormatting>
  <conditionalFormatting sqref="N37">
    <cfRule type="cellIs" dxfId="27078" priority="163193" stopIfTrue="1" operator="greaterThanOrEqual">
      <formula>0.5</formula>
    </cfRule>
  </conditionalFormatting>
  <conditionalFormatting sqref="P17">
    <cfRule type="cellIs" dxfId="27077" priority="163194" stopIfTrue="1" operator="equal">
      <formula>-1</formula>
    </cfRule>
  </conditionalFormatting>
  <conditionalFormatting sqref="P17">
    <cfRule type="cellIs" dxfId="27076" priority="163195" stopIfTrue="1" operator="lessThan">
      <formula>0.5</formula>
    </cfRule>
  </conditionalFormatting>
  <conditionalFormatting sqref="P17">
    <cfRule type="cellIs" dxfId="27075" priority="163196" stopIfTrue="1" operator="greaterThanOrEqual">
      <formula>0.5</formula>
    </cfRule>
  </conditionalFormatting>
  <conditionalFormatting sqref="P18">
    <cfRule type="cellIs" dxfId="27074" priority="163197" stopIfTrue="1" operator="equal">
      <formula>-1</formula>
    </cfRule>
  </conditionalFormatting>
  <conditionalFormatting sqref="P18">
    <cfRule type="cellIs" dxfId="27073" priority="163198" stopIfTrue="1" operator="lessThan">
      <formula>0.5</formula>
    </cfRule>
  </conditionalFormatting>
  <conditionalFormatting sqref="P18">
    <cfRule type="cellIs" dxfId="27072" priority="163199" stopIfTrue="1" operator="greaterThanOrEqual">
      <formula>0.5</formula>
    </cfRule>
  </conditionalFormatting>
  <conditionalFormatting sqref="P19">
    <cfRule type="cellIs" dxfId="27071" priority="163200" stopIfTrue="1" operator="equal">
      <formula>-1</formula>
    </cfRule>
  </conditionalFormatting>
  <conditionalFormatting sqref="P19">
    <cfRule type="cellIs" dxfId="27070" priority="163201" stopIfTrue="1" operator="lessThan">
      <formula>0.5</formula>
    </cfRule>
  </conditionalFormatting>
  <conditionalFormatting sqref="P19">
    <cfRule type="cellIs" dxfId="27069" priority="163202" stopIfTrue="1" operator="greaterThanOrEqual">
      <formula>0.5</formula>
    </cfRule>
  </conditionalFormatting>
  <conditionalFormatting sqref="P20">
    <cfRule type="cellIs" dxfId="27068" priority="163203" stopIfTrue="1" operator="equal">
      <formula>-1</formula>
    </cfRule>
  </conditionalFormatting>
  <conditionalFormatting sqref="P20">
    <cfRule type="cellIs" dxfId="27067" priority="163204" stopIfTrue="1" operator="lessThan">
      <formula>0.5</formula>
    </cfRule>
  </conditionalFormatting>
  <conditionalFormatting sqref="P20">
    <cfRule type="cellIs" dxfId="27066" priority="163205" stopIfTrue="1" operator="greaterThanOrEqual">
      <formula>0.5</formula>
    </cfRule>
  </conditionalFormatting>
  <conditionalFormatting sqref="P21">
    <cfRule type="cellIs" dxfId="27065" priority="163206" stopIfTrue="1" operator="equal">
      <formula>-1</formula>
    </cfRule>
  </conditionalFormatting>
  <conditionalFormatting sqref="P21">
    <cfRule type="cellIs" dxfId="27064" priority="163207" stopIfTrue="1" operator="lessThan">
      <formula>0.5</formula>
    </cfRule>
  </conditionalFormatting>
  <conditionalFormatting sqref="P21">
    <cfRule type="cellIs" dxfId="27063" priority="163208" stopIfTrue="1" operator="greaterThanOrEqual">
      <formula>0.5</formula>
    </cfRule>
  </conditionalFormatting>
  <conditionalFormatting sqref="P22">
    <cfRule type="cellIs" dxfId="27062" priority="163209" stopIfTrue="1" operator="equal">
      <formula>-1</formula>
    </cfRule>
  </conditionalFormatting>
  <conditionalFormatting sqref="P22">
    <cfRule type="cellIs" dxfId="27061" priority="163210" stopIfTrue="1" operator="lessThan">
      <formula>0.5</formula>
    </cfRule>
  </conditionalFormatting>
  <conditionalFormatting sqref="P22">
    <cfRule type="cellIs" dxfId="27060" priority="163211" stopIfTrue="1" operator="greaterThanOrEqual">
      <formula>0.5</formula>
    </cfRule>
  </conditionalFormatting>
  <conditionalFormatting sqref="P23">
    <cfRule type="cellIs" dxfId="27059" priority="163212" stopIfTrue="1" operator="equal">
      <formula>-1</formula>
    </cfRule>
  </conditionalFormatting>
  <conditionalFormatting sqref="P23">
    <cfRule type="cellIs" dxfId="27058" priority="163213" stopIfTrue="1" operator="lessThan">
      <formula>0.5</formula>
    </cfRule>
  </conditionalFormatting>
  <conditionalFormatting sqref="P23">
    <cfRule type="cellIs" dxfId="27057" priority="163214" stopIfTrue="1" operator="greaterThanOrEqual">
      <formula>0.5</formula>
    </cfRule>
  </conditionalFormatting>
  <conditionalFormatting sqref="P24">
    <cfRule type="cellIs" dxfId="27056" priority="163215" stopIfTrue="1" operator="equal">
      <formula>-1</formula>
    </cfRule>
  </conditionalFormatting>
  <conditionalFormatting sqref="P24">
    <cfRule type="cellIs" dxfId="27055" priority="163216" stopIfTrue="1" operator="lessThan">
      <formula>0.5</formula>
    </cfRule>
  </conditionalFormatting>
  <conditionalFormatting sqref="P24">
    <cfRule type="cellIs" dxfId="27054" priority="163217" stopIfTrue="1" operator="greaterThanOrEqual">
      <formula>0.5</formula>
    </cfRule>
  </conditionalFormatting>
  <conditionalFormatting sqref="P25">
    <cfRule type="cellIs" dxfId="27053" priority="163218" stopIfTrue="1" operator="equal">
      <formula>-1</formula>
    </cfRule>
  </conditionalFormatting>
  <conditionalFormatting sqref="P25">
    <cfRule type="cellIs" dxfId="27052" priority="163219" stopIfTrue="1" operator="lessThan">
      <formula>0.5</formula>
    </cfRule>
  </conditionalFormatting>
  <conditionalFormatting sqref="P25">
    <cfRule type="cellIs" dxfId="27051" priority="163220" stopIfTrue="1" operator="greaterThanOrEqual">
      <formula>0.5</formula>
    </cfRule>
  </conditionalFormatting>
  <conditionalFormatting sqref="P26">
    <cfRule type="cellIs" dxfId="27050" priority="163221" stopIfTrue="1" operator="equal">
      <formula>-1</formula>
    </cfRule>
  </conditionalFormatting>
  <conditionalFormatting sqref="P26">
    <cfRule type="cellIs" dxfId="27049" priority="163222" stopIfTrue="1" operator="lessThan">
      <formula>0.5</formula>
    </cfRule>
  </conditionalFormatting>
  <conditionalFormatting sqref="P26">
    <cfRule type="cellIs" dxfId="27048" priority="163223" stopIfTrue="1" operator="greaterThanOrEqual">
      <formula>0.5</formula>
    </cfRule>
  </conditionalFormatting>
  <conditionalFormatting sqref="P27">
    <cfRule type="cellIs" dxfId="27047" priority="163224" stopIfTrue="1" operator="equal">
      <formula>-1</formula>
    </cfRule>
  </conditionalFormatting>
  <conditionalFormatting sqref="P27">
    <cfRule type="cellIs" dxfId="27046" priority="163225" stopIfTrue="1" operator="lessThan">
      <formula>0.5</formula>
    </cfRule>
  </conditionalFormatting>
  <conditionalFormatting sqref="P27">
    <cfRule type="cellIs" dxfId="27045" priority="163226" stopIfTrue="1" operator="greaterThanOrEqual">
      <formula>0.5</formula>
    </cfRule>
  </conditionalFormatting>
  <conditionalFormatting sqref="P28">
    <cfRule type="cellIs" dxfId="27044" priority="163227" stopIfTrue="1" operator="equal">
      <formula>-1</formula>
    </cfRule>
  </conditionalFormatting>
  <conditionalFormatting sqref="P28">
    <cfRule type="cellIs" dxfId="27043" priority="163228" stopIfTrue="1" operator="lessThan">
      <formula>0.5</formula>
    </cfRule>
  </conditionalFormatting>
  <conditionalFormatting sqref="P28">
    <cfRule type="cellIs" dxfId="27042" priority="163229" stopIfTrue="1" operator="greaterThanOrEqual">
      <formula>0.5</formula>
    </cfRule>
  </conditionalFormatting>
  <conditionalFormatting sqref="P29">
    <cfRule type="cellIs" dxfId="27041" priority="163230" stopIfTrue="1" operator="equal">
      <formula>-1</formula>
    </cfRule>
  </conditionalFormatting>
  <conditionalFormatting sqref="P29">
    <cfRule type="cellIs" dxfId="27040" priority="163231" stopIfTrue="1" operator="lessThan">
      <formula>0.5</formula>
    </cfRule>
  </conditionalFormatting>
  <conditionalFormatting sqref="P29">
    <cfRule type="cellIs" dxfId="27039" priority="163232" stopIfTrue="1" operator="greaterThanOrEqual">
      <formula>0.5</formula>
    </cfRule>
  </conditionalFormatting>
  <conditionalFormatting sqref="P30">
    <cfRule type="cellIs" dxfId="27038" priority="163233" stopIfTrue="1" operator="equal">
      <formula>-1</formula>
    </cfRule>
  </conditionalFormatting>
  <conditionalFormatting sqref="P30">
    <cfRule type="cellIs" dxfId="27037" priority="163234" stopIfTrue="1" operator="lessThan">
      <formula>0.5</formula>
    </cfRule>
  </conditionalFormatting>
  <conditionalFormatting sqref="P30">
    <cfRule type="cellIs" dxfId="27036" priority="163235" stopIfTrue="1" operator="greaterThanOrEqual">
      <formula>0.5</formula>
    </cfRule>
  </conditionalFormatting>
  <conditionalFormatting sqref="P31">
    <cfRule type="cellIs" dxfId="27035" priority="163236" stopIfTrue="1" operator="equal">
      <formula>-1</formula>
    </cfRule>
  </conditionalFormatting>
  <conditionalFormatting sqref="P31">
    <cfRule type="cellIs" dxfId="27034" priority="163237" stopIfTrue="1" operator="lessThan">
      <formula>0.5</formula>
    </cfRule>
  </conditionalFormatting>
  <conditionalFormatting sqref="P31">
    <cfRule type="cellIs" dxfId="27033" priority="163238" stopIfTrue="1" operator="greaterThanOrEqual">
      <formula>0.5</formula>
    </cfRule>
  </conditionalFormatting>
  <conditionalFormatting sqref="P32">
    <cfRule type="cellIs" dxfId="27032" priority="163239" stopIfTrue="1" operator="equal">
      <formula>-1</formula>
    </cfRule>
  </conditionalFormatting>
  <conditionalFormatting sqref="P32">
    <cfRule type="cellIs" dxfId="27031" priority="163240" stopIfTrue="1" operator="lessThan">
      <formula>0.5</formula>
    </cfRule>
  </conditionalFormatting>
  <conditionalFormatting sqref="P32">
    <cfRule type="cellIs" dxfId="27030" priority="163241" stopIfTrue="1" operator="greaterThanOrEqual">
      <formula>0.5</formula>
    </cfRule>
  </conditionalFormatting>
  <conditionalFormatting sqref="P33">
    <cfRule type="cellIs" dxfId="27029" priority="163242" stopIfTrue="1" operator="equal">
      <formula>-1</formula>
    </cfRule>
  </conditionalFormatting>
  <conditionalFormatting sqref="P33">
    <cfRule type="cellIs" dxfId="27028" priority="163243" stopIfTrue="1" operator="lessThan">
      <formula>0.5</formula>
    </cfRule>
  </conditionalFormatting>
  <conditionalFormatting sqref="P33">
    <cfRule type="cellIs" dxfId="27027" priority="163244" stopIfTrue="1" operator="greaterThanOrEqual">
      <formula>0.5</formula>
    </cfRule>
  </conditionalFormatting>
  <conditionalFormatting sqref="P34">
    <cfRule type="cellIs" dxfId="27026" priority="163245" stopIfTrue="1" operator="equal">
      <formula>-1</formula>
    </cfRule>
  </conditionalFormatting>
  <conditionalFormatting sqref="P34">
    <cfRule type="cellIs" dxfId="27025" priority="163246" stopIfTrue="1" operator="lessThan">
      <formula>0.5</formula>
    </cfRule>
  </conditionalFormatting>
  <conditionalFormatting sqref="P34">
    <cfRule type="cellIs" dxfId="27024" priority="163247" stopIfTrue="1" operator="greaterThanOrEqual">
      <formula>0.5</formula>
    </cfRule>
  </conditionalFormatting>
  <conditionalFormatting sqref="P35">
    <cfRule type="cellIs" dxfId="27023" priority="163248" stopIfTrue="1" operator="equal">
      <formula>-1</formula>
    </cfRule>
  </conditionalFormatting>
  <conditionalFormatting sqref="P35">
    <cfRule type="cellIs" dxfId="27022" priority="163249" stopIfTrue="1" operator="lessThan">
      <formula>0.5</formula>
    </cfRule>
  </conditionalFormatting>
  <conditionalFormatting sqref="P35">
    <cfRule type="cellIs" dxfId="27021" priority="163250" stopIfTrue="1" operator="greaterThanOrEqual">
      <formula>0.5</formula>
    </cfRule>
  </conditionalFormatting>
  <conditionalFormatting sqref="P36">
    <cfRule type="cellIs" dxfId="27020" priority="163251" stopIfTrue="1" operator="equal">
      <formula>-1</formula>
    </cfRule>
  </conditionalFormatting>
  <conditionalFormatting sqref="P36">
    <cfRule type="cellIs" dxfId="27019" priority="163252" stopIfTrue="1" operator="lessThan">
      <formula>0.5</formula>
    </cfRule>
  </conditionalFormatting>
  <conditionalFormatting sqref="P36">
    <cfRule type="cellIs" dxfId="27018" priority="163253" stopIfTrue="1" operator="greaterThanOrEqual">
      <formula>0.5</formula>
    </cfRule>
  </conditionalFormatting>
  <conditionalFormatting sqref="P37">
    <cfRule type="cellIs" dxfId="27017" priority="163254" stopIfTrue="1" operator="equal">
      <formula>-1</formula>
    </cfRule>
  </conditionalFormatting>
  <conditionalFormatting sqref="P37">
    <cfRule type="cellIs" dxfId="27016" priority="163255" stopIfTrue="1" operator="lessThan">
      <formula>0.5</formula>
    </cfRule>
  </conditionalFormatting>
  <conditionalFormatting sqref="P37">
    <cfRule type="cellIs" dxfId="27015" priority="163256" stopIfTrue="1" operator="greaterThanOrEqual">
      <formula>0.5</formula>
    </cfRule>
  </conditionalFormatting>
  <conditionalFormatting sqref="R17">
    <cfRule type="cellIs" dxfId="27014" priority="163257" stopIfTrue="1" operator="equal">
      <formula>-1</formula>
    </cfRule>
  </conditionalFormatting>
  <conditionalFormatting sqref="R17">
    <cfRule type="cellIs" dxfId="27013" priority="163258" stopIfTrue="1" operator="lessThan">
      <formula>0.5</formula>
    </cfRule>
  </conditionalFormatting>
  <conditionalFormatting sqref="R17">
    <cfRule type="cellIs" dxfId="27012" priority="163259" stopIfTrue="1" operator="greaterThanOrEqual">
      <formula>0.5</formula>
    </cfRule>
  </conditionalFormatting>
  <conditionalFormatting sqref="R18">
    <cfRule type="cellIs" dxfId="27011" priority="163260" stopIfTrue="1" operator="equal">
      <formula>-1</formula>
    </cfRule>
  </conditionalFormatting>
  <conditionalFormatting sqref="R18">
    <cfRule type="cellIs" dxfId="27010" priority="163261" stopIfTrue="1" operator="lessThan">
      <formula>0.5</formula>
    </cfRule>
  </conditionalFormatting>
  <conditionalFormatting sqref="R18">
    <cfRule type="cellIs" dxfId="27009" priority="163262" stopIfTrue="1" operator="greaterThanOrEqual">
      <formula>0.5</formula>
    </cfRule>
  </conditionalFormatting>
  <conditionalFormatting sqref="R19">
    <cfRule type="cellIs" dxfId="27008" priority="163263" stopIfTrue="1" operator="equal">
      <formula>-1</formula>
    </cfRule>
  </conditionalFormatting>
  <conditionalFormatting sqref="R19">
    <cfRule type="cellIs" dxfId="27007" priority="163264" stopIfTrue="1" operator="lessThan">
      <formula>0.5</formula>
    </cfRule>
  </conditionalFormatting>
  <conditionalFormatting sqref="R19">
    <cfRule type="cellIs" dxfId="27006" priority="163265" stopIfTrue="1" operator="greaterThanOrEqual">
      <formula>0.5</formula>
    </cfRule>
  </conditionalFormatting>
  <conditionalFormatting sqref="R20">
    <cfRule type="cellIs" dxfId="27005" priority="163266" stopIfTrue="1" operator="equal">
      <formula>-1</formula>
    </cfRule>
  </conditionalFormatting>
  <conditionalFormatting sqref="R20">
    <cfRule type="cellIs" dxfId="27004" priority="163267" stopIfTrue="1" operator="lessThan">
      <formula>0.5</formula>
    </cfRule>
  </conditionalFormatting>
  <conditionalFormatting sqref="R20">
    <cfRule type="cellIs" dxfId="27003" priority="163268" stopIfTrue="1" operator="greaterThanOrEqual">
      <formula>0.5</formula>
    </cfRule>
  </conditionalFormatting>
  <conditionalFormatting sqref="R21">
    <cfRule type="cellIs" dxfId="27002" priority="163269" stopIfTrue="1" operator="equal">
      <formula>-1</formula>
    </cfRule>
  </conditionalFormatting>
  <conditionalFormatting sqref="R21">
    <cfRule type="cellIs" dxfId="27001" priority="163270" stopIfTrue="1" operator="lessThan">
      <formula>0.5</formula>
    </cfRule>
  </conditionalFormatting>
  <conditionalFormatting sqref="R21">
    <cfRule type="cellIs" dxfId="27000" priority="163271" stopIfTrue="1" operator="greaterThanOrEqual">
      <formula>0.5</formula>
    </cfRule>
  </conditionalFormatting>
  <conditionalFormatting sqref="R22">
    <cfRule type="cellIs" dxfId="26999" priority="163272" stopIfTrue="1" operator="equal">
      <formula>-1</formula>
    </cfRule>
  </conditionalFormatting>
  <conditionalFormatting sqref="R22">
    <cfRule type="cellIs" dxfId="26998" priority="163273" stopIfTrue="1" operator="lessThan">
      <formula>0.5</formula>
    </cfRule>
  </conditionalFormatting>
  <conditionalFormatting sqref="R22">
    <cfRule type="cellIs" dxfId="26997" priority="163274" stopIfTrue="1" operator="greaterThanOrEqual">
      <formula>0.5</formula>
    </cfRule>
  </conditionalFormatting>
  <conditionalFormatting sqref="R23">
    <cfRule type="cellIs" dxfId="26996" priority="163275" stopIfTrue="1" operator="equal">
      <formula>-1</formula>
    </cfRule>
  </conditionalFormatting>
  <conditionalFormatting sqref="R23">
    <cfRule type="cellIs" dxfId="26995" priority="163276" stopIfTrue="1" operator="lessThan">
      <formula>0.5</formula>
    </cfRule>
  </conditionalFormatting>
  <conditionalFormatting sqref="R23">
    <cfRule type="cellIs" dxfId="26994" priority="163277" stopIfTrue="1" operator="greaterThanOrEqual">
      <formula>0.5</formula>
    </cfRule>
  </conditionalFormatting>
  <conditionalFormatting sqref="R24">
    <cfRule type="cellIs" dxfId="26993" priority="163278" stopIfTrue="1" operator="equal">
      <formula>-1</formula>
    </cfRule>
  </conditionalFormatting>
  <conditionalFormatting sqref="R24">
    <cfRule type="cellIs" dxfId="26992" priority="163279" stopIfTrue="1" operator="lessThan">
      <formula>0.5</formula>
    </cfRule>
  </conditionalFormatting>
  <conditionalFormatting sqref="R24">
    <cfRule type="cellIs" dxfId="26991" priority="163280" stopIfTrue="1" operator="greaterThanOrEqual">
      <formula>0.5</formula>
    </cfRule>
  </conditionalFormatting>
  <conditionalFormatting sqref="R25">
    <cfRule type="cellIs" dxfId="26990" priority="163281" stopIfTrue="1" operator="equal">
      <formula>-1</formula>
    </cfRule>
  </conditionalFormatting>
  <conditionalFormatting sqref="R25">
    <cfRule type="cellIs" dxfId="26989" priority="163282" stopIfTrue="1" operator="lessThan">
      <formula>0.5</formula>
    </cfRule>
  </conditionalFormatting>
  <conditionalFormatting sqref="R25">
    <cfRule type="cellIs" dxfId="26988" priority="163283" stopIfTrue="1" operator="greaterThanOrEqual">
      <formula>0.5</formula>
    </cfRule>
  </conditionalFormatting>
  <conditionalFormatting sqref="R26">
    <cfRule type="cellIs" dxfId="26987" priority="163284" stopIfTrue="1" operator="equal">
      <formula>-1</formula>
    </cfRule>
  </conditionalFormatting>
  <conditionalFormatting sqref="R26">
    <cfRule type="cellIs" dxfId="26986" priority="163285" stopIfTrue="1" operator="lessThan">
      <formula>0.5</formula>
    </cfRule>
  </conditionalFormatting>
  <conditionalFormatting sqref="R26">
    <cfRule type="cellIs" dxfId="26985" priority="163286" stopIfTrue="1" operator="greaterThanOrEqual">
      <formula>0.5</formula>
    </cfRule>
  </conditionalFormatting>
  <conditionalFormatting sqref="R27">
    <cfRule type="cellIs" dxfId="26984" priority="163287" stopIfTrue="1" operator="equal">
      <formula>-1</formula>
    </cfRule>
  </conditionalFormatting>
  <conditionalFormatting sqref="R27">
    <cfRule type="cellIs" dxfId="26983" priority="163288" stopIfTrue="1" operator="lessThan">
      <formula>0.5</formula>
    </cfRule>
  </conditionalFormatting>
  <conditionalFormatting sqref="R27">
    <cfRule type="cellIs" dxfId="26982" priority="163289" stopIfTrue="1" operator="greaterThanOrEqual">
      <formula>0.5</formula>
    </cfRule>
  </conditionalFormatting>
  <conditionalFormatting sqref="R28">
    <cfRule type="cellIs" dxfId="26981" priority="163290" stopIfTrue="1" operator="equal">
      <formula>-1</formula>
    </cfRule>
  </conditionalFormatting>
  <conditionalFormatting sqref="R28">
    <cfRule type="cellIs" dxfId="26980" priority="163291" stopIfTrue="1" operator="lessThan">
      <formula>0.5</formula>
    </cfRule>
  </conditionalFormatting>
  <conditionalFormatting sqref="R28">
    <cfRule type="cellIs" dxfId="26979" priority="163292" stopIfTrue="1" operator="greaterThanOrEqual">
      <formula>0.5</formula>
    </cfRule>
  </conditionalFormatting>
  <conditionalFormatting sqref="R29">
    <cfRule type="cellIs" dxfId="26978" priority="163293" stopIfTrue="1" operator="equal">
      <formula>-1</formula>
    </cfRule>
  </conditionalFormatting>
  <conditionalFormatting sqref="R29">
    <cfRule type="cellIs" dxfId="26977" priority="163294" stopIfTrue="1" operator="lessThan">
      <formula>0.5</formula>
    </cfRule>
  </conditionalFormatting>
  <conditionalFormatting sqref="R29">
    <cfRule type="cellIs" dxfId="26976" priority="163295" stopIfTrue="1" operator="greaterThanOrEqual">
      <formula>0.5</formula>
    </cfRule>
  </conditionalFormatting>
  <conditionalFormatting sqref="R30">
    <cfRule type="cellIs" dxfId="26975" priority="163296" stopIfTrue="1" operator="equal">
      <formula>-1</formula>
    </cfRule>
  </conditionalFormatting>
  <conditionalFormatting sqref="R30">
    <cfRule type="cellIs" dxfId="26974" priority="163297" stopIfTrue="1" operator="lessThan">
      <formula>0.5</formula>
    </cfRule>
  </conditionalFormatting>
  <conditionalFormatting sqref="R30">
    <cfRule type="cellIs" dxfId="26973" priority="163298" stopIfTrue="1" operator="greaterThanOrEqual">
      <formula>0.5</formula>
    </cfRule>
  </conditionalFormatting>
  <conditionalFormatting sqref="R31">
    <cfRule type="cellIs" dxfId="26972" priority="163299" stopIfTrue="1" operator="equal">
      <formula>-1</formula>
    </cfRule>
  </conditionalFormatting>
  <conditionalFormatting sqref="R31">
    <cfRule type="cellIs" dxfId="26971" priority="163300" stopIfTrue="1" operator="lessThan">
      <formula>0.5</formula>
    </cfRule>
  </conditionalFormatting>
  <conditionalFormatting sqref="R31">
    <cfRule type="cellIs" dxfId="26970" priority="163301" stopIfTrue="1" operator="greaterThanOrEqual">
      <formula>0.5</formula>
    </cfRule>
  </conditionalFormatting>
  <conditionalFormatting sqref="R32">
    <cfRule type="cellIs" dxfId="26969" priority="163302" stopIfTrue="1" operator="equal">
      <formula>-1</formula>
    </cfRule>
  </conditionalFormatting>
  <conditionalFormatting sqref="R32">
    <cfRule type="cellIs" dxfId="26968" priority="163303" stopIfTrue="1" operator="lessThan">
      <formula>0.5</formula>
    </cfRule>
  </conditionalFormatting>
  <conditionalFormatting sqref="R32">
    <cfRule type="cellIs" dxfId="26967" priority="163304" stopIfTrue="1" operator="greaterThanOrEqual">
      <formula>0.5</formula>
    </cfRule>
  </conditionalFormatting>
  <conditionalFormatting sqref="R33">
    <cfRule type="cellIs" dxfId="26966" priority="163305" stopIfTrue="1" operator="equal">
      <formula>-1</formula>
    </cfRule>
  </conditionalFormatting>
  <conditionalFormatting sqref="R33">
    <cfRule type="cellIs" dxfId="26965" priority="163306" stopIfTrue="1" operator="lessThan">
      <formula>0.5</formula>
    </cfRule>
  </conditionalFormatting>
  <conditionalFormatting sqref="R33">
    <cfRule type="cellIs" dxfId="26964" priority="163307" stopIfTrue="1" operator="greaterThanOrEqual">
      <formula>0.5</formula>
    </cfRule>
  </conditionalFormatting>
  <conditionalFormatting sqref="R34">
    <cfRule type="cellIs" dxfId="26963" priority="163308" stopIfTrue="1" operator="equal">
      <formula>-1</formula>
    </cfRule>
  </conditionalFormatting>
  <conditionalFormatting sqref="R34">
    <cfRule type="cellIs" dxfId="26962" priority="163309" stopIfTrue="1" operator="lessThan">
      <formula>0.5</formula>
    </cfRule>
  </conditionalFormatting>
  <conditionalFormatting sqref="R34">
    <cfRule type="cellIs" dxfId="26961" priority="163310" stopIfTrue="1" operator="greaterThanOrEqual">
      <formula>0.5</formula>
    </cfRule>
  </conditionalFormatting>
  <conditionalFormatting sqref="R35">
    <cfRule type="cellIs" dxfId="26960" priority="163311" stopIfTrue="1" operator="equal">
      <formula>-1</formula>
    </cfRule>
  </conditionalFormatting>
  <conditionalFormatting sqref="R35">
    <cfRule type="cellIs" dxfId="26959" priority="163312" stopIfTrue="1" operator="lessThan">
      <formula>0.5</formula>
    </cfRule>
  </conditionalFormatting>
  <conditionalFormatting sqref="R35">
    <cfRule type="cellIs" dxfId="26958" priority="163313" stopIfTrue="1" operator="greaterThanOrEqual">
      <formula>0.5</formula>
    </cfRule>
  </conditionalFormatting>
  <conditionalFormatting sqref="R36">
    <cfRule type="cellIs" dxfId="26957" priority="163314" stopIfTrue="1" operator="equal">
      <formula>-1</formula>
    </cfRule>
  </conditionalFormatting>
  <conditionalFormatting sqref="R36">
    <cfRule type="cellIs" dxfId="26956" priority="163315" stopIfTrue="1" operator="lessThan">
      <formula>0.5</formula>
    </cfRule>
  </conditionalFormatting>
  <conditionalFormatting sqref="R36">
    <cfRule type="cellIs" dxfId="26955" priority="163316" stopIfTrue="1" operator="greaterThanOrEqual">
      <formula>0.5</formula>
    </cfRule>
  </conditionalFormatting>
  <conditionalFormatting sqref="R37">
    <cfRule type="cellIs" dxfId="26954" priority="163317" stopIfTrue="1" operator="equal">
      <formula>-1</formula>
    </cfRule>
  </conditionalFormatting>
  <conditionalFormatting sqref="R37">
    <cfRule type="cellIs" dxfId="26953" priority="163318" stopIfTrue="1" operator="lessThan">
      <formula>0.5</formula>
    </cfRule>
  </conditionalFormatting>
  <conditionalFormatting sqref="R37">
    <cfRule type="cellIs" dxfId="26952" priority="163319" stopIfTrue="1" operator="greaterThanOrEqual">
      <formula>0.5</formula>
    </cfRule>
  </conditionalFormatting>
  <conditionalFormatting sqref="T17">
    <cfRule type="cellIs" dxfId="26951" priority="163320" stopIfTrue="1" operator="equal">
      <formula>-1</formula>
    </cfRule>
  </conditionalFormatting>
  <conditionalFormatting sqref="T17">
    <cfRule type="cellIs" dxfId="26950" priority="163321" stopIfTrue="1" operator="lessThan">
      <formula>0.5</formula>
    </cfRule>
  </conditionalFormatting>
  <conditionalFormatting sqref="T17">
    <cfRule type="cellIs" dxfId="26949" priority="163322" stopIfTrue="1" operator="greaterThanOrEqual">
      <formula>0.5</formula>
    </cfRule>
  </conditionalFormatting>
  <conditionalFormatting sqref="T18">
    <cfRule type="cellIs" dxfId="26948" priority="163323" stopIfTrue="1" operator="equal">
      <formula>-1</formula>
    </cfRule>
  </conditionalFormatting>
  <conditionalFormatting sqref="T18">
    <cfRule type="cellIs" dxfId="26947" priority="163324" stopIfTrue="1" operator="lessThan">
      <formula>0.5</formula>
    </cfRule>
  </conditionalFormatting>
  <conditionalFormatting sqref="T18">
    <cfRule type="cellIs" dxfId="26946" priority="163325" stopIfTrue="1" operator="greaterThanOrEqual">
      <formula>0.5</formula>
    </cfRule>
  </conditionalFormatting>
  <conditionalFormatting sqref="T19">
    <cfRule type="cellIs" dxfId="26945" priority="163326" stopIfTrue="1" operator="equal">
      <formula>-1</formula>
    </cfRule>
  </conditionalFormatting>
  <conditionalFormatting sqref="T19">
    <cfRule type="cellIs" dxfId="26944" priority="163327" stopIfTrue="1" operator="lessThan">
      <formula>0.5</formula>
    </cfRule>
  </conditionalFormatting>
  <conditionalFormatting sqref="T19">
    <cfRule type="cellIs" dxfId="26943" priority="163328" stopIfTrue="1" operator="greaterThanOrEqual">
      <formula>0.5</formula>
    </cfRule>
  </conditionalFormatting>
  <conditionalFormatting sqref="T20">
    <cfRule type="cellIs" dxfId="26942" priority="163329" stopIfTrue="1" operator="equal">
      <formula>-1</formula>
    </cfRule>
  </conditionalFormatting>
  <conditionalFormatting sqref="T20">
    <cfRule type="cellIs" dxfId="26941" priority="163330" stopIfTrue="1" operator="lessThan">
      <formula>0.5</formula>
    </cfRule>
  </conditionalFormatting>
  <conditionalFormatting sqref="T20">
    <cfRule type="cellIs" dxfId="26940" priority="163331" stopIfTrue="1" operator="greaterThanOrEqual">
      <formula>0.5</formula>
    </cfRule>
  </conditionalFormatting>
  <conditionalFormatting sqref="T21">
    <cfRule type="cellIs" dxfId="26939" priority="163332" stopIfTrue="1" operator="equal">
      <formula>-1</formula>
    </cfRule>
  </conditionalFormatting>
  <conditionalFormatting sqref="T21">
    <cfRule type="cellIs" dxfId="26938" priority="163333" stopIfTrue="1" operator="lessThan">
      <formula>0.5</formula>
    </cfRule>
  </conditionalFormatting>
  <conditionalFormatting sqref="T21">
    <cfRule type="cellIs" dxfId="26937" priority="163334" stopIfTrue="1" operator="greaterThanOrEqual">
      <formula>0.5</formula>
    </cfRule>
  </conditionalFormatting>
  <conditionalFormatting sqref="T22">
    <cfRule type="cellIs" dxfId="26936" priority="163335" stopIfTrue="1" operator="equal">
      <formula>-1</formula>
    </cfRule>
  </conditionalFormatting>
  <conditionalFormatting sqref="T22">
    <cfRule type="cellIs" dxfId="26935" priority="163336" stopIfTrue="1" operator="lessThan">
      <formula>0.5</formula>
    </cfRule>
  </conditionalFormatting>
  <conditionalFormatting sqref="T22">
    <cfRule type="cellIs" dxfId="26934" priority="163337" stopIfTrue="1" operator="greaterThanOrEqual">
      <formula>0.5</formula>
    </cfRule>
  </conditionalFormatting>
  <conditionalFormatting sqref="T23">
    <cfRule type="cellIs" dxfId="26933" priority="163338" stopIfTrue="1" operator="equal">
      <formula>-1</formula>
    </cfRule>
  </conditionalFormatting>
  <conditionalFormatting sqref="T23">
    <cfRule type="cellIs" dxfId="26932" priority="163339" stopIfTrue="1" operator="lessThan">
      <formula>0.5</formula>
    </cfRule>
  </conditionalFormatting>
  <conditionalFormatting sqref="T23">
    <cfRule type="cellIs" dxfId="26931" priority="163340" stopIfTrue="1" operator="greaterThanOrEqual">
      <formula>0.5</formula>
    </cfRule>
  </conditionalFormatting>
  <conditionalFormatting sqref="T24">
    <cfRule type="cellIs" dxfId="26930" priority="163341" stopIfTrue="1" operator="equal">
      <formula>-1</formula>
    </cfRule>
  </conditionalFormatting>
  <conditionalFormatting sqref="T24">
    <cfRule type="cellIs" dxfId="26929" priority="163342" stopIfTrue="1" operator="lessThan">
      <formula>0.5</formula>
    </cfRule>
  </conditionalFormatting>
  <conditionalFormatting sqref="T24">
    <cfRule type="cellIs" dxfId="26928" priority="163343" stopIfTrue="1" operator="greaterThanOrEqual">
      <formula>0.5</formula>
    </cfRule>
  </conditionalFormatting>
  <conditionalFormatting sqref="T25">
    <cfRule type="cellIs" dxfId="26927" priority="163344" stopIfTrue="1" operator="equal">
      <formula>-1</formula>
    </cfRule>
  </conditionalFormatting>
  <conditionalFormatting sqref="T25">
    <cfRule type="cellIs" dxfId="26926" priority="163345" stopIfTrue="1" operator="lessThan">
      <formula>0.5</formula>
    </cfRule>
  </conditionalFormatting>
  <conditionalFormatting sqref="T25">
    <cfRule type="cellIs" dxfId="26925" priority="163346" stopIfTrue="1" operator="greaterThanOrEqual">
      <formula>0.5</formula>
    </cfRule>
  </conditionalFormatting>
  <conditionalFormatting sqref="T26">
    <cfRule type="cellIs" dxfId="26924" priority="163347" stopIfTrue="1" operator="equal">
      <formula>-1</formula>
    </cfRule>
  </conditionalFormatting>
  <conditionalFormatting sqref="T26">
    <cfRule type="cellIs" dxfId="26923" priority="163348" stopIfTrue="1" operator="lessThan">
      <formula>0.5</formula>
    </cfRule>
  </conditionalFormatting>
  <conditionalFormatting sqref="T26">
    <cfRule type="cellIs" dxfId="26922" priority="163349" stopIfTrue="1" operator="greaterThanOrEqual">
      <formula>0.5</formula>
    </cfRule>
  </conditionalFormatting>
  <conditionalFormatting sqref="T27">
    <cfRule type="cellIs" dxfId="26921" priority="163350" stopIfTrue="1" operator="equal">
      <formula>-1</formula>
    </cfRule>
  </conditionalFormatting>
  <conditionalFormatting sqref="T27">
    <cfRule type="cellIs" dxfId="26920" priority="163351" stopIfTrue="1" operator="lessThan">
      <formula>0.5</formula>
    </cfRule>
  </conditionalFormatting>
  <conditionalFormatting sqref="T27">
    <cfRule type="cellIs" dxfId="26919" priority="163352" stopIfTrue="1" operator="greaterThanOrEqual">
      <formula>0.5</formula>
    </cfRule>
  </conditionalFormatting>
  <conditionalFormatting sqref="T28">
    <cfRule type="cellIs" dxfId="26918" priority="163353" stopIfTrue="1" operator="equal">
      <formula>-1</formula>
    </cfRule>
  </conditionalFormatting>
  <conditionalFormatting sqref="T28">
    <cfRule type="cellIs" dxfId="26917" priority="163354" stopIfTrue="1" operator="lessThan">
      <formula>0.5</formula>
    </cfRule>
  </conditionalFormatting>
  <conditionalFormatting sqref="T28">
    <cfRule type="cellIs" dxfId="26916" priority="163355" stopIfTrue="1" operator="greaterThanOrEqual">
      <formula>0.5</formula>
    </cfRule>
  </conditionalFormatting>
  <conditionalFormatting sqref="T29">
    <cfRule type="cellIs" dxfId="26915" priority="163356" stopIfTrue="1" operator="equal">
      <formula>-1</formula>
    </cfRule>
  </conditionalFormatting>
  <conditionalFormatting sqref="T29">
    <cfRule type="cellIs" dxfId="26914" priority="163357" stopIfTrue="1" operator="lessThan">
      <formula>0.5</formula>
    </cfRule>
  </conditionalFormatting>
  <conditionalFormatting sqref="T29">
    <cfRule type="cellIs" dxfId="26913" priority="163358" stopIfTrue="1" operator="greaterThanOrEqual">
      <formula>0.5</formula>
    </cfRule>
  </conditionalFormatting>
  <conditionalFormatting sqref="T30">
    <cfRule type="cellIs" dxfId="26912" priority="163359" stopIfTrue="1" operator="equal">
      <formula>-1</formula>
    </cfRule>
  </conditionalFormatting>
  <conditionalFormatting sqref="T30">
    <cfRule type="cellIs" dxfId="26911" priority="163360" stopIfTrue="1" operator="lessThan">
      <formula>0.5</formula>
    </cfRule>
  </conditionalFormatting>
  <conditionalFormatting sqref="T30">
    <cfRule type="cellIs" dxfId="26910" priority="163361" stopIfTrue="1" operator="greaterThanOrEqual">
      <formula>0.5</formula>
    </cfRule>
  </conditionalFormatting>
  <conditionalFormatting sqref="T31">
    <cfRule type="cellIs" dxfId="26909" priority="163362" stopIfTrue="1" operator="equal">
      <formula>-1</formula>
    </cfRule>
  </conditionalFormatting>
  <conditionalFormatting sqref="T31">
    <cfRule type="cellIs" dxfId="26908" priority="163363" stopIfTrue="1" operator="lessThan">
      <formula>0.5</formula>
    </cfRule>
  </conditionalFormatting>
  <conditionalFormatting sqref="T31">
    <cfRule type="cellIs" dxfId="26907" priority="163364" stopIfTrue="1" operator="greaterThanOrEqual">
      <formula>0.5</formula>
    </cfRule>
  </conditionalFormatting>
  <conditionalFormatting sqref="T32">
    <cfRule type="cellIs" dxfId="26906" priority="163365" stopIfTrue="1" operator="equal">
      <formula>-1</formula>
    </cfRule>
  </conditionalFormatting>
  <conditionalFormatting sqref="T32">
    <cfRule type="cellIs" dxfId="26905" priority="163366" stopIfTrue="1" operator="lessThan">
      <formula>0.5</formula>
    </cfRule>
  </conditionalFormatting>
  <conditionalFormatting sqref="T32">
    <cfRule type="cellIs" dxfId="26904" priority="163367" stopIfTrue="1" operator="greaterThanOrEqual">
      <formula>0.5</formula>
    </cfRule>
  </conditionalFormatting>
  <conditionalFormatting sqref="T33">
    <cfRule type="cellIs" dxfId="26903" priority="163368" stopIfTrue="1" operator="equal">
      <formula>-1</formula>
    </cfRule>
  </conditionalFormatting>
  <conditionalFormatting sqref="T33">
    <cfRule type="cellIs" dxfId="26902" priority="163369" stopIfTrue="1" operator="lessThan">
      <formula>0.5</formula>
    </cfRule>
  </conditionalFormatting>
  <conditionalFormatting sqref="T33">
    <cfRule type="cellIs" dxfId="26901" priority="163370" stopIfTrue="1" operator="greaterThanOrEqual">
      <formula>0.5</formula>
    </cfRule>
  </conditionalFormatting>
  <conditionalFormatting sqref="T34">
    <cfRule type="cellIs" dxfId="26900" priority="163371" stopIfTrue="1" operator="equal">
      <formula>-1</formula>
    </cfRule>
  </conditionalFormatting>
  <conditionalFormatting sqref="T34">
    <cfRule type="cellIs" dxfId="26899" priority="163372" stopIfTrue="1" operator="lessThan">
      <formula>0.5</formula>
    </cfRule>
  </conditionalFormatting>
  <conditionalFormatting sqref="T34">
    <cfRule type="cellIs" dxfId="26898" priority="163373" stopIfTrue="1" operator="greaterThanOrEqual">
      <formula>0.5</formula>
    </cfRule>
  </conditionalFormatting>
  <conditionalFormatting sqref="T35">
    <cfRule type="cellIs" dxfId="26897" priority="163374" stopIfTrue="1" operator="equal">
      <formula>-1</formula>
    </cfRule>
  </conditionalFormatting>
  <conditionalFormatting sqref="T35">
    <cfRule type="cellIs" dxfId="26896" priority="163375" stopIfTrue="1" operator="lessThan">
      <formula>0.5</formula>
    </cfRule>
  </conditionalFormatting>
  <conditionalFormatting sqref="T35">
    <cfRule type="cellIs" dxfId="26895" priority="163376" stopIfTrue="1" operator="greaterThanOrEqual">
      <formula>0.5</formula>
    </cfRule>
  </conditionalFormatting>
  <conditionalFormatting sqref="T36">
    <cfRule type="cellIs" dxfId="26894" priority="163377" stopIfTrue="1" operator="equal">
      <formula>-1</formula>
    </cfRule>
  </conditionalFormatting>
  <conditionalFormatting sqref="T36">
    <cfRule type="cellIs" dxfId="26893" priority="163378" stopIfTrue="1" operator="lessThan">
      <formula>0.5</formula>
    </cfRule>
  </conditionalFormatting>
  <conditionalFormatting sqref="T36">
    <cfRule type="cellIs" dxfId="26892" priority="163379" stopIfTrue="1" operator="greaterThanOrEqual">
      <formula>0.5</formula>
    </cfRule>
  </conditionalFormatting>
  <conditionalFormatting sqref="T37">
    <cfRule type="cellIs" dxfId="26891" priority="163380" stopIfTrue="1" operator="equal">
      <formula>-1</formula>
    </cfRule>
  </conditionalFormatting>
  <conditionalFormatting sqref="T37">
    <cfRule type="cellIs" dxfId="26890" priority="163381" stopIfTrue="1" operator="lessThan">
      <formula>0.5</formula>
    </cfRule>
  </conditionalFormatting>
  <conditionalFormatting sqref="T37">
    <cfRule type="cellIs" dxfId="26889" priority="163382" stopIfTrue="1" operator="greaterThanOrEqual">
      <formula>0.5</formula>
    </cfRule>
  </conditionalFormatting>
  <conditionalFormatting sqref="V17">
    <cfRule type="cellIs" dxfId="26888" priority="163383" stopIfTrue="1" operator="equal">
      <formula>-1</formula>
    </cfRule>
  </conditionalFormatting>
  <conditionalFormatting sqref="V17">
    <cfRule type="cellIs" dxfId="26887" priority="163384" stopIfTrue="1" operator="lessThan">
      <formula>0.5</formula>
    </cfRule>
  </conditionalFormatting>
  <conditionalFormatting sqref="V17">
    <cfRule type="cellIs" dxfId="26886" priority="163385" stopIfTrue="1" operator="greaterThanOrEqual">
      <formula>0.5</formula>
    </cfRule>
  </conditionalFormatting>
  <conditionalFormatting sqref="V18">
    <cfRule type="cellIs" dxfId="26885" priority="163386" stopIfTrue="1" operator="equal">
      <formula>-1</formula>
    </cfRule>
  </conditionalFormatting>
  <conditionalFormatting sqref="V18">
    <cfRule type="cellIs" dxfId="26884" priority="163387" stopIfTrue="1" operator="lessThan">
      <formula>0.5</formula>
    </cfRule>
  </conditionalFormatting>
  <conditionalFormatting sqref="V18">
    <cfRule type="cellIs" dxfId="26883" priority="163388" stopIfTrue="1" operator="greaterThanOrEqual">
      <formula>0.5</formula>
    </cfRule>
  </conditionalFormatting>
  <conditionalFormatting sqref="V19">
    <cfRule type="cellIs" dxfId="26882" priority="163389" stopIfTrue="1" operator="equal">
      <formula>-1</formula>
    </cfRule>
  </conditionalFormatting>
  <conditionalFormatting sqref="V19">
    <cfRule type="cellIs" dxfId="26881" priority="163390" stopIfTrue="1" operator="lessThan">
      <formula>0.5</formula>
    </cfRule>
  </conditionalFormatting>
  <conditionalFormatting sqref="V19">
    <cfRule type="cellIs" dxfId="26880" priority="163391" stopIfTrue="1" operator="greaterThanOrEqual">
      <formula>0.5</formula>
    </cfRule>
  </conditionalFormatting>
  <conditionalFormatting sqref="V20">
    <cfRule type="cellIs" dxfId="26879" priority="163392" stopIfTrue="1" operator="equal">
      <formula>-1</formula>
    </cfRule>
  </conditionalFormatting>
  <conditionalFormatting sqref="V20">
    <cfRule type="cellIs" dxfId="26878" priority="163393" stopIfTrue="1" operator="lessThan">
      <formula>0.5</formula>
    </cfRule>
  </conditionalFormatting>
  <conditionalFormatting sqref="V20">
    <cfRule type="cellIs" dxfId="26877" priority="163394" stopIfTrue="1" operator="greaterThanOrEqual">
      <formula>0.5</formula>
    </cfRule>
  </conditionalFormatting>
  <conditionalFormatting sqref="V21">
    <cfRule type="cellIs" dxfId="26876" priority="163395" stopIfTrue="1" operator="equal">
      <formula>-1</formula>
    </cfRule>
  </conditionalFormatting>
  <conditionalFormatting sqref="V21">
    <cfRule type="cellIs" dxfId="26875" priority="163396" stopIfTrue="1" operator="lessThan">
      <formula>0.5</formula>
    </cfRule>
  </conditionalFormatting>
  <conditionalFormatting sqref="V21">
    <cfRule type="cellIs" dxfId="26874" priority="163397" stopIfTrue="1" operator="greaterThanOrEqual">
      <formula>0.5</formula>
    </cfRule>
  </conditionalFormatting>
  <conditionalFormatting sqref="V22">
    <cfRule type="cellIs" dxfId="26873" priority="163398" stopIfTrue="1" operator="equal">
      <formula>-1</formula>
    </cfRule>
  </conditionalFormatting>
  <conditionalFormatting sqref="V22">
    <cfRule type="cellIs" dxfId="26872" priority="163399" stopIfTrue="1" operator="lessThan">
      <formula>0.5</formula>
    </cfRule>
  </conditionalFormatting>
  <conditionalFormatting sqref="V22">
    <cfRule type="cellIs" dxfId="26871" priority="163400" stopIfTrue="1" operator="greaterThanOrEqual">
      <formula>0.5</formula>
    </cfRule>
  </conditionalFormatting>
  <conditionalFormatting sqref="V23">
    <cfRule type="cellIs" dxfId="26870" priority="163401" stopIfTrue="1" operator="equal">
      <formula>-1</formula>
    </cfRule>
  </conditionalFormatting>
  <conditionalFormatting sqref="V23">
    <cfRule type="cellIs" dxfId="26869" priority="163402" stopIfTrue="1" operator="lessThan">
      <formula>0.5</formula>
    </cfRule>
  </conditionalFormatting>
  <conditionalFormatting sqref="V23">
    <cfRule type="cellIs" dxfId="26868" priority="163403" stopIfTrue="1" operator="greaterThanOrEqual">
      <formula>0.5</formula>
    </cfRule>
  </conditionalFormatting>
  <conditionalFormatting sqref="V24">
    <cfRule type="cellIs" dxfId="26867" priority="163404" stopIfTrue="1" operator="equal">
      <formula>-1</formula>
    </cfRule>
  </conditionalFormatting>
  <conditionalFormatting sqref="V24">
    <cfRule type="cellIs" dxfId="26866" priority="163405" stopIfTrue="1" operator="lessThan">
      <formula>0.5</formula>
    </cfRule>
  </conditionalFormatting>
  <conditionalFormatting sqref="V24">
    <cfRule type="cellIs" dxfId="26865" priority="163406" stopIfTrue="1" operator="greaterThanOrEqual">
      <formula>0.5</formula>
    </cfRule>
  </conditionalFormatting>
  <conditionalFormatting sqref="V25">
    <cfRule type="cellIs" dxfId="26864" priority="163407" stopIfTrue="1" operator="equal">
      <formula>-1</formula>
    </cfRule>
  </conditionalFormatting>
  <conditionalFormatting sqref="V25">
    <cfRule type="cellIs" dxfId="26863" priority="163408" stopIfTrue="1" operator="lessThan">
      <formula>0.5</formula>
    </cfRule>
  </conditionalFormatting>
  <conditionalFormatting sqref="V25">
    <cfRule type="cellIs" dxfId="26862" priority="163409" stopIfTrue="1" operator="greaterThanOrEqual">
      <formula>0.5</formula>
    </cfRule>
  </conditionalFormatting>
  <conditionalFormatting sqref="V26">
    <cfRule type="cellIs" dxfId="26861" priority="163410" stopIfTrue="1" operator="equal">
      <formula>-1</formula>
    </cfRule>
  </conditionalFormatting>
  <conditionalFormatting sqref="V26">
    <cfRule type="cellIs" dxfId="26860" priority="163411" stopIfTrue="1" operator="lessThan">
      <formula>0.5</formula>
    </cfRule>
  </conditionalFormatting>
  <conditionalFormatting sqref="V26">
    <cfRule type="cellIs" dxfId="26859" priority="163412" stopIfTrue="1" operator="greaterThanOrEqual">
      <formula>0.5</formula>
    </cfRule>
  </conditionalFormatting>
  <conditionalFormatting sqref="V27">
    <cfRule type="cellIs" dxfId="26858" priority="163413" stopIfTrue="1" operator="equal">
      <formula>-1</formula>
    </cfRule>
  </conditionalFormatting>
  <conditionalFormatting sqref="V27">
    <cfRule type="cellIs" dxfId="26857" priority="163414" stopIfTrue="1" operator="lessThan">
      <formula>0.5</formula>
    </cfRule>
  </conditionalFormatting>
  <conditionalFormatting sqref="V27">
    <cfRule type="cellIs" dxfId="26856" priority="163415" stopIfTrue="1" operator="greaterThanOrEqual">
      <formula>0.5</formula>
    </cfRule>
  </conditionalFormatting>
  <conditionalFormatting sqref="V28">
    <cfRule type="cellIs" dxfId="26855" priority="163416" stopIfTrue="1" operator="equal">
      <formula>-1</formula>
    </cfRule>
  </conditionalFormatting>
  <conditionalFormatting sqref="V28">
    <cfRule type="cellIs" dxfId="26854" priority="163417" stopIfTrue="1" operator="lessThan">
      <formula>0.5</formula>
    </cfRule>
  </conditionalFormatting>
  <conditionalFormatting sqref="V28">
    <cfRule type="cellIs" dxfId="26853" priority="163418" stopIfTrue="1" operator="greaterThanOrEqual">
      <formula>0.5</formula>
    </cfRule>
  </conditionalFormatting>
  <conditionalFormatting sqref="V29">
    <cfRule type="cellIs" dxfId="26852" priority="163419" stopIfTrue="1" operator="equal">
      <formula>-1</formula>
    </cfRule>
  </conditionalFormatting>
  <conditionalFormatting sqref="V29">
    <cfRule type="cellIs" dxfId="26851" priority="163420" stopIfTrue="1" operator="lessThan">
      <formula>0.5</formula>
    </cfRule>
  </conditionalFormatting>
  <conditionalFormatting sqref="V29">
    <cfRule type="cellIs" dxfId="26850" priority="163421" stopIfTrue="1" operator="greaterThanOrEqual">
      <formula>0.5</formula>
    </cfRule>
  </conditionalFormatting>
  <conditionalFormatting sqref="V30">
    <cfRule type="cellIs" dxfId="26849" priority="163422" stopIfTrue="1" operator="equal">
      <formula>-1</formula>
    </cfRule>
  </conditionalFormatting>
  <conditionalFormatting sqref="V30">
    <cfRule type="cellIs" dxfId="26848" priority="163423" stopIfTrue="1" operator="lessThan">
      <formula>0.5</formula>
    </cfRule>
  </conditionalFormatting>
  <conditionalFormatting sqref="V30">
    <cfRule type="cellIs" dxfId="26847" priority="163424" stopIfTrue="1" operator="greaterThanOrEqual">
      <formula>0.5</formula>
    </cfRule>
  </conditionalFormatting>
  <conditionalFormatting sqref="V31">
    <cfRule type="cellIs" dxfId="26846" priority="163425" stopIfTrue="1" operator="equal">
      <formula>-1</formula>
    </cfRule>
  </conditionalFormatting>
  <conditionalFormatting sqref="V31">
    <cfRule type="cellIs" dxfId="26845" priority="163426" stopIfTrue="1" operator="lessThan">
      <formula>0.5</formula>
    </cfRule>
  </conditionalFormatting>
  <conditionalFormatting sqref="V31">
    <cfRule type="cellIs" dxfId="26844" priority="163427" stopIfTrue="1" operator="greaterThanOrEqual">
      <formula>0.5</formula>
    </cfRule>
  </conditionalFormatting>
  <conditionalFormatting sqref="V32">
    <cfRule type="cellIs" dxfId="26843" priority="163428" stopIfTrue="1" operator="equal">
      <formula>-1</formula>
    </cfRule>
  </conditionalFormatting>
  <conditionalFormatting sqref="V32">
    <cfRule type="cellIs" dxfId="26842" priority="163429" stopIfTrue="1" operator="lessThan">
      <formula>0.5</formula>
    </cfRule>
  </conditionalFormatting>
  <conditionalFormatting sqref="V32">
    <cfRule type="cellIs" dxfId="26841" priority="163430" stopIfTrue="1" operator="greaterThanOrEqual">
      <formula>0.5</formula>
    </cfRule>
  </conditionalFormatting>
  <conditionalFormatting sqref="V33">
    <cfRule type="cellIs" dxfId="26840" priority="163431" stopIfTrue="1" operator="equal">
      <formula>-1</formula>
    </cfRule>
  </conditionalFormatting>
  <conditionalFormatting sqref="V33">
    <cfRule type="cellIs" dxfId="26839" priority="163432" stopIfTrue="1" operator="lessThan">
      <formula>0.5</formula>
    </cfRule>
  </conditionalFormatting>
  <conditionalFormatting sqref="V33">
    <cfRule type="cellIs" dxfId="26838" priority="163433" stopIfTrue="1" operator="greaterThanOrEqual">
      <formula>0.5</formula>
    </cfRule>
  </conditionalFormatting>
  <conditionalFormatting sqref="V34">
    <cfRule type="cellIs" dxfId="26837" priority="163434" stopIfTrue="1" operator="equal">
      <formula>-1</formula>
    </cfRule>
  </conditionalFormatting>
  <conditionalFormatting sqref="V34">
    <cfRule type="cellIs" dxfId="26836" priority="163435" stopIfTrue="1" operator="lessThan">
      <formula>0.5</formula>
    </cfRule>
  </conditionalFormatting>
  <conditionalFormatting sqref="V34">
    <cfRule type="cellIs" dxfId="26835" priority="163436" stopIfTrue="1" operator="greaterThanOrEqual">
      <formula>0.5</formula>
    </cfRule>
  </conditionalFormatting>
  <conditionalFormatting sqref="V35">
    <cfRule type="cellIs" dxfId="26834" priority="163437" stopIfTrue="1" operator="equal">
      <formula>-1</formula>
    </cfRule>
  </conditionalFormatting>
  <conditionalFormatting sqref="V35">
    <cfRule type="cellIs" dxfId="26833" priority="163438" stopIfTrue="1" operator="lessThan">
      <formula>0.5</formula>
    </cfRule>
  </conditionalFormatting>
  <conditionalFormatting sqref="V35">
    <cfRule type="cellIs" dxfId="26832" priority="163439" stopIfTrue="1" operator="greaterThanOrEqual">
      <formula>0.5</formula>
    </cfRule>
  </conditionalFormatting>
  <conditionalFormatting sqref="V36">
    <cfRule type="cellIs" dxfId="26831" priority="163440" stopIfTrue="1" operator="equal">
      <formula>-1</formula>
    </cfRule>
  </conditionalFormatting>
  <conditionalFormatting sqref="V36">
    <cfRule type="cellIs" dxfId="26830" priority="163441" stopIfTrue="1" operator="lessThan">
      <formula>0.5</formula>
    </cfRule>
  </conditionalFormatting>
  <conditionalFormatting sqref="V36">
    <cfRule type="cellIs" dxfId="26829" priority="163442" stopIfTrue="1" operator="greaterThanOrEqual">
      <formula>0.5</formula>
    </cfRule>
  </conditionalFormatting>
  <conditionalFormatting sqref="V37">
    <cfRule type="cellIs" dxfId="26828" priority="163443" stopIfTrue="1" operator="equal">
      <formula>-1</formula>
    </cfRule>
  </conditionalFormatting>
  <conditionalFormatting sqref="V37">
    <cfRule type="cellIs" dxfId="26827" priority="163444" stopIfTrue="1" operator="lessThan">
      <formula>0.5</formula>
    </cfRule>
  </conditionalFormatting>
  <conditionalFormatting sqref="V37">
    <cfRule type="cellIs" dxfId="26826" priority="163445" stopIfTrue="1" operator="greaterThanOrEqual">
      <formula>0.5</formula>
    </cfRule>
  </conditionalFormatting>
  <conditionalFormatting sqref="X17">
    <cfRule type="cellIs" dxfId="26825" priority="163446" stopIfTrue="1" operator="equal">
      <formula>-1</formula>
    </cfRule>
  </conditionalFormatting>
  <conditionalFormatting sqref="X17">
    <cfRule type="cellIs" dxfId="26824" priority="163447" stopIfTrue="1" operator="lessThan">
      <formula>0.5</formula>
    </cfRule>
  </conditionalFormatting>
  <conditionalFormatting sqref="X17">
    <cfRule type="cellIs" dxfId="26823" priority="163448" stopIfTrue="1" operator="greaterThanOrEqual">
      <formula>0.5</formula>
    </cfRule>
  </conditionalFormatting>
  <conditionalFormatting sqref="X18">
    <cfRule type="cellIs" dxfId="26822" priority="163449" stopIfTrue="1" operator="equal">
      <formula>-1</formula>
    </cfRule>
  </conditionalFormatting>
  <conditionalFormatting sqref="X18">
    <cfRule type="cellIs" dxfId="26821" priority="163450" stopIfTrue="1" operator="lessThan">
      <formula>0.5</formula>
    </cfRule>
  </conditionalFormatting>
  <conditionalFormatting sqref="X18">
    <cfRule type="cellIs" dxfId="26820" priority="163451" stopIfTrue="1" operator="greaterThanOrEqual">
      <formula>0.5</formula>
    </cfRule>
  </conditionalFormatting>
  <conditionalFormatting sqref="X19">
    <cfRule type="cellIs" dxfId="26819" priority="163452" stopIfTrue="1" operator="equal">
      <formula>-1</formula>
    </cfRule>
  </conditionalFormatting>
  <conditionalFormatting sqref="X19">
    <cfRule type="cellIs" dxfId="26818" priority="163453" stopIfTrue="1" operator="lessThan">
      <formula>0.5</formula>
    </cfRule>
  </conditionalFormatting>
  <conditionalFormatting sqref="X19">
    <cfRule type="cellIs" dxfId="26817" priority="163454" stopIfTrue="1" operator="greaterThanOrEqual">
      <formula>0.5</formula>
    </cfRule>
  </conditionalFormatting>
  <conditionalFormatting sqref="X20">
    <cfRule type="cellIs" dxfId="26816" priority="163455" stopIfTrue="1" operator="equal">
      <formula>-1</formula>
    </cfRule>
  </conditionalFormatting>
  <conditionalFormatting sqref="X20">
    <cfRule type="cellIs" dxfId="26815" priority="163456" stopIfTrue="1" operator="lessThan">
      <formula>0.5</formula>
    </cfRule>
  </conditionalFormatting>
  <conditionalFormatting sqref="X20">
    <cfRule type="cellIs" dxfId="26814" priority="163457" stopIfTrue="1" operator="greaterThanOrEqual">
      <formula>0.5</formula>
    </cfRule>
  </conditionalFormatting>
  <conditionalFormatting sqref="X21">
    <cfRule type="cellIs" dxfId="26813" priority="163458" stopIfTrue="1" operator="equal">
      <formula>-1</formula>
    </cfRule>
  </conditionalFormatting>
  <conditionalFormatting sqref="X21">
    <cfRule type="cellIs" dxfId="26812" priority="163459" stopIfTrue="1" operator="lessThan">
      <formula>0.5</formula>
    </cfRule>
  </conditionalFormatting>
  <conditionalFormatting sqref="X21">
    <cfRule type="cellIs" dxfId="26811" priority="163460" stopIfTrue="1" operator="greaterThanOrEqual">
      <formula>0.5</formula>
    </cfRule>
  </conditionalFormatting>
  <conditionalFormatting sqref="X22">
    <cfRule type="cellIs" dxfId="26810" priority="163461" stopIfTrue="1" operator="equal">
      <formula>-1</formula>
    </cfRule>
  </conditionalFormatting>
  <conditionalFormatting sqref="X22">
    <cfRule type="cellIs" dxfId="26809" priority="163462" stopIfTrue="1" operator="lessThan">
      <formula>0.5</formula>
    </cfRule>
  </conditionalFormatting>
  <conditionalFormatting sqref="X22">
    <cfRule type="cellIs" dxfId="26808" priority="163463" stopIfTrue="1" operator="greaterThanOrEqual">
      <formula>0.5</formula>
    </cfRule>
  </conditionalFormatting>
  <conditionalFormatting sqref="X23">
    <cfRule type="cellIs" dxfId="26807" priority="163464" stopIfTrue="1" operator="equal">
      <formula>-1</formula>
    </cfRule>
  </conditionalFormatting>
  <conditionalFormatting sqref="X23">
    <cfRule type="cellIs" dxfId="26806" priority="163465" stopIfTrue="1" operator="lessThan">
      <formula>0.5</formula>
    </cfRule>
  </conditionalFormatting>
  <conditionalFormatting sqref="X23">
    <cfRule type="cellIs" dxfId="26805" priority="163466" stopIfTrue="1" operator="greaterThanOrEqual">
      <formula>0.5</formula>
    </cfRule>
  </conditionalFormatting>
  <conditionalFormatting sqref="X24">
    <cfRule type="cellIs" dxfId="26804" priority="163467" stopIfTrue="1" operator="equal">
      <formula>-1</formula>
    </cfRule>
  </conditionalFormatting>
  <conditionalFormatting sqref="X24">
    <cfRule type="cellIs" dxfId="26803" priority="163468" stopIfTrue="1" operator="lessThan">
      <formula>0.5</formula>
    </cfRule>
  </conditionalFormatting>
  <conditionalFormatting sqref="X24">
    <cfRule type="cellIs" dxfId="26802" priority="163469" stopIfTrue="1" operator="greaterThanOrEqual">
      <formula>0.5</formula>
    </cfRule>
  </conditionalFormatting>
  <conditionalFormatting sqref="X25">
    <cfRule type="cellIs" dxfId="26801" priority="163470" stopIfTrue="1" operator="equal">
      <formula>-1</formula>
    </cfRule>
  </conditionalFormatting>
  <conditionalFormatting sqref="X25">
    <cfRule type="cellIs" dxfId="26800" priority="163471" stopIfTrue="1" operator="lessThan">
      <formula>0.5</formula>
    </cfRule>
  </conditionalFormatting>
  <conditionalFormatting sqref="X25">
    <cfRule type="cellIs" dxfId="26799" priority="163472" stopIfTrue="1" operator="greaterThanOrEqual">
      <formula>0.5</formula>
    </cfRule>
  </conditionalFormatting>
  <conditionalFormatting sqref="X26">
    <cfRule type="cellIs" dxfId="26798" priority="163473" stopIfTrue="1" operator="equal">
      <formula>-1</formula>
    </cfRule>
  </conditionalFormatting>
  <conditionalFormatting sqref="X26">
    <cfRule type="cellIs" dxfId="26797" priority="163474" stopIfTrue="1" operator="lessThan">
      <formula>0.5</formula>
    </cfRule>
  </conditionalFormatting>
  <conditionalFormatting sqref="X26">
    <cfRule type="cellIs" dxfId="26796" priority="163475" stopIfTrue="1" operator="greaterThanOrEqual">
      <formula>0.5</formula>
    </cfRule>
  </conditionalFormatting>
  <conditionalFormatting sqref="X27">
    <cfRule type="cellIs" dxfId="26795" priority="163476" stopIfTrue="1" operator="equal">
      <formula>-1</formula>
    </cfRule>
  </conditionalFormatting>
  <conditionalFormatting sqref="X27">
    <cfRule type="cellIs" dxfId="26794" priority="163477" stopIfTrue="1" operator="lessThan">
      <formula>0.5</formula>
    </cfRule>
  </conditionalFormatting>
  <conditionalFormatting sqref="X27">
    <cfRule type="cellIs" dxfId="26793" priority="163478" stopIfTrue="1" operator="greaterThanOrEqual">
      <formula>0.5</formula>
    </cfRule>
  </conditionalFormatting>
  <conditionalFormatting sqref="X28">
    <cfRule type="cellIs" dxfId="26792" priority="163479" stopIfTrue="1" operator="equal">
      <formula>-1</formula>
    </cfRule>
  </conditionalFormatting>
  <conditionalFormatting sqref="X28">
    <cfRule type="cellIs" dxfId="26791" priority="163480" stopIfTrue="1" operator="lessThan">
      <formula>0.5</formula>
    </cfRule>
  </conditionalFormatting>
  <conditionalFormatting sqref="X28">
    <cfRule type="cellIs" dxfId="26790" priority="163481" stopIfTrue="1" operator="greaterThanOrEqual">
      <formula>0.5</formula>
    </cfRule>
  </conditionalFormatting>
  <conditionalFormatting sqref="X29">
    <cfRule type="cellIs" dxfId="26789" priority="163482" stopIfTrue="1" operator="equal">
      <formula>-1</formula>
    </cfRule>
  </conditionalFormatting>
  <conditionalFormatting sqref="X29">
    <cfRule type="cellIs" dxfId="26788" priority="163483" stopIfTrue="1" operator="lessThan">
      <formula>0.5</formula>
    </cfRule>
  </conditionalFormatting>
  <conditionalFormatting sqref="X29">
    <cfRule type="cellIs" dxfId="26787" priority="163484" stopIfTrue="1" operator="greaterThanOrEqual">
      <formula>0.5</formula>
    </cfRule>
  </conditionalFormatting>
  <conditionalFormatting sqref="X30">
    <cfRule type="cellIs" dxfId="26786" priority="163485" stopIfTrue="1" operator="equal">
      <formula>-1</formula>
    </cfRule>
  </conditionalFormatting>
  <conditionalFormatting sqref="X30">
    <cfRule type="cellIs" dxfId="26785" priority="163486" stopIfTrue="1" operator="lessThan">
      <formula>0.5</formula>
    </cfRule>
  </conditionalFormatting>
  <conditionalFormatting sqref="X30">
    <cfRule type="cellIs" dxfId="26784" priority="163487" stopIfTrue="1" operator="greaterThanOrEqual">
      <formula>0.5</formula>
    </cfRule>
  </conditionalFormatting>
  <conditionalFormatting sqref="X31">
    <cfRule type="cellIs" dxfId="26783" priority="163488" stopIfTrue="1" operator="equal">
      <formula>-1</formula>
    </cfRule>
  </conditionalFormatting>
  <conditionalFormatting sqref="X31">
    <cfRule type="cellIs" dxfId="26782" priority="163489" stopIfTrue="1" operator="lessThan">
      <formula>0.5</formula>
    </cfRule>
  </conditionalFormatting>
  <conditionalFormatting sqref="X31">
    <cfRule type="cellIs" dxfId="26781" priority="163490" stopIfTrue="1" operator="greaterThanOrEqual">
      <formula>0.5</formula>
    </cfRule>
  </conditionalFormatting>
  <conditionalFormatting sqref="X32">
    <cfRule type="cellIs" dxfId="26780" priority="163491" stopIfTrue="1" operator="equal">
      <formula>-1</formula>
    </cfRule>
  </conditionalFormatting>
  <conditionalFormatting sqref="X32">
    <cfRule type="cellIs" dxfId="26779" priority="163492" stopIfTrue="1" operator="lessThan">
      <formula>0.5</formula>
    </cfRule>
  </conditionalFormatting>
  <conditionalFormatting sqref="X32">
    <cfRule type="cellIs" dxfId="26778" priority="163493" stopIfTrue="1" operator="greaterThanOrEqual">
      <formula>0.5</formula>
    </cfRule>
  </conditionalFormatting>
  <conditionalFormatting sqref="X33">
    <cfRule type="cellIs" dxfId="26777" priority="163494" stopIfTrue="1" operator="equal">
      <formula>-1</formula>
    </cfRule>
  </conditionalFormatting>
  <conditionalFormatting sqref="X33">
    <cfRule type="cellIs" dxfId="26776" priority="163495" stopIfTrue="1" operator="lessThan">
      <formula>0.5</formula>
    </cfRule>
  </conditionalFormatting>
  <conditionalFormatting sqref="X33">
    <cfRule type="cellIs" dxfId="26775" priority="163496" stopIfTrue="1" operator="greaterThanOrEqual">
      <formula>0.5</formula>
    </cfRule>
  </conditionalFormatting>
  <conditionalFormatting sqref="X34">
    <cfRule type="cellIs" dxfId="26774" priority="163497" stopIfTrue="1" operator="equal">
      <formula>-1</formula>
    </cfRule>
  </conditionalFormatting>
  <conditionalFormatting sqref="X34">
    <cfRule type="cellIs" dxfId="26773" priority="163498" stopIfTrue="1" operator="lessThan">
      <formula>0.5</formula>
    </cfRule>
  </conditionalFormatting>
  <conditionalFormatting sqref="X34">
    <cfRule type="cellIs" dxfId="26772" priority="163499" stopIfTrue="1" operator="greaterThanOrEqual">
      <formula>0.5</formula>
    </cfRule>
  </conditionalFormatting>
  <conditionalFormatting sqref="X35">
    <cfRule type="cellIs" dxfId="26771" priority="163500" stopIfTrue="1" operator="equal">
      <formula>-1</formula>
    </cfRule>
  </conditionalFormatting>
  <conditionalFormatting sqref="X35">
    <cfRule type="cellIs" dxfId="26770" priority="163501" stopIfTrue="1" operator="lessThan">
      <formula>0.5</formula>
    </cfRule>
  </conditionalFormatting>
  <conditionalFormatting sqref="X35">
    <cfRule type="cellIs" dxfId="26769" priority="163502" stopIfTrue="1" operator="greaterThanOrEqual">
      <formula>0.5</formula>
    </cfRule>
  </conditionalFormatting>
  <conditionalFormatting sqref="X36">
    <cfRule type="cellIs" dxfId="26768" priority="163503" stopIfTrue="1" operator="equal">
      <formula>-1</formula>
    </cfRule>
  </conditionalFormatting>
  <conditionalFormatting sqref="X36">
    <cfRule type="cellIs" dxfId="26767" priority="163504" stopIfTrue="1" operator="lessThan">
      <formula>0.5</formula>
    </cfRule>
  </conditionalFormatting>
  <conditionalFormatting sqref="X36">
    <cfRule type="cellIs" dxfId="26766" priority="163505" stopIfTrue="1" operator="greaterThanOrEqual">
      <formula>0.5</formula>
    </cfRule>
  </conditionalFormatting>
  <conditionalFormatting sqref="X37">
    <cfRule type="cellIs" dxfId="26765" priority="163506" stopIfTrue="1" operator="equal">
      <formula>-1</formula>
    </cfRule>
  </conditionalFormatting>
  <conditionalFormatting sqref="X37">
    <cfRule type="cellIs" dxfId="26764" priority="163507" stopIfTrue="1" operator="lessThan">
      <formula>0.5</formula>
    </cfRule>
  </conditionalFormatting>
  <conditionalFormatting sqref="X37">
    <cfRule type="cellIs" dxfId="26763" priority="163508" stopIfTrue="1" operator="greaterThanOrEqual">
      <formula>0.5</formula>
    </cfRule>
  </conditionalFormatting>
  <conditionalFormatting sqref="Z17">
    <cfRule type="cellIs" dxfId="26762" priority="163509" stopIfTrue="1" operator="equal">
      <formula>-1</formula>
    </cfRule>
  </conditionalFormatting>
  <conditionalFormatting sqref="Z17">
    <cfRule type="cellIs" dxfId="26761" priority="163510" stopIfTrue="1" operator="lessThan">
      <formula>0.5</formula>
    </cfRule>
  </conditionalFormatting>
  <conditionalFormatting sqref="Z17">
    <cfRule type="cellIs" dxfId="26760" priority="163511" stopIfTrue="1" operator="greaterThanOrEqual">
      <formula>0.5</formula>
    </cfRule>
  </conditionalFormatting>
  <conditionalFormatting sqref="Z18">
    <cfRule type="cellIs" dxfId="26759" priority="163512" stopIfTrue="1" operator="equal">
      <formula>-1</formula>
    </cfRule>
  </conditionalFormatting>
  <conditionalFormatting sqref="Z18">
    <cfRule type="cellIs" dxfId="26758" priority="163513" stopIfTrue="1" operator="lessThan">
      <formula>0.5</formula>
    </cfRule>
  </conditionalFormatting>
  <conditionalFormatting sqref="Z18">
    <cfRule type="cellIs" dxfId="26757" priority="163514" stopIfTrue="1" operator="greaterThanOrEqual">
      <formula>0.5</formula>
    </cfRule>
  </conditionalFormatting>
  <conditionalFormatting sqref="Z19">
    <cfRule type="cellIs" dxfId="26756" priority="163515" stopIfTrue="1" operator="equal">
      <formula>-1</formula>
    </cfRule>
  </conditionalFormatting>
  <conditionalFormatting sqref="Z19">
    <cfRule type="cellIs" dxfId="26755" priority="163516" stopIfTrue="1" operator="lessThan">
      <formula>0.5</formula>
    </cfRule>
  </conditionalFormatting>
  <conditionalFormatting sqref="Z19">
    <cfRule type="cellIs" dxfId="26754" priority="163517" stopIfTrue="1" operator="greaterThanOrEqual">
      <formula>0.5</formula>
    </cfRule>
  </conditionalFormatting>
  <conditionalFormatting sqref="Z20">
    <cfRule type="cellIs" dxfId="26753" priority="163518" stopIfTrue="1" operator="equal">
      <formula>-1</formula>
    </cfRule>
  </conditionalFormatting>
  <conditionalFormatting sqref="Z20">
    <cfRule type="cellIs" dxfId="26752" priority="163519" stopIfTrue="1" operator="lessThan">
      <formula>0.5</formula>
    </cfRule>
  </conditionalFormatting>
  <conditionalFormatting sqref="Z20">
    <cfRule type="cellIs" dxfId="26751" priority="163520" stopIfTrue="1" operator="greaterThanOrEqual">
      <formula>0.5</formula>
    </cfRule>
  </conditionalFormatting>
  <conditionalFormatting sqref="Z21">
    <cfRule type="cellIs" dxfId="26750" priority="163521" stopIfTrue="1" operator="equal">
      <formula>-1</formula>
    </cfRule>
  </conditionalFormatting>
  <conditionalFormatting sqref="Z21">
    <cfRule type="cellIs" dxfId="26749" priority="163522" stopIfTrue="1" operator="lessThan">
      <formula>0.5</formula>
    </cfRule>
  </conditionalFormatting>
  <conditionalFormatting sqref="Z21">
    <cfRule type="cellIs" dxfId="26748" priority="163523" stopIfTrue="1" operator="greaterThanOrEqual">
      <formula>0.5</formula>
    </cfRule>
  </conditionalFormatting>
  <conditionalFormatting sqref="Z22">
    <cfRule type="cellIs" dxfId="26747" priority="163524" stopIfTrue="1" operator="equal">
      <formula>-1</formula>
    </cfRule>
  </conditionalFormatting>
  <conditionalFormatting sqref="Z22">
    <cfRule type="cellIs" dxfId="26746" priority="163525" stopIfTrue="1" operator="lessThan">
      <formula>0.5</formula>
    </cfRule>
  </conditionalFormatting>
  <conditionalFormatting sqref="Z22">
    <cfRule type="cellIs" dxfId="26745" priority="163526" stopIfTrue="1" operator="greaterThanOrEqual">
      <formula>0.5</formula>
    </cfRule>
  </conditionalFormatting>
  <conditionalFormatting sqref="Z23">
    <cfRule type="cellIs" dxfId="26744" priority="163527" stopIfTrue="1" operator="equal">
      <formula>-1</formula>
    </cfRule>
  </conditionalFormatting>
  <conditionalFormatting sqref="Z23">
    <cfRule type="cellIs" dxfId="26743" priority="163528" stopIfTrue="1" operator="lessThan">
      <formula>0.5</formula>
    </cfRule>
  </conditionalFormatting>
  <conditionalFormatting sqref="Z23">
    <cfRule type="cellIs" dxfId="26742" priority="163529" stopIfTrue="1" operator="greaterThanOrEqual">
      <formula>0.5</formula>
    </cfRule>
  </conditionalFormatting>
  <conditionalFormatting sqref="Z24">
    <cfRule type="cellIs" dxfId="26741" priority="163530" stopIfTrue="1" operator="equal">
      <formula>-1</formula>
    </cfRule>
  </conditionalFormatting>
  <conditionalFormatting sqref="Z24">
    <cfRule type="cellIs" dxfId="26740" priority="163531" stopIfTrue="1" operator="lessThan">
      <formula>0.5</formula>
    </cfRule>
  </conditionalFormatting>
  <conditionalFormatting sqref="Z24">
    <cfRule type="cellIs" dxfId="26739" priority="163532" stopIfTrue="1" operator="greaterThanOrEqual">
      <formula>0.5</formula>
    </cfRule>
  </conditionalFormatting>
  <conditionalFormatting sqref="Z25">
    <cfRule type="cellIs" dxfId="26738" priority="163533" stopIfTrue="1" operator="equal">
      <formula>-1</formula>
    </cfRule>
  </conditionalFormatting>
  <conditionalFormatting sqref="Z25">
    <cfRule type="cellIs" dxfId="26737" priority="163534" stopIfTrue="1" operator="lessThan">
      <formula>0.5</formula>
    </cfRule>
  </conditionalFormatting>
  <conditionalFormatting sqref="Z25">
    <cfRule type="cellIs" dxfId="26736" priority="163535" stopIfTrue="1" operator="greaterThanOrEqual">
      <formula>0.5</formula>
    </cfRule>
  </conditionalFormatting>
  <conditionalFormatting sqref="Z26">
    <cfRule type="cellIs" dxfId="26735" priority="163536" stopIfTrue="1" operator="equal">
      <formula>-1</formula>
    </cfRule>
  </conditionalFormatting>
  <conditionalFormatting sqref="Z26">
    <cfRule type="cellIs" dxfId="26734" priority="163537" stopIfTrue="1" operator="lessThan">
      <formula>0.5</formula>
    </cfRule>
  </conditionalFormatting>
  <conditionalFormatting sqref="Z26">
    <cfRule type="cellIs" dxfId="26733" priority="163538" stopIfTrue="1" operator="greaterThanOrEqual">
      <formula>0.5</formula>
    </cfRule>
  </conditionalFormatting>
  <conditionalFormatting sqref="Z27">
    <cfRule type="cellIs" dxfId="26732" priority="163539" stopIfTrue="1" operator="equal">
      <formula>-1</formula>
    </cfRule>
  </conditionalFormatting>
  <conditionalFormatting sqref="Z27">
    <cfRule type="cellIs" dxfId="26731" priority="163540" stopIfTrue="1" operator="lessThan">
      <formula>0.5</formula>
    </cfRule>
  </conditionalFormatting>
  <conditionalFormatting sqref="Z27">
    <cfRule type="cellIs" dxfId="26730" priority="163541" stopIfTrue="1" operator="greaterThanOrEqual">
      <formula>0.5</formula>
    </cfRule>
  </conditionalFormatting>
  <conditionalFormatting sqref="Z28">
    <cfRule type="cellIs" dxfId="26729" priority="163542" stopIfTrue="1" operator="equal">
      <formula>-1</formula>
    </cfRule>
  </conditionalFormatting>
  <conditionalFormatting sqref="Z28">
    <cfRule type="cellIs" dxfId="26728" priority="163543" stopIfTrue="1" operator="lessThan">
      <formula>0.5</formula>
    </cfRule>
  </conditionalFormatting>
  <conditionalFormatting sqref="Z28">
    <cfRule type="cellIs" dxfId="26727" priority="163544" stopIfTrue="1" operator="greaterThanOrEqual">
      <formula>0.5</formula>
    </cfRule>
  </conditionalFormatting>
  <conditionalFormatting sqref="Z29">
    <cfRule type="cellIs" dxfId="26726" priority="163545" stopIfTrue="1" operator="equal">
      <formula>-1</formula>
    </cfRule>
  </conditionalFormatting>
  <conditionalFormatting sqref="Z29">
    <cfRule type="cellIs" dxfId="26725" priority="163546" stopIfTrue="1" operator="lessThan">
      <formula>0.5</formula>
    </cfRule>
  </conditionalFormatting>
  <conditionalFormatting sqref="Z29">
    <cfRule type="cellIs" dxfId="26724" priority="163547" stopIfTrue="1" operator="greaterThanOrEqual">
      <formula>0.5</formula>
    </cfRule>
  </conditionalFormatting>
  <conditionalFormatting sqref="Z30">
    <cfRule type="cellIs" dxfId="26723" priority="163548" stopIfTrue="1" operator="equal">
      <formula>-1</formula>
    </cfRule>
  </conditionalFormatting>
  <conditionalFormatting sqref="Z30">
    <cfRule type="cellIs" dxfId="26722" priority="163549" stopIfTrue="1" operator="lessThan">
      <formula>0.5</formula>
    </cfRule>
  </conditionalFormatting>
  <conditionalFormatting sqref="Z30">
    <cfRule type="cellIs" dxfId="26721" priority="163550" stopIfTrue="1" operator="greaterThanOrEqual">
      <formula>0.5</formula>
    </cfRule>
  </conditionalFormatting>
  <conditionalFormatting sqref="Z31">
    <cfRule type="cellIs" dxfId="26720" priority="163551" stopIfTrue="1" operator="equal">
      <formula>-1</formula>
    </cfRule>
  </conditionalFormatting>
  <conditionalFormatting sqref="Z31">
    <cfRule type="cellIs" dxfId="26719" priority="163552" stopIfTrue="1" operator="lessThan">
      <formula>0.5</formula>
    </cfRule>
  </conditionalFormatting>
  <conditionalFormatting sqref="Z31">
    <cfRule type="cellIs" dxfId="26718" priority="163553" stopIfTrue="1" operator="greaterThanOrEqual">
      <formula>0.5</formula>
    </cfRule>
  </conditionalFormatting>
  <conditionalFormatting sqref="Z32">
    <cfRule type="cellIs" dxfId="26717" priority="163554" stopIfTrue="1" operator="equal">
      <formula>-1</formula>
    </cfRule>
  </conditionalFormatting>
  <conditionalFormatting sqref="Z32">
    <cfRule type="cellIs" dxfId="26716" priority="163555" stopIfTrue="1" operator="lessThan">
      <formula>0.5</formula>
    </cfRule>
  </conditionalFormatting>
  <conditionalFormatting sqref="Z32">
    <cfRule type="cellIs" dxfId="26715" priority="163556" stopIfTrue="1" operator="greaterThanOrEqual">
      <formula>0.5</formula>
    </cfRule>
  </conditionalFormatting>
  <conditionalFormatting sqref="Z33">
    <cfRule type="cellIs" dxfId="26714" priority="163557" stopIfTrue="1" operator="equal">
      <formula>-1</formula>
    </cfRule>
  </conditionalFormatting>
  <conditionalFormatting sqref="Z33">
    <cfRule type="cellIs" dxfId="26713" priority="163558" stopIfTrue="1" operator="lessThan">
      <formula>0.5</formula>
    </cfRule>
  </conditionalFormatting>
  <conditionalFormatting sqref="Z33">
    <cfRule type="cellIs" dxfId="26712" priority="163559" stopIfTrue="1" operator="greaterThanOrEqual">
      <formula>0.5</formula>
    </cfRule>
  </conditionalFormatting>
  <conditionalFormatting sqref="Z34">
    <cfRule type="cellIs" dxfId="26711" priority="163560" stopIfTrue="1" operator="equal">
      <formula>-1</formula>
    </cfRule>
  </conditionalFormatting>
  <conditionalFormatting sqref="Z34">
    <cfRule type="cellIs" dxfId="26710" priority="163561" stopIfTrue="1" operator="lessThan">
      <formula>0.5</formula>
    </cfRule>
  </conditionalFormatting>
  <conditionalFormatting sqref="Z34">
    <cfRule type="cellIs" dxfId="26709" priority="163562" stopIfTrue="1" operator="greaterThanOrEqual">
      <formula>0.5</formula>
    </cfRule>
  </conditionalFormatting>
  <conditionalFormatting sqref="Z35">
    <cfRule type="cellIs" dxfId="26708" priority="163563" stopIfTrue="1" operator="equal">
      <formula>-1</formula>
    </cfRule>
  </conditionalFormatting>
  <conditionalFormatting sqref="Z35">
    <cfRule type="cellIs" dxfId="26707" priority="163564" stopIfTrue="1" operator="lessThan">
      <formula>0.5</formula>
    </cfRule>
  </conditionalFormatting>
  <conditionalFormatting sqref="Z35">
    <cfRule type="cellIs" dxfId="26706" priority="163565" stopIfTrue="1" operator="greaterThanOrEqual">
      <formula>0.5</formula>
    </cfRule>
  </conditionalFormatting>
  <conditionalFormatting sqref="Z36">
    <cfRule type="cellIs" dxfId="26705" priority="163566" stopIfTrue="1" operator="equal">
      <formula>-1</formula>
    </cfRule>
  </conditionalFormatting>
  <conditionalFormatting sqref="Z36">
    <cfRule type="cellIs" dxfId="26704" priority="163567" stopIfTrue="1" operator="lessThan">
      <formula>0.5</formula>
    </cfRule>
  </conditionalFormatting>
  <conditionalFormatting sqref="Z36">
    <cfRule type="cellIs" dxfId="26703" priority="163568" stopIfTrue="1" operator="greaterThanOrEqual">
      <formula>0.5</formula>
    </cfRule>
  </conditionalFormatting>
  <conditionalFormatting sqref="Z37">
    <cfRule type="cellIs" dxfId="26702" priority="163569" stopIfTrue="1" operator="equal">
      <formula>-1</formula>
    </cfRule>
  </conditionalFormatting>
  <conditionalFormatting sqref="Z37">
    <cfRule type="cellIs" dxfId="26701" priority="163570" stopIfTrue="1" operator="lessThan">
      <formula>0.5</formula>
    </cfRule>
  </conditionalFormatting>
  <conditionalFormatting sqref="Z37">
    <cfRule type="cellIs" dxfId="26700" priority="163571" stopIfTrue="1" operator="greaterThanOrEqual">
      <formula>0.5</formula>
    </cfRule>
  </conditionalFormatting>
  <conditionalFormatting sqref="AB17">
    <cfRule type="cellIs" dxfId="26699" priority="163572" stopIfTrue="1" operator="equal">
      <formula>-1</formula>
    </cfRule>
  </conditionalFormatting>
  <conditionalFormatting sqref="AB17">
    <cfRule type="cellIs" dxfId="26698" priority="163573" stopIfTrue="1" operator="lessThan">
      <formula>0.5</formula>
    </cfRule>
  </conditionalFormatting>
  <conditionalFormatting sqref="AB17">
    <cfRule type="cellIs" dxfId="26697" priority="163574" stopIfTrue="1" operator="greaterThanOrEqual">
      <formula>0.5</formula>
    </cfRule>
  </conditionalFormatting>
  <conditionalFormatting sqref="AB18">
    <cfRule type="cellIs" dxfId="26696" priority="163575" stopIfTrue="1" operator="equal">
      <formula>-1</formula>
    </cfRule>
  </conditionalFormatting>
  <conditionalFormatting sqref="AB18">
    <cfRule type="cellIs" dxfId="26695" priority="163576" stopIfTrue="1" operator="lessThan">
      <formula>0.5</formula>
    </cfRule>
  </conditionalFormatting>
  <conditionalFormatting sqref="AB18">
    <cfRule type="cellIs" dxfId="26694" priority="163577" stopIfTrue="1" operator="greaterThanOrEqual">
      <formula>0.5</formula>
    </cfRule>
  </conditionalFormatting>
  <conditionalFormatting sqref="AB19">
    <cfRule type="cellIs" dxfId="26693" priority="163578" stopIfTrue="1" operator="equal">
      <formula>-1</formula>
    </cfRule>
  </conditionalFormatting>
  <conditionalFormatting sqref="AB19">
    <cfRule type="cellIs" dxfId="26692" priority="163579" stopIfTrue="1" operator="lessThan">
      <formula>0.5</formula>
    </cfRule>
  </conditionalFormatting>
  <conditionalFormatting sqref="AB19">
    <cfRule type="cellIs" dxfId="26691" priority="163580" stopIfTrue="1" operator="greaterThanOrEqual">
      <formula>0.5</formula>
    </cfRule>
  </conditionalFormatting>
  <conditionalFormatting sqref="AB20">
    <cfRule type="cellIs" dxfId="26690" priority="163581" stopIfTrue="1" operator="equal">
      <formula>-1</formula>
    </cfRule>
  </conditionalFormatting>
  <conditionalFormatting sqref="AB20">
    <cfRule type="cellIs" dxfId="26689" priority="163582" stopIfTrue="1" operator="lessThan">
      <formula>0.5</formula>
    </cfRule>
  </conditionalFormatting>
  <conditionalFormatting sqref="AB20">
    <cfRule type="cellIs" dxfId="26688" priority="163583" stopIfTrue="1" operator="greaterThanOrEqual">
      <formula>0.5</formula>
    </cfRule>
  </conditionalFormatting>
  <conditionalFormatting sqref="AB21">
    <cfRule type="cellIs" dxfId="26687" priority="163584" stopIfTrue="1" operator="equal">
      <formula>-1</formula>
    </cfRule>
  </conditionalFormatting>
  <conditionalFormatting sqref="AB21">
    <cfRule type="cellIs" dxfId="26686" priority="163585" stopIfTrue="1" operator="lessThan">
      <formula>0.5</formula>
    </cfRule>
  </conditionalFormatting>
  <conditionalFormatting sqref="AB21">
    <cfRule type="cellIs" dxfId="26685" priority="163586" stopIfTrue="1" operator="greaterThanOrEqual">
      <formula>0.5</formula>
    </cfRule>
  </conditionalFormatting>
  <conditionalFormatting sqref="AB22">
    <cfRule type="cellIs" dxfId="26684" priority="163587" stopIfTrue="1" operator="equal">
      <formula>-1</formula>
    </cfRule>
  </conditionalFormatting>
  <conditionalFormatting sqref="AB22">
    <cfRule type="cellIs" dxfId="26683" priority="163588" stopIfTrue="1" operator="lessThan">
      <formula>0.5</formula>
    </cfRule>
  </conditionalFormatting>
  <conditionalFormatting sqref="AB22">
    <cfRule type="cellIs" dxfId="26682" priority="163589" stopIfTrue="1" operator="greaterThanOrEqual">
      <formula>0.5</formula>
    </cfRule>
  </conditionalFormatting>
  <conditionalFormatting sqref="AB23">
    <cfRule type="cellIs" dxfId="26681" priority="163590" stopIfTrue="1" operator="equal">
      <formula>-1</formula>
    </cfRule>
  </conditionalFormatting>
  <conditionalFormatting sqref="AB23">
    <cfRule type="cellIs" dxfId="26680" priority="163591" stopIfTrue="1" operator="lessThan">
      <formula>0.5</formula>
    </cfRule>
  </conditionalFormatting>
  <conditionalFormatting sqref="AB23">
    <cfRule type="cellIs" dxfId="26679" priority="163592" stopIfTrue="1" operator="greaterThanOrEqual">
      <formula>0.5</formula>
    </cfRule>
  </conditionalFormatting>
  <conditionalFormatting sqref="AB24">
    <cfRule type="cellIs" dxfId="26678" priority="163593" stopIfTrue="1" operator="equal">
      <formula>-1</formula>
    </cfRule>
  </conditionalFormatting>
  <conditionalFormatting sqref="AB24">
    <cfRule type="cellIs" dxfId="26677" priority="163594" stopIfTrue="1" operator="lessThan">
      <formula>0.5</formula>
    </cfRule>
  </conditionalFormatting>
  <conditionalFormatting sqref="AB24">
    <cfRule type="cellIs" dxfId="26676" priority="163595" stopIfTrue="1" operator="greaterThanOrEqual">
      <formula>0.5</formula>
    </cfRule>
  </conditionalFormatting>
  <conditionalFormatting sqref="AB25">
    <cfRule type="cellIs" dxfId="26675" priority="163596" stopIfTrue="1" operator="equal">
      <formula>-1</formula>
    </cfRule>
  </conditionalFormatting>
  <conditionalFormatting sqref="AB25">
    <cfRule type="cellIs" dxfId="26674" priority="163597" stopIfTrue="1" operator="lessThan">
      <formula>0.5</formula>
    </cfRule>
  </conditionalFormatting>
  <conditionalFormatting sqref="AB25">
    <cfRule type="cellIs" dxfId="26673" priority="163598" stopIfTrue="1" operator="greaterThanOrEqual">
      <formula>0.5</formula>
    </cfRule>
  </conditionalFormatting>
  <conditionalFormatting sqref="AB26">
    <cfRule type="cellIs" dxfId="26672" priority="163599" stopIfTrue="1" operator="equal">
      <formula>-1</formula>
    </cfRule>
  </conditionalFormatting>
  <conditionalFormatting sqref="AB26">
    <cfRule type="cellIs" dxfId="26671" priority="163600" stopIfTrue="1" operator="lessThan">
      <formula>0.5</formula>
    </cfRule>
  </conditionalFormatting>
  <conditionalFormatting sqref="AB26">
    <cfRule type="cellIs" dxfId="26670" priority="163601" stopIfTrue="1" operator="greaterThanOrEqual">
      <formula>0.5</formula>
    </cfRule>
  </conditionalFormatting>
  <conditionalFormatting sqref="AB27">
    <cfRule type="cellIs" dxfId="26669" priority="163602" stopIfTrue="1" operator="equal">
      <formula>-1</formula>
    </cfRule>
  </conditionalFormatting>
  <conditionalFormatting sqref="AB27">
    <cfRule type="cellIs" dxfId="26668" priority="163603" stopIfTrue="1" operator="lessThan">
      <formula>0.5</formula>
    </cfRule>
  </conditionalFormatting>
  <conditionalFormatting sqref="AB27">
    <cfRule type="cellIs" dxfId="26667" priority="163604" stopIfTrue="1" operator="greaterThanOrEqual">
      <formula>0.5</formula>
    </cfRule>
  </conditionalFormatting>
  <conditionalFormatting sqref="AB28">
    <cfRule type="cellIs" dxfId="26666" priority="163605" stopIfTrue="1" operator="equal">
      <formula>-1</formula>
    </cfRule>
  </conditionalFormatting>
  <conditionalFormatting sqref="AB28">
    <cfRule type="cellIs" dxfId="26665" priority="163606" stopIfTrue="1" operator="lessThan">
      <formula>0.5</formula>
    </cfRule>
  </conditionalFormatting>
  <conditionalFormatting sqref="AB28">
    <cfRule type="cellIs" dxfId="26664" priority="163607" stopIfTrue="1" operator="greaterThanOrEqual">
      <formula>0.5</formula>
    </cfRule>
  </conditionalFormatting>
  <conditionalFormatting sqref="AB29">
    <cfRule type="cellIs" dxfId="26663" priority="163608" stopIfTrue="1" operator="equal">
      <formula>-1</formula>
    </cfRule>
  </conditionalFormatting>
  <conditionalFormatting sqref="AB29">
    <cfRule type="cellIs" dxfId="26662" priority="163609" stopIfTrue="1" operator="lessThan">
      <formula>0.5</formula>
    </cfRule>
  </conditionalFormatting>
  <conditionalFormatting sqref="AB29">
    <cfRule type="cellIs" dxfId="26661" priority="163610" stopIfTrue="1" operator="greaterThanOrEqual">
      <formula>0.5</formula>
    </cfRule>
  </conditionalFormatting>
  <conditionalFormatting sqref="AB30">
    <cfRule type="cellIs" dxfId="26660" priority="163611" stopIfTrue="1" operator="equal">
      <formula>-1</formula>
    </cfRule>
  </conditionalFormatting>
  <conditionalFormatting sqref="AB30">
    <cfRule type="cellIs" dxfId="26659" priority="163612" stopIfTrue="1" operator="lessThan">
      <formula>0.5</formula>
    </cfRule>
  </conditionalFormatting>
  <conditionalFormatting sqref="AB30">
    <cfRule type="cellIs" dxfId="26658" priority="163613" stopIfTrue="1" operator="greaterThanOrEqual">
      <formula>0.5</formula>
    </cfRule>
  </conditionalFormatting>
  <conditionalFormatting sqref="AB31">
    <cfRule type="cellIs" dxfId="26657" priority="163614" stopIfTrue="1" operator="equal">
      <formula>-1</formula>
    </cfRule>
  </conditionalFormatting>
  <conditionalFormatting sqref="AB31">
    <cfRule type="cellIs" dxfId="26656" priority="163615" stopIfTrue="1" operator="lessThan">
      <formula>0.5</formula>
    </cfRule>
  </conditionalFormatting>
  <conditionalFormatting sqref="AB31">
    <cfRule type="cellIs" dxfId="26655" priority="163616" stopIfTrue="1" operator="greaterThanOrEqual">
      <formula>0.5</formula>
    </cfRule>
  </conditionalFormatting>
  <conditionalFormatting sqref="AB32">
    <cfRule type="cellIs" dxfId="26654" priority="163617" stopIfTrue="1" operator="equal">
      <formula>-1</formula>
    </cfRule>
  </conditionalFormatting>
  <conditionalFormatting sqref="AB32">
    <cfRule type="cellIs" dxfId="26653" priority="163618" stopIfTrue="1" operator="lessThan">
      <formula>0.5</formula>
    </cfRule>
  </conditionalFormatting>
  <conditionalFormatting sqref="AB32">
    <cfRule type="cellIs" dxfId="26652" priority="163619" stopIfTrue="1" operator="greaterThanOrEqual">
      <formula>0.5</formula>
    </cfRule>
  </conditionalFormatting>
  <conditionalFormatting sqref="AB33">
    <cfRule type="cellIs" dxfId="26651" priority="163620" stopIfTrue="1" operator="equal">
      <formula>-1</formula>
    </cfRule>
  </conditionalFormatting>
  <conditionalFormatting sqref="AB33">
    <cfRule type="cellIs" dxfId="26650" priority="163621" stopIfTrue="1" operator="lessThan">
      <formula>0.5</formula>
    </cfRule>
  </conditionalFormatting>
  <conditionalFormatting sqref="AB33">
    <cfRule type="cellIs" dxfId="26649" priority="163622" stopIfTrue="1" operator="greaterThanOrEqual">
      <formula>0.5</formula>
    </cfRule>
  </conditionalFormatting>
  <conditionalFormatting sqref="AB34">
    <cfRule type="cellIs" dxfId="26648" priority="163623" stopIfTrue="1" operator="equal">
      <formula>-1</formula>
    </cfRule>
  </conditionalFormatting>
  <conditionalFormatting sqref="AB34">
    <cfRule type="cellIs" dxfId="26647" priority="163624" stopIfTrue="1" operator="lessThan">
      <formula>0.5</formula>
    </cfRule>
  </conditionalFormatting>
  <conditionalFormatting sqref="AB34">
    <cfRule type="cellIs" dxfId="26646" priority="163625" stopIfTrue="1" operator="greaterThanOrEqual">
      <formula>0.5</formula>
    </cfRule>
  </conditionalFormatting>
  <conditionalFormatting sqref="AB35">
    <cfRule type="cellIs" dxfId="26645" priority="163626" stopIfTrue="1" operator="equal">
      <formula>-1</formula>
    </cfRule>
  </conditionalFormatting>
  <conditionalFormatting sqref="AB35">
    <cfRule type="cellIs" dxfId="26644" priority="163627" stopIfTrue="1" operator="lessThan">
      <formula>0.5</formula>
    </cfRule>
  </conditionalFormatting>
  <conditionalFormatting sqref="AB35">
    <cfRule type="cellIs" dxfId="26643" priority="163628" stopIfTrue="1" operator="greaterThanOrEqual">
      <formula>0.5</formula>
    </cfRule>
  </conditionalFormatting>
  <conditionalFormatting sqref="AB36">
    <cfRule type="cellIs" dxfId="26642" priority="163629" stopIfTrue="1" operator="equal">
      <formula>-1</formula>
    </cfRule>
  </conditionalFormatting>
  <conditionalFormatting sqref="AB36">
    <cfRule type="cellIs" dxfId="26641" priority="163630" stopIfTrue="1" operator="lessThan">
      <formula>0.5</formula>
    </cfRule>
  </conditionalFormatting>
  <conditionalFormatting sqref="AB36">
    <cfRule type="cellIs" dxfId="26640" priority="163631" stopIfTrue="1" operator="greaterThanOrEqual">
      <formula>0.5</formula>
    </cfRule>
  </conditionalFormatting>
  <conditionalFormatting sqref="AB37">
    <cfRule type="cellIs" dxfId="26639" priority="163632" stopIfTrue="1" operator="equal">
      <formula>-1</formula>
    </cfRule>
  </conditionalFormatting>
  <conditionalFormatting sqref="AB37">
    <cfRule type="cellIs" dxfId="26638" priority="163633" stopIfTrue="1" operator="lessThan">
      <formula>0.5</formula>
    </cfRule>
  </conditionalFormatting>
  <conditionalFormatting sqref="AB37">
    <cfRule type="cellIs" dxfId="26637" priority="163634" stopIfTrue="1" operator="greaterThanOrEqual">
      <formula>0.5</formula>
    </cfRule>
  </conditionalFormatting>
  <conditionalFormatting sqref="AD17">
    <cfRule type="cellIs" dxfId="26636" priority="163635" stopIfTrue="1" operator="equal">
      <formula>-1</formula>
    </cfRule>
  </conditionalFormatting>
  <conditionalFormatting sqref="AD17">
    <cfRule type="cellIs" dxfId="26635" priority="163636" stopIfTrue="1" operator="lessThan">
      <formula>0.5</formula>
    </cfRule>
  </conditionalFormatting>
  <conditionalFormatting sqref="AD17">
    <cfRule type="cellIs" dxfId="26634" priority="163637" stopIfTrue="1" operator="greaterThanOrEqual">
      <formula>0.5</formula>
    </cfRule>
  </conditionalFormatting>
  <conditionalFormatting sqref="AD18">
    <cfRule type="cellIs" dxfId="26633" priority="163638" stopIfTrue="1" operator="equal">
      <formula>-1</formula>
    </cfRule>
  </conditionalFormatting>
  <conditionalFormatting sqref="AD18">
    <cfRule type="cellIs" dxfId="26632" priority="163639" stopIfTrue="1" operator="lessThan">
      <formula>0.5</formula>
    </cfRule>
  </conditionalFormatting>
  <conditionalFormatting sqref="AD18">
    <cfRule type="cellIs" dxfId="26631" priority="163640" stopIfTrue="1" operator="greaterThanOrEqual">
      <formula>0.5</formula>
    </cfRule>
  </conditionalFormatting>
  <conditionalFormatting sqref="AD19">
    <cfRule type="cellIs" dxfId="26630" priority="163641" stopIfTrue="1" operator="equal">
      <formula>-1</formula>
    </cfRule>
  </conditionalFormatting>
  <conditionalFormatting sqref="AD19">
    <cfRule type="cellIs" dxfId="26629" priority="163642" stopIfTrue="1" operator="lessThan">
      <formula>0.5</formula>
    </cfRule>
  </conditionalFormatting>
  <conditionalFormatting sqref="AD19">
    <cfRule type="cellIs" dxfId="26628" priority="163643" stopIfTrue="1" operator="greaterThanOrEqual">
      <formula>0.5</formula>
    </cfRule>
  </conditionalFormatting>
  <conditionalFormatting sqref="AD20">
    <cfRule type="cellIs" dxfId="26627" priority="163644" stopIfTrue="1" operator="equal">
      <formula>-1</formula>
    </cfRule>
  </conditionalFormatting>
  <conditionalFormatting sqref="AD20">
    <cfRule type="cellIs" dxfId="26626" priority="163645" stopIfTrue="1" operator="lessThan">
      <formula>0.5</formula>
    </cfRule>
  </conditionalFormatting>
  <conditionalFormatting sqref="AD20">
    <cfRule type="cellIs" dxfId="26625" priority="163646" stopIfTrue="1" operator="greaterThanOrEqual">
      <formula>0.5</formula>
    </cfRule>
  </conditionalFormatting>
  <conditionalFormatting sqref="AD21">
    <cfRule type="cellIs" dxfId="26624" priority="163647" stopIfTrue="1" operator="equal">
      <formula>-1</formula>
    </cfRule>
  </conditionalFormatting>
  <conditionalFormatting sqref="AD21">
    <cfRule type="cellIs" dxfId="26623" priority="163648" stopIfTrue="1" operator="lessThan">
      <formula>0.5</formula>
    </cfRule>
  </conditionalFormatting>
  <conditionalFormatting sqref="AD21">
    <cfRule type="cellIs" dxfId="26622" priority="163649" stopIfTrue="1" operator="greaterThanOrEqual">
      <formula>0.5</formula>
    </cfRule>
  </conditionalFormatting>
  <conditionalFormatting sqref="AD22">
    <cfRule type="cellIs" dxfId="26621" priority="163650" stopIfTrue="1" operator="equal">
      <formula>-1</formula>
    </cfRule>
  </conditionalFormatting>
  <conditionalFormatting sqref="AD22">
    <cfRule type="cellIs" dxfId="26620" priority="163651" stopIfTrue="1" operator="lessThan">
      <formula>0.5</formula>
    </cfRule>
  </conditionalFormatting>
  <conditionalFormatting sqref="AD22">
    <cfRule type="cellIs" dxfId="26619" priority="163652" stopIfTrue="1" operator="greaterThanOrEqual">
      <formula>0.5</formula>
    </cfRule>
  </conditionalFormatting>
  <conditionalFormatting sqref="AD23">
    <cfRule type="cellIs" dxfId="26618" priority="163653" stopIfTrue="1" operator="equal">
      <formula>-1</formula>
    </cfRule>
  </conditionalFormatting>
  <conditionalFormatting sqref="AD23">
    <cfRule type="cellIs" dxfId="26617" priority="163654" stopIfTrue="1" operator="lessThan">
      <formula>0.5</formula>
    </cfRule>
  </conditionalFormatting>
  <conditionalFormatting sqref="AD23">
    <cfRule type="cellIs" dxfId="26616" priority="163655" stopIfTrue="1" operator="greaterThanOrEqual">
      <formula>0.5</formula>
    </cfRule>
  </conditionalFormatting>
  <conditionalFormatting sqref="AD24">
    <cfRule type="cellIs" dxfId="26615" priority="163656" stopIfTrue="1" operator="equal">
      <formula>-1</formula>
    </cfRule>
  </conditionalFormatting>
  <conditionalFormatting sqref="AD24">
    <cfRule type="cellIs" dxfId="26614" priority="163657" stopIfTrue="1" operator="lessThan">
      <formula>0.5</formula>
    </cfRule>
  </conditionalFormatting>
  <conditionalFormatting sqref="AD24">
    <cfRule type="cellIs" dxfId="26613" priority="163658" stopIfTrue="1" operator="greaterThanOrEqual">
      <formula>0.5</formula>
    </cfRule>
  </conditionalFormatting>
  <conditionalFormatting sqref="AD25">
    <cfRule type="cellIs" dxfId="26612" priority="163659" stopIfTrue="1" operator="equal">
      <formula>-1</formula>
    </cfRule>
  </conditionalFormatting>
  <conditionalFormatting sqref="AD25">
    <cfRule type="cellIs" dxfId="26611" priority="163660" stopIfTrue="1" operator="lessThan">
      <formula>0.5</formula>
    </cfRule>
  </conditionalFormatting>
  <conditionalFormatting sqref="AD25">
    <cfRule type="cellIs" dxfId="26610" priority="163661" stopIfTrue="1" operator="greaterThanOrEqual">
      <formula>0.5</formula>
    </cfRule>
  </conditionalFormatting>
  <conditionalFormatting sqref="AD26">
    <cfRule type="cellIs" dxfId="26609" priority="163662" stopIfTrue="1" operator="equal">
      <formula>-1</formula>
    </cfRule>
  </conditionalFormatting>
  <conditionalFormatting sqref="AD26">
    <cfRule type="cellIs" dxfId="26608" priority="163663" stopIfTrue="1" operator="lessThan">
      <formula>0.5</formula>
    </cfRule>
  </conditionalFormatting>
  <conditionalFormatting sqref="AD26">
    <cfRule type="cellIs" dxfId="26607" priority="163664" stopIfTrue="1" operator="greaterThanOrEqual">
      <formula>0.5</formula>
    </cfRule>
  </conditionalFormatting>
  <conditionalFormatting sqref="AD27">
    <cfRule type="cellIs" dxfId="26606" priority="163665" stopIfTrue="1" operator="equal">
      <formula>-1</formula>
    </cfRule>
  </conditionalFormatting>
  <conditionalFormatting sqref="AD27">
    <cfRule type="cellIs" dxfId="26605" priority="163666" stopIfTrue="1" operator="lessThan">
      <formula>0.5</formula>
    </cfRule>
  </conditionalFormatting>
  <conditionalFormatting sqref="AD27">
    <cfRule type="cellIs" dxfId="26604" priority="163667" stopIfTrue="1" operator="greaterThanOrEqual">
      <formula>0.5</formula>
    </cfRule>
  </conditionalFormatting>
  <conditionalFormatting sqref="AD28">
    <cfRule type="cellIs" dxfId="26603" priority="163668" stopIfTrue="1" operator="equal">
      <formula>-1</formula>
    </cfRule>
  </conditionalFormatting>
  <conditionalFormatting sqref="AD28">
    <cfRule type="cellIs" dxfId="26602" priority="163669" stopIfTrue="1" operator="lessThan">
      <formula>0.5</formula>
    </cfRule>
  </conditionalFormatting>
  <conditionalFormatting sqref="AD28">
    <cfRule type="cellIs" dxfId="26601" priority="163670" stopIfTrue="1" operator="greaterThanOrEqual">
      <formula>0.5</formula>
    </cfRule>
  </conditionalFormatting>
  <conditionalFormatting sqref="AD29">
    <cfRule type="cellIs" dxfId="26600" priority="163671" stopIfTrue="1" operator="equal">
      <formula>-1</formula>
    </cfRule>
  </conditionalFormatting>
  <conditionalFormatting sqref="AD29">
    <cfRule type="cellIs" dxfId="26599" priority="163672" stopIfTrue="1" operator="lessThan">
      <formula>0.5</formula>
    </cfRule>
  </conditionalFormatting>
  <conditionalFormatting sqref="AD29">
    <cfRule type="cellIs" dxfId="26598" priority="163673" stopIfTrue="1" operator="greaterThanOrEqual">
      <formula>0.5</formula>
    </cfRule>
  </conditionalFormatting>
  <conditionalFormatting sqref="AD30">
    <cfRule type="cellIs" dxfId="26597" priority="163674" stopIfTrue="1" operator="equal">
      <formula>-1</formula>
    </cfRule>
  </conditionalFormatting>
  <conditionalFormatting sqref="AD30">
    <cfRule type="cellIs" dxfId="26596" priority="163675" stopIfTrue="1" operator="lessThan">
      <formula>0.5</formula>
    </cfRule>
  </conditionalFormatting>
  <conditionalFormatting sqref="AD30">
    <cfRule type="cellIs" dxfId="26595" priority="163676" stopIfTrue="1" operator="greaterThanOrEqual">
      <formula>0.5</formula>
    </cfRule>
  </conditionalFormatting>
  <conditionalFormatting sqref="AD31">
    <cfRule type="cellIs" dxfId="26594" priority="163677" stopIfTrue="1" operator="equal">
      <formula>-1</formula>
    </cfRule>
  </conditionalFormatting>
  <conditionalFormatting sqref="AD31">
    <cfRule type="cellIs" dxfId="26593" priority="163678" stopIfTrue="1" operator="lessThan">
      <formula>0.5</formula>
    </cfRule>
  </conditionalFormatting>
  <conditionalFormatting sqref="AD31">
    <cfRule type="cellIs" dxfId="26592" priority="163679" stopIfTrue="1" operator="greaterThanOrEqual">
      <formula>0.5</formula>
    </cfRule>
  </conditionalFormatting>
  <conditionalFormatting sqref="AD32">
    <cfRule type="cellIs" dxfId="26591" priority="163680" stopIfTrue="1" operator="equal">
      <formula>-1</formula>
    </cfRule>
  </conditionalFormatting>
  <conditionalFormatting sqref="AD32">
    <cfRule type="cellIs" dxfId="26590" priority="163681" stopIfTrue="1" operator="lessThan">
      <formula>0.5</formula>
    </cfRule>
  </conditionalFormatting>
  <conditionalFormatting sqref="AD32">
    <cfRule type="cellIs" dxfId="26589" priority="163682" stopIfTrue="1" operator="greaterThanOrEqual">
      <formula>0.5</formula>
    </cfRule>
  </conditionalFormatting>
  <conditionalFormatting sqref="AD33">
    <cfRule type="cellIs" dxfId="26588" priority="163683" stopIfTrue="1" operator="equal">
      <formula>-1</formula>
    </cfRule>
  </conditionalFormatting>
  <conditionalFormatting sqref="AD33">
    <cfRule type="cellIs" dxfId="26587" priority="163684" stopIfTrue="1" operator="lessThan">
      <formula>0.5</formula>
    </cfRule>
  </conditionalFormatting>
  <conditionalFormatting sqref="AD33">
    <cfRule type="cellIs" dxfId="26586" priority="163685" stopIfTrue="1" operator="greaterThanOrEqual">
      <formula>0.5</formula>
    </cfRule>
  </conditionalFormatting>
  <conditionalFormatting sqref="AD34">
    <cfRule type="cellIs" dxfId="26585" priority="163686" stopIfTrue="1" operator="equal">
      <formula>-1</formula>
    </cfRule>
  </conditionalFormatting>
  <conditionalFormatting sqref="AD34">
    <cfRule type="cellIs" dxfId="26584" priority="163687" stopIfTrue="1" operator="lessThan">
      <formula>0.5</formula>
    </cfRule>
  </conditionalFormatting>
  <conditionalFormatting sqref="AD34">
    <cfRule type="cellIs" dxfId="26583" priority="163688" stopIfTrue="1" operator="greaterThanOrEqual">
      <formula>0.5</formula>
    </cfRule>
  </conditionalFormatting>
  <conditionalFormatting sqref="AD35">
    <cfRule type="cellIs" dxfId="26582" priority="163689" stopIfTrue="1" operator="equal">
      <formula>-1</formula>
    </cfRule>
  </conditionalFormatting>
  <conditionalFormatting sqref="AD35">
    <cfRule type="cellIs" dxfId="26581" priority="163690" stopIfTrue="1" operator="lessThan">
      <formula>0.5</formula>
    </cfRule>
  </conditionalFormatting>
  <conditionalFormatting sqref="AD35">
    <cfRule type="cellIs" dxfId="26580" priority="163691" stopIfTrue="1" operator="greaterThanOrEqual">
      <formula>0.5</formula>
    </cfRule>
  </conditionalFormatting>
  <conditionalFormatting sqref="AD36">
    <cfRule type="cellIs" dxfId="26579" priority="163692" stopIfTrue="1" operator="equal">
      <formula>-1</formula>
    </cfRule>
  </conditionalFormatting>
  <conditionalFormatting sqref="AD36">
    <cfRule type="cellIs" dxfId="26578" priority="163693" stopIfTrue="1" operator="lessThan">
      <formula>0.5</formula>
    </cfRule>
  </conditionalFormatting>
  <conditionalFormatting sqref="AD36">
    <cfRule type="cellIs" dxfId="26577" priority="163694" stopIfTrue="1" operator="greaterThanOrEqual">
      <formula>0.5</formula>
    </cfRule>
  </conditionalFormatting>
  <conditionalFormatting sqref="AD37">
    <cfRule type="cellIs" dxfId="26576" priority="163695" stopIfTrue="1" operator="equal">
      <formula>-1</formula>
    </cfRule>
  </conditionalFormatting>
  <conditionalFormatting sqref="AD37">
    <cfRule type="cellIs" dxfId="26575" priority="163696" stopIfTrue="1" operator="lessThan">
      <formula>0.5</formula>
    </cfRule>
  </conditionalFormatting>
  <conditionalFormatting sqref="AD37">
    <cfRule type="cellIs" dxfId="26574" priority="163697" stopIfTrue="1" operator="greaterThanOrEqual">
      <formula>0.5</formula>
    </cfRule>
  </conditionalFormatting>
  <conditionalFormatting sqref="AF17">
    <cfRule type="cellIs" dxfId="26573" priority="163698" stopIfTrue="1" operator="equal">
      <formula>-1</formula>
    </cfRule>
  </conditionalFormatting>
  <conditionalFormatting sqref="AF17">
    <cfRule type="cellIs" dxfId="26572" priority="163699" stopIfTrue="1" operator="lessThan">
      <formula>0.5</formula>
    </cfRule>
  </conditionalFormatting>
  <conditionalFormatting sqref="AF17">
    <cfRule type="cellIs" dxfId="26571" priority="163700" stopIfTrue="1" operator="greaterThanOrEqual">
      <formula>0.5</formula>
    </cfRule>
  </conditionalFormatting>
  <conditionalFormatting sqref="AF18">
    <cfRule type="cellIs" dxfId="26570" priority="163701" stopIfTrue="1" operator="equal">
      <formula>-1</formula>
    </cfRule>
  </conditionalFormatting>
  <conditionalFormatting sqref="AF18">
    <cfRule type="cellIs" dxfId="26569" priority="163702" stopIfTrue="1" operator="lessThan">
      <formula>0.5</formula>
    </cfRule>
  </conditionalFormatting>
  <conditionalFormatting sqref="AF18">
    <cfRule type="cellIs" dxfId="26568" priority="163703" stopIfTrue="1" operator="greaterThanOrEqual">
      <formula>0.5</formula>
    </cfRule>
  </conditionalFormatting>
  <conditionalFormatting sqref="AF19">
    <cfRule type="cellIs" dxfId="26567" priority="163704" stopIfTrue="1" operator="equal">
      <formula>-1</formula>
    </cfRule>
  </conditionalFormatting>
  <conditionalFormatting sqref="AF19">
    <cfRule type="cellIs" dxfId="26566" priority="163705" stopIfTrue="1" operator="lessThan">
      <formula>0.5</formula>
    </cfRule>
  </conditionalFormatting>
  <conditionalFormatting sqref="AF19">
    <cfRule type="cellIs" dxfId="26565" priority="163706" stopIfTrue="1" operator="greaterThanOrEqual">
      <formula>0.5</formula>
    </cfRule>
  </conditionalFormatting>
  <conditionalFormatting sqref="AF20">
    <cfRule type="cellIs" dxfId="26564" priority="163707" stopIfTrue="1" operator="equal">
      <formula>-1</formula>
    </cfRule>
  </conditionalFormatting>
  <conditionalFormatting sqref="AF20">
    <cfRule type="cellIs" dxfId="26563" priority="163708" stopIfTrue="1" operator="lessThan">
      <formula>0.5</formula>
    </cfRule>
  </conditionalFormatting>
  <conditionalFormatting sqref="AF20">
    <cfRule type="cellIs" dxfId="26562" priority="163709" stopIfTrue="1" operator="greaterThanOrEqual">
      <formula>0.5</formula>
    </cfRule>
  </conditionalFormatting>
  <conditionalFormatting sqref="AF21">
    <cfRule type="cellIs" dxfId="26561" priority="163710" stopIfTrue="1" operator="equal">
      <formula>-1</formula>
    </cfRule>
  </conditionalFormatting>
  <conditionalFormatting sqref="AF21">
    <cfRule type="cellIs" dxfId="26560" priority="163711" stopIfTrue="1" operator="lessThan">
      <formula>0.5</formula>
    </cfRule>
  </conditionalFormatting>
  <conditionalFormatting sqref="AF21">
    <cfRule type="cellIs" dxfId="26559" priority="163712" stopIfTrue="1" operator="greaterThanOrEqual">
      <formula>0.5</formula>
    </cfRule>
  </conditionalFormatting>
  <conditionalFormatting sqref="AF22">
    <cfRule type="cellIs" dxfId="26558" priority="163713" stopIfTrue="1" operator="equal">
      <formula>-1</formula>
    </cfRule>
  </conditionalFormatting>
  <conditionalFormatting sqref="AF22">
    <cfRule type="cellIs" dxfId="26557" priority="163714" stopIfTrue="1" operator="lessThan">
      <formula>0.5</formula>
    </cfRule>
  </conditionalFormatting>
  <conditionalFormatting sqref="AF22">
    <cfRule type="cellIs" dxfId="26556" priority="163715" stopIfTrue="1" operator="greaterThanOrEqual">
      <formula>0.5</formula>
    </cfRule>
  </conditionalFormatting>
  <conditionalFormatting sqref="AF23">
    <cfRule type="cellIs" dxfId="26555" priority="163716" stopIfTrue="1" operator="equal">
      <formula>-1</formula>
    </cfRule>
  </conditionalFormatting>
  <conditionalFormatting sqref="AF23">
    <cfRule type="cellIs" dxfId="26554" priority="163717" stopIfTrue="1" operator="lessThan">
      <formula>0.5</formula>
    </cfRule>
  </conditionalFormatting>
  <conditionalFormatting sqref="AF23">
    <cfRule type="cellIs" dxfId="26553" priority="163718" stopIfTrue="1" operator="greaterThanOrEqual">
      <formula>0.5</formula>
    </cfRule>
  </conditionalFormatting>
  <conditionalFormatting sqref="AF24">
    <cfRule type="cellIs" dxfId="26552" priority="163719" stopIfTrue="1" operator="equal">
      <formula>-1</formula>
    </cfRule>
  </conditionalFormatting>
  <conditionalFormatting sqref="AF24">
    <cfRule type="cellIs" dxfId="26551" priority="163720" stopIfTrue="1" operator="lessThan">
      <formula>0.5</formula>
    </cfRule>
  </conditionalFormatting>
  <conditionalFormatting sqref="AF24">
    <cfRule type="cellIs" dxfId="26550" priority="163721" stopIfTrue="1" operator="greaterThanOrEqual">
      <formula>0.5</formula>
    </cfRule>
  </conditionalFormatting>
  <conditionalFormatting sqref="AF25">
    <cfRule type="cellIs" dxfId="26549" priority="163722" stopIfTrue="1" operator="equal">
      <formula>-1</formula>
    </cfRule>
  </conditionalFormatting>
  <conditionalFormatting sqref="AF25">
    <cfRule type="cellIs" dxfId="26548" priority="163723" stopIfTrue="1" operator="lessThan">
      <formula>0.5</formula>
    </cfRule>
  </conditionalFormatting>
  <conditionalFormatting sqref="AF25">
    <cfRule type="cellIs" dxfId="26547" priority="163724" stopIfTrue="1" operator="greaterThanOrEqual">
      <formula>0.5</formula>
    </cfRule>
  </conditionalFormatting>
  <conditionalFormatting sqref="AF26">
    <cfRule type="cellIs" dxfId="26546" priority="163725" stopIfTrue="1" operator="equal">
      <formula>-1</formula>
    </cfRule>
  </conditionalFormatting>
  <conditionalFormatting sqref="AF26">
    <cfRule type="cellIs" dxfId="26545" priority="163726" stopIfTrue="1" operator="lessThan">
      <formula>0.5</formula>
    </cfRule>
  </conditionalFormatting>
  <conditionalFormatting sqref="AF26">
    <cfRule type="cellIs" dxfId="26544" priority="163727" stopIfTrue="1" operator="greaterThanOrEqual">
      <formula>0.5</formula>
    </cfRule>
  </conditionalFormatting>
  <conditionalFormatting sqref="AF27">
    <cfRule type="cellIs" dxfId="26543" priority="163728" stopIfTrue="1" operator="equal">
      <formula>-1</formula>
    </cfRule>
  </conditionalFormatting>
  <conditionalFormatting sqref="AF27">
    <cfRule type="cellIs" dxfId="26542" priority="163729" stopIfTrue="1" operator="lessThan">
      <formula>0.5</formula>
    </cfRule>
  </conditionalFormatting>
  <conditionalFormatting sqref="AF27">
    <cfRule type="cellIs" dxfId="26541" priority="163730" stopIfTrue="1" operator="greaterThanOrEqual">
      <formula>0.5</formula>
    </cfRule>
  </conditionalFormatting>
  <conditionalFormatting sqref="AF28">
    <cfRule type="cellIs" dxfId="26540" priority="163731" stopIfTrue="1" operator="equal">
      <formula>-1</formula>
    </cfRule>
  </conditionalFormatting>
  <conditionalFormatting sqref="AF28">
    <cfRule type="cellIs" dxfId="26539" priority="163732" stopIfTrue="1" operator="lessThan">
      <formula>0.5</formula>
    </cfRule>
  </conditionalFormatting>
  <conditionalFormatting sqref="AF28">
    <cfRule type="cellIs" dxfId="26538" priority="163733" stopIfTrue="1" operator="greaterThanOrEqual">
      <formula>0.5</formula>
    </cfRule>
  </conditionalFormatting>
  <conditionalFormatting sqref="AF29">
    <cfRule type="cellIs" dxfId="26537" priority="163734" stopIfTrue="1" operator="equal">
      <formula>-1</formula>
    </cfRule>
  </conditionalFormatting>
  <conditionalFormatting sqref="AF29">
    <cfRule type="cellIs" dxfId="26536" priority="163735" stopIfTrue="1" operator="lessThan">
      <formula>0.5</formula>
    </cfRule>
  </conditionalFormatting>
  <conditionalFormatting sqref="AF29">
    <cfRule type="cellIs" dxfId="26535" priority="163736" stopIfTrue="1" operator="greaterThanOrEqual">
      <formula>0.5</formula>
    </cfRule>
  </conditionalFormatting>
  <conditionalFormatting sqref="AF30">
    <cfRule type="cellIs" dxfId="26534" priority="163737" stopIfTrue="1" operator="equal">
      <formula>-1</formula>
    </cfRule>
  </conditionalFormatting>
  <conditionalFormatting sqref="AF30">
    <cfRule type="cellIs" dxfId="26533" priority="163738" stopIfTrue="1" operator="lessThan">
      <formula>0.5</formula>
    </cfRule>
  </conditionalFormatting>
  <conditionalFormatting sqref="AF30">
    <cfRule type="cellIs" dxfId="26532" priority="163739" stopIfTrue="1" operator="greaterThanOrEqual">
      <formula>0.5</formula>
    </cfRule>
  </conditionalFormatting>
  <conditionalFormatting sqref="AF31">
    <cfRule type="cellIs" dxfId="26531" priority="163740" stopIfTrue="1" operator="equal">
      <formula>-1</formula>
    </cfRule>
  </conditionalFormatting>
  <conditionalFormatting sqref="AF31">
    <cfRule type="cellIs" dxfId="26530" priority="163741" stopIfTrue="1" operator="lessThan">
      <formula>0.5</formula>
    </cfRule>
  </conditionalFormatting>
  <conditionalFormatting sqref="AF31">
    <cfRule type="cellIs" dxfId="26529" priority="163742" stopIfTrue="1" operator="greaterThanOrEqual">
      <formula>0.5</formula>
    </cfRule>
  </conditionalFormatting>
  <conditionalFormatting sqref="AF32">
    <cfRule type="cellIs" dxfId="26528" priority="163743" stopIfTrue="1" operator="equal">
      <formula>-1</formula>
    </cfRule>
  </conditionalFormatting>
  <conditionalFormatting sqref="AF32">
    <cfRule type="cellIs" dxfId="26527" priority="163744" stopIfTrue="1" operator="lessThan">
      <formula>0.5</formula>
    </cfRule>
  </conditionalFormatting>
  <conditionalFormatting sqref="AF32">
    <cfRule type="cellIs" dxfId="26526" priority="163745" stopIfTrue="1" operator="greaterThanOrEqual">
      <formula>0.5</formula>
    </cfRule>
  </conditionalFormatting>
  <conditionalFormatting sqref="AF33">
    <cfRule type="cellIs" dxfId="26525" priority="163746" stopIfTrue="1" operator="equal">
      <formula>-1</formula>
    </cfRule>
  </conditionalFormatting>
  <conditionalFormatting sqref="AF33">
    <cfRule type="cellIs" dxfId="26524" priority="163747" stopIfTrue="1" operator="lessThan">
      <formula>0.5</formula>
    </cfRule>
  </conditionalFormatting>
  <conditionalFormatting sqref="AF33">
    <cfRule type="cellIs" dxfId="26523" priority="163748" stopIfTrue="1" operator="greaterThanOrEqual">
      <formula>0.5</formula>
    </cfRule>
  </conditionalFormatting>
  <conditionalFormatting sqref="AF34">
    <cfRule type="cellIs" dxfId="26522" priority="163749" stopIfTrue="1" operator="equal">
      <formula>-1</formula>
    </cfRule>
  </conditionalFormatting>
  <conditionalFormatting sqref="AF34">
    <cfRule type="cellIs" dxfId="26521" priority="163750" stopIfTrue="1" operator="lessThan">
      <formula>0.5</formula>
    </cfRule>
  </conditionalFormatting>
  <conditionalFormatting sqref="AF34">
    <cfRule type="cellIs" dxfId="26520" priority="163751" stopIfTrue="1" operator="greaterThanOrEqual">
      <formula>0.5</formula>
    </cfRule>
  </conditionalFormatting>
  <conditionalFormatting sqref="AF35">
    <cfRule type="cellIs" dxfId="26519" priority="163752" stopIfTrue="1" operator="equal">
      <formula>-1</formula>
    </cfRule>
  </conditionalFormatting>
  <conditionalFormatting sqref="AF35">
    <cfRule type="cellIs" dxfId="26518" priority="163753" stopIfTrue="1" operator="lessThan">
      <formula>0.5</formula>
    </cfRule>
  </conditionalFormatting>
  <conditionalFormatting sqref="AF35">
    <cfRule type="cellIs" dxfId="26517" priority="163754" stopIfTrue="1" operator="greaterThanOrEqual">
      <formula>0.5</formula>
    </cfRule>
  </conditionalFormatting>
  <conditionalFormatting sqref="AF36">
    <cfRule type="cellIs" dxfId="26516" priority="163755" stopIfTrue="1" operator="equal">
      <formula>-1</formula>
    </cfRule>
  </conditionalFormatting>
  <conditionalFormatting sqref="AF36">
    <cfRule type="cellIs" dxfId="26515" priority="163756" stopIfTrue="1" operator="lessThan">
      <formula>0.5</formula>
    </cfRule>
  </conditionalFormatting>
  <conditionalFormatting sqref="AF36">
    <cfRule type="cellIs" dxfId="26514" priority="163757" stopIfTrue="1" operator="greaterThanOrEqual">
      <formula>0.5</formula>
    </cfRule>
  </conditionalFormatting>
  <conditionalFormatting sqref="AF37">
    <cfRule type="cellIs" dxfId="26513" priority="163758" stopIfTrue="1" operator="equal">
      <formula>-1</formula>
    </cfRule>
  </conditionalFormatting>
  <conditionalFormatting sqref="AF37">
    <cfRule type="cellIs" dxfId="26512" priority="163759" stopIfTrue="1" operator="lessThan">
      <formula>0.5</formula>
    </cfRule>
  </conditionalFormatting>
  <conditionalFormatting sqref="AF37">
    <cfRule type="cellIs" dxfId="26511" priority="163760" stopIfTrue="1" operator="greaterThanOrEqual">
      <formula>0.5</formula>
    </cfRule>
  </conditionalFormatting>
  <conditionalFormatting sqref="AH17">
    <cfRule type="cellIs" dxfId="26510" priority="163761" stopIfTrue="1" operator="equal">
      <formula>-1</formula>
    </cfRule>
  </conditionalFormatting>
  <conditionalFormatting sqref="AH17">
    <cfRule type="cellIs" dxfId="26509" priority="163762" stopIfTrue="1" operator="lessThan">
      <formula>0.5</formula>
    </cfRule>
  </conditionalFormatting>
  <conditionalFormatting sqref="AH17">
    <cfRule type="cellIs" dxfId="26508" priority="163763" stopIfTrue="1" operator="greaterThanOrEqual">
      <formula>0.5</formula>
    </cfRule>
  </conditionalFormatting>
  <conditionalFormatting sqref="AH18">
    <cfRule type="cellIs" dxfId="26507" priority="163764" stopIfTrue="1" operator="equal">
      <formula>-1</formula>
    </cfRule>
  </conditionalFormatting>
  <conditionalFormatting sqref="AH18">
    <cfRule type="cellIs" dxfId="26506" priority="163765" stopIfTrue="1" operator="lessThan">
      <formula>0.5</formula>
    </cfRule>
  </conditionalFormatting>
  <conditionalFormatting sqref="AH18">
    <cfRule type="cellIs" dxfId="26505" priority="163766" stopIfTrue="1" operator="greaterThanOrEqual">
      <formula>0.5</formula>
    </cfRule>
  </conditionalFormatting>
  <conditionalFormatting sqref="AH19">
    <cfRule type="cellIs" dxfId="26504" priority="163767" stopIfTrue="1" operator="equal">
      <formula>-1</formula>
    </cfRule>
  </conditionalFormatting>
  <conditionalFormatting sqref="AH19">
    <cfRule type="cellIs" dxfId="26503" priority="163768" stopIfTrue="1" operator="lessThan">
      <formula>0.5</formula>
    </cfRule>
  </conditionalFormatting>
  <conditionalFormatting sqref="AH19">
    <cfRule type="cellIs" dxfId="26502" priority="163769" stopIfTrue="1" operator="greaterThanOrEqual">
      <formula>0.5</formula>
    </cfRule>
  </conditionalFormatting>
  <conditionalFormatting sqref="AH20">
    <cfRule type="cellIs" dxfId="26501" priority="163770" stopIfTrue="1" operator="equal">
      <formula>-1</formula>
    </cfRule>
  </conditionalFormatting>
  <conditionalFormatting sqref="AH20">
    <cfRule type="cellIs" dxfId="26500" priority="163771" stopIfTrue="1" operator="lessThan">
      <formula>0.5</formula>
    </cfRule>
  </conditionalFormatting>
  <conditionalFormatting sqref="AH20">
    <cfRule type="cellIs" dxfId="26499" priority="163772" stopIfTrue="1" operator="greaterThanOrEqual">
      <formula>0.5</formula>
    </cfRule>
  </conditionalFormatting>
  <conditionalFormatting sqref="AH21">
    <cfRule type="cellIs" dxfId="26498" priority="163773" stopIfTrue="1" operator="equal">
      <formula>-1</formula>
    </cfRule>
  </conditionalFormatting>
  <conditionalFormatting sqref="AH21">
    <cfRule type="cellIs" dxfId="26497" priority="163774" stopIfTrue="1" operator="lessThan">
      <formula>0.5</formula>
    </cfRule>
  </conditionalFormatting>
  <conditionalFormatting sqref="AH21">
    <cfRule type="cellIs" dxfId="26496" priority="163775" stopIfTrue="1" operator="greaterThanOrEqual">
      <formula>0.5</formula>
    </cfRule>
  </conditionalFormatting>
  <conditionalFormatting sqref="AH22">
    <cfRule type="cellIs" dxfId="26495" priority="163776" stopIfTrue="1" operator="equal">
      <formula>-1</formula>
    </cfRule>
  </conditionalFormatting>
  <conditionalFormatting sqref="AH22">
    <cfRule type="cellIs" dxfId="26494" priority="163777" stopIfTrue="1" operator="lessThan">
      <formula>0.5</formula>
    </cfRule>
  </conditionalFormatting>
  <conditionalFormatting sqref="AH22">
    <cfRule type="cellIs" dxfId="26493" priority="163778" stopIfTrue="1" operator="greaterThanOrEqual">
      <formula>0.5</formula>
    </cfRule>
  </conditionalFormatting>
  <conditionalFormatting sqref="AH23">
    <cfRule type="cellIs" dxfId="26492" priority="163779" stopIfTrue="1" operator="equal">
      <formula>-1</formula>
    </cfRule>
  </conditionalFormatting>
  <conditionalFormatting sqref="AH23">
    <cfRule type="cellIs" dxfId="26491" priority="163780" stopIfTrue="1" operator="lessThan">
      <formula>0.5</formula>
    </cfRule>
  </conditionalFormatting>
  <conditionalFormatting sqref="AH23">
    <cfRule type="cellIs" dxfId="26490" priority="163781" stopIfTrue="1" operator="greaterThanOrEqual">
      <formula>0.5</formula>
    </cfRule>
  </conditionalFormatting>
  <conditionalFormatting sqref="AH24">
    <cfRule type="cellIs" dxfId="26489" priority="163782" stopIfTrue="1" operator="equal">
      <formula>-1</formula>
    </cfRule>
  </conditionalFormatting>
  <conditionalFormatting sqref="AH24">
    <cfRule type="cellIs" dxfId="26488" priority="163783" stopIfTrue="1" operator="lessThan">
      <formula>0.5</formula>
    </cfRule>
  </conditionalFormatting>
  <conditionalFormatting sqref="AH24">
    <cfRule type="cellIs" dxfId="26487" priority="163784" stopIfTrue="1" operator="greaterThanOrEqual">
      <formula>0.5</formula>
    </cfRule>
  </conditionalFormatting>
  <conditionalFormatting sqref="AH25">
    <cfRule type="cellIs" dxfId="26486" priority="163785" stopIfTrue="1" operator="equal">
      <formula>-1</formula>
    </cfRule>
  </conditionalFormatting>
  <conditionalFormatting sqref="AH25">
    <cfRule type="cellIs" dxfId="26485" priority="163786" stopIfTrue="1" operator="lessThan">
      <formula>0.5</formula>
    </cfRule>
  </conditionalFormatting>
  <conditionalFormatting sqref="AH25">
    <cfRule type="cellIs" dxfId="26484" priority="163787" stopIfTrue="1" operator="greaterThanOrEqual">
      <formula>0.5</formula>
    </cfRule>
  </conditionalFormatting>
  <conditionalFormatting sqref="AH26">
    <cfRule type="cellIs" dxfId="26483" priority="163788" stopIfTrue="1" operator="equal">
      <formula>-1</formula>
    </cfRule>
  </conditionalFormatting>
  <conditionalFormatting sqref="AH26">
    <cfRule type="cellIs" dxfId="26482" priority="163789" stopIfTrue="1" operator="lessThan">
      <formula>0.5</formula>
    </cfRule>
  </conditionalFormatting>
  <conditionalFormatting sqref="AH26">
    <cfRule type="cellIs" dxfId="26481" priority="163790" stopIfTrue="1" operator="greaterThanOrEqual">
      <formula>0.5</formula>
    </cfRule>
  </conditionalFormatting>
  <conditionalFormatting sqref="AH27">
    <cfRule type="cellIs" dxfId="26480" priority="163791" stopIfTrue="1" operator="equal">
      <formula>-1</formula>
    </cfRule>
  </conditionalFormatting>
  <conditionalFormatting sqref="AH27">
    <cfRule type="cellIs" dxfId="26479" priority="163792" stopIfTrue="1" operator="lessThan">
      <formula>0.5</formula>
    </cfRule>
  </conditionalFormatting>
  <conditionalFormatting sqref="AH27">
    <cfRule type="cellIs" dxfId="26478" priority="163793" stopIfTrue="1" operator="greaterThanOrEqual">
      <formula>0.5</formula>
    </cfRule>
  </conditionalFormatting>
  <conditionalFormatting sqref="AH28">
    <cfRule type="cellIs" dxfId="26477" priority="163794" stopIfTrue="1" operator="equal">
      <formula>-1</formula>
    </cfRule>
  </conditionalFormatting>
  <conditionalFormatting sqref="AH28">
    <cfRule type="cellIs" dxfId="26476" priority="163795" stopIfTrue="1" operator="lessThan">
      <formula>0.5</formula>
    </cfRule>
  </conditionalFormatting>
  <conditionalFormatting sqref="AH28">
    <cfRule type="cellIs" dxfId="26475" priority="163796" stopIfTrue="1" operator="greaterThanOrEqual">
      <formula>0.5</formula>
    </cfRule>
  </conditionalFormatting>
  <conditionalFormatting sqref="AH29">
    <cfRule type="cellIs" dxfId="26474" priority="163797" stopIfTrue="1" operator="equal">
      <formula>-1</formula>
    </cfRule>
  </conditionalFormatting>
  <conditionalFormatting sqref="AH29">
    <cfRule type="cellIs" dxfId="26473" priority="163798" stopIfTrue="1" operator="lessThan">
      <formula>0.5</formula>
    </cfRule>
  </conditionalFormatting>
  <conditionalFormatting sqref="AH29">
    <cfRule type="cellIs" dxfId="26472" priority="163799" stopIfTrue="1" operator="greaterThanOrEqual">
      <formula>0.5</formula>
    </cfRule>
  </conditionalFormatting>
  <conditionalFormatting sqref="AH30">
    <cfRule type="cellIs" dxfId="26471" priority="163800" stopIfTrue="1" operator="equal">
      <formula>-1</formula>
    </cfRule>
  </conditionalFormatting>
  <conditionalFormatting sqref="AH30">
    <cfRule type="cellIs" dxfId="26470" priority="163801" stopIfTrue="1" operator="lessThan">
      <formula>0.5</formula>
    </cfRule>
  </conditionalFormatting>
  <conditionalFormatting sqref="AH30">
    <cfRule type="cellIs" dxfId="26469" priority="163802" stopIfTrue="1" operator="greaterThanOrEqual">
      <formula>0.5</formula>
    </cfRule>
  </conditionalFormatting>
  <conditionalFormatting sqref="AH31">
    <cfRule type="cellIs" dxfId="26468" priority="163803" stopIfTrue="1" operator="equal">
      <formula>-1</formula>
    </cfRule>
  </conditionalFormatting>
  <conditionalFormatting sqref="AH31">
    <cfRule type="cellIs" dxfId="26467" priority="163804" stopIfTrue="1" operator="lessThan">
      <formula>0.5</formula>
    </cfRule>
  </conditionalFormatting>
  <conditionalFormatting sqref="AH31">
    <cfRule type="cellIs" dxfId="26466" priority="163805" stopIfTrue="1" operator="greaterThanOrEqual">
      <formula>0.5</formula>
    </cfRule>
  </conditionalFormatting>
  <conditionalFormatting sqref="AH32">
    <cfRule type="cellIs" dxfId="26465" priority="163806" stopIfTrue="1" operator="equal">
      <formula>-1</formula>
    </cfRule>
  </conditionalFormatting>
  <conditionalFormatting sqref="AH32">
    <cfRule type="cellIs" dxfId="26464" priority="163807" stopIfTrue="1" operator="lessThan">
      <formula>0.5</formula>
    </cfRule>
  </conditionalFormatting>
  <conditionalFormatting sqref="AH32">
    <cfRule type="cellIs" dxfId="26463" priority="163808" stopIfTrue="1" operator="greaterThanOrEqual">
      <formula>0.5</formula>
    </cfRule>
  </conditionalFormatting>
  <conditionalFormatting sqref="AH33">
    <cfRule type="cellIs" dxfId="26462" priority="163809" stopIfTrue="1" operator="equal">
      <formula>-1</formula>
    </cfRule>
  </conditionalFormatting>
  <conditionalFormatting sqref="AH33">
    <cfRule type="cellIs" dxfId="26461" priority="163810" stopIfTrue="1" operator="lessThan">
      <formula>0.5</formula>
    </cfRule>
  </conditionalFormatting>
  <conditionalFormatting sqref="AH33">
    <cfRule type="cellIs" dxfId="26460" priority="163811" stopIfTrue="1" operator="greaterThanOrEqual">
      <formula>0.5</formula>
    </cfRule>
  </conditionalFormatting>
  <conditionalFormatting sqref="AH34">
    <cfRule type="cellIs" dxfId="26459" priority="163812" stopIfTrue="1" operator="equal">
      <formula>-1</formula>
    </cfRule>
  </conditionalFormatting>
  <conditionalFormatting sqref="AH34">
    <cfRule type="cellIs" dxfId="26458" priority="163813" stopIfTrue="1" operator="lessThan">
      <formula>0.5</formula>
    </cfRule>
  </conditionalFormatting>
  <conditionalFormatting sqref="AH34">
    <cfRule type="cellIs" dxfId="26457" priority="163814" stopIfTrue="1" operator="greaterThanOrEqual">
      <formula>0.5</formula>
    </cfRule>
  </conditionalFormatting>
  <conditionalFormatting sqref="AH35">
    <cfRule type="cellIs" dxfId="26456" priority="163815" stopIfTrue="1" operator="equal">
      <formula>-1</formula>
    </cfRule>
  </conditionalFormatting>
  <conditionalFormatting sqref="AH35">
    <cfRule type="cellIs" dxfId="26455" priority="163816" stopIfTrue="1" operator="lessThan">
      <formula>0.5</formula>
    </cfRule>
  </conditionalFormatting>
  <conditionalFormatting sqref="AH35">
    <cfRule type="cellIs" dxfId="26454" priority="163817" stopIfTrue="1" operator="greaterThanOrEqual">
      <formula>0.5</formula>
    </cfRule>
  </conditionalFormatting>
  <conditionalFormatting sqref="AH36">
    <cfRule type="cellIs" dxfId="26453" priority="163818" stopIfTrue="1" operator="equal">
      <formula>-1</formula>
    </cfRule>
  </conditionalFormatting>
  <conditionalFormatting sqref="AH36">
    <cfRule type="cellIs" dxfId="26452" priority="163819" stopIfTrue="1" operator="lessThan">
      <formula>0.5</formula>
    </cfRule>
  </conditionalFormatting>
  <conditionalFormatting sqref="AH36">
    <cfRule type="cellIs" dxfId="26451" priority="163820" stopIfTrue="1" operator="greaterThanOrEqual">
      <formula>0.5</formula>
    </cfRule>
  </conditionalFormatting>
  <conditionalFormatting sqref="AH37">
    <cfRule type="cellIs" dxfId="26450" priority="163821" stopIfTrue="1" operator="equal">
      <formula>-1</formula>
    </cfRule>
  </conditionalFormatting>
  <conditionalFormatting sqref="AH37">
    <cfRule type="cellIs" dxfId="26449" priority="163822" stopIfTrue="1" operator="lessThan">
      <formula>0.5</formula>
    </cfRule>
  </conditionalFormatting>
  <conditionalFormatting sqref="AH37">
    <cfRule type="cellIs" dxfId="26448" priority="163823" stopIfTrue="1" operator="greaterThanOrEqual">
      <formula>0.5</formula>
    </cfRule>
  </conditionalFormatting>
  <conditionalFormatting sqref="AJ17">
    <cfRule type="cellIs" dxfId="26447" priority="163824" stopIfTrue="1" operator="equal">
      <formula>-1</formula>
    </cfRule>
  </conditionalFormatting>
  <conditionalFormatting sqref="AJ17">
    <cfRule type="cellIs" dxfId="26446" priority="163825" stopIfTrue="1" operator="lessThan">
      <formula>0.5</formula>
    </cfRule>
  </conditionalFormatting>
  <conditionalFormatting sqref="AJ17">
    <cfRule type="cellIs" dxfId="26445" priority="163826" stopIfTrue="1" operator="greaterThanOrEqual">
      <formula>0.5</formula>
    </cfRule>
  </conditionalFormatting>
  <conditionalFormatting sqref="AJ18">
    <cfRule type="cellIs" dxfId="26444" priority="163827" stopIfTrue="1" operator="equal">
      <formula>-1</formula>
    </cfRule>
  </conditionalFormatting>
  <conditionalFormatting sqref="AJ18">
    <cfRule type="cellIs" dxfId="26443" priority="163828" stopIfTrue="1" operator="lessThan">
      <formula>0.5</formula>
    </cfRule>
  </conditionalFormatting>
  <conditionalFormatting sqref="AJ18">
    <cfRule type="cellIs" dxfId="26442" priority="163829" stopIfTrue="1" operator="greaterThanOrEqual">
      <formula>0.5</formula>
    </cfRule>
  </conditionalFormatting>
  <conditionalFormatting sqref="AJ19">
    <cfRule type="cellIs" dxfId="26441" priority="163830" stopIfTrue="1" operator="equal">
      <formula>-1</formula>
    </cfRule>
  </conditionalFormatting>
  <conditionalFormatting sqref="AJ19">
    <cfRule type="cellIs" dxfId="26440" priority="163831" stopIfTrue="1" operator="lessThan">
      <formula>0.5</formula>
    </cfRule>
  </conditionalFormatting>
  <conditionalFormatting sqref="AJ19">
    <cfRule type="cellIs" dxfId="26439" priority="163832" stopIfTrue="1" operator="greaterThanOrEqual">
      <formula>0.5</formula>
    </cfRule>
  </conditionalFormatting>
  <conditionalFormatting sqref="AJ20">
    <cfRule type="cellIs" dxfId="26438" priority="163833" stopIfTrue="1" operator="equal">
      <formula>-1</formula>
    </cfRule>
  </conditionalFormatting>
  <conditionalFormatting sqref="AJ20">
    <cfRule type="cellIs" dxfId="26437" priority="163834" stopIfTrue="1" operator="lessThan">
      <formula>0.5</formula>
    </cfRule>
  </conditionalFormatting>
  <conditionalFormatting sqref="AJ20">
    <cfRule type="cellIs" dxfId="26436" priority="163835" stopIfTrue="1" operator="greaterThanOrEqual">
      <formula>0.5</formula>
    </cfRule>
  </conditionalFormatting>
  <conditionalFormatting sqref="AJ21">
    <cfRule type="cellIs" dxfId="26435" priority="163836" stopIfTrue="1" operator="equal">
      <formula>-1</formula>
    </cfRule>
  </conditionalFormatting>
  <conditionalFormatting sqref="AJ21">
    <cfRule type="cellIs" dxfId="26434" priority="163837" stopIfTrue="1" operator="lessThan">
      <formula>0.5</formula>
    </cfRule>
  </conditionalFormatting>
  <conditionalFormatting sqref="AJ21">
    <cfRule type="cellIs" dxfId="26433" priority="163838" stopIfTrue="1" operator="greaterThanOrEqual">
      <formula>0.5</formula>
    </cfRule>
  </conditionalFormatting>
  <conditionalFormatting sqref="AJ22">
    <cfRule type="cellIs" dxfId="26432" priority="163839" stopIfTrue="1" operator="equal">
      <formula>-1</formula>
    </cfRule>
  </conditionalFormatting>
  <conditionalFormatting sqref="AJ22">
    <cfRule type="cellIs" dxfId="26431" priority="163840" stopIfTrue="1" operator="lessThan">
      <formula>0.5</formula>
    </cfRule>
  </conditionalFormatting>
  <conditionalFormatting sqref="AJ22">
    <cfRule type="cellIs" dxfId="26430" priority="163841" stopIfTrue="1" operator="greaterThanOrEqual">
      <formula>0.5</formula>
    </cfRule>
  </conditionalFormatting>
  <conditionalFormatting sqref="AJ23">
    <cfRule type="cellIs" dxfId="26429" priority="163842" stopIfTrue="1" operator="equal">
      <formula>-1</formula>
    </cfRule>
  </conditionalFormatting>
  <conditionalFormatting sqref="AJ23">
    <cfRule type="cellIs" dxfId="26428" priority="163843" stopIfTrue="1" operator="lessThan">
      <formula>0.5</formula>
    </cfRule>
  </conditionalFormatting>
  <conditionalFormatting sqref="AJ23">
    <cfRule type="cellIs" dxfId="26427" priority="163844" stopIfTrue="1" operator="greaterThanOrEqual">
      <formula>0.5</formula>
    </cfRule>
  </conditionalFormatting>
  <conditionalFormatting sqref="AJ24">
    <cfRule type="cellIs" dxfId="26426" priority="163845" stopIfTrue="1" operator="equal">
      <formula>-1</formula>
    </cfRule>
  </conditionalFormatting>
  <conditionalFormatting sqref="AJ24">
    <cfRule type="cellIs" dxfId="26425" priority="163846" stopIfTrue="1" operator="lessThan">
      <formula>0.5</formula>
    </cfRule>
  </conditionalFormatting>
  <conditionalFormatting sqref="AJ24">
    <cfRule type="cellIs" dxfId="26424" priority="163847" stopIfTrue="1" operator="greaterThanOrEqual">
      <formula>0.5</formula>
    </cfRule>
  </conditionalFormatting>
  <conditionalFormatting sqref="AJ25">
    <cfRule type="cellIs" dxfId="26423" priority="163848" stopIfTrue="1" operator="equal">
      <formula>-1</formula>
    </cfRule>
  </conditionalFormatting>
  <conditionalFormatting sqref="AJ25">
    <cfRule type="cellIs" dxfId="26422" priority="163849" stopIfTrue="1" operator="lessThan">
      <formula>0.5</formula>
    </cfRule>
  </conditionalFormatting>
  <conditionalFormatting sqref="AJ25">
    <cfRule type="cellIs" dxfId="26421" priority="163850" stopIfTrue="1" operator="greaterThanOrEqual">
      <formula>0.5</formula>
    </cfRule>
  </conditionalFormatting>
  <conditionalFormatting sqref="AJ26">
    <cfRule type="cellIs" dxfId="26420" priority="163851" stopIfTrue="1" operator="equal">
      <formula>-1</formula>
    </cfRule>
  </conditionalFormatting>
  <conditionalFormatting sqref="AJ26">
    <cfRule type="cellIs" dxfId="26419" priority="163852" stopIfTrue="1" operator="lessThan">
      <formula>0.5</formula>
    </cfRule>
  </conditionalFormatting>
  <conditionalFormatting sqref="AJ26">
    <cfRule type="cellIs" dxfId="26418" priority="163853" stopIfTrue="1" operator="greaterThanOrEqual">
      <formula>0.5</formula>
    </cfRule>
  </conditionalFormatting>
  <conditionalFormatting sqref="AJ27">
    <cfRule type="cellIs" dxfId="26417" priority="163854" stopIfTrue="1" operator="equal">
      <formula>-1</formula>
    </cfRule>
  </conditionalFormatting>
  <conditionalFormatting sqref="AJ27">
    <cfRule type="cellIs" dxfId="26416" priority="163855" stopIfTrue="1" operator="lessThan">
      <formula>0.5</formula>
    </cfRule>
  </conditionalFormatting>
  <conditionalFormatting sqref="AJ27">
    <cfRule type="cellIs" dxfId="26415" priority="163856" stopIfTrue="1" operator="greaterThanOrEqual">
      <formula>0.5</formula>
    </cfRule>
  </conditionalFormatting>
  <conditionalFormatting sqref="AJ28">
    <cfRule type="cellIs" dxfId="26414" priority="163857" stopIfTrue="1" operator="equal">
      <formula>-1</formula>
    </cfRule>
  </conditionalFormatting>
  <conditionalFormatting sqref="AJ28">
    <cfRule type="cellIs" dxfId="26413" priority="163858" stopIfTrue="1" operator="lessThan">
      <formula>0.5</formula>
    </cfRule>
  </conditionalFormatting>
  <conditionalFormatting sqref="AJ28">
    <cfRule type="cellIs" dxfId="26412" priority="163859" stopIfTrue="1" operator="greaterThanOrEqual">
      <formula>0.5</formula>
    </cfRule>
  </conditionalFormatting>
  <conditionalFormatting sqref="AJ29">
    <cfRule type="cellIs" dxfId="26411" priority="163860" stopIfTrue="1" operator="equal">
      <formula>-1</formula>
    </cfRule>
  </conditionalFormatting>
  <conditionalFormatting sqref="AJ29">
    <cfRule type="cellIs" dxfId="26410" priority="163861" stopIfTrue="1" operator="lessThan">
      <formula>0.5</formula>
    </cfRule>
  </conditionalFormatting>
  <conditionalFormatting sqref="AJ29">
    <cfRule type="cellIs" dxfId="26409" priority="163862" stopIfTrue="1" operator="greaterThanOrEqual">
      <formula>0.5</formula>
    </cfRule>
  </conditionalFormatting>
  <conditionalFormatting sqref="AJ30">
    <cfRule type="cellIs" dxfId="26408" priority="163863" stopIfTrue="1" operator="equal">
      <formula>-1</formula>
    </cfRule>
  </conditionalFormatting>
  <conditionalFormatting sqref="AJ30">
    <cfRule type="cellIs" dxfId="26407" priority="163864" stopIfTrue="1" operator="lessThan">
      <formula>0.5</formula>
    </cfRule>
  </conditionalFormatting>
  <conditionalFormatting sqref="AJ30">
    <cfRule type="cellIs" dxfId="26406" priority="163865" stopIfTrue="1" operator="greaterThanOrEqual">
      <formula>0.5</formula>
    </cfRule>
  </conditionalFormatting>
  <conditionalFormatting sqref="AJ31">
    <cfRule type="cellIs" dxfId="26405" priority="163866" stopIfTrue="1" operator="equal">
      <formula>-1</formula>
    </cfRule>
  </conditionalFormatting>
  <conditionalFormatting sqref="AJ31">
    <cfRule type="cellIs" dxfId="26404" priority="163867" stopIfTrue="1" operator="lessThan">
      <formula>0.5</formula>
    </cfRule>
  </conditionalFormatting>
  <conditionalFormatting sqref="AJ31">
    <cfRule type="cellIs" dxfId="26403" priority="163868" stopIfTrue="1" operator="greaterThanOrEqual">
      <formula>0.5</formula>
    </cfRule>
  </conditionalFormatting>
  <conditionalFormatting sqref="AJ32">
    <cfRule type="cellIs" dxfId="26402" priority="163869" stopIfTrue="1" operator="equal">
      <formula>-1</formula>
    </cfRule>
  </conditionalFormatting>
  <conditionalFormatting sqref="AJ32">
    <cfRule type="cellIs" dxfId="26401" priority="163870" stopIfTrue="1" operator="lessThan">
      <formula>0.5</formula>
    </cfRule>
  </conditionalFormatting>
  <conditionalFormatting sqref="AJ32">
    <cfRule type="cellIs" dxfId="26400" priority="163871" stopIfTrue="1" operator="greaterThanOrEqual">
      <formula>0.5</formula>
    </cfRule>
  </conditionalFormatting>
  <conditionalFormatting sqref="AJ33">
    <cfRule type="cellIs" dxfId="26399" priority="163872" stopIfTrue="1" operator="equal">
      <formula>-1</formula>
    </cfRule>
  </conditionalFormatting>
  <conditionalFormatting sqref="AJ33">
    <cfRule type="cellIs" dxfId="26398" priority="163873" stopIfTrue="1" operator="lessThan">
      <formula>0.5</formula>
    </cfRule>
  </conditionalFormatting>
  <conditionalFormatting sqref="AJ33">
    <cfRule type="cellIs" dxfId="26397" priority="163874" stopIfTrue="1" operator="greaterThanOrEqual">
      <formula>0.5</formula>
    </cfRule>
  </conditionalFormatting>
  <conditionalFormatting sqref="AJ34">
    <cfRule type="cellIs" dxfId="26396" priority="163875" stopIfTrue="1" operator="equal">
      <formula>-1</formula>
    </cfRule>
  </conditionalFormatting>
  <conditionalFormatting sqref="AJ34">
    <cfRule type="cellIs" dxfId="26395" priority="163876" stopIfTrue="1" operator="lessThan">
      <formula>0.5</formula>
    </cfRule>
  </conditionalFormatting>
  <conditionalFormatting sqref="AJ34">
    <cfRule type="cellIs" dxfId="26394" priority="163877" stopIfTrue="1" operator="greaterThanOrEqual">
      <formula>0.5</formula>
    </cfRule>
  </conditionalFormatting>
  <conditionalFormatting sqref="AJ35">
    <cfRule type="cellIs" dxfId="26393" priority="163878" stopIfTrue="1" operator="equal">
      <formula>-1</formula>
    </cfRule>
  </conditionalFormatting>
  <conditionalFormatting sqref="AJ35">
    <cfRule type="cellIs" dxfId="26392" priority="163879" stopIfTrue="1" operator="lessThan">
      <formula>0.5</formula>
    </cfRule>
  </conditionalFormatting>
  <conditionalFormatting sqref="AJ35">
    <cfRule type="cellIs" dxfId="26391" priority="163880" stopIfTrue="1" operator="greaterThanOrEqual">
      <formula>0.5</formula>
    </cfRule>
  </conditionalFormatting>
  <conditionalFormatting sqref="AJ36">
    <cfRule type="cellIs" dxfId="26390" priority="163881" stopIfTrue="1" operator="equal">
      <formula>-1</formula>
    </cfRule>
  </conditionalFormatting>
  <conditionalFormatting sqref="AJ36">
    <cfRule type="cellIs" dxfId="26389" priority="163882" stopIfTrue="1" operator="lessThan">
      <formula>0.5</formula>
    </cfRule>
  </conditionalFormatting>
  <conditionalFormatting sqref="AJ36">
    <cfRule type="cellIs" dxfId="26388" priority="163883" stopIfTrue="1" operator="greaterThanOrEqual">
      <formula>0.5</formula>
    </cfRule>
  </conditionalFormatting>
  <conditionalFormatting sqref="AJ37">
    <cfRule type="cellIs" dxfId="26387" priority="163884" stopIfTrue="1" operator="equal">
      <formula>-1</formula>
    </cfRule>
  </conditionalFormatting>
  <conditionalFormatting sqref="AJ37">
    <cfRule type="cellIs" dxfId="26386" priority="163885" stopIfTrue="1" operator="lessThan">
      <formula>0.5</formula>
    </cfRule>
  </conditionalFormatting>
  <conditionalFormatting sqref="AJ37">
    <cfRule type="cellIs" dxfId="26385" priority="163886" stopIfTrue="1" operator="greaterThanOrEqual">
      <formula>0.5</formula>
    </cfRule>
  </conditionalFormatting>
  <conditionalFormatting sqref="AL17">
    <cfRule type="cellIs" dxfId="26384" priority="163887" stopIfTrue="1" operator="equal">
      <formula>-1</formula>
    </cfRule>
  </conditionalFormatting>
  <conditionalFormatting sqref="AL17">
    <cfRule type="cellIs" dxfId="26383" priority="163888" stopIfTrue="1" operator="lessThan">
      <formula>0.5</formula>
    </cfRule>
  </conditionalFormatting>
  <conditionalFormatting sqref="AL17">
    <cfRule type="cellIs" dxfId="26382" priority="163889" stopIfTrue="1" operator="greaterThanOrEqual">
      <formula>0.5</formula>
    </cfRule>
  </conditionalFormatting>
  <conditionalFormatting sqref="AL18">
    <cfRule type="cellIs" dxfId="26381" priority="163890" stopIfTrue="1" operator="equal">
      <formula>-1</formula>
    </cfRule>
  </conditionalFormatting>
  <conditionalFormatting sqref="AL18">
    <cfRule type="cellIs" dxfId="26380" priority="163891" stopIfTrue="1" operator="lessThan">
      <formula>0.5</formula>
    </cfRule>
  </conditionalFormatting>
  <conditionalFormatting sqref="AL18">
    <cfRule type="cellIs" dxfId="26379" priority="163892" stopIfTrue="1" operator="greaterThanOrEqual">
      <formula>0.5</formula>
    </cfRule>
  </conditionalFormatting>
  <conditionalFormatting sqref="AL19">
    <cfRule type="cellIs" dxfId="26378" priority="163893" stopIfTrue="1" operator="equal">
      <formula>-1</formula>
    </cfRule>
  </conditionalFormatting>
  <conditionalFormatting sqref="AL19">
    <cfRule type="cellIs" dxfId="26377" priority="163894" stopIfTrue="1" operator="lessThan">
      <formula>0.5</formula>
    </cfRule>
  </conditionalFormatting>
  <conditionalFormatting sqref="AL19">
    <cfRule type="cellIs" dxfId="26376" priority="163895" stopIfTrue="1" operator="greaterThanOrEqual">
      <formula>0.5</formula>
    </cfRule>
  </conditionalFormatting>
  <conditionalFormatting sqref="AL20">
    <cfRule type="cellIs" dxfId="26375" priority="163896" stopIfTrue="1" operator="equal">
      <formula>-1</formula>
    </cfRule>
  </conditionalFormatting>
  <conditionalFormatting sqref="AL20">
    <cfRule type="cellIs" dxfId="26374" priority="163897" stopIfTrue="1" operator="lessThan">
      <formula>0.5</formula>
    </cfRule>
  </conditionalFormatting>
  <conditionalFormatting sqref="AL20">
    <cfRule type="cellIs" dxfId="26373" priority="163898" stopIfTrue="1" operator="greaterThanOrEqual">
      <formula>0.5</formula>
    </cfRule>
  </conditionalFormatting>
  <conditionalFormatting sqref="AL21">
    <cfRule type="cellIs" dxfId="26372" priority="163899" stopIfTrue="1" operator="equal">
      <formula>-1</formula>
    </cfRule>
  </conditionalFormatting>
  <conditionalFormatting sqref="AL21">
    <cfRule type="cellIs" dxfId="26371" priority="163900" stopIfTrue="1" operator="lessThan">
      <formula>0.5</formula>
    </cfRule>
  </conditionalFormatting>
  <conditionalFormatting sqref="AL21">
    <cfRule type="cellIs" dxfId="26370" priority="163901" stopIfTrue="1" operator="greaterThanOrEqual">
      <formula>0.5</formula>
    </cfRule>
  </conditionalFormatting>
  <conditionalFormatting sqref="AL22">
    <cfRule type="cellIs" dxfId="26369" priority="163902" stopIfTrue="1" operator="equal">
      <formula>-1</formula>
    </cfRule>
  </conditionalFormatting>
  <conditionalFormatting sqref="AL22">
    <cfRule type="cellIs" dxfId="26368" priority="163903" stopIfTrue="1" operator="lessThan">
      <formula>0.5</formula>
    </cfRule>
  </conditionalFormatting>
  <conditionalFormatting sqref="AL22">
    <cfRule type="cellIs" dxfId="26367" priority="163904" stopIfTrue="1" operator="greaterThanOrEqual">
      <formula>0.5</formula>
    </cfRule>
  </conditionalFormatting>
  <conditionalFormatting sqref="AL23">
    <cfRule type="cellIs" dxfId="26366" priority="163905" stopIfTrue="1" operator="equal">
      <formula>-1</formula>
    </cfRule>
  </conditionalFormatting>
  <conditionalFormatting sqref="AL23">
    <cfRule type="cellIs" dxfId="26365" priority="163906" stopIfTrue="1" operator="lessThan">
      <formula>0.5</formula>
    </cfRule>
  </conditionalFormatting>
  <conditionalFormatting sqref="AL23">
    <cfRule type="cellIs" dxfId="26364" priority="163907" stopIfTrue="1" operator="greaterThanOrEqual">
      <formula>0.5</formula>
    </cfRule>
  </conditionalFormatting>
  <conditionalFormatting sqref="AL24">
    <cfRule type="cellIs" dxfId="26363" priority="163908" stopIfTrue="1" operator="equal">
      <formula>-1</formula>
    </cfRule>
  </conditionalFormatting>
  <conditionalFormatting sqref="AL24">
    <cfRule type="cellIs" dxfId="26362" priority="163909" stopIfTrue="1" operator="lessThan">
      <formula>0.5</formula>
    </cfRule>
  </conditionalFormatting>
  <conditionalFormatting sqref="AL24">
    <cfRule type="cellIs" dxfId="26361" priority="163910" stopIfTrue="1" operator="greaterThanOrEqual">
      <formula>0.5</formula>
    </cfRule>
  </conditionalFormatting>
  <conditionalFormatting sqref="AL25">
    <cfRule type="cellIs" dxfId="26360" priority="163911" stopIfTrue="1" operator="equal">
      <formula>-1</formula>
    </cfRule>
  </conditionalFormatting>
  <conditionalFormatting sqref="AL25">
    <cfRule type="cellIs" dxfId="26359" priority="163912" stopIfTrue="1" operator="lessThan">
      <formula>0.5</formula>
    </cfRule>
  </conditionalFormatting>
  <conditionalFormatting sqref="AL25">
    <cfRule type="cellIs" dxfId="26358" priority="163913" stopIfTrue="1" operator="greaterThanOrEqual">
      <formula>0.5</formula>
    </cfRule>
  </conditionalFormatting>
  <conditionalFormatting sqref="AL26">
    <cfRule type="cellIs" dxfId="26357" priority="163914" stopIfTrue="1" operator="equal">
      <formula>-1</formula>
    </cfRule>
  </conditionalFormatting>
  <conditionalFormatting sqref="AL26">
    <cfRule type="cellIs" dxfId="26356" priority="163915" stopIfTrue="1" operator="lessThan">
      <formula>0.5</formula>
    </cfRule>
  </conditionalFormatting>
  <conditionalFormatting sqref="AL26">
    <cfRule type="cellIs" dxfId="26355" priority="163916" stopIfTrue="1" operator="greaterThanOrEqual">
      <formula>0.5</formula>
    </cfRule>
  </conditionalFormatting>
  <conditionalFormatting sqref="AL27">
    <cfRule type="cellIs" dxfId="26354" priority="163917" stopIfTrue="1" operator="equal">
      <formula>-1</formula>
    </cfRule>
  </conditionalFormatting>
  <conditionalFormatting sqref="AL27">
    <cfRule type="cellIs" dxfId="26353" priority="163918" stopIfTrue="1" operator="lessThan">
      <formula>0.5</formula>
    </cfRule>
  </conditionalFormatting>
  <conditionalFormatting sqref="AL27">
    <cfRule type="cellIs" dxfId="26352" priority="163919" stopIfTrue="1" operator="greaterThanOrEqual">
      <formula>0.5</formula>
    </cfRule>
  </conditionalFormatting>
  <conditionalFormatting sqref="AL28">
    <cfRule type="cellIs" dxfId="26351" priority="163920" stopIfTrue="1" operator="equal">
      <formula>-1</formula>
    </cfRule>
  </conditionalFormatting>
  <conditionalFormatting sqref="AL28">
    <cfRule type="cellIs" dxfId="26350" priority="163921" stopIfTrue="1" operator="lessThan">
      <formula>0.5</formula>
    </cfRule>
  </conditionalFormatting>
  <conditionalFormatting sqref="AL28">
    <cfRule type="cellIs" dxfId="26349" priority="163922" stopIfTrue="1" operator="greaterThanOrEqual">
      <formula>0.5</formula>
    </cfRule>
  </conditionalFormatting>
  <conditionalFormatting sqref="AL29">
    <cfRule type="cellIs" dxfId="26348" priority="163923" stopIfTrue="1" operator="equal">
      <formula>-1</formula>
    </cfRule>
  </conditionalFormatting>
  <conditionalFormatting sqref="AL29">
    <cfRule type="cellIs" dxfId="26347" priority="163924" stopIfTrue="1" operator="lessThan">
      <formula>0.5</formula>
    </cfRule>
  </conditionalFormatting>
  <conditionalFormatting sqref="AL29">
    <cfRule type="cellIs" dxfId="26346" priority="163925" stopIfTrue="1" operator="greaterThanOrEqual">
      <formula>0.5</formula>
    </cfRule>
  </conditionalFormatting>
  <conditionalFormatting sqref="AL30">
    <cfRule type="cellIs" dxfId="26345" priority="163926" stopIfTrue="1" operator="equal">
      <formula>-1</formula>
    </cfRule>
  </conditionalFormatting>
  <conditionalFormatting sqref="AL30">
    <cfRule type="cellIs" dxfId="26344" priority="163927" stopIfTrue="1" operator="lessThan">
      <formula>0.5</formula>
    </cfRule>
  </conditionalFormatting>
  <conditionalFormatting sqref="AL30">
    <cfRule type="cellIs" dxfId="26343" priority="163928" stopIfTrue="1" operator="greaterThanOrEqual">
      <formula>0.5</formula>
    </cfRule>
  </conditionalFormatting>
  <conditionalFormatting sqref="AL31">
    <cfRule type="cellIs" dxfId="26342" priority="163929" stopIfTrue="1" operator="equal">
      <formula>-1</formula>
    </cfRule>
  </conditionalFormatting>
  <conditionalFormatting sqref="AL31">
    <cfRule type="cellIs" dxfId="26341" priority="163930" stopIfTrue="1" operator="lessThan">
      <formula>0.5</formula>
    </cfRule>
  </conditionalFormatting>
  <conditionalFormatting sqref="AL31">
    <cfRule type="cellIs" dxfId="26340" priority="163931" stopIfTrue="1" operator="greaterThanOrEqual">
      <formula>0.5</formula>
    </cfRule>
  </conditionalFormatting>
  <conditionalFormatting sqref="AL32">
    <cfRule type="cellIs" dxfId="26339" priority="163932" stopIfTrue="1" operator="equal">
      <formula>-1</formula>
    </cfRule>
  </conditionalFormatting>
  <conditionalFormatting sqref="AL32">
    <cfRule type="cellIs" dxfId="26338" priority="163933" stopIfTrue="1" operator="lessThan">
      <formula>0.5</formula>
    </cfRule>
  </conditionalFormatting>
  <conditionalFormatting sqref="AL32">
    <cfRule type="cellIs" dxfId="26337" priority="163934" stopIfTrue="1" operator="greaterThanOrEqual">
      <formula>0.5</formula>
    </cfRule>
  </conditionalFormatting>
  <conditionalFormatting sqref="AL33">
    <cfRule type="cellIs" dxfId="26336" priority="163935" stopIfTrue="1" operator="equal">
      <formula>-1</formula>
    </cfRule>
  </conditionalFormatting>
  <conditionalFormatting sqref="AL33">
    <cfRule type="cellIs" dxfId="26335" priority="163936" stopIfTrue="1" operator="lessThan">
      <formula>0.5</formula>
    </cfRule>
  </conditionalFormatting>
  <conditionalFormatting sqref="AL33">
    <cfRule type="cellIs" dxfId="26334" priority="163937" stopIfTrue="1" operator="greaterThanOrEqual">
      <formula>0.5</formula>
    </cfRule>
  </conditionalFormatting>
  <conditionalFormatting sqref="AL34">
    <cfRule type="cellIs" dxfId="26333" priority="163938" stopIfTrue="1" operator="equal">
      <formula>-1</formula>
    </cfRule>
  </conditionalFormatting>
  <conditionalFormatting sqref="AL34">
    <cfRule type="cellIs" dxfId="26332" priority="163939" stopIfTrue="1" operator="lessThan">
      <formula>0.5</formula>
    </cfRule>
  </conditionalFormatting>
  <conditionalFormatting sqref="AL34">
    <cfRule type="cellIs" dxfId="26331" priority="163940" stopIfTrue="1" operator="greaterThanOrEqual">
      <formula>0.5</formula>
    </cfRule>
  </conditionalFormatting>
  <conditionalFormatting sqref="AL35">
    <cfRule type="cellIs" dxfId="26330" priority="163941" stopIfTrue="1" operator="equal">
      <formula>-1</formula>
    </cfRule>
  </conditionalFormatting>
  <conditionalFormatting sqref="AL35">
    <cfRule type="cellIs" dxfId="26329" priority="163942" stopIfTrue="1" operator="lessThan">
      <formula>0.5</formula>
    </cfRule>
  </conditionalFormatting>
  <conditionalFormatting sqref="AL35">
    <cfRule type="cellIs" dxfId="26328" priority="163943" stopIfTrue="1" operator="greaterThanOrEqual">
      <formula>0.5</formula>
    </cfRule>
  </conditionalFormatting>
  <conditionalFormatting sqref="AL36">
    <cfRule type="cellIs" dxfId="26327" priority="163944" stopIfTrue="1" operator="equal">
      <formula>-1</formula>
    </cfRule>
  </conditionalFormatting>
  <conditionalFormatting sqref="AL36">
    <cfRule type="cellIs" dxfId="26326" priority="163945" stopIfTrue="1" operator="lessThan">
      <formula>0.5</formula>
    </cfRule>
  </conditionalFormatting>
  <conditionalFormatting sqref="AL36">
    <cfRule type="cellIs" dxfId="26325" priority="163946" stopIfTrue="1" operator="greaterThanOrEqual">
      <formula>0.5</formula>
    </cfRule>
  </conditionalFormatting>
  <conditionalFormatting sqref="AL37">
    <cfRule type="cellIs" dxfId="26324" priority="163947" stopIfTrue="1" operator="equal">
      <formula>-1</formula>
    </cfRule>
  </conditionalFormatting>
  <conditionalFormatting sqref="AL37">
    <cfRule type="cellIs" dxfId="26323" priority="163948" stopIfTrue="1" operator="lessThan">
      <formula>0.5</formula>
    </cfRule>
  </conditionalFormatting>
  <conditionalFormatting sqref="AL37">
    <cfRule type="cellIs" dxfId="26322" priority="163949" stopIfTrue="1" operator="greaterThanOrEqual">
      <formula>0.5</formula>
    </cfRule>
  </conditionalFormatting>
  <conditionalFormatting sqref="AN17">
    <cfRule type="cellIs" dxfId="26321" priority="163950" stopIfTrue="1" operator="equal">
      <formula>-1</formula>
    </cfRule>
  </conditionalFormatting>
  <conditionalFormatting sqref="AN17">
    <cfRule type="cellIs" dxfId="26320" priority="163951" stopIfTrue="1" operator="lessThan">
      <formula>0.5</formula>
    </cfRule>
  </conditionalFormatting>
  <conditionalFormatting sqref="AN17">
    <cfRule type="cellIs" dxfId="26319" priority="163952" stopIfTrue="1" operator="greaterThanOrEqual">
      <formula>0.5</formula>
    </cfRule>
  </conditionalFormatting>
  <conditionalFormatting sqref="AN18">
    <cfRule type="cellIs" dxfId="26318" priority="163953" stopIfTrue="1" operator="equal">
      <formula>-1</formula>
    </cfRule>
  </conditionalFormatting>
  <conditionalFormatting sqref="AN18">
    <cfRule type="cellIs" dxfId="26317" priority="163954" stopIfTrue="1" operator="lessThan">
      <formula>0.5</formula>
    </cfRule>
  </conditionalFormatting>
  <conditionalFormatting sqref="AN18">
    <cfRule type="cellIs" dxfId="26316" priority="163955" stopIfTrue="1" operator="greaterThanOrEqual">
      <formula>0.5</formula>
    </cfRule>
  </conditionalFormatting>
  <conditionalFormatting sqref="AN19">
    <cfRule type="cellIs" dxfId="26315" priority="163956" stopIfTrue="1" operator="equal">
      <formula>-1</formula>
    </cfRule>
  </conditionalFormatting>
  <conditionalFormatting sqref="AN19">
    <cfRule type="cellIs" dxfId="26314" priority="163957" stopIfTrue="1" operator="lessThan">
      <formula>0.5</formula>
    </cfRule>
  </conditionalFormatting>
  <conditionalFormatting sqref="AN19">
    <cfRule type="cellIs" dxfId="26313" priority="163958" stopIfTrue="1" operator="greaterThanOrEqual">
      <formula>0.5</formula>
    </cfRule>
  </conditionalFormatting>
  <conditionalFormatting sqref="AN20">
    <cfRule type="cellIs" dxfId="26312" priority="163959" stopIfTrue="1" operator="equal">
      <formula>-1</formula>
    </cfRule>
  </conditionalFormatting>
  <conditionalFormatting sqref="AN20">
    <cfRule type="cellIs" dxfId="26311" priority="163960" stopIfTrue="1" operator="lessThan">
      <formula>0.5</formula>
    </cfRule>
  </conditionalFormatting>
  <conditionalFormatting sqref="AN20">
    <cfRule type="cellIs" dxfId="26310" priority="163961" stopIfTrue="1" operator="greaterThanOrEqual">
      <formula>0.5</formula>
    </cfRule>
  </conditionalFormatting>
  <conditionalFormatting sqref="AN21">
    <cfRule type="cellIs" dxfId="26309" priority="163962" stopIfTrue="1" operator="equal">
      <formula>-1</formula>
    </cfRule>
  </conditionalFormatting>
  <conditionalFormatting sqref="AN21">
    <cfRule type="cellIs" dxfId="26308" priority="163963" stopIfTrue="1" operator="lessThan">
      <formula>0.5</formula>
    </cfRule>
  </conditionalFormatting>
  <conditionalFormatting sqref="AN21">
    <cfRule type="cellIs" dxfId="26307" priority="163964" stopIfTrue="1" operator="greaterThanOrEqual">
      <formula>0.5</formula>
    </cfRule>
  </conditionalFormatting>
  <conditionalFormatting sqref="AN22">
    <cfRule type="cellIs" dxfId="26306" priority="163965" stopIfTrue="1" operator="equal">
      <formula>-1</formula>
    </cfRule>
  </conditionalFormatting>
  <conditionalFormatting sqref="AN22">
    <cfRule type="cellIs" dxfId="26305" priority="163966" stopIfTrue="1" operator="lessThan">
      <formula>0.5</formula>
    </cfRule>
  </conditionalFormatting>
  <conditionalFormatting sqref="AN22">
    <cfRule type="cellIs" dxfId="26304" priority="163967" stopIfTrue="1" operator="greaterThanOrEqual">
      <formula>0.5</formula>
    </cfRule>
  </conditionalFormatting>
  <conditionalFormatting sqref="AN23">
    <cfRule type="cellIs" dxfId="26303" priority="163968" stopIfTrue="1" operator="equal">
      <formula>-1</formula>
    </cfRule>
  </conditionalFormatting>
  <conditionalFormatting sqref="AN23">
    <cfRule type="cellIs" dxfId="26302" priority="163969" stopIfTrue="1" operator="lessThan">
      <formula>0.5</formula>
    </cfRule>
  </conditionalFormatting>
  <conditionalFormatting sqref="AN23">
    <cfRule type="cellIs" dxfId="26301" priority="163970" stopIfTrue="1" operator="greaterThanOrEqual">
      <formula>0.5</formula>
    </cfRule>
  </conditionalFormatting>
  <conditionalFormatting sqref="AN24">
    <cfRule type="cellIs" dxfId="26300" priority="163971" stopIfTrue="1" operator="equal">
      <formula>-1</formula>
    </cfRule>
  </conditionalFormatting>
  <conditionalFormatting sqref="AN24">
    <cfRule type="cellIs" dxfId="26299" priority="163972" stopIfTrue="1" operator="lessThan">
      <formula>0.5</formula>
    </cfRule>
  </conditionalFormatting>
  <conditionalFormatting sqref="AN24">
    <cfRule type="cellIs" dxfId="26298" priority="163973" stopIfTrue="1" operator="greaterThanOrEqual">
      <formula>0.5</formula>
    </cfRule>
  </conditionalFormatting>
  <conditionalFormatting sqref="AN25">
    <cfRule type="cellIs" dxfId="26297" priority="163974" stopIfTrue="1" operator="equal">
      <formula>-1</formula>
    </cfRule>
  </conditionalFormatting>
  <conditionalFormatting sqref="AN25">
    <cfRule type="cellIs" dxfId="26296" priority="163975" stopIfTrue="1" operator="lessThan">
      <formula>0.5</formula>
    </cfRule>
  </conditionalFormatting>
  <conditionalFormatting sqref="AN25">
    <cfRule type="cellIs" dxfId="26295" priority="163976" stopIfTrue="1" operator="greaterThanOrEqual">
      <formula>0.5</formula>
    </cfRule>
  </conditionalFormatting>
  <conditionalFormatting sqref="AN26">
    <cfRule type="cellIs" dxfId="26294" priority="163977" stopIfTrue="1" operator="equal">
      <formula>-1</formula>
    </cfRule>
  </conditionalFormatting>
  <conditionalFormatting sqref="AN26">
    <cfRule type="cellIs" dxfId="26293" priority="163978" stopIfTrue="1" operator="lessThan">
      <formula>0.5</formula>
    </cfRule>
  </conditionalFormatting>
  <conditionalFormatting sqref="AN26">
    <cfRule type="cellIs" dxfId="26292" priority="163979" stopIfTrue="1" operator="greaterThanOrEqual">
      <formula>0.5</formula>
    </cfRule>
  </conditionalFormatting>
  <conditionalFormatting sqref="AN27">
    <cfRule type="cellIs" dxfId="26291" priority="163980" stopIfTrue="1" operator="equal">
      <formula>-1</formula>
    </cfRule>
  </conditionalFormatting>
  <conditionalFormatting sqref="AN27">
    <cfRule type="cellIs" dxfId="26290" priority="163981" stopIfTrue="1" operator="lessThan">
      <formula>0.5</formula>
    </cfRule>
  </conditionalFormatting>
  <conditionalFormatting sqref="AN27">
    <cfRule type="cellIs" dxfId="26289" priority="163982" stopIfTrue="1" operator="greaterThanOrEqual">
      <formula>0.5</formula>
    </cfRule>
  </conditionalFormatting>
  <conditionalFormatting sqref="AN28">
    <cfRule type="cellIs" dxfId="26288" priority="163983" stopIfTrue="1" operator="equal">
      <formula>-1</formula>
    </cfRule>
  </conditionalFormatting>
  <conditionalFormatting sqref="AN28">
    <cfRule type="cellIs" dxfId="26287" priority="163984" stopIfTrue="1" operator="lessThan">
      <formula>0.5</formula>
    </cfRule>
  </conditionalFormatting>
  <conditionalFormatting sqref="AN28">
    <cfRule type="cellIs" dxfId="26286" priority="163985" stopIfTrue="1" operator="greaterThanOrEqual">
      <formula>0.5</formula>
    </cfRule>
  </conditionalFormatting>
  <conditionalFormatting sqref="AN29">
    <cfRule type="cellIs" dxfId="26285" priority="163986" stopIfTrue="1" operator="equal">
      <formula>-1</formula>
    </cfRule>
  </conditionalFormatting>
  <conditionalFormatting sqref="AN29">
    <cfRule type="cellIs" dxfId="26284" priority="163987" stopIfTrue="1" operator="lessThan">
      <formula>0.5</formula>
    </cfRule>
  </conditionalFormatting>
  <conditionalFormatting sqref="AN29">
    <cfRule type="cellIs" dxfId="26283" priority="163988" stopIfTrue="1" operator="greaterThanOrEqual">
      <formula>0.5</formula>
    </cfRule>
  </conditionalFormatting>
  <conditionalFormatting sqref="AN30">
    <cfRule type="cellIs" dxfId="26282" priority="163989" stopIfTrue="1" operator="equal">
      <formula>-1</formula>
    </cfRule>
  </conditionalFormatting>
  <conditionalFormatting sqref="AN30">
    <cfRule type="cellIs" dxfId="26281" priority="163990" stopIfTrue="1" operator="lessThan">
      <formula>0.5</formula>
    </cfRule>
  </conditionalFormatting>
  <conditionalFormatting sqref="AN30">
    <cfRule type="cellIs" dxfId="26280" priority="163991" stopIfTrue="1" operator="greaterThanOrEqual">
      <formula>0.5</formula>
    </cfRule>
  </conditionalFormatting>
  <conditionalFormatting sqref="AN31">
    <cfRule type="cellIs" dxfId="26279" priority="163992" stopIfTrue="1" operator="equal">
      <formula>-1</formula>
    </cfRule>
  </conditionalFormatting>
  <conditionalFormatting sqref="AN31">
    <cfRule type="cellIs" dxfId="26278" priority="163993" stopIfTrue="1" operator="lessThan">
      <formula>0.5</formula>
    </cfRule>
  </conditionalFormatting>
  <conditionalFormatting sqref="AN31">
    <cfRule type="cellIs" dxfId="26277" priority="163994" stopIfTrue="1" operator="greaterThanOrEqual">
      <formula>0.5</formula>
    </cfRule>
  </conditionalFormatting>
  <conditionalFormatting sqref="AN32">
    <cfRule type="cellIs" dxfId="26276" priority="163995" stopIfTrue="1" operator="equal">
      <formula>-1</formula>
    </cfRule>
  </conditionalFormatting>
  <conditionalFormatting sqref="AN32">
    <cfRule type="cellIs" dxfId="26275" priority="163996" stopIfTrue="1" operator="lessThan">
      <formula>0.5</formula>
    </cfRule>
  </conditionalFormatting>
  <conditionalFormatting sqref="AN32">
    <cfRule type="cellIs" dxfId="26274" priority="163997" stopIfTrue="1" operator="greaterThanOrEqual">
      <formula>0.5</formula>
    </cfRule>
  </conditionalFormatting>
  <conditionalFormatting sqref="AN33">
    <cfRule type="cellIs" dxfId="26273" priority="163998" stopIfTrue="1" operator="equal">
      <formula>-1</formula>
    </cfRule>
  </conditionalFormatting>
  <conditionalFormatting sqref="AN33">
    <cfRule type="cellIs" dxfId="26272" priority="163999" stopIfTrue="1" operator="lessThan">
      <formula>0.5</formula>
    </cfRule>
  </conditionalFormatting>
  <conditionalFormatting sqref="AN33">
    <cfRule type="cellIs" dxfId="26271" priority="164000" stopIfTrue="1" operator="greaterThanOrEqual">
      <formula>0.5</formula>
    </cfRule>
  </conditionalFormatting>
  <conditionalFormatting sqref="AN34">
    <cfRule type="cellIs" dxfId="26270" priority="164001" stopIfTrue="1" operator="equal">
      <formula>-1</formula>
    </cfRule>
  </conditionalFormatting>
  <conditionalFormatting sqref="AN34">
    <cfRule type="cellIs" dxfId="26269" priority="164002" stopIfTrue="1" operator="lessThan">
      <formula>0.5</formula>
    </cfRule>
  </conditionalFormatting>
  <conditionalFormatting sqref="AN34">
    <cfRule type="cellIs" dxfId="26268" priority="164003" stopIfTrue="1" operator="greaterThanOrEqual">
      <formula>0.5</formula>
    </cfRule>
  </conditionalFormatting>
  <conditionalFormatting sqref="AN35">
    <cfRule type="cellIs" dxfId="26267" priority="164004" stopIfTrue="1" operator="equal">
      <formula>-1</formula>
    </cfRule>
  </conditionalFormatting>
  <conditionalFormatting sqref="AN35">
    <cfRule type="cellIs" dxfId="26266" priority="164005" stopIfTrue="1" operator="lessThan">
      <formula>0.5</formula>
    </cfRule>
  </conditionalFormatting>
  <conditionalFormatting sqref="AN35">
    <cfRule type="cellIs" dxfId="26265" priority="164006" stopIfTrue="1" operator="greaterThanOrEqual">
      <formula>0.5</formula>
    </cfRule>
  </conditionalFormatting>
  <conditionalFormatting sqref="AN36">
    <cfRule type="cellIs" dxfId="26264" priority="164007" stopIfTrue="1" operator="equal">
      <formula>-1</formula>
    </cfRule>
  </conditionalFormatting>
  <conditionalFormatting sqref="AN36">
    <cfRule type="cellIs" dxfId="26263" priority="164008" stopIfTrue="1" operator="lessThan">
      <formula>0.5</formula>
    </cfRule>
  </conditionalFormatting>
  <conditionalFormatting sqref="AN36">
    <cfRule type="cellIs" dxfId="26262" priority="164009" stopIfTrue="1" operator="greaterThanOrEqual">
      <formula>0.5</formula>
    </cfRule>
  </conditionalFormatting>
  <conditionalFormatting sqref="AN37">
    <cfRule type="cellIs" dxfId="26261" priority="164010" stopIfTrue="1" operator="equal">
      <formula>-1</formula>
    </cfRule>
  </conditionalFormatting>
  <conditionalFormatting sqref="AN37">
    <cfRule type="cellIs" dxfId="26260" priority="164011" stopIfTrue="1" operator="lessThan">
      <formula>0.5</formula>
    </cfRule>
  </conditionalFormatting>
  <conditionalFormatting sqref="AN37">
    <cfRule type="cellIs" dxfId="26259" priority="164012" stopIfTrue="1" operator="greaterThanOrEqual">
      <formula>0.5</formula>
    </cfRule>
  </conditionalFormatting>
  <conditionalFormatting sqref="AP17">
    <cfRule type="cellIs" dxfId="26258" priority="164013" stopIfTrue="1" operator="equal">
      <formula>-1</formula>
    </cfRule>
  </conditionalFormatting>
  <conditionalFormatting sqref="AP17">
    <cfRule type="cellIs" dxfId="26257" priority="164014" stopIfTrue="1" operator="lessThan">
      <formula>0.5</formula>
    </cfRule>
  </conditionalFormatting>
  <conditionalFormatting sqref="AP17">
    <cfRule type="cellIs" dxfId="26256" priority="164015" stopIfTrue="1" operator="greaterThanOrEqual">
      <formula>0.5</formula>
    </cfRule>
  </conditionalFormatting>
  <conditionalFormatting sqref="AP18">
    <cfRule type="cellIs" dxfId="26255" priority="164016" stopIfTrue="1" operator="equal">
      <formula>-1</formula>
    </cfRule>
  </conditionalFormatting>
  <conditionalFormatting sqref="AP18">
    <cfRule type="cellIs" dxfId="26254" priority="164017" stopIfTrue="1" operator="lessThan">
      <formula>0.5</formula>
    </cfRule>
  </conditionalFormatting>
  <conditionalFormatting sqref="AP18">
    <cfRule type="cellIs" dxfId="26253" priority="164018" stopIfTrue="1" operator="greaterThanOrEqual">
      <formula>0.5</formula>
    </cfRule>
  </conditionalFormatting>
  <conditionalFormatting sqref="AP19">
    <cfRule type="cellIs" dxfId="26252" priority="164019" stopIfTrue="1" operator="equal">
      <formula>-1</formula>
    </cfRule>
  </conditionalFormatting>
  <conditionalFormatting sqref="AP19">
    <cfRule type="cellIs" dxfId="26251" priority="164020" stopIfTrue="1" operator="lessThan">
      <formula>0.5</formula>
    </cfRule>
  </conditionalFormatting>
  <conditionalFormatting sqref="AP19">
    <cfRule type="cellIs" dxfId="26250" priority="164021" stopIfTrue="1" operator="greaterThanOrEqual">
      <formula>0.5</formula>
    </cfRule>
  </conditionalFormatting>
  <conditionalFormatting sqref="AP20">
    <cfRule type="cellIs" dxfId="26249" priority="164022" stopIfTrue="1" operator="equal">
      <formula>-1</formula>
    </cfRule>
  </conditionalFormatting>
  <conditionalFormatting sqref="AP20">
    <cfRule type="cellIs" dxfId="26248" priority="164023" stopIfTrue="1" operator="lessThan">
      <formula>0.5</formula>
    </cfRule>
  </conditionalFormatting>
  <conditionalFormatting sqref="AP20">
    <cfRule type="cellIs" dxfId="26247" priority="164024" stopIfTrue="1" operator="greaterThanOrEqual">
      <formula>0.5</formula>
    </cfRule>
  </conditionalFormatting>
  <conditionalFormatting sqref="AP21">
    <cfRule type="cellIs" dxfId="26246" priority="164025" stopIfTrue="1" operator="equal">
      <formula>-1</formula>
    </cfRule>
  </conditionalFormatting>
  <conditionalFormatting sqref="AP21">
    <cfRule type="cellIs" dxfId="26245" priority="164026" stopIfTrue="1" operator="lessThan">
      <formula>0.5</formula>
    </cfRule>
  </conditionalFormatting>
  <conditionalFormatting sqref="AP21">
    <cfRule type="cellIs" dxfId="26244" priority="164027" stopIfTrue="1" operator="greaterThanOrEqual">
      <formula>0.5</formula>
    </cfRule>
  </conditionalFormatting>
  <conditionalFormatting sqref="AP22">
    <cfRule type="cellIs" dxfId="26243" priority="164028" stopIfTrue="1" operator="equal">
      <formula>-1</formula>
    </cfRule>
  </conditionalFormatting>
  <conditionalFormatting sqref="AP22">
    <cfRule type="cellIs" dxfId="26242" priority="164029" stopIfTrue="1" operator="lessThan">
      <formula>0.5</formula>
    </cfRule>
  </conditionalFormatting>
  <conditionalFormatting sqref="AP22">
    <cfRule type="cellIs" dxfId="26241" priority="164030" stopIfTrue="1" operator="greaterThanOrEqual">
      <formula>0.5</formula>
    </cfRule>
  </conditionalFormatting>
  <conditionalFormatting sqref="AP23">
    <cfRule type="cellIs" dxfId="26240" priority="164031" stopIfTrue="1" operator="equal">
      <formula>-1</formula>
    </cfRule>
  </conditionalFormatting>
  <conditionalFormatting sqref="AP23">
    <cfRule type="cellIs" dxfId="26239" priority="164032" stopIfTrue="1" operator="lessThan">
      <formula>0.5</formula>
    </cfRule>
  </conditionalFormatting>
  <conditionalFormatting sqref="AP23">
    <cfRule type="cellIs" dxfId="26238" priority="164033" stopIfTrue="1" operator="greaterThanOrEqual">
      <formula>0.5</formula>
    </cfRule>
  </conditionalFormatting>
  <conditionalFormatting sqref="AP24">
    <cfRule type="cellIs" dxfId="26237" priority="164034" stopIfTrue="1" operator="equal">
      <formula>-1</formula>
    </cfRule>
  </conditionalFormatting>
  <conditionalFormatting sqref="AP24">
    <cfRule type="cellIs" dxfId="26236" priority="164035" stopIfTrue="1" operator="lessThan">
      <formula>0.5</formula>
    </cfRule>
  </conditionalFormatting>
  <conditionalFormatting sqref="AP24">
    <cfRule type="cellIs" dxfId="26235" priority="164036" stopIfTrue="1" operator="greaterThanOrEqual">
      <formula>0.5</formula>
    </cfRule>
  </conditionalFormatting>
  <conditionalFormatting sqref="AP25">
    <cfRule type="cellIs" dxfId="26234" priority="164037" stopIfTrue="1" operator="equal">
      <formula>-1</formula>
    </cfRule>
  </conditionalFormatting>
  <conditionalFormatting sqref="AP25">
    <cfRule type="cellIs" dxfId="26233" priority="164038" stopIfTrue="1" operator="lessThan">
      <formula>0.5</formula>
    </cfRule>
  </conditionalFormatting>
  <conditionalFormatting sqref="AP25">
    <cfRule type="cellIs" dxfId="26232" priority="164039" stopIfTrue="1" operator="greaterThanOrEqual">
      <formula>0.5</formula>
    </cfRule>
  </conditionalFormatting>
  <conditionalFormatting sqref="AP26">
    <cfRule type="cellIs" dxfId="26231" priority="164040" stopIfTrue="1" operator="equal">
      <formula>-1</formula>
    </cfRule>
  </conditionalFormatting>
  <conditionalFormatting sqref="AP26">
    <cfRule type="cellIs" dxfId="26230" priority="164041" stopIfTrue="1" operator="lessThan">
      <formula>0.5</formula>
    </cfRule>
  </conditionalFormatting>
  <conditionalFormatting sqref="AP26">
    <cfRule type="cellIs" dxfId="26229" priority="164042" stopIfTrue="1" operator="greaterThanOrEqual">
      <formula>0.5</formula>
    </cfRule>
  </conditionalFormatting>
  <conditionalFormatting sqref="AP27">
    <cfRule type="cellIs" dxfId="26228" priority="164043" stopIfTrue="1" operator="equal">
      <formula>-1</formula>
    </cfRule>
  </conditionalFormatting>
  <conditionalFormatting sqref="AP27">
    <cfRule type="cellIs" dxfId="26227" priority="164044" stopIfTrue="1" operator="lessThan">
      <formula>0.5</formula>
    </cfRule>
  </conditionalFormatting>
  <conditionalFormatting sqref="AP27">
    <cfRule type="cellIs" dxfId="26226" priority="164045" stopIfTrue="1" operator="greaterThanOrEqual">
      <formula>0.5</formula>
    </cfRule>
  </conditionalFormatting>
  <conditionalFormatting sqref="AP28">
    <cfRule type="cellIs" dxfId="26225" priority="164046" stopIfTrue="1" operator="equal">
      <formula>-1</formula>
    </cfRule>
  </conditionalFormatting>
  <conditionalFormatting sqref="AP28">
    <cfRule type="cellIs" dxfId="26224" priority="164047" stopIfTrue="1" operator="lessThan">
      <formula>0.5</formula>
    </cfRule>
  </conditionalFormatting>
  <conditionalFormatting sqref="AP28">
    <cfRule type="cellIs" dxfId="26223" priority="164048" stopIfTrue="1" operator="greaterThanOrEqual">
      <formula>0.5</formula>
    </cfRule>
  </conditionalFormatting>
  <conditionalFormatting sqref="AP29">
    <cfRule type="cellIs" dxfId="26222" priority="164049" stopIfTrue="1" operator="equal">
      <formula>-1</formula>
    </cfRule>
  </conditionalFormatting>
  <conditionalFormatting sqref="AP29">
    <cfRule type="cellIs" dxfId="26221" priority="164050" stopIfTrue="1" operator="lessThan">
      <formula>0.5</formula>
    </cfRule>
  </conditionalFormatting>
  <conditionalFormatting sqref="AP29">
    <cfRule type="cellIs" dxfId="26220" priority="164051" stopIfTrue="1" operator="greaterThanOrEqual">
      <formula>0.5</formula>
    </cfRule>
  </conditionalFormatting>
  <conditionalFormatting sqref="AP30">
    <cfRule type="cellIs" dxfId="26219" priority="164052" stopIfTrue="1" operator="equal">
      <formula>-1</formula>
    </cfRule>
  </conditionalFormatting>
  <conditionalFormatting sqref="AP30">
    <cfRule type="cellIs" dxfId="26218" priority="164053" stopIfTrue="1" operator="lessThan">
      <formula>0.5</formula>
    </cfRule>
  </conditionalFormatting>
  <conditionalFormatting sqref="AP30">
    <cfRule type="cellIs" dxfId="26217" priority="164054" stopIfTrue="1" operator="greaterThanOrEqual">
      <formula>0.5</formula>
    </cfRule>
  </conditionalFormatting>
  <conditionalFormatting sqref="AP31">
    <cfRule type="cellIs" dxfId="26216" priority="164055" stopIfTrue="1" operator="equal">
      <formula>-1</formula>
    </cfRule>
  </conditionalFormatting>
  <conditionalFormatting sqref="AP31">
    <cfRule type="cellIs" dxfId="26215" priority="164056" stopIfTrue="1" operator="lessThan">
      <formula>0.5</formula>
    </cfRule>
  </conditionalFormatting>
  <conditionalFormatting sqref="AP31">
    <cfRule type="cellIs" dxfId="26214" priority="164057" stopIfTrue="1" operator="greaterThanOrEqual">
      <formula>0.5</formula>
    </cfRule>
  </conditionalFormatting>
  <conditionalFormatting sqref="AP32">
    <cfRule type="cellIs" dxfId="26213" priority="164058" stopIfTrue="1" operator="equal">
      <formula>-1</formula>
    </cfRule>
  </conditionalFormatting>
  <conditionalFormatting sqref="AP32">
    <cfRule type="cellIs" dxfId="26212" priority="164059" stopIfTrue="1" operator="lessThan">
      <formula>0.5</formula>
    </cfRule>
  </conditionalFormatting>
  <conditionalFormatting sqref="AP32">
    <cfRule type="cellIs" dxfId="26211" priority="164060" stopIfTrue="1" operator="greaterThanOrEqual">
      <formula>0.5</formula>
    </cfRule>
  </conditionalFormatting>
  <conditionalFormatting sqref="AP33">
    <cfRule type="cellIs" dxfId="26210" priority="164061" stopIfTrue="1" operator="equal">
      <formula>-1</formula>
    </cfRule>
  </conditionalFormatting>
  <conditionalFormatting sqref="AP33">
    <cfRule type="cellIs" dxfId="26209" priority="164062" stopIfTrue="1" operator="lessThan">
      <formula>0.5</formula>
    </cfRule>
  </conditionalFormatting>
  <conditionalFormatting sqref="AP33">
    <cfRule type="cellIs" dxfId="26208" priority="164063" stopIfTrue="1" operator="greaterThanOrEqual">
      <formula>0.5</formula>
    </cfRule>
  </conditionalFormatting>
  <conditionalFormatting sqref="AP34">
    <cfRule type="cellIs" dxfId="26207" priority="164064" stopIfTrue="1" operator="equal">
      <formula>-1</formula>
    </cfRule>
  </conditionalFormatting>
  <conditionalFormatting sqref="AP34">
    <cfRule type="cellIs" dxfId="26206" priority="164065" stopIfTrue="1" operator="lessThan">
      <formula>0.5</formula>
    </cfRule>
  </conditionalFormatting>
  <conditionalFormatting sqref="AP34">
    <cfRule type="cellIs" dxfId="26205" priority="164066" stopIfTrue="1" operator="greaterThanOrEqual">
      <formula>0.5</formula>
    </cfRule>
  </conditionalFormatting>
  <conditionalFormatting sqref="AP35">
    <cfRule type="cellIs" dxfId="26204" priority="164067" stopIfTrue="1" operator="equal">
      <formula>-1</formula>
    </cfRule>
  </conditionalFormatting>
  <conditionalFormatting sqref="AP35">
    <cfRule type="cellIs" dxfId="26203" priority="164068" stopIfTrue="1" operator="lessThan">
      <formula>0.5</formula>
    </cfRule>
  </conditionalFormatting>
  <conditionalFormatting sqref="AP35">
    <cfRule type="cellIs" dxfId="26202" priority="164069" stopIfTrue="1" operator="greaterThanOrEqual">
      <formula>0.5</formula>
    </cfRule>
  </conditionalFormatting>
  <conditionalFormatting sqref="AP36">
    <cfRule type="cellIs" dxfId="26201" priority="164070" stopIfTrue="1" operator="equal">
      <formula>-1</formula>
    </cfRule>
  </conditionalFormatting>
  <conditionalFormatting sqref="AP36">
    <cfRule type="cellIs" dxfId="26200" priority="164071" stopIfTrue="1" operator="lessThan">
      <formula>0.5</formula>
    </cfRule>
  </conditionalFormatting>
  <conditionalFormatting sqref="AP36">
    <cfRule type="cellIs" dxfId="26199" priority="164072" stopIfTrue="1" operator="greaterThanOrEqual">
      <formula>0.5</formula>
    </cfRule>
  </conditionalFormatting>
  <conditionalFormatting sqref="AP37">
    <cfRule type="cellIs" dxfId="26198" priority="164073" stopIfTrue="1" operator="equal">
      <formula>-1</formula>
    </cfRule>
  </conditionalFormatting>
  <conditionalFormatting sqref="AP37">
    <cfRule type="cellIs" dxfId="26197" priority="164074" stopIfTrue="1" operator="lessThan">
      <formula>0.5</formula>
    </cfRule>
  </conditionalFormatting>
  <conditionalFormatting sqref="AP37">
    <cfRule type="cellIs" dxfId="26196" priority="164075" stopIfTrue="1" operator="greaterThanOrEqual">
      <formula>0.5</formula>
    </cfRule>
  </conditionalFormatting>
  <conditionalFormatting sqref="AR17">
    <cfRule type="cellIs" dxfId="26195" priority="164076" stopIfTrue="1" operator="equal">
      <formula>-1</formula>
    </cfRule>
  </conditionalFormatting>
  <conditionalFormatting sqref="AR17">
    <cfRule type="cellIs" dxfId="26194" priority="164077" stopIfTrue="1" operator="lessThan">
      <formula>0.5</formula>
    </cfRule>
  </conditionalFormatting>
  <conditionalFormatting sqref="AR17">
    <cfRule type="cellIs" dxfId="26193" priority="164078" stopIfTrue="1" operator="greaterThanOrEqual">
      <formula>0.5</formula>
    </cfRule>
  </conditionalFormatting>
  <conditionalFormatting sqref="AR18">
    <cfRule type="cellIs" dxfId="26192" priority="164079" stopIfTrue="1" operator="equal">
      <formula>-1</formula>
    </cfRule>
  </conditionalFormatting>
  <conditionalFormatting sqref="AR18">
    <cfRule type="cellIs" dxfId="26191" priority="164080" stopIfTrue="1" operator="lessThan">
      <formula>0.5</formula>
    </cfRule>
  </conditionalFormatting>
  <conditionalFormatting sqref="AR18">
    <cfRule type="cellIs" dxfId="26190" priority="164081" stopIfTrue="1" operator="greaterThanOrEqual">
      <formula>0.5</formula>
    </cfRule>
  </conditionalFormatting>
  <conditionalFormatting sqref="AR19">
    <cfRule type="cellIs" dxfId="26189" priority="164082" stopIfTrue="1" operator="equal">
      <formula>-1</formula>
    </cfRule>
  </conditionalFormatting>
  <conditionalFormatting sqref="AR19">
    <cfRule type="cellIs" dxfId="26188" priority="164083" stopIfTrue="1" operator="lessThan">
      <formula>0.5</formula>
    </cfRule>
  </conditionalFormatting>
  <conditionalFormatting sqref="AR19">
    <cfRule type="cellIs" dxfId="26187" priority="164084" stopIfTrue="1" operator="greaterThanOrEqual">
      <formula>0.5</formula>
    </cfRule>
  </conditionalFormatting>
  <conditionalFormatting sqref="AR20">
    <cfRule type="cellIs" dxfId="26186" priority="164085" stopIfTrue="1" operator="equal">
      <formula>-1</formula>
    </cfRule>
  </conditionalFormatting>
  <conditionalFormatting sqref="AR20">
    <cfRule type="cellIs" dxfId="26185" priority="164086" stopIfTrue="1" operator="lessThan">
      <formula>0.5</formula>
    </cfRule>
  </conditionalFormatting>
  <conditionalFormatting sqref="AR20">
    <cfRule type="cellIs" dxfId="26184" priority="164087" stopIfTrue="1" operator="greaterThanOrEqual">
      <formula>0.5</formula>
    </cfRule>
  </conditionalFormatting>
  <conditionalFormatting sqref="AR21">
    <cfRule type="cellIs" dxfId="26183" priority="164088" stopIfTrue="1" operator="equal">
      <formula>-1</formula>
    </cfRule>
  </conditionalFormatting>
  <conditionalFormatting sqref="AR21">
    <cfRule type="cellIs" dxfId="26182" priority="164089" stopIfTrue="1" operator="lessThan">
      <formula>0.5</formula>
    </cfRule>
  </conditionalFormatting>
  <conditionalFormatting sqref="AR21">
    <cfRule type="cellIs" dxfId="26181" priority="164090" stopIfTrue="1" operator="greaterThanOrEqual">
      <formula>0.5</formula>
    </cfRule>
  </conditionalFormatting>
  <conditionalFormatting sqref="AR22">
    <cfRule type="cellIs" dxfId="26180" priority="164091" stopIfTrue="1" operator="equal">
      <formula>-1</formula>
    </cfRule>
  </conditionalFormatting>
  <conditionalFormatting sqref="AR22">
    <cfRule type="cellIs" dxfId="26179" priority="164092" stopIfTrue="1" operator="lessThan">
      <formula>0.5</formula>
    </cfRule>
  </conditionalFormatting>
  <conditionalFormatting sqref="AR22">
    <cfRule type="cellIs" dxfId="26178" priority="164093" stopIfTrue="1" operator="greaterThanOrEqual">
      <formula>0.5</formula>
    </cfRule>
  </conditionalFormatting>
  <conditionalFormatting sqref="AR23">
    <cfRule type="cellIs" dxfId="26177" priority="164094" stopIfTrue="1" operator="equal">
      <formula>-1</formula>
    </cfRule>
  </conditionalFormatting>
  <conditionalFormatting sqref="AR23">
    <cfRule type="cellIs" dxfId="26176" priority="164095" stopIfTrue="1" operator="lessThan">
      <formula>0.5</formula>
    </cfRule>
  </conditionalFormatting>
  <conditionalFormatting sqref="AR23">
    <cfRule type="cellIs" dxfId="26175" priority="164096" stopIfTrue="1" operator="greaterThanOrEqual">
      <formula>0.5</formula>
    </cfRule>
  </conditionalFormatting>
  <conditionalFormatting sqref="AR24">
    <cfRule type="cellIs" dxfId="26174" priority="164097" stopIfTrue="1" operator="equal">
      <formula>-1</formula>
    </cfRule>
  </conditionalFormatting>
  <conditionalFormatting sqref="AR24">
    <cfRule type="cellIs" dxfId="26173" priority="164098" stopIfTrue="1" operator="lessThan">
      <formula>0.5</formula>
    </cfRule>
  </conditionalFormatting>
  <conditionalFormatting sqref="AR24">
    <cfRule type="cellIs" dxfId="26172" priority="164099" stopIfTrue="1" operator="greaterThanOrEqual">
      <formula>0.5</formula>
    </cfRule>
  </conditionalFormatting>
  <conditionalFormatting sqref="AR25">
    <cfRule type="cellIs" dxfId="26171" priority="164100" stopIfTrue="1" operator="equal">
      <formula>-1</formula>
    </cfRule>
  </conditionalFormatting>
  <conditionalFormatting sqref="AR25">
    <cfRule type="cellIs" dxfId="26170" priority="164101" stopIfTrue="1" operator="lessThan">
      <formula>0.5</formula>
    </cfRule>
  </conditionalFormatting>
  <conditionalFormatting sqref="AR25">
    <cfRule type="cellIs" dxfId="26169" priority="164102" stopIfTrue="1" operator="greaterThanOrEqual">
      <formula>0.5</formula>
    </cfRule>
  </conditionalFormatting>
  <conditionalFormatting sqref="AR26">
    <cfRule type="cellIs" dxfId="26168" priority="164103" stopIfTrue="1" operator="equal">
      <formula>-1</formula>
    </cfRule>
  </conditionalFormatting>
  <conditionalFormatting sqref="AR26">
    <cfRule type="cellIs" dxfId="26167" priority="164104" stopIfTrue="1" operator="lessThan">
      <formula>0.5</formula>
    </cfRule>
  </conditionalFormatting>
  <conditionalFormatting sqref="AR26">
    <cfRule type="cellIs" dxfId="26166" priority="164105" stopIfTrue="1" operator="greaterThanOrEqual">
      <formula>0.5</formula>
    </cfRule>
  </conditionalFormatting>
  <conditionalFormatting sqref="AR27">
    <cfRule type="cellIs" dxfId="26165" priority="164106" stopIfTrue="1" operator="equal">
      <formula>-1</formula>
    </cfRule>
  </conditionalFormatting>
  <conditionalFormatting sqref="AR27">
    <cfRule type="cellIs" dxfId="26164" priority="164107" stopIfTrue="1" operator="lessThan">
      <formula>0.5</formula>
    </cfRule>
  </conditionalFormatting>
  <conditionalFormatting sqref="AR27">
    <cfRule type="cellIs" dxfId="26163" priority="164108" stopIfTrue="1" operator="greaterThanOrEqual">
      <formula>0.5</formula>
    </cfRule>
  </conditionalFormatting>
  <conditionalFormatting sqref="AR28">
    <cfRule type="cellIs" dxfId="26162" priority="164109" stopIfTrue="1" operator="equal">
      <formula>-1</formula>
    </cfRule>
  </conditionalFormatting>
  <conditionalFormatting sqref="AR28">
    <cfRule type="cellIs" dxfId="26161" priority="164110" stopIfTrue="1" operator="lessThan">
      <formula>0.5</formula>
    </cfRule>
  </conditionalFormatting>
  <conditionalFormatting sqref="AR28">
    <cfRule type="cellIs" dxfId="26160" priority="164111" stopIfTrue="1" operator="greaterThanOrEqual">
      <formula>0.5</formula>
    </cfRule>
  </conditionalFormatting>
  <conditionalFormatting sqref="AR29">
    <cfRule type="cellIs" dxfId="26159" priority="164112" stopIfTrue="1" operator="equal">
      <formula>-1</formula>
    </cfRule>
  </conditionalFormatting>
  <conditionalFormatting sqref="AR29">
    <cfRule type="cellIs" dxfId="26158" priority="164113" stopIfTrue="1" operator="lessThan">
      <formula>0.5</formula>
    </cfRule>
  </conditionalFormatting>
  <conditionalFormatting sqref="AR29">
    <cfRule type="cellIs" dxfId="26157" priority="164114" stopIfTrue="1" operator="greaterThanOrEqual">
      <formula>0.5</formula>
    </cfRule>
  </conditionalFormatting>
  <conditionalFormatting sqref="AR30">
    <cfRule type="cellIs" dxfId="26156" priority="164115" stopIfTrue="1" operator="equal">
      <formula>-1</formula>
    </cfRule>
  </conditionalFormatting>
  <conditionalFormatting sqref="AR30">
    <cfRule type="cellIs" dxfId="26155" priority="164116" stopIfTrue="1" operator="lessThan">
      <formula>0.5</formula>
    </cfRule>
  </conditionalFormatting>
  <conditionalFormatting sqref="AR30">
    <cfRule type="cellIs" dxfId="26154" priority="164117" stopIfTrue="1" operator="greaterThanOrEqual">
      <formula>0.5</formula>
    </cfRule>
  </conditionalFormatting>
  <conditionalFormatting sqref="AR31">
    <cfRule type="cellIs" dxfId="26153" priority="164118" stopIfTrue="1" operator="equal">
      <formula>-1</formula>
    </cfRule>
  </conditionalFormatting>
  <conditionalFormatting sqref="AR31">
    <cfRule type="cellIs" dxfId="26152" priority="164119" stopIfTrue="1" operator="lessThan">
      <formula>0.5</formula>
    </cfRule>
  </conditionalFormatting>
  <conditionalFormatting sqref="AR31">
    <cfRule type="cellIs" dxfId="26151" priority="164120" stopIfTrue="1" operator="greaterThanOrEqual">
      <formula>0.5</formula>
    </cfRule>
  </conditionalFormatting>
  <conditionalFormatting sqref="AR32">
    <cfRule type="cellIs" dxfId="26150" priority="164121" stopIfTrue="1" operator="equal">
      <formula>-1</formula>
    </cfRule>
  </conditionalFormatting>
  <conditionalFormatting sqref="AR32">
    <cfRule type="cellIs" dxfId="26149" priority="164122" stopIfTrue="1" operator="lessThan">
      <formula>0.5</formula>
    </cfRule>
  </conditionalFormatting>
  <conditionalFormatting sqref="AR32">
    <cfRule type="cellIs" dxfId="26148" priority="164123" stopIfTrue="1" operator="greaterThanOrEqual">
      <formula>0.5</formula>
    </cfRule>
  </conditionalFormatting>
  <conditionalFormatting sqref="AR33">
    <cfRule type="cellIs" dxfId="26147" priority="164124" stopIfTrue="1" operator="equal">
      <formula>-1</formula>
    </cfRule>
  </conditionalFormatting>
  <conditionalFormatting sqref="AR33">
    <cfRule type="cellIs" dxfId="26146" priority="164125" stopIfTrue="1" operator="lessThan">
      <formula>0.5</formula>
    </cfRule>
  </conditionalFormatting>
  <conditionalFormatting sqref="AR33">
    <cfRule type="cellIs" dxfId="26145" priority="164126" stopIfTrue="1" operator="greaterThanOrEqual">
      <formula>0.5</formula>
    </cfRule>
  </conditionalFormatting>
  <conditionalFormatting sqref="AR34">
    <cfRule type="cellIs" dxfId="26144" priority="164127" stopIfTrue="1" operator="equal">
      <formula>-1</formula>
    </cfRule>
  </conditionalFormatting>
  <conditionalFormatting sqref="AR34">
    <cfRule type="cellIs" dxfId="26143" priority="164128" stopIfTrue="1" operator="lessThan">
      <formula>0.5</formula>
    </cfRule>
  </conditionalFormatting>
  <conditionalFormatting sqref="AR34">
    <cfRule type="cellIs" dxfId="26142" priority="164129" stopIfTrue="1" operator="greaterThanOrEqual">
      <formula>0.5</formula>
    </cfRule>
  </conditionalFormatting>
  <conditionalFormatting sqref="AR35">
    <cfRule type="cellIs" dxfId="26141" priority="164130" stopIfTrue="1" operator="equal">
      <formula>-1</formula>
    </cfRule>
  </conditionalFormatting>
  <conditionalFormatting sqref="AR35">
    <cfRule type="cellIs" dxfId="26140" priority="164131" stopIfTrue="1" operator="lessThan">
      <formula>0.5</formula>
    </cfRule>
  </conditionalFormatting>
  <conditionalFormatting sqref="AR35">
    <cfRule type="cellIs" dxfId="26139" priority="164132" stopIfTrue="1" operator="greaterThanOrEqual">
      <formula>0.5</formula>
    </cfRule>
  </conditionalFormatting>
  <conditionalFormatting sqref="AR36">
    <cfRule type="cellIs" dxfId="26138" priority="164133" stopIfTrue="1" operator="equal">
      <formula>-1</formula>
    </cfRule>
  </conditionalFormatting>
  <conditionalFormatting sqref="AR36">
    <cfRule type="cellIs" dxfId="26137" priority="164134" stopIfTrue="1" operator="lessThan">
      <formula>0.5</formula>
    </cfRule>
  </conditionalFormatting>
  <conditionalFormatting sqref="AR36">
    <cfRule type="cellIs" dxfId="26136" priority="164135" stopIfTrue="1" operator="greaterThanOrEqual">
      <formula>0.5</formula>
    </cfRule>
  </conditionalFormatting>
  <conditionalFormatting sqref="AR37">
    <cfRule type="cellIs" dxfId="26135" priority="164136" stopIfTrue="1" operator="equal">
      <formula>-1</formula>
    </cfRule>
  </conditionalFormatting>
  <conditionalFormatting sqref="AR37">
    <cfRule type="cellIs" dxfId="26134" priority="164137" stopIfTrue="1" operator="lessThan">
      <formula>0.5</formula>
    </cfRule>
  </conditionalFormatting>
  <conditionalFormatting sqref="AR37">
    <cfRule type="cellIs" dxfId="26133" priority="164138" stopIfTrue="1" operator="greaterThanOrEqual">
      <formula>0.5</formula>
    </cfRule>
  </conditionalFormatting>
  <conditionalFormatting sqref="AT17">
    <cfRule type="cellIs" dxfId="26132" priority="164139" stopIfTrue="1" operator="equal">
      <formula>-1</formula>
    </cfRule>
  </conditionalFormatting>
  <conditionalFormatting sqref="AT17">
    <cfRule type="cellIs" dxfId="26131" priority="164140" stopIfTrue="1" operator="lessThan">
      <formula>0.5</formula>
    </cfRule>
  </conditionalFormatting>
  <conditionalFormatting sqref="AT17">
    <cfRule type="cellIs" dxfId="26130" priority="164141" stopIfTrue="1" operator="greaterThanOrEqual">
      <formula>0.5</formula>
    </cfRule>
  </conditionalFormatting>
  <conditionalFormatting sqref="AT18">
    <cfRule type="cellIs" dxfId="26129" priority="164142" stopIfTrue="1" operator="equal">
      <formula>-1</formula>
    </cfRule>
  </conditionalFormatting>
  <conditionalFormatting sqref="AT18">
    <cfRule type="cellIs" dxfId="26128" priority="164143" stopIfTrue="1" operator="lessThan">
      <formula>0.5</formula>
    </cfRule>
  </conditionalFormatting>
  <conditionalFormatting sqref="AT18">
    <cfRule type="cellIs" dxfId="26127" priority="164144" stopIfTrue="1" operator="greaterThanOrEqual">
      <formula>0.5</formula>
    </cfRule>
  </conditionalFormatting>
  <conditionalFormatting sqref="AT19">
    <cfRule type="cellIs" dxfId="26126" priority="164145" stopIfTrue="1" operator="equal">
      <formula>-1</formula>
    </cfRule>
  </conditionalFormatting>
  <conditionalFormatting sqref="AT19">
    <cfRule type="cellIs" dxfId="26125" priority="164146" stopIfTrue="1" operator="lessThan">
      <formula>0.5</formula>
    </cfRule>
  </conditionalFormatting>
  <conditionalFormatting sqref="AT19">
    <cfRule type="cellIs" dxfId="26124" priority="164147" stopIfTrue="1" operator="greaterThanOrEqual">
      <formula>0.5</formula>
    </cfRule>
  </conditionalFormatting>
  <conditionalFormatting sqref="AT20">
    <cfRule type="cellIs" dxfId="26123" priority="164148" stopIfTrue="1" operator="equal">
      <formula>-1</formula>
    </cfRule>
  </conditionalFormatting>
  <conditionalFormatting sqref="AT20">
    <cfRule type="cellIs" dxfId="26122" priority="164149" stopIfTrue="1" operator="lessThan">
      <formula>0.5</formula>
    </cfRule>
  </conditionalFormatting>
  <conditionalFormatting sqref="AT20">
    <cfRule type="cellIs" dxfId="26121" priority="164150" stopIfTrue="1" operator="greaterThanOrEqual">
      <formula>0.5</formula>
    </cfRule>
  </conditionalFormatting>
  <conditionalFormatting sqref="AT21">
    <cfRule type="cellIs" dxfId="26120" priority="164151" stopIfTrue="1" operator="equal">
      <formula>-1</formula>
    </cfRule>
  </conditionalFormatting>
  <conditionalFormatting sqref="AT21">
    <cfRule type="cellIs" dxfId="26119" priority="164152" stopIfTrue="1" operator="lessThan">
      <formula>0.5</formula>
    </cfRule>
  </conditionalFormatting>
  <conditionalFormatting sqref="AT21">
    <cfRule type="cellIs" dxfId="26118" priority="164153" stopIfTrue="1" operator="greaterThanOrEqual">
      <formula>0.5</formula>
    </cfRule>
  </conditionalFormatting>
  <conditionalFormatting sqref="AT22">
    <cfRule type="cellIs" dxfId="26117" priority="164154" stopIfTrue="1" operator="equal">
      <formula>-1</formula>
    </cfRule>
  </conditionalFormatting>
  <conditionalFormatting sqref="AT22">
    <cfRule type="cellIs" dxfId="26116" priority="164155" stopIfTrue="1" operator="lessThan">
      <formula>0.5</formula>
    </cfRule>
  </conditionalFormatting>
  <conditionalFormatting sqref="AT22">
    <cfRule type="cellIs" dxfId="26115" priority="164156" stopIfTrue="1" operator="greaterThanOrEqual">
      <formula>0.5</formula>
    </cfRule>
  </conditionalFormatting>
  <conditionalFormatting sqref="AT23">
    <cfRule type="cellIs" dxfId="26114" priority="164157" stopIfTrue="1" operator="equal">
      <formula>-1</formula>
    </cfRule>
  </conditionalFormatting>
  <conditionalFormatting sqref="AT23">
    <cfRule type="cellIs" dxfId="26113" priority="164158" stopIfTrue="1" operator="lessThan">
      <formula>0.5</formula>
    </cfRule>
  </conditionalFormatting>
  <conditionalFormatting sqref="AT23">
    <cfRule type="cellIs" dxfId="26112" priority="164159" stopIfTrue="1" operator="greaterThanOrEqual">
      <formula>0.5</formula>
    </cfRule>
  </conditionalFormatting>
  <conditionalFormatting sqref="AT24">
    <cfRule type="cellIs" dxfId="26111" priority="164160" stopIfTrue="1" operator="equal">
      <formula>-1</formula>
    </cfRule>
  </conditionalFormatting>
  <conditionalFormatting sqref="AT24">
    <cfRule type="cellIs" dxfId="26110" priority="164161" stopIfTrue="1" operator="lessThan">
      <formula>0.5</formula>
    </cfRule>
  </conditionalFormatting>
  <conditionalFormatting sqref="AT24">
    <cfRule type="cellIs" dxfId="26109" priority="164162" stopIfTrue="1" operator="greaterThanOrEqual">
      <formula>0.5</formula>
    </cfRule>
  </conditionalFormatting>
  <conditionalFormatting sqref="AT25">
    <cfRule type="cellIs" dxfId="26108" priority="164163" stopIfTrue="1" operator="equal">
      <formula>-1</formula>
    </cfRule>
  </conditionalFormatting>
  <conditionalFormatting sqref="AT25">
    <cfRule type="cellIs" dxfId="26107" priority="164164" stopIfTrue="1" operator="lessThan">
      <formula>0.5</formula>
    </cfRule>
  </conditionalFormatting>
  <conditionalFormatting sqref="AT25">
    <cfRule type="cellIs" dxfId="26106" priority="164165" stopIfTrue="1" operator="greaterThanOrEqual">
      <formula>0.5</formula>
    </cfRule>
  </conditionalFormatting>
  <conditionalFormatting sqref="AT26">
    <cfRule type="cellIs" dxfId="26105" priority="164166" stopIfTrue="1" operator="equal">
      <formula>-1</formula>
    </cfRule>
  </conditionalFormatting>
  <conditionalFormatting sqref="AT26">
    <cfRule type="cellIs" dxfId="26104" priority="164167" stopIfTrue="1" operator="lessThan">
      <formula>0.5</formula>
    </cfRule>
  </conditionalFormatting>
  <conditionalFormatting sqref="AT26">
    <cfRule type="cellIs" dxfId="26103" priority="164168" stopIfTrue="1" operator="greaterThanOrEqual">
      <formula>0.5</formula>
    </cfRule>
  </conditionalFormatting>
  <conditionalFormatting sqref="AT27">
    <cfRule type="cellIs" dxfId="26102" priority="164169" stopIfTrue="1" operator="equal">
      <formula>-1</formula>
    </cfRule>
  </conditionalFormatting>
  <conditionalFormatting sqref="AT27">
    <cfRule type="cellIs" dxfId="26101" priority="164170" stopIfTrue="1" operator="lessThan">
      <formula>0.5</formula>
    </cfRule>
  </conditionalFormatting>
  <conditionalFormatting sqref="AT27">
    <cfRule type="cellIs" dxfId="26100" priority="164171" stopIfTrue="1" operator="greaterThanOrEqual">
      <formula>0.5</formula>
    </cfRule>
  </conditionalFormatting>
  <conditionalFormatting sqref="AT28">
    <cfRule type="cellIs" dxfId="26099" priority="164172" stopIfTrue="1" operator="equal">
      <formula>-1</formula>
    </cfRule>
  </conditionalFormatting>
  <conditionalFormatting sqref="AT28">
    <cfRule type="cellIs" dxfId="26098" priority="164173" stopIfTrue="1" operator="lessThan">
      <formula>0.5</formula>
    </cfRule>
  </conditionalFormatting>
  <conditionalFormatting sqref="AT28">
    <cfRule type="cellIs" dxfId="26097" priority="164174" stopIfTrue="1" operator="greaterThanOrEqual">
      <formula>0.5</formula>
    </cfRule>
  </conditionalFormatting>
  <conditionalFormatting sqref="AT29">
    <cfRule type="cellIs" dxfId="26096" priority="164175" stopIfTrue="1" operator="equal">
      <formula>-1</formula>
    </cfRule>
  </conditionalFormatting>
  <conditionalFormatting sqref="AT29">
    <cfRule type="cellIs" dxfId="26095" priority="164176" stopIfTrue="1" operator="lessThan">
      <formula>0.5</formula>
    </cfRule>
  </conditionalFormatting>
  <conditionalFormatting sqref="AT29">
    <cfRule type="cellIs" dxfId="26094" priority="164177" stopIfTrue="1" operator="greaterThanOrEqual">
      <formula>0.5</formula>
    </cfRule>
  </conditionalFormatting>
  <conditionalFormatting sqref="AT30">
    <cfRule type="cellIs" dxfId="26093" priority="164178" stopIfTrue="1" operator="equal">
      <formula>-1</formula>
    </cfRule>
  </conditionalFormatting>
  <conditionalFormatting sqref="AT30">
    <cfRule type="cellIs" dxfId="26092" priority="164179" stopIfTrue="1" operator="lessThan">
      <formula>0.5</formula>
    </cfRule>
  </conditionalFormatting>
  <conditionalFormatting sqref="AT30">
    <cfRule type="cellIs" dxfId="26091" priority="164180" stopIfTrue="1" operator="greaterThanOrEqual">
      <formula>0.5</formula>
    </cfRule>
  </conditionalFormatting>
  <conditionalFormatting sqref="AT31">
    <cfRule type="cellIs" dxfId="26090" priority="164181" stopIfTrue="1" operator="equal">
      <formula>-1</formula>
    </cfRule>
  </conditionalFormatting>
  <conditionalFormatting sqref="AT31">
    <cfRule type="cellIs" dxfId="26089" priority="164182" stopIfTrue="1" operator="lessThan">
      <formula>0.5</formula>
    </cfRule>
  </conditionalFormatting>
  <conditionalFormatting sqref="AT31">
    <cfRule type="cellIs" dxfId="26088" priority="164183" stopIfTrue="1" operator="greaterThanOrEqual">
      <formula>0.5</formula>
    </cfRule>
  </conditionalFormatting>
  <conditionalFormatting sqref="AT32">
    <cfRule type="cellIs" dxfId="26087" priority="164184" stopIfTrue="1" operator="equal">
      <formula>-1</formula>
    </cfRule>
  </conditionalFormatting>
  <conditionalFormatting sqref="AT32">
    <cfRule type="cellIs" dxfId="26086" priority="164185" stopIfTrue="1" operator="lessThan">
      <formula>0.5</formula>
    </cfRule>
  </conditionalFormatting>
  <conditionalFormatting sqref="AT32">
    <cfRule type="cellIs" dxfId="26085" priority="164186" stopIfTrue="1" operator="greaterThanOrEqual">
      <formula>0.5</formula>
    </cfRule>
  </conditionalFormatting>
  <conditionalFormatting sqref="AT33">
    <cfRule type="cellIs" dxfId="26084" priority="164187" stopIfTrue="1" operator="equal">
      <formula>-1</formula>
    </cfRule>
  </conditionalFormatting>
  <conditionalFormatting sqref="AT33">
    <cfRule type="cellIs" dxfId="26083" priority="164188" stopIfTrue="1" operator="lessThan">
      <formula>0.5</formula>
    </cfRule>
  </conditionalFormatting>
  <conditionalFormatting sqref="AT33">
    <cfRule type="cellIs" dxfId="26082" priority="164189" stopIfTrue="1" operator="greaterThanOrEqual">
      <formula>0.5</formula>
    </cfRule>
  </conditionalFormatting>
  <conditionalFormatting sqref="AT34">
    <cfRule type="cellIs" dxfId="26081" priority="164190" stopIfTrue="1" operator="equal">
      <formula>-1</formula>
    </cfRule>
  </conditionalFormatting>
  <conditionalFormatting sqref="AT34">
    <cfRule type="cellIs" dxfId="26080" priority="164191" stopIfTrue="1" operator="lessThan">
      <formula>0.5</formula>
    </cfRule>
  </conditionalFormatting>
  <conditionalFormatting sqref="AT34">
    <cfRule type="cellIs" dxfId="26079" priority="164192" stopIfTrue="1" operator="greaterThanOrEqual">
      <formula>0.5</formula>
    </cfRule>
  </conditionalFormatting>
  <conditionalFormatting sqref="AT35">
    <cfRule type="cellIs" dxfId="26078" priority="164193" stopIfTrue="1" operator="equal">
      <formula>-1</formula>
    </cfRule>
  </conditionalFormatting>
  <conditionalFormatting sqref="AT35">
    <cfRule type="cellIs" dxfId="26077" priority="164194" stopIfTrue="1" operator="lessThan">
      <formula>0.5</formula>
    </cfRule>
  </conditionalFormatting>
  <conditionalFormatting sqref="AT35">
    <cfRule type="cellIs" dxfId="26076" priority="164195" stopIfTrue="1" operator="greaterThanOrEqual">
      <formula>0.5</formula>
    </cfRule>
  </conditionalFormatting>
  <conditionalFormatting sqref="AT36">
    <cfRule type="cellIs" dxfId="26075" priority="164196" stopIfTrue="1" operator="equal">
      <formula>-1</formula>
    </cfRule>
  </conditionalFormatting>
  <conditionalFormatting sqref="AT36">
    <cfRule type="cellIs" dxfId="26074" priority="164197" stopIfTrue="1" operator="lessThan">
      <formula>0.5</formula>
    </cfRule>
  </conditionalFormatting>
  <conditionalFormatting sqref="AT36">
    <cfRule type="cellIs" dxfId="26073" priority="164198" stopIfTrue="1" operator="greaterThanOrEqual">
      <formula>0.5</formula>
    </cfRule>
  </conditionalFormatting>
  <conditionalFormatting sqref="AT37">
    <cfRule type="cellIs" dxfId="26072" priority="164199" stopIfTrue="1" operator="equal">
      <formula>-1</formula>
    </cfRule>
  </conditionalFormatting>
  <conditionalFormatting sqref="AT37">
    <cfRule type="cellIs" dxfId="26071" priority="164200" stopIfTrue="1" operator="lessThan">
      <formula>0.5</formula>
    </cfRule>
  </conditionalFormatting>
  <conditionalFormatting sqref="AT37">
    <cfRule type="cellIs" dxfId="26070" priority="164201" stopIfTrue="1" operator="greaterThanOrEqual">
      <formula>0.5</formula>
    </cfRule>
  </conditionalFormatting>
  <conditionalFormatting sqref="AV17">
    <cfRule type="cellIs" dxfId="26069" priority="164202" stopIfTrue="1" operator="equal">
      <formula>-1</formula>
    </cfRule>
  </conditionalFormatting>
  <conditionalFormatting sqref="AV17">
    <cfRule type="cellIs" dxfId="26068" priority="164203" stopIfTrue="1" operator="lessThan">
      <formula>0.5</formula>
    </cfRule>
  </conditionalFormatting>
  <conditionalFormatting sqref="AV17">
    <cfRule type="cellIs" dxfId="26067" priority="164204" stopIfTrue="1" operator="greaterThanOrEqual">
      <formula>0.5</formula>
    </cfRule>
  </conditionalFormatting>
  <conditionalFormatting sqref="AV18">
    <cfRule type="cellIs" dxfId="26066" priority="164205" stopIfTrue="1" operator="equal">
      <formula>-1</formula>
    </cfRule>
  </conditionalFormatting>
  <conditionalFormatting sqref="AV18">
    <cfRule type="cellIs" dxfId="26065" priority="164206" stopIfTrue="1" operator="lessThan">
      <formula>0.5</formula>
    </cfRule>
  </conditionalFormatting>
  <conditionalFormatting sqref="AV18">
    <cfRule type="cellIs" dxfId="26064" priority="164207" stopIfTrue="1" operator="greaterThanOrEqual">
      <formula>0.5</formula>
    </cfRule>
  </conditionalFormatting>
  <conditionalFormatting sqref="AV19">
    <cfRule type="cellIs" dxfId="26063" priority="164208" stopIfTrue="1" operator="equal">
      <formula>-1</formula>
    </cfRule>
  </conditionalFormatting>
  <conditionalFormatting sqref="AV19">
    <cfRule type="cellIs" dxfId="26062" priority="164209" stopIfTrue="1" operator="lessThan">
      <formula>0.5</formula>
    </cfRule>
  </conditionalFormatting>
  <conditionalFormatting sqref="AV19">
    <cfRule type="cellIs" dxfId="26061" priority="164210" stopIfTrue="1" operator="greaterThanOrEqual">
      <formula>0.5</formula>
    </cfRule>
  </conditionalFormatting>
  <conditionalFormatting sqref="AV20">
    <cfRule type="cellIs" dxfId="26060" priority="164211" stopIfTrue="1" operator="equal">
      <formula>-1</formula>
    </cfRule>
  </conditionalFormatting>
  <conditionalFormatting sqref="AV20">
    <cfRule type="cellIs" dxfId="26059" priority="164212" stopIfTrue="1" operator="lessThan">
      <formula>0.5</formula>
    </cfRule>
  </conditionalFormatting>
  <conditionalFormatting sqref="AV20">
    <cfRule type="cellIs" dxfId="26058" priority="164213" stopIfTrue="1" operator="greaterThanOrEqual">
      <formula>0.5</formula>
    </cfRule>
  </conditionalFormatting>
  <conditionalFormatting sqref="AV21">
    <cfRule type="cellIs" dxfId="26057" priority="164214" stopIfTrue="1" operator="equal">
      <formula>-1</formula>
    </cfRule>
  </conditionalFormatting>
  <conditionalFormatting sqref="AV21">
    <cfRule type="cellIs" dxfId="26056" priority="164215" stopIfTrue="1" operator="lessThan">
      <formula>0.5</formula>
    </cfRule>
  </conditionalFormatting>
  <conditionalFormatting sqref="AV21">
    <cfRule type="cellIs" dxfId="26055" priority="164216" stopIfTrue="1" operator="greaterThanOrEqual">
      <formula>0.5</formula>
    </cfRule>
  </conditionalFormatting>
  <conditionalFormatting sqref="AV22">
    <cfRule type="cellIs" dxfId="26054" priority="164217" stopIfTrue="1" operator="equal">
      <formula>-1</formula>
    </cfRule>
  </conditionalFormatting>
  <conditionalFormatting sqref="AV22">
    <cfRule type="cellIs" dxfId="26053" priority="164218" stopIfTrue="1" operator="lessThan">
      <formula>0.5</formula>
    </cfRule>
  </conditionalFormatting>
  <conditionalFormatting sqref="AV22">
    <cfRule type="cellIs" dxfId="26052" priority="164219" stopIfTrue="1" operator="greaterThanOrEqual">
      <formula>0.5</formula>
    </cfRule>
  </conditionalFormatting>
  <conditionalFormatting sqref="AV23">
    <cfRule type="cellIs" dxfId="26051" priority="164220" stopIfTrue="1" operator="equal">
      <formula>-1</formula>
    </cfRule>
  </conditionalFormatting>
  <conditionalFormatting sqref="AV23">
    <cfRule type="cellIs" dxfId="26050" priority="164221" stopIfTrue="1" operator="lessThan">
      <formula>0.5</formula>
    </cfRule>
  </conditionalFormatting>
  <conditionalFormatting sqref="AV23">
    <cfRule type="cellIs" dxfId="26049" priority="164222" stopIfTrue="1" operator="greaterThanOrEqual">
      <formula>0.5</formula>
    </cfRule>
  </conditionalFormatting>
  <conditionalFormatting sqref="AV24">
    <cfRule type="cellIs" dxfId="26048" priority="164223" stopIfTrue="1" operator="equal">
      <formula>-1</formula>
    </cfRule>
  </conditionalFormatting>
  <conditionalFormatting sqref="AV24">
    <cfRule type="cellIs" dxfId="26047" priority="164224" stopIfTrue="1" operator="lessThan">
      <formula>0.5</formula>
    </cfRule>
  </conditionalFormatting>
  <conditionalFormatting sqref="AV24">
    <cfRule type="cellIs" dxfId="26046" priority="164225" stopIfTrue="1" operator="greaterThanOrEqual">
      <formula>0.5</formula>
    </cfRule>
  </conditionalFormatting>
  <conditionalFormatting sqref="AV25">
    <cfRule type="cellIs" dxfId="26045" priority="164226" stopIfTrue="1" operator="equal">
      <formula>-1</formula>
    </cfRule>
  </conditionalFormatting>
  <conditionalFormatting sqref="AV25">
    <cfRule type="cellIs" dxfId="26044" priority="164227" stopIfTrue="1" operator="lessThan">
      <formula>0.5</formula>
    </cfRule>
  </conditionalFormatting>
  <conditionalFormatting sqref="AV25">
    <cfRule type="cellIs" dxfId="26043" priority="164228" stopIfTrue="1" operator="greaterThanOrEqual">
      <formula>0.5</formula>
    </cfRule>
  </conditionalFormatting>
  <conditionalFormatting sqref="AV26">
    <cfRule type="cellIs" dxfId="26042" priority="164229" stopIfTrue="1" operator="equal">
      <formula>-1</formula>
    </cfRule>
  </conditionalFormatting>
  <conditionalFormatting sqref="AV26">
    <cfRule type="cellIs" dxfId="26041" priority="164230" stopIfTrue="1" operator="lessThan">
      <formula>0.5</formula>
    </cfRule>
  </conditionalFormatting>
  <conditionalFormatting sqref="AV26">
    <cfRule type="cellIs" dxfId="26040" priority="164231" stopIfTrue="1" operator="greaterThanOrEqual">
      <formula>0.5</formula>
    </cfRule>
  </conditionalFormatting>
  <conditionalFormatting sqref="AV27">
    <cfRule type="cellIs" dxfId="26039" priority="164232" stopIfTrue="1" operator="equal">
      <formula>-1</formula>
    </cfRule>
  </conditionalFormatting>
  <conditionalFormatting sqref="AV27">
    <cfRule type="cellIs" dxfId="26038" priority="164233" stopIfTrue="1" operator="lessThan">
      <formula>0.5</formula>
    </cfRule>
  </conditionalFormatting>
  <conditionalFormatting sqref="AV27">
    <cfRule type="cellIs" dxfId="26037" priority="164234" stopIfTrue="1" operator="greaterThanOrEqual">
      <formula>0.5</formula>
    </cfRule>
  </conditionalFormatting>
  <conditionalFormatting sqref="AV28">
    <cfRule type="cellIs" dxfId="26036" priority="164235" stopIfTrue="1" operator="equal">
      <formula>-1</formula>
    </cfRule>
  </conditionalFormatting>
  <conditionalFormatting sqref="AV28">
    <cfRule type="cellIs" dxfId="26035" priority="164236" stopIfTrue="1" operator="lessThan">
      <formula>0.5</formula>
    </cfRule>
  </conditionalFormatting>
  <conditionalFormatting sqref="AV28">
    <cfRule type="cellIs" dxfId="26034" priority="164237" stopIfTrue="1" operator="greaterThanOrEqual">
      <formula>0.5</formula>
    </cfRule>
  </conditionalFormatting>
  <conditionalFormatting sqref="AV29">
    <cfRule type="cellIs" dxfId="26033" priority="164238" stopIfTrue="1" operator="equal">
      <formula>-1</formula>
    </cfRule>
  </conditionalFormatting>
  <conditionalFormatting sqref="AV29">
    <cfRule type="cellIs" dxfId="26032" priority="164239" stopIfTrue="1" operator="lessThan">
      <formula>0.5</formula>
    </cfRule>
  </conditionalFormatting>
  <conditionalFormatting sqref="AV29">
    <cfRule type="cellIs" dxfId="26031" priority="164240" stopIfTrue="1" operator="greaterThanOrEqual">
      <formula>0.5</formula>
    </cfRule>
  </conditionalFormatting>
  <conditionalFormatting sqref="AV30">
    <cfRule type="cellIs" dxfId="26030" priority="164241" stopIfTrue="1" operator="equal">
      <formula>-1</formula>
    </cfRule>
  </conditionalFormatting>
  <conditionalFormatting sqref="AV30">
    <cfRule type="cellIs" dxfId="26029" priority="164242" stopIfTrue="1" operator="lessThan">
      <formula>0.5</formula>
    </cfRule>
  </conditionalFormatting>
  <conditionalFormatting sqref="AV30">
    <cfRule type="cellIs" dxfId="26028" priority="164243" stopIfTrue="1" operator="greaterThanOrEqual">
      <formula>0.5</formula>
    </cfRule>
  </conditionalFormatting>
  <conditionalFormatting sqref="AV31">
    <cfRule type="cellIs" dxfId="26027" priority="164244" stopIfTrue="1" operator="equal">
      <formula>-1</formula>
    </cfRule>
  </conditionalFormatting>
  <conditionalFormatting sqref="AV31">
    <cfRule type="cellIs" dxfId="26026" priority="164245" stopIfTrue="1" operator="lessThan">
      <formula>0.5</formula>
    </cfRule>
  </conditionalFormatting>
  <conditionalFormatting sqref="AV31">
    <cfRule type="cellIs" dxfId="26025" priority="164246" stopIfTrue="1" operator="greaterThanOrEqual">
      <formula>0.5</formula>
    </cfRule>
  </conditionalFormatting>
  <conditionalFormatting sqref="AV32">
    <cfRule type="cellIs" dxfId="26024" priority="164247" stopIfTrue="1" operator="equal">
      <formula>-1</formula>
    </cfRule>
  </conditionalFormatting>
  <conditionalFormatting sqref="AV32">
    <cfRule type="cellIs" dxfId="26023" priority="164248" stopIfTrue="1" operator="lessThan">
      <formula>0.5</formula>
    </cfRule>
  </conditionalFormatting>
  <conditionalFormatting sqref="AV32">
    <cfRule type="cellIs" dxfId="26022" priority="164249" stopIfTrue="1" operator="greaterThanOrEqual">
      <formula>0.5</formula>
    </cfRule>
  </conditionalFormatting>
  <conditionalFormatting sqref="AV33">
    <cfRule type="cellIs" dxfId="26021" priority="164250" stopIfTrue="1" operator="equal">
      <formula>-1</formula>
    </cfRule>
  </conditionalFormatting>
  <conditionalFormatting sqref="AV33">
    <cfRule type="cellIs" dxfId="26020" priority="164251" stopIfTrue="1" operator="lessThan">
      <formula>0.5</formula>
    </cfRule>
  </conditionalFormatting>
  <conditionalFormatting sqref="AV33">
    <cfRule type="cellIs" dxfId="26019" priority="164252" stopIfTrue="1" operator="greaterThanOrEqual">
      <formula>0.5</formula>
    </cfRule>
  </conditionalFormatting>
  <conditionalFormatting sqref="AV34">
    <cfRule type="cellIs" dxfId="26018" priority="164253" stopIfTrue="1" operator="equal">
      <formula>-1</formula>
    </cfRule>
  </conditionalFormatting>
  <conditionalFormatting sqref="AV34">
    <cfRule type="cellIs" dxfId="26017" priority="164254" stopIfTrue="1" operator="lessThan">
      <formula>0.5</formula>
    </cfRule>
  </conditionalFormatting>
  <conditionalFormatting sqref="AV34">
    <cfRule type="cellIs" dxfId="26016" priority="164255" stopIfTrue="1" operator="greaterThanOrEqual">
      <formula>0.5</formula>
    </cfRule>
  </conditionalFormatting>
  <conditionalFormatting sqref="AV35">
    <cfRule type="cellIs" dxfId="26015" priority="164256" stopIfTrue="1" operator="equal">
      <formula>-1</formula>
    </cfRule>
  </conditionalFormatting>
  <conditionalFormatting sqref="AV35">
    <cfRule type="cellIs" dxfId="26014" priority="164257" stopIfTrue="1" operator="lessThan">
      <formula>0.5</formula>
    </cfRule>
  </conditionalFormatting>
  <conditionalFormatting sqref="AV35">
    <cfRule type="cellIs" dxfId="26013" priority="164258" stopIfTrue="1" operator="greaterThanOrEqual">
      <formula>0.5</formula>
    </cfRule>
  </conditionalFormatting>
  <conditionalFormatting sqref="AV36">
    <cfRule type="cellIs" dxfId="26012" priority="164259" stopIfTrue="1" operator="equal">
      <formula>-1</formula>
    </cfRule>
  </conditionalFormatting>
  <conditionalFormatting sqref="AV36">
    <cfRule type="cellIs" dxfId="26011" priority="164260" stopIfTrue="1" operator="lessThan">
      <formula>0.5</formula>
    </cfRule>
  </conditionalFormatting>
  <conditionalFormatting sqref="AV36">
    <cfRule type="cellIs" dxfId="26010" priority="164261" stopIfTrue="1" operator="greaterThanOrEqual">
      <formula>0.5</formula>
    </cfRule>
  </conditionalFormatting>
  <conditionalFormatting sqref="AV37">
    <cfRule type="cellIs" dxfId="26009" priority="164262" stopIfTrue="1" operator="equal">
      <formula>-1</formula>
    </cfRule>
  </conditionalFormatting>
  <conditionalFormatting sqref="AV37">
    <cfRule type="cellIs" dxfId="26008" priority="164263" stopIfTrue="1" operator="lessThan">
      <formula>0.5</formula>
    </cfRule>
  </conditionalFormatting>
  <conditionalFormatting sqref="AV37">
    <cfRule type="cellIs" dxfId="26007" priority="164264" stopIfTrue="1" operator="greaterThanOrEqual">
      <formula>0.5</formula>
    </cfRule>
  </conditionalFormatting>
  <conditionalFormatting sqref="AX17">
    <cfRule type="cellIs" dxfId="26006" priority="164265" stopIfTrue="1" operator="equal">
      <formula>-1</formula>
    </cfRule>
  </conditionalFormatting>
  <conditionalFormatting sqref="AX17">
    <cfRule type="cellIs" dxfId="26005" priority="164266" stopIfTrue="1" operator="lessThan">
      <formula>0.5</formula>
    </cfRule>
  </conditionalFormatting>
  <conditionalFormatting sqref="AX17">
    <cfRule type="cellIs" dxfId="26004" priority="164267" stopIfTrue="1" operator="greaterThanOrEqual">
      <formula>0.5</formula>
    </cfRule>
  </conditionalFormatting>
  <conditionalFormatting sqref="AX18">
    <cfRule type="cellIs" dxfId="26003" priority="164268" stopIfTrue="1" operator="equal">
      <formula>-1</formula>
    </cfRule>
  </conditionalFormatting>
  <conditionalFormatting sqref="AX18">
    <cfRule type="cellIs" dxfId="26002" priority="164269" stopIfTrue="1" operator="lessThan">
      <formula>0.5</formula>
    </cfRule>
  </conditionalFormatting>
  <conditionalFormatting sqref="AX18">
    <cfRule type="cellIs" dxfId="26001" priority="164270" stopIfTrue="1" operator="greaterThanOrEqual">
      <formula>0.5</formula>
    </cfRule>
  </conditionalFormatting>
  <conditionalFormatting sqref="AX19">
    <cfRule type="cellIs" dxfId="26000" priority="164271" stopIfTrue="1" operator="equal">
      <formula>-1</formula>
    </cfRule>
  </conditionalFormatting>
  <conditionalFormatting sqref="AX19">
    <cfRule type="cellIs" dxfId="25999" priority="164272" stopIfTrue="1" operator="lessThan">
      <formula>0.5</formula>
    </cfRule>
  </conditionalFormatting>
  <conditionalFormatting sqref="AX19">
    <cfRule type="cellIs" dxfId="25998" priority="164273" stopIfTrue="1" operator="greaterThanOrEqual">
      <formula>0.5</formula>
    </cfRule>
  </conditionalFormatting>
  <conditionalFormatting sqref="AX20">
    <cfRule type="cellIs" dxfId="25997" priority="164274" stopIfTrue="1" operator="equal">
      <formula>-1</formula>
    </cfRule>
  </conditionalFormatting>
  <conditionalFormatting sqref="AX20">
    <cfRule type="cellIs" dxfId="25996" priority="164275" stopIfTrue="1" operator="lessThan">
      <formula>0.5</formula>
    </cfRule>
  </conditionalFormatting>
  <conditionalFormatting sqref="AX20">
    <cfRule type="cellIs" dxfId="25995" priority="164276" stopIfTrue="1" operator="greaterThanOrEqual">
      <formula>0.5</formula>
    </cfRule>
  </conditionalFormatting>
  <conditionalFormatting sqref="AX21">
    <cfRule type="cellIs" dxfId="25994" priority="164277" stopIfTrue="1" operator="equal">
      <formula>-1</formula>
    </cfRule>
  </conditionalFormatting>
  <conditionalFormatting sqref="AX21">
    <cfRule type="cellIs" dxfId="25993" priority="164278" stopIfTrue="1" operator="lessThan">
      <formula>0.5</formula>
    </cfRule>
  </conditionalFormatting>
  <conditionalFormatting sqref="AX21">
    <cfRule type="cellIs" dxfId="25992" priority="164279" stopIfTrue="1" operator="greaterThanOrEqual">
      <formula>0.5</formula>
    </cfRule>
  </conditionalFormatting>
  <conditionalFormatting sqref="AX22">
    <cfRule type="cellIs" dxfId="25991" priority="164280" stopIfTrue="1" operator="equal">
      <formula>-1</formula>
    </cfRule>
  </conditionalFormatting>
  <conditionalFormatting sqref="AX22">
    <cfRule type="cellIs" dxfId="25990" priority="164281" stopIfTrue="1" operator="lessThan">
      <formula>0.5</formula>
    </cfRule>
  </conditionalFormatting>
  <conditionalFormatting sqref="AX22">
    <cfRule type="cellIs" dxfId="25989" priority="164282" stopIfTrue="1" operator="greaterThanOrEqual">
      <formula>0.5</formula>
    </cfRule>
  </conditionalFormatting>
  <conditionalFormatting sqref="AX23">
    <cfRule type="cellIs" dxfId="25988" priority="164283" stopIfTrue="1" operator="equal">
      <formula>-1</formula>
    </cfRule>
  </conditionalFormatting>
  <conditionalFormatting sqref="AX23">
    <cfRule type="cellIs" dxfId="25987" priority="164284" stopIfTrue="1" operator="lessThan">
      <formula>0.5</formula>
    </cfRule>
  </conditionalFormatting>
  <conditionalFormatting sqref="AX23">
    <cfRule type="cellIs" dxfId="25986" priority="164285" stopIfTrue="1" operator="greaterThanOrEqual">
      <formula>0.5</formula>
    </cfRule>
  </conditionalFormatting>
  <conditionalFormatting sqref="AX24">
    <cfRule type="cellIs" dxfId="25985" priority="164286" stopIfTrue="1" operator="equal">
      <formula>-1</formula>
    </cfRule>
  </conditionalFormatting>
  <conditionalFormatting sqref="AX24">
    <cfRule type="cellIs" dxfId="25984" priority="164287" stopIfTrue="1" operator="lessThan">
      <formula>0.5</formula>
    </cfRule>
  </conditionalFormatting>
  <conditionalFormatting sqref="AX24">
    <cfRule type="cellIs" dxfId="25983" priority="164288" stopIfTrue="1" operator="greaterThanOrEqual">
      <formula>0.5</formula>
    </cfRule>
  </conditionalFormatting>
  <conditionalFormatting sqref="AX25">
    <cfRule type="cellIs" dxfId="25982" priority="164289" stopIfTrue="1" operator="equal">
      <formula>-1</formula>
    </cfRule>
  </conditionalFormatting>
  <conditionalFormatting sqref="AX25">
    <cfRule type="cellIs" dxfId="25981" priority="164290" stopIfTrue="1" operator="lessThan">
      <formula>0.5</formula>
    </cfRule>
  </conditionalFormatting>
  <conditionalFormatting sqref="AX25">
    <cfRule type="cellIs" dxfId="25980" priority="164291" stopIfTrue="1" operator="greaterThanOrEqual">
      <formula>0.5</formula>
    </cfRule>
  </conditionalFormatting>
  <conditionalFormatting sqref="AX26">
    <cfRule type="cellIs" dxfId="25979" priority="164292" stopIfTrue="1" operator="equal">
      <formula>-1</formula>
    </cfRule>
  </conditionalFormatting>
  <conditionalFormatting sqref="AX26">
    <cfRule type="cellIs" dxfId="25978" priority="164293" stopIfTrue="1" operator="lessThan">
      <formula>0.5</formula>
    </cfRule>
  </conditionalFormatting>
  <conditionalFormatting sqref="AX26">
    <cfRule type="cellIs" dxfId="25977" priority="164294" stopIfTrue="1" operator="greaterThanOrEqual">
      <formula>0.5</formula>
    </cfRule>
  </conditionalFormatting>
  <conditionalFormatting sqref="AX27">
    <cfRule type="cellIs" dxfId="25976" priority="164295" stopIfTrue="1" operator="equal">
      <formula>-1</formula>
    </cfRule>
  </conditionalFormatting>
  <conditionalFormatting sqref="AX27">
    <cfRule type="cellIs" dxfId="25975" priority="164296" stopIfTrue="1" operator="lessThan">
      <formula>0.5</formula>
    </cfRule>
  </conditionalFormatting>
  <conditionalFormatting sqref="AX27">
    <cfRule type="cellIs" dxfId="25974" priority="164297" stopIfTrue="1" operator="greaterThanOrEqual">
      <formula>0.5</formula>
    </cfRule>
  </conditionalFormatting>
  <conditionalFormatting sqref="AX28">
    <cfRule type="cellIs" dxfId="25973" priority="164298" stopIfTrue="1" operator="equal">
      <formula>-1</formula>
    </cfRule>
  </conditionalFormatting>
  <conditionalFormatting sqref="AX28">
    <cfRule type="cellIs" dxfId="25972" priority="164299" stopIfTrue="1" operator="lessThan">
      <formula>0.5</formula>
    </cfRule>
  </conditionalFormatting>
  <conditionalFormatting sqref="AX28">
    <cfRule type="cellIs" dxfId="25971" priority="164300" stopIfTrue="1" operator="greaterThanOrEqual">
      <formula>0.5</formula>
    </cfRule>
  </conditionalFormatting>
  <conditionalFormatting sqref="AX29">
    <cfRule type="cellIs" dxfId="25970" priority="164301" stopIfTrue="1" operator="equal">
      <formula>-1</formula>
    </cfRule>
  </conditionalFormatting>
  <conditionalFormatting sqref="AX29">
    <cfRule type="cellIs" dxfId="25969" priority="164302" stopIfTrue="1" operator="lessThan">
      <formula>0.5</formula>
    </cfRule>
  </conditionalFormatting>
  <conditionalFormatting sqref="AX29">
    <cfRule type="cellIs" dxfId="25968" priority="164303" stopIfTrue="1" operator="greaterThanOrEqual">
      <formula>0.5</formula>
    </cfRule>
  </conditionalFormatting>
  <conditionalFormatting sqref="AX30">
    <cfRule type="cellIs" dxfId="25967" priority="164304" stopIfTrue="1" operator="equal">
      <formula>-1</formula>
    </cfRule>
  </conditionalFormatting>
  <conditionalFormatting sqref="AX30">
    <cfRule type="cellIs" dxfId="25966" priority="164305" stopIfTrue="1" operator="lessThan">
      <formula>0.5</formula>
    </cfRule>
  </conditionalFormatting>
  <conditionalFormatting sqref="AX30">
    <cfRule type="cellIs" dxfId="25965" priority="164306" stopIfTrue="1" operator="greaterThanOrEqual">
      <formula>0.5</formula>
    </cfRule>
  </conditionalFormatting>
  <conditionalFormatting sqref="AX31">
    <cfRule type="cellIs" dxfId="25964" priority="164307" stopIfTrue="1" operator="equal">
      <formula>-1</formula>
    </cfRule>
  </conditionalFormatting>
  <conditionalFormatting sqref="AX31">
    <cfRule type="cellIs" dxfId="25963" priority="164308" stopIfTrue="1" operator="lessThan">
      <formula>0.5</formula>
    </cfRule>
  </conditionalFormatting>
  <conditionalFormatting sqref="AX31">
    <cfRule type="cellIs" dxfId="25962" priority="164309" stopIfTrue="1" operator="greaterThanOrEqual">
      <formula>0.5</formula>
    </cfRule>
  </conditionalFormatting>
  <conditionalFormatting sqref="AX32">
    <cfRule type="cellIs" dxfId="25961" priority="164310" stopIfTrue="1" operator="equal">
      <formula>-1</formula>
    </cfRule>
  </conditionalFormatting>
  <conditionalFormatting sqref="AX32">
    <cfRule type="cellIs" dxfId="25960" priority="164311" stopIfTrue="1" operator="lessThan">
      <formula>0.5</formula>
    </cfRule>
  </conditionalFormatting>
  <conditionalFormatting sqref="AX32">
    <cfRule type="cellIs" dxfId="25959" priority="164312" stopIfTrue="1" operator="greaterThanOrEqual">
      <formula>0.5</formula>
    </cfRule>
  </conditionalFormatting>
  <conditionalFormatting sqref="AX33">
    <cfRule type="cellIs" dxfId="25958" priority="164313" stopIfTrue="1" operator="equal">
      <formula>-1</formula>
    </cfRule>
  </conditionalFormatting>
  <conditionalFormatting sqref="AX33">
    <cfRule type="cellIs" dxfId="25957" priority="164314" stopIfTrue="1" operator="lessThan">
      <formula>0.5</formula>
    </cfRule>
  </conditionalFormatting>
  <conditionalFormatting sqref="AX33">
    <cfRule type="cellIs" dxfId="25956" priority="164315" stopIfTrue="1" operator="greaterThanOrEqual">
      <formula>0.5</formula>
    </cfRule>
  </conditionalFormatting>
  <conditionalFormatting sqref="AX34">
    <cfRule type="cellIs" dxfId="25955" priority="164316" stopIfTrue="1" operator="equal">
      <formula>-1</formula>
    </cfRule>
  </conditionalFormatting>
  <conditionalFormatting sqref="AX34">
    <cfRule type="cellIs" dxfId="25954" priority="164317" stopIfTrue="1" operator="lessThan">
      <formula>0.5</formula>
    </cfRule>
  </conditionalFormatting>
  <conditionalFormatting sqref="AX34">
    <cfRule type="cellIs" dxfId="25953" priority="164318" stopIfTrue="1" operator="greaterThanOrEqual">
      <formula>0.5</formula>
    </cfRule>
  </conditionalFormatting>
  <conditionalFormatting sqref="AX35">
    <cfRule type="cellIs" dxfId="25952" priority="164319" stopIfTrue="1" operator="equal">
      <formula>-1</formula>
    </cfRule>
  </conditionalFormatting>
  <conditionalFormatting sqref="AX35">
    <cfRule type="cellIs" dxfId="25951" priority="164320" stopIfTrue="1" operator="lessThan">
      <formula>0.5</formula>
    </cfRule>
  </conditionalFormatting>
  <conditionalFormatting sqref="AX35">
    <cfRule type="cellIs" dxfId="25950" priority="164321" stopIfTrue="1" operator="greaterThanOrEqual">
      <formula>0.5</formula>
    </cfRule>
  </conditionalFormatting>
  <conditionalFormatting sqref="AX36">
    <cfRule type="cellIs" dxfId="25949" priority="164322" stopIfTrue="1" operator="equal">
      <formula>-1</formula>
    </cfRule>
  </conditionalFormatting>
  <conditionalFormatting sqref="AX36">
    <cfRule type="cellIs" dxfId="25948" priority="164323" stopIfTrue="1" operator="lessThan">
      <formula>0.5</formula>
    </cfRule>
  </conditionalFormatting>
  <conditionalFormatting sqref="AX36">
    <cfRule type="cellIs" dxfId="25947" priority="164324" stopIfTrue="1" operator="greaterThanOrEqual">
      <formula>0.5</formula>
    </cfRule>
  </conditionalFormatting>
  <conditionalFormatting sqref="AX37">
    <cfRule type="cellIs" dxfId="25946" priority="164325" stopIfTrue="1" operator="equal">
      <formula>-1</formula>
    </cfRule>
  </conditionalFormatting>
  <conditionalFormatting sqref="AX37">
    <cfRule type="cellIs" dxfId="25945" priority="164326" stopIfTrue="1" operator="lessThan">
      <formula>0.5</formula>
    </cfRule>
  </conditionalFormatting>
  <conditionalFormatting sqref="AX37">
    <cfRule type="cellIs" dxfId="25944" priority="164327" stopIfTrue="1" operator="greaterThanOrEqual">
      <formula>0.5</formula>
    </cfRule>
  </conditionalFormatting>
  <conditionalFormatting sqref="AZ17">
    <cfRule type="cellIs" dxfId="25943" priority="164328" stopIfTrue="1" operator="equal">
      <formula>-1</formula>
    </cfRule>
  </conditionalFormatting>
  <conditionalFormatting sqref="AZ17">
    <cfRule type="cellIs" dxfId="25942" priority="164329" stopIfTrue="1" operator="lessThan">
      <formula>0.5</formula>
    </cfRule>
  </conditionalFormatting>
  <conditionalFormatting sqref="AZ17">
    <cfRule type="cellIs" dxfId="25941" priority="164330" stopIfTrue="1" operator="greaterThanOrEqual">
      <formula>0.5</formula>
    </cfRule>
  </conditionalFormatting>
  <conditionalFormatting sqref="AZ18">
    <cfRule type="cellIs" dxfId="25940" priority="164331" stopIfTrue="1" operator="equal">
      <formula>-1</formula>
    </cfRule>
  </conditionalFormatting>
  <conditionalFormatting sqref="AZ18">
    <cfRule type="cellIs" dxfId="25939" priority="164332" stopIfTrue="1" operator="lessThan">
      <formula>0.5</formula>
    </cfRule>
  </conditionalFormatting>
  <conditionalFormatting sqref="AZ18">
    <cfRule type="cellIs" dxfId="25938" priority="164333" stopIfTrue="1" operator="greaterThanOrEqual">
      <formula>0.5</formula>
    </cfRule>
  </conditionalFormatting>
  <conditionalFormatting sqref="AZ19">
    <cfRule type="cellIs" dxfId="25937" priority="164334" stopIfTrue="1" operator="equal">
      <formula>-1</formula>
    </cfRule>
  </conditionalFormatting>
  <conditionalFormatting sqref="AZ19">
    <cfRule type="cellIs" dxfId="25936" priority="164335" stopIfTrue="1" operator="lessThan">
      <formula>0.5</formula>
    </cfRule>
  </conditionalFormatting>
  <conditionalFormatting sqref="AZ19">
    <cfRule type="cellIs" dxfId="25935" priority="164336" stopIfTrue="1" operator="greaterThanOrEqual">
      <formula>0.5</formula>
    </cfRule>
  </conditionalFormatting>
  <conditionalFormatting sqref="AZ20">
    <cfRule type="cellIs" dxfId="25934" priority="164337" stopIfTrue="1" operator="equal">
      <formula>-1</formula>
    </cfRule>
  </conditionalFormatting>
  <conditionalFormatting sqref="AZ20">
    <cfRule type="cellIs" dxfId="25933" priority="164338" stopIfTrue="1" operator="lessThan">
      <formula>0.5</formula>
    </cfRule>
  </conditionalFormatting>
  <conditionalFormatting sqref="AZ20">
    <cfRule type="cellIs" dxfId="25932" priority="164339" stopIfTrue="1" operator="greaterThanOrEqual">
      <formula>0.5</formula>
    </cfRule>
  </conditionalFormatting>
  <conditionalFormatting sqref="AZ21">
    <cfRule type="cellIs" dxfId="25931" priority="164340" stopIfTrue="1" operator="equal">
      <formula>-1</formula>
    </cfRule>
  </conditionalFormatting>
  <conditionalFormatting sqref="AZ21">
    <cfRule type="cellIs" dxfId="25930" priority="164341" stopIfTrue="1" operator="lessThan">
      <formula>0.5</formula>
    </cfRule>
  </conditionalFormatting>
  <conditionalFormatting sqref="AZ21">
    <cfRule type="cellIs" dxfId="25929" priority="164342" stopIfTrue="1" operator="greaterThanOrEqual">
      <formula>0.5</formula>
    </cfRule>
  </conditionalFormatting>
  <conditionalFormatting sqref="AZ22">
    <cfRule type="cellIs" dxfId="25928" priority="164343" stopIfTrue="1" operator="equal">
      <formula>-1</formula>
    </cfRule>
  </conditionalFormatting>
  <conditionalFormatting sqref="AZ22">
    <cfRule type="cellIs" dxfId="25927" priority="164344" stopIfTrue="1" operator="lessThan">
      <formula>0.5</formula>
    </cfRule>
  </conditionalFormatting>
  <conditionalFormatting sqref="AZ22">
    <cfRule type="cellIs" dxfId="25926" priority="164345" stopIfTrue="1" operator="greaterThanOrEqual">
      <formula>0.5</formula>
    </cfRule>
  </conditionalFormatting>
  <conditionalFormatting sqref="AZ23">
    <cfRule type="cellIs" dxfId="25925" priority="164346" stopIfTrue="1" operator="equal">
      <formula>-1</formula>
    </cfRule>
  </conditionalFormatting>
  <conditionalFormatting sqref="AZ23">
    <cfRule type="cellIs" dxfId="25924" priority="164347" stopIfTrue="1" operator="lessThan">
      <formula>0.5</formula>
    </cfRule>
  </conditionalFormatting>
  <conditionalFormatting sqref="AZ23">
    <cfRule type="cellIs" dxfId="25923" priority="164348" stopIfTrue="1" operator="greaterThanOrEqual">
      <formula>0.5</formula>
    </cfRule>
  </conditionalFormatting>
  <conditionalFormatting sqref="AZ24">
    <cfRule type="cellIs" dxfId="25922" priority="164349" stopIfTrue="1" operator="equal">
      <formula>-1</formula>
    </cfRule>
  </conditionalFormatting>
  <conditionalFormatting sqref="AZ24">
    <cfRule type="cellIs" dxfId="25921" priority="164350" stopIfTrue="1" operator="lessThan">
      <formula>0.5</formula>
    </cfRule>
  </conditionalFormatting>
  <conditionalFormatting sqref="AZ24">
    <cfRule type="cellIs" dxfId="25920" priority="164351" stopIfTrue="1" operator="greaterThanOrEqual">
      <formula>0.5</formula>
    </cfRule>
  </conditionalFormatting>
  <conditionalFormatting sqref="AZ25">
    <cfRule type="cellIs" dxfId="25919" priority="164352" stopIfTrue="1" operator="equal">
      <formula>-1</formula>
    </cfRule>
  </conditionalFormatting>
  <conditionalFormatting sqref="AZ25">
    <cfRule type="cellIs" dxfId="25918" priority="164353" stopIfTrue="1" operator="lessThan">
      <formula>0.5</formula>
    </cfRule>
  </conditionalFormatting>
  <conditionalFormatting sqref="AZ25">
    <cfRule type="cellIs" dxfId="25917" priority="164354" stopIfTrue="1" operator="greaterThanOrEqual">
      <formula>0.5</formula>
    </cfRule>
  </conditionalFormatting>
  <conditionalFormatting sqref="AZ26">
    <cfRule type="cellIs" dxfId="25916" priority="164355" stopIfTrue="1" operator="equal">
      <formula>-1</formula>
    </cfRule>
  </conditionalFormatting>
  <conditionalFormatting sqref="AZ26">
    <cfRule type="cellIs" dxfId="25915" priority="164356" stopIfTrue="1" operator="lessThan">
      <formula>0.5</formula>
    </cfRule>
  </conditionalFormatting>
  <conditionalFormatting sqref="AZ26">
    <cfRule type="cellIs" dxfId="25914" priority="164357" stopIfTrue="1" operator="greaterThanOrEqual">
      <formula>0.5</formula>
    </cfRule>
  </conditionalFormatting>
  <conditionalFormatting sqref="AZ27">
    <cfRule type="cellIs" dxfId="25913" priority="164358" stopIfTrue="1" operator="equal">
      <formula>-1</formula>
    </cfRule>
  </conditionalFormatting>
  <conditionalFormatting sqref="AZ27">
    <cfRule type="cellIs" dxfId="25912" priority="164359" stopIfTrue="1" operator="lessThan">
      <formula>0.5</formula>
    </cfRule>
  </conditionalFormatting>
  <conditionalFormatting sqref="AZ27">
    <cfRule type="cellIs" dxfId="25911" priority="164360" stopIfTrue="1" operator="greaterThanOrEqual">
      <formula>0.5</formula>
    </cfRule>
  </conditionalFormatting>
  <conditionalFormatting sqref="AZ28">
    <cfRule type="cellIs" dxfId="25910" priority="164361" stopIfTrue="1" operator="equal">
      <formula>-1</formula>
    </cfRule>
  </conditionalFormatting>
  <conditionalFormatting sqref="AZ28">
    <cfRule type="cellIs" dxfId="25909" priority="164362" stopIfTrue="1" operator="lessThan">
      <formula>0.5</formula>
    </cfRule>
  </conditionalFormatting>
  <conditionalFormatting sqref="AZ28">
    <cfRule type="cellIs" dxfId="25908" priority="164363" stopIfTrue="1" operator="greaterThanOrEqual">
      <formula>0.5</formula>
    </cfRule>
  </conditionalFormatting>
  <conditionalFormatting sqref="AZ29">
    <cfRule type="cellIs" dxfId="25907" priority="164364" stopIfTrue="1" operator="equal">
      <formula>-1</formula>
    </cfRule>
  </conditionalFormatting>
  <conditionalFormatting sqref="AZ29">
    <cfRule type="cellIs" dxfId="25906" priority="164365" stopIfTrue="1" operator="lessThan">
      <formula>0.5</formula>
    </cfRule>
  </conditionalFormatting>
  <conditionalFormatting sqref="AZ29">
    <cfRule type="cellIs" dxfId="25905" priority="164366" stopIfTrue="1" operator="greaterThanOrEqual">
      <formula>0.5</formula>
    </cfRule>
  </conditionalFormatting>
  <conditionalFormatting sqref="AZ30">
    <cfRule type="cellIs" dxfId="25904" priority="164367" stopIfTrue="1" operator="equal">
      <formula>-1</formula>
    </cfRule>
  </conditionalFormatting>
  <conditionalFormatting sqref="AZ30">
    <cfRule type="cellIs" dxfId="25903" priority="164368" stopIfTrue="1" operator="lessThan">
      <formula>0.5</formula>
    </cfRule>
  </conditionalFormatting>
  <conditionalFormatting sqref="AZ30">
    <cfRule type="cellIs" dxfId="25902" priority="164369" stopIfTrue="1" operator="greaterThanOrEqual">
      <formula>0.5</formula>
    </cfRule>
  </conditionalFormatting>
  <conditionalFormatting sqref="AZ31">
    <cfRule type="cellIs" dxfId="25901" priority="164370" stopIfTrue="1" operator="equal">
      <formula>-1</formula>
    </cfRule>
  </conditionalFormatting>
  <conditionalFormatting sqref="AZ31">
    <cfRule type="cellIs" dxfId="25900" priority="164371" stopIfTrue="1" operator="lessThan">
      <formula>0.5</formula>
    </cfRule>
  </conditionalFormatting>
  <conditionalFormatting sqref="AZ31">
    <cfRule type="cellIs" dxfId="25899" priority="164372" stopIfTrue="1" operator="greaterThanOrEqual">
      <formula>0.5</formula>
    </cfRule>
  </conditionalFormatting>
  <conditionalFormatting sqref="AZ32">
    <cfRule type="cellIs" dxfId="25898" priority="164373" stopIfTrue="1" operator="equal">
      <formula>-1</formula>
    </cfRule>
  </conditionalFormatting>
  <conditionalFormatting sqref="AZ32">
    <cfRule type="cellIs" dxfId="25897" priority="164374" stopIfTrue="1" operator="lessThan">
      <formula>0.5</formula>
    </cfRule>
  </conditionalFormatting>
  <conditionalFormatting sqref="AZ32">
    <cfRule type="cellIs" dxfId="25896" priority="164375" stopIfTrue="1" operator="greaterThanOrEqual">
      <formula>0.5</formula>
    </cfRule>
  </conditionalFormatting>
  <conditionalFormatting sqref="AZ33">
    <cfRule type="cellIs" dxfId="25895" priority="164376" stopIfTrue="1" operator="equal">
      <formula>-1</formula>
    </cfRule>
  </conditionalFormatting>
  <conditionalFormatting sqref="AZ33">
    <cfRule type="cellIs" dxfId="25894" priority="164377" stopIfTrue="1" operator="lessThan">
      <formula>0.5</formula>
    </cfRule>
  </conditionalFormatting>
  <conditionalFormatting sqref="AZ33">
    <cfRule type="cellIs" dxfId="25893" priority="164378" stopIfTrue="1" operator="greaterThanOrEqual">
      <formula>0.5</formula>
    </cfRule>
  </conditionalFormatting>
  <conditionalFormatting sqref="AZ34">
    <cfRule type="cellIs" dxfId="25892" priority="164379" stopIfTrue="1" operator="equal">
      <formula>-1</formula>
    </cfRule>
  </conditionalFormatting>
  <conditionalFormatting sqref="AZ34">
    <cfRule type="cellIs" dxfId="25891" priority="164380" stopIfTrue="1" operator="lessThan">
      <formula>0.5</formula>
    </cfRule>
  </conditionalFormatting>
  <conditionalFormatting sqref="AZ34">
    <cfRule type="cellIs" dxfId="25890" priority="164381" stopIfTrue="1" operator="greaterThanOrEqual">
      <formula>0.5</formula>
    </cfRule>
  </conditionalFormatting>
  <conditionalFormatting sqref="AZ35">
    <cfRule type="cellIs" dxfId="25889" priority="164382" stopIfTrue="1" operator="equal">
      <formula>-1</formula>
    </cfRule>
  </conditionalFormatting>
  <conditionalFormatting sqref="AZ35">
    <cfRule type="cellIs" dxfId="25888" priority="164383" stopIfTrue="1" operator="lessThan">
      <formula>0.5</formula>
    </cfRule>
  </conditionalFormatting>
  <conditionalFormatting sqref="AZ35">
    <cfRule type="cellIs" dxfId="25887" priority="164384" stopIfTrue="1" operator="greaterThanOrEqual">
      <formula>0.5</formula>
    </cfRule>
  </conditionalFormatting>
  <conditionalFormatting sqref="AZ36">
    <cfRule type="cellIs" dxfId="25886" priority="164385" stopIfTrue="1" operator="equal">
      <formula>-1</formula>
    </cfRule>
  </conditionalFormatting>
  <conditionalFormatting sqref="AZ36">
    <cfRule type="cellIs" dxfId="25885" priority="164386" stopIfTrue="1" operator="lessThan">
      <formula>0.5</formula>
    </cfRule>
  </conditionalFormatting>
  <conditionalFormatting sqref="AZ36">
    <cfRule type="cellIs" dxfId="25884" priority="164387" stopIfTrue="1" operator="greaterThanOrEqual">
      <formula>0.5</formula>
    </cfRule>
  </conditionalFormatting>
  <conditionalFormatting sqref="AZ37">
    <cfRule type="cellIs" dxfId="25883" priority="164388" stopIfTrue="1" operator="equal">
      <formula>-1</formula>
    </cfRule>
  </conditionalFormatting>
  <conditionalFormatting sqref="AZ37">
    <cfRule type="cellIs" dxfId="25882" priority="164389" stopIfTrue="1" operator="lessThan">
      <formula>0.5</formula>
    </cfRule>
  </conditionalFormatting>
  <conditionalFormatting sqref="AZ37">
    <cfRule type="cellIs" dxfId="25881" priority="164390" stopIfTrue="1" operator="greaterThanOrEqual">
      <formula>0.5</formula>
    </cfRule>
  </conditionalFormatting>
  <conditionalFormatting sqref="BB17">
    <cfRule type="cellIs" dxfId="25880" priority="164391" stopIfTrue="1" operator="equal">
      <formula>-1</formula>
    </cfRule>
  </conditionalFormatting>
  <conditionalFormatting sqref="BB17">
    <cfRule type="cellIs" dxfId="25879" priority="164392" stopIfTrue="1" operator="lessThan">
      <formula>0.5</formula>
    </cfRule>
  </conditionalFormatting>
  <conditionalFormatting sqref="BB17">
    <cfRule type="cellIs" dxfId="25878" priority="164393" stopIfTrue="1" operator="greaterThanOrEqual">
      <formula>0.5</formula>
    </cfRule>
  </conditionalFormatting>
  <conditionalFormatting sqref="BB18">
    <cfRule type="cellIs" dxfId="25877" priority="164394" stopIfTrue="1" operator="equal">
      <formula>-1</formula>
    </cfRule>
  </conditionalFormatting>
  <conditionalFormatting sqref="BB18">
    <cfRule type="cellIs" dxfId="25876" priority="164395" stopIfTrue="1" operator="lessThan">
      <formula>0.5</formula>
    </cfRule>
  </conditionalFormatting>
  <conditionalFormatting sqref="BB18">
    <cfRule type="cellIs" dxfId="25875" priority="164396" stopIfTrue="1" operator="greaterThanOrEqual">
      <formula>0.5</formula>
    </cfRule>
  </conditionalFormatting>
  <conditionalFormatting sqref="BB19">
    <cfRule type="cellIs" dxfId="25874" priority="164397" stopIfTrue="1" operator="equal">
      <formula>-1</formula>
    </cfRule>
  </conditionalFormatting>
  <conditionalFormatting sqref="BB19">
    <cfRule type="cellIs" dxfId="25873" priority="164398" stopIfTrue="1" operator="lessThan">
      <formula>0.5</formula>
    </cfRule>
  </conditionalFormatting>
  <conditionalFormatting sqref="BB19">
    <cfRule type="cellIs" dxfId="25872" priority="164399" stopIfTrue="1" operator="greaterThanOrEqual">
      <formula>0.5</formula>
    </cfRule>
  </conditionalFormatting>
  <conditionalFormatting sqref="BB20">
    <cfRule type="cellIs" dxfId="25871" priority="164400" stopIfTrue="1" operator="equal">
      <formula>-1</formula>
    </cfRule>
  </conditionalFormatting>
  <conditionalFormatting sqref="BB20">
    <cfRule type="cellIs" dxfId="25870" priority="164401" stopIfTrue="1" operator="lessThan">
      <formula>0.5</formula>
    </cfRule>
  </conditionalFormatting>
  <conditionalFormatting sqref="BB20">
    <cfRule type="cellIs" dxfId="25869" priority="164402" stopIfTrue="1" operator="greaterThanOrEqual">
      <formula>0.5</formula>
    </cfRule>
  </conditionalFormatting>
  <conditionalFormatting sqref="BB21">
    <cfRule type="cellIs" dxfId="25868" priority="164403" stopIfTrue="1" operator="equal">
      <formula>-1</formula>
    </cfRule>
  </conditionalFormatting>
  <conditionalFormatting sqref="BB21">
    <cfRule type="cellIs" dxfId="25867" priority="164404" stopIfTrue="1" operator="lessThan">
      <formula>0.5</formula>
    </cfRule>
  </conditionalFormatting>
  <conditionalFormatting sqref="BB21">
    <cfRule type="cellIs" dxfId="25866" priority="164405" stopIfTrue="1" operator="greaterThanOrEqual">
      <formula>0.5</formula>
    </cfRule>
  </conditionalFormatting>
  <conditionalFormatting sqref="BB22">
    <cfRule type="cellIs" dxfId="25865" priority="164406" stopIfTrue="1" operator="equal">
      <formula>-1</formula>
    </cfRule>
  </conditionalFormatting>
  <conditionalFormatting sqref="BB22">
    <cfRule type="cellIs" dxfId="25864" priority="164407" stopIfTrue="1" operator="lessThan">
      <formula>0.5</formula>
    </cfRule>
  </conditionalFormatting>
  <conditionalFormatting sqref="BB22">
    <cfRule type="cellIs" dxfId="25863" priority="164408" stopIfTrue="1" operator="greaterThanOrEqual">
      <formula>0.5</formula>
    </cfRule>
  </conditionalFormatting>
  <conditionalFormatting sqref="BB23">
    <cfRule type="cellIs" dxfId="25862" priority="164409" stopIfTrue="1" operator="equal">
      <formula>-1</formula>
    </cfRule>
  </conditionalFormatting>
  <conditionalFormatting sqref="BB23">
    <cfRule type="cellIs" dxfId="25861" priority="164410" stopIfTrue="1" operator="lessThan">
      <formula>0.5</formula>
    </cfRule>
  </conditionalFormatting>
  <conditionalFormatting sqref="BB23">
    <cfRule type="cellIs" dxfId="25860" priority="164411" stopIfTrue="1" operator="greaterThanOrEqual">
      <formula>0.5</formula>
    </cfRule>
  </conditionalFormatting>
  <conditionalFormatting sqref="BB24">
    <cfRule type="cellIs" dxfId="25859" priority="164412" stopIfTrue="1" operator="equal">
      <formula>-1</formula>
    </cfRule>
  </conditionalFormatting>
  <conditionalFormatting sqref="BB24">
    <cfRule type="cellIs" dxfId="25858" priority="164413" stopIfTrue="1" operator="lessThan">
      <formula>0.5</formula>
    </cfRule>
  </conditionalFormatting>
  <conditionalFormatting sqref="BB24">
    <cfRule type="cellIs" dxfId="25857" priority="164414" stopIfTrue="1" operator="greaterThanOrEqual">
      <formula>0.5</formula>
    </cfRule>
  </conditionalFormatting>
  <conditionalFormatting sqref="BB25">
    <cfRule type="cellIs" dxfId="25856" priority="164415" stopIfTrue="1" operator="equal">
      <formula>-1</formula>
    </cfRule>
  </conditionalFormatting>
  <conditionalFormatting sqref="BB25">
    <cfRule type="cellIs" dxfId="25855" priority="164416" stopIfTrue="1" operator="lessThan">
      <formula>0.5</formula>
    </cfRule>
  </conditionalFormatting>
  <conditionalFormatting sqref="BB25">
    <cfRule type="cellIs" dxfId="25854" priority="164417" stopIfTrue="1" operator="greaterThanOrEqual">
      <formula>0.5</formula>
    </cfRule>
  </conditionalFormatting>
  <conditionalFormatting sqref="BB26">
    <cfRule type="cellIs" dxfId="25853" priority="164418" stopIfTrue="1" operator="equal">
      <formula>-1</formula>
    </cfRule>
  </conditionalFormatting>
  <conditionalFormatting sqref="BB26">
    <cfRule type="cellIs" dxfId="25852" priority="164419" stopIfTrue="1" operator="lessThan">
      <formula>0.5</formula>
    </cfRule>
  </conditionalFormatting>
  <conditionalFormatting sqref="BB26">
    <cfRule type="cellIs" dxfId="25851" priority="164420" stopIfTrue="1" operator="greaterThanOrEqual">
      <formula>0.5</formula>
    </cfRule>
  </conditionalFormatting>
  <conditionalFormatting sqref="BB27">
    <cfRule type="cellIs" dxfId="25850" priority="164421" stopIfTrue="1" operator="equal">
      <formula>-1</formula>
    </cfRule>
  </conditionalFormatting>
  <conditionalFormatting sqref="BB27">
    <cfRule type="cellIs" dxfId="25849" priority="164422" stopIfTrue="1" operator="lessThan">
      <formula>0.5</formula>
    </cfRule>
  </conditionalFormatting>
  <conditionalFormatting sqref="BB27">
    <cfRule type="cellIs" dxfId="25848" priority="164423" stopIfTrue="1" operator="greaterThanOrEqual">
      <formula>0.5</formula>
    </cfRule>
  </conditionalFormatting>
  <conditionalFormatting sqref="BB28">
    <cfRule type="cellIs" dxfId="25847" priority="164424" stopIfTrue="1" operator="equal">
      <formula>-1</formula>
    </cfRule>
  </conditionalFormatting>
  <conditionalFormatting sqref="BB28">
    <cfRule type="cellIs" dxfId="25846" priority="164425" stopIfTrue="1" operator="lessThan">
      <formula>0.5</formula>
    </cfRule>
  </conditionalFormatting>
  <conditionalFormatting sqref="BB28">
    <cfRule type="cellIs" dxfId="25845" priority="164426" stopIfTrue="1" operator="greaterThanOrEqual">
      <formula>0.5</formula>
    </cfRule>
  </conditionalFormatting>
  <conditionalFormatting sqref="BB29">
    <cfRule type="cellIs" dxfId="25844" priority="164427" stopIfTrue="1" operator="equal">
      <formula>-1</formula>
    </cfRule>
  </conditionalFormatting>
  <conditionalFormatting sqref="BB29">
    <cfRule type="cellIs" dxfId="25843" priority="164428" stopIfTrue="1" operator="lessThan">
      <formula>0.5</formula>
    </cfRule>
  </conditionalFormatting>
  <conditionalFormatting sqref="BB29">
    <cfRule type="cellIs" dxfId="25842" priority="164429" stopIfTrue="1" operator="greaterThanOrEqual">
      <formula>0.5</formula>
    </cfRule>
  </conditionalFormatting>
  <conditionalFormatting sqref="BB30">
    <cfRule type="cellIs" dxfId="25841" priority="164430" stopIfTrue="1" operator="equal">
      <formula>-1</formula>
    </cfRule>
  </conditionalFormatting>
  <conditionalFormatting sqref="BB30">
    <cfRule type="cellIs" dxfId="25840" priority="164431" stopIfTrue="1" operator="lessThan">
      <formula>0.5</formula>
    </cfRule>
  </conditionalFormatting>
  <conditionalFormatting sqref="BB30">
    <cfRule type="cellIs" dxfId="25839" priority="164432" stopIfTrue="1" operator="greaterThanOrEqual">
      <formula>0.5</formula>
    </cfRule>
  </conditionalFormatting>
  <conditionalFormatting sqref="BB31">
    <cfRule type="cellIs" dxfId="25838" priority="164433" stopIfTrue="1" operator="equal">
      <formula>-1</formula>
    </cfRule>
  </conditionalFormatting>
  <conditionalFormatting sqref="BB31">
    <cfRule type="cellIs" dxfId="25837" priority="164434" stopIfTrue="1" operator="lessThan">
      <formula>0.5</formula>
    </cfRule>
  </conditionalFormatting>
  <conditionalFormatting sqref="BB31">
    <cfRule type="cellIs" dxfId="25836" priority="164435" stopIfTrue="1" operator="greaterThanOrEqual">
      <formula>0.5</formula>
    </cfRule>
  </conditionalFormatting>
  <conditionalFormatting sqref="BB32">
    <cfRule type="cellIs" dxfId="25835" priority="164436" stopIfTrue="1" operator="equal">
      <formula>-1</formula>
    </cfRule>
  </conditionalFormatting>
  <conditionalFormatting sqref="BB32">
    <cfRule type="cellIs" dxfId="25834" priority="164437" stopIfTrue="1" operator="lessThan">
      <formula>0.5</formula>
    </cfRule>
  </conditionalFormatting>
  <conditionalFormatting sqref="BB32">
    <cfRule type="cellIs" dxfId="25833" priority="164438" stopIfTrue="1" operator="greaterThanOrEqual">
      <formula>0.5</formula>
    </cfRule>
  </conditionalFormatting>
  <conditionalFormatting sqref="BB33">
    <cfRule type="cellIs" dxfId="25832" priority="164439" stopIfTrue="1" operator="equal">
      <formula>-1</formula>
    </cfRule>
  </conditionalFormatting>
  <conditionalFormatting sqref="BB33">
    <cfRule type="cellIs" dxfId="25831" priority="164440" stopIfTrue="1" operator="lessThan">
      <formula>0.5</formula>
    </cfRule>
  </conditionalFormatting>
  <conditionalFormatting sqref="BB33">
    <cfRule type="cellIs" dxfId="25830" priority="164441" stopIfTrue="1" operator="greaterThanOrEqual">
      <formula>0.5</formula>
    </cfRule>
  </conditionalFormatting>
  <conditionalFormatting sqref="BB34">
    <cfRule type="cellIs" dxfId="25829" priority="164442" stopIfTrue="1" operator="equal">
      <formula>-1</formula>
    </cfRule>
  </conditionalFormatting>
  <conditionalFormatting sqref="BB34">
    <cfRule type="cellIs" dxfId="25828" priority="164443" stopIfTrue="1" operator="lessThan">
      <formula>0.5</formula>
    </cfRule>
  </conditionalFormatting>
  <conditionalFormatting sqref="BB34">
    <cfRule type="cellIs" dxfId="25827" priority="164444" stopIfTrue="1" operator="greaterThanOrEqual">
      <formula>0.5</formula>
    </cfRule>
  </conditionalFormatting>
  <conditionalFormatting sqref="BB35">
    <cfRule type="cellIs" dxfId="25826" priority="164445" stopIfTrue="1" operator="equal">
      <formula>-1</formula>
    </cfRule>
  </conditionalFormatting>
  <conditionalFormatting sqref="BB35">
    <cfRule type="cellIs" dxfId="25825" priority="164446" stopIfTrue="1" operator="lessThan">
      <formula>0.5</formula>
    </cfRule>
  </conditionalFormatting>
  <conditionalFormatting sqref="BB35">
    <cfRule type="cellIs" dxfId="25824" priority="164447" stopIfTrue="1" operator="greaterThanOrEqual">
      <formula>0.5</formula>
    </cfRule>
  </conditionalFormatting>
  <conditionalFormatting sqref="BB36">
    <cfRule type="cellIs" dxfId="25823" priority="164448" stopIfTrue="1" operator="equal">
      <formula>-1</formula>
    </cfRule>
  </conditionalFormatting>
  <conditionalFormatting sqref="BB36">
    <cfRule type="cellIs" dxfId="25822" priority="164449" stopIfTrue="1" operator="lessThan">
      <formula>0.5</formula>
    </cfRule>
  </conditionalFormatting>
  <conditionalFormatting sqref="BB36">
    <cfRule type="cellIs" dxfId="25821" priority="164450" stopIfTrue="1" operator="greaterThanOrEqual">
      <formula>0.5</formula>
    </cfRule>
  </conditionalFormatting>
  <conditionalFormatting sqref="BB37">
    <cfRule type="cellIs" dxfId="25820" priority="164451" stopIfTrue="1" operator="equal">
      <formula>-1</formula>
    </cfRule>
  </conditionalFormatting>
  <conditionalFormatting sqref="BB37">
    <cfRule type="cellIs" dxfId="25819" priority="164452" stopIfTrue="1" operator="lessThan">
      <formula>0.5</formula>
    </cfRule>
  </conditionalFormatting>
  <conditionalFormatting sqref="BB37">
    <cfRule type="cellIs" dxfId="25818" priority="164453" stopIfTrue="1" operator="greaterThanOrEqual">
      <formula>0.5</formula>
    </cfRule>
  </conditionalFormatting>
  <conditionalFormatting sqref="BD17">
    <cfRule type="cellIs" dxfId="25817" priority="164454" stopIfTrue="1" operator="equal">
      <formula>-1</formula>
    </cfRule>
  </conditionalFormatting>
  <conditionalFormatting sqref="BD17">
    <cfRule type="cellIs" dxfId="25816" priority="164455" stopIfTrue="1" operator="lessThan">
      <formula>0.5</formula>
    </cfRule>
  </conditionalFormatting>
  <conditionalFormatting sqref="BD17">
    <cfRule type="cellIs" dxfId="25815" priority="164456" stopIfTrue="1" operator="greaterThanOrEqual">
      <formula>0.5</formula>
    </cfRule>
  </conditionalFormatting>
  <conditionalFormatting sqref="BD18">
    <cfRule type="cellIs" dxfId="25814" priority="164457" stopIfTrue="1" operator="equal">
      <formula>-1</formula>
    </cfRule>
  </conditionalFormatting>
  <conditionalFormatting sqref="BD18">
    <cfRule type="cellIs" dxfId="25813" priority="164458" stopIfTrue="1" operator="lessThan">
      <formula>0.5</formula>
    </cfRule>
  </conditionalFormatting>
  <conditionalFormatting sqref="BD18">
    <cfRule type="cellIs" dxfId="25812" priority="164459" stopIfTrue="1" operator="greaterThanOrEqual">
      <formula>0.5</formula>
    </cfRule>
  </conditionalFormatting>
  <conditionalFormatting sqref="BD19">
    <cfRule type="cellIs" dxfId="25811" priority="164460" stopIfTrue="1" operator="equal">
      <formula>-1</formula>
    </cfRule>
  </conditionalFormatting>
  <conditionalFormatting sqref="BD19">
    <cfRule type="cellIs" dxfId="25810" priority="164461" stopIfTrue="1" operator="lessThan">
      <formula>0.5</formula>
    </cfRule>
  </conditionalFormatting>
  <conditionalFormatting sqref="BD19">
    <cfRule type="cellIs" dxfId="25809" priority="164462" stopIfTrue="1" operator="greaterThanOrEqual">
      <formula>0.5</formula>
    </cfRule>
  </conditionalFormatting>
  <conditionalFormatting sqref="BD20">
    <cfRule type="cellIs" dxfId="25808" priority="164463" stopIfTrue="1" operator="equal">
      <formula>-1</formula>
    </cfRule>
  </conditionalFormatting>
  <conditionalFormatting sqref="BD20">
    <cfRule type="cellIs" dxfId="25807" priority="164464" stopIfTrue="1" operator="lessThan">
      <formula>0.5</formula>
    </cfRule>
  </conditionalFormatting>
  <conditionalFormatting sqref="BD20">
    <cfRule type="cellIs" dxfId="25806" priority="164465" stopIfTrue="1" operator="greaterThanOrEqual">
      <formula>0.5</formula>
    </cfRule>
  </conditionalFormatting>
  <conditionalFormatting sqref="BD21">
    <cfRule type="cellIs" dxfId="25805" priority="164466" stopIfTrue="1" operator="equal">
      <formula>-1</formula>
    </cfRule>
  </conditionalFormatting>
  <conditionalFormatting sqref="BD21">
    <cfRule type="cellIs" dxfId="25804" priority="164467" stopIfTrue="1" operator="lessThan">
      <formula>0.5</formula>
    </cfRule>
  </conditionalFormatting>
  <conditionalFormatting sqref="BD21">
    <cfRule type="cellIs" dxfId="25803" priority="164468" stopIfTrue="1" operator="greaterThanOrEqual">
      <formula>0.5</formula>
    </cfRule>
  </conditionalFormatting>
  <conditionalFormatting sqref="BD22">
    <cfRule type="cellIs" dxfId="25802" priority="164469" stopIfTrue="1" operator="equal">
      <formula>-1</formula>
    </cfRule>
  </conditionalFormatting>
  <conditionalFormatting sqref="BD22">
    <cfRule type="cellIs" dxfId="25801" priority="164470" stopIfTrue="1" operator="lessThan">
      <formula>0.5</formula>
    </cfRule>
  </conditionalFormatting>
  <conditionalFormatting sqref="BD22">
    <cfRule type="cellIs" dxfId="25800" priority="164471" stopIfTrue="1" operator="greaterThanOrEqual">
      <formula>0.5</formula>
    </cfRule>
  </conditionalFormatting>
  <conditionalFormatting sqref="BD23">
    <cfRule type="cellIs" dxfId="25799" priority="164472" stopIfTrue="1" operator="equal">
      <formula>-1</formula>
    </cfRule>
  </conditionalFormatting>
  <conditionalFormatting sqref="BD23">
    <cfRule type="cellIs" dxfId="25798" priority="164473" stopIfTrue="1" operator="lessThan">
      <formula>0.5</formula>
    </cfRule>
  </conditionalFormatting>
  <conditionalFormatting sqref="BD23">
    <cfRule type="cellIs" dxfId="25797" priority="164474" stopIfTrue="1" operator="greaterThanOrEqual">
      <formula>0.5</formula>
    </cfRule>
  </conditionalFormatting>
  <conditionalFormatting sqref="BD24">
    <cfRule type="cellIs" dxfId="25796" priority="164475" stopIfTrue="1" operator="equal">
      <formula>-1</formula>
    </cfRule>
  </conditionalFormatting>
  <conditionalFormatting sqref="BD24">
    <cfRule type="cellIs" dxfId="25795" priority="164476" stopIfTrue="1" operator="lessThan">
      <formula>0.5</formula>
    </cfRule>
  </conditionalFormatting>
  <conditionalFormatting sqref="BD24">
    <cfRule type="cellIs" dxfId="25794" priority="164477" stopIfTrue="1" operator="greaterThanOrEqual">
      <formula>0.5</formula>
    </cfRule>
  </conditionalFormatting>
  <conditionalFormatting sqref="BD25">
    <cfRule type="cellIs" dxfId="25793" priority="164478" stopIfTrue="1" operator="equal">
      <formula>-1</formula>
    </cfRule>
  </conditionalFormatting>
  <conditionalFormatting sqref="BD25">
    <cfRule type="cellIs" dxfId="25792" priority="164479" stopIfTrue="1" operator="lessThan">
      <formula>0.5</formula>
    </cfRule>
  </conditionalFormatting>
  <conditionalFormatting sqref="BD25">
    <cfRule type="cellIs" dxfId="25791" priority="164480" stopIfTrue="1" operator="greaterThanOrEqual">
      <formula>0.5</formula>
    </cfRule>
  </conditionalFormatting>
  <conditionalFormatting sqref="BD26">
    <cfRule type="cellIs" dxfId="25790" priority="164481" stopIfTrue="1" operator="equal">
      <formula>-1</formula>
    </cfRule>
  </conditionalFormatting>
  <conditionalFormatting sqref="BD26">
    <cfRule type="cellIs" dxfId="25789" priority="164482" stopIfTrue="1" operator="lessThan">
      <formula>0.5</formula>
    </cfRule>
  </conditionalFormatting>
  <conditionalFormatting sqref="BD26">
    <cfRule type="cellIs" dxfId="25788" priority="164483" stopIfTrue="1" operator="greaterThanOrEqual">
      <formula>0.5</formula>
    </cfRule>
  </conditionalFormatting>
  <conditionalFormatting sqref="BD27">
    <cfRule type="cellIs" dxfId="25787" priority="164484" stopIfTrue="1" operator="equal">
      <formula>-1</formula>
    </cfRule>
  </conditionalFormatting>
  <conditionalFormatting sqref="BD27">
    <cfRule type="cellIs" dxfId="25786" priority="164485" stopIfTrue="1" operator="lessThan">
      <formula>0.5</formula>
    </cfRule>
  </conditionalFormatting>
  <conditionalFormatting sqref="BD27">
    <cfRule type="cellIs" dxfId="25785" priority="164486" stopIfTrue="1" operator="greaterThanOrEqual">
      <formula>0.5</formula>
    </cfRule>
  </conditionalFormatting>
  <conditionalFormatting sqref="BD28">
    <cfRule type="cellIs" dxfId="25784" priority="164487" stopIfTrue="1" operator="equal">
      <formula>-1</formula>
    </cfRule>
  </conditionalFormatting>
  <conditionalFormatting sqref="BD28">
    <cfRule type="cellIs" dxfId="25783" priority="164488" stopIfTrue="1" operator="lessThan">
      <formula>0.5</formula>
    </cfRule>
  </conditionalFormatting>
  <conditionalFormatting sqref="BD28">
    <cfRule type="cellIs" dxfId="25782" priority="164489" stopIfTrue="1" operator="greaterThanOrEqual">
      <formula>0.5</formula>
    </cfRule>
  </conditionalFormatting>
  <conditionalFormatting sqref="BD29">
    <cfRule type="cellIs" dxfId="25781" priority="164490" stopIfTrue="1" operator="equal">
      <formula>-1</formula>
    </cfRule>
  </conditionalFormatting>
  <conditionalFormatting sqref="BD29">
    <cfRule type="cellIs" dxfId="25780" priority="164491" stopIfTrue="1" operator="lessThan">
      <formula>0.5</formula>
    </cfRule>
  </conditionalFormatting>
  <conditionalFormatting sqref="BD29">
    <cfRule type="cellIs" dxfId="25779" priority="164492" stopIfTrue="1" operator="greaterThanOrEqual">
      <formula>0.5</formula>
    </cfRule>
  </conditionalFormatting>
  <conditionalFormatting sqref="BD30">
    <cfRule type="cellIs" dxfId="25778" priority="164493" stopIfTrue="1" operator="equal">
      <formula>-1</formula>
    </cfRule>
  </conditionalFormatting>
  <conditionalFormatting sqref="BD30">
    <cfRule type="cellIs" dxfId="25777" priority="164494" stopIfTrue="1" operator="lessThan">
      <formula>0.5</formula>
    </cfRule>
  </conditionalFormatting>
  <conditionalFormatting sqref="BD30">
    <cfRule type="cellIs" dxfId="25776" priority="164495" stopIfTrue="1" operator="greaterThanOrEqual">
      <formula>0.5</formula>
    </cfRule>
  </conditionalFormatting>
  <conditionalFormatting sqref="BD31">
    <cfRule type="cellIs" dxfId="25775" priority="164496" stopIfTrue="1" operator="equal">
      <formula>-1</formula>
    </cfRule>
  </conditionalFormatting>
  <conditionalFormatting sqref="BD31">
    <cfRule type="cellIs" dxfId="25774" priority="164497" stopIfTrue="1" operator="lessThan">
      <formula>0.5</formula>
    </cfRule>
  </conditionalFormatting>
  <conditionalFormatting sqref="BD31">
    <cfRule type="cellIs" dxfId="25773" priority="164498" stopIfTrue="1" operator="greaterThanOrEqual">
      <formula>0.5</formula>
    </cfRule>
  </conditionalFormatting>
  <conditionalFormatting sqref="BD32">
    <cfRule type="cellIs" dxfId="25772" priority="164499" stopIfTrue="1" operator="equal">
      <formula>-1</formula>
    </cfRule>
  </conditionalFormatting>
  <conditionalFormatting sqref="BD32">
    <cfRule type="cellIs" dxfId="25771" priority="164500" stopIfTrue="1" operator="lessThan">
      <formula>0.5</formula>
    </cfRule>
  </conditionalFormatting>
  <conditionalFormatting sqref="BD32">
    <cfRule type="cellIs" dxfId="25770" priority="164501" stopIfTrue="1" operator="greaterThanOrEqual">
      <formula>0.5</formula>
    </cfRule>
  </conditionalFormatting>
  <conditionalFormatting sqref="BD33">
    <cfRule type="cellIs" dxfId="25769" priority="164502" stopIfTrue="1" operator="equal">
      <formula>-1</formula>
    </cfRule>
  </conditionalFormatting>
  <conditionalFormatting sqref="BD33">
    <cfRule type="cellIs" dxfId="25768" priority="164503" stopIfTrue="1" operator="lessThan">
      <formula>0.5</formula>
    </cfRule>
  </conditionalFormatting>
  <conditionalFormatting sqref="BD33">
    <cfRule type="cellIs" dxfId="25767" priority="164504" stopIfTrue="1" operator="greaterThanOrEqual">
      <formula>0.5</formula>
    </cfRule>
  </conditionalFormatting>
  <conditionalFormatting sqref="BD34">
    <cfRule type="cellIs" dxfId="25766" priority="164505" stopIfTrue="1" operator="equal">
      <formula>-1</formula>
    </cfRule>
  </conditionalFormatting>
  <conditionalFormatting sqref="BD34">
    <cfRule type="cellIs" dxfId="25765" priority="164506" stopIfTrue="1" operator="lessThan">
      <formula>0.5</formula>
    </cfRule>
  </conditionalFormatting>
  <conditionalFormatting sqref="BD34">
    <cfRule type="cellIs" dxfId="25764" priority="164507" stopIfTrue="1" operator="greaterThanOrEqual">
      <formula>0.5</formula>
    </cfRule>
  </conditionalFormatting>
  <conditionalFormatting sqref="BD35">
    <cfRule type="cellIs" dxfId="25763" priority="164508" stopIfTrue="1" operator="equal">
      <formula>-1</formula>
    </cfRule>
  </conditionalFormatting>
  <conditionalFormatting sqref="BD35">
    <cfRule type="cellIs" dxfId="25762" priority="164509" stopIfTrue="1" operator="lessThan">
      <formula>0.5</formula>
    </cfRule>
  </conditionalFormatting>
  <conditionalFormatting sqref="BD35">
    <cfRule type="cellIs" dxfId="25761" priority="164510" stopIfTrue="1" operator="greaterThanOrEqual">
      <formula>0.5</formula>
    </cfRule>
  </conditionalFormatting>
  <conditionalFormatting sqref="BD36">
    <cfRule type="cellIs" dxfId="25760" priority="164511" stopIfTrue="1" operator="equal">
      <formula>-1</formula>
    </cfRule>
  </conditionalFormatting>
  <conditionalFormatting sqref="BD36">
    <cfRule type="cellIs" dxfId="25759" priority="164512" stopIfTrue="1" operator="lessThan">
      <formula>0.5</formula>
    </cfRule>
  </conditionalFormatting>
  <conditionalFormatting sqref="BD36">
    <cfRule type="cellIs" dxfId="25758" priority="164513" stopIfTrue="1" operator="greaterThanOrEqual">
      <formula>0.5</formula>
    </cfRule>
  </conditionalFormatting>
  <conditionalFormatting sqref="BD37">
    <cfRule type="cellIs" dxfId="25757" priority="164514" stopIfTrue="1" operator="equal">
      <formula>-1</formula>
    </cfRule>
  </conditionalFormatting>
  <conditionalFormatting sqref="BD37">
    <cfRule type="cellIs" dxfId="25756" priority="164515" stopIfTrue="1" operator="lessThan">
      <formula>0.5</formula>
    </cfRule>
  </conditionalFormatting>
  <conditionalFormatting sqref="BD37">
    <cfRule type="cellIs" dxfId="25755" priority="164516" stopIfTrue="1" operator="greaterThanOrEqual">
      <formula>0.5</formula>
    </cfRule>
  </conditionalFormatting>
  <conditionalFormatting sqref="BF17">
    <cfRule type="cellIs" dxfId="25754" priority="164517" stopIfTrue="1" operator="equal">
      <formula>-1</formula>
    </cfRule>
  </conditionalFormatting>
  <conditionalFormatting sqref="BF17">
    <cfRule type="cellIs" dxfId="25753" priority="164518" stopIfTrue="1" operator="lessThan">
      <formula>0.5</formula>
    </cfRule>
  </conditionalFormatting>
  <conditionalFormatting sqref="BF17">
    <cfRule type="cellIs" dxfId="25752" priority="164519" stopIfTrue="1" operator="greaterThanOrEqual">
      <formula>0.5</formula>
    </cfRule>
  </conditionalFormatting>
  <conditionalFormatting sqref="BF18">
    <cfRule type="cellIs" dxfId="25751" priority="164520" stopIfTrue="1" operator="equal">
      <formula>-1</formula>
    </cfRule>
  </conditionalFormatting>
  <conditionalFormatting sqref="BF18">
    <cfRule type="cellIs" dxfId="25750" priority="164521" stopIfTrue="1" operator="lessThan">
      <formula>0.5</formula>
    </cfRule>
  </conditionalFormatting>
  <conditionalFormatting sqref="BF18">
    <cfRule type="cellIs" dxfId="25749" priority="164522" stopIfTrue="1" operator="greaterThanOrEqual">
      <formula>0.5</formula>
    </cfRule>
  </conditionalFormatting>
  <conditionalFormatting sqref="BF19">
    <cfRule type="cellIs" dxfId="25748" priority="164523" stopIfTrue="1" operator="equal">
      <formula>-1</formula>
    </cfRule>
  </conditionalFormatting>
  <conditionalFormatting sqref="BF19">
    <cfRule type="cellIs" dxfId="25747" priority="164524" stopIfTrue="1" operator="lessThan">
      <formula>0.5</formula>
    </cfRule>
  </conditionalFormatting>
  <conditionalFormatting sqref="BF19">
    <cfRule type="cellIs" dxfId="25746" priority="164525" stopIfTrue="1" operator="greaterThanOrEqual">
      <formula>0.5</formula>
    </cfRule>
  </conditionalFormatting>
  <conditionalFormatting sqref="BF20">
    <cfRule type="cellIs" dxfId="25745" priority="164526" stopIfTrue="1" operator="equal">
      <formula>-1</formula>
    </cfRule>
  </conditionalFormatting>
  <conditionalFormatting sqref="BF20">
    <cfRule type="cellIs" dxfId="25744" priority="164527" stopIfTrue="1" operator="lessThan">
      <formula>0.5</formula>
    </cfRule>
  </conditionalFormatting>
  <conditionalFormatting sqref="BF20">
    <cfRule type="cellIs" dxfId="25743" priority="164528" stopIfTrue="1" operator="greaterThanOrEqual">
      <formula>0.5</formula>
    </cfRule>
  </conditionalFormatting>
  <conditionalFormatting sqref="BF21">
    <cfRule type="cellIs" dxfId="25742" priority="164529" stopIfTrue="1" operator="equal">
      <formula>-1</formula>
    </cfRule>
  </conditionalFormatting>
  <conditionalFormatting sqref="BF21">
    <cfRule type="cellIs" dxfId="25741" priority="164530" stopIfTrue="1" operator="lessThan">
      <formula>0.5</formula>
    </cfRule>
  </conditionalFormatting>
  <conditionalFormatting sqref="BF21">
    <cfRule type="cellIs" dxfId="25740" priority="164531" stopIfTrue="1" operator="greaterThanOrEqual">
      <formula>0.5</formula>
    </cfRule>
  </conditionalFormatting>
  <conditionalFormatting sqref="BF22">
    <cfRule type="cellIs" dxfId="25739" priority="164532" stopIfTrue="1" operator="equal">
      <formula>-1</formula>
    </cfRule>
  </conditionalFormatting>
  <conditionalFormatting sqref="BF22">
    <cfRule type="cellIs" dxfId="25738" priority="164533" stopIfTrue="1" operator="lessThan">
      <formula>0.5</formula>
    </cfRule>
  </conditionalFormatting>
  <conditionalFormatting sqref="BF22">
    <cfRule type="cellIs" dxfId="25737" priority="164534" stopIfTrue="1" operator="greaterThanOrEqual">
      <formula>0.5</formula>
    </cfRule>
  </conditionalFormatting>
  <conditionalFormatting sqref="BF23">
    <cfRule type="cellIs" dxfId="25736" priority="164535" stopIfTrue="1" operator="equal">
      <formula>-1</formula>
    </cfRule>
  </conditionalFormatting>
  <conditionalFormatting sqref="BF23">
    <cfRule type="cellIs" dxfId="25735" priority="164536" stopIfTrue="1" operator="lessThan">
      <formula>0.5</formula>
    </cfRule>
  </conditionalFormatting>
  <conditionalFormatting sqref="BF23">
    <cfRule type="cellIs" dxfId="25734" priority="164537" stopIfTrue="1" operator="greaterThanOrEqual">
      <formula>0.5</formula>
    </cfRule>
  </conditionalFormatting>
  <conditionalFormatting sqref="BF24">
    <cfRule type="cellIs" dxfId="25733" priority="164538" stopIfTrue="1" operator="equal">
      <formula>-1</formula>
    </cfRule>
  </conditionalFormatting>
  <conditionalFormatting sqref="BF24">
    <cfRule type="cellIs" dxfId="25732" priority="164539" stopIfTrue="1" operator="lessThan">
      <formula>0.5</formula>
    </cfRule>
  </conditionalFormatting>
  <conditionalFormatting sqref="BF24">
    <cfRule type="cellIs" dxfId="25731" priority="164540" stopIfTrue="1" operator="greaterThanOrEqual">
      <formula>0.5</formula>
    </cfRule>
  </conditionalFormatting>
  <conditionalFormatting sqref="BF25">
    <cfRule type="cellIs" dxfId="25730" priority="164541" stopIfTrue="1" operator="equal">
      <formula>-1</formula>
    </cfRule>
  </conditionalFormatting>
  <conditionalFormatting sqref="BF25">
    <cfRule type="cellIs" dxfId="25729" priority="164542" stopIfTrue="1" operator="lessThan">
      <formula>0.5</formula>
    </cfRule>
  </conditionalFormatting>
  <conditionalFormatting sqref="BF25">
    <cfRule type="cellIs" dxfId="25728" priority="164543" stopIfTrue="1" operator="greaterThanOrEqual">
      <formula>0.5</formula>
    </cfRule>
  </conditionalFormatting>
  <conditionalFormatting sqref="BF26">
    <cfRule type="cellIs" dxfId="25727" priority="164544" stopIfTrue="1" operator="equal">
      <formula>-1</formula>
    </cfRule>
  </conditionalFormatting>
  <conditionalFormatting sqref="BF26">
    <cfRule type="cellIs" dxfId="25726" priority="164545" stopIfTrue="1" operator="lessThan">
      <formula>0.5</formula>
    </cfRule>
  </conditionalFormatting>
  <conditionalFormatting sqref="BF26">
    <cfRule type="cellIs" dxfId="25725" priority="164546" stopIfTrue="1" operator="greaterThanOrEqual">
      <formula>0.5</formula>
    </cfRule>
  </conditionalFormatting>
  <conditionalFormatting sqref="BF27">
    <cfRule type="cellIs" dxfId="25724" priority="164547" stopIfTrue="1" operator="equal">
      <formula>-1</formula>
    </cfRule>
  </conditionalFormatting>
  <conditionalFormatting sqref="BF27">
    <cfRule type="cellIs" dxfId="25723" priority="164548" stopIfTrue="1" operator="lessThan">
      <formula>0.5</formula>
    </cfRule>
  </conditionalFormatting>
  <conditionalFormatting sqref="BF27">
    <cfRule type="cellIs" dxfId="25722" priority="164549" stopIfTrue="1" operator="greaterThanOrEqual">
      <formula>0.5</formula>
    </cfRule>
  </conditionalFormatting>
  <conditionalFormatting sqref="BF28">
    <cfRule type="cellIs" dxfId="25721" priority="164550" stopIfTrue="1" operator="equal">
      <formula>-1</formula>
    </cfRule>
  </conditionalFormatting>
  <conditionalFormatting sqref="BF28">
    <cfRule type="cellIs" dxfId="25720" priority="164551" stopIfTrue="1" operator="lessThan">
      <formula>0.5</formula>
    </cfRule>
  </conditionalFormatting>
  <conditionalFormatting sqref="BF28">
    <cfRule type="cellIs" dxfId="25719" priority="164552" stopIfTrue="1" operator="greaterThanOrEqual">
      <formula>0.5</formula>
    </cfRule>
  </conditionalFormatting>
  <conditionalFormatting sqref="BF29">
    <cfRule type="cellIs" dxfId="25718" priority="164553" stopIfTrue="1" operator="equal">
      <formula>-1</formula>
    </cfRule>
  </conditionalFormatting>
  <conditionalFormatting sqref="BF29">
    <cfRule type="cellIs" dxfId="25717" priority="164554" stopIfTrue="1" operator="lessThan">
      <formula>0.5</formula>
    </cfRule>
  </conditionalFormatting>
  <conditionalFormatting sqref="BF29">
    <cfRule type="cellIs" dxfId="25716" priority="164555" stopIfTrue="1" operator="greaterThanOrEqual">
      <formula>0.5</formula>
    </cfRule>
  </conditionalFormatting>
  <conditionalFormatting sqref="BF30">
    <cfRule type="cellIs" dxfId="25715" priority="164556" stopIfTrue="1" operator="equal">
      <formula>-1</formula>
    </cfRule>
  </conditionalFormatting>
  <conditionalFormatting sqref="BF30">
    <cfRule type="cellIs" dxfId="25714" priority="164557" stopIfTrue="1" operator="lessThan">
      <formula>0.5</formula>
    </cfRule>
  </conditionalFormatting>
  <conditionalFormatting sqref="BF30">
    <cfRule type="cellIs" dxfId="25713" priority="164558" stopIfTrue="1" operator="greaterThanOrEqual">
      <formula>0.5</formula>
    </cfRule>
  </conditionalFormatting>
  <conditionalFormatting sqref="BF31">
    <cfRule type="cellIs" dxfId="25712" priority="164559" stopIfTrue="1" operator="equal">
      <formula>-1</formula>
    </cfRule>
  </conditionalFormatting>
  <conditionalFormatting sqref="BF31">
    <cfRule type="cellIs" dxfId="25711" priority="164560" stopIfTrue="1" operator="lessThan">
      <formula>0.5</formula>
    </cfRule>
  </conditionalFormatting>
  <conditionalFormatting sqref="BF31">
    <cfRule type="cellIs" dxfId="25710" priority="164561" stopIfTrue="1" operator="greaterThanOrEqual">
      <formula>0.5</formula>
    </cfRule>
  </conditionalFormatting>
  <conditionalFormatting sqref="BF32">
    <cfRule type="cellIs" dxfId="25709" priority="164562" stopIfTrue="1" operator="equal">
      <formula>-1</formula>
    </cfRule>
  </conditionalFormatting>
  <conditionalFormatting sqref="BF32">
    <cfRule type="cellIs" dxfId="25708" priority="164563" stopIfTrue="1" operator="lessThan">
      <formula>0.5</formula>
    </cfRule>
  </conditionalFormatting>
  <conditionalFormatting sqref="BF32">
    <cfRule type="cellIs" dxfId="25707" priority="164564" stopIfTrue="1" operator="greaterThanOrEqual">
      <formula>0.5</formula>
    </cfRule>
  </conditionalFormatting>
  <conditionalFormatting sqref="BF33">
    <cfRule type="cellIs" dxfId="25706" priority="164565" stopIfTrue="1" operator="equal">
      <formula>-1</formula>
    </cfRule>
  </conditionalFormatting>
  <conditionalFormatting sqref="BF33">
    <cfRule type="cellIs" dxfId="25705" priority="164566" stopIfTrue="1" operator="lessThan">
      <formula>0.5</formula>
    </cfRule>
  </conditionalFormatting>
  <conditionalFormatting sqref="BF33">
    <cfRule type="cellIs" dxfId="25704" priority="164567" stopIfTrue="1" operator="greaterThanOrEqual">
      <formula>0.5</formula>
    </cfRule>
  </conditionalFormatting>
  <conditionalFormatting sqref="BF34">
    <cfRule type="cellIs" dxfId="25703" priority="164568" stopIfTrue="1" operator="equal">
      <formula>-1</formula>
    </cfRule>
  </conditionalFormatting>
  <conditionalFormatting sqref="BF34">
    <cfRule type="cellIs" dxfId="25702" priority="164569" stopIfTrue="1" operator="lessThan">
      <formula>0.5</formula>
    </cfRule>
  </conditionalFormatting>
  <conditionalFormatting sqref="BF34">
    <cfRule type="cellIs" dxfId="25701" priority="164570" stopIfTrue="1" operator="greaterThanOrEqual">
      <formula>0.5</formula>
    </cfRule>
  </conditionalFormatting>
  <conditionalFormatting sqref="BF35">
    <cfRule type="cellIs" dxfId="25700" priority="164571" stopIfTrue="1" operator="equal">
      <formula>-1</formula>
    </cfRule>
  </conditionalFormatting>
  <conditionalFormatting sqref="BF35">
    <cfRule type="cellIs" dxfId="25699" priority="164572" stopIfTrue="1" operator="lessThan">
      <formula>0.5</formula>
    </cfRule>
  </conditionalFormatting>
  <conditionalFormatting sqref="BF35">
    <cfRule type="cellIs" dxfId="25698" priority="164573" stopIfTrue="1" operator="greaterThanOrEqual">
      <formula>0.5</formula>
    </cfRule>
  </conditionalFormatting>
  <conditionalFormatting sqref="BF36">
    <cfRule type="cellIs" dxfId="25697" priority="164574" stopIfTrue="1" operator="equal">
      <formula>-1</formula>
    </cfRule>
  </conditionalFormatting>
  <conditionalFormatting sqref="BF36">
    <cfRule type="cellIs" dxfId="25696" priority="164575" stopIfTrue="1" operator="lessThan">
      <formula>0.5</formula>
    </cfRule>
  </conditionalFormatting>
  <conditionalFormatting sqref="BF36">
    <cfRule type="cellIs" dxfId="25695" priority="164576" stopIfTrue="1" operator="greaterThanOrEqual">
      <formula>0.5</formula>
    </cfRule>
  </conditionalFormatting>
  <conditionalFormatting sqref="BF37">
    <cfRule type="cellIs" dxfId="25694" priority="164577" stopIfTrue="1" operator="equal">
      <formula>-1</formula>
    </cfRule>
  </conditionalFormatting>
  <conditionalFormatting sqref="BF37">
    <cfRule type="cellIs" dxfId="25693" priority="164578" stopIfTrue="1" operator="lessThan">
      <formula>0.5</formula>
    </cfRule>
  </conditionalFormatting>
  <conditionalFormatting sqref="BF37">
    <cfRule type="cellIs" dxfId="25692" priority="164579" stopIfTrue="1" operator="greaterThanOrEqual">
      <formula>0.5</formula>
    </cfRule>
  </conditionalFormatting>
  <conditionalFormatting sqref="BH17">
    <cfRule type="cellIs" dxfId="25691" priority="164580" stopIfTrue="1" operator="equal">
      <formula>-1</formula>
    </cfRule>
  </conditionalFormatting>
  <conditionalFormatting sqref="BH17">
    <cfRule type="cellIs" dxfId="25690" priority="164581" stopIfTrue="1" operator="lessThan">
      <formula>0.5</formula>
    </cfRule>
  </conditionalFormatting>
  <conditionalFormatting sqref="BH17">
    <cfRule type="cellIs" dxfId="25689" priority="164582" stopIfTrue="1" operator="greaterThanOrEqual">
      <formula>0.5</formula>
    </cfRule>
  </conditionalFormatting>
  <conditionalFormatting sqref="BH18">
    <cfRule type="cellIs" dxfId="25688" priority="164583" stopIfTrue="1" operator="equal">
      <formula>-1</formula>
    </cfRule>
  </conditionalFormatting>
  <conditionalFormatting sqref="BH18">
    <cfRule type="cellIs" dxfId="25687" priority="164584" stopIfTrue="1" operator="lessThan">
      <formula>0.5</formula>
    </cfRule>
  </conditionalFormatting>
  <conditionalFormatting sqref="BH18">
    <cfRule type="cellIs" dxfId="25686" priority="164585" stopIfTrue="1" operator="greaterThanOrEqual">
      <formula>0.5</formula>
    </cfRule>
  </conditionalFormatting>
  <conditionalFormatting sqref="BH19">
    <cfRule type="cellIs" dxfId="25685" priority="164586" stopIfTrue="1" operator="equal">
      <formula>-1</formula>
    </cfRule>
  </conditionalFormatting>
  <conditionalFormatting sqref="BH19">
    <cfRule type="cellIs" dxfId="25684" priority="164587" stopIfTrue="1" operator="lessThan">
      <formula>0.5</formula>
    </cfRule>
  </conditionalFormatting>
  <conditionalFormatting sqref="BH19">
    <cfRule type="cellIs" dxfId="25683" priority="164588" stopIfTrue="1" operator="greaterThanOrEqual">
      <formula>0.5</formula>
    </cfRule>
  </conditionalFormatting>
  <conditionalFormatting sqref="BH20">
    <cfRule type="cellIs" dxfId="25682" priority="164589" stopIfTrue="1" operator="equal">
      <formula>-1</formula>
    </cfRule>
  </conditionalFormatting>
  <conditionalFormatting sqref="BH20">
    <cfRule type="cellIs" dxfId="25681" priority="164590" stopIfTrue="1" operator="lessThan">
      <formula>0.5</formula>
    </cfRule>
  </conditionalFormatting>
  <conditionalFormatting sqref="BH20">
    <cfRule type="cellIs" dxfId="25680" priority="164591" stopIfTrue="1" operator="greaterThanOrEqual">
      <formula>0.5</formula>
    </cfRule>
  </conditionalFormatting>
  <conditionalFormatting sqref="BH21">
    <cfRule type="cellIs" dxfId="25679" priority="164592" stopIfTrue="1" operator="equal">
      <formula>-1</formula>
    </cfRule>
  </conditionalFormatting>
  <conditionalFormatting sqref="BH21">
    <cfRule type="cellIs" dxfId="25678" priority="164593" stopIfTrue="1" operator="lessThan">
      <formula>0.5</formula>
    </cfRule>
  </conditionalFormatting>
  <conditionalFormatting sqref="BH21">
    <cfRule type="cellIs" dxfId="25677" priority="164594" stopIfTrue="1" operator="greaterThanOrEqual">
      <formula>0.5</formula>
    </cfRule>
  </conditionalFormatting>
  <conditionalFormatting sqref="BH22">
    <cfRule type="cellIs" dxfId="25676" priority="164595" stopIfTrue="1" operator="equal">
      <formula>-1</formula>
    </cfRule>
  </conditionalFormatting>
  <conditionalFormatting sqref="BH22">
    <cfRule type="cellIs" dxfId="25675" priority="164596" stopIfTrue="1" operator="lessThan">
      <formula>0.5</formula>
    </cfRule>
  </conditionalFormatting>
  <conditionalFormatting sqref="BH22">
    <cfRule type="cellIs" dxfId="25674" priority="164597" stopIfTrue="1" operator="greaterThanOrEqual">
      <formula>0.5</formula>
    </cfRule>
  </conditionalFormatting>
  <conditionalFormatting sqref="BH23">
    <cfRule type="cellIs" dxfId="25673" priority="164598" stopIfTrue="1" operator="equal">
      <formula>-1</formula>
    </cfRule>
  </conditionalFormatting>
  <conditionalFormatting sqref="BH23">
    <cfRule type="cellIs" dxfId="25672" priority="164599" stopIfTrue="1" operator="lessThan">
      <formula>0.5</formula>
    </cfRule>
  </conditionalFormatting>
  <conditionalFormatting sqref="BH23">
    <cfRule type="cellIs" dxfId="25671" priority="164600" stopIfTrue="1" operator="greaterThanOrEqual">
      <formula>0.5</formula>
    </cfRule>
  </conditionalFormatting>
  <conditionalFormatting sqref="BH24">
    <cfRule type="cellIs" dxfId="25670" priority="164601" stopIfTrue="1" operator="equal">
      <formula>-1</formula>
    </cfRule>
  </conditionalFormatting>
  <conditionalFormatting sqref="BH24">
    <cfRule type="cellIs" dxfId="25669" priority="164602" stopIfTrue="1" operator="lessThan">
      <formula>0.5</formula>
    </cfRule>
  </conditionalFormatting>
  <conditionalFormatting sqref="BH24">
    <cfRule type="cellIs" dxfId="25668" priority="164603" stopIfTrue="1" operator="greaterThanOrEqual">
      <formula>0.5</formula>
    </cfRule>
  </conditionalFormatting>
  <conditionalFormatting sqref="BH25">
    <cfRule type="cellIs" dxfId="25667" priority="164604" stopIfTrue="1" operator="equal">
      <formula>-1</formula>
    </cfRule>
  </conditionalFormatting>
  <conditionalFormatting sqref="BH25">
    <cfRule type="cellIs" dxfId="25666" priority="164605" stopIfTrue="1" operator="lessThan">
      <formula>0.5</formula>
    </cfRule>
  </conditionalFormatting>
  <conditionalFormatting sqref="BH25">
    <cfRule type="cellIs" dxfId="25665" priority="164606" stopIfTrue="1" operator="greaterThanOrEqual">
      <formula>0.5</formula>
    </cfRule>
  </conditionalFormatting>
  <conditionalFormatting sqref="BH26">
    <cfRule type="cellIs" dxfId="25664" priority="164607" stopIfTrue="1" operator="equal">
      <formula>-1</formula>
    </cfRule>
  </conditionalFormatting>
  <conditionalFormatting sqref="BH26">
    <cfRule type="cellIs" dxfId="25663" priority="164608" stopIfTrue="1" operator="lessThan">
      <formula>0.5</formula>
    </cfRule>
  </conditionalFormatting>
  <conditionalFormatting sqref="BH26">
    <cfRule type="cellIs" dxfId="25662" priority="164609" stopIfTrue="1" operator="greaterThanOrEqual">
      <formula>0.5</formula>
    </cfRule>
  </conditionalFormatting>
  <conditionalFormatting sqref="BH27">
    <cfRule type="cellIs" dxfId="25661" priority="164610" stopIfTrue="1" operator="equal">
      <formula>-1</formula>
    </cfRule>
  </conditionalFormatting>
  <conditionalFormatting sqref="BH27">
    <cfRule type="cellIs" dxfId="25660" priority="164611" stopIfTrue="1" operator="lessThan">
      <formula>0.5</formula>
    </cfRule>
  </conditionalFormatting>
  <conditionalFormatting sqref="BH27">
    <cfRule type="cellIs" dxfId="25659" priority="164612" stopIfTrue="1" operator="greaterThanOrEqual">
      <formula>0.5</formula>
    </cfRule>
  </conditionalFormatting>
  <conditionalFormatting sqref="BH28">
    <cfRule type="cellIs" dxfId="25658" priority="164613" stopIfTrue="1" operator="equal">
      <formula>-1</formula>
    </cfRule>
  </conditionalFormatting>
  <conditionalFormatting sqref="BH28">
    <cfRule type="cellIs" dxfId="25657" priority="164614" stopIfTrue="1" operator="lessThan">
      <formula>0.5</formula>
    </cfRule>
  </conditionalFormatting>
  <conditionalFormatting sqref="BH28">
    <cfRule type="cellIs" dxfId="25656" priority="164615" stopIfTrue="1" operator="greaterThanOrEqual">
      <formula>0.5</formula>
    </cfRule>
  </conditionalFormatting>
  <conditionalFormatting sqref="BH29">
    <cfRule type="cellIs" dxfId="25655" priority="164616" stopIfTrue="1" operator="equal">
      <formula>-1</formula>
    </cfRule>
  </conditionalFormatting>
  <conditionalFormatting sqref="BH29">
    <cfRule type="cellIs" dxfId="25654" priority="164617" stopIfTrue="1" operator="lessThan">
      <formula>0.5</formula>
    </cfRule>
  </conditionalFormatting>
  <conditionalFormatting sqref="BH29">
    <cfRule type="cellIs" dxfId="25653" priority="164618" stopIfTrue="1" operator="greaterThanOrEqual">
      <formula>0.5</formula>
    </cfRule>
  </conditionalFormatting>
  <conditionalFormatting sqref="BH30">
    <cfRule type="cellIs" dxfId="25652" priority="164619" stopIfTrue="1" operator="equal">
      <formula>-1</formula>
    </cfRule>
  </conditionalFormatting>
  <conditionalFormatting sqref="BH30">
    <cfRule type="cellIs" dxfId="25651" priority="164620" stopIfTrue="1" operator="lessThan">
      <formula>0.5</formula>
    </cfRule>
  </conditionalFormatting>
  <conditionalFormatting sqref="BH30">
    <cfRule type="cellIs" dxfId="25650" priority="164621" stopIfTrue="1" operator="greaterThanOrEqual">
      <formula>0.5</formula>
    </cfRule>
  </conditionalFormatting>
  <conditionalFormatting sqref="BH31">
    <cfRule type="cellIs" dxfId="25649" priority="164622" stopIfTrue="1" operator="equal">
      <formula>-1</formula>
    </cfRule>
  </conditionalFormatting>
  <conditionalFormatting sqref="BH31">
    <cfRule type="cellIs" dxfId="25648" priority="164623" stopIfTrue="1" operator="lessThan">
      <formula>0.5</formula>
    </cfRule>
  </conditionalFormatting>
  <conditionalFormatting sqref="BH31">
    <cfRule type="cellIs" dxfId="25647" priority="164624" stopIfTrue="1" operator="greaterThanOrEqual">
      <formula>0.5</formula>
    </cfRule>
  </conditionalFormatting>
  <conditionalFormatting sqref="BH32">
    <cfRule type="cellIs" dxfId="25646" priority="164625" stopIfTrue="1" operator="equal">
      <formula>-1</formula>
    </cfRule>
  </conditionalFormatting>
  <conditionalFormatting sqref="BH32">
    <cfRule type="cellIs" dxfId="25645" priority="164626" stopIfTrue="1" operator="lessThan">
      <formula>0.5</formula>
    </cfRule>
  </conditionalFormatting>
  <conditionalFormatting sqref="BH32">
    <cfRule type="cellIs" dxfId="25644" priority="164627" stopIfTrue="1" operator="greaterThanOrEqual">
      <formula>0.5</formula>
    </cfRule>
  </conditionalFormatting>
  <conditionalFormatting sqref="BH33">
    <cfRule type="cellIs" dxfId="25643" priority="164628" stopIfTrue="1" operator="equal">
      <formula>-1</formula>
    </cfRule>
  </conditionalFormatting>
  <conditionalFormatting sqref="BH33">
    <cfRule type="cellIs" dxfId="25642" priority="164629" stopIfTrue="1" operator="lessThan">
      <formula>0.5</formula>
    </cfRule>
  </conditionalFormatting>
  <conditionalFormatting sqref="BH33">
    <cfRule type="cellIs" dxfId="25641" priority="164630" stopIfTrue="1" operator="greaterThanOrEqual">
      <formula>0.5</formula>
    </cfRule>
  </conditionalFormatting>
  <conditionalFormatting sqref="BH34">
    <cfRule type="cellIs" dxfId="25640" priority="164631" stopIfTrue="1" operator="equal">
      <formula>-1</formula>
    </cfRule>
  </conditionalFormatting>
  <conditionalFormatting sqref="BH34">
    <cfRule type="cellIs" dxfId="25639" priority="164632" stopIfTrue="1" operator="lessThan">
      <formula>0.5</formula>
    </cfRule>
  </conditionalFormatting>
  <conditionalFormatting sqref="BH34">
    <cfRule type="cellIs" dxfId="25638" priority="164633" stopIfTrue="1" operator="greaterThanOrEqual">
      <formula>0.5</formula>
    </cfRule>
  </conditionalFormatting>
  <conditionalFormatting sqref="BH35">
    <cfRule type="cellIs" dxfId="25637" priority="164634" stopIfTrue="1" operator="equal">
      <formula>-1</formula>
    </cfRule>
  </conditionalFormatting>
  <conditionalFormatting sqref="BH35">
    <cfRule type="cellIs" dxfId="25636" priority="164635" stopIfTrue="1" operator="lessThan">
      <formula>0.5</formula>
    </cfRule>
  </conditionalFormatting>
  <conditionalFormatting sqref="BH35">
    <cfRule type="cellIs" dxfId="25635" priority="164636" stopIfTrue="1" operator="greaterThanOrEqual">
      <formula>0.5</formula>
    </cfRule>
  </conditionalFormatting>
  <conditionalFormatting sqref="BH36">
    <cfRule type="cellIs" dxfId="25634" priority="164637" stopIfTrue="1" operator="equal">
      <formula>-1</formula>
    </cfRule>
  </conditionalFormatting>
  <conditionalFormatting sqref="BH36">
    <cfRule type="cellIs" dxfId="25633" priority="164638" stopIfTrue="1" operator="lessThan">
      <formula>0.5</formula>
    </cfRule>
  </conditionalFormatting>
  <conditionalFormatting sqref="BH36">
    <cfRule type="cellIs" dxfId="25632" priority="164639" stopIfTrue="1" operator="greaterThanOrEqual">
      <formula>0.5</formula>
    </cfRule>
  </conditionalFormatting>
  <conditionalFormatting sqref="BH37">
    <cfRule type="cellIs" dxfId="25631" priority="164640" stopIfTrue="1" operator="equal">
      <formula>-1</formula>
    </cfRule>
  </conditionalFormatting>
  <conditionalFormatting sqref="BH37">
    <cfRule type="cellIs" dxfId="25630" priority="164641" stopIfTrue="1" operator="lessThan">
      <formula>0.5</formula>
    </cfRule>
  </conditionalFormatting>
  <conditionalFormatting sqref="BH37">
    <cfRule type="cellIs" dxfId="25629" priority="164642" stopIfTrue="1" operator="greaterThanOrEqual">
      <formula>0.5</formula>
    </cfRule>
  </conditionalFormatting>
  <conditionalFormatting sqref="BJ17">
    <cfRule type="cellIs" dxfId="25628" priority="164643" stopIfTrue="1" operator="equal">
      <formula>-1</formula>
    </cfRule>
  </conditionalFormatting>
  <conditionalFormatting sqref="BJ17">
    <cfRule type="cellIs" dxfId="25627" priority="164644" stopIfTrue="1" operator="lessThan">
      <formula>0.5</formula>
    </cfRule>
  </conditionalFormatting>
  <conditionalFormatting sqref="BJ17">
    <cfRule type="cellIs" dxfId="25626" priority="164645" stopIfTrue="1" operator="greaterThanOrEqual">
      <formula>0.5</formula>
    </cfRule>
  </conditionalFormatting>
  <conditionalFormatting sqref="BJ18">
    <cfRule type="cellIs" dxfId="25625" priority="164646" stopIfTrue="1" operator="equal">
      <formula>-1</formula>
    </cfRule>
  </conditionalFormatting>
  <conditionalFormatting sqref="BJ18">
    <cfRule type="cellIs" dxfId="25624" priority="164647" stopIfTrue="1" operator="lessThan">
      <formula>0.5</formula>
    </cfRule>
  </conditionalFormatting>
  <conditionalFormatting sqref="BJ18">
    <cfRule type="cellIs" dxfId="25623" priority="164648" stopIfTrue="1" operator="greaterThanOrEqual">
      <formula>0.5</formula>
    </cfRule>
  </conditionalFormatting>
  <conditionalFormatting sqref="BJ19">
    <cfRule type="cellIs" dxfId="25622" priority="164649" stopIfTrue="1" operator="equal">
      <formula>-1</formula>
    </cfRule>
  </conditionalFormatting>
  <conditionalFormatting sqref="BJ19">
    <cfRule type="cellIs" dxfId="25621" priority="164650" stopIfTrue="1" operator="lessThan">
      <formula>0.5</formula>
    </cfRule>
  </conditionalFormatting>
  <conditionalFormatting sqref="BJ19">
    <cfRule type="cellIs" dxfId="25620" priority="164651" stopIfTrue="1" operator="greaterThanOrEqual">
      <formula>0.5</formula>
    </cfRule>
  </conditionalFormatting>
  <conditionalFormatting sqref="BJ20">
    <cfRule type="cellIs" dxfId="25619" priority="164652" stopIfTrue="1" operator="equal">
      <formula>-1</formula>
    </cfRule>
  </conditionalFormatting>
  <conditionalFormatting sqref="BJ20">
    <cfRule type="cellIs" dxfId="25618" priority="164653" stopIfTrue="1" operator="lessThan">
      <formula>0.5</formula>
    </cfRule>
  </conditionalFormatting>
  <conditionalFormatting sqref="BJ20">
    <cfRule type="cellIs" dxfId="25617" priority="164654" stopIfTrue="1" operator="greaterThanOrEqual">
      <formula>0.5</formula>
    </cfRule>
  </conditionalFormatting>
  <conditionalFormatting sqref="BJ21">
    <cfRule type="cellIs" dxfId="25616" priority="164655" stopIfTrue="1" operator="equal">
      <formula>-1</formula>
    </cfRule>
  </conditionalFormatting>
  <conditionalFormatting sqref="BJ21">
    <cfRule type="cellIs" dxfId="25615" priority="164656" stopIfTrue="1" operator="lessThan">
      <formula>0.5</formula>
    </cfRule>
  </conditionalFormatting>
  <conditionalFormatting sqref="BJ21">
    <cfRule type="cellIs" dxfId="25614" priority="164657" stopIfTrue="1" operator="greaterThanOrEqual">
      <formula>0.5</formula>
    </cfRule>
  </conditionalFormatting>
  <conditionalFormatting sqref="BJ22">
    <cfRule type="cellIs" dxfId="25613" priority="164658" stopIfTrue="1" operator="equal">
      <formula>-1</formula>
    </cfRule>
  </conditionalFormatting>
  <conditionalFormatting sqref="BJ22">
    <cfRule type="cellIs" dxfId="25612" priority="164659" stopIfTrue="1" operator="lessThan">
      <formula>0.5</formula>
    </cfRule>
  </conditionalFormatting>
  <conditionalFormatting sqref="BJ22">
    <cfRule type="cellIs" dxfId="25611" priority="164660" stopIfTrue="1" operator="greaterThanOrEqual">
      <formula>0.5</formula>
    </cfRule>
  </conditionalFormatting>
  <conditionalFormatting sqref="BJ23">
    <cfRule type="cellIs" dxfId="25610" priority="164661" stopIfTrue="1" operator="equal">
      <formula>-1</formula>
    </cfRule>
  </conditionalFormatting>
  <conditionalFormatting sqref="BJ23">
    <cfRule type="cellIs" dxfId="25609" priority="164662" stopIfTrue="1" operator="lessThan">
      <formula>0.5</formula>
    </cfRule>
  </conditionalFormatting>
  <conditionalFormatting sqref="BJ23">
    <cfRule type="cellIs" dxfId="25608" priority="164663" stopIfTrue="1" operator="greaterThanOrEqual">
      <formula>0.5</formula>
    </cfRule>
  </conditionalFormatting>
  <conditionalFormatting sqref="BJ24">
    <cfRule type="cellIs" dxfId="25607" priority="164664" stopIfTrue="1" operator="equal">
      <formula>-1</formula>
    </cfRule>
  </conditionalFormatting>
  <conditionalFormatting sqref="BJ24">
    <cfRule type="cellIs" dxfId="25606" priority="164665" stopIfTrue="1" operator="lessThan">
      <formula>0.5</formula>
    </cfRule>
  </conditionalFormatting>
  <conditionalFormatting sqref="BJ24">
    <cfRule type="cellIs" dxfId="25605" priority="164666" stopIfTrue="1" operator="greaterThanOrEqual">
      <formula>0.5</formula>
    </cfRule>
  </conditionalFormatting>
  <conditionalFormatting sqref="BJ25">
    <cfRule type="cellIs" dxfId="25604" priority="164667" stopIfTrue="1" operator="equal">
      <formula>-1</formula>
    </cfRule>
  </conditionalFormatting>
  <conditionalFormatting sqref="BJ25">
    <cfRule type="cellIs" dxfId="25603" priority="164668" stopIfTrue="1" operator="lessThan">
      <formula>0.5</formula>
    </cfRule>
  </conditionalFormatting>
  <conditionalFormatting sqref="BJ25">
    <cfRule type="cellIs" dxfId="25602" priority="164669" stopIfTrue="1" operator="greaterThanOrEqual">
      <formula>0.5</formula>
    </cfRule>
  </conditionalFormatting>
  <conditionalFormatting sqref="BJ26">
    <cfRule type="cellIs" dxfId="25601" priority="164670" stopIfTrue="1" operator="equal">
      <formula>-1</formula>
    </cfRule>
  </conditionalFormatting>
  <conditionalFormatting sqref="BJ26">
    <cfRule type="cellIs" dxfId="25600" priority="164671" stopIfTrue="1" operator="lessThan">
      <formula>0.5</formula>
    </cfRule>
  </conditionalFormatting>
  <conditionalFormatting sqref="BJ26">
    <cfRule type="cellIs" dxfId="25599" priority="164672" stopIfTrue="1" operator="greaterThanOrEqual">
      <formula>0.5</formula>
    </cfRule>
  </conditionalFormatting>
  <conditionalFormatting sqref="BJ27">
    <cfRule type="cellIs" dxfId="25598" priority="164673" stopIfTrue="1" operator="equal">
      <formula>-1</formula>
    </cfRule>
  </conditionalFormatting>
  <conditionalFormatting sqref="BJ27">
    <cfRule type="cellIs" dxfId="25597" priority="164674" stopIfTrue="1" operator="lessThan">
      <formula>0.5</formula>
    </cfRule>
  </conditionalFormatting>
  <conditionalFormatting sqref="BJ27">
    <cfRule type="cellIs" dxfId="25596" priority="164675" stopIfTrue="1" operator="greaterThanOrEqual">
      <formula>0.5</formula>
    </cfRule>
  </conditionalFormatting>
  <conditionalFormatting sqref="BJ28">
    <cfRule type="cellIs" dxfId="25595" priority="164676" stopIfTrue="1" operator="equal">
      <formula>-1</formula>
    </cfRule>
  </conditionalFormatting>
  <conditionalFormatting sqref="BJ28">
    <cfRule type="cellIs" dxfId="25594" priority="164677" stopIfTrue="1" operator="lessThan">
      <formula>0.5</formula>
    </cfRule>
  </conditionalFormatting>
  <conditionalFormatting sqref="BJ28">
    <cfRule type="cellIs" dxfId="25593" priority="164678" stopIfTrue="1" operator="greaterThanOrEqual">
      <formula>0.5</formula>
    </cfRule>
  </conditionalFormatting>
  <conditionalFormatting sqref="BJ29">
    <cfRule type="cellIs" dxfId="25592" priority="164679" stopIfTrue="1" operator="equal">
      <formula>-1</formula>
    </cfRule>
  </conditionalFormatting>
  <conditionalFormatting sqref="BJ29">
    <cfRule type="cellIs" dxfId="25591" priority="164680" stopIfTrue="1" operator="lessThan">
      <formula>0.5</formula>
    </cfRule>
  </conditionalFormatting>
  <conditionalFormatting sqref="BJ29">
    <cfRule type="cellIs" dxfId="25590" priority="164681" stopIfTrue="1" operator="greaterThanOrEqual">
      <formula>0.5</formula>
    </cfRule>
  </conditionalFormatting>
  <conditionalFormatting sqref="BJ30">
    <cfRule type="cellIs" dxfId="25589" priority="164682" stopIfTrue="1" operator="equal">
      <formula>-1</formula>
    </cfRule>
  </conditionalFormatting>
  <conditionalFormatting sqref="BJ30">
    <cfRule type="cellIs" dxfId="25588" priority="164683" stopIfTrue="1" operator="lessThan">
      <formula>0.5</formula>
    </cfRule>
  </conditionalFormatting>
  <conditionalFormatting sqref="BJ30">
    <cfRule type="cellIs" dxfId="25587" priority="164684" stopIfTrue="1" operator="greaterThanOrEqual">
      <formula>0.5</formula>
    </cfRule>
  </conditionalFormatting>
  <conditionalFormatting sqref="BJ31">
    <cfRule type="cellIs" dxfId="25586" priority="164685" stopIfTrue="1" operator="equal">
      <formula>-1</formula>
    </cfRule>
  </conditionalFormatting>
  <conditionalFormatting sqref="BJ31">
    <cfRule type="cellIs" dxfId="25585" priority="164686" stopIfTrue="1" operator="lessThan">
      <formula>0.5</formula>
    </cfRule>
  </conditionalFormatting>
  <conditionalFormatting sqref="BJ31">
    <cfRule type="cellIs" dxfId="25584" priority="164687" stopIfTrue="1" operator="greaterThanOrEqual">
      <formula>0.5</formula>
    </cfRule>
  </conditionalFormatting>
  <conditionalFormatting sqref="BJ32">
    <cfRule type="cellIs" dxfId="25583" priority="164688" stopIfTrue="1" operator="equal">
      <formula>-1</formula>
    </cfRule>
  </conditionalFormatting>
  <conditionalFormatting sqref="BJ32">
    <cfRule type="cellIs" dxfId="25582" priority="164689" stopIfTrue="1" operator="lessThan">
      <formula>0.5</formula>
    </cfRule>
  </conditionalFormatting>
  <conditionalFormatting sqref="BJ32">
    <cfRule type="cellIs" dxfId="25581" priority="164690" stopIfTrue="1" operator="greaterThanOrEqual">
      <formula>0.5</formula>
    </cfRule>
  </conditionalFormatting>
  <conditionalFormatting sqref="BJ33">
    <cfRule type="cellIs" dxfId="25580" priority="164691" stopIfTrue="1" operator="equal">
      <formula>-1</formula>
    </cfRule>
  </conditionalFormatting>
  <conditionalFormatting sqref="BJ33">
    <cfRule type="cellIs" dxfId="25579" priority="164692" stopIfTrue="1" operator="lessThan">
      <formula>0.5</formula>
    </cfRule>
  </conditionalFormatting>
  <conditionalFormatting sqref="BJ33">
    <cfRule type="cellIs" dxfId="25578" priority="164693" stopIfTrue="1" operator="greaterThanOrEqual">
      <formula>0.5</formula>
    </cfRule>
  </conditionalFormatting>
  <conditionalFormatting sqref="BJ34">
    <cfRule type="cellIs" dxfId="25577" priority="164694" stopIfTrue="1" operator="equal">
      <formula>-1</formula>
    </cfRule>
  </conditionalFormatting>
  <conditionalFormatting sqref="BJ34">
    <cfRule type="cellIs" dxfId="25576" priority="164695" stopIfTrue="1" operator="lessThan">
      <formula>0.5</formula>
    </cfRule>
  </conditionalFormatting>
  <conditionalFormatting sqref="BJ34">
    <cfRule type="cellIs" dxfId="25575" priority="164696" stopIfTrue="1" operator="greaterThanOrEqual">
      <formula>0.5</formula>
    </cfRule>
  </conditionalFormatting>
  <conditionalFormatting sqref="BJ35">
    <cfRule type="cellIs" dxfId="25574" priority="164697" stopIfTrue="1" operator="equal">
      <formula>-1</formula>
    </cfRule>
  </conditionalFormatting>
  <conditionalFormatting sqref="BJ35">
    <cfRule type="cellIs" dxfId="25573" priority="164698" stopIfTrue="1" operator="lessThan">
      <formula>0.5</formula>
    </cfRule>
  </conditionalFormatting>
  <conditionalFormatting sqref="BJ35">
    <cfRule type="cellIs" dxfId="25572" priority="164699" stopIfTrue="1" operator="greaterThanOrEqual">
      <formula>0.5</formula>
    </cfRule>
  </conditionalFormatting>
  <conditionalFormatting sqref="BJ36">
    <cfRule type="cellIs" dxfId="25571" priority="164700" stopIfTrue="1" operator="equal">
      <formula>-1</formula>
    </cfRule>
  </conditionalFormatting>
  <conditionalFormatting sqref="BJ36">
    <cfRule type="cellIs" dxfId="25570" priority="164701" stopIfTrue="1" operator="lessThan">
      <formula>0.5</formula>
    </cfRule>
  </conditionalFormatting>
  <conditionalFormatting sqref="BJ36">
    <cfRule type="cellIs" dxfId="25569" priority="164702" stopIfTrue="1" operator="greaterThanOrEqual">
      <formula>0.5</formula>
    </cfRule>
  </conditionalFormatting>
  <conditionalFormatting sqref="BJ37">
    <cfRule type="cellIs" dxfId="25568" priority="164703" stopIfTrue="1" operator="equal">
      <formula>-1</formula>
    </cfRule>
  </conditionalFormatting>
  <conditionalFormatting sqref="BJ37">
    <cfRule type="cellIs" dxfId="25567" priority="164704" stopIfTrue="1" operator="lessThan">
      <formula>0.5</formula>
    </cfRule>
  </conditionalFormatting>
  <conditionalFormatting sqref="BJ37">
    <cfRule type="cellIs" dxfId="25566" priority="164705" stopIfTrue="1" operator="greaterThanOrEqual">
      <formula>0.5</formula>
    </cfRule>
  </conditionalFormatting>
  <conditionalFormatting sqref="D39">
    <cfRule type="cellIs" dxfId="25565" priority="164706" stopIfTrue="1" operator="equal">
      <formula>-1</formula>
    </cfRule>
  </conditionalFormatting>
  <conditionalFormatting sqref="D39">
    <cfRule type="cellIs" dxfId="25564" priority="164707" stopIfTrue="1" operator="lessThan">
      <formula>0.5</formula>
    </cfRule>
  </conditionalFormatting>
  <conditionalFormatting sqref="D39">
    <cfRule type="cellIs" dxfId="25563" priority="164708" stopIfTrue="1" operator="greaterThanOrEqual">
      <formula>0.5</formula>
    </cfRule>
  </conditionalFormatting>
  <conditionalFormatting sqref="D40">
    <cfRule type="cellIs" dxfId="25562" priority="164709" stopIfTrue="1" operator="equal">
      <formula>-1</formula>
    </cfRule>
  </conditionalFormatting>
  <conditionalFormatting sqref="D40">
    <cfRule type="cellIs" dxfId="25561" priority="164710" stopIfTrue="1" operator="lessThan">
      <formula>0.5</formula>
    </cfRule>
  </conditionalFormatting>
  <conditionalFormatting sqref="D40">
    <cfRule type="cellIs" dxfId="25560" priority="164711" stopIfTrue="1" operator="greaterThanOrEqual">
      <formula>0.5</formula>
    </cfRule>
  </conditionalFormatting>
  <conditionalFormatting sqref="D41">
    <cfRule type="cellIs" dxfId="25559" priority="164712" stopIfTrue="1" operator="equal">
      <formula>-1</formula>
    </cfRule>
  </conditionalFormatting>
  <conditionalFormatting sqref="D41">
    <cfRule type="cellIs" dxfId="25558" priority="164713" stopIfTrue="1" operator="lessThan">
      <formula>0.5</formula>
    </cfRule>
  </conditionalFormatting>
  <conditionalFormatting sqref="D41">
    <cfRule type="cellIs" dxfId="25557" priority="164714" stopIfTrue="1" operator="greaterThanOrEqual">
      <formula>0.5</formula>
    </cfRule>
  </conditionalFormatting>
  <conditionalFormatting sqref="D42">
    <cfRule type="cellIs" dxfId="25556" priority="164715" stopIfTrue="1" operator="equal">
      <formula>-1</formula>
    </cfRule>
  </conditionalFormatting>
  <conditionalFormatting sqref="D42">
    <cfRule type="cellIs" dxfId="25555" priority="164716" stopIfTrue="1" operator="lessThan">
      <formula>0.5</formula>
    </cfRule>
  </conditionalFormatting>
  <conditionalFormatting sqref="D42">
    <cfRule type="cellIs" dxfId="25554" priority="164717" stopIfTrue="1" operator="greaterThanOrEqual">
      <formula>0.5</formula>
    </cfRule>
  </conditionalFormatting>
  <conditionalFormatting sqref="D43">
    <cfRule type="cellIs" dxfId="25553" priority="164718" stopIfTrue="1" operator="equal">
      <formula>-1</formula>
    </cfRule>
  </conditionalFormatting>
  <conditionalFormatting sqref="D43">
    <cfRule type="cellIs" dxfId="25552" priority="164719" stopIfTrue="1" operator="lessThan">
      <formula>0.5</formula>
    </cfRule>
  </conditionalFormatting>
  <conditionalFormatting sqref="D43">
    <cfRule type="cellIs" dxfId="25551" priority="164720" stopIfTrue="1" operator="greaterThanOrEqual">
      <formula>0.5</formula>
    </cfRule>
  </conditionalFormatting>
  <conditionalFormatting sqref="D44">
    <cfRule type="cellIs" dxfId="25550" priority="164721" stopIfTrue="1" operator="equal">
      <formula>-1</formula>
    </cfRule>
  </conditionalFormatting>
  <conditionalFormatting sqref="D44">
    <cfRule type="cellIs" dxfId="25549" priority="164722" stopIfTrue="1" operator="lessThan">
      <formula>0.5</formula>
    </cfRule>
  </conditionalFormatting>
  <conditionalFormatting sqref="D44">
    <cfRule type="cellIs" dxfId="25548" priority="164723" stopIfTrue="1" operator="greaterThanOrEqual">
      <formula>0.5</formula>
    </cfRule>
  </conditionalFormatting>
  <conditionalFormatting sqref="D45">
    <cfRule type="cellIs" dxfId="25547" priority="164724" stopIfTrue="1" operator="equal">
      <formula>-1</formula>
    </cfRule>
  </conditionalFormatting>
  <conditionalFormatting sqref="D45">
    <cfRule type="cellIs" dxfId="25546" priority="164725" stopIfTrue="1" operator="lessThan">
      <formula>0.5</formula>
    </cfRule>
  </conditionalFormatting>
  <conditionalFormatting sqref="D45">
    <cfRule type="cellIs" dxfId="25545" priority="164726" stopIfTrue="1" operator="greaterThanOrEqual">
      <formula>0.5</formula>
    </cfRule>
  </conditionalFormatting>
  <conditionalFormatting sqref="D46">
    <cfRule type="cellIs" dxfId="25544" priority="164727" stopIfTrue="1" operator="equal">
      <formula>-1</formula>
    </cfRule>
  </conditionalFormatting>
  <conditionalFormatting sqref="D46">
    <cfRule type="cellIs" dxfId="25543" priority="164728" stopIfTrue="1" operator="lessThan">
      <formula>0.5</formula>
    </cfRule>
  </conditionalFormatting>
  <conditionalFormatting sqref="D46">
    <cfRule type="cellIs" dxfId="25542" priority="164729" stopIfTrue="1" operator="greaterThanOrEqual">
      <formula>0.5</formula>
    </cfRule>
  </conditionalFormatting>
  <conditionalFormatting sqref="D47">
    <cfRule type="cellIs" dxfId="25541" priority="164730" stopIfTrue="1" operator="equal">
      <formula>-1</formula>
    </cfRule>
  </conditionalFormatting>
  <conditionalFormatting sqref="D47">
    <cfRule type="cellIs" dxfId="25540" priority="164731" stopIfTrue="1" operator="lessThan">
      <formula>0.5</formula>
    </cfRule>
  </conditionalFormatting>
  <conditionalFormatting sqref="D47">
    <cfRule type="cellIs" dxfId="25539" priority="164732" stopIfTrue="1" operator="greaterThanOrEqual">
      <formula>0.5</formula>
    </cfRule>
  </conditionalFormatting>
  <conditionalFormatting sqref="D48">
    <cfRule type="cellIs" dxfId="25538" priority="164733" stopIfTrue="1" operator="equal">
      <formula>-1</formula>
    </cfRule>
  </conditionalFormatting>
  <conditionalFormatting sqref="D48">
    <cfRule type="cellIs" dxfId="25537" priority="164734" stopIfTrue="1" operator="lessThan">
      <formula>0.5</formula>
    </cfRule>
  </conditionalFormatting>
  <conditionalFormatting sqref="D48">
    <cfRule type="cellIs" dxfId="25536" priority="164735" stopIfTrue="1" operator="greaterThanOrEqual">
      <formula>0.5</formula>
    </cfRule>
  </conditionalFormatting>
  <conditionalFormatting sqref="D49">
    <cfRule type="cellIs" dxfId="25535" priority="164736" stopIfTrue="1" operator="equal">
      <formula>-1</formula>
    </cfRule>
  </conditionalFormatting>
  <conditionalFormatting sqref="D49">
    <cfRule type="cellIs" dxfId="25534" priority="164737" stopIfTrue="1" operator="lessThan">
      <formula>0.5</formula>
    </cfRule>
  </conditionalFormatting>
  <conditionalFormatting sqref="D49">
    <cfRule type="cellIs" dxfId="25533" priority="164738" stopIfTrue="1" operator="greaterThanOrEqual">
      <formula>0.5</formula>
    </cfRule>
  </conditionalFormatting>
  <conditionalFormatting sqref="D50">
    <cfRule type="cellIs" dxfId="25532" priority="164739" stopIfTrue="1" operator="equal">
      <formula>-1</formula>
    </cfRule>
  </conditionalFormatting>
  <conditionalFormatting sqref="D50">
    <cfRule type="cellIs" dxfId="25531" priority="164740" stopIfTrue="1" operator="lessThan">
      <formula>0.5</formula>
    </cfRule>
  </conditionalFormatting>
  <conditionalFormatting sqref="D50">
    <cfRule type="cellIs" dxfId="25530" priority="164741" stopIfTrue="1" operator="greaterThanOrEqual">
      <formula>0.5</formula>
    </cfRule>
  </conditionalFormatting>
  <conditionalFormatting sqref="D51">
    <cfRule type="cellIs" dxfId="25529" priority="164742" stopIfTrue="1" operator="equal">
      <formula>-1</formula>
    </cfRule>
  </conditionalFormatting>
  <conditionalFormatting sqref="D51">
    <cfRule type="cellIs" dxfId="25528" priority="164743" stopIfTrue="1" operator="lessThan">
      <formula>0.5</formula>
    </cfRule>
  </conditionalFormatting>
  <conditionalFormatting sqref="D51">
    <cfRule type="cellIs" dxfId="25527" priority="164744" stopIfTrue="1" operator="greaterThanOrEqual">
      <formula>0.5</formula>
    </cfRule>
  </conditionalFormatting>
  <conditionalFormatting sqref="D52">
    <cfRule type="cellIs" dxfId="25526" priority="164745" stopIfTrue="1" operator="equal">
      <formula>-1</formula>
    </cfRule>
  </conditionalFormatting>
  <conditionalFormatting sqref="D52">
    <cfRule type="cellIs" dxfId="25525" priority="164746" stopIfTrue="1" operator="lessThan">
      <formula>0.5</formula>
    </cfRule>
  </conditionalFormatting>
  <conditionalFormatting sqref="D52">
    <cfRule type="cellIs" dxfId="25524" priority="164747" stopIfTrue="1" operator="greaterThanOrEqual">
      <formula>0.5</formula>
    </cfRule>
  </conditionalFormatting>
  <conditionalFormatting sqref="D53">
    <cfRule type="cellIs" dxfId="25523" priority="164748" stopIfTrue="1" operator="equal">
      <formula>-1</formula>
    </cfRule>
  </conditionalFormatting>
  <conditionalFormatting sqref="D53">
    <cfRule type="cellIs" dxfId="25522" priority="164749" stopIfTrue="1" operator="lessThan">
      <formula>0.5</formula>
    </cfRule>
  </conditionalFormatting>
  <conditionalFormatting sqref="D53">
    <cfRule type="cellIs" dxfId="25521" priority="164750" stopIfTrue="1" operator="greaterThanOrEqual">
      <formula>0.5</formula>
    </cfRule>
  </conditionalFormatting>
  <conditionalFormatting sqref="D54">
    <cfRule type="cellIs" dxfId="25520" priority="164751" stopIfTrue="1" operator="equal">
      <formula>-1</formula>
    </cfRule>
  </conditionalFormatting>
  <conditionalFormatting sqref="D54">
    <cfRule type="cellIs" dxfId="25519" priority="164752" stopIfTrue="1" operator="lessThan">
      <formula>0.5</formula>
    </cfRule>
  </conditionalFormatting>
  <conditionalFormatting sqref="D54">
    <cfRule type="cellIs" dxfId="25518" priority="164753" stopIfTrue="1" operator="greaterThanOrEqual">
      <formula>0.5</formula>
    </cfRule>
  </conditionalFormatting>
  <conditionalFormatting sqref="D55">
    <cfRule type="cellIs" dxfId="25517" priority="164754" stopIfTrue="1" operator="equal">
      <formula>-1</formula>
    </cfRule>
  </conditionalFormatting>
  <conditionalFormatting sqref="D55">
    <cfRule type="cellIs" dxfId="25516" priority="164755" stopIfTrue="1" operator="lessThan">
      <formula>0.5</formula>
    </cfRule>
  </conditionalFormatting>
  <conditionalFormatting sqref="D55">
    <cfRule type="cellIs" dxfId="25515" priority="164756" stopIfTrue="1" operator="greaterThanOrEqual">
      <formula>0.5</formula>
    </cfRule>
  </conditionalFormatting>
  <conditionalFormatting sqref="D56">
    <cfRule type="cellIs" dxfId="25514" priority="164757" stopIfTrue="1" operator="equal">
      <formula>-1</formula>
    </cfRule>
  </conditionalFormatting>
  <conditionalFormatting sqref="D56">
    <cfRule type="cellIs" dxfId="25513" priority="164758" stopIfTrue="1" operator="lessThan">
      <formula>0.5</formula>
    </cfRule>
  </conditionalFormatting>
  <conditionalFormatting sqref="D56">
    <cfRule type="cellIs" dxfId="25512" priority="164759" stopIfTrue="1" operator="greaterThanOrEqual">
      <formula>0.5</formula>
    </cfRule>
  </conditionalFormatting>
  <conditionalFormatting sqref="D57">
    <cfRule type="cellIs" dxfId="25511" priority="164760" stopIfTrue="1" operator="equal">
      <formula>-1</formula>
    </cfRule>
  </conditionalFormatting>
  <conditionalFormatting sqref="D57">
    <cfRule type="cellIs" dxfId="25510" priority="164761" stopIfTrue="1" operator="lessThan">
      <formula>0.5</formula>
    </cfRule>
  </conditionalFormatting>
  <conditionalFormatting sqref="D57">
    <cfRule type="cellIs" dxfId="25509" priority="164762" stopIfTrue="1" operator="greaterThanOrEqual">
      <formula>0.5</formula>
    </cfRule>
  </conditionalFormatting>
  <conditionalFormatting sqref="D58">
    <cfRule type="cellIs" dxfId="25508" priority="164763" stopIfTrue="1" operator="equal">
      <formula>-1</formula>
    </cfRule>
  </conditionalFormatting>
  <conditionalFormatting sqref="D58">
    <cfRule type="cellIs" dxfId="25507" priority="164764" stopIfTrue="1" operator="lessThan">
      <formula>0.5</formula>
    </cfRule>
  </conditionalFormatting>
  <conditionalFormatting sqref="D58">
    <cfRule type="cellIs" dxfId="25506" priority="164765" stopIfTrue="1" operator="greaterThanOrEqual">
      <formula>0.5</formula>
    </cfRule>
  </conditionalFormatting>
  <conditionalFormatting sqref="F39">
    <cfRule type="cellIs" dxfId="25505" priority="164766" stopIfTrue="1" operator="equal">
      <formula>-1</formula>
    </cfRule>
  </conditionalFormatting>
  <conditionalFormatting sqref="F39">
    <cfRule type="cellIs" dxfId="25504" priority="164767" stopIfTrue="1" operator="lessThan">
      <formula>0.5</formula>
    </cfRule>
  </conditionalFormatting>
  <conditionalFormatting sqref="F39">
    <cfRule type="cellIs" dxfId="25503" priority="164768" stopIfTrue="1" operator="greaterThanOrEqual">
      <formula>0.5</formula>
    </cfRule>
  </conditionalFormatting>
  <conditionalFormatting sqref="F40">
    <cfRule type="cellIs" dxfId="25502" priority="164769" stopIfTrue="1" operator="equal">
      <formula>-1</formula>
    </cfRule>
  </conditionalFormatting>
  <conditionalFormatting sqref="F40">
    <cfRule type="cellIs" dxfId="25501" priority="164770" stopIfTrue="1" operator="lessThan">
      <formula>0.5</formula>
    </cfRule>
  </conditionalFormatting>
  <conditionalFormatting sqref="F40">
    <cfRule type="cellIs" dxfId="25500" priority="164771" stopIfTrue="1" operator="greaterThanOrEqual">
      <formula>0.5</formula>
    </cfRule>
  </conditionalFormatting>
  <conditionalFormatting sqref="F41">
    <cfRule type="cellIs" dxfId="25499" priority="164772" stopIfTrue="1" operator="equal">
      <formula>-1</formula>
    </cfRule>
  </conditionalFormatting>
  <conditionalFormatting sqref="F41">
    <cfRule type="cellIs" dxfId="25498" priority="164773" stopIfTrue="1" operator="lessThan">
      <formula>0.5</formula>
    </cfRule>
  </conditionalFormatting>
  <conditionalFormatting sqref="F41">
    <cfRule type="cellIs" dxfId="25497" priority="164774" stopIfTrue="1" operator="greaterThanOrEqual">
      <formula>0.5</formula>
    </cfRule>
  </conditionalFormatting>
  <conditionalFormatting sqref="F42">
    <cfRule type="cellIs" dxfId="25496" priority="164775" stopIfTrue="1" operator="equal">
      <formula>-1</formula>
    </cfRule>
  </conditionalFormatting>
  <conditionalFormatting sqref="F42">
    <cfRule type="cellIs" dxfId="25495" priority="164776" stopIfTrue="1" operator="lessThan">
      <formula>0.5</formula>
    </cfRule>
  </conditionalFormatting>
  <conditionalFormatting sqref="F42">
    <cfRule type="cellIs" dxfId="25494" priority="164777" stopIfTrue="1" operator="greaterThanOrEqual">
      <formula>0.5</formula>
    </cfRule>
  </conditionalFormatting>
  <conditionalFormatting sqref="F43">
    <cfRule type="cellIs" dxfId="25493" priority="164778" stopIfTrue="1" operator="equal">
      <formula>-1</formula>
    </cfRule>
  </conditionalFormatting>
  <conditionalFormatting sqref="F43">
    <cfRule type="cellIs" dxfId="25492" priority="164779" stopIfTrue="1" operator="lessThan">
      <formula>0.5</formula>
    </cfRule>
  </conditionalFormatting>
  <conditionalFormatting sqref="F43">
    <cfRule type="cellIs" dxfId="25491" priority="164780" stopIfTrue="1" operator="greaterThanOrEqual">
      <formula>0.5</formula>
    </cfRule>
  </conditionalFormatting>
  <conditionalFormatting sqref="F44">
    <cfRule type="cellIs" dxfId="25490" priority="164781" stopIfTrue="1" operator="equal">
      <formula>-1</formula>
    </cfRule>
  </conditionalFormatting>
  <conditionalFormatting sqref="F44">
    <cfRule type="cellIs" dxfId="25489" priority="164782" stopIfTrue="1" operator="lessThan">
      <formula>0.5</formula>
    </cfRule>
  </conditionalFormatting>
  <conditionalFormatting sqref="F44">
    <cfRule type="cellIs" dxfId="25488" priority="164783" stopIfTrue="1" operator="greaterThanOrEqual">
      <formula>0.5</formula>
    </cfRule>
  </conditionalFormatting>
  <conditionalFormatting sqref="F45">
    <cfRule type="cellIs" dxfId="25487" priority="164784" stopIfTrue="1" operator="equal">
      <formula>-1</formula>
    </cfRule>
  </conditionalFormatting>
  <conditionalFormatting sqref="F45">
    <cfRule type="cellIs" dxfId="25486" priority="164785" stopIfTrue="1" operator="lessThan">
      <formula>0.5</formula>
    </cfRule>
  </conditionalFormatting>
  <conditionalFormatting sqref="F45">
    <cfRule type="cellIs" dxfId="25485" priority="164786" stopIfTrue="1" operator="greaterThanOrEqual">
      <formula>0.5</formula>
    </cfRule>
  </conditionalFormatting>
  <conditionalFormatting sqref="F46">
    <cfRule type="cellIs" dxfId="25484" priority="164787" stopIfTrue="1" operator="equal">
      <formula>-1</formula>
    </cfRule>
  </conditionalFormatting>
  <conditionalFormatting sqref="F46">
    <cfRule type="cellIs" dxfId="25483" priority="164788" stopIfTrue="1" operator="lessThan">
      <formula>0.5</formula>
    </cfRule>
  </conditionalFormatting>
  <conditionalFormatting sqref="F46">
    <cfRule type="cellIs" dxfId="25482" priority="164789" stopIfTrue="1" operator="greaterThanOrEqual">
      <formula>0.5</formula>
    </cfRule>
  </conditionalFormatting>
  <conditionalFormatting sqref="F47">
    <cfRule type="cellIs" dxfId="25481" priority="164790" stopIfTrue="1" operator="equal">
      <formula>-1</formula>
    </cfRule>
  </conditionalFormatting>
  <conditionalFormatting sqref="F47">
    <cfRule type="cellIs" dxfId="25480" priority="164791" stopIfTrue="1" operator="lessThan">
      <formula>0.5</formula>
    </cfRule>
  </conditionalFormatting>
  <conditionalFormatting sqref="F47">
    <cfRule type="cellIs" dxfId="25479" priority="164792" stopIfTrue="1" operator="greaterThanOrEqual">
      <formula>0.5</formula>
    </cfRule>
  </conditionalFormatting>
  <conditionalFormatting sqref="F48">
    <cfRule type="cellIs" dxfId="25478" priority="164793" stopIfTrue="1" operator="equal">
      <formula>-1</formula>
    </cfRule>
  </conditionalFormatting>
  <conditionalFormatting sqref="F48">
    <cfRule type="cellIs" dxfId="25477" priority="164794" stopIfTrue="1" operator="lessThan">
      <formula>0.5</formula>
    </cfRule>
  </conditionalFormatting>
  <conditionalFormatting sqref="F48">
    <cfRule type="cellIs" dxfId="25476" priority="164795" stopIfTrue="1" operator="greaterThanOrEqual">
      <formula>0.5</formula>
    </cfRule>
  </conditionalFormatting>
  <conditionalFormatting sqref="F49">
    <cfRule type="cellIs" dxfId="25475" priority="164796" stopIfTrue="1" operator="equal">
      <formula>-1</formula>
    </cfRule>
  </conditionalFormatting>
  <conditionalFormatting sqref="F49">
    <cfRule type="cellIs" dxfId="25474" priority="164797" stopIfTrue="1" operator="lessThan">
      <formula>0.5</formula>
    </cfRule>
  </conditionalFormatting>
  <conditionalFormatting sqref="F49">
    <cfRule type="cellIs" dxfId="25473" priority="164798" stopIfTrue="1" operator="greaterThanOrEqual">
      <formula>0.5</formula>
    </cfRule>
  </conditionalFormatting>
  <conditionalFormatting sqref="F50">
    <cfRule type="cellIs" dxfId="25472" priority="164799" stopIfTrue="1" operator="equal">
      <formula>-1</formula>
    </cfRule>
  </conditionalFormatting>
  <conditionalFormatting sqref="F50">
    <cfRule type="cellIs" dxfId="25471" priority="164800" stopIfTrue="1" operator="lessThan">
      <formula>0.5</formula>
    </cfRule>
  </conditionalFormatting>
  <conditionalFormatting sqref="F50">
    <cfRule type="cellIs" dxfId="25470" priority="164801" stopIfTrue="1" operator="greaterThanOrEqual">
      <formula>0.5</formula>
    </cfRule>
  </conditionalFormatting>
  <conditionalFormatting sqref="F51">
    <cfRule type="cellIs" dxfId="25469" priority="164802" stopIfTrue="1" operator="equal">
      <formula>-1</formula>
    </cfRule>
  </conditionalFormatting>
  <conditionalFormatting sqref="F51">
    <cfRule type="cellIs" dxfId="25468" priority="164803" stopIfTrue="1" operator="lessThan">
      <formula>0.5</formula>
    </cfRule>
  </conditionalFormatting>
  <conditionalFormatting sqref="F51">
    <cfRule type="cellIs" dxfId="25467" priority="164804" stopIfTrue="1" operator="greaterThanOrEqual">
      <formula>0.5</formula>
    </cfRule>
  </conditionalFormatting>
  <conditionalFormatting sqref="F52">
    <cfRule type="cellIs" dxfId="25466" priority="164805" stopIfTrue="1" operator="equal">
      <formula>-1</formula>
    </cfRule>
  </conditionalFormatting>
  <conditionalFormatting sqref="F52">
    <cfRule type="cellIs" dxfId="25465" priority="164806" stopIfTrue="1" operator="lessThan">
      <formula>0.5</formula>
    </cfRule>
  </conditionalFormatting>
  <conditionalFormatting sqref="F52">
    <cfRule type="cellIs" dxfId="25464" priority="164807" stopIfTrue="1" operator="greaterThanOrEqual">
      <formula>0.5</formula>
    </cfRule>
  </conditionalFormatting>
  <conditionalFormatting sqref="F53">
    <cfRule type="cellIs" dxfId="25463" priority="164808" stopIfTrue="1" operator="equal">
      <formula>-1</formula>
    </cfRule>
  </conditionalFormatting>
  <conditionalFormatting sqref="F53">
    <cfRule type="cellIs" dxfId="25462" priority="164809" stopIfTrue="1" operator="lessThan">
      <formula>0.5</formula>
    </cfRule>
  </conditionalFormatting>
  <conditionalFormatting sqref="F53">
    <cfRule type="cellIs" dxfId="25461" priority="164810" stopIfTrue="1" operator="greaterThanOrEqual">
      <formula>0.5</formula>
    </cfRule>
  </conditionalFormatting>
  <conditionalFormatting sqref="F54">
    <cfRule type="cellIs" dxfId="25460" priority="164811" stopIfTrue="1" operator="equal">
      <formula>-1</formula>
    </cfRule>
  </conditionalFormatting>
  <conditionalFormatting sqref="F54">
    <cfRule type="cellIs" dxfId="25459" priority="164812" stopIfTrue="1" operator="lessThan">
      <formula>0.5</formula>
    </cfRule>
  </conditionalFormatting>
  <conditionalFormatting sqref="F54">
    <cfRule type="cellIs" dxfId="25458" priority="164813" stopIfTrue="1" operator="greaterThanOrEqual">
      <formula>0.5</formula>
    </cfRule>
  </conditionalFormatting>
  <conditionalFormatting sqref="F55">
    <cfRule type="cellIs" dxfId="25457" priority="164814" stopIfTrue="1" operator="equal">
      <formula>-1</formula>
    </cfRule>
  </conditionalFormatting>
  <conditionalFormatting sqref="F55">
    <cfRule type="cellIs" dxfId="25456" priority="164815" stopIfTrue="1" operator="lessThan">
      <formula>0.5</formula>
    </cfRule>
  </conditionalFormatting>
  <conditionalFormatting sqref="F55">
    <cfRule type="cellIs" dxfId="25455" priority="164816" stopIfTrue="1" operator="greaterThanOrEqual">
      <formula>0.5</formula>
    </cfRule>
  </conditionalFormatting>
  <conditionalFormatting sqref="F56">
    <cfRule type="cellIs" dxfId="25454" priority="164817" stopIfTrue="1" operator="equal">
      <formula>-1</formula>
    </cfRule>
  </conditionalFormatting>
  <conditionalFormatting sqref="F56">
    <cfRule type="cellIs" dxfId="25453" priority="164818" stopIfTrue="1" operator="lessThan">
      <formula>0.5</formula>
    </cfRule>
  </conditionalFormatting>
  <conditionalFormatting sqref="F56">
    <cfRule type="cellIs" dxfId="25452" priority="164819" stopIfTrue="1" operator="greaterThanOrEqual">
      <formula>0.5</formula>
    </cfRule>
  </conditionalFormatting>
  <conditionalFormatting sqref="F57">
    <cfRule type="cellIs" dxfId="25451" priority="164820" stopIfTrue="1" operator="equal">
      <formula>-1</formula>
    </cfRule>
  </conditionalFormatting>
  <conditionalFormatting sqref="F57">
    <cfRule type="cellIs" dxfId="25450" priority="164821" stopIfTrue="1" operator="lessThan">
      <formula>0.5</formula>
    </cfRule>
  </conditionalFormatting>
  <conditionalFormatting sqref="F57">
    <cfRule type="cellIs" dxfId="25449" priority="164822" stopIfTrue="1" operator="greaterThanOrEqual">
      <formula>0.5</formula>
    </cfRule>
  </conditionalFormatting>
  <conditionalFormatting sqref="F58">
    <cfRule type="cellIs" dxfId="25448" priority="164823" stopIfTrue="1" operator="equal">
      <formula>-1</formula>
    </cfRule>
  </conditionalFormatting>
  <conditionalFormatting sqref="F58">
    <cfRule type="cellIs" dxfId="25447" priority="164824" stopIfTrue="1" operator="lessThan">
      <formula>0.5</formula>
    </cfRule>
  </conditionalFormatting>
  <conditionalFormatting sqref="F58">
    <cfRule type="cellIs" dxfId="25446" priority="164825" stopIfTrue="1" operator="greaterThanOrEqual">
      <formula>0.5</formula>
    </cfRule>
  </conditionalFormatting>
  <conditionalFormatting sqref="H39">
    <cfRule type="cellIs" dxfId="25445" priority="164826" stopIfTrue="1" operator="equal">
      <formula>-1</formula>
    </cfRule>
  </conditionalFormatting>
  <conditionalFormatting sqref="H39">
    <cfRule type="cellIs" dxfId="25444" priority="164827" stopIfTrue="1" operator="lessThan">
      <formula>0.5</formula>
    </cfRule>
  </conditionalFormatting>
  <conditionalFormatting sqref="H39">
    <cfRule type="cellIs" dxfId="25443" priority="164828" stopIfTrue="1" operator="greaterThanOrEqual">
      <formula>0.5</formula>
    </cfRule>
  </conditionalFormatting>
  <conditionalFormatting sqref="H40">
    <cfRule type="cellIs" dxfId="25442" priority="164829" stopIfTrue="1" operator="equal">
      <formula>-1</formula>
    </cfRule>
  </conditionalFormatting>
  <conditionalFormatting sqref="H40">
    <cfRule type="cellIs" dxfId="25441" priority="164830" stopIfTrue="1" operator="lessThan">
      <formula>0.5</formula>
    </cfRule>
  </conditionalFormatting>
  <conditionalFormatting sqref="H40">
    <cfRule type="cellIs" dxfId="25440" priority="164831" stopIfTrue="1" operator="greaterThanOrEqual">
      <formula>0.5</formula>
    </cfRule>
  </conditionalFormatting>
  <conditionalFormatting sqref="H41">
    <cfRule type="cellIs" dxfId="25439" priority="164832" stopIfTrue="1" operator="equal">
      <formula>-1</formula>
    </cfRule>
  </conditionalFormatting>
  <conditionalFormatting sqref="H41">
    <cfRule type="cellIs" dxfId="25438" priority="164833" stopIfTrue="1" operator="lessThan">
      <formula>0.5</formula>
    </cfRule>
  </conditionalFormatting>
  <conditionalFormatting sqref="H41">
    <cfRule type="cellIs" dxfId="25437" priority="164834" stopIfTrue="1" operator="greaterThanOrEqual">
      <formula>0.5</formula>
    </cfRule>
  </conditionalFormatting>
  <conditionalFormatting sqref="H42">
    <cfRule type="cellIs" dxfId="25436" priority="164835" stopIfTrue="1" operator="equal">
      <formula>-1</formula>
    </cfRule>
  </conditionalFormatting>
  <conditionalFormatting sqref="H42">
    <cfRule type="cellIs" dxfId="25435" priority="164836" stopIfTrue="1" operator="lessThan">
      <formula>0.5</formula>
    </cfRule>
  </conditionalFormatting>
  <conditionalFormatting sqref="H42">
    <cfRule type="cellIs" dxfId="25434" priority="164837" stopIfTrue="1" operator="greaterThanOrEqual">
      <formula>0.5</formula>
    </cfRule>
  </conditionalFormatting>
  <conditionalFormatting sqref="H43">
    <cfRule type="cellIs" dxfId="25433" priority="164838" stopIfTrue="1" operator="equal">
      <formula>-1</formula>
    </cfRule>
  </conditionalFormatting>
  <conditionalFormatting sqref="H43">
    <cfRule type="cellIs" dxfId="25432" priority="164839" stopIfTrue="1" operator="lessThan">
      <formula>0.5</formula>
    </cfRule>
  </conditionalFormatting>
  <conditionalFormatting sqref="H43">
    <cfRule type="cellIs" dxfId="25431" priority="164840" stopIfTrue="1" operator="greaterThanOrEqual">
      <formula>0.5</formula>
    </cfRule>
  </conditionalFormatting>
  <conditionalFormatting sqref="H44">
    <cfRule type="cellIs" dxfId="25430" priority="164841" stopIfTrue="1" operator="equal">
      <formula>-1</formula>
    </cfRule>
  </conditionalFormatting>
  <conditionalFormatting sqref="H44">
    <cfRule type="cellIs" dxfId="25429" priority="164842" stopIfTrue="1" operator="lessThan">
      <formula>0.5</formula>
    </cfRule>
  </conditionalFormatting>
  <conditionalFormatting sqref="H44">
    <cfRule type="cellIs" dxfId="25428" priority="164843" stopIfTrue="1" operator="greaterThanOrEqual">
      <formula>0.5</formula>
    </cfRule>
  </conditionalFormatting>
  <conditionalFormatting sqref="H45">
    <cfRule type="cellIs" dxfId="25427" priority="164844" stopIfTrue="1" operator="equal">
      <formula>-1</formula>
    </cfRule>
  </conditionalFormatting>
  <conditionalFormatting sqref="H45">
    <cfRule type="cellIs" dxfId="25426" priority="164845" stopIfTrue="1" operator="lessThan">
      <formula>0.5</formula>
    </cfRule>
  </conditionalFormatting>
  <conditionalFormatting sqref="H45">
    <cfRule type="cellIs" dxfId="25425" priority="164846" stopIfTrue="1" operator="greaterThanOrEqual">
      <formula>0.5</formula>
    </cfRule>
  </conditionalFormatting>
  <conditionalFormatting sqref="H46">
    <cfRule type="cellIs" dxfId="25424" priority="164847" stopIfTrue="1" operator="equal">
      <formula>-1</formula>
    </cfRule>
  </conditionalFormatting>
  <conditionalFormatting sqref="H46">
    <cfRule type="cellIs" dxfId="25423" priority="164848" stopIfTrue="1" operator="lessThan">
      <formula>0.5</formula>
    </cfRule>
  </conditionalFormatting>
  <conditionalFormatting sqref="H46">
    <cfRule type="cellIs" dxfId="25422" priority="164849" stopIfTrue="1" operator="greaterThanOrEqual">
      <formula>0.5</formula>
    </cfRule>
  </conditionalFormatting>
  <conditionalFormatting sqref="H47">
    <cfRule type="cellIs" dxfId="25421" priority="164850" stopIfTrue="1" operator="equal">
      <formula>-1</formula>
    </cfRule>
  </conditionalFormatting>
  <conditionalFormatting sqref="H47">
    <cfRule type="cellIs" dxfId="25420" priority="164851" stopIfTrue="1" operator="lessThan">
      <formula>0.5</formula>
    </cfRule>
  </conditionalFormatting>
  <conditionalFormatting sqref="H47">
    <cfRule type="cellIs" dxfId="25419" priority="164852" stopIfTrue="1" operator="greaterThanOrEqual">
      <formula>0.5</formula>
    </cfRule>
  </conditionalFormatting>
  <conditionalFormatting sqref="H48">
    <cfRule type="cellIs" dxfId="25418" priority="164853" stopIfTrue="1" operator="equal">
      <formula>-1</formula>
    </cfRule>
  </conditionalFormatting>
  <conditionalFormatting sqref="H48">
    <cfRule type="cellIs" dxfId="25417" priority="164854" stopIfTrue="1" operator="lessThan">
      <formula>0.5</formula>
    </cfRule>
  </conditionalFormatting>
  <conditionalFormatting sqref="H48">
    <cfRule type="cellIs" dxfId="25416" priority="164855" stopIfTrue="1" operator="greaterThanOrEqual">
      <formula>0.5</formula>
    </cfRule>
  </conditionalFormatting>
  <conditionalFormatting sqref="H49">
    <cfRule type="cellIs" dxfId="25415" priority="164856" stopIfTrue="1" operator="equal">
      <formula>-1</formula>
    </cfRule>
  </conditionalFormatting>
  <conditionalFormatting sqref="H49">
    <cfRule type="cellIs" dxfId="25414" priority="164857" stopIfTrue="1" operator="lessThan">
      <formula>0.5</formula>
    </cfRule>
  </conditionalFormatting>
  <conditionalFormatting sqref="H49">
    <cfRule type="cellIs" dxfId="25413" priority="164858" stopIfTrue="1" operator="greaterThanOrEqual">
      <formula>0.5</formula>
    </cfRule>
  </conditionalFormatting>
  <conditionalFormatting sqref="H50">
    <cfRule type="cellIs" dxfId="25412" priority="164859" stopIfTrue="1" operator="equal">
      <formula>-1</formula>
    </cfRule>
  </conditionalFormatting>
  <conditionalFormatting sqref="H50">
    <cfRule type="cellIs" dxfId="25411" priority="164860" stopIfTrue="1" operator="lessThan">
      <formula>0.5</formula>
    </cfRule>
  </conditionalFormatting>
  <conditionalFormatting sqref="H50">
    <cfRule type="cellIs" dxfId="25410" priority="164861" stopIfTrue="1" operator="greaterThanOrEqual">
      <formula>0.5</formula>
    </cfRule>
  </conditionalFormatting>
  <conditionalFormatting sqref="H51">
    <cfRule type="cellIs" dxfId="25409" priority="164862" stopIfTrue="1" operator="equal">
      <formula>-1</formula>
    </cfRule>
  </conditionalFormatting>
  <conditionalFormatting sqref="H51">
    <cfRule type="cellIs" dxfId="25408" priority="164863" stopIfTrue="1" operator="lessThan">
      <formula>0.5</formula>
    </cfRule>
  </conditionalFormatting>
  <conditionalFormatting sqref="H51">
    <cfRule type="cellIs" dxfId="25407" priority="164864" stopIfTrue="1" operator="greaterThanOrEqual">
      <formula>0.5</formula>
    </cfRule>
  </conditionalFormatting>
  <conditionalFormatting sqref="H52">
    <cfRule type="cellIs" dxfId="25406" priority="164865" stopIfTrue="1" operator="equal">
      <formula>-1</formula>
    </cfRule>
  </conditionalFormatting>
  <conditionalFormatting sqref="H52">
    <cfRule type="cellIs" dxfId="25405" priority="164866" stopIfTrue="1" operator="lessThan">
      <formula>0.5</formula>
    </cfRule>
  </conditionalFormatting>
  <conditionalFormatting sqref="H52">
    <cfRule type="cellIs" dxfId="25404" priority="164867" stopIfTrue="1" operator="greaterThanOrEqual">
      <formula>0.5</formula>
    </cfRule>
  </conditionalFormatting>
  <conditionalFormatting sqref="H53">
    <cfRule type="cellIs" dxfId="25403" priority="164868" stopIfTrue="1" operator="equal">
      <formula>-1</formula>
    </cfRule>
  </conditionalFormatting>
  <conditionalFormatting sqref="H53">
    <cfRule type="cellIs" dxfId="25402" priority="164869" stopIfTrue="1" operator="lessThan">
      <formula>0.5</formula>
    </cfRule>
  </conditionalFormatting>
  <conditionalFormatting sqref="H53">
    <cfRule type="cellIs" dxfId="25401" priority="164870" stopIfTrue="1" operator="greaterThanOrEqual">
      <formula>0.5</formula>
    </cfRule>
  </conditionalFormatting>
  <conditionalFormatting sqref="H54">
    <cfRule type="cellIs" dxfId="25400" priority="164871" stopIfTrue="1" operator="equal">
      <formula>-1</formula>
    </cfRule>
  </conditionalFormatting>
  <conditionalFormatting sqref="H54">
    <cfRule type="cellIs" dxfId="25399" priority="164872" stopIfTrue="1" operator="lessThan">
      <formula>0.5</formula>
    </cfRule>
  </conditionalFormatting>
  <conditionalFormatting sqref="H54">
    <cfRule type="cellIs" dxfId="25398" priority="164873" stopIfTrue="1" operator="greaterThanOrEqual">
      <formula>0.5</formula>
    </cfRule>
  </conditionalFormatting>
  <conditionalFormatting sqref="H55">
    <cfRule type="cellIs" dxfId="25397" priority="164874" stopIfTrue="1" operator="equal">
      <formula>-1</formula>
    </cfRule>
  </conditionalFormatting>
  <conditionalFormatting sqref="H55">
    <cfRule type="cellIs" dxfId="25396" priority="164875" stopIfTrue="1" operator="lessThan">
      <formula>0.5</formula>
    </cfRule>
  </conditionalFormatting>
  <conditionalFormatting sqref="H55">
    <cfRule type="cellIs" dxfId="25395" priority="164876" stopIfTrue="1" operator="greaterThanOrEqual">
      <formula>0.5</formula>
    </cfRule>
  </conditionalFormatting>
  <conditionalFormatting sqref="H56">
    <cfRule type="cellIs" dxfId="25394" priority="164877" stopIfTrue="1" operator="equal">
      <formula>-1</formula>
    </cfRule>
  </conditionalFormatting>
  <conditionalFormatting sqref="H56">
    <cfRule type="cellIs" dxfId="25393" priority="164878" stopIfTrue="1" operator="lessThan">
      <formula>0.5</formula>
    </cfRule>
  </conditionalFormatting>
  <conditionalFormatting sqref="H56">
    <cfRule type="cellIs" dxfId="25392" priority="164879" stopIfTrue="1" operator="greaterThanOrEqual">
      <formula>0.5</formula>
    </cfRule>
  </conditionalFormatting>
  <conditionalFormatting sqref="H57">
    <cfRule type="cellIs" dxfId="25391" priority="164880" stopIfTrue="1" operator="equal">
      <formula>-1</formula>
    </cfRule>
  </conditionalFormatting>
  <conditionalFormatting sqref="H57">
    <cfRule type="cellIs" dxfId="25390" priority="164881" stopIfTrue="1" operator="lessThan">
      <formula>0.5</formula>
    </cfRule>
  </conditionalFormatting>
  <conditionalFormatting sqref="H57">
    <cfRule type="cellIs" dxfId="25389" priority="164882" stopIfTrue="1" operator="greaterThanOrEqual">
      <formula>0.5</formula>
    </cfRule>
  </conditionalFormatting>
  <conditionalFormatting sqref="H58">
    <cfRule type="cellIs" dxfId="25388" priority="164883" stopIfTrue="1" operator="equal">
      <formula>-1</formula>
    </cfRule>
  </conditionalFormatting>
  <conditionalFormatting sqref="H58">
    <cfRule type="cellIs" dxfId="25387" priority="164884" stopIfTrue="1" operator="lessThan">
      <formula>0.5</formula>
    </cfRule>
  </conditionalFormatting>
  <conditionalFormatting sqref="H58">
    <cfRule type="cellIs" dxfId="25386" priority="164885" stopIfTrue="1" operator="greaterThanOrEqual">
      <formula>0.5</formula>
    </cfRule>
  </conditionalFormatting>
  <conditionalFormatting sqref="J39">
    <cfRule type="cellIs" dxfId="25385" priority="164886" stopIfTrue="1" operator="equal">
      <formula>-1</formula>
    </cfRule>
  </conditionalFormatting>
  <conditionalFormatting sqref="J39">
    <cfRule type="cellIs" dxfId="25384" priority="164887" stopIfTrue="1" operator="lessThan">
      <formula>0.5</formula>
    </cfRule>
  </conditionalFormatting>
  <conditionalFormatting sqref="J39">
    <cfRule type="cellIs" dxfId="25383" priority="164888" stopIfTrue="1" operator="greaterThanOrEqual">
      <formula>0.5</formula>
    </cfRule>
  </conditionalFormatting>
  <conditionalFormatting sqref="J40">
    <cfRule type="cellIs" dxfId="25382" priority="164889" stopIfTrue="1" operator="equal">
      <formula>-1</formula>
    </cfRule>
  </conditionalFormatting>
  <conditionalFormatting sqref="J40">
    <cfRule type="cellIs" dxfId="25381" priority="164890" stopIfTrue="1" operator="lessThan">
      <formula>0.5</formula>
    </cfRule>
  </conditionalFormatting>
  <conditionalFormatting sqref="J40">
    <cfRule type="cellIs" dxfId="25380" priority="164891" stopIfTrue="1" operator="greaterThanOrEqual">
      <formula>0.5</formula>
    </cfRule>
  </conditionalFormatting>
  <conditionalFormatting sqref="J41">
    <cfRule type="cellIs" dxfId="25379" priority="164892" stopIfTrue="1" operator="equal">
      <formula>-1</formula>
    </cfRule>
  </conditionalFormatting>
  <conditionalFormatting sqref="J41">
    <cfRule type="cellIs" dxfId="25378" priority="164893" stopIfTrue="1" operator="lessThan">
      <formula>0.5</formula>
    </cfRule>
  </conditionalFormatting>
  <conditionalFormatting sqref="J41">
    <cfRule type="cellIs" dxfId="25377" priority="164894" stopIfTrue="1" operator="greaterThanOrEqual">
      <formula>0.5</formula>
    </cfRule>
  </conditionalFormatting>
  <conditionalFormatting sqref="J42">
    <cfRule type="cellIs" dxfId="25376" priority="164895" stopIfTrue="1" operator="equal">
      <formula>-1</formula>
    </cfRule>
  </conditionalFormatting>
  <conditionalFormatting sqref="J42">
    <cfRule type="cellIs" dxfId="25375" priority="164896" stopIfTrue="1" operator="lessThan">
      <formula>0.5</formula>
    </cfRule>
  </conditionalFormatting>
  <conditionalFormatting sqref="J42">
    <cfRule type="cellIs" dxfId="25374" priority="164897" stopIfTrue="1" operator="greaterThanOrEqual">
      <formula>0.5</formula>
    </cfRule>
  </conditionalFormatting>
  <conditionalFormatting sqref="J43">
    <cfRule type="cellIs" dxfId="25373" priority="164898" stopIfTrue="1" operator="equal">
      <formula>-1</formula>
    </cfRule>
  </conditionalFormatting>
  <conditionalFormatting sqref="J43">
    <cfRule type="cellIs" dxfId="25372" priority="164899" stopIfTrue="1" operator="lessThan">
      <formula>0.5</formula>
    </cfRule>
  </conditionalFormatting>
  <conditionalFormatting sqref="J43">
    <cfRule type="cellIs" dxfId="25371" priority="164900" stopIfTrue="1" operator="greaterThanOrEqual">
      <formula>0.5</formula>
    </cfRule>
  </conditionalFormatting>
  <conditionalFormatting sqref="J44">
    <cfRule type="cellIs" dxfId="25370" priority="164901" stopIfTrue="1" operator="equal">
      <formula>-1</formula>
    </cfRule>
  </conditionalFormatting>
  <conditionalFormatting sqref="J44">
    <cfRule type="cellIs" dxfId="25369" priority="164902" stopIfTrue="1" operator="lessThan">
      <formula>0.5</formula>
    </cfRule>
  </conditionalFormatting>
  <conditionalFormatting sqref="J44">
    <cfRule type="cellIs" dxfId="25368" priority="164903" stopIfTrue="1" operator="greaterThanOrEqual">
      <formula>0.5</formula>
    </cfRule>
  </conditionalFormatting>
  <conditionalFormatting sqref="J45">
    <cfRule type="cellIs" dxfId="25367" priority="164904" stopIfTrue="1" operator="equal">
      <formula>-1</formula>
    </cfRule>
  </conditionalFormatting>
  <conditionalFormatting sqref="J45">
    <cfRule type="cellIs" dxfId="25366" priority="164905" stopIfTrue="1" operator="lessThan">
      <formula>0.5</formula>
    </cfRule>
  </conditionalFormatting>
  <conditionalFormatting sqref="J45">
    <cfRule type="cellIs" dxfId="25365" priority="164906" stopIfTrue="1" operator="greaterThanOrEqual">
      <formula>0.5</formula>
    </cfRule>
  </conditionalFormatting>
  <conditionalFormatting sqref="J46">
    <cfRule type="cellIs" dxfId="25364" priority="164907" stopIfTrue="1" operator="equal">
      <formula>-1</formula>
    </cfRule>
  </conditionalFormatting>
  <conditionalFormatting sqref="J46">
    <cfRule type="cellIs" dxfId="25363" priority="164908" stopIfTrue="1" operator="lessThan">
      <formula>0.5</formula>
    </cfRule>
  </conditionalFormatting>
  <conditionalFormatting sqref="J46">
    <cfRule type="cellIs" dxfId="25362" priority="164909" stopIfTrue="1" operator="greaterThanOrEqual">
      <formula>0.5</formula>
    </cfRule>
  </conditionalFormatting>
  <conditionalFormatting sqref="J47">
    <cfRule type="cellIs" dxfId="25361" priority="164910" stopIfTrue="1" operator="equal">
      <formula>-1</formula>
    </cfRule>
  </conditionalFormatting>
  <conditionalFormatting sqref="J47">
    <cfRule type="cellIs" dxfId="25360" priority="164911" stopIfTrue="1" operator="lessThan">
      <formula>0.5</formula>
    </cfRule>
  </conditionalFormatting>
  <conditionalFormatting sqref="J47">
    <cfRule type="cellIs" dxfId="25359" priority="164912" stopIfTrue="1" operator="greaterThanOrEqual">
      <formula>0.5</formula>
    </cfRule>
  </conditionalFormatting>
  <conditionalFormatting sqref="J48">
    <cfRule type="cellIs" dxfId="25358" priority="164913" stopIfTrue="1" operator="equal">
      <formula>-1</formula>
    </cfRule>
  </conditionalFormatting>
  <conditionalFormatting sqref="J48">
    <cfRule type="cellIs" dxfId="25357" priority="164914" stopIfTrue="1" operator="lessThan">
      <formula>0.5</formula>
    </cfRule>
  </conditionalFormatting>
  <conditionalFormatting sqref="J48">
    <cfRule type="cellIs" dxfId="25356" priority="164915" stopIfTrue="1" operator="greaterThanOrEqual">
      <formula>0.5</formula>
    </cfRule>
  </conditionalFormatting>
  <conditionalFormatting sqref="J49">
    <cfRule type="cellIs" dxfId="25355" priority="164916" stopIfTrue="1" operator="equal">
      <formula>-1</formula>
    </cfRule>
  </conditionalFormatting>
  <conditionalFormatting sqref="J49">
    <cfRule type="cellIs" dxfId="25354" priority="164917" stopIfTrue="1" operator="lessThan">
      <formula>0.5</formula>
    </cfRule>
  </conditionalFormatting>
  <conditionalFormatting sqref="J49">
    <cfRule type="cellIs" dxfId="25353" priority="164918" stopIfTrue="1" operator="greaterThanOrEqual">
      <formula>0.5</formula>
    </cfRule>
  </conditionalFormatting>
  <conditionalFormatting sqref="J50">
    <cfRule type="cellIs" dxfId="25352" priority="164919" stopIfTrue="1" operator="equal">
      <formula>-1</formula>
    </cfRule>
  </conditionalFormatting>
  <conditionalFormatting sqref="J50">
    <cfRule type="cellIs" dxfId="25351" priority="164920" stopIfTrue="1" operator="lessThan">
      <formula>0.5</formula>
    </cfRule>
  </conditionalFormatting>
  <conditionalFormatting sqref="J50">
    <cfRule type="cellIs" dxfId="25350" priority="164921" stopIfTrue="1" operator="greaterThanOrEqual">
      <formula>0.5</formula>
    </cfRule>
  </conditionalFormatting>
  <conditionalFormatting sqref="J51">
    <cfRule type="cellIs" dxfId="25349" priority="164922" stopIfTrue="1" operator="equal">
      <formula>-1</formula>
    </cfRule>
  </conditionalFormatting>
  <conditionalFormatting sqref="J51">
    <cfRule type="cellIs" dxfId="25348" priority="164923" stopIfTrue="1" operator="lessThan">
      <formula>0.5</formula>
    </cfRule>
  </conditionalFormatting>
  <conditionalFormatting sqref="J51">
    <cfRule type="cellIs" dxfId="25347" priority="164924" stopIfTrue="1" operator="greaterThanOrEqual">
      <formula>0.5</formula>
    </cfRule>
  </conditionalFormatting>
  <conditionalFormatting sqref="J52">
    <cfRule type="cellIs" dxfId="25346" priority="164925" stopIfTrue="1" operator="equal">
      <formula>-1</formula>
    </cfRule>
  </conditionalFormatting>
  <conditionalFormatting sqref="J52">
    <cfRule type="cellIs" dxfId="25345" priority="164926" stopIfTrue="1" operator="lessThan">
      <formula>0.5</formula>
    </cfRule>
  </conditionalFormatting>
  <conditionalFormatting sqref="J52">
    <cfRule type="cellIs" dxfId="25344" priority="164927" stopIfTrue="1" operator="greaterThanOrEqual">
      <formula>0.5</formula>
    </cfRule>
  </conditionalFormatting>
  <conditionalFormatting sqref="J53">
    <cfRule type="cellIs" dxfId="25343" priority="164928" stopIfTrue="1" operator="equal">
      <formula>-1</formula>
    </cfRule>
  </conditionalFormatting>
  <conditionalFormatting sqref="J53">
    <cfRule type="cellIs" dxfId="25342" priority="164929" stopIfTrue="1" operator="lessThan">
      <formula>0.5</formula>
    </cfRule>
  </conditionalFormatting>
  <conditionalFormatting sqref="J53">
    <cfRule type="cellIs" dxfId="25341" priority="164930" stopIfTrue="1" operator="greaterThanOrEqual">
      <formula>0.5</formula>
    </cfRule>
  </conditionalFormatting>
  <conditionalFormatting sqref="J54">
    <cfRule type="cellIs" dxfId="25340" priority="164931" stopIfTrue="1" operator="equal">
      <formula>-1</formula>
    </cfRule>
  </conditionalFormatting>
  <conditionalFormatting sqref="J54">
    <cfRule type="cellIs" dxfId="25339" priority="164932" stopIfTrue="1" operator="lessThan">
      <formula>0.5</formula>
    </cfRule>
  </conditionalFormatting>
  <conditionalFormatting sqref="J54">
    <cfRule type="cellIs" dxfId="25338" priority="164933" stopIfTrue="1" operator="greaterThanOrEqual">
      <formula>0.5</formula>
    </cfRule>
  </conditionalFormatting>
  <conditionalFormatting sqref="J55">
    <cfRule type="cellIs" dxfId="25337" priority="164934" stopIfTrue="1" operator="equal">
      <formula>-1</formula>
    </cfRule>
  </conditionalFormatting>
  <conditionalFormatting sqref="J55">
    <cfRule type="cellIs" dxfId="25336" priority="164935" stopIfTrue="1" operator="lessThan">
      <formula>0.5</formula>
    </cfRule>
  </conditionalFormatting>
  <conditionalFormatting sqref="J55">
    <cfRule type="cellIs" dxfId="25335" priority="164936" stopIfTrue="1" operator="greaterThanOrEqual">
      <formula>0.5</formula>
    </cfRule>
  </conditionalFormatting>
  <conditionalFormatting sqref="J56">
    <cfRule type="cellIs" dxfId="25334" priority="164937" stopIfTrue="1" operator="equal">
      <formula>-1</formula>
    </cfRule>
  </conditionalFormatting>
  <conditionalFormatting sqref="J56">
    <cfRule type="cellIs" dxfId="25333" priority="164938" stopIfTrue="1" operator="lessThan">
      <formula>0.5</formula>
    </cfRule>
  </conditionalFormatting>
  <conditionalFormatting sqref="J56">
    <cfRule type="cellIs" dxfId="25332" priority="164939" stopIfTrue="1" operator="greaterThanOrEqual">
      <formula>0.5</formula>
    </cfRule>
  </conditionalFormatting>
  <conditionalFormatting sqref="J57">
    <cfRule type="cellIs" dxfId="25331" priority="164940" stopIfTrue="1" operator="equal">
      <formula>-1</formula>
    </cfRule>
  </conditionalFormatting>
  <conditionalFormatting sqref="J57">
    <cfRule type="cellIs" dxfId="25330" priority="164941" stopIfTrue="1" operator="lessThan">
      <formula>0.5</formula>
    </cfRule>
  </conditionalFormatting>
  <conditionalFormatting sqref="J57">
    <cfRule type="cellIs" dxfId="25329" priority="164942" stopIfTrue="1" operator="greaterThanOrEqual">
      <formula>0.5</formula>
    </cfRule>
  </conditionalFormatting>
  <conditionalFormatting sqref="J58">
    <cfRule type="cellIs" dxfId="25328" priority="164943" stopIfTrue="1" operator="equal">
      <formula>-1</formula>
    </cfRule>
  </conditionalFormatting>
  <conditionalFormatting sqref="J58">
    <cfRule type="cellIs" dxfId="25327" priority="164944" stopIfTrue="1" operator="lessThan">
      <formula>0.5</formula>
    </cfRule>
  </conditionalFormatting>
  <conditionalFormatting sqref="J58">
    <cfRule type="cellIs" dxfId="25326" priority="164945" stopIfTrue="1" operator="greaterThanOrEqual">
      <formula>0.5</formula>
    </cfRule>
  </conditionalFormatting>
  <conditionalFormatting sqref="L39">
    <cfRule type="cellIs" dxfId="25325" priority="164946" stopIfTrue="1" operator="equal">
      <formula>-1</formula>
    </cfRule>
  </conditionalFormatting>
  <conditionalFormatting sqref="L39">
    <cfRule type="cellIs" dxfId="25324" priority="164947" stopIfTrue="1" operator="lessThan">
      <formula>0.5</formula>
    </cfRule>
  </conditionalFormatting>
  <conditionalFormatting sqref="L39">
    <cfRule type="cellIs" dxfId="25323" priority="164948" stopIfTrue="1" operator="greaterThanOrEqual">
      <formula>0.5</formula>
    </cfRule>
  </conditionalFormatting>
  <conditionalFormatting sqref="L40">
    <cfRule type="cellIs" dxfId="25322" priority="164949" stopIfTrue="1" operator="equal">
      <formula>-1</formula>
    </cfRule>
  </conditionalFormatting>
  <conditionalFormatting sqref="L40">
    <cfRule type="cellIs" dxfId="25321" priority="164950" stopIfTrue="1" operator="lessThan">
      <formula>0.5</formula>
    </cfRule>
  </conditionalFormatting>
  <conditionalFormatting sqref="L40">
    <cfRule type="cellIs" dxfId="25320" priority="164951" stopIfTrue="1" operator="greaterThanOrEqual">
      <formula>0.5</formula>
    </cfRule>
  </conditionalFormatting>
  <conditionalFormatting sqref="L41">
    <cfRule type="cellIs" dxfId="25319" priority="164952" stopIfTrue="1" operator="equal">
      <formula>-1</formula>
    </cfRule>
  </conditionalFormatting>
  <conditionalFormatting sqref="L41">
    <cfRule type="cellIs" dxfId="25318" priority="164953" stopIfTrue="1" operator="lessThan">
      <formula>0.5</formula>
    </cfRule>
  </conditionalFormatting>
  <conditionalFormatting sqref="L41">
    <cfRule type="cellIs" dxfId="25317" priority="164954" stopIfTrue="1" operator="greaterThanOrEqual">
      <formula>0.5</formula>
    </cfRule>
  </conditionalFormatting>
  <conditionalFormatting sqref="L42">
    <cfRule type="cellIs" dxfId="25316" priority="164955" stopIfTrue="1" operator="equal">
      <formula>-1</formula>
    </cfRule>
  </conditionalFormatting>
  <conditionalFormatting sqref="L42">
    <cfRule type="cellIs" dxfId="25315" priority="164956" stopIfTrue="1" operator="lessThan">
      <formula>0.5</formula>
    </cfRule>
  </conditionalFormatting>
  <conditionalFormatting sqref="L42">
    <cfRule type="cellIs" dxfId="25314" priority="164957" stopIfTrue="1" operator="greaterThanOrEqual">
      <formula>0.5</formula>
    </cfRule>
  </conditionalFormatting>
  <conditionalFormatting sqref="L43">
    <cfRule type="cellIs" dxfId="25313" priority="164958" stopIfTrue="1" operator="equal">
      <formula>-1</formula>
    </cfRule>
  </conditionalFormatting>
  <conditionalFormatting sqref="L43">
    <cfRule type="cellIs" dxfId="25312" priority="164959" stopIfTrue="1" operator="lessThan">
      <formula>0.5</formula>
    </cfRule>
  </conditionalFormatting>
  <conditionalFormatting sqref="L43">
    <cfRule type="cellIs" dxfId="25311" priority="164960" stopIfTrue="1" operator="greaterThanOrEqual">
      <formula>0.5</formula>
    </cfRule>
  </conditionalFormatting>
  <conditionalFormatting sqref="L44">
    <cfRule type="cellIs" dxfId="25310" priority="164961" stopIfTrue="1" operator="equal">
      <formula>-1</formula>
    </cfRule>
  </conditionalFormatting>
  <conditionalFormatting sqref="L44">
    <cfRule type="cellIs" dxfId="25309" priority="164962" stopIfTrue="1" operator="lessThan">
      <formula>0.5</formula>
    </cfRule>
  </conditionalFormatting>
  <conditionalFormatting sqref="L44">
    <cfRule type="cellIs" dxfId="25308" priority="164963" stopIfTrue="1" operator="greaterThanOrEqual">
      <formula>0.5</formula>
    </cfRule>
  </conditionalFormatting>
  <conditionalFormatting sqref="L45">
    <cfRule type="cellIs" dxfId="25307" priority="164964" stopIfTrue="1" operator="equal">
      <formula>-1</formula>
    </cfRule>
  </conditionalFormatting>
  <conditionalFormatting sqref="L45">
    <cfRule type="cellIs" dxfId="25306" priority="164965" stopIfTrue="1" operator="lessThan">
      <formula>0.5</formula>
    </cfRule>
  </conditionalFormatting>
  <conditionalFormatting sqref="L45">
    <cfRule type="cellIs" dxfId="25305" priority="164966" stopIfTrue="1" operator="greaterThanOrEqual">
      <formula>0.5</formula>
    </cfRule>
  </conditionalFormatting>
  <conditionalFormatting sqref="L46">
    <cfRule type="cellIs" dxfId="25304" priority="164967" stopIfTrue="1" operator="equal">
      <formula>-1</formula>
    </cfRule>
  </conditionalFormatting>
  <conditionalFormatting sqref="L46">
    <cfRule type="cellIs" dxfId="25303" priority="164968" stopIfTrue="1" operator="lessThan">
      <formula>0.5</formula>
    </cfRule>
  </conditionalFormatting>
  <conditionalFormatting sqref="L46">
    <cfRule type="cellIs" dxfId="25302" priority="164969" stopIfTrue="1" operator="greaterThanOrEqual">
      <formula>0.5</formula>
    </cfRule>
  </conditionalFormatting>
  <conditionalFormatting sqref="L47">
    <cfRule type="cellIs" dxfId="25301" priority="164970" stopIfTrue="1" operator="equal">
      <formula>-1</formula>
    </cfRule>
  </conditionalFormatting>
  <conditionalFormatting sqref="L47">
    <cfRule type="cellIs" dxfId="25300" priority="164971" stopIfTrue="1" operator="lessThan">
      <formula>0.5</formula>
    </cfRule>
  </conditionalFormatting>
  <conditionalFormatting sqref="L47">
    <cfRule type="cellIs" dxfId="25299" priority="164972" stopIfTrue="1" operator="greaterThanOrEqual">
      <formula>0.5</formula>
    </cfRule>
  </conditionalFormatting>
  <conditionalFormatting sqref="L48">
    <cfRule type="cellIs" dxfId="25298" priority="164973" stopIfTrue="1" operator="equal">
      <formula>-1</formula>
    </cfRule>
  </conditionalFormatting>
  <conditionalFormatting sqref="L48">
    <cfRule type="cellIs" dxfId="25297" priority="164974" stopIfTrue="1" operator="lessThan">
      <formula>0.5</formula>
    </cfRule>
  </conditionalFormatting>
  <conditionalFormatting sqref="L48">
    <cfRule type="cellIs" dxfId="25296" priority="164975" stopIfTrue="1" operator="greaterThanOrEqual">
      <formula>0.5</formula>
    </cfRule>
  </conditionalFormatting>
  <conditionalFormatting sqref="L49">
    <cfRule type="cellIs" dxfId="25295" priority="164976" stopIfTrue="1" operator="equal">
      <formula>-1</formula>
    </cfRule>
  </conditionalFormatting>
  <conditionalFormatting sqref="L49">
    <cfRule type="cellIs" dxfId="25294" priority="164977" stopIfTrue="1" operator="lessThan">
      <formula>0.5</formula>
    </cfRule>
  </conditionalFormatting>
  <conditionalFormatting sqref="L49">
    <cfRule type="cellIs" dxfId="25293" priority="164978" stopIfTrue="1" operator="greaterThanOrEqual">
      <formula>0.5</formula>
    </cfRule>
  </conditionalFormatting>
  <conditionalFormatting sqref="L50">
    <cfRule type="cellIs" dxfId="25292" priority="164979" stopIfTrue="1" operator="equal">
      <formula>-1</formula>
    </cfRule>
  </conditionalFormatting>
  <conditionalFormatting sqref="L50">
    <cfRule type="cellIs" dxfId="25291" priority="164980" stopIfTrue="1" operator="lessThan">
      <formula>0.5</formula>
    </cfRule>
  </conditionalFormatting>
  <conditionalFormatting sqref="L50">
    <cfRule type="cellIs" dxfId="25290" priority="164981" stopIfTrue="1" operator="greaterThanOrEqual">
      <formula>0.5</formula>
    </cfRule>
  </conditionalFormatting>
  <conditionalFormatting sqref="L51">
    <cfRule type="cellIs" dxfId="25289" priority="164982" stopIfTrue="1" operator="equal">
      <formula>-1</formula>
    </cfRule>
  </conditionalFormatting>
  <conditionalFormatting sqref="L51">
    <cfRule type="cellIs" dxfId="25288" priority="164983" stopIfTrue="1" operator="lessThan">
      <formula>0.5</formula>
    </cfRule>
  </conditionalFormatting>
  <conditionalFormatting sqref="L51">
    <cfRule type="cellIs" dxfId="25287" priority="164984" stopIfTrue="1" operator="greaterThanOrEqual">
      <formula>0.5</formula>
    </cfRule>
  </conditionalFormatting>
  <conditionalFormatting sqref="L52">
    <cfRule type="cellIs" dxfId="25286" priority="164985" stopIfTrue="1" operator="equal">
      <formula>-1</formula>
    </cfRule>
  </conditionalFormatting>
  <conditionalFormatting sqref="L52">
    <cfRule type="cellIs" dxfId="25285" priority="164986" stopIfTrue="1" operator="lessThan">
      <formula>0.5</formula>
    </cfRule>
  </conditionalFormatting>
  <conditionalFormatting sqref="L52">
    <cfRule type="cellIs" dxfId="25284" priority="164987" stopIfTrue="1" operator="greaterThanOrEqual">
      <formula>0.5</formula>
    </cfRule>
  </conditionalFormatting>
  <conditionalFormatting sqref="L53">
    <cfRule type="cellIs" dxfId="25283" priority="164988" stopIfTrue="1" operator="equal">
      <formula>-1</formula>
    </cfRule>
  </conditionalFormatting>
  <conditionalFormatting sqref="L53">
    <cfRule type="cellIs" dxfId="25282" priority="164989" stopIfTrue="1" operator="lessThan">
      <formula>0.5</formula>
    </cfRule>
  </conditionalFormatting>
  <conditionalFormatting sqref="L53">
    <cfRule type="cellIs" dxfId="25281" priority="164990" stopIfTrue="1" operator="greaterThanOrEqual">
      <formula>0.5</formula>
    </cfRule>
  </conditionalFormatting>
  <conditionalFormatting sqref="L54">
    <cfRule type="cellIs" dxfId="25280" priority="164991" stopIfTrue="1" operator="equal">
      <formula>-1</formula>
    </cfRule>
  </conditionalFormatting>
  <conditionalFormatting sqref="L54">
    <cfRule type="cellIs" dxfId="25279" priority="164992" stopIfTrue="1" operator="lessThan">
      <formula>0.5</formula>
    </cfRule>
  </conditionalFormatting>
  <conditionalFormatting sqref="L54">
    <cfRule type="cellIs" dxfId="25278" priority="164993" stopIfTrue="1" operator="greaterThanOrEqual">
      <formula>0.5</formula>
    </cfRule>
  </conditionalFormatting>
  <conditionalFormatting sqref="L55">
    <cfRule type="cellIs" dxfId="25277" priority="164994" stopIfTrue="1" operator="equal">
      <formula>-1</formula>
    </cfRule>
  </conditionalFormatting>
  <conditionalFormatting sqref="L55">
    <cfRule type="cellIs" dxfId="25276" priority="164995" stopIfTrue="1" operator="lessThan">
      <formula>0.5</formula>
    </cfRule>
  </conditionalFormatting>
  <conditionalFormatting sqref="L55">
    <cfRule type="cellIs" dxfId="25275" priority="164996" stopIfTrue="1" operator="greaterThanOrEqual">
      <formula>0.5</formula>
    </cfRule>
  </conditionalFormatting>
  <conditionalFormatting sqref="L56">
    <cfRule type="cellIs" dxfId="25274" priority="164997" stopIfTrue="1" operator="equal">
      <formula>-1</formula>
    </cfRule>
  </conditionalFormatting>
  <conditionalFormatting sqref="L56">
    <cfRule type="cellIs" dxfId="25273" priority="164998" stopIfTrue="1" operator="lessThan">
      <formula>0.5</formula>
    </cfRule>
  </conditionalFormatting>
  <conditionalFormatting sqref="L56">
    <cfRule type="cellIs" dxfId="25272" priority="164999" stopIfTrue="1" operator="greaterThanOrEqual">
      <formula>0.5</formula>
    </cfRule>
  </conditionalFormatting>
  <conditionalFormatting sqref="L57">
    <cfRule type="cellIs" dxfId="25271" priority="165000" stopIfTrue="1" operator="equal">
      <formula>-1</formula>
    </cfRule>
  </conditionalFormatting>
  <conditionalFormatting sqref="L57">
    <cfRule type="cellIs" dxfId="25270" priority="165001" stopIfTrue="1" operator="lessThan">
      <formula>0.5</formula>
    </cfRule>
  </conditionalFormatting>
  <conditionalFormatting sqref="L57">
    <cfRule type="cellIs" dxfId="25269" priority="165002" stopIfTrue="1" operator="greaterThanOrEqual">
      <formula>0.5</formula>
    </cfRule>
  </conditionalFormatting>
  <conditionalFormatting sqref="L58">
    <cfRule type="cellIs" dxfId="25268" priority="165003" stopIfTrue="1" operator="equal">
      <formula>-1</formula>
    </cfRule>
  </conditionalFormatting>
  <conditionalFormatting sqref="L58">
    <cfRule type="cellIs" dxfId="25267" priority="165004" stopIfTrue="1" operator="lessThan">
      <formula>0.5</formula>
    </cfRule>
  </conditionalFormatting>
  <conditionalFormatting sqref="L58">
    <cfRule type="cellIs" dxfId="25266" priority="165005" stopIfTrue="1" operator="greaterThanOrEqual">
      <formula>0.5</formula>
    </cfRule>
  </conditionalFormatting>
  <conditionalFormatting sqref="N39">
    <cfRule type="cellIs" dxfId="25265" priority="165006" stopIfTrue="1" operator="equal">
      <formula>-1</formula>
    </cfRule>
  </conditionalFormatting>
  <conditionalFormatting sqref="N39">
    <cfRule type="cellIs" dxfId="25264" priority="165007" stopIfTrue="1" operator="lessThan">
      <formula>0.5</formula>
    </cfRule>
  </conditionalFormatting>
  <conditionalFormatting sqref="N39">
    <cfRule type="cellIs" dxfId="25263" priority="165008" stopIfTrue="1" operator="greaterThanOrEqual">
      <formula>0.5</formula>
    </cfRule>
  </conditionalFormatting>
  <conditionalFormatting sqref="N40">
    <cfRule type="cellIs" dxfId="25262" priority="165009" stopIfTrue="1" operator="equal">
      <formula>-1</formula>
    </cfRule>
  </conditionalFormatting>
  <conditionalFormatting sqref="N40">
    <cfRule type="cellIs" dxfId="25261" priority="165010" stopIfTrue="1" operator="lessThan">
      <formula>0.5</formula>
    </cfRule>
  </conditionalFormatting>
  <conditionalFormatting sqref="N40">
    <cfRule type="cellIs" dxfId="25260" priority="165011" stopIfTrue="1" operator="greaterThanOrEqual">
      <formula>0.5</formula>
    </cfRule>
  </conditionalFormatting>
  <conditionalFormatting sqref="N41">
    <cfRule type="cellIs" dxfId="25259" priority="165012" stopIfTrue="1" operator="equal">
      <formula>-1</formula>
    </cfRule>
  </conditionalFormatting>
  <conditionalFormatting sqref="N41">
    <cfRule type="cellIs" dxfId="25258" priority="165013" stopIfTrue="1" operator="lessThan">
      <formula>0.5</formula>
    </cfRule>
  </conditionalFormatting>
  <conditionalFormatting sqref="N41">
    <cfRule type="cellIs" dxfId="25257" priority="165014" stopIfTrue="1" operator="greaterThanOrEqual">
      <formula>0.5</formula>
    </cfRule>
  </conditionalFormatting>
  <conditionalFormatting sqref="N42">
    <cfRule type="cellIs" dxfId="25256" priority="165015" stopIfTrue="1" operator="equal">
      <formula>-1</formula>
    </cfRule>
  </conditionalFormatting>
  <conditionalFormatting sqref="N42">
    <cfRule type="cellIs" dxfId="25255" priority="165016" stopIfTrue="1" operator="lessThan">
      <formula>0.5</formula>
    </cfRule>
  </conditionalFormatting>
  <conditionalFormatting sqref="N42">
    <cfRule type="cellIs" dxfId="25254" priority="165017" stopIfTrue="1" operator="greaterThanOrEqual">
      <formula>0.5</formula>
    </cfRule>
  </conditionalFormatting>
  <conditionalFormatting sqref="N43">
    <cfRule type="cellIs" dxfId="25253" priority="165018" stopIfTrue="1" operator="equal">
      <formula>-1</formula>
    </cfRule>
  </conditionalFormatting>
  <conditionalFormatting sqref="N43">
    <cfRule type="cellIs" dxfId="25252" priority="165019" stopIfTrue="1" operator="lessThan">
      <formula>0.5</formula>
    </cfRule>
  </conditionalFormatting>
  <conditionalFormatting sqref="N43">
    <cfRule type="cellIs" dxfId="25251" priority="165020" stopIfTrue="1" operator="greaterThanOrEqual">
      <formula>0.5</formula>
    </cfRule>
  </conditionalFormatting>
  <conditionalFormatting sqref="N44">
    <cfRule type="cellIs" dxfId="25250" priority="165021" stopIfTrue="1" operator="equal">
      <formula>-1</formula>
    </cfRule>
  </conditionalFormatting>
  <conditionalFormatting sqref="N44">
    <cfRule type="cellIs" dxfId="25249" priority="165022" stopIfTrue="1" operator="lessThan">
      <formula>0.5</formula>
    </cfRule>
  </conditionalFormatting>
  <conditionalFormatting sqref="N44">
    <cfRule type="cellIs" dxfId="25248" priority="165023" stopIfTrue="1" operator="greaterThanOrEqual">
      <formula>0.5</formula>
    </cfRule>
  </conditionalFormatting>
  <conditionalFormatting sqref="N45">
    <cfRule type="cellIs" dxfId="25247" priority="165024" stopIfTrue="1" operator="equal">
      <formula>-1</formula>
    </cfRule>
  </conditionalFormatting>
  <conditionalFormatting sqref="N45">
    <cfRule type="cellIs" dxfId="25246" priority="165025" stopIfTrue="1" operator="lessThan">
      <formula>0.5</formula>
    </cfRule>
  </conditionalFormatting>
  <conditionalFormatting sqref="N45">
    <cfRule type="cellIs" dxfId="25245" priority="165026" stopIfTrue="1" operator="greaterThanOrEqual">
      <formula>0.5</formula>
    </cfRule>
  </conditionalFormatting>
  <conditionalFormatting sqref="N46">
    <cfRule type="cellIs" dxfId="25244" priority="165027" stopIfTrue="1" operator="equal">
      <formula>-1</formula>
    </cfRule>
  </conditionalFormatting>
  <conditionalFormatting sqref="N46">
    <cfRule type="cellIs" dxfId="25243" priority="165028" stopIfTrue="1" operator="lessThan">
      <formula>0.5</formula>
    </cfRule>
  </conditionalFormatting>
  <conditionalFormatting sqref="N46">
    <cfRule type="cellIs" dxfId="25242" priority="165029" stopIfTrue="1" operator="greaterThanOrEqual">
      <formula>0.5</formula>
    </cfRule>
  </conditionalFormatting>
  <conditionalFormatting sqref="N47">
    <cfRule type="cellIs" dxfId="25241" priority="165030" stopIfTrue="1" operator="equal">
      <formula>-1</formula>
    </cfRule>
  </conditionalFormatting>
  <conditionalFormatting sqref="N47">
    <cfRule type="cellIs" dxfId="25240" priority="165031" stopIfTrue="1" operator="lessThan">
      <formula>0.5</formula>
    </cfRule>
  </conditionalFormatting>
  <conditionalFormatting sqref="N47">
    <cfRule type="cellIs" dxfId="25239" priority="165032" stopIfTrue="1" operator="greaterThanOrEqual">
      <formula>0.5</formula>
    </cfRule>
  </conditionalFormatting>
  <conditionalFormatting sqref="N48">
    <cfRule type="cellIs" dxfId="25238" priority="165033" stopIfTrue="1" operator="equal">
      <formula>-1</formula>
    </cfRule>
  </conditionalFormatting>
  <conditionalFormatting sqref="N48">
    <cfRule type="cellIs" dxfId="25237" priority="165034" stopIfTrue="1" operator="lessThan">
      <formula>0.5</formula>
    </cfRule>
  </conditionalFormatting>
  <conditionalFormatting sqref="N48">
    <cfRule type="cellIs" dxfId="25236" priority="165035" stopIfTrue="1" operator="greaterThanOrEqual">
      <formula>0.5</formula>
    </cfRule>
  </conditionalFormatting>
  <conditionalFormatting sqref="N49">
    <cfRule type="cellIs" dxfId="25235" priority="165036" stopIfTrue="1" operator="equal">
      <formula>-1</formula>
    </cfRule>
  </conditionalFormatting>
  <conditionalFormatting sqref="N49">
    <cfRule type="cellIs" dxfId="25234" priority="165037" stopIfTrue="1" operator="lessThan">
      <formula>0.5</formula>
    </cfRule>
  </conditionalFormatting>
  <conditionalFormatting sqref="N49">
    <cfRule type="cellIs" dxfId="25233" priority="165038" stopIfTrue="1" operator="greaterThanOrEqual">
      <formula>0.5</formula>
    </cfRule>
  </conditionalFormatting>
  <conditionalFormatting sqref="N50">
    <cfRule type="cellIs" dxfId="25232" priority="165039" stopIfTrue="1" operator="equal">
      <formula>-1</formula>
    </cfRule>
  </conditionalFormatting>
  <conditionalFormatting sqref="N50">
    <cfRule type="cellIs" dxfId="25231" priority="165040" stopIfTrue="1" operator="lessThan">
      <formula>0.5</formula>
    </cfRule>
  </conditionalFormatting>
  <conditionalFormatting sqref="N50">
    <cfRule type="cellIs" dxfId="25230" priority="165041" stopIfTrue="1" operator="greaterThanOrEqual">
      <formula>0.5</formula>
    </cfRule>
  </conditionalFormatting>
  <conditionalFormatting sqref="N51">
    <cfRule type="cellIs" dxfId="25229" priority="165042" stopIfTrue="1" operator="equal">
      <formula>-1</formula>
    </cfRule>
  </conditionalFormatting>
  <conditionalFormatting sqref="N51">
    <cfRule type="cellIs" dxfId="25228" priority="165043" stopIfTrue="1" operator="lessThan">
      <formula>0.5</formula>
    </cfRule>
  </conditionalFormatting>
  <conditionalFormatting sqref="N51">
    <cfRule type="cellIs" dxfId="25227" priority="165044" stopIfTrue="1" operator="greaterThanOrEqual">
      <formula>0.5</formula>
    </cfRule>
  </conditionalFormatting>
  <conditionalFormatting sqref="N52">
    <cfRule type="cellIs" dxfId="25226" priority="165045" stopIfTrue="1" operator="equal">
      <formula>-1</formula>
    </cfRule>
  </conditionalFormatting>
  <conditionalFormatting sqref="N52">
    <cfRule type="cellIs" dxfId="25225" priority="165046" stopIfTrue="1" operator="lessThan">
      <formula>0.5</formula>
    </cfRule>
  </conditionalFormatting>
  <conditionalFormatting sqref="N52">
    <cfRule type="cellIs" dxfId="25224" priority="165047" stopIfTrue="1" operator="greaterThanOrEqual">
      <formula>0.5</formula>
    </cfRule>
  </conditionalFormatting>
  <conditionalFormatting sqref="N53">
    <cfRule type="cellIs" dxfId="25223" priority="165048" stopIfTrue="1" operator="equal">
      <formula>-1</formula>
    </cfRule>
  </conditionalFormatting>
  <conditionalFormatting sqref="N53">
    <cfRule type="cellIs" dxfId="25222" priority="165049" stopIfTrue="1" operator="lessThan">
      <formula>0.5</formula>
    </cfRule>
  </conditionalFormatting>
  <conditionalFormatting sqref="N53">
    <cfRule type="cellIs" dxfId="25221" priority="165050" stopIfTrue="1" operator="greaterThanOrEqual">
      <formula>0.5</formula>
    </cfRule>
  </conditionalFormatting>
  <conditionalFormatting sqref="N54">
    <cfRule type="cellIs" dxfId="25220" priority="165051" stopIfTrue="1" operator="equal">
      <formula>-1</formula>
    </cfRule>
  </conditionalFormatting>
  <conditionalFormatting sqref="N54">
    <cfRule type="cellIs" dxfId="25219" priority="165052" stopIfTrue="1" operator="lessThan">
      <formula>0.5</formula>
    </cfRule>
  </conditionalFormatting>
  <conditionalFormatting sqref="N54">
    <cfRule type="cellIs" dxfId="25218" priority="165053" stopIfTrue="1" operator="greaterThanOrEqual">
      <formula>0.5</formula>
    </cfRule>
  </conditionalFormatting>
  <conditionalFormatting sqref="N55">
    <cfRule type="cellIs" dxfId="25217" priority="165054" stopIfTrue="1" operator="equal">
      <formula>-1</formula>
    </cfRule>
  </conditionalFormatting>
  <conditionalFormatting sqref="N55">
    <cfRule type="cellIs" dxfId="25216" priority="165055" stopIfTrue="1" operator="lessThan">
      <formula>0.5</formula>
    </cfRule>
  </conditionalFormatting>
  <conditionalFormatting sqref="N55">
    <cfRule type="cellIs" dxfId="25215" priority="165056" stopIfTrue="1" operator="greaterThanOrEqual">
      <formula>0.5</formula>
    </cfRule>
  </conditionalFormatting>
  <conditionalFormatting sqref="N56">
    <cfRule type="cellIs" dxfId="25214" priority="165057" stopIfTrue="1" operator="equal">
      <formula>-1</formula>
    </cfRule>
  </conditionalFormatting>
  <conditionalFormatting sqref="N56">
    <cfRule type="cellIs" dxfId="25213" priority="165058" stopIfTrue="1" operator="lessThan">
      <formula>0.5</formula>
    </cfRule>
  </conditionalFormatting>
  <conditionalFormatting sqref="N56">
    <cfRule type="cellIs" dxfId="25212" priority="165059" stopIfTrue="1" operator="greaterThanOrEqual">
      <formula>0.5</formula>
    </cfRule>
  </conditionalFormatting>
  <conditionalFormatting sqref="N57">
    <cfRule type="cellIs" dxfId="25211" priority="165060" stopIfTrue="1" operator="equal">
      <formula>-1</formula>
    </cfRule>
  </conditionalFormatting>
  <conditionalFormatting sqref="N57">
    <cfRule type="cellIs" dxfId="25210" priority="165061" stopIfTrue="1" operator="lessThan">
      <formula>0.5</formula>
    </cfRule>
  </conditionalFormatting>
  <conditionalFormatting sqref="N57">
    <cfRule type="cellIs" dxfId="25209" priority="165062" stopIfTrue="1" operator="greaterThanOrEqual">
      <formula>0.5</formula>
    </cfRule>
  </conditionalFormatting>
  <conditionalFormatting sqref="N58">
    <cfRule type="cellIs" dxfId="25208" priority="165063" stopIfTrue="1" operator="equal">
      <formula>-1</formula>
    </cfRule>
  </conditionalFormatting>
  <conditionalFormatting sqref="N58">
    <cfRule type="cellIs" dxfId="25207" priority="165064" stopIfTrue="1" operator="lessThan">
      <formula>0.5</formula>
    </cfRule>
  </conditionalFormatting>
  <conditionalFormatting sqref="N58">
    <cfRule type="cellIs" dxfId="25206" priority="165065" stopIfTrue="1" operator="greaterThanOrEqual">
      <formula>0.5</formula>
    </cfRule>
  </conditionalFormatting>
  <conditionalFormatting sqref="P39">
    <cfRule type="cellIs" dxfId="25205" priority="165066" stopIfTrue="1" operator="equal">
      <formula>-1</formula>
    </cfRule>
  </conditionalFormatting>
  <conditionalFormatting sqref="P39">
    <cfRule type="cellIs" dxfId="25204" priority="165067" stopIfTrue="1" operator="lessThan">
      <formula>0.5</formula>
    </cfRule>
  </conditionalFormatting>
  <conditionalFormatting sqref="P39">
    <cfRule type="cellIs" dxfId="25203" priority="165068" stopIfTrue="1" operator="greaterThanOrEqual">
      <formula>0.5</formula>
    </cfRule>
  </conditionalFormatting>
  <conditionalFormatting sqref="P40">
    <cfRule type="cellIs" dxfId="25202" priority="165069" stopIfTrue="1" operator="equal">
      <formula>-1</formula>
    </cfRule>
  </conditionalFormatting>
  <conditionalFormatting sqref="P40">
    <cfRule type="cellIs" dxfId="25201" priority="165070" stopIfTrue="1" operator="lessThan">
      <formula>0.5</formula>
    </cfRule>
  </conditionalFormatting>
  <conditionalFormatting sqref="P40">
    <cfRule type="cellIs" dxfId="25200" priority="165071" stopIfTrue="1" operator="greaterThanOrEqual">
      <formula>0.5</formula>
    </cfRule>
  </conditionalFormatting>
  <conditionalFormatting sqref="P41">
    <cfRule type="cellIs" dxfId="25199" priority="165072" stopIfTrue="1" operator="equal">
      <formula>-1</formula>
    </cfRule>
  </conditionalFormatting>
  <conditionalFormatting sqref="P41">
    <cfRule type="cellIs" dxfId="25198" priority="165073" stopIfTrue="1" operator="lessThan">
      <formula>0.5</formula>
    </cfRule>
  </conditionalFormatting>
  <conditionalFormatting sqref="P41">
    <cfRule type="cellIs" dxfId="25197" priority="165074" stopIfTrue="1" operator="greaterThanOrEqual">
      <formula>0.5</formula>
    </cfRule>
  </conditionalFormatting>
  <conditionalFormatting sqref="P42">
    <cfRule type="cellIs" dxfId="25196" priority="165075" stopIfTrue="1" operator="equal">
      <formula>-1</formula>
    </cfRule>
  </conditionalFormatting>
  <conditionalFormatting sqref="P42">
    <cfRule type="cellIs" dxfId="25195" priority="165076" stopIfTrue="1" operator="lessThan">
      <formula>0.5</formula>
    </cfRule>
  </conditionalFormatting>
  <conditionalFormatting sqref="P42">
    <cfRule type="cellIs" dxfId="25194" priority="165077" stopIfTrue="1" operator="greaterThanOrEqual">
      <formula>0.5</formula>
    </cfRule>
  </conditionalFormatting>
  <conditionalFormatting sqref="P43">
    <cfRule type="cellIs" dxfId="25193" priority="165078" stopIfTrue="1" operator="equal">
      <formula>-1</formula>
    </cfRule>
  </conditionalFormatting>
  <conditionalFormatting sqref="P43">
    <cfRule type="cellIs" dxfId="25192" priority="165079" stopIfTrue="1" operator="lessThan">
      <formula>0.5</formula>
    </cfRule>
  </conditionalFormatting>
  <conditionalFormatting sqref="P43">
    <cfRule type="cellIs" dxfId="25191" priority="165080" stopIfTrue="1" operator="greaterThanOrEqual">
      <formula>0.5</formula>
    </cfRule>
  </conditionalFormatting>
  <conditionalFormatting sqref="P44">
    <cfRule type="cellIs" dxfId="25190" priority="165081" stopIfTrue="1" operator="equal">
      <formula>-1</formula>
    </cfRule>
  </conditionalFormatting>
  <conditionalFormatting sqref="P44">
    <cfRule type="cellIs" dxfId="25189" priority="165082" stopIfTrue="1" operator="lessThan">
      <formula>0.5</formula>
    </cfRule>
  </conditionalFormatting>
  <conditionalFormatting sqref="P44">
    <cfRule type="cellIs" dxfId="25188" priority="165083" stopIfTrue="1" operator="greaterThanOrEqual">
      <formula>0.5</formula>
    </cfRule>
  </conditionalFormatting>
  <conditionalFormatting sqref="P45">
    <cfRule type="cellIs" dxfId="25187" priority="165084" stopIfTrue="1" operator="equal">
      <formula>-1</formula>
    </cfRule>
  </conditionalFormatting>
  <conditionalFormatting sqref="P45">
    <cfRule type="cellIs" dxfId="25186" priority="165085" stopIfTrue="1" operator="lessThan">
      <formula>0.5</formula>
    </cfRule>
  </conditionalFormatting>
  <conditionalFormatting sqref="P45">
    <cfRule type="cellIs" dxfId="25185" priority="165086" stopIfTrue="1" operator="greaterThanOrEqual">
      <formula>0.5</formula>
    </cfRule>
  </conditionalFormatting>
  <conditionalFormatting sqref="P46">
    <cfRule type="cellIs" dxfId="25184" priority="165087" stopIfTrue="1" operator="equal">
      <formula>-1</formula>
    </cfRule>
  </conditionalFormatting>
  <conditionalFormatting sqref="P46">
    <cfRule type="cellIs" dxfId="25183" priority="165088" stopIfTrue="1" operator="lessThan">
      <formula>0.5</formula>
    </cfRule>
  </conditionalFormatting>
  <conditionalFormatting sqref="P46">
    <cfRule type="cellIs" dxfId="25182" priority="165089" stopIfTrue="1" operator="greaterThanOrEqual">
      <formula>0.5</formula>
    </cfRule>
  </conditionalFormatting>
  <conditionalFormatting sqref="P47">
    <cfRule type="cellIs" dxfId="25181" priority="165090" stopIfTrue="1" operator="equal">
      <formula>-1</formula>
    </cfRule>
  </conditionalFormatting>
  <conditionalFormatting sqref="P47">
    <cfRule type="cellIs" dxfId="25180" priority="165091" stopIfTrue="1" operator="lessThan">
      <formula>0.5</formula>
    </cfRule>
  </conditionalFormatting>
  <conditionalFormatting sqref="P47">
    <cfRule type="cellIs" dxfId="25179" priority="165092" stopIfTrue="1" operator="greaterThanOrEqual">
      <formula>0.5</formula>
    </cfRule>
  </conditionalFormatting>
  <conditionalFormatting sqref="P48">
    <cfRule type="cellIs" dxfId="25178" priority="165093" stopIfTrue="1" operator="equal">
      <formula>-1</formula>
    </cfRule>
  </conditionalFormatting>
  <conditionalFormatting sqref="P48">
    <cfRule type="cellIs" dxfId="25177" priority="165094" stopIfTrue="1" operator="lessThan">
      <formula>0.5</formula>
    </cfRule>
  </conditionalFormatting>
  <conditionalFormatting sqref="P48">
    <cfRule type="cellIs" dxfId="25176" priority="165095" stopIfTrue="1" operator="greaterThanOrEqual">
      <formula>0.5</formula>
    </cfRule>
  </conditionalFormatting>
  <conditionalFormatting sqref="P49">
    <cfRule type="cellIs" dxfId="25175" priority="165096" stopIfTrue="1" operator="equal">
      <formula>-1</formula>
    </cfRule>
  </conditionalFormatting>
  <conditionalFormatting sqref="P49">
    <cfRule type="cellIs" dxfId="25174" priority="165097" stopIfTrue="1" operator="lessThan">
      <formula>0.5</formula>
    </cfRule>
  </conditionalFormatting>
  <conditionalFormatting sqref="P49">
    <cfRule type="cellIs" dxfId="25173" priority="165098" stopIfTrue="1" operator="greaterThanOrEqual">
      <formula>0.5</formula>
    </cfRule>
  </conditionalFormatting>
  <conditionalFormatting sqref="P50">
    <cfRule type="cellIs" dxfId="25172" priority="165099" stopIfTrue="1" operator="equal">
      <formula>-1</formula>
    </cfRule>
  </conditionalFormatting>
  <conditionalFormatting sqref="P50">
    <cfRule type="cellIs" dxfId="25171" priority="165100" stopIfTrue="1" operator="lessThan">
      <formula>0.5</formula>
    </cfRule>
  </conditionalFormatting>
  <conditionalFormatting sqref="P50">
    <cfRule type="cellIs" dxfId="25170" priority="165101" stopIfTrue="1" operator="greaterThanOrEqual">
      <formula>0.5</formula>
    </cfRule>
  </conditionalFormatting>
  <conditionalFormatting sqref="P51">
    <cfRule type="cellIs" dxfId="25169" priority="165102" stopIfTrue="1" operator="equal">
      <formula>-1</formula>
    </cfRule>
  </conditionalFormatting>
  <conditionalFormatting sqref="P51">
    <cfRule type="cellIs" dxfId="25168" priority="165103" stopIfTrue="1" operator="lessThan">
      <formula>0.5</formula>
    </cfRule>
  </conditionalFormatting>
  <conditionalFormatting sqref="P51">
    <cfRule type="cellIs" dxfId="25167" priority="165104" stopIfTrue="1" operator="greaterThanOrEqual">
      <formula>0.5</formula>
    </cfRule>
  </conditionalFormatting>
  <conditionalFormatting sqref="P52">
    <cfRule type="cellIs" dxfId="25166" priority="165105" stopIfTrue="1" operator="equal">
      <formula>-1</formula>
    </cfRule>
  </conditionalFormatting>
  <conditionalFormatting sqref="P52">
    <cfRule type="cellIs" dxfId="25165" priority="165106" stopIfTrue="1" operator="lessThan">
      <formula>0.5</formula>
    </cfRule>
  </conditionalFormatting>
  <conditionalFormatting sqref="P52">
    <cfRule type="cellIs" dxfId="25164" priority="165107" stopIfTrue="1" operator="greaterThanOrEqual">
      <formula>0.5</formula>
    </cfRule>
  </conditionalFormatting>
  <conditionalFormatting sqref="P53">
    <cfRule type="cellIs" dxfId="25163" priority="165108" stopIfTrue="1" operator="equal">
      <formula>-1</formula>
    </cfRule>
  </conditionalFormatting>
  <conditionalFormatting sqref="P53">
    <cfRule type="cellIs" dxfId="25162" priority="165109" stopIfTrue="1" operator="lessThan">
      <formula>0.5</formula>
    </cfRule>
  </conditionalFormatting>
  <conditionalFormatting sqref="P53">
    <cfRule type="cellIs" dxfId="25161" priority="165110" stopIfTrue="1" operator="greaterThanOrEqual">
      <formula>0.5</formula>
    </cfRule>
  </conditionalFormatting>
  <conditionalFormatting sqref="P54">
    <cfRule type="cellIs" dxfId="25160" priority="165111" stopIfTrue="1" operator="equal">
      <formula>-1</formula>
    </cfRule>
  </conditionalFormatting>
  <conditionalFormatting sqref="P54">
    <cfRule type="cellIs" dxfId="25159" priority="165112" stopIfTrue="1" operator="lessThan">
      <formula>0.5</formula>
    </cfRule>
  </conditionalFormatting>
  <conditionalFormatting sqref="P54">
    <cfRule type="cellIs" dxfId="25158" priority="165113" stopIfTrue="1" operator="greaterThanOrEqual">
      <formula>0.5</formula>
    </cfRule>
  </conditionalFormatting>
  <conditionalFormatting sqref="P55">
    <cfRule type="cellIs" dxfId="25157" priority="165114" stopIfTrue="1" operator="equal">
      <formula>-1</formula>
    </cfRule>
  </conditionalFormatting>
  <conditionalFormatting sqref="P55">
    <cfRule type="cellIs" dxfId="25156" priority="165115" stopIfTrue="1" operator="lessThan">
      <formula>0.5</formula>
    </cfRule>
  </conditionalFormatting>
  <conditionalFormatting sqref="P55">
    <cfRule type="cellIs" dxfId="25155" priority="165116" stopIfTrue="1" operator="greaterThanOrEqual">
      <formula>0.5</formula>
    </cfRule>
  </conditionalFormatting>
  <conditionalFormatting sqref="P56">
    <cfRule type="cellIs" dxfId="25154" priority="165117" stopIfTrue="1" operator="equal">
      <formula>-1</formula>
    </cfRule>
  </conditionalFormatting>
  <conditionalFormatting sqref="P56">
    <cfRule type="cellIs" dxfId="25153" priority="165118" stopIfTrue="1" operator="lessThan">
      <formula>0.5</formula>
    </cfRule>
  </conditionalFormatting>
  <conditionalFormatting sqref="P56">
    <cfRule type="cellIs" dxfId="25152" priority="165119" stopIfTrue="1" operator="greaterThanOrEqual">
      <formula>0.5</formula>
    </cfRule>
  </conditionalFormatting>
  <conditionalFormatting sqref="P57">
    <cfRule type="cellIs" dxfId="25151" priority="165120" stopIfTrue="1" operator="equal">
      <formula>-1</formula>
    </cfRule>
  </conditionalFormatting>
  <conditionalFormatting sqref="P57">
    <cfRule type="cellIs" dxfId="25150" priority="165121" stopIfTrue="1" operator="lessThan">
      <formula>0.5</formula>
    </cfRule>
  </conditionalFormatting>
  <conditionalFormatting sqref="P57">
    <cfRule type="cellIs" dxfId="25149" priority="165122" stopIfTrue="1" operator="greaterThanOrEqual">
      <formula>0.5</formula>
    </cfRule>
  </conditionalFormatting>
  <conditionalFormatting sqref="P58">
    <cfRule type="cellIs" dxfId="25148" priority="165123" stopIfTrue="1" operator="equal">
      <formula>-1</formula>
    </cfRule>
  </conditionalFormatting>
  <conditionalFormatting sqref="P58">
    <cfRule type="cellIs" dxfId="25147" priority="165124" stopIfTrue="1" operator="lessThan">
      <formula>0.5</formula>
    </cfRule>
  </conditionalFormatting>
  <conditionalFormatting sqref="P58">
    <cfRule type="cellIs" dxfId="25146" priority="165125" stopIfTrue="1" operator="greaterThanOrEqual">
      <formula>0.5</formula>
    </cfRule>
  </conditionalFormatting>
  <conditionalFormatting sqref="R39">
    <cfRule type="cellIs" dxfId="25145" priority="165126" stopIfTrue="1" operator="equal">
      <formula>-1</formula>
    </cfRule>
  </conditionalFormatting>
  <conditionalFormatting sqref="R39">
    <cfRule type="cellIs" dxfId="25144" priority="165127" stopIfTrue="1" operator="lessThan">
      <formula>0.5</formula>
    </cfRule>
  </conditionalFormatting>
  <conditionalFormatting sqref="R39">
    <cfRule type="cellIs" dxfId="25143" priority="165128" stopIfTrue="1" operator="greaterThanOrEqual">
      <formula>0.5</formula>
    </cfRule>
  </conditionalFormatting>
  <conditionalFormatting sqref="R40">
    <cfRule type="cellIs" dxfId="25142" priority="165129" stopIfTrue="1" operator="equal">
      <formula>-1</formula>
    </cfRule>
  </conditionalFormatting>
  <conditionalFormatting sqref="R40">
    <cfRule type="cellIs" dxfId="25141" priority="165130" stopIfTrue="1" operator="lessThan">
      <formula>0.5</formula>
    </cfRule>
  </conditionalFormatting>
  <conditionalFormatting sqref="R40">
    <cfRule type="cellIs" dxfId="25140" priority="165131" stopIfTrue="1" operator="greaterThanOrEqual">
      <formula>0.5</formula>
    </cfRule>
  </conditionalFormatting>
  <conditionalFormatting sqref="R41">
    <cfRule type="cellIs" dxfId="25139" priority="165132" stopIfTrue="1" operator="equal">
      <formula>-1</formula>
    </cfRule>
  </conditionalFormatting>
  <conditionalFormatting sqref="R41">
    <cfRule type="cellIs" dxfId="25138" priority="165133" stopIfTrue="1" operator="lessThan">
      <formula>0.5</formula>
    </cfRule>
  </conditionalFormatting>
  <conditionalFormatting sqref="R41">
    <cfRule type="cellIs" dxfId="25137" priority="165134" stopIfTrue="1" operator="greaterThanOrEqual">
      <formula>0.5</formula>
    </cfRule>
  </conditionalFormatting>
  <conditionalFormatting sqref="R42">
    <cfRule type="cellIs" dxfId="25136" priority="165135" stopIfTrue="1" operator="equal">
      <formula>-1</formula>
    </cfRule>
  </conditionalFormatting>
  <conditionalFormatting sqref="R42">
    <cfRule type="cellIs" dxfId="25135" priority="165136" stopIfTrue="1" operator="lessThan">
      <formula>0.5</formula>
    </cfRule>
  </conditionalFormatting>
  <conditionalFormatting sqref="R42">
    <cfRule type="cellIs" dxfId="25134" priority="165137" stopIfTrue="1" operator="greaterThanOrEqual">
      <formula>0.5</formula>
    </cfRule>
  </conditionalFormatting>
  <conditionalFormatting sqref="R43">
    <cfRule type="cellIs" dxfId="25133" priority="165138" stopIfTrue="1" operator="equal">
      <formula>-1</formula>
    </cfRule>
  </conditionalFormatting>
  <conditionalFormatting sqref="R43">
    <cfRule type="cellIs" dxfId="25132" priority="165139" stopIfTrue="1" operator="lessThan">
      <formula>0.5</formula>
    </cfRule>
  </conditionalFormatting>
  <conditionalFormatting sqref="R43">
    <cfRule type="cellIs" dxfId="25131" priority="165140" stopIfTrue="1" operator="greaterThanOrEqual">
      <formula>0.5</formula>
    </cfRule>
  </conditionalFormatting>
  <conditionalFormatting sqref="R44">
    <cfRule type="cellIs" dxfId="25130" priority="165141" stopIfTrue="1" operator="equal">
      <formula>-1</formula>
    </cfRule>
  </conditionalFormatting>
  <conditionalFormatting sqref="R44">
    <cfRule type="cellIs" dxfId="25129" priority="165142" stopIfTrue="1" operator="lessThan">
      <formula>0.5</formula>
    </cfRule>
  </conditionalFormatting>
  <conditionalFormatting sqref="R44">
    <cfRule type="cellIs" dxfId="25128" priority="165143" stopIfTrue="1" operator="greaterThanOrEqual">
      <formula>0.5</formula>
    </cfRule>
  </conditionalFormatting>
  <conditionalFormatting sqref="R45">
    <cfRule type="cellIs" dxfId="25127" priority="165144" stopIfTrue="1" operator="equal">
      <formula>-1</formula>
    </cfRule>
  </conditionalFormatting>
  <conditionalFormatting sqref="R45">
    <cfRule type="cellIs" dxfId="25126" priority="165145" stopIfTrue="1" operator="lessThan">
      <formula>0.5</formula>
    </cfRule>
  </conditionalFormatting>
  <conditionalFormatting sqref="R45">
    <cfRule type="cellIs" dxfId="25125" priority="165146" stopIfTrue="1" operator="greaterThanOrEqual">
      <formula>0.5</formula>
    </cfRule>
  </conditionalFormatting>
  <conditionalFormatting sqref="R46">
    <cfRule type="cellIs" dxfId="25124" priority="165147" stopIfTrue="1" operator="equal">
      <formula>-1</formula>
    </cfRule>
  </conditionalFormatting>
  <conditionalFormatting sqref="R46">
    <cfRule type="cellIs" dxfId="25123" priority="165148" stopIfTrue="1" operator="lessThan">
      <formula>0.5</formula>
    </cfRule>
  </conditionalFormatting>
  <conditionalFormatting sqref="R46">
    <cfRule type="cellIs" dxfId="25122" priority="165149" stopIfTrue="1" operator="greaterThanOrEqual">
      <formula>0.5</formula>
    </cfRule>
  </conditionalFormatting>
  <conditionalFormatting sqref="R47">
    <cfRule type="cellIs" dxfId="25121" priority="165150" stopIfTrue="1" operator="equal">
      <formula>-1</formula>
    </cfRule>
  </conditionalFormatting>
  <conditionalFormatting sqref="R47">
    <cfRule type="cellIs" dxfId="25120" priority="165151" stopIfTrue="1" operator="lessThan">
      <formula>0.5</formula>
    </cfRule>
  </conditionalFormatting>
  <conditionalFormatting sqref="R47">
    <cfRule type="cellIs" dxfId="25119" priority="165152" stopIfTrue="1" operator="greaterThanOrEqual">
      <formula>0.5</formula>
    </cfRule>
  </conditionalFormatting>
  <conditionalFormatting sqref="R48">
    <cfRule type="cellIs" dxfId="25118" priority="165153" stopIfTrue="1" operator="equal">
      <formula>-1</formula>
    </cfRule>
  </conditionalFormatting>
  <conditionalFormatting sqref="R48">
    <cfRule type="cellIs" dxfId="25117" priority="165154" stopIfTrue="1" operator="lessThan">
      <formula>0.5</formula>
    </cfRule>
  </conditionalFormatting>
  <conditionalFormatting sqref="R48">
    <cfRule type="cellIs" dxfId="25116" priority="165155" stopIfTrue="1" operator="greaterThanOrEqual">
      <formula>0.5</formula>
    </cfRule>
  </conditionalFormatting>
  <conditionalFormatting sqref="R49">
    <cfRule type="cellIs" dxfId="25115" priority="165156" stopIfTrue="1" operator="equal">
      <formula>-1</formula>
    </cfRule>
  </conditionalFormatting>
  <conditionalFormatting sqref="R49">
    <cfRule type="cellIs" dxfId="25114" priority="165157" stopIfTrue="1" operator="lessThan">
      <formula>0.5</formula>
    </cfRule>
  </conditionalFormatting>
  <conditionalFormatting sqref="R49">
    <cfRule type="cellIs" dxfId="25113" priority="165158" stopIfTrue="1" operator="greaterThanOrEqual">
      <formula>0.5</formula>
    </cfRule>
  </conditionalFormatting>
  <conditionalFormatting sqref="R50">
    <cfRule type="cellIs" dxfId="25112" priority="165159" stopIfTrue="1" operator="equal">
      <formula>-1</formula>
    </cfRule>
  </conditionalFormatting>
  <conditionalFormatting sqref="R50">
    <cfRule type="cellIs" dxfId="25111" priority="165160" stopIfTrue="1" operator="lessThan">
      <formula>0.5</formula>
    </cfRule>
  </conditionalFormatting>
  <conditionalFormatting sqref="R50">
    <cfRule type="cellIs" dxfId="25110" priority="165161" stopIfTrue="1" operator="greaterThanOrEqual">
      <formula>0.5</formula>
    </cfRule>
  </conditionalFormatting>
  <conditionalFormatting sqref="R51">
    <cfRule type="cellIs" dxfId="25109" priority="165162" stopIfTrue="1" operator="equal">
      <formula>-1</formula>
    </cfRule>
  </conditionalFormatting>
  <conditionalFormatting sqref="R51">
    <cfRule type="cellIs" dxfId="25108" priority="165163" stopIfTrue="1" operator="lessThan">
      <formula>0.5</formula>
    </cfRule>
  </conditionalFormatting>
  <conditionalFormatting sqref="R51">
    <cfRule type="cellIs" dxfId="25107" priority="165164" stopIfTrue="1" operator="greaterThanOrEqual">
      <formula>0.5</formula>
    </cfRule>
  </conditionalFormatting>
  <conditionalFormatting sqref="R52">
    <cfRule type="cellIs" dxfId="25106" priority="165165" stopIfTrue="1" operator="equal">
      <formula>-1</formula>
    </cfRule>
  </conditionalFormatting>
  <conditionalFormatting sqref="R52">
    <cfRule type="cellIs" dxfId="25105" priority="165166" stopIfTrue="1" operator="lessThan">
      <formula>0.5</formula>
    </cfRule>
  </conditionalFormatting>
  <conditionalFormatting sqref="R52">
    <cfRule type="cellIs" dxfId="25104" priority="165167" stopIfTrue="1" operator="greaterThanOrEqual">
      <formula>0.5</formula>
    </cfRule>
  </conditionalFormatting>
  <conditionalFormatting sqref="R53">
    <cfRule type="cellIs" dxfId="25103" priority="165168" stopIfTrue="1" operator="equal">
      <formula>-1</formula>
    </cfRule>
  </conditionalFormatting>
  <conditionalFormatting sqref="R53">
    <cfRule type="cellIs" dxfId="25102" priority="165169" stopIfTrue="1" operator="lessThan">
      <formula>0.5</formula>
    </cfRule>
  </conditionalFormatting>
  <conditionalFormatting sqref="R53">
    <cfRule type="cellIs" dxfId="25101" priority="165170" stopIfTrue="1" operator="greaterThanOrEqual">
      <formula>0.5</formula>
    </cfRule>
  </conditionalFormatting>
  <conditionalFormatting sqref="R54">
    <cfRule type="cellIs" dxfId="25100" priority="165171" stopIfTrue="1" operator="equal">
      <formula>-1</formula>
    </cfRule>
  </conditionalFormatting>
  <conditionalFormatting sqref="R54">
    <cfRule type="cellIs" dxfId="25099" priority="165172" stopIfTrue="1" operator="lessThan">
      <formula>0.5</formula>
    </cfRule>
  </conditionalFormatting>
  <conditionalFormatting sqref="R54">
    <cfRule type="cellIs" dxfId="25098" priority="165173" stopIfTrue="1" operator="greaterThanOrEqual">
      <formula>0.5</formula>
    </cfRule>
  </conditionalFormatting>
  <conditionalFormatting sqref="R55">
    <cfRule type="cellIs" dxfId="25097" priority="165174" stopIfTrue="1" operator="equal">
      <formula>-1</formula>
    </cfRule>
  </conditionalFormatting>
  <conditionalFormatting sqref="R55">
    <cfRule type="cellIs" dxfId="25096" priority="165175" stopIfTrue="1" operator="lessThan">
      <formula>0.5</formula>
    </cfRule>
  </conditionalFormatting>
  <conditionalFormatting sqref="R55">
    <cfRule type="cellIs" dxfId="25095" priority="165176" stopIfTrue="1" operator="greaterThanOrEqual">
      <formula>0.5</formula>
    </cfRule>
  </conditionalFormatting>
  <conditionalFormatting sqref="R56">
    <cfRule type="cellIs" dxfId="25094" priority="165177" stopIfTrue="1" operator="equal">
      <formula>-1</formula>
    </cfRule>
  </conditionalFormatting>
  <conditionalFormatting sqref="R56">
    <cfRule type="cellIs" dxfId="25093" priority="165178" stopIfTrue="1" operator="lessThan">
      <formula>0.5</formula>
    </cfRule>
  </conditionalFormatting>
  <conditionalFormatting sqref="R56">
    <cfRule type="cellIs" dxfId="25092" priority="165179" stopIfTrue="1" operator="greaterThanOrEqual">
      <formula>0.5</formula>
    </cfRule>
  </conditionalFormatting>
  <conditionalFormatting sqref="R57">
    <cfRule type="cellIs" dxfId="25091" priority="165180" stopIfTrue="1" operator="equal">
      <formula>-1</formula>
    </cfRule>
  </conditionalFormatting>
  <conditionalFormatting sqref="R57">
    <cfRule type="cellIs" dxfId="25090" priority="165181" stopIfTrue="1" operator="lessThan">
      <formula>0.5</formula>
    </cfRule>
  </conditionalFormatting>
  <conditionalFormatting sqref="R57">
    <cfRule type="cellIs" dxfId="25089" priority="165182" stopIfTrue="1" operator="greaterThanOrEqual">
      <formula>0.5</formula>
    </cfRule>
  </conditionalFormatting>
  <conditionalFormatting sqref="R58">
    <cfRule type="cellIs" dxfId="25088" priority="165183" stopIfTrue="1" operator="equal">
      <formula>-1</formula>
    </cfRule>
  </conditionalFormatting>
  <conditionalFormatting sqref="R58">
    <cfRule type="cellIs" dxfId="25087" priority="165184" stopIfTrue="1" operator="lessThan">
      <formula>0.5</formula>
    </cfRule>
  </conditionalFormatting>
  <conditionalFormatting sqref="R58">
    <cfRule type="cellIs" dxfId="25086" priority="165185" stopIfTrue="1" operator="greaterThanOrEqual">
      <formula>0.5</formula>
    </cfRule>
  </conditionalFormatting>
  <conditionalFormatting sqref="T39">
    <cfRule type="cellIs" dxfId="25085" priority="165186" stopIfTrue="1" operator="equal">
      <formula>-1</formula>
    </cfRule>
  </conditionalFormatting>
  <conditionalFormatting sqref="T39">
    <cfRule type="cellIs" dxfId="25084" priority="165187" stopIfTrue="1" operator="lessThan">
      <formula>0.5</formula>
    </cfRule>
  </conditionalFormatting>
  <conditionalFormatting sqref="T39">
    <cfRule type="cellIs" dxfId="25083" priority="165188" stopIfTrue="1" operator="greaterThanOrEqual">
      <formula>0.5</formula>
    </cfRule>
  </conditionalFormatting>
  <conditionalFormatting sqref="T40">
    <cfRule type="cellIs" dxfId="25082" priority="165189" stopIfTrue="1" operator="equal">
      <formula>-1</formula>
    </cfRule>
  </conditionalFormatting>
  <conditionalFormatting sqref="T40">
    <cfRule type="cellIs" dxfId="25081" priority="165190" stopIfTrue="1" operator="lessThan">
      <formula>0.5</formula>
    </cfRule>
  </conditionalFormatting>
  <conditionalFormatting sqref="T40">
    <cfRule type="cellIs" dxfId="25080" priority="165191" stopIfTrue="1" operator="greaterThanOrEqual">
      <formula>0.5</formula>
    </cfRule>
  </conditionalFormatting>
  <conditionalFormatting sqref="T41">
    <cfRule type="cellIs" dxfId="25079" priority="165192" stopIfTrue="1" operator="equal">
      <formula>-1</formula>
    </cfRule>
  </conditionalFormatting>
  <conditionalFormatting sqref="T41">
    <cfRule type="cellIs" dxfId="25078" priority="165193" stopIfTrue="1" operator="lessThan">
      <formula>0.5</formula>
    </cfRule>
  </conditionalFormatting>
  <conditionalFormatting sqref="T41">
    <cfRule type="cellIs" dxfId="25077" priority="165194" stopIfTrue="1" operator="greaterThanOrEqual">
      <formula>0.5</formula>
    </cfRule>
  </conditionalFormatting>
  <conditionalFormatting sqref="T42">
    <cfRule type="cellIs" dxfId="25076" priority="165195" stopIfTrue="1" operator="equal">
      <formula>-1</formula>
    </cfRule>
  </conditionalFormatting>
  <conditionalFormatting sqref="T42">
    <cfRule type="cellIs" dxfId="25075" priority="165196" stopIfTrue="1" operator="lessThan">
      <formula>0.5</formula>
    </cfRule>
  </conditionalFormatting>
  <conditionalFormatting sqref="T42">
    <cfRule type="cellIs" dxfId="25074" priority="165197" stopIfTrue="1" operator="greaterThanOrEqual">
      <formula>0.5</formula>
    </cfRule>
  </conditionalFormatting>
  <conditionalFormatting sqref="T43">
    <cfRule type="cellIs" dxfId="25073" priority="165198" stopIfTrue="1" operator="equal">
      <formula>-1</formula>
    </cfRule>
  </conditionalFormatting>
  <conditionalFormatting sqref="T43">
    <cfRule type="cellIs" dxfId="25072" priority="165199" stopIfTrue="1" operator="lessThan">
      <formula>0.5</formula>
    </cfRule>
  </conditionalFormatting>
  <conditionalFormatting sqref="T43">
    <cfRule type="cellIs" dxfId="25071" priority="165200" stopIfTrue="1" operator="greaterThanOrEqual">
      <formula>0.5</formula>
    </cfRule>
  </conditionalFormatting>
  <conditionalFormatting sqref="T44">
    <cfRule type="cellIs" dxfId="25070" priority="165201" stopIfTrue="1" operator="equal">
      <formula>-1</formula>
    </cfRule>
  </conditionalFormatting>
  <conditionalFormatting sqref="T44">
    <cfRule type="cellIs" dxfId="25069" priority="165202" stopIfTrue="1" operator="lessThan">
      <formula>0.5</formula>
    </cfRule>
  </conditionalFormatting>
  <conditionalFormatting sqref="T44">
    <cfRule type="cellIs" dxfId="25068" priority="165203" stopIfTrue="1" operator="greaterThanOrEqual">
      <formula>0.5</formula>
    </cfRule>
  </conditionalFormatting>
  <conditionalFormatting sqref="T45">
    <cfRule type="cellIs" dxfId="25067" priority="165204" stopIfTrue="1" operator="equal">
      <formula>-1</formula>
    </cfRule>
  </conditionalFormatting>
  <conditionalFormatting sqref="T45">
    <cfRule type="cellIs" dxfId="25066" priority="165205" stopIfTrue="1" operator="lessThan">
      <formula>0.5</formula>
    </cfRule>
  </conditionalFormatting>
  <conditionalFormatting sqref="T45">
    <cfRule type="cellIs" dxfId="25065" priority="165206" stopIfTrue="1" operator="greaterThanOrEqual">
      <formula>0.5</formula>
    </cfRule>
  </conditionalFormatting>
  <conditionalFormatting sqref="T46">
    <cfRule type="cellIs" dxfId="25064" priority="165207" stopIfTrue="1" operator="equal">
      <formula>-1</formula>
    </cfRule>
  </conditionalFormatting>
  <conditionalFormatting sqref="T46">
    <cfRule type="cellIs" dxfId="25063" priority="165208" stopIfTrue="1" operator="lessThan">
      <formula>0.5</formula>
    </cfRule>
  </conditionalFormatting>
  <conditionalFormatting sqref="T46">
    <cfRule type="cellIs" dxfId="25062" priority="165209" stopIfTrue="1" operator="greaterThanOrEqual">
      <formula>0.5</formula>
    </cfRule>
  </conditionalFormatting>
  <conditionalFormatting sqref="T47">
    <cfRule type="cellIs" dxfId="25061" priority="165210" stopIfTrue="1" operator="equal">
      <formula>-1</formula>
    </cfRule>
  </conditionalFormatting>
  <conditionalFormatting sqref="T47">
    <cfRule type="cellIs" dxfId="25060" priority="165211" stopIfTrue="1" operator="lessThan">
      <formula>0.5</formula>
    </cfRule>
  </conditionalFormatting>
  <conditionalFormatting sqref="T47">
    <cfRule type="cellIs" dxfId="25059" priority="165212" stopIfTrue="1" operator="greaterThanOrEqual">
      <formula>0.5</formula>
    </cfRule>
  </conditionalFormatting>
  <conditionalFormatting sqref="T48">
    <cfRule type="cellIs" dxfId="25058" priority="165213" stopIfTrue="1" operator="equal">
      <formula>-1</formula>
    </cfRule>
  </conditionalFormatting>
  <conditionalFormatting sqref="T48">
    <cfRule type="cellIs" dxfId="25057" priority="165214" stopIfTrue="1" operator="lessThan">
      <formula>0.5</formula>
    </cfRule>
  </conditionalFormatting>
  <conditionalFormatting sqref="T48">
    <cfRule type="cellIs" dxfId="25056" priority="165215" stopIfTrue="1" operator="greaterThanOrEqual">
      <formula>0.5</formula>
    </cfRule>
  </conditionalFormatting>
  <conditionalFormatting sqref="T49">
    <cfRule type="cellIs" dxfId="25055" priority="165216" stopIfTrue="1" operator="equal">
      <formula>-1</formula>
    </cfRule>
  </conditionalFormatting>
  <conditionalFormatting sqref="T49">
    <cfRule type="cellIs" dxfId="25054" priority="165217" stopIfTrue="1" operator="lessThan">
      <formula>0.5</formula>
    </cfRule>
  </conditionalFormatting>
  <conditionalFormatting sqref="T49">
    <cfRule type="cellIs" dxfId="25053" priority="165218" stopIfTrue="1" operator="greaterThanOrEqual">
      <formula>0.5</formula>
    </cfRule>
  </conditionalFormatting>
  <conditionalFormatting sqref="T50">
    <cfRule type="cellIs" dxfId="25052" priority="165219" stopIfTrue="1" operator="equal">
      <formula>-1</formula>
    </cfRule>
  </conditionalFormatting>
  <conditionalFormatting sqref="T50">
    <cfRule type="cellIs" dxfId="25051" priority="165220" stopIfTrue="1" operator="lessThan">
      <formula>0.5</formula>
    </cfRule>
  </conditionalFormatting>
  <conditionalFormatting sqref="T50">
    <cfRule type="cellIs" dxfId="25050" priority="165221" stopIfTrue="1" operator="greaterThanOrEqual">
      <formula>0.5</formula>
    </cfRule>
  </conditionalFormatting>
  <conditionalFormatting sqref="T51">
    <cfRule type="cellIs" dxfId="25049" priority="165222" stopIfTrue="1" operator="equal">
      <formula>-1</formula>
    </cfRule>
  </conditionalFormatting>
  <conditionalFormatting sqref="T51">
    <cfRule type="cellIs" dxfId="25048" priority="165223" stopIfTrue="1" operator="lessThan">
      <formula>0.5</formula>
    </cfRule>
  </conditionalFormatting>
  <conditionalFormatting sqref="T51">
    <cfRule type="cellIs" dxfId="25047" priority="165224" stopIfTrue="1" operator="greaterThanOrEqual">
      <formula>0.5</formula>
    </cfRule>
  </conditionalFormatting>
  <conditionalFormatting sqref="T52">
    <cfRule type="cellIs" dxfId="25046" priority="165225" stopIfTrue="1" operator="equal">
      <formula>-1</formula>
    </cfRule>
  </conditionalFormatting>
  <conditionalFormatting sqref="T52">
    <cfRule type="cellIs" dxfId="25045" priority="165226" stopIfTrue="1" operator="lessThan">
      <formula>0.5</formula>
    </cfRule>
  </conditionalFormatting>
  <conditionalFormatting sqref="T52">
    <cfRule type="cellIs" dxfId="25044" priority="165227" stopIfTrue="1" operator="greaterThanOrEqual">
      <formula>0.5</formula>
    </cfRule>
  </conditionalFormatting>
  <conditionalFormatting sqref="T53">
    <cfRule type="cellIs" dxfId="25043" priority="165228" stopIfTrue="1" operator="equal">
      <formula>-1</formula>
    </cfRule>
  </conditionalFormatting>
  <conditionalFormatting sqref="T53">
    <cfRule type="cellIs" dxfId="25042" priority="165229" stopIfTrue="1" operator="lessThan">
      <formula>0.5</formula>
    </cfRule>
  </conditionalFormatting>
  <conditionalFormatting sqref="T53">
    <cfRule type="cellIs" dxfId="25041" priority="165230" stopIfTrue="1" operator="greaterThanOrEqual">
      <formula>0.5</formula>
    </cfRule>
  </conditionalFormatting>
  <conditionalFormatting sqref="T54">
    <cfRule type="cellIs" dxfId="25040" priority="165231" stopIfTrue="1" operator="equal">
      <formula>-1</formula>
    </cfRule>
  </conditionalFormatting>
  <conditionalFormatting sqref="T54">
    <cfRule type="cellIs" dxfId="25039" priority="165232" stopIfTrue="1" operator="lessThan">
      <formula>0.5</formula>
    </cfRule>
  </conditionalFormatting>
  <conditionalFormatting sqref="T54">
    <cfRule type="cellIs" dxfId="25038" priority="165233" stopIfTrue="1" operator="greaterThanOrEqual">
      <formula>0.5</formula>
    </cfRule>
  </conditionalFormatting>
  <conditionalFormatting sqref="T55">
    <cfRule type="cellIs" dxfId="25037" priority="165234" stopIfTrue="1" operator="equal">
      <formula>-1</formula>
    </cfRule>
  </conditionalFormatting>
  <conditionalFormatting sqref="T55">
    <cfRule type="cellIs" dxfId="25036" priority="165235" stopIfTrue="1" operator="lessThan">
      <formula>0.5</formula>
    </cfRule>
  </conditionalFormatting>
  <conditionalFormatting sqref="T55">
    <cfRule type="cellIs" dxfId="25035" priority="165236" stopIfTrue="1" operator="greaterThanOrEqual">
      <formula>0.5</formula>
    </cfRule>
  </conditionalFormatting>
  <conditionalFormatting sqref="T56">
    <cfRule type="cellIs" dxfId="25034" priority="165237" stopIfTrue="1" operator="equal">
      <formula>-1</formula>
    </cfRule>
  </conditionalFormatting>
  <conditionalFormatting sqref="T56">
    <cfRule type="cellIs" dxfId="25033" priority="165238" stopIfTrue="1" operator="lessThan">
      <formula>0.5</formula>
    </cfRule>
  </conditionalFormatting>
  <conditionalFormatting sqref="T56">
    <cfRule type="cellIs" dxfId="25032" priority="165239" stopIfTrue="1" operator="greaterThanOrEqual">
      <formula>0.5</formula>
    </cfRule>
  </conditionalFormatting>
  <conditionalFormatting sqref="T57">
    <cfRule type="cellIs" dxfId="25031" priority="165240" stopIfTrue="1" operator="equal">
      <formula>-1</formula>
    </cfRule>
  </conditionalFormatting>
  <conditionalFormatting sqref="T57">
    <cfRule type="cellIs" dxfId="25030" priority="165241" stopIfTrue="1" operator="lessThan">
      <formula>0.5</formula>
    </cfRule>
  </conditionalFormatting>
  <conditionalFormatting sqref="T57">
    <cfRule type="cellIs" dxfId="25029" priority="165242" stopIfTrue="1" operator="greaterThanOrEqual">
      <formula>0.5</formula>
    </cfRule>
  </conditionalFormatting>
  <conditionalFormatting sqref="T58">
    <cfRule type="cellIs" dxfId="25028" priority="165243" stopIfTrue="1" operator="equal">
      <formula>-1</formula>
    </cfRule>
  </conditionalFormatting>
  <conditionalFormatting sqref="T58">
    <cfRule type="cellIs" dxfId="25027" priority="165244" stopIfTrue="1" operator="lessThan">
      <formula>0.5</formula>
    </cfRule>
  </conditionalFormatting>
  <conditionalFormatting sqref="T58">
    <cfRule type="cellIs" dxfId="25026" priority="165245" stopIfTrue="1" operator="greaterThanOrEqual">
      <formula>0.5</formula>
    </cfRule>
  </conditionalFormatting>
  <conditionalFormatting sqref="V39">
    <cfRule type="cellIs" dxfId="25025" priority="165246" stopIfTrue="1" operator="equal">
      <formula>-1</formula>
    </cfRule>
  </conditionalFormatting>
  <conditionalFormatting sqref="V39">
    <cfRule type="cellIs" dxfId="25024" priority="165247" stopIfTrue="1" operator="lessThan">
      <formula>0.5</formula>
    </cfRule>
  </conditionalFormatting>
  <conditionalFormatting sqref="V39">
    <cfRule type="cellIs" dxfId="25023" priority="165248" stopIfTrue="1" operator="greaterThanOrEqual">
      <formula>0.5</formula>
    </cfRule>
  </conditionalFormatting>
  <conditionalFormatting sqref="V40">
    <cfRule type="cellIs" dxfId="25022" priority="165249" stopIfTrue="1" operator="equal">
      <formula>-1</formula>
    </cfRule>
  </conditionalFormatting>
  <conditionalFormatting sqref="V40">
    <cfRule type="cellIs" dxfId="25021" priority="165250" stopIfTrue="1" operator="lessThan">
      <formula>0.5</formula>
    </cfRule>
  </conditionalFormatting>
  <conditionalFormatting sqref="V40">
    <cfRule type="cellIs" dxfId="25020" priority="165251" stopIfTrue="1" operator="greaterThanOrEqual">
      <formula>0.5</formula>
    </cfRule>
  </conditionalFormatting>
  <conditionalFormatting sqref="V41">
    <cfRule type="cellIs" dxfId="25019" priority="165252" stopIfTrue="1" operator="equal">
      <formula>-1</formula>
    </cfRule>
  </conditionalFormatting>
  <conditionalFormatting sqref="V41">
    <cfRule type="cellIs" dxfId="25018" priority="165253" stopIfTrue="1" operator="lessThan">
      <formula>0.5</formula>
    </cfRule>
  </conditionalFormatting>
  <conditionalFormatting sqref="V41">
    <cfRule type="cellIs" dxfId="25017" priority="165254" stopIfTrue="1" operator="greaterThanOrEqual">
      <formula>0.5</formula>
    </cfRule>
  </conditionalFormatting>
  <conditionalFormatting sqref="V42">
    <cfRule type="cellIs" dxfId="25016" priority="165255" stopIfTrue="1" operator="equal">
      <formula>-1</formula>
    </cfRule>
  </conditionalFormatting>
  <conditionalFormatting sqref="V42">
    <cfRule type="cellIs" dxfId="25015" priority="165256" stopIfTrue="1" operator="lessThan">
      <formula>0.5</formula>
    </cfRule>
  </conditionalFormatting>
  <conditionalFormatting sqref="V42">
    <cfRule type="cellIs" dxfId="25014" priority="165257" stopIfTrue="1" operator="greaterThanOrEqual">
      <formula>0.5</formula>
    </cfRule>
  </conditionalFormatting>
  <conditionalFormatting sqref="V43">
    <cfRule type="cellIs" dxfId="25013" priority="165258" stopIfTrue="1" operator="equal">
      <formula>-1</formula>
    </cfRule>
  </conditionalFormatting>
  <conditionalFormatting sqref="V43">
    <cfRule type="cellIs" dxfId="25012" priority="165259" stopIfTrue="1" operator="lessThan">
      <formula>0.5</formula>
    </cfRule>
  </conditionalFormatting>
  <conditionalFormatting sqref="V43">
    <cfRule type="cellIs" dxfId="25011" priority="165260" stopIfTrue="1" operator="greaterThanOrEqual">
      <formula>0.5</formula>
    </cfRule>
  </conditionalFormatting>
  <conditionalFormatting sqref="V44">
    <cfRule type="cellIs" dxfId="25010" priority="165261" stopIfTrue="1" operator="equal">
      <formula>-1</formula>
    </cfRule>
  </conditionalFormatting>
  <conditionalFormatting sqref="V44">
    <cfRule type="cellIs" dxfId="25009" priority="165262" stopIfTrue="1" operator="lessThan">
      <formula>0.5</formula>
    </cfRule>
  </conditionalFormatting>
  <conditionalFormatting sqref="V44">
    <cfRule type="cellIs" dxfId="25008" priority="165263" stopIfTrue="1" operator="greaterThanOrEqual">
      <formula>0.5</formula>
    </cfRule>
  </conditionalFormatting>
  <conditionalFormatting sqref="V45">
    <cfRule type="cellIs" dxfId="25007" priority="165264" stopIfTrue="1" operator="equal">
      <formula>-1</formula>
    </cfRule>
  </conditionalFormatting>
  <conditionalFormatting sqref="V45">
    <cfRule type="cellIs" dxfId="25006" priority="165265" stopIfTrue="1" operator="lessThan">
      <formula>0.5</formula>
    </cfRule>
  </conditionalFormatting>
  <conditionalFormatting sqref="V45">
    <cfRule type="cellIs" dxfId="25005" priority="165266" stopIfTrue="1" operator="greaterThanOrEqual">
      <formula>0.5</formula>
    </cfRule>
  </conditionalFormatting>
  <conditionalFormatting sqref="V46">
    <cfRule type="cellIs" dxfId="25004" priority="165267" stopIfTrue="1" operator="equal">
      <formula>-1</formula>
    </cfRule>
  </conditionalFormatting>
  <conditionalFormatting sqref="V46">
    <cfRule type="cellIs" dxfId="25003" priority="165268" stopIfTrue="1" operator="lessThan">
      <formula>0.5</formula>
    </cfRule>
  </conditionalFormatting>
  <conditionalFormatting sqref="V46">
    <cfRule type="cellIs" dxfId="25002" priority="165269" stopIfTrue="1" operator="greaterThanOrEqual">
      <formula>0.5</formula>
    </cfRule>
  </conditionalFormatting>
  <conditionalFormatting sqref="V47">
    <cfRule type="cellIs" dxfId="25001" priority="165270" stopIfTrue="1" operator="equal">
      <formula>-1</formula>
    </cfRule>
  </conditionalFormatting>
  <conditionalFormatting sqref="V47">
    <cfRule type="cellIs" dxfId="25000" priority="165271" stopIfTrue="1" operator="lessThan">
      <formula>0.5</formula>
    </cfRule>
  </conditionalFormatting>
  <conditionalFormatting sqref="V47">
    <cfRule type="cellIs" dxfId="24999" priority="165272" stopIfTrue="1" operator="greaterThanOrEqual">
      <formula>0.5</formula>
    </cfRule>
  </conditionalFormatting>
  <conditionalFormatting sqref="V48">
    <cfRule type="cellIs" dxfId="24998" priority="165273" stopIfTrue="1" operator="equal">
      <formula>-1</formula>
    </cfRule>
  </conditionalFormatting>
  <conditionalFormatting sqref="V48">
    <cfRule type="cellIs" dxfId="24997" priority="165274" stopIfTrue="1" operator="lessThan">
      <formula>0.5</formula>
    </cfRule>
  </conditionalFormatting>
  <conditionalFormatting sqref="V48">
    <cfRule type="cellIs" dxfId="24996" priority="165275" stopIfTrue="1" operator="greaterThanOrEqual">
      <formula>0.5</formula>
    </cfRule>
  </conditionalFormatting>
  <conditionalFormatting sqref="V49">
    <cfRule type="cellIs" dxfId="24995" priority="165276" stopIfTrue="1" operator="equal">
      <formula>-1</formula>
    </cfRule>
  </conditionalFormatting>
  <conditionalFormatting sqref="V49">
    <cfRule type="cellIs" dxfId="24994" priority="165277" stopIfTrue="1" operator="lessThan">
      <formula>0.5</formula>
    </cfRule>
  </conditionalFormatting>
  <conditionalFormatting sqref="V49">
    <cfRule type="cellIs" dxfId="24993" priority="165278" stopIfTrue="1" operator="greaterThanOrEqual">
      <formula>0.5</formula>
    </cfRule>
  </conditionalFormatting>
  <conditionalFormatting sqref="V50">
    <cfRule type="cellIs" dxfId="24992" priority="165279" stopIfTrue="1" operator="equal">
      <formula>-1</formula>
    </cfRule>
  </conditionalFormatting>
  <conditionalFormatting sqref="V50">
    <cfRule type="cellIs" dxfId="24991" priority="165280" stopIfTrue="1" operator="lessThan">
      <formula>0.5</formula>
    </cfRule>
  </conditionalFormatting>
  <conditionalFormatting sqref="V50">
    <cfRule type="cellIs" dxfId="24990" priority="165281" stopIfTrue="1" operator="greaterThanOrEqual">
      <formula>0.5</formula>
    </cfRule>
  </conditionalFormatting>
  <conditionalFormatting sqref="V51">
    <cfRule type="cellIs" dxfId="24989" priority="165282" stopIfTrue="1" operator="equal">
      <formula>-1</formula>
    </cfRule>
  </conditionalFormatting>
  <conditionalFormatting sqref="V51">
    <cfRule type="cellIs" dxfId="24988" priority="165283" stopIfTrue="1" operator="lessThan">
      <formula>0.5</formula>
    </cfRule>
  </conditionalFormatting>
  <conditionalFormatting sqref="V51">
    <cfRule type="cellIs" dxfId="24987" priority="165284" stopIfTrue="1" operator="greaterThanOrEqual">
      <formula>0.5</formula>
    </cfRule>
  </conditionalFormatting>
  <conditionalFormatting sqref="V52">
    <cfRule type="cellIs" dxfId="24986" priority="165285" stopIfTrue="1" operator="equal">
      <formula>-1</formula>
    </cfRule>
  </conditionalFormatting>
  <conditionalFormatting sqref="V52">
    <cfRule type="cellIs" dxfId="24985" priority="165286" stopIfTrue="1" operator="lessThan">
      <formula>0.5</formula>
    </cfRule>
  </conditionalFormatting>
  <conditionalFormatting sqref="V52">
    <cfRule type="cellIs" dxfId="24984" priority="165287" stopIfTrue="1" operator="greaterThanOrEqual">
      <formula>0.5</formula>
    </cfRule>
  </conditionalFormatting>
  <conditionalFormatting sqref="V53">
    <cfRule type="cellIs" dxfId="24983" priority="165288" stopIfTrue="1" operator="equal">
      <formula>-1</formula>
    </cfRule>
  </conditionalFormatting>
  <conditionalFormatting sqref="V53">
    <cfRule type="cellIs" dxfId="24982" priority="165289" stopIfTrue="1" operator="lessThan">
      <formula>0.5</formula>
    </cfRule>
  </conditionalFormatting>
  <conditionalFormatting sqref="V53">
    <cfRule type="cellIs" dxfId="24981" priority="165290" stopIfTrue="1" operator="greaterThanOrEqual">
      <formula>0.5</formula>
    </cfRule>
  </conditionalFormatting>
  <conditionalFormatting sqref="V54">
    <cfRule type="cellIs" dxfId="24980" priority="165291" stopIfTrue="1" operator="equal">
      <formula>-1</formula>
    </cfRule>
  </conditionalFormatting>
  <conditionalFormatting sqref="V54">
    <cfRule type="cellIs" dxfId="24979" priority="165292" stopIfTrue="1" operator="lessThan">
      <formula>0.5</formula>
    </cfRule>
  </conditionalFormatting>
  <conditionalFormatting sqref="V54">
    <cfRule type="cellIs" dxfId="24978" priority="165293" stopIfTrue="1" operator="greaterThanOrEqual">
      <formula>0.5</formula>
    </cfRule>
  </conditionalFormatting>
  <conditionalFormatting sqref="V55">
    <cfRule type="cellIs" dxfId="24977" priority="165294" stopIfTrue="1" operator="equal">
      <formula>-1</formula>
    </cfRule>
  </conditionalFormatting>
  <conditionalFormatting sqref="V55">
    <cfRule type="cellIs" dxfId="24976" priority="165295" stopIfTrue="1" operator="lessThan">
      <formula>0.5</formula>
    </cfRule>
  </conditionalFormatting>
  <conditionalFormatting sqref="V55">
    <cfRule type="cellIs" dxfId="24975" priority="165296" stopIfTrue="1" operator="greaterThanOrEqual">
      <formula>0.5</formula>
    </cfRule>
  </conditionalFormatting>
  <conditionalFormatting sqref="V56">
    <cfRule type="cellIs" dxfId="24974" priority="165297" stopIfTrue="1" operator="equal">
      <formula>-1</formula>
    </cfRule>
  </conditionalFormatting>
  <conditionalFormatting sqref="V56">
    <cfRule type="cellIs" dxfId="24973" priority="165298" stopIfTrue="1" operator="lessThan">
      <formula>0.5</formula>
    </cfRule>
  </conditionalFormatting>
  <conditionalFormatting sqref="V56">
    <cfRule type="cellIs" dxfId="24972" priority="165299" stopIfTrue="1" operator="greaterThanOrEqual">
      <formula>0.5</formula>
    </cfRule>
  </conditionalFormatting>
  <conditionalFormatting sqref="V57">
    <cfRule type="cellIs" dxfId="24971" priority="165300" stopIfTrue="1" operator="equal">
      <formula>-1</formula>
    </cfRule>
  </conditionalFormatting>
  <conditionalFormatting sqref="V57">
    <cfRule type="cellIs" dxfId="24970" priority="165301" stopIfTrue="1" operator="lessThan">
      <formula>0.5</formula>
    </cfRule>
  </conditionalFormatting>
  <conditionalFormatting sqref="V57">
    <cfRule type="cellIs" dxfId="24969" priority="165302" stopIfTrue="1" operator="greaterThanOrEqual">
      <formula>0.5</formula>
    </cfRule>
  </conditionalFormatting>
  <conditionalFormatting sqref="V58">
    <cfRule type="cellIs" dxfId="24968" priority="165303" stopIfTrue="1" operator="equal">
      <formula>-1</formula>
    </cfRule>
  </conditionalFormatting>
  <conditionalFormatting sqref="V58">
    <cfRule type="cellIs" dxfId="24967" priority="165304" stopIfTrue="1" operator="lessThan">
      <formula>0.5</formula>
    </cfRule>
  </conditionalFormatting>
  <conditionalFormatting sqref="V58">
    <cfRule type="cellIs" dxfId="24966" priority="165305" stopIfTrue="1" operator="greaterThanOrEqual">
      <formula>0.5</formula>
    </cfRule>
  </conditionalFormatting>
  <conditionalFormatting sqref="X39">
    <cfRule type="cellIs" dxfId="24965" priority="165306" stopIfTrue="1" operator="equal">
      <formula>-1</formula>
    </cfRule>
  </conditionalFormatting>
  <conditionalFormatting sqref="X39">
    <cfRule type="cellIs" dxfId="24964" priority="165307" stopIfTrue="1" operator="lessThan">
      <formula>0.5</formula>
    </cfRule>
  </conditionalFormatting>
  <conditionalFormatting sqref="X39">
    <cfRule type="cellIs" dxfId="24963" priority="165308" stopIfTrue="1" operator="greaterThanOrEqual">
      <formula>0.5</formula>
    </cfRule>
  </conditionalFormatting>
  <conditionalFormatting sqref="X40">
    <cfRule type="cellIs" dxfId="24962" priority="165309" stopIfTrue="1" operator="equal">
      <formula>-1</formula>
    </cfRule>
  </conditionalFormatting>
  <conditionalFormatting sqref="X40">
    <cfRule type="cellIs" dxfId="24961" priority="165310" stopIfTrue="1" operator="lessThan">
      <formula>0.5</formula>
    </cfRule>
  </conditionalFormatting>
  <conditionalFormatting sqref="X40">
    <cfRule type="cellIs" dxfId="24960" priority="165311" stopIfTrue="1" operator="greaterThanOrEqual">
      <formula>0.5</formula>
    </cfRule>
  </conditionalFormatting>
  <conditionalFormatting sqref="X41">
    <cfRule type="cellIs" dxfId="24959" priority="165312" stopIfTrue="1" operator="equal">
      <formula>-1</formula>
    </cfRule>
  </conditionalFormatting>
  <conditionalFormatting sqref="X41">
    <cfRule type="cellIs" dxfId="24958" priority="165313" stopIfTrue="1" operator="lessThan">
      <formula>0.5</formula>
    </cfRule>
  </conditionalFormatting>
  <conditionalFormatting sqref="X41">
    <cfRule type="cellIs" dxfId="24957" priority="165314" stopIfTrue="1" operator="greaterThanOrEqual">
      <formula>0.5</formula>
    </cfRule>
  </conditionalFormatting>
  <conditionalFormatting sqref="X42">
    <cfRule type="cellIs" dxfId="24956" priority="165315" stopIfTrue="1" operator="equal">
      <formula>-1</formula>
    </cfRule>
  </conditionalFormatting>
  <conditionalFormatting sqref="X42">
    <cfRule type="cellIs" dxfId="24955" priority="165316" stopIfTrue="1" operator="lessThan">
      <formula>0.5</formula>
    </cfRule>
  </conditionalFormatting>
  <conditionalFormatting sqref="X42">
    <cfRule type="cellIs" dxfId="24954" priority="165317" stopIfTrue="1" operator="greaterThanOrEqual">
      <formula>0.5</formula>
    </cfRule>
  </conditionalFormatting>
  <conditionalFormatting sqref="X43">
    <cfRule type="cellIs" dxfId="24953" priority="165318" stopIfTrue="1" operator="equal">
      <formula>-1</formula>
    </cfRule>
  </conditionalFormatting>
  <conditionalFormatting sqref="X43">
    <cfRule type="cellIs" dxfId="24952" priority="165319" stopIfTrue="1" operator="lessThan">
      <formula>0.5</formula>
    </cfRule>
  </conditionalFormatting>
  <conditionalFormatting sqref="X43">
    <cfRule type="cellIs" dxfId="24951" priority="165320" stopIfTrue="1" operator="greaterThanOrEqual">
      <formula>0.5</formula>
    </cfRule>
  </conditionalFormatting>
  <conditionalFormatting sqref="X44">
    <cfRule type="cellIs" dxfId="24950" priority="165321" stopIfTrue="1" operator="equal">
      <formula>-1</formula>
    </cfRule>
  </conditionalFormatting>
  <conditionalFormatting sqref="X44">
    <cfRule type="cellIs" dxfId="24949" priority="165322" stopIfTrue="1" operator="lessThan">
      <formula>0.5</formula>
    </cfRule>
  </conditionalFormatting>
  <conditionalFormatting sqref="X44">
    <cfRule type="cellIs" dxfId="24948" priority="165323" stopIfTrue="1" operator="greaterThanOrEqual">
      <formula>0.5</formula>
    </cfRule>
  </conditionalFormatting>
  <conditionalFormatting sqref="X45">
    <cfRule type="cellIs" dxfId="24947" priority="165324" stopIfTrue="1" operator="equal">
      <formula>-1</formula>
    </cfRule>
  </conditionalFormatting>
  <conditionalFormatting sqref="X45">
    <cfRule type="cellIs" dxfId="24946" priority="165325" stopIfTrue="1" operator="lessThan">
      <formula>0.5</formula>
    </cfRule>
  </conditionalFormatting>
  <conditionalFormatting sqref="X45">
    <cfRule type="cellIs" dxfId="24945" priority="165326" stopIfTrue="1" operator="greaterThanOrEqual">
      <formula>0.5</formula>
    </cfRule>
  </conditionalFormatting>
  <conditionalFormatting sqref="X46">
    <cfRule type="cellIs" dxfId="24944" priority="165327" stopIfTrue="1" operator="equal">
      <formula>-1</formula>
    </cfRule>
  </conditionalFormatting>
  <conditionalFormatting sqref="X46">
    <cfRule type="cellIs" dxfId="24943" priority="165328" stopIfTrue="1" operator="lessThan">
      <formula>0.5</formula>
    </cfRule>
  </conditionalFormatting>
  <conditionalFormatting sqref="X46">
    <cfRule type="cellIs" dxfId="24942" priority="165329" stopIfTrue="1" operator="greaterThanOrEqual">
      <formula>0.5</formula>
    </cfRule>
  </conditionalFormatting>
  <conditionalFormatting sqref="X47">
    <cfRule type="cellIs" dxfId="24941" priority="165330" stopIfTrue="1" operator="equal">
      <formula>-1</formula>
    </cfRule>
  </conditionalFormatting>
  <conditionalFormatting sqref="X47">
    <cfRule type="cellIs" dxfId="24940" priority="165331" stopIfTrue="1" operator="lessThan">
      <formula>0.5</formula>
    </cfRule>
  </conditionalFormatting>
  <conditionalFormatting sqref="X47">
    <cfRule type="cellIs" dxfId="24939" priority="165332" stopIfTrue="1" operator="greaterThanOrEqual">
      <formula>0.5</formula>
    </cfRule>
  </conditionalFormatting>
  <conditionalFormatting sqref="X48">
    <cfRule type="cellIs" dxfId="24938" priority="165333" stopIfTrue="1" operator="equal">
      <formula>-1</formula>
    </cfRule>
  </conditionalFormatting>
  <conditionalFormatting sqref="X48">
    <cfRule type="cellIs" dxfId="24937" priority="165334" stopIfTrue="1" operator="lessThan">
      <formula>0.5</formula>
    </cfRule>
  </conditionalFormatting>
  <conditionalFormatting sqref="X48">
    <cfRule type="cellIs" dxfId="24936" priority="165335" stopIfTrue="1" operator="greaterThanOrEqual">
      <formula>0.5</formula>
    </cfRule>
  </conditionalFormatting>
  <conditionalFormatting sqref="X49">
    <cfRule type="cellIs" dxfId="24935" priority="165336" stopIfTrue="1" operator="equal">
      <formula>-1</formula>
    </cfRule>
  </conditionalFormatting>
  <conditionalFormatting sqref="X49">
    <cfRule type="cellIs" dxfId="24934" priority="165337" stopIfTrue="1" operator="lessThan">
      <formula>0.5</formula>
    </cfRule>
  </conditionalFormatting>
  <conditionalFormatting sqref="X49">
    <cfRule type="cellIs" dxfId="24933" priority="165338" stopIfTrue="1" operator="greaterThanOrEqual">
      <formula>0.5</formula>
    </cfRule>
  </conditionalFormatting>
  <conditionalFormatting sqref="X50">
    <cfRule type="cellIs" dxfId="24932" priority="165339" stopIfTrue="1" operator="equal">
      <formula>-1</formula>
    </cfRule>
  </conditionalFormatting>
  <conditionalFormatting sqref="X50">
    <cfRule type="cellIs" dxfId="24931" priority="165340" stopIfTrue="1" operator="lessThan">
      <formula>0.5</formula>
    </cfRule>
  </conditionalFormatting>
  <conditionalFormatting sqref="X50">
    <cfRule type="cellIs" dxfId="24930" priority="165341" stopIfTrue="1" operator="greaterThanOrEqual">
      <formula>0.5</formula>
    </cfRule>
  </conditionalFormatting>
  <conditionalFormatting sqref="X51">
    <cfRule type="cellIs" dxfId="24929" priority="165342" stopIfTrue="1" operator="equal">
      <formula>-1</formula>
    </cfRule>
  </conditionalFormatting>
  <conditionalFormatting sqref="X51">
    <cfRule type="cellIs" dxfId="24928" priority="165343" stopIfTrue="1" operator="lessThan">
      <formula>0.5</formula>
    </cfRule>
  </conditionalFormatting>
  <conditionalFormatting sqref="X51">
    <cfRule type="cellIs" dxfId="24927" priority="165344" stopIfTrue="1" operator="greaterThanOrEqual">
      <formula>0.5</formula>
    </cfRule>
  </conditionalFormatting>
  <conditionalFormatting sqref="X52">
    <cfRule type="cellIs" dxfId="24926" priority="165345" stopIfTrue="1" operator="equal">
      <formula>-1</formula>
    </cfRule>
  </conditionalFormatting>
  <conditionalFormatting sqref="X52">
    <cfRule type="cellIs" dxfId="24925" priority="165346" stopIfTrue="1" operator="lessThan">
      <formula>0.5</formula>
    </cfRule>
  </conditionalFormatting>
  <conditionalFormatting sqref="X52">
    <cfRule type="cellIs" dxfId="24924" priority="165347" stopIfTrue="1" operator="greaterThanOrEqual">
      <formula>0.5</formula>
    </cfRule>
  </conditionalFormatting>
  <conditionalFormatting sqref="X53">
    <cfRule type="cellIs" dxfId="24923" priority="165348" stopIfTrue="1" operator="equal">
      <formula>-1</formula>
    </cfRule>
  </conditionalFormatting>
  <conditionalFormatting sqref="X53">
    <cfRule type="cellIs" dxfId="24922" priority="165349" stopIfTrue="1" operator="lessThan">
      <formula>0.5</formula>
    </cfRule>
  </conditionalFormatting>
  <conditionalFormatting sqref="X53">
    <cfRule type="cellIs" dxfId="24921" priority="165350" stopIfTrue="1" operator="greaterThanOrEqual">
      <formula>0.5</formula>
    </cfRule>
  </conditionalFormatting>
  <conditionalFormatting sqref="X54">
    <cfRule type="cellIs" dxfId="24920" priority="165351" stopIfTrue="1" operator="equal">
      <formula>-1</formula>
    </cfRule>
  </conditionalFormatting>
  <conditionalFormatting sqref="X54">
    <cfRule type="cellIs" dxfId="24919" priority="165352" stopIfTrue="1" operator="lessThan">
      <formula>0.5</formula>
    </cfRule>
  </conditionalFormatting>
  <conditionalFormatting sqref="X54">
    <cfRule type="cellIs" dxfId="24918" priority="165353" stopIfTrue="1" operator="greaterThanOrEqual">
      <formula>0.5</formula>
    </cfRule>
  </conditionalFormatting>
  <conditionalFormatting sqref="X55">
    <cfRule type="cellIs" dxfId="24917" priority="165354" stopIfTrue="1" operator="equal">
      <formula>-1</formula>
    </cfRule>
  </conditionalFormatting>
  <conditionalFormatting sqref="X55">
    <cfRule type="cellIs" dxfId="24916" priority="165355" stopIfTrue="1" operator="lessThan">
      <formula>0.5</formula>
    </cfRule>
  </conditionalFormatting>
  <conditionalFormatting sqref="X55">
    <cfRule type="cellIs" dxfId="24915" priority="165356" stopIfTrue="1" operator="greaterThanOrEqual">
      <formula>0.5</formula>
    </cfRule>
  </conditionalFormatting>
  <conditionalFormatting sqref="X56">
    <cfRule type="cellIs" dxfId="24914" priority="165357" stopIfTrue="1" operator="equal">
      <formula>-1</formula>
    </cfRule>
  </conditionalFormatting>
  <conditionalFormatting sqref="X56">
    <cfRule type="cellIs" dxfId="24913" priority="165358" stopIfTrue="1" operator="lessThan">
      <formula>0.5</formula>
    </cfRule>
  </conditionalFormatting>
  <conditionalFormatting sqref="X56">
    <cfRule type="cellIs" dxfId="24912" priority="165359" stopIfTrue="1" operator="greaterThanOrEqual">
      <formula>0.5</formula>
    </cfRule>
  </conditionalFormatting>
  <conditionalFormatting sqref="X57">
    <cfRule type="cellIs" dxfId="24911" priority="165360" stopIfTrue="1" operator="equal">
      <formula>-1</formula>
    </cfRule>
  </conditionalFormatting>
  <conditionalFormatting sqref="X57">
    <cfRule type="cellIs" dxfId="24910" priority="165361" stopIfTrue="1" operator="lessThan">
      <formula>0.5</formula>
    </cfRule>
  </conditionalFormatting>
  <conditionalFormatting sqref="X57">
    <cfRule type="cellIs" dxfId="24909" priority="165362" stopIfTrue="1" operator="greaterThanOrEqual">
      <formula>0.5</formula>
    </cfRule>
  </conditionalFormatting>
  <conditionalFormatting sqref="X58">
    <cfRule type="cellIs" dxfId="24908" priority="165363" stopIfTrue="1" operator="equal">
      <formula>-1</formula>
    </cfRule>
  </conditionalFormatting>
  <conditionalFormatting sqref="X58">
    <cfRule type="cellIs" dxfId="24907" priority="165364" stopIfTrue="1" operator="lessThan">
      <formula>0.5</formula>
    </cfRule>
  </conditionalFormatting>
  <conditionalFormatting sqref="X58">
    <cfRule type="cellIs" dxfId="24906" priority="165365" stopIfTrue="1" operator="greaterThanOrEqual">
      <formula>0.5</formula>
    </cfRule>
  </conditionalFormatting>
  <conditionalFormatting sqref="Z39">
    <cfRule type="cellIs" dxfId="24905" priority="165366" stopIfTrue="1" operator="equal">
      <formula>-1</formula>
    </cfRule>
  </conditionalFormatting>
  <conditionalFormatting sqref="Z39">
    <cfRule type="cellIs" dxfId="24904" priority="165367" stopIfTrue="1" operator="lessThan">
      <formula>0.5</formula>
    </cfRule>
  </conditionalFormatting>
  <conditionalFormatting sqref="Z39">
    <cfRule type="cellIs" dxfId="24903" priority="165368" stopIfTrue="1" operator="greaterThanOrEqual">
      <formula>0.5</formula>
    </cfRule>
  </conditionalFormatting>
  <conditionalFormatting sqref="Z40">
    <cfRule type="cellIs" dxfId="24902" priority="165369" stopIfTrue="1" operator="equal">
      <formula>-1</formula>
    </cfRule>
  </conditionalFormatting>
  <conditionalFormatting sqref="Z40">
    <cfRule type="cellIs" dxfId="24901" priority="165370" stopIfTrue="1" operator="lessThan">
      <formula>0.5</formula>
    </cfRule>
  </conditionalFormatting>
  <conditionalFormatting sqref="Z40">
    <cfRule type="cellIs" dxfId="24900" priority="165371" stopIfTrue="1" operator="greaterThanOrEqual">
      <formula>0.5</formula>
    </cfRule>
  </conditionalFormatting>
  <conditionalFormatting sqref="Z41">
    <cfRule type="cellIs" dxfId="24899" priority="165372" stopIfTrue="1" operator="equal">
      <formula>-1</formula>
    </cfRule>
  </conditionalFormatting>
  <conditionalFormatting sqref="Z41">
    <cfRule type="cellIs" dxfId="24898" priority="165373" stopIfTrue="1" operator="lessThan">
      <formula>0.5</formula>
    </cfRule>
  </conditionalFormatting>
  <conditionalFormatting sqref="Z41">
    <cfRule type="cellIs" dxfId="24897" priority="165374" stopIfTrue="1" operator="greaterThanOrEqual">
      <formula>0.5</formula>
    </cfRule>
  </conditionalFormatting>
  <conditionalFormatting sqref="Z42">
    <cfRule type="cellIs" dxfId="24896" priority="165375" stopIfTrue="1" operator="equal">
      <formula>-1</formula>
    </cfRule>
  </conditionalFormatting>
  <conditionalFormatting sqref="Z42">
    <cfRule type="cellIs" dxfId="24895" priority="165376" stopIfTrue="1" operator="lessThan">
      <formula>0.5</formula>
    </cfRule>
  </conditionalFormatting>
  <conditionalFormatting sqref="Z42">
    <cfRule type="cellIs" dxfId="24894" priority="165377" stopIfTrue="1" operator="greaterThanOrEqual">
      <formula>0.5</formula>
    </cfRule>
  </conditionalFormatting>
  <conditionalFormatting sqref="Z43">
    <cfRule type="cellIs" dxfId="24893" priority="165378" stopIfTrue="1" operator="equal">
      <formula>-1</formula>
    </cfRule>
  </conditionalFormatting>
  <conditionalFormatting sqref="Z43">
    <cfRule type="cellIs" dxfId="24892" priority="165379" stopIfTrue="1" operator="lessThan">
      <formula>0.5</formula>
    </cfRule>
  </conditionalFormatting>
  <conditionalFormatting sqref="Z43">
    <cfRule type="cellIs" dxfId="24891" priority="165380" stopIfTrue="1" operator="greaterThanOrEqual">
      <formula>0.5</formula>
    </cfRule>
  </conditionalFormatting>
  <conditionalFormatting sqref="Z44">
    <cfRule type="cellIs" dxfId="24890" priority="165381" stopIfTrue="1" operator="equal">
      <formula>-1</formula>
    </cfRule>
  </conditionalFormatting>
  <conditionalFormatting sqref="Z44">
    <cfRule type="cellIs" dxfId="24889" priority="165382" stopIfTrue="1" operator="lessThan">
      <formula>0.5</formula>
    </cfRule>
  </conditionalFormatting>
  <conditionalFormatting sqref="Z44">
    <cfRule type="cellIs" dxfId="24888" priority="165383" stopIfTrue="1" operator="greaterThanOrEqual">
      <formula>0.5</formula>
    </cfRule>
  </conditionalFormatting>
  <conditionalFormatting sqref="Z45">
    <cfRule type="cellIs" dxfId="24887" priority="165384" stopIfTrue="1" operator="equal">
      <formula>-1</formula>
    </cfRule>
  </conditionalFormatting>
  <conditionalFormatting sqref="Z45">
    <cfRule type="cellIs" dxfId="24886" priority="165385" stopIfTrue="1" operator="lessThan">
      <formula>0.5</formula>
    </cfRule>
  </conditionalFormatting>
  <conditionalFormatting sqref="Z45">
    <cfRule type="cellIs" dxfId="24885" priority="165386" stopIfTrue="1" operator="greaterThanOrEqual">
      <formula>0.5</formula>
    </cfRule>
  </conditionalFormatting>
  <conditionalFormatting sqref="Z46">
    <cfRule type="cellIs" dxfId="24884" priority="165387" stopIfTrue="1" operator="equal">
      <formula>-1</formula>
    </cfRule>
  </conditionalFormatting>
  <conditionalFormatting sqref="Z46">
    <cfRule type="cellIs" dxfId="24883" priority="165388" stopIfTrue="1" operator="lessThan">
      <formula>0.5</formula>
    </cfRule>
  </conditionalFormatting>
  <conditionalFormatting sqref="Z46">
    <cfRule type="cellIs" dxfId="24882" priority="165389" stopIfTrue="1" operator="greaterThanOrEqual">
      <formula>0.5</formula>
    </cfRule>
  </conditionalFormatting>
  <conditionalFormatting sqref="Z47">
    <cfRule type="cellIs" dxfId="24881" priority="165390" stopIfTrue="1" operator="equal">
      <formula>-1</formula>
    </cfRule>
  </conditionalFormatting>
  <conditionalFormatting sqref="Z47">
    <cfRule type="cellIs" dxfId="24880" priority="165391" stopIfTrue="1" operator="lessThan">
      <formula>0.5</formula>
    </cfRule>
  </conditionalFormatting>
  <conditionalFormatting sqref="Z47">
    <cfRule type="cellIs" dxfId="24879" priority="165392" stopIfTrue="1" operator="greaterThanOrEqual">
      <formula>0.5</formula>
    </cfRule>
  </conditionalFormatting>
  <conditionalFormatting sqref="Z48">
    <cfRule type="cellIs" dxfId="24878" priority="165393" stopIfTrue="1" operator="equal">
      <formula>-1</formula>
    </cfRule>
  </conditionalFormatting>
  <conditionalFormatting sqref="Z48">
    <cfRule type="cellIs" dxfId="24877" priority="165394" stopIfTrue="1" operator="lessThan">
      <formula>0.5</formula>
    </cfRule>
  </conditionalFormatting>
  <conditionalFormatting sqref="Z48">
    <cfRule type="cellIs" dxfId="24876" priority="165395" stopIfTrue="1" operator="greaterThanOrEqual">
      <formula>0.5</formula>
    </cfRule>
  </conditionalFormatting>
  <conditionalFormatting sqref="Z49">
    <cfRule type="cellIs" dxfId="24875" priority="165396" stopIfTrue="1" operator="equal">
      <formula>-1</formula>
    </cfRule>
  </conditionalFormatting>
  <conditionalFormatting sqref="Z49">
    <cfRule type="cellIs" dxfId="24874" priority="165397" stopIfTrue="1" operator="lessThan">
      <formula>0.5</formula>
    </cfRule>
  </conditionalFormatting>
  <conditionalFormatting sqref="Z49">
    <cfRule type="cellIs" dxfId="24873" priority="165398" stopIfTrue="1" operator="greaterThanOrEqual">
      <formula>0.5</formula>
    </cfRule>
  </conditionalFormatting>
  <conditionalFormatting sqref="Z50">
    <cfRule type="cellIs" dxfId="24872" priority="165399" stopIfTrue="1" operator="equal">
      <formula>-1</formula>
    </cfRule>
  </conditionalFormatting>
  <conditionalFormatting sqref="Z50">
    <cfRule type="cellIs" dxfId="24871" priority="165400" stopIfTrue="1" operator="lessThan">
      <formula>0.5</formula>
    </cfRule>
  </conditionalFormatting>
  <conditionalFormatting sqref="Z50">
    <cfRule type="cellIs" dxfId="24870" priority="165401" stopIfTrue="1" operator="greaterThanOrEqual">
      <formula>0.5</formula>
    </cfRule>
  </conditionalFormatting>
  <conditionalFormatting sqref="Z51">
    <cfRule type="cellIs" dxfId="24869" priority="165402" stopIfTrue="1" operator="equal">
      <formula>-1</formula>
    </cfRule>
  </conditionalFormatting>
  <conditionalFormatting sqref="Z51">
    <cfRule type="cellIs" dxfId="24868" priority="165403" stopIfTrue="1" operator="lessThan">
      <formula>0.5</formula>
    </cfRule>
  </conditionalFormatting>
  <conditionalFormatting sqref="Z51">
    <cfRule type="cellIs" dxfId="24867" priority="165404" stopIfTrue="1" operator="greaterThanOrEqual">
      <formula>0.5</formula>
    </cfRule>
  </conditionalFormatting>
  <conditionalFormatting sqref="Z52">
    <cfRule type="cellIs" dxfId="24866" priority="165405" stopIfTrue="1" operator="equal">
      <formula>-1</formula>
    </cfRule>
  </conditionalFormatting>
  <conditionalFormatting sqref="Z52">
    <cfRule type="cellIs" dxfId="24865" priority="165406" stopIfTrue="1" operator="lessThan">
      <formula>0.5</formula>
    </cfRule>
  </conditionalFormatting>
  <conditionalFormatting sqref="Z52">
    <cfRule type="cellIs" dxfId="24864" priority="165407" stopIfTrue="1" operator="greaterThanOrEqual">
      <formula>0.5</formula>
    </cfRule>
  </conditionalFormatting>
  <conditionalFormatting sqref="Z53">
    <cfRule type="cellIs" dxfId="24863" priority="165408" stopIfTrue="1" operator="equal">
      <formula>-1</formula>
    </cfRule>
  </conditionalFormatting>
  <conditionalFormatting sqref="Z53">
    <cfRule type="cellIs" dxfId="24862" priority="165409" stopIfTrue="1" operator="lessThan">
      <formula>0.5</formula>
    </cfRule>
  </conditionalFormatting>
  <conditionalFormatting sqref="Z53">
    <cfRule type="cellIs" dxfId="24861" priority="165410" stopIfTrue="1" operator="greaterThanOrEqual">
      <formula>0.5</formula>
    </cfRule>
  </conditionalFormatting>
  <conditionalFormatting sqref="Z54">
    <cfRule type="cellIs" dxfId="24860" priority="165411" stopIfTrue="1" operator="equal">
      <formula>-1</formula>
    </cfRule>
  </conditionalFormatting>
  <conditionalFormatting sqref="Z54">
    <cfRule type="cellIs" dxfId="24859" priority="165412" stopIfTrue="1" operator="lessThan">
      <formula>0.5</formula>
    </cfRule>
  </conditionalFormatting>
  <conditionalFormatting sqref="Z54">
    <cfRule type="cellIs" dxfId="24858" priority="165413" stopIfTrue="1" operator="greaterThanOrEqual">
      <formula>0.5</formula>
    </cfRule>
  </conditionalFormatting>
  <conditionalFormatting sqref="Z55">
    <cfRule type="cellIs" dxfId="24857" priority="165414" stopIfTrue="1" operator="equal">
      <formula>-1</formula>
    </cfRule>
  </conditionalFormatting>
  <conditionalFormatting sqref="Z55">
    <cfRule type="cellIs" dxfId="24856" priority="165415" stopIfTrue="1" operator="lessThan">
      <formula>0.5</formula>
    </cfRule>
  </conditionalFormatting>
  <conditionalFormatting sqref="Z55">
    <cfRule type="cellIs" dxfId="24855" priority="165416" stopIfTrue="1" operator="greaterThanOrEqual">
      <formula>0.5</formula>
    </cfRule>
  </conditionalFormatting>
  <conditionalFormatting sqref="Z56">
    <cfRule type="cellIs" dxfId="24854" priority="165417" stopIfTrue="1" operator="equal">
      <formula>-1</formula>
    </cfRule>
  </conditionalFormatting>
  <conditionalFormatting sqref="Z56">
    <cfRule type="cellIs" dxfId="24853" priority="165418" stopIfTrue="1" operator="lessThan">
      <formula>0.5</formula>
    </cfRule>
  </conditionalFormatting>
  <conditionalFormatting sqref="Z56">
    <cfRule type="cellIs" dxfId="24852" priority="165419" stopIfTrue="1" operator="greaterThanOrEqual">
      <formula>0.5</formula>
    </cfRule>
  </conditionalFormatting>
  <conditionalFormatting sqref="Z57">
    <cfRule type="cellIs" dxfId="24851" priority="165420" stopIfTrue="1" operator="equal">
      <formula>-1</formula>
    </cfRule>
  </conditionalFormatting>
  <conditionalFormatting sqref="Z57">
    <cfRule type="cellIs" dxfId="24850" priority="165421" stopIfTrue="1" operator="lessThan">
      <formula>0.5</formula>
    </cfRule>
  </conditionalFormatting>
  <conditionalFormatting sqref="Z57">
    <cfRule type="cellIs" dxfId="24849" priority="165422" stopIfTrue="1" operator="greaterThanOrEqual">
      <formula>0.5</formula>
    </cfRule>
  </conditionalFormatting>
  <conditionalFormatting sqref="Z58">
    <cfRule type="cellIs" dxfId="24848" priority="165423" stopIfTrue="1" operator="equal">
      <formula>-1</formula>
    </cfRule>
  </conditionalFormatting>
  <conditionalFormatting sqref="Z58">
    <cfRule type="cellIs" dxfId="24847" priority="165424" stopIfTrue="1" operator="lessThan">
      <formula>0.5</formula>
    </cfRule>
  </conditionalFormatting>
  <conditionalFormatting sqref="Z58">
    <cfRule type="cellIs" dxfId="24846" priority="165425" stopIfTrue="1" operator="greaterThanOrEqual">
      <formula>0.5</formula>
    </cfRule>
  </conditionalFormatting>
  <conditionalFormatting sqref="AB39">
    <cfRule type="cellIs" dxfId="24845" priority="165426" stopIfTrue="1" operator="equal">
      <formula>-1</formula>
    </cfRule>
  </conditionalFormatting>
  <conditionalFormatting sqref="AB39">
    <cfRule type="cellIs" dxfId="24844" priority="165427" stopIfTrue="1" operator="lessThan">
      <formula>0.5</formula>
    </cfRule>
  </conditionalFormatting>
  <conditionalFormatting sqref="AB39">
    <cfRule type="cellIs" dxfId="24843" priority="165428" stopIfTrue="1" operator="greaterThanOrEqual">
      <formula>0.5</formula>
    </cfRule>
  </conditionalFormatting>
  <conditionalFormatting sqref="AB40">
    <cfRule type="cellIs" dxfId="24842" priority="165429" stopIfTrue="1" operator="equal">
      <formula>-1</formula>
    </cfRule>
  </conditionalFormatting>
  <conditionalFormatting sqref="AB40">
    <cfRule type="cellIs" dxfId="24841" priority="165430" stopIfTrue="1" operator="lessThan">
      <formula>0.5</formula>
    </cfRule>
  </conditionalFormatting>
  <conditionalFormatting sqref="AB40">
    <cfRule type="cellIs" dxfId="24840" priority="165431" stopIfTrue="1" operator="greaterThanOrEqual">
      <formula>0.5</formula>
    </cfRule>
  </conditionalFormatting>
  <conditionalFormatting sqref="AB41">
    <cfRule type="cellIs" dxfId="24839" priority="165432" stopIfTrue="1" operator="equal">
      <formula>-1</formula>
    </cfRule>
  </conditionalFormatting>
  <conditionalFormatting sqref="AB41">
    <cfRule type="cellIs" dxfId="24838" priority="165433" stopIfTrue="1" operator="lessThan">
      <formula>0.5</formula>
    </cfRule>
  </conditionalFormatting>
  <conditionalFormatting sqref="AB41">
    <cfRule type="cellIs" dxfId="24837" priority="165434" stopIfTrue="1" operator="greaterThanOrEqual">
      <formula>0.5</formula>
    </cfRule>
  </conditionalFormatting>
  <conditionalFormatting sqref="AB42">
    <cfRule type="cellIs" dxfId="24836" priority="165435" stopIfTrue="1" operator="equal">
      <formula>-1</formula>
    </cfRule>
  </conditionalFormatting>
  <conditionalFormatting sqref="AB42">
    <cfRule type="cellIs" dxfId="24835" priority="165436" stopIfTrue="1" operator="lessThan">
      <formula>0.5</formula>
    </cfRule>
  </conditionalFormatting>
  <conditionalFormatting sqref="AB42">
    <cfRule type="cellIs" dxfId="24834" priority="165437" stopIfTrue="1" operator="greaterThanOrEqual">
      <formula>0.5</formula>
    </cfRule>
  </conditionalFormatting>
  <conditionalFormatting sqref="AB43">
    <cfRule type="cellIs" dxfId="24833" priority="165438" stopIfTrue="1" operator="equal">
      <formula>-1</formula>
    </cfRule>
  </conditionalFormatting>
  <conditionalFormatting sqref="AB43">
    <cfRule type="cellIs" dxfId="24832" priority="165439" stopIfTrue="1" operator="lessThan">
      <formula>0.5</formula>
    </cfRule>
  </conditionalFormatting>
  <conditionalFormatting sqref="AB43">
    <cfRule type="cellIs" dxfId="24831" priority="165440" stopIfTrue="1" operator="greaterThanOrEqual">
      <formula>0.5</formula>
    </cfRule>
  </conditionalFormatting>
  <conditionalFormatting sqref="AB44">
    <cfRule type="cellIs" dxfId="24830" priority="165441" stopIfTrue="1" operator="equal">
      <formula>-1</formula>
    </cfRule>
  </conditionalFormatting>
  <conditionalFormatting sqref="AB44">
    <cfRule type="cellIs" dxfId="24829" priority="165442" stopIfTrue="1" operator="lessThan">
      <formula>0.5</formula>
    </cfRule>
  </conditionalFormatting>
  <conditionalFormatting sqref="AB44">
    <cfRule type="cellIs" dxfId="24828" priority="165443" stopIfTrue="1" operator="greaterThanOrEqual">
      <formula>0.5</formula>
    </cfRule>
  </conditionalFormatting>
  <conditionalFormatting sqref="AB45">
    <cfRule type="cellIs" dxfId="24827" priority="165444" stopIfTrue="1" operator="equal">
      <formula>-1</formula>
    </cfRule>
  </conditionalFormatting>
  <conditionalFormatting sqref="AB45">
    <cfRule type="cellIs" dxfId="24826" priority="165445" stopIfTrue="1" operator="lessThan">
      <formula>0.5</formula>
    </cfRule>
  </conditionalFormatting>
  <conditionalFormatting sqref="AB45">
    <cfRule type="cellIs" dxfId="24825" priority="165446" stopIfTrue="1" operator="greaterThanOrEqual">
      <formula>0.5</formula>
    </cfRule>
  </conditionalFormatting>
  <conditionalFormatting sqref="AB46">
    <cfRule type="cellIs" dxfId="24824" priority="165447" stopIfTrue="1" operator="equal">
      <formula>-1</formula>
    </cfRule>
  </conditionalFormatting>
  <conditionalFormatting sqref="AB46">
    <cfRule type="cellIs" dxfId="24823" priority="165448" stopIfTrue="1" operator="lessThan">
      <formula>0.5</formula>
    </cfRule>
  </conditionalFormatting>
  <conditionalFormatting sqref="AB46">
    <cfRule type="cellIs" dxfId="24822" priority="165449" stopIfTrue="1" operator="greaterThanOrEqual">
      <formula>0.5</formula>
    </cfRule>
  </conditionalFormatting>
  <conditionalFormatting sqref="AB47">
    <cfRule type="cellIs" dxfId="24821" priority="165450" stopIfTrue="1" operator="equal">
      <formula>-1</formula>
    </cfRule>
  </conditionalFormatting>
  <conditionalFormatting sqref="AB47">
    <cfRule type="cellIs" dxfId="24820" priority="165451" stopIfTrue="1" operator="lessThan">
      <formula>0.5</formula>
    </cfRule>
  </conditionalFormatting>
  <conditionalFormatting sqref="AB47">
    <cfRule type="cellIs" dxfId="24819" priority="165452" stopIfTrue="1" operator="greaterThanOrEqual">
      <formula>0.5</formula>
    </cfRule>
  </conditionalFormatting>
  <conditionalFormatting sqref="AB48">
    <cfRule type="cellIs" dxfId="24818" priority="165453" stopIfTrue="1" operator="equal">
      <formula>-1</formula>
    </cfRule>
  </conditionalFormatting>
  <conditionalFormatting sqref="AB48">
    <cfRule type="cellIs" dxfId="24817" priority="165454" stopIfTrue="1" operator="lessThan">
      <formula>0.5</formula>
    </cfRule>
  </conditionalFormatting>
  <conditionalFormatting sqref="AB48">
    <cfRule type="cellIs" dxfId="24816" priority="165455" stopIfTrue="1" operator="greaterThanOrEqual">
      <formula>0.5</formula>
    </cfRule>
  </conditionalFormatting>
  <conditionalFormatting sqref="AB49">
    <cfRule type="cellIs" dxfId="24815" priority="165456" stopIfTrue="1" operator="equal">
      <formula>-1</formula>
    </cfRule>
  </conditionalFormatting>
  <conditionalFormatting sqref="AB49">
    <cfRule type="cellIs" dxfId="24814" priority="165457" stopIfTrue="1" operator="lessThan">
      <formula>0.5</formula>
    </cfRule>
  </conditionalFormatting>
  <conditionalFormatting sqref="AB49">
    <cfRule type="cellIs" dxfId="24813" priority="165458" stopIfTrue="1" operator="greaterThanOrEqual">
      <formula>0.5</formula>
    </cfRule>
  </conditionalFormatting>
  <conditionalFormatting sqref="AB50">
    <cfRule type="cellIs" dxfId="24812" priority="165459" stopIfTrue="1" operator="equal">
      <formula>-1</formula>
    </cfRule>
  </conditionalFormatting>
  <conditionalFormatting sqref="AB50">
    <cfRule type="cellIs" dxfId="24811" priority="165460" stopIfTrue="1" operator="lessThan">
      <formula>0.5</formula>
    </cfRule>
  </conditionalFormatting>
  <conditionalFormatting sqref="AB50">
    <cfRule type="cellIs" dxfId="24810" priority="165461" stopIfTrue="1" operator="greaterThanOrEqual">
      <formula>0.5</formula>
    </cfRule>
  </conditionalFormatting>
  <conditionalFormatting sqref="AB51">
    <cfRule type="cellIs" dxfId="24809" priority="165462" stopIfTrue="1" operator="equal">
      <formula>-1</formula>
    </cfRule>
  </conditionalFormatting>
  <conditionalFormatting sqref="AB51">
    <cfRule type="cellIs" dxfId="24808" priority="165463" stopIfTrue="1" operator="lessThan">
      <formula>0.5</formula>
    </cfRule>
  </conditionalFormatting>
  <conditionalFormatting sqref="AB51">
    <cfRule type="cellIs" dxfId="24807" priority="165464" stopIfTrue="1" operator="greaterThanOrEqual">
      <formula>0.5</formula>
    </cfRule>
  </conditionalFormatting>
  <conditionalFormatting sqref="AB52">
    <cfRule type="cellIs" dxfId="24806" priority="165465" stopIfTrue="1" operator="equal">
      <formula>-1</formula>
    </cfRule>
  </conditionalFormatting>
  <conditionalFormatting sqref="AB52">
    <cfRule type="cellIs" dxfId="24805" priority="165466" stopIfTrue="1" operator="lessThan">
      <formula>0.5</formula>
    </cfRule>
  </conditionalFormatting>
  <conditionalFormatting sqref="AB52">
    <cfRule type="cellIs" dxfId="24804" priority="165467" stopIfTrue="1" operator="greaterThanOrEqual">
      <formula>0.5</formula>
    </cfRule>
  </conditionalFormatting>
  <conditionalFormatting sqref="AB53">
    <cfRule type="cellIs" dxfId="24803" priority="165468" stopIfTrue="1" operator="equal">
      <formula>-1</formula>
    </cfRule>
  </conditionalFormatting>
  <conditionalFormatting sqref="AB53">
    <cfRule type="cellIs" dxfId="24802" priority="165469" stopIfTrue="1" operator="lessThan">
      <formula>0.5</formula>
    </cfRule>
  </conditionalFormatting>
  <conditionalFormatting sqref="AB53">
    <cfRule type="cellIs" dxfId="24801" priority="165470" stopIfTrue="1" operator="greaterThanOrEqual">
      <formula>0.5</formula>
    </cfRule>
  </conditionalFormatting>
  <conditionalFormatting sqref="AB54">
    <cfRule type="cellIs" dxfId="24800" priority="165471" stopIfTrue="1" operator="equal">
      <formula>-1</formula>
    </cfRule>
  </conditionalFormatting>
  <conditionalFormatting sqref="AB54">
    <cfRule type="cellIs" dxfId="24799" priority="165472" stopIfTrue="1" operator="lessThan">
      <formula>0.5</formula>
    </cfRule>
  </conditionalFormatting>
  <conditionalFormatting sqref="AB54">
    <cfRule type="cellIs" dxfId="24798" priority="165473" stopIfTrue="1" operator="greaterThanOrEqual">
      <formula>0.5</formula>
    </cfRule>
  </conditionalFormatting>
  <conditionalFormatting sqref="AB55">
    <cfRule type="cellIs" dxfId="24797" priority="165474" stopIfTrue="1" operator="equal">
      <formula>-1</formula>
    </cfRule>
  </conditionalFormatting>
  <conditionalFormatting sqref="AB55">
    <cfRule type="cellIs" dxfId="24796" priority="165475" stopIfTrue="1" operator="lessThan">
      <formula>0.5</formula>
    </cfRule>
  </conditionalFormatting>
  <conditionalFormatting sqref="AB55">
    <cfRule type="cellIs" dxfId="24795" priority="165476" stopIfTrue="1" operator="greaterThanOrEqual">
      <formula>0.5</formula>
    </cfRule>
  </conditionalFormatting>
  <conditionalFormatting sqref="AB56">
    <cfRule type="cellIs" dxfId="24794" priority="165477" stopIfTrue="1" operator="equal">
      <formula>-1</formula>
    </cfRule>
  </conditionalFormatting>
  <conditionalFormatting sqref="AB56">
    <cfRule type="cellIs" dxfId="24793" priority="165478" stopIfTrue="1" operator="lessThan">
      <formula>0.5</formula>
    </cfRule>
  </conditionalFormatting>
  <conditionalFormatting sqref="AB56">
    <cfRule type="cellIs" dxfId="24792" priority="165479" stopIfTrue="1" operator="greaterThanOrEqual">
      <formula>0.5</formula>
    </cfRule>
  </conditionalFormatting>
  <conditionalFormatting sqref="AB57">
    <cfRule type="cellIs" dxfId="24791" priority="165480" stopIfTrue="1" operator="equal">
      <formula>-1</formula>
    </cfRule>
  </conditionalFormatting>
  <conditionalFormatting sqref="AB57">
    <cfRule type="cellIs" dxfId="24790" priority="165481" stopIfTrue="1" operator="lessThan">
      <formula>0.5</formula>
    </cfRule>
  </conditionalFormatting>
  <conditionalFormatting sqref="AB57">
    <cfRule type="cellIs" dxfId="24789" priority="165482" stopIfTrue="1" operator="greaterThanOrEqual">
      <formula>0.5</formula>
    </cfRule>
  </conditionalFormatting>
  <conditionalFormatting sqref="AB58">
    <cfRule type="cellIs" dxfId="24788" priority="165483" stopIfTrue="1" operator="equal">
      <formula>-1</formula>
    </cfRule>
  </conditionalFormatting>
  <conditionalFormatting sqref="AB58">
    <cfRule type="cellIs" dxfId="24787" priority="165484" stopIfTrue="1" operator="lessThan">
      <formula>0.5</formula>
    </cfRule>
  </conditionalFormatting>
  <conditionalFormatting sqref="AB58">
    <cfRule type="cellIs" dxfId="24786" priority="165485" stopIfTrue="1" operator="greaterThanOrEqual">
      <formula>0.5</formula>
    </cfRule>
  </conditionalFormatting>
  <conditionalFormatting sqref="AD39">
    <cfRule type="cellIs" dxfId="24785" priority="165486" stopIfTrue="1" operator="equal">
      <formula>-1</formula>
    </cfRule>
  </conditionalFormatting>
  <conditionalFormatting sqref="AD39">
    <cfRule type="cellIs" dxfId="24784" priority="165487" stopIfTrue="1" operator="lessThan">
      <formula>0.5</formula>
    </cfRule>
  </conditionalFormatting>
  <conditionalFormatting sqref="AD39">
    <cfRule type="cellIs" dxfId="24783" priority="165488" stopIfTrue="1" operator="greaterThanOrEqual">
      <formula>0.5</formula>
    </cfRule>
  </conditionalFormatting>
  <conditionalFormatting sqref="AD40">
    <cfRule type="cellIs" dxfId="24782" priority="165489" stopIfTrue="1" operator="equal">
      <formula>-1</formula>
    </cfRule>
  </conditionalFormatting>
  <conditionalFormatting sqref="AD40">
    <cfRule type="cellIs" dxfId="24781" priority="165490" stopIfTrue="1" operator="lessThan">
      <formula>0.5</formula>
    </cfRule>
  </conditionalFormatting>
  <conditionalFormatting sqref="AD40">
    <cfRule type="cellIs" dxfId="24780" priority="165491" stopIfTrue="1" operator="greaterThanOrEqual">
      <formula>0.5</formula>
    </cfRule>
  </conditionalFormatting>
  <conditionalFormatting sqref="AD41">
    <cfRule type="cellIs" dxfId="24779" priority="165492" stopIfTrue="1" operator="equal">
      <formula>-1</formula>
    </cfRule>
  </conditionalFormatting>
  <conditionalFormatting sqref="AD41">
    <cfRule type="cellIs" dxfId="24778" priority="165493" stopIfTrue="1" operator="lessThan">
      <formula>0.5</formula>
    </cfRule>
  </conditionalFormatting>
  <conditionalFormatting sqref="AD41">
    <cfRule type="cellIs" dxfId="24777" priority="165494" stopIfTrue="1" operator="greaterThanOrEqual">
      <formula>0.5</formula>
    </cfRule>
  </conditionalFormatting>
  <conditionalFormatting sqref="AD42">
    <cfRule type="cellIs" dxfId="24776" priority="165495" stopIfTrue="1" operator="equal">
      <formula>-1</formula>
    </cfRule>
  </conditionalFormatting>
  <conditionalFormatting sqref="AD42">
    <cfRule type="cellIs" dxfId="24775" priority="165496" stopIfTrue="1" operator="lessThan">
      <formula>0.5</formula>
    </cfRule>
  </conditionalFormatting>
  <conditionalFormatting sqref="AD42">
    <cfRule type="cellIs" dxfId="24774" priority="165497" stopIfTrue="1" operator="greaterThanOrEqual">
      <formula>0.5</formula>
    </cfRule>
  </conditionalFormatting>
  <conditionalFormatting sqref="AD43">
    <cfRule type="cellIs" dxfId="24773" priority="165498" stopIfTrue="1" operator="equal">
      <formula>-1</formula>
    </cfRule>
  </conditionalFormatting>
  <conditionalFormatting sqref="AD43">
    <cfRule type="cellIs" dxfId="24772" priority="165499" stopIfTrue="1" operator="lessThan">
      <formula>0.5</formula>
    </cfRule>
  </conditionalFormatting>
  <conditionalFormatting sqref="AD43">
    <cfRule type="cellIs" dxfId="24771" priority="165500" stopIfTrue="1" operator="greaterThanOrEqual">
      <formula>0.5</formula>
    </cfRule>
  </conditionalFormatting>
  <conditionalFormatting sqref="AD44">
    <cfRule type="cellIs" dxfId="24770" priority="165501" stopIfTrue="1" operator="equal">
      <formula>-1</formula>
    </cfRule>
  </conditionalFormatting>
  <conditionalFormatting sqref="AD44">
    <cfRule type="cellIs" dxfId="24769" priority="165502" stopIfTrue="1" operator="lessThan">
      <formula>0.5</formula>
    </cfRule>
  </conditionalFormatting>
  <conditionalFormatting sqref="AD44">
    <cfRule type="cellIs" dxfId="24768" priority="165503" stopIfTrue="1" operator="greaterThanOrEqual">
      <formula>0.5</formula>
    </cfRule>
  </conditionalFormatting>
  <conditionalFormatting sqref="AD45">
    <cfRule type="cellIs" dxfId="24767" priority="165504" stopIfTrue="1" operator="equal">
      <formula>-1</formula>
    </cfRule>
  </conditionalFormatting>
  <conditionalFormatting sqref="AD45">
    <cfRule type="cellIs" dxfId="24766" priority="165505" stopIfTrue="1" operator="lessThan">
      <formula>0.5</formula>
    </cfRule>
  </conditionalFormatting>
  <conditionalFormatting sqref="AD45">
    <cfRule type="cellIs" dxfId="24765" priority="165506" stopIfTrue="1" operator="greaterThanOrEqual">
      <formula>0.5</formula>
    </cfRule>
  </conditionalFormatting>
  <conditionalFormatting sqref="AD46">
    <cfRule type="cellIs" dxfId="24764" priority="165507" stopIfTrue="1" operator="equal">
      <formula>-1</formula>
    </cfRule>
  </conditionalFormatting>
  <conditionalFormatting sqref="AD46">
    <cfRule type="cellIs" dxfId="24763" priority="165508" stopIfTrue="1" operator="lessThan">
      <formula>0.5</formula>
    </cfRule>
  </conditionalFormatting>
  <conditionalFormatting sqref="AD46">
    <cfRule type="cellIs" dxfId="24762" priority="165509" stopIfTrue="1" operator="greaterThanOrEqual">
      <formula>0.5</formula>
    </cfRule>
  </conditionalFormatting>
  <conditionalFormatting sqref="AD47">
    <cfRule type="cellIs" dxfId="24761" priority="165510" stopIfTrue="1" operator="equal">
      <formula>-1</formula>
    </cfRule>
  </conditionalFormatting>
  <conditionalFormatting sqref="AD47">
    <cfRule type="cellIs" dxfId="24760" priority="165511" stopIfTrue="1" operator="lessThan">
      <formula>0.5</formula>
    </cfRule>
  </conditionalFormatting>
  <conditionalFormatting sqref="AD47">
    <cfRule type="cellIs" dxfId="24759" priority="165512" stopIfTrue="1" operator="greaterThanOrEqual">
      <formula>0.5</formula>
    </cfRule>
  </conditionalFormatting>
  <conditionalFormatting sqref="AD48">
    <cfRule type="cellIs" dxfId="24758" priority="165513" stopIfTrue="1" operator="equal">
      <formula>-1</formula>
    </cfRule>
  </conditionalFormatting>
  <conditionalFormatting sqref="AD48">
    <cfRule type="cellIs" dxfId="24757" priority="165514" stopIfTrue="1" operator="lessThan">
      <formula>0.5</formula>
    </cfRule>
  </conditionalFormatting>
  <conditionalFormatting sqref="AD48">
    <cfRule type="cellIs" dxfId="24756" priority="165515" stopIfTrue="1" operator="greaterThanOrEqual">
      <formula>0.5</formula>
    </cfRule>
  </conditionalFormatting>
  <conditionalFormatting sqref="AD49">
    <cfRule type="cellIs" dxfId="24755" priority="165516" stopIfTrue="1" operator="equal">
      <formula>-1</formula>
    </cfRule>
  </conditionalFormatting>
  <conditionalFormatting sqref="AD49">
    <cfRule type="cellIs" dxfId="24754" priority="165517" stopIfTrue="1" operator="lessThan">
      <formula>0.5</formula>
    </cfRule>
  </conditionalFormatting>
  <conditionalFormatting sqref="AD49">
    <cfRule type="cellIs" dxfId="24753" priority="165518" stopIfTrue="1" operator="greaterThanOrEqual">
      <formula>0.5</formula>
    </cfRule>
  </conditionalFormatting>
  <conditionalFormatting sqref="AD50">
    <cfRule type="cellIs" dxfId="24752" priority="165519" stopIfTrue="1" operator="equal">
      <formula>-1</formula>
    </cfRule>
  </conditionalFormatting>
  <conditionalFormatting sqref="AD50">
    <cfRule type="cellIs" dxfId="24751" priority="165520" stopIfTrue="1" operator="lessThan">
      <formula>0.5</formula>
    </cfRule>
  </conditionalFormatting>
  <conditionalFormatting sqref="AD50">
    <cfRule type="cellIs" dxfId="24750" priority="165521" stopIfTrue="1" operator="greaterThanOrEqual">
      <formula>0.5</formula>
    </cfRule>
  </conditionalFormatting>
  <conditionalFormatting sqref="AD51">
    <cfRule type="cellIs" dxfId="24749" priority="165522" stopIfTrue="1" operator="equal">
      <formula>-1</formula>
    </cfRule>
  </conditionalFormatting>
  <conditionalFormatting sqref="AD51">
    <cfRule type="cellIs" dxfId="24748" priority="165523" stopIfTrue="1" operator="lessThan">
      <formula>0.5</formula>
    </cfRule>
  </conditionalFormatting>
  <conditionalFormatting sqref="AD51">
    <cfRule type="cellIs" dxfId="24747" priority="165524" stopIfTrue="1" operator="greaterThanOrEqual">
      <formula>0.5</formula>
    </cfRule>
  </conditionalFormatting>
  <conditionalFormatting sqref="AD52">
    <cfRule type="cellIs" dxfId="24746" priority="165525" stopIfTrue="1" operator="equal">
      <formula>-1</formula>
    </cfRule>
  </conditionalFormatting>
  <conditionalFormatting sqref="AD52">
    <cfRule type="cellIs" dxfId="24745" priority="165526" stopIfTrue="1" operator="lessThan">
      <formula>0.5</formula>
    </cfRule>
  </conditionalFormatting>
  <conditionalFormatting sqref="AD52">
    <cfRule type="cellIs" dxfId="24744" priority="165527" stopIfTrue="1" operator="greaterThanOrEqual">
      <formula>0.5</formula>
    </cfRule>
  </conditionalFormatting>
  <conditionalFormatting sqref="AD53">
    <cfRule type="cellIs" dxfId="24743" priority="165528" stopIfTrue="1" operator="equal">
      <formula>-1</formula>
    </cfRule>
  </conditionalFormatting>
  <conditionalFormatting sqref="AD53">
    <cfRule type="cellIs" dxfId="24742" priority="165529" stopIfTrue="1" operator="lessThan">
      <formula>0.5</formula>
    </cfRule>
  </conditionalFormatting>
  <conditionalFormatting sqref="AD53">
    <cfRule type="cellIs" dxfId="24741" priority="165530" stopIfTrue="1" operator="greaterThanOrEqual">
      <formula>0.5</formula>
    </cfRule>
  </conditionalFormatting>
  <conditionalFormatting sqref="AD54">
    <cfRule type="cellIs" dxfId="24740" priority="165531" stopIfTrue="1" operator="equal">
      <formula>-1</formula>
    </cfRule>
  </conditionalFormatting>
  <conditionalFormatting sqref="AD54">
    <cfRule type="cellIs" dxfId="24739" priority="165532" stopIfTrue="1" operator="lessThan">
      <formula>0.5</formula>
    </cfRule>
  </conditionalFormatting>
  <conditionalFormatting sqref="AD54">
    <cfRule type="cellIs" dxfId="24738" priority="165533" stopIfTrue="1" operator="greaterThanOrEqual">
      <formula>0.5</formula>
    </cfRule>
  </conditionalFormatting>
  <conditionalFormatting sqref="AD55">
    <cfRule type="cellIs" dxfId="24737" priority="165534" stopIfTrue="1" operator="equal">
      <formula>-1</formula>
    </cfRule>
  </conditionalFormatting>
  <conditionalFormatting sqref="AD55">
    <cfRule type="cellIs" dxfId="24736" priority="165535" stopIfTrue="1" operator="lessThan">
      <formula>0.5</formula>
    </cfRule>
  </conditionalFormatting>
  <conditionalFormatting sqref="AD55">
    <cfRule type="cellIs" dxfId="24735" priority="165536" stopIfTrue="1" operator="greaterThanOrEqual">
      <formula>0.5</formula>
    </cfRule>
  </conditionalFormatting>
  <conditionalFormatting sqref="AD56">
    <cfRule type="cellIs" dxfId="24734" priority="165537" stopIfTrue="1" operator="equal">
      <formula>-1</formula>
    </cfRule>
  </conditionalFormatting>
  <conditionalFormatting sqref="AD56">
    <cfRule type="cellIs" dxfId="24733" priority="165538" stopIfTrue="1" operator="lessThan">
      <formula>0.5</formula>
    </cfRule>
  </conditionalFormatting>
  <conditionalFormatting sqref="AD56">
    <cfRule type="cellIs" dxfId="24732" priority="165539" stopIfTrue="1" operator="greaterThanOrEqual">
      <formula>0.5</formula>
    </cfRule>
  </conditionalFormatting>
  <conditionalFormatting sqref="AD57">
    <cfRule type="cellIs" dxfId="24731" priority="165540" stopIfTrue="1" operator="equal">
      <formula>-1</formula>
    </cfRule>
  </conditionalFormatting>
  <conditionalFormatting sqref="AD57">
    <cfRule type="cellIs" dxfId="24730" priority="165541" stopIfTrue="1" operator="lessThan">
      <formula>0.5</formula>
    </cfRule>
  </conditionalFormatting>
  <conditionalFormatting sqref="AD57">
    <cfRule type="cellIs" dxfId="24729" priority="165542" stopIfTrue="1" operator="greaterThanOrEqual">
      <formula>0.5</formula>
    </cfRule>
  </conditionalFormatting>
  <conditionalFormatting sqref="AD58">
    <cfRule type="cellIs" dxfId="24728" priority="165543" stopIfTrue="1" operator="equal">
      <formula>-1</formula>
    </cfRule>
  </conditionalFormatting>
  <conditionalFormatting sqref="AD58">
    <cfRule type="cellIs" dxfId="24727" priority="165544" stopIfTrue="1" operator="lessThan">
      <formula>0.5</formula>
    </cfRule>
  </conditionalFormatting>
  <conditionalFormatting sqref="AD58">
    <cfRule type="cellIs" dxfId="24726" priority="165545" stopIfTrue="1" operator="greaterThanOrEqual">
      <formula>0.5</formula>
    </cfRule>
  </conditionalFormatting>
  <conditionalFormatting sqref="AF39">
    <cfRule type="cellIs" dxfId="24725" priority="165546" stopIfTrue="1" operator="equal">
      <formula>-1</formula>
    </cfRule>
  </conditionalFormatting>
  <conditionalFormatting sqref="AF39">
    <cfRule type="cellIs" dxfId="24724" priority="165547" stopIfTrue="1" operator="lessThan">
      <formula>0.5</formula>
    </cfRule>
  </conditionalFormatting>
  <conditionalFormatting sqref="AF39">
    <cfRule type="cellIs" dxfId="24723" priority="165548" stopIfTrue="1" operator="greaterThanOrEqual">
      <formula>0.5</formula>
    </cfRule>
  </conditionalFormatting>
  <conditionalFormatting sqref="AF40">
    <cfRule type="cellIs" dxfId="24722" priority="165549" stopIfTrue="1" operator="equal">
      <formula>-1</formula>
    </cfRule>
  </conditionalFormatting>
  <conditionalFormatting sqref="AF40">
    <cfRule type="cellIs" dxfId="24721" priority="165550" stopIfTrue="1" operator="lessThan">
      <formula>0.5</formula>
    </cfRule>
  </conditionalFormatting>
  <conditionalFormatting sqref="AF40">
    <cfRule type="cellIs" dxfId="24720" priority="165551" stopIfTrue="1" operator="greaterThanOrEqual">
      <formula>0.5</formula>
    </cfRule>
  </conditionalFormatting>
  <conditionalFormatting sqref="AF41">
    <cfRule type="cellIs" dxfId="24719" priority="165552" stopIfTrue="1" operator="equal">
      <formula>-1</formula>
    </cfRule>
  </conditionalFormatting>
  <conditionalFormatting sqref="AF41">
    <cfRule type="cellIs" dxfId="24718" priority="165553" stopIfTrue="1" operator="lessThan">
      <formula>0.5</formula>
    </cfRule>
  </conditionalFormatting>
  <conditionalFormatting sqref="AF41">
    <cfRule type="cellIs" dxfId="24717" priority="165554" stopIfTrue="1" operator="greaterThanOrEqual">
      <formula>0.5</formula>
    </cfRule>
  </conditionalFormatting>
  <conditionalFormatting sqref="AF42">
    <cfRule type="cellIs" dxfId="24716" priority="165555" stopIfTrue="1" operator="equal">
      <formula>-1</formula>
    </cfRule>
  </conditionalFormatting>
  <conditionalFormatting sqref="AF42">
    <cfRule type="cellIs" dxfId="24715" priority="165556" stopIfTrue="1" operator="lessThan">
      <formula>0.5</formula>
    </cfRule>
  </conditionalFormatting>
  <conditionalFormatting sqref="AF42">
    <cfRule type="cellIs" dxfId="24714" priority="165557" stopIfTrue="1" operator="greaterThanOrEqual">
      <formula>0.5</formula>
    </cfRule>
  </conditionalFormatting>
  <conditionalFormatting sqref="AF43">
    <cfRule type="cellIs" dxfId="24713" priority="165558" stopIfTrue="1" operator="equal">
      <formula>-1</formula>
    </cfRule>
  </conditionalFormatting>
  <conditionalFormatting sqref="AF43">
    <cfRule type="cellIs" dxfId="24712" priority="165559" stopIfTrue="1" operator="lessThan">
      <formula>0.5</formula>
    </cfRule>
  </conditionalFormatting>
  <conditionalFormatting sqref="AF43">
    <cfRule type="cellIs" dxfId="24711" priority="165560" stopIfTrue="1" operator="greaterThanOrEqual">
      <formula>0.5</formula>
    </cfRule>
  </conditionalFormatting>
  <conditionalFormatting sqref="AF44">
    <cfRule type="cellIs" dxfId="24710" priority="165561" stopIfTrue="1" operator="equal">
      <formula>-1</formula>
    </cfRule>
  </conditionalFormatting>
  <conditionalFormatting sqref="AF44">
    <cfRule type="cellIs" dxfId="24709" priority="165562" stopIfTrue="1" operator="lessThan">
      <formula>0.5</formula>
    </cfRule>
  </conditionalFormatting>
  <conditionalFormatting sqref="AF44">
    <cfRule type="cellIs" dxfId="24708" priority="165563" stopIfTrue="1" operator="greaterThanOrEqual">
      <formula>0.5</formula>
    </cfRule>
  </conditionalFormatting>
  <conditionalFormatting sqref="AF45">
    <cfRule type="cellIs" dxfId="24707" priority="165564" stopIfTrue="1" operator="equal">
      <formula>-1</formula>
    </cfRule>
  </conditionalFormatting>
  <conditionalFormatting sqref="AF45">
    <cfRule type="cellIs" dxfId="24706" priority="165565" stopIfTrue="1" operator="lessThan">
      <formula>0.5</formula>
    </cfRule>
  </conditionalFormatting>
  <conditionalFormatting sqref="AF45">
    <cfRule type="cellIs" dxfId="24705" priority="165566" stopIfTrue="1" operator="greaterThanOrEqual">
      <formula>0.5</formula>
    </cfRule>
  </conditionalFormatting>
  <conditionalFormatting sqref="AF46">
    <cfRule type="cellIs" dxfId="24704" priority="165567" stopIfTrue="1" operator="equal">
      <formula>-1</formula>
    </cfRule>
  </conditionalFormatting>
  <conditionalFormatting sqref="AF46">
    <cfRule type="cellIs" dxfId="24703" priority="165568" stopIfTrue="1" operator="lessThan">
      <formula>0.5</formula>
    </cfRule>
  </conditionalFormatting>
  <conditionalFormatting sqref="AF46">
    <cfRule type="cellIs" dxfId="24702" priority="165569" stopIfTrue="1" operator="greaterThanOrEqual">
      <formula>0.5</formula>
    </cfRule>
  </conditionalFormatting>
  <conditionalFormatting sqref="AF47">
    <cfRule type="cellIs" dxfId="24701" priority="165570" stopIfTrue="1" operator="equal">
      <formula>-1</formula>
    </cfRule>
  </conditionalFormatting>
  <conditionalFormatting sqref="AF47">
    <cfRule type="cellIs" dxfId="24700" priority="165571" stopIfTrue="1" operator="lessThan">
      <formula>0.5</formula>
    </cfRule>
  </conditionalFormatting>
  <conditionalFormatting sqref="AF47">
    <cfRule type="cellIs" dxfId="24699" priority="165572" stopIfTrue="1" operator="greaterThanOrEqual">
      <formula>0.5</formula>
    </cfRule>
  </conditionalFormatting>
  <conditionalFormatting sqref="AF48">
    <cfRule type="cellIs" dxfId="24698" priority="165573" stopIfTrue="1" operator="equal">
      <formula>-1</formula>
    </cfRule>
  </conditionalFormatting>
  <conditionalFormatting sqref="AF48">
    <cfRule type="cellIs" dxfId="24697" priority="165574" stopIfTrue="1" operator="lessThan">
      <formula>0.5</formula>
    </cfRule>
  </conditionalFormatting>
  <conditionalFormatting sqref="AF48">
    <cfRule type="cellIs" dxfId="24696" priority="165575" stopIfTrue="1" operator="greaterThanOrEqual">
      <formula>0.5</formula>
    </cfRule>
  </conditionalFormatting>
  <conditionalFormatting sqref="AF49">
    <cfRule type="cellIs" dxfId="24695" priority="165576" stopIfTrue="1" operator="equal">
      <formula>-1</formula>
    </cfRule>
  </conditionalFormatting>
  <conditionalFormatting sqref="AF49">
    <cfRule type="cellIs" dxfId="24694" priority="165577" stopIfTrue="1" operator="lessThan">
      <formula>0.5</formula>
    </cfRule>
  </conditionalFormatting>
  <conditionalFormatting sqref="AF49">
    <cfRule type="cellIs" dxfId="24693" priority="165578" stopIfTrue="1" operator="greaterThanOrEqual">
      <formula>0.5</formula>
    </cfRule>
  </conditionalFormatting>
  <conditionalFormatting sqref="AF50">
    <cfRule type="cellIs" dxfId="24692" priority="165579" stopIfTrue="1" operator="equal">
      <formula>-1</formula>
    </cfRule>
  </conditionalFormatting>
  <conditionalFormatting sqref="AF50">
    <cfRule type="cellIs" dxfId="24691" priority="165580" stopIfTrue="1" operator="lessThan">
      <formula>0.5</formula>
    </cfRule>
  </conditionalFormatting>
  <conditionalFormatting sqref="AF50">
    <cfRule type="cellIs" dxfId="24690" priority="165581" stopIfTrue="1" operator="greaterThanOrEqual">
      <formula>0.5</formula>
    </cfRule>
  </conditionalFormatting>
  <conditionalFormatting sqref="AF51">
    <cfRule type="cellIs" dxfId="24689" priority="165582" stopIfTrue="1" operator="equal">
      <formula>-1</formula>
    </cfRule>
  </conditionalFormatting>
  <conditionalFormatting sqref="AF51">
    <cfRule type="cellIs" dxfId="24688" priority="165583" stopIfTrue="1" operator="lessThan">
      <formula>0.5</formula>
    </cfRule>
  </conditionalFormatting>
  <conditionalFormatting sqref="AF51">
    <cfRule type="cellIs" dxfId="24687" priority="165584" stopIfTrue="1" operator="greaterThanOrEqual">
      <formula>0.5</formula>
    </cfRule>
  </conditionalFormatting>
  <conditionalFormatting sqref="AF52">
    <cfRule type="cellIs" dxfId="24686" priority="165585" stopIfTrue="1" operator="equal">
      <formula>-1</formula>
    </cfRule>
  </conditionalFormatting>
  <conditionalFormatting sqref="AF52">
    <cfRule type="cellIs" dxfId="24685" priority="165586" stopIfTrue="1" operator="lessThan">
      <formula>0.5</formula>
    </cfRule>
  </conditionalFormatting>
  <conditionalFormatting sqref="AF52">
    <cfRule type="cellIs" dxfId="24684" priority="165587" stopIfTrue="1" operator="greaterThanOrEqual">
      <formula>0.5</formula>
    </cfRule>
  </conditionalFormatting>
  <conditionalFormatting sqref="AF53">
    <cfRule type="cellIs" dxfId="24683" priority="165588" stopIfTrue="1" operator="equal">
      <formula>-1</formula>
    </cfRule>
  </conditionalFormatting>
  <conditionalFormatting sqref="AF53">
    <cfRule type="cellIs" dxfId="24682" priority="165589" stopIfTrue="1" operator="lessThan">
      <formula>0.5</formula>
    </cfRule>
  </conditionalFormatting>
  <conditionalFormatting sqref="AF53">
    <cfRule type="cellIs" dxfId="24681" priority="165590" stopIfTrue="1" operator="greaterThanOrEqual">
      <formula>0.5</formula>
    </cfRule>
  </conditionalFormatting>
  <conditionalFormatting sqref="AF54">
    <cfRule type="cellIs" dxfId="24680" priority="165591" stopIfTrue="1" operator="equal">
      <formula>-1</formula>
    </cfRule>
  </conditionalFormatting>
  <conditionalFormatting sqref="AF54">
    <cfRule type="cellIs" dxfId="24679" priority="165592" stopIfTrue="1" operator="lessThan">
      <formula>0.5</formula>
    </cfRule>
  </conditionalFormatting>
  <conditionalFormatting sqref="AF54">
    <cfRule type="cellIs" dxfId="24678" priority="165593" stopIfTrue="1" operator="greaterThanOrEqual">
      <formula>0.5</formula>
    </cfRule>
  </conditionalFormatting>
  <conditionalFormatting sqref="AF55">
    <cfRule type="cellIs" dxfId="24677" priority="165594" stopIfTrue="1" operator="equal">
      <formula>-1</formula>
    </cfRule>
  </conditionalFormatting>
  <conditionalFormatting sqref="AF55">
    <cfRule type="cellIs" dxfId="24676" priority="165595" stopIfTrue="1" operator="lessThan">
      <formula>0.5</formula>
    </cfRule>
  </conditionalFormatting>
  <conditionalFormatting sqref="AF55">
    <cfRule type="cellIs" dxfId="24675" priority="165596" stopIfTrue="1" operator="greaterThanOrEqual">
      <formula>0.5</formula>
    </cfRule>
  </conditionalFormatting>
  <conditionalFormatting sqref="AF56">
    <cfRule type="cellIs" dxfId="24674" priority="165597" stopIfTrue="1" operator="equal">
      <formula>-1</formula>
    </cfRule>
  </conditionalFormatting>
  <conditionalFormatting sqref="AF56">
    <cfRule type="cellIs" dxfId="24673" priority="165598" stopIfTrue="1" operator="lessThan">
      <formula>0.5</formula>
    </cfRule>
  </conditionalFormatting>
  <conditionalFormatting sqref="AF56">
    <cfRule type="cellIs" dxfId="24672" priority="165599" stopIfTrue="1" operator="greaterThanOrEqual">
      <formula>0.5</formula>
    </cfRule>
  </conditionalFormatting>
  <conditionalFormatting sqref="AF57">
    <cfRule type="cellIs" dxfId="24671" priority="165600" stopIfTrue="1" operator="equal">
      <formula>-1</formula>
    </cfRule>
  </conditionalFormatting>
  <conditionalFormatting sqref="AF57">
    <cfRule type="cellIs" dxfId="24670" priority="165601" stopIfTrue="1" operator="lessThan">
      <formula>0.5</formula>
    </cfRule>
  </conditionalFormatting>
  <conditionalFormatting sqref="AF57">
    <cfRule type="cellIs" dxfId="24669" priority="165602" stopIfTrue="1" operator="greaterThanOrEqual">
      <formula>0.5</formula>
    </cfRule>
  </conditionalFormatting>
  <conditionalFormatting sqref="AF58">
    <cfRule type="cellIs" dxfId="24668" priority="165603" stopIfTrue="1" operator="equal">
      <formula>-1</formula>
    </cfRule>
  </conditionalFormatting>
  <conditionalFormatting sqref="AF58">
    <cfRule type="cellIs" dxfId="24667" priority="165604" stopIfTrue="1" operator="lessThan">
      <formula>0.5</formula>
    </cfRule>
  </conditionalFormatting>
  <conditionalFormatting sqref="AF58">
    <cfRule type="cellIs" dxfId="24666" priority="165605" stopIfTrue="1" operator="greaterThanOrEqual">
      <formula>0.5</formula>
    </cfRule>
  </conditionalFormatting>
  <conditionalFormatting sqref="AH39">
    <cfRule type="cellIs" dxfId="24665" priority="165606" stopIfTrue="1" operator="equal">
      <formula>-1</formula>
    </cfRule>
  </conditionalFormatting>
  <conditionalFormatting sqref="AH39">
    <cfRule type="cellIs" dxfId="24664" priority="165607" stopIfTrue="1" operator="lessThan">
      <formula>0.5</formula>
    </cfRule>
  </conditionalFormatting>
  <conditionalFormatting sqref="AH39">
    <cfRule type="cellIs" dxfId="24663" priority="165608" stopIfTrue="1" operator="greaterThanOrEqual">
      <formula>0.5</formula>
    </cfRule>
  </conditionalFormatting>
  <conditionalFormatting sqref="AH40">
    <cfRule type="cellIs" dxfId="24662" priority="165609" stopIfTrue="1" operator="equal">
      <formula>-1</formula>
    </cfRule>
  </conditionalFormatting>
  <conditionalFormatting sqref="AH40">
    <cfRule type="cellIs" dxfId="24661" priority="165610" stopIfTrue="1" operator="lessThan">
      <formula>0.5</formula>
    </cfRule>
  </conditionalFormatting>
  <conditionalFormatting sqref="AH40">
    <cfRule type="cellIs" dxfId="24660" priority="165611" stopIfTrue="1" operator="greaterThanOrEqual">
      <formula>0.5</formula>
    </cfRule>
  </conditionalFormatting>
  <conditionalFormatting sqref="AH41">
    <cfRule type="cellIs" dxfId="24659" priority="165612" stopIfTrue="1" operator="equal">
      <formula>-1</formula>
    </cfRule>
  </conditionalFormatting>
  <conditionalFormatting sqref="AH41">
    <cfRule type="cellIs" dxfId="24658" priority="165613" stopIfTrue="1" operator="lessThan">
      <formula>0.5</formula>
    </cfRule>
  </conditionalFormatting>
  <conditionalFormatting sqref="AH41">
    <cfRule type="cellIs" dxfId="24657" priority="165614" stopIfTrue="1" operator="greaterThanOrEqual">
      <formula>0.5</formula>
    </cfRule>
  </conditionalFormatting>
  <conditionalFormatting sqref="AH42">
    <cfRule type="cellIs" dxfId="24656" priority="165615" stopIfTrue="1" operator="equal">
      <formula>-1</formula>
    </cfRule>
  </conditionalFormatting>
  <conditionalFormatting sqref="AH42">
    <cfRule type="cellIs" dxfId="24655" priority="165616" stopIfTrue="1" operator="lessThan">
      <formula>0.5</formula>
    </cfRule>
  </conditionalFormatting>
  <conditionalFormatting sqref="AH42">
    <cfRule type="cellIs" dxfId="24654" priority="165617" stopIfTrue="1" operator="greaterThanOrEqual">
      <formula>0.5</formula>
    </cfRule>
  </conditionalFormatting>
  <conditionalFormatting sqref="AH43">
    <cfRule type="cellIs" dxfId="24653" priority="165618" stopIfTrue="1" operator="equal">
      <formula>-1</formula>
    </cfRule>
  </conditionalFormatting>
  <conditionalFormatting sqref="AH43">
    <cfRule type="cellIs" dxfId="24652" priority="165619" stopIfTrue="1" operator="lessThan">
      <formula>0.5</formula>
    </cfRule>
  </conditionalFormatting>
  <conditionalFormatting sqref="AH43">
    <cfRule type="cellIs" dxfId="24651" priority="165620" stopIfTrue="1" operator="greaterThanOrEqual">
      <formula>0.5</formula>
    </cfRule>
  </conditionalFormatting>
  <conditionalFormatting sqref="AH44">
    <cfRule type="cellIs" dxfId="24650" priority="165621" stopIfTrue="1" operator="equal">
      <formula>-1</formula>
    </cfRule>
  </conditionalFormatting>
  <conditionalFormatting sqref="AH44">
    <cfRule type="cellIs" dxfId="24649" priority="165622" stopIfTrue="1" operator="lessThan">
      <formula>0.5</formula>
    </cfRule>
  </conditionalFormatting>
  <conditionalFormatting sqref="AH44">
    <cfRule type="cellIs" dxfId="24648" priority="165623" stopIfTrue="1" operator="greaterThanOrEqual">
      <formula>0.5</formula>
    </cfRule>
  </conditionalFormatting>
  <conditionalFormatting sqref="AH45">
    <cfRule type="cellIs" dxfId="24647" priority="165624" stopIfTrue="1" operator="equal">
      <formula>-1</formula>
    </cfRule>
  </conditionalFormatting>
  <conditionalFormatting sqref="AH45">
    <cfRule type="cellIs" dxfId="24646" priority="165625" stopIfTrue="1" operator="lessThan">
      <formula>0.5</formula>
    </cfRule>
  </conditionalFormatting>
  <conditionalFormatting sqref="AH45">
    <cfRule type="cellIs" dxfId="24645" priority="165626" stopIfTrue="1" operator="greaterThanOrEqual">
      <formula>0.5</formula>
    </cfRule>
  </conditionalFormatting>
  <conditionalFormatting sqref="AH46">
    <cfRule type="cellIs" dxfId="24644" priority="165627" stopIfTrue="1" operator="equal">
      <formula>-1</formula>
    </cfRule>
  </conditionalFormatting>
  <conditionalFormatting sqref="AH46">
    <cfRule type="cellIs" dxfId="24643" priority="165628" stopIfTrue="1" operator="lessThan">
      <formula>0.5</formula>
    </cfRule>
  </conditionalFormatting>
  <conditionalFormatting sqref="AH46">
    <cfRule type="cellIs" dxfId="24642" priority="165629" stopIfTrue="1" operator="greaterThanOrEqual">
      <formula>0.5</formula>
    </cfRule>
  </conditionalFormatting>
  <conditionalFormatting sqref="AH47">
    <cfRule type="cellIs" dxfId="24641" priority="165630" stopIfTrue="1" operator="equal">
      <formula>-1</formula>
    </cfRule>
  </conditionalFormatting>
  <conditionalFormatting sqref="AH47">
    <cfRule type="cellIs" dxfId="24640" priority="165631" stopIfTrue="1" operator="lessThan">
      <formula>0.5</formula>
    </cfRule>
  </conditionalFormatting>
  <conditionalFormatting sqref="AH47">
    <cfRule type="cellIs" dxfId="24639" priority="165632" stopIfTrue="1" operator="greaterThanOrEqual">
      <formula>0.5</formula>
    </cfRule>
  </conditionalFormatting>
  <conditionalFormatting sqref="AH48">
    <cfRule type="cellIs" dxfId="24638" priority="165633" stopIfTrue="1" operator="equal">
      <formula>-1</formula>
    </cfRule>
  </conditionalFormatting>
  <conditionalFormatting sqref="AH48">
    <cfRule type="cellIs" dxfId="24637" priority="165634" stopIfTrue="1" operator="lessThan">
      <formula>0.5</formula>
    </cfRule>
  </conditionalFormatting>
  <conditionalFormatting sqref="AH48">
    <cfRule type="cellIs" dxfId="24636" priority="165635" stopIfTrue="1" operator="greaterThanOrEqual">
      <formula>0.5</formula>
    </cfRule>
  </conditionalFormatting>
  <conditionalFormatting sqref="AH49">
    <cfRule type="cellIs" dxfId="24635" priority="165636" stopIfTrue="1" operator="equal">
      <formula>-1</formula>
    </cfRule>
  </conditionalFormatting>
  <conditionalFormatting sqref="AH49">
    <cfRule type="cellIs" dxfId="24634" priority="165637" stopIfTrue="1" operator="lessThan">
      <formula>0.5</formula>
    </cfRule>
  </conditionalFormatting>
  <conditionalFormatting sqref="AH49">
    <cfRule type="cellIs" dxfId="24633" priority="165638" stopIfTrue="1" operator="greaterThanOrEqual">
      <formula>0.5</formula>
    </cfRule>
  </conditionalFormatting>
  <conditionalFormatting sqref="AH50">
    <cfRule type="cellIs" dxfId="24632" priority="165639" stopIfTrue="1" operator="equal">
      <formula>-1</formula>
    </cfRule>
  </conditionalFormatting>
  <conditionalFormatting sqref="AH50">
    <cfRule type="cellIs" dxfId="24631" priority="165640" stopIfTrue="1" operator="lessThan">
      <formula>0.5</formula>
    </cfRule>
  </conditionalFormatting>
  <conditionalFormatting sqref="AH50">
    <cfRule type="cellIs" dxfId="24630" priority="165641" stopIfTrue="1" operator="greaterThanOrEqual">
      <formula>0.5</formula>
    </cfRule>
  </conditionalFormatting>
  <conditionalFormatting sqref="AH51">
    <cfRule type="cellIs" dxfId="24629" priority="165642" stopIfTrue="1" operator="equal">
      <formula>-1</formula>
    </cfRule>
  </conditionalFormatting>
  <conditionalFormatting sqref="AH51">
    <cfRule type="cellIs" dxfId="24628" priority="165643" stopIfTrue="1" operator="lessThan">
      <formula>0.5</formula>
    </cfRule>
  </conditionalFormatting>
  <conditionalFormatting sqref="AH51">
    <cfRule type="cellIs" dxfId="24627" priority="165644" stopIfTrue="1" operator="greaterThanOrEqual">
      <formula>0.5</formula>
    </cfRule>
  </conditionalFormatting>
  <conditionalFormatting sqref="AH52">
    <cfRule type="cellIs" dxfId="24626" priority="165645" stopIfTrue="1" operator="equal">
      <formula>-1</formula>
    </cfRule>
  </conditionalFormatting>
  <conditionalFormatting sqref="AH52">
    <cfRule type="cellIs" dxfId="24625" priority="165646" stopIfTrue="1" operator="lessThan">
      <formula>0.5</formula>
    </cfRule>
  </conditionalFormatting>
  <conditionalFormatting sqref="AH52">
    <cfRule type="cellIs" dxfId="24624" priority="165647" stopIfTrue="1" operator="greaterThanOrEqual">
      <formula>0.5</formula>
    </cfRule>
  </conditionalFormatting>
  <conditionalFormatting sqref="AH53">
    <cfRule type="cellIs" dxfId="24623" priority="165648" stopIfTrue="1" operator="equal">
      <formula>-1</formula>
    </cfRule>
  </conditionalFormatting>
  <conditionalFormatting sqref="AH53">
    <cfRule type="cellIs" dxfId="24622" priority="165649" stopIfTrue="1" operator="lessThan">
      <formula>0.5</formula>
    </cfRule>
  </conditionalFormatting>
  <conditionalFormatting sqref="AH53">
    <cfRule type="cellIs" dxfId="24621" priority="165650" stopIfTrue="1" operator="greaterThanOrEqual">
      <formula>0.5</formula>
    </cfRule>
  </conditionalFormatting>
  <conditionalFormatting sqref="AH54">
    <cfRule type="cellIs" dxfId="24620" priority="165651" stopIfTrue="1" operator="equal">
      <formula>-1</formula>
    </cfRule>
  </conditionalFormatting>
  <conditionalFormatting sqref="AH54">
    <cfRule type="cellIs" dxfId="24619" priority="165652" stopIfTrue="1" operator="lessThan">
      <formula>0.5</formula>
    </cfRule>
  </conditionalFormatting>
  <conditionalFormatting sqref="AH54">
    <cfRule type="cellIs" dxfId="24618" priority="165653" stopIfTrue="1" operator="greaterThanOrEqual">
      <formula>0.5</formula>
    </cfRule>
  </conditionalFormatting>
  <conditionalFormatting sqref="AH55">
    <cfRule type="cellIs" dxfId="24617" priority="165654" stopIfTrue="1" operator="equal">
      <formula>-1</formula>
    </cfRule>
  </conditionalFormatting>
  <conditionalFormatting sqref="AH55">
    <cfRule type="cellIs" dxfId="24616" priority="165655" stopIfTrue="1" operator="lessThan">
      <formula>0.5</formula>
    </cfRule>
  </conditionalFormatting>
  <conditionalFormatting sqref="AH55">
    <cfRule type="cellIs" dxfId="24615" priority="165656" stopIfTrue="1" operator="greaterThanOrEqual">
      <formula>0.5</formula>
    </cfRule>
  </conditionalFormatting>
  <conditionalFormatting sqref="AH56">
    <cfRule type="cellIs" dxfId="24614" priority="165657" stopIfTrue="1" operator="equal">
      <formula>-1</formula>
    </cfRule>
  </conditionalFormatting>
  <conditionalFormatting sqref="AH56">
    <cfRule type="cellIs" dxfId="24613" priority="165658" stopIfTrue="1" operator="lessThan">
      <formula>0.5</formula>
    </cfRule>
  </conditionalFormatting>
  <conditionalFormatting sqref="AH56">
    <cfRule type="cellIs" dxfId="24612" priority="165659" stopIfTrue="1" operator="greaterThanOrEqual">
      <formula>0.5</formula>
    </cfRule>
  </conditionalFormatting>
  <conditionalFormatting sqref="AH57">
    <cfRule type="cellIs" dxfId="24611" priority="165660" stopIfTrue="1" operator="equal">
      <formula>-1</formula>
    </cfRule>
  </conditionalFormatting>
  <conditionalFormatting sqref="AH57">
    <cfRule type="cellIs" dxfId="24610" priority="165661" stopIfTrue="1" operator="lessThan">
      <formula>0.5</formula>
    </cfRule>
  </conditionalFormatting>
  <conditionalFormatting sqref="AH57">
    <cfRule type="cellIs" dxfId="24609" priority="165662" stopIfTrue="1" operator="greaterThanOrEqual">
      <formula>0.5</formula>
    </cfRule>
  </conditionalFormatting>
  <conditionalFormatting sqref="AH58">
    <cfRule type="cellIs" dxfId="24608" priority="165663" stopIfTrue="1" operator="equal">
      <formula>-1</formula>
    </cfRule>
  </conditionalFormatting>
  <conditionalFormatting sqref="AH58">
    <cfRule type="cellIs" dxfId="24607" priority="165664" stopIfTrue="1" operator="lessThan">
      <formula>0.5</formula>
    </cfRule>
  </conditionalFormatting>
  <conditionalFormatting sqref="AH58">
    <cfRule type="cellIs" dxfId="24606" priority="165665" stopIfTrue="1" operator="greaterThanOrEqual">
      <formula>0.5</formula>
    </cfRule>
  </conditionalFormatting>
  <conditionalFormatting sqref="AJ39">
    <cfRule type="cellIs" dxfId="24605" priority="165666" stopIfTrue="1" operator="equal">
      <formula>-1</formula>
    </cfRule>
  </conditionalFormatting>
  <conditionalFormatting sqref="AJ39">
    <cfRule type="cellIs" dxfId="24604" priority="165667" stopIfTrue="1" operator="lessThan">
      <formula>0.5</formula>
    </cfRule>
  </conditionalFormatting>
  <conditionalFormatting sqref="AJ39">
    <cfRule type="cellIs" dxfId="24603" priority="165668" stopIfTrue="1" operator="greaterThanOrEqual">
      <formula>0.5</formula>
    </cfRule>
  </conditionalFormatting>
  <conditionalFormatting sqref="AJ40">
    <cfRule type="cellIs" dxfId="24602" priority="165669" stopIfTrue="1" operator="equal">
      <formula>-1</formula>
    </cfRule>
  </conditionalFormatting>
  <conditionalFormatting sqref="AJ40">
    <cfRule type="cellIs" dxfId="24601" priority="165670" stopIfTrue="1" operator="lessThan">
      <formula>0.5</formula>
    </cfRule>
  </conditionalFormatting>
  <conditionalFormatting sqref="AJ40">
    <cfRule type="cellIs" dxfId="24600" priority="165671" stopIfTrue="1" operator="greaterThanOrEqual">
      <formula>0.5</formula>
    </cfRule>
  </conditionalFormatting>
  <conditionalFormatting sqref="AJ41">
    <cfRule type="cellIs" dxfId="24599" priority="165672" stopIfTrue="1" operator="equal">
      <formula>-1</formula>
    </cfRule>
  </conditionalFormatting>
  <conditionalFormatting sqref="AJ41">
    <cfRule type="cellIs" dxfId="24598" priority="165673" stopIfTrue="1" operator="lessThan">
      <formula>0.5</formula>
    </cfRule>
  </conditionalFormatting>
  <conditionalFormatting sqref="AJ41">
    <cfRule type="cellIs" dxfId="24597" priority="165674" stopIfTrue="1" operator="greaterThanOrEqual">
      <formula>0.5</formula>
    </cfRule>
  </conditionalFormatting>
  <conditionalFormatting sqref="AJ42">
    <cfRule type="cellIs" dxfId="24596" priority="165675" stopIfTrue="1" operator="equal">
      <formula>-1</formula>
    </cfRule>
  </conditionalFormatting>
  <conditionalFormatting sqref="AJ42">
    <cfRule type="cellIs" dxfId="24595" priority="165676" stopIfTrue="1" operator="lessThan">
      <formula>0.5</formula>
    </cfRule>
  </conditionalFormatting>
  <conditionalFormatting sqref="AJ42">
    <cfRule type="cellIs" dxfId="24594" priority="165677" stopIfTrue="1" operator="greaterThanOrEqual">
      <formula>0.5</formula>
    </cfRule>
  </conditionalFormatting>
  <conditionalFormatting sqref="AJ43">
    <cfRule type="cellIs" dxfId="24593" priority="165678" stopIfTrue="1" operator="equal">
      <formula>-1</formula>
    </cfRule>
  </conditionalFormatting>
  <conditionalFormatting sqref="AJ43">
    <cfRule type="cellIs" dxfId="24592" priority="165679" stopIfTrue="1" operator="lessThan">
      <formula>0.5</formula>
    </cfRule>
  </conditionalFormatting>
  <conditionalFormatting sqref="AJ43">
    <cfRule type="cellIs" dxfId="24591" priority="165680" stopIfTrue="1" operator="greaterThanOrEqual">
      <formula>0.5</formula>
    </cfRule>
  </conditionalFormatting>
  <conditionalFormatting sqref="AJ44">
    <cfRule type="cellIs" dxfId="24590" priority="165681" stopIfTrue="1" operator="equal">
      <formula>-1</formula>
    </cfRule>
  </conditionalFormatting>
  <conditionalFormatting sqref="AJ44">
    <cfRule type="cellIs" dxfId="24589" priority="165682" stopIfTrue="1" operator="lessThan">
      <formula>0.5</formula>
    </cfRule>
  </conditionalFormatting>
  <conditionalFormatting sqref="AJ44">
    <cfRule type="cellIs" dxfId="24588" priority="165683" stopIfTrue="1" operator="greaterThanOrEqual">
      <formula>0.5</formula>
    </cfRule>
  </conditionalFormatting>
  <conditionalFormatting sqref="AJ45">
    <cfRule type="cellIs" dxfId="24587" priority="165684" stopIfTrue="1" operator="equal">
      <formula>-1</formula>
    </cfRule>
  </conditionalFormatting>
  <conditionalFormatting sqref="AJ45">
    <cfRule type="cellIs" dxfId="24586" priority="165685" stopIfTrue="1" operator="lessThan">
      <formula>0.5</formula>
    </cfRule>
  </conditionalFormatting>
  <conditionalFormatting sqref="AJ45">
    <cfRule type="cellIs" dxfId="24585" priority="165686" stopIfTrue="1" operator="greaterThanOrEqual">
      <formula>0.5</formula>
    </cfRule>
  </conditionalFormatting>
  <conditionalFormatting sqref="AJ46">
    <cfRule type="cellIs" dxfId="24584" priority="165687" stopIfTrue="1" operator="equal">
      <formula>-1</formula>
    </cfRule>
  </conditionalFormatting>
  <conditionalFormatting sqref="AJ46">
    <cfRule type="cellIs" dxfId="24583" priority="165688" stopIfTrue="1" operator="lessThan">
      <formula>0.5</formula>
    </cfRule>
  </conditionalFormatting>
  <conditionalFormatting sqref="AJ46">
    <cfRule type="cellIs" dxfId="24582" priority="165689" stopIfTrue="1" operator="greaterThanOrEqual">
      <formula>0.5</formula>
    </cfRule>
  </conditionalFormatting>
  <conditionalFormatting sqref="AJ47">
    <cfRule type="cellIs" dxfId="24581" priority="165690" stopIfTrue="1" operator="equal">
      <formula>-1</formula>
    </cfRule>
  </conditionalFormatting>
  <conditionalFormatting sqref="AJ47">
    <cfRule type="cellIs" dxfId="24580" priority="165691" stopIfTrue="1" operator="lessThan">
      <formula>0.5</formula>
    </cfRule>
  </conditionalFormatting>
  <conditionalFormatting sqref="AJ47">
    <cfRule type="cellIs" dxfId="24579" priority="165692" stopIfTrue="1" operator="greaterThanOrEqual">
      <formula>0.5</formula>
    </cfRule>
  </conditionalFormatting>
  <conditionalFormatting sqref="AJ48">
    <cfRule type="cellIs" dxfId="24578" priority="165693" stopIfTrue="1" operator="equal">
      <formula>-1</formula>
    </cfRule>
  </conditionalFormatting>
  <conditionalFormatting sqref="AJ48">
    <cfRule type="cellIs" dxfId="24577" priority="165694" stopIfTrue="1" operator="lessThan">
      <formula>0.5</formula>
    </cfRule>
  </conditionalFormatting>
  <conditionalFormatting sqref="AJ48">
    <cfRule type="cellIs" dxfId="24576" priority="165695" stopIfTrue="1" operator="greaterThanOrEqual">
      <formula>0.5</formula>
    </cfRule>
  </conditionalFormatting>
  <conditionalFormatting sqref="AJ49">
    <cfRule type="cellIs" dxfId="24575" priority="165696" stopIfTrue="1" operator="equal">
      <formula>-1</formula>
    </cfRule>
  </conditionalFormatting>
  <conditionalFormatting sqref="AJ49">
    <cfRule type="cellIs" dxfId="24574" priority="165697" stopIfTrue="1" operator="lessThan">
      <formula>0.5</formula>
    </cfRule>
  </conditionalFormatting>
  <conditionalFormatting sqref="AJ49">
    <cfRule type="cellIs" dxfId="24573" priority="165698" stopIfTrue="1" operator="greaterThanOrEqual">
      <formula>0.5</formula>
    </cfRule>
  </conditionalFormatting>
  <conditionalFormatting sqref="AJ50">
    <cfRule type="cellIs" dxfId="24572" priority="165699" stopIfTrue="1" operator="equal">
      <formula>-1</formula>
    </cfRule>
  </conditionalFormatting>
  <conditionalFormatting sqref="AJ50">
    <cfRule type="cellIs" dxfId="24571" priority="165700" stopIfTrue="1" operator="lessThan">
      <formula>0.5</formula>
    </cfRule>
  </conditionalFormatting>
  <conditionalFormatting sqref="AJ50">
    <cfRule type="cellIs" dxfId="24570" priority="165701" stopIfTrue="1" operator="greaterThanOrEqual">
      <formula>0.5</formula>
    </cfRule>
  </conditionalFormatting>
  <conditionalFormatting sqref="AJ51">
    <cfRule type="cellIs" dxfId="24569" priority="165702" stopIfTrue="1" operator="equal">
      <formula>-1</formula>
    </cfRule>
  </conditionalFormatting>
  <conditionalFormatting sqref="AJ51">
    <cfRule type="cellIs" dxfId="24568" priority="165703" stopIfTrue="1" operator="lessThan">
      <formula>0.5</formula>
    </cfRule>
  </conditionalFormatting>
  <conditionalFormatting sqref="AJ51">
    <cfRule type="cellIs" dxfId="24567" priority="165704" stopIfTrue="1" operator="greaterThanOrEqual">
      <formula>0.5</formula>
    </cfRule>
  </conditionalFormatting>
  <conditionalFormatting sqref="AJ52">
    <cfRule type="cellIs" dxfId="24566" priority="165705" stopIfTrue="1" operator="equal">
      <formula>-1</formula>
    </cfRule>
  </conditionalFormatting>
  <conditionalFormatting sqref="AJ52">
    <cfRule type="cellIs" dxfId="24565" priority="165706" stopIfTrue="1" operator="lessThan">
      <formula>0.5</formula>
    </cfRule>
  </conditionalFormatting>
  <conditionalFormatting sqref="AJ52">
    <cfRule type="cellIs" dxfId="24564" priority="165707" stopIfTrue="1" operator="greaterThanOrEqual">
      <formula>0.5</formula>
    </cfRule>
  </conditionalFormatting>
  <conditionalFormatting sqref="AJ53">
    <cfRule type="cellIs" dxfId="24563" priority="165708" stopIfTrue="1" operator="equal">
      <formula>-1</formula>
    </cfRule>
  </conditionalFormatting>
  <conditionalFormatting sqref="AJ53">
    <cfRule type="cellIs" dxfId="24562" priority="165709" stopIfTrue="1" operator="lessThan">
      <formula>0.5</formula>
    </cfRule>
  </conditionalFormatting>
  <conditionalFormatting sqref="AJ53">
    <cfRule type="cellIs" dxfId="24561" priority="165710" stopIfTrue="1" operator="greaterThanOrEqual">
      <formula>0.5</formula>
    </cfRule>
  </conditionalFormatting>
  <conditionalFormatting sqref="AJ54">
    <cfRule type="cellIs" dxfId="24560" priority="165711" stopIfTrue="1" operator="equal">
      <formula>-1</formula>
    </cfRule>
  </conditionalFormatting>
  <conditionalFormatting sqref="AJ54">
    <cfRule type="cellIs" dxfId="24559" priority="165712" stopIfTrue="1" operator="lessThan">
      <formula>0.5</formula>
    </cfRule>
  </conditionalFormatting>
  <conditionalFormatting sqref="AJ54">
    <cfRule type="cellIs" dxfId="24558" priority="165713" stopIfTrue="1" operator="greaterThanOrEqual">
      <formula>0.5</formula>
    </cfRule>
  </conditionalFormatting>
  <conditionalFormatting sqref="AJ55">
    <cfRule type="cellIs" dxfId="24557" priority="165714" stopIfTrue="1" operator="equal">
      <formula>-1</formula>
    </cfRule>
  </conditionalFormatting>
  <conditionalFormatting sqref="AJ55">
    <cfRule type="cellIs" dxfId="24556" priority="165715" stopIfTrue="1" operator="lessThan">
      <formula>0.5</formula>
    </cfRule>
  </conditionalFormatting>
  <conditionalFormatting sqref="AJ55">
    <cfRule type="cellIs" dxfId="24555" priority="165716" stopIfTrue="1" operator="greaterThanOrEqual">
      <formula>0.5</formula>
    </cfRule>
  </conditionalFormatting>
  <conditionalFormatting sqref="AJ56">
    <cfRule type="cellIs" dxfId="24554" priority="165717" stopIfTrue="1" operator="equal">
      <formula>-1</formula>
    </cfRule>
  </conditionalFormatting>
  <conditionalFormatting sqref="AJ56">
    <cfRule type="cellIs" dxfId="24553" priority="165718" stopIfTrue="1" operator="lessThan">
      <formula>0.5</formula>
    </cfRule>
  </conditionalFormatting>
  <conditionalFormatting sqref="AJ56">
    <cfRule type="cellIs" dxfId="24552" priority="165719" stopIfTrue="1" operator="greaterThanOrEqual">
      <formula>0.5</formula>
    </cfRule>
  </conditionalFormatting>
  <conditionalFormatting sqref="AJ57">
    <cfRule type="cellIs" dxfId="24551" priority="165720" stopIfTrue="1" operator="equal">
      <formula>-1</formula>
    </cfRule>
  </conditionalFormatting>
  <conditionalFormatting sqref="AJ57">
    <cfRule type="cellIs" dxfId="24550" priority="165721" stopIfTrue="1" operator="lessThan">
      <formula>0.5</formula>
    </cfRule>
  </conditionalFormatting>
  <conditionalFormatting sqref="AJ57">
    <cfRule type="cellIs" dxfId="24549" priority="165722" stopIfTrue="1" operator="greaterThanOrEqual">
      <formula>0.5</formula>
    </cfRule>
  </conditionalFormatting>
  <conditionalFormatting sqref="AJ58">
    <cfRule type="cellIs" dxfId="24548" priority="165723" stopIfTrue="1" operator="equal">
      <formula>-1</formula>
    </cfRule>
  </conditionalFormatting>
  <conditionalFormatting sqref="AJ58">
    <cfRule type="cellIs" dxfId="24547" priority="165724" stopIfTrue="1" operator="lessThan">
      <formula>0.5</formula>
    </cfRule>
  </conditionalFormatting>
  <conditionalFormatting sqref="AJ58">
    <cfRule type="cellIs" dxfId="24546" priority="165725" stopIfTrue="1" operator="greaterThanOrEqual">
      <formula>0.5</formula>
    </cfRule>
  </conditionalFormatting>
  <conditionalFormatting sqref="AL39">
    <cfRule type="cellIs" dxfId="24545" priority="165726" stopIfTrue="1" operator="equal">
      <formula>-1</formula>
    </cfRule>
  </conditionalFormatting>
  <conditionalFormatting sqref="AL39">
    <cfRule type="cellIs" dxfId="24544" priority="165727" stopIfTrue="1" operator="lessThan">
      <formula>0.5</formula>
    </cfRule>
  </conditionalFormatting>
  <conditionalFormatting sqref="AL39">
    <cfRule type="cellIs" dxfId="24543" priority="165728" stopIfTrue="1" operator="greaterThanOrEqual">
      <formula>0.5</formula>
    </cfRule>
  </conditionalFormatting>
  <conditionalFormatting sqref="AL40">
    <cfRule type="cellIs" dxfId="24542" priority="165729" stopIfTrue="1" operator="equal">
      <formula>-1</formula>
    </cfRule>
  </conditionalFormatting>
  <conditionalFormatting sqref="AL40">
    <cfRule type="cellIs" dxfId="24541" priority="165730" stopIfTrue="1" operator="lessThan">
      <formula>0.5</formula>
    </cfRule>
  </conditionalFormatting>
  <conditionalFormatting sqref="AL40">
    <cfRule type="cellIs" dxfId="24540" priority="165731" stopIfTrue="1" operator="greaterThanOrEqual">
      <formula>0.5</formula>
    </cfRule>
  </conditionalFormatting>
  <conditionalFormatting sqref="AL41">
    <cfRule type="cellIs" dxfId="24539" priority="165732" stopIfTrue="1" operator="equal">
      <formula>-1</formula>
    </cfRule>
  </conditionalFormatting>
  <conditionalFormatting sqref="AL41">
    <cfRule type="cellIs" dxfId="24538" priority="165733" stopIfTrue="1" operator="lessThan">
      <formula>0.5</formula>
    </cfRule>
  </conditionalFormatting>
  <conditionalFormatting sqref="AL41">
    <cfRule type="cellIs" dxfId="24537" priority="165734" stopIfTrue="1" operator="greaterThanOrEqual">
      <formula>0.5</formula>
    </cfRule>
  </conditionalFormatting>
  <conditionalFormatting sqref="AL42">
    <cfRule type="cellIs" dxfId="24536" priority="165735" stopIfTrue="1" operator="equal">
      <formula>-1</formula>
    </cfRule>
  </conditionalFormatting>
  <conditionalFormatting sqref="AL42">
    <cfRule type="cellIs" dxfId="24535" priority="165736" stopIfTrue="1" operator="lessThan">
      <formula>0.5</formula>
    </cfRule>
  </conditionalFormatting>
  <conditionalFormatting sqref="AL42">
    <cfRule type="cellIs" dxfId="24534" priority="165737" stopIfTrue="1" operator="greaterThanOrEqual">
      <formula>0.5</formula>
    </cfRule>
  </conditionalFormatting>
  <conditionalFormatting sqref="AL43">
    <cfRule type="cellIs" dxfId="24533" priority="165738" stopIfTrue="1" operator="equal">
      <formula>-1</formula>
    </cfRule>
  </conditionalFormatting>
  <conditionalFormatting sqref="AL43">
    <cfRule type="cellIs" dxfId="24532" priority="165739" stopIfTrue="1" operator="lessThan">
      <formula>0.5</formula>
    </cfRule>
  </conditionalFormatting>
  <conditionalFormatting sqref="AL43">
    <cfRule type="cellIs" dxfId="24531" priority="165740" stopIfTrue="1" operator="greaterThanOrEqual">
      <formula>0.5</formula>
    </cfRule>
  </conditionalFormatting>
  <conditionalFormatting sqref="AL44">
    <cfRule type="cellIs" dxfId="24530" priority="165741" stopIfTrue="1" operator="equal">
      <formula>-1</formula>
    </cfRule>
  </conditionalFormatting>
  <conditionalFormatting sqref="AL44">
    <cfRule type="cellIs" dxfId="24529" priority="165742" stopIfTrue="1" operator="lessThan">
      <formula>0.5</formula>
    </cfRule>
  </conditionalFormatting>
  <conditionalFormatting sqref="AL44">
    <cfRule type="cellIs" dxfId="24528" priority="165743" stopIfTrue="1" operator="greaterThanOrEqual">
      <formula>0.5</formula>
    </cfRule>
  </conditionalFormatting>
  <conditionalFormatting sqref="AL45">
    <cfRule type="cellIs" dxfId="24527" priority="165744" stopIfTrue="1" operator="equal">
      <formula>-1</formula>
    </cfRule>
  </conditionalFormatting>
  <conditionalFormatting sqref="AL45">
    <cfRule type="cellIs" dxfId="24526" priority="165745" stopIfTrue="1" operator="lessThan">
      <formula>0.5</formula>
    </cfRule>
  </conditionalFormatting>
  <conditionalFormatting sqref="AL45">
    <cfRule type="cellIs" dxfId="24525" priority="165746" stopIfTrue="1" operator="greaterThanOrEqual">
      <formula>0.5</formula>
    </cfRule>
  </conditionalFormatting>
  <conditionalFormatting sqref="AL46">
    <cfRule type="cellIs" dxfId="24524" priority="165747" stopIfTrue="1" operator="equal">
      <formula>-1</formula>
    </cfRule>
  </conditionalFormatting>
  <conditionalFormatting sqref="AL46">
    <cfRule type="cellIs" dxfId="24523" priority="165748" stopIfTrue="1" operator="lessThan">
      <formula>0.5</formula>
    </cfRule>
  </conditionalFormatting>
  <conditionalFormatting sqref="AL46">
    <cfRule type="cellIs" dxfId="24522" priority="165749" stopIfTrue="1" operator="greaterThanOrEqual">
      <formula>0.5</formula>
    </cfRule>
  </conditionalFormatting>
  <conditionalFormatting sqref="AL47">
    <cfRule type="cellIs" dxfId="24521" priority="165750" stopIfTrue="1" operator="equal">
      <formula>-1</formula>
    </cfRule>
  </conditionalFormatting>
  <conditionalFormatting sqref="AL47">
    <cfRule type="cellIs" dxfId="24520" priority="165751" stopIfTrue="1" operator="lessThan">
      <formula>0.5</formula>
    </cfRule>
  </conditionalFormatting>
  <conditionalFormatting sqref="AL47">
    <cfRule type="cellIs" dxfId="24519" priority="165752" stopIfTrue="1" operator="greaterThanOrEqual">
      <formula>0.5</formula>
    </cfRule>
  </conditionalFormatting>
  <conditionalFormatting sqref="AL48">
    <cfRule type="cellIs" dxfId="24518" priority="165753" stopIfTrue="1" operator="equal">
      <formula>-1</formula>
    </cfRule>
  </conditionalFormatting>
  <conditionalFormatting sqref="AL48">
    <cfRule type="cellIs" dxfId="24517" priority="165754" stopIfTrue="1" operator="lessThan">
      <formula>0.5</formula>
    </cfRule>
  </conditionalFormatting>
  <conditionalFormatting sqref="AL48">
    <cfRule type="cellIs" dxfId="24516" priority="165755" stopIfTrue="1" operator="greaterThanOrEqual">
      <formula>0.5</formula>
    </cfRule>
  </conditionalFormatting>
  <conditionalFormatting sqref="AL49">
    <cfRule type="cellIs" dxfId="24515" priority="165756" stopIfTrue="1" operator="equal">
      <formula>-1</formula>
    </cfRule>
  </conditionalFormatting>
  <conditionalFormatting sqref="AL49">
    <cfRule type="cellIs" dxfId="24514" priority="165757" stopIfTrue="1" operator="lessThan">
      <formula>0.5</formula>
    </cfRule>
  </conditionalFormatting>
  <conditionalFormatting sqref="AL49">
    <cfRule type="cellIs" dxfId="24513" priority="165758" stopIfTrue="1" operator="greaterThanOrEqual">
      <formula>0.5</formula>
    </cfRule>
  </conditionalFormatting>
  <conditionalFormatting sqref="AL50">
    <cfRule type="cellIs" dxfId="24512" priority="165759" stopIfTrue="1" operator="equal">
      <formula>-1</formula>
    </cfRule>
  </conditionalFormatting>
  <conditionalFormatting sqref="AL50">
    <cfRule type="cellIs" dxfId="24511" priority="165760" stopIfTrue="1" operator="lessThan">
      <formula>0.5</formula>
    </cfRule>
  </conditionalFormatting>
  <conditionalFormatting sqref="AL50">
    <cfRule type="cellIs" dxfId="24510" priority="165761" stopIfTrue="1" operator="greaterThanOrEqual">
      <formula>0.5</formula>
    </cfRule>
  </conditionalFormatting>
  <conditionalFormatting sqref="AL51">
    <cfRule type="cellIs" dxfId="24509" priority="165762" stopIfTrue="1" operator="equal">
      <formula>-1</formula>
    </cfRule>
  </conditionalFormatting>
  <conditionalFormatting sqref="AL51">
    <cfRule type="cellIs" dxfId="24508" priority="165763" stopIfTrue="1" operator="lessThan">
      <formula>0.5</formula>
    </cfRule>
  </conditionalFormatting>
  <conditionalFormatting sqref="AL51">
    <cfRule type="cellIs" dxfId="24507" priority="165764" stopIfTrue="1" operator="greaterThanOrEqual">
      <formula>0.5</formula>
    </cfRule>
  </conditionalFormatting>
  <conditionalFormatting sqref="AL52">
    <cfRule type="cellIs" dxfId="24506" priority="165765" stopIfTrue="1" operator="equal">
      <formula>-1</formula>
    </cfRule>
  </conditionalFormatting>
  <conditionalFormatting sqref="AL52">
    <cfRule type="cellIs" dxfId="24505" priority="165766" stopIfTrue="1" operator="lessThan">
      <formula>0.5</formula>
    </cfRule>
  </conditionalFormatting>
  <conditionalFormatting sqref="AL52">
    <cfRule type="cellIs" dxfId="24504" priority="165767" stopIfTrue="1" operator="greaterThanOrEqual">
      <formula>0.5</formula>
    </cfRule>
  </conditionalFormatting>
  <conditionalFormatting sqref="AL53">
    <cfRule type="cellIs" dxfId="24503" priority="165768" stopIfTrue="1" operator="equal">
      <formula>-1</formula>
    </cfRule>
  </conditionalFormatting>
  <conditionalFormatting sqref="AL53">
    <cfRule type="cellIs" dxfId="24502" priority="165769" stopIfTrue="1" operator="lessThan">
      <formula>0.5</formula>
    </cfRule>
  </conditionalFormatting>
  <conditionalFormatting sqref="AL53">
    <cfRule type="cellIs" dxfId="24501" priority="165770" stopIfTrue="1" operator="greaterThanOrEqual">
      <formula>0.5</formula>
    </cfRule>
  </conditionalFormatting>
  <conditionalFormatting sqref="AL54">
    <cfRule type="cellIs" dxfId="24500" priority="165771" stopIfTrue="1" operator="equal">
      <formula>-1</formula>
    </cfRule>
  </conditionalFormatting>
  <conditionalFormatting sqref="AL54">
    <cfRule type="cellIs" dxfId="24499" priority="165772" stopIfTrue="1" operator="lessThan">
      <formula>0.5</formula>
    </cfRule>
  </conditionalFormatting>
  <conditionalFormatting sqref="AL54">
    <cfRule type="cellIs" dxfId="24498" priority="165773" stopIfTrue="1" operator="greaterThanOrEqual">
      <formula>0.5</formula>
    </cfRule>
  </conditionalFormatting>
  <conditionalFormatting sqref="AL55">
    <cfRule type="cellIs" dxfId="24497" priority="165774" stopIfTrue="1" operator="equal">
      <formula>-1</formula>
    </cfRule>
  </conditionalFormatting>
  <conditionalFormatting sqref="AL55">
    <cfRule type="cellIs" dxfId="24496" priority="165775" stopIfTrue="1" operator="lessThan">
      <formula>0.5</formula>
    </cfRule>
  </conditionalFormatting>
  <conditionalFormatting sqref="AL55">
    <cfRule type="cellIs" dxfId="24495" priority="165776" stopIfTrue="1" operator="greaterThanOrEqual">
      <formula>0.5</formula>
    </cfRule>
  </conditionalFormatting>
  <conditionalFormatting sqref="AL56">
    <cfRule type="cellIs" dxfId="24494" priority="165777" stopIfTrue="1" operator="equal">
      <formula>-1</formula>
    </cfRule>
  </conditionalFormatting>
  <conditionalFormatting sqref="AL56">
    <cfRule type="cellIs" dxfId="24493" priority="165778" stopIfTrue="1" operator="lessThan">
      <formula>0.5</formula>
    </cfRule>
  </conditionalFormatting>
  <conditionalFormatting sqref="AL56">
    <cfRule type="cellIs" dxfId="24492" priority="165779" stopIfTrue="1" operator="greaterThanOrEqual">
      <formula>0.5</formula>
    </cfRule>
  </conditionalFormatting>
  <conditionalFormatting sqref="AL57">
    <cfRule type="cellIs" dxfId="24491" priority="165780" stopIfTrue="1" operator="equal">
      <formula>-1</formula>
    </cfRule>
  </conditionalFormatting>
  <conditionalFormatting sqref="AL57">
    <cfRule type="cellIs" dxfId="24490" priority="165781" stopIfTrue="1" operator="lessThan">
      <formula>0.5</formula>
    </cfRule>
  </conditionalFormatting>
  <conditionalFormatting sqref="AL57">
    <cfRule type="cellIs" dxfId="24489" priority="165782" stopIfTrue="1" operator="greaterThanOrEqual">
      <formula>0.5</formula>
    </cfRule>
  </conditionalFormatting>
  <conditionalFormatting sqref="AL58">
    <cfRule type="cellIs" dxfId="24488" priority="165783" stopIfTrue="1" operator="equal">
      <formula>-1</formula>
    </cfRule>
  </conditionalFormatting>
  <conditionalFormatting sqref="AL58">
    <cfRule type="cellIs" dxfId="24487" priority="165784" stopIfTrue="1" operator="lessThan">
      <formula>0.5</formula>
    </cfRule>
  </conditionalFormatting>
  <conditionalFormatting sqref="AL58">
    <cfRule type="cellIs" dxfId="24486" priority="165785" stopIfTrue="1" operator="greaterThanOrEqual">
      <formula>0.5</formula>
    </cfRule>
  </conditionalFormatting>
  <conditionalFormatting sqref="AN39">
    <cfRule type="cellIs" dxfId="24485" priority="165786" stopIfTrue="1" operator="equal">
      <formula>-1</formula>
    </cfRule>
  </conditionalFormatting>
  <conditionalFormatting sqref="AN39">
    <cfRule type="cellIs" dxfId="24484" priority="165787" stopIfTrue="1" operator="lessThan">
      <formula>0.5</formula>
    </cfRule>
  </conditionalFormatting>
  <conditionalFormatting sqref="AN39">
    <cfRule type="cellIs" dxfId="24483" priority="165788" stopIfTrue="1" operator="greaterThanOrEqual">
      <formula>0.5</formula>
    </cfRule>
  </conditionalFormatting>
  <conditionalFormatting sqref="AN40">
    <cfRule type="cellIs" dxfId="24482" priority="165789" stopIfTrue="1" operator="equal">
      <formula>-1</formula>
    </cfRule>
  </conditionalFormatting>
  <conditionalFormatting sqref="AN40">
    <cfRule type="cellIs" dxfId="24481" priority="165790" stopIfTrue="1" operator="lessThan">
      <formula>0.5</formula>
    </cfRule>
  </conditionalFormatting>
  <conditionalFormatting sqref="AN40">
    <cfRule type="cellIs" dxfId="24480" priority="165791" stopIfTrue="1" operator="greaterThanOrEqual">
      <formula>0.5</formula>
    </cfRule>
  </conditionalFormatting>
  <conditionalFormatting sqref="AN41">
    <cfRule type="cellIs" dxfId="24479" priority="165792" stopIfTrue="1" operator="equal">
      <formula>-1</formula>
    </cfRule>
  </conditionalFormatting>
  <conditionalFormatting sqref="AN41">
    <cfRule type="cellIs" dxfId="24478" priority="165793" stopIfTrue="1" operator="lessThan">
      <formula>0.5</formula>
    </cfRule>
  </conditionalFormatting>
  <conditionalFormatting sqref="AN41">
    <cfRule type="cellIs" dxfId="24477" priority="165794" stopIfTrue="1" operator="greaterThanOrEqual">
      <formula>0.5</formula>
    </cfRule>
  </conditionalFormatting>
  <conditionalFormatting sqref="AN42">
    <cfRule type="cellIs" dxfId="24476" priority="165795" stopIfTrue="1" operator="equal">
      <formula>-1</formula>
    </cfRule>
  </conditionalFormatting>
  <conditionalFormatting sqref="AN42">
    <cfRule type="cellIs" dxfId="24475" priority="165796" stopIfTrue="1" operator="lessThan">
      <formula>0.5</formula>
    </cfRule>
  </conditionalFormatting>
  <conditionalFormatting sqref="AN42">
    <cfRule type="cellIs" dxfId="24474" priority="165797" stopIfTrue="1" operator="greaterThanOrEqual">
      <formula>0.5</formula>
    </cfRule>
  </conditionalFormatting>
  <conditionalFormatting sqref="AN43">
    <cfRule type="cellIs" dxfId="24473" priority="165798" stopIfTrue="1" operator="equal">
      <formula>-1</formula>
    </cfRule>
  </conditionalFormatting>
  <conditionalFormatting sqref="AN43">
    <cfRule type="cellIs" dxfId="24472" priority="165799" stopIfTrue="1" operator="lessThan">
      <formula>0.5</formula>
    </cfRule>
  </conditionalFormatting>
  <conditionalFormatting sqref="AN43">
    <cfRule type="cellIs" dxfId="24471" priority="165800" stopIfTrue="1" operator="greaterThanOrEqual">
      <formula>0.5</formula>
    </cfRule>
  </conditionalFormatting>
  <conditionalFormatting sqref="AN44">
    <cfRule type="cellIs" dxfId="24470" priority="165801" stopIfTrue="1" operator="equal">
      <formula>-1</formula>
    </cfRule>
  </conditionalFormatting>
  <conditionalFormatting sqref="AN44">
    <cfRule type="cellIs" dxfId="24469" priority="165802" stopIfTrue="1" operator="lessThan">
      <formula>0.5</formula>
    </cfRule>
  </conditionalFormatting>
  <conditionalFormatting sqref="AN44">
    <cfRule type="cellIs" dxfId="24468" priority="165803" stopIfTrue="1" operator="greaterThanOrEqual">
      <formula>0.5</formula>
    </cfRule>
  </conditionalFormatting>
  <conditionalFormatting sqref="AN45">
    <cfRule type="cellIs" dxfId="24467" priority="165804" stopIfTrue="1" operator="equal">
      <formula>-1</formula>
    </cfRule>
  </conditionalFormatting>
  <conditionalFormatting sqref="AN45">
    <cfRule type="cellIs" dxfId="24466" priority="165805" stopIfTrue="1" operator="lessThan">
      <formula>0.5</formula>
    </cfRule>
  </conditionalFormatting>
  <conditionalFormatting sqref="AN45">
    <cfRule type="cellIs" dxfId="24465" priority="165806" stopIfTrue="1" operator="greaterThanOrEqual">
      <formula>0.5</formula>
    </cfRule>
  </conditionalFormatting>
  <conditionalFormatting sqref="AN46">
    <cfRule type="cellIs" dxfId="24464" priority="165807" stopIfTrue="1" operator="equal">
      <formula>-1</formula>
    </cfRule>
  </conditionalFormatting>
  <conditionalFormatting sqref="AN46">
    <cfRule type="cellIs" dxfId="24463" priority="165808" stopIfTrue="1" operator="lessThan">
      <formula>0.5</formula>
    </cfRule>
  </conditionalFormatting>
  <conditionalFormatting sqref="AN46">
    <cfRule type="cellIs" dxfId="24462" priority="165809" stopIfTrue="1" operator="greaterThanOrEqual">
      <formula>0.5</formula>
    </cfRule>
  </conditionalFormatting>
  <conditionalFormatting sqref="AN47">
    <cfRule type="cellIs" dxfId="24461" priority="165810" stopIfTrue="1" operator="equal">
      <formula>-1</formula>
    </cfRule>
  </conditionalFormatting>
  <conditionalFormatting sqref="AN47">
    <cfRule type="cellIs" dxfId="24460" priority="165811" stopIfTrue="1" operator="lessThan">
      <formula>0.5</formula>
    </cfRule>
  </conditionalFormatting>
  <conditionalFormatting sqref="AN47">
    <cfRule type="cellIs" dxfId="24459" priority="165812" stopIfTrue="1" operator="greaterThanOrEqual">
      <formula>0.5</formula>
    </cfRule>
  </conditionalFormatting>
  <conditionalFormatting sqref="AN48">
    <cfRule type="cellIs" dxfId="24458" priority="165813" stopIfTrue="1" operator="equal">
      <formula>-1</formula>
    </cfRule>
  </conditionalFormatting>
  <conditionalFormatting sqref="AN48">
    <cfRule type="cellIs" dxfId="24457" priority="165814" stopIfTrue="1" operator="lessThan">
      <formula>0.5</formula>
    </cfRule>
  </conditionalFormatting>
  <conditionalFormatting sqref="AN48">
    <cfRule type="cellIs" dxfId="24456" priority="165815" stopIfTrue="1" operator="greaterThanOrEqual">
      <formula>0.5</formula>
    </cfRule>
  </conditionalFormatting>
  <conditionalFormatting sqref="AN49">
    <cfRule type="cellIs" dxfId="24455" priority="165816" stopIfTrue="1" operator="equal">
      <formula>-1</formula>
    </cfRule>
  </conditionalFormatting>
  <conditionalFormatting sqref="AN49">
    <cfRule type="cellIs" dxfId="24454" priority="165817" stopIfTrue="1" operator="lessThan">
      <formula>0.5</formula>
    </cfRule>
  </conditionalFormatting>
  <conditionalFormatting sqref="AN49">
    <cfRule type="cellIs" dxfId="24453" priority="165818" stopIfTrue="1" operator="greaterThanOrEqual">
      <formula>0.5</formula>
    </cfRule>
  </conditionalFormatting>
  <conditionalFormatting sqref="AN50">
    <cfRule type="cellIs" dxfId="24452" priority="165819" stopIfTrue="1" operator="equal">
      <formula>-1</formula>
    </cfRule>
  </conditionalFormatting>
  <conditionalFormatting sqref="AN50">
    <cfRule type="cellIs" dxfId="24451" priority="165820" stopIfTrue="1" operator="lessThan">
      <formula>0.5</formula>
    </cfRule>
  </conditionalFormatting>
  <conditionalFormatting sqref="AN50">
    <cfRule type="cellIs" dxfId="24450" priority="165821" stopIfTrue="1" operator="greaterThanOrEqual">
      <formula>0.5</formula>
    </cfRule>
  </conditionalFormatting>
  <conditionalFormatting sqref="AN51">
    <cfRule type="cellIs" dxfId="24449" priority="165822" stopIfTrue="1" operator="equal">
      <formula>-1</formula>
    </cfRule>
  </conditionalFormatting>
  <conditionalFormatting sqref="AN51">
    <cfRule type="cellIs" dxfId="24448" priority="165823" stopIfTrue="1" operator="lessThan">
      <formula>0.5</formula>
    </cfRule>
  </conditionalFormatting>
  <conditionalFormatting sqref="AN51">
    <cfRule type="cellIs" dxfId="24447" priority="165824" stopIfTrue="1" operator="greaterThanOrEqual">
      <formula>0.5</formula>
    </cfRule>
  </conditionalFormatting>
  <conditionalFormatting sqref="AN52">
    <cfRule type="cellIs" dxfId="24446" priority="165825" stopIfTrue="1" operator="equal">
      <formula>-1</formula>
    </cfRule>
  </conditionalFormatting>
  <conditionalFormatting sqref="AN52">
    <cfRule type="cellIs" dxfId="24445" priority="165826" stopIfTrue="1" operator="lessThan">
      <formula>0.5</formula>
    </cfRule>
  </conditionalFormatting>
  <conditionalFormatting sqref="AN52">
    <cfRule type="cellIs" dxfId="24444" priority="165827" stopIfTrue="1" operator="greaterThanOrEqual">
      <formula>0.5</formula>
    </cfRule>
  </conditionalFormatting>
  <conditionalFormatting sqref="AN53">
    <cfRule type="cellIs" dxfId="24443" priority="165828" stopIfTrue="1" operator="equal">
      <formula>-1</formula>
    </cfRule>
  </conditionalFormatting>
  <conditionalFormatting sqref="AN53">
    <cfRule type="cellIs" dxfId="24442" priority="165829" stopIfTrue="1" operator="lessThan">
      <formula>0.5</formula>
    </cfRule>
  </conditionalFormatting>
  <conditionalFormatting sqref="AN53">
    <cfRule type="cellIs" dxfId="24441" priority="165830" stopIfTrue="1" operator="greaterThanOrEqual">
      <formula>0.5</formula>
    </cfRule>
  </conditionalFormatting>
  <conditionalFormatting sqref="AN54">
    <cfRule type="cellIs" dxfId="24440" priority="165831" stopIfTrue="1" operator="equal">
      <formula>-1</formula>
    </cfRule>
  </conditionalFormatting>
  <conditionalFormatting sqref="AN54">
    <cfRule type="cellIs" dxfId="24439" priority="165832" stopIfTrue="1" operator="lessThan">
      <formula>0.5</formula>
    </cfRule>
  </conditionalFormatting>
  <conditionalFormatting sqref="AN54">
    <cfRule type="cellIs" dxfId="24438" priority="165833" stopIfTrue="1" operator="greaterThanOrEqual">
      <formula>0.5</formula>
    </cfRule>
  </conditionalFormatting>
  <conditionalFormatting sqref="AN55">
    <cfRule type="cellIs" dxfId="24437" priority="165834" stopIfTrue="1" operator="equal">
      <formula>-1</formula>
    </cfRule>
  </conditionalFormatting>
  <conditionalFormatting sqref="AN55">
    <cfRule type="cellIs" dxfId="24436" priority="165835" stopIfTrue="1" operator="lessThan">
      <formula>0.5</formula>
    </cfRule>
  </conditionalFormatting>
  <conditionalFormatting sqref="AN55">
    <cfRule type="cellIs" dxfId="24435" priority="165836" stopIfTrue="1" operator="greaterThanOrEqual">
      <formula>0.5</formula>
    </cfRule>
  </conditionalFormatting>
  <conditionalFormatting sqref="AN56">
    <cfRule type="cellIs" dxfId="24434" priority="165837" stopIfTrue="1" operator="equal">
      <formula>-1</formula>
    </cfRule>
  </conditionalFormatting>
  <conditionalFormatting sqref="AN56">
    <cfRule type="cellIs" dxfId="24433" priority="165838" stopIfTrue="1" operator="lessThan">
      <formula>0.5</formula>
    </cfRule>
  </conditionalFormatting>
  <conditionalFormatting sqref="AN56">
    <cfRule type="cellIs" dxfId="24432" priority="165839" stopIfTrue="1" operator="greaterThanOrEqual">
      <formula>0.5</formula>
    </cfRule>
  </conditionalFormatting>
  <conditionalFormatting sqref="AN57">
    <cfRule type="cellIs" dxfId="24431" priority="165840" stopIfTrue="1" operator="equal">
      <formula>-1</formula>
    </cfRule>
  </conditionalFormatting>
  <conditionalFormatting sqref="AN57">
    <cfRule type="cellIs" dxfId="24430" priority="165841" stopIfTrue="1" operator="lessThan">
      <formula>0.5</formula>
    </cfRule>
  </conditionalFormatting>
  <conditionalFormatting sqref="AN57">
    <cfRule type="cellIs" dxfId="24429" priority="165842" stopIfTrue="1" operator="greaterThanOrEqual">
      <formula>0.5</formula>
    </cfRule>
  </conditionalFormatting>
  <conditionalFormatting sqref="AN58">
    <cfRule type="cellIs" dxfId="24428" priority="165843" stopIfTrue="1" operator="equal">
      <formula>-1</formula>
    </cfRule>
  </conditionalFormatting>
  <conditionalFormatting sqref="AN58">
    <cfRule type="cellIs" dxfId="24427" priority="165844" stopIfTrue="1" operator="lessThan">
      <formula>0.5</formula>
    </cfRule>
  </conditionalFormatting>
  <conditionalFormatting sqref="AN58">
    <cfRule type="cellIs" dxfId="24426" priority="165845" stopIfTrue="1" operator="greaterThanOrEqual">
      <formula>0.5</formula>
    </cfRule>
  </conditionalFormatting>
  <conditionalFormatting sqref="AP39">
    <cfRule type="cellIs" dxfId="24425" priority="165846" stopIfTrue="1" operator="equal">
      <formula>-1</formula>
    </cfRule>
  </conditionalFormatting>
  <conditionalFormatting sqref="AP39">
    <cfRule type="cellIs" dxfId="24424" priority="165847" stopIfTrue="1" operator="lessThan">
      <formula>0.5</formula>
    </cfRule>
  </conditionalFormatting>
  <conditionalFormatting sqref="AP39">
    <cfRule type="cellIs" dxfId="24423" priority="165848" stopIfTrue="1" operator="greaterThanOrEqual">
      <formula>0.5</formula>
    </cfRule>
  </conditionalFormatting>
  <conditionalFormatting sqref="AP40">
    <cfRule type="cellIs" dxfId="24422" priority="165849" stopIfTrue="1" operator="equal">
      <formula>-1</formula>
    </cfRule>
  </conditionalFormatting>
  <conditionalFormatting sqref="AP40">
    <cfRule type="cellIs" dxfId="24421" priority="165850" stopIfTrue="1" operator="lessThan">
      <formula>0.5</formula>
    </cfRule>
  </conditionalFormatting>
  <conditionalFormatting sqref="AP40">
    <cfRule type="cellIs" dxfId="24420" priority="165851" stopIfTrue="1" operator="greaterThanOrEqual">
      <formula>0.5</formula>
    </cfRule>
  </conditionalFormatting>
  <conditionalFormatting sqref="AP41">
    <cfRule type="cellIs" dxfId="24419" priority="165852" stopIfTrue="1" operator="equal">
      <formula>-1</formula>
    </cfRule>
  </conditionalFormatting>
  <conditionalFormatting sqref="AP41">
    <cfRule type="cellIs" dxfId="24418" priority="165853" stopIfTrue="1" operator="lessThan">
      <formula>0.5</formula>
    </cfRule>
  </conditionalFormatting>
  <conditionalFormatting sqref="AP41">
    <cfRule type="cellIs" dxfId="24417" priority="165854" stopIfTrue="1" operator="greaterThanOrEqual">
      <formula>0.5</formula>
    </cfRule>
  </conditionalFormatting>
  <conditionalFormatting sqref="AP42">
    <cfRule type="cellIs" dxfId="24416" priority="165855" stopIfTrue="1" operator="equal">
      <formula>-1</formula>
    </cfRule>
  </conditionalFormatting>
  <conditionalFormatting sqref="AP42">
    <cfRule type="cellIs" dxfId="24415" priority="165856" stopIfTrue="1" operator="lessThan">
      <formula>0.5</formula>
    </cfRule>
  </conditionalFormatting>
  <conditionalFormatting sqref="AP42">
    <cfRule type="cellIs" dxfId="24414" priority="165857" stopIfTrue="1" operator="greaterThanOrEqual">
      <formula>0.5</formula>
    </cfRule>
  </conditionalFormatting>
  <conditionalFormatting sqref="AP43">
    <cfRule type="cellIs" dxfId="24413" priority="165858" stopIfTrue="1" operator="equal">
      <formula>-1</formula>
    </cfRule>
  </conditionalFormatting>
  <conditionalFormatting sqref="AP43">
    <cfRule type="cellIs" dxfId="24412" priority="165859" stopIfTrue="1" operator="lessThan">
      <formula>0.5</formula>
    </cfRule>
  </conditionalFormatting>
  <conditionalFormatting sqref="AP43">
    <cfRule type="cellIs" dxfId="24411" priority="165860" stopIfTrue="1" operator="greaterThanOrEqual">
      <formula>0.5</formula>
    </cfRule>
  </conditionalFormatting>
  <conditionalFormatting sqref="AP44">
    <cfRule type="cellIs" dxfId="24410" priority="165861" stopIfTrue="1" operator="equal">
      <formula>-1</formula>
    </cfRule>
  </conditionalFormatting>
  <conditionalFormatting sqref="AP44">
    <cfRule type="cellIs" dxfId="24409" priority="165862" stopIfTrue="1" operator="lessThan">
      <formula>0.5</formula>
    </cfRule>
  </conditionalFormatting>
  <conditionalFormatting sqref="AP44">
    <cfRule type="cellIs" dxfId="24408" priority="165863" stopIfTrue="1" operator="greaterThanOrEqual">
      <formula>0.5</formula>
    </cfRule>
  </conditionalFormatting>
  <conditionalFormatting sqref="AP45">
    <cfRule type="cellIs" dxfId="24407" priority="165864" stopIfTrue="1" operator="equal">
      <formula>-1</formula>
    </cfRule>
  </conditionalFormatting>
  <conditionalFormatting sqref="AP45">
    <cfRule type="cellIs" dxfId="24406" priority="165865" stopIfTrue="1" operator="lessThan">
      <formula>0.5</formula>
    </cfRule>
  </conditionalFormatting>
  <conditionalFormatting sqref="AP45">
    <cfRule type="cellIs" dxfId="24405" priority="165866" stopIfTrue="1" operator="greaterThanOrEqual">
      <formula>0.5</formula>
    </cfRule>
  </conditionalFormatting>
  <conditionalFormatting sqref="AP46">
    <cfRule type="cellIs" dxfId="24404" priority="165867" stopIfTrue="1" operator="equal">
      <formula>-1</formula>
    </cfRule>
  </conditionalFormatting>
  <conditionalFormatting sqref="AP46">
    <cfRule type="cellIs" dxfId="24403" priority="165868" stopIfTrue="1" operator="lessThan">
      <formula>0.5</formula>
    </cfRule>
  </conditionalFormatting>
  <conditionalFormatting sqref="AP46">
    <cfRule type="cellIs" dxfId="24402" priority="165869" stopIfTrue="1" operator="greaterThanOrEqual">
      <formula>0.5</formula>
    </cfRule>
  </conditionalFormatting>
  <conditionalFormatting sqref="AP47">
    <cfRule type="cellIs" dxfId="24401" priority="165870" stopIfTrue="1" operator="equal">
      <formula>-1</formula>
    </cfRule>
  </conditionalFormatting>
  <conditionalFormatting sqref="AP47">
    <cfRule type="cellIs" dxfId="24400" priority="165871" stopIfTrue="1" operator="lessThan">
      <formula>0.5</formula>
    </cfRule>
  </conditionalFormatting>
  <conditionalFormatting sqref="AP47">
    <cfRule type="cellIs" dxfId="24399" priority="165872" stopIfTrue="1" operator="greaterThanOrEqual">
      <formula>0.5</formula>
    </cfRule>
  </conditionalFormatting>
  <conditionalFormatting sqref="AP48">
    <cfRule type="cellIs" dxfId="24398" priority="165873" stopIfTrue="1" operator="equal">
      <formula>-1</formula>
    </cfRule>
  </conditionalFormatting>
  <conditionalFormatting sqref="AP48">
    <cfRule type="cellIs" dxfId="24397" priority="165874" stopIfTrue="1" operator="lessThan">
      <formula>0.5</formula>
    </cfRule>
  </conditionalFormatting>
  <conditionalFormatting sqref="AP48">
    <cfRule type="cellIs" dxfId="24396" priority="165875" stopIfTrue="1" operator="greaterThanOrEqual">
      <formula>0.5</formula>
    </cfRule>
  </conditionalFormatting>
  <conditionalFormatting sqref="AP49">
    <cfRule type="cellIs" dxfId="24395" priority="165876" stopIfTrue="1" operator="equal">
      <formula>-1</formula>
    </cfRule>
  </conditionalFormatting>
  <conditionalFormatting sqref="AP49">
    <cfRule type="cellIs" dxfId="24394" priority="165877" stopIfTrue="1" operator="lessThan">
      <formula>0.5</formula>
    </cfRule>
  </conditionalFormatting>
  <conditionalFormatting sqref="AP49">
    <cfRule type="cellIs" dxfId="24393" priority="165878" stopIfTrue="1" operator="greaterThanOrEqual">
      <formula>0.5</formula>
    </cfRule>
  </conditionalFormatting>
  <conditionalFormatting sqref="AP50">
    <cfRule type="cellIs" dxfId="24392" priority="165879" stopIfTrue="1" operator="equal">
      <formula>-1</formula>
    </cfRule>
  </conditionalFormatting>
  <conditionalFormatting sqref="AP50">
    <cfRule type="cellIs" dxfId="24391" priority="165880" stopIfTrue="1" operator="lessThan">
      <formula>0.5</formula>
    </cfRule>
  </conditionalFormatting>
  <conditionalFormatting sqref="AP50">
    <cfRule type="cellIs" dxfId="24390" priority="165881" stopIfTrue="1" operator="greaterThanOrEqual">
      <formula>0.5</formula>
    </cfRule>
  </conditionalFormatting>
  <conditionalFormatting sqref="AP51">
    <cfRule type="cellIs" dxfId="24389" priority="165882" stopIfTrue="1" operator="equal">
      <formula>-1</formula>
    </cfRule>
  </conditionalFormatting>
  <conditionalFormatting sqref="AP51">
    <cfRule type="cellIs" dxfId="24388" priority="165883" stopIfTrue="1" operator="lessThan">
      <formula>0.5</formula>
    </cfRule>
  </conditionalFormatting>
  <conditionalFormatting sqref="AP51">
    <cfRule type="cellIs" dxfId="24387" priority="165884" stopIfTrue="1" operator="greaterThanOrEqual">
      <formula>0.5</formula>
    </cfRule>
  </conditionalFormatting>
  <conditionalFormatting sqref="AP52">
    <cfRule type="cellIs" dxfId="24386" priority="165885" stopIfTrue="1" operator="equal">
      <formula>-1</formula>
    </cfRule>
  </conditionalFormatting>
  <conditionalFormatting sqref="AP52">
    <cfRule type="cellIs" dxfId="24385" priority="165886" stopIfTrue="1" operator="lessThan">
      <formula>0.5</formula>
    </cfRule>
  </conditionalFormatting>
  <conditionalFormatting sqref="AP52">
    <cfRule type="cellIs" dxfId="24384" priority="165887" stopIfTrue="1" operator="greaterThanOrEqual">
      <formula>0.5</formula>
    </cfRule>
  </conditionalFormatting>
  <conditionalFormatting sqref="AP53">
    <cfRule type="cellIs" dxfId="24383" priority="165888" stopIfTrue="1" operator="equal">
      <formula>-1</formula>
    </cfRule>
  </conditionalFormatting>
  <conditionalFormatting sqref="AP53">
    <cfRule type="cellIs" dxfId="24382" priority="165889" stopIfTrue="1" operator="lessThan">
      <formula>0.5</formula>
    </cfRule>
  </conditionalFormatting>
  <conditionalFormatting sqref="AP53">
    <cfRule type="cellIs" dxfId="24381" priority="165890" stopIfTrue="1" operator="greaterThanOrEqual">
      <formula>0.5</formula>
    </cfRule>
  </conditionalFormatting>
  <conditionalFormatting sqref="AP54">
    <cfRule type="cellIs" dxfId="24380" priority="165891" stopIfTrue="1" operator="equal">
      <formula>-1</formula>
    </cfRule>
  </conditionalFormatting>
  <conditionalFormatting sqref="AP54">
    <cfRule type="cellIs" dxfId="24379" priority="165892" stopIfTrue="1" operator="lessThan">
      <formula>0.5</formula>
    </cfRule>
  </conditionalFormatting>
  <conditionalFormatting sqref="AP54">
    <cfRule type="cellIs" dxfId="24378" priority="165893" stopIfTrue="1" operator="greaterThanOrEqual">
      <formula>0.5</formula>
    </cfRule>
  </conditionalFormatting>
  <conditionalFormatting sqref="AP55">
    <cfRule type="cellIs" dxfId="24377" priority="165894" stopIfTrue="1" operator="equal">
      <formula>-1</formula>
    </cfRule>
  </conditionalFormatting>
  <conditionalFormatting sqref="AP55">
    <cfRule type="cellIs" dxfId="24376" priority="165895" stopIfTrue="1" operator="lessThan">
      <formula>0.5</formula>
    </cfRule>
  </conditionalFormatting>
  <conditionalFormatting sqref="AP55">
    <cfRule type="cellIs" dxfId="24375" priority="165896" stopIfTrue="1" operator="greaterThanOrEqual">
      <formula>0.5</formula>
    </cfRule>
  </conditionalFormatting>
  <conditionalFormatting sqref="AP56">
    <cfRule type="cellIs" dxfId="24374" priority="165897" stopIfTrue="1" operator="equal">
      <formula>-1</formula>
    </cfRule>
  </conditionalFormatting>
  <conditionalFormatting sqref="AP56">
    <cfRule type="cellIs" dxfId="24373" priority="165898" stopIfTrue="1" operator="lessThan">
      <formula>0.5</formula>
    </cfRule>
  </conditionalFormatting>
  <conditionalFormatting sqref="AP56">
    <cfRule type="cellIs" dxfId="24372" priority="165899" stopIfTrue="1" operator="greaterThanOrEqual">
      <formula>0.5</formula>
    </cfRule>
  </conditionalFormatting>
  <conditionalFormatting sqref="AP57">
    <cfRule type="cellIs" dxfId="24371" priority="165900" stopIfTrue="1" operator="equal">
      <formula>-1</formula>
    </cfRule>
  </conditionalFormatting>
  <conditionalFormatting sqref="AP57">
    <cfRule type="cellIs" dxfId="24370" priority="165901" stopIfTrue="1" operator="lessThan">
      <formula>0.5</formula>
    </cfRule>
  </conditionalFormatting>
  <conditionalFormatting sqref="AP57">
    <cfRule type="cellIs" dxfId="24369" priority="165902" stopIfTrue="1" operator="greaterThanOrEqual">
      <formula>0.5</formula>
    </cfRule>
  </conditionalFormatting>
  <conditionalFormatting sqref="AP58">
    <cfRule type="cellIs" dxfId="24368" priority="165903" stopIfTrue="1" operator="equal">
      <formula>-1</formula>
    </cfRule>
  </conditionalFormatting>
  <conditionalFormatting sqref="AP58">
    <cfRule type="cellIs" dxfId="24367" priority="165904" stopIfTrue="1" operator="lessThan">
      <formula>0.5</formula>
    </cfRule>
  </conditionalFormatting>
  <conditionalFormatting sqref="AP58">
    <cfRule type="cellIs" dxfId="24366" priority="165905" stopIfTrue="1" operator="greaterThanOrEqual">
      <formula>0.5</formula>
    </cfRule>
  </conditionalFormatting>
  <conditionalFormatting sqref="AR39">
    <cfRule type="cellIs" dxfId="24365" priority="165906" stopIfTrue="1" operator="equal">
      <formula>-1</formula>
    </cfRule>
  </conditionalFormatting>
  <conditionalFormatting sqref="AR39">
    <cfRule type="cellIs" dxfId="24364" priority="165907" stopIfTrue="1" operator="lessThan">
      <formula>0.5</formula>
    </cfRule>
  </conditionalFormatting>
  <conditionalFormatting sqref="AR39">
    <cfRule type="cellIs" dxfId="24363" priority="165908" stopIfTrue="1" operator="greaterThanOrEqual">
      <formula>0.5</formula>
    </cfRule>
  </conditionalFormatting>
  <conditionalFormatting sqref="AR40">
    <cfRule type="cellIs" dxfId="24362" priority="165909" stopIfTrue="1" operator="equal">
      <formula>-1</formula>
    </cfRule>
  </conditionalFormatting>
  <conditionalFormatting sqref="AR40">
    <cfRule type="cellIs" dxfId="24361" priority="165910" stopIfTrue="1" operator="lessThan">
      <formula>0.5</formula>
    </cfRule>
  </conditionalFormatting>
  <conditionalFormatting sqref="AR40">
    <cfRule type="cellIs" dxfId="24360" priority="165911" stopIfTrue="1" operator="greaterThanOrEqual">
      <formula>0.5</formula>
    </cfRule>
  </conditionalFormatting>
  <conditionalFormatting sqref="AR41">
    <cfRule type="cellIs" dxfId="24359" priority="165912" stopIfTrue="1" operator="equal">
      <formula>-1</formula>
    </cfRule>
  </conditionalFormatting>
  <conditionalFormatting sqref="AR41">
    <cfRule type="cellIs" dxfId="24358" priority="165913" stopIfTrue="1" operator="lessThan">
      <formula>0.5</formula>
    </cfRule>
  </conditionalFormatting>
  <conditionalFormatting sqref="AR41">
    <cfRule type="cellIs" dxfId="24357" priority="165914" stopIfTrue="1" operator="greaterThanOrEqual">
      <formula>0.5</formula>
    </cfRule>
  </conditionalFormatting>
  <conditionalFormatting sqref="AR42">
    <cfRule type="cellIs" dxfId="24356" priority="165915" stopIfTrue="1" operator="equal">
      <formula>-1</formula>
    </cfRule>
  </conditionalFormatting>
  <conditionalFormatting sqref="AR42">
    <cfRule type="cellIs" dxfId="24355" priority="165916" stopIfTrue="1" operator="lessThan">
      <formula>0.5</formula>
    </cfRule>
  </conditionalFormatting>
  <conditionalFormatting sqref="AR42">
    <cfRule type="cellIs" dxfId="24354" priority="165917" stopIfTrue="1" operator="greaterThanOrEqual">
      <formula>0.5</formula>
    </cfRule>
  </conditionalFormatting>
  <conditionalFormatting sqref="AR43">
    <cfRule type="cellIs" dxfId="24353" priority="165918" stopIfTrue="1" operator="equal">
      <formula>-1</formula>
    </cfRule>
  </conditionalFormatting>
  <conditionalFormatting sqref="AR43">
    <cfRule type="cellIs" dxfId="24352" priority="165919" stopIfTrue="1" operator="lessThan">
      <formula>0.5</formula>
    </cfRule>
  </conditionalFormatting>
  <conditionalFormatting sqref="AR43">
    <cfRule type="cellIs" dxfId="24351" priority="165920" stopIfTrue="1" operator="greaterThanOrEqual">
      <formula>0.5</formula>
    </cfRule>
  </conditionalFormatting>
  <conditionalFormatting sqref="AR44">
    <cfRule type="cellIs" dxfId="24350" priority="165921" stopIfTrue="1" operator="equal">
      <formula>-1</formula>
    </cfRule>
  </conditionalFormatting>
  <conditionalFormatting sqref="AR44">
    <cfRule type="cellIs" dxfId="24349" priority="165922" stopIfTrue="1" operator="lessThan">
      <formula>0.5</formula>
    </cfRule>
  </conditionalFormatting>
  <conditionalFormatting sqref="AR44">
    <cfRule type="cellIs" dxfId="24348" priority="165923" stopIfTrue="1" operator="greaterThanOrEqual">
      <formula>0.5</formula>
    </cfRule>
  </conditionalFormatting>
  <conditionalFormatting sqref="AR45">
    <cfRule type="cellIs" dxfId="24347" priority="165924" stopIfTrue="1" operator="equal">
      <formula>-1</formula>
    </cfRule>
  </conditionalFormatting>
  <conditionalFormatting sqref="AR45">
    <cfRule type="cellIs" dxfId="24346" priority="165925" stopIfTrue="1" operator="lessThan">
      <formula>0.5</formula>
    </cfRule>
  </conditionalFormatting>
  <conditionalFormatting sqref="AR45">
    <cfRule type="cellIs" dxfId="24345" priority="165926" stopIfTrue="1" operator="greaterThanOrEqual">
      <formula>0.5</formula>
    </cfRule>
  </conditionalFormatting>
  <conditionalFormatting sqref="AR46">
    <cfRule type="cellIs" dxfId="24344" priority="165927" stopIfTrue="1" operator="equal">
      <formula>-1</formula>
    </cfRule>
  </conditionalFormatting>
  <conditionalFormatting sqref="AR46">
    <cfRule type="cellIs" dxfId="24343" priority="165928" stopIfTrue="1" operator="lessThan">
      <formula>0.5</formula>
    </cfRule>
  </conditionalFormatting>
  <conditionalFormatting sqref="AR46">
    <cfRule type="cellIs" dxfId="24342" priority="165929" stopIfTrue="1" operator="greaterThanOrEqual">
      <formula>0.5</formula>
    </cfRule>
  </conditionalFormatting>
  <conditionalFormatting sqref="AR47">
    <cfRule type="cellIs" dxfId="24341" priority="165930" stopIfTrue="1" operator="equal">
      <formula>-1</formula>
    </cfRule>
  </conditionalFormatting>
  <conditionalFormatting sqref="AR47">
    <cfRule type="cellIs" dxfId="24340" priority="165931" stopIfTrue="1" operator="lessThan">
      <formula>0.5</formula>
    </cfRule>
  </conditionalFormatting>
  <conditionalFormatting sqref="AR47">
    <cfRule type="cellIs" dxfId="24339" priority="165932" stopIfTrue="1" operator="greaterThanOrEqual">
      <formula>0.5</formula>
    </cfRule>
  </conditionalFormatting>
  <conditionalFormatting sqref="AR48">
    <cfRule type="cellIs" dxfId="24338" priority="165933" stopIfTrue="1" operator="equal">
      <formula>-1</formula>
    </cfRule>
  </conditionalFormatting>
  <conditionalFormatting sqref="AR48">
    <cfRule type="cellIs" dxfId="24337" priority="165934" stopIfTrue="1" operator="lessThan">
      <formula>0.5</formula>
    </cfRule>
  </conditionalFormatting>
  <conditionalFormatting sqref="AR48">
    <cfRule type="cellIs" dxfId="24336" priority="165935" stopIfTrue="1" operator="greaterThanOrEqual">
      <formula>0.5</formula>
    </cfRule>
  </conditionalFormatting>
  <conditionalFormatting sqref="AR49">
    <cfRule type="cellIs" dxfId="24335" priority="165936" stopIfTrue="1" operator="equal">
      <formula>-1</formula>
    </cfRule>
  </conditionalFormatting>
  <conditionalFormatting sqref="AR49">
    <cfRule type="cellIs" dxfId="24334" priority="165937" stopIfTrue="1" operator="lessThan">
      <formula>0.5</formula>
    </cfRule>
  </conditionalFormatting>
  <conditionalFormatting sqref="AR49">
    <cfRule type="cellIs" dxfId="24333" priority="165938" stopIfTrue="1" operator="greaterThanOrEqual">
      <formula>0.5</formula>
    </cfRule>
  </conditionalFormatting>
  <conditionalFormatting sqref="AR50">
    <cfRule type="cellIs" dxfId="24332" priority="165939" stopIfTrue="1" operator="equal">
      <formula>-1</formula>
    </cfRule>
  </conditionalFormatting>
  <conditionalFormatting sqref="AR50">
    <cfRule type="cellIs" dxfId="24331" priority="165940" stopIfTrue="1" operator="lessThan">
      <formula>0.5</formula>
    </cfRule>
  </conditionalFormatting>
  <conditionalFormatting sqref="AR50">
    <cfRule type="cellIs" dxfId="24330" priority="165941" stopIfTrue="1" operator="greaterThanOrEqual">
      <formula>0.5</formula>
    </cfRule>
  </conditionalFormatting>
  <conditionalFormatting sqref="AR51">
    <cfRule type="cellIs" dxfId="24329" priority="165942" stopIfTrue="1" operator="equal">
      <formula>-1</formula>
    </cfRule>
  </conditionalFormatting>
  <conditionalFormatting sqref="AR51">
    <cfRule type="cellIs" dxfId="24328" priority="165943" stopIfTrue="1" operator="lessThan">
      <formula>0.5</formula>
    </cfRule>
  </conditionalFormatting>
  <conditionalFormatting sqref="AR51">
    <cfRule type="cellIs" dxfId="24327" priority="165944" stopIfTrue="1" operator="greaterThanOrEqual">
      <formula>0.5</formula>
    </cfRule>
  </conditionalFormatting>
  <conditionalFormatting sqref="AR52">
    <cfRule type="cellIs" dxfId="24326" priority="165945" stopIfTrue="1" operator="equal">
      <formula>-1</formula>
    </cfRule>
  </conditionalFormatting>
  <conditionalFormatting sqref="AR52">
    <cfRule type="cellIs" dxfId="24325" priority="165946" stopIfTrue="1" operator="lessThan">
      <formula>0.5</formula>
    </cfRule>
  </conditionalFormatting>
  <conditionalFormatting sqref="AR52">
    <cfRule type="cellIs" dxfId="24324" priority="165947" stopIfTrue="1" operator="greaterThanOrEqual">
      <formula>0.5</formula>
    </cfRule>
  </conditionalFormatting>
  <conditionalFormatting sqref="AR53">
    <cfRule type="cellIs" dxfId="24323" priority="165948" stopIfTrue="1" operator="equal">
      <formula>-1</formula>
    </cfRule>
  </conditionalFormatting>
  <conditionalFormatting sqref="AR53">
    <cfRule type="cellIs" dxfId="24322" priority="165949" stopIfTrue="1" operator="lessThan">
      <formula>0.5</formula>
    </cfRule>
  </conditionalFormatting>
  <conditionalFormatting sqref="AR53">
    <cfRule type="cellIs" dxfId="24321" priority="165950" stopIfTrue="1" operator="greaterThanOrEqual">
      <formula>0.5</formula>
    </cfRule>
  </conditionalFormatting>
  <conditionalFormatting sqref="AR54">
    <cfRule type="cellIs" dxfId="24320" priority="165951" stopIfTrue="1" operator="equal">
      <formula>-1</formula>
    </cfRule>
  </conditionalFormatting>
  <conditionalFormatting sqref="AR54">
    <cfRule type="cellIs" dxfId="24319" priority="165952" stopIfTrue="1" operator="lessThan">
      <formula>0.5</formula>
    </cfRule>
  </conditionalFormatting>
  <conditionalFormatting sqref="AR54">
    <cfRule type="cellIs" dxfId="24318" priority="165953" stopIfTrue="1" operator="greaterThanOrEqual">
      <formula>0.5</formula>
    </cfRule>
  </conditionalFormatting>
  <conditionalFormatting sqref="AR55">
    <cfRule type="cellIs" dxfId="24317" priority="165954" stopIfTrue="1" operator="equal">
      <formula>-1</formula>
    </cfRule>
  </conditionalFormatting>
  <conditionalFormatting sqref="AR55">
    <cfRule type="cellIs" dxfId="24316" priority="165955" stopIfTrue="1" operator="lessThan">
      <formula>0.5</formula>
    </cfRule>
  </conditionalFormatting>
  <conditionalFormatting sqref="AR55">
    <cfRule type="cellIs" dxfId="24315" priority="165956" stopIfTrue="1" operator="greaterThanOrEqual">
      <formula>0.5</formula>
    </cfRule>
  </conditionalFormatting>
  <conditionalFormatting sqref="AR56">
    <cfRule type="cellIs" dxfId="24314" priority="165957" stopIfTrue="1" operator="equal">
      <formula>-1</formula>
    </cfRule>
  </conditionalFormatting>
  <conditionalFormatting sqref="AR56">
    <cfRule type="cellIs" dxfId="24313" priority="165958" stopIfTrue="1" operator="lessThan">
      <formula>0.5</formula>
    </cfRule>
  </conditionalFormatting>
  <conditionalFormatting sqref="AR56">
    <cfRule type="cellIs" dxfId="24312" priority="165959" stopIfTrue="1" operator="greaterThanOrEqual">
      <formula>0.5</formula>
    </cfRule>
  </conditionalFormatting>
  <conditionalFormatting sqref="AR57">
    <cfRule type="cellIs" dxfId="24311" priority="165960" stopIfTrue="1" operator="equal">
      <formula>-1</formula>
    </cfRule>
  </conditionalFormatting>
  <conditionalFormatting sqref="AR57">
    <cfRule type="cellIs" dxfId="24310" priority="165961" stopIfTrue="1" operator="lessThan">
      <formula>0.5</formula>
    </cfRule>
  </conditionalFormatting>
  <conditionalFormatting sqref="AR57">
    <cfRule type="cellIs" dxfId="24309" priority="165962" stopIfTrue="1" operator="greaterThanOrEqual">
      <formula>0.5</formula>
    </cfRule>
  </conditionalFormatting>
  <conditionalFormatting sqref="AR58">
    <cfRule type="cellIs" dxfId="24308" priority="165963" stopIfTrue="1" operator="equal">
      <formula>-1</formula>
    </cfRule>
  </conditionalFormatting>
  <conditionalFormatting sqref="AR58">
    <cfRule type="cellIs" dxfId="24307" priority="165964" stopIfTrue="1" operator="lessThan">
      <formula>0.5</formula>
    </cfRule>
  </conditionalFormatting>
  <conditionalFormatting sqref="AR58">
    <cfRule type="cellIs" dxfId="24306" priority="165965" stopIfTrue="1" operator="greaterThanOrEqual">
      <formula>0.5</formula>
    </cfRule>
  </conditionalFormatting>
  <conditionalFormatting sqref="AT39">
    <cfRule type="cellIs" dxfId="24305" priority="165966" stopIfTrue="1" operator="equal">
      <formula>-1</formula>
    </cfRule>
  </conditionalFormatting>
  <conditionalFormatting sqref="AT39">
    <cfRule type="cellIs" dxfId="24304" priority="165967" stopIfTrue="1" operator="lessThan">
      <formula>0.5</formula>
    </cfRule>
  </conditionalFormatting>
  <conditionalFormatting sqref="AT39">
    <cfRule type="cellIs" dxfId="24303" priority="165968" stopIfTrue="1" operator="greaterThanOrEqual">
      <formula>0.5</formula>
    </cfRule>
  </conditionalFormatting>
  <conditionalFormatting sqref="AT40">
    <cfRule type="cellIs" dxfId="24302" priority="165969" stopIfTrue="1" operator="equal">
      <formula>-1</formula>
    </cfRule>
  </conditionalFormatting>
  <conditionalFormatting sqref="AT40">
    <cfRule type="cellIs" dxfId="24301" priority="165970" stopIfTrue="1" operator="lessThan">
      <formula>0.5</formula>
    </cfRule>
  </conditionalFormatting>
  <conditionalFormatting sqref="AT40">
    <cfRule type="cellIs" dxfId="24300" priority="165971" stopIfTrue="1" operator="greaterThanOrEqual">
      <formula>0.5</formula>
    </cfRule>
  </conditionalFormatting>
  <conditionalFormatting sqref="AT41">
    <cfRule type="cellIs" dxfId="24299" priority="165972" stopIfTrue="1" operator="equal">
      <formula>-1</formula>
    </cfRule>
  </conditionalFormatting>
  <conditionalFormatting sqref="AT41">
    <cfRule type="cellIs" dxfId="24298" priority="165973" stopIfTrue="1" operator="lessThan">
      <formula>0.5</formula>
    </cfRule>
  </conditionalFormatting>
  <conditionalFormatting sqref="AT41">
    <cfRule type="cellIs" dxfId="24297" priority="165974" stopIfTrue="1" operator="greaterThanOrEqual">
      <formula>0.5</formula>
    </cfRule>
  </conditionalFormatting>
  <conditionalFormatting sqref="AT42">
    <cfRule type="cellIs" dxfId="24296" priority="165975" stopIfTrue="1" operator="equal">
      <formula>-1</formula>
    </cfRule>
  </conditionalFormatting>
  <conditionalFormatting sqref="AT42">
    <cfRule type="cellIs" dxfId="24295" priority="165976" stopIfTrue="1" operator="lessThan">
      <formula>0.5</formula>
    </cfRule>
  </conditionalFormatting>
  <conditionalFormatting sqref="AT42">
    <cfRule type="cellIs" dxfId="24294" priority="165977" stopIfTrue="1" operator="greaterThanOrEqual">
      <formula>0.5</formula>
    </cfRule>
  </conditionalFormatting>
  <conditionalFormatting sqref="AT43">
    <cfRule type="cellIs" dxfId="24293" priority="165978" stopIfTrue="1" operator="equal">
      <formula>-1</formula>
    </cfRule>
  </conditionalFormatting>
  <conditionalFormatting sqref="AT43">
    <cfRule type="cellIs" dxfId="24292" priority="165979" stopIfTrue="1" operator="lessThan">
      <formula>0.5</formula>
    </cfRule>
  </conditionalFormatting>
  <conditionalFormatting sqref="AT43">
    <cfRule type="cellIs" dxfId="24291" priority="165980" stopIfTrue="1" operator="greaterThanOrEqual">
      <formula>0.5</formula>
    </cfRule>
  </conditionalFormatting>
  <conditionalFormatting sqref="AT44">
    <cfRule type="cellIs" dxfId="24290" priority="165981" stopIfTrue="1" operator="equal">
      <formula>-1</formula>
    </cfRule>
  </conditionalFormatting>
  <conditionalFormatting sqref="AT44">
    <cfRule type="cellIs" dxfId="24289" priority="165982" stopIfTrue="1" operator="lessThan">
      <formula>0.5</formula>
    </cfRule>
  </conditionalFormatting>
  <conditionalFormatting sqref="AT44">
    <cfRule type="cellIs" dxfId="24288" priority="165983" stopIfTrue="1" operator="greaterThanOrEqual">
      <formula>0.5</formula>
    </cfRule>
  </conditionalFormatting>
  <conditionalFormatting sqref="AT45">
    <cfRule type="cellIs" dxfId="24287" priority="165984" stopIfTrue="1" operator="equal">
      <formula>-1</formula>
    </cfRule>
  </conditionalFormatting>
  <conditionalFormatting sqref="AT45">
    <cfRule type="cellIs" dxfId="24286" priority="165985" stopIfTrue="1" operator="lessThan">
      <formula>0.5</formula>
    </cfRule>
  </conditionalFormatting>
  <conditionalFormatting sqref="AT45">
    <cfRule type="cellIs" dxfId="24285" priority="165986" stopIfTrue="1" operator="greaterThanOrEqual">
      <formula>0.5</formula>
    </cfRule>
  </conditionalFormatting>
  <conditionalFormatting sqref="AT46">
    <cfRule type="cellIs" dxfId="24284" priority="165987" stopIfTrue="1" operator="equal">
      <formula>-1</formula>
    </cfRule>
  </conditionalFormatting>
  <conditionalFormatting sqref="AT46">
    <cfRule type="cellIs" dxfId="24283" priority="165988" stopIfTrue="1" operator="lessThan">
      <formula>0.5</formula>
    </cfRule>
  </conditionalFormatting>
  <conditionalFormatting sqref="AT46">
    <cfRule type="cellIs" dxfId="24282" priority="165989" stopIfTrue="1" operator="greaterThanOrEqual">
      <formula>0.5</formula>
    </cfRule>
  </conditionalFormatting>
  <conditionalFormatting sqref="AT47">
    <cfRule type="cellIs" dxfId="24281" priority="165990" stopIfTrue="1" operator="equal">
      <formula>-1</formula>
    </cfRule>
  </conditionalFormatting>
  <conditionalFormatting sqref="AT47">
    <cfRule type="cellIs" dxfId="24280" priority="165991" stopIfTrue="1" operator="lessThan">
      <formula>0.5</formula>
    </cfRule>
  </conditionalFormatting>
  <conditionalFormatting sqref="AT47">
    <cfRule type="cellIs" dxfId="24279" priority="165992" stopIfTrue="1" operator="greaterThanOrEqual">
      <formula>0.5</formula>
    </cfRule>
  </conditionalFormatting>
  <conditionalFormatting sqref="AT48">
    <cfRule type="cellIs" dxfId="24278" priority="165993" stopIfTrue="1" operator="equal">
      <formula>-1</formula>
    </cfRule>
  </conditionalFormatting>
  <conditionalFormatting sqref="AT48">
    <cfRule type="cellIs" dxfId="24277" priority="165994" stopIfTrue="1" operator="lessThan">
      <formula>0.5</formula>
    </cfRule>
  </conditionalFormatting>
  <conditionalFormatting sqref="AT48">
    <cfRule type="cellIs" dxfId="24276" priority="165995" stopIfTrue="1" operator="greaterThanOrEqual">
      <formula>0.5</formula>
    </cfRule>
  </conditionalFormatting>
  <conditionalFormatting sqref="AT49">
    <cfRule type="cellIs" dxfId="24275" priority="165996" stopIfTrue="1" operator="equal">
      <formula>-1</formula>
    </cfRule>
  </conditionalFormatting>
  <conditionalFormatting sqref="AT49">
    <cfRule type="cellIs" dxfId="24274" priority="165997" stopIfTrue="1" operator="lessThan">
      <formula>0.5</formula>
    </cfRule>
  </conditionalFormatting>
  <conditionalFormatting sqref="AT49">
    <cfRule type="cellIs" dxfId="24273" priority="165998" stopIfTrue="1" operator="greaterThanOrEqual">
      <formula>0.5</formula>
    </cfRule>
  </conditionalFormatting>
  <conditionalFormatting sqref="AT50">
    <cfRule type="cellIs" dxfId="24272" priority="165999" stopIfTrue="1" operator="equal">
      <formula>-1</formula>
    </cfRule>
  </conditionalFormatting>
  <conditionalFormatting sqref="AT50">
    <cfRule type="cellIs" dxfId="24271" priority="166000" stopIfTrue="1" operator="lessThan">
      <formula>0.5</formula>
    </cfRule>
  </conditionalFormatting>
  <conditionalFormatting sqref="AT50">
    <cfRule type="cellIs" dxfId="24270" priority="166001" stopIfTrue="1" operator="greaterThanOrEqual">
      <formula>0.5</formula>
    </cfRule>
  </conditionalFormatting>
  <conditionalFormatting sqref="AT51">
    <cfRule type="cellIs" dxfId="24269" priority="166002" stopIfTrue="1" operator="equal">
      <formula>-1</formula>
    </cfRule>
  </conditionalFormatting>
  <conditionalFormatting sqref="AT51">
    <cfRule type="cellIs" dxfId="24268" priority="166003" stopIfTrue="1" operator="lessThan">
      <formula>0.5</formula>
    </cfRule>
  </conditionalFormatting>
  <conditionalFormatting sqref="AT51">
    <cfRule type="cellIs" dxfId="24267" priority="166004" stopIfTrue="1" operator="greaterThanOrEqual">
      <formula>0.5</formula>
    </cfRule>
  </conditionalFormatting>
  <conditionalFormatting sqref="AT52">
    <cfRule type="cellIs" dxfId="24266" priority="166005" stopIfTrue="1" operator="equal">
      <formula>-1</formula>
    </cfRule>
  </conditionalFormatting>
  <conditionalFormatting sqref="AT52">
    <cfRule type="cellIs" dxfId="24265" priority="166006" stopIfTrue="1" operator="lessThan">
      <formula>0.5</formula>
    </cfRule>
  </conditionalFormatting>
  <conditionalFormatting sqref="AT52">
    <cfRule type="cellIs" dxfId="24264" priority="166007" stopIfTrue="1" operator="greaterThanOrEqual">
      <formula>0.5</formula>
    </cfRule>
  </conditionalFormatting>
  <conditionalFormatting sqref="AT53">
    <cfRule type="cellIs" dxfId="24263" priority="166008" stopIfTrue="1" operator="equal">
      <formula>-1</formula>
    </cfRule>
  </conditionalFormatting>
  <conditionalFormatting sqref="AT53">
    <cfRule type="cellIs" dxfId="24262" priority="166009" stopIfTrue="1" operator="lessThan">
      <formula>0.5</formula>
    </cfRule>
  </conditionalFormatting>
  <conditionalFormatting sqref="AT53">
    <cfRule type="cellIs" dxfId="24261" priority="166010" stopIfTrue="1" operator="greaterThanOrEqual">
      <formula>0.5</formula>
    </cfRule>
  </conditionalFormatting>
  <conditionalFormatting sqref="AT54">
    <cfRule type="cellIs" dxfId="24260" priority="166011" stopIfTrue="1" operator="equal">
      <formula>-1</formula>
    </cfRule>
  </conditionalFormatting>
  <conditionalFormatting sqref="AT54">
    <cfRule type="cellIs" dxfId="24259" priority="166012" stopIfTrue="1" operator="lessThan">
      <formula>0.5</formula>
    </cfRule>
  </conditionalFormatting>
  <conditionalFormatting sqref="AT54">
    <cfRule type="cellIs" dxfId="24258" priority="166013" stopIfTrue="1" operator="greaterThanOrEqual">
      <formula>0.5</formula>
    </cfRule>
  </conditionalFormatting>
  <conditionalFormatting sqref="AT55">
    <cfRule type="cellIs" dxfId="24257" priority="166014" stopIfTrue="1" operator="equal">
      <formula>-1</formula>
    </cfRule>
  </conditionalFormatting>
  <conditionalFormatting sqref="AT55">
    <cfRule type="cellIs" dxfId="24256" priority="166015" stopIfTrue="1" operator="lessThan">
      <formula>0.5</formula>
    </cfRule>
  </conditionalFormatting>
  <conditionalFormatting sqref="AT55">
    <cfRule type="cellIs" dxfId="24255" priority="166016" stopIfTrue="1" operator="greaterThanOrEqual">
      <formula>0.5</formula>
    </cfRule>
  </conditionalFormatting>
  <conditionalFormatting sqref="AT56">
    <cfRule type="cellIs" dxfId="24254" priority="166017" stopIfTrue="1" operator="equal">
      <formula>-1</formula>
    </cfRule>
  </conditionalFormatting>
  <conditionalFormatting sqref="AT56">
    <cfRule type="cellIs" dxfId="24253" priority="166018" stopIfTrue="1" operator="lessThan">
      <formula>0.5</formula>
    </cfRule>
  </conditionalFormatting>
  <conditionalFormatting sqref="AT56">
    <cfRule type="cellIs" dxfId="24252" priority="166019" stopIfTrue="1" operator="greaterThanOrEqual">
      <formula>0.5</formula>
    </cfRule>
  </conditionalFormatting>
  <conditionalFormatting sqref="AT57">
    <cfRule type="cellIs" dxfId="24251" priority="166020" stopIfTrue="1" operator="equal">
      <formula>-1</formula>
    </cfRule>
  </conditionalFormatting>
  <conditionalFormatting sqref="AT57">
    <cfRule type="cellIs" dxfId="24250" priority="166021" stopIfTrue="1" operator="lessThan">
      <formula>0.5</formula>
    </cfRule>
  </conditionalFormatting>
  <conditionalFormatting sqref="AT57">
    <cfRule type="cellIs" dxfId="24249" priority="166022" stopIfTrue="1" operator="greaterThanOrEqual">
      <formula>0.5</formula>
    </cfRule>
  </conditionalFormatting>
  <conditionalFormatting sqref="AT58">
    <cfRule type="cellIs" dxfId="24248" priority="166023" stopIfTrue="1" operator="equal">
      <formula>-1</formula>
    </cfRule>
  </conditionalFormatting>
  <conditionalFormatting sqref="AT58">
    <cfRule type="cellIs" dxfId="24247" priority="166024" stopIfTrue="1" operator="lessThan">
      <formula>0.5</formula>
    </cfRule>
  </conditionalFormatting>
  <conditionalFormatting sqref="AT58">
    <cfRule type="cellIs" dxfId="24246" priority="166025" stopIfTrue="1" operator="greaterThanOrEqual">
      <formula>0.5</formula>
    </cfRule>
  </conditionalFormatting>
  <conditionalFormatting sqref="AV39">
    <cfRule type="cellIs" dxfId="24245" priority="166026" stopIfTrue="1" operator="equal">
      <formula>-1</formula>
    </cfRule>
  </conditionalFormatting>
  <conditionalFormatting sqref="AV39">
    <cfRule type="cellIs" dxfId="24244" priority="166027" stopIfTrue="1" operator="lessThan">
      <formula>0.5</formula>
    </cfRule>
  </conditionalFormatting>
  <conditionalFormatting sqref="AV39">
    <cfRule type="cellIs" dxfId="24243" priority="166028" stopIfTrue="1" operator="greaterThanOrEqual">
      <formula>0.5</formula>
    </cfRule>
  </conditionalFormatting>
  <conditionalFormatting sqref="AV40">
    <cfRule type="cellIs" dxfId="24242" priority="166029" stopIfTrue="1" operator="equal">
      <formula>-1</formula>
    </cfRule>
  </conditionalFormatting>
  <conditionalFormatting sqref="AV40">
    <cfRule type="cellIs" dxfId="24241" priority="166030" stopIfTrue="1" operator="lessThan">
      <formula>0.5</formula>
    </cfRule>
  </conditionalFormatting>
  <conditionalFormatting sqref="AV40">
    <cfRule type="cellIs" dxfId="24240" priority="166031" stopIfTrue="1" operator="greaterThanOrEqual">
      <formula>0.5</formula>
    </cfRule>
  </conditionalFormatting>
  <conditionalFormatting sqref="AV41">
    <cfRule type="cellIs" dxfId="24239" priority="166032" stopIfTrue="1" operator="equal">
      <formula>-1</formula>
    </cfRule>
  </conditionalFormatting>
  <conditionalFormatting sqref="AV41">
    <cfRule type="cellIs" dxfId="24238" priority="166033" stopIfTrue="1" operator="lessThan">
      <formula>0.5</formula>
    </cfRule>
  </conditionalFormatting>
  <conditionalFormatting sqref="AV41">
    <cfRule type="cellIs" dxfId="24237" priority="166034" stopIfTrue="1" operator="greaterThanOrEqual">
      <formula>0.5</formula>
    </cfRule>
  </conditionalFormatting>
  <conditionalFormatting sqref="AV42">
    <cfRule type="cellIs" dxfId="24236" priority="166035" stopIfTrue="1" operator="equal">
      <formula>-1</formula>
    </cfRule>
  </conditionalFormatting>
  <conditionalFormatting sqref="AV42">
    <cfRule type="cellIs" dxfId="24235" priority="166036" stopIfTrue="1" operator="lessThan">
      <formula>0.5</formula>
    </cfRule>
  </conditionalFormatting>
  <conditionalFormatting sqref="AV42">
    <cfRule type="cellIs" dxfId="24234" priority="166037" stopIfTrue="1" operator="greaterThanOrEqual">
      <formula>0.5</formula>
    </cfRule>
  </conditionalFormatting>
  <conditionalFormatting sqref="AV43">
    <cfRule type="cellIs" dxfId="24233" priority="166038" stopIfTrue="1" operator="equal">
      <formula>-1</formula>
    </cfRule>
  </conditionalFormatting>
  <conditionalFormatting sqref="AV43">
    <cfRule type="cellIs" dxfId="24232" priority="166039" stopIfTrue="1" operator="lessThan">
      <formula>0.5</formula>
    </cfRule>
  </conditionalFormatting>
  <conditionalFormatting sqref="AV43">
    <cfRule type="cellIs" dxfId="24231" priority="166040" stopIfTrue="1" operator="greaterThanOrEqual">
      <formula>0.5</formula>
    </cfRule>
  </conditionalFormatting>
  <conditionalFormatting sqref="AV44">
    <cfRule type="cellIs" dxfId="24230" priority="166041" stopIfTrue="1" operator="equal">
      <formula>-1</formula>
    </cfRule>
  </conditionalFormatting>
  <conditionalFormatting sqref="AV44">
    <cfRule type="cellIs" dxfId="24229" priority="166042" stopIfTrue="1" operator="lessThan">
      <formula>0.5</formula>
    </cfRule>
  </conditionalFormatting>
  <conditionalFormatting sqref="AV44">
    <cfRule type="cellIs" dxfId="24228" priority="166043" stopIfTrue="1" operator="greaterThanOrEqual">
      <formula>0.5</formula>
    </cfRule>
  </conditionalFormatting>
  <conditionalFormatting sqref="AV45">
    <cfRule type="cellIs" dxfId="24227" priority="166044" stopIfTrue="1" operator="equal">
      <formula>-1</formula>
    </cfRule>
  </conditionalFormatting>
  <conditionalFormatting sqref="AV45">
    <cfRule type="cellIs" dxfId="24226" priority="166045" stopIfTrue="1" operator="lessThan">
      <formula>0.5</formula>
    </cfRule>
  </conditionalFormatting>
  <conditionalFormatting sqref="AV45">
    <cfRule type="cellIs" dxfId="24225" priority="166046" stopIfTrue="1" operator="greaterThanOrEqual">
      <formula>0.5</formula>
    </cfRule>
  </conditionalFormatting>
  <conditionalFormatting sqref="AV46">
    <cfRule type="cellIs" dxfId="24224" priority="166047" stopIfTrue="1" operator="equal">
      <formula>-1</formula>
    </cfRule>
  </conditionalFormatting>
  <conditionalFormatting sqref="AV46">
    <cfRule type="cellIs" dxfId="24223" priority="166048" stopIfTrue="1" operator="lessThan">
      <formula>0.5</formula>
    </cfRule>
  </conditionalFormatting>
  <conditionalFormatting sqref="AV46">
    <cfRule type="cellIs" dxfId="24222" priority="166049" stopIfTrue="1" operator="greaterThanOrEqual">
      <formula>0.5</formula>
    </cfRule>
  </conditionalFormatting>
  <conditionalFormatting sqref="AV47">
    <cfRule type="cellIs" dxfId="24221" priority="166050" stopIfTrue="1" operator="equal">
      <formula>-1</formula>
    </cfRule>
  </conditionalFormatting>
  <conditionalFormatting sqref="AV47">
    <cfRule type="cellIs" dxfId="24220" priority="166051" stopIfTrue="1" operator="lessThan">
      <formula>0.5</formula>
    </cfRule>
  </conditionalFormatting>
  <conditionalFormatting sqref="AV47">
    <cfRule type="cellIs" dxfId="24219" priority="166052" stopIfTrue="1" operator="greaterThanOrEqual">
      <formula>0.5</formula>
    </cfRule>
  </conditionalFormatting>
  <conditionalFormatting sqref="AV48">
    <cfRule type="cellIs" dxfId="24218" priority="166053" stopIfTrue="1" operator="equal">
      <formula>-1</formula>
    </cfRule>
  </conditionalFormatting>
  <conditionalFormatting sqref="AV48">
    <cfRule type="cellIs" dxfId="24217" priority="166054" stopIfTrue="1" operator="lessThan">
      <formula>0.5</formula>
    </cfRule>
  </conditionalFormatting>
  <conditionalFormatting sqref="AV48">
    <cfRule type="cellIs" dxfId="24216" priority="166055" stopIfTrue="1" operator="greaterThanOrEqual">
      <formula>0.5</formula>
    </cfRule>
  </conditionalFormatting>
  <conditionalFormatting sqref="AV49">
    <cfRule type="cellIs" dxfId="24215" priority="166056" stopIfTrue="1" operator="equal">
      <formula>-1</formula>
    </cfRule>
  </conditionalFormatting>
  <conditionalFormatting sqref="AV49">
    <cfRule type="cellIs" dxfId="24214" priority="166057" stopIfTrue="1" operator="lessThan">
      <formula>0.5</formula>
    </cfRule>
  </conditionalFormatting>
  <conditionalFormatting sqref="AV49">
    <cfRule type="cellIs" dxfId="24213" priority="166058" stopIfTrue="1" operator="greaterThanOrEqual">
      <formula>0.5</formula>
    </cfRule>
  </conditionalFormatting>
  <conditionalFormatting sqref="AV50">
    <cfRule type="cellIs" dxfId="24212" priority="166059" stopIfTrue="1" operator="equal">
      <formula>-1</formula>
    </cfRule>
  </conditionalFormatting>
  <conditionalFormatting sqref="AV50">
    <cfRule type="cellIs" dxfId="24211" priority="166060" stopIfTrue="1" operator="lessThan">
      <formula>0.5</formula>
    </cfRule>
  </conditionalFormatting>
  <conditionalFormatting sqref="AV50">
    <cfRule type="cellIs" dxfId="24210" priority="166061" stopIfTrue="1" operator="greaterThanOrEqual">
      <formula>0.5</formula>
    </cfRule>
  </conditionalFormatting>
  <conditionalFormatting sqref="AV51">
    <cfRule type="cellIs" dxfId="24209" priority="166062" stopIfTrue="1" operator="equal">
      <formula>-1</formula>
    </cfRule>
  </conditionalFormatting>
  <conditionalFormatting sqref="AV51">
    <cfRule type="cellIs" dxfId="24208" priority="166063" stopIfTrue="1" operator="lessThan">
      <formula>0.5</formula>
    </cfRule>
  </conditionalFormatting>
  <conditionalFormatting sqref="AV51">
    <cfRule type="cellIs" dxfId="24207" priority="166064" stopIfTrue="1" operator="greaterThanOrEqual">
      <formula>0.5</formula>
    </cfRule>
  </conditionalFormatting>
  <conditionalFormatting sqref="AV52">
    <cfRule type="cellIs" dxfId="24206" priority="166065" stopIfTrue="1" operator="equal">
      <formula>-1</formula>
    </cfRule>
  </conditionalFormatting>
  <conditionalFormatting sqref="AV52">
    <cfRule type="cellIs" dxfId="24205" priority="166066" stopIfTrue="1" operator="lessThan">
      <formula>0.5</formula>
    </cfRule>
  </conditionalFormatting>
  <conditionalFormatting sqref="AV52">
    <cfRule type="cellIs" dxfId="24204" priority="166067" stopIfTrue="1" operator="greaterThanOrEqual">
      <formula>0.5</formula>
    </cfRule>
  </conditionalFormatting>
  <conditionalFormatting sqref="AV53">
    <cfRule type="cellIs" dxfId="24203" priority="166068" stopIfTrue="1" operator="equal">
      <formula>-1</formula>
    </cfRule>
  </conditionalFormatting>
  <conditionalFormatting sqref="AV53">
    <cfRule type="cellIs" dxfId="24202" priority="166069" stopIfTrue="1" operator="lessThan">
      <formula>0.5</formula>
    </cfRule>
  </conditionalFormatting>
  <conditionalFormatting sqref="AV53">
    <cfRule type="cellIs" dxfId="24201" priority="166070" stopIfTrue="1" operator="greaterThanOrEqual">
      <formula>0.5</formula>
    </cfRule>
  </conditionalFormatting>
  <conditionalFormatting sqref="AV54">
    <cfRule type="cellIs" dxfId="24200" priority="166071" stopIfTrue="1" operator="equal">
      <formula>-1</formula>
    </cfRule>
  </conditionalFormatting>
  <conditionalFormatting sqref="AV54">
    <cfRule type="cellIs" dxfId="24199" priority="166072" stopIfTrue="1" operator="lessThan">
      <formula>0.5</formula>
    </cfRule>
  </conditionalFormatting>
  <conditionalFormatting sqref="AV54">
    <cfRule type="cellIs" dxfId="24198" priority="166073" stopIfTrue="1" operator="greaterThanOrEqual">
      <formula>0.5</formula>
    </cfRule>
  </conditionalFormatting>
  <conditionalFormatting sqref="AV55">
    <cfRule type="cellIs" dxfId="24197" priority="166074" stopIfTrue="1" operator="equal">
      <formula>-1</formula>
    </cfRule>
  </conditionalFormatting>
  <conditionalFormatting sqref="AV55">
    <cfRule type="cellIs" dxfId="24196" priority="166075" stopIfTrue="1" operator="lessThan">
      <formula>0.5</formula>
    </cfRule>
  </conditionalFormatting>
  <conditionalFormatting sqref="AV55">
    <cfRule type="cellIs" dxfId="24195" priority="166076" stopIfTrue="1" operator="greaterThanOrEqual">
      <formula>0.5</formula>
    </cfRule>
  </conditionalFormatting>
  <conditionalFormatting sqref="AV56">
    <cfRule type="cellIs" dxfId="24194" priority="166077" stopIfTrue="1" operator="equal">
      <formula>-1</formula>
    </cfRule>
  </conditionalFormatting>
  <conditionalFormatting sqref="AV56">
    <cfRule type="cellIs" dxfId="24193" priority="166078" stopIfTrue="1" operator="lessThan">
      <formula>0.5</formula>
    </cfRule>
  </conditionalFormatting>
  <conditionalFormatting sqref="AV56">
    <cfRule type="cellIs" dxfId="24192" priority="166079" stopIfTrue="1" operator="greaterThanOrEqual">
      <formula>0.5</formula>
    </cfRule>
  </conditionalFormatting>
  <conditionalFormatting sqref="AV57">
    <cfRule type="cellIs" dxfId="24191" priority="166080" stopIfTrue="1" operator="equal">
      <formula>-1</formula>
    </cfRule>
  </conditionalFormatting>
  <conditionalFormatting sqref="AV57">
    <cfRule type="cellIs" dxfId="24190" priority="166081" stopIfTrue="1" operator="lessThan">
      <formula>0.5</formula>
    </cfRule>
  </conditionalFormatting>
  <conditionalFormatting sqref="AV57">
    <cfRule type="cellIs" dxfId="24189" priority="166082" stopIfTrue="1" operator="greaterThanOrEqual">
      <formula>0.5</formula>
    </cfRule>
  </conditionalFormatting>
  <conditionalFormatting sqref="AV58">
    <cfRule type="cellIs" dxfId="24188" priority="166083" stopIfTrue="1" operator="equal">
      <formula>-1</formula>
    </cfRule>
  </conditionalFormatting>
  <conditionalFormatting sqref="AV58">
    <cfRule type="cellIs" dxfId="24187" priority="166084" stopIfTrue="1" operator="lessThan">
      <formula>0.5</formula>
    </cfRule>
  </conditionalFormatting>
  <conditionalFormatting sqref="AV58">
    <cfRule type="cellIs" dxfId="24186" priority="166085" stopIfTrue="1" operator="greaterThanOrEqual">
      <formula>0.5</formula>
    </cfRule>
  </conditionalFormatting>
  <conditionalFormatting sqref="AX39">
    <cfRule type="cellIs" dxfId="24185" priority="166086" stopIfTrue="1" operator="equal">
      <formula>-1</formula>
    </cfRule>
  </conditionalFormatting>
  <conditionalFormatting sqref="AX39">
    <cfRule type="cellIs" dxfId="24184" priority="166087" stopIfTrue="1" operator="lessThan">
      <formula>0.5</formula>
    </cfRule>
  </conditionalFormatting>
  <conditionalFormatting sqref="AX39">
    <cfRule type="cellIs" dxfId="24183" priority="166088" stopIfTrue="1" operator="greaterThanOrEqual">
      <formula>0.5</formula>
    </cfRule>
  </conditionalFormatting>
  <conditionalFormatting sqref="AX40">
    <cfRule type="cellIs" dxfId="24182" priority="166089" stopIfTrue="1" operator="equal">
      <formula>-1</formula>
    </cfRule>
  </conditionalFormatting>
  <conditionalFormatting sqref="AX40">
    <cfRule type="cellIs" dxfId="24181" priority="166090" stopIfTrue="1" operator="lessThan">
      <formula>0.5</formula>
    </cfRule>
  </conditionalFormatting>
  <conditionalFormatting sqref="AX40">
    <cfRule type="cellIs" dxfId="24180" priority="166091" stopIfTrue="1" operator="greaterThanOrEqual">
      <formula>0.5</formula>
    </cfRule>
  </conditionalFormatting>
  <conditionalFormatting sqref="AX41">
    <cfRule type="cellIs" dxfId="24179" priority="166092" stopIfTrue="1" operator="equal">
      <formula>-1</formula>
    </cfRule>
  </conditionalFormatting>
  <conditionalFormatting sqref="AX41">
    <cfRule type="cellIs" dxfId="24178" priority="166093" stopIfTrue="1" operator="lessThan">
      <formula>0.5</formula>
    </cfRule>
  </conditionalFormatting>
  <conditionalFormatting sqref="AX41">
    <cfRule type="cellIs" dxfId="24177" priority="166094" stopIfTrue="1" operator="greaterThanOrEqual">
      <formula>0.5</formula>
    </cfRule>
  </conditionalFormatting>
  <conditionalFormatting sqref="AX42">
    <cfRule type="cellIs" dxfId="24176" priority="166095" stopIfTrue="1" operator="equal">
      <formula>-1</formula>
    </cfRule>
  </conditionalFormatting>
  <conditionalFormatting sqref="AX42">
    <cfRule type="cellIs" dxfId="24175" priority="166096" stopIfTrue="1" operator="lessThan">
      <formula>0.5</formula>
    </cfRule>
  </conditionalFormatting>
  <conditionalFormatting sqref="AX42">
    <cfRule type="cellIs" dxfId="24174" priority="166097" stopIfTrue="1" operator="greaterThanOrEqual">
      <formula>0.5</formula>
    </cfRule>
  </conditionalFormatting>
  <conditionalFormatting sqref="AX43">
    <cfRule type="cellIs" dxfId="24173" priority="166098" stopIfTrue="1" operator="equal">
      <formula>-1</formula>
    </cfRule>
  </conditionalFormatting>
  <conditionalFormatting sqref="AX43">
    <cfRule type="cellIs" dxfId="24172" priority="166099" stopIfTrue="1" operator="lessThan">
      <formula>0.5</formula>
    </cfRule>
  </conditionalFormatting>
  <conditionalFormatting sqref="AX43">
    <cfRule type="cellIs" dxfId="24171" priority="166100" stopIfTrue="1" operator="greaterThanOrEqual">
      <formula>0.5</formula>
    </cfRule>
  </conditionalFormatting>
  <conditionalFormatting sqref="AX44">
    <cfRule type="cellIs" dxfId="24170" priority="166101" stopIfTrue="1" operator="equal">
      <formula>-1</formula>
    </cfRule>
  </conditionalFormatting>
  <conditionalFormatting sqref="AX44">
    <cfRule type="cellIs" dxfId="24169" priority="166102" stopIfTrue="1" operator="lessThan">
      <formula>0.5</formula>
    </cfRule>
  </conditionalFormatting>
  <conditionalFormatting sqref="AX44">
    <cfRule type="cellIs" dxfId="24168" priority="166103" stopIfTrue="1" operator="greaterThanOrEqual">
      <formula>0.5</formula>
    </cfRule>
  </conditionalFormatting>
  <conditionalFormatting sqref="AX45">
    <cfRule type="cellIs" dxfId="24167" priority="166104" stopIfTrue="1" operator="equal">
      <formula>-1</formula>
    </cfRule>
  </conditionalFormatting>
  <conditionalFormatting sqref="AX45">
    <cfRule type="cellIs" dxfId="24166" priority="166105" stopIfTrue="1" operator="lessThan">
      <formula>0.5</formula>
    </cfRule>
  </conditionalFormatting>
  <conditionalFormatting sqref="AX45">
    <cfRule type="cellIs" dxfId="24165" priority="166106" stopIfTrue="1" operator="greaterThanOrEqual">
      <formula>0.5</formula>
    </cfRule>
  </conditionalFormatting>
  <conditionalFormatting sqref="AX46">
    <cfRule type="cellIs" dxfId="24164" priority="166107" stopIfTrue="1" operator="equal">
      <formula>-1</formula>
    </cfRule>
  </conditionalFormatting>
  <conditionalFormatting sqref="AX46">
    <cfRule type="cellIs" dxfId="24163" priority="166108" stopIfTrue="1" operator="lessThan">
      <formula>0.5</formula>
    </cfRule>
  </conditionalFormatting>
  <conditionalFormatting sqref="AX46">
    <cfRule type="cellIs" dxfId="24162" priority="166109" stopIfTrue="1" operator="greaterThanOrEqual">
      <formula>0.5</formula>
    </cfRule>
  </conditionalFormatting>
  <conditionalFormatting sqref="AX47">
    <cfRule type="cellIs" dxfId="24161" priority="166110" stopIfTrue="1" operator="equal">
      <formula>-1</formula>
    </cfRule>
  </conditionalFormatting>
  <conditionalFormatting sqref="AX47">
    <cfRule type="cellIs" dxfId="24160" priority="166111" stopIfTrue="1" operator="lessThan">
      <formula>0.5</formula>
    </cfRule>
  </conditionalFormatting>
  <conditionalFormatting sqref="AX47">
    <cfRule type="cellIs" dxfId="24159" priority="166112" stopIfTrue="1" operator="greaterThanOrEqual">
      <formula>0.5</formula>
    </cfRule>
  </conditionalFormatting>
  <conditionalFormatting sqref="AX48">
    <cfRule type="cellIs" dxfId="24158" priority="166113" stopIfTrue="1" operator="equal">
      <formula>-1</formula>
    </cfRule>
  </conditionalFormatting>
  <conditionalFormatting sqref="AX48">
    <cfRule type="cellIs" dxfId="24157" priority="166114" stopIfTrue="1" operator="lessThan">
      <formula>0.5</formula>
    </cfRule>
  </conditionalFormatting>
  <conditionalFormatting sqref="AX48">
    <cfRule type="cellIs" dxfId="24156" priority="166115" stopIfTrue="1" operator="greaterThanOrEqual">
      <formula>0.5</formula>
    </cfRule>
  </conditionalFormatting>
  <conditionalFormatting sqref="AX49">
    <cfRule type="cellIs" dxfId="24155" priority="166116" stopIfTrue="1" operator="equal">
      <formula>-1</formula>
    </cfRule>
  </conditionalFormatting>
  <conditionalFormatting sqref="AX49">
    <cfRule type="cellIs" dxfId="24154" priority="166117" stopIfTrue="1" operator="lessThan">
      <formula>0.5</formula>
    </cfRule>
  </conditionalFormatting>
  <conditionalFormatting sqref="AX49">
    <cfRule type="cellIs" dxfId="24153" priority="166118" stopIfTrue="1" operator="greaterThanOrEqual">
      <formula>0.5</formula>
    </cfRule>
  </conditionalFormatting>
  <conditionalFormatting sqref="AX50">
    <cfRule type="cellIs" dxfId="24152" priority="166119" stopIfTrue="1" operator="equal">
      <formula>-1</formula>
    </cfRule>
  </conditionalFormatting>
  <conditionalFormatting sqref="AX50">
    <cfRule type="cellIs" dxfId="24151" priority="166120" stopIfTrue="1" operator="lessThan">
      <formula>0.5</formula>
    </cfRule>
  </conditionalFormatting>
  <conditionalFormatting sqref="AX50">
    <cfRule type="cellIs" dxfId="24150" priority="166121" stopIfTrue="1" operator="greaterThanOrEqual">
      <formula>0.5</formula>
    </cfRule>
  </conditionalFormatting>
  <conditionalFormatting sqref="AX51">
    <cfRule type="cellIs" dxfId="24149" priority="166122" stopIfTrue="1" operator="equal">
      <formula>-1</formula>
    </cfRule>
  </conditionalFormatting>
  <conditionalFormatting sqref="AX51">
    <cfRule type="cellIs" dxfId="24148" priority="166123" stopIfTrue="1" operator="lessThan">
      <formula>0.5</formula>
    </cfRule>
  </conditionalFormatting>
  <conditionalFormatting sqref="AX51">
    <cfRule type="cellIs" dxfId="24147" priority="166124" stopIfTrue="1" operator="greaterThanOrEqual">
      <formula>0.5</formula>
    </cfRule>
  </conditionalFormatting>
  <conditionalFormatting sqref="AX52">
    <cfRule type="cellIs" dxfId="24146" priority="166125" stopIfTrue="1" operator="equal">
      <formula>-1</formula>
    </cfRule>
  </conditionalFormatting>
  <conditionalFormatting sqref="AX52">
    <cfRule type="cellIs" dxfId="24145" priority="166126" stopIfTrue="1" operator="lessThan">
      <formula>0.5</formula>
    </cfRule>
  </conditionalFormatting>
  <conditionalFormatting sqref="AX52">
    <cfRule type="cellIs" dxfId="24144" priority="166127" stopIfTrue="1" operator="greaterThanOrEqual">
      <formula>0.5</formula>
    </cfRule>
  </conditionalFormatting>
  <conditionalFormatting sqref="AX53">
    <cfRule type="cellIs" dxfId="24143" priority="166128" stopIfTrue="1" operator="equal">
      <formula>-1</formula>
    </cfRule>
  </conditionalFormatting>
  <conditionalFormatting sqref="AX53">
    <cfRule type="cellIs" dxfId="24142" priority="166129" stopIfTrue="1" operator="lessThan">
      <formula>0.5</formula>
    </cfRule>
  </conditionalFormatting>
  <conditionalFormatting sqref="AX53">
    <cfRule type="cellIs" dxfId="24141" priority="166130" stopIfTrue="1" operator="greaterThanOrEqual">
      <formula>0.5</formula>
    </cfRule>
  </conditionalFormatting>
  <conditionalFormatting sqref="AX54">
    <cfRule type="cellIs" dxfId="24140" priority="166131" stopIfTrue="1" operator="equal">
      <formula>-1</formula>
    </cfRule>
  </conditionalFormatting>
  <conditionalFormatting sqref="AX54">
    <cfRule type="cellIs" dxfId="24139" priority="166132" stopIfTrue="1" operator="lessThan">
      <formula>0.5</formula>
    </cfRule>
  </conditionalFormatting>
  <conditionalFormatting sqref="AX54">
    <cfRule type="cellIs" dxfId="24138" priority="166133" stopIfTrue="1" operator="greaterThanOrEqual">
      <formula>0.5</formula>
    </cfRule>
  </conditionalFormatting>
  <conditionalFormatting sqref="AX55">
    <cfRule type="cellIs" dxfId="24137" priority="166134" stopIfTrue="1" operator="equal">
      <formula>-1</formula>
    </cfRule>
  </conditionalFormatting>
  <conditionalFormatting sqref="AX55">
    <cfRule type="cellIs" dxfId="24136" priority="166135" stopIfTrue="1" operator="lessThan">
      <formula>0.5</formula>
    </cfRule>
  </conditionalFormatting>
  <conditionalFormatting sqref="AX55">
    <cfRule type="cellIs" dxfId="24135" priority="166136" stopIfTrue="1" operator="greaterThanOrEqual">
      <formula>0.5</formula>
    </cfRule>
  </conditionalFormatting>
  <conditionalFormatting sqref="AX56">
    <cfRule type="cellIs" dxfId="24134" priority="166137" stopIfTrue="1" operator="equal">
      <formula>-1</formula>
    </cfRule>
  </conditionalFormatting>
  <conditionalFormatting sqref="AX56">
    <cfRule type="cellIs" dxfId="24133" priority="166138" stopIfTrue="1" operator="lessThan">
      <formula>0.5</formula>
    </cfRule>
  </conditionalFormatting>
  <conditionalFormatting sqref="AX56">
    <cfRule type="cellIs" dxfId="24132" priority="166139" stopIfTrue="1" operator="greaterThanOrEqual">
      <formula>0.5</formula>
    </cfRule>
  </conditionalFormatting>
  <conditionalFormatting sqref="AX57">
    <cfRule type="cellIs" dxfId="24131" priority="166140" stopIfTrue="1" operator="equal">
      <formula>-1</formula>
    </cfRule>
  </conditionalFormatting>
  <conditionalFormatting sqref="AX57">
    <cfRule type="cellIs" dxfId="24130" priority="166141" stopIfTrue="1" operator="lessThan">
      <formula>0.5</formula>
    </cfRule>
  </conditionalFormatting>
  <conditionalFormatting sqref="AX57">
    <cfRule type="cellIs" dxfId="24129" priority="166142" stopIfTrue="1" operator="greaterThanOrEqual">
      <formula>0.5</formula>
    </cfRule>
  </conditionalFormatting>
  <conditionalFormatting sqref="AX58">
    <cfRule type="cellIs" dxfId="24128" priority="166143" stopIfTrue="1" operator="equal">
      <formula>-1</formula>
    </cfRule>
  </conditionalFormatting>
  <conditionalFormatting sqref="AX58">
    <cfRule type="cellIs" dxfId="24127" priority="166144" stopIfTrue="1" operator="lessThan">
      <formula>0.5</formula>
    </cfRule>
  </conditionalFormatting>
  <conditionalFormatting sqref="AX58">
    <cfRule type="cellIs" dxfId="24126" priority="166145" stopIfTrue="1" operator="greaterThanOrEqual">
      <formula>0.5</formula>
    </cfRule>
  </conditionalFormatting>
  <conditionalFormatting sqref="AZ39">
    <cfRule type="cellIs" dxfId="24125" priority="166146" stopIfTrue="1" operator="equal">
      <formula>-1</formula>
    </cfRule>
  </conditionalFormatting>
  <conditionalFormatting sqref="AZ39">
    <cfRule type="cellIs" dxfId="24124" priority="166147" stopIfTrue="1" operator="lessThan">
      <formula>0.5</formula>
    </cfRule>
  </conditionalFormatting>
  <conditionalFormatting sqref="AZ39">
    <cfRule type="cellIs" dxfId="24123" priority="166148" stopIfTrue="1" operator="greaterThanOrEqual">
      <formula>0.5</formula>
    </cfRule>
  </conditionalFormatting>
  <conditionalFormatting sqref="AZ40">
    <cfRule type="cellIs" dxfId="24122" priority="166149" stopIfTrue="1" operator="equal">
      <formula>-1</formula>
    </cfRule>
  </conditionalFormatting>
  <conditionalFormatting sqref="AZ40">
    <cfRule type="cellIs" dxfId="24121" priority="166150" stopIfTrue="1" operator="lessThan">
      <formula>0.5</formula>
    </cfRule>
  </conditionalFormatting>
  <conditionalFormatting sqref="AZ40">
    <cfRule type="cellIs" dxfId="24120" priority="166151" stopIfTrue="1" operator="greaterThanOrEqual">
      <formula>0.5</formula>
    </cfRule>
  </conditionalFormatting>
  <conditionalFormatting sqref="AZ41">
    <cfRule type="cellIs" dxfId="24119" priority="166152" stopIfTrue="1" operator="equal">
      <formula>-1</formula>
    </cfRule>
  </conditionalFormatting>
  <conditionalFormatting sqref="AZ41">
    <cfRule type="cellIs" dxfId="24118" priority="166153" stopIfTrue="1" operator="lessThan">
      <formula>0.5</formula>
    </cfRule>
  </conditionalFormatting>
  <conditionalFormatting sqref="AZ41">
    <cfRule type="cellIs" dxfId="24117" priority="166154" stopIfTrue="1" operator="greaterThanOrEqual">
      <formula>0.5</formula>
    </cfRule>
  </conditionalFormatting>
  <conditionalFormatting sqref="AZ42">
    <cfRule type="cellIs" dxfId="24116" priority="166155" stopIfTrue="1" operator="equal">
      <formula>-1</formula>
    </cfRule>
  </conditionalFormatting>
  <conditionalFormatting sqref="AZ42">
    <cfRule type="cellIs" dxfId="24115" priority="166156" stopIfTrue="1" operator="lessThan">
      <formula>0.5</formula>
    </cfRule>
  </conditionalFormatting>
  <conditionalFormatting sqref="AZ42">
    <cfRule type="cellIs" dxfId="24114" priority="166157" stopIfTrue="1" operator="greaterThanOrEqual">
      <formula>0.5</formula>
    </cfRule>
  </conditionalFormatting>
  <conditionalFormatting sqref="AZ43">
    <cfRule type="cellIs" dxfId="24113" priority="166158" stopIfTrue="1" operator="equal">
      <formula>-1</formula>
    </cfRule>
  </conditionalFormatting>
  <conditionalFormatting sqref="AZ43">
    <cfRule type="cellIs" dxfId="24112" priority="166159" stopIfTrue="1" operator="lessThan">
      <formula>0.5</formula>
    </cfRule>
  </conditionalFormatting>
  <conditionalFormatting sqref="AZ43">
    <cfRule type="cellIs" dxfId="24111" priority="166160" stopIfTrue="1" operator="greaterThanOrEqual">
      <formula>0.5</formula>
    </cfRule>
  </conditionalFormatting>
  <conditionalFormatting sqref="AZ44">
    <cfRule type="cellIs" dxfId="24110" priority="166161" stopIfTrue="1" operator="equal">
      <formula>-1</formula>
    </cfRule>
  </conditionalFormatting>
  <conditionalFormatting sqref="AZ44">
    <cfRule type="cellIs" dxfId="24109" priority="166162" stopIfTrue="1" operator="lessThan">
      <formula>0.5</formula>
    </cfRule>
  </conditionalFormatting>
  <conditionalFormatting sqref="AZ44">
    <cfRule type="cellIs" dxfId="24108" priority="166163" stopIfTrue="1" operator="greaterThanOrEqual">
      <formula>0.5</formula>
    </cfRule>
  </conditionalFormatting>
  <conditionalFormatting sqref="AZ45">
    <cfRule type="cellIs" dxfId="24107" priority="166164" stopIfTrue="1" operator="equal">
      <formula>-1</formula>
    </cfRule>
  </conditionalFormatting>
  <conditionalFormatting sqref="AZ45">
    <cfRule type="cellIs" dxfId="24106" priority="166165" stopIfTrue="1" operator="lessThan">
      <formula>0.5</formula>
    </cfRule>
  </conditionalFormatting>
  <conditionalFormatting sqref="AZ45">
    <cfRule type="cellIs" dxfId="24105" priority="166166" stopIfTrue="1" operator="greaterThanOrEqual">
      <formula>0.5</formula>
    </cfRule>
  </conditionalFormatting>
  <conditionalFormatting sqref="AZ46">
    <cfRule type="cellIs" dxfId="24104" priority="166167" stopIfTrue="1" operator="equal">
      <formula>-1</formula>
    </cfRule>
  </conditionalFormatting>
  <conditionalFormatting sqref="AZ46">
    <cfRule type="cellIs" dxfId="24103" priority="166168" stopIfTrue="1" operator="lessThan">
      <formula>0.5</formula>
    </cfRule>
  </conditionalFormatting>
  <conditionalFormatting sqref="AZ46">
    <cfRule type="cellIs" dxfId="24102" priority="166169" stopIfTrue="1" operator="greaterThanOrEqual">
      <formula>0.5</formula>
    </cfRule>
  </conditionalFormatting>
  <conditionalFormatting sqref="AZ47">
    <cfRule type="cellIs" dxfId="24101" priority="166170" stopIfTrue="1" operator="equal">
      <formula>-1</formula>
    </cfRule>
  </conditionalFormatting>
  <conditionalFormatting sqref="AZ47">
    <cfRule type="cellIs" dxfId="24100" priority="166171" stopIfTrue="1" operator="lessThan">
      <formula>0.5</formula>
    </cfRule>
  </conditionalFormatting>
  <conditionalFormatting sqref="AZ47">
    <cfRule type="cellIs" dxfId="24099" priority="166172" stopIfTrue="1" operator="greaterThanOrEqual">
      <formula>0.5</formula>
    </cfRule>
  </conditionalFormatting>
  <conditionalFormatting sqref="AZ48">
    <cfRule type="cellIs" dxfId="24098" priority="166173" stopIfTrue="1" operator="equal">
      <formula>-1</formula>
    </cfRule>
  </conditionalFormatting>
  <conditionalFormatting sqref="AZ48">
    <cfRule type="cellIs" dxfId="24097" priority="166174" stopIfTrue="1" operator="lessThan">
      <formula>0.5</formula>
    </cfRule>
  </conditionalFormatting>
  <conditionalFormatting sqref="AZ48">
    <cfRule type="cellIs" dxfId="24096" priority="166175" stopIfTrue="1" operator="greaterThanOrEqual">
      <formula>0.5</formula>
    </cfRule>
  </conditionalFormatting>
  <conditionalFormatting sqref="AZ49">
    <cfRule type="cellIs" dxfId="24095" priority="166176" stopIfTrue="1" operator="equal">
      <formula>-1</formula>
    </cfRule>
  </conditionalFormatting>
  <conditionalFormatting sqref="AZ49">
    <cfRule type="cellIs" dxfId="24094" priority="166177" stopIfTrue="1" operator="lessThan">
      <formula>0.5</formula>
    </cfRule>
  </conditionalFormatting>
  <conditionalFormatting sqref="AZ49">
    <cfRule type="cellIs" dxfId="24093" priority="166178" stopIfTrue="1" operator="greaterThanOrEqual">
      <formula>0.5</formula>
    </cfRule>
  </conditionalFormatting>
  <conditionalFormatting sqref="AZ50">
    <cfRule type="cellIs" dxfId="24092" priority="166179" stopIfTrue="1" operator="equal">
      <formula>-1</formula>
    </cfRule>
  </conditionalFormatting>
  <conditionalFormatting sqref="AZ50">
    <cfRule type="cellIs" dxfId="24091" priority="166180" stopIfTrue="1" operator="lessThan">
      <formula>0.5</formula>
    </cfRule>
  </conditionalFormatting>
  <conditionalFormatting sqref="AZ50">
    <cfRule type="cellIs" dxfId="24090" priority="166181" stopIfTrue="1" operator="greaterThanOrEqual">
      <formula>0.5</formula>
    </cfRule>
  </conditionalFormatting>
  <conditionalFormatting sqref="AZ51">
    <cfRule type="cellIs" dxfId="24089" priority="166182" stopIfTrue="1" operator="equal">
      <formula>-1</formula>
    </cfRule>
  </conditionalFormatting>
  <conditionalFormatting sqref="AZ51">
    <cfRule type="cellIs" dxfId="24088" priority="166183" stopIfTrue="1" operator="lessThan">
      <formula>0.5</formula>
    </cfRule>
  </conditionalFormatting>
  <conditionalFormatting sqref="AZ51">
    <cfRule type="cellIs" dxfId="24087" priority="166184" stopIfTrue="1" operator="greaterThanOrEqual">
      <formula>0.5</formula>
    </cfRule>
  </conditionalFormatting>
  <conditionalFormatting sqref="AZ52">
    <cfRule type="cellIs" dxfId="24086" priority="166185" stopIfTrue="1" operator="equal">
      <formula>-1</formula>
    </cfRule>
  </conditionalFormatting>
  <conditionalFormatting sqref="AZ52">
    <cfRule type="cellIs" dxfId="24085" priority="166186" stopIfTrue="1" operator="lessThan">
      <formula>0.5</formula>
    </cfRule>
  </conditionalFormatting>
  <conditionalFormatting sqref="AZ52">
    <cfRule type="cellIs" dxfId="24084" priority="166187" stopIfTrue="1" operator="greaterThanOrEqual">
      <formula>0.5</formula>
    </cfRule>
  </conditionalFormatting>
  <conditionalFormatting sqref="AZ53">
    <cfRule type="cellIs" dxfId="24083" priority="166188" stopIfTrue="1" operator="equal">
      <formula>-1</formula>
    </cfRule>
  </conditionalFormatting>
  <conditionalFormatting sqref="AZ53">
    <cfRule type="cellIs" dxfId="24082" priority="166189" stopIfTrue="1" operator="lessThan">
      <formula>0.5</formula>
    </cfRule>
  </conditionalFormatting>
  <conditionalFormatting sqref="AZ53">
    <cfRule type="cellIs" dxfId="24081" priority="166190" stopIfTrue="1" operator="greaterThanOrEqual">
      <formula>0.5</formula>
    </cfRule>
  </conditionalFormatting>
  <conditionalFormatting sqref="AZ54">
    <cfRule type="cellIs" dxfId="24080" priority="166191" stopIfTrue="1" operator="equal">
      <formula>-1</formula>
    </cfRule>
  </conditionalFormatting>
  <conditionalFormatting sqref="AZ54">
    <cfRule type="cellIs" dxfId="24079" priority="166192" stopIfTrue="1" operator="lessThan">
      <formula>0.5</formula>
    </cfRule>
  </conditionalFormatting>
  <conditionalFormatting sqref="AZ54">
    <cfRule type="cellIs" dxfId="24078" priority="166193" stopIfTrue="1" operator="greaterThanOrEqual">
      <formula>0.5</formula>
    </cfRule>
  </conditionalFormatting>
  <conditionalFormatting sqref="AZ55">
    <cfRule type="cellIs" dxfId="24077" priority="166194" stopIfTrue="1" operator="equal">
      <formula>-1</formula>
    </cfRule>
  </conditionalFormatting>
  <conditionalFormatting sqref="AZ55">
    <cfRule type="cellIs" dxfId="24076" priority="166195" stopIfTrue="1" operator="lessThan">
      <formula>0.5</formula>
    </cfRule>
  </conditionalFormatting>
  <conditionalFormatting sqref="AZ55">
    <cfRule type="cellIs" dxfId="24075" priority="166196" stopIfTrue="1" operator="greaterThanOrEqual">
      <formula>0.5</formula>
    </cfRule>
  </conditionalFormatting>
  <conditionalFormatting sqref="AZ56">
    <cfRule type="cellIs" dxfId="24074" priority="166197" stopIfTrue="1" operator="equal">
      <formula>-1</formula>
    </cfRule>
  </conditionalFormatting>
  <conditionalFormatting sqref="AZ56">
    <cfRule type="cellIs" dxfId="24073" priority="166198" stopIfTrue="1" operator="lessThan">
      <formula>0.5</formula>
    </cfRule>
  </conditionalFormatting>
  <conditionalFormatting sqref="AZ56">
    <cfRule type="cellIs" dxfId="24072" priority="166199" stopIfTrue="1" operator="greaterThanOrEqual">
      <formula>0.5</formula>
    </cfRule>
  </conditionalFormatting>
  <conditionalFormatting sqref="AZ57">
    <cfRule type="cellIs" dxfId="24071" priority="166200" stopIfTrue="1" operator="equal">
      <formula>-1</formula>
    </cfRule>
  </conditionalFormatting>
  <conditionalFormatting sqref="AZ57">
    <cfRule type="cellIs" dxfId="24070" priority="166201" stopIfTrue="1" operator="lessThan">
      <formula>0.5</formula>
    </cfRule>
  </conditionalFormatting>
  <conditionalFormatting sqref="AZ57">
    <cfRule type="cellIs" dxfId="24069" priority="166202" stopIfTrue="1" operator="greaterThanOrEqual">
      <formula>0.5</formula>
    </cfRule>
  </conditionalFormatting>
  <conditionalFormatting sqref="AZ58">
    <cfRule type="cellIs" dxfId="24068" priority="166203" stopIfTrue="1" operator="equal">
      <formula>-1</formula>
    </cfRule>
  </conditionalFormatting>
  <conditionalFormatting sqref="AZ58">
    <cfRule type="cellIs" dxfId="24067" priority="166204" stopIfTrue="1" operator="lessThan">
      <formula>0.5</formula>
    </cfRule>
  </conditionalFormatting>
  <conditionalFormatting sqref="AZ58">
    <cfRule type="cellIs" dxfId="24066" priority="166205" stopIfTrue="1" operator="greaterThanOrEqual">
      <formula>0.5</formula>
    </cfRule>
  </conditionalFormatting>
  <conditionalFormatting sqref="BB39">
    <cfRule type="cellIs" dxfId="24065" priority="166206" stopIfTrue="1" operator="equal">
      <formula>-1</formula>
    </cfRule>
  </conditionalFormatting>
  <conditionalFormatting sqref="BB39">
    <cfRule type="cellIs" dxfId="24064" priority="166207" stopIfTrue="1" operator="lessThan">
      <formula>0.5</formula>
    </cfRule>
  </conditionalFormatting>
  <conditionalFormatting sqref="BB39">
    <cfRule type="cellIs" dxfId="24063" priority="166208" stopIfTrue="1" operator="greaterThanOrEqual">
      <formula>0.5</formula>
    </cfRule>
  </conditionalFormatting>
  <conditionalFormatting sqref="BB40">
    <cfRule type="cellIs" dxfId="24062" priority="166209" stopIfTrue="1" operator="equal">
      <formula>-1</formula>
    </cfRule>
  </conditionalFormatting>
  <conditionalFormatting sqref="BB40">
    <cfRule type="cellIs" dxfId="24061" priority="166210" stopIfTrue="1" operator="lessThan">
      <formula>0.5</formula>
    </cfRule>
  </conditionalFormatting>
  <conditionalFormatting sqref="BB40">
    <cfRule type="cellIs" dxfId="24060" priority="166211" stopIfTrue="1" operator="greaterThanOrEqual">
      <formula>0.5</formula>
    </cfRule>
  </conditionalFormatting>
  <conditionalFormatting sqref="BB41">
    <cfRule type="cellIs" dxfId="24059" priority="166212" stopIfTrue="1" operator="equal">
      <formula>-1</formula>
    </cfRule>
  </conditionalFormatting>
  <conditionalFormatting sqref="BB41">
    <cfRule type="cellIs" dxfId="24058" priority="166213" stopIfTrue="1" operator="lessThan">
      <formula>0.5</formula>
    </cfRule>
  </conditionalFormatting>
  <conditionalFormatting sqref="BB41">
    <cfRule type="cellIs" dxfId="24057" priority="166214" stopIfTrue="1" operator="greaterThanOrEqual">
      <formula>0.5</formula>
    </cfRule>
  </conditionalFormatting>
  <conditionalFormatting sqref="BB42">
    <cfRule type="cellIs" dxfId="24056" priority="166215" stopIfTrue="1" operator="equal">
      <formula>-1</formula>
    </cfRule>
  </conditionalFormatting>
  <conditionalFormatting sqref="BB42">
    <cfRule type="cellIs" dxfId="24055" priority="166216" stopIfTrue="1" operator="lessThan">
      <formula>0.5</formula>
    </cfRule>
  </conditionalFormatting>
  <conditionalFormatting sqref="BB42">
    <cfRule type="cellIs" dxfId="24054" priority="166217" stopIfTrue="1" operator="greaterThanOrEqual">
      <formula>0.5</formula>
    </cfRule>
  </conditionalFormatting>
  <conditionalFormatting sqref="BB43">
    <cfRule type="cellIs" dxfId="24053" priority="166218" stopIfTrue="1" operator="equal">
      <formula>-1</formula>
    </cfRule>
  </conditionalFormatting>
  <conditionalFormatting sqref="BB43">
    <cfRule type="cellIs" dxfId="24052" priority="166219" stopIfTrue="1" operator="lessThan">
      <formula>0.5</formula>
    </cfRule>
  </conditionalFormatting>
  <conditionalFormatting sqref="BB43">
    <cfRule type="cellIs" dxfId="24051" priority="166220" stopIfTrue="1" operator="greaterThanOrEqual">
      <formula>0.5</formula>
    </cfRule>
  </conditionalFormatting>
  <conditionalFormatting sqref="BB44">
    <cfRule type="cellIs" dxfId="24050" priority="166221" stopIfTrue="1" operator="equal">
      <formula>-1</formula>
    </cfRule>
  </conditionalFormatting>
  <conditionalFormatting sqref="BB44">
    <cfRule type="cellIs" dxfId="24049" priority="166222" stopIfTrue="1" operator="lessThan">
      <formula>0.5</formula>
    </cfRule>
  </conditionalFormatting>
  <conditionalFormatting sqref="BB44">
    <cfRule type="cellIs" dxfId="24048" priority="166223" stopIfTrue="1" operator="greaterThanOrEqual">
      <formula>0.5</formula>
    </cfRule>
  </conditionalFormatting>
  <conditionalFormatting sqref="BB45">
    <cfRule type="cellIs" dxfId="24047" priority="166224" stopIfTrue="1" operator="equal">
      <formula>-1</formula>
    </cfRule>
  </conditionalFormatting>
  <conditionalFormatting sqref="BB45">
    <cfRule type="cellIs" dxfId="24046" priority="166225" stopIfTrue="1" operator="lessThan">
      <formula>0.5</formula>
    </cfRule>
  </conditionalFormatting>
  <conditionalFormatting sqref="BB45">
    <cfRule type="cellIs" dxfId="24045" priority="166226" stopIfTrue="1" operator="greaterThanOrEqual">
      <formula>0.5</formula>
    </cfRule>
  </conditionalFormatting>
  <conditionalFormatting sqref="BB46">
    <cfRule type="cellIs" dxfId="24044" priority="166227" stopIfTrue="1" operator="equal">
      <formula>-1</formula>
    </cfRule>
  </conditionalFormatting>
  <conditionalFormatting sqref="BB46">
    <cfRule type="cellIs" dxfId="24043" priority="166228" stopIfTrue="1" operator="lessThan">
      <formula>0.5</formula>
    </cfRule>
  </conditionalFormatting>
  <conditionalFormatting sqref="BB46">
    <cfRule type="cellIs" dxfId="24042" priority="166229" stopIfTrue="1" operator="greaterThanOrEqual">
      <formula>0.5</formula>
    </cfRule>
  </conditionalFormatting>
  <conditionalFormatting sqref="BB47">
    <cfRule type="cellIs" dxfId="24041" priority="166230" stopIfTrue="1" operator="equal">
      <formula>-1</formula>
    </cfRule>
  </conditionalFormatting>
  <conditionalFormatting sqref="BB47">
    <cfRule type="cellIs" dxfId="24040" priority="166231" stopIfTrue="1" operator="lessThan">
      <formula>0.5</formula>
    </cfRule>
  </conditionalFormatting>
  <conditionalFormatting sqref="BB47">
    <cfRule type="cellIs" dxfId="24039" priority="166232" stopIfTrue="1" operator="greaterThanOrEqual">
      <formula>0.5</formula>
    </cfRule>
  </conditionalFormatting>
  <conditionalFormatting sqref="BB48">
    <cfRule type="cellIs" dxfId="24038" priority="166233" stopIfTrue="1" operator="equal">
      <formula>-1</formula>
    </cfRule>
  </conditionalFormatting>
  <conditionalFormatting sqref="BB48">
    <cfRule type="cellIs" dxfId="24037" priority="166234" stopIfTrue="1" operator="lessThan">
      <formula>0.5</formula>
    </cfRule>
  </conditionalFormatting>
  <conditionalFormatting sqref="BB48">
    <cfRule type="cellIs" dxfId="24036" priority="166235" stopIfTrue="1" operator="greaterThanOrEqual">
      <formula>0.5</formula>
    </cfRule>
  </conditionalFormatting>
  <conditionalFormatting sqref="BB49">
    <cfRule type="cellIs" dxfId="24035" priority="166236" stopIfTrue="1" operator="equal">
      <formula>-1</formula>
    </cfRule>
  </conditionalFormatting>
  <conditionalFormatting sqref="BB49">
    <cfRule type="cellIs" dxfId="24034" priority="166237" stopIfTrue="1" operator="lessThan">
      <formula>0.5</formula>
    </cfRule>
  </conditionalFormatting>
  <conditionalFormatting sqref="BB49">
    <cfRule type="cellIs" dxfId="24033" priority="166238" stopIfTrue="1" operator="greaterThanOrEqual">
      <formula>0.5</formula>
    </cfRule>
  </conditionalFormatting>
  <conditionalFormatting sqref="BB50">
    <cfRule type="cellIs" dxfId="24032" priority="166239" stopIfTrue="1" operator="equal">
      <formula>-1</formula>
    </cfRule>
  </conditionalFormatting>
  <conditionalFormatting sqref="BB50">
    <cfRule type="cellIs" dxfId="24031" priority="166240" stopIfTrue="1" operator="lessThan">
      <formula>0.5</formula>
    </cfRule>
  </conditionalFormatting>
  <conditionalFormatting sqref="BB50">
    <cfRule type="cellIs" dxfId="24030" priority="166241" stopIfTrue="1" operator="greaterThanOrEqual">
      <formula>0.5</formula>
    </cfRule>
  </conditionalFormatting>
  <conditionalFormatting sqref="BB51">
    <cfRule type="cellIs" dxfId="24029" priority="166242" stopIfTrue="1" operator="equal">
      <formula>-1</formula>
    </cfRule>
  </conditionalFormatting>
  <conditionalFormatting sqref="BB51">
    <cfRule type="cellIs" dxfId="24028" priority="166243" stopIfTrue="1" operator="lessThan">
      <formula>0.5</formula>
    </cfRule>
  </conditionalFormatting>
  <conditionalFormatting sqref="BB51">
    <cfRule type="cellIs" dxfId="24027" priority="166244" stopIfTrue="1" operator="greaterThanOrEqual">
      <formula>0.5</formula>
    </cfRule>
  </conditionalFormatting>
  <conditionalFormatting sqref="BB52">
    <cfRule type="cellIs" dxfId="24026" priority="166245" stopIfTrue="1" operator="equal">
      <formula>-1</formula>
    </cfRule>
  </conditionalFormatting>
  <conditionalFormatting sqref="BB52">
    <cfRule type="cellIs" dxfId="24025" priority="166246" stopIfTrue="1" operator="lessThan">
      <formula>0.5</formula>
    </cfRule>
  </conditionalFormatting>
  <conditionalFormatting sqref="BB52">
    <cfRule type="cellIs" dxfId="24024" priority="166247" stopIfTrue="1" operator="greaterThanOrEqual">
      <formula>0.5</formula>
    </cfRule>
  </conditionalFormatting>
  <conditionalFormatting sqref="BB53">
    <cfRule type="cellIs" dxfId="24023" priority="166248" stopIfTrue="1" operator="equal">
      <formula>-1</formula>
    </cfRule>
  </conditionalFormatting>
  <conditionalFormatting sqref="BB53">
    <cfRule type="cellIs" dxfId="24022" priority="166249" stopIfTrue="1" operator="lessThan">
      <formula>0.5</formula>
    </cfRule>
  </conditionalFormatting>
  <conditionalFormatting sqref="BB53">
    <cfRule type="cellIs" dxfId="24021" priority="166250" stopIfTrue="1" operator="greaterThanOrEqual">
      <formula>0.5</formula>
    </cfRule>
  </conditionalFormatting>
  <conditionalFormatting sqref="BB54">
    <cfRule type="cellIs" dxfId="24020" priority="166251" stopIfTrue="1" operator="equal">
      <formula>-1</formula>
    </cfRule>
  </conditionalFormatting>
  <conditionalFormatting sqref="BB54">
    <cfRule type="cellIs" dxfId="24019" priority="166252" stopIfTrue="1" operator="lessThan">
      <formula>0.5</formula>
    </cfRule>
  </conditionalFormatting>
  <conditionalFormatting sqref="BB54">
    <cfRule type="cellIs" dxfId="24018" priority="166253" stopIfTrue="1" operator="greaterThanOrEqual">
      <formula>0.5</formula>
    </cfRule>
  </conditionalFormatting>
  <conditionalFormatting sqref="BB55">
    <cfRule type="cellIs" dxfId="24017" priority="166254" stopIfTrue="1" operator="equal">
      <formula>-1</formula>
    </cfRule>
  </conditionalFormatting>
  <conditionalFormatting sqref="BB55">
    <cfRule type="cellIs" dxfId="24016" priority="166255" stopIfTrue="1" operator="lessThan">
      <formula>0.5</formula>
    </cfRule>
  </conditionalFormatting>
  <conditionalFormatting sqref="BB55">
    <cfRule type="cellIs" dxfId="24015" priority="166256" stopIfTrue="1" operator="greaterThanOrEqual">
      <formula>0.5</formula>
    </cfRule>
  </conditionalFormatting>
  <conditionalFormatting sqref="BB56">
    <cfRule type="cellIs" dxfId="24014" priority="166257" stopIfTrue="1" operator="equal">
      <formula>-1</formula>
    </cfRule>
  </conditionalFormatting>
  <conditionalFormatting sqref="BB56">
    <cfRule type="cellIs" dxfId="24013" priority="166258" stopIfTrue="1" operator="lessThan">
      <formula>0.5</formula>
    </cfRule>
  </conditionalFormatting>
  <conditionalFormatting sqref="BB56">
    <cfRule type="cellIs" dxfId="24012" priority="166259" stopIfTrue="1" operator="greaterThanOrEqual">
      <formula>0.5</formula>
    </cfRule>
  </conditionalFormatting>
  <conditionalFormatting sqref="BB57">
    <cfRule type="cellIs" dxfId="24011" priority="166260" stopIfTrue="1" operator="equal">
      <formula>-1</formula>
    </cfRule>
  </conditionalFormatting>
  <conditionalFormatting sqref="BB57">
    <cfRule type="cellIs" dxfId="24010" priority="166261" stopIfTrue="1" operator="lessThan">
      <formula>0.5</formula>
    </cfRule>
  </conditionalFormatting>
  <conditionalFormatting sqref="BB57">
    <cfRule type="cellIs" dxfId="24009" priority="166262" stopIfTrue="1" operator="greaterThanOrEqual">
      <formula>0.5</formula>
    </cfRule>
  </conditionalFormatting>
  <conditionalFormatting sqref="BB58">
    <cfRule type="cellIs" dxfId="24008" priority="166263" stopIfTrue="1" operator="equal">
      <formula>-1</formula>
    </cfRule>
  </conditionalFormatting>
  <conditionalFormatting sqref="BB58">
    <cfRule type="cellIs" dxfId="24007" priority="166264" stopIfTrue="1" operator="lessThan">
      <formula>0.5</formula>
    </cfRule>
  </conditionalFormatting>
  <conditionalFormatting sqref="BB58">
    <cfRule type="cellIs" dxfId="24006" priority="166265" stopIfTrue="1" operator="greaterThanOrEqual">
      <formula>0.5</formula>
    </cfRule>
  </conditionalFormatting>
  <conditionalFormatting sqref="BD39">
    <cfRule type="cellIs" dxfId="24005" priority="166266" stopIfTrue="1" operator="equal">
      <formula>-1</formula>
    </cfRule>
  </conditionalFormatting>
  <conditionalFormatting sqref="BD39">
    <cfRule type="cellIs" dxfId="24004" priority="166267" stopIfTrue="1" operator="lessThan">
      <formula>0.5</formula>
    </cfRule>
  </conditionalFormatting>
  <conditionalFormatting sqref="BD39">
    <cfRule type="cellIs" dxfId="24003" priority="166268" stopIfTrue="1" operator="greaterThanOrEqual">
      <formula>0.5</formula>
    </cfRule>
  </conditionalFormatting>
  <conditionalFormatting sqref="BD40">
    <cfRule type="cellIs" dxfId="24002" priority="166269" stopIfTrue="1" operator="equal">
      <formula>-1</formula>
    </cfRule>
  </conditionalFormatting>
  <conditionalFormatting sqref="BD40">
    <cfRule type="cellIs" dxfId="24001" priority="166270" stopIfTrue="1" operator="lessThan">
      <formula>0.5</formula>
    </cfRule>
  </conditionalFormatting>
  <conditionalFormatting sqref="BD40">
    <cfRule type="cellIs" dxfId="24000" priority="166271" stopIfTrue="1" operator="greaterThanOrEqual">
      <formula>0.5</formula>
    </cfRule>
  </conditionalFormatting>
  <conditionalFormatting sqref="BD41">
    <cfRule type="cellIs" dxfId="23999" priority="166272" stopIfTrue="1" operator="equal">
      <formula>-1</formula>
    </cfRule>
  </conditionalFormatting>
  <conditionalFormatting sqref="BD41">
    <cfRule type="cellIs" dxfId="23998" priority="166273" stopIfTrue="1" operator="lessThan">
      <formula>0.5</formula>
    </cfRule>
  </conditionalFormatting>
  <conditionalFormatting sqref="BD41">
    <cfRule type="cellIs" dxfId="23997" priority="166274" stopIfTrue="1" operator="greaterThanOrEqual">
      <formula>0.5</formula>
    </cfRule>
  </conditionalFormatting>
  <conditionalFormatting sqref="BD42">
    <cfRule type="cellIs" dxfId="23996" priority="166275" stopIfTrue="1" operator="equal">
      <formula>-1</formula>
    </cfRule>
  </conditionalFormatting>
  <conditionalFormatting sqref="BD42">
    <cfRule type="cellIs" dxfId="23995" priority="166276" stopIfTrue="1" operator="lessThan">
      <formula>0.5</formula>
    </cfRule>
  </conditionalFormatting>
  <conditionalFormatting sqref="BD42">
    <cfRule type="cellIs" dxfId="23994" priority="166277" stopIfTrue="1" operator="greaterThanOrEqual">
      <formula>0.5</formula>
    </cfRule>
  </conditionalFormatting>
  <conditionalFormatting sqref="BD43">
    <cfRule type="cellIs" dxfId="23993" priority="166278" stopIfTrue="1" operator="equal">
      <formula>-1</formula>
    </cfRule>
  </conditionalFormatting>
  <conditionalFormatting sqref="BD43">
    <cfRule type="cellIs" dxfId="23992" priority="166279" stopIfTrue="1" operator="lessThan">
      <formula>0.5</formula>
    </cfRule>
  </conditionalFormatting>
  <conditionalFormatting sqref="BD43">
    <cfRule type="cellIs" dxfId="23991" priority="166280" stopIfTrue="1" operator="greaterThanOrEqual">
      <formula>0.5</formula>
    </cfRule>
  </conditionalFormatting>
  <conditionalFormatting sqref="BD44">
    <cfRule type="cellIs" dxfId="23990" priority="166281" stopIfTrue="1" operator="equal">
      <formula>-1</formula>
    </cfRule>
  </conditionalFormatting>
  <conditionalFormatting sqref="BD44">
    <cfRule type="cellIs" dxfId="23989" priority="166282" stopIfTrue="1" operator="lessThan">
      <formula>0.5</formula>
    </cfRule>
  </conditionalFormatting>
  <conditionalFormatting sqref="BD44">
    <cfRule type="cellIs" dxfId="23988" priority="166283" stopIfTrue="1" operator="greaterThanOrEqual">
      <formula>0.5</formula>
    </cfRule>
  </conditionalFormatting>
  <conditionalFormatting sqref="BD45">
    <cfRule type="cellIs" dxfId="23987" priority="166284" stopIfTrue="1" operator="equal">
      <formula>-1</formula>
    </cfRule>
  </conditionalFormatting>
  <conditionalFormatting sqref="BD45">
    <cfRule type="cellIs" dxfId="23986" priority="166285" stopIfTrue="1" operator="lessThan">
      <formula>0.5</formula>
    </cfRule>
  </conditionalFormatting>
  <conditionalFormatting sqref="BD45">
    <cfRule type="cellIs" dxfId="23985" priority="166286" stopIfTrue="1" operator="greaterThanOrEqual">
      <formula>0.5</formula>
    </cfRule>
  </conditionalFormatting>
  <conditionalFormatting sqref="BD46">
    <cfRule type="cellIs" dxfId="23984" priority="166287" stopIfTrue="1" operator="equal">
      <formula>-1</formula>
    </cfRule>
  </conditionalFormatting>
  <conditionalFormatting sqref="BD46">
    <cfRule type="cellIs" dxfId="23983" priority="166288" stopIfTrue="1" operator="lessThan">
      <formula>0.5</formula>
    </cfRule>
  </conditionalFormatting>
  <conditionalFormatting sqref="BD46">
    <cfRule type="cellIs" dxfId="23982" priority="166289" stopIfTrue="1" operator="greaterThanOrEqual">
      <formula>0.5</formula>
    </cfRule>
  </conditionalFormatting>
  <conditionalFormatting sqref="BD47">
    <cfRule type="cellIs" dxfId="23981" priority="166290" stopIfTrue="1" operator="equal">
      <formula>-1</formula>
    </cfRule>
  </conditionalFormatting>
  <conditionalFormatting sqref="BD47">
    <cfRule type="cellIs" dxfId="23980" priority="166291" stopIfTrue="1" operator="lessThan">
      <formula>0.5</formula>
    </cfRule>
  </conditionalFormatting>
  <conditionalFormatting sqref="BD47">
    <cfRule type="cellIs" dxfId="23979" priority="166292" stopIfTrue="1" operator="greaterThanOrEqual">
      <formula>0.5</formula>
    </cfRule>
  </conditionalFormatting>
  <conditionalFormatting sqref="BD48">
    <cfRule type="cellIs" dxfId="23978" priority="166293" stopIfTrue="1" operator="equal">
      <formula>-1</formula>
    </cfRule>
  </conditionalFormatting>
  <conditionalFormatting sqref="BD48">
    <cfRule type="cellIs" dxfId="23977" priority="166294" stopIfTrue="1" operator="lessThan">
      <formula>0.5</formula>
    </cfRule>
  </conditionalFormatting>
  <conditionalFormatting sqref="BD48">
    <cfRule type="cellIs" dxfId="23976" priority="166295" stopIfTrue="1" operator="greaterThanOrEqual">
      <formula>0.5</formula>
    </cfRule>
  </conditionalFormatting>
  <conditionalFormatting sqref="BD49">
    <cfRule type="cellIs" dxfId="23975" priority="166296" stopIfTrue="1" operator="equal">
      <formula>-1</formula>
    </cfRule>
  </conditionalFormatting>
  <conditionalFormatting sqref="BD49">
    <cfRule type="cellIs" dxfId="23974" priority="166297" stopIfTrue="1" operator="lessThan">
      <formula>0.5</formula>
    </cfRule>
  </conditionalFormatting>
  <conditionalFormatting sqref="BD49">
    <cfRule type="cellIs" dxfId="23973" priority="166298" stopIfTrue="1" operator="greaterThanOrEqual">
      <formula>0.5</formula>
    </cfRule>
  </conditionalFormatting>
  <conditionalFormatting sqref="BD50">
    <cfRule type="cellIs" dxfId="23972" priority="166299" stopIfTrue="1" operator="equal">
      <formula>-1</formula>
    </cfRule>
  </conditionalFormatting>
  <conditionalFormatting sqref="BD50">
    <cfRule type="cellIs" dxfId="23971" priority="166300" stopIfTrue="1" operator="lessThan">
      <formula>0.5</formula>
    </cfRule>
  </conditionalFormatting>
  <conditionalFormatting sqref="BD50">
    <cfRule type="cellIs" dxfId="23970" priority="166301" stopIfTrue="1" operator="greaterThanOrEqual">
      <formula>0.5</formula>
    </cfRule>
  </conditionalFormatting>
  <conditionalFormatting sqref="BD51">
    <cfRule type="cellIs" dxfId="23969" priority="166302" stopIfTrue="1" operator="equal">
      <formula>-1</formula>
    </cfRule>
  </conditionalFormatting>
  <conditionalFormatting sqref="BD51">
    <cfRule type="cellIs" dxfId="23968" priority="166303" stopIfTrue="1" operator="lessThan">
      <formula>0.5</formula>
    </cfRule>
  </conditionalFormatting>
  <conditionalFormatting sqref="BD51">
    <cfRule type="cellIs" dxfId="23967" priority="166304" stopIfTrue="1" operator="greaterThanOrEqual">
      <formula>0.5</formula>
    </cfRule>
  </conditionalFormatting>
  <conditionalFormatting sqref="BD52">
    <cfRule type="cellIs" dxfId="23966" priority="166305" stopIfTrue="1" operator="equal">
      <formula>-1</formula>
    </cfRule>
  </conditionalFormatting>
  <conditionalFormatting sqref="BD52">
    <cfRule type="cellIs" dxfId="23965" priority="166306" stopIfTrue="1" operator="lessThan">
      <formula>0.5</formula>
    </cfRule>
  </conditionalFormatting>
  <conditionalFormatting sqref="BD52">
    <cfRule type="cellIs" dxfId="23964" priority="166307" stopIfTrue="1" operator="greaterThanOrEqual">
      <formula>0.5</formula>
    </cfRule>
  </conditionalFormatting>
  <conditionalFormatting sqref="BD53">
    <cfRule type="cellIs" dxfId="23963" priority="166308" stopIfTrue="1" operator="equal">
      <formula>-1</formula>
    </cfRule>
  </conditionalFormatting>
  <conditionalFormatting sqref="BD53">
    <cfRule type="cellIs" dxfId="23962" priority="166309" stopIfTrue="1" operator="lessThan">
      <formula>0.5</formula>
    </cfRule>
  </conditionalFormatting>
  <conditionalFormatting sqref="BD53">
    <cfRule type="cellIs" dxfId="23961" priority="166310" stopIfTrue="1" operator="greaterThanOrEqual">
      <formula>0.5</formula>
    </cfRule>
  </conditionalFormatting>
  <conditionalFormatting sqref="BD54">
    <cfRule type="cellIs" dxfId="23960" priority="166311" stopIfTrue="1" operator="equal">
      <formula>-1</formula>
    </cfRule>
  </conditionalFormatting>
  <conditionalFormatting sqref="BD54">
    <cfRule type="cellIs" dxfId="23959" priority="166312" stopIfTrue="1" operator="lessThan">
      <formula>0.5</formula>
    </cfRule>
  </conditionalFormatting>
  <conditionalFormatting sqref="BD54">
    <cfRule type="cellIs" dxfId="23958" priority="166313" stopIfTrue="1" operator="greaterThanOrEqual">
      <formula>0.5</formula>
    </cfRule>
  </conditionalFormatting>
  <conditionalFormatting sqref="BD55">
    <cfRule type="cellIs" dxfId="23957" priority="166314" stopIfTrue="1" operator="equal">
      <formula>-1</formula>
    </cfRule>
  </conditionalFormatting>
  <conditionalFormatting sqref="BD55">
    <cfRule type="cellIs" dxfId="23956" priority="166315" stopIfTrue="1" operator="lessThan">
      <formula>0.5</formula>
    </cfRule>
  </conditionalFormatting>
  <conditionalFormatting sqref="BD55">
    <cfRule type="cellIs" dxfId="23955" priority="166316" stopIfTrue="1" operator="greaterThanOrEqual">
      <formula>0.5</formula>
    </cfRule>
  </conditionalFormatting>
  <conditionalFormatting sqref="BD56">
    <cfRule type="cellIs" dxfId="23954" priority="166317" stopIfTrue="1" operator="equal">
      <formula>-1</formula>
    </cfRule>
  </conditionalFormatting>
  <conditionalFormatting sqref="BD56">
    <cfRule type="cellIs" dxfId="23953" priority="166318" stopIfTrue="1" operator="lessThan">
      <formula>0.5</formula>
    </cfRule>
  </conditionalFormatting>
  <conditionalFormatting sqref="BD56">
    <cfRule type="cellIs" dxfId="23952" priority="166319" stopIfTrue="1" operator="greaterThanOrEqual">
      <formula>0.5</formula>
    </cfRule>
  </conditionalFormatting>
  <conditionalFormatting sqref="BD57">
    <cfRule type="cellIs" dxfId="23951" priority="166320" stopIfTrue="1" operator="equal">
      <formula>-1</formula>
    </cfRule>
  </conditionalFormatting>
  <conditionalFormatting sqref="BD57">
    <cfRule type="cellIs" dxfId="23950" priority="166321" stopIfTrue="1" operator="lessThan">
      <formula>0.5</formula>
    </cfRule>
  </conditionalFormatting>
  <conditionalFormatting sqref="BD57">
    <cfRule type="cellIs" dxfId="23949" priority="166322" stopIfTrue="1" operator="greaterThanOrEqual">
      <formula>0.5</formula>
    </cfRule>
  </conditionalFormatting>
  <conditionalFormatting sqref="BD58">
    <cfRule type="cellIs" dxfId="23948" priority="166323" stopIfTrue="1" operator="equal">
      <formula>-1</formula>
    </cfRule>
  </conditionalFormatting>
  <conditionalFormatting sqref="BD58">
    <cfRule type="cellIs" dxfId="23947" priority="166324" stopIfTrue="1" operator="lessThan">
      <formula>0.5</formula>
    </cfRule>
  </conditionalFormatting>
  <conditionalFormatting sqref="BD58">
    <cfRule type="cellIs" dxfId="23946" priority="166325" stopIfTrue="1" operator="greaterThanOrEqual">
      <formula>0.5</formula>
    </cfRule>
  </conditionalFormatting>
  <conditionalFormatting sqref="BF39">
    <cfRule type="cellIs" dxfId="23945" priority="166326" stopIfTrue="1" operator="equal">
      <formula>-1</formula>
    </cfRule>
  </conditionalFormatting>
  <conditionalFormatting sqref="BF39">
    <cfRule type="cellIs" dxfId="23944" priority="166327" stopIfTrue="1" operator="lessThan">
      <formula>0.5</formula>
    </cfRule>
  </conditionalFormatting>
  <conditionalFormatting sqref="BF39">
    <cfRule type="cellIs" dxfId="23943" priority="166328" stopIfTrue="1" operator="greaterThanOrEqual">
      <formula>0.5</formula>
    </cfRule>
  </conditionalFormatting>
  <conditionalFormatting sqref="BF40">
    <cfRule type="cellIs" dxfId="23942" priority="166329" stopIfTrue="1" operator="equal">
      <formula>-1</formula>
    </cfRule>
  </conditionalFormatting>
  <conditionalFormatting sqref="BF40">
    <cfRule type="cellIs" dxfId="23941" priority="166330" stopIfTrue="1" operator="lessThan">
      <formula>0.5</formula>
    </cfRule>
  </conditionalFormatting>
  <conditionalFormatting sqref="BF40">
    <cfRule type="cellIs" dxfId="23940" priority="166331" stopIfTrue="1" operator="greaterThanOrEqual">
      <formula>0.5</formula>
    </cfRule>
  </conditionalFormatting>
  <conditionalFormatting sqref="BF41">
    <cfRule type="cellIs" dxfId="23939" priority="166332" stopIfTrue="1" operator="equal">
      <formula>-1</formula>
    </cfRule>
  </conditionalFormatting>
  <conditionalFormatting sqref="BF41">
    <cfRule type="cellIs" dxfId="23938" priority="166333" stopIfTrue="1" operator="lessThan">
      <formula>0.5</formula>
    </cfRule>
  </conditionalFormatting>
  <conditionalFormatting sqref="BF41">
    <cfRule type="cellIs" dxfId="23937" priority="166334" stopIfTrue="1" operator="greaterThanOrEqual">
      <formula>0.5</formula>
    </cfRule>
  </conditionalFormatting>
  <conditionalFormatting sqref="BF42">
    <cfRule type="cellIs" dxfId="23936" priority="166335" stopIfTrue="1" operator="equal">
      <formula>-1</formula>
    </cfRule>
  </conditionalFormatting>
  <conditionalFormatting sqref="BF42">
    <cfRule type="cellIs" dxfId="23935" priority="166336" stopIfTrue="1" operator="lessThan">
      <formula>0.5</formula>
    </cfRule>
  </conditionalFormatting>
  <conditionalFormatting sqref="BF42">
    <cfRule type="cellIs" dxfId="23934" priority="166337" stopIfTrue="1" operator="greaterThanOrEqual">
      <formula>0.5</formula>
    </cfRule>
  </conditionalFormatting>
  <conditionalFormatting sqref="BF43">
    <cfRule type="cellIs" dxfId="23933" priority="166338" stopIfTrue="1" operator="equal">
      <formula>-1</formula>
    </cfRule>
  </conditionalFormatting>
  <conditionalFormatting sqref="BF43">
    <cfRule type="cellIs" dxfId="23932" priority="166339" stopIfTrue="1" operator="lessThan">
      <formula>0.5</formula>
    </cfRule>
  </conditionalFormatting>
  <conditionalFormatting sqref="BF43">
    <cfRule type="cellIs" dxfId="23931" priority="166340" stopIfTrue="1" operator="greaterThanOrEqual">
      <formula>0.5</formula>
    </cfRule>
  </conditionalFormatting>
  <conditionalFormatting sqref="BF44">
    <cfRule type="cellIs" dxfId="23930" priority="166341" stopIfTrue="1" operator="equal">
      <formula>-1</formula>
    </cfRule>
  </conditionalFormatting>
  <conditionalFormatting sqref="BF44">
    <cfRule type="cellIs" dxfId="23929" priority="166342" stopIfTrue="1" operator="lessThan">
      <formula>0.5</formula>
    </cfRule>
  </conditionalFormatting>
  <conditionalFormatting sqref="BF44">
    <cfRule type="cellIs" dxfId="23928" priority="166343" stopIfTrue="1" operator="greaterThanOrEqual">
      <formula>0.5</formula>
    </cfRule>
  </conditionalFormatting>
  <conditionalFormatting sqref="BF45">
    <cfRule type="cellIs" dxfId="23927" priority="166344" stopIfTrue="1" operator="equal">
      <formula>-1</formula>
    </cfRule>
  </conditionalFormatting>
  <conditionalFormatting sqref="BF45">
    <cfRule type="cellIs" dxfId="23926" priority="166345" stopIfTrue="1" operator="lessThan">
      <formula>0.5</formula>
    </cfRule>
  </conditionalFormatting>
  <conditionalFormatting sqref="BF45">
    <cfRule type="cellIs" dxfId="23925" priority="166346" stopIfTrue="1" operator="greaterThanOrEqual">
      <formula>0.5</formula>
    </cfRule>
  </conditionalFormatting>
  <conditionalFormatting sqref="BF46">
    <cfRule type="cellIs" dxfId="23924" priority="166347" stopIfTrue="1" operator="equal">
      <formula>-1</formula>
    </cfRule>
  </conditionalFormatting>
  <conditionalFormatting sqref="BF46">
    <cfRule type="cellIs" dxfId="23923" priority="166348" stopIfTrue="1" operator="lessThan">
      <formula>0.5</formula>
    </cfRule>
  </conditionalFormatting>
  <conditionalFormatting sqref="BF46">
    <cfRule type="cellIs" dxfId="23922" priority="166349" stopIfTrue="1" operator="greaterThanOrEqual">
      <formula>0.5</formula>
    </cfRule>
  </conditionalFormatting>
  <conditionalFormatting sqref="BF47">
    <cfRule type="cellIs" dxfId="23921" priority="166350" stopIfTrue="1" operator="equal">
      <formula>-1</formula>
    </cfRule>
  </conditionalFormatting>
  <conditionalFormatting sqref="BF47">
    <cfRule type="cellIs" dxfId="23920" priority="166351" stopIfTrue="1" operator="lessThan">
      <formula>0.5</formula>
    </cfRule>
  </conditionalFormatting>
  <conditionalFormatting sqref="BF47">
    <cfRule type="cellIs" dxfId="23919" priority="166352" stopIfTrue="1" operator="greaterThanOrEqual">
      <formula>0.5</formula>
    </cfRule>
  </conditionalFormatting>
  <conditionalFormatting sqref="BF48">
    <cfRule type="cellIs" dxfId="23918" priority="166353" stopIfTrue="1" operator="equal">
      <formula>-1</formula>
    </cfRule>
  </conditionalFormatting>
  <conditionalFormatting sqref="BF48">
    <cfRule type="cellIs" dxfId="23917" priority="166354" stopIfTrue="1" operator="lessThan">
      <formula>0.5</formula>
    </cfRule>
  </conditionalFormatting>
  <conditionalFormatting sqref="BF48">
    <cfRule type="cellIs" dxfId="23916" priority="166355" stopIfTrue="1" operator="greaterThanOrEqual">
      <formula>0.5</formula>
    </cfRule>
  </conditionalFormatting>
  <conditionalFormatting sqref="BF49">
    <cfRule type="cellIs" dxfId="23915" priority="166356" stopIfTrue="1" operator="equal">
      <formula>-1</formula>
    </cfRule>
  </conditionalFormatting>
  <conditionalFormatting sqref="BF49">
    <cfRule type="cellIs" dxfId="23914" priority="166357" stopIfTrue="1" operator="lessThan">
      <formula>0.5</formula>
    </cfRule>
  </conditionalFormatting>
  <conditionalFormatting sqref="BF49">
    <cfRule type="cellIs" dxfId="23913" priority="166358" stopIfTrue="1" operator="greaterThanOrEqual">
      <formula>0.5</formula>
    </cfRule>
  </conditionalFormatting>
  <conditionalFormatting sqref="BF50">
    <cfRule type="cellIs" dxfId="23912" priority="166359" stopIfTrue="1" operator="equal">
      <formula>-1</formula>
    </cfRule>
  </conditionalFormatting>
  <conditionalFormatting sqref="BF50">
    <cfRule type="cellIs" dxfId="23911" priority="166360" stopIfTrue="1" operator="lessThan">
      <formula>0.5</formula>
    </cfRule>
  </conditionalFormatting>
  <conditionalFormatting sqref="BF50">
    <cfRule type="cellIs" dxfId="23910" priority="166361" stopIfTrue="1" operator="greaterThanOrEqual">
      <formula>0.5</formula>
    </cfRule>
  </conditionalFormatting>
  <conditionalFormatting sqref="BF51">
    <cfRule type="cellIs" dxfId="23909" priority="166362" stopIfTrue="1" operator="equal">
      <formula>-1</formula>
    </cfRule>
  </conditionalFormatting>
  <conditionalFormatting sqref="BF51">
    <cfRule type="cellIs" dxfId="23908" priority="166363" stopIfTrue="1" operator="lessThan">
      <formula>0.5</formula>
    </cfRule>
  </conditionalFormatting>
  <conditionalFormatting sqref="BF51">
    <cfRule type="cellIs" dxfId="23907" priority="166364" stopIfTrue="1" operator="greaterThanOrEqual">
      <formula>0.5</formula>
    </cfRule>
  </conditionalFormatting>
  <conditionalFormatting sqref="BF52">
    <cfRule type="cellIs" dxfId="23906" priority="166365" stopIfTrue="1" operator="equal">
      <formula>-1</formula>
    </cfRule>
  </conditionalFormatting>
  <conditionalFormatting sqref="BF52">
    <cfRule type="cellIs" dxfId="23905" priority="166366" stopIfTrue="1" operator="lessThan">
      <formula>0.5</formula>
    </cfRule>
  </conditionalFormatting>
  <conditionalFormatting sqref="BF52">
    <cfRule type="cellIs" dxfId="23904" priority="166367" stopIfTrue="1" operator="greaterThanOrEqual">
      <formula>0.5</formula>
    </cfRule>
  </conditionalFormatting>
  <conditionalFormatting sqref="BF53">
    <cfRule type="cellIs" dxfId="23903" priority="166368" stopIfTrue="1" operator="equal">
      <formula>-1</formula>
    </cfRule>
  </conditionalFormatting>
  <conditionalFormatting sqref="BF53">
    <cfRule type="cellIs" dxfId="23902" priority="166369" stopIfTrue="1" operator="lessThan">
      <formula>0.5</formula>
    </cfRule>
  </conditionalFormatting>
  <conditionalFormatting sqref="BF53">
    <cfRule type="cellIs" dxfId="23901" priority="166370" stopIfTrue="1" operator="greaterThanOrEqual">
      <formula>0.5</formula>
    </cfRule>
  </conditionalFormatting>
  <conditionalFormatting sqref="BF54">
    <cfRule type="cellIs" dxfId="23900" priority="166371" stopIfTrue="1" operator="equal">
      <formula>-1</formula>
    </cfRule>
  </conditionalFormatting>
  <conditionalFormatting sqref="BF54">
    <cfRule type="cellIs" dxfId="23899" priority="166372" stopIfTrue="1" operator="lessThan">
      <formula>0.5</formula>
    </cfRule>
  </conditionalFormatting>
  <conditionalFormatting sqref="BF54">
    <cfRule type="cellIs" dxfId="23898" priority="166373" stopIfTrue="1" operator="greaterThanOrEqual">
      <formula>0.5</formula>
    </cfRule>
  </conditionalFormatting>
  <conditionalFormatting sqref="BF55">
    <cfRule type="cellIs" dxfId="23897" priority="166374" stopIfTrue="1" operator="equal">
      <formula>-1</formula>
    </cfRule>
  </conditionalFormatting>
  <conditionalFormatting sqref="BF55">
    <cfRule type="cellIs" dxfId="23896" priority="166375" stopIfTrue="1" operator="lessThan">
      <formula>0.5</formula>
    </cfRule>
  </conditionalFormatting>
  <conditionalFormatting sqref="BF55">
    <cfRule type="cellIs" dxfId="23895" priority="166376" stopIfTrue="1" operator="greaterThanOrEqual">
      <formula>0.5</formula>
    </cfRule>
  </conditionalFormatting>
  <conditionalFormatting sqref="BF56">
    <cfRule type="cellIs" dxfId="23894" priority="166377" stopIfTrue="1" operator="equal">
      <formula>-1</formula>
    </cfRule>
  </conditionalFormatting>
  <conditionalFormatting sqref="BF56">
    <cfRule type="cellIs" dxfId="23893" priority="166378" stopIfTrue="1" operator="lessThan">
      <formula>0.5</formula>
    </cfRule>
  </conditionalFormatting>
  <conditionalFormatting sqref="BF56">
    <cfRule type="cellIs" dxfId="23892" priority="166379" stopIfTrue="1" operator="greaterThanOrEqual">
      <formula>0.5</formula>
    </cfRule>
  </conditionalFormatting>
  <conditionalFormatting sqref="BF57">
    <cfRule type="cellIs" dxfId="23891" priority="166380" stopIfTrue="1" operator="equal">
      <formula>-1</formula>
    </cfRule>
  </conditionalFormatting>
  <conditionalFormatting sqref="BF57">
    <cfRule type="cellIs" dxfId="23890" priority="166381" stopIfTrue="1" operator="lessThan">
      <formula>0.5</formula>
    </cfRule>
  </conditionalFormatting>
  <conditionalFormatting sqref="BF57">
    <cfRule type="cellIs" dxfId="23889" priority="166382" stopIfTrue="1" operator="greaterThanOrEqual">
      <formula>0.5</formula>
    </cfRule>
  </conditionalFormatting>
  <conditionalFormatting sqref="BF58">
    <cfRule type="cellIs" dxfId="23888" priority="166383" stopIfTrue="1" operator="equal">
      <formula>-1</formula>
    </cfRule>
  </conditionalFormatting>
  <conditionalFormatting sqref="BF58">
    <cfRule type="cellIs" dxfId="23887" priority="166384" stopIfTrue="1" operator="lessThan">
      <formula>0.5</formula>
    </cfRule>
  </conditionalFormatting>
  <conditionalFormatting sqref="BF58">
    <cfRule type="cellIs" dxfId="23886" priority="166385" stopIfTrue="1" operator="greaterThanOrEqual">
      <formula>0.5</formula>
    </cfRule>
  </conditionalFormatting>
  <conditionalFormatting sqref="BH39">
    <cfRule type="cellIs" dxfId="23885" priority="166386" stopIfTrue="1" operator="equal">
      <formula>-1</formula>
    </cfRule>
  </conditionalFormatting>
  <conditionalFormatting sqref="BH39">
    <cfRule type="cellIs" dxfId="23884" priority="166387" stopIfTrue="1" operator="lessThan">
      <formula>0.5</formula>
    </cfRule>
  </conditionalFormatting>
  <conditionalFormatting sqref="BH39">
    <cfRule type="cellIs" dxfId="23883" priority="166388" stopIfTrue="1" operator="greaterThanOrEqual">
      <formula>0.5</formula>
    </cfRule>
  </conditionalFormatting>
  <conditionalFormatting sqref="BH40">
    <cfRule type="cellIs" dxfId="23882" priority="166389" stopIfTrue="1" operator="equal">
      <formula>-1</formula>
    </cfRule>
  </conditionalFormatting>
  <conditionalFormatting sqref="BH40">
    <cfRule type="cellIs" dxfId="23881" priority="166390" stopIfTrue="1" operator="lessThan">
      <formula>0.5</formula>
    </cfRule>
  </conditionalFormatting>
  <conditionalFormatting sqref="BH40">
    <cfRule type="cellIs" dxfId="23880" priority="166391" stopIfTrue="1" operator="greaterThanOrEqual">
      <formula>0.5</formula>
    </cfRule>
  </conditionalFormatting>
  <conditionalFormatting sqref="BH41">
    <cfRule type="cellIs" dxfId="23879" priority="166392" stopIfTrue="1" operator="equal">
      <formula>-1</formula>
    </cfRule>
  </conditionalFormatting>
  <conditionalFormatting sqref="BH41">
    <cfRule type="cellIs" dxfId="23878" priority="166393" stopIfTrue="1" operator="lessThan">
      <formula>0.5</formula>
    </cfRule>
  </conditionalFormatting>
  <conditionalFormatting sqref="BH41">
    <cfRule type="cellIs" dxfId="23877" priority="166394" stopIfTrue="1" operator="greaterThanOrEqual">
      <formula>0.5</formula>
    </cfRule>
  </conditionalFormatting>
  <conditionalFormatting sqref="BH42">
    <cfRule type="cellIs" dxfId="23876" priority="166395" stopIfTrue="1" operator="equal">
      <formula>-1</formula>
    </cfRule>
  </conditionalFormatting>
  <conditionalFormatting sqref="BH42">
    <cfRule type="cellIs" dxfId="23875" priority="166396" stopIfTrue="1" operator="lessThan">
      <formula>0.5</formula>
    </cfRule>
  </conditionalFormatting>
  <conditionalFormatting sqref="BH42">
    <cfRule type="cellIs" dxfId="23874" priority="166397" stopIfTrue="1" operator="greaterThanOrEqual">
      <formula>0.5</formula>
    </cfRule>
  </conditionalFormatting>
  <conditionalFormatting sqref="BH43">
    <cfRule type="cellIs" dxfId="23873" priority="166398" stopIfTrue="1" operator="equal">
      <formula>-1</formula>
    </cfRule>
  </conditionalFormatting>
  <conditionalFormatting sqref="BH43">
    <cfRule type="cellIs" dxfId="23872" priority="166399" stopIfTrue="1" operator="lessThan">
      <formula>0.5</formula>
    </cfRule>
  </conditionalFormatting>
  <conditionalFormatting sqref="BH43">
    <cfRule type="cellIs" dxfId="23871" priority="166400" stopIfTrue="1" operator="greaterThanOrEqual">
      <formula>0.5</formula>
    </cfRule>
  </conditionalFormatting>
  <conditionalFormatting sqref="BH44">
    <cfRule type="cellIs" dxfId="23870" priority="166401" stopIfTrue="1" operator="equal">
      <formula>-1</formula>
    </cfRule>
  </conditionalFormatting>
  <conditionalFormatting sqref="BH44">
    <cfRule type="cellIs" dxfId="23869" priority="166402" stopIfTrue="1" operator="lessThan">
      <formula>0.5</formula>
    </cfRule>
  </conditionalFormatting>
  <conditionalFormatting sqref="BH44">
    <cfRule type="cellIs" dxfId="23868" priority="166403" stopIfTrue="1" operator="greaterThanOrEqual">
      <formula>0.5</formula>
    </cfRule>
  </conditionalFormatting>
  <conditionalFormatting sqref="BH45">
    <cfRule type="cellIs" dxfId="23867" priority="166404" stopIfTrue="1" operator="equal">
      <formula>-1</formula>
    </cfRule>
  </conditionalFormatting>
  <conditionalFormatting sqref="BH45">
    <cfRule type="cellIs" dxfId="23866" priority="166405" stopIfTrue="1" operator="lessThan">
      <formula>0.5</formula>
    </cfRule>
  </conditionalFormatting>
  <conditionalFormatting sqref="BH45">
    <cfRule type="cellIs" dxfId="23865" priority="166406" stopIfTrue="1" operator="greaterThanOrEqual">
      <formula>0.5</formula>
    </cfRule>
  </conditionalFormatting>
  <conditionalFormatting sqref="BH46">
    <cfRule type="cellIs" dxfId="23864" priority="166407" stopIfTrue="1" operator="equal">
      <formula>-1</formula>
    </cfRule>
  </conditionalFormatting>
  <conditionalFormatting sqref="BH46">
    <cfRule type="cellIs" dxfId="23863" priority="166408" stopIfTrue="1" operator="lessThan">
      <formula>0.5</formula>
    </cfRule>
  </conditionalFormatting>
  <conditionalFormatting sqref="BH46">
    <cfRule type="cellIs" dxfId="23862" priority="166409" stopIfTrue="1" operator="greaterThanOrEqual">
      <formula>0.5</formula>
    </cfRule>
  </conditionalFormatting>
  <conditionalFormatting sqref="BH47">
    <cfRule type="cellIs" dxfId="23861" priority="166410" stopIfTrue="1" operator="equal">
      <formula>-1</formula>
    </cfRule>
  </conditionalFormatting>
  <conditionalFormatting sqref="BH47">
    <cfRule type="cellIs" dxfId="23860" priority="166411" stopIfTrue="1" operator="lessThan">
      <formula>0.5</formula>
    </cfRule>
  </conditionalFormatting>
  <conditionalFormatting sqref="BH47">
    <cfRule type="cellIs" dxfId="23859" priority="166412" stopIfTrue="1" operator="greaterThanOrEqual">
      <formula>0.5</formula>
    </cfRule>
  </conditionalFormatting>
  <conditionalFormatting sqref="BH48">
    <cfRule type="cellIs" dxfId="23858" priority="166413" stopIfTrue="1" operator="equal">
      <formula>-1</formula>
    </cfRule>
  </conditionalFormatting>
  <conditionalFormatting sqref="BH48">
    <cfRule type="cellIs" dxfId="23857" priority="166414" stopIfTrue="1" operator="lessThan">
      <formula>0.5</formula>
    </cfRule>
  </conditionalFormatting>
  <conditionalFormatting sqref="BH48">
    <cfRule type="cellIs" dxfId="23856" priority="166415" stopIfTrue="1" operator="greaterThanOrEqual">
      <formula>0.5</formula>
    </cfRule>
  </conditionalFormatting>
  <conditionalFormatting sqref="BH49">
    <cfRule type="cellIs" dxfId="23855" priority="166416" stopIfTrue="1" operator="equal">
      <formula>-1</formula>
    </cfRule>
  </conditionalFormatting>
  <conditionalFormatting sqref="BH49">
    <cfRule type="cellIs" dxfId="23854" priority="166417" stopIfTrue="1" operator="lessThan">
      <formula>0.5</formula>
    </cfRule>
  </conditionalFormatting>
  <conditionalFormatting sqref="BH49">
    <cfRule type="cellIs" dxfId="23853" priority="166418" stopIfTrue="1" operator="greaterThanOrEqual">
      <formula>0.5</formula>
    </cfRule>
  </conditionalFormatting>
  <conditionalFormatting sqref="BH50">
    <cfRule type="cellIs" dxfId="23852" priority="166419" stopIfTrue="1" operator="equal">
      <formula>-1</formula>
    </cfRule>
  </conditionalFormatting>
  <conditionalFormatting sqref="BH50">
    <cfRule type="cellIs" dxfId="23851" priority="166420" stopIfTrue="1" operator="lessThan">
      <formula>0.5</formula>
    </cfRule>
  </conditionalFormatting>
  <conditionalFormatting sqref="BH50">
    <cfRule type="cellIs" dxfId="23850" priority="166421" stopIfTrue="1" operator="greaterThanOrEqual">
      <formula>0.5</formula>
    </cfRule>
  </conditionalFormatting>
  <conditionalFormatting sqref="BH51">
    <cfRule type="cellIs" dxfId="23849" priority="166422" stopIfTrue="1" operator="equal">
      <formula>-1</formula>
    </cfRule>
  </conditionalFormatting>
  <conditionalFormatting sqref="BH51">
    <cfRule type="cellIs" dxfId="23848" priority="166423" stopIfTrue="1" operator="lessThan">
      <formula>0.5</formula>
    </cfRule>
  </conditionalFormatting>
  <conditionalFormatting sqref="BH51">
    <cfRule type="cellIs" dxfId="23847" priority="166424" stopIfTrue="1" operator="greaterThanOrEqual">
      <formula>0.5</formula>
    </cfRule>
  </conditionalFormatting>
  <conditionalFormatting sqref="BH52">
    <cfRule type="cellIs" dxfId="23846" priority="166425" stopIfTrue="1" operator="equal">
      <formula>-1</formula>
    </cfRule>
  </conditionalFormatting>
  <conditionalFormatting sqref="BH52">
    <cfRule type="cellIs" dxfId="23845" priority="166426" stopIfTrue="1" operator="lessThan">
      <formula>0.5</formula>
    </cfRule>
  </conditionalFormatting>
  <conditionalFormatting sqref="BH52">
    <cfRule type="cellIs" dxfId="23844" priority="166427" stopIfTrue="1" operator="greaterThanOrEqual">
      <formula>0.5</formula>
    </cfRule>
  </conditionalFormatting>
  <conditionalFormatting sqref="BH53">
    <cfRule type="cellIs" dxfId="23843" priority="166428" stopIfTrue="1" operator="equal">
      <formula>-1</formula>
    </cfRule>
  </conditionalFormatting>
  <conditionalFormatting sqref="BH53">
    <cfRule type="cellIs" dxfId="23842" priority="166429" stopIfTrue="1" operator="lessThan">
      <formula>0.5</formula>
    </cfRule>
  </conditionalFormatting>
  <conditionalFormatting sqref="BH53">
    <cfRule type="cellIs" dxfId="23841" priority="166430" stopIfTrue="1" operator="greaterThanOrEqual">
      <formula>0.5</formula>
    </cfRule>
  </conditionalFormatting>
  <conditionalFormatting sqref="BH54">
    <cfRule type="cellIs" dxfId="23840" priority="166431" stopIfTrue="1" operator="equal">
      <formula>-1</formula>
    </cfRule>
  </conditionalFormatting>
  <conditionalFormatting sqref="BH54">
    <cfRule type="cellIs" dxfId="23839" priority="166432" stopIfTrue="1" operator="lessThan">
      <formula>0.5</formula>
    </cfRule>
  </conditionalFormatting>
  <conditionalFormatting sqref="BH54">
    <cfRule type="cellIs" dxfId="23838" priority="166433" stopIfTrue="1" operator="greaterThanOrEqual">
      <formula>0.5</formula>
    </cfRule>
  </conditionalFormatting>
  <conditionalFormatting sqref="BH55">
    <cfRule type="cellIs" dxfId="23837" priority="166434" stopIfTrue="1" operator="equal">
      <formula>-1</formula>
    </cfRule>
  </conditionalFormatting>
  <conditionalFormatting sqref="BH55">
    <cfRule type="cellIs" dxfId="23836" priority="166435" stopIfTrue="1" operator="lessThan">
      <formula>0.5</formula>
    </cfRule>
  </conditionalFormatting>
  <conditionalFormatting sqref="BH55">
    <cfRule type="cellIs" dxfId="23835" priority="166436" stopIfTrue="1" operator="greaterThanOrEqual">
      <formula>0.5</formula>
    </cfRule>
  </conditionalFormatting>
  <conditionalFormatting sqref="BH56">
    <cfRule type="cellIs" dxfId="23834" priority="166437" stopIfTrue="1" operator="equal">
      <formula>-1</formula>
    </cfRule>
  </conditionalFormatting>
  <conditionalFormatting sqref="BH56">
    <cfRule type="cellIs" dxfId="23833" priority="166438" stopIfTrue="1" operator="lessThan">
      <formula>0.5</formula>
    </cfRule>
  </conditionalFormatting>
  <conditionalFormatting sqref="BH56">
    <cfRule type="cellIs" dxfId="23832" priority="166439" stopIfTrue="1" operator="greaterThanOrEqual">
      <formula>0.5</formula>
    </cfRule>
  </conditionalFormatting>
  <conditionalFormatting sqref="BH57">
    <cfRule type="cellIs" dxfId="23831" priority="166440" stopIfTrue="1" operator="equal">
      <formula>-1</formula>
    </cfRule>
  </conditionalFormatting>
  <conditionalFormatting sqref="BH57">
    <cfRule type="cellIs" dxfId="23830" priority="166441" stopIfTrue="1" operator="lessThan">
      <formula>0.5</formula>
    </cfRule>
  </conditionalFormatting>
  <conditionalFormatting sqref="BH57">
    <cfRule type="cellIs" dxfId="23829" priority="166442" stopIfTrue="1" operator="greaterThanOrEqual">
      <formula>0.5</formula>
    </cfRule>
  </conditionalFormatting>
  <conditionalFormatting sqref="BH58">
    <cfRule type="cellIs" dxfId="23828" priority="166443" stopIfTrue="1" operator="equal">
      <formula>-1</formula>
    </cfRule>
  </conditionalFormatting>
  <conditionalFormatting sqref="BH58">
    <cfRule type="cellIs" dxfId="23827" priority="166444" stopIfTrue="1" operator="lessThan">
      <formula>0.5</formula>
    </cfRule>
  </conditionalFormatting>
  <conditionalFormatting sqref="BH58">
    <cfRule type="cellIs" dxfId="23826" priority="166445" stopIfTrue="1" operator="greaterThanOrEqual">
      <formula>0.5</formula>
    </cfRule>
  </conditionalFormatting>
  <conditionalFormatting sqref="BJ39">
    <cfRule type="cellIs" dxfId="23825" priority="166446" stopIfTrue="1" operator="equal">
      <formula>-1</formula>
    </cfRule>
  </conditionalFormatting>
  <conditionalFormatting sqref="BJ39">
    <cfRule type="cellIs" dxfId="23824" priority="166447" stopIfTrue="1" operator="lessThan">
      <formula>0.5</formula>
    </cfRule>
  </conditionalFormatting>
  <conditionalFormatting sqref="BJ39">
    <cfRule type="cellIs" dxfId="23823" priority="166448" stopIfTrue="1" operator="greaterThanOrEqual">
      <formula>0.5</formula>
    </cfRule>
  </conditionalFormatting>
  <conditionalFormatting sqref="BJ40">
    <cfRule type="cellIs" dxfId="23822" priority="166449" stopIfTrue="1" operator="equal">
      <formula>-1</formula>
    </cfRule>
  </conditionalFormatting>
  <conditionalFormatting sqref="BJ40">
    <cfRule type="cellIs" dxfId="23821" priority="166450" stopIfTrue="1" operator="lessThan">
      <formula>0.5</formula>
    </cfRule>
  </conditionalFormatting>
  <conditionalFormatting sqref="BJ40">
    <cfRule type="cellIs" dxfId="23820" priority="166451" stopIfTrue="1" operator="greaterThanOrEqual">
      <formula>0.5</formula>
    </cfRule>
  </conditionalFormatting>
  <conditionalFormatting sqref="BJ41">
    <cfRule type="cellIs" dxfId="23819" priority="166452" stopIfTrue="1" operator="equal">
      <formula>-1</formula>
    </cfRule>
  </conditionalFormatting>
  <conditionalFormatting sqref="BJ41">
    <cfRule type="cellIs" dxfId="23818" priority="166453" stopIfTrue="1" operator="lessThan">
      <formula>0.5</formula>
    </cfRule>
  </conditionalFormatting>
  <conditionalFormatting sqref="BJ41">
    <cfRule type="cellIs" dxfId="23817" priority="166454" stopIfTrue="1" operator="greaterThanOrEqual">
      <formula>0.5</formula>
    </cfRule>
  </conditionalFormatting>
  <conditionalFormatting sqref="BJ42">
    <cfRule type="cellIs" dxfId="23816" priority="166455" stopIfTrue="1" operator="equal">
      <formula>-1</formula>
    </cfRule>
  </conditionalFormatting>
  <conditionalFormatting sqref="BJ42">
    <cfRule type="cellIs" dxfId="23815" priority="166456" stopIfTrue="1" operator="lessThan">
      <formula>0.5</formula>
    </cfRule>
  </conditionalFormatting>
  <conditionalFormatting sqref="BJ42">
    <cfRule type="cellIs" dxfId="23814" priority="166457" stopIfTrue="1" operator="greaterThanOrEqual">
      <formula>0.5</formula>
    </cfRule>
  </conditionalFormatting>
  <conditionalFormatting sqref="BJ43">
    <cfRule type="cellIs" dxfId="23813" priority="166458" stopIfTrue="1" operator="equal">
      <formula>-1</formula>
    </cfRule>
  </conditionalFormatting>
  <conditionalFormatting sqref="BJ43">
    <cfRule type="cellIs" dxfId="23812" priority="166459" stopIfTrue="1" operator="lessThan">
      <formula>0.5</formula>
    </cfRule>
  </conditionalFormatting>
  <conditionalFormatting sqref="BJ43">
    <cfRule type="cellIs" dxfId="23811" priority="166460" stopIfTrue="1" operator="greaterThanOrEqual">
      <formula>0.5</formula>
    </cfRule>
  </conditionalFormatting>
  <conditionalFormatting sqref="BJ44">
    <cfRule type="cellIs" dxfId="23810" priority="166461" stopIfTrue="1" operator="equal">
      <formula>-1</formula>
    </cfRule>
  </conditionalFormatting>
  <conditionalFormatting sqref="BJ44">
    <cfRule type="cellIs" dxfId="23809" priority="166462" stopIfTrue="1" operator="lessThan">
      <formula>0.5</formula>
    </cfRule>
  </conditionalFormatting>
  <conditionalFormatting sqref="BJ44">
    <cfRule type="cellIs" dxfId="23808" priority="166463" stopIfTrue="1" operator="greaterThanOrEqual">
      <formula>0.5</formula>
    </cfRule>
  </conditionalFormatting>
  <conditionalFormatting sqref="BJ45">
    <cfRule type="cellIs" dxfId="23807" priority="166464" stopIfTrue="1" operator="equal">
      <formula>-1</formula>
    </cfRule>
  </conditionalFormatting>
  <conditionalFormatting sqref="BJ45">
    <cfRule type="cellIs" dxfId="23806" priority="166465" stopIfTrue="1" operator="lessThan">
      <formula>0.5</formula>
    </cfRule>
  </conditionalFormatting>
  <conditionalFormatting sqref="BJ45">
    <cfRule type="cellIs" dxfId="23805" priority="166466" stopIfTrue="1" operator="greaterThanOrEqual">
      <formula>0.5</formula>
    </cfRule>
  </conditionalFormatting>
  <conditionalFormatting sqref="BJ46">
    <cfRule type="cellIs" dxfId="23804" priority="166467" stopIfTrue="1" operator="equal">
      <formula>-1</formula>
    </cfRule>
  </conditionalFormatting>
  <conditionalFormatting sqref="BJ46">
    <cfRule type="cellIs" dxfId="23803" priority="166468" stopIfTrue="1" operator="lessThan">
      <formula>0.5</formula>
    </cfRule>
  </conditionalFormatting>
  <conditionalFormatting sqref="BJ46">
    <cfRule type="cellIs" dxfId="23802" priority="166469" stopIfTrue="1" operator="greaterThanOrEqual">
      <formula>0.5</formula>
    </cfRule>
  </conditionalFormatting>
  <conditionalFormatting sqref="BJ47">
    <cfRule type="cellIs" dxfId="23801" priority="166470" stopIfTrue="1" operator="equal">
      <formula>-1</formula>
    </cfRule>
  </conditionalFormatting>
  <conditionalFormatting sqref="BJ47">
    <cfRule type="cellIs" dxfId="23800" priority="166471" stopIfTrue="1" operator="lessThan">
      <formula>0.5</formula>
    </cfRule>
  </conditionalFormatting>
  <conditionalFormatting sqref="BJ47">
    <cfRule type="cellIs" dxfId="23799" priority="166472" stopIfTrue="1" operator="greaterThanOrEqual">
      <formula>0.5</formula>
    </cfRule>
  </conditionalFormatting>
  <conditionalFormatting sqref="BJ48">
    <cfRule type="cellIs" dxfId="23798" priority="166473" stopIfTrue="1" operator="equal">
      <formula>-1</formula>
    </cfRule>
  </conditionalFormatting>
  <conditionalFormatting sqref="BJ48">
    <cfRule type="cellIs" dxfId="23797" priority="166474" stopIfTrue="1" operator="lessThan">
      <formula>0.5</formula>
    </cfRule>
  </conditionalFormatting>
  <conditionalFormatting sqref="BJ48">
    <cfRule type="cellIs" dxfId="23796" priority="166475" stopIfTrue="1" operator="greaterThanOrEqual">
      <formula>0.5</formula>
    </cfRule>
  </conditionalFormatting>
  <conditionalFormatting sqref="BJ49">
    <cfRule type="cellIs" dxfId="23795" priority="166476" stopIfTrue="1" operator="equal">
      <formula>-1</formula>
    </cfRule>
  </conditionalFormatting>
  <conditionalFormatting sqref="BJ49">
    <cfRule type="cellIs" dxfId="23794" priority="166477" stopIfTrue="1" operator="lessThan">
      <formula>0.5</formula>
    </cfRule>
  </conditionalFormatting>
  <conditionalFormatting sqref="BJ49">
    <cfRule type="cellIs" dxfId="23793" priority="166478" stopIfTrue="1" operator="greaterThanOrEqual">
      <formula>0.5</formula>
    </cfRule>
  </conditionalFormatting>
  <conditionalFormatting sqref="BJ50">
    <cfRule type="cellIs" dxfId="23792" priority="166479" stopIfTrue="1" operator="equal">
      <formula>-1</formula>
    </cfRule>
  </conditionalFormatting>
  <conditionalFormatting sqref="BJ50">
    <cfRule type="cellIs" dxfId="23791" priority="166480" stopIfTrue="1" operator="lessThan">
      <formula>0.5</formula>
    </cfRule>
  </conditionalFormatting>
  <conditionalFormatting sqref="BJ50">
    <cfRule type="cellIs" dxfId="23790" priority="166481" stopIfTrue="1" operator="greaterThanOrEqual">
      <formula>0.5</formula>
    </cfRule>
  </conditionalFormatting>
  <conditionalFormatting sqref="BJ51">
    <cfRule type="cellIs" dxfId="23789" priority="166482" stopIfTrue="1" operator="equal">
      <formula>-1</formula>
    </cfRule>
  </conditionalFormatting>
  <conditionalFormatting sqref="BJ51">
    <cfRule type="cellIs" dxfId="23788" priority="166483" stopIfTrue="1" operator="lessThan">
      <formula>0.5</formula>
    </cfRule>
  </conditionalFormatting>
  <conditionalFormatting sqref="BJ51">
    <cfRule type="cellIs" dxfId="23787" priority="166484" stopIfTrue="1" operator="greaterThanOrEqual">
      <formula>0.5</formula>
    </cfRule>
  </conditionalFormatting>
  <conditionalFormatting sqref="BJ52">
    <cfRule type="cellIs" dxfId="23786" priority="166485" stopIfTrue="1" operator="equal">
      <formula>-1</formula>
    </cfRule>
  </conditionalFormatting>
  <conditionalFormatting sqref="BJ52">
    <cfRule type="cellIs" dxfId="23785" priority="166486" stopIfTrue="1" operator="lessThan">
      <formula>0.5</formula>
    </cfRule>
  </conditionalFormatting>
  <conditionalFormatting sqref="BJ52">
    <cfRule type="cellIs" dxfId="23784" priority="166487" stopIfTrue="1" operator="greaterThanOrEqual">
      <formula>0.5</formula>
    </cfRule>
  </conditionalFormatting>
  <conditionalFormatting sqref="BJ53">
    <cfRule type="cellIs" dxfId="23783" priority="166488" stopIfTrue="1" operator="equal">
      <formula>-1</formula>
    </cfRule>
  </conditionalFormatting>
  <conditionalFormatting sqref="BJ53">
    <cfRule type="cellIs" dxfId="23782" priority="166489" stopIfTrue="1" operator="lessThan">
      <formula>0.5</formula>
    </cfRule>
  </conditionalFormatting>
  <conditionalFormatting sqref="BJ53">
    <cfRule type="cellIs" dxfId="23781" priority="166490" stopIfTrue="1" operator="greaterThanOrEqual">
      <formula>0.5</formula>
    </cfRule>
  </conditionalFormatting>
  <conditionalFormatting sqref="BJ54">
    <cfRule type="cellIs" dxfId="23780" priority="166491" stopIfTrue="1" operator="equal">
      <formula>-1</formula>
    </cfRule>
  </conditionalFormatting>
  <conditionalFormatting sqref="BJ54">
    <cfRule type="cellIs" dxfId="23779" priority="166492" stopIfTrue="1" operator="lessThan">
      <formula>0.5</formula>
    </cfRule>
  </conditionalFormatting>
  <conditionalFormatting sqref="BJ54">
    <cfRule type="cellIs" dxfId="23778" priority="166493" stopIfTrue="1" operator="greaterThanOrEqual">
      <formula>0.5</formula>
    </cfRule>
  </conditionalFormatting>
  <conditionalFormatting sqref="BJ55">
    <cfRule type="cellIs" dxfId="23777" priority="166494" stopIfTrue="1" operator="equal">
      <formula>-1</formula>
    </cfRule>
  </conditionalFormatting>
  <conditionalFormatting sqref="BJ55">
    <cfRule type="cellIs" dxfId="23776" priority="166495" stopIfTrue="1" operator="lessThan">
      <formula>0.5</formula>
    </cfRule>
  </conditionalFormatting>
  <conditionalFormatting sqref="BJ55">
    <cfRule type="cellIs" dxfId="23775" priority="166496" stopIfTrue="1" operator="greaterThanOrEqual">
      <formula>0.5</formula>
    </cfRule>
  </conditionalFormatting>
  <conditionalFormatting sqref="BJ56">
    <cfRule type="cellIs" dxfId="23774" priority="166497" stopIfTrue="1" operator="equal">
      <formula>-1</formula>
    </cfRule>
  </conditionalFormatting>
  <conditionalFormatting sqref="BJ56">
    <cfRule type="cellIs" dxfId="23773" priority="166498" stopIfTrue="1" operator="lessThan">
      <formula>0.5</formula>
    </cfRule>
  </conditionalFormatting>
  <conditionalFormatting sqref="BJ56">
    <cfRule type="cellIs" dxfId="23772" priority="166499" stopIfTrue="1" operator="greaterThanOrEqual">
      <formula>0.5</formula>
    </cfRule>
  </conditionalFormatting>
  <conditionalFormatting sqref="BJ57">
    <cfRule type="cellIs" dxfId="23771" priority="166500" stopIfTrue="1" operator="equal">
      <formula>-1</formula>
    </cfRule>
  </conditionalFormatting>
  <conditionalFormatting sqref="BJ57">
    <cfRule type="cellIs" dxfId="23770" priority="166501" stopIfTrue="1" operator="lessThan">
      <formula>0.5</formula>
    </cfRule>
  </conditionalFormatting>
  <conditionalFormatting sqref="BJ57">
    <cfRule type="cellIs" dxfId="23769" priority="166502" stopIfTrue="1" operator="greaterThanOrEqual">
      <formula>0.5</formula>
    </cfRule>
  </conditionalFormatting>
  <conditionalFormatting sqref="BJ58">
    <cfRule type="cellIs" dxfId="23768" priority="166503" stopIfTrue="1" operator="equal">
      <formula>-1</formula>
    </cfRule>
  </conditionalFormatting>
  <conditionalFormatting sqref="BJ58">
    <cfRule type="cellIs" dxfId="23767" priority="166504" stopIfTrue="1" operator="lessThan">
      <formula>0.5</formula>
    </cfRule>
  </conditionalFormatting>
  <conditionalFormatting sqref="BJ58">
    <cfRule type="cellIs" dxfId="23766" priority="166505" stopIfTrue="1" operator="greaterThanOrEqual">
      <formula>0.5</formula>
    </cfRule>
  </conditionalFormatting>
  <conditionalFormatting sqref="D60">
    <cfRule type="cellIs" dxfId="23765" priority="166506" stopIfTrue="1" operator="equal">
      <formula>-1</formula>
    </cfRule>
  </conditionalFormatting>
  <conditionalFormatting sqref="D60">
    <cfRule type="cellIs" dxfId="23764" priority="166507" stopIfTrue="1" operator="lessThan">
      <formula>0.5</formula>
    </cfRule>
  </conditionalFormatting>
  <conditionalFormatting sqref="D60">
    <cfRule type="cellIs" dxfId="23763" priority="166508" stopIfTrue="1" operator="greaterThanOrEqual">
      <formula>0.5</formula>
    </cfRule>
  </conditionalFormatting>
  <conditionalFormatting sqref="D61">
    <cfRule type="cellIs" dxfId="23762" priority="166509" stopIfTrue="1" operator="equal">
      <formula>-1</formula>
    </cfRule>
  </conditionalFormatting>
  <conditionalFormatting sqref="D61">
    <cfRule type="cellIs" dxfId="23761" priority="166510" stopIfTrue="1" operator="lessThan">
      <formula>0.5</formula>
    </cfRule>
  </conditionalFormatting>
  <conditionalFormatting sqref="D61">
    <cfRule type="cellIs" dxfId="23760" priority="166511" stopIfTrue="1" operator="greaterThanOrEqual">
      <formula>0.5</formula>
    </cfRule>
  </conditionalFormatting>
  <conditionalFormatting sqref="D62">
    <cfRule type="cellIs" dxfId="23759" priority="166512" stopIfTrue="1" operator="equal">
      <formula>-1</formula>
    </cfRule>
  </conditionalFormatting>
  <conditionalFormatting sqref="D62">
    <cfRule type="cellIs" dxfId="23758" priority="166513" stopIfTrue="1" operator="lessThan">
      <formula>0.5</formula>
    </cfRule>
  </conditionalFormatting>
  <conditionalFormatting sqref="D62">
    <cfRule type="cellIs" dxfId="23757" priority="166514" stopIfTrue="1" operator="greaterThanOrEqual">
      <formula>0.5</formula>
    </cfRule>
  </conditionalFormatting>
  <conditionalFormatting sqref="D63">
    <cfRule type="cellIs" dxfId="23756" priority="166515" stopIfTrue="1" operator="equal">
      <formula>-1</formula>
    </cfRule>
  </conditionalFormatting>
  <conditionalFormatting sqref="D63">
    <cfRule type="cellIs" dxfId="23755" priority="166516" stopIfTrue="1" operator="lessThan">
      <formula>0.5</formula>
    </cfRule>
  </conditionalFormatting>
  <conditionalFormatting sqref="D63">
    <cfRule type="cellIs" dxfId="23754" priority="166517" stopIfTrue="1" operator="greaterThanOrEqual">
      <formula>0.5</formula>
    </cfRule>
  </conditionalFormatting>
  <conditionalFormatting sqref="F60">
    <cfRule type="cellIs" dxfId="23753" priority="166518" stopIfTrue="1" operator="equal">
      <formula>-1</formula>
    </cfRule>
  </conditionalFormatting>
  <conditionalFormatting sqref="F60">
    <cfRule type="cellIs" dxfId="23752" priority="166519" stopIfTrue="1" operator="lessThan">
      <formula>0.5</formula>
    </cfRule>
  </conditionalFormatting>
  <conditionalFormatting sqref="F60">
    <cfRule type="cellIs" dxfId="23751" priority="166520" stopIfTrue="1" operator="greaterThanOrEqual">
      <formula>0.5</formula>
    </cfRule>
  </conditionalFormatting>
  <conditionalFormatting sqref="F61">
    <cfRule type="cellIs" dxfId="23750" priority="166521" stopIfTrue="1" operator="equal">
      <formula>-1</formula>
    </cfRule>
  </conditionalFormatting>
  <conditionalFormatting sqref="F61">
    <cfRule type="cellIs" dxfId="23749" priority="166522" stopIfTrue="1" operator="lessThan">
      <formula>0.5</formula>
    </cfRule>
  </conditionalFormatting>
  <conditionalFormatting sqref="F61">
    <cfRule type="cellIs" dxfId="23748" priority="166523" stopIfTrue="1" operator="greaterThanOrEqual">
      <formula>0.5</formula>
    </cfRule>
  </conditionalFormatting>
  <conditionalFormatting sqref="F62">
    <cfRule type="cellIs" dxfId="23747" priority="166524" stopIfTrue="1" operator="equal">
      <formula>-1</formula>
    </cfRule>
  </conditionalFormatting>
  <conditionalFormatting sqref="F62">
    <cfRule type="cellIs" dxfId="23746" priority="166525" stopIfTrue="1" operator="lessThan">
      <formula>0.5</formula>
    </cfRule>
  </conditionalFormatting>
  <conditionalFormatting sqref="F62">
    <cfRule type="cellIs" dxfId="23745" priority="166526" stopIfTrue="1" operator="greaterThanOrEqual">
      <formula>0.5</formula>
    </cfRule>
  </conditionalFormatting>
  <conditionalFormatting sqref="F63">
    <cfRule type="cellIs" dxfId="23744" priority="166527" stopIfTrue="1" operator="equal">
      <formula>-1</formula>
    </cfRule>
  </conditionalFormatting>
  <conditionalFormatting sqref="F63">
    <cfRule type="cellIs" dxfId="23743" priority="166528" stopIfTrue="1" operator="lessThan">
      <formula>0.5</formula>
    </cfRule>
  </conditionalFormatting>
  <conditionalFormatting sqref="F63">
    <cfRule type="cellIs" dxfId="23742" priority="166529" stopIfTrue="1" operator="greaterThanOrEqual">
      <formula>0.5</formula>
    </cfRule>
  </conditionalFormatting>
  <conditionalFormatting sqref="H60">
    <cfRule type="cellIs" dxfId="23741" priority="166530" stopIfTrue="1" operator="equal">
      <formula>-1</formula>
    </cfRule>
  </conditionalFormatting>
  <conditionalFormatting sqref="H60">
    <cfRule type="cellIs" dxfId="23740" priority="166531" stopIfTrue="1" operator="lessThan">
      <formula>0.5</formula>
    </cfRule>
  </conditionalFormatting>
  <conditionalFormatting sqref="H60">
    <cfRule type="cellIs" dxfId="23739" priority="166532" stopIfTrue="1" operator="greaterThanOrEqual">
      <formula>0.5</formula>
    </cfRule>
  </conditionalFormatting>
  <conditionalFormatting sqref="H61">
    <cfRule type="cellIs" dxfId="23738" priority="166533" stopIfTrue="1" operator="equal">
      <formula>-1</formula>
    </cfRule>
  </conditionalFormatting>
  <conditionalFormatting sqref="H61">
    <cfRule type="cellIs" dxfId="23737" priority="166534" stopIfTrue="1" operator="lessThan">
      <formula>0.5</formula>
    </cfRule>
  </conditionalFormatting>
  <conditionalFormatting sqref="H61">
    <cfRule type="cellIs" dxfId="23736" priority="166535" stopIfTrue="1" operator="greaterThanOrEqual">
      <formula>0.5</formula>
    </cfRule>
  </conditionalFormatting>
  <conditionalFormatting sqref="H62">
    <cfRule type="cellIs" dxfId="23735" priority="166536" stopIfTrue="1" operator="equal">
      <formula>-1</formula>
    </cfRule>
  </conditionalFormatting>
  <conditionalFormatting sqref="H62">
    <cfRule type="cellIs" dxfId="23734" priority="166537" stopIfTrue="1" operator="lessThan">
      <formula>0.5</formula>
    </cfRule>
  </conditionalFormatting>
  <conditionalFormatting sqref="H62">
    <cfRule type="cellIs" dxfId="23733" priority="166538" stopIfTrue="1" operator="greaterThanOrEqual">
      <formula>0.5</formula>
    </cfRule>
  </conditionalFormatting>
  <conditionalFormatting sqref="H63">
    <cfRule type="cellIs" dxfId="23732" priority="166539" stopIfTrue="1" operator="equal">
      <formula>-1</formula>
    </cfRule>
  </conditionalFormatting>
  <conditionalFormatting sqref="H63">
    <cfRule type="cellIs" dxfId="23731" priority="166540" stopIfTrue="1" operator="lessThan">
      <formula>0.5</formula>
    </cfRule>
  </conditionalFormatting>
  <conditionalFormatting sqref="H63">
    <cfRule type="cellIs" dxfId="23730" priority="166541" stopIfTrue="1" operator="greaterThanOrEqual">
      <formula>0.5</formula>
    </cfRule>
  </conditionalFormatting>
  <conditionalFormatting sqref="J60">
    <cfRule type="cellIs" dxfId="23729" priority="166542" stopIfTrue="1" operator="equal">
      <formula>-1</formula>
    </cfRule>
  </conditionalFormatting>
  <conditionalFormatting sqref="J60">
    <cfRule type="cellIs" dxfId="23728" priority="166543" stopIfTrue="1" operator="lessThan">
      <formula>0.5</formula>
    </cfRule>
  </conditionalFormatting>
  <conditionalFormatting sqref="J60">
    <cfRule type="cellIs" dxfId="23727" priority="166544" stopIfTrue="1" operator="greaterThanOrEqual">
      <formula>0.5</formula>
    </cfRule>
  </conditionalFormatting>
  <conditionalFormatting sqref="J61">
    <cfRule type="cellIs" dxfId="23726" priority="166545" stopIfTrue="1" operator="equal">
      <formula>-1</formula>
    </cfRule>
  </conditionalFormatting>
  <conditionalFormatting sqref="J61">
    <cfRule type="cellIs" dxfId="23725" priority="166546" stopIfTrue="1" operator="lessThan">
      <formula>0.5</formula>
    </cfRule>
  </conditionalFormatting>
  <conditionalFormatting sqref="J61">
    <cfRule type="cellIs" dxfId="23724" priority="166547" stopIfTrue="1" operator="greaterThanOrEqual">
      <formula>0.5</formula>
    </cfRule>
  </conditionalFormatting>
  <conditionalFormatting sqref="J62">
    <cfRule type="cellIs" dxfId="23723" priority="166548" stopIfTrue="1" operator="equal">
      <formula>-1</formula>
    </cfRule>
  </conditionalFormatting>
  <conditionalFormatting sqref="J62">
    <cfRule type="cellIs" dxfId="23722" priority="166549" stopIfTrue="1" operator="lessThan">
      <formula>0.5</formula>
    </cfRule>
  </conditionalFormatting>
  <conditionalFormatting sqref="J62">
    <cfRule type="cellIs" dxfId="23721" priority="166550" stopIfTrue="1" operator="greaterThanOrEqual">
      <formula>0.5</formula>
    </cfRule>
  </conditionalFormatting>
  <conditionalFormatting sqref="J63">
    <cfRule type="cellIs" dxfId="23720" priority="166551" stopIfTrue="1" operator="equal">
      <formula>-1</formula>
    </cfRule>
  </conditionalFormatting>
  <conditionalFormatting sqref="J63">
    <cfRule type="cellIs" dxfId="23719" priority="166552" stopIfTrue="1" operator="lessThan">
      <formula>0.5</formula>
    </cfRule>
  </conditionalFormatting>
  <conditionalFormatting sqref="J63">
    <cfRule type="cellIs" dxfId="23718" priority="166553" stopIfTrue="1" operator="greaterThanOrEqual">
      <formula>0.5</formula>
    </cfRule>
  </conditionalFormatting>
  <conditionalFormatting sqref="L60">
    <cfRule type="cellIs" dxfId="23717" priority="166554" stopIfTrue="1" operator="equal">
      <formula>-1</formula>
    </cfRule>
  </conditionalFormatting>
  <conditionalFormatting sqref="L60">
    <cfRule type="cellIs" dxfId="23716" priority="166555" stopIfTrue="1" operator="lessThan">
      <formula>0.5</formula>
    </cfRule>
  </conditionalFormatting>
  <conditionalFormatting sqref="L60">
    <cfRule type="cellIs" dxfId="23715" priority="166556" stopIfTrue="1" operator="greaterThanOrEqual">
      <formula>0.5</formula>
    </cfRule>
  </conditionalFormatting>
  <conditionalFormatting sqref="L61">
    <cfRule type="cellIs" dxfId="23714" priority="166557" stopIfTrue="1" operator="equal">
      <formula>-1</formula>
    </cfRule>
  </conditionalFormatting>
  <conditionalFormatting sqref="L61">
    <cfRule type="cellIs" dxfId="23713" priority="166558" stopIfTrue="1" operator="lessThan">
      <formula>0.5</formula>
    </cfRule>
  </conditionalFormatting>
  <conditionalFormatting sqref="L61">
    <cfRule type="cellIs" dxfId="23712" priority="166559" stopIfTrue="1" operator="greaterThanOrEqual">
      <formula>0.5</formula>
    </cfRule>
  </conditionalFormatting>
  <conditionalFormatting sqref="L62">
    <cfRule type="cellIs" dxfId="23711" priority="166560" stopIfTrue="1" operator="equal">
      <formula>-1</formula>
    </cfRule>
  </conditionalFormatting>
  <conditionalFormatting sqref="L62">
    <cfRule type="cellIs" dxfId="23710" priority="166561" stopIfTrue="1" operator="lessThan">
      <formula>0.5</formula>
    </cfRule>
  </conditionalFormatting>
  <conditionalFormatting sqref="L62">
    <cfRule type="cellIs" dxfId="23709" priority="166562" stopIfTrue="1" operator="greaterThanOrEqual">
      <formula>0.5</formula>
    </cfRule>
  </conditionalFormatting>
  <conditionalFormatting sqref="L63">
    <cfRule type="cellIs" dxfId="23708" priority="166563" stopIfTrue="1" operator="equal">
      <formula>-1</formula>
    </cfRule>
  </conditionalFormatting>
  <conditionalFormatting sqref="L63">
    <cfRule type="cellIs" dxfId="23707" priority="166564" stopIfTrue="1" operator="lessThan">
      <formula>0.5</formula>
    </cfRule>
  </conditionalFormatting>
  <conditionalFormatting sqref="L63">
    <cfRule type="cellIs" dxfId="23706" priority="166565" stopIfTrue="1" operator="greaterThanOrEqual">
      <formula>0.5</formula>
    </cfRule>
  </conditionalFormatting>
  <conditionalFormatting sqref="N60">
    <cfRule type="cellIs" dxfId="23705" priority="166566" stopIfTrue="1" operator="equal">
      <formula>-1</formula>
    </cfRule>
  </conditionalFormatting>
  <conditionalFormatting sqref="N60">
    <cfRule type="cellIs" dxfId="23704" priority="166567" stopIfTrue="1" operator="lessThan">
      <formula>0.5</formula>
    </cfRule>
  </conditionalFormatting>
  <conditionalFormatting sqref="N60">
    <cfRule type="cellIs" dxfId="23703" priority="166568" stopIfTrue="1" operator="greaterThanOrEqual">
      <formula>0.5</formula>
    </cfRule>
  </conditionalFormatting>
  <conditionalFormatting sqref="N61">
    <cfRule type="cellIs" dxfId="23702" priority="166569" stopIfTrue="1" operator="equal">
      <formula>-1</formula>
    </cfRule>
  </conditionalFormatting>
  <conditionalFormatting sqref="N61">
    <cfRule type="cellIs" dxfId="23701" priority="166570" stopIfTrue="1" operator="lessThan">
      <formula>0.5</formula>
    </cfRule>
  </conditionalFormatting>
  <conditionalFormatting sqref="N61">
    <cfRule type="cellIs" dxfId="23700" priority="166571" stopIfTrue="1" operator="greaterThanOrEqual">
      <formula>0.5</formula>
    </cfRule>
  </conditionalFormatting>
  <conditionalFormatting sqref="N62">
    <cfRule type="cellIs" dxfId="23699" priority="166572" stopIfTrue="1" operator="equal">
      <formula>-1</formula>
    </cfRule>
  </conditionalFormatting>
  <conditionalFormatting sqref="N62">
    <cfRule type="cellIs" dxfId="23698" priority="166573" stopIfTrue="1" operator="lessThan">
      <formula>0.5</formula>
    </cfRule>
  </conditionalFormatting>
  <conditionalFormatting sqref="N62">
    <cfRule type="cellIs" dxfId="23697" priority="166574" stopIfTrue="1" operator="greaterThanOrEqual">
      <formula>0.5</formula>
    </cfRule>
  </conditionalFormatting>
  <conditionalFormatting sqref="N63">
    <cfRule type="cellIs" dxfId="23696" priority="166575" stopIfTrue="1" operator="equal">
      <formula>-1</formula>
    </cfRule>
  </conditionalFormatting>
  <conditionalFormatting sqref="N63">
    <cfRule type="cellIs" dxfId="23695" priority="166576" stopIfTrue="1" operator="lessThan">
      <formula>0.5</formula>
    </cfRule>
  </conditionalFormatting>
  <conditionalFormatting sqref="N63">
    <cfRule type="cellIs" dxfId="23694" priority="166577" stopIfTrue="1" operator="greaterThanOrEqual">
      <formula>0.5</formula>
    </cfRule>
  </conditionalFormatting>
  <conditionalFormatting sqref="P60">
    <cfRule type="cellIs" dxfId="23693" priority="166578" stopIfTrue="1" operator="equal">
      <formula>-1</formula>
    </cfRule>
  </conditionalFormatting>
  <conditionalFormatting sqref="P60">
    <cfRule type="cellIs" dxfId="23692" priority="166579" stopIfTrue="1" operator="lessThan">
      <formula>0.5</formula>
    </cfRule>
  </conditionalFormatting>
  <conditionalFormatting sqref="P60">
    <cfRule type="cellIs" dxfId="23691" priority="166580" stopIfTrue="1" operator="greaterThanOrEqual">
      <formula>0.5</formula>
    </cfRule>
  </conditionalFormatting>
  <conditionalFormatting sqref="P61">
    <cfRule type="cellIs" dxfId="23690" priority="166581" stopIfTrue="1" operator="equal">
      <formula>-1</formula>
    </cfRule>
  </conditionalFormatting>
  <conditionalFormatting sqref="P61">
    <cfRule type="cellIs" dxfId="23689" priority="166582" stopIfTrue="1" operator="lessThan">
      <formula>0.5</formula>
    </cfRule>
  </conditionalFormatting>
  <conditionalFormatting sqref="P61">
    <cfRule type="cellIs" dxfId="23688" priority="166583" stopIfTrue="1" operator="greaterThanOrEqual">
      <formula>0.5</formula>
    </cfRule>
  </conditionalFormatting>
  <conditionalFormatting sqref="P62">
    <cfRule type="cellIs" dxfId="23687" priority="166584" stopIfTrue="1" operator="equal">
      <formula>-1</formula>
    </cfRule>
  </conditionalFormatting>
  <conditionalFormatting sqref="P62">
    <cfRule type="cellIs" dxfId="23686" priority="166585" stopIfTrue="1" operator="lessThan">
      <formula>0.5</formula>
    </cfRule>
  </conditionalFormatting>
  <conditionalFormatting sqref="P62">
    <cfRule type="cellIs" dxfId="23685" priority="166586" stopIfTrue="1" operator="greaterThanOrEqual">
      <formula>0.5</formula>
    </cfRule>
  </conditionalFormatting>
  <conditionalFormatting sqref="P63">
    <cfRule type="cellIs" dxfId="23684" priority="166587" stopIfTrue="1" operator="equal">
      <formula>-1</formula>
    </cfRule>
  </conditionalFormatting>
  <conditionalFormatting sqref="P63">
    <cfRule type="cellIs" dxfId="23683" priority="166588" stopIfTrue="1" operator="lessThan">
      <formula>0.5</formula>
    </cfRule>
  </conditionalFormatting>
  <conditionalFormatting sqref="P63">
    <cfRule type="cellIs" dxfId="23682" priority="166589" stopIfTrue="1" operator="greaterThanOrEqual">
      <formula>0.5</formula>
    </cfRule>
  </conditionalFormatting>
  <conditionalFormatting sqref="R60">
    <cfRule type="cellIs" dxfId="23681" priority="166590" stopIfTrue="1" operator="equal">
      <formula>-1</formula>
    </cfRule>
  </conditionalFormatting>
  <conditionalFormatting sqref="R60">
    <cfRule type="cellIs" dxfId="23680" priority="166591" stopIfTrue="1" operator="lessThan">
      <formula>0.5</formula>
    </cfRule>
  </conditionalFormatting>
  <conditionalFormatting sqref="R60">
    <cfRule type="cellIs" dxfId="23679" priority="166592" stopIfTrue="1" operator="greaterThanOrEqual">
      <formula>0.5</formula>
    </cfRule>
  </conditionalFormatting>
  <conditionalFormatting sqref="R61">
    <cfRule type="cellIs" dxfId="23678" priority="166593" stopIfTrue="1" operator="equal">
      <formula>-1</formula>
    </cfRule>
  </conditionalFormatting>
  <conditionalFormatting sqref="R61">
    <cfRule type="cellIs" dxfId="23677" priority="166594" stopIfTrue="1" operator="lessThan">
      <formula>0.5</formula>
    </cfRule>
  </conditionalFormatting>
  <conditionalFormatting sqref="R61">
    <cfRule type="cellIs" dxfId="23676" priority="166595" stopIfTrue="1" operator="greaterThanOrEqual">
      <formula>0.5</formula>
    </cfRule>
  </conditionalFormatting>
  <conditionalFormatting sqref="R62">
    <cfRule type="cellIs" dxfId="23675" priority="166596" stopIfTrue="1" operator="equal">
      <formula>-1</formula>
    </cfRule>
  </conditionalFormatting>
  <conditionalFormatting sqref="R62">
    <cfRule type="cellIs" dxfId="23674" priority="166597" stopIfTrue="1" operator="lessThan">
      <formula>0.5</formula>
    </cfRule>
  </conditionalFormatting>
  <conditionalFormatting sqref="R62">
    <cfRule type="cellIs" dxfId="23673" priority="166598" stopIfTrue="1" operator="greaterThanOrEqual">
      <formula>0.5</formula>
    </cfRule>
  </conditionalFormatting>
  <conditionalFormatting sqref="R63">
    <cfRule type="cellIs" dxfId="23672" priority="166599" stopIfTrue="1" operator="equal">
      <formula>-1</formula>
    </cfRule>
  </conditionalFormatting>
  <conditionalFormatting sqref="R63">
    <cfRule type="cellIs" dxfId="23671" priority="166600" stopIfTrue="1" operator="lessThan">
      <formula>0.5</formula>
    </cfRule>
  </conditionalFormatting>
  <conditionalFormatting sqref="R63">
    <cfRule type="cellIs" dxfId="23670" priority="166601" stopIfTrue="1" operator="greaterThanOrEqual">
      <formula>0.5</formula>
    </cfRule>
  </conditionalFormatting>
  <conditionalFormatting sqref="T60">
    <cfRule type="cellIs" dxfId="23669" priority="166602" stopIfTrue="1" operator="equal">
      <formula>-1</formula>
    </cfRule>
  </conditionalFormatting>
  <conditionalFormatting sqref="T60">
    <cfRule type="cellIs" dxfId="23668" priority="166603" stopIfTrue="1" operator="lessThan">
      <formula>0.5</formula>
    </cfRule>
  </conditionalFormatting>
  <conditionalFormatting sqref="T60">
    <cfRule type="cellIs" dxfId="23667" priority="166604" stopIfTrue="1" operator="greaterThanOrEqual">
      <formula>0.5</formula>
    </cfRule>
  </conditionalFormatting>
  <conditionalFormatting sqref="T61">
    <cfRule type="cellIs" dxfId="23666" priority="166605" stopIfTrue="1" operator="equal">
      <formula>-1</formula>
    </cfRule>
  </conditionalFormatting>
  <conditionalFormatting sqref="T61">
    <cfRule type="cellIs" dxfId="23665" priority="166606" stopIfTrue="1" operator="lessThan">
      <formula>0.5</formula>
    </cfRule>
  </conditionalFormatting>
  <conditionalFormatting sqref="T61">
    <cfRule type="cellIs" dxfId="23664" priority="166607" stopIfTrue="1" operator="greaterThanOrEqual">
      <formula>0.5</formula>
    </cfRule>
  </conditionalFormatting>
  <conditionalFormatting sqref="T62">
    <cfRule type="cellIs" dxfId="23663" priority="166608" stopIfTrue="1" operator="equal">
      <formula>-1</formula>
    </cfRule>
  </conditionalFormatting>
  <conditionalFormatting sqref="T62">
    <cfRule type="cellIs" dxfId="23662" priority="166609" stopIfTrue="1" operator="lessThan">
      <formula>0.5</formula>
    </cfRule>
  </conditionalFormatting>
  <conditionalFormatting sqref="T62">
    <cfRule type="cellIs" dxfId="23661" priority="166610" stopIfTrue="1" operator="greaterThanOrEqual">
      <formula>0.5</formula>
    </cfRule>
  </conditionalFormatting>
  <conditionalFormatting sqref="T63">
    <cfRule type="cellIs" dxfId="23660" priority="166611" stopIfTrue="1" operator="equal">
      <formula>-1</formula>
    </cfRule>
  </conditionalFormatting>
  <conditionalFormatting sqref="T63">
    <cfRule type="cellIs" dxfId="23659" priority="166612" stopIfTrue="1" operator="lessThan">
      <formula>0.5</formula>
    </cfRule>
  </conditionalFormatting>
  <conditionalFormatting sqref="T63">
    <cfRule type="cellIs" dxfId="23658" priority="166613" stopIfTrue="1" operator="greaterThanOrEqual">
      <formula>0.5</formula>
    </cfRule>
  </conditionalFormatting>
  <conditionalFormatting sqref="V60">
    <cfRule type="cellIs" dxfId="23657" priority="166614" stopIfTrue="1" operator="equal">
      <formula>-1</formula>
    </cfRule>
  </conditionalFormatting>
  <conditionalFormatting sqref="V60">
    <cfRule type="cellIs" dxfId="23656" priority="166615" stopIfTrue="1" operator="lessThan">
      <formula>0.5</formula>
    </cfRule>
  </conditionalFormatting>
  <conditionalFormatting sqref="V60">
    <cfRule type="cellIs" dxfId="23655" priority="166616" stopIfTrue="1" operator="greaterThanOrEqual">
      <formula>0.5</formula>
    </cfRule>
  </conditionalFormatting>
  <conditionalFormatting sqref="V61">
    <cfRule type="cellIs" dxfId="23654" priority="166617" stopIfTrue="1" operator="equal">
      <formula>-1</formula>
    </cfRule>
  </conditionalFormatting>
  <conditionalFormatting sqref="V61">
    <cfRule type="cellIs" dxfId="23653" priority="166618" stopIfTrue="1" operator="lessThan">
      <formula>0.5</formula>
    </cfRule>
  </conditionalFormatting>
  <conditionalFormatting sqref="V61">
    <cfRule type="cellIs" dxfId="23652" priority="166619" stopIfTrue="1" operator="greaterThanOrEqual">
      <formula>0.5</formula>
    </cfRule>
  </conditionalFormatting>
  <conditionalFormatting sqref="V62">
    <cfRule type="cellIs" dxfId="23651" priority="166620" stopIfTrue="1" operator="equal">
      <formula>-1</formula>
    </cfRule>
  </conditionalFormatting>
  <conditionalFormatting sqref="V62">
    <cfRule type="cellIs" dxfId="23650" priority="166621" stopIfTrue="1" operator="lessThan">
      <formula>0.5</formula>
    </cfRule>
  </conditionalFormatting>
  <conditionalFormatting sqref="V62">
    <cfRule type="cellIs" dxfId="23649" priority="166622" stopIfTrue="1" operator="greaterThanOrEqual">
      <formula>0.5</formula>
    </cfRule>
  </conditionalFormatting>
  <conditionalFormatting sqref="V63">
    <cfRule type="cellIs" dxfId="23648" priority="166623" stopIfTrue="1" operator="equal">
      <formula>-1</formula>
    </cfRule>
  </conditionalFormatting>
  <conditionalFormatting sqref="V63">
    <cfRule type="cellIs" dxfId="23647" priority="166624" stopIfTrue="1" operator="lessThan">
      <formula>0.5</formula>
    </cfRule>
  </conditionalFormatting>
  <conditionalFormatting sqref="V63">
    <cfRule type="cellIs" dxfId="23646" priority="166625" stopIfTrue="1" operator="greaterThanOrEqual">
      <formula>0.5</formula>
    </cfRule>
  </conditionalFormatting>
  <conditionalFormatting sqref="X60">
    <cfRule type="cellIs" dxfId="23645" priority="166626" stopIfTrue="1" operator="equal">
      <formula>-1</formula>
    </cfRule>
  </conditionalFormatting>
  <conditionalFormatting sqref="X60">
    <cfRule type="cellIs" dxfId="23644" priority="166627" stopIfTrue="1" operator="lessThan">
      <formula>0.5</formula>
    </cfRule>
  </conditionalFormatting>
  <conditionalFormatting sqref="X60">
    <cfRule type="cellIs" dxfId="23643" priority="166628" stopIfTrue="1" operator="greaterThanOrEqual">
      <formula>0.5</formula>
    </cfRule>
  </conditionalFormatting>
  <conditionalFormatting sqref="X61">
    <cfRule type="cellIs" dxfId="23642" priority="166629" stopIfTrue="1" operator="equal">
      <formula>-1</formula>
    </cfRule>
  </conditionalFormatting>
  <conditionalFormatting sqref="X61">
    <cfRule type="cellIs" dxfId="23641" priority="166630" stopIfTrue="1" operator="lessThan">
      <formula>0.5</formula>
    </cfRule>
  </conditionalFormatting>
  <conditionalFormatting sqref="X61">
    <cfRule type="cellIs" dxfId="23640" priority="166631" stopIfTrue="1" operator="greaterThanOrEqual">
      <formula>0.5</formula>
    </cfRule>
  </conditionalFormatting>
  <conditionalFormatting sqref="X62">
    <cfRule type="cellIs" dxfId="23639" priority="166632" stopIfTrue="1" operator="equal">
      <formula>-1</formula>
    </cfRule>
  </conditionalFormatting>
  <conditionalFormatting sqref="X62">
    <cfRule type="cellIs" dxfId="23638" priority="166633" stopIfTrue="1" operator="lessThan">
      <formula>0.5</formula>
    </cfRule>
  </conditionalFormatting>
  <conditionalFormatting sqref="X62">
    <cfRule type="cellIs" dxfId="23637" priority="166634" stopIfTrue="1" operator="greaterThanOrEqual">
      <formula>0.5</formula>
    </cfRule>
  </conditionalFormatting>
  <conditionalFormatting sqref="X63">
    <cfRule type="cellIs" dxfId="23636" priority="166635" stopIfTrue="1" operator="equal">
      <formula>-1</formula>
    </cfRule>
  </conditionalFormatting>
  <conditionalFormatting sqref="X63">
    <cfRule type="cellIs" dxfId="23635" priority="166636" stopIfTrue="1" operator="lessThan">
      <formula>0.5</formula>
    </cfRule>
  </conditionalFormatting>
  <conditionalFormatting sqref="X63">
    <cfRule type="cellIs" dxfId="23634" priority="166637" stopIfTrue="1" operator="greaterThanOrEqual">
      <formula>0.5</formula>
    </cfRule>
  </conditionalFormatting>
  <conditionalFormatting sqref="Z60">
    <cfRule type="cellIs" dxfId="23633" priority="166638" stopIfTrue="1" operator="equal">
      <formula>-1</formula>
    </cfRule>
  </conditionalFormatting>
  <conditionalFormatting sqref="Z60">
    <cfRule type="cellIs" dxfId="23632" priority="166639" stopIfTrue="1" operator="lessThan">
      <formula>0.5</formula>
    </cfRule>
  </conditionalFormatting>
  <conditionalFormatting sqref="Z60">
    <cfRule type="cellIs" dxfId="23631" priority="166640" stopIfTrue="1" operator="greaterThanOrEqual">
      <formula>0.5</formula>
    </cfRule>
  </conditionalFormatting>
  <conditionalFormatting sqref="Z61">
    <cfRule type="cellIs" dxfId="23630" priority="166641" stopIfTrue="1" operator="equal">
      <formula>-1</formula>
    </cfRule>
  </conditionalFormatting>
  <conditionalFormatting sqref="Z61">
    <cfRule type="cellIs" dxfId="23629" priority="166642" stopIfTrue="1" operator="lessThan">
      <formula>0.5</formula>
    </cfRule>
  </conditionalFormatting>
  <conditionalFormatting sqref="Z61">
    <cfRule type="cellIs" dxfId="23628" priority="166643" stopIfTrue="1" operator="greaterThanOrEqual">
      <formula>0.5</formula>
    </cfRule>
  </conditionalFormatting>
  <conditionalFormatting sqref="Z62">
    <cfRule type="cellIs" dxfId="23627" priority="166644" stopIfTrue="1" operator="equal">
      <formula>-1</formula>
    </cfRule>
  </conditionalFormatting>
  <conditionalFormatting sqref="Z62">
    <cfRule type="cellIs" dxfId="23626" priority="166645" stopIfTrue="1" operator="lessThan">
      <formula>0.5</formula>
    </cfRule>
  </conditionalFormatting>
  <conditionalFormatting sqref="Z62">
    <cfRule type="cellIs" dxfId="23625" priority="166646" stopIfTrue="1" operator="greaterThanOrEqual">
      <formula>0.5</formula>
    </cfRule>
  </conditionalFormatting>
  <conditionalFormatting sqref="Z63">
    <cfRule type="cellIs" dxfId="23624" priority="166647" stopIfTrue="1" operator="equal">
      <formula>-1</formula>
    </cfRule>
  </conditionalFormatting>
  <conditionalFormatting sqref="Z63">
    <cfRule type="cellIs" dxfId="23623" priority="166648" stopIfTrue="1" operator="lessThan">
      <formula>0.5</formula>
    </cfRule>
  </conditionalFormatting>
  <conditionalFormatting sqref="Z63">
    <cfRule type="cellIs" dxfId="23622" priority="166649" stopIfTrue="1" operator="greaterThanOrEqual">
      <formula>0.5</formula>
    </cfRule>
  </conditionalFormatting>
  <conditionalFormatting sqref="AB60">
    <cfRule type="cellIs" dxfId="23621" priority="166650" stopIfTrue="1" operator="equal">
      <formula>-1</formula>
    </cfRule>
  </conditionalFormatting>
  <conditionalFormatting sqref="AB60">
    <cfRule type="cellIs" dxfId="23620" priority="166651" stopIfTrue="1" operator="lessThan">
      <formula>0.5</formula>
    </cfRule>
  </conditionalFormatting>
  <conditionalFormatting sqref="AB60">
    <cfRule type="cellIs" dxfId="23619" priority="166652" stopIfTrue="1" operator="greaterThanOrEqual">
      <formula>0.5</formula>
    </cfRule>
  </conditionalFormatting>
  <conditionalFormatting sqref="AB61">
    <cfRule type="cellIs" dxfId="23618" priority="166653" stopIfTrue="1" operator="equal">
      <formula>-1</formula>
    </cfRule>
  </conditionalFormatting>
  <conditionalFormatting sqref="AB61">
    <cfRule type="cellIs" dxfId="23617" priority="166654" stopIfTrue="1" operator="lessThan">
      <formula>0.5</formula>
    </cfRule>
  </conditionalFormatting>
  <conditionalFormatting sqref="AB61">
    <cfRule type="cellIs" dxfId="23616" priority="166655" stopIfTrue="1" operator="greaterThanOrEqual">
      <formula>0.5</formula>
    </cfRule>
  </conditionalFormatting>
  <conditionalFormatting sqref="AB62">
    <cfRule type="cellIs" dxfId="23615" priority="166656" stopIfTrue="1" operator="equal">
      <formula>-1</formula>
    </cfRule>
  </conditionalFormatting>
  <conditionalFormatting sqref="AB62">
    <cfRule type="cellIs" dxfId="23614" priority="166657" stopIfTrue="1" operator="lessThan">
      <formula>0.5</formula>
    </cfRule>
  </conditionalFormatting>
  <conditionalFormatting sqref="AB62">
    <cfRule type="cellIs" dxfId="23613" priority="166658" stopIfTrue="1" operator="greaterThanOrEqual">
      <formula>0.5</formula>
    </cfRule>
  </conditionalFormatting>
  <conditionalFormatting sqref="AB63">
    <cfRule type="cellIs" dxfId="23612" priority="166659" stopIfTrue="1" operator="equal">
      <formula>-1</formula>
    </cfRule>
  </conditionalFormatting>
  <conditionalFormatting sqref="AB63">
    <cfRule type="cellIs" dxfId="23611" priority="166660" stopIfTrue="1" operator="lessThan">
      <formula>0.5</formula>
    </cfRule>
  </conditionalFormatting>
  <conditionalFormatting sqref="AB63">
    <cfRule type="cellIs" dxfId="23610" priority="166661" stopIfTrue="1" operator="greaterThanOrEqual">
      <formula>0.5</formula>
    </cfRule>
  </conditionalFormatting>
  <conditionalFormatting sqref="AD60">
    <cfRule type="cellIs" dxfId="23609" priority="166662" stopIfTrue="1" operator="equal">
      <formula>-1</formula>
    </cfRule>
  </conditionalFormatting>
  <conditionalFormatting sqref="AD60">
    <cfRule type="cellIs" dxfId="23608" priority="166663" stopIfTrue="1" operator="lessThan">
      <formula>0.5</formula>
    </cfRule>
  </conditionalFormatting>
  <conditionalFormatting sqref="AD60">
    <cfRule type="cellIs" dxfId="23607" priority="166664" stopIfTrue="1" operator="greaterThanOrEqual">
      <formula>0.5</formula>
    </cfRule>
  </conditionalFormatting>
  <conditionalFormatting sqref="AD61">
    <cfRule type="cellIs" dxfId="23606" priority="166665" stopIfTrue="1" operator="equal">
      <formula>-1</formula>
    </cfRule>
  </conditionalFormatting>
  <conditionalFormatting sqref="AD61">
    <cfRule type="cellIs" dxfId="23605" priority="166666" stopIfTrue="1" operator="lessThan">
      <formula>0.5</formula>
    </cfRule>
  </conditionalFormatting>
  <conditionalFormatting sqref="AD61">
    <cfRule type="cellIs" dxfId="23604" priority="166667" stopIfTrue="1" operator="greaterThanOrEqual">
      <formula>0.5</formula>
    </cfRule>
  </conditionalFormatting>
  <conditionalFormatting sqref="AD62">
    <cfRule type="cellIs" dxfId="23603" priority="166668" stopIfTrue="1" operator="equal">
      <formula>-1</formula>
    </cfRule>
  </conditionalFormatting>
  <conditionalFormatting sqref="AD62">
    <cfRule type="cellIs" dxfId="23602" priority="166669" stopIfTrue="1" operator="lessThan">
      <formula>0.5</formula>
    </cfRule>
  </conditionalFormatting>
  <conditionalFormatting sqref="AD62">
    <cfRule type="cellIs" dxfId="23601" priority="166670" stopIfTrue="1" operator="greaterThanOrEqual">
      <formula>0.5</formula>
    </cfRule>
  </conditionalFormatting>
  <conditionalFormatting sqref="AD63">
    <cfRule type="cellIs" dxfId="23600" priority="166671" stopIfTrue="1" operator="equal">
      <formula>-1</formula>
    </cfRule>
  </conditionalFormatting>
  <conditionalFormatting sqref="AD63">
    <cfRule type="cellIs" dxfId="23599" priority="166672" stopIfTrue="1" operator="lessThan">
      <formula>0.5</formula>
    </cfRule>
  </conditionalFormatting>
  <conditionalFormatting sqref="AD63">
    <cfRule type="cellIs" dxfId="23598" priority="166673" stopIfTrue="1" operator="greaterThanOrEqual">
      <formula>0.5</formula>
    </cfRule>
  </conditionalFormatting>
  <conditionalFormatting sqref="AF60">
    <cfRule type="cellIs" dxfId="23597" priority="166674" stopIfTrue="1" operator="equal">
      <formula>-1</formula>
    </cfRule>
  </conditionalFormatting>
  <conditionalFormatting sqref="AF60">
    <cfRule type="cellIs" dxfId="23596" priority="166675" stopIfTrue="1" operator="lessThan">
      <formula>0.5</formula>
    </cfRule>
  </conditionalFormatting>
  <conditionalFormatting sqref="AF60">
    <cfRule type="cellIs" dxfId="23595" priority="166676" stopIfTrue="1" operator="greaterThanOrEqual">
      <formula>0.5</formula>
    </cfRule>
  </conditionalFormatting>
  <conditionalFormatting sqref="AF61">
    <cfRule type="cellIs" dxfId="23594" priority="166677" stopIfTrue="1" operator="equal">
      <formula>-1</formula>
    </cfRule>
  </conditionalFormatting>
  <conditionalFormatting sqref="AF61">
    <cfRule type="cellIs" dxfId="23593" priority="166678" stopIfTrue="1" operator="lessThan">
      <formula>0.5</formula>
    </cfRule>
  </conditionalFormatting>
  <conditionalFormatting sqref="AF61">
    <cfRule type="cellIs" dxfId="23592" priority="166679" stopIfTrue="1" operator="greaterThanOrEqual">
      <formula>0.5</formula>
    </cfRule>
  </conditionalFormatting>
  <conditionalFormatting sqref="AF62">
    <cfRule type="cellIs" dxfId="23591" priority="166680" stopIfTrue="1" operator="equal">
      <formula>-1</formula>
    </cfRule>
  </conditionalFormatting>
  <conditionalFormatting sqref="AF62">
    <cfRule type="cellIs" dxfId="23590" priority="166681" stopIfTrue="1" operator="lessThan">
      <formula>0.5</formula>
    </cfRule>
  </conditionalFormatting>
  <conditionalFormatting sqref="AF62">
    <cfRule type="cellIs" dxfId="23589" priority="166682" stopIfTrue="1" operator="greaterThanOrEqual">
      <formula>0.5</formula>
    </cfRule>
  </conditionalFormatting>
  <conditionalFormatting sqref="AF63">
    <cfRule type="cellIs" dxfId="23588" priority="166683" stopIfTrue="1" operator="equal">
      <formula>-1</formula>
    </cfRule>
  </conditionalFormatting>
  <conditionalFormatting sqref="AF63">
    <cfRule type="cellIs" dxfId="23587" priority="166684" stopIfTrue="1" operator="lessThan">
      <formula>0.5</formula>
    </cfRule>
  </conditionalFormatting>
  <conditionalFormatting sqref="AF63">
    <cfRule type="cellIs" dxfId="23586" priority="166685" stopIfTrue="1" operator="greaterThanOrEqual">
      <formula>0.5</formula>
    </cfRule>
  </conditionalFormatting>
  <conditionalFormatting sqref="AH60">
    <cfRule type="cellIs" dxfId="23585" priority="166686" stopIfTrue="1" operator="equal">
      <formula>-1</formula>
    </cfRule>
  </conditionalFormatting>
  <conditionalFormatting sqref="AH60">
    <cfRule type="cellIs" dxfId="23584" priority="166687" stopIfTrue="1" operator="lessThan">
      <formula>0.5</formula>
    </cfRule>
  </conditionalFormatting>
  <conditionalFormatting sqref="AH60">
    <cfRule type="cellIs" dxfId="23583" priority="166688" stopIfTrue="1" operator="greaterThanOrEqual">
      <formula>0.5</formula>
    </cfRule>
  </conditionalFormatting>
  <conditionalFormatting sqref="AH61">
    <cfRule type="cellIs" dxfId="23582" priority="166689" stopIfTrue="1" operator="equal">
      <formula>-1</formula>
    </cfRule>
  </conditionalFormatting>
  <conditionalFormatting sqref="AH61">
    <cfRule type="cellIs" dxfId="23581" priority="166690" stopIfTrue="1" operator="lessThan">
      <formula>0.5</formula>
    </cfRule>
  </conditionalFormatting>
  <conditionalFormatting sqref="AH61">
    <cfRule type="cellIs" dxfId="23580" priority="166691" stopIfTrue="1" operator="greaterThanOrEqual">
      <formula>0.5</formula>
    </cfRule>
  </conditionalFormatting>
  <conditionalFormatting sqref="AH62">
    <cfRule type="cellIs" dxfId="23579" priority="166692" stopIfTrue="1" operator="equal">
      <formula>-1</formula>
    </cfRule>
  </conditionalFormatting>
  <conditionalFormatting sqref="AH62">
    <cfRule type="cellIs" dxfId="23578" priority="166693" stopIfTrue="1" operator="lessThan">
      <formula>0.5</formula>
    </cfRule>
  </conditionalFormatting>
  <conditionalFormatting sqref="AH62">
    <cfRule type="cellIs" dxfId="23577" priority="166694" stopIfTrue="1" operator="greaterThanOrEqual">
      <formula>0.5</formula>
    </cfRule>
  </conditionalFormatting>
  <conditionalFormatting sqref="AH63">
    <cfRule type="cellIs" dxfId="23576" priority="166695" stopIfTrue="1" operator="equal">
      <formula>-1</formula>
    </cfRule>
  </conditionalFormatting>
  <conditionalFormatting sqref="AH63">
    <cfRule type="cellIs" dxfId="23575" priority="166696" stopIfTrue="1" operator="lessThan">
      <formula>0.5</formula>
    </cfRule>
  </conditionalFormatting>
  <conditionalFormatting sqref="AH63">
    <cfRule type="cellIs" dxfId="23574" priority="166697" stopIfTrue="1" operator="greaterThanOrEqual">
      <formula>0.5</formula>
    </cfRule>
  </conditionalFormatting>
  <conditionalFormatting sqref="AJ60">
    <cfRule type="cellIs" dxfId="23573" priority="166698" stopIfTrue="1" operator="equal">
      <formula>-1</formula>
    </cfRule>
  </conditionalFormatting>
  <conditionalFormatting sqref="AJ60">
    <cfRule type="cellIs" dxfId="23572" priority="166699" stopIfTrue="1" operator="lessThan">
      <formula>0.5</formula>
    </cfRule>
  </conditionalFormatting>
  <conditionalFormatting sqref="AJ60">
    <cfRule type="cellIs" dxfId="23571" priority="166700" stopIfTrue="1" operator="greaterThanOrEqual">
      <formula>0.5</formula>
    </cfRule>
  </conditionalFormatting>
  <conditionalFormatting sqref="AJ61">
    <cfRule type="cellIs" dxfId="23570" priority="166701" stopIfTrue="1" operator="equal">
      <formula>-1</formula>
    </cfRule>
  </conditionalFormatting>
  <conditionalFormatting sqref="AJ61">
    <cfRule type="cellIs" dxfId="23569" priority="166702" stopIfTrue="1" operator="lessThan">
      <formula>0.5</formula>
    </cfRule>
  </conditionalFormatting>
  <conditionalFormatting sqref="AJ61">
    <cfRule type="cellIs" dxfId="23568" priority="166703" stopIfTrue="1" operator="greaterThanOrEqual">
      <formula>0.5</formula>
    </cfRule>
  </conditionalFormatting>
  <conditionalFormatting sqref="AJ62">
    <cfRule type="cellIs" dxfId="23567" priority="166704" stopIfTrue="1" operator="equal">
      <formula>-1</formula>
    </cfRule>
  </conditionalFormatting>
  <conditionalFormatting sqref="AJ62">
    <cfRule type="cellIs" dxfId="23566" priority="166705" stopIfTrue="1" operator="lessThan">
      <formula>0.5</formula>
    </cfRule>
  </conditionalFormatting>
  <conditionalFormatting sqref="AJ62">
    <cfRule type="cellIs" dxfId="23565" priority="166706" stopIfTrue="1" operator="greaterThanOrEqual">
      <formula>0.5</formula>
    </cfRule>
  </conditionalFormatting>
  <conditionalFormatting sqref="AJ63">
    <cfRule type="cellIs" dxfId="23564" priority="166707" stopIfTrue="1" operator="equal">
      <formula>-1</formula>
    </cfRule>
  </conditionalFormatting>
  <conditionalFormatting sqref="AJ63">
    <cfRule type="cellIs" dxfId="23563" priority="166708" stopIfTrue="1" operator="lessThan">
      <formula>0.5</formula>
    </cfRule>
  </conditionalFormatting>
  <conditionalFormatting sqref="AJ63">
    <cfRule type="cellIs" dxfId="23562" priority="166709" stopIfTrue="1" operator="greaterThanOrEqual">
      <formula>0.5</formula>
    </cfRule>
  </conditionalFormatting>
  <conditionalFormatting sqref="AL60">
    <cfRule type="cellIs" dxfId="23561" priority="166710" stopIfTrue="1" operator="equal">
      <formula>-1</formula>
    </cfRule>
  </conditionalFormatting>
  <conditionalFormatting sqref="AL60">
    <cfRule type="cellIs" dxfId="23560" priority="166711" stopIfTrue="1" operator="lessThan">
      <formula>0.5</formula>
    </cfRule>
  </conditionalFormatting>
  <conditionalFormatting sqref="AL60">
    <cfRule type="cellIs" dxfId="23559" priority="166712" stopIfTrue="1" operator="greaterThanOrEqual">
      <formula>0.5</formula>
    </cfRule>
  </conditionalFormatting>
  <conditionalFormatting sqref="AL61">
    <cfRule type="cellIs" dxfId="23558" priority="166713" stopIfTrue="1" operator="equal">
      <formula>-1</formula>
    </cfRule>
  </conditionalFormatting>
  <conditionalFormatting sqref="AL61">
    <cfRule type="cellIs" dxfId="23557" priority="166714" stopIfTrue="1" operator="lessThan">
      <formula>0.5</formula>
    </cfRule>
  </conditionalFormatting>
  <conditionalFormatting sqref="AL61">
    <cfRule type="cellIs" dxfId="23556" priority="166715" stopIfTrue="1" operator="greaterThanOrEqual">
      <formula>0.5</formula>
    </cfRule>
  </conditionalFormatting>
  <conditionalFormatting sqref="AL62">
    <cfRule type="cellIs" dxfId="23555" priority="166716" stopIfTrue="1" operator="equal">
      <formula>-1</formula>
    </cfRule>
  </conditionalFormatting>
  <conditionalFormatting sqref="AL62">
    <cfRule type="cellIs" dxfId="23554" priority="166717" stopIfTrue="1" operator="lessThan">
      <formula>0.5</formula>
    </cfRule>
  </conditionalFormatting>
  <conditionalFormatting sqref="AL62">
    <cfRule type="cellIs" dxfId="23553" priority="166718" stopIfTrue="1" operator="greaterThanOrEqual">
      <formula>0.5</formula>
    </cfRule>
  </conditionalFormatting>
  <conditionalFormatting sqref="AL63">
    <cfRule type="cellIs" dxfId="23552" priority="166719" stopIfTrue="1" operator="equal">
      <formula>-1</formula>
    </cfRule>
  </conditionalFormatting>
  <conditionalFormatting sqref="AL63">
    <cfRule type="cellIs" dxfId="23551" priority="166720" stopIfTrue="1" operator="lessThan">
      <formula>0.5</formula>
    </cfRule>
  </conditionalFormatting>
  <conditionalFormatting sqref="AL63">
    <cfRule type="cellIs" dxfId="23550" priority="166721" stopIfTrue="1" operator="greaterThanOrEqual">
      <formula>0.5</formula>
    </cfRule>
  </conditionalFormatting>
  <conditionalFormatting sqref="AN60">
    <cfRule type="cellIs" dxfId="23549" priority="166722" stopIfTrue="1" operator="equal">
      <formula>-1</formula>
    </cfRule>
  </conditionalFormatting>
  <conditionalFormatting sqref="AN60">
    <cfRule type="cellIs" dxfId="23548" priority="166723" stopIfTrue="1" operator="lessThan">
      <formula>0.5</formula>
    </cfRule>
  </conditionalFormatting>
  <conditionalFormatting sqref="AN60">
    <cfRule type="cellIs" dxfId="23547" priority="166724" stopIfTrue="1" operator="greaterThanOrEqual">
      <formula>0.5</formula>
    </cfRule>
  </conditionalFormatting>
  <conditionalFormatting sqref="AN61">
    <cfRule type="cellIs" dxfId="23546" priority="166725" stopIfTrue="1" operator="equal">
      <formula>-1</formula>
    </cfRule>
  </conditionalFormatting>
  <conditionalFormatting sqref="AN61">
    <cfRule type="cellIs" dxfId="23545" priority="166726" stopIfTrue="1" operator="lessThan">
      <formula>0.5</formula>
    </cfRule>
  </conditionalFormatting>
  <conditionalFormatting sqref="AN61">
    <cfRule type="cellIs" dxfId="23544" priority="166727" stopIfTrue="1" operator="greaterThanOrEqual">
      <formula>0.5</formula>
    </cfRule>
  </conditionalFormatting>
  <conditionalFormatting sqref="AN62">
    <cfRule type="cellIs" dxfId="23543" priority="166728" stopIfTrue="1" operator="equal">
      <formula>-1</formula>
    </cfRule>
  </conditionalFormatting>
  <conditionalFormatting sqref="AN62">
    <cfRule type="cellIs" dxfId="23542" priority="166729" stopIfTrue="1" operator="lessThan">
      <formula>0.5</formula>
    </cfRule>
  </conditionalFormatting>
  <conditionalFormatting sqref="AN62">
    <cfRule type="cellIs" dxfId="23541" priority="166730" stopIfTrue="1" operator="greaterThanOrEqual">
      <formula>0.5</formula>
    </cfRule>
  </conditionalFormatting>
  <conditionalFormatting sqref="AN63">
    <cfRule type="cellIs" dxfId="23540" priority="166731" stopIfTrue="1" operator="equal">
      <formula>-1</formula>
    </cfRule>
  </conditionalFormatting>
  <conditionalFormatting sqref="AN63">
    <cfRule type="cellIs" dxfId="23539" priority="166732" stopIfTrue="1" operator="lessThan">
      <formula>0.5</formula>
    </cfRule>
  </conditionalFormatting>
  <conditionalFormatting sqref="AN63">
    <cfRule type="cellIs" dxfId="23538" priority="166733" stopIfTrue="1" operator="greaterThanOrEqual">
      <formula>0.5</formula>
    </cfRule>
  </conditionalFormatting>
  <conditionalFormatting sqref="AP60">
    <cfRule type="cellIs" dxfId="23537" priority="166734" stopIfTrue="1" operator="equal">
      <formula>-1</formula>
    </cfRule>
  </conditionalFormatting>
  <conditionalFormatting sqref="AP60">
    <cfRule type="cellIs" dxfId="23536" priority="166735" stopIfTrue="1" operator="lessThan">
      <formula>0.5</formula>
    </cfRule>
  </conditionalFormatting>
  <conditionalFormatting sqref="AP60">
    <cfRule type="cellIs" dxfId="23535" priority="166736" stopIfTrue="1" operator="greaterThanOrEqual">
      <formula>0.5</formula>
    </cfRule>
  </conditionalFormatting>
  <conditionalFormatting sqref="AP61">
    <cfRule type="cellIs" dxfId="23534" priority="166737" stopIfTrue="1" operator="equal">
      <formula>-1</formula>
    </cfRule>
  </conditionalFormatting>
  <conditionalFormatting sqref="AP61">
    <cfRule type="cellIs" dxfId="23533" priority="166738" stopIfTrue="1" operator="lessThan">
      <formula>0.5</formula>
    </cfRule>
  </conditionalFormatting>
  <conditionalFormatting sqref="AP61">
    <cfRule type="cellIs" dxfId="23532" priority="166739" stopIfTrue="1" operator="greaterThanOrEqual">
      <formula>0.5</formula>
    </cfRule>
  </conditionalFormatting>
  <conditionalFormatting sqref="AP62">
    <cfRule type="cellIs" dxfId="23531" priority="166740" stopIfTrue="1" operator="equal">
      <formula>-1</formula>
    </cfRule>
  </conditionalFormatting>
  <conditionalFormatting sqref="AP62">
    <cfRule type="cellIs" dxfId="23530" priority="166741" stopIfTrue="1" operator="lessThan">
      <formula>0.5</formula>
    </cfRule>
  </conditionalFormatting>
  <conditionalFormatting sqref="AP62">
    <cfRule type="cellIs" dxfId="23529" priority="166742" stopIfTrue="1" operator="greaterThanOrEqual">
      <formula>0.5</formula>
    </cfRule>
  </conditionalFormatting>
  <conditionalFormatting sqref="AP63">
    <cfRule type="cellIs" dxfId="23528" priority="166743" stopIfTrue="1" operator="equal">
      <formula>-1</formula>
    </cfRule>
  </conditionalFormatting>
  <conditionalFormatting sqref="AP63">
    <cfRule type="cellIs" dxfId="23527" priority="166744" stopIfTrue="1" operator="lessThan">
      <formula>0.5</formula>
    </cfRule>
  </conditionalFormatting>
  <conditionalFormatting sqref="AP63">
    <cfRule type="cellIs" dxfId="23526" priority="166745" stopIfTrue="1" operator="greaterThanOrEqual">
      <formula>0.5</formula>
    </cfRule>
  </conditionalFormatting>
  <conditionalFormatting sqref="AR60">
    <cfRule type="cellIs" dxfId="23525" priority="166746" stopIfTrue="1" operator="equal">
      <formula>-1</formula>
    </cfRule>
  </conditionalFormatting>
  <conditionalFormatting sqref="AR60">
    <cfRule type="cellIs" dxfId="23524" priority="166747" stopIfTrue="1" operator="lessThan">
      <formula>0.5</formula>
    </cfRule>
  </conditionalFormatting>
  <conditionalFormatting sqref="AR60">
    <cfRule type="cellIs" dxfId="23523" priority="166748" stopIfTrue="1" operator="greaterThanOrEqual">
      <formula>0.5</formula>
    </cfRule>
  </conditionalFormatting>
  <conditionalFormatting sqref="AR61">
    <cfRule type="cellIs" dxfId="23522" priority="166749" stopIfTrue="1" operator="equal">
      <formula>-1</formula>
    </cfRule>
  </conditionalFormatting>
  <conditionalFormatting sqref="AR61">
    <cfRule type="cellIs" dxfId="23521" priority="166750" stopIfTrue="1" operator="lessThan">
      <formula>0.5</formula>
    </cfRule>
  </conditionalFormatting>
  <conditionalFormatting sqref="AR61">
    <cfRule type="cellIs" dxfId="23520" priority="166751" stopIfTrue="1" operator="greaterThanOrEqual">
      <formula>0.5</formula>
    </cfRule>
  </conditionalFormatting>
  <conditionalFormatting sqref="AR62">
    <cfRule type="cellIs" dxfId="23519" priority="166752" stopIfTrue="1" operator="equal">
      <formula>-1</formula>
    </cfRule>
  </conditionalFormatting>
  <conditionalFormatting sqref="AR62">
    <cfRule type="cellIs" dxfId="23518" priority="166753" stopIfTrue="1" operator="lessThan">
      <formula>0.5</formula>
    </cfRule>
  </conditionalFormatting>
  <conditionalFormatting sqref="AR62">
    <cfRule type="cellIs" dxfId="23517" priority="166754" stopIfTrue="1" operator="greaterThanOrEqual">
      <formula>0.5</formula>
    </cfRule>
  </conditionalFormatting>
  <conditionalFormatting sqref="AR63">
    <cfRule type="cellIs" dxfId="23516" priority="166755" stopIfTrue="1" operator="equal">
      <formula>-1</formula>
    </cfRule>
  </conditionalFormatting>
  <conditionalFormatting sqref="AR63">
    <cfRule type="cellIs" dxfId="23515" priority="166756" stopIfTrue="1" operator="lessThan">
      <formula>0.5</formula>
    </cfRule>
  </conditionalFormatting>
  <conditionalFormatting sqref="AR63">
    <cfRule type="cellIs" dxfId="23514" priority="166757" stopIfTrue="1" operator="greaterThanOrEqual">
      <formula>0.5</formula>
    </cfRule>
  </conditionalFormatting>
  <conditionalFormatting sqref="AT60">
    <cfRule type="cellIs" dxfId="23513" priority="166758" stopIfTrue="1" operator="equal">
      <formula>-1</formula>
    </cfRule>
  </conditionalFormatting>
  <conditionalFormatting sqref="AT60">
    <cfRule type="cellIs" dxfId="23512" priority="166759" stopIfTrue="1" operator="lessThan">
      <formula>0.5</formula>
    </cfRule>
  </conditionalFormatting>
  <conditionalFormatting sqref="AT60">
    <cfRule type="cellIs" dxfId="23511" priority="166760" stopIfTrue="1" operator="greaterThanOrEqual">
      <formula>0.5</formula>
    </cfRule>
  </conditionalFormatting>
  <conditionalFormatting sqref="AT61">
    <cfRule type="cellIs" dxfId="23510" priority="166761" stopIfTrue="1" operator="equal">
      <formula>-1</formula>
    </cfRule>
  </conditionalFormatting>
  <conditionalFormatting sqref="AT61">
    <cfRule type="cellIs" dxfId="23509" priority="166762" stopIfTrue="1" operator="lessThan">
      <formula>0.5</formula>
    </cfRule>
  </conditionalFormatting>
  <conditionalFormatting sqref="AT61">
    <cfRule type="cellIs" dxfId="23508" priority="166763" stopIfTrue="1" operator="greaterThanOrEqual">
      <formula>0.5</formula>
    </cfRule>
  </conditionalFormatting>
  <conditionalFormatting sqref="AT62">
    <cfRule type="cellIs" dxfId="23507" priority="166764" stopIfTrue="1" operator="equal">
      <formula>-1</formula>
    </cfRule>
  </conditionalFormatting>
  <conditionalFormatting sqref="AT62">
    <cfRule type="cellIs" dxfId="23506" priority="166765" stopIfTrue="1" operator="lessThan">
      <formula>0.5</formula>
    </cfRule>
  </conditionalFormatting>
  <conditionalFormatting sqref="AT62">
    <cfRule type="cellIs" dxfId="23505" priority="166766" stopIfTrue="1" operator="greaterThanOrEqual">
      <formula>0.5</formula>
    </cfRule>
  </conditionalFormatting>
  <conditionalFormatting sqref="AT63">
    <cfRule type="cellIs" dxfId="23504" priority="166767" stopIfTrue="1" operator="equal">
      <formula>-1</formula>
    </cfRule>
  </conditionalFormatting>
  <conditionalFormatting sqref="AT63">
    <cfRule type="cellIs" dxfId="23503" priority="166768" stopIfTrue="1" operator="lessThan">
      <formula>0.5</formula>
    </cfRule>
  </conditionalFormatting>
  <conditionalFormatting sqref="AT63">
    <cfRule type="cellIs" dxfId="23502" priority="166769" stopIfTrue="1" operator="greaterThanOrEqual">
      <formula>0.5</formula>
    </cfRule>
  </conditionalFormatting>
  <conditionalFormatting sqref="AV60">
    <cfRule type="cellIs" dxfId="23501" priority="166770" stopIfTrue="1" operator="equal">
      <formula>-1</formula>
    </cfRule>
  </conditionalFormatting>
  <conditionalFormatting sqref="AV60">
    <cfRule type="cellIs" dxfId="23500" priority="166771" stopIfTrue="1" operator="lessThan">
      <formula>0.5</formula>
    </cfRule>
  </conditionalFormatting>
  <conditionalFormatting sqref="AV60">
    <cfRule type="cellIs" dxfId="23499" priority="166772" stopIfTrue="1" operator="greaterThanOrEqual">
      <formula>0.5</formula>
    </cfRule>
  </conditionalFormatting>
  <conditionalFormatting sqref="AV61">
    <cfRule type="cellIs" dxfId="23498" priority="166773" stopIfTrue="1" operator="equal">
      <formula>-1</formula>
    </cfRule>
  </conditionalFormatting>
  <conditionalFormatting sqref="AV61">
    <cfRule type="cellIs" dxfId="23497" priority="166774" stopIfTrue="1" operator="lessThan">
      <formula>0.5</formula>
    </cfRule>
  </conditionalFormatting>
  <conditionalFormatting sqref="AV61">
    <cfRule type="cellIs" dxfId="23496" priority="166775" stopIfTrue="1" operator="greaterThanOrEqual">
      <formula>0.5</formula>
    </cfRule>
  </conditionalFormatting>
  <conditionalFormatting sqref="AV62">
    <cfRule type="cellIs" dxfId="23495" priority="166776" stopIfTrue="1" operator="equal">
      <formula>-1</formula>
    </cfRule>
  </conditionalFormatting>
  <conditionalFormatting sqref="AV62">
    <cfRule type="cellIs" dxfId="23494" priority="166777" stopIfTrue="1" operator="lessThan">
      <formula>0.5</formula>
    </cfRule>
  </conditionalFormatting>
  <conditionalFormatting sqref="AV62">
    <cfRule type="cellIs" dxfId="23493" priority="166778" stopIfTrue="1" operator="greaterThanOrEqual">
      <formula>0.5</formula>
    </cfRule>
  </conditionalFormatting>
  <conditionalFormatting sqref="AV63">
    <cfRule type="cellIs" dxfId="23492" priority="166779" stopIfTrue="1" operator="equal">
      <formula>-1</formula>
    </cfRule>
  </conditionalFormatting>
  <conditionalFormatting sqref="AV63">
    <cfRule type="cellIs" dxfId="23491" priority="166780" stopIfTrue="1" operator="lessThan">
      <formula>0.5</formula>
    </cfRule>
  </conditionalFormatting>
  <conditionalFormatting sqref="AV63">
    <cfRule type="cellIs" dxfId="23490" priority="166781" stopIfTrue="1" operator="greaterThanOrEqual">
      <formula>0.5</formula>
    </cfRule>
  </conditionalFormatting>
  <conditionalFormatting sqref="AX60">
    <cfRule type="cellIs" dxfId="23489" priority="166782" stopIfTrue="1" operator="equal">
      <formula>-1</formula>
    </cfRule>
  </conditionalFormatting>
  <conditionalFormatting sqref="AX60">
    <cfRule type="cellIs" dxfId="23488" priority="166783" stopIfTrue="1" operator="lessThan">
      <formula>0.5</formula>
    </cfRule>
  </conditionalFormatting>
  <conditionalFormatting sqref="AX60">
    <cfRule type="cellIs" dxfId="23487" priority="166784" stopIfTrue="1" operator="greaterThanOrEqual">
      <formula>0.5</formula>
    </cfRule>
  </conditionalFormatting>
  <conditionalFormatting sqref="AX61">
    <cfRule type="cellIs" dxfId="23486" priority="166785" stopIfTrue="1" operator="equal">
      <formula>-1</formula>
    </cfRule>
  </conditionalFormatting>
  <conditionalFormatting sqref="AX61">
    <cfRule type="cellIs" dxfId="23485" priority="166786" stopIfTrue="1" operator="lessThan">
      <formula>0.5</formula>
    </cfRule>
  </conditionalFormatting>
  <conditionalFormatting sqref="AX61">
    <cfRule type="cellIs" dxfId="23484" priority="166787" stopIfTrue="1" operator="greaterThanOrEqual">
      <formula>0.5</formula>
    </cfRule>
  </conditionalFormatting>
  <conditionalFormatting sqref="AX62">
    <cfRule type="cellIs" dxfId="23483" priority="166788" stopIfTrue="1" operator="equal">
      <formula>-1</formula>
    </cfRule>
  </conditionalFormatting>
  <conditionalFormatting sqref="AX62">
    <cfRule type="cellIs" dxfId="23482" priority="166789" stopIfTrue="1" operator="lessThan">
      <formula>0.5</formula>
    </cfRule>
  </conditionalFormatting>
  <conditionalFormatting sqref="AX62">
    <cfRule type="cellIs" dxfId="23481" priority="166790" stopIfTrue="1" operator="greaterThanOrEqual">
      <formula>0.5</formula>
    </cfRule>
  </conditionalFormatting>
  <conditionalFormatting sqref="AX63">
    <cfRule type="cellIs" dxfId="23480" priority="166791" stopIfTrue="1" operator="equal">
      <formula>-1</formula>
    </cfRule>
  </conditionalFormatting>
  <conditionalFormatting sqref="AX63">
    <cfRule type="cellIs" dxfId="23479" priority="166792" stopIfTrue="1" operator="lessThan">
      <formula>0.5</formula>
    </cfRule>
  </conditionalFormatting>
  <conditionalFormatting sqref="AX63">
    <cfRule type="cellIs" dxfId="23478" priority="166793" stopIfTrue="1" operator="greaterThanOrEqual">
      <formula>0.5</formula>
    </cfRule>
  </conditionalFormatting>
  <conditionalFormatting sqref="AZ60">
    <cfRule type="cellIs" dxfId="23477" priority="166794" stopIfTrue="1" operator="equal">
      <formula>-1</formula>
    </cfRule>
  </conditionalFormatting>
  <conditionalFormatting sqref="AZ60">
    <cfRule type="cellIs" dxfId="23476" priority="166795" stopIfTrue="1" operator="lessThan">
      <formula>0.5</formula>
    </cfRule>
  </conditionalFormatting>
  <conditionalFormatting sqref="AZ60">
    <cfRule type="cellIs" dxfId="23475" priority="166796" stopIfTrue="1" operator="greaterThanOrEqual">
      <formula>0.5</formula>
    </cfRule>
  </conditionalFormatting>
  <conditionalFormatting sqref="AZ61">
    <cfRule type="cellIs" dxfId="23474" priority="166797" stopIfTrue="1" operator="equal">
      <formula>-1</formula>
    </cfRule>
  </conditionalFormatting>
  <conditionalFormatting sqref="AZ61">
    <cfRule type="cellIs" dxfId="23473" priority="166798" stopIfTrue="1" operator="lessThan">
      <formula>0.5</formula>
    </cfRule>
  </conditionalFormatting>
  <conditionalFormatting sqref="AZ61">
    <cfRule type="cellIs" dxfId="23472" priority="166799" stopIfTrue="1" operator="greaterThanOrEqual">
      <formula>0.5</formula>
    </cfRule>
  </conditionalFormatting>
  <conditionalFormatting sqref="AZ62">
    <cfRule type="cellIs" dxfId="23471" priority="166800" stopIfTrue="1" operator="equal">
      <formula>-1</formula>
    </cfRule>
  </conditionalFormatting>
  <conditionalFormatting sqref="AZ62">
    <cfRule type="cellIs" dxfId="23470" priority="166801" stopIfTrue="1" operator="lessThan">
      <formula>0.5</formula>
    </cfRule>
  </conditionalFormatting>
  <conditionalFormatting sqref="AZ62">
    <cfRule type="cellIs" dxfId="23469" priority="166802" stopIfTrue="1" operator="greaterThanOrEqual">
      <formula>0.5</formula>
    </cfRule>
  </conditionalFormatting>
  <conditionalFormatting sqref="AZ63">
    <cfRule type="cellIs" dxfId="23468" priority="166803" stopIfTrue="1" operator="equal">
      <formula>-1</formula>
    </cfRule>
  </conditionalFormatting>
  <conditionalFormatting sqref="AZ63">
    <cfRule type="cellIs" dxfId="23467" priority="166804" stopIfTrue="1" operator="lessThan">
      <formula>0.5</formula>
    </cfRule>
  </conditionalFormatting>
  <conditionalFormatting sqref="AZ63">
    <cfRule type="cellIs" dxfId="23466" priority="166805" stopIfTrue="1" operator="greaterThanOrEqual">
      <formula>0.5</formula>
    </cfRule>
  </conditionalFormatting>
  <conditionalFormatting sqref="BB60">
    <cfRule type="cellIs" dxfId="23465" priority="166806" stopIfTrue="1" operator="equal">
      <formula>-1</formula>
    </cfRule>
  </conditionalFormatting>
  <conditionalFormatting sqref="BB60">
    <cfRule type="cellIs" dxfId="23464" priority="166807" stopIfTrue="1" operator="lessThan">
      <formula>0.5</formula>
    </cfRule>
  </conditionalFormatting>
  <conditionalFormatting sqref="BB60">
    <cfRule type="cellIs" dxfId="23463" priority="166808" stopIfTrue="1" operator="greaterThanOrEqual">
      <formula>0.5</formula>
    </cfRule>
  </conditionalFormatting>
  <conditionalFormatting sqref="BB61">
    <cfRule type="cellIs" dxfId="23462" priority="166809" stopIfTrue="1" operator="equal">
      <formula>-1</formula>
    </cfRule>
  </conditionalFormatting>
  <conditionalFormatting sqref="BB61">
    <cfRule type="cellIs" dxfId="23461" priority="166810" stopIfTrue="1" operator="lessThan">
      <formula>0.5</formula>
    </cfRule>
  </conditionalFormatting>
  <conditionalFormatting sqref="BB61">
    <cfRule type="cellIs" dxfId="23460" priority="166811" stopIfTrue="1" operator="greaterThanOrEqual">
      <formula>0.5</formula>
    </cfRule>
  </conditionalFormatting>
  <conditionalFormatting sqref="BB62">
    <cfRule type="cellIs" dxfId="23459" priority="166812" stopIfTrue="1" operator="equal">
      <formula>-1</formula>
    </cfRule>
  </conditionalFormatting>
  <conditionalFormatting sqref="BB62">
    <cfRule type="cellIs" dxfId="23458" priority="166813" stopIfTrue="1" operator="lessThan">
      <formula>0.5</formula>
    </cfRule>
  </conditionalFormatting>
  <conditionalFormatting sqref="BB62">
    <cfRule type="cellIs" dxfId="23457" priority="166814" stopIfTrue="1" operator="greaterThanOrEqual">
      <formula>0.5</formula>
    </cfRule>
  </conditionalFormatting>
  <conditionalFormatting sqref="BB63">
    <cfRule type="cellIs" dxfId="23456" priority="166815" stopIfTrue="1" operator="equal">
      <formula>-1</formula>
    </cfRule>
  </conditionalFormatting>
  <conditionalFormatting sqref="BB63">
    <cfRule type="cellIs" dxfId="23455" priority="166816" stopIfTrue="1" operator="lessThan">
      <formula>0.5</formula>
    </cfRule>
  </conditionalFormatting>
  <conditionalFormatting sqref="BB63">
    <cfRule type="cellIs" dxfId="23454" priority="166817" stopIfTrue="1" operator="greaterThanOrEqual">
      <formula>0.5</formula>
    </cfRule>
  </conditionalFormatting>
  <conditionalFormatting sqref="BD60">
    <cfRule type="cellIs" dxfId="23453" priority="166818" stopIfTrue="1" operator="equal">
      <formula>-1</formula>
    </cfRule>
  </conditionalFormatting>
  <conditionalFormatting sqref="BD60">
    <cfRule type="cellIs" dxfId="23452" priority="166819" stopIfTrue="1" operator="lessThan">
      <formula>0.5</formula>
    </cfRule>
  </conditionalFormatting>
  <conditionalFormatting sqref="BD60">
    <cfRule type="cellIs" dxfId="23451" priority="166820" stopIfTrue="1" operator="greaterThanOrEqual">
      <formula>0.5</formula>
    </cfRule>
  </conditionalFormatting>
  <conditionalFormatting sqref="BD61">
    <cfRule type="cellIs" dxfId="23450" priority="166821" stopIfTrue="1" operator="equal">
      <formula>-1</formula>
    </cfRule>
  </conditionalFormatting>
  <conditionalFormatting sqref="BD61">
    <cfRule type="cellIs" dxfId="23449" priority="166822" stopIfTrue="1" operator="lessThan">
      <formula>0.5</formula>
    </cfRule>
  </conditionalFormatting>
  <conditionalFormatting sqref="BD61">
    <cfRule type="cellIs" dxfId="23448" priority="166823" stopIfTrue="1" operator="greaterThanOrEqual">
      <formula>0.5</formula>
    </cfRule>
  </conditionalFormatting>
  <conditionalFormatting sqref="BD62">
    <cfRule type="cellIs" dxfId="23447" priority="166824" stopIfTrue="1" operator="equal">
      <formula>-1</formula>
    </cfRule>
  </conditionalFormatting>
  <conditionalFormatting sqref="BD62">
    <cfRule type="cellIs" dxfId="23446" priority="166825" stopIfTrue="1" operator="lessThan">
      <formula>0.5</formula>
    </cfRule>
  </conditionalFormatting>
  <conditionalFormatting sqref="BD62">
    <cfRule type="cellIs" dxfId="23445" priority="166826" stopIfTrue="1" operator="greaterThanOrEqual">
      <formula>0.5</formula>
    </cfRule>
  </conditionalFormatting>
  <conditionalFormatting sqref="BD63">
    <cfRule type="cellIs" dxfId="23444" priority="166827" stopIfTrue="1" operator="equal">
      <formula>-1</formula>
    </cfRule>
  </conditionalFormatting>
  <conditionalFormatting sqref="BD63">
    <cfRule type="cellIs" dxfId="23443" priority="166828" stopIfTrue="1" operator="lessThan">
      <formula>0.5</formula>
    </cfRule>
  </conditionalFormatting>
  <conditionalFormatting sqref="BD63">
    <cfRule type="cellIs" dxfId="23442" priority="166829" stopIfTrue="1" operator="greaterThanOrEqual">
      <formula>0.5</formula>
    </cfRule>
  </conditionalFormatting>
  <conditionalFormatting sqref="BF60">
    <cfRule type="cellIs" dxfId="23441" priority="166830" stopIfTrue="1" operator="equal">
      <formula>-1</formula>
    </cfRule>
  </conditionalFormatting>
  <conditionalFormatting sqref="BF60">
    <cfRule type="cellIs" dxfId="23440" priority="166831" stopIfTrue="1" operator="lessThan">
      <formula>0.5</formula>
    </cfRule>
  </conditionalFormatting>
  <conditionalFormatting sqref="BF60">
    <cfRule type="cellIs" dxfId="23439" priority="166832" stopIfTrue="1" operator="greaterThanOrEqual">
      <formula>0.5</formula>
    </cfRule>
  </conditionalFormatting>
  <conditionalFormatting sqref="BF61">
    <cfRule type="cellIs" dxfId="23438" priority="166833" stopIfTrue="1" operator="equal">
      <formula>-1</formula>
    </cfRule>
  </conditionalFormatting>
  <conditionalFormatting sqref="BF61">
    <cfRule type="cellIs" dxfId="23437" priority="166834" stopIfTrue="1" operator="lessThan">
      <formula>0.5</formula>
    </cfRule>
  </conditionalFormatting>
  <conditionalFormatting sqref="BF61">
    <cfRule type="cellIs" dxfId="23436" priority="166835" stopIfTrue="1" operator="greaterThanOrEqual">
      <formula>0.5</formula>
    </cfRule>
  </conditionalFormatting>
  <conditionalFormatting sqref="BF62">
    <cfRule type="cellIs" dxfId="23435" priority="166836" stopIfTrue="1" operator="equal">
      <formula>-1</formula>
    </cfRule>
  </conditionalFormatting>
  <conditionalFormatting sqref="BF62">
    <cfRule type="cellIs" dxfId="23434" priority="166837" stopIfTrue="1" operator="lessThan">
      <formula>0.5</formula>
    </cfRule>
  </conditionalFormatting>
  <conditionalFormatting sqref="BF62">
    <cfRule type="cellIs" dxfId="23433" priority="166838" stopIfTrue="1" operator="greaterThanOrEqual">
      <formula>0.5</formula>
    </cfRule>
  </conditionalFormatting>
  <conditionalFormatting sqref="BF63">
    <cfRule type="cellIs" dxfId="23432" priority="166839" stopIfTrue="1" operator="equal">
      <formula>-1</formula>
    </cfRule>
  </conditionalFormatting>
  <conditionalFormatting sqref="BF63">
    <cfRule type="cellIs" dxfId="23431" priority="166840" stopIfTrue="1" operator="lessThan">
      <formula>0.5</formula>
    </cfRule>
  </conditionalFormatting>
  <conditionalFormatting sqref="BF63">
    <cfRule type="cellIs" dxfId="23430" priority="166841" stopIfTrue="1" operator="greaterThanOrEqual">
      <formula>0.5</formula>
    </cfRule>
  </conditionalFormatting>
  <conditionalFormatting sqref="BH60">
    <cfRule type="cellIs" dxfId="23429" priority="166842" stopIfTrue="1" operator="equal">
      <formula>-1</formula>
    </cfRule>
  </conditionalFormatting>
  <conditionalFormatting sqref="BH60">
    <cfRule type="cellIs" dxfId="23428" priority="166843" stopIfTrue="1" operator="lessThan">
      <formula>0.5</formula>
    </cfRule>
  </conditionalFormatting>
  <conditionalFormatting sqref="BH60">
    <cfRule type="cellIs" dxfId="23427" priority="166844" stopIfTrue="1" operator="greaterThanOrEqual">
      <formula>0.5</formula>
    </cfRule>
  </conditionalFormatting>
  <conditionalFormatting sqref="BH61">
    <cfRule type="cellIs" dxfId="23426" priority="166845" stopIfTrue="1" operator="equal">
      <formula>-1</formula>
    </cfRule>
  </conditionalFormatting>
  <conditionalFormatting sqref="BH61">
    <cfRule type="cellIs" dxfId="23425" priority="166846" stopIfTrue="1" operator="lessThan">
      <formula>0.5</formula>
    </cfRule>
  </conditionalFormatting>
  <conditionalFormatting sqref="BH61">
    <cfRule type="cellIs" dxfId="23424" priority="166847" stopIfTrue="1" operator="greaterThanOrEqual">
      <formula>0.5</formula>
    </cfRule>
  </conditionalFormatting>
  <conditionalFormatting sqref="BH62">
    <cfRule type="cellIs" dxfId="23423" priority="166848" stopIfTrue="1" operator="equal">
      <formula>-1</formula>
    </cfRule>
  </conditionalFormatting>
  <conditionalFormatting sqref="BH62">
    <cfRule type="cellIs" dxfId="23422" priority="166849" stopIfTrue="1" operator="lessThan">
      <formula>0.5</formula>
    </cfRule>
  </conditionalFormatting>
  <conditionalFormatting sqref="BH62">
    <cfRule type="cellIs" dxfId="23421" priority="166850" stopIfTrue="1" operator="greaterThanOrEqual">
      <formula>0.5</formula>
    </cfRule>
  </conditionalFormatting>
  <conditionalFormatting sqref="BH63">
    <cfRule type="cellIs" dxfId="23420" priority="166851" stopIfTrue="1" operator="equal">
      <formula>-1</formula>
    </cfRule>
  </conditionalFormatting>
  <conditionalFormatting sqref="BH63">
    <cfRule type="cellIs" dxfId="23419" priority="166852" stopIfTrue="1" operator="lessThan">
      <formula>0.5</formula>
    </cfRule>
  </conditionalFormatting>
  <conditionalFormatting sqref="BH63">
    <cfRule type="cellIs" dxfId="23418" priority="166853" stopIfTrue="1" operator="greaterThanOrEqual">
      <formula>0.5</formula>
    </cfRule>
  </conditionalFormatting>
  <conditionalFormatting sqref="BJ60">
    <cfRule type="cellIs" dxfId="23417" priority="166854" stopIfTrue="1" operator="equal">
      <formula>-1</formula>
    </cfRule>
  </conditionalFormatting>
  <conditionalFormatting sqref="BJ60">
    <cfRule type="cellIs" dxfId="23416" priority="166855" stopIfTrue="1" operator="lessThan">
      <formula>0.5</formula>
    </cfRule>
  </conditionalFormatting>
  <conditionalFormatting sqref="BJ60">
    <cfRule type="cellIs" dxfId="23415" priority="166856" stopIfTrue="1" operator="greaterThanOrEqual">
      <formula>0.5</formula>
    </cfRule>
  </conditionalFormatting>
  <conditionalFormatting sqref="BJ61">
    <cfRule type="cellIs" dxfId="23414" priority="166857" stopIfTrue="1" operator="equal">
      <formula>-1</formula>
    </cfRule>
  </conditionalFormatting>
  <conditionalFormatting sqref="BJ61">
    <cfRule type="cellIs" dxfId="23413" priority="166858" stopIfTrue="1" operator="lessThan">
      <formula>0.5</formula>
    </cfRule>
  </conditionalFormatting>
  <conditionalFormatting sqref="BJ61">
    <cfRule type="cellIs" dxfId="23412" priority="166859" stopIfTrue="1" operator="greaterThanOrEqual">
      <formula>0.5</formula>
    </cfRule>
  </conditionalFormatting>
  <conditionalFormatting sqref="BJ62">
    <cfRule type="cellIs" dxfId="23411" priority="166860" stopIfTrue="1" operator="equal">
      <formula>-1</formula>
    </cfRule>
  </conditionalFormatting>
  <conditionalFormatting sqref="BJ62">
    <cfRule type="cellIs" dxfId="23410" priority="166861" stopIfTrue="1" operator="lessThan">
      <formula>0.5</formula>
    </cfRule>
  </conditionalFormatting>
  <conditionalFormatting sqref="BJ62">
    <cfRule type="cellIs" dxfId="23409" priority="166862" stopIfTrue="1" operator="greaterThanOrEqual">
      <formula>0.5</formula>
    </cfRule>
  </conditionalFormatting>
  <conditionalFormatting sqref="BJ63">
    <cfRule type="cellIs" dxfId="23408" priority="166863" stopIfTrue="1" operator="equal">
      <formula>-1</formula>
    </cfRule>
  </conditionalFormatting>
  <conditionalFormatting sqref="BJ63">
    <cfRule type="cellIs" dxfId="23407" priority="166864" stopIfTrue="1" operator="lessThan">
      <formula>0.5</formula>
    </cfRule>
  </conditionalFormatting>
  <conditionalFormatting sqref="BJ63">
    <cfRule type="cellIs" dxfId="23406" priority="166865" stopIfTrue="1" operator="greaterThanOrEqual">
      <formula>0.5</formula>
    </cfRule>
  </conditionalFormatting>
  <conditionalFormatting sqref="D65">
    <cfRule type="cellIs" dxfId="23405" priority="166866" stopIfTrue="1" operator="equal">
      <formula>-1</formula>
    </cfRule>
  </conditionalFormatting>
  <conditionalFormatting sqref="D65">
    <cfRule type="cellIs" dxfId="23404" priority="166867" stopIfTrue="1" operator="lessThan">
      <formula>0.5</formula>
    </cfRule>
  </conditionalFormatting>
  <conditionalFormatting sqref="D65">
    <cfRule type="cellIs" dxfId="23403" priority="166868" stopIfTrue="1" operator="greaterThanOrEqual">
      <formula>0.5</formula>
    </cfRule>
  </conditionalFormatting>
  <conditionalFormatting sqref="D66">
    <cfRule type="cellIs" dxfId="23402" priority="166869" stopIfTrue="1" operator="equal">
      <formula>-1</formula>
    </cfRule>
  </conditionalFormatting>
  <conditionalFormatting sqref="D66">
    <cfRule type="cellIs" dxfId="23401" priority="166870" stopIfTrue="1" operator="lessThan">
      <formula>0.5</formula>
    </cfRule>
  </conditionalFormatting>
  <conditionalFormatting sqref="D66">
    <cfRule type="cellIs" dxfId="23400" priority="166871" stopIfTrue="1" operator="greaterThanOrEqual">
      <formula>0.5</formula>
    </cfRule>
  </conditionalFormatting>
  <conditionalFormatting sqref="D67">
    <cfRule type="cellIs" dxfId="23399" priority="166872" stopIfTrue="1" operator="equal">
      <formula>-1</formula>
    </cfRule>
  </conditionalFormatting>
  <conditionalFormatting sqref="D67">
    <cfRule type="cellIs" dxfId="23398" priority="166873" stopIfTrue="1" operator="lessThan">
      <formula>0.5</formula>
    </cfRule>
  </conditionalFormatting>
  <conditionalFormatting sqref="D67">
    <cfRule type="cellIs" dxfId="23397" priority="166874" stopIfTrue="1" operator="greaterThanOrEqual">
      <formula>0.5</formula>
    </cfRule>
  </conditionalFormatting>
  <conditionalFormatting sqref="D68">
    <cfRule type="cellIs" dxfId="23396" priority="166875" stopIfTrue="1" operator="equal">
      <formula>-1</formula>
    </cfRule>
  </conditionalFormatting>
  <conditionalFormatting sqref="D68">
    <cfRule type="cellIs" dxfId="23395" priority="166876" stopIfTrue="1" operator="lessThan">
      <formula>0.5</formula>
    </cfRule>
  </conditionalFormatting>
  <conditionalFormatting sqref="D68">
    <cfRule type="cellIs" dxfId="23394" priority="166877" stopIfTrue="1" operator="greaterThanOrEqual">
      <formula>0.5</formula>
    </cfRule>
  </conditionalFormatting>
  <conditionalFormatting sqref="D69">
    <cfRule type="cellIs" dxfId="23393" priority="166878" stopIfTrue="1" operator="equal">
      <formula>-1</formula>
    </cfRule>
  </conditionalFormatting>
  <conditionalFormatting sqref="D69">
    <cfRule type="cellIs" dxfId="23392" priority="166879" stopIfTrue="1" operator="lessThan">
      <formula>0.5</formula>
    </cfRule>
  </conditionalFormatting>
  <conditionalFormatting sqref="D69">
    <cfRule type="cellIs" dxfId="23391" priority="166880" stopIfTrue="1" operator="greaterThanOrEqual">
      <formula>0.5</formula>
    </cfRule>
  </conditionalFormatting>
  <conditionalFormatting sqref="D70">
    <cfRule type="cellIs" dxfId="23390" priority="166881" stopIfTrue="1" operator="equal">
      <formula>-1</formula>
    </cfRule>
  </conditionalFormatting>
  <conditionalFormatting sqref="D70">
    <cfRule type="cellIs" dxfId="23389" priority="166882" stopIfTrue="1" operator="lessThan">
      <formula>0.5</formula>
    </cfRule>
  </conditionalFormatting>
  <conditionalFormatting sqref="D70">
    <cfRule type="cellIs" dxfId="23388" priority="166883" stopIfTrue="1" operator="greaterThanOrEqual">
      <formula>0.5</formula>
    </cfRule>
  </conditionalFormatting>
  <conditionalFormatting sqref="D71">
    <cfRule type="cellIs" dxfId="23387" priority="166884" stopIfTrue="1" operator="equal">
      <formula>-1</formula>
    </cfRule>
  </conditionalFormatting>
  <conditionalFormatting sqref="D71">
    <cfRule type="cellIs" dxfId="23386" priority="166885" stopIfTrue="1" operator="lessThan">
      <formula>0.5</formula>
    </cfRule>
  </conditionalFormatting>
  <conditionalFormatting sqref="D71">
    <cfRule type="cellIs" dxfId="23385" priority="166886" stopIfTrue="1" operator="greaterThanOrEqual">
      <formula>0.5</formula>
    </cfRule>
  </conditionalFormatting>
  <conditionalFormatting sqref="D72">
    <cfRule type="cellIs" dxfId="23384" priority="166887" stopIfTrue="1" operator="equal">
      <formula>-1</formula>
    </cfRule>
  </conditionalFormatting>
  <conditionalFormatting sqref="D72">
    <cfRule type="cellIs" dxfId="23383" priority="166888" stopIfTrue="1" operator="lessThan">
      <formula>0.5</formula>
    </cfRule>
  </conditionalFormatting>
  <conditionalFormatting sqref="D72">
    <cfRule type="cellIs" dxfId="23382" priority="166889" stopIfTrue="1" operator="greaterThanOrEqual">
      <formula>0.5</formula>
    </cfRule>
  </conditionalFormatting>
  <conditionalFormatting sqref="D73">
    <cfRule type="cellIs" dxfId="23381" priority="166890" stopIfTrue="1" operator="equal">
      <formula>-1</formula>
    </cfRule>
  </conditionalFormatting>
  <conditionalFormatting sqref="D73">
    <cfRule type="cellIs" dxfId="23380" priority="166891" stopIfTrue="1" operator="lessThan">
      <formula>0.5</formula>
    </cfRule>
  </conditionalFormatting>
  <conditionalFormatting sqref="D73">
    <cfRule type="cellIs" dxfId="23379" priority="166892" stopIfTrue="1" operator="greaterThanOrEqual">
      <formula>0.5</formula>
    </cfRule>
  </conditionalFormatting>
  <conditionalFormatting sqref="D74">
    <cfRule type="cellIs" dxfId="23378" priority="166893" stopIfTrue="1" operator="equal">
      <formula>-1</formula>
    </cfRule>
  </conditionalFormatting>
  <conditionalFormatting sqref="D74">
    <cfRule type="cellIs" dxfId="23377" priority="166894" stopIfTrue="1" operator="lessThan">
      <formula>0.5</formula>
    </cfRule>
  </conditionalFormatting>
  <conditionalFormatting sqref="D74">
    <cfRule type="cellIs" dxfId="23376" priority="166895" stopIfTrue="1" operator="greaterThanOrEqual">
      <formula>0.5</formula>
    </cfRule>
  </conditionalFormatting>
  <conditionalFormatting sqref="D75">
    <cfRule type="cellIs" dxfId="23375" priority="166896" stopIfTrue="1" operator="equal">
      <formula>-1</formula>
    </cfRule>
  </conditionalFormatting>
  <conditionalFormatting sqref="D75">
    <cfRule type="cellIs" dxfId="23374" priority="166897" stopIfTrue="1" operator="lessThan">
      <formula>0.5</formula>
    </cfRule>
  </conditionalFormatting>
  <conditionalFormatting sqref="D75">
    <cfRule type="cellIs" dxfId="23373" priority="166898" stopIfTrue="1" operator="greaterThanOrEqual">
      <formula>0.5</formula>
    </cfRule>
  </conditionalFormatting>
  <conditionalFormatting sqref="D76">
    <cfRule type="cellIs" dxfId="23372" priority="166899" stopIfTrue="1" operator="equal">
      <formula>-1</formula>
    </cfRule>
  </conditionalFormatting>
  <conditionalFormatting sqref="D76">
    <cfRule type="cellIs" dxfId="23371" priority="166900" stopIfTrue="1" operator="lessThan">
      <formula>0.5</formula>
    </cfRule>
  </conditionalFormatting>
  <conditionalFormatting sqref="D76">
    <cfRule type="cellIs" dxfId="23370" priority="166901" stopIfTrue="1" operator="greaterThanOrEqual">
      <formula>0.5</formula>
    </cfRule>
  </conditionalFormatting>
  <conditionalFormatting sqref="D77">
    <cfRule type="cellIs" dxfId="23369" priority="166902" stopIfTrue="1" operator="equal">
      <formula>-1</formula>
    </cfRule>
  </conditionalFormatting>
  <conditionalFormatting sqref="D77">
    <cfRule type="cellIs" dxfId="23368" priority="166903" stopIfTrue="1" operator="lessThan">
      <formula>0.5</formula>
    </cfRule>
  </conditionalFormatting>
  <conditionalFormatting sqref="D77">
    <cfRule type="cellIs" dxfId="23367" priority="166904" stopIfTrue="1" operator="greaterThanOrEqual">
      <formula>0.5</formula>
    </cfRule>
  </conditionalFormatting>
  <conditionalFormatting sqref="D78">
    <cfRule type="cellIs" dxfId="23366" priority="166905" stopIfTrue="1" operator="equal">
      <formula>-1</formula>
    </cfRule>
  </conditionalFormatting>
  <conditionalFormatting sqref="D78">
    <cfRule type="cellIs" dxfId="23365" priority="166906" stopIfTrue="1" operator="lessThan">
      <formula>0.5</formula>
    </cfRule>
  </conditionalFormatting>
  <conditionalFormatting sqref="D78">
    <cfRule type="cellIs" dxfId="23364" priority="166907" stopIfTrue="1" operator="greaterThanOrEqual">
      <formula>0.5</formula>
    </cfRule>
  </conditionalFormatting>
  <conditionalFormatting sqref="D79">
    <cfRule type="cellIs" dxfId="23363" priority="166908" stopIfTrue="1" operator="equal">
      <formula>-1</formula>
    </cfRule>
  </conditionalFormatting>
  <conditionalFormatting sqref="D79">
    <cfRule type="cellIs" dxfId="23362" priority="166909" stopIfTrue="1" operator="lessThan">
      <formula>0.5</formula>
    </cfRule>
  </conditionalFormatting>
  <conditionalFormatting sqref="D79">
    <cfRule type="cellIs" dxfId="23361" priority="166910" stopIfTrue="1" operator="greaterThanOrEqual">
      <formula>0.5</formula>
    </cfRule>
  </conditionalFormatting>
  <conditionalFormatting sqref="D80">
    <cfRule type="cellIs" dxfId="23360" priority="166911" stopIfTrue="1" operator="equal">
      <formula>-1</formula>
    </cfRule>
  </conditionalFormatting>
  <conditionalFormatting sqref="D80">
    <cfRule type="cellIs" dxfId="23359" priority="166912" stopIfTrue="1" operator="lessThan">
      <formula>0.5</formula>
    </cfRule>
  </conditionalFormatting>
  <conditionalFormatting sqref="D80">
    <cfRule type="cellIs" dxfId="23358" priority="166913" stopIfTrue="1" operator="greaterThanOrEqual">
      <formula>0.5</formula>
    </cfRule>
  </conditionalFormatting>
  <conditionalFormatting sqref="D81">
    <cfRule type="cellIs" dxfId="23357" priority="166914" stopIfTrue="1" operator="equal">
      <formula>-1</formula>
    </cfRule>
  </conditionalFormatting>
  <conditionalFormatting sqref="D81">
    <cfRule type="cellIs" dxfId="23356" priority="166915" stopIfTrue="1" operator="lessThan">
      <formula>0.5</formula>
    </cfRule>
  </conditionalFormatting>
  <conditionalFormatting sqref="D81">
    <cfRule type="cellIs" dxfId="23355" priority="166916" stopIfTrue="1" operator="greaterThanOrEqual">
      <formula>0.5</formula>
    </cfRule>
  </conditionalFormatting>
  <conditionalFormatting sqref="D82">
    <cfRule type="cellIs" dxfId="23354" priority="166917" stopIfTrue="1" operator="equal">
      <formula>-1</formula>
    </cfRule>
  </conditionalFormatting>
  <conditionalFormatting sqref="D82">
    <cfRule type="cellIs" dxfId="23353" priority="166918" stopIfTrue="1" operator="lessThan">
      <formula>0.5</formula>
    </cfRule>
  </conditionalFormatting>
  <conditionalFormatting sqref="D82">
    <cfRule type="cellIs" dxfId="23352" priority="166919" stopIfTrue="1" operator="greaterThanOrEqual">
      <formula>0.5</formula>
    </cfRule>
  </conditionalFormatting>
  <conditionalFormatting sqref="D83">
    <cfRule type="cellIs" dxfId="23351" priority="166920" stopIfTrue="1" operator="equal">
      <formula>-1</formula>
    </cfRule>
  </conditionalFormatting>
  <conditionalFormatting sqref="D83">
    <cfRule type="cellIs" dxfId="23350" priority="166921" stopIfTrue="1" operator="lessThan">
      <formula>0.5</formula>
    </cfRule>
  </conditionalFormatting>
  <conditionalFormatting sqref="D83">
    <cfRule type="cellIs" dxfId="23349" priority="166922" stopIfTrue="1" operator="greaterThanOrEqual">
      <formula>0.5</formula>
    </cfRule>
  </conditionalFormatting>
  <conditionalFormatting sqref="D84">
    <cfRule type="cellIs" dxfId="23348" priority="166923" stopIfTrue="1" operator="equal">
      <formula>-1</formula>
    </cfRule>
  </conditionalFormatting>
  <conditionalFormatting sqref="D84">
    <cfRule type="cellIs" dxfId="23347" priority="166924" stopIfTrue="1" operator="lessThan">
      <formula>0.5</formula>
    </cfRule>
  </conditionalFormatting>
  <conditionalFormatting sqref="D84">
    <cfRule type="cellIs" dxfId="23346" priority="166925" stopIfTrue="1" operator="greaterThanOrEqual">
      <formula>0.5</formula>
    </cfRule>
  </conditionalFormatting>
  <conditionalFormatting sqref="D85">
    <cfRule type="cellIs" dxfId="23345" priority="166926" stopIfTrue="1" operator="equal">
      <formula>-1</formula>
    </cfRule>
  </conditionalFormatting>
  <conditionalFormatting sqref="D85">
    <cfRule type="cellIs" dxfId="23344" priority="166927" stopIfTrue="1" operator="lessThan">
      <formula>0.5</formula>
    </cfRule>
  </conditionalFormatting>
  <conditionalFormatting sqref="D85">
    <cfRule type="cellIs" dxfId="23343" priority="166928" stopIfTrue="1" operator="greaterThanOrEqual">
      <formula>0.5</formula>
    </cfRule>
  </conditionalFormatting>
  <conditionalFormatting sqref="F65">
    <cfRule type="cellIs" dxfId="23342" priority="166929" stopIfTrue="1" operator="equal">
      <formula>-1</formula>
    </cfRule>
  </conditionalFormatting>
  <conditionalFormatting sqref="F65">
    <cfRule type="cellIs" dxfId="23341" priority="166930" stopIfTrue="1" operator="lessThan">
      <formula>0.5</formula>
    </cfRule>
  </conditionalFormatting>
  <conditionalFormatting sqref="F65">
    <cfRule type="cellIs" dxfId="23340" priority="166931" stopIfTrue="1" operator="greaterThanOrEqual">
      <formula>0.5</formula>
    </cfRule>
  </conditionalFormatting>
  <conditionalFormatting sqref="F66">
    <cfRule type="cellIs" dxfId="23339" priority="166932" stopIfTrue="1" operator="equal">
      <formula>-1</formula>
    </cfRule>
  </conditionalFormatting>
  <conditionalFormatting sqref="F66">
    <cfRule type="cellIs" dxfId="23338" priority="166933" stopIfTrue="1" operator="lessThan">
      <formula>0.5</formula>
    </cfRule>
  </conditionalFormatting>
  <conditionalFormatting sqref="F66">
    <cfRule type="cellIs" dxfId="23337" priority="166934" stopIfTrue="1" operator="greaterThanOrEqual">
      <formula>0.5</formula>
    </cfRule>
  </conditionalFormatting>
  <conditionalFormatting sqref="F67">
    <cfRule type="cellIs" dxfId="23336" priority="166935" stopIfTrue="1" operator="equal">
      <formula>-1</formula>
    </cfRule>
  </conditionalFormatting>
  <conditionalFormatting sqref="F67">
    <cfRule type="cellIs" dxfId="23335" priority="166936" stopIfTrue="1" operator="lessThan">
      <formula>0.5</formula>
    </cfRule>
  </conditionalFormatting>
  <conditionalFormatting sqref="F67">
    <cfRule type="cellIs" dxfId="23334" priority="166937" stopIfTrue="1" operator="greaterThanOrEqual">
      <formula>0.5</formula>
    </cfRule>
  </conditionalFormatting>
  <conditionalFormatting sqref="F68">
    <cfRule type="cellIs" dxfId="23333" priority="166938" stopIfTrue="1" operator="equal">
      <formula>-1</formula>
    </cfRule>
  </conditionalFormatting>
  <conditionalFormatting sqref="F68">
    <cfRule type="cellIs" dxfId="23332" priority="166939" stopIfTrue="1" operator="lessThan">
      <formula>0.5</formula>
    </cfRule>
  </conditionalFormatting>
  <conditionalFormatting sqref="F68">
    <cfRule type="cellIs" dxfId="23331" priority="166940" stopIfTrue="1" operator="greaterThanOrEqual">
      <formula>0.5</formula>
    </cfRule>
  </conditionalFormatting>
  <conditionalFormatting sqref="F69">
    <cfRule type="cellIs" dxfId="23330" priority="166941" stopIfTrue="1" operator="equal">
      <formula>-1</formula>
    </cfRule>
  </conditionalFormatting>
  <conditionalFormatting sqref="F69">
    <cfRule type="cellIs" dxfId="23329" priority="166942" stopIfTrue="1" operator="lessThan">
      <formula>0.5</formula>
    </cfRule>
  </conditionalFormatting>
  <conditionalFormatting sqref="F69">
    <cfRule type="cellIs" dxfId="23328" priority="166943" stopIfTrue="1" operator="greaterThanOrEqual">
      <formula>0.5</formula>
    </cfRule>
  </conditionalFormatting>
  <conditionalFormatting sqref="F70">
    <cfRule type="cellIs" dxfId="23327" priority="166944" stopIfTrue="1" operator="equal">
      <formula>-1</formula>
    </cfRule>
  </conditionalFormatting>
  <conditionalFormatting sqref="F70">
    <cfRule type="cellIs" dxfId="23326" priority="166945" stopIfTrue="1" operator="lessThan">
      <formula>0.5</formula>
    </cfRule>
  </conditionalFormatting>
  <conditionalFormatting sqref="F70">
    <cfRule type="cellIs" dxfId="23325" priority="166946" stopIfTrue="1" operator="greaterThanOrEqual">
      <formula>0.5</formula>
    </cfRule>
  </conditionalFormatting>
  <conditionalFormatting sqref="F71">
    <cfRule type="cellIs" dxfId="23324" priority="166947" stopIfTrue="1" operator="equal">
      <formula>-1</formula>
    </cfRule>
  </conditionalFormatting>
  <conditionalFormatting sqref="F71">
    <cfRule type="cellIs" dxfId="23323" priority="166948" stopIfTrue="1" operator="lessThan">
      <formula>0.5</formula>
    </cfRule>
  </conditionalFormatting>
  <conditionalFormatting sqref="F71">
    <cfRule type="cellIs" dxfId="23322" priority="166949" stopIfTrue="1" operator="greaterThanOrEqual">
      <formula>0.5</formula>
    </cfRule>
  </conditionalFormatting>
  <conditionalFormatting sqref="F72">
    <cfRule type="cellIs" dxfId="23321" priority="166950" stopIfTrue="1" operator="equal">
      <formula>-1</formula>
    </cfRule>
  </conditionalFormatting>
  <conditionalFormatting sqref="F72">
    <cfRule type="cellIs" dxfId="23320" priority="166951" stopIfTrue="1" operator="lessThan">
      <formula>0.5</formula>
    </cfRule>
  </conditionalFormatting>
  <conditionalFormatting sqref="F72">
    <cfRule type="cellIs" dxfId="23319" priority="166952" stopIfTrue="1" operator="greaterThanOrEqual">
      <formula>0.5</formula>
    </cfRule>
  </conditionalFormatting>
  <conditionalFormatting sqref="F73">
    <cfRule type="cellIs" dxfId="23318" priority="166953" stopIfTrue="1" operator="equal">
      <formula>-1</formula>
    </cfRule>
  </conditionalFormatting>
  <conditionalFormatting sqref="F73">
    <cfRule type="cellIs" dxfId="23317" priority="166954" stopIfTrue="1" operator="lessThan">
      <formula>0.5</formula>
    </cfRule>
  </conditionalFormatting>
  <conditionalFormatting sqref="F73">
    <cfRule type="cellIs" dxfId="23316" priority="166955" stopIfTrue="1" operator="greaterThanOrEqual">
      <formula>0.5</formula>
    </cfRule>
  </conditionalFormatting>
  <conditionalFormatting sqref="F74">
    <cfRule type="cellIs" dxfId="23315" priority="166956" stopIfTrue="1" operator="equal">
      <formula>-1</formula>
    </cfRule>
  </conditionalFormatting>
  <conditionalFormatting sqref="F74">
    <cfRule type="cellIs" dxfId="23314" priority="166957" stopIfTrue="1" operator="lessThan">
      <formula>0.5</formula>
    </cfRule>
  </conditionalFormatting>
  <conditionalFormatting sqref="F74">
    <cfRule type="cellIs" dxfId="23313" priority="166958" stopIfTrue="1" operator="greaterThanOrEqual">
      <formula>0.5</formula>
    </cfRule>
  </conditionalFormatting>
  <conditionalFormatting sqref="F75">
    <cfRule type="cellIs" dxfId="23312" priority="166959" stopIfTrue="1" operator="equal">
      <formula>-1</formula>
    </cfRule>
  </conditionalFormatting>
  <conditionalFormatting sqref="F75">
    <cfRule type="cellIs" dxfId="23311" priority="166960" stopIfTrue="1" operator="lessThan">
      <formula>0.5</formula>
    </cfRule>
  </conditionalFormatting>
  <conditionalFormatting sqref="F75">
    <cfRule type="cellIs" dxfId="23310" priority="166961" stopIfTrue="1" operator="greaterThanOrEqual">
      <formula>0.5</formula>
    </cfRule>
  </conditionalFormatting>
  <conditionalFormatting sqref="F76">
    <cfRule type="cellIs" dxfId="23309" priority="166962" stopIfTrue="1" operator="equal">
      <formula>-1</formula>
    </cfRule>
  </conditionalFormatting>
  <conditionalFormatting sqref="F76">
    <cfRule type="cellIs" dxfId="23308" priority="166963" stopIfTrue="1" operator="lessThan">
      <formula>0.5</formula>
    </cfRule>
  </conditionalFormatting>
  <conditionalFormatting sqref="F76">
    <cfRule type="cellIs" dxfId="23307" priority="166964" stopIfTrue="1" operator="greaterThanOrEqual">
      <formula>0.5</formula>
    </cfRule>
  </conditionalFormatting>
  <conditionalFormatting sqref="F77">
    <cfRule type="cellIs" dxfId="23306" priority="166965" stopIfTrue="1" operator="equal">
      <formula>-1</formula>
    </cfRule>
  </conditionalFormatting>
  <conditionalFormatting sqref="F77">
    <cfRule type="cellIs" dxfId="23305" priority="166966" stopIfTrue="1" operator="lessThan">
      <formula>0.5</formula>
    </cfRule>
  </conditionalFormatting>
  <conditionalFormatting sqref="F77">
    <cfRule type="cellIs" dxfId="23304" priority="166967" stopIfTrue="1" operator="greaterThanOrEqual">
      <formula>0.5</formula>
    </cfRule>
  </conditionalFormatting>
  <conditionalFormatting sqref="F78">
    <cfRule type="cellIs" dxfId="23303" priority="166968" stopIfTrue="1" operator="equal">
      <formula>-1</formula>
    </cfRule>
  </conditionalFormatting>
  <conditionalFormatting sqref="F78">
    <cfRule type="cellIs" dxfId="23302" priority="166969" stopIfTrue="1" operator="lessThan">
      <formula>0.5</formula>
    </cfRule>
  </conditionalFormatting>
  <conditionalFormatting sqref="F78">
    <cfRule type="cellIs" dxfId="23301" priority="166970" stopIfTrue="1" operator="greaterThanOrEqual">
      <formula>0.5</formula>
    </cfRule>
  </conditionalFormatting>
  <conditionalFormatting sqref="F79">
    <cfRule type="cellIs" dxfId="23300" priority="166971" stopIfTrue="1" operator="equal">
      <formula>-1</formula>
    </cfRule>
  </conditionalFormatting>
  <conditionalFormatting sqref="F79">
    <cfRule type="cellIs" dxfId="23299" priority="166972" stopIfTrue="1" operator="lessThan">
      <formula>0.5</formula>
    </cfRule>
  </conditionalFormatting>
  <conditionalFormatting sqref="F79">
    <cfRule type="cellIs" dxfId="23298" priority="166973" stopIfTrue="1" operator="greaterThanOrEqual">
      <formula>0.5</formula>
    </cfRule>
  </conditionalFormatting>
  <conditionalFormatting sqref="F80">
    <cfRule type="cellIs" dxfId="23297" priority="166974" stopIfTrue="1" operator="equal">
      <formula>-1</formula>
    </cfRule>
  </conditionalFormatting>
  <conditionalFormatting sqref="F80">
    <cfRule type="cellIs" dxfId="23296" priority="166975" stopIfTrue="1" operator="lessThan">
      <formula>0.5</formula>
    </cfRule>
  </conditionalFormatting>
  <conditionalFormatting sqref="F80">
    <cfRule type="cellIs" dxfId="23295" priority="166976" stopIfTrue="1" operator="greaterThanOrEqual">
      <formula>0.5</formula>
    </cfRule>
  </conditionalFormatting>
  <conditionalFormatting sqref="F81">
    <cfRule type="cellIs" dxfId="23294" priority="166977" stopIfTrue="1" operator="equal">
      <formula>-1</formula>
    </cfRule>
  </conditionalFormatting>
  <conditionalFormatting sqref="F81">
    <cfRule type="cellIs" dxfId="23293" priority="166978" stopIfTrue="1" operator="lessThan">
      <formula>0.5</formula>
    </cfRule>
  </conditionalFormatting>
  <conditionalFormatting sqref="F81">
    <cfRule type="cellIs" dxfId="23292" priority="166979" stopIfTrue="1" operator="greaterThanOrEqual">
      <formula>0.5</formula>
    </cfRule>
  </conditionalFormatting>
  <conditionalFormatting sqref="F82">
    <cfRule type="cellIs" dxfId="23291" priority="166980" stopIfTrue="1" operator="equal">
      <formula>-1</formula>
    </cfRule>
  </conditionalFormatting>
  <conditionalFormatting sqref="F82">
    <cfRule type="cellIs" dxfId="23290" priority="166981" stopIfTrue="1" operator="lessThan">
      <formula>0.5</formula>
    </cfRule>
  </conditionalFormatting>
  <conditionalFormatting sqref="F82">
    <cfRule type="cellIs" dxfId="23289" priority="166982" stopIfTrue="1" operator="greaterThanOrEqual">
      <formula>0.5</formula>
    </cfRule>
  </conditionalFormatting>
  <conditionalFormatting sqref="F83">
    <cfRule type="cellIs" dxfId="23288" priority="166983" stopIfTrue="1" operator="equal">
      <formula>-1</formula>
    </cfRule>
  </conditionalFormatting>
  <conditionalFormatting sqref="F83">
    <cfRule type="cellIs" dxfId="23287" priority="166984" stopIfTrue="1" operator="lessThan">
      <formula>0.5</formula>
    </cfRule>
  </conditionalFormatting>
  <conditionalFormatting sqref="F83">
    <cfRule type="cellIs" dxfId="23286" priority="166985" stopIfTrue="1" operator="greaterThanOrEqual">
      <formula>0.5</formula>
    </cfRule>
  </conditionalFormatting>
  <conditionalFormatting sqref="F84">
    <cfRule type="cellIs" dxfId="23285" priority="166986" stopIfTrue="1" operator="equal">
      <formula>-1</formula>
    </cfRule>
  </conditionalFormatting>
  <conditionalFormatting sqref="F84">
    <cfRule type="cellIs" dxfId="23284" priority="166987" stopIfTrue="1" operator="lessThan">
      <formula>0.5</formula>
    </cfRule>
  </conditionalFormatting>
  <conditionalFormatting sqref="F84">
    <cfRule type="cellIs" dxfId="23283" priority="166988" stopIfTrue="1" operator="greaterThanOrEqual">
      <formula>0.5</formula>
    </cfRule>
  </conditionalFormatting>
  <conditionalFormatting sqref="F85">
    <cfRule type="cellIs" dxfId="23282" priority="166989" stopIfTrue="1" operator="equal">
      <formula>-1</formula>
    </cfRule>
  </conditionalFormatting>
  <conditionalFormatting sqref="F85">
    <cfRule type="cellIs" dxfId="23281" priority="166990" stopIfTrue="1" operator="lessThan">
      <formula>0.5</formula>
    </cfRule>
  </conditionalFormatting>
  <conditionalFormatting sqref="F85">
    <cfRule type="cellIs" dxfId="23280" priority="166991" stopIfTrue="1" operator="greaterThanOrEqual">
      <formula>0.5</formula>
    </cfRule>
  </conditionalFormatting>
  <conditionalFormatting sqref="H65">
    <cfRule type="cellIs" dxfId="23279" priority="166992" stopIfTrue="1" operator="equal">
      <formula>-1</formula>
    </cfRule>
  </conditionalFormatting>
  <conditionalFormatting sqref="H65">
    <cfRule type="cellIs" dxfId="23278" priority="166993" stopIfTrue="1" operator="lessThan">
      <formula>0.5</formula>
    </cfRule>
  </conditionalFormatting>
  <conditionalFormatting sqref="H65">
    <cfRule type="cellIs" dxfId="23277" priority="166994" stopIfTrue="1" operator="greaterThanOrEqual">
      <formula>0.5</formula>
    </cfRule>
  </conditionalFormatting>
  <conditionalFormatting sqref="H66">
    <cfRule type="cellIs" dxfId="23276" priority="166995" stopIfTrue="1" operator="equal">
      <formula>-1</formula>
    </cfRule>
  </conditionalFormatting>
  <conditionalFormatting sqref="H66">
    <cfRule type="cellIs" dxfId="23275" priority="166996" stopIfTrue="1" operator="lessThan">
      <formula>0.5</formula>
    </cfRule>
  </conditionalFormatting>
  <conditionalFormatting sqref="H66">
    <cfRule type="cellIs" dxfId="23274" priority="166997" stopIfTrue="1" operator="greaterThanOrEqual">
      <formula>0.5</formula>
    </cfRule>
  </conditionalFormatting>
  <conditionalFormatting sqref="H67">
    <cfRule type="cellIs" dxfId="23273" priority="166998" stopIfTrue="1" operator="equal">
      <formula>-1</formula>
    </cfRule>
  </conditionalFormatting>
  <conditionalFormatting sqref="H67">
    <cfRule type="cellIs" dxfId="23272" priority="166999" stopIfTrue="1" operator="lessThan">
      <formula>0.5</formula>
    </cfRule>
  </conditionalFormatting>
  <conditionalFormatting sqref="H67">
    <cfRule type="cellIs" dxfId="23271" priority="167000" stopIfTrue="1" operator="greaterThanOrEqual">
      <formula>0.5</formula>
    </cfRule>
  </conditionalFormatting>
  <conditionalFormatting sqref="H68">
    <cfRule type="cellIs" dxfId="23270" priority="167001" stopIfTrue="1" operator="equal">
      <formula>-1</formula>
    </cfRule>
  </conditionalFormatting>
  <conditionalFormatting sqref="H68">
    <cfRule type="cellIs" dxfId="23269" priority="167002" stopIfTrue="1" operator="lessThan">
      <formula>0.5</formula>
    </cfRule>
  </conditionalFormatting>
  <conditionalFormatting sqref="H68">
    <cfRule type="cellIs" dxfId="23268" priority="167003" stopIfTrue="1" operator="greaterThanOrEqual">
      <formula>0.5</formula>
    </cfRule>
  </conditionalFormatting>
  <conditionalFormatting sqref="H69">
    <cfRule type="cellIs" dxfId="23267" priority="167004" stopIfTrue="1" operator="equal">
      <formula>-1</formula>
    </cfRule>
  </conditionalFormatting>
  <conditionalFormatting sqref="H69">
    <cfRule type="cellIs" dxfId="23266" priority="167005" stopIfTrue="1" operator="lessThan">
      <formula>0.5</formula>
    </cfRule>
  </conditionalFormatting>
  <conditionalFormatting sqref="H69">
    <cfRule type="cellIs" dxfId="23265" priority="167006" stopIfTrue="1" operator="greaterThanOrEqual">
      <formula>0.5</formula>
    </cfRule>
  </conditionalFormatting>
  <conditionalFormatting sqref="H70">
    <cfRule type="cellIs" dxfId="23264" priority="167007" stopIfTrue="1" operator="equal">
      <formula>-1</formula>
    </cfRule>
  </conditionalFormatting>
  <conditionalFormatting sqref="H70">
    <cfRule type="cellIs" dxfId="23263" priority="167008" stopIfTrue="1" operator="lessThan">
      <formula>0.5</formula>
    </cfRule>
  </conditionalFormatting>
  <conditionalFormatting sqref="H70">
    <cfRule type="cellIs" dxfId="23262" priority="167009" stopIfTrue="1" operator="greaterThanOrEqual">
      <formula>0.5</formula>
    </cfRule>
  </conditionalFormatting>
  <conditionalFormatting sqref="H71">
    <cfRule type="cellIs" dxfId="23261" priority="167010" stopIfTrue="1" operator="equal">
      <formula>-1</formula>
    </cfRule>
  </conditionalFormatting>
  <conditionalFormatting sqref="H71">
    <cfRule type="cellIs" dxfId="23260" priority="167011" stopIfTrue="1" operator="lessThan">
      <formula>0.5</formula>
    </cfRule>
  </conditionalFormatting>
  <conditionalFormatting sqref="H71">
    <cfRule type="cellIs" dxfId="23259" priority="167012" stopIfTrue="1" operator="greaterThanOrEqual">
      <formula>0.5</formula>
    </cfRule>
  </conditionalFormatting>
  <conditionalFormatting sqref="H72">
    <cfRule type="cellIs" dxfId="23258" priority="167013" stopIfTrue="1" operator="equal">
      <formula>-1</formula>
    </cfRule>
  </conditionalFormatting>
  <conditionalFormatting sqref="H72">
    <cfRule type="cellIs" dxfId="23257" priority="167014" stopIfTrue="1" operator="lessThan">
      <formula>0.5</formula>
    </cfRule>
  </conditionalFormatting>
  <conditionalFormatting sqref="H72">
    <cfRule type="cellIs" dxfId="23256" priority="167015" stopIfTrue="1" operator="greaterThanOrEqual">
      <formula>0.5</formula>
    </cfRule>
  </conditionalFormatting>
  <conditionalFormatting sqref="H73">
    <cfRule type="cellIs" dxfId="23255" priority="167016" stopIfTrue="1" operator="equal">
      <formula>-1</formula>
    </cfRule>
  </conditionalFormatting>
  <conditionalFormatting sqref="H73">
    <cfRule type="cellIs" dxfId="23254" priority="167017" stopIfTrue="1" operator="lessThan">
      <formula>0.5</formula>
    </cfRule>
  </conditionalFormatting>
  <conditionalFormatting sqref="H73">
    <cfRule type="cellIs" dxfId="23253" priority="167018" stopIfTrue="1" operator="greaterThanOrEqual">
      <formula>0.5</formula>
    </cfRule>
  </conditionalFormatting>
  <conditionalFormatting sqref="H74">
    <cfRule type="cellIs" dxfId="23252" priority="167019" stopIfTrue="1" operator="equal">
      <formula>-1</formula>
    </cfRule>
  </conditionalFormatting>
  <conditionalFormatting sqref="H74">
    <cfRule type="cellIs" dxfId="23251" priority="167020" stopIfTrue="1" operator="lessThan">
      <formula>0.5</formula>
    </cfRule>
  </conditionalFormatting>
  <conditionalFormatting sqref="H74">
    <cfRule type="cellIs" dxfId="23250" priority="167021" stopIfTrue="1" operator="greaterThanOrEqual">
      <formula>0.5</formula>
    </cfRule>
  </conditionalFormatting>
  <conditionalFormatting sqref="H75">
    <cfRule type="cellIs" dxfId="23249" priority="167022" stopIfTrue="1" operator="equal">
      <formula>-1</formula>
    </cfRule>
  </conditionalFormatting>
  <conditionalFormatting sqref="H75">
    <cfRule type="cellIs" dxfId="23248" priority="167023" stopIfTrue="1" operator="lessThan">
      <formula>0.5</formula>
    </cfRule>
  </conditionalFormatting>
  <conditionalFormatting sqref="H75">
    <cfRule type="cellIs" dxfId="23247" priority="167024" stopIfTrue="1" operator="greaterThanOrEqual">
      <formula>0.5</formula>
    </cfRule>
  </conditionalFormatting>
  <conditionalFormatting sqref="H76">
    <cfRule type="cellIs" dxfId="23246" priority="167025" stopIfTrue="1" operator="equal">
      <formula>-1</formula>
    </cfRule>
  </conditionalFormatting>
  <conditionalFormatting sqref="H76">
    <cfRule type="cellIs" dxfId="23245" priority="167026" stopIfTrue="1" operator="lessThan">
      <formula>0.5</formula>
    </cfRule>
  </conditionalFormatting>
  <conditionalFormatting sqref="H76">
    <cfRule type="cellIs" dxfId="23244" priority="167027" stopIfTrue="1" operator="greaterThanOrEqual">
      <formula>0.5</formula>
    </cfRule>
  </conditionalFormatting>
  <conditionalFormatting sqref="H77">
    <cfRule type="cellIs" dxfId="23243" priority="167028" stopIfTrue="1" operator="equal">
      <formula>-1</formula>
    </cfRule>
  </conditionalFormatting>
  <conditionalFormatting sqref="H77">
    <cfRule type="cellIs" dxfId="23242" priority="167029" stopIfTrue="1" operator="lessThan">
      <formula>0.5</formula>
    </cfRule>
  </conditionalFormatting>
  <conditionalFormatting sqref="H77">
    <cfRule type="cellIs" dxfId="23241" priority="167030" stopIfTrue="1" operator="greaterThanOrEqual">
      <formula>0.5</formula>
    </cfRule>
  </conditionalFormatting>
  <conditionalFormatting sqref="H78">
    <cfRule type="cellIs" dxfId="23240" priority="167031" stopIfTrue="1" operator="equal">
      <formula>-1</formula>
    </cfRule>
  </conditionalFormatting>
  <conditionalFormatting sqref="H78">
    <cfRule type="cellIs" dxfId="23239" priority="167032" stopIfTrue="1" operator="lessThan">
      <formula>0.5</formula>
    </cfRule>
  </conditionalFormatting>
  <conditionalFormatting sqref="H78">
    <cfRule type="cellIs" dxfId="23238" priority="167033" stopIfTrue="1" operator="greaterThanOrEqual">
      <formula>0.5</formula>
    </cfRule>
  </conditionalFormatting>
  <conditionalFormatting sqref="H79">
    <cfRule type="cellIs" dxfId="23237" priority="167034" stopIfTrue="1" operator="equal">
      <formula>-1</formula>
    </cfRule>
  </conditionalFormatting>
  <conditionalFormatting sqref="H79">
    <cfRule type="cellIs" dxfId="23236" priority="167035" stopIfTrue="1" operator="lessThan">
      <formula>0.5</formula>
    </cfRule>
  </conditionalFormatting>
  <conditionalFormatting sqref="H79">
    <cfRule type="cellIs" dxfId="23235" priority="167036" stopIfTrue="1" operator="greaterThanOrEqual">
      <formula>0.5</formula>
    </cfRule>
  </conditionalFormatting>
  <conditionalFormatting sqref="H80">
    <cfRule type="cellIs" dxfId="23234" priority="167037" stopIfTrue="1" operator="equal">
      <formula>-1</formula>
    </cfRule>
  </conditionalFormatting>
  <conditionalFormatting sqref="H80">
    <cfRule type="cellIs" dxfId="23233" priority="167038" stopIfTrue="1" operator="lessThan">
      <formula>0.5</formula>
    </cfRule>
  </conditionalFormatting>
  <conditionalFormatting sqref="H80">
    <cfRule type="cellIs" dxfId="23232" priority="167039" stopIfTrue="1" operator="greaterThanOrEqual">
      <formula>0.5</formula>
    </cfRule>
  </conditionalFormatting>
  <conditionalFormatting sqref="H81">
    <cfRule type="cellIs" dxfId="23231" priority="167040" stopIfTrue="1" operator="equal">
      <formula>-1</formula>
    </cfRule>
  </conditionalFormatting>
  <conditionalFormatting sqref="H81">
    <cfRule type="cellIs" dxfId="23230" priority="167041" stopIfTrue="1" operator="lessThan">
      <formula>0.5</formula>
    </cfRule>
  </conditionalFormatting>
  <conditionalFormatting sqref="H81">
    <cfRule type="cellIs" dxfId="23229" priority="167042" stopIfTrue="1" operator="greaterThanOrEqual">
      <formula>0.5</formula>
    </cfRule>
  </conditionalFormatting>
  <conditionalFormatting sqref="H82">
    <cfRule type="cellIs" dxfId="23228" priority="167043" stopIfTrue="1" operator="equal">
      <formula>-1</formula>
    </cfRule>
  </conditionalFormatting>
  <conditionalFormatting sqref="H82">
    <cfRule type="cellIs" dxfId="23227" priority="167044" stopIfTrue="1" operator="lessThan">
      <formula>0.5</formula>
    </cfRule>
  </conditionalFormatting>
  <conditionalFormatting sqref="H82">
    <cfRule type="cellIs" dxfId="23226" priority="167045" stopIfTrue="1" operator="greaterThanOrEqual">
      <formula>0.5</formula>
    </cfRule>
  </conditionalFormatting>
  <conditionalFormatting sqref="H83">
    <cfRule type="cellIs" dxfId="23225" priority="167046" stopIfTrue="1" operator="equal">
      <formula>-1</formula>
    </cfRule>
  </conditionalFormatting>
  <conditionalFormatting sqref="H83">
    <cfRule type="cellIs" dxfId="23224" priority="167047" stopIfTrue="1" operator="lessThan">
      <formula>0.5</formula>
    </cfRule>
  </conditionalFormatting>
  <conditionalFormatting sqref="H83">
    <cfRule type="cellIs" dxfId="23223" priority="167048" stopIfTrue="1" operator="greaterThanOrEqual">
      <formula>0.5</formula>
    </cfRule>
  </conditionalFormatting>
  <conditionalFormatting sqref="H84">
    <cfRule type="cellIs" dxfId="23222" priority="167049" stopIfTrue="1" operator="equal">
      <formula>-1</formula>
    </cfRule>
  </conditionalFormatting>
  <conditionalFormatting sqref="H84">
    <cfRule type="cellIs" dxfId="23221" priority="167050" stopIfTrue="1" operator="lessThan">
      <formula>0.5</formula>
    </cfRule>
  </conditionalFormatting>
  <conditionalFormatting sqref="H84">
    <cfRule type="cellIs" dxfId="23220" priority="167051" stopIfTrue="1" operator="greaterThanOrEqual">
      <formula>0.5</formula>
    </cfRule>
  </conditionalFormatting>
  <conditionalFormatting sqref="H85">
    <cfRule type="cellIs" dxfId="23219" priority="167052" stopIfTrue="1" operator="equal">
      <formula>-1</formula>
    </cfRule>
  </conditionalFormatting>
  <conditionalFormatting sqref="H85">
    <cfRule type="cellIs" dxfId="23218" priority="167053" stopIfTrue="1" operator="lessThan">
      <formula>0.5</formula>
    </cfRule>
  </conditionalFormatting>
  <conditionalFormatting sqref="H85">
    <cfRule type="cellIs" dxfId="23217" priority="167054" stopIfTrue="1" operator="greaterThanOrEqual">
      <formula>0.5</formula>
    </cfRule>
  </conditionalFormatting>
  <conditionalFormatting sqref="J65">
    <cfRule type="cellIs" dxfId="23216" priority="167055" stopIfTrue="1" operator="equal">
      <formula>-1</formula>
    </cfRule>
  </conditionalFormatting>
  <conditionalFormatting sqref="J65">
    <cfRule type="cellIs" dxfId="23215" priority="167056" stopIfTrue="1" operator="lessThan">
      <formula>0.5</formula>
    </cfRule>
  </conditionalFormatting>
  <conditionalFormatting sqref="J65">
    <cfRule type="cellIs" dxfId="23214" priority="167057" stopIfTrue="1" operator="greaterThanOrEqual">
      <formula>0.5</formula>
    </cfRule>
  </conditionalFormatting>
  <conditionalFormatting sqref="J66">
    <cfRule type="cellIs" dxfId="23213" priority="167058" stopIfTrue="1" operator="equal">
      <formula>-1</formula>
    </cfRule>
  </conditionalFormatting>
  <conditionalFormatting sqref="J66">
    <cfRule type="cellIs" dxfId="23212" priority="167059" stopIfTrue="1" operator="lessThan">
      <formula>0.5</formula>
    </cfRule>
  </conditionalFormatting>
  <conditionalFormatting sqref="J66">
    <cfRule type="cellIs" dxfId="23211" priority="167060" stopIfTrue="1" operator="greaterThanOrEqual">
      <formula>0.5</formula>
    </cfRule>
  </conditionalFormatting>
  <conditionalFormatting sqref="J67">
    <cfRule type="cellIs" dxfId="23210" priority="167061" stopIfTrue="1" operator="equal">
      <formula>-1</formula>
    </cfRule>
  </conditionalFormatting>
  <conditionalFormatting sqref="J67">
    <cfRule type="cellIs" dxfId="23209" priority="167062" stopIfTrue="1" operator="lessThan">
      <formula>0.5</formula>
    </cfRule>
  </conditionalFormatting>
  <conditionalFormatting sqref="J67">
    <cfRule type="cellIs" dxfId="23208" priority="167063" stopIfTrue="1" operator="greaterThanOrEqual">
      <formula>0.5</formula>
    </cfRule>
  </conditionalFormatting>
  <conditionalFormatting sqref="J68">
    <cfRule type="cellIs" dxfId="23207" priority="167064" stopIfTrue="1" operator="equal">
      <formula>-1</formula>
    </cfRule>
  </conditionalFormatting>
  <conditionalFormatting sqref="J68">
    <cfRule type="cellIs" dxfId="23206" priority="167065" stopIfTrue="1" operator="lessThan">
      <formula>0.5</formula>
    </cfRule>
  </conditionalFormatting>
  <conditionalFormatting sqref="J68">
    <cfRule type="cellIs" dxfId="23205" priority="167066" stopIfTrue="1" operator="greaterThanOrEqual">
      <formula>0.5</formula>
    </cfRule>
  </conditionalFormatting>
  <conditionalFormatting sqref="J69">
    <cfRule type="cellIs" dxfId="23204" priority="167067" stopIfTrue="1" operator="equal">
      <formula>-1</formula>
    </cfRule>
  </conditionalFormatting>
  <conditionalFormatting sqref="J69">
    <cfRule type="cellIs" dxfId="23203" priority="167068" stopIfTrue="1" operator="lessThan">
      <formula>0.5</formula>
    </cfRule>
  </conditionalFormatting>
  <conditionalFormatting sqref="J69">
    <cfRule type="cellIs" dxfId="23202" priority="167069" stopIfTrue="1" operator="greaterThanOrEqual">
      <formula>0.5</formula>
    </cfRule>
  </conditionalFormatting>
  <conditionalFormatting sqref="J70">
    <cfRule type="cellIs" dxfId="23201" priority="167070" stopIfTrue="1" operator="equal">
      <formula>-1</formula>
    </cfRule>
  </conditionalFormatting>
  <conditionalFormatting sqref="J70">
    <cfRule type="cellIs" dxfId="23200" priority="167071" stopIfTrue="1" operator="lessThan">
      <formula>0.5</formula>
    </cfRule>
  </conditionalFormatting>
  <conditionalFormatting sqref="J70">
    <cfRule type="cellIs" dxfId="23199" priority="167072" stopIfTrue="1" operator="greaterThanOrEqual">
      <formula>0.5</formula>
    </cfRule>
  </conditionalFormatting>
  <conditionalFormatting sqref="J71">
    <cfRule type="cellIs" dxfId="23198" priority="167073" stopIfTrue="1" operator="equal">
      <formula>-1</formula>
    </cfRule>
  </conditionalFormatting>
  <conditionalFormatting sqref="J71">
    <cfRule type="cellIs" dxfId="23197" priority="167074" stopIfTrue="1" operator="lessThan">
      <formula>0.5</formula>
    </cfRule>
  </conditionalFormatting>
  <conditionalFormatting sqref="J71">
    <cfRule type="cellIs" dxfId="23196" priority="167075" stopIfTrue="1" operator="greaterThanOrEqual">
      <formula>0.5</formula>
    </cfRule>
  </conditionalFormatting>
  <conditionalFormatting sqref="J72">
    <cfRule type="cellIs" dxfId="23195" priority="167076" stopIfTrue="1" operator="equal">
      <formula>-1</formula>
    </cfRule>
  </conditionalFormatting>
  <conditionalFormatting sqref="J72">
    <cfRule type="cellIs" dxfId="23194" priority="167077" stopIfTrue="1" operator="lessThan">
      <formula>0.5</formula>
    </cfRule>
  </conditionalFormatting>
  <conditionalFormatting sqref="J72">
    <cfRule type="cellIs" dxfId="23193" priority="167078" stopIfTrue="1" operator="greaterThanOrEqual">
      <formula>0.5</formula>
    </cfRule>
  </conditionalFormatting>
  <conditionalFormatting sqref="J73">
    <cfRule type="cellIs" dxfId="23192" priority="167079" stopIfTrue="1" operator="equal">
      <formula>-1</formula>
    </cfRule>
  </conditionalFormatting>
  <conditionalFormatting sqref="J73">
    <cfRule type="cellIs" dxfId="23191" priority="167080" stopIfTrue="1" operator="lessThan">
      <formula>0.5</formula>
    </cfRule>
  </conditionalFormatting>
  <conditionalFormatting sqref="J73">
    <cfRule type="cellIs" dxfId="23190" priority="167081" stopIfTrue="1" operator="greaterThanOrEqual">
      <formula>0.5</formula>
    </cfRule>
  </conditionalFormatting>
  <conditionalFormatting sqref="J74">
    <cfRule type="cellIs" dxfId="23189" priority="167082" stopIfTrue="1" operator="equal">
      <formula>-1</formula>
    </cfRule>
  </conditionalFormatting>
  <conditionalFormatting sqref="J74">
    <cfRule type="cellIs" dxfId="23188" priority="167083" stopIfTrue="1" operator="lessThan">
      <formula>0.5</formula>
    </cfRule>
  </conditionalFormatting>
  <conditionalFormatting sqref="J74">
    <cfRule type="cellIs" dxfId="23187" priority="167084" stopIfTrue="1" operator="greaterThanOrEqual">
      <formula>0.5</formula>
    </cfRule>
  </conditionalFormatting>
  <conditionalFormatting sqref="J75">
    <cfRule type="cellIs" dxfId="23186" priority="167085" stopIfTrue="1" operator="equal">
      <formula>-1</formula>
    </cfRule>
  </conditionalFormatting>
  <conditionalFormatting sqref="J75">
    <cfRule type="cellIs" dxfId="23185" priority="167086" stopIfTrue="1" operator="lessThan">
      <formula>0.5</formula>
    </cfRule>
  </conditionalFormatting>
  <conditionalFormatting sqref="J75">
    <cfRule type="cellIs" dxfId="23184" priority="167087" stopIfTrue="1" operator="greaterThanOrEqual">
      <formula>0.5</formula>
    </cfRule>
  </conditionalFormatting>
  <conditionalFormatting sqref="J76">
    <cfRule type="cellIs" dxfId="23183" priority="167088" stopIfTrue="1" operator="equal">
      <formula>-1</formula>
    </cfRule>
  </conditionalFormatting>
  <conditionalFormatting sqref="J76">
    <cfRule type="cellIs" dxfId="23182" priority="167089" stopIfTrue="1" operator="lessThan">
      <formula>0.5</formula>
    </cfRule>
  </conditionalFormatting>
  <conditionalFormatting sqref="J76">
    <cfRule type="cellIs" dxfId="23181" priority="167090" stopIfTrue="1" operator="greaterThanOrEqual">
      <formula>0.5</formula>
    </cfRule>
  </conditionalFormatting>
  <conditionalFormatting sqref="J77">
    <cfRule type="cellIs" dxfId="23180" priority="167091" stopIfTrue="1" operator="equal">
      <formula>-1</formula>
    </cfRule>
  </conditionalFormatting>
  <conditionalFormatting sqref="J77">
    <cfRule type="cellIs" dxfId="23179" priority="167092" stopIfTrue="1" operator="lessThan">
      <formula>0.5</formula>
    </cfRule>
  </conditionalFormatting>
  <conditionalFormatting sqref="J77">
    <cfRule type="cellIs" dxfId="23178" priority="167093" stopIfTrue="1" operator="greaterThanOrEqual">
      <formula>0.5</formula>
    </cfRule>
  </conditionalFormatting>
  <conditionalFormatting sqref="J78">
    <cfRule type="cellIs" dxfId="23177" priority="167094" stopIfTrue="1" operator="equal">
      <formula>-1</formula>
    </cfRule>
  </conditionalFormatting>
  <conditionalFormatting sqref="J78">
    <cfRule type="cellIs" dxfId="23176" priority="167095" stopIfTrue="1" operator="lessThan">
      <formula>0.5</formula>
    </cfRule>
  </conditionalFormatting>
  <conditionalFormatting sqref="J78">
    <cfRule type="cellIs" dxfId="23175" priority="167096" stopIfTrue="1" operator="greaterThanOrEqual">
      <formula>0.5</formula>
    </cfRule>
  </conditionalFormatting>
  <conditionalFormatting sqref="J79">
    <cfRule type="cellIs" dxfId="23174" priority="167097" stopIfTrue="1" operator="equal">
      <formula>-1</formula>
    </cfRule>
  </conditionalFormatting>
  <conditionalFormatting sqref="J79">
    <cfRule type="cellIs" dxfId="23173" priority="167098" stopIfTrue="1" operator="lessThan">
      <formula>0.5</formula>
    </cfRule>
  </conditionalFormatting>
  <conditionalFormatting sqref="J79">
    <cfRule type="cellIs" dxfId="23172" priority="167099" stopIfTrue="1" operator="greaterThanOrEqual">
      <formula>0.5</formula>
    </cfRule>
  </conditionalFormatting>
  <conditionalFormatting sqref="J80">
    <cfRule type="cellIs" dxfId="23171" priority="167100" stopIfTrue="1" operator="equal">
      <formula>-1</formula>
    </cfRule>
  </conditionalFormatting>
  <conditionalFormatting sqref="J80">
    <cfRule type="cellIs" dxfId="23170" priority="167101" stopIfTrue="1" operator="lessThan">
      <formula>0.5</formula>
    </cfRule>
  </conditionalFormatting>
  <conditionalFormatting sqref="J80">
    <cfRule type="cellIs" dxfId="23169" priority="167102" stopIfTrue="1" operator="greaterThanOrEqual">
      <formula>0.5</formula>
    </cfRule>
  </conditionalFormatting>
  <conditionalFormatting sqref="J81">
    <cfRule type="cellIs" dxfId="23168" priority="167103" stopIfTrue="1" operator="equal">
      <formula>-1</formula>
    </cfRule>
  </conditionalFormatting>
  <conditionalFormatting sqref="J81">
    <cfRule type="cellIs" dxfId="23167" priority="167104" stopIfTrue="1" operator="lessThan">
      <formula>0.5</formula>
    </cfRule>
  </conditionalFormatting>
  <conditionalFormatting sqref="J81">
    <cfRule type="cellIs" dxfId="23166" priority="167105" stopIfTrue="1" operator="greaterThanOrEqual">
      <formula>0.5</formula>
    </cfRule>
  </conditionalFormatting>
  <conditionalFormatting sqref="J82">
    <cfRule type="cellIs" dxfId="23165" priority="167106" stopIfTrue="1" operator="equal">
      <formula>-1</formula>
    </cfRule>
  </conditionalFormatting>
  <conditionalFormatting sqref="J82">
    <cfRule type="cellIs" dxfId="23164" priority="167107" stopIfTrue="1" operator="lessThan">
      <formula>0.5</formula>
    </cfRule>
  </conditionalFormatting>
  <conditionalFormatting sqref="J82">
    <cfRule type="cellIs" dxfId="23163" priority="167108" stopIfTrue="1" operator="greaterThanOrEqual">
      <formula>0.5</formula>
    </cfRule>
  </conditionalFormatting>
  <conditionalFormatting sqref="J83">
    <cfRule type="cellIs" dxfId="23162" priority="167109" stopIfTrue="1" operator="equal">
      <formula>-1</formula>
    </cfRule>
  </conditionalFormatting>
  <conditionalFormatting sqref="J83">
    <cfRule type="cellIs" dxfId="23161" priority="167110" stopIfTrue="1" operator="lessThan">
      <formula>0.5</formula>
    </cfRule>
  </conditionalFormatting>
  <conditionalFormatting sqref="J83">
    <cfRule type="cellIs" dxfId="23160" priority="167111" stopIfTrue="1" operator="greaterThanOrEqual">
      <formula>0.5</formula>
    </cfRule>
  </conditionalFormatting>
  <conditionalFormatting sqref="J84">
    <cfRule type="cellIs" dxfId="23159" priority="167112" stopIfTrue="1" operator="equal">
      <formula>-1</formula>
    </cfRule>
  </conditionalFormatting>
  <conditionalFormatting sqref="J84">
    <cfRule type="cellIs" dxfId="23158" priority="167113" stopIfTrue="1" operator="lessThan">
      <formula>0.5</formula>
    </cfRule>
  </conditionalFormatting>
  <conditionalFormatting sqref="J84">
    <cfRule type="cellIs" dxfId="23157" priority="167114" stopIfTrue="1" operator="greaterThanOrEqual">
      <formula>0.5</formula>
    </cfRule>
  </conditionalFormatting>
  <conditionalFormatting sqref="J85">
    <cfRule type="cellIs" dxfId="23156" priority="167115" stopIfTrue="1" operator="equal">
      <formula>-1</formula>
    </cfRule>
  </conditionalFormatting>
  <conditionalFormatting sqref="J85">
    <cfRule type="cellIs" dxfId="23155" priority="167116" stopIfTrue="1" operator="lessThan">
      <formula>0.5</formula>
    </cfRule>
  </conditionalFormatting>
  <conditionalFormatting sqref="J85">
    <cfRule type="cellIs" dxfId="23154" priority="167117" stopIfTrue="1" operator="greaterThanOrEqual">
      <formula>0.5</formula>
    </cfRule>
  </conditionalFormatting>
  <conditionalFormatting sqref="L65">
    <cfRule type="cellIs" dxfId="23153" priority="167118" stopIfTrue="1" operator="equal">
      <formula>-1</formula>
    </cfRule>
  </conditionalFormatting>
  <conditionalFormatting sqref="L65">
    <cfRule type="cellIs" dxfId="23152" priority="167119" stopIfTrue="1" operator="lessThan">
      <formula>0.5</formula>
    </cfRule>
  </conditionalFormatting>
  <conditionalFormatting sqref="L65">
    <cfRule type="cellIs" dxfId="23151" priority="167120" stopIfTrue="1" operator="greaterThanOrEqual">
      <formula>0.5</formula>
    </cfRule>
  </conditionalFormatting>
  <conditionalFormatting sqref="L66">
    <cfRule type="cellIs" dxfId="23150" priority="167121" stopIfTrue="1" operator="equal">
      <formula>-1</formula>
    </cfRule>
  </conditionalFormatting>
  <conditionalFormatting sqref="L66">
    <cfRule type="cellIs" dxfId="23149" priority="167122" stopIfTrue="1" operator="lessThan">
      <formula>0.5</formula>
    </cfRule>
  </conditionalFormatting>
  <conditionalFormatting sqref="L66">
    <cfRule type="cellIs" dxfId="23148" priority="167123" stopIfTrue="1" operator="greaterThanOrEqual">
      <formula>0.5</formula>
    </cfRule>
  </conditionalFormatting>
  <conditionalFormatting sqref="L67">
    <cfRule type="cellIs" dxfId="23147" priority="167124" stopIfTrue="1" operator="equal">
      <formula>-1</formula>
    </cfRule>
  </conditionalFormatting>
  <conditionalFormatting sqref="L67">
    <cfRule type="cellIs" dxfId="23146" priority="167125" stopIfTrue="1" operator="lessThan">
      <formula>0.5</formula>
    </cfRule>
  </conditionalFormatting>
  <conditionalFormatting sqref="L67">
    <cfRule type="cellIs" dxfId="23145" priority="167126" stopIfTrue="1" operator="greaterThanOrEqual">
      <formula>0.5</formula>
    </cfRule>
  </conditionalFormatting>
  <conditionalFormatting sqref="L68">
    <cfRule type="cellIs" dxfId="23144" priority="167127" stopIfTrue="1" operator="equal">
      <formula>-1</formula>
    </cfRule>
  </conditionalFormatting>
  <conditionalFormatting sqref="L68">
    <cfRule type="cellIs" dxfId="23143" priority="167128" stopIfTrue="1" operator="lessThan">
      <formula>0.5</formula>
    </cfRule>
  </conditionalFormatting>
  <conditionalFormatting sqref="L68">
    <cfRule type="cellIs" dxfId="23142" priority="167129" stopIfTrue="1" operator="greaterThanOrEqual">
      <formula>0.5</formula>
    </cfRule>
  </conditionalFormatting>
  <conditionalFormatting sqref="L69">
    <cfRule type="cellIs" dxfId="23141" priority="167130" stopIfTrue="1" operator="equal">
      <formula>-1</formula>
    </cfRule>
  </conditionalFormatting>
  <conditionalFormatting sqref="L69">
    <cfRule type="cellIs" dxfId="23140" priority="167131" stopIfTrue="1" operator="lessThan">
      <formula>0.5</formula>
    </cfRule>
  </conditionalFormatting>
  <conditionalFormatting sqref="L69">
    <cfRule type="cellIs" dxfId="23139" priority="167132" stopIfTrue="1" operator="greaterThanOrEqual">
      <formula>0.5</formula>
    </cfRule>
  </conditionalFormatting>
  <conditionalFormatting sqref="L70">
    <cfRule type="cellIs" dxfId="23138" priority="167133" stopIfTrue="1" operator="equal">
      <formula>-1</formula>
    </cfRule>
  </conditionalFormatting>
  <conditionalFormatting sqref="L70">
    <cfRule type="cellIs" dxfId="23137" priority="167134" stopIfTrue="1" operator="lessThan">
      <formula>0.5</formula>
    </cfRule>
  </conditionalFormatting>
  <conditionalFormatting sqref="L70">
    <cfRule type="cellIs" dxfId="23136" priority="167135" stopIfTrue="1" operator="greaterThanOrEqual">
      <formula>0.5</formula>
    </cfRule>
  </conditionalFormatting>
  <conditionalFormatting sqref="L71">
    <cfRule type="cellIs" dxfId="23135" priority="167136" stopIfTrue="1" operator="equal">
      <formula>-1</formula>
    </cfRule>
  </conditionalFormatting>
  <conditionalFormatting sqref="L71">
    <cfRule type="cellIs" dxfId="23134" priority="167137" stopIfTrue="1" operator="lessThan">
      <formula>0.5</formula>
    </cfRule>
  </conditionalFormatting>
  <conditionalFormatting sqref="L71">
    <cfRule type="cellIs" dxfId="23133" priority="167138" stopIfTrue="1" operator="greaterThanOrEqual">
      <formula>0.5</formula>
    </cfRule>
  </conditionalFormatting>
  <conditionalFormatting sqref="L72">
    <cfRule type="cellIs" dxfId="23132" priority="167139" stopIfTrue="1" operator="equal">
      <formula>-1</formula>
    </cfRule>
  </conditionalFormatting>
  <conditionalFormatting sqref="L72">
    <cfRule type="cellIs" dxfId="23131" priority="167140" stopIfTrue="1" operator="lessThan">
      <formula>0.5</formula>
    </cfRule>
  </conditionalFormatting>
  <conditionalFormatting sqref="L72">
    <cfRule type="cellIs" dxfId="23130" priority="167141" stopIfTrue="1" operator="greaterThanOrEqual">
      <formula>0.5</formula>
    </cfRule>
  </conditionalFormatting>
  <conditionalFormatting sqref="L73">
    <cfRule type="cellIs" dxfId="23129" priority="167142" stopIfTrue="1" operator="equal">
      <formula>-1</formula>
    </cfRule>
  </conditionalFormatting>
  <conditionalFormatting sqref="L73">
    <cfRule type="cellIs" dxfId="23128" priority="167143" stopIfTrue="1" operator="lessThan">
      <formula>0.5</formula>
    </cfRule>
  </conditionalFormatting>
  <conditionalFormatting sqref="L73">
    <cfRule type="cellIs" dxfId="23127" priority="167144" stopIfTrue="1" operator="greaterThanOrEqual">
      <formula>0.5</formula>
    </cfRule>
  </conditionalFormatting>
  <conditionalFormatting sqref="L74">
    <cfRule type="cellIs" dxfId="23126" priority="167145" stopIfTrue="1" operator="equal">
      <formula>-1</formula>
    </cfRule>
  </conditionalFormatting>
  <conditionalFormatting sqref="L74">
    <cfRule type="cellIs" dxfId="23125" priority="167146" stopIfTrue="1" operator="lessThan">
      <formula>0.5</formula>
    </cfRule>
  </conditionalFormatting>
  <conditionalFormatting sqref="L74">
    <cfRule type="cellIs" dxfId="23124" priority="167147" stopIfTrue="1" operator="greaterThanOrEqual">
      <formula>0.5</formula>
    </cfRule>
  </conditionalFormatting>
  <conditionalFormatting sqref="L75">
    <cfRule type="cellIs" dxfId="23123" priority="167148" stopIfTrue="1" operator="equal">
      <formula>-1</formula>
    </cfRule>
  </conditionalFormatting>
  <conditionalFormatting sqref="L75">
    <cfRule type="cellIs" dxfId="23122" priority="167149" stopIfTrue="1" operator="lessThan">
      <formula>0.5</formula>
    </cfRule>
  </conditionalFormatting>
  <conditionalFormatting sqref="L75">
    <cfRule type="cellIs" dxfId="23121" priority="167150" stopIfTrue="1" operator="greaterThanOrEqual">
      <formula>0.5</formula>
    </cfRule>
  </conditionalFormatting>
  <conditionalFormatting sqref="L76">
    <cfRule type="cellIs" dxfId="23120" priority="167151" stopIfTrue="1" operator="equal">
      <formula>-1</formula>
    </cfRule>
  </conditionalFormatting>
  <conditionalFormatting sqref="L76">
    <cfRule type="cellIs" dxfId="23119" priority="167152" stopIfTrue="1" operator="lessThan">
      <formula>0.5</formula>
    </cfRule>
  </conditionalFormatting>
  <conditionalFormatting sqref="L76">
    <cfRule type="cellIs" dxfId="23118" priority="167153" stopIfTrue="1" operator="greaterThanOrEqual">
      <formula>0.5</formula>
    </cfRule>
  </conditionalFormatting>
  <conditionalFormatting sqref="L77">
    <cfRule type="cellIs" dxfId="23117" priority="167154" stopIfTrue="1" operator="equal">
      <formula>-1</formula>
    </cfRule>
  </conditionalFormatting>
  <conditionalFormatting sqref="L77">
    <cfRule type="cellIs" dxfId="23116" priority="167155" stopIfTrue="1" operator="lessThan">
      <formula>0.5</formula>
    </cfRule>
  </conditionalFormatting>
  <conditionalFormatting sqref="L77">
    <cfRule type="cellIs" dxfId="23115" priority="167156" stopIfTrue="1" operator="greaterThanOrEqual">
      <formula>0.5</formula>
    </cfRule>
  </conditionalFormatting>
  <conditionalFormatting sqref="L78">
    <cfRule type="cellIs" dxfId="23114" priority="167157" stopIfTrue="1" operator="equal">
      <formula>-1</formula>
    </cfRule>
  </conditionalFormatting>
  <conditionalFormatting sqref="L78">
    <cfRule type="cellIs" dxfId="23113" priority="167158" stopIfTrue="1" operator="lessThan">
      <formula>0.5</formula>
    </cfRule>
  </conditionalFormatting>
  <conditionalFormatting sqref="L78">
    <cfRule type="cellIs" dxfId="23112" priority="167159" stopIfTrue="1" operator="greaterThanOrEqual">
      <formula>0.5</formula>
    </cfRule>
  </conditionalFormatting>
  <conditionalFormatting sqref="L79">
    <cfRule type="cellIs" dxfId="23111" priority="167160" stopIfTrue="1" operator="equal">
      <formula>-1</formula>
    </cfRule>
  </conditionalFormatting>
  <conditionalFormatting sqref="L79">
    <cfRule type="cellIs" dxfId="23110" priority="167161" stopIfTrue="1" operator="lessThan">
      <formula>0.5</formula>
    </cfRule>
  </conditionalFormatting>
  <conditionalFormatting sqref="L79">
    <cfRule type="cellIs" dxfId="23109" priority="167162" stopIfTrue="1" operator="greaterThanOrEqual">
      <formula>0.5</formula>
    </cfRule>
  </conditionalFormatting>
  <conditionalFormatting sqref="L80">
    <cfRule type="cellIs" dxfId="23108" priority="167163" stopIfTrue="1" operator="equal">
      <formula>-1</formula>
    </cfRule>
  </conditionalFormatting>
  <conditionalFormatting sqref="L80">
    <cfRule type="cellIs" dxfId="23107" priority="167164" stopIfTrue="1" operator="lessThan">
      <formula>0.5</formula>
    </cfRule>
  </conditionalFormatting>
  <conditionalFormatting sqref="L80">
    <cfRule type="cellIs" dxfId="23106" priority="167165" stopIfTrue="1" operator="greaterThanOrEqual">
      <formula>0.5</formula>
    </cfRule>
  </conditionalFormatting>
  <conditionalFormatting sqref="L81">
    <cfRule type="cellIs" dxfId="23105" priority="167166" stopIfTrue="1" operator="equal">
      <formula>-1</formula>
    </cfRule>
  </conditionalFormatting>
  <conditionalFormatting sqref="L81">
    <cfRule type="cellIs" dxfId="23104" priority="167167" stopIfTrue="1" operator="lessThan">
      <formula>0.5</formula>
    </cfRule>
  </conditionalFormatting>
  <conditionalFormatting sqref="L81">
    <cfRule type="cellIs" dxfId="23103" priority="167168" stopIfTrue="1" operator="greaterThanOrEqual">
      <formula>0.5</formula>
    </cfRule>
  </conditionalFormatting>
  <conditionalFormatting sqref="L82">
    <cfRule type="cellIs" dxfId="23102" priority="167169" stopIfTrue="1" operator="equal">
      <formula>-1</formula>
    </cfRule>
  </conditionalFormatting>
  <conditionalFormatting sqref="L82">
    <cfRule type="cellIs" dxfId="23101" priority="167170" stopIfTrue="1" operator="lessThan">
      <formula>0.5</formula>
    </cfRule>
  </conditionalFormatting>
  <conditionalFormatting sqref="L82">
    <cfRule type="cellIs" dxfId="23100" priority="167171" stopIfTrue="1" operator="greaterThanOrEqual">
      <formula>0.5</formula>
    </cfRule>
  </conditionalFormatting>
  <conditionalFormatting sqref="L83">
    <cfRule type="cellIs" dxfId="23099" priority="167172" stopIfTrue="1" operator="equal">
      <formula>-1</formula>
    </cfRule>
  </conditionalFormatting>
  <conditionalFormatting sqref="L83">
    <cfRule type="cellIs" dxfId="23098" priority="167173" stopIfTrue="1" operator="lessThan">
      <formula>0.5</formula>
    </cfRule>
  </conditionalFormatting>
  <conditionalFormatting sqref="L83">
    <cfRule type="cellIs" dxfId="23097" priority="167174" stopIfTrue="1" operator="greaterThanOrEqual">
      <formula>0.5</formula>
    </cfRule>
  </conditionalFormatting>
  <conditionalFormatting sqref="L84">
    <cfRule type="cellIs" dxfId="23096" priority="167175" stopIfTrue="1" operator="equal">
      <formula>-1</formula>
    </cfRule>
  </conditionalFormatting>
  <conditionalFormatting sqref="L84">
    <cfRule type="cellIs" dxfId="23095" priority="167176" stopIfTrue="1" operator="lessThan">
      <formula>0.5</formula>
    </cfRule>
  </conditionalFormatting>
  <conditionalFormatting sqref="L84">
    <cfRule type="cellIs" dxfId="23094" priority="167177" stopIfTrue="1" operator="greaterThanOrEqual">
      <formula>0.5</formula>
    </cfRule>
  </conditionalFormatting>
  <conditionalFormatting sqref="L85">
    <cfRule type="cellIs" dxfId="23093" priority="167178" stopIfTrue="1" operator="equal">
      <formula>-1</formula>
    </cfRule>
  </conditionalFormatting>
  <conditionalFormatting sqref="L85">
    <cfRule type="cellIs" dxfId="23092" priority="167179" stopIfTrue="1" operator="lessThan">
      <formula>0.5</formula>
    </cfRule>
  </conditionalFormatting>
  <conditionalFormatting sqref="L85">
    <cfRule type="cellIs" dxfId="23091" priority="167180" stopIfTrue="1" operator="greaterThanOrEqual">
      <formula>0.5</formula>
    </cfRule>
  </conditionalFormatting>
  <conditionalFormatting sqref="N65">
    <cfRule type="cellIs" dxfId="23090" priority="167181" stopIfTrue="1" operator="equal">
      <formula>-1</formula>
    </cfRule>
  </conditionalFormatting>
  <conditionalFormatting sqref="N65">
    <cfRule type="cellIs" dxfId="23089" priority="167182" stopIfTrue="1" operator="lessThan">
      <formula>0.5</formula>
    </cfRule>
  </conditionalFormatting>
  <conditionalFormatting sqref="N65">
    <cfRule type="cellIs" dxfId="23088" priority="167183" stopIfTrue="1" operator="greaterThanOrEqual">
      <formula>0.5</formula>
    </cfRule>
  </conditionalFormatting>
  <conditionalFormatting sqref="N66">
    <cfRule type="cellIs" dxfId="23087" priority="167184" stopIfTrue="1" operator="equal">
      <formula>-1</formula>
    </cfRule>
  </conditionalFormatting>
  <conditionalFormatting sqref="N66">
    <cfRule type="cellIs" dxfId="23086" priority="167185" stopIfTrue="1" operator="lessThan">
      <formula>0.5</formula>
    </cfRule>
  </conditionalFormatting>
  <conditionalFormatting sqref="N66">
    <cfRule type="cellIs" dxfId="23085" priority="167186" stopIfTrue="1" operator="greaterThanOrEqual">
      <formula>0.5</formula>
    </cfRule>
  </conditionalFormatting>
  <conditionalFormatting sqref="N67">
    <cfRule type="cellIs" dxfId="23084" priority="167187" stopIfTrue="1" operator="equal">
      <formula>-1</formula>
    </cfRule>
  </conditionalFormatting>
  <conditionalFormatting sqref="N67">
    <cfRule type="cellIs" dxfId="23083" priority="167188" stopIfTrue="1" operator="lessThan">
      <formula>0.5</formula>
    </cfRule>
  </conditionalFormatting>
  <conditionalFormatting sqref="N67">
    <cfRule type="cellIs" dxfId="23082" priority="167189" stopIfTrue="1" operator="greaterThanOrEqual">
      <formula>0.5</formula>
    </cfRule>
  </conditionalFormatting>
  <conditionalFormatting sqref="N68">
    <cfRule type="cellIs" dxfId="23081" priority="167190" stopIfTrue="1" operator="equal">
      <formula>-1</formula>
    </cfRule>
  </conditionalFormatting>
  <conditionalFormatting sqref="N68">
    <cfRule type="cellIs" dxfId="23080" priority="167191" stopIfTrue="1" operator="lessThan">
      <formula>0.5</formula>
    </cfRule>
  </conditionalFormatting>
  <conditionalFormatting sqref="N68">
    <cfRule type="cellIs" dxfId="23079" priority="167192" stopIfTrue="1" operator="greaterThanOrEqual">
      <formula>0.5</formula>
    </cfRule>
  </conditionalFormatting>
  <conditionalFormatting sqref="N69">
    <cfRule type="cellIs" dxfId="23078" priority="167193" stopIfTrue="1" operator="equal">
      <formula>-1</formula>
    </cfRule>
  </conditionalFormatting>
  <conditionalFormatting sqref="N69">
    <cfRule type="cellIs" dxfId="23077" priority="167194" stopIfTrue="1" operator="lessThan">
      <formula>0.5</formula>
    </cfRule>
  </conditionalFormatting>
  <conditionalFormatting sqref="N69">
    <cfRule type="cellIs" dxfId="23076" priority="167195" stopIfTrue="1" operator="greaterThanOrEqual">
      <formula>0.5</formula>
    </cfRule>
  </conditionalFormatting>
  <conditionalFormatting sqref="N70">
    <cfRule type="cellIs" dxfId="23075" priority="167196" stopIfTrue="1" operator="equal">
      <formula>-1</formula>
    </cfRule>
  </conditionalFormatting>
  <conditionalFormatting sqref="N70">
    <cfRule type="cellIs" dxfId="23074" priority="167197" stopIfTrue="1" operator="lessThan">
      <formula>0.5</formula>
    </cfRule>
  </conditionalFormatting>
  <conditionalFormatting sqref="N70">
    <cfRule type="cellIs" dxfId="23073" priority="167198" stopIfTrue="1" operator="greaterThanOrEqual">
      <formula>0.5</formula>
    </cfRule>
  </conditionalFormatting>
  <conditionalFormatting sqref="N71">
    <cfRule type="cellIs" dxfId="23072" priority="167199" stopIfTrue="1" operator="equal">
      <formula>-1</formula>
    </cfRule>
  </conditionalFormatting>
  <conditionalFormatting sqref="N71">
    <cfRule type="cellIs" dxfId="23071" priority="167200" stopIfTrue="1" operator="lessThan">
      <formula>0.5</formula>
    </cfRule>
  </conditionalFormatting>
  <conditionalFormatting sqref="N71">
    <cfRule type="cellIs" dxfId="23070" priority="167201" stopIfTrue="1" operator="greaterThanOrEqual">
      <formula>0.5</formula>
    </cfRule>
  </conditionalFormatting>
  <conditionalFormatting sqref="N72">
    <cfRule type="cellIs" dxfId="23069" priority="167202" stopIfTrue="1" operator="equal">
      <formula>-1</formula>
    </cfRule>
  </conditionalFormatting>
  <conditionalFormatting sqref="N72">
    <cfRule type="cellIs" dxfId="23068" priority="167203" stopIfTrue="1" operator="lessThan">
      <formula>0.5</formula>
    </cfRule>
  </conditionalFormatting>
  <conditionalFormatting sqref="N72">
    <cfRule type="cellIs" dxfId="23067" priority="167204" stopIfTrue="1" operator="greaterThanOrEqual">
      <formula>0.5</formula>
    </cfRule>
  </conditionalFormatting>
  <conditionalFormatting sqref="N73">
    <cfRule type="cellIs" dxfId="23066" priority="167205" stopIfTrue="1" operator="equal">
      <formula>-1</formula>
    </cfRule>
  </conditionalFormatting>
  <conditionalFormatting sqref="N73">
    <cfRule type="cellIs" dxfId="23065" priority="167206" stopIfTrue="1" operator="lessThan">
      <formula>0.5</formula>
    </cfRule>
  </conditionalFormatting>
  <conditionalFormatting sqref="N73">
    <cfRule type="cellIs" dxfId="23064" priority="167207" stopIfTrue="1" operator="greaterThanOrEqual">
      <formula>0.5</formula>
    </cfRule>
  </conditionalFormatting>
  <conditionalFormatting sqref="N74">
    <cfRule type="cellIs" dxfId="23063" priority="167208" stopIfTrue="1" operator="equal">
      <formula>-1</formula>
    </cfRule>
  </conditionalFormatting>
  <conditionalFormatting sqref="N74">
    <cfRule type="cellIs" dxfId="23062" priority="167209" stopIfTrue="1" operator="lessThan">
      <formula>0.5</formula>
    </cfRule>
  </conditionalFormatting>
  <conditionalFormatting sqref="N74">
    <cfRule type="cellIs" dxfId="23061" priority="167210" stopIfTrue="1" operator="greaterThanOrEqual">
      <formula>0.5</formula>
    </cfRule>
  </conditionalFormatting>
  <conditionalFormatting sqref="N75">
    <cfRule type="cellIs" dxfId="23060" priority="167211" stopIfTrue="1" operator="equal">
      <formula>-1</formula>
    </cfRule>
  </conditionalFormatting>
  <conditionalFormatting sqref="N75">
    <cfRule type="cellIs" dxfId="23059" priority="167212" stopIfTrue="1" operator="lessThan">
      <formula>0.5</formula>
    </cfRule>
  </conditionalFormatting>
  <conditionalFormatting sqref="N75">
    <cfRule type="cellIs" dxfId="23058" priority="167213" stopIfTrue="1" operator="greaterThanOrEqual">
      <formula>0.5</formula>
    </cfRule>
  </conditionalFormatting>
  <conditionalFormatting sqref="N76">
    <cfRule type="cellIs" dxfId="23057" priority="167214" stopIfTrue="1" operator="equal">
      <formula>-1</formula>
    </cfRule>
  </conditionalFormatting>
  <conditionalFormatting sqref="N76">
    <cfRule type="cellIs" dxfId="23056" priority="167215" stopIfTrue="1" operator="lessThan">
      <formula>0.5</formula>
    </cfRule>
  </conditionalFormatting>
  <conditionalFormatting sqref="N76">
    <cfRule type="cellIs" dxfId="23055" priority="167216" stopIfTrue="1" operator="greaterThanOrEqual">
      <formula>0.5</formula>
    </cfRule>
  </conditionalFormatting>
  <conditionalFormatting sqref="N77">
    <cfRule type="cellIs" dxfId="23054" priority="167217" stopIfTrue="1" operator="equal">
      <formula>-1</formula>
    </cfRule>
  </conditionalFormatting>
  <conditionalFormatting sqref="N77">
    <cfRule type="cellIs" dxfId="23053" priority="167218" stopIfTrue="1" operator="lessThan">
      <formula>0.5</formula>
    </cfRule>
  </conditionalFormatting>
  <conditionalFormatting sqref="N77">
    <cfRule type="cellIs" dxfId="23052" priority="167219" stopIfTrue="1" operator="greaterThanOrEqual">
      <formula>0.5</formula>
    </cfRule>
  </conditionalFormatting>
  <conditionalFormatting sqref="N78">
    <cfRule type="cellIs" dxfId="23051" priority="167220" stopIfTrue="1" operator="equal">
      <formula>-1</formula>
    </cfRule>
  </conditionalFormatting>
  <conditionalFormatting sqref="N78">
    <cfRule type="cellIs" dxfId="23050" priority="167221" stopIfTrue="1" operator="lessThan">
      <formula>0.5</formula>
    </cfRule>
  </conditionalFormatting>
  <conditionalFormatting sqref="N78">
    <cfRule type="cellIs" dxfId="23049" priority="167222" stopIfTrue="1" operator="greaterThanOrEqual">
      <formula>0.5</formula>
    </cfRule>
  </conditionalFormatting>
  <conditionalFormatting sqref="N79">
    <cfRule type="cellIs" dxfId="23048" priority="167223" stopIfTrue="1" operator="equal">
      <formula>-1</formula>
    </cfRule>
  </conditionalFormatting>
  <conditionalFormatting sqref="N79">
    <cfRule type="cellIs" dxfId="23047" priority="167224" stopIfTrue="1" operator="lessThan">
      <formula>0.5</formula>
    </cfRule>
  </conditionalFormatting>
  <conditionalFormatting sqref="N79">
    <cfRule type="cellIs" dxfId="23046" priority="167225" stopIfTrue="1" operator="greaterThanOrEqual">
      <formula>0.5</formula>
    </cfRule>
  </conditionalFormatting>
  <conditionalFormatting sqref="N80">
    <cfRule type="cellIs" dxfId="23045" priority="167226" stopIfTrue="1" operator="equal">
      <formula>-1</formula>
    </cfRule>
  </conditionalFormatting>
  <conditionalFormatting sqref="N80">
    <cfRule type="cellIs" dxfId="23044" priority="167227" stopIfTrue="1" operator="lessThan">
      <formula>0.5</formula>
    </cfRule>
  </conditionalFormatting>
  <conditionalFormatting sqref="N80">
    <cfRule type="cellIs" dxfId="23043" priority="167228" stopIfTrue="1" operator="greaterThanOrEqual">
      <formula>0.5</formula>
    </cfRule>
  </conditionalFormatting>
  <conditionalFormatting sqref="N81">
    <cfRule type="cellIs" dxfId="23042" priority="167229" stopIfTrue="1" operator="equal">
      <formula>-1</formula>
    </cfRule>
  </conditionalFormatting>
  <conditionalFormatting sqref="N81">
    <cfRule type="cellIs" dxfId="23041" priority="167230" stopIfTrue="1" operator="lessThan">
      <formula>0.5</formula>
    </cfRule>
  </conditionalFormatting>
  <conditionalFormatting sqref="N81">
    <cfRule type="cellIs" dxfId="23040" priority="167231" stopIfTrue="1" operator="greaterThanOrEqual">
      <formula>0.5</formula>
    </cfRule>
  </conditionalFormatting>
  <conditionalFormatting sqref="N82">
    <cfRule type="cellIs" dxfId="23039" priority="167232" stopIfTrue="1" operator="equal">
      <formula>-1</formula>
    </cfRule>
  </conditionalFormatting>
  <conditionalFormatting sqref="N82">
    <cfRule type="cellIs" dxfId="23038" priority="167233" stopIfTrue="1" operator="lessThan">
      <formula>0.5</formula>
    </cfRule>
  </conditionalFormatting>
  <conditionalFormatting sqref="N82">
    <cfRule type="cellIs" dxfId="23037" priority="167234" stopIfTrue="1" operator="greaterThanOrEqual">
      <formula>0.5</formula>
    </cfRule>
  </conditionalFormatting>
  <conditionalFormatting sqref="N83">
    <cfRule type="cellIs" dxfId="23036" priority="167235" stopIfTrue="1" operator="equal">
      <formula>-1</formula>
    </cfRule>
  </conditionalFormatting>
  <conditionalFormatting sqref="N83">
    <cfRule type="cellIs" dxfId="23035" priority="167236" stopIfTrue="1" operator="lessThan">
      <formula>0.5</formula>
    </cfRule>
  </conditionalFormatting>
  <conditionalFormatting sqref="N83">
    <cfRule type="cellIs" dxfId="23034" priority="167237" stopIfTrue="1" operator="greaterThanOrEqual">
      <formula>0.5</formula>
    </cfRule>
  </conditionalFormatting>
  <conditionalFormatting sqref="N84">
    <cfRule type="cellIs" dxfId="23033" priority="167238" stopIfTrue="1" operator="equal">
      <formula>-1</formula>
    </cfRule>
  </conditionalFormatting>
  <conditionalFormatting sqref="N84">
    <cfRule type="cellIs" dxfId="23032" priority="167239" stopIfTrue="1" operator="lessThan">
      <formula>0.5</formula>
    </cfRule>
  </conditionalFormatting>
  <conditionalFormatting sqref="N84">
    <cfRule type="cellIs" dxfId="23031" priority="167240" stopIfTrue="1" operator="greaterThanOrEqual">
      <formula>0.5</formula>
    </cfRule>
  </conditionalFormatting>
  <conditionalFormatting sqref="N85">
    <cfRule type="cellIs" dxfId="23030" priority="167241" stopIfTrue="1" operator="equal">
      <formula>-1</formula>
    </cfRule>
  </conditionalFormatting>
  <conditionalFormatting sqref="N85">
    <cfRule type="cellIs" dxfId="23029" priority="167242" stopIfTrue="1" operator="lessThan">
      <formula>0.5</formula>
    </cfRule>
  </conditionalFormatting>
  <conditionalFormatting sqref="N85">
    <cfRule type="cellIs" dxfId="23028" priority="167243" stopIfTrue="1" operator="greaterThanOrEqual">
      <formula>0.5</formula>
    </cfRule>
  </conditionalFormatting>
  <conditionalFormatting sqref="P65">
    <cfRule type="cellIs" dxfId="23027" priority="167244" stopIfTrue="1" operator="equal">
      <formula>-1</formula>
    </cfRule>
  </conditionalFormatting>
  <conditionalFormatting sqref="P65">
    <cfRule type="cellIs" dxfId="23026" priority="167245" stopIfTrue="1" operator="lessThan">
      <formula>0.5</formula>
    </cfRule>
  </conditionalFormatting>
  <conditionalFormatting sqref="P65">
    <cfRule type="cellIs" dxfId="23025" priority="167246" stopIfTrue="1" operator="greaterThanOrEqual">
      <formula>0.5</formula>
    </cfRule>
  </conditionalFormatting>
  <conditionalFormatting sqref="P66">
    <cfRule type="cellIs" dxfId="23024" priority="167247" stopIfTrue="1" operator="equal">
      <formula>-1</formula>
    </cfRule>
  </conditionalFormatting>
  <conditionalFormatting sqref="P66">
    <cfRule type="cellIs" dxfId="23023" priority="167248" stopIfTrue="1" operator="lessThan">
      <formula>0.5</formula>
    </cfRule>
  </conditionalFormatting>
  <conditionalFormatting sqref="P66">
    <cfRule type="cellIs" dxfId="23022" priority="167249" stopIfTrue="1" operator="greaterThanOrEqual">
      <formula>0.5</formula>
    </cfRule>
  </conditionalFormatting>
  <conditionalFormatting sqref="P67">
    <cfRule type="cellIs" dxfId="23021" priority="167250" stopIfTrue="1" operator="equal">
      <formula>-1</formula>
    </cfRule>
  </conditionalFormatting>
  <conditionalFormatting sqref="P67">
    <cfRule type="cellIs" dxfId="23020" priority="167251" stopIfTrue="1" operator="lessThan">
      <formula>0.5</formula>
    </cfRule>
  </conditionalFormatting>
  <conditionalFormatting sqref="P67">
    <cfRule type="cellIs" dxfId="23019" priority="167252" stopIfTrue="1" operator="greaterThanOrEqual">
      <formula>0.5</formula>
    </cfRule>
  </conditionalFormatting>
  <conditionalFormatting sqref="P68">
    <cfRule type="cellIs" dxfId="23018" priority="167253" stopIfTrue="1" operator="equal">
      <formula>-1</formula>
    </cfRule>
  </conditionalFormatting>
  <conditionalFormatting sqref="P68">
    <cfRule type="cellIs" dxfId="23017" priority="167254" stopIfTrue="1" operator="lessThan">
      <formula>0.5</formula>
    </cfRule>
  </conditionalFormatting>
  <conditionalFormatting sqref="P68">
    <cfRule type="cellIs" dxfId="23016" priority="167255" stopIfTrue="1" operator="greaterThanOrEqual">
      <formula>0.5</formula>
    </cfRule>
  </conditionalFormatting>
  <conditionalFormatting sqref="P69">
    <cfRule type="cellIs" dxfId="23015" priority="167256" stopIfTrue="1" operator="equal">
      <formula>-1</formula>
    </cfRule>
  </conditionalFormatting>
  <conditionalFormatting sqref="P69">
    <cfRule type="cellIs" dxfId="23014" priority="167257" stopIfTrue="1" operator="lessThan">
      <formula>0.5</formula>
    </cfRule>
  </conditionalFormatting>
  <conditionalFormatting sqref="P69">
    <cfRule type="cellIs" dxfId="23013" priority="167258" stopIfTrue="1" operator="greaterThanOrEqual">
      <formula>0.5</formula>
    </cfRule>
  </conditionalFormatting>
  <conditionalFormatting sqref="P70">
    <cfRule type="cellIs" dxfId="23012" priority="167259" stopIfTrue="1" operator="equal">
      <formula>-1</formula>
    </cfRule>
  </conditionalFormatting>
  <conditionalFormatting sqref="P70">
    <cfRule type="cellIs" dxfId="23011" priority="167260" stopIfTrue="1" operator="lessThan">
      <formula>0.5</formula>
    </cfRule>
  </conditionalFormatting>
  <conditionalFormatting sqref="P70">
    <cfRule type="cellIs" dxfId="23010" priority="167261" stopIfTrue="1" operator="greaterThanOrEqual">
      <formula>0.5</formula>
    </cfRule>
  </conditionalFormatting>
  <conditionalFormatting sqref="P71">
    <cfRule type="cellIs" dxfId="23009" priority="167262" stopIfTrue="1" operator="equal">
      <formula>-1</formula>
    </cfRule>
  </conditionalFormatting>
  <conditionalFormatting sqref="P71">
    <cfRule type="cellIs" dxfId="23008" priority="167263" stopIfTrue="1" operator="lessThan">
      <formula>0.5</formula>
    </cfRule>
  </conditionalFormatting>
  <conditionalFormatting sqref="P71">
    <cfRule type="cellIs" dxfId="23007" priority="167264" stopIfTrue="1" operator="greaterThanOrEqual">
      <formula>0.5</formula>
    </cfRule>
  </conditionalFormatting>
  <conditionalFormatting sqref="P72">
    <cfRule type="cellIs" dxfId="23006" priority="167265" stopIfTrue="1" operator="equal">
      <formula>-1</formula>
    </cfRule>
  </conditionalFormatting>
  <conditionalFormatting sqref="P72">
    <cfRule type="cellIs" dxfId="23005" priority="167266" stopIfTrue="1" operator="lessThan">
      <formula>0.5</formula>
    </cfRule>
  </conditionalFormatting>
  <conditionalFormatting sqref="P72">
    <cfRule type="cellIs" dxfId="23004" priority="167267" stopIfTrue="1" operator="greaterThanOrEqual">
      <formula>0.5</formula>
    </cfRule>
  </conditionalFormatting>
  <conditionalFormatting sqref="P73">
    <cfRule type="cellIs" dxfId="23003" priority="167268" stopIfTrue="1" operator="equal">
      <formula>-1</formula>
    </cfRule>
  </conditionalFormatting>
  <conditionalFormatting sqref="P73">
    <cfRule type="cellIs" dxfId="23002" priority="167269" stopIfTrue="1" operator="lessThan">
      <formula>0.5</formula>
    </cfRule>
  </conditionalFormatting>
  <conditionalFormatting sqref="P73">
    <cfRule type="cellIs" dxfId="23001" priority="167270" stopIfTrue="1" operator="greaterThanOrEqual">
      <formula>0.5</formula>
    </cfRule>
  </conditionalFormatting>
  <conditionalFormatting sqref="P74">
    <cfRule type="cellIs" dxfId="23000" priority="167271" stopIfTrue="1" operator="equal">
      <formula>-1</formula>
    </cfRule>
  </conditionalFormatting>
  <conditionalFormatting sqref="P74">
    <cfRule type="cellIs" dxfId="22999" priority="167272" stopIfTrue="1" operator="lessThan">
      <formula>0.5</formula>
    </cfRule>
  </conditionalFormatting>
  <conditionalFormatting sqref="P74">
    <cfRule type="cellIs" dxfId="22998" priority="167273" stopIfTrue="1" operator="greaterThanOrEqual">
      <formula>0.5</formula>
    </cfRule>
  </conditionalFormatting>
  <conditionalFormatting sqref="P75">
    <cfRule type="cellIs" dxfId="22997" priority="167274" stopIfTrue="1" operator="equal">
      <formula>-1</formula>
    </cfRule>
  </conditionalFormatting>
  <conditionalFormatting sqref="P75">
    <cfRule type="cellIs" dxfId="22996" priority="167275" stopIfTrue="1" operator="lessThan">
      <formula>0.5</formula>
    </cfRule>
  </conditionalFormatting>
  <conditionalFormatting sqref="P75">
    <cfRule type="cellIs" dxfId="22995" priority="167276" stopIfTrue="1" operator="greaterThanOrEqual">
      <formula>0.5</formula>
    </cfRule>
  </conditionalFormatting>
  <conditionalFormatting sqref="P76">
    <cfRule type="cellIs" dxfId="22994" priority="167277" stopIfTrue="1" operator="equal">
      <formula>-1</formula>
    </cfRule>
  </conditionalFormatting>
  <conditionalFormatting sqref="P76">
    <cfRule type="cellIs" dxfId="22993" priority="167278" stopIfTrue="1" operator="lessThan">
      <formula>0.5</formula>
    </cfRule>
  </conditionalFormatting>
  <conditionalFormatting sqref="P76">
    <cfRule type="cellIs" dxfId="22992" priority="167279" stopIfTrue="1" operator="greaterThanOrEqual">
      <formula>0.5</formula>
    </cfRule>
  </conditionalFormatting>
  <conditionalFormatting sqref="P77">
    <cfRule type="cellIs" dxfId="22991" priority="167280" stopIfTrue="1" operator="equal">
      <formula>-1</formula>
    </cfRule>
  </conditionalFormatting>
  <conditionalFormatting sqref="P77">
    <cfRule type="cellIs" dxfId="22990" priority="167281" stopIfTrue="1" operator="lessThan">
      <formula>0.5</formula>
    </cfRule>
  </conditionalFormatting>
  <conditionalFormatting sqref="P77">
    <cfRule type="cellIs" dxfId="22989" priority="167282" stopIfTrue="1" operator="greaterThanOrEqual">
      <formula>0.5</formula>
    </cfRule>
  </conditionalFormatting>
  <conditionalFormatting sqref="P78">
    <cfRule type="cellIs" dxfId="22988" priority="167283" stopIfTrue="1" operator="equal">
      <formula>-1</formula>
    </cfRule>
  </conditionalFormatting>
  <conditionalFormatting sqref="P78">
    <cfRule type="cellIs" dxfId="22987" priority="167284" stopIfTrue="1" operator="lessThan">
      <formula>0.5</formula>
    </cfRule>
  </conditionalFormatting>
  <conditionalFormatting sqref="P78">
    <cfRule type="cellIs" dxfId="22986" priority="167285" stopIfTrue="1" operator="greaterThanOrEqual">
      <formula>0.5</formula>
    </cfRule>
  </conditionalFormatting>
  <conditionalFormatting sqref="P79">
    <cfRule type="cellIs" dxfId="22985" priority="167286" stopIfTrue="1" operator="equal">
      <formula>-1</formula>
    </cfRule>
  </conditionalFormatting>
  <conditionalFormatting sqref="P79">
    <cfRule type="cellIs" dxfId="22984" priority="167287" stopIfTrue="1" operator="lessThan">
      <formula>0.5</formula>
    </cfRule>
  </conditionalFormatting>
  <conditionalFormatting sqref="P79">
    <cfRule type="cellIs" dxfId="22983" priority="167288" stopIfTrue="1" operator="greaterThanOrEqual">
      <formula>0.5</formula>
    </cfRule>
  </conditionalFormatting>
  <conditionalFormatting sqref="P80">
    <cfRule type="cellIs" dxfId="22982" priority="167289" stopIfTrue="1" operator="equal">
      <formula>-1</formula>
    </cfRule>
  </conditionalFormatting>
  <conditionalFormatting sqref="P80">
    <cfRule type="cellIs" dxfId="22981" priority="167290" stopIfTrue="1" operator="lessThan">
      <formula>0.5</formula>
    </cfRule>
  </conditionalFormatting>
  <conditionalFormatting sqref="P80">
    <cfRule type="cellIs" dxfId="22980" priority="167291" stopIfTrue="1" operator="greaterThanOrEqual">
      <formula>0.5</formula>
    </cfRule>
  </conditionalFormatting>
  <conditionalFormatting sqref="P81">
    <cfRule type="cellIs" dxfId="22979" priority="167292" stopIfTrue="1" operator="equal">
      <formula>-1</formula>
    </cfRule>
  </conditionalFormatting>
  <conditionalFormatting sqref="P81">
    <cfRule type="cellIs" dxfId="22978" priority="167293" stopIfTrue="1" operator="lessThan">
      <formula>0.5</formula>
    </cfRule>
  </conditionalFormatting>
  <conditionalFormatting sqref="P81">
    <cfRule type="cellIs" dxfId="22977" priority="167294" stopIfTrue="1" operator="greaterThanOrEqual">
      <formula>0.5</formula>
    </cfRule>
  </conditionalFormatting>
  <conditionalFormatting sqref="P82">
    <cfRule type="cellIs" dxfId="22976" priority="167295" stopIfTrue="1" operator="equal">
      <formula>-1</formula>
    </cfRule>
  </conditionalFormatting>
  <conditionalFormatting sqref="P82">
    <cfRule type="cellIs" dxfId="22975" priority="167296" stopIfTrue="1" operator="lessThan">
      <formula>0.5</formula>
    </cfRule>
  </conditionalFormatting>
  <conditionalFormatting sqref="P82">
    <cfRule type="cellIs" dxfId="22974" priority="167297" stopIfTrue="1" operator="greaterThanOrEqual">
      <formula>0.5</formula>
    </cfRule>
  </conditionalFormatting>
  <conditionalFormatting sqref="P83">
    <cfRule type="cellIs" dxfId="22973" priority="167298" stopIfTrue="1" operator="equal">
      <formula>-1</formula>
    </cfRule>
  </conditionalFormatting>
  <conditionalFormatting sqref="P83">
    <cfRule type="cellIs" dxfId="22972" priority="167299" stopIfTrue="1" operator="lessThan">
      <formula>0.5</formula>
    </cfRule>
  </conditionalFormatting>
  <conditionalFormatting sqref="P83">
    <cfRule type="cellIs" dxfId="22971" priority="167300" stopIfTrue="1" operator="greaterThanOrEqual">
      <formula>0.5</formula>
    </cfRule>
  </conditionalFormatting>
  <conditionalFormatting sqref="P84">
    <cfRule type="cellIs" dxfId="22970" priority="167301" stopIfTrue="1" operator="equal">
      <formula>-1</formula>
    </cfRule>
  </conditionalFormatting>
  <conditionalFormatting sqref="P84">
    <cfRule type="cellIs" dxfId="22969" priority="167302" stopIfTrue="1" operator="lessThan">
      <formula>0.5</formula>
    </cfRule>
  </conditionalFormatting>
  <conditionalFormatting sqref="P84">
    <cfRule type="cellIs" dxfId="22968" priority="167303" stopIfTrue="1" operator="greaterThanOrEqual">
      <formula>0.5</formula>
    </cfRule>
  </conditionalFormatting>
  <conditionalFormatting sqref="P85">
    <cfRule type="cellIs" dxfId="22967" priority="167304" stopIfTrue="1" operator="equal">
      <formula>-1</formula>
    </cfRule>
  </conditionalFormatting>
  <conditionalFormatting sqref="P85">
    <cfRule type="cellIs" dxfId="22966" priority="167305" stopIfTrue="1" operator="lessThan">
      <formula>0.5</formula>
    </cfRule>
  </conditionalFormatting>
  <conditionalFormatting sqref="P85">
    <cfRule type="cellIs" dxfId="22965" priority="167306" stopIfTrue="1" operator="greaterThanOrEqual">
      <formula>0.5</formula>
    </cfRule>
  </conditionalFormatting>
  <conditionalFormatting sqref="R65">
    <cfRule type="cellIs" dxfId="22964" priority="167307" stopIfTrue="1" operator="equal">
      <formula>-1</formula>
    </cfRule>
  </conditionalFormatting>
  <conditionalFormatting sqref="R65">
    <cfRule type="cellIs" dxfId="22963" priority="167308" stopIfTrue="1" operator="lessThan">
      <formula>0.5</formula>
    </cfRule>
  </conditionalFormatting>
  <conditionalFormatting sqref="R65">
    <cfRule type="cellIs" dxfId="22962" priority="167309" stopIfTrue="1" operator="greaterThanOrEqual">
      <formula>0.5</formula>
    </cfRule>
  </conditionalFormatting>
  <conditionalFormatting sqref="R66">
    <cfRule type="cellIs" dxfId="22961" priority="167310" stopIfTrue="1" operator="equal">
      <formula>-1</formula>
    </cfRule>
  </conditionalFormatting>
  <conditionalFormatting sqref="R66">
    <cfRule type="cellIs" dxfId="22960" priority="167311" stopIfTrue="1" operator="lessThan">
      <formula>0.5</formula>
    </cfRule>
  </conditionalFormatting>
  <conditionalFormatting sqref="R66">
    <cfRule type="cellIs" dxfId="22959" priority="167312" stopIfTrue="1" operator="greaterThanOrEqual">
      <formula>0.5</formula>
    </cfRule>
  </conditionalFormatting>
  <conditionalFormatting sqref="R67">
    <cfRule type="cellIs" dxfId="22958" priority="167313" stopIfTrue="1" operator="equal">
      <formula>-1</formula>
    </cfRule>
  </conditionalFormatting>
  <conditionalFormatting sqref="R67">
    <cfRule type="cellIs" dxfId="22957" priority="167314" stopIfTrue="1" operator="lessThan">
      <formula>0.5</formula>
    </cfRule>
  </conditionalFormatting>
  <conditionalFormatting sqref="R67">
    <cfRule type="cellIs" dxfId="22956" priority="167315" stopIfTrue="1" operator="greaterThanOrEqual">
      <formula>0.5</formula>
    </cfRule>
  </conditionalFormatting>
  <conditionalFormatting sqref="R68">
    <cfRule type="cellIs" dxfId="22955" priority="167316" stopIfTrue="1" operator="equal">
      <formula>-1</formula>
    </cfRule>
  </conditionalFormatting>
  <conditionalFormatting sqref="R68">
    <cfRule type="cellIs" dxfId="22954" priority="167317" stopIfTrue="1" operator="lessThan">
      <formula>0.5</formula>
    </cfRule>
  </conditionalFormatting>
  <conditionalFormatting sqref="R68">
    <cfRule type="cellIs" dxfId="22953" priority="167318" stopIfTrue="1" operator="greaterThanOrEqual">
      <formula>0.5</formula>
    </cfRule>
  </conditionalFormatting>
  <conditionalFormatting sqref="R69">
    <cfRule type="cellIs" dxfId="22952" priority="167319" stopIfTrue="1" operator="equal">
      <formula>-1</formula>
    </cfRule>
  </conditionalFormatting>
  <conditionalFormatting sqref="R69">
    <cfRule type="cellIs" dxfId="22951" priority="167320" stopIfTrue="1" operator="lessThan">
      <formula>0.5</formula>
    </cfRule>
  </conditionalFormatting>
  <conditionalFormatting sqref="R69">
    <cfRule type="cellIs" dxfId="22950" priority="167321" stopIfTrue="1" operator="greaterThanOrEqual">
      <formula>0.5</formula>
    </cfRule>
  </conditionalFormatting>
  <conditionalFormatting sqref="R70">
    <cfRule type="cellIs" dxfId="22949" priority="167322" stopIfTrue="1" operator="equal">
      <formula>-1</formula>
    </cfRule>
  </conditionalFormatting>
  <conditionalFormatting sqref="R70">
    <cfRule type="cellIs" dxfId="22948" priority="167323" stopIfTrue="1" operator="lessThan">
      <formula>0.5</formula>
    </cfRule>
  </conditionalFormatting>
  <conditionalFormatting sqref="R70">
    <cfRule type="cellIs" dxfId="22947" priority="167324" stopIfTrue="1" operator="greaterThanOrEqual">
      <formula>0.5</formula>
    </cfRule>
  </conditionalFormatting>
  <conditionalFormatting sqref="R71">
    <cfRule type="cellIs" dxfId="22946" priority="167325" stopIfTrue="1" operator="equal">
      <formula>-1</formula>
    </cfRule>
  </conditionalFormatting>
  <conditionalFormatting sqref="R71">
    <cfRule type="cellIs" dxfId="22945" priority="167326" stopIfTrue="1" operator="lessThan">
      <formula>0.5</formula>
    </cfRule>
  </conditionalFormatting>
  <conditionalFormatting sqref="R71">
    <cfRule type="cellIs" dxfId="22944" priority="167327" stopIfTrue="1" operator="greaterThanOrEqual">
      <formula>0.5</formula>
    </cfRule>
  </conditionalFormatting>
  <conditionalFormatting sqref="R72">
    <cfRule type="cellIs" dxfId="22943" priority="167328" stopIfTrue="1" operator="equal">
      <formula>-1</formula>
    </cfRule>
  </conditionalFormatting>
  <conditionalFormatting sqref="R72">
    <cfRule type="cellIs" dxfId="22942" priority="167329" stopIfTrue="1" operator="lessThan">
      <formula>0.5</formula>
    </cfRule>
  </conditionalFormatting>
  <conditionalFormatting sqref="R72">
    <cfRule type="cellIs" dxfId="22941" priority="167330" stopIfTrue="1" operator="greaterThanOrEqual">
      <formula>0.5</formula>
    </cfRule>
  </conditionalFormatting>
  <conditionalFormatting sqref="R73">
    <cfRule type="cellIs" dxfId="22940" priority="167331" stopIfTrue="1" operator="equal">
      <formula>-1</formula>
    </cfRule>
  </conditionalFormatting>
  <conditionalFormatting sqref="R73">
    <cfRule type="cellIs" dxfId="22939" priority="167332" stopIfTrue="1" operator="lessThan">
      <formula>0.5</formula>
    </cfRule>
  </conditionalFormatting>
  <conditionalFormatting sqref="R73">
    <cfRule type="cellIs" dxfId="22938" priority="167333" stopIfTrue="1" operator="greaterThanOrEqual">
      <formula>0.5</formula>
    </cfRule>
  </conditionalFormatting>
  <conditionalFormatting sqref="R74">
    <cfRule type="cellIs" dxfId="22937" priority="167334" stopIfTrue="1" operator="equal">
      <formula>-1</formula>
    </cfRule>
  </conditionalFormatting>
  <conditionalFormatting sqref="R74">
    <cfRule type="cellIs" dxfId="22936" priority="167335" stopIfTrue="1" operator="lessThan">
      <formula>0.5</formula>
    </cfRule>
  </conditionalFormatting>
  <conditionalFormatting sqref="R74">
    <cfRule type="cellIs" dxfId="22935" priority="167336" stopIfTrue="1" operator="greaterThanOrEqual">
      <formula>0.5</formula>
    </cfRule>
  </conditionalFormatting>
  <conditionalFormatting sqref="R75">
    <cfRule type="cellIs" dxfId="22934" priority="167337" stopIfTrue="1" operator="equal">
      <formula>-1</formula>
    </cfRule>
  </conditionalFormatting>
  <conditionalFormatting sqref="R75">
    <cfRule type="cellIs" dxfId="22933" priority="167338" stopIfTrue="1" operator="lessThan">
      <formula>0.5</formula>
    </cfRule>
  </conditionalFormatting>
  <conditionalFormatting sqref="R75">
    <cfRule type="cellIs" dxfId="22932" priority="167339" stopIfTrue="1" operator="greaterThanOrEqual">
      <formula>0.5</formula>
    </cfRule>
  </conditionalFormatting>
  <conditionalFormatting sqref="R76">
    <cfRule type="cellIs" dxfId="22931" priority="167340" stopIfTrue="1" operator="equal">
      <formula>-1</formula>
    </cfRule>
  </conditionalFormatting>
  <conditionalFormatting sqref="R76">
    <cfRule type="cellIs" dxfId="22930" priority="167341" stopIfTrue="1" operator="lessThan">
      <formula>0.5</formula>
    </cfRule>
  </conditionalFormatting>
  <conditionalFormatting sqref="R76">
    <cfRule type="cellIs" dxfId="22929" priority="167342" stopIfTrue="1" operator="greaterThanOrEqual">
      <formula>0.5</formula>
    </cfRule>
  </conditionalFormatting>
  <conditionalFormatting sqref="R77">
    <cfRule type="cellIs" dxfId="22928" priority="167343" stopIfTrue="1" operator="equal">
      <formula>-1</formula>
    </cfRule>
  </conditionalFormatting>
  <conditionalFormatting sqref="R77">
    <cfRule type="cellIs" dxfId="22927" priority="167344" stopIfTrue="1" operator="lessThan">
      <formula>0.5</formula>
    </cfRule>
  </conditionalFormatting>
  <conditionalFormatting sqref="R77">
    <cfRule type="cellIs" dxfId="22926" priority="167345" stopIfTrue="1" operator="greaterThanOrEqual">
      <formula>0.5</formula>
    </cfRule>
  </conditionalFormatting>
  <conditionalFormatting sqref="R78">
    <cfRule type="cellIs" dxfId="22925" priority="167346" stopIfTrue="1" operator="equal">
      <formula>-1</formula>
    </cfRule>
  </conditionalFormatting>
  <conditionalFormatting sqref="R78">
    <cfRule type="cellIs" dxfId="22924" priority="167347" stopIfTrue="1" operator="lessThan">
      <formula>0.5</formula>
    </cfRule>
  </conditionalFormatting>
  <conditionalFormatting sqref="R78">
    <cfRule type="cellIs" dxfId="22923" priority="167348" stopIfTrue="1" operator="greaterThanOrEqual">
      <formula>0.5</formula>
    </cfRule>
  </conditionalFormatting>
  <conditionalFormatting sqref="R79">
    <cfRule type="cellIs" dxfId="22922" priority="167349" stopIfTrue="1" operator="equal">
      <formula>-1</formula>
    </cfRule>
  </conditionalFormatting>
  <conditionalFormatting sqref="R79">
    <cfRule type="cellIs" dxfId="22921" priority="167350" stopIfTrue="1" operator="lessThan">
      <formula>0.5</formula>
    </cfRule>
  </conditionalFormatting>
  <conditionalFormatting sqref="R79">
    <cfRule type="cellIs" dxfId="22920" priority="167351" stopIfTrue="1" operator="greaterThanOrEqual">
      <formula>0.5</formula>
    </cfRule>
  </conditionalFormatting>
  <conditionalFormatting sqref="R80">
    <cfRule type="cellIs" dxfId="22919" priority="167352" stopIfTrue="1" operator="equal">
      <formula>-1</formula>
    </cfRule>
  </conditionalFormatting>
  <conditionalFormatting sqref="R80">
    <cfRule type="cellIs" dxfId="22918" priority="167353" stopIfTrue="1" operator="lessThan">
      <formula>0.5</formula>
    </cfRule>
  </conditionalFormatting>
  <conditionalFormatting sqref="R80">
    <cfRule type="cellIs" dxfId="22917" priority="167354" stopIfTrue="1" operator="greaterThanOrEqual">
      <formula>0.5</formula>
    </cfRule>
  </conditionalFormatting>
  <conditionalFormatting sqref="R81">
    <cfRule type="cellIs" dxfId="22916" priority="167355" stopIfTrue="1" operator="equal">
      <formula>-1</formula>
    </cfRule>
  </conditionalFormatting>
  <conditionalFormatting sqref="R81">
    <cfRule type="cellIs" dxfId="22915" priority="167356" stopIfTrue="1" operator="lessThan">
      <formula>0.5</formula>
    </cfRule>
  </conditionalFormatting>
  <conditionalFormatting sqref="R81">
    <cfRule type="cellIs" dxfId="22914" priority="167357" stopIfTrue="1" operator="greaterThanOrEqual">
      <formula>0.5</formula>
    </cfRule>
  </conditionalFormatting>
  <conditionalFormatting sqref="R82">
    <cfRule type="cellIs" dxfId="22913" priority="167358" stopIfTrue="1" operator="equal">
      <formula>-1</formula>
    </cfRule>
  </conditionalFormatting>
  <conditionalFormatting sqref="R82">
    <cfRule type="cellIs" dxfId="22912" priority="167359" stopIfTrue="1" operator="lessThan">
      <formula>0.5</formula>
    </cfRule>
  </conditionalFormatting>
  <conditionalFormatting sqref="R82">
    <cfRule type="cellIs" dxfId="22911" priority="167360" stopIfTrue="1" operator="greaterThanOrEqual">
      <formula>0.5</formula>
    </cfRule>
  </conditionalFormatting>
  <conditionalFormatting sqref="R83">
    <cfRule type="cellIs" dxfId="22910" priority="167361" stopIfTrue="1" operator="equal">
      <formula>-1</formula>
    </cfRule>
  </conditionalFormatting>
  <conditionalFormatting sqref="R83">
    <cfRule type="cellIs" dxfId="22909" priority="167362" stopIfTrue="1" operator="lessThan">
      <formula>0.5</formula>
    </cfRule>
  </conditionalFormatting>
  <conditionalFormatting sqref="R83">
    <cfRule type="cellIs" dxfId="22908" priority="167363" stopIfTrue="1" operator="greaterThanOrEqual">
      <formula>0.5</formula>
    </cfRule>
  </conditionalFormatting>
  <conditionalFormatting sqref="R84">
    <cfRule type="cellIs" dxfId="22907" priority="167364" stopIfTrue="1" operator="equal">
      <formula>-1</formula>
    </cfRule>
  </conditionalFormatting>
  <conditionalFormatting sqref="R84">
    <cfRule type="cellIs" dxfId="22906" priority="167365" stopIfTrue="1" operator="lessThan">
      <formula>0.5</formula>
    </cfRule>
  </conditionalFormatting>
  <conditionalFormatting sqref="R84">
    <cfRule type="cellIs" dxfId="22905" priority="167366" stopIfTrue="1" operator="greaterThanOrEqual">
      <formula>0.5</formula>
    </cfRule>
  </conditionalFormatting>
  <conditionalFormatting sqref="R85">
    <cfRule type="cellIs" dxfId="22904" priority="167367" stopIfTrue="1" operator="equal">
      <formula>-1</formula>
    </cfRule>
  </conditionalFormatting>
  <conditionalFormatting sqref="R85">
    <cfRule type="cellIs" dxfId="22903" priority="167368" stopIfTrue="1" operator="lessThan">
      <formula>0.5</formula>
    </cfRule>
  </conditionalFormatting>
  <conditionalFormatting sqref="R85">
    <cfRule type="cellIs" dxfId="22902" priority="167369" stopIfTrue="1" operator="greaterThanOrEqual">
      <formula>0.5</formula>
    </cfRule>
  </conditionalFormatting>
  <conditionalFormatting sqref="T65">
    <cfRule type="cellIs" dxfId="22901" priority="167370" stopIfTrue="1" operator="equal">
      <formula>-1</formula>
    </cfRule>
  </conditionalFormatting>
  <conditionalFormatting sqref="T65">
    <cfRule type="cellIs" dxfId="22900" priority="167371" stopIfTrue="1" operator="lessThan">
      <formula>0.5</formula>
    </cfRule>
  </conditionalFormatting>
  <conditionalFormatting sqref="T65">
    <cfRule type="cellIs" dxfId="22899" priority="167372" stopIfTrue="1" operator="greaterThanOrEqual">
      <formula>0.5</formula>
    </cfRule>
  </conditionalFormatting>
  <conditionalFormatting sqref="T66">
    <cfRule type="cellIs" dxfId="22898" priority="167373" stopIfTrue="1" operator="equal">
      <formula>-1</formula>
    </cfRule>
  </conditionalFormatting>
  <conditionalFormatting sqref="T66">
    <cfRule type="cellIs" dxfId="22897" priority="167374" stopIfTrue="1" operator="lessThan">
      <formula>0.5</formula>
    </cfRule>
  </conditionalFormatting>
  <conditionalFormatting sqref="T66">
    <cfRule type="cellIs" dxfId="22896" priority="167375" stopIfTrue="1" operator="greaterThanOrEqual">
      <formula>0.5</formula>
    </cfRule>
  </conditionalFormatting>
  <conditionalFormatting sqref="T67">
    <cfRule type="cellIs" dxfId="22895" priority="167376" stopIfTrue="1" operator="equal">
      <formula>-1</formula>
    </cfRule>
  </conditionalFormatting>
  <conditionalFormatting sqref="T67">
    <cfRule type="cellIs" dxfId="22894" priority="167377" stopIfTrue="1" operator="lessThan">
      <formula>0.5</formula>
    </cfRule>
  </conditionalFormatting>
  <conditionalFormatting sqref="T67">
    <cfRule type="cellIs" dxfId="22893" priority="167378" stopIfTrue="1" operator="greaterThanOrEqual">
      <formula>0.5</formula>
    </cfRule>
  </conditionalFormatting>
  <conditionalFormatting sqref="T68">
    <cfRule type="cellIs" dxfId="22892" priority="167379" stopIfTrue="1" operator="equal">
      <formula>-1</formula>
    </cfRule>
  </conditionalFormatting>
  <conditionalFormatting sqref="T68">
    <cfRule type="cellIs" dxfId="22891" priority="167380" stopIfTrue="1" operator="lessThan">
      <formula>0.5</formula>
    </cfRule>
  </conditionalFormatting>
  <conditionalFormatting sqref="T68">
    <cfRule type="cellIs" dxfId="22890" priority="167381" stopIfTrue="1" operator="greaterThanOrEqual">
      <formula>0.5</formula>
    </cfRule>
  </conditionalFormatting>
  <conditionalFormatting sqref="T69">
    <cfRule type="cellIs" dxfId="22889" priority="167382" stopIfTrue="1" operator="equal">
      <formula>-1</formula>
    </cfRule>
  </conditionalFormatting>
  <conditionalFormatting sqref="T69">
    <cfRule type="cellIs" dxfId="22888" priority="167383" stopIfTrue="1" operator="lessThan">
      <formula>0.5</formula>
    </cfRule>
  </conditionalFormatting>
  <conditionalFormatting sqref="T69">
    <cfRule type="cellIs" dxfId="22887" priority="167384" stopIfTrue="1" operator="greaterThanOrEqual">
      <formula>0.5</formula>
    </cfRule>
  </conditionalFormatting>
  <conditionalFormatting sqref="T70">
    <cfRule type="cellIs" dxfId="22886" priority="167385" stopIfTrue="1" operator="equal">
      <formula>-1</formula>
    </cfRule>
  </conditionalFormatting>
  <conditionalFormatting sqref="T70">
    <cfRule type="cellIs" dxfId="22885" priority="167386" stopIfTrue="1" operator="lessThan">
      <formula>0.5</formula>
    </cfRule>
  </conditionalFormatting>
  <conditionalFormatting sqref="T70">
    <cfRule type="cellIs" dxfId="22884" priority="167387" stopIfTrue="1" operator="greaterThanOrEqual">
      <formula>0.5</formula>
    </cfRule>
  </conditionalFormatting>
  <conditionalFormatting sqref="T71">
    <cfRule type="cellIs" dxfId="22883" priority="167388" stopIfTrue="1" operator="equal">
      <formula>-1</formula>
    </cfRule>
  </conditionalFormatting>
  <conditionalFormatting sqref="T71">
    <cfRule type="cellIs" dxfId="22882" priority="167389" stopIfTrue="1" operator="lessThan">
      <formula>0.5</formula>
    </cfRule>
  </conditionalFormatting>
  <conditionalFormatting sqref="T71">
    <cfRule type="cellIs" dxfId="22881" priority="167390" stopIfTrue="1" operator="greaterThanOrEqual">
      <formula>0.5</formula>
    </cfRule>
  </conditionalFormatting>
  <conditionalFormatting sqref="T72">
    <cfRule type="cellIs" dxfId="22880" priority="167391" stopIfTrue="1" operator="equal">
      <formula>-1</formula>
    </cfRule>
  </conditionalFormatting>
  <conditionalFormatting sqref="T72">
    <cfRule type="cellIs" dxfId="22879" priority="167392" stopIfTrue="1" operator="lessThan">
      <formula>0.5</formula>
    </cfRule>
  </conditionalFormatting>
  <conditionalFormatting sqref="T72">
    <cfRule type="cellIs" dxfId="22878" priority="167393" stopIfTrue="1" operator="greaterThanOrEqual">
      <formula>0.5</formula>
    </cfRule>
  </conditionalFormatting>
  <conditionalFormatting sqref="T73">
    <cfRule type="cellIs" dxfId="22877" priority="167394" stopIfTrue="1" operator="equal">
      <formula>-1</formula>
    </cfRule>
  </conditionalFormatting>
  <conditionalFormatting sqref="T73">
    <cfRule type="cellIs" dxfId="22876" priority="167395" stopIfTrue="1" operator="lessThan">
      <formula>0.5</formula>
    </cfRule>
  </conditionalFormatting>
  <conditionalFormatting sqref="T73">
    <cfRule type="cellIs" dxfId="22875" priority="167396" stopIfTrue="1" operator="greaterThanOrEqual">
      <formula>0.5</formula>
    </cfRule>
  </conditionalFormatting>
  <conditionalFormatting sqref="T74">
    <cfRule type="cellIs" dxfId="22874" priority="167397" stopIfTrue="1" operator="equal">
      <formula>-1</formula>
    </cfRule>
  </conditionalFormatting>
  <conditionalFormatting sqref="T74">
    <cfRule type="cellIs" dxfId="22873" priority="167398" stopIfTrue="1" operator="lessThan">
      <formula>0.5</formula>
    </cfRule>
  </conditionalFormatting>
  <conditionalFormatting sqref="T74">
    <cfRule type="cellIs" dxfId="22872" priority="167399" stopIfTrue="1" operator="greaterThanOrEqual">
      <formula>0.5</formula>
    </cfRule>
  </conditionalFormatting>
  <conditionalFormatting sqref="T75">
    <cfRule type="cellIs" dxfId="22871" priority="167400" stopIfTrue="1" operator="equal">
      <formula>-1</formula>
    </cfRule>
  </conditionalFormatting>
  <conditionalFormatting sqref="T75">
    <cfRule type="cellIs" dxfId="22870" priority="167401" stopIfTrue="1" operator="lessThan">
      <formula>0.5</formula>
    </cfRule>
  </conditionalFormatting>
  <conditionalFormatting sqref="T75">
    <cfRule type="cellIs" dxfId="22869" priority="167402" stopIfTrue="1" operator="greaterThanOrEqual">
      <formula>0.5</formula>
    </cfRule>
  </conditionalFormatting>
  <conditionalFormatting sqref="T76">
    <cfRule type="cellIs" dxfId="22868" priority="167403" stopIfTrue="1" operator="equal">
      <formula>-1</formula>
    </cfRule>
  </conditionalFormatting>
  <conditionalFormatting sqref="T76">
    <cfRule type="cellIs" dxfId="22867" priority="167404" stopIfTrue="1" operator="lessThan">
      <formula>0.5</formula>
    </cfRule>
  </conditionalFormatting>
  <conditionalFormatting sqref="T76">
    <cfRule type="cellIs" dxfId="22866" priority="167405" stopIfTrue="1" operator="greaterThanOrEqual">
      <formula>0.5</formula>
    </cfRule>
  </conditionalFormatting>
  <conditionalFormatting sqref="T77">
    <cfRule type="cellIs" dxfId="22865" priority="167406" stopIfTrue="1" operator="equal">
      <formula>-1</formula>
    </cfRule>
  </conditionalFormatting>
  <conditionalFormatting sqref="T77">
    <cfRule type="cellIs" dxfId="22864" priority="167407" stopIfTrue="1" operator="lessThan">
      <formula>0.5</formula>
    </cfRule>
  </conditionalFormatting>
  <conditionalFormatting sqref="T77">
    <cfRule type="cellIs" dxfId="22863" priority="167408" stopIfTrue="1" operator="greaterThanOrEqual">
      <formula>0.5</formula>
    </cfRule>
  </conditionalFormatting>
  <conditionalFormatting sqref="T78">
    <cfRule type="cellIs" dxfId="22862" priority="167409" stopIfTrue="1" operator="equal">
      <formula>-1</formula>
    </cfRule>
  </conditionalFormatting>
  <conditionalFormatting sqref="T78">
    <cfRule type="cellIs" dxfId="22861" priority="167410" stopIfTrue="1" operator="lessThan">
      <formula>0.5</formula>
    </cfRule>
  </conditionalFormatting>
  <conditionalFormatting sqref="T78">
    <cfRule type="cellIs" dxfId="22860" priority="167411" stopIfTrue="1" operator="greaterThanOrEqual">
      <formula>0.5</formula>
    </cfRule>
  </conditionalFormatting>
  <conditionalFormatting sqref="T79">
    <cfRule type="cellIs" dxfId="22859" priority="167412" stopIfTrue="1" operator="equal">
      <formula>-1</formula>
    </cfRule>
  </conditionalFormatting>
  <conditionalFormatting sqref="T79">
    <cfRule type="cellIs" dxfId="22858" priority="167413" stopIfTrue="1" operator="lessThan">
      <formula>0.5</formula>
    </cfRule>
  </conditionalFormatting>
  <conditionalFormatting sqref="T79">
    <cfRule type="cellIs" dxfId="22857" priority="167414" stopIfTrue="1" operator="greaterThanOrEqual">
      <formula>0.5</formula>
    </cfRule>
  </conditionalFormatting>
  <conditionalFormatting sqref="T80">
    <cfRule type="cellIs" dxfId="22856" priority="167415" stopIfTrue="1" operator="equal">
      <formula>-1</formula>
    </cfRule>
  </conditionalFormatting>
  <conditionalFormatting sqref="T80">
    <cfRule type="cellIs" dxfId="22855" priority="167416" stopIfTrue="1" operator="lessThan">
      <formula>0.5</formula>
    </cfRule>
  </conditionalFormatting>
  <conditionalFormatting sqref="T80">
    <cfRule type="cellIs" dxfId="22854" priority="167417" stopIfTrue="1" operator="greaterThanOrEqual">
      <formula>0.5</formula>
    </cfRule>
  </conditionalFormatting>
  <conditionalFormatting sqref="T81">
    <cfRule type="cellIs" dxfId="22853" priority="167418" stopIfTrue="1" operator="equal">
      <formula>-1</formula>
    </cfRule>
  </conditionalFormatting>
  <conditionalFormatting sqref="T81">
    <cfRule type="cellIs" dxfId="22852" priority="167419" stopIfTrue="1" operator="lessThan">
      <formula>0.5</formula>
    </cfRule>
  </conditionalFormatting>
  <conditionalFormatting sqref="T81">
    <cfRule type="cellIs" dxfId="22851" priority="167420" stopIfTrue="1" operator="greaterThanOrEqual">
      <formula>0.5</formula>
    </cfRule>
  </conditionalFormatting>
  <conditionalFormatting sqref="T82">
    <cfRule type="cellIs" dxfId="22850" priority="167421" stopIfTrue="1" operator="equal">
      <formula>-1</formula>
    </cfRule>
  </conditionalFormatting>
  <conditionalFormatting sqref="T82">
    <cfRule type="cellIs" dxfId="22849" priority="167422" stopIfTrue="1" operator="lessThan">
      <formula>0.5</formula>
    </cfRule>
  </conditionalFormatting>
  <conditionalFormatting sqref="T82">
    <cfRule type="cellIs" dxfId="22848" priority="167423" stopIfTrue="1" operator="greaterThanOrEqual">
      <formula>0.5</formula>
    </cfRule>
  </conditionalFormatting>
  <conditionalFormatting sqref="T83">
    <cfRule type="cellIs" dxfId="22847" priority="167424" stopIfTrue="1" operator="equal">
      <formula>-1</formula>
    </cfRule>
  </conditionalFormatting>
  <conditionalFormatting sqref="T83">
    <cfRule type="cellIs" dxfId="22846" priority="167425" stopIfTrue="1" operator="lessThan">
      <formula>0.5</formula>
    </cfRule>
  </conditionalFormatting>
  <conditionalFormatting sqref="T83">
    <cfRule type="cellIs" dxfId="22845" priority="167426" stopIfTrue="1" operator="greaterThanOrEqual">
      <formula>0.5</formula>
    </cfRule>
  </conditionalFormatting>
  <conditionalFormatting sqref="T84">
    <cfRule type="cellIs" dxfId="22844" priority="167427" stopIfTrue="1" operator="equal">
      <formula>-1</formula>
    </cfRule>
  </conditionalFormatting>
  <conditionalFormatting sqref="T84">
    <cfRule type="cellIs" dxfId="22843" priority="167428" stopIfTrue="1" operator="lessThan">
      <formula>0.5</formula>
    </cfRule>
  </conditionalFormatting>
  <conditionalFormatting sqref="T84">
    <cfRule type="cellIs" dxfId="22842" priority="167429" stopIfTrue="1" operator="greaterThanOrEqual">
      <formula>0.5</formula>
    </cfRule>
  </conditionalFormatting>
  <conditionalFormatting sqref="T85">
    <cfRule type="cellIs" dxfId="22841" priority="167430" stopIfTrue="1" operator="equal">
      <formula>-1</formula>
    </cfRule>
  </conditionalFormatting>
  <conditionalFormatting sqref="T85">
    <cfRule type="cellIs" dxfId="22840" priority="167431" stopIfTrue="1" operator="lessThan">
      <formula>0.5</formula>
    </cfRule>
  </conditionalFormatting>
  <conditionalFormatting sqref="T85">
    <cfRule type="cellIs" dxfId="22839" priority="167432" stopIfTrue="1" operator="greaterThanOrEqual">
      <formula>0.5</formula>
    </cfRule>
  </conditionalFormatting>
  <conditionalFormatting sqref="V65">
    <cfRule type="cellIs" dxfId="22838" priority="167433" stopIfTrue="1" operator="equal">
      <formula>-1</formula>
    </cfRule>
  </conditionalFormatting>
  <conditionalFormatting sqref="V65">
    <cfRule type="cellIs" dxfId="22837" priority="167434" stopIfTrue="1" operator="lessThan">
      <formula>0.5</formula>
    </cfRule>
  </conditionalFormatting>
  <conditionalFormatting sqref="V65">
    <cfRule type="cellIs" dxfId="22836" priority="167435" stopIfTrue="1" operator="greaterThanOrEqual">
      <formula>0.5</formula>
    </cfRule>
  </conditionalFormatting>
  <conditionalFormatting sqref="V66">
    <cfRule type="cellIs" dxfId="22835" priority="167436" stopIfTrue="1" operator="equal">
      <formula>-1</formula>
    </cfRule>
  </conditionalFormatting>
  <conditionalFormatting sqref="V66">
    <cfRule type="cellIs" dxfId="22834" priority="167437" stopIfTrue="1" operator="lessThan">
      <formula>0.5</formula>
    </cfRule>
  </conditionalFormatting>
  <conditionalFormatting sqref="V66">
    <cfRule type="cellIs" dxfId="22833" priority="167438" stopIfTrue="1" operator="greaterThanOrEqual">
      <formula>0.5</formula>
    </cfRule>
  </conditionalFormatting>
  <conditionalFormatting sqref="V67">
    <cfRule type="cellIs" dxfId="22832" priority="167439" stopIfTrue="1" operator="equal">
      <formula>-1</formula>
    </cfRule>
  </conditionalFormatting>
  <conditionalFormatting sqref="V67">
    <cfRule type="cellIs" dxfId="22831" priority="167440" stopIfTrue="1" operator="lessThan">
      <formula>0.5</formula>
    </cfRule>
  </conditionalFormatting>
  <conditionalFormatting sqref="V67">
    <cfRule type="cellIs" dxfId="22830" priority="167441" stopIfTrue="1" operator="greaterThanOrEqual">
      <formula>0.5</formula>
    </cfRule>
  </conditionalFormatting>
  <conditionalFormatting sqref="V68">
    <cfRule type="cellIs" dxfId="22829" priority="167442" stopIfTrue="1" operator="equal">
      <formula>-1</formula>
    </cfRule>
  </conditionalFormatting>
  <conditionalFormatting sqref="V68">
    <cfRule type="cellIs" dxfId="22828" priority="167443" stopIfTrue="1" operator="lessThan">
      <formula>0.5</formula>
    </cfRule>
  </conditionalFormatting>
  <conditionalFormatting sqref="V68">
    <cfRule type="cellIs" dxfId="22827" priority="167444" stopIfTrue="1" operator="greaterThanOrEqual">
      <formula>0.5</formula>
    </cfRule>
  </conditionalFormatting>
  <conditionalFormatting sqref="V69">
    <cfRule type="cellIs" dxfId="22826" priority="167445" stopIfTrue="1" operator="equal">
      <formula>-1</formula>
    </cfRule>
  </conditionalFormatting>
  <conditionalFormatting sqref="V69">
    <cfRule type="cellIs" dxfId="22825" priority="167446" stopIfTrue="1" operator="lessThan">
      <formula>0.5</formula>
    </cfRule>
  </conditionalFormatting>
  <conditionalFormatting sqref="V69">
    <cfRule type="cellIs" dxfId="22824" priority="167447" stopIfTrue="1" operator="greaterThanOrEqual">
      <formula>0.5</formula>
    </cfRule>
  </conditionalFormatting>
  <conditionalFormatting sqref="V70">
    <cfRule type="cellIs" dxfId="22823" priority="167448" stopIfTrue="1" operator="equal">
      <formula>-1</formula>
    </cfRule>
  </conditionalFormatting>
  <conditionalFormatting sqref="V70">
    <cfRule type="cellIs" dxfId="22822" priority="167449" stopIfTrue="1" operator="lessThan">
      <formula>0.5</formula>
    </cfRule>
  </conditionalFormatting>
  <conditionalFormatting sqref="V70">
    <cfRule type="cellIs" dxfId="22821" priority="167450" stopIfTrue="1" operator="greaterThanOrEqual">
      <formula>0.5</formula>
    </cfRule>
  </conditionalFormatting>
  <conditionalFormatting sqref="V71">
    <cfRule type="cellIs" dxfId="22820" priority="167451" stopIfTrue="1" operator="equal">
      <formula>-1</formula>
    </cfRule>
  </conditionalFormatting>
  <conditionalFormatting sqref="V71">
    <cfRule type="cellIs" dxfId="22819" priority="167452" stopIfTrue="1" operator="lessThan">
      <formula>0.5</formula>
    </cfRule>
  </conditionalFormatting>
  <conditionalFormatting sqref="V71">
    <cfRule type="cellIs" dxfId="22818" priority="167453" stopIfTrue="1" operator="greaterThanOrEqual">
      <formula>0.5</formula>
    </cfRule>
  </conditionalFormatting>
  <conditionalFormatting sqref="V72">
    <cfRule type="cellIs" dxfId="22817" priority="167454" stopIfTrue="1" operator="equal">
      <formula>-1</formula>
    </cfRule>
  </conditionalFormatting>
  <conditionalFormatting sqref="V72">
    <cfRule type="cellIs" dxfId="22816" priority="167455" stopIfTrue="1" operator="lessThan">
      <formula>0.5</formula>
    </cfRule>
  </conditionalFormatting>
  <conditionalFormatting sqref="V72">
    <cfRule type="cellIs" dxfId="22815" priority="167456" stopIfTrue="1" operator="greaterThanOrEqual">
      <formula>0.5</formula>
    </cfRule>
  </conditionalFormatting>
  <conditionalFormatting sqref="V73">
    <cfRule type="cellIs" dxfId="22814" priority="167457" stopIfTrue="1" operator="equal">
      <formula>-1</formula>
    </cfRule>
  </conditionalFormatting>
  <conditionalFormatting sqref="V73">
    <cfRule type="cellIs" dxfId="22813" priority="167458" stopIfTrue="1" operator="lessThan">
      <formula>0.5</formula>
    </cfRule>
  </conditionalFormatting>
  <conditionalFormatting sqref="V73">
    <cfRule type="cellIs" dxfId="22812" priority="167459" stopIfTrue="1" operator="greaterThanOrEqual">
      <formula>0.5</formula>
    </cfRule>
  </conditionalFormatting>
  <conditionalFormatting sqref="V74">
    <cfRule type="cellIs" dxfId="22811" priority="167460" stopIfTrue="1" operator="equal">
      <formula>-1</formula>
    </cfRule>
  </conditionalFormatting>
  <conditionalFormatting sqref="V74">
    <cfRule type="cellIs" dxfId="22810" priority="167461" stopIfTrue="1" operator="lessThan">
      <formula>0.5</formula>
    </cfRule>
  </conditionalFormatting>
  <conditionalFormatting sqref="V74">
    <cfRule type="cellIs" dxfId="22809" priority="167462" stopIfTrue="1" operator="greaterThanOrEqual">
      <formula>0.5</formula>
    </cfRule>
  </conditionalFormatting>
  <conditionalFormatting sqref="V75">
    <cfRule type="cellIs" dxfId="22808" priority="167463" stopIfTrue="1" operator="equal">
      <formula>-1</formula>
    </cfRule>
  </conditionalFormatting>
  <conditionalFormatting sqref="V75">
    <cfRule type="cellIs" dxfId="22807" priority="167464" stopIfTrue="1" operator="lessThan">
      <formula>0.5</formula>
    </cfRule>
  </conditionalFormatting>
  <conditionalFormatting sqref="V75">
    <cfRule type="cellIs" dxfId="22806" priority="167465" stopIfTrue="1" operator="greaterThanOrEqual">
      <formula>0.5</formula>
    </cfRule>
  </conditionalFormatting>
  <conditionalFormatting sqref="V76">
    <cfRule type="cellIs" dxfId="22805" priority="167466" stopIfTrue="1" operator="equal">
      <formula>-1</formula>
    </cfRule>
  </conditionalFormatting>
  <conditionalFormatting sqref="V76">
    <cfRule type="cellIs" dxfId="22804" priority="167467" stopIfTrue="1" operator="lessThan">
      <formula>0.5</formula>
    </cfRule>
  </conditionalFormatting>
  <conditionalFormatting sqref="V76">
    <cfRule type="cellIs" dxfId="22803" priority="167468" stopIfTrue="1" operator="greaterThanOrEqual">
      <formula>0.5</formula>
    </cfRule>
  </conditionalFormatting>
  <conditionalFormatting sqref="V77">
    <cfRule type="cellIs" dxfId="22802" priority="167469" stopIfTrue="1" operator="equal">
      <formula>-1</formula>
    </cfRule>
  </conditionalFormatting>
  <conditionalFormatting sqref="V77">
    <cfRule type="cellIs" dxfId="22801" priority="167470" stopIfTrue="1" operator="lessThan">
      <formula>0.5</formula>
    </cfRule>
  </conditionalFormatting>
  <conditionalFormatting sqref="V77">
    <cfRule type="cellIs" dxfId="22800" priority="167471" stopIfTrue="1" operator="greaterThanOrEqual">
      <formula>0.5</formula>
    </cfRule>
  </conditionalFormatting>
  <conditionalFormatting sqref="V78">
    <cfRule type="cellIs" dxfId="22799" priority="167472" stopIfTrue="1" operator="equal">
      <formula>-1</formula>
    </cfRule>
  </conditionalFormatting>
  <conditionalFormatting sqref="V78">
    <cfRule type="cellIs" dxfId="22798" priority="167473" stopIfTrue="1" operator="lessThan">
      <formula>0.5</formula>
    </cfRule>
  </conditionalFormatting>
  <conditionalFormatting sqref="V78">
    <cfRule type="cellIs" dxfId="22797" priority="167474" stopIfTrue="1" operator="greaterThanOrEqual">
      <formula>0.5</formula>
    </cfRule>
  </conditionalFormatting>
  <conditionalFormatting sqref="V79">
    <cfRule type="cellIs" dxfId="22796" priority="167475" stopIfTrue="1" operator="equal">
      <formula>-1</formula>
    </cfRule>
  </conditionalFormatting>
  <conditionalFormatting sqref="V79">
    <cfRule type="cellIs" dxfId="22795" priority="167476" stopIfTrue="1" operator="lessThan">
      <formula>0.5</formula>
    </cfRule>
  </conditionalFormatting>
  <conditionalFormatting sqref="V79">
    <cfRule type="cellIs" dxfId="22794" priority="167477" stopIfTrue="1" operator="greaterThanOrEqual">
      <formula>0.5</formula>
    </cfRule>
  </conditionalFormatting>
  <conditionalFormatting sqref="V80">
    <cfRule type="cellIs" dxfId="22793" priority="167478" stopIfTrue="1" operator="equal">
      <formula>-1</formula>
    </cfRule>
  </conditionalFormatting>
  <conditionalFormatting sqref="V80">
    <cfRule type="cellIs" dxfId="22792" priority="167479" stopIfTrue="1" operator="lessThan">
      <formula>0.5</formula>
    </cfRule>
  </conditionalFormatting>
  <conditionalFormatting sqref="V80">
    <cfRule type="cellIs" dxfId="22791" priority="167480" stopIfTrue="1" operator="greaterThanOrEqual">
      <formula>0.5</formula>
    </cfRule>
  </conditionalFormatting>
  <conditionalFormatting sqref="V81">
    <cfRule type="cellIs" dxfId="22790" priority="167481" stopIfTrue="1" operator="equal">
      <formula>-1</formula>
    </cfRule>
  </conditionalFormatting>
  <conditionalFormatting sqref="V81">
    <cfRule type="cellIs" dxfId="22789" priority="167482" stopIfTrue="1" operator="lessThan">
      <formula>0.5</formula>
    </cfRule>
  </conditionalFormatting>
  <conditionalFormatting sqref="V81">
    <cfRule type="cellIs" dxfId="22788" priority="167483" stopIfTrue="1" operator="greaterThanOrEqual">
      <formula>0.5</formula>
    </cfRule>
  </conditionalFormatting>
  <conditionalFormatting sqref="V82">
    <cfRule type="cellIs" dxfId="22787" priority="167484" stopIfTrue="1" operator="equal">
      <formula>-1</formula>
    </cfRule>
  </conditionalFormatting>
  <conditionalFormatting sqref="V82">
    <cfRule type="cellIs" dxfId="22786" priority="167485" stopIfTrue="1" operator="lessThan">
      <formula>0.5</formula>
    </cfRule>
  </conditionalFormatting>
  <conditionalFormatting sqref="V82">
    <cfRule type="cellIs" dxfId="22785" priority="167486" stopIfTrue="1" operator="greaterThanOrEqual">
      <formula>0.5</formula>
    </cfRule>
  </conditionalFormatting>
  <conditionalFormatting sqref="V83">
    <cfRule type="cellIs" dxfId="22784" priority="167487" stopIfTrue="1" operator="equal">
      <formula>-1</formula>
    </cfRule>
  </conditionalFormatting>
  <conditionalFormatting sqref="V83">
    <cfRule type="cellIs" dxfId="22783" priority="167488" stopIfTrue="1" operator="lessThan">
      <formula>0.5</formula>
    </cfRule>
  </conditionalFormatting>
  <conditionalFormatting sqref="V83">
    <cfRule type="cellIs" dxfId="22782" priority="167489" stopIfTrue="1" operator="greaterThanOrEqual">
      <formula>0.5</formula>
    </cfRule>
  </conditionalFormatting>
  <conditionalFormatting sqref="V84">
    <cfRule type="cellIs" dxfId="22781" priority="167490" stopIfTrue="1" operator="equal">
      <formula>-1</formula>
    </cfRule>
  </conditionalFormatting>
  <conditionalFormatting sqref="V84">
    <cfRule type="cellIs" dxfId="22780" priority="167491" stopIfTrue="1" operator="lessThan">
      <formula>0.5</formula>
    </cfRule>
  </conditionalFormatting>
  <conditionalFormatting sqref="V84">
    <cfRule type="cellIs" dxfId="22779" priority="167492" stopIfTrue="1" operator="greaterThanOrEqual">
      <formula>0.5</formula>
    </cfRule>
  </conditionalFormatting>
  <conditionalFormatting sqref="V85">
    <cfRule type="cellIs" dxfId="22778" priority="167493" stopIfTrue="1" operator="equal">
      <formula>-1</formula>
    </cfRule>
  </conditionalFormatting>
  <conditionalFormatting sqref="V85">
    <cfRule type="cellIs" dxfId="22777" priority="167494" stopIfTrue="1" operator="lessThan">
      <formula>0.5</formula>
    </cfRule>
  </conditionalFormatting>
  <conditionalFormatting sqref="V85">
    <cfRule type="cellIs" dxfId="22776" priority="167495" stopIfTrue="1" operator="greaterThanOrEqual">
      <formula>0.5</formula>
    </cfRule>
  </conditionalFormatting>
  <conditionalFormatting sqref="X65">
    <cfRule type="cellIs" dxfId="22775" priority="167496" stopIfTrue="1" operator="equal">
      <formula>-1</formula>
    </cfRule>
  </conditionalFormatting>
  <conditionalFormatting sqref="X65">
    <cfRule type="cellIs" dxfId="22774" priority="167497" stopIfTrue="1" operator="lessThan">
      <formula>0.5</formula>
    </cfRule>
  </conditionalFormatting>
  <conditionalFormatting sqref="X65">
    <cfRule type="cellIs" dxfId="22773" priority="167498" stopIfTrue="1" operator="greaterThanOrEqual">
      <formula>0.5</formula>
    </cfRule>
  </conditionalFormatting>
  <conditionalFormatting sqref="X66">
    <cfRule type="cellIs" dxfId="22772" priority="167499" stopIfTrue="1" operator="equal">
      <formula>-1</formula>
    </cfRule>
  </conditionalFormatting>
  <conditionalFormatting sqref="X66">
    <cfRule type="cellIs" dxfId="22771" priority="167500" stopIfTrue="1" operator="lessThan">
      <formula>0.5</formula>
    </cfRule>
  </conditionalFormatting>
  <conditionalFormatting sqref="X66">
    <cfRule type="cellIs" dxfId="22770" priority="167501" stopIfTrue="1" operator="greaterThanOrEqual">
      <formula>0.5</formula>
    </cfRule>
  </conditionalFormatting>
  <conditionalFormatting sqref="X67">
    <cfRule type="cellIs" dxfId="22769" priority="167502" stopIfTrue="1" operator="equal">
      <formula>-1</formula>
    </cfRule>
  </conditionalFormatting>
  <conditionalFormatting sqref="X67">
    <cfRule type="cellIs" dxfId="22768" priority="167503" stopIfTrue="1" operator="lessThan">
      <formula>0.5</formula>
    </cfRule>
  </conditionalFormatting>
  <conditionalFormatting sqref="X67">
    <cfRule type="cellIs" dxfId="22767" priority="167504" stopIfTrue="1" operator="greaterThanOrEqual">
      <formula>0.5</formula>
    </cfRule>
  </conditionalFormatting>
  <conditionalFormatting sqref="X68">
    <cfRule type="cellIs" dxfId="22766" priority="167505" stopIfTrue="1" operator="equal">
      <formula>-1</formula>
    </cfRule>
  </conditionalFormatting>
  <conditionalFormatting sqref="X68">
    <cfRule type="cellIs" dxfId="22765" priority="167506" stopIfTrue="1" operator="lessThan">
      <formula>0.5</formula>
    </cfRule>
  </conditionalFormatting>
  <conditionalFormatting sqref="X68">
    <cfRule type="cellIs" dxfId="22764" priority="167507" stopIfTrue="1" operator="greaterThanOrEqual">
      <formula>0.5</formula>
    </cfRule>
  </conditionalFormatting>
  <conditionalFormatting sqref="X69">
    <cfRule type="cellIs" dxfId="22763" priority="167508" stopIfTrue="1" operator="equal">
      <formula>-1</formula>
    </cfRule>
  </conditionalFormatting>
  <conditionalFormatting sqref="X69">
    <cfRule type="cellIs" dxfId="22762" priority="167509" stopIfTrue="1" operator="lessThan">
      <formula>0.5</formula>
    </cfRule>
  </conditionalFormatting>
  <conditionalFormatting sqref="X69">
    <cfRule type="cellIs" dxfId="22761" priority="167510" stopIfTrue="1" operator="greaterThanOrEqual">
      <formula>0.5</formula>
    </cfRule>
  </conditionalFormatting>
  <conditionalFormatting sqref="X70">
    <cfRule type="cellIs" dxfId="22760" priority="167511" stopIfTrue="1" operator="equal">
      <formula>-1</formula>
    </cfRule>
  </conditionalFormatting>
  <conditionalFormatting sqref="X70">
    <cfRule type="cellIs" dxfId="22759" priority="167512" stopIfTrue="1" operator="lessThan">
      <formula>0.5</formula>
    </cfRule>
  </conditionalFormatting>
  <conditionalFormatting sqref="X70">
    <cfRule type="cellIs" dxfId="22758" priority="167513" stopIfTrue="1" operator="greaterThanOrEqual">
      <formula>0.5</formula>
    </cfRule>
  </conditionalFormatting>
  <conditionalFormatting sqref="X71">
    <cfRule type="cellIs" dxfId="22757" priority="167514" stopIfTrue="1" operator="equal">
      <formula>-1</formula>
    </cfRule>
  </conditionalFormatting>
  <conditionalFormatting sqref="X71">
    <cfRule type="cellIs" dxfId="22756" priority="167515" stopIfTrue="1" operator="lessThan">
      <formula>0.5</formula>
    </cfRule>
  </conditionalFormatting>
  <conditionalFormatting sqref="X71">
    <cfRule type="cellIs" dxfId="22755" priority="167516" stopIfTrue="1" operator="greaterThanOrEqual">
      <formula>0.5</formula>
    </cfRule>
  </conditionalFormatting>
  <conditionalFormatting sqref="X72">
    <cfRule type="cellIs" dxfId="22754" priority="167517" stopIfTrue="1" operator="equal">
      <formula>-1</formula>
    </cfRule>
  </conditionalFormatting>
  <conditionalFormatting sqref="X72">
    <cfRule type="cellIs" dxfId="22753" priority="167518" stopIfTrue="1" operator="lessThan">
      <formula>0.5</formula>
    </cfRule>
  </conditionalFormatting>
  <conditionalFormatting sqref="X72">
    <cfRule type="cellIs" dxfId="22752" priority="167519" stopIfTrue="1" operator="greaterThanOrEqual">
      <formula>0.5</formula>
    </cfRule>
  </conditionalFormatting>
  <conditionalFormatting sqref="X73">
    <cfRule type="cellIs" dxfId="22751" priority="167520" stopIfTrue="1" operator="equal">
      <formula>-1</formula>
    </cfRule>
  </conditionalFormatting>
  <conditionalFormatting sqref="X73">
    <cfRule type="cellIs" dxfId="22750" priority="167521" stopIfTrue="1" operator="lessThan">
      <formula>0.5</formula>
    </cfRule>
  </conditionalFormatting>
  <conditionalFormatting sqref="X73">
    <cfRule type="cellIs" dxfId="22749" priority="167522" stopIfTrue="1" operator="greaterThanOrEqual">
      <formula>0.5</formula>
    </cfRule>
  </conditionalFormatting>
  <conditionalFormatting sqref="X74">
    <cfRule type="cellIs" dxfId="22748" priority="167523" stopIfTrue="1" operator="equal">
      <formula>-1</formula>
    </cfRule>
  </conditionalFormatting>
  <conditionalFormatting sqref="X74">
    <cfRule type="cellIs" dxfId="22747" priority="167524" stopIfTrue="1" operator="lessThan">
      <formula>0.5</formula>
    </cfRule>
  </conditionalFormatting>
  <conditionalFormatting sqref="X74">
    <cfRule type="cellIs" dxfId="22746" priority="167525" stopIfTrue="1" operator="greaterThanOrEqual">
      <formula>0.5</formula>
    </cfRule>
  </conditionalFormatting>
  <conditionalFormatting sqref="X75">
    <cfRule type="cellIs" dxfId="22745" priority="167526" stopIfTrue="1" operator="equal">
      <formula>-1</formula>
    </cfRule>
  </conditionalFormatting>
  <conditionalFormatting sqref="X75">
    <cfRule type="cellIs" dxfId="22744" priority="167527" stopIfTrue="1" operator="lessThan">
      <formula>0.5</formula>
    </cfRule>
  </conditionalFormatting>
  <conditionalFormatting sqref="X75">
    <cfRule type="cellIs" dxfId="22743" priority="167528" stopIfTrue="1" operator="greaterThanOrEqual">
      <formula>0.5</formula>
    </cfRule>
  </conditionalFormatting>
  <conditionalFormatting sqref="X76">
    <cfRule type="cellIs" dxfId="22742" priority="167529" stopIfTrue="1" operator="equal">
      <formula>-1</formula>
    </cfRule>
  </conditionalFormatting>
  <conditionalFormatting sqref="X76">
    <cfRule type="cellIs" dxfId="22741" priority="167530" stopIfTrue="1" operator="lessThan">
      <formula>0.5</formula>
    </cfRule>
  </conditionalFormatting>
  <conditionalFormatting sqref="X76">
    <cfRule type="cellIs" dxfId="22740" priority="167531" stopIfTrue="1" operator="greaterThanOrEqual">
      <formula>0.5</formula>
    </cfRule>
  </conditionalFormatting>
  <conditionalFormatting sqref="X77">
    <cfRule type="cellIs" dxfId="22739" priority="167532" stopIfTrue="1" operator="equal">
      <formula>-1</formula>
    </cfRule>
  </conditionalFormatting>
  <conditionalFormatting sqref="X77">
    <cfRule type="cellIs" dxfId="22738" priority="167533" stopIfTrue="1" operator="lessThan">
      <formula>0.5</formula>
    </cfRule>
  </conditionalFormatting>
  <conditionalFormatting sqref="X77">
    <cfRule type="cellIs" dxfId="22737" priority="167534" stopIfTrue="1" operator="greaterThanOrEqual">
      <formula>0.5</formula>
    </cfRule>
  </conditionalFormatting>
  <conditionalFormatting sqref="X78">
    <cfRule type="cellIs" dxfId="22736" priority="167535" stopIfTrue="1" operator="equal">
      <formula>-1</formula>
    </cfRule>
  </conditionalFormatting>
  <conditionalFormatting sqref="X78">
    <cfRule type="cellIs" dxfId="22735" priority="167536" stopIfTrue="1" operator="lessThan">
      <formula>0.5</formula>
    </cfRule>
  </conditionalFormatting>
  <conditionalFormatting sqref="X78">
    <cfRule type="cellIs" dxfId="22734" priority="167537" stopIfTrue="1" operator="greaterThanOrEqual">
      <formula>0.5</formula>
    </cfRule>
  </conditionalFormatting>
  <conditionalFormatting sqref="X79">
    <cfRule type="cellIs" dxfId="22733" priority="167538" stopIfTrue="1" operator="equal">
      <formula>-1</formula>
    </cfRule>
  </conditionalFormatting>
  <conditionalFormatting sqref="X79">
    <cfRule type="cellIs" dxfId="22732" priority="167539" stopIfTrue="1" operator="lessThan">
      <formula>0.5</formula>
    </cfRule>
  </conditionalFormatting>
  <conditionalFormatting sqref="X79">
    <cfRule type="cellIs" dxfId="22731" priority="167540" stopIfTrue="1" operator="greaterThanOrEqual">
      <formula>0.5</formula>
    </cfRule>
  </conditionalFormatting>
  <conditionalFormatting sqref="X80">
    <cfRule type="cellIs" dxfId="22730" priority="167541" stopIfTrue="1" operator="equal">
      <formula>-1</formula>
    </cfRule>
  </conditionalFormatting>
  <conditionalFormatting sqref="X80">
    <cfRule type="cellIs" dxfId="22729" priority="167542" stopIfTrue="1" operator="lessThan">
      <formula>0.5</formula>
    </cfRule>
  </conditionalFormatting>
  <conditionalFormatting sqref="X80">
    <cfRule type="cellIs" dxfId="22728" priority="167543" stopIfTrue="1" operator="greaterThanOrEqual">
      <formula>0.5</formula>
    </cfRule>
  </conditionalFormatting>
  <conditionalFormatting sqref="X81">
    <cfRule type="cellIs" dxfId="22727" priority="167544" stopIfTrue="1" operator="equal">
      <formula>-1</formula>
    </cfRule>
  </conditionalFormatting>
  <conditionalFormatting sqref="X81">
    <cfRule type="cellIs" dxfId="22726" priority="167545" stopIfTrue="1" operator="lessThan">
      <formula>0.5</formula>
    </cfRule>
  </conditionalFormatting>
  <conditionalFormatting sqref="X81">
    <cfRule type="cellIs" dxfId="22725" priority="167546" stopIfTrue="1" operator="greaterThanOrEqual">
      <formula>0.5</formula>
    </cfRule>
  </conditionalFormatting>
  <conditionalFormatting sqref="X82">
    <cfRule type="cellIs" dxfId="22724" priority="167547" stopIfTrue="1" operator="equal">
      <formula>-1</formula>
    </cfRule>
  </conditionalFormatting>
  <conditionalFormatting sqref="X82">
    <cfRule type="cellIs" dxfId="22723" priority="167548" stopIfTrue="1" operator="lessThan">
      <formula>0.5</formula>
    </cfRule>
  </conditionalFormatting>
  <conditionalFormatting sqref="X82">
    <cfRule type="cellIs" dxfId="22722" priority="167549" stopIfTrue="1" operator="greaterThanOrEqual">
      <formula>0.5</formula>
    </cfRule>
  </conditionalFormatting>
  <conditionalFormatting sqref="X83">
    <cfRule type="cellIs" dxfId="22721" priority="167550" stopIfTrue="1" operator="equal">
      <formula>-1</formula>
    </cfRule>
  </conditionalFormatting>
  <conditionalFormatting sqref="X83">
    <cfRule type="cellIs" dxfId="22720" priority="167551" stopIfTrue="1" operator="lessThan">
      <formula>0.5</formula>
    </cfRule>
  </conditionalFormatting>
  <conditionalFormatting sqref="X83">
    <cfRule type="cellIs" dxfId="22719" priority="167552" stopIfTrue="1" operator="greaterThanOrEqual">
      <formula>0.5</formula>
    </cfRule>
  </conditionalFormatting>
  <conditionalFormatting sqref="X84">
    <cfRule type="cellIs" dxfId="22718" priority="167553" stopIfTrue="1" operator="equal">
      <formula>-1</formula>
    </cfRule>
  </conditionalFormatting>
  <conditionalFormatting sqref="X84">
    <cfRule type="cellIs" dxfId="22717" priority="167554" stopIfTrue="1" operator="lessThan">
      <formula>0.5</formula>
    </cfRule>
  </conditionalFormatting>
  <conditionalFormatting sqref="X84">
    <cfRule type="cellIs" dxfId="22716" priority="167555" stopIfTrue="1" operator="greaterThanOrEqual">
      <formula>0.5</formula>
    </cfRule>
  </conditionalFormatting>
  <conditionalFormatting sqref="X85">
    <cfRule type="cellIs" dxfId="22715" priority="167556" stopIfTrue="1" operator="equal">
      <formula>-1</formula>
    </cfRule>
  </conditionalFormatting>
  <conditionalFormatting sqref="X85">
    <cfRule type="cellIs" dxfId="22714" priority="167557" stopIfTrue="1" operator="lessThan">
      <formula>0.5</formula>
    </cfRule>
  </conditionalFormatting>
  <conditionalFormatting sqref="X85">
    <cfRule type="cellIs" dxfId="22713" priority="167558" stopIfTrue="1" operator="greaterThanOrEqual">
      <formula>0.5</formula>
    </cfRule>
  </conditionalFormatting>
  <conditionalFormatting sqref="Z65">
    <cfRule type="cellIs" dxfId="22712" priority="167559" stopIfTrue="1" operator="equal">
      <formula>-1</formula>
    </cfRule>
  </conditionalFormatting>
  <conditionalFormatting sqref="Z65">
    <cfRule type="cellIs" dxfId="22711" priority="167560" stopIfTrue="1" operator="lessThan">
      <formula>0.5</formula>
    </cfRule>
  </conditionalFormatting>
  <conditionalFormatting sqref="Z65">
    <cfRule type="cellIs" dxfId="22710" priority="167561" stopIfTrue="1" operator="greaterThanOrEqual">
      <formula>0.5</formula>
    </cfRule>
  </conditionalFormatting>
  <conditionalFormatting sqref="Z66">
    <cfRule type="cellIs" dxfId="22709" priority="167562" stopIfTrue="1" operator="equal">
      <formula>-1</formula>
    </cfRule>
  </conditionalFormatting>
  <conditionalFormatting sqref="Z66">
    <cfRule type="cellIs" dxfId="22708" priority="167563" stopIfTrue="1" operator="lessThan">
      <formula>0.5</formula>
    </cfRule>
  </conditionalFormatting>
  <conditionalFormatting sqref="Z66">
    <cfRule type="cellIs" dxfId="22707" priority="167564" stopIfTrue="1" operator="greaterThanOrEqual">
      <formula>0.5</formula>
    </cfRule>
  </conditionalFormatting>
  <conditionalFormatting sqref="Z67">
    <cfRule type="cellIs" dxfId="22706" priority="167565" stopIfTrue="1" operator="equal">
      <formula>-1</formula>
    </cfRule>
  </conditionalFormatting>
  <conditionalFormatting sqref="Z67">
    <cfRule type="cellIs" dxfId="22705" priority="167566" stopIfTrue="1" operator="lessThan">
      <formula>0.5</formula>
    </cfRule>
  </conditionalFormatting>
  <conditionalFormatting sqref="Z67">
    <cfRule type="cellIs" dxfId="22704" priority="167567" stopIfTrue="1" operator="greaterThanOrEqual">
      <formula>0.5</formula>
    </cfRule>
  </conditionalFormatting>
  <conditionalFormatting sqref="Z68">
    <cfRule type="cellIs" dxfId="22703" priority="167568" stopIfTrue="1" operator="equal">
      <formula>-1</formula>
    </cfRule>
  </conditionalFormatting>
  <conditionalFormatting sqref="Z68">
    <cfRule type="cellIs" dxfId="22702" priority="167569" stopIfTrue="1" operator="lessThan">
      <formula>0.5</formula>
    </cfRule>
  </conditionalFormatting>
  <conditionalFormatting sqref="Z68">
    <cfRule type="cellIs" dxfId="22701" priority="167570" stopIfTrue="1" operator="greaterThanOrEqual">
      <formula>0.5</formula>
    </cfRule>
  </conditionalFormatting>
  <conditionalFormatting sqref="Z69">
    <cfRule type="cellIs" dxfId="22700" priority="167571" stopIfTrue="1" operator="equal">
      <formula>-1</formula>
    </cfRule>
  </conditionalFormatting>
  <conditionalFormatting sqref="Z69">
    <cfRule type="cellIs" dxfId="22699" priority="167572" stopIfTrue="1" operator="lessThan">
      <formula>0.5</formula>
    </cfRule>
  </conditionalFormatting>
  <conditionalFormatting sqref="Z69">
    <cfRule type="cellIs" dxfId="22698" priority="167573" stopIfTrue="1" operator="greaterThanOrEqual">
      <formula>0.5</formula>
    </cfRule>
  </conditionalFormatting>
  <conditionalFormatting sqref="Z70">
    <cfRule type="cellIs" dxfId="22697" priority="167574" stopIfTrue="1" operator="equal">
      <formula>-1</formula>
    </cfRule>
  </conditionalFormatting>
  <conditionalFormatting sqref="Z70">
    <cfRule type="cellIs" dxfId="22696" priority="167575" stopIfTrue="1" operator="lessThan">
      <formula>0.5</formula>
    </cfRule>
  </conditionalFormatting>
  <conditionalFormatting sqref="Z70">
    <cfRule type="cellIs" dxfId="22695" priority="167576" stopIfTrue="1" operator="greaterThanOrEqual">
      <formula>0.5</formula>
    </cfRule>
  </conditionalFormatting>
  <conditionalFormatting sqref="Z71">
    <cfRule type="cellIs" dxfId="22694" priority="167577" stopIfTrue="1" operator="equal">
      <formula>-1</formula>
    </cfRule>
  </conditionalFormatting>
  <conditionalFormatting sqref="Z71">
    <cfRule type="cellIs" dxfId="22693" priority="167578" stopIfTrue="1" operator="lessThan">
      <formula>0.5</formula>
    </cfRule>
  </conditionalFormatting>
  <conditionalFormatting sqref="Z71">
    <cfRule type="cellIs" dxfId="22692" priority="167579" stopIfTrue="1" operator="greaterThanOrEqual">
      <formula>0.5</formula>
    </cfRule>
  </conditionalFormatting>
  <conditionalFormatting sqref="Z72">
    <cfRule type="cellIs" dxfId="22691" priority="167580" stopIfTrue="1" operator="equal">
      <formula>-1</formula>
    </cfRule>
  </conditionalFormatting>
  <conditionalFormatting sqref="Z72">
    <cfRule type="cellIs" dxfId="22690" priority="167581" stopIfTrue="1" operator="lessThan">
      <formula>0.5</formula>
    </cfRule>
  </conditionalFormatting>
  <conditionalFormatting sqref="Z72">
    <cfRule type="cellIs" dxfId="22689" priority="167582" stopIfTrue="1" operator="greaterThanOrEqual">
      <formula>0.5</formula>
    </cfRule>
  </conditionalFormatting>
  <conditionalFormatting sqref="Z73">
    <cfRule type="cellIs" dxfId="22688" priority="167583" stopIfTrue="1" operator="equal">
      <formula>-1</formula>
    </cfRule>
  </conditionalFormatting>
  <conditionalFormatting sqref="Z73">
    <cfRule type="cellIs" dxfId="22687" priority="167584" stopIfTrue="1" operator="lessThan">
      <formula>0.5</formula>
    </cfRule>
  </conditionalFormatting>
  <conditionalFormatting sqref="Z73">
    <cfRule type="cellIs" dxfId="22686" priority="167585" stopIfTrue="1" operator="greaterThanOrEqual">
      <formula>0.5</formula>
    </cfRule>
  </conditionalFormatting>
  <conditionalFormatting sqref="Z74">
    <cfRule type="cellIs" dxfId="22685" priority="167586" stopIfTrue="1" operator="equal">
      <formula>-1</formula>
    </cfRule>
  </conditionalFormatting>
  <conditionalFormatting sqref="Z74">
    <cfRule type="cellIs" dxfId="22684" priority="167587" stopIfTrue="1" operator="lessThan">
      <formula>0.5</formula>
    </cfRule>
  </conditionalFormatting>
  <conditionalFormatting sqref="Z74">
    <cfRule type="cellIs" dxfId="22683" priority="167588" stopIfTrue="1" operator="greaterThanOrEqual">
      <formula>0.5</formula>
    </cfRule>
  </conditionalFormatting>
  <conditionalFormatting sqref="Z75">
    <cfRule type="cellIs" dxfId="22682" priority="167589" stopIfTrue="1" operator="equal">
      <formula>-1</formula>
    </cfRule>
  </conditionalFormatting>
  <conditionalFormatting sqref="Z75">
    <cfRule type="cellIs" dxfId="22681" priority="167590" stopIfTrue="1" operator="lessThan">
      <formula>0.5</formula>
    </cfRule>
  </conditionalFormatting>
  <conditionalFormatting sqref="Z75">
    <cfRule type="cellIs" dxfId="22680" priority="167591" stopIfTrue="1" operator="greaterThanOrEqual">
      <formula>0.5</formula>
    </cfRule>
  </conditionalFormatting>
  <conditionalFormatting sqref="Z76">
    <cfRule type="cellIs" dxfId="22679" priority="167592" stopIfTrue="1" operator="equal">
      <formula>-1</formula>
    </cfRule>
  </conditionalFormatting>
  <conditionalFormatting sqref="Z76">
    <cfRule type="cellIs" dxfId="22678" priority="167593" stopIfTrue="1" operator="lessThan">
      <formula>0.5</formula>
    </cfRule>
  </conditionalFormatting>
  <conditionalFormatting sqref="Z76">
    <cfRule type="cellIs" dxfId="22677" priority="167594" stopIfTrue="1" operator="greaterThanOrEqual">
      <formula>0.5</formula>
    </cfRule>
  </conditionalFormatting>
  <conditionalFormatting sqref="Z77">
    <cfRule type="cellIs" dxfId="22676" priority="167595" stopIfTrue="1" operator="equal">
      <formula>-1</formula>
    </cfRule>
  </conditionalFormatting>
  <conditionalFormatting sqref="Z77">
    <cfRule type="cellIs" dxfId="22675" priority="167596" stopIfTrue="1" operator="lessThan">
      <formula>0.5</formula>
    </cfRule>
  </conditionalFormatting>
  <conditionalFormatting sqref="Z77">
    <cfRule type="cellIs" dxfId="22674" priority="167597" stopIfTrue="1" operator="greaterThanOrEqual">
      <formula>0.5</formula>
    </cfRule>
  </conditionalFormatting>
  <conditionalFormatting sqref="Z78">
    <cfRule type="cellIs" dxfId="22673" priority="167598" stopIfTrue="1" operator="equal">
      <formula>-1</formula>
    </cfRule>
  </conditionalFormatting>
  <conditionalFormatting sqref="Z78">
    <cfRule type="cellIs" dxfId="22672" priority="167599" stopIfTrue="1" operator="lessThan">
      <formula>0.5</formula>
    </cfRule>
  </conditionalFormatting>
  <conditionalFormatting sqref="Z78">
    <cfRule type="cellIs" dxfId="22671" priority="167600" stopIfTrue="1" operator="greaterThanOrEqual">
      <formula>0.5</formula>
    </cfRule>
  </conditionalFormatting>
  <conditionalFormatting sqref="Z79">
    <cfRule type="cellIs" dxfId="22670" priority="167601" stopIfTrue="1" operator="equal">
      <formula>-1</formula>
    </cfRule>
  </conditionalFormatting>
  <conditionalFormatting sqref="Z79">
    <cfRule type="cellIs" dxfId="22669" priority="167602" stopIfTrue="1" operator="lessThan">
      <formula>0.5</formula>
    </cfRule>
  </conditionalFormatting>
  <conditionalFormatting sqref="Z79">
    <cfRule type="cellIs" dxfId="22668" priority="167603" stopIfTrue="1" operator="greaterThanOrEqual">
      <formula>0.5</formula>
    </cfRule>
  </conditionalFormatting>
  <conditionalFormatting sqref="Z80">
    <cfRule type="cellIs" dxfId="22667" priority="167604" stopIfTrue="1" operator="equal">
      <formula>-1</formula>
    </cfRule>
  </conditionalFormatting>
  <conditionalFormatting sqref="Z80">
    <cfRule type="cellIs" dxfId="22666" priority="167605" stopIfTrue="1" operator="lessThan">
      <formula>0.5</formula>
    </cfRule>
  </conditionalFormatting>
  <conditionalFormatting sqref="Z80">
    <cfRule type="cellIs" dxfId="22665" priority="167606" stopIfTrue="1" operator="greaterThanOrEqual">
      <formula>0.5</formula>
    </cfRule>
  </conditionalFormatting>
  <conditionalFormatting sqref="Z81">
    <cfRule type="cellIs" dxfId="22664" priority="167607" stopIfTrue="1" operator="equal">
      <formula>-1</formula>
    </cfRule>
  </conditionalFormatting>
  <conditionalFormatting sqref="Z81">
    <cfRule type="cellIs" dxfId="22663" priority="167608" stopIfTrue="1" operator="lessThan">
      <formula>0.5</formula>
    </cfRule>
  </conditionalFormatting>
  <conditionalFormatting sqref="Z81">
    <cfRule type="cellIs" dxfId="22662" priority="167609" stopIfTrue="1" operator="greaterThanOrEqual">
      <formula>0.5</formula>
    </cfRule>
  </conditionalFormatting>
  <conditionalFormatting sqref="Z82">
    <cfRule type="cellIs" dxfId="22661" priority="167610" stopIfTrue="1" operator="equal">
      <formula>-1</formula>
    </cfRule>
  </conditionalFormatting>
  <conditionalFormatting sqref="Z82">
    <cfRule type="cellIs" dxfId="22660" priority="167611" stopIfTrue="1" operator="lessThan">
      <formula>0.5</formula>
    </cfRule>
  </conditionalFormatting>
  <conditionalFormatting sqref="Z82">
    <cfRule type="cellIs" dxfId="22659" priority="167612" stopIfTrue="1" operator="greaterThanOrEqual">
      <formula>0.5</formula>
    </cfRule>
  </conditionalFormatting>
  <conditionalFormatting sqref="Z83">
    <cfRule type="cellIs" dxfId="22658" priority="167613" stopIfTrue="1" operator="equal">
      <formula>-1</formula>
    </cfRule>
  </conditionalFormatting>
  <conditionalFormatting sqref="Z83">
    <cfRule type="cellIs" dxfId="22657" priority="167614" stopIfTrue="1" operator="lessThan">
      <formula>0.5</formula>
    </cfRule>
  </conditionalFormatting>
  <conditionalFormatting sqref="Z83">
    <cfRule type="cellIs" dxfId="22656" priority="167615" stopIfTrue="1" operator="greaterThanOrEqual">
      <formula>0.5</formula>
    </cfRule>
  </conditionalFormatting>
  <conditionalFormatting sqref="Z84">
    <cfRule type="cellIs" dxfId="22655" priority="167616" stopIfTrue="1" operator="equal">
      <formula>-1</formula>
    </cfRule>
  </conditionalFormatting>
  <conditionalFormatting sqref="Z84">
    <cfRule type="cellIs" dxfId="22654" priority="167617" stopIfTrue="1" operator="lessThan">
      <formula>0.5</formula>
    </cfRule>
  </conditionalFormatting>
  <conditionalFormatting sqref="Z84">
    <cfRule type="cellIs" dxfId="22653" priority="167618" stopIfTrue="1" operator="greaterThanOrEqual">
      <formula>0.5</formula>
    </cfRule>
  </conditionalFormatting>
  <conditionalFormatting sqref="Z85">
    <cfRule type="cellIs" dxfId="22652" priority="167619" stopIfTrue="1" operator="equal">
      <formula>-1</formula>
    </cfRule>
  </conditionalFormatting>
  <conditionalFormatting sqref="Z85">
    <cfRule type="cellIs" dxfId="22651" priority="167620" stopIfTrue="1" operator="lessThan">
      <formula>0.5</formula>
    </cfRule>
  </conditionalFormatting>
  <conditionalFormatting sqref="Z85">
    <cfRule type="cellIs" dxfId="22650" priority="167621" stopIfTrue="1" operator="greaterThanOrEqual">
      <formula>0.5</formula>
    </cfRule>
  </conditionalFormatting>
  <conditionalFormatting sqref="AB65">
    <cfRule type="cellIs" dxfId="22649" priority="167622" stopIfTrue="1" operator="equal">
      <formula>-1</formula>
    </cfRule>
  </conditionalFormatting>
  <conditionalFormatting sqref="AB65">
    <cfRule type="cellIs" dxfId="22648" priority="167623" stopIfTrue="1" operator="lessThan">
      <formula>0.5</formula>
    </cfRule>
  </conditionalFormatting>
  <conditionalFormatting sqref="AB65">
    <cfRule type="cellIs" dxfId="22647" priority="167624" stopIfTrue="1" operator="greaterThanOrEqual">
      <formula>0.5</formula>
    </cfRule>
  </conditionalFormatting>
  <conditionalFormatting sqref="AB66">
    <cfRule type="cellIs" dxfId="22646" priority="167625" stopIfTrue="1" operator="equal">
      <formula>-1</formula>
    </cfRule>
  </conditionalFormatting>
  <conditionalFormatting sqref="AB66">
    <cfRule type="cellIs" dxfId="22645" priority="167626" stopIfTrue="1" operator="lessThan">
      <formula>0.5</formula>
    </cfRule>
  </conditionalFormatting>
  <conditionalFormatting sqref="AB66">
    <cfRule type="cellIs" dxfId="22644" priority="167627" stopIfTrue="1" operator="greaterThanOrEqual">
      <formula>0.5</formula>
    </cfRule>
  </conditionalFormatting>
  <conditionalFormatting sqref="AB67">
    <cfRule type="cellIs" dxfId="22643" priority="167628" stopIfTrue="1" operator="equal">
      <formula>-1</formula>
    </cfRule>
  </conditionalFormatting>
  <conditionalFormatting sqref="AB67">
    <cfRule type="cellIs" dxfId="22642" priority="167629" stopIfTrue="1" operator="lessThan">
      <formula>0.5</formula>
    </cfRule>
  </conditionalFormatting>
  <conditionalFormatting sqref="AB67">
    <cfRule type="cellIs" dxfId="22641" priority="167630" stopIfTrue="1" operator="greaterThanOrEqual">
      <formula>0.5</formula>
    </cfRule>
  </conditionalFormatting>
  <conditionalFormatting sqref="AB68">
    <cfRule type="cellIs" dxfId="22640" priority="167631" stopIfTrue="1" operator="equal">
      <formula>-1</formula>
    </cfRule>
  </conditionalFormatting>
  <conditionalFormatting sqref="AB68">
    <cfRule type="cellIs" dxfId="22639" priority="167632" stopIfTrue="1" operator="lessThan">
      <formula>0.5</formula>
    </cfRule>
  </conditionalFormatting>
  <conditionalFormatting sqref="AB68">
    <cfRule type="cellIs" dxfId="22638" priority="167633" stopIfTrue="1" operator="greaterThanOrEqual">
      <formula>0.5</formula>
    </cfRule>
  </conditionalFormatting>
  <conditionalFormatting sqref="AB69">
    <cfRule type="cellIs" dxfId="22637" priority="167634" stopIfTrue="1" operator="equal">
      <formula>-1</formula>
    </cfRule>
  </conditionalFormatting>
  <conditionalFormatting sqref="AB69">
    <cfRule type="cellIs" dxfId="22636" priority="167635" stopIfTrue="1" operator="lessThan">
      <formula>0.5</formula>
    </cfRule>
  </conditionalFormatting>
  <conditionalFormatting sqref="AB69">
    <cfRule type="cellIs" dxfId="22635" priority="167636" stopIfTrue="1" operator="greaterThanOrEqual">
      <formula>0.5</formula>
    </cfRule>
  </conditionalFormatting>
  <conditionalFormatting sqref="AB70">
    <cfRule type="cellIs" dxfId="22634" priority="167637" stopIfTrue="1" operator="equal">
      <formula>-1</formula>
    </cfRule>
  </conditionalFormatting>
  <conditionalFormatting sqref="AB70">
    <cfRule type="cellIs" dxfId="22633" priority="167638" stopIfTrue="1" operator="lessThan">
      <formula>0.5</formula>
    </cfRule>
  </conditionalFormatting>
  <conditionalFormatting sqref="AB70">
    <cfRule type="cellIs" dxfId="22632" priority="167639" stopIfTrue="1" operator="greaterThanOrEqual">
      <formula>0.5</formula>
    </cfRule>
  </conditionalFormatting>
  <conditionalFormatting sqref="AB71">
    <cfRule type="cellIs" dxfId="22631" priority="167640" stopIfTrue="1" operator="equal">
      <formula>-1</formula>
    </cfRule>
  </conditionalFormatting>
  <conditionalFormatting sqref="AB71">
    <cfRule type="cellIs" dxfId="22630" priority="167641" stopIfTrue="1" operator="lessThan">
      <formula>0.5</formula>
    </cfRule>
  </conditionalFormatting>
  <conditionalFormatting sqref="AB71">
    <cfRule type="cellIs" dxfId="22629" priority="167642" stopIfTrue="1" operator="greaterThanOrEqual">
      <formula>0.5</formula>
    </cfRule>
  </conditionalFormatting>
  <conditionalFormatting sqref="AB72">
    <cfRule type="cellIs" dxfId="22628" priority="167643" stopIfTrue="1" operator="equal">
      <formula>-1</formula>
    </cfRule>
  </conditionalFormatting>
  <conditionalFormatting sqref="AB72">
    <cfRule type="cellIs" dxfId="22627" priority="167644" stopIfTrue="1" operator="lessThan">
      <formula>0.5</formula>
    </cfRule>
  </conditionalFormatting>
  <conditionalFormatting sqref="AB72">
    <cfRule type="cellIs" dxfId="22626" priority="167645" stopIfTrue="1" operator="greaterThanOrEqual">
      <formula>0.5</formula>
    </cfRule>
  </conditionalFormatting>
  <conditionalFormatting sqref="AB73">
    <cfRule type="cellIs" dxfId="22625" priority="167646" stopIfTrue="1" operator="equal">
      <formula>-1</formula>
    </cfRule>
  </conditionalFormatting>
  <conditionalFormatting sqref="AB73">
    <cfRule type="cellIs" dxfId="22624" priority="167647" stopIfTrue="1" operator="lessThan">
      <formula>0.5</formula>
    </cfRule>
  </conditionalFormatting>
  <conditionalFormatting sqref="AB73">
    <cfRule type="cellIs" dxfId="22623" priority="167648" stopIfTrue="1" operator="greaterThanOrEqual">
      <formula>0.5</formula>
    </cfRule>
  </conditionalFormatting>
  <conditionalFormatting sqref="AB74">
    <cfRule type="cellIs" dxfId="22622" priority="167649" stopIfTrue="1" operator="equal">
      <formula>-1</formula>
    </cfRule>
  </conditionalFormatting>
  <conditionalFormatting sqref="AB74">
    <cfRule type="cellIs" dxfId="22621" priority="167650" stopIfTrue="1" operator="lessThan">
      <formula>0.5</formula>
    </cfRule>
  </conditionalFormatting>
  <conditionalFormatting sqref="AB74">
    <cfRule type="cellIs" dxfId="22620" priority="167651" stopIfTrue="1" operator="greaterThanOrEqual">
      <formula>0.5</formula>
    </cfRule>
  </conditionalFormatting>
  <conditionalFormatting sqref="AB75">
    <cfRule type="cellIs" dxfId="22619" priority="167652" stopIfTrue="1" operator="equal">
      <formula>-1</formula>
    </cfRule>
  </conditionalFormatting>
  <conditionalFormatting sqref="AB75">
    <cfRule type="cellIs" dxfId="22618" priority="167653" stopIfTrue="1" operator="lessThan">
      <formula>0.5</formula>
    </cfRule>
  </conditionalFormatting>
  <conditionalFormatting sqref="AB75">
    <cfRule type="cellIs" dxfId="22617" priority="167654" stopIfTrue="1" operator="greaterThanOrEqual">
      <formula>0.5</formula>
    </cfRule>
  </conditionalFormatting>
  <conditionalFormatting sqref="AB76">
    <cfRule type="cellIs" dxfId="22616" priority="167655" stopIfTrue="1" operator="equal">
      <formula>-1</formula>
    </cfRule>
  </conditionalFormatting>
  <conditionalFormatting sqref="AB76">
    <cfRule type="cellIs" dxfId="22615" priority="167656" stopIfTrue="1" operator="lessThan">
      <formula>0.5</formula>
    </cfRule>
  </conditionalFormatting>
  <conditionalFormatting sqref="AB76">
    <cfRule type="cellIs" dxfId="22614" priority="167657" stopIfTrue="1" operator="greaterThanOrEqual">
      <formula>0.5</formula>
    </cfRule>
  </conditionalFormatting>
  <conditionalFormatting sqref="AB77">
    <cfRule type="cellIs" dxfId="22613" priority="167658" stopIfTrue="1" operator="equal">
      <formula>-1</formula>
    </cfRule>
  </conditionalFormatting>
  <conditionalFormatting sqref="AB77">
    <cfRule type="cellIs" dxfId="22612" priority="167659" stopIfTrue="1" operator="lessThan">
      <formula>0.5</formula>
    </cfRule>
  </conditionalFormatting>
  <conditionalFormatting sqref="AB77">
    <cfRule type="cellIs" dxfId="22611" priority="167660" stopIfTrue="1" operator="greaterThanOrEqual">
      <formula>0.5</formula>
    </cfRule>
  </conditionalFormatting>
  <conditionalFormatting sqref="AB78">
    <cfRule type="cellIs" dxfId="22610" priority="167661" stopIfTrue="1" operator="equal">
      <formula>-1</formula>
    </cfRule>
  </conditionalFormatting>
  <conditionalFormatting sqref="AB78">
    <cfRule type="cellIs" dxfId="22609" priority="167662" stopIfTrue="1" operator="lessThan">
      <formula>0.5</formula>
    </cfRule>
  </conditionalFormatting>
  <conditionalFormatting sqref="AB78">
    <cfRule type="cellIs" dxfId="22608" priority="167663" stopIfTrue="1" operator="greaterThanOrEqual">
      <formula>0.5</formula>
    </cfRule>
  </conditionalFormatting>
  <conditionalFormatting sqref="AB79">
    <cfRule type="cellIs" dxfId="22607" priority="167664" stopIfTrue="1" operator="equal">
      <formula>-1</formula>
    </cfRule>
  </conditionalFormatting>
  <conditionalFormatting sqref="AB79">
    <cfRule type="cellIs" dxfId="22606" priority="167665" stopIfTrue="1" operator="lessThan">
      <formula>0.5</formula>
    </cfRule>
  </conditionalFormatting>
  <conditionalFormatting sqref="AB79">
    <cfRule type="cellIs" dxfId="22605" priority="167666" stopIfTrue="1" operator="greaterThanOrEqual">
      <formula>0.5</formula>
    </cfRule>
  </conditionalFormatting>
  <conditionalFormatting sqref="AB80">
    <cfRule type="cellIs" dxfId="22604" priority="167667" stopIfTrue="1" operator="equal">
      <formula>-1</formula>
    </cfRule>
  </conditionalFormatting>
  <conditionalFormatting sqref="AB80">
    <cfRule type="cellIs" dxfId="22603" priority="167668" stopIfTrue="1" operator="lessThan">
      <formula>0.5</formula>
    </cfRule>
  </conditionalFormatting>
  <conditionalFormatting sqref="AB80">
    <cfRule type="cellIs" dxfId="22602" priority="167669" stopIfTrue="1" operator="greaterThanOrEqual">
      <formula>0.5</formula>
    </cfRule>
  </conditionalFormatting>
  <conditionalFormatting sqref="AB81">
    <cfRule type="cellIs" dxfId="22601" priority="167670" stopIfTrue="1" operator="equal">
      <formula>-1</formula>
    </cfRule>
  </conditionalFormatting>
  <conditionalFormatting sqref="AB81">
    <cfRule type="cellIs" dxfId="22600" priority="167671" stopIfTrue="1" operator="lessThan">
      <formula>0.5</formula>
    </cfRule>
  </conditionalFormatting>
  <conditionalFormatting sqref="AB81">
    <cfRule type="cellIs" dxfId="22599" priority="167672" stopIfTrue="1" operator="greaterThanOrEqual">
      <formula>0.5</formula>
    </cfRule>
  </conditionalFormatting>
  <conditionalFormatting sqref="AB82">
    <cfRule type="cellIs" dxfId="22598" priority="167673" stopIfTrue="1" operator="equal">
      <formula>-1</formula>
    </cfRule>
  </conditionalFormatting>
  <conditionalFormatting sqref="AB82">
    <cfRule type="cellIs" dxfId="22597" priority="167674" stopIfTrue="1" operator="lessThan">
      <formula>0.5</formula>
    </cfRule>
  </conditionalFormatting>
  <conditionalFormatting sqref="AB82">
    <cfRule type="cellIs" dxfId="22596" priority="167675" stopIfTrue="1" operator="greaterThanOrEqual">
      <formula>0.5</formula>
    </cfRule>
  </conditionalFormatting>
  <conditionalFormatting sqref="AB83">
    <cfRule type="cellIs" dxfId="22595" priority="167676" stopIfTrue="1" operator="equal">
      <formula>-1</formula>
    </cfRule>
  </conditionalFormatting>
  <conditionalFormatting sqref="AB83">
    <cfRule type="cellIs" dxfId="22594" priority="167677" stopIfTrue="1" operator="lessThan">
      <formula>0.5</formula>
    </cfRule>
  </conditionalFormatting>
  <conditionalFormatting sqref="AB83">
    <cfRule type="cellIs" dxfId="22593" priority="167678" stopIfTrue="1" operator="greaterThanOrEqual">
      <formula>0.5</formula>
    </cfRule>
  </conditionalFormatting>
  <conditionalFormatting sqref="AB84">
    <cfRule type="cellIs" dxfId="22592" priority="167679" stopIfTrue="1" operator="equal">
      <formula>-1</formula>
    </cfRule>
  </conditionalFormatting>
  <conditionalFormatting sqref="AB84">
    <cfRule type="cellIs" dxfId="22591" priority="167680" stopIfTrue="1" operator="lessThan">
      <formula>0.5</formula>
    </cfRule>
  </conditionalFormatting>
  <conditionalFormatting sqref="AB84">
    <cfRule type="cellIs" dxfId="22590" priority="167681" stopIfTrue="1" operator="greaterThanOrEqual">
      <formula>0.5</formula>
    </cfRule>
  </conditionalFormatting>
  <conditionalFormatting sqref="AB85">
    <cfRule type="cellIs" dxfId="22589" priority="167682" stopIfTrue="1" operator="equal">
      <formula>-1</formula>
    </cfRule>
  </conditionalFormatting>
  <conditionalFormatting sqref="AB85">
    <cfRule type="cellIs" dxfId="22588" priority="167683" stopIfTrue="1" operator="lessThan">
      <formula>0.5</formula>
    </cfRule>
  </conditionalFormatting>
  <conditionalFormatting sqref="AB85">
    <cfRule type="cellIs" dxfId="22587" priority="167684" stopIfTrue="1" operator="greaterThanOrEqual">
      <formula>0.5</formula>
    </cfRule>
  </conditionalFormatting>
  <conditionalFormatting sqref="AD65">
    <cfRule type="cellIs" dxfId="22586" priority="167685" stopIfTrue="1" operator="equal">
      <formula>-1</formula>
    </cfRule>
  </conditionalFormatting>
  <conditionalFormatting sqref="AD65">
    <cfRule type="cellIs" dxfId="22585" priority="167686" stopIfTrue="1" operator="lessThan">
      <formula>0.5</formula>
    </cfRule>
  </conditionalFormatting>
  <conditionalFormatting sqref="AD65">
    <cfRule type="cellIs" dxfId="22584" priority="167687" stopIfTrue="1" operator="greaterThanOrEqual">
      <formula>0.5</formula>
    </cfRule>
  </conditionalFormatting>
  <conditionalFormatting sqref="AD66">
    <cfRule type="cellIs" dxfId="22583" priority="167688" stopIfTrue="1" operator="equal">
      <formula>-1</formula>
    </cfRule>
  </conditionalFormatting>
  <conditionalFormatting sqref="AD66">
    <cfRule type="cellIs" dxfId="22582" priority="167689" stopIfTrue="1" operator="lessThan">
      <formula>0.5</formula>
    </cfRule>
  </conditionalFormatting>
  <conditionalFormatting sqref="AD66">
    <cfRule type="cellIs" dxfId="22581" priority="167690" stopIfTrue="1" operator="greaterThanOrEqual">
      <formula>0.5</formula>
    </cfRule>
  </conditionalFormatting>
  <conditionalFormatting sqref="AD67">
    <cfRule type="cellIs" dxfId="22580" priority="167691" stopIfTrue="1" operator="equal">
      <formula>-1</formula>
    </cfRule>
  </conditionalFormatting>
  <conditionalFormatting sqref="AD67">
    <cfRule type="cellIs" dxfId="22579" priority="167692" stopIfTrue="1" operator="lessThan">
      <formula>0.5</formula>
    </cfRule>
  </conditionalFormatting>
  <conditionalFormatting sqref="AD67">
    <cfRule type="cellIs" dxfId="22578" priority="167693" stopIfTrue="1" operator="greaterThanOrEqual">
      <formula>0.5</formula>
    </cfRule>
  </conditionalFormatting>
  <conditionalFormatting sqref="AD68">
    <cfRule type="cellIs" dxfId="22577" priority="167694" stopIfTrue="1" operator="equal">
      <formula>-1</formula>
    </cfRule>
  </conditionalFormatting>
  <conditionalFormatting sqref="AD68">
    <cfRule type="cellIs" dxfId="22576" priority="167695" stopIfTrue="1" operator="lessThan">
      <formula>0.5</formula>
    </cfRule>
  </conditionalFormatting>
  <conditionalFormatting sqref="AD68">
    <cfRule type="cellIs" dxfId="22575" priority="167696" stopIfTrue="1" operator="greaterThanOrEqual">
      <formula>0.5</formula>
    </cfRule>
  </conditionalFormatting>
  <conditionalFormatting sqref="AD69">
    <cfRule type="cellIs" dxfId="22574" priority="167697" stopIfTrue="1" operator="equal">
      <formula>-1</formula>
    </cfRule>
  </conditionalFormatting>
  <conditionalFormatting sqref="AD69">
    <cfRule type="cellIs" dxfId="22573" priority="167698" stopIfTrue="1" operator="lessThan">
      <formula>0.5</formula>
    </cfRule>
  </conditionalFormatting>
  <conditionalFormatting sqref="AD69">
    <cfRule type="cellIs" dxfId="22572" priority="167699" stopIfTrue="1" operator="greaterThanOrEqual">
      <formula>0.5</formula>
    </cfRule>
  </conditionalFormatting>
  <conditionalFormatting sqref="AD70">
    <cfRule type="cellIs" dxfId="22571" priority="167700" stopIfTrue="1" operator="equal">
      <formula>-1</formula>
    </cfRule>
  </conditionalFormatting>
  <conditionalFormatting sqref="AD70">
    <cfRule type="cellIs" dxfId="22570" priority="167701" stopIfTrue="1" operator="lessThan">
      <formula>0.5</formula>
    </cfRule>
  </conditionalFormatting>
  <conditionalFormatting sqref="AD70">
    <cfRule type="cellIs" dxfId="22569" priority="167702" stopIfTrue="1" operator="greaterThanOrEqual">
      <formula>0.5</formula>
    </cfRule>
  </conditionalFormatting>
  <conditionalFormatting sqref="AD71">
    <cfRule type="cellIs" dxfId="22568" priority="167703" stopIfTrue="1" operator="equal">
      <formula>-1</formula>
    </cfRule>
  </conditionalFormatting>
  <conditionalFormatting sqref="AD71">
    <cfRule type="cellIs" dxfId="22567" priority="167704" stopIfTrue="1" operator="lessThan">
      <formula>0.5</formula>
    </cfRule>
  </conditionalFormatting>
  <conditionalFormatting sqref="AD71">
    <cfRule type="cellIs" dxfId="22566" priority="167705" stopIfTrue="1" operator="greaterThanOrEqual">
      <formula>0.5</formula>
    </cfRule>
  </conditionalFormatting>
  <conditionalFormatting sqref="AD72">
    <cfRule type="cellIs" dxfId="22565" priority="167706" stopIfTrue="1" operator="equal">
      <formula>-1</formula>
    </cfRule>
  </conditionalFormatting>
  <conditionalFormatting sqref="AD72">
    <cfRule type="cellIs" dxfId="22564" priority="167707" stopIfTrue="1" operator="lessThan">
      <formula>0.5</formula>
    </cfRule>
  </conditionalFormatting>
  <conditionalFormatting sqref="AD72">
    <cfRule type="cellIs" dxfId="22563" priority="167708" stopIfTrue="1" operator="greaterThanOrEqual">
      <formula>0.5</formula>
    </cfRule>
  </conditionalFormatting>
  <conditionalFormatting sqref="AD73">
    <cfRule type="cellIs" dxfId="22562" priority="167709" stopIfTrue="1" operator="equal">
      <formula>-1</formula>
    </cfRule>
  </conditionalFormatting>
  <conditionalFormatting sqref="AD73">
    <cfRule type="cellIs" dxfId="22561" priority="167710" stopIfTrue="1" operator="lessThan">
      <formula>0.5</formula>
    </cfRule>
  </conditionalFormatting>
  <conditionalFormatting sqref="AD73">
    <cfRule type="cellIs" dxfId="22560" priority="167711" stopIfTrue="1" operator="greaterThanOrEqual">
      <formula>0.5</formula>
    </cfRule>
  </conditionalFormatting>
  <conditionalFormatting sqref="AD74">
    <cfRule type="cellIs" dxfId="22559" priority="167712" stopIfTrue="1" operator="equal">
      <formula>-1</formula>
    </cfRule>
  </conditionalFormatting>
  <conditionalFormatting sqref="AD74">
    <cfRule type="cellIs" dxfId="22558" priority="167713" stopIfTrue="1" operator="lessThan">
      <formula>0.5</formula>
    </cfRule>
  </conditionalFormatting>
  <conditionalFormatting sqref="AD74">
    <cfRule type="cellIs" dxfId="22557" priority="167714" stopIfTrue="1" operator="greaterThanOrEqual">
      <formula>0.5</formula>
    </cfRule>
  </conditionalFormatting>
  <conditionalFormatting sqref="AD75">
    <cfRule type="cellIs" dxfId="22556" priority="167715" stopIfTrue="1" operator="equal">
      <formula>-1</formula>
    </cfRule>
  </conditionalFormatting>
  <conditionalFormatting sqref="AD75">
    <cfRule type="cellIs" dxfId="22555" priority="167716" stopIfTrue="1" operator="lessThan">
      <formula>0.5</formula>
    </cfRule>
  </conditionalFormatting>
  <conditionalFormatting sqref="AD75">
    <cfRule type="cellIs" dxfId="22554" priority="167717" stopIfTrue="1" operator="greaterThanOrEqual">
      <formula>0.5</formula>
    </cfRule>
  </conditionalFormatting>
  <conditionalFormatting sqref="AD76">
    <cfRule type="cellIs" dxfId="22553" priority="167718" stopIfTrue="1" operator="equal">
      <formula>-1</formula>
    </cfRule>
  </conditionalFormatting>
  <conditionalFormatting sqref="AD76">
    <cfRule type="cellIs" dxfId="22552" priority="167719" stopIfTrue="1" operator="lessThan">
      <formula>0.5</formula>
    </cfRule>
  </conditionalFormatting>
  <conditionalFormatting sqref="AD76">
    <cfRule type="cellIs" dxfId="22551" priority="167720" stopIfTrue="1" operator="greaterThanOrEqual">
      <formula>0.5</formula>
    </cfRule>
  </conditionalFormatting>
  <conditionalFormatting sqref="AD77">
    <cfRule type="cellIs" dxfId="22550" priority="167721" stopIfTrue="1" operator="equal">
      <formula>-1</formula>
    </cfRule>
  </conditionalFormatting>
  <conditionalFormatting sqref="AD77">
    <cfRule type="cellIs" dxfId="22549" priority="167722" stopIfTrue="1" operator="lessThan">
      <formula>0.5</formula>
    </cfRule>
  </conditionalFormatting>
  <conditionalFormatting sqref="AD77">
    <cfRule type="cellIs" dxfId="22548" priority="167723" stopIfTrue="1" operator="greaterThanOrEqual">
      <formula>0.5</formula>
    </cfRule>
  </conditionalFormatting>
  <conditionalFormatting sqref="AD78">
    <cfRule type="cellIs" dxfId="22547" priority="167724" stopIfTrue="1" operator="equal">
      <formula>-1</formula>
    </cfRule>
  </conditionalFormatting>
  <conditionalFormatting sqref="AD78">
    <cfRule type="cellIs" dxfId="22546" priority="167725" stopIfTrue="1" operator="lessThan">
      <formula>0.5</formula>
    </cfRule>
  </conditionalFormatting>
  <conditionalFormatting sqref="AD78">
    <cfRule type="cellIs" dxfId="22545" priority="167726" stopIfTrue="1" operator="greaterThanOrEqual">
      <formula>0.5</formula>
    </cfRule>
  </conditionalFormatting>
  <conditionalFormatting sqref="AD79">
    <cfRule type="cellIs" dxfId="22544" priority="167727" stopIfTrue="1" operator="equal">
      <formula>-1</formula>
    </cfRule>
  </conditionalFormatting>
  <conditionalFormatting sqref="AD79">
    <cfRule type="cellIs" dxfId="22543" priority="167728" stopIfTrue="1" operator="lessThan">
      <formula>0.5</formula>
    </cfRule>
  </conditionalFormatting>
  <conditionalFormatting sqref="AD79">
    <cfRule type="cellIs" dxfId="22542" priority="167729" stopIfTrue="1" operator="greaterThanOrEqual">
      <formula>0.5</formula>
    </cfRule>
  </conditionalFormatting>
  <conditionalFormatting sqref="AD80">
    <cfRule type="cellIs" dxfId="22541" priority="167730" stopIfTrue="1" operator="equal">
      <formula>-1</formula>
    </cfRule>
  </conditionalFormatting>
  <conditionalFormatting sqref="AD80">
    <cfRule type="cellIs" dxfId="22540" priority="167731" stopIfTrue="1" operator="lessThan">
      <formula>0.5</formula>
    </cfRule>
  </conditionalFormatting>
  <conditionalFormatting sqref="AD80">
    <cfRule type="cellIs" dxfId="22539" priority="167732" stopIfTrue="1" operator="greaterThanOrEqual">
      <formula>0.5</formula>
    </cfRule>
  </conditionalFormatting>
  <conditionalFormatting sqref="AD81">
    <cfRule type="cellIs" dxfId="22538" priority="167733" stopIfTrue="1" operator="equal">
      <formula>-1</formula>
    </cfRule>
  </conditionalFormatting>
  <conditionalFormatting sqref="AD81">
    <cfRule type="cellIs" dxfId="22537" priority="167734" stopIfTrue="1" operator="lessThan">
      <formula>0.5</formula>
    </cfRule>
  </conditionalFormatting>
  <conditionalFormatting sqref="AD81">
    <cfRule type="cellIs" dxfId="22536" priority="167735" stopIfTrue="1" operator="greaterThanOrEqual">
      <formula>0.5</formula>
    </cfRule>
  </conditionalFormatting>
  <conditionalFormatting sqref="AD82">
    <cfRule type="cellIs" dxfId="22535" priority="167736" stopIfTrue="1" operator="equal">
      <formula>-1</formula>
    </cfRule>
  </conditionalFormatting>
  <conditionalFormatting sqref="AD82">
    <cfRule type="cellIs" dxfId="22534" priority="167737" stopIfTrue="1" operator="lessThan">
      <formula>0.5</formula>
    </cfRule>
  </conditionalFormatting>
  <conditionalFormatting sqref="AD82">
    <cfRule type="cellIs" dxfId="22533" priority="167738" stopIfTrue="1" operator="greaterThanOrEqual">
      <formula>0.5</formula>
    </cfRule>
  </conditionalFormatting>
  <conditionalFormatting sqref="AD83">
    <cfRule type="cellIs" dxfId="22532" priority="167739" stopIfTrue="1" operator="equal">
      <formula>-1</formula>
    </cfRule>
  </conditionalFormatting>
  <conditionalFormatting sqref="AD83">
    <cfRule type="cellIs" dxfId="22531" priority="167740" stopIfTrue="1" operator="lessThan">
      <formula>0.5</formula>
    </cfRule>
  </conditionalFormatting>
  <conditionalFormatting sqref="AD83">
    <cfRule type="cellIs" dxfId="22530" priority="167741" stopIfTrue="1" operator="greaterThanOrEqual">
      <formula>0.5</formula>
    </cfRule>
  </conditionalFormatting>
  <conditionalFormatting sqref="AD84">
    <cfRule type="cellIs" dxfId="22529" priority="167742" stopIfTrue="1" operator="equal">
      <formula>-1</formula>
    </cfRule>
  </conditionalFormatting>
  <conditionalFormatting sqref="AD84">
    <cfRule type="cellIs" dxfId="22528" priority="167743" stopIfTrue="1" operator="lessThan">
      <formula>0.5</formula>
    </cfRule>
  </conditionalFormatting>
  <conditionalFormatting sqref="AD84">
    <cfRule type="cellIs" dxfId="22527" priority="167744" stopIfTrue="1" operator="greaterThanOrEqual">
      <formula>0.5</formula>
    </cfRule>
  </conditionalFormatting>
  <conditionalFormatting sqref="AD85">
    <cfRule type="cellIs" dxfId="22526" priority="167745" stopIfTrue="1" operator="equal">
      <formula>-1</formula>
    </cfRule>
  </conditionalFormatting>
  <conditionalFormatting sqref="AD85">
    <cfRule type="cellIs" dxfId="22525" priority="167746" stopIfTrue="1" operator="lessThan">
      <formula>0.5</formula>
    </cfRule>
  </conditionalFormatting>
  <conditionalFormatting sqref="AD85">
    <cfRule type="cellIs" dxfId="22524" priority="167747" stopIfTrue="1" operator="greaterThanOrEqual">
      <formula>0.5</formula>
    </cfRule>
  </conditionalFormatting>
  <conditionalFormatting sqref="AF65">
    <cfRule type="cellIs" dxfId="22523" priority="167748" stopIfTrue="1" operator="equal">
      <formula>-1</formula>
    </cfRule>
  </conditionalFormatting>
  <conditionalFormatting sqref="AF65">
    <cfRule type="cellIs" dxfId="22522" priority="167749" stopIfTrue="1" operator="lessThan">
      <formula>0.5</formula>
    </cfRule>
  </conditionalFormatting>
  <conditionalFormatting sqref="AF65">
    <cfRule type="cellIs" dxfId="22521" priority="167750" stopIfTrue="1" operator="greaterThanOrEqual">
      <formula>0.5</formula>
    </cfRule>
  </conditionalFormatting>
  <conditionalFormatting sqref="AF66">
    <cfRule type="cellIs" dxfId="22520" priority="167751" stopIfTrue="1" operator="equal">
      <formula>-1</formula>
    </cfRule>
  </conditionalFormatting>
  <conditionalFormatting sqref="AF66">
    <cfRule type="cellIs" dxfId="22519" priority="167752" stopIfTrue="1" operator="lessThan">
      <formula>0.5</formula>
    </cfRule>
  </conditionalFormatting>
  <conditionalFormatting sqref="AF66">
    <cfRule type="cellIs" dxfId="22518" priority="167753" stopIfTrue="1" operator="greaterThanOrEqual">
      <formula>0.5</formula>
    </cfRule>
  </conditionalFormatting>
  <conditionalFormatting sqref="AF67">
    <cfRule type="cellIs" dxfId="22517" priority="167754" stopIfTrue="1" operator="equal">
      <formula>-1</formula>
    </cfRule>
  </conditionalFormatting>
  <conditionalFormatting sqref="AF67">
    <cfRule type="cellIs" dxfId="22516" priority="167755" stopIfTrue="1" operator="lessThan">
      <formula>0.5</formula>
    </cfRule>
  </conditionalFormatting>
  <conditionalFormatting sqref="AF67">
    <cfRule type="cellIs" dxfId="22515" priority="167756" stopIfTrue="1" operator="greaterThanOrEqual">
      <formula>0.5</formula>
    </cfRule>
  </conditionalFormatting>
  <conditionalFormatting sqref="AF68">
    <cfRule type="cellIs" dxfId="22514" priority="167757" stopIfTrue="1" operator="equal">
      <formula>-1</formula>
    </cfRule>
  </conditionalFormatting>
  <conditionalFormatting sqref="AF68">
    <cfRule type="cellIs" dxfId="22513" priority="167758" stopIfTrue="1" operator="lessThan">
      <formula>0.5</formula>
    </cfRule>
  </conditionalFormatting>
  <conditionalFormatting sqref="AF68">
    <cfRule type="cellIs" dxfId="22512" priority="167759" stopIfTrue="1" operator="greaterThanOrEqual">
      <formula>0.5</formula>
    </cfRule>
  </conditionalFormatting>
  <conditionalFormatting sqref="AF69">
    <cfRule type="cellIs" dxfId="22511" priority="167760" stopIfTrue="1" operator="equal">
      <formula>-1</formula>
    </cfRule>
  </conditionalFormatting>
  <conditionalFormatting sqref="AF69">
    <cfRule type="cellIs" dxfId="22510" priority="167761" stopIfTrue="1" operator="lessThan">
      <formula>0.5</formula>
    </cfRule>
  </conditionalFormatting>
  <conditionalFormatting sqref="AF69">
    <cfRule type="cellIs" dxfId="22509" priority="167762" stopIfTrue="1" operator="greaterThanOrEqual">
      <formula>0.5</formula>
    </cfRule>
  </conditionalFormatting>
  <conditionalFormatting sqref="AF70">
    <cfRule type="cellIs" dxfId="22508" priority="167763" stopIfTrue="1" operator="equal">
      <formula>-1</formula>
    </cfRule>
  </conditionalFormatting>
  <conditionalFormatting sqref="AF70">
    <cfRule type="cellIs" dxfId="22507" priority="167764" stopIfTrue="1" operator="lessThan">
      <formula>0.5</formula>
    </cfRule>
  </conditionalFormatting>
  <conditionalFormatting sqref="AF70">
    <cfRule type="cellIs" dxfId="22506" priority="167765" stopIfTrue="1" operator="greaterThanOrEqual">
      <formula>0.5</formula>
    </cfRule>
  </conditionalFormatting>
  <conditionalFormatting sqref="AF71">
    <cfRule type="cellIs" dxfId="22505" priority="167766" stopIfTrue="1" operator="equal">
      <formula>-1</formula>
    </cfRule>
  </conditionalFormatting>
  <conditionalFormatting sqref="AF71">
    <cfRule type="cellIs" dxfId="22504" priority="167767" stopIfTrue="1" operator="lessThan">
      <formula>0.5</formula>
    </cfRule>
  </conditionalFormatting>
  <conditionalFormatting sqref="AF71">
    <cfRule type="cellIs" dxfId="22503" priority="167768" stopIfTrue="1" operator="greaterThanOrEqual">
      <formula>0.5</formula>
    </cfRule>
  </conditionalFormatting>
  <conditionalFormatting sqref="AF72">
    <cfRule type="cellIs" dxfId="22502" priority="167769" stopIfTrue="1" operator="equal">
      <formula>-1</formula>
    </cfRule>
  </conditionalFormatting>
  <conditionalFormatting sqref="AF72">
    <cfRule type="cellIs" dxfId="22501" priority="167770" stopIfTrue="1" operator="lessThan">
      <formula>0.5</formula>
    </cfRule>
  </conditionalFormatting>
  <conditionalFormatting sqref="AF72">
    <cfRule type="cellIs" dxfId="22500" priority="167771" stopIfTrue="1" operator="greaterThanOrEqual">
      <formula>0.5</formula>
    </cfRule>
  </conditionalFormatting>
  <conditionalFormatting sqref="AF73">
    <cfRule type="cellIs" dxfId="22499" priority="167772" stopIfTrue="1" operator="equal">
      <formula>-1</formula>
    </cfRule>
  </conditionalFormatting>
  <conditionalFormatting sqref="AF73">
    <cfRule type="cellIs" dxfId="22498" priority="167773" stopIfTrue="1" operator="lessThan">
      <formula>0.5</formula>
    </cfRule>
  </conditionalFormatting>
  <conditionalFormatting sqref="AF73">
    <cfRule type="cellIs" dxfId="22497" priority="167774" stopIfTrue="1" operator="greaterThanOrEqual">
      <formula>0.5</formula>
    </cfRule>
  </conditionalFormatting>
  <conditionalFormatting sqref="AF74">
    <cfRule type="cellIs" dxfId="22496" priority="167775" stopIfTrue="1" operator="equal">
      <formula>-1</formula>
    </cfRule>
  </conditionalFormatting>
  <conditionalFormatting sqref="AF74">
    <cfRule type="cellIs" dxfId="22495" priority="167776" stopIfTrue="1" operator="lessThan">
      <formula>0.5</formula>
    </cfRule>
  </conditionalFormatting>
  <conditionalFormatting sqref="AF74">
    <cfRule type="cellIs" dxfId="22494" priority="167777" stopIfTrue="1" operator="greaterThanOrEqual">
      <formula>0.5</formula>
    </cfRule>
  </conditionalFormatting>
  <conditionalFormatting sqref="AF75">
    <cfRule type="cellIs" dxfId="22493" priority="167778" stopIfTrue="1" operator="equal">
      <formula>-1</formula>
    </cfRule>
  </conditionalFormatting>
  <conditionalFormatting sqref="AF75">
    <cfRule type="cellIs" dxfId="22492" priority="167779" stopIfTrue="1" operator="lessThan">
      <formula>0.5</formula>
    </cfRule>
  </conditionalFormatting>
  <conditionalFormatting sqref="AF75">
    <cfRule type="cellIs" dxfId="22491" priority="167780" stopIfTrue="1" operator="greaterThanOrEqual">
      <formula>0.5</formula>
    </cfRule>
  </conditionalFormatting>
  <conditionalFormatting sqref="AF76">
    <cfRule type="cellIs" dxfId="22490" priority="167781" stopIfTrue="1" operator="equal">
      <formula>-1</formula>
    </cfRule>
  </conditionalFormatting>
  <conditionalFormatting sqref="AF76">
    <cfRule type="cellIs" dxfId="22489" priority="167782" stopIfTrue="1" operator="lessThan">
      <formula>0.5</formula>
    </cfRule>
  </conditionalFormatting>
  <conditionalFormatting sqref="AF76">
    <cfRule type="cellIs" dxfId="22488" priority="167783" stopIfTrue="1" operator="greaterThanOrEqual">
      <formula>0.5</formula>
    </cfRule>
  </conditionalFormatting>
  <conditionalFormatting sqref="AF77">
    <cfRule type="cellIs" dxfId="22487" priority="167784" stopIfTrue="1" operator="equal">
      <formula>-1</formula>
    </cfRule>
  </conditionalFormatting>
  <conditionalFormatting sqref="AF77">
    <cfRule type="cellIs" dxfId="22486" priority="167785" stopIfTrue="1" operator="lessThan">
      <formula>0.5</formula>
    </cfRule>
  </conditionalFormatting>
  <conditionalFormatting sqref="AF77">
    <cfRule type="cellIs" dxfId="22485" priority="167786" stopIfTrue="1" operator="greaterThanOrEqual">
      <formula>0.5</formula>
    </cfRule>
  </conditionalFormatting>
  <conditionalFormatting sqref="AF78">
    <cfRule type="cellIs" dxfId="22484" priority="167787" stopIfTrue="1" operator="equal">
      <formula>-1</formula>
    </cfRule>
  </conditionalFormatting>
  <conditionalFormatting sqref="AF78">
    <cfRule type="cellIs" dxfId="22483" priority="167788" stopIfTrue="1" operator="lessThan">
      <formula>0.5</formula>
    </cfRule>
  </conditionalFormatting>
  <conditionalFormatting sqref="AF78">
    <cfRule type="cellIs" dxfId="22482" priority="167789" stopIfTrue="1" operator="greaterThanOrEqual">
      <formula>0.5</formula>
    </cfRule>
  </conditionalFormatting>
  <conditionalFormatting sqref="AF79">
    <cfRule type="cellIs" dxfId="22481" priority="167790" stopIfTrue="1" operator="equal">
      <formula>-1</formula>
    </cfRule>
  </conditionalFormatting>
  <conditionalFormatting sqref="AF79">
    <cfRule type="cellIs" dxfId="22480" priority="167791" stopIfTrue="1" operator="lessThan">
      <formula>0.5</formula>
    </cfRule>
  </conditionalFormatting>
  <conditionalFormatting sqref="AF79">
    <cfRule type="cellIs" dxfId="22479" priority="167792" stopIfTrue="1" operator="greaterThanOrEqual">
      <formula>0.5</formula>
    </cfRule>
  </conditionalFormatting>
  <conditionalFormatting sqref="AF80">
    <cfRule type="cellIs" dxfId="22478" priority="167793" stopIfTrue="1" operator="equal">
      <formula>-1</formula>
    </cfRule>
  </conditionalFormatting>
  <conditionalFormatting sqref="AF80">
    <cfRule type="cellIs" dxfId="22477" priority="167794" stopIfTrue="1" operator="lessThan">
      <formula>0.5</formula>
    </cfRule>
  </conditionalFormatting>
  <conditionalFormatting sqref="AF80">
    <cfRule type="cellIs" dxfId="22476" priority="167795" stopIfTrue="1" operator="greaterThanOrEqual">
      <formula>0.5</formula>
    </cfRule>
  </conditionalFormatting>
  <conditionalFormatting sqref="AF81">
    <cfRule type="cellIs" dxfId="22475" priority="167796" stopIfTrue="1" operator="equal">
      <formula>-1</formula>
    </cfRule>
  </conditionalFormatting>
  <conditionalFormatting sqref="AF81">
    <cfRule type="cellIs" dxfId="22474" priority="167797" stopIfTrue="1" operator="lessThan">
      <formula>0.5</formula>
    </cfRule>
  </conditionalFormatting>
  <conditionalFormatting sqref="AF81">
    <cfRule type="cellIs" dxfId="22473" priority="167798" stopIfTrue="1" operator="greaterThanOrEqual">
      <formula>0.5</formula>
    </cfRule>
  </conditionalFormatting>
  <conditionalFormatting sqref="AF82">
    <cfRule type="cellIs" dxfId="22472" priority="167799" stopIfTrue="1" operator="equal">
      <formula>-1</formula>
    </cfRule>
  </conditionalFormatting>
  <conditionalFormatting sqref="AF82">
    <cfRule type="cellIs" dxfId="22471" priority="167800" stopIfTrue="1" operator="lessThan">
      <formula>0.5</formula>
    </cfRule>
  </conditionalFormatting>
  <conditionalFormatting sqref="AF82">
    <cfRule type="cellIs" dxfId="22470" priority="167801" stopIfTrue="1" operator="greaterThanOrEqual">
      <formula>0.5</formula>
    </cfRule>
  </conditionalFormatting>
  <conditionalFormatting sqref="AF83">
    <cfRule type="cellIs" dxfId="22469" priority="167802" stopIfTrue="1" operator="equal">
      <formula>-1</formula>
    </cfRule>
  </conditionalFormatting>
  <conditionalFormatting sqref="AF83">
    <cfRule type="cellIs" dxfId="22468" priority="167803" stopIfTrue="1" operator="lessThan">
      <formula>0.5</formula>
    </cfRule>
  </conditionalFormatting>
  <conditionalFormatting sqref="AF83">
    <cfRule type="cellIs" dxfId="22467" priority="167804" stopIfTrue="1" operator="greaterThanOrEqual">
      <formula>0.5</formula>
    </cfRule>
  </conditionalFormatting>
  <conditionalFormatting sqref="AF84">
    <cfRule type="cellIs" dxfId="22466" priority="167805" stopIfTrue="1" operator="equal">
      <formula>-1</formula>
    </cfRule>
  </conditionalFormatting>
  <conditionalFormatting sqref="AF84">
    <cfRule type="cellIs" dxfId="22465" priority="167806" stopIfTrue="1" operator="lessThan">
      <formula>0.5</formula>
    </cfRule>
  </conditionalFormatting>
  <conditionalFormatting sqref="AF84">
    <cfRule type="cellIs" dxfId="22464" priority="167807" stopIfTrue="1" operator="greaterThanOrEqual">
      <formula>0.5</formula>
    </cfRule>
  </conditionalFormatting>
  <conditionalFormatting sqref="AF85">
    <cfRule type="cellIs" dxfId="22463" priority="167808" stopIfTrue="1" operator="equal">
      <formula>-1</formula>
    </cfRule>
  </conditionalFormatting>
  <conditionalFormatting sqref="AF85">
    <cfRule type="cellIs" dxfId="22462" priority="167809" stopIfTrue="1" operator="lessThan">
      <formula>0.5</formula>
    </cfRule>
  </conditionalFormatting>
  <conditionalFormatting sqref="AF85">
    <cfRule type="cellIs" dxfId="22461" priority="167810" stopIfTrue="1" operator="greaterThanOrEqual">
      <formula>0.5</formula>
    </cfRule>
  </conditionalFormatting>
  <conditionalFormatting sqref="AH65">
    <cfRule type="cellIs" dxfId="22460" priority="167811" stopIfTrue="1" operator="equal">
      <formula>-1</formula>
    </cfRule>
  </conditionalFormatting>
  <conditionalFormatting sqref="AH65">
    <cfRule type="cellIs" dxfId="22459" priority="167812" stopIfTrue="1" operator="lessThan">
      <formula>0.5</formula>
    </cfRule>
  </conditionalFormatting>
  <conditionalFormatting sqref="AH65">
    <cfRule type="cellIs" dxfId="22458" priority="167813" stopIfTrue="1" operator="greaterThanOrEqual">
      <formula>0.5</formula>
    </cfRule>
  </conditionalFormatting>
  <conditionalFormatting sqref="AH66">
    <cfRule type="cellIs" dxfId="22457" priority="167814" stopIfTrue="1" operator="equal">
      <formula>-1</formula>
    </cfRule>
  </conditionalFormatting>
  <conditionalFormatting sqref="AH66">
    <cfRule type="cellIs" dxfId="22456" priority="167815" stopIfTrue="1" operator="lessThan">
      <formula>0.5</formula>
    </cfRule>
  </conditionalFormatting>
  <conditionalFormatting sqref="AH66">
    <cfRule type="cellIs" dxfId="22455" priority="167816" stopIfTrue="1" operator="greaterThanOrEqual">
      <formula>0.5</formula>
    </cfRule>
  </conditionalFormatting>
  <conditionalFormatting sqref="AH67">
    <cfRule type="cellIs" dxfId="22454" priority="167817" stopIfTrue="1" operator="equal">
      <formula>-1</formula>
    </cfRule>
  </conditionalFormatting>
  <conditionalFormatting sqref="AH67">
    <cfRule type="cellIs" dxfId="22453" priority="167818" stopIfTrue="1" operator="lessThan">
      <formula>0.5</formula>
    </cfRule>
  </conditionalFormatting>
  <conditionalFormatting sqref="AH67">
    <cfRule type="cellIs" dxfId="22452" priority="167819" stopIfTrue="1" operator="greaterThanOrEqual">
      <formula>0.5</formula>
    </cfRule>
  </conditionalFormatting>
  <conditionalFormatting sqref="AH68">
    <cfRule type="cellIs" dxfId="22451" priority="167820" stopIfTrue="1" operator="equal">
      <formula>-1</formula>
    </cfRule>
  </conditionalFormatting>
  <conditionalFormatting sqref="AH68">
    <cfRule type="cellIs" dxfId="22450" priority="167821" stopIfTrue="1" operator="lessThan">
      <formula>0.5</formula>
    </cfRule>
  </conditionalFormatting>
  <conditionalFormatting sqref="AH68">
    <cfRule type="cellIs" dxfId="22449" priority="167822" stopIfTrue="1" operator="greaterThanOrEqual">
      <formula>0.5</formula>
    </cfRule>
  </conditionalFormatting>
  <conditionalFormatting sqref="AH69">
    <cfRule type="cellIs" dxfId="22448" priority="167823" stopIfTrue="1" operator="equal">
      <formula>-1</formula>
    </cfRule>
  </conditionalFormatting>
  <conditionalFormatting sqref="AH69">
    <cfRule type="cellIs" dxfId="22447" priority="167824" stopIfTrue="1" operator="lessThan">
      <formula>0.5</formula>
    </cfRule>
  </conditionalFormatting>
  <conditionalFormatting sqref="AH69">
    <cfRule type="cellIs" dxfId="22446" priority="167825" stopIfTrue="1" operator="greaterThanOrEqual">
      <formula>0.5</formula>
    </cfRule>
  </conditionalFormatting>
  <conditionalFormatting sqref="AH70">
    <cfRule type="cellIs" dxfId="22445" priority="167826" stopIfTrue="1" operator="equal">
      <formula>-1</formula>
    </cfRule>
  </conditionalFormatting>
  <conditionalFormatting sqref="AH70">
    <cfRule type="cellIs" dxfId="22444" priority="167827" stopIfTrue="1" operator="lessThan">
      <formula>0.5</formula>
    </cfRule>
  </conditionalFormatting>
  <conditionalFormatting sqref="AH70">
    <cfRule type="cellIs" dxfId="22443" priority="167828" stopIfTrue="1" operator="greaterThanOrEqual">
      <formula>0.5</formula>
    </cfRule>
  </conditionalFormatting>
  <conditionalFormatting sqref="AH71">
    <cfRule type="cellIs" dxfId="22442" priority="167829" stopIfTrue="1" operator="equal">
      <formula>-1</formula>
    </cfRule>
  </conditionalFormatting>
  <conditionalFormatting sqref="AH71">
    <cfRule type="cellIs" dxfId="22441" priority="167830" stopIfTrue="1" operator="lessThan">
      <formula>0.5</formula>
    </cfRule>
  </conditionalFormatting>
  <conditionalFormatting sqref="AH71">
    <cfRule type="cellIs" dxfId="22440" priority="167831" stopIfTrue="1" operator="greaterThanOrEqual">
      <formula>0.5</formula>
    </cfRule>
  </conditionalFormatting>
  <conditionalFormatting sqref="AH72">
    <cfRule type="cellIs" dxfId="22439" priority="167832" stopIfTrue="1" operator="equal">
      <formula>-1</formula>
    </cfRule>
  </conditionalFormatting>
  <conditionalFormatting sqref="AH72">
    <cfRule type="cellIs" dxfId="22438" priority="167833" stopIfTrue="1" operator="lessThan">
      <formula>0.5</formula>
    </cfRule>
  </conditionalFormatting>
  <conditionalFormatting sqref="AH72">
    <cfRule type="cellIs" dxfId="22437" priority="167834" stopIfTrue="1" operator="greaterThanOrEqual">
      <formula>0.5</formula>
    </cfRule>
  </conditionalFormatting>
  <conditionalFormatting sqref="AH73">
    <cfRule type="cellIs" dxfId="22436" priority="167835" stopIfTrue="1" operator="equal">
      <formula>-1</formula>
    </cfRule>
  </conditionalFormatting>
  <conditionalFormatting sqref="AH73">
    <cfRule type="cellIs" dxfId="22435" priority="167836" stopIfTrue="1" operator="lessThan">
      <formula>0.5</formula>
    </cfRule>
  </conditionalFormatting>
  <conditionalFormatting sqref="AH73">
    <cfRule type="cellIs" dxfId="22434" priority="167837" stopIfTrue="1" operator="greaterThanOrEqual">
      <formula>0.5</formula>
    </cfRule>
  </conditionalFormatting>
  <conditionalFormatting sqref="AH74">
    <cfRule type="cellIs" dxfId="22433" priority="167838" stopIfTrue="1" operator="equal">
      <formula>-1</formula>
    </cfRule>
  </conditionalFormatting>
  <conditionalFormatting sqref="AH74">
    <cfRule type="cellIs" dxfId="22432" priority="167839" stopIfTrue="1" operator="lessThan">
      <formula>0.5</formula>
    </cfRule>
  </conditionalFormatting>
  <conditionalFormatting sqref="AH74">
    <cfRule type="cellIs" dxfId="22431" priority="167840" stopIfTrue="1" operator="greaterThanOrEqual">
      <formula>0.5</formula>
    </cfRule>
  </conditionalFormatting>
  <conditionalFormatting sqref="AH75">
    <cfRule type="cellIs" dxfId="22430" priority="167841" stopIfTrue="1" operator="equal">
      <formula>-1</formula>
    </cfRule>
  </conditionalFormatting>
  <conditionalFormatting sqref="AH75">
    <cfRule type="cellIs" dxfId="22429" priority="167842" stopIfTrue="1" operator="lessThan">
      <formula>0.5</formula>
    </cfRule>
  </conditionalFormatting>
  <conditionalFormatting sqref="AH75">
    <cfRule type="cellIs" dxfId="22428" priority="167843" stopIfTrue="1" operator="greaterThanOrEqual">
      <formula>0.5</formula>
    </cfRule>
  </conditionalFormatting>
  <conditionalFormatting sqref="AH76">
    <cfRule type="cellIs" dxfId="22427" priority="167844" stopIfTrue="1" operator="equal">
      <formula>-1</formula>
    </cfRule>
  </conditionalFormatting>
  <conditionalFormatting sqref="AH76">
    <cfRule type="cellIs" dxfId="22426" priority="167845" stopIfTrue="1" operator="lessThan">
      <formula>0.5</formula>
    </cfRule>
  </conditionalFormatting>
  <conditionalFormatting sqref="AH76">
    <cfRule type="cellIs" dxfId="22425" priority="167846" stopIfTrue="1" operator="greaterThanOrEqual">
      <formula>0.5</formula>
    </cfRule>
  </conditionalFormatting>
  <conditionalFormatting sqref="AH77">
    <cfRule type="cellIs" dxfId="22424" priority="167847" stopIfTrue="1" operator="equal">
      <formula>-1</formula>
    </cfRule>
  </conditionalFormatting>
  <conditionalFormatting sqref="AH77">
    <cfRule type="cellIs" dxfId="22423" priority="167848" stopIfTrue="1" operator="lessThan">
      <formula>0.5</formula>
    </cfRule>
  </conditionalFormatting>
  <conditionalFormatting sqref="AH77">
    <cfRule type="cellIs" dxfId="22422" priority="167849" stopIfTrue="1" operator="greaterThanOrEqual">
      <formula>0.5</formula>
    </cfRule>
  </conditionalFormatting>
  <conditionalFormatting sqref="AH78">
    <cfRule type="cellIs" dxfId="22421" priority="167850" stopIfTrue="1" operator="equal">
      <formula>-1</formula>
    </cfRule>
  </conditionalFormatting>
  <conditionalFormatting sqref="AH78">
    <cfRule type="cellIs" dxfId="22420" priority="167851" stopIfTrue="1" operator="lessThan">
      <formula>0.5</formula>
    </cfRule>
  </conditionalFormatting>
  <conditionalFormatting sqref="AH78">
    <cfRule type="cellIs" dxfId="22419" priority="167852" stopIfTrue="1" operator="greaterThanOrEqual">
      <formula>0.5</formula>
    </cfRule>
  </conditionalFormatting>
  <conditionalFormatting sqref="AH79">
    <cfRule type="cellIs" dxfId="22418" priority="167853" stopIfTrue="1" operator="equal">
      <formula>-1</formula>
    </cfRule>
  </conditionalFormatting>
  <conditionalFormatting sqref="AH79">
    <cfRule type="cellIs" dxfId="22417" priority="167854" stopIfTrue="1" operator="lessThan">
      <formula>0.5</formula>
    </cfRule>
  </conditionalFormatting>
  <conditionalFormatting sqref="AH79">
    <cfRule type="cellIs" dxfId="22416" priority="167855" stopIfTrue="1" operator="greaterThanOrEqual">
      <formula>0.5</formula>
    </cfRule>
  </conditionalFormatting>
  <conditionalFormatting sqref="AH80">
    <cfRule type="cellIs" dxfId="22415" priority="167856" stopIfTrue="1" operator="equal">
      <formula>-1</formula>
    </cfRule>
  </conditionalFormatting>
  <conditionalFormatting sqref="AH80">
    <cfRule type="cellIs" dxfId="22414" priority="167857" stopIfTrue="1" operator="lessThan">
      <formula>0.5</formula>
    </cfRule>
  </conditionalFormatting>
  <conditionalFormatting sqref="AH80">
    <cfRule type="cellIs" dxfId="22413" priority="167858" stopIfTrue="1" operator="greaterThanOrEqual">
      <formula>0.5</formula>
    </cfRule>
  </conditionalFormatting>
  <conditionalFormatting sqref="AH81">
    <cfRule type="cellIs" dxfId="22412" priority="167859" stopIfTrue="1" operator="equal">
      <formula>-1</formula>
    </cfRule>
  </conditionalFormatting>
  <conditionalFormatting sqref="AH81">
    <cfRule type="cellIs" dxfId="22411" priority="167860" stopIfTrue="1" operator="lessThan">
      <formula>0.5</formula>
    </cfRule>
  </conditionalFormatting>
  <conditionalFormatting sqref="AH81">
    <cfRule type="cellIs" dxfId="22410" priority="167861" stopIfTrue="1" operator="greaterThanOrEqual">
      <formula>0.5</formula>
    </cfRule>
  </conditionalFormatting>
  <conditionalFormatting sqref="AH82">
    <cfRule type="cellIs" dxfId="22409" priority="167862" stopIfTrue="1" operator="equal">
      <formula>-1</formula>
    </cfRule>
  </conditionalFormatting>
  <conditionalFormatting sqref="AH82">
    <cfRule type="cellIs" dxfId="22408" priority="167863" stopIfTrue="1" operator="lessThan">
      <formula>0.5</formula>
    </cfRule>
  </conditionalFormatting>
  <conditionalFormatting sqref="AH82">
    <cfRule type="cellIs" dxfId="22407" priority="167864" stopIfTrue="1" operator="greaterThanOrEqual">
      <formula>0.5</formula>
    </cfRule>
  </conditionalFormatting>
  <conditionalFormatting sqref="AH83">
    <cfRule type="cellIs" dxfId="22406" priority="167865" stopIfTrue="1" operator="equal">
      <formula>-1</formula>
    </cfRule>
  </conditionalFormatting>
  <conditionalFormatting sqref="AH83">
    <cfRule type="cellIs" dxfId="22405" priority="167866" stopIfTrue="1" operator="lessThan">
      <formula>0.5</formula>
    </cfRule>
  </conditionalFormatting>
  <conditionalFormatting sqref="AH83">
    <cfRule type="cellIs" dxfId="22404" priority="167867" stopIfTrue="1" operator="greaterThanOrEqual">
      <formula>0.5</formula>
    </cfRule>
  </conditionalFormatting>
  <conditionalFormatting sqref="AH84">
    <cfRule type="cellIs" dxfId="22403" priority="167868" stopIfTrue="1" operator="equal">
      <formula>-1</formula>
    </cfRule>
  </conditionalFormatting>
  <conditionalFormatting sqref="AH84">
    <cfRule type="cellIs" dxfId="22402" priority="167869" stopIfTrue="1" operator="lessThan">
      <formula>0.5</formula>
    </cfRule>
  </conditionalFormatting>
  <conditionalFormatting sqref="AH84">
    <cfRule type="cellIs" dxfId="22401" priority="167870" stopIfTrue="1" operator="greaterThanOrEqual">
      <formula>0.5</formula>
    </cfRule>
  </conditionalFormatting>
  <conditionalFormatting sqref="AH85">
    <cfRule type="cellIs" dxfId="22400" priority="167871" stopIfTrue="1" operator="equal">
      <formula>-1</formula>
    </cfRule>
  </conditionalFormatting>
  <conditionalFormatting sqref="AH85">
    <cfRule type="cellIs" dxfId="22399" priority="167872" stopIfTrue="1" operator="lessThan">
      <formula>0.5</formula>
    </cfRule>
  </conditionalFormatting>
  <conditionalFormatting sqref="AH85">
    <cfRule type="cellIs" dxfId="22398" priority="167873" stopIfTrue="1" operator="greaterThanOrEqual">
      <formula>0.5</formula>
    </cfRule>
  </conditionalFormatting>
  <conditionalFormatting sqref="AJ65">
    <cfRule type="cellIs" dxfId="22397" priority="167874" stopIfTrue="1" operator="equal">
      <formula>-1</formula>
    </cfRule>
  </conditionalFormatting>
  <conditionalFormatting sqref="AJ65">
    <cfRule type="cellIs" dxfId="22396" priority="167875" stopIfTrue="1" operator="lessThan">
      <formula>0.5</formula>
    </cfRule>
  </conditionalFormatting>
  <conditionalFormatting sqref="AJ65">
    <cfRule type="cellIs" dxfId="22395" priority="167876" stopIfTrue="1" operator="greaterThanOrEqual">
      <formula>0.5</formula>
    </cfRule>
  </conditionalFormatting>
  <conditionalFormatting sqref="AJ66">
    <cfRule type="cellIs" dxfId="22394" priority="167877" stopIfTrue="1" operator="equal">
      <formula>-1</formula>
    </cfRule>
  </conditionalFormatting>
  <conditionalFormatting sqref="AJ66">
    <cfRule type="cellIs" dxfId="22393" priority="167878" stopIfTrue="1" operator="lessThan">
      <formula>0.5</formula>
    </cfRule>
  </conditionalFormatting>
  <conditionalFormatting sqref="AJ66">
    <cfRule type="cellIs" dxfId="22392" priority="167879" stopIfTrue="1" operator="greaterThanOrEqual">
      <formula>0.5</formula>
    </cfRule>
  </conditionalFormatting>
  <conditionalFormatting sqref="AJ67">
    <cfRule type="cellIs" dxfId="22391" priority="167880" stopIfTrue="1" operator="equal">
      <formula>-1</formula>
    </cfRule>
  </conditionalFormatting>
  <conditionalFormatting sqref="AJ67">
    <cfRule type="cellIs" dxfId="22390" priority="167881" stopIfTrue="1" operator="lessThan">
      <formula>0.5</formula>
    </cfRule>
  </conditionalFormatting>
  <conditionalFormatting sqref="AJ67">
    <cfRule type="cellIs" dxfId="22389" priority="167882" stopIfTrue="1" operator="greaterThanOrEqual">
      <formula>0.5</formula>
    </cfRule>
  </conditionalFormatting>
  <conditionalFormatting sqref="AJ68">
    <cfRule type="cellIs" dxfId="22388" priority="167883" stopIfTrue="1" operator="equal">
      <formula>-1</formula>
    </cfRule>
  </conditionalFormatting>
  <conditionalFormatting sqref="AJ68">
    <cfRule type="cellIs" dxfId="22387" priority="167884" stopIfTrue="1" operator="lessThan">
      <formula>0.5</formula>
    </cfRule>
  </conditionalFormatting>
  <conditionalFormatting sqref="AJ68">
    <cfRule type="cellIs" dxfId="22386" priority="167885" stopIfTrue="1" operator="greaterThanOrEqual">
      <formula>0.5</formula>
    </cfRule>
  </conditionalFormatting>
  <conditionalFormatting sqref="AJ69">
    <cfRule type="cellIs" dxfId="22385" priority="167886" stopIfTrue="1" operator="equal">
      <formula>-1</formula>
    </cfRule>
  </conditionalFormatting>
  <conditionalFormatting sqref="AJ69">
    <cfRule type="cellIs" dxfId="22384" priority="167887" stopIfTrue="1" operator="lessThan">
      <formula>0.5</formula>
    </cfRule>
  </conditionalFormatting>
  <conditionalFormatting sqref="AJ69">
    <cfRule type="cellIs" dxfId="22383" priority="167888" stopIfTrue="1" operator="greaterThanOrEqual">
      <formula>0.5</formula>
    </cfRule>
  </conditionalFormatting>
  <conditionalFormatting sqref="AJ70">
    <cfRule type="cellIs" dxfId="22382" priority="167889" stopIfTrue="1" operator="equal">
      <formula>-1</formula>
    </cfRule>
  </conditionalFormatting>
  <conditionalFormatting sqref="AJ70">
    <cfRule type="cellIs" dxfId="22381" priority="167890" stopIfTrue="1" operator="lessThan">
      <formula>0.5</formula>
    </cfRule>
  </conditionalFormatting>
  <conditionalFormatting sqref="AJ70">
    <cfRule type="cellIs" dxfId="22380" priority="167891" stopIfTrue="1" operator="greaterThanOrEqual">
      <formula>0.5</formula>
    </cfRule>
  </conditionalFormatting>
  <conditionalFormatting sqref="AJ71">
    <cfRule type="cellIs" dxfId="22379" priority="167892" stopIfTrue="1" operator="equal">
      <formula>-1</formula>
    </cfRule>
  </conditionalFormatting>
  <conditionalFormatting sqref="AJ71">
    <cfRule type="cellIs" dxfId="22378" priority="167893" stopIfTrue="1" operator="lessThan">
      <formula>0.5</formula>
    </cfRule>
  </conditionalFormatting>
  <conditionalFormatting sqref="AJ71">
    <cfRule type="cellIs" dxfId="22377" priority="167894" stopIfTrue="1" operator="greaterThanOrEqual">
      <formula>0.5</formula>
    </cfRule>
  </conditionalFormatting>
  <conditionalFormatting sqref="AJ72">
    <cfRule type="cellIs" dxfId="22376" priority="167895" stopIfTrue="1" operator="equal">
      <formula>-1</formula>
    </cfRule>
  </conditionalFormatting>
  <conditionalFormatting sqref="AJ72">
    <cfRule type="cellIs" dxfId="22375" priority="167896" stopIfTrue="1" operator="lessThan">
      <formula>0.5</formula>
    </cfRule>
  </conditionalFormatting>
  <conditionalFormatting sqref="AJ72">
    <cfRule type="cellIs" dxfId="22374" priority="167897" stopIfTrue="1" operator="greaterThanOrEqual">
      <formula>0.5</formula>
    </cfRule>
  </conditionalFormatting>
  <conditionalFormatting sqref="AJ73">
    <cfRule type="cellIs" dxfId="22373" priority="167898" stopIfTrue="1" operator="equal">
      <formula>-1</formula>
    </cfRule>
  </conditionalFormatting>
  <conditionalFormatting sqref="AJ73">
    <cfRule type="cellIs" dxfId="22372" priority="167899" stopIfTrue="1" operator="lessThan">
      <formula>0.5</formula>
    </cfRule>
  </conditionalFormatting>
  <conditionalFormatting sqref="AJ73">
    <cfRule type="cellIs" dxfId="22371" priority="167900" stopIfTrue="1" operator="greaterThanOrEqual">
      <formula>0.5</formula>
    </cfRule>
  </conditionalFormatting>
  <conditionalFormatting sqref="AJ74">
    <cfRule type="cellIs" dxfId="22370" priority="167901" stopIfTrue="1" operator="equal">
      <formula>-1</formula>
    </cfRule>
  </conditionalFormatting>
  <conditionalFormatting sqref="AJ74">
    <cfRule type="cellIs" dxfId="22369" priority="167902" stopIfTrue="1" operator="lessThan">
      <formula>0.5</formula>
    </cfRule>
  </conditionalFormatting>
  <conditionalFormatting sqref="AJ74">
    <cfRule type="cellIs" dxfId="22368" priority="167903" stopIfTrue="1" operator="greaterThanOrEqual">
      <formula>0.5</formula>
    </cfRule>
  </conditionalFormatting>
  <conditionalFormatting sqref="AJ75">
    <cfRule type="cellIs" dxfId="22367" priority="167904" stopIfTrue="1" operator="equal">
      <formula>-1</formula>
    </cfRule>
  </conditionalFormatting>
  <conditionalFormatting sqref="AJ75">
    <cfRule type="cellIs" dxfId="22366" priority="167905" stopIfTrue="1" operator="lessThan">
      <formula>0.5</formula>
    </cfRule>
  </conditionalFormatting>
  <conditionalFormatting sqref="AJ75">
    <cfRule type="cellIs" dxfId="22365" priority="167906" stopIfTrue="1" operator="greaterThanOrEqual">
      <formula>0.5</formula>
    </cfRule>
  </conditionalFormatting>
  <conditionalFormatting sqref="AJ76">
    <cfRule type="cellIs" dxfId="22364" priority="167907" stopIfTrue="1" operator="equal">
      <formula>-1</formula>
    </cfRule>
  </conditionalFormatting>
  <conditionalFormatting sqref="AJ76">
    <cfRule type="cellIs" dxfId="22363" priority="167908" stopIfTrue="1" operator="lessThan">
      <formula>0.5</formula>
    </cfRule>
  </conditionalFormatting>
  <conditionalFormatting sqref="AJ76">
    <cfRule type="cellIs" dxfId="22362" priority="167909" stopIfTrue="1" operator="greaterThanOrEqual">
      <formula>0.5</formula>
    </cfRule>
  </conditionalFormatting>
  <conditionalFormatting sqref="AJ77">
    <cfRule type="cellIs" dxfId="22361" priority="167910" stopIfTrue="1" operator="equal">
      <formula>-1</formula>
    </cfRule>
  </conditionalFormatting>
  <conditionalFormatting sqref="AJ77">
    <cfRule type="cellIs" dxfId="22360" priority="167911" stopIfTrue="1" operator="lessThan">
      <formula>0.5</formula>
    </cfRule>
  </conditionalFormatting>
  <conditionalFormatting sqref="AJ77">
    <cfRule type="cellIs" dxfId="22359" priority="167912" stopIfTrue="1" operator="greaterThanOrEqual">
      <formula>0.5</formula>
    </cfRule>
  </conditionalFormatting>
  <conditionalFormatting sqref="AJ78">
    <cfRule type="cellIs" dxfId="22358" priority="167913" stopIfTrue="1" operator="equal">
      <formula>-1</formula>
    </cfRule>
  </conditionalFormatting>
  <conditionalFormatting sqref="AJ78">
    <cfRule type="cellIs" dxfId="22357" priority="167914" stopIfTrue="1" operator="lessThan">
      <formula>0.5</formula>
    </cfRule>
  </conditionalFormatting>
  <conditionalFormatting sqref="AJ78">
    <cfRule type="cellIs" dxfId="22356" priority="167915" stopIfTrue="1" operator="greaterThanOrEqual">
      <formula>0.5</formula>
    </cfRule>
  </conditionalFormatting>
  <conditionalFormatting sqref="AJ79">
    <cfRule type="cellIs" dxfId="22355" priority="167916" stopIfTrue="1" operator="equal">
      <formula>-1</formula>
    </cfRule>
  </conditionalFormatting>
  <conditionalFormatting sqref="AJ79">
    <cfRule type="cellIs" dxfId="22354" priority="167917" stopIfTrue="1" operator="lessThan">
      <formula>0.5</formula>
    </cfRule>
  </conditionalFormatting>
  <conditionalFormatting sqref="AJ79">
    <cfRule type="cellIs" dxfId="22353" priority="167918" stopIfTrue="1" operator="greaterThanOrEqual">
      <formula>0.5</formula>
    </cfRule>
  </conditionalFormatting>
  <conditionalFormatting sqref="AJ80">
    <cfRule type="cellIs" dxfId="22352" priority="167919" stopIfTrue="1" operator="equal">
      <formula>-1</formula>
    </cfRule>
  </conditionalFormatting>
  <conditionalFormatting sqref="AJ80">
    <cfRule type="cellIs" dxfId="22351" priority="167920" stopIfTrue="1" operator="lessThan">
      <formula>0.5</formula>
    </cfRule>
  </conditionalFormatting>
  <conditionalFormatting sqref="AJ80">
    <cfRule type="cellIs" dxfId="22350" priority="167921" stopIfTrue="1" operator="greaterThanOrEqual">
      <formula>0.5</formula>
    </cfRule>
  </conditionalFormatting>
  <conditionalFormatting sqref="AJ81">
    <cfRule type="cellIs" dxfId="22349" priority="167922" stopIfTrue="1" operator="equal">
      <formula>-1</formula>
    </cfRule>
  </conditionalFormatting>
  <conditionalFormatting sqref="AJ81">
    <cfRule type="cellIs" dxfId="22348" priority="167923" stopIfTrue="1" operator="lessThan">
      <formula>0.5</formula>
    </cfRule>
  </conditionalFormatting>
  <conditionalFormatting sqref="AJ81">
    <cfRule type="cellIs" dxfId="22347" priority="167924" stopIfTrue="1" operator="greaterThanOrEqual">
      <formula>0.5</formula>
    </cfRule>
  </conditionalFormatting>
  <conditionalFormatting sqref="AJ82">
    <cfRule type="cellIs" dxfId="22346" priority="167925" stopIfTrue="1" operator="equal">
      <formula>-1</formula>
    </cfRule>
  </conditionalFormatting>
  <conditionalFormatting sqref="AJ82">
    <cfRule type="cellIs" dxfId="22345" priority="167926" stopIfTrue="1" operator="lessThan">
      <formula>0.5</formula>
    </cfRule>
  </conditionalFormatting>
  <conditionalFormatting sqref="AJ82">
    <cfRule type="cellIs" dxfId="22344" priority="167927" stopIfTrue="1" operator="greaterThanOrEqual">
      <formula>0.5</formula>
    </cfRule>
  </conditionalFormatting>
  <conditionalFormatting sqref="AJ83">
    <cfRule type="cellIs" dxfId="22343" priority="167928" stopIfTrue="1" operator="equal">
      <formula>-1</formula>
    </cfRule>
  </conditionalFormatting>
  <conditionalFormatting sqref="AJ83">
    <cfRule type="cellIs" dxfId="22342" priority="167929" stopIfTrue="1" operator="lessThan">
      <formula>0.5</formula>
    </cfRule>
  </conditionalFormatting>
  <conditionalFormatting sqref="AJ83">
    <cfRule type="cellIs" dxfId="22341" priority="167930" stopIfTrue="1" operator="greaterThanOrEqual">
      <formula>0.5</formula>
    </cfRule>
  </conditionalFormatting>
  <conditionalFormatting sqref="AJ84">
    <cfRule type="cellIs" dxfId="22340" priority="167931" stopIfTrue="1" operator="equal">
      <formula>-1</formula>
    </cfRule>
  </conditionalFormatting>
  <conditionalFormatting sqref="AJ84">
    <cfRule type="cellIs" dxfId="22339" priority="167932" stopIfTrue="1" operator="lessThan">
      <formula>0.5</formula>
    </cfRule>
  </conditionalFormatting>
  <conditionalFormatting sqref="AJ84">
    <cfRule type="cellIs" dxfId="22338" priority="167933" stopIfTrue="1" operator="greaterThanOrEqual">
      <formula>0.5</formula>
    </cfRule>
  </conditionalFormatting>
  <conditionalFormatting sqref="AJ85">
    <cfRule type="cellIs" dxfId="22337" priority="167934" stopIfTrue="1" operator="equal">
      <formula>-1</formula>
    </cfRule>
  </conditionalFormatting>
  <conditionalFormatting sqref="AJ85">
    <cfRule type="cellIs" dxfId="22336" priority="167935" stopIfTrue="1" operator="lessThan">
      <formula>0.5</formula>
    </cfRule>
  </conditionalFormatting>
  <conditionalFormatting sqref="AJ85">
    <cfRule type="cellIs" dxfId="22335" priority="167936" stopIfTrue="1" operator="greaterThanOrEqual">
      <formula>0.5</formula>
    </cfRule>
  </conditionalFormatting>
  <conditionalFormatting sqref="AL65">
    <cfRule type="cellIs" dxfId="22334" priority="167937" stopIfTrue="1" operator="equal">
      <formula>-1</formula>
    </cfRule>
  </conditionalFormatting>
  <conditionalFormatting sqref="AL65">
    <cfRule type="cellIs" dxfId="22333" priority="167938" stopIfTrue="1" operator="lessThan">
      <formula>0.5</formula>
    </cfRule>
  </conditionalFormatting>
  <conditionalFormatting sqref="AL65">
    <cfRule type="cellIs" dxfId="22332" priority="167939" stopIfTrue="1" operator="greaterThanOrEqual">
      <formula>0.5</formula>
    </cfRule>
  </conditionalFormatting>
  <conditionalFormatting sqref="AL66">
    <cfRule type="cellIs" dxfId="22331" priority="167940" stopIfTrue="1" operator="equal">
      <formula>-1</formula>
    </cfRule>
  </conditionalFormatting>
  <conditionalFormatting sqref="AL66">
    <cfRule type="cellIs" dxfId="22330" priority="167941" stopIfTrue="1" operator="lessThan">
      <formula>0.5</formula>
    </cfRule>
  </conditionalFormatting>
  <conditionalFormatting sqref="AL66">
    <cfRule type="cellIs" dxfId="22329" priority="167942" stopIfTrue="1" operator="greaterThanOrEqual">
      <formula>0.5</formula>
    </cfRule>
  </conditionalFormatting>
  <conditionalFormatting sqref="AL67">
    <cfRule type="cellIs" dxfId="22328" priority="167943" stopIfTrue="1" operator="equal">
      <formula>-1</formula>
    </cfRule>
  </conditionalFormatting>
  <conditionalFormatting sqref="AL67">
    <cfRule type="cellIs" dxfId="22327" priority="167944" stopIfTrue="1" operator="lessThan">
      <formula>0.5</formula>
    </cfRule>
  </conditionalFormatting>
  <conditionalFormatting sqref="AL67">
    <cfRule type="cellIs" dxfId="22326" priority="167945" stopIfTrue="1" operator="greaterThanOrEqual">
      <formula>0.5</formula>
    </cfRule>
  </conditionalFormatting>
  <conditionalFormatting sqref="AL68">
    <cfRule type="cellIs" dxfId="22325" priority="167946" stopIfTrue="1" operator="equal">
      <formula>-1</formula>
    </cfRule>
  </conditionalFormatting>
  <conditionalFormatting sqref="AL68">
    <cfRule type="cellIs" dxfId="22324" priority="167947" stopIfTrue="1" operator="lessThan">
      <formula>0.5</formula>
    </cfRule>
  </conditionalFormatting>
  <conditionalFormatting sqref="AL68">
    <cfRule type="cellIs" dxfId="22323" priority="167948" stopIfTrue="1" operator="greaterThanOrEqual">
      <formula>0.5</formula>
    </cfRule>
  </conditionalFormatting>
  <conditionalFormatting sqref="AL69">
    <cfRule type="cellIs" dxfId="22322" priority="167949" stopIfTrue="1" operator="equal">
      <formula>-1</formula>
    </cfRule>
  </conditionalFormatting>
  <conditionalFormatting sqref="AL69">
    <cfRule type="cellIs" dxfId="22321" priority="167950" stopIfTrue="1" operator="lessThan">
      <formula>0.5</formula>
    </cfRule>
  </conditionalFormatting>
  <conditionalFormatting sqref="AL69">
    <cfRule type="cellIs" dxfId="22320" priority="167951" stopIfTrue="1" operator="greaterThanOrEqual">
      <formula>0.5</formula>
    </cfRule>
  </conditionalFormatting>
  <conditionalFormatting sqref="AL70">
    <cfRule type="cellIs" dxfId="22319" priority="167952" stopIfTrue="1" operator="equal">
      <formula>-1</formula>
    </cfRule>
  </conditionalFormatting>
  <conditionalFormatting sqref="AL70">
    <cfRule type="cellIs" dxfId="22318" priority="167953" stopIfTrue="1" operator="lessThan">
      <formula>0.5</formula>
    </cfRule>
  </conditionalFormatting>
  <conditionalFormatting sqref="AL70">
    <cfRule type="cellIs" dxfId="22317" priority="167954" stopIfTrue="1" operator="greaterThanOrEqual">
      <formula>0.5</formula>
    </cfRule>
  </conditionalFormatting>
  <conditionalFormatting sqref="AL71">
    <cfRule type="cellIs" dxfId="22316" priority="167955" stopIfTrue="1" operator="equal">
      <formula>-1</formula>
    </cfRule>
  </conditionalFormatting>
  <conditionalFormatting sqref="AL71">
    <cfRule type="cellIs" dxfId="22315" priority="167956" stopIfTrue="1" operator="lessThan">
      <formula>0.5</formula>
    </cfRule>
  </conditionalFormatting>
  <conditionalFormatting sqref="AL71">
    <cfRule type="cellIs" dxfId="22314" priority="167957" stopIfTrue="1" operator="greaterThanOrEqual">
      <formula>0.5</formula>
    </cfRule>
  </conditionalFormatting>
  <conditionalFormatting sqref="AL72">
    <cfRule type="cellIs" dxfId="22313" priority="167958" stopIfTrue="1" operator="equal">
      <formula>-1</formula>
    </cfRule>
  </conditionalFormatting>
  <conditionalFormatting sqref="AL72">
    <cfRule type="cellIs" dxfId="22312" priority="167959" stopIfTrue="1" operator="lessThan">
      <formula>0.5</formula>
    </cfRule>
  </conditionalFormatting>
  <conditionalFormatting sqref="AL72">
    <cfRule type="cellIs" dxfId="22311" priority="167960" stopIfTrue="1" operator="greaterThanOrEqual">
      <formula>0.5</formula>
    </cfRule>
  </conditionalFormatting>
  <conditionalFormatting sqref="AL73">
    <cfRule type="cellIs" dxfId="22310" priority="167961" stopIfTrue="1" operator="equal">
      <formula>-1</formula>
    </cfRule>
  </conditionalFormatting>
  <conditionalFormatting sqref="AL73">
    <cfRule type="cellIs" dxfId="22309" priority="167962" stopIfTrue="1" operator="lessThan">
      <formula>0.5</formula>
    </cfRule>
  </conditionalFormatting>
  <conditionalFormatting sqref="AL73">
    <cfRule type="cellIs" dxfId="22308" priority="167963" stopIfTrue="1" operator="greaterThanOrEqual">
      <formula>0.5</formula>
    </cfRule>
  </conditionalFormatting>
  <conditionalFormatting sqref="AL74">
    <cfRule type="cellIs" dxfId="22307" priority="167964" stopIfTrue="1" operator="equal">
      <formula>-1</formula>
    </cfRule>
  </conditionalFormatting>
  <conditionalFormatting sqref="AL74">
    <cfRule type="cellIs" dxfId="22306" priority="167965" stopIfTrue="1" operator="lessThan">
      <formula>0.5</formula>
    </cfRule>
  </conditionalFormatting>
  <conditionalFormatting sqref="AL74">
    <cfRule type="cellIs" dxfId="22305" priority="167966" stopIfTrue="1" operator="greaterThanOrEqual">
      <formula>0.5</formula>
    </cfRule>
  </conditionalFormatting>
  <conditionalFormatting sqref="AL75">
    <cfRule type="cellIs" dxfId="22304" priority="167967" stopIfTrue="1" operator="equal">
      <formula>-1</formula>
    </cfRule>
  </conditionalFormatting>
  <conditionalFormatting sqref="AL75">
    <cfRule type="cellIs" dxfId="22303" priority="167968" stopIfTrue="1" operator="lessThan">
      <formula>0.5</formula>
    </cfRule>
  </conditionalFormatting>
  <conditionalFormatting sqref="AL75">
    <cfRule type="cellIs" dxfId="22302" priority="167969" stopIfTrue="1" operator="greaterThanOrEqual">
      <formula>0.5</formula>
    </cfRule>
  </conditionalFormatting>
  <conditionalFormatting sqref="AL76">
    <cfRule type="cellIs" dxfId="22301" priority="167970" stopIfTrue="1" operator="equal">
      <formula>-1</formula>
    </cfRule>
  </conditionalFormatting>
  <conditionalFormatting sqref="AL76">
    <cfRule type="cellIs" dxfId="22300" priority="167971" stopIfTrue="1" operator="lessThan">
      <formula>0.5</formula>
    </cfRule>
  </conditionalFormatting>
  <conditionalFormatting sqref="AL76">
    <cfRule type="cellIs" dxfId="22299" priority="167972" stopIfTrue="1" operator="greaterThanOrEqual">
      <formula>0.5</formula>
    </cfRule>
  </conditionalFormatting>
  <conditionalFormatting sqref="AL77">
    <cfRule type="cellIs" dxfId="22298" priority="167973" stopIfTrue="1" operator="equal">
      <formula>-1</formula>
    </cfRule>
  </conditionalFormatting>
  <conditionalFormatting sqref="AL77">
    <cfRule type="cellIs" dxfId="22297" priority="167974" stopIfTrue="1" operator="lessThan">
      <formula>0.5</formula>
    </cfRule>
  </conditionalFormatting>
  <conditionalFormatting sqref="AL77">
    <cfRule type="cellIs" dxfId="22296" priority="167975" stopIfTrue="1" operator="greaterThanOrEqual">
      <formula>0.5</formula>
    </cfRule>
  </conditionalFormatting>
  <conditionalFormatting sqref="AL78">
    <cfRule type="cellIs" dxfId="22295" priority="167976" stopIfTrue="1" operator="equal">
      <formula>-1</formula>
    </cfRule>
  </conditionalFormatting>
  <conditionalFormatting sqref="AL78">
    <cfRule type="cellIs" dxfId="22294" priority="167977" stopIfTrue="1" operator="lessThan">
      <formula>0.5</formula>
    </cfRule>
  </conditionalFormatting>
  <conditionalFormatting sqref="AL78">
    <cfRule type="cellIs" dxfId="22293" priority="167978" stopIfTrue="1" operator="greaterThanOrEqual">
      <formula>0.5</formula>
    </cfRule>
  </conditionalFormatting>
  <conditionalFormatting sqref="AL79">
    <cfRule type="cellIs" dxfId="22292" priority="167979" stopIfTrue="1" operator="equal">
      <formula>-1</formula>
    </cfRule>
  </conditionalFormatting>
  <conditionalFormatting sqref="AL79">
    <cfRule type="cellIs" dxfId="22291" priority="167980" stopIfTrue="1" operator="lessThan">
      <formula>0.5</formula>
    </cfRule>
  </conditionalFormatting>
  <conditionalFormatting sqref="AL79">
    <cfRule type="cellIs" dxfId="22290" priority="167981" stopIfTrue="1" operator="greaterThanOrEqual">
      <formula>0.5</formula>
    </cfRule>
  </conditionalFormatting>
  <conditionalFormatting sqref="AL80">
    <cfRule type="cellIs" dxfId="22289" priority="167982" stopIfTrue="1" operator="equal">
      <formula>-1</formula>
    </cfRule>
  </conditionalFormatting>
  <conditionalFormatting sqref="AL80">
    <cfRule type="cellIs" dxfId="22288" priority="167983" stopIfTrue="1" operator="lessThan">
      <formula>0.5</formula>
    </cfRule>
  </conditionalFormatting>
  <conditionalFormatting sqref="AL80">
    <cfRule type="cellIs" dxfId="22287" priority="167984" stopIfTrue="1" operator="greaterThanOrEqual">
      <formula>0.5</formula>
    </cfRule>
  </conditionalFormatting>
  <conditionalFormatting sqref="AL81">
    <cfRule type="cellIs" dxfId="22286" priority="167985" stopIfTrue="1" operator="equal">
      <formula>-1</formula>
    </cfRule>
  </conditionalFormatting>
  <conditionalFormatting sqref="AL81">
    <cfRule type="cellIs" dxfId="22285" priority="167986" stopIfTrue="1" operator="lessThan">
      <formula>0.5</formula>
    </cfRule>
  </conditionalFormatting>
  <conditionalFormatting sqref="AL81">
    <cfRule type="cellIs" dxfId="22284" priority="167987" stopIfTrue="1" operator="greaterThanOrEqual">
      <formula>0.5</formula>
    </cfRule>
  </conditionalFormatting>
  <conditionalFormatting sqref="AL82">
    <cfRule type="cellIs" dxfId="22283" priority="167988" stopIfTrue="1" operator="equal">
      <formula>-1</formula>
    </cfRule>
  </conditionalFormatting>
  <conditionalFormatting sqref="AL82">
    <cfRule type="cellIs" dxfId="22282" priority="167989" stopIfTrue="1" operator="lessThan">
      <formula>0.5</formula>
    </cfRule>
  </conditionalFormatting>
  <conditionalFormatting sqref="AL82">
    <cfRule type="cellIs" dxfId="22281" priority="167990" stopIfTrue="1" operator="greaterThanOrEqual">
      <formula>0.5</formula>
    </cfRule>
  </conditionalFormatting>
  <conditionalFormatting sqref="AL83">
    <cfRule type="cellIs" dxfId="22280" priority="167991" stopIfTrue="1" operator="equal">
      <formula>-1</formula>
    </cfRule>
  </conditionalFormatting>
  <conditionalFormatting sqref="AL83">
    <cfRule type="cellIs" dxfId="22279" priority="167992" stopIfTrue="1" operator="lessThan">
      <formula>0.5</formula>
    </cfRule>
  </conditionalFormatting>
  <conditionalFormatting sqref="AL83">
    <cfRule type="cellIs" dxfId="22278" priority="167993" stopIfTrue="1" operator="greaterThanOrEqual">
      <formula>0.5</formula>
    </cfRule>
  </conditionalFormatting>
  <conditionalFormatting sqref="AL84">
    <cfRule type="cellIs" dxfId="22277" priority="167994" stopIfTrue="1" operator="equal">
      <formula>-1</formula>
    </cfRule>
  </conditionalFormatting>
  <conditionalFormatting sqref="AL84">
    <cfRule type="cellIs" dxfId="22276" priority="167995" stopIfTrue="1" operator="lessThan">
      <formula>0.5</formula>
    </cfRule>
  </conditionalFormatting>
  <conditionalFormatting sqref="AL84">
    <cfRule type="cellIs" dxfId="22275" priority="167996" stopIfTrue="1" operator="greaterThanOrEqual">
      <formula>0.5</formula>
    </cfRule>
  </conditionalFormatting>
  <conditionalFormatting sqref="AL85">
    <cfRule type="cellIs" dxfId="22274" priority="167997" stopIfTrue="1" operator="equal">
      <formula>-1</formula>
    </cfRule>
  </conditionalFormatting>
  <conditionalFormatting sqref="AL85">
    <cfRule type="cellIs" dxfId="22273" priority="167998" stopIfTrue="1" operator="lessThan">
      <formula>0.5</formula>
    </cfRule>
  </conditionalFormatting>
  <conditionalFormatting sqref="AL85">
    <cfRule type="cellIs" dxfId="22272" priority="167999" stopIfTrue="1" operator="greaterThanOrEqual">
      <formula>0.5</formula>
    </cfRule>
  </conditionalFormatting>
  <conditionalFormatting sqref="AN65">
    <cfRule type="cellIs" dxfId="22271" priority="168000" stopIfTrue="1" operator="equal">
      <formula>-1</formula>
    </cfRule>
  </conditionalFormatting>
  <conditionalFormatting sqref="AN65">
    <cfRule type="cellIs" dxfId="22270" priority="168001" stopIfTrue="1" operator="lessThan">
      <formula>0.5</formula>
    </cfRule>
  </conditionalFormatting>
  <conditionalFormatting sqref="AN65">
    <cfRule type="cellIs" dxfId="22269" priority="168002" stopIfTrue="1" operator="greaterThanOrEqual">
      <formula>0.5</formula>
    </cfRule>
  </conditionalFormatting>
  <conditionalFormatting sqref="AN66">
    <cfRule type="cellIs" dxfId="22268" priority="168003" stopIfTrue="1" operator="equal">
      <formula>-1</formula>
    </cfRule>
  </conditionalFormatting>
  <conditionalFormatting sqref="AN66">
    <cfRule type="cellIs" dxfId="22267" priority="168004" stopIfTrue="1" operator="lessThan">
      <formula>0.5</formula>
    </cfRule>
  </conditionalFormatting>
  <conditionalFormatting sqref="AN66">
    <cfRule type="cellIs" dxfId="22266" priority="168005" stopIfTrue="1" operator="greaterThanOrEqual">
      <formula>0.5</formula>
    </cfRule>
  </conditionalFormatting>
  <conditionalFormatting sqref="AN67">
    <cfRule type="cellIs" dxfId="22265" priority="168006" stopIfTrue="1" operator="equal">
      <formula>-1</formula>
    </cfRule>
  </conditionalFormatting>
  <conditionalFormatting sqref="AN67">
    <cfRule type="cellIs" dxfId="22264" priority="168007" stopIfTrue="1" operator="lessThan">
      <formula>0.5</formula>
    </cfRule>
  </conditionalFormatting>
  <conditionalFormatting sqref="AN67">
    <cfRule type="cellIs" dxfId="22263" priority="168008" stopIfTrue="1" operator="greaterThanOrEqual">
      <formula>0.5</formula>
    </cfRule>
  </conditionalFormatting>
  <conditionalFormatting sqref="AN68">
    <cfRule type="cellIs" dxfId="22262" priority="168009" stopIfTrue="1" operator="equal">
      <formula>-1</formula>
    </cfRule>
  </conditionalFormatting>
  <conditionalFormatting sqref="AN68">
    <cfRule type="cellIs" dxfId="22261" priority="168010" stopIfTrue="1" operator="lessThan">
      <formula>0.5</formula>
    </cfRule>
  </conditionalFormatting>
  <conditionalFormatting sqref="AN68">
    <cfRule type="cellIs" dxfId="22260" priority="168011" stopIfTrue="1" operator="greaterThanOrEqual">
      <formula>0.5</formula>
    </cfRule>
  </conditionalFormatting>
  <conditionalFormatting sqref="AN69">
    <cfRule type="cellIs" dxfId="22259" priority="168012" stopIfTrue="1" operator="equal">
      <formula>-1</formula>
    </cfRule>
  </conditionalFormatting>
  <conditionalFormatting sqref="AN69">
    <cfRule type="cellIs" dxfId="22258" priority="168013" stopIfTrue="1" operator="lessThan">
      <formula>0.5</formula>
    </cfRule>
  </conditionalFormatting>
  <conditionalFormatting sqref="AN69">
    <cfRule type="cellIs" dxfId="22257" priority="168014" stopIfTrue="1" operator="greaterThanOrEqual">
      <formula>0.5</formula>
    </cfRule>
  </conditionalFormatting>
  <conditionalFormatting sqref="AN70">
    <cfRule type="cellIs" dxfId="22256" priority="168015" stopIfTrue="1" operator="equal">
      <formula>-1</formula>
    </cfRule>
  </conditionalFormatting>
  <conditionalFormatting sqref="AN70">
    <cfRule type="cellIs" dxfId="22255" priority="168016" stopIfTrue="1" operator="lessThan">
      <formula>0.5</formula>
    </cfRule>
  </conditionalFormatting>
  <conditionalFormatting sqref="AN70">
    <cfRule type="cellIs" dxfId="22254" priority="168017" stopIfTrue="1" operator="greaterThanOrEqual">
      <formula>0.5</formula>
    </cfRule>
  </conditionalFormatting>
  <conditionalFormatting sqref="AN71">
    <cfRule type="cellIs" dxfId="22253" priority="168018" stopIfTrue="1" operator="equal">
      <formula>-1</formula>
    </cfRule>
  </conditionalFormatting>
  <conditionalFormatting sqref="AN71">
    <cfRule type="cellIs" dxfId="22252" priority="168019" stopIfTrue="1" operator="lessThan">
      <formula>0.5</formula>
    </cfRule>
  </conditionalFormatting>
  <conditionalFormatting sqref="AN71">
    <cfRule type="cellIs" dxfId="22251" priority="168020" stopIfTrue="1" operator="greaterThanOrEqual">
      <formula>0.5</formula>
    </cfRule>
  </conditionalFormatting>
  <conditionalFormatting sqref="AN72">
    <cfRule type="cellIs" dxfId="22250" priority="168021" stopIfTrue="1" operator="equal">
      <formula>-1</formula>
    </cfRule>
  </conditionalFormatting>
  <conditionalFormatting sqref="AN72">
    <cfRule type="cellIs" dxfId="22249" priority="168022" stopIfTrue="1" operator="lessThan">
      <formula>0.5</formula>
    </cfRule>
  </conditionalFormatting>
  <conditionalFormatting sqref="AN72">
    <cfRule type="cellIs" dxfId="22248" priority="168023" stopIfTrue="1" operator="greaterThanOrEqual">
      <formula>0.5</formula>
    </cfRule>
  </conditionalFormatting>
  <conditionalFormatting sqref="AN73">
    <cfRule type="cellIs" dxfId="22247" priority="168024" stopIfTrue="1" operator="equal">
      <formula>-1</formula>
    </cfRule>
  </conditionalFormatting>
  <conditionalFormatting sqref="AN73">
    <cfRule type="cellIs" dxfId="22246" priority="168025" stopIfTrue="1" operator="lessThan">
      <formula>0.5</formula>
    </cfRule>
  </conditionalFormatting>
  <conditionalFormatting sqref="AN73">
    <cfRule type="cellIs" dxfId="22245" priority="168026" stopIfTrue="1" operator="greaterThanOrEqual">
      <formula>0.5</formula>
    </cfRule>
  </conditionalFormatting>
  <conditionalFormatting sqref="AN74">
    <cfRule type="cellIs" dxfId="22244" priority="168027" stopIfTrue="1" operator="equal">
      <formula>-1</formula>
    </cfRule>
  </conditionalFormatting>
  <conditionalFormatting sqref="AN74">
    <cfRule type="cellIs" dxfId="22243" priority="168028" stopIfTrue="1" operator="lessThan">
      <formula>0.5</formula>
    </cfRule>
  </conditionalFormatting>
  <conditionalFormatting sqref="AN74">
    <cfRule type="cellIs" dxfId="22242" priority="168029" stopIfTrue="1" operator="greaterThanOrEqual">
      <formula>0.5</formula>
    </cfRule>
  </conditionalFormatting>
  <conditionalFormatting sqref="AN75">
    <cfRule type="cellIs" dxfId="22241" priority="168030" stopIfTrue="1" operator="equal">
      <formula>-1</formula>
    </cfRule>
  </conditionalFormatting>
  <conditionalFormatting sqref="AN75">
    <cfRule type="cellIs" dxfId="22240" priority="168031" stopIfTrue="1" operator="lessThan">
      <formula>0.5</formula>
    </cfRule>
  </conditionalFormatting>
  <conditionalFormatting sqref="AN75">
    <cfRule type="cellIs" dxfId="22239" priority="168032" stopIfTrue="1" operator="greaterThanOrEqual">
      <formula>0.5</formula>
    </cfRule>
  </conditionalFormatting>
  <conditionalFormatting sqref="AN76">
    <cfRule type="cellIs" dxfId="22238" priority="168033" stopIfTrue="1" operator="equal">
      <formula>-1</formula>
    </cfRule>
  </conditionalFormatting>
  <conditionalFormatting sqref="AN76">
    <cfRule type="cellIs" dxfId="22237" priority="168034" stopIfTrue="1" operator="lessThan">
      <formula>0.5</formula>
    </cfRule>
  </conditionalFormatting>
  <conditionalFormatting sqref="AN76">
    <cfRule type="cellIs" dxfId="22236" priority="168035" stopIfTrue="1" operator="greaterThanOrEqual">
      <formula>0.5</formula>
    </cfRule>
  </conditionalFormatting>
  <conditionalFormatting sqref="AN77">
    <cfRule type="cellIs" dxfId="22235" priority="168036" stopIfTrue="1" operator="equal">
      <formula>-1</formula>
    </cfRule>
  </conditionalFormatting>
  <conditionalFormatting sqref="AN77">
    <cfRule type="cellIs" dxfId="22234" priority="168037" stopIfTrue="1" operator="lessThan">
      <formula>0.5</formula>
    </cfRule>
  </conditionalFormatting>
  <conditionalFormatting sqref="AN77">
    <cfRule type="cellIs" dxfId="22233" priority="168038" stopIfTrue="1" operator="greaterThanOrEqual">
      <formula>0.5</formula>
    </cfRule>
  </conditionalFormatting>
  <conditionalFormatting sqref="AN78">
    <cfRule type="cellIs" dxfId="22232" priority="168039" stopIfTrue="1" operator="equal">
      <formula>-1</formula>
    </cfRule>
  </conditionalFormatting>
  <conditionalFormatting sqref="AN78">
    <cfRule type="cellIs" dxfId="22231" priority="168040" stopIfTrue="1" operator="lessThan">
      <formula>0.5</formula>
    </cfRule>
  </conditionalFormatting>
  <conditionalFormatting sqref="AN78">
    <cfRule type="cellIs" dxfId="22230" priority="168041" stopIfTrue="1" operator="greaterThanOrEqual">
      <formula>0.5</formula>
    </cfRule>
  </conditionalFormatting>
  <conditionalFormatting sqref="AN79">
    <cfRule type="cellIs" dxfId="22229" priority="168042" stopIfTrue="1" operator="equal">
      <formula>-1</formula>
    </cfRule>
  </conditionalFormatting>
  <conditionalFormatting sqref="AN79">
    <cfRule type="cellIs" dxfId="22228" priority="168043" stopIfTrue="1" operator="lessThan">
      <formula>0.5</formula>
    </cfRule>
  </conditionalFormatting>
  <conditionalFormatting sqref="AN79">
    <cfRule type="cellIs" dxfId="22227" priority="168044" stopIfTrue="1" operator="greaterThanOrEqual">
      <formula>0.5</formula>
    </cfRule>
  </conditionalFormatting>
  <conditionalFormatting sqref="AN80">
    <cfRule type="cellIs" dxfId="22226" priority="168045" stopIfTrue="1" operator="equal">
      <formula>-1</formula>
    </cfRule>
  </conditionalFormatting>
  <conditionalFormatting sqref="AN80">
    <cfRule type="cellIs" dxfId="22225" priority="168046" stopIfTrue="1" operator="lessThan">
      <formula>0.5</formula>
    </cfRule>
  </conditionalFormatting>
  <conditionalFormatting sqref="AN80">
    <cfRule type="cellIs" dxfId="22224" priority="168047" stopIfTrue="1" operator="greaterThanOrEqual">
      <formula>0.5</formula>
    </cfRule>
  </conditionalFormatting>
  <conditionalFormatting sqref="AN81">
    <cfRule type="cellIs" dxfId="22223" priority="168048" stopIfTrue="1" operator="equal">
      <formula>-1</formula>
    </cfRule>
  </conditionalFormatting>
  <conditionalFormatting sqref="AN81">
    <cfRule type="cellIs" dxfId="22222" priority="168049" stopIfTrue="1" operator="lessThan">
      <formula>0.5</formula>
    </cfRule>
  </conditionalFormatting>
  <conditionalFormatting sqref="AN81">
    <cfRule type="cellIs" dxfId="22221" priority="168050" stopIfTrue="1" operator="greaterThanOrEqual">
      <formula>0.5</formula>
    </cfRule>
  </conditionalFormatting>
  <conditionalFormatting sqref="AN82">
    <cfRule type="cellIs" dxfId="22220" priority="168051" stopIfTrue="1" operator="equal">
      <formula>-1</formula>
    </cfRule>
  </conditionalFormatting>
  <conditionalFormatting sqref="AN82">
    <cfRule type="cellIs" dxfId="22219" priority="168052" stopIfTrue="1" operator="lessThan">
      <formula>0.5</formula>
    </cfRule>
  </conditionalFormatting>
  <conditionalFormatting sqref="AN82">
    <cfRule type="cellIs" dxfId="22218" priority="168053" stopIfTrue="1" operator="greaterThanOrEqual">
      <formula>0.5</formula>
    </cfRule>
  </conditionalFormatting>
  <conditionalFormatting sqref="AN83">
    <cfRule type="cellIs" dxfId="22217" priority="168054" stopIfTrue="1" operator="equal">
      <formula>-1</formula>
    </cfRule>
  </conditionalFormatting>
  <conditionalFormatting sqref="AN83">
    <cfRule type="cellIs" dxfId="22216" priority="168055" stopIfTrue="1" operator="lessThan">
      <formula>0.5</formula>
    </cfRule>
  </conditionalFormatting>
  <conditionalFormatting sqref="AN83">
    <cfRule type="cellIs" dxfId="22215" priority="168056" stopIfTrue="1" operator="greaterThanOrEqual">
      <formula>0.5</formula>
    </cfRule>
  </conditionalFormatting>
  <conditionalFormatting sqref="AN84">
    <cfRule type="cellIs" dxfId="22214" priority="168057" stopIfTrue="1" operator="equal">
      <formula>-1</formula>
    </cfRule>
  </conditionalFormatting>
  <conditionalFormatting sqref="AN84">
    <cfRule type="cellIs" dxfId="22213" priority="168058" stopIfTrue="1" operator="lessThan">
      <formula>0.5</formula>
    </cfRule>
  </conditionalFormatting>
  <conditionalFormatting sqref="AN84">
    <cfRule type="cellIs" dxfId="22212" priority="168059" stopIfTrue="1" operator="greaterThanOrEqual">
      <formula>0.5</formula>
    </cfRule>
  </conditionalFormatting>
  <conditionalFormatting sqref="AN85">
    <cfRule type="cellIs" dxfId="22211" priority="168060" stopIfTrue="1" operator="equal">
      <formula>-1</formula>
    </cfRule>
  </conditionalFormatting>
  <conditionalFormatting sqref="AN85">
    <cfRule type="cellIs" dxfId="22210" priority="168061" stopIfTrue="1" operator="lessThan">
      <formula>0.5</formula>
    </cfRule>
  </conditionalFormatting>
  <conditionalFormatting sqref="AN85">
    <cfRule type="cellIs" dxfId="22209" priority="168062" stopIfTrue="1" operator="greaterThanOrEqual">
      <formula>0.5</formula>
    </cfRule>
  </conditionalFormatting>
  <conditionalFormatting sqref="AP65">
    <cfRule type="cellIs" dxfId="22208" priority="168063" stopIfTrue="1" operator="equal">
      <formula>-1</formula>
    </cfRule>
  </conditionalFormatting>
  <conditionalFormatting sqref="AP65">
    <cfRule type="cellIs" dxfId="22207" priority="168064" stopIfTrue="1" operator="lessThan">
      <formula>0.5</formula>
    </cfRule>
  </conditionalFormatting>
  <conditionalFormatting sqref="AP65">
    <cfRule type="cellIs" dxfId="22206" priority="168065" stopIfTrue="1" operator="greaterThanOrEqual">
      <formula>0.5</formula>
    </cfRule>
  </conditionalFormatting>
  <conditionalFormatting sqref="AP66">
    <cfRule type="cellIs" dxfId="22205" priority="168066" stopIfTrue="1" operator="equal">
      <formula>-1</formula>
    </cfRule>
  </conditionalFormatting>
  <conditionalFormatting sqref="AP66">
    <cfRule type="cellIs" dxfId="22204" priority="168067" stopIfTrue="1" operator="lessThan">
      <formula>0.5</formula>
    </cfRule>
  </conditionalFormatting>
  <conditionalFormatting sqref="AP66">
    <cfRule type="cellIs" dxfId="22203" priority="168068" stopIfTrue="1" operator="greaterThanOrEqual">
      <formula>0.5</formula>
    </cfRule>
  </conditionalFormatting>
  <conditionalFormatting sqref="AP67">
    <cfRule type="cellIs" dxfId="22202" priority="168069" stopIfTrue="1" operator="equal">
      <formula>-1</formula>
    </cfRule>
  </conditionalFormatting>
  <conditionalFormatting sqref="AP67">
    <cfRule type="cellIs" dxfId="22201" priority="168070" stopIfTrue="1" operator="lessThan">
      <formula>0.5</formula>
    </cfRule>
  </conditionalFormatting>
  <conditionalFormatting sqref="AP67">
    <cfRule type="cellIs" dxfId="22200" priority="168071" stopIfTrue="1" operator="greaterThanOrEqual">
      <formula>0.5</formula>
    </cfRule>
  </conditionalFormatting>
  <conditionalFormatting sqref="AP68">
    <cfRule type="cellIs" dxfId="22199" priority="168072" stopIfTrue="1" operator="equal">
      <formula>-1</formula>
    </cfRule>
  </conditionalFormatting>
  <conditionalFormatting sqref="AP68">
    <cfRule type="cellIs" dxfId="22198" priority="168073" stopIfTrue="1" operator="lessThan">
      <formula>0.5</formula>
    </cfRule>
  </conditionalFormatting>
  <conditionalFormatting sqref="AP68">
    <cfRule type="cellIs" dxfId="22197" priority="168074" stopIfTrue="1" operator="greaterThanOrEqual">
      <formula>0.5</formula>
    </cfRule>
  </conditionalFormatting>
  <conditionalFormatting sqref="AP69">
    <cfRule type="cellIs" dxfId="22196" priority="168075" stopIfTrue="1" operator="equal">
      <formula>-1</formula>
    </cfRule>
  </conditionalFormatting>
  <conditionalFormatting sqref="AP69">
    <cfRule type="cellIs" dxfId="22195" priority="168076" stopIfTrue="1" operator="lessThan">
      <formula>0.5</formula>
    </cfRule>
  </conditionalFormatting>
  <conditionalFormatting sqref="AP69">
    <cfRule type="cellIs" dxfId="22194" priority="168077" stopIfTrue="1" operator="greaterThanOrEqual">
      <formula>0.5</formula>
    </cfRule>
  </conditionalFormatting>
  <conditionalFormatting sqref="AP70">
    <cfRule type="cellIs" dxfId="22193" priority="168078" stopIfTrue="1" operator="equal">
      <formula>-1</formula>
    </cfRule>
  </conditionalFormatting>
  <conditionalFormatting sqref="AP70">
    <cfRule type="cellIs" dxfId="22192" priority="168079" stopIfTrue="1" operator="lessThan">
      <formula>0.5</formula>
    </cfRule>
  </conditionalFormatting>
  <conditionalFormatting sqref="AP70">
    <cfRule type="cellIs" dxfId="22191" priority="168080" stopIfTrue="1" operator="greaterThanOrEqual">
      <formula>0.5</formula>
    </cfRule>
  </conditionalFormatting>
  <conditionalFormatting sqref="AP71">
    <cfRule type="cellIs" dxfId="22190" priority="168081" stopIfTrue="1" operator="equal">
      <formula>-1</formula>
    </cfRule>
  </conditionalFormatting>
  <conditionalFormatting sqref="AP71">
    <cfRule type="cellIs" dxfId="22189" priority="168082" stopIfTrue="1" operator="lessThan">
      <formula>0.5</formula>
    </cfRule>
  </conditionalFormatting>
  <conditionalFormatting sqref="AP71">
    <cfRule type="cellIs" dxfId="22188" priority="168083" stopIfTrue="1" operator="greaterThanOrEqual">
      <formula>0.5</formula>
    </cfRule>
  </conditionalFormatting>
  <conditionalFormatting sqref="AP72">
    <cfRule type="cellIs" dxfId="22187" priority="168084" stopIfTrue="1" operator="equal">
      <formula>-1</formula>
    </cfRule>
  </conditionalFormatting>
  <conditionalFormatting sqref="AP72">
    <cfRule type="cellIs" dxfId="22186" priority="168085" stopIfTrue="1" operator="lessThan">
      <formula>0.5</formula>
    </cfRule>
  </conditionalFormatting>
  <conditionalFormatting sqref="AP72">
    <cfRule type="cellIs" dxfId="22185" priority="168086" stopIfTrue="1" operator="greaterThanOrEqual">
      <formula>0.5</formula>
    </cfRule>
  </conditionalFormatting>
  <conditionalFormatting sqref="AP73">
    <cfRule type="cellIs" dxfId="22184" priority="168087" stopIfTrue="1" operator="equal">
      <formula>-1</formula>
    </cfRule>
  </conditionalFormatting>
  <conditionalFormatting sqref="AP73">
    <cfRule type="cellIs" dxfId="22183" priority="168088" stopIfTrue="1" operator="lessThan">
      <formula>0.5</formula>
    </cfRule>
  </conditionalFormatting>
  <conditionalFormatting sqref="AP73">
    <cfRule type="cellIs" dxfId="22182" priority="168089" stopIfTrue="1" operator="greaterThanOrEqual">
      <formula>0.5</formula>
    </cfRule>
  </conditionalFormatting>
  <conditionalFormatting sqref="AP74">
    <cfRule type="cellIs" dxfId="22181" priority="168090" stopIfTrue="1" operator="equal">
      <formula>-1</formula>
    </cfRule>
  </conditionalFormatting>
  <conditionalFormatting sqref="AP74">
    <cfRule type="cellIs" dxfId="22180" priority="168091" stopIfTrue="1" operator="lessThan">
      <formula>0.5</formula>
    </cfRule>
  </conditionalFormatting>
  <conditionalFormatting sqref="AP74">
    <cfRule type="cellIs" dxfId="22179" priority="168092" stopIfTrue="1" operator="greaterThanOrEqual">
      <formula>0.5</formula>
    </cfRule>
  </conditionalFormatting>
  <conditionalFormatting sqref="AP75">
    <cfRule type="cellIs" dxfId="22178" priority="168093" stopIfTrue="1" operator="equal">
      <formula>-1</formula>
    </cfRule>
  </conditionalFormatting>
  <conditionalFormatting sqref="AP75">
    <cfRule type="cellIs" dxfId="22177" priority="168094" stopIfTrue="1" operator="lessThan">
      <formula>0.5</formula>
    </cfRule>
  </conditionalFormatting>
  <conditionalFormatting sqref="AP75">
    <cfRule type="cellIs" dxfId="22176" priority="168095" stopIfTrue="1" operator="greaterThanOrEqual">
      <formula>0.5</formula>
    </cfRule>
  </conditionalFormatting>
  <conditionalFormatting sqref="AP76">
    <cfRule type="cellIs" dxfId="22175" priority="168096" stopIfTrue="1" operator="equal">
      <formula>-1</formula>
    </cfRule>
  </conditionalFormatting>
  <conditionalFormatting sqref="AP76">
    <cfRule type="cellIs" dxfId="22174" priority="168097" stopIfTrue="1" operator="lessThan">
      <formula>0.5</formula>
    </cfRule>
  </conditionalFormatting>
  <conditionalFormatting sqref="AP76">
    <cfRule type="cellIs" dxfId="22173" priority="168098" stopIfTrue="1" operator="greaterThanOrEqual">
      <formula>0.5</formula>
    </cfRule>
  </conditionalFormatting>
  <conditionalFormatting sqref="AP77">
    <cfRule type="cellIs" dxfId="22172" priority="168099" stopIfTrue="1" operator="equal">
      <formula>-1</formula>
    </cfRule>
  </conditionalFormatting>
  <conditionalFormatting sqref="AP77">
    <cfRule type="cellIs" dxfId="22171" priority="168100" stopIfTrue="1" operator="lessThan">
      <formula>0.5</formula>
    </cfRule>
  </conditionalFormatting>
  <conditionalFormatting sqref="AP77">
    <cfRule type="cellIs" dxfId="22170" priority="168101" stopIfTrue="1" operator="greaterThanOrEqual">
      <formula>0.5</formula>
    </cfRule>
  </conditionalFormatting>
  <conditionalFormatting sqref="AP78">
    <cfRule type="cellIs" dxfId="22169" priority="168102" stopIfTrue="1" operator="equal">
      <formula>-1</formula>
    </cfRule>
  </conditionalFormatting>
  <conditionalFormatting sqref="AP78">
    <cfRule type="cellIs" dxfId="22168" priority="168103" stopIfTrue="1" operator="lessThan">
      <formula>0.5</formula>
    </cfRule>
  </conditionalFormatting>
  <conditionalFormatting sqref="AP78">
    <cfRule type="cellIs" dxfId="22167" priority="168104" stopIfTrue="1" operator="greaterThanOrEqual">
      <formula>0.5</formula>
    </cfRule>
  </conditionalFormatting>
  <conditionalFormatting sqref="AP79">
    <cfRule type="cellIs" dxfId="22166" priority="168105" stopIfTrue="1" operator="equal">
      <formula>-1</formula>
    </cfRule>
  </conditionalFormatting>
  <conditionalFormatting sqref="AP79">
    <cfRule type="cellIs" dxfId="22165" priority="168106" stopIfTrue="1" operator="lessThan">
      <formula>0.5</formula>
    </cfRule>
  </conditionalFormatting>
  <conditionalFormatting sqref="AP79">
    <cfRule type="cellIs" dxfId="22164" priority="168107" stopIfTrue="1" operator="greaterThanOrEqual">
      <formula>0.5</formula>
    </cfRule>
  </conditionalFormatting>
  <conditionalFormatting sqref="AP80">
    <cfRule type="cellIs" dxfId="22163" priority="168108" stopIfTrue="1" operator="equal">
      <formula>-1</formula>
    </cfRule>
  </conditionalFormatting>
  <conditionalFormatting sqref="AP80">
    <cfRule type="cellIs" dxfId="22162" priority="168109" stopIfTrue="1" operator="lessThan">
      <formula>0.5</formula>
    </cfRule>
  </conditionalFormatting>
  <conditionalFormatting sqref="AP80">
    <cfRule type="cellIs" dxfId="22161" priority="168110" stopIfTrue="1" operator="greaterThanOrEqual">
      <formula>0.5</formula>
    </cfRule>
  </conditionalFormatting>
  <conditionalFormatting sqref="AP81">
    <cfRule type="cellIs" dxfId="22160" priority="168111" stopIfTrue="1" operator="equal">
      <formula>-1</formula>
    </cfRule>
  </conditionalFormatting>
  <conditionalFormatting sqref="AP81">
    <cfRule type="cellIs" dxfId="22159" priority="168112" stopIfTrue="1" operator="lessThan">
      <formula>0.5</formula>
    </cfRule>
  </conditionalFormatting>
  <conditionalFormatting sqref="AP81">
    <cfRule type="cellIs" dxfId="22158" priority="168113" stopIfTrue="1" operator="greaterThanOrEqual">
      <formula>0.5</formula>
    </cfRule>
  </conditionalFormatting>
  <conditionalFormatting sqref="AP82">
    <cfRule type="cellIs" dxfId="22157" priority="168114" stopIfTrue="1" operator="equal">
      <formula>-1</formula>
    </cfRule>
  </conditionalFormatting>
  <conditionalFormatting sqref="AP82">
    <cfRule type="cellIs" dxfId="22156" priority="168115" stopIfTrue="1" operator="lessThan">
      <formula>0.5</formula>
    </cfRule>
  </conditionalFormatting>
  <conditionalFormatting sqref="AP82">
    <cfRule type="cellIs" dxfId="22155" priority="168116" stopIfTrue="1" operator="greaterThanOrEqual">
      <formula>0.5</formula>
    </cfRule>
  </conditionalFormatting>
  <conditionalFormatting sqref="AP83">
    <cfRule type="cellIs" dxfId="22154" priority="168117" stopIfTrue="1" operator="equal">
      <formula>-1</formula>
    </cfRule>
  </conditionalFormatting>
  <conditionalFormatting sqref="AP83">
    <cfRule type="cellIs" dxfId="22153" priority="168118" stopIfTrue="1" operator="lessThan">
      <formula>0.5</formula>
    </cfRule>
  </conditionalFormatting>
  <conditionalFormatting sqref="AP83">
    <cfRule type="cellIs" dxfId="22152" priority="168119" stopIfTrue="1" operator="greaterThanOrEqual">
      <formula>0.5</formula>
    </cfRule>
  </conditionalFormatting>
  <conditionalFormatting sqref="AP84">
    <cfRule type="cellIs" dxfId="22151" priority="168120" stopIfTrue="1" operator="equal">
      <formula>-1</formula>
    </cfRule>
  </conditionalFormatting>
  <conditionalFormatting sqref="AP84">
    <cfRule type="cellIs" dxfId="22150" priority="168121" stopIfTrue="1" operator="lessThan">
      <formula>0.5</formula>
    </cfRule>
  </conditionalFormatting>
  <conditionalFormatting sqref="AP84">
    <cfRule type="cellIs" dxfId="22149" priority="168122" stopIfTrue="1" operator="greaterThanOrEqual">
      <formula>0.5</formula>
    </cfRule>
  </conditionalFormatting>
  <conditionalFormatting sqref="AP85">
    <cfRule type="cellIs" dxfId="22148" priority="168123" stopIfTrue="1" operator="equal">
      <formula>-1</formula>
    </cfRule>
  </conditionalFormatting>
  <conditionalFormatting sqref="AP85">
    <cfRule type="cellIs" dxfId="22147" priority="168124" stopIfTrue="1" operator="lessThan">
      <formula>0.5</formula>
    </cfRule>
  </conditionalFormatting>
  <conditionalFormatting sqref="AP85">
    <cfRule type="cellIs" dxfId="22146" priority="168125" stopIfTrue="1" operator="greaterThanOrEqual">
      <formula>0.5</formula>
    </cfRule>
  </conditionalFormatting>
  <conditionalFormatting sqref="AR65">
    <cfRule type="cellIs" dxfId="22145" priority="168126" stopIfTrue="1" operator="equal">
      <formula>-1</formula>
    </cfRule>
  </conditionalFormatting>
  <conditionalFormatting sqref="AR65">
    <cfRule type="cellIs" dxfId="22144" priority="168127" stopIfTrue="1" operator="lessThan">
      <formula>0.5</formula>
    </cfRule>
  </conditionalFormatting>
  <conditionalFormatting sqref="AR65">
    <cfRule type="cellIs" dxfId="22143" priority="168128" stopIfTrue="1" operator="greaterThanOrEqual">
      <formula>0.5</formula>
    </cfRule>
  </conditionalFormatting>
  <conditionalFormatting sqref="AR66">
    <cfRule type="cellIs" dxfId="22142" priority="168129" stopIfTrue="1" operator="equal">
      <formula>-1</formula>
    </cfRule>
  </conditionalFormatting>
  <conditionalFormatting sqref="AR66">
    <cfRule type="cellIs" dxfId="22141" priority="168130" stopIfTrue="1" operator="lessThan">
      <formula>0.5</formula>
    </cfRule>
  </conditionalFormatting>
  <conditionalFormatting sqref="AR66">
    <cfRule type="cellIs" dxfId="22140" priority="168131" stopIfTrue="1" operator="greaterThanOrEqual">
      <formula>0.5</formula>
    </cfRule>
  </conditionalFormatting>
  <conditionalFormatting sqref="AR67">
    <cfRule type="cellIs" dxfId="22139" priority="168132" stopIfTrue="1" operator="equal">
      <formula>-1</formula>
    </cfRule>
  </conditionalFormatting>
  <conditionalFormatting sqref="AR67">
    <cfRule type="cellIs" dxfId="22138" priority="168133" stopIfTrue="1" operator="lessThan">
      <formula>0.5</formula>
    </cfRule>
  </conditionalFormatting>
  <conditionalFormatting sqref="AR67">
    <cfRule type="cellIs" dxfId="22137" priority="168134" stopIfTrue="1" operator="greaterThanOrEqual">
      <formula>0.5</formula>
    </cfRule>
  </conditionalFormatting>
  <conditionalFormatting sqref="AR68">
    <cfRule type="cellIs" dxfId="22136" priority="168135" stopIfTrue="1" operator="equal">
      <formula>-1</formula>
    </cfRule>
  </conditionalFormatting>
  <conditionalFormatting sqref="AR68">
    <cfRule type="cellIs" dxfId="22135" priority="168136" stopIfTrue="1" operator="lessThan">
      <formula>0.5</formula>
    </cfRule>
  </conditionalFormatting>
  <conditionalFormatting sqref="AR68">
    <cfRule type="cellIs" dxfId="22134" priority="168137" stopIfTrue="1" operator="greaterThanOrEqual">
      <formula>0.5</formula>
    </cfRule>
  </conditionalFormatting>
  <conditionalFormatting sqref="AR69">
    <cfRule type="cellIs" dxfId="22133" priority="168138" stopIfTrue="1" operator="equal">
      <formula>-1</formula>
    </cfRule>
  </conditionalFormatting>
  <conditionalFormatting sqref="AR69">
    <cfRule type="cellIs" dxfId="22132" priority="168139" stopIfTrue="1" operator="lessThan">
      <formula>0.5</formula>
    </cfRule>
  </conditionalFormatting>
  <conditionalFormatting sqref="AR69">
    <cfRule type="cellIs" dxfId="22131" priority="168140" stopIfTrue="1" operator="greaterThanOrEqual">
      <formula>0.5</formula>
    </cfRule>
  </conditionalFormatting>
  <conditionalFormatting sqref="AR70">
    <cfRule type="cellIs" dxfId="22130" priority="168141" stopIfTrue="1" operator="equal">
      <formula>-1</formula>
    </cfRule>
  </conditionalFormatting>
  <conditionalFormatting sqref="AR70">
    <cfRule type="cellIs" dxfId="22129" priority="168142" stopIfTrue="1" operator="lessThan">
      <formula>0.5</formula>
    </cfRule>
  </conditionalFormatting>
  <conditionalFormatting sqref="AR70">
    <cfRule type="cellIs" dxfId="22128" priority="168143" stopIfTrue="1" operator="greaterThanOrEqual">
      <formula>0.5</formula>
    </cfRule>
  </conditionalFormatting>
  <conditionalFormatting sqref="AR71">
    <cfRule type="cellIs" dxfId="22127" priority="168144" stopIfTrue="1" operator="equal">
      <formula>-1</formula>
    </cfRule>
  </conditionalFormatting>
  <conditionalFormatting sqref="AR71">
    <cfRule type="cellIs" dxfId="22126" priority="168145" stopIfTrue="1" operator="lessThan">
      <formula>0.5</formula>
    </cfRule>
  </conditionalFormatting>
  <conditionalFormatting sqref="AR71">
    <cfRule type="cellIs" dxfId="22125" priority="168146" stopIfTrue="1" operator="greaterThanOrEqual">
      <formula>0.5</formula>
    </cfRule>
  </conditionalFormatting>
  <conditionalFormatting sqref="AR72">
    <cfRule type="cellIs" dxfId="22124" priority="168147" stopIfTrue="1" operator="equal">
      <formula>-1</formula>
    </cfRule>
  </conditionalFormatting>
  <conditionalFormatting sqref="AR72">
    <cfRule type="cellIs" dxfId="22123" priority="168148" stopIfTrue="1" operator="lessThan">
      <formula>0.5</formula>
    </cfRule>
  </conditionalFormatting>
  <conditionalFormatting sqref="AR72">
    <cfRule type="cellIs" dxfId="22122" priority="168149" stopIfTrue="1" operator="greaterThanOrEqual">
      <formula>0.5</formula>
    </cfRule>
  </conditionalFormatting>
  <conditionalFormatting sqref="AR73">
    <cfRule type="cellIs" dxfId="22121" priority="168150" stopIfTrue="1" operator="equal">
      <formula>-1</formula>
    </cfRule>
  </conditionalFormatting>
  <conditionalFormatting sqref="AR73">
    <cfRule type="cellIs" dxfId="22120" priority="168151" stopIfTrue="1" operator="lessThan">
      <formula>0.5</formula>
    </cfRule>
  </conditionalFormatting>
  <conditionalFormatting sqref="AR73">
    <cfRule type="cellIs" dxfId="22119" priority="168152" stopIfTrue="1" operator="greaterThanOrEqual">
      <formula>0.5</formula>
    </cfRule>
  </conditionalFormatting>
  <conditionalFormatting sqref="AR74">
    <cfRule type="cellIs" dxfId="22118" priority="168153" stopIfTrue="1" operator="equal">
      <formula>-1</formula>
    </cfRule>
  </conditionalFormatting>
  <conditionalFormatting sqref="AR74">
    <cfRule type="cellIs" dxfId="22117" priority="168154" stopIfTrue="1" operator="lessThan">
      <formula>0.5</formula>
    </cfRule>
  </conditionalFormatting>
  <conditionalFormatting sqref="AR74">
    <cfRule type="cellIs" dxfId="22116" priority="168155" stopIfTrue="1" operator="greaterThanOrEqual">
      <formula>0.5</formula>
    </cfRule>
  </conditionalFormatting>
  <conditionalFormatting sqref="AR75">
    <cfRule type="cellIs" dxfId="22115" priority="168156" stopIfTrue="1" operator="equal">
      <formula>-1</formula>
    </cfRule>
  </conditionalFormatting>
  <conditionalFormatting sqref="AR75">
    <cfRule type="cellIs" dxfId="22114" priority="168157" stopIfTrue="1" operator="lessThan">
      <formula>0.5</formula>
    </cfRule>
  </conditionalFormatting>
  <conditionalFormatting sqref="AR75">
    <cfRule type="cellIs" dxfId="22113" priority="168158" stopIfTrue="1" operator="greaterThanOrEqual">
      <formula>0.5</formula>
    </cfRule>
  </conditionalFormatting>
  <conditionalFormatting sqref="AR76">
    <cfRule type="cellIs" dxfId="22112" priority="168159" stopIfTrue="1" operator="equal">
      <formula>-1</formula>
    </cfRule>
  </conditionalFormatting>
  <conditionalFormatting sqref="AR76">
    <cfRule type="cellIs" dxfId="22111" priority="168160" stopIfTrue="1" operator="lessThan">
      <formula>0.5</formula>
    </cfRule>
  </conditionalFormatting>
  <conditionalFormatting sqref="AR76">
    <cfRule type="cellIs" dxfId="22110" priority="168161" stopIfTrue="1" operator="greaterThanOrEqual">
      <formula>0.5</formula>
    </cfRule>
  </conditionalFormatting>
  <conditionalFormatting sqref="AR77">
    <cfRule type="cellIs" dxfId="22109" priority="168162" stopIfTrue="1" operator="equal">
      <formula>-1</formula>
    </cfRule>
  </conditionalFormatting>
  <conditionalFormatting sqref="AR77">
    <cfRule type="cellIs" dxfId="22108" priority="168163" stopIfTrue="1" operator="lessThan">
      <formula>0.5</formula>
    </cfRule>
  </conditionalFormatting>
  <conditionalFormatting sqref="AR77">
    <cfRule type="cellIs" dxfId="22107" priority="168164" stopIfTrue="1" operator="greaterThanOrEqual">
      <formula>0.5</formula>
    </cfRule>
  </conditionalFormatting>
  <conditionalFormatting sqref="AR78">
    <cfRule type="cellIs" dxfId="22106" priority="168165" stopIfTrue="1" operator="equal">
      <formula>-1</formula>
    </cfRule>
  </conditionalFormatting>
  <conditionalFormatting sqref="AR78">
    <cfRule type="cellIs" dxfId="22105" priority="168166" stopIfTrue="1" operator="lessThan">
      <formula>0.5</formula>
    </cfRule>
  </conditionalFormatting>
  <conditionalFormatting sqref="AR78">
    <cfRule type="cellIs" dxfId="22104" priority="168167" stopIfTrue="1" operator="greaterThanOrEqual">
      <formula>0.5</formula>
    </cfRule>
  </conditionalFormatting>
  <conditionalFormatting sqref="AR79">
    <cfRule type="cellIs" dxfId="22103" priority="168168" stopIfTrue="1" operator="equal">
      <formula>-1</formula>
    </cfRule>
  </conditionalFormatting>
  <conditionalFormatting sqref="AR79">
    <cfRule type="cellIs" dxfId="22102" priority="168169" stopIfTrue="1" operator="lessThan">
      <formula>0.5</formula>
    </cfRule>
  </conditionalFormatting>
  <conditionalFormatting sqref="AR79">
    <cfRule type="cellIs" dxfId="22101" priority="168170" stopIfTrue="1" operator="greaterThanOrEqual">
      <formula>0.5</formula>
    </cfRule>
  </conditionalFormatting>
  <conditionalFormatting sqref="AR80">
    <cfRule type="cellIs" dxfId="22100" priority="168171" stopIfTrue="1" operator="equal">
      <formula>-1</formula>
    </cfRule>
  </conditionalFormatting>
  <conditionalFormatting sqref="AR80">
    <cfRule type="cellIs" dxfId="22099" priority="168172" stopIfTrue="1" operator="lessThan">
      <formula>0.5</formula>
    </cfRule>
  </conditionalFormatting>
  <conditionalFormatting sqref="AR80">
    <cfRule type="cellIs" dxfId="22098" priority="168173" stopIfTrue="1" operator="greaterThanOrEqual">
      <formula>0.5</formula>
    </cfRule>
  </conditionalFormatting>
  <conditionalFormatting sqref="AR81">
    <cfRule type="cellIs" dxfId="22097" priority="168174" stopIfTrue="1" operator="equal">
      <formula>-1</formula>
    </cfRule>
  </conditionalFormatting>
  <conditionalFormatting sqref="AR81">
    <cfRule type="cellIs" dxfId="22096" priority="168175" stopIfTrue="1" operator="lessThan">
      <formula>0.5</formula>
    </cfRule>
  </conditionalFormatting>
  <conditionalFormatting sqref="AR81">
    <cfRule type="cellIs" dxfId="22095" priority="168176" stopIfTrue="1" operator="greaterThanOrEqual">
      <formula>0.5</formula>
    </cfRule>
  </conditionalFormatting>
  <conditionalFormatting sqref="AR82">
    <cfRule type="cellIs" dxfId="22094" priority="168177" stopIfTrue="1" operator="equal">
      <formula>-1</formula>
    </cfRule>
  </conditionalFormatting>
  <conditionalFormatting sqref="AR82">
    <cfRule type="cellIs" dxfId="22093" priority="168178" stopIfTrue="1" operator="lessThan">
      <formula>0.5</formula>
    </cfRule>
  </conditionalFormatting>
  <conditionalFormatting sqref="AR82">
    <cfRule type="cellIs" dxfId="22092" priority="168179" stopIfTrue="1" operator="greaterThanOrEqual">
      <formula>0.5</formula>
    </cfRule>
  </conditionalFormatting>
  <conditionalFormatting sqref="AR83">
    <cfRule type="cellIs" dxfId="22091" priority="168180" stopIfTrue="1" operator="equal">
      <formula>-1</formula>
    </cfRule>
  </conditionalFormatting>
  <conditionalFormatting sqref="AR83">
    <cfRule type="cellIs" dxfId="22090" priority="168181" stopIfTrue="1" operator="lessThan">
      <formula>0.5</formula>
    </cfRule>
  </conditionalFormatting>
  <conditionalFormatting sqref="AR83">
    <cfRule type="cellIs" dxfId="22089" priority="168182" stopIfTrue="1" operator="greaterThanOrEqual">
      <formula>0.5</formula>
    </cfRule>
  </conditionalFormatting>
  <conditionalFormatting sqref="AR84">
    <cfRule type="cellIs" dxfId="22088" priority="168183" stopIfTrue="1" operator="equal">
      <formula>-1</formula>
    </cfRule>
  </conditionalFormatting>
  <conditionalFormatting sqref="AR84">
    <cfRule type="cellIs" dxfId="22087" priority="168184" stopIfTrue="1" operator="lessThan">
      <formula>0.5</formula>
    </cfRule>
  </conditionalFormatting>
  <conditionalFormatting sqref="AR84">
    <cfRule type="cellIs" dxfId="22086" priority="168185" stopIfTrue="1" operator="greaterThanOrEqual">
      <formula>0.5</formula>
    </cfRule>
  </conditionalFormatting>
  <conditionalFormatting sqref="AR85">
    <cfRule type="cellIs" dxfId="22085" priority="168186" stopIfTrue="1" operator="equal">
      <formula>-1</formula>
    </cfRule>
  </conditionalFormatting>
  <conditionalFormatting sqref="AR85">
    <cfRule type="cellIs" dxfId="22084" priority="168187" stopIfTrue="1" operator="lessThan">
      <formula>0.5</formula>
    </cfRule>
  </conditionalFormatting>
  <conditionalFormatting sqref="AR85">
    <cfRule type="cellIs" dxfId="22083" priority="168188" stopIfTrue="1" operator="greaterThanOrEqual">
      <formula>0.5</formula>
    </cfRule>
  </conditionalFormatting>
  <conditionalFormatting sqref="AT65">
    <cfRule type="cellIs" dxfId="22082" priority="168189" stopIfTrue="1" operator="equal">
      <formula>-1</formula>
    </cfRule>
  </conditionalFormatting>
  <conditionalFormatting sqref="AT65">
    <cfRule type="cellIs" dxfId="22081" priority="168190" stopIfTrue="1" operator="lessThan">
      <formula>0.5</formula>
    </cfRule>
  </conditionalFormatting>
  <conditionalFormatting sqref="AT65">
    <cfRule type="cellIs" dxfId="22080" priority="168191" stopIfTrue="1" operator="greaterThanOrEqual">
      <formula>0.5</formula>
    </cfRule>
  </conditionalFormatting>
  <conditionalFormatting sqref="AT66">
    <cfRule type="cellIs" dxfId="22079" priority="168192" stopIfTrue="1" operator="equal">
      <formula>-1</formula>
    </cfRule>
  </conditionalFormatting>
  <conditionalFormatting sqref="AT66">
    <cfRule type="cellIs" dxfId="22078" priority="168193" stopIfTrue="1" operator="lessThan">
      <formula>0.5</formula>
    </cfRule>
  </conditionalFormatting>
  <conditionalFormatting sqref="AT66">
    <cfRule type="cellIs" dxfId="22077" priority="168194" stopIfTrue="1" operator="greaterThanOrEqual">
      <formula>0.5</formula>
    </cfRule>
  </conditionalFormatting>
  <conditionalFormatting sqref="AT67">
    <cfRule type="cellIs" dxfId="22076" priority="168195" stopIfTrue="1" operator="equal">
      <formula>-1</formula>
    </cfRule>
  </conditionalFormatting>
  <conditionalFormatting sqref="AT67">
    <cfRule type="cellIs" dxfId="22075" priority="168196" stopIfTrue="1" operator="lessThan">
      <formula>0.5</formula>
    </cfRule>
  </conditionalFormatting>
  <conditionalFormatting sqref="AT67">
    <cfRule type="cellIs" dxfId="22074" priority="168197" stopIfTrue="1" operator="greaterThanOrEqual">
      <formula>0.5</formula>
    </cfRule>
  </conditionalFormatting>
  <conditionalFormatting sqref="AT68">
    <cfRule type="cellIs" dxfId="22073" priority="168198" stopIfTrue="1" operator="equal">
      <formula>-1</formula>
    </cfRule>
  </conditionalFormatting>
  <conditionalFormatting sqref="AT68">
    <cfRule type="cellIs" dxfId="22072" priority="168199" stopIfTrue="1" operator="lessThan">
      <formula>0.5</formula>
    </cfRule>
  </conditionalFormatting>
  <conditionalFormatting sqref="AT68">
    <cfRule type="cellIs" dxfId="22071" priority="168200" stopIfTrue="1" operator="greaterThanOrEqual">
      <formula>0.5</formula>
    </cfRule>
  </conditionalFormatting>
  <conditionalFormatting sqref="AT69">
    <cfRule type="cellIs" dxfId="22070" priority="168201" stopIfTrue="1" operator="equal">
      <formula>-1</formula>
    </cfRule>
  </conditionalFormatting>
  <conditionalFormatting sqref="AT69">
    <cfRule type="cellIs" dxfId="22069" priority="168202" stopIfTrue="1" operator="lessThan">
      <formula>0.5</formula>
    </cfRule>
  </conditionalFormatting>
  <conditionalFormatting sqref="AT69">
    <cfRule type="cellIs" dxfId="22068" priority="168203" stopIfTrue="1" operator="greaterThanOrEqual">
      <formula>0.5</formula>
    </cfRule>
  </conditionalFormatting>
  <conditionalFormatting sqref="AT70">
    <cfRule type="cellIs" dxfId="22067" priority="168204" stopIfTrue="1" operator="equal">
      <formula>-1</formula>
    </cfRule>
  </conditionalFormatting>
  <conditionalFormatting sqref="AT70">
    <cfRule type="cellIs" dxfId="22066" priority="168205" stopIfTrue="1" operator="lessThan">
      <formula>0.5</formula>
    </cfRule>
  </conditionalFormatting>
  <conditionalFormatting sqref="AT70">
    <cfRule type="cellIs" dxfId="22065" priority="168206" stopIfTrue="1" operator="greaterThanOrEqual">
      <formula>0.5</formula>
    </cfRule>
  </conditionalFormatting>
  <conditionalFormatting sqref="AT71">
    <cfRule type="cellIs" dxfId="22064" priority="168207" stopIfTrue="1" operator="equal">
      <formula>-1</formula>
    </cfRule>
  </conditionalFormatting>
  <conditionalFormatting sqref="AT71">
    <cfRule type="cellIs" dxfId="22063" priority="168208" stopIfTrue="1" operator="lessThan">
      <formula>0.5</formula>
    </cfRule>
  </conditionalFormatting>
  <conditionalFormatting sqref="AT71">
    <cfRule type="cellIs" dxfId="22062" priority="168209" stopIfTrue="1" operator="greaterThanOrEqual">
      <formula>0.5</formula>
    </cfRule>
  </conditionalFormatting>
  <conditionalFormatting sqref="AT72">
    <cfRule type="cellIs" dxfId="22061" priority="168210" stopIfTrue="1" operator="equal">
      <formula>-1</formula>
    </cfRule>
  </conditionalFormatting>
  <conditionalFormatting sqref="AT72">
    <cfRule type="cellIs" dxfId="22060" priority="168211" stopIfTrue="1" operator="lessThan">
      <formula>0.5</formula>
    </cfRule>
  </conditionalFormatting>
  <conditionalFormatting sqref="AT72">
    <cfRule type="cellIs" dxfId="22059" priority="168212" stopIfTrue="1" operator="greaterThanOrEqual">
      <formula>0.5</formula>
    </cfRule>
  </conditionalFormatting>
  <conditionalFormatting sqref="AT73">
    <cfRule type="cellIs" dxfId="22058" priority="168213" stopIfTrue="1" operator="equal">
      <formula>-1</formula>
    </cfRule>
  </conditionalFormatting>
  <conditionalFormatting sqref="AT73">
    <cfRule type="cellIs" dxfId="22057" priority="168214" stopIfTrue="1" operator="lessThan">
      <formula>0.5</formula>
    </cfRule>
  </conditionalFormatting>
  <conditionalFormatting sqref="AT73">
    <cfRule type="cellIs" dxfId="22056" priority="168215" stopIfTrue="1" operator="greaterThanOrEqual">
      <formula>0.5</formula>
    </cfRule>
  </conditionalFormatting>
  <conditionalFormatting sqref="AT74">
    <cfRule type="cellIs" dxfId="22055" priority="168216" stopIfTrue="1" operator="equal">
      <formula>-1</formula>
    </cfRule>
  </conditionalFormatting>
  <conditionalFormatting sqref="AT74">
    <cfRule type="cellIs" dxfId="22054" priority="168217" stopIfTrue="1" operator="lessThan">
      <formula>0.5</formula>
    </cfRule>
  </conditionalFormatting>
  <conditionalFormatting sqref="AT74">
    <cfRule type="cellIs" dxfId="22053" priority="168218" stopIfTrue="1" operator="greaterThanOrEqual">
      <formula>0.5</formula>
    </cfRule>
  </conditionalFormatting>
  <conditionalFormatting sqref="AT75">
    <cfRule type="cellIs" dxfId="22052" priority="168219" stopIfTrue="1" operator="equal">
      <formula>-1</formula>
    </cfRule>
  </conditionalFormatting>
  <conditionalFormatting sqref="AT75">
    <cfRule type="cellIs" dxfId="22051" priority="168220" stopIfTrue="1" operator="lessThan">
      <formula>0.5</formula>
    </cfRule>
  </conditionalFormatting>
  <conditionalFormatting sqref="AT75">
    <cfRule type="cellIs" dxfId="22050" priority="168221" stopIfTrue="1" operator="greaterThanOrEqual">
      <formula>0.5</formula>
    </cfRule>
  </conditionalFormatting>
  <conditionalFormatting sqref="AT76">
    <cfRule type="cellIs" dxfId="22049" priority="168222" stopIfTrue="1" operator="equal">
      <formula>-1</formula>
    </cfRule>
  </conditionalFormatting>
  <conditionalFormatting sqref="AT76">
    <cfRule type="cellIs" dxfId="22048" priority="168223" stopIfTrue="1" operator="lessThan">
      <formula>0.5</formula>
    </cfRule>
  </conditionalFormatting>
  <conditionalFormatting sqref="AT76">
    <cfRule type="cellIs" dxfId="22047" priority="168224" stopIfTrue="1" operator="greaterThanOrEqual">
      <formula>0.5</formula>
    </cfRule>
  </conditionalFormatting>
  <conditionalFormatting sqref="AT77">
    <cfRule type="cellIs" dxfId="22046" priority="168225" stopIfTrue="1" operator="equal">
      <formula>-1</formula>
    </cfRule>
  </conditionalFormatting>
  <conditionalFormatting sqref="AT77">
    <cfRule type="cellIs" dxfId="22045" priority="168226" stopIfTrue="1" operator="lessThan">
      <formula>0.5</formula>
    </cfRule>
  </conditionalFormatting>
  <conditionalFormatting sqref="AT77">
    <cfRule type="cellIs" dxfId="22044" priority="168227" stopIfTrue="1" operator="greaterThanOrEqual">
      <formula>0.5</formula>
    </cfRule>
  </conditionalFormatting>
  <conditionalFormatting sqref="AT78">
    <cfRule type="cellIs" dxfId="22043" priority="168228" stopIfTrue="1" operator="equal">
      <formula>-1</formula>
    </cfRule>
  </conditionalFormatting>
  <conditionalFormatting sqref="AT78">
    <cfRule type="cellIs" dxfId="22042" priority="168229" stopIfTrue="1" operator="lessThan">
      <formula>0.5</formula>
    </cfRule>
  </conditionalFormatting>
  <conditionalFormatting sqref="AT78">
    <cfRule type="cellIs" dxfId="22041" priority="168230" stopIfTrue="1" operator="greaterThanOrEqual">
      <formula>0.5</formula>
    </cfRule>
  </conditionalFormatting>
  <conditionalFormatting sqref="AT79">
    <cfRule type="cellIs" dxfId="22040" priority="168231" stopIfTrue="1" operator="equal">
      <formula>-1</formula>
    </cfRule>
  </conditionalFormatting>
  <conditionalFormatting sqref="AT79">
    <cfRule type="cellIs" dxfId="22039" priority="168232" stopIfTrue="1" operator="lessThan">
      <formula>0.5</formula>
    </cfRule>
  </conditionalFormatting>
  <conditionalFormatting sqref="AT79">
    <cfRule type="cellIs" dxfId="22038" priority="168233" stopIfTrue="1" operator="greaterThanOrEqual">
      <formula>0.5</formula>
    </cfRule>
  </conditionalFormatting>
  <conditionalFormatting sqref="AT80">
    <cfRule type="cellIs" dxfId="22037" priority="168234" stopIfTrue="1" operator="equal">
      <formula>-1</formula>
    </cfRule>
  </conditionalFormatting>
  <conditionalFormatting sqref="AT80">
    <cfRule type="cellIs" dxfId="22036" priority="168235" stopIfTrue="1" operator="lessThan">
      <formula>0.5</formula>
    </cfRule>
  </conditionalFormatting>
  <conditionalFormatting sqref="AT80">
    <cfRule type="cellIs" dxfId="22035" priority="168236" stopIfTrue="1" operator="greaterThanOrEqual">
      <formula>0.5</formula>
    </cfRule>
  </conditionalFormatting>
  <conditionalFormatting sqref="AT81">
    <cfRule type="cellIs" dxfId="22034" priority="168237" stopIfTrue="1" operator="equal">
      <formula>-1</formula>
    </cfRule>
  </conditionalFormatting>
  <conditionalFormatting sqref="AT81">
    <cfRule type="cellIs" dxfId="22033" priority="168238" stopIfTrue="1" operator="lessThan">
      <formula>0.5</formula>
    </cfRule>
  </conditionalFormatting>
  <conditionalFormatting sqref="AT81">
    <cfRule type="cellIs" dxfId="22032" priority="168239" stopIfTrue="1" operator="greaterThanOrEqual">
      <formula>0.5</formula>
    </cfRule>
  </conditionalFormatting>
  <conditionalFormatting sqref="AT82">
    <cfRule type="cellIs" dxfId="22031" priority="168240" stopIfTrue="1" operator="equal">
      <formula>-1</formula>
    </cfRule>
  </conditionalFormatting>
  <conditionalFormatting sqref="AT82">
    <cfRule type="cellIs" dxfId="22030" priority="168241" stopIfTrue="1" operator="lessThan">
      <formula>0.5</formula>
    </cfRule>
  </conditionalFormatting>
  <conditionalFormatting sqref="AT82">
    <cfRule type="cellIs" dxfId="22029" priority="168242" stopIfTrue="1" operator="greaterThanOrEqual">
      <formula>0.5</formula>
    </cfRule>
  </conditionalFormatting>
  <conditionalFormatting sqref="AT83">
    <cfRule type="cellIs" dxfId="22028" priority="168243" stopIfTrue="1" operator="equal">
      <formula>-1</formula>
    </cfRule>
  </conditionalFormatting>
  <conditionalFormatting sqref="AT83">
    <cfRule type="cellIs" dxfId="22027" priority="168244" stopIfTrue="1" operator="lessThan">
      <formula>0.5</formula>
    </cfRule>
  </conditionalFormatting>
  <conditionalFormatting sqref="AT83">
    <cfRule type="cellIs" dxfId="22026" priority="168245" stopIfTrue="1" operator="greaterThanOrEqual">
      <formula>0.5</formula>
    </cfRule>
  </conditionalFormatting>
  <conditionalFormatting sqref="AT84">
    <cfRule type="cellIs" dxfId="22025" priority="168246" stopIfTrue="1" operator="equal">
      <formula>-1</formula>
    </cfRule>
  </conditionalFormatting>
  <conditionalFormatting sqref="AT84">
    <cfRule type="cellIs" dxfId="22024" priority="168247" stopIfTrue="1" operator="lessThan">
      <formula>0.5</formula>
    </cfRule>
  </conditionalFormatting>
  <conditionalFormatting sqref="AT84">
    <cfRule type="cellIs" dxfId="22023" priority="168248" stopIfTrue="1" operator="greaterThanOrEqual">
      <formula>0.5</formula>
    </cfRule>
  </conditionalFormatting>
  <conditionalFormatting sqref="AT85">
    <cfRule type="cellIs" dxfId="22022" priority="168249" stopIfTrue="1" operator="equal">
      <formula>-1</formula>
    </cfRule>
  </conditionalFormatting>
  <conditionalFormatting sqref="AT85">
    <cfRule type="cellIs" dxfId="22021" priority="168250" stopIfTrue="1" operator="lessThan">
      <formula>0.5</formula>
    </cfRule>
  </conditionalFormatting>
  <conditionalFormatting sqref="AT85">
    <cfRule type="cellIs" dxfId="22020" priority="168251" stopIfTrue="1" operator="greaterThanOrEqual">
      <formula>0.5</formula>
    </cfRule>
  </conditionalFormatting>
  <conditionalFormatting sqref="AV65">
    <cfRule type="cellIs" dxfId="22019" priority="168252" stopIfTrue="1" operator="equal">
      <formula>-1</formula>
    </cfRule>
  </conditionalFormatting>
  <conditionalFormatting sqref="AV65">
    <cfRule type="cellIs" dxfId="22018" priority="168253" stopIfTrue="1" operator="lessThan">
      <formula>0.5</formula>
    </cfRule>
  </conditionalFormatting>
  <conditionalFormatting sqref="AV65">
    <cfRule type="cellIs" dxfId="22017" priority="168254" stopIfTrue="1" operator="greaterThanOrEqual">
      <formula>0.5</formula>
    </cfRule>
  </conditionalFormatting>
  <conditionalFormatting sqref="AV66">
    <cfRule type="cellIs" dxfId="22016" priority="168255" stopIfTrue="1" operator="equal">
      <formula>-1</formula>
    </cfRule>
  </conditionalFormatting>
  <conditionalFormatting sqref="AV66">
    <cfRule type="cellIs" dxfId="22015" priority="168256" stopIfTrue="1" operator="lessThan">
      <formula>0.5</formula>
    </cfRule>
  </conditionalFormatting>
  <conditionalFormatting sqref="AV66">
    <cfRule type="cellIs" dxfId="22014" priority="168257" stopIfTrue="1" operator="greaterThanOrEqual">
      <formula>0.5</formula>
    </cfRule>
  </conditionalFormatting>
  <conditionalFormatting sqref="AV67">
    <cfRule type="cellIs" dxfId="22013" priority="168258" stopIfTrue="1" operator="equal">
      <formula>-1</formula>
    </cfRule>
  </conditionalFormatting>
  <conditionalFormatting sqref="AV67">
    <cfRule type="cellIs" dxfId="22012" priority="168259" stopIfTrue="1" operator="lessThan">
      <formula>0.5</formula>
    </cfRule>
  </conditionalFormatting>
  <conditionalFormatting sqref="AV67">
    <cfRule type="cellIs" dxfId="22011" priority="168260" stopIfTrue="1" operator="greaterThanOrEqual">
      <formula>0.5</formula>
    </cfRule>
  </conditionalFormatting>
  <conditionalFormatting sqref="AV68">
    <cfRule type="cellIs" dxfId="22010" priority="168261" stopIfTrue="1" operator="equal">
      <formula>-1</formula>
    </cfRule>
  </conditionalFormatting>
  <conditionalFormatting sqref="AV68">
    <cfRule type="cellIs" dxfId="22009" priority="168262" stopIfTrue="1" operator="lessThan">
      <formula>0.5</formula>
    </cfRule>
  </conditionalFormatting>
  <conditionalFormatting sqref="AV68">
    <cfRule type="cellIs" dxfId="22008" priority="168263" stopIfTrue="1" operator="greaterThanOrEqual">
      <formula>0.5</formula>
    </cfRule>
  </conditionalFormatting>
  <conditionalFormatting sqref="AV69">
    <cfRule type="cellIs" dxfId="22007" priority="168264" stopIfTrue="1" operator="equal">
      <formula>-1</formula>
    </cfRule>
  </conditionalFormatting>
  <conditionalFormatting sqref="AV69">
    <cfRule type="cellIs" dxfId="22006" priority="168265" stopIfTrue="1" operator="lessThan">
      <formula>0.5</formula>
    </cfRule>
  </conditionalFormatting>
  <conditionalFormatting sqref="AV69">
    <cfRule type="cellIs" dxfId="22005" priority="168266" stopIfTrue="1" operator="greaterThanOrEqual">
      <formula>0.5</formula>
    </cfRule>
  </conditionalFormatting>
  <conditionalFormatting sqref="AV70">
    <cfRule type="cellIs" dxfId="22004" priority="168267" stopIfTrue="1" operator="equal">
      <formula>-1</formula>
    </cfRule>
  </conditionalFormatting>
  <conditionalFormatting sqref="AV70">
    <cfRule type="cellIs" dxfId="22003" priority="168268" stopIfTrue="1" operator="lessThan">
      <formula>0.5</formula>
    </cfRule>
  </conditionalFormatting>
  <conditionalFormatting sqref="AV70">
    <cfRule type="cellIs" dxfId="22002" priority="168269" stopIfTrue="1" operator="greaterThanOrEqual">
      <formula>0.5</formula>
    </cfRule>
  </conditionalFormatting>
  <conditionalFormatting sqref="AV71">
    <cfRule type="cellIs" dxfId="22001" priority="168270" stopIfTrue="1" operator="equal">
      <formula>-1</formula>
    </cfRule>
  </conditionalFormatting>
  <conditionalFormatting sqref="AV71">
    <cfRule type="cellIs" dxfId="22000" priority="168271" stopIfTrue="1" operator="lessThan">
      <formula>0.5</formula>
    </cfRule>
  </conditionalFormatting>
  <conditionalFormatting sqref="AV71">
    <cfRule type="cellIs" dxfId="21999" priority="168272" stopIfTrue="1" operator="greaterThanOrEqual">
      <formula>0.5</formula>
    </cfRule>
  </conditionalFormatting>
  <conditionalFormatting sqref="AV72">
    <cfRule type="cellIs" dxfId="21998" priority="168273" stopIfTrue="1" operator="equal">
      <formula>-1</formula>
    </cfRule>
  </conditionalFormatting>
  <conditionalFormatting sqref="AV72">
    <cfRule type="cellIs" dxfId="21997" priority="168274" stopIfTrue="1" operator="lessThan">
      <formula>0.5</formula>
    </cfRule>
  </conditionalFormatting>
  <conditionalFormatting sqref="AV72">
    <cfRule type="cellIs" dxfId="21996" priority="168275" stopIfTrue="1" operator="greaterThanOrEqual">
      <formula>0.5</formula>
    </cfRule>
  </conditionalFormatting>
  <conditionalFormatting sqref="AV73">
    <cfRule type="cellIs" dxfId="21995" priority="168276" stopIfTrue="1" operator="equal">
      <formula>-1</formula>
    </cfRule>
  </conditionalFormatting>
  <conditionalFormatting sqref="AV73">
    <cfRule type="cellIs" dxfId="21994" priority="168277" stopIfTrue="1" operator="lessThan">
      <formula>0.5</formula>
    </cfRule>
  </conditionalFormatting>
  <conditionalFormatting sqref="AV73">
    <cfRule type="cellIs" dxfId="21993" priority="168278" stopIfTrue="1" operator="greaterThanOrEqual">
      <formula>0.5</formula>
    </cfRule>
  </conditionalFormatting>
  <conditionalFormatting sqref="AV74">
    <cfRule type="cellIs" dxfId="21992" priority="168279" stopIfTrue="1" operator="equal">
      <formula>-1</formula>
    </cfRule>
  </conditionalFormatting>
  <conditionalFormatting sqref="AV74">
    <cfRule type="cellIs" dxfId="21991" priority="168280" stopIfTrue="1" operator="lessThan">
      <formula>0.5</formula>
    </cfRule>
  </conditionalFormatting>
  <conditionalFormatting sqref="AV74">
    <cfRule type="cellIs" dxfId="21990" priority="168281" stopIfTrue="1" operator="greaterThanOrEqual">
      <formula>0.5</formula>
    </cfRule>
  </conditionalFormatting>
  <conditionalFormatting sqref="AV75">
    <cfRule type="cellIs" dxfId="21989" priority="168282" stopIfTrue="1" operator="equal">
      <formula>-1</formula>
    </cfRule>
  </conditionalFormatting>
  <conditionalFormatting sqref="AV75">
    <cfRule type="cellIs" dxfId="21988" priority="168283" stopIfTrue="1" operator="lessThan">
      <formula>0.5</formula>
    </cfRule>
  </conditionalFormatting>
  <conditionalFormatting sqref="AV75">
    <cfRule type="cellIs" dxfId="21987" priority="168284" stopIfTrue="1" operator="greaterThanOrEqual">
      <formula>0.5</formula>
    </cfRule>
  </conditionalFormatting>
  <conditionalFormatting sqref="AV76">
    <cfRule type="cellIs" dxfId="21986" priority="168285" stopIfTrue="1" operator="equal">
      <formula>-1</formula>
    </cfRule>
  </conditionalFormatting>
  <conditionalFormatting sqref="AV76">
    <cfRule type="cellIs" dxfId="21985" priority="168286" stopIfTrue="1" operator="lessThan">
      <formula>0.5</formula>
    </cfRule>
  </conditionalFormatting>
  <conditionalFormatting sqref="AV76">
    <cfRule type="cellIs" dxfId="21984" priority="168287" stopIfTrue="1" operator="greaterThanOrEqual">
      <formula>0.5</formula>
    </cfRule>
  </conditionalFormatting>
  <conditionalFormatting sqref="AV77">
    <cfRule type="cellIs" dxfId="21983" priority="168288" stopIfTrue="1" operator="equal">
      <formula>-1</formula>
    </cfRule>
  </conditionalFormatting>
  <conditionalFormatting sqref="AV77">
    <cfRule type="cellIs" dxfId="21982" priority="168289" stopIfTrue="1" operator="lessThan">
      <formula>0.5</formula>
    </cfRule>
  </conditionalFormatting>
  <conditionalFormatting sqref="AV77">
    <cfRule type="cellIs" dxfId="21981" priority="168290" stopIfTrue="1" operator="greaterThanOrEqual">
      <formula>0.5</formula>
    </cfRule>
  </conditionalFormatting>
  <conditionalFormatting sqref="AV78">
    <cfRule type="cellIs" dxfId="21980" priority="168291" stopIfTrue="1" operator="equal">
      <formula>-1</formula>
    </cfRule>
  </conditionalFormatting>
  <conditionalFormatting sqref="AV78">
    <cfRule type="cellIs" dxfId="21979" priority="168292" stopIfTrue="1" operator="lessThan">
      <formula>0.5</formula>
    </cfRule>
  </conditionalFormatting>
  <conditionalFormatting sqref="AV78">
    <cfRule type="cellIs" dxfId="21978" priority="168293" stopIfTrue="1" operator="greaterThanOrEqual">
      <formula>0.5</formula>
    </cfRule>
  </conditionalFormatting>
  <conditionalFormatting sqref="AV79">
    <cfRule type="cellIs" dxfId="21977" priority="168294" stopIfTrue="1" operator="equal">
      <formula>-1</formula>
    </cfRule>
  </conditionalFormatting>
  <conditionalFormatting sqref="AV79">
    <cfRule type="cellIs" dxfId="21976" priority="168295" stopIfTrue="1" operator="lessThan">
      <formula>0.5</formula>
    </cfRule>
  </conditionalFormatting>
  <conditionalFormatting sqref="AV79">
    <cfRule type="cellIs" dxfId="21975" priority="168296" stopIfTrue="1" operator="greaterThanOrEqual">
      <formula>0.5</formula>
    </cfRule>
  </conditionalFormatting>
  <conditionalFormatting sqref="AV80">
    <cfRule type="cellIs" dxfId="21974" priority="168297" stopIfTrue="1" operator="equal">
      <formula>-1</formula>
    </cfRule>
  </conditionalFormatting>
  <conditionalFormatting sqref="AV80">
    <cfRule type="cellIs" dxfId="21973" priority="168298" stopIfTrue="1" operator="lessThan">
      <formula>0.5</formula>
    </cfRule>
  </conditionalFormatting>
  <conditionalFormatting sqref="AV80">
    <cfRule type="cellIs" dxfId="21972" priority="168299" stopIfTrue="1" operator="greaterThanOrEqual">
      <formula>0.5</formula>
    </cfRule>
  </conditionalFormatting>
  <conditionalFormatting sqref="AV81">
    <cfRule type="cellIs" dxfId="21971" priority="168300" stopIfTrue="1" operator="equal">
      <formula>-1</formula>
    </cfRule>
  </conditionalFormatting>
  <conditionalFormatting sqref="AV81">
    <cfRule type="cellIs" dxfId="21970" priority="168301" stopIfTrue="1" operator="lessThan">
      <formula>0.5</formula>
    </cfRule>
  </conditionalFormatting>
  <conditionalFormatting sqref="AV81">
    <cfRule type="cellIs" dxfId="21969" priority="168302" stopIfTrue="1" operator="greaterThanOrEqual">
      <formula>0.5</formula>
    </cfRule>
  </conditionalFormatting>
  <conditionalFormatting sqref="AV82">
    <cfRule type="cellIs" dxfId="21968" priority="168303" stopIfTrue="1" operator="equal">
      <formula>-1</formula>
    </cfRule>
  </conditionalFormatting>
  <conditionalFormatting sqref="AV82">
    <cfRule type="cellIs" dxfId="21967" priority="168304" stopIfTrue="1" operator="lessThan">
      <formula>0.5</formula>
    </cfRule>
  </conditionalFormatting>
  <conditionalFormatting sqref="AV82">
    <cfRule type="cellIs" dxfId="21966" priority="168305" stopIfTrue="1" operator="greaterThanOrEqual">
      <formula>0.5</formula>
    </cfRule>
  </conditionalFormatting>
  <conditionalFormatting sqref="AV83">
    <cfRule type="cellIs" dxfId="21965" priority="168306" stopIfTrue="1" operator="equal">
      <formula>-1</formula>
    </cfRule>
  </conditionalFormatting>
  <conditionalFormatting sqref="AV83">
    <cfRule type="cellIs" dxfId="21964" priority="168307" stopIfTrue="1" operator="lessThan">
      <formula>0.5</formula>
    </cfRule>
  </conditionalFormatting>
  <conditionalFormatting sqref="AV83">
    <cfRule type="cellIs" dxfId="21963" priority="168308" stopIfTrue="1" operator="greaterThanOrEqual">
      <formula>0.5</formula>
    </cfRule>
  </conditionalFormatting>
  <conditionalFormatting sqref="AV84">
    <cfRule type="cellIs" dxfId="21962" priority="168309" stopIfTrue="1" operator="equal">
      <formula>-1</formula>
    </cfRule>
  </conditionalFormatting>
  <conditionalFormatting sqref="AV84">
    <cfRule type="cellIs" dxfId="21961" priority="168310" stopIfTrue="1" operator="lessThan">
      <formula>0.5</formula>
    </cfRule>
  </conditionalFormatting>
  <conditionalFormatting sqref="AV84">
    <cfRule type="cellIs" dxfId="21960" priority="168311" stopIfTrue="1" operator="greaterThanOrEqual">
      <formula>0.5</formula>
    </cfRule>
  </conditionalFormatting>
  <conditionalFormatting sqref="AV85">
    <cfRule type="cellIs" dxfId="21959" priority="168312" stopIfTrue="1" operator="equal">
      <formula>-1</formula>
    </cfRule>
  </conditionalFormatting>
  <conditionalFormatting sqref="AV85">
    <cfRule type="cellIs" dxfId="21958" priority="168313" stopIfTrue="1" operator="lessThan">
      <formula>0.5</formula>
    </cfRule>
  </conditionalFormatting>
  <conditionalFormatting sqref="AV85">
    <cfRule type="cellIs" dxfId="21957" priority="168314" stopIfTrue="1" operator="greaterThanOrEqual">
      <formula>0.5</formula>
    </cfRule>
  </conditionalFormatting>
  <conditionalFormatting sqref="AX65">
    <cfRule type="cellIs" dxfId="21956" priority="168315" stopIfTrue="1" operator="equal">
      <formula>-1</formula>
    </cfRule>
  </conditionalFormatting>
  <conditionalFormatting sqref="AX65">
    <cfRule type="cellIs" dxfId="21955" priority="168316" stopIfTrue="1" operator="lessThan">
      <formula>0.5</formula>
    </cfRule>
  </conditionalFormatting>
  <conditionalFormatting sqref="AX65">
    <cfRule type="cellIs" dxfId="21954" priority="168317" stopIfTrue="1" operator="greaterThanOrEqual">
      <formula>0.5</formula>
    </cfRule>
  </conditionalFormatting>
  <conditionalFormatting sqref="AX66">
    <cfRule type="cellIs" dxfId="21953" priority="168318" stopIfTrue="1" operator="equal">
      <formula>-1</formula>
    </cfRule>
  </conditionalFormatting>
  <conditionalFormatting sqref="AX66">
    <cfRule type="cellIs" dxfId="21952" priority="168319" stopIfTrue="1" operator="lessThan">
      <formula>0.5</formula>
    </cfRule>
  </conditionalFormatting>
  <conditionalFormatting sqref="AX66">
    <cfRule type="cellIs" dxfId="21951" priority="168320" stopIfTrue="1" operator="greaterThanOrEqual">
      <formula>0.5</formula>
    </cfRule>
  </conditionalFormatting>
  <conditionalFormatting sqref="AX67">
    <cfRule type="cellIs" dxfId="21950" priority="168321" stopIfTrue="1" operator="equal">
      <formula>-1</formula>
    </cfRule>
  </conditionalFormatting>
  <conditionalFormatting sqref="AX67">
    <cfRule type="cellIs" dxfId="21949" priority="168322" stopIfTrue="1" operator="lessThan">
      <formula>0.5</formula>
    </cfRule>
  </conditionalFormatting>
  <conditionalFormatting sqref="AX67">
    <cfRule type="cellIs" dxfId="21948" priority="168323" stopIfTrue="1" operator="greaterThanOrEqual">
      <formula>0.5</formula>
    </cfRule>
  </conditionalFormatting>
  <conditionalFormatting sqref="AX68">
    <cfRule type="cellIs" dxfId="21947" priority="168324" stopIfTrue="1" operator="equal">
      <formula>-1</formula>
    </cfRule>
  </conditionalFormatting>
  <conditionalFormatting sqref="AX68">
    <cfRule type="cellIs" dxfId="21946" priority="168325" stopIfTrue="1" operator="lessThan">
      <formula>0.5</formula>
    </cfRule>
  </conditionalFormatting>
  <conditionalFormatting sqref="AX68">
    <cfRule type="cellIs" dxfId="21945" priority="168326" stopIfTrue="1" operator="greaterThanOrEqual">
      <formula>0.5</formula>
    </cfRule>
  </conditionalFormatting>
  <conditionalFormatting sqref="AX69">
    <cfRule type="cellIs" dxfId="21944" priority="168327" stopIfTrue="1" operator="equal">
      <formula>-1</formula>
    </cfRule>
  </conditionalFormatting>
  <conditionalFormatting sqref="AX69">
    <cfRule type="cellIs" dxfId="21943" priority="168328" stopIfTrue="1" operator="lessThan">
      <formula>0.5</formula>
    </cfRule>
  </conditionalFormatting>
  <conditionalFormatting sqref="AX69">
    <cfRule type="cellIs" dxfId="21942" priority="168329" stopIfTrue="1" operator="greaterThanOrEqual">
      <formula>0.5</formula>
    </cfRule>
  </conditionalFormatting>
  <conditionalFormatting sqref="AX70">
    <cfRule type="cellIs" dxfId="21941" priority="168330" stopIfTrue="1" operator="equal">
      <formula>-1</formula>
    </cfRule>
  </conditionalFormatting>
  <conditionalFormatting sqref="AX70">
    <cfRule type="cellIs" dxfId="21940" priority="168331" stopIfTrue="1" operator="lessThan">
      <formula>0.5</formula>
    </cfRule>
  </conditionalFormatting>
  <conditionalFormatting sqref="AX70">
    <cfRule type="cellIs" dxfId="21939" priority="168332" stopIfTrue="1" operator="greaterThanOrEqual">
      <formula>0.5</formula>
    </cfRule>
  </conditionalFormatting>
  <conditionalFormatting sqref="AX71">
    <cfRule type="cellIs" dxfId="21938" priority="168333" stopIfTrue="1" operator="equal">
      <formula>-1</formula>
    </cfRule>
  </conditionalFormatting>
  <conditionalFormatting sqref="AX71">
    <cfRule type="cellIs" dxfId="21937" priority="168334" stopIfTrue="1" operator="lessThan">
      <formula>0.5</formula>
    </cfRule>
  </conditionalFormatting>
  <conditionalFormatting sqref="AX71">
    <cfRule type="cellIs" dxfId="21936" priority="168335" stopIfTrue="1" operator="greaterThanOrEqual">
      <formula>0.5</formula>
    </cfRule>
  </conditionalFormatting>
  <conditionalFormatting sqref="AX72">
    <cfRule type="cellIs" dxfId="21935" priority="168336" stopIfTrue="1" operator="equal">
      <formula>-1</formula>
    </cfRule>
  </conditionalFormatting>
  <conditionalFormatting sqref="AX72">
    <cfRule type="cellIs" dxfId="21934" priority="168337" stopIfTrue="1" operator="lessThan">
      <formula>0.5</formula>
    </cfRule>
  </conditionalFormatting>
  <conditionalFormatting sqref="AX72">
    <cfRule type="cellIs" dxfId="21933" priority="168338" stopIfTrue="1" operator="greaterThanOrEqual">
      <formula>0.5</formula>
    </cfRule>
  </conditionalFormatting>
  <conditionalFormatting sqref="AX73">
    <cfRule type="cellIs" dxfId="21932" priority="168339" stopIfTrue="1" operator="equal">
      <formula>-1</formula>
    </cfRule>
  </conditionalFormatting>
  <conditionalFormatting sqref="AX73">
    <cfRule type="cellIs" dxfId="21931" priority="168340" stopIfTrue="1" operator="lessThan">
      <formula>0.5</formula>
    </cfRule>
  </conditionalFormatting>
  <conditionalFormatting sqref="AX73">
    <cfRule type="cellIs" dxfId="21930" priority="168341" stopIfTrue="1" operator="greaterThanOrEqual">
      <formula>0.5</formula>
    </cfRule>
  </conditionalFormatting>
  <conditionalFormatting sqref="AX74">
    <cfRule type="cellIs" dxfId="21929" priority="168342" stopIfTrue="1" operator="equal">
      <formula>-1</formula>
    </cfRule>
  </conditionalFormatting>
  <conditionalFormatting sqref="AX74">
    <cfRule type="cellIs" dxfId="21928" priority="168343" stopIfTrue="1" operator="lessThan">
      <formula>0.5</formula>
    </cfRule>
  </conditionalFormatting>
  <conditionalFormatting sqref="AX74">
    <cfRule type="cellIs" dxfId="21927" priority="168344" stopIfTrue="1" operator="greaterThanOrEqual">
      <formula>0.5</formula>
    </cfRule>
  </conditionalFormatting>
  <conditionalFormatting sqref="AX75">
    <cfRule type="cellIs" dxfId="21926" priority="168345" stopIfTrue="1" operator="equal">
      <formula>-1</formula>
    </cfRule>
  </conditionalFormatting>
  <conditionalFormatting sqref="AX75">
    <cfRule type="cellIs" dxfId="21925" priority="168346" stopIfTrue="1" operator="lessThan">
      <formula>0.5</formula>
    </cfRule>
  </conditionalFormatting>
  <conditionalFormatting sqref="AX75">
    <cfRule type="cellIs" dxfId="21924" priority="168347" stopIfTrue="1" operator="greaterThanOrEqual">
      <formula>0.5</formula>
    </cfRule>
  </conditionalFormatting>
  <conditionalFormatting sqref="AX76">
    <cfRule type="cellIs" dxfId="21923" priority="168348" stopIfTrue="1" operator="equal">
      <formula>-1</formula>
    </cfRule>
  </conditionalFormatting>
  <conditionalFormatting sqref="AX76">
    <cfRule type="cellIs" dxfId="21922" priority="168349" stopIfTrue="1" operator="lessThan">
      <formula>0.5</formula>
    </cfRule>
  </conditionalFormatting>
  <conditionalFormatting sqref="AX76">
    <cfRule type="cellIs" dxfId="21921" priority="168350" stopIfTrue="1" operator="greaterThanOrEqual">
      <formula>0.5</formula>
    </cfRule>
  </conditionalFormatting>
  <conditionalFormatting sqref="AX77">
    <cfRule type="cellIs" dxfId="21920" priority="168351" stopIfTrue="1" operator="equal">
      <formula>-1</formula>
    </cfRule>
  </conditionalFormatting>
  <conditionalFormatting sqref="AX77">
    <cfRule type="cellIs" dxfId="21919" priority="168352" stopIfTrue="1" operator="lessThan">
      <formula>0.5</formula>
    </cfRule>
  </conditionalFormatting>
  <conditionalFormatting sqref="AX77">
    <cfRule type="cellIs" dxfId="21918" priority="168353" stopIfTrue="1" operator="greaterThanOrEqual">
      <formula>0.5</formula>
    </cfRule>
  </conditionalFormatting>
  <conditionalFormatting sqref="AX78">
    <cfRule type="cellIs" dxfId="21917" priority="168354" stopIfTrue="1" operator="equal">
      <formula>-1</formula>
    </cfRule>
  </conditionalFormatting>
  <conditionalFormatting sqref="AX78">
    <cfRule type="cellIs" dxfId="21916" priority="168355" stopIfTrue="1" operator="lessThan">
      <formula>0.5</formula>
    </cfRule>
  </conditionalFormatting>
  <conditionalFormatting sqref="AX78">
    <cfRule type="cellIs" dxfId="21915" priority="168356" stopIfTrue="1" operator="greaterThanOrEqual">
      <formula>0.5</formula>
    </cfRule>
  </conditionalFormatting>
  <conditionalFormatting sqref="AX79">
    <cfRule type="cellIs" dxfId="21914" priority="168357" stopIfTrue="1" operator="equal">
      <formula>-1</formula>
    </cfRule>
  </conditionalFormatting>
  <conditionalFormatting sqref="AX79">
    <cfRule type="cellIs" dxfId="21913" priority="168358" stopIfTrue="1" operator="lessThan">
      <formula>0.5</formula>
    </cfRule>
  </conditionalFormatting>
  <conditionalFormatting sqref="AX79">
    <cfRule type="cellIs" dxfId="21912" priority="168359" stopIfTrue="1" operator="greaterThanOrEqual">
      <formula>0.5</formula>
    </cfRule>
  </conditionalFormatting>
  <conditionalFormatting sqref="AX80">
    <cfRule type="cellIs" dxfId="21911" priority="168360" stopIfTrue="1" operator="equal">
      <formula>-1</formula>
    </cfRule>
  </conditionalFormatting>
  <conditionalFormatting sqref="AX80">
    <cfRule type="cellIs" dxfId="21910" priority="168361" stopIfTrue="1" operator="lessThan">
      <formula>0.5</formula>
    </cfRule>
  </conditionalFormatting>
  <conditionalFormatting sqref="AX80">
    <cfRule type="cellIs" dxfId="21909" priority="168362" stopIfTrue="1" operator="greaterThanOrEqual">
      <formula>0.5</formula>
    </cfRule>
  </conditionalFormatting>
  <conditionalFormatting sqref="AX81">
    <cfRule type="cellIs" dxfId="21908" priority="168363" stopIfTrue="1" operator="equal">
      <formula>-1</formula>
    </cfRule>
  </conditionalFormatting>
  <conditionalFormatting sqref="AX81">
    <cfRule type="cellIs" dxfId="21907" priority="168364" stopIfTrue="1" operator="lessThan">
      <formula>0.5</formula>
    </cfRule>
  </conditionalFormatting>
  <conditionalFormatting sqref="AX81">
    <cfRule type="cellIs" dxfId="21906" priority="168365" stopIfTrue="1" operator="greaterThanOrEqual">
      <formula>0.5</formula>
    </cfRule>
  </conditionalFormatting>
  <conditionalFormatting sqref="AX82">
    <cfRule type="cellIs" dxfId="21905" priority="168366" stopIfTrue="1" operator="equal">
      <formula>-1</formula>
    </cfRule>
  </conditionalFormatting>
  <conditionalFormatting sqref="AX82">
    <cfRule type="cellIs" dxfId="21904" priority="168367" stopIfTrue="1" operator="lessThan">
      <formula>0.5</formula>
    </cfRule>
  </conditionalFormatting>
  <conditionalFormatting sqref="AX82">
    <cfRule type="cellIs" dxfId="21903" priority="168368" stopIfTrue="1" operator="greaterThanOrEqual">
      <formula>0.5</formula>
    </cfRule>
  </conditionalFormatting>
  <conditionalFormatting sqref="AX83">
    <cfRule type="cellIs" dxfId="21902" priority="168369" stopIfTrue="1" operator="equal">
      <formula>-1</formula>
    </cfRule>
  </conditionalFormatting>
  <conditionalFormatting sqref="AX83">
    <cfRule type="cellIs" dxfId="21901" priority="168370" stopIfTrue="1" operator="lessThan">
      <formula>0.5</formula>
    </cfRule>
  </conditionalFormatting>
  <conditionalFormatting sqref="AX83">
    <cfRule type="cellIs" dxfId="21900" priority="168371" stopIfTrue="1" operator="greaterThanOrEqual">
      <formula>0.5</formula>
    </cfRule>
  </conditionalFormatting>
  <conditionalFormatting sqref="AX84">
    <cfRule type="cellIs" dxfId="21899" priority="168372" stopIfTrue="1" operator="equal">
      <formula>-1</formula>
    </cfRule>
  </conditionalFormatting>
  <conditionalFormatting sqref="AX84">
    <cfRule type="cellIs" dxfId="21898" priority="168373" stopIfTrue="1" operator="lessThan">
      <formula>0.5</formula>
    </cfRule>
  </conditionalFormatting>
  <conditionalFormatting sqref="AX84">
    <cfRule type="cellIs" dxfId="21897" priority="168374" stopIfTrue="1" operator="greaterThanOrEqual">
      <formula>0.5</formula>
    </cfRule>
  </conditionalFormatting>
  <conditionalFormatting sqref="AX85">
    <cfRule type="cellIs" dxfId="21896" priority="168375" stopIfTrue="1" operator="equal">
      <formula>-1</formula>
    </cfRule>
  </conditionalFormatting>
  <conditionalFormatting sqref="AX85">
    <cfRule type="cellIs" dxfId="21895" priority="168376" stopIfTrue="1" operator="lessThan">
      <formula>0.5</formula>
    </cfRule>
  </conditionalFormatting>
  <conditionalFormatting sqref="AX85">
    <cfRule type="cellIs" dxfId="21894" priority="168377" stopIfTrue="1" operator="greaterThanOrEqual">
      <formula>0.5</formula>
    </cfRule>
  </conditionalFormatting>
  <conditionalFormatting sqref="AZ65">
    <cfRule type="cellIs" dxfId="21893" priority="168378" stopIfTrue="1" operator="equal">
      <formula>-1</formula>
    </cfRule>
  </conditionalFormatting>
  <conditionalFormatting sqref="AZ65">
    <cfRule type="cellIs" dxfId="21892" priority="168379" stopIfTrue="1" operator="lessThan">
      <formula>0.5</formula>
    </cfRule>
  </conditionalFormatting>
  <conditionalFormatting sqref="AZ65">
    <cfRule type="cellIs" dxfId="21891" priority="168380" stopIfTrue="1" operator="greaterThanOrEqual">
      <formula>0.5</formula>
    </cfRule>
  </conditionalFormatting>
  <conditionalFormatting sqref="AZ66">
    <cfRule type="cellIs" dxfId="21890" priority="168381" stopIfTrue="1" operator="equal">
      <formula>-1</formula>
    </cfRule>
  </conditionalFormatting>
  <conditionalFormatting sqref="AZ66">
    <cfRule type="cellIs" dxfId="21889" priority="168382" stopIfTrue="1" operator="lessThan">
      <formula>0.5</formula>
    </cfRule>
  </conditionalFormatting>
  <conditionalFormatting sqref="AZ66">
    <cfRule type="cellIs" dxfId="21888" priority="168383" stopIfTrue="1" operator="greaterThanOrEqual">
      <formula>0.5</formula>
    </cfRule>
  </conditionalFormatting>
  <conditionalFormatting sqref="AZ67">
    <cfRule type="cellIs" dxfId="21887" priority="168384" stopIfTrue="1" operator="equal">
      <formula>-1</formula>
    </cfRule>
  </conditionalFormatting>
  <conditionalFormatting sqref="AZ67">
    <cfRule type="cellIs" dxfId="21886" priority="168385" stopIfTrue="1" operator="lessThan">
      <formula>0.5</formula>
    </cfRule>
  </conditionalFormatting>
  <conditionalFormatting sqref="AZ67">
    <cfRule type="cellIs" dxfId="21885" priority="168386" stopIfTrue="1" operator="greaterThanOrEqual">
      <formula>0.5</formula>
    </cfRule>
  </conditionalFormatting>
  <conditionalFormatting sqref="AZ68">
    <cfRule type="cellIs" dxfId="21884" priority="168387" stopIfTrue="1" operator="equal">
      <formula>-1</formula>
    </cfRule>
  </conditionalFormatting>
  <conditionalFormatting sqref="AZ68">
    <cfRule type="cellIs" dxfId="21883" priority="168388" stopIfTrue="1" operator="lessThan">
      <formula>0.5</formula>
    </cfRule>
  </conditionalFormatting>
  <conditionalFormatting sqref="AZ68">
    <cfRule type="cellIs" dxfId="21882" priority="168389" stopIfTrue="1" operator="greaterThanOrEqual">
      <formula>0.5</formula>
    </cfRule>
  </conditionalFormatting>
  <conditionalFormatting sqref="AZ69">
    <cfRule type="cellIs" dxfId="21881" priority="168390" stopIfTrue="1" operator="equal">
      <formula>-1</formula>
    </cfRule>
  </conditionalFormatting>
  <conditionalFormatting sqref="AZ69">
    <cfRule type="cellIs" dxfId="21880" priority="168391" stopIfTrue="1" operator="lessThan">
      <formula>0.5</formula>
    </cfRule>
  </conditionalFormatting>
  <conditionalFormatting sqref="AZ69">
    <cfRule type="cellIs" dxfId="21879" priority="168392" stopIfTrue="1" operator="greaterThanOrEqual">
      <formula>0.5</formula>
    </cfRule>
  </conditionalFormatting>
  <conditionalFormatting sqref="AZ70">
    <cfRule type="cellIs" dxfId="21878" priority="168393" stopIfTrue="1" operator="equal">
      <formula>-1</formula>
    </cfRule>
  </conditionalFormatting>
  <conditionalFormatting sqref="AZ70">
    <cfRule type="cellIs" dxfId="21877" priority="168394" stopIfTrue="1" operator="lessThan">
      <formula>0.5</formula>
    </cfRule>
  </conditionalFormatting>
  <conditionalFormatting sqref="AZ70">
    <cfRule type="cellIs" dxfId="21876" priority="168395" stopIfTrue="1" operator="greaterThanOrEqual">
      <formula>0.5</formula>
    </cfRule>
  </conditionalFormatting>
  <conditionalFormatting sqref="AZ71">
    <cfRule type="cellIs" dxfId="21875" priority="168396" stopIfTrue="1" operator="equal">
      <formula>-1</formula>
    </cfRule>
  </conditionalFormatting>
  <conditionalFormatting sqref="AZ71">
    <cfRule type="cellIs" dxfId="21874" priority="168397" stopIfTrue="1" operator="lessThan">
      <formula>0.5</formula>
    </cfRule>
  </conditionalFormatting>
  <conditionalFormatting sqref="AZ71">
    <cfRule type="cellIs" dxfId="21873" priority="168398" stopIfTrue="1" operator="greaterThanOrEqual">
      <formula>0.5</formula>
    </cfRule>
  </conditionalFormatting>
  <conditionalFormatting sqref="AZ72">
    <cfRule type="cellIs" dxfId="21872" priority="168399" stopIfTrue="1" operator="equal">
      <formula>-1</formula>
    </cfRule>
  </conditionalFormatting>
  <conditionalFormatting sqref="AZ72">
    <cfRule type="cellIs" dxfId="21871" priority="168400" stopIfTrue="1" operator="lessThan">
      <formula>0.5</formula>
    </cfRule>
  </conditionalFormatting>
  <conditionalFormatting sqref="AZ72">
    <cfRule type="cellIs" dxfId="21870" priority="168401" stopIfTrue="1" operator="greaterThanOrEqual">
      <formula>0.5</formula>
    </cfRule>
  </conditionalFormatting>
  <conditionalFormatting sqref="AZ73">
    <cfRule type="cellIs" dxfId="21869" priority="168402" stopIfTrue="1" operator="equal">
      <formula>-1</formula>
    </cfRule>
  </conditionalFormatting>
  <conditionalFormatting sqref="AZ73">
    <cfRule type="cellIs" dxfId="21868" priority="168403" stopIfTrue="1" operator="lessThan">
      <formula>0.5</formula>
    </cfRule>
  </conditionalFormatting>
  <conditionalFormatting sqref="AZ73">
    <cfRule type="cellIs" dxfId="21867" priority="168404" stopIfTrue="1" operator="greaterThanOrEqual">
      <formula>0.5</formula>
    </cfRule>
  </conditionalFormatting>
  <conditionalFormatting sqref="AZ74">
    <cfRule type="cellIs" dxfId="21866" priority="168405" stopIfTrue="1" operator="equal">
      <formula>-1</formula>
    </cfRule>
  </conditionalFormatting>
  <conditionalFormatting sqref="AZ74">
    <cfRule type="cellIs" dxfId="21865" priority="168406" stopIfTrue="1" operator="lessThan">
      <formula>0.5</formula>
    </cfRule>
  </conditionalFormatting>
  <conditionalFormatting sqref="AZ74">
    <cfRule type="cellIs" dxfId="21864" priority="168407" stopIfTrue="1" operator="greaterThanOrEqual">
      <formula>0.5</formula>
    </cfRule>
  </conditionalFormatting>
  <conditionalFormatting sqref="AZ75">
    <cfRule type="cellIs" dxfId="21863" priority="168408" stopIfTrue="1" operator="equal">
      <formula>-1</formula>
    </cfRule>
  </conditionalFormatting>
  <conditionalFormatting sqref="AZ75">
    <cfRule type="cellIs" dxfId="21862" priority="168409" stopIfTrue="1" operator="lessThan">
      <formula>0.5</formula>
    </cfRule>
  </conditionalFormatting>
  <conditionalFormatting sqref="AZ75">
    <cfRule type="cellIs" dxfId="21861" priority="168410" stopIfTrue="1" operator="greaterThanOrEqual">
      <formula>0.5</formula>
    </cfRule>
  </conditionalFormatting>
  <conditionalFormatting sqref="AZ76">
    <cfRule type="cellIs" dxfId="21860" priority="168411" stopIfTrue="1" operator="equal">
      <formula>-1</formula>
    </cfRule>
  </conditionalFormatting>
  <conditionalFormatting sqref="AZ76">
    <cfRule type="cellIs" dxfId="21859" priority="168412" stopIfTrue="1" operator="lessThan">
      <formula>0.5</formula>
    </cfRule>
  </conditionalFormatting>
  <conditionalFormatting sqref="AZ76">
    <cfRule type="cellIs" dxfId="21858" priority="168413" stopIfTrue="1" operator="greaterThanOrEqual">
      <formula>0.5</formula>
    </cfRule>
  </conditionalFormatting>
  <conditionalFormatting sqref="AZ77">
    <cfRule type="cellIs" dxfId="21857" priority="168414" stopIfTrue="1" operator="equal">
      <formula>-1</formula>
    </cfRule>
  </conditionalFormatting>
  <conditionalFormatting sqref="AZ77">
    <cfRule type="cellIs" dxfId="21856" priority="168415" stopIfTrue="1" operator="lessThan">
      <formula>0.5</formula>
    </cfRule>
  </conditionalFormatting>
  <conditionalFormatting sqref="AZ77">
    <cfRule type="cellIs" dxfId="21855" priority="168416" stopIfTrue="1" operator="greaterThanOrEqual">
      <formula>0.5</formula>
    </cfRule>
  </conditionalFormatting>
  <conditionalFormatting sqref="AZ78">
    <cfRule type="cellIs" dxfId="21854" priority="168417" stopIfTrue="1" operator="equal">
      <formula>-1</formula>
    </cfRule>
  </conditionalFormatting>
  <conditionalFormatting sqref="AZ78">
    <cfRule type="cellIs" dxfId="21853" priority="168418" stopIfTrue="1" operator="lessThan">
      <formula>0.5</formula>
    </cfRule>
  </conditionalFormatting>
  <conditionalFormatting sqref="AZ78">
    <cfRule type="cellIs" dxfId="21852" priority="168419" stopIfTrue="1" operator="greaterThanOrEqual">
      <formula>0.5</formula>
    </cfRule>
  </conditionalFormatting>
  <conditionalFormatting sqref="AZ79">
    <cfRule type="cellIs" dxfId="21851" priority="168420" stopIfTrue="1" operator="equal">
      <formula>-1</formula>
    </cfRule>
  </conditionalFormatting>
  <conditionalFormatting sqref="AZ79">
    <cfRule type="cellIs" dxfId="21850" priority="168421" stopIfTrue="1" operator="lessThan">
      <formula>0.5</formula>
    </cfRule>
  </conditionalFormatting>
  <conditionalFormatting sqref="AZ79">
    <cfRule type="cellIs" dxfId="21849" priority="168422" stopIfTrue="1" operator="greaterThanOrEqual">
      <formula>0.5</formula>
    </cfRule>
  </conditionalFormatting>
  <conditionalFormatting sqref="AZ80">
    <cfRule type="cellIs" dxfId="21848" priority="168423" stopIfTrue="1" operator="equal">
      <formula>-1</formula>
    </cfRule>
  </conditionalFormatting>
  <conditionalFormatting sqref="AZ80">
    <cfRule type="cellIs" dxfId="21847" priority="168424" stopIfTrue="1" operator="lessThan">
      <formula>0.5</formula>
    </cfRule>
  </conditionalFormatting>
  <conditionalFormatting sqref="AZ80">
    <cfRule type="cellIs" dxfId="21846" priority="168425" stopIfTrue="1" operator="greaterThanOrEqual">
      <formula>0.5</formula>
    </cfRule>
  </conditionalFormatting>
  <conditionalFormatting sqref="AZ81">
    <cfRule type="cellIs" dxfId="21845" priority="168426" stopIfTrue="1" operator="equal">
      <formula>-1</formula>
    </cfRule>
  </conditionalFormatting>
  <conditionalFormatting sqref="AZ81">
    <cfRule type="cellIs" dxfId="21844" priority="168427" stopIfTrue="1" operator="lessThan">
      <formula>0.5</formula>
    </cfRule>
  </conditionalFormatting>
  <conditionalFormatting sqref="AZ81">
    <cfRule type="cellIs" dxfId="21843" priority="168428" stopIfTrue="1" operator="greaterThanOrEqual">
      <formula>0.5</formula>
    </cfRule>
  </conditionalFormatting>
  <conditionalFormatting sqref="AZ82">
    <cfRule type="cellIs" dxfId="21842" priority="168429" stopIfTrue="1" operator="equal">
      <formula>-1</formula>
    </cfRule>
  </conditionalFormatting>
  <conditionalFormatting sqref="AZ82">
    <cfRule type="cellIs" dxfId="21841" priority="168430" stopIfTrue="1" operator="lessThan">
      <formula>0.5</formula>
    </cfRule>
  </conditionalFormatting>
  <conditionalFormatting sqref="AZ82">
    <cfRule type="cellIs" dxfId="21840" priority="168431" stopIfTrue="1" operator="greaterThanOrEqual">
      <formula>0.5</formula>
    </cfRule>
  </conditionalFormatting>
  <conditionalFormatting sqref="AZ83">
    <cfRule type="cellIs" dxfId="21839" priority="168432" stopIfTrue="1" operator="equal">
      <formula>-1</formula>
    </cfRule>
  </conditionalFormatting>
  <conditionalFormatting sqref="AZ83">
    <cfRule type="cellIs" dxfId="21838" priority="168433" stopIfTrue="1" operator="lessThan">
      <formula>0.5</formula>
    </cfRule>
  </conditionalFormatting>
  <conditionalFormatting sqref="AZ83">
    <cfRule type="cellIs" dxfId="21837" priority="168434" stopIfTrue="1" operator="greaterThanOrEqual">
      <formula>0.5</formula>
    </cfRule>
  </conditionalFormatting>
  <conditionalFormatting sqref="AZ84">
    <cfRule type="cellIs" dxfId="21836" priority="168435" stopIfTrue="1" operator="equal">
      <formula>-1</formula>
    </cfRule>
  </conditionalFormatting>
  <conditionalFormatting sqref="AZ84">
    <cfRule type="cellIs" dxfId="21835" priority="168436" stopIfTrue="1" operator="lessThan">
      <formula>0.5</formula>
    </cfRule>
  </conditionalFormatting>
  <conditionalFormatting sqref="AZ84">
    <cfRule type="cellIs" dxfId="21834" priority="168437" stopIfTrue="1" operator="greaterThanOrEqual">
      <formula>0.5</formula>
    </cfRule>
  </conditionalFormatting>
  <conditionalFormatting sqref="AZ85">
    <cfRule type="cellIs" dxfId="21833" priority="168438" stopIfTrue="1" operator="equal">
      <formula>-1</formula>
    </cfRule>
  </conditionalFormatting>
  <conditionalFormatting sqref="AZ85">
    <cfRule type="cellIs" dxfId="21832" priority="168439" stopIfTrue="1" operator="lessThan">
      <formula>0.5</formula>
    </cfRule>
  </conditionalFormatting>
  <conditionalFormatting sqref="AZ85">
    <cfRule type="cellIs" dxfId="21831" priority="168440" stopIfTrue="1" operator="greaterThanOrEqual">
      <formula>0.5</formula>
    </cfRule>
  </conditionalFormatting>
  <conditionalFormatting sqref="BB65">
    <cfRule type="cellIs" dxfId="21830" priority="168441" stopIfTrue="1" operator="equal">
      <formula>-1</formula>
    </cfRule>
  </conditionalFormatting>
  <conditionalFormatting sqref="BB65">
    <cfRule type="cellIs" dxfId="21829" priority="168442" stopIfTrue="1" operator="lessThan">
      <formula>0.5</formula>
    </cfRule>
  </conditionalFormatting>
  <conditionalFormatting sqref="BB65">
    <cfRule type="cellIs" dxfId="21828" priority="168443" stopIfTrue="1" operator="greaterThanOrEqual">
      <formula>0.5</formula>
    </cfRule>
  </conditionalFormatting>
  <conditionalFormatting sqref="BB66">
    <cfRule type="cellIs" dxfId="21827" priority="168444" stopIfTrue="1" operator="equal">
      <formula>-1</formula>
    </cfRule>
  </conditionalFormatting>
  <conditionalFormatting sqref="BB66">
    <cfRule type="cellIs" dxfId="21826" priority="168445" stopIfTrue="1" operator="lessThan">
      <formula>0.5</formula>
    </cfRule>
  </conditionalFormatting>
  <conditionalFormatting sqref="BB66">
    <cfRule type="cellIs" dxfId="21825" priority="168446" stopIfTrue="1" operator="greaterThanOrEqual">
      <formula>0.5</formula>
    </cfRule>
  </conditionalFormatting>
  <conditionalFormatting sqref="BB67">
    <cfRule type="cellIs" dxfId="21824" priority="168447" stopIfTrue="1" operator="equal">
      <formula>-1</formula>
    </cfRule>
  </conditionalFormatting>
  <conditionalFormatting sqref="BB67">
    <cfRule type="cellIs" dxfId="21823" priority="168448" stopIfTrue="1" operator="lessThan">
      <formula>0.5</formula>
    </cfRule>
  </conditionalFormatting>
  <conditionalFormatting sqref="BB67">
    <cfRule type="cellIs" dxfId="21822" priority="168449" stopIfTrue="1" operator="greaterThanOrEqual">
      <formula>0.5</formula>
    </cfRule>
  </conditionalFormatting>
  <conditionalFormatting sqref="BB68">
    <cfRule type="cellIs" dxfId="21821" priority="168450" stopIfTrue="1" operator="equal">
      <formula>-1</formula>
    </cfRule>
  </conditionalFormatting>
  <conditionalFormatting sqref="BB68">
    <cfRule type="cellIs" dxfId="21820" priority="168451" stopIfTrue="1" operator="lessThan">
      <formula>0.5</formula>
    </cfRule>
  </conditionalFormatting>
  <conditionalFormatting sqref="BB68">
    <cfRule type="cellIs" dxfId="21819" priority="168452" stopIfTrue="1" operator="greaterThanOrEqual">
      <formula>0.5</formula>
    </cfRule>
  </conditionalFormatting>
  <conditionalFormatting sqref="BB69">
    <cfRule type="cellIs" dxfId="21818" priority="168453" stopIfTrue="1" operator="equal">
      <formula>-1</formula>
    </cfRule>
  </conditionalFormatting>
  <conditionalFormatting sqref="BB69">
    <cfRule type="cellIs" dxfId="21817" priority="168454" stopIfTrue="1" operator="lessThan">
      <formula>0.5</formula>
    </cfRule>
  </conditionalFormatting>
  <conditionalFormatting sqref="BB69">
    <cfRule type="cellIs" dxfId="21816" priority="168455" stopIfTrue="1" operator="greaterThanOrEqual">
      <formula>0.5</formula>
    </cfRule>
  </conditionalFormatting>
  <conditionalFormatting sqref="BB70">
    <cfRule type="cellIs" dxfId="21815" priority="168456" stopIfTrue="1" operator="equal">
      <formula>-1</formula>
    </cfRule>
  </conditionalFormatting>
  <conditionalFormatting sqref="BB70">
    <cfRule type="cellIs" dxfId="21814" priority="168457" stopIfTrue="1" operator="lessThan">
      <formula>0.5</formula>
    </cfRule>
  </conditionalFormatting>
  <conditionalFormatting sqref="BB70">
    <cfRule type="cellIs" dxfId="21813" priority="168458" stopIfTrue="1" operator="greaterThanOrEqual">
      <formula>0.5</formula>
    </cfRule>
  </conditionalFormatting>
  <conditionalFormatting sqref="BB71">
    <cfRule type="cellIs" dxfId="21812" priority="168459" stopIfTrue="1" operator="equal">
      <formula>-1</formula>
    </cfRule>
  </conditionalFormatting>
  <conditionalFormatting sqref="BB71">
    <cfRule type="cellIs" dxfId="21811" priority="168460" stopIfTrue="1" operator="lessThan">
      <formula>0.5</formula>
    </cfRule>
  </conditionalFormatting>
  <conditionalFormatting sqref="BB71">
    <cfRule type="cellIs" dxfId="21810" priority="168461" stopIfTrue="1" operator="greaterThanOrEqual">
      <formula>0.5</formula>
    </cfRule>
  </conditionalFormatting>
  <conditionalFormatting sqref="BB72">
    <cfRule type="cellIs" dxfId="21809" priority="168462" stopIfTrue="1" operator="equal">
      <formula>-1</formula>
    </cfRule>
  </conditionalFormatting>
  <conditionalFormatting sqref="BB72">
    <cfRule type="cellIs" dxfId="21808" priority="168463" stopIfTrue="1" operator="lessThan">
      <formula>0.5</formula>
    </cfRule>
  </conditionalFormatting>
  <conditionalFormatting sqref="BB72">
    <cfRule type="cellIs" dxfId="21807" priority="168464" stopIfTrue="1" operator="greaterThanOrEqual">
      <formula>0.5</formula>
    </cfRule>
  </conditionalFormatting>
  <conditionalFormatting sqref="BB73">
    <cfRule type="cellIs" dxfId="21806" priority="168465" stopIfTrue="1" operator="equal">
      <formula>-1</formula>
    </cfRule>
  </conditionalFormatting>
  <conditionalFormatting sqref="BB73">
    <cfRule type="cellIs" dxfId="21805" priority="168466" stopIfTrue="1" operator="lessThan">
      <formula>0.5</formula>
    </cfRule>
  </conditionalFormatting>
  <conditionalFormatting sqref="BB73">
    <cfRule type="cellIs" dxfId="21804" priority="168467" stopIfTrue="1" operator="greaterThanOrEqual">
      <formula>0.5</formula>
    </cfRule>
  </conditionalFormatting>
  <conditionalFormatting sqref="BB74">
    <cfRule type="cellIs" dxfId="21803" priority="168468" stopIfTrue="1" operator="equal">
      <formula>-1</formula>
    </cfRule>
  </conditionalFormatting>
  <conditionalFormatting sqref="BB74">
    <cfRule type="cellIs" dxfId="21802" priority="168469" stopIfTrue="1" operator="lessThan">
      <formula>0.5</formula>
    </cfRule>
  </conditionalFormatting>
  <conditionalFormatting sqref="BB74">
    <cfRule type="cellIs" dxfId="21801" priority="168470" stopIfTrue="1" operator="greaterThanOrEqual">
      <formula>0.5</formula>
    </cfRule>
  </conditionalFormatting>
  <conditionalFormatting sqref="BB75">
    <cfRule type="cellIs" dxfId="21800" priority="168471" stopIfTrue="1" operator="equal">
      <formula>-1</formula>
    </cfRule>
  </conditionalFormatting>
  <conditionalFormatting sqref="BB75">
    <cfRule type="cellIs" dxfId="21799" priority="168472" stopIfTrue="1" operator="lessThan">
      <formula>0.5</formula>
    </cfRule>
  </conditionalFormatting>
  <conditionalFormatting sqref="BB75">
    <cfRule type="cellIs" dxfId="21798" priority="168473" stopIfTrue="1" operator="greaterThanOrEqual">
      <formula>0.5</formula>
    </cfRule>
  </conditionalFormatting>
  <conditionalFormatting sqref="BB76">
    <cfRule type="cellIs" dxfId="21797" priority="168474" stopIfTrue="1" operator="equal">
      <formula>-1</formula>
    </cfRule>
  </conditionalFormatting>
  <conditionalFormatting sqref="BB76">
    <cfRule type="cellIs" dxfId="21796" priority="168475" stopIfTrue="1" operator="lessThan">
      <formula>0.5</formula>
    </cfRule>
  </conditionalFormatting>
  <conditionalFormatting sqref="BB76">
    <cfRule type="cellIs" dxfId="21795" priority="168476" stopIfTrue="1" operator="greaterThanOrEqual">
      <formula>0.5</formula>
    </cfRule>
  </conditionalFormatting>
  <conditionalFormatting sqref="BB77">
    <cfRule type="cellIs" dxfId="21794" priority="168477" stopIfTrue="1" operator="equal">
      <formula>-1</formula>
    </cfRule>
  </conditionalFormatting>
  <conditionalFormatting sqref="BB77">
    <cfRule type="cellIs" dxfId="21793" priority="168478" stopIfTrue="1" operator="lessThan">
      <formula>0.5</formula>
    </cfRule>
  </conditionalFormatting>
  <conditionalFormatting sqref="BB77">
    <cfRule type="cellIs" dxfId="21792" priority="168479" stopIfTrue="1" operator="greaterThanOrEqual">
      <formula>0.5</formula>
    </cfRule>
  </conditionalFormatting>
  <conditionalFormatting sqref="BB78">
    <cfRule type="cellIs" dxfId="21791" priority="168480" stopIfTrue="1" operator="equal">
      <formula>-1</formula>
    </cfRule>
  </conditionalFormatting>
  <conditionalFormatting sqref="BB78">
    <cfRule type="cellIs" dxfId="21790" priority="168481" stopIfTrue="1" operator="lessThan">
      <formula>0.5</formula>
    </cfRule>
  </conditionalFormatting>
  <conditionalFormatting sqref="BB78">
    <cfRule type="cellIs" dxfId="21789" priority="168482" stopIfTrue="1" operator="greaterThanOrEqual">
      <formula>0.5</formula>
    </cfRule>
  </conditionalFormatting>
  <conditionalFormatting sqref="BB79">
    <cfRule type="cellIs" dxfId="21788" priority="168483" stopIfTrue="1" operator="equal">
      <formula>-1</formula>
    </cfRule>
  </conditionalFormatting>
  <conditionalFormatting sqref="BB79">
    <cfRule type="cellIs" dxfId="21787" priority="168484" stopIfTrue="1" operator="lessThan">
      <formula>0.5</formula>
    </cfRule>
  </conditionalFormatting>
  <conditionalFormatting sqref="BB79">
    <cfRule type="cellIs" dxfId="21786" priority="168485" stopIfTrue="1" operator="greaterThanOrEqual">
      <formula>0.5</formula>
    </cfRule>
  </conditionalFormatting>
  <conditionalFormatting sqref="BB80">
    <cfRule type="cellIs" dxfId="21785" priority="168486" stopIfTrue="1" operator="equal">
      <formula>-1</formula>
    </cfRule>
  </conditionalFormatting>
  <conditionalFormatting sqref="BB80">
    <cfRule type="cellIs" dxfId="21784" priority="168487" stopIfTrue="1" operator="lessThan">
      <formula>0.5</formula>
    </cfRule>
  </conditionalFormatting>
  <conditionalFormatting sqref="BB80">
    <cfRule type="cellIs" dxfId="21783" priority="168488" stopIfTrue="1" operator="greaterThanOrEqual">
      <formula>0.5</formula>
    </cfRule>
  </conditionalFormatting>
  <conditionalFormatting sqref="BB81">
    <cfRule type="cellIs" dxfId="21782" priority="168489" stopIfTrue="1" operator="equal">
      <formula>-1</formula>
    </cfRule>
  </conditionalFormatting>
  <conditionalFormatting sqref="BB81">
    <cfRule type="cellIs" dxfId="21781" priority="168490" stopIfTrue="1" operator="lessThan">
      <formula>0.5</formula>
    </cfRule>
  </conditionalFormatting>
  <conditionalFormatting sqref="BB81">
    <cfRule type="cellIs" dxfId="21780" priority="168491" stopIfTrue="1" operator="greaterThanOrEqual">
      <formula>0.5</formula>
    </cfRule>
  </conditionalFormatting>
  <conditionalFormatting sqref="BB82">
    <cfRule type="cellIs" dxfId="21779" priority="168492" stopIfTrue="1" operator="equal">
      <formula>-1</formula>
    </cfRule>
  </conditionalFormatting>
  <conditionalFormatting sqref="BB82">
    <cfRule type="cellIs" dxfId="21778" priority="168493" stopIfTrue="1" operator="lessThan">
      <formula>0.5</formula>
    </cfRule>
  </conditionalFormatting>
  <conditionalFormatting sqref="BB82">
    <cfRule type="cellIs" dxfId="21777" priority="168494" stopIfTrue="1" operator="greaterThanOrEqual">
      <formula>0.5</formula>
    </cfRule>
  </conditionalFormatting>
  <conditionalFormatting sqref="BB83">
    <cfRule type="cellIs" dxfId="21776" priority="168495" stopIfTrue="1" operator="equal">
      <formula>-1</formula>
    </cfRule>
  </conditionalFormatting>
  <conditionalFormatting sqref="BB83">
    <cfRule type="cellIs" dxfId="21775" priority="168496" stopIfTrue="1" operator="lessThan">
      <formula>0.5</formula>
    </cfRule>
  </conditionalFormatting>
  <conditionalFormatting sqref="BB83">
    <cfRule type="cellIs" dxfId="21774" priority="168497" stopIfTrue="1" operator="greaterThanOrEqual">
      <formula>0.5</formula>
    </cfRule>
  </conditionalFormatting>
  <conditionalFormatting sqref="BB84">
    <cfRule type="cellIs" dxfId="21773" priority="168498" stopIfTrue="1" operator="equal">
      <formula>-1</formula>
    </cfRule>
  </conditionalFormatting>
  <conditionalFormatting sqref="BB84">
    <cfRule type="cellIs" dxfId="21772" priority="168499" stopIfTrue="1" operator="lessThan">
      <formula>0.5</formula>
    </cfRule>
  </conditionalFormatting>
  <conditionalFormatting sqref="BB84">
    <cfRule type="cellIs" dxfId="21771" priority="168500" stopIfTrue="1" operator="greaterThanOrEqual">
      <formula>0.5</formula>
    </cfRule>
  </conditionalFormatting>
  <conditionalFormatting sqref="BB85">
    <cfRule type="cellIs" dxfId="21770" priority="168501" stopIfTrue="1" operator="equal">
      <formula>-1</formula>
    </cfRule>
  </conditionalFormatting>
  <conditionalFormatting sqref="BB85">
    <cfRule type="cellIs" dxfId="21769" priority="168502" stopIfTrue="1" operator="lessThan">
      <formula>0.5</formula>
    </cfRule>
  </conditionalFormatting>
  <conditionalFormatting sqref="BB85">
    <cfRule type="cellIs" dxfId="21768" priority="168503" stopIfTrue="1" operator="greaterThanOrEqual">
      <formula>0.5</formula>
    </cfRule>
  </conditionalFormatting>
  <conditionalFormatting sqref="BD65">
    <cfRule type="cellIs" dxfId="21767" priority="168504" stopIfTrue="1" operator="equal">
      <formula>-1</formula>
    </cfRule>
  </conditionalFormatting>
  <conditionalFormatting sqref="BD65">
    <cfRule type="cellIs" dxfId="21766" priority="168505" stopIfTrue="1" operator="lessThan">
      <formula>0.5</formula>
    </cfRule>
  </conditionalFormatting>
  <conditionalFormatting sqref="BD65">
    <cfRule type="cellIs" dxfId="21765" priority="168506" stopIfTrue="1" operator="greaterThanOrEqual">
      <formula>0.5</formula>
    </cfRule>
  </conditionalFormatting>
  <conditionalFormatting sqref="BD66">
    <cfRule type="cellIs" dxfId="21764" priority="168507" stopIfTrue="1" operator="equal">
      <formula>-1</formula>
    </cfRule>
  </conditionalFormatting>
  <conditionalFormatting sqref="BD66">
    <cfRule type="cellIs" dxfId="21763" priority="168508" stopIfTrue="1" operator="lessThan">
      <formula>0.5</formula>
    </cfRule>
  </conditionalFormatting>
  <conditionalFormatting sqref="BD66">
    <cfRule type="cellIs" dxfId="21762" priority="168509" stopIfTrue="1" operator="greaterThanOrEqual">
      <formula>0.5</formula>
    </cfRule>
  </conditionalFormatting>
  <conditionalFormatting sqref="BD67">
    <cfRule type="cellIs" dxfId="21761" priority="168510" stopIfTrue="1" operator="equal">
      <formula>-1</formula>
    </cfRule>
  </conditionalFormatting>
  <conditionalFormatting sqref="BD67">
    <cfRule type="cellIs" dxfId="21760" priority="168511" stopIfTrue="1" operator="lessThan">
      <formula>0.5</formula>
    </cfRule>
  </conditionalFormatting>
  <conditionalFormatting sqref="BD67">
    <cfRule type="cellIs" dxfId="21759" priority="168512" stopIfTrue="1" operator="greaterThanOrEqual">
      <formula>0.5</formula>
    </cfRule>
  </conditionalFormatting>
  <conditionalFormatting sqref="BD68">
    <cfRule type="cellIs" dxfId="21758" priority="168513" stopIfTrue="1" operator="equal">
      <formula>-1</formula>
    </cfRule>
  </conditionalFormatting>
  <conditionalFormatting sqref="BD68">
    <cfRule type="cellIs" dxfId="21757" priority="168514" stopIfTrue="1" operator="lessThan">
      <formula>0.5</formula>
    </cfRule>
  </conditionalFormatting>
  <conditionalFormatting sqref="BD68">
    <cfRule type="cellIs" dxfId="21756" priority="168515" stopIfTrue="1" operator="greaterThanOrEqual">
      <formula>0.5</formula>
    </cfRule>
  </conditionalFormatting>
  <conditionalFormatting sqref="BD69">
    <cfRule type="cellIs" dxfId="21755" priority="168516" stopIfTrue="1" operator="equal">
      <formula>-1</formula>
    </cfRule>
  </conditionalFormatting>
  <conditionalFormatting sqref="BD69">
    <cfRule type="cellIs" dxfId="21754" priority="168517" stopIfTrue="1" operator="lessThan">
      <formula>0.5</formula>
    </cfRule>
  </conditionalFormatting>
  <conditionalFormatting sqref="BD69">
    <cfRule type="cellIs" dxfId="21753" priority="168518" stopIfTrue="1" operator="greaterThanOrEqual">
      <formula>0.5</formula>
    </cfRule>
  </conditionalFormatting>
  <conditionalFormatting sqref="BD70">
    <cfRule type="cellIs" dxfId="21752" priority="168519" stopIfTrue="1" operator="equal">
      <formula>-1</formula>
    </cfRule>
  </conditionalFormatting>
  <conditionalFormatting sqref="BD70">
    <cfRule type="cellIs" dxfId="21751" priority="168520" stopIfTrue="1" operator="lessThan">
      <formula>0.5</formula>
    </cfRule>
  </conditionalFormatting>
  <conditionalFormatting sqref="BD70">
    <cfRule type="cellIs" dxfId="21750" priority="168521" stopIfTrue="1" operator="greaterThanOrEqual">
      <formula>0.5</formula>
    </cfRule>
  </conditionalFormatting>
  <conditionalFormatting sqref="BD71">
    <cfRule type="cellIs" dxfId="21749" priority="168522" stopIfTrue="1" operator="equal">
      <formula>-1</formula>
    </cfRule>
  </conditionalFormatting>
  <conditionalFormatting sqref="BD71">
    <cfRule type="cellIs" dxfId="21748" priority="168523" stopIfTrue="1" operator="lessThan">
      <formula>0.5</formula>
    </cfRule>
  </conditionalFormatting>
  <conditionalFormatting sqref="BD71">
    <cfRule type="cellIs" dxfId="21747" priority="168524" stopIfTrue="1" operator="greaterThanOrEqual">
      <formula>0.5</formula>
    </cfRule>
  </conditionalFormatting>
  <conditionalFormatting sqref="BD72">
    <cfRule type="cellIs" dxfId="21746" priority="168525" stopIfTrue="1" operator="equal">
      <formula>-1</formula>
    </cfRule>
  </conditionalFormatting>
  <conditionalFormatting sqref="BD72">
    <cfRule type="cellIs" dxfId="21745" priority="168526" stopIfTrue="1" operator="lessThan">
      <formula>0.5</formula>
    </cfRule>
  </conditionalFormatting>
  <conditionalFormatting sqref="BD72">
    <cfRule type="cellIs" dxfId="21744" priority="168527" stopIfTrue="1" operator="greaterThanOrEqual">
      <formula>0.5</formula>
    </cfRule>
  </conditionalFormatting>
  <conditionalFormatting sqref="BD73">
    <cfRule type="cellIs" dxfId="21743" priority="168528" stopIfTrue="1" operator="equal">
      <formula>-1</formula>
    </cfRule>
  </conditionalFormatting>
  <conditionalFormatting sqref="BD73">
    <cfRule type="cellIs" dxfId="21742" priority="168529" stopIfTrue="1" operator="lessThan">
      <formula>0.5</formula>
    </cfRule>
  </conditionalFormatting>
  <conditionalFormatting sqref="BD73">
    <cfRule type="cellIs" dxfId="21741" priority="168530" stopIfTrue="1" operator="greaterThanOrEqual">
      <formula>0.5</formula>
    </cfRule>
  </conditionalFormatting>
  <conditionalFormatting sqref="BD74">
    <cfRule type="cellIs" dxfId="21740" priority="168531" stopIfTrue="1" operator="equal">
      <formula>-1</formula>
    </cfRule>
  </conditionalFormatting>
  <conditionalFormatting sqref="BD74">
    <cfRule type="cellIs" dxfId="21739" priority="168532" stopIfTrue="1" operator="lessThan">
      <formula>0.5</formula>
    </cfRule>
  </conditionalFormatting>
  <conditionalFormatting sqref="BD74">
    <cfRule type="cellIs" dxfId="21738" priority="168533" stopIfTrue="1" operator="greaterThanOrEqual">
      <formula>0.5</formula>
    </cfRule>
  </conditionalFormatting>
  <conditionalFormatting sqref="BD75">
    <cfRule type="cellIs" dxfId="21737" priority="168534" stopIfTrue="1" operator="equal">
      <formula>-1</formula>
    </cfRule>
  </conditionalFormatting>
  <conditionalFormatting sqref="BD75">
    <cfRule type="cellIs" dxfId="21736" priority="168535" stopIfTrue="1" operator="lessThan">
      <formula>0.5</formula>
    </cfRule>
  </conditionalFormatting>
  <conditionalFormatting sqref="BD75">
    <cfRule type="cellIs" dxfId="21735" priority="168536" stopIfTrue="1" operator="greaterThanOrEqual">
      <formula>0.5</formula>
    </cfRule>
  </conditionalFormatting>
  <conditionalFormatting sqref="BD76">
    <cfRule type="cellIs" dxfId="21734" priority="168537" stopIfTrue="1" operator="equal">
      <formula>-1</formula>
    </cfRule>
  </conditionalFormatting>
  <conditionalFormatting sqref="BD76">
    <cfRule type="cellIs" dxfId="21733" priority="168538" stopIfTrue="1" operator="lessThan">
      <formula>0.5</formula>
    </cfRule>
  </conditionalFormatting>
  <conditionalFormatting sqref="BD76">
    <cfRule type="cellIs" dxfId="21732" priority="168539" stopIfTrue="1" operator="greaterThanOrEqual">
      <formula>0.5</formula>
    </cfRule>
  </conditionalFormatting>
  <conditionalFormatting sqref="BD77">
    <cfRule type="cellIs" dxfId="21731" priority="168540" stopIfTrue="1" operator="equal">
      <formula>-1</formula>
    </cfRule>
  </conditionalFormatting>
  <conditionalFormatting sqref="BD77">
    <cfRule type="cellIs" dxfId="21730" priority="168541" stopIfTrue="1" operator="lessThan">
      <formula>0.5</formula>
    </cfRule>
  </conditionalFormatting>
  <conditionalFormatting sqref="BD77">
    <cfRule type="cellIs" dxfId="21729" priority="168542" stopIfTrue="1" operator="greaterThanOrEqual">
      <formula>0.5</formula>
    </cfRule>
  </conditionalFormatting>
  <conditionalFormatting sqref="BD78">
    <cfRule type="cellIs" dxfId="21728" priority="168543" stopIfTrue="1" operator="equal">
      <formula>-1</formula>
    </cfRule>
  </conditionalFormatting>
  <conditionalFormatting sqref="BD78">
    <cfRule type="cellIs" dxfId="21727" priority="168544" stopIfTrue="1" operator="lessThan">
      <formula>0.5</formula>
    </cfRule>
  </conditionalFormatting>
  <conditionalFormatting sqref="BD78">
    <cfRule type="cellIs" dxfId="21726" priority="168545" stopIfTrue="1" operator="greaterThanOrEqual">
      <formula>0.5</formula>
    </cfRule>
  </conditionalFormatting>
  <conditionalFormatting sqref="BD79">
    <cfRule type="cellIs" dxfId="21725" priority="168546" stopIfTrue="1" operator="equal">
      <formula>-1</formula>
    </cfRule>
  </conditionalFormatting>
  <conditionalFormatting sqref="BD79">
    <cfRule type="cellIs" dxfId="21724" priority="168547" stopIfTrue="1" operator="lessThan">
      <formula>0.5</formula>
    </cfRule>
  </conditionalFormatting>
  <conditionalFormatting sqref="BD79">
    <cfRule type="cellIs" dxfId="21723" priority="168548" stopIfTrue="1" operator="greaterThanOrEqual">
      <formula>0.5</formula>
    </cfRule>
  </conditionalFormatting>
  <conditionalFormatting sqref="BD80">
    <cfRule type="cellIs" dxfId="21722" priority="168549" stopIfTrue="1" operator="equal">
      <formula>-1</formula>
    </cfRule>
  </conditionalFormatting>
  <conditionalFormatting sqref="BD80">
    <cfRule type="cellIs" dxfId="21721" priority="168550" stopIfTrue="1" operator="lessThan">
      <formula>0.5</formula>
    </cfRule>
  </conditionalFormatting>
  <conditionalFormatting sqref="BD80">
    <cfRule type="cellIs" dxfId="21720" priority="168551" stopIfTrue="1" operator="greaterThanOrEqual">
      <formula>0.5</formula>
    </cfRule>
  </conditionalFormatting>
  <conditionalFormatting sqref="BD81">
    <cfRule type="cellIs" dxfId="21719" priority="168552" stopIfTrue="1" operator="equal">
      <formula>-1</formula>
    </cfRule>
  </conditionalFormatting>
  <conditionalFormatting sqref="BD81">
    <cfRule type="cellIs" dxfId="21718" priority="168553" stopIfTrue="1" operator="lessThan">
      <formula>0.5</formula>
    </cfRule>
  </conditionalFormatting>
  <conditionalFormatting sqref="BD81">
    <cfRule type="cellIs" dxfId="21717" priority="168554" stopIfTrue="1" operator="greaterThanOrEqual">
      <formula>0.5</formula>
    </cfRule>
  </conditionalFormatting>
  <conditionalFormatting sqref="BD82">
    <cfRule type="cellIs" dxfId="21716" priority="168555" stopIfTrue="1" operator="equal">
      <formula>-1</formula>
    </cfRule>
  </conditionalFormatting>
  <conditionalFormatting sqref="BD82">
    <cfRule type="cellIs" dxfId="21715" priority="168556" stopIfTrue="1" operator="lessThan">
      <formula>0.5</formula>
    </cfRule>
  </conditionalFormatting>
  <conditionalFormatting sqref="BD82">
    <cfRule type="cellIs" dxfId="21714" priority="168557" stopIfTrue="1" operator="greaterThanOrEqual">
      <formula>0.5</formula>
    </cfRule>
  </conditionalFormatting>
  <conditionalFormatting sqref="BD83">
    <cfRule type="cellIs" dxfId="21713" priority="168558" stopIfTrue="1" operator="equal">
      <formula>-1</formula>
    </cfRule>
  </conditionalFormatting>
  <conditionalFormatting sqref="BD83">
    <cfRule type="cellIs" dxfId="21712" priority="168559" stopIfTrue="1" operator="lessThan">
      <formula>0.5</formula>
    </cfRule>
  </conditionalFormatting>
  <conditionalFormatting sqref="BD83">
    <cfRule type="cellIs" dxfId="21711" priority="168560" stopIfTrue="1" operator="greaterThanOrEqual">
      <formula>0.5</formula>
    </cfRule>
  </conditionalFormatting>
  <conditionalFormatting sqref="BD84">
    <cfRule type="cellIs" dxfId="21710" priority="168561" stopIfTrue="1" operator="equal">
      <formula>-1</formula>
    </cfRule>
  </conditionalFormatting>
  <conditionalFormatting sqref="BD84">
    <cfRule type="cellIs" dxfId="21709" priority="168562" stopIfTrue="1" operator="lessThan">
      <formula>0.5</formula>
    </cfRule>
  </conditionalFormatting>
  <conditionalFormatting sqref="BD84">
    <cfRule type="cellIs" dxfId="21708" priority="168563" stopIfTrue="1" operator="greaterThanOrEqual">
      <formula>0.5</formula>
    </cfRule>
  </conditionalFormatting>
  <conditionalFormatting sqref="BD85">
    <cfRule type="cellIs" dxfId="21707" priority="168564" stopIfTrue="1" operator="equal">
      <formula>-1</formula>
    </cfRule>
  </conditionalFormatting>
  <conditionalFormatting sqref="BD85">
    <cfRule type="cellIs" dxfId="21706" priority="168565" stopIfTrue="1" operator="lessThan">
      <formula>0.5</formula>
    </cfRule>
  </conditionalFormatting>
  <conditionalFormatting sqref="BD85">
    <cfRule type="cellIs" dxfId="21705" priority="168566" stopIfTrue="1" operator="greaterThanOrEqual">
      <formula>0.5</formula>
    </cfRule>
  </conditionalFormatting>
  <conditionalFormatting sqref="BF65">
    <cfRule type="cellIs" dxfId="21704" priority="168567" stopIfTrue="1" operator="equal">
      <formula>-1</formula>
    </cfRule>
  </conditionalFormatting>
  <conditionalFormatting sqref="BF65">
    <cfRule type="cellIs" dxfId="21703" priority="168568" stopIfTrue="1" operator="lessThan">
      <formula>0.5</formula>
    </cfRule>
  </conditionalFormatting>
  <conditionalFormatting sqref="BF65">
    <cfRule type="cellIs" dxfId="21702" priority="168569" stopIfTrue="1" operator="greaterThanOrEqual">
      <formula>0.5</formula>
    </cfRule>
  </conditionalFormatting>
  <conditionalFormatting sqref="BF66">
    <cfRule type="cellIs" dxfId="21701" priority="168570" stopIfTrue="1" operator="equal">
      <formula>-1</formula>
    </cfRule>
  </conditionalFormatting>
  <conditionalFormatting sqref="BF66">
    <cfRule type="cellIs" dxfId="21700" priority="168571" stopIfTrue="1" operator="lessThan">
      <formula>0.5</formula>
    </cfRule>
  </conditionalFormatting>
  <conditionalFormatting sqref="BF66">
    <cfRule type="cellIs" dxfId="21699" priority="168572" stopIfTrue="1" operator="greaterThanOrEqual">
      <formula>0.5</formula>
    </cfRule>
  </conditionalFormatting>
  <conditionalFormatting sqref="BF67">
    <cfRule type="cellIs" dxfId="21698" priority="168573" stopIfTrue="1" operator="equal">
      <formula>-1</formula>
    </cfRule>
  </conditionalFormatting>
  <conditionalFormatting sqref="BF67">
    <cfRule type="cellIs" dxfId="21697" priority="168574" stopIfTrue="1" operator="lessThan">
      <formula>0.5</formula>
    </cfRule>
  </conditionalFormatting>
  <conditionalFormatting sqref="BF67">
    <cfRule type="cellIs" dxfId="21696" priority="168575" stopIfTrue="1" operator="greaterThanOrEqual">
      <formula>0.5</formula>
    </cfRule>
  </conditionalFormatting>
  <conditionalFormatting sqref="BF68">
    <cfRule type="cellIs" dxfId="21695" priority="168576" stopIfTrue="1" operator="equal">
      <formula>-1</formula>
    </cfRule>
  </conditionalFormatting>
  <conditionalFormatting sqref="BF68">
    <cfRule type="cellIs" dxfId="21694" priority="168577" stopIfTrue="1" operator="lessThan">
      <formula>0.5</formula>
    </cfRule>
  </conditionalFormatting>
  <conditionalFormatting sqref="BF68">
    <cfRule type="cellIs" dxfId="21693" priority="168578" stopIfTrue="1" operator="greaterThanOrEqual">
      <formula>0.5</formula>
    </cfRule>
  </conditionalFormatting>
  <conditionalFormatting sqref="BF69">
    <cfRule type="cellIs" dxfId="21692" priority="168579" stopIfTrue="1" operator="equal">
      <formula>-1</formula>
    </cfRule>
  </conditionalFormatting>
  <conditionalFormatting sqref="BF69">
    <cfRule type="cellIs" dxfId="21691" priority="168580" stopIfTrue="1" operator="lessThan">
      <formula>0.5</formula>
    </cfRule>
  </conditionalFormatting>
  <conditionalFormatting sqref="BF69">
    <cfRule type="cellIs" dxfId="21690" priority="168581" stopIfTrue="1" operator="greaterThanOrEqual">
      <formula>0.5</formula>
    </cfRule>
  </conditionalFormatting>
  <conditionalFormatting sqref="BF70">
    <cfRule type="cellIs" dxfId="21689" priority="168582" stopIfTrue="1" operator="equal">
      <formula>-1</formula>
    </cfRule>
  </conditionalFormatting>
  <conditionalFormatting sqref="BF70">
    <cfRule type="cellIs" dxfId="21688" priority="168583" stopIfTrue="1" operator="lessThan">
      <formula>0.5</formula>
    </cfRule>
  </conditionalFormatting>
  <conditionalFormatting sqref="BF70">
    <cfRule type="cellIs" dxfId="21687" priority="168584" stopIfTrue="1" operator="greaterThanOrEqual">
      <formula>0.5</formula>
    </cfRule>
  </conditionalFormatting>
  <conditionalFormatting sqref="BF71">
    <cfRule type="cellIs" dxfId="21686" priority="168585" stopIfTrue="1" operator="equal">
      <formula>-1</formula>
    </cfRule>
  </conditionalFormatting>
  <conditionalFormatting sqref="BF71">
    <cfRule type="cellIs" dxfId="21685" priority="168586" stopIfTrue="1" operator="lessThan">
      <formula>0.5</formula>
    </cfRule>
  </conditionalFormatting>
  <conditionalFormatting sqref="BF71">
    <cfRule type="cellIs" dxfId="21684" priority="168587" stopIfTrue="1" operator="greaterThanOrEqual">
      <formula>0.5</formula>
    </cfRule>
  </conditionalFormatting>
  <conditionalFormatting sqref="BF72">
    <cfRule type="cellIs" dxfId="21683" priority="168588" stopIfTrue="1" operator="equal">
      <formula>-1</formula>
    </cfRule>
  </conditionalFormatting>
  <conditionalFormatting sqref="BF72">
    <cfRule type="cellIs" dxfId="21682" priority="168589" stopIfTrue="1" operator="lessThan">
      <formula>0.5</formula>
    </cfRule>
  </conditionalFormatting>
  <conditionalFormatting sqref="BF72">
    <cfRule type="cellIs" dxfId="21681" priority="168590" stopIfTrue="1" operator="greaterThanOrEqual">
      <formula>0.5</formula>
    </cfRule>
  </conditionalFormatting>
  <conditionalFormatting sqref="BF73">
    <cfRule type="cellIs" dxfId="21680" priority="168591" stopIfTrue="1" operator="equal">
      <formula>-1</formula>
    </cfRule>
  </conditionalFormatting>
  <conditionalFormatting sqref="BF73">
    <cfRule type="cellIs" dxfId="21679" priority="168592" stopIfTrue="1" operator="lessThan">
      <formula>0.5</formula>
    </cfRule>
  </conditionalFormatting>
  <conditionalFormatting sqref="BF73">
    <cfRule type="cellIs" dxfId="21678" priority="168593" stopIfTrue="1" operator="greaterThanOrEqual">
      <formula>0.5</formula>
    </cfRule>
  </conditionalFormatting>
  <conditionalFormatting sqref="BF74">
    <cfRule type="cellIs" dxfId="21677" priority="168594" stopIfTrue="1" operator="equal">
      <formula>-1</formula>
    </cfRule>
  </conditionalFormatting>
  <conditionalFormatting sqref="BF74">
    <cfRule type="cellIs" dxfId="21676" priority="168595" stopIfTrue="1" operator="lessThan">
      <formula>0.5</formula>
    </cfRule>
  </conditionalFormatting>
  <conditionalFormatting sqref="BF74">
    <cfRule type="cellIs" dxfId="21675" priority="168596" stopIfTrue="1" operator="greaterThanOrEqual">
      <formula>0.5</formula>
    </cfRule>
  </conditionalFormatting>
  <conditionalFormatting sqref="BF75">
    <cfRule type="cellIs" dxfId="21674" priority="168597" stopIfTrue="1" operator="equal">
      <formula>-1</formula>
    </cfRule>
  </conditionalFormatting>
  <conditionalFormatting sqref="BF75">
    <cfRule type="cellIs" dxfId="21673" priority="168598" stopIfTrue="1" operator="lessThan">
      <formula>0.5</formula>
    </cfRule>
  </conditionalFormatting>
  <conditionalFormatting sqref="BF75">
    <cfRule type="cellIs" dxfId="21672" priority="168599" stopIfTrue="1" operator="greaterThanOrEqual">
      <formula>0.5</formula>
    </cfRule>
  </conditionalFormatting>
  <conditionalFormatting sqref="BF76">
    <cfRule type="cellIs" dxfId="21671" priority="168600" stopIfTrue="1" operator="equal">
      <formula>-1</formula>
    </cfRule>
  </conditionalFormatting>
  <conditionalFormatting sqref="BF76">
    <cfRule type="cellIs" dxfId="21670" priority="168601" stopIfTrue="1" operator="lessThan">
      <formula>0.5</formula>
    </cfRule>
  </conditionalFormatting>
  <conditionalFormatting sqref="BF76">
    <cfRule type="cellIs" dxfId="21669" priority="168602" stopIfTrue="1" operator="greaterThanOrEqual">
      <formula>0.5</formula>
    </cfRule>
  </conditionalFormatting>
  <conditionalFormatting sqref="BF77">
    <cfRule type="cellIs" dxfId="21668" priority="168603" stopIfTrue="1" operator="equal">
      <formula>-1</formula>
    </cfRule>
  </conditionalFormatting>
  <conditionalFormatting sqref="BF77">
    <cfRule type="cellIs" dxfId="21667" priority="168604" stopIfTrue="1" operator="lessThan">
      <formula>0.5</formula>
    </cfRule>
  </conditionalFormatting>
  <conditionalFormatting sqref="BF77">
    <cfRule type="cellIs" dxfId="21666" priority="168605" stopIfTrue="1" operator="greaterThanOrEqual">
      <formula>0.5</formula>
    </cfRule>
  </conditionalFormatting>
  <conditionalFormatting sqref="BF78">
    <cfRule type="cellIs" dxfId="21665" priority="168606" stopIfTrue="1" operator="equal">
      <formula>-1</formula>
    </cfRule>
  </conditionalFormatting>
  <conditionalFormatting sqref="BF78">
    <cfRule type="cellIs" dxfId="21664" priority="168607" stopIfTrue="1" operator="lessThan">
      <formula>0.5</formula>
    </cfRule>
  </conditionalFormatting>
  <conditionalFormatting sqref="BF78">
    <cfRule type="cellIs" dxfId="21663" priority="168608" stopIfTrue="1" operator="greaterThanOrEqual">
      <formula>0.5</formula>
    </cfRule>
  </conditionalFormatting>
  <conditionalFormatting sqref="BF79">
    <cfRule type="cellIs" dxfId="21662" priority="168609" stopIfTrue="1" operator="equal">
      <formula>-1</formula>
    </cfRule>
  </conditionalFormatting>
  <conditionalFormatting sqref="BF79">
    <cfRule type="cellIs" dxfId="21661" priority="168610" stopIfTrue="1" operator="lessThan">
      <formula>0.5</formula>
    </cfRule>
  </conditionalFormatting>
  <conditionalFormatting sqref="BF79">
    <cfRule type="cellIs" dxfId="21660" priority="168611" stopIfTrue="1" operator="greaterThanOrEqual">
      <formula>0.5</formula>
    </cfRule>
  </conditionalFormatting>
  <conditionalFormatting sqref="BF80">
    <cfRule type="cellIs" dxfId="21659" priority="168612" stopIfTrue="1" operator="equal">
      <formula>-1</formula>
    </cfRule>
  </conditionalFormatting>
  <conditionalFormatting sqref="BF80">
    <cfRule type="cellIs" dxfId="21658" priority="168613" stopIfTrue="1" operator="lessThan">
      <formula>0.5</formula>
    </cfRule>
  </conditionalFormatting>
  <conditionalFormatting sqref="BF80">
    <cfRule type="cellIs" dxfId="21657" priority="168614" stopIfTrue="1" operator="greaterThanOrEqual">
      <formula>0.5</formula>
    </cfRule>
  </conditionalFormatting>
  <conditionalFormatting sqref="BF81">
    <cfRule type="cellIs" dxfId="21656" priority="168615" stopIfTrue="1" operator="equal">
      <formula>-1</formula>
    </cfRule>
  </conditionalFormatting>
  <conditionalFormatting sqref="BF81">
    <cfRule type="cellIs" dxfId="21655" priority="168616" stopIfTrue="1" operator="lessThan">
      <formula>0.5</formula>
    </cfRule>
  </conditionalFormatting>
  <conditionalFormatting sqref="BF81">
    <cfRule type="cellIs" dxfId="21654" priority="168617" stopIfTrue="1" operator="greaterThanOrEqual">
      <formula>0.5</formula>
    </cfRule>
  </conditionalFormatting>
  <conditionalFormatting sqref="BF82">
    <cfRule type="cellIs" dxfId="21653" priority="168618" stopIfTrue="1" operator="equal">
      <formula>-1</formula>
    </cfRule>
  </conditionalFormatting>
  <conditionalFormatting sqref="BF82">
    <cfRule type="cellIs" dxfId="21652" priority="168619" stopIfTrue="1" operator="lessThan">
      <formula>0.5</formula>
    </cfRule>
  </conditionalFormatting>
  <conditionalFormatting sqref="BF82">
    <cfRule type="cellIs" dxfId="21651" priority="168620" stopIfTrue="1" operator="greaterThanOrEqual">
      <formula>0.5</formula>
    </cfRule>
  </conditionalFormatting>
  <conditionalFormatting sqref="BF83">
    <cfRule type="cellIs" dxfId="21650" priority="168621" stopIfTrue="1" operator="equal">
      <formula>-1</formula>
    </cfRule>
  </conditionalFormatting>
  <conditionalFormatting sqref="BF83">
    <cfRule type="cellIs" dxfId="21649" priority="168622" stopIfTrue="1" operator="lessThan">
      <formula>0.5</formula>
    </cfRule>
  </conditionalFormatting>
  <conditionalFormatting sqref="BF83">
    <cfRule type="cellIs" dxfId="21648" priority="168623" stopIfTrue="1" operator="greaterThanOrEqual">
      <formula>0.5</formula>
    </cfRule>
  </conditionalFormatting>
  <conditionalFormatting sqref="BF84">
    <cfRule type="cellIs" dxfId="21647" priority="168624" stopIfTrue="1" operator="equal">
      <formula>-1</formula>
    </cfRule>
  </conditionalFormatting>
  <conditionalFormatting sqref="BF84">
    <cfRule type="cellIs" dxfId="21646" priority="168625" stopIfTrue="1" operator="lessThan">
      <formula>0.5</formula>
    </cfRule>
  </conditionalFormatting>
  <conditionalFormatting sqref="BF84">
    <cfRule type="cellIs" dxfId="21645" priority="168626" stopIfTrue="1" operator="greaterThanOrEqual">
      <formula>0.5</formula>
    </cfRule>
  </conditionalFormatting>
  <conditionalFormatting sqref="BF85">
    <cfRule type="cellIs" dxfId="21644" priority="168627" stopIfTrue="1" operator="equal">
      <formula>-1</formula>
    </cfRule>
  </conditionalFormatting>
  <conditionalFormatting sqref="BF85">
    <cfRule type="cellIs" dxfId="21643" priority="168628" stopIfTrue="1" operator="lessThan">
      <formula>0.5</formula>
    </cfRule>
  </conditionalFormatting>
  <conditionalFormatting sqref="BF85">
    <cfRule type="cellIs" dxfId="21642" priority="168629" stopIfTrue="1" operator="greaterThanOrEqual">
      <formula>0.5</formula>
    </cfRule>
  </conditionalFormatting>
  <conditionalFormatting sqref="BH65">
    <cfRule type="cellIs" dxfId="21641" priority="168630" stopIfTrue="1" operator="equal">
      <formula>-1</formula>
    </cfRule>
  </conditionalFormatting>
  <conditionalFormatting sqref="BH65">
    <cfRule type="cellIs" dxfId="21640" priority="168631" stopIfTrue="1" operator="lessThan">
      <formula>0.5</formula>
    </cfRule>
  </conditionalFormatting>
  <conditionalFormatting sqref="BH65">
    <cfRule type="cellIs" dxfId="21639" priority="168632" stopIfTrue="1" operator="greaterThanOrEqual">
      <formula>0.5</formula>
    </cfRule>
  </conditionalFormatting>
  <conditionalFormatting sqref="BH66">
    <cfRule type="cellIs" dxfId="21638" priority="168633" stopIfTrue="1" operator="equal">
      <formula>-1</formula>
    </cfRule>
  </conditionalFormatting>
  <conditionalFormatting sqref="BH66">
    <cfRule type="cellIs" dxfId="21637" priority="168634" stopIfTrue="1" operator="lessThan">
      <formula>0.5</formula>
    </cfRule>
  </conditionalFormatting>
  <conditionalFormatting sqref="BH66">
    <cfRule type="cellIs" dxfId="21636" priority="168635" stopIfTrue="1" operator="greaterThanOrEqual">
      <formula>0.5</formula>
    </cfRule>
  </conditionalFormatting>
  <conditionalFormatting sqref="BH67">
    <cfRule type="cellIs" dxfId="21635" priority="168636" stopIfTrue="1" operator="equal">
      <formula>-1</formula>
    </cfRule>
  </conditionalFormatting>
  <conditionalFormatting sqref="BH67">
    <cfRule type="cellIs" dxfId="21634" priority="168637" stopIfTrue="1" operator="lessThan">
      <formula>0.5</formula>
    </cfRule>
  </conditionalFormatting>
  <conditionalFormatting sqref="BH67">
    <cfRule type="cellIs" dxfId="21633" priority="168638" stopIfTrue="1" operator="greaterThanOrEqual">
      <formula>0.5</formula>
    </cfRule>
  </conditionalFormatting>
  <conditionalFormatting sqref="BH68">
    <cfRule type="cellIs" dxfId="21632" priority="168639" stopIfTrue="1" operator="equal">
      <formula>-1</formula>
    </cfRule>
  </conditionalFormatting>
  <conditionalFormatting sqref="BH68">
    <cfRule type="cellIs" dxfId="21631" priority="168640" stopIfTrue="1" operator="lessThan">
      <formula>0.5</formula>
    </cfRule>
  </conditionalFormatting>
  <conditionalFormatting sqref="BH68">
    <cfRule type="cellIs" dxfId="21630" priority="168641" stopIfTrue="1" operator="greaterThanOrEqual">
      <formula>0.5</formula>
    </cfRule>
  </conditionalFormatting>
  <conditionalFormatting sqref="BH69">
    <cfRule type="cellIs" dxfId="21629" priority="168642" stopIfTrue="1" operator="equal">
      <formula>-1</formula>
    </cfRule>
  </conditionalFormatting>
  <conditionalFormatting sqref="BH69">
    <cfRule type="cellIs" dxfId="21628" priority="168643" stopIfTrue="1" operator="lessThan">
      <formula>0.5</formula>
    </cfRule>
  </conditionalFormatting>
  <conditionalFormatting sqref="BH69">
    <cfRule type="cellIs" dxfId="21627" priority="168644" stopIfTrue="1" operator="greaterThanOrEqual">
      <formula>0.5</formula>
    </cfRule>
  </conditionalFormatting>
  <conditionalFormatting sqref="BH70">
    <cfRule type="cellIs" dxfId="21626" priority="168645" stopIfTrue="1" operator="equal">
      <formula>-1</formula>
    </cfRule>
  </conditionalFormatting>
  <conditionalFormatting sqref="BH70">
    <cfRule type="cellIs" dxfId="21625" priority="168646" stopIfTrue="1" operator="lessThan">
      <formula>0.5</formula>
    </cfRule>
  </conditionalFormatting>
  <conditionalFormatting sqref="BH70">
    <cfRule type="cellIs" dxfId="21624" priority="168647" stopIfTrue="1" operator="greaterThanOrEqual">
      <formula>0.5</formula>
    </cfRule>
  </conditionalFormatting>
  <conditionalFormatting sqref="BH71">
    <cfRule type="cellIs" dxfId="21623" priority="168648" stopIfTrue="1" operator="equal">
      <formula>-1</formula>
    </cfRule>
  </conditionalFormatting>
  <conditionalFormatting sqref="BH71">
    <cfRule type="cellIs" dxfId="21622" priority="168649" stopIfTrue="1" operator="lessThan">
      <formula>0.5</formula>
    </cfRule>
  </conditionalFormatting>
  <conditionalFormatting sqref="BH71">
    <cfRule type="cellIs" dxfId="21621" priority="168650" stopIfTrue="1" operator="greaterThanOrEqual">
      <formula>0.5</formula>
    </cfRule>
  </conditionalFormatting>
  <conditionalFormatting sqref="BH72">
    <cfRule type="cellIs" dxfId="21620" priority="168651" stopIfTrue="1" operator="equal">
      <formula>-1</formula>
    </cfRule>
  </conditionalFormatting>
  <conditionalFormatting sqref="BH72">
    <cfRule type="cellIs" dxfId="21619" priority="168652" stopIfTrue="1" operator="lessThan">
      <formula>0.5</formula>
    </cfRule>
  </conditionalFormatting>
  <conditionalFormatting sqref="BH72">
    <cfRule type="cellIs" dxfId="21618" priority="168653" stopIfTrue="1" operator="greaterThanOrEqual">
      <formula>0.5</formula>
    </cfRule>
  </conditionalFormatting>
  <conditionalFormatting sqref="BH73">
    <cfRule type="cellIs" dxfId="21617" priority="168654" stopIfTrue="1" operator="equal">
      <formula>-1</formula>
    </cfRule>
  </conditionalFormatting>
  <conditionalFormatting sqref="BH73">
    <cfRule type="cellIs" dxfId="21616" priority="168655" stopIfTrue="1" operator="lessThan">
      <formula>0.5</formula>
    </cfRule>
  </conditionalFormatting>
  <conditionalFormatting sqref="BH73">
    <cfRule type="cellIs" dxfId="21615" priority="168656" stopIfTrue="1" operator="greaterThanOrEqual">
      <formula>0.5</formula>
    </cfRule>
  </conditionalFormatting>
  <conditionalFormatting sqref="BH74">
    <cfRule type="cellIs" dxfId="21614" priority="168657" stopIfTrue="1" operator="equal">
      <formula>-1</formula>
    </cfRule>
  </conditionalFormatting>
  <conditionalFormatting sqref="BH74">
    <cfRule type="cellIs" dxfId="21613" priority="168658" stopIfTrue="1" operator="lessThan">
      <formula>0.5</formula>
    </cfRule>
  </conditionalFormatting>
  <conditionalFormatting sqref="BH74">
    <cfRule type="cellIs" dxfId="21612" priority="168659" stopIfTrue="1" operator="greaterThanOrEqual">
      <formula>0.5</formula>
    </cfRule>
  </conditionalFormatting>
  <conditionalFormatting sqref="BH75">
    <cfRule type="cellIs" dxfId="21611" priority="168660" stopIfTrue="1" operator="equal">
      <formula>-1</formula>
    </cfRule>
  </conditionalFormatting>
  <conditionalFormatting sqref="BH75">
    <cfRule type="cellIs" dxfId="21610" priority="168661" stopIfTrue="1" operator="lessThan">
      <formula>0.5</formula>
    </cfRule>
  </conditionalFormatting>
  <conditionalFormatting sqref="BH75">
    <cfRule type="cellIs" dxfId="21609" priority="168662" stopIfTrue="1" operator="greaterThanOrEqual">
      <formula>0.5</formula>
    </cfRule>
  </conditionalFormatting>
  <conditionalFormatting sqref="BH76">
    <cfRule type="cellIs" dxfId="21608" priority="168663" stopIfTrue="1" operator="equal">
      <formula>-1</formula>
    </cfRule>
  </conditionalFormatting>
  <conditionalFormatting sqref="BH76">
    <cfRule type="cellIs" dxfId="21607" priority="168664" stopIfTrue="1" operator="lessThan">
      <formula>0.5</formula>
    </cfRule>
  </conditionalFormatting>
  <conditionalFormatting sqref="BH76">
    <cfRule type="cellIs" dxfId="21606" priority="168665" stopIfTrue="1" operator="greaterThanOrEqual">
      <formula>0.5</formula>
    </cfRule>
  </conditionalFormatting>
  <conditionalFormatting sqref="BH77">
    <cfRule type="cellIs" dxfId="21605" priority="168666" stopIfTrue="1" operator="equal">
      <formula>-1</formula>
    </cfRule>
  </conditionalFormatting>
  <conditionalFormatting sqref="BH77">
    <cfRule type="cellIs" dxfId="21604" priority="168667" stopIfTrue="1" operator="lessThan">
      <formula>0.5</formula>
    </cfRule>
  </conditionalFormatting>
  <conditionalFormatting sqref="BH77">
    <cfRule type="cellIs" dxfId="21603" priority="168668" stopIfTrue="1" operator="greaterThanOrEqual">
      <formula>0.5</formula>
    </cfRule>
  </conditionalFormatting>
  <conditionalFormatting sqref="BH78">
    <cfRule type="cellIs" dxfId="21602" priority="168669" stopIfTrue="1" operator="equal">
      <formula>-1</formula>
    </cfRule>
  </conditionalFormatting>
  <conditionalFormatting sqref="BH78">
    <cfRule type="cellIs" dxfId="21601" priority="168670" stopIfTrue="1" operator="lessThan">
      <formula>0.5</formula>
    </cfRule>
  </conditionalFormatting>
  <conditionalFormatting sqref="BH78">
    <cfRule type="cellIs" dxfId="21600" priority="168671" stopIfTrue="1" operator="greaterThanOrEqual">
      <formula>0.5</formula>
    </cfRule>
  </conditionalFormatting>
  <conditionalFormatting sqref="BH79">
    <cfRule type="cellIs" dxfId="21599" priority="168672" stopIfTrue="1" operator="equal">
      <formula>-1</formula>
    </cfRule>
  </conditionalFormatting>
  <conditionalFormatting sqref="BH79">
    <cfRule type="cellIs" dxfId="21598" priority="168673" stopIfTrue="1" operator="lessThan">
      <formula>0.5</formula>
    </cfRule>
  </conditionalFormatting>
  <conditionalFormatting sqref="BH79">
    <cfRule type="cellIs" dxfId="21597" priority="168674" stopIfTrue="1" operator="greaterThanOrEqual">
      <formula>0.5</formula>
    </cfRule>
  </conditionalFormatting>
  <conditionalFormatting sqref="BH80">
    <cfRule type="cellIs" dxfId="21596" priority="168675" stopIfTrue="1" operator="equal">
      <formula>-1</formula>
    </cfRule>
  </conditionalFormatting>
  <conditionalFormatting sqref="BH80">
    <cfRule type="cellIs" dxfId="21595" priority="168676" stopIfTrue="1" operator="lessThan">
      <formula>0.5</formula>
    </cfRule>
  </conditionalFormatting>
  <conditionalFormatting sqref="BH80">
    <cfRule type="cellIs" dxfId="21594" priority="168677" stopIfTrue="1" operator="greaterThanOrEqual">
      <formula>0.5</formula>
    </cfRule>
  </conditionalFormatting>
  <conditionalFormatting sqref="BH81">
    <cfRule type="cellIs" dxfId="21593" priority="168678" stopIfTrue="1" operator="equal">
      <formula>-1</formula>
    </cfRule>
  </conditionalFormatting>
  <conditionalFormatting sqref="BH81">
    <cfRule type="cellIs" dxfId="21592" priority="168679" stopIfTrue="1" operator="lessThan">
      <formula>0.5</formula>
    </cfRule>
  </conditionalFormatting>
  <conditionalFormatting sqref="BH81">
    <cfRule type="cellIs" dxfId="21591" priority="168680" stopIfTrue="1" operator="greaterThanOrEqual">
      <formula>0.5</formula>
    </cfRule>
  </conditionalFormatting>
  <conditionalFormatting sqref="BH82">
    <cfRule type="cellIs" dxfId="21590" priority="168681" stopIfTrue="1" operator="equal">
      <formula>-1</formula>
    </cfRule>
  </conditionalFormatting>
  <conditionalFormatting sqref="BH82">
    <cfRule type="cellIs" dxfId="21589" priority="168682" stopIfTrue="1" operator="lessThan">
      <formula>0.5</formula>
    </cfRule>
  </conditionalFormatting>
  <conditionalFormatting sqref="BH82">
    <cfRule type="cellIs" dxfId="21588" priority="168683" stopIfTrue="1" operator="greaterThanOrEqual">
      <formula>0.5</formula>
    </cfRule>
  </conditionalFormatting>
  <conditionalFormatting sqref="BH83">
    <cfRule type="cellIs" dxfId="21587" priority="168684" stopIfTrue="1" operator="equal">
      <formula>-1</formula>
    </cfRule>
  </conditionalFormatting>
  <conditionalFormatting sqref="BH83">
    <cfRule type="cellIs" dxfId="21586" priority="168685" stopIfTrue="1" operator="lessThan">
      <formula>0.5</formula>
    </cfRule>
  </conditionalFormatting>
  <conditionalFormatting sqref="BH83">
    <cfRule type="cellIs" dxfId="21585" priority="168686" stopIfTrue="1" operator="greaterThanOrEqual">
      <formula>0.5</formula>
    </cfRule>
  </conditionalFormatting>
  <conditionalFormatting sqref="BH84">
    <cfRule type="cellIs" dxfId="21584" priority="168687" stopIfTrue="1" operator="equal">
      <formula>-1</formula>
    </cfRule>
  </conditionalFormatting>
  <conditionalFormatting sqref="BH84">
    <cfRule type="cellIs" dxfId="21583" priority="168688" stopIfTrue="1" operator="lessThan">
      <formula>0.5</formula>
    </cfRule>
  </conditionalFormatting>
  <conditionalFormatting sqref="BH84">
    <cfRule type="cellIs" dxfId="21582" priority="168689" stopIfTrue="1" operator="greaterThanOrEqual">
      <formula>0.5</formula>
    </cfRule>
  </conditionalFormatting>
  <conditionalFormatting sqref="BH85">
    <cfRule type="cellIs" dxfId="21581" priority="168690" stopIfTrue="1" operator="equal">
      <formula>-1</formula>
    </cfRule>
  </conditionalFormatting>
  <conditionalFormatting sqref="BH85">
    <cfRule type="cellIs" dxfId="21580" priority="168691" stopIfTrue="1" operator="lessThan">
      <formula>0.5</formula>
    </cfRule>
  </conditionalFormatting>
  <conditionalFormatting sqref="BH85">
    <cfRule type="cellIs" dxfId="21579" priority="168692" stopIfTrue="1" operator="greaterThanOrEqual">
      <formula>0.5</formula>
    </cfRule>
  </conditionalFormatting>
  <conditionalFormatting sqref="BJ65">
    <cfRule type="cellIs" dxfId="21578" priority="168693" stopIfTrue="1" operator="equal">
      <formula>-1</formula>
    </cfRule>
  </conditionalFormatting>
  <conditionalFormatting sqref="BJ65">
    <cfRule type="cellIs" dxfId="21577" priority="168694" stopIfTrue="1" operator="lessThan">
      <formula>0.5</formula>
    </cfRule>
  </conditionalFormatting>
  <conditionalFormatting sqref="BJ65">
    <cfRule type="cellIs" dxfId="21576" priority="168695" stopIfTrue="1" operator="greaterThanOrEqual">
      <formula>0.5</formula>
    </cfRule>
  </conditionalFormatting>
  <conditionalFormatting sqref="BJ66">
    <cfRule type="cellIs" dxfId="21575" priority="168696" stopIfTrue="1" operator="equal">
      <formula>-1</formula>
    </cfRule>
  </conditionalFormatting>
  <conditionalFormatting sqref="BJ66">
    <cfRule type="cellIs" dxfId="21574" priority="168697" stopIfTrue="1" operator="lessThan">
      <formula>0.5</formula>
    </cfRule>
  </conditionalFormatting>
  <conditionalFormatting sqref="BJ66">
    <cfRule type="cellIs" dxfId="21573" priority="168698" stopIfTrue="1" operator="greaterThanOrEqual">
      <formula>0.5</formula>
    </cfRule>
  </conditionalFormatting>
  <conditionalFormatting sqref="BJ67">
    <cfRule type="cellIs" dxfId="21572" priority="168699" stopIfTrue="1" operator="equal">
      <formula>-1</formula>
    </cfRule>
  </conditionalFormatting>
  <conditionalFormatting sqref="BJ67">
    <cfRule type="cellIs" dxfId="21571" priority="168700" stopIfTrue="1" operator="lessThan">
      <formula>0.5</formula>
    </cfRule>
  </conditionalFormatting>
  <conditionalFormatting sqref="BJ67">
    <cfRule type="cellIs" dxfId="21570" priority="168701" stopIfTrue="1" operator="greaterThanOrEqual">
      <formula>0.5</formula>
    </cfRule>
  </conditionalFormatting>
  <conditionalFormatting sqref="BJ68">
    <cfRule type="cellIs" dxfId="21569" priority="168702" stopIfTrue="1" operator="equal">
      <formula>-1</formula>
    </cfRule>
  </conditionalFormatting>
  <conditionalFormatting sqref="BJ68">
    <cfRule type="cellIs" dxfId="21568" priority="168703" stopIfTrue="1" operator="lessThan">
      <formula>0.5</formula>
    </cfRule>
  </conditionalFormatting>
  <conditionalFormatting sqref="BJ68">
    <cfRule type="cellIs" dxfId="21567" priority="168704" stopIfTrue="1" operator="greaterThanOrEqual">
      <formula>0.5</formula>
    </cfRule>
  </conditionalFormatting>
  <conditionalFormatting sqref="BJ69">
    <cfRule type="cellIs" dxfId="21566" priority="168705" stopIfTrue="1" operator="equal">
      <formula>-1</formula>
    </cfRule>
  </conditionalFormatting>
  <conditionalFormatting sqref="BJ69">
    <cfRule type="cellIs" dxfId="21565" priority="168706" stopIfTrue="1" operator="lessThan">
      <formula>0.5</formula>
    </cfRule>
  </conditionalFormatting>
  <conditionalFormatting sqref="BJ69">
    <cfRule type="cellIs" dxfId="21564" priority="168707" stopIfTrue="1" operator="greaterThanOrEqual">
      <formula>0.5</formula>
    </cfRule>
  </conditionalFormatting>
  <conditionalFormatting sqref="BJ70">
    <cfRule type="cellIs" dxfId="21563" priority="168708" stopIfTrue="1" operator="equal">
      <formula>-1</formula>
    </cfRule>
  </conditionalFormatting>
  <conditionalFormatting sqref="BJ70">
    <cfRule type="cellIs" dxfId="21562" priority="168709" stopIfTrue="1" operator="lessThan">
      <formula>0.5</formula>
    </cfRule>
  </conditionalFormatting>
  <conditionalFormatting sqref="BJ70">
    <cfRule type="cellIs" dxfId="21561" priority="168710" stopIfTrue="1" operator="greaterThanOrEqual">
      <formula>0.5</formula>
    </cfRule>
  </conditionalFormatting>
  <conditionalFormatting sqref="BJ71">
    <cfRule type="cellIs" dxfId="21560" priority="168711" stopIfTrue="1" operator="equal">
      <formula>-1</formula>
    </cfRule>
  </conditionalFormatting>
  <conditionalFormatting sqref="BJ71">
    <cfRule type="cellIs" dxfId="21559" priority="168712" stopIfTrue="1" operator="lessThan">
      <formula>0.5</formula>
    </cfRule>
  </conditionalFormatting>
  <conditionalFormatting sqref="BJ71">
    <cfRule type="cellIs" dxfId="21558" priority="168713" stopIfTrue="1" operator="greaterThanOrEqual">
      <formula>0.5</formula>
    </cfRule>
  </conditionalFormatting>
  <conditionalFormatting sqref="BJ72">
    <cfRule type="cellIs" dxfId="21557" priority="168714" stopIfTrue="1" operator="equal">
      <formula>-1</formula>
    </cfRule>
  </conditionalFormatting>
  <conditionalFormatting sqref="BJ72">
    <cfRule type="cellIs" dxfId="21556" priority="168715" stopIfTrue="1" operator="lessThan">
      <formula>0.5</formula>
    </cfRule>
  </conditionalFormatting>
  <conditionalFormatting sqref="BJ72">
    <cfRule type="cellIs" dxfId="21555" priority="168716" stopIfTrue="1" operator="greaterThanOrEqual">
      <formula>0.5</formula>
    </cfRule>
  </conditionalFormatting>
  <conditionalFormatting sqref="BJ73">
    <cfRule type="cellIs" dxfId="21554" priority="168717" stopIfTrue="1" operator="equal">
      <formula>-1</formula>
    </cfRule>
  </conditionalFormatting>
  <conditionalFormatting sqref="BJ73">
    <cfRule type="cellIs" dxfId="21553" priority="168718" stopIfTrue="1" operator="lessThan">
      <formula>0.5</formula>
    </cfRule>
  </conditionalFormatting>
  <conditionalFormatting sqref="BJ73">
    <cfRule type="cellIs" dxfId="21552" priority="168719" stopIfTrue="1" operator="greaterThanOrEqual">
      <formula>0.5</formula>
    </cfRule>
  </conditionalFormatting>
  <conditionalFormatting sqref="BJ74">
    <cfRule type="cellIs" dxfId="21551" priority="168720" stopIfTrue="1" operator="equal">
      <formula>-1</formula>
    </cfRule>
  </conditionalFormatting>
  <conditionalFormatting sqref="BJ74">
    <cfRule type="cellIs" dxfId="21550" priority="168721" stopIfTrue="1" operator="lessThan">
      <formula>0.5</formula>
    </cfRule>
  </conditionalFormatting>
  <conditionalFormatting sqref="BJ74">
    <cfRule type="cellIs" dxfId="21549" priority="168722" stopIfTrue="1" operator="greaterThanOrEqual">
      <formula>0.5</formula>
    </cfRule>
  </conditionalFormatting>
  <conditionalFormatting sqref="BJ75">
    <cfRule type="cellIs" dxfId="21548" priority="168723" stopIfTrue="1" operator="equal">
      <formula>-1</formula>
    </cfRule>
  </conditionalFormatting>
  <conditionalFormatting sqref="BJ75">
    <cfRule type="cellIs" dxfId="21547" priority="168724" stopIfTrue="1" operator="lessThan">
      <formula>0.5</formula>
    </cfRule>
  </conditionalFormatting>
  <conditionalFormatting sqref="BJ75">
    <cfRule type="cellIs" dxfId="21546" priority="168725" stopIfTrue="1" operator="greaterThanOrEqual">
      <formula>0.5</formula>
    </cfRule>
  </conditionalFormatting>
  <conditionalFormatting sqref="BJ76">
    <cfRule type="cellIs" dxfId="21545" priority="168726" stopIfTrue="1" operator="equal">
      <formula>-1</formula>
    </cfRule>
  </conditionalFormatting>
  <conditionalFormatting sqref="BJ76">
    <cfRule type="cellIs" dxfId="21544" priority="168727" stopIfTrue="1" operator="lessThan">
      <formula>0.5</formula>
    </cfRule>
  </conditionalFormatting>
  <conditionalFormatting sqref="BJ76">
    <cfRule type="cellIs" dxfId="21543" priority="168728" stopIfTrue="1" operator="greaterThanOrEqual">
      <formula>0.5</formula>
    </cfRule>
  </conditionalFormatting>
  <conditionalFormatting sqref="BJ77">
    <cfRule type="cellIs" dxfId="21542" priority="168729" stopIfTrue="1" operator="equal">
      <formula>-1</formula>
    </cfRule>
  </conditionalFormatting>
  <conditionalFormatting sqref="BJ77">
    <cfRule type="cellIs" dxfId="21541" priority="168730" stopIfTrue="1" operator="lessThan">
      <formula>0.5</formula>
    </cfRule>
  </conditionalFormatting>
  <conditionalFormatting sqref="BJ77">
    <cfRule type="cellIs" dxfId="21540" priority="168731" stopIfTrue="1" operator="greaterThanOrEqual">
      <formula>0.5</formula>
    </cfRule>
  </conditionalFormatting>
  <conditionalFormatting sqref="BJ78">
    <cfRule type="cellIs" dxfId="21539" priority="168732" stopIfTrue="1" operator="equal">
      <formula>-1</formula>
    </cfRule>
  </conditionalFormatting>
  <conditionalFormatting sqref="BJ78">
    <cfRule type="cellIs" dxfId="21538" priority="168733" stopIfTrue="1" operator="lessThan">
      <formula>0.5</formula>
    </cfRule>
  </conditionalFormatting>
  <conditionalFormatting sqref="BJ78">
    <cfRule type="cellIs" dxfId="21537" priority="168734" stopIfTrue="1" operator="greaterThanOrEqual">
      <formula>0.5</formula>
    </cfRule>
  </conditionalFormatting>
  <conditionalFormatting sqref="BJ79">
    <cfRule type="cellIs" dxfId="21536" priority="168735" stopIfTrue="1" operator="equal">
      <formula>-1</formula>
    </cfRule>
  </conditionalFormatting>
  <conditionalFormatting sqref="BJ79">
    <cfRule type="cellIs" dxfId="21535" priority="168736" stopIfTrue="1" operator="lessThan">
      <formula>0.5</formula>
    </cfRule>
  </conditionalFormatting>
  <conditionalFormatting sqref="BJ79">
    <cfRule type="cellIs" dxfId="21534" priority="168737" stopIfTrue="1" operator="greaterThanOrEqual">
      <formula>0.5</formula>
    </cfRule>
  </conditionalFormatting>
  <conditionalFormatting sqref="BJ80">
    <cfRule type="cellIs" dxfId="21533" priority="168738" stopIfTrue="1" operator="equal">
      <formula>-1</formula>
    </cfRule>
  </conditionalFormatting>
  <conditionalFormatting sqref="BJ80">
    <cfRule type="cellIs" dxfId="21532" priority="168739" stopIfTrue="1" operator="lessThan">
      <formula>0.5</formula>
    </cfRule>
  </conditionalFormatting>
  <conditionalFormatting sqref="BJ80">
    <cfRule type="cellIs" dxfId="21531" priority="168740" stopIfTrue="1" operator="greaterThanOrEqual">
      <formula>0.5</formula>
    </cfRule>
  </conditionalFormatting>
  <conditionalFormatting sqref="BJ81">
    <cfRule type="cellIs" dxfId="21530" priority="168741" stopIfTrue="1" operator="equal">
      <formula>-1</formula>
    </cfRule>
  </conditionalFormatting>
  <conditionalFormatting sqref="BJ81">
    <cfRule type="cellIs" dxfId="21529" priority="168742" stopIfTrue="1" operator="lessThan">
      <formula>0.5</formula>
    </cfRule>
  </conditionalFormatting>
  <conditionalFormatting sqref="BJ81">
    <cfRule type="cellIs" dxfId="21528" priority="168743" stopIfTrue="1" operator="greaterThanOrEqual">
      <formula>0.5</formula>
    </cfRule>
  </conditionalFormatting>
  <conditionalFormatting sqref="BJ82">
    <cfRule type="cellIs" dxfId="21527" priority="168744" stopIfTrue="1" operator="equal">
      <formula>-1</formula>
    </cfRule>
  </conditionalFormatting>
  <conditionalFormatting sqref="BJ82">
    <cfRule type="cellIs" dxfId="21526" priority="168745" stopIfTrue="1" operator="lessThan">
      <formula>0.5</formula>
    </cfRule>
  </conditionalFormatting>
  <conditionalFormatting sqref="BJ82">
    <cfRule type="cellIs" dxfId="21525" priority="168746" stopIfTrue="1" operator="greaterThanOrEqual">
      <formula>0.5</formula>
    </cfRule>
  </conditionalFormatting>
  <conditionalFormatting sqref="BJ83">
    <cfRule type="cellIs" dxfId="21524" priority="168747" stopIfTrue="1" operator="equal">
      <formula>-1</formula>
    </cfRule>
  </conditionalFormatting>
  <conditionalFormatting sqref="BJ83">
    <cfRule type="cellIs" dxfId="21523" priority="168748" stopIfTrue="1" operator="lessThan">
      <formula>0.5</formula>
    </cfRule>
  </conditionalFormatting>
  <conditionalFormatting sqref="BJ83">
    <cfRule type="cellIs" dxfId="21522" priority="168749" stopIfTrue="1" operator="greaterThanOrEqual">
      <formula>0.5</formula>
    </cfRule>
  </conditionalFormatting>
  <conditionalFormatting sqref="BJ84">
    <cfRule type="cellIs" dxfId="21521" priority="168750" stopIfTrue="1" operator="equal">
      <formula>-1</formula>
    </cfRule>
  </conditionalFormatting>
  <conditionalFormatting sqref="BJ84">
    <cfRule type="cellIs" dxfId="21520" priority="168751" stopIfTrue="1" operator="lessThan">
      <formula>0.5</formula>
    </cfRule>
  </conditionalFormatting>
  <conditionalFormatting sqref="BJ84">
    <cfRule type="cellIs" dxfId="21519" priority="168752" stopIfTrue="1" operator="greaterThanOrEqual">
      <formula>0.5</formula>
    </cfRule>
  </conditionalFormatting>
  <conditionalFormatting sqref="BJ85">
    <cfRule type="cellIs" dxfId="21518" priority="168753" stopIfTrue="1" operator="equal">
      <formula>-1</formula>
    </cfRule>
  </conditionalFormatting>
  <conditionalFormatting sqref="BJ85">
    <cfRule type="cellIs" dxfId="21517" priority="168754" stopIfTrue="1" operator="lessThan">
      <formula>0.5</formula>
    </cfRule>
  </conditionalFormatting>
  <conditionalFormatting sqref="BJ85">
    <cfRule type="cellIs" dxfId="21516" priority="16875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8BD99-C3D3-DE47-ACA5-6D1793F68DE6}">
  <sheetPr codeName="Sheet8">
    <tabColor rgb="FFC0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2" t="str" cm="1">
        <f t="array" ref="A1">[2]!GRUPO</f>
        <v>2º Bach.</v>
      </c>
      <c r="B1" s="77" t="s">
        <v>102</v>
      </c>
      <c r="C1" s="73">
        <v>1</v>
      </c>
      <c r="D1" s="73"/>
      <c r="E1" s="73">
        <v>2</v>
      </c>
      <c r="F1" s="73" t="s">
        <v>0</v>
      </c>
      <c r="G1" s="73">
        <v>3</v>
      </c>
      <c r="H1" s="73" t="s">
        <v>0</v>
      </c>
      <c r="I1" s="73">
        <v>4</v>
      </c>
      <c r="J1" s="73" t="s">
        <v>0</v>
      </c>
      <c r="K1" s="73">
        <v>5</v>
      </c>
      <c r="L1" s="73" t="s">
        <v>0</v>
      </c>
      <c r="M1" s="73">
        <v>6</v>
      </c>
      <c r="N1" s="73" t="s">
        <v>0</v>
      </c>
      <c r="O1" s="73">
        <v>7</v>
      </c>
      <c r="P1" s="73" t="s">
        <v>0</v>
      </c>
      <c r="Q1" s="73">
        <v>8</v>
      </c>
      <c r="R1" s="73" t="s">
        <v>0</v>
      </c>
      <c r="S1" s="73">
        <v>9</v>
      </c>
      <c r="T1" s="73" t="s">
        <v>0</v>
      </c>
      <c r="U1" s="73">
        <v>10</v>
      </c>
      <c r="V1" s="73" t="s">
        <v>0</v>
      </c>
      <c r="W1" s="73">
        <v>11</v>
      </c>
      <c r="X1" s="73" t="s">
        <v>0</v>
      </c>
      <c r="Y1" s="73">
        <v>12</v>
      </c>
      <c r="Z1" s="73" t="s">
        <v>1</v>
      </c>
      <c r="AA1" s="73">
        <v>13</v>
      </c>
      <c r="AB1" s="73" t="s">
        <v>0</v>
      </c>
      <c r="AC1" s="73">
        <v>14</v>
      </c>
      <c r="AD1" s="73" t="s">
        <v>0</v>
      </c>
      <c r="AE1" s="73">
        <v>15</v>
      </c>
      <c r="AF1" s="73" t="s">
        <v>0</v>
      </c>
      <c r="AG1" s="73">
        <v>16</v>
      </c>
      <c r="AH1" s="73" t="s">
        <v>0</v>
      </c>
      <c r="AI1" s="73">
        <v>17</v>
      </c>
      <c r="AJ1" s="73"/>
      <c r="AK1" s="73">
        <v>18</v>
      </c>
      <c r="AL1" s="73"/>
      <c r="AM1" s="73">
        <v>19</v>
      </c>
      <c r="AN1" s="73"/>
      <c r="AO1" s="73">
        <v>20</v>
      </c>
      <c r="AP1" s="73" t="s">
        <v>0</v>
      </c>
      <c r="AQ1" s="73">
        <v>21</v>
      </c>
      <c r="AR1" s="73"/>
      <c r="AS1" s="73">
        <v>22</v>
      </c>
      <c r="AT1" s="73" t="s">
        <v>0</v>
      </c>
      <c r="AU1" s="73">
        <v>23</v>
      </c>
      <c r="AV1" s="73" t="s">
        <v>0</v>
      </c>
      <c r="AW1" s="73">
        <v>24</v>
      </c>
      <c r="AX1" s="73"/>
      <c r="AY1" s="73">
        <v>25</v>
      </c>
      <c r="AZ1" s="73"/>
      <c r="BA1" s="73">
        <v>26</v>
      </c>
      <c r="BB1" s="73"/>
      <c r="BC1" s="73">
        <v>27</v>
      </c>
      <c r="BD1" s="73"/>
      <c r="BE1" s="73">
        <v>28</v>
      </c>
      <c r="BF1" s="73"/>
      <c r="BG1" s="73">
        <v>29</v>
      </c>
      <c r="BH1" s="73"/>
      <c r="BI1" s="73">
        <v>30</v>
      </c>
      <c r="BJ1" s="73"/>
    </row>
    <row r="2" spans="1:62" ht="115" customHeight="1" x14ac:dyDescent="0.2">
      <c r="A2" s="72"/>
      <c r="B2" s="78"/>
      <c r="C2" s="74" t="str">
        <f ca="1">[2]Examen11!C$2</f>
        <v>Alma Casa, Mario</v>
      </c>
      <c r="D2" s="74"/>
      <c r="E2" s="74" t="str">
        <f ca="1">[2]Examen11!E$2</f>
        <v>Amado Luz, Martín</v>
      </c>
      <c r="F2" s="74"/>
      <c r="G2" s="74" t="str">
        <f ca="1">[2]Examen11!G$2</f>
        <v>Bonete Cune, Carla</v>
      </c>
      <c r="H2" s="74"/>
      <c r="I2" s="74" t="str">
        <f ca="1">[2]Examen11!I$2</f>
        <v>Casado Gómez, María</v>
      </c>
      <c r="J2" s="74"/>
      <c r="K2" s="74" t="str">
        <f ca="1">[2]Examen11!K$2</f>
        <v>Concepción García, Elena</v>
      </c>
      <c r="L2" s="74"/>
      <c r="M2" s="74" t="str">
        <f ca="1">[2]Examen11!M$2</f>
        <v>Díaz Lucas, Ricardo</v>
      </c>
      <c r="N2" s="74"/>
      <c r="O2" s="74" t="str">
        <f ca="1">[2]Examen11!O$2</f>
        <v>Díaz Ríos, Lucía</v>
      </c>
      <c r="P2" s="74"/>
      <c r="Q2" s="74" t="str">
        <f ca="1">[2]Examen11!Q$2</f>
        <v>García López, Juan Ángel</v>
      </c>
      <c r="R2" s="74"/>
      <c r="S2" s="74" t="str">
        <f ca="1">[2]Examen11!S$2</f>
        <v>García Pérez, Luis</v>
      </c>
      <c r="T2" s="74"/>
      <c r="U2" s="74" t="str">
        <f ca="1">[2]Examen11!U$2</f>
        <v>Garijo Piqueras, María</v>
      </c>
      <c r="V2" s="74"/>
      <c r="W2" s="74" t="str">
        <f ca="1">[2]Examen11!W$2</f>
        <v>Gómez Luna, José</v>
      </c>
      <c r="X2" s="74"/>
      <c r="Y2" s="74" t="str">
        <f ca="1">[2]Examen11!Y$2</f>
        <v>González García, Juan</v>
      </c>
      <c r="Z2" s="74"/>
      <c r="AA2" s="74" t="str">
        <f ca="1">[2]Examen11!AA$2</f>
        <v>González Pérez, María</v>
      </c>
      <c r="AB2" s="74"/>
      <c r="AC2" s="74" t="str">
        <f ca="1">[2]Examen11!AC$2</f>
        <v>Laín Hernández, Luisa</v>
      </c>
      <c r="AD2" s="74"/>
      <c r="AE2" s="74" t="str">
        <f ca="1">[2]Examen11!AE$2</f>
        <v>Lirios Lara, Juan</v>
      </c>
      <c r="AF2" s="74"/>
      <c r="AG2" s="74" t="str">
        <f ca="1">[2]Examen11!AG$2</f>
        <v>López Picazo, Marta</v>
      </c>
      <c r="AH2" s="74"/>
      <c r="AI2" s="74" t="str">
        <f ca="1">[2]Examen11!AI$2</f>
        <v>Molina Pérez, Marina</v>
      </c>
      <c r="AJ2" s="74"/>
      <c r="AK2" s="74" t="str">
        <f ca="1">[2]Examen11!AK$2</f>
        <v>Molina Sánchez, Inmaculada</v>
      </c>
      <c r="AL2" s="74"/>
      <c r="AM2" s="74" t="str">
        <f ca="1">[2]Examen11!AM$2</f>
        <v>Montero Pacheco, Pablo</v>
      </c>
      <c r="AN2" s="74"/>
      <c r="AO2" s="74" t="str">
        <f ca="1">[2]Examen11!AO$2</f>
        <v>Mora García, Javier</v>
      </c>
      <c r="AP2" s="74"/>
      <c r="AQ2" s="74" t="str">
        <f ca="1">[2]Examen11!AQ$2</f>
        <v>Morcillo Pared, Luna</v>
      </c>
      <c r="AR2" s="74"/>
      <c r="AS2" s="74" t="str">
        <f ca="1">[2]Examen11!AS$2</f>
        <v>Moreno Hernández, Francisco</v>
      </c>
      <c r="AT2" s="74"/>
      <c r="AU2" s="74" t="str">
        <f ca="1">[2]Examen11!AU$2</f>
        <v>Muñoz Garijo, Pablo</v>
      </c>
      <c r="AV2" s="74"/>
      <c r="AW2" s="74" t="str">
        <f ca="1">[2]Examen11!AW$2</f>
        <v>Pérez Garrido, Francisco</v>
      </c>
      <c r="AX2" s="74"/>
      <c r="AY2" s="74" t="str">
        <f ca="1">[2]Examen11!AY$2</f>
        <v>Serna Serna, Susana</v>
      </c>
      <c r="AZ2" s="74"/>
      <c r="BA2" s="74" t="str">
        <f ca="1">[2]Examen11!BA$2</f>
        <v>Soriano Tornero, Manuel</v>
      </c>
      <c r="BB2" s="74"/>
      <c r="BC2" s="74" t="str">
        <f ca="1">[2]Examen11!BC$2</f>
        <v>Sultán Zar, Pedro</v>
      </c>
      <c r="BD2" s="74"/>
      <c r="BE2" s="74" t="str">
        <f ca="1">[2]Examen11!BE$2</f>
        <v>Tendero Grande, Marina</v>
      </c>
      <c r="BF2" s="74"/>
      <c r="BG2" s="74" t="str">
        <f ca="1">[2]Examen11!BG$2</f>
        <v>Valencia Bueno, Isabel</v>
      </c>
      <c r="BH2" s="74"/>
      <c r="BI2" s="74" t="str">
        <f ca="1">[2]Examen11!BI$2</f>
        <v>Zarza Parrilla, Manuel</v>
      </c>
      <c r="BJ2" s="74"/>
    </row>
    <row r="3" spans="1:62" ht="33" customHeight="1" x14ac:dyDescent="0.2">
      <c r="A3" s="34" t="str" cm="1">
        <f t="array" ref="A3">[2]!VERSION</f>
        <v>Versión 1.2</v>
      </c>
      <c r="B3" s="10" t="str">
        <f>IF((B4+B7+B16+B38+B59+B64)=1,"Ok","Error % Bloques")</f>
        <v>Ok</v>
      </c>
      <c r="C3" s="59">
        <f>SUM(C4,C7,C16,C38,C59,C64)</f>
        <v>4.4649999825283881</v>
      </c>
      <c r="D3" s="60"/>
      <c r="E3" s="59">
        <f t="shared" ref="E3" si="0">SUM(E4,E7,E16,E38,E59,E64)</f>
        <v>4.5775000117719173</v>
      </c>
      <c r="F3" s="60"/>
      <c r="G3" s="59">
        <f t="shared" ref="G3" si="1">SUM(G4,G7,G16,G38,G59,G64)</f>
        <v>3.7775000449270006</v>
      </c>
      <c r="H3" s="60"/>
      <c r="I3" s="59">
        <f t="shared" ref="I3" si="2">SUM(I4,I7,I16,I38,I59,I64)</f>
        <v>4.2625000251457088</v>
      </c>
      <c r="J3" s="60"/>
      <c r="K3" s="59">
        <f t="shared" ref="K3" si="3">SUM(K4,K7,K16,K38,K59,K64)</f>
        <v>4.3750000216066836</v>
      </c>
      <c r="L3" s="60"/>
      <c r="M3" s="59">
        <f t="shared" ref="M3" si="4">SUM(M4,M7,M16,M38,M59,M64)</f>
        <v>3.2725000383332379</v>
      </c>
      <c r="N3" s="60"/>
      <c r="O3" s="59">
        <f t="shared" ref="O3" si="5">SUM(O4,O7,O16,O38,O59,O64)</f>
        <v>4.4625000309199088</v>
      </c>
      <c r="P3" s="60"/>
      <c r="Q3" s="59">
        <f t="shared" ref="Q3" si="6">SUM(Q4,Q7,Q16,Q38,Q59,Q64)</f>
        <v>3.6125000545755026</v>
      </c>
      <c r="R3" s="60"/>
      <c r="S3" s="59">
        <f t="shared" ref="S3" si="7">SUM(S4,S7,S16,S38,S59,S64)</f>
        <v>3.2775000214576719</v>
      </c>
      <c r="T3" s="60"/>
      <c r="U3" s="59">
        <f t="shared" ref="U3" si="8">SUM(U4,U7,U16,U38,U59,U64)</f>
        <v>3.7950000042095784</v>
      </c>
      <c r="V3" s="60"/>
      <c r="W3" s="59">
        <f t="shared" ref="W3" si="9">SUM(W4,W7,W16,W38,W59,W64)</f>
        <v>3.7649999998509882</v>
      </c>
      <c r="X3" s="60"/>
      <c r="Y3" s="59">
        <f t="shared" ref="Y3" si="10">SUM(Y4,Y7,Y16,Y38,Y59,Y64)</f>
        <v>4.2475000318139795</v>
      </c>
      <c r="Z3" s="60"/>
      <c r="AA3" s="59">
        <f t="shared" ref="AA3" si="11">SUM(AA4,AA7,AA16,AA38,AA59,AA64)</f>
        <v>3.9525000523775815</v>
      </c>
      <c r="AB3" s="60"/>
      <c r="AC3" s="59">
        <f t="shared" ref="AC3" si="12">SUM(AC4,AC7,AC16,AC38,AC59,AC64)</f>
        <v>4.0474999971687797</v>
      </c>
      <c r="AD3" s="60"/>
      <c r="AE3" s="59">
        <f t="shared" ref="AE3" si="13">SUM(AE4,AE7,AE16,AE38,AE59,AE64)</f>
        <v>4.0200000321492553</v>
      </c>
      <c r="AF3" s="60"/>
      <c r="AG3" s="59">
        <f t="shared" ref="AG3" si="14">SUM(AG4,AG7,AG16,AG38,AG59,AG64)</f>
        <v>4.0325000219047071</v>
      </c>
      <c r="AH3" s="60"/>
      <c r="AI3" s="59">
        <f t="shared" ref="AI3" si="15">SUM(AI4,AI7,AI16,AI38,AI59,AI64)</f>
        <v>3.2925000227987766</v>
      </c>
      <c r="AJ3" s="60"/>
      <c r="AK3" s="59">
        <f t="shared" ref="AK3" si="16">SUM(AK4,AK7,AK16,AK38,AK59,AK64)</f>
        <v>4.2250000182539225</v>
      </c>
      <c r="AL3" s="60"/>
      <c r="AM3" s="59">
        <f t="shared" ref="AM3" si="17">SUM(AM4,AM7,AM16,AM38,AM59,AM64)</f>
        <v>3.7000000482425093</v>
      </c>
      <c r="AN3" s="60"/>
      <c r="AO3" s="59">
        <f t="shared" ref="AO3" si="18">SUM(AO4,AO7,AO16,AO38,AO59,AO64)</f>
        <v>3.6625000163912773</v>
      </c>
      <c r="AP3" s="60"/>
      <c r="AQ3" s="59">
        <f t="shared" ref="AQ3" si="19">SUM(AQ4,AQ7,AQ16,AQ38,AQ59,AQ64)</f>
        <v>4.0425000503659252</v>
      </c>
      <c r="AR3" s="60"/>
      <c r="AS3" s="59">
        <f t="shared" ref="AS3" si="20">SUM(AS4,AS7,AS16,AS38,AS59,AS64)</f>
        <v>4.3450000539422042</v>
      </c>
      <c r="AT3" s="60"/>
      <c r="AU3" s="59">
        <f t="shared" ref="AU3" si="21">SUM(AU4,AU7,AU16,AU38,AU59,AU64)</f>
        <v>3.5950000274926426</v>
      </c>
      <c r="AV3" s="60"/>
      <c r="AW3" s="59">
        <f t="shared" ref="AW3" si="22">SUM(AW4,AW7,AW16,AW38,AW59,AW64)</f>
        <v>3.5850000170990821</v>
      </c>
      <c r="AX3" s="60"/>
      <c r="AY3" s="59">
        <f t="shared" ref="AY3" si="23">SUM(AY4,AY7,AY16,AY38,AY59,AY64)</f>
        <v>3.7525000238791106</v>
      </c>
      <c r="AZ3" s="60"/>
      <c r="BA3" s="59">
        <f t="shared" ref="BA3" si="24">SUM(BA4,BA7,BA16,BA38,BA59,BA64)</f>
        <v>3.5725000305101275</v>
      </c>
      <c r="BB3" s="60"/>
      <c r="BC3" s="59">
        <f t="shared" ref="BC3" si="25">SUM(BC4,BC7,BC16,BC38,BC59,BC64)</f>
        <v>4.7425000332295895</v>
      </c>
      <c r="BD3" s="60"/>
      <c r="BE3" s="59">
        <f t="shared" ref="BE3" si="26">SUM(BE4,BE7,BE16,BE38,BE59,BE64)</f>
        <v>3.2899999972432852</v>
      </c>
      <c r="BF3" s="60"/>
      <c r="BG3" s="59">
        <f t="shared" ref="BG3" si="27">SUM(BG4,BG7,BG16,BG38,BG59,BG64)</f>
        <v>3.8825000274926422</v>
      </c>
      <c r="BH3" s="60"/>
      <c r="BI3" s="59">
        <f t="shared" ref="BI3" si="28">SUM(BI4,BI7,BI16,BI38,BI59,BI64)</f>
        <v>2.9525000344961883</v>
      </c>
      <c r="BJ3" s="60"/>
    </row>
    <row r="4" spans="1:62" ht="38" x14ac:dyDescent="0.2">
      <c r="A4" s="6" t="s">
        <v>2</v>
      </c>
      <c r="B4" s="7">
        <f>Estructura!D2</f>
        <v>0.1</v>
      </c>
      <c r="C4" s="58" t="str">
        <f>IF(SUM($B5:$B6)&lt;&gt;0,SUM(C5:C6)/SUM($B5:$B6)*$B4*10, "")</f>
        <v/>
      </c>
      <c r="D4" s="58"/>
      <c r="E4" s="58" t="str">
        <f>IF(SUM($B5:$B6)&lt;&gt;0,SUM(E5:E6)/SUM($B5:$B6)*$B4*10, "")</f>
        <v/>
      </c>
      <c r="F4" s="58"/>
      <c r="G4" s="58" t="str">
        <f>IF(SUM($B5:$B6)&lt;&gt;0,SUM(G5:G6)/SUM($B5:$B6)*$B4*10, "")</f>
        <v/>
      </c>
      <c r="H4" s="58"/>
      <c r="I4" s="58" t="str">
        <f>IF(SUM($B5:$B6)&lt;&gt;0,SUM(I5:I6)/SUM($B5:$B6)*$B4*10, "")</f>
        <v/>
      </c>
      <c r="J4" s="58"/>
      <c r="K4" s="58" t="str">
        <f>IF(SUM($B5:$B6)&lt;&gt;0,SUM(K5:K6)/SUM($B5:$B6)*$B4*10, "")</f>
        <v/>
      </c>
      <c r="L4" s="58"/>
      <c r="M4" s="58" t="str">
        <f>IF(SUM($B5:$B6)&lt;&gt;0,SUM(M5:M6)/SUM($B5:$B6)*$B4*10, "")</f>
        <v/>
      </c>
      <c r="N4" s="58"/>
      <c r="O4" s="58" t="str">
        <f>IF(SUM($B5:$B6)&lt;&gt;0,SUM(O5:O6)/SUM($B5:$B6)*$B4*10, "")</f>
        <v/>
      </c>
      <c r="P4" s="58"/>
      <c r="Q4" s="58" t="str">
        <f>IF(SUM($B5:$B6)&lt;&gt;0,SUM(Q5:Q6)/SUM($B5:$B6)*$B4*10, "")</f>
        <v/>
      </c>
      <c r="R4" s="58"/>
      <c r="S4" s="58" t="str">
        <f>IF(SUM($B5:$B6)&lt;&gt;0,SUM(S5:S6)/SUM($B5:$B6)*$B4*10, "")</f>
        <v/>
      </c>
      <c r="T4" s="58"/>
      <c r="U4" s="58" t="str">
        <f>IF(SUM($B5:$B6)&lt;&gt;0,SUM(U5:U6)/SUM($B5:$B6)*$B4*10, "")</f>
        <v/>
      </c>
      <c r="V4" s="58"/>
      <c r="W4" s="58" t="str">
        <f>IF(SUM($B5:$B6)&lt;&gt;0,SUM(W5:W6)/SUM($B5:$B6)*$B4*10, "")</f>
        <v/>
      </c>
      <c r="X4" s="58"/>
      <c r="Y4" s="58" t="str">
        <f>IF(SUM($B5:$B6)&lt;&gt;0,SUM(Y5:Y6)/SUM($B5:$B6)*$B4*10, "")</f>
        <v/>
      </c>
      <c r="Z4" s="58"/>
      <c r="AA4" s="58" t="str">
        <f>IF(SUM($B5:$B6)&lt;&gt;0,SUM(AA5:AA6)/SUM($B5:$B6)*$B4*10, "")</f>
        <v/>
      </c>
      <c r="AB4" s="58"/>
      <c r="AC4" s="58" t="str">
        <f>IF(SUM($B5:$B6)&lt;&gt;0,SUM(AC5:AC6)/SUM($B5:$B6)*$B4*10, "")</f>
        <v/>
      </c>
      <c r="AD4" s="58"/>
      <c r="AE4" s="58" t="str">
        <f>IF(SUM($B5:$B6)&lt;&gt;0,SUM(AE5:AE6)/SUM($B5:$B6)*$B4*10, "")</f>
        <v/>
      </c>
      <c r="AF4" s="58"/>
      <c r="AG4" s="58" t="str">
        <f>IF(SUM($B5:$B6)&lt;&gt;0,SUM(AG5:AG6)/SUM($B5:$B6)*$B4*10, "")</f>
        <v/>
      </c>
      <c r="AH4" s="58"/>
      <c r="AI4" s="58" t="str">
        <f>IF(SUM($B5:$B6)&lt;&gt;0,SUM(AI5:AI6)/SUM($B5:$B6)*$B4*10, "")</f>
        <v/>
      </c>
      <c r="AJ4" s="58"/>
      <c r="AK4" s="58" t="str">
        <f>IF(SUM($B5:$B6)&lt;&gt;0,SUM(AK5:AK6)/SUM($B5:$B6)*$B4*10, "")</f>
        <v/>
      </c>
      <c r="AL4" s="58"/>
      <c r="AM4" s="58" t="str">
        <f>IF(SUM($B5:$B6)&lt;&gt;0,SUM(AM5:AM6)/SUM($B5:$B6)*$B4*10, "")</f>
        <v/>
      </c>
      <c r="AN4" s="58"/>
      <c r="AO4" s="58" t="str">
        <f>IF(SUM($B5:$B6)&lt;&gt;0,SUM(AO5:AO6)/SUM($B5:$B6)*$B4*10, "")</f>
        <v/>
      </c>
      <c r="AP4" s="58"/>
      <c r="AQ4" s="58" t="str">
        <f>IF(SUM($B5:$B6)&lt;&gt;0,SUM(AQ5:AQ6)/SUM($B5:$B6)*$B4*10, "")</f>
        <v/>
      </c>
      <c r="AR4" s="58"/>
      <c r="AS4" s="58" t="str">
        <f>IF(SUM($B5:$B6)&lt;&gt;0,SUM(AS5:AS6)/SUM($B5:$B6)*$B4*10, "")</f>
        <v/>
      </c>
      <c r="AT4" s="58"/>
      <c r="AU4" s="58" t="str">
        <f>IF(SUM($B5:$B6)&lt;&gt;0,SUM(AU5:AU6)/SUM($B5:$B6)*$B4*10, "")</f>
        <v/>
      </c>
      <c r="AV4" s="58"/>
      <c r="AW4" s="58" t="str">
        <f>IF(SUM($B5:$B6)&lt;&gt;0,SUM(AW5:AW6)/SUM($B5:$B6)*$B4*10, "")</f>
        <v/>
      </c>
      <c r="AX4" s="58"/>
      <c r="AY4" s="58" t="str">
        <f>IF(SUM($B5:$B6)&lt;&gt;0,SUM(AY5:AY6)/SUM($B5:$B6)*$B4*10, "")</f>
        <v/>
      </c>
      <c r="AZ4" s="58"/>
      <c r="BA4" s="58" t="str">
        <f>IF(SUM($B5:$B6)&lt;&gt;0,SUM(BA5:BA6)/SUM($B5:$B6)*$B4*10, "")</f>
        <v/>
      </c>
      <c r="BB4" s="58"/>
      <c r="BC4" s="58" t="str">
        <f>IF(SUM($B5:$B6)&lt;&gt;0,SUM(BC5:BC6)/SUM($B5:$B6)*$B4*10, "")</f>
        <v/>
      </c>
      <c r="BD4" s="58"/>
      <c r="BE4" s="58" t="str">
        <f>IF(SUM($B5:$B6)&lt;&gt;0,SUM(BE5:BE6)/SUM($B5:$B6)*$B4*10, "")</f>
        <v/>
      </c>
      <c r="BF4" s="58"/>
      <c r="BG4" s="58" t="str">
        <f>IF(SUM($B5:$B6)&lt;&gt;0,SUM(BG5:BG6)/SUM($B5:$B6)*$B4*10, "")</f>
        <v/>
      </c>
      <c r="BH4" s="58"/>
      <c r="BI4" s="58" t="str">
        <f>IF(SUM($B5:$B6)&lt;&gt;0,SUM(BI5:BI6)/SUM($B5:$B6)*$B4*10, "")</f>
        <v/>
      </c>
      <c r="BJ4" s="58"/>
    </row>
    <row r="5" spans="1:62" ht="28" x14ac:dyDescent="0.2">
      <c r="A5" s="2" t="s">
        <v>8</v>
      </c>
      <c r="B5" s="13">
        <f>Tercera!B5</f>
        <v>0</v>
      </c>
      <c r="C5" s="31">
        <f>Tercera!C5</f>
        <v>0</v>
      </c>
      <c r="D5" s="32">
        <f>IF($B5,C5/$B5,-1)</f>
        <v>-1</v>
      </c>
      <c r="E5" s="31">
        <f>Tercera!E5</f>
        <v>0</v>
      </c>
      <c r="F5" s="32">
        <f>IF($B5,E5/$B5,-1)</f>
        <v>-1</v>
      </c>
      <c r="G5" s="31">
        <f>Tercera!G5</f>
        <v>0</v>
      </c>
      <c r="H5" s="32">
        <f>IF($B5,G5/$B5,-1)</f>
        <v>-1</v>
      </c>
      <c r="I5" s="31">
        <f>Tercera!I5</f>
        <v>0</v>
      </c>
      <c r="J5" s="32">
        <f>IF($B5,I5/$B5,-1)</f>
        <v>-1</v>
      </c>
      <c r="K5" s="31">
        <f>Tercera!K5</f>
        <v>0</v>
      </c>
      <c r="L5" s="32">
        <f>IF($B5,K5/$B5,-1)</f>
        <v>-1</v>
      </c>
      <c r="M5" s="31">
        <f>Tercera!M5</f>
        <v>0</v>
      </c>
      <c r="N5" s="32">
        <f>IF($B5,M5/$B5,-1)</f>
        <v>-1</v>
      </c>
      <c r="O5" s="31">
        <f>Tercera!O5</f>
        <v>0</v>
      </c>
      <c r="P5" s="32">
        <f>IF($B5,O5/$B5,-1)</f>
        <v>-1</v>
      </c>
      <c r="Q5" s="31">
        <f>Tercera!Q5</f>
        <v>0</v>
      </c>
      <c r="R5" s="32">
        <f>IF($B5,Q5/$B5,-1)</f>
        <v>-1</v>
      </c>
      <c r="S5" s="31">
        <f>Tercera!S5</f>
        <v>0</v>
      </c>
      <c r="T5" s="32">
        <f>IF($B5,S5/$B5,-1)</f>
        <v>-1</v>
      </c>
      <c r="U5" s="31">
        <f>Tercera!U5</f>
        <v>0</v>
      </c>
      <c r="V5" s="32">
        <f>IF($B5,U5/$B5,-1)</f>
        <v>-1</v>
      </c>
      <c r="W5" s="31">
        <f>Tercera!W5</f>
        <v>0</v>
      </c>
      <c r="X5" s="32">
        <f>IF($B5,W5/$B5,-1)</f>
        <v>-1</v>
      </c>
      <c r="Y5" s="31">
        <f>Tercera!Y5</f>
        <v>0</v>
      </c>
      <c r="Z5" s="32">
        <f>IF($B5,Y5/$B5,-1)</f>
        <v>-1</v>
      </c>
      <c r="AA5" s="31">
        <f>Tercera!AA5</f>
        <v>0</v>
      </c>
      <c r="AB5" s="32">
        <f>IF($B5,AA5/$B5,-1)</f>
        <v>-1</v>
      </c>
      <c r="AC5" s="31">
        <f>Tercera!AC5</f>
        <v>0</v>
      </c>
      <c r="AD5" s="32">
        <f>IF($B5,AC5/$B5,-1)</f>
        <v>-1</v>
      </c>
      <c r="AE5" s="31">
        <f>Tercera!AE5</f>
        <v>0</v>
      </c>
      <c r="AF5" s="32">
        <f>IF($B5,AE5/$B5,-1)</f>
        <v>-1</v>
      </c>
      <c r="AG5" s="31">
        <f>Tercera!AG5</f>
        <v>0</v>
      </c>
      <c r="AH5" s="32">
        <f>IF($B5,AG5/$B5,-1)</f>
        <v>-1</v>
      </c>
      <c r="AI5" s="31">
        <f>Tercera!AI5</f>
        <v>0</v>
      </c>
      <c r="AJ5" s="32">
        <f>IF($B5,AI5/$B5,-1)</f>
        <v>-1</v>
      </c>
      <c r="AK5" s="31">
        <f>Tercera!AK5</f>
        <v>0</v>
      </c>
      <c r="AL5" s="32">
        <f>IF($B5,AK5/$B5,-1)</f>
        <v>-1</v>
      </c>
      <c r="AM5" s="31">
        <f>Tercera!AM5</f>
        <v>0</v>
      </c>
      <c r="AN5" s="32">
        <f>IF($B5,AM5/$B5,-1)</f>
        <v>-1</v>
      </c>
      <c r="AO5" s="31">
        <f>Tercera!AO5</f>
        <v>0</v>
      </c>
      <c r="AP5" s="32">
        <f>IF($B5,AO5/$B5,-1)</f>
        <v>-1</v>
      </c>
      <c r="AQ5" s="31">
        <f>Tercera!AQ5</f>
        <v>0</v>
      </c>
      <c r="AR5" s="32">
        <f>IF($B5,AQ5/$B5,-1)</f>
        <v>-1</v>
      </c>
      <c r="AS5" s="31">
        <f>Tercera!AS5</f>
        <v>0</v>
      </c>
      <c r="AT5" s="32">
        <f>IF($B5,AS5/$B5,-1)</f>
        <v>-1</v>
      </c>
      <c r="AU5" s="31">
        <f>Tercera!AU5</f>
        <v>0</v>
      </c>
      <c r="AV5" s="32">
        <f>IF($B5,AU5/$B5,-1)</f>
        <v>-1</v>
      </c>
      <c r="AW5" s="31">
        <f>Tercera!AW5</f>
        <v>0</v>
      </c>
      <c r="AX5" s="32">
        <f>IF($B5,AW5/$B5,-1)</f>
        <v>-1</v>
      </c>
      <c r="AY5" s="31">
        <f>Tercera!AY5</f>
        <v>0</v>
      </c>
      <c r="AZ5" s="32">
        <f>IF($B5,AY5/$B5,-1)</f>
        <v>-1</v>
      </c>
      <c r="BA5" s="31">
        <f>Tercera!BA5</f>
        <v>0</v>
      </c>
      <c r="BB5" s="32">
        <f>IF($B5,BA5/$B5,-1)</f>
        <v>-1</v>
      </c>
      <c r="BC5" s="31">
        <f>Tercera!BC5</f>
        <v>0</v>
      </c>
      <c r="BD5" s="32">
        <f>IF($B5,BC5/$B5,-1)</f>
        <v>-1</v>
      </c>
      <c r="BE5" s="31">
        <f>Tercera!BE5</f>
        <v>0</v>
      </c>
      <c r="BF5" s="32">
        <f>IF($B5,BE5/$B5,-1)</f>
        <v>-1</v>
      </c>
      <c r="BG5" s="31">
        <f>Tercera!BG5</f>
        <v>0</v>
      </c>
      <c r="BH5" s="32">
        <f>IF($B5,BG5/$B5,-1)</f>
        <v>-1</v>
      </c>
      <c r="BI5" s="31">
        <f>Tercera!BI5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Tercera!B6</f>
        <v>0</v>
      </c>
      <c r="C6" s="31">
        <f>Tercera!C6</f>
        <v>0</v>
      </c>
      <c r="D6" s="32">
        <f>IF($B6,C6/$B6,-1)</f>
        <v>-1</v>
      </c>
      <c r="E6" s="31">
        <f>Tercera!E6</f>
        <v>0</v>
      </c>
      <c r="F6" s="32">
        <f>IF($B6,E6/$B6,-1)</f>
        <v>-1</v>
      </c>
      <c r="G6" s="31">
        <f>Tercera!G6</f>
        <v>0</v>
      </c>
      <c r="H6" s="32">
        <f>IF($B6,G6/$B6,-1)</f>
        <v>-1</v>
      </c>
      <c r="I6" s="31">
        <f>Tercera!I6</f>
        <v>0</v>
      </c>
      <c r="J6" s="32">
        <f>IF($B6,I6/$B6,-1)</f>
        <v>-1</v>
      </c>
      <c r="K6" s="31">
        <f>Tercera!K6</f>
        <v>0</v>
      </c>
      <c r="L6" s="32">
        <f>IF($B6,K6/$B6,-1)</f>
        <v>-1</v>
      </c>
      <c r="M6" s="31">
        <f>Tercera!M6</f>
        <v>0</v>
      </c>
      <c r="N6" s="32">
        <f>IF($B6,M6/$B6,-1)</f>
        <v>-1</v>
      </c>
      <c r="O6" s="31">
        <f>Tercera!O6</f>
        <v>0</v>
      </c>
      <c r="P6" s="32">
        <f>IF($B6,O6/$B6,-1)</f>
        <v>-1</v>
      </c>
      <c r="Q6" s="31">
        <f>Tercera!Q6</f>
        <v>0</v>
      </c>
      <c r="R6" s="32">
        <f>IF($B6,Q6/$B6,-1)</f>
        <v>-1</v>
      </c>
      <c r="S6" s="31">
        <f>Tercera!S6</f>
        <v>0</v>
      </c>
      <c r="T6" s="32">
        <f>IF($B6,S6/$B6,-1)</f>
        <v>-1</v>
      </c>
      <c r="U6" s="31">
        <f>Tercera!U6</f>
        <v>0</v>
      </c>
      <c r="V6" s="32">
        <f>IF($B6,U6/$B6,-1)</f>
        <v>-1</v>
      </c>
      <c r="W6" s="31">
        <f>Tercera!W6</f>
        <v>0</v>
      </c>
      <c r="X6" s="32">
        <f>IF($B6,W6/$B6,-1)</f>
        <v>-1</v>
      </c>
      <c r="Y6" s="31">
        <f>Tercera!Y6</f>
        <v>0</v>
      </c>
      <c r="Z6" s="32">
        <f>IF($B6,Y6/$B6,-1)</f>
        <v>-1</v>
      </c>
      <c r="AA6" s="31">
        <f>Tercera!AA6</f>
        <v>0</v>
      </c>
      <c r="AB6" s="32">
        <f>IF($B6,AA6/$B6,-1)</f>
        <v>-1</v>
      </c>
      <c r="AC6" s="31">
        <f>Tercera!AC6</f>
        <v>0</v>
      </c>
      <c r="AD6" s="32">
        <f>IF($B6,AC6/$B6,-1)</f>
        <v>-1</v>
      </c>
      <c r="AE6" s="31">
        <f>Tercera!AE6</f>
        <v>0</v>
      </c>
      <c r="AF6" s="32">
        <f>IF($B6,AE6/$B6,-1)</f>
        <v>-1</v>
      </c>
      <c r="AG6" s="31">
        <f>Tercera!AG6</f>
        <v>0</v>
      </c>
      <c r="AH6" s="32">
        <f>IF($B6,AG6/$B6,-1)</f>
        <v>-1</v>
      </c>
      <c r="AI6" s="31">
        <f>Tercera!AI6</f>
        <v>0</v>
      </c>
      <c r="AJ6" s="32">
        <f>IF($B6,AI6/$B6,-1)</f>
        <v>-1</v>
      </c>
      <c r="AK6" s="31">
        <f>Tercera!AK6</f>
        <v>0</v>
      </c>
      <c r="AL6" s="32">
        <f>IF($B6,AK6/$B6,-1)</f>
        <v>-1</v>
      </c>
      <c r="AM6" s="31">
        <f>Tercera!AM6</f>
        <v>0</v>
      </c>
      <c r="AN6" s="32">
        <f>IF($B6,AM6/$B6,-1)</f>
        <v>-1</v>
      </c>
      <c r="AO6" s="31">
        <f>Tercera!AO6</f>
        <v>0</v>
      </c>
      <c r="AP6" s="32">
        <f>IF($B6,AO6/$B6,-1)</f>
        <v>-1</v>
      </c>
      <c r="AQ6" s="31">
        <f>Tercera!AQ6</f>
        <v>0</v>
      </c>
      <c r="AR6" s="32">
        <f>IF($B6,AQ6/$B6,-1)</f>
        <v>-1</v>
      </c>
      <c r="AS6" s="31">
        <f>Tercera!AS6</f>
        <v>0</v>
      </c>
      <c r="AT6" s="32">
        <f>IF($B6,AS6/$B6,-1)</f>
        <v>-1</v>
      </c>
      <c r="AU6" s="31">
        <f>Tercera!AU6</f>
        <v>0</v>
      </c>
      <c r="AV6" s="32">
        <f>IF($B6,AU6/$B6,-1)</f>
        <v>-1</v>
      </c>
      <c r="AW6" s="31">
        <f>Tercera!AW6</f>
        <v>0</v>
      </c>
      <c r="AX6" s="32">
        <f>IF($B6,AW6/$B6,-1)</f>
        <v>-1</v>
      </c>
      <c r="AY6" s="31">
        <f>Tercera!AY6</f>
        <v>0</v>
      </c>
      <c r="AZ6" s="32">
        <f>IF($B6,AY6/$B6,-1)</f>
        <v>-1</v>
      </c>
      <c r="BA6" s="31">
        <f>Tercera!BA6</f>
        <v>0</v>
      </c>
      <c r="BB6" s="32">
        <f>IF($B6,BA6/$B6,-1)</f>
        <v>-1</v>
      </c>
      <c r="BC6" s="31">
        <f>Tercera!BC6</f>
        <v>0</v>
      </c>
      <c r="BD6" s="32">
        <f>IF($B6,BC6/$B6,-1)</f>
        <v>-1</v>
      </c>
      <c r="BE6" s="31">
        <f>Tercera!BE6</f>
        <v>0</v>
      </c>
      <c r="BF6" s="32">
        <f>IF($B6,BE6/$B6,-1)</f>
        <v>-1</v>
      </c>
      <c r="BG6" s="31">
        <f>Tercera!BG6</f>
        <v>0</v>
      </c>
      <c r="BH6" s="32">
        <f>IF($B6,BG6/$B6,-1)</f>
        <v>-1</v>
      </c>
      <c r="BI6" s="31">
        <f>Tercera!BI6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8">
        <f>IF(SUM($B8:$B15)&lt;&gt;0,SUM(C8:C15)/SUM($B8:$B15)*$B7*10, "")</f>
        <v>0.74999999105930337</v>
      </c>
      <c r="D7" s="58"/>
      <c r="E7" s="58">
        <f>IF(SUM($B8:$B15)&lt;&gt;0,SUM(E8:E15)/SUM($B8:$B15)*$B7*10, "")</f>
        <v>0.71999999508261681</v>
      </c>
      <c r="F7" s="58"/>
      <c r="G7" s="58">
        <f>IF(SUM($B8:$B15)&lt;&gt;0,SUM(G8:G15)/SUM($B8:$B15)*$B7*10, "")</f>
        <v>0.75000001788139325</v>
      </c>
      <c r="H7" s="58"/>
      <c r="I7" s="58">
        <f>IF(SUM($B8:$B15)&lt;&gt;0,SUM(I8:I15)/SUM($B8:$B15)*$B7*10, "")</f>
        <v>0.6300000093877316</v>
      </c>
      <c r="J7" s="58"/>
      <c r="K7" s="58">
        <f>IF(SUM($B8:$B15)&lt;&gt;0,SUM(K8:K15)/SUM($B8:$B15)*$B7*10, "")</f>
        <v>0.63000001162290564</v>
      </c>
      <c r="L7" s="58"/>
      <c r="M7" s="58">
        <f>IF(SUM($B8:$B15)&lt;&gt;0,SUM(M8:M15)/SUM($B8:$B15)*$B7*10, "")</f>
        <v>0.51000000536441803</v>
      </c>
      <c r="N7" s="58"/>
      <c r="O7" s="58">
        <f>IF(SUM($B8:$B15)&lt;&gt;0,SUM(O8:O15)/SUM($B8:$B15)*$B7*10, "")</f>
        <v>0.53999999463558201</v>
      </c>
      <c r="P7" s="58"/>
      <c r="Q7" s="58">
        <f>IF(SUM($B8:$B15)&lt;&gt;0,SUM(Q8:Q15)/SUM($B8:$B15)*$B7*10, "")</f>
        <v>1.170000010728836</v>
      </c>
      <c r="R7" s="58"/>
      <c r="S7" s="58">
        <f>IF(SUM($B8:$B15)&lt;&gt;0,SUM(S8:S15)/SUM($B8:$B15)*$B7*10, "")</f>
        <v>0.56999999731779094</v>
      </c>
      <c r="T7" s="58"/>
      <c r="U7" s="58">
        <f>IF(SUM($B8:$B15)&lt;&gt;0,SUM(U8:U15)/SUM($B8:$B15)*$B7*10, "")</f>
        <v>0.6299999982118607</v>
      </c>
      <c r="V7" s="58"/>
      <c r="W7" s="58">
        <f>IF(SUM($B8:$B15)&lt;&gt;0,SUM(W8:W15)/SUM($B8:$B15)*$B7*10, "")</f>
        <v>0.47999999597668647</v>
      </c>
      <c r="X7" s="58"/>
      <c r="Y7" s="58">
        <f>IF(SUM($B8:$B15)&lt;&gt;0,SUM(Y8:Y15)/SUM($B8:$B15)*$B7*10, "")</f>
        <v>0.83999999910593026</v>
      </c>
      <c r="Z7" s="58"/>
      <c r="AA7" s="58">
        <f>IF(SUM($B8:$B15)&lt;&gt;0,SUM(AA8:AA15)/SUM($B8:$B15)*$B7*10, "")</f>
        <v>0.86999999508261672</v>
      </c>
      <c r="AB7" s="58"/>
      <c r="AC7" s="58">
        <f>IF(SUM($B8:$B15)&lt;&gt;0,SUM(AC8:AC15)/SUM($B8:$B15)*$B7*10, "")</f>
        <v>0.60000000894069672</v>
      </c>
      <c r="AD7" s="58"/>
      <c r="AE7" s="58">
        <f>IF(SUM($B8:$B15)&lt;&gt;0,SUM(AE8:AE15)/SUM($B8:$B15)*$B7*10, "")</f>
        <v>0.48000001385807989</v>
      </c>
      <c r="AF7" s="58"/>
      <c r="AG7" s="58">
        <f>IF(SUM($B8:$B15)&lt;&gt;0,SUM(AG8:AG15)/SUM($B8:$B15)*$B7*10, "")</f>
        <v>1.0200000040233135</v>
      </c>
      <c r="AH7" s="58"/>
      <c r="AI7" s="58">
        <f>IF(SUM($B8:$B15)&lt;&gt;0,SUM(AI8:AI15)/SUM($B8:$B15)*$B7*10, "")</f>
        <v>0.9300000004470349</v>
      </c>
      <c r="AJ7" s="58"/>
      <c r="AK7" s="58">
        <f>IF(SUM($B8:$B15)&lt;&gt;0,SUM(AK8:AK15)/SUM($B8:$B15)*$B7*10, "")</f>
        <v>0.60000001117587087</v>
      </c>
      <c r="AL7" s="58"/>
      <c r="AM7" s="58">
        <f>IF(SUM($B8:$B15)&lt;&gt;0,SUM(AM8:AM15)/SUM($B8:$B15)*$B7*10, "")</f>
        <v>0.81000000536441796</v>
      </c>
      <c r="AN7" s="58"/>
      <c r="AO7" s="58">
        <f>IF(SUM($B8:$B15)&lt;&gt;0,SUM(AO8:AO15)/SUM($B8:$B15)*$B7*10, "")</f>
        <v>0.60000000223517413</v>
      </c>
      <c r="AP7" s="58"/>
      <c r="AQ7" s="58">
        <f>IF(SUM($B8:$B15)&lt;&gt;0,SUM(AQ8:AQ15)/SUM($B8:$B15)*$B7*10, "")</f>
        <v>0.6900000125169754</v>
      </c>
      <c r="AR7" s="58"/>
      <c r="AS7" s="58">
        <f>IF(SUM($B8:$B15)&lt;&gt;0,SUM(AS8:AS15)/SUM($B8:$B15)*$B7*10, "")</f>
        <v>0.84000000357627869</v>
      </c>
      <c r="AT7" s="58"/>
      <c r="AU7" s="58">
        <f>IF(SUM($B8:$B15)&lt;&gt;0,SUM(AU8:AU15)/SUM($B8:$B15)*$B7*10, "")</f>
        <v>0.57000000402331352</v>
      </c>
      <c r="AV7" s="58"/>
      <c r="AW7" s="58">
        <f>IF(SUM($B8:$B15)&lt;&gt;0,SUM(AW8:AW15)/SUM($B8:$B15)*$B7*10, "")</f>
        <v>1.0500000044703484</v>
      </c>
      <c r="AX7" s="58"/>
      <c r="AY7" s="58">
        <f>IF(SUM($B8:$B15)&lt;&gt;0,SUM(AY8:AY15)/SUM($B8:$B15)*$B7*10, "")</f>
        <v>0.69000000357627866</v>
      </c>
      <c r="AZ7" s="58"/>
      <c r="BA7" s="58">
        <f>IF(SUM($B8:$B15)&lt;&gt;0,SUM(BA8:BA15)/SUM($B8:$B15)*$B7*10, "")</f>
        <v>0.6300000093877316</v>
      </c>
      <c r="BB7" s="58"/>
      <c r="BC7" s="58">
        <f>IF(SUM($B8:$B15)&lt;&gt;0,SUM(BC8:BC15)/SUM($B8:$B15)*$B7*10, "")</f>
        <v>0.93000002503395074</v>
      </c>
      <c r="BD7" s="58"/>
      <c r="BE7" s="58">
        <f>IF(SUM($B8:$B15)&lt;&gt;0,SUM(BE8:BE15)/SUM($B8:$B15)*$B7*10, "")</f>
        <v>0.65999999195337289</v>
      </c>
      <c r="BF7" s="58"/>
      <c r="BG7" s="58">
        <f>IF(SUM($B8:$B15)&lt;&gt;0,SUM(BG8:BG15)/SUM($B8:$B15)*$B7*10, "")</f>
        <v>0.59999999776482582</v>
      </c>
      <c r="BH7" s="58"/>
      <c r="BI7" s="58">
        <f>IF(SUM($B8:$B15)&lt;&gt;0,SUM(BI8:BI15)/SUM($B8:$B15)*$B7*10, "")</f>
        <v>0.54000000134110449</v>
      </c>
      <c r="BJ7" s="58"/>
    </row>
    <row r="8" spans="1:62" ht="42" x14ac:dyDescent="0.2">
      <c r="A8" s="2" t="s">
        <v>10</v>
      </c>
      <c r="B8" s="13">
        <f>Tercera!B8</f>
        <v>2</v>
      </c>
      <c r="C8" s="31">
        <f>Tercera!C8</f>
        <v>1.3999999761581421</v>
      </c>
      <c r="D8" s="32">
        <f t="shared" ref="D8:D15" si="29">IF($B8,C8/$B8,-1)</f>
        <v>0.69999998807907104</v>
      </c>
      <c r="E8" s="31">
        <f>Tercera!E8</f>
        <v>1</v>
      </c>
      <c r="F8" s="32">
        <f t="shared" ref="F8:F15" si="30">IF($B8,E8/$B8,-1)</f>
        <v>0.5</v>
      </c>
      <c r="G8" s="31">
        <f>Tercera!G8</f>
        <v>1.2000000476837158</v>
      </c>
      <c r="H8" s="32">
        <f t="shared" ref="H8:H15" si="31">IF($B8,G8/$B8,-1)</f>
        <v>0.60000002384185791</v>
      </c>
      <c r="I8" s="31">
        <f>Tercera!I8</f>
        <v>0.60000002384185791</v>
      </c>
      <c r="J8" s="32">
        <f t="shared" ref="J8:J15" si="32">IF($B8,I8/$B8,-1)</f>
        <v>0.30000001192092896</v>
      </c>
      <c r="K8" s="31">
        <f>Tercera!K8</f>
        <v>0.60000002384185791</v>
      </c>
      <c r="L8" s="32">
        <f t="shared" ref="L8:L15" si="33">IF($B8,K8/$B8,-1)</f>
        <v>0.30000001192092896</v>
      </c>
      <c r="M8" s="31">
        <f>Tercera!M8</f>
        <v>1.6000000238418579</v>
      </c>
      <c r="N8" s="32">
        <f t="shared" ref="N8:N15" si="34">IF($B8,M8/$B8,-1)</f>
        <v>0.80000001192092896</v>
      </c>
      <c r="O8" s="31">
        <f>Tercera!O8</f>
        <v>0</v>
      </c>
      <c r="P8" s="32">
        <f t="shared" ref="P8:P15" si="35">IF($B8,O8/$B8,-1)</f>
        <v>0</v>
      </c>
      <c r="Q8" s="31">
        <f>Tercera!Q8</f>
        <v>1.6000000238418579</v>
      </c>
      <c r="R8" s="32">
        <f t="shared" ref="R8:R15" si="36">IF($B8,Q8/$B8,-1)</f>
        <v>0.80000001192092896</v>
      </c>
      <c r="S8" s="31">
        <f>Tercera!S8</f>
        <v>1.6000000238418579</v>
      </c>
      <c r="T8" s="32">
        <f t="shared" ref="T8:T15" si="37">IF($B8,S8/$B8,-1)</f>
        <v>0.80000001192092896</v>
      </c>
      <c r="U8" s="31">
        <f>Tercera!U8</f>
        <v>1.3999999761581421</v>
      </c>
      <c r="V8" s="32">
        <f t="shared" ref="V8:V15" si="38">IF($B8,U8/$B8,-1)</f>
        <v>0.69999998807907104</v>
      </c>
      <c r="W8" s="31">
        <f>Tercera!W8</f>
        <v>0</v>
      </c>
      <c r="X8" s="32">
        <f t="shared" ref="X8:X15" si="39">IF($B8,W8/$B8,-1)</f>
        <v>0</v>
      </c>
      <c r="Y8" s="31">
        <f>Tercera!Y8</f>
        <v>0.80000001192092896</v>
      </c>
      <c r="Z8" s="32">
        <f t="shared" ref="Z8:Z15" si="40">IF($B8,Y8/$B8,-1)</f>
        <v>0.40000000596046448</v>
      </c>
      <c r="AA8" s="31">
        <f>Tercera!AA8</f>
        <v>1.7999999523162842</v>
      </c>
      <c r="AB8" s="32">
        <f t="shared" ref="AB8:AB15" si="41">IF($B8,AA8/$B8,-1)</f>
        <v>0.89999997615814209</v>
      </c>
      <c r="AC8" s="31">
        <f>Tercera!AC8</f>
        <v>1.6000000238418579</v>
      </c>
      <c r="AD8" s="32">
        <f t="shared" ref="AD8:AD15" si="42">IF($B8,AC8/$B8,-1)</f>
        <v>0.80000001192092896</v>
      </c>
      <c r="AE8" s="31">
        <f>Tercera!AE8</f>
        <v>0.80000001192092896</v>
      </c>
      <c r="AF8" s="32">
        <f t="shared" ref="AF8:AF15" si="43">IF($B8,AE8/$B8,-1)</f>
        <v>0.40000000596046448</v>
      </c>
      <c r="AG8" s="31">
        <f>Tercera!AG8</f>
        <v>2</v>
      </c>
      <c r="AH8" s="32">
        <f t="shared" ref="AH8:AH15" si="44">IF($B8,AG8/$B8,-1)</f>
        <v>1</v>
      </c>
      <c r="AI8" s="31">
        <f>Tercera!AI8</f>
        <v>1.7999999523162842</v>
      </c>
      <c r="AJ8" s="32">
        <f t="shared" ref="AJ8:AJ15" si="45">IF($B8,AI8/$B8,-1)</f>
        <v>0.89999997615814209</v>
      </c>
      <c r="AK8" s="31">
        <f>Tercera!AK8</f>
        <v>0</v>
      </c>
      <c r="AL8" s="32">
        <f t="shared" ref="AL8:AL15" si="46">IF($B8,AK8/$B8,-1)</f>
        <v>0</v>
      </c>
      <c r="AM8" s="31">
        <f>Tercera!AM8</f>
        <v>2</v>
      </c>
      <c r="AN8" s="32">
        <f t="shared" ref="AN8:AN15" si="47">IF($B8,AM8/$B8,-1)</f>
        <v>1</v>
      </c>
      <c r="AO8" s="31">
        <f>Tercera!AO8</f>
        <v>0.80000001192092896</v>
      </c>
      <c r="AP8" s="32">
        <f t="shared" ref="AP8:AP15" si="48">IF($B8,AO8/$B8,-1)</f>
        <v>0.40000000596046448</v>
      </c>
      <c r="AQ8" s="31">
        <f>Tercera!AQ8</f>
        <v>1</v>
      </c>
      <c r="AR8" s="32">
        <f t="shared" ref="AR8:AR15" si="49">IF($B8,AQ8/$B8,-1)</f>
        <v>0.5</v>
      </c>
      <c r="AS8" s="31">
        <f>Tercera!AS8</f>
        <v>1.6000000238418579</v>
      </c>
      <c r="AT8" s="32">
        <f t="shared" ref="AT8:AT15" si="50">IF($B8,AS8/$B8,-1)</f>
        <v>0.80000001192092896</v>
      </c>
      <c r="AU8" s="31">
        <f>Tercera!AU8</f>
        <v>0</v>
      </c>
      <c r="AV8" s="32">
        <f t="shared" ref="AV8:AV15" si="51">IF($B8,AU8/$B8,-1)</f>
        <v>0</v>
      </c>
      <c r="AW8" s="31">
        <f>Tercera!AW8</f>
        <v>1.2000000476837158</v>
      </c>
      <c r="AX8" s="32">
        <f t="shared" ref="AX8:AX15" si="52">IF($B8,AW8/$B8,-1)</f>
        <v>0.60000002384185791</v>
      </c>
      <c r="AY8" s="31">
        <f>Tercera!AY8</f>
        <v>1</v>
      </c>
      <c r="AZ8" s="32">
        <f t="shared" ref="AZ8:AZ15" si="53">IF($B8,AY8/$B8,-1)</f>
        <v>0.5</v>
      </c>
      <c r="BA8" s="31">
        <f>Tercera!BA8</f>
        <v>0.60000002384185791</v>
      </c>
      <c r="BB8" s="32">
        <f t="shared" ref="BB8:BB15" si="54">IF($B8,BA8/$B8,-1)</f>
        <v>0.30000001192092896</v>
      </c>
      <c r="BC8" s="31">
        <f>Tercera!BC8</f>
        <v>1.2000000476837158</v>
      </c>
      <c r="BD8" s="32">
        <f t="shared" ref="BD8:BD15" si="55">IF($B8,BC8/$B8,-1)</f>
        <v>0.60000002384185791</v>
      </c>
      <c r="BE8" s="31">
        <f>Tercera!BE8</f>
        <v>1.3999999761581421</v>
      </c>
      <c r="BF8" s="32">
        <f t="shared" ref="BF8:BF15" si="56">IF($B8,BE8/$B8,-1)</f>
        <v>0.69999998807907104</v>
      </c>
      <c r="BG8" s="31">
        <f>Tercera!BG8</f>
        <v>0.40000000596046448</v>
      </c>
      <c r="BH8" s="32">
        <f t="shared" ref="BH8:BH15" si="57">IF($B8,BG8/$B8,-1)</f>
        <v>0.20000000298023224</v>
      </c>
      <c r="BI8" s="31">
        <f>Tercera!BI8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Tercera!B9</f>
        <v>2</v>
      </c>
      <c r="C9" s="31">
        <f>Tercera!C9</f>
        <v>1.7999999523162842</v>
      </c>
      <c r="D9" s="32">
        <f t="shared" si="29"/>
        <v>0.89999997615814209</v>
      </c>
      <c r="E9" s="31">
        <f>Tercera!E9</f>
        <v>1.7999999523162842</v>
      </c>
      <c r="F9" s="32">
        <f t="shared" si="30"/>
        <v>0.89999997615814209</v>
      </c>
      <c r="G9" s="31">
        <f>Tercera!G9</f>
        <v>1.2000000476837158</v>
      </c>
      <c r="H9" s="32">
        <f t="shared" si="31"/>
        <v>0.60000002384185791</v>
      </c>
      <c r="I9" s="31">
        <f>Tercera!I9</f>
        <v>2</v>
      </c>
      <c r="J9" s="32">
        <f t="shared" si="32"/>
        <v>1</v>
      </c>
      <c r="K9" s="31">
        <f>Tercera!K9</f>
        <v>2</v>
      </c>
      <c r="L9" s="32">
        <f t="shared" si="33"/>
        <v>1</v>
      </c>
      <c r="M9" s="31">
        <f>Tercera!M9</f>
        <v>0.40000000596046448</v>
      </c>
      <c r="N9" s="32">
        <f t="shared" si="34"/>
        <v>0.20000000298023224</v>
      </c>
      <c r="O9" s="31">
        <f>Tercera!O9</f>
        <v>1.3999999761581421</v>
      </c>
      <c r="P9" s="32">
        <f t="shared" si="35"/>
        <v>0.69999998807907104</v>
      </c>
      <c r="Q9" s="31">
        <f>Tercera!Q9</f>
        <v>2</v>
      </c>
      <c r="R9" s="32">
        <f t="shared" si="36"/>
        <v>1</v>
      </c>
      <c r="S9" s="31">
        <f>Tercera!S9</f>
        <v>0.40000000596046448</v>
      </c>
      <c r="T9" s="32">
        <f t="shared" si="37"/>
        <v>0.20000000298023224</v>
      </c>
      <c r="U9" s="31">
        <f>Tercera!U9</f>
        <v>1</v>
      </c>
      <c r="V9" s="32">
        <f t="shared" si="38"/>
        <v>0.5</v>
      </c>
      <c r="W9" s="31">
        <f>Tercera!W9</f>
        <v>0.20000000298023224</v>
      </c>
      <c r="X9" s="32">
        <f t="shared" si="39"/>
        <v>0.10000000149011612</v>
      </c>
      <c r="Y9" s="31">
        <f>Tercera!Y9</f>
        <v>2</v>
      </c>
      <c r="Z9" s="32">
        <f t="shared" si="40"/>
        <v>1</v>
      </c>
      <c r="AA9" s="31">
        <f>Tercera!AA9</f>
        <v>1.3999999761581421</v>
      </c>
      <c r="AB9" s="32">
        <f t="shared" si="41"/>
        <v>0.69999998807907104</v>
      </c>
      <c r="AC9" s="31">
        <f>Tercera!AC9</f>
        <v>0</v>
      </c>
      <c r="AD9" s="32">
        <f t="shared" si="42"/>
        <v>0</v>
      </c>
      <c r="AE9" s="31">
        <f>Tercera!AE9</f>
        <v>1.2000000476837158</v>
      </c>
      <c r="AF9" s="32">
        <f t="shared" si="43"/>
        <v>0.60000002384185791</v>
      </c>
      <c r="AG9" s="31">
        <f>Tercera!AG9</f>
        <v>0.20000000298023224</v>
      </c>
      <c r="AH9" s="32">
        <f t="shared" si="44"/>
        <v>0.10000000149011612</v>
      </c>
      <c r="AI9" s="31">
        <f>Tercera!AI9</f>
        <v>0.20000000298023224</v>
      </c>
      <c r="AJ9" s="32">
        <f t="shared" si="45"/>
        <v>0.10000000149011612</v>
      </c>
      <c r="AK9" s="31">
        <f>Tercera!AK9</f>
        <v>1.6000000238418579</v>
      </c>
      <c r="AL9" s="32">
        <f t="shared" si="46"/>
        <v>0.80000001192092896</v>
      </c>
      <c r="AM9" s="31">
        <f>Tercera!AM9</f>
        <v>0.60000002384185791</v>
      </c>
      <c r="AN9" s="32">
        <f t="shared" si="47"/>
        <v>0.30000001192092896</v>
      </c>
      <c r="AO9" s="31">
        <f>Tercera!AO9</f>
        <v>0</v>
      </c>
      <c r="AP9" s="32">
        <f t="shared" si="48"/>
        <v>0</v>
      </c>
      <c r="AQ9" s="31">
        <f>Tercera!AQ9</f>
        <v>0.60000002384185791</v>
      </c>
      <c r="AR9" s="32">
        <f t="shared" si="49"/>
        <v>0.30000001192092896</v>
      </c>
      <c r="AS9" s="31">
        <f>Tercera!AS9</f>
        <v>0.80000001192092896</v>
      </c>
      <c r="AT9" s="32">
        <f t="shared" si="50"/>
        <v>0.40000000596046448</v>
      </c>
      <c r="AU9" s="31">
        <f>Tercera!AU9</f>
        <v>0.60000002384185791</v>
      </c>
      <c r="AV9" s="32">
        <f t="shared" si="51"/>
        <v>0.30000001192092896</v>
      </c>
      <c r="AW9" s="31">
        <f>Tercera!AW9</f>
        <v>2</v>
      </c>
      <c r="AX9" s="32">
        <f t="shared" si="52"/>
        <v>1</v>
      </c>
      <c r="AY9" s="31">
        <f>Tercera!AY9</f>
        <v>2</v>
      </c>
      <c r="AZ9" s="32">
        <f t="shared" si="53"/>
        <v>1</v>
      </c>
      <c r="BA9" s="31">
        <f>Tercera!BA9</f>
        <v>0.80000001192092896</v>
      </c>
      <c r="BB9" s="32">
        <f t="shared" si="54"/>
        <v>0.40000000596046448</v>
      </c>
      <c r="BC9" s="31">
        <f>Tercera!BC9</f>
        <v>0.60000002384185791</v>
      </c>
      <c r="BD9" s="32">
        <f t="shared" si="55"/>
        <v>0.30000001192092896</v>
      </c>
      <c r="BE9" s="31">
        <f>Tercera!BE9</f>
        <v>0.20000000298023224</v>
      </c>
      <c r="BF9" s="32">
        <f t="shared" si="56"/>
        <v>0.10000000149011612</v>
      </c>
      <c r="BG9" s="31">
        <f>Tercera!BG9</f>
        <v>0.20000000298023224</v>
      </c>
      <c r="BH9" s="32">
        <f t="shared" si="57"/>
        <v>0.10000000149011612</v>
      </c>
      <c r="BI9" s="31">
        <f>Tercera!BI9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Tercera!B10</f>
        <v>2</v>
      </c>
      <c r="C10" s="31">
        <f>Tercera!C10</f>
        <v>0.80000001192092896</v>
      </c>
      <c r="D10" s="32">
        <f t="shared" si="29"/>
        <v>0.40000000596046448</v>
      </c>
      <c r="E10" s="31">
        <f>Tercera!E10</f>
        <v>0.80000001192092896</v>
      </c>
      <c r="F10" s="32">
        <f t="shared" si="30"/>
        <v>0.40000000596046448</v>
      </c>
      <c r="G10" s="31">
        <f>Tercera!G10</f>
        <v>1.3999999761581421</v>
      </c>
      <c r="H10" s="32">
        <f t="shared" si="31"/>
        <v>0.69999998807907104</v>
      </c>
      <c r="I10" s="31">
        <f>Tercera!I10</f>
        <v>0.60000002384185791</v>
      </c>
      <c r="J10" s="32">
        <f t="shared" si="32"/>
        <v>0.30000001192092896</v>
      </c>
      <c r="K10" s="31">
        <f>Tercera!K10</f>
        <v>1.2000000476837158</v>
      </c>
      <c r="L10" s="32">
        <f t="shared" si="33"/>
        <v>0.60000002384185791</v>
      </c>
      <c r="M10" s="31">
        <f>Tercera!M10</f>
        <v>0.40000000596046448</v>
      </c>
      <c r="N10" s="32">
        <f t="shared" si="34"/>
        <v>0.20000000298023224</v>
      </c>
      <c r="O10" s="31">
        <f>Tercera!O10</f>
        <v>0.40000000596046448</v>
      </c>
      <c r="P10" s="32">
        <f t="shared" si="35"/>
        <v>0.20000000298023224</v>
      </c>
      <c r="Q10" s="31">
        <f>Tercera!Q10</f>
        <v>1.2000000476837158</v>
      </c>
      <c r="R10" s="32">
        <f t="shared" si="36"/>
        <v>0.60000002384185791</v>
      </c>
      <c r="S10" s="31">
        <f>Tercera!S10</f>
        <v>0</v>
      </c>
      <c r="T10" s="32">
        <f t="shared" si="37"/>
        <v>0</v>
      </c>
      <c r="U10" s="31">
        <f>Tercera!U10</f>
        <v>1</v>
      </c>
      <c r="V10" s="32">
        <f t="shared" si="38"/>
        <v>0.5</v>
      </c>
      <c r="W10" s="31">
        <f>Tercera!W10</f>
        <v>1.7999999523162842</v>
      </c>
      <c r="X10" s="32">
        <f t="shared" si="39"/>
        <v>0.89999997615814209</v>
      </c>
      <c r="Y10" s="31">
        <f>Tercera!Y10</f>
        <v>0.40000000596046448</v>
      </c>
      <c r="Z10" s="32">
        <f t="shared" si="40"/>
        <v>0.20000000298023224</v>
      </c>
      <c r="AA10" s="31">
        <f>Tercera!AA10</f>
        <v>1.6000000238418579</v>
      </c>
      <c r="AB10" s="32">
        <f t="shared" si="41"/>
        <v>0.80000001192092896</v>
      </c>
      <c r="AC10" s="31">
        <f>Tercera!AC10</f>
        <v>0.80000001192092896</v>
      </c>
      <c r="AD10" s="32">
        <f t="shared" si="42"/>
        <v>0.40000000596046448</v>
      </c>
      <c r="AE10" s="31">
        <f>Tercera!AE10</f>
        <v>0.60000002384185791</v>
      </c>
      <c r="AF10" s="32">
        <f t="shared" si="43"/>
        <v>0.30000001192092896</v>
      </c>
      <c r="AG10" s="31">
        <f>Tercera!AG10</f>
        <v>2</v>
      </c>
      <c r="AH10" s="32">
        <f t="shared" si="44"/>
        <v>1</v>
      </c>
      <c r="AI10" s="31">
        <f>Tercera!AI10</f>
        <v>1.2000000476837158</v>
      </c>
      <c r="AJ10" s="32">
        <f t="shared" si="45"/>
        <v>0.60000002384185791</v>
      </c>
      <c r="AK10" s="31">
        <f>Tercera!AK10</f>
        <v>1.2000000476837158</v>
      </c>
      <c r="AL10" s="32">
        <f t="shared" si="46"/>
        <v>0.60000002384185791</v>
      </c>
      <c r="AM10" s="31">
        <f>Tercera!AM10</f>
        <v>0.80000001192092896</v>
      </c>
      <c r="AN10" s="32">
        <f t="shared" si="47"/>
        <v>0.40000000596046448</v>
      </c>
      <c r="AO10" s="31">
        <f>Tercera!AO10</f>
        <v>0.20000000298023224</v>
      </c>
      <c r="AP10" s="32">
        <f t="shared" si="48"/>
        <v>0.10000000149011612</v>
      </c>
      <c r="AQ10" s="31">
        <f>Tercera!AQ10</f>
        <v>1.2000000476837158</v>
      </c>
      <c r="AR10" s="32">
        <f t="shared" si="49"/>
        <v>0.60000002384185791</v>
      </c>
      <c r="AS10" s="31">
        <f>Tercera!AS10</f>
        <v>1.3999999761581421</v>
      </c>
      <c r="AT10" s="32">
        <f t="shared" si="50"/>
        <v>0.69999998807907104</v>
      </c>
      <c r="AU10" s="31">
        <f>Tercera!AU10</f>
        <v>2</v>
      </c>
      <c r="AV10" s="32">
        <f t="shared" si="51"/>
        <v>1</v>
      </c>
      <c r="AW10" s="31">
        <f>Tercera!AW10</f>
        <v>1.7999999523162842</v>
      </c>
      <c r="AX10" s="32">
        <f t="shared" si="52"/>
        <v>0.89999997615814209</v>
      </c>
      <c r="AY10" s="31">
        <f>Tercera!AY10</f>
        <v>0</v>
      </c>
      <c r="AZ10" s="32">
        <f t="shared" si="53"/>
        <v>0</v>
      </c>
      <c r="BA10" s="31">
        <f>Tercera!BA10</f>
        <v>1</v>
      </c>
      <c r="BB10" s="32">
        <f t="shared" si="54"/>
        <v>0.5</v>
      </c>
      <c r="BC10" s="31">
        <f>Tercera!BC10</f>
        <v>2</v>
      </c>
      <c r="BD10" s="32">
        <f t="shared" si="55"/>
        <v>1</v>
      </c>
      <c r="BE10" s="31">
        <f>Tercera!BE10</f>
        <v>0.80000001192092896</v>
      </c>
      <c r="BF10" s="32">
        <f t="shared" si="56"/>
        <v>0.40000000596046448</v>
      </c>
      <c r="BG10" s="31">
        <f>Tercera!BG10</f>
        <v>1.3999999761581421</v>
      </c>
      <c r="BH10" s="32">
        <f t="shared" si="57"/>
        <v>0.69999998807907104</v>
      </c>
      <c r="BI10" s="31">
        <f>Tercera!BI10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Tercera!B11</f>
        <v>0</v>
      </c>
      <c r="C11" s="31">
        <f>Tercera!C11</f>
        <v>0</v>
      </c>
      <c r="D11" s="32">
        <f t="shared" si="29"/>
        <v>-1</v>
      </c>
      <c r="E11" s="31">
        <f>Tercera!E11</f>
        <v>0</v>
      </c>
      <c r="F11" s="32">
        <f t="shared" si="30"/>
        <v>-1</v>
      </c>
      <c r="G11" s="31">
        <f>Tercera!G11</f>
        <v>0</v>
      </c>
      <c r="H11" s="32">
        <f t="shared" si="31"/>
        <v>-1</v>
      </c>
      <c r="I11" s="31">
        <f>Tercera!I11</f>
        <v>0</v>
      </c>
      <c r="J11" s="32">
        <f t="shared" si="32"/>
        <v>-1</v>
      </c>
      <c r="K11" s="31">
        <f>Tercera!K11</f>
        <v>0</v>
      </c>
      <c r="L11" s="32">
        <f t="shared" si="33"/>
        <v>-1</v>
      </c>
      <c r="M11" s="31">
        <f>Tercera!M11</f>
        <v>0</v>
      </c>
      <c r="N11" s="32">
        <f t="shared" si="34"/>
        <v>-1</v>
      </c>
      <c r="O11" s="31">
        <f>Tercera!O11</f>
        <v>0</v>
      </c>
      <c r="P11" s="32">
        <f t="shared" si="35"/>
        <v>-1</v>
      </c>
      <c r="Q11" s="31">
        <f>Tercera!Q11</f>
        <v>0</v>
      </c>
      <c r="R11" s="32">
        <f t="shared" si="36"/>
        <v>-1</v>
      </c>
      <c r="S11" s="31">
        <f>Tercera!S11</f>
        <v>0</v>
      </c>
      <c r="T11" s="32">
        <f t="shared" si="37"/>
        <v>-1</v>
      </c>
      <c r="U11" s="31">
        <f>Tercera!U11</f>
        <v>0</v>
      </c>
      <c r="V11" s="32">
        <f t="shared" si="38"/>
        <v>-1</v>
      </c>
      <c r="W11" s="31">
        <f>Tercera!W11</f>
        <v>0</v>
      </c>
      <c r="X11" s="32">
        <f t="shared" si="39"/>
        <v>-1</v>
      </c>
      <c r="Y11" s="31">
        <f>Tercera!Y11</f>
        <v>0</v>
      </c>
      <c r="Z11" s="32">
        <f t="shared" si="40"/>
        <v>-1</v>
      </c>
      <c r="AA11" s="31">
        <f>Tercera!AA11</f>
        <v>0</v>
      </c>
      <c r="AB11" s="32">
        <f t="shared" si="41"/>
        <v>-1</v>
      </c>
      <c r="AC11" s="31">
        <f>Tercera!AC11</f>
        <v>0</v>
      </c>
      <c r="AD11" s="32">
        <f t="shared" si="42"/>
        <v>-1</v>
      </c>
      <c r="AE11" s="31">
        <f>Tercera!AE11</f>
        <v>0</v>
      </c>
      <c r="AF11" s="32">
        <f t="shared" si="43"/>
        <v>-1</v>
      </c>
      <c r="AG11" s="31">
        <f>Tercera!AG11</f>
        <v>0</v>
      </c>
      <c r="AH11" s="32">
        <f t="shared" si="44"/>
        <v>-1</v>
      </c>
      <c r="AI11" s="31">
        <f>Tercera!AI11</f>
        <v>0</v>
      </c>
      <c r="AJ11" s="32">
        <f t="shared" si="45"/>
        <v>-1</v>
      </c>
      <c r="AK11" s="31">
        <f>Tercera!AK11</f>
        <v>0</v>
      </c>
      <c r="AL11" s="32">
        <f t="shared" si="46"/>
        <v>-1</v>
      </c>
      <c r="AM11" s="31">
        <f>Tercera!AM11</f>
        <v>0</v>
      </c>
      <c r="AN11" s="32">
        <f t="shared" si="47"/>
        <v>-1</v>
      </c>
      <c r="AO11" s="31">
        <f>Tercera!AO11</f>
        <v>0</v>
      </c>
      <c r="AP11" s="32">
        <f t="shared" si="48"/>
        <v>-1</v>
      </c>
      <c r="AQ11" s="31">
        <f>Tercera!AQ11</f>
        <v>0</v>
      </c>
      <c r="AR11" s="32">
        <f t="shared" si="49"/>
        <v>-1</v>
      </c>
      <c r="AS11" s="31">
        <f>Tercera!AS11</f>
        <v>0</v>
      </c>
      <c r="AT11" s="32">
        <f t="shared" si="50"/>
        <v>-1</v>
      </c>
      <c r="AU11" s="31">
        <f>Tercera!AU11</f>
        <v>0</v>
      </c>
      <c r="AV11" s="32">
        <f t="shared" si="51"/>
        <v>-1</v>
      </c>
      <c r="AW11" s="31">
        <f>Tercera!AW11</f>
        <v>0</v>
      </c>
      <c r="AX11" s="32">
        <f t="shared" si="52"/>
        <v>-1</v>
      </c>
      <c r="AY11" s="31">
        <f>Tercera!AY11</f>
        <v>0</v>
      </c>
      <c r="AZ11" s="32">
        <f t="shared" si="53"/>
        <v>-1</v>
      </c>
      <c r="BA11" s="31">
        <f>Tercera!BA11</f>
        <v>0</v>
      </c>
      <c r="BB11" s="32">
        <f t="shared" si="54"/>
        <v>-1</v>
      </c>
      <c r="BC11" s="31">
        <f>Tercera!BC11</f>
        <v>0</v>
      </c>
      <c r="BD11" s="32">
        <f t="shared" si="55"/>
        <v>-1</v>
      </c>
      <c r="BE11" s="31">
        <f>Tercera!BE11</f>
        <v>0</v>
      </c>
      <c r="BF11" s="32">
        <f t="shared" si="56"/>
        <v>-1</v>
      </c>
      <c r="BG11" s="31">
        <f>Tercera!BG11</f>
        <v>0</v>
      </c>
      <c r="BH11" s="32">
        <f t="shared" si="57"/>
        <v>-1</v>
      </c>
      <c r="BI11" s="31">
        <f>Tercera!BI11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Tercera!B12</f>
        <v>2</v>
      </c>
      <c r="C12" s="31">
        <f>Tercera!C12</f>
        <v>1</v>
      </c>
      <c r="D12" s="32">
        <f t="shared" si="29"/>
        <v>0.5</v>
      </c>
      <c r="E12" s="31">
        <f>Tercera!E12</f>
        <v>1</v>
      </c>
      <c r="F12" s="32">
        <f t="shared" si="30"/>
        <v>0.5</v>
      </c>
      <c r="G12" s="31">
        <f>Tercera!G12</f>
        <v>0.60000002384185791</v>
      </c>
      <c r="H12" s="32">
        <f t="shared" si="31"/>
        <v>0.30000001192092896</v>
      </c>
      <c r="I12" s="31">
        <f>Tercera!I12</f>
        <v>0.80000001192092896</v>
      </c>
      <c r="J12" s="32">
        <f t="shared" si="32"/>
        <v>0.40000000596046448</v>
      </c>
      <c r="K12" s="31">
        <f>Tercera!K12</f>
        <v>0.40000000596046448</v>
      </c>
      <c r="L12" s="32">
        <f t="shared" si="33"/>
        <v>0.20000000298023224</v>
      </c>
      <c r="M12" s="31">
        <f>Tercera!M12</f>
        <v>0</v>
      </c>
      <c r="N12" s="32">
        <f t="shared" si="34"/>
        <v>0</v>
      </c>
      <c r="O12" s="31">
        <f>Tercera!O12</f>
        <v>0.40000000596046448</v>
      </c>
      <c r="P12" s="32">
        <f t="shared" si="35"/>
        <v>0.20000000298023224</v>
      </c>
      <c r="Q12" s="31">
        <f>Tercera!Q12</f>
        <v>2</v>
      </c>
      <c r="R12" s="32">
        <f t="shared" si="36"/>
        <v>1</v>
      </c>
      <c r="S12" s="31">
        <f>Tercera!S12</f>
        <v>0</v>
      </c>
      <c r="T12" s="32">
        <f t="shared" si="37"/>
        <v>0</v>
      </c>
      <c r="U12" s="31">
        <f>Tercera!U12</f>
        <v>0.80000001192092896</v>
      </c>
      <c r="V12" s="32">
        <f t="shared" si="38"/>
        <v>0.40000000596046448</v>
      </c>
      <c r="W12" s="31">
        <f>Tercera!W12</f>
        <v>0.80000001192092896</v>
      </c>
      <c r="X12" s="32">
        <f t="shared" si="39"/>
        <v>0.40000000596046448</v>
      </c>
      <c r="Y12" s="31">
        <f>Tercera!Y12</f>
        <v>1</v>
      </c>
      <c r="Z12" s="32">
        <f t="shared" si="40"/>
        <v>0.5</v>
      </c>
      <c r="AA12" s="31">
        <f>Tercera!AA12</f>
        <v>0.20000000298023224</v>
      </c>
      <c r="AB12" s="32">
        <f t="shared" si="41"/>
        <v>0.10000000149011612</v>
      </c>
      <c r="AC12" s="31">
        <f>Tercera!AC12</f>
        <v>1</v>
      </c>
      <c r="AD12" s="32">
        <f t="shared" si="42"/>
        <v>0.5</v>
      </c>
      <c r="AE12" s="31">
        <f>Tercera!AE12</f>
        <v>0.40000000596046448</v>
      </c>
      <c r="AF12" s="32">
        <f t="shared" si="43"/>
        <v>0.20000000298023224</v>
      </c>
      <c r="AG12" s="31">
        <f>Tercera!AG12</f>
        <v>1.2000000476837158</v>
      </c>
      <c r="AH12" s="32">
        <f t="shared" si="44"/>
        <v>0.60000002384185791</v>
      </c>
      <c r="AI12" s="31">
        <f>Tercera!AI12</f>
        <v>1</v>
      </c>
      <c r="AJ12" s="32">
        <f t="shared" si="45"/>
        <v>0.5</v>
      </c>
      <c r="AK12" s="31">
        <f>Tercera!AK12</f>
        <v>0.20000000298023224</v>
      </c>
      <c r="AL12" s="32">
        <f t="shared" si="46"/>
        <v>0.10000000149011612</v>
      </c>
      <c r="AM12" s="31">
        <f>Tercera!AM12</f>
        <v>2</v>
      </c>
      <c r="AN12" s="32">
        <f t="shared" si="47"/>
        <v>1</v>
      </c>
      <c r="AO12" s="31">
        <f>Tercera!AO12</f>
        <v>1.3999999761581421</v>
      </c>
      <c r="AP12" s="32">
        <f t="shared" si="48"/>
        <v>0.69999998807907104</v>
      </c>
      <c r="AQ12" s="31">
        <f>Tercera!AQ12</f>
        <v>1</v>
      </c>
      <c r="AR12" s="32">
        <f t="shared" si="49"/>
        <v>0.5</v>
      </c>
      <c r="AS12" s="31">
        <f>Tercera!AS12</f>
        <v>0.80000001192092896</v>
      </c>
      <c r="AT12" s="32">
        <f t="shared" si="50"/>
        <v>0.40000000596046448</v>
      </c>
      <c r="AU12" s="31">
        <f>Tercera!AU12</f>
        <v>0.20000000298023224</v>
      </c>
      <c r="AV12" s="32">
        <f t="shared" si="51"/>
        <v>0.10000000149011612</v>
      </c>
      <c r="AW12" s="31">
        <f>Tercera!AW12</f>
        <v>1.6000000238418579</v>
      </c>
      <c r="AX12" s="32">
        <f t="shared" si="52"/>
        <v>0.80000001192092896</v>
      </c>
      <c r="AY12" s="31">
        <f>Tercera!AY12</f>
        <v>1</v>
      </c>
      <c r="AZ12" s="32">
        <f t="shared" si="53"/>
        <v>0.5</v>
      </c>
      <c r="BA12" s="31">
        <f>Tercera!BA12</f>
        <v>1.6000000238418579</v>
      </c>
      <c r="BB12" s="32">
        <f t="shared" si="54"/>
        <v>0.80000001192092896</v>
      </c>
      <c r="BC12" s="31">
        <f>Tercera!BC12</f>
        <v>1.2000000476837158</v>
      </c>
      <c r="BD12" s="32">
        <f t="shared" si="55"/>
        <v>0.60000002384185791</v>
      </c>
      <c r="BE12" s="31">
        <f>Tercera!BE12</f>
        <v>1.7999999523162842</v>
      </c>
      <c r="BF12" s="32">
        <f t="shared" si="56"/>
        <v>0.89999997615814209</v>
      </c>
      <c r="BG12" s="31">
        <f>Tercera!BG12</f>
        <v>0</v>
      </c>
      <c r="BH12" s="32">
        <f t="shared" si="57"/>
        <v>0</v>
      </c>
      <c r="BI12" s="31">
        <f>Tercera!BI12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Tercera!B13</f>
        <v>2</v>
      </c>
      <c r="C13" s="31">
        <f>Tercera!C13</f>
        <v>0</v>
      </c>
      <c r="D13" s="32">
        <f t="shared" si="29"/>
        <v>0</v>
      </c>
      <c r="E13" s="31">
        <f>Tercera!E13</f>
        <v>0.20000000298023224</v>
      </c>
      <c r="F13" s="32">
        <f t="shared" si="30"/>
        <v>0.10000000149011612</v>
      </c>
      <c r="G13" s="31">
        <f>Tercera!G13</f>
        <v>0.60000002384185791</v>
      </c>
      <c r="H13" s="32">
        <f t="shared" si="31"/>
        <v>0.30000001192092896</v>
      </c>
      <c r="I13" s="31">
        <f>Tercera!I13</f>
        <v>0.20000000298023224</v>
      </c>
      <c r="J13" s="32">
        <f t="shared" si="32"/>
        <v>0.10000000149011612</v>
      </c>
      <c r="K13" s="31">
        <f>Tercera!K13</f>
        <v>0</v>
      </c>
      <c r="L13" s="32">
        <f t="shared" si="33"/>
        <v>0</v>
      </c>
      <c r="M13" s="31">
        <f>Tercera!M13</f>
        <v>1</v>
      </c>
      <c r="N13" s="32">
        <f t="shared" si="34"/>
        <v>0.5</v>
      </c>
      <c r="O13" s="31">
        <f>Tercera!O13</f>
        <v>1.3999999761581421</v>
      </c>
      <c r="P13" s="32">
        <f t="shared" si="35"/>
        <v>0.69999998807907104</v>
      </c>
      <c r="Q13" s="31">
        <f>Tercera!Q13</f>
        <v>1</v>
      </c>
      <c r="R13" s="32">
        <f t="shared" si="36"/>
        <v>0.5</v>
      </c>
      <c r="S13" s="31">
        <f>Tercera!S13</f>
        <v>1.7999999523162842</v>
      </c>
      <c r="T13" s="32">
        <f t="shared" si="37"/>
        <v>0.89999997615814209</v>
      </c>
      <c r="U13" s="31">
        <f>Tercera!U13</f>
        <v>0</v>
      </c>
      <c r="V13" s="32">
        <f t="shared" si="38"/>
        <v>0</v>
      </c>
      <c r="W13" s="31">
        <f>Tercera!W13</f>
        <v>0.40000000596046448</v>
      </c>
      <c r="X13" s="32">
        <f t="shared" si="39"/>
        <v>0.20000000298023224</v>
      </c>
      <c r="Y13" s="31">
        <f>Tercera!Y13</f>
        <v>1.3999999761581421</v>
      </c>
      <c r="Z13" s="32">
        <f t="shared" si="40"/>
        <v>0.69999998807907104</v>
      </c>
      <c r="AA13" s="31">
        <f>Tercera!AA13</f>
        <v>0.80000001192092896</v>
      </c>
      <c r="AB13" s="32">
        <f t="shared" si="41"/>
        <v>0.40000000596046448</v>
      </c>
      <c r="AC13" s="31">
        <f>Tercera!AC13</f>
        <v>0.60000002384185791</v>
      </c>
      <c r="AD13" s="32">
        <f t="shared" si="42"/>
        <v>0.30000001192092896</v>
      </c>
      <c r="AE13" s="31">
        <f>Tercera!AE13</f>
        <v>0.20000000298023224</v>
      </c>
      <c r="AF13" s="32">
        <f t="shared" si="43"/>
        <v>0.10000000149011612</v>
      </c>
      <c r="AG13" s="31">
        <f>Tercera!AG13</f>
        <v>1.3999999761581421</v>
      </c>
      <c r="AH13" s="32">
        <f t="shared" si="44"/>
        <v>0.69999998807907104</v>
      </c>
      <c r="AI13" s="31">
        <f>Tercera!AI13</f>
        <v>2</v>
      </c>
      <c r="AJ13" s="32">
        <f t="shared" si="45"/>
        <v>1</v>
      </c>
      <c r="AK13" s="31">
        <f>Tercera!AK13</f>
        <v>1</v>
      </c>
      <c r="AL13" s="32">
        <f t="shared" si="46"/>
        <v>0.5</v>
      </c>
      <c r="AM13" s="31">
        <f>Tercera!AM13</f>
        <v>0</v>
      </c>
      <c r="AN13" s="32">
        <f t="shared" si="47"/>
        <v>0</v>
      </c>
      <c r="AO13" s="31">
        <f>Tercera!AO13</f>
        <v>1.6000000238418579</v>
      </c>
      <c r="AP13" s="32">
        <f t="shared" si="48"/>
        <v>0.80000001192092896</v>
      </c>
      <c r="AQ13" s="31">
        <f>Tercera!AQ13</f>
        <v>0.80000001192092896</v>
      </c>
      <c r="AR13" s="32">
        <f t="shared" si="49"/>
        <v>0.40000000596046448</v>
      </c>
      <c r="AS13" s="31">
        <f>Tercera!AS13</f>
        <v>1</v>
      </c>
      <c r="AT13" s="32">
        <f t="shared" si="50"/>
        <v>0.5</v>
      </c>
      <c r="AU13" s="31">
        <f>Tercera!AU13</f>
        <v>1</v>
      </c>
      <c r="AV13" s="32">
        <f t="shared" si="51"/>
        <v>0.5</v>
      </c>
      <c r="AW13" s="31">
        <f>Tercera!AW13</f>
        <v>0.40000000596046448</v>
      </c>
      <c r="AX13" s="32">
        <f t="shared" si="52"/>
        <v>0.20000000298023224</v>
      </c>
      <c r="AY13" s="31">
        <f>Tercera!AY13</f>
        <v>0.60000002384185791</v>
      </c>
      <c r="AZ13" s="32">
        <f t="shared" si="53"/>
        <v>0.30000001192092896</v>
      </c>
      <c r="BA13" s="31">
        <f>Tercera!BA13</f>
        <v>0.20000000298023224</v>
      </c>
      <c r="BB13" s="32">
        <f t="shared" si="54"/>
        <v>0.10000000149011612</v>
      </c>
      <c r="BC13" s="31">
        <f>Tercera!BC13</f>
        <v>1.2000000476837158</v>
      </c>
      <c r="BD13" s="32">
        <f t="shared" si="55"/>
        <v>0.60000002384185791</v>
      </c>
      <c r="BE13" s="31">
        <f>Tercera!BE13</f>
        <v>0.20000000298023224</v>
      </c>
      <c r="BF13" s="32">
        <f t="shared" si="56"/>
        <v>0.10000000149011612</v>
      </c>
      <c r="BG13" s="31">
        <f>Tercera!BG13</f>
        <v>2</v>
      </c>
      <c r="BH13" s="32">
        <f t="shared" si="57"/>
        <v>1</v>
      </c>
      <c r="BI13" s="31">
        <f>Tercera!BI13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Tercera!B14</f>
        <v>0</v>
      </c>
      <c r="C14" s="31">
        <f>Tercera!C14</f>
        <v>0</v>
      </c>
      <c r="D14" s="32">
        <f t="shared" si="29"/>
        <v>-1</v>
      </c>
      <c r="E14" s="31">
        <f>Tercera!E14</f>
        <v>0</v>
      </c>
      <c r="F14" s="32">
        <f t="shared" si="30"/>
        <v>-1</v>
      </c>
      <c r="G14" s="31">
        <f>Tercera!G14</f>
        <v>0</v>
      </c>
      <c r="H14" s="32">
        <f t="shared" si="31"/>
        <v>-1</v>
      </c>
      <c r="I14" s="31">
        <f>Tercera!I14</f>
        <v>0</v>
      </c>
      <c r="J14" s="32">
        <f t="shared" si="32"/>
        <v>-1</v>
      </c>
      <c r="K14" s="31">
        <f>Tercera!K14</f>
        <v>0</v>
      </c>
      <c r="L14" s="32">
        <f t="shared" si="33"/>
        <v>-1</v>
      </c>
      <c r="M14" s="31">
        <f>Tercera!M14</f>
        <v>0</v>
      </c>
      <c r="N14" s="32">
        <f t="shared" si="34"/>
        <v>-1</v>
      </c>
      <c r="O14" s="31">
        <f>Tercera!O14</f>
        <v>0</v>
      </c>
      <c r="P14" s="32">
        <f t="shared" si="35"/>
        <v>-1</v>
      </c>
      <c r="Q14" s="31">
        <f>Tercera!Q14</f>
        <v>0</v>
      </c>
      <c r="R14" s="32">
        <f t="shared" si="36"/>
        <v>-1</v>
      </c>
      <c r="S14" s="31">
        <f>Tercera!S14</f>
        <v>0</v>
      </c>
      <c r="T14" s="32">
        <f t="shared" si="37"/>
        <v>-1</v>
      </c>
      <c r="U14" s="31">
        <f>Tercera!U14</f>
        <v>0</v>
      </c>
      <c r="V14" s="32">
        <f t="shared" si="38"/>
        <v>-1</v>
      </c>
      <c r="W14" s="31">
        <f>Tercera!W14</f>
        <v>0</v>
      </c>
      <c r="X14" s="32">
        <f t="shared" si="39"/>
        <v>-1</v>
      </c>
      <c r="Y14" s="31">
        <f>Tercera!Y14</f>
        <v>0</v>
      </c>
      <c r="Z14" s="32">
        <f t="shared" si="40"/>
        <v>-1</v>
      </c>
      <c r="AA14" s="31">
        <f>Tercera!AA14</f>
        <v>0</v>
      </c>
      <c r="AB14" s="32">
        <f t="shared" si="41"/>
        <v>-1</v>
      </c>
      <c r="AC14" s="31">
        <f>Tercera!AC14</f>
        <v>0</v>
      </c>
      <c r="AD14" s="32">
        <f t="shared" si="42"/>
        <v>-1</v>
      </c>
      <c r="AE14" s="31">
        <f>Tercera!AE14</f>
        <v>0</v>
      </c>
      <c r="AF14" s="32">
        <f t="shared" si="43"/>
        <v>-1</v>
      </c>
      <c r="AG14" s="31">
        <f>Tercera!AG14</f>
        <v>0</v>
      </c>
      <c r="AH14" s="32">
        <f t="shared" si="44"/>
        <v>-1</v>
      </c>
      <c r="AI14" s="31">
        <f>Tercera!AI14</f>
        <v>0</v>
      </c>
      <c r="AJ14" s="32">
        <f t="shared" si="45"/>
        <v>-1</v>
      </c>
      <c r="AK14" s="31">
        <f>Tercera!AK14</f>
        <v>0</v>
      </c>
      <c r="AL14" s="32">
        <f t="shared" si="46"/>
        <v>-1</v>
      </c>
      <c r="AM14" s="31">
        <f>Tercera!AM14</f>
        <v>0</v>
      </c>
      <c r="AN14" s="32">
        <f t="shared" si="47"/>
        <v>-1</v>
      </c>
      <c r="AO14" s="31">
        <f>Tercera!AO14</f>
        <v>0</v>
      </c>
      <c r="AP14" s="32">
        <f t="shared" si="48"/>
        <v>-1</v>
      </c>
      <c r="AQ14" s="31">
        <f>Tercera!AQ14</f>
        <v>0</v>
      </c>
      <c r="AR14" s="32">
        <f t="shared" si="49"/>
        <v>-1</v>
      </c>
      <c r="AS14" s="31">
        <f>Tercera!AS14</f>
        <v>0</v>
      </c>
      <c r="AT14" s="32">
        <f t="shared" si="50"/>
        <v>-1</v>
      </c>
      <c r="AU14" s="31">
        <f>Tercera!AU14</f>
        <v>0</v>
      </c>
      <c r="AV14" s="32">
        <f t="shared" si="51"/>
        <v>-1</v>
      </c>
      <c r="AW14" s="31">
        <f>Tercera!AW14</f>
        <v>0</v>
      </c>
      <c r="AX14" s="32">
        <f t="shared" si="52"/>
        <v>-1</v>
      </c>
      <c r="AY14" s="31">
        <f>Tercera!AY14</f>
        <v>0</v>
      </c>
      <c r="AZ14" s="32">
        <f t="shared" si="53"/>
        <v>-1</v>
      </c>
      <c r="BA14" s="31">
        <f>Tercera!BA14</f>
        <v>0</v>
      </c>
      <c r="BB14" s="32">
        <f t="shared" si="54"/>
        <v>-1</v>
      </c>
      <c r="BC14" s="31">
        <f>Tercera!BC14</f>
        <v>0</v>
      </c>
      <c r="BD14" s="32">
        <f t="shared" si="55"/>
        <v>-1</v>
      </c>
      <c r="BE14" s="31">
        <f>Tercera!BE14</f>
        <v>0</v>
      </c>
      <c r="BF14" s="32">
        <f t="shared" si="56"/>
        <v>-1</v>
      </c>
      <c r="BG14" s="31">
        <f>Tercera!BG14</f>
        <v>0</v>
      </c>
      <c r="BH14" s="32">
        <f t="shared" si="57"/>
        <v>-1</v>
      </c>
      <c r="BI14" s="31">
        <f>Tercera!BI14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Tercera!B15</f>
        <v>0</v>
      </c>
      <c r="C15" s="31">
        <f>Tercera!C15</f>
        <v>0</v>
      </c>
      <c r="D15" s="32">
        <f t="shared" si="29"/>
        <v>-1</v>
      </c>
      <c r="E15" s="31">
        <f>Tercera!E15</f>
        <v>0</v>
      </c>
      <c r="F15" s="32">
        <f t="shared" si="30"/>
        <v>-1</v>
      </c>
      <c r="G15" s="31">
        <f>Tercera!G15</f>
        <v>0</v>
      </c>
      <c r="H15" s="32">
        <f t="shared" si="31"/>
        <v>-1</v>
      </c>
      <c r="I15" s="31">
        <f>Tercera!I15</f>
        <v>0</v>
      </c>
      <c r="J15" s="32">
        <f t="shared" si="32"/>
        <v>-1</v>
      </c>
      <c r="K15" s="31">
        <f>Tercera!K15</f>
        <v>0</v>
      </c>
      <c r="L15" s="32">
        <f t="shared" si="33"/>
        <v>-1</v>
      </c>
      <c r="M15" s="31">
        <f>Tercera!M15</f>
        <v>0</v>
      </c>
      <c r="N15" s="32">
        <f t="shared" si="34"/>
        <v>-1</v>
      </c>
      <c r="O15" s="31">
        <f>Tercera!O15</f>
        <v>0</v>
      </c>
      <c r="P15" s="32">
        <f t="shared" si="35"/>
        <v>-1</v>
      </c>
      <c r="Q15" s="31">
        <f>Tercera!Q15</f>
        <v>0</v>
      </c>
      <c r="R15" s="32">
        <f t="shared" si="36"/>
        <v>-1</v>
      </c>
      <c r="S15" s="31">
        <f>Tercera!S15</f>
        <v>0</v>
      </c>
      <c r="T15" s="32">
        <f t="shared" si="37"/>
        <v>-1</v>
      </c>
      <c r="U15" s="31">
        <f>Tercera!U15</f>
        <v>0</v>
      </c>
      <c r="V15" s="32">
        <f t="shared" si="38"/>
        <v>-1</v>
      </c>
      <c r="W15" s="31">
        <f>Tercera!W15</f>
        <v>0</v>
      </c>
      <c r="X15" s="32">
        <f t="shared" si="39"/>
        <v>-1</v>
      </c>
      <c r="Y15" s="31">
        <f>Tercera!Y15</f>
        <v>0</v>
      </c>
      <c r="Z15" s="32">
        <f t="shared" si="40"/>
        <v>-1</v>
      </c>
      <c r="AA15" s="31">
        <f>Tercera!AA15</f>
        <v>0</v>
      </c>
      <c r="AB15" s="32">
        <f t="shared" si="41"/>
        <v>-1</v>
      </c>
      <c r="AC15" s="31">
        <f>Tercera!AC15</f>
        <v>0</v>
      </c>
      <c r="AD15" s="32">
        <f t="shared" si="42"/>
        <v>-1</v>
      </c>
      <c r="AE15" s="31">
        <f>Tercera!AE15</f>
        <v>0</v>
      </c>
      <c r="AF15" s="32">
        <f t="shared" si="43"/>
        <v>-1</v>
      </c>
      <c r="AG15" s="31">
        <f>Tercera!AG15</f>
        <v>0</v>
      </c>
      <c r="AH15" s="32">
        <f t="shared" si="44"/>
        <v>-1</v>
      </c>
      <c r="AI15" s="31">
        <f>Tercera!AI15</f>
        <v>0</v>
      </c>
      <c r="AJ15" s="32">
        <f t="shared" si="45"/>
        <v>-1</v>
      </c>
      <c r="AK15" s="31">
        <f>Tercera!AK15</f>
        <v>0</v>
      </c>
      <c r="AL15" s="32">
        <f t="shared" si="46"/>
        <v>-1</v>
      </c>
      <c r="AM15" s="31">
        <f>Tercera!AM15</f>
        <v>0</v>
      </c>
      <c r="AN15" s="32">
        <f t="shared" si="47"/>
        <v>-1</v>
      </c>
      <c r="AO15" s="31">
        <f>Tercera!AO15</f>
        <v>0</v>
      </c>
      <c r="AP15" s="32">
        <f t="shared" si="48"/>
        <v>-1</v>
      </c>
      <c r="AQ15" s="31">
        <f>Tercera!AQ15</f>
        <v>0</v>
      </c>
      <c r="AR15" s="32">
        <f t="shared" si="49"/>
        <v>-1</v>
      </c>
      <c r="AS15" s="31">
        <f>Tercera!AS15</f>
        <v>0</v>
      </c>
      <c r="AT15" s="32">
        <f t="shared" si="50"/>
        <v>-1</v>
      </c>
      <c r="AU15" s="31">
        <f>Tercera!AU15</f>
        <v>0</v>
      </c>
      <c r="AV15" s="32">
        <f t="shared" si="51"/>
        <v>-1</v>
      </c>
      <c r="AW15" s="31">
        <f>Tercera!AW15</f>
        <v>0</v>
      </c>
      <c r="AX15" s="32">
        <f t="shared" si="52"/>
        <v>-1</v>
      </c>
      <c r="AY15" s="31">
        <f>Tercera!AY15</f>
        <v>0</v>
      </c>
      <c r="AZ15" s="32">
        <f t="shared" si="53"/>
        <v>-1</v>
      </c>
      <c r="BA15" s="31">
        <f>Tercera!BA15</f>
        <v>0</v>
      </c>
      <c r="BB15" s="32">
        <f t="shared" si="54"/>
        <v>-1</v>
      </c>
      <c r="BC15" s="31">
        <f>Tercera!BC15</f>
        <v>0</v>
      </c>
      <c r="BD15" s="32">
        <f t="shared" si="55"/>
        <v>-1</v>
      </c>
      <c r="BE15" s="31">
        <f>Tercera!BE15</f>
        <v>0</v>
      </c>
      <c r="BF15" s="32">
        <f t="shared" si="56"/>
        <v>-1</v>
      </c>
      <c r="BG15" s="31">
        <f>Tercera!BG15</f>
        <v>0</v>
      </c>
      <c r="BH15" s="32">
        <f t="shared" si="57"/>
        <v>-1</v>
      </c>
      <c r="BI15" s="31">
        <f>Tercera!BI15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8">
        <f>IF(SUM($B17:$B37)&lt;&gt;0,SUM(C17:C37)/SUM($B17:$B37)*$B16*10, "")</f>
        <v>1.5599999986588955</v>
      </c>
      <c r="D16" s="58"/>
      <c r="E16" s="58">
        <f>IF(SUM($B17:$B37)&lt;&gt;0,SUM(E17:E37)/SUM($B17:$B37)*$B16*10, "")</f>
        <v>1.4925000071525574</v>
      </c>
      <c r="F16" s="58"/>
      <c r="G16" s="58">
        <f>IF(SUM($B17:$B37)&lt;&gt;0,SUM(G17:G37)/SUM($B17:$B37)*$B16*10, "")</f>
        <v>1.1100000053644181</v>
      </c>
      <c r="H16" s="58"/>
      <c r="I16" s="58">
        <f>IF(SUM($B17:$B37)&lt;&gt;0,SUM(I17:I37)/SUM($B17:$B37)*$B16*10, "")</f>
        <v>1.8075000056996939</v>
      </c>
      <c r="J16" s="58"/>
      <c r="K16" s="58">
        <f>IF(SUM($B17:$B37)&lt;&gt;0,SUM(K17:K37)/SUM($B17:$B37)*$B16*10, "")</f>
        <v>1.575</v>
      </c>
      <c r="L16" s="58"/>
      <c r="M16" s="58">
        <f>IF(SUM($B17:$B37)&lt;&gt;0,SUM(M17:M37)/SUM($B17:$B37)*$B16*10, "")</f>
        <v>1.7025000113993884</v>
      </c>
      <c r="N16" s="58"/>
      <c r="O16" s="58">
        <f>IF(SUM($B17:$B37)&lt;&gt;0,SUM(O17:O37)/SUM($B17:$B37)*$B16*10, "")</f>
        <v>2.1150000069290398</v>
      </c>
      <c r="P16" s="58"/>
      <c r="Q16" s="58">
        <f>IF(SUM($B17:$B37)&lt;&gt;0,SUM(Q17:Q37)/SUM($B17:$B37)*$B16*10, "")</f>
        <v>1.2375000173225998</v>
      </c>
      <c r="R16" s="58"/>
      <c r="S16" s="58">
        <f>IF(SUM($B17:$B37)&lt;&gt;0,SUM(S17:S37)/SUM($B17:$B37)*$B16*10, "")</f>
        <v>1.4099999930709601</v>
      </c>
      <c r="T16" s="58"/>
      <c r="U16" s="58">
        <f>IF(SUM($B17:$B37)&lt;&gt;0,SUM(U17:U37)/SUM($B17:$B37)*$B16*10, "")</f>
        <v>1.7099999941885471</v>
      </c>
      <c r="V16" s="58"/>
      <c r="W16" s="58">
        <f>IF(SUM($B17:$B37)&lt;&gt;0,SUM(W17:W37)/SUM($B17:$B37)*$B16*10, "")</f>
        <v>1.2000000156462192</v>
      </c>
      <c r="X16" s="58"/>
      <c r="Y16" s="58">
        <f>IF(SUM($B17:$B37)&lt;&gt;0,SUM(Y17:Y37)/SUM($B17:$B37)*$B16*10, "")</f>
        <v>1.732500010728836</v>
      </c>
      <c r="Z16" s="58"/>
      <c r="AA16" s="58">
        <f>IF(SUM($B17:$B37)&lt;&gt;0,SUM(AA17:AA37)/SUM($B17:$B37)*$B16*10, "")</f>
        <v>1.4025000169873236</v>
      </c>
      <c r="AB16" s="58"/>
      <c r="AC16" s="58">
        <f>IF(SUM($B17:$B37)&lt;&gt;0,SUM(AC17:AC37)/SUM($B17:$B37)*$B16*10, "")</f>
        <v>1.2825000040233134</v>
      </c>
      <c r="AD16" s="58"/>
      <c r="AE16" s="58">
        <f>IF(SUM($B17:$B37)&lt;&gt;0,SUM(AE17:AE37)/SUM($B17:$B37)*$B16*10, "")</f>
        <v>1.6875000189989802</v>
      </c>
      <c r="AF16" s="58"/>
      <c r="AG16" s="58">
        <f>IF(SUM($B17:$B37)&lt;&gt;0,SUM(AG17:AG37)/SUM($B17:$B37)*$B16*10, "")</f>
        <v>1.2150000035762787</v>
      </c>
      <c r="AH16" s="58"/>
      <c r="AI16" s="58">
        <f>IF(SUM($B17:$B37)&lt;&gt;0,SUM(AI17:AI37)/SUM($B17:$B37)*$B16*10, "")</f>
        <v>1.3125000067055224</v>
      </c>
      <c r="AJ16" s="58"/>
      <c r="AK16" s="58">
        <f>IF(SUM($B17:$B37)&lt;&gt;0,SUM(AK17:AK37)/SUM($B17:$B37)*$B16*10, "")</f>
        <v>1.6350000154227018</v>
      </c>
      <c r="AL16" s="58"/>
      <c r="AM16" s="58">
        <f>IF(SUM($B17:$B37)&lt;&gt;0,SUM(AM17:AM37)/SUM($B17:$B37)*$B16*10, "")</f>
        <v>1.3200000286102296</v>
      </c>
      <c r="AN16" s="58"/>
      <c r="AO16" s="58">
        <f>IF(SUM($B17:$B37)&lt;&gt;0,SUM(AO17:AO37)/SUM($B17:$B37)*$B16*10, "")</f>
        <v>1.3950000118464232</v>
      </c>
      <c r="AP16" s="58"/>
      <c r="AQ16" s="58">
        <f>IF(SUM($B17:$B37)&lt;&gt;0,SUM(AQ17:AQ37)/SUM($B17:$B37)*$B16*10, "")</f>
        <v>1.8675000127404928</v>
      </c>
      <c r="AR16" s="58"/>
      <c r="AS16" s="58">
        <f>IF(SUM($B17:$B37)&lt;&gt;0,SUM(AS17:AS37)/SUM($B17:$B37)*$B16*10, "")</f>
        <v>1.6950000084936621</v>
      </c>
      <c r="AT16" s="58"/>
      <c r="AU16" s="58">
        <f>IF(SUM($B17:$B37)&lt;&gt;0,SUM(AU17:AU37)/SUM($B17:$B37)*$B16*10, "")</f>
        <v>1.3425000037997961</v>
      </c>
      <c r="AV16" s="58"/>
      <c r="AW16" s="58">
        <f>IF(SUM($B17:$B37)&lt;&gt;0,SUM(AW17:AW37)/SUM($B17:$B37)*$B16*10, "")</f>
        <v>1.1400000119581817</v>
      </c>
      <c r="AX16" s="58"/>
      <c r="AY16" s="58">
        <f>IF(SUM($B17:$B37)&lt;&gt;0,SUM(AY17:AY37)/SUM($B17:$B37)*$B16*10, "")</f>
        <v>1.5375000067055224</v>
      </c>
      <c r="AZ16" s="58"/>
      <c r="BA16" s="58">
        <f>IF(SUM($B17:$B37)&lt;&gt;0,SUM(BA17:BA37)/SUM($B17:$B37)*$B16*10, "")</f>
        <v>1.3275000125169754</v>
      </c>
      <c r="BB16" s="58"/>
      <c r="BC16" s="58">
        <f>IF(SUM($B17:$B37)&lt;&gt;0,SUM(BC17:BC37)/SUM($B17:$B37)*$B16*10, "")</f>
        <v>1.7100000143051144</v>
      </c>
      <c r="BD16" s="58"/>
      <c r="BE16" s="58">
        <f>IF(SUM($B17:$B37)&lt;&gt;0,SUM(BE17:BE37)/SUM($B17:$B37)*$B16*10, "")</f>
        <v>1.1924999915063381</v>
      </c>
      <c r="BF16" s="58"/>
      <c r="BG16" s="58">
        <f>IF(SUM($B17:$B37)&lt;&gt;0,SUM(BG17:BG37)/SUM($B17:$B37)*$B16*10, "")</f>
        <v>1.6350000008940695</v>
      </c>
      <c r="BH16" s="58"/>
      <c r="BI16" s="58">
        <f>IF(SUM($B17:$B37)&lt;&gt;0,SUM(BI17:BI37)/SUM($B17:$B37)*$B16*10, "")</f>
        <v>0.9300000099465251</v>
      </c>
      <c r="BJ16" s="58"/>
    </row>
    <row r="17" spans="1:62" ht="42" x14ac:dyDescent="0.2">
      <c r="A17" s="2" t="s">
        <v>18</v>
      </c>
      <c r="B17" s="13">
        <f>Tercera!B17</f>
        <v>1.5</v>
      </c>
      <c r="C17" s="31">
        <f>Tercera!C17</f>
        <v>0.60000000894069672</v>
      </c>
      <c r="D17" s="32">
        <f t="shared" ref="D17:D37" si="59">IF($B17,C17/$B17,-1)</f>
        <v>0.40000000596046448</v>
      </c>
      <c r="E17" s="31">
        <f>Tercera!E17</f>
        <v>0.45000001788139343</v>
      </c>
      <c r="F17" s="32">
        <f t="shared" ref="F17:F37" si="60">IF($B17,E17/$B17,-1)</f>
        <v>0.30000001192092896</v>
      </c>
      <c r="G17" s="31">
        <f>Tercera!G17</f>
        <v>1.3499999642372131</v>
      </c>
      <c r="H17" s="32">
        <f t="shared" ref="H17:H37" si="61">IF($B17,G17/$B17,-1)</f>
        <v>0.89999997615814209</v>
      </c>
      <c r="I17" s="31">
        <f>Tercera!I17</f>
        <v>1.2000000178813934</v>
      </c>
      <c r="J17" s="32">
        <f t="shared" ref="J17:J37" si="62">IF($B17,I17/$B17,-1)</f>
        <v>0.80000001192092896</v>
      </c>
      <c r="K17" s="31">
        <f>Tercera!K17</f>
        <v>0.45000001788139343</v>
      </c>
      <c r="L17" s="32">
        <f t="shared" ref="L17:L37" si="63">IF($B17,K17/$B17,-1)</f>
        <v>0.30000001192092896</v>
      </c>
      <c r="M17" s="31">
        <f>Tercera!M17</f>
        <v>1.0499999821186066</v>
      </c>
      <c r="N17" s="32">
        <f t="shared" ref="N17:N37" si="64">IF($B17,M17/$B17,-1)</f>
        <v>0.69999998807907104</v>
      </c>
      <c r="O17" s="31">
        <f>Tercera!O17</f>
        <v>0.30000000447034836</v>
      </c>
      <c r="P17" s="32">
        <f t="shared" ref="P17:P37" si="65">IF($B17,O17/$B17,-1)</f>
        <v>0.20000000298023224</v>
      </c>
      <c r="Q17" s="31">
        <f>Tercera!Q17</f>
        <v>0</v>
      </c>
      <c r="R17" s="32">
        <f t="shared" ref="R17:R37" si="66">IF($B17,Q17/$B17,-1)</f>
        <v>0</v>
      </c>
      <c r="S17" s="31">
        <f>Tercera!S17</f>
        <v>0</v>
      </c>
      <c r="T17" s="32">
        <f t="shared" ref="T17:T37" si="67">IF($B17,S17/$B17,-1)</f>
        <v>0</v>
      </c>
      <c r="U17" s="31">
        <f>Tercera!U17</f>
        <v>0.45000001788139343</v>
      </c>
      <c r="V17" s="32">
        <f t="shared" ref="V17:V37" si="68">IF($B17,U17/$B17,-1)</f>
        <v>0.30000001192092896</v>
      </c>
      <c r="W17" s="31">
        <f>Tercera!W17</f>
        <v>1.2000000178813934</v>
      </c>
      <c r="X17" s="32">
        <f t="shared" ref="X17:X37" si="69">IF($B17,W17/$B17,-1)</f>
        <v>0.80000001192092896</v>
      </c>
      <c r="Y17" s="31">
        <f>Tercera!Y17</f>
        <v>0.45000001788139343</v>
      </c>
      <c r="Z17" s="32">
        <f t="shared" ref="Z17:Z37" si="70">IF($B17,Y17/$B17,-1)</f>
        <v>0.30000001192092896</v>
      </c>
      <c r="AA17" s="31">
        <f>Tercera!AA17</f>
        <v>0.30000000447034836</v>
      </c>
      <c r="AB17" s="32">
        <f t="shared" ref="AB17:AB37" si="71">IF($B17,AA17/$B17,-1)</f>
        <v>0.20000000298023224</v>
      </c>
      <c r="AC17" s="31">
        <f>Tercera!AC17</f>
        <v>0.75</v>
      </c>
      <c r="AD17" s="32">
        <f t="shared" ref="AD17:AD37" si="72">IF($B17,AC17/$B17,-1)</f>
        <v>0.5</v>
      </c>
      <c r="AE17" s="31">
        <f>Tercera!AE17</f>
        <v>0.30000000447034836</v>
      </c>
      <c r="AF17" s="32">
        <f t="shared" ref="AF17:AF37" si="73">IF($B17,AE17/$B17,-1)</f>
        <v>0.20000000298023224</v>
      </c>
      <c r="AG17" s="31">
        <f>Tercera!AG17</f>
        <v>0.45000001788139343</v>
      </c>
      <c r="AH17" s="32">
        <f t="shared" ref="AH17:AH37" si="74">IF($B17,AG17/$B17,-1)</f>
        <v>0.30000001192092896</v>
      </c>
      <c r="AI17" s="31">
        <f>Tercera!AI17</f>
        <v>0</v>
      </c>
      <c r="AJ17" s="32">
        <f t="shared" ref="AJ17:AJ37" si="75">IF($B17,AI17/$B17,-1)</f>
        <v>0</v>
      </c>
      <c r="AK17" s="31">
        <f>Tercera!AK17</f>
        <v>0.75</v>
      </c>
      <c r="AL17" s="32">
        <f t="shared" ref="AL17:AL37" si="76">IF($B17,AK17/$B17,-1)</f>
        <v>0.5</v>
      </c>
      <c r="AM17" s="31">
        <f>Tercera!AM17</f>
        <v>0.30000000447034836</v>
      </c>
      <c r="AN17" s="32">
        <f t="shared" ref="AN17:AN37" si="77">IF($B17,AM17/$B17,-1)</f>
        <v>0.20000000298023224</v>
      </c>
      <c r="AO17" s="31">
        <f>Tercera!AO17</f>
        <v>1.3499999642372131</v>
      </c>
      <c r="AP17" s="32">
        <f t="shared" ref="AP17:AP37" si="78">IF($B17,AO17/$B17,-1)</f>
        <v>0.89999997615814209</v>
      </c>
      <c r="AQ17" s="31">
        <f>Tercera!AQ17</f>
        <v>0.90000003576278687</v>
      </c>
      <c r="AR17" s="32">
        <f t="shared" ref="AR17:AR37" si="79">IF($B17,AQ17/$B17,-1)</f>
        <v>0.60000002384185791</v>
      </c>
      <c r="AS17" s="31">
        <f>Tercera!AS17</f>
        <v>1.2000000178813934</v>
      </c>
      <c r="AT17" s="32">
        <f t="shared" ref="AT17:AT37" si="80">IF($B17,AS17/$B17,-1)</f>
        <v>0.80000001192092896</v>
      </c>
      <c r="AU17" s="31">
        <f>Tercera!AU17</f>
        <v>1.5</v>
      </c>
      <c r="AV17" s="32">
        <f t="shared" ref="AV17:AV37" si="81">IF($B17,AU17/$B17,-1)</f>
        <v>1</v>
      </c>
      <c r="AW17" s="31">
        <f>Tercera!AW17</f>
        <v>0.45000001788139343</v>
      </c>
      <c r="AX17" s="32">
        <f t="shared" ref="AX17:AX37" si="82">IF($B17,AW17/$B17,-1)</f>
        <v>0.30000001192092896</v>
      </c>
      <c r="AY17" s="31">
        <f>Tercera!AY17</f>
        <v>0.75</v>
      </c>
      <c r="AZ17" s="32">
        <f t="shared" ref="AZ17:AZ37" si="83">IF($B17,AY17/$B17,-1)</f>
        <v>0.5</v>
      </c>
      <c r="BA17" s="31">
        <f>Tercera!BA17</f>
        <v>0</v>
      </c>
      <c r="BB17" s="32">
        <f t="shared" ref="BB17:BB37" si="84">IF($B17,BA17/$B17,-1)</f>
        <v>0</v>
      </c>
      <c r="BC17" s="31">
        <f>Tercera!BC17</f>
        <v>0.90000003576278687</v>
      </c>
      <c r="BD17" s="32">
        <f t="shared" ref="BD17:BD37" si="85">IF($B17,BC17/$B17,-1)</f>
        <v>0.60000002384185791</v>
      </c>
      <c r="BE17" s="31">
        <f>Tercera!BE17</f>
        <v>0.60000000894069672</v>
      </c>
      <c r="BF17" s="32">
        <f t="shared" ref="BF17:BF37" si="86">IF($B17,BE17/$B17,-1)</f>
        <v>0.40000000596046448</v>
      </c>
      <c r="BG17" s="31">
        <f>Tercera!BG17</f>
        <v>1.5</v>
      </c>
      <c r="BH17" s="32">
        <f t="shared" ref="BH17:BH37" si="87">IF($B17,BG17/$B17,-1)</f>
        <v>1</v>
      </c>
      <c r="BI17" s="31">
        <f>Tercera!BI17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Tercera!B18</f>
        <v>1.5</v>
      </c>
      <c r="C18" s="31">
        <f>Tercera!C18</f>
        <v>1.5</v>
      </c>
      <c r="D18" s="32">
        <f t="shared" si="59"/>
        <v>1</v>
      </c>
      <c r="E18" s="31">
        <f>Tercera!E18</f>
        <v>0.90000003576278687</v>
      </c>
      <c r="F18" s="32">
        <f t="shared" si="60"/>
        <v>0.60000002384185791</v>
      </c>
      <c r="G18" s="31">
        <f>Tercera!G18</f>
        <v>0.45000001788139343</v>
      </c>
      <c r="H18" s="32">
        <f t="shared" si="61"/>
        <v>0.30000001192092896</v>
      </c>
      <c r="I18" s="31">
        <f>Tercera!I18</f>
        <v>0.15000000223517418</v>
      </c>
      <c r="J18" s="32">
        <f t="shared" si="62"/>
        <v>0.10000000149011612</v>
      </c>
      <c r="K18" s="31">
        <f>Tercera!K18</f>
        <v>0.75</v>
      </c>
      <c r="L18" s="32">
        <f t="shared" si="63"/>
        <v>0.5</v>
      </c>
      <c r="M18" s="31">
        <f>Tercera!M18</f>
        <v>0.30000000447034836</v>
      </c>
      <c r="N18" s="32">
        <f t="shared" si="64"/>
        <v>0.20000000298023224</v>
      </c>
      <c r="O18" s="31">
        <f>Tercera!O18</f>
        <v>1.5</v>
      </c>
      <c r="P18" s="32">
        <f t="shared" si="65"/>
        <v>1</v>
      </c>
      <c r="Q18" s="31">
        <f>Tercera!Q18</f>
        <v>0.15000000223517418</v>
      </c>
      <c r="R18" s="32">
        <f t="shared" si="66"/>
        <v>0.10000000149011612</v>
      </c>
      <c r="S18" s="31">
        <f>Tercera!S18</f>
        <v>0</v>
      </c>
      <c r="T18" s="32">
        <f t="shared" si="67"/>
        <v>0</v>
      </c>
      <c r="U18" s="31">
        <f>Tercera!U18</f>
        <v>0.45000001788139343</v>
      </c>
      <c r="V18" s="32">
        <f t="shared" si="68"/>
        <v>0.30000001192092896</v>
      </c>
      <c r="W18" s="31">
        <f>Tercera!W18</f>
        <v>0.90000003576278687</v>
      </c>
      <c r="X18" s="32">
        <f t="shared" si="69"/>
        <v>0.60000002384185791</v>
      </c>
      <c r="Y18" s="31">
        <f>Tercera!Y18</f>
        <v>1.5</v>
      </c>
      <c r="Z18" s="32">
        <f t="shared" si="70"/>
        <v>1</v>
      </c>
      <c r="AA18" s="31">
        <f>Tercera!AA18</f>
        <v>0.75</v>
      </c>
      <c r="AB18" s="32">
        <f t="shared" si="71"/>
        <v>0.5</v>
      </c>
      <c r="AC18" s="31">
        <f>Tercera!AC18</f>
        <v>0.60000000894069672</v>
      </c>
      <c r="AD18" s="32">
        <f t="shared" si="72"/>
        <v>0.40000000596046448</v>
      </c>
      <c r="AE18" s="31">
        <f>Tercera!AE18</f>
        <v>1.3499999642372131</v>
      </c>
      <c r="AF18" s="32">
        <f t="shared" si="73"/>
        <v>0.89999997615814209</v>
      </c>
      <c r="AG18" s="31">
        <f>Tercera!AG18</f>
        <v>1.3499999642372131</v>
      </c>
      <c r="AH18" s="32">
        <f t="shared" si="74"/>
        <v>0.89999997615814209</v>
      </c>
      <c r="AI18" s="31">
        <f>Tercera!AI18</f>
        <v>1.0499999821186066</v>
      </c>
      <c r="AJ18" s="32">
        <f t="shared" si="75"/>
        <v>0.69999998807907104</v>
      </c>
      <c r="AK18" s="31">
        <f>Tercera!AK18</f>
        <v>1.0499999821186066</v>
      </c>
      <c r="AL18" s="32">
        <f t="shared" si="76"/>
        <v>0.69999998807907104</v>
      </c>
      <c r="AM18" s="31">
        <f>Tercera!AM18</f>
        <v>1.5</v>
      </c>
      <c r="AN18" s="32">
        <f t="shared" si="77"/>
        <v>1</v>
      </c>
      <c r="AO18" s="31">
        <f>Tercera!AO18</f>
        <v>0.45000001788139343</v>
      </c>
      <c r="AP18" s="32">
        <f t="shared" si="78"/>
        <v>0.30000001192092896</v>
      </c>
      <c r="AQ18" s="31">
        <f>Tercera!AQ18</f>
        <v>0.75</v>
      </c>
      <c r="AR18" s="32">
        <f t="shared" si="79"/>
        <v>0.5</v>
      </c>
      <c r="AS18" s="31">
        <f>Tercera!AS18</f>
        <v>0.60000000894069672</v>
      </c>
      <c r="AT18" s="32">
        <f t="shared" si="80"/>
        <v>0.40000000596046448</v>
      </c>
      <c r="AU18" s="31">
        <f>Tercera!AU18</f>
        <v>1.0499999821186066</v>
      </c>
      <c r="AV18" s="32">
        <f t="shared" si="81"/>
        <v>0.69999998807907104</v>
      </c>
      <c r="AW18" s="31">
        <f>Tercera!AW18</f>
        <v>0.15000000223517418</v>
      </c>
      <c r="AX18" s="32">
        <f t="shared" si="82"/>
        <v>0.10000000149011612</v>
      </c>
      <c r="AY18" s="31">
        <f>Tercera!AY18</f>
        <v>0.60000000894069672</v>
      </c>
      <c r="AZ18" s="32">
        <f t="shared" si="83"/>
        <v>0.40000000596046448</v>
      </c>
      <c r="BA18" s="31">
        <f>Tercera!BA18</f>
        <v>0.75</v>
      </c>
      <c r="BB18" s="32">
        <f t="shared" si="84"/>
        <v>0.5</v>
      </c>
      <c r="BC18" s="31">
        <f>Tercera!BC18</f>
        <v>1.2000000178813934</v>
      </c>
      <c r="BD18" s="32">
        <f t="shared" si="85"/>
        <v>0.80000001192092896</v>
      </c>
      <c r="BE18" s="31">
        <f>Tercera!BE18</f>
        <v>0.75</v>
      </c>
      <c r="BF18" s="32">
        <f t="shared" si="86"/>
        <v>0.5</v>
      </c>
      <c r="BG18" s="31">
        <f>Tercera!BG18</f>
        <v>0.60000000894069672</v>
      </c>
      <c r="BH18" s="32">
        <f t="shared" si="87"/>
        <v>0.40000000596046448</v>
      </c>
      <c r="BI18" s="31">
        <f>Tercera!BI18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Tercera!B19</f>
        <v>1</v>
      </c>
      <c r="C19" s="31">
        <f>Tercera!C19</f>
        <v>0.20000000298023224</v>
      </c>
      <c r="D19" s="32">
        <f t="shared" si="59"/>
        <v>0.20000000298023224</v>
      </c>
      <c r="E19" s="31">
        <f>Tercera!E19</f>
        <v>0.60000002384185791</v>
      </c>
      <c r="F19" s="32">
        <f t="shared" si="60"/>
        <v>0.60000002384185791</v>
      </c>
      <c r="G19" s="31">
        <f>Tercera!G19</f>
        <v>0.5</v>
      </c>
      <c r="H19" s="32">
        <f t="shared" si="61"/>
        <v>0.5</v>
      </c>
      <c r="I19" s="31">
        <f>Tercera!I19</f>
        <v>0.69999998807907104</v>
      </c>
      <c r="J19" s="32">
        <f t="shared" si="62"/>
        <v>0.69999998807907104</v>
      </c>
      <c r="K19" s="31">
        <f>Tercera!K19</f>
        <v>0.89999997615814209</v>
      </c>
      <c r="L19" s="32">
        <f t="shared" si="63"/>
        <v>0.89999997615814209</v>
      </c>
      <c r="M19" s="31">
        <f>Tercera!M19</f>
        <v>0.40000000596046448</v>
      </c>
      <c r="N19" s="32">
        <f t="shared" si="64"/>
        <v>0.40000000596046448</v>
      </c>
      <c r="O19" s="31">
        <f>Tercera!O19</f>
        <v>0.30000001192092896</v>
      </c>
      <c r="P19" s="32">
        <f t="shared" si="65"/>
        <v>0.30000001192092896</v>
      </c>
      <c r="Q19" s="31">
        <f>Tercera!Q19</f>
        <v>0.30000001192092896</v>
      </c>
      <c r="R19" s="32">
        <f t="shared" si="66"/>
        <v>0.30000001192092896</v>
      </c>
      <c r="S19" s="31">
        <f>Tercera!S19</f>
        <v>0.10000000149011612</v>
      </c>
      <c r="T19" s="32">
        <f t="shared" si="67"/>
        <v>0.10000000149011612</v>
      </c>
      <c r="U19" s="31">
        <f>Tercera!U19</f>
        <v>0.5</v>
      </c>
      <c r="V19" s="32">
        <f t="shared" si="68"/>
        <v>0.5</v>
      </c>
      <c r="W19" s="31">
        <f>Tercera!W19</f>
        <v>0.20000000298023224</v>
      </c>
      <c r="X19" s="32">
        <f t="shared" si="69"/>
        <v>0.20000000298023224</v>
      </c>
      <c r="Y19" s="31">
        <f>Tercera!Y19</f>
        <v>0.60000002384185791</v>
      </c>
      <c r="Z19" s="32">
        <f t="shared" si="70"/>
        <v>0.60000002384185791</v>
      </c>
      <c r="AA19" s="31">
        <f>Tercera!AA19</f>
        <v>0.30000001192092896</v>
      </c>
      <c r="AB19" s="32">
        <f t="shared" si="71"/>
        <v>0.30000001192092896</v>
      </c>
      <c r="AC19" s="31">
        <f>Tercera!AC19</f>
        <v>0.89999997615814209</v>
      </c>
      <c r="AD19" s="32">
        <f t="shared" si="72"/>
        <v>0.89999997615814209</v>
      </c>
      <c r="AE19" s="31">
        <f>Tercera!AE19</f>
        <v>0.5</v>
      </c>
      <c r="AF19" s="32">
        <f t="shared" si="73"/>
        <v>0.5</v>
      </c>
      <c r="AG19" s="31">
        <f>Tercera!AG19</f>
        <v>0.20000000298023224</v>
      </c>
      <c r="AH19" s="32">
        <f t="shared" si="74"/>
        <v>0.20000000298023224</v>
      </c>
      <c r="AI19" s="31">
        <f>Tercera!AI19</f>
        <v>0.69999998807907104</v>
      </c>
      <c r="AJ19" s="32">
        <f t="shared" si="75"/>
        <v>0.69999998807907104</v>
      </c>
      <c r="AK19" s="31">
        <f>Tercera!AK19</f>
        <v>0.80000001192092896</v>
      </c>
      <c r="AL19" s="32">
        <f t="shared" si="76"/>
        <v>0.80000001192092896</v>
      </c>
      <c r="AM19" s="31">
        <f>Tercera!AM19</f>
        <v>0.60000002384185791</v>
      </c>
      <c r="AN19" s="32">
        <f t="shared" si="77"/>
        <v>0.60000002384185791</v>
      </c>
      <c r="AO19" s="31">
        <f>Tercera!AO19</f>
        <v>0.80000001192092896</v>
      </c>
      <c r="AP19" s="32">
        <f t="shared" si="78"/>
        <v>0.80000001192092896</v>
      </c>
      <c r="AQ19" s="31">
        <f>Tercera!AQ19</f>
        <v>0.10000000149011612</v>
      </c>
      <c r="AR19" s="32">
        <f t="shared" si="79"/>
        <v>0.10000000149011612</v>
      </c>
      <c r="AS19" s="31">
        <f>Tercera!AS19</f>
        <v>0.80000001192092896</v>
      </c>
      <c r="AT19" s="32">
        <f t="shared" si="80"/>
        <v>0.80000001192092896</v>
      </c>
      <c r="AU19" s="31">
        <f>Tercera!AU19</f>
        <v>0.20000000298023224</v>
      </c>
      <c r="AV19" s="32">
        <f t="shared" si="81"/>
        <v>0.20000000298023224</v>
      </c>
      <c r="AW19" s="31">
        <f>Tercera!AW19</f>
        <v>1</v>
      </c>
      <c r="AX19" s="32">
        <f t="shared" si="82"/>
        <v>1</v>
      </c>
      <c r="AY19" s="31">
        <f>Tercera!AY19</f>
        <v>0</v>
      </c>
      <c r="AZ19" s="32">
        <f t="shared" si="83"/>
        <v>0</v>
      </c>
      <c r="BA19" s="31">
        <f>Tercera!BA19</f>
        <v>0</v>
      </c>
      <c r="BB19" s="32">
        <f t="shared" si="84"/>
        <v>0</v>
      </c>
      <c r="BC19" s="31">
        <f>Tercera!BC19</f>
        <v>0.80000001192092896</v>
      </c>
      <c r="BD19" s="32">
        <f t="shared" si="85"/>
        <v>0.80000001192092896</v>
      </c>
      <c r="BE19" s="31">
        <f>Tercera!BE19</f>
        <v>0.40000000596046448</v>
      </c>
      <c r="BF19" s="32">
        <f t="shared" si="86"/>
        <v>0.40000000596046448</v>
      </c>
      <c r="BG19" s="31">
        <f>Tercera!BG19</f>
        <v>0.5</v>
      </c>
      <c r="BH19" s="32">
        <f t="shared" si="87"/>
        <v>0.5</v>
      </c>
      <c r="BI19" s="31">
        <f>Tercera!BI19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Tercera!B20</f>
        <v>2</v>
      </c>
      <c r="C20" s="31">
        <f>Tercera!C20</f>
        <v>0.20000000298023224</v>
      </c>
      <c r="D20" s="32">
        <f t="shared" si="59"/>
        <v>0.10000000149011612</v>
      </c>
      <c r="E20" s="31">
        <f>Tercera!E20</f>
        <v>0.20000000298023224</v>
      </c>
      <c r="F20" s="32">
        <f t="shared" si="60"/>
        <v>0.10000000149011612</v>
      </c>
      <c r="G20" s="31">
        <f>Tercera!G20</f>
        <v>0</v>
      </c>
      <c r="H20" s="32">
        <f t="shared" si="61"/>
        <v>0</v>
      </c>
      <c r="I20" s="31">
        <f>Tercera!I20</f>
        <v>1.3999999761581421</v>
      </c>
      <c r="J20" s="32">
        <f t="shared" si="62"/>
        <v>0.69999998807907104</v>
      </c>
      <c r="K20" s="31">
        <f>Tercera!K20</f>
        <v>1</v>
      </c>
      <c r="L20" s="32">
        <f t="shared" si="63"/>
        <v>0.5</v>
      </c>
      <c r="M20" s="31">
        <f>Tercera!M20</f>
        <v>1.2000000476837158</v>
      </c>
      <c r="N20" s="32">
        <f t="shared" si="64"/>
        <v>0.60000002384185791</v>
      </c>
      <c r="O20" s="31">
        <f>Tercera!O20</f>
        <v>0.40000000596046448</v>
      </c>
      <c r="P20" s="32">
        <f t="shared" si="65"/>
        <v>0.20000000298023224</v>
      </c>
      <c r="Q20" s="31">
        <f>Tercera!Q20</f>
        <v>1</v>
      </c>
      <c r="R20" s="32">
        <f t="shared" si="66"/>
        <v>0.5</v>
      </c>
      <c r="S20" s="31">
        <f>Tercera!S20</f>
        <v>1.6000000238418579</v>
      </c>
      <c r="T20" s="32">
        <f t="shared" si="67"/>
        <v>0.80000001192092896</v>
      </c>
      <c r="U20" s="31">
        <f>Tercera!U20</f>
        <v>1.6000000238418579</v>
      </c>
      <c r="V20" s="32">
        <f t="shared" si="68"/>
        <v>0.80000001192092896</v>
      </c>
      <c r="W20" s="31">
        <f>Tercera!W20</f>
        <v>0.80000001192092896</v>
      </c>
      <c r="X20" s="32">
        <f t="shared" si="69"/>
        <v>0.40000000596046448</v>
      </c>
      <c r="Y20" s="31">
        <f>Tercera!Y20</f>
        <v>1.7999999523162842</v>
      </c>
      <c r="Z20" s="32">
        <f t="shared" si="70"/>
        <v>0.89999997615814209</v>
      </c>
      <c r="AA20" s="31">
        <f>Tercera!AA20</f>
        <v>1.6000000238418579</v>
      </c>
      <c r="AB20" s="32">
        <f t="shared" si="71"/>
        <v>0.80000001192092896</v>
      </c>
      <c r="AC20" s="31">
        <f>Tercera!AC20</f>
        <v>0</v>
      </c>
      <c r="AD20" s="32">
        <f t="shared" si="72"/>
        <v>0</v>
      </c>
      <c r="AE20" s="31">
        <f>Tercera!AE20</f>
        <v>1.2000000476837158</v>
      </c>
      <c r="AF20" s="32">
        <f t="shared" si="73"/>
        <v>0.60000002384185791</v>
      </c>
      <c r="AG20" s="31">
        <f>Tercera!AG20</f>
        <v>1.3999999761581421</v>
      </c>
      <c r="AH20" s="32">
        <f t="shared" si="74"/>
        <v>0.69999998807907104</v>
      </c>
      <c r="AI20" s="31">
        <f>Tercera!AI20</f>
        <v>0</v>
      </c>
      <c r="AJ20" s="32">
        <f t="shared" si="75"/>
        <v>0</v>
      </c>
      <c r="AK20" s="31">
        <f>Tercera!AK20</f>
        <v>0.80000001192092896</v>
      </c>
      <c r="AL20" s="32">
        <f t="shared" si="76"/>
        <v>0.40000000596046448</v>
      </c>
      <c r="AM20" s="31">
        <f>Tercera!AM20</f>
        <v>0.80000001192092896</v>
      </c>
      <c r="AN20" s="32">
        <f t="shared" si="77"/>
        <v>0.40000000596046448</v>
      </c>
      <c r="AO20" s="31">
        <f>Tercera!AO20</f>
        <v>0.60000002384185791</v>
      </c>
      <c r="AP20" s="32">
        <f t="shared" si="78"/>
        <v>0.30000001192092896</v>
      </c>
      <c r="AQ20" s="31">
        <f>Tercera!AQ20</f>
        <v>2</v>
      </c>
      <c r="AR20" s="32">
        <f t="shared" si="79"/>
        <v>1</v>
      </c>
      <c r="AS20" s="31">
        <f>Tercera!AS20</f>
        <v>1.6000000238418579</v>
      </c>
      <c r="AT20" s="32">
        <f t="shared" si="80"/>
        <v>0.80000001192092896</v>
      </c>
      <c r="AU20" s="31">
        <f>Tercera!AU20</f>
        <v>1.3999999761581421</v>
      </c>
      <c r="AV20" s="32">
        <f t="shared" si="81"/>
        <v>0.69999998807907104</v>
      </c>
      <c r="AW20" s="31">
        <f>Tercera!AW20</f>
        <v>0.80000001192092896</v>
      </c>
      <c r="AX20" s="32">
        <f t="shared" si="82"/>
        <v>0.40000000596046448</v>
      </c>
      <c r="AY20" s="31">
        <f>Tercera!AY20</f>
        <v>1.6000000238418579</v>
      </c>
      <c r="AZ20" s="32">
        <f t="shared" si="83"/>
        <v>0.80000001192092896</v>
      </c>
      <c r="BA20" s="31">
        <f>Tercera!BA20</f>
        <v>0.60000002384185791</v>
      </c>
      <c r="BB20" s="32">
        <f t="shared" si="84"/>
        <v>0.30000001192092896</v>
      </c>
      <c r="BC20" s="31">
        <f>Tercera!BC20</f>
        <v>0.60000002384185791</v>
      </c>
      <c r="BD20" s="32">
        <f t="shared" si="85"/>
        <v>0.30000001192092896</v>
      </c>
      <c r="BE20" s="31">
        <f>Tercera!BE20</f>
        <v>0.80000001192092896</v>
      </c>
      <c r="BF20" s="32">
        <f t="shared" si="86"/>
        <v>0.40000000596046448</v>
      </c>
      <c r="BG20" s="31">
        <f>Tercera!BG20</f>
        <v>2</v>
      </c>
      <c r="BH20" s="32">
        <f t="shared" si="87"/>
        <v>1</v>
      </c>
      <c r="BI20" s="31">
        <f>Tercera!BI20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Tercera!B21</f>
        <v>2</v>
      </c>
      <c r="C21" s="31">
        <f>Tercera!C21</f>
        <v>1.3999999761581421</v>
      </c>
      <c r="D21" s="32">
        <f t="shared" si="59"/>
        <v>0.69999998807907104</v>
      </c>
      <c r="E21" s="31">
        <f>Tercera!E21</f>
        <v>0.60000002384185791</v>
      </c>
      <c r="F21" s="32">
        <f t="shared" si="60"/>
        <v>0.30000001192092896</v>
      </c>
      <c r="G21" s="31">
        <f>Tercera!G21</f>
        <v>0.20000000298023224</v>
      </c>
      <c r="H21" s="32">
        <f t="shared" si="61"/>
        <v>0.10000000149011612</v>
      </c>
      <c r="I21" s="31">
        <f>Tercera!I21</f>
        <v>0.40000000596046448</v>
      </c>
      <c r="J21" s="32">
        <f t="shared" si="62"/>
        <v>0.20000000298023224</v>
      </c>
      <c r="K21" s="31">
        <f>Tercera!K21</f>
        <v>0</v>
      </c>
      <c r="L21" s="32">
        <f t="shared" si="63"/>
        <v>0</v>
      </c>
      <c r="M21" s="31">
        <f>Tercera!M21</f>
        <v>0.80000001192092896</v>
      </c>
      <c r="N21" s="32">
        <f t="shared" si="64"/>
        <v>0.40000000596046448</v>
      </c>
      <c r="O21" s="31">
        <f>Tercera!O21</f>
        <v>2</v>
      </c>
      <c r="P21" s="32">
        <f t="shared" si="65"/>
        <v>1</v>
      </c>
      <c r="Q21" s="31">
        <f>Tercera!Q21</f>
        <v>1</v>
      </c>
      <c r="R21" s="32">
        <f t="shared" si="66"/>
        <v>0.5</v>
      </c>
      <c r="S21" s="31">
        <f>Tercera!S21</f>
        <v>1</v>
      </c>
      <c r="T21" s="32">
        <f t="shared" si="67"/>
        <v>0.5</v>
      </c>
      <c r="U21" s="31">
        <f>Tercera!U21</f>
        <v>2</v>
      </c>
      <c r="V21" s="32">
        <f t="shared" si="68"/>
        <v>1</v>
      </c>
      <c r="W21" s="31">
        <f>Tercera!W21</f>
        <v>0.40000000596046448</v>
      </c>
      <c r="X21" s="32">
        <f t="shared" si="69"/>
        <v>0.20000000298023224</v>
      </c>
      <c r="Y21" s="31">
        <f>Tercera!Y21</f>
        <v>0.80000001192092896</v>
      </c>
      <c r="Z21" s="32">
        <f t="shared" si="70"/>
        <v>0.40000000596046448</v>
      </c>
      <c r="AA21" s="31">
        <f>Tercera!AA21</f>
        <v>0.80000001192092896</v>
      </c>
      <c r="AB21" s="32">
        <f t="shared" si="71"/>
        <v>0.40000000596046448</v>
      </c>
      <c r="AC21" s="31">
        <f>Tercera!AC21</f>
        <v>0.60000002384185791</v>
      </c>
      <c r="AD21" s="32">
        <f t="shared" si="72"/>
        <v>0.30000001192092896</v>
      </c>
      <c r="AE21" s="31">
        <f>Tercera!AE21</f>
        <v>1</v>
      </c>
      <c r="AF21" s="32">
        <f t="shared" si="73"/>
        <v>0.5</v>
      </c>
      <c r="AG21" s="31">
        <f>Tercera!AG21</f>
        <v>0.20000000298023224</v>
      </c>
      <c r="AH21" s="32">
        <f t="shared" si="74"/>
        <v>0.10000000149011612</v>
      </c>
      <c r="AI21" s="31">
        <f>Tercera!AI21</f>
        <v>1</v>
      </c>
      <c r="AJ21" s="32">
        <f t="shared" si="75"/>
        <v>0.5</v>
      </c>
      <c r="AK21" s="31">
        <f>Tercera!AK21</f>
        <v>2</v>
      </c>
      <c r="AL21" s="32">
        <f t="shared" si="76"/>
        <v>1</v>
      </c>
      <c r="AM21" s="31">
        <f>Tercera!AM21</f>
        <v>1.2000000476837158</v>
      </c>
      <c r="AN21" s="32">
        <f t="shared" si="77"/>
        <v>0.60000002384185791</v>
      </c>
      <c r="AO21" s="31">
        <f>Tercera!AO21</f>
        <v>2</v>
      </c>
      <c r="AP21" s="32">
        <f t="shared" si="78"/>
        <v>1</v>
      </c>
      <c r="AQ21" s="31">
        <f>Tercera!AQ21</f>
        <v>1.3999999761581421</v>
      </c>
      <c r="AR21" s="32">
        <f t="shared" si="79"/>
        <v>0.69999998807907104</v>
      </c>
      <c r="AS21" s="31">
        <f>Tercera!AS21</f>
        <v>0.80000001192092896</v>
      </c>
      <c r="AT21" s="32">
        <f t="shared" si="80"/>
        <v>0.40000000596046448</v>
      </c>
      <c r="AU21" s="31">
        <f>Tercera!AU21</f>
        <v>1.3999999761581421</v>
      </c>
      <c r="AV21" s="32">
        <f t="shared" si="81"/>
        <v>0.69999998807907104</v>
      </c>
      <c r="AW21" s="31">
        <f>Tercera!AW21</f>
        <v>0</v>
      </c>
      <c r="AX21" s="32">
        <f t="shared" si="82"/>
        <v>0</v>
      </c>
      <c r="AY21" s="31">
        <f>Tercera!AY21</f>
        <v>1.6000000238418579</v>
      </c>
      <c r="AZ21" s="32">
        <f t="shared" si="83"/>
        <v>0.80000001192092896</v>
      </c>
      <c r="BA21" s="31">
        <f>Tercera!BA21</f>
        <v>1.3999999761581421</v>
      </c>
      <c r="BB21" s="32">
        <f t="shared" si="84"/>
        <v>0.69999998807907104</v>
      </c>
      <c r="BC21" s="31">
        <f>Tercera!BC21</f>
        <v>1</v>
      </c>
      <c r="BD21" s="32">
        <f t="shared" si="85"/>
        <v>0.5</v>
      </c>
      <c r="BE21" s="31">
        <f>Tercera!BE21</f>
        <v>0.20000000298023224</v>
      </c>
      <c r="BF21" s="32">
        <f t="shared" si="86"/>
        <v>0.10000000149011612</v>
      </c>
      <c r="BG21" s="31">
        <f>Tercera!BG21</f>
        <v>0.40000000596046448</v>
      </c>
      <c r="BH21" s="32">
        <f t="shared" si="87"/>
        <v>0.20000000298023224</v>
      </c>
      <c r="BI21" s="31">
        <f>Tercera!BI21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Tercera!B22</f>
        <v>1</v>
      </c>
      <c r="C22" s="31">
        <f>Tercera!C22</f>
        <v>0.80000001192092896</v>
      </c>
      <c r="D22" s="32">
        <f t="shared" si="59"/>
        <v>0.80000001192092896</v>
      </c>
      <c r="E22" s="31">
        <f>Tercera!E22</f>
        <v>0</v>
      </c>
      <c r="F22" s="32">
        <f t="shared" si="60"/>
        <v>0</v>
      </c>
      <c r="G22" s="31">
        <f>Tercera!G22</f>
        <v>0.5</v>
      </c>
      <c r="H22" s="32">
        <f t="shared" si="61"/>
        <v>0.5</v>
      </c>
      <c r="I22" s="31">
        <f>Tercera!I22</f>
        <v>0.80000001192092896</v>
      </c>
      <c r="J22" s="32">
        <f t="shared" si="62"/>
        <v>0.80000001192092896</v>
      </c>
      <c r="K22" s="31">
        <f>Tercera!K22</f>
        <v>0.80000001192092896</v>
      </c>
      <c r="L22" s="32">
        <f t="shared" si="63"/>
        <v>0.80000001192092896</v>
      </c>
      <c r="M22" s="31">
        <f>Tercera!M22</f>
        <v>0.30000001192092896</v>
      </c>
      <c r="N22" s="32">
        <f t="shared" si="64"/>
        <v>0.30000001192092896</v>
      </c>
      <c r="O22" s="31">
        <f>Tercera!O22</f>
        <v>1</v>
      </c>
      <c r="P22" s="32">
        <f t="shared" si="65"/>
        <v>1</v>
      </c>
      <c r="Q22" s="31">
        <f>Tercera!Q22</f>
        <v>0.80000001192092896</v>
      </c>
      <c r="R22" s="32">
        <f t="shared" si="66"/>
        <v>0.80000001192092896</v>
      </c>
      <c r="S22" s="31">
        <f>Tercera!S22</f>
        <v>0.69999998807907104</v>
      </c>
      <c r="T22" s="32">
        <f t="shared" si="67"/>
        <v>0.69999998807907104</v>
      </c>
      <c r="U22" s="31">
        <f>Tercera!U22</f>
        <v>0.89999997615814209</v>
      </c>
      <c r="V22" s="32">
        <f t="shared" si="68"/>
        <v>0.89999997615814209</v>
      </c>
      <c r="W22" s="31">
        <f>Tercera!W22</f>
        <v>0.89999997615814209</v>
      </c>
      <c r="X22" s="32">
        <f t="shared" si="69"/>
        <v>0.89999997615814209</v>
      </c>
      <c r="Y22" s="31">
        <f>Tercera!Y22</f>
        <v>0.40000000596046448</v>
      </c>
      <c r="Z22" s="32">
        <f t="shared" si="70"/>
        <v>0.40000000596046448</v>
      </c>
      <c r="AA22" s="31">
        <f>Tercera!AA22</f>
        <v>0.10000000149011612</v>
      </c>
      <c r="AB22" s="32">
        <f t="shared" si="71"/>
        <v>0.10000000149011612</v>
      </c>
      <c r="AC22" s="31">
        <f>Tercera!AC22</f>
        <v>1</v>
      </c>
      <c r="AD22" s="32">
        <f t="shared" si="72"/>
        <v>1</v>
      </c>
      <c r="AE22" s="31">
        <f>Tercera!AE22</f>
        <v>0.80000001192092896</v>
      </c>
      <c r="AF22" s="32">
        <f t="shared" si="73"/>
        <v>0.80000001192092896</v>
      </c>
      <c r="AG22" s="31">
        <f>Tercera!AG22</f>
        <v>0.69999998807907104</v>
      </c>
      <c r="AH22" s="32">
        <f t="shared" si="74"/>
        <v>0.69999998807907104</v>
      </c>
      <c r="AI22" s="31">
        <f>Tercera!AI22</f>
        <v>0.40000000596046448</v>
      </c>
      <c r="AJ22" s="32">
        <f t="shared" si="75"/>
        <v>0.40000000596046448</v>
      </c>
      <c r="AK22" s="31">
        <f>Tercera!AK22</f>
        <v>0</v>
      </c>
      <c r="AL22" s="32">
        <f t="shared" si="76"/>
        <v>0</v>
      </c>
      <c r="AM22" s="31">
        <f>Tercera!AM22</f>
        <v>0.10000000149011612</v>
      </c>
      <c r="AN22" s="32">
        <f t="shared" si="77"/>
        <v>0.10000000149011612</v>
      </c>
      <c r="AO22" s="31">
        <f>Tercera!AO22</f>
        <v>0.10000000149011612</v>
      </c>
      <c r="AP22" s="32">
        <f t="shared" si="78"/>
        <v>0.10000000149011612</v>
      </c>
      <c r="AQ22" s="31">
        <f>Tercera!AQ22</f>
        <v>0.5</v>
      </c>
      <c r="AR22" s="32">
        <f t="shared" si="79"/>
        <v>0.5</v>
      </c>
      <c r="AS22" s="31">
        <f>Tercera!AS22</f>
        <v>0.40000000596046448</v>
      </c>
      <c r="AT22" s="32">
        <f t="shared" si="80"/>
        <v>0.40000000596046448</v>
      </c>
      <c r="AU22" s="31">
        <f>Tercera!AU22</f>
        <v>0.10000000149011612</v>
      </c>
      <c r="AV22" s="32">
        <f t="shared" si="81"/>
        <v>0.10000000149011612</v>
      </c>
      <c r="AW22" s="31">
        <f>Tercera!AW22</f>
        <v>0.30000001192092896</v>
      </c>
      <c r="AX22" s="32">
        <f t="shared" si="82"/>
        <v>0.30000001192092896</v>
      </c>
      <c r="AY22" s="31">
        <f>Tercera!AY22</f>
        <v>0.69999998807907104</v>
      </c>
      <c r="AZ22" s="32">
        <f t="shared" si="83"/>
        <v>0.69999998807907104</v>
      </c>
      <c r="BA22" s="31">
        <f>Tercera!BA22</f>
        <v>0.89999997615814209</v>
      </c>
      <c r="BB22" s="32">
        <f t="shared" si="84"/>
        <v>0.89999997615814209</v>
      </c>
      <c r="BC22" s="31">
        <f>Tercera!BC22</f>
        <v>0.5</v>
      </c>
      <c r="BD22" s="32">
        <f t="shared" si="85"/>
        <v>0.5</v>
      </c>
      <c r="BE22" s="31">
        <f>Tercera!BE22</f>
        <v>0.20000000298023224</v>
      </c>
      <c r="BF22" s="32">
        <f t="shared" si="86"/>
        <v>0.20000000298023224</v>
      </c>
      <c r="BG22" s="31">
        <f>Tercera!BG22</f>
        <v>0.89999997615814209</v>
      </c>
      <c r="BH22" s="32">
        <f t="shared" si="87"/>
        <v>0.89999997615814209</v>
      </c>
      <c r="BI22" s="31">
        <f>Tercera!BI22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Tercera!B23</f>
        <v>1</v>
      </c>
      <c r="C23" s="31">
        <f>Tercera!C23</f>
        <v>0.30000001192092896</v>
      </c>
      <c r="D23" s="32">
        <f t="shared" si="59"/>
        <v>0.30000001192092896</v>
      </c>
      <c r="E23" s="31">
        <f>Tercera!E23</f>
        <v>0.80000001192092896</v>
      </c>
      <c r="F23" s="32">
        <f t="shared" si="60"/>
        <v>0.80000001192092896</v>
      </c>
      <c r="G23" s="31">
        <f>Tercera!G23</f>
        <v>0.20000000298023224</v>
      </c>
      <c r="H23" s="32">
        <f t="shared" si="61"/>
        <v>0.20000000298023224</v>
      </c>
      <c r="I23" s="31">
        <f>Tercera!I23</f>
        <v>0.40000000596046448</v>
      </c>
      <c r="J23" s="32">
        <f t="shared" si="62"/>
        <v>0.40000000596046448</v>
      </c>
      <c r="K23" s="31">
        <f>Tercera!K23</f>
        <v>0.20000000298023224</v>
      </c>
      <c r="L23" s="32">
        <f t="shared" si="63"/>
        <v>0.20000000298023224</v>
      </c>
      <c r="M23" s="31">
        <f>Tercera!M23</f>
        <v>0.89999997615814209</v>
      </c>
      <c r="N23" s="32">
        <f t="shared" si="64"/>
        <v>0.89999997615814209</v>
      </c>
      <c r="O23" s="31">
        <f>Tercera!O23</f>
        <v>0.60000002384185791</v>
      </c>
      <c r="P23" s="32">
        <f t="shared" si="65"/>
        <v>0.60000002384185791</v>
      </c>
      <c r="Q23" s="31">
        <f>Tercera!Q23</f>
        <v>0.40000000596046448</v>
      </c>
      <c r="R23" s="32">
        <f t="shared" si="66"/>
        <v>0.40000000596046448</v>
      </c>
      <c r="S23" s="31">
        <f>Tercera!S23</f>
        <v>0.40000000596046448</v>
      </c>
      <c r="T23" s="32">
        <f t="shared" si="67"/>
        <v>0.40000000596046448</v>
      </c>
      <c r="U23" s="31">
        <f>Tercera!U23</f>
        <v>0.89999997615814209</v>
      </c>
      <c r="V23" s="32">
        <f t="shared" si="68"/>
        <v>0.89999997615814209</v>
      </c>
      <c r="W23" s="31">
        <f>Tercera!W23</f>
        <v>0.60000002384185791</v>
      </c>
      <c r="X23" s="32">
        <f t="shared" si="69"/>
        <v>0.60000002384185791</v>
      </c>
      <c r="Y23" s="31">
        <f>Tercera!Y23</f>
        <v>1</v>
      </c>
      <c r="Z23" s="32">
        <f t="shared" si="70"/>
        <v>1</v>
      </c>
      <c r="AA23" s="31">
        <f>Tercera!AA23</f>
        <v>0.5</v>
      </c>
      <c r="AB23" s="32">
        <f t="shared" si="71"/>
        <v>0.5</v>
      </c>
      <c r="AC23" s="31">
        <f>Tercera!AC23</f>
        <v>0.30000001192092896</v>
      </c>
      <c r="AD23" s="32">
        <f t="shared" si="72"/>
        <v>0.30000001192092896</v>
      </c>
      <c r="AE23" s="31">
        <f>Tercera!AE23</f>
        <v>0.89999997615814209</v>
      </c>
      <c r="AF23" s="32">
        <f t="shared" si="73"/>
        <v>0.89999997615814209</v>
      </c>
      <c r="AG23" s="31">
        <f>Tercera!AG23</f>
        <v>0.20000000298023224</v>
      </c>
      <c r="AH23" s="32">
        <f t="shared" si="74"/>
        <v>0.20000000298023224</v>
      </c>
      <c r="AI23" s="31">
        <f>Tercera!AI23</f>
        <v>0.20000000298023224</v>
      </c>
      <c r="AJ23" s="32">
        <f t="shared" si="75"/>
        <v>0.20000000298023224</v>
      </c>
      <c r="AK23" s="31">
        <f>Tercera!AK23</f>
        <v>0.10000000149011612</v>
      </c>
      <c r="AL23" s="32">
        <f t="shared" si="76"/>
        <v>0.10000000149011612</v>
      </c>
      <c r="AM23" s="31">
        <f>Tercera!AM23</f>
        <v>0.30000001192092896</v>
      </c>
      <c r="AN23" s="32">
        <f t="shared" si="77"/>
        <v>0.30000001192092896</v>
      </c>
      <c r="AO23" s="31">
        <f>Tercera!AO23</f>
        <v>0</v>
      </c>
      <c r="AP23" s="32">
        <f t="shared" si="78"/>
        <v>0</v>
      </c>
      <c r="AQ23" s="31">
        <f>Tercera!AQ23</f>
        <v>0.80000001192092896</v>
      </c>
      <c r="AR23" s="32">
        <f t="shared" si="79"/>
        <v>0.80000001192092896</v>
      </c>
      <c r="AS23" s="31">
        <f>Tercera!AS23</f>
        <v>0.89999997615814209</v>
      </c>
      <c r="AT23" s="32">
        <f t="shared" si="80"/>
        <v>0.89999997615814209</v>
      </c>
      <c r="AU23" s="31">
        <f>Tercera!AU23</f>
        <v>0.30000001192092896</v>
      </c>
      <c r="AV23" s="32">
        <f t="shared" si="81"/>
        <v>0.30000001192092896</v>
      </c>
      <c r="AW23" s="31">
        <f>Tercera!AW23</f>
        <v>0.69999998807907104</v>
      </c>
      <c r="AX23" s="32">
        <f t="shared" si="82"/>
        <v>0.69999998807907104</v>
      </c>
      <c r="AY23" s="31">
        <f>Tercera!AY23</f>
        <v>0.40000000596046448</v>
      </c>
      <c r="AZ23" s="32">
        <f t="shared" si="83"/>
        <v>0.40000000596046448</v>
      </c>
      <c r="BA23" s="31">
        <f>Tercera!BA23</f>
        <v>0.80000001192092896</v>
      </c>
      <c r="BB23" s="32">
        <f t="shared" si="84"/>
        <v>0.80000001192092896</v>
      </c>
      <c r="BC23" s="31">
        <f>Tercera!BC23</f>
        <v>0.80000001192092896</v>
      </c>
      <c r="BD23" s="32">
        <f t="shared" si="85"/>
        <v>0.80000001192092896</v>
      </c>
      <c r="BE23" s="31">
        <f>Tercera!BE23</f>
        <v>0.40000000596046448</v>
      </c>
      <c r="BF23" s="32">
        <f t="shared" si="86"/>
        <v>0.40000000596046448</v>
      </c>
      <c r="BG23" s="31">
        <f>Tercera!BG23</f>
        <v>0</v>
      </c>
      <c r="BH23" s="32">
        <f t="shared" si="87"/>
        <v>0</v>
      </c>
      <c r="BI23" s="31">
        <f>Tercera!BI23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Tercera!B24</f>
        <v>0</v>
      </c>
      <c r="C24" s="31">
        <f>Tercera!C24</f>
        <v>0</v>
      </c>
      <c r="D24" s="32">
        <f t="shared" si="59"/>
        <v>-1</v>
      </c>
      <c r="E24" s="31">
        <f>Tercera!E24</f>
        <v>0</v>
      </c>
      <c r="F24" s="32">
        <f t="shared" si="60"/>
        <v>-1</v>
      </c>
      <c r="G24" s="31">
        <f>Tercera!G24</f>
        <v>0</v>
      </c>
      <c r="H24" s="32">
        <f t="shared" si="61"/>
        <v>-1</v>
      </c>
      <c r="I24" s="31">
        <f>Tercera!I24</f>
        <v>0</v>
      </c>
      <c r="J24" s="32">
        <f t="shared" si="62"/>
        <v>-1</v>
      </c>
      <c r="K24" s="31">
        <f>Tercera!K24</f>
        <v>0</v>
      </c>
      <c r="L24" s="32">
        <f t="shared" si="63"/>
        <v>-1</v>
      </c>
      <c r="M24" s="31">
        <f>Tercera!M24</f>
        <v>0</v>
      </c>
      <c r="N24" s="32">
        <f t="shared" si="64"/>
        <v>-1</v>
      </c>
      <c r="O24" s="31">
        <f>Tercera!O24</f>
        <v>0</v>
      </c>
      <c r="P24" s="32">
        <f t="shared" si="65"/>
        <v>-1</v>
      </c>
      <c r="Q24" s="31">
        <f>Tercera!Q24</f>
        <v>0</v>
      </c>
      <c r="R24" s="32">
        <f t="shared" si="66"/>
        <v>-1</v>
      </c>
      <c r="S24" s="31">
        <f>Tercera!S24</f>
        <v>0</v>
      </c>
      <c r="T24" s="32">
        <f t="shared" si="67"/>
        <v>-1</v>
      </c>
      <c r="U24" s="31">
        <f>Tercera!U24</f>
        <v>0</v>
      </c>
      <c r="V24" s="32">
        <f t="shared" si="68"/>
        <v>-1</v>
      </c>
      <c r="W24" s="31">
        <f>Tercera!W24</f>
        <v>0</v>
      </c>
      <c r="X24" s="32">
        <f t="shared" si="69"/>
        <v>-1</v>
      </c>
      <c r="Y24" s="31">
        <f>Tercera!Y24</f>
        <v>0</v>
      </c>
      <c r="Z24" s="32">
        <f t="shared" si="70"/>
        <v>-1</v>
      </c>
      <c r="AA24" s="31">
        <f>Tercera!AA24</f>
        <v>0</v>
      </c>
      <c r="AB24" s="32">
        <f t="shared" si="71"/>
        <v>-1</v>
      </c>
      <c r="AC24" s="31">
        <f>Tercera!AC24</f>
        <v>0</v>
      </c>
      <c r="AD24" s="32">
        <f t="shared" si="72"/>
        <v>-1</v>
      </c>
      <c r="AE24" s="31">
        <f>Tercera!AE24</f>
        <v>0</v>
      </c>
      <c r="AF24" s="32">
        <f t="shared" si="73"/>
        <v>-1</v>
      </c>
      <c r="AG24" s="31">
        <f>Tercera!AG24</f>
        <v>0</v>
      </c>
      <c r="AH24" s="32">
        <f t="shared" si="74"/>
        <v>-1</v>
      </c>
      <c r="AI24" s="31">
        <f>Tercera!AI24</f>
        <v>0</v>
      </c>
      <c r="AJ24" s="32">
        <f t="shared" si="75"/>
        <v>-1</v>
      </c>
      <c r="AK24" s="31">
        <f>Tercera!AK24</f>
        <v>0</v>
      </c>
      <c r="AL24" s="32">
        <f t="shared" si="76"/>
        <v>-1</v>
      </c>
      <c r="AM24" s="31">
        <f>Tercera!AM24</f>
        <v>0</v>
      </c>
      <c r="AN24" s="32">
        <f t="shared" si="77"/>
        <v>-1</v>
      </c>
      <c r="AO24" s="31">
        <f>Tercera!AO24</f>
        <v>0</v>
      </c>
      <c r="AP24" s="32">
        <f t="shared" si="78"/>
        <v>-1</v>
      </c>
      <c r="AQ24" s="31">
        <f>Tercera!AQ24</f>
        <v>0</v>
      </c>
      <c r="AR24" s="32">
        <f t="shared" si="79"/>
        <v>-1</v>
      </c>
      <c r="AS24" s="31">
        <f>Tercera!AS24</f>
        <v>0</v>
      </c>
      <c r="AT24" s="32">
        <f t="shared" si="80"/>
        <v>-1</v>
      </c>
      <c r="AU24" s="31">
        <f>Tercera!AU24</f>
        <v>0</v>
      </c>
      <c r="AV24" s="32">
        <f t="shared" si="81"/>
        <v>-1</v>
      </c>
      <c r="AW24" s="31">
        <f>Tercera!AW24</f>
        <v>0</v>
      </c>
      <c r="AX24" s="32">
        <f t="shared" si="82"/>
        <v>-1</v>
      </c>
      <c r="AY24" s="31">
        <f>Tercera!AY24</f>
        <v>0</v>
      </c>
      <c r="AZ24" s="32">
        <f t="shared" si="83"/>
        <v>-1</v>
      </c>
      <c r="BA24" s="31">
        <f>Tercera!BA24</f>
        <v>0</v>
      </c>
      <c r="BB24" s="32">
        <f t="shared" si="84"/>
        <v>-1</v>
      </c>
      <c r="BC24" s="31">
        <f>Tercera!BC24</f>
        <v>0</v>
      </c>
      <c r="BD24" s="32">
        <f t="shared" si="85"/>
        <v>-1</v>
      </c>
      <c r="BE24" s="31">
        <f>Tercera!BE24</f>
        <v>0</v>
      </c>
      <c r="BF24" s="32">
        <f t="shared" si="86"/>
        <v>-1</v>
      </c>
      <c r="BG24" s="31">
        <f>Tercera!BG24</f>
        <v>0</v>
      </c>
      <c r="BH24" s="32">
        <f t="shared" si="87"/>
        <v>-1</v>
      </c>
      <c r="BI24" s="31">
        <f>Tercera!BI24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Tercera!B25</f>
        <v>0</v>
      </c>
      <c r="C25" s="31">
        <f>Tercera!C25</f>
        <v>0</v>
      </c>
      <c r="D25" s="32">
        <f t="shared" si="59"/>
        <v>-1</v>
      </c>
      <c r="E25" s="31">
        <f>Tercera!E25</f>
        <v>0</v>
      </c>
      <c r="F25" s="32">
        <f t="shared" si="60"/>
        <v>-1</v>
      </c>
      <c r="G25" s="31">
        <f>Tercera!G25</f>
        <v>0</v>
      </c>
      <c r="H25" s="32">
        <f t="shared" si="61"/>
        <v>-1</v>
      </c>
      <c r="I25" s="31">
        <f>Tercera!I25</f>
        <v>0</v>
      </c>
      <c r="J25" s="32">
        <f t="shared" si="62"/>
        <v>-1</v>
      </c>
      <c r="K25" s="31">
        <f>Tercera!K25</f>
        <v>0</v>
      </c>
      <c r="L25" s="32">
        <f t="shared" si="63"/>
        <v>-1</v>
      </c>
      <c r="M25" s="31">
        <f>Tercera!M25</f>
        <v>0</v>
      </c>
      <c r="N25" s="32">
        <f t="shared" si="64"/>
        <v>-1</v>
      </c>
      <c r="O25" s="31">
        <f>Tercera!O25</f>
        <v>0</v>
      </c>
      <c r="P25" s="32">
        <f t="shared" si="65"/>
        <v>-1</v>
      </c>
      <c r="Q25" s="31">
        <f>Tercera!Q25</f>
        <v>0</v>
      </c>
      <c r="R25" s="32">
        <f t="shared" si="66"/>
        <v>-1</v>
      </c>
      <c r="S25" s="31">
        <f>Tercera!S25</f>
        <v>0</v>
      </c>
      <c r="T25" s="32">
        <f t="shared" si="67"/>
        <v>-1</v>
      </c>
      <c r="U25" s="31">
        <f>Tercera!U25</f>
        <v>0</v>
      </c>
      <c r="V25" s="32">
        <f t="shared" si="68"/>
        <v>-1</v>
      </c>
      <c r="W25" s="31">
        <f>Tercera!W25</f>
        <v>0</v>
      </c>
      <c r="X25" s="32">
        <f t="shared" si="69"/>
        <v>-1</v>
      </c>
      <c r="Y25" s="31">
        <f>Tercera!Y25</f>
        <v>0</v>
      </c>
      <c r="Z25" s="32">
        <f t="shared" si="70"/>
        <v>-1</v>
      </c>
      <c r="AA25" s="31">
        <f>Tercera!AA25</f>
        <v>0</v>
      </c>
      <c r="AB25" s="32">
        <f t="shared" si="71"/>
        <v>-1</v>
      </c>
      <c r="AC25" s="31">
        <f>Tercera!AC25</f>
        <v>0</v>
      </c>
      <c r="AD25" s="32">
        <f t="shared" si="72"/>
        <v>-1</v>
      </c>
      <c r="AE25" s="31">
        <f>Tercera!AE25</f>
        <v>0</v>
      </c>
      <c r="AF25" s="32">
        <f t="shared" si="73"/>
        <v>-1</v>
      </c>
      <c r="AG25" s="31">
        <f>Tercera!AG25</f>
        <v>0</v>
      </c>
      <c r="AH25" s="32">
        <f t="shared" si="74"/>
        <v>-1</v>
      </c>
      <c r="AI25" s="31">
        <f>Tercera!AI25</f>
        <v>0</v>
      </c>
      <c r="AJ25" s="32">
        <f t="shared" si="75"/>
        <v>-1</v>
      </c>
      <c r="AK25" s="31">
        <f>Tercera!AK25</f>
        <v>0</v>
      </c>
      <c r="AL25" s="32">
        <f t="shared" si="76"/>
        <v>-1</v>
      </c>
      <c r="AM25" s="31">
        <f>Tercera!AM25</f>
        <v>0</v>
      </c>
      <c r="AN25" s="32">
        <f t="shared" si="77"/>
        <v>-1</v>
      </c>
      <c r="AO25" s="31">
        <f>Tercera!AO25</f>
        <v>0</v>
      </c>
      <c r="AP25" s="32">
        <f t="shared" si="78"/>
        <v>-1</v>
      </c>
      <c r="AQ25" s="31">
        <f>Tercera!AQ25</f>
        <v>0</v>
      </c>
      <c r="AR25" s="32">
        <f t="shared" si="79"/>
        <v>-1</v>
      </c>
      <c r="AS25" s="31">
        <f>Tercera!AS25</f>
        <v>0</v>
      </c>
      <c r="AT25" s="32">
        <f t="shared" si="80"/>
        <v>-1</v>
      </c>
      <c r="AU25" s="31">
        <f>Tercera!AU25</f>
        <v>0</v>
      </c>
      <c r="AV25" s="32">
        <f t="shared" si="81"/>
        <v>-1</v>
      </c>
      <c r="AW25" s="31">
        <f>Tercera!AW25</f>
        <v>0</v>
      </c>
      <c r="AX25" s="32">
        <f t="shared" si="82"/>
        <v>-1</v>
      </c>
      <c r="AY25" s="31">
        <f>Tercera!AY25</f>
        <v>0</v>
      </c>
      <c r="AZ25" s="32">
        <f t="shared" si="83"/>
        <v>-1</v>
      </c>
      <c r="BA25" s="31">
        <f>Tercera!BA25</f>
        <v>0</v>
      </c>
      <c r="BB25" s="32">
        <f t="shared" si="84"/>
        <v>-1</v>
      </c>
      <c r="BC25" s="31">
        <f>Tercera!BC25</f>
        <v>0</v>
      </c>
      <c r="BD25" s="32">
        <f t="shared" si="85"/>
        <v>-1</v>
      </c>
      <c r="BE25" s="31">
        <f>Tercera!BE25</f>
        <v>0</v>
      </c>
      <c r="BF25" s="32">
        <f t="shared" si="86"/>
        <v>-1</v>
      </c>
      <c r="BG25" s="31">
        <f>Tercera!BG25</f>
        <v>0</v>
      </c>
      <c r="BH25" s="32">
        <f t="shared" si="87"/>
        <v>-1</v>
      </c>
      <c r="BI25" s="31">
        <f>Tercera!BI25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Tercera!B26</f>
        <v>2</v>
      </c>
      <c r="C26" s="31">
        <f>Tercera!C26</f>
        <v>0.60000002384185791</v>
      </c>
      <c r="D26" s="32">
        <f t="shared" si="59"/>
        <v>0.30000001192092896</v>
      </c>
      <c r="E26" s="31">
        <f>Tercera!E26</f>
        <v>1.3999999761581421</v>
      </c>
      <c r="F26" s="32">
        <f t="shared" si="60"/>
        <v>0.69999998807907104</v>
      </c>
      <c r="G26" s="31">
        <f>Tercera!G26</f>
        <v>0.60000002384185791</v>
      </c>
      <c r="H26" s="32">
        <f t="shared" si="61"/>
        <v>0.30000001192092896</v>
      </c>
      <c r="I26" s="31">
        <f>Tercera!I26</f>
        <v>1.6000000238418579</v>
      </c>
      <c r="J26" s="32">
        <f t="shared" si="62"/>
        <v>0.80000001192092896</v>
      </c>
      <c r="K26" s="31">
        <f>Tercera!K26</f>
        <v>0.20000000298023224</v>
      </c>
      <c r="L26" s="32">
        <f t="shared" si="63"/>
        <v>0.10000000149011612</v>
      </c>
      <c r="M26" s="31">
        <f>Tercera!M26</f>
        <v>1.2000000476837158</v>
      </c>
      <c r="N26" s="32">
        <f t="shared" si="64"/>
        <v>0.60000002384185791</v>
      </c>
      <c r="O26" s="31">
        <f>Tercera!O26</f>
        <v>2</v>
      </c>
      <c r="P26" s="32">
        <f t="shared" si="65"/>
        <v>1</v>
      </c>
      <c r="Q26" s="31">
        <f>Tercera!Q26</f>
        <v>0.40000000596046448</v>
      </c>
      <c r="R26" s="32">
        <f t="shared" si="66"/>
        <v>0.20000000298023224</v>
      </c>
      <c r="S26" s="31">
        <f>Tercera!S26</f>
        <v>2</v>
      </c>
      <c r="T26" s="32">
        <f t="shared" si="67"/>
        <v>1</v>
      </c>
      <c r="U26" s="31">
        <f>Tercera!U26</f>
        <v>0.20000000298023224</v>
      </c>
      <c r="V26" s="32">
        <f t="shared" si="68"/>
        <v>0.10000000149011612</v>
      </c>
      <c r="W26" s="31">
        <f>Tercera!W26</f>
        <v>2</v>
      </c>
      <c r="X26" s="32">
        <f t="shared" si="69"/>
        <v>1</v>
      </c>
      <c r="Y26" s="31">
        <f>Tercera!Y26</f>
        <v>1.2000000476837158</v>
      </c>
      <c r="Z26" s="32">
        <f t="shared" si="70"/>
        <v>0.60000002384185791</v>
      </c>
      <c r="AA26" s="31">
        <f>Tercera!AA26</f>
        <v>1.2000000476837158</v>
      </c>
      <c r="AB26" s="32">
        <f t="shared" si="71"/>
        <v>0.60000002384185791</v>
      </c>
      <c r="AC26" s="31">
        <f>Tercera!AC26</f>
        <v>1.7999999523162842</v>
      </c>
      <c r="AD26" s="32">
        <f t="shared" si="72"/>
        <v>0.89999997615814209</v>
      </c>
      <c r="AE26" s="31">
        <f>Tercera!AE26</f>
        <v>1.2000000476837158</v>
      </c>
      <c r="AF26" s="32">
        <f t="shared" si="73"/>
        <v>0.60000002384185791</v>
      </c>
      <c r="AG26" s="31">
        <f>Tercera!AG26</f>
        <v>0.40000000596046448</v>
      </c>
      <c r="AH26" s="32">
        <f t="shared" si="74"/>
        <v>0.20000000298023224</v>
      </c>
      <c r="AI26" s="31">
        <f>Tercera!AI26</f>
        <v>1.7999999523162842</v>
      </c>
      <c r="AJ26" s="32">
        <f t="shared" si="75"/>
        <v>0.89999997615814209</v>
      </c>
      <c r="AK26" s="31">
        <f>Tercera!AK26</f>
        <v>0</v>
      </c>
      <c r="AL26" s="32">
        <f t="shared" si="76"/>
        <v>0</v>
      </c>
      <c r="AM26" s="31">
        <f>Tercera!AM26</f>
        <v>0.80000001192092896</v>
      </c>
      <c r="AN26" s="32">
        <f t="shared" si="77"/>
        <v>0.40000000596046448</v>
      </c>
      <c r="AO26" s="31">
        <f>Tercera!AO26</f>
        <v>1.6000000238418579</v>
      </c>
      <c r="AP26" s="32">
        <f t="shared" si="78"/>
        <v>0.80000001192092896</v>
      </c>
      <c r="AQ26" s="31">
        <f>Tercera!AQ26</f>
        <v>0.40000000596046448</v>
      </c>
      <c r="AR26" s="32">
        <f t="shared" si="79"/>
        <v>0.20000000298023224</v>
      </c>
      <c r="AS26" s="31">
        <f>Tercera!AS26</f>
        <v>0.80000001192092896</v>
      </c>
      <c r="AT26" s="32">
        <f t="shared" si="80"/>
        <v>0.40000000596046448</v>
      </c>
      <c r="AU26" s="31">
        <f>Tercera!AU26</f>
        <v>0.80000001192092896</v>
      </c>
      <c r="AV26" s="32">
        <f t="shared" si="81"/>
        <v>0.40000000596046448</v>
      </c>
      <c r="AW26" s="31">
        <f>Tercera!AW26</f>
        <v>1</v>
      </c>
      <c r="AX26" s="32">
        <f t="shared" si="82"/>
        <v>0.5</v>
      </c>
      <c r="AY26" s="31">
        <f>Tercera!AY26</f>
        <v>0.40000000596046448</v>
      </c>
      <c r="AZ26" s="32">
        <f t="shared" si="83"/>
        <v>0.20000000298023224</v>
      </c>
      <c r="BA26" s="31">
        <f>Tercera!BA26</f>
        <v>1.2000000476837158</v>
      </c>
      <c r="BB26" s="32">
        <f t="shared" si="84"/>
        <v>0.60000002384185791</v>
      </c>
      <c r="BC26" s="31">
        <f>Tercera!BC26</f>
        <v>0.40000000596046448</v>
      </c>
      <c r="BD26" s="32">
        <f t="shared" si="85"/>
        <v>0.20000000298023224</v>
      </c>
      <c r="BE26" s="31">
        <f>Tercera!BE26</f>
        <v>0</v>
      </c>
      <c r="BF26" s="32">
        <f t="shared" si="86"/>
        <v>0</v>
      </c>
      <c r="BG26" s="31">
        <f>Tercera!BG26</f>
        <v>1.7999999523162842</v>
      </c>
      <c r="BH26" s="32">
        <f t="shared" si="87"/>
        <v>0.89999997615814209</v>
      </c>
      <c r="BI26" s="31">
        <f>Tercera!BI26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Tercera!B27</f>
        <v>2</v>
      </c>
      <c r="C27" s="31">
        <f>Tercera!C27</f>
        <v>1.3999999761581421</v>
      </c>
      <c r="D27" s="32">
        <f t="shared" si="59"/>
        <v>0.69999998807907104</v>
      </c>
      <c r="E27" s="31">
        <f>Tercera!E27</f>
        <v>1.7999999523162842</v>
      </c>
      <c r="F27" s="32">
        <f t="shared" si="60"/>
        <v>0.89999997615814209</v>
      </c>
      <c r="G27" s="31">
        <f>Tercera!G27</f>
        <v>0.40000000596046448</v>
      </c>
      <c r="H27" s="32">
        <f t="shared" si="61"/>
        <v>0.20000000298023224</v>
      </c>
      <c r="I27" s="31">
        <f>Tercera!I27</f>
        <v>2</v>
      </c>
      <c r="J27" s="32">
        <f t="shared" si="62"/>
        <v>1</v>
      </c>
      <c r="K27" s="31">
        <f>Tercera!K27</f>
        <v>1.7999999523162842</v>
      </c>
      <c r="L27" s="32">
        <f t="shared" si="63"/>
        <v>0.89999997615814209</v>
      </c>
      <c r="M27" s="31">
        <f>Tercera!M27</f>
        <v>0.80000001192092896</v>
      </c>
      <c r="N27" s="32">
        <f t="shared" si="64"/>
        <v>0.40000000596046448</v>
      </c>
      <c r="O27" s="31">
        <f>Tercera!O27</f>
        <v>1</v>
      </c>
      <c r="P27" s="32">
        <f t="shared" si="65"/>
        <v>0.5</v>
      </c>
      <c r="Q27" s="31">
        <f>Tercera!Q27</f>
        <v>1.6000000238418579</v>
      </c>
      <c r="R27" s="32">
        <f t="shared" si="66"/>
        <v>0.80000001192092896</v>
      </c>
      <c r="S27" s="31">
        <f>Tercera!S27</f>
        <v>1.7999999523162842</v>
      </c>
      <c r="T27" s="32">
        <f t="shared" si="67"/>
        <v>0.89999997615814209</v>
      </c>
      <c r="U27" s="31">
        <f>Tercera!U27</f>
        <v>0.80000001192092896</v>
      </c>
      <c r="V27" s="32">
        <f t="shared" si="68"/>
        <v>0.40000000596046448</v>
      </c>
      <c r="W27" s="31">
        <f>Tercera!W27</f>
        <v>0.40000000596046448</v>
      </c>
      <c r="X27" s="32">
        <f t="shared" si="69"/>
        <v>0.20000000298023224</v>
      </c>
      <c r="Y27" s="31">
        <f>Tercera!Y27</f>
        <v>0.60000002384185791</v>
      </c>
      <c r="Z27" s="32">
        <f t="shared" si="70"/>
        <v>0.30000001192092896</v>
      </c>
      <c r="AA27" s="31">
        <f>Tercera!AA27</f>
        <v>0.80000001192092896</v>
      </c>
      <c r="AB27" s="32">
        <f t="shared" si="71"/>
        <v>0.40000000596046448</v>
      </c>
      <c r="AC27" s="31">
        <f>Tercera!AC27</f>
        <v>0.20000000298023224</v>
      </c>
      <c r="AD27" s="32">
        <f t="shared" si="72"/>
        <v>0.10000000149011612</v>
      </c>
      <c r="AE27" s="31">
        <f>Tercera!AE27</f>
        <v>1.2000000476837158</v>
      </c>
      <c r="AF27" s="32">
        <f t="shared" si="73"/>
        <v>0.60000002384185791</v>
      </c>
      <c r="AG27" s="31">
        <f>Tercera!AG27</f>
        <v>0.20000000298023224</v>
      </c>
      <c r="AH27" s="32">
        <f t="shared" si="74"/>
        <v>0.10000000149011612</v>
      </c>
      <c r="AI27" s="31">
        <f>Tercera!AI27</f>
        <v>0.40000000596046448</v>
      </c>
      <c r="AJ27" s="32">
        <f t="shared" si="75"/>
        <v>0.20000000298023224</v>
      </c>
      <c r="AK27" s="31">
        <f>Tercera!AK27</f>
        <v>1.3999999761581421</v>
      </c>
      <c r="AL27" s="32">
        <f t="shared" si="76"/>
        <v>0.69999998807907104</v>
      </c>
      <c r="AM27" s="31">
        <f>Tercera!AM27</f>
        <v>1</v>
      </c>
      <c r="AN27" s="32">
        <f t="shared" si="77"/>
        <v>0.5</v>
      </c>
      <c r="AO27" s="31">
        <f>Tercera!AO27</f>
        <v>0.40000000596046448</v>
      </c>
      <c r="AP27" s="32">
        <f t="shared" si="78"/>
        <v>0.20000000298023224</v>
      </c>
      <c r="AQ27" s="31">
        <f>Tercera!AQ27</f>
        <v>2</v>
      </c>
      <c r="AR27" s="32">
        <f t="shared" si="79"/>
        <v>1</v>
      </c>
      <c r="AS27" s="31">
        <f>Tercera!AS27</f>
        <v>1</v>
      </c>
      <c r="AT27" s="32">
        <f t="shared" si="80"/>
        <v>0.5</v>
      </c>
      <c r="AU27" s="31">
        <f>Tercera!AU27</f>
        <v>0</v>
      </c>
      <c r="AV27" s="32">
        <f t="shared" si="81"/>
        <v>0</v>
      </c>
      <c r="AW27" s="31">
        <f>Tercera!AW27</f>
        <v>0.80000001192092896</v>
      </c>
      <c r="AX27" s="32">
        <f t="shared" si="82"/>
        <v>0.40000000596046448</v>
      </c>
      <c r="AY27" s="31">
        <f>Tercera!AY27</f>
        <v>0.60000002384185791</v>
      </c>
      <c r="AZ27" s="32">
        <f t="shared" si="83"/>
        <v>0.30000001192092896</v>
      </c>
      <c r="BA27" s="31">
        <f>Tercera!BA27</f>
        <v>1.6000000238418579</v>
      </c>
      <c r="BB27" s="32">
        <f t="shared" si="84"/>
        <v>0.80000001192092896</v>
      </c>
      <c r="BC27" s="31">
        <f>Tercera!BC27</f>
        <v>1.7999999523162842</v>
      </c>
      <c r="BD27" s="32">
        <f t="shared" si="85"/>
        <v>0.89999997615814209</v>
      </c>
      <c r="BE27" s="31">
        <f>Tercera!BE27</f>
        <v>1.7999999523162842</v>
      </c>
      <c r="BF27" s="32">
        <f t="shared" si="86"/>
        <v>0.89999997615814209</v>
      </c>
      <c r="BG27" s="31">
        <f>Tercera!BG27</f>
        <v>0.20000000298023224</v>
      </c>
      <c r="BH27" s="32">
        <f t="shared" si="87"/>
        <v>0.10000000149011612</v>
      </c>
      <c r="BI27" s="31">
        <f>Tercera!BI27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Tercera!B28</f>
        <v>2</v>
      </c>
      <c r="C28" s="31">
        <f>Tercera!C28</f>
        <v>0</v>
      </c>
      <c r="D28" s="32">
        <f t="shared" si="59"/>
        <v>0</v>
      </c>
      <c r="E28" s="31">
        <f>Tercera!E28</f>
        <v>0.20000000298023224</v>
      </c>
      <c r="F28" s="32">
        <f t="shared" si="60"/>
        <v>0.10000000149011612</v>
      </c>
      <c r="G28" s="31">
        <f>Tercera!G28</f>
        <v>0.80000001192092896</v>
      </c>
      <c r="H28" s="32">
        <f t="shared" si="61"/>
        <v>0.40000000596046448</v>
      </c>
      <c r="I28" s="31">
        <f>Tercera!I28</f>
        <v>0.40000000596046448</v>
      </c>
      <c r="J28" s="32">
        <f t="shared" si="62"/>
        <v>0.20000000298023224</v>
      </c>
      <c r="K28" s="31">
        <f>Tercera!K28</f>
        <v>2</v>
      </c>
      <c r="L28" s="32">
        <f t="shared" si="63"/>
        <v>1</v>
      </c>
      <c r="M28" s="31">
        <f>Tercera!M28</f>
        <v>1.7999999523162842</v>
      </c>
      <c r="N28" s="32">
        <f t="shared" si="64"/>
        <v>0.89999997615814209</v>
      </c>
      <c r="O28" s="31">
        <f>Tercera!O28</f>
        <v>1.2000000476837158</v>
      </c>
      <c r="P28" s="32">
        <f t="shared" si="65"/>
        <v>0.60000002384185791</v>
      </c>
      <c r="Q28" s="31">
        <f>Tercera!Q28</f>
        <v>1.6000000238418579</v>
      </c>
      <c r="R28" s="32">
        <f t="shared" si="66"/>
        <v>0.80000001192092896</v>
      </c>
      <c r="S28" s="31">
        <f>Tercera!S28</f>
        <v>0.20000000298023224</v>
      </c>
      <c r="T28" s="32">
        <f t="shared" si="67"/>
        <v>0.10000000149011612</v>
      </c>
      <c r="U28" s="31">
        <f>Tercera!U28</f>
        <v>0.40000000596046448</v>
      </c>
      <c r="V28" s="32">
        <f t="shared" si="68"/>
        <v>0.20000000298023224</v>
      </c>
      <c r="W28" s="31">
        <f>Tercera!W28</f>
        <v>0</v>
      </c>
      <c r="X28" s="32">
        <f t="shared" si="69"/>
        <v>0</v>
      </c>
      <c r="Y28" s="31">
        <f>Tercera!Y28</f>
        <v>1.7999999523162842</v>
      </c>
      <c r="Z28" s="32">
        <f t="shared" si="70"/>
        <v>0.89999997615814209</v>
      </c>
      <c r="AA28" s="31">
        <f>Tercera!AA28</f>
        <v>1.6000000238418579</v>
      </c>
      <c r="AB28" s="32">
        <f t="shared" si="71"/>
        <v>0.80000001192092896</v>
      </c>
      <c r="AC28" s="31">
        <f>Tercera!AC28</f>
        <v>1.6000000238418579</v>
      </c>
      <c r="AD28" s="32">
        <f t="shared" si="72"/>
        <v>0.80000001192092896</v>
      </c>
      <c r="AE28" s="31">
        <f>Tercera!AE28</f>
        <v>0.60000002384185791</v>
      </c>
      <c r="AF28" s="32">
        <f t="shared" si="73"/>
        <v>0.30000001192092896</v>
      </c>
      <c r="AG28" s="31">
        <f>Tercera!AG28</f>
        <v>0.80000001192092896</v>
      </c>
      <c r="AH28" s="32">
        <f t="shared" si="74"/>
        <v>0.40000000596046448</v>
      </c>
      <c r="AI28" s="31">
        <f>Tercera!AI28</f>
        <v>1.2000000476837158</v>
      </c>
      <c r="AJ28" s="32">
        <f t="shared" si="75"/>
        <v>0.60000002384185791</v>
      </c>
      <c r="AK28" s="31">
        <f>Tercera!AK28</f>
        <v>1.6000000238418579</v>
      </c>
      <c r="AL28" s="32">
        <f t="shared" si="76"/>
        <v>0.80000001192092896</v>
      </c>
      <c r="AM28" s="31">
        <f>Tercera!AM28</f>
        <v>1.2000000476837158</v>
      </c>
      <c r="AN28" s="32">
        <f t="shared" si="77"/>
        <v>0.60000002384185791</v>
      </c>
      <c r="AO28" s="31">
        <f>Tercera!AO28</f>
        <v>0.40000000596046448</v>
      </c>
      <c r="AP28" s="32">
        <f t="shared" si="78"/>
        <v>0.20000000298023224</v>
      </c>
      <c r="AQ28" s="31">
        <f>Tercera!AQ28</f>
        <v>0.40000000596046448</v>
      </c>
      <c r="AR28" s="32">
        <f t="shared" si="79"/>
        <v>0.20000000298023224</v>
      </c>
      <c r="AS28" s="31">
        <f>Tercera!AS28</f>
        <v>0.80000001192092896</v>
      </c>
      <c r="AT28" s="32">
        <f t="shared" si="80"/>
        <v>0.40000000596046448</v>
      </c>
      <c r="AU28" s="31">
        <f>Tercera!AU28</f>
        <v>1.2000000476837158</v>
      </c>
      <c r="AV28" s="32">
        <f t="shared" si="81"/>
        <v>0.60000002384185791</v>
      </c>
      <c r="AW28" s="31">
        <f>Tercera!AW28</f>
        <v>0.60000002384185791</v>
      </c>
      <c r="AX28" s="32">
        <f t="shared" si="82"/>
        <v>0.30000001192092896</v>
      </c>
      <c r="AY28" s="31">
        <f>Tercera!AY28</f>
        <v>1</v>
      </c>
      <c r="AZ28" s="32">
        <f t="shared" si="83"/>
        <v>0.5</v>
      </c>
      <c r="BA28" s="31">
        <f>Tercera!BA28</f>
        <v>0.80000001192092896</v>
      </c>
      <c r="BB28" s="32">
        <f t="shared" si="84"/>
        <v>0.40000000596046448</v>
      </c>
      <c r="BC28" s="31">
        <f>Tercera!BC28</f>
        <v>1.2000000476837158</v>
      </c>
      <c r="BD28" s="32">
        <f t="shared" si="85"/>
        <v>0.60000002384185791</v>
      </c>
      <c r="BE28" s="31">
        <f>Tercera!BE28</f>
        <v>0</v>
      </c>
      <c r="BF28" s="32">
        <f t="shared" si="86"/>
        <v>0</v>
      </c>
      <c r="BG28" s="31">
        <f>Tercera!BG28</f>
        <v>1.2000000476837158</v>
      </c>
      <c r="BH28" s="32">
        <f t="shared" si="87"/>
        <v>0.60000002384185791</v>
      </c>
      <c r="BI28" s="31">
        <f>Tercera!BI28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Tercera!B29</f>
        <v>2</v>
      </c>
      <c r="C29" s="31">
        <f>Tercera!C29</f>
        <v>2</v>
      </c>
      <c r="D29" s="32">
        <f t="shared" si="59"/>
        <v>1</v>
      </c>
      <c r="E29" s="31">
        <f>Tercera!E29</f>
        <v>2</v>
      </c>
      <c r="F29" s="32">
        <f t="shared" si="60"/>
        <v>1</v>
      </c>
      <c r="G29" s="31">
        <f>Tercera!G29</f>
        <v>2</v>
      </c>
      <c r="H29" s="32">
        <f t="shared" si="61"/>
        <v>1</v>
      </c>
      <c r="I29" s="31">
        <f>Tercera!I29</f>
        <v>1.7999999523162842</v>
      </c>
      <c r="J29" s="32">
        <f t="shared" si="62"/>
        <v>0.89999997615814209</v>
      </c>
      <c r="K29" s="31">
        <f>Tercera!K29</f>
        <v>0.80000001192092896</v>
      </c>
      <c r="L29" s="32">
        <f t="shared" si="63"/>
        <v>0.40000000596046448</v>
      </c>
      <c r="M29" s="31">
        <f>Tercera!M29</f>
        <v>1.6000000238418579</v>
      </c>
      <c r="N29" s="32">
        <f t="shared" si="64"/>
        <v>0.80000001192092896</v>
      </c>
      <c r="O29" s="31">
        <f>Tercera!O29</f>
        <v>2</v>
      </c>
      <c r="P29" s="32">
        <f t="shared" si="65"/>
        <v>1</v>
      </c>
      <c r="Q29" s="31">
        <f>Tercera!Q29</f>
        <v>0.40000000596046448</v>
      </c>
      <c r="R29" s="32">
        <f t="shared" si="66"/>
        <v>0.20000000298023224</v>
      </c>
      <c r="S29" s="31">
        <f>Tercera!S29</f>
        <v>0.20000000298023224</v>
      </c>
      <c r="T29" s="32">
        <f t="shared" si="67"/>
        <v>0.10000000149011612</v>
      </c>
      <c r="U29" s="31">
        <f>Tercera!U29</f>
        <v>1.3999999761581421</v>
      </c>
      <c r="V29" s="32">
        <f t="shared" si="68"/>
        <v>0.69999998807907104</v>
      </c>
      <c r="W29" s="31">
        <f>Tercera!W29</f>
        <v>0</v>
      </c>
      <c r="X29" s="32">
        <f t="shared" si="69"/>
        <v>0</v>
      </c>
      <c r="Y29" s="31">
        <f>Tercera!Y29</f>
        <v>0.60000002384185791</v>
      </c>
      <c r="Z29" s="32">
        <f t="shared" si="70"/>
        <v>0.30000001192092896</v>
      </c>
      <c r="AA29" s="31">
        <f>Tercera!AA29</f>
        <v>1.3999999761581421</v>
      </c>
      <c r="AB29" s="32">
        <f t="shared" si="71"/>
        <v>0.69999998807907104</v>
      </c>
      <c r="AC29" s="31">
        <f>Tercera!AC29</f>
        <v>0.20000000298023224</v>
      </c>
      <c r="AD29" s="32">
        <f t="shared" si="72"/>
        <v>0.10000000149011612</v>
      </c>
      <c r="AE29" s="31">
        <f>Tercera!AE29</f>
        <v>0.20000000298023224</v>
      </c>
      <c r="AF29" s="32">
        <f t="shared" si="73"/>
        <v>0.10000000149011612</v>
      </c>
      <c r="AG29" s="31">
        <f>Tercera!AG29</f>
        <v>0.60000002384185791</v>
      </c>
      <c r="AH29" s="32">
        <f t="shared" si="74"/>
        <v>0.30000001192092896</v>
      </c>
      <c r="AI29" s="31">
        <f>Tercera!AI29</f>
        <v>0.80000001192092896</v>
      </c>
      <c r="AJ29" s="32">
        <f t="shared" si="75"/>
        <v>0.40000000596046448</v>
      </c>
      <c r="AK29" s="31">
        <f>Tercera!AK29</f>
        <v>1.2000000476837158</v>
      </c>
      <c r="AL29" s="32">
        <f t="shared" si="76"/>
        <v>0.60000002384185791</v>
      </c>
      <c r="AM29" s="31">
        <f>Tercera!AM29</f>
        <v>0.60000002384185791</v>
      </c>
      <c r="AN29" s="32">
        <f t="shared" si="77"/>
        <v>0.30000001192092896</v>
      </c>
      <c r="AO29" s="31">
        <f>Tercera!AO29</f>
        <v>0.60000002384185791</v>
      </c>
      <c r="AP29" s="32">
        <f t="shared" si="78"/>
        <v>0.30000001192092896</v>
      </c>
      <c r="AQ29" s="31">
        <f>Tercera!AQ29</f>
        <v>1.6000000238418579</v>
      </c>
      <c r="AR29" s="32">
        <f t="shared" si="79"/>
        <v>0.80000001192092896</v>
      </c>
      <c r="AS29" s="31">
        <f>Tercera!AS29</f>
        <v>0.60000002384185791</v>
      </c>
      <c r="AT29" s="32">
        <f t="shared" si="80"/>
        <v>0.30000001192092896</v>
      </c>
      <c r="AU29" s="31">
        <f>Tercera!AU29</f>
        <v>0.80000001192092896</v>
      </c>
      <c r="AV29" s="32">
        <f t="shared" si="81"/>
        <v>0.40000000596046448</v>
      </c>
      <c r="AW29" s="31">
        <f>Tercera!AW29</f>
        <v>0.80000001192092896</v>
      </c>
      <c r="AX29" s="32">
        <f t="shared" si="82"/>
        <v>0.40000000596046448</v>
      </c>
      <c r="AY29" s="31">
        <f>Tercera!AY29</f>
        <v>1.7999999523162842</v>
      </c>
      <c r="AZ29" s="32">
        <f t="shared" si="83"/>
        <v>0.89999997615814209</v>
      </c>
      <c r="BA29" s="31">
        <f>Tercera!BA29</f>
        <v>0.80000001192092896</v>
      </c>
      <c r="BB29" s="32">
        <f t="shared" si="84"/>
        <v>0.40000000596046448</v>
      </c>
      <c r="BC29" s="31">
        <f>Tercera!BC29</f>
        <v>1.3999999761581421</v>
      </c>
      <c r="BD29" s="32">
        <f t="shared" si="85"/>
        <v>0.69999998807907104</v>
      </c>
      <c r="BE29" s="31">
        <f>Tercera!BE29</f>
        <v>1.3999999761581421</v>
      </c>
      <c r="BF29" s="32">
        <f t="shared" si="86"/>
        <v>0.69999998807907104</v>
      </c>
      <c r="BG29" s="31">
        <f>Tercera!BG29</f>
        <v>0.80000001192092896</v>
      </c>
      <c r="BH29" s="32">
        <f t="shared" si="87"/>
        <v>0.40000000596046448</v>
      </c>
      <c r="BI29" s="31">
        <f>Tercera!BI29</f>
        <v>2</v>
      </c>
      <c r="BJ29" s="32">
        <f t="shared" si="88"/>
        <v>1</v>
      </c>
    </row>
    <row r="30" spans="1:62" ht="70" x14ac:dyDescent="0.2">
      <c r="A30" s="2" t="s">
        <v>31</v>
      </c>
      <c r="B30" s="13">
        <f>Tercera!B30</f>
        <v>0</v>
      </c>
      <c r="C30" s="31">
        <f>Tercera!C30</f>
        <v>0</v>
      </c>
      <c r="D30" s="32">
        <f t="shared" si="59"/>
        <v>-1</v>
      </c>
      <c r="E30" s="31">
        <f>Tercera!E30</f>
        <v>0</v>
      </c>
      <c r="F30" s="32">
        <f t="shared" si="60"/>
        <v>-1</v>
      </c>
      <c r="G30" s="31">
        <f>Tercera!G30</f>
        <v>0</v>
      </c>
      <c r="H30" s="32">
        <f t="shared" si="61"/>
        <v>-1</v>
      </c>
      <c r="I30" s="31">
        <f>Tercera!I30</f>
        <v>0</v>
      </c>
      <c r="J30" s="32">
        <f t="shared" si="62"/>
        <v>-1</v>
      </c>
      <c r="K30" s="31">
        <f>Tercera!K30</f>
        <v>0</v>
      </c>
      <c r="L30" s="32">
        <f t="shared" si="63"/>
        <v>-1</v>
      </c>
      <c r="M30" s="31">
        <f>Tercera!M30</f>
        <v>0</v>
      </c>
      <c r="N30" s="32">
        <f t="shared" si="64"/>
        <v>-1</v>
      </c>
      <c r="O30" s="31">
        <f>Tercera!O30</f>
        <v>0</v>
      </c>
      <c r="P30" s="32">
        <f t="shared" si="65"/>
        <v>-1</v>
      </c>
      <c r="Q30" s="31">
        <f>Tercera!Q30</f>
        <v>0</v>
      </c>
      <c r="R30" s="32">
        <f t="shared" si="66"/>
        <v>-1</v>
      </c>
      <c r="S30" s="31">
        <f>Tercera!S30</f>
        <v>0</v>
      </c>
      <c r="T30" s="32">
        <f t="shared" si="67"/>
        <v>-1</v>
      </c>
      <c r="U30" s="31">
        <f>Tercera!U30</f>
        <v>0</v>
      </c>
      <c r="V30" s="32">
        <f t="shared" si="68"/>
        <v>-1</v>
      </c>
      <c r="W30" s="31">
        <f>Tercera!W30</f>
        <v>0</v>
      </c>
      <c r="X30" s="32">
        <f t="shared" si="69"/>
        <v>-1</v>
      </c>
      <c r="Y30" s="31">
        <f>Tercera!Y30</f>
        <v>0</v>
      </c>
      <c r="Z30" s="32">
        <f t="shared" si="70"/>
        <v>-1</v>
      </c>
      <c r="AA30" s="31">
        <f>Tercera!AA30</f>
        <v>0</v>
      </c>
      <c r="AB30" s="32">
        <f t="shared" si="71"/>
        <v>-1</v>
      </c>
      <c r="AC30" s="31">
        <f>Tercera!AC30</f>
        <v>0</v>
      </c>
      <c r="AD30" s="32">
        <f t="shared" si="72"/>
        <v>-1</v>
      </c>
      <c r="AE30" s="31">
        <f>Tercera!AE30</f>
        <v>0</v>
      </c>
      <c r="AF30" s="32">
        <f t="shared" si="73"/>
        <v>-1</v>
      </c>
      <c r="AG30" s="31">
        <f>Tercera!AG30</f>
        <v>0</v>
      </c>
      <c r="AH30" s="32">
        <f t="shared" si="74"/>
        <v>-1</v>
      </c>
      <c r="AI30" s="31">
        <f>Tercera!AI30</f>
        <v>0</v>
      </c>
      <c r="AJ30" s="32">
        <f t="shared" si="75"/>
        <v>-1</v>
      </c>
      <c r="AK30" s="31">
        <f>Tercera!AK30</f>
        <v>0</v>
      </c>
      <c r="AL30" s="32">
        <f t="shared" si="76"/>
        <v>-1</v>
      </c>
      <c r="AM30" s="31">
        <f>Tercera!AM30</f>
        <v>0</v>
      </c>
      <c r="AN30" s="32">
        <f t="shared" si="77"/>
        <v>-1</v>
      </c>
      <c r="AO30" s="31">
        <f>Tercera!AO30</f>
        <v>0</v>
      </c>
      <c r="AP30" s="32">
        <f t="shared" si="78"/>
        <v>-1</v>
      </c>
      <c r="AQ30" s="31">
        <f>Tercera!AQ30</f>
        <v>0</v>
      </c>
      <c r="AR30" s="32">
        <f t="shared" si="79"/>
        <v>-1</v>
      </c>
      <c r="AS30" s="31">
        <f>Tercera!AS30</f>
        <v>0</v>
      </c>
      <c r="AT30" s="32">
        <f t="shared" si="80"/>
        <v>-1</v>
      </c>
      <c r="AU30" s="31">
        <f>Tercera!AU30</f>
        <v>0</v>
      </c>
      <c r="AV30" s="32">
        <f t="shared" si="81"/>
        <v>-1</v>
      </c>
      <c r="AW30" s="31">
        <f>Tercera!AW30</f>
        <v>0</v>
      </c>
      <c r="AX30" s="32">
        <f t="shared" si="82"/>
        <v>-1</v>
      </c>
      <c r="AY30" s="31">
        <f>Tercera!AY30</f>
        <v>0</v>
      </c>
      <c r="AZ30" s="32">
        <f t="shared" si="83"/>
        <v>-1</v>
      </c>
      <c r="BA30" s="31">
        <f>Tercera!BA30</f>
        <v>0</v>
      </c>
      <c r="BB30" s="32">
        <f t="shared" si="84"/>
        <v>-1</v>
      </c>
      <c r="BC30" s="31">
        <f>Tercera!BC30</f>
        <v>0</v>
      </c>
      <c r="BD30" s="32">
        <f t="shared" si="85"/>
        <v>-1</v>
      </c>
      <c r="BE30" s="31">
        <f>Tercera!BE30</f>
        <v>0</v>
      </c>
      <c r="BF30" s="32">
        <f t="shared" si="86"/>
        <v>-1</v>
      </c>
      <c r="BG30" s="31">
        <f>Tercera!BG30</f>
        <v>0</v>
      </c>
      <c r="BH30" s="32">
        <f t="shared" si="87"/>
        <v>-1</v>
      </c>
      <c r="BI30" s="31">
        <f>Tercera!BI30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Tercera!B31</f>
        <v>2</v>
      </c>
      <c r="C31" s="31">
        <f>Tercera!C31</f>
        <v>1.3999999761581421</v>
      </c>
      <c r="D31" s="32">
        <f t="shared" si="59"/>
        <v>0.69999998807907104</v>
      </c>
      <c r="E31" s="31">
        <f>Tercera!E31</f>
        <v>1</v>
      </c>
      <c r="F31" s="32">
        <f t="shared" si="60"/>
        <v>0.5</v>
      </c>
      <c r="G31" s="31">
        <f>Tercera!G31</f>
        <v>0.40000000596046448</v>
      </c>
      <c r="H31" s="32">
        <f t="shared" si="61"/>
        <v>0.20000000298023224</v>
      </c>
      <c r="I31" s="31">
        <f>Tercera!I31</f>
        <v>1.2000000476837158</v>
      </c>
      <c r="J31" s="32">
        <f t="shared" si="62"/>
        <v>0.60000002384185791</v>
      </c>
      <c r="K31" s="31">
        <f>Tercera!K31</f>
        <v>1.6000000238418579</v>
      </c>
      <c r="L31" s="32">
        <f t="shared" si="63"/>
        <v>0.80000001192092896</v>
      </c>
      <c r="M31" s="31">
        <f>Tercera!M31</f>
        <v>1</v>
      </c>
      <c r="N31" s="32">
        <f t="shared" si="64"/>
        <v>0.5</v>
      </c>
      <c r="O31" s="31">
        <f>Tercera!O31</f>
        <v>1.7999999523162842</v>
      </c>
      <c r="P31" s="32">
        <f t="shared" si="65"/>
        <v>0.89999997615814209</v>
      </c>
      <c r="Q31" s="31">
        <f>Tercera!Q31</f>
        <v>0.60000002384185791</v>
      </c>
      <c r="R31" s="32">
        <f t="shared" si="66"/>
        <v>0.30000001192092896</v>
      </c>
      <c r="S31" s="31">
        <f>Tercera!S31</f>
        <v>1.3999999761581421</v>
      </c>
      <c r="T31" s="32">
        <f t="shared" si="67"/>
        <v>0.69999998807907104</v>
      </c>
      <c r="U31" s="31">
        <f>Tercera!U31</f>
        <v>1.7999999523162842</v>
      </c>
      <c r="V31" s="32">
        <f t="shared" si="68"/>
        <v>0.89999997615814209</v>
      </c>
      <c r="W31" s="31">
        <f>Tercera!W31</f>
        <v>0.60000002384185791</v>
      </c>
      <c r="X31" s="32">
        <f t="shared" si="69"/>
        <v>0.30000001192092896</v>
      </c>
      <c r="Y31" s="31">
        <f>Tercera!Y31</f>
        <v>0.80000001192092896</v>
      </c>
      <c r="Z31" s="32">
        <f t="shared" si="70"/>
        <v>0.40000000596046448</v>
      </c>
      <c r="AA31" s="31">
        <f>Tercera!AA31</f>
        <v>0</v>
      </c>
      <c r="AB31" s="32">
        <f t="shared" si="71"/>
        <v>0</v>
      </c>
      <c r="AC31" s="31">
        <f>Tercera!AC31</f>
        <v>0.60000002384185791</v>
      </c>
      <c r="AD31" s="32">
        <f t="shared" si="72"/>
        <v>0.30000001192092896</v>
      </c>
      <c r="AE31" s="31">
        <f>Tercera!AE31</f>
        <v>2</v>
      </c>
      <c r="AF31" s="32">
        <f t="shared" si="73"/>
        <v>1</v>
      </c>
      <c r="AG31" s="31">
        <f>Tercera!AG31</f>
        <v>1.6000000238418579</v>
      </c>
      <c r="AH31" s="32">
        <f t="shared" si="74"/>
        <v>0.80000001192092896</v>
      </c>
      <c r="AI31" s="31">
        <f>Tercera!AI31</f>
        <v>1.2000000476837158</v>
      </c>
      <c r="AJ31" s="32">
        <f t="shared" si="75"/>
        <v>0.60000002384185791</v>
      </c>
      <c r="AK31" s="31">
        <f>Tercera!AK31</f>
        <v>1.2000000476837158</v>
      </c>
      <c r="AL31" s="32">
        <f t="shared" si="76"/>
        <v>0.60000002384185791</v>
      </c>
      <c r="AM31" s="31">
        <f>Tercera!AM31</f>
        <v>0.40000000596046448</v>
      </c>
      <c r="AN31" s="32">
        <f t="shared" si="77"/>
        <v>0.20000000298023224</v>
      </c>
      <c r="AO31" s="31">
        <f>Tercera!AO31</f>
        <v>1</v>
      </c>
      <c r="AP31" s="32">
        <f t="shared" si="78"/>
        <v>0.5</v>
      </c>
      <c r="AQ31" s="31">
        <f>Tercera!AQ31</f>
        <v>1.6000000238418579</v>
      </c>
      <c r="AR31" s="32">
        <f t="shared" si="79"/>
        <v>0.80000001192092896</v>
      </c>
      <c r="AS31" s="31">
        <f>Tercera!AS31</f>
        <v>1.7999999523162842</v>
      </c>
      <c r="AT31" s="32">
        <f t="shared" si="80"/>
        <v>0.89999997615814209</v>
      </c>
      <c r="AU31" s="31">
        <f>Tercera!AU31</f>
        <v>0.20000000298023224</v>
      </c>
      <c r="AV31" s="32">
        <f t="shared" si="81"/>
        <v>0.10000000149011612</v>
      </c>
      <c r="AW31" s="31">
        <f>Tercera!AW31</f>
        <v>1</v>
      </c>
      <c r="AX31" s="32">
        <f t="shared" si="82"/>
        <v>0.5</v>
      </c>
      <c r="AY31" s="31">
        <f>Tercera!AY31</f>
        <v>0.80000001192092896</v>
      </c>
      <c r="AZ31" s="32">
        <f t="shared" si="83"/>
        <v>0.40000000596046448</v>
      </c>
      <c r="BA31" s="31">
        <f>Tercera!BA31</f>
        <v>0</v>
      </c>
      <c r="BB31" s="32">
        <f t="shared" si="84"/>
        <v>0</v>
      </c>
      <c r="BC31" s="31">
        <f>Tercera!BC31</f>
        <v>0.80000001192092896</v>
      </c>
      <c r="BD31" s="32">
        <f t="shared" si="85"/>
        <v>0.40000000596046448</v>
      </c>
      <c r="BE31" s="31">
        <f>Tercera!BE31</f>
        <v>1.3999999761581421</v>
      </c>
      <c r="BF31" s="32">
        <f t="shared" si="86"/>
        <v>0.69999998807907104</v>
      </c>
      <c r="BG31" s="31">
        <f>Tercera!BG31</f>
        <v>1</v>
      </c>
      <c r="BH31" s="32">
        <f t="shared" si="87"/>
        <v>0.5</v>
      </c>
      <c r="BI31" s="31">
        <f>Tercera!BI31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Tercera!B32</f>
        <v>0</v>
      </c>
      <c r="C32" s="31">
        <f>Tercera!C32</f>
        <v>0</v>
      </c>
      <c r="D32" s="32">
        <f t="shared" si="59"/>
        <v>-1</v>
      </c>
      <c r="E32" s="31">
        <f>Tercera!E32</f>
        <v>0</v>
      </c>
      <c r="F32" s="32">
        <f t="shared" si="60"/>
        <v>-1</v>
      </c>
      <c r="G32" s="31">
        <f>Tercera!G32</f>
        <v>0</v>
      </c>
      <c r="H32" s="32">
        <f t="shared" si="61"/>
        <v>-1</v>
      </c>
      <c r="I32" s="31">
        <f>Tercera!I32</f>
        <v>0</v>
      </c>
      <c r="J32" s="32">
        <f t="shared" si="62"/>
        <v>-1</v>
      </c>
      <c r="K32" s="31">
        <f>Tercera!K32</f>
        <v>0</v>
      </c>
      <c r="L32" s="32">
        <f t="shared" si="63"/>
        <v>-1</v>
      </c>
      <c r="M32" s="31">
        <f>Tercera!M32</f>
        <v>0</v>
      </c>
      <c r="N32" s="32">
        <f t="shared" si="64"/>
        <v>-1</v>
      </c>
      <c r="O32" s="31">
        <f>Tercera!O32</f>
        <v>0</v>
      </c>
      <c r="P32" s="32">
        <f t="shared" si="65"/>
        <v>-1</v>
      </c>
      <c r="Q32" s="31">
        <f>Tercera!Q32</f>
        <v>0</v>
      </c>
      <c r="R32" s="32">
        <f t="shared" si="66"/>
        <v>-1</v>
      </c>
      <c r="S32" s="31">
        <f>Tercera!S32</f>
        <v>0</v>
      </c>
      <c r="T32" s="32">
        <f t="shared" si="67"/>
        <v>-1</v>
      </c>
      <c r="U32" s="31">
        <f>Tercera!U32</f>
        <v>0</v>
      </c>
      <c r="V32" s="32">
        <f t="shared" si="68"/>
        <v>-1</v>
      </c>
      <c r="W32" s="31">
        <f>Tercera!W32</f>
        <v>0</v>
      </c>
      <c r="X32" s="32">
        <f t="shared" si="69"/>
        <v>-1</v>
      </c>
      <c r="Y32" s="31">
        <f>Tercera!Y32</f>
        <v>0</v>
      </c>
      <c r="Z32" s="32">
        <f t="shared" si="70"/>
        <v>-1</v>
      </c>
      <c r="AA32" s="31">
        <f>Tercera!AA32</f>
        <v>0</v>
      </c>
      <c r="AB32" s="32">
        <f t="shared" si="71"/>
        <v>-1</v>
      </c>
      <c r="AC32" s="31">
        <f>Tercera!AC32</f>
        <v>0</v>
      </c>
      <c r="AD32" s="32">
        <f t="shared" si="72"/>
        <v>-1</v>
      </c>
      <c r="AE32" s="31">
        <f>Tercera!AE32</f>
        <v>0</v>
      </c>
      <c r="AF32" s="32">
        <f t="shared" si="73"/>
        <v>-1</v>
      </c>
      <c r="AG32" s="31">
        <f>Tercera!AG32</f>
        <v>0</v>
      </c>
      <c r="AH32" s="32">
        <f t="shared" si="74"/>
        <v>-1</v>
      </c>
      <c r="AI32" s="31">
        <f>Tercera!AI32</f>
        <v>0</v>
      </c>
      <c r="AJ32" s="32">
        <f t="shared" si="75"/>
        <v>-1</v>
      </c>
      <c r="AK32" s="31">
        <f>Tercera!AK32</f>
        <v>0</v>
      </c>
      <c r="AL32" s="32">
        <f t="shared" si="76"/>
        <v>-1</v>
      </c>
      <c r="AM32" s="31">
        <f>Tercera!AM32</f>
        <v>0</v>
      </c>
      <c r="AN32" s="32">
        <f t="shared" si="77"/>
        <v>-1</v>
      </c>
      <c r="AO32" s="31">
        <f>Tercera!AO32</f>
        <v>0</v>
      </c>
      <c r="AP32" s="32">
        <f t="shared" si="78"/>
        <v>-1</v>
      </c>
      <c r="AQ32" s="31">
        <f>Tercera!AQ32</f>
        <v>0</v>
      </c>
      <c r="AR32" s="32">
        <f t="shared" si="79"/>
        <v>-1</v>
      </c>
      <c r="AS32" s="31">
        <f>Tercera!AS32</f>
        <v>0</v>
      </c>
      <c r="AT32" s="32">
        <f t="shared" si="80"/>
        <v>-1</v>
      </c>
      <c r="AU32" s="31">
        <f>Tercera!AU32</f>
        <v>0</v>
      </c>
      <c r="AV32" s="32">
        <f t="shared" si="81"/>
        <v>-1</v>
      </c>
      <c r="AW32" s="31">
        <f>Tercera!AW32</f>
        <v>0</v>
      </c>
      <c r="AX32" s="32">
        <f t="shared" si="82"/>
        <v>-1</v>
      </c>
      <c r="AY32" s="31">
        <f>Tercera!AY32</f>
        <v>0</v>
      </c>
      <c r="AZ32" s="32">
        <f t="shared" si="83"/>
        <v>-1</v>
      </c>
      <c r="BA32" s="31">
        <f>Tercera!BA32</f>
        <v>0</v>
      </c>
      <c r="BB32" s="32">
        <f t="shared" si="84"/>
        <v>-1</v>
      </c>
      <c r="BC32" s="31">
        <f>Tercera!BC32</f>
        <v>0</v>
      </c>
      <c r="BD32" s="32">
        <f t="shared" si="85"/>
        <v>-1</v>
      </c>
      <c r="BE32" s="31">
        <f>Tercera!BE32</f>
        <v>0</v>
      </c>
      <c r="BF32" s="32">
        <f t="shared" si="86"/>
        <v>-1</v>
      </c>
      <c r="BG32" s="31">
        <f>Tercera!BG32</f>
        <v>0</v>
      </c>
      <c r="BH32" s="32">
        <f t="shared" si="87"/>
        <v>-1</v>
      </c>
      <c r="BI32" s="31">
        <f>Tercera!BI32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Tercera!B33</f>
        <v>0</v>
      </c>
      <c r="C33" s="31">
        <f>Tercera!C33</f>
        <v>0</v>
      </c>
      <c r="D33" s="32">
        <f t="shared" si="59"/>
        <v>-1</v>
      </c>
      <c r="E33" s="31">
        <f>Tercera!E33</f>
        <v>0</v>
      </c>
      <c r="F33" s="32">
        <f t="shared" si="60"/>
        <v>-1</v>
      </c>
      <c r="G33" s="31">
        <f>Tercera!G33</f>
        <v>0</v>
      </c>
      <c r="H33" s="32">
        <f t="shared" si="61"/>
        <v>-1</v>
      </c>
      <c r="I33" s="31">
        <f>Tercera!I33</f>
        <v>0</v>
      </c>
      <c r="J33" s="32">
        <f t="shared" si="62"/>
        <v>-1</v>
      </c>
      <c r="K33" s="31">
        <f>Tercera!K33</f>
        <v>0</v>
      </c>
      <c r="L33" s="32">
        <f t="shared" si="63"/>
        <v>-1</v>
      </c>
      <c r="M33" s="31">
        <f>Tercera!M33</f>
        <v>0</v>
      </c>
      <c r="N33" s="32">
        <f t="shared" si="64"/>
        <v>-1</v>
      </c>
      <c r="O33" s="31">
        <f>Tercera!O33</f>
        <v>0</v>
      </c>
      <c r="P33" s="32">
        <f t="shared" si="65"/>
        <v>-1</v>
      </c>
      <c r="Q33" s="31">
        <f>Tercera!Q33</f>
        <v>0</v>
      </c>
      <c r="R33" s="32">
        <f t="shared" si="66"/>
        <v>-1</v>
      </c>
      <c r="S33" s="31">
        <f>Tercera!S33</f>
        <v>0</v>
      </c>
      <c r="T33" s="32">
        <f t="shared" si="67"/>
        <v>-1</v>
      </c>
      <c r="U33" s="31">
        <f>Tercera!U33</f>
        <v>0</v>
      </c>
      <c r="V33" s="32">
        <f t="shared" si="68"/>
        <v>-1</v>
      </c>
      <c r="W33" s="31">
        <f>Tercera!W33</f>
        <v>0</v>
      </c>
      <c r="X33" s="32">
        <f t="shared" si="69"/>
        <v>-1</v>
      </c>
      <c r="Y33" s="31">
        <f>Tercera!Y33</f>
        <v>0</v>
      </c>
      <c r="Z33" s="32">
        <f t="shared" si="70"/>
        <v>-1</v>
      </c>
      <c r="AA33" s="31">
        <f>Tercera!AA33</f>
        <v>0</v>
      </c>
      <c r="AB33" s="32">
        <f t="shared" si="71"/>
        <v>-1</v>
      </c>
      <c r="AC33" s="31">
        <f>Tercera!AC33</f>
        <v>0</v>
      </c>
      <c r="AD33" s="32">
        <f t="shared" si="72"/>
        <v>-1</v>
      </c>
      <c r="AE33" s="31">
        <f>Tercera!AE33</f>
        <v>0</v>
      </c>
      <c r="AF33" s="32">
        <f t="shared" si="73"/>
        <v>-1</v>
      </c>
      <c r="AG33" s="31">
        <f>Tercera!AG33</f>
        <v>0</v>
      </c>
      <c r="AH33" s="32">
        <f t="shared" si="74"/>
        <v>-1</v>
      </c>
      <c r="AI33" s="31">
        <f>Tercera!AI33</f>
        <v>0</v>
      </c>
      <c r="AJ33" s="32">
        <f t="shared" si="75"/>
        <v>-1</v>
      </c>
      <c r="AK33" s="31">
        <f>Tercera!AK33</f>
        <v>0</v>
      </c>
      <c r="AL33" s="32">
        <f t="shared" si="76"/>
        <v>-1</v>
      </c>
      <c r="AM33" s="31">
        <f>Tercera!AM33</f>
        <v>0</v>
      </c>
      <c r="AN33" s="32">
        <f t="shared" si="77"/>
        <v>-1</v>
      </c>
      <c r="AO33" s="31">
        <f>Tercera!AO33</f>
        <v>0</v>
      </c>
      <c r="AP33" s="32">
        <f t="shared" si="78"/>
        <v>-1</v>
      </c>
      <c r="AQ33" s="31">
        <f>Tercera!AQ33</f>
        <v>0</v>
      </c>
      <c r="AR33" s="32">
        <f t="shared" si="79"/>
        <v>-1</v>
      </c>
      <c r="AS33" s="31">
        <f>Tercera!AS33</f>
        <v>0</v>
      </c>
      <c r="AT33" s="32">
        <f t="shared" si="80"/>
        <v>-1</v>
      </c>
      <c r="AU33" s="31">
        <f>Tercera!AU33</f>
        <v>0</v>
      </c>
      <c r="AV33" s="32">
        <f t="shared" si="81"/>
        <v>-1</v>
      </c>
      <c r="AW33" s="31">
        <f>Tercera!AW33</f>
        <v>0</v>
      </c>
      <c r="AX33" s="32">
        <f t="shared" si="82"/>
        <v>-1</v>
      </c>
      <c r="AY33" s="31">
        <f>Tercera!AY33</f>
        <v>0</v>
      </c>
      <c r="AZ33" s="32">
        <f t="shared" si="83"/>
        <v>-1</v>
      </c>
      <c r="BA33" s="31">
        <f>Tercera!BA33</f>
        <v>0</v>
      </c>
      <c r="BB33" s="32">
        <f t="shared" si="84"/>
        <v>-1</v>
      </c>
      <c r="BC33" s="31">
        <f>Tercera!BC33</f>
        <v>0</v>
      </c>
      <c r="BD33" s="32">
        <f t="shared" si="85"/>
        <v>-1</v>
      </c>
      <c r="BE33" s="31">
        <f>Tercera!BE33</f>
        <v>0</v>
      </c>
      <c r="BF33" s="32">
        <f t="shared" si="86"/>
        <v>-1</v>
      </c>
      <c r="BG33" s="31">
        <f>Tercera!BG33</f>
        <v>0</v>
      </c>
      <c r="BH33" s="32">
        <f t="shared" si="87"/>
        <v>-1</v>
      </c>
      <c r="BI33" s="31">
        <f>Tercera!BI33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Tercera!B34</f>
        <v>0</v>
      </c>
      <c r="C34" s="31">
        <f>Tercera!C34</f>
        <v>0</v>
      </c>
      <c r="D34" s="32">
        <f t="shared" si="59"/>
        <v>-1</v>
      </c>
      <c r="E34" s="31">
        <f>Tercera!E34</f>
        <v>0</v>
      </c>
      <c r="F34" s="32">
        <f t="shared" si="60"/>
        <v>-1</v>
      </c>
      <c r="G34" s="31">
        <f>Tercera!G34</f>
        <v>0</v>
      </c>
      <c r="H34" s="32">
        <f t="shared" si="61"/>
        <v>-1</v>
      </c>
      <c r="I34" s="31">
        <f>Tercera!I34</f>
        <v>0</v>
      </c>
      <c r="J34" s="32">
        <f t="shared" si="62"/>
        <v>-1</v>
      </c>
      <c r="K34" s="31">
        <f>Tercera!K34</f>
        <v>0</v>
      </c>
      <c r="L34" s="32">
        <f t="shared" si="63"/>
        <v>-1</v>
      </c>
      <c r="M34" s="31">
        <f>Tercera!M34</f>
        <v>0</v>
      </c>
      <c r="N34" s="32">
        <f t="shared" si="64"/>
        <v>-1</v>
      </c>
      <c r="O34" s="31">
        <f>Tercera!O34</f>
        <v>0</v>
      </c>
      <c r="P34" s="32">
        <f t="shared" si="65"/>
        <v>-1</v>
      </c>
      <c r="Q34" s="31">
        <f>Tercera!Q34</f>
        <v>0</v>
      </c>
      <c r="R34" s="32">
        <f t="shared" si="66"/>
        <v>-1</v>
      </c>
      <c r="S34" s="31">
        <f>Tercera!S34</f>
        <v>0</v>
      </c>
      <c r="T34" s="32">
        <f t="shared" si="67"/>
        <v>-1</v>
      </c>
      <c r="U34" s="31">
        <f>Tercera!U34</f>
        <v>0</v>
      </c>
      <c r="V34" s="32">
        <f t="shared" si="68"/>
        <v>-1</v>
      </c>
      <c r="W34" s="31">
        <f>Tercera!W34</f>
        <v>0</v>
      </c>
      <c r="X34" s="32">
        <f t="shared" si="69"/>
        <v>-1</v>
      </c>
      <c r="Y34" s="31">
        <f>Tercera!Y34</f>
        <v>0</v>
      </c>
      <c r="Z34" s="32">
        <f t="shared" si="70"/>
        <v>-1</v>
      </c>
      <c r="AA34" s="31">
        <f>Tercera!AA34</f>
        <v>0</v>
      </c>
      <c r="AB34" s="32">
        <f t="shared" si="71"/>
        <v>-1</v>
      </c>
      <c r="AC34" s="31">
        <f>Tercera!AC34</f>
        <v>0</v>
      </c>
      <c r="AD34" s="32">
        <f t="shared" si="72"/>
        <v>-1</v>
      </c>
      <c r="AE34" s="31">
        <f>Tercera!AE34</f>
        <v>0</v>
      </c>
      <c r="AF34" s="32">
        <f t="shared" si="73"/>
        <v>-1</v>
      </c>
      <c r="AG34" s="31">
        <f>Tercera!AG34</f>
        <v>0</v>
      </c>
      <c r="AH34" s="32">
        <f t="shared" si="74"/>
        <v>-1</v>
      </c>
      <c r="AI34" s="31">
        <f>Tercera!AI34</f>
        <v>0</v>
      </c>
      <c r="AJ34" s="32">
        <f t="shared" si="75"/>
        <v>-1</v>
      </c>
      <c r="AK34" s="31">
        <f>Tercera!AK34</f>
        <v>0</v>
      </c>
      <c r="AL34" s="32">
        <f t="shared" si="76"/>
        <v>-1</v>
      </c>
      <c r="AM34" s="31">
        <f>Tercera!AM34</f>
        <v>0</v>
      </c>
      <c r="AN34" s="32">
        <f t="shared" si="77"/>
        <v>-1</v>
      </c>
      <c r="AO34" s="31">
        <f>Tercera!AO34</f>
        <v>0</v>
      </c>
      <c r="AP34" s="32">
        <f t="shared" si="78"/>
        <v>-1</v>
      </c>
      <c r="AQ34" s="31">
        <f>Tercera!AQ34</f>
        <v>0</v>
      </c>
      <c r="AR34" s="32">
        <f t="shared" si="79"/>
        <v>-1</v>
      </c>
      <c r="AS34" s="31">
        <f>Tercera!AS34</f>
        <v>0</v>
      </c>
      <c r="AT34" s="32">
        <f t="shared" si="80"/>
        <v>-1</v>
      </c>
      <c r="AU34" s="31">
        <f>Tercera!AU34</f>
        <v>0</v>
      </c>
      <c r="AV34" s="32">
        <f t="shared" si="81"/>
        <v>-1</v>
      </c>
      <c r="AW34" s="31">
        <f>Tercera!AW34</f>
        <v>0</v>
      </c>
      <c r="AX34" s="32">
        <f t="shared" si="82"/>
        <v>-1</v>
      </c>
      <c r="AY34" s="31">
        <f>Tercera!AY34</f>
        <v>0</v>
      </c>
      <c r="AZ34" s="32">
        <f t="shared" si="83"/>
        <v>-1</v>
      </c>
      <c r="BA34" s="31">
        <f>Tercera!BA34</f>
        <v>0</v>
      </c>
      <c r="BB34" s="32">
        <f t="shared" si="84"/>
        <v>-1</v>
      </c>
      <c r="BC34" s="31">
        <f>Tercera!BC34</f>
        <v>0</v>
      </c>
      <c r="BD34" s="32">
        <f t="shared" si="85"/>
        <v>-1</v>
      </c>
      <c r="BE34" s="31">
        <f>Tercera!BE34</f>
        <v>0</v>
      </c>
      <c r="BF34" s="32">
        <f t="shared" si="86"/>
        <v>-1</v>
      </c>
      <c r="BG34" s="31">
        <f>Tercera!BG34</f>
        <v>0</v>
      </c>
      <c r="BH34" s="32">
        <f t="shared" si="87"/>
        <v>-1</v>
      </c>
      <c r="BI34" s="31">
        <f>Tercera!BI34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Tercera!B35</f>
        <v>0</v>
      </c>
      <c r="C35" s="31">
        <f>Tercera!C35</f>
        <v>0</v>
      </c>
      <c r="D35" s="32">
        <f t="shared" si="59"/>
        <v>-1</v>
      </c>
      <c r="E35" s="31">
        <f>Tercera!E35</f>
        <v>0</v>
      </c>
      <c r="F35" s="32">
        <f t="shared" si="60"/>
        <v>-1</v>
      </c>
      <c r="G35" s="31">
        <f>Tercera!G35</f>
        <v>0</v>
      </c>
      <c r="H35" s="32">
        <f t="shared" si="61"/>
        <v>-1</v>
      </c>
      <c r="I35" s="31">
        <f>Tercera!I35</f>
        <v>0</v>
      </c>
      <c r="J35" s="32">
        <f t="shared" si="62"/>
        <v>-1</v>
      </c>
      <c r="K35" s="31">
        <f>Tercera!K35</f>
        <v>0</v>
      </c>
      <c r="L35" s="32">
        <f t="shared" si="63"/>
        <v>-1</v>
      </c>
      <c r="M35" s="31">
        <f>Tercera!M35</f>
        <v>0</v>
      </c>
      <c r="N35" s="32">
        <f t="shared" si="64"/>
        <v>-1</v>
      </c>
      <c r="O35" s="31">
        <f>Tercera!O35</f>
        <v>0</v>
      </c>
      <c r="P35" s="32">
        <f t="shared" si="65"/>
        <v>-1</v>
      </c>
      <c r="Q35" s="31">
        <f>Tercera!Q35</f>
        <v>0</v>
      </c>
      <c r="R35" s="32">
        <f t="shared" si="66"/>
        <v>-1</v>
      </c>
      <c r="S35" s="31">
        <f>Tercera!S35</f>
        <v>0</v>
      </c>
      <c r="T35" s="32">
        <f t="shared" si="67"/>
        <v>-1</v>
      </c>
      <c r="U35" s="31">
        <f>Tercera!U35</f>
        <v>0</v>
      </c>
      <c r="V35" s="32">
        <f t="shared" si="68"/>
        <v>-1</v>
      </c>
      <c r="W35" s="31">
        <f>Tercera!W35</f>
        <v>0</v>
      </c>
      <c r="X35" s="32">
        <f t="shared" si="69"/>
        <v>-1</v>
      </c>
      <c r="Y35" s="31">
        <f>Tercera!Y35</f>
        <v>0</v>
      </c>
      <c r="Z35" s="32">
        <f t="shared" si="70"/>
        <v>-1</v>
      </c>
      <c r="AA35" s="31">
        <f>Tercera!AA35</f>
        <v>0</v>
      </c>
      <c r="AB35" s="32">
        <f t="shared" si="71"/>
        <v>-1</v>
      </c>
      <c r="AC35" s="31">
        <f>Tercera!AC35</f>
        <v>0</v>
      </c>
      <c r="AD35" s="32">
        <f t="shared" si="72"/>
        <v>-1</v>
      </c>
      <c r="AE35" s="31">
        <f>Tercera!AE35</f>
        <v>0</v>
      </c>
      <c r="AF35" s="32">
        <f t="shared" si="73"/>
        <v>-1</v>
      </c>
      <c r="AG35" s="31">
        <f>Tercera!AG35</f>
        <v>0</v>
      </c>
      <c r="AH35" s="32">
        <f t="shared" si="74"/>
        <v>-1</v>
      </c>
      <c r="AI35" s="31">
        <f>Tercera!AI35</f>
        <v>0</v>
      </c>
      <c r="AJ35" s="32">
        <f t="shared" si="75"/>
        <v>-1</v>
      </c>
      <c r="AK35" s="31">
        <f>Tercera!AK35</f>
        <v>0</v>
      </c>
      <c r="AL35" s="32">
        <f t="shared" si="76"/>
        <v>-1</v>
      </c>
      <c r="AM35" s="31">
        <f>Tercera!AM35</f>
        <v>0</v>
      </c>
      <c r="AN35" s="32">
        <f t="shared" si="77"/>
        <v>-1</v>
      </c>
      <c r="AO35" s="31">
        <f>Tercera!AO35</f>
        <v>0</v>
      </c>
      <c r="AP35" s="32">
        <f t="shared" si="78"/>
        <v>-1</v>
      </c>
      <c r="AQ35" s="31">
        <f>Tercera!AQ35</f>
        <v>0</v>
      </c>
      <c r="AR35" s="32">
        <f t="shared" si="79"/>
        <v>-1</v>
      </c>
      <c r="AS35" s="31">
        <f>Tercera!AS35</f>
        <v>0</v>
      </c>
      <c r="AT35" s="32">
        <f t="shared" si="80"/>
        <v>-1</v>
      </c>
      <c r="AU35" s="31">
        <f>Tercera!AU35</f>
        <v>0</v>
      </c>
      <c r="AV35" s="32">
        <f t="shared" si="81"/>
        <v>-1</v>
      </c>
      <c r="AW35" s="31">
        <f>Tercera!AW35</f>
        <v>0</v>
      </c>
      <c r="AX35" s="32">
        <f t="shared" si="82"/>
        <v>-1</v>
      </c>
      <c r="AY35" s="31">
        <f>Tercera!AY35</f>
        <v>0</v>
      </c>
      <c r="AZ35" s="32">
        <f t="shared" si="83"/>
        <v>-1</v>
      </c>
      <c r="BA35" s="31">
        <f>Tercera!BA35</f>
        <v>0</v>
      </c>
      <c r="BB35" s="32">
        <f t="shared" si="84"/>
        <v>-1</v>
      </c>
      <c r="BC35" s="31">
        <f>Tercera!BC35</f>
        <v>0</v>
      </c>
      <c r="BD35" s="32">
        <f t="shared" si="85"/>
        <v>-1</v>
      </c>
      <c r="BE35" s="31">
        <f>Tercera!BE35</f>
        <v>0</v>
      </c>
      <c r="BF35" s="32">
        <f t="shared" si="86"/>
        <v>-1</v>
      </c>
      <c r="BG35" s="31">
        <f>Tercera!BG35</f>
        <v>0</v>
      </c>
      <c r="BH35" s="32">
        <f t="shared" si="87"/>
        <v>-1</v>
      </c>
      <c r="BI35" s="31">
        <f>Tercera!BI35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Tercera!B36</f>
        <v>0</v>
      </c>
      <c r="C36" s="31">
        <f>Tercera!C36</f>
        <v>0</v>
      </c>
      <c r="D36" s="32">
        <f t="shared" si="59"/>
        <v>-1</v>
      </c>
      <c r="E36" s="31">
        <f>Tercera!E36</f>
        <v>0</v>
      </c>
      <c r="F36" s="32">
        <f t="shared" si="60"/>
        <v>-1</v>
      </c>
      <c r="G36" s="31">
        <f>Tercera!G36</f>
        <v>0</v>
      </c>
      <c r="H36" s="32">
        <f t="shared" si="61"/>
        <v>-1</v>
      </c>
      <c r="I36" s="31">
        <f>Tercera!I36</f>
        <v>0</v>
      </c>
      <c r="J36" s="32">
        <f t="shared" si="62"/>
        <v>-1</v>
      </c>
      <c r="K36" s="31">
        <f>Tercera!K36</f>
        <v>0</v>
      </c>
      <c r="L36" s="32">
        <f t="shared" si="63"/>
        <v>-1</v>
      </c>
      <c r="M36" s="31">
        <f>Tercera!M36</f>
        <v>0</v>
      </c>
      <c r="N36" s="32">
        <f t="shared" si="64"/>
        <v>-1</v>
      </c>
      <c r="O36" s="31">
        <f>Tercera!O36</f>
        <v>0</v>
      </c>
      <c r="P36" s="32">
        <f t="shared" si="65"/>
        <v>-1</v>
      </c>
      <c r="Q36" s="31">
        <f>Tercera!Q36</f>
        <v>0</v>
      </c>
      <c r="R36" s="32">
        <f t="shared" si="66"/>
        <v>-1</v>
      </c>
      <c r="S36" s="31">
        <f>Tercera!S36</f>
        <v>0</v>
      </c>
      <c r="T36" s="32">
        <f t="shared" si="67"/>
        <v>-1</v>
      </c>
      <c r="U36" s="31">
        <f>Tercera!U36</f>
        <v>0</v>
      </c>
      <c r="V36" s="32">
        <f t="shared" si="68"/>
        <v>-1</v>
      </c>
      <c r="W36" s="31">
        <f>Tercera!W36</f>
        <v>0</v>
      </c>
      <c r="X36" s="32">
        <f t="shared" si="69"/>
        <v>-1</v>
      </c>
      <c r="Y36" s="31">
        <f>Tercera!Y36</f>
        <v>0</v>
      </c>
      <c r="Z36" s="32">
        <f t="shared" si="70"/>
        <v>-1</v>
      </c>
      <c r="AA36" s="31">
        <f>Tercera!AA36</f>
        <v>0</v>
      </c>
      <c r="AB36" s="32">
        <f t="shared" si="71"/>
        <v>-1</v>
      </c>
      <c r="AC36" s="31">
        <f>Tercera!AC36</f>
        <v>0</v>
      </c>
      <c r="AD36" s="32">
        <f t="shared" si="72"/>
        <v>-1</v>
      </c>
      <c r="AE36" s="31">
        <f>Tercera!AE36</f>
        <v>0</v>
      </c>
      <c r="AF36" s="32">
        <f t="shared" si="73"/>
        <v>-1</v>
      </c>
      <c r="AG36" s="31">
        <f>Tercera!AG36</f>
        <v>0</v>
      </c>
      <c r="AH36" s="32">
        <f t="shared" si="74"/>
        <v>-1</v>
      </c>
      <c r="AI36" s="31">
        <f>Tercera!AI36</f>
        <v>0</v>
      </c>
      <c r="AJ36" s="32">
        <f t="shared" si="75"/>
        <v>-1</v>
      </c>
      <c r="AK36" s="31">
        <f>Tercera!AK36</f>
        <v>0</v>
      </c>
      <c r="AL36" s="32">
        <f t="shared" si="76"/>
        <v>-1</v>
      </c>
      <c r="AM36" s="31">
        <f>Tercera!AM36</f>
        <v>0</v>
      </c>
      <c r="AN36" s="32">
        <f t="shared" si="77"/>
        <v>-1</v>
      </c>
      <c r="AO36" s="31">
        <f>Tercera!AO36</f>
        <v>0</v>
      </c>
      <c r="AP36" s="32">
        <f t="shared" si="78"/>
        <v>-1</v>
      </c>
      <c r="AQ36" s="31">
        <f>Tercera!AQ36</f>
        <v>0</v>
      </c>
      <c r="AR36" s="32">
        <f t="shared" si="79"/>
        <v>-1</v>
      </c>
      <c r="AS36" s="31">
        <f>Tercera!AS36</f>
        <v>0</v>
      </c>
      <c r="AT36" s="32">
        <f t="shared" si="80"/>
        <v>-1</v>
      </c>
      <c r="AU36" s="31">
        <f>Tercera!AU36</f>
        <v>0</v>
      </c>
      <c r="AV36" s="32">
        <f t="shared" si="81"/>
        <v>-1</v>
      </c>
      <c r="AW36" s="31">
        <f>Tercera!AW36</f>
        <v>0</v>
      </c>
      <c r="AX36" s="32">
        <f t="shared" si="82"/>
        <v>-1</v>
      </c>
      <c r="AY36" s="31">
        <f>Tercera!AY36</f>
        <v>0</v>
      </c>
      <c r="AZ36" s="32">
        <f t="shared" si="83"/>
        <v>-1</v>
      </c>
      <c r="BA36" s="31">
        <f>Tercera!BA36</f>
        <v>0</v>
      </c>
      <c r="BB36" s="32">
        <f t="shared" si="84"/>
        <v>-1</v>
      </c>
      <c r="BC36" s="31">
        <f>Tercera!BC36</f>
        <v>0</v>
      </c>
      <c r="BD36" s="32">
        <f t="shared" si="85"/>
        <v>-1</v>
      </c>
      <c r="BE36" s="31">
        <f>Tercera!BE36</f>
        <v>0</v>
      </c>
      <c r="BF36" s="32">
        <f t="shared" si="86"/>
        <v>-1</v>
      </c>
      <c r="BG36" s="31">
        <f>Tercera!BG36</f>
        <v>0</v>
      </c>
      <c r="BH36" s="32">
        <f t="shared" si="87"/>
        <v>-1</v>
      </c>
      <c r="BI36" s="31">
        <f>Tercera!BI36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Tercera!B37</f>
        <v>0</v>
      </c>
      <c r="C37" s="31">
        <f>Tercera!C37</f>
        <v>0</v>
      </c>
      <c r="D37" s="32">
        <f t="shared" si="59"/>
        <v>-1</v>
      </c>
      <c r="E37" s="31">
        <f>Tercera!E37</f>
        <v>0</v>
      </c>
      <c r="F37" s="32">
        <f t="shared" si="60"/>
        <v>-1</v>
      </c>
      <c r="G37" s="31">
        <f>Tercera!G37</f>
        <v>0</v>
      </c>
      <c r="H37" s="32">
        <f t="shared" si="61"/>
        <v>-1</v>
      </c>
      <c r="I37" s="31">
        <f>Tercera!I37</f>
        <v>0</v>
      </c>
      <c r="J37" s="32">
        <f t="shared" si="62"/>
        <v>-1</v>
      </c>
      <c r="K37" s="31">
        <f>Tercera!K37</f>
        <v>0</v>
      </c>
      <c r="L37" s="32">
        <f t="shared" si="63"/>
        <v>-1</v>
      </c>
      <c r="M37" s="31">
        <f>Tercera!M37</f>
        <v>0</v>
      </c>
      <c r="N37" s="32">
        <f t="shared" si="64"/>
        <v>-1</v>
      </c>
      <c r="O37" s="31">
        <f>Tercera!O37</f>
        <v>0</v>
      </c>
      <c r="P37" s="32">
        <f t="shared" si="65"/>
        <v>-1</v>
      </c>
      <c r="Q37" s="31">
        <f>Tercera!Q37</f>
        <v>0</v>
      </c>
      <c r="R37" s="32">
        <f t="shared" si="66"/>
        <v>-1</v>
      </c>
      <c r="S37" s="31">
        <f>Tercera!S37</f>
        <v>0</v>
      </c>
      <c r="T37" s="32">
        <f t="shared" si="67"/>
        <v>-1</v>
      </c>
      <c r="U37" s="31">
        <f>Tercera!U37</f>
        <v>0</v>
      </c>
      <c r="V37" s="32">
        <f t="shared" si="68"/>
        <v>-1</v>
      </c>
      <c r="W37" s="31">
        <f>Tercera!W37</f>
        <v>0</v>
      </c>
      <c r="X37" s="32">
        <f t="shared" si="69"/>
        <v>-1</v>
      </c>
      <c r="Y37" s="31">
        <f>Tercera!Y37</f>
        <v>0</v>
      </c>
      <c r="Z37" s="32">
        <f t="shared" si="70"/>
        <v>-1</v>
      </c>
      <c r="AA37" s="31">
        <f>Tercera!AA37</f>
        <v>0</v>
      </c>
      <c r="AB37" s="32">
        <f t="shared" si="71"/>
        <v>-1</v>
      </c>
      <c r="AC37" s="31">
        <f>Tercera!AC37</f>
        <v>0</v>
      </c>
      <c r="AD37" s="32">
        <f t="shared" si="72"/>
        <v>-1</v>
      </c>
      <c r="AE37" s="31">
        <f>Tercera!AE37</f>
        <v>0</v>
      </c>
      <c r="AF37" s="32">
        <f t="shared" si="73"/>
        <v>-1</v>
      </c>
      <c r="AG37" s="31">
        <f>Tercera!AG37</f>
        <v>0</v>
      </c>
      <c r="AH37" s="32">
        <f t="shared" si="74"/>
        <v>-1</v>
      </c>
      <c r="AI37" s="31">
        <f>Tercera!AI37</f>
        <v>0</v>
      </c>
      <c r="AJ37" s="32">
        <f t="shared" si="75"/>
        <v>-1</v>
      </c>
      <c r="AK37" s="31">
        <f>Tercera!AK37</f>
        <v>0</v>
      </c>
      <c r="AL37" s="32">
        <f t="shared" si="76"/>
        <v>-1</v>
      </c>
      <c r="AM37" s="31">
        <f>Tercera!AM37</f>
        <v>0</v>
      </c>
      <c r="AN37" s="32">
        <f t="shared" si="77"/>
        <v>-1</v>
      </c>
      <c r="AO37" s="31">
        <f>Tercera!AO37</f>
        <v>0</v>
      </c>
      <c r="AP37" s="32">
        <f t="shared" si="78"/>
        <v>-1</v>
      </c>
      <c r="AQ37" s="31">
        <f>Tercera!AQ37</f>
        <v>0</v>
      </c>
      <c r="AR37" s="32">
        <f t="shared" si="79"/>
        <v>-1</v>
      </c>
      <c r="AS37" s="31">
        <f>Tercera!AS37</f>
        <v>0</v>
      </c>
      <c r="AT37" s="32">
        <f t="shared" si="80"/>
        <v>-1</v>
      </c>
      <c r="AU37" s="31">
        <f>Tercera!AU37</f>
        <v>0</v>
      </c>
      <c r="AV37" s="32">
        <f t="shared" si="81"/>
        <v>-1</v>
      </c>
      <c r="AW37" s="31">
        <f>Tercera!AW37</f>
        <v>0</v>
      </c>
      <c r="AX37" s="32">
        <f t="shared" si="82"/>
        <v>-1</v>
      </c>
      <c r="AY37" s="31">
        <f>Tercera!AY37</f>
        <v>0</v>
      </c>
      <c r="AZ37" s="32">
        <f t="shared" si="83"/>
        <v>-1</v>
      </c>
      <c r="BA37" s="31">
        <f>Tercera!BA37</f>
        <v>0</v>
      </c>
      <c r="BB37" s="32">
        <f t="shared" si="84"/>
        <v>-1</v>
      </c>
      <c r="BC37" s="31">
        <f>Tercera!BC37</f>
        <v>0</v>
      </c>
      <c r="BD37" s="32">
        <f t="shared" si="85"/>
        <v>-1</v>
      </c>
      <c r="BE37" s="31">
        <f>Tercera!BE37</f>
        <v>0</v>
      </c>
      <c r="BF37" s="32">
        <f t="shared" si="86"/>
        <v>-1</v>
      </c>
      <c r="BG37" s="31">
        <f>Tercera!BG37</f>
        <v>0</v>
      </c>
      <c r="BH37" s="32">
        <f t="shared" si="87"/>
        <v>-1</v>
      </c>
      <c r="BI37" s="31">
        <f>Tercera!BI37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8">
        <f>IF(SUM($B39:$B58)&lt;&gt;0,SUM(C39:C58)/SUM($B39:$B58)*$B38*10, "")</f>
        <v>1.4799999967217445</v>
      </c>
      <c r="D38" s="58"/>
      <c r="E38" s="58">
        <f>IF(SUM($B39:$B58)&lt;&gt;0,SUM(E39:E58)/SUM($B39:$B58)*$B38*10, "")</f>
        <v>1.2400000095367432</v>
      </c>
      <c r="F38" s="58"/>
      <c r="G38" s="58">
        <f>IF(SUM($B39:$B58)&lt;&gt;0,SUM(G39:G58)/SUM($B39:$B58)*$B38*10, "")</f>
        <v>1.1300000071525573</v>
      </c>
      <c r="H38" s="58"/>
      <c r="I38" s="58">
        <f>IF(SUM($B39:$B58)&lt;&gt;0,SUM(I39:I58)/SUM($B39:$B58)*$B38*10, "")</f>
        <v>1.0000000089406966</v>
      </c>
      <c r="J38" s="58"/>
      <c r="K38" s="58">
        <f>IF(SUM($B39:$B58)&lt;&gt;0,SUM(K39:K58)/SUM($B39:$B58)*$B38*10, "")</f>
        <v>1.1200000166893005</v>
      </c>
      <c r="L38" s="58"/>
      <c r="M38" s="58">
        <f>IF(SUM($B39:$B58)&lt;&gt;0,SUM(M39:M58)/SUM($B39:$B58)*$B38*10, "")</f>
        <v>0.76000001430511488</v>
      </c>
      <c r="N38" s="58"/>
      <c r="O38" s="58">
        <f>IF(SUM($B39:$B58)&lt;&gt;0,SUM(O39:O58)/SUM($B39:$B58)*$B38*10, "")</f>
        <v>1.02000000923872</v>
      </c>
      <c r="P38" s="58"/>
      <c r="Q38" s="58">
        <f>IF(SUM($B39:$B58)&lt;&gt;0,SUM(Q39:Q58)/SUM($B39:$B58)*$B38*10, "")</f>
        <v>0.68000001311302183</v>
      </c>
      <c r="R38" s="58"/>
      <c r="S38" s="58">
        <f>IF(SUM($B39:$B58)&lt;&gt;0,SUM(S39:S58)/SUM($B39:$B58)*$B38*10, "")</f>
        <v>0.6600000187754631</v>
      </c>
      <c r="T38" s="58"/>
      <c r="U38" s="58">
        <f>IF(SUM($B39:$B58)&lt;&gt;0,SUM(U39:U58)/SUM($B39:$B58)*$B38*10, "")</f>
        <v>0.93000001236796392</v>
      </c>
      <c r="V38" s="58"/>
      <c r="W38" s="58">
        <f>IF(SUM($B39:$B58)&lt;&gt;0,SUM(W39:W58)/SUM($B39:$B58)*$B38*10, "")</f>
        <v>1.1099999904632569</v>
      </c>
      <c r="X38" s="58"/>
      <c r="Y38" s="58">
        <f>IF(SUM($B39:$B58)&lt;&gt;0,SUM(Y39:Y58)/SUM($B39:$B58)*$B38*10, "")</f>
        <v>1.0000000119209291</v>
      </c>
      <c r="Z38" s="58"/>
      <c r="AA38" s="58">
        <f>IF(SUM($B39:$B58)&lt;&gt;0,SUM(AA39:AA58)/SUM($B39:$B58)*$B38*10, "")</f>
        <v>1.230000028014183</v>
      </c>
      <c r="AB38" s="58"/>
      <c r="AC38" s="58">
        <f>IF(SUM($B39:$B58)&lt;&gt;0,SUM(AC39:AC58)/SUM($B39:$B58)*$B38*10, "")</f>
        <v>1.0400000065565109</v>
      </c>
      <c r="AD38" s="58"/>
      <c r="AE38" s="58">
        <f>IF(SUM($B39:$B58)&lt;&gt;0,SUM(AE39:AE58)/SUM($B39:$B58)*$B38*10, "")</f>
        <v>1.2899999797344208</v>
      </c>
      <c r="AF38" s="58"/>
      <c r="AG38" s="58">
        <f>IF(SUM($B39:$B58)&lt;&gt;0,SUM(AG39:AG58)/SUM($B39:$B58)*$B38*10, "")</f>
        <v>0.86000001430511475</v>
      </c>
      <c r="AH38" s="58"/>
      <c r="AI38" s="58">
        <f>IF(SUM($B39:$B58)&lt;&gt;0,SUM(AI39:AI58)/SUM($B39:$B58)*$B38*10, "")</f>
        <v>0.60000000894069672</v>
      </c>
      <c r="AJ38" s="58"/>
      <c r="AK38" s="58">
        <f>IF(SUM($B39:$B58)&lt;&gt;0,SUM(AK39:AK58)/SUM($B39:$B58)*$B38*10, "")</f>
        <v>1.0900000005960464</v>
      </c>
      <c r="AL38" s="58"/>
      <c r="AM38" s="58">
        <f>IF(SUM($B39:$B58)&lt;&gt;0,SUM(AM39:AM58)/SUM($B39:$B58)*$B38*10, "")</f>
        <v>1.1200000047683716</v>
      </c>
      <c r="AN38" s="58"/>
      <c r="AO38" s="58">
        <f>IF(SUM($B39:$B58)&lt;&gt;0,SUM(AO39:AO58)/SUM($B39:$B58)*$B38*10, "")</f>
        <v>0.88000001013278972</v>
      </c>
      <c r="AP38" s="58"/>
      <c r="AQ38" s="58">
        <f>IF(SUM($B39:$B58)&lt;&gt;0,SUM(AQ39:AQ58)/SUM($B39:$B58)*$B38*10, "")</f>
        <v>0.96000001728534712</v>
      </c>
      <c r="AR38" s="58"/>
      <c r="AS38" s="58">
        <f>IF(SUM($B39:$B58)&lt;&gt;0,SUM(AS39:AS58)/SUM($B39:$B58)*$B38*10, "")</f>
        <v>0.91000001728534707</v>
      </c>
      <c r="AT38" s="58"/>
      <c r="AU38" s="58">
        <f>IF(SUM($B39:$B58)&lt;&gt;0,SUM(AU39:AU58)/SUM($B39:$B58)*$B38*10, "")</f>
        <v>1.1200000196695328</v>
      </c>
      <c r="AV38" s="58"/>
      <c r="AW38" s="58">
        <f>IF(SUM($B39:$B58)&lt;&gt;0,SUM(AW39:AW58)/SUM($B39:$B58)*$B38*10, "")</f>
        <v>0.72000000178813939</v>
      </c>
      <c r="AX38" s="58"/>
      <c r="AY38" s="58">
        <f>IF(SUM($B39:$B58)&lt;&gt;0,SUM(AY39:AY58)/SUM($B39:$B58)*$B38*10, "")</f>
        <v>0.70000002086162572</v>
      </c>
      <c r="AZ38" s="58"/>
      <c r="BA38" s="58">
        <f>IF(SUM($B39:$B58)&lt;&gt;0,SUM(BA39:BA58)/SUM($B39:$B58)*$B38*10, "")</f>
        <v>0.78999999910593033</v>
      </c>
      <c r="BB38" s="58"/>
      <c r="BC38" s="58">
        <f>IF(SUM($B39:$B58)&lt;&gt;0,SUM(BC39:BC58)/SUM($B39:$B58)*$B38*10, "")</f>
        <v>1.2400000005960465</v>
      </c>
      <c r="BD38" s="58"/>
      <c r="BE38" s="58">
        <f>IF(SUM($B39:$B58)&lt;&gt;0,SUM(BE39:BE58)/SUM($B39:$B58)*$B38*10, "")</f>
        <v>0.80000001266598697</v>
      </c>
      <c r="BF38" s="58"/>
      <c r="BG38" s="58">
        <f>IF(SUM($B39:$B58)&lt;&gt;0,SUM(BG39:BG58)/SUM($B39:$B58)*$B38*10, "")</f>
        <v>0.86000001430511475</v>
      </c>
      <c r="BH38" s="58"/>
      <c r="BI38" s="58">
        <f>IF(SUM($B39:$B58)&lt;&gt;0,SUM(BI39:BI58)/SUM($B39:$B58)*$B38*10, "")</f>
        <v>0.92000000923872005</v>
      </c>
      <c r="BJ38" s="58"/>
    </row>
    <row r="39" spans="1:62" ht="28" x14ac:dyDescent="0.2">
      <c r="A39" s="2" t="s">
        <v>39</v>
      </c>
      <c r="B39" s="13">
        <f>Tercera!B39</f>
        <v>1.5</v>
      </c>
      <c r="C39" s="31">
        <f>Tercera!C39</f>
        <v>1.5</v>
      </c>
      <c r="D39" s="32">
        <f t="shared" ref="D39:D58" si="89">IF($B39,C39/$B39,-1)</f>
        <v>1</v>
      </c>
      <c r="E39" s="31">
        <f>Tercera!E39</f>
        <v>1.5</v>
      </c>
      <c r="F39" s="32">
        <f t="shared" ref="F39:F58" si="90">IF($B39,E39/$B39,-1)</f>
        <v>1</v>
      </c>
      <c r="G39" s="31">
        <f>Tercera!G39</f>
        <v>0.90000003576278687</v>
      </c>
      <c r="H39" s="32">
        <f t="shared" ref="H39:H58" si="91">IF($B39,G39/$B39,-1)</f>
        <v>0.60000002384185791</v>
      </c>
      <c r="I39" s="31">
        <f>Tercera!I39</f>
        <v>0.75</v>
      </c>
      <c r="J39" s="32">
        <f t="shared" ref="J39:J58" si="92">IF($B39,I39/$B39,-1)</f>
        <v>0.5</v>
      </c>
      <c r="K39" s="31">
        <f>Tercera!K39</f>
        <v>0.90000003576278687</v>
      </c>
      <c r="L39" s="32">
        <f t="shared" ref="L39:L58" si="93">IF($B39,K39/$B39,-1)</f>
        <v>0.60000002384185791</v>
      </c>
      <c r="M39" s="31">
        <f>Tercera!M39</f>
        <v>0</v>
      </c>
      <c r="N39" s="32">
        <f t="shared" ref="N39:N58" si="94">IF($B39,M39/$B39,-1)</f>
        <v>0</v>
      </c>
      <c r="O39" s="31">
        <f>Tercera!O39</f>
        <v>0.30000000447034836</v>
      </c>
      <c r="P39" s="32">
        <f t="shared" ref="P39:P58" si="95">IF($B39,O39/$B39,-1)</f>
        <v>0.20000000298023224</v>
      </c>
      <c r="Q39" s="31">
        <f>Tercera!Q39</f>
        <v>0.45000001788139343</v>
      </c>
      <c r="R39" s="32">
        <f t="shared" ref="R39:R58" si="96">IF($B39,Q39/$B39,-1)</f>
        <v>0.30000001192092896</v>
      </c>
      <c r="S39" s="31">
        <f>Tercera!S39</f>
        <v>0</v>
      </c>
      <c r="T39" s="32">
        <f t="shared" ref="T39:T58" si="97">IF($B39,S39/$B39,-1)</f>
        <v>0</v>
      </c>
      <c r="U39" s="31">
        <f>Tercera!U39</f>
        <v>0.15000000223517418</v>
      </c>
      <c r="V39" s="32">
        <f t="shared" ref="V39:V58" si="98">IF($B39,U39/$B39,-1)</f>
        <v>0.10000000149011612</v>
      </c>
      <c r="W39" s="31">
        <f>Tercera!W39</f>
        <v>0.60000000894069672</v>
      </c>
      <c r="X39" s="32">
        <f t="shared" ref="X39:X58" si="99">IF($B39,W39/$B39,-1)</f>
        <v>0.40000000596046448</v>
      </c>
      <c r="Y39" s="31">
        <f>Tercera!Y39</f>
        <v>0.90000003576278687</v>
      </c>
      <c r="Z39" s="32">
        <f t="shared" ref="Z39:Z58" si="100">IF($B39,Y39/$B39,-1)</f>
        <v>0.60000002384185791</v>
      </c>
      <c r="AA39" s="31">
        <f>Tercera!AA39</f>
        <v>0.90000003576278687</v>
      </c>
      <c r="AB39" s="32">
        <f t="shared" ref="AB39:AB58" si="101">IF($B39,AA39/$B39,-1)</f>
        <v>0.60000002384185791</v>
      </c>
      <c r="AC39" s="31">
        <f>Tercera!AC39</f>
        <v>1.2000000178813934</v>
      </c>
      <c r="AD39" s="32">
        <f t="shared" ref="AD39:AD58" si="102">IF($B39,AC39/$B39,-1)</f>
        <v>0.80000001192092896</v>
      </c>
      <c r="AE39" s="31">
        <f>Tercera!AE39</f>
        <v>0</v>
      </c>
      <c r="AF39" s="32">
        <f t="shared" ref="AF39:AF58" si="103">IF($B39,AE39/$B39,-1)</f>
        <v>0</v>
      </c>
      <c r="AG39" s="31">
        <f>Tercera!AG39</f>
        <v>0.60000000894069672</v>
      </c>
      <c r="AH39" s="32">
        <f t="shared" ref="AH39:AH58" si="104">IF($B39,AG39/$B39,-1)</f>
        <v>0.40000000596046448</v>
      </c>
      <c r="AI39" s="31">
        <f>Tercera!AI39</f>
        <v>0</v>
      </c>
      <c r="AJ39" s="32">
        <f t="shared" ref="AJ39:AJ58" si="105">IF($B39,AI39/$B39,-1)</f>
        <v>0</v>
      </c>
      <c r="AK39" s="31">
        <f>Tercera!AK39</f>
        <v>0.45000001788139343</v>
      </c>
      <c r="AL39" s="32">
        <f t="shared" ref="AL39:AL58" si="106">IF($B39,AK39/$B39,-1)</f>
        <v>0.30000001192092896</v>
      </c>
      <c r="AM39" s="31">
        <f>Tercera!AM39</f>
        <v>0.90000003576278687</v>
      </c>
      <c r="AN39" s="32">
        <f t="shared" ref="AN39:AN58" si="107">IF($B39,AM39/$B39,-1)</f>
        <v>0.60000002384185791</v>
      </c>
      <c r="AO39" s="31">
        <f>Tercera!AO39</f>
        <v>0.75</v>
      </c>
      <c r="AP39" s="32">
        <f t="shared" ref="AP39:AP58" si="108">IF($B39,AO39/$B39,-1)</f>
        <v>0.5</v>
      </c>
      <c r="AQ39" s="31">
        <f>Tercera!AQ39</f>
        <v>0.90000003576278687</v>
      </c>
      <c r="AR39" s="32">
        <f t="shared" ref="AR39:AR58" si="109">IF($B39,AQ39/$B39,-1)</f>
        <v>0.60000002384185791</v>
      </c>
      <c r="AS39" s="31">
        <f>Tercera!AS39</f>
        <v>0.45000001788139343</v>
      </c>
      <c r="AT39" s="32">
        <f t="shared" ref="AT39:AT58" si="110">IF($B39,AS39/$B39,-1)</f>
        <v>0.30000001192092896</v>
      </c>
      <c r="AU39" s="31">
        <f>Tercera!AU39</f>
        <v>1.5</v>
      </c>
      <c r="AV39" s="32">
        <f t="shared" ref="AV39:AV58" si="111">IF($B39,AU39/$B39,-1)</f>
        <v>1</v>
      </c>
      <c r="AW39" s="31">
        <f>Tercera!AW39</f>
        <v>1.2000000178813934</v>
      </c>
      <c r="AX39" s="32">
        <f t="shared" ref="AX39:AX58" si="112">IF($B39,AW39/$B39,-1)</f>
        <v>0.80000001192092896</v>
      </c>
      <c r="AY39" s="31">
        <f>Tercera!AY39</f>
        <v>0.90000003576278687</v>
      </c>
      <c r="AZ39" s="32">
        <f t="shared" ref="AZ39:AZ58" si="113">IF($B39,AY39/$B39,-1)</f>
        <v>0.60000002384185791</v>
      </c>
      <c r="BA39" s="31">
        <f>Tercera!BA39</f>
        <v>0.60000000894069672</v>
      </c>
      <c r="BB39" s="32">
        <f t="shared" ref="BB39:BB58" si="114">IF($B39,BA39/$B39,-1)</f>
        <v>0.40000000596046448</v>
      </c>
      <c r="BC39" s="31">
        <f>Tercera!BC39</f>
        <v>1.2000000178813934</v>
      </c>
      <c r="BD39" s="32">
        <f t="shared" ref="BD39:BD58" si="115">IF($B39,BC39/$B39,-1)</f>
        <v>0.80000001192092896</v>
      </c>
      <c r="BE39" s="31">
        <f>Tercera!BE39</f>
        <v>0.15000000223517418</v>
      </c>
      <c r="BF39" s="32">
        <f t="shared" ref="BF39:BF58" si="116">IF($B39,BE39/$B39,-1)</f>
        <v>0.10000000149011612</v>
      </c>
      <c r="BG39" s="31">
        <f>Tercera!BG39</f>
        <v>0</v>
      </c>
      <c r="BH39" s="32">
        <f t="shared" ref="BH39:BH58" si="117">IF($B39,BG39/$B39,-1)</f>
        <v>0</v>
      </c>
      <c r="BI39" s="31">
        <f>Tercera!BI39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Tercera!B40</f>
        <v>1.5</v>
      </c>
      <c r="C40" s="31">
        <f>Tercera!C40</f>
        <v>1.2000000178813934</v>
      </c>
      <c r="D40" s="32">
        <f t="shared" si="89"/>
        <v>0.80000001192092896</v>
      </c>
      <c r="E40" s="31">
        <f>Tercera!E40</f>
        <v>1.5</v>
      </c>
      <c r="F40" s="32">
        <f t="shared" si="90"/>
        <v>1</v>
      </c>
      <c r="G40" s="31">
        <f>Tercera!G40</f>
        <v>0.45000001788139343</v>
      </c>
      <c r="H40" s="32">
        <f t="shared" si="91"/>
        <v>0.30000001192092896</v>
      </c>
      <c r="I40" s="31">
        <f>Tercera!I40</f>
        <v>1.0499999821186066</v>
      </c>
      <c r="J40" s="32">
        <f t="shared" si="92"/>
        <v>0.69999998807907104</v>
      </c>
      <c r="K40" s="31">
        <f>Tercera!K40</f>
        <v>1.2000000178813934</v>
      </c>
      <c r="L40" s="32">
        <f t="shared" si="93"/>
        <v>0.80000001192092896</v>
      </c>
      <c r="M40" s="31">
        <f>Tercera!M40</f>
        <v>0</v>
      </c>
      <c r="N40" s="32">
        <f t="shared" si="94"/>
        <v>0</v>
      </c>
      <c r="O40" s="31">
        <f>Tercera!O40</f>
        <v>1.2000000178813934</v>
      </c>
      <c r="P40" s="32">
        <f t="shared" si="95"/>
        <v>0.80000001192092896</v>
      </c>
      <c r="Q40" s="31">
        <f>Tercera!Q40</f>
        <v>0.75</v>
      </c>
      <c r="R40" s="32">
        <f t="shared" si="96"/>
        <v>0.5</v>
      </c>
      <c r="S40" s="31">
        <f>Tercera!S40</f>
        <v>0.30000000447034836</v>
      </c>
      <c r="T40" s="32">
        <f t="shared" si="97"/>
        <v>0.20000000298023224</v>
      </c>
      <c r="U40" s="31">
        <f>Tercera!U40</f>
        <v>0.90000003576278687</v>
      </c>
      <c r="V40" s="32">
        <f t="shared" si="98"/>
        <v>0.60000002384185791</v>
      </c>
      <c r="W40" s="31">
        <f>Tercera!W40</f>
        <v>1.3499999642372131</v>
      </c>
      <c r="X40" s="32">
        <f t="shared" si="99"/>
        <v>0.89999997615814209</v>
      </c>
      <c r="Y40" s="31">
        <f>Tercera!Y40</f>
        <v>1.5</v>
      </c>
      <c r="Z40" s="32">
        <f t="shared" si="100"/>
        <v>1</v>
      </c>
      <c r="AA40" s="31">
        <f>Tercera!AA40</f>
        <v>1.0499999821186066</v>
      </c>
      <c r="AB40" s="32">
        <f t="shared" si="101"/>
        <v>0.69999998807907104</v>
      </c>
      <c r="AC40" s="31">
        <f>Tercera!AC40</f>
        <v>0</v>
      </c>
      <c r="AD40" s="32">
        <f t="shared" si="102"/>
        <v>0</v>
      </c>
      <c r="AE40" s="31">
        <f>Tercera!AE40</f>
        <v>1.0499999821186066</v>
      </c>
      <c r="AF40" s="32">
        <f t="shared" si="103"/>
        <v>0.69999998807907104</v>
      </c>
      <c r="AG40" s="31">
        <f>Tercera!AG40</f>
        <v>1.5</v>
      </c>
      <c r="AH40" s="32">
        <f t="shared" si="104"/>
        <v>1</v>
      </c>
      <c r="AI40" s="31">
        <f>Tercera!AI40</f>
        <v>0</v>
      </c>
      <c r="AJ40" s="32">
        <f t="shared" si="105"/>
        <v>0</v>
      </c>
      <c r="AK40" s="31">
        <f>Tercera!AK40</f>
        <v>1.5</v>
      </c>
      <c r="AL40" s="32">
        <f t="shared" si="106"/>
        <v>1</v>
      </c>
      <c r="AM40" s="31">
        <f>Tercera!AM40</f>
        <v>0</v>
      </c>
      <c r="AN40" s="32">
        <f t="shared" si="107"/>
        <v>0</v>
      </c>
      <c r="AO40" s="31">
        <f>Tercera!AO40</f>
        <v>0.45000001788139343</v>
      </c>
      <c r="AP40" s="32">
        <f t="shared" si="108"/>
        <v>0.30000001192092896</v>
      </c>
      <c r="AQ40" s="31">
        <f>Tercera!AQ40</f>
        <v>0.90000003576278687</v>
      </c>
      <c r="AR40" s="32">
        <f t="shared" si="109"/>
        <v>0.60000002384185791</v>
      </c>
      <c r="AS40" s="31">
        <f>Tercera!AS40</f>
        <v>1.2000000178813934</v>
      </c>
      <c r="AT40" s="32">
        <f t="shared" si="110"/>
        <v>0.80000001192092896</v>
      </c>
      <c r="AU40" s="31">
        <f>Tercera!AU40</f>
        <v>0</v>
      </c>
      <c r="AV40" s="32">
        <f t="shared" si="111"/>
        <v>0</v>
      </c>
      <c r="AW40" s="31">
        <f>Tercera!AW40</f>
        <v>0</v>
      </c>
      <c r="AX40" s="32">
        <f t="shared" si="112"/>
        <v>0</v>
      </c>
      <c r="AY40" s="31">
        <f>Tercera!AY40</f>
        <v>0.90000003576278687</v>
      </c>
      <c r="AZ40" s="32">
        <f t="shared" si="113"/>
        <v>0.60000002384185791</v>
      </c>
      <c r="BA40" s="31">
        <f>Tercera!BA40</f>
        <v>0.45000001788139343</v>
      </c>
      <c r="BB40" s="32">
        <f t="shared" si="114"/>
        <v>0.30000001192092896</v>
      </c>
      <c r="BC40" s="31">
        <f>Tercera!BC40</f>
        <v>0.60000000894069672</v>
      </c>
      <c r="BD40" s="32">
        <f t="shared" si="115"/>
        <v>0.40000000596046448</v>
      </c>
      <c r="BE40" s="31">
        <f>Tercera!BE40</f>
        <v>0.75</v>
      </c>
      <c r="BF40" s="32">
        <f t="shared" si="116"/>
        <v>0.5</v>
      </c>
      <c r="BG40" s="31">
        <f>Tercera!BG40</f>
        <v>1.2000000178813934</v>
      </c>
      <c r="BH40" s="32">
        <f t="shared" si="117"/>
        <v>0.80000001192092896</v>
      </c>
      <c r="BI40" s="31">
        <f>Tercera!BI40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Tercera!B41</f>
        <v>1</v>
      </c>
      <c r="C41" s="31">
        <f>Tercera!C41</f>
        <v>0.30000001192092896</v>
      </c>
      <c r="D41" s="32">
        <f t="shared" si="89"/>
        <v>0.30000001192092896</v>
      </c>
      <c r="E41" s="31">
        <f>Tercera!E41</f>
        <v>0</v>
      </c>
      <c r="F41" s="32">
        <f t="shared" si="90"/>
        <v>0</v>
      </c>
      <c r="G41" s="31">
        <f>Tercera!G41</f>
        <v>0.40000000596046448</v>
      </c>
      <c r="H41" s="32">
        <f t="shared" si="91"/>
        <v>0.40000000596046448</v>
      </c>
      <c r="I41" s="31">
        <f>Tercera!I41</f>
        <v>0.60000002384185791</v>
      </c>
      <c r="J41" s="32">
        <f t="shared" si="92"/>
        <v>0.60000002384185791</v>
      </c>
      <c r="K41" s="31">
        <f>Tercera!K41</f>
        <v>0.80000001192092896</v>
      </c>
      <c r="L41" s="32">
        <f t="shared" si="93"/>
        <v>0.80000001192092896</v>
      </c>
      <c r="M41" s="31">
        <f>Tercera!M41</f>
        <v>0.60000002384185791</v>
      </c>
      <c r="N41" s="32">
        <f t="shared" si="94"/>
        <v>0.60000002384185791</v>
      </c>
      <c r="O41" s="31">
        <f>Tercera!O41</f>
        <v>0.69999998807907104</v>
      </c>
      <c r="P41" s="32">
        <f t="shared" si="95"/>
        <v>0.69999998807907104</v>
      </c>
      <c r="Q41" s="31">
        <f>Tercera!Q41</f>
        <v>0.80000001192092896</v>
      </c>
      <c r="R41" s="32">
        <f t="shared" si="96"/>
        <v>0.80000001192092896</v>
      </c>
      <c r="S41" s="31">
        <f>Tercera!S41</f>
        <v>0.40000000596046448</v>
      </c>
      <c r="T41" s="32">
        <f t="shared" si="97"/>
        <v>0.40000000596046448</v>
      </c>
      <c r="U41" s="31">
        <f>Tercera!U41</f>
        <v>0.80000001192092896</v>
      </c>
      <c r="V41" s="32">
        <f t="shared" si="98"/>
        <v>0.80000001192092896</v>
      </c>
      <c r="W41" s="31">
        <f>Tercera!W41</f>
        <v>0.69999998807907104</v>
      </c>
      <c r="X41" s="32">
        <f t="shared" si="99"/>
        <v>0.69999998807907104</v>
      </c>
      <c r="Y41" s="31">
        <f>Tercera!Y41</f>
        <v>0.69999998807907104</v>
      </c>
      <c r="Z41" s="32">
        <f t="shared" si="100"/>
        <v>0.69999998807907104</v>
      </c>
      <c r="AA41" s="31">
        <f>Tercera!AA41</f>
        <v>0.80000001192092896</v>
      </c>
      <c r="AB41" s="32">
        <f t="shared" si="101"/>
        <v>0.80000001192092896</v>
      </c>
      <c r="AC41" s="31">
        <f>Tercera!AC41</f>
        <v>0.20000000298023224</v>
      </c>
      <c r="AD41" s="32">
        <f t="shared" si="102"/>
        <v>0.20000000298023224</v>
      </c>
      <c r="AE41" s="31">
        <f>Tercera!AE41</f>
        <v>0.80000001192092896</v>
      </c>
      <c r="AF41" s="32">
        <f t="shared" si="103"/>
        <v>0.80000001192092896</v>
      </c>
      <c r="AG41" s="31">
        <f>Tercera!AG41</f>
        <v>0</v>
      </c>
      <c r="AH41" s="32">
        <f t="shared" si="104"/>
        <v>0</v>
      </c>
      <c r="AI41" s="31">
        <f>Tercera!AI41</f>
        <v>0.20000000298023224</v>
      </c>
      <c r="AJ41" s="32">
        <f t="shared" si="105"/>
        <v>0.20000000298023224</v>
      </c>
      <c r="AK41" s="31">
        <f>Tercera!AK41</f>
        <v>1</v>
      </c>
      <c r="AL41" s="32">
        <f t="shared" si="106"/>
        <v>1</v>
      </c>
      <c r="AM41" s="31">
        <f>Tercera!AM41</f>
        <v>0.89999997615814209</v>
      </c>
      <c r="AN41" s="32">
        <f t="shared" si="107"/>
        <v>0.89999997615814209</v>
      </c>
      <c r="AO41" s="31">
        <f>Tercera!AO41</f>
        <v>0.20000000298023224</v>
      </c>
      <c r="AP41" s="32">
        <f t="shared" si="108"/>
        <v>0.20000000298023224</v>
      </c>
      <c r="AQ41" s="31">
        <f>Tercera!AQ41</f>
        <v>0.20000000298023224</v>
      </c>
      <c r="AR41" s="32">
        <f t="shared" si="109"/>
        <v>0.20000000298023224</v>
      </c>
      <c r="AS41" s="31">
        <f>Tercera!AS41</f>
        <v>0.20000000298023224</v>
      </c>
      <c r="AT41" s="32">
        <f t="shared" si="110"/>
        <v>0.20000000298023224</v>
      </c>
      <c r="AU41" s="31">
        <f>Tercera!AU41</f>
        <v>1</v>
      </c>
      <c r="AV41" s="32">
        <f t="shared" si="111"/>
        <v>1</v>
      </c>
      <c r="AW41" s="31">
        <f>Tercera!AW41</f>
        <v>0.20000000298023224</v>
      </c>
      <c r="AX41" s="32">
        <f t="shared" si="112"/>
        <v>0.20000000298023224</v>
      </c>
      <c r="AY41" s="31">
        <f>Tercera!AY41</f>
        <v>0.20000000298023224</v>
      </c>
      <c r="AZ41" s="32">
        <f t="shared" si="113"/>
        <v>0.20000000298023224</v>
      </c>
      <c r="BA41" s="31">
        <f>Tercera!BA41</f>
        <v>0.69999998807907104</v>
      </c>
      <c r="BB41" s="32">
        <f t="shared" si="114"/>
        <v>0.69999998807907104</v>
      </c>
      <c r="BC41" s="31">
        <f>Tercera!BC41</f>
        <v>0.69999998807907104</v>
      </c>
      <c r="BD41" s="32">
        <f t="shared" si="115"/>
        <v>0.69999998807907104</v>
      </c>
      <c r="BE41" s="31">
        <f>Tercera!BE41</f>
        <v>0.80000001192092896</v>
      </c>
      <c r="BF41" s="32">
        <f t="shared" si="116"/>
        <v>0.80000001192092896</v>
      </c>
      <c r="BG41" s="31">
        <f>Tercera!BG41</f>
        <v>0.80000001192092896</v>
      </c>
      <c r="BH41" s="32">
        <f t="shared" si="117"/>
        <v>0.80000001192092896</v>
      </c>
      <c r="BI41" s="31">
        <f>Tercera!BI41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Tercera!B42</f>
        <v>0</v>
      </c>
      <c r="C42" s="31">
        <f>Tercera!C42</f>
        <v>0</v>
      </c>
      <c r="D42" s="32">
        <f t="shared" si="89"/>
        <v>-1</v>
      </c>
      <c r="E42" s="31">
        <f>Tercera!E42</f>
        <v>0</v>
      </c>
      <c r="F42" s="32">
        <f t="shared" si="90"/>
        <v>-1</v>
      </c>
      <c r="G42" s="31">
        <f>Tercera!G42</f>
        <v>0</v>
      </c>
      <c r="H42" s="32">
        <f t="shared" si="91"/>
        <v>-1</v>
      </c>
      <c r="I42" s="31">
        <f>Tercera!I42</f>
        <v>0</v>
      </c>
      <c r="J42" s="32">
        <f t="shared" si="92"/>
        <v>-1</v>
      </c>
      <c r="K42" s="31">
        <f>Tercera!K42</f>
        <v>0</v>
      </c>
      <c r="L42" s="32">
        <f t="shared" si="93"/>
        <v>-1</v>
      </c>
      <c r="M42" s="31">
        <f>Tercera!M42</f>
        <v>0</v>
      </c>
      <c r="N42" s="32">
        <f t="shared" si="94"/>
        <v>-1</v>
      </c>
      <c r="O42" s="31">
        <f>Tercera!O42</f>
        <v>0</v>
      </c>
      <c r="P42" s="32">
        <f t="shared" si="95"/>
        <v>-1</v>
      </c>
      <c r="Q42" s="31">
        <f>Tercera!Q42</f>
        <v>0</v>
      </c>
      <c r="R42" s="32">
        <f t="shared" si="96"/>
        <v>-1</v>
      </c>
      <c r="S42" s="31">
        <f>Tercera!S42</f>
        <v>0</v>
      </c>
      <c r="T42" s="32">
        <f t="shared" si="97"/>
        <v>-1</v>
      </c>
      <c r="U42" s="31">
        <f>Tercera!U42</f>
        <v>0</v>
      </c>
      <c r="V42" s="32">
        <f t="shared" si="98"/>
        <v>-1</v>
      </c>
      <c r="W42" s="31">
        <f>Tercera!W42</f>
        <v>0</v>
      </c>
      <c r="X42" s="32">
        <f t="shared" si="99"/>
        <v>-1</v>
      </c>
      <c r="Y42" s="31">
        <f>Tercera!Y42</f>
        <v>0</v>
      </c>
      <c r="Z42" s="32">
        <f t="shared" si="100"/>
        <v>-1</v>
      </c>
      <c r="AA42" s="31">
        <f>Tercera!AA42</f>
        <v>0</v>
      </c>
      <c r="AB42" s="32">
        <f t="shared" si="101"/>
        <v>-1</v>
      </c>
      <c r="AC42" s="31">
        <f>Tercera!AC42</f>
        <v>0</v>
      </c>
      <c r="AD42" s="32">
        <f t="shared" si="102"/>
        <v>-1</v>
      </c>
      <c r="AE42" s="31">
        <f>Tercera!AE42</f>
        <v>0</v>
      </c>
      <c r="AF42" s="32">
        <f t="shared" si="103"/>
        <v>-1</v>
      </c>
      <c r="AG42" s="31">
        <f>Tercera!AG42</f>
        <v>0</v>
      </c>
      <c r="AH42" s="32">
        <f t="shared" si="104"/>
        <v>-1</v>
      </c>
      <c r="AI42" s="31">
        <f>Tercera!AI42</f>
        <v>0</v>
      </c>
      <c r="AJ42" s="32">
        <f t="shared" si="105"/>
        <v>-1</v>
      </c>
      <c r="AK42" s="31">
        <f>Tercera!AK42</f>
        <v>0</v>
      </c>
      <c r="AL42" s="32">
        <f t="shared" si="106"/>
        <v>-1</v>
      </c>
      <c r="AM42" s="31">
        <f>Tercera!AM42</f>
        <v>0</v>
      </c>
      <c r="AN42" s="32">
        <f t="shared" si="107"/>
        <v>-1</v>
      </c>
      <c r="AO42" s="31">
        <f>Tercera!AO42</f>
        <v>0</v>
      </c>
      <c r="AP42" s="32">
        <f t="shared" si="108"/>
        <v>-1</v>
      </c>
      <c r="AQ42" s="31">
        <f>Tercera!AQ42</f>
        <v>0</v>
      </c>
      <c r="AR42" s="32">
        <f t="shared" si="109"/>
        <v>-1</v>
      </c>
      <c r="AS42" s="31">
        <f>Tercera!AS42</f>
        <v>0</v>
      </c>
      <c r="AT42" s="32">
        <f t="shared" si="110"/>
        <v>-1</v>
      </c>
      <c r="AU42" s="31">
        <f>Tercera!AU42</f>
        <v>0</v>
      </c>
      <c r="AV42" s="32">
        <f t="shared" si="111"/>
        <v>-1</v>
      </c>
      <c r="AW42" s="31">
        <f>Tercera!AW42</f>
        <v>0</v>
      </c>
      <c r="AX42" s="32">
        <f t="shared" si="112"/>
        <v>-1</v>
      </c>
      <c r="AY42" s="31">
        <f>Tercera!AY42</f>
        <v>0</v>
      </c>
      <c r="AZ42" s="32">
        <f t="shared" si="113"/>
        <v>-1</v>
      </c>
      <c r="BA42" s="31">
        <f>Tercera!BA42</f>
        <v>0</v>
      </c>
      <c r="BB42" s="32">
        <f t="shared" si="114"/>
        <v>-1</v>
      </c>
      <c r="BC42" s="31">
        <f>Tercera!BC42</f>
        <v>0</v>
      </c>
      <c r="BD42" s="32">
        <f t="shared" si="115"/>
        <v>-1</v>
      </c>
      <c r="BE42" s="31">
        <f>Tercera!BE42</f>
        <v>0</v>
      </c>
      <c r="BF42" s="32">
        <f t="shared" si="116"/>
        <v>-1</v>
      </c>
      <c r="BG42" s="31">
        <f>Tercera!BG42</f>
        <v>0</v>
      </c>
      <c r="BH42" s="32">
        <f t="shared" si="117"/>
        <v>-1</v>
      </c>
      <c r="BI42" s="31">
        <f>Tercera!BI42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Tercera!B43</f>
        <v>2</v>
      </c>
      <c r="C43" s="31">
        <f>Tercera!C43</f>
        <v>1.7999999523162842</v>
      </c>
      <c r="D43" s="32">
        <f t="shared" si="89"/>
        <v>0.89999997615814209</v>
      </c>
      <c r="E43" s="31">
        <f>Tercera!E43</f>
        <v>1.3999999761581421</v>
      </c>
      <c r="F43" s="32">
        <f t="shared" si="90"/>
        <v>0.69999998807907104</v>
      </c>
      <c r="G43" s="31">
        <f>Tercera!G43</f>
        <v>1.7999999523162842</v>
      </c>
      <c r="H43" s="32">
        <f t="shared" si="91"/>
        <v>0.89999997615814209</v>
      </c>
      <c r="I43" s="31">
        <f>Tercera!I43</f>
        <v>0.40000000596046448</v>
      </c>
      <c r="J43" s="32">
        <f t="shared" si="92"/>
        <v>0.20000000298023224</v>
      </c>
      <c r="K43" s="31">
        <f>Tercera!K43</f>
        <v>0.60000002384185791</v>
      </c>
      <c r="L43" s="32">
        <f t="shared" si="93"/>
        <v>0.30000001192092896</v>
      </c>
      <c r="M43" s="31">
        <f>Tercera!M43</f>
        <v>1.2000000476837158</v>
      </c>
      <c r="N43" s="32">
        <f t="shared" si="94"/>
        <v>0.60000002384185791</v>
      </c>
      <c r="O43" s="31">
        <f>Tercera!O43</f>
        <v>0.60000002384185791</v>
      </c>
      <c r="P43" s="32">
        <f t="shared" si="95"/>
        <v>0.30000001192092896</v>
      </c>
      <c r="Q43" s="31">
        <f>Tercera!Q43</f>
        <v>0.40000000596046448</v>
      </c>
      <c r="R43" s="32">
        <f t="shared" si="96"/>
        <v>0.20000000298023224</v>
      </c>
      <c r="S43" s="31">
        <f>Tercera!S43</f>
        <v>1.2000000476837158</v>
      </c>
      <c r="T43" s="32">
        <f t="shared" si="97"/>
        <v>0.60000002384185791</v>
      </c>
      <c r="U43" s="31">
        <f>Tercera!U43</f>
        <v>1.2000000476837158</v>
      </c>
      <c r="V43" s="32">
        <f t="shared" si="98"/>
        <v>0.60000002384185791</v>
      </c>
      <c r="W43" s="31">
        <f>Tercera!W43</f>
        <v>0.20000000298023224</v>
      </c>
      <c r="X43" s="32">
        <f t="shared" si="99"/>
        <v>0.10000000149011612</v>
      </c>
      <c r="Y43" s="31">
        <f>Tercera!Y43</f>
        <v>0</v>
      </c>
      <c r="Z43" s="32">
        <f t="shared" si="100"/>
        <v>0</v>
      </c>
      <c r="AA43" s="31">
        <f>Tercera!AA43</f>
        <v>1.2000000476837158</v>
      </c>
      <c r="AB43" s="32">
        <f t="shared" si="101"/>
        <v>0.60000002384185791</v>
      </c>
      <c r="AC43" s="31">
        <f>Tercera!AC43</f>
        <v>1.7999999523162842</v>
      </c>
      <c r="AD43" s="32">
        <f t="shared" si="102"/>
        <v>0.89999997615814209</v>
      </c>
      <c r="AE43" s="31">
        <f>Tercera!AE43</f>
        <v>1.3999999761581421</v>
      </c>
      <c r="AF43" s="32">
        <f t="shared" si="103"/>
        <v>0.69999998807907104</v>
      </c>
      <c r="AG43" s="31">
        <f>Tercera!AG43</f>
        <v>0.80000001192092896</v>
      </c>
      <c r="AH43" s="32">
        <f t="shared" si="104"/>
        <v>0.40000000596046448</v>
      </c>
      <c r="AI43" s="31">
        <f>Tercera!AI43</f>
        <v>0.40000000596046448</v>
      </c>
      <c r="AJ43" s="32">
        <f t="shared" si="105"/>
        <v>0.20000000298023224</v>
      </c>
      <c r="AK43" s="31">
        <f>Tercera!AK43</f>
        <v>1</v>
      </c>
      <c r="AL43" s="32">
        <f t="shared" si="106"/>
        <v>0.5</v>
      </c>
      <c r="AM43" s="31">
        <f>Tercera!AM43</f>
        <v>2</v>
      </c>
      <c r="AN43" s="32">
        <f t="shared" si="107"/>
        <v>1</v>
      </c>
      <c r="AO43" s="31">
        <f>Tercera!AO43</f>
        <v>1.6000000238418579</v>
      </c>
      <c r="AP43" s="32">
        <f t="shared" si="108"/>
        <v>0.80000001192092896</v>
      </c>
      <c r="AQ43" s="31">
        <f>Tercera!AQ43</f>
        <v>0.80000001192092896</v>
      </c>
      <c r="AR43" s="32">
        <f t="shared" si="109"/>
        <v>0.40000000596046448</v>
      </c>
      <c r="AS43" s="31">
        <f>Tercera!AS43</f>
        <v>1</v>
      </c>
      <c r="AT43" s="32">
        <f t="shared" si="110"/>
        <v>0.5</v>
      </c>
      <c r="AU43" s="31">
        <f>Tercera!AU43</f>
        <v>1.2000000476837158</v>
      </c>
      <c r="AV43" s="32">
        <f t="shared" si="111"/>
        <v>0.60000002384185791</v>
      </c>
      <c r="AW43" s="31">
        <f>Tercera!AW43</f>
        <v>1.3999999761581421</v>
      </c>
      <c r="AX43" s="32">
        <f t="shared" si="112"/>
        <v>0.69999998807907104</v>
      </c>
      <c r="AY43" s="31">
        <f>Tercera!AY43</f>
        <v>0</v>
      </c>
      <c r="AZ43" s="32">
        <f t="shared" si="113"/>
        <v>0</v>
      </c>
      <c r="BA43" s="31">
        <f>Tercera!BA43</f>
        <v>1.3999999761581421</v>
      </c>
      <c r="BB43" s="32">
        <f t="shared" si="114"/>
        <v>0.69999998807907104</v>
      </c>
      <c r="BC43" s="31">
        <f>Tercera!BC43</f>
        <v>1.7999999523162842</v>
      </c>
      <c r="BD43" s="32">
        <f t="shared" si="115"/>
        <v>0.89999997615814209</v>
      </c>
      <c r="BE43" s="31">
        <f>Tercera!BE43</f>
        <v>0.60000002384185791</v>
      </c>
      <c r="BF43" s="32">
        <f t="shared" si="116"/>
        <v>0.30000001192092896</v>
      </c>
      <c r="BG43" s="31">
        <f>Tercera!BG43</f>
        <v>0.20000000298023224</v>
      </c>
      <c r="BH43" s="32">
        <f t="shared" si="117"/>
        <v>0.10000000149011612</v>
      </c>
      <c r="BI43" s="31">
        <f>Tercera!BI43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Tercera!B44</f>
        <v>2</v>
      </c>
      <c r="C44" s="31">
        <f>Tercera!C44</f>
        <v>1.6000000238418579</v>
      </c>
      <c r="D44" s="32">
        <f t="shared" si="89"/>
        <v>0.80000001192092896</v>
      </c>
      <c r="E44" s="31">
        <f>Tercera!E44</f>
        <v>0.60000002384185791</v>
      </c>
      <c r="F44" s="32">
        <f t="shared" si="90"/>
        <v>0.30000001192092896</v>
      </c>
      <c r="G44" s="31">
        <f>Tercera!G44</f>
        <v>0.80000001192092896</v>
      </c>
      <c r="H44" s="32">
        <f t="shared" si="91"/>
        <v>0.40000000596046448</v>
      </c>
      <c r="I44" s="31">
        <f>Tercera!I44</f>
        <v>1.6000000238418579</v>
      </c>
      <c r="J44" s="32">
        <f t="shared" si="92"/>
        <v>0.80000001192092896</v>
      </c>
      <c r="K44" s="31">
        <f>Tercera!K44</f>
        <v>0.80000001192092896</v>
      </c>
      <c r="L44" s="32">
        <f t="shared" si="93"/>
        <v>0.40000000596046448</v>
      </c>
      <c r="M44" s="31">
        <f>Tercera!M44</f>
        <v>1.3999999761581421</v>
      </c>
      <c r="N44" s="32">
        <f t="shared" si="94"/>
        <v>0.69999998807907104</v>
      </c>
      <c r="O44" s="31">
        <f>Tercera!O44</f>
        <v>1</v>
      </c>
      <c r="P44" s="32">
        <f t="shared" si="95"/>
        <v>0.5</v>
      </c>
      <c r="Q44" s="31">
        <f>Tercera!Q44</f>
        <v>0.20000000298023224</v>
      </c>
      <c r="R44" s="32">
        <f t="shared" si="96"/>
        <v>0.10000000149011612</v>
      </c>
      <c r="S44" s="31">
        <f>Tercera!S44</f>
        <v>0.60000002384185791</v>
      </c>
      <c r="T44" s="32">
        <f t="shared" si="97"/>
        <v>0.30000001192092896</v>
      </c>
      <c r="U44" s="31">
        <f>Tercera!U44</f>
        <v>0</v>
      </c>
      <c r="V44" s="32">
        <f t="shared" si="98"/>
        <v>0</v>
      </c>
      <c r="W44" s="31">
        <f>Tercera!W44</f>
        <v>2</v>
      </c>
      <c r="X44" s="32">
        <f t="shared" si="99"/>
        <v>1</v>
      </c>
      <c r="Y44" s="31">
        <f>Tercera!Y44</f>
        <v>0.60000002384185791</v>
      </c>
      <c r="Z44" s="32">
        <f t="shared" si="100"/>
        <v>0.30000001192092896</v>
      </c>
      <c r="AA44" s="31">
        <f>Tercera!AA44</f>
        <v>1.2000000476837158</v>
      </c>
      <c r="AB44" s="32">
        <f t="shared" si="101"/>
        <v>0.60000002384185791</v>
      </c>
      <c r="AC44" s="31">
        <f>Tercera!AC44</f>
        <v>0.60000002384185791</v>
      </c>
      <c r="AD44" s="32">
        <f t="shared" si="102"/>
        <v>0.30000001192092896</v>
      </c>
      <c r="AE44" s="31">
        <f>Tercera!AE44</f>
        <v>1.7999999523162842</v>
      </c>
      <c r="AF44" s="32">
        <f t="shared" si="103"/>
        <v>0.89999997615814209</v>
      </c>
      <c r="AG44" s="31">
        <f>Tercera!AG44</f>
        <v>0.60000002384185791</v>
      </c>
      <c r="AH44" s="32">
        <f t="shared" si="104"/>
        <v>0.30000001192092896</v>
      </c>
      <c r="AI44" s="31">
        <f>Tercera!AI44</f>
        <v>1.6000000238418579</v>
      </c>
      <c r="AJ44" s="32">
        <f t="shared" si="105"/>
        <v>0.80000001192092896</v>
      </c>
      <c r="AK44" s="31">
        <f>Tercera!AK44</f>
        <v>0.20000000298023224</v>
      </c>
      <c r="AL44" s="32">
        <f t="shared" si="106"/>
        <v>0.10000000149011612</v>
      </c>
      <c r="AM44" s="31">
        <f>Tercera!AM44</f>
        <v>0.60000002384185791</v>
      </c>
      <c r="AN44" s="32">
        <f t="shared" si="107"/>
        <v>0.30000001192092896</v>
      </c>
      <c r="AO44" s="31">
        <f>Tercera!AO44</f>
        <v>0</v>
      </c>
      <c r="AP44" s="32">
        <f t="shared" si="108"/>
        <v>0</v>
      </c>
      <c r="AQ44" s="31">
        <f>Tercera!AQ44</f>
        <v>1</v>
      </c>
      <c r="AR44" s="32">
        <f t="shared" si="109"/>
        <v>0.5</v>
      </c>
      <c r="AS44" s="31">
        <f>Tercera!AS44</f>
        <v>0.80000001192092896</v>
      </c>
      <c r="AT44" s="32">
        <f t="shared" si="110"/>
        <v>0.40000000596046448</v>
      </c>
      <c r="AU44" s="31">
        <f>Tercera!AU44</f>
        <v>1.2000000476837158</v>
      </c>
      <c r="AV44" s="32">
        <f t="shared" si="111"/>
        <v>0.60000002384185791</v>
      </c>
      <c r="AW44" s="31">
        <f>Tercera!AW44</f>
        <v>0</v>
      </c>
      <c r="AX44" s="32">
        <f t="shared" si="112"/>
        <v>0</v>
      </c>
      <c r="AY44" s="31">
        <f>Tercera!AY44</f>
        <v>0.60000002384185791</v>
      </c>
      <c r="AZ44" s="32">
        <f t="shared" si="113"/>
        <v>0.30000001192092896</v>
      </c>
      <c r="BA44" s="31">
        <f>Tercera!BA44</f>
        <v>0.20000000298023224</v>
      </c>
      <c r="BB44" s="32">
        <f t="shared" si="114"/>
        <v>0.10000000149011612</v>
      </c>
      <c r="BC44" s="31">
        <f>Tercera!BC44</f>
        <v>0.60000002384185791</v>
      </c>
      <c r="BD44" s="32">
        <f t="shared" si="115"/>
        <v>0.30000001192092896</v>
      </c>
      <c r="BE44" s="31">
        <f>Tercera!BE44</f>
        <v>1.6000000238418579</v>
      </c>
      <c r="BF44" s="32">
        <f t="shared" si="116"/>
        <v>0.80000001192092896</v>
      </c>
      <c r="BG44" s="31">
        <f>Tercera!BG44</f>
        <v>1.2000000476837158</v>
      </c>
      <c r="BH44" s="32">
        <f t="shared" si="117"/>
        <v>0.60000002384185791</v>
      </c>
      <c r="BI44" s="31">
        <f>Tercera!BI44</f>
        <v>2</v>
      </c>
      <c r="BJ44" s="32">
        <f t="shared" si="118"/>
        <v>1</v>
      </c>
    </row>
    <row r="45" spans="1:62" ht="42" x14ac:dyDescent="0.2">
      <c r="A45" s="3" t="s">
        <v>45</v>
      </c>
      <c r="B45" s="13">
        <f>Tercera!B45</f>
        <v>1</v>
      </c>
      <c r="C45" s="31">
        <f>Tercera!C45</f>
        <v>0.89999997615814209</v>
      </c>
      <c r="D45" s="32">
        <f t="shared" si="89"/>
        <v>0.89999997615814209</v>
      </c>
      <c r="E45" s="31">
        <f>Tercera!E45</f>
        <v>0.60000002384185791</v>
      </c>
      <c r="F45" s="32">
        <f t="shared" si="90"/>
        <v>0.60000002384185791</v>
      </c>
      <c r="G45" s="31">
        <f>Tercera!G45</f>
        <v>0.60000002384185791</v>
      </c>
      <c r="H45" s="32">
        <f t="shared" si="91"/>
        <v>0.60000002384185791</v>
      </c>
      <c r="I45" s="31">
        <f>Tercera!I45</f>
        <v>0.20000000298023224</v>
      </c>
      <c r="J45" s="32">
        <f t="shared" si="92"/>
        <v>0.20000000298023224</v>
      </c>
      <c r="K45" s="31">
        <f>Tercera!K45</f>
        <v>0.89999997615814209</v>
      </c>
      <c r="L45" s="32">
        <f t="shared" si="93"/>
        <v>0.89999997615814209</v>
      </c>
      <c r="M45" s="31">
        <f>Tercera!M45</f>
        <v>0.30000001192092896</v>
      </c>
      <c r="N45" s="32">
        <f t="shared" si="94"/>
        <v>0.30000001192092896</v>
      </c>
      <c r="O45" s="31">
        <f>Tercera!O45</f>
        <v>0.60000002384185791</v>
      </c>
      <c r="P45" s="32">
        <f t="shared" si="95"/>
        <v>0.60000002384185791</v>
      </c>
      <c r="Q45" s="31">
        <f>Tercera!Q45</f>
        <v>0.60000002384185791</v>
      </c>
      <c r="R45" s="32">
        <f t="shared" si="96"/>
        <v>0.60000002384185791</v>
      </c>
      <c r="S45" s="31">
        <f>Tercera!S45</f>
        <v>0.80000001192092896</v>
      </c>
      <c r="T45" s="32">
        <f t="shared" si="97"/>
        <v>0.80000001192092896</v>
      </c>
      <c r="U45" s="31">
        <f>Tercera!U45</f>
        <v>0.69999998807907104</v>
      </c>
      <c r="V45" s="32">
        <f t="shared" si="98"/>
        <v>0.69999998807907104</v>
      </c>
      <c r="W45" s="31">
        <f>Tercera!W45</f>
        <v>0.69999998807907104</v>
      </c>
      <c r="X45" s="32">
        <f t="shared" si="99"/>
        <v>0.69999998807907104</v>
      </c>
      <c r="Y45" s="31">
        <f>Tercera!Y45</f>
        <v>0.80000001192092896</v>
      </c>
      <c r="Z45" s="32">
        <f t="shared" si="100"/>
        <v>0.80000001192092896</v>
      </c>
      <c r="AA45" s="31">
        <f>Tercera!AA45</f>
        <v>0.20000000298023224</v>
      </c>
      <c r="AB45" s="32">
        <f t="shared" si="101"/>
        <v>0.20000000298023224</v>
      </c>
      <c r="AC45" s="31">
        <f>Tercera!AC45</f>
        <v>0.60000002384185791</v>
      </c>
      <c r="AD45" s="32">
        <f t="shared" si="102"/>
        <v>0.60000002384185791</v>
      </c>
      <c r="AE45" s="31">
        <f>Tercera!AE45</f>
        <v>0.5</v>
      </c>
      <c r="AF45" s="32">
        <f t="shared" si="103"/>
        <v>0.5</v>
      </c>
      <c r="AG45" s="31">
        <f>Tercera!AG45</f>
        <v>0.60000002384185791</v>
      </c>
      <c r="AH45" s="32">
        <f t="shared" si="104"/>
        <v>0.60000002384185791</v>
      </c>
      <c r="AI45" s="31">
        <f>Tercera!AI45</f>
        <v>0.30000001192092896</v>
      </c>
      <c r="AJ45" s="32">
        <f t="shared" si="105"/>
        <v>0.30000001192092896</v>
      </c>
      <c r="AK45" s="31">
        <f>Tercera!AK45</f>
        <v>0.40000000596046448</v>
      </c>
      <c r="AL45" s="32">
        <f t="shared" si="106"/>
        <v>0.40000000596046448</v>
      </c>
      <c r="AM45" s="31">
        <f>Tercera!AM45</f>
        <v>0.30000001192092896</v>
      </c>
      <c r="AN45" s="32">
        <f t="shared" si="107"/>
        <v>0.30000001192092896</v>
      </c>
      <c r="AO45" s="31">
        <f>Tercera!AO45</f>
        <v>1</v>
      </c>
      <c r="AP45" s="32">
        <f t="shared" si="108"/>
        <v>1</v>
      </c>
      <c r="AQ45" s="31">
        <f>Tercera!AQ45</f>
        <v>0.5</v>
      </c>
      <c r="AR45" s="32">
        <f t="shared" si="109"/>
        <v>0.5</v>
      </c>
      <c r="AS45" s="31">
        <f>Tercera!AS45</f>
        <v>0.60000002384185791</v>
      </c>
      <c r="AT45" s="32">
        <f t="shared" si="110"/>
        <v>0.60000002384185791</v>
      </c>
      <c r="AU45" s="31">
        <f>Tercera!AU45</f>
        <v>0.5</v>
      </c>
      <c r="AV45" s="32">
        <f t="shared" si="111"/>
        <v>0.5</v>
      </c>
      <c r="AW45" s="31">
        <f>Tercera!AW45</f>
        <v>0</v>
      </c>
      <c r="AX45" s="32">
        <f t="shared" si="112"/>
        <v>0</v>
      </c>
      <c r="AY45" s="31">
        <f>Tercera!AY45</f>
        <v>0.40000000596046448</v>
      </c>
      <c r="AZ45" s="32">
        <f t="shared" si="113"/>
        <v>0.40000000596046448</v>
      </c>
      <c r="BA45" s="31">
        <f>Tercera!BA45</f>
        <v>0.10000000149011612</v>
      </c>
      <c r="BB45" s="32">
        <f t="shared" si="114"/>
        <v>0.10000000149011612</v>
      </c>
      <c r="BC45" s="31">
        <f>Tercera!BC45</f>
        <v>0.69999998807907104</v>
      </c>
      <c r="BD45" s="32">
        <f t="shared" si="115"/>
        <v>0.69999998807907104</v>
      </c>
      <c r="BE45" s="31">
        <f>Tercera!BE45</f>
        <v>0.10000000149011612</v>
      </c>
      <c r="BF45" s="32">
        <f t="shared" si="116"/>
        <v>0.10000000149011612</v>
      </c>
      <c r="BG45" s="31">
        <f>Tercera!BG45</f>
        <v>0.20000000298023224</v>
      </c>
      <c r="BH45" s="32">
        <f t="shared" si="117"/>
        <v>0.20000000298023224</v>
      </c>
      <c r="BI45" s="31">
        <f>Tercera!BI45</f>
        <v>0.40000000596046448</v>
      </c>
      <c r="BJ45" s="32">
        <f t="shared" si="118"/>
        <v>0.40000000596046448</v>
      </c>
    </row>
    <row r="46" spans="1:62" ht="42" x14ac:dyDescent="0.2">
      <c r="A46" s="2" t="s">
        <v>46</v>
      </c>
      <c r="B46" s="13">
        <f>Tercera!B46</f>
        <v>1</v>
      </c>
      <c r="C46" s="31">
        <f>Tercera!C46</f>
        <v>0.10000000149011612</v>
      </c>
      <c r="D46" s="32">
        <f t="shared" si="89"/>
        <v>0.10000000149011612</v>
      </c>
      <c r="E46" s="31">
        <f>Tercera!E46</f>
        <v>0.60000002384185791</v>
      </c>
      <c r="F46" s="32">
        <f t="shared" si="90"/>
        <v>0.60000002384185791</v>
      </c>
      <c r="G46" s="31">
        <f>Tercera!G46</f>
        <v>0.69999998807907104</v>
      </c>
      <c r="H46" s="32">
        <f t="shared" si="91"/>
        <v>0.69999998807907104</v>
      </c>
      <c r="I46" s="31">
        <f>Tercera!I46</f>
        <v>0.40000000596046448</v>
      </c>
      <c r="J46" s="32">
        <f t="shared" si="92"/>
        <v>0.40000000596046448</v>
      </c>
      <c r="K46" s="31">
        <f>Tercera!K46</f>
        <v>0.40000000596046448</v>
      </c>
      <c r="L46" s="32">
        <f t="shared" si="93"/>
        <v>0.40000000596046448</v>
      </c>
      <c r="M46" s="31">
        <f>Tercera!M46</f>
        <v>0.30000001192092896</v>
      </c>
      <c r="N46" s="32">
        <f t="shared" si="94"/>
        <v>0.30000001192092896</v>
      </c>
      <c r="O46" s="31">
        <f>Tercera!O46</f>
        <v>0.69999998807907104</v>
      </c>
      <c r="P46" s="32">
        <f t="shared" si="95"/>
        <v>0.69999998807907104</v>
      </c>
      <c r="Q46" s="31">
        <f>Tercera!Q46</f>
        <v>0.20000000298023224</v>
      </c>
      <c r="R46" s="32">
        <f t="shared" si="96"/>
        <v>0.20000000298023224</v>
      </c>
      <c r="S46" s="31">
        <f>Tercera!S46</f>
        <v>0</v>
      </c>
      <c r="T46" s="32">
        <f t="shared" si="97"/>
        <v>0</v>
      </c>
      <c r="U46" s="31">
        <f>Tercera!U46</f>
        <v>0.89999997615814209</v>
      </c>
      <c r="V46" s="32">
        <f t="shared" si="98"/>
        <v>0.89999997615814209</v>
      </c>
      <c r="W46" s="31">
        <f>Tercera!W46</f>
        <v>0</v>
      </c>
      <c r="X46" s="32">
        <f t="shared" si="99"/>
        <v>0</v>
      </c>
      <c r="Y46" s="31">
        <f>Tercera!Y46</f>
        <v>0.5</v>
      </c>
      <c r="Z46" s="32">
        <f t="shared" si="100"/>
        <v>0.5</v>
      </c>
      <c r="AA46" s="31">
        <f>Tercera!AA46</f>
        <v>0.80000001192092896</v>
      </c>
      <c r="AB46" s="32">
        <f t="shared" si="101"/>
        <v>0.80000001192092896</v>
      </c>
      <c r="AC46" s="31">
        <f>Tercera!AC46</f>
        <v>0.80000001192092896</v>
      </c>
      <c r="AD46" s="32">
        <f t="shared" si="102"/>
        <v>0.80000001192092896</v>
      </c>
      <c r="AE46" s="31">
        <f>Tercera!AE46</f>
        <v>0.89999997615814209</v>
      </c>
      <c r="AF46" s="32">
        <f t="shared" si="103"/>
        <v>0.89999997615814209</v>
      </c>
      <c r="AG46" s="31">
        <f>Tercera!AG46</f>
        <v>0.20000000298023224</v>
      </c>
      <c r="AH46" s="32">
        <f t="shared" si="104"/>
        <v>0.20000000298023224</v>
      </c>
      <c r="AI46" s="31">
        <f>Tercera!AI46</f>
        <v>0.5</v>
      </c>
      <c r="AJ46" s="32">
        <f t="shared" si="105"/>
        <v>0.5</v>
      </c>
      <c r="AK46" s="31">
        <f>Tercera!AK46</f>
        <v>0.89999997615814209</v>
      </c>
      <c r="AL46" s="32">
        <f t="shared" si="106"/>
        <v>0.89999997615814209</v>
      </c>
      <c r="AM46" s="31">
        <f>Tercera!AM46</f>
        <v>0.89999997615814209</v>
      </c>
      <c r="AN46" s="32">
        <f t="shared" si="107"/>
        <v>0.89999997615814209</v>
      </c>
      <c r="AO46" s="31">
        <f>Tercera!AO46</f>
        <v>0.40000000596046448</v>
      </c>
      <c r="AP46" s="32">
        <f t="shared" si="108"/>
        <v>0.40000000596046448</v>
      </c>
      <c r="AQ46" s="31">
        <f>Tercera!AQ46</f>
        <v>0.5</v>
      </c>
      <c r="AR46" s="32">
        <f t="shared" si="109"/>
        <v>0.5</v>
      </c>
      <c r="AS46" s="31">
        <f>Tercera!AS46</f>
        <v>0.30000001192092896</v>
      </c>
      <c r="AT46" s="32">
        <f t="shared" si="110"/>
        <v>0.30000001192092896</v>
      </c>
      <c r="AU46" s="31">
        <f>Tercera!AU46</f>
        <v>0.20000000298023224</v>
      </c>
      <c r="AV46" s="32">
        <f t="shared" si="111"/>
        <v>0.20000000298023224</v>
      </c>
      <c r="AW46" s="31">
        <f>Tercera!AW46</f>
        <v>0.80000001192092896</v>
      </c>
      <c r="AX46" s="32">
        <f t="shared" si="112"/>
        <v>0.80000001192092896</v>
      </c>
      <c r="AY46" s="31">
        <f>Tercera!AY46</f>
        <v>0.5</v>
      </c>
      <c r="AZ46" s="32">
        <f t="shared" si="113"/>
        <v>0.5</v>
      </c>
      <c r="BA46" s="31">
        <f>Tercera!BA46</f>
        <v>0.5</v>
      </c>
      <c r="BB46" s="32">
        <f t="shared" si="114"/>
        <v>0.5</v>
      </c>
      <c r="BC46" s="31">
        <f>Tercera!BC46</f>
        <v>0.60000002384185791</v>
      </c>
      <c r="BD46" s="32">
        <f t="shared" si="115"/>
        <v>0.60000002384185791</v>
      </c>
      <c r="BE46" s="31">
        <f>Tercera!BE46</f>
        <v>0</v>
      </c>
      <c r="BF46" s="32">
        <f t="shared" si="116"/>
        <v>0</v>
      </c>
      <c r="BG46" s="31">
        <f>Tercera!BG46</f>
        <v>0.69999998807907104</v>
      </c>
      <c r="BH46" s="32">
        <f t="shared" si="117"/>
        <v>0.69999998807907104</v>
      </c>
      <c r="BI46" s="31">
        <f>Tercera!BI46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Tercera!B47</f>
        <v>0</v>
      </c>
      <c r="C47" s="31">
        <f>Tercera!C47</f>
        <v>0</v>
      </c>
      <c r="D47" s="32">
        <f t="shared" si="89"/>
        <v>-1</v>
      </c>
      <c r="E47" s="31">
        <f>Tercera!E47</f>
        <v>0</v>
      </c>
      <c r="F47" s="32">
        <f t="shared" si="90"/>
        <v>-1</v>
      </c>
      <c r="G47" s="31">
        <f>Tercera!G47</f>
        <v>0</v>
      </c>
      <c r="H47" s="32">
        <f t="shared" si="91"/>
        <v>-1</v>
      </c>
      <c r="I47" s="31">
        <f>Tercera!I47</f>
        <v>0</v>
      </c>
      <c r="J47" s="32">
        <f t="shared" si="92"/>
        <v>-1</v>
      </c>
      <c r="K47" s="31">
        <f>Tercera!K47</f>
        <v>0</v>
      </c>
      <c r="L47" s="32">
        <f t="shared" si="93"/>
        <v>-1</v>
      </c>
      <c r="M47" s="31">
        <f>Tercera!M47</f>
        <v>0</v>
      </c>
      <c r="N47" s="32">
        <f t="shared" si="94"/>
        <v>-1</v>
      </c>
      <c r="O47" s="31">
        <f>Tercera!O47</f>
        <v>0</v>
      </c>
      <c r="P47" s="32">
        <f t="shared" si="95"/>
        <v>-1</v>
      </c>
      <c r="Q47" s="31">
        <f>Tercera!Q47</f>
        <v>0</v>
      </c>
      <c r="R47" s="32">
        <f t="shared" si="96"/>
        <v>-1</v>
      </c>
      <c r="S47" s="31">
        <f>Tercera!S47</f>
        <v>0</v>
      </c>
      <c r="T47" s="32">
        <f t="shared" si="97"/>
        <v>-1</v>
      </c>
      <c r="U47" s="31">
        <f>Tercera!U47</f>
        <v>0</v>
      </c>
      <c r="V47" s="32">
        <f t="shared" si="98"/>
        <v>-1</v>
      </c>
      <c r="W47" s="31">
        <f>Tercera!W47</f>
        <v>0</v>
      </c>
      <c r="X47" s="32">
        <f t="shared" si="99"/>
        <v>-1</v>
      </c>
      <c r="Y47" s="31">
        <f>Tercera!Y47</f>
        <v>0</v>
      </c>
      <c r="Z47" s="32">
        <f t="shared" si="100"/>
        <v>-1</v>
      </c>
      <c r="AA47" s="31">
        <f>Tercera!AA47</f>
        <v>0</v>
      </c>
      <c r="AB47" s="32">
        <f t="shared" si="101"/>
        <v>-1</v>
      </c>
      <c r="AC47" s="31">
        <f>Tercera!AC47</f>
        <v>0</v>
      </c>
      <c r="AD47" s="32">
        <f t="shared" si="102"/>
        <v>-1</v>
      </c>
      <c r="AE47" s="31">
        <f>Tercera!AE47</f>
        <v>0</v>
      </c>
      <c r="AF47" s="32">
        <f t="shared" si="103"/>
        <v>-1</v>
      </c>
      <c r="AG47" s="31">
        <f>Tercera!AG47</f>
        <v>0</v>
      </c>
      <c r="AH47" s="32">
        <f t="shared" si="104"/>
        <v>-1</v>
      </c>
      <c r="AI47" s="31">
        <f>Tercera!AI47</f>
        <v>0</v>
      </c>
      <c r="AJ47" s="32">
        <f t="shared" si="105"/>
        <v>-1</v>
      </c>
      <c r="AK47" s="31">
        <f>Tercera!AK47</f>
        <v>0</v>
      </c>
      <c r="AL47" s="32">
        <f t="shared" si="106"/>
        <v>-1</v>
      </c>
      <c r="AM47" s="31">
        <f>Tercera!AM47</f>
        <v>0</v>
      </c>
      <c r="AN47" s="32">
        <f t="shared" si="107"/>
        <v>-1</v>
      </c>
      <c r="AO47" s="31">
        <f>Tercera!AO47</f>
        <v>0</v>
      </c>
      <c r="AP47" s="32">
        <f t="shared" si="108"/>
        <v>-1</v>
      </c>
      <c r="AQ47" s="31">
        <f>Tercera!AQ47</f>
        <v>0</v>
      </c>
      <c r="AR47" s="32">
        <f t="shared" si="109"/>
        <v>-1</v>
      </c>
      <c r="AS47" s="31">
        <f>Tercera!AS47</f>
        <v>0</v>
      </c>
      <c r="AT47" s="32">
        <f t="shared" si="110"/>
        <v>-1</v>
      </c>
      <c r="AU47" s="31">
        <f>Tercera!AU47</f>
        <v>0</v>
      </c>
      <c r="AV47" s="32">
        <f t="shared" si="111"/>
        <v>-1</v>
      </c>
      <c r="AW47" s="31">
        <f>Tercera!AW47</f>
        <v>0</v>
      </c>
      <c r="AX47" s="32">
        <f t="shared" si="112"/>
        <v>-1</v>
      </c>
      <c r="AY47" s="31">
        <f>Tercera!AY47</f>
        <v>0</v>
      </c>
      <c r="AZ47" s="32">
        <f t="shared" si="113"/>
        <v>-1</v>
      </c>
      <c r="BA47" s="31">
        <f>Tercera!BA47</f>
        <v>0</v>
      </c>
      <c r="BB47" s="32">
        <f t="shared" si="114"/>
        <v>-1</v>
      </c>
      <c r="BC47" s="31">
        <f>Tercera!BC47</f>
        <v>0</v>
      </c>
      <c r="BD47" s="32">
        <f t="shared" si="115"/>
        <v>-1</v>
      </c>
      <c r="BE47" s="31">
        <f>Tercera!BE47</f>
        <v>0</v>
      </c>
      <c r="BF47" s="32">
        <f t="shared" si="116"/>
        <v>-1</v>
      </c>
      <c r="BG47" s="31">
        <f>Tercera!BG47</f>
        <v>0</v>
      </c>
      <c r="BH47" s="32">
        <f t="shared" si="117"/>
        <v>-1</v>
      </c>
      <c r="BI47" s="31">
        <f>Tercera!BI47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Tercera!B48</f>
        <v>0</v>
      </c>
      <c r="C48" s="31">
        <f>Tercera!C48</f>
        <v>0</v>
      </c>
      <c r="D48" s="32">
        <f t="shared" si="89"/>
        <v>-1</v>
      </c>
      <c r="E48" s="31">
        <f>Tercera!E48</f>
        <v>0</v>
      </c>
      <c r="F48" s="32">
        <f t="shared" si="90"/>
        <v>-1</v>
      </c>
      <c r="G48" s="31">
        <f>Tercera!G48</f>
        <v>0</v>
      </c>
      <c r="H48" s="32">
        <f t="shared" si="91"/>
        <v>-1</v>
      </c>
      <c r="I48" s="31">
        <f>Tercera!I48</f>
        <v>0</v>
      </c>
      <c r="J48" s="32">
        <f t="shared" si="92"/>
        <v>-1</v>
      </c>
      <c r="K48" s="31">
        <f>Tercera!K48</f>
        <v>0</v>
      </c>
      <c r="L48" s="32">
        <f t="shared" si="93"/>
        <v>-1</v>
      </c>
      <c r="M48" s="31">
        <f>Tercera!M48</f>
        <v>0</v>
      </c>
      <c r="N48" s="32">
        <f t="shared" si="94"/>
        <v>-1</v>
      </c>
      <c r="O48" s="31">
        <f>Tercera!O48</f>
        <v>0</v>
      </c>
      <c r="P48" s="32">
        <f t="shared" si="95"/>
        <v>-1</v>
      </c>
      <c r="Q48" s="31">
        <f>Tercera!Q48</f>
        <v>0</v>
      </c>
      <c r="R48" s="32">
        <f t="shared" si="96"/>
        <v>-1</v>
      </c>
      <c r="S48" s="31">
        <f>Tercera!S48</f>
        <v>0</v>
      </c>
      <c r="T48" s="32">
        <f t="shared" si="97"/>
        <v>-1</v>
      </c>
      <c r="U48" s="31">
        <f>Tercera!U48</f>
        <v>0</v>
      </c>
      <c r="V48" s="32">
        <f t="shared" si="98"/>
        <v>-1</v>
      </c>
      <c r="W48" s="31">
        <f>Tercera!W48</f>
        <v>0</v>
      </c>
      <c r="X48" s="32">
        <f t="shared" si="99"/>
        <v>-1</v>
      </c>
      <c r="Y48" s="31">
        <f>Tercera!Y48</f>
        <v>0</v>
      </c>
      <c r="Z48" s="32">
        <f t="shared" si="100"/>
        <v>-1</v>
      </c>
      <c r="AA48" s="31">
        <f>Tercera!AA48</f>
        <v>0</v>
      </c>
      <c r="AB48" s="32">
        <f t="shared" si="101"/>
        <v>-1</v>
      </c>
      <c r="AC48" s="31">
        <f>Tercera!AC48</f>
        <v>0</v>
      </c>
      <c r="AD48" s="32">
        <f t="shared" si="102"/>
        <v>-1</v>
      </c>
      <c r="AE48" s="31">
        <f>Tercera!AE48</f>
        <v>0</v>
      </c>
      <c r="AF48" s="32">
        <f t="shared" si="103"/>
        <v>-1</v>
      </c>
      <c r="AG48" s="31">
        <f>Tercera!AG48</f>
        <v>0</v>
      </c>
      <c r="AH48" s="32">
        <f t="shared" si="104"/>
        <v>-1</v>
      </c>
      <c r="AI48" s="31">
        <f>Tercera!AI48</f>
        <v>0</v>
      </c>
      <c r="AJ48" s="32">
        <f t="shared" si="105"/>
        <v>-1</v>
      </c>
      <c r="AK48" s="31">
        <f>Tercera!AK48</f>
        <v>0</v>
      </c>
      <c r="AL48" s="32">
        <f t="shared" si="106"/>
        <v>-1</v>
      </c>
      <c r="AM48" s="31">
        <f>Tercera!AM48</f>
        <v>0</v>
      </c>
      <c r="AN48" s="32">
        <f t="shared" si="107"/>
        <v>-1</v>
      </c>
      <c r="AO48" s="31">
        <f>Tercera!AO48</f>
        <v>0</v>
      </c>
      <c r="AP48" s="32">
        <f t="shared" si="108"/>
        <v>-1</v>
      </c>
      <c r="AQ48" s="31">
        <f>Tercera!AQ48</f>
        <v>0</v>
      </c>
      <c r="AR48" s="32">
        <f t="shared" si="109"/>
        <v>-1</v>
      </c>
      <c r="AS48" s="31">
        <f>Tercera!AS48</f>
        <v>0</v>
      </c>
      <c r="AT48" s="32">
        <f t="shared" si="110"/>
        <v>-1</v>
      </c>
      <c r="AU48" s="31">
        <f>Tercera!AU48</f>
        <v>0</v>
      </c>
      <c r="AV48" s="32">
        <f t="shared" si="111"/>
        <v>-1</v>
      </c>
      <c r="AW48" s="31">
        <f>Tercera!AW48</f>
        <v>0</v>
      </c>
      <c r="AX48" s="32">
        <f t="shared" si="112"/>
        <v>-1</v>
      </c>
      <c r="AY48" s="31">
        <f>Tercera!AY48</f>
        <v>0</v>
      </c>
      <c r="AZ48" s="32">
        <f t="shared" si="113"/>
        <v>-1</v>
      </c>
      <c r="BA48" s="31">
        <f>Tercera!BA48</f>
        <v>0</v>
      </c>
      <c r="BB48" s="32">
        <f t="shared" si="114"/>
        <v>-1</v>
      </c>
      <c r="BC48" s="31">
        <f>Tercera!BC48</f>
        <v>0</v>
      </c>
      <c r="BD48" s="32">
        <f t="shared" si="115"/>
        <v>-1</v>
      </c>
      <c r="BE48" s="31">
        <f>Tercera!BE48</f>
        <v>0</v>
      </c>
      <c r="BF48" s="32">
        <f t="shared" si="116"/>
        <v>-1</v>
      </c>
      <c r="BG48" s="31">
        <f>Tercera!BG48</f>
        <v>0</v>
      </c>
      <c r="BH48" s="32">
        <f t="shared" si="117"/>
        <v>-1</v>
      </c>
      <c r="BI48" s="31">
        <f>Tercera!BI48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Tercera!B49</f>
        <v>0</v>
      </c>
      <c r="C49" s="31">
        <f>Tercera!C49</f>
        <v>0</v>
      </c>
      <c r="D49" s="32">
        <f t="shared" si="89"/>
        <v>-1</v>
      </c>
      <c r="E49" s="31">
        <f>Tercera!E49</f>
        <v>0</v>
      </c>
      <c r="F49" s="32">
        <f t="shared" si="90"/>
        <v>-1</v>
      </c>
      <c r="G49" s="31">
        <f>Tercera!G49</f>
        <v>0</v>
      </c>
      <c r="H49" s="32">
        <f t="shared" si="91"/>
        <v>-1</v>
      </c>
      <c r="I49" s="31">
        <f>Tercera!I49</f>
        <v>0</v>
      </c>
      <c r="J49" s="32">
        <f t="shared" si="92"/>
        <v>-1</v>
      </c>
      <c r="K49" s="31">
        <f>Tercera!K49</f>
        <v>0</v>
      </c>
      <c r="L49" s="32">
        <f t="shared" si="93"/>
        <v>-1</v>
      </c>
      <c r="M49" s="31">
        <f>Tercera!M49</f>
        <v>0</v>
      </c>
      <c r="N49" s="32">
        <f t="shared" si="94"/>
        <v>-1</v>
      </c>
      <c r="O49" s="31">
        <f>Tercera!O49</f>
        <v>0</v>
      </c>
      <c r="P49" s="32">
        <f t="shared" si="95"/>
        <v>-1</v>
      </c>
      <c r="Q49" s="31">
        <f>Tercera!Q49</f>
        <v>0</v>
      </c>
      <c r="R49" s="32">
        <f t="shared" si="96"/>
        <v>-1</v>
      </c>
      <c r="S49" s="31">
        <f>Tercera!S49</f>
        <v>0</v>
      </c>
      <c r="T49" s="32">
        <f t="shared" si="97"/>
        <v>-1</v>
      </c>
      <c r="U49" s="31">
        <f>Tercera!U49</f>
        <v>0</v>
      </c>
      <c r="V49" s="32">
        <f t="shared" si="98"/>
        <v>-1</v>
      </c>
      <c r="W49" s="31">
        <f>Tercera!W49</f>
        <v>0</v>
      </c>
      <c r="X49" s="32">
        <f t="shared" si="99"/>
        <v>-1</v>
      </c>
      <c r="Y49" s="31">
        <f>Tercera!Y49</f>
        <v>0</v>
      </c>
      <c r="Z49" s="32">
        <f t="shared" si="100"/>
        <v>-1</v>
      </c>
      <c r="AA49" s="31">
        <f>Tercera!AA49</f>
        <v>0</v>
      </c>
      <c r="AB49" s="32">
        <f t="shared" si="101"/>
        <v>-1</v>
      </c>
      <c r="AC49" s="31">
        <f>Tercera!AC49</f>
        <v>0</v>
      </c>
      <c r="AD49" s="32">
        <f t="shared" si="102"/>
        <v>-1</v>
      </c>
      <c r="AE49" s="31">
        <f>Tercera!AE49</f>
        <v>0</v>
      </c>
      <c r="AF49" s="32">
        <f t="shared" si="103"/>
        <v>-1</v>
      </c>
      <c r="AG49" s="31">
        <f>Tercera!AG49</f>
        <v>0</v>
      </c>
      <c r="AH49" s="32">
        <f t="shared" si="104"/>
        <v>-1</v>
      </c>
      <c r="AI49" s="31">
        <f>Tercera!AI49</f>
        <v>0</v>
      </c>
      <c r="AJ49" s="32">
        <f t="shared" si="105"/>
        <v>-1</v>
      </c>
      <c r="AK49" s="31">
        <f>Tercera!AK49</f>
        <v>0</v>
      </c>
      <c r="AL49" s="32">
        <f t="shared" si="106"/>
        <v>-1</v>
      </c>
      <c r="AM49" s="31">
        <f>Tercera!AM49</f>
        <v>0</v>
      </c>
      <c r="AN49" s="32">
        <f t="shared" si="107"/>
        <v>-1</v>
      </c>
      <c r="AO49" s="31">
        <f>Tercera!AO49</f>
        <v>0</v>
      </c>
      <c r="AP49" s="32">
        <f t="shared" si="108"/>
        <v>-1</v>
      </c>
      <c r="AQ49" s="31">
        <f>Tercera!AQ49</f>
        <v>0</v>
      </c>
      <c r="AR49" s="32">
        <f t="shared" si="109"/>
        <v>-1</v>
      </c>
      <c r="AS49" s="31">
        <f>Tercera!AS49</f>
        <v>0</v>
      </c>
      <c r="AT49" s="32">
        <f t="shared" si="110"/>
        <v>-1</v>
      </c>
      <c r="AU49" s="31">
        <f>Tercera!AU49</f>
        <v>0</v>
      </c>
      <c r="AV49" s="32">
        <f t="shared" si="111"/>
        <v>-1</v>
      </c>
      <c r="AW49" s="31">
        <f>Tercera!AW49</f>
        <v>0</v>
      </c>
      <c r="AX49" s="32">
        <f t="shared" si="112"/>
        <v>-1</v>
      </c>
      <c r="AY49" s="31">
        <f>Tercera!AY49</f>
        <v>0</v>
      </c>
      <c r="AZ49" s="32">
        <f t="shared" si="113"/>
        <v>-1</v>
      </c>
      <c r="BA49" s="31">
        <f>Tercera!BA49</f>
        <v>0</v>
      </c>
      <c r="BB49" s="32">
        <f t="shared" si="114"/>
        <v>-1</v>
      </c>
      <c r="BC49" s="31">
        <f>Tercera!BC49</f>
        <v>0</v>
      </c>
      <c r="BD49" s="32">
        <f t="shared" si="115"/>
        <v>-1</v>
      </c>
      <c r="BE49" s="31">
        <f>Tercera!BE49</f>
        <v>0</v>
      </c>
      <c r="BF49" s="32">
        <f t="shared" si="116"/>
        <v>-1</v>
      </c>
      <c r="BG49" s="31">
        <f>Tercera!BG49</f>
        <v>0</v>
      </c>
      <c r="BH49" s="32">
        <f t="shared" si="117"/>
        <v>-1</v>
      </c>
      <c r="BI49" s="31">
        <f>Tercera!BI49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Tercera!B50</f>
        <v>0</v>
      </c>
      <c r="C50" s="31">
        <f>Tercera!C50</f>
        <v>0</v>
      </c>
      <c r="D50" s="32">
        <f t="shared" si="89"/>
        <v>-1</v>
      </c>
      <c r="E50" s="31">
        <f>Tercera!E50</f>
        <v>0</v>
      </c>
      <c r="F50" s="32">
        <f t="shared" si="90"/>
        <v>-1</v>
      </c>
      <c r="G50" s="31">
        <f>Tercera!G50</f>
        <v>0</v>
      </c>
      <c r="H50" s="32">
        <f t="shared" si="91"/>
        <v>-1</v>
      </c>
      <c r="I50" s="31">
        <f>Tercera!I50</f>
        <v>0</v>
      </c>
      <c r="J50" s="32">
        <f t="shared" si="92"/>
        <v>-1</v>
      </c>
      <c r="K50" s="31">
        <f>Tercera!K50</f>
        <v>0</v>
      </c>
      <c r="L50" s="32">
        <f t="shared" si="93"/>
        <v>-1</v>
      </c>
      <c r="M50" s="31">
        <f>Tercera!M50</f>
        <v>0</v>
      </c>
      <c r="N50" s="32">
        <f t="shared" si="94"/>
        <v>-1</v>
      </c>
      <c r="O50" s="31">
        <f>Tercera!O50</f>
        <v>0</v>
      </c>
      <c r="P50" s="32">
        <f t="shared" si="95"/>
        <v>-1</v>
      </c>
      <c r="Q50" s="31">
        <f>Tercera!Q50</f>
        <v>0</v>
      </c>
      <c r="R50" s="32">
        <f t="shared" si="96"/>
        <v>-1</v>
      </c>
      <c r="S50" s="31">
        <f>Tercera!S50</f>
        <v>0</v>
      </c>
      <c r="T50" s="32">
        <f t="shared" si="97"/>
        <v>-1</v>
      </c>
      <c r="U50" s="31">
        <f>Tercera!U50</f>
        <v>0</v>
      </c>
      <c r="V50" s="32">
        <f t="shared" si="98"/>
        <v>-1</v>
      </c>
      <c r="W50" s="31">
        <f>Tercera!W50</f>
        <v>0</v>
      </c>
      <c r="X50" s="32">
        <f t="shared" si="99"/>
        <v>-1</v>
      </c>
      <c r="Y50" s="31">
        <f>Tercera!Y50</f>
        <v>0</v>
      </c>
      <c r="Z50" s="32">
        <f t="shared" si="100"/>
        <v>-1</v>
      </c>
      <c r="AA50" s="31">
        <f>Tercera!AA50</f>
        <v>0</v>
      </c>
      <c r="AB50" s="32">
        <f t="shared" si="101"/>
        <v>-1</v>
      </c>
      <c r="AC50" s="31">
        <f>Tercera!AC50</f>
        <v>0</v>
      </c>
      <c r="AD50" s="32">
        <f t="shared" si="102"/>
        <v>-1</v>
      </c>
      <c r="AE50" s="31">
        <f>Tercera!AE50</f>
        <v>0</v>
      </c>
      <c r="AF50" s="32">
        <f t="shared" si="103"/>
        <v>-1</v>
      </c>
      <c r="AG50" s="31">
        <f>Tercera!AG50</f>
        <v>0</v>
      </c>
      <c r="AH50" s="32">
        <f t="shared" si="104"/>
        <v>-1</v>
      </c>
      <c r="AI50" s="31">
        <f>Tercera!AI50</f>
        <v>0</v>
      </c>
      <c r="AJ50" s="32">
        <f t="shared" si="105"/>
        <v>-1</v>
      </c>
      <c r="AK50" s="31">
        <f>Tercera!AK50</f>
        <v>0</v>
      </c>
      <c r="AL50" s="32">
        <f t="shared" si="106"/>
        <v>-1</v>
      </c>
      <c r="AM50" s="31">
        <f>Tercera!AM50</f>
        <v>0</v>
      </c>
      <c r="AN50" s="32">
        <f t="shared" si="107"/>
        <v>-1</v>
      </c>
      <c r="AO50" s="31">
        <f>Tercera!AO50</f>
        <v>0</v>
      </c>
      <c r="AP50" s="32">
        <f t="shared" si="108"/>
        <v>-1</v>
      </c>
      <c r="AQ50" s="31">
        <f>Tercera!AQ50</f>
        <v>0</v>
      </c>
      <c r="AR50" s="32">
        <f t="shared" si="109"/>
        <v>-1</v>
      </c>
      <c r="AS50" s="31">
        <f>Tercera!AS50</f>
        <v>0</v>
      </c>
      <c r="AT50" s="32">
        <f t="shared" si="110"/>
        <v>-1</v>
      </c>
      <c r="AU50" s="31">
        <f>Tercera!AU50</f>
        <v>0</v>
      </c>
      <c r="AV50" s="32">
        <f t="shared" si="111"/>
        <v>-1</v>
      </c>
      <c r="AW50" s="31">
        <f>Tercera!AW50</f>
        <v>0</v>
      </c>
      <c r="AX50" s="32">
        <f t="shared" si="112"/>
        <v>-1</v>
      </c>
      <c r="AY50" s="31">
        <f>Tercera!AY50</f>
        <v>0</v>
      </c>
      <c r="AZ50" s="32">
        <f t="shared" si="113"/>
        <v>-1</v>
      </c>
      <c r="BA50" s="31">
        <f>Tercera!BA50</f>
        <v>0</v>
      </c>
      <c r="BB50" s="32">
        <f t="shared" si="114"/>
        <v>-1</v>
      </c>
      <c r="BC50" s="31">
        <f>Tercera!BC50</f>
        <v>0</v>
      </c>
      <c r="BD50" s="32">
        <f t="shared" si="115"/>
        <v>-1</v>
      </c>
      <c r="BE50" s="31">
        <f>Tercera!BE50</f>
        <v>0</v>
      </c>
      <c r="BF50" s="32">
        <f t="shared" si="116"/>
        <v>-1</v>
      </c>
      <c r="BG50" s="31">
        <f>Tercera!BG50</f>
        <v>0</v>
      </c>
      <c r="BH50" s="32">
        <f t="shared" si="117"/>
        <v>-1</v>
      </c>
      <c r="BI50" s="31">
        <f>Tercera!BI50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Tercera!B51</f>
        <v>0</v>
      </c>
      <c r="C51" s="31">
        <f>Tercera!C51</f>
        <v>0</v>
      </c>
      <c r="D51" s="32">
        <f t="shared" si="89"/>
        <v>-1</v>
      </c>
      <c r="E51" s="31">
        <f>Tercera!E51</f>
        <v>0</v>
      </c>
      <c r="F51" s="32">
        <f t="shared" si="90"/>
        <v>-1</v>
      </c>
      <c r="G51" s="31">
        <f>Tercera!G51</f>
        <v>0</v>
      </c>
      <c r="H51" s="32">
        <f t="shared" si="91"/>
        <v>-1</v>
      </c>
      <c r="I51" s="31">
        <f>Tercera!I51</f>
        <v>0</v>
      </c>
      <c r="J51" s="32">
        <f t="shared" si="92"/>
        <v>-1</v>
      </c>
      <c r="K51" s="31">
        <f>Tercera!K51</f>
        <v>0</v>
      </c>
      <c r="L51" s="32">
        <f t="shared" si="93"/>
        <v>-1</v>
      </c>
      <c r="M51" s="31">
        <f>Tercera!M51</f>
        <v>0</v>
      </c>
      <c r="N51" s="32">
        <f t="shared" si="94"/>
        <v>-1</v>
      </c>
      <c r="O51" s="31">
        <f>Tercera!O51</f>
        <v>0</v>
      </c>
      <c r="P51" s="32">
        <f t="shared" si="95"/>
        <v>-1</v>
      </c>
      <c r="Q51" s="31">
        <f>Tercera!Q51</f>
        <v>0</v>
      </c>
      <c r="R51" s="32">
        <f t="shared" si="96"/>
        <v>-1</v>
      </c>
      <c r="S51" s="31">
        <f>Tercera!S51</f>
        <v>0</v>
      </c>
      <c r="T51" s="32">
        <f t="shared" si="97"/>
        <v>-1</v>
      </c>
      <c r="U51" s="31">
        <f>Tercera!U51</f>
        <v>0</v>
      </c>
      <c r="V51" s="32">
        <f t="shared" si="98"/>
        <v>-1</v>
      </c>
      <c r="W51" s="31">
        <f>Tercera!W51</f>
        <v>0</v>
      </c>
      <c r="X51" s="32">
        <f t="shared" si="99"/>
        <v>-1</v>
      </c>
      <c r="Y51" s="31">
        <f>Tercera!Y51</f>
        <v>0</v>
      </c>
      <c r="Z51" s="32">
        <f t="shared" si="100"/>
        <v>-1</v>
      </c>
      <c r="AA51" s="31">
        <f>Tercera!AA51</f>
        <v>0</v>
      </c>
      <c r="AB51" s="32">
        <f t="shared" si="101"/>
        <v>-1</v>
      </c>
      <c r="AC51" s="31">
        <f>Tercera!AC51</f>
        <v>0</v>
      </c>
      <c r="AD51" s="32">
        <f t="shared" si="102"/>
        <v>-1</v>
      </c>
      <c r="AE51" s="31">
        <f>Tercera!AE51</f>
        <v>0</v>
      </c>
      <c r="AF51" s="32">
        <f t="shared" si="103"/>
        <v>-1</v>
      </c>
      <c r="AG51" s="31">
        <f>Tercera!AG51</f>
        <v>0</v>
      </c>
      <c r="AH51" s="32">
        <f t="shared" si="104"/>
        <v>-1</v>
      </c>
      <c r="AI51" s="31">
        <f>Tercera!AI51</f>
        <v>0</v>
      </c>
      <c r="AJ51" s="32">
        <f t="shared" si="105"/>
        <v>-1</v>
      </c>
      <c r="AK51" s="31">
        <f>Tercera!AK51</f>
        <v>0</v>
      </c>
      <c r="AL51" s="32">
        <f t="shared" si="106"/>
        <v>-1</v>
      </c>
      <c r="AM51" s="31">
        <f>Tercera!AM51</f>
        <v>0</v>
      </c>
      <c r="AN51" s="32">
        <f t="shared" si="107"/>
        <v>-1</v>
      </c>
      <c r="AO51" s="31">
        <f>Tercera!AO51</f>
        <v>0</v>
      </c>
      <c r="AP51" s="32">
        <f t="shared" si="108"/>
        <v>-1</v>
      </c>
      <c r="AQ51" s="31">
        <f>Tercera!AQ51</f>
        <v>0</v>
      </c>
      <c r="AR51" s="32">
        <f t="shared" si="109"/>
        <v>-1</v>
      </c>
      <c r="AS51" s="31">
        <f>Tercera!AS51</f>
        <v>0</v>
      </c>
      <c r="AT51" s="32">
        <f t="shared" si="110"/>
        <v>-1</v>
      </c>
      <c r="AU51" s="31">
        <f>Tercera!AU51</f>
        <v>0</v>
      </c>
      <c r="AV51" s="32">
        <f t="shared" si="111"/>
        <v>-1</v>
      </c>
      <c r="AW51" s="31">
        <f>Tercera!AW51</f>
        <v>0</v>
      </c>
      <c r="AX51" s="32">
        <f t="shared" si="112"/>
        <v>-1</v>
      </c>
      <c r="AY51" s="31">
        <f>Tercera!AY51</f>
        <v>0</v>
      </c>
      <c r="AZ51" s="32">
        <f t="shared" si="113"/>
        <v>-1</v>
      </c>
      <c r="BA51" s="31">
        <f>Tercera!BA51</f>
        <v>0</v>
      </c>
      <c r="BB51" s="32">
        <f t="shared" si="114"/>
        <v>-1</v>
      </c>
      <c r="BC51" s="31">
        <f>Tercera!BC51</f>
        <v>0</v>
      </c>
      <c r="BD51" s="32">
        <f t="shared" si="115"/>
        <v>-1</v>
      </c>
      <c r="BE51" s="31">
        <f>Tercera!BE51</f>
        <v>0</v>
      </c>
      <c r="BF51" s="32">
        <f t="shared" si="116"/>
        <v>-1</v>
      </c>
      <c r="BG51" s="31">
        <f>Tercera!BG51</f>
        <v>0</v>
      </c>
      <c r="BH51" s="32">
        <f t="shared" si="117"/>
        <v>-1</v>
      </c>
      <c r="BI51" s="31">
        <f>Tercera!BI51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Tercera!B52</f>
        <v>0</v>
      </c>
      <c r="C52" s="31">
        <f>Tercera!C52</f>
        <v>0</v>
      </c>
      <c r="D52" s="32">
        <f t="shared" si="89"/>
        <v>-1</v>
      </c>
      <c r="E52" s="31">
        <f>Tercera!E52</f>
        <v>0</v>
      </c>
      <c r="F52" s="32">
        <f t="shared" si="90"/>
        <v>-1</v>
      </c>
      <c r="G52" s="31">
        <f>Tercera!G52</f>
        <v>0</v>
      </c>
      <c r="H52" s="32">
        <f t="shared" si="91"/>
        <v>-1</v>
      </c>
      <c r="I52" s="31">
        <f>Tercera!I52</f>
        <v>0</v>
      </c>
      <c r="J52" s="32">
        <f t="shared" si="92"/>
        <v>-1</v>
      </c>
      <c r="K52" s="31">
        <f>Tercera!K52</f>
        <v>0</v>
      </c>
      <c r="L52" s="32">
        <f t="shared" si="93"/>
        <v>-1</v>
      </c>
      <c r="M52" s="31">
        <f>Tercera!M52</f>
        <v>0</v>
      </c>
      <c r="N52" s="32">
        <f t="shared" si="94"/>
        <v>-1</v>
      </c>
      <c r="O52" s="31">
        <f>Tercera!O52</f>
        <v>0</v>
      </c>
      <c r="P52" s="32">
        <f t="shared" si="95"/>
        <v>-1</v>
      </c>
      <c r="Q52" s="31">
        <f>Tercera!Q52</f>
        <v>0</v>
      </c>
      <c r="R52" s="32">
        <f t="shared" si="96"/>
        <v>-1</v>
      </c>
      <c r="S52" s="31">
        <f>Tercera!S52</f>
        <v>0</v>
      </c>
      <c r="T52" s="32">
        <f t="shared" si="97"/>
        <v>-1</v>
      </c>
      <c r="U52" s="31">
        <f>Tercera!U52</f>
        <v>0</v>
      </c>
      <c r="V52" s="32">
        <f t="shared" si="98"/>
        <v>-1</v>
      </c>
      <c r="W52" s="31">
        <f>Tercera!W52</f>
        <v>0</v>
      </c>
      <c r="X52" s="32">
        <f t="shared" si="99"/>
        <v>-1</v>
      </c>
      <c r="Y52" s="31">
        <f>Tercera!Y52</f>
        <v>0</v>
      </c>
      <c r="Z52" s="32">
        <f t="shared" si="100"/>
        <v>-1</v>
      </c>
      <c r="AA52" s="31">
        <f>Tercera!AA52</f>
        <v>0</v>
      </c>
      <c r="AB52" s="32">
        <f t="shared" si="101"/>
        <v>-1</v>
      </c>
      <c r="AC52" s="31">
        <f>Tercera!AC52</f>
        <v>0</v>
      </c>
      <c r="AD52" s="32">
        <f t="shared" si="102"/>
        <v>-1</v>
      </c>
      <c r="AE52" s="31">
        <f>Tercera!AE52</f>
        <v>0</v>
      </c>
      <c r="AF52" s="32">
        <f t="shared" si="103"/>
        <v>-1</v>
      </c>
      <c r="AG52" s="31">
        <f>Tercera!AG52</f>
        <v>0</v>
      </c>
      <c r="AH52" s="32">
        <f t="shared" si="104"/>
        <v>-1</v>
      </c>
      <c r="AI52" s="31">
        <f>Tercera!AI52</f>
        <v>0</v>
      </c>
      <c r="AJ52" s="32">
        <f t="shared" si="105"/>
        <v>-1</v>
      </c>
      <c r="AK52" s="31">
        <f>Tercera!AK52</f>
        <v>0</v>
      </c>
      <c r="AL52" s="32">
        <f t="shared" si="106"/>
        <v>-1</v>
      </c>
      <c r="AM52" s="31">
        <f>Tercera!AM52</f>
        <v>0</v>
      </c>
      <c r="AN52" s="32">
        <f t="shared" si="107"/>
        <v>-1</v>
      </c>
      <c r="AO52" s="31">
        <f>Tercera!AO52</f>
        <v>0</v>
      </c>
      <c r="AP52" s="32">
        <f t="shared" si="108"/>
        <v>-1</v>
      </c>
      <c r="AQ52" s="31">
        <f>Tercera!AQ52</f>
        <v>0</v>
      </c>
      <c r="AR52" s="32">
        <f t="shared" si="109"/>
        <v>-1</v>
      </c>
      <c r="AS52" s="31">
        <f>Tercera!AS52</f>
        <v>0</v>
      </c>
      <c r="AT52" s="32">
        <f t="shared" si="110"/>
        <v>-1</v>
      </c>
      <c r="AU52" s="31">
        <f>Tercera!AU52</f>
        <v>0</v>
      </c>
      <c r="AV52" s="32">
        <f t="shared" si="111"/>
        <v>-1</v>
      </c>
      <c r="AW52" s="31">
        <f>Tercera!AW52</f>
        <v>0</v>
      </c>
      <c r="AX52" s="32">
        <f t="shared" si="112"/>
        <v>-1</v>
      </c>
      <c r="AY52" s="31">
        <f>Tercera!AY52</f>
        <v>0</v>
      </c>
      <c r="AZ52" s="32">
        <f t="shared" si="113"/>
        <v>-1</v>
      </c>
      <c r="BA52" s="31">
        <f>Tercera!BA52</f>
        <v>0</v>
      </c>
      <c r="BB52" s="32">
        <f t="shared" si="114"/>
        <v>-1</v>
      </c>
      <c r="BC52" s="31">
        <f>Tercera!BC52</f>
        <v>0</v>
      </c>
      <c r="BD52" s="32">
        <f t="shared" si="115"/>
        <v>-1</v>
      </c>
      <c r="BE52" s="31">
        <f>Tercera!BE52</f>
        <v>0</v>
      </c>
      <c r="BF52" s="32">
        <f t="shared" si="116"/>
        <v>-1</v>
      </c>
      <c r="BG52" s="31">
        <f>Tercera!BG52</f>
        <v>0</v>
      </c>
      <c r="BH52" s="32">
        <f t="shared" si="117"/>
        <v>-1</v>
      </c>
      <c r="BI52" s="31">
        <f>Tercera!BI52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Tercera!B53</f>
        <v>0</v>
      </c>
      <c r="C53" s="31">
        <f>Tercera!C53</f>
        <v>0</v>
      </c>
      <c r="D53" s="32">
        <f t="shared" si="89"/>
        <v>-1</v>
      </c>
      <c r="E53" s="31">
        <f>Tercera!E53</f>
        <v>0</v>
      </c>
      <c r="F53" s="32">
        <f t="shared" si="90"/>
        <v>-1</v>
      </c>
      <c r="G53" s="31">
        <f>Tercera!G53</f>
        <v>0</v>
      </c>
      <c r="H53" s="32">
        <f t="shared" si="91"/>
        <v>-1</v>
      </c>
      <c r="I53" s="31">
        <f>Tercera!I53</f>
        <v>0</v>
      </c>
      <c r="J53" s="32">
        <f t="shared" si="92"/>
        <v>-1</v>
      </c>
      <c r="K53" s="31">
        <f>Tercera!K53</f>
        <v>0</v>
      </c>
      <c r="L53" s="32">
        <f t="shared" si="93"/>
        <v>-1</v>
      </c>
      <c r="M53" s="31">
        <f>Tercera!M53</f>
        <v>0</v>
      </c>
      <c r="N53" s="32">
        <f t="shared" si="94"/>
        <v>-1</v>
      </c>
      <c r="O53" s="31">
        <f>Tercera!O53</f>
        <v>0</v>
      </c>
      <c r="P53" s="32">
        <f t="shared" si="95"/>
        <v>-1</v>
      </c>
      <c r="Q53" s="31">
        <f>Tercera!Q53</f>
        <v>0</v>
      </c>
      <c r="R53" s="32">
        <f t="shared" si="96"/>
        <v>-1</v>
      </c>
      <c r="S53" s="31">
        <f>Tercera!S53</f>
        <v>0</v>
      </c>
      <c r="T53" s="32">
        <f t="shared" si="97"/>
        <v>-1</v>
      </c>
      <c r="U53" s="31">
        <f>Tercera!U53</f>
        <v>0</v>
      </c>
      <c r="V53" s="32">
        <f t="shared" si="98"/>
        <v>-1</v>
      </c>
      <c r="W53" s="31">
        <f>Tercera!W53</f>
        <v>0</v>
      </c>
      <c r="X53" s="32">
        <f t="shared" si="99"/>
        <v>-1</v>
      </c>
      <c r="Y53" s="31">
        <f>Tercera!Y53</f>
        <v>0</v>
      </c>
      <c r="Z53" s="32">
        <f t="shared" si="100"/>
        <v>-1</v>
      </c>
      <c r="AA53" s="31">
        <f>Tercera!AA53</f>
        <v>0</v>
      </c>
      <c r="AB53" s="32">
        <f t="shared" si="101"/>
        <v>-1</v>
      </c>
      <c r="AC53" s="31">
        <f>Tercera!AC53</f>
        <v>0</v>
      </c>
      <c r="AD53" s="32">
        <f t="shared" si="102"/>
        <v>-1</v>
      </c>
      <c r="AE53" s="31">
        <f>Tercera!AE53</f>
        <v>0</v>
      </c>
      <c r="AF53" s="32">
        <f t="shared" si="103"/>
        <v>-1</v>
      </c>
      <c r="AG53" s="31">
        <f>Tercera!AG53</f>
        <v>0</v>
      </c>
      <c r="AH53" s="32">
        <f t="shared" si="104"/>
        <v>-1</v>
      </c>
      <c r="AI53" s="31">
        <f>Tercera!AI53</f>
        <v>0</v>
      </c>
      <c r="AJ53" s="32">
        <f t="shared" si="105"/>
        <v>-1</v>
      </c>
      <c r="AK53" s="31">
        <f>Tercera!AK53</f>
        <v>0</v>
      </c>
      <c r="AL53" s="32">
        <f t="shared" si="106"/>
        <v>-1</v>
      </c>
      <c r="AM53" s="31">
        <f>Tercera!AM53</f>
        <v>0</v>
      </c>
      <c r="AN53" s="32">
        <f t="shared" si="107"/>
        <v>-1</v>
      </c>
      <c r="AO53" s="31">
        <f>Tercera!AO53</f>
        <v>0</v>
      </c>
      <c r="AP53" s="32">
        <f t="shared" si="108"/>
        <v>-1</v>
      </c>
      <c r="AQ53" s="31">
        <f>Tercera!AQ53</f>
        <v>0</v>
      </c>
      <c r="AR53" s="32">
        <f t="shared" si="109"/>
        <v>-1</v>
      </c>
      <c r="AS53" s="31">
        <f>Tercera!AS53</f>
        <v>0</v>
      </c>
      <c r="AT53" s="32">
        <f t="shared" si="110"/>
        <v>-1</v>
      </c>
      <c r="AU53" s="31">
        <f>Tercera!AU53</f>
        <v>0</v>
      </c>
      <c r="AV53" s="32">
        <f t="shared" si="111"/>
        <v>-1</v>
      </c>
      <c r="AW53" s="31">
        <f>Tercera!AW53</f>
        <v>0</v>
      </c>
      <c r="AX53" s="32">
        <f t="shared" si="112"/>
        <v>-1</v>
      </c>
      <c r="AY53" s="31">
        <f>Tercera!AY53</f>
        <v>0</v>
      </c>
      <c r="AZ53" s="32">
        <f t="shared" si="113"/>
        <v>-1</v>
      </c>
      <c r="BA53" s="31">
        <f>Tercera!BA53</f>
        <v>0</v>
      </c>
      <c r="BB53" s="32">
        <f t="shared" si="114"/>
        <v>-1</v>
      </c>
      <c r="BC53" s="31">
        <f>Tercera!BC53</f>
        <v>0</v>
      </c>
      <c r="BD53" s="32">
        <f t="shared" si="115"/>
        <v>-1</v>
      </c>
      <c r="BE53" s="31">
        <f>Tercera!BE53</f>
        <v>0</v>
      </c>
      <c r="BF53" s="32">
        <f t="shared" si="116"/>
        <v>-1</v>
      </c>
      <c r="BG53" s="31">
        <f>Tercera!BG53</f>
        <v>0</v>
      </c>
      <c r="BH53" s="32">
        <f t="shared" si="117"/>
        <v>-1</v>
      </c>
      <c r="BI53" s="31">
        <f>Tercera!BI53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Tercera!B54</f>
        <v>0</v>
      </c>
      <c r="C54" s="31">
        <f>Tercera!C54</f>
        <v>0</v>
      </c>
      <c r="D54" s="32">
        <f t="shared" si="89"/>
        <v>-1</v>
      </c>
      <c r="E54" s="31">
        <f>Tercera!E54</f>
        <v>0</v>
      </c>
      <c r="F54" s="32">
        <f t="shared" si="90"/>
        <v>-1</v>
      </c>
      <c r="G54" s="31">
        <f>Tercera!G54</f>
        <v>0</v>
      </c>
      <c r="H54" s="32">
        <f t="shared" si="91"/>
        <v>-1</v>
      </c>
      <c r="I54" s="31">
        <f>Tercera!I54</f>
        <v>0</v>
      </c>
      <c r="J54" s="32">
        <f t="shared" si="92"/>
        <v>-1</v>
      </c>
      <c r="K54" s="31">
        <f>Tercera!K54</f>
        <v>0</v>
      </c>
      <c r="L54" s="32">
        <f t="shared" si="93"/>
        <v>-1</v>
      </c>
      <c r="M54" s="31">
        <f>Tercera!M54</f>
        <v>0</v>
      </c>
      <c r="N54" s="32">
        <f t="shared" si="94"/>
        <v>-1</v>
      </c>
      <c r="O54" s="31">
        <f>Tercera!O54</f>
        <v>0</v>
      </c>
      <c r="P54" s="32">
        <f t="shared" si="95"/>
        <v>-1</v>
      </c>
      <c r="Q54" s="31">
        <f>Tercera!Q54</f>
        <v>0</v>
      </c>
      <c r="R54" s="32">
        <f t="shared" si="96"/>
        <v>-1</v>
      </c>
      <c r="S54" s="31">
        <f>Tercera!S54</f>
        <v>0</v>
      </c>
      <c r="T54" s="32">
        <f t="shared" si="97"/>
        <v>-1</v>
      </c>
      <c r="U54" s="31">
        <f>Tercera!U54</f>
        <v>0</v>
      </c>
      <c r="V54" s="32">
        <f t="shared" si="98"/>
        <v>-1</v>
      </c>
      <c r="W54" s="31">
        <f>Tercera!W54</f>
        <v>0</v>
      </c>
      <c r="X54" s="32">
        <f t="shared" si="99"/>
        <v>-1</v>
      </c>
      <c r="Y54" s="31">
        <f>Tercera!Y54</f>
        <v>0</v>
      </c>
      <c r="Z54" s="32">
        <f t="shared" si="100"/>
        <v>-1</v>
      </c>
      <c r="AA54" s="31">
        <f>Tercera!AA54</f>
        <v>0</v>
      </c>
      <c r="AB54" s="32">
        <f t="shared" si="101"/>
        <v>-1</v>
      </c>
      <c r="AC54" s="31">
        <f>Tercera!AC54</f>
        <v>0</v>
      </c>
      <c r="AD54" s="32">
        <f t="shared" si="102"/>
        <v>-1</v>
      </c>
      <c r="AE54" s="31">
        <f>Tercera!AE54</f>
        <v>0</v>
      </c>
      <c r="AF54" s="32">
        <f t="shared" si="103"/>
        <v>-1</v>
      </c>
      <c r="AG54" s="31">
        <f>Tercera!AG54</f>
        <v>0</v>
      </c>
      <c r="AH54" s="32">
        <f t="shared" si="104"/>
        <v>-1</v>
      </c>
      <c r="AI54" s="31">
        <f>Tercera!AI54</f>
        <v>0</v>
      </c>
      <c r="AJ54" s="32">
        <f t="shared" si="105"/>
        <v>-1</v>
      </c>
      <c r="AK54" s="31">
        <f>Tercera!AK54</f>
        <v>0</v>
      </c>
      <c r="AL54" s="32">
        <f t="shared" si="106"/>
        <v>-1</v>
      </c>
      <c r="AM54" s="31">
        <f>Tercera!AM54</f>
        <v>0</v>
      </c>
      <c r="AN54" s="32">
        <f t="shared" si="107"/>
        <v>-1</v>
      </c>
      <c r="AO54" s="31">
        <f>Tercera!AO54</f>
        <v>0</v>
      </c>
      <c r="AP54" s="32">
        <f t="shared" si="108"/>
        <v>-1</v>
      </c>
      <c r="AQ54" s="31">
        <f>Tercera!AQ54</f>
        <v>0</v>
      </c>
      <c r="AR54" s="32">
        <f t="shared" si="109"/>
        <v>-1</v>
      </c>
      <c r="AS54" s="31">
        <f>Tercera!AS54</f>
        <v>0</v>
      </c>
      <c r="AT54" s="32">
        <f t="shared" si="110"/>
        <v>-1</v>
      </c>
      <c r="AU54" s="31">
        <f>Tercera!AU54</f>
        <v>0</v>
      </c>
      <c r="AV54" s="32">
        <f t="shared" si="111"/>
        <v>-1</v>
      </c>
      <c r="AW54" s="31">
        <f>Tercera!AW54</f>
        <v>0</v>
      </c>
      <c r="AX54" s="32">
        <f t="shared" si="112"/>
        <v>-1</v>
      </c>
      <c r="AY54" s="31">
        <f>Tercera!AY54</f>
        <v>0</v>
      </c>
      <c r="AZ54" s="32">
        <f t="shared" si="113"/>
        <v>-1</v>
      </c>
      <c r="BA54" s="31">
        <f>Tercera!BA54</f>
        <v>0</v>
      </c>
      <c r="BB54" s="32">
        <f t="shared" si="114"/>
        <v>-1</v>
      </c>
      <c r="BC54" s="31">
        <f>Tercera!BC54</f>
        <v>0</v>
      </c>
      <c r="BD54" s="32">
        <f t="shared" si="115"/>
        <v>-1</v>
      </c>
      <c r="BE54" s="31">
        <f>Tercera!BE54</f>
        <v>0</v>
      </c>
      <c r="BF54" s="32">
        <f t="shared" si="116"/>
        <v>-1</v>
      </c>
      <c r="BG54" s="31">
        <f>Tercera!BG54</f>
        <v>0</v>
      </c>
      <c r="BH54" s="32">
        <f t="shared" si="117"/>
        <v>-1</v>
      </c>
      <c r="BI54" s="31">
        <f>Tercera!BI54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Tercera!B55</f>
        <v>0</v>
      </c>
      <c r="C55" s="31">
        <f>Tercera!C55</f>
        <v>0</v>
      </c>
      <c r="D55" s="32">
        <f t="shared" si="89"/>
        <v>-1</v>
      </c>
      <c r="E55" s="31">
        <f>Tercera!E55</f>
        <v>0</v>
      </c>
      <c r="F55" s="32">
        <f t="shared" si="90"/>
        <v>-1</v>
      </c>
      <c r="G55" s="31">
        <f>Tercera!G55</f>
        <v>0</v>
      </c>
      <c r="H55" s="32">
        <f t="shared" si="91"/>
        <v>-1</v>
      </c>
      <c r="I55" s="31">
        <f>Tercera!I55</f>
        <v>0</v>
      </c>
      <c r="J55" s="32">
        <f t="shared" si="92"/>
        <v>-1</v>
      </c>
      <c r="K55" s="31">
        <f>Tercera!K55</f>
        <v>0</v>
      </c>
      <c r="L55" s="32">
        <f t="shared" si="93"/>
        <v>-1</v>
      </c>
      <c r="M55" s="31">
        <f>Tercera!M55</f>
        <v>0</v>
      </c>
      <c r="N55" s="32">
        <f t="shared" si="94"/>
        <v>-1</v>
      </c>
      <c r="O55" s="31">
        <f>Tercera!O55</f>
        <v>0</v>
      </c>
      <c r="P55" s="32">
        <f t="shared" si="95"/>
        <v>-1</v>
      </c>
      <c r="Q55" s="31">
        <f>Tercera!Q55</f>
        <v>0</v>
      </c>
      <c r="R55" s="32">
        <f t="shared" si="96"/>
        <v>-1</v>
      </c>
      <c r="S55" s="31">
        <f>Tercera!S55</f>
        <v>0</v>
      </c>
      <c r="T55" s="32">
        <f t="shared" si="97"/>
        <v>-1</v>
      </c>
      <c r="U55" s="31">
        <f>Tercera!U55</f>
        <v>0</v>
      </c>
      <c r="V55" s="32">
        <f t="shared" si="98"/>
        <v>-1</v>
      </c>
      <c r="W55" s="31">
        <f>Tercera!W55</f>
        <v>0</v>
      </c>
      <c r="X55" s="32">
        <f t="shared" si="99"/>
        <v>-1</v>
      </c>
      <c r="Y55" s="31">
        <f>Tercera!Y55</f>
        <v>0</v>
      </c>
      <c r="Z55" s="32">
        <f t="shared" si="100"/>
        <v>-1</v>
      </c>
      <c r="AA55" s="31">
        <f>Tercera!AA55</f>
        <v>0</v>
      </c>
      <c r="AB55" s="32">
        <f t="shared" si="101"/>
        <v>-1</v>
      </c>
      <c r="AC55" s="31">
        <f>Tercera!AC55</f>
        <v>0</v>
      </c>
      <c r="AD55" s="32">
        <f t="shared" si="102"/>
        <v>-1</v>
      </c>
      <c r="AE55" s="31">
        <f>Tercera!AE55</f>
        <v>0</v>
      </c>
      <c r="AF55" s="32">
        <f t="shared" si="103"/>
        <v>-1</v>
      </c>
      <c r="AG55" s="31">
        <f>Tercera!AG55</f>
        <v>0</v>
      </c>
      <c r="AH55" s="32">
        <f t="shared" si="104"/>
        <v>-1</v>
      </c>
      <c r="AI55" s="31">
        <f>Tercera!AI55</f>
        <v>0</v>
      </c>
      <c r="AJ55" s="32">
        <f t="shared" si="105"/>
        <v>-1</v>
      </c>
      <c r="AK55" s="31">
        <f>Tercera!AK55</f>
        <v>0</v>
      </c>
      <c r="AL55" s="32">
        <f t="shared" si="106"/>
        <v>-1</v>
      </c>
      <c r="AM55" s="31">
        <f>Tercera!AM55</f>
        <v>0</v>
      </c>
      <c r="AN55" s="32">
        <f t="shared" si="107"/>
        <v>-1</v>
      </c>
      <c r="AO55" s="31">
        <f>Tercera!AO55</f>
        <v>0</v>
      </c>
      <c r="AP55" s="32">
        <f t="shared" si="108"/>
        <v>-1</v>
      </c>
      <c r="AQ55" s="31">
        <f>Tercera!AQ55</f>
        <v>0</v>
      </c>
      <c r="AR55" s="32">
        <f t="shared" si="109"/>
        <v>-1</v>
      </c>
      <c r="AS55" s="31">
        <f>Tercera!AS55</f>
        <v>0</v>
      </c>
      <c r="AT55" s="32">
        <f t="shared" si="110"/>
        <v>-1</v>
      </c>
      <c r="AU55" s="31">
        <f>Tercera!AU55</f>
        <v>0</v>
      </c>
      <c r="AV55" s="32">
        <f t="shared" si="111"/>
        <v>-1</v>
      </c>
      <c r="AW55" s="31">
        <f>Tercera!AW55</f>
        <v>0</v>
      </c>
      <c r="AX55" s="32">
        <f t="shared" si="112"/>
        <v>-1</v>
      </c>
      <c r="AY55" s="31">
        <f>Tercera!AY55</f>
        <v>0</v>
      </c>
      <c r="AZ55" s="32">
        <f t="shared" si="113"/>
        <v>-1</v>
      </c>
      <c r="BA55" s="31">
        <f>Tercera!BA55</f>
        <v>0</v>
      </c>
      <c r="BB55" s="32">
        <f t="shared" si="114"/>
        <v>-1</v>
      </c>
      <c r="BC55" s="31">
        <f>Tercera!BC55</f>
        <v>0</v>
      </c>
      <c r="BD55" s="32">
        <f t="shared" si="115"/>
        <v>-1</v>
      </c>
      <c r="BE55" s="31">
        <f>Tercera!BE55</f>
        <v>0</v>
      </c>
      <c r="BF55" s="32">
        <f t="shared" si="116"/>
        <v>-1</v>
      </c>
      <c r="BG55" s="31">
        <f>Tercera!BG55</f>
        <v>0</v>
      </c>
      <c r="BH55" s="32">
        <f t="shared" si="117"/>
        <v>-1</v>
      </c>
      <c r="BI55" s="31">
        <f>Tercera!BI55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Tercera!B56</f>
        <v>0</v>
      </c>
      <c r="C56" s="31">
        <f>Tercera!C56</f>
        <v>0</v>
      </c>
      <c r="D56" s="32">
        <f t="shared" si="89"/>
        <v>-1</v>
      </c>
      <c r="E56" s="31">
        <f>Tercera!E56</f>
        <v>0</v>
      </c>
      <c r="F56" s="32">
        <f t="shared" si="90"/>
        <v>-1</v>
      </c>
      <c r="G56" s="31">
        <f>Tercera!G56</f>
        <v>0</v>
      </c>
      <c r="H56" s="32">
        <f t="shared" si="91"/>
        <v>-1</v>
      </c>
      <c r="I56" s="31">
        <f>Tercera!I56</f>
        <v>0</v>
      </c>
      <c r="J56" s="32">
        <f t="shared" si="92"/>
        <v>-1</v>
      </c>
      <c r="K56" s="31">
        <f>Tercera!K56</f>
        <v>0</v>
      </c>
      <c r="L56" s="32">
        <f t="shared" si="93"/>
        <v>-1</v>
      </c>
      <c r="M56" s="31">
        <f>Tercera!M56</f>
        <v>0</v>
      </c>
      <c r="N56" s="32">
        <f t="shared" si="94"/>
        <v>-1</v>
      </c>
      <c r="O56" s="31">
        <f>Tercera!O56</f>
        <v>0</v>
      </c>
      <c r="P56" s="32">
        <f t="shared" si="95"/>
        <v>-1</v>
      </c>
      <c r="Q56" s="31">
        <f>Tercera!Q56</f>
        <v>0</v>
      </c>
      <c r="R56" s="32">
        <f t="shared" si="96"/>
        <v>-1</v>
      </c>
      <c r="S56" s="31">
        <f>Tercera!S56</f>
        <v>0</v>
      </c>
      <c r="T56" s="32">
        <f t="shared" si="97"/>
        <v>-1</v>
      </c>
      <c r="U56" s="31">
        <f>Tercera!U56</f>
        <v>0</v>
      </c>
      <c r="V56" s="32">
        <f t="shared" si="98"/>
        <v>-1</v>
      </c>
      <c r="W56" s="31">
        <f>Tercera!W56</f>
        <v>0</v>
      </c>
      <c r="X56" s="32">
        <f t="shared" si="99"/>
        <v>-1</v>
      </c>
      <c r="Y56" s="31">
        <f>Tercera!Y56</f>
        <v>0</v>
      </c>
      <c r="Z56" s="32">
        <f t="shared" si="100"/>
        <v>-1</v>
      </c>
      <c r="AA56" s="31">
        <f>Tercera!AA56</f>
        <v>0</v>
      </c>
      <c r="AB56" s="32">
        <f t="shared" si="101"/>
        <v>-1</v>
      </c>
      <c r="AC56" s="31">
        <f>Tercera!AC56</f>
        <v>0</v>
      </c>
      <c r="AD56" s="32">
        <f t="shared" si="102"/>
        <v>-1</v>
      </c>
      <c r="AE56" s="31">
        <f>Tercera!AE56</f>
        <v>0</v>
      </c>
      <c r="AF56" s="32">
        <f t="shared" si="103"/>
        <v>-1</v>
      </c>
      <c r="AG56" s="31">
        <f>Tercera!AG56</f>
        <v>0</v>
      </c>
      <c r="AH56" s="32">
        <f t="shared" si="104"/>
        <v>-1</v>
      </c>
      <c r="AI56" s="31">
        <f>Tercera!AI56</f>
        <v>0</v>
      </c>
      <c r="AJ56" s="32">
        <f t="shared" si="105"/>
        <v>-1</v>
      </c>
      <c r="AK56" s="31">
        <f>Tercera!AK56</f>
        <v>0</v>
      </c>
      <c r="AL56" s="32">
        <f t="shared" si="106"/>
        <v>-1</v>
      </c>
      <c r="AM56" s="31">
        <f>Tercera!AM56</f>
        <v>0</v>
      </c>
      <c r="AN56" s="32">
        <f t="shared" si="107"/>
        <v>-1</v>
      </c>
      <c r="AO56" s="31">
        <f>Tercera!AO56</f>
        <v>0</v>
      </c>
      <c r="AP56" s="32">
        <f t="shared" si="108"/>
        <v>-1</v>
      </c>
      <c r="AQ56" s="31">
        <f>Tercera!AQ56</f>
        <v>0</v>
      </c>
      <c r="AR56" s="32">
        <f t="shared" si="109"/>
        <v>-1</v>
      </c>
      <c r="AS56" s="31">
        <f>Tercera!AS56</f>
        <v>0</v>
      </c>
      <c r="AT56" s="32">
        <f t="shared" si="110"/>
        <v>-1</v>
      </c>
      <c r="AU56" s="31">
        <f>Tercera!AU56</f>
        <v>0</v>
      </c>
      <c r="AV56" s="32">
        <f t="shared" si="111"/>
        <v>-1</v>
      </c>
      <c r="AW56" s="31">
        <f>Tercera!AW56</f>
        <v>0</v>
      </c>
      <c r="AX56" s="32">
        <f t="shared" si="112"/>
        <v>-1</v>
      </c>
      <c r="AY56" s="31">
        <f>Tercera!AY56</f>
        <v>0</v>
      </c>
      <c r="AZ56" s="32">
        <f t="shared" si="113"/>
        <v>-1</v>
      </c>
      <c r="BA56" s="31">
        <f>Tercera!BA56</f>
        <v>0</v>
      </c>
      <c r="BB56" s="32">
        <f t="shared" si="114"/>
        <v>-1</v>
      </c>
      <c r="BC56" s="31">
        <f>Tercera!BC56</f>
        <v>0</v>
      </c>
      <c r="BD56" s="32">
        <f t="shared" si="115"/>
        <v>-1</v>
      </c>
      <c r="BE56" s="31">
        <f>Tercera!BE56</f>
        <v>0</v>
      </c>
      <c r="BF56" s="32">
        <f t="shared" si="116"/>
        <v>-1</v>
      </c>
      <c r="BG56" s="31">
        <f>Tercera!BG56</f>
        <v>0</v>
      </c>
      <c r="BH56" s="32">
        <f t="shared" si="117"/>
        <v>-1</v>
      </c>
      <c r="BI56" s="31">
        <f>Tercera!BI56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Tercera!B57</f>
        <v>0</v>
      </c>
      <c r="C57" s="31">
        <f>Tercera!C57</f>
        <v>0</v>
      </c>
      <c r="D57" s="32">
        <f t="shared" si="89"/>
        <v>-1</v>
      </c>
      <c r="E57" s="31">
        <f>Tercera!E57</f>
        <v>0</v>
      </c>
      <c r="F57" s="32">
        <f t="shared" si="90"/>
        <v>-1</v>
      </c>
      <c r="G57" s="31">
        <f>Tercera!G57</f>
        <v>0</v>
      </c>
      <c r="H57" s="32">
        <f t="shared" si="91"/>
        <v>-1</v>
      </c>
      <c r="I57" s="31">
        <f>Tercera!I57</f>
        <v>0</v>
      </c>
      <c r="J57" s="32">
        <f t="shared" si="92"/>
        <v>-1</v>
      </c>
      <c r="K57" s="31">
        <f>Tercera!K57</f>
        <v>0</v>
      </c>
      <c r="L57" s="32">
        <f t="shared" si="93"/>
        <v>-1</v>
      </c>
      <c r="M57" s="31">
        <f>Tercera!M57</f>
        <v>0</v>
      </c>
      <c r="N57" s="32">
        <f t="shared" si="94"/>
        <v>-1</v>
      </c>
      <c r="O57" s="31">
        <f>Tercera!O57</f>
        <v>0</v>
      </c>
      <c r="P57" s="32">
        <f t="shared" si="95"/>
        <v>-1</v>
      </c>
      <c r="Q57" s="31">
        <f>Tercera!Q57</f>
        <v>0</v>
      </c>
      <c r="R57" s="32">
        <f t="shared" si="96"/>
        <v>-1</v>
      </c>
      <c r="S57" s="31">
        <f>Tercera!S57</f>
        <v>0</v>
      </c>
      <c r="T57" s="32">
        <f t="shared" si="97"/>
        <v>-1</v>
      </c>
      <c r="U57" s="31">
        <f>Tercera!U57</f>
        <v>0</v>
      </c>
      <c r="V57" s="32">
        <f t="shared" si="98"/>
        <v>-1</v>
      </c>
      <c r="W57" s="31">
        <f>Tercera!W57</f>
        <v>0</v>
      </c>
      <c r="X57" s="32">
        <f t="shared" si="99"/>
        <v>-1</v>
      </c>
      <c r="Y57" s="31">
        <f>Tercera!Y57</f>
        <v>0</v>
      </c>
      <c r="Z57" s="32">
        <f t="shared" si="100"/>
        <v>-1</v>
      </c>
      <c r="AA57" s="31">
        <f>Tercera!AA57</f>
        <v>0</v>
      </c>
      <c r="AB57" s="32">
        <f t="shared" si="101"/>
        <v>-1</v>
      </c>
      <c r="AC57" s="31">
        <f>Tercera!AC57</f>
        <v>0</v>
      </c>
      <c r="AD57" s="32">
        <f t="shared" si="102"/>
        <v>-1</v>
      </c>
      <c r="AE57" s="31">
        <f>Tercera!AE57</f>
        <v>0</v>
      </c>
      <c r="AF57" s="32">
        <f t="shared" si="103"/>
        <v>-1</v>
      </c>
      <c r="AG57" s="31">
        <f>Tercera!AG57</f>
        <v>0</v>
      </c>
      <c r="AH57" s="32">
        <f t="shared" si="104"/>
        <v>-1</v>
      </c>
      <c r="AI57" s="31">
        <f>Tercera!AI57</f>
        <v>0</v>
      </c>
      <c r="AJ57" s="32">
        <f t="shared" si="105"/>
        <v>-1</v>
      </c>
      <c r="AK57" s="31">
        <f>Tercera!AK57</f>
        <v>0</v>
      </c>
      <c r="AL57" s="32">
        <f t="shared" si="106"/>
        <v>-1</v>
      </c>
      <c r="AM57" s="31">
        <f>Tercera!AM57</f>
        <v>0</v>
      </c>
      <c r="AN57" s="32">
        <f t="shared" si="107"/>
        <v>-1</v>
      </c>
      <c r="AO57" s="31">
        <f>Tercera!AO57</f>
        <v>0</v>
      </c>
      <c r="AP57" s="32">
        <f t="shared" si="108"/>
        <v>-1</v>
      </c>
      <c r="AQ57" s="31">
        <f>Tercera!AQ57</f>
        <v>0</v>
      </c>
      <c r="AR57" s="32">
        <f t="shared" si="109"/>
        <v>-1</v>
      </c>
      <c r="AS57" s="31">
        <f>Tercera!AS57</f>
        <v>0</v>
      </c>
      <c r="AT57" s="32">
        <f t="shared" si="110"/>
        <v>-1</v>
      </c>
      <c r="AU57" s="31">
        <f>Tercera!AU57</f>
        <v>0</v>
      </c>
      <c r="AV57" s="32">
        <f t="shared" si="111"/>
        <v>-1</v>
      </c>
      <c r="AW57" s="31">
        <f>Tercera!AW57</f>
        <v>0</v>
      </c>
      <c r="AX57" s="32">
        <f t="shared" si="112"/>
        <v>-1</v>
      </c>
      <c r="AY57" s="31">
        <f>Tercera!AY57</f>
        <v>0</v>
      </c>
      <c r="AZ57" s="32">
        <f t="shared" si="113"/>
        <v>-1</v>
      </c>
      <c r="BA57" s="31">
        <f>Tercera!BA57</f>
        <v>0</v>
      </c>
      <c r="BB57" s="32">
        <f t="shared" si="114"/>
        <v>-1</v>
      </c>
      <c r="BC57" s="31">
        <f>Tercera!BC57</f>
        <v>0</v>
      </c>
      <c r="BD57" s="32">
        <f t="shared" si="115"/>
        <v>-1</v>
      </c>
      <c r="BE57" s="31">
        <f>Tercera!BE57</f>
        <v>0</v>
      </c>
      <c r="BF57" s="32">
        <f t="shared" si="116"/>
        <v>-1</v>
      </c>
      <c r="BG57" s="31">
        <f>Tercera!BG57</f>
        <v>0</v>
      </c>
      <c r="BH57" s="32">
        <f t="shared" si="117"/>
        <v>-1</v>
      </c>
      <c r="BI57" s="31">
        <f>Tercera!BI57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Tercera!B58</f>
        <v>0</v>
      </c>
      <c r="C58" s="31">
        <f>Tercera!C58</f>
        <v>0</v>
      </c>
      <c r="D58" s="32">
        <f t="shared" si="89"/>
        <v>-1</v>
      </c>
      <c r="E58" s="31">
        <f>Tercera!E58</f>
        <v>0</v>
      </c>
      <c r="F58" s="32">
        <f t="shared" si="90"/>
        <v>-1</v>
      </c>
      <c r="G58" s="31">
        <f>Tercera!G58</f>
        <v>0</v>
      </c>
      <c r="H58" s="32">
        <f t="shared" si="91"/>
        <v>-1</v>
      </c>
      <c r="I58" s="31">
        <f>Tercera!I58</f>
        <v>0</v>
      </c>
      <c r="J58" s="32">
        <f t="shared" si="92"/>
        <v>-1</v>
      </c>
      <c r="K58" s="31">
        <f>Tercera!K58</f>
        <v>0</v>
      </c>
      <c r="L58" s="32">
        <f t="shared" si="93"/>
        <v>-1</v>
      </c>
      <c r="M58" s="31">
        <f>Tercera!M58</f>
        <v>0</v>
      </c>
      <c r="N58" s="32">
        <f t="shared" si="94"/>
        <v>-1</v>
      </c>
      <c r="O58" s="31">
        <f>Tercera!O58</f>
        <v>0</v>
      </c>
      <c r="P58" s="32">
        <f t="shared" si="95"/>
        <v>-1</v>
      </c>
      <c r="Q58" s="31">
        <f>Tercera!Q58</f>
        <v>0</v>
      </c>
      <c r="R58" s="32">
        <f t="shared" si="96"/>
        <v>-1</v>
      </c>
      <c r="S58" s="31">
        <f>Tercera!S58</f>
        <v>0</v>
      </c>
      <c r="T58" s="32">
        <f t="shared" si="97"/>
        <v>-1</v>
      </c>
      <c r="U58" s="31">
        <f>Tercera!U58</f>
        <v>0</v>
      </c>
      <c r="V58" s="32">
        <f t="shared" si="98"/>
        <v>-1</v>
      </c>
      <c r="W58" s="31">
        <f>Tercera!W58</f>
        <v>0</v>
      </c>
      <c r="X58" s="32">
        <f t="shared" si="99"/>
        <v>-1</v>
      </c>
      <c r="Y58" s="31">
        <f>Tercera!Y58</f>
        <v>0</v>
      </c>
      <c r="Z58" s="32">
        <f t="shared" si="100"/>
        <v>-1</v>
      </c>
      <c r="AA58" s="31">
        <f>Tercera!AA58</f>
        <v>0</v>
      </c>
      <c r="AB58" s="32">
        <f t="shared" si="101"/>
        <v>-1</v>
      </c>
      <c r="AC58" s="31">
        <f>Tercera!AC58</f>
        <v>0</v>
      </c>
      <c r="AD58" s="32">
        <f t="shared" si="102"/>
        <v>-1</v>
      </c>
      <c r="AE58" s="31">
        <f>Tercera!AE58</f>
        <v>0</v>
      </c>
      <c r="AF58" s="32">
        <f t="shared" si="103"/>
        <v>-1</v>
      </c>
      <c r="AG58" s="31">
        <f>Tercera!AG58</f>
        <v>0</v>
      </c>
      <c r="AH58" s="32">
        <f t="shared" si="104"/>
        <v>-1</v>
      </c>
      <c r="AI58" s="31">
        <f>Tercera!AI58</f>
        <v>0</v>
      </c>
      <c r="AJ58" s="32">
        <f t="shared" si="105"/>
        <v>-1</v>
      </c>
      <c r="AK58" s="31">
        <f>Tercera!AK58</f>
        <v>0</v>
      </c>
      <c r="AL58" s="32">
        <f t="shared" si="106"/>
        <v>-1</v>
      </c>
      <c r="AM58" s="31">
        <f>Tercera!AM58</f>
        <v>0</v>
      </c>
      <c r="AN58" s="32">
        <f t="shared" si="107"/>
        <v>-1</v>
      </c>
      <c r="AO58" s="31">
        <f>Tercera!AO58</f>
        <v>0</v>
      </c>
      <c r="AP58" s="32">
        <f t="shared" si="108"/>
        <v>-1</v>
      </c>
      <c r="AQ58" s="31">
        <f>Tercera!AQ58</f>
        <v>0</v>
      </c>
      <c r="AR58" s="32">
        <f t="shared" si="109"/>
        <v>-1</v>
      </c>
      <c r="AS58" s="31">
        <f>Tercera!AS58</f>
        <v>0</v>
      </c>
      <c r="AT58" s="32">
        <f t="shared" si="110"/>
        <v>-1</v>
      </c>
      <c r="AU58" s="31">
        <f>Tercera!AU58</f>
        <v>0</v>
      </c>
      <c r="AV58" s="32">
        <f t="shared" si="111"/>
        <v>-1</v>
      </c>
      <c r="AW58" s="31">
        <f>Tercera!AW58</f>
        <v>0</v>
      </c>
      <c r="AX58" s="32">
        <f t="shared" si="112"/>
        <v>-1</v>
      </c>
      <c r="AY58" s="31">
        <f>Tercera!AY58</f>
        <v>0</v>
      </c>
      <c r="AZ58" s="32">
        <f t="shared" si="113"/>
        <v>-1</v>
      </c>
      <c r="BA58" s="31">
        <f>Tercera!BA58</f>
        <v>0</v>
      </c>
      <c r="BB58" s="32">
        <f t="shared" si="114"/>
        <v>-1</v>
      </c>
      <c r="BC58" s="31">
        <f>Tercera!BC58</f>
        <v>0</v>
      </c>
      <c r="BD58" s="32">
        <f t="shared" si="115"/>
        <v>-1</v>
      </c>
      <c r="BE58" s="31">
        <f>Tercera!BE58</f>
        <v>0</v>
      </c>
      <c r="BF58" s="32">
        <f t="shared" si="116"/>
        <v>-1</v>
      </c>
      <c r="BG58" s="31">
        <f>Tercera!BG58</f>
        <v>0</v>
      </c>
      <c r="BH58" s="32">
        <f t="shared" si="117"/>
        <v>-1</v>
      </c>
      <c r="BI58" s="31">
        <f>Tercera!BI58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8">
        <f>IF(SUM($B60:$B63)&lt;&gt;0,SUM(C60:C63)/SUM($B60:$B63)*$B59*10, "")</f>
        <v>0.67499999608844519</v>
      </c>
      <c r="D59" s="58"/>
      <c r="E59" s="58">
        <f>IF(SUM($B60:$B63)&lt;&gt;0,SUM(E60:E63)/SUM($B60:$B63)*$B59*10, "")</f>
        <v>1.125</v>
      </c>
      <c r="F59" s="58"/>
      <c r="G59" s="58">
        <f>IF(SUM($B60:$B63)&lt;&gt;0,SUM(G60:G63)/SUM($B60:$B63)*$B59*10, "")</f>
        <v>0.78750001452863216</v>
      </c>
      <c r="H59" s="58"/>
      <c r="I59" s="58">
        <f>IF(SUM($B60:$B63)&lt;&gt;0,SUM(I60:I63)/SUM($B60:$B63)*$B59*10, "")</f>
        <v>0.82500000111758709</v>
      </c>
      <c r="J59" s="58"/>
      <c r="K59" s="58">
        <f>IF(SUM($B60:$B63)&lt;&gt;0,SUM(K60:K63)/SUM($B60:$B63)*$B59*10, "")</f>
        <v>1.0499999932944775</v>
      </c>
      <c r="L59" s="58"/>
      <c r="M59" s="58">
        <f>IF(SUM($B60:$B63)&lt;&gt;0,SUM(M60:M63)/SUM($B60:$B63)*$B59*10, "")</f>
        <v>0.30000000726431608</v>
      </c>
      <c r="N59" s="58"/>
      <c r="O59" s="58">
        <f>IF(SUM($B60:$B63)&lt;&gt;0,SUM(O60:O63)/SUM($B60:$B63)*$B59*10, "")</f>
        <v>0.78750002011656761</v>
      </c>
      <c r="P59" s="58"/>
      <c r="Q59" s="58">
        <f>IF(SUM($B60:$B63)&lt;&gt;0,SUM(Q60:Q63)/SUM($B60:$B63)*$B59*10, "")</f>
        <v>0.52500001341104507</v>
      </c>
      <c r="R59" s="58"/>
      <c r="S59" s="58">
        <f>IF(SUM($B60:$B63)&lt;&gt;0,SUM(S60:S63)/SUM($B60:$B63)*$B59*10, "")</f>
        <v>0.63750001229345798</v>
      </c>
      <c r="T59" s="58"/>
      <c r="U59" s="58">
        <f>IF(SUM($B60:$B63)&lt;&gt;0,SUM(U60:U63)/SUM($B60:$B63)*$B59*10, "")</f>
        <v>0.52499999944120646</v>
      </c>
      <c r="V59" s="58"/>
      <c r="W59" s="58">
        <f>IF(SUM($B60:$B63)&lt;&gt;0,SUM(W60:W63)/SUM($B60:$B63)*$B59*10, "")</f>
        <v>0.97499999776482582</v>
      </c>
      <c r="X59" s="58"/>
      <c r="Y59" s="58">
        <f>IF(SUM($B60:$B63)&lt;&gt;0,SUM(Y60:Y63)/SUM($B60:$B63)*$B59*10, "")</f>
        <v>0.67500001005828381</v>
      </c>
      <c r="Z59" s="58"/>
      <c r="AA59" s="58">
        <f>IF(SUM($B60:$B63)&lt;&gt;0,SUM(AA60:AA63)/SUM($B60:$B63)*$B59*10, "")</f>
        <v>0.45000001229345798</v>
      </c>
      <c r="AB59" s="58"/>
      <c r="AC59" s="58">
        <f>IF(SUM($B60:$B63)&lt;&gt;0,SUM(AC60:AC63)/SUM($B60:$B63)*$B59*10, "")</f>
        <v>1.1249999776482582</v>
      </c>
      <c r="AD59" s="58"/>
      <c r="AE59" s="58">
        <f>IF(SUM($B60:$B63)&lt;&gt;0,SUM(AE60:AE63)/SUM($B60:$B63)*$B59*10, "")</f>
        <v>0.56250001955777407</v>
      </c>
      <c r="AF59" s="58"/>
      <c r="AG59" s="58">
        <f>IF(SUM($B60:$B63)&lt;&gt;0,SUM(AG60:AG63)/SUM($B60:$B63)*$B59*10, "")</f>
        <v>0.9375</v>
      </c>
      <c r="AH59" s="58"/>
      <c r="AI59" s="58">
        <f>IF(SUM($B60:$B63)&lt;&gt;0,SUM(AI60:AI63)/SUM($B60:$B63)*$B59*10, "")</f>
        <v>0.45000000670552254</v>
      </c>
      <c r="AJ59" s="58"/>
      <c r="AK59" s="58">
        <f>IF(SUM($B60:$B63)&lt;&gt;0,SUM(AK60:AK63)/SUM($B60:$B63)*$B59*10, "")</f>
        <v>0.89999999105930328</v>
      </c>
      <c r="AL59" s="58"/>
      <c r="AM59" s="58">
        <f>IF(SUM($B60:$B63)&lt;&gt;0,SUM(AM60:AM63)/SUM($B60:$B63)*$B59*10, "")</f>
        <v>0.45000000949949026</v>
      </c>
      <c r="AN59" s="58"/>
      <c r="AO59" s="58">
        <f>IF(SUM($B60:$B63)&lt;&gt;0,SUM(AO60:AO63)/SUM($B60:$B63)*$B59*10, "")</f>
        <v>0.78749999217689037</v>
      </c>
      <c r="AP59" s="58"/>
      <c r="AQ59" s="58">
        <f>IF(SUM($B60:$B63)&lt;&gt;0,SUM(AQ60:AQ63)/SUM($B60:$B63)*$B59*10, "")</f>
        <v>0.52500000782310963</v>
      </c>
      <c r="AR59" s="58"/>
      <c r="AS59" s="58">
        <f>IF(SUM($B60:$B63)&lt;&gt;0,SUM(AS60:AS63)/SUM($B60:$B63)*$B59*10, "")</f>
        <v>0.90000002458691597</v>
      </c>
      <c r="AT59" s="58"/>
      <c r="AU59" s="58">
        <f>IF(SUM($B60:$B63)&lt;&gt;0,SUM(AU60:AU63)/SUM($B60:$B63)*$B59*10, "")</f>
        <v>0.5625</v>
      </c>
      <c r="AV59" s="58"/>
      <c r="AW59" s="58">
        <f>IF(SUM($B60:$B63)&lt;&gt;0,SUM(AW60:AW63)/SUM($B60:$B63)*$B59*10, "")</f>
        <v>0.67499999888241291</v>
      </c>
      <c r="AX59" s="58"/>
      <c r="AY59" s="58">
        <f>IF(SUM($B60:$B63)&lt;&gt;0,SUM(AY60:AY63)/SUM($B60:$B63)*$B59*10, "")</f>
        <v>0.82499999273568392</v>
      </c>
      <c r="AZ59" s="58"/>
      <c r="BA59" s="58">
        <f>IF(SUM($B60:$B63)&lt;&gt;0,SUM(BA60:BA63)/SUM($B60:$B63)*$B59*10, "")</f>
        <v>0.82500000949949026</v>
      </c>
      <c r="BB59" s="58"/>
      <c r="BC59" s="58">
        <f>IF(SUM($B60:$B63)&lt;&gt;0,SUM(BC60:BC63)/SUM($B60:$B63)*$B59*10, "")</f>
        <v>0.86249999329447746</v>
      </c>
      <c r="BD59" s="58"/>
      <c r="BE59" s="58">
        <f>IF(SUM($B60:$B63)&lt;&gt;0,SUM(BE60:BE63)/SUM($B60:$B63)*$B59*10, "")</f>
        <v>0.63750000111758698</v>
      </c>
      <c r="BF59" s="58"/>
      <c r="BG59" s="58">
        <f>IF(SUM($B60:$B63)&lt;&gt;0,SUM(BG60:BG63)/SUM($B60:$B63)*$B59*10, "")</f>
        <v>0.78750001452863216</v>
      </c>
      <c r="BH59" s="58"/>
      <c r="BI59" s="58">
        <f>IF(SUM($B60:$B63)&lt;&gt;0,SUM(BI60:BI63)/SUM($B60:$B63)*$B59*10, "")</f>
        <v>0.56250001396983862</v>
      </c>
      <c r="BJ59" s="58"/>
    </row>
    <row r="60" spans="1:62" ht="28" x14ac:dyDescent="0.2">
      <c r="A60" s="2" t="s">
        <v>59</v>
      </c>
      <c r="B60" s="13">
        <f>Tercera!B60</f>
        <v>2.5</v>
      </c>
      <c r="C60" s="31">
        <f>Tercera!C60</f>
        <v>0</v>
      </c>
      <c r="D60" s="32">
        <f>IF($B60,C60/$B60,-1)</f>
        <v>0</v>
      </c>
      <c r="E60" s="31">
        <f>Tercera!E60</f>
        <v>0.75000002980232239</v>
      </c>
      <c r="F60" s="32">
        <f>IF($B60,E60/$B60,-1)</f>
        <v>0.30000001192092896</v>
      </c>
      <c r="G60" s="31">
        <f>Tercera!G60</f>
        <v>2.5</v>
      </c>
      <c r="H60" s="32">
        <f>IF($B60,G60/$B60,-1)</f>
        <v>1</v>
      </c>
      <c r="I60" s="31">
        <f>Tercera!I60</f>
        <v>0.75000002980232239</v>
      </c>
      <c r="J60" s="32">
        <f>IF($B60,I60/$B60,-1)</f>
        <v>0.30000001192092896</v>
      </c>
      <c r="K60" s="31">
        <f>Tercera!K60</f>
        <v>1.7499999701976776</v>
      </c>
      <c r="L60" s="32">
        <f>IF($B60,K60/$B60,-1)</f>
        <v>0.69999998807907104</v>
      </c>
      <c r="M60" s="31">
        <f>Tercera!M60</f>
        <v>0.75000002980232239</v>
      </c>
      <c r="N60" s="32">
        <f>IF($B60,M60/$B60,-1)</f>
        <v>0.30000001192092896</v>
      </c>
      <c r="O60" s="31">
        <f>Tercera!O60</f>
        <v>1.0000000149011612</v>
      </c>
      <c r="P60" s="32">
        <f>IF($B60,O60/$B60,-1)</f>
        <v>0.40000000596046448</v>
      </c>
      <c r="Q60" s="31">
        <f>Tercera!Q60</f>
        <v>0.75000002980232239</v>
      </c>
      <c r="R60" s="32">
        <f>IF($B60,Q60/$B60,-1)</f>
        <v>0.30000001192092896</v>
      </c>
      <c r="S60" s="31">
        <f>Tercera!S60</f>
        <v>0.5000000074505806</v>
      </c>
      <c r="T60" s="32">
        <f>IF($B60,S60/$B60,-1)</f>
        <v>0.20000000298023224</v>
      </c>
      <c r="U60" s="31">
        <f>Tercera!U60</f>
        <v>0.5000000074505806</v>
      </c>
      <c r="V60" s="32">
        <f>IF($B60,U60/$B60,-1)</f>
        <v>0.20000000298023224</v>
      </c>
      <c r="W60" s="31">
        <f>Tercera!W60</f>
        <v>1.0000000149011612</v>
      </c>
      <c r="X60" s="32">
        <f>IF($B60,W60/$B60,-1)</f>
        <v>0.40000000596046448</v>
      </c>
      <c r="Y60" s="31">
        <f>Tercera!Y60</f>
        <v>1.5000000596046448</v>
      </c>
      <c r="Z60" s="32">
        <f>IF($B60,Y60/$B60,-1)</f>
        <v>0.60000002384185791</v>
      </c>
      <c r="AA60" s="31">
        <f>Tercera!AA60</f>
        <v>0.5000000074505806</v>
      </c>
      <c r="AB60" s="32">
        <f>IF($B60,AA60/$B60,-1)</f>
        <v>0.20000000298023224</v>
      </c>
      <c r="AC60" s="31">
        <f>Tercera!AC60</f>
        <v>1.7499999701976776</v>
      </c>
      <c r="AD60" s="32">
        <f>IF($B60,AC60/$B60,-1)</f>
        <v>0.69999998807907104</v>
      </c>
      <c r="AE60" s="31">
        <f>Tercera!AE60</f>
        <v>1.5000000596046448</v>
      </c>
      <c r="AF60" s="32">
        <f>IF($B60,AE60/$B60,-1)</f>
        <v>0.60000002384185791</v>
      </c>
      <c r="AG60" s="31">
        <f>Tercera!AG60</f>
        <v>1.5000000596046448</v>
      </c>
      <c r="AH60" s="32">
        <f>IF($B60,AG60/$B60,-1)</f>
        <v>0.60000002384185791</v>
      </c>
      <c r="AI60" s="31">
        <f>Tercera!AI60</f>
        <v>0</v>
      </c>
      <c r="AJ60" s="32">
        <f>IF($B60,AI60/$B60,-1)</f>
        <v>0</v>
      </c>
      <c r="AK60" s="31">
        <f>Tercera!AK60</f>
        <v>0</v>
      </c>
      <c r="AL60" s="32">
        <f>IF($B60,AK60/$B60,-1)</f>
        <v>0</v>
      </c>
      <c r="AM60" s="31">
        <f>Tercera!AM60</f>
        <v>0.2500000037252903</v>
      </c>
      <c r="AN60" s="32">
        <f>IF($B60,AM60/$B60,-1)</f>
        <v>0.10000000149011612</v>
      </c>
      <c r="AO60" s="31">
        <f>Tercera!AO60</f>
        <v>0.5000000074505806</v>
      </c>
      <c r="AP60" s="32">
        <f>IF($B60,AO60/$B60,-1)</f>
        <v>0.20000000298023224</v>
      </c>
      <c r="AQ60" s="31">
        <f>Tercera!AQ60</f>
        <v>1.0000000149011612</v>
      </c>
      <c r="AR60" s="32">
        <f>IF($B60,AQ60/$B60,-1)</f>
        <v>0.40000000596046448</v>
      </c>
      <c r="AS60" s="31">
        <f>Tercera!AS60</f>
        <v>1.5000000596046448</v>
      </c>
      <c r="AT60" s="32">
        <f>IF($B60,AS60/$B60,-1)</f>
        <v>0.60000002384185791</v>
      </c>
      <c r="AU60" s="31">
        <f>Tercera!AU60</f>
        <v>0.75000002980232239</v>
      </c>
      <c r="AV60" s="32">
        <f>IF($B60,AU60/$B60,-1)</f>
        <v>0.30000001192092896</v>
      </c>
      <c r="AW60" s="31">
        <f>Tercera!AW60</f>
        <v>2.2499999403953552</v>
      </c>
      <c r="AX60" s="32">
        <f>IF($B60,AW60/$B60,-1)</f>
        <v>0.89999997615814209</v>
      </c>
      <c r="AY60" s="31">
        <f>Tercera!AY60</f>
        <v>2.2499999403953552</v>
      </c>
      <c r="AZ60" s="32">
        <f>IF($B60,AY60/$B60,-1)</f>
        <v>0.89999997615814209</v>
      </c>
      <c r="BA60" s="31">
        <f>Tercera!BA60</f>
        <v>1.25</v>
      </c>
      <c r="BB60" s="32">
        <f>IF($B60,BA60/$B60,-1)</f>
        <v>0.5</v>
      </c>
      <c r="BC60" s="31">
        <f>Tercera!BC60</f>
        <v>1.0000000149011612</v>
      </c>
      <c r="BD60" s="32">
        <f>IF($B60,BC60/$B60,-1)</f>
        <v>0.40000000596046448</v>
      </c>
      <c r="BE60" s="31">
        <f>Tercera!BE60</f>
        <v>0</v>
      </c>
      <c r="BF60" s="32">
        <f>IF($B60,BE60/$B60,-1)</f>
        <v>0</v>
      </c>
      <c r="BG60" s="31">
        <f>Tercera!BG60</f>
        <v>0.5000000074505806</v>
      </c>
      <c r="BH60" s="32">
        <f>IF($B60,BG60/$B60,-1)</f>
        <v>0.20000000298023224</v>
      </c>
      <c r="BI60" s="31">
        <f>Tercera!BI60</f>
        <v>0.2500000037252903</v>
      </c>
      <c r="BJ60" s="32">
        <f>IF($B60,BI60/$B60,-1)</f>
        <v>0.10000000149011612</v>
      </c>
    </row>
    <row r="61" spans="1:62" ht="70" x14ac:dyDescent="0.2">
      <c r="A61" s="2" t="s">
        <v>60</v>
      </c>
      <c r="B61" s="13">
        <f>Tercera!B61</f>
        <v>2.5</v>
      </c>
      <c r="C61" s="31">
        <f>Tercera!C61</f>
        <v>1.7499999701976776</v>
      </c>
      <c r="D61" s="32">
        <f>IF($B61,C61/$B61,-1)</f>
        <v>0.69999998807907104</v>
      </c>
      <c r="E61" s="31">
        <f>Tercera!E61</f>
        <v>2.5</v>
      </c>
      <c r="F61" s="32">
        <f>IF($B61,E61/$B61,-1)</f>
        <v>1</v>
      </c>
      <c r="G61" s="31">
        <f>Tercera!G61</f>
        <v>0.75000002980232239</v>
      </c>
      <c r="H61" s="32">
        <f>IF($B61,G61/$B61,-1)</f>
        <v>0.30000001192092896</v>
      </c>
      <c r="I61" s="31">
        <f>Tercera!I61</f>
        <v>0.5000000074505806</v>
      </c>
      <c r="J61" s="32">
        <f>IF($B61,I61/$B61,-1)</f>
        <v>0.20000000298023224</v>
      </c>
      <c r="K61" s="31">
        <f>Tercera!K61</f>
        <v>2.2499999403953552</v>
      </c>
      <c r="L61" s="32">
        <f>IF($B61,K61/$B61,-1)</f>
        <v>0.89999997615814209</v>
      </c>
      <c r="M61" s="31">
        <f>Tercera!M61</f>
        <v>0.2500000037252903</v>
      </c>
      <c r="N61" s="32">
        <f>IF($B61,M61/$B61,-1)</f>
        <v>0.10000000149011612</v>
      </c>
      <c r="O61" s="31">
        <f>Tercera!O61</f>
        <v>1.5000000596046448</v>
      </c>
      <c r="P61" s="32">
        <f>IF($B61,O61/$B61,-1)</f>
        <v>0.60000002384185791</v>
      </c>
      <c r="Q61" s="31">
        <f>Tercera!Q61</f>
        <v>1.5000000596046448</v>
      </c>
      <c r="R61" s="32">
        <f>IF($B61,Q61/$B61,-1)</f>
        <v>0.60000002384185791</v>
      </c>
      <c r="S61" s="31">
        <f>Tercera!S61</f>
        <v>1.5000000596046448</v>
      </c>
      <c r="T61" s="32">
        <f>IF($B61,S61/$B61,-1)</f>
        <v>0.60000002384185791</v>
      </c>
      <c r="U61" s="31">
        <f>Tercera!U61</f>
        <v>1.7499999701976776</v>
      </c>
      <c r="V61" s="32">
        <f>IF($B61,U61/$B61,-1)</f>
        <v>0.69999998807907104</v>
      </c>
      <c r="W61" s="31">
        <f>Tercera!W61</f>
        <v>2.2499999403953552</v>
      </c>
      <c r="X61" s="32">
        <f>IF($B61,W61/$B61,-1)</f>
        <v>0.89999997615814209</v>
      </c>
      <c r="Y61" s="31">
        <f>Tercera!Y61</f>
        <v>0.2500000037252903</v>
      </c>
      <c r="Z61" s="32">
        <f>IF($B61,Y61/$B61,-1)</f>
        <v>0.10000000149011612</v>
      </c>
      <c r="AA61" s="31">
        <f>Tercera!AA61</f>
        <v>1.0000000149011612</v>
      </c>
      <c r="AB61" s="32">
        <f>IF($B61,AA61/$B61,-1)</f>
        <v>0.40000000596046448</v>
      </c>
      <c r="AC61" s="31">
        <f>Tercera!AC61</f>
        <v>2.2499999403953552</v>
      </c>
      <c r="AD61" s="32">
        <f>IF($B61,AC61/$B61,-1)</f>
        <v>0.89999997615814209</v>
      </c>
      <c r="AE61" s="31">
        <f>Tercera!AE61</f>
        <v>0.5000000074505806</v>
      </c>
      <c r="AF61" s="32">
        <f>IF($B61,AE61/$B61,-1)</f>
        <v>0.20000000298023224</v>
      </c>
      <c r="AG61" s="31">
        <f>Tercera!AG61</f>
        <v>1.7499999701976776</v>
      </c>
      <c r="AH61" s="32">
        <f>IF($B61,AG61/$B61,-1)</f>
        <v>0.69999998807907104</v>
      </c>
      <c r="AI61" s="31">
        <f>Tercera!AI61</f>
        <v>1.0000000149011612</v>
      </c>
      <c r="AJ61" s="32">
        <f>IF($B61,AI61/$B61,-1)</f>
        <v>0.40000000596046448</v>
      </c>
      <c r="AK61" s="31">
        <f>Tercera!AK61</f>
        <v>2.2499999403953552</v>
      </c>
      <c r="AL61" s="32">
        <f>IF($B61,AK61/$B61,-1)</f>
        <v>0.89999997615814209</v>
      </c>
      <c r="AM61" s="31">
        <f>Tercera!AM61</f>
        <v>1.0000000149011612</v>
      </c>
      <c r="AN61" s="32">
        <f>IF($B61,AM61/$B61,-1)</f>
        <v>0.40000000596046448</v>
      </c>
      <c r="AO61" s="31">
        <f>Tercera!AO61</f>
        <v>2.2499999403953552</v>
      </c>
      <c r="AP61" s="32">
        <f>IF($B61,AO61/$B61,-1)</f>
        <v>0.89999997615814209</v>
      </c>
      <c r="AQ61" s="31">
        <f>Tercera!AQ61</f>
        <v>0.5000000074505806</v>
      </c>
      <c r="AR61" s="32">
        <f>IF($B61,AQ61/$B61,-1)</f>
        <v>0.20000000298023224</v>
      </c>
      <c r="AS61" s="31">
        <f>Tercera!AS61</f>
        <v>2.0000000298023224</v>
      </c>
      <c r="AT61" s="32">
        <f>IF($B61,AS61/$B61,-1)</f>
        <v>0.80000001192092896</v>
      </c>
      <c r="AU61" s="31">
        <f>Tercera!AU61</f>
        <v>2.2499999403953552</v>
      </c>
      <c r="AV61" s="32">
        <f>IF($B61,AU61/$B61,-1)</f>
        <v>0.89999997615814209</v>
      </c>
      <c r="AW61" s="31">
        <f>Tercera!AW61</f>
        <v>0.5000000074505806</v>
      </c>
      <c r="AX61" s="32">
        <f>IF($B61,AW61/$B61,-1)</f>
        <v>0.20000000298023224</v>
      </c>
      <c r="AY61" s="31">
        <f>Tercera!AY61</f>
        <v>2.5</v>
      </c>
      <c r="AZ61" s="32">
        <f>IF($B61,AY61/$B61,-1)</f>
        <v>1</v>
      </c>
      <c r="BA61" s="31">
        <f>Tercera!BA61</f>
        <v>2.5</v>
      </c>
      <c r="BB61" s="32">
        <f>IF($B61,BA61/$B61,-1)</f>
        <v>1</v>
      </c>
      <c r="BC61" s="31">
        <f>Tercera!BC61</f>
        <v>2.2499999403953552</v>
      </c>
      <c r="BD61" s="32">
        <f>IF($B61,BC61/$B61,-1)</f>
        <v>0.89999997615814209</v>
      </c>
      <c r="BE61" s="31">
        <f>Tercera!BE61</f>
        <v>1.25</v>
      </c>
      <c r="BF61" s="32">
        <f>IF($B61,BE61/$B61,-1)</f>
        <v>0.5</v>
      </c>
      <c r="BG61" s="31">
        <f>Tercera!BG61</f>
        <v>1.7499999701976776</v>
      </c>
      <c r="BH61" s="32">
        <f>IF($B61,BG61/$B61,-1)</f>
        <v>0.69999998807907104</v>
      </c>
      <c r="BI61" s="31">
        <f>Tercera!BI61</f>
        <v>1.25</v>
      </c>
      <c r="BJ61" s="32">
        <f>IF($B61,BI61/$B61,-1)</f>
        <v>0.5</v>
      </c>
    </row>
    <row r="62" spans="1:62" ht="56" x14ac:dyDescent="0.2">
      <c r="A62" s="2" t="s">
        <v>61</v>
      </c>
      <c r="B62" s="13">
        <f>Tercera!B62</f>
        <v>2.5</v>
      </c>
      <c r="C62" s="31">
        <f>Tercera!C62</f>
        <v>0.2500000037252903</v>
      </c>
      <c r="D62" s="32">
        <f>IF($B62,C62/$B62,-1)</f>
        <v>0.10000000149011612</v>
      </c>
      <c r="E62" s="31">
        <f>Tercera!E62</f>
        <v>1.7499999701976776</v>
      </c>
      <c r="F62" s="32">
        <f>IF($B62,E62/$B62,-1)</f>
        <v>0.69999998807907104</v>
      </c>
      <c r="G62" s="31">
        <f>Tercera!G62</f>
        <v>1.5000000596046448</v>
      </c>
      <c r="H62" s="32">
        <f>IF($B62,G62/$B62,-1)</f>
        <v>0.60000002384185791</v>
      </c>
      <c r="I62" s="31">
        <f>Tercera!I62</f>
        <v>2.2499999403953552</v>
      </c>
      <c r="J62" s="32">
        <f>IF($B62,I62/$B62,-1)</f>
        <v>0.89999997615814209</v>
      </c>
      <c r="K62" s="31">
        <f>Tercera!K62</f>
        <v>1.0000000149011612</v>
      </c>
      <c r="L62" s="32">
        <f>IF($B62,K62/$B62,-1)</f>
        <v>0.40000000596046448</v>
      </c>
      <c r="M62" s="31">
        <f>Tercera!M62</f>
        <v>0</v>
      </c>
      <c r="N62" s="32">
        <f>IF($B62,M62/$B62,-1)</f>
        <v>0</v>
      </c>
      <c r="O62" s="31">
        <f>Tercera!O62</f>
        <v>1.25</v>
      </c>
      <c r="P62" s="32">
        <f>IF($B62,O62/$B62,-1)</f>
        <v>0.5</v>
      </c>
      <c r="Q62" s="31">
        <f>Tercera!Q62</f>
        <v>0</v>
      </c>
      <c r="R62" s="32">
        <f>IF($B62,Q62/$B62,-1)</f>
        <v>0</v>
      </c>
      <c r="S62" s="31">
        <f>Tercera!S62</f>
        <v>1.0000000149011612</v>
      </c>
      <c r="T62" s="32">
        <f>IF($B62,S62/$B62,-1)</f>
        <v>0.40000000596046448</v>
      </c>
      <c r="U62" s="31">
        <f>Tercera!U62</f>
        <v>1.0000000149011612</v>
      </c>
      <c r="V62" s="32">
        <f>IF($B62,U62/$B62,-1)</f>
        <v>0.40000000596046448</v>
      </c>
      <c r="W62" s="31">
        <f>Tercera!W62</f>
        <v>0.75000002980232239</v>
      </c>
      <c r="X62" s="32">
        <f>IF($B62,W62/$B62,-1)</f>
        <v>0.30000001192092896</v>
      </c>
      <c r="Y62" s="31">
        <f>Tercera!Y62</f>
        <v>2.5</v>
      </c>
      <c r="Z62" s="32">
        <f>IF($B62,Y62/$B62,-1)</f>
        <v>1</v>
      </c>
      <c r="AA62" s="31">
        <f>Tercera!AA62</f>
        <v>0</v>
      </c>
      <c r="AB62" s="32">
        <f>IF($B62,AA62/$B62,-1)</f>
        <v>0</v>
      </c>
      <c r="AC62" s="31">
        <f>Tercera!AC62</f>
        <v>1.7499999701976776</v>
      </c>
      <c r="AD62" s="32">
        <f>IF($B62,AC62/$B62,-1)</f>
        <v>0.69999998807907104</v>
      </c>
      <c r="AE62" s="31">
        <f>Tercera!AE62</f>
        <v>1.5000000596046448</v>
      </c>
      <c r="AF62" s="32">
        <f>IF($B62,AE62/$B62,-1)</f>
        <v>0.60000002384185791</v>
      </c>
      <c r="AG62" s="31">
        <f>Tercera!AG62</f>
        <v>1.25</v>
      </c>
      <c r="AH62" s="32">
        <f>IF($B62,AG62/$B62,-1)</f>
        <v>0.5</v>
      </c>
      <c r="AI62" s="31">
        <f>Tercera!AI62</f>
        <v>0</v>
      </c>
      <c r="AJ62" s="32">
        <f>IF($B62,AI62/$B62,-1)</f>
        <v>0</v>
      </c>
      <c r="AK62" s="31">
        <f>Tercera!AK62</f>
        <v>1.7499999701976776</v>
      </c>
      <c r="AL62" s="32">
        <f>IF($B62,AK62/$B62,-1)</f>
        <v>0.69999998807907104</v>
      </c>
      <c r="AM62" s="31">
        <f>Tercera!AM62</f>
        <v>0.75000002980232239</v>
      </c>
      <c r="AN62" s="32">
        <f>IF($B62,AM62/$B62,-1)</f>
        <v>0.30000001192092896</v>
      </c>
      <c r="AO62" s="31">
        <f>Tercera!AO62</f>
        <v>2.5</v>
      </c>
      <c r="AP62" s="32">
        <f>IF($B62,AO62/$B62,-1)</f>
        <v>1</v>
      </c>
      <c r="AQ62" s="31">
        <f>Tercera!AQ62</f>
        <v>0.75000002980232239</v>
      </c>
      <c r="AR62" s="32">
        <f>IF($B62,AQ62/$B62,-1)</f>
        <v>0.30000001192092896</v>
      </c>
      <c r="AS62" s="31">
        <f>Tercera!AS62</f>
        <v>1.0000000149011612</v>
      </c>
      <c r="AT62" s="32">
        <f>IF($B62,AS62/$B62,-1)</f>
        <v>0.40000000596046448</v>
      </c>
      <c r="AU62" s="31">
        <f>Tercera!AU62</f>
        <v>0.75000002980232239</v>
      </c>
      <c r="AV62" s="32">
        <f>IF($B62,AU62/$B62,-1)</f>
        <v>0.30000001192092896</v>
      </c>
      <c r="AW62" s="31">
        <f>Tercera!AW62</f>
        <v>0.75000002980232239</v>
      </c>
      <c r="AX62" s="32">
        <f>IF($B62,AW62/$B62,-1)</f>
        <v>0.30000001192092896</v>
      </c>
      <c r="AY62" s="31">
        <f>Tercera!AY62</f>
        <v>0.5000000074505806</v>
      </c>
      <c r="AZ62" s="32">
        <f>IF($B62,AY62/$B62,-1)</f>
        <v>0.20000000298023224</v>
      </c>
      <c r="BA62" s="31">
        <f>Tercera!BA62</f>
        <v>1.5000000596046448</v>
      </c>
      <c r="BB62" s="32">
        <f>IF($B62,BA62/$B62,-1)</f>
        <v>0.60000002384185791</v>
      </c>
      <c r="BC62" s="31">
        <f>Tercera!BC62</f>
        <v>1.7499999701976776</v>
      </c>
      <c r="BD62" s="32">
        <f>IF($B62,BC62/$B62,-1)</f>
        <v>0.69999998807907104</v>
      </c>
      <c r="BE62" s="31">
        <f>Tercera!BE62</f>
        <v>0.5000000074505806</v>
      </c>
      <c r="BF62" s="32">
        <f>IF($B62,BE62/$B62,-1)</f>
        <v>0.20000000298023224</v>
      </c>
      <c r="BG62" s="31">
        <f>Tercera!BG62</f>
        <v>1.5000000596046448</v>
      </c>
      <c r="BH62" s="32">
        <f>IF($B62,BG62/$B62,-1)</f>
        <v>0.60000002384185791</v>
      </c>
      <c r="BI62" s="31">
        <f>Tercera!BI62</f>
        <v>1.5000000596046448</v>
      </c>
      <c r="BJ62" s="32">
        <f>IF($B62,BI62/$B62,-1)</f>
        <v>0.60000002384185791</v>
      </c>
    </row>
    <row r="63" spans="1:62" ht="42" x14ac:dyDescent="0.2">
      <c r="A63" s="2" t="s">
        <v>62</v>
      </c>
      <c r="B63" s="13">
        <f>Tercera!B63</f>
        <v>2.5</v>
      </c>
      <c r="C63" s="31">
        <f>Tercera!C63</f>
        <v>2.5</v>
      </c>
      <c r="D63" s="32">
        <f>IF($B63,C63/$B63,-1)</f>
        <v>1</v>
      </c>
      <c r="E63" s="31">
        <f>Tercera!E63</f>
        <v>2.5</v>
      </c>
      <c r="F63" s="32">
        <f>IF($B63,E63/$B63,-1)</f>
        <v>1</v>
      </c>
      <c r="G63" s="31">
        <f>Tercera!G63</f>
        <v>0.5000000074505806</v>
      </c>
      <c r="H63" s="32">
        <f>IF($B63,G63/$B63,-1)</f>
        <v>0.20000000298023224</v>
      </c>
      <c r="I63" s="31">
        <f>Tercera!I63</f>
        <v>2.0000000298023224</v>
      </c>
      <c r="J63" s="32">
        <f>IF($B63,I63/$B63,-1)</f>
        <v>0.80000001192092896</v>
      </c>
      <c r="K63" s="31">
        <f>Tercera!K63</f>
        <v>2.0000000298023224</v>
      </c>
      <c r="L63" s="32">
        <f>IF($B63,K63/$B63,-1)</f>
        <v>0.80000001192092896</v>
      </c>
      <c r="M63" s="31">
        <f>Tercera!M63</f>
        <v>1.0000000149011612</v>
      </c>
      <c r="N63" s="32">
        <f>IF($B63,M63/$B63,-1)</f>
        <v>0.40000000596046448</v>
      </c>
      <c r="O63" s="31">
        <f>Tercera!O63</f>
        <v>1.5000000596046448</v>
      </c>
      <c r="P63" s="32">
        <f>IF($B63,O63/$B63,-1)</f>
        <v>0.60000002384185791</v>
      </c>
      <c r="Q63" s="31">
        <f>Tercera!Q63</f>
        <v>1.25</v>
      </c>
      <c r="R63" s="32">
        <f>IF($B63,Q63/$B63,-1)</f>
        <v>0.5</v>
      </c>
      <c r="S63" s="31">
        <f>Tercera!S63</f>
        <v>1.25</v>
      </c>
      <c r="T63" s="32">
        <f>IF($B63,S63/$B63,-1)</f>
        <v>0.5</v>
      </c>
      <c r="U63" s="31">
        <f>Tercera!U63</f>
        <v>0.2500000037252903</v>
      </c>
      <c r="V63" s="32">
        <f>IF($B63,U63/$B63,-1)</f>
        <v>0.10000000149011612</v>
      </c>
      <c r="W63" s="31">
        <f>Tercera!W63</f>
        <v>2.5</v>
      </c>
      <c r="X63" s="32">
        <f>IF($B63,W63/$B63,-1)</f>
        <v>1</v>
      </c>
      <c r="Y63" s="31">
        <f>Tercera!Y63</f>
        <v>0.2500000037252903</v>
      </c>
      <c r="Z63" s="32">
        <f>IF($B63,Y63/$B63,-1)</f>
        <v>0.10000000149011612</v>
      </c>
      <c r="AA63" s="31">
        <f>Tercera!AA63</f>
        <v>1.5000000596046448</v>
      </c>
      <c r="AB63" s="32">
        <f>IF($B63,AA63/$B63,-1)</f>
        <v>0.60000002384185791</v>
      </c>
      <c r="AC63" s="31">
        <f>Tercera!AC63</f>
        <v>1.7499999701976776</v>
      </c>
      <c r="AD63" s="32">
        <f>IF($B63,AC63/$B63,-1)</f>
        <v>0.69999998807907104</v>
      </c>
      <c r="AE63" s="31">
        <f>Tercera!AE63</f>
        <v>0.2500000037252903</v>
      </c>
      <c r="AF63" s="32">
        <f>IF($B63,AE63/$B63,-1)</f>
        <v>0.10000000149011612</v>
      </c>
      <c r="AG63" s="31">
        <f>Tercera!AG63</f>
        <v>1.7499999701976776</v>
      </c>
      <c r="AH63" s="32">
        <f>IF($B63,AG63/$B63,-1)</f>
        <v>0.69999998807907104</v>
      </c>
      <c r="AI63" s="31">
        <f>Tercera!AI63</f>
        <v>2.0000000298023224</v>
      </c>
      <c r="AJ63" s="32">
        <f>IF($B63,AI63/$B63,-1)</f>
        <v>0.80000001192092896</v>
      </c>
      <c r="AK63" s="31">
        <f>Tercera!AK63</f>
        <v>2.0000000298023224</v>
      </c>
      <c r="AL63" s="32">
        <f>IF($B63,AK63/$B63,-1)</f>
        <v>0.80000001192092896</v>
      </c>
      <c r="AM63" s="31">
        <f>Tercera!AM63</f>
        <v>1.0000000149011612</v>
      </c>
      <c r="AN63" s="32">
        <f>IF($B63,AM63/$B63,-1)</f>
        <v>0.40000000596046448</v>
      </c>
      <c r="AO63" s="31">
        <f>Tercera!AO63</f>
        <v>0</v>
      </c>
      <c r="AP63" s="32">
        <f>IF($B63,AO63/$B63,-1)</f>
        <v>0</v>
      </c>
      <c r="AQ63" s="31">
        <f>Tercera!AQ63</f>
        <v>1.25</v>
      </c>
      <c r="AR63" s="32">
        <f>IF($B63,AQ63/$B63,-1)</f>
        <v>0.5</v>
      </c>
      <c r="AS63" s="31">
        <f>Tercera!AS63</f>
        <v>1.5000000596046448</v>
      </c>
      <c r="AT63" s="32">
        <f>IF($B63,AS63/$B63,-1)</f>
        <v>0.60000002384185791</v>
      </c>
      <c r="AU63" s="31">
        <f>Tercera!AU63</f>
        <v>0</v>
      </c>
      <c r="AV63" s="32">
        <f>IF($B63,AU63/$B63,-1)</f>
        <v>0</v>
      </c>
      <c r="AW63" s="31">
        <f>Tercera!AW63</f>
        <v>1.0000000149011612</v>
      </c>
      <c r="AX63" s="32">
        <f>IF($B63,AW63/$B63,-1)</f>
        <v>0.40000000596046448</v>
      </c>
      <c r="AY63" s="31">
        <f>Tercera!AY63</f>
        <v>0.2500000037252903</v>
      </c>
      <c r="AZ63" s="32">
        <f>IF($B63,AY63/$B63,-1)</f>
        <v>0.10000000149011612</v>
      </c>
      <c r="BA63" s="31">
        <f>Tercera!BA63</f>
        <v>0.2500000037252903</v>
      </c>
      <c r="BB63" s="32">
        <f>IF($B63,BA63/$B63,-1)</f>
        <v>0.10000000149011612</v>
      </c>
      <c r="BC63" s="31">
        <f>Tercera!BC63</f>
        <v>0.75000002980232239</v>
      </c>
      <c r="BD63" s="32">
        <f>IF($B63,BC63/$B63,-1)</f>
        <v>0.30000001192092896</v>
      </c>
      <c r="BE63" s="31">
        <f>Tercera!BE63</f>
        <v>2.5</v>
      </c>
      <c r="BF63" s="32">
        <f>IF($B63,BE63/$B63,-1)</f>
        <v>1</v>
      </c>
      <c r="BG63" s="31">
        <f>Tercera!BG63</f>
        <v>1.5000000596046448</v>
      </c>
      <c r="BH63" s="32">
        <f>IF($B63,BG63/$B63,-1)</f>
        <v>0.60000002384185791</v>
      </c>
      <c r="BI63" s="31">
        <f>Tercera!BI63</f>
        <v>0.75000002980232239</v>
      </c>
      <c r="BJ63" s="32">
        <f>IF($B63,BI63/$B63,-1)</f>
        <v>0.30000001192092896</v>
      </c>
    </row>
    <row r="64" spans="1:62" ht="38" x14ac:dyDescent="0.2">
      <c r="A64" s="6" t="s">
        <v>7</v>
      </c>
      <c r="B64" s="7">
        <f>Estructura!D7</f>
        <v>0.1</v>
      </c>
      <c r="C64" s="58" t="str">
        <f>IF(SUM($B65:$B85)&lt;&gt;0,SUM(C65:C85)/SUM($B65:$B85)*$B64*10, "")</f>
        <v/>
      </c>
      <c r="D64" s="58"/>
      <c r="E64" s="58" t="str">
        <f>IF(SUM($B65:$B85)&lt;&gt;0,SUM(E65:E85)/SUM($B65:$B85)*$B64*10, "")</f>
        <v/>
      </c>
      <c r="F64" s="58"/>
      <c r="G64" s="58" t="str">
        <f>IF(SUM($B65:$B85)&lt;&gt;0,SUM(G65:G85)/SUM($B65:$B85)*$B64*10, "")</f>
        <v/>
      </c>
      <c r="H64" s="58"/>
      <c r="I64" s="58" t="str">
        <f>IF(SUM($B65:$B85)&lt;&gt;0,SUM(I65:I85)/SUM($B65:$B85)*$B64*10, "")</f>
        <v/>
      </c>
      <c r="J64" s="58"/>
      <c r="K64" s="58" t="str">
        <f>IF(SUM($B65:$B85)&lt;&gt;0,SUM(K65:K85)/SUM($B65:$B85)*$B64*10, "")</f>
        <v/>
      </c>
      <c r="L64" s="58"/>
      <c r="M64" s="58" t="str">
        <f>IF(SUM($B65:$B85)&lt;&gt;0,SUM(M65:M85)/SUM($B65:$B85)*$B64*10, "")</f>
        <v/>
      </c>
      <c r="N64" s="58"/>
      <c r="O64" s="58" t="str">
        <f>IF(SUM($B65:$B85)&lt;&gt;0,SUM(O65:O85)/SUM($B65:$B85)*$B64*10, "")</f>
        <v/>
      </c>
      <c r="P64" s="58"/>
      <c r="Q64" s="58" t="str">
        <f>IF(SUM($B65:$B85)&lt;&gt;0,SUM(Q65:Q85)/SUM($B65:$B85)*$B64*10, "")</f>
        <v/>
      </c>
      <c r="R64" s="58"/>
      <c r="S64" s="58" t="str">
        <f>IF(SUM($B65:$B85)&lt;&gt;0,SUM(S65:S85)/SUM($B65:$B85)*$B64*10, "")</f>
        <v/>
      </c>
      <c r="T64" s="58"/>
      <c r="U64" s="58" t="str">
        <f>IF(SUM($B65:$B85)&lt;&gt;0,SUM(U65:U85)/SUM($B65:$B85)*$B64*10, "")</f>
        <v/>
      </c>
      <c r="V64" s="58"/>
      <c r="W64" s="58" t="str">
        <f>IF(SUM($B65:$B85)&lt;&gt;0,SUM(W65:W85)/SUM($B65:$B85)*$B64*10, "")</f>
        <v/>
      </c>
      <c r="X64" s="58"/>
      <c r="Y64" s="58" t="str">
        <f>IF(SUM($B65:$B85)&lt;&gt;0,SUM(Y65:Y85)/SUM($B65:$B85)*$B64*10, "")</f>
        <v/>
      </c>
      <c r="Z64" s="58"/>
      <c r="AA64" s="58" t="str">
        <f>IF(SUM($B65:$B85)&lt;&gt;0,SUM(AA65:AA85)/SUM($B65:$B85)*$B64*10, "")</f>
        <v/>
      </c>
      <c r="AB64" s="58"/>
      <c r="AC64" s="58" t="str">
        <f>IF(SUM($B65:$B85)&lt;&gt;0,SUM(AC65:AC85)/SUM($B65:$B85)*$B64*10, "")</f>
        <v/>
      </c>
      <c r="AD64" s="58"/>
      <c r="AE64" s="58" t="str">
        <f>IF(SUM($B65:$B85)&lt;&gt;0,SUM(AE65:AE85)/SUM($B65:$B85)*$B64*10, "")</f>
        <v/>
      </c>
      <c r="AF64" s="58"/>
      <c r="AG64" s="58" t="str">
        <f>IF(SUM($B65:$B85)&lt;&gt;0,SUM(AG65:AG85)/SUM($B65:$B85)*$B64*10, "")</f>
        <v/>
      </c>
      <c r="AH64" s="58"/>
      <c r="AI64" s="58" t="str">
        <f>IF(SUM($B65:$B85)&lt;&gt;0,SUM(AI65:AI85)/SUM($B65:$B85)*$B64*10, "")</f>
        <v/>
      </c>
      <c r="AJ64" s="58"/>
      <c r="AK64" s="58" t="str">
        <f>IF(SUM($B65:$B85)&lt;&gt;0,SUM(AK65:AK85)/SUM($B65:$B85)*$B64*10, "")</f>
        <v/>
      </c>
      <c r="AL64" s="58"/>
      <c r="AM64" s="58" t="str">
        <f>IF(SUM($B65:$B85)&lt;&gt;0,SUM(AM65:AM85)/SUM($B65:$B85)*$B64*10, "")</f>
        <v/>
      </c>
      <c r="AN64" s="58"/>
      <c r="AO64" s="58" t="str">
        <f>IF(SUM($B65:$B85)&lt;&gt;0,SUM(AO65:AO85)/SUM($B65:$B85)*$B64*10, "")</f>
        <v/>
      </c>
      <c r="AP64" s="58"/>
      <c r="AQ64" s="58" t="str">
        <f>IF(SUM($B65:$B85)&lt;&gt;0,SUM(AQ65:AQ85)/SUM($B65:$B85)*$B64*10, "")</f>
        <v/>
      </c>
      <c r="AR64" s="58"/>
      <c r="AS64" s="58" t="str">
        <f>IF(SUM($B65:$B85)&lt;&gt;0,SUM(AS65:AS85)/SUM($B65:$B85)*$B64*10, "")</f>
        <v/>
      </c>
      <c r="AT64" s="58"/>
      <c r="AU64" s="58" t="str">
        <f>IF(SUM($B65:$B85)&lt;&gt;0,SUM(AU65:AU85)/SUM($B65:$B85)*$B64*10, "")</f>
        <v/>
      </c>
      <c r="AV64" s="58"/>
      <c r="AW64" s="58" t="str">
        <f>IF(SUM($B65:$B85)&lt;&gt;0,SUM(AW65:AW85)/SUM($B65:$B85)*$B64*10, "")</f>
        <v/>
      </c>
      <c r="AX64" s="58"/>
      <c r="AY64" s="58" t="str">
        <f>IF(SUM($B65:$B85)&lt;&gt;0,SUM(AY65:AY85)/SUM($B65:$B85)*$B64*10, "")</f>
        <v/>
      </c>
      <c r="AZ64" s="58"/>
      <c r="BA64" s="58" t="str">
        <f>IF(SUM($B65:$B85)&lt;&gt;0,SUM(BA65:BA85)/SUM($B65:$B85)*$B64*10, "")</f>
        <v/>
      </c>
      <c r="BB64" s="58"/>
      <c r="BC64" s="58" t="str">
        <f>IF(SUM($B65:$B85)&lt;&gt;0,SUM(BC65:BC85)/SUM($B65:$B85)*$B64*10, "")</f>
        <v/>
      </c>
      <c r="BD64" s="58"/>
      <c r="BE64" s="58" t="str">
        <f>IF(SUM($B65:$B85)&lt;&gt;0,SUM(BE65:BE85)/SUM($B65:$B85)*$B64*10, "")</f>
        <v/>
      </c>
      <c r="BF64" s="58"/>
      <c r="BG64" s="58" t="str">
        <f>IF(SUM($B65:$B85)&lt;&gt;0,SUM(BG65:BG85)/SUM($B65:$B85)*$B64*10, "")</f>
        <v/>
      </c>
      <c r="BH64" s="58"/>
      <c r="BI64" s="58" t="str">
        <f>IF(SUM($B65:$B85)&lt;&gt;0,SUM(BI65:BI85)/SUM($B65:$B85)*$B64*10, "")</f>
        <v/>
      </c>
      <c r="BJ64" s="58"/>
    </row>
    <row r="65" spans="1:62" ht="56" x14ac:dyDescent="0.2">
      <c r="A65" s="2" t="s">
        <v>63</v>
      </c>
      <c r="B65" s="13">
        <f>Tercera!B65</f>
        <v>0</v>
      </c>
      <c r="C65" s="31">
        <f>Tercera!C65</f>
        <v>0</v>
      </c>
      <c r="D65" s="32">
        <f t="shared" ref="D65:D85" si="119">IF($B65,C65/$B65,-1)</f>
        <v>-1</v>
      </c>
      <c r="E65" s="31">
        <f>Tercera!E65</f>
        <v>0</v>
      </c>
      <c r="F65" s="32">
        <f t="shared" ref="F65:F85" si="120">IF($B65,E65/$B65,-1)</f>
        <v>-1</v>
      </c>
      <c r="G65" s="31">
        <f>Tercera!G65</f>
        <v>0</v>
      </c>
      <c r="H65" s="32">
        <f t="shared" ref="H65:H85" si="121">IF($B65,G65/$B65,-1)</f>
        <v>-1</v>
      </c>
      <c r="I65" s="31">
        <f>Tercera!I65</f>
        <v>0</v>
      </c>
      <c r="J65" s="32">
        <f t="shared" ref="J65:J85" si="122">IF($B65,I65/$B65,-1)</f>
        <v>-1</v>
      </c>
      <c r="K65" s="31">
        <f>Tercera!K65</f>
        <v>0</v>
      </c>
      <c r="L65" s="32">
        <f t="shared" ref="L65:L85" si="123">IF($B65,K65/$B65,-1)</f>
        <v>-1</v>
      </c>
      <c r="M65" s="31">
        <f>Tercera!M65</f>
        <v>0</v>
      </c>
      <c r="N65" s="32">
        <f t="shared" ref="N65:N85" si="124">IF($B65,M65/$B65,-1)</f>
        <v>-1</v>
      </c>
      <c r="O65" s="31">
        <f>Tercera!O65</f>
        <v>0</v>
      </c>
      <c r="P65" s="32">
        <f t="shared" ref="P65:P85" si="125">IF($B65,O65/$B65,-1)</f>
        <v>-1</v>
      </c>
      <c r="Q65" s="31">
        <f>Tercera!Q65</f>
        <v>0</v>
      </c>
      <c r="R65" s="32">
        <f t="shared" ref="R65:R85" si="126">IF($B65,Q65/$B65,-1)</f>
        <v>-1</v>
      </c>
      <c r="S65" s="31">
        <f>Tercera!S65</f>
        <v>0</v>
      </c>
      <c r="T65" s="32">
        <f t="shared" ref="T65:T85" si="127">IF($B65,S65/$B65,-1)</f>
        <v>-1</v>
      </c>
      <c r="U65" s="31">
        <f>Tercera!U65</f>
        <v>0</v>
      </c>
      <c r="V65" s="32">
        <f t="shared" ref="V65:V85" si="128">IF($B65,U65/$B65,-1)</f>
        <v>-1</v>
      </c>
      <c r="W65" s="31">
        <f>Tercera!W65</f>
        <v>0</v>
      </c>
      <c r="X65" s="32">
        <f t="shared" ref="X65:X85" si="129">IF($B65,W65/$B65,-1)</f>
        <v>-1</v>
      </c>
      <c r="Y65" s="31">
        <f>Tercera!Y65</f>
        <v>0</v>
      </c>
      <c r="Z65" s="32">
        <f t="shared" ref="Z65:Z85" si="130">IF($B65,Y65/$B65,-1)</f>
        <v>-1</v>
      </c>
      <c r="AA65" s="31">
        <f>Tercera!AA65</f>
        <v>0</v>
      </c>
      <c r="AB65" s="32">
        <f t="shared" ref="AB65:AB85" si="131">IF($B65,AA65/$B65,-1)</f>
        <v>-1</v>
      </c>
      <c r="AC65" s="31">
        <f>Tercera!AC65</f>
        <v>0</v>
      </c>
      <c r="AD65" s="32">
        <f t="shared" ref="AD65:AD85" si="132">IF($B65,AC65/$B65,-1)</f>
        <v>-1</v>
      </c>
      <c r="AE65" s="31">
        <f>Tercera!AE65</f>
        <v>0</v>
      </c>
      <c r="AF65" s="32">
        <f t="shared" ref="AF65:AF85" si="133">IF($B65,AE65/$B65,-1)</f>
        <v>-1</v>
      </c>
      <c r="AG65" s="31">
        <f>Tercera!AG65</f>
        <v>0</v>
      </c>
      <c r="AH65" s="32">
        <f t="shared" ref="AH65:AH85" si="134">IF($B65,AG65/$B65,-1)</f>
        <v>-1</v>
      </c>
      <c r="AI65" s="31">
        <f>Tercera!AI65</f>
        <v>0</v>
      </c>
      <c r="AJ65" s="32">
        <f t="shared" ref="AJ65:AJ85" si="135">IF($B65,AI65/$B65,-1)</f>
        <v>-1</v>
      </c>
      <c r="AK65" s="31">
        <f>Tercera!AK65</f>
        <v>0</v>
      </c>
      <c r="AL65" s="32">
        <f t="shared" ref="AL65:AL85" si="136">IF($B65,AK65/$B65,-1)</f>
        <v>-1</v>
      </c>
      <c r="AM65" s="31">
        <f>Tercera!AM65</f>
        <v>0</v>
      </c>
      <c r="AN65" s="32">
        <f t="shared" ref="AN65:AN85" si="137">IF($B65,AM65/$B65,-1)</f>
        <v>-1</v>
      </c>
      <c r="AO65" s="31">
        <f>Tercera!AO65</f>
        <v>0</v>
      </c>
      <c r="AP65" s="32">
        <f t="shared" ref="AP65:AP85" si="138">IF($B65,AO65/$B65,-1)</f>
        <v>-1</v>
      </c>
      <c r="AQ65" s="31">
        <f>Tercera!AQ65</f>
        <v>0</v>
      </c>
      <c r="AR65" s="32">
        <f t="shared" ref="AR65:AR85" si="139">IF($B65,AQ65/$B65,-1)</f>
        <v>-1</v>
      </c>
      <c r="AS65" s="31">
        <f>Tercera!AS65</f>
        <v>0</v>
      </c>
      <c r="AT65" s="32">
        <f t="shared" ref="AT65:AT85" si="140">IF($B65,AS65/$B65,-1)</f>
        <v>-1</v>
      </c>
      <c r="AU65" s="31">
        <f>Tercera!AU65</f>
        <v>0</v>
      </c>
      <c r="AV65" s="32">
        <f t="shared" ref="AV65:AV85" si="141">IF($B65,AU65/$B65,-1)</f>
        <v>-1</v>
      </c>
      <c r="AW65" s="31">
        <f>Tercera!AW65</f>
        <v>0</v>
      </c>
      <c r="AX65" s="32">
        <f t="shared" ref="AX65:AX85" si="142">IF($B65,AW65/$B65,-1)</f>
        <v>-1</v>
      </c>
      <c r="AY65" s="31">
        <f>Tercera!AY65</f>
        <v>0</v>
      </c>
      <c r="AZ65" s="32">
        <f t="shared" ref="AZ65:AZ85" si="143">IF($B65,AY65/$B65,-1)</f>
        <v>-1</v>
      </c>
      <c r="BA65" s="31">
        <f>Tercera!BA65</f>
        <v>0</v>
      </c>
      <c r="BB65" s="32">
        <f t="shared" ref="BB65:BB85" si="144">IF($B65,BA65/$B65,-1)</f>
        <v>-1</v>
      </c>
      <c r="BC65" s="31">
        <f>Tercera!BC65</f>
        <v>0</v>
      </c>
      <c r="BD65" s="32">
        <f t="shared" ref="BD65:BD85" si="145">IF($B65,BC65/$B65,-1)</f>
        <v>-1</v>
      </c>
      <c r="BE65" s="31">
        <f>Tercera!BE65</f>
        <v>0</v>
      </c>
      <c r="BF65" s="32">
        <f t="shared" ref="BF65:BF85" si="146">IF($B65,BE65/$B65,-1)</f>
        <v>-1</v>
      </c>
      <c r="BG65" s="31">
        <f>Tercera!BG65</f>
        <v>0</v>
      </c>
      <c r="BH65" s="32">
        <f t="shared" ref="BH65:BH85" si="147">IF($B65,BG65/$B65,-1)</f>
        <v>-1</v>
      </c>
      <c r="BI65" s="31">
        <f>Tercera!BI65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Tercera!B66</f>
        <v>0</v>
      </c>
      <c r="C66" s="31">
        <f>Tercera!C66</f>
        <v>0</v>
      </c>
      <c r="D66" s="32">
        <f t="shared" si="119"/>
        <v>-1</v>
      </c>
      <c r="E66" s="31">
        <f>Tercera!E66</f>
        <v>0</v>
      </c>
      <c r="F66" s="32">
        <f t="shared" si="120"/>
        <v>-1</v>
      </c>
      <c r="G66" s="31">
        <f>Tercera!G66</f>
        <v>0</v>
      </c>
      <c r="H66" s="32">
        <f t="shared" si="121"/>
        <v>-1</v>
      </c>
      <c r="I66" s="31">
        <f>Tercera!I66</f>
        <v>0</v>
      </c>
      <c r="J66" s="32">
        <f t="shared" si="122"/>
        <v>-1</v>
      </c>
      <c r="K66" s="31">
        <f>Tercera!K66</f>
        <v>0</v>
      </c>
      <c r="L66" s="32">
        <f t="shared" si="123"/>
        <v>-1</v>
      </c>
      <c r="M66" s="31">
        <f>Tercera!M66</f>
        <v>0</v>
      </c>
      <c r="N66" s="32">
        <f t="shared" si="124"/>
        <v>-1</v>
      </c>
      <c r="O66" s="31">
        <f>Tercera!O66</f>
        <v>0</v>
      </c>
      <c r="P66" s="32">
        <f t="shared" si="125"/>
        <v>-1</v>
      </c>
      <c r="Q66" s="31">
        <f>Tercera!Q66</f>
        <v>0</v>
      </c>
      <c r="R66" s="32">
        <f t="shared" si="126"/>
        <v>-1</v>
      </c>
      <c r="S66" s="31">
        <f>Tercera!S66</f>
        <v>0</v>
      </c>
      <c r="T66" s="32">
        <f t="shared" si="127"/>
        <v>-1</v>
      </c>
      <c r="U66" s="31">
        <f>Tercera!U66</f>
        <v>0</v>
      </c>
      <c r="V66" s="32">
        <f t="shared" si="128"/>
        <v>-1</v>
      </c>
      <c r="W66" s="31">
        <f>Tercera!W66</f>
        <v>0</v>
      </c>
      <c r="X66" s="32">
        <f t="shared" si="129"/>
        <v>-1</v>
      </c>
      <c r="Y66" s="31">
        <f>Tercera!Y66</f>
        <v>0</v>
      </c>
      <c r="Z66" s="32">
        <f t="shared" si="130"/>
        <v>-1</v>
      </c>
      <c r="AA66" s="31">
        <f>Tercera!AA66</f>
        <v>0</v>
      </c>
      <c r="AB66" s="32">
        <f t="shared" si="131"/>
        <v>-1</v>
      </c>
      <c r="AC66" s="31">
        <f>Tercera!AC66</f>
        <v>0</v>
      </c>
      <c r="AD66" s="32">
        <f t="shared" si="132"/>
        <v>-1</v>
      </c>
      <c r="AE66" s="31">
        <f>Tercera!AE66</f>
        <v>0</v>
      </c>
      <c r="AF66" s="32">
        <f t="shared" si="133"/>
        <v>-1</v>
      </c>
      <c r="AG66" s="31">
        <f>Tercera!AG66</f>
        <v>0</v>
      </c>
      <c r="AH66" s="32">
        <f t="shared" si="134"/>
        <v>-1</v>
      </c>
      <c r="AI66" s="31">
        <f>Tercera!AI66</f>
        <v>0</v>
      </c>
      <c r="AJ66" s="32">
        <f t="shared" si="135"/>
        <v>-1</v>
      </c>
      <c r="AK66" s="31">
        <f>Tercera!AK66</f>
        <v>0</v>
      </c>
      <c r="AL66" s="32">
        <f t="shared" si="136"/>
        <v>-1</v>
      </c>
      <c r="AM66" s="31">
        <f>Tercera!AM66</f>
        <v>0</v>
      </c>
      <c r="AN66" s="32">
        <f t="shared" si="137"/>
        <v>-1</v>
      </c>
      <c r="AO66" s="31">
        <f>Tercera!AO66</f>
        <v>0</v>
      </c>
      <c r="AP66" s="32">
        <f t="shared" si="138"/>
        <v>-1</v>
      </c>
      <c r="AQ66" s="31">
        <f>Tercera!AQ66</f>
        <v>0</v>
      </c>
      <c r="AR66" s="32">
        <f t="shared" si="139"/>
        <v>-1</v>
      </c>
      <c r="AS66" s="31">
        <f>Tercera!AS66</f>
        <v>0</v>
      </c>
      <c r="AT66" s="32">
        <f t="shared" si="140"/>
        <v>-1</v>
      </c>
      <c r="AU66" s="31">
        <f>Tercera!AU66</f>
        <v>0</v>
      </c>
      <c r="AV66" s="32">
        <f t="shared" si="141"/>
        <v>-1</v>
      </c>
      <c r="AW66" s="31">
        <f>Tercera!AW66</f>
        <v>0</v>
      </c>
      <c r="AX66" s="32">
        <f t="shared" si="142"/>
        <v>-1</v>
      </c>
      <c r="AY66" s="31">
        <f>Tercera!AY66</f>
        <v>0</v>
      </c>
      <c r="AZ66" s="32">
        <f t="shared" si="143"/>
        <v>-1</v>
      </c>
      <c r="BA66" s="31">
        <f>Tercera!BA66</f>
        <v>0</v>
      </c>
      <c r="BB66" s="32">
        <f t="shared" si="144"/>
        <v>-1</v>
      </c>
      <c r="BC66" s="31">
        <f>Tercera!BC66</f>
        <v>0</v>
      </c>
      <c r="BD66" s="32">
        <f t="shared" si="145"/>
        <v>-1</v>
      </c>
      <c r="BE66" s="31">
        <f>Tercera!BE66</f>
        <v>0</v>
      </c>
      <c r="BF66" s="32">
        <f t="shared" si="146"/>
        <v>-1</v>
      </c>
      <c r="BG66" s="31">
        <f>Tercera!BG66</f>
        <v>0</v>
      </c>
      <c r="BH66" s="32">
        <f t="shared" si="147"/>
        <v>-1</v>
      </c>
      <c r="BI66" s="31">
        <f>Tercera!BI66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Tercera!B67</f>
        <v>0</v>
      </c>
      <c r="C67" s="31">
        <f>Tercera!C67</f>
        <v>0</v>
      </c>
      <c r="D67" s="32">
        <f t="shared" si="119"/>
        <v>-1</v>
      </c>
      <c r="E67" s="31">
        <f>Tercera!E67</f>
        <v>0</v>
      </c>
      <c r="F67" s="32">
        <f t="shared" si="120"/>
        <v>-1</v>
      </c>
      <c r="G67" s="31">
        <f>Tercera!G67</f>
        <v>0</v>
      </c>
      <c r="H67" s="32">
        <f t="shared" si="121"/>
        <v>-1</v>
      </c>
      <c r="I67" s="31">
        <f>Tercera!I67</f>
        <v>0</v>
      </c>
      <c r="J67" s="32">
        <f t="shared" si="122"/>
        <v>-1</v>
      </c>
      <c r="K67" s="31">
        <f>Tercera!K67</f>
        <v>0</v>
      </c>
      <c r="L67" s="32">
        <f t="shared" si="123"/>
        <v>-1</v>
      </c>
      <c r="M67" s="31">
        <f>Tercera!M67</f>
        <v>0</v>
      </c>
      <c r="N67" s="32">
        <f t="shared" si="124"/>
        <v>-1</v>
      </c>
      <c r="O67" s="31">
        <f>Tercera!O67</f>
        <v>0</v>
      </c>
      <c r="P67" s="32">
        <f t="shared" si="125"/>
        <v>-1</v>
      </c>
      <c r="Q67" s="31">
        <f>Tercera!Q67</f>
        <v>0</v>
      </c>
      <c r="R67" s="32">
        <f t="shared" si="126"/>
        <v>-1</v>
      </c>
      <c r="S67" s="31">
        <f>Tercera!S67</f>
        <v>0</v>
      </c>
      <c r="T67" s="32">
        <f t="shared" si="127"/>
        <v>-1</v>
      </c>
      <c r="U67" s="31">
        <f>Tercera!U67</f>
        <v>0</v>
      </c>
      <c r="V67" s="32">
        <f t="shared" si="128"/>
        <v>-1</v>
      </c>
      <c r="W67" s="31">
        <f>Tercera!W67</f>
        <v>0</v>
      </c>
      <c r="X67" s="32">
        <f t="shared" si="129"/>
        <v>-1</v>
      </c>
      <c r="Y67" s="31">
        <f>Tercera!Y67</f>
        <v>0</v>
      </c>
      <c r="Z67" s="32">
        <f t="shared" si="130"/>
        <v>-1</v>
      </c>
      <c r="AA67" s="31">
        <f>Tercera!AA67</f>
        <v>0</v>
      </c>
      <c r="AB67" s="32">
        <f t="shared" si="131"/>
        <v>-1</v>
      </c>
      <c r="AC67" s="31">
        <f>Tercera!AC67</f>
        <v>0</v>
      </c>
      <c r="AD67" s="32">
        <f t="shared" si="132"/>
        <v>-1</v>
      </c>
      <c r="AE67" s="31">
        <f>Tercera!AE67</f>
        <v>0</v>
      </c>
      <c r="AF67" s="32">
        <f t="shared" si="133"/>
        <v>-1</v>
      </c>
      <c r="AG67" s="31">
        <f>Tercera!AG67</f>
        <v>0</v>
      </c>
      <c r="AH67" s="32">
        <f t="shared" si="134"/>
        <v>-1</v>
      </c>
      <c r="AI67" s="31">
        <f>Tercera!AI67</f>
        <v>0</v>
      </c>
      <c r="AJ67" s="32">
        <f t="shared" si="135"/>
        <v>-1</v>
      </c>
      <c r="AK67" s="31">
        <f>Tercera!AK67</f>
        <v>0</v>
      </c>
      <c r="AL67" s="32">
        <f t="shared" si="136"/>
        <v>-1</v>
      </c>
      <c r="AM67" s="31">
        <f>Tercera!AM67</f>
        <v>0</v>
      </c>
      <c r="AN67" s="32">
        <f t="shared" si="137"/>
        <v>-1</v>
      </c>
      <c r="AO67" s="31">
        <f>Tercera!AO67</f>
        <v>0</v>
      </c>
      <c r="AP67" s="32">
        <f t="shared" si="138"/>
        <v>-1</v>
      </c>
      <c r="AQ67" s="31">
        <f>Tercera!AQ67</f>
        <v>0</v>
      </c>
      <c r="AR67" s="32">
        <f t="shared" si="139"/>
        <v>-1</v>
      </c>
      <c r="AS67" s="31">
        <f>Tercera!AS67</f>
        <v>0</v>
      </c>
      <c r="AT67" s="32">
        <f t="shared" si="140"/>
        <v>-1</v>
      </c>
      <c r="AU67" s="31">
        <f>Tercera!AU67</f>
        <v>0</v>
      </c>
      <c r="AV67" s="32">
        <f t="shared" si="141"/>
        <v>-1</v>
      </c>
      <c r="AW67" s="31">
        <f>Tercera!AW67</f>
        <v>0</v>
      </c>
      <c r="AX67" s="32">
        <f t="shared" si="142"/>
        <v>-1</v>
      </c>
      <c r="AY67" s="31">
        <f>Tercera!AY67</f>
        <v>0</v>
      </c>
      <c r="AZ67" s="32">
        <f t="shared" si="143"/>
        <v>-1</v>
      </c>
      <c r="BA67" s="31">
        <f>Tercera!BA67</f>
        <v>0</v>
      </c>
      <c r="BB67" s="32">
        <f t="shared" si="144"/>
        <v>-1</v>
      </c>
      <c r="BC67" s="31">
        <f>Tercera!BC67</f>
        <v>0</v>
      </c>
      <c r="BD67" s="32">
        <f t="shared" si="145"/>
        <v>-1</v>
      </c>
      <c r="BE67" s="31">
        <f>Tercera!BE67</f>
        <v>0</v>
      </c>
      <c r="BF67" s="32">
        <f t="shared" si="146"/>
        <v>-1</v>
      </c>
      <c r="BG67" s="31">
        <f>Tercera!BG67</f>
        <v>0</v>
      </c>
      <c r="BH67" s="32">
        <f t="shared" si="147"/>
        <v>-1</v>
      </c>
      <c r="BI67" s="31">
        <f>Tercera!BI67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Tercera!B68</f>
        <v>0</v>
      </c>
      <c r="C68" s="31">
        <f>Tercera!C68</f>
        <v>0</v>
      </c>
      <c r="D68" s="32">
        <f t="shared" si="119"/>
        <v>-1</v>
      </c>
      <c r="E68" s="31">
        <f>Tercera!E68</f>
        <v>0</v>
      </c>
      <c r="F68" s="32">
        <f t="shared" si="120"/>
        <v>-1</v>
      </c>
      <c r="G68" s="31">
        <f>Tercera!G68</f>
        <v>0</v>
      </c>
      <c r="H68" s="32">
        <f t="shared" si="121"/>
        <v>-1</v>
      </c>
      <c r="I68" s="31">
        <f>Tercera!I68</f>
        <v>0</v>
      </c>
      <c r="J68" s="32">
        <f t="shared" si="122"/>
        <v>-1</v>
      </c>
      <c r="K68" s="31">
        <f>Tercera!K68</f>
        <v>0</v>
      </c>
      <c r="L68" s="32">
        <f t="shared" si="123"/>
        <v>-1</v>
      </c>
      <c r="M68" s="31">
        <f>Tercera!M68</f>
        <v>0</v>
      </c>
      <c r="N68" s="32">
        <f t="shared" si="124"/>
        <v>-1</v>
      </c>
      <c r="O68" s="31">
        <f>Tercera!O68</f>
        <v>0</v>
      </c>
      <c r="P68" s="32">
        <f t="shared" si="125"/>
        <v>-1</v>
      </c>
      <c r="Q68" s="31">
        <f>Tercera!Q68</f>
        <v>0</v>
      </c>
      <c r="R68" s="32">
        <f t="shared" si="126"/>
        <v>-1</v>
      </c>
      <c r="S68" s="31">
        <f>Tercera!S68</f>
        <v>0</v>
      </c>
      <c r="T68" s="32">
        <f t="shared" si="127"/>
        <v>-1</v>
      </c>
      <c r="U68" s="31">
        <f>Tercera!U68</f>
        <v>0</v>
      </c>
      <c r="V68" s="32">
        <f t="shared" si="128"/>
        <v>-1</v>
      </c>
      <c r="W68" s="31">
        <f>Tercera!W68</f>
        <v>0</v>
      </c>
      <c r="X68" s="32">
        <f t="shared" si="129"/>
        <v>-1</v>
      </c>
      <c r="Y68" s="31">
        <f>Tercera!Y68</f>
        <v>0</v>
      </c>
      <c r="Z68" s="32">
        <f t="shared" si="130"/>
        <v>-1</v>
      </c>
      <c r="AA68" s="31">
        <f>Tercera!AA68</f>
        <v>0</v>
      </c>
      <c r="AB68" s="32">
        <f t="shared" si="131"/>
        <v>-1</v>
      </c>
      <c r="AC68" s="31">
        <f>Tercera!AC68</f>
        <v>0</v>
      </c>
      <c r="AD68" s="32">
        <f t="shared" si="132"/>
        <v>-1</v>
      </c>
      <c r="AE68" s="31">
        <f>Tercera!AE68</f>
        <v>0</v>
      </c>
      <c r="AF68" s="32">
        <f t="shared" si="133"/>
        <v>-1</v>
      </c>
      <c r="AG68" s="31">
        <f>Tercera!AG68</f>
        <v>0</v>
      </c>
      <c r="AH68" s="32">
        <f t="shared" si="134"/>
        <v>-1</v>
      </c>
      <c r="AI68" s="31">
        <f>Tercera!AI68</f>
        <v>0</v>
      </c>
      <c r="AJ68" s="32">
        <f t="shared" si="135"/>
        <v>-1</v>
      </c>
      <c r="AK68" s="31">
        <f>Tercera!AK68</f>
        <v>0</v>
      </c>
      <c r="AL68" s="32">
        <f t="shared" si="136"/>
        <v>-1</v>
      </c>
      <c r="AM68" s="31">
        <f>Tercera!AM68</f>
        <v>0</v>
      </c>
      <c r="AN68" s="32">
        <f t="shared" si="137"/>
        <v>-1</v>
      </c>
      <c r="AO68" s="31">
        <f>Tercera!AO68</f>
        <v>0</v>
      </c>
      <c r="AP68" s="32">
        <f t="shared" si="138"/>
        <v>-1</v>
      </c>
      <c r="AQ68" s="31">
        <f>Tercera!AQ68</f>
        <v>0</v>
      </c>
      <c r="AR68" s="32">
        <f t="shared" si="139"/>
        <v>-1</v>
      </c>
      <c r="AS68" s="31">
        <f>Tercera!AS68</f>
        <v>0</v>
      </c>
      <c r="AT68" s="32">
        <f t="shared" si="140"/>
        <v>-1</v>
      </c>
      <c r="AU68" s="31">
        <f>Tercera!AU68</f>
        <v>0</v>
      </c>
      <c r="AV68" s="32">
        <f t="shared" si="141"/>
        <v>-1</v>
      </c>
      <c r="AW68" s="31">
        <f>Tercera!AW68</f>
        <v>0</v>
      </c>
      <c r="AX68" s="32">
        <f t="shared" si="142"/>
        <v>-1</v>
      </c>
      <c r="AY68" s="31">
        <f>Tercera!AY68</f>
        <v>0</v>
      </c>
      <c r="AZ68" s="32">
        <f t="shared" si="143"/>
        <v>-1</v>
      </c>
      <c r="BA68" s="31">
        <f>Tercera!BA68</f>
        <v>0</v>
      </c>
      <c r="BB68" s="32">
        <f t="shared" si="144"/>
        <v>-1</v>
      </c>
      <c r="BC68" s="31">
        <f>Tercera!BC68</f>
        <v>0</v>
      </c>
      <c r="BD68" s="32">
        <f t="shared" si="145"/>
        <v>-1</v>
      </c>
      <c r="BE68" s="31">
        <f>Tercera!BE68</f>
        <v>0</v>
      </c>
      <c r="BF68" s="32">
        <f t="shared" si="146"/>
        <v>-1</v>
      </c>
      <c r="BG68" s="31">
        <f>Tercera!BG68</f>
        <v>0</v>
      </c>
      <c r="BH68" s="32">
        <f t="shared" si="147"/>
        <v>-1</v>
      </c>
      <c r="BI68" s="31">
        <f>Tercera!BI68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Tercera!B69</f>
        <v>0</v>
      </c>
      <c r="C69" s="31">
        <f>Tercera!C69</f>
        <v>0</v>
      </c>
      <c r="D69" s="32">
        <f t="shared" si="119"/>
        <v>-1</v>
      </c>
      <c r="E69" s="31">
        <f>Tercera!E69</f>
        <v>0</v>
      </c>
      <c r="F69" s="32">
        <f t="shared" si="120"/>
        <v>-1</v>
      </c>
      <c r="G69" s="31">
        <f>Tercera!G69</f>
        <v>0</v>
      </c>
      <c r="H69" s="32">
        <f t="shared" si="121"/>
        <v>-1</v>
      </c>
      <c r="I69" s="31">
        <f>Tercera!I69</f>
        <v>0</v>
      </c>
      <c r="J69" s="32">
        <f t="shared" si="122"/>
        <v>-1</v>
      </c>
      <c r="K69" s="31">
        <f>Tercera!K69</f>
        <v>0</v>
      </c>
      <c r="L69" s="32">
        <f t="shared" si="123"/>
        <v>-1</v>
      </c>
      <c r="M69" s="31">
        <f>Tercera!M69</f>
        <v>0</v>
      </c>
      <c r="N69" s="32">
        <f t="shared" si="124"/>
        <v>-1</v>
      </c>
      <c r="O69" s="31">
        <f>Tercera!O69</f>
        <v>0</v>
      </c>
      <c r="P69" s="32">
        <f t="shared" si="125"/>
        <v>-1</v>
      </c>
      <c r="Q69" s="31">
        <f>Tercera!Q69</f>
        <v>0</v>
      </c>
      <c r="R69" s="32">
        <f t="shared" si="126"/>
        <v>-1</v>
      </c>
      <c r="S69" s="31">
        <f>Tercera!S69</f>
        <v>0</v>
      </c>
      <c r="T69" s="32">
        <f t="shared" si="127"/>
        <v>-1</v>
      </c>
      <c r="U69" s="31">
        <f>Tercera!U69</f>
        <v>0</v>
      </c>
      <c r="V69" s="32">
        <f t="shared" si="128"/>
        <v>-1</v>
      </c>
      <c r="W69" s="31">
        <f>Tercera!W69</f>
        <v>0</v>
      </c>
      <c r="X69" s="32">
        <f t="shared" si="129"/>
        <v>-1</v>
      </c>
      <c r="Y69" s="31">
        <f>Tercera!Y69</f>
        <v>0</v>
      </c>
      <c r="Z69" s="32">
        <f t="shared" si="130"/>
        <v>-1</v>
      </c>
      <c r="AA69" s="31">
        <f>Tercera!AA69</f>
        <v>0</v>
      </c>
      <c r="AB69" s="32">
        <f t="shared" si="131"/>
        <v>-1</v>
      </c>
      <c r="AC69" s="31">
        <f>Tercera!AC69</f>
        <v>0</v>
      </c>
      <c r="AD69" s="32">
        <f t="shared" si="132"/>
        <v>-1</v>
      </c>
      <c r="AE69" s="31">
        <f>Tercera!AE69</f>
        <v>0</v>
      </c>
      <c r="AF69" s="32">
        <f t="shared" si="133"/>
        <v>-1</v>
      </c>
      <c r="AG69" s="31">
        <f>Tercera!AG69</f>
        <v>0</v>
      </c>
      <c r="AH69" s="32">
        <f t="shared" si="134"/>
        <v>-1</v>
      </c>
      <c r="AI69" s="31">
        <f>Tercera!AI69</f>
        <v>0</v>
      </c>
      <c r="AJ69" s="32">
        <f t="shared" si="135"/>
        <v>-1</v>
      </c>
      <c r="AK69" s="31">
        <f>Tercera!AK69</f>
        <v>0</v>
      </c>
      <c r="AL69" s="32">
        <f t="shared" si="136"/>
        <v>-1</v>
      </c>
      <c r="AM69" s="31">
        <f>Tercera!AM69</f>
        <v>0</v>
      </c>
      <c r="AN69" s="32">
        <f t="shared" si="137"/>
        <v>-1</v>
      </c>
      <c r="AO69" s="31">
        <f>Tercera!AO69</f>
        <v>0</v>
      </c>
      <c r="AP69" s="32">
        <f t="shared" si="138"/>
        <v>-1</v>
      </c>
      <c r="AQ69" s="31">
        <f>Tercera!AQ69</f>
        <v>0</v>
      </c>
      <c r="AR69" s="32">
        <f t="shared" si="139"/>
        <v>-1</v>
      </c>
      <c r="AS69" s="31">
        <f>Tercera!AS69</f>
        <v>0</v>
      </c>
      <c r="AT69" s="32">
        <f t="shared" si="140"/>
        <v>-1</v>
      </c>
      <c r="AU69" s="31">
        <f>Tercera!AU69</f>
        <v>0</v>
      </c>
      <c r="AV69" s="32">
        <f t="shared" si="141"/>
        <v>-1</v>
      </c>
      <c r="AW69" s="31">
        <f>Tercera!AW69</f>
        <v>0</v>
      </c>
      <c r="AX69" s="32">
        <f t="shared" si="142"/>
        <v>-1</v>
      </c>
      <c r="AY69" s="31">
        <f>Tercera!AY69</f>
        <v>0</v>
      </c>
      <c r="AZ69" s="32">
        <f t="shared" si="143"/>
        <v>-1</v>
      </c>
      <c r="BA69" s="31">
        <f>Tercera!BA69</f>
        <v>0</v>
      </c>
      <c r="BB69" s="32">
        <f t="shared" si="144"/>
        <v>-1</v>
      </c>
      <c r="BC69" s="31">
        <f>Tercera!BC69</f>
        <v>0</v>
      </c>
      <c r="BD69" s="32">
        <f t="shared" si="145"/>
        <v>-1</v>
      </c>
      <c r="BE69" s="31">
        <f>Tercera!BE69</f>
        <v>0</v>
      </c>
      <c r="BF69" s="32">
        <f t="shared" si="146"/>
        <v>-1</v>
      </c>
      <c r="BG69" s="31">
        <f>Tercera!BG69</f>
        <v>0</v>
      </c>
      <c r="BH69" s="32">
        <f t="shared" si="147"/>
        <v>-1</v>
      </c>
      <c r="BI69" s="31">
        <f>Tercera!BI69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Tercera!B70</f>
        <v>0</v>
      </c>
      <c r="C70" s="31">
        <f>Tercera!C70</f>
        <v>0</v>
      </c>
      <c r="D70" s="32">
        <f t="shared" si="119"/>
        <v>-1</v>
      </c>
      <c r="E70" s="31">
        <f>Tercera!E70</f>
        <v>0</v>
      </c>
      <c r="F70" s="32">
        <f t="shared" si="120"/>
        <v>-1</v>
      </c>
      <c r="G70" s="31">
        <f>Tercera!G70</f>
        <v>0</v>
      </c>
      <c r="H70" s="32">
        <f t="shared" si="121"/>
        <v>-1</v>
      </c>
      <c r="I70" s="31">
        <f>Tercera!I70</f>
        <v>0</v>
      </c>
      <c r="J70" s="32">
        <f t="shared" si="122"/>
        <v>-1</v>
      </c>
      <c r="K70" s="31">
        <f>Tercera!K70</f>
        <v>0</v>
      </c>
      <c r="L70" s="32">
        <f t="shared" si="123"/>
        <v>-1</v>
      </c>
      <c r="M70" s="31">
        <f>Tercera!M70</f>
        <v>0</v>
      </c>
      <c r="N70" s="32">
        <f t="shared" si="124"/>
        <v>-1</v>
      </c>
      <c r="O70" s="31">
        <f>Tercera!O70</f>
        <v>0</v>
      </c>
      <c r="P70" s="32">
        <f t="shared" si="125"/>
        <v>-1</v>
      </c>
      <c r="Q70" s="31">
        <f>Tercera!Q70</f>
        <v>0</v>
      </c>
      <c r="R70" s="32">
        <f t="shared" si="126"/>
        <v>-1</v>
      </c>
      <c r="S70" s="31">
        <f>Tercera!S70</f>
        <v>0</v>
      </c>
      <c r="T70" s="32">
        <f t="shared" si="127"/>
        <v>-1</v>
      </c>
      <c r="U70" s="31">
        <f>Tercera!U70</f>
        <v>0</v>
      </c>
      <c r="V70" s="32">
        <f t="shared" si="128"/>
        <v>-1</v>
      </c>
      <c r="W70" s="31">
        <f>Tercera!W70</f>
        <v>0</v>
      </c>
      <c r="X70" s="32">
        <f t="shared" si="129"/>
        <v>-1</v>
      </c>
      <c r="Y70" s="31">
        <f>Tercera!Y70</f>
        <v>0</v>
      </c>
      <c r="Z70" s="32">
        <f t="shared" si="130"/>
        <v>-1</v>
      </c>
      <c r="AA70" s="31">
        <f>Tercera!AA70</f>
        <v>0</v>
      </c>
      <c r="AB70" s="32">
        <f t="shared" si="131"/>
        <v>-1</v>
      </c>
      <c r="AC70" s="31">
        <f>Tercera!AC70</f>
        <v>0</v>
      </c>
      <c r="AD70" s="32">
        <f t="shared" si="132"/>
        <v>-1</v>
      </c>
      <c r="AE70" s="31">
        <f>Tercera!AE70</f>
        <v>0</v>
      </c>
      <c r="AF70" s="32">
        <f t="shared" si="133"/>
        <v>-1</v>
      </c>
      <c r="AG70" s="31">
        <f>Tercera!AG70</f>
        <v>0</v>
      </c>
      <c r="AH70" s="32">
        <f t="shared" si="134"/>
        <v>-1</v>
      </c>
      <c r="AI70" s="31">
        <f>Tercera!AI70</f>
        <v>0</v>
      </c>
      <c r="AJ70" s="32">
        <f t="shared" si="135"/>
        <v>-1</v>
      </c>
      <c r="AK70" s="31">
        <f>Tercera!AK70</f>
        <v>0</v>
      </c>
      <c r="AL70" s="32">
        <f t="shared" si="136"/>
        <v>-1</v>
      </c>
      <c r="AM70" s="31">
        <f>Tercera!AM70</f>
        <v>0</v>
      </c>
      <c r="AN70" s="32">
        <f t="shared" si="137"/>
        <v>-1</v>
      </c>
      <c r="AO70" s="31">
        <f>Tercera!AO70</f>
        <v>0</v>
      </c>
      <c r="AP70" s="32">
        <f t="shared" si="138"/>
        <v>-1</v>
      </c>
      <c r="AQ70" s="31">
        <f>Tercera!AQ70</f>
        <v>0</v>
      </c>
      <c r="AR70" s="32">
        <f t="shared" si="139"/>
        <v>-1</v>
      </c>
      <c r="AS70" s="31">
        <f>Tercera!AS70</f>
        <v>0</v>
      </c>
      <c r="AT70" s="32">
        <f t="shared" si="140"/>
        <v>-1</v>
      </c>
      <c r="AU70" s="31">
        <f>Tercera!AU70</f>
        <v>0</v>
      </c>
      <c r="AV70" s="32">
        <f t="shared" si="141"/>
        <v>-1</v>
      </c>
      <c r="AW70" s="31">
        <f>Tercera!AW70</f>
        <v>0</v>
      </c>
      <c r="AX70" s="32">
        <f t="shared" si="142"/>
        <v>-1</v>
      </c>
      <c r="AY70" s="31">
        <f>Tercera!AY70</f>
        <v>0</v>
      </c>
      <c r="AZ70" s="32">
        <f t="shared" si="143"/>
        <v>-1</v>
      </c>
      <c r="BA70" s="31">
        <f>Tercera!BA70</f>
        <v>0</v>
      </c>
      <c r="BB70" s="32">
        <f t="shared" si="144"/>
        <v>-1</v>
      </c>
      <c r="BC70" s="31">
        <f>Tercera!BC70</f>
        <v>0</v>
      </c>
      <c r="BD70" s="32">
        <f t="shared" si="145"/>
        <v>-1</v>
      </c>
      <c r="BE70" s="31">
        <f>Tercera!BE70</f>
        <v>0</v>
      </c>
      <c r="BF70" s="32">
        <f t="shared" si="146"/>
        <v>-1</v>
      </c>
      <c r="BG70" s="31">
        <f>Tercera!BG70</f>
        <v>0</v>
      </c>
      <c r="BH70" s="32">
        <f t="shared" si="147"/>
        <v>-1</v>
      </c>
      <c r="BI70" s="31">
        <f>Tercera!BI70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Tercera!B71</f>
        <v>0</v>
      </c>
      <c r="C71" s="31">
        <f>Tercera!C71</f>
        <v>0</v>
      </c>
      <c r="D71" s="32">
        <f t="shared" si="119"/>
        <v>-1</v>
      </c>
      <c r="E71" s="31">
        <f>Tercera!E71</f>
        <v>0</v>
      </c>
      <c r="F71" s="32">
        <f t="shared" si="120"/>
        <v>-1</v>
      </c>
      <c r="G71" s="31">
        <f>Tercera!G71</f>
        <v>0</v>
      </c>
      <c r="H71" s="32">
        <f t="shared" si="121"/>
        <v>-1</v>
      </c>
      <c r="I71" s="31">
        <f>Tercera!I71</f>
        <v>0</v>
      </c>
      <c r="J71" s="32">
        <f t="shared" si="122"/>
        <v>-1</v>
      </c>
      <c r="K71" s="31">
        <f>Tercera!K71</f>
        <v>0</v>
      </c>
      <c r="L71" s="32">
        <f t="shared" si="123"/>
        <v>-1</v>
      </c>
      <c r="M71" s="31">
        <f>Tercera!M71</f>
        <v>0</v>
      </c>
      <c r="N71" s="32">
        <f t="shared" si="124"/>
        <v>-1</v>
      </c>
      <c r="O71" s="31">
        <f>Tercera!O71</f>
        <v>0</v>
      </c>
      <c r="P71" s="32">
        <f t="shared" si="125"/>
        <v>-1</v>
      </c>
      <c r="Q71" s="31">
        <f>Tercera!Q71</f>
        <v>0</v>
      </c>
      <c r="R71" s="32">
        <f t="shared" si="126"/>
        <v>-1</v>
      </c>
      <c r="S71" s="31">
        <f>Tercera!S71</f>
        <v>0</v>
      </c>
      <c r="T71" s="32">
        <f t="shared" si="127"/>
        <v>-1</v>
      </c>
      <c r="U71" s="31">
        <f>Tercera!U71</f>
        <v>0</v>
      </c>
      <c r="V71" s="32">
        <f t="shared" si="128"/>
        <v>-1</v>
      </c>
      <c r="W71" s="31">
        <f>Tercera!W71</f>
        <v>0</v>
      </c>
      <c r="X71" s="32">
        <f t="shared" si="129"/>
        <v>-1</v>
      </c>
      <c r="Y71" s="31">
        <f>Tercera!Y71</f>
        <v>0</v>
      </c>
      <c r="Z71" s="32">
        <f t="shared" si="130"/>
        <v>-1</v>
      </c>
      <c r="AA71" s="31">
        <f>Tercera!AA71</f>
        <v>0</v>
      </c>
      <c r="AB71" s="32">
        <f t="shared" si="131"/>
        <v>-1</v>
      </c>
      <c r="AC71" s="31">
        <f>Tercera!AC71</f>
        <v>0</v>
      </c>
      <c r="AD71" s="32">
        <f t="shared" si="132"/>
        <v>-1</v>
      </c>
      <c r="AE71" s="31">
        <f>Tercera!AE71</f>
        <v>0</v>
      </c>
      <c r="AF71" s="32">
        <f t="shared" si="133"/>
        <v>-1</v>
      </c>
      <c r="AG71" s="31">
        <f>Tercera!AG71</f>
        <v>0</v>
      </c>
      <c r="AH71" s="32">
        <f t="shared" si="134"/>
        <v>-1</v>
      </c>
      <c r="AI71" s="31">
        <f>Tercera!AI71</f>
        <v>0</v>
      </c>
      <c r="AJ71" s="32">
        <f t="shared" si="135"/>
        <v>-1</v>
      </c>
      <c r="AK71" s="31">
        <f>Tercera!AK71</f>
        <v>0</v>
      </c>
      <c r="AL71" s="32">
        <f t="shared" si="136"/>
        <v>-1</v>
      </c>
      <c r="AM71" s="31">
        <f>Tercera!AM71</f>
        <v>0</v>
      </c>
      <c r="AN71" s="32">
        <f t="shared" si="137"/>
        <v>-1</v>
      </c>
      <c r="AO71" s="31">
        <f>Tercera!AO71</f>
        <v>0</v>
      </c>
      <c r="AP71" s="32">
        <f t="shared" si="138"/>
        <v>-1</v>
      </c>
      <c r="AQ71" s="31">
        <f>Tercera!AQ71</f>
        <v>0</v>
      </c>
      <c r="AR71" s="32">
        <f t="shared" si="139"/>
        <v>-1</v>
      </c>
      <c r="AS71" s="31">
        <f>Tercera!AS71</f>
        <v>0</v>
      </c>
      <c r="AT71" s="32">
        <f t="shared" si="140"/>
        <v>-1</v>
      </c>
      <c r="AU71" s="31">
        <f>Tercera!AU71</f>
        <v>0</v>
      </c>
      <c r="AV71" s="32">
        <f t="shared" si="141"/>
        <v>-1</v>
      </c>
      <c r="AW71" s="31">
        <f>Tercera!AW71</f>
        <v>0</v>
      </c>
      <c r="AX71" s="32">
        <f t="shared" si="142"/>
        <v>-1</v>
      </c>
      <c r="AY71" s="31">
        <f>Tercera!AY71</f>
        <v>0</v>
      </c>
      <c r="AZ71" s="32">
        <f t="shared" si="143"/>
        <v>-1</v>
      </c>
      <c r="BA71" s="31">
        <f>Tercera!BA71</f>
        <v>0</v>
      </c>
      <c r="BB71" s="32">
        <f t="shared" si="144"/>
        <v>-1</v>
      </c>
      <c r="BC71" s="31">
        <f>Tercera!BC71</f>
        <v>0</v>
      </c>
      <c r="BD71" s="32">
        <f t="shared" si="145"/>
        <v>-1</v>
      </c>
      <c r="BE71" s="31">
        <f>Tercera!BE71</f>
        <v>0</v>
      </c>
      <c r="BF71" s="32">
        <f t="shared" si="146"/>
        <v>-1</v>
      </c>
      <c r="BG71" s="31">
        <f>Tercera!BG71</f>
        <v>0</v>
      </c>
      <c r="BH71" s="32">
        <f t="shared" si="147"/>
        <v>-1</v>
      </c>
      <c r="BI71" s="31">
        <f>Tercera!BI71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Tercera!B72</f>
        <v>0</v>
      </c>
      <c r="C72" s="31">
        <f>Tercera!C72</f>
        <v>0</v>
      </c>
      <c r="D72" s="32">
        <f t="shared" si="119"/>
        <v>-1</v>
      </c>
      <c r="E72" s="31">
        <f>Tercera!E72</f>
        <v>0</v>
      </c>
      <c r="F72" s="32">
        <f t="shared" si="120"/>
        <v>-1</v>
      </c>
      <c r="G72" s="31">
        <f>Tercera!G72</f>
        <v>0</v>
      </c>
      <c r="H72" s="32">
        <f t="shared" si="121"/>
        <v>-1</v>
      </c>
      <c r="I72" s="31">
        <f>Tercera!I72</f>
        <v>0</v>
      </c>
      <c r="J72" s="32">
        <f t="shared" si="122"/>
        <v>-1</v>
      </c>
      <c r="K72" s="31">
        <f>Tercera!K72</f>
        <v>0</v>
      </c>
      <c r="L72" s="32">
        <f t="shared" si="123"/>
        <v>-1</v>
      </c>
      <c r="M72" s="31">
        <f>Tercera!M72</f>
        <v>0</v>
      </c>
      <c r="N72" s="32">
        <f t="shared" si="124"/>
        <v>-1</v>
      </c>
      <c r="O72" s="31">
        <f>Tercera!O72</f>
        <v>0</v>
      </c>
      <c r="P72" s="32">
        <f t="shared" si="125"/>
        <v>-1</v>
      </c>
      <c r="Q72" s="31">
        <f>Tercera!Q72</f>
        <v>0</v>
      </c>
      <c r="R72" s="32">
        <f t="shared" si="126"/>
        <v>-1</v>
      </c>
      <c r="S72" s="31">
        <f>Tercera!S72</f>
        <v>0</v>
      </c>
      <c r="T72" s="32">
        <f t="shared" si="127"/>
        <v>-1</v>
      </c>
      <c r="U72" s="31">
        <f>Tercera!U72</f>
        <v>0</v>
      </c>
      <c r="V72" s="32">
        <f t="shared" si="128"/>
        <v>-1</v>
      </c>
      <c r="W72" s="31">
        <f>Tercera!W72</f>
        <v>0</v>
      </c>
      <c r="X72" s="32">
        <f t="shared" si="129"/>
        <v>-1</v>
      </c>
      <c r="Y72" s="31">
        <f>Tercera!Y72</f>
        <v>0</v>
      </c>
      <c r="Z72" s="32">
        <f t="shared" si="130"/>
        <v>-1</v>
      </c>
      <c r="AA72" s="31">
        <f>Tercera!AA72</f>
        <v>0</v>
      </c>
      <c r="AB72" s="32">
        <f t="shared" si="131"/>
        <v>-1</v>
      </c>
      <c r="AC72" s="31">
        <f>Tercera!AC72</f>
        <v>0</v>
      </c>
      <c r="AD72" s="32">
        <f t="shared" si="132"/>
        <v>-1</v>
      </c>
      <c r="AE72" s="31">
        <f>Tercera!AE72</f>
        <v>0</v>
      </c>
      <c r="AF72" s="32">
        <f t="shared" si="133"/>
        <v>-1</v>
      </c>
      <c r="AG72" s="31">
        <f>Tercera!AG72</f>
        <v>0</v>
      </c>
      <c r="AH72" s="32">
        <f t="shared" si="134"/>
        <v>-1</v>
      </c>
      <c r="AI72" s="31">
        <f>Tercera!AI72</f>
        <v>0</v>
      </c>
      <c r="AJ72" s="32">
        <f t="shared" si="135"/>
        <v>-1</v>
      </c>
      <c r="AK72" s="31">
        <f>Tercera!AK72</f>
        <v>0</v>
      </c>
      <c r="AL72" s="32">
        <f t="shared" si="136"/>
        <v>-1</v>
      </c>
      <c r="AM72" s="31">
        <f>Tercera!AM72</f>
        <v>0</v>
      </c>
      <c r="AN72" s="32">
        <f t="shared" si="137"/>
        <v>-1</v>
      </c>
      <c r="AO72" s="31">
        <f>Tercera!AO72</f>
        <v>0</v>
      </c>
      <c r="AP72" s="32">
        <f t="shared" si="138"/>
        <v>-1</v>
      </c>
      <c r="AQ72" s="31">
        <f>Tercera!AQ72</f>
        <v>0</v>
      </c>
      <c r="AR72" s="32">
        <f t="shared" si="139"/>
        <v>-1</v>
      </c>
      <c r="AS72" s="31">
        <f>Tercera!AS72</f>
        <v>0</v>
      </c>
      <c r="AT72" s="32">
        <f t="shared" si="140"/>
        <v>-1</v>
      </c>
      <c r="AU72" s="31">
        <f>Tercera!AU72</f>
        <v>0</v>
      </c>
      <c r="AV72" s="32">
        <f t="shared" si="141"/>
        <v>-1</v>
      </c>
      <c r="AW72" s="31">
        <f>Tercera!AW72</f>
        <v>0</v>
      </c>
      <c r="AX72" s="32">
        <f t="shared" si="142"/>
        <v>-1</v>
      </c>
      <c r="AY72" s="31">
        <f>Tercera!AY72</f>
        <v>0</v>
      </c>
      <c r="AZ72" s="32">
        <f t="shared" si="143"/>
        <v>-1</v>
      </c>
      <c r="BA72" s="31">
        <f>Tercera!BA72</f>
        <v>0</v>
      </c>
      <c r="BB72" s="32">
        <f t="shared" si="144"/>
        <v>-1</v>
      </c>
      <c r="BC72" s="31">
        <f>Tercera!BC72</f>
        <v>0</v>
      </c>
      <c r="BD72" s="32">
        <f t="shared" si="145"/>
        <v>-1</v>
      </c>
      <c r="BE72" s="31">
        <f>Tercera!BE72</f>
        <v>0</v>
      </c>
      <c r="BF72" s="32">
        <f t="shared" si="146"/>
        <v>-1</v>
      </c>
      <c r="BG72" s="31">
        <f>Tercera!BG72</f>
        <v>0</v>
      </c>
      <c r="BH72" s="32">
        <f t="shared" si="147"/>
        <v>-1</v>
      </c>
      <c r="BI72" s="31">
        <f>Tercera!BI72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Tercera!B73</f>
        <v>0</v>
      </c>
      <c r="C73" s="31">
        <f>Tercera!C73</f>
        <v>0</v>
      </c>
      <c r="D73" s="32">
        <f t="shared" si="119"/>
        <v>-1</v>
      </c>
      <c r="E73" s="31">
        <f>Tercera!E73</f>
        <v>0</v>
      </c>
      <c r="F73" s="32">
        <f t="shared" si="120"/>
        <v>-1</v>
      </c>
      <c r="G73" s="31">
        <f>Tercera!G73</f>
        <v>0</v>
      </c>
      <c r="H73" s="32">
        <f t="shared" si="121"/>
        <v>-1</v>
      </c>
      <c r="I73" s="31">
        <f>Tercera!I73</f>
        <v>0</v>
      </c>
      <c r="J73" s="32">
        <f t="shared" si="122"/>
        <v>-1</v>
      </c>
      <c r="K73" s="31">
        <f>Tercera!K73</f>
        <v>0</v>
      </c>
      <c r="L73" s="32">
        <f t="shared" si="123"/>
        <v>-1</v>
      </c>
      <c r="M73" s="31">
        <f>Tercera!M73</f>
        <v>0</v>
      </c>
      <c r="N73" s="32">
        <f t="shared" si="124"/>
        <v>-1</v>
      </c>
      <c r="O73" s="31">
        <f>Tercera!O73</f>
        <v>0</v>
      </c>
      <c r="P73" s="32">
        <f t="shared" si="125"/>
        <v>-1</v>
      </c>
      <c r="Q73" s="31">
        <f>Tercera!Q73</f>
        <v>0</v>
      </c>
      <c r="R73" s="32">
        <f t="shared" si="126"/>
        <v>-1</v>
      </c>
      <c r="S73" s="31">
        <f>Tercera!S73</f>
        <v>0</v>
      </c>
      <c r="T73" s="32">
        <f t="shared" si="127"/>
        <v>-1</v>
      </c>
      <c r="U73" s="31">
        <f>Tercera!U73</f>
        <v>0</v>
      </c>
      <c r="V73" s="32">
        <f t="shared" si="128"/>
        <v>-1</v>
      </c>
      <c r="W73" s="31">
        <f>Tercera!W73</f>
        <v>0</v>
      </c>
      <c r="X73" s="32">
        <f t="shared" si="129"/>
        <v>-1</v>
      </c>
      <c r="Y73" s="31">
        <f>Tercera!Y73</f>
        <v>0</v>
      </c>
      <c r="Z73" s="32">
        <f t="shared" si="130"/>
        <v>-1</v>
      </c>
      <c r="AA73" s="31">
        <f>Tercera!AA73</f>
        <v>0</v>
      </c>
      <c r="AB73" s="32">
        <f t="shared" si="131"/>
        <v>-1</v>
      </c>
      <c r="AC73" s="31">
        <f>Tercera!AC73</f>
        <v>0</v>
      </c>
      <c r="AD73" s="32">
        <f t="shared" si="132"/>
        <v>-1</v>
      </c>
      <c r="AE73" s="31">
        <f>Tercera!AE73</f>
        <v>0</v>
      </c>
      <c r="AF73" s="32">
        <f t="shared" si="133"/>
        <v>-1</v>
      </c>
      <c r="AG73" s="31">
        <f>Tercera!AG73</f>
        <v>0</v>
      </c>
      <c r="AH73" s="32">
        <f t="shared" si="134"/>
        <v>-1</v>
      </c>
      <c r="AI73" s="31">
        <f>Tercera!AI73</f>
        <v>0</v>
      </c>
      <c r="AJ73" s="32">
        <f t="shared" si="135"/>
        <v>-1</v>
      </c>
      <c r="AK73" s="31">
        <f>Tercera!AK73</f>
        <v>0</v>
      </c>
      <c r="AL73" s="32">
        <f t="shared" si="136"/>
        <v>-1</v>
      </c>
      <c r="AM73" s="31">
        <f>Tercera!AM73</f>
        <v>0</v>
      </c>
      <c r="AN73" s="32">
        <f t="shared" si="137"/>
        <v>-1</v>
      </c>
      <c r="AO73" s="31">
        <f>Tercera!AO73</f>
        <v>0</v>
      </c>
      <c r="AP73" s="32">
        <f t="shared" si="138"/>
        <v>-1</v>
      </c>
      <c r="AQ73" s="31">
        <f>Tercera!AQ73</f>
        <v>0</v>
      </c>
      <c r="AR73" s="32">
        <f t="shared" si="139"/>
        <v>-1</v>
      </c>
      <c r="AS73" s="31">
        <f>Tercera!AS73</f>
        <v>0</v>
      </c>
      <c r="AT73" s="32">
        <f t="shared" si="140"/>
        <v>-1</v>
      </c>
      <c r="AU73" s="31">
        <f>Tercera!AU73</f>
        <v>0</v>
      </c>
      <c r="AV73" s="32">
        <f t="shared" si="141"/>
        <v>-1</v>
      </c>
      <c r="AW73" s="31">
        <f>Tercera!AW73</f>
        <v>0</v>
      </c>
      <c r="AX73" s="32">
        <f t="shared" si="142"/>
        <v>-1</v>
      </c>
      <c r="AY73" s="31">
        <f>Tercera!AY73</f>
        <v>0</v>
      </c>
      <c r="AZ73" s="32">
        <f t="shared" si="143"/>
        <v>-1</v>
      </c>
      <c r="BA73" s="31">
        <f>Tercera!BA73</f>
        <v>0</v>
      </c>
      <c r="BB73" s="32">
        <f t="shared" si="144"/>
        <v>-1</v>
      </c>
      <c r="BC73" s="31">
        <f>Tercera!BC73</f>
        <v>0</v>
      </c>
      <c r="BD73" s="32">
        <f t="shared" si="145"/>
        <v>-1</v>
      </c>
      <c r="BE73" s="31">
        <f>Tercera!BE73</f>
        <v>0</v>
      </c>
      <c r="BF73" s="32">
        <f t="shared" si="146"/>
        <v>-1</v>
      </c>
      <c r="BG73" s="31">
        <f>Tercera!BG73</f>
        <v>0</v>
      </c>
      <c r="BH73" s="32">
        <f t="shared" si="147"/>
        <v>-1</v>
      </c>
      <c r="BI73" s="31">
        <f>Tercera!BI73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Tercera!B74</f>
        <v>0</v>
      </c>
      <c r="C74" s="31">
        <f>Tercera!C74</f>
        <v>0</v>
      </c>
      <c r="D74" s="32">
        <f t="shared" si="119"/>
        <v>-1</v>
      </c>
      <c r="E74" s="31">
        <f>Tercera!E74</f>
        <v>0</v>
      </c>
      <c r="F74" s="32">
        <f t="shared" si="120"/>
        <v>-1</v>
      </c>
      <c r="G74" s="31">
        <f>Tercera!G74</f>
        <v>0</v>
      </c>
      <c r="H74" s="32">
        <f t="shared" si="121"/>
        <v>-1</v>
      </c>
      <c r="I74" s="31">
        <f>Tercera!I74</f>
        <v>0</v>
      </c>
      <c r="J74" s="32">
        <f t="shared" si="122"/>
        <v>-1</v>
      </c>
      <c r="K74" s="31">
        <f>Tercera!K74</f>
        <v>0</v>
      </c>
      <c r="L74" s="32">
        <f t="shared" si="123"/>
        <v>-1</v>
      </c>
      <c r="M74" s="31">
        <f>Tercera!M74</f>
        <v>0</v>
      </c>
      <c r="N74" s="32">
        <f t="shared" si="124"/>
        <v>-1</v>
      </c>
      <c r="O74" s="31">
        <f>Tercera!O74</f>
        <v>0</v>
      </c>
      <c r="P74" s="32">
        <f t="shared" si="125"/>
        <v>-1</v>
      </c>
      <c r="Q74" s="31">
        <f>Tercera!Q74</f>
        <v>0</v>
      </c>
      <c r="R74" s="32">
        <f t="shared" si="126"/>
        <v>-1</v>
      </c>
      <c r="S74" s="31">
        <f>Tercera!S74</f>
        <v>0</v>
      </c>
      <c r="T74" s="32">
        <f t="shared" si="127"/>
        <v>-1</v>
      </c>
      <c r="U74" s="31">
        <f>Tercera!U74</f>
        <v>0</v>
      </c>
      <c r="V74" s="32">
        <f t="shared" si="128"/>
        <v>-1</v>
      </c>
      <c r="W74" s="31">
        <f>Tercera!W74</f>
        <v>0</v>
      </c>
      <c r="X74" s="32">
        <f t="shared" si="129"/>
        <v>-1</v>
      </c>
      <c r="Y74" s="31">
        <f>Tercera!Y74</f>
        <v>0</v>
      </c>
      <c r="Z74" s="32">
        <f t="shared" si="130"/>
        <v>-1</v>
      </c>
      <c r="AA74" s="31">
        <f>Tercera!AA74</f>
        <v>0</v>
      </c>
      <c r="AB74" s="32">
        <f t="shared" si="131"/>
        <v>-1</v>
      </c>
      <c r="AC74" s="31">
        <f>Tercera!AC74</f>
        <v>0</v>
      </c>
      <c r="AD74" s="32">
        <f t="shared" si="132"/>
        <v>-1</v>
      </c>
      <c r="AE74" s="31">
        <f>Tercera!AE74</f>
        <v>0</v>
      </c>
      <c r="AF74" s="32">
        <f t="shared" si="133"/>
        <v>-1</v>
      </c>
      <c r="AG74" s="31">
        <f>Tercera!AG74</f>
        <v>0</v>
      </c>
      <c r="AH74" s="32">
        <f t="shared" si="134"/>
        <v>-1</v>
      </c>
      <c r="AI74" s="31">
        <f>Tercera!AI74</f>
        <v>0</v>
      </c>
      <c r="AJ74" s="32">
        <f t="shared" si="135"/>
        <v>-1</v>
      </c>
      <c r="AK74" s="31">
        <f>Tercera!AK74</f>
        <v>0</v>
      </c>
      <c r="AL74" s="32">
        <f t="shared" si="136"/>
        <v>-1</v>
      </c>
      <c r="AM74" s="31">
        <f>Tercera!AM74</f>
        <v>0</v>
      </c>
      <c r="AN74" s="32">
        <f t="shared" si="137"/>
        <v>-1</v>
      </c>
      <c r="AO74" s="31">
        <f>Tercera!AO74</f>
        <v>0</v>
      </c>
      <c r="AP74" s="32">
        <f t="shared" si="138"/>
        <v>-1</v>
      </c>
      <c r="AQ74" s="31">
        <f>Tercera!AQ74</f>
        <v>0</v>
      </c>
      <c r="AR74" s="32">
        <f t="shared" si="139"/>
        <v>-1</v>
      </c>
      <c r="AS74" s="31">
        <f>Tercera!AS74</f>
        <v>0</v>
      </c>
      <c r="AT74" s="32">
        <f t="shared" si="140"/>
        <v>-1</v>
      </c>
      <c r="AU74" s="31">
        <f>Tercera!AU74</f>
        <v>0</v>
      </c>
      <c r="AV74" s="32">
        <f t="shared" si="141"/>
        <v>-1</v>
      </c>
      <c r="AW74" s="31">
        <f>Tercera!AW74</f>
        <v>0</v>
      </c>
      <c r="AX74" s="32">
        <f t="shared" si="142"/>
        <v>-1</v>
      </c>
      <c r="AY74" s="31">
        <f>Tercera!AY74</f>
        <v>0</v>
      </c>
      <c r="AZ74" s="32">
        <f t="shared" si="143"/>
        <v>-1</v>
      </c>
      <c r="BA74" s="31">
        <f>Tercera!BA74</f>
        <v>0</v>
      </c>
      <c r="BB74" s="32">
        <f t="shared" si="144"/>
        <v>-1</v>
      </c>
      <c r="BC74" s="31">
        <f>Tercera!BC74</f>
        <v>0</v>
      </c>
      <c r="BD74" s="32">
        <f t="shared" si="145"/>
        <v>-1</v>
      </c>
      <c r="BE74" s="31">
        <f>Tercera!BE74</f>
        <v>0</v>
      </c>
      <c r="BF74" s="32">
        <f t="shared" si="146"/>
        <v>-1</v>
      </c>
      <c r="BG74" s="31">
        <f>Tercera!BG74</f>
        <v>0</v>
      </c>
      <c r="BH74" s="32">
        <f t="shared" si="147"/>
        <v>-1</v>
      </c>
      <c r="BI74" s="31">
        <f>Tercera!BI74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Tercera!B75</f>
        <v>0</v>
      </c>
      <c r="C75" s="31">
        <f>Tercera!C75</f>
        <v>0</v>
      </c>
      <c r="D75" s="32">
        <f t="shared" si="119"/>
        <v>-1</v>
      </c>
      <c r="E75" s="31">
        <f>Tercera!E75</f>
        <v>0</v>
      </c>
      <c r="F75" s="32">
        <f t="shared" si="120"/>
        <v>-1</v>
      </c>
      <c r="G75" s="31">
        <f>Tercera!G75</f>
        <v>0</v>
      </c>
      <c r="H75" s="32">
        <f t="shared" si="121"/>
        <v>-1</v>
      </c>
      <c r="I75" s="31">
        <f>Tercera!I75</f>
        <v>0</v>
      </c>
      <c r="J75" s="32">
        <f t="shared" si="122"/>
        <v>-1</v>
      </c>
      <c r="K75" s="31">
        <f>Tercera!K75</f>
        <v>0</v>
      </c>
      <c r="L75" s="32">
        <f t="shared" si="123"/>
        <v>-1</v>
      </c>
      <c r="M75" s="31">
        <f>Tercera!M75</f>
        <v>0</v>
      </c>
      <c r="N75" s="32">
        <f t="shared" si="124"/>
        <v>-1</v>
      </c>
      <c r="O75" s="31">
        <f>Tercera!O75</f>
        <v>0</v>
      </c>
      <c r="P75" s="32">
        <f t="shared" si="125"/>
        <v>-1</v>
      </c>
      <c r="Q75" s="31">
        <f>Tercera!Q75</f>
        <v>0</v>
      </c>
      <c r="R75" s="32">
        <f t="shared" si="126"/>
        <v>-1</v>
      </c>
      <c r="S75" s="31">
        <f>Tercera!S75</f>
        <v>0</v>
      </c>
      <c r="T75" s="32">
        <f t="shared" si="127"/>
        <v>-1</v>
      </c>
      <c r="U75" s="31">
        <f>Tercera!U75</f>
        <v>0</v>
      </c>
      <c r="V75" s="32">
        <f t="shared" si="128"/>
        <v>-1</v>
      </c>
      <c r="W75" s="31">
        <f>Tercera!W75</f>
        <v>0</v>
      </c>
      <c r="X75" s="32">
        <f t="shared" si="129"/>
        <v>-1</v>
      </c>
      <c r="Y75" s="31">
        <f>Tercera!Y75</f>
        <v>0</v>
      </c>
      <c r="Z75" s="32">
        <f t="shared" si="130"/>
        <v>-1</v>
      </c>
      <c r="AA75" s="31">
        <f>Tercera!AA75</f>
        <v>0</v>
      </c>
      <c r="AB75" s="32">
        <f t="shared" si="131"/>
        <v>-1</v>
      </c>
      <c r="AC75" s="31">
        <f>Tercera!AC75</f>
        <v>0</v>
      </c>
      <c r="AD75" s="32">
        <f t="shared" si="132"/>
        <v>-1</v>
      </c>
      <c r="AE75" s="31">
        <f>Tercera!AE75</f>
        <v>0</v>
      </c>
      <c r="AF75" s="32">
        <f t="shared" si="133"/>
        <v>-1</v>
      </c>
      <c r="AG75" s="31">
        <f>Tercera!AG75</f>
        <v>0</v>
      </c>
      <c r="AH75" s="32">
        <f t="shared" si="134"/>
        <v>-1</v>
      </c>
      <c r="AI75" s="31">
        <f>Tercera!AI75</f>
        <v>0</v>
      </c>
      <c r="AJ75" s="32">
        <f t="shared" si="135"/>
        <v>-1</v>
      </c>
      <c r="AK75" s="31">
        <f>Tercera!AK75</f>
        <v>0</v>
      </c>
      <c r="AL75" s="32">
        <f t="shared" si="136"/>
        <v>-1</v>
      </c>
      <c r="AM75" s="31">
        <f>Tercera!AM75</f>
        <v>0</v>
      </c>
      <c r="AN75" s="32">
        <f t="shared" si="137"/>
        <v>-1</v>
      </c>
      <c r="AO75" s="31">
        <f>Tercera!AO75</f>
        <v>0</v>
      </c>
      <c r="AP75" s="32">
        <f t="shared" si="138"/>
        <v>-1</v>
      </c>
      <c r="AQ75" s="31">
        <f>Tercera!AQ75</f>
        <v>0</v>
      </c>
      <c r="AR75" s="32">
        <f t="shared" si="139"/>
        <v>-1</v>
      </c>
      <c r="AS75" s="31">
        <f>Tercera!AS75</f>
        <v>0</v>
      </c>
      <c r="AT75" s="32">
        <f t="shared" si="140"/>
        <v>-1</v>
      </c>
      <c r="AU75" s="31">
        <f>Tercera!AU75</f>
        <v>0</v>
      </c>
      <c r="AV75" s="32">
        <f t="shared" si="141"/>
        <v>-1</v>
      </c>
      <c r="AW75" s="31">
        <f>Tercera!AW75</f>
        <v>0</v>
      </c>
      <c r="AX75" s="32">
        <f t="shared" si="142"/>
        <v>-1</v>
      </c>
      <c r="AY75" s="31">
        <f>Tercera!AY75</f>
        <v>0</v>
      </c>
      <c r="AZ75" s="32">
        <f t="shared" si="143"/>
        <v>-1</v>
      </c>
      <c r="BA75" s="31">
        <f>Tercera!BA75</f>
        <v>0</v>
      </c>
      <c r="BB75" s="32">
        <f t="shared" si="144"/>
        <v>-1</v>
      </c>
      <c r="BC75" s="31">
        <f>Tercera!BC75</f>
        <v>0</v>
      </c>
      <c r="BD75" s="32">
        <f t="shared" si="145"/>
        <v>-1</v>
      </c>
      <c r="BE75" s="31">
        <f>Tercera!BE75</f>
        <v>0</v>
      </c>
      <c r="BF75" s="32">
        <f t="shared" si="146"/>
        <v>-1</v>
      </c>
      <c r="BG75" s="31">
        <f>Tercera!BG75</f>
        <v>0</v>
      </c>
      <c r="BH75" s="32">
        <f t="shared" si="147"/>
        <v>-1</v>
      </c>
      <c r="BI75" s="31">
        <f>Tercera!BI75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Tercera!B76</f>
        <v>0</v>
      </c>
      <c r="C76" s="31">
        <f>Tercera!C76</f>
        <v>0</v>
      </c>
      <c r="D76" s="32">
        <f t="shared" si="119"/>
        <v>-1</v>
      </c>
      <c r="E76" s="31">
        <f>Tercera!E76</f>
        <v>0</v>
      </c>
      <c r="F76" s="32">
        <f t="shared" si="120"/>
        <v>-1</v>
      </c>
      <c r="G76" s="31">
        <f>Tercera!G76</f>
        <v>0</v>
      </c>
      <c r="H76" s="32">
        <f t="shared" si="121"/>
        <v>-1</v>
      </c>
      <c r="I76" s="31">
        <f>Tercera!I76</f>
        <v>0</v>
      </c>
      <c r="J76" s="32">
        <f t="shared" si="122"/>
        <v>-1</v>
      </c>
      <c r="K76" s="31">
        <f>Tercera!K76</f>
        <v>0</v>
      </c>
      <c r="L76" s="32">
        <f t="shared" si="123"/>
        <v>-1</v>
      </c>
      <c r="M76" s="31">
        <f>Tercera!M76</f>
        <v>0</v>
      </c>
      <c r="N76" s="32">
        <f t="shared" si="124"/>
        <v>-1</v>
      </c>
      <c r="O76" s="31">
        <f>Tercera!O76</f>
        <v>0</v>
      </c>
      <c r="P76" s="32">
        <f t="shared" si="125"/>
        <v>-1</v>
      </c>
      <c r="Q76" s="31">
        <f>Tercera!Q76</f>
        <v>0</v>
      </c>
      <c r="R76" s="32">
        <f t="shared" si="126"/>
        <v>-1</v>
      </c>
      <c r="S76" s="31">
        <f>Tercera!S76</f>
        <v>0</v>
      </c>
      <c r="T76" s="32">
        <f t="shared" si="127"/>
        <v>-1</v>
      </c>
      <c r="U76" s="31">
        <f>Tercera!U76</f>
        <v>0</v>
      </c>
      <c r="V76" s="32">
        <f t="shared" si="128"/>
        <v>-1</v>
      </c>
      <c r="W76" s="31">
        <f>Tercera!W76</f>
        <v>0</v>
      </c>
      <c r="X76" s="32">
        <f t="shared" si="129"/>
        <v>-1</v>
      </c>
      <c r="Y76" s="31">
        <f>Tercera!Y76</f>
        <v>0</v>
      </c>
      <c r="Z76" s="32">
        <f t="shared" si="130"/>
        <v>-1</v>
      </c>
      <c r="AA76" s="31">
        <f>Tercera!AA76</f>
        <v>0</v>
      </c>
      <c r="AB76" s="32">
        <f t="shared" si="131"/>
        <v>-1</v>
      </c>
      <c r="AC76" s="31">
        <f>Tercera!AC76</f>
        <v>0</v>
      </c>
      <c r="AD76" s="32">
        <f t="shared" si="132"/>
        <v>-1</v>
      </c>
      <c r="AE76" s="31">
        <f>Tercera!AE76</f>
        <v>0</v>
      </c>
      <c r="AF76" s="32">
        <f t="shared" si="133"/>
        <v>-1</v>
      </c>
      <c r="AG76" s="31">
        <f>Tercera!AG76</f>
        <v>0</v>
      </c>
      <c r="AH76" s="32">
        <f t="shared" si="134"/>
        <v>-1</v>
      </c>
      <c r="AI76" s="31">
        <f>Tercera!AI76</f>
        <v>0</v>
      </c>
      <c r="AJ76" s="32">
        <f t="shared" si="135"/>
        <v>-1</v>
      </c>
      <c r="AK76" s="31">
        <f>Tercera!AK76</f>
        <v>0</v>
      </c>
      <c r="AL76" s="32">
        <f t="shared" si="136"/>
        <v>-1</v>
      </c>
      <c r="AM76" s="31">
        <f>Tercera!AM76</f>
        <v>0</v>
      </c>
      <c r="AN76" s="32">
        <f t="shared" si="137"/>
        <v>-1</v>
      </c>
      <c r="AO76" s="31">
        <f>Tercera!AO76</f>
        <v>0</v>
      </c>
      <c r="AP76" s="32">
        <f t="shared" si="138"/>
        <v>-1</v>
      </c>
      <c r="AQ76" s="31">
        <f>Tercera!AQ76</f>
        <v>0</v>
      </c>
      <c r="AR76" s="32">
        <f t="shared" si="139"/>
        <v>-1</v>
      </c>
      <c r="AS76" s="31">
        <f>Tercera!AS76</f>
        <v>0</v>
      </c>
      <c r="AT76" s="32">
        <f t="shared" si="140"/>
        <v>-1</v>
      </c>
      <c r="AU76" s="31">
        <f>Tercera!AU76</f>
        <v>0</v>
      </c>
      <c r="AV76" s="32">
        <f t="shared" si="141"/>
        <v>-1</v>
      </c>
      <c r="AW76" s="31">
        <f>Tercera!AW76</f>
        <v>0</v>
      </c>
      <c r="AX76" s="32">
        <f t="shared" si="142"/>
        <v>-1</v>
      </c>
      <c r="AY76" s="31">
        <f>Tercera!AY76</f>
        <v>0</v>
      </c>
      <c r="AZ76" s="32">
        <f t="shared" si="143"/>
        <v>-1</v>
      </c>
      <c r="BA76" s="31">
        <f>Tercera!BA76</f>
        <v>0</v>
      </c>
      <c r="BB76" s="32">
        <f t="shared" si="144"/>
        <v>-1</v>
      </c>
      <c r="BC76" s="31">
        <f>Tercera!BC76</f>
        <v>0</v>
      </c>
      <c r="BD76" s="32">
        <f t="shared" si="145"/>
        <v>-1</v>
      </c>
      <c r="BE76" s="31">
        <f>Tercera!BE76</f>
        <v>0</v>
      </c>
      <c r="BF76" s="32">
        <f t="shared" si="146"/>
        <v>-1</v>
      </c>
      <c r="BG76" s="31">
        <f>Tercera!BG76</f>
        <v>0</v>
      </c>
      <c r="BH76" s="32">
        <f t="shared" si="147"/>
        <v>-1</v>
      </c>
      <c r="BI76" s="31">
        <f>Tercera!BI76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Tercera!B77</f>
        <v>0</v>
      </c>
      <c r="C77" s="31">
        <f>Tercera!C77</f>
        <v>0</v>
      </c>
      <c r="D77" s="32">
        <f t="shared" si="119"/>
        <v>-1</v>
      </c>
      <c r="E77" s="31">
        <f>Tercera!E77</f>
        <v>0</v>
      </c>
      <c r="F77" s="32">
        <f t="shared" si="120"/>
        <v>-1</v>
      </c>
      <c r="G77" s="31">
        <f>Tercera!G77</f>
        <v>0</v>
      </c>
      <c r="H77" s="32">
        <f t="shared" si="121"/>
        <v>-1</v>
      </c>
      <c r="I77" s="31">
        <f>Tercera!I77</f>
        <v>0</v>
      </c>
      <c r="J77" s="32">
        <f t="shared" si="122"/>
        <v>-1</v>
      </c>
      <c r="K77" s="31">
        <f>Tercera!K77</f>
        <v>0</v>
      </c>
      <c r="L77" s="32">
        <f t="shared" si="123"/>
        <v>-1</v>
      </c>
      <c r="M77" s="31">
        <f>Tercera!M77</f>
        <v>0</v>
      </c>
      <c r="N77" s="32">
        <f t="shared" si="124"/>
        <v>-1</v>
      </c>
      <c r="O77" s="31">
        <f>Tercera!O77</f>
        <v>0</v>
      </c>
      <c r="P77" s="32">
        <f t="shared" si="125"/>
        <v>-1</v>
      </c>
      <c r="Q77" s="31">
        <f>Tercera!Q77</f>
        <v>0</v>
      </c>
      <c r="R77" s="32">
        <f t="shared" si="126"/>
        <v>-1</v>
      </c>
      <c r="S77" s="31">
        <f>Tercera!S77</f>
        <v>0</v>
      </c>
      <c r="T77" s="32">
        <f t="shared" si="127"/>
        <v>-1</v>
      </c>
      <c r="U77" s="31">
        <f>Tercera!U77</f>
        <v>0</v>
      </c>
      <c r="V77" s="32">
        <f t="shared" si="128"/>
        <v>-1</v>
      </c>
      <c r="W77" s="31">
        <f>Tercera!W77</f>
        <v>0</v>
      </c>
      <c r="X77" s="32">
        <f t="shared" si="129"/>
        <v>-1</v>
      </c>
      <c r="Y77" s="31">
        <f>Tercera!Y77</f>
        <v>0</v>
      </c>
      <c r="Z77" s="32">
        <f t="shared" si="130"/>
        <v>-1</v>
      </c>
      <c r="AA77" s="31">
        <f>Tercera!AA77</f>
        <v>0</v>
      </c>
      <c r="AB77" s="32">
        <f t="shared" si="131"/>
        <v>-1</v>
      </c>
      <c r="AC77" s="31">
        <f>Tercera!AC77</f>
        <v>0</v>
      </c>
      <c r="AD77" s="32">
        <f t="shared" si="132"/>
        <v>-1</v>
      </c>
      <c r="AE77" s="31">
        <f>Tercera!AE77</f>
        <v>0</v>
      </c>
      <c r="AF77" s="32">
        <f t="shared" si="133"/>
        <v>-1</v>
      </c>
      <c r="AG77" s="31">
        <f>Tercera!AG77</f>
        <v>0</v>
      </c>
      <c r="AH77" s="32">
        <f t="shared" si="134"/>
        <v>-1</v>
      </c>
      <c r="AI77" s="31">
        <f>Tercera!AI77</f>
        <v>0</v>
      </c>
      <c r="AJ77" s="32">
        <f t="shared" si="135"/>
        <v>-1</v>
      </c>
      <c r="AK77" s="31">
        <f>Tercera!AK77</f>
        <v>0</v>
      </c>
      <c r="AL77" s="32">
        <f t="shared" si="136"/>
        <v>-1</v>
      </c>
      <c r="AM77" s="31">
        <f>Tercera!AM77</f>
        <v>0</v>
      </c>
      <c r="AN77" s="32">
        <f t="shared" si="137"/>
        <v>-1</v>
      </c>
      <c r="AO77" s="31">
        <f>Tercera!AO77</f>
        <v>0</v>
      </c>
      <c r="AP77" s="32">
        <f t="shared" si="138"/>
        <v>-1</v>
      </c>
      <c r="AQ77" s="31">
        <f>Tercera!AQ77</f>
        <v>0</v>
      </c>
      <c r="AR77" s="32">
        <f t="shared" si="139"/>
        <v>-1</v>
      </c>
      <c r="AS77" s="31">
        <f>Tercera!AS77</f>
        <v>0</v>
      </c>
      <c r="AT77" s="32">
        <f t="shared" si="140"/>
        <v>-1</v>
      </c>
      <c r="AU77" s="31">
        <f>Tercera!AU77</f>
        <v>0</v>
      </c>
      <c r="AV77" s="32">
        <f t="shared" si="141"/>
        <v>-1</v>
      </c>
      <c r="AW77" s="31">
        <f>Tercera!AW77</f>
        <v>0</v>
      </c>
      <c r="AX77" s="32">
        <f t="shared" si="142"/>
        <v>-1</v>
      </c>
      <c r="AY77" s="31">
        <f>Tercera!AY77</f>
        <v>0</v>
      </c>
      <c r="AZ77" s="32">
        <f t="shared" si="143"/>
        <v>-1</v>
      </c>
      <c r="BA77" s="31">
        <f>Tercera!BA77</f>
        <v>0</v>
      </c>
      <c r="BB77" s="32">
        <f t="shared" si="144"/>
        <v>-1</v>
      </c>
      <c r="BC77" s="31">
        <f>Tercera!BC77</f>
        <v>0</v>
      </c>
      <c r="BD77" s="32">
        <f t="shared" si="145"/>
        <v>-1</v>
      </c>
      <c r="BE77" s="31">
        <f>Tercera!BE77</f>
        <v>0</v>
      </c>
      <c r="BF77" s="32">
        <f t="shared" si="146"/>
        <v>-1</v>
      </c>
      <c r="BG77" s="31">
        <f>Tercera!BG77</f>
        <v>0</v>
      </c>
      <c r="BH77" s="32">
        <f t="shared" si="147"/>
        <v>-1</v>
      </c>
      <c r="BI77" s="31">
        <f>Tercera!BI77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Tercera!B78</f>
        <v>0</v>
      </c>
      <c r="C78" s="31">
        <f>Tercera!C78</f>
        <v>0</v>
      </c>
      <c r="D78" s="32">
        <f t="shared" si="119"/>
        <v>-1</v>
      </c>
      <c r="E78" s="31">
        <f>Tercera!E78</f>
        <v>0</v>
      </c>
      <c r="F78" s="32">
        <f t="shared" si="120"/>
        <v>-1</v>
      </c>
      <c r="G78" s="31">
        <f>Tercera!G78</f>
        <v>0</v>
      </c>
      <c r="H78" s="32">
        <f t="shared" si="121"/>
        <v>-1</v>
      </c>
      <c r="I78" s="31">
        <f>Tercera!I78</f>
        <v>0</v>
      </c>
      <c r="J78" s="32">
        <f t="shared" si="122"/>
        <v>-1</v>
      </c>
      <c r="K78" s="31">
        <f>Tercera!K78</f>
        <v>0</v>
      </c>
      <c r="L78" s="32">
        <f t="shared" si="123"/>
        <v>-1</v>
      </c>
      <c r="M78" s="31">
        <f>Tercera!M78</f>
        <v>0</v>
      </c>
      <c r="N78" s="32">
        <f t="shared" si="124"/>
        <v>-1</v>
      </c>
      <c r="O78" s="31">
        <f>Tercera!O78</f>
        <v>0</v>
      </c>
      <c r="P78" s="32">
        <f t="shared" si="125"/>
        <v>-1</v>
      </c>
      <c r="Q78" s="31">
        <f>Tercera!Q78</f>
        <v>0</v>
      </c>
      <c r="R78" s="32">
        <f t="shared" si="126"/>
        <v>-1</v>
      </c>
      <c r="S78" s="31">
        <f>Tercera!S78</f>
        <v>0</v>
      </c>
      <c r="T78" s="32">
        <f t="shared" si="127"/>
        <v>-1</v>
      </c>
      <c r="U78" s="31">
        <f>Tercera!U78</f>
        <v>0</v>
      </c>
      <c r="V78" s="32">
        <f t="shared" si="128"/>
        <v>-1</v>
      </c>
      <c r="W78" s="31">
        <f>Tercera!W78</f>
        <v>0</v>
      </c>
      <c r="X78" s="32">
        <f t="shared" si="129"/>
        <v>-1</v>
      </c>
      <c r="Y78" s="31">
        <f>Tercera!Y78</f>
        <v>0</v>
      </c>
      <c r="Z78" s="32">
        <f t="shared" si="130"/>
        <v>-1</v>
      </c>
      <c r="AA78" s="31">
        <f>Tercera!AA78</f>
        <v>0</v>
      </c>
      <c r="AB78" s="32">
        <f t="shared" si="131"/>
        <v>-1</v>
      </c>
      <c r="AC78" s="31">
        <f>Tercera!AC78</f>
        <v>0</v>
      </c>
      <c r="AD78" s="32">
        <f t="shared" si="132"/>
        <v>-1</v>
      </c>
      <c r="AE78" s="31">
        <f>Tercera!AE78</f>
        <v>0</v>
      </c>
      <c r="AF78" s="32">
        <f t="shared" si="133"/>
        <v>-1</v>
      </c>
      <c r="AG78" s="31">
        <f>Tercera!AG78</f>
        <v>0</v>
      </c>
      <c r="AH78" s="32">
        <f t="shared" si="134"/>
        <v>-1</v>
      </c>
      <c r="AI78" s="31">
        <f>Tercera!AI78</f>
        <v>0</v>
      </c>
      <c r="AJ78" s="32">
        <f t="shared" si="135"/>
        <v>-1</v>
      </c>
      <c r="AK78" s="31">
        <f>Tercera!AK78</f>
        <v>0</v>
      </c>
      <c r="AL78" s="32">
        <f t="shared" si="136"/>
        <v>-1</v>
      </c>
      <c r="AM78" s="31">
        <f>Tercera!AM78</f>
        <v>0</v>
      </c>
      <c r="AN78" s="32">
        <f t="shared" si="137"/>
        <v>-1</v>
      </c>
      <c r="AO78" s="31">
        <f>Tercera!AO78</f>
        <v>0</v>
      </c>
      <c r="AP78" s="32">
        <f t="shared" si="138"/>
        <v>-1</v>
      </c>
      <c r="AQ78" s="31">
        <f>Tercera!AQ78</f>
        <v>0</v>
      </c>
      <c r="AR78" s="32">
        <f t="shared" si="139"/>
        <v>-1</v>
      </c>
      <c r="AS78" s="31">
        <f>Tercera!AS78</f>
        <v>0</v>
      </c>
      <c r="AT78" s="32">
        <f t="shared" si="140"/>
        <v>-1</v>
      </c>
      <c r="AU78" s="31">
        <f>Tercera!AU78</f>
        <v>0</v>
      </c>
      <c r="AV78" s="32">
        <f t="shared" si="141"/>
        <v>-1</v>
      </c>
      <c r="AW78" s="31">
        <f>Tercera!AW78</f>
        <v>0</v>
      </c>
      <c r="AX78" s="32">
        <f t="shared" si="142"/>
        <v>-1</v>
      </c>
      <c r="AY78" s="31">
        <f>Tercera!AY78</f>
        <v>0</v>
      </c>
      <c r="AZ78" s="32">
        <f t="shared" si="143"/>
        <v>-1</v>
      </c>
      <c r="BA78" s="31">
        <f>Tercera!BA78</f>
        <v>0</v>
      </c>
      <c r="BB78" s="32">
        <f t="shared" si="144"/>
        <v>-1</v>
      </c>
      <c r="BC78" s="31">
        <f>Tercera!BC78</f>
        <v>0</v>
      </c>
      <c r="BD78" s="32">
        <f t="shared" si="145"/>
        <v>-1</v>
      </c>
      <c r="BE78" s="31">
        <f>Tercera!BE78</f>
        <v>0</v>
      </c>
      <c r="BF78" s="32">
        <f t="shared" si="146"/>
        <v>-1</v>
      </c>
      <c r="BG78" s="31">
        <f>Tercera!BG78</f>
        <v>0</v>
      </c>
      <c r="BH78" s="32">
        <f t="shared" si="147"/>
        <v>-1</v>
      </c>
      <c r="BI78" s="31">
        <f>Tercera!BI78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Tercera!B79</f>
        <v>0</v>
      </c>
      <c r="C79" s="31">
        <f>Tercera!C79</f>
        <v>0</v>
      </c>
      <c r="D79" s="32">
        <f t="shared" si="119"/>
        <v>-1</v>
      </c>
      <c r="E79" s="31">
        <f>Tercera!E79</f>
        <v>0</v>
      </c>
      <c r="F79" s="32">
        <f t="shared" si="120"/>
        <v>-1</v>
      </c>
      <c r="G79" s="31">
        <f>Tercera!G79</f>
        <v>0</v>
      </c>
      <c r="H79" s="32">
        <f t="shared" si="121"/>
        <v>-1</v>
      </c>
      <c r="I79" s="31">
        <f>Tercera!I79</f>
        <v>0</v>
      </c>
      <c r="J79" s="32">
        <f t="shared" si="122"/>
        <v>-1</v>
      </c>
      <c r="K79" s="31">
        <f>Tercera!K79</f>
        <v>0</v>
      </c>
      <c r="L79" s="32">
        <f t="shared" si="123"/>
        <v>-1</v>
      </c>
      <c r="M79" s="31">
        <f>Tercera!M79</f>
        <v>0</v>
      </c>
      <c r="N79" s="32">
        <f t="shared" si="124"/>
        <v>-1</v>
      </c>
      <c r="O79" s="31">
        <f>Tercera!O79</f>
        <v>0</v>
      </c>
      <c r="P79" s="32">
        <f t="shared" si="125"/>
        <v>-1</v>
      </c>
      <c r="Q79" s="31">
        <f>Tercera!Q79</f>
        <v>0</v>
      </c>
      <c r="R79" s="32">
        <f t="shared" si="126"/>
        <v>-1</v>
      </c>
      <c r="S79" s="31">
        <f>Tercera!S79</f>
        <v>0</v>
      </c>
      <c r="T79" s="32">
        <f t="shared" si="127"/>
        <v>-1</v>
      </c>
      <c r="U79" s="31">
        <f>Tercera!U79</f>
        <v>0</v>
      </c>
      <c r="V79" s="32">
        <f t="shared" si="128"/>
        <v>-1</v>
      </c>
      <c r="W79" s="31">
        <f>Tercera!W79</f>
        <v>0</v>
      </c>
      <c r="X79" s="32">
        <f t="shared" si="129"/>
        <v>-1</v>
      </c>
      <c r="Y79" s="31">
        <f>Tercera!Y79</f>
        <v>0</v>
      </c>
      <c r="Z79" s="32">
        <f t="shared" si="130"/>
        <v>-1</v>
      </c>
      <c r="AA79" s="31">
        <f>Tercera!AA79</f>
        <v>0</v>
      </c>
      <c r="AB79" s="32">
        <f t="shared" si="131"/>
        <v>-1</v>
      </c>
      <c r="AC79" s="31">
        <f>Tercera!AC79</f>
        <v>0</v>
      </c>
      <c r="AD79" s="32">
        <f t="shared" si="132"/>
        <v>-1</v>
      </c>
      <c r="AE79" s="31">
        <f>Tercera!AE79</f>
        <v>0</v>
      </c>
      <c r="AF79" s="32">
        <f t="shared" si="133"/>
        <v>-1</v>
      </c>
      <c r="AG79" s="31">
        <f>Tercera!AG79</f>
        <v>0</v>
      </c>
      <c r="AH79" s="32">
        <f t="shared" si="134"/>
        <v>-1</v>
      </c>
      <c r="AI79" s="31">
        <f>Tercera!AI79</f>
        <v>0</v>
      </c>
      <c r="AJ79" s="32">
        <f t="shared" si="135"/>
        <v>-1</v>
      </c>
      <c r="AK79" s="31">
        <f>Tercera!AK79</f>
        <v>0</v>
      </c>
      <c r="AL79" s="32">
        <f t="shared" si="136"/>
        <v>-1</v>
      </c>
      <c r="AM79" s="31">
        <f>Tercera!AM79</f>
        <v>0</v>
      </c>
      <c r="AN79" s="32">
        <f t="shared" si="137"/>
        <v>-1</v>
      </c>
      <c r="AO79" s="31">
        <f>Tercera!AO79</f>
        <v>0</v>
      </c>
      <c r="AP79" s="32">
        <f t="shared" si="138"/>
        <v>-1</v>
      </c>
      <c r="AQ79" s="31">
        <f>Tercera!AQ79</f>
        <v>0</v>
      </c>
      <c r="AR79" s="32">
        <f t="shared" si="139"/>
        <v>-1</v>
      </c>
      <c r="AS79" s="31">
        <f>Tercera!AS79</f>
        <v>0</v>
      </c>
      <c r="AT79" s="32">
        <f t="shared" si="140"/>
        <v>-1</v>
      </c>
      <c r="AU79" s="31">
        <f>Tercera!AU79</f>
        <v>0</v>
      </c>
      <c r="AV79" s="32">
        <f t="shared" si="141"/>
        <v>-1</v>
      </c>
      <c r="AW79" s="31">
        <f>Tercera!AW79</f>
        <v>0</v>
      </c>
      <c r="AX79" s="32">
        <f t="shared" si="142"/>
        <v>-1</v>
      </c>
      <c r="AY79" s="31">
        <f>Tercera!AY79</f>
        <v>0</v>
      </c>
      <c r="AZ79" s="32">
        <f t="shared" si="143"/>
        <v>-1</v>
      </c>
      <c r="BA79" s="31">
        <f>Tercera!BA79</f>
        <v>0</v>
      </c>
      <c r="BB79" s="32">
        <f t="shared" si="144"/>
        <v>-1</v>
      </c>
      <c r="BC79" s="31">
        <f>Tercera!BC79</f>
        <v>0</v>
      </c>
      <c r="BD79" s="32">
        <f t="shared" si="145"/>
        <v>-1</v>
      </c>
      <c r="BE79" s="31">
        <f>Tercera!BE79</f>
        <v>0</v>
      </c>
      <c r="BF79" s="32">
        <f t="shared" si="146"/>
        <v>-1</v>
      </c>
      <c r="BG79" s="31">
        <f>Tercera!BG79</f>
        <v>0</v>
      </c>
      <c r="BH79" s="32">
        <f t="shared" si="147"/>
        <v>-1</v>
      </c>
      <c r="BI79" s="31">
        <f>Tercera!BI79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Tercera!B80</f>
        <v>0</v>
      </c>
      <c r="C80" s="31">
        <f>Tercera!C80</f>
        <v>0</v>
      </c>
      <c r="D80" s="32">
        <f t="shared" si="119"/>
        <v>-1</v>
      </c>
      <c r="E80" s="31">
        <f>Tercera!E80</f>
        <v>0</v>
      </c>
      <c r="F80" s="32">
        <f t="shared" si="120"/>
        <v>-1</v>
      </c>
      <c r="G80" s="31">
        <f>Tercera!G80</f>
        <v>0</v>
      </c>
      <c r="H80" s="32">
        <f t="shared" si="121"/>
        <v>-1</v>
      </c>
      <c r="I80" s="31">
        <f>Tercera!I80</f>
        <v>0</v>
      </c>
      <c r="J80" s="32">
        <f t="shared" si="122"/>
        <v>-1</v>
      </c>
      <c r="K80" s="31">
        <f>Tercera!K80</f>
        <v>0</v>
      </c>
      <c r="L80" s="32">
        <f t="shared" si="123"/>
        <v>-1</v>
      </c>
      <c r="M80" s="31">
        <f>Tercera!M80</f>
        <v>0</v>
      </c>
      <c r="N80" s="32">
        <f t="shared" si="124"/>
        <v>-1</v>
      </c>
      <c r="O80" s="31">
        <f>Tercera!O80</f>
        <v>0</v>
      </c>
      <c r="P80" s="32">
        <f t="shared" si="125"/>
        <v>-1</v>
      </c>
      <c r="Q80" s="31">
        <f>Tercera!Q80</f>
        <v>0</v>
      </c>
      <c r="R80" s="32">
        <f t="shared" si="126"/>
        <v>-1</v>
      </c>
      <c r="S80" s="31">
        <f>Tercera!S80</f>
        <v>0</v>
      </c>
      <c r="T80" s="32">
        <f t="shared" si="127"/>
        <v>-1</v>
      </c>
      <c r="U80" s="31">
        <f>Tercera!U80</f>
        <v>0</v>
      </c>
      <c r="V80" s="32">
        <f t="shared" si="128"/>
        <v>-1</v>
      </c>
      <c r="W80" s="31">
        <f>Tercera!W80</f>
        <v>0</v>
      </c>
      <c r="X80" s="32">
        <f t="shared" si="129"/>
        <v>-1</v>
      </c>
      <c r="Y80" s="31">
        <f>Tercera!Y80</f>
        <v>0</v>
      </c>
      <c r="Z80" s="32">
        <f t="shared" si="130"/>
        <v>-1</v>
      </c>
      <c r="AA80" s="31">
        <f>Tercera!AA80</f>
        <v>0</v>
      </c>
      <c r="AB80" s="32">
        <f t="shared" si="131"/>
        <v>-1</v>
      </c>
      <c r="AC80" s="31">
        <f>Tercera!AC80</f>
        <v>0</v>
      </c>
      <c r="AD80" s="32">
        <f t="shared" si="132"/>
        <v>-1</v>
      </c>
      <c r="AE80" s="31">
        <f>Tercera!AE80</f>
        <v>0</v>
      </c>
      <c r="AF80" s="32">
        <f t="shared" si="133"/>
        <v>-1</v>
      </c>
      <c r="AG80" s="31">
        <f>Tercera!AG80</f>
        <v>0</v>
      </c>
      <c r="AH80" s="32">
        <f t="shared" si="134"/>
        <v>-1</v>
      </c>
      <c r="AI80" s="31">
        <f>Tercera!AI80</f>
        <v>0</v>
      </c>
      <c r="AJ80" s="32">
        <f t="shared" si="135"/>
        <v>-1</v>
      </c>
      <c r="AK80" s="31">
        <f>Tercera!AK80</f>
        <v>0</v>
      </c>
      <c r="AL80" s="32">
        <f t="shared" si="136"/>
        <v>-1</v>
      </c>
      <c r="AM80" s="31">
        <f>Tercera!AM80</f>
        <v>0</v>
      </c>
      <c r="AN80" s="32">
        <f t="shared" si="137"/>
        <v>-1</v>
      </c>
      <c r="AO80" s="31">
        <f>Tercera!AO80</f>
        <v>0</v>
      </c>
      <c r="AP80" s="32">
        <f t="shared" si="138"/>
        <v>-1</v>
      </c>
      <c r="AQ80" s="31">
        <f>Tercera!AQ80</f>
        <v>0</v>
      </c>
      <c r="AR80" s="32">
        <f t="shared" si="139"/>
        <v>-1</v>
      </c>
      <c r="AS80" s="31">
        <f>Tercera!AS80</f>
        <v>0</v>
      </c>
      <c r="AT80" s="32">
        <f t="shared" si="140"/>
        <v>-1</v>
      </c>
      <c r="AU80" s="31">
        <f>Tercera!AU80</f>
        <v>0</v>
      </c>
      <c r="AV80" s="32">
        <f t="shared" si="141"/>
        <v>-1</v>
      </c>
      <c r="AW80" s="31">
        <f>Tercera!AW80</f>
        <v>0</v>
      </c>
      <c r="AX80" s="32">
        <f t="shared" si="142"/>
        <v>-1</v>
      </c>
      <c r="AY80" s="31">
        <f>Tercera!AY80</f>
        <v>0</v>
      </c>
      <c r="AZ80" s="32">
        <f t="shared" si="143"/>
        <v>-1</v>
      </c>
      <c r="BA80" s="31">
        <f>Tercera!BA80</f>
        <v>0</v>
      </c>
      <c r="BB80" s="32">
        <f t="shared" si="144"/>
        <v>-1</v>
      </c>
      <c r="BC80" s="31">
        <f>Tercera!BC80</f>
        <v>0</v>
      </c>
      <c r="BD80" s="32">
        <f t="shared" si="145"/>
        <v>-1</v>
      </c>
      <c r="BE80" s="31">
        <f>Tercera!BE80</f>
        <v>0</v>
      </c>
      <c r="BF80" s="32">
        <f t="shared" si="146"/>
        <v>-1</v>
      </c>
      <c r="BG80" s="31">
        <f>Tercera!BG80</f>
        <v>0</v>
      </c>
      <c r="BH80" s="32">
        <f t="shared" si="147"/>
        <v>-1</v>
      </c>
      <c r="BI80" s="31">
        <f>Tercera!BI80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Tercera!B81</f>
        <v>0</v>
      </c>
      <c r="C81" s="31">
        <f>Tercera!C81</f>
        <v>0</v>
      </c>
      <c r="D81" s="32">
        <f t="shared" si="119"/>
        <v>-1</v>
      </c>
      <c r="E81" s="31">
        <f>Tercera!E81</f>
        <v>0</v>
      </c>
      <c r="F81" s="32">
        <f t="shared" si="120"/>
        <v>-1</v>
      </c>
      <c r="G81" s="31">
        <f>Tercera!G81</f>
        <v>0</v>
      </c>
      <c r="H81" s="32">
        <f t="shared" si="121"/>
        <v>-1</v>
      </c>
      <c r="I81" s="31">
        <f>Tercera!I81</f>
        <v>0</v>
      </c>
      <c r="J81" s="32">
        <f t="shared" si="122"/>
        <v>-1</v>
      </c>
      <c r="K81" s="31">
        <f>Tercera!K81</f>
        <v>0</v>
      </c>
      <c r="L81" s="32">
        <f t="shared" si="123"/>
        <v>-1</v>
      </c>
      <c r="M81" s="31">
        <f>Tercera!M81</f>
        <v>0</v>
      </c>
      <c r="N81" s="32">
        <f t="shared" si="124"/>
        <v>-1</v>
      </c>
      <c r="O81" s="31">
        <f>Tercera!O81</f>
        <v>0</v>
      </c>
      <c r="P81" s="32">
        <f t="shared" si="125"/>
        <v>-1</v>
      </c>
      <c r="Q81" s="31">
        <f>Tercera!Q81</f>
        <v>0</v>
      </c>
      <c r="R81" s="32">
        <f t="shared" si="126"/>
        <v>-1</v>
      </c>
      <c r="S81" s="31">
        <f>Tercera!S81</f>
        <v>0</v>
      </c>
      <c r="T81" s="32">
        <f t="shared" si="127"/>
        <v>-1</v>
      </c>
      <c r="U81" s="31">
        <f>Tercera!U81</f>
        <v>0</v>
      </c>
      <c r="V81" s="32">
        <f t="shared" si="128"/>
        <v>-1</v>
      </c>
      <c r="W81" s="31">
        <f>Tercera!W81</f>
        <v>0</v>
      </c>
      <c r="X81" s="32">
        <f t="shared" si="129"/>
        <v>-1</v>
      </c>
      <c r="Y81" s="31">
        <f>Tercera!Y81</f>
        <v>0</v>
      </c>
      <c r="Z81" s="32">
        <f t="shared" si="130"/>
        <v>-1</v>
      </c>
      <c r="AA81" s="31">
        <f>Tercera!AA81</f>
        <v>0</v>
      </c>
      <c r="AB81" s="32">
        <f t="shared" si="131"/>
        <v>-1</v>
      </c>
      <c r="AC81" s="31">
        <f>Tercera!AC81</f>
        <v>0</v>
      </c>
      <c r="AD81" s="32">
        <f t="shared" si="132"/>
        <v>-1</v>
      </c>
      <c r="AE81" s="31">
        <f>Tercera!AE81</f>
        <v>0</v>
      </c>
      <c r="AF81" s="32">
        <f t="shared" si="133"/>
        <v>-1</v>
      </c>
      <c r="AG81" s="31">
        <f>Tercera!AG81</f>
        <v>0</v>
      </c>
      <c r="AH81" s="32">
        <f t="shared" si="134"/>
        <v>-1</v>
      </c>
      <c r="AI81" s="31">
        <f>Tercera!AI81</f>
        <v>0</v>
      </c>
      <c r="AJ81" s="32">
        <f t="shared" si="135"/>
        <v>-1</v>
      </c>
      <c r="AK81" s="31">
        <f>Tercera!AK81</f>
        <v>0</v>
      </c>
      <c r="AL81" s="32">
        <f t="shared" si="136"/>
        <v>-1</v>
      </c>
      <c r="AM81" s="31">
        <f>Tercera!AM81</f>
        <v>0</v>
      </c>
      <c r="AN81" s="32">
        <f t="shared" si="137"/>
        <v>-1</v>
      </c>
      <c r="AO81" s="31">
        <f>Tercera!AO81</f>
        <v>0</v>
      </c>
      <c r="AP81" s="32">
        <f t="shared" si="138"/>
        <v>-1</v>
      </c>
      <c r="AQ81" s="31">
        <f>Tercera!AQ81</f>
        <v>0</v>
      </c>
      <c r="AR81" s="32">
        <f t="shared" si="139"/>
        <v>-1</v>
      </c>
      <c r="AS81" s="31">
        <f>Tercera!AS81</f>
        <v>0</v>
      </c>
      <c r="AT81" s="32">
        <f t="shared" si="140"/>
        <v>-1</v>
      </c>
      <c r="AU81" s="31">
        <f>Tercera!AU81</f>
        <v>0</v>
      </c>
      <c r="AV81" s="32">
        <f t="shared" si="141"/>
        <v>-1</v>
      </c>
      <c r="AW81" s="31">
        <f>Tercera!AW81</f>
        <v>0</v>
      </c>
      <c r="AX81" s="32">
        <f t="shared" si="142"/>
        <v>-1</v>
      </c>
      <c r="AY81" s="31">
        <f>Tercera!AY81</f>
        <v>0</v>
      </c>
      <c r="AZ81" s="32">
        <f t="shared" si="143"/>
        <v>-1</v>
      </c>
      <c r="BA81" s="31">
        <f>Tercera!BA81</f>
        <v>0</v>
      </c>
      <c r="BB81" s="32">
        <f t="shared" si="144"/>
        <v>-1</v>
      </c>
      <c r="BC81" s="31">
        <f>Tercera!BC81</f>
        <v>0</v>
      </c>
      <c r="BD81" s="32">
        <f t="shared" si="145"/>
        <v>-1</v>
      </c>
      <c r="BE81" s="31">
        <f>Tercera!BE81</f>
        <v>0</v>
      </c>
      <c r="BF81" s="32">
        <f t="shared" si="146"/>
        <v>-1</v>
      </c>
      <c r="BG81" s="31">
        <f>Tercera!BG81</f>
        <v>0</v>
      </c>
      <c r="BH81" s="32">
        <f t="shared" si="147"/>
        <v>-1</v>
      </c>
      <c r="BI81" s="31">
        <f>Tercera!BI81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Tercera!B82</f>
        <v>0</v>
      </c>
      <c r="C82" s="31">
        <f>Tercera!C82</f>
        <v>0</v>
      </c>
      <c r="D82" s="32">
        <f t="shared" si="119"/>
        <v>-1</v>
      </c>
      <c r="E82" s="31">
        <f>Tercera!E82</f>
        <v>0</v>
      </c>
      <c r="F82" s="32">
        <f t="shared" si="120"/>
        <v>-1</v>
      </c>
      <c r="G82" s="31">
        <f>Tercera!G82</f>
        <v>0</v>
      </c>
      <c r="H82" s="32">
        <f t="shared" si="121"/>
        <v>-1</v>
      </c>
      <c r="I82" s="31">
        <f>Tercera!I82</f>
        <v>0</v>
      </c>
      <c r="J82" s="32">
        <f t="shared" si="122"/>
        <v>-1</v>
      </c>
      <c r="K82" s="31">
        <f>Tercera!K82</f>
        <v>0</v>
      </c>
      <c r="L82" s="32">
        <f t="shared" si="123"/>
        <v>-1</v>
      </c>
      <c r="M82" s="31">
        <f>Tercera!M82</f>
        <v>0</v>
      </c>
      <c r="N82" s="32">
        <f t="shared" si="124"/>
        <v>-1</v>
      </c>
      <c r="O82" s="31">
        <f>Tercera!O82</f>
        <v>0</v>
      </c>
      <c r="P82" s="32">
        <f t="shared" si="125"/>
        <v>-1</v>
      </c>
      <c r="Q82" s="31">
        <f>Tercera!Q82</f>
        <v>0</v>
      </c>
      <c r="R82" s="32">
        <f t="shared" si="126"/>
        <v>-1</v>
      </c>
      <c r="S82" s="31">
        <f>Tercera!S82</f>
        <v>0</v>
      </c>
      <c r="T82" s="32">
        <f t="shared" si="127"/>
        <v>-1</v>
      </c>
      <c r="U82" s="31">
        <f>Tercera!U82</f>
        <v>0</v>
      </c>
      <c r="V82" s="32">
        <f t="shared" si="128"/>
        <v>-1</v>
      </c>
      <c r="W82" s="31">
        <f>Tercera!W82</f>
        <v>0</v>
      </c>
      <c r="X82" s="32">
        <f t="shared" si="129"/>
        <v>-1</v>
      </c>
      <c r="Y82" s="31">
        <f>Tercera!Y82</f>
        <v>0</v>
      </c>
      <c r="Z82" s="32">
        <f t="shared" si="130"/>
        <v>-1</v>
      </c>
      <c r="AA82" s="31">
        <f>Tercera!AA82</f>
        <v>0</v>
      </c>
      <c r="AB82" s="32">
        <f t="shared" si="131"/>
        <v>-1</v>
      </c>
      <c r="AC82" s="31">
        <f>Tercera!AC82</f>
        <v>0</v>
      </c>
      <c r="AD82" s="32">
        <f t="shared" si="132"/>
        <v>-1</v>
      </c>
      <c r="AE82" s="31">
        <f>Tercera!AE82</f>
        <v>0</v>
      </c>
      <c r="AF82" s="32">
        <f t="shared" si="133"/>
        <v>-1</v>
      </c>
      <c r="AG82" s="31">
        <f>Tercera!AG82</f>
        <v>0</v>
      </c>
      <c r="AH82" s="32">
        <f t="shared" si="134"/>
        <v>-1</v>
      </c>
      <c r="AI82" s="31">
        <f>Tercera!AI82</f>
        <v>0</v>
      </c>
      <c r="AJ82" s="32">
        <f t="shared" si="135"/>
        <v>-1</v>
      </c>
      <c r="AK82" s="31">
        <f>Tercera!AK82</f>
        <v>0</v>
      </c>
      <c r="AL82" s="32">
        <f t="shared" si="136"/>
        <v>-1</v>
      </c>
      <c r="AM82" s="31">
        <f>Tercera!AM82</f>
        <v>0</v>
      </c>
      <c r="AN82" s="32">
        <f t="shared" si="137"/>
        <v>-1</v>
      </c>
      <c r="AO82" s="31">
        <f>Tercera!AO82</f>
        <v>0</v>
      </c>
      <c r="AP82" s="32">
        <f t="shared" si="138"/>
        <v>-1</v>
      </c>
      <c r="AQ82" s="31">
        <f>Tercera!AQ82</f>
        <v>0</v>
      </c>
      <c r="AR82" s="32">
        <f t="shared" si="139"/>
        <v>-1</v>
      </c>
      <c r="AS82" s="31">
        <f>Tercera!AS82</f>
        <v>0</v>
      </c>
      <c r="AT82" s="32">
        <f t="shared" si="140"/>
        <v>-1</v>
      </c>
      <c r="AU82" s="31">
        <f>Tercera!AU82</f>
        <v>0</v>
      </c>
      <c r="AV82" s="32">
        <f t="shared" si="141"/>
        <v>-1</v>
      </c>
      <c r="AW82" s="31">
        <f>Tercera!AW82</f>
        <v>0</v>
      </c>
      <c r="AX82" s="32">
        <f t="shared" si="142"/>
        <v>-1</v>
      </c>
      <c r="AY82" s="31">
        <f>Tercera!AY82</f>
        <v>0</v>
      </c>
      <c r="AZ82" s="32">
        <f t="shared" si="143"/>
        <v>-1</v>
      </c>
      <c r="BA82" s="31">
        <f>Tercera!BA82</f>
        <v>0</v>
      </c>
      <c r="BB82" s="32">
        <f t="shared" si="144"/>
        <v>-1</v>
      </c>
      <c r="BC82" s="31">
        <f>Tercera!BC82</f>
        <v>0</v>
      </c>
      <c r="BD82" s="32">
        <f t="shared" si="145"/>
        <v>-1</v>
      </c>
      <c r="BE82" s="31">
        <f>Tercera!BE82</f>
        <v>0</v>
      </c>
      <c r="BF82" s="32">
        <f t="shared" si="146"/>
        <v>-1</v>
      </c>
      <c r="BG82" s="31">
        <f>Tercera!BG82</f>
        <v>0</v>
      </c>
      <c r="BH82" s="32">
        <f t="shared" si="147"/>
        <v>-1</v>
      </c>
      <c r="BI82" s="31">
        <f>Tercera!BI82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Tercera!B83</f>
        <v>0</v>
      </c>
      <c r="C83" s="31">
        <f>Tercera!C83</f>
        <v>0</v>
      </c>
      <c r="D83" s="32">
        <f t="shared" si="119"/>
        <v>-1</v>
      </c>
      <c r="E83" s="31">
        <f>Tercera!E83</f>
        <v>0</v>
      </c>
      <c r="F83" s="32">
        <f t="shared" si="120"/>
        <v>-1</v>
      </c>
      <c r="G83" s="31">
        <f>Tercera!G83</f>
        <v>0</v>
      </c>
      <c r="H83" s="32">
        <f t="shared" si="121"/>
        <v>-1</v>
      </c>
      <c r="I83" s="31">
        <f>Tercera!I83</f>
        <v>0</v>
      </c>
      <c r="J83" s="32">
        <f t="shared" si="122"/>
        <v>-1</v>
      </c>
      <c r="K83" s="31">
        <f>Tercera!K83</f>
        <v>0</v>
      </c>
      <c r="L83" s="32">
        <f t="shared" si="123"/>
        <v>-1</v>
      </c>
      <c r="M83" s="31">
        <f>Tercera!M83</f>
        <v>0</v>
      </c>
      <c r="N83" s="32">
        <f t="shared" si="124"/>
        <v>-1</v>
      </c>
      <c r="O83" s="31">
        <f>Tercera!O83</f>
        <v>0</v>
      </c>
      <c r="P83" s="32">
        <f t="shared" si="125"/>
        <v>-1</v>
      </c>
      <c r="Q83" s="31">
        <f>Tercera!Q83</f>
        <v>0</v>
      </c>
      <c r="R83" s="32">
        <f t="shared" si="126"/>
        <v>-1</v>
      </c>
      <c r="S83" s="31">
        <f>Tercera!S83</f>
        <v>0</v>
      </c>
      <c r="T83" s="32">
        <f t="shared" si="127"/>
        <v>-1</v>
      </c>
      <c r="U83" s="31">
        <f>Tercera!U83</f>
        <v>0</v>
      </c>
      <c r="V83" s="32">
        <f t="shared" si="128"/>
        <v>-1</v>
      </c>
      <c r="W83" s="31">
        <f>Tercera!W83</f>
        <v>0</v>
      </c>
      <c r="X83" s="32">
        <f t="shared" si="129"/>
        <v>-1</v>
      </c>
      <c r="Y83" s="31">
        <f>Tercera!Y83</f>
        <v>0</v>
      </c>
      <c r="Z83" s="32">
        <f t="shared" si="130"/>
        <v>-1</v>
      </c>
      <c r="AA83" s="31">
        <f>Tercera!AA83</f>
        <v>0</v>
      </c>
      <c r="AB83" s="32">
        <f t="shared" si="131"/>
        <v>-1</v>
      </c>
      <c r="AC83" s="31">
        <f>Tercera!AC83</f>
        <v>0</v>
      </c>
      <c r="AD83" s="32">
        <f t="shared" si="132"/>
        <v>-1</v>
      </c>
      <c r="AE83" s="31">
        <f>Tercera!AE83</f>
        <v>0</v>
      </c>
      <c r="AF83" s="32">
        <f t="shared" si="133"/>
        <v>-1</v>
      </c>
      <c r="AG83" s="31">
        <f>Tercera!AG83</f>
        <v>0</v>
      </c>
      <c r="AH83" s="32">
        <f t="shared" si="134"/>
        <v>-1</v>
      </c>
      <c r="AI83" s="31">
        <f>Tercera!AI83</f>
        <v>0</v>
      </c>
      <c r="AJ83" s="32">
        <f t="shared" si="135"/>
        <v>-1</v>
      </c>
      <c r="AK83" s="31">
        <f>Tercera!AK83</f>
        <v>0</v>
      </c>
      <c r="AL83" s="32">
        <f t="shared" si="136"/>
        <v>-1</v>
      </c>
      <c r="AM83" s="31">
        <f>Tercera!AM83</f>
        <v>0</v>
      </c>
      <c r="AN83" s="32">
        <f t="shared" si="137"/>
        <v>-1</v>
      </c>
      <c r="AO83" s="31">
        <f>Tercera!AO83</f>
        <v>0</v>
      </c>
      <c r="AP83" s="32">
        <f t="shared" si="138"/>
        <v>-1</v>
      </c>
      <c r="AQ83" s="31">
        <f>Tercera!AQ83</f>
        <v>0</v>
      </c>
      <c r="AR83" s="32">
        <f t="shared" si="139"/>
        <v>-1</v>
      </c>
      <c r="AS83" s="31">
        <f>Tercera!AS83</f>
        <v>0</v>
      </c>
      <c r="AT83" s="32">
        <f t="shared" si="140"/>
        <v>-1</v>
      </c>
      <c r="AU83" s="31">
        <f>Tercera!AU83</f>
        <v>0</v>
      </c>
      <c r="AV83" s="32">
        <f t="shared" si="141"/>
        <v>-1</v>
      </c>
      <c r="AW83" s="31">
        <f>Tercera!AW83</f>
        <v>0</v>
      </c>
      <c r="AX83" s="32">
        <f t="shared" si="142"/>
        <v>-1</v>
      </c>
      <c r="AY83" s="31">
        <f>Tercera!AY83</f>
        <v>0</v>
      </c>
      <c r="AZ83" s="32">
        <f t="shared" si="143"/>
        <v>-1</v>
      </c>
      <c r="BA83" s="31">
        <f>Tercera!BA83</f>
        <v>0</v>
      </c>
      <c r="BB83" s="32">
        <f t="shared" si="144"/>
        <v>-1</v>
      </c>
      <c r="BC83" s="31">
        <f>Tercera!BC83</f>
        <v>0</v>
      </c>
      <c r="BD83" s="32">
        <f t="shared" si="145"/>
        <v>-1</v>
      </c>
      <c r="BE83" s="31">
        <f>Tercera!BE83</f>
        <v>0</v>
      </c>
      <c r="BF83" s="32">
        <f t="shared" si="146"/>
        <v>-1</v>
      </c>
      <c r="BG83" s="31">
        <f>Tercera!BG83</f>
        <v>0</v>
      </c>
      <c r="BH83" s="32">
        <f t="shared" si="147"/>
        <v>-1</v>
      </c>
      <c r="BI83" s="31">
        <f>Tercera!BI83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Tercera!B84</f>
        <v>0</v>
      </c>
      <c r="C84" s="31">
        <f>Tercera!C84</f>
        <v>0</v>
      </c>
      <c r="D84" s="32">
        <f t="shared" si="119"/>
        <v>-1</v>
      </c>
      <c r="E84" s="31">
        <f>Tercera!E84</f>
        <v>0</v>
      </c>
      <c r="F84" s="32">
        <f t="shared" si="120"/>
        <v>-1</v>
      </c>
      <c r="G84" s="31">
        <f>Tercera!G84</f>
        <v>0</v>
      </c>
      <c r="H84" s="32">
        <f t="shared" si="121"/>
        <v>-1</v>
      </c>
      <c r="I84" s="31">
        <f>Tercera!I84</f>
        <v>0</v>
      </c>
      <c r="J84" s="32">
        <f t="shared" si="122"/>
        <v>-1</v>
      </c>
      <c r="K84" s="31">
        <f>Tercera!K84</f>
        <v>0</v>
      </c>
      <c r="L84" s="32">
        <f t="shared" si="123"/>
        <v>-1</v>
      </c>
      <c r="M84" s="31">
        <f>Tercera!M84</f>
        <v>0</v>
      </c>
      <c r="N84" s="32">
        <f t="shared" si="124"/>
        <v>-1</v>
      </c>
      <c r="O84" s="31">
        <f>Tercera!O84</f>
        <v>0</v>
      </c>
      <c r="P84" s="32">
        <f t="shared" si="125"/>
        <v>-1</v>
      </c>
      <c r="Q84" s="31">
        <f>Tercera!Q84</f>
        <v>0</v>
      </c>
      <c r="R84" s="32">
        <f t="shared" si="126"/>
        <v>-1</v>
      </c>
      <c r="S84" s="31">
        <f>Tercera!S84</f>
        <v>0</v>
      </c>
      <c r="T84" s="32">
        <f t="shared" si="127"/>
        <v>-1</v>
      </c>
      <c r="U84" s="31">
        <f>Tercera!U84</f>
        <v>0</v>
      </c>
      <c r="V84" s="32">
        <f t="shared" si="128"/>
        <v>-1</v>
      </c>
      <c r="W84" s="31">
        <f>Tercera!W84</f>
        <v>0</v>
      </c>
      <c r="X84" s="32">
        <f t="shared" si="129"/>
        <v>-1</v>
      </c>
      <c r="Y84" s="31">
        <f>Tercera!Y84</f>
        <v>0</v>
      </c>
      <c r="Z84" s="32">
        <f t="shared" si="130"/>
        <v>-1</v>
      </c>
      <c r="AA84" s="31">
        <f>Tercera!AA84</f>
        <v>0</v>
      </c>
      <c r="AB84" s="32">
        <f t="shared" si="131"/>
        <v>-1</v>
      </c>
      <c r="AC84" s="31">
        <f>Tercera!AC84</f>
        <v>0</v>
      </c>
      <c r="AD84" s="32">
        <f t="shared" si="132"/>
        <v>-1</v>
      </c>
      <c r="AE84" s="31">
        <f>Tercera!AE84</f>
        <v>0</v>
      </c>
      <c r="AF84" s="32">
        <f t="shared" si="133"/>
        <v>-1</v>
      </c>
      <c r="AG84" s="31">
        <f>Tercera!AG84</f>
        <v>0</v>
      </c>
      <c r="AH84" s="32">
        <f t="shared" si="134"/>
        <v>-1</v>
      </c>
      <c r="AI84" s="31">
        <f>Tercera!AI84</f>
        <v>0</v>
      </c>
      <c r="AJ84" s="32">
        <f t="shared" si="135"/>
        <v>-1</v>
      </c>
      <c r="AK84" s="31">
        <f>Tercera!AK84</f>
        <v>0</v>
      </c>
      <c r="AL84" s="32">
        <f t="shared" si="136"/>
        <v>-1</v>
      </c>
      <c r="AM84" s="31">
        <f>Tercera!AM84</f>
        <v>0</v>
      </c>
      <c r="AN84" s="32">
        <f t="shared" si="137"/>
        <v>-1</v>
      </c>
      <c r="AO84" s="31">
        <f>Tercera!AO84</f>
        <v>0</v>
      </c>
      <c r="AP84" s="32">
        <f t="shared" si="138"/>
        <v>-1</v>
      </c>
      <c r="AQ84" s="31">
        <f>Tercera!AQ84</f>
        <v>0</v>
      </c>
      <c r="AR84" s="32">
        <f t="shared" si="139"/>
        <v>-1</v>
      </c>
      <c r="AS84" s="31">
        <f>Tercera!AS84</f>
        <v>0</v>
      </c>
      <c r="AT84" s="32">
        <f t="shared" si="140"/>
        <v>-1</v>
      </c>
      <c r="AU84" s="31">
        <f>Tercera!AU84</f>
        <v>0</v>
      </c>
      <c r="AV84" s="32">
        <f t="shared" si="141"/>
        <v>-1</v>
      </c>
      <c r="AW84" s="31">
        <f>Tercera!AW84</f>
        <v>0</v>
      </c>
      <c r="AX84" s="32">
        <f t="shared" si="142"/>
        <v>-1</v>
      </c>
      <c r="AY84" s="31">
        <f>Tercera!AY84</f>
        <v>0</v>
      </c>
      <c r="AZ84" s="32">
        <f t="shared" si="143"/>
        <v>-1</v>
      </c>
      <c r="BA84" s="31">
        <f>Tercera!BA84</f>
        <v>0</v>
      </c>
      <c r="BB84" s="32">
        <f t="shared" si="144"/>
        <v>-1</v>
      </c>
      <c r="BC84" s="31">
        <f>Tercera!BC84</f>
        <v>0</v>
      </c>
      <c r="BD84" s="32">
        <f t="shared" si="145"/>
        <v>-1</v>
      </c>
      <c r="BE84" s="31">
        <f>Tercera!BE84</f>
        <v>0</v>
      </c>
      <c r="BF84" s="32">
        <f t="shared" si="146"/>
        <v>-1</v>
      </c>
      <c r="BG84" s="31">
        <f>Tercera!BG84</f>
        <v>0</v>
      </c>
      <c r="BH84" s="32">
        <f t="shared" si="147"/>
        <v>-1</v>
      </c>
      <c r="BI84" s="31">
        <f>Tercera!BI84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Tercera!B85</f>
        <v>0</v>
      </c>
      <c r="C85" s="31">
        <f>Tercera!C85</f>
        <v>0</v>
      </c>
      <c r="D85" s="32">
        <f t="shared" si="119"/>
        <v>-1</v>
      </c>
      <c r="E85" s="31">
        <f>Tercera!E85</f>
        <v>0</v>
      </c>
      <c r="F85" s="32">
        <f t="shared" si="120"/>
        <v>-1</v>
      </c>
      <c r="G85" s="31">
        <f>Tercera!G85</f>
        <v>0</v>
      </c>
      <c r="H85" s="32">
        <f t="shared" si="121"/>
        <v>-1</v>
      </c>
      <c r="I85" s="31">
        <f>Tercera!I85</f>
        <v>0</v>
      </c>
      <c r="J85" s="32">
        <f t="shared" si="122"/>
        <v>-1</v>
      </c>
      <c r="K85" s="31">
        <f>Tercera!K85</f>
        <v>0</v>
      </c>
      <c r="L85" s="32">
        <f t="shared" si="123"/>
        <v>-1</v>
      </c>
      <c r="M85" s="31">
        <f>Tercera!M85</f>
        <v>0</v>
      </c>
      <c r="N85" s="32">
        <f t="shared" si="124"/>
        <v>-1</v>
      </c>
      <c r="O85" s="31">
        <f>Tercera!O85</f>
        <v>0</v>
      </c>
      <c r="P85" s="32">
        <f t="shared" si="125"/>
        <v>-1</v>
      </c>
      <c r="Q85" s="31">
        <f>Tercera!Q85</f>
        <v>0</v>
      </c>
      <c r="R85" s="32">
        <f t="shared" si="126"/>
        <v>-1</v>
      </c>
      <c r="S85" s="31">
        <f>Tercera!S85</f>
        <v>0</v>
      </c>
      <c r="T85" s="32">
        <f t="shared" si="127"/>
        <v>-1</v>
      </c>
      <c r="U85" s="31">
        <f>Tercera!U85</f>
        <v>0</v>
      </c>
      <c r="V85" s="32">
        <f t="shared" si="128"/>
        <v>-1</v>
      </c>
      <c r="W85" s="31">
        <f>Tercera!W85</f>
        <v>0</v>
      </c>
      <c r="X85" s="32">
        <f t="shared" si="129"/>
        <v>-1</v>
      </c>
      <c r="Y85" s="31">
        <f>Tercera!Y85</f>
        <v>0</v>
      </c>
      <c r="Z85" s="32">
        <f t="shared" si="130"/>
        <v>-1</v>
      </c>
      <c r="AA85" s="31">
        <f>Tercera!AA85</f>
        <v>0</v>
      </c>
      <c r="AB85" s="32">
        <f t="shared" si="131"/>
        <v>-1</v>
      </c>
      <c r="AC85" s="31">
        <f>Tercera!AC85</f>
        <v>0</v>
      </c>
      <c r="AD85" s="32">
        <f t="shared" si="132"/>
        <v>-1</v>
      </c>
      <c r="AE85" s="31">
        <f>Tercera!AE85</f>
        <v>0</v>
      </c>
      <c r="AF85" s="32">
        <f t="shared" si="133"/>
        <v>-1</v>
      </c>
      <c r="AG85" s="31">
        <f>Tercera!AG85</f>
        <v>0</v>
      </c>
      <c r="AH85" s="32">
        <f t="shared" si="134"/>
        <v>-1</v>
      </c>
      <c r="AI85" s="31">
        <f>Tercera!AI85</f>
        <v>0</v>
      </c>
      <c r="AJ85" s="32">
        <f t="shared" si="135"/>
        <v>-1</v>
      </c>
      <c r="AK85" s="31">
        <f>Tercera!AK85</f>
        <v>0</v>
      </c>
      <c r="AL85" s="32">
        <f t="shared" si="136"/>
        <v>-1</v>
      </c>
      <c r="AM85" s="31">
        <f>Tercera!AM85</f>
        <v>0</v>
      </c>
      <c r="AN85" s="32">
        <f t="shared" si="137"/>
        <v>-1</v>
      </c>
      <c r="AO85" s="31">
        <f>Tercera!AO85</f>
        <v>0</v>
      </c>
      <c r="AP85" s="32">
        <f t="shared" si="138"/>
        <v>-1</v>
      </c>
      <c r="AQ85" s="31">
        <f>Tercera!AQ85</f>
        <v>0</v>
      </c>
      <c r="AR85" s="32">
        <f t="shared" si="139"/>
        <v>-1</v>
      </c>
      <c r="AS85" s="31">
        <f>Tercera!AS85</f>
        <v>0</v>
      </c>
      <c r="AT85" s="32">
        <f t="shared" si="140"/>
        <v>-1</v>
      </c>
      <c r="AU85" s="31">
        <f>Tercera!AU85</f>
        <v>0</v>
      </c>
      <c r="AV85" s="32">
        <f t="shared" si="141"/>
        <v>-1</v>
      </c>
      <c r="AW85" s="31">
        <f>Tercera!AW85</f>
        <v>0</v>
      </c>
      <c r="AX85" s="32">
        <f t="shared" si="142"/>
        <v>-1</v>
      </c>
      <c r="AY85" s="31">
        <f>Tercera!AY85</f>
        <v>0</v>
      </c>
      <c r="AZ85" s="32">
        <f t="shared" si="143"/>
        <v>-1</v>
      </c>
      <c r="BA85" s="31">
        <f>Tercera!BA85</f>
        <v>0</v>
      </c>
      <c r="BB85" s="32">
        <f t="shared" si="144"/>
        <v>-1</v>
      </c>
      <c r="BC85" s="31">
        <f>Tercera!BC85</f>
        <v>0</v>
      </c>
      <c r="BD85" s="32">
        <f t="shared" si="145"/>
        <v>-1</v>
      </c>
      <c r="BE85" s="31">
        <f>Tercera!BE85</f>
        <v>0</v>
      </c>
      <c r="BF85" s="32">
        <f t="shared" si="146"/>
        <v>-1</v>
      </c>
      <c r="BG85" s="31">
        <f>Tercera!BG85</f>
        <v>0</v>
      </c>
      <c r="BH85" s="32">
        <f t="shared" si="147"/>
        <v>-1</v>
      </c>
      <c r="BI85" s="31">
        <f>Tercera!BI85</f>
        <v>0</v>
      </c>
      <c r="BJ85" s="32">
        <f t="shared" si="148"/>
        <v>-1</v>
      </c>
    </row>
    <row r="86" spans="1:62" ht="19" customHeight="1" x14ac:dyDescent="0.2">
      <c r="A86" s="54" t="s">
        <v>84</v>
      </c>
      <c r="B86" s="55"/>
      <c r="C86" s="59">
        <f>SUM(C4,C7,C16,C38,C59,C64)</f>
        <v>4.4649999825283881</v>
      </c>
      <c r="D86" s="60"/>
      <c r="E86" s="60">
        <f>SUM(E65:E85,E60:E63,E39:E58,E17:E37,E8:E15,E5:E6)</f>
        <v>28.450000062584877</v>
      </c>
      <c r="F86" s="60"/>
      <c r="G86" s="60">
        <f t="shared" ref="G86" si="149">SUM(G65:G85,G60:G63,G39:G58,G17:G37,G8:G15,G5:G6)</f>
        <v>23.300000287592411</v>
      </c>
      <c r="H86" s="60"/>
      <c r="I86" s="60">
        <f t="shared" ref="I86" si="150">SUM(I65:I85,I60:I63,I39:I58,I17:I37,I8:I15,I5:I6)</f>
        <v>26.750000152736902</v>
      </c>
      <c r="J86" s="60"/>
      <c r="K86" s="60">
        <f t="shared" ref="K86" si="151">SUM(K65:K85,K60:K63,K39:K58,K17:K37,K8:K15,K5:K6)</f>
        <v>27.300000116229057</v>
      </c>
      <c r="L86" s="60"/>
      <c r="M86" s="60">
        <f t="shared" ref="M86" si="152">SUM(M65:M85,M60:M63,M39:M58,M17:M37,M8:M15,M5:M6)</f>
        <v>20.550000231713057</v>
      </c>
      <c r="N86" s="60"/>
      <c r="O86" s="60">
        <f t="shared" ref="O86" si="153">SUM(O65:O85,O60:O63,O39:O58,O17:O37,O8:O15,O5:O6)</f>
        <v>28.050000190734863</v>
      </c>
      <c r="P86" s="60"/>
      <c r="Q86" s="60">
        <f t="shared" ref="Q86" si="154">SUM(Q65:Q85,Q60:Q63,Q39:Q58,Q17:Q37,Q8:Q15,Q5:Q6)</f>
        <v>22.950000341981649</v>
      </c>
      <c r="R86" s="60"/>
      <c r="S86" s="60">
        <f t="shared" ref="S86" si="155">SUM(S65:S85,S60:S63,S39:S58,S17:S37,S8:S15,S5:S6)</f>
        <v>20.750000111758709</v>
      </c>
      <c r="T86" s="60"/>
      <c r="U86" s="60">
        <f t="shared" ref="U86" si="156">SUM(U65:U85,U60:U63,U39:U58,U17:U37,U8:U15,U5:U6)</f>
        <v>23.750000007450581</v>
      </c>
      <c r="V86" s="60"/>
      <c r="W86" s="60">
        <f t="shared" ref="W86" si="157">SUM(W65:W85,W60:W63,W39:W58,W17:W37,W8:W15,W5:W6)</f>
        <v>23.250000014901161</v>
      </c>
      <c r="X86" s="60"/>
      <c r="Y86" s="60">
        <f t="shared" ref="Y86" si="158">SUM(Y65:Y85,Y60:Y63,Y39:Y58,Y17:Y37,Y8:Y15,Y5:Y6)</f>
        <v>26.650000192224979</v>
      </c>
      <c r="Z86" s="60"/>
      <c r="AA86" s="60">
        <f t="shared" ref="AA86" si="159">SUM(AA65:AA85,AA60:AA63,AA39:AA58,AA17:AA37,AA8:AA15,AA5:AA6)</f>
        <v>24.300000302493572</v>
      </c>
      <c r="AB86" s="60"/>
      <c r="AC86" s="60">
        <f t="shared" ref="AC86" si="160">SUM(AC65:AC85,AC60:AC63,AC39:AC58,AC17:AC37,AC8:AC15,AC5:AC6)</f>
        <v>25.249999970197678</v>
      </c>
      <c r="AD86" s="60"/>
      <c r="AE86" s="60">
        <f t="shared" ref="AE86" si="161">SUM(AE65:AE85,AE60:AE63,AE39:AE58,AE17:AE37,AE8:AE15,AE5:AE6)</f>
        <v>24.650000248104334</v>
      </c>
      <c r="AF86" s="60"/>
      <c r="AG86" s="60">
        <f t="shared" ref="AG86" si="162">SUM(AG65:AG85,AG60:AG63,AG39:AG58,AG17:AG37,AG8:AG15,AG5:AG6)</f>
        <v>25.450000122189522</v>
      </c>
      <c r="AH86" s="60"/>
      <c r="AI86" s="60">
        <f t="shared" ref="AI86" si="163">SUM(AI65:AI85,AI60:AI63,AI39:AI58,AI17:AI37,AI8:AI15,AI5:AI6)</f>
        <v>20.950000137090683</v>
      </c>
      <c r="AJ86" s="60"/>
      <c r="AK86" s="60">
        <f t="shared" ref="AK86" si="164">SUM(AK65:AK85,AK60:AK63,AK39:AK58,AK17:AK37,AK8:AK15,AK5:AK6)</f>
        <v>26.350000120699406</v>
      </c>
      <c r="AL86" s="60"/>
      <c r="AM86" s="60">
        <f t="shared" ref="AM86" si="165">SUM(AM65:AM85,AM60:AM63,AM39:AM58,AM17:AM37,AM8:AM15,AM5:AM6)</f>
        <v>22.800000313669443</v>
      </c>
      <c r="AN86" s="60"/>
      <c r="AO86" s="60">
        <f t="shared" ref="AO86" si="166">SUM(AO65:AO85,AO60:AO63,AO39:AO58,AO17:AO37,AO8:AO15,AO5:AO6)</f>
        <v>22.950000092387199</v>
      </c>
      <c r="AP86" s="60"/>
      <c r="AQ86" s="60">
        <f t="shared" ref="AQ86" si="167">SUM(AQ65:AQ85,AQ60:AQ63,AQ39:AQ58,AQ17:AQ37,AQ8:AQ15,AQ5:AQ6)</f>
        <v>25.350000306963921</v>
      </c>
      <c r="AR86" s="60"/>
      <c r="AS86" s="60">
        <f t="shared" ref="AS86" si="168">SUM(AS65:AS85,AS60:AS63,AS39:AS58,AS17:AS37,AS8:AS15,AS5:AS6)</f>
        <v>27.450000330805779</v>
      </c>
      <c r="AT86" s="60"/>
      <c r="AU86" s="60">
        <f t="shared" ref="AU86" si="169">SUM(AU65:AU85,AU60:AU63,AU39:AU58,AU17:AU37,AU8:AU15,AU5:AU6)</f>
        <v>22.100000150501728</v>
      </c>
      <c r="AV86" s="60"/>
      <c r="AW86" s="60">
        <f t="shared" ref="AW86" si="170">SUM(AW65:AW85,AW60:AW63,AW39:AW58,AW17:AW37,AW8:AW15,AW5:AW6)</f>
        <v>22.700000111013651</v>
      </c>
      <c r="AX86" s="60"/>
      <c r="AY86" s="60">
        <f t="shared" ref="AY86" si="171">SUM(AY65:AY85,AY60:AY63,AY39:AY58,AY17:AY37,AY8:AY15,AY5:AY6)</f>
        <v>23.850000124424696</v>
      </c>
      <c r="AZ86" s="60"/>
      <c r="BA86" s="60">
        <f t="shared" ref="BA86" si="172">SUM(BA65:BA85,BA60:BA63,BA39:BA58,BA17:BA37,BA8:BA15,BA5:BA6)</f>
        <v>22.500000204890966</v>
      </c>
      <c r="BB86" s="60"/>
      <c r="BC86" s="60">
        <f t="shared" ref="BC86" si="173">SUM(BC65:BC85,BC60:BC63,BC39:BC58,BC17:BC37,BC8:BC15,BC5:BC6)</f>
        <v>29.550000220537186</v>
      </c>
      <c r="BD86" s="60"/>
      <c r="BE86" s="60">
        <f t="shared" ref="BE86" si="174">SUM(BE65:BE85,BE60:BE63,BE39:BE58,BE17:BE37,BE8:BE15,BE5:BE6)</f>
        <v>20.599999960511923</v>
      </c>
      <c r="BF86" s="60"/>
      <c r="BG86" s="60">
        <f t="shared" ref="BG86" si="175">SUM(BG65:BG85,BG60:BG63,BG39:BG58,BG17:BG37,BG8:BG15,BG5:BG6)</f>
        <v>24.450000159442425</v>
      </c>
      <c r="BH86" s="60"/>
      <c r="BI86" s="60">
        <f t="shared" ref="BI86" si="176">SUM(BI65:BI85,BI60:BI63,BI39:BI58,BI17:BI37,BI8:BI15,BI5:BI6)</f>
        <v>18.150000214576721</v>
      </c>
      <c r="BJ86" s="60"/>
    </row>
    <row r="87" spans="1:62" ht="19" customHeight="1" x14ac:dyDescent="0.2">
      <c r="A87" s="54"/>
      <c r="B87" s="55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</row>
    <row r="88" spans="1:62" ht="19" customHeight="1" x14ac:dyDescent="0.2">
      <c r="A88" s="54"/>
      <c r="B88" s="55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</row>
  </sheetData>
  <sheetProtection algorithmName="SHA-512" hashValue="Ke7L/KMaiGoufFC6kTPHAJ3J3trbOFg1jUtlzhosO91ovhGraH+7k2881ULWePScSYfLHefSxXFIDwujDnW/sQ==" saltValue="YtgOeZ3PB37N0hEIfYwxJA==" spinCount="100000" sheet="1" objects="1" scenarios="1"/>
  <mergeCells count="30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U64:V64"/>
    <mergeCell ref="W64:X64"/>
    <mergeCell ref="Y64:Z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BC64:BD64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A1:A2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</mergeCells>
  <conditionalFormatting sqref="C86 E86 G86 K86 O86 S86 W86 AA86 AE86 AI86 AM86 AQ86 AU86 AY86 BC86 BG86 I86 M86 Q86 U86 Y86 AC86 AG86 AK86 AO86 AS86 AW86 BA86 BE86 BI86">
    <cfRule type="cellIs" dxfId="21515" priority="92" stopIfTrue="1" operator="lessThan">
      <formula>5</formula>
    </cfRule>
    <cfRule type="cellIs" dxfId="21514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21513" priority="2" stopIfTrue="1" operator="lessThan">
      <formula>5</formula>
    </cfRule>
    <cfRule type="cellIs" dxfId="21512" priority="3" operator="greaterThanOrEqual">
      <formula>5</formula>
    </cfRule>
  </conditionalFormatting>
  <conditionalFormatting sqref="B3">
    <cfRule type="cellIs" dxfId="21511" priority="1" operator="notEqual">
      <formula>"Ok"</formula>
    </cfRule>
  </conditionalFormatting>
  <conditionalFormatting sqref="D5">
    <cfRule type="cellIs" dxfId="21510" priority="136896" stopIfTrue="1" operator="equal">
      <formula>-1</formula>
    </cfRule>
  </conditionalFormatting>
  <conditionalFormatting sqref="D5">
    <cfRule type="cellIs" dxfId="21509" priority="136897" stopIfTrue="1" operator="lessThan">
      <formula>0.5</formula>
    </cfRule>
  </conditionalFormatting>
  <conditionalFormatting sqref="D5">
    <cfRule type="cellIs" dxfId="21508" priority="136898" stopIfTrue="1" operator="greaterThanOrEqual">
      <formula>0.5</formula>
    </cfRule>
  </conditionalFormatting>
  <conditionalFormatting sqref="D6">
    <cfRule type="cellIs" dxfId="21507" priority="136899" stopIfTrue="1" operator="equal">
      <formula>-1</formula>
    </cfRule>
  </conditionalFormatting>
  <conditionalFormatting sqref="D6">
    <cfRule type="cellIs" dxfId="21506" priority="136900" stopIfTrue="1" operator="lessThan">
      <formula>0.5</formula>
    </cfRule>
  </conditionalFormatting>
  <conditionalFormatting sqref="D6">
    <cfRule type="cellIs" dxfId="21505" priority="136901" stopIfTrue="1" operator="greaterThanOrEqual">
      <formula>0.5</formula>
    </cfRule>
  </conditionalFormatting>
  <conditionalFormatting sqref="F5">
    <cfRule type="cellIs" dxfId="21504" priority="136902" stopIfTrue="1" operator="equal">
      <formula>-1</formula>
    </cfRule>
  </conditionalFormatting>
  <conditionalFormatting sqref="F5">
    <cfRule type="cellIs" dxfId="21503" priority="136903" stopIfTrue="1" operator="lessThan">
      <formula>0.5</formula>
    </cfRule>
  </conditionalFormatting>
  <conditionalFormatting sqref="F5">
    <cfRule type="cellIs" dxfId="21502" priority="136904" stopIfTrue="1" operator="greaterThanOrEqual">
      <formula>0.5</formula>
    </cfRule>
  </conditionalFormatting>
  <conditionalFormatting sqref="F6">
    <cfRule type="cellIs" dxfId="21501" priority="136905" stopIfTrue="1" operator="equal">
      <formula>-1</formula>
    </cfRule>
  </conditionalFormatting>
  <conditionalFormatting sqref="F6">
    <cfRule type="cellIs" dxfId="21500" priority="136906" stopIfTrue="1" operator="lessThan">
      <formula>0.5</formula>
    </cfRule>
  </conditionalFormatting>
  <conditionalFormatting sqref="F6">
    <cfRule type="cellIs" dxfId="21499" priority="136907" stopIfTrue="1" operator="greaterThanOrEqual">
      <formula>0.5</formula>
    </cfRule>
  </conditionalFormatting>
  <conditionalFormatting sqref="H5">
    <cfRule type="cellIs" dxfId="21498" priority="136908" stopIfTrue="1" operator="equal">
      <formula>-1</formula>
    </cfRule>
  </conditionalFormatting>
  <conditionalFormatting sqref="H5">
    <cfRule type="cellIs" dxfId="21497" priority="136909" stopIfTrue="1" operator="lessThan">
      <formula>0.5</formula>
    </cfRule>
  </conditionalFormatting>
  <conditionalFormatting sqref="H5">
    <cfRule type="cellIs" dxfId="21496" priority="136910" stopIfTrue="1" operator="greaterThanOrEqual">
      <formula>0.5</formula>
    </cfRule>
  </conditionalFormatting>
  <conditionalFormatting sqref="H6">
    <cfRule type="cellIs" dxfId="21495" priority="136911" stopIfTrue="1" operator="equal">
      <formula>-1</formula>
    </cfRule>
  </conditionalFormatting>
  <conditionalFormatting sqref="H6">
    <cfRule type="cellIs" dxfId="21494" priority="136912" stopIfTrue="1" operator="lessThan">
      <formula>0.5</formula>
    </cfRule>
  </conditionalFormatting>
  <conditionalFormatting sqref="H6">
    <cfRule type="cellIs" dxfId="21493" priority="136913" stopIfTrue="1" operator="greaterThanOrEqual">
      <formula>0.5</formula>
    </cfRule>
  </conditionalFormatting>
  <conditionalFormatting sqref="J5">
    <cfRule type="cellIs" dxfId="21492" priority="136914" stopIfTrue="1" operator="equal">
      <formula>-1</formula>
    </cfRule>
  </conditionalFormatting>
  <conditionalFormatting sqref="J5">
    <cfRule type="cellIs" dxfId="21491" priority="136915" stopIfTrue="1" operator="lessThan">
      <formula>0.5</formula>
    </cfRule>
  </conditionalFormatting>
  <conditionalFormatting sqref="J5">
    <cfRule type="cellIs" dxfId="21490" priority="136916" stopIfTrue="1" operator="greaterThanOrEqual">
      <formula>0.5</formula>
    </cfRule>
  </conditionalFormatting>
  <conditionalFormatting sqref="J6">
    <cfRule type="cellIs" dxfId="21489" priority="136917" stopIfTrue="1" operator="equal">
      <formula>-1</formula>
    </cfRule>
  </conditionalFormatting>
  <conditionalFormatting sqref="J6">
    <cfRule type="cellIs" dxfId="21488" priority="136918" stopIfTrue="1" operator="lessThan">
      <formula>0.5</formula>
    </cfRule>
  </conditionalFormatting>
  <conditionalFormatting sqref="J6">
    <cfRule type="cellIs" dxfId="21487" priority="136919" stopIfTrue="1" operator="greaterThanOrEqual">
      <formula>0.5</formula>
    </cfRule>
  </conditionalFormatting>
  <conditionalFormatting sqref="L5">
    <cfRule type="cellIs" dxfId="21486" priority="136920" stopIfTrue="1" operator="equal">
      <formula>-1</formula>
    </cfRule>
  </conditionalFormatting>
  <conditionalFormatting sqref="L5">
    <cfRule type="cellIs" dxfId="21485" priority="136921" stopIfTrue="1" operator="lessThan">
      <formula>0.5</formula>
    </cfRule>
  </conditionalFormatting>
  <conditionalFormatting sqref="L5">
    <cfRule type="cellIs" dxfId="21484" priority="136922" stopIfTrue="1" operator="greaterThanOrEqual">
      <formula>0.5</formula>
    </cfRule>
  </conditionalFormatting>
  <conditionalFormatting sqref="L6">
    <cfRule type="cellIs" dxfId="21483" priority="136923" stopIfTrue="1" operator="equal">
      <formula>-1</formula>
    </cfRule>
  </conditionalFormatting>
  <conditionalFormatting sqref="L6">
    <cfRule type="cellIs" dxfId="21482" priority="136924" stopIfTrue="1" operator="lessThan">
      <formula>0.5</formula>
    </cfRule>
  </conditionalFormatting>
  <conditionalFormatting sqref="L6">
    <cfRule type="cellIs" dxfId="21481" priority="136925" stopIfTrue="1" operator="greaterThanOrEqual">
      <formula>0.5</formula>
    </cfRule>
  </conditionalFormatting>
  <conditionalFormatting sqref="N5">
    <cfRule type="cellIs" dxfId="21480" priority="136926" stopIfTrue="1" operator="equal">
      <formula>-1</formula>
    </cfRule>
  </conditionalFormatting>
  <conditionalFormatting sqref="N5">
    <cfRule type="cellIs" dxfId="21479" priority="136927" stopIfTrue="1" operator="lessThan">
      <formula>0.5</formula>
    </cfRule>
  </conditionalFormatting>
  <conditionalFormatting sqref="N5">
    <cfRule type="cellIs" dxfId="21478" priority="136928" stopIfTrue="1" operator="greaterThanOrEqual">
      <formula>0.5</formula>
    </cfRule>
  </conditionalFormatting>
  <conditionalFormatting sqref="N6">
    <cfRule type="cellIs" dxfId="21477" priority="136929" stopIfTrue="1" operator="equal">
      <formula>-1</formula>
    </cfRule>
  </conditionalFormatting>
  <conditionalFormatting sqref="N6">
    <cfRule type="cellIs" dxfId="21476" priority="136930" stopIfTrue="1" operator="lessThan">
      <formula>0.5</formula>
    </cfRule>
  </conditionalFormatting>
  <conditionalFormatting sqref="N6">
    <cfRule type="cellIs" dxfId="21475" priority="136931" stopIfTrue="1" operator="greaterThanOrEqual">
      <formula>0.5</formula>
    </cfRule>
  </conditionalFormatting>
  <conditionalFormatting sqref="P5">
    <cfRule type="cellIs" dxfId="21474" priority="136932" stopIfTrue="1" operator="equal">
      <formula>-1</formula>
    </cfRule>
  </conditionalFormatting>
  <conditionalFormatting sqref="P5">
    <cfRule type="cellIs" dxfId="21473" priority="136933" stopIfTrue="1" operator="lessThan">
      <formula>0.5</formula>
    </cfRule>
  </conditionalFormatting>
  <conditionalFormatting sqref="P5">
    <cfRule type="cellIs" dxfId="21472" priority="136934" stopIfTrue="1" operator="greaterThanOrEqual">
      <formula>0.5</formula>
    </cfRule>
  </conditionalFormatting>
  <conditionalFormatting sqref="P6">
    <cfRule type="cellIs" dxfId="21471" priority="136935" stopIfTrue="1" operator="equal">
      <formula>-1</formula>
    </cfRule>
  </conditionalFormatting>
  <conditionalFormatting sqref="P6">
    <cfRule type="cellIs" dxfId="21470" priority="136936" stopIfTrue="1" operator="lessThan">
      <formula>0.5</formula>
    </cfRule>
  </conditionalFormatting>
  <conditionalFormatting sqref="P6">
    <cfRule type="cellIs" dxfId="21469" priority="136937" stopIfTrue="1" operator="greaterThanOrEqual">
      <formula>0.5</formula>
    </cfRule>
  </conditionalFormatting>
  <conditionalFormatting sqref="R5">
    <cfRule type="cellIs" dxfId="21468" priority="136938" stopIfTrue="1" operator="equal">
      <formula>-1</formula>
    </cfRule>
  </conditionalFormatting>
  <conditionalFormatting sqref="R5">
    <cfRule type="cellIs" dxfId="21467" priority="136939" stopIfTrue="1" operator="lessThan">
      <formula>0.5</formula>
    </cfRule>
  </conditionalFormatting>
  <conditionalFormatting sqref="R5">
    <cfRule type="cellIs" dxfId="21466" priority="136940" stopIfTrue="1" operator="greaterThanOrEqual">
      <formula>0.5</formula>
    </cfRule>
  </conditionalFormatting>
  <conditionalFormatting sqref="R6">
    <cfRule type="cellIs" dxfId="21465" priority="136941" stopIfTrue="1" operator="equal">
      <formula>-1</formula>
    </cfRule>
  </conditionalFormatting>
  <conditionalFormatting sqref="R6">
    <cfRule type="cellIs" dxfId="21464" priority="136942" stopIfTrue="1" operator="lessThan">
      <formula>0.5</formula>
    </cfRule>
  </conditionalFormatting>
  <conditionalFormatting sqref="R6">
    <cfRule type="cellIs" dxfId="21463" priority="136943" stopIfTrue="1" operator="greaterThanOrEqual">
      <formula>0.5</formula>
    </cfRule>
  </conditionalFormatting>
  <conditionalFormatting sqref="T5">
    <cfRule type="cellIs" dxfId="21462" priority="136944" stopIfTrue="1" operator="equal">
      <formula>-1</formula>
    </cfRule>
  </conditionalFormatting>
  <conditionalFormatting sqref="T5">
    <cfRule type="cellIs" dxfId="21461" priority="136945" stopIfTrue="1" operator="lessThan">
      <formula>0.5</formula>
    </cfRule>
  </conditionalFormatting>
  <conditionalFormatting sqref="T5">
    <cfRule type="cellIs" dxfId="21460" priority="136946" stopIfTrue="1" operator="greaterThanOrEqual">
      <formula>0.5</formula>
    </cfRule>
  </conditionalFormatting>
  <conditionalFormatting sqref="T6">
    <cfRule type="cellIs" dxfId="21459" priority="136947" stopIfTrue="1" operator="equal">
      <formula>-1</formula>
    </cfRule>
  </conditionalFormatting>
  <conditionalFormatting sqref="T6">
    <cfRule type="cellIs" dxfId="21458" priority="136948" stopIfTrue="1" operator="lessThan">
      <formula>0.5</formula>
    </cfRule>
  </conditionalFormatting>
  <conditionalFormatting sqref="T6">
    <cfRule type="cellIs" dxfId="21457" priority="136949" stopIfTrue="1" operator="greaterThanOrEqual">
      <formula>0.5</formula>
    </cfRule>
  </conditionalFormatting>
  <conditionalFormatting sqref="V5">
    <cfRule type="cellIs" dxfId="21456" priority="136950" stopIfTrue="1" operator="equal">
      <formula>-1</formula>
    </cfRule>
  </conditionalFormatting>
  <conditionalFormatting sqref="V5">
    <cfRule type="cellIs" dxfId="21455" priority="136951" stopIfTrue="1" operator="lessThan">
      <formula>0.5</formula>
    </cfRule>
  </conditionalFormatting>
  <conditionalFormatting sqref="V5">
    <cfRule type="cellIs" dxfId="21454" priority="136952" stopIfTrue="1" operator="greaterThanOrEqual">
      <formula>0.5</formula>
    </cfRule>
  </conditionalFormatting>
  <conditionalFormatting sqref="V6">
    <cfRule type="cellIs" dxfId="21453" priority="136953" stopIfTrue="1" operator="equal">
      <formula>-1</formula>
    </cfRule>
  </conditionalFormatting>
  <conditionalFormatting sqref="V6">
    <cfRule type="cellIs" dxfId="21452" priority="136954" stopIfTrue="1" operator="lessThan">
      <formula>0.5</formula>
    </cfRule>
  </conditionalFormatting>
  <conditionalFormatting sqref="V6">
    <cfRule type="cellIs" dxfId="21451" priority="136955" stopIfTrue="1" operator="greaterThanOrEqual">
      <formula>0.5</formula>
    </cfRule>
  </conditionalFormatting>
  <conditionalFormatting sqref="X5">
    <cfRule type="cellIs" dxfId="21450" priority="136956" stopIfTrue="1" operator="equal">
      <formula>-1</formula>
    </cfRule>
  </conditionalFormatting>
  <conditionalFormatting sqref="X5">
    <cfRule type="cellIs" dxfId="21449" priority="136957" stopIfTrue="1" operator="lessThan">
      <formula>0.5</formula>
    </cfRule>
  </conditionalFormatting>
  <conditionalFormatting sqref="X5">
    <cfRule type="cellIs" dxfId="21448" priority="136958" stopIfTrue="1" operator="greaterThanOrEqual">
      <formula>0.5</formula>
    </cfRule>
  </conditionalFormatting>
  <conditionalFormatting sqref="X6">
    <cfRule type="cellIs" dxfId="21447" priority="136959" stopIfTrue="1" operator="equal">
      <formula>-1</formula>
    </cfRule>
  </conditionalFormatting>
  <conditionalFormatting sqref="X6">
    <cfRule type="cellIs" dxfId="21446" priority="136960" stopIfTrue="1" operator="lessThan">
      <formula>0.5</formula>
    </cfRule>
  </conditionalFormatting>
  <conditionalFormatting sqref="X6">
    <cfRule type="cellIs" dxfId="21445" priority="136961" stopIfTrue="1" operator="greaterThanOrEqual">
      <formula>0.5</formula>
    </cfRule>
  </conditionalFormatting>
  <conditionalFormatting sqref="Z5">
    <cfRule type="cellIs" dxfId="21444" priority="136962" stopIfTrue="1" operator="equal">
      <formula>-1</formula>
    </cfRule>
  </conditionalFormatting>
  <conditionalFormatting sqref="Z5">
    <cfRule type="cellIs" dxfId="21443" priority="136963" stopIfTrue="1" operator="lessThan">
      <formula>0.5</formula>
    </cfRule>
  </conditionalFormatting>
  <conditionalFormatting sqref="Z5">
    <cfRule type="cellIs" dxfId="21442" priority="136964" stopIfTrue="1" operator="greaterThanOrEqual">
      <formula>0.5</formula>
    </cfRule>
  </conditionalFormatting>
  <conditionalFormatting sqref="Z6">
    <cfRule type="cellIs" dxfId="21441" priority="136965" stopIfTrue="1" operator="equal">
      <formula>-1</formula>
    </cfRule>
  </conditionalFormatting>
  <conditionalFormatting sqref="Z6">
    <cfRule type="cellIs" dxfId="21440" priority="136966" stopIfTrue="1" operator="lessThan">
      <formula>0.5</formula>
    </cfRule>
  </conditionalFormatting>
  <conditionalFormatting sqref="Z6">
    <cfRule type="cellIs" dxfId="21439" priority="136967" stopIfTrue="1" operator="greaterThanOrEqual">
      <formula>0.5</formula>
    </cfRule>
  </conditionalFormatting>
  <conditionalFormatting sqref="AB5">
    <cfRule type="cellIs" dxfId="21438" priority="136968" stopIfTrue="1" operator="equal">
      <formula>-1</formula>
    </cfRule>
  </conditionalFormatting>
  <conditionalFormatting sqref="AB5">
    <cfRule type="cellIs" dxfId="21437" priority="136969" stopIfTrue="1" operator="lessThan">
      <formula>0.5</formula>
    </cfRule>
  </conditionalFormatting>
  <conditionalFormatting sqref="AB5">
    <cfRule type="cellIs" dxfId="21436" priority="136970" stopIfTrue="1" operator="greaterThanOrEqual">
      <formula>0.5</formula>
    </cfRule>
  </conditionalFormatting>
  <conditionalFormatting sqref="AB6">
    <cfRule type="cellIs" dxfId="21435" priority="136971" stopIfTrue="1" operator="equal">
      <formula>-1</formula>
    </cfRule>
  </conditionalFormatting>
  <conditionalFormatting sqref="AB6">
    <cfRule type="cellIs" dxfId="21434" priority="136972" stopIfTrue="1" operator="lessThan">
      <formula>0.5</formula>
    </cfRule>
  </conditionalFormatting>
  <conditionalFormatting sqref="AB6">
    <cfRule type="cellIs" dxfId="21433" priority="136973" stopIfTrue="1" operator="greaterThanOrEqual">
      <formula>0.5</formula>
    </cfRule>
  </conditionalFormatting>
  <conditionalFormatting sqref="AD5">
    <cfRule type="cellIs" dxfId="21432" priority="136974" stopIfTrue="1" operator="equal">
      <formula>-1</formula>
    </cfRule>
  </conditionalFormatting>
  <conditionalFormatting sqref="AD5">
    <cfRule type="cellIs" dxfId="21431" priority="136975" stopIfTrue="1" operator="lessThan">
      <formula>0.5</formula>
    </cfRule>
  </conditionalFormatting>
  <conditionalFormatting sqref="AD5">
    <cfRule type="cellIs" dxfId="21430" priority="136976" stopIfTrue="1" operator="greaterThanOrEqual">
      <formula>0.5</formula>
    </cfRule>
  </conditionalFormatting>
  <conditionalFormatting sqref="AD6">
    <cfRule type="cellIs" dxfId="21429" priority="136977" stopIfTrue="1" operator="equal">
      <formula>-1</formula>
    </cfRule>
  </conditionalFormatting>
  <conditionalFormatting sqref="AD6">
    <cfRule type="cellIs" dxfId="21428" priority="136978" stopIfTrue="1" operator="lessThan">
      <formula>0.5</formula>
    </cfRule>
  </conditionalFormatting>
  <conditionalFormatting sqref="AD6">
    <cfRule type="cellIs" dxfId="21427" priority="136979" stopIfTrue="1" operator="greaterThanOrEqual">
      <formula>0.5</formula>
    </cfRule>
  </conditionalFormatting>
  <conditionalFormatting sqref="AF5">
    <cfRule type="cellIs" dxfId="21426" priority="136980" stopIfTrue="1" operator="equal">
      <formula>-1</formula>
    </cfRule>
  </conditionalFormatting>
  <conditionalFormatting sqref="AF5">
    <cfRule type="cellIs" dxfId="21425" priority="136981" stopIfTrue="1" operator="lessThan">
      <formula>0.5</formula>
    </cfRule>
  </conditionalFormatting>
  <conditionalFormatting sqref="AF5">
    <cfRule type="cellIs" dxfId="21424" priority="136982" stopIfTrue="1" operator="greaterThanOrEqual">
      <formula>0.5</formula>
    </cfRule>
  </conditionalFormatting>
  <conditionalFormatting sqref="AF6">
    <cfRule type="cellIs" dxfId="21423" priority="136983" stopIfTrue="1" operator="equal">
      <formula>-1</formula>
    </cfRule>
  </conditionalFormatting>
  <conditionalFormatting sqref="AF6">
    <cfRule type="cellIs" dxfId="21422" priority="136984" stopIfTrue="1" operator="lessThan">
      <formula>0.5</formula>
    </cfRule>
  </conditionalFormatting>
  <conditionalFormatting sqref="AF6">
    <cfRule type="cellIs" dxfId="21421" priority="136985" stopIfTrue="1" operator="greaterThanOrEqual">
      <formula>0.5</formula>
    </cfRule>
  </conditionalFormatting>
  <conditionalFormatting sqref="AH5">
    <cfRule type="cellIs" dxfId="21420" priority="136986" stopIfTrue="1" operator="equal">
      <formula>-1</formula>
    </cfRule>
  </conditionalFormatting>
  <conditionalFormatting sqref="AH5">
    <cfRule type="cellIs" dxfId="21419" priority="136987" stopIfTrue="1" operator="lessThan">
      <formula>0.5</formula>
    </cfRule>
  </conditionalFormatting>
  <conditionalFormatting sqref="AH5">
    <cfRule type="cellIs" dxfId="21418" priority="136988" stopIfTrue="1" operator="greaterThanOrEqual">
      <formula>0.5</formula>
    </cfRule>
  </conditionalFormatting>
  <conditionalFormatting sqref="AH6">
    <cfRule type="cellIs" dxfId="21417" priority="136989" stopIfTrue="1" operator="equal">
      <formula>-1</formula>
    </cfRule>
  </conditionalFormatting>
  <conditionalFormatting sqref="AH6">
    <cfRule type="cellIs" dxfId="21416" priority="136990" stopIfTrue="1" operator="lessThan">
      <formula>0.5</formula>
    </cfRule>
  </conditionalFormatting>
  <conditionalFormatting sqref="AH6">
    <cfRule type="cellIs" dxfId="21415" priority="136991" stopIfTrue="1" operator="greaterThanOrEqual">
      <formula>0.5</formula>
    </cfRule>
  </conditionalFormatting>
  <conditionalFormatting sqref="AJ5">
    <cfRule type="cellIs" dxfId="21414" priority="136992" stopIfTrue="1" operator="equal">
      <formula>-1</formula>
    </cfRule>
  </conditionalFormatting>
  <conditionalFormatting sqref="AJ5">
    <cfRule type="cellIs" dxfId="21413" priority="136993" stopIfTrue="1" operator="lessThan">
      <formula>0.5</formula>
    </cfRule>
  </conditionalFormatting>
  <conditionalFormatting sqref="AJ5">
    <cfRule type="cellIs" dxfId="21412" priority="136994" stopIfTrue="1" operator="greaterThanOrEqual">
      <formula>0.5</formula>
    </cfRule>
  </conditionalFormatting>
  <conditionalFormatting sqref="AJ6">
    <cfRule type="cellIs" dxfId="21411" priority="136995" stopIfTrue="1" operator="equal">
      <formula>-1</formula>
    </cfRule>
  </conditionalFormatting>
  <conditionalFormatting sqref="AJ6">
    <cfRule type="cellIs" dxfId="21410" priority="136996" stopIfTrue="1" operator="lessThan">
      <formula>0.5</formula>
    </cfRule>
  </conditionalFormatting>
  <conditionalFormatting sqref="AJ6">
    <cfRule type="cellIs" dxfId="21409" priority="136997" stopIfTrue="1" operator="greaterThanOrEqual">
      <formula>0.5</formula>
    </cfRule>
  </conditionalFormatting>
  <conditionalFormatting sqref="AL5">
    <cfRule type="cellIs" dxfId="21408" priority="136998" stopIfTrue="1" operator="equal">
      <formula>-1</formula>
    </cfRule>
  </conditionalFormatting>
  <conditionalFormatting sqref="AL5">
    <cfRule type="cellIs" dxfId="21407" priority="136999" stopIfTrue="1" operator="lessThan">
      <formula>0.5</formula>
    </cfRule>
  </conditionalFormatting>
  <conditionalFormatting sqref="AL5">
    <cfRule type="cellIs" dxfId="21406" priority="137000" stopIfTrue="1" operator="greaterThanOrEqual">
      <formula>0.5</formula>
    </cfRule>
  </conditionalFormatting>
  <conditionalFormatting sqref="AL6">
    <cfRule type="cellIs" dxfId="21405" priority="137001" stopIfTrue="1" operator="equal">
      <formula>-1</formula>
    </cfRule>
  </conditionalFormatting>
  <conditionalFormatting sqref="AL6">
    <cfRule type="cellIs" dxfId="21404" priority="137002" stopIfTrue="1" operator="lessThan">
      <formula>0.5</formula>
    </cfRule>
  </conditionalFormatting>
  <conditionalFormatting sqref="AL6">
    <cfRule type="cellIs" dxfId="21403" priority="137003" stopIfTrue="1" operator="greaterThanOrEqual">
      <formula>0.5</formula>
    </cfRule>
  </conditionalFormatting>
  <conditionalFormatting sqref="AN5">
    <cfRule type="cellIs" dxfId="21402" priority="137004" stopIfTrue="1" operator="equal">
      <formula>-1</formula>
    </cfRule>
  </conditionalFormatting>
  <conditionalFormatting sqref="AN5">
    <cfRule type="cellIs" dxfId="21401" priority="137005" stopIfTrue="1" operator="lessThan">
      <formula>0.5</formula>
    </cfRule>
  </conditionalFormatting>
  <conditionalFormatting sqref="AN5">
    <cfRule type="cellIs" dxfId="21400" priority="137006" stopIfTrue="1" operator="greaterThanOrEqual">
      <formula>0.5</formula>
    </cfRule>
  </conditionalFormatting>
  <conditionalFormatting sqref="AN6">
    <cfRule type="cellIs" dxfId="21399" priority="137007" stopIfTrue="1" operator="equal">
      <formula>-1</formula>
    </cfRule>
  </conditionalFormatting>
  <conditionalFormatting sqref="AN6">
    <cfRule type="cellIs" dxfId="21398" priority="137008" stopIfTrue="1" operator="lessThan">
      <formula>0.5</formula>
    </cfRule>
  </conditionalFormatting>
  <conditionalFormatting sqref="AN6">
    <cfRule type="cellIs" dxfId="21397" priority="137009" stopIfTrue="1" operator="greaterThanOrEqual">
      <formula>0.5</formula>
    </cfRule>
  </conditionalFormatting>
  <conditionalFormatting sqref="AP5">
    <cfRule type="cellIs" dxfId="21396" priority="137010" stopIfTrue="1" operator="equal">
      <formula>-1</formula>
    </cfRule>
  </conditionalFormatting>
  <conditionalFormatting sqref="AP5">
    <cfRule type="cellIs" dxfId="21395" priority="137011" stopIfTrue="1" operator="lessThan">
      <formula>0.5</formula>
    </cfRule>
  </conditionalFormatting>
  <conditionalFormatting sqref="AP5">
    <cfRule type="cellIs" dxfId="21394" priority="137012" stopIfTrue="1" operator="greaterThanOrEqual">
      <formula>0.5</formula>
    </cfRule>
  </conditionalFormatting>
  <conditionalFormatting sqref="AP6">
    <cfRule type="cellIs" dxfId="21393" priority="137013" stopIfTrue="1" operator="equal">
      <formula>-1</formula>
    </cfRule>
  </conditionalFormatting>
  <conditionalFormatting sqref="AP6">
    <cfRule type="cellIs" dxfId="21392" priority="137014" stopIfTrue="1" operator="lessThan">
      <formula>0.5</formula>
    </cfRule>
  </conditionalFormatting>
  <conditionalFormatting sqref="AP6">
    <cfRule type="cellIs" dxfId="21391" priority="137015" stopIfTrue="1" operator="greaterThanOrEqual">
      <formula>0.5</formula>
    </cfRule>
  </conditionalFormatting>
  <conditionalFormatting sqref="AR5">
    <cfRule type="cellIs" dxfId="21390" priority="137016" stopIfTrue="1" operator="equal">
      <formula>-1</formula>
    </cfRule>
  </conditionalFormatting>
  <conditionalFormatting sqref="AR5">
    <cfRule type="cellIs" dxfId="21389" priority="137017" stopIfTrue="1" operator="lessThan">
      <formula>0.5</formula>
    </cfRule>
  </conditionalFormatting>
  <conditionalFormatting sqref="AR5">
    <cfRule type="cellIs" dxfId="21388" priority="137018" stopIfTrue="1" operator="greaterThanOrEqual">
      <formula>0.5</formula>
    </cfRule>
  </conditionalFormatting>
  <conditionalFormatting sqref="AR6">
    <cfRule type="cellIs" dxfId="21387" priority="137019" stopIfTrue="1" operator="equal">
      <formula>-1</formula>
    </cfRule>
  </conditionalFormatting>
  <conditionalFormatting sqref="AR6">
    <cfRule type="cellIs" dxfId="21386" priority="137020" stopIfTrue="1" operator="lessThan">
      <formula>0.5</formula>
    </cfRule>
  </conditionalFormatting>
  <conditionalFormatting sqref="AR6">
    <cfRule type="cellIs" dxfId="21385" priority="137021" stopIfTrue="1" operator="greaterThanOrEqual">
      <formula>0.5</formula>
    </cfRule>
  </conditionalFormatting>
  <conditionalFormatting sqref="AT5">
    <cfRule type="cellIs" dxfId="21384" priority="137022" stopIfTrue="1" operator="equal">
      <formula>-1</formula>
    </cfRule>
  </conditionalFormatting>
  <conditionalFormatting sqref="AT5">
    <cfRule type="cellIs" dxfId="21383" priority="137023" stopIfTrue="1" operator="lessThan">
      <formula>0.5</formula>
    </cfRule>
  </conditionalFormatting>
  <conditionalFormatting sqref="AT5">
    <cfRule type="cellIs" dxfId="21382" priority="137024" stopIfTrue="1" operator="greaterThanOrEqual">
      <formula>0.5</formula>
    </cfRule>
  </conditionalFormatting>
  <conditionalFormatting sqref="AT6">
    <cfRule type="cellIs" dxfId="21381" priority="137025" stopIfTrue="1" operator="equal">
      <formula>-1</formula>
    </cfRule>
  </conditionalFormatting>
  <conditionalFormatting sqref="AT6">
    <cfRule type="cellIs" dxfId="21380" priority="137026" stopIfTrue="1" operator="lessThan">
      <formula>0.5</formula>
    </cfRule>
  </conditionalFormatting>
  <conditionalFormatting sqref="AT6">
    <cfRule type="cellIs" dxfId="21379" priority="137027" stopIfTrue="1" operator="greaterThanOrEqual">
      <formula>0.5</formula>
    </cfRule>
  </conditionalFormatting>
  <conditionalFormatting sqref="AV5">
    <cfRule type="cellIs" dxfId="21378" priority="137028" stopIfTrue="1" operator="equal">
      <formula>-1</formula>
    </cfRule>
  </conditionalFormatting>
  <conditionalFormatting sqref="AV5">
    <cfRule type="cellIs" dxfId="21377" priority="137029" stopIfTrue="1" operator="lessThan">
      <formula>0.5</formula>
    </cfRule>
  </conditionalFormatting>
  <conditionalFormatting sqref="AV5">
    <cfRule type="cellIs" dxfId="21376" priority="137030" stopIfTrue="1" operator="greaterThanOrEqual">
      <formula>0.5</formula>
    </cfRule>
  </conditionalFormatting>
  <conditionalFormatting sqref="AV6">
    <cfRule type="cellIs" dxfId="21375" priority="137031" stopIfTrue="1" operator="equal">
      <formula>-1</formula>
    </cfRule>
  </conditionalFormatting>
  <conditionalFormatting sqref="AV6">
    <cfRule type="cellIs" dxfId="21374" priority="137032" stopIfTrue="1" operator="lessThan">
      <formula>0.5</formula>
    </cfRule>
  </conditionalFormatting>
  <conditionalFormatting sqref="AV6">
    <cfRule type="cellIs" dxfId="21373" priority="137033" stopIfTrue="1" operator="greaterThanOrEqual">
      <formula>0.5</formula>
    </cfRule>
  </conditionalFormatting>
  <conditionalFormatting sqref="AX5">
    <cfRule type="cellIs" dxfId="21372" priority="137034" stopIfTrue="1" operator="equal">
      <formula>-1</formula>
    </cfRule>
  </conditionalFormatting>
  <conditionalFormatting sqref="AX5">
    <cfRule type="cellIs" dxfId="21371" priority="137035" stopIfTrue="1" operator="lessThan">
      <formula>0.5</formula>
    </cfRule>
  </conditionalFormatting>
  <conditionalFormatting sqref="AX5">
    <cfRule type="cellIs" dxfId="21370" priority="137036" stopIfTrue="1" operator="greaterThanOrEqual">
      <formula>0.5</formula>
    </cfRule>
  </conditionalFormatting>
  <conditionalFormatting sqref="AX6">
    <cfRule type="cellIs" dxfId="21369" priority="137037" stopIfTrue="1" operator="equal">
      <formula>-1</formula>
    </cfRule>
  </conditionalFormatting>
  <conditionalFormatting sqref="AX6">
    <cfRule type="cellIs" dxfId="21368" priority="137038" stopIfTrue="1" operator="lessThan">
      <formula>0.5</formula>
    </cfRule>
  </conditionalFormatting>
  <conditionalFormatting sqref="AX6">
    <cfRule type="cellIs" dxfId="21367" priority="137039" stopIfTrue="1" operator="greaterThanOrEqual">
      <formula>0.5</formula>
    </cfRule>
  </conditionalFormatting>
  <conditionalFormatting sqref="AZ5">
    <cfRule type="cellIs" dxfId="21366" priority="137040" stopIfTrue="1" operator="equal">
      <formula>-1</formula>
    </cfRule>
  </conditionalFormatting>
  <conditionalFormatting sqref="AZ5">
    <cfRule type="cellIs" dxfId="21365" priority="137041" stopIfTrue="1" operator="lessThan">
      <formula>0.5</formula>
    </cfRule>
  </conditionalFormatting>
  <conditionalFormatting sqref="AZ5">
    <cfRule type="cellIs" dxfId="21364" priority="137042" stopIfTrue="1" operator="greaterThanOrEqual">
      <formula>0.5</formula>
    </cfRule>
  </conditionalFormatting>
  <conditionalFormatting sqref="AZ6">
    <cfRule type="cellIs" dxfId="21363" priority="137043" stopIfTrue="1" operator="equal">
      <formula>-1</formula>
    </cfRule>
  </conditionalFormatting>
  <conditionalFormatting sqref="AZ6">
    <cfRule type="cellIs" dxfId="21362" priority="137044" stopIfTrue="1" operator="lessThan">
      <formula>0.5</formula>
    </cfRule>
  </conditionalFormatting>
  <conditionalFormatting sqref="AZ6">
    <cfRule type="cellIs" dxfId="21361" priority="137045" stopIfTrue="1" operator="greaterThanOrEqual">
      <formula>0.5</formula>
    </cfRule>
  </conditionalFormatting>
  <conditionalFormatting sqref="BB5">
    <cfRule type="cellIs" dxfId="21360" priority="137046" stopIfTrue="1" operator="equal">
      <formula>-1</formula>
    </cfRule>
  </conditionalFormatting>
  <conditionalFormatting sqref="BB5">
    <cfRule type="cellIs" dxfId="21359" priority="137047" stopIfTrue="1" operator="lessThan">
      <formula>0.5</formula>
    </cfRule>
  </conditionalFormatting>
  <conditionalFormatting sqref="BB5">
    <cfRule type="cellIs" dxfId="21358" priority="137048" stopIfTrue="1" operator="greaterThanOrEqual">
      <formula>0.5</formula>
    </cfRule>
  </conditionalFormatting>
  <conditionalFormatting sqref="BB6">
    <cfRule type="cellIs" dxfId="21357" priority="137049" stopIfTrue="1" operator="equal">
      <formula>-1</formula>
    </cfRule>
  </conditionalFormatting>
  <conditionalFormatting sqref="BB6">
    <cfRule type="cellIs" dxfId="21356" priority="137050" stopIfTrue="1" operator="lessThan">
      <formula>0.5</formula>
    </cfRule>
  </conditionalFormatting>
  <conditionalFormatting sqref="BB6">
    <cfRule type="cellIs" dxfId="21355" priority="137051" stopIfTrue="1" operator="greaterThanOrEqual">
      <formula>0.5</formula>
    </cfRule>
  </conditionalFormatting>
  <conditionalFormatting sqref="BD5">
    <cfRule type="cellIs" dxfId="21354" priority="137052" stopIfTrue="1" operator="equal">
      <formula>-1</formula>
    </cfRule>
  </conditionalFormatting>
  <conditionalFormatting sqref="BD5">
    <cfRule type="cellIs" dxfId="21353" priority="137053" stopIfTrue="1" operator="lessThan">
      <formula>0.5</formula>
    </cfRule>
  </conditionalFormatting>
  <conditionalFormatting sqref="BD5">
    <cfRule type="cellIs" dxfId="21352" priority="137054" stopIfTrue="1" operator="greaterThanOrEqual">
      <formula>0.5</formula>
    </cfRule>
  </conditionalFormatting>
  <conditionalFormatting sqref="BD6">
    <cfRule type="cellIs" dxfId="21351" priority="137055" stopIfTrue="1" operator="equal">
      <formula>-1</formula>
    </cfRule>
  </conditionalFormatting>
  <conditionalFormatting sqref="BD6">
    <cfRule type="cellIs" dxfId="21350" priority="137056" stopIfTrue="1" operator="lessThan">
      <formula>0.5</formula>
    </cfRule>
  </conditionalFormatting>
  <conditionalFormatting sqref="BD6">
    <cfRule type="cellIs" dxfId="21349" priority="137057" stopIfTrue="1" operator="greaterThanOrEqual">
      <formula>0.5</formula>
    </cfRule>
  </conditionalFormatting>
  <conditionalFormatting sqref="BF5">
    <cfRule type="cellIs" dxfId="21348" priority="137058" stopIfTrue="1" operator="equal">
      <formula>-1</formula>
    </cfRule>
  </conditionalFormatting>
  <conditionalFormatting sqref="BF5">
    <cfRule type="cellIs" dxfId="21347" priority="137059" stopIfTrue="1" operator="lessThan">
      <formula>0.5</formula>
    </cfRule>
  </conditionalFormatting>
  <conditionalFormatting sqref="BF5">
    <cfRule type="cellIs" dxfId="21346" priority="137060" stopIfTrue="1" operator="greaterThanOrEqual">
      <formula>0.5</formula>
    </cfRule>
  </conditionalFormatting>
  <conditionalFormatting sqref="BF6">
    <cfRule type="cellIs" dxfId="21345" priority="137061" stopIfTrue="1" operator="equal">
      <formula>-1</formula>
    </cfRule>
  </conditionalFormatting>
  <conditionalFormatting sqref="BF6">
    <cfRule type="cellIs" dxfId="21344" priority="137062" stopIfTrue="1" operator="lessThan">
      <formula>0.5</formula>
    </cfRule>
  </conditionalFormatting>
  <conditionalFormatting sqref="BF6">
    <cfRule type="cellIs" dxfId="21343" priority="137063" stopIfTrue="1" operator="greaterThanOrEqual">
      <formula>0.5</formula>
    </cfRule>
  </conditionalFormatting>
  <conditionalFormatting sqref="BH5">
    <cfRule type="cellIs" dxfId="21342" priority="137064" stopIfTrue="1" operator="equal">
      <formula>-1</formula>
    </cfRule>
  </conditionalFormatting>
  <conditionalFormatting sqref="BH5">
    <cfRule type="cellIs" dxfId="21341" priority="137065" stopIfTrue="1" operator="lessThan">
      <formula>0.5</formula>
    </cfRule>
  </conditionalFormatting>
  <conditionalFormatting sqref="BH5">
    <cfRule type="cellIs" dxfId="21340" priority="137066" stopIfTrue="1" operator="greaterThanOrEqual">
      <formula>0.5</formula>
    </cfRule>
  </conditionalFormatting>
  <conditionalFormatting sqref="BH6">
    <cfRule type="cellIs" dxfId="21339" priority="137067" stopIfTrue="1" operator="equal">
      <formula>-1</formula>
    </cfRule>
  </conditionalFormatting>
  <conditionalFormatting sqref="BH6">
    <cfRule type="cellIs" dxfId="21338" priority="137068" stopIfTrue="1" operator="lessThan">
      <formula>0.5</formula>
    </cfRule>
  </conditionalFormatting>
  <conditionalFormatting sqref="BH6">
    <cfRule type="cellIs" dxfId="21337" priority="137069" stopIfTrue="1" operator="greaterThanOrEqual">
      <formula>0.5</formula>
    </cfRule>
  </conditionalFormatting>
  <conditionalFormatting sqref="BJ5">
    <cfRule type="cellIs" dxfId="21336" priority="137070" stopIfTrue="1" operator="equal">
      <formula>-1</formula>
    </cfRule>
  </conditionalFormatting>
  <conditionalFormatting sqref="BJ5">
    <cfRule type="cellIs" dxfId="21335" priority="137071" stopIfTrue="1" operator="lessThan">
      <formula>0.5</formula>
    </cfRule>
  </conditionalFormatting>
  <conditionalFormatting sqref="BJ5">
    <cfRule type="cellIs" dxfId="21334" priority="137072" stopIfTrue="1" operator="greaterThanOrEqual">
      <formula>0.5</formula>
    </cfRule>
  </conditionalFormatting>
  <conditionalFormatting sqref="BJ6">
    <cfRule type="cellIs" dxfId="21333" priority="137073" stopIfTrue="1" operator="equal">
      <formula>-1</formula>
    </cfRule>
  </conditionalFormatting>
  <conditionalFormatting sqref="BJ6">
    <cfRule type="cellIs" dxfId="21332" priority="137074" stopIfTrue="1" operator="lessThan">
      <formula>0.5</formula>
    </cfRule>
  </conditionalFormatting>
  <conditionalFormatting sqref="BJ6">
    <cfRule type="cellIs" dxfId="21331" priority="137075" stopIfTrue="1" operator="greaterThanOrEqual">
      <formula>0.5</formula>
    </cfRule>
  </conditionalFormatting>
  <conditionalFormatting sqref="D8">
    <cfRule type="cellIs" dxfId="21330" priority="137076" stopIfTrue="1" operator="equal">
      <formula>-1</formula>
    </cfRule>
  </conditionalFormatting>
  <conditionalFormatting sqref="D8">
    <cfRule type="cellIs" dxfId="21329" priority="137077" stopIfTrue="1" operator="lessThan">
      <formula>0.5</formula>
    </cfRule>
  </conditionalFormatting>
  <conditionalFormatting sqref="D8">
    <cfRule type="cellIs" dxfId="21328" priority="137078" stopIfTrue="1" operator="greaterThanOrEqual">
      <formula>0.5</formula>
    </cfRule>
  </conditionalFormatting>
  <conditionalFormatting sqref="D9">
    <cfRule type="cellIs" dxfId="21327" priority="137079" stopIfTrue="1" operator="equal">
      <formula>-1</formula>
    </cfRule>
  </conditionalFormatting>
  <conditionalFormatting sqref="D9">
    <cfRule type="cellIs" dxfId="21326" priority="137080" stopIfTrue="1" operator="lessThan">
      <formula>0.5</formula>
    </cfRule>
  </conditionalFormatting>
  <conditionalFormatting sqref="D9">
    <cfRule type="cellIs" dxfId="21325" priority="137081" stopIfTrue="1" operator="greaterThanOrEqual">
      <formula>0.5</formula>
    </cfRule>
  </conditionalFormatting>
  <conditionalFormatting sqref="D10">
    <cfRule type="cellIs" dxfId="21324" priority="137082" stopIfTrue="1" operator="equal">
      <formula>-1</formula>
    </cfRule>
  </conditionalFormatting>
  <conditionalFormatting sqref="D10">
    <cfRule type="cellIs" dxfId="21323" priority="137083" stopIfTrue="1" operator="lessThan">
      <formula>0.5</formula>
    </cfRule>
  </conditionalFormatting>
  <conditionalFormatting sqref="D10">
    <cfRule type="cellIs" dxfId="21322" priority="137084" stopIfTrue="1" operator="greaterThanOrEqual">
      <formula>0.5</formula>
    </cfRule>
  </conditionalFormatting>
  <conditionalFormatting sqref="D11">
    <cfRule type="cellIs" dxfId="21321" priority="137085" stopIfTrue="1" operator="equal">
      <formula>-1</formula>
    </cfRule>
  </conditionalFormatting>
  <conditionalFormatting sqref="D11">
    <cfRule type="cellIs" dxfId="21320" priority="137086" stopIfTrue="1" operator="lessThan">
      <formula>0.5</formula>
    </cfRule>
  </conditionalFormatting>
  <conditionalFormatting sqref="D11">
    <cfRule type="cellIs" dxfId="21319" priority="137087" stopIfTrue="1" operator="greaterThanOrEqual">
      <formula>0.5</formula>
    </cfRule>
  </conditionalFormatting>
  <conditionalFormatting sqref="D12">
    <cfRule type="cellIs" dxfId="21318" priority="137088" stopIfTrue="1" operator="equal">
      <formula>-1</formula>
    </cfRule>
  </conditionalFormatting>
  <conditionalFormatting sqref="D12">
    <cfRule type="cellIs" dxfId="21317" priority="137089" stopIfTrue="1" operator="lessThan">
      <formula>0.5</formula>
    </cfRule>
  </conditionalFormatting>
  <conditionalFormatting sqref="D12">
    <cfRule type="cellIs" dxfId="21316" priority="137090" stopIfTrue="1" operator="greaterThanOrEqual">
      <formula>0.5</formula>
    </cfRule>
  </conditionalFormatting>
  <conditionalFormatting sqref="D13">
    <cfRule type="cellIs" dxfId="21315" priority="137091" stopIfTrue="1" operator="equal">
      <formula>-1</formula>
    </cfRule>
  </conditionalFormatting>
  <conditionalFormatting sqref="D13">
    <cfRule type="cellIs" dxfId="21314" priority="137092" stopIfTrue="1" operator="lessThan">
      <formula>0.5</formula>
    </cfRule>
  </conditionalFormatting>
  <conditionalFormatting sqref="D13">
    <cfRule type="cellIs" dxfId="21313" priority="137093" stopIfTrue="1" operator="greaterThanOrEqual">
      <formula>0.5</formula>
    </cfRule>
  </conditionalFormatting>
  <conditionalFormatting sqref="D14">
    <cfRule type="cellIs" dxfId="21312" priority="137094" stopIfTrue="1" operator="equal">
      <formula>-1</formula>
    </cfRule>
  </conditionalFormatting>
  <conditionalFormatting sqref="D14">
    <cfRule type="cellIs" dxfId="21311" priority="137095" stopIfTrue="1" operator="lessThan">
      <formula>0.5</formula>
    </cfRule>
  </conditionalFormatting>
  <conditionalFormatting sqref="D14">
    <cfRule type="cellIs" dxfId="21310" priority="137096" stopIfTrue="1" operator="greaterThanOrEqual">
      <formula>0.5</formula>
    </cfRule>
  </conditionalFormatting>
  <conditionalFormatting sqref="D15">
    <cfRule type="cellIs" dxfId="21309" priority="137097" stopIfTrue="1" operator="equal">
      <formula>-1</formula>
    </cfRule>
  </conditionalFormatting>
  <conditionalFormatting sqref="D15">
    <cfRule type="cellIs" dxfId="21308" priority="137098" stopIfTrue="1" operator="lessThan">
      <formula>0.5</formula>
    </cfRule>
  </conditionalFormatting>
  <conditionalFormatting sqref="D15">
    <cfRule type="cellIs" dxfId="21307" priority="137099" stopIfTrue="1" operator="greaterThanOrEqual">
      <formula>0.5</formula>
    </cfRule>
  </conditionalFormatting>
  <conditionalFormatting sqref="F8">
    <cfRule type="cellIs" dxfId="21306" priority="137100" stopIfTrue="1" operator="equal">
      <formula>-1</formula>
    </cfRule>
  </conditionalFormatting>
  <conditionalFormatting sqref="F8">
    <cfRule type="cellIs" dxfId="21305" priority="137101" stopIfTrue="1" operator="lessThan">
      <formula>0.5</formula>
    </cfRule>
  </conditionalFormatting>
  <conditionalFormatting sqref="F8">
    <cfRule type="cellIs" dxfId="21304" priority="137102" stopIfTrue="1" operator="greaterThanOrEqual">
      <formula>0.5</formula>
    </cfRule>
  </conditionalFormatting>
  <conditionalFormatting sqref="F9">
    <cfRule type="cellIs" dxfId="21303" priority="137103" stopIfTrue="1" operator="equal">
      <formula>-1</formula>
    </cfRule>
  </conditionalFormatting>
  <conditionalFormatting sqref="F9">
    <cfRule type="cellIs" dxfId="21302" priority="137104" stopIfTrue="1" operator="lessThan">
      <formula>0.5</formula>
    </cfRule>
  </conditionalFormatting>
  <conditionalFormatting sqref="F9">
    <cfRule type="cellIs" dxfId="21301" priority="137105" stopIfTrue="1" operator="greaterThanOrEqual">
      <formula>0.5</formula>
    </cfRule>
  </conditionalFormatting>
  <conditionalFormatting sqref="F10">
    <cfRule type="cellIs" dxfId="21300" priority="137106" stopIfTrue="1" operator="equal">
      <formula>-1</formula>
    </cfRule>
  </conditionalFormatting>
  <conditionalFormatting sqref="F10">
    <cfRule type="cellIs" dxfId="21299" priority="137107" stopIfTrue="1" operator="lessThan">
      <formula>0.5</formula>
    </cfRule>
  </conditionalFormatting>
  <conditionalFormatting sqref="F10">
    <cfRule type="cellIs" dxfId="21298" priority="137108" stopIfTrue="1" operator="greaterThanOrEqual">
      <formula>0.5</formula>
    </cfRule>
  </conditionalFormatting>
  <conditionalFormatting sqref="F11">
    <cfRule type="cellIs" dxfId="21297" priority="137109" stopIfTrue="1" operator="equal">
      <formula>-1</formula>
    </cfRule>
  </conditionalFormatting>
  <conditionalFormatting sqref="F11">
    <cfRule type="cellIs" dxfId="21296" priority="137110" stopIfTrue="1" operator="lessThan">
      <formula>0.5</formula>
    </cfRule>
  </conditionalFormatting>
  <conditionalFormatting sqref="F11">
    <cfRule type="cellIs" dxfId="21295" priority="137111" stopIfTrue="1" operator="greaterThanOrEqual">
      <formula>0.5</formula>
    </cfRule>
  </conditionalFormatting>
  <conditionalFormatting sqref="F12">
    <cfRule type="cellIs" dxfId="21294" priority="137112" stopIfTrue="1" operator="equal">
      <formula>-1</formula>
    </cfRule>
  </conditionalFormatting>
  <conditionalFormatting sqref="F12">
    <cfRule type="cellIs" dxfId="21293" priority="137113" stopIfTrue="1" operator="lessThan">
      <formula>0.5</formula>
    </cfRule>
  </conditionalFormatting>
  <conditionalFormatting sqref="F12">
    <cfRule type="cellIs" dxfId="21292" priority="137114" stopIfTrue="1" operator="greaterThanOrEqual">
      <formula>0.5</formula>
    </cfRule>
  </conditionalFormatting>
  <conditionalFormatting sqref="F13">
    <cfRule type="cellIs" dxfId="21291" priority="137115" stopIfTrue="1" operator="equal">
      <formula>-1</formula>
    </cfRule>
  </conditionalFormatting>
  <conditionalFormatting sqref="F13">
    <cfRule type="cellIs" dxfId="21290" priority="137116" stopIfTrue="1" operator="lessThan">
      <formula>0.5</formula>
    </cfRule>
  </conditionalFormatting>
  <conditionalFormatting sqref="F13">
    <cfRule type="cellIs" dxfId="21289" priority="137117" stopIfTrue="1" operator="greaterThanOrEqual">
      <formula>0.5</formula>
    </cfRule>
  </conditionalFormatting>
  <conditionalFormatting sqref="F14">
    <cfRule type="cellIs" dxfId="21288" priority="137118" stopIfTrue="1" operator="equal">
      <formula>-1</formula>
    </cfRule>
  </conditionalFormatting>
  <conditionalFormatting sqref="F14">
    <cfRule type="cellIs" dxfId="21287" priority="137119" stopIfTrue="1" operator="lessThan">
      <formula>0.5</formula>
    </cfRule>
  </conditionalFormatting>
  <conditionalFormatting sqref="F14">
    <cfRule type="cellIs" dxfId="21286" priority="137120" stopIfTrue="1" operator="greaterThanOrEqual">
      <formula>0.5</formula>
    </cfRule>
  </conditionalFormatting>
  <conditionalFormatting sqref="F15">
    <cfRule type="cellIs" dxfId="21285" priority="137121" stopIfTrue="1" operator="equal">
      <formula>-1</formula>
    </cfRule>
  </conditionalFormatting>
  <conditionalFormatting sqref="F15">
    <cfRule type="cellIs" dxfId="21284" priority="137122" stopIfTrue="1" operator="lessThan">
      <formula>0.5</formula>
    </cfRule>
  </conditionalFormatting>
  <conditionalFormatting sqref="F15">
    <cfRule type="cellIs" dxfId="21283" priority="137123" stopIfTrue="1" operator="greaterThanOrEqual">
      <formula>0.5</formula>
    </cfRule>
  </conditionalFormatting>
  <conditionalFormatting sqref="H8">
    <cfRule type="cellIs" dxfId="21282" priority="137124" stopIfTrue="1" operator="equal">
      <formula>-1</formula>
    </cfRule>
  </conditionalFormatting>
  <conditionalFormatting sqref="H8">
    <cfRule type="cellIs" dxfId="21281" priority="137125" stopIfTrue="1" operator="lessThan">
      <formula>0.5</formula>
    </cfRule>
  </conditionalFormatting>
  <conditionalFormatting sqref="H8">
    <cfRule type="cellIs" dxfId="21280" priority="137126" stopIfTrue="1" operator="greaterThanOrEqual">
      <formula>0.5</formula>
    </cfRule>
  </conditionalFormatting>
  <conditionalFormatting sqref="H9">
    <cfRule type="cellIs" dxfId="21279" priority="137127" stopIfTrue="1" operator="equal">
      <formula>-1</formula>
    </cfRule>
  </conditionalFormatting>
  <conditionalFormatting sqref="H9">
    <cfRule type="cellIs" dxfId="21278" priority="137128" stopIfTrue="1" operator="lessThan">
      <formula>0.5</formula>
    </cfRule>
  </conditionalFormatting>
  <conditionalFormatting sqref="H9">
    <cfRule type="cellIs" dxfId="21277" priority="137129" stopIfTrue="1" operator="greaterThanOrEqual">
      <formula>0.5</formula>
    </cfRule>
  </conditionalFormatting>
  <conditionalFormatting sqref="H10">
    <cfRule type="cellIs" dxfId="21276" priority="137130" stopIfTrue="1" operator="equal">
      <formula>-1</formula>
    </cfRule>
  </conditionalFormatting>
  <conditionalFormatting sqref="H10">
    <cfRule type="cellIs" dxfId="21275" priority="137131" stopIfTrue="1" operator="lessThan">
      <formula>0.5</formula>
    </cfRule>
  </conditionalFormatting>
  <conditionalFormatting sqref="H10">
    <cfRule type="cellIs" dxfId="21274" priority="137132" stopIfTrue="1" operator="greaterThanOrEqual">
      <formula>0.5</formula>
    </cfRule>
  </conditionalFormatting>
  <conditionalFormatting sqref="H11">
    <cfRule type="cellIs" dxfId="21273" priority="137133" stopIfTrue="1" operator="equal">
      <formula>-1</formula>
    </cfRule>
  </conditionalFormatting>
  <conditionalFormatting sqref="H11">
    <cfRule type="cellIs" dxfId="21272" priority="137134" stopIfTrue="1" operator="lessThan">
      <formula>0.5</formula>
    </cfRule>
  </conditionalFormatting>
  <conditionalFormatting sqref="H11">
    <cfRule type="cellIs" dxfId="21271" priority="137135" stopIfTrue="1" operator="greaterThanOrEqual">
      <formula>0.5</formula>
    </cfRule>
  </conditionalFormatting>
  <conditionalFormatting sqref="H12">
    <cfRule type="cellIs" dxfId="21270" priority="137136" stopIfTrue="1" operator="equal">
      <formula>-1</formula>
    </cfRule>
  </conditionalFormatting>
  <conditionalFormatting sqref="H12">
    <cfRule type="cellIs" dxfId="21269" priority="137137" stopIfTrue="1" operator="lessThan">
      <formula>0.5</formula>
    </cfRule>
  </conditionalFormatting>
  <conditionalFormatting sqref="H12">
    <cfRule type="cellIs" dxfId="21268" priority="137138" stopIfTrue="1" operator="greaterThanOrEqual">
      <formula>0.5</formula>
    </cfRule>
  </conditionalFormatting>
  <conditionalFormatting sqref="H13">
    <cfRule type="cellIs" dxfId="21267" priority="137139" stopIfTrue="1" operator="equal">
      <formula>-1</formula>
    </cfRule>
  </conditionalFormatting>
  <conditionalFormatting sqref="H13">
    <cfRule type="cellIs" dxfId="21266" priority="137140" stopIfTrue="1" operator="lessThan">
      <formula>0.5</formula>
    </cfRule>
  </conditionalFormatting>
  <conditionalFormatting sqref="H13">
    <cfRule type="cellIs" dxfId="21265" priority="137141" stopIfTrue="1" operator="greaterThanOrEqual">
      <formula>0.5</formula>
    </cfRule>
  </conditionalFormatting>
  <conditionalFormatting sqref="H14">
    <cfRule type="cellIs" dxfId="21264" priority="137142" stopIfTrue="1" operator="equal">
      <formula>-1</formula>
    </cfRule>
  </conditionalFormatting>
  <conditionalFormatting sqref="H14">
    <cfRule type="cellIs" dxfId="21263" priority="137143" stopIfTrue="1" operator="lessThan">
      <formula>0.5</formula>
    </cfRule>
  </conditionalFormatting>
  <conditionalFormatting sqref="H14">
    <cfRule type="cellIs" dxfId="21262" priority="137144" stopIfTrue="1" operator="greaterThanOrEqual">
      <formula>0.5</formula>
    </cfRule>
  </conditionalFormatting>
  <conditionalFormatting sqref="H15">
    <cfRule type="cellIs" dxfId="21261" priority="137145" stopIfTrue="1" operator="equal">
      <formula>-1</formula>
    </cfRule>
  </conditionalFormatting>
  <conditionalFormatting sqref="H15">
    <cfRule type="cellIs" dxfId="21260" priority="137146" stopIfTrue="1" operator="lessThan">
      <formula>0.5</formula>
    </cfRule>
  </conditionalFormatting>
  <conditionalFormatting sqref="H15">
    <cfRule type="cellIs" dxfId="21259" priority="137147" stopIfTrue="1" operator="greaterThanOrEqual">
      <formula>0.5</formula>
    </cfRule>
  </conditionalFormatting>
  <conditionalFormatting sqref="J8">
    <cfRule type="cellIs" dxfId="21258" priority="137148" stopIfTrue="1" operator="equal">
      <formula>-1</formula>
    </cfRule>
  </conditionalFormatting>
  <conditionalFormatting sqref="J8">
    <cfRule type="cellIs" dxfId="21257" priority="137149" stopIfTrue="1" operator="lessThan">
      <formula>0.5</formula>
    </cfRule>
  </conditionalFormatting>
  <conditionalFormatting sqref="J8">
    <cfRule type="cellIs" dxfId="21256" priority="137150" stopIfTrue="1" operator="greaterThanOrEqual">
      <formula>0.5</formula>
    </cfRule>
  </conditionalFormatting>
  <conditionalFormatting sqref="J9">
    <cfRule type="cellIs" dxfId="21255" priority="137151" stopIfTrue="1" operator="equal">
      <formula>-1</formula>
    </cfRule>
  </conditionalFormatting>
  <conditionalFormatting sqref="J9">
    <cfRule type="cellIs" dxfId="21254" priority="137152" stopIfTrue="1" operator="lessThan">
      <formula>0.5</formula>
    </cfRule>
  </conditionalFormatting>
  <conditionalFormatting sqref="J9">
    <cfRule type="cellIs" dxfId="21253" priority="137153" stopIfTrue="1" operator="greaterThanOrEqual">
      <formula>0.5</formula>
    </cfRule>
  </conditionalFormatting>
  <conditionalFormatting sqref="J10">
    <cfRule type="cellIs" dxfId="21252" priority="137154" stopIfTrue="1" operator="equal">
      <formula>-1</formula>
    </cfRule>
  </conditionalFormatting>
  <conditionalFormatting sqref="J10">
    <cfRule type="cellIs" dxfId="21251" priority="137155" stopIfTrue="1" operator="lessThan">
      <formula>0.5</formula>
    </cfRule>
  </conditionalFormatting>
  <conditionalFormatting sqref="J10">
    <cfRule type="cellIs" dxfId="21250" priority="137156" stopIfTrue="1" operator="greaterThanOrEqual">
      <formula>0.5</formula>
    </cfRule>
  </conditionalFormatting>
  <conditionalFormatting sqref="J11">
    <cfRule type="cellIs" dxfId="21249" priority="137157" stopIfTrue="1" operator="equal">
      <formula>-1</formula>
    </cfRule>
  </conditionalFormatting>
  <conditionalFormatting sqref="J11">
    <cfRule type="cellIs" dxfId="21248" priority="137158" stopIfTrue="1" operator="lessThan">
      <formula>0.5</formula>
    </cfRule>
  </conditionalFormatting>
  <conditionalFormatting sqref="J11">
    <cfRule type="cellIs" dxfId="21247" priority="137159" stopIfTrue="1" operator="greaterThanOrEqual">
      <formula>0.5</formula>
    </cfRule>
  </conditionalFormatting>
  <conditionalFormatting sqref="J12">
    <cfRule type="cellIs" dxfId="21246" priority="137160" stopIfTrue="1" operator="equal">
      <formula>-1</formula>
    </cfRule>
  </conditionalFormatting>
  <conditionalFormatting sqref="J12">
    <cfRule type="cellIs" dxfId="21245" priority="137161" stopIfTrue="1" operator="lessThan">
      <formula>0.5</formula>
    </cfRule>
  </conditionalFormatting>
  <conditionalFormatting sqref="J12">
    <cfRule type="cellIs" dxfId="21244" priority="137162" stopIfTrue="1" operator="greaterThanOrEqual">
      <formula>0.5</formula>
    </cfRule>
  </conditionalFormatting>
  <conditionalFormatting sqref="J13">
    <cfRule type="cellIs" dxfId="21243" priority="137163" stopIfTrue="1" operator="equal">
      <formula>-1</formula>
    </cfRule>
  </conditionalFormatting>
  <conditionalFormatting sqref="J13">
    <cfRule type="cellIs" dxfId="21242" priority="137164" stopIfTrue="1" operator="lessThan">
      <formula>0.5</formula>
    </cfRule>
  </conditionalFormatting>
  <conditionalFormatting sqref="J13">
    <cfRule type="cellIs" dxfId="21241" priority="137165" stopIfTrue="1" operator="greaterThanOrEqual">
      <formula>0.5</formula>
    </cfRule>
  </conditionalFormatting>
  <conditionalFormatting sqref="J14">
    <cfRule type="cellIs" dxfId="21240" priority="137166" stopIfTrue="1" operator="equal">
      <formula>-1</formula>
    </cfRule>
  </conditionalFormatting>
  <conditionalFormatting sqref="J14">
    <cfRule type="cellIs" dxfId="21239" priority="137167" stopIfTrue="1" operator="lessThan">
      <formula>0.5</formula>
    </cfRule>
  </conditionalFormatting>
  <conditionalFormatting sqref="J14">
    <cfRule type="cellIs" dxfId="21238" priority="137168" stopIfTrue="1" operator="greaterThanOrEqual">
      <formula>0.5</formula>
    </cfRule>
  </conditionalFormatting>
  <conditionalFormatting sqref="J15">
    <cfRule type="cellIs" dxfId="21237" priority="137169" stopIfTrue="1" operator="equal">
      <formula>-1</formula>
    </cfRule>
  </conditionalFormatting>
  <conditionalFormatting sqref="J15">
    <cfRule type="cellIs" dxfId="21236" priority="137170" stopIfTrue="1" operator="lessThan">
      <formula>0.5</formula>
    </cfRule>
  </conditionalFormatting>
  <conditionalFormatting sqref="J15">
    <cfRule type="cellIs" dxfId="21235" priority="137171" stopIfTrue="1" operator="greaterThanOrEqual">
      <formula>0.5</formula>
    </cfRule>
  </conditionalFormatting>
  <conditionalFormatting sqref="L8">
    <cfRule type="cellIs" dxfId="21234" priority="137172" stopIfTrue="1" operator="equal">
      <formula>-1</formula>
    </cfRule>
  </conditionalFormatting>
  <conditionalFormatting sqref="L8">
    <cfRule type="cellIs" dxfId="21233" priority="137173" stopIfTrue="1" operator="lessThan">
      <formula>0.5</formula>
    </cfRule>
  </conditionalFormatting>
  <conditionalFormatting sqref="L8">
    <cfRule type="cellIs" dxfId="21232" priority="137174" stopIfTrue="1" operator="greaterThanOrEqual">
      <formula>0.5</formula>
    </cfRule>
  </conditionalFormatting>
  <conditionalFormatting sqref="L9">
    <cfRule type="cellIs" dxfId="21231" priority="137175" stopIfTrue="1" operator="equal">
      <formula>-1</formula>
    </cfRule>
  </conditionalFormatting>
  <conditionalFormatting sqref="L9">
    <cfRule type="cellIs" dxfId="21230" priority="137176" stopIfTrue="1" operator="lessThan">
      <formula>0.5</formula>
    </cfRule>
  </conditionalFormatting>
  <conditionalFormatting sqref="L9">
    <cfRule type="cellIs" dxfId="21229" priority="137177" stopIfTrue="1" operator="greaterThanOrEqual">
      <formula>0.5</formula>
    </cfRule>
  </conditionalFormatting>
  <conditionalFormatting sqref="L10">
    <cfRule type="cellIs" dxfId="21228" priority="137178" stopIfTrue="1" operator="equal">
      <formula>-1</formula>
    </cfRule>
  </conditionalFormatting>
  <conditionalFormatting sqref="L10">
    <cfRule type="cellIs" dxfId="21227" priority="137179" stopIfTrue="1" operator="lessThan">
      <formula>0.5</formula>
    </cfRule>
  </conditionalFormatting>
  <conditionalFormatting sqref="L10">
    <cfRule type="cellIs" dxfId="21226" priority="137180" stopIfTrue="1" operator="greaterThanOrEqual">
      <formula>0.5</formula>
    </cfRule>
  </conditionalFormatting>
  <conditionalFormatting sqref="L11">
    <cfRule type="cellIs" dxfId="21225" priority="137181" stopIfTrue="1" operator="equal">
      <formula>-1</formula>
    </cfRule>
  </conditionalFormatting>
  <conditionalFormatting sqref="L11">
    <cfRule type="cellIs" dxfId="21224" priority="137182" stopIfTrue="1" operator="lessThan">
      <formula>0.5</formula>
    </cfRule>
  </conditionalFormatting>
  <conditionalFormatting sqref="L11">
    <cfRule type="cellIs" dxfId="21223" priority="137183" stopIfTrue="1" operator="greaterThanOrEqual">
      <formula>0.5</formula>
    </cfRule>
  </conditionalFormatting>
  <conditionalFormatting sqref="L12">
    <cfRule type="cellIs" dxfId="21222" priority="137184" stopIfTrue="1" operator="equal">
      <formula>-1</formula>
    </cfRule>
  </conditionalFormatting>
  <conditionalFormatting sqref="L12">
    <cfRule type="cellIs" dxfId="21221" priority="137185" stopIfTrue="1" operator="lessThan">
      <formula>0.5</formula>
    </cfRule>
  </conditionalFormatting>
  <conditionalFormatting sqref="L12">
    <cfRule type="cellIs" dxfId="21220" priority="137186" stopIfTrue="1" operator="greaterThanOrEqual">
      <formula>0.5</formula>
    </cfRule>
  </conditionalFormatting>
  <conditionalFormatting sqref="L13">
    <cfRule type="cellIs" dxfId="21219" priority="137187" stopIfTrue="1" operator="equal">
      <formula>-1</formula>
    </cfRule>
  </conditionalFormatting>
  <conditionalFormatting sqref="L13">
    <cfRule type="cellIs" dxfId="21218" priority="137188" stopIfTrue="1" operator="lessThan">
      <formula>0.5</formula>
    </cfRule>
  </conditionalFormatting>
  <conditionalFormatting sqref="L13">
    <cfRule type="cellIs" dxfId="21217" priority="137189" stopIfTrue="1" operator="greaterThanOrEqual">
      <formula>0.5</formula>
    </cfRule>
  </conditionalFormatting>
  <conditionalFormatting sqref="L14">
    <cfRule type="cellIs" dxfId="21216" priority="137190" stopIfTrue="1" operator="equal">
      <formula>-1</formula>
    </cfRule>
  </conditionalFormatting>
  <conditionalFormatting sqref="L14">
    <cfRule type="cellIs" dxfId="21215" priority="137191" stopIfTrue="1" operator="lessThan">
      <formula>0.5</formula>
    </cfRule>
  </conditionalFormatting>
  <conditionalFormatting sqref="L14">
    <cfRule type="cellIs" dxfId="21214" priority="137192" stopIfTrue="1" operator="greaterThanOrEqual">
      <formula>0.5</formula>
    </cfRule>
  </conditionalFormatting>
  <conditionalFormatting sqref="L15">
    <cfRule type="cellIs" dxfId="21213" priority="137193" stopIfTrue="1" operator="equal">
      <formula>-1</formula>
    </cfRule>
  </conditionalFormatting>
  <conditionalFormatting sqref="L15">
    <cfRule type="cellIs" dxfId="21212" priority="137194" stopIfTrue="1" operator="lessThan">
      <formula>0.5</formula>
    </cfRule>
  </conditionalFormatting>
  <conditionalFormatting sqref="L15">
    <cfRule type="cellIs" dxfId="21211" priority="137195" stopIfTrue="1" operator="greaterThanOrEqual">
      <formula>0.5</formula>
    </cfRule>
  </conditionalFormatting>
  <conditionalFormatting sqref="N8">
    <cfRule type="cellIs" dxfId="21210" priority="137196" stopIfTrue="1" operator="equal">
      <formula>-1</formula>
    </cfRule>
  </conditionalFormatting>
  <conditionalFormatting sqref="N8">
    <cfRule type="cellIs" dxfId="21209" priority="137197" stopIfTrue="1" operator="lessThan">
      <formula>0.5</formula>
    </cfRule>
  </conditionalFormatting>
  <conditionalFormatting sqref="N8">
    <cfRule type="cellIs" dxfId="21208" priority="137198" stopIfTrue="1" operator="greaterThanOrEqual">
      <formula>0.5</formula>
    </cfRule>
  </conditionalFormatting>
  <conditionalFormatting sqref="N9">
    <cfRule type="cellIs" dxfId="21207" priority="137199" stopIfTrue="1" operator="equal">
      <formula>-1</formula>
    </cfRule>
  </conditionalFormatting>
  <conditionalFormatting sqref="N9">
    <cfRule type="cellIs" dxfId="21206" priority="137200" stopIfTrue="1" operator="lessThan">
      <formula>0.5</formula>
    </cfRule>
  </conditionalFormatting>
  <conditionalFormatting sqref="N9">
    <cfRule type="cellIs" dxfId="21205" priority="137201" stopIfTrue="1" operator="greaterThanOrEqual">
      <formula>0.5</formula>
    </cfRule>
  </conditionalFormatting>
  <conditionalFormatting sqref="N10">
    <cfRule type="cellIs" dxfId="21204" priority="137202" stopIfTrue="1" operator="equal">
      <formula>-1</formula>
    </cfRule>
  </conditionalFormatting>
  <conditionalFormatting sqref="N10">
    <cfRule type="cellIs" dxfId="21203" priority="137203" stopIfTrue="1" operator="lessThan">
      <formula>0.5</formula>
    </cfRule>
  </conditionalFormatting>
  <conditionalFormatting sqref="N10">
    <cfRule type="cellIs" dxfId="21202" priority="137204" stopIfTrue="1" operator="greaterThanOrEqual">
      <formula>0.5</formula>
    </cfRule>
  </conditionalFormatting>
  <conditionalFormatting sqref="N11">
    <cfRule type="cellIs" dxfId="21201" priority="137205" stopIfTrue="1" operator="equal">
      <formula>-1</formula>
    </cfRule>
  </conditionalFormatting>
  <conditionalFormatting sqref="N11">
    <cfRule type="cellIs" dxfId="21200" priority="137206" stopIfTrue="1" operator="lessThan">
      <formula>0.5</formula>
    </cfRule>
  </conditionalFormatting>
  <conditionalFormatting sqref="N11">
    <cfRule type="cellIs" dxfId="21199" priority="137207" stopIfTrue="1" operator="greaterThanOrEqual">
      <formula>0.5</formula>
    </cfRule>
  </conditionalFormatting>
  <conditionalFormatting sqref="N12">
    <cfRule type="cellIs" dxfId="21198" priority="137208" stopIfTrue="1" operator="equal">
      <formula>-1</formula>
    </cfRule>
  </conditionalFormatting>
  <conditionalFormatting sqref="N12">
    <cfRule type="cellIs" dxfId="21197" priority="137209" stopIfTrue="1" operator="lessThan">
      <formula>0.5</formula>
    </cfRule>
  </conditionalFormatting>
  <conditionalFormatting sqref="N12">
    <cfRule type="cellIs" dxfId="21196" priority="137210" stopIfTrue="1" operator="greaterThanOrEqual">
      <formula>0.5</formula>
    </cfRule>
  </conditionalFormatting>
  <conditionalFormatting sqref="N13">
    <cfRule type="cellIs" dxfId="21195" priority="137211" stopIfTrue="1" operator="equal">
      <formula>-1</formula>
    </cfRule>
  </conditionalFormatting>
  <conditionalFormatting sqref="N13">
    <cfRule type="cellIs" dxfId="21194" priority="137212" stopIfTrue="1" operator="lessThan">
      <formula>0.5</formula>
    </cfRule>
  </conditionalFormatting>
  <conditionalFormatting sqref="N13">
    <cfRule type="cellIs" dxfId="21193" priority="137213" stopIfTrue="1" operator="greaterThanOrEqual">
      <formula>0.5</formula>
    </cfRule>
  </conditionalFormatting>
  <conditionalFormatting sqref="N14">
    <cfRule type="cellIs" dxfId="21192" priority="137214" stopIfTrue="1" operator="equal">
      <formula>-1</formula>
    </cfRule>
  </conditionalFormatting>
  <conditionalFormatting sqref="N14">
    <cfRule type="cellIs" dxfId="21191" priority="137215" stopIfTrue="1" operator="lessThan">
      <formula>0.5</formula>
    </cfRule>
  </conditionalFormatting>
  <conditionalFormatting sqref="N14">
    <cfRule type="cellIs" dxfId="21190" priority="137216" stopIfTrue="1" operator="greaterThanOrEqual">
      <formula>0.5</formula>
    </cfRule>
  </conditionalFormatting>
  <conditionalFormatting sqref="N15">
    <cfRule type="cellIs" dxfId="21189" priority="137217" stopIfTrue="1" operator="equal">
      <formula>-1</formula>
    </cfRule>
  </conditionalFormatting>
  <conditionalFormatting sqref="N15">
    <cfRule type="cellIs" dxfId="21188" priority="137218" stopIfTrue="1" operator="lessThan">
      <formula>0.5</formula>
    </cfRule>
  </conditionalFormatting>
  <conditionalFormatting sqref="N15">
    <cfRule type="cellIs" dxfId="21187" priority="137219" stopIfTrue="1" operator="greaterThanOrEqual">
      <formula>0.5</formula>
    </cfRule>
  </conditionalFormatting>
  <conditionalFormatting sqref="P8">
    <cfRule type="cellIs" dxfId="21186" priority="137220" stopIfTrue="1" operator="equal">
      <formula>-1</formula>
    </cfRule>
  </conditionalFormatting>
  <conditionalFormatting sqref="P8">
    <cfRule type="cellIs" dxfId="21185" priority="137221" stopIfTrue="1" operator="lessThan">
      <formula>0.5</formula>
    </cfRule>
  </conditionalFormatting>
  <conditionalFormatting sqref="P8">
    <cfRule type="cellIs" dxfId="21184" priority="137222" stopIfTrue="1" operator="greaterThanOrEqual">
      <formula>0.5</formula>
    </cfRule>
  </conditionalFormatting>
  <conditionalFormatting sqref="P9">
    <cfRule type="cellIs" dxfId="21183" priority="137223" stopIfTrue="1" operator="equal">
      <formula>-1</formula>
    </cfRule>
  </conditionalFormatting>
  <conditionalFormatting sqref="P9">
    <cfRule type="cellIs" dxfId="21182" priority="137224" stopIfTrue="1" operator="lessThan">
      <formula>0.5</formula>
    </cfRule>
  </conditionalFormatting>
  <conditionalFormatting sqref="P9">
    <cfRule type="cellIs" dxfId="21181" priority="137225" stopIfTrue="1" operator="greaterThanOrEqual">
      <formula>0.5</formula>
    </cfRule>
  </conditionalFormatting>
  <conditionalFormatting sqref="P10">
    <cfRule type="cellIs" dxfId="21180" priority="137226" stopIfTrue="1" operator="equal">
      <formula>-1</formula>
    </cfRule>
  </conditionalFormatting>
  <conditionalFormatting sqref="P10">
    <cfRule type="cellIs" dxfId="21179" priority="137227" stopIfTrue="1" operator="lessThan">
      <formula>0.5</formula>
    </cfRule>
  </conditionalFormatting>
  <conditionalFormatting sqref="P10">
    <cfRule type="cellIs" dxfId="21178" priority="137228" stopIfTrue="1" operator="greaterThanOrEqual">
      <formula>0.5</formula>
    </cfRule>
  </conditionalFormatting>
  <conditionalFormatting sqref="P11">
    <cfRule type="cellIs" dxfId="21177" priority="137229" stopIfTrue="1" operator="equal">
      <formula>-1</formula>
    </cfRule>
  </conditionalFormatting>
  <conditionalFormatting sqref="P11">
    <cfRule type="cellIs" dxfId="21176" priority="137230" stopIfTrue="1" operator="lessThan">
      <formula>0.5</formula>
    </cfRule>
  </conditionalFormatting>
  <conditionalFormatting sqref="P11">
    <cfRule type="cellIs" dxfId="21175" priority="137231" stopIfTrue="1" operator="greaterThanOrEqual">
      <formula>0.5</formula>
    </cfRule>
  </conditionalFormatting>
  <conditionalFormatting sqref="P12">
    <cfRule type="cellIs" dxfId="21174" priority="137232" stopIfTrue="1" operator="equal">
      <formula>-1</formula>
    </cfRule>
  </conditionalFormatting>
  <conditionalFormatting sqref="P12">
    <cfRule type="cellIs" dxfId="21173" priority="137233" stopIfTrue="1" operator="lessThan">
      <formula>0.5</formula>
    </cfRule>
  </conditionalFormatting>
  <conditionalFormatting sqref="P12">
    <cfRule type="cellIs" dxfId="21172" priority="137234" stopIfTrue="1" operator="greaterThanOrEqual">
      <formula>0.5</formula>
    </cfRule>
  </conditionalFormatting>
  <conditionalFormatting sqref="P13">
    <cfRule type="cellIs" dxfId="21171" priority="137235" stopIfTrue="1" operator="equal">
      <formula>-1</formula>
    </cfRule>
  </conditionalFormatting>
  <conditionalFormatting sqref="P13">
    <cfRule type="cellIs" dxfId="21170" priority="137236" stopIfTrue="1" operator="lessThan">
      <formula>0.5</formula>
    </cfRule>
  </conditionalFormatting>
  <conditionalFormatting sqref="P13">
    <cfRule type="cellIs" dxfId="21169" priority="137237" stopIfTrue="1" operator="greaterThanOrEqual">
      <formula>0.5</formula>
    </cfRule>
  </conditionalFormatting>
  <conditionalFormatting sqref="P14">
    <cfRule type="cellIs" dxfId="21168" priority="137238" stopIfTrue="1" operator="equal">
      <formula>-1</formula>
    </cfRule>
  </conditionalFormatting>
  <conditionalFormatting sqref="P14">
    <cfRule type="cellIs" dxfId="21167" priority="137239" stopIfTrue="1" operator="lessThan">
      <formula>0.5</formula>
    </cfRule>
  </conditionalFormatting>
  <conditionalFormatting sqref="P14">
    <cfRule type="cellIs" dxfId="21166" priority="137240" stopIfTrue="1" operator="greaterThanOrEqual">
      <formula>0.5</formula>
    </cfRule>
  </conditionalFormatting>
  <conditionalFormatting sqref="P15">
    <cfRule type="cellIs" dxfId="21165" priority="137241" stopIfTrue="1" operator="equal">
      <formula>-1</formula>
    </cfRule>
  </conditionalFormatting>
  <conditionalFormatting sqref="P15">
    <cfRule type="cellIs" dxfId="21164" priority="137242" stopIfTrue="1" operator="lessThan">
      <formula>0.5</formula>
    </cfRule>
  </conditionalFormatting>
  <conditionalFormatting sqref="P15">
    <cfRule type="cellIs" dxfId="21163" priority="137243" stopIfTrue="1" operator="greaterThanOrEqual">
      <formula>0.5</formula>
    </cfRule>
  </conditionalFormatting>
  <conditionalFormatting sqref="R8">
    <cfRule type="cellIs" dxfId="21162" priority="137244" stopIfTrue="1" operator="equal">
      <formula>-1</formula>
    </cfRule>
  </conditionalFormatting>
  <conditionalFormatting sqref="R8">
    <cfRule type="cellIs" dxfId="21161" priority="137245" stopIfTrue="1" operator="lessThan">
      <formula>0.5</formula>
    </cfRule>
  </conditionalFormatting>
  <conditionalFormatting sqref="R8">
    <cfRule type="cellIs" dxfId="21160" priority="137246" stopIfTrue="1" operator="greaterThanOrEqual">
      <formula>0.5</formula>
    </cfRule>
  </conditionalFormatting>
  <conditionalFormatting sqref="R9">
    <cfRule type="cellIs" dxfId="21159" priority="137247" stopIfTrue="1" operator="equal">
      <formula>-1</formula>
    </cfRule>
  </conditionalFormatting>
  <conditionalFormatting sqref="R9">
    <cfRule type="cellIs" dxfId="21158" priority="137248" stopIfTrue="1" operator="lessThan">
      <formula>0.5</formula>
    </cfRule>
  </conditionalFormatting>
  <conditionalFormatting sqref="R9">
    <cfRule type="cellIs" dxfId="21157" priority="137249" stopIfTrue="1" operator="greaterThanOrEqual">
      <formula>0.5</formula>
    </cfRule>
  </conditionalFormatting>
  <conditionalFormatting sqref="R10">
    <cfRule type="cellIs" dxfId="21156" priority="137250" stopIfTrue="1" operator="equal">
      <formula>-1</formula>
    </cfRule>
  </conditionalFormatting>
  <conditionalFormatting sqref="R10">
    <cfRule type="cellIs" dxfId="21155" priority="137251" stopIfTrue="1" operator="lessThan">
      <formula>0.5</formula>
    </cfRule>
  </conditionalFormatting>
  <conditionalFormatting sqref="R10">
    <cfRule type="cellIs" dxfId="21154" priority="137252" stopIfTrue="1" operator="greaterThanOrEqual">
      <formula>0.5</formula>
    </cfRule>
  </conditionalFormatting>
  <conditionalFormatting sqref="R11">
    <cfRule type="cellIs" dxfId="21153" priority="137253" stopIfTrue="1" operator="equal">
      <formula>-1</formula>
    </cfRule>
  </conditionalFormatting>
  <conditionalFormatting sqref="R11">
    <cfRule type="cellIs" dxfId="21152" priority="137254" stopIfTrue="1" operator="lessThan">
      <formula>0.5</formula>
    </cfRule>
  </conditionalFormatting>
  <conditionalFormatting sqref="R11">
    <cfRule type="cellIs" dxfId="21151" priority="137255" stopIfTrue="1" operator="greaterThanOrEqual">
      <formula>0.5</formula>
    </cfRule>
  </conditionalFormatting>
  <conditionalFormatting sqref="R12">
    <cfRule type="cellIs" dxfId="21150" priority="137256" stopIfTrue="1" operator="equal">
      <formula>-1</formula>
    </cfRule>
  </conditionalFormatting>
  <conditionalFormatting sqref="R12">
    <cfRule type="cellIs" dxfId="21149" priority="137257" stopIfTrue="1" operator="lessThan">
      <formula>0.5</formula>
    </cfRule>
  </conditionalFormatting>
  <conditionalFormatting sqref="R12">
    <cfRule type="cellIs" dxfId="21148" priority="137258" stopIfTrue="1" operator="greaterThanOrEqual">
      <formula>0.5</formula>
    </cfRule>
  </conditionalFormatting>
  <conditionalFormatting sqref="R13">
    <cfRule type="cellIs" dxfId="21147" priority="137259" stopIfTrue="1" operator="equal">
      <formula>-1</formula>
    </cfRule>
  </conditionalFormatting>
  <conditionalFormatting sqref="R13">
    <cfRule type="cellIs" dxfId="21146" priority="137260" stopIfTrue="1" operator="lessThan">
      <formula>0.5</formula>
    </cfRule>
  </conditionalFormatting>
  <conditionalFormatting sqref="R13">
    <cfRule type="cellIs" dxfId="21145" priority="137261" stopIfTrue="1" operator="greaterThanOrEqual">
      <formula>0.5</formula>
    </cfRule>
  </conditionalFormatting>
  <conditionalFormatting sqref="R14">
    <cfRule type="cellIs" dxfId="21144" priority="137262" stopIfTrue="1" operator="equal">
      <formula>-1</formula>
    </cfRule>
  </conditionalFormatting>
  <conditionalFormatting sqref="R14">
    <cfRule type="cellIs" dxfId="21143" priority="137263" stopIfTrue="1" operator="lessThan">
      <formula>0.5</formula>
    </cfRule>
  </conditionalFormatting>
  <conditionalFormatting sqref="R14">
    <cfRule type="cellIs" dxfId="21142" priority="137264" stopIfTrue="1" operator="greaterThanOrEqual">
      <formula>0.5</formula>
    </cfRule>
  </conditionalFormatting>
  <conditionalFormatting sqref="R15">
    <cfRule type="cellIs" dxfId="21141" priority="137265" stopIfTrue="1" operator="equal">
      <formula>-1</formula>
    </cfRule>
  </conditionalFormatting>
  <conditionalFormatting sqref="R15">
    <cfRule type="cellIs" dxfId="21140" priority="137266" stopIfTrue="1" operator="lessThan">
      <formula>0.5</formula>
    </cfRule>
  </conditionalFormatting>
  <conditionalFormatting sqref="R15">
    <cfRule type="cellIs" dxfId="21139" priority="137267" stopIfTrue="1" operator="greaterThanOrEqual">
      <formula>0.5</formula>
    </cfRule>
  </conditionalFormatting>
  <conditionalFormatting sqref="T8">
    <cfRule type="cellIs" dxfId="21138" priority="137268" stopIfTrue="1" operator="equal">
      <formula>-1</formula>
    </cfRule>
  </conditionalFormatting>
  <conditionalFormatting sqref="T8">
    <cfRule type="cellIs" dxfId="21137" priority="137269" stopIfTrue="1" operator="lessThan">
      <formula>0.5</formula>
    </cfRule>
  </conditionalFormatting>
  <conditionalFormatting sqref="T8">
    <cfRule type="cellIs" dxfId="21136" priority="137270" stopIfTrue="1" operator="greaterThanOrEqual">
      <formula>0.5</formula>
    </cfRule>
  </conditionalFormatting>
  <conditionalFormatting sqref="T9">
    <cfRule type="cellIs" dxfId="21135" priority="137271" stopIfTrue="1" operator="equal">
      <formula>-1</formula>
    </cfRule>
  </conditionalFormatting>
  <conditionalFormatting sqref="T9">
    <cfRule type="cellIs" dxfId="21134" priority="137272" stopIfTrue="1" operator="lessThan">
      <formula>0.5</formula>
    </cfRule>
  </conditionalFormatting>
  <conditionalFormatting sqref="T9">
    <cfRule type="cellIs" dxfId="21133" priority="137273" stopIfTrue="1" operator="greaterThanOrEqual">
      <formula>0.5</formula>
    </cfRule>
  </conditionalFormatting>
  <conditionalFormatting sqref="T10">
    <cfRule type="cellIs" dxfId="21132" priority="137274" stopIfTrue="1" operator="equal">
      <formula>-1</formula>
    </cfRule>
  </conditionalFormatting>
  <conditionalFormatting sqref="T10">
    <cfRule type="cellIs" dxfId="21131" priority="137275" stopIfTrue="1" operator="lessThan">
      <formula>0.5</formula>
    </cfRule>
  </conditionalFormatting>
  <conditionalFormatting sqref="T10">
    <cfRule type="cellIs" dxfId="21130" priority="137276" stopIfTrue="1" operator="greaterThanOrEqual">
      <formula>0.5</formula>
    </cfRule>
  </conditionalFormatting>
  <conditionalFormatting sqref="T11">
    <cfRule type="cellIs" dxfId="21129" priority="137277" stopIfTrue="1" operator="equal">
      <formula>-1</formula>
    </cfRule>
  </conditionalFormatting>
  <conditionalFormatting sqref="T11">
    <cfRule type="cellIs" dxfId="21128" priority="137278" stopIfTrue="1" operator="lessThan">
      <formula>0.5</formula>
    </cfRule>
  </conditionalFormatting>
  <conditionalFormatting sqref="T11">
    <cfRule type="cellIs" dxfId="21127" priority="137279" stopIfTrue="1" operator="greaterThanOrEqual">
      <formula>0.5</formula>
    </cfRule>
  </conditionalFormatting>
  <conditionalFormatting sqref="T12">
    <cfRule type="cellIs" dxfId="21126" priority="137280" stopIfTrue="1" operator="equal">
      <formula>-1</formula>
    </cfRule>
  </conditionalFormatting>
  <conditionalFormatting sqref="T12">
    <cfRule type="cellIs" dxfId="21125" priority="137281" stopIfTrue="1" operator="lessThan">
      <formula>0.5</formula>
    </cfRule>
  </conditionalFormatting>
  <conditionalFormatting sqref="T12">
    <cfRule type="cellIs" dxfId="21124" priority="137282" stopIfTrue="1" operator="greaterThanOrEqual">
      <formula>0.5</formula>
    </cfRule>
  </conditionalFormatting>
  <conditionalFormatting sqref="T13">
    <cfRule type="cellIs" dxfId="21123" priority="137283" stopIfTrue="1" operator="equal">
      <formula>-1</formula>
    </cfRule>
  </conditionalFormatting>
  <conditionalFormatting sqref="T13">
    <cfRule type="cellIs" dxfId="21122" priority="137284" stopIfTrue="1" operator="lessThan">
      <formula>0.5</formula>
    </cfRule>
  </conditionalFormatting>
  <conditionalFormatting sqref="T13">
    <cfRule type="cellIs" dxfId="21121" priority="137285" stopIfTrue="1" operator="greaterThanOrEqual">
      <formula>0.5</formula>
    </cfRule>
  </conditionalFormatting>
  <conditionalFormatting sqref="T14">
    <cfRule type="cellIs" dxfId="21120" priority="137286" stopIfTrue="1" operator="equal">
      <formula>-1</formula>
    </cfRule>
  </conditionalFormatting>
  <conditionalFormatting sqref="T14">
    <cfRule type="cellIs" dxfId="21119" priority="137287" stopIfTrue="1" operator="lessThan">
      <formula>0.5</formula>
    </cfRule>
  </conditionalFormatting>
  <conditionalFormatting sqref="T14">
    <cfRule type="cellIs" dxfId="21118" priority="137288" stopIfTrue="1" operator="greaterThanOrEqual">
      <formula>0.5</formula>
    </cfRule>
  </conditionalFormatting>
  <conditionalFormatting sqref="T15">
    <cfRule type="cellIs" dxfId="21117" priority="137289" stopIfTrue="1" operator="equal">
      <formula>-1</formula>
    </cfRule>
  </conditionalFormatting>
  <conditionalFormatting sqref="T15">
    <cfRule type="cellIs" dxfId="21116" priority="137290" stopIfTrue="1" operator="lessThan">
      <formula>0.5</formula>
    </cfRule>
  </conditionalFormatting>
  <conditionalFormatting sqref="T15">
    <cfRule type="cellIs" dxfId="21115" priority="137291" stopIfTrue="1" operator="greaterThanOrEqual">
      <formula>0.5</formula>
    </cfRule>
  </conditionalFormatting>
  <conditionalFormatting sqref="V8">
    <cfRule type="cellIs" dxfId="21114" priority="137292" stopIfTrue="1" operator="equal">
      <formula>-1</formula>
    </cfRule>
  </conditionalFormatting>
  <conditionalFormatting sqref="V8">
    <cfRule type="cellIs" dxfId="21113" priority="137293" stopIfTrue="1" operator="lessThan">
      <formula>0.5</formula>
    </cfRule>
  </conditionalFormatting>
  <conditionalFormatting sqref="V8">
    <cfRule type="cellIs" dxfId="21112" priority="137294" stopIfTrue="1" operator="greaterThanOrEqual">
      <formula>0.5</formula>
    </cfRule>
  </conditionalFormatting>
  <conditionalFormatting sqref="V9">
    <cfRule type="cellIs" dxfId="21111" priority="137295" stopIfTrue="1" operator="equal">
      <formula>-1</formula>
    </cfRule>
  </conditionalFormatting>
  <conditionalFormatting sqref="V9">
    <cfRule type="cellIs" dxfId="21110" priority="137296" stopIfTrue="1" operator="lessThan">
      <formula>0.5</formula>
    </cfRule>
  </conditionalFormatting>
  <conditionalFormatting sqref="V9">
    <cfRule type="cellIs" dxfId="21109" priority="137297" stopIfTrue="1" operator="greaterThanOrEqual">
      <formula>0.5</formula>
    </cfRule>
  </conditionalFormatting>
  <conditionalFormatting sqref="V10">
    <cfRule type="cellIs" dxfId="21108" priority="137298" stopIfTrue="1" operator="equal">
      <formula>-1</formula>
    </cfRule>
  </conditionalFormatting>
  <conditionalFormatting sqref="V10">
    <cfRule type="cellIs" dxfId="21107" priority="137299" stopIfTrue="1" operator="lessThan">
      <formula>0.5</formula>
    </cfRule>
  </conditionalFormatting>
  <conditionalFormatting sqref="V10">
    <cfRule type="cellIs" dxfId="21106" priority="137300" stopIfTrue="1" operator="greaterThanOrEqual">
      <formula>0.5</formula>
    </cfRule>
  </conditionalFormatting>
  <conditionalFormatting sqref="V11">
    <cfRule type="cellIs" dxfId="21105" priority="137301" stopIfTrue="1" operator="equal">
      <formula>-1</formula>
    </cfRule>
  </conditionalFormatting>
  <conditionalFormatting sqref="V11">
    <cfRule type="cellIs" dxfId="21104" priority="137302" stopIfTrue="1" operator="lessThan">
      <formula>0.5</formula>
    </cfRule>
  </conditionalFormatting>
  <conditionalFormatting sqref="V11">
    <cfRule type="cellIs" dxfId="21103" priority="137303" stopIfTrue="1" operator="greaterThanOrEqual">
      <formula>0.5</formula>
    </cfRule>
  </conditionalFormatting>
  <conditionalFormatting sqref="V12">
    <cfRule type="cellIs" dxfId="21102" priority="137304" stopIfTrue="1" operator="equal">
      <formula>-1</formula>
    </cfRule>
  </conditionalFormatting>
  <conditionalFormatting sqref="V12">
    <cfRule type="cellIs" dxfId="21101" priority="137305" stopIfTrue="1" operator="lessThan">
      <formula>0.5</formula>
    </cfRule>
  </conditionalFormatting>
  <conditionalFormatting sqref="V12">
    <cfRule type="cellIs" dxfId="21100" priority="137306" stopIfTrue="1" operator="greaterThanOrEqual">
      <formula>0.5</formula>
    </cfRule>
  </conditionalFormatting>
  <conditionalFormatting sqref="V13">
    <cfRule type="cellIs" dxfId="21099" priority="137307" stopIfTrue="1" operator="equal">
      <formula>-1</formula>
    </cfRule>
  </conditionalFormatting>
  <conditionalFormatting sqref="V13">
    <cfRule type="cellIs" dxfId="21098" priority="137308" stopIfTrue="1" operator="lessThan">
      <formula>0.5</formula>
    </cfRule>
  </conditionalFormatting>
  <conditionalFormatting sqref="V13">
    <cfRule type="cellIs" dxfId="21097" priority="137309" stopIfTrue="1" operator="greaterThanOrEqual">
      <formula>0.5</formula>
    </cfRule>
  </conditionalFormatting>
  <conditionalFormatting sqref="V14">
    <cfRule type="cellIs" dxfId="21096" priority="137310" stopIfTrue="1" operator="equal">
      <formula>-1</formula>
    </cfRule>
  </conditionalFormatting>
  <conditionalFormatting sqref="V14">
    <cfRule type="cellIs" dxfId="21095" priority="137311" stopIfTrue="1" operator="lessThan">
      <formula>0.5</formula>
    </cfRule>
  </conditionalFormatting>
  <conditionalFormatting sqref="V14">
    <cfRule type="cellIs" dxfId="21094" priority="137312" stopIfTrue="1" operator="greaterThanOrEqual">
      <formula>0.5</formula>
    </cfRule>
  </conditionalFormatting>
  <conditionalFormatting sqref="V15">
    <cfRule type="cellIs" dxfId="21093" priority="137313" stopIfTrue="1" operator="equal">
      <formula>-1</formula>
    </cfRule>
  </conditionalFormatting>
  <conditionalFormatting sqref="V15">
    <cfRule type="cellIs" dxfId="21092" priority="137314" stopIfTrue="1" operator="lessThan">
      <formula>0.5</formula>
    </cfRule>
  </conditionalFormatting>
  <conditionalFormatting sqref="V15">
    <cfRule type="cellIs" dxfId="21091" priority="137315" stopIfTrue="1" operator="greaterThanOrEqual">
      <formula>0.5</formula>
    </cfRule>
  </conditionalFormatting>
  <conditionalFormatting sqref="X8">
    <cfRule type="cellIs" dxfId="21090" priority="137316" stopIfTrue="1" operator="equal">
      <formula>-1</formula>
    </cfRule>
  </conditionalFormatting>
  <conditionalFormatting sqref="X8">
    <cfRule type="cellIs" dxfId="21089" priority="137317" stopIfTrue="1" operator="lessThan">
      <formula>0.5</formula>
    </cfRule>
  </conditionalFormatting>
  <conditionalFormatting sqref="X8">
    <cfRule type="cellIs" dxfId="21088" priority="137318" stopIfTrue="1" operator="greaterThanOrEqual">
      <formula>0.5</formula>
    </cfRule>
  </conditionalFormatting>
  <conditionalFormatting sqref="X9">
    <cfRule type="cellIs" dxfId="21087" priority="137319" stopIfTrue="1" operator="equal">
      <formula>-1</formula>
    </cfRule>
  </conditionalFormatting>
  <conditionalFormatting sqref="X9">
    <cfRule type="cellIs" dxfId="21086" priority="137320" stopIfTrue="1" operator="lessThan">
      <formula>0.5</formula>
    </cfRule>
  </conditionalFormatting>
  <conditionalFormatting sqref="X9">
    <cfRule type="cellIs" dxfId="21085" priority="137321" stopIfTrue="1" operator="greaterThanOrEqual">
      <formula>0.5</formula>
    </cfRule>
  </conditionalFormatting>
  <conditionalFormatting sqref="X10">
    <cfRule type="cellIs" dxfId="21084" priority="137322" stopIfTrue="1" operator="equal">
      <formula>-1</formula>
    </cfRule>
  </conditionalFormatting>
  <conditionalFormatting sqref="X10">
    <cfRule type="cellIs" dxfId="21083" priority="137323" stopIfTrue="1" operator="lessThan">
      <formula>0.5</formula>
    </cfRule>
  </conditionalFormatting>
  <conditionalFormatting sqref="X10">
    <cfRule type="cellIs" dxfId="21082" priority="137324" stopIfTrue="1" operator="greaterThanOrEqual">
      <formula>0.5</formula>
    </cfRule>
  </conditionalFormatting>
  <conditionalFormatting sqref="X11">
    <cfRule type="cellIs" dxfId="21081" priority="137325" stopIfTrue="1" operator="equal">
      <formula>-1</formula>
    </cfRule>
  </conditionalFormatting>
  <conditionalFormatting sqref="X11">
    <cfRule type="cellIs" dxfId="21080" priority="137326" stopIfTrue="1" operator="lessThan">
      <formula>0.5</formula>
    </cfRule>
  </conditionalFormatting>
  <conditionalFormatting sqref="X11">
    <cfRule type="cellIs" dxfId="21079" priority="137327" stopIfTrue="1" operator="greaterThanOrEqual">
      <formula>0.5</formula>
    </cfRule>
  </conditionalFormatting>
  <conditionalFormatting sqref="X12">
    <cfRule type="cellIs" dxfId="21078" priority="137328" stopIfTrue="1" operator="equal">
      <formula>-1</formula>
    </cfRule>
  </conditionalFormatting>
  <conditionalFormatting sqref="X12">
    <cfRule type="cellIs" dxfId="21077" priority="137329" stopIfTrue="1" operator="lessThan">
      <formula>0.5</formula>
    </cfRule>
  </conditionalFormatting>
  <conditionalFormatting sqref="X12">
    <cfRule type="cellIs" dxfId="21076" priority="137330" stopIfTrue="1" operator="greaterThanOrEqual">
      <formula>0.5</formula>
    </cfRule>
  </conditionalFormatting>
  <conditionalFormatting sqref="X13">
    <cfRule type="cellIs" dxfId="21075" priority="137331" stopIfTrue="1" operator="equal">
      <formula>-1</formula>
    </cfRule>
  </conditionalFormatting>
  <conditionalFormatting sqref="X13">
    <cfRule type="cellIs" dxfId="21074" priority="137332" stopIfTrue="1" operator="lessThan">
      <formula>0.5</formula>
    </cfRule>
  </conditionalFormatting>
  <conditionalFormatting sqref="X13">
    <cfRule type="cellIs" dxfId="21073" priority="137333" stopIfTrue="1" operator="greaterThanOrEqual">
      <formula>0.5</formula>
    </cfRule>
  </conditionalFormatting>
  <conditionalFormatting sqref="X14">
    <cfRule type="cellIs" dxfId="21072" priority="137334" stopIfTrue="1" operator="equal">
      <formula>-1</formula>
    </cfRule>
  </conditionalFormatting>
  <conditionalFormatting sqref="X14">
    <cfRule type="cellIs" dxfId="21071" priority="137335" stopIfTrue="1" operator="lessThan">
      <formula>0.5</formula>
    </cfRule>
  </conditionalFormatting>
  <conditionalFormatting sqref="X14">
    <cfRule type="cellIs" dxfId="21070" priority="137336" stopIfTrue="1" operator="greaterThanOrEqual">
      <formula>0.5</formula>
    </cfRule>
  </conditionalFormatting>
  <conditionalFormatting sqref="X15">
    <cfRule type="cellIs" dxfId="21069" priority="137337" stopIfTrue="1" operator="equal">
      <formula>-1</formula>
    </cfRule>
  </conditionalFormatting>
  <conditionalFormatting sqref="X15">
    <cfRule type="cellIs" dxfId="21068" priority="137338" stopIfTrue="1" operator="lessThan">
      <formula>0.5</formula>
    </cfRule>
  </conditionalFormatting>
  <conditionalFormatting sqref="X15">
    <cfRule type="cellIs" dxfId="21067" priority="137339" stopIfTrue="1" operator="greaterThanOrEqual">
      <formula>0.5</formula>
    </cfRule>
  </conditionalFormatting>
  <conditionalFormatting sqref="Z8">
    <cfRule type="cellIs" dxfId="21066" priority="137340" stopIfTrue="1" operator="equal">
      <formula>-1</formula>
    </cfRule>
  </conditionalFormatting>
  <conditionalFormatting sqref="Z8">
    <cfRule type="cellIs" dxfId="21065" priority="137341" stopIfTrue="1" operator="lessThan">
      <formula>0.5</formula>
    </cfRule>
  </conditionalFormatting>
  <conditionalFormatting sqref="Z8">
    <cfRule type="cellIs" dxfId="21064" priority="137342" stopIfTrue="1" operator="greaterThanOrEqual">
      <formula>0.5</formula>
    </cfRule>
  </conditionalFormatting>
  <conditionalFormatting sqref="Z9">
    <cfRule type="cellIs" dxfId="21063" priority="137343" stopIfTrue="1" operator="equal">
      <formula>-1</formula>
    </cfRule>
  </conditionalFormatting>
  <conditionalFormatting sqref="Z9">
    <cfRule type="cellIs" dxfId="21062" priority="137344" stopIfTrue="1" operator="lessThan">
      <formula>0.5</formula>
    </cfRule>
  </conditionalFormatting>
  <conditionalFormatting sqref="Z9">
    <cfRule type="cellIs" dxfId="21061" priority="137345" stopIfTrue="1" operator="greaterThanOrEqual">
      <formula>0.5</formula>
    </cfRule>
  </conditionalFormatting>
  <conditionalFormatting sqref="Z10">
    <cfRule type="cellIs" dxfId="21060" priority="137346" stopIfTrue="1" operator="equal">
      <formula>-1</formula>
    </cfRule>
  </conditionalFormatting>
  <conditionalFormatting sqref="Z10">
    <cfRule type="cellIs" dxfId="21059" priority="137347" stopIfTrue="1" operator="lessThan">
      <formula>0.5</formula>
    </cfRule>
  </conditionalFormatting>
  <conditionalFormatting sqref="Z10">
    <cfRule type="cellIs" dxfId="21058" priority="137348" stopIfTrue="1" operator="greaterThanOrEqual">
      <formula>0.5</formula>
    </cfRule>
  </conditionalFormatting>
  <conditionalFormatting sqref="Z11">
    <cfRule type="cellIs" dxfId="21057" priority="137349" stopIfTrue="1" operator="equal">
      <formula>-1</formula>
    </cfRule>
  </conditionalFormatting>
  <conditionalFormatting sqref="Z11">
    <cfRule type="cellIs" dxfId="21056" priority="137350" stopIfTrue="1" operator="lessThan">
      <formula>0.5</formula>
    </cfRule>
  </conditionalFormatting>
  <conditionalFormatting sqref="Z11">
    <cfRule type="cellIs" dxfId="21055" priority="137351" stopIfTrue="1" operator="greaterThanOrEqual">
      <formula>0.5</formula>
    </cfRule>
  </conditionalFormatting>
  <conditionalFormatting sqref="Z12">
    <cfRule type="cellIs" dxfId="21054" priority="137352" stopIfTrue="1" operator="equal">
      <formula>-1</formula>
    </cfRule>
  </conditionalFormatting>
  <conditionalFormatting sqref="Z12">
    <cfRule type="cellIs" dxfId="21053" priority="137353" stopIfTrue="1" operator="lessThan">
      <formula>0.5</formula>
    </cfRule>
  </conditionalFormatting>
  <conditionalFormatting sqref="Z12">
    <cfRule type="cellIs" dxfId="21052" priority="137354" stopIfTrue="1" operator="greaterThanOrEqual">
      <formula>0.5</formula>
    </cfRule>
  </conditionalFormatting>
  <conditionalFormatting sqref="Z13">
    <cfRule type="cellIs" dxfId="21051" priority="137355" stopIfTrue="1" operator="equal">
      <formula>-1</formula>
    </cfRule>
  </conditionalFormatting>
  <conditionalFormatting sqref="Z13">
    <cfRule type="cellIs" dxfId="21050" priority="137356" stopIfTrue="1" operator="lessThan">
      <formula>0.5</formula>
    </cfRule>
  </conditionalFormatting>
  <conditionalFormatting sqref="Z13">
    <cfRule type="cellIs" dxfId="21049" priority="137357" stopIfTrue="1" operator="greaterThanOrEqual">
      <formula>0.5</formula>
    </cfRule>
  </conditionalFormatting>
  <conditionalFormatting sqref="Z14">
    <cfRule type="cellIs" dxfId="21048" priority="137358" stopIfTrue="1" operator="equal">
      <formula>-1</formula>
    </cfRule>
  </conditionalFormatting>
  <conditionalFormatting sqref="Z14">
    <cfRule type="cellIs" dxfId="21047" priority="137359" stopIfTrue="1" operator="lessThan">
      <formula>0.5</formula>
    </cfRule>
  </conditionalFormatting>
  <conditionalFormatting sqref="Z14">
    <cfRule type="cellIs" dxfId="21046" priority="137360" stopIfTrue="1" operator="greaterThanOrEqual">
      <formula>0.5</formula>
    </cfRule>
  </conditionalFormatting>
  <conditionalFormatting sqref="Z15">
    <cfRule type="cellIs" dxfId="21045" priority="137361" stopIfTrue="1" operator="equal">
      <formula>-1</formula>
    </cfRule>
  </conditionalFormatting>
  <conditionalFormatting sqref="Z15">
    <cfRule type="cellIs" dxfId="21044" priority="137362" stopIfTrue="1" operator="lessThan">
      <formula>0.5</formula>
    </cfRule>
  </conditionalFormatting>
  <conditionalFormatting sqref="Z15">
    <cfRule type="cellIs" dxfId="21043" priority="137363" stopIfTrue="1" operator="greaterThanOrEqual">
      <formula>0.5</formula>
    </cfRule>
  </conditionalFormatting>
  <conditionalFormatting sqref="AB8">
    <cfRule type="cellIs" dxfId="21042" priority="137364" stopIfTrue="1" operator="equal">
      <formula>-1</formula>
    </cfRule>
  </conditionalFormatting>
  <conditionalFormatting sqref="AB8">
    <cfRule type="cellIs" dxfId="21041" priority="137365" stopIfTrue="1" operator="lessThan">
      <formula>0.5</formula>
    </cfRule>
  </conditionalFormatting>
  <conditionalFormatting sqref="AB8">
    <cfRule type="cellIs" dxfId="21040" priority="137366" stopIfTrue="1" operator="greaterThanOrEqual">
      <formula>0.5</formula>
    </cfRule>
  </conditionalFormatting>
  <conditionalFormatting sqref="AB9">
    <cfRule type="cellIs" dxfId="21039" priority="137367" stopIfTrue="1" operator="equal">
      <formula>-1</formula>
    </cfRule>
  </conditionalFormatting>
  <conditionalFormatting sqref="AB9">
    <cfRule type="cellIs" dxfId="21038" priority="137368" stopIfTrue="1" operator="lessThan">
      <formula>0.5</formula>
    </cfRule>
  </conditionalFormatting>
  <conditionalFormatting sqref="AB9">
    <cfRule type="cellIs" dxfId="21037" priority="137369" stopIfTrue="1" operator="greaterThanOrEqual">
      <formula>0.5</formula>
    </cfRule>
  </conditionalFormatting>
  <conditionalFormatting sqref="AB10">
    <cfRule type="cellIs" dxfId="21036" priority="137370" stopIfTrue="1" operator="equal">
      <formula>-1</formula>
    </cfRule>
  </conditionalFormatting>
  <conditionalFormatting sqref="AB10">
    <cfRule type="cellIs" dxfId="21035" priority="137371" stopIfTrue="1" operator="lessThan">
      <formula>0.5</formula>
    </cfRule>
  </conditionalFormatting>
  <conditionalFormatting sqref="AB10">
    <cfRule type="cellIs" dxfId="21034" priority="137372" stopIfTrue="1" operator="greaterThanOrEqual">
      <formula>0.5</formula>
    </cfRule>
  </conditionalFormatting>
  <conditionalFormatting sqref="AB11">
    <cfRule type="cellIs" dxfId="21033" priority="137373" stopIfTrue="1" operator="equal">
      <formula>-1</formula>
    </cfRule>
  </conditionalFormatting>
  <conditionalFormatting sqref="AB11">
    <cfRule type="cellIs" dxfId="21032" priority="137374" stopIfTrue="1" operator="lessThan">
      <formula>0.5</formula>
    </cfRule>
  </conditionalFormatting>
  <conditionalFormatting sqref="AB11">
    <cfRule type="cellIs" dxfId="21031" priority="137375" stopIfTrue="1" operator="greaterThanOrEqual">
      <formula>0.5</formula>
    </cfRule>
  </conditionalFormatting>
  <conditionalFormatting sqref="AB12">
    <cfRule type="cellIs" dxfId="21030" priority="137376" stopIfTrue="1" operator="equal">
      <formula>-1</formula>
    </cfRule>
  </conditionalFormatting>
  <conditionalFormatting sqref="AB12">
    <cfRule type="cellIs" dxfId="21029" priority="137377" stopIfTrue="1" operator="lessThan">
      <formula>0.5</formula>
    </cfRule>
  </conditionalFormatting>
  <conditionalFormatting sqref="AB12">
    <cfRule type="cellIs" dxfId="21028" priority="137378" stopIfTrue="1" operator="greaterThanOrEqual">
      <formula>0.5</formula>
    </cfRule>
  </conditionalFormatting>
  <conditionalFormatting sqref="AB13">
    <cfRule type="cellIs" dxfId="21027" priority="137379" stopIfTrue="1" operator="equal">
      <formula>-1</formula>
    </cfRule>
  </conditionalFormatting>
  <conditionalFormatting sqref="AB13">
    <cfRule type="cellIs" dxfId="21026" priority="137380" stopIfTrue="1" operator="lessThan">
      <formula>0.5</formula>
    </cfRule>
  </conditionalFormatting>
  <conditionalFormatting sqref="AB13">
    <cfRule type="cellIs" dxfId="21025" priority="137381" stopIfTrue="1" operator="greaterThanOrEqual">
      <formula>0.5</formula>
    </cfRule>
  </conditionalFormatting>
  <conditionalFormatting sqref="AB14">
    <cfRule type="cellIs" dxfId="21024" priority="137382" stopIfTrue="1" operator="equal">
      <formula>-1</formula>
    </cfRule>
  </conditionalFormatting>
  <conditionalFormatting sqref="AB14">
    <cfRule type="cellIs" dxfId="21023" priority="137383" stopIfTrue="1" operator="lessThan">
      <formula>0.5</formula>
    </cfRule>
  </conditionalFormatting>
  <conditionalFormatting sqref="AB14">
    <cfRule type="cellIs" dxfId="21022" priority="137384" stopIfTrue="1" operator="greaterThanOrEqual">
      <formula>0.5</formula>
    </cfRule>
  </conditionalFormatting>
  <conditionalFormatting sqref="AB15">
    <cfRule type="cellIs" dxfId="21021" priority="137385" stopIfTrue="1" operator="equal">
      <formula>-1</formula>
    </cfRule>
  </conditionalFormatting>
  <conditionalFormatting sqref="AB15">
    <cfRule type="cellIs" dxfId="21020" priority="137386" stopIfTrue="1" operator="lessThan">
      <formula>0.5</formula>
    </cfRule>
  </conditionalFormatting>
  <conditionalFormatting sqref="AB15">
    <cfRule type="cellIs" dxfId="21019" priority="137387" stopIfTrue="1" operator="greaterThanOrEqual">
      <formula>0.5</formula>
    </cfRule>
  </conditionalFormatting>
  <conditionalFormatting sqref="AD8">
    <cfRule type="cellIs" dxfId="21018" priority="137388" stopIfTrue="1" operator="equal">
      <formula>-1</formula>
    </cfRule>
  </conditionalFormatting>
  <conditionalFormatting sqref="AD8">
    <cfRule type="cellIs" dxfId="21017" priority="137389" stopIfTrue="1" operator="lessThan">
      <formula>0.5</formula>
    </cfRule>
  </conditionalFormatting>
  <conditionalFormatting sqref="AD8">
    <cfRule type="cellIs" dxfId="21016" priority="137390" stopIfTrue="1" operator="greaterThanOrEqual">
      <formula>0.5</formula>
    </cfRule>
  </conditionalFormatting>
  <conditionalFormatting sqref="AD9">
    <cfRule type="cellIs" dxfId="21015" priority="137391" stopIfTrue="1" operator="equal">
      <formula>-1</formula>
    </cfRule>
  </conditionalFormatting>
  <conditionalFormatting sqref="AD9">
    <cfRule type="cellIs" dxfId="21014" priority="137392" stopIfTrue="1" operator="lessThan">
      <formula>0.5</formula>
    </cfRule>
  </conditionalFormatting>
  <conditionalFormatting sqref="AD9">
    <cfRule type="cellIs" dxfId="21013" priority="137393" stopIfTrue="1" operator="greaterThanOrEqual">
      <formula>0.5</formula>
    </cfRule>
  </conditionalFormatting>
  <conditionalFormatting sqref="AD10">
    <cfRule type="cellIs" dxfId="21012" priority="137394" stopIfTrue="1" operator="equal">
      <formula>-1</formula>
    </cfRule>
  </conditionalFormatting>
  <conditionalFormatting sqref="AD10">
    <cfRule type="cellIs" dxfId="21011" priority="137395" stopIfTrue="1" operator="lessThan">
      <formula>0.5</formula>
    </cfRule>
  </conditionalFormatting>
  <conditionalFormatting sqref="AD10">
    <cfRule type="cellIs" dxfId="21010" priority="137396" stopIfTrue="1" operator="greaterThanOrEqual">
      <formula>0.5</formula>
    </cfRule>
  </conditionalFormatting>
  <conditionalFormatting sqref="AD11">
    <cfRule type="cellIs" dxfId="21009" priority="137397" stopIfTrue="1" operator="equal">
      <formula>-1</formula>
    </cfRule>
  </conditionalFormatting>
  <conditionalFormatting sqref="AD11">
    <cfRule type="cellIs" dxfId="21008" priority="137398" stopIfTrue="1" operator="lessThan">
      <formula>0.5</formula>
    </cfRule>
  </conditionalFormatting>
  <conditionalFormatting sqref="AD11">
    <cfRule type="cellIs" dxfId="21007" priority="137399" stopIfTrue="1" operator="greaterThanOrEqual">
      <formula>0.5</formula>
    </cfRule>
  </conditionalFormatting>
  <conditionalFormatting sqref="AD12">
    <cfRule type="cellIs" dxfId="21006" priority="137400" stopIfTrue="1" operator="equal">
      <formula>-1</formula>
    </cfRule>
  </conditionalFormatting>
  <conditionalFormatting sqref="AD12">
    <cfRule type="cellIs" dxfId="21005" priority="137401" stopIfTrue="1" operator="lessThan">
      <formula>0.5</formula>
    </cfRule>
  </conditionalFormatting>
  <conditionalFormatting sqref="AD12">
    <cfRule type="cellIs" dxfId="21004" priority="137402" stopIfTrue="1" operator="greaterThanOrEqual">
      <formula>0.5</formula>
    </cfRule>
  </conditionalFormatting>
  <conditionalFormatting sqref="AD13">
    <cfRule type="cellIs" dxfId="21003" priority="137403" stopIfTrue="1" operator="equal">
      <formula>-1</formula>
    </cfRule>
  </conditionalFormatting>
  <conditionalFormatting sqref="AD13">
    <cfRule type="cellIs" dxfId="21002" priority="137404" stopIfTrue="1" operator="lessThan">
      <formula>0.5</formula>
    </cfRule>
  </conditionalFormatting>
  <conditionalFormatting sqref="AD13">
    <cfRule type="cellIs" dxfId="21001" priority="137405" stopIfTrue="1" operator="greaterThanOrEqual">
      <formula>0.5</formula>
    </cfRule>
  </conditionalFormatting>
  <conditionalFormatting sqref="AD14">
    <cfRule type="cellIs" dxfId="21000" priority="137406" stopIfTrue="1" operator="equal">
      <formula>-1</formula>
    </cfRule>
  </conditionalFormatting>
  <conditionalFormatting sqref="AD14">
    <cfRule type="cellIs" dxfId="20999" priority="137407" stopIfTrue="1" operator="lessThan">
      <formula>0.5</formula>
    </cfRule>
  </conditionalFormatting>
  <conditionalFormatting sqref="AD14">
    <cfRule type="cellIs" dxfId="20998" priority="137408" stopIfTrue="1" operator="greaterThanOrEqual">
      <formula>0.5</formula>
    </cfRule>
  </conditionalFormatting>
  <conditionalFormatting sqref="AD15">
    <cfRule type="cellIs" dxfId="20997" priority="137409" stopIfTrue="1" operator="equal">
      <formula>-1</formula>
    </cfRule>
  </conditionalFormatting>
  <conditionalFormatting sqref="AD15">
    <cfRule type="cellIs" dxfId="20996" priority="137410" stopIfTrue="1" operator="lessThan">
      <formula>0.5</formula>
    </cfRule>
  </conditionalFormatting>
  <conditionalFormatting sqref="AD15">
    <cfRule type="cellIs" dxfId="20995" priority="137411" stopIfTrue="1" operator="greaterThanOrEqual">
      <formula>0.5</formula>
    </cfRule>
  </conditionalFormatting>
  <conditionalFormatting sqref="AF8">
    <cfRule type="cellIs" dxfId="20994" priority="137412" stopIfTrue="1" operator="equal">
      <formula>-1</formula>
    </cfRule>
  </conditionalFormatting>
  <conditionalFormatting sqref="AF8">
    <cfRule type="cellIs" dxfId="20993" priority="137413" stopIfTrue="1" operator="lessThan">
      <formula>0.5</formula>
    </cfRule>
  </conditionalFormatting>
  <conditionalFormatting sqref="AF8">
    <cfRule type="cellIs" dxfId="20992" priority="137414" stopIfTrue="1" operator="greaterThanOrEqual">
      <formula>0.5</formula>
    </cfRule>
  </conditionalFormatting>
  <conditionalFormatting sqref="AF9">
    <cfRule type="cellIs" dxfId="20991" priority="137415" stopIfTrue="1" operator="equal">
      <formula>-1</formula>
    </cfRule>
  </conditionalFormatting>
  <conditionalFormatting sqref="AF9">
    <cfRule type="cellIs" dxfId="20990" priority="137416" stopIfTrue="1" operator="lessThan">
      <formula>0.5</formula>
    </cfRule>
  </conditionalFormatting>
  <conditionalFormatting sqref="AF9">
    <cfRule type="cellIs" dxfId="20989" priority="137417" stopIfTrue="1" operator="greaterThanOrEqual">
      <formula>0.5</formula>
    </cfRule>
  </conditionalFormatting>
  <conditionalFormatting sqref="AF10">
    <cfRule type="cellIs" dxfId="20988" priority="137418" stopIfTrue="1" operator="equal">
      <formula>-1</formula>
    </cfRule>
  </conditionalFormatting>
  <conditionalFormatting sqref="AF10">
    <cfRule type="cellIs" dxfId="20987" priority="137419" stopIfTrue="1" operator="lessThan">
      <formula>0.5</formula>
    </cfRule>
  </conditionalFormatting>
  <conditionalFormatting sqref="AF10">
    <cfRule type="cellIs" dxfId="20986" priority="137420" stopIfTrue="1" operator="greaterThanOrEqual">
      <formula>0.5</formula>
    </cfRule>
  </conditionalFormatting>
  <conditionalFormatting sqref="AF11">
    <cfRule type="cellIs" dxfId="20985" priority="137421" stopIfTrue="1" operator="equal">
      <formula>-1</formula>
    </cfRule>
  </conditionalFormatting>
  <conditionalFormatting sqref="AF11">
    <cfRule type="cellIs" dxfId="20984" priority="137422" stopIfTrue="1" operator="lessThan">
      <formula>0.5</formula>
    </cfRule>
  </conditionalFormatting>
  <conditionalFormatting sqref="AF11">
    <cfRule type="cellIs" dxfId="20983" priority="137423" stopIfTrue="1" operator="greaterThanOrEqual">
      <formula>0.5</formula>
    </cfRule>
  </conditionalFormatting>
  <conditionalFormatting sqref="AF12">
    <cfRule type="cellIs" dxfId="20982" priority="137424" stopIfTrue="1" operator="equal">
      <formula>-1</formula>
    </cfRule>
  </conditionalFormatting>
  <conditionalFormatting sqref="AF12">
    <cfRule type="cellIs" dxfId="20981" priority="137425" stopIfTrue="1" operator="lessThan">
      <formula>0.5</formula>
    </cfRule>
  </conditionalFormatting>
  <conditionalFormatting sqref="AF12">
    <cfRule type="cellIs" dxfId="20980" priority="137426" stopIfTrue="1" operator="greaterThanOrEqual">
      <formula>0.5</formula>
    </cfRule>
  </conditionalFormatting>
  <conditionalFormatting sqref="AF13">
    <cfRule type="cellIs" dxfId="20979" priority="137427" stopIfTrue="1" operator="equal">
      <formula>-1</formula>
    </cfRule>
  </conditionalFormatting>
  <conditionalFormatting sqref="AF13">
    <cfRule type="cellIs" dxfId="20978" priority="137428" stopIfTrue="1" operator="lessThan">
      <formula>0.5</formula>
    </cfRule>
  </conditionalFormatting>
  <conditionalFormatting sqref="AF13">
    <cfRule type="cellIs" dxfId="20977" priority="137429" stopIfTrue="1" operator="greaterThanOrEqual">
      <formula>0.5</formula>
    </cfRule>
  </conditionalFormatting>
  <conditionalFormatting sqref="AF14">
    <cfRule type="cellIs" dxfId="20976" priority="137430" stopIfTrue="1" operator="equal">
      <formula>-1</formula>
    </cfRule>
  </conditionalFormatting>
  <conditionalFormatting sqref="AF14">
    <cfRule type="cellIs" dxfId="20975" priority="137431" stopIfTrue="1" operator="lessThan">
      <formula>0.5</formula>
    </cfRule>
  </conditionalFormatting>
  <conditionalFormatting sqref="AF14">
    <cfRule type="cellIs" dxfId="20974" priority="137432" stopIfTrue="1" operator="greaterThanOrEqual">
      <formula>0.5</formula>
    </cfRule>
  </conditionalFormatting>
  <conditionalFormatting sqref="AF15">
    <cfRule type="cellIs" dxfId="20973" priority="137433" stopIfTrue="1" operator="equal">
      <formula>-1</formula>
    </cfRule>
  </conditionalFormatting>
  <conditionalFormatting sqref="AF15">
    <cfRule type="cellIs" dxfId="20972" priority="137434" stopIfTrue="1" operator="lessThan">
      <formula>0.5</formula>
    </cfRule>
  </conditionalFormatting>
  <conditionalFormatting sqref="AF15">
    <cfRule type="cellIs" dxfId="20971" priority="137435" stopIfTrue="1" operator="greaterThanOrEqual">
      <formula>0.5</formula>
    </cfRule>
  </conditionalFormatting>
  <conditionalFormatting sqref="AH8">
    <cfRule type="cellIs" dxfId="20970" priority="137436" stopIfTrue="1" operator="equal">
      <formula>-1</formula>
    </cfRule>
  </conditionalFormatting>
  <conditionalFormatting sqref="AH8">
    <cfRule type="cellIs" dxfId="20969" priority="137437" stopIfTrue="1" operator="lessThan">
      <formula>0.5</formula>
    </cfRule>
  </conditionalFormatting>
  <conditionalFormatting sqref="AH8">
    <cfRule type="cellIs" dxfId="20968" priority="137438" stopIfTrue="1" operator="greaterThanOrEqual">
      <formula>0.5</formula>
    </cfRule>
  </conditionalFormatting>
  <conditionalFormatting sqref="AH9">
    <cfRule type="cellIs" dxfId="20967" priority="137439" stopIfTrue="1" operator="equal">
      <formula>-1</formula>
    </cfRule>
  </conditionalFormatting>
  <conditionalFormatting sqref="AH9">
    <cfRule type="cellIs" dxfId="20966" priority="137440" stopIfTrue="1" operator="lessThan">
      <formula>0.5</formula>
    </cfRule>
  </conditionalFormatting>
  <conditionalFormatting sqref="AH9">
    <cfRule type="cellIs" dxfId="20965" priority="137441" stopIfTrue="1" operator="greaterThanOrEqual">
      <formula>0.5</formula>
    </cfRule>
  </conditionalFormatting>
  <conditionalFormatting sqref="AH10">
    <cfRule type="cellIs" dxfId="20964" priority="137442" stopIfTrue="1" operator="equal">
      <formula>-1</formula>
    </cfRule>
  </conditionalFormatting>
  <conditionalFormatting sqref="AH10">
    <cfRule type="cellIs" dxfId="20963" priority="137443" stopIfTrue="1" operator="lessThan">
      <formula>0.5</formula>
    </cfRule>
  </conditionalFormatting>
  <conditionalFormatting sqref="AH10">
    <cfRule type="cellIs" dxfId="20962" priority="137444" stopIfTrue="1" operator="greaterThanOrEqual">
      <formula>0.5</formula>
    </cfRule>
  </conditionalFormatting>
  <conditionalFormatting sqref="AH11">
    <cfRule type="cellIs" dxfId="20961" priority="137445" stopIfTrue="1" operator="equal">
      <formula>-1</formula>
    </cfRule>
  </conditionalFormatting>
  <conditionalFormatting sqref="AH11">
    <cfRule type="cellIs" dxfId="20960" priority="137446" stopIfTrue="1" operator="lessThan">
      <formula>0.5</formula>
    </cfRule>
  </conditionalFormatting>
  <conditionalFormatting sqref="AH11">
    <cfRule type="cellIs" dxfId="20959" priority="137447" stopIfTrue="1" operator="greaterThanOrEqual">
      <formula>0.5</formula>
    </cfRule>
  </conditionalFormatting>
  <conditionalFormatting sqref="AH12">
    <cfRule type="cellIs" dxfId="20958" priority="137448" stopIfTrue="1" operator="equal">
      <formula>-1</formula>
    </cfRule>
  </conditionalFormatting>
  <conditionalFormatting sqref="AH12">
    <cfRule type="cellIs" dxfId="20957" priority="137449" stopIfTrue="1" operator="lessThan">
      <formula>0.5</formula>
    </cfRule>
  </conditionalFormatting>
  <conditionalFormatting sqref="AH12">
    <cfRule type="cellIs" dxfId="20956" priority="137450" stopIfTrue="1" operator="greaterThanOrEqual">
      <formula>0.5</formula>
    </cfRule>
  </conditionalFormatting>
  <conditionalFormatting sqref="AH13">
    <cfRule type="cellIs" dxfId="20955" priority="137451" stopIfTrue="1" operator="equal">
      <formula>-1</formula>
    </cfRule>
  </conditionalFormatting>
  <conditionalFormatting sqref="AH13">
    <cfRule type="cellIs" dxfId="20954" priority="137452" stopIfTrue="1" operator="lessThan">
      <formula>0.5</formula>
    </cfRule>
  </conditionalFormatting>
  <conditionalFormatting sqref="AH13">
    <cfRule type="cellIs" dxfId="20953" priority="137453" stopIfTrue="1" operator="greaterThanOrEqual">
      <formula>0.5</formula>
    </cfRule>
  </conditionalFormatting>
  <conditionalFormatting sqref="AH14">
    <cfRule type="cellIs" dxfId="20952" priority="137454" stopIfTrue="1" operator="equal">
      <formula>-1</formula>
    </cfRule>
  </conditionalFormatting>
  <conditionalFormatting sqref="AH14">
    <cfRule type="cellIs" dxfId="20951" priority="137455" stopIfTrue="1" operator="lessThan">
      <formula>0.5</formula>
    </cfRule>
  </conditionalFormatting>
  <conditionalFormatting sqref="AH14">
    <cfRule type="cellIs" dxfId="20950" priority="137456" stopIfTrue="1" operator="greaterThanOrEqual">
      <formula>0.5</formula>
    </cfRule>
  </conditionalFormatting>
  <conditionalFormatting sqref="AH15">
    <cfRule type="cellIs" dxfId="20949" priority="137457" stopIfTrue="1" operator="equal">
      <formula>-1</formula>
    </cfRule>
  </conditionalFormatting>
  <conditionalFormatting sqref="AH15">
    <cfRule type="cellIs" dxfId="20948" priority="137458" stopIfTrue="1" operator="lessThan">
      <formula>0.5</formula>
    </cfRule>
  </conditionalFormatting>
  <conditionalFormatting sqref="AH15">
    <cfRule type="cellIs" dxfId="20947" priority="137459" stopIfTrue="1" operator="greaterThanOrEqual">
      <formula>0.5</formula>
    </cfRule>
  </conditionalFormatting>
  <conditionalFormatting sqref="AJ8">
    <cfRule type="cellIs" dxfId="20946" priority="137460" stopIfTrue="1" operator="equal">
      <formula>-1</formula>
    </cfRule>
  </conditionalFormatting>
  <conditionalFormatting sqref="AJ8">
    <cfRule type="cellIs" dxfId="20945" priority="137461" stopIfTrue="1" operator="lessThan">
      <formula>0.5</formula>
    </cfRule>
  </conditionalFormatting>
  <conditionalFormatting sqref="AJ8">
    <cfRule type="cellIs" dxfId="20944" priority="137462" stopIfTrue="1" operator="greaterThanOrEqual">
      <formula>0.5</formula>
    </cfRule>
  </conditionalFormatting>
  <conditionalFormatting sqref="AJ9">
    <cfRule type="cellIs" dxfId="20943" priority="137463" stopIfTrue="1" operator="equal">
      <formula>-1</formula>
    </cfRule>
  </conditionalFormatting>
  <conditionalFormatting sqref="AJ9">
    <cfRule type="cellIs" dxfId="20942" priority="137464" stopIfTrue="1" operator="lessThan">
      <formula>0.5</formula>
    </cfRule>
  </conditionalFormatting>
  <conditionalFormatting sqref="AJ9">
    <cfRule type="cellIs" dxfId="20941" priority="137465" stopIfTrue="1" operator="greaterThanOrEqual">
      <formula>0.5</formula>
    </cfRule>
  </conditionalFormatting>
  <conditionalFormatting sqref="AJ10">
    <cfRule type="cellIs" dxfId="20940" priority="137466" stopIfTrue="1" operator="equal">
      <formula>-1</formula>
    </cfRule>
  </conditionalFormatting>
  <conditionalFormatting sqref="AJ10">
    <cfRule type="cellIs" dxfId="20939" priority="137467" stopIfTrue="1" operator="lessThan">
      <formula>0.5</formula>
    </cfRule>
  </conditionalFormatting>
  <conditionalFormatting sqref="AJ10">
    <cfRule type="cellIs" dxfId="20938" priority="137468" stopIfTrue="1" operator="greaterThanOrEqual">
      <formula>0.5</formula>
    </cfRule>
  </conditionalFormatting>
  <conditionalFormatting sqref="AJ11">
    <cfRule type="cellIs" dxfId="20937" priority="137469" stopIfTrue="1" operator="equal">
      <formula>-1</formula>
    </cfRule>
  </conditionalFormatting>
  <conditionalFormatting sqref="AJ11">
    <cfRule type="cellIs" dxfId="20936" priority="137470" stopIfTrue="1" operator="lessThan">
      <formula>0.5</formula>
    </cfRule>
  </conditionalFormatting>
  <conditionalFormatting sqref="AJ11">
    <cfRule type="cellIs" dxfId="20935" priority="137471" stopIfTrue="1" operator="greaterThanOrEqual">
      <formula>0.5</formula>
    </cfRule>
  </conditionalFormatting>
  <conditionalFormatting sqref="AJ12">
    <cfRule type="cellIs" dxfId="20934" priority="137472" stopIfTrue="1" operator="equal">
      <formula>-1</formula>
    </cfRule>
  </conditionalFormatting>
  <conditionalFormatting sqref="AJ12">
    <cfRule type="cellIs" dxfId="20933" priority="137473" stopIfTrue="1" operator="lessThan">
      <formula>0.5</formula>
    </cfRule>
  </conditionalFormatting>
  <conditionalFormatting sqref="AJ12">
    <cfRule type="cellIs" dxfId="20932" priority="137474" stopIfTrue="1" operator="greaterThanOrEqual">
      <formula>0.5</formula>
    </cfRule>
  </conditionalFormatting>
  <conditionalFormatting sqref="AJ13">
    <cfRule type="cellIs" dxfId="20931" priority="137475" stopIfTrue="1" operator="equal">
      <formula>-1</formula>
    </cfRule>
  </conditionalFormatting>
  <conditionalFormatting sqref="AJ13">
    <cfRule type="cellIs" dxfId="20930" priority="137476" stopIfTrue="1" operator="lessThan">
      <formula>0.5</formula>
    </cfRule>
  </conditionalFormatting>
  <conditionalFormatting sqref="AJ13">
    <cfRule type="cellIs" dxfId="20929" priority="137477" stopIfTrue="1" operator="greaterThanOrEqual">
      <formula>0.5</formula>
    </cfRule>
  </conditionalFormatting>
  <conditionalFormatting sqref="AJ14">
    <cfRule type="cellIs" dxfId="20928" priority="137478" stopIfTrue="1" operator="equal">
      <formula>-1</formula>
    </cfRule>
  </conditionalFormatting>
  <conditionalFormatting sqref="AJ14">
    <cfRule type="cellIs" dxfId="20927" priority="137479" stopIfTrue="1" operator="lessThan">
      <formula>0.5</formula>
    </cfRule>
  </conditionalFormatting>
  <conditionalFormatting sqref="AJ14">
    <cfRule type="cellIs" dxfId="20926" priority="137480" stopIfTrue="1" operator="greaterThanOrEqual">
      <formula>0.5</formula>
    </cfRule>
  </conditionalFormatting>
  <conditionalFormatting sqref="AJ15">
    <cfRule type="cellIs" dxfId="20925" priority="137481" stopIfTrue="1" operator="equal">
      <formula>-1</formula>
    </cfRule>
  </conditionalFormatting>
  <conditionalFormatting sqref="AJ15">
    <cfRule type="cellIs" dxfId="20924" priority="137482" stopIfTrue="1" operator="lessThan">
      <formula>0.5</formula>
    </cfRule>
  </conditionalFormatting>
  <conditionalFormatting sqref="AJ15">
    <cfRule type="cellIs" dxfId="20923" priority="137483" stopIfTrue="1" operator="greaterThanOrEqual">
      <formula>0.5</formula>
    </cfRule>
  </conditionalFormatting>
  <conditionalFormatting sqref="AL8">
    <cfRule type="cellIs" dxfId="20922" priority="137484" stopIfTrue="1" operator="equal">
      <formula>-1</formula>
    </cfRule>
  </conditionalFormatting>
  <conditionalFormatting sqref="AL8">
    <cfRule type="cellIs" dxfId="20921" priority="137485" stopIfTrue="1" operator="lessThan">
      <formula>0.5</formula>
    </cfRule>
  </conditionalFormatting>
  <conditionalFormatting sqref="AL8">
    <cfRule type="cellIs" dxfId="20920" priority="137486" stopIfTrue="1" operator="greaterThanOrEqual">
      <formula>0.5</formula>
    </cfRule>
  </conditionalFormatting>
  <conditionalFormatting sqref="AL9">
    <cfRule type="cellIs" dxfId="20919" priority="137487" stopIfTrue="1" operator="equal">
      <formula>-1</formula>
    </cfRule>
  </conditionalFormatting>
  <conditionalFormatting sqref="AL9">
    <cfRule type="cellIs" dxfId="20918" priority="137488" stopIfTrue="1" operator="lessThan">
      <formula>0.5</formula>
    </cfRule>
  </conditionalFormatting>
  <conditionalFormatting sqref="AL9">
    <cfRule type="cellIs" dxfId="20917" priority="137489" stopIfTrue="1" operator="greaterThanOrEqual">
      <formula>0.5</formula>
    </cfRule>
  </conditionalFormatting>
  <conditionalFormatting sqref="AL10">
    <cfRule type="cellIs" dxfId="20916" priority="137490" stopIfTrue="1" operator="equal">
      <formula>-1</formula>
    </cfRule>
  </conditionalFormatting>
  <conditionalFormatting sqref="AL10">
    <cfRule type="cellIs" dxfId="20915" priority="137491" stopIfTrue="1" operator="lessThan">
      <formula>0.5</formula>
    </cfRule>
  </conditionalFormatting>
  <conditionalFormatting sqref="AL10">
    <cfRule type="cellIs" dxfId="20914" priority="137492" stopIfTrue="1" operator="greaterThanOrEqual">
      <formula>0.5</formula>
    </cfRule>
  </conditionalFormatting>
  <conditionalFormatting sqref="AL11">
    <cfRule type="cellIs" dxfId="20913" priority="137493" stopIfTrue="1" operator="equal">
      <formula>-1</formula>
    </cfRule>
  </conditionalFormatting>
  <conditionalFormatting sqref="AL11">
    <cfRule type="cellIs" dxfId="20912" priority="137494" stopIfTrue="1" operator="lessThan">
      <formula>0.5</formula>
    </cfRule>
  </conditionalFormatting>
  <conditionalFormatting sqref="AL11">
    <cfRule type="cellIs" dxfId="20911" priority="137495" stopIfTrue="1" operator="greaterThanOrEqual">
      <formula>0.5</formula>
    </cfRule>
  </conditionalFormatting>
  <conditionalFormatting sqref="AL12">
    <cfRule type="cellIs" dxfId="20910" priority="137496" stopIfTrue="1" operator="equal">
      <formula>-1</formula>
    </cfRule>
  </conditionalFormatting>
  <conditionalFormatting sqref="AL12">
    <cfRule type="cellIs" dxfId="20909" priority="137497" stopIfTrue="1" operator="lessThan">
      <formula>0.5</formula>
    </cfRule>
  </conditionalFormatting>
  <conditionalFormatting sqref="AL12">
    <cfRule type="cellIs" dxfId="20908" priority="137498" stopIfTrue="1" operator="greaterThanOrEqual">
      <formula>0.5</formula>
    </cfRule>
  </conditionalFormatting>
  <conditionalFormatting sqref="AL13">
    <cfRule type="cellIs" dxfId="20907" priority="137499" stopIfTrue="1" operator="equal">
      <formula>-1</formula>
    </cfRule>
  </conditionalFormatting>
  <conditionalFormatting sqref="AL13">
    <cfRule type="cellIs" dxfId="20906" priority="137500" stopIfTrue="1" operator="lessThan">
      <formula>0.5</formula>
    </cfRule>
  </conditionalFormatting>
  <conditionalFormatting sqref="AL13">
    <cfRule type="cellIs" dxfId="20905" priority="137501" stopIfTrue="1" operator="greaterThanOrEqual">
      <formula>0.5</formula>
    </cfRule>
  </conditionalFormatting>
  <conditionalFormatting sqref="AL14">
    <cfRule type="cellIs" dxfId="20904" priority="137502" stopIfTrue="1" operator="equal">
      <formula>-1</formula>
    </cfRule>
  </conditionalFormatting>
  <conditionalFormatting sqref="AL14">
    <cfRule type="cellIs" dxfId="20903" priority="137503" stopIfTrue="1" operator="lessThan">
      <formula>0.5</formula>
    </cfRule>
  </conditionalFormatting>
  <conditionalFormatting sqref="AL14">
    <cfRule type="cellIs" dxfId="20902" priority="137504" stopIfTrue="1" operator="greaterThanOrEqual">
      <formula>0.5</formula>
    </cfRule>
  </conditionalFormatting>
  <conditionalFormatting sqref="AL15">
    <cfRule type="cellIs" dxfId="20901" priority="137505" stopIfTrue="1" operator="equal">
      <formula>-1</formula>
    </cfRule>
  </conditionalFormatting>
  <conditionalFormatting sqref="AL15">
    <cfRule type="cellIs" dxfId="20900" priority="137506" stopIfTrue="1" operator="lessThan">
      <formula>0.5</formula>
    </cfRule>
  </conditionalFormatting>
  <conditionalFormatting sqref="AL15">
    <cfRule type="cellIs" dxfId="20899" priority="137507" stopIfTrue="1" operator="greaterThanOrEqual">
      <formula>0.5</formula>
    </cfRule>
  </conditionalFormatting>
  <conditionalFormatting sqref="AN8">
    <cfRule type="cellIs" dxfId="20898" priority="137508" stopIfTrue="1" operator="equal">
      <formula>-1</formula>
    </cfRule>
  </conditionalFormatting>
  <conditionalFormatting sqref="AN8">
    <cfRule type="cellIs" dxfId="20897" priority="137509" stopIfTrue="1" operator="lessThan">
      <formula>0.5</formula>
    </cfRule>
  </conditionalFormatting>
  <conditionalFormatting sqref="AN8">
    <cfRule type="cellIs" dxfId="20896" priority="137510" stopIfTrue="1" operator="greaterThanOrEqual">
      <formula>0.5</formula>
    </cfRule>
  </conditionalFormatting>
  <conditionalFormatting sqref="AN9">
    <cfRule type="cellIs" dxfId="20895" priority="137511" stopIfTrue="1" operator="equal">
      <formula>-1</formula>
    </cfRule>
  </conditionalFormatting>
  <conditionalFormatting sqref="AN9">
    <cfRule type="cellIs" dxfId="20894" priority="137512" stopIfTrue="1" operator="lessThan">
      <formula>0.5</formula>
    </cfRule>
  </conditionalFormatting>
  <conditionalFormatting sqref="AN9">
    <cfRule type="cellIs" dxfId="20893" priority="137513" stopIfTrue="1" operator="greaterThanOrEqual">
      <formula>0.5</formula>
    </cfRule>
  </conditionalFormatting>
  <conditionalFormatting sqref="AN10">
    <cfRule type="cellIs" dxfId="20892" priority="137514" stopIfTrue="1" operator="equal">
      <formula>-1</formula>
    </cfRule>
  </conditionalFormatting>
  <conditionalFormatting sqref="AN10">
    <cfRule type="cellIs" dxfId="20891" priority="137515" stopIfTrue="1" operator="lessThan">
      <formula>0.5</formula>
    </cfRule>
  </conditionalFormatting>
  <conditionalFormatting sqref="AN10">
    <cfRule type="cellIs" dxfId="20890" priority="137516" stopIfTrue="1" operator="greaterThanOrEqual">
      <formula>0.5</formula>
    </cfRule>
  </conditionalFormatting>
  <conditionalFormatting sqref="AN11">
    <cfRule type="cellIs" dxfId="20889" priority="137517" stopIfTrue="1" operator="equal">
      <formula>-1</formula>
    </cfRule>
  </conditionalFormatting>
  <conditionalFormatting sqref="AN11">
    <cfRule type="cellIs" dxfId="20888" priority="137518" stopIfTrue="1" operator="lessThan">
      <formula>0.5</formula>
    </cfRule>
  </conditionalFormatting>
  <conditionalFormatting sqref="AN11">
    <cfRule type="cellIs" dxfId="20887" priority="137519" stopIfTrue="1" operator="greaterThanOrEqual">
      <formula>0.5</formula>
    </cfRule>
  </conditionalFormatting>
  <conditionalFormatting sqref="AN12">
    <cfRule type="cellIs" dxfId="20886" priority="137520" stopIfTrue="1" operator="equal">
      <formula>-1</formula>
    </cfRule>
  </conditionalFormatting>
  <conditionalFormatting sqref="AN12">
    <cfRule type="cellIs" dxfId="20885" priority="137521" stopIfTrue="1" operator="lessThan">
      <formula>0.5</formula>
    </cfRule>
  </conditionalFormatting>
  <conditionalFormatting sqref="AN12">
    <cfRule type="cellIs" dxfId="20884" priority="137522" stopIfTrue="1" operator="greaterThanOrEqual">
      <formula>0.5</formula>
    </cfRule>
  </conditionalFormatting>
  <conditionalFormatting sqref="AN13">
    <cfRule type="cellIs" dxfId="20883" priority="137523" stopIfTrue="1" operator="equal">
      <formula>-1</formula>
    </cfRule>
  </conditionalFormatting>
  <conditionalFormatting sqref="AN13">
    <cfRule type="cellIs" dxfId="20882" priority="137524" stopIfTrue="1" operator="lessThan">
      <formula>0.5</formula>
    </cfRule>
  </conditionalFormatting>
  <conditionalFormatting sqref="AN13">
    <cfRule type="cellIs" dxfId="20881" priority="137525" stopIfTrue="1" operator="greaterThanOrEqual">
      <formula>0.5</formula>
    </cfRule>
  </conditionalFormatting>
  <conditionalFormatting sqref="AN14">
    <cfRule type="cellIs" dxfId="20880" priority="137526" stopIfTrue="1" operator="equal">
      <formula>-1</formula>
    </cfRule>
  </conditionalFormatting>
  <conditionalFormatting sqref="AN14">
    <cfRule type="cellIs" dxfId="20879" priority="137527" stopIfTrue="1" operator="lessThan">
      <formula>0.5</formula>
    </cfRule>
  </conditionalFormatting>
  <conditionalFormatting sqref="AN14">
    <cfRule type="cellIs" dxfId="20878" priority="137528" stopIfTrue="1" operator="greaterThanOrEqual">
      <formula>0.5</formula>
    </cfRule>
  </conditionalFormatting>
  <conditionalFormatting sqref="AN15">
    <cfRule type="cellIs" dxfId="20877" priority="137529" stopIfTrue="1" operator="equal">
      <formula>-1</formula>
    </cfRule>
  </conditionalFormatting>
  <conditionalFormatting sqref="AN15">
    <cfRule type="cellIs" dxfId="20876" priority="137530" stopIfTrue="1" operator="lessThan">
      <formula>0.5</formula>
    </cfRule>
  </conditionalFormatting>
  <conditionalFormatting sqref="AN15">
    <cfRule type="cellIs" dxfId="20875" priority="137531" stopIfTrue="1" operator="greaterThanOrEqual">
      <formula>0.5</formula>
    </cfRule>
  </conditionalFormatting>
  <conditionalFormatting sqref="AP8">
    <cfRule type="cellIs" dxfId="20874" priority="137532" stopIfTrue="1" operator="equal">
      <formula>-1</formula>
    </cfRule>
  </conditionalFormatting>
  <conditionalFormatting sqref="AP8">
    <cfRule type="cellIs" dxfId="20873" priority="137533" stopIfTrue="1" operator="lessThan">
      <formula>0.5</formula>
    </cfRule>
  </conditionalFormatting>
  <conditionalFormatting sqref="AP8">
    <cfRule type="cellIs" dxfId="20872" priority="137534" stopIfTrue="1" operator="greaterThanOrEqual">
      <formula>0.5</formula>
    </cfRule>
  </conditionalFormatting>
  <conditionalFormatting sqref="AP9">
    <cfRule type="cellIs" dxfId="20871" priority="137535" stopIfTrue="1" operator="equal">
      <formula>-1</formula>
    </cfRule>
  </conditionalFormatting>
  <conditionalFormatting sqref="AP9">
    <cfRule type="cellIs" dxfId="20870" priority="137536" stopIfTrue="1" operator="lessThan">
      <formula>0.5</formula>
    </cfRule>
  </conditionalFormatting>
  <conditionalFormatting sqref="AP9">
    <cfRule type="cellIs" dxfId="20869" priority="137537" stopIfTrue="1" operator="greaterThanOrEqual">
      <formula>0.5</formula>
    </cfRule>
  </conditionalFormatting>
  <conditionalFormatting sqref="AP10">
    <cfRule type="cellIs" dxfId="20868" priority="137538" stopIfTrue="1" operator="equal">
      <formula>-1</formula>
    </cfRule>
  </conditionalFormatting>
  <conditionalFormatting sqref="AP10">
    <cfRule type="cellIs" dxfId="20867" priority="137539" stopIfTrue="1" operator="lessThan">
      <formula>0.5</formula>
    </cfRule>
  </conditionalFormatting>
  <conditionalFormatting sqref="AP10">
    <cfRule type="cellIs" dxfId="20866" priority="137540" stopIfTrue="1" operator="greaterThanOrEqual">
      <formula>0.5</formula>
    </cfRule>
  </conditionalFormatting>
  <conditionalFormatting sqref="AP11">
    <cfRule type="cellIs" dxfId="20865" priority="137541" stopIfTrue="1" operator="equal">
      <formula>-1</formula>
    </cfRule>
  </conditionalFormatting>
  <conditionalFormatting sqref="AP11">
    <cfRule type="cellIs" dxfId="20864" priority="137542" stopIfTrue="1" operator="lessThan">
      <formula>0.5</formula>
    </cfRule>
  </conditionalFormatting>
  <conditionalFormatting sqref="AP11">
    <cfRule type="cellIs" dxfId="20863" priority="137543" stopIfTrue="1" operator="greaterThanOrEqual">
      <formula>0.5</formula>
    </cfRule>
  </conditionalFormatting>
  <conditionalFormatting sqref="AP12">
    <cfRule type="cellIs" dxfId="20862" priority="137544" stopIfTrue="1" operator="equal">
      <formula>-1</formula>
    </cfRule>
  </conditionalFormatting>
  <conditionalFormatting sqref="AP12">
    <cfRule type="cellIs" dxfId="20861" priority="137545" stopIfTrue="1" operator="lessThan">
      <formula>0.5</formula>
    </cfRule>
  </conditionalFormatting>
  <conditionalFormatting sqref="AP12">
    <cfRule type="cellIs" dxfId="20860" priority="137546" stopIfTrue="1" operator="greaterThanOrEqual">
      <formula>0.5</formula>
    </cfRule>
  </conditionalFormatting>
  <conditionalFormatting sqref="AP13">
    <cfRule type="cellIs" dxfId="20859" priority="137547" stopIfTrue="1" operator="equal">
      <formula>-1</formula>
    </cfRule>
  </conditionalFormatting>
  <conditionalFormatting sqref="AP13">
    <cfRule type="cellIs" dxfId="20858" priority="137548" stopIfTrue="1" operator="lessThan">
      <formula>0.5</formula>
    </cfRule>
  </conditionalFormatting>
  <conditionalFormatting sqref="AP13">
    <cfRule type="cellIs" dxfId="20857" priority="137549" stopIfTrue="1" operator="greaterThanOrEqual">
      <formula>0.5</formula>
    </cfRule>
  </conditionalFormatting>
  <conditionalFormatting sqref="AP14">
    <cfRule type="cellIs" dxfId="20856" priority="137550" stopIfTrue="1" operator="equal">
      <formula>-1</formula>
    </cfRule>
  </conditionalFormatting>
  <conditionalFormatting sqref="AP14">
    <cfRule type="cellIs" dxfId="20855" priority="137551" stopIfTrue="1" operator="lessThan">
      <formula>0.5</formula>
    </cfRule>
  </conditionalFormatting>
  <conditionalFormatting sqref="AP14">
    <cfRule type="cellIs" dxfId="20854" priority="137552" stopIfTrue="1" operator="greaterThanOrEqual">
      <formula>0.5</formula>
    </cfRule>
  </conditionalFormatting>
  <conditionalFormatting sqref="AP15">
    <cfRule type="cellIs" dxfId="20853" priority="137553" stopIfTrue="1" operator="equal">
      <formula>-1</formula>
    </cfRule>
  </conditionalFormatting>
  <conditionalFormatting sqref="AP15">
    <cfRule type="cellIs" dxfId="20852" priority="137554" stopIfTrue="1" operator="lessThan">
      <formula>0.5</formula>
    </cfRule>
  </conditionalFormatting>
  <conditionalFormatting sqref="AP15">
    <cfRule type="cellIs" dxfId="20851" priority="137555" stopIfTrue="1" operator="greaterThanOrEqual">
      <formula>0.5</formula>
    </cfRule>
  </conditionalFormatting>
  <conditionalFormatting sqref="AR8">
    <cfRule type="cellIs" dxfId="20850" priority="137556" stopIfTrue="1" operator="equal">
      <formula>-1</formula>
    </cfRule>
  </conditionalFormatting>
  <conditionalFormatting sqref="AR8">
    <cfRule type="cellIs" dxfId="20849" priority="137557" stopIfTrue="1" operator="lessThan">
      <formula>0.5</formula>
    </cfRule>
  </conditionalFormatting>
  <conditionalFormatting sqref="AR8">
    <cfRule type="cellIs" dxfId="20848" priority="137558" stopIfTrue="1" operator="greaterThanOrEqual">
      <formula>0.5</formula>
    </cfRule>
  </conditionalFormatting>
  <conditionalFormatting sqref="AR9">
    <cfRule type="cellIs" dxfId="20847" priority="137559" stopIfTrue="1" operator="equal">
      <formula>-1</formula>
    </cfRule>
  </conditionalFormatting>
  <conditionalFormatting sqref="AR9">
    <cfRule type="cellIs" dxfId="20846" priority="137560" stopIfTrue="1" operator="lessThan">
      <formula>0.5</formula>
    </cfRule>
  </conditionalFormatting>
  <conditionalFormatting sqref="AR9">
    <cfRule type="cellIs" dxfId="20845" priority="137561" stopIfTrue="1" operator="greaterThanOrEqual">
      <formula>0.5</formula>
    </cfRule>
  </conditionalFormatting>
  <conditionalFormatting sqref="AR10">
    <cfRule type="cellIs" dxfId="20844" priority="137562" stopIfTrue="1" operator="equal">
      <formula>-1</formula>
    </cfRule>
  </conditionalFormatting>
  <conditionalFormatting sqref="AR10">
    <cfRule type="cellIs" dxfId="20843" priority="137563" stopIfTrue="1" operator="lessThan">
      <formula>0.5</formula>
    </cfRule>
  </conditionalFormatting>
  <conditionalFormatting sqref="AR10">
    <cfRule type="cellIs" dxfId="20842" priority="137564" stopIfTrue="1" operator="greaterThanOrEqual">
      <formula>0.5</formula>
    </cfRule>
  </conditionalFormatting>
  <conditionalFormatting sqref="AR11">
    <cfRule type="cellIs" dxfId="20841" priority="137565" stopIfTrue="1" operator="equal">
      <formula>-1</formula>
    </cfRule>
  </conditionalFormatting>
  <conditionalFormatting sqref="AR11">
    <cfRule type="cellIs" dxfId="20840" priority="137566" stopIfTrue="1" operator="lessThan">
      <formula>0.5</formula>
    </cfRule>
  </conditionalFormatting>
  <conditionalFormatting sqref="AR11">
    <cfRule type="cellIs" dxfId="20839" priority="137567" stopIfTrue="1" operator="greaterThanOrEqual">
      <formula>0.5</formula>
    </cfRule>
  </conditionalFormatting>
  <conditionalFormatting sqref="AR12">
    <cfRule type="cellIs" dxfId="20838" priority="137568" stopIfTrue="1" operator="equal">
      <formula>-1</formula>
    </cfRule>
  </conditionalFormatting>
  <conditionalFormatting sqref="AR12">
    <cfRule type="cellIs" dxfId="20837" priority="137569" stopIfTrue="1" operator="lessThan">
      <formula>0.5</formula>
    </cfRule>
  </conditionalFormatting>
  <conditionalFormatting sqref="AR12">
    <cfRule type="cellIs" dxfId="20836" priority="137570" stopIfTrue="1" operator="greaterThanOrEqual">
      <formula>0.5</formula>
    </cfRule>
  </conditionalFormatting>
  <conditionalFormatting sqref="AR13">
    <cfRule type="cellIs" dxfId="20835" priority="137571" stopIfTrue="1" operator="equal">
      <formula>-1</formula>
    </cfRule>
  </conditionalFormatting>
  <conditionalFormatting sqref="AR13">
    <cfRule type="cellIs" dxfId="20834" priority="137572" stopIfTrue="1" operator="lessThan">
      <formula>0.5</formula>
    </cfRule>
  </conditionalFormatting>
  <conditionalFormatting sqref="AR13">
    <cfRule type="cellIs" dxfId="20833" priority="137573" stopIfTrue="1" operator="greaterThanOrEqual">
      <formula>0.5</formula>
    </cfRule>
  </conditionalFormatting>
  <conditionalFormatting sqref="AR14">
    <cfRule type="cellIs" dxfId="20832" priority="137574" stopIfTrue="1" operator="equal">
      <formula>-1</formula>
    </cfRule>
  </conditionalFormatting>
  <conditionalFormatting sqref="AR14">
    <cfRule type="cellIs" dxfId="20831" priority="137575" stopIfTrue="1" operator="lessThan">
      <formula>0.5</formula>
    </cfRule>
  </conditionalFormatting>
  <conditionalFormatting sqref="AR14">
    <cfRule type="cellIs" dxfId="20830" priority="137576" stopIfTrue="1" operator="greaterThanOrEqual">
      <formula>0.5</formula>
    </cfRule>
  </conditionalFormatting>
  <conditionalFormatting sqref="AR15">
    <cfRule type="cellIs" dxfId="20829" priority="137577" stopIfTrue="1" operator="equal">
      <formula>-1</formula>
    </cfRule>
  </conditionalFormatting>
  <conditionalFormatting sqref="AR15">
    <cfRule type="cellIs" dxfId="20828" priority="137578" stopIfTrue="1" operator="lessThan">
      <formula>0.5</formula>
    </cfRule>
  </conditionalFormatting>
  <conditionalFormatting sqref="AR15">
    <cfRule type="cellIs" dxfId="20827" priority="137579" stopIfTrue="1" operator="greaterThanOrEqual">
      <formula>0.5</formula>
    </cfRule>
  </conditionalFormatting>
  <conditionalFormatting sqref="AT8">
    <cfRule type="cellIs" dxfId="20826" priority="137580" stopIfTrue="1" operator="equal">
      <formula>-1</formula>
    </cfRule>
  </conditionalFormatting>
  <conditionalFormatting sqref="AT8">
    <cfRule type="cellIs" dxfId="20825" priority="137581" stopIfTrue="1" operator="lessThan">
      <formula>0.5</formula>
    </cfRule>
  </conditionalFormatting>
  <conditionalFormatting sqref="AT8">
    <cfRule type="cellIs" dxfId="20824" priority="137582" stopIfTrue="1" operator="greaterThanOrEqual">
      <formula>0.5</formula>
    </cfRule>
  </conditionalFormatting>
  <conditionalFormatting sqref="AT9">
    <cfRule type="cellIs" dxfId="20823" priority="137583" stopIfTrue="1" operator="equal">
      <formula>-1</formula>
    </cfRule>
  </conditionalFormatting>
  <conditionalFormatting sqref="AT9">
    <cfRule type="cellIs" dxfId="20822" priority="137584" stopIfTrue="1" operator="lessThan">
      <formula>0.5</formula>
    </cfRule>
  </conditionalFormatting>
  <conditionalFormatting sqref="AT9">
    <cfRule type="cellIs" dxfId="20821" priority="137585" stopIfTrue="1" operator="greaterThanOrEqual">
      <formula>0.5</formula>
    </cfRule>
  </conditionalFormatting>
  <conditionalFormatting sqref="AT10">
    <cfRule type="cellIs" dxfId="20820" priority="137586" stopIfTrue="1" operator="equal">
      <formula>-1</formula>
    </cfRule>
  </conditionalFormatting>
  <conditionalFormatting sqref="AT10">
    <cfRule type="cellIs" dxfId="20819" priority="137587" stopIfTrue="1" operator="lessThan">
      <formula>0.5</formula>
    </cfRule>
  </conditionalFormatting>
  <conditionalFormatting sqref="AT10">
    <cfRule type="cellIs" dxfId="20818" priority="137588" stopIfTrue="1" operator="greaterThanOrEqual">
      <formula>0.5</formula>
    </cfRule>
  </conditionalFormatting>
  <conditionalFormatting sqref="AT11">
    <cfRule type="cellIs" dxfId="20817" priority="137589" stopIfTrue="1" operator="equal">
      <formula>-1</formula>
    </cfRule>
  </conditionalFormatting>
  <conditionalFormatting sqref="AT11">
    <cfRule type="cellIs" dxfId="20816" priority="137590" stopIfTrue="1" operator="lessThan">
      <formula>0.5</formula>
    </cfRule>
  </conditionalFormatting>
  <conditionalFormatting sqref="AT11">
    <cfRule type="cellIs" dxfId="20815" priority="137591" stopIfTrue="1" operator="greaterThanOrEqual">
      <formula>0.5</formula>
    </cfRule>
  </conditionalFormatting>
  <conditionalFormatting sqref="AT12">
    <cfRule type="cellIs" dxfId="20814" priority="137592" stopIfTrue="1" operator="equal">
      <formula>-1</formula>
    </cfRule>
  </conditionalFormatting>
  <conditionalFormatting sqref="AT12">
    <cfRule type="cellIs" dxfId="20813" priority="137593" stopIfTrue="1" operator="lessThan">
      <formula>0.5</formula>
    </cfRule>
  </conditionalFormatting>
  <conditionalFormatting sqref="AT12">
    <cfRule type="cellIs" dxfId="20812" priority="137594" stopIfTrue="1" operator="greaterThanOrEqual">
      <formula>0.5</formula>
    </cfRule>
  </conditionalFormatting>
  <conditionalFormatting sqref="AT13">
    <cfRule type="cellIs" dxfId="20811" priority="137595" stopIfTrue="1" operator="equal">
      <formula>-1</formula>
    </cfRule>
  </conditionalFormatting>
  <conditionalFormatting sqref="AT13">
    <cfRule type="cellIs" dxfId="20810" priority="137596" stopIfTrue="1" operator="lessThan">
      <formula>0.5</formula>
    </cfRule>
  </conditionalFormatting>
  <conditionalFormatting sqref="AT13">
    <cfRule type="cellIs" dxfId="20809" priority="137597" stopIfTrue="1" operator="greaterThanOrEqual">
      <formula>0.5</formula>
    </cfRule>
  </conditionalFormatting>
  <conditionalFormatting sqref="AT14">
    <cfRule type="cellIs" dxfId="20808" priority="137598" stopIfTrue="1" operator="equal">
      <formula>-1</formula>
    </cfRule>
  </conditionalFormatting>
  <conditionalFormatting sqref="AT14">
    <cfRule type="cellIs" dxfId="20807" priority="137599" stopIfTrue="1" operator="lessThan">
      <formula>0.5</formula>
    </cfRule>
  </conditionalFormatting>
  <conditionalFormatting sqref="AT14">
    <cfRule type="cellIs" dxfId="20806" priority="137600" stopIfTrue="1" operator="greaterThanOrEqual">
      <formula>0.5</formula>
    </cfRule>
  </conditionalFormatting>
  <conditionalFormatting sqref="AT15">
    <cfRule type="cellIs" dxfId="20805" priority="137601" stopIfTrue="1" operator="equal">
      <formula>-1</formula>
    </cfRule>
  </conditionalFormatting>
  <conditionalFormatting sqref="AT15">
    <cfRule type="cellIs" dxfId="20804" priority="137602" stopIfTrue="1" operator="lessThan">
      <formula>0.5</formula>
    </cfRule>
  </conditionalFormatting>
  <conditionalFormatting sqref="AT15">
    <cfRule type="cellIs" dxfId="20803" priority="137603" stopIfTrue="1" operator="greaterThanOrEqual">
      <formula>0.5</formula>
    </cfRule>
  </conditionalFormatting>
  <conditionalFormatting sqref="AV8">
    <cfRule type="cellIs" dxfId="20802" priority="137604" stopIfTrue="1" operator="equal">
      <formula>-1</formula>
    </cfRule>
  </conditionalFormatting>
  <conditionalFormatting sqref="AV8">
    <cfRule type="cellIs" dxfId="20801" priority="137605" stopIfTrue="1" operator="lessThan">
      <formula>0.5</formula>
    </cfRule>
  </conditionalFormatting>
  <conditionalFormatting sqref="AV8">
    <cfRule type="cellIs" dxfId="20800" priority="137606" stopIfTrue="1" operator="greaterThanOrEqual">
      <formula>0.5</formula>
    </cfRule>
  </conditionalFormatting>
  <conditionalFormatting sqref="AV9">
    <cfRule type="cellIs" dxfId="20799" priority="137607" stopIfTrue="1" operator="equal">
      <formula>-1</formula>
    </cfRule>
  </conditionalFormatting>
  <conditionalFormatting sqref="AV9">
    <cfRule type="cellIs" dxfId="20798" priority="137608" stopIfTrue="1" operator="lessThan">
      <formula>0.5</formula>
    </cfRule>
  </conditionalFormatting>
  <conditionalFormatting sqref="AV9">
    <cfRule type="cellIs" dxfId="20797" priority="137609" stopIfTrue="1" operator="greaterThanOrEqual">
      <formula>0.5</formula>
    </cfRule>
  </conditionalFormatting>
  <conditionalFormatting sqref="AV10">
    <cfRule type="cellIs" dxfId="20796" priority="137610" stopIfTrue="1" operator="equal">
      <formula>-1</formula>
    </cfRule>
  </conditionalFormatting>
  <conditionalFormatting sqref="AV10">
    <cfRule type="cellIs" dxfId="20795" priority="137611" stopIfTrue="1" operator="lessThan">
      <formula>0.5</formula>
    </cfRule>
  </conditionalFormatting>
  <conditionalFormatting sqref="AV10">
    <cfRule type="cellIs" dxfId="20794" priority="137612" stopIfTrue="1" operator="greaterThanOrEqual">
      <formula>0.5</formula>
    </cfRule>
  </conditionalFormatting>
  <conditionalFormatting sqref="AV11">
    <cfRule type="cellIs" dxfId="20793" priority="137613" stopIfTrue="1" operator="equal">
      <formula>-1</formula>
    </cfRule>
  </conditionalFormatting>
  <conditionalFormatting sqref="AV11">
    <cfRule type="cellIs" dxfId="20792" priority="137614" stopIfTrue="1" operator="lessThan">
      <formula>0.5</formula>
    </cfRule>
  </conditionalFormatting>
  <conditionalFormatting sqref="AV11">
    <cfRule type="cellIs" dxfId="20791" priority="137615" stopIfTrue="1" operator="greaterThanOrEqual">
      <formula>0.5</formula>
    </cfRule>
  </conditionalFormatting>
  <conditionalFormatting sqref="AV12">
    <cfRule type="cellIs" dxfId="20790" priority="137616" stopIfTrue="1" operator="equal">
      <formula>-1</formula>
    </cfRule>
  </conditionalFormatting>
  <conditionalFormatting sqref="AV12">
    <cfRule type="cellIs" dxfId="20789" priority="137617" stopIfTrue="1" operator="lessThan">
      <formula>0.5</formula>
    </cfRule>
  </conditionalFormatting>
  <conditionalFormatting sqref="AV12">
    <cfRule type="cellIs" dxfId="20788" priority="137618" stopIfTrue="1" operator="greaterThanOrEqual">
      <formula>0.5</formula>
    </cfRule>
  </conditionalFormatting>
  <conditionalFormatting sqref="AV13">
    <cfRule type="cellIs" dxfId="20787" priority="137619" stopIfTrue="1" operator="equal">
      <formula>-1</formula>
    </cfRule>
  </conditionalFormatting>
  <conditionalFormatting sqref="AV13">
    <cfRule type="cellIs" dxfId="20786" priority="137620" stopIfTrue="1" operator="lessThan">
      <formula>0.5</formula>
    </cfRule>
  </conditionalFormatting>
  <conditionalFormatting sqref="AV13">
    <cfRule type="cellIs" dxfId="20785" priority="137621" stopIfTrue="1" operator="greaterThanOrEqual">
      <formula>0.5</formula>
    </cfRule>
  </conditionalFormatting>
  <conditionalFormatting sqref="AV14">
    <cfRule type="cellIs" dxfId="20784" priority="137622" stopIfTrue="1" operator="equal">
      <formula>-1</formula>
    </cfRule>
  </conditionalFormatting>
  <conditionalFormatting sqref="AV14">
    <cfRule type="cellIs" dxfId="20783" priority="137623" stopIfTrue="1" operator="lessThan">
      <formula>0.5</formula>
    </cfRule>
  </conditionalFormatting>
  <conditionalFormatting sqref="AV14">
    <cfRule type="cellIs" dxfId="20782" priority="137624" stopIfTrue="1" operator="greaterThanOrEqual">
      <formula>0.5</formula>
    </cfRule>
  </conditionalFormatting>
  <conditionalFormatting sqref="AV15">
    <cfRule type="cellIs" dxfId="20781" priority="137625" stopIfTrue="1" operator="equal">
      <formula>-1</formula>
    </cfRule>
  </conditionalFormatting>
  <conditionalFormatting sqref="AV15">
    <cfRule type="cellIs" dxfId="20780" priority="137626" stopIfTrue="1" operator="lessThan">
      <formula>0.5</formula>
    </cfRule>
  </conditionalFormatting>
  <conditionalFormatting sqref="AV15">
    <cfRule type="cellIs" dxfId="20779" priority="137627" stopIfTrue="1" operator="greaterThanOrEqual">
      <formula>0.5</formula>
    </cfRule>
  </conditionalFormatting>
  <conditionalFormatting sqref="AX8">
    <cfRule type="cellIs" dxfId="20778" priority="137628" stopIfTrue="1" operator="equal">
      <formula>-1</formula>
    </cfRule>
  </conditionalFormatting>
  <conditionalFormatting sqref="AX8">
    <cfRule type="cellIs" dxfId="20777" priority="137629" stopIfTrue="1" operator="lessThan">
      <formula>0.5</formula>
    </cfRule>
  </conditionalFormatting>
  <conditionalFormatting sqref="AX8">
    <cfRule type="cellIs" dxfId="20776" priority="137630" stopIfTrue="1" operator="greaterThanOrEqual">
      <formula>0.5</formula>
    </cfRule>
  </conditionalFormatting>
  <conditionalFormatting sqref="AX9">
    <cfRule type="cellIs" dxfId="20775" priority="137631" stopIfTrue="1" operator="equal">
      <formula>-1</formula>
    </cfRule>
  </conditionalFormatting>
  <conditionalFormatting sqref="AX9">
    <cfRule type="cellIs" dxfId="20774" priority="137632" stopIfTrue="1" operator="lessThan">
      <formula>0.5</formula>
    </cfRule>
  </conditionalFormatting>
  <conditionalFormatting sqref="AX9">
    <cfRule type="cellIs" dxfId="20773" priority="137633" stopIfTrue="1" operator="greaterThanOrEqual">
      <formula>0.5</formula>
    </cfRule>
  </conditionalFormatting>
  <conditionalFormatting sqref="AX10">
    <cfRule type="cellIs" dxfId="20772" priority="137634" stopIfTrue="1" operator="equal">
      <formula>-1</formula>
    </cfRule>
  </conditionalFormatting>
  <conditionalFormatting sqref="AX10">
    <cfRule type="cellIs" dxfId="20771" priority="137635" stopIfTrue="1" operator="lessThan">
      <formula>0.5</formula>
    </cfRule>
  </conditionalFormatting>
  <conditionalFormatting sqref="AX10">
    <cfRule type="cellIs" dxfId="20770" priority="137636" stopIfTrue="1" operator="greaterThanOrEqual">
      <formula>0.5</formula>
    </cfRule>
  </conditionalFormatting>
  <conditionalFormatting sqref="AX11">
    <cfRule type="cellIs" dxfId="20769" priority="137637" stopIfTrue="1" operator="equal">
      <formula>-1</formula>
    </cfRule>
  </conditionalFormatting>
  <conditionalFormatting sqref="AX11">
    <cfRule type="cellIs" dxfId="20768" priority="137638" stopIfTrue="1" operator="lessThan">
      <formula>0.5</formula>
    </cfRule>
  </conditionalFormatting>
  <conditionalFormatting sqref="AX11">
    <cfRule type="cellIs" dxfId="20767" priority="137639" stopIfTrue="1" operator="greaterThanOrEqual">
      <formula>0.5</formula>
    </cfRule>
  </conditionalFormatting>
  <conditionalFormatting sqref="AX12">
    <cfRule type="cellIs" dxfId="20766" priority="137640" stopIfTrue="1" operator="equal">
      <formula>-1</formula>
    </cfRule>
  </conditionalFormatting>
  <conditionalFormatting sqref="AX12">
    <cfRule type="cellIs" dxfId="20765" priority="137641" stopIfTrue="1" operator="lessThan">
      <formula>0.5</formula>
    </cfRule>
  </conditionalFormatting>
  <conditionalFormatting sqref="AX12">
    <cfRule type="cellIs" dxfId="20764" priority="137642" stopIfTrue="1" operator="greaterThanOrEqual">
      <formula>0.5</formula>
    </cfRule>
  </conditionalFormatting>
  <conditionalFormatting sqref="AX13">
    <cfRule type="cellIs" dxfId="20763" priority="137643" stopIfTrue="1" operator="equal">
      <formula>-1</formula>
    </cfRule>
  </conditionalFormatting>
  <conditionalFormatting sqref="AX13">
    <cfRule type="cellIs" dxfId="20762" priority="137644" stopIfTrue="1" operator="lessThan">
      <formula>0.5</formula>
    </cfRule>
  </conditionalFormatting>
  <conditionalFormatting sqref="AX13">
    <cfRule type="cellIs" dxfId="20761" priority="137645" stopIfTrue="1" operator="greaterThanOrEqual">
      <formula>0.5</formula>
    </cfRule>
  </conditionalFormatting>
  <conditionalFormatting sqref="AX14">
    <cfRule type="cellIs" dxfId="20760" priority="137646" stopIfTrue="1" operator="equal">
      <formula>-1</formula>
    </cfRule>
  </conditionalFormatting>
  <conditionalFormatting sqref="AX14">
    <cfRule type="cellIs" dxfId="20759" priority="137647" stopIfTrue="1" operator="lessThan">
      <formula>0.5</formula>
    </cfRule>
  </conditionalFormatting>
  <conditionalFormatting sqref="AX14">
    <cfRule type="cellIs" dxfId="20758" priority="137648" stopIfTrue="1" operator="greaterThanOrEqual">
      <formula>0.5</formula>
    </cfRule>
  </conditionalFormatting>
  <conditionalFormatting sqref="AX15">
    <cfRule type="cellIs" dxfId="20757" priority="137649" stopIfTrue="1" operator="equal">
      <formula>-1</formula>
    </cfRule>
  </conditionalFormatting>
  <conditionalFormatting sqref="AX15">
    <cfRule type="cellIs" dxfId="20756" priority="137650" stopIfTrue="1" operator="lessThan">
      <formula>0.5</formula>
    </cfRule>
  </conditionalFormatting>
  <conditionalFormatting sqref="AX15">
    <cfRule type="cellIs" dxfId="20755" priority="137651" stopIfTrue="1" operator="greaterThanOrEqual">
      <formula>0.5</formula>
    </cfRule>
  </conditionalFormatting>
  <conditionalFormatting sqref="AZ8">
    <cfRule type="cellIs" dxfId="20754" priority="137652" stopIfTrue="1" operator="equal">
      <formula>-1</formula>
    </cfRule>
  </conditionalFormatting>
  <conditionalFormatting sqref="AZ8">
    <cfRule type="cellIs" dxfId="20753" priority="137653" stopIfTrue="1" operator="lessThan">
      <formula>0.5</formula>
    </cfRule>
  </conditionalFormatting>
  <conditionalFormatting sqref="AZ8">
    <cfRule type="cellIs" dxfId="20752" priority="137654" stopIfTrue="1" operator="greaterThanOrEqual">
      <formula>0.5</formula>
    </cfRule>
  </conditionalFormatting>
  <conditionalFormatting sqref="AZ9">
    <cfRule type="cellIs" dxfId="20751" priority="137655" stopIfTrue="1" operator="equal">
      <formula>-1</formula>
    </cfRule>
  </conditionalFormatting>
  <conditionalFormatting sqref="AZ9">
    <cfRule type="cellIs" dxfId="20750" priority="137656" stopIfTrue="1" operator="lessThan">
      <formula>0.5</formula>
    </cfRule>
  </conditionalFormatting>
  <conditionalFormatting sqref="AZ9">
    <cfRule type="cellIs" dxfId="20749" priority="137657" stopIfTrue="1" operator="greaterThanOrEqual">
      <formula>0.5</formula>
    </cfRule>
  </conditionalFormatting>
  <conditionalFormatting sqref="AZ10">
    <cfRule type="cellIs" dxfId="20748" priority="137658" stopIfTrue="1" operator="equal">
      <formula>-1</formula>
    </cfRule>
  </conditionalFormatting>
  <conditionalFormatting sqref="AZ10">
    <cfRule type="cellIs" dxfId="20747" priority="137659" stopIfTrue="1" operator="lessThan">
      <formula>0.5</formula>
    </cfRule>
  </conditionalFormatting>
  <conditionalFormatting sqref="AZ10">
    <cfRule type="cellIs" dxfId="20746" priority="137660" stopIfTrue="1" operator="greaterThanOrEqual">
      <formula>0.5</formula>
    </cfRule>
  </conditionalFormatting>
  <conditionalFormatting sqref="AZ11">
    <cfRule type="cellIs" dxfId="20745" priority="137661" stopIfTrue="1" operator="equal">
      <formula>-1</formula>
    </cfRule>
  </conditionalFormatting>
  <conditionalFormatting sqref="AZ11">
    <cfRule type="cellIs" dxfId="20744" priority="137662" stopIfTrue="1" operator="lessThan">
      <formula>0.5</formula>
    </cfRule>
  </conditionalFormatting>
  <conditionalFormatting sqref="AZ11">
    <cfRule type="cellIs" dxfId="20743" priority="137663" stopIfTrue="1" operator="greaterThanOrEqual">
      <formula>0.5</formula>
    </cfRule>
  </conditionalFormatting>
  <conditionalFormatting sqref="AZ12">
    <cfRule type="cellIs" dxfId="20742" priority="137664" stopIfTrue="1" operator="equal">
      <formula>-1</formula>
    </cfRule>
  </conditionalFormatting>
  <conditionalFormatting sqref="AZ12">
    <cfRule type="cellIs" dxfId="20741" priority="137665" stopIfTrue="1" operator="lessThan">
      <formula>0.5</formula>
    </cfRule>
  </conditionalFormatting>
  <conditionalFormatting sqref="AZ12">
    <cfRule type="cellIs" dxfId="20740" priority="137666" stopIfTrue="1" operator="greaterThanOrEqual">
      <formula>0.5</formula>
    </cfRule>
  </conditionalFormatting>
  <conditionalFormatting sqref="AZ13">
    <cfRule type="cellIs" dxfId="20739" priority="137667" stopIfTrue="1" operator="equal">
      <formula>-1</formula>
    </cfRule>
  </conditionalFormatting>
  <conditionalFormatting sqref="AZ13">
    <cfRule type="cellIs" dxfId="20738" priority="137668" stopIfTrue="1" operator="lessThan">
      <formula>0.5</formula>
    </cfRule>
  </conditionalFormatting>
  <conditionalFormatting sqref="AZ13">
    <cfRule type="cellIs" dxfId="20737" priority="137669" stopIfTrue="1" operator="greaterThanOrEqual">
      <formula>0.5</formula>
    </cfRule>
  </conditionalFormatting>
  <conditionalFormatting sqref="AZ14">
    <cfRule type="cellIs" dxfId="20736" priority="137670" stopIfTrue="1" operator="equal">
      <formula>-1</formula>
    </cfRule>
  </conditionalFormatting>
  <conditionalFormatting sqref="AZ14">
    <cfRule type="cellIs" dxfId="20735" priority="137671" stopIfTrue="1" operator="lessThan">
      <formula>0.5</formula>
    </cfRule>
  </conditionalFormatting>
  <conditionalFormatting sqref="AZ14">
    <cfRule type="cellIs" dxfId="20734" priority="137672" stopIfTrue="1" operator="greaterThanOrEqual">
      <formula>0.5</formula>
    </cfRule>
  </conditionalFormatting>
  <conditionalFormatting sqref="AZ15">
    <cfRule type="cellIs" dxfId="20733" priority="137673" stopIfTrue="1" operator="equal">
      <formula>-1</formula>
    </cfRule>
  </conditionalFormatting>
  <conditionalFormatting sqref="AZ15">
    <cfRule type="cellIs" dxfId="20732" priority="137674" stopIfTrue="1" operator="lessThan">
      <formula>0.5</formula>
    </cfRule>
  </conditionalFormatting>
  <conditionalFormatting sqref="AZ15">
    <cfRule type="cellIs" dxfId="20731" priority="137675" stopIfTrue="1" operator="greaterThanOrEqual">
      <formula>0.5</formula>
    </cfRule>
  </conditionalFormatting>
  <conditionalFormatting sqref="BB8">
    <cfRule type="cellIs" dxfId="20730" priority="137676" stopIfTrue="1" operator="equal">
      <formula>-1</formula>
    </cfRule>
  </conditionalFormatting>
  <conditionalFormatting sqref="BB8">
    <cfRule type="cellIs" dxfId="20729" priority="137677" stopIfTrue="1" operator="lessThan">
      <formula>0.5</formula>
    </cfRule>
  </conditionalFormatting>
  <conditionalFormatting sqref="BB8">
    <cfRule type="cellIs" dxfId="20728" priority="137678" stopIfTrue="1" operator="greaterThanOrEqual">
      <formula>0.5</formula>
    </cfRule>
  </conditionalFormatting>
  <conditionalFormatting sqref="BB9">
    <cfRule type="cellIs" dxfId="20727" priority="137679" stopIfTrue="1" operator="equal">
      <formula>-1</formula>
    </cfRule>
  </conditionalFormatting>
  <conditionalFormatting sqref="BB9">
    <cfRule type="cellIs" dxfId="20726" priority="137680" stopIfTrue="1" operator="lessThan">
      <formula>0.5</formula>
    </cfRule>
  </conditionalFormatting>
  <conditionalFormatting sqref="BB9">
    <cfRule type="cellIs" dxfId="20725" priority="137681" stopIfTrue="1" operator="greaterThanOrEqual">
      <formula>0.5</formula>
    </cfRule>
  </conditionalFormatting>
  <conditionalFormatting sqref="BB10">
    <cfRule type="cellIs" dxfId="20724" priority="137682" stopIfTrue="1" operator="equal">
      <formula>-1</formula>
    </cfRule>
  </conditionalFormatting>
  <conditionalFormatting sqref="BB10">
    <cfRule type="cellIs" dxfId="20723" priority="137683" stopIfTrue="1" operator="lessThan">
      <formula>0.5</formula>
    </cfRule>
  </conditionalFormatting>
  <conditionalFormatting sqref="BB10">
    <cfRule type="cellIs" dxfId="20722" priority="137684" stopIfTrue="1" operator="greaterThanOrEqual">
      <formula>0.5</formula>
    </cfRule>
  </conditionalFormatting>
  <conditionalFormatting sqref="BB11">
    <cfRule type="cellIs" dxfId="20721" priority="137685" stopIfTrue="1" operator="equal">
      <formula>-1</formula>
    </cfRule>
  </conditionalFormatting>
  <conditionalFormatting sqref="BB11">
    <cfRule type="cellIs" dxfId="20720" priority="137686" stopIfTrue="1" operator="lessThan">
      <formula>0.5</formula>
    </cfRule>
  </conditionalFormatting>
  <conditionalFormatting sqref="BB11">
    <cfRule type="cellIs" dxfId="20719" priority="137687" stopIfTrue="1" operator="greaterThanOrEqual">
      <formula>0.5</formula>
    </cfRule>
  </conditionalFormatting>
  <conditionalFormatting sqref="BB12">
    <cfRule type="cellIs" dxfId="20718" priority="137688" stopIfTrue="1" operator="equal">
      <formula>-1</formula>
    </cfRule>
  </conditionalFormatting>
  <conditionalFormatting sqref="BB12">
    <cfRule type="cellIs" dxfId="20717" priority="137689" stopIfTrue="1" operator="lessThan">
      <formula>0.5</formula>
    </cfRule>
  </conditionalFormatting>
  <conditionalFormatting sqref="BB12">
    <cfRule type="cellIs" dxfId="20716" priority="137690" stopIfTrue="1" operator="greaterThanOrEqual">
      <formula>0.5</formula>
    </cfRule>
  </conditionalFormatting>
  <conditionalFormatting sqref="BB13">
    <cfRule type="cellIs" dxfId="20715" priority="137691" stopIfTrue="1" operator="equal">
      <formula>-1</formula>
    </cfRule>
  </conditionalFormatting>
  <conditionalFormatting sqref="BB13">
    <cfRule type="cellIs" dxfId="20714" priority="137692" stopIfTrue="1" operator="lessThan">
      <formula>0.5</formula>
    </cfRule>
  </conditionalFormatting>
  <conditionalFormatting sqref="BB13">
    <cfRule type="cellIs" dxfId="20713" priority="137693" stopIfTrue="1" operator="greaterThanOrEqual">
      <formula>0.5</formula>
    </cfRule>
  </conditionalFormatting>
  <conditionalFormatting sqref="BB14">
    <cfRule type="cellIs" dxfId="20712" priority="137694" stopIfTrue="1" operator="equal">
      <formula>-1</formula>
    </cfRule>
  </conditionalFormatting>
  <conditionalFormatting sqref="BB14">
    <cfRule type="cellIs" dxfId="20711" priority="137695" stopIfTrue="1" operator="lessThan">
      <formula>0.5</formula>
    </cfRule>
  </conditionalFormatting>
  <conditionalFormatting sqref="BB14">
    <cfRule type="cellIs" dxfId="20710" priority="137696" stopIfTrue="1" operator="greaterThanOrEqual">
      <formula>0.5</formula>
    </cfRule>
  </conditionalFormatting>
  <conditionalFormatting sqref="BB15">
    <cfRule type="cellIs" dxfId="20709" priority="137697" stopIfTrue="1" operator="equal">
      <formula>-1</formula>
    </cfRule>
  </conditionalFormatting>
  <conditionalFormatting sqref="BB15">
    <cfRule type="cellIs" dxfId="20708" priority="137698" stopIfTrue="1" operator="lessThan">
      <formula>0.5</formula>
    </cfRule>
  </conditionalFormatting>
  <conditionalFormatting sqref="BB15">
    <cfRule type="cellIs" dxfId="20707" priority="137699" stopIfTrue="1" operator="greaterThanOrEqual">
      <formula>0.5</formula>
    </cfRule>
  </conditionalFormatting>
  <conditionalFormatting sqref="BD8">
    <cfRule type="cellIs" dxfId="20706" priority="137700" stopIfTrue="1" operator="equal">
      <formula>-1</formula>
    </cfRule>
  </conditionalFormatting>
  <conditionalFormatting sqref="BD8">
    <cfRule type="cellIs" dxfId="20705" priority="137701" stopIfTrue="1" operator="lessThan">
      <formula>0.5</formula>
    </cfRule>
  </conditionalFormatting>
  <conditionalFormatting sqref="BD8">
    <cfRule type="cellIs" dxfId="20704" priority="137702" stopIfTrue="1" operator="greaterThanOrEqual">
      <formula>0.5</formula>
    </cfRule>
  </conditionalFormatting>
  <conditionalFormatting sqref="BD9">
    <cfRule type="cellIs" dxfId="20703" priority="137703" stopIfTrue="1" operator="equal">
      <formula>-1</formula>
    </cfRule>
  </conditionalFormatting>
  <conditionalFormatting sqref="BD9">
    <cfRule type="cellIs" dxfId="20702" priority="137704" stopIfTrue="1" operator="lessThan">
      <formula>0.5</formula>
    </cfRule>
  </conditionalFormatting>
  <conditionalFormatting sqref="BD9">
    <cfRule type="cellIs" dxfId="20701" priority="137705" stopIfTrue="1" operator="greaterThanOrEqual">
      <formula>0.5</formula>
    </cfRule>
  </conditionalFormatting>
  <conditionalFormatting sqref="BD10">
    <cfRule type="cellIs" dxfId="20700" priority="137706" stopIfTrue="1" operator="equal">
      <formula>-1</formula>
    </cfRule>
  </conditionalFormatting>
  <conditionalFormatting sqref="BD10">
    <cfRule type="cellIs" dxfId="20699" priority="137707" stopIfTrue="1" operator="lessThan">
      <formula>0.5</formula>
    </cfRule>
  </conditionalFormatting>
  <conditionalFormatting sqref="BD10">
    <cfRule type="cellIs" dxfId="20698" priority="137708" stopIfTrue="1" operator="greaterThanOrEqual">
      <formula>0.5</formula>
    </cfRule>
  </conditionalFormatting>
  <conditionalFormatting sqref="BD11">
    <cfRule type="cellIs" dxfId="20697" priority="137709" stopIfTrue="1" operator="equal">
      <formula>-1</formula>
    </cfRule>
  </conditionalFormatting>
  <conditionalFormatting sqref="BD11">
    <cfRule type="cellIs" dxfId="20696" priority="137710" stopIfTrue="1" operator="lessThan">
      <formula>0.5</formula>
    </cfRule>
  </conditionalFormatting>
  <conditionalFormatting sqref="BD11">
    <cfRule type="cellIs" dxfId="20695" priority="137711" stopIfTrue="1" operator="greaterThanOrEqual">
      <formula>0.5</formula>
    </cfRule>
  </conditionalFormatting>
  <conditionalFormatting sqref="BD12">
    <cfRule type="cellIs" dxfId="20694" priority="137712" stopIfTrue="1" operator="equal">
      <formula>-1</formula>
    </cfRule>
  </conditionalFormatting>
  <conditionalFormatting sqref="BD12">
    <cfRule type="cellIs" dxfId="20693" priority="137713" stopIfTrue="1" operator="lessThan">
      <formula>0.5</formula>
    </cfRule>
  </conditionalFormatting>
  <conditionalFormatting sqref="BD12">
    <cfRule type="cellIs" dxfId="20692" priority="137714" stopIfTrue="1" operator="greaterThanOrEqual">
      <formula>0.5</formula>
    </cfRule>
  </conditionalFormatting>
  <conditionalFormatting sqref="BD13">
    <cfRule type="cellIs" dxfId="20691" priority="137715" stopIfTrue="1" operator="equal">
      <formula>-1</formula>
    </cfRule>
  </conditionalFormatting>
  <conditionalFormatting sqref="BD13">
    <cfRule type="cellIs" dxfId="20690" priority="137716" stopIfTrue="1" operator="lessThan">
      <formula>0.5</formula>
    </cfRule>
  </conditionalFormatting>
  <conditionalFormatting sqref="BD13">
    <cfRule type="cellIs" dxfId="20689" priority="137717" stopIfTrue="1" operator="greaterThanOrEqual">
      <formula>0.5</formula>
    </cfRule>
  </conditionalFormatting>
  <conditionalFormatting sqref="BD14">
    <cfRule type="cellIs" dxfId="20688" priority="137718" stopIfTrue="1" operator="equal">
      <formula>-1</formula>
    </cfRule>
  </conditionalFormatting>
  <conditionalFormatting sqref="BD14">
    <cfRule type="cellIs" dxfId="20687" priority="137719" stopIfTrue="1" operator="lessThan">
      <formula>0.5</formula>
    </cfRule>
  </conditionalFormatting>
  <conditionalFormatting sqref="BD14">
    <cfRule type="cellIs" dxfId="20686" priority="137720" stopIfTrue="1" operator="greaterThanOrEqual">
      <formula>0.5</formula>
    </cfRule>
  </conditionalFormatting>
  <conditionalFormatting sqref="BD15">
    <cfRule type="cellIs" dxfId="20685" priority="137721" stopIfTrue="1" operator="equal">
      <formula>-1</formula>
    </cfRule>
  </conditionalFormatting>
  <conditionalFormatting sqref="BD15">
    <cfRule type="cellIs" dxfId="20684" priority="137722" stopIfTrue="1" operator="lessThan">
      <formula>0.5</formula>
    </cfRule>
  </conditionalFormatting>
  <conditionalFormatting sqref="BD15">
    <cfRule type="cellIs" dxfId="20683" priority="137723" stopIfTrue="1" operator="greaterThanOrEqual">
      <formula>0.5</formula>
    </cfRule>
  </conditionalFormatting>
  <conditionalFormatting sqref="BF8">
    <cfRule type="cellIs" dxfId="20682" priority="137724" stopIfTrue="1" operator="equal">
      <formula>-1</formula>
    </cfRule>
  </conditionalFormatting>
  <conditionalFormatting sqref="BF8">
    <cfRule type="cellIs" dxfId="20681" priority="137725" stopIfTrue="1" operator="lessThan">
      <formula>0.5</formula>
    </cfRule>
  </conditionalFormatting>
  <conditionalFormatting sqref="BF8">
    <cfRule type="cellIs" dxfId="20680" priority="137726" stopIfTrue="1" operator="greaterThanOrEqual">
      <formula>0.5</formula>
    </cfRule>
  </conditionalFormatting>
  <conditionalFormatting sqref="BF9">
    <cfRule type="cellIs" dxfId="20679" priority="137727" stopIfTrue="1" operator="equal">
      <formula>-1</formula>
    </cfRule>
  </conditionalFormatting>
  <conditionalFormatting sqref="BF9">
    <cfRule type="cellIs" dxfId="20678" priority="137728" stopIfTrue="1" operator="lessThan">
      <formula>0.5</formula>
    </cfRule>
  </conditionalFormatting>
  <conditionalFormatting sqref="BF9">
    <cfRule type="cellIs" dxfId="20677" priority="137729" stopIfTrue="1" operator="greaterThanOrEqual">
      <formula>0.5</formula>
    </cfRule>
  </conditionalFormatting>
  <conditionalFormatting sqref="BF10">
    <cfRule type="cellIs" dxfId="20676" priority="137730" stopIfTrue="1" operator="equal">
      <formula>-1</formula>
    </cfRule>
  </conditionalFormatting>
  <conditionalFormatting sqref="BF10">
    <cfRule type="cellIs" dxfId="20675" priority="137731" stopIfTrue="1" operator="lessThan">
      <formula>0.5</formula>
    </cfRule>
  </conditionalFormatting>
  <conditionalFormatting sqref="BF10">
    <cfRule type="cellIs" dxfId="20674" priority="137732" stopIfTrue="1" operator="greaterThanOrEqual">
      <formula>0.5</formula>
    </cfRule>
  </conditionalFormatting>
  <conditionalFormatting sqref="BF11">
    <cfRule type="cellIs" dxfId="20673" priority="137733" stopIfTrue="1" operator="equal">
      <formula>-1</formula>
    </cfRule>
  </conditionalFormatting>
  <conditionalFormatting sqref="BF11">
    <cfRule type="cellIs" dxfId="20672" priority="137734" stopIfTrue="1" operator="lessThan">
      <formula>0.5</formula>
    </cfRule>
  </conditionalFormatting>
  <conditionalFormatting sqref="BF11">
    <cfRule type="cellIs" dxfId="20671" priority="137735" stopIfTrue="1" operator="greaterThanOrEqual">
      <formula>0.5</formula>
    </cfRule>
  </conditionalFormatting>
  <conditionalFormatting sqref="BF12">
    <cfRule type="cellIs" dxfId="20670" priority="137736" stopIfTrue="1" operator="equal">
      <formula>-1</formula>
    </cfRule>
  </conditionalFormatting>
  <conditionalFormatting sqref="BF12">
    <cfRule type="cellIs" dxfId="20669" priority="137737" stopIfTrue="1" operator="lessThan">
      <formula>0.5</formula>
    </cfRule>
  </conditionalFormatting>
  <conditionalFormatting sqref="BF12">
    <cfRule type="cellIs" dxfId="20668" priority="137738" stopIfTrue="1" operator="greaterThanOrEqual">
      <formula>0.5</formula>
    </cfRule>
  </conditionalFormatting>
  <conditionalFormatting sqref="BF13">
    <cfRule type="cellIs" dxfId="20667" priority="137739" stopIfTrue="1" operator="equal">
      <formula>-1</formula>
    </cfRule>
  </conditionalFormatting>
  <conditionalFormatting sqref="BF13">
    <cfRule type="cellIs" dxfId="20666" priority="137740" stopIfTrue="1" operator="lessThan">
      <formula>0.5</formula>
    </cfRule>
  </conditionalFormatting>
  <conditionalFormatting sqref="BF13">
    <cfRule type="cellIs" dxfId="20665" priority="137741" stopIfTrue="1" operator="greaterThanOrEqual">
      <formula>0.5</formula>
    </cfRule>
  </conditionalFormatting>
  <conditionalFormatting sqref="BF14">
    <cfRule type="cellIs" dxfId="20664" priority="137742" stopIfTrue="1" operator="equal">
      <formula>-1</formula>
    </cfRule>
  </conditionalFormatting>
  <conditionalFormatting sqref="BF14">
    <cfRule type="cellIs" dxfId="20663" priority="137743" stopIfTrue="1" operator="lessThan">
      <formula>0.5</formula>
    </cfRule>
  </conditionalFormatting>
  <conditionalFormatting sqref="BF14">
    <cfRule type="cellIs" dxfId="20662" priority="137744" stopIfTrue="1" operator="greaterThanOrEqual">
      <formula>0.5</formula>
    </cfRule>
  </conditionalFormatting>
  <conditionalFormatting sqref="BF15">
    <cfRule type="cellIs" dxfId="20661" priority="137745" stopIfTrue="1" operator="equal">
      <formula>-1</formula>
    </cfRule>
  </conditionalFormatting>
  <conditionalFormatting sqref="BF15">
    <cfRule type="cellIs" dxfId="20660" priority="137746" stopIfTrue="1" operator="lessThan">
      <formula>0.5</formula>
    </cfRule>
  </conditionalFormatting>
  <conditionalFormatting sqref="BF15">
    <cfRule type="cellIs" dxfId="20659" priority="137747" stopIfTrue="1" operator="greaterThanOrEqual">
      <formula>0.5</formula>
    </cfRule>
  </conditionalFormatting>
  <conditionalFormatting sqref="BH8">
    <cfRule type="cellIs" dxfId="20658" priority="137748" stopIfTrue="1" operator="equal">
      <formula>-1</formula>
    </cfRule>
  </conditionalFormatting>
  <conditionalFormatting sqref="BH8">
    <cfRule type="cellIs" dxfId="20657" priority="137749" stopIfTrue="1" operator="lessThan">
      <formula>0.5</formula>
    </cfRule>
  </conditionalFormatting>
  <conditionalFormatting sqref="BH8">
    <cfRule type="cellIs" dxfId="20656" priority="137750" stopIfTrue="1" operator="greaterThanOrEqual">
      <formula>0.5</formula>
    </cfRule>
  </conditionalFormatting>
  <conditionalFormatting sqref="BH9">
    <cfRule type="cellIs" dxfId="20655" priority="137751" stopIfTrue="1" operator="equal">
      <formula>-1</formula>
    </cfRule>
  </conditionalFormatting>
  <conditionalFormatting sqref="BH9">
    <cfRule type="cellIs" dxfId="20654" priority="137752" stopIfTrue="1" operator="lessThan">
      <formula>0.5</formula>
    </cfRule>
  </conditionalFormatting>
  <conditionalFormatting sqref="BH9">
    <cfRule type="cellIs" dxfId="20653" priority="137753" stopIfTrue="1" operator="greaterThanOrEqual">
      <formula>0.5</formula>
    </cfRule>
  </conditionalFormatting>
  <conditionalFormatting sqref="BH10">
    <cfRule type="cellIs" dxfId="20652" priority="137754" stopIfTrue="1" operator="equal">
      <formula>-1</formula>
    </cfRule>
  </conditionalFormatting>
  <conditionalFormatting sqref="BH10">
    <cfRule type="cellIs" dxfId="20651" priority="137755" stopIfTrue="1" operator="lessThan">
      <formula>0.5</formula>
    </cfRule>
  </conditionalFormatting>
  <conditionalFormatting sqref="BH10">
    <cfRule type="cellIs" dxfId="20650" priority="137756" stopIfTrue="1" operator="greaterThanOrEqual">
      <formula>0.5</formula>
    </cfRule>
  </conditionalFormatting>
  <conditionalFormatting sqref="BH11">
    <cfRule type="cellIs" dxfId="20649" priority="137757" stopIfTrue="1" operator="equal">
      <formula>-1</formula>
    </cfRule>
  </conditionalFormatting>
  <conditionalFormatting sqref="BH11">
    <cfRule type="cellIs" dxfId="20648" priority="137758" stopIfTrue="1" operator="lessThan">
      <formula>0.5</formula>
    </cfRule>
  </conditionalFormatting>
  <conditionalFormatting sqref="BH11">
    <cfRule type="cellIs" dxfId="20647" priority="137759" stopIfTrue="1" operator="greaterThanOrEqual">
      <formula>0.5</formula>
    </cfRule>
  </conditionalFormatting>
  <conditionalFormatting sqref="BH12">
    <cfRule type="cellIs" dxfId="20646" priority="137760" stopIfTrue="1" operator="equal">
      <formula>-1</formula>
    </cfRule>
  </conditionalFormatting>
  <conditionalFormatting sqref="BH12">
    <cfRule type="cellIs" dxfId="20645" priority="137761" stopIfTrue="1" operator="lessThan">
      <formula>0.5</formula>
    </cfRule>
  </conditionalFormatting>
  <conditionalFormatting sqref="BH12">
    <cfRule type="cellIs" dxfId="20644" priority="137762" stopIfTrue="1" operator="greaterThanOrEqual">
      <formula>0.5</formula>
    </cfRule>
  </conditionalFormatting>
  <conditionalFormatting sqref="BH13">
    <cfRule type="cellIs" dxfId="20643" priority="137763" stopIfTrue="1" operator="equal">
      <formula>-1</formula>
    </cfRule>
  </conditionalFormatting>
  <conditionalFormatting sqref="BH13">
    <cfRule type="cellIs" dxfId="20642" priority="137764" stopIfTrue="1" operator="lessThan">
      <formula>0.5</formula>
    </cfRule>
  </conditionalFormatting>
  <conditionalFormatting sqref="BH13">
    <cfRule type="cellIs" dxfId="20641" priority="137765" stopIfTrue="1" operator="greaterThanOrEqual">
      <formula>0.5</formula>
    </cfRule>
  </conditionalFormatting>
  <conditionalFormatting sqref="BH14">
    <cfRule type="cellIs" dxfId="20640" priority="137766" stopIfTrue="1" operator="equal">
      <formula>-1</formula>
    </cfRule>
  </conditionalFormatting>
  <conditionalFormatting sqref="BH14">
    <cfRule type="cellIs" dxfId="20639" priority="137767" stopIfTrue="1" operator="lessThan">
      <formula>0.5</formula>
    </cfRule>
  </conditionalFormatting>
  <conditionalFormatting sqref="BH14">
    <cfRule type="cellIs" dxfId="20638" priority="137768" stopIfTrue="1" operator="greaterThanOrEqual">
      <formula>0.5</formula>
    </cfRule>
  </conditionalFormatting>
  <conditionalFormatting sqref="BH15">
    <cfRule type="cellIs" dxfId="20637" priority="137769" stopIfTrue="1" operator="equal">
      <formula>-1</formula>
    </cfRule>
  </conditionalFormatting>
  <conditionalFormatting sqref="BH15">
    <cfRule type="cellIs" dxfId="20636" priority="137770" stopIfTrue="1" operator="lessThan">
      <formula>0.5</formula>
    </cfRule>
  </conditionalFormatting>
  <conditionalFormatting sqref="BH15">
    <cfRule type="cellIs" dxfId="20635" priority="137771" stopIfTrue="1" operator="greaterThanOrEqual">
      <formula>0.5</formula>
    </cfRule>
  </conditionalFormatting>
  <conditionalFormatting sqref="BJ8">
    <cfRule type="cellIs" dxfId="20634" priority="137772" stopIfTrue="1" operator="equal">
      <formula>-1</formula>
    </cfRule>
  </conditionalFormatting>
  <conditionalFormatting sqref="BJ8">
    <cfRule type="cellIs" dxfId="20633" priority="137773" stopIfTrue="1" operator="lessThan">
      <formula>0.5</formula>
    </cfRule>
  </conditionalFormatting>
  <conditionalFormatting sqref="BJ8">
    <cfRule type="cellIs" dxfId="20632" priority="137774" stopIfTrue="1" operator="greaterThanOrEqual">
      <formula>0.5</formula>
    </cfRule>
  </conditionalFormatting>
  <conditionalFormatting sqref="BJ9">
    <cfRule type="cellIs" dxfId="20631" priority="137775" stopIfTrue="1" operator="equal">
      <formula>-1</formula>
    </cfRule>
  </conditionalFormatting>
  <conditionalFormatting sqref="BJ9">
    <cfRule type="cellIs" dxfId="20630" priority="137776" stopIfTrue="1" operator="lessThan">
      <formula>0.5</formula>
    </cfRule>
  </conditionalFormatting>
  <conditionalFormatting sqref="BJ9">
    <cfRule type="cellIs" dxfId="20629" priority="137777" stopIfTrue="1" operator="greaterThanOrEqual">
      <formula>0.5</formula>
    </cfRule>
  </conditionalFormatting>
  <conditionalFormatting sqref="BJ10">
    <cfRule type="cellIs" dxfId="20628" priority="137778" stopIfTrue="1" operator="equal">
      <formula>-1</formula>
    </cfRule>
  </conditionalFormatting>
  <conditionalFormatting sqref="BJ10">
    <cfRule type="cellIs" dxfId="20627" priority="137779" stopIfTrue="1" operator="lessThan">
      <formula>0.5</formula>
    </cfRule>
  </conditionalFormatting>
  <conditionalFormatting sqref="BJ10">
    <cfRule type="cellIs" dxfId="20626" priority="137780" stopIfTrue="1" operator="greaterThanOrEqual">
      <formula>0.5</formula>
    </cfRule>
  </conditionalFormatting>
  <conditionalFormatting sqref="BJ11">
    <cfRule type="cellIs" dxfId="20625" priority="137781" stopIfTrue="1" operator="equal">
      <formula>-1</formula>
    </cfRule>
  </conditionalFormatting>
  <conditionalFormatting sqref="BJ11">
    <cfRule type="cellIs" dxfId="20624" priority="137782" stopIfTrue="1" operator="lessThan">
      <formula>0.5</formula>
    </cfRule>
  </conditionalFormatting>
  <conditionalFormatting sqref="BJ11">
    <cfRule type="cellIs" dxfId="20623" priority="137783" stopIfTrue="1" operator="greaterThanOrEqual">
      <formula>0.5</formula>
    </cfRule>
  </conditionalFormatting>
  <conditionalFormatting sqref="BJ12">
    <cfRule type="cellIs" dxfId="20622" priority="137784" stopIfTrue="1" operator="equal">
      <formula>-1</formula>
    </cfRule>
  </conditionalFormatting>
  <conditionalFormatting sqref="BJ12">
    <cfRule type="cellIs" dxfId="20621" priority="137785" stopIfTrue="1" operator="lessThan">
      <formula>0.5</formula>
    </cfRule>
  </conditionalFormatting>
  <conditionalFormatting sqref="BJ12">
    <cfRule type="cellIs" dxfId="20620" priority="137786" stopIfTrue="1" operator="greaterThanOrEqual">
      <formula>0.5</formula>
    </cfRule>
  </conditionalFormatting>
  <conditionalFormatting sqref="BJ13">
    <cfRule type="cellIs" dxfId="20619" priority="137787" stopIfTrue="1" operator="equal">
      <formula>-1</formula>
    </cfRule>
  </conditionalFormatting>
  <conditionalFormatting sqref="BJ13">
    <cfRule type="cellIs" dxfId="20618" priority="137788" stopIfTrue="1" operator="lessThan">
      <formula>0.5</formula>
    </cfRule>
  </conditionalFormatting>
  <conditionalFormatting sqref="BJ13">
    <cfRule type="cellIs" dxfId="20617" priority="137789" stopIfTrue="1" operator="greaterThanOrEqual">
      <formula>0.5</formula>
    </cfRule>
  </conditionalFormatting>
  <conditionalFormatting sqref="BJ14">
    <cfRule type="cellIs" dxfId="20616" priority="137790" stopIfTrue="1" operator="equal">
      <formula>-1</formula>
    </cfRule>
  </conditionalFormatting>
  <conditionalFormatting sqref="BJ14">
    <cfRule type="cellIs" dxfId="20615" priority="137791" stopIfTrue="1" operator="lessThan">
      <formula>0.5</formula>
    </cfRule>
  </conditionalFormatting>
  <conditionalFormatting sqref="BJ14">
    <cfRule type="cellIs" dxfId="20614" priority="137792" stopIfTrue="1" operator="greaterThanOrEqual">
      <formula>0.5</formula>
    </cfRule>
  </conditionalFormatting>
  <conditionalFormatting sqref="BJ15">
    <cfRule type="cellIs" dxfId="20613" priority="137793" stopIfTrue="1" operator="equal">
      <formula>-1</formula>
    </cfRule>
  </conditionalFormatting>
  <conditionalFormatting sqref="BJ15">
    <cfRule type="cellIs" dxfId="20612" priority="137794" stopIfTrue="1" operator="lessThan">
      <formula>0.5</formula>
    </cfRule>
  </conditionalFormatting>
  <conditionalFormatting sqref="BJ15">
    <cfRule type="cellIs" dxfId="20611" priority="137795" stopIfTrue="1" operator="greaterThanOrEqual">
      <formula>0.5</formula>
    </cfRule>
  </conditionalFormatting>
  <conditionalFormatting sqref="D17">
    <cfRule type="cellIs" dxfId="20610" priority="137796" stopIfTrue="1" operator="equal">
      <formula>-1</formula>
    </cfRule>
  </conditionalFormatting>
  <conditionalFormatting sqref="D17">
    <cfRule type="cellIs" dxfId="20609" priority="137797" stopIfTrue="1" operator="lessThan">
      <formula>0.5</formula>
    </cfRule>
  </conditionalFormatting>
  <conditionalFormatting sqref="D17">
    <cfRule type="cellIs" dxfId="20608" priority="137798" stopIfTrue="1" operator="greaterThanOrEqual">
      <formula>0.5</formula>
    </cfRule>
  </conditionalFormatting>
  <conditionalFormatting sqref="D18">
    <cfRule type="cellIs" dxfId="20607" priority="137799" stopIfTrue="1" operator="equal">
      <formula>-1</formula>
    </cfRule>
  </conditionalFormatting>
  <conditionalFormatting sqref="D18">
    <cfRule type="cellIs" dxfId="20606" priority="137800" stopIfTrue="1" operator="lessThan">
      <formula>0.5</formula>
    </cfRule>
  </conditionalFormatting>
  <conditionalFormatting sqref="D18">
    <cfRule type="cellIs" dxfId="20605" priority="137801" stopIfTrue="1" operator="greaterThanOrEqual">
      <formula>0.5</formula>
    </cfRule>
  </conditionalFormatting>
  <conditionalFormatting sqref="D19">
    <cfRule type="cellIs" dxfId="20604" priority="137802" stopIfTrue="1" operator="equal">
      <formula>-1</formula>
    </cfRule>
  </conditionalFormatting>
  <conditionalFormatting sqref="D19">
    <cfRule type="cellIs" dxfId="20603" priority="137803" stopIfTrue="1" operator="lessThan">
      <formula>0.5</formula>
    </cfRule>
  </conditionalFormatting>
  <conditionalFormatting sqref="D19">
    <cfRule type="cellIs" dxfId="20602" priority="137804" stopIfTrue="1" operator="greaterThanOrEqual">
      <formula>0.5</formula>
    </cfRule>
  </conditionalFormatting>
  <conditionalFormatting sqref="D20">
    <cfRule type="cellIs" dxfId="20601" priority="137805" stopIfTrue="1" operator="equal">
      <formula>-1</formula>
    </cfRule>
  </conditionalFormatting>
  <conditionalFormatting sqref="D20">
    <cfRule type="cellIs" dxfId="20600" priority="137806" stopIfTrue="1" operator="lessThan">
      <formula>0.5</formula>
    </cfRule>
  </conditionalFormatting>
  <conditionalFormatting sqref="D20">
    <cfRule type="cellIs" dxfId="20599" priority="137807" stopIfTrue="1" operator="greaterThanOrEqual">
      <formula>0.5</formula>
    </cfRule>
  </conditionalFormatting>
  <conditionalFormatting sqref="D21">
    <cfRule type="cellIs" dxfId="20598" priority="137808" stopIfTrue="1" operator="equal">
      <formula>-1</formula>
    </cfRule>
  </conditionalFormatting>
  <conditionalFormatting sqref="D21">
    <cfRule type="cellIs" dxfId="20597" priority="137809" stopIfTrue="1" operator="lessThan">
      <formula>0.5</formula>
    </cfRule>
  </conditionalFormatting>
  <conditionalFormatting sqref="D21">
    <cfRule type="cellIs" dxfId="20596" priority="137810" stopIfTrue="1" operator="greaterThanOrEqual">
      <formula>0.5</formula>
    </cfRule>
  </conditionalFormatting>
  <conditionalFormatting sqref="D22">
    <cfRule type="cellIs" dxfId="20595" priority="137811" stopIfTrue="1" operator="equal">
      <formula>-1</formula>
    </cfRule>
  </conditionalFormatting>
  <conditionalFormatting sqref="D22">
    <cfRule type="cellIs" dxfId="20594" priority="137812" stopIfTrue="1" operator="lessThan">
      <formula>0.5</formula>
    </cfRule>
  </conditionalFormatting>
  <conditionalFormatting sqref="D22">
    <cfRule type="cellIs" dxfId="20593" priority="137813" stopIfTrue="1" operator="greaterThanOrEqual">
      <formula>0.5</formula>
    </cfRule>
  </conditionalFormatting>
  <conditionalFormatting sqref="D23">
    <cfRule type="cellIs" dxfId="20592" priority="137814" stopIfTrue="1" operator="equal">
      <formula>-1</formula>
    </cfRule>
  </conditionalFormatting>
  <conditionalFormatting sqref="D23">
    <cfRule type="cellIs" dxfId="20591" priority="137815" stopIfTrue="1" operator="lessThan">
      <formula>0.5</formula>
    </cfRule>
  </conditionalFormatting>
  <conditionalFormatting sqref="D23">
    <cfRule type="cellIs" dxfId="20590" priority="137816" stopIfTrue="1" operator="greaterThanOrEqual">
      <formula>0.5</formula>
    </cfRule>
  </conditionalFormatting>
  <conditionalFormatting sqref="D24">
    <cfRule type="cellIs" dxfId="20589" priority="137817" stopIfTrue="1" operator="equal">
      <formula>-1</formula>
    </cfRule>
  </conditionalFormatting>
  <conditionalFormatting sqref="D24">
    <cfRule type="cellIs" dxfId="20588" priority="137818" stopIfTrue="1" operator="lessThan">
      <formula>0.5</formula>
    </cfRule>
  </conditionalFormatting>
  <conditionalFormatting sqref="D24">
    <cfRule type="cellIs" dxfId="20587" priority="137819" stopIfTrue="1" operator="greaterThanOrEqual">
      <formula>0.5</formula>
    </cfRule>
  </conditionalFormatting>
  <conditionalFormatting sqref="D25">
    <cfRule type="cellIs" dxfId="20586" priority="137820" stopIfTrue="1" operator="equal">
      <formula>-1</formula>
    </cfRule>
  </conditionalFormatting>
  <conditionalFormatting sqref="D25">
    <cfRule type="cellIs" dxfId="20585" priority="137821" stopIfTrue="1" operator="lessThan">
      <formula>0.5</formula>
    </cfRule>
  </conditionalFormatting>
  <conditionalFormatting sqref="D25">
    <cfRule type="cellIs" dxfId="20584" priority="137822" stopIfTrue="1" operator="greaterThanOrEqual">
      <formula>0.5</formula>
    </cfRule>
  </conditionalFormatting>
  <conditionalFormatting sqref="D26">
    <cfRule type="cellIs" dxfId="20583" priority="137823" stopIfTrue="1" operator="equal">
      <formula>-1</formula>
    </cfRule>
  </conditionalFormatting>
  <conditionalFormatting sqref="D26">
    <cfRule type="cellIs" dxfId="20582" priority="137824" stopIfTrue="1" operator="lessThan">
      <formula>0.5</formula>
    </cfRule>
  </conditionalFormatting>
  <conditionalFormatting sqref="D26">
    <cfRule type="cellIs" dxfId="20581" priority="137825" stopIfTrue="1" operator="greaterThanOrEqual">
      <formula>0.5</formula>
    </cfRule>
  </conditionalFormatting>
  <conditionalFormatting sqref="D27">
    <cfRule type="cellIs" dxfId="20580" priority="137826" stopIfTrue="1" operator="equal">
      <formula>-1</formula>
    </cfRule>
  </conditionalFormatting>
  <conditionalFormatting sqref="D27">
    <cfRule type="cellIs" dxfId="20579" priority="137827" stopIfTrue="1" operator="lessThan">
      <formula>0.5</formula>
    </cfRule>
  </conditionalFormatting>
  <conditionalFormatting sqref="D27">
    <cfRule type="cellIs" dxfId="20578" priority="137828" stopIfTrue="1" operator="greaterThanOrEqual">
      <formula>0.5</formula>
    </cfRule>
  </conditionalFormatting>
  <conditionalFormatting sqref="D28">
    <cfRule type="cellIs" dxfId="20577" priority="137829" stopIfTrue="1" operator="equal">
      <formula>-1</formula>
    </cfRule>
  </conditionalFormatting>
  <conditionalFormatting sqref="D28">
    <cfRule type="cellIs" dxfId="20576" priority="137830" stopIfTrue="1" operator="lessThan">
      <formula>0.5</formula>
    </cfRule>
  </conditionalFormatting>
  <conditionalFormatting sqref="D28">
    <cfRule type="cellIs" dxfId="20575" priority="137831" stopIfTrue="1" operator="greaterThanOrEqual">
      <formula>0.5</formula>
    </cfRule>
  </conditionalFormatting>
  <conditionalFormatting sqref="D29">
    <cfRule type="cellIs" dxfId="20574" priority="137832" stopIfTrue="1" operator="equal">
      <formula>-1</formula>
    </cfRule>
  </conditionalFormatting>
  <conditionalFormatting sqref="D29">
    <cfRule type="cellIs" dxfId="20573" priority="137833" stopIfTrue="1" operator="lessThan">
      <formula>0.5</formula>
    </cfRule>
  </conditionalFormatting>
  <conditionalFormatting sqref="D29">
    <cfRule type="cellIs" dxfId="20572" priority="137834" stopIfTrue="1" operator="greaterThanOrEqual">
      <formula>0.5</formula>
    </cfRule>
  </conditionalFormatting>
  <conditionalFormatting sqref="D30">
    <cfRule type="cellIs" dxfId="20571" priority="137835" stopIfTrue="1" operator="equal">
      <formula>-1</formula>
    </cfRule>
  </conditionalFormatting>
  <conditionalFormatting sqref="D30">
    <cfRule type="cellIs" dxfId="20570" priority="137836" stopIfTrue="1" operator="lessThan">
      <formula>0.5</formula>
    </cfRule>
  </conditionalFormatting>
  <conditionalFormatting sqref="D30">
    <cfRule type="cellIs" dxfId="20569" priority="137837" stopIfTrue="1" operator="greaterThanOrEqual">
      <formula>0.5</formula>
    </cfRule>
  </conditionalFormatting>
  <conditionalFormatting sqref="D31">
    <cfRule type="cellIs" dxfId="20568" priority="137838" stopIfTrue="1" operator="equal">
      <formula>-1</formula>
    </cfRule>
  </conditionalFormatting>
  <conditionalFormatting sqref="D31">
    <cfRule type="cellIs" dxfId="20567" priority="137839" stopIfTrue="1" operator="lessThan">
      <formula>0.5</formula>
    </cfRule>
  </conditionalFormatting>
  <conditionalFormatting sqref="D31">
    <cfRule type="cellIs" dxfId="20566" priority="137840" stopIfTrue="1" operator="greaterThanOrEqual">
      <formula>0.5</formula>
    </cfRule>
  </conditionalFormatting>
  <conditionalFormatting sqref="D32">
    <cfRule type="cellIs" dxfId="20565" priority="137841" stopIfTrue="1" operator="equal">
      <formula>-1</formula>
    </cfRule>
  </conditionalFormatting>
  <conditionalFormatting sqref="D32">
    <cfRule type="cellIs" dxfId="20564" priority="137842" stopIfTrue="1" operator="lessThan">
      <formula>0.5</formula>
    </cfRule>
  </conditionalFormatting>
  <conditionalFormatting sqref="D32">
    <cfRule type="cellIs" dxfId="20563" priority="137843" stopIfTrue="1" operator="greaterThanOrEqual">
      <formula>0.5</formula>
    </cfRule>
  </conditionalFormatting>
  <conditionalFormatting sqref="D33">
    <cfRule type="cellIs" dxfId="20562" priority="137844" stopIfTrue="1" operator="equal">
      <formula>-1</formula>
    </cfRule>
  </conditionalFormatting>
  <conditionalFormatting sqref="D33">
    <cfRule type="cellIs" dxfId="20561" priority="137845" stopIfTrue="1" operator="lessThan">
      <formula>0.5</formula>
    </cfRule>
  </conditionalFormatting>
  <conditionalFormatting sqref="D33">
    <cfRule type="cellIs" dxfId="20560" priority="137846" stopIfTrue="1" operator="greaterThanOrEqual">
      <formula>0.5</formula>
    </cfRule>
  </conditionalFormatting>
  <conditionalFormatting sqref="D34">
    <cfRule type="cellIs" dxfId="20559" priority="137847" stopIfTrue="1" operator="equal">
      <formula>-1</formula>
    </cfRule>
  </conditionalFormatting>
  <conditionalFormatting sqref="D34">
    <cfRule type="cellIs" dxfId="20558" priority="137848" stopIfTrue="1" operator="lessThan">
      <formula>0.5</formula>
    </cfRule>
  </conditionalFormatting>
  <conditionalFormatting sqref="D34">
    <cfRule type="cellIs" dxfId="20557" priority="137849" stopIfTrue="1" operator="greaterThanOrEqual">
      <formula>0.5</formula>
    </cfRule>
  </conditionalFormatting>
  <conditionalFormatting sqref="D35">
    <cfRule type="cellIs" dxfId="20556" priority="137850" stopIfTrue="1" operator="equal">
      <formula>-1</formula>
    </cfRule>
  </conditionalFormatting>
  <conditionalFormatting sqref="D35">
    <cfRule type="cellIs" dxfId="20555" priority="137851" stopIfTrue="1" operator="lessThan">
      <formula>0.5</formula>
    </cfRule>
  </conditionalFormatting>
  <conditionalFormatting sqref="D35">
    <cfRule type="cellIs" dxfId="20554" priority="137852" stopIfTrue="1" operator="greaterThanOrEqual">
      <formula>0.5</formula>
    </cfRule>
  </conditionalFormatting>
  <conditionalFormatting sqref="D36">
    <cfRule type="cellIs" dxfId="20553" priority="137853" stopIfTrue="1" operator="equal">
      <formula>-1</formula>
    </cfRule>
  </conditionalFormatting>
  <conditionalFormatting sqref="D36">
    <cfRule type="cellIs" dxfId="20552" priority="137854" stopIfTrue="1" operator="lessThan">
      <formula>0.5</formula>
    </cfRule>
  </conditionalFormatting>
  <conditionalFormatting sqref="D36">
    <cfRule type="cellIs" dxfId="20551" priority="137855" stopIfTrue="1" operator="greaterThanOrEqual">
      <formula>0.5</formula>
    </cfRule>
  </conditionalFormatting>
  <conditionalFormatting sqref="D37">
    <cfRule type="cellIs" dxfId="20550" priority="137856" stopIfTrue="1" operator="equal">
      <formula>-1</formula>
    </cfRule>
  </conditionalFormatting>
  <conditionalFormatting sqref="D37">
    <cfRule type="cellIs" dxfId="20549" priority="137857" stopIfTrue="1" operator="lessThan">
      <formula>0.5</formula>
    </cfRule>
  </conditionalFormatting>
  <conditionalFormatting sqref="D37">
    <cfRule type="cellIs" dxfId="20548" priority="137858" stopIfTrue="1" operator="greaterThanOrEqual">
      <formula>0.5</formula>
    </cfRule>
  </conditionalFormatting>
  <conditionalFormatting sqref="F17">
    <cfRule type="cellIs" dxfId="20547" priority="137859" stopIfTrue="1" operator="equal">
      <formula>-1</formula>
    </cfRule>
  </conditionalFormatting>
  <conditionalFormatting sqref="F17">
    <cfRule type="cellIs" dxfId="20546" priority="137860" stopIfTrue="1" operator="lessThan">
      <formula>0.5</formula>
    </cfRule>
  </conditionalFormatting>
  <conditionalFormatting sqref="F17">
    <cfRule type="cellIs" dxfId="20545" priority="137861" stopIfTrue="1" operator="greaterThanOrEqual">
      <formula>0.5</formula>
    </cfRule>
  </conditionalFormatting>
  <conditionalFormatting sqref="F18">
    <cfRule type="cellIs" dxfId="20544" priority="137862" stopIfTrue="1" operator="equal">
      <formula>-1</formula>
    </cfRule>
  </conditionalFormatting>
  <conditionalFormatting sqref="F18">
    <cfRule type="cellIs" dxfId="20543" priority="137863" stopIfTrue="1" operator="lessThan">
      <formula>0.5</formula>
    </cfRule>
  </conditionalFormatting>
  <conditionalFormatting sqref="F18">
    <cfRule type="cellIs" dxfId="20542" priority="137864" stopIfTrue="1" operator="greaterThanOrEqual">
      <formula>0.5</formula>
    </cfRule>
  </conditionalFormatting>
  <conditionalFormatting sqref="F19">
    <cfRule type="cellIs" dxfId="20541" priority="137865" stopIfTrue="1" operator="equal">
      <formula>-1</formula>
    </cfRule>
  </conditionalFormatting>
  <conditionalFormatting sqref="F19">
    <cfRule type="cellIs" dxfId="20540" priority="137866" stopIfTrue="1" operator="lessThan">
      <formula>0.5</formula>
    </cfRule>
  </conditionalFormatting>
  <conditionalFormatting sqref="F19">
    <cfRule type="cellIs" dxfId="20539" priority="137867" stopIfTrue="1" operator="greaterThanOrEqual">
      <formula>0.5</formula>
    </cfRule>
  </conditionalFormatting>
  <conditionalFormatting sqref="F20">
    <cfRule type="cellIs" dxfId="20538" priority="137868" stopIfTrue="1" operator="equal">
      <formula>-1</formula>
    </cfRule>
  </conditionalFormatting>
  <conditionalFormatting sqref="F20">
    <cfRule type="cellIs" dxfId="20537" priority="137869" stopIfTrue="1" operator="lessThan">
      <formula>0.5</formula>
    </cfRule>
  </conditionalFormatting>
  <conditionalFormatting sqref="F20">
    <cfRule type="cellIs" dxfId="20536" priority="137870" stopIfTrue="1" operator="greaterThanOrEqual">
      <formula>0.5</formula>
    </cfRule>
  </conditionalFormatting>
  <conditionalFormatting sqref="F21">
    <cfRule type="cellIs" dxfId="20535" priority="137871" stopIfTrue="1" operator="equal">
      <formula>-1</formula>
    </cfRule>
  </conditionalFormatting>
  <conditionalFormatting sqref="F21">
    <cfRule type="cellIs" dxfId="20534" priority="137872" stopIfTrue="1" operator="lessThan">
      <formula>0.5</formula>
    </cfRule>
  </conditionalFormatting>
  <conditionalFormatting sqref="F21">
    <cfRule type="cellIs" dxfId="20533" priority="137873" stopIfTrue="1" operator="greaterThanOrEqual">
      <formula>0.5</formula>
    </cfRule>
  </conditionalFormatting>
  <conditionalFormatting sqref="F22">
    <cfRule type="cellIs" dxfId="20532" priority="137874" stopIfTrue="1" operator="equal">
      <formula>-1</formula>
    </cfRule>
  </conditionalFormatting>
  <conditionalFormatting sqref="F22">
    <cfRule type="cellIs" dxfId="20531" priority="137875" stopIfTrue="1" operator="lessThan">
      <formula>0.5</formula>
    </cfRule>
  </conditionalFormatting>
  <conditionalFormatting sqref="F22">
    <cfRule type="cellIs" dxfId="20530" priority="137876" stopIfTrue="1" operator="greaterThanOrEqual">
      <formula>0.5</formula>
    </cfRule>
  </conditionalFormatting>
  <conditionalFormatting sqref="F23">
    <cfRule type="cellIs" dxfId="20529" priority="137877" stopIfTrue="1" operator="equal">
      <formula>-1</formula>
    </cfRule>
  </conditionalFormatting>
  <conditionalFormatting sqref="F23">
    <cfRule type="cellIs" dxfId="20528" priority="137878" stopIfTrue="1" operator="lessThan">
      <formula>0.5</formula>
    </cfRule>
  </conditionalFormatting>
  <conditionalFormatting sqref="F23">
    <cfRule type="cellIs" dxfId="20527" priority="137879" stopIfTrue="1" operator="greaterThanOrEqual">
      <formula>0.5</formula>
    </cfRule>
  </conditionalFormatting>
  <conditionalFormatting sqref="F24">
    <cfRule type="cellIs" dxfId="20526" priority="137880" stopIfTrue="1" operator="equal">
      <formula>-1</formula>
    </cfRule>
  </conditionalFormatting>
  <conditionalFormatting sqref="F24">
    <cfRule type="cellIs" dxfId="20525" priority="137881" stopIfTrue="1" operator="lessThan">
      <formula>0.5</formula>
    </cfRule>
  </conditionalFormatting>
  <conditionalFormatting sqref="F24">
    <cfRule type="cellIs" dxfId="20524" priority="137882" stopIfTrue="1" operator="greaterThanOrEqual">
      <formula>0.5</formula>
    </cfRule>
  </conditionalFormatting>
  <conditionalFormatting sqref="F25">
    <cfRule type="cellIs" dxfId="20523" priority="137883" stopIfTrue="1" operator="equal">
      <formula>-1</formula>
    </cfRule>
  </conditionalFormatting>
  <conditionalFormatting sqref="F25">
    <cfRule type="cellIs" dxfId="20522" priority="137884" stopIfTrue="1" operator="lessThan">
      <formula>0.5</formula>
    </cfRule>
  </conditionalFormatting>
  <conditionalFormatting sqref="F25">
    <cfRule type="cellIs" dxfId="20521" priority="137885" stopIfTrue="1" operator="greaterThanOrEqual">
      <formula>0.5</formula>
    </cfRule>
  </conditionalFormatting>
  <conditionalFormatting sqref="F26">
    <cfRule type="cellIs" dxfId="20520" priority="137886" stopIfTrue="1" operator="equal">
      <formula>-1</formula>
    </cfRule>
  </conditionalFormatting>
  <conditionalFormatting sqref="F26">
    <cfRule type="cellIs" dxfId="20519" priority="137887" stopIfTrue="1" operator="lessThan">
      <formula>0.5</formula>
    </cfRule>
  </conditionalFormatting>
  <conditionalFormatting sqref="F26">
    <cfRule type="cellIs" dxfId="20518" priority="137888" stopIfTrue="1" operator="greaterThanOrEqual">
      <formula>0.5</formula>
    </cfRule>
  </conditionalFormatting>
  <conditionalFormatting sqref="F27">
    <cfRule type="cellIs" dxfId="20517" priority="137889" stopIfTrue="1" operator="equal">
      <formula>-1</formula>
    </cfRule>
  </conditionalFormatting>
  <conditionalFormatting sqref="F27">
    <cfRule type="cellIs" dxfId="20516" priority="137890" stopIfTrue="1" operator="lessThan">
      <formula>0.5</formula>
    </cfRule>
  </conditionalFormatting>
  <conditionalFormatting sqref="F27">
    <cfRule type="cellIs" dxfId="20515" priority="137891" stopIfTrue="1" operator="greaterThanOrEqual">
      <formula>0.5</formula>
    </cfRule>
  </conditionalFormatting>
  <conditionalFormatting sqref="F28">
    <cfRule type="cellIs" dxfId="20514" priority="137892" stopIfTrue="1" operator="equal">
      <formula>-1</formula>
    </cfRule>
  </conditionalFormatting>
  <conditionalFormatting sqref="F28">
    <cfRule type="cellIs" dxfId="20513" priority="137893" stopIfTrue="1" operator="lessThan">
      <formula>0.5</formula>
    </cfRule>
  </conditionalFormatting>
  <conditionalFormatting sqref="F28">
    <cfRule type="cellIs" dxfId="20512" priority="137894" stopIfTrue="1" operator="greaterThanOrEqual">
      <formula>0.5</formula>
    </cfRule>
  </conditionalFormatting>
  <conditionalFormatting sqref="F29">
    <cfRule type="cellIs" dxfId="20511" priority="137895" stopIfTrue="1" operator="equal">
      <formula>-1</formula>
    </cfRule>
  </conditionalFormatting>
  <conditionalFormatting sqref="F29">
    <cfRule type="cellIs" dxfId="20510" priority="137896" stopIfTrue="1" operator="lessThan">
      <formula>0.5</formula>
    </cfRule>
  </conditionalFormatting>
  <conditionalFormatting sqref="F29">
    <cfRule type="cellIs" dxfId="20509" priority="137897" stopIfTrue="1" operator="greaterThanOrEqual">
      <formula>0.5</formula>
    </cfRule>
  </conditionalFormatting>
  <conditionalFormatting sqref="F30">
    <cfRule type="cellIs" dxfId="20508" priority="137898" stopIfTrue="1" operator="equal">
      <formula>-1</formula>
    </cfRule>
  </conditionalFormatting>
  <conditionalFormatting sqref="F30">
    <cfRule type="cellIs" dxfId="20507" priority="137899" stopIfTrue="1" operator="lessThan">
      <formula>0.5</formula>
    </cfRule>
  </conditionalFormatting>
  <conditionalFormatting sqref="F30">
    <cfRule type="cellIs" dxfId="20506" priority="137900" stopIfTrue="1" operator="greaterThanOrEqual">
      <formula>0.5</formula>
    </cfRule>
  </conditionalFormatting>
  <conditionalFormatting sqref="F31">
    <cfRule type="cellIs" dxfId="20505" priority="137901" stopIfTrue="1" operator="equal">
      <formula>-1</formula>
    </cfRule>
  </conditionalFormatting>
  <conditionalFormatting sqref="F31">
    <cfRule type="cellIs" dxfId="20504" priority="137902" stopIfTrue="1" operator="lessThan">
      <formula>0.5</formula>
    </cfRule>
  </conditionalFormatting>
  <conditionalFormatting sqref="F31">
    <cfRule type="cellIs" dxfId="20503" priority="137903" stopIfTrue="1" operator="greaterThanOrEqual">
      <formula>0.5</formula>
    </cfRule>
  </conditionalFormatting>
  <conditionalFormatting sqref="F32">
    <cfRule type="cellIs" dxfId="20502" priority="137904" stopIfTrue="1" operator="equal">
      <formula>-1</formula>
    </cfRule>
  </conditionalFormatting>
  <conditionalFormatting sqref="F32">
    <cfRule type="cellIs" dxfId="20501" priority="137905" stopIfTrue="1" operator="lessThan">
      <formula>0.5</formula>
    </cfRule>
  </conditionalFormatting>
  <conditionalFormatting sqref="F32">
    <cfRule type="cellIs" dxfId="20500" priority="137906" stopIfTrue="1" operator="greaterThanOrEqual">
      <formula>0.5</formula>
    </cfRule>
  </conditionalFormatting>
  <conditionalFormatting sqref="F33">
    <cfRule type="cellIs" dxfId="20499" priority="137907" stopIfTrue="1" operator="equal">
      <formula>-1</formula>
    </cfRule>
  </conditionalFormatting>
  <conditionalFormatting sqref="F33">
    <cfRule type="cellIs" dxfId="20498" priority="137908" stopIfTrue="1" operator="lessThan">
      <formula>0.5</formula>
    </cfRule>
  </conditionalFormatting>
  <conditionalFormatting sqref="F33">
    <cfRule type="cellIs" dxfId="20497" priority="137909" stopIfTrue="1" operator="greaterThanOrEqual">
      <formula>0.5</formula>
    </cfRule>
  </conditionalFormatting>
  <conditionalFormatting sqref="F34">
    <cfRule type="cellIs" dxfId="20496" priority="137910" stopIfTrue="1" operator="equal">
      <formula>-1</formula>
    </cfRule>
  </conditionalFormatting>
  <conditionalFormatting sqref="F34">
    <cfRule type="cellIs" dxfId="20495" priority="137911" stopIfTrue="1" operator="lessThan">
      <formula>0.5</formula>
    </cfRule>
  </conditionalFormatting>
  <conditionalFormatting sqref="F34">
    <cfRule type="cellIs" dxfId="20494" priority="137912" stopIfTrue="1" operator="greaterThanOrEqual">
      <formula>0.5</formula>
    </cfRule>
  </conditionalFormatting>
  <conditionalFormatting sqref="F35">
    <cfRule type="cellIs" dxfId="20493" priority="137913" stopIfTrue="1" operator="equal">
      <formula>-1</formula>
    </cfRule>
  </conditionalFormatting>
  <conditionalFormatting sqref="F35">
    <cfRule type="cellIs" dxfId="20492" priority="137914" stopIfTrue="1" operator="lessThan">
      <formula>0.5</formula>
    </cfRule>
  </conditionalFormatting>
  <conditionalFormatting sqref="F35">
    <cfRule type="cellIs" dxfId="20491" priority="137915" stopIfTrue="1" operator="greaterThanOrEqual">
      <formula>0.5</formula>
    </cfRule>
  </conditionalFormatting>
  <conditionalFormatting sqref="F36">
    <cfRule type="cellIs" dxfId="20490" priority="137916" stopIfTrue="1" operator="equal">
      <formula>-1</formula>
    </cfRule>
  </conditionalFormatting>
  <conditionalFormatting sqref="F36">
    <cfRule type="cellIs" dxfId="20489" priority="137917" stopIfTrue="1" operator="lessThan">
      <formula>0.5</formula>
    </cfRule>
  </conditionalFormatting>
  <conditionalFormatting sqref="F36">
    <cfRule type="cellIs" dxfId="20488" priority="137918" stopIfTrue="1" operator="greaterThanOrEqual">
      <formula>0.5</formula>
    </cfRule>
  </conditionalFormatting>
  <conditionalFormatting sqref="F37">
    <cfRule type="cellIs" dxfId="20487" priority="137919" stopIfTrue="1" operator="equal">
      <formula>-1</formula>
    </cfRule>
  </conditionalFormatting>
  <conditionalFormatting sqref="F37">
    <cfRule type="cellIs" dxfId="20486" priority="137920" stopIfTrue="1" operator="lessThan">
      <formula>0.5</formula>
    </cfRule>
  </conditionalFormatting>
  <conditionalFormatting sqref="F37">
    <cfRule type="cellIs" dxfId="20485" priority="137921" stopIfTrue="1" operator="greaterThanOrEqual">
      <formula>0.5</formula>
    </cfRule>
  </conditionalFormatting>
  <conditionalFormatting sqref="H17">
    <cfRule type="cellIs" dxfId="20484" priority="137922" stopIfTrue="1" operator="equal">
      <formula>-1</formula>
    </cfRule>
  </conditionalFormatting>
  <conditionalFormatting sqref="H17">
    <cfRule type="cellIs" dxfId="20483" priority="137923" stopIfTrue="1" operator="lessThan">
      <formula>0.5</formula>
    </cfRule>
  </conditionalFormatting>
  <conditionalFormatting sqref="H17">
    <cfRule type="cellIs" dxfId="20482" priority="137924" stopIfTrue="1" operator="greaterThanOrEqual">
      <formula>0.5</formula>
    </cfRule>
  </conditionalFormatting>
  <conditionalFormatting sqref="H18">
    <cfRule type="cellIs" dxfId="20481" priority="137925" stopIfTrue="1" operator="equal">
      <formula>-1</formula>
    </cfRule>
  </conditionalFormatting>
  <conditionalFormatting sqref="H18">
    <cfRule type="cellIs" dxfId="20480" priority="137926" stopIfTrue="1" operator="lessThan">
      <formula>0.5</formula>
    </cfRule>
  </conditionalFormatting>
  <conditionalFormatting sqref="H18">
    <cfRule type="cellIs" dxfId="20479" priority="137927" stopIfTrue="1" operator="greaterThanOrEqual">
      <formula>0.5</formula>
    </cfRule>
  </conditionalFormatting>
  <conditionalFormatting sqref="H19">
    <cfRule type="cellIs" dxfId="20478" priority="137928" stopIfTrue="1" operator="equal">
      <formula>-1</formula>
    </cfRule>
  </conditionalFormatting>
  <conditionalFormatting sqref="H19">
    <cfRule type="cellIs" dxfId="20477" priority="137929" stopIfTrue="1" operator="lessThan">
      <formula>0.5</formula>
    </cfRule>
  </conditionalFormatting>
  <conditionalFormatting sqref="H19">
    <cfRule type="cellIs" dxfId="20476" priority="137930" stopIfTrue="1" operator="greaterThanOrEqual">
      <formula>0.5</formula>
    </cfRule>
  </conditionalFormatting>
  <conditionalFormatting sqref="H20">
    <cfRule type="cellIs" dxfId="20475" priority="137931" stopIfTrue="1" operator="equal">
      <formula>-1</formula>
    </cfRule>
  </conditionalFormatting>
  <conditionalFormatting sqref="H20">
    <cfRule type="cellIs" dxfId="20474" priority="137932" stopIfTrue="1" operator="lessThan">
      <formula>0.5</formula>
    </cfRule>
  </conditionalFormatting>
  <conditionalFormatting sqref="H20">
    <cfRule type="cellIs" dxfId="20473" priority="137933" stopIfTrue="1" operator="greaterThanOrEqual">
      <formula>0.5</formula>
    </cfRule>
  </conditionalFormatting>
  <conditionalFormatting sqref="H21">
    <cfRule type="cellIs" dxfId="20472" priority="137934" stopIfTrue="1" operator="equal">
      <formula>-1</formula>
    </cfRule>
  </conditionalFormatting>
  <conditionalFormatting sqref="H21">
    <cfRule type="cellIs" dxfId="20471" priority="137935" stopIfTrue="1" operator="lessThan">
      <formula>0.5</formula>
    </cfRule>
  </conditionalFormatting>
  <conditionalFormatting sqref="H21">
    <cfRule type="cellIs" dxfId="20470" priority="137936" stopIfTrue="1" operator="greaterThanOrEqual">
      <formula>0.5</formula>
    </cfRule>
  </conditionalFormatting>
  <conditionalFormatting sqref="H22">
    <cfRule type="cellIs" dxfId="20469" priority="137937" stopIfTrue="1" operator="equal">
      <formula>-1</formula>
    </cfRule>
  </conditionalFormatting>
  <conditionalFormatting sqref="H22">
    <cfRule type="cellIs" dxfId="20468" priority="137938" stopIfTrue="1" operator="lessThan">
      <formula>0.5</formula>
    </cfRule>
  </conditionalFormatting>
  <conditionalFormatting sqref="H22">
    <cfRule type="cellIs" dxfId="20467" priority="137939" stopIfTrue="1" operator="greaterThanOrEqual">
      <formula>0.5</formula>
    </cfRule>
  </conditionalFormatting>
  <conditionalFormatting sqref="H23">
    <cfRule type="cellIs" dxfId="20466" priority="137940" stopIfTrue="1" operator="equal">
      <formula>-1</formula>
    </cfRule>
  </conditionalFormatting>
  <conditionalFormatting sqref="H23">
    <cfRule type="cellIs" dxfId="20465" priority="137941" stopIfTrue="1" operator="lessThan">
      <formula>0.5</formula>
    </cfRule>
  </conditionalFormatting>
  <conditionalFormatting sqref="H23">
    <cfRule type="cellIs" dxfId="20464" priority="137942" stopIfTrue="1" operator="greaterThanOrEqual">
      <formula>0.5</formula>
    </cfRule>
  </conditionalFormatting>
  <conditionalFormatting sqref="H24">
    <cfRule type="cellIs" dxfId="20463" priority="137943" stopIfTrue="1" operator="equal">
      <formula>-1</formula>
    </cfRule>
  </conditionalFormatting>
  <conditionalFormatting sqref="H24">
    <cfRule type="cellIs" dxfId="20462" priority="137944" stopIfTrue="1" operator="lessThan">
      <formula>0.5</formula>
    </cfRule>
  </conditionalFormatting>
  <conditionalFormatting sqref="H24">
    <cfRule type="cellIs" dxfId="20461" priority="137945" stopIfTrue="1" operator="greaterThanOrEqual">
      <formula>0.5</formula>
    </cfRule>
  </conditionalFormatting>
  <conditionalFormatting sqref="H25">
    <cfRule type="cellIs" dxfId="20460" priority="137946" stopIfTrue="1" operator="equal">
      <formula>-1</formula>
    </cfRule>
  </conditionalFormatting>
  <conditionalFormatting sqref="H25">
    <cfRule type="cellIs" dxfId="20459" priority="137947" stopIfTrue="1" operator="lessThan">
      <formula>0.5</formula>
    </cfRule>
  </conditionalFormatting>
  <conditionalFormatting sqref="H25">
    <cfRule type="cellIs" dxfId="20458" priority="137948" stopIfTrue="1" operator="greaterThanOrEqual">
      <formula>0.5</formula>
    </cfRule>
  </conditionalFormatting>
  <conditionalFormatting sqref="H26">
    <cfRule type="cellIs" dxfId="20457" priority="137949" stopIfTrue="1" operator="equal">
      <formula>-1</formula>
    </cfRule>
  </conditionalFormatting>
  <conditionalFormatting sqref="H26">
    <cfRule type="cellIs" dxfId="20456" priority="137950" stopIfTrue="1" operator="lessThan">
      <formula>0.5</formula>
    </cfRule>
  </conditionalFormatting>
  <conditionalFormatting sqref="H26">
    <cfRule type="cellIs" dxfId="20455" priority="137951" stopIfTrue="1" operator="greaterThanOrEqual">
      <formula>0.5</formula>
    </cfRule>
  </conditionalFormatting>
  <conditionalFormatting sqref="H27">
    <cfRule type="cellIs" dxfId="20454" priority="137952" stopIfTrue="1" operator="equal">
      <formula>-1</formula>
    </cfRule>
  </conditionalFormatting>
  <conditionalFormatting sqref="H27">
    <cfRule type="cellIs" dxfId="20453" priority="137953" stopIfTrue="1" operator="lessThan">
      <formula>0.5</formula>
    </cfRule>
  </conditionalFormatting>
  <conditionalFormatting sqref="H27">
    <cfRule type="cellIs" dxfId="20452" priority="137954" stopIfTrue="1" operator="greaterThanOrEqual">
      <formula>0.5</formula>
    </cfRule>
  </conditionalFormatting>
  <conditionalFormatting sqref="H28">
    <cfRule type="cellIs" dxfId="20451" priority="137955" stopIfTrue="1" operator="equal">
      <formula>-1</formula>
    </cfRule>
  </conditionalFormatting>
  <conditionalFormatting sqref="H28">
    <cfRule type="cellIs" dxfId="20450" priority="137956" stopIfTrue="1" operator="lessThan">
      <formula>0.5</formula>
    </cfRule>
  </conditionalFormatting>
  <conditionalFormatting sqref="H28">
    <cfRule type="cellIs" dxfId="20449" priority="137957" stopIfTrue="1" operator="greaterThanOrEqual">
      <formula>0.5</formula>
    </cfRule>
  </conditionalFormatting>
  <conditionalFormatting sqref="H29">
    <cfRule type="cellIs" dxfId="20448" priority="137958" stopIfTrue="1" operator="equal">
      <formula>-1</formula>
    </cfRule>
  </conditionalFormatting>
  <conditionalFormatting sqref="H29">
    <cfRule type="cellIs" dxfId="20447" priority="137959" stopIfTrue="1" operator="lessThan">
      <formula>0.5</formula>
    </cfRule>
  </conditionalFormatting>
  <conditionalFormatting sqref="H29">
    <cfRule type="cellIs" dxfId="20446" priority="137960" stopIfTrue="1" operator="greaterThanOrEqual">
      <formula>0.5</formula>
    </cfRule>
  </conditionalFormatting>
  <conditionalFormatting sqref="H30">
    <cfRule type="cellIs" dxfId="20445" priority="137961" stopIfTrue="1" operator="equal">
      <formula>-1</formula>
    </cfRule>
  </conditionalFormatting>
  <conditionalFormatting sqref="H30">
    <cfRule type="cellIs" dxfId="20444" priority="137962" stopIfTrue="1" operator="lessThan">
      <formula>0.5</formula>
    </cfRule>
  </conditionalFormatting>
  <conditionalFormatting sqref="H30">
    <cfRule type="cellIs" dxfId="20443" priority="137963" stopIfTrue="1" operator="greaterThanOrEqual">
      <formula>0.5</formula>
    </cfRule>
  </conditionalFormatting>
  <conditionalFormatting sqref="H31">
    <cfRule type="cellIs" dxfId="20442" priority="137964" stopIfTrue="1" operator="equal">
      <formula>-1</formula>
    </cfRule>
  </conditionalFormatting>
  <conditionalFormatting sqref="H31">
    <cfRule type="cellIs" dxfId="20441" priority="137965" stopIfTrue="1" operator="lessThan">
      <formula>0.5</formula>
    </cfRule>
  </conditionalFormatting>
  <conditionalFormatting sqref="H31">
    <cfRule type="cellIs" dxfId="20440" priority="137966" stopIfTrue="1" operator="greaterThanOrEqual">
      <formula>0.5</formula>
    </cfRule>
  </conditionalFormatting>
  <conditionalFormatting sqref="H32">
    <cfRule type="cellIs" dxfId="20439" priority="137967" stopIfTrue="1" operator="equal">
      <formula>-1</formula>
    </cfRule>
  </conditionalFormatting>
  <conditionalFormatting sqref="H32">
    <cfRule type="cellIs" dxfId="20438" priority="137968" stopIfTrue="1" operator="lessThan">
      <formula>0.5</formula>
    </cfRule>
  </conditionalFormatting>
  <conditionalFormatting sqref="H32">
    <cfRule type="cellIs" dxfId="20437" priority="137969" stopIfTrue="1" operator="greaterThanOrEqual">
      <formula>0.5</formula>
    </cfRule>
  </conditionalFormatting>
  <conditionalFormatting sqref="H33">
    <cfRule type="cellIs" dxfId="20436" priority="137970" stopIfTrue="1" operator="equal">
      <formula>-1</formula>
    </cfRule>
  </conditionalFormatting>
  <conditionalFormatting sqref="H33">
    <cfRule type="cellIs" dxfId="20435" priority="137971" stopIfTrue="1" operator="lessThan">
      <formula>0.5</formula>
    </cfRule>
  </conditionalFormatting>
  <conditionalFormatting sqref="H33">
    <cfRule type="cellIs" dxfId="20434" priority="137972" stopIfTrue="1" operator="greaterThanOrEqual">
      <formula>0.5</formula>
    </cfRule>
  </conditionalFormatting>
  <conditionalFormatting sqref="H34">
    <cfRule type="cellIs" dxfId="20433" priority="137973" stopIfTrue="1" operator="equal">
      <formula>-1</formula>
    </cfRule>
  </conditionalFormatting>
  <conditionalFormatting sqref="H34">
    <cfRule type="cellIs" dxfId="20432" priority="137974" stopIfTrue="1" operator="lessThan">
      <formula>0.5</formula>
    </cfRule>
  </conditionalFormatting>
  <conditionalFormatting sqref="H34">
    <cfRule type="cellIs" dxfId="20431" priority="137975" stopIfTrue="1" operator="greaterThanOrEqual">
      <formula>0.5</formula>
    </cfRule>
  </conditionalFormatting>
  <conditionalFormatting sqref="H35">
    <cfRule type="cellIs" dxfId="20430" priority="137976" stopIfTrue="1" operator="equal">
      <formula>-1</formula>
    </cfRule>
  </conditionalFormatting>
  <conditionalFormatting sqref="H35">
    <cfRule type="cellIs" dxfId="20429" priority="137977" stopIfTrue="1" operator="lessThan">
      <formula>0.5</formula>
    </cfRule>
  </conditionalFormatting>
  <conditionalFormatting sqref="H35">
    <cfRule type="cellIs" dxfId="20428" priority="137978" stopIfTrue="1" operator="greaterThanOrEqual">
      <formula>0.5</formula>
    </cfRule>
  </conditionalFormatting>
  <conditionalFormatting sqref="H36">
    <cfRule type="cellIs" dxfId="20427" priority="137979" stopIfTrue="1" operator="equal">
      <formula>-1</formula>
    </cfRule>
  </conditionalFormatting>
  <conditionalFormatting sqref="H36">
    <cfRule type="cellIs" dxfId="20426" priority="137980" stopIfTrue="1" operator="lessThan">
      <formula>0.5</formula>
    </cfRule>
  </conditionalFormatting>
  <conditionalFormatting sqref="H36">
    <cfRule type="cellIs" dxfId="20425" priority="137981" stopIfTrue="1" operator="greaterThanOrEqual">
      <formula>0.5</formula>
    </cfRule>
  </conditionalFormatting>
  <conditionalFormatting sqref="H37">
    <cfRule type="cellIs" dxfId="20424" priority="137982" stopIfTrue="1" operator="equal">
      <formula>-1</formula>
    </cfRule>
  </conditionalFormatting>
  <conditionalFormatting sqref="H37">
    <cfRule type="cellIs" dxfId="20423" priority="137983" stopIfTrue="1" operator="lessThan">
      <formula>0.5</formula>
    </cfRule>
  </conditionalFormatting>
  <conditionalFormatting sqref="H37">
    <cfRule type="cellIs" dxfId="20422" priority="137984" stopIfTrue="1" operator="greaterThanOrEqual">
      <formula>0.5</formula>
    </cfRule>
  </conditionalFormatting>
  <conditionalFormatting sqref="J17">
    <cfRule type="cellIs" dxfId="20421" priority="137985" stopIfTrue="1" operator="equal">
      <formula>-1</formula>
    </cfRule>
  </conditionalFormatting>
  <conditionalFormatting sqref="J17">
    <cfRule type="cellIs" dxfId="20420" priority="137986" stopIfTrue="1" operator="lessThan">
      <formula>0.5</formula>
    </cfRule>
  </conditionalFormatting>
  <conditionalFormatting sqref="J17">
    <cfRule type="cellIs" dxfId="20419" priority="137987" stopIfTrue="1" operator="greaterThanOrEqual">
      <formula>0.5</formula>
    </cfRule>
  </conditionalFormatting>
  <conditionalFormatting sqref="J18">
    <cfRule type="cellIs" dxfId="20418" priority="137988" stopIfTrue="1" operator="equal">
      <formula>-1</formula>
    </cfRule>
  </conditionalFormatting>
  <conditionalFormatting sqref="J18">
    <cfRule type="cellIs" dxfId="20417" priority="137989" stopIfTrue="1" operator="lessThan">
      <formula>0.5</formula>
    </cfRule>
  </conditionalFormatting>
  <conditionalFormatting sqref="J18">
    <cfRule type="cellIs" dxfId="20416" priority="137990" stopIfTrue="1" operator="greaterThanOrEqual">
      <formula>0.5</formula>
    </cfRule>
  </conditionalFormatting>
  <conditionalFormatting sqref="J19">
    <cfRule type="cellIs" dxfId="20415" priority="137991" stopIfTrue="1" operator="equal">
      <formula>-1</formula>
    </cfRule>
  </conditionalFormatting>
  <conditionalFormatting sqref="J19">
    <cfRule type="cellIs" dxfId="20414" priority="137992" stopIfTrue="1" operator="lessThan">
      <formula>0.5</formula>
    </cfRule>
  </conditionalFormatting>
  <conditionalFormatting sqref="J19">
    <cfRule type="cellIs" dxfId="20413" priority="137993" stopIfTrue="1" operator="greaterThanOrEqual">
      <formula>0.5</formula>
    </cfRule>
  </conditionalFormatting>
  <conditionalFormatting sqref="J20">
    <cfRule type="cellIs" dxfId="20412" priority="137994" stopIfTrue="1" operator="equal">
      <formula>-1</formula>
    </cfRule>
  </conditionalFormatting>
  <conditionalFormatting sqref="J20">
    <cfRule type="cellIs" dxfId="20411" priority="137995" stopIfTrue="1" operator="lessThan">
      <formula>0.5</formula>
    </cfRule>
  </conditionalFormatting>
  <conditionalFormatting sqref="J20">
    <cfRule type="cellIs" dxfId="20410" priority="137996" stopIfTrue="1" operator="greaterThanOrEqual">
      <formula>0.5</formula>
    </cfRule>
  </conditionalFormatting>
  <conditionalFormatting sqref="J21">
    <cfRule type="cellIs" dxfId="20409" priority="137997" stopIfTrue="1" operator="equal">
      <formula>-1</formula>
    </cfRule>
  </conditionalFormatting>
  <conditionalFormatting sqref="J21">
    <cfRule type="cellIs" dxfId="20408" priority="137998" stopIfTrue="1" operator="lessThan">
      <formula>0.5</formula>
    </cfRule>
  </conditionalFormatting>
  <conditionalFormatting sqref="J21">
    <cfRule type="cellIs" dxfId="20407" priority="137999" stopIfTrue="1" operator="greaterThanOrEqual">
      <formula>0.5</formula>
    </cfRule>
  </conditionalFormatting>
  <conditionalFormatting sqref="J22">
    <cfRule type="cellIs" dxfId="20406" priority="138000" stopIfTrue="1" operator="equal">
      <formula>-1</formula>
    </cfRule>
  </conditionalFormatting>
  <conditionalFormatting sqref="J22">
    <cfRule type="cellIs" dxfId="20405" priority="138001" stopIfTrue="1" operator="lessThan">
      <formula>0.5</formula>
    </cfRule>
  </conditionalFormatting>
  <conditionalFormatting sqref="J22">
    <cfRule type="cellIs" dxfId="20404" priority="138002" stopIfTrue="1" operator="greaterThanOrEqual">
      <formula>0.5</formula>
    </cfRule>
  </conditionalFormatting>
  <conditionalFormatting sqref="J23">
    <cfRule type="cellIs" dxfId="20403" priority="138003" stopIfTrue="1" operator="equal">
      <formula>-1</formula>
    </cfRule>
  </conditionalFormatting>
  <conditionalFormatting sqref="J23">
    <cfRule type="cellIs" dxfId="20402" priority="138004" stopIfTrue="1" operator="lessThan">
      <formula>0.5</formula>
    </cfRule>
  </conditionalFormatting>
  <conditionalFormatting sqref="J23">
    <cfRule type="cellIs" dxfId="20401" priority="138005" stopIfTrue="1" operator="greaterThanOrEqual">
      <formula>0.5</formula>
    </cfRule>
  </conditionalFormatting>
  <conditionalFormatting sqref="J24">
    <cfRule type="cellIs" dxfId="20400" priority="138006" stopIfTrue="1" operator="equal">
      <formula>-1</formula>
    </cfRule>
  </conditionalFormatting>
  <conditionalFormatting sqref="J24">
    <cfRule type="cellIs" dxfId="20399" priority="138007" stopIfTrue="1" operator="lessThan">
      <formula>0.5</formula>
    </cfRule>
  </conditionalFormatting>
  <conditionalFormatting sqref="J24">
    <cfRule type="cellIs" dxfId="20398" priority="138008" stopIfTrue="1" operator="greaterThanOrEqual">
      <formula>0.5</formula>
    </cfRule>
  </conditionalFormatting>
  <conditionalFormatting sqref="J25">
    <cfRule type="cellIs" dxfId="20397" priority="138009" stopIfTrue="1" operator="equal">
      <formula>-1</formula>
    </cfRule>
  </conditionalFormatting>
  <conditionalFormatting sqref="J25">
    <cfRule type="cellIs" dxfId="20396" priority="138010" stopIfTrue="1" operator="lessThan">
      <formula>0.5</formula>
    </cfRule>
  </conditionalFormatting>
  <conditionalFormatting sqref="J25">
    <cfRule type="cellIs" dxfId="20395" priority="138011" stopIfTrue="1" operator="greaterThanOrEqual">
      <formula>0.5</formula>
    </cfRule>
  </conditionalFormatting>
  <conditionalFormatting sqref="J26">
    <cfRule type="cellIs" dxfId="20394" priority="138012" stopIfTrue="1" operator="equal">
      <formula>-1</formula>
    </cfRule>
  </conditionalFormatting>
  <conditionalFormatting sqref="J26">
    <cfRule type="cellIs" dxfId="20393" priority="138013" stopIfTrue="1" operator="lessThan">
      <formula>0.5</formula>
    </cfRule>
  </conditionalFormatting>
  <conditionalFormatting sqref="J26">
    <cfRule type="cellIs" dxfId="20392" priority="138014" stopIfTrue="1" operator="greaterThanOrEqual">
      <formula>0.5</formula>
    </cfRule>
  </conditionalFormatting>
  <conditionalFormatting sqref="J27">
    <cfRule type="cellIs" dxfId="20391" priority="138015" stopIfTrue="1" operator="equal">
      <formula>-1</formula>
    </cfRule>
  </conditionalFormatting>
  <conditionalFormatting sqref="J27">
    <cfRule type="cellIs" dxfId="20390" priority="138016" stopIfTrue="1" operator="lessThan">
      <formula>0.5</formula>
    </cfRule>
  </conditionalFormatting>
  <conditionalFormatting sqref="J27">
    <cfRule type="cellIs" dxfId="20389" priority="138017" stopIfTrue="1" operator="greaterThanOrEqual">
      <formula>0.5</formula>
    </cfRule>
  </conditionalFormatting>
  <conditionalFormatting sqref="J28">
    <cfRule type="cellIs" dxfId="20388" priority="138018" stopIfTrue="1" operator="equal">
      <formula>-1</formula>
    </cfRule>
  </conditionalFormatting>
  <conditionalFormatting sqref="J28">
    <cfRule type="cellIs" dxfId="20387" priority="138019" stopIfTrue="1" operator="lessThan">
      <formula>0.5</formula>
    </cfRule>
  </conditionalFormatting>
  <conditionalFormatting sqref="J28">
    <cfRule type="cellIs" dxfId="20386" priority="138020" stopIfTrue="1" operator="greaterThanOrEqual">
      <formula>0.5</formula>
    </cfRule>
  </conditionalFormatting>
  <conditionalFormatting sqref="J29">
    <cfRule type="cellIs" dxfId="20385" priority="138021" stopIfTrue="1" operator="equal">
      <formula>-1</formula>
    </cfRule>
  </conditionalFormatting>
  <conditionalFormatting sqref="J29">
    <cfRule type="cellIs" dxfId="20384" priority="138022" stopIfTrue="1" operator="lessThan">
      <formula>0.5</formula>
    </cfRule>
  </conditionalFormatting>
  <conditionalFormatting sqref="J29">
    <cfRule type="cellIs" dxfId="20383" priority="138023" stopIfTrue="1" operator="greaterThanOrEqual">
      <formula>0.5</formula>
    </cfRule>
  </conditionalFormatting>
  <conditionalFormatting sqref="J30">
    <cfRule type="cellIs" dxfId="20382" priority="138024" stopIfTrue="1" operator="equal">
      <formula>-1</formula>
    </cfRule>
  </conditionalFormatting>
  <conditionalFormatting sqref="J30">
    <cfRule type="cellIs" dxfId="20381" priority="138025" stopIfTrue="1" operator="lessThan">
      <formula>0.5</formula>
    </cfRule>
  </conditionalFormatting>
  <conditionalFormatting sqref="J30">
    <cfRule type="cellIs" dxfId="20380" priority="138026" stopIfTrue="1" operator="greaterThanOrEqual">
      <formula>0.5</formula>
    </cfRule>
  </conditionalFormatting>
  <conditionalFormatting sqref="J31">
    <cfRule type="cellIs" dxfId="20379" priority="138027" stopIfTrue="1" operator="equal">
      <formula>-1</formula>
    </cfRule>
  </conditionalFormatting>
  <conditionalFormatting sqref="J31">
    <cfRule type="cellIs" dxfId="20378" priority="138028" stopIfTrue="1" operator="lessThan">
      <formula>0.5</formula>
    </cfRule>
  </conditionalFormatting>
  <conditionalFormatting sqref="J31">
    <cfRule type="cellIs" dxfId="20377" priority="138029" stopIfTrue="1" operator="greaterThanOrEqual">
      <formula>0.5</formula>
    </cfRule>
  </conditionalFormatting>
  <conditionalFormatting sqref="J32">
    <cfRule type="cellIs" dxfId="20376" priority="138030" stopIfTrue="1" operator="equal">
      <formula>-1</formula>
    </cfRule>
  </conditionalFormatting>
  <conditionalFormatting sqref="J32">
    <cfRule type="cellIs" dxfId="20375" priority="138031" stopIfTrue="1" operator="lessThan">
      <formula>0.5</formula>
    </cfRule>
  </conditionalFormatting>
  <conditionalFormatting sqref="J32">
    <cfRule type="cellIs" dxfId="20374" priority="138032" stopIfTrue="1" operator="greaterThanOrEqual">
      <formula>0.5</formula>
    </cfRule>
  </conditionalFormatting>
  <conditionalFormatting sqref="J33">
    <cfRule type="cellIs" dxfId="20373" priority="138033" stopIfTrue="1" operator="equal">
      <formula>-1</formula>
    </cfRule>
  </conditionalFormatting>
  <conditionalFormatting sqref="J33">
    <cfRule type="cellIs" dxfId="20372" priority="138034" stopIfTrue="1" operator="lessThan">
      <formula>0.5</formula>
    </cfRule>
  </conditionalFormatting>
  <conditionalFormatting sqref="J33">
    <cfRule type="cellIs" dxfId="20371" priority="138035" stopIfTrue="1" operator="greaterThanOrEqual">
      <formula>0.5</formula>
    </cfRule>
  </conditionalFormatting>
  <conditionalFormatting sqref="J34">
    <cfRule type="cellIs" dxfId="20370" priority="138036" stopIfTrue="1" operator="equal">
      <formula>-1</formula>
    </cfRule>
  </conditionalFormatting>
  <conditionalFormatting sqref="J34">
    <cfRule type="cellIs" dxfId="20369" priority="138037" stopIfTrue="1" operator="lessThan">
      <formula>0.5</formula>
    </cfRule>
  </conditionalFormatting>
  <conditionalFormatting sqref="J34">
    <cfRule type="cellIs" dxfId="20368" priority="138038" stopIfTrue="1" operator="greaterThanOrEqual">
      <formula>0.5</formula>
    </cfRule>
  </conditionalFormatting>
  <conditionalFormatting sqref="J35">
    <cfRule type="cellIs" dxfId="20367" priority="138039" stopIfTrue="1" operator="equal">
      <formula>-1</formula>
    </cfRule>
  </conditionalFormatting>
  <conditionalFormatting sqref="J35">
    <cfRule type="cellIs" dxfId="20366" priority="138040" stopIfTrue="1" operator="lessThan">
      <formula>0.5</formula>
    </cfRule>
  </conditionalFormatting>
  <conditionalFormatting sqref="J35">
    <cfRule type="cellIs" dxfId="20365" priority="138041" stopIfTrue="1" operator="greaterThanOrEqual">
      <formula>0.5</formula>
    </cfRule>
  </conditionalFormatting>
  <conditionalFormatting sqref="J36">
    <cfRule type="cellIs" dxfId="20364" priority="138042" stopIfTrue="1" operator="equal">
      <formula>-1</formula>
    </cfRule>
  </conditionalFormatting>
  <conditionalFormatting sqref="J36">
    <cfRule type="cellIs" dxfId="20363" priority="138043" stopIfTrue="1" operator="lessThan">
      <formula>0.5</formula>
    </cfRule>
  </conditionalFormatting>
  <conditionalFormatting sqref="J36">
    <cfRule type="cellIs" dxfId="20362" priority="138044" stopIfTrue="1" operator="greaterThanOrEqual">
      <formula>0.5</formula>
    </cfRule>
  </conditionalFormatting>
  <conditionalFormatting sqref="J37">
    <cfRule type="cellIs" dxfId="20361" priority="138045" stopIfTrue="1" operator="equal">
      <formula>-1</formula>
    </cfRule>
  </conditionalFormatting>
  <conditionalFormatting sqref="J37">
    <cfRule type="cellIs" dxfId="20360" priority="138046" stopIfTrue="1" operator="lessThan">
      <formula>0.5</formula>
    </cfRule>
  </conditionalFormatting>
  <conditionalFormatting sqref="J37">
    <cfRule type="cellIs" dxfId="20359" priority="138047" stopIfTrue="1" operator="greaterThanOrEqual">
      <formula>0.5</formula>
    </cfRule>
  </conditionalFormatting>
  <conditionalFormatting sqref="L17">
    <cfRule type="cellIs" dxfId="20358" priority="138048" stopIfTrue="1" operator="equal">
      <formula>-1</formula>
    </cfRule>
  </conditionalFormatting>
  <conditionalFormatting sqref="L17">
    <cfRule type="cellIs" dxfId="20357" priority="138049" stopIfTrue="1" operator="lessThan">
      <formula>0.5</formula>
    </cfRule>
  </conditionalFormatting>
  <conditionalFormatting sqref="L17">
    <cfRule type="cellIs" dxfId="20356" priority="138050" stopIfTrue="1" operator="greaterThanOrEqual">
      <formula>0.5</formula>
    </cfRule>
  </conditionalFormatting>
  <conditionalFormatting sqref="L18">
    <cfRule type="cellIs" dxfId="20355" priority="138051" stopIfTrue="1" operator="equal">
      <formula>-1</formula>
    </cfRule>
  </conditionalFormatting>
  <conditionalFormatting sqref="L18">
    <cfRule type="cellIs" dxfId="20354" priority="138052" stopIfTrue="1" operator="lessThan">
      <formula>0.5</formula>
    </cfRule>
  </conditionalFormatting>
  <conditionalFormatting sqref="L18">
    <cfRule type="cellIs" dxfId="20353" priority="138053" stopIfTrue="1" operator="greaterThanOrEqual">
      <formula>0.5</formula>
    </cfRule>
  </conditionalFormatting>
  <conditionalFormatting sqref="L19">
    <cfRule type="cellIs" dxfId="20352" priority="138054" stopIfTrue="1" operator="equal">
      <formula>-1</formula>
    </cfRule>
  </conditionalFormatting>
  <conditionalFormatting sqref="L19">
    <cfRule type="cellIs" dxfId="20351" priority="138055" stopIfTrue="1" operator="lessThan">
      <formula>0.5</formula>
    </cfRule>
  </conditionalFormatting>
  <conditionalFormatting sqref="L19">
    <cfRule type="cellIs" dxfId="20350" priority="138056" stopIfTrue="1" operator="greaterThanOrEqual">
      <formula>0.5</formula>
    </cfRule>
  </conditionalFormatting>
  <conditionalFormatting sqref="L20">
    <cfRule type="cellIs" dxfId="20349" priority="138057" stopIfTrue="1" operator="equal">
      <formula>-1</formula>
    </cfRule>
  </conditionalFormatting>
  <conditionalFormatting sqref="L20">
    <cfRule type="cellIs" dxfId="20348" priority="138058" stopIfTrue="1" operator="lessThan">
      <formula>0.5</formula>
    </cfRule>
  </conditionalFormatting>
  <conditionalFormatting sqref="L20">
    <cfRule type="cellIs" dxfId="20347" priority="138059" stopIfTrue="1" operator="greaterThanOrEqual">
      <formula>0.5</formula>
    </cfRule>
  </conditionalFormatting>
  <conditionalFormatting sqref="L21">
    <cfRule type="cellIs" dxfId="20346" priority="138060" stopIfTrue="1" operator="equal">
      <formula>-1</formula>
    </cfRule>
  </conditionalFormatting>
  <conditionalFormatting sqref="L21">
    <cfRule type="cellIs" dxfId="20345" priority="138061" stopIfTrue="1" operator="lessThan">
      <formula>0.5</formula>
    </cfRule>
  </conditionalFormatting>
  <conditionalFormatting sqref="L21">
    <cfRule type="cellIs" dxfId="20344" priority="138062" stopIfTrue="1" operator="greaterThanOrEqual">
      <formula>0.5</formula>
    </cfRule>
  </conditionalFormatting>
  <conditionalFormatting sqref="L22">
    <cfRule type="cellIs" dxfId="20343" priority="138063" stopIfTrue="1" operator="equal">
      <formula>-1</formula>
    </cfRule>
  </conditionalFormatting>
  <conditionalFormatting sqref="L22">
    <cfRule type="cellIs" dxfId="20342" priority="138064" stopIfTrue="1" operator="lessThan">
      <formula>0.5</formula>
    </cfRule>
  </conditionalFormatting>
  <conditionalFormatting sqref="L22">
    <cfRule type="cellIs" dxfId="20341" priority="138065" stopIfTrue="1" operator="greaterThanOrEqual">
      <formula>0.5</formula>
    </cfRule>
  </conditionalFormatting>
  <conditionalFormatting sqref="L23">
    <cfRule type="cellIs" dxfId="20340" priority="138066" stopIfTrue="1" operator="equal">
      <formula>-1</formula>
    </cfRule>
  </conditionalFormatting>
  <conditionalFormatting sqref="L23">
    <cfRule type="cellIs" dxfId="20339" priority="138067" stopIfTrue="1" operator="lessThan">
      <formula>0.5</formula>
    </cfRule>
  </conditionalFormatting>
  <conditionalFormatting sqref="L23">
    <cfRule type="cellIs" dxfId="20338" priority="138068" stopIfTrue="1" operator="greaterThanOrEqual">
      <formula>0.5</formula>
    </cfRule>
  </conditionalFormatting>
  <conditionalFormatting sqref="L24">
    <cfRule type="cellIs" dxfId="20337" priority="138069" stopIfTrue="1" operator="equal">
      <formula>-1</formula>
    </cfRule>
  </conditionalFormatting>
  <conditionalFormatting sqref="L24">
    <cfRule type="cellIs" dxfId="20336" priority="138070" stopIfTrue="1" operator="lessThan">
      <formula>0.5</formula>
    </cfRule>
  </conditionalFormatting>
  <conditionalFormatting sqref="L24">
    <cfRule type="cellIs" dxfId="20335" priority="138071" stopIfTrue="1" operator="greaterThanOrEqual">
      <formula>0.5</formula>
    </cfRule>
  </conditionalFormatting>
  <conditionalFormatting sqref="L25">
    <cfRule type="cellIs" dxfId="20334" priority="138072" stopIfTrue="1" operator="equal">
      <formula>-1</formula>
    </cfRule>
  </conditionalFormatting>
  <conditionalFormatting sqref="L25">
    <cfRule type="cellIs" dxfId="20333" priority="138073" stopIfTrue="1" operator="lessThan">
      <formula>0.5</formula>
    </cfRule>
  </conditionalFormatting>
  <conditionalFormatting sqref="L25">
    <cfRule type="cellIs" dxfId="20332" priority="138074" stopIfTrue="1" operator="greaterThanOrEqual">
      <formula>0.5</formula>
    </cfRule>
  </conditionalFormatting>
  <conditionalFormatting sqref="L26">
    <cfRule type="cellIs" dxfId="20331" priority="138075" stopIfTrue="1" operator="equal">
      <formula>-1</formula>
    </cfRule>
  </conditionalFormatting>
  <conditionalFormatting sqref="L26">
    <cfRule type="cellIs" dxfId="20330" priority="138076" stopIfTrue="1" operator="lessThan">
      <formula>0.5</formula>
    </cfRule>
  </conditionalFormatting>
  <conditionalFormatting sqref="L26">
    <cfRule type="cellIs" dxfId="20329" priority="138077" stopIfTrue="1" operator="greaterThanOrEqual">
      <formula>0.5</formula>
    </cfRule>
  </conditionalFormatting>
  <conditionalFormatting sqref="L27">
    <cfRule type="cellIs" dxfId="20328" priority="138078" stopIfTrue="1" operator="equal">
      <formula>-1</formula>
    </cfRule>
  </conditionalFormatting>
  <conditionalFormatting sqref="L27">
    <cfRule type="cellIs" dxfId="20327" priority="138079" stopIfTrue="1" operator="lessThan">
      <formula>0.5</formula>
    </cfRule>
  </conditionalFormatting>
  <conditionalFormatting sqref="L27">
    <cfRule type="cellIs" dxfId="20326" priority="138080" stopIfTrue="1" operator="greaterThanOrEqual">
      <formula>0.5</formula>
    </cfRule>
  </conditionalFormatting>
  <conditionalFormatting sqref="L28">
    <cfRule type="cellIs" dxfId="20325" priority="138081" stopIfTrue="1" operator="equal">
      <formula>-1</formula>
    </cfRule>
  </conditionalFormatting>
  <conditionalFormatting sqref="L28">
    <cfRule type="cellIs" dxfId="20324" priority="138082" stopIfTrue="1" operator="lessThan">
      <formula>0.5</formula>
    </cfRule>
  </conditionalFormatting>
  <conditionalFormatting sqref="L28">
    <cfRule type="cellIs" dxfId="20323" priority="138083" stopIfTrue="1" operator="greaterThanOrEqual">
      <formula>0.5</formula>
    </cfRule>
  </conditionalFormatting>
  <conditionalFormatting sqref="L29">
    <cfRule type="cellIs" dxfId="20322" priority="138084" stopIfTrue="1" operator="equal">
      <formula>-1</formula>
    </cfRule>
  </conditionalFormatting>
  <conditionalFormatting sqref="L29">
    <cfRule type="cellIs" dxfId="20321" priority="138085" stopIfTrue="1" operator="lessThan">
      <formula>0.5</formula>
    </cfRule>
  </conditionalFormatting>
  <conditionalFormatting sqref="L29">
    <cfRule type="cellIs" dxfId="20320" priority="138086" stopIfTrue="1" operator="greaterThanOrEqual">
      <formula>0.5</formula>
    </cfRule>
  </conditionalFormatting>
  <conditionalFormatting sqref="L30">
    <cfRule type="cellIs" dxfId="20319" priority="138087" stopIfTrue="1" operator="equal">
      <formula>-1</formula>
    </cfRule>
  </conditionalFormatting>
  <conditionalFormatting sqref="L30">
    <cfRule type="cellIs" dxfId="20318" priority="138088" stopIfTrue="1" operator="lessThan">
      <formula>0.5</formula>
    </cfRule>
  </conditionalFormatting>
  <conditionalFormatting sqref="L30">
    <cfRule type="cellIs" dxfId="20317" priority="138089" stopIfTrue="1" operator="greaterThanOrEqual">
      <formula>0.5</formula>
    </cfRule>
  </conditionalFormatting>
  <conditionalFormatting sqref="L31">
    <cfRule type="cellIs" dxfId="20316" priority="138090" stopIfTrue="1" operator="equal">
      <formula>-1</formula>
    </cfRule>
  </conditionalFormatting>
  <conditionalFormatting sqref="L31">
    <cfRule type="cellIs" dxfId="20315" priority="138091" stopIfTrue="1" operator="lessThan">
      <formula>0.5</formula>
    </cfRule>
  </conditionalFormatting>
  <conditionalFormatting sqref="L31">
    <cfRule type="cellIs" dxfId="20314" priority="138092" stopIfTrue="1" operator="greaterThanOrEqual">
      <formula>0.5</formula>
    </cfRule>
  </conditionalFormatting>
  <conditionalFormatting sqref="L32">
    <cfRule type="cellIs" dxfId="20313" priority="138093" stopIfTrue="1" operator="equal">
      <formula>-1</formula>
    </cfRule>
  </conditionalFormatting>
  <conditionalFormatting sqref="L32">
    <cfRule type="cellIs" dxfId="20312" priority="138094" stopIfTrue="1" operator="lessThan">
      <formula>0.5</formula>
    </cfRule>
  </conditionalFormatting>
  <conditionalFormatting sqref="L32">
    <cfRule type="cellIs" dxfId="20311" priority="138095" stopIfTrue="1" operator="greaterThanOrEqual">
      <formula>0.5</formula>
    </cfRule>
  </conditionalFormatting>
  <conditionalFormatting sqref="L33">
    <cfRule type="cellIs" dxfId="20310" priority="138096" stopIfTrue="1" operator="equal">
      <formula>-1</formula>
    </cfRule>
  </conditionalFormatting>
  <conditionalFormatting sqref="L33">
    <cfRule type="cellIs" dxfId="20309" priority="138097" stopIfTrue="1" operator="lessThan">
      <formula>0.5</formula>
    </cfRule>
  </conditionalFormatting>
  <conditionalFormatting sqref="L33">
    <cfRule type="cellIs" dxfId="20308" priority="138098" stopIfTrue="1" operator="greaterThanOrEqual">
      <formula>0.5</formula>
    </cfRule>
  </conditionalFormatting>
  <conditionalFormatting sqref="L34">
    <cfRule type="cellIs" dxfId="20307" priority="138099" stopIfTrue="1" operator="equal">
      <formula>-1</formula>
    </cfRule>
  </conditionalFormatting>
  <conditionalFormatting sqref="L34">
    <cfRule type="cellIs" dxfId="20306" priority="138100" stopIfTrue="1" operator="lessThan">
      <formula>0.5</formula>
    </cfRule>
  </conditionalFormatting>
  <conditionalFormatting sqref="L34">
    <cfRule type="cellIs" dxfId="20305" priority="138101" stopIfTrue="1" operator="greaterThanOrEqual">
      <formula>0.5</formula>
    </cfRule>
  </conditionalFormatting>
  <conditionalFormatting sqref="L35">
    <cfRule type="cellIs" dxfId="20304" priority="138102" stopIfTrue="1" operator="equal">
      <formula>-1</formula>
    </cfRule>
  </conditionalFormatting>
  <conditionalFormatting sqref="L35">
    <cfRule type="cellIs" dxfId="20303" priority="138103" stopIfTrue="1" operator="lessThan">
      <formula>0.5</formula>
    </cfRule>
  </conditionalFormatting>
  <conditionalFormatting sqref="L35">
    <cfRule type="cellIs" dxfId="20302" priority="138104" stopIfTrue="1" operator="greaterThanOrEqual">
      <formula>0.5</formula>
    </cfRule>
  </conditionalFormatting>
  <conditionalFormatting sqref="L36">
    <cfRule type="cellIs" dxfId="20301" priority="138105" stopIfTrue="1" operator="equal">
      <formula>-1</formula>
    </cfRule>
  </conditionalFormatting>
  <conditionalFormatting sqref="L36">
    <cfRule type="cellIs" dxfId="20300" priority="138106" stopIfTrue="1" operator="lessThan">
      <formula>0.5</formula>
    </cfRule>
  </conditionalFormatting>
  <conditionalFormatting sqref="L36">
    <cfRule type="cellIs" dxfId="20299" priority="138107" stopIfTrue="1" operator="greaterThanOrEqual">
      <formula>0.5</formula>
    </cfRule>
  </conditionalFormatting>
  <conditionalFormatting sqref="L37">
    <cfRule type="cellIs" dxfId="20298" priority="138108" stopIfTrue="1" operator="equal">
      <formula>-1</formula>
    </cfRule>
  </conditionalFormatting>
  <conditionalFormatting sqref="L37">
    <cfRule type="cellIs" dxfId="20297" priority="138109" stopIfTrue="1" operator="lessThan">
      <formula>0.5</formula>
    </cfRule>
  </conditionalFormatting>
  <conditionalFormatting sqref="L37">
    <cfRule type="cellIs" dxfId="20296" priority="138110" stopIfTrue="1" operator="greaterThanOrEqual">
      <formula>0.5</formula>
    </cfRule>
  </conditionalFormatting>
  <conditionalFormatting sqref="N17">
    <cfRule type="cellIs" dxfId="20295" priority="138111" stopIfTrue="1" operator="equal">
      <formula>-1</formula>
    </cfRule>
  </conditionalFormatting>
  <conditionalFormatting sqref="N17">
    <cfRule type="cellIs" dxfId="20294" priority="138112" stopIfTrue="1" operator="lessThan">
      <formula>0.5</formula>
    </cfRule>
  </conditionalFormatting>
  <conditionalFormatting sqref="N17">
    <cfRule type="cellIs" dxfId="20293" priority="138113" stopIfTrue="1" operator="greaterThanOrEqual">
      <formula>0.5</formula>
    </cfRule>
  </conditionalFormatting>
  <conditionalFormatting sqref="N18">
    <cfRule type="cellIs" dxfId="20292" priority="138114" stopIfTrue="1" operator="equal">
      <formula>-1</formula>
    </cfRule>
  </conditionalFormatting>
  <conditionalFormatting sqref="N18">
    <cfRule type="cellIs" dxfId="20291" priority="138115" stopIfTrue="1" operator="lessThan">
      <formula>0.5</formula>
    </cfRule>
  </conditionalFormatting>
  <conditionalFormatting sqref="N18">
    <cfRule type="cellIs" dxfId="20290" priority="138116" stopIfTrue="1" operator="greaterThanOrEqual">
      <formula>0.5</formula>
    </cfRule>
  </conditionalFormatting>
  <conditionalFormatting sqref="N19">
    <cfRule type="cellIs" dxfId="20289" priority="138117" stopIfTrue="1" operator="equal">
      <formula>-1</formula>
    </cfRule>
  </conditionalFormatting>
  <conditionalFormatting sqref="N19">
    <cfRule type="cellIs" dxfId="20288" priority="138118" stopIfTrue="1" operator="lessThan">
      <formula>0.5</formula>
    </cfRule>
  </conditionalFormatting>
  <conditionalFormatting sqref="N19">
    <cfRule type="cellIs" dxfId="20287" priority="138119" stopIfTrue="1" operator="greaterThanOrEqual">
      <formula>0.5</formula>
    </cfRule>
  </conditionalFormatting>
  <conditionalFormatting sqref="N20">
    <cfRule type="cellIs" dxfId="20286" priority="138120" stopIfTrue="1" operator="equal">
      <formula>-1</formula>
    </cfRule>
  </conditionalFormatting>
  <conditionalFormatting sqref="N20">
    <cfRule type="cellIs" dxfId="20285" priority="138121" stopIfTrue="1" operator="lessThan">
      <formula>0.5</formula>
    </cfRule>
  </conditionalFormatting>
  <conditionalFormatting sqref="N20">
    <cfRule type="cellIs" dxfId="20284" priority="138122" stopIfTrue="1" operator="greaterThanOrEqual">
      <formula>0.5</formula>
    </cfRule>
  </conditionalFormatting>
  <conditionalFormatting sqref="N21">
    <cfRule type="cellIs" dxfId="20283" priority="138123" stopIfTrue="1" operator="equal">
      <formula>-1</formula>
    </cfRule>
  </conditionalFormatting>
  <conditionalFormatting sqref="N21">
    <cfRule type="cellIs" dxfId="20282" priority="138124" stopIfTrue="1" operator="lessThan">
      <formula>0.5</formula>
    </cfRule>
  </conditionalFormatting>
  <conditionalFormatting sqref="N21">
    <cfRule type="cellIs" dxfId="20281" priority="138125" stopIfTrue="1" operator="greaterThanOrEqual">
      <formula>0.5</formula>
    </cfRule>
  </conditionalFormatting>
  <conditionalFormatting sqref="N22">
    <cfRule type="cellIs" dxfId="20280" priority="138126" stopIfTrue="1" operator="equal">
      <formula>-1</formula>
    </cfRule>
  </conditionalFormatting>
  <conditionalFormatting sqref="N22">
    <cfRule type="cellIs" dxfId="20279" priority="138127" stopIfTrue="1" operator="lessThan">
      <formula>0.5</formula>
    </cfRule>
  </conditionalFormatting>
  <conditionalFormatting sqref="N22">
    <cfRule type="cellIs" dxfId="20278" priority="138128" stopIfTrue="1" operator="greaterThanOrEqual">
      <formula>0.5</formula>
    </cfRule>
  </conditionalFormatting>
  <conditionalFormatting sqref="N23">
    <cfRule type="cellIs" dxfId="20277" priority="138129" stopIfTrue="1" operator="equal">
      <formula>-1</formula>
    </cfRule>
  </conditionalFormatting>
  <conditionalFormatting sqref="N23">
    <cfRule type="cellIs" dxfId="20276" priority="138130" stopIfTrue="1" operator="lessThan">
      <formula>0.5</formula>
    </cfRule>
  </conditionalFormatting>
  <conditionalFormatting sqref="N23">
    <cfRule type="cellIs" dxfId="20275" priority="138131" stopIfTrue="1" operator="greaterThanOrEqual">
      <formula>0.5</formula>
    </cfRule>
  </conditionalFormatting>
  <conditionalFormatting sqref="N24">
    <cfRule type="cellIs" dxfId="20274" priority="138132" stopIfTrue="1" operator="equal">
      <formula>-1</formula>
    </cfRule>
  </conditionalFormatting>
  <conditionalFormatting sqref="N24">
    <cfRule type="cellIs" dxfId="20273" priority="138133" stopIfTrue="1" operator="lessThan">
      <formula>0.5</formula>
    </cfRule>
  </conditionalFormatting>
  <conditionalFormatting sqref="N24">
    <cfRule type="cellIs" dxfId="20272" priority="138134" stopIfTrue="1" operator="greaterThanOrEqual">
      <formula>0.5</formula>
    </cfRule>
  </conditionalFormatting>
  <conditionalFormatting sqref="N25">
    <cfRule type="cellIs" dxfId="20271" priority="138135" stopIfTrue="1" operator="equal">
      <formula>-1</formula>
    </cfRule>
  </conditionalFormatting>
  <conditionalFormatting sqref="N25">
    <cfRule type="cellIs" dxfId="20270" priority="138136" stopIfTrue="1" operator="lessThan">
      <formula>0.5</formula>
    </cfRule>
  </conditionalFormatting>
  <conditionalFormatting sqref="N25">
    <cfRule type="cellIs" dxfId="20269" priority="138137" stopIfTrue="1" operator="greaterThanOrEqual">
      <formula>0.5</formula>
    </cfRule>
  </conditionalFormatting>
  <conditionalFormatting sqref="N26">
    <cfRule type="cellIs" dxfId="20268" priority="138138" stopIfTrue="1" operator="equal">
      <formula>-1</formula>
    </cfRule>
  </conditionalFormatting>
  <conditionalFormatting sqref="N26">
    <cfRule type="cellIs" dxfId="20267" priority="138139" stopIfTrue="1" operator="lessThan">
      <formula>0.5</formula>
    </cfRule>
  </conditionalFormatting>
  <conditionalFormatting sqref="N26">
    <cfRule type="cellIs" dxfId="20266" priority="138140" stopIfTrue="1" operator="greaterThanOrEqual">
      <formula>0.5</formula>
    </cfRule>
  </conditionalFormatting>
  <conditionalFormatting sqref="N27">
    <cfRule type="cellIs" dxfId="20265" priority="138141" stopIfTrue="1" operator="equal">
      <formula>-1</formula>
    </cfRule>
  </conditionalFormatting>
  <conditionalFormatting sqref="N27">
    <cfRule type="cellIs" dxfId="20264" priority="138142" stopIfTrue="1" operator="lessThan">
      <formula>0.5</formula>
    </cfRule>
  </conditionalFormatting>
  <conditionalFormatting sqref="N27">
    <cfRule type="cellIs" dxfId="20263" priority="138143" stopIfTrue="1" operator="greaterThanOrEqual">
      <formula>0.5</formula>
    </cfRule>
  </conditionalFormatting>
  <conditionalFormatting sqref="N28">
    <cfRule type="cellIs" dxfId="20262" priority="138144" stopIfTrue="1" operator="equal">
      <formula>-1</formula>
    </cfRule>
  </conditionalFormatting>
  <conditionalFormatting sqref="N28">
    <cfRule type="cellIs" dxfId="20261" priority="138145" stopIfTrue="1" operator="lessThan">
      <formula>0.5</formula>
    </cfRule>
  </conditionalFormatting>
  <conditionalFormatting sqref="N28">
    <cfRule type="cellIs" dxfId="20260" priority="138146" stopIfTrue="1" operator="greaterThanOrEqual">
      <formula>0.5</formula>
    </cfRule>
  </conditionalFormatting>
  <conditionalFormatting sqref="N29">
    <cfRule type="cellIs" dxfId="20259" priority="138147" stopIfTrue="1" operator="equal">
      <formula>-1</formula>
    </cfRule>
  </conditionalFormatting>
  <conditionalFormatting sqref="N29">
    <cfRule type="cellIs" dxfId="20258" priority="138148" stopIfTrue="1" operator="lessThan">
      <formula>0.5</formula>
    </cfRule>
  </conditionalFormatting>
  <conditionalFormatting sqref="N29">
    <cfRule type="cellIs" dxfId="20257" priority="138149" stopIfTrue="1" operator="greaterThanOrEqual">
      <formula>0.5</formula>
    </cfRule>
  </conditionalFormatting>
  <conditionalFormatting sqref="N30">
    <cfRule type="cellIs" dxfId="20256" priority="138150" stopIfTrue="1" operator="equal">
      <formula>-1</formula>
    </cfRule>
  </conditionalFormatting>
  <conditionalFormatting sqref="N30">
    <cfRule type="cellIs" dxfId="20255" priority="138151" stopIfTrue="1" operator="lessThan">
      <formula>0.5</formula>
    </cfRule>
  </conditionalFormatting>
  <conditionalFormatting sqref="N30">
    <cfRule type="cellIs" dxfId="20254" priority="138152" stopIfTrue="1" operator="greaterThanOrEqual">
      <formula>0.5</formula>
    </cfRule>
  </conditionalFormatting>
  <conditionalFormatting sqref="N31">
    <cfRule type="cellIs" dxfId="20253" priority="138153" stopIfTrue="1" operator="equal">
      <formula>-1</formula>
    </cfRule>
  </conditionalFormatting>
  <conditionalFormatting sqref="N31">
    <cfRule type="cellIs" dxfId="20252" priority="138154" stopIfTrue="1" operator="lessThan">
      <formula>0.5</formula>
    </cfRule>
  </conditionalFormatting>
  <conditionalFormatting sqref="N31">
    <cfRule type="cellIs" dxfId="20251" priority="138155" stopIfTrue="1" operator="greaterThanOrEqual">
      <formula>0.5</formula>
    </cfRule>
  </conditionalFormatting>
  <conditionalFormatting sqref="N32">
    <cfRule type="cellIs" dxfId="20250" priority="138156" stopIfTrue="1" operator="equal">
      <formula>-1</formula>
    </cfRule>
  </conditionalFormatting>
  <conditionalFormatting sqref="N32">
    <cfRule type="cellIs" dxfId="20249" priority="138157" stopIfTrue="1" operator="lessThan">
      <formula>0.5</formula>
    </cfRule>
  </conditionalFormatting>
  <conditionalFormatting sqref="N32">
    <cfRule type="cellIs" dxfId="20248" priority="138158" stopIfTrue="1" operator="greaterThanOrEqual">
      <formula>0.5</formula>
    </cfRule>
  </conditionalFormatting>
  <conditionalFormatting sqref="N33">
    <cfRule type="cellIs" dxfId="20247" priority="138159" stopIfTrue="1" operator="equal">
      <formula>-1</formula>
    </cfRule>
  </conditionalFormatting>
  <conditionalFormatting sqref="N33">
    <cfRule type="cellIs" dxfId="20246" priority="138160" stopIfTrue="1" operator="lessThan">
      <formula>0.5</formula>
    </cfRule>
  </conditionalFormatting>
  <conditionalFormatting sqref="N33">
    <cfRule type="cellIs" dxfId="20245" priority="138161" stopIfTrue="1" operator="greaterThanOrEqual">
      <formula>0.5</formula>
    </cfRule>
  </conditionalFormatting>
  <conditionalFormatting sqref="N34">
    <cfRule type="cellIs" dxfId="20244" priority="138162" stopIfTrue="1" operator="equal">
      <formula>-1</formula>
    </cfRule>
  </conditionalFormatting>
  <conditionalFormatting sqref="N34">
    <cfRule type="cellIs" dxfId="20243" priority="138163" stopIfTrue="1" operator="lessThan">
      <formula>0.5</formula>
    </cfRule>
  </conditionalFormatting>
  <conditionalFormatting sqref="N34">
    <cfRule type="cellIs" dxfId="20242" priority="138164" stopIfTrue="1" operator="greaterThanOrEqual">
      <formula>0.5</formula>
    </cfRule>
  </conditionalFormatting>
  <conditionalFormatting sqref="N35">
    <cfRule type="cellIs" dxfId="20241" priority="138165" stopIfTrue="1" operator="equal">
      <formula>-1</formula>
    </cfRule>
  </conditionalFormatting>
  <conditionalFormatting sqref="N35">
    <cfRule type="cellIs" dxfId="20240" priority="138166" stopIfTrue="1" operator="lessThan">
      <formula>0.5</formula>
    </cfRule>
  </conditionalFormatting>
  <conditionalFormatting sqref="N35">
    <cfRule type="cellIs" dxfId="20239" priority="138167" stopIfTrue="1" operator="greaterThanOrEqual">
      <formula>0.5</formula>
    </cfRule>
  </conditionalFormatting>
  <conditionalFormatting sqref="N36">
    <cfRule type="cellIs" dxfId="20238" priority="138168" stopIfTrue="1" operator="equal">
      <formula>-1</formula>
    </cfRule>
  </conditionalFormatting>
  <conditionalFormatting sqref="N36">
    <cfRule type="cellIs" dxfId="20237" priority="138169" stopIfTrue="1" operator="lessThan">
      <formula>0.5</formula>
    </cfRule>
  </conditionalFormatting>
  <conditionalFormatting sqref="N36">
    <cfRule type="cellIs" dxfId="20236" priority="138170" stopIfTrue="1" operator="greaterThanOrEqual">
      <formula>0.5</formula>
    </cfRule>
  </conditionalFormatting>
  <conditionalFormatting sqref="N37">
    <cfRule type="cellIs" dxfId="20235" priority="138171" stopIfTrue="1" operator="equal">
      <formula>-1</formula>
    </cfRule>
  </conditionalFormatting>
  <conditionalFormatting sqref="N37">
    <cfRule type="cellIs" dxfId="20234" priority="138172" stopIfTrue="1" operator="lessThan">
      <formula>0.5</formula>
    </cfRule>
  </conditionalFormatting>
  <conditionalFormatting sqref="N37">
    <cfRule type="cellIs" dxfId="20233" priority="138173" stopIfTrue="1" operator="greaterThanOrEqual">
      <formula>0.5</formula>
    </cfRule>
  </conditionalFormatting>
  <conditionalFormatting sqref="P17">
    <cfRule type="cellIs" dxfId="20232" priority="138174" stopIfTrue="1" operator="equal">
      <formula>-1</formula>
    </cfRule>
  </conditionalFormatting>
  <conditionalFormatting sqref="P17">
    <cfRule type="cellIs" dxfId="20231" priority="138175" stopIfTrue="1" operator="lessThan">
      <formula>0.5</formula>
    </cfRule>
  </conditionalFormatting>
  <conditionalFormatting sqref="P17">
    <cfRule type="cellIs" dxfId="20230" priority="138176" stopIfTrue="1" operator="greaterThanOrEqual">
      <formula>0.5</formula>
    </cfRule>
  </conditionalFormatting>
  <conditionalFormatting sqref="P18">
    <cfRule type="cellIs" dxfId="20229" priority="138177" stopIfTrue="1" operator="equal">
      <formula>-1</formula>
    </cfRule>
  </conditionalFormatting>
  <conditionalFormatting sqref="P18">
    <cfRule type="cellIs" dxfId="20228" priority="138178" stopIfTrue="1" operator="lessThan">
      <formula>0.5</formula>
    </cfRule>
  </conditionalFormatting>
  <conditionalFormatting sqref="P18">
    <cfRule type="cellIs" dxfId="20227" priority="138179" stopIfTrue="1" operator="greaterThanOrEqual">
      <formula>0.5</formula>
    </cfRule>
  </conditionalFormatting>
  <conditionalFormatting sqref="P19">
    <cfRule type="cellIs" dxfId="20226" priority="138180" stopIfTrue="1" operator="equal">
      <formula>-1</formula>
    </cfRule>
  </conditionalFormatting>
  <conditionalFormatting sqref="P19">
    <cfRule type="cellIs" dxfId="20225" priority="138181" stopIfTrue="1" operator="lessThan">
      <formula>0.5</formula>
    </cfRule>
  </conditionalFormatting>
  <conditionalFormatting sqref="P19">
    <cfRule type="cellIs" dxfId="20224" priority="138182" stopIfTrue="1" operator="greaterThanOrEqual">
      <formula>0.5</formula>
    </cfRule>
  </conditionalFormatting>
  <conditionalFormatting sqref="P20">
    <cfRule type="cellIs" dxfId="20223" priority="138183" stopIfTrue="1" operator="equal">
      <formula>-1</formula>
    </cfRule>
  </conditionalFormatting>
  <conditionalFormatting sqref="P20">
    <cfRule type="cellIs" dxfId="20222" priority="138184" stopIfTrue="1" operator="lessThan">
      <formula>0.5</formula>
    </cfRule>
  </conditionalFormatting>
  <conditionalFormatting sqref="P20">
    <cfRule type="cellIs" dxfId="20221" priority="138185" stopIfTrue="1" operator="greaterThanOrEqual">
      <formula>0.5</formula>
    </cfRule>
  </conditionalFormatting>
  <conditionalFormatting sqref="P21">
    <cfRule type="cellIs" dxfId="20220" priority="138186" stopIfTrue="1" operator="equal">
      <formula>-1</formula>
    </cfRule>
  </conditionalFormatting>
  <conditionalFormatting sqref="P21">
    <cfRule type="cellIs" dxfId="20219" priority="138187" stopIfTrue="1" operator="lessThan">
      <formula>0.5</formula>
    </cfRule>
  </conditionalFormatting>
  <conditionalFormatting sqref="P21">
    <cfRule type="cellIs" dxfId="20218" priority="138188" stopIfTrue="1" operator="greaterThanOrEqual">
      <formula>0.5</formula>
    </cfRule>
  </conditionalFormatting>
  <conditionalFormatting sqref="P22">
    <cfRule type="cellIs" dxfId="20217" priority="138189" stopIfTrue="1" operator="equal">
      <formula>-1</formula>
    </cfRule>
  </conditionalFormatting>
  <conditionalFormatting sqref="P22">
    <cfRule type="cellIs" dxfId="20216" priority="138190" stopIfTrue="1" operator="lessThan">
      <formula>0.5</formula>
    </cfRule>
  </conditionalFormatting>
  <conditionalFormatting sqref="P22">
    <cfRule type="cellIs" dxfId="20215" priority="138191" stopIfTrue="1" operator="greaterThanOrEqual">
      <formula>0.5</formula>
    </cfRule>
  </conditionalFormatting>
  <conditionalFormatting sqref="P23">
    <cfRule type="cellIs" dxfId="20214" priority="138192" stopIfTrue="1" operator="equal">
      <formula>-1</formula>
    </cfRule>
  </conditionalFormatting>
  <conditionalFormatting sqref="P23">
    <cfRule type="cellIs" dxfId="20213" priority="138193" stopIfTrue="1" operator="lessThan">
      <formula>0.5</formula>
    </cfRule>
  </conditionalFormatting>
  <conditionalFormatting sqref="P23">
    <cfRule type="cellIs" dxfId="20212" priority="138194" stopIfTrue="1" operator="greaterThanOrEqual">
      <formula>0.5</formula>
    </cfRule>
  </conditionalFormatting>
  <conditionalFormatting sqref="P24">
    <cfRule type="cellIs" dxfId="20211" priority="138195" stopIfTrue="1" operator="equal">
      <formula>-1</formula>
    </cfRule>
  </conditionalFormatting>
  <conditionalFormatting sqref="P24">
    <cfRule type="cellIs" dxfId="20210" priority="138196" stopIfTrue="1" operator="lessThan">
      <formula>0.5</formula>
    </cfRule>
  </conditionalFormatting>
  <conditionalFormatting sqref="P24">
    <cfRule type="cellIs" dxfId="20209" priority="138197" stopIfTrue="1" operator="greaterThanOrEqual">
      <formula>0.5</formula>
    </cfRule>
  </conditionalFormatting>
  <conditionalFormatting sqref="P25">
    <cfRule type="cellIs" dxfId="20208" priority="138198" stopIfTrue="1" operator="equal">
      <formula>-1</formula>
    </cfRule>
  </conditionalFormatting>
  <conditionalFormatting sqref="P25">
    <cfRule type="cellIs" dxfId="20207" priority="138199" stopIfTrue="1" operator="lessThan">
      <formula>0.5</formula>
    </cfRule>
  </conditionalFormatting>
  <conditionalFormatting sqref="P25">
    <cfRule type="cellIs" dxfId="20206" priority="138200" stopIfTrue="1" operator="greaterThanOrEqual">
      <formula>0.5</formula>
    </cfRule>
  </conditionalFormatting>
  <conditionalFormatting sqref="P26">
    <cfRule type="cellIs" dxfId="20205" priority="138201" stopIfTrue="1" operator="equal">
      <formula>-1</formula>
    </cfRule>
  </conditionalFormatting>
  <conditionalFormatting sqref="P26">
    <cfRule type="cellIs" dxfId="20204" priority="138202" stopIfTrue="1" operator="lessThan">
      <formula>0.5</formula>
    </cfRule>
  </conditionalFormatting>
  <conditionalFormatting sqref="P26">
    <cfRule type="cellIs" dxfId="20203" priority="138203" stopIfTrue="1" operator="greaterThanOrEqual">
      <formula>0.5</formula>
    </cfRule>
  </conditionalFormatting>
  <conditionalFormatting sqref="P27">
    <cfRule type="cellIs" dxfId="20202" priority="138204" stopIfTrue="1" operator="equal">
      <formula>-1</formula>
    </cfRule>
  </conditionalFormatting>
  <conditionalFormatting sqref="P27">
    <cfRule type="cellIs" dxfId="20201" priority="138205" stopIfTrue="1" operator="lessThan">
      <formula>0.5</formula>
    </cfRule>
  </conditionalFormatting>
  <conditionalFormatting sqref="P27">
    <cfRule type="cellIs" dxfId="20200" priority="138206" stopIfTrue="1" operator="greaterThanOrEqual">
      <formula>0.5</formula>
    </cfRule>
  </conditionalFormatting>
  <conditionalFormatting sqref="P28">
    <cfRule type="cellIs" dxfId="20199" priority="138207" stopIfTrue="1" operator="equal">
      <formula>-1</formula>
    </cfRule>
  </conditionalFormatting>
  <conditionalFormatting sqref="P28">
    <cfRule type="cellIs" dxfId="20198" priority="138208" stopIfTrue="1" operator="lessThan">
      <formula>0.5</formula>
    </cfRule>
  </conditionalFormatting>
  <conditionalFormatting sqref="P28">
    <cfRule type="cellIs" dxfId="20197" priority="138209" stopIfTrue="1" operator="greaterThanOrEqual">
      <formula>0.5</formula>
    </cfRule>
  </conditionalFormatting>
  <conditionalFormatting sqref="P29">
    <cfRule type="cellIs" dxfId="20196" priority="138210" stopIfTrue="1" operator="equal">
      <formula>-1</formula>
    </cfRule>
  </conditionalFormatting>
  <conditionalFormatting sqref="P29">
    <cfRule type="cellIs" dxfId="20195" priority="138211" stopIfTrue="1" operator="lessThan">
      <formula>0.5</formula>
    </cfRule>
  </conditionalFormatting>
  <conditionalFormatting sqref="P29">
    <cfRule type="cellIs" dxfId="20194" priority="138212" stopIfTrue="1" operator="greaterThanOrEqual">
      <formula>0.5</formula>
    </cfRule>
  </conditionalFormatting>
  <conditionalFormatting sqref="P30">
    <cfRule type="cellIs" dxfId="20193" priority="138213" stopIfTrue="1" operator="equal">
      <formula>-1</formula>
    </cfRule>
  </conditionalFormatting>
  <conditionalFormatting sqref="P30">
    <cfRule type="cellIs" dxfId="20192" priority="138214" stopIfTrue="1" operator="lessThan">
      <formula>0.5</formula>
    </cfRule>
  </conditionalFormatting>
  <conditionalFormatting sqref="P30">
    <cfRule type="cellIs" dxfId="20191" priority="138215" stopIfTrue="1" operator="greaterThanOrEqual">
      <formula>0.5</formula>
    </cfRule>
  </conditionalFormatting>
  <conditionalFormatting sqref="P31">
    <cfRule type="cellIs" dxfId="20190" priority="138216" stopIfTrue="1" operator="equal">
      <formula>-1</formula>
    </cfRule>
  </conditionalFormatting>
  <conditionalFormatting sqref="P31">
    <cfRule type="cellIs" dxfId="20189" priority="138217" stopIfTrue="1" operator="lessThan">
      <formula>0.5</formula>
    </cfRule>
  </conditionalFormatting>
  <conditionalFormatting sqref="P31">
    <cfRule type="cellIs" dxfId="20188" priority="138218" stopIfTrue="1" operator="greaterThanOrEqual">
      <formula>0.5</formula>
    </cfRule>
  </conditionalFormatting>
  <conditionalFormatting sqref="P32">
    <cfRule type="cellIs" dxfId="20187" priority="138219" stopIfTrue="1" operator="equal">
      <formula>-1</formula>
    </cfRule>
  </conditionalFormatting>
  <conditionalFormatting sqref="P32">
    <cfRule type="cellIs" dxfId="20186" priority="138220" stopIfTrue="1" operator="lessThan">
      <formula>0.5</formula>
    </cfRule>
  </conditionalFormatting>
  <conditionalFormatting sqref="P32">
    <cfRule type="cellIs" dxfId="20185" priority="138221" stopIfTrue="1" operator="greaterThanOrEqual">
      <formula>0.5</formula>
    </cfRule>
  </conditionalFormatting>
  <conditionalFormatting sqref="P33">
    <cfRule type="cellIs" dxfId="20184" priority="138222" stopIfTrue="1" operator="equal">
      <formula>-1</formula>
    </cfRule>
  </conditionalFormatting>
  <conditionalFormatting sqref="P33">
    <cfRule type="cellIs" dxfId="20183" priority="138223" stopIfTrue="1" operator="lessThan">
      <formula>0.5</formula>
    </cfRule>
  </conditionalFormatting>
  <conditionalFormatting sqref="P33">
    <cfRule type="cellIs" dxfId="20182" priority="138224" stopIfTrue="1" operator="greaterThanOrEqual">
      <formula>0.5</formula>
    </cfRule>
  </conditionalFormatting>
  <conditionalFormatting sqref="P34">
    <cfRule type="cellIs" dxfId="20181" priority="138225" stopIfTrue="1" operator="equal">
      <formula>-1</formula>
    </cfRule>
  </conditionalFormatting>
  <conditionalFormatting sqref="P34">
    <cfRule type="cellIs" dxfId="20180" priority="138226" stopIfTrue="1" operator="lessThan">
      <formula>0.5</formula>
    </cfRule>
  </conditionalFormatting>
  <conditionalFormatting sqref="P34">
    <cfRule type="cellIs" dxfId="20179" priority="138227" stopIfTrue="1" operator="greaterThanOrEqual">
      <formula>0.5</formula>
    </cfRule>
  </conditionalFormatting>
  <conditionalFormatting sqref="P35">
    <cfRule type="cellIs" dxfId="20178" priority="138228" stopIfTrue="1" operator="equal">
      <formula>-1</formula>
    </cfRule>
  </conditionalFormatting>
  <conditionalFormatting sqref="P35">
    <cfRule type="cellIs" dxfId="20177" priority="138229" stopIfTrue="1" operator="lessThan">
      <formula>0.5</formula>
    </cfRule>
  </conditionalFormatting>
  <conditionalFormatting sqref="P35">
    <cfRule type="cellIs" dxfId="20176" priority="138230" stopIfTrue="1" operator="greaterThanOrEqual">
      <formula>0.5</formula>
    </cfRule>
  </conditionalFormatting>
  <conditionalFormatting sqref="P36">
    <cfRule type="cellIs" dxfId="20175" priority="138231" stopIfTrue="1" operator="equal">
      <formula>-1</formula>
    </cfRule>
  </conditionalFormatting>
  <conditionalFormatting sqref="P36">
    <cfRule type="cellIs" dxfId="20174" priority="138232" stopIfTrue="1" operator="lessThan">
      <formula>0.5</formula>
    </cfRule>
  </conditionalFormatting>
  <conditionalFormatting sqref="P36">
    <cfRule type="cellIs" dxfId="20173" priority="138233" stopIfTrue="1" operator="greaterThanOrEqual">
      <formula>0.5</formula>
    </cfRule>
  </conditionalFormatting>
  <conditionalFormatting sqref="P37">
    <cfRule type="cellIs" dxfId="20172" priority="138234" stopIfTrue="1" operator="equal">
      <formula>-1</formula>
    </cfRule>
  </conditionalFormatting>
  <conditionalFormatting sqref="P37">
    <cfRule type="cellIs" dxfId="20171" priority="138235" stopIfTrue="1" operator="lessThan">
      <formula>0.5</formula>
    </cfRule>
  </conditionalFormatting>
  <conditionalFormatting sqref="P37">
    <cfRule type="cellIs" dxfId="20170" priority="138236" stopIfTrue="1" operator="greaterThanOrEqual">
      <formula>0.5</formula>
    </cfRule>
  </conditionalFormatting>
  <conditionalFormatting sqref="R17">
    <cfRule type="cellIs" dxfId="20169" priority="138237" stopIfTrue="1" operator="equal">
      <formula>-1</formula>
    </cfRule>
  </conditionalFormatting>
  <conditionalFormatting sqref="R17">
    <cfRule type="cellIs" dxfId="20168" priority="138238" stopIfTrue="1" operator="lessThan">
      <formula>0.5</formula>
    </cfRule>
  </conditionalFormatting>
  <conditionalFormatting sqref="R17">
    <cfRule type="cellIs" dxfId="20167" priority="138239" stopIfTrue="1" operator="greaterThanOrEqual">
      <formula>0.5</formula>
    </cfRule>
  </conditionalFormatting>
  <conditionalFormatting sqref="R18">
    <cfRule type="cellIs" dxfId="20166" priority="138240" stopIfTrue="1" operator="equal">
      <formula>-1</formula>
    </cfRule>
  </conditionalFormatting>
  <conditionalFormatting sqref="R18">
    <cfRule type="cellIs" dxfId="20165" priority="138241" stopIfTrue="1" operator="lessThan">
      <formula>0.5</formula>
    </cfRule>
  </conditionalFormatting>
  <conditionalFormatting sqref="R18">
    <cfRule type="cellIs" dxfId="20164" priority="138242" stopIfTrue="1" operator="greaterThanOrEqual">
      <formula>0.5</formula>
    </cfRule>
  </conditionalFormatting>
  <conditionalFormatting sqref="R19">
    <cfRule type="cellIs" dxfId="20163" priority="138243" stopIfTrue="1" operator="equal">
      <formula>-1</formula>
    </cfRule>
  </conditionalFormatting>
  <conditionalFormatting sqref="R19">
    <cfRule type="cellIs" dxfId="20162" priority="138244" stopIfTrue="1" operator="lessThan">
      <formula>0.5</formula>
    </cfRule>
  </conditionalFormatting>
  <conditionalFormatting sqref="R19">
    <cfRule type="cellIs" dxfId="20161" priority="138245" stopIfTrue="1" operator="greaterThanOrEqual">
      <formula>0.5</formula>
    </cfRule>
  </conditionalFormatting>
  <conditionalFormatting sqref="R20">
    <cfRule type="cellIs" dxfId="20160" priority="138246" stopIfTrue="1" operator="equal">
      <formula>-1</formula>
    </cfRule>
  </conditionalFormatting>
  <conditionalFormatting sqref="R20">
    <cfRule type="cellIs" dxfId="20159" priority="138247" stopIfTrue="1" operator="lessThan">
      <formula>0.5</formula>
    </cfRule>
  </conditionalFormatting>
  <conditionalFormatting sqref="R20">
    <cfRule type="cellIs" dxfId="20158" priority="138248" stopIfTrue="1" operator="greaterThanOrEqual">
      <formula>0.5</formula>
    </cfRule>
  </conditionalFormatting>
  <conditionalFormatting sqref="R21">
    <cfRule type="cellIs" dxfId="20157" priority="138249" stopIfTrue="1" operator="equal">
      <formula>-1</formula>
    </cfRule>
  </conditionalFormatting>
  <conditionalFormatting sqref="R21">
    <cfRule type="cellIs" dxfId="20156" priority="138250" stopIfTrue="1" operator="lessThan">
      <formula>0.5</formula>
    </cfRule>
  </conditionalFormatting>
  <conditionalFormatting sqref="R21">
    <cfRule type="cellIs" dxfId="20155" priority="138251" stopIfTrue="1" operator="greaterThanOrEqual">
      <formula>0.5</formula>
    </cfRule>
  </conditionalFormatting>
  <conditionalFormatting sqref="R22">
    <cfRule type="cellIs" dxfId="20154" priority="138252" stopIfTrue="1" operator="equal">
      <formula>-1</formula>
    </cfRule>
  </conditionalFormatting>
  <conditionalFormatting sqref="R22">
    <cfRule type="cellIs" dxfId="20153" priority="138253" stopIfTrue="1" operator="lessThan">
      <formula>0.5</formula>
    </cfRule>
  </conditionalFormatting>
  <conditionalFormatting sqref="R22">
    <cfRule type="cellIs" dxfId="20152" priority="138254" stopIfTrue="1" operator="greaterThanOrEqual">
      <formula>0.5</formula>
    </cfRule>
  </conditionalFormatting>
  <conditionalFormatting sqref="R23">
    <cfRule type="cellIs" dxfId="20151" priority="138255" stopIfTrue="1" operator="equal">
      <formula>-1</formula>
    </cfRule>
  </conditionalFormatting>
  <conditionalFormatting sqref="R23">
    <cfRule type="cellIs" dxfId="20150" priority="138256" stopIfTrue="1" operator="lessThan">
      <formula>0.5</formula>
    </cfRule>
  </conditionalFormatting>
  <conditionalFormatting sqref="R23">
    <cfRule type="cellIs" dxfId="20149" priority="138257" stopIfTrue="1" operator="greaterThanOrEqual">
      <formula>0.5</formula>
    </cfRule>
  </conditionalFormatting>
  <conditionalFormatting sqref="R24">
    <cfRule type="cellIs" dxfId="20148" priority="138258" stopIfTrue="1" operator="equal">
      <formula>-1</formula>
    </cfRule>
  </conditionalFormatting>
  <conditionalFormatting sqref="R24">
    <cfRule type="cellIs" dxfId="20147" priority="138259" stopIfTrue="1" operator="lessThan">
      <formula>0.5</formula>
    </cfRule>
  </conditionalFormatting>
  <conditionalFormatting sqref="R24">
    <cfRule type="cellIs" dxfId="20146" priority="138260" stopIfTrue="1" operator="greaterThanOrEqual">
      <formula>0.5</formula>
    </cfRule>
  </conditionalFormatting>
  <conditionalFormatting sqref="R25">
    <cfRule type="cellIs" dxfId="20145" priority="138261" stopIfTrue="1" operator="equal">
      <formula>-1</formula>
    </cfRule>
  </conditionalFormatting>
  <conditionalFormatting sqref="R25">
    <cfRule type="cellIs" dxfId="20144" priority="138262" stopIfTrue="1" operator="lessThan">
      <formula>0.5</formula>
    </cfRule>
  </conditionalFormatting>
  <conditionalFormatting sqref="R25">
    <cfRule type="cellIs" dxfId="20143" priority="138263" stopIfTrue="1" operator="greaterThanOrEqual">
      <formula>0.5</formula>
    </cfRule>
  </conditionalFormatting>
  <conditionalFormatting sqref="R26">
    <cfRule type="cellIs" dxfId="20142" priority="138264" stopIfTrue="1" operator="equal">
      <formula>-1</formula>
    </cfRule>
  </conditionalFormatting>
  <conditionalFormatting sqref="R26">
    <cfRule type="cellIs" dxfId="20141" priority="138265" stopIfTrue="1" operator="lessThan">
      <formula>0.5</formula>
    </cfRule>
  </conditionalFormatting>
  <conditionalFormatting sqref="R26">
    <cfRule type="cellIs" dxfId="20140" priority="138266" stopIfTrue="1" operator="greaterThanOrEqual">
      <formula>0.5</formula>
    </cfRule>
  </conditionalFormatting>
  <conditionalFormatting sqref="R27">
    <cfRule type="cellIs" dxfId="20139" priority="138267" stopIfTrue="1" operator="equal">
      <formula>-1</formula>
    </cfRule>
  </conditionalFormatting>
  <conditionalFormatting sqref="R27">
    <cfRule type="cellIs" dxfId="20138" priority="138268" stopIfTrue="1" operator="lessThan">
      <formula>0.5</formula>
    </cfRule>
  </conditionalFormatting>
  <conditionalFormatting sqref="R27">
    <cfRule type="cellIs" dxfId="20137" priority="138269" stopIfTrue="1" operator="greaterThanOrEqual">
      <formula>0.5</formula>
    </cfRule>
  </conditionalFormatting>
  <conditionalFormatting sqref="R28">
    <cfRule type="cellIs" dxfId="20136" priority="138270" stopIfTrue="1" operator="equal">
      <formula>-1</formula>
    </cfRule>
  </conditionalFormatting>
  <conditionalFormatting sqref="R28">
    <cfRule type="cellIs" dxfId="20135" priority="138271" stopIfTrue="1" operator="lessThan">
      <formula>0.5</formula>
    </cfRule>
  </conditionalFormatting>
  <conditionalFormatting sqref="R28">
    <cfRule type="cellIs" dxfId="20134" priority="138272" stopIfTrue="1" operator="greaterThanOrEqual">
      <formula>0.5</formula>
    </cfRule>
  </conditionalFormatting>
  <conditionalFormatting sqref="R29">
    <cfRule type="cellIs" dxfId="20133" priority="138273" stopIfTrue="1" operator="equal">
      <formula>-1</formula>
    </cfRule>
  </conditionalFormatting>
  <conditionalFormatting sqref="R29">
    <cfRule type="cellIs" dxfId="20132" priority="138274" stopIfTrue="1" operator="lessThan">
      <formula>0.5</formula>
    </cfRule>
  </conditionalFormatting>
  <conditionalFormatting sqref="R29">
    <cfRule type="cellIs" dxfId="20131" priority="138275" stopIfTrue="1" operator="greaterThanOrEqual">
      <formula>0.5</formula>
    </cfRule>
  </conditionalFormatting>
  <conditionalFormatting sqref="R30">
    <cfRule type="cellIs" dxfId="20130" priority="138276" stopIfTrue="1" operator="equal">
      <formula>-1</formula>
    </cfRule>
  </conditionalFormatting>
  <conditionalFormatting sqref="R30">
    <cfRule type="cellIs" dxfId="20129" priority="138277" stopIfTrue="1" operator="lessThan">
      <formula>0.5</formula>
    </cfRule>
  </conditionalFormatting>
  <conditionalFormatting sqref="R30">
    <cfRule type="cellIs" dxfId="20128" priority="138278" stopIfTrue="1" operator="greaterThanOrEqual">
      <formula>0.5</formula>
    </cfRule>
  </conditionalFormatting>
  <conditionalFormatting sqref="R31">
    <cfRule type="cellIs" dxfId="20127" priority="138279" stopIfTrue="1" operator="equal">
      <formula>-1</formula>
    </cfRule>
  </conditionalFormatting>
  <conditionalFormatting sqref="R31">
    <cfRule type="cellIs" dxfId="20126" priority="138280" stopIfTrue="1" operator="lessThan">
      <formula>0.5</formula>
    </cfRule>
  </conditionalFormatting>
  <conditionalFormatting sqref="R31">
    <cfRule type="cellIs" dxfId="20125" priority="138281" stopIfTrue="1" operator="greaterThanOrEqual">
      <formula>0.5</formula>
    </cfRule>
  </conditionalFormatting>
  <conditionalFormatting sqref="R32">
    <cfRule type="cellIs" dxfId="20124" priority="138282" stopIfTrue="1" operator="equal">
      <formula>-1</formula>
    </cfRule>
  </conditionalFormatting>
  <conditionalFormatting sqref="R32">
    <cfRule type="cellIs" dxfId="20123" priority="138283" stopIfTrue="1" operator="lessThan">
      <formula>0.5</formula>
    </cfRule>
  </conditionalFormatting>
  <conditionalFormatting sqref="R32">
    <cfRule type="cellIs" dxfId="20122" priority="138284" stopIfTrue="1" operator="greaterThanOrEqual">
      <formula>0.5</formula>
    </cfRule>
  </conditionalFormatting>
  <conditionalFormatting sqref="R33">
    <cfRule type="cellIs" dxfId="20121" priority="138285" stopIfTrue="1" operator="equal">
      <formula>-1</formula>
    </cfRule>
  </conditionalFormatting>
  <conditionalFormatting sqref="R33">
    <cfRule type="cellIs" dxfId="20120" priority="138286" stopIfTrue="1" operator="lessThan">
      <formula>0.5</formula>
    </cfRule>
  </conditionalFormatting>
  <conditionalFormatting sqref="R33">
    <cfRule type="cellIs" dxfId="20119" priority="138287" stopIfTrue="1" operator="greaterThanOrEqual">
      <formula>0.5</formula>
    </cfRule>
  </conditionalFormatting>
  <conditionalFormatting sqref="R34">
    <cfRule type="cellIs" dxfId="20118" priority="138288" stopIfTrue="1" operator="equal">
      <formula>-1</formula>
    </cfRule>
  </conditionalFormatting>
  <conditionalFormatting sqref="R34">
    <cfRule type="cellIs" dxfId="20117" priority="138289" stopIfTrue="1" operator="lessThan">
      <formula>0.5</formula>
    </cfRule>
  </conditionalFormatting>
  <conditionalFormatting sqref="R34">
    <cfRule type="cellIs" dxfId="20116" priority="138290" stopIfTrue="1" operator="greaterThanOrEqual">
      <formula>0.5</formula>
    </cfRule>
  </conditionalFormatting>
  <conditionalFormatting sqref="R35">
    <cfRule type="cellIs" dxfId="20115" priority="138291" stopIfTrue="1" operator="equal">
      <formula>-1</formula>
    </cfRule>
  </conditionalFormatting>
  <conditionalFormatting sqref="R35">
    <cfRule type="cellIs" dxfId="20114" priority="138292" stopIfTrue="1" operator="lessThan">
      <formula>0.5</formula>
    </cfRule>
  </conditionalFormatting>
  <conditionalFormatting sqref="R35">
    <cfRule type="cellIs" dxfId="20113" priority="138293" stopIfTrue="1" operator="greaterThanOrEqual">
      <formula>0.5</formula>
    </cfRule>
  </conditionalFormatting>
  <conditionalFormatting sqref="R36">
    <cfRule type="cellIs" dxfId="20112" priority="138294" stopIfTrue="1" operator="equal">
      <formula>-1</formula>
    </cfRule>
  </conditionalFormatting>
  <conditionalFormatting sqref="R36">
    <cfRule type="cellIs" dxfId="20111" priority="138295" stopIfTrue="1" operator="lessThan">
      <formula>0.5</formula>
    </cfRule>
  </conditionalFormatting>
  <conditionalFormatting sqref="R36">
    <cfRule type="cellIs" dxfId="20110" priority="138296" stopIfTrue="1" operator="greaterThanOrEqual">
      <formula>0.5</formula>
    </cfRule>
  </conditionalFormatting>
  <conditionalFormatting sqref="R37">
    <cfRule type="cellIs" dxfId="20109" priority="138297" stopIfTrue="1" operator="equal">
      <formula>-1</formula>
    </cfRule>
  </conditionalFormatting>
  <conditionalFormatting sqref="R37">
    <cfRule type="cellIs" dxfId="20108" priority="138298" stopIfTrue="1" operator="lessThan">
      <formula>0.5</formula>
    </cfRule>
  </conditionalFormatting>
  <conditionalFormatting sqref="R37">
    <cfRule type="cellIs" dxfId="20107" priority="138299" stopIfTrue="1" operator="greaterThanOrEqual">
      <formula>0.5</formula>
    </cfRule>
  </conditionalFormatting>
  <conditionalFormatting sqref="T17">
    <cfRule type="cellIs" dxfId="20106" priority="138300" stopIfTrue="1" operator="equal">
      <formula>-1</formula>
    </cfRule>
  </conditionalFormatting>
  <conditionalFormatting sqref="T17">
    <cfRule type="cellIs" dxfId="20105" priority="138301" stopIfTrue="1" operator="lessThan">
      <formula>0.5</formula>
    </cfRule>
  </conditionalFormatting>
  <conditionalFormatting sqref="T17">
    <cfRule type="cellIs" dxfId="20104" priority="138302" stopIfTrue="1" operator="greaterThanOrEqual">
      <formula>0.5</formula>
    </cfRule>
  </conditionalFormatting>
  <conditionalFormatting sqref="T18">
    <cfRule type="cellIs" dxfId="20103" priority="138303" stopIfTrue="1" operator="equal">
      <formula>-1</formula>
    </cfRule>
  </conditionalFormatting>
  <conditionalFormatting sqref="T18">
    <cfRule type="cellIs" dxfId="20102" priority="138304" stopIfTrue="1" operator="lessThan">
      <formula>0.5</formula>
    </cfRule>
  </conditionalFormatting>
  <conditionalFormatting sqref="T18">
    <cfRule type="cellIs" dxfId="20101" priority="138305" stopIfTrue="1" operator="greaterThanOrEqual">
      <formula>0.5</formula>
    </cfRule>
  </conditionalFormatting>
  <conditionalFormatting sqref="T19">
    <cfRule type="cellIs" dxfId="20100" priority="138306" stopIfTrue="1" operator="equal">
      <formula>-1</formula>
    </cfRule>
  </conditionalFormatting>
  <conditionalFormatting sqref="T19">
    <cfRule type="cellIs" dxfId="20099" priority="138307" stopIfTrue="1" operator="lessThan">
      <formula>0.5</formula>
    </cfRule>
  </conditionalFormatting>
  <conditionalFormatting sqref="T19">
    <cfRule type="cellIs" dxfId="20098" priority="138308" stopIfTrue="1" operator="greaterThanOrEqual">
      <formula>0.5</formula>
    </cfRule>
  </conditionalFormatting>
  <conditionalFormatting sqref="T20">
    <cfRule type="cellIs" dxfId="20097" priority="138309" stopIfTrue="1" operator="equal">
      <formula>-1</formula>
    </cfRule>
  </conditionalFormatting>
  <conditionalFormatting sqref="T20">
    <cfRule type="cellIs" dxfId="20096" priority="138310" stopIfTrue="1" operator="lessThan">
      <formula>0.5</formula>
    </cfRule>
  </conditionalFormatting>
  <conditionalFormatting sqref="T20">
    <cfRule type="cellIs" dxfId="20095" priority="138311" stopIfTrue="1" operator="greaterThanOrEqual">
      <formula>0.5</formula>
    </cfRule>
  </conditionalFormatting>
  <conditionalFormatting sqref="T21">
    <cfRule type="cellIs" dxfId="20094" priority="138312" stopIfTrue="1" operator="equal">
      <formula>-1</formula>
    </cfRule>
  </conditionalFormatting>
  <conditionalFormatting sqref="T21">
    <cfRule type="cellIs" dxfId="20093" priority="138313" stopIfTrue="1" operator="lessThan">
      <formula>0.5</formula>
    </cfRule>
  </conditionalFormatting>
  <conditionalFormatting sqref="T21">
    <cfRule type="cellIs" dxfId="20092" priority="138314" stopIfTrue="1" operator="greaterThanOrEqual">
      <formula>0.5</formula>
    </cfRule>
  </conditionalFormatting>
  <conditionalFormatting sqref="T22">
    <cfRule type="cellIs" dxfId="20091" priority="138315" stopIfTrue="1" operator="equal">
      <formula>-1</formula>
    </cfRule>
  </conditionalFormatting>
  <conditionalFormatting sqref="T22">
    <cfRule type="cellIs" dxfId="20090" priority="138316" stopIfTrue="1" operator="lessThan">
      <formula>0.5</formula>
    </cfRule>
  </conditionalFormatting>
  <conditionalFormatting sqref="T22">
    <cfRule type="cellIs" dxfId="20089" priority="138317" stopIfTrue="1" operator="greaterThanOrEqual">
      <formula>0.5</formula>
    </cfRule>
  </conditionalFormatting>
  <conditionalFormatting sqref="T23">
    <cfRule type="cellIs" dxfId="20088" priority="138318" stopIfTrue="1" operator="equal">
      <formula>-1</formula>
    </cfRule>
  </conditionalFormatting>
  <conditionalFormatting sqref="T23">
    <cfRule type="cellIs" dxfId="20087" priority="138319" stopIfTrue="1" operator="lessThan">
      <formula>0.5</formula>
    </cfRule>
  </conditionalFormatting>
  <conditionalFormatting sqref="T23">
    <cfRule type="cellIs" dxfId="20086" priority="138320" stopIfTrue="1" operator="greaterThanOrEqual">
      <formula>0.5</formula>
    </cfRule>
  </conditionalFormatting>
  <conditionalFormatting sqref="T24">
    <cfRule type="cellIs" dxfId="20085" priority="138321" stopIfTrue="1" operator="equal">
      <formula>-1</formula>
    </cfRule>
  </conditionalFormatting>
  <conditionalFormatting sqref="T24">
    <cfRule type="cellIs" dxfId="20084" priority="138322" stopIfTrue="1" operator="lessThan">
      <formula>0.5</formula>
    </cfRule>
  </conditionalFormatting>
  <conditionalFormatting sqref="T24">
    <cfRule type="cellIs" dxfId="20083" priority="138323" stopIfTrue="1" operator="greaterThanOrEqual">
      <formula>0.5</formula>
    </cfRule>
  </conditionalFormatting>
  <conditionalFormatting sqref="T25">
    <cfRule type="cellIs" dxfId="20082" priority="138324" stopIfTrue="1" operator="equal">
      <formula>-1</formula>
    </cfRule>
  </conditionalFormatting>
  <conditionalFormatting sqref="T25">
    <cfRule type="cellIs" dxfId="20081" priority="138325" stopIfTrue="1" operator="lessThan">
      <formula>0.5</formula>
    </cfRule>
  </conditionalFormatting>
  <conditionalFormatting sqref="T25">
    <cfRule type="cellIs" dxfId="20080" priority="138326" stopIfTrue="1" operator="greaterThanOrEqual">
      <formula>0.5</formula>
    </cfRule>
  </conditionalFormatting>
  <conditionalFormatting sqref="T26">
    <cfRule type="cellIs" dxfId="20079" priority="138327" stopIfTrue="1" operator="equal">
      <formula>-1</formula>
    </cfRule>
  </conditionalFormatting>
  <conditionalFormatting sqref="T26">
    <cfRule type="cellIs" dxfId="20078" priority="138328" stopIfTrue="1" operator="lessThan">
      <formula>0.5</formula>
    </cfRule>
  </conditionalFormatting>
  <conditionalFormatting sqref="T26">
    <cfRule type="cellIs" dxfId="20077" priority="138329" stopIfTrue="1" operator="greaterThanOrEqual">
      <formula>0.5</formula>
    </cfRule>
  </conditionalFormatting>
  <conditionalFormatting sqref="T27">
    <cfRule type="cellIs" dxfId="20076" priority="138330" stopIfTrue="1" operator="equal">
      <formula>-1</formula>
    </cfRule>
  </conditionalFormatting>
  <conditionalFormatting sqref="T27">
    <cfRule type="cellIs" dxfId="20075" priority="138331" stopIfTrue="1" operator="lessThan">
      <formula>0.5</formula>
    </cfRule>
  </conditionalFormatting>
  <conditionalFormatting sqref="T27">
    <cfRule type="cellIs" dxfId="20074" priority="138332" stopIfTrue="1" operator="greaterThanOrEqual">
      <formula>0.5</formula>
    </cfRule>
  </conditionalFormatting>
  <conditionalFormatting sqref="T28">
    <cfRule type="cellIs" dxfId="20073" priority="138333" stopIfTrue="1" operator="equal">
      <formula>-1</formula>
    </cfRule>
  </conditionalFormatting>
  <conditionalFormatting sqref="T28">
    <cfRule type="cellIs" dxfId="20072" priority="138334" stopIfTrue="1" operator="lessThan">
      <formula>0.5</formula>
    </cfRule>
  </conditionalFormatting>
  <conditionalFormatting sqref="T28">
    <cfRule type="cellIs" dxfId="20071" priority="138335" stopIfTrue="1" operator="greaterThanOrEqual">
      <formula>0.5</formula>
    </cfRule>
  </conditionalFormatting>
  <conditionalFormatting sqref="T29">
    <cfRule type="cellIs" dxfId="20070" priority="138336" stopIfTrue="1" operator="equal">
      <formula>-1</formula>
    </cfRule>
  </conditionalFormatting>
  <conditionalFormatting sqref="T29">
    <cfRule type="cellIs" dxfId="20069" priority="138337" stopIfTrue="1" operator="lessThan">
      <formula>0.5</formula>
    </cfRule>
  </conditionalFormatting>
  <conditionalFormatting sqref="T29">
    <cfRule type="cellIs" dxfId="20068" priority="138338" stopIfTrue="1" operator="greaterThanOrEqual">
      <formula>0.5</formula>
    </cfRule>
  </conditionalFormatting>
  <conditionalFormatting sqref="T30">
    <cfRule type="cellIs" dxfId="20067" priority="138339" stopIfTrue="1" operator="equal">
      <formula>-1</formula>
    </cfRule>
  </conditionalFormatting>
  <conditionalFormatting sqref="T30">
    <cfRule type="cellIs" dxfId="20066" priority="138340" stopIfTrue="1" operator="lessThan">
      <formula>0.5</formula>
    </cfRule>
  </conditionalFormatting>
  <conditionalFormatting sqref="T30">
    <cfRule type="cellIs" dxfId="20065" priority="138341" stopIfTrue="1" operator="greaterThanOrEqual">
      <formula>0.5</formula>
    </cfRule>
  </conditionalFormatting>
  <conditionalFormatting sqref="T31">
    <cfRule type="cellIs" dxfId="20064" priority="138342" stopIfTrue="1" operator="equal">
      <formula>-1</formula>
    </cfRule>
  </conditionalFormatting>
  <conditionalFormatting sqref="T31">
    <cfRule type="cellIs" dxfId="20063" priority="138343" stopIfTrue="1" operator="lessThan">
      <formula>0.5</formula>
    </cfRule>
  </conditionalFormatting>
  <conditionalFormatting sqref="T31">
    <cfRule type="cellIs" dxfId="20062" priority="138344" stopIfTrue="1" operator="greaterThanOrEqual">
      <formula>0.5</formula>
    </cfRule>
  </conditionalFormatting>
  <conditionalFormatting sqref="T32">
    <cfRule type="cellIs" dxfId="20061" priority="138345" stopIfTrue="1" operator="equal">
      <formula>-1</formula>
    </cfRule>
  </conditionalFormatting>
  <conditionalFormatting sqref="T32">
    <cfRule type="cellIs" dxfId="20060" priority="138346" stopIfTrue="1" operator="lessThan">
      <formula>0.5</formula>
    </cfRule>
  </conditionalFormatting>
  <conditionalFormatting sqref="T32">
    <cfRule type="cellIs" dxfId="20059" priority="138347" stopIfTrue="1" operator="greaterThanOrEqual">
      <formula>0.5</formula>
    </cfRule>
  </conditionalFormatting>
  <conditionalFormatting sqref="T33">
    <cfRule type="cellIs" dxfId="20058" priority="138348" stopIfTrue="1" operator="equal">
      <formula>-1</formula>
    </cfRule>
  </conditionalFormatting>
  <conditionalFormatting sqref="T33">
    <cfRule type="cellIs" dxfId="20057" priority="138349" stopIfTrue="1" operator="lessThan">
      <formula>0.5</formula>
    </cfRule>
  </conditionalFormatting>
  <conditionalFormatting sqref="T33">
    <cfRule type="cellIs" dxfId="20056" priority="138350" stopIfTrue="1" operator="greaterThanOrEqual">
      <formula>0.5</formula>
    </cfRule>
  </conditionalFormatting>
  <conditionalFormatting sqref="T34">
    <cfRule type="cellIs" dxfId="20055" priority="138351" stopIfTrue="1" operator="equal">
      <formula>-1</formula>
    </cfRule>
  </conditionalFormatting>
  <conditionalFormatting sqref="T34">
    <cfRule type="cellIs" dxfId="20054" priority="138352" stopIfTrue="1" operator="lessThan">
      <formula>0.5</formula>
    </cfRule>
  </conditionalFormatting>
  <conditionalFormatting sqref="T34">
    <cfRule type="cellIs" dxfId="20053" priority="138353" stopIfTrue="1" operator="greaterThanOrEqual">
      <formula>0.5</formula>
    </cfRule>
  </conditionalFormatting>
  <conditionalFormatting sqref="T35">
    <cfRule type="cellIs" dxfId="20052" priority="138354" stopIfTrue="1" operator="equal">
      <formula>-1</formula>
    </cfRule>
  </conditionalFormatting>
  <conditionalFormatting sqref="T35">
    <cfRule type="cellIs" dxfId="20051" priority="138355" stopIfTrue="1" operator="lessThan">
      <formula>0.5</formula>
    </cfRule>
  </conditionalFormatting>
  <conditionalFormatting sqref="T35">
    <cfRule type="cellIs" dxfId="20050" priority="138356" stopIfTrue="1" operator="greaterThanOrEqual">
      <formula>0.5</formula>
    </cfRule>
  </conditionalFormatting>
  <conditionalFormatting sqref="T36">
    <cfRule type="cellIs" dxfId="20049" priority="138357" stopIfTrue="1" operator="equal">
      <formula>-1</formula>
    </cfRule>
  </conditionalFormatting>
  <conditionalFormatting sqref="T36">
    <cfRule type="cellIs" dxfId="20048" priority="138358" stopIfTrue="1" operator="lessThan">
      <formula>0.5</formula>
    </cfRule>
  </conditionalFormatting>
  <conditionalFormatting sqref="T36">
    <cfRule type="cellIs" dxfId="20047" priority="138359" stopIfTrue="1" operator="greaterThanOrEqual">
      <formula>0.5</formula>
    </cfRule>
  </conditionalFormatting>
  <conditionalFormatting sqref="T37">
    <cfRule type="cellIs" dxfId="20046" priority="138360" stopIfTrue="1" operator="equal">
      <formula>-1</formula>
    </cfRule>
  </conditionalFormatting>
  <conditionalFormatting sqref="T37">
    <cfRule type="cellIs" dxfId="20045" priority="138361" stopIfTrue="1" operator="lessThan">
      <formula>0.5</formula>
    </cfRule>
  </conditionalFormatting>
  <conditionalFormatting sqref="T37">
    <cfRule type="cellIs" dxfId="20044" priority="138362" stopIfTrue="1" operator="greaterThanOrEqual">
      <formula>0.5</formula>
    </cfRule>
  </conditionalFormatting>
  <conditionalFormatting sqref="V17">
    <cfRule type="cellIs" dxfId="20043" priority="138363" stopIfTrue="1" operator="equal">
      <formula>-1</formula>
    </cfRule>
  </conditionalFormatting>
  <conditionalFormatting sqref="V17">
    <cfRule type="cellIs" dxfId="20042" priority="138364" stopIfTrue="1" operator="lessThan">
      <formula>0.5</formula>
    </cfRule>
  </conditionalFormatting>
  <conditionalFormatting sqref="V17">
    <cfRule type="cellIs" dxfId="20041" priority="138365" stopIfTrue="1" operator="greaterThanOrEqual">
      <formula>0.5</formula>
    </cfRule>
  </conditionalFormatting>
  <conditionalFormatting sqref="V18">
    <cfRule type="cellIs" dxfId="20040" priority="138366" stopIfTrue="1" operator="equal">
      <formula>-1</formula>
    </cfRule>
  </conditionalFormatting>
  <conditionalFormatting sqref="V18">
    <cfRule type="cellIs" dxfId="20039" priority="138367" stopIfTrue="1" operator="lessThan">
      <formula>0.5</formula>
    </cfRule>
  </conditionalFormatting>
  <conditionalFormatting sqref="V18">
    <cfRule type="cellIs" dxfId="20038" priority="138368" stopIfTrue="1" operator="greaterThanOrEqual">
      <formula>0.5</formula>
    </cfRule>
  </conditionalFormatting>
  <conditionalFormatting sqref="V19">
    <cfRule type="cellIs" dxfId="20037" priority="138369" stopIfTrue="1" operator="equal">
      <formula>-1</formula>
    </cfRule>
  </conditionalFormatting>
  <conditionalFormatting sqref="V19">
    <cfRule type="cellIs" dxfId="20036" priority="138370" stopIfTrue="1" operator="lessThan">
      <formula>0.5</formula>
    </cfRule>
  </conditionalFormatting>
  <conditionalFormatting sqref="V19">
    <cfRule type="cellIs" dxfId="20035" priority="138371" stopIfTrue="1" operator="greaterThanOrEqual">
      <formula>0.5</formula>
    </cfRule>
  </conditionalFormatting>
  <conditionalFormatting sqref="V20">
    <cfRule type="cellIs" dxfId="20034" priority="138372" stopIfTrue="1" operator="equal">
      <formula>-1</formula>
    </cfRule>
  </conditionalFormatting>
  <conditionalFormatting sqref="V20">
    <cfRule type="cellIs" dxfId="20033" priority="138373" stopIfTrue="1" operator="lessThan">
      <formula>0.5</formula>
    </cfRule>
  </conditionalFormatting>
  <conditionalFormatting sqref="V20">
    <cfRule type="cellIs" dxfId="20032" priority="138374" stopIfTrue="1" operator="greaterThanOrEqual">
      <formula>0.5</formula>
    </cfRule>
  </conditionalFormatting>
  <conditionalFormatting sqref="V21">
    <cfRule type="cellIs" dxfId="20031" priority="138375" stopIfTrue="1" operator="equal">
      <formula>-1</formula>
    </cfRule>
  </conditionalFormatting>
  <conditionalFormatting sqref="V21">
    <cfRule type="cellIs" dxfId="20030" priority="138376" stopIfTrue="1" operator="lessThan">
      <formula>0.5</formula>
    </cfRule>
  </conditionalFormatting>
  <conditionalFormatting sqref="V21">
    <cfRule type="cellIs" dxfId="20029" priority="138377" stopIfTrue="1" operator="greaterThanOrEqual">
      <formula>0.5</formula>
    </cfRule>
  </conditionalFormatting>
  <conditionalFormatting sqref="V22">
    <cfRule type="cellIs" dxfId="20028" priority="138378" stopIfTrue="1" operator="equal">
      <formula>-1</formula>
    </cfRule>
  </conditionalFormatting>
  <conditionalFormatting sqref="V22">
    <cfRule type="cellIs" dxfId="20027" priority="138379" stopIfTrue="1" operator="lessThan">
      <formula>0.5</formula>
    </cfRule>
  </conditionalFormatting>
  <conditionalFormatting sqref="V22">
    <cfRule type="cellIs" dxfId="20026" priority="138380" stopIfTrue="1" operator="greaterThanOrEqual">
      <formula>0.5</formula>
    </cfRule>
  </conditionalFormatting>
  <conditionalFormatting sqref="V23">
    <cfRule type="cellIs" dxfId="20025" priority="138381" stopIfTrue="1" operator="equal">
      <formula>-1</formula>
    </cfRule>
  </conditionalFormatting>
  <conditionalFormatting sqref="V23">
    <cfRule type="cellIs" dxfId="20024" priority="138382" stopIfTrue="1" operator="lessThan">
      <formula>0.5</formula>
    </cfRule>
  </conditionalFormatting>
  <conditionalFormatting sqref="V23">
    <cfRule type="cellIs" dxfId="20023" priority="138383" stopIfTrue="1" operator="greaterThanOrEqual">
      <formula>0.5</formula>
    </cfRule>
  </conditionalFormatting>
  <conditionalFormatting sqref="V24">
    <cfRule type="cellIs" dxfId="20022" priority="138384" stopIfTrue="1" operator="equal">
      <formula>-1</formula>
    </cfRule>
  </conditionalFormatting>
  <conditionalFormatting sqref="V24">
    <cfRule type="cellIs" dxfId="20021" priority="138385" stopIfTrue="1" operator="lessThan">
      <formula>0.5</formula>
    </cfRule>
  </conditionalFormatting>
  <conditionalFormatting sqref="V24">
    <cfRule type="cellIs" dxfId="20020" priority="138386" stopIfTrue="1" operator="greaterThanOrEqual">
      <formula>0.5</formula>
    </cfRule>
  </conditionalFormatting>
  <conditionalFormatting sqref="V25">
    <cfRule type="cellIs" dxfId="20019" priority="138387" stopIfTrue="1" operator="equal">
      <formula>-1</formula>
    </cfRule>
  </conditionalFormatting>
  <conditionalFormatting sqref="V25">
    <cfRule type="cellIs" dxfId="20018" priority="138388" stopIfTrue="1" operator="lessThan">
      <formula>0.5</formula>
    </cfRule>
  </conditionalFormatting>
  <conditionalFormatting sqref="V25">
    <cfRule type="cellIs" dxfId="20017" priority="138389" stopIfTrue="1" operator="greaterThanOrEqual">
      <formula>0.5</formula>
    </cfRule>
  </conditionalFormatting>
  <conditionalFormatting sqref="V26">
    <cfRule type="cellIs" dxfId="20016" priority="138390" stopIfTrue="1" operator="equal">
      <formula>-1</formula>
    </cfRule>
  </conditionalFormatting>
  <conditionalFormatting sqref="V26">
    <cfRule type="cellIs" dxfId="20015" priority="138391" stopIfTrue="1" operator="lessThan">
      <formula>0.5</formula>
    </cfRule>
  </conditionalFormatting>
  <conditionalFormatting sqref="V26">
    <cfRule type="cellIs" dxfId="20014" priority="138392" stopIfTrue="1" operator="greaterThanOrEqual">
      <formula>0.5</formula>
    </cfRule>
  </conditionalFormatting>
  <conditionalFormatting sqref="V27">
    <cfRule type="cellIs" dxfId="20013" priority="138393" stopIfTrue="1" operator="equal">
      <formula>-1</formula>
    </cfRule>
  </conditionalFormatting>
  <conditionalFormatting sqref="V27">
    <cfRule type="cellIs" dxfId="20012" priority="138394" stopIfTrue="1" operator="lessThan">
      <formula>0.5</formula>
    </cfRule>
  </conditionalFormatting>
  <conditionalFormatting sqref="V27">
    <cfRule type="cellIs" dxfId="20011" priority="138395" stopIfTrue="1" operator="greaterThanOrEqual">
      <formula>0.5</formula>
    </cfRule>
  </conditionalFormatting>
  <conditionalFormatting sqref="V28">
    <cfRule type="cellIs" dxfId="20010" priority="138396" stopIfTrue="1" operator="equal">
      <formula>-1</formula>
    </cfRule>
  </conditionalFormatting>
  <conditionalFormatting sqref="V28">
    <cfRule type="cellIs" dxfId="20009" priority="138397" stopIfTrue="1" operator="lessThan">
      <formula>0.5</formula>
    </cfRule>
  </conditionalFormatting>
  <conditionalFormatting sqref="V28">
    <cfRule type="cellIs" dxfId="20008" priority="138398" stopIfTrue="1" operator="greaterThanOrEqual">
      <formula>0.5</formula>
    </cfRule>
  </conditionalFormatting>
  <conditionalFormatting sqref="V29">
    <cfRule type="cellIs" dxfId="20007" priority="138399" stopIfTrue="1" operator="equal">
      <formula>-1</formula>
    </cfRule>
  </conditionalFormatting>
  <conditionalFormatting sqref="V29">
    <cfRule type="cellIs" dxfId="20006" priority="138400" stopIfTrue="1" operator="lessThan">
      <formula>0.5</formula>
    </cfRule>
  </conditionalFormatting>
  <conditionalFormatting sqref="V29">
    <cfRule type="cellIs" dxfId="20005" priority="138401" stopIfTrue="1" operator="greaterThanOrEqual">
      <formula>0.5</formula>
    </cfRule>
  </conditionalFormatting>
  <conditionalFormatting sqref="V30">
    <cfRule type="cellIs" dxfId="20004" priority="138402" stopIfTrue="1" operator="equal">
      <formula>-1</formula>
    </cfRule>
  </conditionalFormatting>
  <conditionalFormatting sqref="V30">
    <cfRule type="cellIs" dxfId="20003" priority="138403" stopIfTrue="1" operator="lessThan">
      <formula>0.5</formula>
    </cfRule>
  </conditionalFormatting>
  <conditionalFormatting sqref="V30">
    <cfRule type="cellIs" dxfId="20002" priority="138404" stopIfTrue="1" operator="greaterThanOrEqual">
      <formula>0.5</formula>
    </cfRule>
  </conditionalFormatting>
  <conditionalFormatting sqref="V31">
    <cfRule type="cellIs" dxfId="20001" priority="138405" stopIfTrue="1" operator="equal">
      <formula>-1</formula>
    </cfRule>
  </conditionalFormatting>
  <conditionalFormatting sqref="V31">
    <cfRule type="cellIs" dxfId="20000" priority="138406" stopIfTrue="1" operator="lessThan">
      <formula>0.5</formula>
    </cfRule>
  </conditionalFormatting>
  <conditionalFormatting sqref="V31">
    <cfRule type="cellIs" dxfId="19999" priority="138407" stopIfTrue="1" operator="greaterThanOrEqual">
      <formula>0.5</formula>
    </cfRule>
  </conditionalFormatting>
  <conditionalFormatting sqref="V32">
    <cfRule type="cellIs" dxfId="19998" priority="138408" stopIfTrue="1" operator="equal">
      <formula>-1</formula>
    </cfRule>
  </conditionalFormatting>
  <conditionalFormatting sqref="V32">
    <cfRule type="cellIs" dxfId="19997" priority="138409" stopIfTrue="1" operator="lessThan">
      <formula>0.5</formula>
    </cfRule>
  </conditionalFormatting>
  <conditionalFormatting sqref="V32">
    <cfRule type="cellIs" dxfId="19996" priority="138410" stopIfTrue="1" operator="greaterThanOrEqual">
      <formula>0.5</formula>
    </cfRule>
  </conditionalFormatting>
  <conditionalFormatting sqref="V33">
    <cfRule type="cellIs" dxfId="19995" priority="138411" stopIfTrue="1" operator="equal">
      <formula>-1</formula>
    </cfRule>
  </conditionalFormatting>
  <conditionalFormatting sqref="V33">
    <cfRule type="cellIs" dxfId="19994" priority="138412" stopIfTrue="1" operator="lessThan">
      <formula>0.5</formula>
    </cfRule>
  </conditionalFormatting>
  <conditionalFormatting sqref="V33">
    <cfRule type="cellIs" dxfId="19993" priority="138413" stopIfTrue="1" operator="greaterThanOrEqual">
      <formula>0.5</formula>
    </cfRule>
  </conditionalFormatting>
  <conditionalFormatting sqref="V34">
    <cfRule type="cellIs" dxfId="19992" priority="138414" stopIfTrue="1" operator="equal">
      <formula>-1</formula>
    </cfRule>
  </conditionalFormatting>
  <conditionalFormatting sqref="V34">
    <cfRule type="cellIs" dxfId="19991" priority="138415" stopIfTrue="1" operator="lessThan">
      <formula>0.5</formula>
    </cfRule>
  </conditionalFormatting>
  <conditionalFormatting sqref="V34">
    <cfRule type="cellIs" dxfId="19990" priority="138416" stopIfTrue="1" operator="greaterThanOrEqual">
      <formula>0.5</formula>
    </cfRule>
  </conditionalFormatting>
  <conditionalFormatting sqref="V35">
    <cfRule type="cellIs" dxfId="19989" priority="138417" stopIfTrue="1" operator="equal">
      <formula>-1</formula>
    </cfRule>
  </conditionalFormatting>
  <conditionalFormatting sqref="V35">
    <cfRule type="cellIs" dxfId="19988" priority="138418" stopIfTrue="1" operator="lessThan">
      <formula>0.5</formula>
    </cfRule>
  </conditionalFormatting>
  <conditionalFormatting sqref="V35">
    <cfRule type="cellIs" dxfId="19987" priority="138419" stopIfTrue="1" operator="greaterThanOrEqual">
      <formula>0.5</formula>
    </cfRule>
  </conditionalFormatting>
  <conditionalFormatting sqref="V36">
    <cfRule type="cellIs" dxfId="19986" priority="138420" stopIfTrue="1" operator="equal">
      <formula>-1</formula>
    </cfRule>
  </conditionalFormatting>
  <conditionalFormatting sqref="V36">
    <cfRule type="cellIs" dxfId="19985" priority="138421" stopIfTrue="1" operator="lessThan">
      <formula>0.5</formula>
    </cfRule>
  </conditionalFormatting>
  <conditionalFormatting sqref="V36">
    <cfRule type="cellIs" dxfId="19984" priority="138422" stopIfTrue="1" operator="greaterThanOrEqual">
      <formula>0.5</formula>
    </cfRule>
  </conditionalFormatting>
  <conditionalFormatting sqref="V37">
    <cfRule type="cellIs" dxfId="19983" priority="138423" stopIfTrue="1" operator="equal">
      <formula>-1</formula>
    </cfRule>
  </conditionalFormatting>
  <conditionalFormatting sqref="V37">
    <cfRule type="cellIs" dxfId="19982" priority="138424" stopIfTrue="1" operator="lessThan">
      <formula>0.5</formula>
    </cfRule>
  </conditionalFormatting>
  <conditionalFormatting sqref="V37">
    <cfRule type="cellIs" dxfId="19981" priority="138425" stopIfTrue="1" operator="greaterThanOrEqual">
      <formula>0.5</formula>
    </cfRule>
  </conditionalFormatting>
  <conditionalFormatting sqref="X17">
    <cfRule type="cellIs" dxfId="19980" priority="138426" stopIfTrue="1" operator="equal">
      <formula>-1</formula>
    </cfRule>
  </conditionalFormatting>
  <conditionalFormatting sqref="X17">
    <cfRule type="cellIs" dxfId="19979" priority="138427" stopIfTrue="1" operator="lessThan">
      <formula>0.5</formula>
    </cfRule>
  </conditionalFormatting>
  <conditionalFormatting sqref="X17">
    <cfRule type="cellIs" dxfId="19978" priority="138428" stopIfTrue="1" operator="greaterThanOrEqual">
      <formula>0.5</formula>
    </cfRule>
  </conditionalFormatting>
  <conditionalFormatting sqref="X18">
    <cfRule type="cellIs" dxfId="19977" priority="138429" stopIfTrue="1" operator="equal">
      <formula>-1</formula>
    </cfRule>
  </conditionalFormatting>
  <conditionalFormatting sqref="X18">
    <cfRule type="cellIs" dxfId="19976" priority="138430" stopIfTrue="1" operator="lessThan">
      <formula>0.5</formula>
    </cfRule>
  </conditionalFormatting>
  <conditionalFormatting sqref="X18">
    <cfRule type="cellIs" dxfId="19975" priority="138431" stopIfTrue="1" operator="greaterThanOrEqual">
      <formula>0.5</formula>
    </cfRule>
  </conditionalFormatting>
  <conditionalFormatting sqref="X19">
    <cfRule type="cellIs" dxfId="19974" priority="138432" stopIfTrue="1" operator="equal">
      <formula>-1</formula>
    </cfRule>
  </conditionalFormatting>
  <conditionalFormatting sqref="X19">
    <cfRule type="cellIs" dxfId="19973" priority="138433" stopIfTrue="1" operator="lessThan">
      <formula>0.5</formula>
    </cfRule>
  </conditionalFormatting>
  <conditionalFormatting sqref="X19">
    <cfRule type="cellIs" dxfId="19972" priority="138434" stopIfTrue="1" operator="greaterThanOrEqual">
      <formula>0.5</formula>
    </cfRule>
  </conditionalFormatting>
  <conditionalFormatting sqref="X20">
    <cfRule type="cellIs" dxfId="19971" priority="138435" stopIfTrue="1" operator="equal">
      <formula>-1</formula>
    </cfRule>
  </conditionalFormatting>
  <conditionalFormatting sqref="X20">
    <cfRule type="cellIs" dxfId="19970" priority="138436" stopIfTrue="1" operator="lessThan">
      <formula>0.5</formula>
    </cfRule>
  </conditionalFormatting>
  <conditionalFormatting sqref="X20">
    <cfRule type="cellIs" dxfId="19969" priority="138437" stopIfTrue="1" operator="greaterThanOrEqual">
      <formula>0.5</formula>
    </cfRule>
  </conditionalFormatting>
  <conditionalFormatting sqref="X21">
    <cfRule type="cellIs" dxfId="19968" priority="138438" stopIfTrue="1" operator="equal">
      <formula>-1</formula>
    </cfRule>
  </conditionalFormatting>
  <conditionalFormatting sqref="X21">
    <cfRule type="cellIs" dxfId="19967" priority="138439" stopIfTrue="1" operator="lessThan">
      <formula>0.5</formula>
    </cfRule>
  </conditionalFormatting>
  <conditionalFormatting sqref="X21">
    <cfRule type="cellIs" dxfId="19966" priority="138440" stopIfTrue="1" operator="greaterThanOrEqual">
      <formula>0.5</formula>
    </cfRule>
  </conditionalFormatting>
  <conditionalFormatting sqref="X22">
    <cfRule type="cellIs" dxfId="19965" priority="138441" stopIfTrue="1" operator="equal">
      <formula>-1</formula>
    </cfRule>
  </conditionalFormatting>
  <conditionalFormatting sqref="X22">
    <cfRule type="cellIs" dxfId="19964" priority="138442" stopIfTrue="1" operator="lessThan">
      <formula>0.5</formula>
    </cfRule>
  </conditionalFormatting>
  <conditionalFormatting sqref="X22">
    <cfRule type="cellIs" dxfId="19963" priority="138443" stopIfTrue="1" operator="greaterThanOrEqual">
      <formula>0.5</formula>
    </cfRule>
  </conditionalFormatting>
  <conditionalFormatting sqref="X23">
    <cfRule type="cellIs" dxfId="19962" priority="138444" stopIfTrue="1" operator="equal">
      <formula>-1</formula>
    </cfRule>
  </conditionalFormatting>
  <conditionalFormatting sqref="X23">
    <cfRule type="cellIs" dxfId="19961" priority="138445" stopIfTrue="1" operator="lessThan">
      <formula>0.5</formula>
    </cfRule>
  </conditionalFormatting>
  <conditionalFormatting sqref="X23">
    <cfRule type="cellIs" dxfId="19960" priority="138446" stopIfTrue="1" operator="greaterThanOrEqual">
      <formula>0.5</formula>
    </cfRule>
  </conditionalFormatting>
  <conditionalFormatting sqref="X24">
    <cfRule type="cellIs" dxfId="19959" priority="138447" stopIfTrue="1" operator="equal">
      <formula>-1</formula>
    </cfRule>
  </conditionalFormatting>
  <conditionalFormatting sqref="X24">
    <cfRule type="cellIs" dxfId="19958" priority="138448" stopIfTrue="1" operator="lessThan">
      <formula>0.5</formula>
    </cfRule>
  </conditionalFormatting>
  <conditionalFormatting sqref="X24">
    <cfRule type="cellIs" dxfId="19957" priority="138449" stopIfTrue="1" operator="greaterThanOrEqual">
      <formula>0.5</formula>
    </cfRule>
  </conditionalFormatting>
  <conditionalFormatting sqref="X25">
    <cfRule type="cellIs" dxfId="19956" priority="138450" stopIfTrue="1" operator="equal">
      <formula>-1</formula>
    </cfRule>
  </conditionalFormatting>
  <conditionalFormatting sqref="X25">
    <cfRule type="cellIs" dxfId="19955" priority="138451" stopIfTrue="1" operator="lessThan">
      <formula>0.5</formula>
    </cfRule>
  </conditionalFormatting>
  <conditionalFormatting sqref="X25">
    <cfRule type="cellIs" dxfId="19954" priority="138452" stopIfTrue="1" operator="greaterThanOrEqual">
      <formula>0.5</formula>
    </cfRule>
  </conditionalFormatting>
  <conditionalFormatting sqref="X26">
    <cfRule type="cellIs" dxfId="19953" priority="138453" stopIfTrue="1" operator="equal">
      <formula>-1</formula>
    </cfRule>
  </conditionalFormatting>
  <conditionalFormatting sqref="X26">
    <cfRule type="cellIs" dxfId="19952" priority="138454" stopIfTrue="1" operator="lessThan">
      <formula>0.5</formula>
    </cfRule>
  </conditionalFormatting>
  <conditionalFormatting sqref="X26">
    <cfRule type="cellIs" dxfId="19951" priority="138455" stopIfTrue="1" operator="greaterThanOrEqual">
      <formula>0.5</formula>
    </cfRule>
  </conditionalFormatting>
  <conditionalFormatting sqref="X27">
    <cfRule type="cellIs" dxfId="19950" priority="138456" stopIfTrue="1" operator="equal">
      <formula>-1</formula>
    </cfRule>
  </conditionalFormatting>
  <conditionalFormatting sqref="X27">
    <cfRule type="cellIs" dxfId="19949" priority="138457" stopIfTrue="1" operator="lessThan">
      <formula>0.5</formula>
    </cfRule>
  </conditionalFormatting>
  <conditionalFormatting sqref="X27">
    <cfRule type="cellIs" dxfId="19948" priority="138458" stopIfTrue="1" operator="greaterThanOrEqual">
      <formula>0.5</formula>
    </cfRule>
  </conditionalFormatting>
  <conditionalFormatting sqref="X28">
    <cfRule type="cellIs" dxfId="19947" priority="138459" stopIfTrue="1" operator="equal">
      <formula>-1</formula>
    </cfRule>
  </conditionalFormatting>
  <conditionalFormatting sqref="X28">
    <cfRule type="cellIs" dxfId="19946" priority="138460" stopIfTrue="1" operator="lessThan">
      <formula>0.5</formula>
    </cfRule>
  </conditionalFormatting>
  <conditionalFormatting sqref="X28">
    <cfRule type="cellIs" dxfId="19945" priority="138461" stopIfTrue="1" operator="greaterThanOrEqual">
      <formula>0.5</formula>
    </cfRule>
  </conditionalFormatting>
  <conditionalFormatting sqref="X29">
    <cfRule type="cellIs" dxfId="19944" priority="138462" stopIfTrue="1" operator="equal">
      <formula>-1</formula>
    </cfRule>
  </conditionalFormatting>
  <conditionalFormatting sqref="X29">
    <cfRule type="cellIs" dxfId="19943" priority="138463" stopIfTrue="1" operator="lessThan">
      <formula>0.5</formula>
    </cfRule>
  </conditionalFormatting>
  <conditionalFormatting sqref="X29">
    <cfRule type="cellIs" dxfId="19942" priority="138464" stopIfTrue="1" operator="greaterThanOrEqual">
      <formula>0.5</formula>
    </cfRule>
  </conditionalFormatting>
  <conditionalFormatting sqref="X30">
    <cfRule type="cellIs" dxfId="19941" priority="138465" stopIfTrue="1" operator="equal">
      <formula>-1</formula>
    </cfRule>
  </conditionalFormatting>
  <conditionalFormatting sqref="X30">
    <cfRule type="cellIs" dxfId="19940" priority="138466" stopIfTrue="1" operator="lessThan">
      <formula>0.5</formula>
    </cfRule>
  </conditionalFormatting>
  <conditionalFormatting sqref="X30">
    <cfRule type="cellIs" dxfId="19939" priority="138467" stopIfTrue="1" operator="greaterThanOrEqual">
      <formula>0.5</formula>
    </cfRule>
  </conditionalFormatting>
  <conditionalFormatting sqref="X31">
    <cfRule type="cellIs" dxfId="19938" priority="138468" stopIfTrue="1" operator="equal">
      <formula>-1</formula>
    </cfRule>
  </conditionalFormatting>
  <conditionalFormatting sqref="X31">
    <cfRule type="cellIs" dxfId="19937" priority="138469" stopIfTrue="1" operator="lessThan">
      <formula>0.5</formula>
    </cfRule>
  </conditionalFormatting>
  <conditionalFormatting sqref="X31">
    <cfRule type="cellIs" dxfId="19936" priority="138470" stopIfTrue="1" operator="greaterThanOrEqual">
      <formula>0.5</formula>
    </cfRule>
  </conditionalFormatting>
  <conditionalFormatting sqref="X32">
    <cfRule type="cellIs" dxfId="19935" priority="138471" stopIfTrue="1" operator="equal">
      <formula>-1</formula>
    </cfRule>
  </conditionalFormatting>
  <conditionalFormatting sqref="X32">
    <cfRule type="cellIs" dxfId="19934" priority="138472" stopIfTrue="1" operator="lessThan">
      <formula>0.5</formula>
    </cfRule>
  </conditionalFormatting>
  <conditionalFormatting sqref="X32">
    <cfRule type="cellIs" dxfId="19933" priority="138473" stopIfTrue="1" operator="greaterThanOrEqual">
      <formula>0.5</formula>
    </cfRule>
  </conditionalFormatting>
  <conditionalFormatting sqref="X33">
    <cfRule type="cellIs" dxfId="19932" priority="138474" stopIfTrue="1" operator="equal">
      <formula>-1</formula>
    </cfRule>
  </conditionalFormatting>
  <conditionalFormatting sqref="X33">
    <cfRule type="cellIs" dxfId="19931" priority="138475" stopIfTrue="1" operator="lessThan">
      <formula>0.5</formula>
    </cfRule>
  </conditionalFormatting>
  <conditionalFormatting sqref="X33">
    <cfRule type="cellIs" dxfId="19930" priority="138476" stopIfTrue="1" operator="greaterThanOrEqual">
      <formula>0.5</formula>
    </cfRule>
  </conditionalFormatting>
  <conditionalFormatting sqref="X34">
    <cfRule type="cellIs" dxfId="19929" priority="138477" stopIfTrue="1" operator="equal">
      <formula>-1</formula>
    </cfRule>
  </conditionalFormatting>
  <conditionalFormatting sqref="X34">
    <cfRule type="cellIs" dxfId="19928" priority="138478" stopIfTrue="1" operator="lessThan">
      <formula>0.5</formula>
    </cfRule>
  </conditionalFormatting>
  <conditionalFormatting sqref="X34">
    <cfRule type="cellIs" dxfId="19927" priority="138479" stopIfTrue="1" operator="greaterThanOrEqual">
      <formula>0.5</formula>
    </cfRule>
  </conditionalFormatting>
  <conditionalFormatting sqref="X35">
    <cfRule type="cellIs" dxfId="19926" priority="138480" stopIfTrue="1" operator="equal">
      <formula>-1</formula>
    </cfRule>
  </conditionalFormatting>
  <conditionalFormatting sqref="X35">
    <cfRule type="cellIs" dxfId="19925" priority="138481" stopIfTrue="1" operator="lessThan">
      <formula>0.5</formula>
    </cfRule>
  </conditionalFormatting>
  <conditionalFormatting sqref="X35">
    <cfRule type="cellIs" dxfId="19924" priority="138482" stopIfTrue="1" operator="greaterThanOrEqual">
      <formula>0.5</formula>
    </cfRule>
  </conditionalFormatting>
  <conditionalFormatting sqref="X36">
    <cfRule type="cellIs" dxfId="19923" priority="138483" stopIfTrue="1" operator="equal">
      <formula>-1</formula>
    </cfRule>
  </conditionalFormatting>
  <conditionalFormatting sqref="X36">
    <cfRule type="cellIs" dxfId="19922" priority="138484" stopIfTrue="1" operator="lessThan">
      <formula>0.5</formula>
    </cfRule>
  </conditionalFormatting>
  <conditionalFormatting sqref="X36">
    <cfRule type="cellIs" dxfId="19921" priority="138485" stopIfTrue="1" operator="greaterThanOrEqual">
      <formula>0.5</formula>
    </cfRule>
  </conditionalFormatting>
  <conditionalFormatting sqref="X37">
    <cfRule type="cellIs" dxfId="19920" priority="138486" stopIfTrue="1" operator="equal">
      <formula>-1</formula>
    </cfRule>
  </conditionalFormatting>
  <conditionalFormatting sqref="X37">
    <cfRule type="cellIs" dxfId="19919" priority="138487" stopIfTrue="1" operator="lessThan">
      <formula>0.5</formula>
    </cfRule>
  </conditionalFormatting>
  <conditionalFormatting sqref="X37">
    <cfRule type="cellIs" dxfId="19918" priority="138488" stopIfTrue="1" operator="greaterThanOrEqual">
      <formula>0.5</formula>
    </cfRule>
  </conditionalFormatting>
  <conditionalFormatting sqref="Z17">
    <cfRule type="cellIs" dxfId="19917" priority="138489" stopIfTrue="1" operator="equal">
      <formula>-1</formula>
    </cfRule>
  </conditionalFormatting>
  <conditionalFormatting sqref="Z17">
    <cfRule type="cellIs" dxfId="19916" priority="138490" stopIfTrue="1" operator="lessThan">
      <formula>0.5</formula>
    </cfRule>
  </conditionalFormatting>
  <conditionalFormatting sqref="Z17">
    <cfRule type="cellIs" dxfId="19915" priority="138491" stopIfTrue="1" operator="greaterThanOrEqual">
      <formula>0.5</formula>
    </cfRule>
  </conditionalFormatting>
  <conditionalFormatting sqref="Z18">
    <cfRule type="cellIs" dxfId="19914" priority="138492" stopIfTrue="1" operator="equal">
      <formula>-1</formula>
    </cfRule>
  </conditionalFormatting>
  <conditionalFormatting sqref="Z18">
    <cfRule type="cellIs" dxfId="19913" priority="138493" stopIfTrue="1" operator="lessThan">
      <formula>0.5</formula>
    </cfRule>
  </conditionalFormatting>
  <conditionalFormatting sqref="Z18">
    <cfRule type="cellIs" dxfId="19912" priority="138494" stopIfTrue="1" operator="greaterThanOrEqual">
      <formula>0.5</formula>
    </cfRule>
  </conditionalFormatting>
  <conditionalFormatting sqref="Z19">
    <cfRule type="cellIs" dxfId="19911" priority="138495" stopIfTrue="1" operator="equal">
      <formula>-1</formula>
    </cfRule>
  </conditionalFormatting>
  <conditionalFormatting sqref="Z19">
    <cfRule type="cellIs" dxfId="19910" priority="138496" stopIfTrue="1" operator="lessThan">
      <formula>0.5</formula>
    </cfRule>
  </conditionalFormatting>
  <conditionalFormatting sqref="Z19">
    <cfRule type="cellIs" dxfId="19909" priority="138497" stopIfTrue="1" operator="greaterThanOrEqual">
      <formula>0.5</formula>
    </cfRule>
  </conditionalFormatting>
  <conditionalFormatting sqref="Z20">
    <cfRule type="cellIs" dxfId="19908" priority="138498" stopIfTrue="1" operator="equal">
      <formula>-1</formula>
    </cfRule>
  </conditionalFormatting>
  <conditionalFormatting sqref="Z20">
    <cfRule type="cellIs" dxfId="19907" priority="138499" stopIfTrue="1" operator="lessThan">
      <formula>0.5</formula>
    </cfRule>
  </conditionalFormatting>
  <conditionalFormatting sqref="Z20">
    <cfRule type="cellIs" dxfId="19906" priority="138500" stopIfTrue="1" operator="greaterThanOrEqual">
      <formula>0.5</formula>
    </cfRule>
  </conditionalFormatting>
  <conditionalFormatting sqref="Z21">
    <cfRule type="cellIs" dxfId="19905" priority="138501" stopIfTrue="1" operator="equal">
      <formula>-1</formula>
    </cfRule>
  </conditionalFormatting>
  <conditionalFormatting sqref="Z21">
    <cfRule type="cellIs" dxfId="19904" priority="138502" stopIfTrue="1" operator="lessThan">
      <formula>0.5</formula>
    </cfRule>
  </conditionalFormatting>
  <conditionalFormatting sqref="Z21">
    <cfRule type="cellIs" dxfId="19903" priority="138503" stopIfTrue="1" operator="greaterThanOrEqual">
      <formula>0.5</formula>
    </cfRule>
  </conditionalFormatting>
  <conditionalFormatting sqref="Z22">
    <cfRule type="cellIs" dxfId="19902" priority="138504" stopIfTrue="1" operator="equal">
      <formula>-1</formula>
    </cfRule>
  </conditionalFormatting>
  <conditionalFormatting sqref="Z22">
    <cfRule type="cellIs" dxfId="19901" priority="138505" stopIfTrue="1" operator="lessThan">
      <formula>0.5</formula>
    </cfRule>
  </conditionalFormatting>
  <conditionalFormatting sqref="Z22">
    <cfRule type="cellIs" dxfId="19900" priority="138506" stopIfTrue="1" operator="greaterThanOrEqual">
      <formula>0.5</formula>
    </cfRule>
  </conditionalFormatting>
  <conditionalFormatting sqref="Z23">
    <cfRule type="cellIs" dxfId="19899" priority="138507" stopIfTrue="1" operator="equal">
      <formula>-1</formula>
    </cfRule>
  </conditionalFormatting>
  <conditionalFormatting sqref="Z23">
    <cfRule type="cellIs" dxfId="19898" priority="138508" stopIfTrue="1" operator="lessThan">
      <formula>0.5</formula>
    </cfRule>
  </conditionalFormatting>
  <conditionalFormatting sqref="Z23">
    <cfRule type="cellIs" dxfId="19897" priority="138509" stopIfTrue="1" operator="greaterThanOrEqual">
      <formula>0.5</formula>
    </cfRule>
  </conditionalFormatting>
  <conditionalFormatting sqref="Z24">
    <cfRule type="cellIs" dxfId="19896" priority="138510" stopIfTrue="1" operator="equal">
      <formula>-1</formula>
    </cfRule>
  </conditionalFormatting>
  <conditionalFormatting sqref="Z24">
    <cfRule type="cellIs" dxfId="19895" priority="138511" stopIfTrue="1" operator="lessThan">
      <formula>0.5</formula>
    </cfRule>
  </conditionalFormatting>
  <conditionalFormatting sqref="Z24">
    <cfRule type="cellIs" dxfId="19894" priority="138512" stopIfTrue="1" operator="greaterThanOrEqual">
      <formula>0.5</formula>
    </cfRule>
  </conditionalFormatting>
  <conditionalFormatting sqref="Z25">
    <cfRule type="cellIs" dxfId="19893" priority="138513" stopIfTrue="1" operator="equal">
      <formula>-1</formula>
    </cfRule>
  </conditionalFormatting>
  <conditionalFormatting sqref="Z25">
    <cfRule type="cellIs" dxfId="19892" priority="138514" stopIfTrue="1" operator="lessThan">
      <formula>0.5</formula>
    </cfRule>
  </conditionalFormatting>
  <conditionalFormatting sqref="Z25">
    <cfRule type="cellIs" dxfId="19891" priority="138515" stopIfTrue="1" operator="greaterThanOrEqual">
      <formula>0.5</formula>
    </cfRule>
  </conditionalFormatting>
  <conditionalFormatting sqref="Z26">
    <cfRule type="cellIs" dxfId="19890" priority="138516" stopIfTrue="1" operator="equal">
      <formula>-1</formula>
    </cfRule>
  </conditionalFormatting>
  <conditionalFormatting sqref="Z26">
    <cfRule type="cellIs" dxfId="19889" priority="138517" stopIfTrue="1" operator="lessThan">
      <formula>0.5</formula>
    </cfRule>
  </conditionalFormatting>
  <conditionalFormatting sqref="Z26">
    <cfRule type="cellIs" dxfId="19888" priority="138518" stopIfTrue="1" operator="greaterThanOrEqual">
      <formula>0.5</formula>
    </cfRule>
  </conditionalFormatting>
  <conditionalFormatting sqref="Z27">
    <cfRule type="cellIs" dxfId="19887" priority="138519" stopIfTrue="1" operator="equal">
      <formula>-1</formula>
    </cfRule>
  </conditionalFormatting>
  <conditionalFormatting sqref="Z27">
    <cfRule type="cellIs" dxfId="19886" priority="138520" stopIfTrue="1" operator="lessThan">
      <formula>0.5</formula>
    </cfRule>
  </conditionalFormatting>
  <conditionalFormatting sqref="Z27">
    <cfRule type="cellIs" dxfId="19885" priority="138521" stopIfTrue="1" operator="greaterThanOrEqual">
      <formula>0.5</formula>
    </cfRule>
  </conditionalFormatting>
  <conditionalFormatting sqref="Z28">
    <cfRule type="cellIs" dxfId="19884" priority="138522" stopIfTrue="1" operator="equal">
      <formula>-1</formula>
    </cfRule>
  </conditionalFormatting>
  <conditionalFormatting sqref="Z28">
    <cfRule type="cellIs" dxfId="19883" priority="138523" stopIfTrue="1" operator="lessThan">
      <formula>0.5</formula>
    </cfRule>
  </conditionalFormatting>
  <conditionalFormatting sqref="Z28">
    <cfRule type="cellIs" dxfId="19882" priority="138524" stopIfTrue="1" operator="greaterThanOrEqual">
      <formula>0.5</formula>
    </cfRule>
  </conditionalFormatting>
  <conditionalFormatting sqref="Z29">
    <cfRule type="cellIs" dxfId="19881" priority="138525" stopIfTrue="1" operator="equal">
      <formula>-1</formula>
    </cfRule>
  </conditionalFormatting>
  <conditionalFormatting sqref="Z29">
    <cfRule type="cellIs" dxfId="19880" priority="138526" stopIfTrue="1" operator="lessThan">
      <formula>0.5</formula>
    </cfRule>
  </conditionalFormatting>
  <conditionalFormatting sqref="Z29">
    <cfRule type="cellIs" dxfId="19879" priority="138527" stopIfTrue="1" operator="greaterThanOrEqual">
      <formula>0.5</formula>
    </cfRule>
  </conditionalFormatting>
  <conditionalFormatting sqref="Z30">
    <cfRule type="cellIs" dxfId="19878" priority="138528" stopIfTrue="1" operator="equal">
      <formula>-1</formula>
    </cfRule>
  </conditionalFormatting>
  <conditionalFormatting sqref="Z30">
    <cfRule type="cellIs" dxfId="19877" priority="138529" stopIfTrue="1" operator="lessThan">
      <formula>0.5</formula>
    </cfRule>
  </conditionalFormatting>
  <conditionalFormatting sqref="Z30">
    <cfRule type="cellIs" dxfId="19876" priority="138530" stopIfTrue="1" operator="greaterThanOrEqual">
      <formula>0.5</formula>
    </cfRule>
  </conditionalFormatting>
  <conditionalFormatting sqref="Z31">
    <cfRule type="cellIs" dxfId="19875" priority="138531" stopIfTrue="1" operator="equal">
      <formula>-1</formula>
    </cfRule>
  </conditionalFormatting>
  <conditionalFormatting sqref="Z31">
    <cfRule type="cellIs" dxfId="19874" priority="138532" stopIfTrue="1" operator="lessThan">
      <formula>0.5</formula>
    </cfRule>
  </conditionalFormatting>
  <conditionalFormatting sqref="Z31">
    <cfRule type="cellIs" dxfId="19873" priority="138533" stopIfTrue="1" operator="greaterThanOrEqual">
      <formula>0.5</formula>
    </cfRule>
  </conditionalFormatting>
  <conditionalFormatting sqref="Z32">
    <cfRule type="cellIs" dxfId="19872" priority="138534" stopIfTrue="1" operator="equal">
      <formula>-1</formula>
    </cfRule>
  </conditionalFormatting>
  <conditionalFormatting sqref="Z32">
    <cfRule type="cellIs" dxfId="19871" priority="138535" stopIfTrue="1" operator="lessThan">
      <formula>0.5</formula>
    </cfRule>
  </conditionalFormatting>
  <conditionalFormatting sqref="Z32">
    <cfRule type="cellIs" dxfId="19870" priority="138536" stopIfTrue="1" operator="greaterThanOrEqual">
      <formula>0.5</formula>
    </cfRule>
  </conditionalFormatting>
  <conditionalFormatting sqref="Z33">
    <cfRule type="cellIs" dxfId="19869" priority="138537" stopIfTrue="1" operator="equal">
      <formula>-1</formula>
    </cfRule>
  </conditionalFormatting>
  <conditionalFormatting sqref="Z33">
    <cfRule type="cellIs" dxfId="19868" priority="138538" stopIfTrue="1" operator="lessThan">
      <formula>0.5</formula>
    </cfRule>
  </conditionalFormatting>
  <conditionalFormatting sqref="Z33">
    <cfRule type="cellIs" dxfId="19867" priority="138539" stopIfTrue="1" operator="greaterThanOrEqual">
      <formula>0.5</formula>
    </cfRule>
  </conditionalFormatting>
  <conditionalFormatting sqref="Z34">
    <cfRule type="cellIs" dxfId="19866" priority="138540" stopIfTrue="1" operator="equal">
      <formula>-1</formula>
    </cfRule>
  </conditionalFormatting>
  <conditionalFormatting sqref="Z34">
    <cfRule type="cellIs" dxfId="19865" priority="138541" stopIfTrue="1" operator="lessThan">
      <formula>0.5</formula>
    </cfRule>
  </conditionalFormatting>
  <conditionalFormatting sqref="Z34">
    <cfRule type="cellIs" dxfId="19864" priority="138542" stopIfTrue="1" operator="greaterThanOrEqual">
      <formula>0.5</formula>
    </cfRule>
  </conditionalFormatting>
  <conditionalFormatting sqref="Z35">
    <cfRule type="cellIs" dxfId="19863" priority="138543" stopIfTrue="1" operator="equal">
      <formula>-1</formula>
    </cfRule>
  </conditionalFormatting>
  <conditionalFormatting sqref="Z35">
    <cfRule type="cellIs" dxfId="19862" priority="138544" stopIfTrue="1" operator="lessThan">
      <formula>0.5</formula>
    </cfRule>
  </conditionalFormatting>
  <conditionalFormatting sqref="Z35">
    <cfRule type="cellIs" dxfId="19861" priority="138545" stopIfTrue="1" operator="greaterThanOrEqual">
      <formula>0.5</formula>
    </cfRule>
  </conditionalFormatting>
  <conditionalFormatting sqref="Z36">
    <cfRule type="cellIs" dxfId="19860" priority="138546" stopIfTrue="1" operator="equal">
      <formula>-1</formula>
    </cfRule>
  </conditionalFormatting>
  <conditionalFormatting sqref="Z36">
    <cfRule type="cellIs" dxfId="19859" priority="138547" stopIfTrue="1" operator="lessThan">
      <formula>0.5</formula>
    </cfRule>
  </conditionalFormatting>
  <conditionalFormatting sqref="Z36">
    <cfRule type="cellIs" dxfId="19858" priority="138548" stopIfTrue="1" operator="greaterThanOrEqual">
      <formula>0.5</formula>
    </cfRule>
  </conditionalFormatting>
  <conditionalFormatting sqref="Z37">
    <cfRule type="cellIs" dxfId="19857" priority="138549" stopIfTrue="1" operator="equal">
      <formula>-1</formula>
    </cfRule>
  </conditionalFormatting>
  <conditionalFormatting sqref="Z37">
    <cfRule type="cellIs" dxfId="19856" priority="138550" stopIfTrue="1" operator="lessThan">
      <formula>0.5</formula>
    </cfRule>
  </conditionalFormatting>
  <conditionalFormatting sqref="Z37">
    <cfRule type="cellIs" dxfId="19855" priority="138551" stopIfTrue="1" operator="greaterThanOrEqual">
      <formula>0.5</formula>
    </cfRule>
  </conditionalFormatting>
  <conditionalFormatting sqref="AB17">
    <cfRule type="cellIs" dxfId="19854" priority="138552" stopIfTrue="1" operator="equal">
      <formula>-1</formula>
    </cfRule>
  </conditionalFormatting>
  <conditionalFormatting sqref="AB17">
    <cfRule type="cellIs" dxfId="19853" priority="138553" stopIfTrue="1" operator="lessThan">
      <formula>0.5</formula>
    </cfRule>
  </conditionalFormatting>
  <conditionalFormatting sqref="AB17">
    <cfRule type="cellIs" dxfId="19852" priority="138554" stopIfTrue="1" operator="greaterThanOrEqual">
      <formula>0.5</formula>
    </cfRule>
  </conditionalFormatting>
  <conditionalFormatting sqref="AB18">
    <cfRule type="cellIs" dxfId="19851" priority="138555" stopIfTrue="1" operator="equal">
      <formula>-1</formula>
    </cfRule>
  </conditionalFormatting>
  <conditionalFormatting sqref="AB18">
    <cfRule type="cellIs" dxfId="19850" priority="138556" stopIfTrue="1" operator="lessThan">
      <formula>0.5</formula>
    </cfRule>
  </conditionalFormatting>
  <conditionalFormatting sqref="AB18">
    <cfRule type="cellIs" dxfId="19849" priority="138557" stopIfTrue="1" operator="greaterThanOrEqual">
      <formula>0.5</formula>
    </cfRule>
  </conditionalFormatting>
  <conditionalFormatting sqref="AB19">
    <cfRule type="cellIs" dxfId="19848" priority="138558" stopIfTrue="1" operator="equal">
      <formula>-1</formula>
    </cfRule>
  </conditionalFormatting>
  <conditionalFormatting sqref="AB19">
    <cfRule type="cellIs" dxfId="19847" priority="138559" stopIfTrue="1" operator="lessThan">
      <formula>0.5</formula>
    </cfRule>
  </conditionalFormatting>
  <conditionalFormatting sqref="AB19">
    <cfRule type="cellIs" dxfId="19846" priority="138560" stopIfTrue="1" operator="greaterThanOrEqual">
      <formula>0.5</formula>
    </cfRule>
  </conditionalFormatting>
  <conditionalFormatting sqref="AB20">
    <cfRule type="cellIs" dxfId="19845" priority="138561" stopIfTrue="1" operator="equal">
      <formula>-1</formula>
    </cfRule>
  </conditionalFormatting>
  <conditionalFormatting sqref="AB20">
    <cfRule type="cellIs" dxfId="19844" priority="138562" stopIfTrue="1" operator="lessThan">
      <formula>0.5</formula>
    </cfRule>
  </conditionalFormatting>
  <conditionalFormatting sqref="AB20">
    <cfRule type="cellIs" dxfId="19843" priority="138563" stopIfTrue="1" operator="greaterThanOrEqual">
      <formula>0.5</formula>
    </cfRule>
  </conditionalFormatting>
  <conditionalFormatting sqref="AB21">
    <cfRule type="cellIs" dxfId="19842" priority="138564" stopIfTrue="1" operator="equal">
      <formula>-1</formula>
    </cfRule>
  </conditionalFormatting>
  <conditionalFormatting sqref="AB21">
    <cfRule type="cellIs" dxfId="19841" priority="138565" stopIfTrue="1" operator="lessThan">
      <formula>0.5</formula>
    </cfRule>
  </conditionalFormatting>
  <conditionalFormatting sqref="AB21">
    <cfRule type="cellIs" dxfId="19840" priority="138566" stopIfTrue="1" operator="greaterThanOrEqual">
      <formula>0.5</formula>
    </cfRule>
  </conditionalFormatting>
  <conditionalFormatting sqref="AB22">
    <cfRule type="cellIs" dxfId="19839" priority="138567" stopIfTrue="1" operator="equal">
      <formula>-1</formula>
    </cfRule>
  </conditionalFormatting>
  <conditionalFormatting sqref="AB22">
    <cfRule type="cellIs" dxfId="19838" priority="138568" stopIfTrue="1" operator="lessThan">
      <formula>0.5</formula>
    </cfRule>
  </conditionalFormatting>
  <conditionalFormatting sqref="AB22">
    <cfRule type="cellIs" dxfId="19837" priority="138569" stopIfTrue="1" operator="greaterThanOrEqual">
      <formula>0.5</formula>
    </cfRule>
  </conditionalFormatting>
  <conditionalFormatting sqref="AB23">
    <cfRule type="cellIs" dxfId="19836" priority="138570" stopIfTrue="1" operator="equal">
      <formula>-1</formula>
    </cfRule>
  </conditionalFormatting>
  <conditionalFormatting sqref="AB23">
    <cfRule type="cellIs" dxfId="19835" priority="138571" stopIfTrue="1" operator="lessThan">
      <formula>0.5</formula>
    </cfRule>
  </conditionalFormatting>
  <conditionalFormatting sqref="AB23">
    <cfRule type="cellIs" dxfId="19834" priority="138572" stopIfTrue="1" operator="greaterThanOrEqual">
      <formula>0.5</formula>
    </cfRule>
  </conditionalFormatting>
  <conditionalFormatting sqref="AB24">
    <cfRule type="cellIs" dxfId="19833" priority="138573" stopIfTrue="1" operator="equal">
      <formula>-1</formula>
    </cfRule>
  </conditionalFormatting>
  <conditionalFormatting sqref="AB24">
    <cfRule type="cellIs" dxfId="19832" priority="138574" stopIfTrue="1" operator="lessThan">
      <formula>0.5</formula>
    </cfRule>
  </conditionalFormatting>
  <conditionalFormatting sqref="AB24">
    <cfRule type="cellIs" dxfId="19831" priority="138575" stopIfTrue="1" operator="greaterThanOrEqual">
      <formula>0.5</formula>
    </cfRule>
  </conditionalFormatting>
  <conditionalFormatting sqref="AB25">
    <cfRule type="cellIs" dxfId="19830" priority="138576" stopIfTrue="1" operator="equal">
      <formula>-1</formula>
    </cfRule>
  </conditionalFormatting>
  <conditionalFormatting sqref="AB25">
    <cfRule type="cellIs" dxfId="19829" priority="138577" stopIfTrue="1" operator="lessThan">
      <formula>0.5</formula>
    </cfRule>
  </conditionalFormatting>
  <conditionalFormatting sqref="AB25">
    <cfRule type="cellIs" dxfId="19828" priority="138578" stopIfTrue="1" operator="greaterThanOrEqual">
      <formula>0.5</formula>
    </cfRule>
  </conditionalFormatting>
  <conditionalFormatting sqref="AB26">
    <cfRule type="cellIs" dxfId="19827" priority="138579" stopIfTrue="1" operator="equal">
      <formula>-1</formula>
    </cfRule>
  </conditionalFormatting>
  <conditionalFormatting sqref="AB26">
    <cfRule type="cellIs" dxfId="19826" priority="138580" stopIfTrue="1" operator="lessThan">
      <formula>0.5</formula>
    </cfRule>
  </conditionalFormatting>
  <conditionalFormatting sqref="AB26">
    <cfRule type="cellIs" dxfId="19825" priority="138581" stopIfTrue="1" operator="greaterThanOrEqual">
      <formula>0.5</formula>
    </cfRule>
  </conditionalFormatting>
  <conditionalFormatting sqref="AB27">
    <cfRule type="cellIs" dxfId="19824" priority="138582" stopIfTrue="1" operator="equal">
      <formula>-1</formula>
    </cfRule>
  </conditionalFormatting>
  <conditionalFormatting sqref="AB27">
    <cfRule type="cellIs" dxfId="19823" priority="138583" stopIfTrue="1" operator="lessThan">
      <formula>0.5</formula>
    </cfRule>
  </conditionalFormatting>
  <conditionalFormatting sqref="AB27">
    <cfRule type="cellIs" dxfId="19822" priority="138584" stopIfTrue="1" operator="greaterThanOrEqual">
      <formula>0.5</formula>
    </cfRule>
  </conditionalFormatting>
  <conditionalFormatting sqref="AB28">
    <cfRule type="cellIs" dxfId="19821" priority="138585" stopIfTrue="1" operator="equal">
      <formula>-1</formula>
    </cfRule>
  </conditionalFormatting>
  <conditionalFormatting sqref="AB28">
    <cfRule type="cellIs" dxfId="19820" priority="138586" stopIfTrue="1" operator="lessThan">
      <formula>0.5</formula>
    </cfRule>
  </conditionalFormatting>
  <conditionalFormatting sqref="AB28">
    <cfRule type="cellIs" dxfId="19819" priority="138587" stopIfTrue="1" operator="greaterThanOrEqual">
      <formula>0.5</formula>
    </cfRule>
  </conditionalFormatting>
  <conditionalFormatting sqref="AB29">
    <cfRule type="cellIs" dxfId="19818" priority="138588" stopIfTrue="1" operator="equal">
      <formula>-1</formula>
    </cfRule>
  </conditionalFormatting>
  <conditionalFormatting sqref="AB29">
    <cfRule type="cellIs" dxfId="19817" priority="138589" stopIfTrue="1" operator="lessThan">
      <formula>0.5</formula>
    </cfRule>
  </conditionalFormatting>
  <conditionalFormatting sqref="AB29">
    <cfRule type="cellIs" dxfId="19816" priority="138590" stopIfTrue="1" operator="greaterThanOrEqual">
      <formula>0.5</formula>
    </cfRule>
  </conditionalFormatting>
  <conditionalFormatting sqref="AB30">
    <cfRule type="cellIs" dxfId="19815" priority="138591" stopIfTrue="1" operator="equal">
      <formula>-1</formula>
    </cfRule>
  </conditionalFormatting>
  <conditionalFormatting sqref="AB30">
    <cfRule type="cellIs" dxfId="19814" priority="138592" stopIfTrue="1" operator="lessThan">
      <formula>0.5</formula>
    </cfRule>
  </conditionalFormatting>
  <conditionalFormatting sqref="AB30">
    <cfRule type="cellIs" dxfId="19813" priority="138593" stopIfTrue="1" operator="greaterThanOrEqual">
      <formula>0.5</formula>
    </cfRule>
  </conditionalFormatting>
  <conditionalFormatting sqref="AB31">
    <cfRule type="cellIs" dxfId="19812" priority="138594" stopIfTrue="1" operator="equal">
      <formula>-1</formula>
    </cfRule>
  </conditionalFormatting>
  <conditionalFormatting sqref="AB31">
    <cfRule type="cellIs" dxfId="19811" priority="138595" stopIfTrue="1" operator="lessThan">
      <formula>0.5</formula>
    </cfRule>
  </conditionalFormatting>
  <conditionalFormatting sqref="AB31">
    <cfRule type="cellIs" dxfId="19810" priority="138596" stopIfTrue="1" operator="greaterThanOrEqual">
      <formula>0.5</formula>
    </cfRule>
  </conditionalFormatting>
  <conditionalFormatting sqref="AB32">
    <cfRule type="cellIs" dxfId="19809" priority="138597" stopIfTrue="1" operator="equal">
      <formula>-1</formula>
    </cfRule>
  </conditionalFormatting>
  <conditionalFormatting sqref="AB32">
    <cfRule type="cellIs" dxfId="19808" priority="138598" stopIfTrue="1" operator="lessThan">
      <formula>0.5</formula>
    </cfRule>
  </conditionalFormatting>
  <conditionalFormatting sqref="AB32">
    <cfRule type="cellIs" dxfId="19807" priority="138599" stopIfTrue="1" operator="greaterThanOrEqual">
      <formula>0.5</formula>
    </cfRule>
  </conditionalFormatting>
  <conditionalFormatting sqref="AB33">
    <cfRule type="cellIs" dxfId="19806" priority="138600" stopIfTrue="1" operator="equal">
      <formula>-1</formula>
    </cfRule>
  </conditionalFormatting>
  <conditionalFormatting sqref="AB33">
    <cfRule type="cellIs" dxfId="19805" priority="138601" stopIfTrue="1" operator="lessThan">
      <formula>0.5</formula>
    </cfRule>
  </conditionalFormatting>
  <conditionalFormatting sqref="AB33">
    <cfRule type="cellIs" dxfId="19804" priority="138602" stopIfTrue="1" operator="greaterThanOrEqual">
      <formula>0.5</formula>
    </cfRule>
  </conditionalFormatting>
  <conditionalFormatting sqref="AB34">
    <cfRule type="cellIs" dxfId="19803" priority="138603" stopIfTrue="1" operator="equal">
      <formula>-1</formula>
    </cfRule>
  </conditionalFormatting>
  <conditionalFormatting sqref="AB34">
    <cfRule type="cellIs" dxfId="19802" priority="138604" stopIfTrue="1" operator="lessThan">
      <formula>0.5</formula>
    </cfRule>
  </conditionalFormatting>
  <conditionalFormatting sqref="AB34">
    <cfRule type="cellIs" dxfId="19801" priority="138605" stopIfTrue="1" operator="greaterThanOrEqual">
      <formula>0.5</formula>
    </cfRule>
  </conditionalFormatting>
  <conditionalFormatting sqref="AB35">
    <cfRule type="cellIs" dxfId="19800" priority="138606" stopIfTrue="1" operator="equal">
      <formula>-1</formula>
    </cfRule>
  </conditionalFormatting>
  <conditionalFormatting sqref="AB35">
    <cfRule type="cellIs" dxfId="19799" priority="138607" stopIfTrue="1" operator="lessThan">
      <formula>0.5</formula>
    </cfRule>
  </conditionalFormatting>
  <conditionalFormatting sqref="AB35">
    <cfRule type="cellIs" dxfId="19798" priority="138608" stopIfTrue="1" operator="greaterThanOrEqual">
      <formula>0.5</formula>
    </cfRule>
  </conditionalFormatting>
  <conditionalFormatting sqref="AB36">
    <cfRule type="cellIs" dxfId="19797" priority="138609" stopIfTrue="1" operator="equal">
      <formula>-1</formula>
    </cfRule>
  </conditionalFormatting>
  <conditionalFormatting sqref="AB36">
    <cfRule type="cellIs" dxfId="19796" priority="138610" stopIfTrue="1" operator="lessThan">
      <formula>0.5</formula>
    </cfRule>
  </conditionalFormatting>
  <conditionalFormatting sqref="AB36">
    <cfRule type="cellIs" dxfId="19795" priority="138611" stopIfTrue="1" operator="greaterThanOrEqual">
      <formula>0.5</formula>
    </cfRule>
  </conditionalFormatting>
  <conditionalFormatting sqref="AB37">
    <cfRule type="cellIs" dxfId="19794" priority="138612" stopIfTrue="1" operator="equal">
      <formula>-1</formula>
    </cfRule>
  </conditionalFormatting>
  <conditionalFormatting sqref="AB37">
    <cfRule type="cellIs" dxfId="19793" priority="138613" stopIfTrue="1" operator="lessThan">
      <formula>0.5</formula>
    </cfRule>
  </conditionalFormatting>
  <conditionalFormatting sqref="AB37">
    <cfRule type="cellIs" dxfId="19792" priority="138614" stopIfTrue="1" operator="greaterThanOrEqual">
      <formula>0.5</formula>
    </cfRule>
  </conditionalFormatting>
  <conditionalFormatting sqref="AD17">
    <cfRule type="cellIs" dxfId="19791" priority="138615" stopIfTrue="1" operator="equal">
      <formula>-1</formula>
    </cfRule>
  </conditionalFormatting>
  <conditionalFormatting sqref="AD17">
    <cfRule type="cellIs" dxfId="19790" priority="138616" stopIfTrue="1" operator="lessThan">
      <formula>0.5</formula>
    </cfRule>
  </conditionalFormatting>
  <conditionalFormatting sqref="AD17">
    <cfRule type="cellIs" dxfId="19789" priority="138617" stopIfTrue="1" operator="greaterThanOrEqual">
      <formula>0.5</formula>
    </cfRule>
  </conditionalFormatting>
  <conditionalFormatting sqref="AD18">
    <cfRule type="cellIs" dxfId="19788" priority="138618" stopIfTrue="1" operator="equal">
      <formula>-1</formula>
    </cfRule>
  </conditionalFormatting>
  <conditionalFormatting sqref="AD18">
    <cfRule type="cellIs" dxfId="19787" priority="138619" stopIfTrue="1" operator="lessThan">
      <formula>0.5</formula>
    </cfRule>
  </conditionalFormatting>
  <conditionalFormatting sqref="AD18">
    <cfRule type="cellIs" dxfId="19786" priority="138620" stopIfTrue="1" operator="greaterThanOrEqual">
      <formula>0.5</formula>
    </cfRule>
  </conditionalFormatting>
  <conditionalFormatting sqref="AD19">
    <cfRule type="cellIs" dxfId="19785" priority="138621" stopIfTrue="1" operator="equal">
      <formula>-1</formula>
    </cfRule>
  </conditionalFormatting>
  <conditionalFormatting sqref="AD19">
    <cfRule type="cellIs" dxfId="19784" priority="138622" stopIfTrue="1" operator="lessThan">
      <formula>0.5</formula>
    </cfRule>
  </conditionalFormatting>
  <conditionalFormatting sqref="AD19">
    <cfRule type="cellIs" dxfId="19783" priority="138623" stopIfTrue="1" operator="greaterThanOrEqual">
      <formula>0.5</formula>
    </cfRule>
  </conditionalFormatting>
  <conditionalFormatting sqref="AD20">
    <cfRule type="cellIs" dxfId="19782" priority="138624" stopIfTrue="1" operator="equal">
      <formula>-1</formula>
    </cfRule>
  </conditionalFormatting>
  <conditionalFormatting sqref="AD20">
    <cfRule type="cellIs" dxfId="19781" priority="138625" stopIfTrue="1" operator="lessThan">
      <formula>0.5</formula>
    </cfRule>
  </conditionalFormatting>
  <conditionalFormatting sqref="AD20">
    <cfRule type="cellIs" dxfId="19780" priority="138626" stopIfTrue="1" operator="greaterThanOrEqual">
      <formula>0.5</formula>
    </cfRule>
  </conditionalFormatting>
  <conditionalFormatting sqref="AD21">
    <cfRule type="cellIs" dxfId="19779" priority="138627" stopIfTrue="1" operator="equal">
      <formula>-1</formula>
    </cfRule>
  </conditionalFormatting>
  <conditionalFormatting sqref="AD21">
    <cfRule type="cellIs" dxfId="19778" priority="138628" stopIfTrue="1" operator="lessThan">
      <formula>0.5</formula>
    </cfRule>
  </conditionalFormatting>
  <conditionalFormatting sqref="AD21">
    <cfRule type="cellIs" dxfId="19777" priority="138629" stopIfTrue="1" operator="greaterThanOrEqual">
      <formula>0.5</formula>
    </cfRule>
  </conditionalFormatting>
  <conditionalFormatting sqref="AD22">
    <cfRule type="cellIs" dxfId="19776" priority="138630" stopIfTrue="1" operator="equal">
      <formula>-1</formula>
    </cfRule>
  </conditionalFormatting>
  <conditionalFormatting sqref="AD22">
    <cfRule type="cellIs" dxfId="19775" priority="138631" stopIfTrue="1" operator="lessThan">
      <formula>0.5</formula>
    </cfRule>
  </conditionalFormatting>
  <conditionalFormatting sqref="AD22">
    <cfRule type="cellIs" dxfId="19774" priority="138632" stopIfTrue="1" operator="greaterThanOrEqual">
      <formula>0.5</formula>
    </cfRule>
  </conditionalFormatting>
  <conditionalFormatting sqref="AD23">
    <cfRule type="cellIs" dxfId="19773" priority="138633" stopIfTrue="1" operator="equal">
      <formula>-1</formula>
    </cfRule>
  </conditionalFormatting>
  <conditionalFormatting sqref="AD23">
    <cfRule type="cellIs" dxfId="19772" priority="138634" stopIfTrue="1" operator="lessThan">
      <formula>0.5</formula>
    </cfRule>
  </conditionalFormatting>
  <conditionalFormatting sqref="AD23">
    <cfRule type="cellIs" dxfId="19771" priority="138635" stopIfTrue="1" operator="greaterThanOrEqual">
      <formula>0.5</formula>
    </cfRule>
  </conditionalFormatting>
  <conditionalFormatting sqref="AD24">
    <cfRule type="cellIs" dxfId="19770" priority="138636" stopIfTrue="1" operator="equal">
      <formula>-1</formula>
    </cfRule>
  </conditionalFormatting>
  <conditionalFormatting sqref="AD24">
    <cfRule type="cellIs" dxfId="19769" priority="138637" stopIfTrue="1" operator="lessThan">
      <formula>0.5</formula>
    </cfRule>
  </conditionalFormatting>
  <conditionalFormatting sqref="AD24">
    <cfRule type="cellIs" dxfId="19768" priority="138638" stopIfTrue="1" operator="greaterThanOrEqual">
      <formula>0.5</formula>
    </cfRule>
  </conditionalFormatting>
  <conditionalFormatting sqref="AD25">
    <cfRule type="cellIs" dxfId="19767" priority="138639" stopIfTrue="1" operator="equal">
      <formula>-1</formula>
    </cfRule>
  </conditionalFormatting>
  <conditionalFormatting sqref="AD25">
    <cfRule type="cellIs" dxfId="19766" priority="138640" stopIfTrue="1" operator="lessThan">
      <formula>0.5</formula>
    </cfRule>
  </conditionalFormatting>
  <conditionalFormatting sqref="AD25">
    <cfRule type="cellIs" dxfId="19765" priority="138641" stopIfTrue="1" operator="greaterThanOrEqual">
      <formula>0.5</formula>
    </cfRule>
  </conditionalFormatting>
  <conditionalFormatting sqref="AD26">
    <cfRule type="cellIs" dxfId="19764" priority="138642" stopIfTrue="1" operator="equal">
      <formula>-1</formula>
    </cfRule>
  </conditionalFormatting>
  <conditionalFormatting sqref="AD26">
    <cfRule type="cellIs" dxfId="19763" priority="138643" stopIfTrue="1" operator="lessThan">
      <formula>0.5</formula>
    </cfRule>
  </conditionalFormatting>
  <conditionalFormatting sqref="AD26">
    <cfRule type="cellIs" dxfId="19762" priority="138644" stopIfTrue="1" operator="greaterThanOrEqual">
      <formula>0.5</formula>
    </cfRule>
  </conditionalFormatting>
  <conditionalFormatting sqref="AD27">
    <cfRule type="cellIs" dxfId="19761" priority="138645" stopIfTrue="1" operator="equal">
      <formula>-1</formula>
    </cfRule>
  </conditionalFormatting>
  <conditionalFormatting sqref="AD27">
    <cfRule type="cellIs" dxfId="19760" priority="138646" stopIfTrue="1" operator="lessThan">
      <formula>0.5</formula>
    </cfRule>
  </conditionalFormatting>
  <conditionalFormatting sqref="AD27">
    <cfRule type="cellIs" dxfId="19759" priority="138647" stopIfTrue="1" operator="greaterThanOrEqual">
      <formula>0.5</formula>
    </cfRule>
  </conditionalFormatting>
  <conditionalFormatting sqref="AD28">
    <cfRule type="cellIs" dxfId="19758" priority="138648" stopIfTrue="1" operator="equal">
      <formula>-1</formula>
    </cfRule>
  </conditionalFormatting>
  <conditionalFormatting sqref="AD28">
    <cfRule type="cellIs" dxfId="19757" priority="138649" stopIfTrue="1" operator="lessThan">
      <formula>0.5</formula>
    </cfRule>
  </conditionalFormatting>
  <conditionalFormatting sqref="AD28">
    <cfRule type="cellIs" dxfId="19756" priority="138650" stopIfTrue="1" operator="greaterThanOrEqual">
      <formula>0.5</formula>
    </cfRule>
  </conditionalFormatting>
  <conditionalFormatting sqref="AD29">
    <cfRule type="cellIs" dxfId="19755" priority="138651" stopIfTrue="1" operator="equal">
      <formula>-1</formula>
    </cfRule>
  </conditionalFormatting>
  <conditionalFormatting sqref="AD29">
    <cfRule type="cellIs" dxfId="19754" priority="138652" stopIfTrue="1" operator="lessThan">
      <formula>0.5</formula>
    </cfRule>
  </conditionalFormatting>
  <conditionalFormatting sqref="AD29">
    <cfRule type="cellIs" dxfId="19753" priority="138653" stopIfTrue="1" operator="greaterThanOrEqual">
      <formula>0.5</formula>
    </cfRule>
  </conditionalFormatting>
  <conditionalFormatting sqref="AD30">
    <cfRule type="cellIs" dxfId="19752" priority="138654" stopIfTrue="1" operator="equal">
      <formula>-1</formula>
    </cfRule>
  </conditionalFormatting>
  <conditionalFormatting sqref="AD30">
    <cfRule type="cellIs" dxfId="19751" priority="138655" stopIfTrue="1" operator="lessThan">
      <formula>0.5</formula>
    </cfRule>
  </conditionalFormatting>
  <conditionalFormatting sqref="AD30">
    <cfRule type="cellIs" dxfId="19750" priority="138656" stopIfTrue="1" operator="greaterThanOrEqual">
      <formula>0.5</formula>
    </cfRule>
  </conditionalFormatting>
  <conditionalFormatting sqref="AD31">
    <cfRule type="cellIs" dxfId="19749" priority="138657" stopIfTrue="1" operator="equal">
      <formula>-1</formula>
    </cfRule>
  </conditionalFormatting>
  <conditionalFormatting sqref="AD31">
    <cfRule type="cellIs" dxfId="19748" priority="138658" stopIfTrue="1" operator="lessThan">
      <formula>0.5</formula>
    </cfRule>
  </conditionalFormatting>
  <conditionalFormatting sqref="AD31">
    <cfRule type="cellIs" dxfId="19747" priority="138659" stopIfTrue="1" operator="greaterThanOrEqual">
      <formula>0.5</formula>
    </cfRule>
  </conditionalFormatting>
  <conditionalFormatting sqref="AD32">
    <cfRule type="cellIs" dxfId="19746" priority="138660" stopIfTrue="1" operator="equal">
      <formula>-1</formula>
    </cfRule>
  </conditionalFormatting>
  <conditionalFormatting sqref="AD32">
    <cfRule type="cellIs" dxfId="19745" priority="138661" stopIfTrue="1" operator="lessThan">
      <formula>0.5</formula>
    </cfRule>
  </conditionalFormatting>
  <conditionalFormatting sqref="AD32">
    <cfRule type="cellIs" dxfId="19744" priority="138662" stopIfTrue="1" operator="greaterThanOrEqual">
      <formula>0.5</formula>
    </cfRule>
  </conditionalFormatting>
  <conditionalFormatting sqref="AD33">
    <cfRule type="cellIs" dxfId="19743" priority="138663" stopIfTrue="1" operator="equal">
      <formula>-1</formula>
    </cfRule>
  </conditionalFormatting>
  <conditionalFormatting sqref="AD33">
    <cfRule type="cellIs" dxfId="19742" priority="138664" stopIfTrue="1" operator="lessThan">
      <formula>0.5</formula>
    </cfRule>
  </conditionalFormatting>
  <conditionalFormatting sqref="AD33">
    <cfRule type="cellIs" dxfId="19741" priority="138665" stopIfTrue="1" operator="greaterThanOrEqual">
      <formula>0.5</formula>
    </cfRule>
  </conditionalFormatting>
  <conditionalFormatting sqref="AD34">
    <cfRule type="cellIs" dxfId="19740" priority="138666" stopIfTrue="1" operator="equal">
      <formula>-1</formula>
    </cfRule>
  </conditionalFormatting>
  <conditionalFormatting sqref="AD34">
    <cfRule type="cellIs" dxfId="19739" priority="138667" stopIfTrue="1" operator="lessThan">
      <formula>0.5</formula>
    </cfRule>
  </conditionalFormatting>
  <conditionalFormatting sqref="AD34">
    <cfRule type="cellIs" dxfId="19738" priority="138668" stopIfTrue="1" operator="greaterThanOrEqual">
      <formula>0.5</formula>
    </cfRule>
  </conditionalFormatting>
  <conditionalFormatting sqref="AD35">
    <cfRule type="cellIs" dxfId="19737" priority="138669" stopIfTrue="1" operator="equal">
      <formula>-1</formula>
    </cfRule>
  </conditionalFormatting>
  <conditionalFormatting sqref="AD35">
    <cfRule type="cellIs" dxfId="19736" priority="138670" stopIfTrue="1" operator="lessThan">
      <formula>0.5</formula>
    </cfRule>
  </conditionalFormatting>
  <conditionalFormatting sqref="AD35">
    <cfRule type="cellIs" dxfId="19735" priority="138671" stopIfTrue="1" operator="greaterThanOrEqual">
      <formula>0.5</formula>
    </cfRule>
  </conditionalFormatting>
  <conditionalFormatting sqref="AD36">
    <cfRule type="cellIs" dxfId="19734" priority="138672" stopIfTrue="1" operator="equal">
      <formula>-1</formula>
    </cfRule>
  </conditionalFormatting>
  <conditionalFormatting sqref="AD36">
    <cfRule type="cellIs" dxfId="19733" priority="138673" stopIfTrue="1" operator="lessThan">
      <formula>0.5</formula>
    </cfRule>
  </conditionalFormatting>
  <conditionalFormatting sqref="AD36">
    <cfRule type="cellIs" dxfId="19732" priority="138674" stopIfTrue="1" operator="greaterThanOrEqual">
      <formula>0.5</formula>
    </cfRule>
  </conditionalFormatting>
  <conditionalFormatting sqref="AD37">
    <cfRule type="cellIs" dxfId="19731" priority="138675" stopIfTrue="1" operator="equal">
      <formula>-1</formula>
    </cfRule>
  </conditionalFormatting>
  <conditionalFormatting sqref="AD37">
    <cfRule type="cellIs" dxfId="19730" priority="138676" stopIfTrue="1" operator="lessThan">
      <formula>0.5</formula>
    </cfRule>
  </conditionalFormatting>
  <conditionalFormatting sqref="AD37">
    <cfRule type="cellIs" dxfId="19729" priority="138677" stopIfTrue="1" operator="greaterThanOrEqual">
      <formula>0.5</formula>
    </cfRule>
  </conditionalFormatting>
  <conditionalFormatting sqref="AF17">
    <cfRule type="cellIs" dxfId="19728" priority="138678" stopIfTrue="1" operator="equal">
      <formula>-1</formula>
    </cfRule>
  </conditionalFormatting>
  <conditionalFormatting sqref="AF17">
    <cfRule type="cellIs" dxfId="19727" priority="138679" stopIfTrue="1" operator="lessThan">
      <formula>0.5</formula>
    </cfRule>
  </conditionalFormatting>
  <conditionalFormatting sqref="AF17">
    <cfRule type="cellIs" dxfId="19726" priority="138680" stopIfTrue="1" operator="greaterThanOrEqual">
      <formula>0.5</formula>
    </cfRule>
  </conditionalFormatting>
  <conditionalFormatting sqref="AF18">
    <cfRule type="cellIs" dxfId="19725" priority="138681" stopIfTrue="1" operator="equal">
      <formula>-1</formula>
    </cfRule>
  </conditionalFormatting>
  <conditionalFormatting sqref="AF18">
    <cfRule type="cellIs" dxfId="19724" priority="138682" stopIfTrue="1" operator="lessThan">
      <formula>0.5</formula>
    </cfRule>
  </conditionalFormatting>
  <conditionalFormatting sqref="AF18">
    <cfRule type="cellIs" dxfId="19723" priority="138683" stopIfTrue="1" operator="greaterThanOrEqual">
      <formula>0.5</formula>
    </cfRule>
  </conditionalFormatting>
  <conditionalFormatting sqref="AF19">
    <cfRule type="cellIs" dxfId="19722" priority="138684" stopIfTrue="1" operator="equal">
      <formula>-1</formula>
    </cfRule>
  </conditionalFormatting>
  <conditionalFormatting sqref="AF19">
    <cfRule type="cellIs" dxfId="19721" priority="138685" stopIfTrue="1" operator="lessThan">
      <formula>0.5</formula>
    </cfRule>
  </conditionalFormatting>
  <conditionalFormatting sqref="AF19">
    <cfRule type="cellIs" dxfId="19720" priority="138686" stopIfTrue="1" operator="greaterThanOrEqual">
      <formula>0.5</formula>
    </cfRule>
  </conditionalFormatting>
  <conditionalFormatting sqref="AF20">
    <cfRule type="cellIs" dxfId="19719" priority="138687" stopIfTrue="1" operator="equal">
      <formula>-1</formula>
    </cfRule>
  </conditionalFormatting>
  <conditionalFormatting sqref="AF20">
    <cfRule type="cellIs" dxfId="19718" priority="138688" stopIfTrue="1" operator="lessThan">
      <formula>0.5</formula>
    </cfRule>
  </conditionalFormatting>
  <conditionalFormatting sqref="AF20">
    <cfRule type="cellIs" dxfId="19717" priority="138689" stopIfTrue="1" operator="greaterThanOrEqual">
      <formula>0.5</formula>
    </cfRule>
  </conditionalFormatting>
  <conditionalFormatting sqref="AF21">
    <cfRule type="cellIs" dxfId="19716" priority="138690" stopIfTrue="1" operator="equal">
      <formula>-1</formula>
    </cfRule>
  </conditionalFormatting>
  <conditionalFormatting sqref="AF21">
    <cfRule type="cellIs" dxfId="19715" priority="138691" stopIfTrue="1" operator="lessThan">
      <formula>0.5</formula>
    </cfRule>
  </conditionalFormatting>
  <conditionalFormatting sqref="AF21">
    <cfRule type="cellIs" dxfId="19714" priority="138692" stopIfTrue="1" operator="greaterThanOrEqual">
      <formula>0.5</formula>
    </cfRule>
  </conditionalFormatting>
  <conditionalFormatting sqref="AF22">
    <cfRule type="cellIs" dxfId="19713" priority="138693" stopIfTrue="1" operator="equal">
      <formula>-1</formula>
    </cfRule>
  </conditionalFormatting>
  <conditionalFormatting sqref="AF22">
    <cfRule type="cellIs" dxfId="19712" priority="138694" stopIfTrue="1" operator="lessThan">
      <formula>0.5</formula>
    </cfRule>
  </conditionalFormatting>
  <conditionalFormatting sqref="AF22">
    <cfRule type="cellIs" dxfId="19711" priority="138695" stopIfTrue="1" operator="greaterThanOrEqual">
      <formula>0.5</formula>
    </cfRule>
  </conditionalFormatting>
  <conditionalFormatting sqref="AF23">
    <cfRule type="cellIs" dxfId="19710" priority="138696" stopIfTrue="1" operator="equal">
      <formula>-1</formula>
    </cfRule>
  </conditionalFormatting>
  <conditionalFormatting sqref="AF23">
    <cfRule type="cellIs" dxfId="19709" priority="138697" stopIfTrue="1" operator="lessThan">
      <formula>0.5</formula>
    </cfRule>
  </conditionalFormatting>
  <conditionalFormatting sqref="AF23">
    <cfRule type="cellIs" dxfId="19708" priority="138698" stopIfTrue="1" operator="greaterThanOrEqual">
      <formula>0.5</formula>
    </cfRule>
  </conditionalFormatting>
  <conditionalFormatting sqref="AF24">
    <cfRule type="cellIs" dxfId="19707" priority="138699" stopIfTrue="1" operator="equal">
      <formula>-1</formula>
    </cfRule>
  </conditionalFormatting>
  <conditionalFormatting sqref="AF24">
    <cfRule type="cellIs" dxfId="19706" priority="138700" stopIfTrue="1" operator="lessThan">
      <formula>0.5</formula>
    </cfRule>
  </conditionalFormatting>
  <conditionalFormatting sqref="AF24">
    <cfRule type="cellIs" dxfId="19705" priority="138701" stopIfTrue="1" operator="greaterThanOrEqual">
      <formula>0.5</formula>
    </cfRule>
  </conditionalFormatting>
  <conditionalFormatting sqref="AF25">
    <cfRule type="cellIs" dxfId="19704" priority="138702" stopIfTrue="1" operator="equal">
      <formula>-1</formula>
    </cfRule>
  </conditionalFormatting>
  <conditionalFormatting sqref="AF25">
    <cfRule type="cellIs" dxfId="19703" priority="138703" stopIfTrue="1" operator="lessThan">
      <formula>0.5</formula>
    </cfRule>
  </conditionalFormatting>
  <conditionalFormatting sqref="AF25">
    <cfRule type="cellIs" dxfId="19702" priority="138704" stopIfTrue="1" operator="greaterThanOrEqual">
      <formula>0.5</formula>
    </cfRule>
  </conditionalFormatting>
  <conditionalFormatting sqref="AF26">
    <cfRule type="cellIs" dxfId="19701" priority="138705" stopIfTrue="1" operator="equal">
      <formula>-1</formula>
    </cfRule>
  </conditionalFormatting>
  <conditionalFormatting sqref="AF26">
    <cfRule type="cellIs" dxfId="19700" priority="138706" stopIfTrue="1" operator="lessThan">
      <formula>0.5</formula>
    </cfRule>
  </conditionalFormatting>
  <conditionalFormatting sqref="AF26">
    <cfRule type="cellIs" dxfId="19699" priority="138707" stopIfTrue="1" operator="greaterThanOrEqual">
      <formula>0.5</formula>
    </cfRule>
  </conditionalFormatting>
  <conditionalFormatting sqref="AF27">
    <cfRule type="cellIs" dxfId="19698" priority="138708" stopIfTrue="1" operator="equal">
      <formula>-1</formula>
    </cfRule>
  </conditionalFormatting>
  <conditionalFormatting sqref="AF27">
    <cfRule type="cellIs" dxfId="19697" priority="138709" stopIfTrue="1" operator="lessThan">
      <formula>0.5</formula>
    </cfRule>
  </conditionalFormatting>
  <conditionalFormatting sqref="AF27">
    <cfRule type="cellIs" dxfId="19696" priority="138710" stopIfTrue="1" operator="greaterThanOrEqual">
      <formula>0.5</formula>
    </cfRule>
  </conditionalFormatting>
  <conditionalFormatting sqref="AF28">
    <cfRule type="cellIs" dxfId="19695" priority="138711" stopIfTrue="1" operator="equal">
      <formula>-1</formula>
    </cfRule>
  </conditionalFormatting>
  <conditionalFormatting sqref="AF28">
    <cfRule type="cellIs" dxfId="19694" priority="138712" stopIfTrue="1" operator="lessThan">
      <formula>0.5</formula>
    </cfRule>
  </conditionalFormatting>
  <conditionalFormatting sqref="AF28">
    <cfRule type="cellIs" dxfId="19693" priority="138713" stopIfTrue="1" operator="greaterThanOrEqual">
      <formula>0.5</formula>
    </cfRule>
  </conditionalFormatting>
  <conditionalFormatting sqref="AF29">
    <cfRule type="cellIs" dxfId="19692" priority="138714" stopIfTrue="1" operator="equal">
      <formula>-1</formula>
    </cfRule>
  </conditionalFormatting>
  <conditionalFormatting sqref="AF29">
    <cfRule type="cellIs" dxfId="19691" priority="138715" stopIfTrue="1" operator="lessThan">
      <formula>0.5</formula>
    </cfRule>
  </conditionalFormatting>
  <conditionalFormatting sqref="AF29">
    <cfRule type="cellIs" dxfId="19690" priority="138716" stopIfTrue="1" operator="greaterThanOrEqual">
      <formula>0.5</formula>
    </cfRule>
  </conditionalFormatting>
  <conditionalFormatting sqref="AF30">
    <cfRule type="cellIs" dxfId="19689" priority="138717" stopIfTrue="1" operator="equal">
      <formula>-1</formula>
    </cfRule>
  </conditionalFormatting>
  <conditionalFormatting sqref="AF30">
    <cfRule type="cellIs" dxfId="19688" priority="138718" stopIfTrue="1" operator="lessThan">
      <formula>0.5</formula>
    </cfRule>
  </conditionalFormatting>
  <conditionalFormatting sqref="AF30">
    <cfRule type="cellIs" dxfId="19687" priority="138719" stopIfTrue="1" operator="greaterThanOrEqual">
      <formula>0.5</formula>
    </cfRule>
  </conditionalFormatting>
  <conditionalFormatting sqref="AF31">
    <cfRule type="cellIs" dxfId="19686" priority="138720" stopIfTrue="1" operator="equal">
      <formula>-1</formula>
    </cfRule>
  </conditionalFormatting>
  <conditionalFormatting sqref="AF31">
    <cfRule type="cellIs" dxfId="19685" priority="138721" stopIfTrue="1" operator="lessThan">
      <formula>0.5</formula>
    </cfRule>
  </conditionalFormatting>
  <conditionalFormatting sqref="AF31">
    <cfRule type="cellIs" dxfId="19684" priority="138722" stopIfTrue="1" operator="greaterThanOrEqual">
      <formula>0.5</formula>
    </cfRule>
  </conditionalFormatting>
  <conditionalFormatting sqref="AF32">
    <cfRule type="cellIs" dxfId="19683" priority="138723" stopIfTrue="1" operator="equal">
      <formula>-1</formula>
    </cfRule>
  </conditionalFormatting>
  <conditionalFormatting sqref="AF32">
    <cfRule type="cellIs" dxfId="19682" priority="138724" stopIfTrue="1" operator="lessThan">
      <formula>0.5</formula>
    </cfRule>
  </conditionalFormatting>
  <conditionalFormatting sqref="AF32">
    <cfRule type="cellIs" dxfId="19681" priority="138725" stopIfTrue="1" operator="greaterThanOrEqual">
      <formula>0.5</formula>
    </cfRule>
  </conditionalFormatting>
  <conditionalFormatting sqref="AF33">
    <cfRule type="cellIs" dxfId="19680" priority="138726" stopIfTrue="1" operator="equal">
      <formula>-1</formula>
    </cfRule>
  </conditionalFormatting>
  <conditionalFormatting sqref="AF33">
    <cfRule type="cellIs" dxfId="19679" priority="138727" stopIfTrue="1" operator="lessThan">
      <formula>0.5</formula>
    </cfRule>
  </conditionalFormatting>
  <conditionalFormatting sqref="AF33">
    <cfRule type="cellIs" dxfId="19678" priority="138728" stopIfTrue="1" operator="greaterThanOrEqual">
      <formula>0.5</formula>
    </cfRule>
  </conditionalFormatting>
  <conditionalFormatting sqref="AF34">
    <cfRule type="cellIs" dxfId="19677" priority="138729" stopIfTrue="1" operator="equal">
      <formula>-1</formula>
    </cfRule>
  </conditionalFormatting>
  <conditionalFormatting sqref="AF34">
    <cfRule type="cellIs" dxfId="19676" priority="138730" stopIfTrue="1" operator="lessThan">
      <formula>0.5</formula>
    </cfRule>
  </conditionalFormatting>
  <conditionalFormatting sqref="AF34">
    <cfRule type="cellIs" dxfId="19675" priority="138731" stopIfTrue="1" operator="greaterThanOrEqual">
      <formula>0.5</formula>
    </cfRule>
  </conditionalFormatting>
  <conditionalFormatting sqref="AF35">
    <cfRule type="cellIs" dxfId="19674" priority="138732" stopIfTrue="1" operator="equal">
      <formula>-1</formula>
    </cfRule>
  </conditionalFormatting>
  <conditionalFormatting sqref="AF35">
    <cfRule type="cellIs" dxfId="19673" priority="138733" stopIfTrue="1" operator="lessThan">
      <formula>0.5</formula>
    </cfRule>
  </conditionalFormatting>
  <conditionalFormatting sqref="AF35">
    <cfRule type="cellIs" dxfId="19672" priority="138734" stopIfTrue="1" operator="greaterThanOrEqual">
      <formula>0.5</formula>
    </cfRule>
  </conditionalFormatting>
  <conditionalFormatting sqref="AF36">
    <cfRule type="cellIs" dxfId="19671" priority="138735" stopIfTrue="1" operator="equal">
      <formula>-1</formula>
    </cfRule>
  </conditionalFormatting>
  <conditionalFormatting sqref="AF36">
    <cfRule type="cellIs" dxfId="19670" priority="138736" stopIfTrue="1" operator="lessThan">
      <formula>0.5</formula>
    </cfRule>
  </conditionalFormatting>
  <conditionalFormatting sqref="AF36">
    <cfRule type="cellIs" dxfId="19669" priority="138737" stopIfTrue="1" operator="greaterThanOrEqual">
      <formula>0.5</formula>
    </cfRule>
  </conditionalFormatting>
  <conditionalFormatting sqref="AF37">
    <cfRule type="cellIs" dxfId="19668" priority="138738" stopIfTrue="1" operator="equal">
      <formula>-1</formula>
    </cfRule>
  </conditionalFormatting>
  <conditionalFormatting sqref="AF37">
    <cfRule type="cellIs" dxfId="19667" priority="138739" stopIfTrue="1" operator="lessThan">
      <formula>0.5</formula>
    </cfRule>
  </conditionalFormatting>
  <conditionalFormatting sqref="AF37">
    <cfRule type="cellIs" dxfId="19666" priority="138740" stopIfTrue="1" operator="greaterThanOrEqual">
      <formula>0.5</formula>
    </cfRule>
  </conditionalFormatting>
  <conditionalFormatting sqref="AH17">
    <cfRule type="cellIs" dxfId="19665" priority="138741" stopIfTrue="1" operator="equal">
      <formula>-1</formula>
    </cfRule>
  </conditionalFormatting>
  <conditionalFormatting sqref="AH17">
    <cfRule type="cellIs" dxfId="19664" priority="138742" stopIfTrue="1" operator="lessThan">
      <formula>0.5</formula>
    </cfRule>
  </conditionalFormatting>
  <conditionalFormatting sqref="AH17">
    <cfRule type="cellIs" dxfId="19663" priority="138743" stopIfTrue="1" operator="greaterThanOrEqual">
      <formula>0.5</formula>
    </cfRule>
  </conditionalFormatting>
  <conditionalFormatting sqref="AH18">
    <cfRule type="cellIs" dxfId="19662" priority="138744" stopIfTrue="1" operator="equal">
      <formula>-1</formula>
    </cfRule>
  </conditionalFormatting>
  <conditionalFormatting sqref="AH18">
    <cfRule type="cellIs" dxfId="19661" priority="138745" stopIfTrue="1" operator="lessThan">
      <formula>0.5</formula>
    </cfRule>
  </conditionalFormatting>
  <conditionalFormatting sqref="AH18">
    <cfRule type="cellIs" dxfId="19660" priority="138746" stopIfTrue="1" operator="greaterThanOrEqual">
      <formula>0.5</formula>
    </cfRule>
  </conditionalFormatting>
  <conditionalFormatting sqref="AH19">
    <cfRule type="cellIs" dxfId="19659" priority="138747" stopIfTrue="1" operator="equal">
      <formula>-1</formula>
    </cfRule>
  </conditionalFormatting>
  <conditionalFormatting sqref="AH19">
    <cfRule type="cellIs" dxfId="19658" priority="138748" stopIfTrue="1" operator="lessThan">
      <formula>0.5</formula>
    </cfRule>
  </conditionalFormatting>
  <conditionalFormatting sqref="AH19">
    <cfRule type="cellIs" dxfId="19657" priority="138749" stopIfTrue="1" operator="greaterThanOrEqual">
      <formula>0.5</formula>
    </cfRule>
  </conditionalFormatting>
  <conditionalFormatting sqref="AH20">
    <cfRule type="cellIs" dxfId="19656" priority="138750" stopIfTrue="1" operator="equal">
      <formula>-1</formula>
    </cfRule>
  </conditionalFormatting>
  <conditionalFormatting sqref="AH20">
    <cfRule type="cellIs" dxfId="19655" priority="138751" stopIfTrue="1" operator="lessThan">
      <formula>0.5</formula>
    </cfRule>
  </conditionalFormatting>
  <conditionalFormatting sqref="AH20">
    <cfRule type="cellIs" dxfId="19654" priority="138752" stopIfTrue="1" operator="greaterThanOrEqual">
      <formula>0.5</formula>
    </cfRule>
  </conditionalFormatting>
  <conditionalFormatting sqref="AH21">
    <cfRule type="cellIs" dxfId="19653" priority="138753" stopIfTrue="1" operator="equal">
      <formula>-1</formula>
    </cfRule>
  </conditionalFormatting>
  <conditionalFormatting sqref="AH21">
    <cfRule type="cellIs" dxfId="19652" priority="138754" stopIfTrue="1" operator="lessThan">
      <formula>0.5</formula>
    </cfRule>
  </conditionalFormatting>
  <conditionalFormatting sqref="AH21">
    <cfRule type="cellIs" dxfId="19651" priority="138755" stopIfTrue="1" operator="greaterThanOrEqual">
      <formula>0.5</formula>
    </cfRule>
  </conditionalFormatting>
  <conditionalFormatting sqref="AH22">
    <cfRule type="cellIs" dxfId="19650" priority="138756" stopIfTrue="1" operator="equal">
      <formula>-1</formula>
    </cfRule>
  </conditionalFormatting>
  <conditionalFormatting sqref="AH22">
    <cfRule type="cellIs" dxfId="19649" priority="138757" stopIfTrue="1" operator="lessThan">
      <formula>0.5</formula>
    </cfRule>
  </conditionalFormatting>
  <conditionalFormatting sqref="AH22">
    <cfRule type="cellIs" dxfId="19648" priority="138758" stopIfTrue="1" operator="greaterThanOrEqual">
      <formula>0.5</formula>
    </cfRule>
  </conditionalFormatting>
  <conditionalFormatting sqref="AH23">
    <cfRule type="cellIs" dxfId="19647" priority="138759" stopIfTrue="1" operator="equal">
      <formula>-1</formula>
    </cfRule>
  </conditionalFormatting>
  <conditionalFormatting sqref="AH23">
    <cfRule type="cellIs" dxfId="19646" priority="138760" stopIfTrue="1" operator="lessThan">
      <formula>0.5</formula>
    </cfRule>
  </conditionalFormatting>
  <conditionalFormatting sqref="AH23">
    <cfRule type="cellIs" dxfId="19645" priority="138761" stopIfTrue="1" operator="greaterThanOrEqual">
      <formula>0.5</formula>
    </cfRule>
  </conditionalFormatting>
  <conditionalFormatting sqref="AH24">
    <cfRule type="cellIs" dxfId="19644" priority="138762" stopIfTrue="1" operator="equal">
      <formula>-1</formula>
    </cfRule>
  </conditionalFormatting>
  <conditionalFormatting sqref="AH24">
    <cfRule type="cellIs" dxfId="19643" priority="138763" stopIfTrue="1" operator="lessThan">
      <formula>0.5</formula>
    </cfRule>
  </conditionalFormatting>
  <conditionalFormatting sqref="AH24">
    <cfRule type="cellIs" dxfId="19642" priority="138764" stopIfTrue="1" operator="greaterThanOrEqual">
      <formula>0.5</formula>
    </cfRule>
  </conditionalFormatting>
  <conditionalFormatting sqref="AH25">
    <cfRule type="cellIs" dxfId="19641" priority="138765" stopIfTrue="1" operator="equal">
      <formula>-1</formula>
    </cfRule>
  </conditionalFormatting>
  <conditionalFormatting sqref="AH25">
    <cfRule type="cellIs" dxfId="19640" priority="138766" stopIfTrue="1" operator="lessThan">
      <formula>0.5</formula>
    </cfRule>
  </conditionalFormatting>
  <conditionalFormatting sqref="AH25">
    <cfRule type="cellIs" dxfId="19639" priority="138767" stopIfTrue="1" operator="greaterThanOrEqual">
      <formula>0.5</formula>
    </cfRule>
  </conditionalFormatting>
  <conditionalFormatting sqref="AH26">
    <cfRule type="cellIs" dxfId="19638" priority="138768" stopIfTrue="1" operator="equal">
      <formula>-1</formula>
    </cfRule>
  </conditionalFormatting>
  <conditionalFormatting sqref="AH26">
    <cfRule type="cellIs" dxfId="19637" priority="138769" stopIfTrue="1" operator="lessThan">
      <formula>0.5</formula>
    </cfRule>
  </conditionalFormatting>
  <conditionalFormatting sqref="AH26">
    <cfRule type="cellIs" dxfId="19636" priority="138770" stopIfTrue="1" operator="greaterThanOrEqual">
      <formula>0.5</formula>
    </cfRule>
  </conditionalFormatting>
  <conditionalFormatting sqref="AH27">
    <cfRule type="cellIs" dxfId="19635" priority="138771" stopIfTrue="1" operator="equal">
      <formula>-1</formula>
    </cfRule>
  </conditionalFormatting>
  <conditionalFormatting sqref="AH27">
    <cfRule type="cellIs" dxfId="19634" priority="138772" stopIfTrue="1" operator="lessThan">
      <formula>0.5</formula>
    </cfRule>
  </conditionalFormatting>
  <conditionalFormatting sqref="AH27">
    <cfRule type="cellIs" dxfId="19633" priority="138773" stopIfTrue="1" operator="greaterThanOrEqual">
      <formula>0.5</formula>
    </cfRule>
  </conditionalFormatting>
  <conditionalFormatting sqref="AH28">
    <cfRule type="cellIs" dxfId="19632" priority="138774" stopIfTrue="1" operator="equal">
      <formula>-1</formula>
    </cfRule>
  </conditionalFormatting>
  <conditionalFormatting sqref="AH28">
    <cfRule type="cellIs" dxfId="19631" priority="138775" stopIfTrue="1" operator="lessThan">
      <formula>0.5</formula>
    </cfRule>
  </conditionalFormatting>
  <conditionalFormatting sqref="AH28">
    <cfRule type="cellIs" dxfId="19630" priority="138776" stopIfTrue="1" operator="greaterThanOrEqual">
      <formula>0.5</formula>
    </cfRule>
  </conditionalFormatting>
  <conditionalFormatting sqref="AH29">
    <cfRule type="cellIs" dxfId="19629" priority="138777" stopIfTrue="1" operator="equal">
      <formula>-1</formula>
    </cfRule>
  </conditionalFormatting>
  <conditionalFormatting sqref="AH29">
    <cfRule type="cellIs" dxfId="19628" priority="138778" stopIfTrue="1" operator="lessThan">
      <formula>0.5</formula>
    </cfRule>
  </conditionalFormatting>
  <conditionalFormatting sqref="AH29">
    <cfRule type="cellIs" dxfId="19627" priority="138779" stopIfTrue="1" operator="greaterThanOrEqual">
      <formula>0.5</formula>
    </cfRule>
  </conditionalFormatting>
  <conditionalFormatting sqref="AH30">
    <cfRule type="cellIs" dxfId="19626" priority="138780" stopIfTrue="1" operator="equal">
      <formula>-1</formula>
    </cfRule>
  </conditionalFormatting>
  <conditionalFormatting sqref="AH30">
    <cfRule type="cellIs" dxfId="19625" priority="138781" stopIfTrue="1" operator="lessThan">
      <formula>0.5</formula>
    </cfRule>
  </conditionalFormatting>
  <conditionalFormatting sqref="AH30">
    <cfRule type="cellIs" dxfId="19624" priority="138782" stopIfTrue="1" operator="greaterThanOrEqual">
      <formula>0.5</formula>
    </cfRule>
  </conditionalFormatting>
  <conditionalFormatting sqref="AH31">
    <cfRule type="cellIs" dxfId="19623" priority="138783" stopIfTrue="1" operator="equal">
      <formula>-1</formula>
    </cfRule>
  </conditionalFormatting>
  <conditionalFormatting sqref="AH31">
    <cfRule type="cellIs" dxfId="19622" priority="138784" stopIfTrue="1" operator="lessThan">
      <formula>0.5</formula>
    </cfRule>
  </conditionalFormatting>
  <conditionalFormatting sqref="AH31">
    <cfRule type="cellIs" dxfId="19621" priority="138785" stopIfTrue="1" operator="greaterThanOrEqual">
      <formula>0.5</formula>
    </cfRule>
  </conditionalFormatting>
  <conditionalFormatting sqref="AH32">
    <cfRule type="cellIs" dxfId="19620" priority="138786" stopIfTrue="1" operator="equal">
      <formula>-1</formula>
    </cfRule>
  </conditionalFormatting>
  <conditionalFormatting sqref="AH32">
    <cfRule type="cellIs" dxfId="19619" priority="138787" stopIfTrue="1" operator="lessThan">
      <formula>0.5</formula>
    </cfRule>
  </conditionalFormatting>
  <conditionalFormatting sqref="AH32">
    <cfRule type="cellIs" dxfId="19618" priority="138788" stopIfTrue="1" operator="greaterThanOrEqual">
      <formula>0.5</formula>
    </cfRule>
  </conditionalFormatting>
  <conditionalFormatting sqref="AH33">
    <cfRule type="cellIs" dxfId="19617" priority="138789" stopIfTrue="1" operator="equal">
      <formula>-1</formula>
    </cfRule>
  </conditionalFormatting>
  <conditionalFormatting sqref="AH33">
    <cfRule type="cellIs" dxfId="19616" priority="138790" stopIfTrue="1" operator="lessThan">
      <formula>0.5</formula>
    </cfRule>
  </conditionalFormatting>
  <conditionalFormatting sqref="AH33">
    <cfRule type="cellIs" dxfId="19615" priority="138791" stopIfTrue="1" operator="greaterThanOrEqual">
      <formula>0.5</formula>
    </cfRule>
  </conditionalFormatting>
  <conditionalFormatting sqref="AH34">
    <cfRule type="cellIs" dxfId="19614" priority="138792" stopIfTrue="1" operator="equal">
      <formula>-1</formula>
    </cfRule>
  </conditionalFormatting>
  <conditionalFormatting sqref="AH34">
    <cfRule type="cellIs" dxfId="19613" priority="138793" stopIfTrue="1" operator="lessThan">
      <formula>0.5</formula>
    </cfRule>
  </conditionalFormatting>
  <conditionalFormatting sqref="AH34">
    <cfRule type="cellIs" dxfId="19612" priority="138794" stopIfTrue="1" operator="greaterThanOrEqual">
      <formula>0.5</formula>
    </cfRule>
  </conditionalFormatting>
  <conditionalFormatting sqref="AH35">
    <cfRule type="cellIs" dxfId="19611" priority="138795" stopIfTrue="1" operator="equal">
      <formula>-1</formula>
    </cfRule>
  </conditionalFormatting>
  <conditionalFormatting sqref="AH35">
    <cfRule type="cellIs" dxfId="19610" priority="138796" stopIfTrue="1" operator="lessThan">
      <formula>0.5</formula>
    </cfRule>
  </conditionalFormatting>
  <conditionalFormatting sqref="AH35">
    <cfRule type="cellIs" dxfId="19609" priority="138797" stopIfTrue="1" operator="greaterThanOrEqual">
      <formula>0.5</formula>
    </cfRule>
  </conditionalFormatting>
  <conditionalFormatting sqref="AH36">
    <cfRule type="cellIs" dxfId="19608" priority="138798" stopIfTrue="1" operator="equal">
      <formula>-1</formula>
    </cfRule>
  </conditionalFormatting>
  <conditionalFormatting sqref="AH36">
    <cfRule type="cellIs" dxfId="19607" priority="138799" stopIfTrue="1" operator="lessThan">
      <formula>0.5</formula>
    </cfRule>
  </conditionalFormatting>
  <conditionalFormatting sqref="AH36">
    <cfRule type="cellIs" dxfId="19606" priority="138800" stopIfTrue="1" operator="greaterThanOrEqual">
      <formula>0.5</formula>
    </cfRule>
  </conditionalFormatting>
  <conditionalFormatting sqref="AH37">
    <cfRule type="cellIs" dxfId="19605" priority="138801" stopIfTrue="1" operator="equal">
      <formula>-1</formula>
    </cfRule>
  </conditionalFormatting>
  <conditionalFormatting sqref="AH37">
    <cfRule type="cellIs" dxfId="19604" priority="138802" stopIfTrue="1" operator="lessThan">
      <formula>0.5</formula>
    </cfRule>
  </conditionalFormatting>
  <conditionalFormatting sqref="AH37">
    <cfRule type="cellIs" dxfId="19603" priority="138803" stopIfTrue="1" operator="greaterThanOrEqual">
      <formula>0.5</formula>
    </cfRule>
  </conditionalFormatting>
  <conditionalFormatting sqref="AJ17">
    <cfRule type="cellIs" dxfId="19602" priority="138804" stopIfTrue="1" operator="equal">
      <formula>-1</formula>
    </cfRule>
  </conditionalFormatting>
  <conditionalFormatting sqref="AJ17">
    <cfRule type="cellIs" dxfId="19601" priority="138805" stopIfTrue="1" operator="lessThan">
      <formula>0.5</formula>
    </cfRule>
  </conditionalFormatting>
  <conditionalFormatting sqref="AJ17">
    <cfRule type="cellIs" dxfId="19600" priority="138806" stopIfTrue="1" operator="greaterThanOrEqual">
      <formula>0.5</formula>
    </cfRule>
  </conditionalFormatting>
  <conditionalFormatting sqref="AJ18">
    <cfRule type="cellIs" dxfId="19599" priority="138807" stopIfTrue="1" operator="equal">
      <formula>-1</formula>
    </cfRule>
  </conditionalFormatting>
  <conditionalFormatting sqref="AJ18">
    <cfRule type="cellIs" dxfId="19598" priority="138808" stopIfTrue="1" operator="lessThan">
      <formula>0.5</formula>
    </cfRule>
  </conditionalFormatting>
  <conditionalFormatting sqref="AJ18">
    <cfRule type="cellIs" dxfId="19597" priority="138809" stopIfTrue="1" operator="greaterThanOrEqual">
      <formula>0.5</formula>
    </cfRule>
  </conditionalFormatting>
  <conditionalFormatting sqref="AJ19">
    <cfRule type="cellIs" dxfId="19596" priority="138810" stopIfTrue="1" operator="equal">
      <formula>-1</formula>
    </cfRule>
  </conditionalFormatting>
  <conditionalFormatting sqref="AJ19">
    <cfRule type="cellIs" dxfId="19595" priority="138811" stopIfTrue="1" operator="lessThan">
      <formula>0.5</formula>
    </cfRule>
  </conditionalFormatting>
  <conditionalFormatting sqref="AJ19">
    <cfRule type="cellIs" dxfId="19594" priority="138812" stopIfTrue="1" operator="greaterThanOrEqual">
      <formula>0.5</formula>
    </cfRule>
  </conditionalFormatting>
  <conditionalFormatting sqref="AJ20">
    <cfRule type="cellIs" dxfId="19593" priority="138813" stopIfTrue="1" operator="equal">
      <formula>-1</formula>
    </cfRule>
  </conditionalFormatting>
  <conditionalFormatting sqref="AJ20">
    <cfRule type="cellIs" dxfId="19592" priority="138814" stopIfTrue="1" operator="lessThan">
      <formula>0.5</formula>
    </cfRule>
  </conditionalFormatting>
  <conditionalFormatting sqref="AJ20">
    <cfRule type="cellIs" dxfId="19591" priority="138815" stopIfTrue="1" operator="greaterThanOrEqual">
      <formula>0.5</formula>
    </cfRule>
  </conditionalFormatting>
  <conditionalFormatting sqref="AJ21">
    <cfRule type="cellIs" dxfId="19590" priority="138816" stopIfTrue="1" operator="equal">
      <formula>-1</formula>
    </cfRule>
  </conditionalFormatting>
  <conditionalFormatting sqref="AJ21">
    <cfRule type="cellIs" dxfId="19589" priority="138817" stopIfTrue="1" operator="lessThan">
      <formula>0.5</formula>
    </cfRule>
  </conditionalFormatting>
  <conditionalFormatting sqref="AJ21">
    <cfRule type="cellIs" dxfId="19588" priority="138818" stopIfTrue="1" operator="greaterThanOrEqual">
      <formula>0.5</formula>
    </cfRule>
  </conditionalFormatting>
  <conditionalFormatting sqref="AJ22">
    <cfRule type="cellIs" dxfId="19587" priority="138819" stopIfTrue="1" operator="equal">
      <formula>-1</formula>
    </cfRule>
  </conditionalFormatting>
  <conditionalFormatting sqref="AJ22">
    <cfRule type="cellIs" dxfId="19586" priority="138820" stopIfTrue="1" operator="lessThan">
      <formula>0.5</formula>
    </cfRule>
  </conditionalFormatting>
  <conditionalFormatting sqref="AJ22">
    <cfRule type="cellIs" dxfId="19585" priority="138821" stopIfTrue="1" operator="greaterThanOrEqual">
      <formula>0.5</formula>
    </cfRule>
  </conditionalFormatting>
  <conditionalFormatting sqref="AJ23">
    <cfRule type="cellIs" dxfId="19584" priority="138822" stopIfTrue="1" operator="equal">
      <formula>-1</formula>
    </cfRule>
  </conditionalFormatting>
  <conditionalFormatting sqref="AJ23">
    <cfRule type="cellIs" dxfId="19583" priority="138823" stopIfTrue="1" operator="lessThan">
      <formula>0.5</formula>
    </cfRule>
  </conditionalFormatting>
  <conditionalFormatting sqref="AJ23">
    <cfRule type="cellIs" dxfId="19582" priority="138824" stopIfTrue="1" operator="greaterThanOrEqual">
      <formula>0.5</formula>
    </cfRule>
  </conditionalFormatting>
  <conditionalFormatting sqref="AJ24">
    <cfRule type="cellIs" dxfId="19581" priority="138825" stopIfTrue="1" operator="equal">
      <formula>-1</formula>
    </cfRule>
  </conditionalFormatting>
  <conditionalFormatting sqref="AJ24">
    <cfRule type="cellIs" dxfId="19580" priority="138826" stopIfTrue="1" operator="lessThan">
      <formula>0.5</formula>
    </cfRule>
  </conditionalFormatting>
  <conditionalFormatting sqref="AJ24">
    <cfRule type="cellIs" dxfId="19579" priority="138827" stopIfTrue="1" operator="greaterThanOrEqual">
      <formula>0.5</formula>
    </cfRule>
  </conditionalFormatting>
  <conditionalFormatting sqref="AJ25">
    <cfRule type="cellIs" dxfId="19578" priority="138828" stopIfTrue="1" operator="equal">
      <formula>-1</formula>
    </cfRule>
  </conditionalFormatting>
  <conditionalFormatting sqref="AJ25">
    <cfRule type="cellIs" dxfId="19577" priority="138829" stopIfTrue="1" operator="lessThan">
      <formula>0.5</formula>
    </cfRule>
  </conditionalFormatting>
  <conditionalFormatting sqref="AJ25">
    <cfRule type="cellIs" dxfId="19576" priority="138830" stopIfTrue="1" operator="greaterThanOrEqual">
      <formula>0.5</formula>
    </cfRule>
  </conditionalFormatting>
  <conditionalFormatting sqref="AJ26">
    <cfRule type="cellIs" dxfId="19575" priority="138831" stopIfTrue="1" operator="equal">
      <formula>-1</formula>
    </cfRule>
  </conditionalFormatting>
  <conditionalFormatting sqref="AJ26">
    <cfRule type="cellIs" dxfId="19574" priority="138832" stopIfTrue="1" operator="lessThan">
      <formula>0.5</formula>
    </cfRule>
  </conditionalFormatting>
  <conditionalFormatting sqref="AJ26">
    <cfRule type="cellIs" dxfId="19573" priority="138833" stopIfTrue="1" operator="greaterThanOrEqual">
      <formula>0.5</formula>
    </cfRule>
  </conditionalFormatting>
  <conditionalFormatting sqref="AJ27">
    <cfRule type="cellIs" dxfId="19572" priority="138834" stopIfTrue="1" operator="equal">
      <formula>-1</formula>
    </cfRule>
  </conditionalFormatting>
  <conditionalFormatting sqref="AJ27">
    <cfRule type="cellIs" dxfId="19571" priority="138835" stopIfTrue="1" operator="lessThan">
      <formula>0.5</formula>
    </cfRule>
  </conditionalFormatting>
  <conditionalFormatting sqref="AJ27">
    <cfRule type="cellIs" dxfId="19570" priority="138836" stopIfTrue="1" operator="greaterThanOrEqual">
      <formula>0.5</formula>
    </cfRule>
  </conditionalFormatting>
  <conditionalFormatting sqref="AJ28">
    <cfRule type="cellIs" dxfId="19569" priority="138837" stopIfTrue="1" operator="equal">
      <formula>-1</formula>
    </cfRule>
  </conditionalFormatting>
  <conditionalFormatting sqref="AJ28">
    <cfRule type="cellIs" dxfId="19568" priority="138838" stopIfTrue="1" operator="lessThan">
      <formula>0.5</formula>
    </cfRule>
  </conditionalFormatting>
  <conditionalFormatting sqref="AJ28">
    <cfRule type="cellIs" dxfId="19567" priority="138839" stopIfTrue="1" operator="greaterThanOrEqual">
      <formula>0.5</formula>
    </cfRule>
  </conditionalFormatting>
  <conditionalFormatting sqref="AJ29">
    <cfRule type="cellIs" dxfId="19566" priority="138840" stopIfTrue="1" operator="equal">
      <formula>-1</formula>
    </cfRule>
  </conditionalFormatting>
  <conditionalFormatting sqref="AJ29">
    <cfRule type="cellIs" dxfId="19565" priority="138841" stopIfTrue="1" operator="lessThan">
      <formula>0.5</formula>
    </cfRule>
  </conditionalFormatting>
  <conditionalFormatting sqref="AJ29">
    <cfRule type="cellIs" dxfId="19564" priority="138842" stopIfTrue="1" operator="greaterThanOrEqual">
      <formula>0.5</formula>
    </cfRule>
  </conditionalFormatting>
  <conditionalFormatting sqref="AJ30">
    <cfRule type="cellIs" dxfId="19563" priority="138843" stopIfTrue="1" operator="equal">
      <formula>-1</formula>
    </cfRule>
  </conditionalFormatting>
  <conditionalFormatting sqref="AJ30">
    <cfRule type="cellIs" dxfId="19562" priority="138844" stopIfTrue="1" operator="lessThan">
      <formula>0.5</formula>
    </cfRule>
  </conditionalFormatting>
  <conditionalFormatting sqref="AJ30">
    <cfRule type="cellIs" dxfId="19561" priority="138845" stopIfTrue="1" operator="greaterThanOrEqual">
      <formula>0.5</formula>
    </cfRule>
  </conditionalFormatting>
  <conditionalFormatting sqref="AJ31">
    <cfRule type="cellIs" dxfId="19560" priority="138846" stopIfTrue="1" operator="equal">
      <formula>-1</formula>
    </cfRule>
  </conditionalFormatting>
  <conditionalFormatting sqref="AJ31">
    <cfRule type="cellIs" dxfId="19559" priority="138847" stopIfTrue="1" operator="lessThan">
      <formula>0.5</formula>
    </cfRule>
  </conditionalFormatting>
  <conditionalFormatting sqref="AJ31">
    <cfRule type="cellIs" dxfId="19558" priority="138848" stopIfTrue="1" operator="greaterThanOrEqual">
      <formula>0.5</formula>
    </cfRule>
  </conditionalFormatting>
  <conditionalFormatting sqref="AJ32">
    <cfRule type="cellIs" dxfId="19557" priority="138849" stopIfTrue="1" operator="equal">
      <formula>-1</formula>
    </cfRule>
  </conditionalFormatting>
  <conditionalFormatting sqref="AJ32">
    <cfRule type="cellIs" dxfId="19556" priority="138850" stopIfTrue="1" operator="lessThan">
      <formula>0.5</formula>
    </cfRule>
  </conditionalFormatting>
  <conditionalFormatting sqref="AJ32">
    <cfRule type="cellIs" dxfId="19555" priority="138851" stopIfTrue="1" operator="greaterThanOrEqual">
      <formula>0.5</formula>
    </cfRule>
  </conditionalFormatting>
  <conditionalFormatting sqref="AJ33">
    <cfRule type="cellIs" dxfId="19554" priority="138852" stopIfTrue="1" operator="equal">
      <formula>-1</formula>
    </cfRule>
  </conditionalFormatting>
  <conditionalFormatting sqref="AJ33">
    <cfRule type="cellIs" dxfId="19553" priority="138853" stopIfTrue="1" operator="lessThan">
      <formula>0.5</formula>
    </cfRule>
  </conditionalFormatting>
  <conditionalFormatting sqref="AJ33">
    <cfRule type="cellIs" dxfId="19552" priority="138854" stopIfTrue="1" operator="greaterThanOrEqual">
      <formula>0.5</formula>
    </cfRule>
  </conditionalFormatting>
  <conditionalFormatting sqref="AJ34">
    <cfRule type="cellIs" dxfId="19551" priority="138855" stopIfTrue="1" operator="equal">
      <formula>-1</formula>
    </cfRule>
  </conditionalFormatting>
  <conditionalFormatting sqref="AJ34">
    <cfRule type="cellIs" dxfId="19550" priority="138856" stopIfTrue="1" operator="lessThan">
      <formula>0.5</formula>
    </cfRule>
  </conditionalFormatting>
  <conditionalFormatting sqref="AJ34">
    <cfRule type="cellIs" dxfId="19549" priority="138857" stopIfTrue="1" operator="greaterThanOrEqual">
      <formula>0.5</formula>
    </cfRule>
  </conditionalFormatting>
  <conditionalFormatting sqref="AJ35">
    <cfRule type="cellIs" dxfId="19548" priority="138858" stopIfTrue="1" operator="equal">
      <formula>-1</formula>
    </cfRule>
  </conditionalFormatting>
  <conditionalFormatting sqref="AJ35">
    <cfRule type="cellIs" dxfId="19547" priority="138859" stopIfTrue="1" operator="lessThan">
      <formula>0.5</formula>
    </cfRule>
  </conditionalFormatting>
  <conditionalFormatting sqref="AJ35">
    <cfRule type="cellIs" dxfId="19546" priority="138860" stopIfTrue="1" operator="greaterThanOrEqual">
      <formula>0.5</formula>
    </cfRule>
  </conditionalFormatting>
  <conditionalFormatting sqref="AJ36">
    <cfRule type="cellIs" dxfId="19545" priority="138861" stopIfTrue="1" operator="equal">
      <formula>-1</formula>
    </cfRule>
  </conditionalFormatting>
  <conditionalFormatting sqref="AJ36">
    <cfRule type="cellIs" dxfId="19544" priority="138862" stopIfTrue="1" operator="lessThan">
      <formula>0.5</formula>
    </cfRule>
  </conditionalFormatting>
  <conditionalFormatting sqref="AJ36">
    <cfRule type="cellIs" dxfId="19543" priority="138863" stopIfTrue="1" operator="greaterThanOrEqual">
      <formula>0.5</formula>
    </cfRule>
  </conditionalFormatting>
  <conditionalFormatting sqref="AJ37">
    <cfRule type="cellIs" dxfId="19542" priority="138864" stopIfTrue="1" operator="equal">
      <formula>-1</formula>
    </cfRule>
  </conditionalFormatting>
  <conditionalFormatting sqref="AJ37">
    <cfRule type="cellIs" dxfId="19541" priority="138865" stopIfTrue="1" operator="lessThan">
      <formula>0.5</formula>
    </cfRule>
  </conditionalFormatting>
  <conditionalFormatting sqref="AJ37">
    <cfRule type="cellIs" dxfId="19540" priority="138866" stopIfTrue="1" operator="greaterThanOrEqual">
      <formula>0.5</formula>
    </cfRule>
  </conditionalFormatting>
  <conditionalFormatting sqref="AL17">
    <cfRule type="cellIs" dxfId="19539" priority="138867" stopIfTrue="1" operator="equal">
      <formula>-1</formula>
    </cfRule>
  </conditionalFormatting>
  <conditionalFormatting sqref="AL17">
    <cfRule type="cellIs" dxfId="19538" priority="138868" stopIfTrue="1" operator="lessThan">
      <formula>0.5</formula>
    </cfRule>
  </conditionalFormatting>
  <conditionalFormatting sqref="AL17">
    <cfRule type="cellIs" dxfId="19537" priority="138869" stopIfTrue="1" operator="greaterThanOrEqual">
      <formula>0.5</formula>
    </cfRule>
  </conditionalFormatting>
  <conditionalFormatting sqref="AL18">
    <cfRule type="cellIs" dxfId="19536" priority="138870" stopIfTrue="1" operator="equal">
      <formula>-1</formula>
    </cfRule>
  </conditionalFormatting>
  <conditionalFormatting sqref="AL18">
    <cfRule type="cellIs" dxfId="19535" priority="138871" stopIfTrue="1" operator="lessThan">
      <formula>0.5</formula>
    </cfRule>
  </conditionalFormatting>
  <conditionalFormatting sqref="AL18">
    <cfRule type="cellIs" dxfId="19534" priority="138872" stopIfTrue="1" operator="greaterThanOrEqual">
      <formula>0.5</formula>
    </cfRule>
  </conditionalFormatting>
  <conditionalFormatting sqref="AL19">
    <cfRule type="cellIs" dxfId="19533" priority="138873" stopIfTrue="1" operator="equal">
      <formula>-1</formula>
    </cfRule>
  </conditionalFormatting>
  <conditionalFormatting sqref="AL19">
    <cfRule type="cellIs" dxfId="19532" priority="138874" stopIfTrue="1" operator="lessThan">
      <formula>0.5</formula>
    </cfRule>
  </conditionalFormatting>
  <conditionalFormatting sqref="AL19">
    <cfRule type="cellIs" dxfId="19531" priority="138875" stopIfTrue="1" operator="greaterThanOrEqual">
      <formula>0.5</formula>
    </cfRule>
  </conditionalFormatting>
  <conditionalFormatting sqref="AL20">
    <cfRule type="cellIs" dxfId="19530" priority="138876" stopIfTrue="1" operator="equal">
      <formula>-1</formula>
    </cfRule>
  </conditionalFormatting>
  <conditionalFormatting sqref="AL20">
    <cfRule type="cellIs" dxfId="19529" priority="138877" stopIfTrue="1" operator="lessThan">
      <formula>0.5</formula>
    </cfRule>
  </conditionalFormatting>
  <conditionalFormatting sqref="AL20">
    <cfRule type="cellIs" dxfId="19528" priority="138878" stopIfTrue="1" operator="greaterThanOrEqual">
      <formula>0.5</formula>
    </cfRule>
  </conditionalFormatting>
  <conditionalFormatting sqref="AL21">
    <cfRule type="cellIs" dxfId="19527" priority="138879" stopIfTrue="1" operator="equal">
      <formula>-1</formula>
    </cfRule>
  </conditionalFormatting>
  <conditionalFormatting sqref="AL21">
    <cfRule type="cellIs" dxfId="19526" priority="138880" stopIfTrue="1" operator="lessThan">
      <formula>0.5</formula>
    </cfRule>
  </conditionalFormatting>
  <conditionalFormatting sqref="AL21">
    <cfRule type="cellIs" dxfId="19525" priority="138881" stopIfTrue="1" operator="greaterThanOrEqual">
      <formula>0.5</formula>
    </cfRule>
  </conditionalFormatting>
  <conditionalFormatting sqref="AL22">
    <cfRule type="cellIs" dxfId="19524" priority="138882" stopIfTrue="1" operator="equal">
      <formula>-1</formula>
    </cfRule>
  </conditionalFormatting>
  <conditionalFormatting sqref="AL22">
    <cfRule type="cellIs" dxfId="19523" priority="138883" stopIfTrue="1" operator="lessThan">
      <formula>0.5</formula>
    </cfRule>
  </conditionalFormatting>
  <conditionalFormatting sqref="AL22">
    <cfRule type="cellIs" dxfId="19522" priority="138884" stopIfTrue="1" operator="greaterThanOrEqual">
      <formula>0.5</formula>
    </cfRule>
  </conditionalFormatting>
  <conditionalFormatting sqref="AL23">
    <cfRule type="cellIs" dxfId="19521" priority="138885" stopIfTrue="1" operator="equal">
      <formula>-1</formula>
    </cfRule>
  </conditionalFormatting>
  <conditionalFormatting sqref="AL23">
    <cfRule type="cellIs" dxfId="19520" priority="138886" stopIfTrue="1" operator="lessThan">
      <formula>0.5</formula>
    </cfRule>
  </conditionalFormatting>
  <conditionalFormatting sqref="AL23">
    <cfRule type="cellIs" dxfId="19519" priority="138887" stopIfTrue="1" operator="greaterThanOrEqual">
      <formula>0.5</formula>
    </cfRule>
  </conditionalFormatting>
  <conditionalFormatting sqref="AL24">
    <cfRule type="cellIs" dxfId="19518" priority="138888" stopIfTrue="1" operator="equal">
      <formula>-1</formula>
    </cfRule>
  </conditionalFormatting>
  <conditionalFormatting sqref="AL24">
    <cfRule type="cellIs" dxfId="19517" priority="138889" stopIfTrue="1" operator="lessThan">
      <formula>0.5</formula>
    </cfRule>
  </conditionalFormatting>
  <conditionalFormatting sqref="AL24">
    <cfRule type="cellIs" dxfId="19516" priority="138890" stopIfTrue="1" operator="greaterThanOrEqual">
      <formula>0.5</formula>
    </cfRule>
  </conditionalFormatting>
  <conditionalFormatting sqref="AL25">
    <cfRule type="cellIs" dxfId="19515" priority="138891" stopIfTrue="1" operator="equal">
      <formula>-1</formula>
    </cfRule>
  </conditionalFormatting>
  <conditionalFormatting sqref="AL25">
    <cfRule type="cellIs" dxfId="19514" priority="138892" stopIfTrue="1" operator="lessThan">
      <formula>0.5</formula>
    </cfRule>
  </conditionalFormatting>
  <conditionalFormatting sqref="AL25">
    <cfRule type="cellIs" dxfId="19513" priority="138893" stopIfTrue="1" operator="greaterThanOrEqual">
      <formula>0.5</formula>
    </cfRule>
  </conditionalFormatting>
  <conditionalFormatting sqref="AL26">
    <cfRule type="cellIs" dxfId="19512" priority="138894" stopIfTrue="1" operator="equal">
      <formula>-1</formula>
    </cfRule>
  </conditionalFormatting>
  <conditionalFormatting sqref="AL26">
    <cfRule type="cellIs" dxfId="19511" priority="138895" stopIfTrue="1" operator="lessThan">
      <formula>0.5</formula>
    </cfRule>
  </conditionalFormatting>
  <conditionalFormatting sqref="AL26">
    <cfRule type="cellIs" dxfId="19510" priority="138896" stopIfTrue="1" operator="greaterThanOrEqual">
      <formula>0.5</formula>
    </cfRule>
  </conditionalFormatting>
  <conditionalFormatting sqref="AL27">
    <cfRule type="cellIs" dxfId="19509" priority="138897" stopIfTrue="1" operator="equal">
      <formula>-1</formula>
    </cfRule>
  </conditionalFormatting>
  <conditionalFormatting sqref="AL27">
    <cfRule type="cellIs" dxfId="19508" priority="138898" stopIfTrue="1" operator="lessThan">
      <formula>0.5</formula>
    </cfRule>
  </conditionalFormatting>
  <conditionalFormatting sqref="AL27">
    <cfRule type="cellIs" dxfId="19507" priority="138899" stopIfTrue="1" operator="greaterThanOrEqual">
      <formula>0.5</formula>
    </cfRule>
  </conditionalFormatting>
  <conditionalFormatting sqref="AL28">
    <cfRule type="cellIs" dxfId="19506" priority="138900" stopIfTrue="1" operator="equal">
      <formula>-1</formula>
    </cfRule>
  </conditionalFormatting>
  <conditionalFormatting sqref="AL28">
    <cfRule type="cellIs" dxfId="19505" priority="138901" stopIfTrue="1" operator="lessThan">
      <formula>0.5</formula>
    </cfRule>
  </conditionalFormatting>
  <conditionalFormatting sqref="AL28">
    <cfRule type="cellIs" dxfId="19504" priority="138902" stopIfTrue="1" operator="greaterThanOrEqual">
      <formula>0.5</formula>
    </cfRule>
  </conditionalFormatting>
  <conditionalFormatting sqref="AL29">
    <cfRule type="cellIs" dxfId="19503" priority="138903" stopIfTrue="1" operator="equal">
      <formula>-1</formula>
    </cfRule>
  </conditionalFormatting>
  <conditionalFormatting sqref="AL29">
    <cfRule type="cellIs" dxfId="19502" priority="138904" stopIfTrue="1" operator="lessThan">
      <formula>0.5</formula>
    </cfRule>
  </conditionalFormatting>
  <conditionalFormatting sqref="AL29">
    <cfRule type="cellIs" dxfId="19501" priority="138905" stopIfTrue="1" operator="greaterThanOrEqual">
      <formula>0.5</formula>
    </cfRule>
  </conditionalFormatting>
  <conditionalFormatting sqref="AL30">
    <cfRule type="cellIs" dxfId="19500" priority="138906" stopIfTrue="1" operator="equal">
      <formula>-1</formula>
    </cfRule>
  </conditionalFormatting>
  <conditionalFormatting sqref="AL30">
    <cfRule type="cellIs" dxfId="19499" priority="138907" stopIfTrue="1" operator="lessThan">
      <formula>0.5</formula>
    </cfRule>
  </conditionalFormatting>
  <conditionalFormatting sqref="AL30">
    <cfRule type="cellIs" dxfId="19498" priority="138908" stopIfTrue="1" operator="greaterThanOrEqual">
      <formula>0.5</formula>
    </cfRule>
  </conditionalFormatting>
  <conditionalFormatting sqref="AL31">
    <cfRule type="cellIs" dxfId="19497" priority="138909" stopIfTrue="1" operator="equal">
      <formula>-1</formula>
    </cfRule>
  </conditionalFormatting>
  <conditionalFormatting sqref="AL31">
    <cfRule type="cellIs" dxfId="19496" priority="138910" stopIfTrue="1" operator="lessThan">
      <formula>0.5</formula>
    </cfRule>
  </conditionalFormatting>
  <conditionalFormatting sqref="AL31">
    <cfRule type="cellIs" dxfId="19495" priority="138911" stopIfTrue="1" operator="greaterThanOrEqual">
      <formula>0.5</formula>
    </cfRule>
  </conditionalFormatting>
  <conditionalFormatting sqref="AL32">
    <cfRule type="cellIs" dxfId="19494" priority="138912" stopIfTrue="1" operator="equal">
      <formula>-1</formula>
    </cfRule>
  </conditionalFormatting>
  <conditionalFormatting sqref="AL32">
    <cfRule type="cellIs" dxfId="19493" priority="138913" stopIfTrue="1" operator="lessThan">
      <formula>0.5</formula>
    </cfRule>
  </conditionalFormatting>
  <conditionalFormatting sqref="AL32">
    <cfRule type="cellIs" dxfId="19492" priority="138914" stopIfTrue="1" operator="greaterThanOrEqual">
      <formula>0.5</formula>
    </cfRule>
  </conditionalFormatting>
  <conditionalFormatting sqref="AL33">
    <cfRule type="cellIs" dxfId="19491" priority="138915" stopIfTrue="1" operator="equal">
      <formula>-1</formula>
    </cfRule>
  </conditionalFormatting>
  <conditionalFormatting sqref="AL33">
    <cfRule type="cellIs" dxfId="19490" priority="138916" stopIfTrue="1" operator="lessThan">
      <formula>0.5</formula>
    </cfRule>
  </conditionalFormatting>
  <conditionalFormatting sqref="AL33">
    <cfRule type="cellIs" dxfId="19489" priority="138917" stopIfTrue="1" operator="greaterThanOrEqual">
      <formula>0.5</formula>
    </cfRule>
  </conditionalFormatting>
  <conditionalFormatting sqref="AL34">
    <cfRule type="cellIs" dxfId="19488" priority="138918" stopIfTrue="1" operator="equal">
      <formula>-1</formula>
    </cfRule>
  </conditionalFormatting>
  <conditionalFormatting sqref="AL34">
    <cfRule type="cellIs" dxfId="19487" priority="138919" stopIfTrue="1" operator="lessThan">
      <formula>0.5</formula>
    </cfRule>
  </conditionalFormatting>
  <conditionalFormatting sqref="AL34">
    <cfRule type="cellIs" dxfId="19486" priority="138920" stopIfTrue="1" operator="greaterThanOrEqual">
      <formula>0.5</formula>
    </cfRule>
  </conditionalFormatting>
  <conditionalFormatting sqref="AL35">
    <cfRule type="cellIs" dxfId="19485" priority="138921" stopIfTrue="1" operator="equal">
      <formula>-1</formula>
    </cfRule>
  </conditionalFormatting>
  <conditionalFormatting sqref="AL35">
    <cfRule type="cellIs" dxfId="19484" priority="138922" stopIfTrue="1" operator="lessThan">
      <formula>0.5</formula>
    </cfRule>
  </conditionalFormatting>
  <conditionalFormatting sqref="AL35">
    <cfRule type="cellIs" dxfId="19483" priority="138923" stopIfTrue="1" operator="greaterThanOrEqual">
      <formula>0.5</formula>
    </cfRule>
  </conditionalFormatting>
  <conditionalFormatting sqref="AL36">
    <cfRule type="cellIs" dxfId="19482" priority="138924" stopIfTrue="1" operator="equal">
      <formula>-1</formula>
    </cfRule>
  </conditionalFormatting>
  <conditionalFormatting sqref="AL36">
    <cfRule type="cellIs" dxfId="19481" priority="138925" stopIfTrue="1" operator="lessThan">
      <formula>0.5</formula>
    </cfRule>
  </conditionalFormatting>
  <conditionalFormatting sqref="AL36">
    <cfRule type="cellIs" dxfId="19480" priority="138926" stopIfTrue="1" operator="greaterThanOrEqual">
      <formula>0.5</formula>
    </cfRule>
  </conditionalFormatting>
  <conditionalFormatting sqref="AL37">
    <cfRule type="cellIs" dxfId="19479" priority="138927" stopIfTrue="1" operator="equal">
      <formula>-1</formula>
    </cfRule>
  </conditionalFormatting>
  <conditionalFormatting sqref="AL37">
    <cfRule type="cellIs" dxfId="19478" priority="138928" stopIfTrue="1" operator="lessThan">
      <formula>0.5</formula>
    </cfRule>
  </conditionalFormatting>
  <conditionalFormatting sqref="AL37">
    <cfRule type="cellIs" dxfId="19477" priority="138929" stopIfTrue="1" operator="greaterThanOrEqual">
      <formula>0.5</formula>
    </cfRule>
  </conditionalFormatting>
  <conditionalFormatting sqref="AN17">
    <cfRule type="cellIs" dxfId="19476" priority="138930" stopIfTrue="1" operator="equal">
      <formula>-1</formula>
    </cfRule>
  </conditionalFormatting>
  <conditionalFormatting sqref="AN17">
    <cfRule type="cellIs" dxfId="19475" priority="138931" stopIfTrue="1" operator="lessThan">
      <formula>0.5</formula>
    </cfRule>
  </conditionalFormatting>
  <conditionalFormatting sqref="AN17">
    <cfRule type="cellIs" dxfId="19474" priority="138932" stopIfTrue="1" operator="greaterThanOrEqual">
      <formula>0.5</formula>
    </cfRule>
  </conditionalFormatting>
  <conditionalFormatting sqref="AN18">
    <cfRule type="cellIs" dxfId="19473" priority="138933" stopIfTrue="1" operator="equal">
      <formula>-1</formula>
    </cfRule>
  </conditionalFormatting>
  <conditionalFormatting sqref="AN18">
    <cfRule type="cellIs" dxfId="19472" priority="138934" stopIfTrue="1" operator="lessThan">
      <formula>0.5</formula>
    </cfRule>
  </conditionalFormatting>
  <conditionalFormatting sqref="AN18">
    <cfRule type="cellIs" dxfId="19471" priority="138935" stopIfTrue="1" operator="greaterThanOrEqual">
      <formula>0.5</formula>
    </cfRule>
  </conditionalFormatting>
  <conditionalFormatting sqref="AN19">
    <cfRule type="cellIs" dxfId="19470" priority="138936" stopIfTrue="1" operator="equal">
      <formula>-1</formula>
    </cfRule>
  </conditionalFormatting>
  <conditionalFormatting sqref="AN19">
    <cfRule type="cellIs" dxfId="19469" priority="138937" stopIfTrue="1" operator="lessThan">
      <formula>0.5</formula>
    </cfRule>
  </conditionalFormatting>
  <conditionalFormatting sqref="AN19">
    <cfRule type="cellIs" dxfId="19468" priority="138938" stopIfTrue="1" operator="greaterThanOrEqual">
      <formula>0.5</formula>
    </cfRule>
  </conditionalFormatting>
  <conditionalFormatting sqref="AN20">
    <cfRule type="cellIs" dxfId="19467" priority="138939" stopIfTrue="1" operator="equal">
      <formula>-1</formula>
    </cfRule>
  </conditionalFormatting>
  <conditionalFormatting sqref="AN20">
    <cfRule type="cellIs" dxfId="19466" priority="138940" stopIfTrue="1" operator="lessThan">
      <formula>0.5</formula>
    </cfRule>
  </conditionalFormatting>
  <conditionalFormatting sqref="AN20">
    <cfRule type="cellIs" dxfId="19465" priority="138941" stopIfTrue="1" operator="greaterThanOrEqual">
      <formula>0.5</formula>
    </cfRule>
  </conditionalFormatting>
  <conditionalFormatting sqref="AN21">
    <cfRule type="cellIs" dxfId="19464" priority="138942" stopIfTrue="1" operator="equal">
      <formula>-1</formula>
    </cfRule>
  </conditionalFormatting>
  <conditionalFormatting sqref="AN21">
    <cfRule type="cellIs" dxfId="19463" priority="138943" stopIfTrue="1" operator="lessThan">
      <formula>0.5</formula>
    </cfRule>
  </conditionalFormatting>
  <conditionalFormatting sqref="AN21">
    <cfRule type="cellIs" dxfId="19462" priority="138944" stopIfTrue="1" operator="greaterThanOrEqual">
      <formula>0.5</formula>
    </cfRule>
  </conditionalFormatting>
  <conditionalFormatting sqref="AN22">
    <cfRule type="cellIs" dxfId="19461" priority="138945" stopIfTrue="1" operator="equal">
      <formula>-1</formula>
    </cfRule>
  </conditionalFormatting>
  <conditionalFormatting sqref="AN22">
    <cfRule type="cellIs" dxfId="19460" priority="138946" stopIfTrue="1" operator="lessThan">
      <formula>0.5</formula>
    </cfRule>
  </conditionalFormatting>
  <conditionalFormatting sqref="AN22">
    <cfRule type="cellIs" dxfId="19459" priority="138947" stopIfTrue="1" operator="greaterThanOrEqual">
      <formula>0.5</formula>
    </cfRule>
  </conditionalFormatting>
  <conditionalFormatting sqref="AN23">
    <cfRule type="cellIs" dxfId="19458" priority="138948" stopIfTrue="1" operator="equal">
      <formula>-1</formula>
    </cfRule>
  </conditionalFormatting>
  <conditionalFormatting sqref="AN23">
    <cfRule type="cellIs" dxfId="19457" priority="138949" stopIfTrue="1" operator="lessThan">
      <formula>0.5</formula>
    </cfRule>
  </conditionalFormatting>
  <conditionalFormatting sqref="AN23">
    <cfRule type="cellIs" dxfId="19456" priority="138950" stopIfTrue="1" operator="greaterThanOrEqual">
      <formula>0.5</formula>
    </cfRule>
  </conditionalFormatting>
  <conditionalFormatting sqref="AN24">
    <cfRule type="cellIs" dxfId="19455" priority="138951" stopIfTrue="1" operator="equal">
      <formula>-1</formula>
    </cfRule>
  </conditionalFormatting>
  <conditionalFormatting sqref="AN24">
    <cfRule type="cellIs" dxfId="19454" priority="138952" stopIfTrue="1" operator="lessThan">
      <formula>0.5</formula>
    </cfRule>
  </conditionalFormatting>
  <conditionalFormatting sqref="AN24">
    <cfRule type="cellIs" dxfId="19453" priority="138953" stopIfTrue="1" operator="greaterThanOrEqual">
      <formula>0.5</formula>
    </cfRule>
  </conditionalFormatting>
  <conditionalFormatting sqref="AN25">
    <cfRule type="cellIs" dxfId="19452" priority="138954" stopIfTrue="1" operator="equal">
      <formula>-1</formula>
    </cfRule>
  </conditionalFormatting>
  <conditionalFormatting sqref="AN25">
    <cfRule type="cellIs" dxfId="19451" priority="138955" stopIfTrue="1" operator="lessThan">
      <formula>0.5</formula>
    </cfRule>
  </conditionalFormatting>
  <conditionalFormatting sqref="AN25">
    <cfRule type="cellIs" dxfId="19450" priority="138956" stopIfTrue="1" operator="greaterThanOrEqual">
      <formula>0.5</formula>
    </cfRule>
  </conditionalFormatting>
  <conditionalFormatting sqref="AN26">
    <cfRule type="cellIs" dxfId="19449" priority="138957" stopIfTrue="1" operator="equal">
      <formula>-1</formula>
    </cfRule>
  </conditionalFormatting>
  <conditionalFormatting sqref="AN26">
    <cfRule type="cellIs" dxfId="19448" priority="138958" stopIfTrue="1" operator="lessThan">
      <formula>0.5</formula>
    </cfRule>
  </conditionalFormatting>
  <conditionalFormatting sqref="AN26">
    <cfRule type="cellIs" dxfId="19447" priority="138959" stopIfTrue="1" operator="greaterThanOrEqual">
      <formula>0.5</formula>
    </cfRule>
  </conditionalFormatting>
  <conditionalFormatting sqref="AN27">
    <cfRule type="cellIs" dxfId="19446" priority="138960" stopIfTrue="1" operator="equal">
      <formula>-1</formula>
    </cfRule>
  </conditionalFormatting>
  <conditionalFormatting sqref="AN27">
    <cfRule type="cellIs" dxfId="19445" priority="138961" stopIfTrue="1" operator="lessThan">
      <formula>0.5</formula>
    </cfRule>
  </conditionalFormatting>
  <conditionalFormatting sqref="AN27">
    <cfRule type="cellIs" dxfId="19444" priority="138962" stopIfTrue="1" operator="greaterThanOrEqual">
      <formula>0.5</formula>
    </cfRule>
  </conditionalFormatting>
  <conditionalFormatting sqref="AN28">
    <cfRule type="cellIs" dxfId="19443" priority="138963" stopIfTrue="1" operator="equal">
      <formula>-1</formula>
    </cfRule>
  </conditionalFormatting>
  <conditionalFormatting sqref="AN28">
    <cfRule type="cellIs" dxfId="19442" priority="138964" stopIfTrue="1" operator="lessThan">
      <formula>0.5</formula>
    </cfRule>
  </conditionalFormatting>
  <conditionalFormatting sqref="AN28">
    <cfRule type="cellIs" dxfId="19441" priority="138965" stopIfTrue="1" operator="greaterThanOrEqual">
      <formula>0.5</formula>
    </cfRule>
  </conditionalFormatting>
  <conditionalFormatting sqref="AN29">
    <cfRule type="cellIs" dxfId="19440" priority="138966" stopIfTrue="1" operator="equal">
      <formula>-1</formula>
    </cfRule>
  </conditionalFormatting>
  <conditionalFormatting sqref="AN29">
    <cfRule type="cellIs" dxfId="19439" priority="138967" stopIfTrue="1" operator="lessThan">
      <formula>0.5</formula>
    </cfRule>
  </conditionalFormatting>
  <conditionalFormatting sqref="AN29">
    <cfRule type="cellIs" dxfId="19438" priority="138968" stopIfTrue="1" operator="greaterThanOrEqual">
      <formula>0.5</formula>
    </cfRule>
  </conditionalFormatting>
  <conditionalFormatting sqref="AN30">
    <cfRule type="cellIs" dxfId="19437" priority="138969" stopIfTrue="1" operator="equal">
      <formula>-1</formula>
    </cfRule>
  </conditionalFormatting>
  <conditionalFormatting sqref="AN30">
    <cfRule type="cellIs" dxfId="19436" priority="138970" stopIfTrue="1" operator="lessThan">
      <formula>0.5</formula>
    </cfRule>
  </conditionalFormatting>
  <conditionalFormatting sqref="AN30">
    <cfRule type="cellIs" dxfId="19435" priority="138971" stopIfTrue="1" operator="greaterThanOrEqual">
      <formula>0.5</formula>
    </cfRule>
  </conditionalFormatting>
  <conditionalFormatting sqref="AN31">
    <cfRule type="cellIs" dxfId="19434" priority="138972" stopIfTrue="1" operator="equal">
      <formula>-1</formula>
    </cfRule>
  </conditionalFormatting>
  <conditionalFormatting sqref="AN31">
    <cfRule type="cellIs" dxfId="19433" priority="138973" stopIfTrue="1" operator="lessThan">
      <formula>0.5</formula>
    </cfRule>
  </conditionalFormatting>
  <conditionalFormatting sqref="AN31">
    <cfRule type="cellIs" dxfId="19432" priority="138974" stopIfTrue="1" operator="greaterThanOrEqual">
      <formula>0.5</formula>
    </cfRule>
  </conditionalFormatting>
  <conditionalFormatting sqref="AN32">
    <cfRule type="cellIs" dxfId="19431" priority="138975" stopIfTrue="1" operator="equal">
      <formula>-1</formula>
    </cfRule>
  </conditionalFormatting>
  <conditionalFormatting sqref="AN32">
    <cfRule type="cellIs" dxfId="19430" priority="138976" stopIfTrue="1" operator="lessThan">
      <formula>0.5</formula>
    </cfRule>
  </conditionalFormatting>
  <conditionalFormatting sqref="AN32">
    <cfRule type="cellIs" dxfId="19429" priority="138977" stopIfTrue="1" operator="greaterThanOrEqual">
      <formula>0.5</formula>
    </cfRule>
  </conditionalFormatting>
  <conditionalFormatting sqref="AN33">
    <cfRule type="cellIs" dxfId="19428" priority="138978" stopIfTrue="1" operator="equal">
      <formula>-1</formula>
    </cfRule>
  </conditionalFormatting>
  <conditionalFormatting sqref="AN33">
    <cfRule type="cellIs" dxfId="19427" priority="138979" stopIfTrue="1" operator="lessThan">
      <formula>0.5</formula>
    </cfRule>
  </conditionalFormatting>
  <conditionalFormatting sqref="AN33">
    <cfRule type="cellIs" dxfId="19426" priority="138980" stopIfTrue="1" operator="greaterThanOrEqual">
      <formula>0.5</formula>
    </cfRule>
  </conditionalFormatting>
  <conditionalFormatting sqref="AN34">
    <cfRule type="cellIs" dxfId="19425" priority="138981" stopIfTrue="1" operator="equal">
      <formula>-1</formula>
    </cfRule>
  </conditionalFormatting>
  <conditionalFormatting sqref="AN34">
    <cfRule type="cellIs" dxfId="19424" priority="138982" stopIfTrue="1" operator="lessThan">
      <formula>0.5</formula>
    </cfRule>
  </conditionalFormatting>
  <conditionalFormatting sqref="AN34">
    <cfRule type="cellIs" dxfId="19423" priority="138983" stopIfTrue="1" operator="greaterThanOrEqual">
      <formula>0.5</formula>
    </cfRule>
  </conditionalFormatting>
  <conditionalFormatting sqref="AN35">
    <cfRule type="cellIs" dxfId="19422" priority="138984" stopIfTrue="1" operator="equal">
      <formula>-1</formula>
    </cfRule>
  </conditionalFormatting>
  <conditionalFormatting sqref="AN35">
    <cfRule type="cellIs" dxfId="19421" priority="138985" stopIfTrue="1" operator="lessThan">
      <formula>0.5</formula>
    </cfRule>
  </conditionalFormatting>
  <conditionalFormatting sqref="AN35">
    <cfRule type="cellIs" dxfId="19420" priority="138986" stopIfTrue="1" operator="greaterThanOrEqual">
      <formula>0.5</formula>
    </cfRule>
  </conditionalFormatting>
  <conditionalFormatting sqref="AN36">
    <cfRule type="cellIs" dxfId="19419" priority="138987" stopIfTrue="1" operator="equal">
      <formula>-1</formula>
    </cfRule>
  </conditionalFormatting>
  <conditionalFormatting sqref="AN36">
    <cfRule type="cellIs" dxfId="19418" priority="138988" stopIfTrue="1" operator="lessThan">
      <formula>0.5</formula>
    </cfRule>
  </conditionalFormatting>
  <conditionalFormatting sqref="AN36">
    <cfRule type="cellIs" dxfId="19417" priority="138989" stopIfTrue="1" operator="greaterThanOrEqual">
      <formula>0.5</formula>
    </cfRule>
  </conditionalFormatting>
  <conditionalFormatting sqref="AN37">
    <cfRule type="cellIs" dxfId="19416" priority="138990" stopIfTrue="1" operator="equal">
      <formula>-1</formula>
    </cfRule>
  </conditionalFormatting>
  <conditionalFormatting sqref="AN37">
    <cfRule type="cellIs" dxfId="19415" priority="138991" stopIfTrue="1" operator="lessThan">
      <formula>0.5</formula>
    </cfRule>
  </conditionalFormatting>
  <conditionalFormatting sqref="AN37">
    <cfRule type="cellIs" dxfId="19414" priority="138992" stopIfTrue="1" operator="greaterThanOrEqual">
      <formula>0.5</formula>
    </cfRule>
  </conditionalFormatting>
  <conditionalFormatting sqref="AP17">
    <cfRule type="cellIs" dxfId="19413" priority="138993" stopIfTrue="1" operator="equal">
      <formula>-1</formula>
    </cfRule>
  </conditionalFormatting>
  <conditionalFormatting sqref="AP17">
    <cfRule type="cellIs" dxfId="19412" priority="138994" stopIfTrue="1" operator="lessThan">
      <formula>0.5</formula>
    </cfRule>
  </conditionalFormatting>
  <conditionalFormatting sqref="AP17">
    <cfRule type="cellIs" dxfId="19411" priority="138995" stopIfTrue="1" operator="greaterThanOrEqual">
      <formula>0.5</formula>
    </cfRule>
  </conditionalFormatting>
  <conditionalFormatting sqref="AP18">
    <cfRule type="cellIs" dxfId="19410" priority="138996" stopIfTrue="1" operator="equal">
      <formula>-1</formula>
    </cfRule>
  </conditionalFormatting>
  <conditionalFormatting sqref="AP18">
    <cfRule type="cellIs" dxfId="19409" priority="138997" stopIfTrue="1" operator="lessThan">
      <formula>0.5</formula>
    </cfRule>
  </conditionalFormatting>
  <conditionalFormatting sqref="AP18">
    <cfRule type="cellIs" dxfId="19408" priority="138998" stopIfTrue="1" operator="greaterThanOrEqual">
      <formula>0.5</formula>
    </cfRule>
  </conditionalFormatting>
  <conditionalFormatting sqref="AP19">
    <cfRule type="cellIs" dxfId="19407" priority="138999" stopIfTrue="1" operator="equal">
      <formula>-1</formula>
    </cfRule>
  </conditionalFormatting>
  <conditionalFormatting sqref="AP19">
    <cfRule type="cellIs" dxfId="19406" priority="139000" stopIfTrue="1" operator="lessThan">
      <formula>0.5</formula>
    </cfRule>
  </conditionalFormatting>
  <conditionalFormatting sqref="AP19">
    <cfRule type="cellIs" dxfId="19405" priority="139001" stopIfTrue="1" operator="greaterThanOrEqual">
      <formula>0.5</formula>
    </cfRule>
  </conditionalFormatting>
  <conditionalFormatting sqref="AP20">
    <cfRule type="cellIs" dxfId="19404" priority="139002" stopIfTrue="1" operator="equal">
      <formula>-1</formula>
    </cfRule>
  </conditionalFormatting>
  <conditionalFormatting sqref="AP20">
    <cfRule type="cellIs" dxfId="19403" priority="139003" stopIfTrue="1" operator="lessThan">
      <formula>0.5</formula>
    </cfRule>
  </conditionalFormatting>
  <conditionalFormatting sqref="AP20">
    <cfRule type="cellIs" dxfId="19402" priority="139004" stopIfTrue="1" operator="greaterThanOrEqual">
      <formula>0.5</formula>
    </cfRule>
  </conditionalFormatting>
  <conditionalFormatting sqref="AP21">
    <cfRule type="cellIs" dxfId="19401" priority="139005" stopIfTrue="1" operator="equal">
      <formula>-1</formula>
    </cfRule>
  </conditionalFormatting>
  <conditionalFormatting sqref="AP21">
    <cfRule type="cellIs" dxfId="19400" priority="139006" stopIfTrue="1" operator="lessThan">
      <formula>0.5</formula>
    </cfRule>
  </conditionalFormatting>
  <conditionalFormatting sqref="AP21">
    <cfRule type="cellIs" dxfId="19399" priority="139007" stopIfTrue="1" operator="greaterThanOrEqual">
      <formula>0.5</formula>
    </cfRule>
  </conditionalFormatting>
  <conditionalFormatting sqref="AP22">
    <cfRule type="cellIs" dxfId="19398" priority="139008" stopIfTrue="1" operator="equal">
      <formula>-1</formula>
    </cfRule>
  </conditionalFormatting>
  <conditionalFormatting sqref="AP22">
    <cfRule type="cellIs" dxfId="19397" priority="139009" stopIfTrue="1" operator="lessThan">
      <formula>0.5</formula>
    </cfRule>
  </conditionalFormatting>
  <conditionalFormatting sqref="AP22">
    <cfRule type="cellIs" dxfId="19396" priority="139010" stopIfTrue="1" operator="greaterThanOrEqual">
      <formula>0.5</formula>
    </cfRule>
  </conditionalFormatting>
  <conditionalFormatting sqref="AP23">
    <cfRule type="cellIs" dxfId="19395" priority="139011" stopIfTrue="1" operator="equal">
      <formula>-1</formula>
    </cfRule>
  </conditionalFormatting>
  <conditionalFormatting sqref="AP23">
    <cfRule type="cellIs" dxfId="19394" priority="139012" stopIfTrue="1" operator="lessThan">
      <formula>0.5</formula>
    </cfRule>
  </conditionalFormatting>
  <conditionalFormatting sqref="AP23">
    <cfRule type="cellIs" dxfId="19393" priority="139013" stopIfTrue="1" operator="greaterThanOrEqual">
      <formula>0.5</formula>
    </cfRule>
  </conditionalFormatting>
  <conditionalFormatting sqref="AP24">
    <cfRule type="cellIs" dxfId="19392" priority="139014" stopIfTrue="1" operator="equal">
      <formula>-1</formula>
    </cfRule>
  </conditionalFormatting>
  <conditionalFormatting sqref="AP24">
    <cfRule type="cellIs" dxfId="19391" priority="139015" stopIfTrue="1" operator="lessThan">
      <formula>0.5</formula>
    </cfRule>
  </conditionalFormatting>
  <conditionalFormatting sqref="AP24">
    <cfRule type="cellIs" dxfId="19390" priority="139016" stopIfTrue="1" operator="greaterThanOrEqual">
      <formula>0.5</formula>
    </cfRule>
  </conditionalFormatting>
  <conditionalFormatting sqref="AP25">
    <cfRule type="cellIs" dxfId="19389" priority="139017" stopIfTrue="1" operator="equal">
      <formula>-1</formula>
    </cfRule>
  </conditionalFormatting>
  <conditionalFormatting sqref="AP25">
    <cfRule type="cellIs" dxfId="19388" priority="139018" stopIfTrue="1" operator="lessThan">
      <formula>0.5</formula>
    </cfRule>
  </conditionalFormatting>
  <conditionalFormatting sqref="AP25">
    <cfRule type="cellIs" dxfId="19387" priority="139019" stopIfTrue="1" operator="greaterThanOrEqual">
      <formula>0.5</formula>
    </cfRule>
  </conditionalFormatting>
  <conditionalFormatting sqref="AP26">
    <cfRule type="cellIs" dxfId="19386" priority="139020" stopIfTrue="1" operator="equal">
      <formula>-1</formula>
    </cfRule>
  </conditionalFormatting>
  <conditionalFormatting sqref="AP26">
    <cfRule type="cellIs" dxfId="19385" priority="139021" stopIfTrue="1" operator="lessThan">
      <formula>0.5</formula>
    </cfRule>
  </conditionalFormatting>
  <conditionalFormatting sqref="AP26">
    <cfRule type="cellIs" dxfId="19384" priority="139022" stopIfTrue="1" operator="greaterThanOrEqual">
      <formula>0.5</formula>
    </cfRule>
  </conditionalFormatting>
  <conditionalFormatting sqref="AP27">
    <cfRule type="cellIs" dxfId="19383" priority="139023" stopIfTrue="1" operator="equal">
      <formula>-1</formula>
    </cfRule>
  </conditionalFormatting>
  <conditionalFormatting sqref="AP27">
    <cfRule type="cellIs" dxfId="19382" priority="139024" stopIfTrue="1" operator="lessThan">
      <formula>0.5</formula>
    </cfRule>
  </conditionalFormatting>
  <conditionalFormatting sqref="AP27">
    <cfRule type="cellIs" dxfId="19381" priority="139025" stopIfTrue="1" operator="greaterThanOrEqual">
      <formula>0.5</formula>
    </cfRule>
  </conditionalFormatting>
  <conditionalFormatting sqref="AP28">
    <cfRule type="cellIs" dxfId="19380" priority="139026" stopIfTrue="1" operator="equal">
      <formula>-1</formula>
    </cfRule>
  </conditionalFormatting>
  <conditionalFormatting sqref="AP28">
    <cfRule type="cellIs" dxfId="19379" priority="139027" stopIfTrue="1" operator="lessThan">
      <formula>0.5</formula>
    </cfRule>
  </conditionalFormatting>
  <conditionalFormatting sqref="AP28">
    <cfRule type="cellIs" dxfId="19378" priority="139028" stopIfTrue="1" operator="greaterThanOrEqual">
      <formula>0.5</formula>
    </cfRule>
  </conditionalFormatting>
  <conditionalFormatting sqref="AP29">
    <cfRule type="cellIs" dxfId="19377" priority="139029" stopIfTrue="1" operator="equal">
      <formula>-1</formula>
    </cfRule>
  </conditionalFormatting>
  <conditionalFormatting sqref="AP29">
    <cfRule type="cellIs" dxfId="19376" priority="139030" stopIfTrue="1" operator="lessThan">
      <formula>0.5</formula>
    </cfRule>
  </conditionalFormatting>
  <conditionalFormatting sqref="AP29">
    <cfRule type="cellIs" dxfId="19375" priority="139031" stopIfTrue="1" operator="greaterThanOrEqual">
      <formula>0.5</formula>
    </cfRule>
  </conditionalFormatting>
  <conditionalFormatting sqref="AP30">
    <cfRule type="cellIs" dxfId="19374" priority="139032" stopIfTrue="1" operator="equal">
      <formula>-1</formula>
    </cfRule>
  </conditionalFormatting>
  <conditionalFormatting sqref="AP30">
    <cfRule type="cellIs" dxfId="19373" priority="139033" stopIfTrue="1" operator="lessThan">
      <formula>0.5</formula>
    </cfRule>
  </conditionalFormatting>
  <conditionalFormatting sqref="AP30">
    <cfRule type="cellIs" dxfId="19372" priority="139034" stopIfTrue="1" operator="greaterThanOrEqual">
      <formula>0.5</formula>
    </cfRule>
  </conditionalFormatting>
  <conditionalFormatting sqref="AP31">
    <cfRule type="cellIs" dxfId="19371" priority="139035" stopIfTrue="1" operator="equal">
      <formula>-1</formula>
    </cfRule>
  </conditionalFormatting>
  <conditionalFormatting sqref="AP31">
    <cfRule type="cellIs" dxfId="19370" priority="139036" stopIfTrue="1" operator="lessThan">
      <formula>0.5</formula>
    </cfRule>
  </conditionalFormatting>
  <conditionalFormatting sqref="AP31">
    <cfRule type="cellIs" dxfId="19369" priority="139037" stopIfTrue="1" operator="greaterThanOrEqual">
      <formula>0.5</formula>
    </cfRule>
  </conditionalFormatting>
  <conditionalFormatting sqref="AP32">
    <cfRule type="cellIs" dxfId="19368" priority="139038" stopIfTrue="1" operator="equal">
      <formula>-1</formula>
    </cfRule>
  </conditionalFormatting>
  <conditionalFormatting sqref="AP32">
    <cfRule type="cellIs" dxfId="19367" priority="139039" stopIfTrue="1" operator="lessThan">
      <formula>0.5</formula>
    </cfRule>
  </conditionalFormatting>
  <conditionalFormatting sqref="AP32">
    <cfRule type="cellIs" dxfId="19366" priority="139040" stopIfTrue="1" operator="greaterThanOrEqual">
      <formula>0.5</formula>
    </cfRule>
  </conditionalFormatting>
  <conditionalFormatting sqref="AP33">
    <cfRule type="cellIs" dxfId="19365" priority="139041" stopIfTrue="1" operator="equal">
      <formula>-1</formula>
    </cfRule>
  </conditionalFormatting>
  <conditionalFormatting sqref="AP33">
    <cfRule type="cellIs" dxfId="19364" priority="139042" stopIfTrue="1" operator="lessThan">
      <formula>0.5</formula>
    </cfRule>
  </conditionalFormatting>
  <conditionalFormatting sqref="AP33">
    <cfRule type="cellIs" dxfId="19363" priority="139043" stopIfTrue="1" operator="greaterThanOrEqual">
      <formula>0.5</formula>
    </cfRule>
  </conditionalFormatting>
  <conditionalFormatting sqref="AP34">
    <cfRule type="cellIs" dxfId="19362" priority="139044" stopIfTrue="1" operator="equal">
      <formula>-1</formula>
    </cfRule>
  </conditionalFormatting>
  <conditionalFormatting sqref="AP34">
    <cfRule type="cellIs" dxfId="19361" priority="139045" stopIfTrue="1" operator="lessThan">
      <formula>0.5</formula>
    </cfRule>
  </conditionalFormatting>
  <conditionalFormatting sqref="AP34">
    <cfRule type="cellIs" dxfId="19360" priority="139046" stopIfTrue="1" operator="greaterThanOrEqual">
      <formula>0.5</formula>
    </cfRule>
  </conditionalFormatting>
  <conditionalFormatting sqref="AP35">
    <cfRule type="cellIs" dxfId="19359" priority="139047" stopIfTrue="1" operator="equal">
      <formula>-1</formula>
    </cfRule>
  </conditionalFormatting>
  <conditionalFormatting sqref="AP35">
    <cfRule type="cellIs" dxfId="19358" priority="139048" stopIfTrue="1" operator="lessThan">
      <formula>0.5</formula>
    </cfRule>
  </conditionalFormatting>
  <conditionalFormatting sqref="AP35">
    <cfRule type="cellIs" dxfId="19357" priority="139049" stopIfTrue="1" operator="greaterThanOrEqual">
      <formula>0.5</formula>
    </cfRule>
  </conditionalFormatting>
  <conditionalFormatting sqref="AP36">
    <cfRule type="cellIs" dxfId="19356" priority="139050" stopIfTrue="1" operator="equal">
      <formula>-1</formula>
    </cfRule>
  </conditionalFormatting>
  <conditionalFormatting sqref="AP36">
    <cfRule type="cellIs" dxfId="19355" priority="139051" stopIfTrue="1" operator="lessThan">
      <formula>0.5</formula>
    </cfRule>
  </conditionalFormatting>
  <conditionalFormatting sqref="AP36">
    <cfRule type="cellIs" dxfId="19354" priority="139052" stopIfTrue="1" operator="greaterThanOrEqual">
      <formula>0.5</formula>
    </cfRule>
  </conditionalFormatting>
  <conditionalFormatting sqref="AP37">
    <cfRule type="cellIs" dxfId="19353" priority="139053" stopIfTrue="1" operator="equal">
      <formula>-1</formula>
    </cfRule>
  </conditionalFormatting>
  <conditionalFormatting sqref="AP37">
    <cfRule type="cellIs" dxfId="19352" priority="139054" stopIfTrue="1" operator="lessThan">
      <formula>0.5</formula>
    </cfRule>
  </conditionalFormatting>
  <conditionalFormatting sqref="AP37">
    <cfRule type="cellIs" dxfId="19351" priority="139055" stopIfTrue="1" operator="greaterThanOrEqual">
      <formula>0.5</formula>
    </cfRule>
  </conditionalFormatting>
  <conditionalFormatting sqref="AR17">
    <cfRule type="cellIs" dxfId="19350" priority="139056" stopIfTrue="1" operator="equal">
      <formula>-1</formula>
    </cfRule>
  </conditionalFormatting>
  <conditionalFormatting sqref="AR17">
    <cfRule type="cellIs" dxfId="19349" priority="139057" stopIfTrue="1" operator="lessThan">
      <formula>0.5</formula>
    </cfRule>
  </conditionalFormatting>
  <conditionalFormatting sqref="AR17">
    <cfRule type="cellIs" dxfId="19348" priority="139058" stopIfTrue="1" operator="greaterThanOrEqual">
      <formula>0.5</formula>
    </cfRule>
  </conditionalFormatting>
  <conditionalFormatting sqref="AR18">
    <cfRule type="cellIs" dxfId="19347" priority="139059" stopIfTrue="1" operator="equal">
      <formula>-1</formula>
    </cfRule>
  </conditionalFormatting>
  <conditionalFormatting sqref="AR18">
    <cfRule type="cellIs" dxfId="19346" priority="139060" stopIfTrue="1" operator="lessThan">
      <formula>0.5</formula>
    </cfRule>
  </conditionalFormatting>
  <conditionalFormatting sqref="AR18">
    <cfRule type="cellIs" dxfId="19345" priority="139061" stopIfTrue="1" operator="greaterThanOrEqual">
      <formula>0.5</formula>
    </cfRule>
  </conditionalFormatting>
  <conditionalFormatting sqref="AR19">
    <cfRule type="cellIs" dxfId="19344" priority="139062" stopIfTrue="1" operator="equal">
      <formula>-1</formula>
    </cfRule>
  </conditionalFormatting>
  <conditionalFormatting sqref="AR19">
    <cfRule type="cellIs" dxfId="19343" priority="139063" stopIfTrue="1" operator="lessThan">
      <formula>0.5</formula>
    </cfRule>
  </conditionalFormatting>
  <conditionalFormatting sqref="AR19">
    <cfRule type="cellIs" dxfId="19342" priority="139064" stopIfTrue="1" operator="greaterThanOrEqual">
      <formula>0.5</formula>
    </cfRule>
  </conditionalFormatting>
  <conditionalFormatting sqref="AR20">
    <cfRule type="cellIs" dxfId="19341" priority="139065" stopIfTrue="1" operator="equal">
      <formula>-1</formula>
    </cfRule>
  </conditionalFormatting>
  <conditionalFormatting sqref="AR20">
    <cfRule type="cellIs" dxfId="19340" priority="139066" stopIfTrue="1" operator="lessThan">
      <formula>0.5</formula>
    </cfRule>
  </conditionalFormatting>
  <conditionalFormatting sqref="AR20">
    <cfRule type="cellIs" dxfId="19339" priority="139067" stopIfTrue="1" operator="greaterThanOrEqual">
      <formula>0.5</formula>
    </cfRule>
  </conditionalFormatting>
  <conditionalFormatting sqref="AR21">
    <cfRule type="cellIs" dxfId="19338" priority="139068" stopIfTrue="1" operator="equal">
      <formula>-1</formula>
    </cfRule>
  </conditionalFormatting>
  <conditionalFormatting sqref="AR21">
    <cfRule type="cellIs" dxfId="19337" priority="139069" stopIfTrue="1" operator="lessThan">
      <formula>0.5</formula>
    </cfRule>
  </conditionalFormatting>
  <conditionalFormatting sqref="AR21">
    <cfRule type="cellIs" dxfId="19336" priority="139070" stopIfTrue="1" operator="greaterThanOrEqual">
      <formula>0.5</formula>
    </cfRule>
  </conditionalFormatting>
  <conditionalFormatting sqref="AR22">
    <cfRule type="cellIs" dxfId="19335" priority="139071" stopIfTrue="1" operator="equal">
      <formula>-1</formula>
    </cfRule>
  </conditionalFormatting>
  <conditionalFormatting sqref="AR22">
    <cfRule type="cellIs" dxfId="19334" priority="139072" stopIfTrue="1" operator="lessThan">
      <formula>0.5</formula>
    </cfRule>
  </conditionalFormatting>
  <conditionalFormatting sqref="AR22">
    <cfRule type="cellIs" dxfId="19333" priority="139073" stopIfTrue="1" operator="greaterThanOrEqual">
      <formula>0.5</formula>
    </cfRule>
  </conditionalFormatting>
  <conditionalFormatting sqref="AR23">
    <cfRule type="cellIs" dxfId="19332" priority="139074" stopIfTrue="1" operator="equal">
      <formula>-1</formula>
    </cfRule>
  </conditionalFormatting>
  <conditionalFormatting sqref="AR23">
    <cfRule type="cellIs" dxfId="19331" priority="139075" stopIfTrue="1" operator="lessThan">
      <formula>0.5</formula>
    </cfRule>
  </conditionalFormatting>
  <conditionalFormatting sqref="AR23">
    <cfRule type="cellIs" dxfId="19330" priority="139076" stopIfTrue="1" operator="greaterThanOrEqual">
      <formula>0.5</formula>
    </cfRule>
  </conditionalFormatting>
  <conditionalFormatting sqref="AR24">
    <cfRule type="cellIs" dxfId="19329" priority="139077" stopIfTrue="1" operator="equal">
      <formula>-1</formula>
    </cfRule>
  </conditionalFormatting>
  <conditionalFormatting sqref="AR24">
    <cfRule type="cellIs" dxfId="19328" priority="139078" stopIfTrue="1" operator="lessThan">
      <formula>0.5</formula>
    </cfRule>
  </conditionalFormatting>
  <conditionalFormatting sqref="AR24">
    <cfRule type="cellIs" dxfId="19327" priority="139079" stopIfTrue="1" operator="greaterThanOrEqual">
      <formula>0.5</formula>
    </cfRule>
  </conditionalFormatting>
  <conditionalFormatting sqref="AR25">
    <cfRule type="cellIs" dxfId="19326" priority="139080" stopIfTrue="1" operator="equal">
      <formula>-1</formula>
    </cfRule>
  </conditionalFormatting>
  <conditionalFormatting sqref="AR25">
    <cfRule type="cellIs" dxfId="19325" priority="139081" stopIfTrue="1" operator="lessThan">
      <formula>0.5</formula>
    </cfRule>
  </conditionalFormatting>
  <conditionalFormatting sqref="AR25">
    <cfRule type="cellIs" dxfId="19324" priority="139082" stopIfTrue="1" operator="greaterThanOrEqual">
      <formula>0.5</formula>
    </cfRule>
  </conditionalFormatting>
  <conditionalFormatting sqref="AR26">
    <cfRule type="cellIs" dxfId="19323" priority="139083" stopIfTrue="1" operator="equal">
      <formula>-1</formula>
    </cfRule>
  </conditionalFormatting>
  <conditionalFormatting sqref="AR26">
    <cfRule type="cellIs" dxfId="19322" priority="139084" stopIfTrue="1" operator="lessThan">
      <formula>0.5</formula>
    </cfRule>
  </conditionalFormatting>
  <conditionalFormatting sqref="AR26">
    <cfRule type="cellIs" dxfId="19321" priority="139085" stopIfTrue="1" operator="greaterThanOrEqual">
      <formula>0.5</formula>
    </cfRule>
  </conditionalFormatting>
  <conditionalFormatting sqref="AR27">
    <cfRule type="cellIs" dxfId="19320" priority="139086" stopIfTrue="1" operator="equal">
      <formula>-1</formula>
    </cfRule>
  </conditionalFormatting>
  <conditionalFormatting sqref="AR27">
    <cfRule type="cellIs" dxfId="19319" priority="139087" stopIfTrue="1" operator="lessThan">
      <formula>0.5</formula>
    </cfRule>
  </conditionalFormatting>
  <conditionalFormatting sqref="AR27">
    <cfRule type="cellIs" dxfId="19318" priority="139088" stopIfTrue="1" operator="greaterThanOrEqual">
      <formula>0.5</formula>
    </cfRule>
  </conditionalFormatting>
  <conditionalFormatting sqref="AR28">
    <cfRule type="cellIs" dxfId="19317" priority="139089" stopIfTrue="1" operator="equal">
      <formula>-1</formula>
    </cfRule>
  </conditionalFormatting>
  <conditionalFormatting sqref="AR28">
    <cfRule type="cellIs" dxfId="19316" priority="139090" stopIfTrue="1" operator="lessThan">
      <formula>0.5</formula>
    </cfRule>
  </conditionalFormatting>
  <conditionalFormatting sqref="AR28">
    <cfRule type="cellIs" dxfId="19315" priority="139091" stopIfTrue="1" operator="greaterThanOrEqual">
      <formula>0.5</formula>
    </cfRule>
  </conditionalFormatting>
  <conditionalFormatting sqref="AR29">
    <cfRule type="cellIs" dxfId="19314" priority="139092" stopIfTrue="1" operator="equal">
      <formula>-1</formula>
    </cfRule>
  </conditionalFormatting>
  <conditionalFormatting sqref="AR29">
    <cfRule type="cellIs" dxfId="19313" priority="139093" stopIfTrue="1" operator="lessThan">
      <formula>0.5</formula>
    </cfRule>
  </conditionalFormatting>
  <conditionalFormatting sqref="AR29">
    <cfRule type="cellIs" dxfId="19312" priority="139094" stopIfTrue="1" operator="greaterThanOrEqual">
      <formula>0.5</formula>
    </cfRule>
  </conditionalFormatting>
  <conditionalFormatting sqref="AR30">
    <cfRule type="cellIs" dxfId="19311" priority="139095" stopIfTrue="1" operator="equal">
      <formula>-1</formula>
    </cfRule>
  </conditionalFormatting>
  <conditionalFormatting sqref="AR30">
    <cfRule type="cellIs" dxfId="19310" priority="139096" stopIfTrue="1" operator="lessThan">
      <formula>0.5</formula>
    </cfRule>
  </conditionalFormatting>
  <conditionalFormatting sqref="AR30">
    <cfRule type="cellIs" dxfId="19309" priority="139097" stopIfTrue="1" operator="greaterThanOrEqual">
      <formula>0.5</formula>
    </cfRule>
  </conditionalFormatting>
  <conditionalFormatting sqref="AR31">
    <cfRule type="cellIs" dxfId="19308" priority="139098" stopIfTrue="1" operator="equal">
      <formula>-1</formula>
    </cfRule>
  </conditionalFormatting>
  <conditionalFormatting sqref="AR31">
    <cfRule type="cellIs" dxfId="19307" priority="139099" stopIfTrue="1" operator="lessThan">
      <formula>0.5</formula>
    </cfRule>
  </conditionalFormatting>
  <conditionalFormatting sqref="AR31">
    <cfRule type="cellIs" dxfId="19306" priority="139100" stopIfTrue="1" operator="greaterThanOrEqual">
      <formula>0.5</formula>
    </cfRule>
  </conditionalFormatting>
  <conditionalFormatting sqref="AR32">
    <cfRule type="cellIs" dxfId="19305" priority="139101" stopIfTrue="1" operator="equal">
      <formula>-1</formula>
    </cfRule>
  </conditionalFormatting>
  <conditionalFormatting sqref="AR32">
    <cfRule type="cellIs" dxfId="19304" priority="139102" stopIfTrue="1" operator="lessThan">
      <formula>0.5</formula>
    </cfRule>
  </conditionalFormatting>
  <conditionalFormatting sqref="AR32">
    <cfRule type="cellIs" dxfId="19303" priority="139103" stopIfTrue="1" operator="greaterThanOrEqual">
      <formula>0.5</formula>
    </cfRule>
  </conditionalFormatting>
  <conditionalFormatting sqref="AR33">
    <cfRule type="cellIs" dxfId="19302" priority="139104" stopIfTrue="1" operator="equal">
      <formula>-1</formula>
    </cfRule>
  </conditionalFormatting>
  <conditionalFormatting sqref="AR33">
    <cfRule type="cellIs" dxfId="19301" priority="139105" stopIfTrue="1" operator="lessThan">
      <formula>0.5</formula>
    </cfRule>
  </conditionalFormatting>
  <conditionalFormatting sqref="AR33">
    <cfRule type="cellIs" dxfId="19300" priority="139106" stopIfTrue="1" operator="greaterThanOrEqual">
      <formula>0.5</formula>
    </cfRule>
  </conditionalFormatting>
  <conditionalFormatting sqref="AR34">
    <cfRule type="cellIs" dxfId="19299" priority="139107" stopIfTrue="1" operator="equal">
      <formula>-1</formula>
    </cfRule>
  </conditionalFormatting>
  <conditionalFormatting sqref="AR34">
    <cfRule type="cellIs" dxfId="19298" priority="139108" stopIfTrue="1" operator="lessThan">
      <formula>0.5</formula>
    </cfRule>
  </conditionalFormatting>
  <conditionalFormatting sqref="AR34">
    <cfRule type="cellIs" dxfId="19297" priority="139109" stopIfTrue="1" operator="greaterThanOrEqual">
      <formula>0.5</formula>
    </cfRule>
  </conditionalFormatting>
  <conditionalFormatting sqref="AR35">
    <cfRule type="cellIs" dxfId="19296" priority="139110" stopIfTrue="1" operator="equal">
      <formula>-1</formula>
    </cfRule>
  </conditionalFormatting>
  <conditionalFormatting sqref="AR35">
    <cfRule type="cellIs" dxfId="19295" priority="139111" stopIfTrue="1" operator="lessThan">
      <formula>0.5</formula>
    </cfRule>
  </conditionalFormatting>
  <conditionalFormatting sqref="AR35">
    <cfRule type="cellIs" dxfId="19294" priority="139112" stopIfTrue="1" operator="greaterThanOrEqual">
      <formula>0.5</formula>
    </cfRule>
  </conditionalFormatting>
  <conditionalFormatting sqref="AR36">
    <cfRule type="cellIs" dxfId="19293" priority="139113" stopIfTrue="1" operator="equal">
      <formula>-1</formula>
    </cfRule>
  </conditionalFormatting>
  <conditionalFormatting sqref="AR36">
    <cfRule type="cellIs" dxfId="19292" priority="139114" stopIfTrue="1" operator="lessThan">
      <formula>0.5</formula>
    </cfRule>
  </conditionalFormatting>
  <conditionalFormatting sqref="AR36">
    <cfRule type="cellIs" dxfId="19291" priority="139115" stopIfTrue="1" operator="greaterThanOrEqual">
      <formula>0.5</formula>
    </cfRule>
  </conditionalFormatting>
  <conditionalFormatting sqref="AR37">
    <cfRule type="cellIs" dxfId="19290" priority="139116" stopIfTrue="1" operator="equal">
      <formula>-1</formula>
    </cfRule>
  </conditionalFormatting>
  <conditionalFormatting sqref="AR37">
    <cfRule type="cellIs" dxfId="19289" priority="139117" stopIfTrue="1" operator="lessThan">
      <formula>0.5</formula>
    </cfRule>
  </conditionalFormatting>
  <conditionalFormatting sqref="AR37">
    <cfRule type="cellIs" dxfId="19288" priority="139118" stopIfTrue="1" operator="greaterThanOrEqual">
      <formula>0.5</formula>
    </cfRule>
  </conditionalFormatting>
  <conditionalFormatting sqref="AT17">
    <cfRule type="cellIs" dxfId="19287" priority="139119" stopIfTrue="1" operator="equal">
      <formula>-1</formula>
    </cfRule>
  </conditionalFormatting>
  <conditionalFormatting sqref="AT17">
    <cfRule type="cellIs" dxfId="19286" priority="139120" stopIfTrue="1" operator="lessThan">
      <formula>0.5</formula>
    </cfRule>
  </conditionalFormatting>
  <conditionalFormatting sqref="AT17">
    <cfRule type="cellIs" dxfId="19285" priority="139121" stopIfTrue="1" operator="greaterThanOrEqual">
      <formula>0.5</formula>
    </cfRule>
  </conditionalFormatting>
  <conditionalFormatting sqref="AT18">
    <cfRule type="cellIs" dxfId="19284" priority="139122" stopIfTrue="1" operator="equal">
      <formula>-1</formula>
    </cfRule>
  </conditionalFormatting>
  <conditionalFormatting sqref="AT18">
    <cfRule type="cellIs" dxfId="19283" priority="139123" stopIfTrue="1" operator="lessThan">
      <formula>0.5</formula>
    </cfRule>
  </conditionalFormatting>
  <conditionalFormatting sqref="AT18">
    <cfRule type="cellIs" dxfId="19282" priority="139124" stopIfTrue="1" operator="greaterThanOrEqual">
      <formula>0.5</formula>
    </cfRule>
  </conditionalFormatting>
  <conditionalFormatting sqref="AT19">
    <cfRule type="cellIs" dxfId="19281" priority="139125" stopIfTrue="1" operator="equal">
      <formula>-1</formula>
    </cfRule>
  </conditionalFormatting>
  <conditionalFormatting sqref="AT19">
    <cfRule type="cellIs" dxfId="19280" priority="139126" stopIfTrue="1" operator="lessThan">
      <formula>0.5</formula>
    </cfRule>
  </conditionalFormatting>
  <conditionalFormatting sqref="AT19">
    <cfRule type="cellIs" dxfId="19279" priority="139127" stopIfTrue="1" operator="greaterThanOrEqual">
      <formula>0.5</formula>
    </cfRule>
  </conditionalFormatting>
  <conditionalFormatting sqref="AT20">
    <cfRule type="cellIs" dxfId="19278" priority="139128" stopIfTrue="1" operator="equal">
      <formula>-1</formula>
    </cfRule>
  </conditionalFormatting>
  <conditionalFormatting sqref="AT20">
    <cfRule type="cellIs" dxfId="19277" priority="139129" stopIfTrue="1" operator="lessThan">
      <formula>0.5</formula>
    </cfRule>
  </conditionalFormatting>
  <conditionalFormatting sqref="AT20">
    <cfRule type="cellIs" dxfId="19276" priority="139130" stopIfTrue="1" operator="greaterThanOrEqual">
      <formula>0.5</formula>
    </cfRule>
  </conditionalFormatting>
  <conditionalFormatting sqref="AT21">
    <cfRule type="cellIs" dxfId="19275" priority="139131" stopIfTrue="1" operator="equal">
      <formula>-1</formula>
    </cfRule>
  </conditionalFormatting>
  <conditionalFormatting sqref="AT21">
    <cfRule type="cellIs" dxfId="19274" priority="139132" stopIfTrue="1" operator="lessThan">
      <formula>0.5</formula>
    </cfRule>
  </conditionalFormatting>
  <conditionalFormatting sqref="AT21">
    <cfRule type="cellIs" dxfId="19273" priority="139133" stopIfTrue="1" operator="greaterThanOrEqual">
      <formula>0.5</formula>
    </cfRule>
  </conditionalFormatting>
  <conditionalFormatting sqref="AT22">
    <cfRule type="cellIs" dxfId="19272" priority="139134" stopIfTrue="1" operator="equal">
      <formula>-1</formula>
    </cfRule>
  </conditionalFormatting>
  <conditionalFormatting sqref="AT22">
    <cfRule type="cellIs" dxfId="19271" priority="139135" stopIfTrue="1" operator="lessThan">
      <formula>0.5</formula>
    </cfRule>
  </conditionalFormatting>
  <conditionalFormatting sqref="AT22">
    <cfRule type="cellIs" dxfId="19270" priority="139136" stopIfTrue="1" operator="greaterThanOrEqual">
      <formula>0.5</formula>
    </cfRule>
  </conditionalFormatting>
  <conditionalFormatting sqref="AT23">
    <cfRule type="cellIs" dxfId="19269" priority="139137" stopIfTrue="1" operator="equal">
      <formula>-1</formula>
    </cfRule>
  </conditionalFormatting>
  <conditionalFormatting sqref="AT23">
    <cfRule type="cellIs" dxfId="19268" priority="139138" stopIfTrue="1" operator="lessThan">
      <formula>0.5</formula>
    </cfRule>
  </conditionalFormatting>
  <conditionalFormatting sqref="AT23">
    <cfRule type="cellIs" dxfId="19267" priority="139139" stopIfTrue="1" operator="greaterThanOrEqual">
      <formula>0.5</formula>
    </cfRule>
  </conditionalFormatting>
  <conditionalFormatting sqref="AT24">
    <cfRule type="cellIs" dxfId="19266" priority="139140" stopIfTrue="1" operator="equal">
      <formula>-1</formula>
    </cfRule>
  </conditionalFormatting>
  <conditionalFormatting sqref="AT24">
    <cfRule type="cellIs" dxfId="19265" priority="139141" stopIfTrue="1" operator="lessThan">
      <formula>0.5</formula>
    </cfRule>
  </conditionalFormatting>
  <conditionalFormatting sqref="AT24">
    <cfRule type="cellIs" dxfId="19264" priority="139142" stopIfTrue="1" operator="greaterThanOrEqual">
      <formula>0.5</formula>
    </cfRule>
  </conditionalFormatting>
  <conditionalFormatting sqref="AT25">
    <cfRule type="cellIs" dxfId="19263" priority="139143" stopIfTrue="1" operator="equal">
      <formula>-1</formula>
    </cfRule>
  </conditionalFormatting>
  <conditionalFormatting sqref="AT25">
    <cfRule type="cellIs" dxfId="19262" priority="139144" stopIfTrue="1" operator="lessThan">
      <formula>0.5</formula>
    </cfRule>
  </conditionalFormatting>
  <conditionalFormatting sqref="AT25">
    <cfRule type="cellIs" dxfId="19261" priority="139145" stopIfTrue="1" operator="greaterThanOrEqual">
      <formula>0.5</formula>
    </cfRule>
  </conditionalFormatting>
  <conditionalFormatting sqref="AT26">
    <cfRule type="cellIs" dxfId="19260" priority="139146" stopIfTrue="1" operator="equal">
      <formula>-1</formula>
    </cfRule>
  </conditionalFormatting>
  <conditionalFormatting sqref="AT26">
    <cfRule type="cellIs" dxfId="19259" priority="139147" stopIfTrue="1" operator="lessThan">
      <formula>0.5</formula>
    </cfRule>
  </conditionalFormatting>
  <conditionalFormatting sqref="AT26">
    <cfRule type="cellIs" dxfId="19258" priority="139148" stopIfTrue="1" operator="greaterThanOrEqual">
      <formula>0.5</formula>
    </cfRule>
  </conditionalFormatting>
  <conditionalFormatting sqref="AT27">
    <cfRule type="cellIs" dxfId="19257" priority="139149" stopIfTrue="1" operator="equal">
      <formula>-1</formula>
    </cfRule>
  </conditionalFormatting>
  <conditionalFormatting sqref="AT27">
    <cfRule type="cellIs" dxfId="19256" priority="139150" stopIfTrue="1" operator="lessThan">
      <formula>0.5</formula>
    </cfRule>
  </conditionalFormatting>
  <conditionalFormatting sqref="AT27">
    <cfRule type="cellIs" dxfId="19255" priority="139151" stopIfTrue="1" operator="greaterThanOrEqual">
      <formula>0.5</formula>
    </cfRule>
  </conditionalFormatting>
  <conditionalFormatting sqref="AT28">
    <cfRule type="cellIs" dxfId="19254" priority="139152" stopIfTrue="1" operator="equal">
      <formula>-1</formula>
    </cfRule>
  </conditionalFormatting>
  <conditionalFormatting sqref="AT28">
    <cfRule type="cellIs" dxfId="19253" priority="139153" stopIfTrue="1" operator="lessThan">
      <formula>0.5</formula>
    </cfRule>
  </conditionalFormatting>
  <conditionalFormatting sqref="AT28">
    <cfRule type="cellIs" dxfId="19252" priority="139154" stopIfTrue="1" operator="greaterThanOrEqual">
      <formula>0.5</formula>
    </cfRule>
  </conditionalFormatting>
  <conditionalFormatting sqref="AT29">
    <cfRule type="cellIs" dxfId="19251" priority="139155" stopIfTrue="1" operator="equal">
      <formula>-1</formula>
    </cfRule>
  </conditionalFormatting>
  <conditionalFormatting sqref="AT29">
    <cfRule type="cellIs" dxfId="19250" priority="139156" stopIfTrue="1" operator="lessThan">
      <formula>0.5</formula>
    </cfRule>
  </conditionalFormatting>
  <conditionalFormatting sqref="AT29">
    <cfRule type="cellIs" dxfId="19249" priority="139157" stopIfTrue="1" operator="greaterThanOrEqual">
      <formula>0.5</formula>
    </cfRule>
  </conditionalFormatting>
  <conditionalFormatting sqref="AT30">
    <cfRule type="cellIs" dxfId="19248" priority="139158" stopIfTrue="1" operator="equal">
      <formula>-1</formula>
    </cfRule>
  </conditionalFormatting>
  <conditionalFormatting sqref="AT30">
    <cfRule type="cellIs" dxfId="19247" priority="139159" stopIfTrue="1" operator="lessThan">
      <formula>0.5</formula>
    </cfRule>
  </conditionalFormatting>
  <conditionalFormatting sqref="AT30">
    <cfRule type="cellIs" dxfId="19246" priority="139160" stopIfTrue="1" operator="greaterThanOrEqual">
      <formula>0.5</formula>
    </cfRule>
  </conditionalFormatting>
  <conditionalFormatting sqref="AT31">
    <cfRule type="cellIs" dxfId="19245" priority="139161" stopIfTrue="1" operator="equal">
      <formula>-1</formula>
    </cfRule>
  </conditionalFormatting>
  <conditionalFormatting sqref="AT31">
    <cfRule type="cellIs" dxfId="19244" priority="139162" stopIfTrue="1" operator="lessThan">
      <formula>0.5</formula>
    </cfRule>
  </conditionalFormatting>
  <conditionalFormatting sqref="AT31">
    <cfRule type="cellIs" dxfId="19243" priority="139163" stopIfTrue="1" operator="greaterThanOrEqual">
      <formula>0.5</formula>
    </cfRule>
  </conditionalFormatting>
  <conditionalFormatting sqref="AT32">
    <cfRule type="cellIs" dxfId="19242" priority="139164" stopIfTrue="1" operator="equal">
      <formula>-1</formula>
    </cfRule>
  </conditionalFormatting>
  <conditionalFormatting sqref="AT32">
    <cfRule type="cellIs" dxfId="19241" priority="139165" stopIfTrue="1" operator="lessThan">
      <formula>0.5</formula>
    </cfRule>
  </conditionalFormatting>
  <conditionalFormatting sqref="AT32">
    <cfRule type="cellIs" dxfId="19240" priority="139166" stopIfTrue="1" operator="greaterThanOrEqual">
      <formula>0.5</formula>
    </cfRule>
  </conditionalFormatting>
  <conditionalFormatting sqref="AT33">
    <cfRule type="cellIs" dxfId="19239" priority="139167" stopIfTrue="1" operator="equal">
      <formula>-1</formula>
    </cfRule>
  </conditionalFormatting>
  <conditionalFormatting sqref="AT33">
    <cfRule type="cellIs" dxfId="19238" priority="139168" stopIfTrue="1" operator="lessThan">
      <formula>0.5</formula>
    </cfRule>
  </conditionalFormatting>
  <conditionalFormatting sqref="AT33">
    <cfRule type="cellIs" dxfId="19237" priority="139169" stopIfTrue="1" operator="greaterThanOrEqual">
      <formula>0.5</formula>
    </cfRule>
  </conditionalFormatting>
  <conditionalFormatting sqref="AT34">
    <cfRule type="cellIs" dxfId="19236" priority="139170" stopIfTrue="1" operator="equal">
      <formula>-1</formula>
    </cfRule>
  </conditionalFormatting>
  <conditionalFormatting sqref="AT34">
    <cfRule type="cellIs" dxfId="19235" priority="139171" stopIfTrue="1" operator="lessThan">
      <formula>0.5</formula>
    </cfRule>
  </conditionalFormatting>
  <conditionalFormatting sqref="AT34">
    <cfRule type="cellIs" dxfId="19234" priority="139172" stopIfTrue="1" operator="greaterThanOrEqual">
      <formula>0.5</formula>
    </cfRule>
  </conditionalFormatting>
  <conditionalFormatting sqref="AT35">
    <cfRule type="cellIs" dxfId="19233" priority="139173" stopIfTrue="1" operator="equal">
      <formula>-1</formula>
    </cfRule>
  </conditionalFormatting>
  <conditionalFormatting sqref="AT35">
    <cfRule type="cellIs" dxfId="19232" priority="139174" stopIfTrue="1" operator="lessThan">
      <formula>0.5</formula>
    </cfRule>
  </conditionalFormatting>
  <conditionalFormatting sqref="AT35">
    <cfRule type="cellIs" dxfId="19231" priority="139175" stopIfTrue="1" operator="greaterThanOrEqual">
      <formula>0.5</formula>
    </cfRule>
  </conditionalFormatting>
  <conditionalFormatting sqref="AT36">
    <cfRule type="cellIs" dxfId="19230" priority="139176" stopIfTrue="1" operator="equal">
      <formula>-1</formula>
    </cfRule>
  </conditionalFormatting>
  <conditionalFormatting sqref="AT36">
    <cfRule type="cellIs" dxfId="19229" priority="139177" stopIfTrue="1" operator="lessThan">
      <formula>0.5</formula>
    </cfRule>
  </conditionalFormatting>
  <conditionalFormatting sqref="AT36">
    <cfRule type="cellIs" dxfId="19228" priority="139178" stopIfTrue="1" operator="greaterThanOrEqual">
      <formula>0.5</formula>
    </cfRule>
  </conditionalFormatting>
  <conditionalFormatting sqref="AT37">
    <cfRule type="cellIs" dxfId="19227" priority="139179" stopIfTrue="1" operator="equal">
      <formula>-1</formula>
    </cfRule>
  </conditionalFormatting>
  <conditionalFormatting sqref="AT37">
    <cfRule type="cellIs" dxfId="19226" priority="139180" stopIfTrue="1" operator="lessThan">
      <formula>0.5</formula>
    </cfRule>
  </conditionalFormatting>
  <conditionalFormatting sqref="AT37">
    <cfRule type="cellIs" dxfId="19225" priority="139181" stopIfTrue="1" operator="greaterThanOrEqual">
      <formula>0.5</formula>
    </cfRule>
  </conditionalFormatting>
  <conditionalFormatting sqref="AV17">
    <cfRule type="cellIs" dxfId="19224" priority="139182" stopIfTrue="1" operator="equal">
      <formula>-1</formula>
    </cfRule>
  </conditionalFormatting>
  <conditionalFormatting sqref="AV17">
    <cfRule type="cellIs" dxfId="19223" priority="139183" stopIfTrue="1" operator="lessThan">
      <formula>0.5</formula>
    </cfRule>
  </conditionalFormatting>
  <conditionalFormatting sqref="AV17">
    <cfRule type="cellIs" dxfId="19222" priority="139184" stopIfTrue="1" operator="greaterThanOrEqual">
      <formula>0.5</formula>
    </cfRule>
  </conditionalFormatting>
  <conditionalFormatting sqref="AV18">
    <cfRule type="cellIs" dxfId="19221" priority="139185" stopIfTrue="1" operator="equal">
      <formula>-1</formula>
    </cfRule>
  </conditionalFormatting>
  <conditionalFormatting sqref="AV18">
    <cfRule type="cellIs" dxfId="19220" priority="139186" stopIfTrue="1" operator="lessThan">
      <formula>0.5</formula>
    </cfRule>
  </conditionalFormatting>
  <conditionalFormatting sqref="AV18">
    <cfRule type="cellIs" dxfId="19219" priority="139187" stopIfTrue="1" operator="greaterThanOrEqual">
      <formula>0.5</formula>
    </cfRule>
  </conditionalFormatting>
  <conditionalFormatting sqref="AV19">
    <cfRule type="cellIs" dxfId="19218" priority="139188" stopIfTrue="1" operator="equal">
      <formula>-1</formula>
    </cfRule>
  </conditionalFormatting>
  <conditionalFormatting sqref="AV19">
    <cfRule type="cellIs" dxfId="19217" priority="139189" stopIfTrue="1" operator="lessThan">
      <formula>0.5</formula>
    </cfRule>
  </conditionalFormatting>
  <conditionalFormatting sqref="AV19">
    <cfRule type="cellIs" dxfId="19216" priority="139190" stopIfTrue="1" operator="greaterThanOrEqual">
      <formula>0.5</formula>
    </cfRule>
  </conditionalFormatting>
  <conditionalFormatting sqref="AV20">
    <cfRule type="cellIs" dxfId="19215" priority="139191" stopIfTrue="1" operator="equal">
      <formula>-1</formula>
    </cfRule>
  </conditionalFormatting>
  <conditionalFormatting sqref="AV20">
    <cfRule type="cellIs" dxfId="19214" priority="139192" stopIfTrue="1" operator="lessThan">
      <formula>0.5</formula>
    </cfRule>
  </conditionalFormatting>
  <conditionalFormatting sqref="AV20">
    <cfRule type="cellIs" dxfId="19213" priority="139193" stopIfTrue="1" operator="greaterThanOrEqual">
      <formula>0.5</formula>
    </cfRule>
  </conditionalFormatting>
  <conditionalFormatting sqref="AV21">
    <cfRule type="cellIs" dxfId="19212" priority="139194" stopIfTrue="1" operator="equal">
      <formula>-1</formula>
    </cfRule>
  </conditionalFormatting>
  <conditionalFormatting sqref="AV21">
    <cfRule type="cellIs" dxfId="19211" priority="139195" stopIfTrue="1" operator="lessThan">
      <formula>0.5</formula>
    </cfRule>
  </conditionalFormatting>
  <conditionalFormatting sqref="AV21">
    <cfRule type="cellIs" dxfId="19210" priority="139196" stopIfTrue="1" operator="greaterThanOrEqual">
      <formula>0.5</formula>
    </cfRule>
  </conditionalFormatting>
  <conditionalFormatting sqref="AV22">
    <cfRule type="cellIs" dxfId="19209" priority="139197" stopIfTrue="1" operator="equal">
      <formula>-1</formula>
    </cfRule>
  </conditionalFormatting>
  <conditionalFormatting sqref="AV22">
    <cfRule type="cellIs" dxfId="19208" priority="139198" stopIfTrue="1" operator="lessThan">
      <formula>0.5</formula>
    </cfRule>
  </conditionalFormatting>
  <conditionalFormatting sqref="AV22">
    <cfRule type="cellIs" dxfId="19207" priority="139199" stopIfTrue="1" operator="greaterThanOrEqual">
      <formula>0.5</formula>
    </cfRule>
  </conditionalFormatting>
  <conditionalFormatting sqref="AV23">
    <cfRule type="cellIs" dxfId="19206" priority="139200" stopIfTrue="1" operator="equal">
      <formula>-1</formula>
    </cfRule>
  </conditionalFormatting>
  <conditionalFormatting sqref="AV23">
    <cfRule type="cellIs" dxfId="19205" priority="139201" stopIfTrue="1" operator="lessThan">
      <formula>0.5</formula>
    </cfRule>
  </conditionalFormatting>
  <conditionalFormatting sqref="AV23">
    <cfRule type="cellIs" dxfId="19204" priority="139202" stopIfTrue="1" operator="greaterThanOrEqual">
      <formula>0.5</formula>
    </cfRule>
  </conditionalFormatting>
  <conditionalFormatting sqref="AV24">
    <cfRule type="cellIs" dxfId="19203" priority="139203" stopIfTrue="1" operator="equal">
      <formula>-1</formula>
    </cfRule>
  </conditionalFormatting>
  <conditionalFormatting sqref="AV24">
    <cfRule type="cellIs" dxfId="19202" priority="139204" stopIfTrue="1" operator="lessThan">
      <formula>0.5</formula>
    </cfRule>
  </conditionalFormatting>
  <conditionalFormatting sqref="AV24">
    <cfRule type="cellIs" dxfId="19201" priority="139205" stopIfTrue="1" operator="greaterThanOrEqual">
      <formula>0.5</formula>
    </cfRule>
  </conditionalFormatting>
  <conditionalFormatting sqref="AV25">
    <cfRule type="cellIs" dxfId="19200" priority="139206" stopIfTrue="1" operator="equal">
      <formula>-1</formula>
    </cfRule>
  </conditionalFormatting>
  <conditionalFormatting sqref="AV25">
    <cfRule type="cellIs" dxfId="19199" priority="139207" stopIfTrue="1" operator="lessThan">
      <formula>0.5</formula>
    </cfRule>
  </conditionalFormatting>
  <conditionalFormatting sqref="AV25">
    <cfRule type="cellIs" dxfId="19198" priority="139208" stopIfTrue="1" operator="greaterThanOrEqual">
      <formula>0.5</formula>
    </cfRule>
  </conditionalFormatting>
  <conditionalFormatting sqref="AV26">
    <cfRule type="cellIs" dxfId="19197" priority="139209" stopIfTrue="1" operator="equal">
      <formula>-1</formula>
    </cfRule>
  </conditionalFormatting>
  <conditionalFormatting sqref="AV26">
    <cfRule type="cellIs" dxfId="19196" priority="139210" stopIfTrue="1" operator="lessThan">
      <formula>0.5</formula>
    </cfRule>
  </conditionalFormatting>
  <conditionalFormatting sqref="AV26">
    <cfRule type="cellIs" dxfId="19195" priority="139211" stopIfTrue="1" operator="greaterThanOrEqual">
      <formula>0.5</formula>
    </cfRule>
  </conditionalFormatting>
  <conditionalFormatting sqref="AV27">
    <cfRule type="cellIs" dxfId="19194" priority="139212" stopIfTrue="1" operator="equal">
      <formula>-1</formula>
    </cfRule>
  </conditionalFormatting>
  <conditionalFormatting sqref="AV27">
    <cfRule type="cellIs" dxfId="19193" priority="139213" stopIfTrue="1" operator="lessThan">
      <formula>0.5</formula>
    </cfRule>
  </conditionalFormatting>
  <conditionalFormatting sqref="AV27">
    <cfRule type="cellIs" dxfId="19192" priority="139214" stopIfTrue="1" operator="greaterThanOrEqual">
      <formula>0.5</formula>
    </cfRule>
  </conditionalFormatting>
  <conditionalFormatting sqref="AV28">
    <cfRule type="cellIs" dxfId="19191" priority="139215" stopIfTrue="1" operator="equal">
      <formula>-1</formula>
    </cfRule>
  </conditionalFormatting>
  <conditionalFormatting sqref="AV28">
    <cfRule type="cellIs" dxfId="19190" priority="139216" stopIfTrue="1" operator="lessThan">
      <formula>0.5</formula>
    </cfRule>
  </conditionalFormatting>
  <conditionalFormatting sqref="AV28">
    <cfRule type="cellIs" dxfId="19189" priority="139217" stopIfTrue="1" operator="greaterThanOrEqual">
      <formula>0.5</formula>
    </cfRule>
  </conditionalFormatting>
  <conditionalFormatting sqref="AV29">
    <cfRule type="cellIs" dxfId="19188" priority="139218" stopIfTrue="1" operator="equal">
      <formula>-1</formula>
    </cfRule>
  </conditionalFormatting>
  <conditionalFormatting sqref="AV29">
    <cfRule type="cellIs" dxfId="19187" priority="139219" stopIfTrue="1" operator="lessThan">
      <formula>0.5</formula>
    </cfRule>
  </conditionalFormatting>
  <conditionalFormatting sqref="AV29">
    <cfRule type="cellIs" dxfId="19186" priority="139220" stopIfTrue="1" operator="greaterThanOrEqual">
      <formula>0.5</formula>
    </cfRule>
  </conditionalFormatting>
  <conditionalFormatting sqref="AV30">
    <cfRule type="cellIs" dxfId="19185" priority="139221" stopIfTrue="1" operator="equal">
      <formula>-1</formula>
    </cfRule>
  </conditionalFormatting>
  <conditionalFormatting sqref="AV30">
    <cfRule type="cellIs" dxfId="19184" priority="139222" stopIfTrue="1" operator="lessThan">
      <formula>0.5</formula>
    </cfRule>
  </conditionalFormatting>
  <conditionalFormatting sqref="AV30">
    <cfRule type="cellIs" dxfId="19183" priority="139223" stopIfTrue="1" operator="greaterThanOrEqual">
      <formula>0.5</formula>
    </cfRule>
  </conditionalFormatting>
  <conditionalFormatting sqref="AV31">
    <cfRule type="cellIs" dxfId="19182" priority="139224" stopIfTrue="1" operator="equal">
      <formula>-1</formula>
    </cfRule>
  </conditionalFormatting>
  <conditionalFormatting sqref="AV31">
    <cfRule type="cellIs" dxfId="19181" priority="139225" stopIfTrue="1" operator="lessThan">
      <formula>0.5</formula>
    </cfRule>
  </conditionalFormatting>
  <conditionalFormatting sqref="AV31">
    <cfRule type="cellIs" dxfId="19180" priority="139226" stopIfTrue="1" operator="greaterThanOrEqual">
      <formula>0.5</formula>
    </cfRule>
  </conditionalFormatting>
  <conditionalFormatting sqref="AV32">
    <cfRule type="cellIs" dxfId="19179" priority="139227" stopIfTrue="1" operator="equal">
      <formula>-1</formula>
    </cfRule>
  </conditionalFormatting>
  <conditionalFormatting sqref="AV32">
    <cfRule type="cellIs" dxfId="19178" priority="139228" stopIfTrue="1" operator="lessThan">
      <formula>0.5</formula>
    </cfRule>
  </conditionalFormatting>
  <conditionalFormatting sqref="AV32">
    <cfRule type="cellIs" dxfId="19177" priority="139229" stopIfTrue="1" operator="greaterThanOrEqual">
      <formula>0.5</formula>
    </cfRule>
  </conditionalFormatting>
  <conditionalFormatting sqref="AV33">
    <cfRule type="cellIs" dxfId="19176" priority="139230" stopIfTrue="1" operator="equal">
      <formula>-1</formula>
    </cfRule>
  </conditionalFormatting>
  <conditionalFormatting sqref="AV33">
    <cfRule type="cellIs" dxfId="19175" priority="139231" stopIfTrue="1" operator="lessThan">
      <formula>0.5</formula>
    </cfRule>
  </conditionalFormatting>
  <conditionalFormatting sqref="AV33">
    <cfRule type="cellIs" dxfId="19174" priority="139232" stopIfTrue="1" operator="greaterThanOrEqual">
      <formula>0.5</formula>
    </cfRule>
  </conditionalFormatting>
  <conditionalFormatting sqref="AV34">
    <cfRule type="cellIs" dxfId="19173" priority="139233" stopIfTrue="1" operator="equal">
      <formula>-1</formula>
    </cfRule>
  </conditionalFormatting>
  <conditionalFormatting sqref="AV34">
    <cfRule type="cellIs" dxfId="19172" priority="139234" stopIfTrue="1" operator="lessThan">
      <formula>0.5</formula>
    </cfRule>
  </conditionalFormatting>
  <conditionalFormatting sqref="AV34">
    <cfRule type="cellIs" dxfId="19171" priority="139235" stopIfTrue="1" operator="greaterThanOrEqual">
      <formula>0.5</formula>
    </cfRule>
  </conditionalFormatting>
  <conditionalFormatting sqref="AV35">
    <cfRule type="cellIs" dxfId="19170" priority="139236" stopIfTrue="1" operator="equal">
      <formula>-1</formula>
    </cfRule>
  </conditionalFormatting>
  <conditionalFormatting sqref="AV35">
    <cfRule type="cellIs" dxfId="19169" priority="139237" stopIfTrue="1" operator="lessThan">
      <formula>0.5</formula>
    </cfRule>
  </conditionalFormatting>
  <conditionalFormatting sqref="AV35">
    <cfRule type="cellIs" dxfId="19168" priority="139238" stopIfTrue="1" operator="greaterThanOrEqual">
      <formula>0.5</formula>
    </cfRule>
  </conditionalFormatting>
  <conditionalFormatting sqref="AV36">
    <cfRule type="cellIs" dxfId="19167" priority="139239" stopIfTrue="1" operator="equal">
      <formula>-1</formula>
    </cfRule>
  </conditionalFormatting>
  <conditionalFormatting sqref="AV36">
    <cfRule type="cellIs" dxfId="19166" priority="139240" stopIfTrue="1" operator="lessThan">
      <formula>0.5</formula>
    </cfRule>
  </conditionalFormatting>
  <conditionalFormatting sqref="AV36">
    <cfRule type="cellIs" dxfId="19165" priority="139241" stopIfTrue="1" operator="greaterThanOrEqual">
      <formula>0.5</formula>
    </cfRule>
  </conditionalFormatting>
  <conditionalFormatting sqref="AV37">
    <cfRule type="cellIs" dxfId="19164" priority="139242" stopIfTrue="1" operator="equal">
      <formula>-1</formula>
    </cfRule>
  </conditionalFormatting>
  <conditionalFormatting sqref="AV37">
    <cfRule type="cellIs" dxfId="19163" priority="139243" stopIfTrue="1" operator="lessThan">
      <formula>0.5</formula>
    </cfRule>
  </conditionalFormatting>
  <conditionalFormatting sqref="AV37">
    <cfRule type="cellIs" dxfId="19162" priority="139244" stopIfTrue="1" operator="greaterThanOrEqual">
      <formula>0.5</formula>
    </cfRule>
  </conditionalFormatting>
  <conditionalFormatting sqref="AX17">
    <cfRule type="cellIs" dxfId="19161" priority="139245" stopIfTrue="1" operator="equal">
      <formula>-1</formula>
    </cfRule>
  </conditionalFormatting>
  <conditionalFormatting sqref="AX17">
    <cfRule type="cellIs" dxfId="19160" priority="139246" stopIfTrue="1" operator="lessThan">
      <formula>0.5</formula>
    </cfRule>
  </conditionalFormatting>
  <conditionalFormatting sqref="AX17">
    <cfRule type="cellIs" dxfId="19159" priority="139247" stopIfTrue="1" operator="greaterThanOrEqual">
      <formula>0.5</formula>
    </cfRule>
  </conditionalFormatting>
  <conditionalFormatting sqref="AX18">
    <cfRule type="cellIs" dxfId="19158" priority="139248" stopIfTrue="1" operator="equal">
      <formula>-1</formula>
    </cfRule>
  </conditionalFormatting>
  <conditionalFormatting sqref="AX18">
    <cfRule type="cellIs" dxfId="19157" priority="139249" stopIfTrue="1" operator="lessThan">
      <formula>0.5</formula>
    </cfRule>
  </conditionalFormatting>
  <conditionalFormatting sqref="AX18">
    <cfRule type="cellIs" dxfId="19156" priority="139250" stopIfTrue="1" operator="greaterThanOrEqual">
      <formula>0.5</formula>
    </cfRule>
  </conditionalFormatting>
  <conditionalFormatting sqref="AX19">
    <cfRule type="cellIs" dxfId="19155" priority="139251" stopIfTrue="1" operator="equal">
      <formula>-1</formula>
    </cfRule>
  </conditionalFormatting>
  <conditionalFormatting sqref="AX19">
    <cfRule type="cellIs" dxfId="19154" priority="139252" stopIfTrue="1" operator="lessThan">
      <formula>0.5</formula>
    </cfRule>
  </conditionalFormatting>
  <conditionalFormatting sqref="AX19">
    <cfRule type="cellIs" dxfId="19153" priority="139253" stopIfTrue="1" operator="greaterThanOrEqual">
      <formula>0.5</formula>
    </cfRule>
  </conditionalFormatting>
  <conditionalFormatting sqref="AX20">
    <cfRule type="cellIs" dxfId="19152" priority="139254" stopIfTrue="1" operator="equal">
      <formula>-1</formula>
    </cfRule>
  </conditionalFormatting>
  <conditionalFormatting sqref="AX20">
    <cfRule type="cellIs" dxfId="19151" priority="139255" stopIfTrue="1" operator="lessThan">
      <formula>0.5</formula>
    </cfRule>
  </conditionalFormatting>
  <conditionalFormatting sqref="AX20">
    <cfRule type="cellIs" dxfId="19150" priority="139256" stopIfTrue="1" operator="greaterThanOrEqual">
      <formula>0.5</formula>
    </cfRule>
  </conditionalFormatting>
  <conditionalFormatting sqref="AX21">
    <cfRule type="cellIs" dxfId="19149" priority="139257" stopIfTrue="1" operator="equal">
      <formula>-1</formula>
    </cfRule>
  </conditionalFormatting>
  <conditionalFormatting sqref="AX21">
    <cfRule type="cellIs" dxfId="19148" priority="139258" stopIfTrue="1" operator="lessThan">
      <formula>0.5</formula>
    </cfRule>
  </conditionalFormatting>
  <conditionalFormatting sqref="AX21">
    <cfRule type="cellIs" dxfId="19147" priority="139259" stopIfTrue="1" operator="greaterThanOrEqual">
      <formula>0.5</formula>
    </cfRule>
  </conditionalFormatting>
  <conditionalFormatting sqref="AX22">
    <cfRule type="cellIs" dxfId="19146" priority="139260" stopIfTrue="1" operator="equal">
      <formula>-1</formula>
    </cfRule>
  </conditionalFormatting>
  <conditionalFormatting sqref="AX22">
    <cfRule type="cellIs" dxfId="19145" priority="139261" stopIfTrue="1" operator="lessThan">
      <formula>0.5</formula>
    </cfRule>
  </conditionalFormatting>
  <conditionalFormatting sqref="AX22">
    <cfRule type="cellIs" dxfId="19144" priority="139262" stopIfTrue="1" operator="greaterThanOrEqual">
      <formula>0.5</formula>
    </cfRule>
  </conditionalFormatting>
  <conditionalFormatting sqref="AX23">
    <cfRule type="cellIs" dxfId="19143" priority="139263" stopIfTrue="1" operator="equal">
      <formula>-1</formula>
    </cfRule>
  </conditionalFormatting>
  <conditionalFormatting sqref="AX23">
    <cfRule type="cellIs" dxfId="19142" priority="139264" stopIfTrue="1" operator="lessThan">
      <formula>0.5</formula>
    </cfRule>
  </conditionalFormatting>
  <conditionalFormatting sqref="AX23">
    <cfRule type="cellIs" dxfId="19141" priority="139265" stopIfTrue="1" operator="greaterThanOrEqual">
      <formula>0.5</formula>
    </cfRule>
  </conditionalFormatting>
  <conditionalFormatting sqref="AX24">
    <cfRule type="cellIs" dxfId="19140" priority="139266" stopIfTrue="1" operator="equal">
      <formula>-1</formula>
    </cfRule>
  </conditionalFormatting>
  <conditionalFormatting sqref="AX24">
    <cfRule type="cellIs" dxfId="19139" priority="139267" stopIfTrue="1" operator="lessThan">
      <formula>0.5</formula>
    </cfRule>
  </conditionalFormatting>
  <conditionalFormatting sqref="AX24">
    <cfRule type="cellIs" dxfId="19138" priority="139268" stopIfTrue="1" operator="greaterThanOrEqual">
      <formula>0.5</formula>
    </cfRule>
  </conditionalFormatting>
  <conditionalFormatting sqref="AX25">
    <cfRule type="cellIs" dxfId="19137" priority="139269" stopIfTrue="1" operator="equal">
      <formula>-1</formula>
    </cfRule>
  </conditionalFormatting>
  <conditionalFormatting sqref="AX25">
    <cfRule type="cellIs" dxfId="19136" priority="139270" stopIfTrue="1" operator="lessThan">
      <formula>0.5</formula>
    </cfRule>
  </conditionalFormatting>
  <conditionalFormatting sqref="AX25">
    <cfRule type="cellIs" dxfId="19135" priority="139271" stopIfTrue="1" operator="greaterThanOrEqual">
      <formula>0.5</formula>
    </cfRule>
  </conditionalFormatting>
  <conditionalFormatting sqref="AX26">
    <cfRule type="cellIs" dxfId="19134" priority="139272" stopIfTrue="1" operator="equal">
      <formula>-1</formula>
    </cfRule>
  </conditionalFormatting>
  <conditionalFormatting sqref="AX26">
    <cfRule type="cellIs" dxfId="19133" priority="139273" stopIfTrue="1" operator="lessThan">
      <formula>0.5</formula>
    </cfRule>
  </conditionalFormatting>
  <conditionalFormatting sqref="AX26">
    <cfRule type="cellIs" dxfId="19132" priority="139274" stopIfTrue="1" operator="greaterThanOrEqual">
      <formula>0.5</formula>
    </cfRule>
  </conditionalFormatting>
  <conditionalFormatting sqref="AX27">
    <cfRule type="cellIs" dxfId="19131" priority="139275" stopIfTrue="1" operator="equal">
      <formula>-1</formula>
    </cfRule>
  </conditionalFormatting>
  <conditionalFormatting sqref="AX27">
    <cfRule type="cellIs" dxfId="19130" priority="139276" stopIfTrue="1" operator="lessThan">
      <formula>0.5</formula>
    </cfRule>
  </conditionalFormatting>
  <conditionalFormatting sqref="AX27">
    <cfRule type="cellIs" dxfId="19129" priority="139277" stopIfTrue="1" operator="greaterThanOrEqual">
      <formula>0.5</formula>
    </cfRule>
  </conditionalFormatting>
  <conditionalFormatting sqref="AX28">
    <cfRule type="cellIs" dxfId="19128" priority="139278" stopIfTrue="1" operator="equal">
      <formula>-1</formula>
    </cfRule>
  </conditionalFormatting>
  <conditionalFormatting sqref="AX28">
    <cfRule type="cellIs" dxfId="19127" priority="139279" stopIfTrue="1" operator="lessThan">
      <formula>0.5</formula>
    </cfRule>
  </conditionalFormatting>
  <conditionalFormatting sqref="AX28">
    <cfRule type="cellIs" dxfId="19126" priority="139280" stopIfTrue="1" operator="greaterThanOrEqual">
      <formula>0.5</formula>
    </cfRule>
  </conditionalFormatting>
  <conditionalFormatting sqref="AX29">
    <cfRule type="cellIs" dxfId="19125" priority="139281" stopIfTrue="1" operator="equal">
      <formula>-1</formula>
    </cfRule>
  </conditionalFormatting>
  <conditionalFormatting sqref="AX29">
    <cfRule type="cellIs" dxfId="19124" priority="139282" stopIfTrue="1" operator="lessThan">
      <formula>0.5</formula>
    </cfRule>
  </conditionalFormatting>
  <conditionalFormatting sqref="AX29">
    <cfRule type="cellIs" dxfId="19123" priority="139283" stopIfTrue="1" operator="greaterThanOrEqual">
      <formula>0.5</formula>
    </cfRule>
  </conditionalFormatting>
  <conditionalFormatting sqref="AX30">
    <cfRule type="cellIs" dxfId="19122" priority="139284" stopIfTrue="1" operator="equal">
      <formula>-1</formula>
    </cfRule>
  </conditionalFormatting>
  <conditionalFormatting sqref="AX30">
    <cfRule type="cellIs" dxfId="19121" priority="139285" stopIfTrue="1" operator="lessThan">
      <formula>0.5</formula>
    </cfRule>
  </conditionalFormatting>
  <conditionalFormatting sqref="AX30">
    <cfRule type="cellIs" dxfId="19120" priority="139286" stopIfTrue="1" operator="greaterThanOrEqual">
      <formula>0.5</formula>
    </cfRule>
  </conditionalFormatting>
  <conditionalFormatting sqref="AX31">
    <cfRule type="cellIs" dxfId="19119" priority="139287" stopIfTrue="1" operator="equal">
      <formula>-1</formula>
    </cfRule>
  </conditionalFormatting>
  <conditionalFormatting sqref="AX31">
    <cfRule type="cellIs" dxfId="19118" priority="139288" stopIfTrue="1" operator="lessThan">
      <formula>0.5</formula>
    </cfRule>
  </conditionalFormatting>
  <conditionalFormatting sqref="AX31">
    <cfRule type="cellIs" dxfId="19117" priority="139289" stopIfTrue="1" operator="greaterThanOrEqual">
      <formula>0.5</formula>
    </cfRule>
  </conditionalFormatting>
  <conditionalFormatting sqref="AX32">
    <cfRule type="cellIs" dxfId="19116" priority="139290" stopIfTrue="1" operator="equal">
      <formula>-1</formula>
    </cfRule>
  </conditionalFormatting>
  <conditionalFormatting sqref="AX32">
    <cfRule type="cellIs" dxfId="19115" priority="139291" stopIfTrue="1" operator="lessThan">
      <formula>0.5</formula>
    </cfRule>
  </conditionalFormatting>
  <conditionalFormatting sqref="AX32">
    <cfRule type="cellIs" dxfId="19114" priority="139292" stopIfTrue="1" operator="greaterThanOrEqual">
      <formula>0.5</formula>
    </cfRule>
  </conditionalFormatting>
  <conditionalFormatting sqref="AX33">
    <cfRule type="cellIs" dxfId="19113" priority="139293" stopIfTrue="1" operator="equal">
      <formula>-1</formula>
    </cfRule>
  </conditionalFormatting>
  <conditionalFormatting sqref="AX33">
    <cfRule type="cellIs" dxfId="19112" priority="139294" stopIfTrue="1" operator="lessThan">
      <formula>0.5</formula>
    </cfRule>
  </conditionalFormatting>
  <conditionalFormatting sqref="AX33">
    <cfRule type="cellIs" dxfId="19111" priority="139295" stopIfTrue="1" operator="greaterThanOrEqual">
      <formula>0.5</formula>
    </cfRule>
  </conditionalFormatting>
  <conditionalFormatting sqref="AX34">
    <cfRule type="cellIs" dxfId="19110" priority="139296" stopIfTrue="1" operator="equal">
      <formula>-1</formula>
    </cfRule>
  </conditionalFormatting>
  <conditionalFormatting sqref="AX34">
    <cfRule type="cellIs" dxfId="19109" priority="139297" stopIfTrue="1" operator="lessThan">
      <formula>0.5</formula>
    </cfRule>
  </conditionalFormatting>
  <conditionalFormatting sqref="AX34">
    <cfRule type="cellIs" dxfId="19108" priority="139298" stopIfTrue="1" operator="greaterThanOrEqual">
      <formula>0.5</formula>
    </cfRule>
  </conditionalFormatting>
  <conditionalFormatting sqref="AX35">
    <cfRule type="cellIs" dxfId="19107" priority="139299" stopIfTrue="1" operator="equal">
      <formula>-1</formula>
    </cfRule>
  </conditionalFormatting>
  <conditionalFormatting sqref="AX35">
    <cfRule type="cellIs" dxfId="19106" priority="139300" stopIfTrue="1" operator="lessThan">
      <formula>0.5</formula>
    </cfRule>
  </conditionalFormatting>
  <conditionalFormatting sqref="AX35">
    <cfRule type="cellIs" dxfId="19105" priority="139301" stopIfTrue="1" operator="greaterThanOrEqual">
      <formula>0.5</formula>
    </cfRule>
  </conditionalFormatting>
  <conditionalFormatting sqref="AX36">
    <cfRule type="cellIs" dxfId="19104" priority="139302" stopIfTrue="1" operator="equal">
      <formula>-1</formula>
    </cfRule>
  </conditionalFormatting>
  <conditionalFormatting sqref="AX36">
    <cfRule type="cellIs" dxfId="19103" priority="139303" stopIfTrue="1" operator="lessThan">
      <formula>0.5</formula>
    </cfRule>
  </conditionalFormatting>
  <conditionalFormatting sqref="AX36">
    <cfRule type="cellIs" dxfId="19102" priority="139304" stopIfTrue="1" operator="greaterThanOrEqual">
      <formula>0.5</formula>
    </cfRule>
  </conditionalFormatting>
  <conditionalFormatting sqref="AX37">
    <cfRule type="cellIs" dxfId="19101" priority="139305" stopIfTrue="1" operator="equal">
      <formula>-1</formula>
    </cfRule>
  </conditionalFormatting>
  <conditionalFormatting sqref="AX37">
    <cfRule type="cellIs" dxfId="19100" priority="139306" stopIfTrue="1" operator="lessThan">
      <formula>0.5</formula>
    </cfRule>
  </conditionalFormatting>
  <conditionalFormatting sqref="AX37">
    <cfRule type="cellIs" dxfId="19099" priority="139307" stopIfTrue="1" operator="greaterThanOrEqual">
      <formula>0.5</formula>
    </cfRule>
  </conditionalFormatting>
  <conditionalFormatting sqref="AZ17">
    <cfRule type="cellIs" dxfId="19098" priority="139308" stopIfTrue="1" operator="equal">
      <formula>-1</formula>
    </cfRule>
  </conditionalFormatting>
  <conditionalFormatting sqref="AZ17">
    <cfRule type="cellIs" dxfId="19097" priority="139309" stopIfTrue="1" operator="lessThan">
      <formula>0.5</formula>
    </cfRule>
  </conditionalFormatting>
  <conditionalFormatting sqref="AZ17">
    <cfRule type="cellIs" dxfId="19096" priority="139310" stopIfTrue="1" operator="greaterThanOrEqual">
      <formula>0.5</formula>
    </cfRule>
  </conditionalFormatting>
  <conditionalFormatting sqref="AZ18">
    <cfRule type="cellIs" dxfId="19095" priority="139311" stopIfTrue="1" operator="equal">
      <formula>-1</formula>
    </cfRule>
  </conditionalFormatting>
  <conditionalFormatting sqref="AZ18">
    <cfRule type="cellIs" dxfId="19094" priority="139312" stopIfTrue="1" operator="lessThan">
      <formula>0.5</formula>
    </cfRule>
  </conditionalFormatting>
  <conditionalFormatting sqref="AZ18">
    <cfRule type="cellIs" dxfId="19093" priority="139313" stopIfTrue="1" operator="greaterThanOrEqual">
      <formula>0.5</formula>
    </cfRule>
  </conditionalFormatting>
  <conditionalFormatting sqref="AZ19">
    <cfRule type="cellIs" dxfId="19092" priority="139314" stopIfTrue="1" operator="equal">
      <formula>-1</formula>
    </cfRule>
  </conditionalFormatting>
  <conditionalFormatting sqref="AZ19">
    <cfRule type="cellIs" dxfId="19091" priority="139315" stopIfTrue="1" operator="lessThan">
      <formula>0.5</formula>
    </cfRule>
  </conditionalFormatting>
  <conditionalFormatting sqref="AZ19">
    <cfRule type="cellIs" dxfId="19090" priority="139316" stopIfTrue="1" operator="greaterThanOrEqual">
      <formula>0.5</formula>
    </cfRule>
  </conditionalFormatting>
  <conditionalFormatting sqref="AZ20">
    <cfRule type="cellIs" dxfId="19089" priority="139317" stopIfTrue="1" operator="equal">
      <formula>-1</formula>
    </cfRule>
  </conditionalFormatting>
  <conditionalFormatting sqref="AZ20">
    <cfRule type="cellIs" dxfId="19088" priority="139318" stopIfTrue="1" operator="lessThan">
      <formula>0.5</formula>
    </cfRule>
  </conditionalFormatting>
  <conditionalFormatting sqref="AZ20">
    <cfRule type="cellIs" dxfId="19087" priority="139319" stopIfTrue="1" operator="greaterThanOrEqual">
      <formula>0.5</formula>
    </cfRule>
  </conditionalFormatting>
  <conditionalFormatting sqref="AZ21">
    <cfRule type="cellIs" dxfId="19086" priority="139320" stopIfTrue="1" operator="equal">
      <formula>-1</formula>
    </cfRule>
  </conditionalFormatting>
  <conditionalFormatting sqref="AZ21">
    <cfRule type="cellIs" dxfId="19085" priority="139321" stopIfTrue="1" operator="lessThan">
      <formula>0.5</formula>
    </cfRule>
  </conditionalFormatting>
  <conditionalFormatting sqref="AZ21">
    <cfRule type="cellIs" dxfId="19084" priority="139322" stopIfTrue="1" operator="greaterThanOrEqual">
      <formula>0.5</formula>
    </cfRule>
  </conditionalFormatting>
  <conditionalFormatting sqref="AZ22">
    <cfRule type="cellIs" dxfId="19083" priority="139323" stopIfTrue="1" operator="equal">
      <formula>-1</formula>
    </cfRule>
  </conditionalFormatting>
  <conditionalFormatting sqref="AZ22">
    <cfRule type="cellIs" dxfId="19082" priority="139324" stopIfTrue="1" operator="lessThan">
      <formula>0.5</formula>
    </cfRule>
  </conditionalFormatting>
  <conditionalFormatting sqref="AZ22">
    <cfRule type="cellIs" dxfId="19081" priority="139325" stopIfTrue="1" operator="greaterThanOrEqual">
      <formula>0.5</formula>
    </cfRule>
  </conditionalFormatting>
  <conditionalFormatting sqref="AZ23">
    <cfRule type="cellIs" dxfId="19080" priority="139326" stopIfTrue="1" operator="equal">
      <formula>-1</formula>
    </cfRule>
  </conditionalFormatting>
  <conditionalFormatting sqref="AZ23">
    <cfRule type="cellIs" dxfId="19079" priority="139327" stopIfTrue="1" operator="lessThan">
      <formula>0.5</formula>
    </cfRule>
  </conditionalFormatting>
  <conditionalFormatting sqref="AZ23">
    <cfRule type="cellIs" dxfId="19078" priority="139328" stopIfTrue="1" operator="greaterThanOrEqual">
      <formula>0.5</formula>
    </cfRule>
  </conditionalFormatting>
  <conditionalFormatting sqref="AZ24">
    <cfRule type="cellIs" dxfId="19077" priority="139329" stopIfTrue="1" operator="equal">
      <formula>-1</formula>
    </cfRule>
  </conditionalFormatting>
  <conditionalFormatting sqref="AZ24">
    <cfRule type="cellIs" dxfId="19076" priority="139330" stopIfTrue="1" operator="lessThan">
      <formula>0.5</formula>
    </cfRule>
  </conditionalFormatting>
  <conditionalFormatting sqref="AZ24">
    <cfRule type="cellIs" dxfId="19075" priority="139331" stopIfTrue="1" operator="greaterThanOrEqual">
      <formula>0.5</formula>
    </cfRule>
  </conditionalFormatting>
  <conditionalFormatting sqref="AZ25">
    <cfRule type="cellIs" dxfId="19074" priority="139332" stopIfTrue="1" operator="equal">
      <formula>-1</formula>
    </cfRule>
  </conditionalFormatting>
  <conditionalFormatting sqref="AZ25">
    <cfRule type="cellIs" dxfId="19073" priority="139333" stopIfTrue="1" operator="lessThan">
      <formula>0.5</formula>
    </cfRule>
  </conditionalFormatting>
  <conditionalFormatting sqref="AZ25">
    <cfRule type="cellIs" dxfId="19072" priority="139334" stopIfTrue="1" operator="greaterThanOrEqual">
      <formula>0.5</formula>
    </cfRule>
  </conditionalFormatting>
  <conditionalFormatting sqref="AZ26">
    <cfRule type="cellIs" dxfId="19071" priority="139335" stopIfTrue="1" operator="equal">
      <formula>-1</formula>
    </cfRule>
  </conditionalFormatting>
  <conditionalFormatting sqref="AZ26">
    <cfRule type="cellIs" dxfId="19070" priority="139336" stopIfTrue="1" operator="lessThan">
      <formula>0.5</formula>
    </cfRule>
  </conditionalFormatting>
  <conditionalFormatting sqref="AZ26">
    <cfRule type="cellIs" dxfId="19069" priority="139337" stopIfTrue="1" operator="greaterThanOrEqual">
      <formula>0.5</formula>
    </cfRule>
  </conditionalFormatting>
  <conditionalFormatting sqref="AZ27">
    <cfRule type="cellIs" dxfId="19068" priority="139338" stopIfTrue="1" operator="equal">
      <formula>-1</formula>
    </cfRule>
  </conditionalFormatting>
  <conditionalFormatting sqref="AZ27">
    <cfRule type="cellIs" dxfId="19067" priority="139339" stopIfTrue="1" operator="lessThan">
      <formula>0.5</formula>
    </cfRule>
  </conditionalFormatting>
  <conditionalFormatting sqref="AZ27">
    <cfRule type="cellIs" dxfId="19066" priority="139340" stopIfTrue="1" operator="greaterThanOrEqual">
      <formula>0.5</formula>
    </cfRule>
  </conditionalFormatting>
  <conditionalFormatting sqref="AZ28">
    <cfRule type="cellIs" dxfId="19065" priority="139341" stopIfTrue="1" operator="equal">
      <formula>-1</formula>
    </cfRule>
  </conditionalFormatting>
  <conditionalFormatting sqref="AZ28">
    <cfRule type="cellIs" dxfId="19064" priority="139342" stopIfTrue="1" operator="lessThan">
      <formula>0.5</formula>
    </cfRule>
  </conditionalFormatting>
  <conditionalFormatting sqref="AZ28">
    <cfRule type="cellIs" dxfId="19063" priority="139343" stopIfTrue="1" operator="greaterThanOrEqual">
      <formula>0.5</formula>
    </cfRule>
  </conditionalFormatting>
  <conditionalFormatting sqref="AZ29">
    <cfRule type="cellIs" dxfId="19062" priority="139344" stopIfTrue="1" operator="equal">
      <formula>-1</formula>
    </cfRule>
  </conditionalFormatting>
  <conditionalFormatting sqref="AZ29">
    <cfRule type="cellIs" dxfId="19061" priority="139345" stopIfTrue="1" operator="lessThan">
      <formula>0.5</formula>
    </cfRule>
  </conditionalFormatting>
  <conditionalFormatting sqref="AZ29">
    <cfRule type="cellIs" dxfId="19060" priority="139346" stopIfTrue="1" operator="greaterThanOrEqual">
      <formula>0.5</formula>
    </cfRule>
  </conditionalFormatting>
  <conditionalFormatting sqref="AZ30">
    <cfRule type="cellIs" dxfId="19059" priority="139347" stopIfTrue="1" operator="equal">
      <formula>-1</formula>
    </cfRule>
  </conditionalFormatting>
  <conditionalFormatting sqref="AZ30">
    <cfRule type="cellIs" dxfId="19058" priority="139348" stopIfTrue="1" operator="lessThan">
      <formula>0.5</formula>
    </cfRule>
  </conditionalFormatting>
  <conditionalFormatting sqref="AZ30">
    <cfRule type="cellIs" dxfId="19057" priority="139349" stopIfTrue="1" operator="greaterThanOrEqual">
      <formula>0.5</formula>
    </cfRule>
  </conditionalFormatting>
  <conditionalFormatting sqref="AZ31">
    <cfRule type="cellIs" dxfId="19056" priority="139350" stopIfTrue="1" operator="equal">
      <formula>-1</formula>
    </cfRule>
  </conditionalFormatting>
  <conditionalFormatting sqref="AZ31">
    <cfRule type="cellIs" dxfId="19055" priority="139351" stopIfTrue="1" operator="lessThan">
      <formula>0.5</formula>
    </cfRule>
  </conditionalFormatting>
  <conditionalFormatting sqref="AZ31">
    <cfRule type="cellIs" dxfId="19054" priority="139352" stopIfTrue="1" operator="greaterThanOrEqual">
      <formula>0.5</formula>
    </cfRule>
  </conditionalFormatting>
  <conditionalFormatting sqref="AZ32">
    <cfRule type="cellIs" dxfId="19053" priority="139353" stopIfTrue="1" operator="equal">
      <formula>-1</formula>
    </cfRule>
  </conditionalFormatting>
  <conditionalFormatting sqref="AZ32">
    <cfRule type="cellIs" dxfId="19052" priority="139354" stopIfTrue="1" operator="lessThan">
      <formula>0.5</formula>
    </cfRule>
  </conditionalFormatting>
  <conditionalFormatting sqref="AZ32">
    <cfRule type="cellIs" dxfId="19051" priority="139355" stopIfTrue="1" operator="greaterThanOrEqual">
      <formula>0.5</formula>
    </cfRule>
  </conditionalFormatting>
  <conditionalFormatting sqref="AZ33">
    <cfRule type="cellIs" dxfId="19050" priority="139356" stopIfTrue="1" operator="equal">
      <formula>-1</formula>
    </cfRule>
  </conditionalFormatting>
  <conditionalFormatting sqref="AZ33">
    <cfRule type="cellIs" dxfId="19049" priority="139357" stopIfTrue="1" operator="lessThan">
      <formula>0.5</formula>
    </cfRule>
  </conditionalFormatting>
  <conditionalFormatting sqref="AZ33">
    <cfRule type="cellIs" dxfId="19048" priority="139358" stopIfTrue="1" operator="greaterThanOrEqual">
      <formula>0.5</formula>
    </cfRule>
  </conditionalFormatting>
  <conditionalFormatting sqref="AZ34">
    <cfRule type="cellIs" dxfId="19047" priority="139359" stopIfTrue="1" operator="equal">
      <formula>-1</formula>
    </cfRule>
  </conditionalFormatting>
  <conditionalFormatting sqref="AZ34">
    <cfRule type="cellIs" dxfId="19046" priority="139360" stopIfTrue="1" operator="lessThan">
      <formula>0.5</formula>
    </cfRule>
  </conditionalFormatting>
  <conditionalFormatting sqref="AZ34">
    <cfRule type="cellIs" dxfId="19045" priority="139361" stopIfTrue="1" operator="greaterThanOrEqual">
      <formula>0.5</formula>
    </cfRule>
  </conditionalFormatting>
  <conditionalFormatting sqref="AZ35">
    <cfRule type="cellIs" dxfId="19044" priority="139362" stopIfTrue="1" operator="equal">
      <formula>-1</formula>
    </cfRule>
  </conditionalFormatting>
  <conditionalFormatting sqref="AZ35">
    <cfRule type="cellIs" dxfId="19043" priority="139363" stopIfTrue="1" operator="lessThan">
      <formula>0.5</formula>
    </cfRule>
  </conditionalFormatting>
  <conditionalFormatting sqref="AZ35">
    <cfRule type="cellIs" dxfId="19042" priority="139364" stopIfTrue="1" operator="greaterThanOrEqual">
      <formula>0.5</formula>
    </cfRule>
  </conditionalFormatting>
  <conditionalFormatting sqref="AZ36">
    <cfRule type="cellIs" dxfId="19041" priority="139365" stopIfTrue="1" operator="equal">
      <formula>-1</formula>
    </cfRule>
  </conditionalFormatting>
  <conditionalFormatting sqref="AZ36">
    <cfRule type="cellIs" dxfId="19040" priority="139366" stopIfTrue="1" operator="lessThan">
      <formula>0.5</formula>
    </cfRule>
  </conditionalFormatting>
  <conditionalFormatting sqref="AZ36">
    <cfRule type="cellIs" dxfId="19039" priority="139367" stopIfTrue="1" operator="greaterThanOrEqual">
      <formula>0.5</formula>
    </cfRule>
  </conditionalFormatting>
  <conditionalFormatting sqref="AZ37">
    <cfRule type="cellIs" dxfId="19038" priority="139368" stopIfTrue="1" operator="equal">
      <formula>-1</formula>
    </cfRule>
  </conditionalFormatting>
  <conditionalFormatting sqref="AZ37">
    <cfRule type="cellIs" dxfId="19037" priority="139369" stopIfTrue="1" operator="lessThan">
      <formula>0.5</formula>
    </cfRule>
  </conditionalFormatting>
  <conditionalFormatting sqref="AZ37">
    <cfRule type="cellIs" dxfId="19036" priority="139370" stopIfTrue="1" operator="greaterThanOrEqual">
      <formula>0.5</formula>
    </cfRule>
  </conditionalFormatting>
  <conditionalFormatting sqref="BB17">
    <cfRule type="cellIs" dxfId="19035" priority="139371" stopIfTrue="1" operator="equal">
      <formula>-1</formula>
    </cfRule>
  </conditionalFormatting>
  <conditionalFormatting sqref="BB17">
    <cfRule type="cellIs" dxfId="19034" priority="139372" stopIfTrue="1" operator="lessThan">
      <formula>0.5</formula>
    </cfRule>
  </conditionalFormatting>
  <conditionalFormatting sqref="BB17">
    <cfRule type="cellIs" dxfId="19033" priority="139373" stopIfTrue="1" operator="greaterThanOrEqual">
      <formula>0.5</formula>
    </cfRule>
  </conditionalFormatting>
  <conditionalFormatting sqref="BB18">
    <cfRule type="cellIs" dxfId="19032" priority="139374" stopIfTrue="1" operator="equal">
      <formula>-1</formula>
    </cfRule>
  </conditionalFormatting>
  <conditionalFormatting sqref="BB18">
    <cfRule type="cellIs" dxfId="19031" priority="139375" stopIfTrue="1" operator="lessThan">
      <formula>0.5</formula>
    </cfRule>
  </conditionalFormatting>
  <conditionalFormatting sqref="BB18">
    <cfRule type="cellIs" dxfId="19030" priority="139376" stopIfTrue="1" operator="greaterThanOrEqual">
      <formula>0.5</formula>
    </cfRule>
  </conditionalFormatting>
  <conditionalFormatting sqref="BB19">
    <cfRule type="cellIs" dxfId="19029" priority="139377" stopIfTrue="1" operator="equal">
      <formula>-1</formula>
    </cfRule>
  </conditionalFormatting>
  <conditionalFormatting sqref="BB19">
    <cfRule type="cellIs" dxfId="19028" priority="139378" stopIfTrue="1" operator="lessThan">
      <formula>0.5</formula>
    </cfRule>
  </conditionalFormatting>
  <conditionalFormatting sqref="BB19">
    <cfRule type="cellIs" dxfId="19027" priority="139379" stopIfTrue="1" operator="greaterThanOrEqual">
      <formula>0.5</formula>
    </cfRule>
  </conditionalFormatting>
  <conditionalFormatting sqref="BB20">
    <cfRule type="cellIs" dxfId="19026" priority="139380" stopIfTrue="1" operator="equal">
      <formula>-1</formula>
    </cfRule>
  </conditionalFormatting>
  <conditionalFormatting sqref="BB20">
    <cfRule type="cellIs" dxfId="19025" priority="139381" stopIfTrue="1" operator="lessThan">
      <formula>0.5</formula>
    </cfRule>
  </conditionalFormatting>
  <conditionalFormatting sqref="BB20">
    <cfRule type="cellIs" dxfId="19024" priority="139382" stopIfTrue="1" operator="greaterThanOrEqual">
      <formula>0.5</formula>
    </cfRule>
  </conditionalFormatting>
  <conditionalFormatting sqref="BB21">
    <cfRule type="cellIs" dxfId="19023" priority="139383" stopIfTrue="1" operator="equal">
      <formula>-1</formula>
    </cfRule>
  </conditionalFormatting>
  <conditionalFormatting sqref="BB21">
    <cfRule type="cellIs" dxfId="19022" priority="139384" stopIfTrue="1" operator="lessThan">
      <formula>0.5</formula>
    </cfRule>
  </conditionalFormatting>
  <conditionalFormatting sqref="BB21">
    <cfRule type="cellIs" dxfId="19021" priority="139385" stopIfTrue="1" operator="greaterThanOrEqual">
      <formula>0.5</formula>
    </cfRule>
  </conditionalFormatting>
  <conditionalFormatting sqref="BB22">
    <cfRule type="cellIs" dxfId="19020" priority="139386" stopIfTrue="1" operator="equal">
      <formula>-1</formula>
    </cfRule>
  </conditionalFormatting>
  <conditionalFormatting sqref="BB22">
    <cfRule type="cellIs" dxfId="19019" priority="139387" stopIfTrue="1" operator="lessThan">
      <formula>0.5</formula>
    </cfRule>
  </conditionalFormatting>
  <conditionalFormatting sqref="BB22">
    <cfRule type="cellIs" dxfId="19018" priority="139388" stopIfTrue="1" operator="greaterThanOrEqual">
      <formula>0.5</formula>
    </cfRule>
  </conditionalFormatting>
  <conditionalFormatting sqref="BB23">
    <cfRule type="cellIs" dxfId="19017" priority="139389" stopIfTrue="1" operator="equal">
      <formula>-1</formula>
    </cfRule>
  </conditionalFormatting>
  <conditionalFormatting sqref="BB23">
    <cfRule type="cellIs" dxfId="19016" priority="139390" stopIfTrue="1" operator="lessThan">
      <formula>0.5</formula>
    </cfRule>
  </conditionalFormatting>
  <conditionalFormatting sqref="BB23">
    <cfRule type="cellIs" dxfId="19015" priority="139391" stopIfTrue="1" operator="greaterThanOrEqual">
      <formula>0.5</formula>
    </cfRule>
  </conditionalFormatting>
  <conditionalFormatting sqref="BB24">
    <cfRule type="cellIs" dxfId="19014" priority="139392" stopIfTrue="1" operator="equal">
      <formula>-1</formula>
    </cfRule>
  </conditionalFormatting>
  <conditionalFormatting sqref="BB24">
    <cfRule type="cellIs" dxfId="19013" priority="139393" stopIfTrue="1" operator="lessThan">
      <formula>0.5</formula>
    </cfRule>
  </conditionalFormatting>
  <conditionalFormatting sqref="BB24">
    <cfRule type="cellIs" dxfId="19012" priority="139394" stopIfTrue="1" operator="greaterThanOrEqual">
      <formula>0.5</formula>
    </cfRule>
  </conditionalFormatting>
  <conditionalFormatting sqref="BB25">
    <cfRule type="cellIs" dxfId="19011" priority="139395" stopIfTrue="1" operator="equal">
      <formula>-1</formula>
    </cfRule>
  </conditionalFormatting>
  <conditionalFormatting sqref="BB25">
    <cfRule type="cellIs" dxfId="19010" priority="139396" stopIfTrue="1" operator="lessThan">
      <formula>0.5</formula>
    </cfRule>
  </conditionalFormatting>
  <conditionalFormatting sqref="BB25">
    <cfRule type="cellIs" dxfId="19009" priority="139397" stopIfTrue="1" operator="greaterThanOrEqual">
      <formula>0.5</formula>
    </cfRule>
  </conditionalFormatting>
  <conditionalFormatting sqref="BB26">
    <cfRule type="cellIs" dxfId="19008" priority="139398" stopIfTrue="1" operator="equal">
      <formula>-1</formula>
    </cfRule>
  </conditionalFormatting>
  <conditionalFormatting sqref="BB26">
    <cfRule type="cellIs" dxfId="19007" priority="139399" stopIfTrue="1" operator="lessThan">
      <formula>0.5</formula>
    </cfRule>
  </conditionalFormatting>
  <conditionalFormatting sqref="BB26">
    <cfRule type="cellIs" dxfId="19006" priority="139400" stopIfTrue="1" operator="greaterThanOrEqual">
      <formula>0.5</formula>
    </cfRule>
  </conditionalFormatting>
  <conditionalFormatting sqref="BB27">
    <cfRule type="cellIs" dxfId="19005" priority="139401" stopIfTrue="1" operator="equal">
      <formula>-1</formula>
    </cfRule>
  </conditionalFormatting>
  <conditionalFormatting sqref="BB27">
    <cfRule type="cellIs" dxfId="19004" priority="139402" stopIfTrue="1" operator="lessThan">
      <formula>0.5</formula>
    </cfRule>
  </conditionalFormatting>
  <conditionalFormatting sqref="BB27">
    <cfRule type="cellIs" dxfId="19003" priority="139403" stopIfTrue="1" operator="greaterThanOrEqual">
      <formula>0.5</formula>
    </cfRule>
  </conditionalFormatting>
  <conditionalFormatting sqref="BB28">
    <cfRule type="cellIs" dxfId="19002" priority="139404" stopIfTrue="1" operator="equal">
      <formula>-1</formula>
    </cfRule>
  </conditionalFormatting>
  <conditionalFormatting sqref="BB28">
    <cfRule type="cellIs" dxfId="19001" priority="139405" stopIfTrue="1" operator="lessThan">
      <formula>0.5</formula>
    </cfRule>
  </conditionalFormatting>
  <conditionalFormatting sqref="BB28">
    <cfRule type="cellIs" dxfId="19000" priority="139406" stopIfTrue="1" operator="greaterThanOrEqual">
      <formula>0.5</formula>
    </cfRule>
  </conditionalFormatting>
  <conditionalFormatting sqref="BB29">
    <cfRule type="cellIs" dxfId="18999" priority="139407" stopIfTrue="1" operator="equal">
      <formula>-1</formula>
    </cfRule>
  </conditionalFormatting>
  <conditionalFormatting sqref="BB29">
    <cfRule type="cellIs" dxfId="18998" priority="139408" stopIfTrue="1" operator="lessThan">
      <formula>0.5</formula>
    </cfRule>
  </conditionalFormatting>
  <conditionalFormatting sqref="BB29">
    <cfRule type="cellIs" dxfId="18997" priority="139409" stopIfTrue="1" operator="greaterThanOrEqual">
      <formula>0.5</formula>
    </cfRule>
  </conditionalFormatting>
  <conditionalFormatting sqref="BB30">
    <cfRule type="cellIs" dxfId="18996" priority="139410" stopIfTrue="1" operator="equal">
      <formula>-1</formula>
    </cfRule>
  </conditionalFormatting>
  <conditionalFormatting sqref="BB30">
    <cfRule type="cellIs" dxfId="18995" priority="139411" stopIfTrue="1" operator="lessThan">
      <formula>0.5</formula>
    </cfRule>
  </conditionalFormatting>
  <conditionalFormatting sqref="BB30">
    <cfRule type="cellIs" dxfId="18994" priority="139412" stopIfTrue="1" operator="greaterThanOrEqual">
      <formula>0.5</formula>
    </cfRule>
  </conditionalFormatting>
  <conditionalFormatting sqref="BB31">
    <cfRule type="cellIs" dxfId="18993" priority="139413" stopIfTrue="1" operator="equal">
      <formula>-1</formula>
    </cfRule>
  </conditionalFormatting>
  <conditionalFormatting sqref="BB31">
    <cfRule type="cellIs" dxfId="18992" priority="139414" stopIfTrue="1" operator="lessThan">
      <formula>0.5</formula>
    </cfRule>
  </conditionalFormatting>
  <conditionalFormatting sqref="BB31">
    <cfRule type="cellIs" dxfId="18991" priority="139415" stopIfTrue="1" operator="greaterThanOrEqual">
      <formula>0.5</formula>
    </cfRule>
  </conditionalFormatting>
  <conditionalFormatting sqref="BB32">
    <cfRule type="cellIs" dxfId="18990" priority="139416" stopIfTrue="1" operator="equal">
      <formula>-1</formula>
    </cfRule>
  </conditionalFormatting>
  <conditionalFormatting sqref="BB32">
    <cfRule type="cellIs" dxfId="18989" priority="139417" stopIfTrue="1" operator="lessThan">
      <formula>0.5</formula>
    </cfRule>
  </conditionalFormatting>
  <conditionalFormatting sqref="BB32">
    <cfRule type="cellIs" dxfId="18988" priority="139418" stopIfTrue="1" operator="greaterThanOrEqual">
      <formula>0.5</formula>
    </cfRule>
  </conditionalFormatting>
  <conditionalFormatting sqref="BB33">
    <cfRule type="cellIs" dxfId="18987" priority="139419" stopIfTrue="1" operator="equal">
      <formula>-1</formula>
    </cfRule>
  </conditionalFormatting>
  <conditionalFormatting sqref="BB33">
    <cfRule type="cellIs" dxfId="18986" priority="139420" stopIfTrue="1" operator="lessThan">
      <formula>0.5</formula>
    </cfRule>
  </conditionalFormatting>
  <conditionalFormatting sqref="BB33">
    <cfRule type="cellIs" dxfId="18985" priority="139421" stopIfTrue="1" operator="greaterThanOrEqual">
      <formula>0.5</formula>
    </cfRule>
  </conditionalFormatting>
  <conditionalFormatting sqref="BB34">
    <cfRule type="cellIs" dxfId="18984" priority="139422" stopIfTrue="1" operator="equal">
      <formula>-1</formula>
    </cfRule>
  </conditionalFormatting>
  <conditionalFormatting sqref="BB34">
    <cfRule type="cellIs" dxfId="18983" priority="139423" stopIfTrue="1" operator="lessThan">
      <formula>0.5</formula>
    </cfRule>
  </conditionalFormatting>
  <conditionalFormatting sqref="BB34">
    <cfRule type="cellIs" dxfId="18982" priority="139424" stopIfTrue="1" operator="greaterThanOrEqual">
      <formula>0.5</formula>
    </cfRule>
  </conditionalFormatting>
  <conditionalFormatting sqref="BB35">
    <cfRule type="cellIs" dxfId="18981" priority="139425" stopIfTrue="1" operator="equal">
      <formula>-1</formula>
    </cfRule>
  </conditionalFormatting>
  <conditionalFormatting sqref="BB35">
    <cfRule type="cellIs" dxfId="18980" priority="139426" stopIfTrue="1" operator="lessThan">
      <formula>0.5</formula>
    </cfRule>
  </conditionalFormatting>
  <conditionalFormatting sqref="BB35">
    <cfRule type="cellIs" dxfId="18979" priority="139427" stopIfTrue="1" operator="greaterThanOrEqual">
      <formula>0.5</formula>
    </cfRule>
  </conditionalFormatting>
  <conditionalFormatting sqref="BB36">
    <cfRule type="cellIs" dxfId="18978" priority="139428" stopIfTrue="1" operator="equal">
      <formula>-1</formula>
    </cfRule>
  </conditionalFormatting>
  <conditionalFormatting sqref="BB36">
    <cfRule type="cellIs" dxfId="18977" priority="139429" stopIfTrue="1" operator="lessThan">
      <formula>0.5</formula>
    </cfRule>
  </conditionalFormatting>
  <conditionalFormatting sqref="BB36">
    <cfRule type="cellIs" dxfId="18976" priority="139430" stopIfTrue="1" operator="greaterThanOrEqual">
      <formula>0.5</formula>
    </cfRule>
  </conditionalFormatting>
  <conditionalFormatting sqref="BB37">
    <cfRule type="cellIs" dxfId="18975" priority="139431" stopIfTrue="1" operator="equal">
      <formula>-1</formula>
    </cfRule>
  </conditionalFormatting>
  <conditionalFormatting sqref="BB37">
    <cfRule type="cellIs" dxfId="18974" priority="139432" stopIfTrue="1" operator="lessThan">
      <formula>0.5</formula>
    </cfRule>
  </conditionalFormatting>
  <conditionalFormatting sqref="BB37">
    <cfRule type="cellIs" dxfId="18973" priority="139433" stopIfTrue="1" operator="greaterThanOrEqual">
      <formula>0.5</formula>
    </cfRule>
  </conditionalFormatting>
  <conditionalFormatting sqref="BD17">
    <cfRule type="cellIs" dxfId="18972" priority="139434" stopIfTrue="1" operator="equal">
      <formula>-1</formula>
    </cfRule>
  </conditionalFormatting>
  <conditionalFormatting sqref="BD17">
    <cfRule type="cellIs" dxfId="18971" priority="139435" stopIfTrue="1" operator="lessThan">
      <formula>0.5</formula>
    </cfRule>
  </conditionalFormatting>
  <conditionalFormatting sqref="BD17">
    <cfRule type="cellIs" dxfId="18970" priority="139436" stopIfTrue="1" operator="greaterThanOrEqual">
      <formula>0.5</formula>
    </cfRule>
  </conditionalFormatting>
  <conditionalFormatting sqref="BD18">
    <cfRule type="cellIs" dxfId="18969" priority="139437" stopIfTrue="1" operator="equal">
      <formula>-1</formula>
    </cfRule>
  </conditionalFormatting>
  <conditionalFormatting sqref="BD18">
    <cfRule type="cellIs" dxfId="18968" priority="139438" stopIfTrue="1" operator="lessThan">
      <formula>0.5</formula>
    </cfRule>
  </conditionalFormatting>
  <conditionalFormatting sqref="BD18">
    <cfRule type="cellIs" dxfId="18967" priority="139439" stopIfTrue="1" operator="greaterThanOrEqual">
      <formula>0.5</formula>
    </cfRule>
  </conditionalFormatting>
  <conditionalFormatting sqref="BD19">
    <cfRule type="cellIs" dxfId="18966" priority="139440" stopIfTrue="1" operator="equal">
      <formula>-1</formula>
    </cfRule>
  </conditionalFormatting>
  <conditionalFormatting sqref="BD19">
    <cfRule type="cellIs" dxfId="18965" priority="139441" stopIfTrue="1" operator="lessThan">
      <formula>0.5</formula>
    </cfRule>
  </conditionalFormatting>
  <conditionalFormatting sqref="BD19">
    <cfRule type="cellIs" dxfId="18964" priority="139442" stopIfTrue="1" operator="greaterThanOrEqual">
      <formula>0.5</formula>
    </cfRule>
  </conditionalFormatting>
  <conditionalFormatting sqref="BD20">
    <cfRule type="cellIs" dxfId="18963" priority="139443" stopIfTrue="1" operator="equal">
      <formula>-1</formula>
    </cfRule>
  </conditionalFormatting>
  <conditionalFormatting sqref="BD20">
    <cfRule type="cellIs" dxfId="18962" priority="139444" stopIfTrue="1" operator="lessThan">
      <formula>0.5</formula>
    </cfRule>
  </conditionalFormatting>
  <conditionalFormatting sqref="BD20">
    <cfRule type="cellIs" dxfId="18961" priority="139445" stopIfTrue="1" operator="greaterThanOrEqual">
      <formula>0.5</formula>
    </cfRule>
  </conditionalFormatting>
  <conditionalFormatting sqref="BD21">
    <cfRule type="cellIs" dxfId="18960" priority="139446" stopIfTrue="1" operator="equal">
      <formula>-1</formula>
    </cfRule>
  </conditionalFormatting>
  <conditionalFormatting sqref="BD21">
    <cfRule type="cellIs" dxfId="18959" priority="139447" stopIfTrue="1" operator="lessThan">
      <formula>0.5</formula>
    </cfRule>
  </conditionalFormatting>
  <conditionalFormatting sqref="BD21">
    <cfRule type="cellIs" dxfId="18958" priority="139448" stopIfTrue="1" operator="greaterThanOrEqual">
      <formula>0.5</formula>
    </cfRule>
  </conditionalFormatting>
  <conditionalFormatting sqref="BD22">
    <cfRule type="cellIs" dxfId="18957" priority="139449" stopIfTrue="1" operator="equal">
      <formula>-1</formula>
    </cfRule>
  </conditionalFormatting>
  <conditionalFormatting sqref="BD22">
    <cfRule type="cellIs" dxfId="18956" priority="139450" stopIfTrue="1" operator="lessThan">
      <formula>0.5</formula>
    </cfRule>
  </conditionalFormatting>
  <conditionalFormatting sqref="BD22">
    <cfRule type="cellIs" dxfId="18955" priority="139451" stopIfTrue="1" operator="greaterThanOrEqual">
      <formula>0.5</formula>
    </cfRule>
  </conditionalFormatting>
  <conditionalFormatting sqref="BD23">
    <cfRule type="cellIs" dxfId="18954" priority="139452" stopIfTrue="1" operator="equal">
      <formula>-1</formula>
    </cfRule>
  </conditionalFormatting>
  <conditionalFormatting sqref="BD23">
    <cfRule type="cellIs" dxfId="18953" priority="139453" stopIfTrue="1" operator="lessThan">
      <formula>0.5</formula>
    </cfRule>
  </conditionalFormatting>
  <conditionalFormatting sqref="BD23">
    <cfRule type="cellIs" dxfId="18952" priority="139454" stopIfTrue="1" operator="greaterThanOrEqual">
      <formula>0.5</formula>
    </cfRule>
  </conditionalFormatting>
  <conditionalFormatting sqref="BD24">
    <cfRule type="cellIs" dxfId="18951" priority="139455" stopIfTrue="1" operator="equal">
      <formula>-1</formula>
    </cfRule>
  </conditionalFormatting>
  <conditionalFormatting sqref="BD24">
    <cfRule type="cellIs" dxfId="18950" priority="139456" stopIfTrue="1" operator="lessThan">
      <formula>0.5</formula>
    </cfRule>
  </conditionalFormatting>
  <conditionalFormatting sqref="BD24">
    <cfRule type="cellIs" dxfId="18949" priority="139457" stopIfTrue="1" operator="greaterThanOrEqual">
      <formula>0.5</formula>
    </cfRule>
  </conditionalFormatting>
  <conditionalFormatting sqref="BD25">
    <cfRule type="cellIs" dxfId="18948" priority="139458" stopIfTrue="1" operator="equal">
      <formula>-1</formula>
    </cfRule>
  </conditionalFormatting>
  <conditionalFormatting sqref="BD25">
    <cfRule type="cellIs" dxfId="18947" priority="139459" stopIfTrue="1" operator="lessThan">
      <formula>0.5</formula>
    </cfRule>
  </conditionalFormatting>
  <conditionalFormatting sqref="BD25">
    <cfRule type="cellIs" dxfId="18946" priority="139460" stopIfTrue="1" operator="greaterThanOrEqual">
      <formula>0.5</formula>
    </cfRule>
  </conditionalFormatting>
  <conditionalFormatting sqref="BD26">
    <cfRule type="cellIs" dxfId="18945" priority="139461" stopIfTrue="1" operator="equal">
      <formula>-1</formula>
    </cfRule>
  </conditionalFormatting>
  <conditionalFormatting sqref="BD26">
    <cfRule type="cellIs" dxfId="18944" priority="139462" stopIfTrue="1" operator="lessThan">
      <formula>0.5</formula>
    </cfRule>
  </conditionalFormatting>
  <conditionalFormatting sqref="BD26">
    <cfRule type="cellIs" dxfId="18943" priority="139463" stopIfTrue="1" operator="greaterThanOrEqual">
      <formula>0.5</formula>
    </cfRule>
  </conditionalFormatting>
  <conditionalFormatting sqref="BD27">
    <cfRule type="cellIs" dxfId="18942" priority="139464" stopIfTrue="1" operator="equal">
      <formula>-1</formula>
    </cfRule>
  </conditionalFormatting>
  <conditionalFormatting sqref="BD27">
    <cfRule type="cellIs" dxfId="18941" priority="139465" stopIfTrue="1" operator="lessThan">
      <formula>0.5</formula>
    </cfRule>
  </conditionalFormatting>
  <conditionalFormatting sqref="BD27">
    <cfRule type="cellIs" dxfId="18940" priority="139466" stopIfTrue="1" operator="greaterThanOrEqual">
      <formula>0.5</formula>
    </cfRule>
  </conditionalFormatting>
  <conditionalFormatting sqref="BD28">
    <cfRule type="cellIs" dxfId="18939" priority="139467" stopIfTrue="1" operator="equal">
      <formula>-1</formula>
    </cfRule>
  </conditionalFormatting>
  <conditionalFormatting sqref="BD28">
    <cfRule type="cellIs" dxfId="18938" priority="139468" stopIfTrue="1" operator="lessThan">
      <formula>0.5</formula>
    </cfRule>
  </conditionalFormatting>
  <conditionalFormatting sqref="BD28">
    <cfRule type="cellIs" dxfId="18937" priority="139469" stopIfTrue="1" operator="greaterThanOrEqual">
      <formula>0.5</formula>
    </cfRule>
  </conditionalFormatting>
  <conditionalFormatting sqref="BD29">
    <cfRule type="cellIs" dxfId="18936" priority="139470" stopIfTrue="1" operator="equal">
      <formula>-1</formula>
    </cfRule>
  </conditionalFormatting>
  <conditionalFormatting sqref="BD29">
    <cfRule type="cellIs" dxfId="18935" priority="139471" stopIfTrue="1" operator="lessThan">
      <formula>0.5</formula>
    </cfRule>
  </conditionalFormatting>
  <conditionalFormatting sqref="BD29">
    <cfRule type="cellIs" dxfId="18934" priority="139472" stopIfTrue="1" operator="greaterThanOrEqual">
      <formula>0.5</formula>
    </cfRule>
  </conditionalFormatting>
  <conditionalFormatting sqref="BD30">
    <cfRule type="cellIs" dxfId="18933" priority="139473" stopIfTrue="1" operator="equal">
      <formula>-1</formula>
    </cfRule>
  </conditionalFormatting>
  <conditionalFormatting sqref="BD30">
    <cfRule type="cellIs" dxfId="18932" priority="139474" stopIfTrue="1" operator="lessThan">
      <formula>0.5</formula>
    </cfRule>
  </conditionalFormatting>
  <conditionalFormatting sqref="BD30">
    <cfRule type="cellIs" dxfId="18931" priority="139475" stopIfTrue="1" operator="greaterThanOrEqual">
      <formula>0.5</formula>
    </cfRule>
  </conditionalFormatting>
  <conditionalFormatting sqref="BD31">
    <cfRule type="cellIs" dxfId="18930" priority="139476" stopIfTrue="1" operator="equal">
      <formula>-1</formula>
    </cfRule>
  </conditionalFormatting>
  <conditionalFormatting sqref="BD31">
    <cfRule type="cellIs" dxfId="18929" priority="139477" stopIfTrue="1" operator="lessThan">
      <formula>0.5</formula>
    </cfRule>
  </conditionalFormatting>
  <conditionalFormatting sqref="BD31">
    <cfRule type="cellIs" dxfId="18928" priority="139478" stopIfTrue="1" operator="greaterThanOrEqual">
      <formula>0.5</formula>
    </cfRule>
  </conditionalFormatting>
  <conditionalFormatting sqref="BD32">
    <cfRule type="cellIs" dxfId="18927" priority="139479" stopIfTrue="1" operator="equal">
      <formula>-1</formula>
    </cfRule>
  </conditionalFormatting>
  <conditionalFormatting sqref="BD32">
    <cfRule type="cellIs" dxfId="18926" priority="139480" stopIfTrue="1" operator="lessThan">
      <formula>0.5</formula>
    </cfRule>
  </conditionalFormatting>
  <conditionalFormatting sqref="BD32">
    <cfRule type="cellIs" dxfId="18925" priority="139481" stopIfTrue="1" operator="greaterThanOrEqual">
      <formula>0.5</formula>
    </cfRule>
  </conditionalFormatting>
  <conditionalFormatting sqref="BD33">
    <cfRule type="cellIs" dxfId="18924" priority="139482" stopIfTrue="1" operator="equal">
      <formula>-1</formula>
    </cfRule>
  </conditionalFormatting>
  <conditionalFormatting sqref="BD33">
    <cfRule type="cellIs" dxfId="18923" priority="139483" stopIfTrue="1" operator="lessThan">
      <formula>0.5</formula>
    </cfRule>
  </conditionalFormatting>
  <conditionalFormatting sqref="BD33">
    <cfRule type="cellIs" dxfId="18922" priority="139484" stopIfTrue="1" operator="greaterThanOrEqual">
      <formula>0.5</formula>
    </cfRule>
  </conditionalFormatting>
  <conditionalFormatting sqref="BD34">
    <cfRule type="cellIs" dxfId="18921" priority="139485" stopIfTrue="1" operator="equal">
      <formula>-1</formula>
    </cfRule>
  </conditionalFormatting>
  <conditionalFormatting sqref="BD34">
    <cfRule type="cellIs" dxfId="18920" priority="139486" stopIfTrue="1" operator="lessThan">
      <formula>0.5</formula>
    </cfRule>
  </conditionalFormatting>
  <conditionalFormatting sqref="BD34">
    <cfRule type="cellIs" dxfId="18919" priority="139487" stopIfTrue="1" operator="greaterThanOrEqual">
      <formula>0.5</formula>
    </cfRule>
  </conditionalFormatting>
  <conditionalFormatting sqref="BD35">
    <cfRule type="cellIs" dxfId="18918" priority="139488" stopIfTrue="1" operator="equal">
      <formula>-1</formula>
    </cfRule>
  </conditionalFormatting>
  <conditionalFormatting sqref="BD35">
    <cfRule type="cellIs" dxfId="18917" priority="139489" stopIfTrue="1" operator="lessThan">
      <formula>0.5</formula>
    </cfRule>
  </conditionalFormatting>
  <conditionalFormatting sqref="BD35">
    <cfRule type="cellIs" dxfId="18916" priority="139490" stopIfTrue="1" operator="greaterThanOrEqual">
      <formula>0.5</formula>
    </cfRule>
  </conditionalFormatting>
  <conditionalFormatting sqref="BD36">
    <cfRule type="cellIs" dxfId="18915" priority="139491" stopIfTrue="1" operator="equal">
      <formula>-1</formula>
    </cfRule>
  </conditionalFormatting>
  <conditionalFormatting sqref="BD36">
    <cfRule type="cellIs" dxfId="18914" priority="139492" stopIfTrue="1" operator="lessThan">
      <formula>0.5</formula>
    </cfRule>
  </conditionalFormatting>
  <conditionalFormatting sqref="BD36">
    <cfRule type="cellIs" dxfId="18913" priority="139493" stopIfTrue="1" operator="greaterThanOrEqual">
      <formula>0.5</formula>
    </cfRule>
  </conditionalFormatting>
  <conditionalFormatting sqref="BD37">
    <cfRule type="cellIs" dxfId="18912" priority="139494" stopIfTrue="1" operator="equal">
      <formula>-1</formula>
    </cfRule>
  </conditionalFormatting>
  <conditionalFormatting sqref="BD37">
    <cfRule type="cellIs" dxfId="18911" priority="139495" stopIfTrue="1" operator="lessThan">
      <formula>0.5</formula>
    </cfRule>
  </conditionalFormatting>
  <conditionalFormatting sqref="BD37">
    <cfRule type="cellIs" dxfId="18910" priority="139496" stopIfTrue="1" operator="greaterThanOrEqual">
      <formula>0.5</formula>
    </cfRule>
  </conditionalFormatting>
  <conditionalFormatting sqref="BF17">
    <cfRule type="cellIs" dxfId="18909" priority="139497" stopIfTrue="1" operator="equal">
      <formula>-1</formula>
    </cfRule>
  </conditionalFormatting>
  <conditionalFormatting sqref="BF17">
    <cfRule type="cellIs" dxfId="18908" priority="139498" stopIfTrue="1" operator="lessThan">
      <formula>0.5</formula>
    </cfRule>
  </conditionalFormatting>
  <conditionalFormatting sqref="BF17">
    <cfRule type="cellIs" dxfId="18907" priority="139499" stopIfTrue="1" operator="greaterThanOrEqual">
      <formula>0.5</formula>
    </cfRule>
  </conditionalFormatting>
  <conditionalFormatting sqref="BF18">
    <cfRule type="cellIs" dxfId="18906" priority="139500" stopIfTrue="1" operator="equal">
      <formula>-1</formula>
    </cfRule>
  </conditionalFormatting>
  <conditionalFormatting sqref="BF18">
    <cfRule type="cellIs" dxfId="18905" priority="139501" stopIfTrue="1" operator="lessThan">
      <formula>0.5</formula>
    </cfRule>
  </conditionalFormatting>
  <conditionalFormatting sqref="BF18">
    <cfRule type="cellIs" dxfId="18904" priority="139502" stopIfTrue="1" operator="greaterThanOrEqual">
      <formula>0.5</formula>
    </cfRule>
  </conditionalFormatting>
  <conditionalFormatting sqref="BF19">
    <cfRule type="cellIs" dxfId="18903" priority="139503" stopIfTrue="1" operator="equal">
      <formula>-1</formula>
    </cfRule>
  </conditionalFormatting>
  <conditionalFormatting sqref="BF19">
    <cfRule type="cellIs" dxfId="18902" priority="139504" stopIfTrue="1" operator="lessThan">
      <formula>0.5</formula>
    </cfRule>
  </conditionalFormatting>
  <conditionalFormatting sqref="BF19">
    <cfRule type="cellIs" dxfId="18901" priority="139505" stopIfTrue="1" operator="greaterThanOrEqual">
      <formula>0.5</formula>
    </cfRule>
  </conditionalFormatting>
  <conditionalFormatting sqref="BF20">
    <cfRule type="cellIs" dxfId="18900" priority="139506" stopIfTrue="1" operator="equal">
      <formula>-1</formula>
    </cfRule>
  </conditionalFormatting>
  <conditionalFormatting sqref="BF20">
    <cfRule type="cellIs" dxfId="18899" priority="139507" stopIfTrue="1" operator="lessThan">
      <formula>0.5</formula>
    </cfRule>
  </conditionalFormatting>
  <conditionalFormatting sqref="BF20">
    <cfRule type="cellIs" dxfId="18898" priority="139508" stopIfTrue="1" operator="greaterThanOrEqual">
      <formula>0.5</formula>
    </cfRule>
  </conditionalFormatting>
  <conditionalFormatting sqref="BF21">
    <cfRule type="cellIs" dxfId="18897" priority="139509" stopIfTrue="1" operator="equal">
      <formula>-1</formula>
    </cfRule>
  </conditionalFormatting>
  <conditionalFormatting sqref="BF21">
    <cfRule type="cellIs" dxfId="18896" priority="139510" stopIfTrue="1" operator="lessThan">
      <formula>0.5</formula>
    </cfRule>
  </conditionalFormatting>
  <conditionalFormatting sqref="BF21">
    <cfRule type="cellIs" dxfId="18895" priority="139511" stopIfTrue="1" operator="greaterThanOrEqual">
      <formula>0.5</formula>
    </cfRule>
  </conditionalFormatting>
  <conditionalFormatting sqref="BF22">
    <cfRule type="cellIs" dxfId="18894" priority="139512" stopIfTrue="1" operator="equal">
      <formula>-1</formula>
    </cfRule>
  </conditionalFormatting>
  <conditionalFormatting sqref="BF22">
    <cfRule type="cellIs" dxfId="18893" priority="139513" stopIfTrue="1" operator="lessThan">
      <formula>0.5</formula>
    </cfRule>
  </conditionalFormatting>
  <conditionalFormatting sqref="BF22">
    <cfRule type="cellIs" dxfId="18892" priority="139514" stopIfTrue="1" operator="greaterThanOrEqual">
      <formula>0.5</formula>
    </cfRule>
  </conditionalFormatting>
  <conditionalFormatting sqref="BF23">
    <cfRule type="cellIs" dxfId="18891" priority="139515" stopIfTrue="1" operator="equal">
      <formula>-1</formula>
    </cfRule>
  </conditionalFormatting>
  <conditionalFormatting sqref="BF23">
    <cfRule type="cellIs" dxfId="18890" priority="139516" stopIfTrue="1" operator="lessThan">
      <formula>0.5</formula>
    </cfRule>
  </conditionalFormatting>
  <conditionalFormatting sqref="BF23">
    <cfRule type="cellIs" dxfId="18889" priority="139517" stopIfTrue="1" operator="greaterThanOrEqual">
      <formula>0.5</formula>
    </cfRule>
  </conditionalFormatting>
  <conditionalFormatting sqref="BF24">
    <cfRule type="cellIs" dxfId="18888" priority="139518" stopIfTrue="1" operator="equal">
      <formula>-1</formula>
    </cfRule>
  </conditionalFormatting>
  <conditionalFormatting sqref="BF24">
    <cfRule type="cellIs" dxfId="18887" priority="139519" stopIfTrue="1" operator="lessThan">
      <formula>0.5</formula>
    </cfRule>
  </conditionalFormatting>
  <conditionalFormatting sqref="BF24">
    <cfRule type="cellIs" dxfId="18886" priority="139520" stopIfTrue="1" operator="greaterThanOrEqual">
      <formula>0.5</formula>
    </cfRule>
  </conditionalFormatting>
  <conditionalFormatting sqref="BF25">
    <cfRule type="cellIs" dxfId="18885" priority="139521" stopIfTrue="1" operator="equal">
      <formula>-1</formula>
    </cfRule>
  </conditionalFormatting>
  <conditionalFormatting sqref="BF25">
    <cfRule type="cellIs" dxfId="18884" priority="139522" stopIfTrue="1" operator="lessThan">
      <formula>0.5</formula>
    </cfRule>
  </conditionalFormatting>
  <conditionalFormatting sqref="BF25">
    <cfRule type="cellIs" dxfId="18883" priority="139523" stopIfTrue="1" operator="greaterThanOrEqual">
      <formula>0.5</formula>
    </cfRule>
  </conditionalFormatting>
  <conditionalFormatting sqref="BF26">
    <cfRule type="cellIs" dxfId="18882" priority="139524" stopIfTrue="1" operator="equal">
      <formula>-1</formula>
    </cfRule>
  </conditionalFormatting>
  <conditionalFormatting sqref="BF26">
    <cfRule type="cellIs" dxfId="18881" priority="139525" stopIfTrue="1" operator="lessThan">
      <formula>0.5</formula>
    </cfRule>
  </conditionalFormatting>
  <conditionalFormatting sqref="BF26">
    <cfRule type="cellIs" dxfId="18880" priority="139526" stopIfTrue="1" operator="greaterThanOrEqual">
      <formula>0.5</formula>
    </cfRule>
  </conditionalFormatting>
  <conditionalFormatting sqref="BF27">
    <cfRule type="cellIs" dxfId="18879" priority="139527" stopIfTrue="1" operator="equal">
      <formula>-1</formula>
    </cfRule>
  </conditionalFormatting>
  <conditionalFormatting sqref="BF27">
    <cfRule type="cellIs" dxfId="18878" priority="139528" stopIfTrue="1" operator="lessThan">
      <formula>0.5</formula>
    </cfRule>
  </conditionalFormatting>
  <conditionalFormatting sqref="BF27">
    <cfRule type="cellIs" dxfId="18877" priority="139529" stopIfTrue="1" operator="greaterThanOrEqual">
      <formula>0.5</formula>
    </cfRule>
  </conditionalFormatting>
  <conditionalFormatting sqref="BF28">
    <cfRule type="cellIs" dxfId="18876" priority="139530" stopIfTrue="1" operator="equal">
      <formula>-1</formula>
    </cfRule>
  </conditionalFormatting>
  <conditionalFormatting sqref="BF28">
    <cfRule type="cellIs" dxfId="18875" priority="139531" stopIfTrue="1" operator="lessThan">
      <formula>0.5</formula>
    </cfRule>
  </conditionalFormatting>
  <conditionalFormatting sqref="BF28">
    <cfRule type="cellIs" dxfId="18874" priority="139532" stopIfTrue="1" operator="greaterThanOrEqual">
      <formula>0.5</formula>
    </cfRule>
  </conditionalFormatting>
  <conditionalFormatting sqref="BF29">
    <cfRule type="cellIs" dxfId="18873" priority="139533" stopIfTrue="1" operator="equal">
      <formula>-1</formula>
    </cfRule>
  </conditionalFormatting>
  <conditionalFormatting sqref="BF29">
    <cfRule type="cellIs" dxfId="18872" priority="139534" stopIfTrue="1" operator="lessThan">
      <formula>0.5</formula>
    </cfRule>
  </conditionalFormatting>
  <conditionalFormatting sqref="BF29">
    <cfRule type="cellIs" dxfId="18871" priority="139535" stopIfTrue="1" operator="greaterThanOrEqual">
      <formula>0.5</formula>
    </cfRule>
  </conditionalFormatting>
  <conditionalFormatting sqref="BF30">
    <cfRule type="cellIs" dxfId="18870" priority="139536" stopIfTrue="1" operator="equal">
      <formula>-1</formula>
    </cfRule>
  </conditionalFormatting>
  <conditionalFormatting sqref="BF30">
    <cfRule type="cellIs" dxfId="18869" priority="139537" stopIfTrue="1" operator="lessThan">
      <formula>0.5</formula>
    </cfRule>
  </conditionalFormatting>
  <conditionalFormatting sqref="BF30">
    <cfRule type="cellIs" dxfId="18868" priority="139538" stopIfTrue="1" operator="greaterThanOrEqual">
      <formula>0.5</formula>
    </cfRule>
  </conditionalFormatting>
  <conditionalFormatting sqref="BF31">
    <cfRule type="cellIs" dxfId="18867" priority="139539" stopIfTrue="1" operator="equal">
      <formula>-1</formula>
    </cfRule>
  </conditionalFormatting>
  <conditionalFormatting sqref="BF31">
    <cfRule type="cellIs" dxfId="18866" priority="139540" stopIfTrue="1" operator="lessThan">
      <formula>0.5</formula>
    </cfRule>
  </conditionalFormatting>
  <conditionalFormatting sqref="BF31">
    <cfRule type="cellIs" dxfId="18865" priority="139541" stopIfTrue="1" operator="greaterThanOrEqual">
      <formula>0.5</formula>
    </cfRule>
  </conditionalFormatting>
  <conditionalFormatting sqref="BF32">
    <cfRule type="cellIs" dxfId="18864" priority="139542" stopIfTrue="1" operator="equal">
      <formula>-1</formula>
    </cfRule>
  </conditionalFormatting>
  <conditionalFormatting sqref="BF32">
    <cfRule type="cellIs" dxfId="18863" priority="139543" stopIfTrue="1" operator="lessThan">
      <formula>0.5</formula>
    </cfRule>
  </conditionalFormatting>
  <conditionalFormatting sqref="BF32">
    <cfRule type="cellIs" dxfId="18862" priority="139544" stopIfTrue="1" operator="greaterThanOrEqual">
      <formula>0.5</formula>
    </cfRule>
  </conditionalFormatting>
  <conditionalFormatting sqref="BF33">
    <cfRule type="cellIs" dxfId="18861" priority="139545" stopIfTrue="1" operator="equal">
      <formula>-1</formula>
    </cfRule>
  </conditionalFormatting>
  <conditionalFormatting sqref="BF33">
    <cfRule type="cellIs" dxfId="18860" priority="139546" stopIfTrue="1" operator="lessThan">
      <formula>0.5</formula>
    </cfRule>
  </conditionalFormatting>
  <conditionalFormatting sqref="BF33">
    <cfRule type="cellIs" dxfId="18859" priority="139547" stopIfTrue="1" operator="greaterThanOrEqual">
      <formula>0.5</formula>
    </cfRule>
  </conditionalFormatting>
  <conditionalFormatting sqref="BF34">
    <cfRule type="cellIs" dxfId="18858" priority="139548" stopIfTrue="1" operator="equal">
      <formula>-1</formula>
    </cfRule>
  </conditionalFormatting>
  <conditionalFormatting sqref="BF34">
    <cfRule type="cellIs" dxfId="18857" priority="139549" stopIfTrue="1" operator="lessThan">
      <formula>0.5</formula>
    </cfRule>
  </conditionalFormatting>
  <conditionalFormatting sqref="BF34">
    <cfRule type="cellIs" dxfId="18856" priority="139550" stopIfTrue="1" operator="greaterThanOrEqual">
      <formula>0.5</formula>
    </cfRule>
  </conditionalFormatting>
  <conditionalFormatting sqref="BF35">
    <cfRule type="cellIs" dxfId="18855" priority="139551" stopIfTrue="1" operator="equal">
      <formula>-1</formula>
    </cfRule>
  </conditionalFormatting>
  <conditionalFormatting sqref="BF35">
    <cfRule type="cellIs" dxfId="18854" priority="139552" stopIfTrue="1" operator="lessThan">
      <formula>0.5</formula>
    </cfRule>
  </conditionalFormatting>
  <conditionalFormatting sqref="BF35">
    <cfRule type="cellIs" dxfId="18853" priority="139553" stopIfTrue="1" operator="greaterThanOrEqual">
      <formula>0.5</formula>
    </cfRule>
  </conditionalFormatting>
  <conditionalFormatting sqref="BF36">
    <cfRule type="cellIs" dxfId="18852" priority="139554" stopIfTrue="1" operator="equal">
      <formula>-1</formula>
    </cfRule>
  </conditionalFormatting>
  <conditionalFormatting sqref="BF36">
    <cfRule type="cellIs" dxfId="18851" priority="139555" stopIfTrue="1" operator="lessThan">
      <formula>0.5</formula>
    </cfRule>
  </conditionalFormatting>
  <conditionalFormatting sqref="BF36">
    <cfRule type="cellIs" dxfId="18850" priority="139556" stopIfTrue="1" operator="greaterThanOrEqual">
      <formula>0.5</formula>
    </cfRule>
  </conditionalFormatting>
  <conditionalFormatting sqref="BF37">
    <cfRule type="cellIs" dxfId="18849" priority="139557" stopIfTrue="1" operator="equal">
      <formula>-1</formula>
    </cfRule>
  </conditionalFormatting>
  <conditionalFormatting sqref="BF37">
    <cfRule type="cellIs" dxfId="18848" priority="139558" stopIfTrue="1" operator="lessThan">
      <formula>0.5</formula>
    </cfRule>
  </conditionalFormatting>
  <conditionalFormatting sqref="BF37">
    <cfRule type="cellIs" dxfId="18847" priority="139559" stopIfTrue="1" operator="greaterThanOrEqual">
      <formula>0.5</formula>
    </cfRule>
  </conditionalFormatting>
  <conditionalFormatting sqref="BH17">
    <cfRule type="cellIs" dxfId="18846" priority="139560" stopIfTrue="1" operator="equal">
      <formula>-1</formula>
    </cfRule>
  </conditionalFormatting>
  <conditionalFormatting sqref="BH17">
    <cfRule type="cellIs" dxfId="18845" priority="139561" stopIfTrue="1" operator="lessThan">
      <formula>0.5</formula>
    </cfRule>
  </conditionalFormatting>
  <conditionalFormatting sqref="BH17">
    <cfRule type="cellIs" dxfId="18844" priority="139562" stopIfTrue="1" operator="greaterThanOrEqual">
      <formula>0.5</formula>
    </cfRule>
  </conditionalFormatting>
  <conditionalFormatting sqref="BH18">
    <cfRule type="cellIs" dxfId="18843" priority="139563" stopIfTrue="1" operator="equal">
      <formula>-1</formula>
    </cfRule>
  </conditionalFormatting>
  <conditionalFormatting sqref="BH18">
    <cfRule type="cellIs" dxfId="18842" priority="139564" stopIfTrue="1" operator="lessThan">
      <formula>0.5</formula>
    </cfRule>
  </conditionalFormatting>
  <conditionalFormatting sqref="BH18">
    <cfRule type="cellIs" dxfId="18841" priority="139565" stopIfTrue="1" operator="greaterThanOrEqual">
      <formula>0.5</formula>
    </cfRule>
  </conditionalFormatting>
  <conditionalFormatting sqref="BH19">
    <cfRule type="cellIs" dxfId="18840" priority="139566" stopIfTrue="1" operator="equal">
      <formula>-1</formula>
    </cfRule>
  </conditionalFormatting>
  <conditionalFormatting sqref="BH19">
    <cfRule type="cellIs" dxfId="18839" priority="139567" stopIfTrue="1" operator="lessThan">
      <formula>0.5</formula>
    </cfRule>
  </conditionalFormatting>
  <conditionalFormatting sqref="BH19">
    <cfRule type="cellIs" dxfId="18838" priority="139568" stopIfTrue="1" operator="greaterThanOrEqual">
      <formula>0.5</formula>
    </cfRule>
  </conditionalFormatting>
  <conditionalFormatting sqref="BH20">
    <cfRule type="cellIs" dxfId="18837" priority="139569" stopIfTrue="1" operator="equal">
      <formula>-1</formula>
    </cfRule>
  </conditionalFormatting>
  <conditionalFormatting sqref="BH20">
    <cfRule type="cellIs" dxfId="18836" priority="139570" stopIfTrue="1" operator="lessThan">
      <formula>0.5</formula>
    </cfRule>
  </conditionalFormatting>
  <conditionalFormatting sqref="BH20">
    <cfRule type="cellIs" dxfId="18835" priority="139571" stopIfTrue="1" operator="greaterThanOrEqual">
      <formula>0.5</formula>
    </cfRule>
  </conditionalFormatting>
  <conditionalFormatting sqref="BH21">
    <cfRule type="cellIs" dxfId="18834" priority="139572" stopIfTrue="1" operator="equal">
      <formula>-1</formula>
    </cfRule>
  </conditionalFormatting>
  <conditionalFormatting sqref="BH21">
    <cfRule type="cellIs" dxfId="18833" priority="139573" stopIfTrue="1" operator="lessThan">
      <formula>0.5</formula>
    </cfRule>
  </conditionalFormatting>
  <conditionalFormatting sqref="BH21">
    <cfRule type="cellIs" dxfId="18832" priority="139574" stopIfTrue="1" operator="greaterThanOrEqual">
      <formula>0.5</formula>
    </cfRule>
  </conditionalFormatting>
  <conditionalFormatting sqref="BH22">
    <cfRule type="cellIs" dxfId="18831" priority="139575" stopIfTrue="1" operator="equal">
      <formula>-1</formula>
    </cfRule>
  </conditionalFormatting>
  <conditionalFormatting sqref="BH22">
    <cfRule type="cellIs" dxfId="18830" priority="139576" stopIfTrue="1" operator="lessThan">
      <formula>0.5</formula>
    </cfRule>
  </conditionalFormatting>
  <conditionalFormatting sqref="BH22">
    <cfRule type="cellIs" dxfId="18829" priority="139577" stopIfTrue="1" operator="greaterThanOrEqual">
      <formula>0.5</formula>
    </cfRule>
  </conditionalFormatting>
  <conditionalFormatting sqref="BH23">
    <cfRule type="cellIs" dxfId="18828" priority="139578" stopIfTrue="1" operator="equal">
      <formula>-1</formula>
    </cfRule>
  </conditionalFormatting>
  <conditionalFormatting sqref="BH23">
    <cfRule type="cellIs" dxfId="18827" priority="139579" stopIfTrue="1" operator="lessThan">
      <formula>0.5</formula>
    </cfRule>
  </conditionalFormatting>
  <conditionalFormatting sqref="BH23">
    <cfRule type="cellIs" dxfId="18826" priority="139580" stopIfTrue="1" operator="greaterThanOrEqual">
      <formula>0.5</formula>
    </cfRule>
  </conditionalFormatting>
  <conditionalFormatting sqref="BH24">
    <cfRule type="cellIs" dxfId="18825" priority="139581" stopIfTrue="1" operator="equal">
      <formula>-1</formula>
    </cfRule>
  </conditionalFormatting>
  <conditionalFormatting sqref="BH24">
    <cfRule type="cellIs" dxfId="18824" priority="139582" stopIfTrue="1" operator="lessThan">
      <formula>0.5</formula>
    </cfRule>
  </conditionalFormatting>
  <conditionalFormatting sqref="BH24">
    <cfRule type="cellIs" dxfId="18823" priority="139583" stopIfTrue="1" operator="greaterThanOrEqual">
      <formula>0.5</formula>
    </cfRule>
  </conditionalFormatting>
  <conditionalFormatting sqref="BH25">
    <cfRule type="cellIs" dxfId="18822" priority="139584" stopIfTrue="1" operator="equal">
      <formula>-1</formula>
    </cfRule>
  </conditionalFormatting>
  <conditionalFormatting sqref="BH25">
    <cfRule type="cellIs" dxfId="18821" priority="139585" stopIfTrue="1" operator="lessThan">
      <formula>0.5</formula>
    </cfRule>
  </conditionalFormatting>
  <conditionalFormatting sqref="BH25">
    <cfRule type="cellIs" dxfId="18820" priority="139586" stopIfTrue="1" operator="greaterThanOrEqual">
      <formula>0.5</formula>
    </cfRule>
  </conditionalFormatting>
  <conditionalFormatting sqref="BH26">
    <cfRule type="cellIs" dxfId="18819" priority="139587" stopIfTrue="1" operator="equal">
      <formula>-1</formula>
    </cfRule>
  </conditionalFormatting>
  <conditionalFormatting sqref="BH26">
    <cfRule type="cellIs" dxfId="18818" priority="139588" stopIfTrue="1" operator="lessThan">
      <formula>0.5</formula>
    </cfRule>
  </conditionalFormatting>
  <conditionalFormatting sqref="BH26">
    <cfRule type="cellIs" dxfId="18817" priority="139589" stopIfTrue="1" operator="greaterThanOrEqual">
      <formula>0.5</formula>
    </cfRule>
  </conditionalFormatting>
  <conditionalFormatting sqref="BH27">
    <cfRule type="cellIs" dxfId="18816" priority="139590" stopIfTrue="1" operator="equal">
      <formula>-1</formula>
    </cfRule>
  </conditionalFormatting>
  <conditionalFormatting sqref="BH27">
    <cfRule type="cellIs" dxfId="18815" priority="139591" stopIfTrue="1" operator="lessThan">
      <formula>0.5</formula>
    </cfRule>
  </conditionalFormatting>
  <conditionalFormatting sqref="BH27">
    <cfRule type="cellIs" dxfId="18814" priority="139592" stopIfTrue="1" operator="greaterThanOrEqual">
      <formula>0.5</formula>
    </cfRule>
  </conditionalFormatting>
  <conditionalFormatting sqref="BH28">
    <cfRule type="cellIs" dxfId="18813" priority="139593" stopIfTrue="1" operator="equal">
      <formula>-1</formula>
    </cfRule>
  </conditionalFormatting>
  <conditionalFormatting sqref="BH28">
    <cfRule type="cellIs" dxfId="18812" priority="139594" stopIfTrue="1" operator="lessThan">
      <formula>0.5</formula>
    </cfRule>
  </conditionalFormatting>
  <conditionalFormatting sqref="BH28">
    <cfRule type="cellIs" dxfId="18811" priority="139595" stopIfTrue="1" operator="greaterThanOrEqual">
      <formula>0.5</formula>
    </cfRule>
  </conditionalFormatting>
  <conditionalFormatting sqref="BH29">
    <cfRule type="cellIs" dxfId="18810" priority="139596" stopIfTrue="1" operator="equal">
      <formula>-1</formula>
    </cfRule>
  </conditionalFormatting>
  <conditionalFormatting sqref="BH29">
    <cfRule type="cellIs" dxfId="18809" priority="139597" stopIfTrue="1" operator="lessThan">
      <formula>0.5</formula>
    </cfRule>
  </conditionalFormatting>
  <conditionalFormatting sqref="BH29">
    <cfRule type="cellIs" dxfId="18808" priority="139598" stopIfTrue="1" operator="greaterThanOrEqual">
      <formula>0.5</formula>
    </cfRule>
  </conditionalFormatting>
  <conditionalFormatting sqref="BH30">
    <cfRule type="cellIs" dxfId="18807" priority="139599" stopIfTrue="1" operator="equal">
      <formula>-1</formula>
    </cfRule>
  </conditionalFormatting>
  <conditionalFormatting sqref="BH30">
    <cfRule type="cellIs" dxfId="18806" priority="139600" stopIfTrue="1" operator="lessThan">
      <formula>0.5</formula>
    </cfRule>
  </conditionalFormatting>
  <conditionalFormatting sqref="BH30">
    <cfRule type="cellIs" dxfId="18805" priority="139601" stopIfTrue="1" operator="greaterThanOrEqual">
      <formula>0.5</formula>
    </cfRule>
  </conditionalFormatting>
  <conditionalFormatting sqref="BH31">
    <cfRule type="cellIs" dxfId="18804" priority="139602" stopIfTrue="1" operator="equal">
      <formula>-1</formula>
    </cfRule>
  </conditionalFormatting>
  <conditionalFormatting sqref="BH31">
    <cfRule type="cellIs" dxfId="18803" priority="139603" stopIfTrue="1" operator="lessThan">
      <formula>0.5</formula>
    </cfRule>
  </conditionalFormatting>
  <conditionalFormatting sqref="BH31">
    <cfRule type="cellIs" dxfId="18802" priority="139604" stopIfTrue="1" operator="greaterThanOrEqual">
      <formula>0.5</formula>
    </cfRule>
  </conditionalFormatting>
  <conditionalFormatting sqref="BH32">
    <cfRule type="cellIs" dxfId="18801" priority="139605" stopIfTrue="1" operator="equal">
      <formula>-1</formula>
    </cfRule>
  </conditionalFormatting>
  <conditionalFormatting sqref="BH32">
    <cfRule type="cellIs" dxfId="18800" priority="139606" stopIfTrue="1" operator="lessThan">
      <formula>0.5</formula>
    </cfRule>
  </conditionalFormatting>
  <conditionalFormatting sqref="BH32">
    <cfRule type="cellIs" dxfId="18799" priority="139607" stopIfTrue="1" operator="greaterThanOrEqual">
      <formula>0.5</formula>
    </cfRule>
  </conditionalFormatting>
  <conditionalFormatting sqref="BH33">
    <cfRule type="cellIs" dxfId="18798" priority="139608" stopIfTrue="1" operator="equal">
      <formula>-1</formula>
    </cfRule>
  </conditionalFormatting>
  <conditionalFormatting sqref="BH33">
    <cfRule type="cellIs" dxfId="18797" priority="139609" stopIfTrue="1" operator="lessThan">
      <formula>0.5</formula>
    </cfRule>
  </conditionalFormatting>
  <conditionalFormatting sqref="BH33">
    <cfRule type="cellIs" dxfId="18796" priority="139610" stopIfTrue="1" operator="greaterThanOrEqual">
      <formula>0.5</formula>
    </cfRule>
  </conditionalFormatting>
  <conditionalFormatting sqref="BH34">
    <cfRule type="cellIs" dxfId="18795" priority="139611" stopIfTrue="1" operator="equal">
      <formula>-1</formula>
    </cfRule>
  </conditionalFormatting>
  <conditionalFormatting sqref="BH34">
    <cfRule type="cellIs" dxfId="18794" priority="139612" stopIfTrue="1" operator="lessThan">
      <formula>0.5</formula>
    </cfRule>
  </conditionalFormatting>
  <conditionalFormatting sqref="BH34">
    <cfRule type="cellIs" dxfId="18793" priority="139613" stopIfTrue="1" operator="greaterThanOrEqual">
      <formula>0.5</formula>
    </cfRule>
  </conditionalFormatting>
  <conditionalFormatting sqref="BH35">
    <cfRule type="cellIs" dxfId="18792" priority="139614" stopIfTrue="1" operator="equal">
      <formula>-1</formula>
    </cfRule>
  </conditionalFormatting>
  <conditionalFormatting sqref="BH35">
    <cfRule type="cellIs" dxfId="18791" priority="139615" stopIfTrue="1" operator="lessThan">
      <formula>0.5</formula>
    </cfRule>
  </conditionalFormatting>
  <conditionalFormatting sqref="BH35">
    <cfRule type="cellIs" dxfId="18790" priority="139616" stopIfTrue="1" operator="greaterThanOrEqual">
      <formula>0.5</formula>
    </cfRule>
  </conditionalFormatting>
  <conditionalFormatting sqref="BH36">
    <cfRule type="cellIs" dxfId="18789" priority="139617" stopIfTrue="1" operator="equal">
      <formula>-1</formula>
    </cfRule>
  </conditionalFormatting>
  <conditionalFormatting sqref="BH36">
    <cfRule type="cellIs" dxfId="18788" priority="139618" stopIfTrue="1" operator="lessThan">
      <formula>0.5</formula>
    </cfRule>
  </conditionalFormatting>
  <conditionalFormatting sqref="BH36">
    <cfRule type="cellIs" dxfId="18787" priority="139619" stopIfTrue="1" operator="greaterThanOrEqual">
      <formula>0.5</formula>
    </cfRule>
  </conditionalFormatting>
  <conditionalFormatting sqref="BH37">
    <cfRule type="cellIs" dxfId="18786" priority="139620" stopIfTrue="1" operator="equal">
      <formula>-1</formula>
    </cfRule>
  </conditionalFormatting>
  <conditionalFormatting sqref="BH37">
    <cfRule type="cellIs" dxfId="18785" priority="139621" stopIfTrue="1" operator="lessThan">
      <formula>0.5</formula>
    </cfRule>
  </conditionalFormatting>
  <conditionalFormatting sqref="BH37">
    <cfRule type="cellIs" dxfId="18784" priority="139622" stopIfTrue="1" operator="greaterThanOrEqual">
      <formula>0.5</formula>
    </cfRule>
  </conditionalFormatting>
  <conditionalFormatting sqref="BJ17">
    <cfRule type="cellIs" dxfId="18783" priority="139623" stopIfTrue="1" operator="equal">
      <formula>-1</formula>
    </cfRule>
  </conditionalFormatting>
  <conditionalFormatting sqref="BJ17">
    <cfRule type="cellIs" dxfId="18782" priority="139624" stopIfTrue="1" operator="lessThan">
      <formula>0.5</formula>
    </cfRule>
  </conditionalFormatting>
  <conditionalFormatting sqref="BJ17">
    <cfRule type="cellIs" dxfId="18781" priority="139625" stopIfTrue="1" operator="greaterThanOrEqual">
      <formula>0.5</formula>
    </cfRule>
  </conditionalFormatting>
  <conditionalFormatting sqref="BJ18">
    <cfRule type="cellIs" dxfId="18780" priority="139626" stopIfTrue="1" operator="equal">
      <formula>-1</formula>
    </cfRule>
  </conditionalFormatting>
  <conditionalFormatting sqref="BJ18">
    <cfRule type="cellIs" dxfId="18779" priority="139627" stopIfTrue="1" operator="lessThan">
      <formula>0.5</formula>
    </cfRule>
  </conditionalFormatting>
  <conditionalFormatting sqref="BJ18">
    <cfRule type="cellIs" dxfId="18778" priority="139628" stopIfTrue="1" operator="greaterThanOrEqual">
      <formula>0.5</formula>
    </cfRule>
  </conditionalFormatting>
  <conditionalFormatting sqref="BJ19">
    <cfRule type="cellIs" dxfId="18777" priority="139629" stopIfTrue="1" operator="equal">
      <formula>-1</formula>
    </cfRule>
  </conditionalFormatting>
  <conditionalFormatting sqref="BJ19">
    <cfRule type="cellIs" dxfId="18776" priority="139630" stopIfTrue="1" operator="lessThan">
      <formula>0.5</formula>
    </cfRule>
  </conditionalFormatting>
  <conditionalFormatting sqref="BJ19">
    <cfRule type="cellIs" dxfId="18775" priority="139631" stopIfTrue="1" operator="greaterThanOrEqual">
      <formula>0.5</formula>
    </cfRule>
  </conditionalFormatting>
  <conditionalFormatting sqref="BJ20">
    <cfRule type="cellIs" dxfId="18774" priority="139632" stopIfTrue="1" operator="equal">
      <formula>-1</formula>
    </cfRule>
  </conditionalFormatting>
  <conditionalFormatting sqref="BJ20">
    <cfRule type="cellIs" dxfId="18773" priority="139633" stopIfTrue="1" operator="lessThan">
      <formula>0.5</formula>
    </cfRule>
  </conditionalFormatting>
  <conditionalFormatting sqref="BJ20">
    <cfRule type="cellIs" dxfId="18772" priority="139634" stopIfTrue="1" operator="greaterThanOrEqual">
      <formula>0.5</formula>
    </cfRule>
  </conditionalFormatting>
  <conditionalFormatting sqref="BJ21">
    <cfRule type="cellIs" dxfId="18771" priority="139635" stopIfTrue="1" operator="equal">
      <formula>-1</formula>
    </cfRule>
  </conditionalFormatting>
  <conditionalFormatting sqref="BJ21">
    <cfRule type="cellIs" dxfId="18770" priority="139636" stopIfTrue="1" operator="lessThan">
      <formula>0.5</formula>
    </cfRule>
  </conditionalFormatting>
  <conditionalFormatting sqref="BJ21">
    <cfRule type="cellIs" dxfId="18769" priority="139637" stopIfTrue="1" operator="greaterThanOrEqual">
      <formula>0.5</formula>
    </cfRule>
  </conditionalFormatting>
  <conditionalFormatting sqref="BJ22">
    <cfRule type="cellIs" dxfId="18768" priority="139638" stopIfTrue="1" operator="equal">
      <formula>-1</formula>
    </cfRule>
  </conditionalFormatting>
  <conditionalFormatting sqref="BJ22">
    <cfRule type="cellIs" dxfId="18767" priority="139639" stopIfTrue="1" operator="lessThan">
      <formula>0.5</formula>
    </cfRule>
  </conditionalFormatting>
  <conditionalFormatting sqref="BJ22">
    <cfRule type="cellIs" dxfId="18766" priority="139640" stopIfTrue="1" operator="greaterThanOrEqual">
      <formula>0.5</formula>
    </cfRule>
  </conditionalFormatting>
  <conditionalFormatting sqref="BJ23">
    <cfRule type="cellIs" dxfId="18765" priority="139641" stopIfTrue="1" operator="equal">
      <formula>-1</formula>
    </cfRule>
  </conditionalFormatting>
  <conditionalFormatting sqref="BJ23">
    <cfRule type="cellIs" dxfId="18764" priority="139642" stopIfTrue="1" operator="lessThan">
      <formula>0.5</formula>
    </cfRule>
  </conditionalFormatting>
  <conditionalFormatting sqref="BJ23">
    <cfRule type="cellIs" dxfId="18763" priority="139643" stopIfTrue="1" operator="greaterThanOrEqual">
      <formula>0.5</formula>
    </cfRule>
  </conditionalFormatting>
  <conditionalFormatting sqref="BJ24">
    <cfRule type="cellIs" dxfId="18762" priority="139644" stopIfTrue="1" operator="equal">
      <formula>-1</formula>
    </cfRule>
  </conditionalFormatting>
  <conditionalFormatting sqref="BJ24">
    <cfRule type="cellIs" dxfId="18761" priority="139645" stopIfTrue="1" operator="lessThan">
      <formula>0.5</formula>
    </cfRule>
  </conditionalFormatting>
  <conditionalFormatting sqref="BJ24">
    <cfRule type="cellIs" dxfId="18760" priority="139646" stopIfTrue="1" operator="greaterThanOrEqual">
      <formula>0.5</formula>
    </cfRule>
  </conditionalFormatting>
  <conditionalFormatting sqref="BJ25">
    <cfRule type="cellIs" dxfId="18759" priority="139647" stopIfTrue="1" operator="equal">
      <formula>-1</formula>
    </cfRule>
  </conditionalFormatting>
  <conditionalFormatting sqref="BJ25">
    <cfRule type="cellIs" dxfId="18758" priority="139648" stopIfTrue="1" operator="lessThan">
      <formula>0.5</formula>
    </cfRule>
  </conditionalFormatting>
  <conditionalFormatting sqref="BJ25">
    <cfRule type="cellIs" dxfId="18757" priority="139649" stopIfTrue="1" operator="greaterThanOrEqual">
      <formula>0.5</formula>
    </cfRule>
  </conditionalFormatting>
  <conditionalFormatting sqref="BJ26">
    <cfRule type="cellIs" dxfId="18756" priority="139650" stopIfTrue="1" operator="equal">
      <formula>-1</formula>
    </cfRule>
  </conditionalFormatting>
  <conditionalFormatting sqref="BJ26">
    <cfRule type="cellIs" dxfId="18755" priority="139651" stopIfTrue="1" operator="lessThan">
      <formula>0.5</formula>
    </cfRule>
  </conditionalFormatting>
  <conditionalFormatting sqref="BJ26">
    <cfRule type="cellIs" dxfId="18754" priority="139652" stopIfTrue="1" operator="greaterThanOrEqual">
      <formula>0.5</formula>
    </cfRule>
  </conditionalFormatting>
  <conditionalFormatting sqref="BJ27">
    <cfRule type="cellIs" dxfId="18753" priority="139653" stopIfTrue="1" operator="equal">
      <formula>-1</formula>
    </cfRule>
  </conditionalFormatting>
  <conditionalFormatting sqref="BJ27">
    <cfRule type="cellIs" dxfId="18752" priority="139654" stopIfTrue="1" operator="lessThan">
      <formula>0.5</formula>
    </cfRule>
  </conditionalFormatting>
  <conditionalFormatting sqref="BJ27">
    <cfRule type="cellIs" dxfId="18751" priority="139655" stopIfTrue="1" operator="greaterThanOrEqual">
      <formula>0.5</formula>
    </cfRule>
  </conditionalFormatting>
  <conditionalFormatting sqref="BJ28">
    <cfRule type="cellIs" dxfId="18750" priority="139656" stopIfTrue="1" operator="equal">
      <formula>-1</formula>
    </cfRule>
  </conditionalFormatting>
  <conditionalFormatting sqref="BJ28">
    <cfRule type="cellIs" dxfId="18749" priority="139657" stopIfTrue="1" operator="lessThan">
      <formula>0.5</formula>
    </cfRule>
  </conditionalFormatting>
  <conditionalFormatting sqref="BJ28">
    <cfRule type="cellIs" dxfId="18748" priority="139658" stopIfTrue="1" operator="greaterThanOrEqual">
      <formula>0.5</formula>
    </cfRule>
  </conditionalFormatting>
  <conditionalFormatting sqref="BJ29">
    <cfRule type="cellIs" dxfId="18747" priority="139659" stopIfTrue="1" operator="equal">
      <formula>-1</formula>
    </cfRule>
  </conditionalFormatting>
  <conditionalFormatting sqref="BJ29">
    <cfRule type="cellIs" dxfId="18746" priority="139660" stopIfTrue="1" operator="lessThan">
      <formula>0.5</formula>
    </cfRule>
  </conditionalFormatting>
  <conditionalFormatting sqref="BJ29">
    <cfRule type="cellIs" dxfId="18745" priority="139661" stopIfTrue="1" operator="greaterThanOrEqual">
      <formula>0.5</formula>
    </cfRule>
  </conditionalFormatting>
  <conditionalFormatting sqref="BJ30">
    <cfRule type="cellIs" dxfId="18744" priority="139662" stopIfTrue="1" operator="equal">
      <formula>-1</formula>
    </cfRule>
  </conditionalFormatting>
  <conditionalFormatting sqref="BJ30">
    <cfRule type="cellIs" dxfId="18743" priority="139663" stopIfTrue="1" operator="lessThan">
      <formula>0.5</formula>
    </cfRule>
  </conditionalFormatting>
  <conditionalFormatting sqref="BJ30">
    <cfRule type="cellIs" dxfId="18742" priority="139664" stopIfTrue="1" operator="greaterThanOrEqual">
      <formula>0.5</formula>
    </cfRule>
  </conditionalFormatting>
  <conditionalFormatting sqref="BJ31">
    <cfRule type="cellIs" dxfId="18741" priority="139665" stopIfTrue="1" operator="equal">
      <formula>-1</formula>
    </cfRule>
  </conditionalFormatting>
  <conditionalFormatting sqref="BJ31">
    <cfRule type="cellIs" dxfId="18740" priority="139666" stopIfTrue="1" operator="lessThan">
      <formula>0.5</formula>
    </cfRule>
  </conditionalFormatting>
  <conditionalFormatting sqref="BJ31">
    <cfRule type="cellIs" dxfId="18739" priority="139667" stopIfTrue="1" operator="greaterThanOrEqual">
      <formula>0.5</formula>
    </cfRule>
  </conditionalFormatting>
  <conditionalFormatting sqref="BJ32">
    <cfRule type="cellIs" dxfId="18738" priority="139668" stopIfTrue="1" operator="equal">
      <formula>-1</formula>
    </cfRule>
  </conditionalFormatting>
  <conditionalFormatting sqref="BJ32">
    <cfRule type="cellIs" dxfId="18737" priority="139669" stopIfTrue="1" operator="lessThan">
      <formula>0.5</formula>
    </cfRule>
  </conditionalFormatting>
  <conditionalFormatting sqref="BJ32">
    <cfRule type="cellIs" dxfId="18736" priority="139670" stopIfTrue="1" operator="greaterThanOrEqual">
      <formula>0.5</formula>
    </cfRule>
  </conditionalFormatting>
  <conditionalFormatting sqref="BJ33">
    <cfRule type="cellIs" dxfId="18735" priority="139671" stopIfTrue="1" operator="equal">
      <formula>-1</formula>
    </cfRule>
  </conditionalFormatting>
  <conditionalFormatting sqref="BJ33">
    <cfRule type="cellIs" dxfId="18734" priority="139672" stopIfTrue="1" operator="lessThan">
      <formula>0.5</formula>
    </cfRule>
  </conditionalFormatting>
  <conditionalFormatting sqref="BJ33">
    <cfRule type="cellIs" dxfId="18733" priority="139673" stopIfTrue="1" operator="greaterThanOrEqual">
      <formula>0.5</formula>
    </cfRule>
  </conditionalFormatting>
  <conditionalFormatting sqref="BJ34">
    <cfRule type="cellIs" dxfId="18732" priority="139674" stopIfTrue="1" operator="equal">
      <formula>-1</formula>
    </cfRule>
  </conditionalFormatting>
  <conditionalFormatting sqref="BJ34">
    <cfRule type="cellIs" dxfId="18731" priority="139675" stopIfTrue="1" operator="lessThan">
      <formula>0.5</formula>
    </cfRule>
  </conditionalFormatting>
  <conditionalFormatting sqref="BJ34">
    <cfRule type="cellIs" dxfId="18730" priority="139676" stopIfTrue="1" operator="greaterThanOrEqual">
      <formula>0.5</formula>
    </cfRule>
  </conditionalFormatting>
  <conditionalFormatting sqref="BJ35">
    <cfRule type="cellIs" dxfId="18729" priority="139677" stopIfTrue="1" operator="equal">
      <formula>-1</formula>
    </cfRule>
  </conditionalFormatting>
  <conditionalFormatting sqref="BJ35">
    <cfRule type="cellIs" dxfId="18728" priority="139678" stopIfTrue="1" operator="lessThan">
      <formula>0.5</formula>
    </cfRule>
  </conditionalFormatting>
  <conditionalFormatting sqref="BJ35">
    <cfRule type="cellIs" dxfId="18727" priority="139679" stopIfTrue="1" operator="greaterThanOrEqual">
      <formula>0.5</formula>
    </cfRule>
  </conditionalFormatting>
  <conditionalFormatting sqref="BJ36">
    <cfRule type="cellIs" dxfId="18726" priority="139680" stopIfTrue="1" operator="equal">
      <formula>-1</formula>
    </cfRule>
  </conditionalFormatting>
  <conditionalFormatting sqref="BJ36">
    <cfRule type="cellIs" dxfId="18725" priority="139681" stopIfTrue="1" operator="lessThan">
      <formula>0.5</formula>
    </cfRule>
  </conditionalFormatting>
  <conditionalFormatting sqref="BJ36">
    <cfRule type="cellIs" dxfId="18724" priority="139682" stopIfTrue="1" operator="greaterThanOrEqual">
      <formula>0.5</formula>
    </cfRule>
  </conditionalFormatting>
  <conditionalFormatting sqref="BJ37">
    <cfRule type="cellIs" dxfId="18723" priority="139683" stopIfTrue="1" operator="equal">
      <formula>-1</formula>
    </cfRule>
  </conditionalFormatting>
  <conditionalFormatting sqref="BJ37">
    <cfRule type="cellIs" dxfId="18722" priority="139684" stopIfTrue="1" operator="lessThan">
      <formula>0.5</formula>
    </cfRule>
  </conditionalFormatting>
  <conditionalFormatting sqref="BJ37">
    <cfRule type="cellIs" dxfId="18721" priority="139685" stopIfTrue="1" operator="greaterThanOrEqual">
      <formula>0.5</formula>
    </cfRule>
  </conditionalFormatting>
  <conditionalFormatting sqref="D39">
    <cfRule type="cellIs" dxfId="18720" priority="139686" stopIfTrue="1" operator="equal">
      <formula>-1</formula>
    </cfRule>
  </conditionalFormatting>
  <conditionalFormatting sqref="D39">
    <cfRule type="cellIs" dxfId="18719" priority="139687" stopIfTrue="1" operator="lessThan">
      <formula>0.5</formula>
    </cfRule>
  </conditionalFormatting>
  <conditionalFormatting sqref="D39">
    <cfRule type="cellIs" dxfId="18718" priority="139688" stopIfTrue="1" operator="greaterThanOrEqual">
      <formula>0.5</formula>
    </cfRule>
  </conditionalFormatting>
  <conditionalFormatting sqref="D40">
    <cfRule type="cellIs" dxfId="18717" priority="139689" stopIfTrue="1" operator="equal">
      <formula>-1</formula>
    </cfRule>
  </conditionalFormatting>
  <conditionalFormatting sqref="D40">
    <cfRule type="cellIs" dxfId="18716" priority="139690" stopIfTrue="1" operator="lessThan">
      <formula>0.5</formula>
    </cfRule>
  </conditionalFormatting>
  <conditionalFormatting sqref="D40">
    <cfRule type="cellIs" dxfId="18715" priority="139691" stopIfTrue="1" operator="greaterThanOrEqual">
      <formula>0.5</formula>
    </cfRule>
  </conditionalFormatting>
  <conditionalFormatting sqref="D41">
    <cfRule type="cellIs" dxfId="18714" priority="139692" stopIfTrue="1" operator="equal">
      <formula>-1</formula>
    </cfRule>
  </conditionalFormatting>
  <conditionalFormatting sqref="D41">
    <cfRule type="cellIs" dxfId="18713" priority="139693" stopIfTrue="1" operator="lessThan">
      <formula>0.5</formula>
    </cfRule>
  </conditionalFormatting>
  <conditionalFormatting sqref="D41">
    <cfRule type="cellIs" dxfId="18712" priority="139694" stopIfTrue="1" operator="greaterThanOrEqual">
      <formula>0.5</formula>
    </cfRule>
  </conditionalFormatting>
  <conditionalFormatting sqref="D42">
    <cfRule type="cellIs" dxfId="18711" priority="139695" stopIfTrue="1" operator="equal">
      <formula>-1</formula>
    </cfRule>
  </conditionalFormatting>
  <conditionalFormatting sqref="D42">
    <cfRule type="cellIs" dxfId="18710" priority="139696" stopIfTrue="1" operator="lessThan">
      <formula>0.5</formula>
    </cfRule>
  </conditionalFormatting>
  <conditionalFormatting sqref="D42">
    <cfRule type="cellIs" dxfId="18709" priority="139697" stopIfTrue="1" operator="greaterThanOrEqual">
      <formula>0.5</formula>
    </cfRule>
  </conditionalFormatting>
  <conditionalFormatting sqref="D43">
    <cfRule type="cellIs" dxfId="18708" priority="139698" stopIfTrue="1" operator="equal">
      <formula>-1</formula>
    </cfRule>
  </conditionalFormatting>
  <conditionalFormatting sqref="D43">
    <cfRule type="cellIs" dxfId="18707" priority="139699" stopIfTrue="1" operator="lessThan">
      <formula>0.5</formula>
    </cfRule>
  </conditionalFormatting>
  <conditionalFormatting sqref="D43">
    <cfRule type="cellIs" dxfId="18706" priority="139700" stopIfTrue="1" operator="greaterThanOrEqual">
      <formula>0.5</formula>
    </cfRule>
  </conditionalFormatting>
  <conditionalFormatting sqref="D44">
    <cfRule type="cellIs" dxfId="18705" priority="139701" stopIfTrue="1" operator="equal">
      <formula>-1</formula>
    </cfRule>
  </conditionalFormatting>
  <conditionalFormatting sqref="D44">
    <cfRule type="cellIs" dxfId="18704" priority="139702" stopIfTrue="1" operator="lessThan">
      <formula>0.5</formula>
    </cfRule>
  </conditionalFormatting>
  <conditionalFormatting sqref="D44">
    <cfRule type="cellIs" dxfId="18703" priority="139703" stopIfTrue="1" operator="greaterThanOrEqual">
      <formula>0.5</formula>
    </cfRule>
  </conditionalFormatting>
  <conditionalFormatting sqref="D45">
    <cfRule type="cellIs" dxfId="18702" priority="139704" stopIfTrue="1" operator="equal">
      <formula>-1</formula>
    </cfRule>
  </conditionalFormatting>
  <conditionalFormatting sqref="D45">
    <cfRule type="cellIs" dxfId="18701" priority="139705" stopIfTrue="1" operator="lessThan">
      <formula>0.5</formula>
    </cfRule>
  </conditionalFormatting>
  <conditionalFormatting sqref="D45">
    <cfRule type="cellIs" dxfId="18700" priority="139706" stopIfTrue="1" operator="greaterThanOrEqual">
      <formula>0.5</formula>
    </cfRule>
  </conditionalFormatting>
  <conditionalFormatting sqref="D46">
    <cfRule type="cellIs" dxfId="18699" priority="139707" stopIfTrue="1" operator="equal">
      <formula>-1</formula>
    </cfRule>
  </conditionalFormatting>
  <conditionalFormatting sqref="D46">
    <cfRule type="cellIs" dxfId="18698" priority="139708" stopIfTrue="1" operator="lessThan">
      <formula>0.5</formula>
    </cfRule>
  </conditionalFormatting>
  <conditionalFormatting sqref="D46">
    <cfRule type="cellIs" dxfId="18697" priority="139709" stopIfTrue="1" operator="greaterThanOrEqual">
      <formula>0.5</formula>
    </cfRule>
  </conditionalFormatting>
  <conditionalFormatting sqref="D47">
    <cfRule type="cellIs" dxfId="18696" priority="139710" stopIfTrue="1" operator="equal">
      <formula>-1</formula>
    </cfRule>
  </conditionalFormatting>
  <conditionalFormatting sqref="D47">
    <cfRule type="cellIs" dxfId="18695" priority="139711" stopIfTrue="1" operator="lessThan">
      <formula>0.5</formula>
    </cfRule>
  </conditionalFormatting>
  <conditionalFormatting sqref="D47">
    <cfRule type="cellIs" dxfId="18694" priority="139712" stopIfTrue="1" operator="greaterThanOrEqual">
      <formula>0.5</formula>
    </cfRule>
  </conditionalFormatting>
  <conditionalFormatting sqref="D48">
    <cfRule type="cellIs" dxfId="18693" priority="139713" stopIfTrue="1" operator="equal">
      <formula>-1</formula>
    </cfRule>
  </conditionalFormatting>
  <conditionalFormatting sqref="D48">
    <cfRule type="cellIs" dxfId="18692" priority="139714" stopIfTrue="1" operator="lessThan">
      <formula>0.5</formula>
    </cfRule>
  </conditionalFormatting>
  <conditionalFormatting sqref="D48">
    <cfRule type="cellIs" dxfId="18691" priority="139715" stopIfTrue="1" operator="greaterThanOrEqual">
      <formula>0.5</formula>
    </cfRule>
  </conditionalFormatting>
  <conditionalFormatting sqref="D49">
    <cfRule type="cellIs" dxfId="18690" priority="139716" stopIfTrue="1" operator="equal">
      <formula>-1</formula>
    </cfRule>
  </conditionalFormatting>
  <conditionalFormatting sqref="D49">
    <cfRule type="cellIs" dxfId="18689" priority="139717" stopIfTrue="1" operator="lessThan">
      <formula>0.5</formula>
    </cfRule>
  </conditionalFormatting>
  <conditionalFormatting sqref="D49">
    <cfRule type="cellIs" dxfId="18688" priority="139718" stopIfTrue="1" operator="greaterThanOrEqual">
      <formula>0.5</formula>
    </cfRule>
  </conditionalFormatting>
  <conditionalFormatting sqref="D50">
    <cfRule type="cellIs" dxfId="18687" priority="139719" stopIfTrue="1" operator="equal">
      <formula>-1</formula>
    </cfRule>
  </conditionalFormatting>
  <conditionalFormatting sqref="D50">
    <cfRule type="cellIs" dxfId="18686" priority="139720" stopIfTrue="1" operator="lessThan">
      <formula>0.5</formula>
    </cfRule>
  </conditionalFormatting>
  <conditionalFormatting sqref="D50">
    <cfRule type="cellIs" dxfId="18685" priority="139721" stopIfTrue="1" operator="greaterThanOrEqual">
      <formula>0.5</formula>
    </cfRule>
  </conditionalFormatting>
  <conditionalFormatting sqref="D51">
    <cfRule type="cellIs" dxfId="18684" priority="139722" stopIfTrue="1" operator="equal">
      <formula>-1</formula>
    </cfRule>
  </conditionalFormatting>
  <conditionalFormatting sqref="D51">
    <cfRule type="cellIs" dxfId="18683" priority="139723" stopIfTrue="1" operator="lessThan">
      <formula>0.5</formula>
    </cfRule>
  </conditionalFormatting>
  <conditionalFormatting sqref="D51">
    <cfRule type="cellIs" dxfId="18682" priority="139724" stopIfTrue="1" operator="greaterThanOrEqual">
      <formula>0.5</formula>
    </cfRule>
  </conditionalFormatting>
  <conditionalFormatting sqref="D52">
    <cfRule type="cellIs" dxfId="18681" priority="139725" stopIfTrue="1" operator="equal">
      <formula>-1</formula>
    </cfRule>
  </conditionalFormatting>
  <conditionalFormatting sqref="D52">
    <cfRule type="cellIs" dxfId="18680" priority="139726" stopIfTrue="1" operator="lessThan">
      <formula>0.5</formula>
    </cfRule>
  </conditionalFormatting>
  <conditionalFormatting sqref="D52">
    <cfRule type="cellIs" dxfId="18679" priority="139727" stopIfTrue="1" operator="greaterThanOrEqual">
      <formula>0.5</formula>
    </cfRule>
  </conditionalFormatting>
  <conditionalFormatting sqref="D53">
    <cfRule type="cellIs" dxfId="18678" priority="139728" stopIfTrue="1" operator="equal">
      <formula>-1</formula>
    </cfRule>
  </conditionalFormatting>
  <conditionalFormatting sqref="D53">
    <cfRule type="cellIs" dxfId="18677" priority="139729" stopIfTrue="1" operator="lessThan">
      <formula>0.5</formula>
    </cfRule>
  </conditionalFormatting>
  <conditionalFormatting sqref="D53">
    <cfRule type="cellIs" dxfId="18676" priority="139730" stopIfTrue="1" operator="greaterThanOrEqual">
      <formula>0.5</formula>
    </cfRule>
  </conditionalFormatting>
  <conditionalFormatting sqref="D54">
    <cfRule type="cellIs" dxfId="18675" priority="139731" stopIfTrue="1" operator="equal">
      <formula>-1</formula>
    </cfRule>
  </conditionalFormatting>
  <conditionalFormatting sqref="D54">
    <cfRule type="cellIs" dxfId="18674" priority="139732" stopIfTrue="1" operator="lessThan">
      <formula>0.5</formula>
    </cfRule>
  </conditionalFormatting>
  <conditionalFormatting sqref="D54">
    <cfRule type="cellIs" dxfId="18673" priority="139733" stopIfTrue="1" operator="greaterThanOrEqual">
      <formula>0.5</formula>
    </cfRule>
  </conditionalFormatting>
  <conditionalFormatting sqref="D55">
    <cfRule type="cellIs" dxfId="18672" priority="139734" stopIfTrue="1" operator="equal">
      <formula>-1</formula>
    </cfRule>
  </conditionalFormatting>
  <conditionalFormatting sqref="D55">
    <cfRule type="cellIs" dxfId="18671" priority="139735" stopIfTrue="1" operator="lessThan">
      <formula>0.5</formula>
    </cfRule>
  </conditionalFormatting>
  <conditionalFormatting sqref="D55">
    <cfRule type="cellIs" dxfId="18670" priority="139736" stopIfTrue="1" operator="greaterThanOrEqual">
      <formula>0.5</formula>
    </cfRule>
  </conditionalFormatting>
  <conditionalFormatting sqref="D56">
    <cfRule type="cellIs" dxfId="18669" priority="139737" stopIfTrue="1" operator="equal">
      <formula>-1</formula>
    </cfRule>
  </conditionalFormatting>
  <conditionalFormatting sqref="D56">
    <cfRule type="cellIs" dxfId="18668" priority="139738" stopIfTrue="1" operator="lessThan">
      <formula>0.5</formula>
    </cfRule>
  </conditionalFormatting>
  <conditionalFormatting sqref="D56">
    <cfRule type="cellIs" dxfId="18667" priority="139739" stopIfTrue="1" operator="greaterThanOrEqual">
      <formula>0.5</formula>
    </cfRule>
  </conditionalFormatting>
  <conditionalFormatting sqref="D57">
    <cfRule type="cellIs" dxfId="18666" priority="139740" stopIfTrue="1" operator="equal">
      <formula>-1</formula>
    </cfRule>
  </conditionalFormatting>
  <conditionalFormatting sqref="D57">
    <cfRule type="cellIs" dxfId="18665" priority="139741" stopIfTrue="1" operator="lessThan">
      <formula>0.5</formula>
    </cfRule>
  </conditionalFormatting>
  <conditionalFormatting sqref="D57">
    <cfRule type="cellIs" dxfId="18664" priority="139742" stopIfTrue="1" operator="greaterThanOrEqual">
      <formula>0.5</formula>
    </cfRule>
  </conditionalFormatting>
  <conditionalFormatting sqref="D58">
    <cfRule type="cellIs" dxfId="18663" priority="139743" stopIfTrue="1" operator="equal">
      <formula>-1</formula>
    </cfRule>
  </conditionalFormatting>
  <conditionalFormatting sqref="D58">
    <cfRule type="cellIs" dxfId="18662" priority="139744" stopIfTrue="1" operator="lessThan">
      <formula>0.5</formula>
    </cfRule>
  </conditionalFormatting>
  <conditionalFormatting sqref="D58">
    <cfRule type="cellIs" dxfId="18661" priority="139745" stopIfTrue="1" operator="greaterThanOrEqual">
      <formula>0.5</formula>
    </cfRule>
  </conditionalFormatting>
  <conditionalFormatting sqref="F39">
    <cfRule type="cellIs" dxfId="18660" priority="139746" stopIfTrue="1" operator="equal">
      <formula>-1</formula>
    </cfRule>
  </conditionalFormatting>
  <conditionalFormatting sqref="F39">
    <cfRule type="cellIs" dxfId="18659" priority="139747" stopIfTrue="1" operator="lessThan">
      <formula>0.5</formula>
    </cfRule>
  </conditionalFormatting>
  <conditionalFormatting sqref="F39">
    <cfRule type="cellIs" dxfId="18658" priority="139748" stopIfTrue="1" operator="greaterThanOrEqual">
      <formula>0.5</formula>
    </cfRule>
  </conditionalFormatting>
  <conditionalFormatting sqref="F40">
    <cfRule type="cellIs" dxfId="18657" priority="139749" stopIfTrue="1" operator="equal">
      <formula>-1</formula>
    </cfRule>
  </conditionalFormatting>
  <conditionalFormatting sqref="F40">
    <cfRule type="cellIs" dxfId="18656" priority="139750" stopIfTrue="1" operator="lessThan">
      <formula>0.5</formula>
    </cfRule>
  </conditionalFormatting>
  <conditionalFormatting sqref="F40">
    <cfRule type="cellIs" dxfId="18655" priority="139751" stopIfTrue="1" operator="greaterThanOrEqual">
      <formula>0.5</formula>
    </cfRule>
  </conditionalFormatting>
  <conditionalFormatting sqref="F41">
    <cfRule type="cellIs" dxfId="18654" priority="139752" stopIfTrue="1" operator="equal">
      <formula>-1</formula>
    </cfRule>
  </conditionalFormatting>
  <conditionalFormatting sqref="F41">
    <cfRule type="cellIs" dxfId="18653" priority="139753" stopIfTrue="1" operator="lessThan">
      <formula>0.5</formula>
    </cfRule>
  </conditionalFormatting>
  <conditionalFormatting sqref="F41">
    <cfRule type="cellIs" dxfId="18652" priority="139754" stopIfTrue="1" operator="greaterThanOrEqual">
      <formula>0.5</formula>
    </cfRule>
  </conditionalFormatting>
  <conditionalFormatting sqref="F42">
    <cfRule type="cellIs" dxfId="18651" priority="139755" stopIfTrue="1" operator="equal">
      <formula>-1</formula>
    </cfRule>
  </conditionalFormatting>
  <conditionalFormatting sqref="F42">
    <cfRule type="cellIs" dxfId="18650" priority="139756" stopIfTrue="1" operator="lessThan">
      <formula>0.5</formula>
    </cfRule>
  </conditionalFormatting>
  <conditionalFormatting sqref="F42">
    <cfRule type="cellIs" dxfId="18649" priority="139757" stopIfTrue="1" operator="greaterThanOrEqual">
      <formula>0.5</formula>
    </cfRule>
  </conditionalFormatting>
  <conditionalFormatting sqref="F43">
    <cfRule type="cellIs" dxfId="18648" priority="139758" stopIfTrue="1" operator="equal">
      <formula>-1</formula>
    </cfRule>
  </conditionalFormatting>
  <conditionalFormatting sqref="F43">
    <cfRule type="cellIs" dxfId="18647" priority="139759" stopIfTrue="1" operator="lessThan">
      <formula>0.5</formula>
    </cfRule>
  </conditionalFormatting>
  <conditionalFormatting sqref="F43">
    <cfRule type="cellIs" dxfId="18646" priority="139760" stopIfTrue="1" operator="greaterThanOrEqual">
      <formula>0.5</formula>
    </cfRule>
  </conditionalFormatting>
  <conditionalFormatting sqref="F44">
    <cfRule type="cellIs" dxfId="18645" priority="139761" stopIfTrue="1" operator="equal">
      <formula>-1</formula>
    </cfRule>
  </conditionalFormatting>
  <conditionalFormatting sqref="F44">
    <cfRule type="cellIs" dxfId="18644" priority="139762" stopIfTrue="1" operator="lessThan">
      <formula>0.5</formula>
    </cfRule>
  </conditionalFormatting>
  <conditionalFormatting sqref="F44">
    <cfRule type="cellIs" dxfId="18643" priority="139763" stopIfTrue="1" operator="greaterThanOrEqual">
      <formula>0.5</formula>
    </cfRule>
  </conditionalFormatting>
  <conditionalFormatting sqref="F45">
    <cfRule type="cellIs" dxfId="18642" priority="139764" stopIfTrue="1" operator="equal">
      <formula>-1</formula>
    </cfRule>
  </conditionalFormatting>
  <conditionalFormatting sqref="F45">
    <cfRule type="cellIs" dxfId="18641" priority="139765" stopIfTrue="1" operator="lessThan">
      <formula>0.5</formula>
    </cfRule>
  </conditionalFormatting>
  <conditionalFormatting sqref="F45">
    <cfRule type="cellIs" dxfId="18640" priority="139766" stopIfTrue="1" operator="greaterThanOrEqual">
      <formula>0.5</formula>
    </cfRule>
  </conditionalFormatting>
  <conditionalFormatting sqref="F46">
    <cfRule type="cellIs" dxfId="18639" priority="139767" stopIfTrue="1" operator="equal">
      <formula>-1</formula>
    </cfRule>
  </conditionalFormatting>
  <conditionalFormatting sqref="F46">
    <cfRule type="cellIs" dxfId="18638" priority="139768" stopIfTrue="1" operator="lessThan">
      <formula>0.5</formula>
    </cfRule>
  </conditionalFormatting>
  <conditionalFormatting sqref="F46">
    <cfRule type="cellIs" dxfId="18637" priority="139769" stopIfTrue="1" operator="greaterThanOrEqual">
      <formula>0.5</formula>
    </cfRule>
  </conditionalFormatting>
  <conditionalFormatting sqref="F47">
    <cfRule type="cellIs" dxfId="18636" priority="139770" stopIfTrue="1" operator="equal">
      <formula>-1</formula>
    </cfRule>
  </conditionalFormatting>
  <conditionalFormatting sqref="F47">
    <cfRule type="cellIs" dxfId="18635" priority="139771" stopIfTrue="1" operator="lessThan">
      <formula>0.5</formula>
    </cfRule>
  </conditionalFormatting>
  <conditionalFormatting sqref="F47">
    <cfRule type="cellIs" dxfId="18634" priority="139772" stopIfTrue="1" operator="greaterThanOrEqual">
      <formula>0.5</formula>
    </cfRule>
  </conditionalFormatting>
  <conditionalFormatting sqref="F48">
    <cfRule type="cellIs" dxfId="18633" priority="139773" stopIfTrue="1" operator="equal">
      <formula>-1</formula>
    </cfRule>
  </conditionalFormatting>
  <conditionalFormatting sqref="F48">
    <cfRule type="cellIs" dxfId="18632" priority="139774" stopIfTrue="1" operator="lessThan">
      <formula>0.5</formula>
    </cfRule>
  </conditionalFormatting>
  <conditionalFormatting sqref="F48">
    <cfRule type="cellIs" dxfId="18631" priority="139775" stopIfTrue="1" operator="greaterThanOrEqual">
      <formula>0.5</formula>
    </cfRule>
  </conditionalFormatting>
  <conditionalFormatting sqref="F49">
    <cfRule type="cellIs" dxfId="18630" priority="139776" stopIfTrue="1" operator="equal">
      <formula>-1</formula>
    </cfRule>
  </conditionalFormatting>
  <conditionalFormatting sqref="F49">
    <cfRule type="cellIs" dxfId="18629" priority="139777" stopIfTrue="1" operator="lessThan">
      <formula>0.5</formula>
    </cfRule>
  </conditionalFormatting>
  <conditionalFormatting sqref="F49">
    <cfRule type="cellIs" dxfId="18628" priority="139778" stopIfTrue="1" operator="greaterThanOrEqual">
      <formula>0.5</formula>
    </cfRule>
  </conditionalFormatting>
  <conditionalFormatting sqref="F50">
    <cfRule type="cellIs" dxfId="18627" priority="139779" stopIfTrue="1" operator="equal">
      <formula>-1</formula>
    </cfRule>
  </conditionalFormatting>
  <conditionalFormatting sqref="F50">
    <cfRule type="cellIs" dxfId="18626" priority="139780" stopIfTrue="1" operator="lessThan">
      <formula>0.5</formula>
    </cfRule>
  </conditionalFormatting>
  <conditionalFormatting sqref="F50">
    <cfRule type="cellIs" dxfId="18625" priority="139781" stopIfTrue="1" operator="greaterThanOrEqual">
      <formula>0.5</formula>
    </cfRule>
  </conditionalFormatting>
  <conditionalFormatting sqref="F51">
    <cfRule type="cellIs" dxfId="18624" priority="139782" stopIfTrue="1" operator="equal">
      <formula>-1</formula>
    </cfRule>
  </conditionalFormatting>
  <conditionalFormatting sqref="F51">
    <cfRule type="cellIs" dxfId="18623" priority="139783" stopIfTrue="1" operator="lessThan">
      <formula>0.5</formula>
    </cfRule>
  </conditionalFormatting>
  <conditionalFormatting sqref="F51">
    <cfRule type="cellIs" dxfId="18622" priority="139784" stopIfTrue="1" operator="greaterThanOrEqual">
      <formula>0.5</formula>
    </cfRule>
  </conditionalFormatting>
  <conditionalFormatting sqref="F52">
    <cfRule type="cellIs" dxfId="18621" priority="139785" stopIfTrue="1" operator="equal">
      <formula>-1</formula>
    </cfRule>
  </conditionalFormatting>
  <conditionalFormatting sqref="F52">
    <cfRule type="cellIs" dxfId="18620" priority="139786" stopIfTrue="1" operator="lessThan">
      <formula>0.5</formula>
    </cfRule>
  </conditionalFormatting>
  <conditionalFormatting sqref="F52">
    <cfRule type="cellIs" dxfId="18619" priority="139787" stopIfTrue="1" operator="greaterThanOrEqual">
      <formula>0.5</formula>
    </cfRule>
  </conditionalFormatting>
  <conditionalFormatting sqref="F53">
    <cfRule type="cellIs" dxfId="18618" priority="139788" stopIfTrue="1" operator="equal">
      <formula>-1</formula>
    </cfRule>
  </conditionalFormatting>
  <conditionalFormatting sqref="F53">
    <cfRule type="cellIs" dxfId="18617" priority="139789" stopIfTrue="1" operator="lessThan">
      <formula>0.5</formula>
    </cfRule>
  </conditionalFormatting>
  <conditionalFormatting sqref="F53">
    <cfRule type="cellIs" dxfId="18616" priority="139790" stopIfTrue="1" operator="greaterThanOrEqual">
      <formula>0.5</formula>
    </cfRule>
  </conditionalFormatting>
  <conditionalFormatting sqref="F54">
    <cfRule type="cellIs" dxfId="18615" priority="139791" stopIfTrue="1" operator="equal">
      <formula>-1</formula>
    </cfRule>
  </conditionalFormatting>
  <conditionalFormatting sqref="F54">
    <cfRule type="cellIs" dxfId="18614" priority="139792" stopIfTrue="1" operator="lessThan">
      <formula>0.5</formula>
    </cfRule>
  </conditionalFormatting>
  <conditionalFormatting sqref="F54">
    <cfRule type="cellIs" dxfId="18613" priority="139793" stopIfTrue="1" operator="greaterThanOrEqual">
      <formula>0.5</formula>
    </cfRule>
  </conditionalFormatting>
  <conditionalFormatting sqref="F55">
    <cfRule type="cellIs" dxfId="18612" priority="139794" stopIfTrue="1" operator="equal">
      <formula>-1</formula>
    </cfRule>
  </conditionalFormatting>
  <conditionalFormatting sqref="F55">
    <cfRule type="cellIs" dxfId="18611" priority="139795" stopIfTrue="1" operator="lessThan">
      <formula>0.5</formula>
    </cfRule>
  </conditionalFormatting>
  <conditionalFormatting sqref="F55">
    <cfRule type="cellIs" dxfId="18610" priority="139796" stopIfTrue="1" operator="greaterThanOrEqual">
      <formula>0.5</formula>
    </cfRule>
  </conditionalFormatting>
  <conditionalFormatting sqref="F56">
    <cfRule type="cellIs" dxfId="18609" priority="139797" stopIfTrue="1" operator="equal">
      <formula>-1</formula>
    </cfRule>
  </conditionalFormatting>
  <conditionalFormatting sqref="F56">
    <cfRule type="cellIs" dxfId="18608" priority="139798" stopIfTrue="1" operator="lessThan">
      <formula>0.5</formula>
    </cfRule>
  </conditionalFormatting>
  <conditionalFormatting sqref="F56">
    <cfRule type="cellIs" dxfId="18607" priority="139799" stopIfTrue="1" operator="greaterThanOrEqual">
      <formula>0.5</formula>
    </cfRule>
  </conditionalFormatting>
  <conditionalFormatting sqref="F57">
    <cfRule type="cellIs" dxfId="18606" priority="139800" stopIfTrue="1" operator="equal">
      <formula>-1</formula>
    </cfRule>
  </conditionalFormatting>
  <conditionalFormatting sqref="F57">
    <cfRule type="cellIs" dxfId="18605" priority="139801" stopIfTrue="1" operator="lessThan">
      <formula>0.5</formula>
    </cfRule>
  </conditionalFormatting>
  <conditionalFormatting sqref="F57">
    <cfRule type="cellIs" dxfId="18604" priority="139802" stopIfTrue="1" operator="greaterThanOrEqual">
      <formula>0.5</formula>
    </cfRule>
  </conditionalFormatting>
  <conditionalFormatting sqref="F58">
    <cfRule type="cellIs" dxfId="18603" priority="139803" stopIfTrue="1" operator="equal">
      <formula>-1</formula>
    </cfRule>
  </conditionalFormatting>
  <conditionalFormatting sqref="F58">
    <cfRule type="cellIs" dxfId="18602" priority="139804" stopIfTrue="1" operator="lessThan">
      <formula>0.5</formula>
    </cfRule>
  </conditionalFormatting>
  <conditionalFormatting sqref="F58">
    <cfRule type="cellIs" dxfId="18601" priority="139805" stopIfTrue="1" operator="greaterThanOrEqual">
      <formula>0.5</formula>
    </cfRule>
  </conditionalFormatting>
  <conditionalFormatting sqref="H39">
    <cfRule type="cellIs" dxfId="18600" priority="139806" stopIfTrue="1" operator="equal">
      <formula>-1</formula>
    </cfRule>
  </conditionalFormatting>
  <conditionalFormatting sqref="H39">
    <cfRule type="cellIs" dxfId="18599" priority="139807" stopIfTrue="1" operator="lessThan">
      <formula>0.5</formula>
    </cfRule>
  </conditionalFormatting>
  <conditionalFormatting sqref="H39">
    <cfRule type="cellIs" dxfId="18598" priority="139808" stopIfTrue="1" operator="greaterThanOrEqual">
      <formula>0.5</formula>
    </cfRule>
  </conditionalFormatting>
  <conditionalFormatting sqref="H40">
    <cfRule type="cellIs" dxfId="18597" priority="139809" stopIfTrue="1" operator="equal">
      <formula>-1</formula>
    </cfRule>
  </conditionalFormatting>
  <conditionalFormatting sqref="H40">
    <cfRule type="cellIs" dxfId="18596" priority="139810" stopIfTrue="1" operator="lessThan">
      <formula>0.5</formula>
    </cfRule>
  </conditionalFormatting>
  <conditionalFormatting sqref="H40">
    <cfRule type="cellIs" dxfId="18595" priority="139811" stopIfTrue="1" operator="greaterThanOrEqual">
      <formula>0.5</formula>
    </cfRule>
  </conditionalFormatting>
  <conditionalFormatting sqref="H41">
    <cfRule type="cellIs" dxfId="18594" priority="139812" stopIfTrue="1" operator="equal">
      <formula>-1</formula>
    </cfRule>
  </conditionalFormatting>
  <conditionalFormatting sqref="H41">
    <cfRule type="cellIs" dxfId="18593" priority="139813" stopIfTrue="1" operator="lessThan">
      <formula>0.5</formula>
    </cfRule>
  </conditionalFormatting>
  <conditionalFormatting sqref="H41">
    <cfRule type="cellIs" dxfId="18592" priority="139814" stopIfTrue="1" operator="greaterThanOrEqual">
      <formula>0.5</formula>
    </cfRule>
  </conditionalFormatting>
  <conditionalFormatting sqref="H42">
    <cfRule type="cellIs" dxfId="18591" priority="139815" stopIfTrue="1" operator="equal">
      <formula>-1</formula>
    </cfRule>
  </conditionalFormatting>
  <conditionalFormatting sqref="H42">
    <cfRule type="cellIs" dxfId="18590" priority="139816" stopIfTrue="1" operator="lessThan">
      <formula>0.5</formula>
    </cfRule>
  </conditionalFormatting>
  <conditionalFormatting sqref="H42">
    <cfRule type="cellIs" dxfId="18589" priority="139817" stopIfTrue="1" operator="greaterThanOrEqual">
      <formula>0.5</formula>
    </cfRule>
  </conditionalFormatting>
  <conditionalFormatting sqref="H43">
    <cfRule type="cellIs" dxfId="18588" priority="139818" stopIfTrue="1" operator="equal">
      <formula>-1</formula>
    </cfRule>
  </conditionalFormatting>
  <conditionalFormatting sqref="H43">
    <cfRule type="cellIs" dxfId="18587" priority="139819" stopIfTrue="1" operator="lessThan">
      <formula>0.5</formula>
    </cfRule>
  </conditionalFormatting>
  <conditionalFormatting sqref="H43">
    <cfRule type="cellIs" dxfId="18586" priority="139820" stopIfTrue="1" operator="greaterThanOrEqual">
      <formula>0.5</formula>
    </cfRule>
  </conditionalFormatting>
  <conditionalFormatting sqref="H44">
    <cfRule type="cellIs" dxfId="18585" priority="139821" stopIfTrue="1" operator="equal">
      <formula>-1</formula>
    </cfRule>
  </conditionalFormatting>
  <conditionalFormatting sqref="H44">
    <cfRule type="cellIs" dxfId="18584" priority="139822" stopIfTrue="1" operator="lessThan">
      <formula>0.5</formula>
    </cfRule>
  </conditionalFormatting>
  <conditionalFormatting sqref="H44">
    <cfRule type="cellIs" dxfId="18583" priority="139823" stopIfTrue="1" operator="greaterThanOrEqual">
      <formula>0.5</formula>
    </cfRule>
  </conditionalFormatting>
  <conditionalFormatting sqref="H45">
    <cfRule type="cellIs" dxfId="18582" priority="139824" stopIfTrue="1" operator="equal">
      <formula>-1</formula>
    </cfRule>
  </conditionalFormatting>
  <conditionalFormatting sqref="H45">
    <cfRule type="cellIs" dxfId="18581" priority="139825" stopIfTrue="1" operator="lessThan">
      <formula>0.5</formula>
    </cfRule>
  </conditionalFormatting>
  <conditionalFormatting sqref="H45">
    <cfRule type="cellIs" dxfId="18580" priority="139826" stopIfTrue="1" operator="greaterThanOrEqual">
      <formula>0.5</formula>
    </cfRule>
  </conditionalFormatting>
  <conditionalFormatting sqref="H46">
    <cfRule type="cellIs" dxfId="18579" priority="139827" stopIfTrue="1" operator="equal">
      <formula>-1</formula>
    </cfRule>
  </conditionalFormatting>
  <conditionalFormatting sqref="H46">
    <cfRule type="cellIs" dxfId="18578" priority="139828" stopIfTrue="1" operator="lessThan">
      <formula>0.5</formula>
    </cfRule>
  </conditionalFormatting>
  <conditionalFormatting sqref="H46">
    <cfRule type="cellIs" dxfId="18577" priority="139829" stopIfTrue="1" operator="greaterThanOrEqual">
      <formula>0.5</formula>
    </cfRule>
  </conditionalFormatting>
  <conditionalFormatting sqref="H47">
    <cfRule type="cellIs" dxfId="18576" priority="139830" stopIfTrue="1" operator="equal">
      <formula>-1</formula>
    </cfRule>
  </conditionalFormatting>
  <conditionalFormatting sqref="H47">
    <cfRule type="cellIs" dxfId="18575" priority="139831" stopIfTrue="1" operator="lessThan">
      <formula>0.5</formula>
    </cfRule>
  </conditionalFormatting>
  <conditionalFormatting sqref="H47">
    <cfRule type="cellIs" dxfId="18574" priority="139832" stopIfTrue="1" operator="greaterThanOrEqual">
      <formula>0.5</formula>
    </cfRule>
  </conditionalFormatting>
  <conditionalFormatting sqref="H48">
    <cfRule type="cellIs" dxfId="18573" priority="139833" stopIfTrue="1" operator="equal">
      <formula>-1</formula>
    </cfRule>
  </conditionalFormatting>
  <conditionalFormatting sqref="H48">
    <cfRule type="cellIs" dxfId="18572" priority="139834" stopIfTrue="1" operator="lessThan">
      <formula>0.5</formula>
    </cfRule>
  </conditionalFormatting>
  <conditionalFormatting sqref="H48">
    <cfRule type="cellIs" dxfId="18571" priority="139835" stopIfTrue="1" operator="greaterThanOrEqual">
      <formula>0.5</formula>
    </cfRule>
  </conditionalFormatting>
  <conditionalFormatting sqref="H49">
    <cfRule type="cellIs" dxfId="18570" priority="139836" stopIfTrue="1" operator="equal">
      <formula>-1</formula>
    </cfRule>
  </conditionalFormatting>
  <conditionalFormatting sqref="H49">
    <cfRule type="cellIs" dxfId="18569" priority="139837" stopIfTrue="1" operator="lessThan">
      <formula>0.5</formula>
    </cfRule>
  </conditionalFormatting>
  <conditionalFormatting sqref="H49">
    <cfRule type="cellIs" dxfId="18568" priority="139838" stopIfTrue="1" operator="greaterThanOrEqual">
      <formula>0.5</formula>
    </cfRule>
  </conditionalFormatting>
  <conditionalFormatting sqref="H50">
    <cfRule type="cellIs" dxfId="18567" priority="139839" stopIfTrue="1" operator="equal">
      <formula>-1</formula>
    </cfRule>
  </conditionalFormatting>
  <conditionalFormatting sqref="H50">
    <cfRule type="cellIs" dxfId="18566" priority="139840" stopIfTrue="1" operator="lessThan">
      <formula>0.5</formula>
    </cfRule>
  </conditionalFormatting>
  <conditionalFormatting sqref="H50">
    <cfRule type="cellIs" dxfId="18565" priority="139841" stopIfTrue="1" operator="greaterThanOrEqual">
      <formula>0.5</formula>
    </cfRule>
  </conditionalFormatting>
  <conditionalFormatting sqref="H51">
    <cfRule type="cellIs" dxfId="18564" priority="139842" stopIfTrue="1" operator="equal">
      <formula>-1</formula>
    </cfRule>
  </conditionalFormatting>
  <conditionalFormatting sqref="H51">
    <cfRule type="cellIs" dxfId="18563" priority="139843" stopIfTrue="1" operator="lessThan">
      <formula>0.5</formula>
    </cfRule>
  </conditionalFormatting>
  <conditionalFormatting sqref="H51">
    <cfRule type="cellIs" dxfId="18562" priority="139844" stopIfTrue="1" operator="greaterThanOrEqual">
      <formula>0.5</formula>
    </cfRule>
  </conditionalFormatting>
  <conditionalFormatting sqref="H52">
    <cfRule type="cellIs" dxfId="18561" priority="139845" stopIfTrue="1" operator="equal">
      <formula>-1</formula>
    </cfRule>
  </conditionalFormatting>
  <conditionalFormatting sqref="H52">
    <cfRule type="cellIs" dxfId="18560" priority="139846" stopIfTrue="1" operator="lessThan">
      <formula>0.5</formula>
    </cfRule>
  </conditionalFormatting>
  <conditionalFormatting sqref="H52">
    <cfRule type="cellIs" dxfId="18559" priority="139847" stopIfTrue="1" operator="greaterThanOrEqual">
      <formula>0.5</formula>
    </cfRule>
  </conditionalFormatting>
  <conditionalFormatting sqref="H53">
    <cfRule type="cellIs" dxfId="18558" priority="139848" stopIfTrue="1" operator="equal">
      <formula>-1</formula>
    </cfRule>
  </conditionalFormatting>
  <conditionalFormatting sqref="H53">
    <cfRule type="cellIs" dxfId="18557" priority="139849" stopIfTrue="1" operator="lessThan">
      <formula>0.5</formula>
    </cfRule>
  </conditionalFormatting>
  <conditionalFormatting sqref="H53">
    <cfRule type="cellIs" dxfId="18556" priority="139850" stopIfTrue="1" operator="greaterThanOrEqual">
      <formula>0.5</formula>
    </cfRule>
  </conditionalFormatting>
  <conditionalFormatting sqref="H54">
    <cfRule type="cellIs" dxfId="18555" priority="139851" stopIfTrue="1" operator="equal">
      <formula>-1</formula>
    </cfRule>
  </conditionalFormatting>
  <conditionalFormatting sqref="H54">
    <cfRule type="cellIs" dxfId="18554" priority="139852" stopIfTrue="1" operator="lessThan">
      <formula>0.5</formula>
    </cfRule>
  </conditionalFormatting>
  <conditionalFormatting sqref="H54">
    <cfRule type="cellIs" dxfId="18553" priority="139853" stopIfTrue="1" operator="greaterThanOrEqual">
      <formula>0.5</formula>
    </cfRule>
  </conditionalFormatting>
  <conditionalFormatting sqref="H55">
    <cfRule type="cellIs" dxfId="18552" priority="139854" stopIfTrue="1" operator="equal">
      <formula>-1</formula>
    </cfRule>
  </conditionalFormatting>
  <conditionalFormatting sqref="H55">
    <cfRule type="cellIs" dxfId="18551" priority="139855" stopIfTrue="1" operator="lessThan">
      <formula>0.5</formula>
    </cfRule>
  </conditionalFormatting>
  <conditionalFormatting sqref="H55">
    <cfRule type="cellIs" dxfId="18550" priority="139856" stopIfTrue="1" operator="greaterThanOrEqual">
      <formula>0.5</formula>
    </cfRule>
  </conditionalFormatting>
  <conditionalFormatting sqref="H56">
    <cfRule type="cellIs" dxfId="18549" priority="139857" stopIfTrue="1" operator="equal">
      <formula>-1</formula>
    </cfRule>
  </conditionalFormatting>
  <conditionalFormatting sqref="H56">
    <cfRule type="cellIs" dxfId="18548" priority="139858" stopIfTrue="1" operator="lessThan">
      <formula>0.5</formula>
    </cfRule>
  </conditionalFormatting>
  <conditionalFormatting sqref="H56">
    <cfRule type="cellIs" dxfId="18547" priority="139859" stopIfTrue="1" operator="greaterThanOrEqual">
      <formula>0.5</formula>
    </cfRule>
  </conditionalFormatting>
  <conditionalFormatting sqref="H57">
    <cfRule type="cellIs" dxfId="18546" priority="139860" stopIfTrue="1" operator="equal">
      <formula>-1</formula>
    </cfRule>
  </conditionalFormatting>
  <conditionalFormatting sqref="H57">
    <cfRule type="cellIs" dxfId="18545" priority="139861" stopIfTrue="1" operator="lessThan">
      <formula>0.5</formula>
    </cfRule>
  </conditionalFormatting>
  <conditionalFormatting sqref="H57">
    <cfRule type="cellIs" dxfId="18544" priority="139862" stopIfTrue="1" operator="greaterThanOrEqual">
      <formula>0.5</formula>
    </cfRule>
  </conditionalFormatting>
  <conditionalFormatting sqref="H58">
    <cfRule type="cellIs" dxfId="18543" priority="139863" stopIfTrue="1" operator="equal">
      <formula>-1</formula>
    </cfRule>
  </conditionalFormatting>
  <conditionalFormatting sqref="H58">
    <cfRule type="cellIs" dxfId="18542" priority="139864" stopIfTrue="1" operator="lessThan">
      <formula>0.5</formula>
    </cfRule>
  </conditionalFormatting>
  <conditionalFormatting sqref="H58">
    <cfRule type="cellIs" dxfId="18541" priority="139865" stopIfTrue="1" operator="greaterThanOrEqual">
      <formula>0.5</formula>
    </cfRule>
  </conditionalFormatting>
  <conditionalFormatting sqref="J39">
    <cfRule type="cellIs" dxfId="18540" priority="139866" stopIfTrue="1" operator="equal">
      <formula>-1</formula>
    </cfRule>
  </conditionalFormatting>
  <conditionalFormatting sqref="J39">
    <cfRule type="cellIs" dxfId="18539" priority="139867" stopIfTrue="1" operator="lessThan">
      <formula>0.5</formula>
    </cfRule>
  </conditionalFormatting>
  <conditionalFormatting sqref="J39">
    <cfRule type="cellIs" dxfId="18538" priority="139868" stopIfTrue="1" operator="greaterThanOrEqual">
      <formula>0.5</formula>
    </cfRule>
  </conditionalFormatting>
  <conditionalFormatting sqref="J40">
    <cfRule type="cellIs" dxfId="18537" priority="139869" stopIfTrue="1" operator="equal">
      <formula>-1</formula>
    </cfRule>
  </conditionalFormatting>
  <conditionalFormatting sqref="J40">
    <cfRule type="cellIs" dxfId="18536" priority="139870" stopIfTrue="1" operator="lessThan">
      <formula>0.5</formula>
    </cfRule>
  </conditionalFormatting>
  <conditionalFormatting sqref="J40">
    <cfRule type="cellIs" dxfId="18535" priority="139871" stopIfTrue="1" operator="greaterThanOrEqual">
      <formula>0.5</formula>
    </cfRule>
  </conditionalFormatting>
  <conditionalFormatting sqref="J41">
    <cfRule type="cellIs" dxfId="18534" priority="139872" stopIfTrue="1" operator="equal">
      <formula>-1</formula>
    </cfRule>
  </conditionalFormatting>
  <conditionalFormatting sqref="J41">
    <cfRule type="cellIs" dxfId="18533" priority="139873" stopIfTrue="1" operator="lessThan">
      <formula>0.5</formula>
    </cfRule>
  </conditionalFormatting>
  <conditionalFormatting sqref="J41">
    <cfRule type="cellIs" dxfId="18532" priority="139874" stopIfTrue="1" operator="greaterThanOrEqual">
      <formula>0.5</formula>
    </cfRule>
  </conditionalFormatting>
  <conditionalFormatting sqref="J42">
    <cfRule type="cellIs" dxfId="18531" priority="139875" stopIfTrue="1" operator="equal">
      <formula>-1</formula>
    </cfRule>
  </conditionalFormatting>
  <conditionalFormatting sqref="J42">
    <cfRule type="cellIs" dxfId="18530" priority="139876" stopIfTrue="1" operator="lessThan">
      <formula>0.5</formula>
    </cfRule>
  </conditionalFormatting>
  <conditionalFormatting sqref="J42">
    <cfRule type="cellIs" dxfId="18529" priority="139877" stopIfTrue="1" operator="greaterThanOrEqual">
      <formula>0.5</formula>
    </cfRule>
  </conditionalFormatting>
  <conditionalFormatting sqref="J43">
    <cfRule type="cellIs" dxfId="18528" priority="139878" stopIfTrue="1" operator="equal">
      <formula>-1</formula>
    </cfRule>
  </conditionalFormatting>
  <conditionalFormatting sqref="J43">
    <cfRule type="cellIs" dxfId="18527" priority="139879" stopIfTrue="1" operator="lessThan">
      <formula>0.5</formula>
    </cfRule>
  </conditionalFormatting>
  <conditionalFormatting sqref="J43">
    <cfRule type="cellIs" dxfId="18526" priority="139880" stopIfTrue="1" operator="greaterThanOrEqual">
      <formula>0.5</formula>
    </cfRule>
  </conditionalFormatting>
  <conditionalFormatting sqref="J44">
    <cfRule type="cellIs" dxfId="18525" priority="139881" stopIfTrue="1" operator="equal">
      <formula>-1</formula>
    </cfRule>
  </conditionalFormatting>
  <conditionalFormatting sqref="J44">
    <cfRule type="cellIs" dxfId="18524" priority="139882" stopIfTrue="1" operator="lessThan">
      <formula>0.5</formula>
    </cfRule>
  </conditionalFormatting>
  <conditionalFormatting sqref="J44">
    <cfRule type="cellIs" dxfId="18523" priority="139883" stopIfTrue="1" operator="greaterThanOrEqual">
      <formula>0.5</formula>
    </cfRule>
  </conditionalFormatting>
  <conditionalFormatting sqref="J45">
    <cfRule type="cellIs" dxfId="18522" priority="139884" stopIfTrue="1" operator="equal">
      <formula>-1</formula>
    </cfRule>
  </conditionalFormatting>
  <conditionalFormatting sqref="J45">
    <cfRule type="cellIs" dxfId="18521" priority="139885" stopIfTrue="1" operator="lessThan">
      <formula>0.5</formula>
    </cfRule>
  </conditionalFormatting>
  <conditionalFormatting sqref="J45">
    <cfRule type="cellIs" dxfId="18520" priority="139886" stopIfTrue="1" operator="greaterThanOrEqual">
      <formula>0.5</formula>
    </cfRule>
  </conditionalFormatting>
  <conditionalFormatting sqref="J46">
    <cfRule type="cellIs" dxfId="18519" priority="139887" stopIfTrue="1" operator="equal">
      <formula>-1</formula>
    </cfRule>
  </conditionalFormatting>
  <conditionalFormatting sqref="J46">
    <cfRule type="cellIs" dxfId="18518" priority="139888" stopIfTrue="1" operator="lessThan">
      <formula>0.5</formula>
    </cfRule>
  </conditionalFormatting>
  <conditionalFormatting sqref="J46">
    <cfRule type="cellIs" dxfId="18517" priority="139889" stopIfTrue="1" operator="greaterThanOrEqual">
      <formula>0.5</formula>
    </cfRule>
  </conditionalFormatting>
  <conditionalFormatting sqref="J47">
    <cfRule type="cellIs" dxfId="18516" priority="139890" stopIfTrue="1" operator="equal">
      <formula>-1</formula>
    </cfRule>
  </conditionalFormatting>
  <conditionalFormatting sqref="J47">
    <cfRule type="cellIs" dxfId="18515" priority="139891" stopIfTrue="1" operator="lessThan">
      <formula>0.5</formula>
    </cfRule>
  </conditionalFormatting>
  <conditionalFormatting sqref="J47">
    <cfRule type="cellIs" dxfId="18514" priority="139892" stopIfTrue="1" operator="greaterThanOrEqual">
      <formula>0.5</formula>
    </cfRule>
  </conditionalFormatting>
  <conditionalFormatting sqref="J48">
    <cfRule type="cellIs" dxfId="18513" priority="139893" stopIfTrue="1" operator="equal">
      <formula>-1</formula>
    </cfRule>
  </conditionalFormatting>
  <conditionalFormatting sqref="J48">
    <cfRule type="cellIs" dxfId="18512" priority="139894" stopIfTrue="1" operator="lessThan">
      <formula>0.5</formula>
    </cfRule>
  </conditionalFormatting>
  <conditionalFormatting sqref="J48">
    <cfRule type="cellIs" dxfId="18511" priority="139895" stopIfTrue="1" operator="greaterThanOrEqual">
      <formula>0.5</formula>
    </cfRule>
  </conditionalFormatting>
  <conditionalFormatting sqref="J49">
    <cfRule type="cellIs" dxfId="18510" priority="139896" stopIfTrue="1" operator="equal">
      <formula>-1</formula>
    </cfRule>
  </conditionalFormatting>
  <conditionalFormatting sqref="J49">
    <cfRule type="cellIs" dxfId="18509" priority="139897" stopIfTrue="1" operator="lessThan">
      <formula>0.5</formula>
    </cfRule>
  </conditionalFormatting>
  <conditionalFormatting sqref="J49">
    <cfRule type="cellIs" dxfId="18508" priority="139898" stopIfTrue="1" operator="greaterThanOrEqual">
      <formula>0.5</formula>
    </cfRule>
  </conditionalFormatting>
  <conditionalFormatting sqref="J50">
    <cfRule type="cellIs" dxfId="18507" priority="139899" stopIfTrue="1" operator="equal">
      <formula>-1</formula>
    </cfRule>
  </conditionalFormatting>
  <conditionalFormatting sqref="J50">
    <cfRule type="cellIs" dxfId="18506" priority="139900" stopIfTrue="1" operator="lessThan">
      <formula>0.5</formula>
    </cfRule>
  </conditionalFormatting>
  <conditionalFormatting sqref="J50">
    <cfRule type="cellIs" dxfId="18505" priority="139901" stopIfTrue="1" operator="greaterThanOrEqual">
      <formula>0.5</formula>
    </cfRule>
  </conditionalFormatting>
  <conditionalFormatting sqref="J51">
    <cfRule type="cellIs" dxfId="18504" priority="139902" stopIfTrue="1" operator="equal">
      <formula>-1</formula>
    </cfRule>
  </conditionalFormatting>
  <conditionalFormatting sqref="J51">
    <cfRule type="cellIs" dxfId="18503" priority="139903" stopIfTrue="1" operator="lessThan">
      <formula>0.5</formula>
    </cfRule>
  </conditionalFormatting>
  <conditionalFormatting sqref="J51">
    <cfRule type="cellIs" dxfId="18502" priority="139904" stopIfTrue="1" operator="greaterThanOrEqual">
      <formula>0.5</formula>
    </cfRule>
  </conditionalFormatting>
  <conditionalFormatting sqref="J52">
    <cfRule type="cellIs" dxfId="18501" priority="139905" stopIfTrue="1" operator="equal">
      <formula>-1</formula>
    </cfRule>
  </conditionalFormatting>
  <conditionalFormatting sqref="J52">
    <cfRule type="cellIs" dxfId="18500" priority="139906" stopIfTrue="1" operator="lessThan">
      <formula>0.5</formula>
    </cfRule>
  </conditionalFormatting>
  <conditionalFormatting sqref="J52">
    <cfRule type="cellIs" dxfId="18499" priority="139907" stopIfTrue="1" operator="greaterThanOrEqual">
      <formula>0.5</formula>
    </cfRule>
  </conditionalFormatting>
  <conditionalFormatting sqref="J53">
    <cfRule type="cellIs" dxfId="18498" priority="139908" stopIfTrue="1" operator="equal">
      <formula>-1</formula>
    </cfRule>
  </conditionalFormatting>
  <conditionalFormatting sqref="J53">
    <cfRule type="cellIs" dxfId="18497" priority="139909" stopIfTrue="1" operator="lessThan">
      <formula>0.5</formula>
    </cfRule>
  </conditionalFormatting>
  <conditionalFormatting sqref="J53">
    <cfRule type="cellIs" dxfId="18496" priority="139910" stopIfTrue="1" operator="greaterThanOrEqual">
      <formula>0.5</formula>
    </cfRule>
  </conditionalFormatting>
  <conditionalFormatting sqref="J54">
    <cfRule type="cellIs" dxfId="18495" priority="139911" stopIfTrue="1" operator="equal">
      <formula>-1</formula>
    </cfRule>
  </conditionalFormatting>
  <conditionalFormatting sqref="J54">
    <cfRule type="cellIs" dxfId="18494" priority="139912" stopIfTrue="1" operator="lessThan">
      <formula>0.5</formula>
    </cfRule>
  </conditionalFormatting>
  <conditionalFormatting sqref="J54">
    <cfRule type="cellIs" dxfId="18493" priority="139913" stopIfTrue="1" operator="greaterThanOrEqual">
      <formula>0.5</formula>
    </cfRule>
  </conditionalFormatting>
  <conditionalFormatting sqref="J55">
    <cfRule type="cellIs" dxfId="18492" priority="139914" stopIfTrue="1" operator="equal">
      <formula>-1</formula>
    </cfRule>
  </conditionalFormatting>
  <conditionalFormatting sqref="J55">
    <cfRule type="cellIs" dxfId="18491" priority="139915" stopIfTrue="1" operator="lessThan">
      <formula>0.5</formula>
    </cfRule>
  </conditionalFormatting>
  <conditionalFormatting sqref="J55">
    <cfRule type="cellIs" dxfId="18490" priority="139916" stopIfTrue="1" operator="greaterThanOrEqual">
      <formula>0.5</formula>
    </cfRule>
  </conditionalFormatting>
  <conditionalFormatting sqref="J56">
    <cfRule type="cellIs" dxfId="18489" priority="139917" stopIfTrue="1" operator="equal">
      <formula>-1</formula>
    </cfRule>
  </conditionalFormatting>
  <conditionalFormatting sqref="J56">
    <cfRule type="cellIs" dxfId="18488" priority="139918" stopIfTrue="1" operator="lessThan">
      <formula>0.5</formula>
    </cfRule>
  </conditionalFormatting>
  <conditionalFormatting sqref="J56">
    <cfRule type="cellIs" dxfId="18487" priority="139919" stopIfTrue="1" operator="greaterThanOrEqual">
      <formula>0.5</formula>
    </cfRule>
  </conditionalFormatting>
  <conditionalFormatting sqref="J57">
    <cfRule type="cellIs" dxfId="18486" priority="139920" stopIfTrue="1" operator="equal">
      <formula>-1</formula>
    </cfRule>
  </conditionalFormatting>
  <conditionalFormatting sqref="J57">
    <cfRule type="cellIs" dxfId="18485" priority="139921" stopIfTrue="1" operator="lessThan">
      <formula>0.5</formula>
    </cfRule>
  </conditionalFormatting>
  <conditionalFormatting sqref="J57">
    <cfRule type="cellIs" dxfId="18484" priority="139922" stopIfTrue="1" operator="greaterThanOrEqual">
      <formula>0.5</formula>
    </cfRule>
  </conditionalFormatting>
  <conditionalFormatting sqref="J58">
    <cfRule type="cellIs" dxfId="18483" priority="139923" stopIfTrue="1" operator="equal">
      <formula>-1</formula>
    </cfRule>
  </conditionalFormatting>
  <conditionalFormatting sqref="J58">
    <cfRule type="cellIs" dxfId="18482" priority="139924" stopIfTrue="1" operator="lessThan">
      <formula>0.5</formula>
    </cfRule>
  </conditionalFormatting>
  <conditionalFormatting sqref="J58">
    <cfRule type="cellIs" dxfId="18481" priority="139925" stopIfTrue="1" operator="greaterThanOrEqual">
      <formula>0.5</formula>
    </cfRule>
  </conditionalFormatting>
  <conditionalFormatting sqref="L39">
    <cfRule type="cellIs" dxfId="18480" priority="139926" stopIfTrue="1" operator="equal">
      <formula>-1</formula>
    </cfRule>
  </conditionalFormatting>
  <conditionalFormatting sqref="L39">
    <cfRule type="cellIs" dxfId="18479" priority="139927" stopIfTrue="1" operator="lessThan">
      <formula>0.5</formula>
    </cfRule>
  </conditionalFormatting>
  <conditionalFormatting sqref="L39">
    <cfRule type="cellIs" dxfId="18478" priority="139928" stopIfTrue="1" operator="greaterThanOrEqual">
      <formula>0.5</formula>
    </cfRule>
  </conditionalFormatting>
  <conditionalFormatting sqref="L40">
    <cfRule type="cellIs" dxfId="18477" priority="139929" stopIfTrue="1" operator="equal">
      <formula>-1</formula>
    </cfRule>
  </conditionalFormatting>
  <conditionalFormatting sqref="L40">
    <cfRule type="cellIs" dxfId="18476" priority="139930" stopIfTrue="1" operator="lessThan">
      <formula>0.5</formula>
    </cfRule>
  </conditionalFormatting>
  <conditionalFormatting sqref="L40">
    <cfRule type="cellIs" dxfId="18475" priority="139931" stopIfTrue="1" operator="greaterThanOrEqual">
      <formula>0.5</formula>
    </cfRule>
  </conditionalFormatting>
  <conditionalFormatting sqref="L41">
    <cfRule type="cellIs" dxfId="18474" priority="139932" stopIfTrue="1" operator="equal">
      <formula>-1</formula>
    </cfRule>
  </conditionalFormatting>
  <conditionalFormatting sqref="L41">
    <cfRule type="cellIs" dxfId="18473" priority="139933" stopIfTrue="1" operator="lessThan">
      <formula>0.5</formula>
    </cfRule>
  </conditionalFormatting>
  <conditionalFormatting sqref="L41">
    <cfRule type="cellIs" dxfId="18472" priority="139934" stopIfTrue="1" operator="greaterThanOrEqual">
      <formula>0.5</formula>
    </cfRule>
  </conditionalFormatting>
  <conditionalFormatting sqref="L42">
    <cfRule type="cellIs" dxfId="18471" priority="139935" stopIfTrue="1" operator="equal">
      <formula>-1</formula>
    </cfRule>
  </conditionalFormatting>
  <conditionalFormatting sqref="L42">
    <cfRule type="cellIs" dxfId="18470" priority="139936" stopIfTrue="1" operator="lessThan">
      <formula>0.5</formula>
    </cfRule>
  </conditionalFormatting>
  <conditionalFormatting sqref="L42">
    <cfRule type="cellIs" dxfId="18469" priority="139937" stopIfTrue="1" operator="greaterThanOrEqual">
      <formula>0.5</formula>
    </cfRule>
  </conditionalFormatting>
  <conditionalFormatting sqref="L43">
    <cfRule type="cellIs" dxfId="18468" priority="139938" stopIfTrue="1" operator="equal">
      <formula>-1</formula>
    </cfRule>
  </conditionalFormatting>
  <conditionalFormatting sqref="L43">
    <cfRule type="cellIs" dxfId="18467" priority="139939" stopIfTrue="1" operator="lessThan">
      <formula>0.5</formula>
    </cfRule>
  </conditionalFormatting>
  <conditionalFormatting sqref="L43">
    <cfRule type="cellIs" dxfId="18466" priority="139940" stopIfTrue="1" operator="greaterThanOrEqual">
      <formula>0.5</formula>
    </cfRule>
  </conditionalFormatting>
  <conditionalFormatting sqref="L44">
    <cfRule type="cellIs" dxfId="18465" priority="139941" stopIfTrue="1" operator="equal">
      <formula>-1</formula>
    </cfRule>
  </conditionalFormatting>
  <conditionalFormatting sqref="L44">
    <cfRule type="cellIs" dxfId="18464" priority="139942" stopIfTrue="1" operator="lessThan">
      <formula>0.5</formula>
    </cfRule>
  </conditionalFormatting>
  <conditionalFormatting sqref="L44">
    <cfRule type="cellIs" dxfId="18463" priority="139943" stopIfTrue="1" operator="greaterThanOrEqual">
      <formula>0.5</formula>
    </cfRule>
  </conditionalFormatting>
  <conditionalFormatting sqref="L45">
    <cfRule type="cellIs" dxfId="18462" priority="139944" stopIfTrue="1" operator="equal">
      <formula>-1</formula>
    </cfRule>
  </conditionalFormatting>
  <conditionalFormatting sqref="L45">
    <cfRule type="cellIs" dxfId="18461" priority="139945" stopIfTrue="1" operator="lessThan">
      <formula>0.5</formula>
    </cfRule>
  </conditionalFormatting>
  <conditionalFormatting sqref="L45">
    <cfRule type="cellIs" dxfId="18460" priority="139946" stopIfTrue="1" operator="greaterThanOrEqual">
      <formula>0.5</formula>
    </cfRule>
  </conditionalFormatting>
  <conditionalFormatting sqref="L46">
    <cfRule type="cellIs" dxfId="18459" priority="139947" stopIfTrue="1" operator="equal">
      <formula>-1</formula>
    </cfRule>
  </conditionalFormatting>
  <conditionalFormatting sqref="L46">
    <cfRule type="cellIs" dxfId="18458" priority="139948" stopIfTrue="1" operator="lessThan">
      <formula>0.5</formula>
    </cfRule>
  </conditionalFormatting>
  <conditionalFormatting sqref="L46">
    <cfRule type="cellIs" dxfId="18457" priority="139949" stopIfTrue="1" operator="greaterThanOrEqual">
      <formula>0.5</formula>
    </cfRule>
  </conditionalFormatting>
  <conditionalFormatting sqref="L47">
    <cfRule type="cellIs" dxfId="18456" priority="139950" stopIfTrue="1" operator="equal">
      <formula>-1</formula>
    </cfRule>
  </conditionalFormatting>
  <conditionalFormatting sqref="L47">
    <cfRule type="cellIs" dxfId="18455" priority="139951" stopIfTrue="1" operator="lessThan">
      <formula>0.5</formula>
    </cfRule>
  </conditionalFormatting>
  <conditionalFormatting sqref="L47">
    <cfRule type="cellIs" dxfId="18454" priority="139952" stopIfTrue="1" operator="greaterThanOrEqual">
      <formula>0.5</formula>
    </cfRule>
  </conditionalFormatting>
  <conditionalFormatting sqref="L48">
    <cfRule type="cellIs" dxfId="18453" priority="139953" stopIfTrue="1" operator="equal">
      <formula>-1</formula>
    </cfRule>
  </conditionalFormatting>
  <conditionalFormatting sqref="L48">
    <cfRule type="cellIs" dxfId="18452" priority="139954" stopIfTrue="1" operator="lessThan">
      <formula>0.5</formula>
    </cfRule>
  </conditionalFormatting>
  <conditionalFormatting sqref="L48">
    <cfRule type="cellIs" dxfId="18451" priority="139955" stopIfTrue="1" operator="greaterThanOrEqual">
      <formula>0.5</formula>
    </cfRule>
  </conditionalFormatting>
  <conditionalFormatting sqref="L49">
    <cfRule type="cellIs" dxfId="18450" priority="139956" stopIfTrue="1" operator="equal">
      <formula>-1</formula>
    </cfRule>
  </conditionalFormatting>
  <conditionalFormatting sqref="L49">
    <cfRule type="cellIs" dxfId="18449" priority="139957" stopIfTrue="1" operator="lessThan">
      <formula>0.5</formula>
    </cfRule>
  </conditionalFormatting>
  <conditionalFormatting sqref="L49">
    <cfRule type="cellIs" dxfId="18448" priority="139958" stopIfTrue="1" operator="greaterThanOrEqual">
      <formula>0.5</formula>
    </cfRule>
  </conditionalFormatting>
  <conditionalFormatting sqref="L50">
    <cfRule type="cellIs" dxfId="18447" priority="139959" stopIfTrue="1" operator="equal">
      <formula>-1</formula>
    </cfRule>
  </conditionalFormatting>
  <conditionalFormatting sqref="L50">
    <cfRule type="cellIs" dxfId="18446" priority="139960" stopIfTrue="1" operator="lessThan">
      <formula>0.5</formula>
    </cfRule>
  </conditionalFormatting>
  <conditionalFormatting sqref="L50">
    <cfRule type="cellIs" dxfId="18445" priority="139961" stopIfTrue="1" operator="greaterThanOrEqual">
      <formula>0.5</formula>
    </cfRule>
  </conditionalFormatting>
  <conditionalFormatting sqref="L51">
    <cfRule type="cellIs" dxfId="18444" priority="139962" stopIfTrue="1" operator="equal">
      <formula>-1</formula>
    </cfRule>
  </conditionalFormatting>
  <conditionalFormatting sqref="L51">
    <cfRule type="cellIs" dxfId="18443" priority="139963" stopIfTrue="1" operator="lessThan">
      <formula>0.5</formula>
    </cfRule>
  </conditionalFormatting>
  <conditionalFormatting sqref="L51">
    <cfRule type="cellIs" dxfId="18442" priority="139964" stopIfTrue="1" operator="greaterThanOrEqual">
      <formula>0.5</formula>
    </cfRule>
  </conditionalFormatting>
  <conditionalFormatting sqref="L52">
    <cfRule type="cellIs" dxfId="18441" priority="139965" stopIfTrue="1" operator="equal">
      <formula>-1</formula>
    </cfRule>
  </conditionalFormatting>
  <conditionalFormatting sqref="L52">
    <cfRule type="cellIs" dxfId="18440" priority="139966" stopIfTrue="1" operator="lessThan">
      <formula>0.5</formula>
    </cfRule>
  </conditionalFormatting>
  <conditionalFormatting sqref="L52">
    <cfRule type="cellIs" dxfId="18439" priority="139967" stopIfTrue="1" operator="greaterThanOrEqual">
      <formula>0.5</formula>
    </cfRule>
  </conditionalFormatting>
  <conditionalFormatting sqref="L53">
    <cfRule type="cellIs" dxfId="18438" priority="139968" stopIfTrue="1" operator="equal">
      <formula>-1</formula>
    </cfRule>
  </conditionalFormatting>
  <conditionalFormatting sqref="L53">
    <cfRule type="cellIs" dxfId="18437" priority="139969" stopIfTrue="1" operator="lessThan">
      <formula>0.5</formula>
    </cfRule>
  </conditionalFormatting>
  <conditionalFormatting sqref="L53">
    <cfRule type="cellIs" dxfId="18436" priority="139970" stopIfTrue="1" operator="greaterThanOrEqual">
      <formula>0.5</formula>
    </cfRule>
  </conditionalFormatting>
  <conditionalFormatting sqref="L54">
    <cfRule type="cellIs" dxfId="18435" priority="139971" stopIfTrue="1" operator="equal">
      <formula>-1</formula>
    </cfRule>
  </conditionalFormatting>
  <conditionalFormatting sqref="L54">
    <cfRule type="cellIs" dxfId="18434" priority="139972" stopIfTrue="1" operator="lessThan">
      <formula>0.5</formula>
    </cfRule>
  </conditionalFormatting>
  <conditionalFormatting sqref="L54">
    <cfRule type="cellIs" dxfId="18433" priority="139973" stopIfTrue="1" operator="greaterThanOrEqual">
      <formula>0.5</formula>
    </cfRule>
  </conditionalFormatting>
  <conditionalFormatting sqref="L55">
    <cfRule type="cellIs" dxfId="18432" priority="139974" stopIfTrue="1" operator="equal">
      <formula>-1</formula>
    </cfRule>
  </conditionalFormatting>
  <conditionalFormatting sqref="L55">
    <cfRule type="cellIs" dxfId="18431" priority="139975" stopIfTrue="1" operator="lessThan">
      <formula>0.5</formula>
    </cfRule>
  </conditionalFormatting>
  <conditionalFormatting sqref="L55">
    <cfRule type="cellIs" dxfId="18430" priority="139976" stopIfTrue="1" operator="greaterThanOrEqual">
      <formula>0.5</formula>
    </cfRule>
  </conditionalFormatting>
  <conditionalFormatting sqref="L56">
    <cfRule type="cellIs" dxfId="18429" priority="139977" stopIfTrue="1" operator="equal">
      <formula>-1</formula>
    </cfRule>
  </conditionalFormatting>
  <conditionalFormatting sqref="L56">
    <cfRule type="cellIs" dxfId="18428" priority="139978" stopIfTrue="1" operator="lessThan">
      <formula>0.5</formula>
    </cfRule>
  </conditionalFormatting>
  <conditionalFormatting sqref="L56">
    <cfRule type="cellIs" dxfId="18427" priority="139979" stopIfTrue="1" operator="greaterThanOrEqual">
      <formula>0.5</formula>
    </cfRule>
  </conditionalFormatting>
  <conditionalFormatting sqref="L57">
    <cfRule type="cellIs" dxfId="18426" priority="139980" stopIfTrue="1" operator="equal">
      <formula>-1</formula>
    </cfRule>
  </conditionalFormatting>
  <conditionalFormatting sqref="L57">
    <cfRule type="cellIs" dxfId="18425" priority="139981" stopIfTrue="1" operator="lessThan">
      <formula>0.5</formula>
    </cfRule>
  </conditionalFormatting>
  <conditionalFormatting sqref="L57">
    <cfRule type="cellIs" dxfId="18424" priority="139982" stopIfTrue="1" operator="greaterThanOrEqual">
      <formula>0.5</formula>
    </cfRule>
  </conditionalFormatting>
  <conditionalFormatting sqref="L58">
    <cfRule type="cellIs" dxfId="18423" priority="139983" stopIfTrue="1" operator="equal">
      <formula>-1</formula>
    </cfRule>
  </conditionalFormatting>
  <conditionalFormatting sqref="L58">
    <cfRule type="cellIs" dxfId="18422" priority="139984" stopIfTrue="1" operator="lessThan">
      <formula>0.5</formula>
    </cfRule>
  </conditionalFormatting>
  <conditionalFormatting sqref="L58">
    <cfRule type="cellIs" dxfId="18421" priority="139985" stopIfTrue="1" operator="greaterThanOrEqual">
      <formula>0.5</formula>
    </cfRule>
  </conditionalFormatting>
  <conditionalFormatting sqref="N39">
    <cfRule type="cellIs" dxfId="18420" priority="139986" stopIfTrue="1" operator="equal">
      <formula>-1</formula>
    </cfRule>
  </conditionalFormatting>
  <conditionalFormatting sqref="N39">
    <cfRule type="cellIs" dxfId="18419" priority="139987" stopIfTrue="1" operator="lessThan">
      <formula>0.5</formula>
    </cfRule>
  </conditionalFormatting>
  <conditionalFormatting sqref="N39">
    <cfRule type="cellIs" dxfId="18418" priority="139988" stopIfTrue="1" operator="greaterThanOrEqual">
      <formula>0.5</formula>
    </cfRule>
  </conditionalFormatting>
  <conditionalFormatting sqref="N40">
    <cfRule type="cellIs" dxfId="18417" priority="139989" stopIfTrue="1" operator="equal">
      <formula>-1</formula>
    </cfRule>
  </conditionalFormatting>
  <conditionalFormatting sqref="N40">
    <cfRule type="cellIs" dxfId="18416" priority="139990" stopIfTrue="1" operator="lessThan">
      <formula>0.5</formula>
    </cfRule>
  </conditionalFormatting>
  <conditionalFormatting sqref="N40">
    <cfRule type="cellIs" dxfId="18415" priority="139991" stopIfTrue="1" operator="greaterThanOrEqual">
      <formula>0.5</formula>
    </cfRule>
  </conditionalFormatting>
  <conditionalFormatting sqref="N41">
    <cfRule type="cellIs" dxfId="18414" priority="139992" stopIfTrue="1" operator="equal">
      <formula>-1</formula>
    </cfRule>
  </conditionalFormatting>
  <conditionalFormatting sqref="N41">
    <cfRule type="cellIs" dxfId="18413" priority="139993" stopIfTrue="1" operator="lessThan">
      <formula>0.5</formula>
    </cfRule>
  </conditionalFormatting>
  <conditionalFormatting sqref="N41">
    <cfRule type="cellIs" dxfId="18412" priority="139994" stopIfTrue="1" operator="greaterThanOrEqual">
      <formula>0.5</formula>
    </cfRule>
  </conditionalFormatting>
  <conditionalFormatting sqref="N42">
    <cfRule type="cellIs" dxfId="18411" priority="139995" stopIfTrue="1" operator="equal">
      <formula>-1</formula>
    </cfRule>
  </conditionalFormatting>
  <conditionalFormatting sqref="N42">
    <cfRule type="cellIs" dxfId="18410" priority="139996" stopIfTrue="1" operator="lessThan">
      <formula>0.5</formula>
    </cfRule>
  </conditionalFormatting>
  <conditionalFormatting sqref="N42">
    <cfRule type="cellIs" dxfId="18409" priority="139997" stopIfTrue="1" operator="greaterThanOrEqual">
      <formula>0.5</formula>
    </cfRule>
  </conditionalFormatting>
  <conditionalFormatting sqref="N43">
    <cfRule type="cellIs" dxfId="18408" priority="139998" stopIfTrue="1" operator="equal">
      <formula>-1</formula>
    </cfRule>
  </conditionalFormatting>
  <conditionalFormatting sqref="N43">
    <cfRule type="cellIs" dxfId="18407" priority="139999" stopIfTrue="1" operator="lessThan">
      <formula>0.5</formula>
    </cfRule>
  </conditionalFormatting>
  <conditionalFormatting sqref="N43">
    <cfRule type="cellIs" dxfId="18406" priority="140000" stopIfTrue="1" operator="greaterThanOrEqual">
      <formula>0.5</formula>
    </cfRule>
  </conditionalFormatting>
  <conditionalFormatting sqref="N44">
    <cfRule type="cellIs" dxfId="18405" priority="140001" stopIfTrue="1" operator="equal">
      <formula>-1</formula>
    </cfRule>
  </conditionalFormatting>
  <conditionalFormatting sqref="N44">
    <cfRule type="cellIs" dxfId="18404" priority="140002" stopIfTrue="1" operator="lessThan">
      <formula>0.5</formula>
    </cfRule>
  </conditionalFormatting>
  <conditionalFormatting sqref="N44">
    <cfRule type="cellIs" dxfId="18403" priority="140003" stopIfTrue="1" operator="greaterThanOrEqual">
      <formula>0.5</formula>
    </cfRule>
  </conditionalFormatting>
  <conditionalFormatting sqref="N45">
    <cfRule type="cellIs" dxfId="18402" priority="140004" stopIfTrue="1" operator="equal">
      <formula>-1</formula>
    </cfRule>
  </conditionalFormatting>
  <conditionalFormatting sqref="N45">
    <cfRule type="cellIs" dxfId="18401" priority="140005" stopIfTrue="1" operator="lessThan">
      <formula>0.5</formula>
    </cfRule>
  </conditionalFormatting>
  <conditionalFormatting sqref="N45">
    <cfRule type="cellIs" dxfId="18400" priority="140006" stopIfTrue="1" operator="greaterThanOrEqual">
      <formula>0.5</formula>
    </cfRule>
  </conditionalFormatting>
  <conditionalFormatting sqref="N46">
    <cfRule type="cellIs" dxfId="18399" priority="140007" stopIfTrue="1" operator="equal">
      <formula>-1</formula>
    </cfRule>
  </conditionalFormatting>
  <conditionalFormatting sqref="N46">
    <cfRule type="cellIs" dxfId="18398" priority="140008" stopIfTrue="1" operator="lessThan">
      <formula>0.5</formula>
    </cfRule>
  </conditionalFormatting>
  <conditionalFormatting sqref="N46">
    <cfRule type="cellIs" dxfId="18397" priority="140009" stopIfTrue="1" operator="greaterThanOrEqual">
      <formula>0.5</formula>
    </cfRule>
  </conditionalFormatting>
  <conditionalFormatting sqref="N47">
    <cfRule type="cellIs" dxfId="18396" priority="140010" stopIfTrue="1" operator="equal">
      <formula>-1</formula>
    </cfRule>
  </conditionalFormatting>
  <conditionalFormatting sqref="N47">
    <cfRule type="cellIs" dxfId="18395" priority="140011" stopIfTrue="1" operator="lessThan">
      <formula>0.5</formula>
    </cfRule>
  </conditionalFormatting>
  <conditionalFormatting sqref="N47">
    <cfRule type="cellIs" dxfId="18394" priority="140012" stopIfTrue="1" operator="greaterThanOrEqual">
      <formula>0.5</formula>
    </cfRule>
  </conditionalFormatting>
  <conditionalFormatting sqref="N48">
    <cfRule type="cellIs" dxfId="18393" priority="140013" stopIfTrue="1" operator="equal">
      <formula>-1</formula>
    </cfRule>
  </conditionalFormatting>
  <conditionalFormatting sqref="N48">
    <cfRule type="cellIs" dxfId="18392" priority="140014" stopIfTrue="1" operator="lessThan">
      <formula>0.5</formula>
    </cfRule>
  </conditionalFormatting>
  <conditionalFormatting sqref="N48">
    <cfRule type="cellIs" dxfId="18391" priority="140015" stopIfTrue="1" operator="greaterThanOrEqual">
      <formula>0.5</formula>
    </cfRule>
  </conditionalFormatting>
  <conditionalFormatting sqref="N49">
    <cfRule type="cellIs" dxfId="18390" priority="140016" stopIfTrue="1" operator="equal">
      <formula>-1</formula>
    </cfRule>
  </conditionalFormatting>
  <conditionalFormatting sqref="N49">
    <cfRule type="cellIs" dxfId="18389" priority="140017" stopIfTrue="1" operator="lessThan">
      <formula>0.5</formula>
    </cfRule>
  </conditionalFormatting>
  <conditionalFormatting sqref="N49">
    <cfRule type="cellIs" dxfId="18388" priority="140018" stopIfTrue="1" operator="greaterThanOrEqual">
      <formula>0.5</formula>
    </cfRule>
  </conditionalFormatting>
  <conditionalFormatting sqref="N50">
    <cfRule type="cellIs" dxfId="18387" priority="140019" stopIfTrue="1" operator="equal">
      <formula>-1</formula>
    </cfRule>
  </conditionalFormatting>
  <conditionalFormatting sqref="N50">
    <cfRule type="cellIs" dxfId="18386" priority="140020" stopIfTrue="1" operator="lessThan">
      <formula>0.5</formula>
    </cfRule>
  </conditionalFormatting>
  <conditionalFormatting sqref="N50">
    <cfRule type="cellIs" dxfId="18385" priority="140021" stopIfTrue="1" operator="greaterThanOrEqual">
      <formula>0.5</formula>
    </cfRule>
  </conditionalFormatting>
  <conditionalFormatting sqref="N51">
    <cfRule type="cellIs" dxfId="18384" priority="140022" stopIfTrue="1" operator="equal">
      <formula>-1</formula>
    </cfRule>
  </conditionalFormatting>
  <conditionalFormatting sqref="N51">
    <cfRule type="cellIs" dxfId="18383" priority="140023" stopIfTrue="1" operator="lessThan">
      <formula>0.5</formula>
    </cfRule>
  </conditionalFormatting>
  <conditionalFormatting sqref="N51">
    <cfRule type="cellIs" dxfId="18382" priority="140024" stopIfTrue="1" operator="greaterThanOrEqual">
      <formula>0.5</formula>
    </cfRule>
  </conditionalFormatting>
  <conditionalFormatting sqref="N52">
    <cfRule type="cellIs" dxfId="18381" priority="140025" stopIfTrue="1" operator="equal">
      <formula>-1</formula>
    </cfRule>
  </conditionalFormatting>
  <conditionalFormatting sqref="N52">
    <cfRule type="cellIs" dxfId="18380" priority="140026" stopIfTrue="1" operator="lessThan">
      <formula>0.5</formula>
    </cfRule>
  </conditionalFormatting>
  <conditionalFormatting sqref="N52">
    <cfRule type="cellIs" dxfId="18379" priority="140027" stopIfTrue="1" operator="greaterThanOrEqual">
      <formula>0.5</formula>
    </cfRule>
  </conditionalFormatting>
  <conditionalFormatting sqref="N53">
    <cfRule type="cellIs" dxfId="18378" priority="140028" stopIfTrue="1" operator="equal">
      <formula>-1</formula>
    </cfRule>
  </conditionalFormatting>
  <conditionalFormatting sqref="N53">
    <cfRule type="cellIs" dxfId="18377" priority="140029" stopIfTrue="1" operator="lessThan">
      <formula>0.5</formula>
    </cfRule>
  </conditionalFormatting>
  <conditionalFormatting sqref="N53">
    <cfRule type="cellIs" dxfId="18376" priority="140030" stopIfTrue="1" operator="greaterThanOrEqual">
      <formula>0.5</formula>
    </cfRule>
  </conditionalFormatting>
  <conditionalFormatting sqref="N54">
    <cfRule type="cellIs" dxfId="18375" priority="140031" stopIfTrue="1" operator="equal">
      <formula>-1</formula>
    </cfRule>
  </conditionalFormatting>
  <conditionalFormatting sqref="N54">
    <cfRule type="cellIs" dxfId="18374" priority="140032" stopIfTrue="1" operator="lessThan">
      <formula>0.5</formula>
    </cfRule>
  </conditionalFormatting>
  <conditionalFormatting sqref="N54">
    <cfRule type="cellIs" dxfId="18373" priority="140033" stopIfTrue="1" operator="greaterThanOrEqual">
      <formula>0.5</formula>
    </cfRule>
  </conditionalFormatting>
  <conditionalFormatting sqref="N55">
    <cfRule type="cellIs" dxfId="18372" priority="140034" stopIfTrue="1" operator="equal">
      <formula>-1</formula>
    </cfRule>
  </conditionalFormatting>
  <conditionalFormatting sqref="N55">
    <cfRule type="cellIs" dxfId="18371" priority="140035" stopIfTrue="1" operator="lessThan">
      <formula>0.5</formula>
    </cfRule>
  </conditionalFormatting>
  <conditionalFormatting sqref="N55">
    <cfRule type="cellIs" dxfId="18370" priority="140036" stopIfTrue="1" operator="greaterThanOrEqual">
      <formula>0.5</formula>
    </cfRule>
  </conditionalFormatting>
  <conditionalFormatting sqref="N56">
    <cfRule type="cellIs" dxfId="18369" priority="140037" stopIfTrue="1" operator="equal">
      <formula>-1</formula>
    </cfRule>
  </conditionalFormatting>
  <conditionalFormatting sqref="N56">
    <cfRule type="cellIs" dxfId="18368" priority="140038" stopIfTrue="1" operator="lessThan">
      <formula>0.5</formula>
    </cfRule>
  </conditionalFormatting>
  <conditionalFormatting sqref="N56">
    <cfRule type="cellIs" dxfId="18367" priority="140039" stopIfTrue="1" operator="greaterThanOrEqual">
      <formula>0.5</formula>
    </cfRule>
  </conditionalFormatting>
  <conditionalFormatting sqref="N57">
    <cfRule type="cellIs" dxfId="18366" priority="140040" stopIfTrue="1" operator="equal">
      <formula>-1</formula>
    </cfRule>
  </conditionalFormatting>
  <conditionalFormatting sqref="N57">
    <cfRule type="cellIs" dxfId="18365" priority="140041" stopIfTrue="1" operator="lessThan">
      <formula>0.5</formula>
    </cfRule>
  </conditionalFormatting>
  <conditionalFormatting sqref="N57">
    <cfRule type="cellIs" dxfId="18364" priority="140042" stopIfTrue="1" operator="greaterThanOrEqual">
      <formula>0.5</formula>
    </cfRule>
  </conditionalFormatting>
  <conditionalFormatting sqref="N58">
    <cfRule type="cellIs" dxfId="18363" priority="140043" stopIfTrue="1" operator="equal">
      <formula>-1</formula>
    </cfRule>
  </conditionalFormatting>
  <conditionalFormatting sqref="N58">
    <cfRule type="cellIs" dxfId="18362" priority="140044" stopIfTrue="1" operator="lessThan">
      <formula>0.5</formula>
    </cfRule>
  </conditionalFormatting>
  <conditionalFormatting sqref="N58">
    <cfRule type="cellIs" dxfId="18361" priority="140045" stopIfTrue="1" operator="greaterThanOrEqual">
      <formula>0.5</formula>
    </cfRule>
  </conditionalFormatting>
  <conditionalFormatting sqref="P39">
    <cfRule type="cellIs" dxfId="18360" priority="140046" stopIfTrue="1" operator="equal">
      <formula>-1</formula>
    </cfRule>
  </conditionalFormatting>
  <conditionalFormatting sqref="P39">
    <cfRule type="cellIs" dxfId="18359" priority="140047" stopIfTrue="1" operator="lessThan">
      <formula>0.5</formula>
    </cfRule>
  </conditionalFormatting>
  <conditionalFormatting sqref="P39">
    <cfRule type="cellIs" dxfId="18358" priority="140048" stopIfTrue="1" operator="greaterThanOrEqual">
      <formula>0.5</formula>
    </cfRule>
  </conditionalFormatting>
  <conditionalFormatting sqref="P40">
    <cfRule type="cellIs" dxfId="18357" priority="140049" stopIfTrue="1" operator="equal">
      <formula>-1</formula>
    </cfRule>
  </conditionalFormatting>
  <conditionalFormatting sqref="P40">
    <cfRule type="cellIs" dxfId="18356" priority="140050" stopIfTrue="1" operator="lessThan">
      <formula>0.5</formula>
    </cfRule>
  </conditionalFormatting>
  <conditionalFormatting sqref="P40">
    <cfRule type="cellIs" dxfId="18355" priority="140051" stopIfTrue="1" operator="greaterThanOrEqual">
      <formula>0.5</formula>
    </cfRule>
  </conditionalFormatting>
  <conditionalFormatting sqref="P41">
    <cfRule type="cellIs" dxfId="18354" priority="140052" stopIfTrue="1" operator="equal">
      <formula>-1</formula>
    </cfRule>
  </conditionalFormatting>
  <conditionalFormatting sqref="P41">
    <cfRule type="cellIs" dxfId="18353" priority="140053" stopIfTrue="1" operator="lessThan">
      <formula>0.5</formula>
    </cfRule>
  </conditionalFormatting>
  <conditionalFormatting sqref="P41">
    <cfRule type="cellIs" dxfId="18352" priority="140054" stopIfTrue="1" operator="greaterThanOrEqual">
      <formula>0.5</formula>
    </cfRule>
  </conditionalFormatting>
  <conditionalFormatting sqref="P42">
    <cfRule type="cellIs" dxfId="18351" priority="140055" stopIfTrue="1" operator="equal">
      <formula>-1</formula>
    </cfRule>
  </conditionalFormatting>
  <conditionalFormatting sqref="P42">
    <cfRule type="cellIs" dxfId="18350" priority="140056" stopIfTrue="1" operator="lessThan">
      <formula>0.5</formula>
    </cfRule>
  </conditionalFormatting>
  <conditionalFormatting sqref="P42">
    <cfRule type="cellIs" dxfId="18349" priority="140057" stopIfTrue="1" operator="greaterThanOrEqual">
      <formula>0.5</formula>
    </cfRule>
  </conditionalFormatting>
  <conditionalFormatting sqref="P43">
    <cfRule type="cellIs" dxfId="18348" priority="140058" stopIfTrue="1" operator="equal">
      <formula>-1</formula>
    </cfRule>
  </conditionalFormatting>
  <conditionalFormatting sqref="P43">
    <cfRule type="cellIs" dxfId="18347" priority="140059" stopIfTrue="1" operator="lessThan">
      <formula>0.5</formula>
    </cfRule>
  </conditionalFormatting>
  <conditionalFormatting sqref="P43">
    <cfRule type="cellIs" dxfId="18346" priority="140060" stopIfTrue="1" operator="greaterThanOrEqual">
      <formula>0.5</formula>
    </cfRule>
  </conditionalFormatting>
  <conditionalFormatting sqref="P44">
    <cfRule type="cellIs" dxfId="18345" priority="140061" stopIfTrue="1" operator="equal">
      <formula>-1</formula>
    </cfRule>
  </conditionalFormatting>
  <conditionalFormatting sqref="P44">
    <cfRule type="cellIs" dxfId="18344" priority="140062" stopIfTrue="1" operator="lessThan">
      <formula>0.5</formula>
    </cfRule>
  </conditionalFormatting>
  <conditionalFormatting sqref="P44">
    <cfRule type="cellIs" dxfId="18343" priority="140063" stopIfTrue="1" operator="greaterThanOrEqual">
      <formula>0.5</formula>
    </cfRule>
  </conditionalFormatting>
  <conditionalFormatting sqref="P45">
    <cfRule type="cellIs" dxfId="18342" priority="140064" stopIfTrue="1" operator="equal">
      <formula>-1</formula>
    </cfRule>
  </conditionalFormatting>
  <conditionalFormatting sqref="P45">
    <cfRule type="cellIs" dxfId="18341" priority="140065" stopIfTrue="1" operator="lessThan">
      <formula>0.5</formula>
    </cfRule>
  </conditionalFormatting>
  <conditionalFormatting sqref="P45">
    <cfRule type="cellIs" dxfId="18340" priority="140066" stopIfTrue="1" operator="greaterThanOrEqual">
      <formula>0.5</formula>
    </cfRule>
  </conditionalFormatting>
  <conditionalFormatting sqref="P46">
    <cfRule type="cellIs" dxfId="18339" priority="140067" stopIfTrue="1" operator="equal">
      <formula>-1</formula>
    </cfRule>
  </conditionalFormatting>
  <conditionalFormatting sqref="P46">
    <cfRule type="cellIs" dxfId="18338" priority="140068" stopIfTrue="1" operator="lessThan">
      <formula>0.5</formula>
    </cfRule>
  </conditionalFormatting>
  <conditionalFormatting sqref="P46">
    <cfRule type="cellIs" dxfId="18337" priority="140069" stopIfTrue="1" operator="greaterThanOrEqual">
      <formula>0.5</formula>
    </cfRule>
  </conditionalFormatting>
  <conditionalFormatting sqref="P47">
    <cfRule type="cellIs" dxfId="18336" priority="140070" stopIfTrue="1" operator="equal">
      <formula>-1</formula>
    </cfRule>
  </conditionalFormatting>
  <conditionalFormatting sqref="P47">
    <cfRule type="cellIs" dxfId="18335" priority="140071" stopIfTrue="1" operator="lessThan">
      <formula>0.5</formula>
    </cfRule>
  </conditionalFormatting>
  <conditionalFormatting sqref="P47">
    <cfRule type="cellIs" dxfId="18334" priority="140072" stopIfTrue="1" operator="greaterThanOrEqual">
      <formula>0.5</formula>
    </cfRule>
  </conditionalFormatting>
  <conditionalFormatting sqref="P48">
    <cfRule type="cellIs" dxfId="18333" priority="140073" stopIfTrue="1" operator="equal">
      <formula>-1</formula>
    </cfRule>
  </conditionalFormatting>
  <conditionalFormatting sqref="P48">
    <cfRule type="cellIs" dxfId="18332" priority="140074" stopIfTrue="1" operator="lessThan">
      <formula>0.5</formula>
    </cfRule>
  </conditionalFormatting>
  <conditionalFormatting sqref="P48">
    <cfRule type="cellIs" dxfId="18331" priority="140075" stopIfTrue="1" operator="greaterThanOrEqual">
      <formula>0.5</formula>
    </cfRule>
  </conditionalFormatting>
  <conditionalFormatting sqref="P49">
    <cfRule type="cellIs" dxfId="18330" priority="140076" stopIfTrue="1" operator="equal">
      <formula>-1</formula>
    </cfRule>
  </conditionalFormatting>
  <conditionalFormatting sqref="P49">
    <cfRule type="cellIs" dxfId="18329" priority="140077" stopIfTrue="1" operator="lessThan">
      <formula>0.5</formula>
    </cfRule>
  </conditionalFormatting>
  <conditionalFormatting sqref="P49">
    <cfRule type="cellIs" dxfId="18328" priority="140078" stopIfTrue="1" operator="greaterThanOrEqual">
      <formula>0.5</formula>
    </cfRule>
  </conditionalFormatting>
  <conditionalFormatting sqref="P50">
    <cfRule type="cellIs" dxfId="18327" priority="140079" stopIfTrue="1" operator="equal">
      <formula>-1</formula>
    </cfRule>
  </conditionalFormatting>
  <conditionalFormatting sqref="P50">
    <cfRule type="cellIs" dxfId="18326" priority="140080" stopIfTrue="1" operator="lessThan">
      <formula>0.5</formula>
    </cfRule>
  </conditionalFormatting>
  <conditionalFormatting sqref="P50">
    <cfRule type="cellIs" dxfId="18325" priority="140081" stopIfTrue="1" operator="greaterThanOrEqual">
      <formula>0.5</formula>
    </cfRule>
  </conditionalFormatting>
  <conditionalFormatting sqref="P51">
    <cfRule type="cellIs" dxfId="18324" priority="140082" stopIfTrue="1" operator="equal">
      <formula>-1</formula>
    </cfRule>
  </conditionalFormatting>
  <conditionalFormatting sqref="P51">
    <cfRule type="cellIs" dxfId="18323" priority="140083" stopIfTrue="1" operator="lessThan">
      <formula>0.5</formula>
    </cfRule>
  </conditionalFormatting>
  <conditionalFormatting sqref="P51">
    <cfRule type="cellIs" dxfId="18322" priority="140084" stopIfTrue="1" operator="greaterThanOrEqual">
      <formula>0.5</formula>
    </cfRule>
  </conditionalFormatting>
  <conditionalFormatting sqref="P52">
    <cfRule type="cellIs" dxfId="18321" priority="140085" stopIfTrue="1" operator="equal">
      <formula>-1</formula>
    </cfRule>
  </conditionalFormatting>
  <conditionalFormatting sqref="P52">
    <cfRule type="cellIs" dxfId="18320" priority="140086" stopIfTrue="1" operator="lessThan">
      <formula>0.5</formula>
    </cfRule>
  </conditionalFormatting>
  <conditionalFormatting sqref="P52">
    <cfRule type="cellIs" dxfId="18319" priority="140087" stopIfTrue="1" operator="greaterThanOrEqual">
      <formula>0.5</formula>
    </cfRule>
  </conditionalFormatting>
  <conditionalFormatting sqref="P53">
    <cfRule type="cellIs" dxfId="18318" priority="140088" stopIfTrue="1" operator="equal">
      <formula>-1</formula>
    </cfRule>
  </conditionalFormatting>
  <conditionalFormatting sqref="P53">
    <cfRule type="cellIs" dxfId="18317" priority="140089" stopIfTrue="1" operator="lessThan">
      <formula>0.5</formula>
    </cfRule>
  </conditionalFormatting>
  <conditionalFormatting sqref="P53">
    <cfRule type="cellIs" dxfId="18316" priority="140090" stopIfTrue="1" operator="greaterThanOrEqual">
      <formula>0.5</formula>
    </cfRule>
  </conditionalFormatting>
  <conditionalFormatting sqref="P54">
    <cfRule type="cellIs" dxfId="18315" priority="140091" stopIfTrue="1" operator="equal">
      <formula>-1</formula>
    </cfRule>
  </conditionalFormatting>
  <conditionalFormatting sqref="P54">
    <cfRule type="cellIs" dxfId="18314" priority="140092" stopIfTrue="1" operator="lessThan">
      <formula>0.5</formula>
    </cfRule>
  </conditionalFormatting>
  <conditionalFormatting sqref="P54">
    <cfRule type="cellIs" dxfId="18313" priority="140093" stopIfTrue="1" operator="greaterThanOrEqual">
      <formula>0.5</formula>
    </cfRule>
  </conditionalFormatting>
  <conditionalFormatting sqref="P55">
    <cfRule type="cellIs" dxfId="18312" priority="140094" stopIfTrue="1" operator="equal">
      <formula>-1</formula>
    </cfRule>
  </conditionalFormatting>
  <conditionalFormatting sqref="P55">
    <cfRule type="cellIs" dxfId="18311" priority="140095" stopIfTrue="1" operator="lessThan">
      <formula>0.5</formula>
    </cfRule>
  </conditionalFormatting>
  <conditionalFormatting sqref="P55">
    <cfRule type="cellIs" dxfId="18310" priority="140096" stopIfTrue="1" operator="greaterThanOrEqual">
      <formula>0.5</formula>
    </cfRule>
  </conditionalFormatting>
  <conditionalFormatting sqref="P56">
    <cfRule type="cellIs" dxfId="18309" priority="140097" stopIfTrue="1" operator="equal">
      <formula>-1</formula>
    </cfRule>
  </conditionalFormatting>
  <conditionalFormatting sqref="P56">
    <cfRule type="cellIs" dxfId="18308" priority="140098" stopIfTrue="1" operator="lessThan">
      <formula>0.5</formula>
    </cfRule>
  </conditionalFormatting>
  <conditionalFormatting sqref="P56">
    <cfRule type="cellIs" dxfId="18307" priority="140099" stopIfTrue="1" operator="greaterThanOrEqual">
      <formula>0.5</formula>
    </cfRule>
  </conditionalFormatting>
  <conditionalFormatting sqref="P57">
    <cfRule type="cellIs" dxfId="18306" priority="140100" stopIfTrue="1" operator="equal">
      <formula>-1</formula>
    </cfRule>
  </conditionalFormatting>
  <conditionalFormatting sqref="P57">
    <cfRule type="cellIs" dxfId="18305" priority="140101" stopIfTrue="1" operator="lessThan">
      <formula>0.5</formula>
    </cfRule>
  </conditionalFormatting>
  <conditionalFormatting sqref="P57">
    <cfRule type="cellIs" dxfId="18304" priority="140102" stopIfTrue="1" operator="greaterThanOrEqual">
      <formula>0.5</formula>
    </cfRule>
  </conditionalFormatting>
  <conditionalFormatting sqref="P58">
    <cfRule type="cellIs" dxfId="18303" priority="140103" stopIfTrue="1" operator="equal">
      <formula>-1</formula>
    </cfRule>
  </conditionalFormatting>
  <conditionalFormatting sqref="P58">
    <cfRule type="cellIs" dxfId="18302" priority="140104" stopIfTrue="1" operator="lessThan">
      <formula>0.5</formula>
    </cfRule>
  </conditionalFormatting>
  <conditionalFormatting sqref="P58">
    <cfRule type="cellIs" dxfId="18301" priority="140105" stopIfTrue="1" operator="greaterThanOrEqual">
      <formula>0.5</formula>
    </cfRule>
  </conditionalFormatting>
  <conditionalFormatting sqref="R39">
    <cfRule type="cellIs" dxfId="18300" priority="140106" stopIfTrue="1" operator="equal">
      <formula>-1</formula>
    </cfRule>
  </conditionalFormatting>
  <conditionalFormatting sqref="R39">
    <cfRule type="cellIs" dxfId="18299" priority="140107" stopIfTrue="1" operator="lessThan">
      <formula>0.5</formula>
    </cfRule>
  </conditionalFormatting>
  <conditionalFormatting sqref="R39">
    <cfRule type="cellIs" dxfId="18298" priority="140108" stopIfTrue="1" operator="greaterThanOrEqual">
      <formula>0.5</formula>
    </cfRule>
  </conditionalFormatting>
  <conditionalFormatting sqref="R40">
    <cfRule type="cellIs" dxfId="18297" priority="140109" stopIfTrue="1" operator="equal">
      <formula>-1</formula>
    </cfRule>
  </conditionalFormatting>
  <conditionalFormatting sqref="R40">
    <cfRule type="cellIs" dxfId="18296" priority="140110" stopIfTrue="1" operator="lessThan">
      <formula>0.5</formula>
    </cfRule>
  </conditionalFormatting>
  <conditionalFormatting sqref="R40">
    <cfRule type="cellIs" dxfId="18295" priority="140111" stopIfTrue="1" operator="greaterThanOrEqual">
      <formula>0.5</formula>
    </cfRule>
  </conditionalFormatting>
  <conditionalFormatting sqref="R41">
    <cfRule type="cellIs" dxfId="18294" priority="140112" stopIfTrue="1" operator="equal">
      <formula>-1</formula>
    </cfRule>
  </conditionalFormatting>
  <conditionalFormatting sqref="R41">
    <cfRule type="cellIs" dxfId="18293" priority="140113" stopIfTrue="1" operator="lessThan">
      <formula>0.5</formula>
    </cfRule>
  </conditionalFormatting>
  <conditionalFormatting sqref="R41">
    <cfRule type="cellIs" dxfId="18292" priority="140114" stopIfTrue="1" operator="greaterThanOrEqual">
      <formula>0.5</formula>
    </cfRule>
  </conditionalFormatting>
  <conditionalFormatting sqref="R42">
    <cfRule type="cellIs" dxfId="18291" priority="140115" stopIfTrue="1" operator="equal">
      <formula>-1</formula>
    </cfRule>
  </conditionalFormatting>
  <conditionalFormatting sqref="R42">
    <cfRule type="cellIs" dxfId="18290" priority="140116" stopIfTrue="1" operator="lessThan">
      <formula>0.5</formula>
    </cfRule>
  </conditionalFormatting>
  <conditionalFormatting sqref="R42">
    <cfRule type="cellIs" dxfId="18289" priority="140117" stopIfTrue="1" operator="greaterThanOrEqual">
      <formula>0.5</formula>
    </cfRule>
  </conditionalFormatting>
  <conditionalFormatting sqref="R43">
    <cfRule type="cellIs" dxfId="18288" priority="140118" stopIfTrue="1" operator="equal">
      <formula>-1</formula>
    </cfRule>
  </conditionalFormatting>
  <conditionalFormatting sqref="R43">
    <cfRule type="cellIs" dxfId="18287" priority="140119" stopIfTrue="1" operator="lessThan">
      <formula>0.5</formula>
    </cfRule>
  </conditionalFormatting>
  <conditionalFormatting sqref="R43">
    <cfRule type="cellIs" dxfId="18286" priority="140120" stopIfTrue="1" operator="greaterThanOrEqual">
      <formula>0.5</formula>
    </cfRule>
  </conditionalFormatting>
  <conditionalFormatting sqref="R44">
    <cfRule type="cellIs" dxfId="18285" priority="140121" stopIfTrue="1" operator="equal">
      <formula>-1</formula>
    </cfRule>
  </conditionalFormatting>
  <conditionalFormatting sqref="R44">
    <cfRule type="cellIs" dxfId="18284" priority="140122" stopIfTrue="1" operator="lessThan">
      <formula>0.5</formula>
    </cfRule>
  </conditionalFormatting>
  <conditionalFormatting sqref="R44">
    <cfRule type="cellIs" dxfId="18283" priority="140123" stopIfTrue="1" operator="greaterThanOrEqual">
      <formula>0.5</formula>
    </cfRule>
  </conditionalFormatting>
  <conditionalFormatting sqref="R45">
    <cfRule type="cellIs" dxfId="18282" priority="140124" stopIfTrue="1" operator="equal">
      <formula>-1</formula>
    </cfRule>
  </conditionalFormatting>
  <conditionalFormatting sqref="R45">
    <cfRule type="cellIs" dxfId="18281" priority="140125" stopIfTrue="1" operator="lessThan">
      <formula>0.5</formula>
    </cfRule>
  </conditionalFormatting>
  <conditionalFormatting sqref="R45">
    <cfRule type="cellIs" dxfId="18280" priority="140126" stopIfTrue="1" operator="greaterThanOrEqual">
      <formula>0.5</formula>
    </cfRule>
  </conditionalFormatting>
  <conditionalFormatting sqref="R46">
    <cfRule type="cellIs" dxfId="18279" priority="140127" stopIfTrue="1" operator="equal">
      <formula>-1</formula>
    </cfRule>
  </conditionalFormatting>
  <conditionalFormatting sqref="R46">
    <cfRule type="cellIs" dxfId="18278" priority="140128" stopIfTrue="1" operator="lessThan">
      <formula>0.5</formula>
    </cfRule>
  </conditionalFormatting>
  <conditionalFormatting sqref="R46">
    <cfRule type="cellIs" dxfId="18277" priority="140129" stopIfTrue="1" operator="greaterThanOrEqual">
      <formula>0.5</formula>
    </cfRule>
  </conditionalFormatting>
  <conditionalFormatting sqref="R47">
    <cfRule type="cellIs" dxfId="18276" priority="140130" stopIfTrue="1" operator="equal">
      <formula>-1</formula>
    </cfRule>
  </conditionalFormatting>
  <conditionalFormatting sqref="R47">
    <cfRule type="cellIs" dxfId="18275" priority="140131" stopIfTrue="1" operator="lessThan">
      <formula>0.5</formula>
    </cfRule>
  </conditionalFormatting>
  <conditionalFormatting sqref="R47">
    <cfRule type="cellIs" dxfId="18274" priority="140132" stopIfTrue="1" operator="greaterThanOrEqual">
      <formula>0.5</formula>
    </cfRule>
  </conditionalFormatting>
  <conditionalFormatting sqref="R48">
    <cfRule type="cellIs" dxfId="18273" priority="140133" stopIfTrue="1" operator="equal">
      <formula>-1</formula>
    </cfRule>
  </conditionalFormatting>
  <conditionalFormatting sqref="R48">
    <cfRule type="cellIs" dxfId="18272" priority="140134" stopIfTrue="1" operator="lessThan">
      <formula>0.5</formula>
    </cfRule>
  </conditionalFormatting>
  <conditionalFormatting sqref="R48">
    <cfRule type="cellIs" dxfId="18271" priority="140135" stopIfTrue="1" operator="greaterThanOrEqual">
      <formula>0.5</formula>
    </cfRule>
  </conditionalFormatting>
  <conditionalFormatting sqref="R49">
    <cfRule type="cellIs" dxfId="18270" priority="140136" stopIfTrue="1" operator="equal">
      <formula>-1</formula>
    </cfRule>
  </conditionalFormatting>
  <conditionalFormatting sqref="R49">
    <cfRule type="cellIs" dxfId="18269" priority="140137" stopIfTrue="1" operator="lessThan">
      <formula>0.5</formula>
    </cfRule>
  </conditionalFormatting>
  <conditionalFormatting sqref="R49">
    <cfRule type="cellIs" dxfId="18268" priority="140138" stopIfTrue="1" operator="greaterThanOrEqual">
      <formula>0.5</formula>
    </cfRule>
  </conditionalFormatting>
  <conditionalFormatting sqref="R50">
    <cfRule type="cellIs" dxfId="18267" priority="140139" stopIfTrue="1" operator="equal">
      <formula>-1</formula>
    </cfRule>
  </conditionalFormatting>
  <conditionalFormatting sqref="R50">
    <cfRule type="cellIs" dxfId="18266" priority="140140" stopIfTrue="1" operator="lessThan">
      <formula>0.5</formula>
    </cfRule>
  </conditionalFormatting>
  <conditionalFormatting sqref="R50">
    <cfRule type="cellIs" dxfId="18265" priority="140141" stopIfTrue="1" operator="greaterThanOrEqual">
      <formula>0.5</formula>
    </cfRule>
  </conditionalFormatting>
  <conditionalFormatting sqref="R51">
    <cfRule type="cellIs" dxfId="18264" priority="140142" stopIfTrue="1" operator="equal">
      <formula>-1</formula>
    </cfRule>
  </conditionalFormatting>
  <conditionalFormatting sqref="R51">
    <cfRule type="cellIs" dxfId="18263" priority="140143" stopIfTrue="1" operator="lessThan">
      <formula>0.5</formula>
    </cfRule>
  </conditionalFormatting>
  <conditionalFormatting sqref="R51">
    <cfRule type="cellIs" dxfId="18262" priority="140144" stopIfTrue="1" operator="greaterThanOrEqual">
      <formula>0.5</formula>
    </cfRule>
  </conditionalFormatting>
  <conditionalFormatting sqref="R52">
    <cfRule type="cellIs" dxfId="18261" priority="140145" stopIfTrue="1" operator="equal">
      <formula>-1</formula>
    </cfRule>
  </conditionalFormatting>
  <conditionalFormatting sqref="R52">
    <cfRule type="cellIs" dxfId="18260" priority="140146" stopIfTrue="1" operator="lessThan">
      <formula>0.5</formula>
    </cfRule>
  </conditionalFormatting>
  <conditionalFormatting sqref="R52">
    <cfRule type="cellIs" dxfId="18259" priority="140147" stopIfTrue="1" operator="greaterThanOrEqual">
      <formula>0.5</formula>
    </cfRule>
  </conditionalFormatting>
  <conditionalFormatting sqref="R53">
    <cfRule type="cellIs" dxfId="18258" priority="140148" stopIfTrue="1" operator="equal">
      <formula>-1</formula>
    </cfRule>
  </conditionalFormatting>
  <conditionalFormatting sqref="R53">
    <cfRule type="cellIs" dxfId="18257" priority="140149" stopIfTrue="1" operator="lessThan">
      <formula>0.5</formula>
    </cfRule>
  </conditionalFormatting>
  <conditionalFormatting sqref="R53">
    <cfRule type="cellIs" dxfId="18256" priority="140150" stopIfTrue="1" operator="greaterThanOrEqual">
      <formula>0.5</formula>
    </cfRule>
  </conditionalFormatting>
  <conditionalFormatting sqref="R54">
    <cfRule type="cellIs" dxfId="18255" priority="140151" stopIfTrue="1" operator="equal">
      <formula>-1</formula>
    </cfRule>
  </conditionalFormatting>
  <conditionalFormatting sqref="R54">
    <cfRule type="cellIs" dxfId="18254" priority="140152" stopIfTrue="1" operator="lessThan">
      <formula>0.5</formula>
    </cfRule>
  </conditionalFormatting>
  <conditionalFormatting sqref="R54">
    <cfRule type="cellIs" dxfId="18253" priority="140153" stopIfTrue="1" operator="greaterThanOrEqual">
      <formula>0.5</formula>
    </cfRule>
  </conditionalFormatting>
  <conditionalFormatting sqref="R55">
    <cfRule type="cellIs" dxfId="18252" priority="140154" stopIfTrue="1" operator="equal">
      <formula>-1</formula>
    </cfRule>
  </conditionalFormatting>
  <conditionalFormatting sqref="R55">
    <cfRule type="cellIs" dxfId="18251" priority="140155" stopIfTrue="1" operator="lessThan">
      <formula>0.5</formula>
    </cfRule>
  </conditionalFormatting>
  <conditionalFormatting sqref="R55">
    <cfRule type="cellIs" dxfId="18250" priority="140156" stopIfTrue="1" operator="greaterThanOrEqual">
      <formula>0.5</formula>
    </cfRule>
  </conditionalFormatting>
  <conditionalFormatting sqref="R56">
    <cfRule type="cellIs" dxfId="18249" priority="140157" stopIfTrue="1" operator="equal">
      <formula>-1</formula>
    </cfRule>
  </conditionalFormatting>
  <conditionalFormatting sqref="R56">
    <cfRule type="cellIs" dxfId="18248" priority="140158" stopIfTrue="1" operator="lessThan">
      <formula>0.5</formula>
    </cfRule>
  </conditionalFormatting>
  <conditionalFormatting sqref="R56">
    <cfRule type="cellIs" dxfId="18247" priority="140159" stopIfTrue="1" operator="greaterThanOrEqual">
      <formula>0.5</formula>
    </cfRule>
  </conditionalFormatting>
  <conditionalFormatting sqref="R57">
    <cfRule type="cellIs" dxfId="18246" priority="140160" stopIfTrue="1" operator="equal">
      <formula>-1</formula>
    </cfRule>
  </conditionalFormatting>
  <conditionalFormatting sqref="R57">
    <cfRule type="cellIs" dxfId="18245" priority="140161" stopIfTrue="1" operator="lessThan">
      <formula>0.5</formula>
    </cfRule>
  </conditionalFormatting>
  <conditionalFormatting sqref="R57">
    <cfRule type="cellIs" dxfId="18244" priority="140162" stopIfTrue="1" operator="greaterThanOrEqual">
      <formula>0.5</formula>
    </cfRule>
  </conditionalFormatting>
  <conditionalFormatting sqref="R58">
    <cfRule type="cellIs" dxfId="18243" priority="140163" stopIfTrue="1" operator="equal">
      <formula>-1</formula>
    </cfRule>
  </conditionalFormatting>
  <conditionalFormatting sqref="R58">
    <cfRule type="cellIs" dxfId="18242" priority="140164" stopIfTrue="1" operator="lessThan">
      <formula>0.5</formula>
    </cfRule>
  </conditionalFormatting>
  <conditionalFormatting sqref="R58">
    <cfRule type="cellIs" dxfId="18241" priority="140165" stopIfTrue="1" operator="greaterThanOrEqual">
      <formula>0.5</formula>
    </cfRule>
  </conditionalFormatting>
  <conditionalFormatting sqref="T39">
    <cfRule type="cellIs" dxfId="18240" priority="140166" stopIfTrue="1" operator="equal">
      <formula>-1</formula>
    </cfRule>
  </conditionalFormatting>
  <conditionalFormatting sqref="T39">
    <cfRule type="cellIs" dxfId="18239" priority="140167" stopIfTrue="1" operator="lessThan">
      <formula>0.5</formula>
    </cfRule>
  </conditionalFormatting>
  <conditionalFormatting sqref="T39">
    <cfRule type="cellIs" dxfId="18238" priority="140168" stopIfTrue="1" operator="greaterThanOrEqual">
      <formula>0.5</formula>
    </cfRule>
  </conditionalFormatting>
  <conditionalFormatting sqref="T40">
    <cfRule type="cellIs" dxfId="18237" priority="140169" stopIfTrue="1" operator="equal">
      <formula>-1</formula>
    </cfRule>
  </conditionalFormatting>
  <conditionalFormatting sqref="T40">
    <cfRule type="cellIs" dxfId="18236" priority="140170" stopIfTrue="1" operator="lessThan">
      <formula>0.5</formula>
    </cfRule>
  </conditionalFormatting>
  <conditionalFormatting sqref="T40">
    <cfRule type="cellIs" dxfId="18235" priority="140171" stopIfTrue="1" operator="greaterThanOrEqual">
      <formula>0.5</formula>
    </cfRule>
  </conditionalFormatting>
  <conditionalFormatting sqref="T41">
    <cfRule type="cellIs" dxfId="18234" priority="140172" stopIfTrue="1" operator="equal">
      <formula>-1</formula>
    </cfRule>
  </conditionalFormatting>
  <conditionalFormatting sqref="T41">
    <cfRule type="cellIs" dxfId="18233" priority="140173" stopIfTrue="1" operator="lessThan">
      <formula>0.5</formula>
    </cfRule>
  </conditionalFormatting>
  <conditionalFormatting sqref="T41">
    <cfRule type="cellIs" dxfId="18232" priority="140174" stopIfTrue="1" operator="greaterThanOrEqual">
      <formula>0.5</formula>
    </cfRule>
  </conditionalFormatting>
  <conditionalFormatting sqref="T42">
    <cfRule type="cellIs" dxfId="18231" priority="140175" stopIfTrue="1" operator="equal">
      <formula>-1</formula>
    </cfRule>
  </conditionalFormatting>
  <conditionalFormatting sqref="T42">
    <cfRule type="cellIs" dxfId="18230" priority="140176" stopIfTrue="1" operator="lessThan">
      <formula>0.5</formula>
    </cfRule>
  </conditionalFormatting>
  <conditionalFormatting sqref="T42">
    <cfRule type="cellIs" dxfId="18229" priority="140177" stopIfTrue="1" operator="greaterThanOrEqual">
      <formula>0.5</formula>
    </cfRule>
  </conditionalFormatting>
  <conditionalFormatting sqref="T43">
    <cfRule type="cellIs" dxfId="18228" priority="140178" stopIfTrue="1" operator="equal">
      <formula>-1</formula>
    </cfRule>
  </conditionalFormatting>
  <conditionalFormatting sqref="T43">
    <cfRule type="cellIs" dxfId="18227" priority="140179" stopIfTrue="1" operator="lessThan">
      <formula>0.5</formula>
    </cfRule>
  </conditionalFormatting>
  <conditionalFormatting sqref="T43">
    <cfRule type="cellIs" dxfId="18226" priority="140180" stopIfTrue="1" operator="greaterThanOrEqual">
      <formula>0.5</formula>
    </cfRule>
  </conditionalFormatting>
  <conditionalFormatting sqref="T44">
    <cfRule type="cellIs" dxfId="18225" priority="140181" stopIfTrue="1" operator="equal">
      <formula>-1</formula>
    </cfRule>
  </conditionalFormatting>
  <conditionalFormatting sqref="T44">
    <cfRule type="cellIs" dxfId="18224" priority="140182" stopIfTrue="1" operator="lessThan">
      <formula>0.5</formula>
    </cfRule>
  </conditionalFormatting>
  <conditionalFormatting sqref="T44">
    <cfRule type="cellIs" dxfId="18223" priority="140183" stopIfTrue="1" operator="greaterThanOrEqual">
      <formula>0.5</formula>
    </cfRule>
  </conditionalFormatting>
  <conditionalFormatting sqref="T45">
    <cfRule type="cellIs" dxfId="18222" priority="140184" stopIfTrue="1" operator="equal">
      <formula>-1</formula>
    </cfRule>
  </conditionalFormatting>
  <conditionalFormatting sqref="T45">
    <cfRule type="cellIs" dxfId="18221" priority="140185" stopIfTrue="1" operator="lessThan">
      <formula>0.5</formula>
    </cfRule>
  </conditionalFormatting>
  <conditionalFormatting sqref="T45">
    <cfRule type="cellIs" dxfId="18220" priority="140186" stopIfTrue="1" operator="greaterThanOrEqual">
      <formula>0.5</formula>
    </cfRule>
  </conditionalFormatting>
  <conditionalFormatting sqref="T46">
    <cfRule type="cellIs" dxfId="18219" priority="140187" stopIfTrue="1" operator="equal">
      <formula>-1</formula>
    </cfRule>
  </conditionalFormatting>
  <conditionalFormatting sqref="T46">
    <cfRule type="cellIs" dxfId="18218" priority="140188" stopIfTrue="1" operator="lessThan">
      <formula>0.5</formula>
    </cfRule>
  </conditionalFormatting>
  <conditionalFormatting sqref="T46">
    <cfRule type="cellIs" dxfId="18217" priority="140189" stopIfTrue="1" operator="greaterThanOrEqual">
      <formula>0.5</formula>
    </cfRule>
  </conditionalFormatting>
  <conditionalFormatting sqref="T47">
    <cfRule type="cellIs" dxfId="18216" priority="140190" stopIfTrue="1" operator="equal">
      <formula>-1</formula>
    </cfRule>
  </conditionalFormatting>
  <conditionalFormatting sqref="T47">
    <cfRule type="cellIs" dxfId="18215" priority="140191" stopIfTrue="1" operator="lessThan">
      <formula>0.5</formula>
    </cfRule>
  </conditionalFormatting>
  <conditionalFormatting sqref="T47">
    <cfRule type="cellIs" dxfId="18214" priority="140192" stopIfTrue="1" operator="greaterThanOrEqual">
      <formula>0.5</formula>
    </cfRule>
  </conditionalFormatting>
  <conditionalFormatting sqref="T48">
    <cfRule type="cellIs" dxfId="18213" priority="140193" stopIfTrue="1" operator="equal">
      <formula>-1</formula>
    </cfRule>
  </conditionalFormatting>
  <conditionalFormatting sqref="T48">
    <cfRule type="cellIs" dxfId="18212" priority="140194" stopIfTrue="1" operator="lessThan">
      <formula>0.5</formula>
    </cfRule>
  </conditionalFormatting>
  <conditionalFormatting sqref="T48">
    <cfRule type="cellIs" dxfId="18211" priority="140195" stopIfTrue="1" operator="greaterThanOrEqual">
      <formula>0.5</formula>
    </cfRule>
  </conditionalFormatting>
  <conditionalFormatting sqref="T49">
    <cfRule type="cellIs" dxfId="18210" priority="140196" stopIfTrue="1" operator="equal">
      <formula>-1</formula>
    </cfRule>
  </conditionalFormatting>
  <conditionalFormatting sqref="T49">
    <cfRule type="cellIs" dxfId="18209" priority="140197" stopIfTrue="1" operator="lessThan">
      <formula>0.5</formula>
    </cfRule>
  </conditionalFormatting>
  <conditionalFormatting sqref="T49">
    <cfRule type="cellIs" dxfId="18208" priority="140198" stopIfTrue="1" operator="greaterThanOrEqual">
      <formula>0.5</formula>
    </cfRule>
  </conditionalFormatting>
  <conditionalFormatting sqref="T50">
    <cfRule type="cellIs" dxfId="18207" priority="140199" stopIfTrue="1" operator="equal">
      <formula>-1</formula>
    </cfRule>
  </conditionalFormatting>
  <conditionalFormatting sqref="T50">
    <cfRule type="cellIs" dxfId="18206" priority="140200" stopIfTrue="1" operator="lessThan">
      <formula>0.5</formula>
    </cfRule>
  </conditionalFormatting>
  <conditionalFormatting sqref="T50">
    <cfRule type="cellIs" dxfId="18205" priority="140201" stopIfTrue="1" operator="greaterThanOrEqual">
      <formula>0.5</formula>
    </cfRule>
  </conditionalFormatting>
  <conditionalFormatting sqref="T51">
    <cfRule type="cellIs" dxfId="18204" priority="140202" stopIfTrue="1" operator="equal">
      <formula>-1</formula>
    </cfRule>
  </conditionalFormatting>
  <conditionalFormatting sqref="T51">
    <cfRule type="cellIs" dxfId="18203" priority="140203" stopIfTrue="1" operator="lessThan">
      <formula>0.5</formula>
    </cfRule>
  </conditionalFormatting>
  <conditionalFormatting sqref="T51">
    <cfRule type="cellIs" dxfId="18202" priority="140204" stopIfTrue="1" operator="greaterThanOrEqual">
      <formula>0.5</formula>
    </cfRule>
  </conditionalFormatting>
  <conditionalFormatting sqref="T52">
    <cfRule type="cellIs" dxfId="18201" priority="140205" stopIfTrue="1" operator="equal">
      <formula>-1</formula>
    </cfRule>
  </conditionalFormatting>
  <conditionalFormatting sqref="T52">
    <cfRule type="cellIs" dxfId="18200" priority="140206" stopIfTrue="1" operator="lessThan">
      <formula>0.5</formula>
    </cfRule>
  </conditionalFormatting>
  <conditionalFormatting sqref="T52">
    <cfRule type="cellIs" dxfId="18199" priority="140207" stopIfTrue="1" operator="greaterThanOrEqual">
      <formula>0.5</formula>
    </cfRule>
  </conditionalFormatting>
  <conditionalFormatting sqref="T53">
    <cfRule type="cellIs" dxfId="18198" priority="140208" stopIfTrue="1" operator="equal">
      <formula>-1</formula>
    </cfRule>
  </conditionalFormatting>
  <conditionalFormatting sqref="T53">
    <cfRule type="cellIs" dxfId="18197" priority="140209" stopIfTrue="1" operator="lessThan">
      <formula>0.5</formula>
    </cfRule>
  </conditionalFormatting>
  <conditionalFormatting sqref="T53">
    <cfRule type="cellIs" dxfId="18196" priority="140210" stopIfTrue="1" operator="greaterThanOrEqual">
      <formula>0.5</formula>
    </cfRule>
  </conditionalFormatting>
  <conditionalFormatting sqref="T54">
    <cfRule type="cellIs" dxfId="18195" priority="140211" stopIfTrue="1" operator="equal">
      <formula>-1</formula>
    </cfRule>
  </conditionalFormatting>
  <conditionalFormatting sqref="T54">
    <cfRule type="cellIs" dxfId="18194" priority="140212" stopIfTrue="1" operator="lessThan">
      <formula>0.5</formula>
    </cfRule>
  </conditionalFormatting>
  <conditionalFormatting sqref="T54">
    <cfRule type="cellIs" dxfId="18193" priority="140213" stopIfTrue="1" operator="greaterThanOrEqual">
      <formula>0.5</formula>
    </cfRule>
  </conditionalFormatting>
  <conditionalFormatting sqref="T55">
    <cfRule type="cellIs" dxfId="18192" priority="140214" stopIfTrue="1" operator="equal">
      <formula>-1</formula>
    </cfRule>
  </conditionalFormatting>
  <conditionalFormatting sqref="T55">
    <cfRule type="cellIs" dxfId="18191" priority="140215" stopIfTrue="1" operator="lessThan">
      <formula>0.5</formula>
    </cfRule>
  </conditionalFormatting>
  <conditionalFormatting sqref="T55">
    <cfRule type="cellIs" dxfId="18190" priority="140216" stopIfTrue="1" operator="greaterThanOrEqual">
      <formula>0.5</formula>
    </cfRule>
  </conditionalFormatting>
  <conditionalFormatting sqref="T56">
    <cfRule type="cellIs" dxfId="18189" priority="140217" stopIfTrue="1" operator="equal">
      <formula>-1</formula>
    </cfRule>
  </conditionalFormatting>
  <conditionalFormatting sqref="T56">
    <cfRule type="cellIs" dxfId="18188" priority="140218" stopIfTrue="1" operator="lessThan">
      <formula>0.5</formula>
    </cfRule>
  </conditionalFormatting>
  <conditionalFormatting sqref="T56">
    <cfRule type="cellIs" dxfId="18187" priority="140219" stopIfTrue="1" operator="greaterThanOrEqual">
      <formula>0.5</formula>
    </cfRule>
  </conditionalFormatting>
  <conditionalFormatting sqref="T57">
    <cfRule type="cellIs" dxfId="18186" priority="140220" stopIfTrue="1" operator="equal">
      <formula>-1</formula>
    </cfRule>
  </conditionalFormatting>
  <conditionalFormatting sqref="T57">
    <cfRule type="cellIs" dxfId="18185" priority="140221" stopIfTrue="1" operator="lessThan">
      <formula>0.5</formula>
    </cfRule>
  </conditionalFormatting>
  <conditionalFormatting sqref="T57">
    <cfRule type="cellIs" dxfId="18184" priority="140222" stopIfTrue="1" operator="greaterThanOrEqual">
      <formula>0.5</formula>
    </cfRule>
  </conditionalFormatting>
  <conditionalFormatting sqref="T58">
    <cfRule type="cellIs" dxfId="18183" priority="140223" stopIfTrue="1" operator="equal">
      <formula>-1</formula>
    </cfRule>
  </conditionalFormatting>
  <conditionalFormatting sqref="T58">
    <cfRule type="cellIs" dxfId="18182" priority="140224" stopIfTrue="1" operator="lessThan">
      <formula>0.5</formula>
    </cfRule>
  </conditionalFormatting>
  <conditionalFormatting sqref="T58">
    <cfRule type="cellIs" dxfId="18181" priority="140225" stopIfTrue="1" operator="greaterThanOrEqual">
      <formula>0.5</formula>
    </cfRule>
  </conditionalFormatting>
  <conditionalFormatting sqref="V39">
    <cfRule type="cellIs" dxfId="18180" priority="140226" stopIfTrue="1" operator="equal">
      <formula>-1</formula>
    </cfRule>
  </conditionalFormatting>
  <conditionalFormatting sqref="V39">
    <cfRule type="cellIs" dxfId="18179" priority="140227" stopIfTrue="1" operator="lessThan">
      <formula>0.5</formula>
    </cfRule>
  </conditionalFormatting>
  <conditionalFormatting sqref="V39">
    <cfRule type="cellIs" dxfId="18178" priority="140228" stopIfTrue="1" operator="greaterThanOrEqual">
      <formula>0.5</formula>
    </cfRule>
  </conditionalFormatting>
  <conditionalFormatting sqref="V40">
    <cfRule type="cellIs" dxfId="18177" priority="140229" stopIfTrue="1" operator="equal">
      <formula>-1</formula>
    </cfRule>
  </conditionalFormatting>
  <conditionalFormatting sqref="V40">
    <cfRule type="cellIs" dxfId="18176" priority="140230" stopIfTrue="1" operator="lessThan">
      <formula>0.5</formula>
    </cfRule>
  </conditionalFormatting>
  <conditionalFormatting sqref="V40">
    <cfRule type="cellIs" dxfId="18175" priority="140231" stopIfTrue="1" operator="greaterThanOrEqual">
      <formula>0.5</formula>
    </cfRule>
  </conditionalFormatting>
  <conditionalFormatting sqref="V41">
    <cfRule type="cellIs" dxfId="18174" priority="140232" stopIfTrue="1" operator="equal">
      <formula>-1</formula>
    </cfRule>
  </conditionalFormatting>
  <conditionalFormatting sqref="V41">
    <cfRule type="cellIs" dxfId="18173" priority="140233" stopIfTrue="1" operator="lessThan">
      <formula>0.5</formula>
    </cfRule>
  </conditionalFormatting>
  <conditionalFormatting sqref="V41">
    <cfRule type="cellIs" dxfId="18172" priority="140234" stopIfTrue="1" operator="greaterThanOrEqual">
      <formula>0.5</formula>
    </cfRule>
  </conditionalFormatting>
  <conditionalFormatting sqref="V42">
    <cfRule type="cellIs" dxfId="18171" priority="140235" stopIfTrue="1" operator="equal">
      <formula>-1</formula>
    </cfRule>
  </conditionalFormatting>
  <conditionalFormatting sqref="V42">
    <cfRule type="cellIs" dxfId="18170" priority="140236" stopIfTrue="1" operator="lessThan">
      <formula>0.5</formula>
    </cfRule>
  </conditionalFormatting>
  <conditionalFormatting sqref="V42">
    <cfRule type="cellIs" dxfId="18169" priority="140237" stopIfTrue="1" operator="greaterThanOrEqual">
      <formula>0.5</formula>
    </cfRule>
  </conditionalFormatting>
  <conditionalFormatting sqref="V43">
    <cfRule type="cellIs" dxfId="18168" priority="140238" stopIfTrue="1" operator="equal">
      <formula>-1</formula>
    </cfRule>
  </conditionalFormatting>
  <conditionalFormatting sqref="V43">
    <cfRule type="cellIs" dxfId="18167" priority="140239" stopIfTrue="1" operator="lessThan">
      <formula>0.5</formula>
    </cfRule>
  </conditionalFormatting>
  <conditionalFormatting sqref="V43">
    <cfRule type="cellIs" dxfId="18166" priority="140240" stopIfTrue="1" operator="greaterThanOrEqual">
      <formula>0.5</formula>
    </cfRule>
  </conditionalFormatting>
  <conditionalFormatting sqref="V44">
    <cfRule type="cellIs" dxfId="18165" priority="140241" stopIfTrue="1" operator="equal">
      <formula>-1</formula>
    </cfRule>
  </conditionalFormatting>
  <conditionalFormatting sqref="V44">
    <cfRule type="cellIs" dxfId="18164" priority="140242" stopIfTrue="1" operator="lessThan">
      <formula>0.5</formula>
    </cfRule>
  </conditionalFormatting>
  <conditionalFormatting sqref="V44">
    <cfRule type="cellIs" dxfId="18163" priority="140243" stopIfTrue="1" operator="greaterThanOrEqual">
      <formula>0.5</formula>
    </cfRule>
  </conditionalFormatting>
  <conditionalFormatting sqref="V45">
    <cfRule type="cellIs" dxfId="18162" priority="140244" stopIfTrue="1" operator="equal">
      <formula>-1</formula>
    </cfRule>
  </conditionalFormatting>
  <conditionalFormatting sqref="V45">
    <cfRule type="cellIs" dxfId="18161" priority="140245" stopIfTrue="1" operator="lessThan">
      <formula>0.5</formula>
    </cfRule>
  </conditionalFormatting>
  <conditionalFormatting sqref="V45">
    <cfRule type="cellIs" dxfId="18160" priority="140246" stopIfTrue="1" operator="greaterThanOrEqual">
      <formula>0.5</formula>
    </cfRule>
  </conditionalFormatting>
  <conditionalFormatting sqref="V46">
    <cfRule type="cellIs" dxfId="18159" priority="140247" stopIfTrue="1" operator="equal">
      <formula>-1</formula>
    </cfRule>
  </conditionalFormatting>
  <conditionalFormatting sqref="V46">
    <cfRule type="cellIs" dxfId="18158" priority="140248" stopIfTrue="1" operator="lessThan">
      <formula>0.5</formula>
    </cfRule>
  </conditionalFormatting>
  <conditionalFormatting sqref="V46">
    <cfRule type="cellIs" dxfId="18157" priority="140249" stopIfTrue="1" operator="greaterThanOrEqual">
      <formula>0.5</formula>
    </cfRule>
  </conditionalFormatting>
  <conditionalFormatting sqref="V47">
    <cfRule type="cellIs" dxfId="18156" priority="140250" stopIfTrue="1" operator="equal">
      <formula>-1</formula>
    </cfRule>
  </conditionalFormatting>
  <conditionalFormatting sqref="V47">
    <cfRule type="cellIs" dxfId="18155" priority="140251" stopIfTrue="1" operator="lessThan">
      <formula>0.5</formula>
    </cfRule>
  </conditionalFormatting>
  <conditionalFormatting sqref="V47">
    <cfRule type="cellIs" dxfId="18154" priority="140252" stopIfTrue="1" operator="greaterThanOrEqual">
      <formula>0.5</formula>
    </cfRule>
  </conditionalFormatting>
  <conditionalFormatting sqref="V48">
    <cfRule type="cellIs" dxfId="18153" priority="140253" stopIfTrue="1" operator="equal">
      <formula>-1</formula>
    </cfRule>
  </conditionalFormatting>
  <conditionalFormatting sqref="V48">
    <cfRule type="cellIs" dxfId="18152" priority="140254" stopIfTrue="1" operator="lessThan">
      <formula>0.5</formula>
    </cfRule>
  </conditionalFormatting>
  <conditionalFormatting sqref="V48">
    <cfRule type="cellIs" dxfId="18151" priority="140255" stopIfTrue="1" operator="greaterThanOrEqual">
      <formula>0.5</formula>
    </cfRule>
  </conditionalFormatting>
  <conditionalFormatting sqref="V49">
    <cfRule type="cellIs" dxfId="18150" priority="140256" stopIfTrue="1" operator="equal">
      <formula>-1</formula>
    </cfRule>
  </conditionalFormatting>
  <conditionalFormatting sqref="V49">
    <cfRule type="cellIs" dxfId="18149" priority="140257" stopIfTrue="1" operator="lessThan">
      <formula>0.5</formula>
    </cfRule>
  </conditionalFormatting>
  <conditionalFormatting sqref="V49">
    <cfRule type="cellIs" dxfId="18148" priority="140258" stopIfTrue="1" operator="greaterThanOrEqual">
      <formula>0.5</formula>
    </cfRule>
  </conditionalFormatting>
  <conditionalFormatting sqref="V50">
    <cfRule type="cellIs" dxfId="18147" priority="140259" stopIfTrue="1" operator="equal">
      <formula>-1</formula>
    </cfRule>
  </conditionalFormatting>
  <conditionalFormatting sqref="V50">
    <cfRule type="cellIs" dxfId="18146" priority="140260" stopIfTrue="1" operator="lessThan">
      <formula>0.5</formula>
    </cfRule>
  </conditionalFormatting>
  <conditionalFormatting sqref="V50">
    <cfRule type="cellIs" dxfId="18145" priority="140261" stopIfTrue="1" operator="greaterThanOrEqual">
      <formula>0.5</formula>
    </cfRule>
  </conditionalFormatting>
  <conditionalFormatting sqref="V51">
    <cfRule type="cellIs" dxfId="18144" priority="140262" stopIfTrue="1" operator="equal">
      <formula>-1</formula>
    </cfRule>
  </conditionalFormatting>
  <conditionalFormatting sqref="V51">
    <cfRule type="cellIs" dxfId="18143" priority="140263" stopIfTrue="1" operator="lessThan">
      <formula>0.5</formula>
    </cfRule>
  </conditionalFormatting>
  <conditionalFormatting sqref="V51">
    <cfRule type="cellIs" dxfId="18142" priority="140264" stopIfTrue="1" operator="greaterThanOrEqual">
      <formula>0.5</formula>
    </cfRule>
  </conditionalFormatting>
  <conditionalFormatting sqref="V52">
    <cfRule type="cellIs" dxfId="18141" priority="140265" stopIfTrue="1" operator="equal">
      <formula>-1</formula>
    </cfRule>
  </conditionalFormatting>
  <conditionalFormatting sqref="V52">
    <cfRule type="cellIs" dxfId="18140" priority="140266" stopIfTrue="1" operator="lessThan">
      <formula>0.5</formula>
    </cfRule>
  </conditionalFormatting>
  <conditionalFormatting sqref="V52">
    <cfRule type="cellIs" dxfId="18139" priority="140267" stopIfTrue="1" operator="greaterThanOrEqual">
      <formula>0.5</formula>
    </cfRule>
  </conditionalFormatting>
  <conditionalFormatting sqref="V53">
    <cfRule type="cellIs" dxfId="18138" priority="140268" stopIfTrue="1" operator="equal">
      <formula>-1</formula>
    </cfRule>
  </conditionalFormatting>
  <conditionalFormatting sqref="V53">
    <cfRule type="cellIs" dxfId="18137" priority="140269" stopIfTrue="1" operator="lessThan">
      <formula>0.5</formula>
    </cfRule>
  </conditionalFormatting>
  <conditionalFormatting sqref="V53">
    <cfRule type="cellIs" dxfId="18136" priority="140270" stopIfTrue="1" operator="greaterThanOrEqual">
      <formula>0.5</formula>
    </cfRule>
  </conditionalFormatting>
  <conditionalFormatting sqref="V54">
    <cfRule type="cellIs" dxfId="18135" priority="140271" stopIfTrue="1" operator="equal">
      <formula>-1</formula>
    </cfRule>
  </conditionalFormatting>
  <conditionalFormatting sqref="V54">
    <cfRule type="cellIs" dxfId="18134" priority="140272" stopIfTrue="1" operator="lessThan">
      <formula>0.5</formula>
    </cfRule>
  </conditionalFormatting>
  <conditionalFormatting sqref="V54">
    <cfRule type="cellIs" dxfId="18133" priority="140273" stopIfTrue="1" operator="greaterThanOrEqual">
      <formula>0.5</formula>
    </cfRule>
  </conditionalFormatting>
  <conditionalFormatting sqref="V55">
    <cfRule type="cellIs" dxfId="18132" priority="140274" stopIfTrue="1" operator="equal">
      <formula>-1</formula>
    </cfRule>
  </conditionalFormatting>
  <conditionalFormatting sqref="V55">
    <cfRule type="cellIs" dxfId="18131" priority="140275" stopIfTrue="1" operator="lessThan">
      <formula>0.5</formula>
    </cfRule>
  </conditionalFormatting>
  <conditionalFormatting sqref="V55">
    <cfRule type="cellIs" dxfId="18130" priority="140276" stopIfTrue="1" operator="greaterThanOrEqual">
      <formula>0.5</formula>
    </cfRule>
  </conditionalFormatting>
  <conditionalFormatting sqref="V56">
    <cfRule type="cellIs" dxfId="18129" priority="140277" stopIfTrue="1" operator="equal">
      <formula>-1</formula>
    </cfRule>
  </conditionalFormatting>
  <conditionalFormatting sqref="V56">
    <cfRule type="cellIs" dxfId="18128" priority="140278" stopIfTrue="1" operator="lessThan">
      <formula>0.5</formula>
    </cfRule>
  </conditionalFormatting>
  <conditionalFormatting sqref="V56">
    <cfRule type="cellIs" dxfId="18127" priority="140279" stopIfTrue="1" operator="greaterThanOrEqual">
      <formula>0.5</formula>
    </cfRule>
  </conditionalFormatting>
  <conditionalFormatting sqref="V57">
    <cfRule type="cellIs" dxfId="18126" priority="140280" stopIfTrue="1" operator="equal">
      <formula>-1</formula>
    </cfRule>
  </conditionalFormatting>
  <conditionalFormatting sqref="V57">
    <cfRule type="cellIs" dxfId="18125" priority="140281" stopIfTrue="1" operator="lessThan">
      <formula>0.5</formula>
    </cfRule>
  </conditionalFormatting>
  <conditionalFormatting sqref="V57">
    <cfRule type="cellIs" dxfId="18124" priority="140282" stopIfTrue="1" operator="greaterThanOrEqual">
      <formula>0.5</formula>
    </cfRule>
  </conditionalFormatting>
  <conditionalFormatting sqref="V58">
    <cfRule type="cellIs" dxfId="18123" priority="140283" stopIfTrue="1" operator="equal">
      <formula>-1</formula>
    </cfRule>
  </conditionalFormatting>
  <conditionalFormatting sqref="V58">
    <cfRule type="cellIs" dxfId="18122" priority="140284" stopIfTrue="1" operator="lessThan">
      <formula>0.5</formula>
    </cfRule>
  </conditionalFormatting>
  <conditionalFormatting sqref="V58">
    <cfRule type="cellIs" dxfId="18121" priority="140285" stopIfTrue="1" operator="greaterThanOrEqual">
      <formula>0.5</formula>
    </cfRule>
  </conditionalFormatting>
  <conditionalFormatting sqref="X39">
    <cfRule type="cellIs" dxfId="18120" priority="140286" stopIfTrue="1" operator="equal">
      <formula>-1</formula>
    </cfRule>
  </conditionalFormatting>
  <conditionalFormatting sqref="X39">
    <cfRule type="cellIs" dxfId="18119" priority="140287" stopIfTrue="1" operator="lessThan">
      <formula>0.5</formula>
    </cfRule>
  </conditionalFormatting>
  <conditionalFormatting sqref="X39">
    <cfRule type="cellIs" dxfId="18118" priority="140288" stopIfTrue="1" operator="greaterThanOrEqual">
      <formula>0.5</formula>
    </cfRule>
  </conditionalFormatting>
  <conditionalFormatting sqref="X40">
    <cfRule type="cellIs" dxfId="18117" priority="140289" stopIfTrue="1" operator="equal">
      <formula>-1</formula>
    </cfRule>
  </conditionalFormatting>
  <conditionalFormatting sqref="X40">
    <cfRule type="cellIs" dxfId="18116" priority="140290" stopIfTrue="1" operator="lessThan">
      <formula>0.5</formula>
    </cfRule>
  </conditionalFormatting>
  <conditionalFormatting sqref="X40">
    <cfRule type="cellIs" dxfId="18115" priority="140291" stopIfTrue="1" operator="greaterThanOrEqual">
      <formula>0.5</formula>
    </cfRule>
  </conditionalFormatting>
  <conditionalFormatting sqref="X41">
    <cfRule type="cellIs" dxfId="18114" priority="140292" stopIfTrue="1" operator="equal">
      <formula>-1</formula>
    </cfRule>
  </conditionalFormatting>
  <conditionalFormatting sqref="X41">
    <cfRule type="cellIs" dxfId="18113" priority="140293" stopIfTrue="1" operator="lessThan">
      <formula>0.5</formula>
    </cfRule>
  </conditionalFormatting>
  <conditionalFormatting sqref="X41">
    <cfRule type="cellIs" dxfId="18112" priority="140294" stopIfTrue="1" operator="greaterThanOrEqual">
      <formula>0.5</formula>
    </cfRule>
  </conditionalFormatting>
  <conditionalFormatting sqref="X42">
    <cfRule type="cellIs" dxfId="18111" priority="140295" stopIfTrue="1" operator="equal">
      <formula>-1</formula>
    </cfRule>
  </conditionalFormatting>
  <conditionalFormatting sqref="X42">
    <cfRule type="cellIs" dxfId="18110" priority="140296" stopIfTrue="1" operator="lessThan">
      <formula>0.5</formula>
    </cfRule>
  </conditionalFormatting>
  <conditionalFormatting sqref="X42">
    <cfRule type="cellIs" dxfId="18109" priority="140297" stopIfTrue="1" operator="greaterThanOrEqual">
      <formula>0.5</formula>
    </cfRule>
  </conditionalFormatting>
  <conditionalFormatting sqref="X43">
    <cfRule type="cellIs" dxfId="18108" priority="140298" stopIfTrue="1" operator="equal">
      <formula>-1</formula>
    </cfRule>
  </conditionalFormatting>
  <conditionalFormatting sqref="X43">
    <cfRule type="cellIs" dxfId="18107" priority="140299" stopIfTrue="1" operator="lessThan">
      <formula>0.5</formula>
    </cfRule>
  </conditionalFormatting>
  <conditionalFormatting sqref="X43">
    <cfRule type="cellIs" dxfId="18106" priority="140300" stopIfTrue="1" operator="greaterThanOrEqual">
      <formula>0.5</formula>
    </cfRule>
  </conditionalFormatting>
  <conditionalFormatting sqref="X44">
    <cfRule type="cellIs" dxfId="18105" priority="140301" stopIfTrue="1" operator="equal">
      <formula>-1</formula>
    </cfRule>
  </conditionalFormatting>
  <conditionalFormatting sqref="X44">
    <cfRule type="cellIs" dxfId="18104" priority="140302" stopIfTrue="1" operator="lessThan">
      <formula>0.5</formula>
    </cfRule>
  </conditionalFormatting>
  <conditionalFormatting sqref="X44">
    <cfRule type="cellIs" dxfId="18103" priority="140303" stopIfTrue="1" operator="greaterThanOrEqual">
      <formula>0.5</formula>
    </cfRule>
  </conditionalFormatting>
  <conditionalFormatting sqref="X45">
    <cfRule type="cellIs" dxfId="18102" priority="140304" stopIfTrue="1" operator="equal">
      <formula>-1</formula>
    </cfRule>
  </conditionalFormatting>
  <conditionalFormatting sqref="X45">
    <cfRule type="cellIs" dxfId="18101" priority="140305" stopIfTrue="1" operator="lessThan">
      <formula>0.5</formula>
    </cfRule>
  </conditionalFormatting>
  <conditionalFormatting sqref="X45">
    <cfRule type="cellIs" dxfId="18100" priority="140306" stopIfTrue="1" operator="greaterThanOrEqual">
      <formula>0.5</formula>
    </cfRule>
  </conditionalFormatting>
  <conditionalFormatting sqref="X46">
    <cfRule type="cellIs" dxfId="18099" priority="140307" stopIfTrue="1" operator="equal">
      <formula>-1</formula>
    </cfRule>
  </conditionalFormatting>
  <conditionalFormatting sqref="X46">
    <cfRule type="cellIs" dxfId="18098" priority="140308" stopIfTrue="1" operator="lessThan">
      <formula>0.5</formula>
    </cfRule>
  </conditionalFormatting>
  <conditionalFormatting sqref="X46">
    <cfRule type="cellIs" dxfId="18097" priority="140309" stopIfTrue="1" operator="greaterThanOrEqual">
      <formula>0.5</formula>
    </cfRule>
  </conditionalFormatting>
  <conditionalFormatting sqref="X47">
    <cfRule type="cellIs" dxfId="18096" priority="140310" stopIfTrue="1" operator="equal">
      <formula>-1</formula>
    </cfRule>
  </conditionalFormatting>
  <conditionalFormatting sqref="X47">
    <cfRule type="cellIs" dxfId="18095" priority="140311" stopIfTrue="1" operator="lessThan">
      <formula>0.5</formula>
    </cfRule>
  </conditionalFormatting>
  <conditionalFormatting sqref="X47">
    <cfRule type="cellIs" dxfId="18094" priority="140312" stopIfTrue="1" operator="greaterThanOrEqual">
      <formula>0.5</formula>
    </cfRule>
  </conditionalFormatting>
  <conditionalFormatting sqref="X48">
    <cfRule type="cellIs" dxfId="18093" priority="140313" stopIfTrue="1" operator="equal">
      <formula>-1</formula>
    </cfRule>
  </conditionalFormatting>
  <conditionalFormatting sqref="X48">
    <cfRule type="cellIs" dxfId="18092" priority="140314" stopIfTrue="1" operator="lessThan">
      <formula>0.5</formula>
    </cfRule>
  </conditionalFormatting>
  <conditionalFormatting sqref="X48">
    <cfRule type="cellIs" dxfId="18091" priority="140315" stopIfTrue="1" operator="greaterThanOrEqual">
      <formula>0.5</formula>
    </cfRule>
  </conditionalFormatting>
  <conditionalFormatting sqref="X49">
    <cfRule type="cellIs" dxfId="18090" priority="140316" stopIfTrue="1" operator="equal">
      <formula>-1</formula>
    </cfRule>
  </conditionalFormatting>
  <conditionalFormatting sqref="X49">
    <cfRule type="cellIs" dxfId="18089" priority="140317" stopIfTrue="1" operator="lessThan">
      <formula>0.5</formula>
    </cfRule>
  </conditionalFormatting>
  <conditionalFormatting sqref="X49">
    <cfRule type="cellIs" dxfId="18088" priority="140318" stopIfTrue="1" operator="greaterThanOrEqual">
      <formula>0.5</formula>
    </cfRule>
  </conditionalFormatting>
  <conditionalFormatting sqref="X50">
    <cfRule type="cellIs" dxfId="18087" priority="140319" stopIfTrue="1" operator="equal">
      <formula>-1</formula>
    </cfRule>
  </conditionalFormatting>
  <conditionalFormatting sqref="X50">
    <cfRule type="cellIs" dxfId="18086" priority="140320" stopIfTrue="1" operator="lessThan">
      <formula>0.5</formula>
    </cfRule>
  </conditionalFormatting>
  <conditionalFormatting sqref="X50">
    <cfRule type="cellIs" dxfId="18085" priority="140321" stopIfTrue="1" operator="greaterThanOrEqual">
      <formula>0.5</formula>
    </cfRule>
  </conditionalFormatting>
  <conditionalFormatting sqref="X51">
    <cfRule type="cellIs" dxfId="18084" priority="140322" stopIfTrue="1" operator="equal">
      <formula>-1</formula>
    </cfRule>
  </conditionalFormatting>
  <conditionalFormatting sqref="X51">
    <cfRule type="cellIs" dxfId="18083" priority="140323" stopIfTrue="1" operator="lessThan">
      <formula>0.5</formula>
    </cfRule>
  </conditionalFormatting>
  <conditionalFormatting sqref="X51">
    <cfRule type="cellIs" dxfId="18082" priority="140324" stopIfTrue="1" operator="greaterThanOrEqual">
      <formula>0.5</formula>
    </cfRule>
  </conditionalFormatting>
  <conditionalFormatting sqref="X52">
    <cfRule type="cellIs" dxfId="18081" priority="140325" stopIfTrue="1" operator="equal">
      <formula>-1</formula>
    </cfRule>
  </conditionalFormatting>
  <conditionalFormatting sqref="X52">
    <cfRule type="cellIs" dxfId="18080" priority="140326" stopIfTrue="1" operator="lessThan">
      <formula>0.5</formula>
    </cfRule>
  </conditionalFormatting>
  <conditionalFormatting sqref="X52">
    <cfRule type="cellIs" dxfId="18079" priority="140327" stopIfTrue="1" operator="greaterThanOrEqual">
      <formula>0.5</formula>
    </cfRule>
  </conditionalFormatting>
  <conditionalFormatting sqref="X53">
    <cfRule type="cellIs" dxfId="18078" priority="140328" stopIfTrue="1" operator="equal">
      <formula>-1</formula>
    </cfRule>
  </conditionalFormatting>
  <conditionalFormatting sqref="X53">
    <cfRule type="cellIs" dxfId="18077" priority="140329" stopIfTrue="1" operator="lessThan">
      <formula>0.5</formula>
    </cfRule>
  </conditionalFormatting>
  <conditionalFormatting sqref="X53">
    <cfRule type="cellIs" dxfId="18076" priority="140330" stopIfTrue="1" operator="greaterThanOrEqual">
      <formula>0.5</formula>
    </cfRule>
  </conditionalFormatting>
  <conditionalFormatting sqref="X54">
    <cfRule type="cellIs" dxfId="18075" priority="140331" stopIfTrue="1" operator="equal">
      <formula>-1</formula>
    </cfRule>
  </conditionalFormatting>
  <conditionalFormatting sqref="X54">
    <cfRule type="cellIs" dxfId="18074" priority="140332" stopIfTrue="1" operator="lessThan">
      <formula>0.5</formula>
    </cfRule>
  </conditionalFormatting>
  <conditionalFormatting sqref="X54">
    <cfRule type="cellIs" dxfId="18073" priority="140333" stopIfTrue="1" operator="greaterThanOrEqual">
      <formula>0.5</formula>
    </cfRule>
  </conditionalFormatting>
  <conditionalFormatting sqref="X55">
    <cfRule type="cellIs" dxfId="18072" priority="140334" stopIfTrue="1" operator="equal">
      <formula>-1</formula>
    </cfRule>
  </conditionalFormatting>
  <conditionalFormatting sqref="X55">
    <cfRule type="cellIs" dxfId="18071" priority="140335" stopIfTrue="1" operator="lessThan">
      <formula>0.5</formula>
    </cfRule>
  </conditionalFormatting>
  <conditionalFormatting sqref="X55">
    <cfRule type="cellIs" dxfId="18070" priority="140336" stopIfTrue="1" operator="greaterThanOrEqual">
      <formula>0.5</formula>
    </cfRule>
  </conditionalFormatting>
  <conditionalFormatting sqref="X56">
    <cfRule type="cellIs" dxfId="18069" priority="140337" stopIfTrue="1" operator="equal">
      <formula>-1</formula>
    </cfRule>
  </conditionalFormatting>
  <conditionalFormatting sqref="X56">
    <cfRule type="cellIs" dxfId="18068" priority="140338" stopIfTrue="1" operator="lessThan">
      <formula>0.5</formula>
    </cfRule>
  </conditionalFormatting>
  <conditionalFormatting sqref="X56">
    <cfRule type="cellIs" dxfId="18067" priority="140339" stopIfTrue="1" operator="greaterThanOrEqual">
      <formula>0.5</formula>
    </cfRule>
  </conditionalFormatting>
  <conditionalFormatting sqref="X57">
    <cfRule type="cellIs" dxfId="18066" priority="140340" stopIfTrue="1" operator="equal">
      <formula>-1</formula>
    </cfRule>
  </conditionalFormatting>
  <conditionalFormatting sqref="X57">
    <cfRule type="cellIs" dxfId="18065" priority="140341" stopIfTrue="1" operator="lessThan">
      <formula>0.5</formula>
    </cfRule>
  </conditionalFormatting>
  <conditionalFormatting sqref="X57">
    <cfRule type="cellIs" dxfId="18064" priority="140342" stopIfTrue="1" operator="greaterThanOrEqual">
      <formula>0.5</formula>
    </cfRule>
  </conditionalFormatting>
  <conditionalFormatting sqref="X58">
    <cfRule type="cellIs" dxfId="18063" priority="140343" stopIfTrue="1" operator="equal">
      <formula>-1</formula>
    </cfRule>
  </conditionalFormatting>
  <conditionalFormatting sqref="X58">
    <cfRule type="cellIs" dxfId="18062" priority="140344" stopIfTrue="1" operator="lessThan">
      <formula>0.5</formula>
    </cfRule>
  </conditionalFormatting>
  <conditionalFormatting sqref="X58">
    <cfRule type="cellIs" dxfId="18061" priority="140345" stopIfTrue="1" operator="greaterThanOrEqual">
      <formula>0.5</formula>
    </cfRule>
  </conditionalFormatting>
  <conditionalFormatting sqref="Z39">
    <cfRule type="cellIs" dxfId="18060" priority="140346" stopIfTrue="1" operator="equal">
      <formula>-1</formula>
    </cfRule>
  </conditionalFormatting>
  <conditionalFormatting sqref="Z39">
    <cfRule type="cellIs" dxfId="18059" priority="140347" stopIfTrue="1" operator="lessThan">
      <formula>0.5</formula>
    </cfRule>
  </conditionalFormatting>
  <conditionalFormatting sqref="Z39">
    <cfRule type="cellIs" dxfId="18058" priority="140348" stopIfTrue="1" operator="greaterThanOrEqual">
      <formula>0.5</formula>
    </cfRule>
  </conditionalFormatting>
  <conditionalFormatting sqref="Z40">
    <cfRule type="cellIs" dxfId="18057" priority="140349" stopIfTrue="1" operator="equal">
      <formula>-1</formula>
    </cfRule>
  </conditionalFormatting>
  <conditionalFormatting sqref="Z40">
    <cfRule type="cellIs" dxfId="18056" priority="140350" stopIfTrue="1" operator="lessThan">
      <formula>0.5</formula>
    </cfRule>
  </conditionalFormatting>
  <conditionalFormatting sqref="Z40">
    <cfRule type="cellIs" dxfId="18055" priority="140351" stopIfTrue="1" operator="greaterThanOrEqual">
      <formula>0.5</formula>
    </cfRule>
  </conditionalFormatting>
  <conditionalFormatting sqref="Z41">
    <cfRule type="cellIs" dxfId="18054" priority="140352" stopIfTrue="1" operator="equal">
      <formula>-1</formula>
    </cfRule>
  </conditionalFormatting>
  <conditionalFormatting sqref="Z41">
    <cfRule type="cellIs" dxfId="18053" priority="140353" stopIfTrue="1" operator="lessThan">
      <formula>0.5</formula>
    </cfRule>
  </conditionalFormatting>
  <conditionalFormatting sqref="Z41">
    <cfRule type="cellIs" dxfId="18052" priority="140354" stopIfTrue="1" operator="greaterThanOrEqual">
      <formula>0.5</formula>
    </cfRule>
  </conditionalFormatting>
  <conditionalFormatting sqref="Z42">
    <cfRule type="cellIs" dxfId="18051" priority="140355" stopIfTrue="1" operator="equal">
      <formula>-1</formula>
    </cfRule>
  </conditionalFormatting>
  <conditionalFormatting sqref="Z42">
    <cfRule type="cellIs" dxfId="18050" priority="140356" stopIfTrue="1" operator="lessThan">
      <formula>0.5</formula>
    </cfRule>
  </conditionalFormatting>
  <conditionalFormatting sqref="Z42">
    <cfRule type="cellIs" dxfId="18049" priority="140357" stopIfTrue="1" operator="greaterThanOrEqual">
      <formula>0.5</formula>
    </cfRule>
  </conditionalFormatting>
  <conditionalFormatting sqref="Z43">
    <cfRule type="cellIs" dxfId="18048" priority="140358" stopIfTrue="1" operator="equal">
      <formula>-1</formula>
    </cfRule>
  </conditionalFormatting>
  <conditionalFormatting sqref="Z43">
    <cfRule type="cellIs" dxfId="18047" priority="140359" stopIfTrue="1" operator="lessThan">
      <formula>0.5</formula>
    </cfRule>
  </conditionalFormatting>
  <conditionalFormatting sqref="Z43">
    <cfRule type="cellIs" dxfId="18046" priority="140360" stopIfTrue="1" operator="greaterThanOrEqual">
      <formula>0.5</formula>
    </cfRule>
  </conditionalFormatting>
  <conditionalFormatting sqref="Z44">
    <cfRule type="cellIs" dxfId="18045" priority="140361" stopIfTrue="1" operator="equal">
      <formula>-1</formula>
    </cfRule>
  </conditionalFormatting>
  <conditionalFormatting sqref="Z44">
    <cfRule type="cellIs" dxfId="18044" priority="140362" stopIfTrue="1" operator="lessThan">
      <formula>0.5</formula>
    </cfRule>
  </conditionalFormatting>
  <conditionalFormatting sqref="Z44">
    <cfRule type="cellIs" dxfId="18043" priority="140363" stopIfTrue="1" operator="greaterThanOrEqual">
      <formula>0.5</formula>
    </cfRule>
  </conditionalFormatting>
  <conditionalFormatting sqref="Z45">
    <cfRule type="cellIs" dxfId="18042" priority="140364" stopIfTrue="1" operator="equal">
      <formula>-1</formula>
    </cfRule>
  </conditionalFormatting>
  <conditionalFormatting sqref="Z45">
    <cfRule type="cellIs" dxfId="18041" priority="140365" stopIfTrue="1" operator="lessThan">
      <formula>0.5</formula>
    </cfRule>
  </conditionalFormatting>
  <conditionalFormatting sqref="Z45">
    <cfRule type="cellIs" dxfId="18040" priority="140366" stopIfTrue="1" operator="greaterThanOrEqual">
      <formula>0.5</formula>
    </cfRule>
  </conditionalFormatting>
  <conditionalFormatting sqref="Z46">
    <cfRule type="cellIs" dxfId="18039" priority="140367" stopIfTrue="1" operator="equal">
      <formula>-1</formula>
    </cfRule>
  </conditionalFormatting>
  <conditionalFormatting sqref="Z46">
    <cfRule type="cellIs" dxfId="18038" priority="140368" stopIfTrue="1" operator="lessThan">
      <formula>0.5</formula>
    </cfRule>
  </conditionalFormatting>
  <conditionalFormatting sqref="Z46">
    <cfRule type="cellIs" dxfId="18037" priority="140369" stopIfTrue="1" operator="greaterThanOrEqual">
      <formula>0.5</formula>
    </cfRule>
  </conditionalFormatting>
  <conditionalFormatting sqref="Z47">
    <cfRule type="cellIs" dxfId="18036" priority="140370" stopIfTrue="1" operator="equal">
      <formula>-1</formula>
    </cfRule>
  </conditionalFormatting>
  <conditionalFormatting sqref="Z47">
    <cfRule type="cellIs" dxfId="18035" priority="140371" stopIfTrue="1" operator="lessThan">
      <formula>0.5</formula>
    </cfRule>
  </conditionalFormatting>
  <conditionalFormatting sqref="Z47">
    <cfRule type="cellIs" dxfId="18034" priority="140372" stopIfTrue="1" operator="greaterThanOrEqual">
      <formula>0.5</formula>
    </cfRule>
  </conditionalFormatting>
  <conditionalFormatting sqref="Z48">
    <cfRule type="cellIs" dxfId="18033" priority="140373" stopIfTrue="1" operator="equal">
      <formula>-1</formula>
    </cfRule>
  </conditionalFormatting>
  <conditionalFormatting sqref="Z48">
    <cfRule type="cellIs" dxfId="18032" priority="140374" stopIfTrue="1" operator="lessThan">
      <formula>0.5</formula>
    </cfRule>
  </conditionalFormatting>
  <conditionalFormatting sqref="Z48">
    <cfRule type="cellIs" dxfId="18031" priority="140375" stopIfTrue="1" operator="greaterThanOrEqual">
      <formula>0.5</formula>
    </cfRule>
  </conditionalFormatting>
  <conditionalFormatting sqref="Z49">
    <cfRule type="cellIs" dxfId="18030" priority="140376" stopIfTrue="1" operator="equal">
      <formula>-1</formula>
    </cfRule>
  </conditionalFormatting>
  <conditionalFormatting sqref="Z49">
    <cfRule type="cellIs" dxfId="18029" priority="140377" stopIfTrue="1" operator="lessThan">
      <formula>0.5</formula>
    </cfRule>
  </conditionalFormatting>
  <conditionalFormatting sqref="Z49">
    <cfRule type="cellIs" dxfId="18028" priority="140378" stopIfTrue="1" operator="greaterThanOrEqual">
      <formula>0.5</formula>
    </cfRule>
  </conditionalFormatting>
  <conditionalFormatting sqref="Z50">
    <cfRule type="cellIs" dxfId="18027" priority="140379" stopIfTrue="1" operator="equal">
      <formula>-1</formula>
    </cfRule>
  </conditionalFormatting>
  <conditionalFormatting sqref="Z50">
    <cfRule type="cellIs" dxfId="18026" priority="140380" stopIfTrue="1" operator="lessThan">
      <formula>0.5</formula>
    </cfRule>
  </conditionalFormatting>
  <conditionalFormatting sqref="Z50">
    <cfRule type="cellIs" dxfId="18025" priority="140381" stopIfTrue="1" operator="greaterThanOrEqual">
      <formula>0.5</formula>
    </cfRule>
  </conditionalFormatting>
  <conditionalFormatting sqref="Z51">
    <cfRule type="cellIs" dxfId="18024" priority="140382" stopIfTrue="1" operator="equal">
      <formula>-1</formula>
    </cfRule>
  </conditionalFormatting>
  <conditionalFormatting sqref="Z51">
    <cfRule type="cellIs" dxfId="18023" priority="140383" stopIfTrue="1" operator="lessThan">
      <formula>0.5</formula>
    </cfRule>
  </conditionalFormatting>
  <conditionalFormatting sqref="Z51">
    <cfRule type="cellIs" dxfId="18022" priority="140384" stopIfTrue="1" operator="greaterThanOrEqual">
      <formula>0.5</formula>
    </cfRule>
  </conditionalFormatting>
  <conditionalFormatting sqref="Z52">
    <cfRule type="cellIs" dxfId="18021" priority="140385" stopIfTrue="1" operator="equal">
      <formula>-1</formula>
    </cfRule>
  </conditionalFormatting>
  <conditionalFormatting sqref="Z52">
    <cfRule type="cellIs" dxfId="18020" priority="140386" stopIfTrue="1" operator="lessThan">
      <formula>0.5</formula>
    </cfRule>
  </conditionalFormatting>
  <conditionalFormatting sqref="Z52">
    <cfRule type="cellIs" dxfId="18019" priority="140387" stopIfTrue="1" operator="greaterThanOrEqual">
      <formula>0.5</formula>
    </cfRule>
  </conditionalFormatting>
  <conditionalFormatting sqref="Z53">
    <cfRule type="cellIs" dxfId="18018" priority="140388" stopIfTrue="1" operator="equal">
      <formula>-1</formula>
    </cfRule>
  </conditionalFormatting>
  <conditionalFormatting sqref="Z53">
    <cfRule type="cellIs" dxfId="18017" priority="140389" stopIfTrue="1" operator="lessThan">
      <formula>0.5</formula>
    </cfRule>
  </conditionalFormatting>
  <conditionalFormatting sqref="Z53">
    <cfRule type="cellIs" dxfId="18016" priority="140390" stopIfTrue="1" operator="greaterThanOrEqual">
      <formula>0.5</formula>
    </cfRule>
  </conditionalFormatting>
  <conditionalFormatting sqref="Z54">
    <cfRule type="cellIs" dxfId="18015" priority="140391" stopIfTrue="1" operator="equal">
      <formula>-1</formula>
    </cfRule>
  </conditionalFormatting>
  <conditionalFormatting sqref="Z54">
    <cfRule type="cellIs" dxfId="18014" priority="140392" stopIfTrue="1" operator="lessThan">
      <formula>0.5</formula>
    </cfRule>
  </conditionalFormatting>
  <conditionalFormatting sqref="Z54">
    <cfRule type="cellIs" dxfId="18013" priority="140393" stopIfTrue="1" operator="greaterThanOrEqual">
      <formula>0.5</formula>
    </cfRule>
  </conditionalFormatting>
  <conditionalFormatting sqref="Z55">
    <cfRule type="cellIs" dxfId="18012" priority="140394" stopIfTrue="1" operator="equal">
      <formula>-1</formula>
    </cfRule>
  </conditionalFormatting>
  <conditionalFormatting sqref="Z55">
    <cfRule type="cellIs" dxfId="18011" priority="140395" stopIfTrue="1" operator="lessThan">
      <formula>0.5</formula>
    </cfRule>
  </conditionalFormatting>
  <conditionalFormatting sqref="Z55">
    <cfRule type="cellIs" dxfId="18010" priority="140396" stopIfTrue="1" operator="greaterThanOrEqual">
      <formula>0.5</formula>
    </cfRule>
  </conditionalFormatting>
  <conditionalFormatting sqref="Z56">
    <cfRule type="cellIs" dxfId="18009" priority="140397" stopIfTrue="1" operator="equal">
      <formula>-1</formula>
    </cfRule>
  </conditionalFormatting>
  <conditionalFormatting sqref="Z56">
    <cfRule type="cellIs" dxfId="18008" priority="140398" stopIfTrue="1" operator="lessThan">
      <formula>0.5</formula>
    </cfRule>
  </conditionalFormatting>
  <conditionalFormatting sqref="Z56">
    <cfRule type="cellIs" dxfId="18007" priority="140399" stopIfTrue="1" operator="greaterThanOrEqual">
      <formula>0.5</formula>
    </cfRule>
  </conditionalFormatting>
  <conditionalFormatting sqref="Z57">
    <cfRule type="cellIs" dxfId="18006" priority="140400" stopIfTrue="1" operator="equal">
      <formula>-1</formula>
    </cfRule>
  </conditionalFormatting>
  <conditionalFormatting sqref="Z57">
    <cfRule type="cellIs" dxfId="18005" priority="140401" stopIfTrue="1" operator="lessThan">
      <formula>0.5</formula>
    </cfRule>
  </conditionalFormatting>
  <conditionalFormatting sqref="Z57">
    <cfRule type="cellIs" dxfId="18004" priority="140402" stopIfTrue="1" operator="greaterThanOrEqual">
      <formula>0.5</formula>
    </cfRule>
  </conditionalFormatting>
  <conditionalFormatting sqref="Z58">
    <cfRule type="cellIs" dxfId="18003" priority="140403" stopIfTrue="1" operator="equal">
      <formula>-1</formula>
    </cfRule>
  </conditionalFormatting>
  <conditionalFormatting sqref="Z58">
    <cfRule type="cellIs" dxfId="18002" priority="140404" stopIfTrue="1" operator="lessThan">
      <formula>0.5</formula>
    </cfRule>
  </conditionalFormatting>
  <conditionalFormatting sqref="Z58">
    <cfRule type="cellIs" dxfId="18001" priority="140405" stopIfTrue="1" operator="greaterThanOrEqual">
      <formula>0.5</formula>
    </cfRule>
  </conditionalFormatting>
  <conditionalFormatting sqref="AB39">
    <cfRule type="cellIs" dxfId="18000" priority="140406" stopIfTrue="1" operator="equal">
      <formula>-1</formula>
    </cfRule>
  </conditionalFormatting>
  <conditionalFormatting sqref="AB39">
    <cfRule type="cellIs" dxfId="17999" priority="140407" stopIfTrue="1" operator="lessThan">
      <formula>0.5</formula>
    </cfRule>
  </conditionalFormatting>
  <conditionalFormatting sqref="AB39">
    <cfRule type="cellIs" dxfId="17998" priority="140408" stopIfTrue="1" operator="greaterThanOrEqual">
      <formula>0.5</formula>
    </cfRule>
  </conditionalFormatting>
  <conditionalFormatting sqref="AB40">
    <cfRule type="cellIs" dxfId="17997" priority="140409" stopIfTrue="1" operator="equal">
      <formula>-1</formula>
    </cfRule>
  </conditionalFormatting>
  <conditionalFormatting sqref="AB40">
    <cfRule type="cellIs" dxfId="17996" priority="140410" stopIfTrue="1" operator="lessThan">
      <formula>0.5</formula>
    </cfRule>
  </conditionalFormatting>
  <conditionalFormatting sqref="AB40">
    <cfRule type="cellIs" dxfId="17995" priority="140411" stopIfTrue="1" operator="greaterThanOrEqual">
      <formula>0.5</formula>
    </cfRule>
  </conditionalFormatting>
  <conditionalFormatting sqref="AB41">
    <cfRule type="cellIs" dxfId="17994" priority="140412" stopIfTrue="1" operator="equal">
      <formula>-1</formula>
    </cfRule>
  </conditionalFormatting>
  <conditionalFormatting sqref="AB41">
    <cfRule type="cellIs" dxfId="17993" priority="140413" stopIfTrue="1" operator="lessThan">
      <formula>0.5</formula>
    </cfRule>
  </conditionalFormatting>
  <conditionalFormatting sqref="AB41">
    <cfRule type="cellIs" dxfId="17992" priority="140414" stopIfTrue="1" operator="greaterThanOrEqual">
      <formula>0.5</formula>
    </cfRule>
  </conditionalFormatting>
  <conditionalFormatting sqref="AB42">
    <cfRule type="cellIs" dxfId="17991" priority="140415" stopIfTrue="1" operator="equal">
      <formula>-1</formula>
    </cfRule>
  </conditionalFormatting>
  <conditionalFormatting sqref="AB42">
    <cfRule type="cellIs" dxfId="17990" priority="140416" stopIfTrue="1" operator="lessThan">
      <formula>0.5</formula>
    </cfRule>
  </conditionalFormatting>
  <conditionalFormatting sqref="AB42">
    <cfRule type="cellIs" dxfId="17989" priority="140417" stopIfTrue="1" operator="greaterThanOrEqual">
      <formula>0.5</formula>
    </cfRule>
  </conditionalFormatting>
  <conditionalFormatting sqref="AB43">
    <cfRule type="cellIs" dxfId="17988" priority="140418" stopIfTrue="1" operator="equal">
      <formula>-1</formula>
    </cfRule>
  </conditionalFormatting>
  <conditionalFormatting sqref="AB43">
    <cfRule type="cellIs" dxfId="17987" priority="140419" stopIfTrue="1" operator="lessThan">
      <formula>0.5</formula>
    </cfRule>
  </conditionalFormatting>
  <conditionalFormatting sqref="AB43">
    <cfRule type="cellIs" dxfId="17986" priority="140420" stopIfTrue="1" operator="greaterThanOrEqual">
      <formula>0.5</formula>
    </cfRule>
  </conditionalFormatting>
  <conditionalFormatting sqref="AB44">
    <cfRule type="cellIs" dxfId="17985" priority="140421" stopIfTrue="1" operator="equal">
      <formula>-1</formula>
    </cfRule>
  </conditionalFormatting>
  <conditionalFormatting sqref="AB44">
    <cfRule type="cellIs" dxfId="17984" priority="140422" stopIfTrue="1" operator="lessThan">
      <formula>0.5</formula>
    </cfRule>
  </conditionalFormatting>
  <conditionalFormatting sqref="AB44">
    <cfRule type="cellIs" dxfId="17983" priority="140423" stopIfTrue="1" operator="greaterThanOrEqual">
      <formula>0.5</formula>
    </cfRule>
  </conditionalFormatting>
  <conditionalFormatting sqref="AB45">
    <cfRule type="cellIs" dxfId="17982" priority="140424" stopIfTrue="1" operator="equal">
      <formula>-1</formula>
    </cfRule>
  </conditionalFormatting>
  <conditionalFormatting sqref="AB45">
    <cfRule type="cellIs" dxfId="17981" priority="140425" stopIfTrue="1" operator="lessThan">
      <formula>0.5</formula>
    </cfRule>
  </conditionalFormatting>
  <conditionalFormatting sqref="AB45">
    <cfRule type="cellIs" dxfId="17980" priority="140426" stopIfTrue="1" operator="greaterThanOrEqual">
      <formula>0.5</formula>
    </cfRule>
  </conditionalFormatting>
  <conditionalFormatting sqref="AB46">
    <cfRule type="cellIs" dxfId="17979" priority="140427" stopIfTrue="1" operator="equal">
      <formula>-1</formula>
    </cfRule>
  </conditionalFormatting>
  <conditionalFormatting sqref="AB46">
    <cfRule type="cellIs" dxfId="17978" priority="140428" stopIfTrue="1" operator="lessThan">
      <formula>0.5</formula>
    </cfRule>
  </conditionalFormatting>
  <conditionalFormatting sqref="AB46">
    <cfRule type="cellIs" dxfId="17977" priority="140429" stopIfTrue="1" operator="greaterThanOrEqual">
      <formula>0.5</formula>
    </cfRule>
  </conditionalFormatting>
  <conditionalFormatting sqref="AB47">
    <cfRule type="cellIs" dxfId="17976" priority="140430" stopIfTrue="1" operator="equal">
      <formula>-1</formula>
    </cfRule>
  </conditionalFormatting>
  <conditionalFormatting sqref="AB47">
    <cfRule type="cellIs" dxfId="17975" priority="140431" stopIfTrue="1" operator="lessThan">
      <formula>0.5</formula>
    </cfRule>
  </conditionalFormatting>
  <conditionalFormatting sqref="AB47">
    <cfRule type="cellIs" dxfId="17974" priority="140432" stopIfTrue="1" operator="greaterThanOrEqual">
      <formula>0.5</formula>
    </cfRule>
  </conditionalFormatting>
  <conditionalFormatting sqref="AB48">
    <cfRule type="cellIs" dxfId="17973" priority="140433" stopIfTrue="1" operator="equal">
      <formula>-1</formula>
    </cfRule>
  </conditionalFormatting>
  <conditionalFormatting sqref="AB48">
    <cfRule type="cellIs" dxfId="17972" priority="140434" stopIfTrue="1" operator="lessThan">
      <formula>0.5</formula>
    </cfRule>
  </conditionalFormatting>
  <conditionalFormatting sqref="AB48">
    <cfRule type="cellIs" dxfId="17971" priority="140435" stopIfTrue="1" operator="greaterThanOrEqual">
      <formula>0.5</formula>
    </cfRule>
  </conditionalFormatting>
  <conditionalFormatting sqref="AB49">
    <cfRule type="cellIs" dxfId="17970" priority="140436" stopIfTrue="1" operator="equal">
      <formula>-1</formula>
    </cfRule>
  </conditionalFormatting>
  <conditionalFormatting sqref="AB49">
    <cfRule type="cellIs" dxfId="17969" priority="140437" stopIfTrue="1" operator="lessThan">
      <formula>0.5</formula>
    </cfRule>
  </conditionalFormatting>
  <conditionalFormatting sqref="AB49">
    <cfRule type="cellIs" dxfId="17968" priority="140438" stopIfTrue="1" operator="greaterThanOrEqual">
      <formula>0.5</formula>
    </cfRule>
  </conditionalFormatting>
  <conditionalFormatting sqref="AB50">
    <cfRule type="cellIs" dxfId="17967" priority="140439" stopIfTrue="1" operator="equal">
      <formula>-1</formula>
    </cfRule>
  </conditionalFormatting>
  <conditionalFormatting sqref="AB50">
    <cfRule type="cellIs" dxfId="17966" priority="140440" stopIfTrue="1" operator="lessThan">
      <formula>0.5</formula>
    </cfRule>
  </conditionalFormatting>
  <conditionalFormatting sqref="AB50">
    <cfRule type="cellIs" dxfId="17965" priority="140441" stopIfTrue="1" operator="greaterThanOrEqual">
      <formula>0.5</formula>
    </cfRule>
  </conditionalFormatting>
  <conditionalFormatting sqref="AB51">
    <cfRule type="cellIs" dxfId="17964" priority="140442" stopIfTrue="1" operator="equal">
      <formula>-1</formula>
    </cfRule>
  </conditionalFormatting>
  <conditionalFormatting sqref="AB51">
    <cfRule type="cellIs" dxfId="17963" priority="140443" stopIfTrue="1" operator="lessThan">
      <formula>0.5</formula>
    </cfRule>
  </conditionalFormatting>
  <conditionalFormatting sqref="AB51">
    <cfRule type="cellIs" dxfId="17962" priority="140444" stopIfTrue="1" operator="greaterThanOrEqual">
      <formula>0.5</formula>
    </cfRule>
  </conditionalFormatting>
  <conditionalFormatting sqref="AB52">
    <cfRule type="cellIs" dxfId="17961" priority="140445" stopIfTrue="1" operator="equal">
      <formula>-1</formula>
    </cfRule>
  </conditionalFormatting>
  <conditionalFormatting sqref="AB52">
    <cfRule type="cellIs" dxfId="17960" priority="140446" stopIfTrue="1" operator="lessThan">
      <formula>0.5</formula>
    </cfRule>
  </conditionalFormatting>
  <conditionalFormatting sqref="AB52">
    <cfRule type="cellIs" dxfId="17959" priority="140447" stopIfTrue="1" operator="greaterThanOrEqual">
      <formula>0.5</formula>
    </cfRule>
  </conditionalFormatting>
  <conditionalFormatting sqref="AB53">
    <cfRule type="cellIs" dxfId="17958" priority="140448" stopIfTrue="1" operator="equal">
      <formula>-1</formula>
    </cfRule>
  </conditionalFormatting>
  <conditionalFormatting sqref="AB53">
    <cfRule type="cellIs" dxfId="17957" priority="140449" stopIfTrue="1" operator="lessThan">
      <formula>0.5</formula>
    </cfRule>
  </conditionalFormatting>
  <conditionalFormatting sqref="AB53">
    <cfRule type="cellIs" dxfId="17956" priority="140450" stopIfTrue="1" operator="greaterThanOrEqual">
      <formula>0.5</formula>
    </cfRule>
  </conditionalFormatting>
  <conditionalFormatting sqref="AB54">
    <cfRule type="cellIs" dxfId="17955" priority="140451" stopIfTrue="1" operator="equal">
      <formula>-1</formula>
    </cfRule>
  </conditionalFormatting>
  <conditionalFormatting sqref="AB54">
    <cfRule type="cellIs" dxfId="17954" priority="140452" stopIfTrue="1" operator="lessThan">
      <formula>0.5</formula>
    </cfRule>
  </conditionalFormatting>
  <conditionalFormatting sqref="AB54">
    <cfRule type="cellIs" dxfId="17953" priority="140453" stopIfTrue="1" operator="greaterThanOrEqual">
      <formula>0.5</formula>
    </cfRule>
  </conditionalFormatting>
  <conditionalFormatting sqref="AB55">
    <cfRule type="cellIs" dxfId="17952" priority="140454" stopIfTrue="1" operator="equal">
      <formula>-1</formula>
    </cfRule>
  </conditionalFormatting>
  <conditionalFormatting sqref="AB55">
    <cfRule type="cellIs" dxfId="17951" priority="140455" stopIfTrue="1" operator="lessThan">
      <formula>0.5</formula>
    </cfRule>
  </conditionalFormatting>
  <conditionalFormatting sqref="AB55">
    <cfRule type="cellIs" dxfId="17950" priority="140456" stopIfTrue="1" operator="greaterThanOrEqual">
      <formula>0.5</formula>
    </cfRule>
  </conditionalFormatting>
  <conditionalFormatting sqref="AB56">
    <cfRule type="cellIs" dxfId="17949" priority="140457" stopIfTrue="1" operator="equal">
      <formula>-1</formula>
    </cfRule>
  </conditionalFormatting>
  <conditionalFormatting sqref="AB56">
    <cfRule type="cellIs" dxfId="17948" priority="140458" stopIfTrue="1" operator="lessThan">
      <formula>0.5</formula>
    </cfRule>
  </conditionalFormatting>
  <conditionalFormatting sqref="AB56">
    <cfRule type="cellIs" dxfId="17947" priority="140459" stopIfTrue="1" operator="greaterThanOrEqual">
      <formula>0.5</formula>
    </cfRule>
  </conditionalFormatting>
  <conditionalFormatting sqref="AB57">
    <cfRule type="cellIs" dxfId="17946" priority="140460" stopIfTrue="1" operator="equal">
      <formula>-1</formula>
    </cfRule>
  </conditionalFormatting>
  <conditionalFormatting sqref="AB57">
    <cfRule type="cellIs" dxfId="17945" priority="140461" stopIfTrue="1" operator="lessThan">
      <formula>0.5</formula>
    </cfRule>
  </conditionalFormatting>
  <conditionalFormatting sqref="AB57">
    <cfRule type="cellIs" dxfId="17944" priority="140462" stopIfTrue="1" operator="greaterThanOrEqual">
      <formula>0.5</formula>
    </cfRule>
  </conditionalFormatting>
  <conditionalFormatting sqref="AB58">
    <cfRule type="cellIs" dxfId="17943" priority="140463" stopIfTrue="1" operator="equal">
      <formula>-1</formula>
    </cfRule>
  </conditionalFormatting>
  <conditionalFormatting sqref="AB58">
    <cfRule type="cellIs" dxfId="17942" priority="140464" stopIfTrue="1" operator="lessThan">
      <formula>0.5</formula>
    </cfRule>
  </conditionalFormatting>
  <conditionalFormatting sqref="AB58">
    <cfRule type="cellIs" dxfId="17941" priority="140465" stopIfTrue="1" operator="greaterThanOrEqual">
      <formula>0.5</formula>
    </cfRule>
  </conditionalFormatting>
  <conditionalFormatting sqref="AD39">
    <cfRule type="cellIs" dxfId="17940" priority="140466" stopIfTrue="1" operator="equal">
      <formula>-1</formula>
    </cfRule>
  </conditionalFormatting>
  <conditionalFormatting sqref="AD39">
    <cfRule type="cellIs" dxfId="17939" priority="140467" stopIfTrue="1" operator="lessThan">
      <formula>0.5</formula>
    </cfRule>
  </conditionalFormatting>
  <conditionalFormatting sqref="AD39">
    <cfRule type="cellIs" dxfId="17938" priority="140468" stopIfTrue="1" operator="greaterThanOrEqual">
      <formula>0.5</formula>
    </cfRule>
  </conditionalFormatting>
  <conditionalFormatting sqref="AD40">
    <cfRule type="cellIs" dxfId="17937" priority="140469" stopIfTrue="1" operator="equal">
      <formula>-1</formula>
    </cfRule>
  </conditionalFormatting>
  <conditionalFormatting sqref="AD40">
    <cfRule type="cellIs" dxfId="17936" priority="140470" stopIfTrue="1" operator="lessThan">
      <formula>0.5</formula>
    </cfRule>
  </conditionalFormatting>
  <conditionalFormatting sqref="AD40">
    <cfRule type="cellIs" dxfId="17935" priority="140471" stopIfTrue="1" operator="greaterThanOrEqual">
      <formula>0.5</formula>
    </cfRule>
  </conditionalFormatting>
  <conditionalFormatting sqref="AD41">
    <cfRule type="cellIs" dxfId="17934" priority="140472" stopIfTrue="1" operator="equal">
      <formula>-1</formula>
    </cfRule>
  </conditionalFormatting>
  <conditionalFormatting sqref="AD41">
    <cfRule type="cellIs" dxfId="17933" priority="140473" stopIfTrue="1" operator="lessThan">
      <formula>0.5</formula>
    </cfRule>
  </conditionalFormatting>
  <conditionalFormatting sqref="AD41">
    <cfRule type="cellIs" dxfId="17932" priority="140474" stopIfTrue="1" operator="greaterThanOrEqual">
      <formula>0.5</formula>
    </cfRule>
  </conditionalFormatting>
  <conditionalFormatting sqref="AD42">
    <cfRule type="cellIs" dxfId="17931" priority="140475" stopIfTrue="1" operator="equal">
      <formula>-1</formula>
    </cfRule>
  </conditionalFormatting>
  <conditionalFormatting sqref="AD42">
    <cfRule type="cellIs" dxfId="17930" priority="140476" stopIfTrue="1" operator="lessThan">
      <formula>0.5</formula>
    </cfRule>
  </conditionalFormatting>
  <conditionalFormatting sqref="AD42">
    <cfRule type="cellIs" dxfId="17929" priority="140477" stopIfTrue="1" operator="greaterThanOrEqual">
      <formula>0.5</formula>
    </cfRule>
  </conditionalFormatting>
  <conditionalFormatting sqref="AD43">
    <cfRule type="cellIs" dxfId="17928" priority="140478" stopIfTrue="1" operator="equal">
      <formula>-1</formula>
    </cfRule>
  </conditionalFormatting>
  <conditionalFormatting sqref="AD43">
    <cfRule type="cellIs" dxfId="17927" priority="140479" stopIfTrue="1" operator="lessThan">
      <formula>0.5</formula>
    </cfRule>
  </conditionalFormatting>
  <conditionalFormatting sqref="AD43">
    <cfRule type="cellIs" dxfId="17926" priority="140480" stopIfTrue="1" operator="greaterThanOrEqual">
      <formula>0.5</formula>
    </cfRule>
  </conditionalFormatting>
  <conditionalFormatting sqref="AD44">
    <cfRule type="cellIs" dxfId="17925" priority="140481" stopIfTrue="1" operator="equal">
      <formula>-1</formula>
    </cfRule>
  </conditionalFormatting>
  <conditionalFormatting sqref="AD44">
    <cfRule type="cellIs" dxfId="17924" priority="140482" stopIfTrue="1" operator="lessThan">
      <formula>0.5</formula>
    </cfRule>
  </conditionalFormatting>
  <conditionalFormatting sqref="AD44">
    <cfRule type="cellIs" dxfId="17923" priority="140483" stopIfTrue="1" operator="greaterThanOrEqual">
      <formula>0.5</formula>
    </cfRule>
  </conditionalFormatting>
  <conditionalFormatting sqref="AD45">
    <cfRule type="cellIs" dxfId="17922" priority="140484" stopIfTrue="1" operator="equal">
      <formula>-1</formula>
    </cfRule>
  </conditionalFormatting>
  <conditionalFormatting sqref="AD45">
    <cfRule type="cellIs" dxfId="17921" priority="140485" stopIfTrue="1" operator="lessThan">
      <formula>0.5</formula>
    </cfRule>
  </conditionalFormatting>
  <conditionalFormatting sqref="AD45">
    <cfRule type="cellIs" dxfId="17920" priority="140486" stopIfTrue="1" operator="greaterThanOrEqual">
      <formula>0.5</formula>
    </cfRule>
  </conditionalFormatting>
  <conditionalFormatting sqref="AD46">
    <cfRule type="cellIs" dxfId="17919" priority="140487" stopIfTrue="1" operator="equal">
      <formula>-1</formula>
    </cfRule>
  </conditionalFormatting>
  <conditionalFormatting sqref="AD46">
    <cfRule type="cellIs" dxfId="17918" priority="140488" stopIfTrue="1" operator="lessThan">
      <formula>0.5</formula>
    </cfRule>
  </conditionalFormatting>
  <conditionalFormatting sqref="AD46">
    <cfRule type="cellIs" dxfId="17917" priority="140489" stopIfTrue="1" operator="greaterThanOrEqual">
      <formula>0.5</formula>
    </cfRule>
  </conditionalFormatting>
  <conditionalFormatting sqref="AD47">
    <cfRule type="cellIs" dxfId="17916" priority="140490" stopIfTrue="1" operator="equal">
      <formula>-1</formula>
    </cfRule>
  </conditionalFormatting>
  <conditionalFormatting sqref="AD47">
    <cfRule type="cellIs" dxfId="17915" priority="140491" stopIfTrue="1" operator="lessThan">
      <formula>0.5</formula>
    </cfRule>
  </conditionalFormatting>
  <conditionalFormatting sqref="AD47">
    <cfRule type="cellIs" dxfId="17914" priority="140492" stopIfTrue="1" operator="greaterThanOrEqual">
      <formula>0.5</formula>
    </cfRule>
  </conditionalFormatting>
  <conditionalFormatting sqref="AD48">
    <cfRule type="cellIs" dxfId="17913" priority="140493" stopIfTrue="1" operator="equal">
      <formula>-1</formula>
    </cfRule>
  </conditionalFormatting>
  <conditionalFormatting sqref="AD48">
    <cfRule type="cellIs" dxfId="17912" priority="140494" stopIfTrue="1" operator="lessThan">
      <formula>0.5</formula>
    </cfRule>
  </conditionalFormatting>
  <conditionalFormatting sqref="AD48">
    <cfRule type="cellIs" dxfId="17911" priority="140495" stopIfTrue="1" operator="greaterThanOrEqual">
      <formula>0.5</formula>
    </cfRule>
  </conditionalFormatting>
  <conditionalFormatting sqref="AD49">
    <cfRule type="cellIs" dxfId="17910" priority="140496" stopIfTrue="1" operator="equal">
      <formula>-1</formula>
    </cfRule>
  </conditionalFormatting>
  <conditionalFormatting sqref="AD49">
    <cfRule type="cellIs" dxfId="17909" priority="140497" stopIfTrue="1" operator="lessThan">
      <formula>0.5</formula>
    </cfRule>
  </conditionalFormatting>
  <conditionalFormatting sqref="AD49">
    <cfRule type="cellIs" dxfId="17908" priority="140498" stopIfTrue="1" operator="greaterThanOrEqual">
      <formula>0.5</formula>
    </cfRule>
  </conditionalFormatting>
  <conditionalFormatting sqref="AD50">
    <cfRule type="cellIs" dxfId="17907" priority="140499" stopIfTrue="1" operator="equal">
      <formula>-1</formula>
    </cfRule>
  </conditionalFormatting>
  <conditionalFormatting sqref="AD50">
    <cfRule type="cellIs" dxfId="17906" priority="140500" stopIfTrue="1" operator="lessThan">
      <formula>0.5</formula>
    </cfRule>
  </conditionalFormatting>
  <conditionalFormatting sqref="AD50">
    <cfRule type="cellIs" dxfId="17905" priority="140501" stopIfTrue="1" operator="greaterThanOrEqual">
      <formula>0.5</formula>
    </cfRule>
  </conditionalFormatting>
  <conditionalFormatting sqref="AD51">
    <cfRule type="cellIs" dxfId="17904" priority="140502" stopIfTrue="1" operator="equal">
      <formula>-1</formula>
    </cfRule>
  </conditionalFormatting>
  <conditionalFormatting sqref="AD51">
    <cfRule type="cellIs" dxfId="17903" priority="140503" stopIfTrue="1" operator="lessThan">
      <formula>0.5</formula>
    </cfRule>
  </conditionalFormatting>
  <conditionalFormatting sqref="AD51">
    <cfRule type="cellIs" dxfId="17902" priority="140504" stopIfTrue="1" operator="greaterThanOrEqual">
      <formula>0.5</formula>
    </cfRule>
  </conditionalFormatting>
  <conditionalFormatting sqref="AD52">
    <cfRule type="cellIs" dxfId="17901" priority="140505" stopIfTrue="1" operator="equal">
      <formula>-1</formula>
    </cfRule>
  </conditionalFormatting>
  <conditionalFormatting sqref="AD52">
    <cfRule type="cellIs" dxfId="17900" priority="140506" stopIfTrue="1" operator="lessThan">
      <formula>0.5</formula>
    </cfRule>
  </conditionalFormatting>
  <conditionalFormatting sqref="AD52">
    <cfRule type="cellIs" dxfId="17899" priority="140507" stopIfTrue="1" operator="greaterThanOrEqual">
      <formula>0.5</formula>
    </cfRule>
  </conditionalFormatting>
  <conditionalFormatting sqref="AD53">
    <cfRule type="cellIs" dxfId="17898" priority="140508" stopIfTrue="1" operator="equal">
      <formula>-1</formula>
    </cfRule>
  </conditionalFormatting>
  <conditionalFormatting sqref="AD53">
    <cfRule type="cellIs" dxfId="17897" priority="140509" stopIfTrue="1" operator="lessThan">
      <formula>0.5</formula>
    </cfRule>
  </conditionalFormatting>
  <conditionalFormatting sqref="AD53">
    <cfRule type="cellIs" dxfId="17896" priority="140510" stopIfTrue="1" operator="greaterThanOrEqual">
      <formula>0.5</formula>
    </cfRule>
  </conditionalFormatting>
  <conditionalFormatting sqref="AD54">
    <cfRule type="cellIs" dxfId="17895" priority="140511" stopIfTrue="1" operator="equal">
      <formula>-1</formula>
    </cfRule>
  </conditionalFormatting>
  <conditionalFormatting sqref="AD54">
    <cfRule type="cellIs" dxfId="17894" priority="140512" stopIfTrue="1" operator="lessThan">
      <formula>0.5</formula>
    </cfRule>
  </conditionalFormatting>
  <conditionalFormatting sqref="AD54">
    <cfRule type="cellIs" dxfId="17893" priority="140513" stopIfTrue="1" operator="greaterThanOrEqual">
      <formula>0.5</formula>
    </cfRule>
  </conditionalFormatting>
  <conditionalFormatting sqref="AD55">
    <cfRule type="cellIs" dxfId="17892" priority="140514" stopIfTrue="1" operator="equal">
      <formula>-1</formula>
    </cfRule>
  </conditionalFormatting>
  <conditionalFormatting sqref="AD55">
    <cfRule type="cellIs" dxfId="17891" priority="140515" stopIfTrue="1" operator="lessThan">
      <formula>0.5</formula>
    </cfRule>
  </conditionalFormatting>
  <conditionalFormatting sqref="AD55">
    <cfRule type="cellIs" dxfId="17890" priority="140516" stopIfTrue="1" operator="greaterThanOrEqual">
      <formula>0.5</formula>
    </cfRule>
  </conditionalFormatting>
  <conditionalFormatting sqref="AD56">
    <cfRule type="cellIs" dxfId="17889" priority="140517" stopIfTrue="1" operator="equal">
      <formula>-1</formula>
    </cfRule>
  </conditionalFormatting>
  <conditionalFormatting sqref="AD56">
    <cfRule type="cellIs" dxfId="17888" priority="140518" stopIfTrue="1" operator="lessThan">
      <formula>0.5</formula>
    </cfRule>
  </conditionalFormatting>
  <conditionalFormatting sqref="AD56">
    <cfRule type="cellIs" dxfId="17887" priority="140519" stopIfTrue="1" operator="greaterThanOrEqual">
      <formula>0.5</formula>
    </cfRule>
  </conditionalFormatting>
  <conditionalFormatting sqref="AD57">
    <cfRule type="cellIs" dxfId="17886" priority="140520" stopIfTrue="1" operator="equal">
      <formula>-1</formula>
    </cfRule>
  </conditionalFormatting>
  <conditionalFormatting sqref="AD57">
    <cfRule type="cellIs" dxfId="17885" priority="140521" stopIfTrue="1" operator="lessThan">
      <formula>0.5</formula>
    </cfRule>
  </conditionalFormatting>
  <conditionalFormatting sqref="AD57">
    <cfRule type="cellIs" dxfId="17884" priority="140522" stopIfTrue="1" operator="greaterThanOrEqual">
      <formula>0.5</formula>
    </cfRule>
  </conditionalFormatting>
  <conditionalFormatting sqref="AD58">
    <cfRule type="cellIs" dxfId="17883" priority="140523" stopIfTrue="1" operator="equal">
      <formula>-1</formula>
    </cfRule>
  </conditionalFormatting>
  <conditionalFormatting sqref="AD58">
    <cfRule type="cellIs" dxfId="17882" priority="140524" stopIfTrue="1" operator="lessThan">
      <formula>0.5</formula>
    </cfRule>
  </conditionalFormatting>
  <conditionalFormatting sqref="AD58">
    <cfRule type="cellIs" dxfId="17881" priority="140525" stopIfTrue="1" operator="greaterThanOrEqual">
      <formula>0.5</formula>
    </cfRule>
  </conditionalFormatting>
  <conditionalFormatting sqref="AF39">
    <cfRule type="cellIs" dxfId="17880" priority="140526" stopIfTrue="1" operator="equal">
      <formula>-1</formula>
    </cfRule>
  </conditionalFormatting>
  <conditionalFormatting sqref="AF39">
    <cfRule type="cellIs" dxfId="17879" priority="140527" stopIfTrue="1" operator="lessThan">
      <formula>0.5</formula>
    </cfRule>
  </conditionalFormatting>
  <conditionalFormatting sqref="AF39">
    <cfRule type="cellIs" dxfId="17878" priority="140528" stopIfTrue="1" operator="greaterThanOrEqual">
      <formula>0.5</formula>
    </cfRule>
  </conditionalFormatting>
  <conditionalFormatting sqref="AF40">
    <cfRule type="cellIs" dxfId="17877" priority="140529" stopIfTrue="1" operator="equal">
      <formula>-1</formula>
    </cfRule>
  </conditionalFormatting>
  <conditionalFormatting sqref="AF40">
    <cfRule type="cellIs" dxfId="17876" priority="140530" stopIfTrue="1" operator="lessThan">
      <formula>0.5</formula>
    </cfRule>
  </conditionalFormatting>
  <conditionalFormatting sqref="AF40">
    <cfRule type="cellIs" dxfId="17875" priority="140531" stopIfTrue="1" operator="greaterThanOrEqual">
      <formula>0.5</formula>
    </cfRule>
  </conditionalFormatting>
  <conditionalFormatting sqref="AF41">
    <cfRule type="cellIs" dxfId="17874" priority="140532" stopIfTrue="1" operator="equal">
      <formula>-1</formula>
    </cfRule>
  </conditionalFormatting>
  <conditionalFormatting sqref="AF41">
    <cfRule type="cellIs" dxfId="17873" priority="140533" stopIfTrue="1" operator="lessThan">
      <formula>0.5</formula>
    </cfRule>
  </conditionalFormatting>
  <conditionalFormatting sqref="AF41">
    <cfRule type="cellIs" dxfId="17872" priority="140534" stopIfTrue="1" operator="greaterThanOrEqual">
      <formula>0.5</formula>
    </cfRule>
  </conditionalFormatting>
  <conditionalFormatting sqref="AF42">
    <cfRule type="cellIs" dxfId="17871" priority="140535" stopIfTrue="1" operator="equal">
      <formula>-1</formula>
    </cfRule>
  </conditionalFormatting>
  <conditionalFormatting sqref="AF42">
    <cfRule type="cellIs" dxfId="17870" priority="140536" stopIfTrue="1" operator="lessThan">
      <formula>0.5</formula>
    </cfRule>
  </conditionalFormatting>
  <conditionalFormatting sqref="AF42">
    <cfRule type="cellIs" dxfId="17869" priority="140537" stopIfTrue="1" operator="greaterThanOrEqual">
      <formula>0.5</formula>
    </cfRule>
  </conditionalFormatting>
  <conditionalFormatting sqref="AF43">
    <cfRule type="cellIs" dxfId="17868" priority="140538" stopIfTrue="1" operator="equal">
      <formula>-1</formula>
    </cfRule>
  </conditionalFormatting>
  <conditionalFormatting sqref="AF43">
    <cfRule type="cellIs" dxfId="17867" priority="140539" stopIfTrue="1" operator="lessThan">
      <formula>0.5</formula>
    </cfRule>
  </conditionalFormatting>
  <conditionalFormatting sqref="AF43">
    <cfRule type="cellIs" dxfId="17866" priority="140540" stopIfTrue="1" operator="greaterThanOrEqual">
      <formula>0.5</formula>
    </cfRule>
  </conditionalFormatting>
  <conditionalFormatting sqref="AF44">
    <cfRule type="cellIs" dxfId="17865" priority="140541" stopIfTrue="1" operator="equal">
      <formula>-1</formula>
    </cfRule>
  </conditionalFormatting>
  <conditionalFormatting sqref="AF44">
    <cfRule type="cellIs" dxfId="17864" priority="140542" stopIfTrue="1" operator="lessThan">
      <formula>0.5</formula>
    </cfRule>
  </conditionalFormatting>
  <conditionalFormatting sqref="AF44">
    <cfRule type="cellIs" dxfId="17863" priority="140543" stopIfTrue="1" operator="greaterThanOrEqual">
      <formula>0.5</formula>
    </cfRule>
  </conditionalFormatting>
  <conditionalFormatting sqref="AF45">
    <cfRule type="cellIs" dxfId="17862" priority="140544" stopIfTrue="1" operator="equal">
      <formula>-1</formula>
    </cfRule>
  </conditionalFormatting>
  <conditionalFormatting sqref="AF45">
    <cfRule type="cellIs" dxfId="17861" priority="140545" stopIfTrue="1" operator="lessThan">
      <formula>0.5</formula>
    </cfRule>
  </conditionalFormatting>
  <conditionalFormatting sqref="AF45">
    <cfRule type="cellIs" dxfId="17860" priority="140546" stopIfTrue="1" operator="greaterThanOrEqual">
      <formula>0.5</formula>
    </cfRule>
  </conditionalFormatting>
  <conditionalFormatting sqref="AF46">
    <cfRule type="cellIs" dxfId="17859" priority="140547" stopIfTrue="1" operator="equal">
      <formula>-1</formula>
    </cfRule>
  </conditionalFormatting>
  <conditionalFormatting sqref="AF46">
    <cfRule type="cellIs" dxfId="17858" priority="140548" stopIfTrue="1" operator="lessThan">
      <formula>0.5</formula>
    </cfRule>
  </conditionalFormatting>
  <conditionalFormatting sqref="AF46">
    <cfRule type="cellIs" dxfId="17857" priority="140549" stopIfTrue="1" operator="greaterThanOrEqual">
      <formula>0.5</formula>
    </cfRule>
  </conditionalFormatting>
  <conditionalFormatting sqref="AF47">
    <cfRule type="cellIs" dxfId="17856" priority="140550" stopIfTrue="1" operator="equal">
      <formula>-1</formula>
    </cfRule>
  </conditionalFormatting>
  <conditionalFormatting sqref="AF47">
    <cfRule type="cellIs" dxfId="17855" priority="140551" stopIfTrue="1" operator="lessThan">
      <formula>0.5</formula>
    </cfRule>
  </conditionalFormatting>
  <conditionalFormatting sqref="AF47">
    <cfRule type="cellIs" dxfId="17854" priority="140552" stopIfTrue="1" operator="greaterThanOrEqual">
      <formula>0.5</formula>
    </cfRule>
  </conditionalFormatting>
  <conditionalFormatting sqref="AF48">
    <cfRule type="cellIs" dxfId="17853" priority="140553" stopIfTrue="1" operator="equal">
      <formula>-1</formula>
    </cfRule>
  </conditionalFormatting>
  <conditionalFormatting sqref="AF48">
    <cfRule type="cellIs" dxfId="17852" priority="140554" stopIfTrue="1" operator="lessThan">
      <formula>0.5</formula>
    </cfRule>
  </conditionalFormatting>
  <conditionalFormatting sqref="AF48">
    <cfRule type="cellIs" dxfId="17851" priority="140555" stopIfTrue="1" operator="greaterThanOrEqual">
      <formula>0.5</formula>
    </cfRule>
  </conditionalFormatting>
  <conditionalFormatting sqref="AF49">
    <cfRule type="cellIs" dxfId="17850" priority="140556" stopIfTrue="1" operator="equal">
      <formula>-1</formula>
    </cfRule>
  </conditionalFormatting>
  <conditionalFormatting sqref="AF49">
    <cfRule type="cellIs" dxfId="17849" priority="140557" stopIfTrue="1" operator="lessThan">
      <formula>0.5</formula>
    </cfRule>
  </conditionalFormatting>
  <conditionalFormatting sqref="AF49">
    <cfRule type="cellIs" dxfId="17848" priority="140558" stopIfTrue="1" operator="greaterThanOrEqual">
      <formula>0.5</formula>
    </cfRule>
  </conditionalFormatting>
  <conditionalFormatting sqref="AF50">
    <cfRule type="cellIs" dxfId="17847" priority="140559" stopIfTrue="1" operator="equal">
      <formula>-1</formula>
    </cfRule>
  </conditionalFormatting>
  <conditionalFormatting sqref="AF50">
    <cfRule type="cellIs" dxfId="17846" priority="140560" stopIfTrue="1" operator="lessThan">
      <formula>0.5</formula>
    </cfRule>
  </conditionalFormatting>
  <conditionalFormatting sqref="AF50">
    <cfRule type="cellIs" dxfId="17845" priority="140561" stopIfTrue="1" operator="greaterThanOrEqual">
      <formula>0.5</formula>
    </cfRule>
  </conditionalFormatting>
  <conditionalFormatting sqref="AF51">
    <cfRule type="cellIs" dxfId="17844" priority="140562" stopIfTrue="1" operator="equal">
      <formula>-1</formula>
    </cfRule>
  </conditionalFormatting>
  <conditionalFormatting sqref="AF51">
    <cfRule type="cellIs" dxfId="17843" priority="140563" stopIfTrue="1" operator="lessThan">
      <formula>0.5</formula>
    </cfRule>
  </conditionalFormatting>
  <conditionalFormatting sqref="AF51">
    <cfRule type="cellIs" dxfId="17842" priority="140564" stopIfTrue="1" operator="greaterThanOrEqual">
      <formula>0.5</formula>
    </cfRule>
  </conditionalFormatting>
  <conditionalFormatting sqref="AF52">
    <cfRule type="cellIs" dxfId="17841" priority="140565" stopIfTrue="1" operator="equal">
      <formula>-1</formula>
    </cfRule>
  </conditionalFormatting>
  <conditionalFormatting sqref="AF52">
    <cfRule type="cellIs" dxfId="17840" priority="140566" stopIfTrue="1" operator="lessThan">
      <formula>0.5</formula>
    </cfRule>
  </conditionalFormatting>
  <conditionalFormatting sqref="AF52">
    <cfRule type="cellIs" dxfId="17839" priority="140567" stopIfTrue="1" operator="greaterThanOrEqual">
      <formula>0.5</formula>
    </cfRule>
  </conditionalFormatting>
  <conditionalFormatting sqref="AF53">
    <cfRule type="cellIs" dxfId="17838" priority="140568" stopIfTrue="1" operator="equal">
      <formula>-1</formula>
    </cfRule>
  </conditionalFormatting>
  <conditionalFormatting sqref="AF53">
    <cfRule type="cellIs" dxfId="17837" priority="140569" stopIfTrue="1" operator="lessThan">
      <formula>0.5</formula>
    </cfRule>
  </conditionalFormatting>
  <conditionalFormatting sqref="AF53">
    <cfRule type="cellIs" dxfId="17836" priority="140570" stopIfTrue="1" operator="greaterThanOrEqual">
      <formula>0.5</formula>
    </cfRule>
  </conditionalFormatting>
  <conditionalFormatting sqref="AF54">
    <cfRule type="cellIs" dxfId="17835" priority="140571" stopIfTrue="1" operator="equal">
      <formula>-1</formula>
    </cfRule>
  </conditionalFormatting>
  <conditionalFormatting sqref="AF54">
    <cfRule type="cellIs" dxfId="17834" priority="140572" stopIfTrue="1" operator="lessThan">
      <formula>0.5</formula>
    </cfRule>
  </conditionalFormatting>
  <conditionalFormatting sqref="AF54">
    <cfRule type="cellIs" dxfId="17833" priority="140573" stopIfTrue="1" operator="greaterThanOrEqual">
      <formula>0.5</formula>
    </cfRule>
  </conditionalFormatting>
  <conditionalFormatting sqref="AF55">
    <cfRule type="cellIs" dxfId="17832" priority="140574" stopIfTrue="1" operator="equal">
      <formula>-1</formula>
    </cfRule>
  </conditionalFormatting>
  <conditionalFormatting sqref="AF55">
    <cfRule type="cellIs" dxfId="17831" priority="140575" stopIfTrue="1" operator="lessThan">
      <formula>0.5</formula>
    </cfRule>
  </conditionalFormatting>
  <conditionalFormatting sqref="AF55">
    <cfRule type="cellIs" dxfId="17830" priority="140576" stopIfTrue="1" operator="greaterThanOrEqual">
      <formula>0.5</formula>
    </cfRule>
  </conditionalFormatting>
  <conditionalFormatting sqref="AF56">
    <cfRule type="cellIs" dxfId="17829" priority="140577" stopIfTrue="1" operator="equal">
      <formula>-1</formula>
    </cfRule>
  </conditionalFormatting>
  <conditionalFormatting sqref="AF56">
    <cfRule type="cellIs" dxfId="17828" priority="140578" stopIfTrue="1" operator="lessThan">
      <formula>0.5</formula>
    </cfRule>
  </conditionalFormatting>
  <conditionalFormatting sqref="AF56">
    <cfRule type="cellIs" dxfId="17827" priority="140579" stopIfTrue="1" operator="greaterThanOrEqual">
      <formula>0.5</formula>
    </cfRule>
  </conditionalFormatting>
  <conditionalFormatting sqref="AF57">
    <cfRule type="cellIs" dxfId="17826" priority="140580" stopIfTrue="1" operator="equal">
      <formula>-1</formula>
    </cfRule>
  </conditionalFormatting>
  <conditionalFormatting sqref="AF57">
    <cfRule type="cellIs" dxfId="17825" priority="140581" stopIfTrue="1" operator="lessThan">
      <formula>0.5</formula>
    </cfRule>
  </conditionalFormatting>
  <conditionalFormatting sqref="AF57">
    <cfRule type="cellIs" dxfId="17824" priority="140582" stopIfTrue="1" operator="greaterThanOrEqual">
      <formula>0.5</formula>
    </cfRule>
  </conditionalFormatting>
  <conditionalFormatting sqref="AF58">
    <cfRule type="cellIs" dxfId="17823" priority="140583" stopIfTrue="1" operator="equal">
      <formula>-1</formula>
    </cfRule>
  </conditionalFormatting>
  <conditionalFormatting sqref="AF58">
    <cfRule type="cellIs" dxfId="17822" priority="140584" stopIfTrue="1" operator="lessThan">
      <formula>0.5</formula>
    </cfRule>
  </conditionalFormatting>
  <conditionalFormatting sqref="AF58">
    <cfRule type="cellIs" dxfId="17821" priority="140585" stopIfTrue="1" operator="greaterThanOrEqual">
      <formula>0.5</formula>
    </cfRule>
  </conditionalFormatting>
  <conditionalFormatting sqref="AH39">
    <cfRule type="cellIs" dxfId="17820" priority="140586" stopIfTrue="1" operator="equal">
      <formula>-1</formula>
    </cfRule>
  </conditionalFormatting>
  <conditionalFormatting sqref="AH39">
    <cfRule type="cellIs" dxfId="17819" priority="140587" stopIfTrue="1" operator="lessThan">
      <formula>0.5</formula>
    </cfRule>
  </conditionalFormatting>
  <conditionalFormatting sqref="AH39">
    <cfRule type="cellIs" dxfId="17818" priority="140588" stopIfTrue="1" operator="greaterThanOrEqual">
      <formula>0.5</formula>
    </cfRule>
  </conditionalFormatting>
  <conditionalFormatting sqref="AH40">
    <cfRule type="cellIs" dxfId="17817" priority="140589" stopIfTrue="1" operator="equal">
      <formula>-1</formula>
    </cfRule>
  </conditionalFormatting>
  <conditionalFormatting sqref="AH40">
    <cfRule type="cellIs" dxfId="17816" priority="140590" stopIfTrue="1" operator="lessThan">
      <formula>0.5</formula>
    </cfRule>
  </conditionalFormatting>
  <conditionalFormatting sqref="AH40">
    <cfRule type="cellIs" dxfId="17815" priority="140591" stopIfTrue="1" operator="greaterThanOrEqual">
      <formula>0.5</formula>
    </cfRule>
  </conditionalFormatting>
  <conditionalFormatting sqref="AH41">
    <cfRule type="cellIs" dxfId="17814" priority="140592" stopIfTrue="1" operator="equal">
      <formula>-1</formula>
    </cfRule>
  </conditionalFormatting>
  <conditionalFormatting sqref="AH41">
    <cfRule type="cellIs" dxfId="17813" priority="140593" stopIfTrue="1" operator="lessThan">
      <formula>0.5</formula>
    </cfRule>
  </conditionalFormatting>
  <conditionalFormatting sqref="AH41">
    <cfRule type="cellIs" dxfId="17812" priority="140594" stopIfTrue="1" operator="greaterThanOrEqual">
      <formula>0.5</formula>
    </cfRule>
  </conditionalFormatting>
  <conditionalFormatting sqref="AH42">
    <cfRule type="cellIs" dxfId="17811" priority="140595" stopIfTrue="1" operator="equal">
      <formula>-1</formula>
    </cfRule>
  </conditionalFormatting>
  <conditionalFormatting sqref="AH42">
    <cfRule type="cellIs" dxfId="17810" priority="140596" stopIfTrue="1" operator="lessThan">
      <formula>0.5</formula>
    </cfRule>
  </conditionalFormatting>
  <conditionalFormatting sqref="AH42">
    <cfRule type="cellIs" dxfId="17809" priority="140597" stopIfTrue="1" operator="greaterThanOrEqual">
      <formula>0.5</formula>
    </cfRule>
  </conditionalFormatting>
  <conditionalFormatting sqref="AH43">
    <cfRule type="cellIs" dxfId="17808" priority="140598" stopIfTrue="1" operator="equal">
      <formula>-1</formula>
    </cfRule>
  </conditionalFormatting>
  <conditionalFormatting sqref="AH43">
    <cfRule type="cellIs" dxfId="17807" priority="140599" stopIfTrue="1" operator="lessThan">
      <formula>0.5</formula>
    </cfRule>
  </conditionalFormatting>
  <conditionalFormatting sqref="AH43">
    <cfRule type="cellIs" dxfId="17806" priority="140600" stopIfTrue="1" operator="greaterThanOrEqual">
      <formula>0.5</formula>
    </cfRule>
  </conditionalFormatting>
  <conditionalFormatting sqref="AH44">
    <cfRule type="cellIs" dxfId="17805" priority="140601" stopIfTrue="1" operator="equal">
      <formula>-1</formula>
    </cfRule>
  </conditionalFormatting>
  <conditionalFormatting sqref="AH44">
    <cfRule type="cellIs" dxfId="17804" priority="140602" stopIfTrue="1" operator="lessThan">
      <formula>0.5</formula>
    </cfRule>
  </conditionalFormatting>
  <conditionalFormatting sqref="AH44">
    <cfRule type="cellIs" dxfId="17803" priority="140603" stopIfTrue="1" operator="greaterThanOrEqual">
      <formula>0.5</formula>
    </cfRule>
  </conditionalFormatting>
  <conditionalFormatting sqref="AH45">
    <cfRule type="cellIs" dxfId="17802" priority="140604" stopIfTrue="1" operator="equal">
      <formula>-1</formula>
    </cfRule>
  </conditionalFormatting>
  <conditionalFormatting sqref="AH45">
    <cfRule type="cellIs" dxfId="17801" priority="140605" stopIfTrue="1" operator="lessThan">
      <formula>0.5</formula>
    </cfRule>
  </conditionalFormatting>
  <conditionalFormatting sqref="AH45">
    <cfRule type="cellIs" dxfId="17800" priority="140606" stopIfTrue="1" operator="greaterThanOrEqual">
      <formula>0.5</formula>
    </cfRule>
  </conditionalFormatting>
  <conditionalFormatting sqref="AH46">
    <cfRule type="cellIs" dxfId="17799" priority="140607" stopIfTrue="1" operator="equal">
      <formula>-1</formula>
    </cfRule>
  </conditionalFormatting>
  <conditionalFormatting sqref="AH46">
    <cfRule type="cellIs" dxfId="17798" priority="140608" stopIfTrue="1" operator="lessThan">
      <formula>0.5</formula>
    </cfRule>
  </conditionalFormatting>
  <conditionalFormatting sqref="AH46">
    <cfRule type="cellIs" dxfId="17797" priority="140609" stopIfTrue="1" operator="greaterThanOrEqual">
      <formula>0.5</formula>
    </cfRule>
  </conditionalFormatting>
  <conditionalFormatting sqref="AH47">
    <cfRule type="cellIs" dxfId="17796" priority="140610" stopIfTrue="1" operator="equal">
      <formula>-1</formula>
    </cfRule>
  </conditionalFormatting>
  <conditionalFormatting sqref="AH47">
    <cfRule type="cellIs" dxfId="17795" priority="140611" stopIfTrue="1" operator="lessThan">
      <formula>0.5</formula>
    </cfRule>
  </conditionalFormatting>
  <conditionalFormatting sqref="AH47">
    <cfRule type="cellIs" dxfId="17794" priority="140612" stopIfTrue="1" operator="greaterThanOrEqual">
      <formula>0.5</formula>
    </cfRule>
  </conditionalFormatting>
  <conditionalFormatting sqref="AH48">
    <cfRule type="cellIs" dxfId="17793" priority="140613" stopIfTrue="1" operator="equal">
      <formula>-1</formula>
    </cfRule>
  </conditionalFormatting>
  <conditionalFormatting sqref="AH48">
    <cfRule type="cellIs" dxfId="17792" priority="140614" stopIfTrue="1" operator="lessThan">
      <formula>0.5</formula>
    </cfRule>
  </conditionalFormatting>
  <conditionalFormatting sqref="AH48">
    <cfRule type="cellIs" dxfId="17791" priority="140615" stopIfTrue="1" operator="greaterThanOrEqual">
      <formula>0.5</formula>
    </cfRule>
  </conditionalFormatting>
  <conditionalFormatting sqref="AH49">
    <cfRule type="cellIs" dxfId="17790" priority="140616" stopIfTrue="1" operator="equal">
      <formula>-1</formula>
    </cfRule>
  </conditionalFormatting>
  <conditionalFormatting sqref="AH49">
    <cfRule type="cellIs" dxfId="17789" priority="140617" stopIfTrue="1" operator="lessThan">
      <formula>0.5</formula>
    </cfRule>
  </conditionalFormatting>
  <conditionalFormatting sqref="AH49">
    <cfRule type="cellIs" dxfId="17788" priority="140618" stopIfTrue="1" operator="greaterThanOrEqual">
      <formula>0.5</formula>
    </cfRule>
  </conditionalFormatting>
  <conditionalFormatting sqref="AH50">
    <cfRule type="cellIs" dxfId="17787" priority="140619" stopIfTrue="1" operator="equal">
      <formula>-1</formula>
    </cfRule>
  </conditionalFormatting>
  <conditionalFormatting sqref="AH50">
    <cfRule type="cellIs" dxfId="17786" priority="140620" stopIfTrue="1" operator="lessThan">
      <formula>0.5</formula>
    </cfRule>
  </conditionalFormatting>
  <conditionalFormatting sqref="AH50">
    <cfRule type="cellIs" dxfId="17785" priority="140621" stopIfTrue="1" operator="greaterThanOrEqual">
      <formula>0.5</formula>
    </cfRule>
  </conditionalFormatting>
  <conditionalFormatting sqref="AH51">
    <cfRule type="cellIs" dxfId="17784" priority="140622" stopIfTrue="1" operator="equal">
      <formula>-1</formula>
    </cfRule>
  </conditionalFormatting>
  <conditionalFormatting sqref="AH51">
    <cfRule type="cellIs" dxfId="17783" priority="140623" stopIfTrue="1" operator="lessThan">
      <formula>0.5</formula>
    </cfRule>
  </conditionalFormatting>
  <conditionalFormatting sqref="AH51">
    <cfRule type="cellIs" dxfId="17782" priority="140624" stopIfTrue="1" operator="greaterThanOrEqual">
      <formula>0.5</formula>
    </cfRule>
  </conditionalFormatting>
  <conditionalFormatting sqref="AH52">
    <cfRule type="cellIs" dxfId="17781" priority="140625" stopIfTrue="1" operator="equal">
      <formula>-1</formula>
    </cfRule>
  </conditionalFormatting>
  <conditionalFormatting sqref="AH52">
    <cfRule type="cellIs" dxfId="17780" priority="140626" stopIfTrue="1" operator="lessThan">
      <formula>0.5</formula>
    </cfRule>
  </conditionalFormatting>
  <conditionalFormatting sqref="AH52">
    <cfRule type="cellIs" dxfId="17779" priority="140627" stopIfTrue="1" operator="greaterThanOrEqual">
      <formula>0.5</formula>
    </cfRule>
  </conditionalFormatting>
  <conditionalFormatting sqref="AH53">
    <cfRule type="cellIs" dxfId="17778" priority="140628" stopIfTrue="1" operator="equal">
      <formula>-1</formula>
    </cfRule>
  </conditionalFormatting>
  <conditionalFormatting sqref="AH53">
    <cfRule type="cellIs" dxfId="17777" priority="140629" stopIfTrue="1" operator="lessThan">
      <formula>0.5</formula>
    </cfRule>
  </conditionalFormatting>
  <conditionalFormatting sqref="AH53">
    <cfRule type="cellIs" dxfId="17776" priority="140630" stopIfTrue="1" operator="greaterThanOrEqual">
      <formula>0.5</formula>
    </cfRule>
  </conditionalFormatting>
  <conditionalFormatting sqref="AH54">
    <cfRule type="cellIs" dxfId="17775" priority="140631" stopIfTrue="1" operator="equal">
      <formula>-1</formula>
    </cfRule>
  </conditionalFormatting>
  <conditionalFormatting sqref="AH54">
    <cfRule type="cellIs" dxfId="17774" priority="140632" stopIfTrue="1" operator="lessThan">
      <formula>0.5</formula>
    </cfRule>
  </conditionalFormatting>
  <conditionalFormatting sqref="AH54">
    <cfRule type="cellIs" dxfId="17773" priority="140633" stopIfTrue="1" operator="greaterThanOrEqual">
      <formula>0.5</formula>
    </cfRule>
  </conditionalFormatting>
  <conditionalFormatting sqref="AH55">
    <cfRule type="cellIs" dxfId="17772" priority="140634" stopIfTrue="1" operator="equal">
      <formula>-1</formula>
    </cfRule>
  </conditionalFormatting>
  <conditionalFormatting sqref="AH55">
    <cfRule type="cellIs" dxfId="17771" priority="140635" stopIfTrue="1" operator="lessThan">
      <formula>0.5</formula>
    </cfRule>
  </conditionalFormatting>
  <conditionalFormatting sqref="AH55">
    <cfRule type="cellIs" dxfId="17770" priority="140636" stopIfTrue="1" operator="greaterThanOrEqual">
      <formula>0.5</formula>
    </cfRule>
  </conditionalFormatting>
  <conditionalFormatting sqref="AH56">
    <cfRule type="cellIs" dxfId="17769" priority="140637" stopIfTrue="1" operator="equal">
      <formula>-1</formula>
    </cfRule>
  </conditionalFormatting>
  <conditionalFormatting sqref="AH56">
    <cfRule type="cellIs" dxfId="17768" priority="140638" stopIfTrue="1" operator="lessThan">
      <formula>0.5</formula>
    </cfRule>
  </conditionalFormatting>
  <conditionalFormatting sqref="AH56">
    <cfRule type="cellIs" dxfId="17767" priority="140639" stopIfTrue="1" operator="greaterThanOrEqual">
      <formula>0.5</formula>
    </cfRule>
  </conditionalFormatting>
  <conditionalFormatting sqref="AH57">
    <cfRule type="cellIs" dxfId="17766" priority="140640" stopIfTrue="1" operator="equal">
      <formula>-1</formula>
    </cfRule>
  </conditionalFormatting>
  <conditionalFormatting sqref="AH57">
    <cfRule type="cellIs" dxfId="17765" priority="140641" stopIfTrue="1" operator="lessThan">
      <formula>0.5</formula>
    </cfRule>
  </conditionalFormatting>
  <conditionalFormatting sqref="AH57">
    <cfRule type="cellIs" dxfId="17764" priority="140642" stopIfTrue="1" operator="greaterThanOrEqual">
      <formula>0.5</formula>
    </cfRule>
  </conditionalFormatting>
  <conditionalFormatting sqref="AH58">
    <cfRule type="cellIs" dxfId="17763" priority="140643" stopIfTrue="1" operator="equal">
      <formula>-1</formula>
    </cfRule>
  </conditionalFormatting>
  <conditionalFormatting sqref="AH58">
    <cfRule type="cellIs" dxfId="17762" priority="140644" stopIfTrue="1" operator="lessThan">
      <formula>0.5</formula>
    </cfRule>
  </conditionalFormatting>
  <conditionalFormatting sqref="AH58">
    <cfRule type="cellIs" dxfId="17761" priority="140645" stopIfTrue="1" operator="greaterThanOrEqual">
      <formula>0.5</formula>
    </cfRule>
  </conditionalFormatting>
  <conditionalFormatting sqref="AJ39">
    <cfRule type="cellIs" dxfId="17760" priority="140646" stopIfTrue="1" operator="equal">
      <formula>-1</formula>
    </cfRule>
  </conditionalFormatting>
  <conditionalFormatting sqref="AJ39">
    <cfRule type="cellIs" dxfId="17759" priority="140647" stopIfTrue="1" operator="lessThan">
      <formula>0.5</formula>
    </cfRule>
  </conditionalFormatting>
  <conditionalFormatting sqref="AJ39">
    <cfRule type="cellIs" dxfId="17758" priority="140648" stopIfTrue="1" operator="greaterThanOrEqual">
      <formula>0.5</formula>
    </cfRule>
  </conditionalFormatting>
  <conditionalFormatting sqref="AJ40">
    <cfRule type="cellIs" dxfId="17757" priority="140649" stopIfTrue="1" operator="equal">
      <formula>-1</formula>
    </cfRule>
  </conditionalFormatting>
  <conditionalFormatting sqref="AJ40">
    <cfRule type="cellIs" dxfId="17756" priority="140650" stopIfTrue="1" operator="lessThan">
      <formula>0.5</formula>
    </cfRule>
  </conditionalFormatting>
  <conditionalFormatting sqref="AJ40">
    <cfRule type="cellIs" dxfId="17755" priority="140651" stopIfTrue="1" operator="greaterThanOrEqual">
      <formula>0.5</formula>
    </cfRule>
  </conditionalFormatting>
  <conditionalFormatting sqref="AJ41">
    <cfRule type="cellIs" dxfId="17754" priority="140652" stopIfTrue="1" operator="equal">
      <formula>-1</formula>
    </cfRule>
  </conditionalFormatting>
  <conditionalFormatting sqref="AJ41">
    <cfRule type="cellIs" dxfId="17753" priority="140653" stopIfTrue="1" operator="lessThan">
      <formula>0.5</formula>
    </cfRule>
  </conditionalFormatting>
  <conditionalFormatting sqref="AJ41">
    <cfRule type="cellIs" dxfId="17752" priority="140654" stopIfTrue="1" operator="greaterThanOrEqual">
      <formula>0.5</formula>
    </cfRule>
  </conditionalFormatting>
  <conditionalFormatting sqref="AJ42">
    <cfRule type="cellIs" dxfId="17751" priority="140655" stopIfTrue="1" operator="equal">
      <formula>-1</formula>
    </cfRule>
  </conditionalFormatting>
  <conditionalFormatting sqref="AJ42">
    <cfRule type="cellIs" dxfId="17750" priority="140656" stopIfTrue="1" operator="lessThan">
      <formula>0.5</formula>
    </cfRule>
  </conditionalFormatting>
  <conditionalFormatting sqref="AJ42">
    <cfRule type="cellIs" dxfId="17749" priority="140657" stopIfTrue="1" operator="greaterThanOrEqual">
      <formula>0.5</formula>
    </cfRule>
  </conditionalFormatting>
  <conditionalFormatting sqref="AJ43">
    <cfRule type="cellIs" dxfId="17748" priority="140658" stopIfTrue="1" operator="equal">
      <formula>-1</formula>
    </cfRule>
  </conditionalFormatting>
  <conditionalFormatting sqref="AJ43">
    <cfRule type="cellIs" dxfId="17747" priority="140659" stopIfTrue="1" operator="lessThan">
      <formula>0.5</formula>
    </cfRule>
  </conditionalFormatting>
  <conditionalFormatting sqref="AJ43">
    <cfRule type="cellIs" dxfId="17746" priority="140660" stopIfTrue="1" operator="greaterThanOrEqual">
      <formula>0.5</formula>
    </cfRule>
  </conditionalFormatting>
  <conditionalFormatting sqref="AJ44">
    <cfRule type="cellIs" dxfId="17745" priority="140661" stopIfTrue="1" operator="equal">
      <formula>-1</formula>
    </cfRule>
  </conditionalFormatting>
  <conditionalFormatting sqref="AJ44">
    <cfRule type="cellIs" dxfId="17744" priority="140662" stopIfTrue="1" operator="lessThan">
      <formula>0.5</formula>
    </cfRule>
  </conditionalFormatting>
  <conditionalFormatting sqref="AJ44">
    <cfRule type="cellIs" dxfId="17743" priority="140663" stopIfTrue="1" operator="greaterThanOrEqual">
      <formula>0.5</formula>
    </cfRule>
  </conditionalFormatting>
  <conditionalFormatting sqref="AJ45">
    <cfRule type="cellIs" dxfId="17742" priority="140664" stopIfTrue="1" operator="equal">
      <formula>-1</formula>
    </cfRule>
  </conditionalFormatting>
  <conditionalFormatting sqref="AJ45">
    <cfRule type="cellIs" dxfId="17741" priority="140665" stopIfTrue="1" operator="lessThan">
      <formula>0.5</formula>
    </cfRule>
  </conditionalFormatting>
  <conditionalFormatting sqref="AJ45">
    <cfRule type="cellIs" dxfId="17740" priority="140666" stopIfTrue="1" operator="greaterThanOrEqual">
      <formula>0.5</formula>
    </cfRule>
  </conditionalFormatting>
  <conditionalFormatting sqref="AJ46">
    <cfRule type="cellIs" dxfId="17739" priority="140667" stopIfTrue="1" operator="equal">
      <formula>-1</formula>
    </cfRule>
  </conditionalFormatting>
  <conditionalFormatting sqref="AJ46">
    <cfRule type="cellIs" dxfId="17738" priority="140668" stopIfTrue="1" operator="lessThan">
      <formula>0.5</formula>
    </cfRule>
  </conditionalFormatting>
  <conditionalFormatting sqref="AJ46">
    <cfRule type="cellIs" dxfId="17737" priority="140669" stopIfTrue="1" operator="greaterThanOrEqual">
      <formula>0.5</formula>
    </cfRule>
  </conditionalFormatting>
  <conditionalFormatting sqref="AJ47">
    <cfRule type="cellIs" dxfId="17736" priority="140670" stopIfTrue="1" operator="equal">
      <formula>-1</formula>
    </cfRule>
  </conditionalFormatting>
  <conditionalFormatting sqref="AJ47">
    <cfRule type="cellIs" dxfId="17735" priority="140671" stopIfTrue="1" operator="lessThan">
      <formula>0.5</formula>
    </cfRule>
  </conditionalFormatting>
  <conditionalFormatting sqref="AJ47">
    <cfRule type="cellIs" dxfId="17734" priority="140672" stopIfTrue="1" operator="greaterThanOrEqual">
      <formula>0.5</formula>
    </cfRule>
  </conditionalFormatting>
  <conditionalFormatting sqref="AJ48">
    <cfRule type="cellIs" dxfId="17733" priority="140673" stopIfTrue="1" operator="equal">
      <formula>-1</formula>
    </cfRule>
  </conditionalFormatting>
  <conditionalFormatting sqref="AJ48">
    <cfRule type="cellIs" dxfId="17732" priority="140674" stopIfTrue="1" operator="lessThan">
      <formula>0.5</formula>
    </cfRule>
  </conditionalFormatting>
  <conditionalFormatting sqref="AJ48">
    <cfRule type="cellIs" dxfId="17731" priority="140675" stopIfTrue="1" operator="greaterThanOrEqual">
      <formula>0.5</formula>
    </cfRule>
  </conditionalFormatting>
  <conditionalFormatting sqref="AJ49">
    <cfRule type="cellIs" dxfId="17730" priority="140676" stopIfTrue="1" operator="equal">
      <formula>-1</formula>
    </cfRule>
  </conditionalFormatting>
  <conditionalFormatting sqref="AJ49">
    <cfRule type="cellIs" dxfId="17729" priority="140677" stopIfTrue="1" operator="lessThan">
      <formula>0.5</formula>
    </cfRule>
  </conditionalFormatting>
  <conditionalFormatting sqref="AJ49">
    <cfRule type="cellIs" dxfId="17728" priority="140678" stopIfTrue="1" operator="greaterThanOrEqual">
      <formula>0.5</formula>
    </cfRule>
  </conditionalFormatting>
  <conditionalFormatting sqref="AJ50">
    <cfRule type="cellIs" dxfId="17727" priority="140679" stopIfTrue="1" operator="equal">
      <formula>-1</formula>
    </cfRule>
  </conditionalFormatting>
  <conditionalFormatting sqref="AJ50">
    <cfRule type="cellIs" dxfId="17726" priority="140680" stopIfTrue="1" operator="lessThan">
      <formula>0.5</formula>
    </cfRule>
  </conditionalFormatting>
  <conditionalFormatting sqref="AJ50">
    <cfRule type="cellIs" dxfId="17725" priority="140681" stopIfTrue="1" operator="greaterThanOrEqual">
      <formula>0.5</formula>
    </cfRule>
  </conditionalFormatting>
  <conditionalFormatting sqref="AJ51">
    <cfRule type="cellIs" dxfId="17724" priority="140682" stopIfTrue="1" operator="equal">
      <formula>-1</formula>
    </cfRule>
  </conditionalFormatting>
  <conditionalFormatting sqref="AJ51">
    <cfRule type="cellIs" dxfId="17723" priority="140683" stopIfTrue="1" operator="lessThan">
      <formula>0.5</formula>
    </cfRule>
  </conditionalFormatting>
  <conditionalFormatting sqref="AJ51">
    <cfRule type="cellIs" dxfId="17722" priority="140684" stopIfTrue="1" operator="greaterThanOrEqual">
      <formula>0.5</formula>
    </cfRule>
  </conditionalFormatting>
  <conditionalFormatting sqref="AJ52">
    <cfRule type="cellIs" dxfId="17721" priority="140685" stopIfTrue="1" operator="equal">
      <formula>-1</formula>
    </cfRule>
  </conditionalFormatting>
  <conditionalFormatting sqref="AJ52">
    <cfRule type="cellIs" dxfId="17720" priority="140686" stopIfTrue="1" operator="lessThan">
      <formula>0.5</formula>
    </cfRule>
  </conditionalFormatting>
  <conditionalFormatting sqref="AJ52">
    <cfRule type="cellIs" dxfId="17719" priority="140687" stopIfTrue="1" operator="greaterThanOrEqual">
      <formula>0.5</formula>
    </cfRule>
  </conditionalFormatting>
  <conditionalFormatting sqref="AJ53">
    <cfRule type="cellIs" dxfId="17718" priority="140688" stopIfTrue="1" operator="equal">
      <formula>-1</formula>
    </cfRule>
  </conditionalFormatting>
  <conditionalFormatting sqref="AJ53">
    <cfRule type="cellIs" dxfId="17717" priority="140689" stopIfTrue="1" operator="lessThan">
      <formula>0.5</formula>
    </cfRule>
  </conditionalFormatting>
  <conditionalFormatting sqref="AJ53">
    <cfRule type="cellIs" dxfId="17716" priority="140690" stopIfTrue="1" operator="greaterThanOrEqual">
      <formula>0.5</formula>
    </cfRule>
  </conditionalFormatting>
  <conditionalFormatting sqref="AJ54">
    <cfRule type="cellIs" dxfId="17715" priority="140691" stopIfTrue="1" operator="equal">
      <formula>-1</formula>
    </cfRule>
  </conditionalFormatting>
  <conditionalFormatting sqref="AJ54">
    <cfRule type="cellIs" dxfId="17714" priority="140692" stopIfTrue="1" operator="lessThan">
      <formula>0.5</formula>
    </cfRule>
  </conditionalFormatting>
  <conditionalFormatting sqref="AJ54">
    <cfRule type="cellIs" dxfId="17713" priority="140693" stopIfTrue="1" operator="greaterThanOrEqual">
      <formula>0.5</formula>
    </cfRule>
  </conditionalFormatting>
  <conditionalFormatting sqref="AJ55">
    <cfRule type="cellIs" dxfId="17712" priority="140694" stopIfTrue="1" operator="equal">
      <formula>-1</formula>
    </cfRule>
  </conditionalFormatting>
  <conditionalFormatting sqref="AJ55">
    <cfRule type="cellIs" dxfId="17711" priority="140695" stopIfTrue="1" operator="lessThan">
      <formula>0.5</formula>
    </cfRule>
  </conditionalFormatting>
  <conditionalFormatting sqref="AJ55">
    <cfRule type="cellIs" dxfId="17710" priority="140696" stopIfTrue="1" operator="greaterThanOrEqual">
      <formula>0.5</formula>
    </cfRule>
  </conditionalFormatting>
  <conditionalFormatting sqref="AJ56">
    <cfRule type="cellIs" dxfId="17709" priority="140697" stopIfTrue="1" operator="equal">
      <formula>-1</formula>
    </cfRule>
  </conditionalFormatting>
  <conditionalFormatting sqref="AJ56">
    <cfRule type="cellIs" dxfId="17708" priority="140698" stopIfTrue="1" operator="lessThan">
      <formula>0.5</formula>
    </cfRule>
  </conditionalFormatting>
  <conditionalFormatting sqref="AJ56">
    <cfRule type="cellIs" dxfId="17707" priority="140699" stopIfTrue="1" operator="greaterThanOrEqual">
      <formula>0.5</formula>
    </cfRule>
  </conditionalFormatting>
  <conditionalFormatting sqref="AJ57">
    <cfRule type="cellIs" dxfId="17706" priority="140700" stopIfTrue="1" operator="equal">
      <formula>-1</formula>
    </cfRule>
  </conditionalFormatting>
  <conditionalFormatting sqref="AJ57">
    <cfRule type="cellIs" dxfId="17705" priority="140701" stopIfTrue="1" operator="lessThan">
      <formula>0.5</formula>
    </cfRule>
  </conditionalFormatting>
  <conditionalFormatting sqref="AJ57">
    <cfRule type="cellIs" dxfId="17704" priority="140702" stopIfTrue="1" operator="greaterThanOrEqual">
      <formula>0.5</formula>
    </cfRule>
  </conditionalFormatting>
  <conditionalFormatting sqref="AJ58">
    <cfRule type="cellIs" dxfId="17703" priority="140703" stopIfTrue="1" operator="equal">
      <formula>-1</formula>
    </cfRule>
  </conditionalFormatting>
  <conditionalFormatting sqref="AJ58">
    <cfRule type="cellIs" dxfId="17702" priority="140704" stopIfTrue="1" operator="lessThan">
      <formula>0.5</formula>
    </cfRule>
  </conditionalFormatting>
  <conditionalFormatting sqref="AJ58">
    <cfRule type="cellIs" dxfId="17701" priority="140705" stopIfTrue="1" operator="greaterThanOrEqual">
      <formula>0.5</formula>
    </cfRule>
  </conditionalFormatting>
  <conditionalFormatting sqref="AL39">
    <cfRule type="cellIs" dxfId="17700" priority="140706" stopIfTrue="1" operator="equal">
      <formula>-1</formula>
    </cfRule>
  </conditionalFormatting>
  <conditionalFormatting sqref="AL39">
    <cfRule type="cellIs" dxfId="17699" priority="140707" stopIfTrue="1" operator="lessThan">
      <formula>0.5</formula>
    </cfRule>
  </conditionalFormatting>
  <conditionalFormatting sqref="AL39">
    <cfRule type="cellIs" dxfId="17698" priority="140708" stopIfTrue="1" operator="greaterThanOrEqual">
      <formula>0.5</formula>
    </cfRule>
  </conditionalFormatting>
  <conditionalFormatting sqref="AL40">
    <cfRule type="cellIs" dxfId="17697" priority="140709" stopIfTrue="1" operator="equal">
      <formula>-1</formula>
    </cfRule>
  </conditionalFormatting>
  <conditionalFormatting sqref="AL40">
    <cfRule type="cellIs" dxfId="17696" priority="140710" stopIfTrue="1" operator="lessThan">
      <formula>0.5</formula>
    </cfRule>
  </conditionalFormatting>
  <conditionalFormatting sqref="AL40">
    <cfRule type="cellIs" dxfId="17695" priority="140711" stopIfTrue="1" operator="greaterThanOrEqual">
      <formula>0.5</formula>
    </cfRule>
  </conditionalFormatting>
  <conditionalFormatting sqref="AL41">
    <cfRule type="cellIs" dxfId="17694" priority="140712" stopIfTrue="1" operator="equal">
      <formula>-1</formula>
    </cfRule>
  </conditionalFormatting>
  <conditionalFormatting sqref="AL41">
    <cfRule type="cellIs" dxfId="17693" priority="140713" stopIfTrue="1" operator="lessThan">
      <formula>0.5</formula>
    </cfRule>
  </conditionalFormatting>
  <conditionalFormatting sqref="AL41">
    <cfRule type="cellIs" dxfId="17692" priority="140714" stopIfTrue="1" operator="greaterThanOrEqual">
      <formula>0.5</formula>
    </cfRule>
  </conditionalFormatting>
  <conditionalFormatting sqref="AL42">
    <cfRule type="cellIs" dxfId="17691" priority="140715" stopIfTrue="1" operator="equal">
      <formula>-1</formula>
    </cfRule>
  </conditionalFormatting>
  <conditionalFormatting sqref="AL42">
    <cfRule type="cellIs" dxfId="17690" priority="140716" stopIfTrue="1" operator="lessThan">
      <formula>0.5</formula>
    </cfRule>
  </conditionalFormatting>
  <conditionalFormatting sqref="AL42">
    <cfRule type="cellIs" dxfId="17689" priority="140717" stopIfTrue="1" operator="greaterThanOrEqual">
      <formula>0.5</formula>
    </cfRule>
  </conditionalFormatting>
  <conditionalFormatting sqref="AL43">
    <cfRule type="cellIs" dxfId="17688" priority="140718" stopIfTrue="1" operator="equal">
      <formula>-1</formula>
    </cfRule>
  </conditionalFormatting>
  <conditionalFormatting sqref="AL43">
    <cfRule type="cellIs" dxfId="17687" priority="140719" stopIfTrue="1" operator="lessThan">
      <formula>0.5</formula>
    </cfRule>
  </conditionalFormatting>
  <conditionalFormatting sqref="AL43">
    <cfRule type="cellIs" dxfId="17686" priority="140720" stopIfTrue="1" operator="greaterThanOrEqual">
      <formula>0.5</formula>
    </cfRule>
  </conditionalFormatting>
  <conditionalFormatting sqref="AL44">
    <cfRule type="cellIs" dxfId="17685" priority="140721" stopIfTrue="1" operator="equal">
      <formula>-1</formula>
    </cfRule>
  </conditionalFormatting>
  <conditionalFormatting sqref="AL44">
    <cfRule type="cellIs" dxfId="17684" priority="140722" stopIfTrue="1" operator="lessThan">
      <formula>0.5</formula>
    </cfRule>
  </conditionalFormatting>
  <conditionalFormatting sqref="AL44">
    <cfRule type="cellIs" dxfId="17683" priority="140723" stopIfTrue="1" operator="greaterThanOrEqual">
      <formula>0.5</formula>
    </cfRule>
  </conditionalFormatting>
  <conditionalFormatting sqref="AL45">
    <cfRule type="cellIs" dxfId="17682" priority="140724" stopIfTrue="1" operator="equal">
      <formula>-1</formula>
    </cfRule>
  </conditionalFormatting>
  <conditionalFormatting sqref="AL45">
    <cfRule type="cellIs" dxfId="17681" priority="140725" stopIfTrue="1" operator="lessThan">
      <formula>0.5</formula>
    </cfRule>
  </conditionalFormatting>
  <conditionalFormatting sqref="AL45">
    <cfRule type="cellIs" dxfId="17680" priority="140726" stopIfTrue="1" operator="greaterThanOrEqual">
      <formula>0.5</formula>
    </cfRule>
  </conditionalFormatting>
  <conditionalFormatting sqref="AL46">
    <cfRule type="cellIs" dxfId="17679" priority="140727" stopIfTrue="1" operator="equal">
      <formula>-1</formula>
    </cfRule>
  </conditionalFormatting>
  <conditionalFormatting sqref="AL46">
    <cfRule type="cellIs" dxfId="17678" priority="140728" stopIfTrue="1" operator="lessThan">
      <formula>0.5</formula>
    </cfRule>
  </conditionalFormatting>
  <conditionalFormatting sqref="AL46">
    <cfRule type="cellIs" dxfId="17677" priority="140729" stopIfTrue="1" operator="greaterThanOrEqual">
      <formula>0.5</formula>
    </cfRule>
  </conditionalFormatting>
  <conditionalFormatting sqref="AL47">
    <cfRule type="cellIs" dxfId="17676" priority="140730" stopIfTrue="1" operator="equal">
      <formula>-1</formula>
    </cfRule>
  </conditionalFormatting>
  <conditionalFormatting sqref="AL47">
    <cfRule type="cellIs" dxfId="17675" priority="140731" stopIfTrue="1" operator="lessThan">
      <formula>0.5</formula>
    </cfRule>
  </conditionalFormatting>
  <conditionalFormatting sqref="AL47">
    <cfRule type="cellIs" dxfId="17674" priority="140732" stopIfTrue="1" operator="greaterThanOrEqual">
      <formula>0.5</formula>
    </cfRule>
  </conditionalFormatting>
  <conditionalFormatting sqref="AL48">
    <cfRule type="cellIs" dxfId="17673" priority="140733" stopIfTrue="1" operator="equal">
      <formula>-1</formula>
    </cfRule>
  </conditionalFormatting>
  <conditionalFormatting sqref="AL48">
    <cfRule type="cellIs" dxfId="17672" priority="140734" stopIfTrue="1" operator="lessThan">
      <formula>0.5</formula>
    </cfRule>
  </conditionalFormatting>
  <conditionalFormatting sqref="AL48">
    <cfRule type="cellIs" dxfId="17671" priority="140735" stopIfTrue="1" operator="greaterThanOrEqual">
      <formula>0.5</formula>
    </cfRule>
  </conditionalFormatting>
  <conditionalFormatting sqref="AL49">
    <cfRule type="cellIs" dxfId="17670" priority="140736" stopIfTrue="1" operator="equal">
      <formula>-1</formula>
    </cfRule>
  </conditionalFormatting>
  <conditionalFormatting sqref="AL49">
    <cfRule type="cellIs" dxfId="17669" priority="140737" stopIfTrue="1" operator="lessThan">
      <formula>0.5</formula>
    </cfRule>
  </conditionalFormatting>
  <conditionalFormatting sqref="AL49">
    <cfRule type="cellIs" dxfId="17668" priority="140738" stopIfTrue="1" operator="greaterThanOrEqual">
      <formula>0.5</formula>
    </cfRule>
  </conditionalFormatting>
  <conditionalFormatting sqref="AL50">
    <cfRule type="cellIs" dxfId="17667" priority="140739" stopIfTrue="1" operator="equal">
      <formula>-1</formula>
    </cfRule>
  </conditionalFormatting>
  <conditionalFormatting sqref="AL50">
    <cfRule type="cellIs" dxfId="17666" priority="140740" stopIfTrue="1" operator="lessThan">
      <formula>0.5</formula>
    </cfRule>
  </conditionalFormatting>
  <conditionalFormatting sqref="AL50">
    <cfRule type="cellIs" dxfId="17665" priority="140741" stopIfTrue="1" operator="greaterThanOrEqual">
      <formula>0.5</formula>
    </cfRule>
  </conditionalFormatting>
  <conditionalFormatting sqref="AL51">
    <cfRule type="cellIs" dxfId="17664" priority="140742" stopIfTrue="1" operator="equal">
      <formula>-1</formula>
    </cfRule>
  </conditionalFormatting>
  <conditionalFormatting sqref="AL51">
    <cfRule type="cellIs" dxfId="17663" priority="140743" stopIfTrue="1" operator="lessThan">
      <formula>0.5</formula>
    </cfRule>
  </conditionalFormatting>
  <conditionalFormatting sqref="AL51">
    <cfRule type="cellIs" dxfId="17662" priority="140744" stopIfTrue="1" operator="greaterThanOrEqual">
      <formula>0.5</formula>
    </cfRule>
  </conditionalFormatting>
  <conditionalFormatting sqref="AL52">
    <cfRule type="cellIs" dxfId="17661" priority="140745" stopIfTrue="1" operator="equal">
      <formula>-1</formula>
    </cfRule>
  </conditionalFormatting>
  <conditionalFormatting sqref="AL52">
    <cfRule type="cellIs" dxfId="17660" priority="140746" stopIfTrue="1" operator="lessThan">
      <formula>0.5</formula>
    </cfRule>
  </conditionalFormatting>
  <conditionalFormatting sqref="AL52">
    <cfRule type="cellIs" dxfId="17659" priority="140747" stopIfTrue="1" operator="greaterThanOrEqual">
      <formula>0.5</formula>
    </cfRule>
  </conditionalFormatting>
  <conditionalFormatting sqref="AL53">
    <cfRule type="cellIs" dxfId="17658" priority="140748" stopIfTrue="1" operator="equal">
      <formula>-1</formula>
    </cfRule>
  </conditionalFormatting>
  <conditionalFormatting sqref="AL53">
    <cfRule type="cellIs" dxfId="17657" priority="140749" stopIfTrue="1" operator="lessThan">
      <formula>0.5</formula>
    </cfRule>
  </conditionalFormatting>
  <conditionalFormatting sqref="AL53">
    <cfRule type="cellIs" dxfId="17656" priority="140750" stopIfTrue="1" operator="greaterThanOrEqual">
      <formula>0.5</formula>
    </cfRule>
  </conditionalFormatting>
  <conditionalFormatting sqref="AL54">
    <cfRule type="cellIs" dxfId="17655" priority="140751" stopIfTrue="1" operator="equal">
      <formula>-1</formula>
    </cfRule>
  </conditionalFormatting>
  <conditionalFormatting sqref="AL54">
    <cfRule type="cellIs" dxfId="17654" priority="140752" stopIfTrue="1" operator="lessThan">
      <formula>0.5</formula>
    </cfRule>
  </conditionalFormatting>
  <conditionalFormatting sqref="AL54">
    <cfRule type="cellIs" dxfId="17653" priority="140753" stopIfTrue="1" operator="greaterThanOrEqual">
      <formula>0.5</formula>
    </cfRule>
  </conditionalFormatting>
  <conditionalFormatting sqref="AL55">
    <cfRule type="cellIs" dxfId="17652" priority="140754" stopIfTrue="1" operator="equal">
      <formula>-1</formula>
    </cfRule>
  </conditionalFormatting>
  <conditionalFormatting sqref="AL55">
    <cfRule type="cellIs" dxfId="17651" priority="140755" stopIfTrue="1" operator="lessThan">
      <formula>0.5</formula>
    </cfRule>
  </conditionalFormatting>
  <conditionalFormatting sqref="AL55">
    <cfRule type="cellIs" dxfId="17650" priority="140756" stopIfTrue="1" operator="greaterThanOrEqual">
      <formula>0.5</formula>
    </cfRule>
  </conditionalFormatting>
  <conditionalFormatting sqref="AL56">
    <cfRule type="cellIs" dxfId="17649" priority="140757" stopIfTrue="1" operator="equal">
      <formula>-1</formula>
    </cfRule>
  </conditionalFormatting>
  <conditionalFormatting sqref="AL56">
    <cfRule type="cellIs" dxfId="17648" priority="140758" stopIfTrue="1" operator="lessThan">
      <formula>0.5</formula>
    </cfRule>
  </conditionalFormatting>
  <conditionalFormatting sqref="AL56">
    <cfRule type="cellIs" dxfId="17647" priority="140759" stopIfTrue="1" operator="greaterThanOrEqual">
      <formula>0.5</formula>
    </cfRule>
  </conditionalFormatting>
  <conditionalFormatting sqref="AL57">
    <cfRule type="cellIs" dxfId="17646" priority="140760" stopIfTrue="1" operator="equal">
      <formula>-1</formula>
    </cfRule>
  </conditionalFormatting>
  <conditionalFormatting sqref="AL57">
    <cfRule type="cellIs" dxfId="17645" priority="140761" stopIfTrue="1" operator="lessThan">
      <formula>0.5</formula>
    </cfRule>
  </conditionalFormatting>
  <conditionalFormatting sqref="AL57">
    <cfRule type="cellIs" dxfId="17644" priority="140762" stopIfTrue="1" operator="greaterThanOrEqual">
      <formula>0.5</formula>
    </cfRule>
  </conditionalFormatting>
  <conditionalFormatting sqref="AL58">
    <cfRule type="cellIs" dxfId="17643" priority="140763" stopIfTrue="1" operator="equal">
      <formula>-1</formula>
    </cfRule>
  </conditionalFormatting>
  <conditionalFormatting sqref="AL58">
    <cfRule type="cellIs" dxfId="17642" priority="140764" stopIfTrue="1" operator="lessThan">
      <formula>0.5</formula>
    </cfRule>
  </conditionalFormatting>
  <conditionalFormatting sqref="AL58">
    <cfRule type="cellIs" dxfId="17641" priority="140765" stopIfTrue="1" operator="greaterThanOrEqual">
      <formula>0.5</formula>
    </cfRule>
  </conditionalFormatting>
  <conditionalFormatting sqref="AN39">
    <cfRule type="cellIs" dxfId="17640" priority="140766" stopIfTrue="1" operator="equal">
      <formula>-1</formula>
    </cfRule>
  </conditionalFormatting>
  <conditionalFormatting sqref="AN39">
    <cfRule type="cellIs" dxfId="17639" priority="140767" stopIfTrue="1" operator="lessThan">
      <formula>0.5</formula>
    </cfRule>
  </conditionalFormatting>
  <conditionalFormatting sqref="AN39">
    <cfRule type="cellIs" dxfId="17638" priority="140768" stopIfTrue="1" operator="greaterThanOrEqual">
      <formula>0.5</formula>
    </cfRule>
  </conditionalFormatting>
  <conditionalFormatting sqref="AN40">
    <cfRule type="cellIs" dxfId="17637" priority="140769" stopIfTrue="1" operator="equal">
      <formula>-1</formula>
    </cfRule>
  </conditionalFormatting>
  <conditionalFormatting sqref="AN40">
    <cfRule type="cellIs" dxfId="17636" priority="140770" stopIfTrue="1" operator="lessThan">
      <formula>0.5</formula>
    </cfRule>
  </conditionalFormatting>
  <conditionalFormatting sqref="AN40">
    <cfRule type="cellIs" dxfId="17635" priority="140771" stopIfTrue="1" operator="greaterThanOrEqual">
      <formula>0.5</formula>
    </cfRule>
  </conditionalFormatting>
  <conditionalFormatting sqref="AN41">
    <cfRule type="cellIs" dxfId="17634" priority="140772" stopIfTrue="1" operator="equal">
      <formula>-1</formula>
    </cfRule>
  </conditionalFormatting>
  <conditionalFormatting sqref="AN41">
    <cfRule type="cellIs" dxfId="17633" priority="140773" stopIfTrue="1" operator="lessThan">
      <formula>0.5</formula>
    </cfRule>
  </conditionalFormatting>
  <conditionalFormatting sqref="AN41">
    <cfRule type="cellIs" dxfId="17632" priority="140774" stopIfTrue="1" operator="greaterThanOrEqual">
      <formula>0.5</formula>
    </cfRule>
  </conditionalFormatting>
  <conditionalFormatting sqref="AN42">
    <cfRule type="cellIs" dxfId="17631" priority="140775" stopIfTrue="1" operator="equal">
      <formula>-1</formula>
    </cfRule>
  </conditionalFormatting>
  <conditionalFormatting sqref="AN42">
    <cfRule type="cellIs" dxfId="17630" priority="140776" stopIfTrue="1" operator="lessThan">
      <formula>0.5</formula>
    </cfRule>
  </conditionalFormatting>
  <conditionalFormatting sqref="AN42">
    <cfRule type="cellIs" dxfId="17629" priority="140777" stopIfTrue="1" operator="greaterThanOrEqual">
      <formula>0.5</formula>
    </cfRule>
  </conditionalFormatting>
  <conditionalFormatting sqref="AN43">
    <cfRule type="cellIs" dxfId="17628" priority="140778" stopIfTrue="1" operator="equal">
      <formula>-1</formula>
    </cfRule>
  </conditionalFormatting>
  <conditionalFormatting sqref="AN43">
    <cfRule type="cellIs" dxfId="17627" priority="140779" stopIfTrue="1" operator="lessThan">
      <formula>0.5</formula>
    </cfRule>
  </conditionalFormatting>
  <conditionalFormatting sqref="AN43">
    <cfRule type="cellIs" dxfId="17626" priority="140780" stopIfTrue="1" operator="greaterThanOrEqual">
      <formula>0.5</formula>
    </cfRule>
  </conditionalFormatting>
  <conditionalFormatting sqref="AN44">
    <cfRule type="cellIs" dxfId="17625" priority="140781" stopIfTrue="1" operator="equal">
      <formula>-1</formula>
    </cfRule>
  </conditionalFormatting>
  <conditionalFormatting sqref="AN44">
    <cfRule type="cellIs" dxfId="17624" priority="140782" stopIfTrue="1" operator="lessThan">
      <formula>0.5</formula>
    </cfRule>
  </conditionalFormatting>
  <conditionalFormatting sqref="AN44">
    <cfRule type="cellIs" dxfId="17623" priority="140783" stopIfTrue="1" operator="greaterThanOrEqual">
      <formula>0.5</formula>
    </cfRule>
  </conditionalFormatting>
  <conditionalFormatting sqref="AN45">
    <cfRule type="cellIs" dxfId="17622" priority="140784" stopIfTrue="1" operator="equal">
      <formula>-1</formula>
    </cfRule>
  </conditionalFormatting>
  <conditionalFormatting sqref="AN45">
    <cfRule type="cellIs" dxfId="17621" priority="140785" stopIfTrue="1" operator="lessThan">
      <formula>0.5</formula>
    </cfRule>
  </conditionalFormatting>
  <conditionalFormatting sqref="AN45">
    <cfRule type="cellIs" dxfId="17620" priority="140786" stopIfTrue="1" operator="greaterThanOrEqual">
      <formula>0.5</formula>
    </cfRule>
  </conditionalFormatting>
  <conditionalFormatting sqref="AN46">
    <cfRule type="cellIs" dxfId="17619" priority="140787" stopIfTrue="1" operator="equal">
      <formula>-1</formula>
    </cfRule>
  </conditionalFormatting>
  <conditionalFormatting sqref="AN46">
    <cfRule type="cellIs" dxfId="17618" priority="140788" stopIfTrue="1" operator="lessThan">
      <formula>0.5</formula>
    </cfRule>
  </conditionalFormatting>
  <conditionalFormatting sqref="AN46">
    <cfRule type="cellIs" dxfId="17617" priority="140789" stopIfTrue="1" operator="greaterThanOrEqual">
      <formula>0.5</formula>
    </cfRule>
  </conditionalFormatting>
  <conditionalFormatting sqref="AN47">
    <cfRule type="cellIs" dxfId="17616" priority="140790" stopIfTrue="1" operator="equal">
      <formula>-1</formula>
    </cfRule>
  </conditionalFormatting>
  <conditionalFormatting sqref="AN47">
    <cfRule type="cellIs" dxfId="17615" priority="140791" stopIfTrue="1" operator="lessThan">
      <formula>0.5</formula>
    </cfRule>
  </conditionalFormatting>
  <conditionalFormatting sqref="AN47">
    <cfRule type="cellIs" dxfId="17614" priority="140792" stopIfTrue="1" operator="greaterThanOrEqual">
      <formula>0.5</formula>
    </cfRule>
  </conditionalFormatting>
  <conditionalFormatting sqref="AN48">
    <cfRule type="cellIs" dxfId="17613" priority="140793" stopIfTrue="1" operator="equal">
      <formula>-1</formula>
    </cfRule>
  </conditionalFormatting>
  <conditionalFormatting sqref="AN48">
    <cfRule type="cellIs" dxfId="17612" priority="140794" stopIfTrue="1" operator="lessThan">
      <formula>0.5</formula>
    </cfRule>
  </conditionalFormatting>
  <conditionalFormatting sqref="AN48">
    <cfRule type="cellIs" dxfId="17611" priority="140795" stopIfTrue="1" operator="greaterThanOrEqual">
      <formula>0.5</formula>
    </cfRule>
  </conditionalFormatting>
  <conditionalFormatting sqref="AN49">
    <cfRule type="cellIs" dxfId="17610" priority="140796" stopIfTrue="1" operator="equal">
      <formula>-1</formula>
    </cfRule>
  </conditionalFormatting>
  <conditionalFormatting sqref="AN49">
    <cfRule type="cellIs" dxfId="17609" priority="140797" stopIfTrue="1" operator="lessThan">
      <formula>0.5</formula>
    </cfRule>
  </conditionalFormatting>
  <conditionalFormatting sqref="AN49">
    <cfRule type="cellIs" dxfId="17608" priority="140798" stopIfTrue="1" operator="greaterThanOrEqual">
      <formula>0.5</formula>
    </cfRule>
  </conditionalFormatting>
  <conditionalFormatting sqref="AN50">
    <cfRule type="cellIs" dxfId="17607" priority="140799" stopIfTrue="1" operator="equal">
      <formula>-1</formula>
    </cfRule>
  </conditionalFormatting>
  <conditionalFormatting sqref="AN50">
    <cfRule type="cellIs" dxfId="17606" priority="140800" stopIfTrue="1" operator="lessThan">
      <formula>0.5</formula>
    </cfRule>
  </conditionalFormatting>
  <conditionalFormatting sqref="AN50">
    <cfRule type="cellIs" dxfId="17605" priority="140801" stopIfTrue="1" operator="greaterThanOrEqual">
      <formula>0.5</formula>
    </cfRule>
  </conditionalFormatting>
  <conditionalFormatting sqref="AN51">
    <cfRule type="cellIs" dxfId="17604" priority="140802" stopIfTrue="1" operator="equal">
      <formula>-1</formula>
    </cfRule>
  </conditionalFormatting>
  <conditionalFormatting sqref="AN51">
    <cfRule type="cellIs" dxfId="17603" priority="140803" stopIfTrue="1" operator="lessThan">
      <formula>0.5</formula>
    </cfRule>
  </conditionalFormatting>
  <conditionalFormatting sqref="AN51">
    <cfRule type="cellIs" dxfId="17602" priority="140804" stopIfTrue="1" operator="greaterThanOrEqual">
      <formula>0.5</formula>
    </cfRule>
  </conditionalFormatting>
  <conditionalFormatting sqref="AN52">
    <cfRule type="cellIs" dxfId="17601" priority="140805" stopIfTrue="1" operator="equal">
      <formula>-1</formula>
    </cfRule>
  </conditionalFormatting>
  <conditionalFormatting sqref="AN52">
    <cfRule type="cellIs" dxfId="17600" priority="140806" stopIfTrue="1" operator="lessThan">
      <formula>0.5</formula>
    </cfRule>
  </conditionalFormatting>
  <conditionalFormatting sqref="AN52">
    <cfRule type="cellIs" dxfId="17599" priority="140807" stopIfTrue="1" operator="greaterThanOrEqual">
      <formula>0.5</formula>
    </cfRule>
  </conditionalFormatting>
  <conditionalFormatting sqref="AN53">
    <cfRule type="cellIs" dxfId="17598" priority="140808" stopIfTrue="1" operator="equal">
      <formula>-1</formula>
    </cfRule>
  </conditionalFormatting>
  <conditionalFormatting sqref="AN53">
    <cfRule type="cellIs" dxfId="17597" priority="140809" stopIfTrue="1" operator="lessThan">
      <formula>0.5</formula>
    </cfRule>
  </conditionalFormatting>
  <conditionalFormatting sqref="AN53">
    <cfRule type="cellIs" dxfId="17596" priority="140810" stopIfTrue="1" operator="greaterThanOrEqual">
      <formula>0.5</formula>
    </cfRule>
  </conditionalFormatting>
  <conditionalFormatting sqref="AN54">
    <cfRule type="cellIs" dxfId="17595" priority="140811" stopIfTrue="1" operator="equal">
      <formula>-1</formula>
    </cfRule>
  </conditionalFormatting>
  <conditionalFormatting sqref="AN54">
    <cfRule type="cellIs" dxfId="17594" priority="140812" stopIfTrue="1" operator="lessThan">
      <formula>0.5</formula>
    </cfRule>
  </conditionalFormatting>
  <conditionalFormatting sqref="AN54">
    <cfRule type="cellIs" dxfId="17593" priority="140813" stopIfTrue="1" operator="greaterThanOrEqual">
      <formula>0.5</formula>
    </cfRule>
  </conditionalFormatting>
  <conditionalFormatting sqref="AN55">
    <cfRule type="cellIs" dxfId="17592" priority="140814" stopIfTrue="1" operator="equal">
      <formula>-1</formula>
    </cfRule>
  </conditionalFormatting>
  <conditionalFormatting sqref="AN55">
    <cfRule type="cellIs" dxfId="17591" priority="140815" stopIfTrue="1" operator="lessThan">
      <formula>0.5</formula>
    </cfRule>
  </conditionalFormatting>
  <conditionalFormatting sqref="AN55">
    <cfRule type="cellIs" dxfId="17590" priority="140816" stopIfTrue="1" operator="greaterThanOrEqual">
      <formula>0.5</formula>
    </cfRule>
  </conditionalFormatting>
  <conditionalFormatting sqref="AN56">
    <cfRule type="cellIs" dxfId="17589" priority="140817" stopIfTrue="1" operator="equal">
      <formula>-1</formula>
    </cfRule>
  </conditionalFormatting>
  <conditionalFormatting sqref="AN56">
    <cfRule type="cellIs" dxfId="17588" priority="140818" stopIfTrue="1" operator="lessThan">
      <formula>0.5</formula>
    </cfRule>
  </conditionalFormatting>
  <conditionalFormatting sqref="AN56">
    <cfRule type="cellIs" dxfId="17587" priority="140819" stopIfTrue="1" operator="greaterThanOrEqual">
      <formula>0.5</formula>
    </cfRule>
  </conditionalFormatting>
  <conditionalFormatting sqref="AN57">
    <cfRule type="cellIs" dxfId="17586" priority="140820" stopIfTrue="1" operator="equal">
      <formula>-1</formula>
    </cfRule>
  </conditionalFormatting>
  <conditionalFormatting sqref="AN57">
    <cfRule type="cellIs" dxfId="17585" priority="140821" stopIfTrue="1" operator="lessThan">
      <formula>0.5</formula>
    </cfRule>
  </conditionalFormatting>
  <conditionalFormatting sqref="AN57">
    <cfRule type="cellIs" dxfId="17584" priority="140822" stopIfTrue="1" operator="greaterThanOrEqual">
      <formula>0.5</formula>
    </cfRule>
  </conditionalFormatting>
  <conditionalFormatting sqref="AN58">
    <cfRule type="cellIs" dxfId="17583" priority="140823" stopIfTrue="1" operator="equal">
      <formula>-1</formula>
    </cfRule>
  </conditionalFormatting>
  <conditionalFormatting sqref="AN58">
    <cfRule type="cellIs" dxfId="17582" priority="140824" stopIfTrue="1" operator="lessThan">
      <formula>0.5</formula>
    </cfRule>
  </conditionalFormatting>
  <conditionalFormatting sqref="AN58">
    <cfRule type="cellIs" dxfId="17581" priority="140825" stopIfTrue="1" operator="greaterThanOrEqual">
      <formula>0.5</formula>
    </cfRule>
  </conditionalFormatting>
  <conditionalFormatting sqref="AP39">
    <cfRule type="cellIs" dxfId="17580" priority="140826" stopIfTrue="1" operator="equal">
      <formula>-1</formula>
    </cfRule>
  </conditionalFormatting>
  <conditionalFormatting sqref="AP39">
    <cfRule type="cellIs" dxfId="17579" priority="140827" stopIfTrue="1" operator="lessThan">
      <formula>0.5</formula>
    </cfRule>
  </conditionalFormatting>
  <conditionalFormatting sqref="AP39">
    <cfRule type="cellIs" dxfId="17578" priority="140828" stopIfTrue="1" operator="greaterThanOrEqual">
      <formula>0.5</formula>
    </cfRule>
  </conditionalFormatting>
  <conditionalFormatting sqref="AP40">
    <cfRule type="cellIs" dxfId="17577" priority="140829" stopIfTrue="1" operator="equal">
      <formula>-1</formula>
    </cfRule>
  </conditionalFormatting>
  <conditionalFormatting sqref="AP40">
    <cfRule type="cellIs" dxfId="17576" priority="140830" stopIfTrue="1" operator="lessThan">
      <formula>0.5</formula>
    </cfRule>
  </conditionalFormatting>
  <conditionalFormatting sqref="AP40">
    <cfRule type="cellIs" dxfId="17575" priority="140831" stopIfTrue="1" operator="greaterThanOrEqual">
      <formula>0.5</formula>
    </cfRule>
  </conditionalFormatting>
  <conditionalFormatting sqref="AP41">
    <cfRule type="cellIs" dxfId="17574" priority="140832" stopIfTrue="1" operator="equal">
      <formula>-1</formula>
    </cfRule>
  </conditionalFormatting>
  <conditionalFormatting sqref="AP41">
    <cfRule type="cellIs" dxfId="17573" priority="140833" stopIfTrue="1" operator="lessThan">
      <formula>0.5</formula>
    </cfRule>
  </conditionalFormatting>
  <conditionalFormatting sqref="AP41">
    <cfRule type="cellIs" dxfId="17572" priority="140834" stopIfTrue="1" operator="greaterThanOrEqual">
      <formula>0.5</formula>
    </cfRule>
  </conditionalFormatting>
  <conditionalFormatting sqref="AP42">
    <cfRule type="cellIs" dxfId="17571" priority="140835" stopIfTrue="1" operator="equal">
      <formula>-1</formula>
    </cfRule>
  </conditionalFormatting>
  <conditionalFormatting sqref="AP42">
    <cfRule type="cellIs" dxfId="17570" priority="140836" stopIfTrue="1" operator="lessThan">
      <formula>0.5</formula>
    </cfRule>
  </conditionalFormatting>
  <conditionalFormatting sqref="AP42">
    <cfRule type="cellIs" dxfId="17569" priority="140837" stopIfTrue="1" operator="greaterThanOrEqual">
      <formula>0.5</formula>
    </cfRule>
  </conditionalFormatting>
  <conditionalFormatting sqref="AP43">
    <cfRule type="cellIs" dxfId="17568" priority="140838" stopIfTrue="1" operator="equal">
      <formula>-1</formula>
    </cfRule>
  </conditionalFormatting>
  <conditionalFormatting sqref="AP43">
    <cfRule type="cellIs" dxfId="17567" priority="140839" stopIfTrue="1" operator="lessThan">
      <formula>0.5</formula>
    </cfRule>
  </conditionalFormatting>
  <conditionalFormatting sqref="AP43">
    <cfRule type="cellIs" dxfId="17566" priority="140840" stopIfTrue="1" operator="greaterThanOrEqual">
      <formula>0.5</formula>
    </cfRule>
  </conditionalFormatting>
  <conditionalFormatting sqref="AP44">
    <cfRule type="cellIs" dxfId="17565" priority="140841" stopIfTrue="1" operator="equal">
      <formula>-1</formula>
    </cfRule>
  </conditionalFormatting>
  <conditionalFormatting sqref="AP44">
    <cfRule type="cellIs" dxfId="17564" priority="140842" stopIfTrue="1" operator="lessThan">
      <formula>0.5</formula>
    </cfRule>
  </conditionalFormatting>
  <conditionalFormatting sqref="AP44">
    <cfRule type="cellIs" dxfId="17563" priority="140843" stopIfTrue="1" operator="greaterThanOrEqual">
      <formula>0.5</formula>
    </cfRule>
  </conditionalFormatting>
  <conditionalFormatting sqref="AP45">
    <cfRule type="cellIs" dxfId="17562" priority="140844" stopIfTrue="1" operator="equal">
      <formula>-1</formula>
    </cfRule>
  </conditionalFormatting>
  <conditionalFormatting sqref="AP45">
    <cfRule type="cellIs" dxfId="17561" priority="140845" stopIfTrue="1" operator="lessThan">
      <formula>0.5</formula>
    </cfRule>
  </conditionalFormatting>
  <conditionalFormatting sqref="AP45">
    <cfRule type="cellIs" dxfId="17560" priority="140846" stopIfTrue="1" operator="greaterThanOrEqual">
      <formula>0.5</formula>
    </cfRule>
  </conditionalFormatting>
  <conditionalFormatting sqref="AP46">
    <cfRule type="cellIs" dxfId="17559" priority="140847" stopIfTrue="1" operator="equal">
      <formula>-1</formula>
    </cfRule>
  </conditionalFormatting>
  <conditionalFormatting sqref="AP46">
    <cfRule type="cellIs" dxfId="17558" priority="140848" stopIfTrue="1" operator="lessThan">
      <formula>0.5</formula>
    </cfRule>
  </conditionalFormatting>
  <conditionalFormatting sqref="AP46">
    <cfRule type="cellIs" dxfId="17557" priority="140849" stopIfTrue="1" operator="greaterThanOrEqual">
      <formula>0.5</formula>
    </cfRule>
  </conditionalFormatting>
  <conditionalFormatting sqref="AP47">
    <cfRule type="cellIs" dxfId="17556" priority="140850" stopIfTrue="1" operator="equal">
      <formula>-1</formula>
    </cfRule>
  </conditionalFormatting>
  <conditionalFormatting sqref="AP47">
    <cfRule type="cellIs" dxfId="17555" priority="140851" stopIfTrue="1" operator="lessThan">
      <formula>0.5</formula>
    </cfRule>
  </conditionalFormatting>
  <conditionalFormatting sqref="AP47">
    <cfRule type="cellIs" dxfId="17554" priority="140852" stopIfTrue="1" operator="greaterThanOrEqual">
      <formula>0.5</formula>
    </cfRule>
  </conditionalFormatting>
  <conditionalFormatting sqref="AP48">
    <cfRule type="cellIs" dxfId="17553" priority="140853" stopIfTrue="1" operator="equal">
      <formula>-1</formula>
    </cfRule>
  </conditionalFormatting>
  <conditionalFormatting sqref="AP48">
    <cfRule type="cellIs" dxfId="17552" priority="140854" stopIfTrue="1" operator="lessThan">
      <formula>0.5</formula>
    </cfRule>
  </conditionalFormatting>
  <conditionalFormatting sqref="AP48">
    <cfRule type="cellIs" dxfId="17551" priority="140855" stopIfTrue="1" operator="greaterThanOrEqual">
      <formula>0.5</formula>
    </cfRule>
  </conditionalFormatting>
  <conditionalFormatting sqref="AP49">
    <cfRule type="cellIs" dxfId="17550" priority="140856" stopIfTrue="1" operator="equal">
      <formula>-1</formula>
    </cfRule>
  </conditionalFormatting>
  <conditionalFormatting sqref="AP49">
    <cfRule type="cellIs" dxfId="17549" priority="140857" stopIfTrue="1" operator="lessThan">
      <formula>0.5</formula>
    </cfRule>
  </conditionalFormatting>
  <conditionalFormatting sqref="AP49">
    <cfRule type="cellIs" dxfId="17548" priority="140858" stopIfTrue="1" operator="greaterThanOrEqual">
      <formula>0.5</formula>
    </cfRule>
  </conditionalFormatting>
  <conditionalFormatting sqref="AP50">
    <cfRule type="cellIs" dxfId="17547" priority="140859" stopIfTrue="1" operator="equal">
      <formula>-1</formula>
    </cfRule>
  </conditionalFormatting>
  <conditionalFormatting sqref="AP50">
    <cfRule type="cellIs" dxfId="17546" priority="140860" stopIfTrue="1" operator="lessThan">
      <formula>0.5</formula>
    </cfRule>
  </conditionalFormatting>
  <conditionalFormatting sqref="AP50">
    <cfRule type="cellIs" dxfId="17545" priority="140861" stopIfTrue="1" operator="greaterThanOrEqual">
      <formula>0.5</formula>
    </cfRule>
  </conditionalFormatting>
  <conditionalFormatting sqref="AP51">
    <cfRule type="cellIs" dxfId="17544" priority="140862" stopIfTrue="1" operator="equal">
      <formula>-1</formula>
    </cfRule>
  </conditionalFormatting>
  <conditionalFormatting sqref="AP51">
    <cfRule type="cellIs" dxfId="17543" priority="140863" stopIfTrue="1" operator="lessThan">
      <formula>0.5</formula>
    </cfRule>
  </conditionalFormatting>
  <conditionalFormatting sqref="AP51">
    <cfRule type="cellIs" dxfId="17542" priority="140864" stopIfTrue="1" operator="greaterThanOrEqual">
      <formula>0.5</formula>
    </cfRule>
  </conditionalFormatting>
  <conditionalFormatting sqref="AP52">
    <cfRule type="cellIs" dxfId="17541" priority="140865" stopIfTrue="1" operator="equal">
      <formula>-1</formula>
    </cfRule>
  </conditionalFormatting>
  <conditionalFormatting sqref="AP52">
    <cfRule type="cellIs" dxfId="17540" priority="140866" stopIfTrue="1" operator="lessThan">
      <formula>0.5</formula>
    </cfRule>
  </conditionalFormatting>
  <conditionalFormatting sqref="AP52">
    <cfRule type="cellIs" dxfId="17539" priority="140867" stopIfTrue="1" operator="greaterThanOrEqual">
      <formula>0.5</formula>
    </cfRule>
  </conditionalFormatting>
  <conditionalFormatting sqref="AP53">
    <cfRule type="cellIs" dxfId="17538" priority="140868" stopIfTrue="1" operator="equal">
      <formula>-1</formula>
    </cfRule>
  </conditionalFormatting>
  <conditionalFormatting sqref="AP53">
    <cfRule type="cellIs" dxfId="17537" priority="140869" stopIfTrue="1" operator="lessThan">
      <formula>0.5</formula>
    </cfRule>
  </conditionalFormatting>
  <conditionalFormatting sqref="AP53">
    <cfRule type="cellIs" dxfId="17536" priority="140870" stopIfTrue="1" operator="greaterThanOrEqual">
      <formula>0.5</formula>
    </cfRule>
  </conditionalFormatting>
  <conditionalFormatting sqref="AP54">
    <cfRule type="cellIs" dxfId="17535" priority="140871" stopIfTrue="1" operator="equal">
      <formula>-1</formula>
    </cfRule>
  </conditionalFormatting>
  <conditionalFormatting sqref="AP54">
    <cfRule type="cellIs" dxfId="17534" priority="140872" stopIfTrue="1" operator="lessThan">
      <formula>0.5</formula>
    </cfRule>
  </conditionalFormatting>
  <conditionalFormatting sqref="AP54">
    <cfRule type="cellIs" dxfId="17533" priority="140873" stopIfTrue="1" operator="greaterThanOrEqual">
      <formula>0.5</formula>
    </cfRule>
  </conditionalFormatting>
  <conditionalFormatting sqref="AP55">
    <cfRule type="cellIs" dxfId="17532" priority="140874" stopIfTrue="1" operator="equal">
      <formula>-1</formula>
    </cfRule>
  </conditionalFormatting>
  <conditionalFormatting sqref="AP55">
    <cfRule type="cellIs" dxfId="17531" priority="140875" stopIfTrue="1" operator="lessThan">
      <formula>0.5</formula>
    </cfRule>
  </conditionalFormatting>
  <conditionalFormatting sqref="AP55">
    <cfRule type="cellIs" dxfId="17530" priority="140876" stopIfTrue="1" operator="greaterThanOrEqual">
      <formula>0.5</formula>
    </cfRule>
  </conditionalFormatting>
  <conditionalFormatting sqref="AP56">
    <cfRule type="cellIs" dxfId="17529" priority="140877" stopIfTrue="1" operator="equal">
      <formula>-1</formula>
    </cfRule>
  </conditionalFormatting>
  <conditionalFormatting sqref="AP56">
    <cfRule type="cellIs" dxfId="17528" priority="140878" stopIfTrue="1" operator="lessThan">
      <formula>0.5</formula>
    </cfRule>
  </conditionalFormatting>
  <conditionalFormatting sqref="AP56">
    <cfRule type="cellIs" dxfId="17527" priority="140879" stopIfTrue="1" operator="greaterThanOrEqual">
      <formula>0.5</formula>
    </cfRule>
  </conditionalFormatting>
  <conditionalFormatting sqref="AP57">
    <cfRule type="cellIs" dxfId="17526" priority="140880" stopIfTrue="1" operator="equal">
      <formula>-1</formula>
    </cfRule>
  </conditionalFormatting>
  <conditionalFormatting sqref="AP57">
    <cfRule type="cellIs" dxfId="17525" priority="140881" stopIfTrue="1" operator="lessThan">
      <formula>0.5</formula>
    </cfRule>
  </conditionalFormatting>
  <conditionalFormatting sqref="AP57">
    <cfRule type="cellIs" dxfId="17524" priority="140882" stopIfTrue="1" operator="greaterThanOrEqual">
      <formula>0.5</formula>
    </cfRule>
  </conditionalFormatting>
  <conditionalFormatting sqref="AP58">
    <cfRule type="cellIs" dxfId="17523" priority="140883" stopIfTrue="1" operator="equal">
      <formula>-1</formula>
    </cfRule>
  </conditionalFormatting>
  <conditionalFormatting sqref="AP58">
    <cfRule type="cellIs" dxfId="17522" priority="140884" stopIfTrue="1" operator="lessThan">
      <formula>0.5</formula>
    </cfRule>
  </conditionalFormatting>
  <conditionalFormatting sqref="AP58">
    <cfRule type="cellIs" dxfId="17521" priority="140885" stopIfTrue="1" operator="greaterThanOrEqual">
      <formula>0.5</formula>
    </cfRule>
  </conditionalFormatting>
  <conditionalFormatting sqref="AR39">
    <cfRule type="cellIs" dxfId="17520" priority="140886" stopIfTrue="1" operator="equal">
      <formula>-1</formula>
    </cfRule>
  </conditionalFormatting>
  <conditionalFormatting sqref="AR39">
    <cfRule type="cellIs" dxfId="17519" priority="140887" stopIfTrue="1" operator="lessThan">
      <formula>0.5</formula>
    </cfRule>
  </conditionalFormatting>
  <conditionalFormatting sqref="AR39">
    <cfRule type="cellIs" dxfId="17518" priority="140888" stopIfTrue="1" operator="greaterThanOrEqual">
      <formula>0.5</formula>
    </cfRule>
  </conditionalFormatting>
  <conditionalFormatting sqref="AR40">
    <cfRule type="cellIs" dxfId="17517" priority="140889" stopIfTrue="1" operator="equal">
      <formula>-1</formula>
    </cfRule>
  </conditionalFormatting>
  <conditionalFormatting sqref="AR40">
    <cfRule type="cellIs" dxfId="17516" priority="140890" stopIfTrue="1" operator="lessThan">
      <formula>0.5</formula>
    </cfRule>
  </conditionalFormatting>
  <conditionalFormatting sqref="AR40">
    <cfRule type="cellIs" dxfId="17515" priority="140891" stopIfTrue="1" operator="greaterThanOrEqual">
      <formula>0.5</formula>
    </cfRule>
  </conditionalFormatting>
  <conditionalFormatting sqref="AR41">
    <cfRule type="cellIs" dxfId="17514" priority="140892" stopIfTrue="1" operator="equal">
      <formula>-1</formula>
    </cfRule>
  </conditionalFormatting>
  <conditionalFormatting sqref="AR41">
    <cfRule type="cellIs" dxfId="17513" priority="140893" stopIfTrue="1" operator="lessThan">
      <formula>0.5</formula>
    </cfRule>
  </conditionalFormatting>
  <conditionalFormatting sqref="AR41">
    <cfRule type="cellIs" dxfId="17512" priority="140894" stopIfTrue="1" operator="greaterThanOrEqual">
      <formula>0.5</formula>
    </cfRule>
  </conditionalFormatting>
  <conditionalFormatting sqref="AR42">
    <cfRule type="cellIs" dxfId="17511" priority="140895" stopIfTrue="1" operator="equal">
      <formula>-1</formula>
    </cfRule>
  </conditionalFormatting>
  <conditionalFormatting sqref="AR42">
    <cfRule type="cellIs" dxfId="17510" priority="140896" stopIfTrue="1" operator="lessThan">
      <formula>0.5</formula>
    </cfRule>
  </conditionalFormatting>
  <conditionalFormatting sqref="AR42">
    <cfRule type="cellIs" dxfId="17509" priority="140897" stopIfTrue="1" operator="greaterThanOrEqual">
      <formula>0.5</formula>
    </cfRule>
  </conditionalFormatting>
  <conditionalFormatting sqref="AR43">
    <cfRule type="cellIs" dxfId="17508" priority="140898" stopIfTrue="1" operator="equal">
      <formula>-1</formula>
    </cfRule>
  </conditionalFormatting>
  <conditionalFormatting sqref="AR43">
    <cfRule type="cellIs" dxfId="17507" priority="140899" stopIfTrue="1" operator="lessThan">
      <formula>0.5</formula>
    </cfRule>
  </conditionalFormatting>
  <conditionalFormatting sqref="AR43">
    <cfRule type="cellIs" dxfId="17506" priority="140900" stopIfTrue="1" operator="greaterThanOrEqual">
      <formula>0.5</formula>
    </cfRule>
  </conditionalFormatting>
  <conditionalFormatting sqref="AR44">
    <cfRule type="cellIs" dxfId="17505" priority="140901" stopIfTrue="1" operator="equal">
      <formula>-1</formula>
    </cfRule>
  </conditionalFormatting>
  <conditionalFormatting sqref="AR44">
    <cfRule type="cellIs" dxfId="17504" priority="140902" stopIfTrue="1" operator="lessThan">
      <formula>0.5</formula>
    </cfRule>
  </conditionalFormatting>
  <conditionalFormatting sqref="AR44">
    <cfRule type="cellIs" dxfId="17503" priority="140903" stopIfTrue="1" operator="greaterThanOrEqual">
      <formula>0.5</formula>
    </cfRule>
  </conditionalFormatting>
  <conditionalFormatting sqref="AR45">
    <cfRule type="cellIs" dxfId="17502" priority="140904" stopIfTrue="1" operator="equal">
      <formula>-1</formula>
    </cfRule>
  </conditionalFormatting>
  <conditionalFormatting sqref="AR45">
    <cfRule type="cellIs" dxfId="17501" priority="140905" stopIfTrue="1" operator="lessThan">
      <formula>0.5</formula>
    </cfRule>
  </conditionalFormatting>
  <conditionalFormatting sqref="AR45">
    <cfRule type="cellIs" dxfId="17500" priority="140906" stopIfTrue="1" operator="greaterThanOrEqual">
      <formula>0.5</formula>
    </cfRule>
  </conditionalFormatting>
  <conditionalFormatting sqref="AR46">
    <cfRule type="cellIs" dxfId="17499" priority="140907" stopIfTrue="1" operator="equal">
      <formula>-1</formula>
    </cfRule>
  </conditionalFormatting>
  <conditionalFormatting sqref="AR46">
    <cfRule type="cellIs" dxfId="17498" priority="140908" stopIfTrue="1" operator="lessThan">
      <formula>0.5</formula>
    </cfRule>
  </conditionalFormatting>
  <conditionalFormatting sqref="AR46">
    <cfRule type="cellIs" dxfId="17497" priority="140909" stopIfTrue="1" operator="greaterThanOrEqual">
      <formula>0.5</formula>
    </cfRule>
  </conditionalFormatting>
  <conditionalFormatting sqref="AR47">
    <cfRule type="cellIs" dxfId="17496" priority="140910" stopIfTrue="1" operator="equal">
      <formula>-1</formula>
    </cfRule>
  </conditionalFormatting>
  <conditionalFormatting sqref="AR47">
    <cfRule type="cellIs" dxfId="17495" priority="140911" stopIfTrue="1" operator="lessThan">
      <formula>0.5</formula>
    </cfRule>
  </conditionalFormatting>
  <conditionalFormatting sqref="AR47">
    <cfRule type="cellIs" dxfId="17494" priority="140912" stopIfTrue="1" operator="greaterThanOrEqual">
      <formula>0.5</formula>
    </cfRule>
  </conditionalFormatting>
  <conditionalFormatting sqref="AR48">
    <cfRule type="cellIs" dxfId="17493" priority="140913" stopIfTrue="1" operator="equal">
      <formula>-1</formula>
    </cfRule>
  </conditionalFormatting>
  <conditionalFormatting sqref="AR48">
    <cfRule type="cellIs" dxfId="17492" priority="140914" stopIfTrue="1" operator="lessThan">
      <formula>0.5</formula>
    </cfRule>
  </conditionalFormatting>
  <conditionalFormatting sqref="AR48">
    <cfRule type="cellIs" dxfId="17491" priority="140915" stopIfTrue="1" operator="greaterThanOrEqual">
      <formula>0.5</formula>
    </cfRule>
  </conditionalFormatting>
  <conditionalFormatting sqref="AR49">
    <cfRule type="cellIs" dxfId="17490" priority="140916" stopIfTrue="1" operator="equal">
      <formula>-1</formula>
    </cfRule>
  </conditionalFormatting>
  <conditionalFormatting sqref="AR49">
    <cfRule type="cellIs" dxfId="17489" priority="140917" stopIfTrue="1" operator="lessThan">
      <formula>0.5</formula>
    </cfRule>
  </conditionalFormatting>
  <conditionalFormatting sqref="AR49">
    <cfRule type="cellIs" dxfId="17488" priority="140918" stopIfTrue="1" operator="greaterThanOrEqual">
      <formula>0.5</formula>
    </cfRule>
  </conditionalFormatting>
  <conditionalFormatting sqref="AR50">
    <cfRule type="cellIs" dxfId="17487" priority="140919" stopIfTrue="1" operator="equal">
      <formula>-1</formula>
    </cfRule>
  </conditionalFormatting>
  <conditionalFormatting sqref="AR50">
    <cfRule type="cellIs" dxfId="17486" priority="140920" stopIfTrue="1" operator="lessThan">
      <formula>0.5</formula>
    </cfRule>
  </conditionalFormatting>
  <conditionalFormatting sqref="AR50">
    <cfRule type="cellIs" dxfId="17485" priority="140921" stopIfTrue="1" operator="greaterThanOrEqual">
      <formula>0.5</formula>
    </cfRule>
  </conditionalFormatting>
  <conditionalFormatting sqref="AR51">
    <cfRule type="cellIs" dxfId="17484" priority="140922" stopIfTrue="1" operator="equal">
      <formula>-1</formula>
    </cfRule>
  </conditionalFormatting>
  <conditionalFormatting sqref="AR51">
    <cfRule type="cellIs" dxfId="17483" priority="140923" stopIfTrue="1" operator="lessThan">
      <formula>0.5</formula>
    </cfRule>
  </conditionalFormatting>
  <conditionalFormatting sqref="AR51">
    <cfRule type="cellIs" dxfId="17482" priority="140924" stopIfTrue="1" operator="greaterThanOrEqual">
      <formula>0.5</formula>
    </cfRule>
  </conditionalFormatting>
  <conditionalFormatting sqref="AR52">
    <cfRule type="cellIs" dxfId="17481" priority="140925" stopIfTrue="1" operator="equal">
      <formula>-1</formula>
    </cfRule>
  </conditionalFormatting>
  <conditionalFormatting sqref="AR52">
    <cfRule type="cellIs" dxfId="17480" priority="140926" stopIfTrue="1" operator="lessThan">
      <formula>0.5</formula>
    </cfRule>
  </conditionalFormatting>
  <conditionalFormatting sqref="AR52">
    <cfRule type="cellIs" dxfId="17479" priority="140927" stopIfTrue="1" operator="greaterThanOrEqual">
      <formula>0.5</formula>
    </cfRule>
  </conditionalFormatting>
  <conditionalFormatting sqref="AR53">
    <cfRule type="cellIs" dxfId="17478" priority="140928" stopIfTrue="1" operator="equal">
      <formula>-1</formula>
    </cfRule>
  </conditionalFormatting>
  <conditionalFormatting sqref="AR53">
    <cfRule type="cellIs" dxfId="17477" priority="140929" stopIfTrue="1" operator="lessThan">
      <formula>0.5</formula>
    </cfRule>
  </conditionalFormatting>
  <conditionalFormatting sqref="AR53">
    <cfRule type="cellIs" dxfId="17476" priority="140930" stopIfTrue="1" operator="greaterThanOrEqual">
      <formula>0.5</formula>
    </cfRule>
  </conditionalFormatting>
  <conditionalFormatting sqref="AR54">
    <cfRule type="cellIs" dxfId="17475" priority="140931" stopIfTrue="1" operator="equal">
      <formula>-1</formula>
    </cfRule>
  </conditionalFormatting>
  <conditionalFormatting sqref="AR54">
    <cfRule type="cellIs" dxfId="17474" priority="140932" stopIfTrue="1" operator="lessThan">
      <formula>0.5</formula>
    </cfRule>
  </conditionalFormatting>
  <conditionalFormatting sqref="AR54">
    <cfRule type="cellIs" dxfId="17473" priority="140933" stopIfTrue="1" operator="greaterThanOrEqual">
      <formula>0.5</formula>
    </cfRule>
  </conditionalFormatting>
  <conditionalFormatting sqref="AR55">
    <cfRule type="cellIs" dxfId="17472" priority="140934" stopIfTrue="1" operator="equal">
      <formula>-1</formula>
    </cfRule>
  </conditionalFormatting>
  <conditionalFormatting sqref="AR55">
    <cfRule type="cellIs" dxfId="17471" priority="140935" stopIfTrue="1" operator="lessThan">
      <formula>0.5</formula>
    </cfRule>
  </conditionalFormatting>
  <conditionalFormatting sqref="AR55">
    <cfRule type="cellIs" dxfId="17470" priority="140936" stopIfTrue="1" operator="greaterThanOrEqual">
      <formula>0.5</formula>
    </cfRule>
  </conditionalFormatting>
  <conditionalFormatting sqref="AR56">
    <cfRule type="cellIs" dxfId="17469" priority="140937" stopIfTrue="1" operator="equal">
      <formula>-1</formula>
    </cfRule>
  </conditionalFormatting>
  <conditionalFormatting sqref="AR56">
    <cfRule type="cellIs" dxfId="17468" priority="140938" stopIfTrue="1" operator="lessThan">
      <formula>0.5</formula>
    </cfRule>
  </conditionalFormatting>
  <conditionalFormatting sqref="AR56">
    <cfRule type="cellIs" dxfId="17467" priority="140939" stopIfTrue="1" operator="greaterThanOrEqual">
      <formula>0.5</formula>
    </cfRule>
  </conditionalFormatting>
  <conditionalFormatting sqref="AR57">
    <cfRule type="cellIs" dxfId="17466" priority="140940" stopIfTrue="1" operator="equal">
      <formula>-1</formula>
    </cfRule>
  </conditionalFormatting>
  <conditionalFormatting sqref="AR57">
    <cfRule type="cellIs" dxfId="17465" priority="140941" stopIfTrue="1" operator="lessThan">
      <formula>0.5</formula>
    </cfRule>
  </conditionalFormatting>
  <conditionalFormatting sqref="AR57">
    <cfRule type="cellIs" dxfId="17464" priority="140942" stopIfTrue="1" operator="greaterThanOrEqual">
      <formula>0.5</formula>
    </cfRule>
  </conditionalFormatting>
  <conditionalFormatting sqref="AR58">
    <cfRule type="cellIs" dxfId="17463" priority="140943" stopIfTrue="1" operator="equal">
      <formula>-1</formula>
    </cfRule>
  </conditionalFormatting>
  <conditionalFormatting sqref="AR58">
    <cfRule type="cellIs" dxfId="17462" priority="140944" stopIfTrue="1" operator="lessThan">
      <formula>0.5</formula>
    </cfRule>
  </conditionalFormatting>
  <conditionalFormatting sqref="AR58">
    <cfRule type="cellIs" dxfId="17461" priority="140945" stopIfTrue="1" operator="greaterThanOrEqual">
      <formula>0.5</formula>
    </cfRule>
  </conditionalFormatting>
  <conditionalFormatting sqref="AT39">
    <cfRule type="cellIs" dxfId="17460" priority="140946" stopIfTrue="1" operator="equal">
      <formula>-1</formula>
    </cfRule>
  </conditionalFormatting>
  <conditionalFormatting sqref="AT39">
    <cfRule type="cellIs" dxfId="17459" priority="140947" stopIfTrue="1" operator="lessThan">
      <formula>0.5</formula>
    </cfRule>
  </conditionalFormatting>
  <conditionalFormatting sqref="AT39">
    <cfRule type="cellIs" dxfId="17458" priority="140948" stopIfTrue="1" operator="greaterThanOrEqual">
      <formula>0.5</formula>
    </cfRule>
  </conditionalFormatting>
  <conditionalFormatting sqref="AT40">
    <cfRule type="cellIs" dxfId="17457" priority="140949" stopIfTrue="1" operator="equal">
      <formula>-1</formula>
    </cfRule>
  </conditionalFormatting>
  <conditionalFormatting sqref="AT40">
    <cfRule type="cellIs" dxfId="17456" priority="140950" stopIfTrue="1" operator="lessThan">
      <formula>0.5</formula>
    </cfRule>
  </conditionalFormatting>
  <conditionalFormatting sqref="AT40">
    <cfRule type="cellIs" dxfId="17455" priority="140951" stopIfTrue="1" operator="greaterThanOrEqual">
      <formula>0.5</formula>
    </cfRule>
  </conditionalFormatting>
  <conditionalFormatting sqref="AT41">
    <cfRule type="cellIs" dxfId="17454" priority="140952" stopIfTrue="1" operator="equal">
      <formula>-1</formula>
    </cfRule>
  </conditionalFormatting>
  <conditionalFormatting sqref="AT41">
    <cfRule type="cellIs" dxfId="17453" priority="140953" stopIfTrue="1" operator="lessThan">
      <formula>0.5</formula>
    </cfRule>
  </conditionalFormatting>
  <conditionalFormatting sqref="AT41">
    <cfRule type="cellIs" dxfId="17452" priority="140954" stopIfTrue="1" operator="greaterThanOrEqual">
      <formula>0.5</formula>
    </cfRule>
  </conditionalFormatting>
  <conditionalFormatting sqref="AT42">
    <cfRule type="cellIs" dxfId="17451" priority="140955" stopIfTrue="1" operator="equal">
      <formula>-1</formula>
    </cfRule>
  </conditionalFormatting>
  <conditionalFormatting sqref="AT42">
    <cfRule type="cellIs" dxfId="17450" priority="140956" stopIfTrue="1" operator="lessThan">
      <formula>0.5</formula>
    </cfRule>
  </conditionalFormatting>
  <conditionalFormatting sqref="AT42">
    <cfRule type="cellIs" dxfId="17449" priority="140957" stopIfTrue="1" operator="greaterThanOrEqual">
      <formula>0.5</formula>
    </cfRule>
  </conditionalFormatting>
  <conditionalFormatting sqref="AT43">
    <cfRule type="cellIs" dxfId="17448" priority="140958" stopIfTrue="1" operator="equal">
      <formula>-1</formula>
    </cfRule>
  </conditionalFormatting>
  <conditionalFormatting sqref="AT43">
    <cfRule type="cellIs" dxfId="17447" priority="140959" stopIfTrue="1" operator="lessThan">
      <formula>0.5</formula>
    </cfRule>
  </conditionalFormatting>
  <conditionalFormatting sqref="AT43">
    <cfRule type="cellIs" dxfId="17446" priority="140960" stopIfTrue="1" operator="greaterThanOrEqual">
      <formula>0.5</formula>
    </cfRule>
  </conditionalFormatting>
  <conditionalFormatting sqref="AT44">
    <cfRule type="cellIs" dxfId="17445" priority="140961" stopIfTrue="1" operator="equal">
      <formula>-1</formula>
    </cfRule>
  </conditionalFormatting>
  <conditionalFormatting sqref="AT44">
    <cfRule type="cellIs" dxfId="17444" priority="140962" stopIfTrue="1" operator="lessThan">
      <formula>0.5</formula>
    </cfRule>
  </conditionalFormatting>
  <conditionalFormatting sqref="AT44">
    <cfRule type="cellIs" dxfId="17443" priority="140963" stopIfTrue="1" operator="greaterThanOrEqual">
      <formula>0.5</formula>
    </cfRule>
  </conditionalFormatting>
  <conditionalFormatting sqref="AT45">
    <cfRule type="cellIs" dxfId="17442" priority="140964" stopIfTrue="1" operator="equal">
      <formula>-1</formula>
    </cfRule>
  </conditionalFormatting>
  <conditionalFormatting sqref="AT45">
    <cfRule type="cellIs" dxfId="17441" priority="140965" stopIfTrue="1" operator="lessThan">
      <formula>0.5</formula>
    </cfRule>
  </conditionalFormatting>
  <conditionalFormatting sqref="AT45">
    <cfRule type="cellIs" dxfId="17440" priority="140966" stopIfTrue="1" operator="greaterThanOrEqual">
      <formula>0.5</formula>
    </cfRule>
  </conditionalFormatting>
  <conditionalFormatting sqref="AT46">
    <cfRule type="cellIs" dxfId="17439" priority="140967" stopIfTrue="1" operator="equal">
      <formula>-1</formula>
    </cfRule>
  </conditionalFormatting>
  <conditionalFormatting sqref="AT46">
    <cfRule type="cellIs" dxfId="17438" priority="140968" stopIfTrue="1" operator="lessThan">
      <formula>0.5</formula>
    </cfRule>
  </conditionalFormatting>
  <conditionalFormatting sqref="AT46">
    <cfRule type="cellIs" dxfId="17437" priority="140969" stopIfTrue="1" operator="greaterThanOrEqual">
      <formula>0.5</formula>
    </cfRule>
  </conditionalFormatting>
  <conditionalFormatting sqref="AT47">
    <cfRule type="cellIs" dxfId="17436" priority="140970" stopIfTrue="1" operator="equal">
      <formula>-1</formula>
    </cfRule>
  </conditionalFormatting>
  <conditionalFormatting sqref="AT47">
    <cfRule type="cellIs" dxfId="17435" priority="140971" stopIfTrue="1" operator="lessThan">
      <formula>0.5</formula>
    </cfRule>
  </conditionalFormatting>
  <conditionalFormatting sqref="AT47">
    <cfRule type="cellIs" dxfId="17434" priority="140972" stopIfTrue="1" operator="greaterThanOrEqual">
      <formula>0.5</formula>
    </cfRule>
  </conditionalFormatting>
  <conditionalFormatting sqref="AT48">
    <cfRule type="cellIs" dxfId="17433" priority="140973" stopIfTrue="1" operator="equal">
      <formula>-1</formula>
    </cfRule>
  </conditionalFormatting>
  <conditionalFormatting sqref="AT48">
    <cfRule type="cellIs" dxfId="17432" priority="140974" stopIfTrue="1" operator="lessThan">
      <formula>0.5</formula>
    </cfRule>
  </conditionalFormatting>
  <conditionalFormatting sqref="AT48">
    <cfRule type="cellIs" dxfId="17431" priority="140975" stopIfTrue="1" operator="greaterThanOrEqual">
      <formula>0.5</formula>
    </cfRule>
  </conditionalFormatting>
  <conditionalFormatting sqref="AT49">
    <cfRule type="cellIs" dxfId="17430" priority="140976" stopIfTrue="1" operator="equal">
      <formula>-1</formula>
    </cfRule>
  </conditionalFormatting>
  <conditionalFormatting sqref="AT49">
    <cfRule type="cellIs" dxfId="17429" priority="140977" stopIfTrue="1" operator="lessThan">
      <formula>0.5</formula>
    </cfRule>
  </conditionalFormatting>
  <conditionalFormatting sqref="AT49">
    <cfRule type="cellIs" dxfId="17428" priority="140978" stopIfTrue="1" operator="greaterThanOrEqual">
      <formula>0.5</formula>
    </cfRule>
  </conditionalFormatting>
  <conditionalFormatting sqref="AT50">
    <cfRule type="cellIs" dxfId="17427" priority="140979" stopIfTrue="1" operator="equal">
      <formula>-1</formula>
    </cfRule>
  </conditionalFormatting>
  <conditionalFormatting sqref="AT50">
    <cfRule type="cellIs" dxfId="17426" priority="140980" stopIfTrue="1" operator="lessThan">
      <formula>0.5</formula>
    </cfRule>
  </conditionalFormatting>
  <conditionalFormatting sqref="AT50">
    <cfRule type="cellIs" dxfId="17425" priority="140981" stopIfTrue="1" operator="greaterThanOrEqual">
      <formula>0.5</formula>
    </cfRule>
  </conditionalFormatting>
  <conditionalFormatting sqref="AT51">
    <cfRule type="cellIs" dxfId="17424" priority="140982" stopIfTrue="1" operator="equal">
      <formula>-1</formula>
    </cfRule>
  </conditionalFormatting>
  <conditionalFormatting sqref="AT51">
    <cfRule type="cellIs" dxfId="17423" priority="140983" stopIfTrue="1" operator="lessThan">
      <formula>0.5</formula>
    </cfRule>
  </conditionalFormatting>
  <conditionalFormatting sqref="AT51">
    <cfRule type="cellIs" dxfId="17422" priority="140984" stopIfTrue="1" operator="greaterThanOrEqual">
      <formula>0.5</formula>
    </cfRule>
  </conditionalFormatting>
  <conditionalFormatting sqref="AT52">
    <cfRule type="cellIs" dxfId="17421" priority="140985" stopIfTrue="1" operator="equal">
      <formula>-1</formula>
    </cfRule>
  </conditionalFormatting>
  <conditionalFormatting sqref="AT52">
    <cfRule type="cellIs" dxfId="17420" priority="140986" stopIfTrue="1" operator="lessThan">
      <formula>0.5</formula>
    </cfRule>
  </conditionalFormatting>
  <conditionalFormatting sqref="AT52">
    <cfRule type="cellIs" dxfId="17419" priority="140987" stopIfTrue="1" operator="greaterThanOrEqual">
      <formula>0.5</formula>
    </cfRule>
  </conditionalFormatting>
  <conditionalFormatting sqref="AT53">
    <cfRule type="cellIs" dxfId="17418" priority="140988" stopIfTrue="1" operator="equal">
      <formula>-1</formula>
    </cfRule>
  </conditionalFormatting>
  <conditionalFormatting sqref="AT53">
    <cfRule type="cellIs" dxfId="17417" priority="140989" stopIfTrue="1" operator="lessThan">
      <formula>0.5</formula>
    </cfRule>
  </conditionalFormatting>
  <conditionalFormatting sqref="AT53">
    <cfRule type="cellIs" dxfId="17416" priority="140990" stopIfTrue="1" operator="greaterThanOrEqual">
      <formula>0.5</formula>
    </cfRule>
  </conditionalFormatting>
  <conditionalFormatting sqref="AT54">
    <cfRule type="cellIs" dxfId="17415" priority="140991" stopIfTrue="1" operator="equal">
      <formula>-1</formula>
    </cfRule>
  </conditionalFormatting>
  <conditionalFormatting sqref="AT54">
    <cfRule type="cellIs" dxfId="17414" priority="140992" stopIfTrue="1" operator="lessThan">
      <formula>0.5</formula>
    </cfRule>
  </conditionalFormatting>
  <conditionalFormatting sqref="AT54">
    <cfRule type="cellIs" dxfId="17413" priority="140993" stopIfTrue="1" operator="greaterThanOrEqual">
      <formula>0.5</formula>
    </cfRule>
  </conditionalFormatting>
  <conditionalFormatting sqref="AT55">
    <cfRule type="cellIs" dxfId="17412" priority="140994" stopIfTrue="1" operator="equal">
      <formula>-1</formula>
    </cfRule>
  </conditionalFormatting>
  <conditionalFormatting sqref="AT55">
    <cfRule type="cellIs" dxfId="17411" priority="140995" stopIfTrue="1" operator="lessThan">
      <formula>0.5</formula>
    </cfRule>
  </conditionalFormatting>
  <conditionalFormatting sqref="AT55">
    <cfRule type="cellIs" dxfId="17410" priority="140996" stopIfTrue="1" operator="greaterThanOrEqual">
      <formula>0.5</formula>
    </cfRule>
  </conditionalFormatting>
  <conditionalFormatting sqref="AT56">
    <cfRule type="cellIs" dxfId="17409" priority="140997" stopIfTrue="1" operator="equal">
      <formula>-1</formula>
    </cfRule>
  </conditionalFormatting>
  <conditionalFormatting sqref="AT56">
    <cfRule type="cellIs" dxfId="17408" priority="140998" stopIfTrue="1" operator="lessThan">
      <formula>0.5</formula>
    </cfRule>
  </conditionalFormatting>
  <conditionalFormatting sqref="AT56">
    <cfRule type="cellIs" dxfId="17407" priority="140999" stopIfTrue="1" operator="greaterThanOrEqual">
      <formula>0.5</formula>
    </cfRule>
  </conditionalFormatting>
  <conditionalFormatting sqref="AT57">
    <cfRule type="cellIs" dxfId="17406" priority="141000" stopIfTrue="1" operator="equal">
      <formula>-1</formula>
    </cfRule>
  </conditionalFormatting>
  <conditionalFormatting sqref="AT57">
    <cfRule type="cellIs" dxfId="17405" priority="141001" stopIfTrue="1" operator="lessThan">
      <formula>0.5</formula>
    </cfRule>
  </conditionalFormatting>
  <conditionalFormatting sqref="AT57">
    <cfRule type="cellIs" dxfId="17404" priority="141002" stopIfTrue="1" operator="greaterThanOrEqual">
      <formula>0.5</formula>
    </cfRule>
  </conditionalFormatting>
  <conditionalFormatting sqref="AT58">
    <cfRule type="cellIs" dxfId="17403" priority="141003" stopIfTrue="1" operator="equal">
      <formula>-1</formula>
    </cfRule>
  </conditionalFormatting>
  <conditionalFormatting sqref="AT58">
    <cfRule type="cellIs" dxfId="17402" priority="141004" stopIfTrue="1" operator="lessThan">
      <formula>0.5</formula>
    </cfRule>
  </conditionalFormatting>
  <conditionalFormatting sqref="AT58">
    <cfRule type="cellIs" dxfId="17401" priority="141005" stopIfTrue="1" operator="greaterThanOrEqual">
      <formula>0.5</formula>
    </cfRule>
  </conditionalFormatting>
  <conditionalFormatting sqref="AV39">
    <cfRule type="cellIs" dxfId="17400" priority="141006" stopIfTrue="1" operator="equal">
      <formula>-1</formula>
    </cfRule>
  </conditionalFormatting>
  <conditionalFormatting sqref="AV39">
    <cfRule type="cellIs" dxfId="17399" priority="141007" stopIfTrue="1" operator="lessThan">
      <formula>0.5</formula>
    </cfRule>
  </conditionalFormatting>
  <conditionalFormatting sqref="AV39">
    <cfRule type="cellIs" dxfId="17398" priority="141008" stopIfTrue="1" operator="greaterThanOrEqual">
      <formula>0.5</formula>
    </cfRule>
  </conditionalFormatting>
  <conditionalFormatting sqref="AV40">
    <cfRule type="cellIs" dxfId="17397" priority="141009" stopIfTrue="1" operator="equal">
      <formula>-1</formula>
    </cfRule>
  </conditionalFormatting>
  <conditionalFormatting sqref="AV40">
    <cfRule type="cellIs" dxfId="17396" priority="141010" stopIfTrue="1" operator="lessThan">
      <formula>0.5</formula>
    </cfRule>
  </conditionalFormatting>
  <conditionalFormatting sqref="AV40">
    <cfRule type="cellIs" dxfId="17395" priority="141011" stopIfTrue="1" operator="greaterThanOrEqual">
      <formula>0.5</formula>
    </cfRule>
  </conditionalFormatting>
  <conditionalFormatting sqref="AV41">
    <cfRule type="cellIs" dxfId="17394" priority="141012" stopIfTrue="1" operator="equal">
      <formula>-1</formula>
    </cfRule>
  </conditionalFormatting>
  <conditionalFormatting sqref="AV41">
    <cfRule type="cellIs" dxfId="17393" priority="141013" stopIfTrue="1" operator="lessThan">
      <formula>0.5</formula>
    </cfRule>
  </conditionalFormatting>
  <conditionalFormatting sqref="AV41">
    <cfRule type="cellIs" dxfId="17392" priority="141014" stopIfTrue="1" operator="greaterThanOrEqual">
      <formula>0.5</formula>
    </cfRule>
  </conditionalFormatting>
  <conditionalFormatting sqref="AV42">
    <cfRule type="cellIs" dxfId="17391" priority="141015" stopIfTrue="1" operator="equal">
      <formula>-1</formula>
    </cfRule>
  </conditionalFormatting>
  <conditionalFormatting sqref="AV42">
    <cfRule type="cellIs" dxfId="17390" priority="141016" stopIfTrue="1" operator="lessThan">
      <formula>0.5</formula>
    </cfRule>
  </conditionalFormatting>
  <conditionalFormatting sqref="AV42">
    <cfRule type="cellIs" dxfId="17389" priority="141017" stopIfTrue="1" operator="greaterThanOrEqual">
      <formula>0.5</formula>
    </cfRule>
  </conditionalFormatting>
  <conditionalFormatting sqref="AV43">
    <cfRule type="cellIs" dxfId="17388" priority="141018" stopIfTrue="1" operator="equal">
      <formula>-1</formula>
    </cfRule>
  </conditionalFormatting>
  <conditionalFormatting sqref="AV43">
    <cfRule type="cellIs" dxfId="17387" priority="141019" stopIfTrue="1" operator="lessThan">
      <formula>0.5</formula>
    </cfRule>
  </conditionalFormatting>
  <conditionalFormatting sqref="AV43">
    <cfRule type="cellIs" dxfId="17386" priority="141020" stopIfTrue="1" operator="greaterThanOrEqual">
      <formula>0.5</formula>
    </cfRule>
  </conditionalFormatting>
  <conditionalFormatting sqref="AV44">
    <cfRule type="cellIs" dxfId="17385" priority="141021" stopIfTrue="1" operator="equal">
      <formula>-1</formula>
    </cfRule>
  </conditionalFormatting>
  <conditionalFormatting sqref="AV44">
    <cfRule type="cellIs" dxfId="17384" priority="141022" stopIfTrue="1" operator="lessThan">
      <formula>0.5</formula>
    </cfRule>
  </conditionalFormatting>
  <conditionalFormatting sqref="AV44">
    <cfRule type="cellIs" dxfId="17383" priority="141023" stopIfTrue="1" operator="greaterThanOrEqual">
      <formula>0.5</formula>
    </cfRule>
  </conditionalFormatting>
  <conditionalFormatting sqref="AV45">
    <cfRule type="cellIs" dxfId="17382" priority="141024" stopIfTrue="1" operator="equal">
      <formula>-1</formula>
    </cfRule>
  </conditionalFormatting>
  <conditionalFormatting sqref="AV45">
    <cfRule type="cellIs" dxfId="17381" priority="141025" stopIfTrue="1" operator="lessThan">
      <formula>0.5</formula>
    </cfRule>
  </conditionalFormatting>
  <conditionalFormatting sqref="AV45">
    <cfRule type="cellIs" dxfId="17380" priority="141026" stopIfTrue="1" operator="greaterThanOrEqual">
      <formula>0.5</formula>
    </cfRule>
  </conditionalFormatting>
  <conditionalFormatting sqref="AV46">
    <cfRule type="cellIs" dxfId="17379" priority="141027" stopIfTrue="1" operator="equal">
      <formula>-1</formula>
    </cfRule>
  </conditionalFormatting>
  <conditionalFormatting sqref="AV46">
    <cfRule type="cellIs" dxfId="17378" priority="141028" stopIfTrue="1" operator="lessThan">
      <formula>0.5</formula>
    </cfRule>
  </conditionalFormatting>
  <conditionalFormatting sqref="AV46">
    <cfRule type="cellIs" dxfId="17377" priority="141029" stopIfTrue="1" operator="greaterThanOrEqual">
      <formula>0.5</formula>
    </cfRule>
  </conditionalFormatting>
  <conditionalFormatting sqref="AV47">
    <cfRule type="cellIs" dxfId="17376" priority="141030" stopIfTrue="1" operator="equal">
      <formula>-1</formula>
    </cfRule>
  </conditionalFormatting>
  <conditionalFormatting sqref="AV47">
    <cfRule type="cellIs" dxfId="17375" priority="141031" stopIfTrue="1" operator="lessThan">
      <formula>0.5</formula>
    </cfRule>
  </conditionalFormatting>
  <conditionalFormatting sqref="AV47">
    <cfRule type="cellIs" dxfId="17374" priority="141032" stopIfTrue="1" operator="greaterThanOrEqual">
      <formula>0.5</formula>
    </cfRule>
  </conditionalFormatting>
  <conditionalFormatting sqref="AV48">
    <cfRule type="cellIs" dxfId="17373" priority="141033" stopIfTrue="1" operator="equal">
      <formula>-1</formula>
    </cfRule>
  </conditionalFormatting>
  <conditionalFormatting sqref="AV48">
    <cfRule type="cellIs" dxfId="17372" priority="141034" stopIfTrue="1" operator="lessThan">
      <formula>0.5</formula>
    </cfRule>
  </conditionalFormatting>
  <conditionalFormatting sqref="AV48">
    <cfRule type="cellIs" dxfId="17371" priority="141035" stopIfTrue="1" operator="greaterThanOrEqual">
      <formula>0.5</formula>
    </cfRule>
  </conditionalFormatting>
  <conditionalFormatting sqref="AV49">
    <cfRule type="cellIs" dxfId="17370" priority="141036" stopIfTrue="1" operator="equal">
      <formula>-1</formula>
    </cfRule>
  </conditionalFormatting>
  <conditionalFormatting sqref="AV49">
    <cfRule type="cellIs" dxfId="17369" priority="141037" stopIfTrue="1" operator="lessThan">
      <formula>0.5</formula>
    </cfRule>
  </conditionalFormatting>
  <conditionalFormatting sqref="AV49">
    <cfRule type="cellIs" dxfId="17368" priority="141038" stopIfTrue="1" operator="greaterThanOrEqual">
      <formula>0.5</formula>
    </cfRule>
  </conditionalFormatting>
  <conditionalFormatting sqref="AV50">
    <cfRule type="cellIs" dxfId="17367" priority="141039" stopIfTrue="1" operator="equal">
      <formula>-1</formula>
    </cfRule>
  </conditionalFormatting>
  <conditionalFormatting sqref="AV50">
    <cfRule type="cellIs" dxfId="17366" priority="141040" stopIfTrue="1" operator="lessThan">
      <formula>0.5</formula>
    </cfRule>
  </conditionalFormatting>
  <conditionalFormatting sqref="AV50">
    <cfRule type="cellIs" dxfId="17365" priority="141041" stopIfTrue="1" operator="greaterThanOrEqual">
      <formula>0.5</formula>
    </cfRule>
  </conditionalFormatting>
  <conditionalFormatting sqref="AV51">
    <cfRule type="cellIs" dxfId="17364" priority="141042" stopIfTrue="1" operator="equal">
      <formula>-1</formula>
    </cfRule>
  </conditionalFormatting>
  <conditionalFormatting sqref="AV51">
    <cfRule type="cellIs" dxfId="17363" priority="141043" stopIfTrue="1" operator="lessThan">
      <formula>0.5</formula>
    </cfRule>
  </conditionalFormatting>
  <conditionalFormatting sqref="AV51">
    <cfRule type="cellIs" dxfId="17362" priority="141044" stopIfTrue="1" operator="greaterThanOrEqual">
      <formula>0.5</formula>
    </cfRule>
  </conditionalFormatting>
  <conditionalFormatting sqref="AV52">
    <cfRule type="cellIs" dxfId="17361" priority="141045" stopIfTrue="1" operator="equal">
      <formula>-1</formula>
    </cfRule>
  </conditionalFormatting>
  <conditionalFormatting sqref="AV52">
    <cfRule type="cellIs" dxfId="17360" priority="141046" stopIfTrue="1" operator="lessThan">
      <formula>0.5</formula>
    </cfRule>
  </conditionalFormatting>
  <conditionalFormatting sqref="AV52">
    <cfRule type="cellIs" dxfId="17359" priority="141047" stopIfTrue="1" operator="greaterThanOrEqual">
      <formula>0.5</formula>
    </cfRule>
  </conditionalFormatting>
  <conditionalFormatting sqref="AV53">
    <cfRule type="cellIs" dxfId="17358" priority="141048" stopIfTrue="1" operator="equal">
      <formula>-1</formula>
    </cfRule>
  </conditionalFormatting>
  <conditionalFormatting sqref="AV53">
    <cfRule type="cellIs" dxfId="17357" priority="141049" stopIfTrue="1" operator="lessThan">
      <formula>0.5</formula>
    </cfRule>
  </conditionalFormatting>
  <conditionalFormatting sqref="AV53">
    <cfRule type="cellIs" dxfId="17356" priority="141050" stopIfTrue="1" operator="greaterThanOrEqual">
      <formula>0.5</formula>
    </cfRule>
  </conditionalFormatting>
  <conditionalFormatting sqref="AV54">
    <cfRule type="cellIs" dxfId="17355" priority="141051" stopIfTrue="1" operator="equal">
      <formula>-1</formula>
    </cfRule>
  </conditionalFormatting>
  <conditionalFormatting sqref="AV54">
    <cfRule type="cellIs" dxfId="17354" priority="141052" stopIfTrue="1" operator="lessThan">
      <formula>0.5</formula>
    </cfRule>
  </conditionalFormatting>
  <conditionalFormatting sqref="AV54">
    <cfRule type="cellIs" dxfId="17353" priority="141053" stopIfTrue="1" operator="greaterThanOrEqual">
      <formula>0.5</formula>
    </cfRule>
  </conditionalFormatting>
  <conditionalFormatting sqref="AV55">
    <cfRule type="cellIs" dxfId="17352" priority="141054" stopIfTrue="1" operator="equal">
      <formula>-1</formula>
    </cfRule>
  </conditionalFormatting>
  <conditionalFormatting sqref="AV55">
    <cfRule type="cellIs" dxfId="17351" priority="141055" stopIfTrue="1" operator="lessThan">
      <formula>0.5</formula>
    </cfRule>
  </conditionalFormatting>
  <conditionalFormatting sqref="AV55">
    <cfRule type="cellIs" dxfId="17350" priority="141056" stopIfTrue="1" operator="greaterThanOrEqual">
      <formula>0.5</formula>
    </cfRule>
  </conditionalFormatting>
  <conditionalFormatting sqref="AV56">
    <cfRule type="cellIs" dxfId="17349" priority="141057" stopIfTrue="1" operator="equal">
      <formula>-1</formula>
    </cfRule>
  </conditionalFormatting>
  <conditionalFormatting sqref="AV56">
    <cfRule type="cellIs" dxfId="17348" priority="141058" stopIfTrue="1" operator="lessThan">
      <formula>0.5</formula>
    </cfRule>
  </conditionalFormatting>
  <conditionalFormatting sqref="AV56">
    <cfRule type="cellIs" dxfId="17347" priority="141059" stopIfTrue="1" operator="greaterThanOrEqual">
      <formula>0.5</formula>
    </cfRule>
  </conditionalFormatting>
  <conditionalFormatting sqref="AV57">
    <cfRule type="cellIs" dxfId="17346" priority="141060" stopIfTrue="1" operator="equal">
      <formula>-1</formula>
    </cfRule>
  </conditionalFormatting>
  <conditionalFormatting sqref="AV57">
    <cfRule type="cellIs" dxfId="17345" priority="141061" stopIfTrue="1" operator="lessThan">
      <formula>0.5</formula>
    </cfRule>
  </conditionalFormatting>
  <conditionalFormatting sqref="AV57">
    <cfRule type="cellIs" dxfId="17344" priority="141062" stopIfTrue="1" operator="greaterThanOrEqual">
      <formula>0.5</formula>
    </cfRule>
  </conditionalFormatting>
  <conditionalFormatting sqref="AV58">
    <cfRule type="cellIs" dxfId="17343" priority="141063" stopIfTrue="1" operator="equal">
      <formula>-1</formula>
    </cfRule>
  </conditionalFormatting>
  <conditionalFormatting sqref="AV58">
    <cfRule type="cellIs" dxfId="17342" priority="141064" stopIfTrue="1" operator="lessThan">
      <formula>0.5</formula>
    </cfRule>
  </conditionalFormatting>
  <conditionalFormatting sqref="AV58">
    <cfRule type="cellIs" dxfId="17341" priority="141065" stopIfTrue="1" operator="greaterThanOrEqual">
      <formula>0.5</formula>
    </cfRule>
  </conditionalFormatting>
  <conditionalFormatting sqref="AX39">
    <cfRule type="cellIs" dxfId="17340" priority="141066" stopIfTrue="1" operator="equal">
      <formula>-1</formula>
    </cfRule>
  </conditionalFormatting>
  <conditionalFormatting sqref="AX39">
    <cfRule type="cellIs" dxfId="17339" priority="141067" stopIfTrue="1" operator="lessThan">
      <formula>0.5</formula>
    </cfRule>
  </conditionalFormatting>
  <conditionalFormatting sqref="AX39">
    <cfRule type="cellIs" dxfId="17338" priority="141068" stopIfTrue="1" operator="greaterThanOrEqual">
      <formula>0.5</formula>
    </cfRule>
  </conditionalFormatting>
  <conditionalFormatting sqref="AX40">
    <cfRule type="cellIs" dxfId="17337" priority="141069" stopIfTrue="1" operator="equal">
      <formula>-1</formula>
    </cfRule>
  </conditionalFormatting>
  <conditionalFormatting sqref="AX40">
    <cfRule type="cellIs" dxfId="17336" priority="141070" stopIfTrue="1" operator="lessThan">
      <formula>0.5</formula>
    </cfRule>
  </conditionalFormatting>
  <conditionalFormatting sqref="AX40">
    <cfRule type="cellIs" dxfId="17335" priority="141071" stopIfTrue="1" operator="greaterThanOrEqual">
      <formula>0.5</formula>
    </cfRule>
  </conditionalFormatting>
  <conditionalFormatting sqref="AX41">
    <cfRule type="cellIs" dxfId="17334" priority="141072" stopIfTrue="1" operator="equal">
      <formula>-1</formula>
    </cfRule>
  </conditionalFormatting>
  <conditionalFormatting sqref="AX41">
    <cfRule type="cellIs" dxfId="17333" priority="141073" stopIfTrue="1" operator="lessThan">
      <formula>0.5</formula>
    </cfRule>
  </conditionalFormatting>
  <conditionalFormatting sqref="AX41">
    <cfRule type="cellIs" dxfId="17332" priority="141074" stopIfTrue="1" operator="greaterThanOrEqual">
      <formula>0.5</formula>
    </cfRule>
  </conditionalFormatting>
  <conditionalFormatting sqref="AX42">
    <cfRule type="cellIs" dxfId="17331" priority="141075" stopIfTrue="1" operator="equal">
      <formula>-1</formula>
    </cfRule>
  </conditionalFormatting>
  <conditionalFormatting sqref="AX42">
    <cfRule type="cellIs" dxfId="17330" priority="141076" stopIfTrue="1" operator="lessThan">
      <formula>0.5</formula>
    </cfRule>
  </conditionalFormatting>
  <conditionalFormatting sqref="AX42">
    <cfRule type="cellIs" dxfId="17329" priority="141077" stopIfTrue="1" operator="greaterThanOrEqual">
      <formula>0.5</formula>
    </cfRule>
  </conditionalFormatting>
  <conditionalFormatting sqref="AX43">
    <cfRule type="cellIs" dxfId="17328" priority="141078" stopIfTrue="1" operator="equal">
      <formula>-1</formula>
    </cfRule>
  </conditionalFormatting>
  <conditionalFormatting sqref="AX43">
    <cfRule type="cellIs" dxfId="17327" priority="141079" stopIfTrue="1" operator="lessThan">
      <formula>0.5</formula>
    </cfRule>
  </conditionalFormatting>
  <conditionalFormatting sqref="AX43">
    <cfRule type="cellIs" dxfId="17326" priority="141080" stopIfTrue="1" operator="greaterThanOrEqual">
      <formula>0.5</formula>
    </cfRule>
  </conditionalFormatting>
  <conditionalFormatting sqref="AX44">
    <cfRule type="cellIs" dxfId="17325" priority="141081" stopIfTrue="1" operator="equal">
      <formula>-1</formula>
    </cfRule>
  </conditionalFormatting>
  <conditionalFormatting sqref="AX44">
    <cfRule type="cellIs" dxfId="17324" priority="141082" stopIfTrue="1" operator="lessThan">
      <formula>0.5</formula>
    </cfRule>
  </conditionalFormatting>
  <conditionalFormatting sqref="AX44">
    <cfRule type="cellIs" dxfId="17323" priority="141083" stopIfTrue="1" operator="greaterThanOrEqual">
      <formula>0.5</formula>
    </cfRule>
  </conditionalFormatting>
  <conditionalFormatting sqref="AX45">
    <cfRule type="cellIs" dxfId="17322" priority="141084" stopIfTrue="1" operator="equal">
      <formula>-1</formula>
    </cfRule>
  </conditionalFormatting>
  <conditionalFormatting sqref="AX45">
    <cfRule type="cellIs" dxfId="17321" priority="141085" stopIfTrue="1" operator="lessThan">
      <formula>0.5</formula>
    </cfRule>
  </conditionalFormatting>
  <conditionalFormatting sqref="AX45">
    <cfRule type="cellIs" dxfId="17320" priority="141086" stopIfTrue="1" operator="greaterThanOrEqual">
      <formula>0.5</formula>
    </cfRule>
  </conditionalFormatting>
  <conditionalFormatting sqref="AX46">
    <cfRule type="cellIs" dxfId="17319" priority="141087" stopIfTrue="1" operator="equal">
      <formula>-1</formula>
    </cfRule>
  </conditionalFormatting>
  <conditionalFormatting sqref="AX46">
    <cfRule type="cellIs" dxfId="17318" priority="141088" stopIfTrue="1" operator="lessThan">
      <formula>0.5</formula>
    </cfRule>
  </conditionalFormatting>
  <conditionalFormatting sqref="AX46">
    <cfRule type="cellIs" dxfId="17317" priority="141089" stopIfTrue="1" operator="greaterThanOrEqual">
      <formula>0.5</formula>
    </cfRule>
  </conditionalFormatting>
  <conditionalFormatting sqref="AX47">
    <cfRule type="cellIs" dxfId="17316" priority="141090" stopIfTrue="1" operator="equal">
      <formula>-1</formula>
    </cfRule>
  </conditionalFormatting>
  <conditionalFormatting sqref="AX47">
    <cfRule type="cellIs" dxfId="17315" priority="141091" stopIfTrue="1" operator="lessThan">
      <formula>0.5</formula>
    </cfRule>
  </conditionalFormatting>
  <conditionalFormatting sqref="AX47">
    <cfRule type="cellIs" dxfId="17314" priority="141092" stopIfTrue="1" operator="greaterThanOrEqual">
      <formula>0.5</formula>
    </cfRule>
  </conditionalFormatting>
  <conditionalFormatting sqref="AX48">
    <cfRule type="cellIs" dxfId="17313" priority="141093" stopIfTrue="1" operator="equal">
      <formula>-1</formula>
    </cfRule>
  </conditionalFormatting>
  <conditionalFormatting sqref="AX48">
    <cfRule type="cellIs" dxfId="17312" priority="141094" stopIfTrue="1" operator="lessThan">
      <formula>0.5</formula>
    </cfRule>
  </conditionalFormatting>
  <conditionalFormatting sqref="AX48">
    <cfRule type="cellIs" dxfId="17311" priority="141095" stopIfTrue="1" operator="greaterThanOrEqual">
      <formula>0.5</formula>
    </cfRule>
  </conditionalFormatting>
  <conditionalFormatting sqref="AX49">
    <cfRule type="cellIs" dxfId="17310" priority="141096" stopIfTrue="1" operator="equal">
      <formula>-1</formula>
    </cfRule>
  </conditionalFormatting>
  <conditionalFormatting sqref="AX49">
    <cfRule type="cellIs" dxfId="17309" priority="141097" stopIfTrue="1" operator="lessThan">
      <formula>0.5</formula>
    </cfRule>
  </conditionalFormatting>
  <conditionalFormatting sqref="AX49">
    <cfRule type="cellIs" dxfId="17308" priority="141098" stopIfTrue="1" operator="greaterThanOrEqual">
      <formula>0.5</formula>
    </cfRule>
  </conditionalFormatting>
  <conditionalFormatting sqref="AX50">
    <cfRule type="cellIs" dxfId="17307" priority="141099" stopIfTrue="1" operator="equal">
      <formula>-1</formula>
    </cfRule>
  </conditionalFormatting>
  <conditionalFormatting sqref="AX50">
    <cfRule type="cellIs" dxfId="17306" priority="141100" stopIfTrue="1" operator="lessThan">
      <formula>0.5</formula>
    </cfRule>
  </conditionalFormatting>
  <conditionalFormatting sqref="AX50">
    <cfRule type="cellIs" dxfId="17305" priority="141101" stopIfTrue="1" operator="greaterThanOrEqual">
      <formula>0.5</formula>
    </cfRule>
  </conditionalFormatting>
  <conditionalFormatting sqref="AX51">
    <cfRule type="cellIs" dxfId="17304" priority="141102" stopIfTrue="1" operator="equal">
      <formula>-1</formula>
    </cfRule>
  </conditionalFormatting>
  <conditionalFormatting sqref="AX51">
    <cfRule type="cellIs" dxfId="17303" priority="141103" stopIfTrue="1" operator="lessThan">
      <formula>0.5</formula>
    </cfRule>
  </conditionalFormatting>
  <conditionalFormatting sqref="AX51">
    <cfRule type="cellIs" dxfId="17302" priority="141104" stopIfTrue="1" operator="greaterThanOrEqual">
      <formula>0.5</formula>
    </cfRule>
  </conditionalFormatting>
  <conditionalFormatting sqref="AX52">
    <cfRule type="cellIs" dxfId="17301" priority="141105" stopIfTrue="1" operator="equal">
      <formula>-1</formula>
    </cfRule>
  </conditionalFormatting>
  <conditionalFormatting sqref="AX52">
    <cfRule type="cellIs" dxfId="17300" priority="141106" stopIfTrue="1" operator="lessThan">
      <formula>0.5</formula>
    </cfRule>
  </conditionalFormatting>
  <conditionalFormatting sqref="AX52">
    <cfRule type="cellIs" dxfId="17299" priority="141107" stopIfTrue="1" operator="greaterThanOrEqual">
      <formula>0.5</formula>
    </cfRule>
  </conditionalFormatting>
  <conditionalFormatting sqref="AX53">
    <cfRule type="cellIs" dxfId="17298" priority="141108" stopIfTrue="1" operator="equal">
      <formula>-1</formula>
    </cfRule>
  </conditionalFormatting>
  <conditionalFormatting sqref="AX53">
    <cfRule type="cellIs" dxfId="17297" priority="141109" stopIfTrue="1" operator="lessThan">
      <formula>0.5</formula>
    </cfRule>
  </conditionalFormatting>
  <conditionalFormatting sqref="AX53">
    <cfRule type="cellIs" dxfId="17296" priority="141110" stopIfTrue="1" operator="greaterThanOrEqual">
      <formula>0.5</formula>
    </cfRule>
  </conditionalFormatting>
  <conditionalFormatting sqref="AX54">
    <cfRule type="cellIs" dxfId="17295" priority="141111" stopIfTrue="1" operator="equal">
      <formula>-1</formula>
    </cfRule>
  </conditionalFormatting>
  <conditionalFormatting sqref="AX54">
    <cfRule type="cellIs" dxfId="17294" priority="141112" stopIfTrue="1" operator="lessThan">
      <formula>0.5</formula>
    </cfRule>
  </conditionalFormatting>
  <conditionalFormatting sqref="AX54">
    <cfRule type="cellIs" dxfId="17293" priority="141113" stopIfTrue="1" operator="greaterThanOrEqual">
      <formula>0.5</formula>
    </cfRule>
  </conditionalFormatting>
  <conditionalFormatting sqref="AX55">
    <cfRule type="cellIs" dxfId="17292" priority="141114" stopIfTrue="1" operator="equal">
      <formula>-1</formula>
    </cfRule>
  </conditionalFormatting>
  <conditionalFormatting sqref="AX55">
    <cfRule type="cellIs" dxfId="17291" priority="141115" stopIfTrue="1" operator="lessThan">
      <formula>0.5</formula>
    </cfRule>
  </conditionalFormatting>
  <conditionalFormatting sqref="AX55">
    <cfRule type="cellIs" dxfId="17290" priority="141116" stopIfTrue="1" operator="greaterThanOrEqual">
      <formula>0.5</formula>
    </cfRule>
  </conditionalFormatting>
  <conditionalFormatting sqref="AX56">
    <cfRule type="cellIs" dxfId="17289" priority="141117" stopIfTrue="1" operator="equal">
      <formula>-1</formula>
    </cfRule>
  </conditionalFormatting>
  <conditionalFormatting sqref="AX56">
    <cfRule type="cellIs" dxfId="17288" priority="141118" stopIfTrue="1" operator="lessThan">
      <formula>0.5</formula>
    </cfRule>
  </conditionalFormatting>
  <conditionalFormatting sqref="AX56">
    <cfRule type="cellIs" dxfId="17287" priority="141119" stopIfTrue="1" operator="greaterThanOrEqual">
      <formula>0.5</formula>
    </cfRule>
  </conditionalFormatting>
  <conditionalFormatting sqref="AX57">
    <cfRule type="cellIs" dxfId="17286" priority="141120" stopIfTrue="1" operator="equal">
      <formula>-1</formula>
    </cfRule>
  </conditionalFormatting>
  <conditionalFormatting sqref="AX57">
    <cfRule type="cellIs" dxfId="17285" priority="141121" stopIfTrue="1" operator="lessThan">
      <formula>0.5</formula>
    </cfRule>
  </conditionalFormatting>
  <conditionalFormatting sqref="AX57">
    <cfRule type="cellIs" dxfId="17284" priority="141122" stopIfTrue="1" operator="greaterThanOrEqual">
      <formula>0.5</formula>
    </cfRule>
  </conditionalFormatting>
  <conditionalFormatting sqref="AX58">
    <cfRule type="cellIs" dxfId="17283" priority="141123" stopIfTrue="1" operator="equal">
      <formula>-1</formula>
    </cfRule>
  </conditionalFormatting>
  <conditionalFormatting sqref="AX58">
    <cfRule type="cellIs" dxfId="17282" priority="141124" stopIfTrue="1" operator="lessThan">
      <formula>0.5</formula>
    </cfRule>
  </conditionalFormatting>
  <conditionalFormatting sqref="AX58">
    <cfRule type="cellIs" dxfId="17281" priority="141125" stopIfTrue="1" operator="greaterThanOrEqual">
      <formula>0.5</formula>
    </cfRule>
  </conditionalFormatting>
  <conditionalFormatting sqref="AZ39">
    <cfRule type="cellIs" dxfId="17280" priority="141126" stopIfTrue="1" operator="equal">
      <formula>-1</formula>
    </cfRule>
  </conditionalFormatting>
  <conditionalFormatting sqref="AZ39">
    <cfRule type="cellIs" dxfId="17279" priority="141127" stopIfTrue="1" operator="lessThan">
      <formula>0.5</formula>
    </cfRule>
  </conditionalFormatting>
  <conditionalFormatting sqref="AZ39">
    <cfRule type="cellIs" dxfId="17278" priority="141128" stopIfTrue="1" operator="greaterThanOrEqual">
      <formula>0.5</formula>
    </cfRule>
  </conditionalFormatting>
  <conditionalFormatting sqref="AZ40">
    <cfRule type="cellIs" dxfId="17277" priority="141129" stopIfTrue="1" operator="equal">
      <formula>-1</formula>
    </cfRule>
  </conditionalFormatting>
  <conditionalFormatting sqref="AZ40">
    <cfRule type="cellIs" dxfId="17276" priority="141130" stopIfTrue="1" operator="lessThan">
      <formula>0.5</formula>
    </cfRule>
  </conditionalFormatting>
  <conditionalFormatting sqref="AZ40">
    <cfRule type="cellIs" dxfId="17275" priority="141131" stopIfTrue="1" operator="greaterThanOrEqual">
      <formula>0.5</formula>
    </cfRule>
  </conditionalFormatting>
  <conditionalFormatting sqref="AZ41">
    <cfRule type="cellIs" dxfId="17274" priority="141132" stopIfTrue="1" operator="equal">
      <formula>-1</formula>
    </cfRule>
  </conditionalFormatting>
  <conditionalFormatting sqref="AZ41">
    <cfRule type="cellIs" dxfId="17273" priority="141133" stopIfTrue="1" operator="lessThan">
      <formula>0.5</formula>
    </cfRule>
  </conditionalFormatting>
  <conditionalFormatting sqref="AZ41">
    <cfRule type="cellIs" dxfId="17272" priority="141134" stopIfTrue="1" operator="greaterThanOrEqual">
      <formula>0.5</formula>
    </cfRule>
  </conditionalFormatting>
  <conditionalFormatting sqref="AZ42">
    <cfRule type="cellIs" dxfId="17271" priority="141135" stopIfTrue="1" operator="equal">
      <formula>-1</formula>
    </cfRule>
  </conditionalFormatting>
  <conditionalFormatting sqref="AZ42">
    <cfRule type="cellIs" dxfId="17270" priority="141136" stopIfTrue="1" operator="lessThan">
      <formula>0.5</formula>
    </cfRule>
  </conditionalFormatting>
  <conditionalFormatting sqref="AZ42">
    <cfRule type="cellIs" dxfId="17269" priority="141137" stopIfTrue="1" operator="greaterThanOrEqual">
      <formula>0.5</formula>
    </cfRule>
  </conditionalFormatting>
  <conditionalFormatting sqref="AZ43">
    <cfRule type="cellIs" dxfId="17268" priority="141138" stopIfTrue="1" operator="equal">
      <formula>-1</formula>
    </cfRule>
  </conditionalFormatting>
  <conditionalFormatting sqref="AZ43">
    <cfRule type="cellIs" dxfId="17267" priority="141139" stopIfTrue="1" operator="lessThan">
      <formula>0.5</formula>
    </cfRule>
  </conditionalFormatting>
  <conditionalFormatting sqref="AZ43">
    <cfRule type="cellIs" dxfId="17266" priority="141140" stopIfTrue="1" operator="greaterThanOrEqual">
      <formula>0.5</formula>
    </cfRule>
  </conditionalFormatting>
  <conditionalFormatting sqref="AZ44">
    <cfRule type="cellIs" dxfId="17265" priority="141141" stopIfTrue="1" operator="equal">
      <formula>-1</formula>
    </cfRule>
  </conditionalFormatting>
  <conditionalFormatting sqref="AZ44">
    <cfRule type="cellIs" dxfId="17264" priority="141142" stopIfTrue="1" operator="lessThan">
      <formula>0.5</formula>
    </cfRule>
  </conditionalFormatting>
  <conditionalFormatting sqref="AZ44">
    <cfRule type="cellIs" dxfId="17263" priority="141143" stopIfTrue="1" operator="greaterThanOrEqual">
      <formula>0.5</formula>
    </cfRule>
  </conditionalFormatting>
  <conditionalFormatting sqref="AZ45">
    <cfRule type="cellIs" dxfId="17262" priority="141144" stopIfTrue="1" operator="equal">
      <formula>-1</formula>
    </cfRule>
  </conditionalFormatting>
  <conditionalFormatting sqref="AZ45">
    <cfRule type="cellIs" dxfId="17261" priority="141145" stopIfTrue="1" operator="lessThan">
      <formula>0.5</formula>
    </cfRule>
  </conditionalFormatting>
  <conditionalFormatting sqref="AZ45">
    <cfRule type="cellIs" dxfId="17260" priority="141146" stopIfTrue="1" operator="greaterThanOrEqual">
      <formula>0.5</formula>
    </cfRule>
  </conditionalFormatting>
  <conditionalFormatting sqref="AZ46">
    <cfRule type="cellIs" dxfId="17259" priority="141147" stopIfTrue="1" operator="equal">
      <formula>-1</formula>
    </cfRule>
  </conditionalFormatting>
  <conditionalFormatting sqref="AZ46">
    <cfRule type="cellIs" dxfId="17258" priority="141148" stopIfTrue="1" operator="lessThan">
      <formula>0.5</formula>
    </cfRule>
  </conditionalFormatting>
  <conditionalFormatting sqref="AZ46">
    <cfRule type="cellIs" dxfId="17257" priority="141149" stopIfTrue="1" operator="greaterThanOrEqual">
      <formula>0.5</formula>
    </cfRule>
  </conditionalFormatting>
  <conditionalFormatting sqref="AZ47">
    <cfRule type="cellIs" dxfId="17256" priority="141150" stopIfTrue="1" operator="equal">
      <formula>-1</formula>
    </cfRule>
  </conditionalFormatting>
  <conditionalFormatting sqref="AZ47">
    <cfRule type="cellIs" dxfId="17255" priority="141151" stopIfTrue="1" operator="lessThan">
      <formula>0.5</formula>
    </cfRule>
  </conditionalFormatting>
  <conditionalFormatting sqref="AZ47">
    <cfRule type="cellIs" dxfId="17254" priority="141152" stopIfTrue="1" operator="greaterThanOrEqual">
      <formula>0.5</formula>
    </cfRule>
  </conditionalFormatting>
  <conditionalFormatting sqref="AZ48">
    <cfRule type="cellIs" dxfId="17253" priority="141153" stopIfTrue="1" operator="equal">
      <formula>-1</formula>
    </cfRule>
  </conditionalFormatting>
  <conditionalFormatting sqref="AZ48">
    <cfRule type="cellIs" dxfId="17252" priority="141154" stopIfTrue="1" operator="lessThan">
      <formula>0.5</formula>
    </cfRule>
  </conditionalFormatting>
  <conditionalFormatting sqref="AZ48">
    <cfRule type="cellIs" dxfId="17251" priority="141155" stopIfTrue="1" operator="greaterThanOrEqual">
      <formula>0.5</formula>
    </cfRule>
  </conditionalFormatting>
  <conditionalFormatting sqref="AZ49">
    <cfRule type="cellIs" dxfId="17250" priority="141156" stopIfTrue="1" operator="equal">
      <formula>-1</formula>
    </cfRule>
  </conditionalFormatting>
  <conditionalFormatting sqref="AZ49">
    <cfRule type="cellIs" dxfId="17249" priority="141157" stopIfTrue="1" operator="lessThan">
      <formula>0.5</formula>
    </cfRule>
  </conditionalFormatting>
  <conditionalFormatting sqref="AZ49">
    <cfRule type="cellIs" dxfId="17248" priority="141158" stopIfTrue="1" operator="greaterThanOrEqual">
      <formula>0.5</formula>
    </cfRule>
  </conditionalFormatting>
  <conditionalFormatting sqref="AZ50">
    <cfRule type="cellIs" dxfId="17247" priority="141159" stopIfTrue="1" operator="equal">
      <formula>-1</formula>
    </cfRule>
  </conditionalFormatting>
  <conditionalFormatting sqref="AZ50">
    <cfRule type="cellIs" dxfId="17246" priority="141160" stopIfTrue="1" operator="lessThan">
      <formula>0.5</formula>
    </cfRule>
  </conditionalFormatting>
  <conditionalFormatting sqref="AZ50">
    <cfRule type="cellIs" dxfId="17245" priority="141161" stopIfTrue="1" operator="greaterThanOrEqual">
      <formula>0.5</formula>
    </cfRule>
  </conditionalFormatting>
  <conditionalFormatting sqref="AZ51">
    <cfRule type="cellIs" dxfId="17244" priority="141162" stopIfTrue="1" operator="equal">
      <formula>-1</formula>
    </cfRule>
  </conditionalFormatting>
  <conditionalFormatting sqref="AZ51">
    <cfRule type="cellIs" dxfId="17243" priority="141163" stopIfTrue="1" operator="lessThan">
      <formula>0.5</formula>
    </cfRule>
  </conditionalFormatting>
  <conditionalFormatting sqref="AZ51">
    <cfRule type="cellIs" dxfId="17242" priority="141164" stopIfTrue="1" operator="greaterThanOrEqual">
      <formula>0.5</formula>
    </cfRule>
  </conditionalFormatting>
  <conditionalFormatting sqref="AZ52">
    <cfRule type="cellIs" dxfId="17241" priority="141165" stopIfTrue="1" operator="equal">
      <formula>-1</formula>
    </cfRule>
  </conditionalFormatting>
  <conditionalFormatting sqref="AZ52">
    <cfRule type="cellIs" dxfId="17240" priority="141166" stopIfTrue="1" operator="lessThan">
      <formula>0.5</formula>
    </cfRule>
  </conditionalFormatting>
  <conditionalFormatting sqref="AZ52">
    <cfRule type="cellIs" dxfId="17239" priority="141167" stopIfTrue="1" operator="greaterThanOrEqual">
      <formula>0.5</formula>
    </cfRule>
  </conditionalFormatting>
  <conditionalFormatting sqref="AZ53">
    <cfRule type="cellIs" dxfId="17238" priority="141168" stopIfTrue="1" operator="equal">
      <formula>-1</formula>
    </cfRule>
  </conditionalFormatting>
  <conditionalFormatting sqref="AZ53">
    <cfRule type="cellIs" dxfId="17237" priority="141169" stopIfTrue="1" operator="lessThan">
      <formula>0.5</formula>
    </cfRule>
  </conditionalFormatting>
  <conditionalFormatting sqref="AZ53">
    <cfRule type="cellIs" dxfId="17236" priority="141170" stopIfTrue="1" operator="greaterThanOrEqual">
      <formula>0.5</formula>
    </cfRule>
  </conditionalFormatting>
  <conditionalFormatting sqref="AZ54">
    <cfRule type="cellIs" dxfId="17235" priority="141171" stopIfTrue="1" operator="equal">
      <formula>-1</formula>
    </cfRule>
  </conditionalFormatting>
  <conditionalFormatting sqref="AZ54">
    <cfRule type="cellIs" dxfId="17234" priority="141172" stopIfTrue="1" operator="lessThan">
      <formula>0.5</formula>
    </cfRule>
  </conditionalFormatting>
  <conditionalFormatting sqref="AZ54">
    <cfRule type="cellIs" dxfId="17233" priority="141173" stopIfTrue="1" operator="greaterThanOrEqual">
      <formula>0.5</formula>
    </cfRule>
  </conditionalFormatting>
  <conditionalFormatting sqref="AZ55">
    <cfRule type="cellIs" dxfId="17232" priority="141174" stopIfTrue="1" operator="equal">
      <formula>-1</formula>
    </cfRule>
  </conditionalFormatting>
  <conditionalFormatting sqref="AZ55">
    <cfRule type="cellIs" dxfId="17231" priority="141175" stopIfTrue="1" operator="lessThan">
      <formula>0.5</formula>
    </cfRule>
  </conditionalFormatting>
  <conditionalFormatting sqref="AZ55">
    <cfRule type="cellIs" dxfId="17230" priority="141176" stopIfTrue="1" operator="greaterThanOrEqual">
      <formula>0.5</formula>
    </cfRule>
  </conditionalFormatting>
  <conditionalFormatting sqref="AZ56">
    <cfRule type="cellIs" dxfId="17229" priority="141177" stopIfTrue="1" operator="equal">
      <formula>-1</formula>
    </cfRule>
  </conditionalFormatting>
  <conditionalFormatting sqref="AZ56">
    <cfRule type="cellIs" dxfId="17228" priority="141178" stopIfTrue="1" operator="lessThan">
      <formula>0.5</formula>
    </cfRule>
  </conditionalFormatting>
  <conditionalFormatting sqref="AZ56">
    <cfRule type="cellIs" dxfId="17227" priority="141179" stopIfTrue="1" operator="greaterThanOrEqual">
      <formula>0.5</formula>
    </cfRule>
  </conditionalFormatting>
  <conditionalFormatting sqref="AZ57">
    <cfRule type="cellIs" dxfId="17226" priority="141180" stopIfTrue="1" operator="equal">
      <formula>-1</formula>
    </cfRule>
  </conditionalFormatting>
  <conditionalFormatting sqref="AZ57">
    <cfRule type="cellIs" dxfId="17225" priority="141181" stopIfTrue="1" operator="lessThan">
      <formula>0.5</formula>
    </cfRule>
  </conditionalFormatting>
  <conditionalFormatting sqref="AZ57">
    <cfRule type="cellIs" dxfId="17224" priority="141182" stopIfTrue="1" operator="greaterThanOrEqual">
      <formula>0.5</formula>
    </cfRule>
  </conditionalFormatting>
  <conditionalFormatting sqref="AZ58">
    <cfRule type="cellIs" dxfId="17223" priority="141183" stopIfTrue="1" operator="equal">
      <formula>-1</formula>
    </cfRule>
  </conditionalFormatting>
  <conditionalFormatting sqref="AZ58">
    <cfRule type="cellIs" dxfId="17222" priority="141184" stopIfTrue="1" operator="lessThan">
      <formula>0.5</formula>
    </cfRule>
  </conditionalFormatting>
  <conditionalFormatting sqref="AZ58">
    <cfRule type="cellIs" dxfId="17221" priority="141185" stopIfTrue="1" operator="greaterThanOrEqual">
      <formula>0.5</formula>
    </cfRule>
  </conditionalFormatting>
  <conditionalFormatting sqref="BB39">
    <cfRule type="cellIs" dxfId="17220" priority="141186" stopIfTrue="1" operator="equal">
      <formula>-1</formula>
    </cfRule>
  </conditionalFormatting>
  <conditionalFormatting sqref="BB39">
    <cfRule type="cellIs" dxfId="17219" priority="141187" stopIfTrue="1" operator="lessThan">
      <formula>0.5</formula>
    </cfRule>
  </conditionalFormatting>
  <conditionalFormatting sqref="BB39">
    <cfRule type="cellIs" dxfId="17218" priority="141188" stopIfTrue="1" operator="greaterThanOrEqual">
      <formula>0.5</formula>
    </cfRule>
  </conditionalFormatting>
  <conditionalFormatting sqref="BB40">
    <cfRule type="cellIs" dxfId="17217" priority="141189" stopIfTrue="1" operator="equal">
      <formula>-1</formula>
    </cfRule>
  </conditionalFormatting>
  <conditionalFormatting sqref="BB40">
    <cfRule type="cellIs" dxfId="17216" priority="141190" stopIfTrue="1" operator="lessThan">
      <formula>0.5</formula>
    </cfRule>
  </conditionalFormatting>
  <conditionalFormatting sqref="BB40">
    <cfRule type="cellIs" dxfId="17215" priority="141191" stopIfTrue="1" operator="greaterThanOrEqual">
      <formula>0.5</formula>
    </cfRule>
  </conditionalFormatting>
  <conditionalFormatting sqref="BB41">
    <cfRule type="cellIs" dxfId="17214" priority="141192" stopIfTrue="1" operator="equal">
      <formula>-1</formula>
    </cfRule>
  </conditionalFormatting>
  <conditionalFormatting sqref="BB41">
    <cfRule type="cellIs" dxfId="17213" priority="141193" stopIfTrue="1" operator="lessThan">
      <formula>0.5</formula>
    </cfRule>
  </conditionalFormatting>
  <conditionalFormatting sqref="BB41">
    <cfRule type="cellIs" dxfId="17212" priority="141194" stopIfTrue="1" operator="greaterThanOrEqual">
      <formula>0.5</formula>
    </cfRule>
  </conditionalFormatting>
  <conditionalFormatting sqref="BB42">
    <cfRule type="cellIs" dxfId="17211" priority="141195" stopIfTrue="1" operator="equal">
      <formula>-1</formula>
    </cfRule>
  </conditionalFormatting>
  <conditionalFormatting sqref="BB42">
    <cfRule type="cellIs" dxfId="17210" priority="141196" stopIfTrue="1" operator="lessThan">
      <formula>0.5</formula>
    </cfRule>
  </conditionalFormatting>
  <conditionalFormatting sqref="BB42">
    <cfRule type="cellIs" dxfId="17209" priority="141197" stopIfTrue="1" operator="greaterThanOrEqual">
      <formula>0.5</formula>
    </cfRule>
  </conditionalFormatting>
  <conditionalFormatting sqref="BB43">
    <cfRule type="cellIs" dxfId="17208" priority="141198" stopIfTrue="1" operator="equal">
      <formula>-1</formula>
    </cfRule>
  </conditionalFormatting>
  <conditionalFormatting sqref="BB43">
    <cfRule type="cellIs" dxfId="17207" priority="141199" stopIfTrue="1" operator="lessThan">
      <formula>0.5</formula>
    </cfRule>
  </conditionalFormatting>
  <conditionalFormatting sqref="BB43">
    <cfRule type="cellIs" dxfId="17206" priority="141200" stopIfTrue="1" operator="greaterThanOrEqual">
      <formula>0.5</formula>
    </cfRule>
  </conditionalFormatting>
  <conditionalFormatting sqref="BB44">
    <cfRule type="cellIs" dxfId="17205" priority="141201" stopIfTrue="1" operator="equal">
      <formula>-1</formula>
    </cfRule>
  </conditionalFormatting>
  <conditionalFormatting sqref="BB44">
    <cfRule type="cellIs" dxfId="17204" priority="141202" stopIfTrue="1" operator="lessThan">
      <formula>0.5</formula>
    </cfRule>
  </conditionalFormatting>
  <conditionalFormatting sqref="BB44">
    <cfRule type="cellIs" dxfId="17203" priority="141203" stopIfTrue="1" operator="greaterThanOrEqual">
      <formula>0.5</formula>
    </cfRule>
  </conditionalFormatting>
  <conditionalFormatting sqref="BB45">
    <cfRule type="cellIs" dxfId="17202" priority="141204" stopIfTrue="1" operator="equal">
      <formula>-1</formula>
    </cfRule>
  </conditionalFormatting>
  <conditionalFormatting sqref="BB45">
    <cfRule type="cellIs" dxfId="17201" priority="141205" stopIfTrue="1" operator="lessThan">
      <formula>0.5</formula>
    </cfRule>
  </conditionalFormatting>
  <conditionalFormatting sqref="BB45">
    <cfRule type="cellIs" dxfId="17200" priority="141206" stopIfTrue="1" operator="greaterThanOrEqual">
      <formula>0.5</formula>
    </cfRule>
  </conditionalFormatting>
  <conditionalFormatting sqref="BB46">
    <cfRule type="cellIs" dxfId="17199" priority="141207" stopIfTrue="1" operator="equal">
      <formula>-1</formula>
    </cfRule>
  </conditionalFormatting>
  <conditionalFormatting sqref="BB46">
    <cfRule type="cellIs" dxfId="17198" priority="141208" stopIfTrue="1" operator="lessThan">
      <formula>0.5</formula>
    </cfRule>
  </conditionalFormatting>
  <conditionalFormatting sqref="BB46">
    <cfRule type="cellIs" dxfId="17197" priority="141209" stopIfTrue="1" operator="greaterThanOrEqual">
      <formula>0.5</formula>
    </cfRule>
  </conditionalFormatting>
  <conditionalFormatting sqref="BB47">
    <cfRule type="cellIs" dxfId="17196" priority="141210" stopIfTrue="1" operator="equal">
      <formula>-1</formula>
    </cfRule>
  </conditionalFormatting>
  <conditionalFormatting sqref="BB47">
    <cfRule type="cellIs" dxfId="17195" priority="141211" stopIfTrue="1" operator="lessThan">
      <formula>0.5</formula>
    </cfRule>
  </conditionalFormatting>
  <conditionalFormatting sqref="BB47">
    <cfRule type="cellIs" dxfId="17194" priority="141212" stopIfTrue="1" operator="greaterThanOrEqual">
      <formula>0.5</formula>
    </cfRule>
  </conditionalFormatting>
  <conditionalFormatting sqref="BB48">
    <cfRule type="cellIs" dxfId="17193" priority="141213" stopIfTrue="1" operator="equal">
      <formula>-1</formula>
    </cfRule>
  </conditionalFormatting>
  <conditionalFormatting sqref="BB48">
    <cfRule type="cellIs" dxfId="17192" priority="141214" stopIfTrue="1" operator="lessThan">
      <formula>0.5</formula>
    </cfRule>
  </conditionalFormatting>
  <conditionalFormatting sqref="BB48">
    <cfRule type="cellIs" dxfId="17191" priority="141215" stopIfTrue="1" operator="greaterThanOrEqual">
      <formula>0.5</formula>
    </cfRule>
  </conditionalFormatting>
  <conditionalFormatting sqref="BB49">
    <cfRule type="cellIs" dxfId="17190" priority="141216" stopIfTrue="1" operator="equal">
      <formula>-1</formula>
    </cfRule>
  </conditionalFormatting>
  <conditionalFormatting sqref="BB49">
    <cfRule type="cellIs" dxfId="17189" priority="141217" stopIfTrue="1" operator="lessThan">
      <formula>0.5</formula>
    </cfRule>
  </conditionalFormatting>
  <conditionalFormatting sqref="BB49">
    <cfRule type="cellIs" dxfId="17188" priority="141218" stopIfTrue="1" operator="greaterThanOrEqual">
      <formula>0.5</formula>
    </cfRule>
  </conditionalFormatting>
  <conditionalFormatting sqref="BB50">
    <cfRule type="cellIs" dxfId="17187" priority="141219" stopIfTrue="1" operator="equal">
      <formula>-1</formula>
    </cfRule>
  </conditionalFormatting>
  <conditionalFormatting sqref="BB50">
    <cfRule type="cellIs" dxfId="17186" priority="141220" stopIfTrue="1" operator="lessThan">
      <formula>0.5</formula>
    </cfRule>
  </conditionalFormatting>
  <conditionalFormatting sqref="BB50">
    <cfRule type="cellIs" dxfId="17185" priority="141221" stopIfTrue="1" operator="greaterThanOrEqual">
      <formula>0.5</formula>
    </cfRule>
  </conditionalFormatting>
  <conditionalFormatting sqref="BB51">
    <cfRule type="cellIs" dxfId="17184" priority="141222" stopIfTrue="1" operator="equal">
      <formula>-1</formula>
    </cfRule>
  </conditionalFormatting>
  <conditionalFormatting sqref="BB51">
    <cfRule type="cellIs" dxfId="17183" priority="141223" stopIfTrue="1" operator="lessThan">
      <formula>0.5</formula>
    </cfRule>
  </conditionalFormatting>
  <conditionalFormatting sqref="BB51">
    <cfRule type="cellIs" dxfId="17182" priority="141224" stopIfTrue="1" operator="greaterThanOrEqual">
      <formula>0.5</formula>
    </cfRule>
  </conditionalFormatting>
  <conditionalFormatting sqref="BB52">
    <cfRule type="cellIs" dxfId="17181" priority="141225" stopIfTrue="1" operator="equal">
      <formula>-1</formula>
    </cfRule>
  </conditionalFormatting>
  <conditionalFormatting sqref="BB52">
    <cfRule type="cellIs" dxfId="17180" priority="141226" stopIfTrue="1" operator="lessThan">
      <formula>0.5</formula>
    </cfRule>
  </conditionalFormatting>
  <conditionalFormatting sqref="BB52">
    <cfRule type="cellIs" dxfId="17179" priority="141227" stopIfTrue="1" operator="greaterThanOrEqual">
      <formula>0.5</formula>
    </cfRule>
  </conditionalFormatting>
  <conditionalFormatting sqref="BB53">
    <cfRule type="cellIs" dxfId="17178" priority="141228" stopIfTrue="1" operator="equal">
      <formula>-1</formula>
    </cfRule>
  </conditionalFormatting>
  <conditionalFormatting sqref="BB53">
    <cfRule type="cellIs" dxfId="17177" priority="141229" stopIfTrue="1" operator="lessThan">
      <formula>0.5</formula>
    </cfRule>
  </conditionalFormatting>
  <conditionalFormatting sqref="BB53">
    <cfRule type="cellIs" dxfId="17176" priority="141230" stopIfTrue="1" operator="greaterThanOrEqual">
      <formula>0.5</formula>
    </cfRule>
  </conditionalFormatting>
  <conditionalFormatting sqref="BB54">
    <cfRule type="cellIs" dxfId="17175" priority="141231" stopIfTrue="1" operator="equal">
      <formula>-1</formula>
    </cfRule>
  </conditionalFormatting>
  <conditionalFormatting sqref="BB54">
    <cfRule type="cellIs" dxfId="17174" priority="141232" stopIfTrue="1" operator="lessThan">
      <formula>0.5</formula>
    </cfRule>
  </conditionalFormatting>
  <conditionalFormatting sqref="BB54">
    <cfRule type="cellIs" dxfId="17173" priority="141233" stopIfTrue="1" operator="greaterThanOrEqual">
      <formula>0.5</formula>
    </cfRule>
  </conditionalFormatting>
  <conditionalFormatting sqref="BB55">
    <cfRule type="cellIs" dxfId="17172" priority="141234" stopIfTrue="1" operator="equal">
      <formula>-1</formula>
    </cfRule>
  </conditionalFormatting>
  <conditionalFormatting sqref="BB55">
    <cfRule type="cellIs" dxfId="17171" priority="141235" stopIfTrue="1" operator="lessThan">
      <formula>0.5</formula>
    </cfRule>
  </conditionalFormatting>
  <conditionalFormatting sqref="BB55">
    <cfRule type="cellIs" dxfId="17170" priority="141236" stopIfTrue="1" operator="greaterThanOrEqual">
      <formula>0.5</formula>
    </cfRule>
  </conditionalFormatting>
  <conditionalFormatting sqref="BB56">
    <cfRule type="cellIs" dxfId="17169" priority="141237" stopIfTrue="1" operator="equal">
      <formula>-1</formula>
    </cfRule>
  </conditionalFormatting>
  <conditionalFormatting sqref="BB56">
    <cfRule type="cellIs" dxfId="17168" priority="141238" stopIfTrue="1" operator="lessThan">
      <formula>0.5</formula>
    </cfRule>
  </conditionalFormatting>
  <conditionalFormatting sqref="BB56">
    <cfRule type="cellIs" dxfId="17167" priority="141239" stopIfTrue="1" operator="greaterThanOrEqual">
      <formula>0.5</formula>
    </cfRule>
  </conditionalFormatting>
  <conditionalFormatting sqref="BB57">
    <cfRule type="cellIs" dxfId="17166" priority="141240" stopIfTrue="1" operator="equal">
      <formula>-1</formula>
    </cfRule>
  </conditionalFormatting>
  <conditionalFormatting sqref="BB57">
    <cfRule type="cellIs" dxfId="17165" priority="141241" stopIfTrue="1" operator="lessThan">
      <formula>0.5</formula>
    </cfRule>
  </conditionalFormatting>
  <conditionalFormatting sqref="BB57">
    <cfRule type="cellIs" dxfId="17164" priority="141242" stopIfTrue="1" operator="greaterThanOrEqual">
      <formula>0.5</formula>
    </cfRule>
  </conditionalFormatting>
  <conditionalFormatting sqref="BB58">
    <cfRule type="cellIs" dxfId="17163" priority="141243" stopIfTrue="1" operator="equal">
      <formula>-1</formula>
    </cfRule>
  </conditionalFormatting>
  <conditionalFormatting sqref="BB58">
    <cfRule type="cellIs" dxfId="17162" priority="141244" stopIfTrue="1" operator="lessThan">
      <formula>0.5</formula>
    </cfRule>
  </conditionalFormatting>
  <conditionalFormatting sqref="BB58">
    <cfRule type="cellIs" dxfId="17161" priority="141245" stopIfTrue="1" operator="greaterThanOrEqual">
      <formula>0.5</formula>
    </cfRule>
  </conditionalFormatting>
  <conditionalFormatting sqref="BD39">
    <cfRule type="cellIs" dxfId="17160" priority="141246" stopIfTrue="1" operator="equal">
      <formula>-1</formula>
    </cfRule>
  </conditionalFormatting>
  <conditionalFormatting sqref="BD39">
    <cfRule type="cellIs" dxfId="17159" priority="141247" stopIfTrue="1" operator="lessThan">
      <formula>0.5</formula>
    </cfRule>
  </conditionalFormatting>
  <conditionalFormatting sqref="BD39">
    <cfRule type="cellIs" dxfId="17158" priority="141248" stopIfTrue="1" operator="greaterThanOrEqual">
      <formula>0.5</formula>
    </cfRule>
  </conditionalFormatting>
  <conditionalFormatting sqref="BD40">
    <cfRule type="cellIs" dxfId="17157" priority="141249" stopIfTrue="1" operator="equal">
      <formula>-1</formula>
    </cfRule>
  </conditionalFormatting>
  <conditionalFormatting sqref="BD40">
    <cfRule type="cellIs" dxfId="17156" priority="141250" stopIfTrue="1" operator="lessThan">
      <formula>0.5</formula>
    </cfRule>
  </conditionalFormatting>
  <conditionalFormatting sqref="BD40">
    <cfRule type="cellIs" dxfId="17155" priority="141251" stopIfTrue="1" operator="greaterThanOrEqual">
      <formula>0.5</formula>
    </cfRule>
  </conditionalFormatting>
  <conditionalFormatting sqref="BD41">
    <cfRule type="cellIs" dxfId="17154" priority="141252" stopIfTrue="1" operator="equal">
      <formula>-1</formula>
    </cfRule>
  </conditionalFormatting>
  <conditionalFormatting sqref="BD41">
    <cfRule type="cellIs" dxfId="17153" priority="141253" stopIfTrue="1" operator="lessThan">
      <formula>0.5</formula>
    </cfRule>
  </conditionalFormatting>
  <conditionalFormatting sqref="BD41">
    <cfRule type="cellIs" dxfId="17152" priority="141254" stopIfTrue="1" operator="greaterThanOrEqual">
      <formula>0.5</formula>
    </cfRule>
  </conditionalFormatting>
  <conditionalFormatting sqref="BD42">
    <cfRule type="cellIs" dxfId="17151" priority="141255" stopIfTrue="1" operator="equal">
      <formula>-1</formula>
    </cfRule>
  </conditionalFormatting>
  <conditionalFormatting sqref="BD42">
    <cfRule type="cellIs" dxfId="17150" priority="141256" stopIfTrue="1" operator="lessThan">
      <formula>0.5</formula>
    </cfRule>
  </conditionalFormatting>
  <conditionalFormatting sqref="BD42">
    <cfRule type="cellIs" dxfId="17149" priority="141257" stopIfTrue="1" operator="greaterThanOrEqual">
      <formula>0.5</formula>
    </cfRule>
  </conditionalFormatting>
  <conditionalFormatting sqref="BD43">
    <cfRule type="cellIs" dxfId="17148" priority="141258" stopIfTrue="1" operator="equal">
      <formula>-1</formula>
    </cfRule>
  </conditionalFormatting>
  <conditionalFormatting sqref="BD43">
    <cfRule type="cellIs" dxfId="17147" priority="141259" stopIfTrue="1" operator="lessThan">
      <formula>0.5</formula>
    </cfRule>
  </conditionalFormatting>
  <conditionalFormatting sqref="BD43">
    <cfRule type="cellIs" dxfId="17146" priority="141260" stopIfTrue="1" operator="greaterThanOrEqual">
      <formula>0.5</formula>
    </cfRule>
  </conditionalFormatting>
  <conditionalFormatting sqref="BD44">
    <cfRule type="cellIs" dxfId="17145" priority="141261" stopIfTrue="1" operator="equal">
      <formula>-1</formula>
    </cfRule>
  </conditionalFormatting>
  <conditionalFormatting sqref="BD44">
    <cfRule type="cellIs" dxfId="17144" priority="141262" stopIfTrue="1" operator="lessThan">
      <formula>0.5</formula>
    </cfRule>
  </conditionalFormatting>
  <conditionalFormatting sqref="BD44">
    <cfRule type="cellIs" dxfId="17143" priority="141263" stopIfTrue="1" operator="greaterThanOrEqual">
      <formula>0.5</formula>
    </cfRule>
  </conditionalFormatting>
  <conditionalFormatting sqref="BD45">
    <cfRule type="cellIs" dxfId="17142" priority="141264" stopIfTrue="1" operator="equal">
      <formula>-1</formula>
    </cfRule>
  </conditionalFormatting>
  <conditionalFormatting sqref="BD45">
    <cfRule type="cellIs" dxfId="17141" priority="141265" stopIfTrue="1" operator="lessThan">
      <formula>0.5</formula>
    </cfRule>
  </conditionalFormatting>
  <conditionalFormatting sqref="BD45">
    <cfRule type="cellIs" dxfId="17140" priority="141266" stopIfTrue="1" operator="greaterThanOrEqual">
      <formula>0.5</formula>
    </cfRule>
  </conditionalFormatting>
  <conditionalFormatting sqref="BD46">
    <cfRule type="cellIs" dxfId="17139" priority="141267" stopIfTrue="1" operator="equal">
      <formula>-1</formula>
    </cfRule>
  </conditionalFormatting>
  <conditionalFormatting sqref="BD46">
    <cfRule type="cellIs" dxfId="17138" priority="141268" stopIfTrue="1" operator="lessThan">
      <formula>0.5</formula>
    </cfRule>
  </conditionalFormatting>
  <conditionalFormatting sqref="BD46">
    <cfRule type="cellIs" dxfId="17137" priority="141269" stopIfTrue="1" operator="greaterThanOrEqual">
      <formula>0.5</formula>
    </cfRule>
  </conditionalFormatting>
  <conditionalFormatting sqref="BD47">
    <cfRule type="cellIs" dxfId="17136" priority="141270" stopIfTrue="1" operator="equal">
      <formula>-1</formula>
    </cfRule>
  </conditionalFormatting>
  <conditionalFormatting sqref="BD47">
    <cfRule type="cellIs" dxfId="17135" priority="141271" stopIfTrue="1" operator="lessThan">
      <formula>0.5</formula>
    </cfRule>
  </conditionalFormatting>
  <conditionalFormatting sqref="BD47">
    <cfRule type="cellIs" dxfId="17134" priority="141272" stopIfTrue="1" operator="greaterThanOrEqual">
      <formula>0.5</formula>
    </cfRule>
  </conditionalFormatting>
  <conditionalFormatting sqref="BD48">
    <cfRule type="cellIs" dxfId="17133" priority="141273" stopIfTrue="1" operator="equal">
      <formula>-1</formula>
    </cfRule>
  </conditionalFormatting>
  <conditionalFormatting sqref="BD48">
    <cfRule type="cellIs" dxfId="17132" priority="141274" stopIfTrue="1" operator="lessThan">
      <formula>0.5</formula>
    </cfRule>
  </conditionalFormatting>
  <conditionalFormatting sqref="BD48">
    <cfRule type="cellIs" dxfId="17131" priority="141275" stopIfTrue="1" operator="greaterThanOrEqual">
      <formula>0.5</formula>
    </cfRule>
  </conditionalFormatting>
  <conditionalFormatting sqref="BD49">
    <cfRule type="cellIs" dxfId="17130" priority="141276" stopIfTrue="1" operator="equal">
      <formula>-1</formula>
    </cfRule>
  </conditionalFormatting>
  <conditionalFormatting sqref="BD49">
    <cfRule type="cellIs" dxfId="17129" priority="141277" stopIfTrue="1" operator="lessThan">
      <formula>0.5</formula>
    </cfRule>
  </conditionalFormatting>
  <conditionalFormatting sqref="BD49">
    <cfRule type="cellIs" dxfId="17128" priority="141278" stopIfTrue="1" operator="greaterThanOrEqual">
      <formula>0.5</formula>
    </cfRule>
  </conditionalFormatting>
  <conditionalFormatting sqref="BD50">
    <cfRule type="cellIs" dxfId="17127" priority="141279" stopIfTrue="1" operator="equal">
      <formula>-1</formula>
    </cfRule>
  </conditionalFormatting>
  <conditionalFormatting sqref="BD50">
    <cfRule type="cellIs" dxfId="17126" priority="141280" stopIfTrue="1" operator="lessThan">
      <formula>0.5</formula>
    </cfRule>
  </conditionalFormatting>
  <conditionalFormatting sqref="BD50">
    <cfRule type="cellIs" dxfId="17125" priority="141281" stopIfTrue="1" operator="greaterThanOrEqual">
      <formula>0.5</formula>
    </cfRule>
  </conditionalFormatting>
  <conditionalFormatting sqref="BD51">
    <cfRule type="cellIs" dxfId="17124" priority="141282" stopIfTrue="1" operator="equal">
      <formula>-1</formula>
    </cfRule>
  </conditionalFormatting>
  <conditionalFormatting sqref="BD51">
    <cfRule type="cellIs" dxfId="17123" priority="141283" stopIfTrue="1" operator="lessThan">
      <formula>0.5</formula>
    </cfRule>
  </conditionalFormatting>
  <conditionalFormatting sqref="BD51">
    <cfRule type="cellIs" dxfId="17122" priority="141284" stopIfTrue="1" operator="greaterThanOrEqual">
      <formula>0.5</formula>
    </cfRule>
  </conditionalFormatting>
  <conditionalFormatting sqref="BD52">
    <cfRule type="cellIs" dxfId="17121" priority="141285" stopIfTrue="1" operator="equal">
      <formula>-1</formula>
    </cfRule>
  </conditionalFormatting>
  <conditionalFormatting sqref="BD52">
    <cfRule type="cellIs" dxfId="17120" priority="141286" stopIfTrue="1" operator="lessThan">
      <formula>0.5</formula>
    </cfRule>
  </conditionalFormatting>
  <conditionalFormatting sqref="BD52">
    <cfRule type="cellIs" dxfId="17119" priority="141287" stopIfTrue="1" operator="greaterThanOrEqual">
      <formula>0.5</formula>
    </cfRule>
  </conditionalFormatting>
  <conditionalFormatting sqref="BD53">
    <cfRule type="cellIs" dxfId="17118" priority="141288" stopIfTrue="1" operator="equal">
      <formula>-1</formula>
    </cfRule>
  </conditionalFormatting>
  <conditionalFormatting sqref="BD53">
    <cfRule type="cellIs" dxfId="17117" priority="141289" stopIfTrue="1" operator="lessThan">
      <formula>0.5</formula>
    </cfRule>
  </conditionalFormatting>
  <conditionalFormatting sqref="BD53">
    <cfRule type="cellIs" dxfId="17116" priority="141290" stopIfTrue="1" operator="greaterThanOrEqual">
      <formula>0.5</formula>
    </cfRule>
  </conditionalFormatting>
  <conditionalFormatting sqref="BD54">
    <cfRule type="cellIs" dxfId="17115" priority="141291" stopIfTrue="1" operator="equal">
      <formula>-1</formula>
    </cfRule>
  </conditionalFormatting>
  <conditionalFormatting sqref="BD54">
    <cfRule type="cellIs" dxfId="17114" priority="141292" stopIfTrue="1" operator="lessThan">
      <formula>0.5</formula>
    </cfRule>
  </conditionalFormatting>
  <conditionalFormatting sqref="BD54">
    <cfRule type="cellIs" dxfId="17113" priority="141293" stopIfTrue="1" operator="greaterThanOrEqual">
      <formula>0.5</formula>
    </cfRule>
  </conditionalFormatting>
  <conditionalFormatting sqref="BD55">
    <cfRule type="cellIs" dxfId="17112" priority="141294" stopIfTrue="1" operator="equal">
      <formula>-1</formula>
    </cfRule>
  </conditionalFormatting>
  <conditionalFormatting sqref="BD55">
    <cfRule type="cellIs" dxfId="17111" priority="141295" stopIfTrue="1" operator="lessThan">
      <formula>0.5</formula>
    </cfRule>
  </conditionalFormatting>
  <conditionalFormatting sqref="BD55">
    <cfRule type="cellIs" dxfId="17110" priority="141296" stopIfTrue="1" operator="greaterThanOrEqual">
      <formula>0.5</formula>
    </cfRule>
  </conditionalFormatting>
  <conditionalFormatting sqref="BD56">
    <cfRule type="cellIs" dxfId="17109" priority="141297" stopIfTrue="1" operator="equal">
      <formula>-1</formula>
    </cfRule>
  </conditionalFormatting>
  <conditionalFormatting sqref="BD56">
    <cfRule type="cellIs" dxfId="17108" priority="141298" stopIfTrue="1" operator="lessThan">
      <formula>0.5</formula>
    </cfRule>
  </conditionalFormatting>
  <conditionalFormatting sqref="BD56">
    <cfRule type="cellIs" dxfId="17107" priority="141299" stopIfTrue="1" operator="greaterThanOrEqual">
      <formula>0.5</formula>
    </cfRule>
  </conditionalFormatting>
  <conditionalFormatting sqref="BD57">
    <cfRule type="cellIs" dxfId="17106" priority="141300" stopIfTrue="1" operator="equal">
      <formula>-1</formula>
    </cfRule>
  </conditionalFormatting>
  <conditionalFormatting sqref="BD57">
    <cfRule type="cellIs" dxfId="17105" priority="141301" stopIfTrue="1" operator="lessThan">
      <formula>0.5</formula>
    </cfRule>
  </conditionalFormatting>
  <conditionalFormatting sqref="BD57">
    <cfRule type="cellIs" dxfId="17104" priority="141302" stopIfTrue="1" operator="greaterThanOrEqual">
      <formula>0.5</formula>
    </cfRule>
  </conditionalFormatting>
  <conditionalFormatting sqref="BD58">
    <cfRule type="cellIs" dxfId="17103" priority="141303" stopIfTrue="1" operator="equal">
      <formula>-1</formula>
    </cfRule>
  </conditionalFormatting>
  <conditionalFormatting sqref="BD58">
    <cfRule type="cellIs" dxfId="17102" priority="141304" stopIfTrue="1" operator="lessThan">
      <formula>0.5</formula>
    </cfRule>
  </conditionalFormatting>
  <conditionalFormatting sqref="BD58">
    <cfRule type="cellIs" dxfId="17101" priority="141305" stopIfTrue="1" operator="greaterThanOrEqual">
      <formula>0.5</formula>
    </cfRule>
  </conditionalFormatting>
  <conditionalFormatting sqref="BF39">
    <cfRule type="cellIs" dxfId="17100" priority="141306" stopIfTrue="1" operator="equal">
      <formula>-1</formula>
    </cfRule>
  </conditionalFormatting>
  <conditionalFormatting sqref="BF39">
    <cfRule type="cellIs" dxfId="17099" priority="141307" stopIfTrue="1" operator="lessThan">
      <formula>0.5</formula>
    </cfRule>
  </conditionalFormatting>
  <conditionalFormatting sqref="BF39">
    <cfRule type="cellIs" dxfId="17098" priority="141308" stopIfTrue="1" operator="greaterThanOrEqual">
      <formula>0.5</formula>
    </cfRule>
  </conditionalFormatting>
  <conditionalFormatting sqref="BF40">
    <cfRule type="cellIs" dxfId="17097" priority="141309" stopIfTrue="1" operator="equal">
      <formula>-1</formula>
    </cfRule>
  </conditionalFormatting>
  <conditionalFormatting sqref="BF40">
    <cfRule type="cellIs" dxfId="17096" priority="141310" stopIfTrue="1" operator="lessThan">
      <formula>0.5</formula>
    </cfRule>
  </conditionalFormatting>
  <conditionalFormatting sqref="BF40">
    <cfRule type="cellIs" dxfId="17095" priority="141311" stopIfTrue="1" operator="greaterThanOrEqual">
      <formula>0.5</formula>
    </cfRule>
  </conditionalFormatting>
  <conditionalFormatting sqref="BF41">
    <cfRule type="cellIs" dxfId="17094" priority="141312" stopIfTrue="1" operator="equal">
      <formula>-1</formula>
    </cfRule>
  </conditionalFormatting>
  <conditionalFormatting sqref="BF41">
    <cfRule type="cellIs" dxfId="17093" priority="141313" stopIfTrue="1" operator="lessThan">
      <formula>0.5</formula>
    </cfRule>
  </conditionalFormatting>
  <conditionalFormatting sqref="BF41">
    <cfRule type="cellIs" dxfId="17092" priority="141314" stopIfTrue="1" operator="greaterThanOrEqual">
      <formula>0.5</formula>
    </cfRule>
  </conditionalFormatting>
  <conditionalFormatting sqref="BF42">
    <cfRule type="cellIs" dxfId="17091" priority="141315" stopIfTrue="1" operator="equal">
      <formula>-1</formula>
    </cfRule>
  </conditionalFormatting>
  <conditionalFormatting sqref="BF42">
    <cfRule type="cellIs" dxfId="17090" priority="141316" stopIfTrue="1" operator="lessThan">
      <formula>0.5</formula>
    </cfRule>
  </conditionalFormatting>
  <conditionalFormatting sqref="BF42">
    <cfRule type="cellIs" dxfId="17089" priority="141317" stopIfTrue="1" operator="greaterThanOrEqual">
      <formula>0.5</formula>
    </cfRule>
  </conditionalFormatting>
  <conditionalFormatting sqref="BF43">
    <cfRule type="cellIs" dxfId="17088" priority="141318" stopIfTrue="1" operator="equal">
      <formula>-1</formula>
    </cfRule>
  </conditionalFormatting>
  <conditionalFormatting sqref="BF43">
    <cfRule type="cellIs" dxfId="17087" priority="141319" stopIfTrue="1" operator="lessThan">
      <formula>0.5</formula>
    </cfRule>
  </conditionalFormatting>
  <conditionalFormatting sqref="BF43">
    <cfRule type="cellIs" dxfId="17086" priority="141320" stopIfTrue="1" operator="greaterThanOrEqual">
      <formula>0.5</formula>
    </cfRule>
  </conditionalFormatting>
  <conditionalFormatting sqref="BF44">
    <cfRule type="cellIs" dxfId="17085" priority="141321" stopIfTrue="1" operator="equal">
      <formula>-1</formula>
    </cfRule>
  </conditionalFormatting>
  <conditionalFormatting sqref="BF44">
    <cfRule type="cellIs" dxfId="17084" priority="141322" stopIfTrue="1" operator="lessThan">
      <formula>0.5</formula>
    </cfRule>
  </conditionalFormatting>
  <conditionalFormatting sqref="BF44">
    <cfRule type="cellIs" dxfId="17083" priority="141323" stopIfTrue="1" operator="greaterThanOrEqual">
      <formula>0.5</formula>
    </cfRule>
  </conditionalFormatting>
  <conditionalFormatting sqref="BF45">
    <cfRule type="cellIs" dxfId="17082" priority="141324" stopIfTrue="1" operator="equal">
      <formula>-1</formula>
    </cfRule>
  </conditionalFormatting>
  <conditionalFormatting sqref="BF45">
    <cfRule type="cellIs" dxfId="17081" priority="141325" stopIfTrue="1" operator="lessThan">
      <formula>0.5</formula>
    </cfRule>
  </conditionalFormatting>
  <conditionalFormatting sqref="BF45">
    <cfRule type="cellIs" dxfId="17080" priority="141326" stopIfTrue="1" operator="greaterThanOrEqual">
      <formula>0.5</formula>
    </cfRule>
  </conditionalFormatting>
  <conditionalFormatting sqref="BF46">
    <cfRule type="cellIs" dxfId="17079" priority="141327" stopIfTrue="1" operator="equal">
      <formula>-1</formula>
    </cfRule>
  </conditionalFormatting>
  <conditionalFormatting sqref="BF46">
    <cfRule type="cellIs" dxfId="17078" priority="141328" stopIfTrue="1" operator="lessThan">
      <formula>0.5</formula>
    </cfRule>
  </conditionalFormatting>
  <conditionalFormatting sqref="BF46">
    <cfRule type="cellIs" dxfId="17077" priority="141329" stopIfTrue="1" operator="greaterThanOrEqual">
      <formula>0.5</formula>
    </cfRule>
  </conditionalFormatting>
  <conditionalFormatting sqref="BF47">
    <cfRule type="cellIs" dxfId="17076" priority="141330" stopIfTrue="1" operator="equal">
      <formula>-1</formula>
    </cfRule>
  </conditionalFormatting>
  <conditionalFormatting sqref="BF47">
    <cfRule type="cellIs" dxfId="17075" priority="141331" stopIfTrue="1" operator="lessThan">
      <formula>0.5</formula>
    </cfRule>
  </conditionalFormatting>
  <conditionalFormatting sqref="BF47">
    <cfRule type="cellIs" dxfId="17074" priority="141332" stopIfTrue="1" operator="greaterThanOrEqual">
      <formula>0.5</formula>
    </cfRule>
  </conditionalFormatting>
  <conditionalFormatting sqref="BF48">
    <cfRule type="cellIs" dxfId="17073" priority="141333" stopIfTrue="1" operator="equal">
      <formula>-1</formula>
    </cfRule>
  </conditionalFormatting>
  <conditionalFormatting sqref="BF48">
    <cfRule type="cellIs" dxfId="17072" priority="141334" stopIfTrue="1" operator="lessThan">
      <formula>0.5</formula>
    </cfRule>
  </conditionalFormatting>
  <conditionalFormatting sqref="BF48">
    <cfRule type="cellIs" dxfId="17071" priority="141335" stopIfTrue="1" operator="greaterThanOrEqual">
      <formula>0.5</formula>
    </cfRule>
  </conditionalFormatting>
  <conditionalFormatting sqref="BF49">
    <cfRule type="cellIs" dxfId="17070" priority="141336" stopIfTrue="1" operator="equal">
      <formula>-1</formula>
    </cfRule>
  </conditionalFormatting>
  <conditionalFormatting sqref="BF49">
    <cfRule type="cellIs" dxfId="17069" priority="141337" stopIfTrue="1" operator="lessThan">
      <formula>0.5</formula>
    </cfRule>
  </conditionalFormatting>
  <conditionalFormatting sqref="BF49">
    <cfRule type="cellIs" dxfId="17068" priority="141338" stopIfTrue="1" operator="greaterThanOrEqual">
      <formula>0.5</formula>
    </cfRule>
  </conditionalFormatting>
  <conditionalFormatting sqref="BF50">
    <cfRule type="cellIs" dxfId="17067" priority="141339" stopIfTrue="1" operator="equal">
      <formula>-1</formula>
    </cfRule>
  </conditionalFormatting>
  <conditionalFormatting sqref="BF50">
    <cfRule type="cellIs" dxfId="17066" priority="141340" stopIfTrue="1" operator="lessThan">
      <formula>0.5</formula>
    </cfRule>
  </conditionalFormatting>
  <conditionalFormatting sqref="BF50">
    <cfRule type="cellIs" dxfId="17065" priority="141341" stopIfTrue="1" operator="greaterThanOrEqual">
      <formula>0.5</formula>
    </cfRule>
  </conditionalFormatting>
  <conditionalFormatting sqref="BF51">
    <cfRule type="cellIs" dxfId="17064" priority="141342" stopIfTrue="1" operator="equal">
      <formula>-1</formula>
    </cfRule>
  </conditionalFormatting>
  <conditionalFormatting sqref="BF51">
    <cfRule type="cellIs" dxfId="17063" priority="141343" stopIfTrue="1" operator="lessThan">
      <formula>0.5</formula>
    </cfRule>
  </conditionalFormatting>
  <conditionalFormatting sqref="BF51">
    <cfRule type="cellIs" dxfId="17062" priority="141344" stopIfTrue="1" operator="greaterThanOrEqual">
      <formula>0.5</formula>
    </cfRule>
  </conditionalFormatting>
  <conditionalFormatting sqref="BF52">
    <cfRule type="cellIs" dxfId="17061" priority="141345" stopIfTrue="1" operator="equal">
      <formula>-1</formula>
    </cfRule>
  </conditionalFormatting>
  <conditionalFormatting sqref="BF52">
    <cfRule type="cellIs" dxfId="17060" priority="141346" stopIfTrue="1" operator="lessThan">
      <formula>0.5</formula>
    </cfRule>
  </conditionalFormatting>
  <conditionalFormatting sqref="BF52">
    <cfRule type="cellIs" dxfId="17059" priority="141347" stopIfTrue="1" operator="greaterThanOrEqual">
      <formula>0.5</formula>
    </cfRule>
  </conditionalFormatting>
  <conditionalFormatting sqref="BF53">
    <cfRule type="cellIs" dxfId="17058" priority="141348" stopIfTrue="1" operator="equal">
      <formula>-1</formula>
    </cfRule>
  </conditionalFormatting>
  <conditionalFormatting sqref="BF53">
    <cfRule type="cellIs" dxfId="17057" priority="141349" stopIfTrue="1" operator="lessThan">
      <formula>0.5</formula>
    </cfRule>
  </conditionalFormatting>
  <conditionalFormatting sqref="BF53">
    <cfRule type="cellIs" dxfId="17056" priority="141350" stopIfTrue="1" operator="greaterThanOrEqual">
      <formula>0.5</formula>
    </cfRule>
  </conditionalFormatting>
  <conditionalFormatting sqref="BF54">
    <cfRule type="cellIs" dxfId="17055" priority="141351" stopIfTrue="1" operator="equal">
      <formula>-1</formula>
    </cfRule>
  </conditionalFormatting>
  <conditionalFormatting sqref="BF54">
    <cfRule type="cellIs" dxfId="17054" priority="141352" stopIfTrue="1" operator="lessThan">
      <formula>0.5</formula>
    </cfRule>
  </conditionalFormatting>
  <conditionalFormatting sqref="BF54">
    <cfRule type="cellIs" dxfId="17053" priority="141353" stopIfTrue="1" operator="greaterThanOrEqual">
      <formula>0.5</formula>
    </cfRule>
  </conditionalFormatting>
  <conditionalFormatting sqref="BF55">
    <cfRule type="cellIs" dxfId="17052" priority="141354" stopIfTrue="1" operator="equal">
      <formula>-1</formula>
    </cfRule>
  </conditionalFormatting>
  <conditionalFormatting sqref="BF55">
    <cfRule type="cellIs" dxfId="17051" priority="141355" stopIfTrue="1" operator="lessThan">
      <formula>0.5</formula>
    </cfRule>
  </conditionalFormatting>
  <conditionalFormatting sqref="BF55">
    <cfRule type="cellIs" dxfId="17050" priority="141356" stopIfTrue="1" operator="greaterThanOrEqual">
      <formula>0.5</formula>
    </cfRule>
  </conditionalFormatting>
  <conditionalFormatting sqref="BF56">
    <cfRule type="cellIs" dxfId="17049" priority="141357" stopIfTrue="1" operator="equal">
      <formula>-1</formula>
    </cfRule>
  </conditionalFormatting>
  <conditionalFormatting sqref="BF56">
    <cfRule type="cellIs" dxfId="17048" priority="141358" stopIfTrue="1" operator="lessThan">
      <formula>0.5</formula>
    </cfRule>
  </conditionalFormatting>
  <conditionalFormatting sqref="BF56">
    <cfRule type="cellIs" dxfId="17047" priority="141359" stopIfTrue="1" operator="greaterThanOrEqual">
      <formula>0.5</formula>
    </cfRule>
  </conditionalFormatting>
  <conditionalFormatting sqref="BF57">
    <cfRule type="cellIs" dxfId="17046" priority="141360" stopIfTrue="1" operator="equal">
      <formula>-1</formula>
    </cfRule>
  </conditionalFormatting>
  <conditionalFormatting sqref="BF57">
    <cfRule type="cellIs" dxfId="17045" priority="141361" stopIfTrue="1" operator="lessThan">
      <formula>0.5</formula>
    </cfRule>
  </conditionalFormatting>
  <conditionalFormatting sqref="BF57">
    <cfRule type="cellIs" dxfId="17044" priority="141362" stopIfTrue="1" operator="greaterThanOrEqual">
      <formula>0.5</formula>
    </cfRule>
  </conditionalFormatting>
  <conditionalFormatting sqref="BF58">
    <cfRule type="cellIs" dxfId="17043" priority="141363" stopIfTrue="1" operator="equal">
      <formula>-1</formula>
    </cfRule>
  </conditionalFormatting>
  <conditionalFormatting sqref="BF58">
    <cfRule type="cellIs" dxfId="17042" priority="141364" stopIfTrue="1" operator="lessThan">
      <formula>0.5</formula>
    </cfRule>
  </conditionalFormatting>
  <conditionalFormatting sqref="BF58">
    <cfRule type="cellIs" dxfId="17041" priority="141365" stopIfTrue="1" operator="greaterThanOrEqual">
      <formula>0.5</formula>
    </cfRule>
  </conditionalFormatting>
  <conditionalFormatting sqref="BH39">
    <cfRule type="cellIs" dxfId="17040" priority="141366" stopIfTrue="1" operator="equal">
      <formula>-1</formula>
    </cfRule>
  </conditionalFormatting>
  <conditionalFormatting sqref="BH39">
    <cfRule type="cellIs" dxfId="17039" priority="141367" stopIfTrue="1" operator="lessThan">
      <formula>0.5</formula>
    </cfRule>
  </conditionalFormatting>
  <conditionalFormatting sqref="BH39">
    <cfRule type="cellIs" dxfId="17038" priority="141368" stopIfTrue="1" operator="greaterThanOrEqual">
      <formula>0.5</formula>
    </cfRule>
  </conditionalFormatting>
  <conditionalFormatting sqref="BH40">
    <cfRule type="cellIs" dxfId="17037" priority="141369" stopIfTrue="1" operator="equal">
      <formula>-1</formula>
    </cfRule>
  </conditionalFormatting>
  <conditionalFormatting sqref="BH40">
    <cfRule type="cellIs" dxfId="17036" priority="141370" stopIfTrue="1" operator="lessThan">
      <formula>0.5</formula>
    </cfRule>
  </conditionalFormatting>
  <conditionalFormatting sqref="BH40">
    <cfRule type="cellIs" dxfId="17035" priority="141371" stopIfTrue="1" operator="greaterThanOrEqual">
      <formula>0.5</formula>
    </cfRule>
  </conditionalFormatting>
  <conditionalFormatting sqref="BH41">
    <cfRule type="cellIs" dxfId="17034" priority="141372" stopIfTrue="1" operator="equal">
      <formula>-1</formula>
    </cfRule>
  </conditionalFormatting>
  <conditionalFormatting sqref="BH41">
    <cfRule type="cellIs" dxfId="17033" priority="141373" stopIfTrue="1" operator="lessThan">
      <formula>0.5</formula>
    </cfRule>
  </conditionalFormatting>
  <conditionalFormatting sqref="BH41">
    <cfRule type="cellIs" dxfId="17032" priority="141374" stopIfTrue="1" operator="greaterThanOrEqual">
      <formula>0.5</formula>
    </cfRule>
  </conditionalFormatting>
  <conditionalFormatting sqref="BH42">
    <cfRule type="cellIs" dxfId="17031" priority="141375" stopIfTrue="1" operator="equal">
      <formula>-1</formula>
    </cfRule>
  </conditionalFormatting>
  <conditionalFormatting sqref="BH42">
    <cfRule type="cellIs" dxfId="17030" priority="141376" stopIfTrue="1" operator="lessThan">
      <formula>0.5</formula>
    </cfRule>
  </conditionalFormatting>
  <conditionalFormatting sqref="BH42">
    <cfRule type="cellIs" dxfId="17029" priority="141377" stopIfTrue="1" operator="greaterThanOrEqual">
      <formula>0.5</formula>
    </cfRule>
  </conditionalFormatting>
  <conditionalFormatting sqref="BH43">
    <cfRule type="cellIs" dxfId="17028" priority="141378" stopIfTrue="1" operator="equal">
      <formula>-1</formula>
    </cfRule>
  </conditionalFormatting>
  <conditionalFormatting sqref="BH43">
    <cfRule type="cellIs" dxfId="17027" priority="141379" stopIfTrue="1" operator="lessThan">
      <formula>0.5</formula>
    </cfRule>
  </conditionalFormatting>
  <conditionalFormatting sqref="BH43">
    <cfRule type="cellIs" dxfId="17026" priority="141380" stopIfTrue="1" operator="greaterThanOrEqual">
      <formula>0.5</formula>
    </cfRule>
  </conditionalFormatting>
  <conditionalFormatting sqref="BH44">
    <cfRule type="cellIs" dxfId="17025" priority="141381" stopIfTrue="1" operator="equal">
      <formula>-1</formula>
    </cfRule>
  </conditionalFormatting>
  <conditionalFormatting sqref="BH44">
    <cfRule type="cellIs" dxfId="17024" priority="141382" stopIfTrue="1" operator="lessThan">
      <formula>0.5</formula>
    </cfRule>
  </conditionalFormatting>
  <conditionalFormatting sqref="BH44">
    <cfRule type="cellIs" dxfId="17023" priority="141383" stopIfTrue="1" operator="greaterThanOrEqual">
      <formula>0.5</formula>
    </cfRule>
  </conditionalFormatting>
  <conditionalFormatting sqref="BH45">
    <cfRule type="cellIs" dxfId="17022" priority="141384" stopIfTrue="1" operator="equal">
      <formula>-1</formula>
    </cfRule>
  </conditionalFormatting>
  <conditionalFormatting sqref="BH45">
    <cfRule type="cellIs" dxfId="17021" priority="141385" stopIfTrue="1" operator="lessThan">
      <formula>0.5</formula>
    </cfRule>
  </conditionalFormatting>
  <conditionalFormatting sqref="BH45">
    <cfRule type="cellIs" dxfId="17020" priority="141386" stopIfTrue="1" operator="greaterThanOrEqual">
      <formula>0.5</formula>
    </cfRule>
  </conditionalFormatting>
  <conditionalFormatting sqref="BH46">
    <cfRule type="cellIs" dxfId="17019" priority="141387" stopIfTrue="1" operator="equal">
      <formula>-1</formula>
    </cfRule>
  </conditionalFormatting>
  <conditionalFormatting sqref="BH46">
    <cfRule type="cellIs" dxfId="17018" priority="141388" stopIfTrue="1" operator="lessThan">
      <formula>0.5</formula>
    </cfRule>
  </conditionalFormatting>
  <conditionalFormatting sqref="BH46">
    <cfRule type="cellIs" dxfId="17017" priority="141389" stopIfTrue="1" operator="greaterThanOrEqual">
      <formula>0.5</formula>
    </cfRule>
  </conditionalFormatting>
  <conditionalFormatting sqref="BH47">
    <cfRule type="cellIs" dxfId="17016" priority="141390" stopIfTrue="1" operator="equal">
      <formula>-1</formula>
    </cfRule>
  </conditionalFormatting>
  <conditionalFormatting sqref="BH47">
    <cfRule type="cellIs" dxfId="17015" priority="141391" stopIfTrue="1" operator="lessThan">
      <formula>0.5</formula>
    </cfRule>
  </conditionalFormatting>
  <conditionalFormatting sqref="BH47">
    <cfRule type="cellIs" dxfId="17014" priority="141392" stopIfTrue="1" operator="greaterThanOrEqual">
      <formula>0.5</formula>
    </cfRule>
  </conditionalFormatting>
  <conditionalFormatting sqref="BH48">
    <cfRule type="cellIs" dxfId="17013" priority="141393" stopIfTrue="1" operator="equal">
      <formula>-1</formula>
    </cfRule>
  </conditionalFormatting>
  <conditionalFormatting sqref="BH48">
    <cfRule type="cellIs" dxfId="17012" priority="141394" stopIfTrue="1" operator="lessThan">
      <formula>0.5</formula>
    </cfRule>
  </conditionalFormatting>
  <conditionalFormatting sqref="BH48">
    <cfRule type="cellIs" dxfId="17011" priority="141395" stopIfTrue="1" operator="greaterThanOrEqual">
      <formula>0.5</formula>
    </cfRule>
  </conditionalFormatting>
  <conditionalFormatting sqref="BH49">
    <cfRule type="cellIs" dxfId="17010" priority="141396" stopIfTrue="1" operator="equal">
      <formula>-1</formula>
    </cfRule>
  </conditionalFormatting>
  <conditionalFormatting sqref="BH49">
    <cfRule type="cellIs" dxfId="17009" priority="141397" stopIfTrue="1" operator="lessThan">
      <formula>0.5</formula>
    </cfRule>
  </conditionalFormatting>
  <conditionalFormatting sqref="BH49">
    <cfRule type="cellIs" dxfId="17008" priority="141398" stopIfTrue="1" operator="greaterThanOrEqual">
      <formula>0.5</formula>
    </cfRule>
  </conditionalFormatting>
  <conditionalFormatting sqref="BH50">
    <cfRule type="cellIs" dxfId="17007" priority="141399" stopIfTrue="1" operator="equal">
      <formula>-1</formula>
    </cfRule>
  </conditionalFormatting>
  <conditionalFormatting sqref="BH50">
    <cfRule type="cellIs" dxfId="17006" priority="141400" stopIfTrue="1" operator="lessThan">
      <formula>0.5</formula>
    </cfRule>
  </conditionalFormatting>
  <conditionalFormatting sqref="BH50">
    <cfRule type="cellIs" dxfId="17005" priority="141401" stopIfTrue="1" operator="greaterThanOrEqual">
      <formula>0.5</formula>
    </cfRule>
  </conditionalFormatting>
  <conditionalFormatting sqref="BH51">
    <cfRule type="cellIs" dxfId="17004" priority="141402" stopIfTrue="1" operator="equal">
      <formula>-1</formula>
    </cfRule>
  </conditionalFormatting>
  <conditionalFormatting sqref="BH51">
    <cfRule type="cellIs" dxfId="17003" priority="141403" stopIfTrue="1" operator="lessThan">
      <formula>0.5</formula>
    </cfRule>
  </conditionalFormatting>
  <conditionalFormatting sqref="BH51">
    <cfRule type="cellIs" dxfId="17002" priority="141404" stopIfTrue="1" operator="greaterThanOrEqual">
      <formula>0.5</formula>
    </cfRule>
  </conditionalFormatting>
  <conditionalFormatting sqref="BH52">
    <cfRule type="cellIs" dxfId="17001" priority="141405" stopIfTrue="1" operator="equal">
      <formula>-1</formula>
    </cfRule>
  </conditionalFormatting>
  <conditionalFormatting sqref="BH52">
    <cfRule type="cellIs" dxfId="17000" priority="141406" stopIfTrue="1" operator="lessThan">
      <formula>0.5</formula>
    </cfRule>
  </conditionalFormatting>
  <conditionalFormatting sqref="BH52">
    <cfRule type="cellIs" dxfId="16999" priority="141407" stopIfTrue="1" operator="greaterThanOrEqual">
      <formula>0.5</formula>
    </cfRule>
  </conditionalFormatting>
  <conditionalFormatting sqref="BH53">
    <cfRule type="cellIs" dxfId="16998" priority="141408" stopIfTrue="1" operator="equal">
      <formula>-1</formula>
    </cfRule>
  </conditionalFormatting>
  <conditionalFormatting sqref="BH53">
    <cfRule type="cellIs" dxfId="16997" priority="141409" stopIfTrue="1" operator="lessThan">
      <formula>0.5</formula>
    </cfRule>
  </conditionalFormatting>
  <conditionalFormatting sqref="BH53">
    <cfRule type="cellIs" dxfId="16996" priority="141410" stopIfTrue="1" operator="greaterThanOrEqual">
      <formula>0.5</formula>
    </cfRule>
  </conditionalFormatting>
  <conditionalFormatting sqref="BH54">
    <cfRule type="cellIs" dxfId="16995" priority="141411" stopIfTrue="1" operator="equal">
      <formula>-1</formula>
    </cfRule>
  </conditionalFormatting>
  <conditionalFormatting sqref="BH54">
    <cfRule type="cellIs" dxfId="16994" priority="141412" stopIfTrue="1" operator="lessThan">
      <formula>0.5</formula>
    </cfRule>
  </conditionalFormatting>
  <conditionalFormatting sqref="BH54">
    <cfRule type="cellIs" dxfId="16993" priority="141413" stopIfTrue="1" operator="greaterThanOrEqual">
      <formula>0.5</formula>
    </cfRule>
  </conditionalFormatting>
  <conditionalFormatting sqref="BH55">
    <cfRule type="cellIs" dxfId="16992" priority="141414" stopIfTrue="1" operator="equal">
      <formula>-1</formula>
    </cfRule>
  </conditionalFormatting>
  <conditionalFormatting sqref="BH55">
    <cfRule type="cellIs" dxfId="16991" priority="141415" stopIfTrue="1" operator="lessThan">
      <formula>0.5</formula>
    </cfRule>
  </conditionalFormatting>
  <conditionalFormatting sqref="BH55">
    <cfRule type="cellIs" dxfId="16990" priority="141416" stopIfTrue="1" operator="greaterThanOrEqual">
      <formula>0.5</formula>
    </cfRule>
  </conditionalFormatting>
  <conditionalFormatting sqref="BH56">
    <cfRule type="cellIs" dxfId="16989" priority="141417" stopIfTrue="1" operator="equal">
      <formula>-1</formula>
    </cfRule>
  </conditionalFormatting>
  <conditionalFormatting sqref="BH56">
    <cfRule type="cellIs" dxfId="16988" priority="141418" stopIfTrue="1" operator="lessThan">
      <formula>0.5</formula>
    </cfRule>
  </conditionalFormatting>
  <conditionalFormatting sqref="BH56">
    <cfRule type="cellIs" dxfId="16987" priority="141419" stopIfTrue="1" operator="greaterThanOrEqual">
      <formula>0.5</formula>
    </cfRule>
  </conditionalFormatting>
  <conditionalFormatting sqref="BH57">
    <cfRule type="cellIs" dxfId="16986" priority="141420" stopIfTrue="1" operator="equal">
      <formula>-1</formula>
    </cfRule>
  </conditionalFormatting>
  <conditionalFormatting sqref="BH57">
    <cfRule type="cellIs" dxfId="16985" priority="141421" stopIfTrue="1" operator="lessThan">
      <formula>0.5</formula>
    </cfRule>
  </conditionalFormatting>
  <conditionalFormatting sqref="BH57">
    <cfRule type="cellIs" dxfId="16984" priority="141422" stopIfTrue="1" operator="greaterThanOrEqual">
      <formula>0.5</formula>
    </cfRule>
  </conditionalFormatting>
  <conditionalFormatting sqref="BH58">
    <cfRule type="cellIs" dxfId="16983" priority="141423" stopIfTrue="1" operator="equal">
      <formula>-1</formula>
    </cfRule>
  </conditionalFormatting>
  <conditionalFormatting sqref="BH58">
    <cfRule type="cellIs" dxfId="16982" priority="141424" stopIfTrue="1" operator="lessThan">
      <formula>0.5</formula>
    </cfRule>
  </conditionalFormatting>
  <conditionalFormatting sqref="BH58">
    <cfRule type="cellIs" dxfId="16981" priority="141425" stopIfTrue="1" operator="greaterThanOrEqual">
      <formula>0.5</formula>
    </cfRule>
  </conditionalFormatting>
  <conditionalFormatting sqref="BJ39">
    <cfRule type="cellIs" dxfId="16980" priority="141426" stopIfTrue="1" operator="equal">
      <formula>-1</formula>
    </cfRule>
  </conditionalFormatting>
  <conditionalFormatting sqref="BJ39">
    <cfRule type="cellIs" dxfId="16979" priority="141427" stopIfTrue="1" operator="lessThan">
      <formula>0.5</formula>
    </cfRule>
  </conditionalFormatting>
  <conditionalFormatting sqref="BJ39">
    <cfRule type="cellIs" dxfId="16978" priority="141428" stopIfTrue="1" operator="greaterThanOrEqual">
      <formula>0.5</formula>
    </cfRule>
  </conditionalFormatting>
  <conditionalFormatting sqref="BJ40">
    <cfRule type="cellIs" dxfId="16977" priority="141429" stopIfTrue="1" operator="equal">
      <formula>-1</formula>
    </cfRule>
  </conditionalFormatting>
  <conditionalFormatting sqref="BJ40">
    <cfRule type="cellIs" dxfId="16976" priority="141430" stopIfTrue="1" operator="lessThan">
      <formula>0.5</formula>
    </cfRule>
  </conditionalFormatting>
  <conditionalFormatting sqref="BJ40">
    <cfRule type="cellIs" dxfId="16975" priority="141431" stopIfTrue="1" operator="greaterThanOrEqual">
      <formula>0.5</formula>
    </cfRule>
  </conditionalFormatting>
  <conditionalFormatting sqref="BJ41">
    <cfRule type="cellIs" dxfId="16974" priority="141432" stopIfTrue="1" operator="equal">
      <formula>-1</formula>
    </cfRule>
  </conditionalFormatting>
  <conditionalFormatting sqref="BJ41">
    <cfRule type="cellIs" dxfId="16973" priority="141433" stopIfTrue="1" operator="lessThan">
      <formula>0.5</formula>
    </cfRule>
  </conditionalFormatting>
  <conditionalFormatting sqref="BJ41">
    <cfRule type="cellIs" dxfId="16972" priority="141434" stopIfTrue="1" operator="greaterThanOrEqual">
      <formula>0.5</formula>
    </cfRule>
  </conditionalFormatting>
  <conditionalFormatting sqref="BJ42">
    <cfRule type="cellIs" dxfId="16971" priority="141435" stopIfTrue="1" operator="equal">
      <formula>-1</formula>
    </cfRule>
  </conditionalFormatting>
  <conditionalFormatting sqref="BJ42">
    <cfRule type="cellIs" dxfId="16970" priority="141436" stopIfTrue="1" operator="lessThan">
      <formula>0.5</formula>
    </cfRule>
  </conditionalFormatting>
  <conditionalFormatting sqref="BJ42">
    <cfRule type="cellIs" dxfId="16969" priority="141437" stopIfTrue="1" operator="greaterThanOrEqual">
      <formula>0.5</formula>
    </cfRule>
  </conditionalFormatting>
  <conditionalFormatting sqref="BJ43">
    <cfRule type="cellIs" dxfId="16968" priority="141438" stopIfTrue="1" operator="equal">
      <formula>-1</formula>
    </cfRule>
  </conditionalFormatting>
  <conditionalFormatting sqref="BJ43">
    <cfRule type="cellIs" dxfId="16967" priority="141439" stopIfTrue="1" operator="lessThan">
      <formula>0.5</formula>
    </cfRule>
  </conditionalFormatting>
  <conditionalFormatting sqref="BJ43">
    <cfRule type="cellIs" dxfId="16966" priority="141440" stopIfTrue="1" operator="greaterThanOrEqual">
      <formula>0.5</formula>
    </cfRule>
  </conditionalFormatting>
  <conditionalFormatting sqref="BJ44">
    <cfRule type="cellIs" dxfId="16965" priority="141441" stopIfTrue="1" operator="equal">
      <formula>-1</formula>
    </cfRule>
  </conditionalFormatting>
  <conditionalFormatting sqref="BJ44">
    <cfRule type="cellIs" dxfId="16964" priority="141442" stopIfTrue="1" operator="lessThan">
      <formula>0.5</formula>
    </cfRule>
  </conditionalFormatting>
  <conditionalFormatting sqref="BJ44">
    <cfRule type="cellIs" dxfId="16963" priority="141443" stopIfTrue="1" operator="greaterThanOrEqual">
      <formula>0.5</formula>
    </cfRule>
  </conditionalFormatting>
  <conditionalFormatting sqref="BJ45">
    <cfRule type="cellIs" dxfId="16962" priority="141444" stopIfTrue="1" operator="equal">
      <formula>-1</formula>
    </cfRule>
  </conditionalFormatting>
  <conditionalFormatting sqref="BJ45">
    <cfRule type="cellIs" dxfId="16961" priority="141445" stopIfTrue="1" operator="lessThan">
      <formula>0.5</formula>
    </cfRule>
  </conditionalFormatting>
  <conditionalFormatting sqref="BJ45">
    <cfRule type="cellIs" dxfId="16960" priority="141446" stopIfTrue="1" operator="greaterThanOrEqual">
      <formula>0.5</formula>
    </cfRule>
  </conditionalFormatting>
  <conditionalFormatting sqref="BJ46">
    <cfRule type="cellIs" dxfId="16959" priority="141447" stopIfTrue="1" operator="equal">
      <formula>-1</formula>
    </cfRule>
  </conditionalFormatting>
  <conditionalFormatting sqref="BJ46">
    <cfRule type="cellIs" dxfId="16958" priority="141448" stopIfTrue="1" operator="lessThan">
      <formula>0.5</formula>
    </cfRule>
  </conditionalFormatting>
  <conditionalFormatting sqref="BJ46">
    <cfRule type="cellIs" dxfId="16957" priority="141449" stopIfTrue="1" operator="greaterThanOrEqual">
      <formula>0.5</formula>
    </cfRule>
  </conditionalFormatting>
  <conditionalFormatting sqref="BJ47">
    <cfRule type="cellIs" dxfId="16956" priority="141450" stopIfTrue="1" operator="equal">
      <formula>-1</formula>
    </cfRule>
  </conditionalFormatting>
  <conditionalFormatting sqref="BJ47">
    <cfRule type="cellIs" dxfId="16955" priority="141451" stopIfTrue="1" operator="lessThan">
      <formula>0.5</formula>
    </cfRule>
  </conditionalFormatting>
  <conditionalFormatting sqref="BJ47">
    <cfRule type="cellIs" dxfId="16954" priority="141452" stopIfTrue="1" operator="greaterThanOrEqual">
      <formula>0.5</formula>
    </cfRule>
  </conditionalFormatting>
  <conditionalFormatting sqref="BJ48">
    <cfRule type="cellIs" dxfId="16953" priority="141453" stopIfTrue="1" operator="equal">
      <formula>-1</formula>
    </cfRule>
  </conditionalFormatting>
  <conditionalFormatting sqref="BJ48">
    <cfRule type="cellIs" dxfId="16952" priority="141454" stopIfTrue="1" operator="lessThan">
      <formula>0.5</formula>
    </cfRule>
  </conditionalFormatting>
  <conditionalFormatting sqref="BJ48">
    <cfRule type="cellIs" dxfId="16951" priority="141455" stopIfTrue="1" operator="greaterThanOrEqual">
      <formula>0.5</formula>
    </cfRule>
  </conditionalFormatting>
  <conditionalFormatting sqref="BJ49">
    <cfRule type="cellIs" dxfId="16950" priority="141456" stopIfTrue="1" operator="equal">
      <formula>-1</formula>
    </cfRule>
  </conditionalFormatting>
  <conditionalFormatting sqref="BJ49">
    <cfRule type="cellIs" dxfId="16949" priority="141457" stopIfTrue="1" operator="lessThan">
      <formula>0.5</formula>
    </cfRule>
  </conditionalFormatting>
  <conditionalFormatting sqref="BJ49">
    <cfRule type="cellIs" dxfId="16948" priority="141458" stopIfTrue="1" operator="greaterThanOrEqual">
      <formula>0.5</formula>
    </cfRule>
  </conditionalFormatting>
  <conditionalFormatting sqref="BJ50">
    <cfRule type="cellIs" dxfId="16947" priority="141459" stopIfTrue="1" operator="equal">
      <formula>-1</formula>
    </cfRule>
  </conditionalFormatting>
  <conditionalFormatting sqref="BJ50">
    <cfRule type="cellIs" dxfId="16946" priority="141460" stopIfTrue="1" operator="lessThan">
      <formula>0.5</formula>
    </cfRule>
  </conditionalFormatting>
  <conditionalFormatting sqref="BJ50">
    <cfRule type="cellIs" dxfId="16945" priority="141461" stopIfTrue="1" operator="greaterThanOrEqual">
      <formula>0.5</formula>
    </cfRule>
  </conditionalFormatting>
  <conditionalFormatting sqref="BJ51">
    <cfRule type="cellIs" dxfId="16944" priority="141462" stopIfTrue="1" operator="equal">
      <formula>-1</formula>
    </cfRule>
  </conditionalFormatting>
  <conditionalFormatting sqref="BJ51">
    <cfRule type="cellIs" dxfId="16943" priority="141463" stopIfTrue="1" operator="lessThan">
      <formula>0.5</formula>
    </cfRule>
  </conditionalFormatting>
  <conditionalFormatting sqref="BJ51">
    <cfRule type="cellIs" dxfId="16942" priority="141464" stopIfTrue="1" operator="greaterThanOrEqual">
      <formula>0.5</formula>
    </cfRule>
  </conditionalFormatting>
  <conditionalFormatting sqref="BJ52">
    <cfRule type="cellIs" dxfId="16941" priority="141465" stopIfTrue="1" operator="equal">
      <formula>-1</formula>
    </cfRule>
  </conditionalFormatting>
  <conditionalFormatting sqref="BJ52">
    <cfRule type="cellIs" dxfId="16940" priority="141466" stopIfTrue="1" operator="lessThan">
      <formula>0.5</formula>
    </cfRule>
  </conditionalFormatting>
  <conditionalFormatting sqref="BJ52">
    <cfRule type="cellIs" dxfId="16939" priority="141467" stopIfTrue="1" operator="greaterThanOrEqual">
      <formula>0.5</formula>
    </cfRule>
  </conditionalFormatting>
  <conditionalFormatting sqref="BJ53">
    <cfRule type="cellIs" dxfId="16938" priority="141468" stopIfTrue="1" operator="equal">
      <formula>-1</formula>
    </cfRule>
  </conditionalFormatting>
  <conditionalFormatting sqref="BJ53">
    <cfRule type="cellIs" dxfId="16937" priority="141469" stopIfTrue="1" operator="lessThan">
      <formula>0.5</formula>
    </cfRule>
  </conditionalFormatting>
  <conditionalFormatting sqref="BJ53">
    <cfRule type="cellIs" dxfId="16936" priority="141470" stopIfTrue="1" operator="greaterThanOrEqual">
      <formula>0.5</formula>
    </cfRule>
  </conditionalFormatting>
  <conditionalFormatting sqref="BJ54">
    <cfRule type="cellIs" dxfId="16935" priority="141471" stopIfTrue="1" operator="equal">
      <formula>-1</formula>
    </cfRule>
  </conditionalFormatting>
  <conditionalFormatting sqref="BJ54">
    <cfRule type="cellIs" dxfId="16934" priority="141472" stopIfTrue="1" operator="lessThan">
      <formula>0.5</formula>
    </cfRule>
  </conditionalFormatting>
  <conditionalFormatting sqref="BJ54">
    <cfRule type="cellIs" dxfId="16933" priority="141473" stopIfTrue="1" operator="greaterThanOrEqual">
      <formula>0.5</formula>
    </cfRule>
  </conditionalFormatting>
  <conditionalFormatting sqref="BJ55">
    <cfRule type="cellIs" dxfId="16932" priority="141474" stopIfTrue="1" operator="equal">
      <formula>-1</formula>
    </cfRule>
  </conditionalFormatting>
  <conditionalFormatting sqref="BJ55">
    <cfRule type="cellIs" dxfId="16931" priority="141475" stopIfTrue="1" operator="lessThan">
      <formula>0.5</formula>
    </cfRule>
  </conditionalFormatting>
  <conditionalFormatting sqref="BJ55">
    <cfRule type="cellIs" dxfId="16930" priority="141476" stopIfTrue="1" operator="greaterThanOrEqual">
      <formula>0.5</formula>
    </cfRule>
  </conditionalFormatting>
  <conditionalFormatting sqref="BJ56">
    <cfRule type="cellIs" dxfId="16929" priority="141477" stopIfTrue="1" operator="equal">
      <formula>-1</formula>
    </cfRule>
  </conditionalFormatting>
  <conditionalFormatting sqref="BJ56">
    <cfRule type="cellIs" dxfId="16928" priority="141478" stopIfTrue="1" operator="lessThan">
      <formula>0.5</formula>
    </cfRule>
  </conditionalFormatting>
  <conditionalFormatting sqref="BJ56">
    <cfRule type="cellIs" dxfId="16927" priority="141479" stopIfTrue="1" operator="greaterThanOrEqual">
      <formula>0.5</formula>
    </cfRule>
  </conditionalFormatting>
  <conditionalFormatting sqref="BJ57">
    <cfRule type="cellIs" dxfId="16926" priority="141480" stopIfTrue="1" operator="equal">
      <formula>-1</formula>
    </cfRule>
  </conditionalFormatting>
  <conditionalFormatting sqref="BJ57">
    <cfRule type="cellIs" dxfId="16925" priority="141481" stopIfTrue="1" operator="lessThan">
      <formula>0.5</formula>
    </cfRule>
  </conditionalFormatting>
  <conditionalFormatting sqref="BJ57">
    <cfRule type="cellIs" dxfId="16924" priority="141482" stopIfTrue="1" operator="greaterThanOrEqual">
      <formula>0.5</formula>
    </cfRule>
  </conditionalFormatting>
  <conditionalFormatting sqref="BJ58">
    <cfRule type="cellIs" dxfId="16923" priority="141483" stopIfTrue="1" operator="equal">
      <formula>-1</formula>
    </cfRule>
  </conditionalFormatting>
  <conditionalFormatting sqref="BJ58">
    <cfRule type="cellIs" dxfId="16922" priority="141484" stopIfTrue="1" operator="lessThan">
      <formula>0.5</formula>
    </cfRule>
  </conditionalFormatting>
  <conditionalFormatting sqref="BJ58">
    <cfRule type="cellIs" dxfId="16921" priority="141485" stopIfTrue="1" operator="greaterThanOrEqual">
      <formula>0.5</formula>
    </cfRule>
  </conditionalFormatting>
  <conditionalFormatting sqref="D60">
    <cfRule type="cellIs" dxfId="16920" priority="141486" stopIfTrue="1" operator="equal">
      <formula>-1</formula>
    </cfRule>
  </conditionalFormatting>
  <conditionalFormatting sqref="D60">
    <cfRule type="cellIs" dxfId="16919" priority="141487" stopIfTrue="1" operator="lessThan">
      <formula>0.5</formula>
    </cfRule>
  </conditionalFormatting>
  <conditionalFormatting sqref="D60">
    <cfRule type="cellIs" dxfId="16918" priority="141488" stopIfTrue="1" operator="greaterThanOrEqual">
      <formula>0.5</formula>
    </cfRule>
  </conditionalFormatting>
  <conditionalFormatting sqref="D61">
    <cfRule type="cellIs" dxfId="16917" priority="141489" stopIfTrue="1" operator="equal">
      <formula>-1</formula>
    </cfRule>
  </conditionalFormatting>
  <conditionalFormatting sqref="D61">
    <cfRule type="cellIs" dxfId="16916" priority="141490" stopIfTrue="1" operator="lessThan">
      <formula>0.5</formula>
    </cfRule>
  </conditionalFormatting>
  <conditionalFormatting sqref="D61">
    <cfRule type="cellIs" dxfId="16915" priority="141491" stopIfTrue="1" operator="greaterThanOrEqual">
      <formula>0.5</formula>
    </cfRule>
  </conditionalFormatting>
  <conditionalFormatting sqref="D62">
    <cfRule type="cellIs" dxfId="16914" priority="141492" stopIfTrue="1" operator="equal">
      <formula>-1</formula>
    </cfRule>
  </conditionalFormatting>
  <conditionalFormatting sqref="D62">
    <cfRule type="cellIs" dxfId="16913" priority="141493" stopIfTrue="1" operator="lessThan">
      <formula>0.5</formula>
    </cfRule>
  </conditionalFormatting>
  <conditionalFormatting sqref="D62">
    <cfRule type="cellIs" dxfId="16912" priority="141494" stopIfTrue="1" operator="greaterThanOrEqual">
      <formula>0.5</formula>
    </cfRule>
  </conditionalFormatting>
  <conditionalFormatting sqref="D63">
    <cfRule type="cellIs" dxfId="16911" priority="141495" stopIfTrue="1" operator="equal">
      <formula>-1</formula>
    </cfRule>
  </conditionalFormatting>
  <conditionalFormatting sqref="D63">
    <cfRule type="cellIs" dxfId="16910" priority="141496" stopIfTrue="1" operator="lessThan">
      <formula>0.5</formula>
    </cfRule>
  </conditionalFormatting>
  <conditionalFormatting sqref="D63">
    <cfRule type="cellIs" dxfId="16909" priority="141497" stopIfTrue="1" operator="greaterThanOrEqual">
      <formula>0.5</formula>
    </cfRule>
  </conditionalFormatting>
  <conditionalFormatting sqref="F60">
    <cfRule type="cellIs" dxfId="16908" priority="141498" stopIfTrue="1" operator="equal">
      <formula>-1</formula>
    </cfRule>
  </conditionalFormatting>
  <conditionalFormatting sqref="F60">
    <cfRule type="cellIs" dxfId="16907" priority="141499" stopIfTrue="1" operator="lessThan">
      <formula>0.5</formula>
    </cfRule>
  </conditionalFormatting>
  <conditionalFormatting sqref="F60">
    <cfRule type="cellIs" dxfId="16906" priority="141500" stopIfTrue="1" operator="greaterThanOrEqual">
      <formula>0.5</formula>
    </cfRule>
  </conditionalFormatting>
  <conditionalFormatting sqref="F61">
    <cfRule type="cellIs" dxfId="16905" priority="141501" stopIfTrue="1" operator="equal">
      <formula>-1</formula>
    </cfRule>
  </conditionalFormatting>
  <conditionalFormatting sqref="F61">
    <cfRule type="cellIs" dxfId="16904" priority="141502" stopIfTrue="1" operator="lessThan">
      <formula>0.5</formula>
    </cfRule>
  </conditionalFormatting>
  <conditionalFormatting sqref="F61">
    <cfRule type="cellIs" dxfId="16903" priority="141503" stopIfTrue="1" operator="greaterThanOrEqual">
      <formula>0.5</formula>
    </cfRule>
  </conditionalFormatting>
  <conditionalFormatting sqref="F62">
    <cfRule type="cellIs" dxfId="16902" priority="141504" stopIfTrue="1" operator="equal">
      <formula>-1</formula>
    </cfRule>
  </conditionalFormatting>
  <conditionalFormatting sqref="F62">
    <cfRule type="cellIs" dxfId="16901" priority="141505" stopIfTrue="1" operator="lessThan">
      <formula>0.5</formula>
    </cfRule>
  </conditionalFormatting>
  <conditionalFormatting sqref="F62">
    <cfRule type="cellIs" dxfId="16900" priority="141506" stopIfTrue="1" operator="greaterThanOrEqual">
      <formula>0.5</formula>
    </cfRule>
  </conditionalFormatting>
  <conditionalFormatting sqref="F63">
    <cfRule type="cellIs" dxfId="16899" priority="141507" stopIfTrue="1" operator="equal">
      <formula>-1</formula>
    </cfRule>
  </conditionalFormatting>
  <conditionalFormatting sqref="F63">
    <cfRule type="cellIs" dxfId="16898" priority="141508" stopIfTrue="1" operator="lessThan">
      <formula>0.5</formula>
    </cfRule>
  </conditionalFormatting>
  <conditionalFormatting sqref="F63">
    <cfRule type="cellIs" dxfId="16897" priority="141509" stopIfTrue="1" operator="greaterThanOrEqual">
      <formula>0.5</formula>
    </cfRule>
  </conditionalFormatting>
  <conditionalFormatting sqref="H60">
    <cfRule type="cellIs" dxfId="16896" priority="141510" stopIfTrue="1" operator="equal">
      <formula>-1</formula>
    </cfRule>
  </conditionalFormatting>
  <conditionalFormatting sqref="H60">
    <cfRule type="cellIs" dxfId="16895" priority="141511" stopIfTrue="1" operator="lessThan">
      <formula>0.5</formula>
    </cfRule>
  </conditionalFormatting>
  <conditionalFormatting sqref="H60">
    <cfRule type="cellIs" dxfId="16894" priority="141512" stopIfTrue="1" operator="greaterThanOrEqual">
      <formula>0.5</formula>
    </cfRule>
  </conditionalFormatting>
  <conditionalFormatting sqref="H61">
    <cfRule type="cellIs" dxfId="16893" priority="141513" stopIfTrue="1" operator="equal">
      <formula>-1</formula>
    </cfRule>
  </conditionalFormatting>
  <conditionalFormatting sqref="H61">
    <cfRule type="cellIs" dxfId="16892" priority="141514" stopIfTrue="1" operator="lessThan">
      <formula>0.5</formula>
    </cfRule>
  </conditionalFormatting>
  <conditionalFormatting sqref="H61">
    <cfRule type="cellIs" dxfId="16891" priority="141515" stopIfTrue="1" operator="greaterThanOrEqual">
      <formula>0.5</formula>
    </cfRule>
  </conditionalFormatting>
  <conditionalFormatting sqref="H62">
    <cfRule type="cellIs" dxfId="16890" priority="141516" stopIfTrue="1" operator="equal">
      <formula>-1</formula>
    </cfRule>
  </conditionalFormatting>
  <conditionalFormatting sqref="H62">
    <cfRule type="cellIs" dxfId="16889" priority="141517" stopIfTrue="1" operator="lessThan">
      <formula>0.5</formula>
    </cfRule>
  </conditionalFormatting>
  <conditionalFormatting sqref="H62">
    <cfRule type="cellIs" dxfId="16888" priority="141518" stopIfTrue="1" operator="greaterThanOrEqual">
      <formula>0.5</formula>
    </cfRule>
  </conditionalFormatting>
  <conditionalFormatting sqref="H63">
    <cfRule type="cellIs" dxfId="16887" priority="141519" stopIfTrue="1" operator="equal">
      <formula>-1</formula>
    </cfRule>
  </conditionalFormatting>
  <conditionalFormatting sqref="H63">
    <cfRule type="cellIs" dxfId="16886" priority="141520" stopIfTrue="1" operator="lessThan">
      <formula>0.5</formula>
    </cfRule>
  </conditionalFormatting>
  <conditionalFormatting sqref="H63">
    <cfRule type="cellIs" dxfId="16885" priority="141521" stopIfTrue="1" operator="greaterThanOrEqual">
      <formula>0.5</formula>
    </cfRule>
  </conditionalFormatting>
  <conditionalFormatting sqref="J60">
    <cfRule type="cellIs" dxfId="16884" priority="141522" stopIfTrue="1" operator="equal">
      <formula>-1</formula>
    </cfRule>
  </conditionalFormatting>
  <conditionalFormatting sqref="J60">
    <cfRule type="cellIs" dxfId="16883" priority="141523" stopIfTrue="1" operator="lessThan">
      <formula>0.5</formula>
    </cfRule>
  </conditionalFormatting>
  <conditionalFormatting sqref="J60">
    <cfRule type="cellIs" dxfId="16882" priority="141524" stopIfTrue="1" operator="greaterThanOrEqual">
      <formula>0.5</formula>
    </cfRule>
  </conditionalFormatting>
  <conditionalFormatting sqref="J61">
    <cfRule type="cellIs" dxfId="16881" priority="141525" stopIfTrue="1" operator="equal">
      <formula>-1</formula>
    </cfRule>
  </conditionalFormatting>
  <conditionalFormatting sqref="J61">
    <cfRule type="cellIs" dxfId="16880" priority="141526" stopIfTrue="1" operator="lessThan">
      <formula>0.5</formula>
    </cfRule>
  </conditionalFormatting>
  <conditionalFormatting sqref="J61">
    <cfRule type="cellIs" dxfId="16879" priority="141527" stopIfTrue="1" operator="greaterThanOrEqual">
      <formula>0.5</formula>
    </cfRule>
  </conditionalFormatting>
  <conditionalFormatting sqref="J62">
    <cfRule type="cellIs" dxfId="16878" priority="141528" stopIfTrue="1" operator="equal">
      <formula>-1</formula>
    </cfRule>
  </conditionalFormatting>
  <conditionalFormatting sqref="J62">
    <cfRule type="cellIs" dxfId="16877" priority="141529" stopIfTrue="1" operator="lessThan">
      <formula>0.5</formula>
    </cfRule>
  </conditionalFormatting>
  <conditionalFormatting sqref="J62">
    <cfRule type="cellIs" dxfId="16876" priority="141530" stopIfTrue="1" operator="greaterThanOrEqual">
      <formula>0.5</formula>
    </cfRule>
  </conditionalFormatting>
  <conditionalFormatting sqref="J63">
    <cfRule type="cellIs" dxfId="16875" priority="141531" stopIfTrue="1" operator="equal">
      <formula>-1</formula>
    </cfRule>
  </conditionalFormatting>
  <conditionalFormatting sqref="J63">
    <cfRule type="cellIs" dxfId="16874" priority="141532" stopIfTrue="1" operator="lessThan">
      <formula>0.5</formula>
    </cfRule>
  </conditionalFormatting>
  <conditionalFormatting sqref="J63">
    <cfRule type="cellIs" dxfId="16873" priority="141533" stopIfTrue="1" operator="greaterThanOrEqual">
      <formula>0.5</formula>
    </cfRule>
  </conditionalFormatting>
  <conditionalFormatting sqref="L60">
    <cfRule type="cellIs" dxfId="16872" priority="141534" stopIfTrue="1" operator="equal">
      <formula>-1</formula>
    </cfRule>
  </conditionalFormatting>
  <conditionalFormatting sqref="L60">
    <cfRule type="cellIs" dxfId="16871" priority="141535" stopIfTrue="1" operator="lessThan">
      <formula>0.5</formula>
    </cfRule>
  </conditionalFormatting>
  <conditionalFormatting sqref="L60">
    <cfRule type="cellIs" dxfId="16870" priority="141536" stopIfTrue="1" operator="greaterThanOrEqual">
      <formula>0.5</formula>
    </cfRule>
  </conditionalFormatting>
  <conditionalFormatting sqref="L61">
    <cfRule type="cellIs" dxfId="16869" priority="141537" stopIfTrue="1" operator="equal">
      <formula>-1</formula>
    </cfRule>
  </conditionalFormatting>
  <conditionalFormatting sqref="L61">
    <cfRule type="cellIs" dxfId="16868" priority="141538" stopIfTrue="1" operator="lessThan">
      <formula>0.5</formula>
    </cfRule>
  </conditionalFormatting>
  <conditionalFormatting sqref="L61">
    <cfRule type="cellIs" dxfId="16867" priority="141539" stopIfTrue="1" operator="greaterThanOrEqual">
      <formula>0.5</formula>
    </cfRule>
  </conditionalFormatting>
  <conditionalFormatting sqref="L62">
    <cfRule type="cellIs" dxfId="16866" priority="141540" stopIfTrue="1" operator="equal">
      <formula>-1</formula>
    </cfRule>
  </conditionalFormatting>
  <conditionalFormatting sqref="L62">
    <cfRule type="cellIs" dxfId="16865" priority="141541" stopIfTrue="1" operator="lessThan">
      <formula>0.5</formula>
    </cfRule>
  </conditionalFormatting>
  <conditionalFormatting sqref="L62">
    <cfRule type="cellIs" dxfId="16864" priority="141542" stopIfTrue="1" operator="greaterThanOrEqual">
      <formula>0.5</formula>
    </cfRule>
  </conditionalFormatting>
  <conditionalFormatting sqref="L63">
    <cfRule type="cellIs" dxfId="16863" priority="141543" stopIfTrue="1" operator="equal">
      <formula>-1</formula>
    </cfRule>
  </conditionalFormatting>
  <conditionalFormatting sqref="L63">
    <cfRule type="cellIs" dxfId="16862" priority="141544" stopIfTrue="1" operator="lessThan">
      <formula>0.5</formula>
    </cfRule>
  </conditionalFormatting>
  <conditionalFormatting sqref="L63">
    <cfRule type="cellIs" dxfId="16861" priority="141545" stopIfTrue="1" operator="greaterThanOrEqual">
      <formula>0.5</formula>
    </cfRule>
  </conditionalFormatting>
  <conditionalFormatting sqref="N60">
    <cfRule type="cellIs" dxfId="16860" priority="141546" stopIfTrue="1" operator="equal">
      <formula>-1</formula>
    </cfRule>
  </conditionalFormatting>
  <conditionalFormatting sqref="N60">
    <cfRule type="cellIs" dxfId="16859" priority="141547" stopIfTrue="1" operator="lessThan">
      <formula>0.5</formula>
    </cfRule>
  </conditionalFormatting>
  <conditionalFormatting sqref="N60">
    <cfRule type="cellIs" dxfId="16858" priority="141548" stopIfTrue="1" operator="greaterThanOrEqual">
      <formula>0.5</formula>
    </cfRule>
  </conditionalFormatting>
  <conditionalFormatting sqref="N61">
    <cfRule type="cellIs" dxfId="16857" priority="141549" stopIfTrue="1" operator="equal">
      <formula>-1</formula>
    </cfRule>
  </conditionalFormatting>
  <conditionalFormatting sqref="N61">
    <cfRule type="cellIs" dxfId="16856" priority="141550" stopIfTrue="1" operator="lessThan">
      <formula>0.5</formula>
    </cfRule>
  </conditionalFormatting>
  <conditionalFormatting sqref="N61">
    <cfRule type="cellIs" dxfId="16855" priority="141551" stopIfTrue="1" operator="greaterThanOrEqual">
      <formula>0.5</formula>
    </cfRule>
  </conditionalFormatting>
  <conditionalFormatting sqref="N62">
    <cfRule type="cellIs" dxfId="16854" priority="141552" stopIfTrue="1" operator="equal">
      <formula>-1</formula>
    </cfRule>
  </conditionalFormatting>
  <conditionalFormatting sqref="N62">
    <cfRule type="cellIs" dxfId="16853" priority="141553" stopIfTrue="1" operator="lessThan">
      <formula>0.5</formula>
    </cfRule>
  </conditionalFormatting>
  <conditionalFormatting sqref="N62">
    <cfRule type="cellIs" dxfId="16852" priority="141554" stopIfTrue="1" operator="greaterThanOrEqual">
      <formula>0.5</formula>
    </cfRule>
  </conditionalFormatting>
  <conditionalFormatting sqref="N63">
    <cfRule type="cellIs" dxfId="16851" priority="141555" stopIfTrue="1" operator="equal">
      <formula>-1</formula>
    </cfRule>
  </conditionalFormatting>
  <conditionalFormatting sqref="N63">
    <cfRule type="cellIs" dxfId="16850" priority="141556" stopIfTrue="1" operator="lessThan">
      <formula>0.5</formula>
    </cfRule>
  </conditionalFormatting>
  <conditionalFormatting sqref="N63">
    <cfRule type="cellIs" dxfId="16849" priority="141557" stopIfTrue="1" operator="greaterThanOrEqual">
      <formula>0.5</formula>
    </cfRule>
  </conditionalFormatting>
  <conditionalFormatting sqref="P60">
    <cfRule type="cellIs" dxfId="16848" priority="141558" stopIfTrue="1" operator="equal">
      <formula>-1</formula>
    </cfRule>
  </conditionalFormatting>
  <conditionalFormatting sqref="P60">
    <cfRule type="cellIs" dxfId="16847" priority="141559" stopIfTrue="1" operator="lessThan">
      <formula>0.5</formula>
    </cfRule>
  </conditionalFormatting>
  <conditionalFormatting sqref="P60">
    <cfRule type="cellIs" dxfId="16846" priority="141560" stopIfTrue="1" operator="greaterThanOrEqual">
      <formula>0.5</formula>
    </cfRule>
  </conditionalFormatting>
  <conditionalFormatting sqref="P61">
    <cfRule type="cellIs" dxfId="16845" priority="141561" stopIfTrue="1" operator="equal">
      <formula>-1</formula>
    </cfRule>
  </conditionalFormatting>
  <conditionalFormatting sqref="P61">
    <cfRule type="cellIs" dxfId="16844" priority="141562" stopIfTrue="1" operator="lessThan">
      <formula>0.5</formula>
    </cfRule>
  </conditionalFormatting>
  <conditionalFormatting sqref="P61">
    <cfRule type="cellIs" dxfId="16843" priority="141563" stopIfTrue="1" operator="greaterThanOrEqual">
      <formula>0.5</formula>
    </cfRule>
  </conditionalFormatting>
  <conditionalFormatting sqref="P62">
    <cfRule type="cellIs" dxfId="16842" priority="141564" stopIfTrue="1" operator="equal">
      <formula>-1</formula>
    </cfRule>
  </conditionalFormatting>
  <conditionalFormatting sqref="P62">
    <cfRule type="cellIs" dxfId="16841" priority="141565" stopIfTrue="1" operator="lessThan">
      <formula>0.5</formula>
    </cfRule>
  </conditionalFormatting>
  <conditionalFormatting sqref="P62">
    <cfRule type="cellIs" dxfId="16840" priority="141566" stopIfTrue="1" operator="greaterThanOrEqual">
      <formula>0.5</formula>
    </cfRule>
  </conditionalFormatting>
  <conditionalFormatting sqref="P63">
    <cfRule type="cellIs" dxfId="16839" priority="141567" stopIfTrue="1" operator="equal">
      <formula>-1</formula>
    </cfRule>
  </conditionalFormatting>
  <conditionalFormatting sqref="P63">
    <cfRule type="cellIs" dxfId="16838" priority="141568" stopIfTrue="1" operator="lessThan">
      <formula>0.5</formula>
    </cfRule>
  </conditionalFormatting>
  <conditionalFormatting sqref="P63">
    <cfRule type="cellIs" dxfId="16837" priority="141569" stopIfTrue="1" operator="greaterThanOrEqual">
      <formula>0.5</formula>
    </cfRule>
  </conditionalFormatting>
  <conditionalFormatting sqref="R60">
    <cfRule type="cellIs" dxfId="16836" priority="141570" stopIfTrue="1" operator="equal">
      <formula>-1</formula>
    </cfRule>
  </conditionalFormatting>
  <conditionalFormatting sqref="R60">
    <cfRule type="cellIs" dxfId="16835" priority="141571" stopIfTrue="1" operator="lessThan">
      <formula>0.5</formula>
    </cfRule>
  </conditionalFormatting>
  <conditionalFormatting sqref="R60">
    <cfRule type="cellIs" dxfId="16834" priority="141572" stopIfTrue="1" operator="greaterThanOrEqual">
      <formula>0.5</formula>
    </cfRule>
  </conditionalFormatting>
  <conditionalFormatting sqref="R61">
    <cfRule type="cellIs" dxfId="16833" priority="141573" stopIfTrue="1" operator="equal">
      <formula>-1</formula>
    </cfRule>
  </conditionalFormatting>
  <conditionalFormatting sqref="R61">
    <cfRule type="cellIs" dxfId="16832" priority="141574" stopIfTrue="1" operator="lessThan">
      <formula>0.5</formula>
    </cfRule>
  </conditionalFormatting>
  <conditionalFormatting sqref="R61">
    <cfRule type="cellIs" dxfId="16831" priority="141575" stopIfTrue="1" operator="greaterThanOrEqual">
      <formula>0.5</formula>
    </cfRule>
  </conditionalFormatting>
  <conditionalFormatting sqref="R62">
    <cfRule type="cellIs" dxfId="16830" priority="141576" stopIfTrue="1" operator="equal">
      <formula>-1</formula>
    </cfRule>
  </conditionalFormatting>
  <conditionalFormatting sqref="R62">
    <cfRule type="cellIs" dxfId="16829" priority="141577" stopIfTrue="1" operator="lessThan">
      <formula>0.5</formula>
    </cfRule>
  </conditionalFormatting>
  <conditionalFormatting sqref="R62">
    <cfRule type="cellIs" dxfId="16828" priority="141578" stopIfTrue="1" operator="greaterThanOrEqual">
      <formula>0.5</formula>
    </cfRule>
  </conditionalFormatting>
  <conditionalFormatting sqref="R63">
    <cfRule type="cellIs" dxfId="16827" priority="141579" stopIfTrue="1" operator="equal">
      <formula>-1</formula>
    </cfRule>
  </conditionalFormatting>
  <conditionalFormatting sqref="R63">
    <cfRule type="cellIs" dxfId="16826" priority="141580" stopIfTrue="1" operator="lessThan">
      <formula>0.5</formula>
    </cfRule>
  </conditionalFormatting>
  <conditionalFormatting sqref="R63">
    <cfRule type="cellIs" dxfId="16825" priority="141581" stopIfTrue="1" operator="greaterThanOrEqual">
      <formula>0.5</formula>
    </cfRule>
  </conditionalFormatting>
  <conditionalFormatting sqref="T60">
    <cfRule type="cellIs" dxfId="16824" priority="141582" stopIfTrue="1" operator="equal">
      <formula>-1</formula>
    </cfRule>
  </conditionalFormatting>
  <conditionalFormatting sqref="T60">
    <cfRule type="cellIs" dxfId="16823" priority="141583" stopIfTrue="1" operator="lessThan">
      <formula>0.5</formula>
    </cfRule>
  </conditionalFormatting>
  <conditionalFormatting sqref="T60">
    <cfRule type="cellIs" dxfId="16822" priority="141584" stopIfTrue="1" operator="greaterThanOrEqual">
      <formula>0.5</formula>
    </cfRule>
  </conditionalFormatting>
  <conditionalFormatting sqref="T61">
    <cfRule type="cellIs" dxfId="16821" priority="141585" stopIfTrue="1" operator="equal">
      <formula>-1</formula>
    </cfRule>
  </conditionalFormatting>
  <conditionalFormatting sqref="T61">
    <cfRule type="cellIs" dxfId="16820" priority="141586" stopIfTrue="1" operator="lessThan">
      <formula>0.5</formula>
    </cfRule>
  </conditionalFormatting>
  <conditionalFormatting sqref="T61">
    <cfRule type="cellIs" dxfId="16819" priority="141587" stopIfTrue="1" operator="greaterThanOrEqual">
      <formula>0.5</formula>
    </cfRule>
  </conditionalFormatting>
  <conditionalFormatting sqref="T62">
    <cfRule type="cellIs" dxfId="16818" priority="141588" stopIfTrue="1" operator="equal">
      <formula>-1</formula>
    </cfRule>
  </conditionalFormatting>
  <conditionalFormatting sqref="T62">
    <cfRule type="cellIs" dxfId="16817" priority="141589" stopIfTrue="1" operator="lessThan">
      <formula>0.5</formula>
    </cfRule>
  </conditionalFormatting>
  <conditionalFormatting sqref="T62">
    <cfRule type="cellIs" dxfId="16816" priority="141590" stopIfTrue="1" operator="greaterThanOrEqual">
      <formula>0.5</formula>
    </cfRule>
  </conditionalFormatting>
  <conditionalFormatting sqref="T63">
    <cfRule type="cellIs" dxfId="16815" priority="141591" stopIfTrue="1" operator="equal">
      <formula>-1</formula>
    </cfRule>
  </conditionalFormatting>
  <conditionalFormatting sqref="T63">
    <cfRule type="cellIs" dxfId="16814" priority="141592" stopIfTrue="1" operator="lessThan">
      <formula>0.5</formula>
    </cfRule>
  </conditionalFormatting>
  <conditionalFormatting sqref="T63">
    <cfRule type="cellIs" dxfId="16813" priority="141593" stopIfTrue="1" operator="greaterThanOrEqual">
      <formula>0.5</formula>
    </cfRule>
  </conditionalFormatting>
  <conditionalFormatting sqref="V60">
    <cfRule type="cellIs" dxfId="16812" priority="141594" stopIfTrue="1" operator="equal">
      <formula>-1</formula>
    </cfRule>
  </conditionalFormatting>
  <conditionalFormatting sqref="V60">
    <cfRule type="cellIs" dxfId="16811" priority="141595" stopIfTrue="1" operator="lessThan">
      <formula>0.5</formula>
    </cfRule>
  </conditionalFormatting>
  <conditionalFormatting sqref="V60">
    <cfRule type="cellIs" dxfId="16810" priority="141596" stopIfTrue="1" operator="greaterThanOrEqual">
      <formula>0.5</formula>
    </cfRule>
  </conditionalFormatting>
  <conditionalFormatting sqref="V61">
    <cfRule type="cellIs" dxfId="16809" priority="141597" stopIfTrue="1" operator="equal">
      <formula>-1</formula>
    </cfRule>
  </conditionalFormatting>
  <conditionalFormatting sqref="V61">
    <cfRule type="cellIs" dxfId="16808" priority="141598" stopIfTrue="1" operator="lessThan">
      <formula>0.5</formula>
    </cfRule>
  </conditionalFormatting>
  <conditionalFormatting sqref="V61">
    <cfRule type="cellIs" dxfId="16807" priority="141599" stopIfTrue="1" operator="greaterThanOrEqual">
      <formula>0.5</formula>
    </cfRule>
  </conditionalFormatting>
  <conditionalFormatting sqref="V62">
    <cfRule type="cellIs" dxfId="16806" priority="141600" stopIfTrue="1" operator="equal">
      <formula>-1</formula>
    </cfRule>
  </conditionalFormatting>
  <conditionalFormatting sqref="V62">
    <cfRule type="cellIs" dxfId="16805" priority="141601" stopIfTrue="1" operator="lessThan">
      <formula>0.5</formula>
    </cfRule>
  </conditionalFormatting>
  <conditionalFormatting sqref="V62">
    <cfRule type="cellIs" dxfId="16804" priority="141602" stopIfTrue="1" operator="greaterThanOrEqual">
      <formula>0.5</formula>
    </cfRule>
  </conditionalFormatting>
  <conditionalFormatting sqref="V63">
    <cfRule type="cellIs" dxfId="16803" priority="141603" stopIfTrue="1" operator="equal">
      <formula>-1</formula>
    </cfRule>
  </conditionalFormatting>
  <conditionalFormatting sqref="V63">
    <cfRule type="cellIs" dxfId="16802" priority="141604" stopIfTrue="1" operator="lessThan">
      <formula>0.5</formula>
    </cfRule>
  </conditionalFormatting>
  <conditionalFormatting sqref="V63">
    <cfRule type="cellIs" dxfId="16801" priority="141605" stopIfTrue="1" operator="greaterThanOrEqual">
      <formula>0.5</formula>
    </cfRule>
  </conditionalFormatting>
  <conditionalFormatting sqref="X60">
    <cfRule type="cellIs" dxfId="16800" priority="141606" stopIfTrue="1" operator="equal">
      <formula>-1</formula>
    </cfRule>
  </conditionalFormatting>
  <conditionalFormatting sqref="X60">
    <cfRule type="cellIs" dxfId="16799" priority="141607" stopIfTrue="1" operator="lessThan">
      <formula>0.5</formula>
    </cfRule>
  </conditionalFormatting>
  <conditionalFormatting sqref="X60">
    <cfRule type="cellIs" dxfId="16798" priority="141608" stopIfTrue="1" operator="greaterThanOrEqual">
      <formula>0.5</formula>
    </cfRule>
  </conditionalFormatting>
  <conditionalFormatting sqref="X61">
    <cfRule type="cellIs" dxfId="16797" priority="141609" stopIfTrue="1" operator="equal">
      <formula>-1</formula>
    </cfRule>
  </conditionalFormatting>
  <conditionalFormatting sqref="X61">
    <cfRule type="cellIs" dxfId="16796" priority="141610" stopIfTrue="1" operator="lessThan">
      <formula>0.5</formula>
    </cfRule>
  </conditionalFormatting>
  <conditionalFormatting sqref="X61">
    <cfRule type="cellIs" dxfId="16795" priority="141611" stopIfTrue="1" operator="greaterThanOrEqual">
      <formula>0.5</formula>
    </cfRule>
  </conditionalFormatting>
  <conditionalFormatting sqref="X62">
    <cfRule type="cellIs" dxfId="16794" priority="141612" stopIfTrue="1" operator="equal">
      <formula>-1</formula>
    </cfRule>
  </conditionalFormatting>
  <conditionalFormatting sqref="X62">
    <cfRule type="cellIs" dxfId="16793" priority="141613" stopIfTrue="1" operator="lessThan">
      <formula>0.5</formula>
    </cfRule>
  </conditionalFormatting>
  <conditionalFormatting sqref="X62">
    <cfRule type="cellIs" dxfId="16792" priority="141614" stopIfTrue="1" operator="greaterThanOrEqual">
      <formula>0.5</formula>
    </cfRule>
  </conditionalFormatting>
  <conditionalFormatting sqref="X63">
    <cfRule type="cellIs" dxfId="16791" priority="141615" stopIfTrue="1" operator="equal">
      <formula>-1</formula>
    </cfRule>
  </conditionalFormatting>
  <conditionalFormatting sqref="X63">
    <cfRule type="cellIs" dxfId="16790" priority="141616" stopIfTrue="1" operator="lessThan">
      <formula>0.5</formula>
    </cfRule>
  </conditionalFormatting>
  <conditionalFormatting sqref="X63">
    <cfRule type="cellIs" dxfId="16789" priority="141617" stopIfTrue="1" operator="greaterThanOrEqual">
      <formula>0.5</formula>
    </cfRule>
  </conditionalFormatting>
  <conditionalFormatting sqref="Z60">
    <cfRule type="cellIs" dxfId="16788" priority="141618" stopIfTrue="1" operator="equal">
      <formula>-1</formula>
    </cfRule>
  </conditionalFormatting>
  <conditionalFormatting sqref="Z60">
    <cfRule type="cellIs" dxfId="16787" priority="141619" stopIfTrue="1" operator="lessThan">
      <formula>0.5</formula>
    </cfRule>
  </conditionalFormatting>
  <conditionalFormatting sqref="Z60">
    <cfRule type="cellIs" dxfId="16786" priority="141620" stopIfTrue="1" operator="greaterThanOrEqual">
      <formula>0.5</formula>
    </cfRule>
  </conditionalFormatting>
  <conditionalFormatting sqref="Z61">
    <cfRule type="cellIs" dxfId="16785" priority="141621" stopIfTrue="1" operator="equal">
      <formula>-1</formula>
    </cfRule>
  </conditionalFormatting>
  <conditionalFormatting sqref="Z61">
    <cfRule type="cellIs" dxfId="16784" priority="141622" stopIfTrue="1" operator="lessThan">
      <formula>0.5</formula>
    </cfRule>
  </conditionalFormatting>
  <conditionalFormatting sqref="Z61">
    <cfRule type="cellIs" dxfId="16783" priority="141623" stopIfTrue="1" operator="greaterThanOrEqual">
      <formula>0.5</formula>
    </cfRule>
  </conditionalFormatting>
  <conditionalFormatting sqref="Z62">
    <cfRule type="cellIs" dxfId="16782" priority="141624" stopIfTrue="1" operator="equal">
      <formula>-1</formula>
    </cfRule>
  </conditionalFormatting>
  <conditionalFormatting sqref="Z62">
    <cfRule type="cellIs" dxfId="16781" priority="141625" stopIfTrue="1" operator="lessThan">
      <formula>0.5</formula>
    </cfRule>
  </conditionalFormatting>
  <conditionalFormatting sqref="Z62">
    <cfRule type="cellIs" dxfId="16780" priority="141626" stopIfTrue="1" operator="greaterThanOrEqual">
      <formula>0.5</formula>
    </cfRule>
  </conditionalFormatting>
  <conditionalFormatting sqref="Z63">
    <cfRule type="cellIs" dxfId="16779" priority="141627" stopIfTrue="1" operator="equal">
      <formula>-1</formula>
    </cfRule>
  </conditionalFormatting>
  <conditionalFormatting sqref="Z63">
    <cfRule type="cellIs" dxfId="16778" priority="141628" stopIfTrue="1" operator="lessThan">
      <formula>0.5</formula>
    </cfRule>
  </conditionalFormatting>
  <conditionalFormatting sqref="Z63">
    <cfRule type="cellIs" dxfId="16777" priority="141629" stopIfTrue="1" operator="greaterThanOrEqual">
      <formula>0.5</formula>
    </cfRule>
  </conditionalFormatting>
  <conditionalFormatting sqref="AB60">
    <cfRule type="cellIs" dxfId="16776" priority="141630" stopIfTrue="1" operator="equal">
      <formula>-1</formula>
    </cfRule>
  </conditionalFormatting>
  <conditionalFormatting sqref="AB60">
    <cfRule type="cellIs" dxfId="16775" priority="141631" stopIfTrue="1" operator="lessThan">
      <formula>0.5</formula>
    </cfRule>
  </conditionalFormatting>
  <conditionalFormatting sqref="AB60">
    <cfRule type="cellIs" dxfId="16774" priority="141632" stopIfTrue="1" operator="greaterThanOrEqual">
      <formula>0.5</formula>
    </cfRule>
  </conditionalFormatting>
  <conditionalFormatting sqref="AB61">
    <cfRule type="cellIs" dxfId="16773" priority="141633" stopIfTrue="1" operator="equal">
      <formula>-1</formula>
    </cfRule>
  </conditionalFormatting>
  <conditionalFormatting sqref="AB61">
    <cfRule type="cellIs" dxfId="16772" priority="141634" stopIfTrue="1" operator="lessThan">
      <formula>0.5</formula>
    </cfRule>
  </conditionalFormatting>
  <conditionalFormatting sqref="AB61">
    <cfRule type="cellIs" dxfId="16771" priority="141635" stopIfTrue="1" operator="greaterThanOrEqual">
      <formula>0.5</formula>
    </cfRule>
  </conditionalFormatting>
  <conditionalFormatting sqref="AB62">
    <cfRule type="cellIs" dxfId="16770" priority="141636" stopIfTrue="1" operator="equal">
      <formula>-1</formula>
    </cfRule>
  </conditionalFormatting>
  <conditionalFormatting sqref="AB62">
    <cfRule type="cellIs" dxfId="16769" priority="141637" stopIfTrue="1" operator="lessThan">
      <formula>0.5</formula>
    </cfRule>
  </conditionalFormatting>
  <conditionalFormatting sqref="AB62">
    <cfRule type="cellIs" dxfId="16768" priority="141638" stopIfTrue="1" operator="greaterThanOrEqual">
      <formula>0.5</formula>
    </cfRule>
  </conditionalFormatting>
  <conditionalFormatting sqref="AB63">
    <cfRule type="cellIs" dxfId="16767" priority="141639" stopIfTrue="1" operator="equal">
      <formula>-1</formula>
    </cfRule>
  </conditionalFormatting>
  <conditionalFormatting sqref="AB63">
    <cfRule type="cellIs" dxfId="16766" priority="141640" stopIfTrue="1" operator="lessThan">
      <formula>0.5</formula>
    </cfRule>
  </conditionalFormatting>
  <conditionalFormatting sqref="AB63">
    <cfRule type="cellIs" dxfId="16765" priority="141641" stopIfTrue="1" operator="greaterThanOrEqual">
      <formula>0.5</formula>
    </cfRule>
  </conditionalFormatting>
  <conditionalFormatting sqref="AD60">
    <cfRule type="cellIs" dxfId="16764" priority="141642" stopIfTrue="1" operator="equal">
      <formula>-1</formula>
    </cfRule>
  </conditionalFormatting>
  <conditionalFormatting sqref="AD60">
    <cfRule type="cellIs" dxfId="16763" priority="141643" stopIfTrue="1" operator="lessThan">
      <formula>0.5</formula>
    </cfRule>
  </conditionalFormatting>
  <conditionalFormatting sqref="AD60">
    <cfRule type="cellIs" dxfId="16762" priority="141644" stopIfTrue="1" operator="greaterThanOrEqual">
      <formula>0.5</formula>
    </cfRule>
  </conditionalFormatting>
  <conditionalFormatting sqref="AD61">
    <cfRule type="cellIs" dxfId="16761" priority="141645" stopIfTrue="1" operator="equal">
      <formula>-1</formula>
    </cfRule>
  </conditionalFormatting>
  <conditionalFormatting sqref="AD61">
    <cfRule type="cellIs" dxfId="16760" priority="141646" stopIfTrue="1" operator="lessThan">
      <formula>0.5</formula>
    </cfRule>
  </conditionalFormatting>
  <conditionalFormatting sqref="AD61">
    <cfRule type="cellIs" dxfId="16759" priority="141647" stopIfTrue="1" operator="greaterThanOrEqual">
      <formula>0.5</formula>
    </cfRule>
  </conditionalFormatting>
  <conditionalFormatting sqref="AD62">
    <cfRule type="cellIs" dxfId="16758" priority="141648" stopIfTrue="1" operator="equal">
      <formula>-1</formula>
    </cfRule>
  </conditionalFormatting>
  <conditionalFormatting sqref="AD62">
    <cfRule type="cellIs" dxfId="16757" priority="141649" stopIfTrue="1" operator="lessThan">
      <formula>0.5</formula>
    </cfRule>
  </conditionalFormatting>
  <conditionalFormatting sqref="AD62">
    <cfRule type="cellIs" dxfId="16756" priority="141650" stopIfTrue="1" operator="greaterThanOrEqual">
      <formula>0.5</formula>
    </cfRule>
  </conditionalFormatting>
  <conditionalFormatting sqref="AD63">
    <cfRule type="cellIs" dxfId="16755" priority="141651" stopIfTrue="1" operator="equal">
      <formula>-1</formula>
    </cfRule>
  </conditionalFormatting>
  <conditionalFormatting sqref="AD63">
    <cfRule type="cellIs" dxfId="16754" priority="141652" stopIfTrue="1" operator="lessThan">
      <formula>0.5</formula>
    </cfRule>
  </conditionalFormatting>
  <conditionalFormatting sqref="AD63">
    <cfRule type="cellIs" dxfId="16753" priority="141653" stopIfTrue="1" operator="greaterThanOrEqual">
      <formula>0.5</formula>
    </cfRule>
  </conditionalFormatting>
  <conditionalFormatting sqref="AF60">
    <cfRule type="cellIs" dxfId="16752" priority="141654" stopIfTrue="1" operator="equal">
      <formula>-1</formula>
    </cfRule>
  </conditionalFormatting>
  <conditionalFormatting sqref="AF60">
    <cfRule type="cellIs" dxfId="16751" priority="141655" stopIfTrue="1" operator="lessThan">
      <formula>0.5</formula>
    </cfRule>
  </conditionalFormatting>
  <conditionalFormatting sqref="AF60">
    <cfRule type="cellIs" dxfId="16750" priority="141656" stopIfTrue="1" operator="greaterThanOrEqual">
      <formula>0.5</formula>
    </cfRule>
  </conditionalFormatting>
  <conditionalFormatting sqref="AF61">
    <cfRule type="cellIs" dxfId="16749" priority="141657" stopIfTrue="1" operator="equal">
      <formula>-1</formula>
    </cfRule>
  </conditionalFormatting>
  <conditionalFormatting sqref="AF61">
    <cfRule type="cellIs" dxfId="16748" priority="141658" stopIfTrue="1" operator="lessThan">
      <formula>0.5</formula>
    </cfRule>
  </conditionalFormatting>
  <conditionalFormatting sqref="AF61">
    <cfRule type="cellIs" dxfId="16747" priority="141659" stopIfTrue="1" operator="greaterThanOrEqual">
      <formula>0.5</formula>
    </cfRule>
  </conditionalFormatting>
  <conditionalFormatting sqref="AF62">
    <cfRule type="cellIs" dxfId="16746" priority="141660" stopIfTrue="1" operator="equal">
      <formula>-1</formula>
    </cfRule>
  </conditionalFormatting>
  <conditionalFormatting sqref="AF62">
    <cfRule type="cellIs" dxfId="16745" priority="141661" stopIfTrue="1" operator="lessThan">
      <formula>0.5</formula>
    </cfRule>
  </conditionalFormatting>
  <conditionalFormatting sqref="AF62">
    <cfRule type="cellIs" dxfId="16744" priority="141662" stopIfTrue="1" operator="greaterThanOrEqual">
      <formula>0.5</formula>
    </cfRule>
  </conditionalFormatting>
  <conditionalFormatting sqref="AF63">
    <cfRule type="cellIs" dxfId="16743" priority="141663" stopIfTrue="1" operator="equal">
      <formula>-1</formula>
    </cfRule>
  </conditionalFormatting>
  <conditionalFormatting sqref="AF63">
    <cfRule type="cellIs" dxfId="16742" priority="141664" stopIfTrue="1" operator="lessThan">
      <formula>0.5</formula>
    </cfRule>
  </conditionalFormatting>
  <conditionalFormatting sqref="AF63">
    <cfRule type="cellIs" dxfId="16741" priority="141665" stopIfTrue="1" operator="greaterThanOrEqual">
      <formula>0.5</formula>
    </cfRule>
  </conditionalFormatting>
  <conditionalFormatting sqref="AH60">
    <cfRule type="cellIs" dxfId="16740" priority="141666" stopIfTrue="1" operator="equal">
      <formula>-1</formula>
    </cfRule>
  </conditionalFormatting>
  <conditionalFormatting sqref="AH60">
    <cfRule type="cellIs" dxfId="16739" priority="141667" stopIfTrue="1" operator="lessThan">
      <formula>0.5</formula>
    </cfRule>
  </conditionalFormatting>
  <conditionalFormatting sqref="AH60">
    <cfRule type="cellIs" dxfId="16738" priority="141668" stopIfTrue="1" operator="greaterThanOrEqual">
      <formula>0.5</formula>
    </cfRule>
  </conditionalFormatting>
  <conditionalFormatting sqref="AH61">
    <cfRule type="cellIs" dxfId="16737" priority="141669" stopIfTrue="1" operator="equal">
      <formula>-1</formula>
    </cfRule>
  </conditionalFormatting>
  <conditionalFormatting sqref="AH61">
    <cfRule type="cellIs" dxfId="16736" priority="141670" stopIfTrue="1" operator="lessThan">
      <formula>0.5</formula>
    </cfRule>
  </conditionalFormatting>
  <conditionalFormatting sqref="AH61">
    <cfRule type="cellIs" dxfId="16735" priority="141671" stopIfTrue="1" operator="greaterThanOrEqual">
      <formula>0.5</formula>
    </cfRule>
  </conditionalFormatting>
  <conditionalFormatting sqref="AH62">
    <cfRule type="cellIs" dxfId="16734" priority="141672" stopIfTrue="1" operator="equal">
      <formula>-1</formula>
    </cfRule>
  </conditionalFormatting>
  <conditionalFormatting sqref="AH62">
    <cfRule type="cellIs" dxfId="16733" priority="141673" stopIfTrue="1" operator="lessThan">
      <formula>0.5</formula>
    </cfRule>
  </conditionalFormatting>
  <conditionalFormatting sqref="AH62">
    <cfRule type="cellIs" dxfId="16732" priority="141674" stopIfTrue="1" operator="greaterThanOrEqual">
      <formula>0.5</formula>
    </cfRule>
  </conditionalFormatting>
  <conditionalFormatting sqref="AH63">
    <cfRule type="cellIs" dxfId="16731" priority="141675" stopIfTrue="1" operator="equal">
      <formula>-1</formula>
    </cfRule>
  </conditionalFormatting>
  <conditionalFormatting sqref="AH63">
    <cfRule type="cellIs" dxfId="16730" priority="141676" stopIfTrue="1" operator="lessThan">
      <formula>0.5</formula>
    </cfRule>
  </conditionalFormatting>
  <conditionalFormatting sqref="AH63">
    <cfRule type="cellIs" dxfId="16729" priority="141677" stopIfTrue="1" operator="greaterThanOrEqual">
      <formula>0.5</formula>
    </cfRule>
  </conditionalFormatting>
  <conditionalFormatting sqref="AJ60">
    <cfRule type="cellIs" dxfId="16728" priority="141678" stopIfTrue="1" operator="equal">
      <formula>-1</formula>
    </cfRule>
  </conditionalFormatting>
  <conditionalFormatting sqref="AJ60">
    <cfRule type="cellIs" dxfId="16727" priority="141679" stopIfTrue="1" operator="lessThan">
      <formula>0.5</formula>
    </cfRule>
  </conditionalFormatting>
  <conditionalFormatting sqref="AJ60">
    <cfRule type="cellIs" dxfId="16726" priority="141680" stopIfTrue="1" operator="greaterThanOrEqual">
      <formula>0.5</formula>
    </cfRule>
  </conditionalFormatting>
  <conditionalFormatting sqref="AJ61">
    <cfRule type="cellIs" dxfId="16725" priority="141681" stopIfTrue="1" operator="equal">
      <formula>-1</formula>
    </cfRule>
  </conditionalFormatting>
  <conditionalFormatting sqref="AJ61">
    <cfRule type="cellIs" dxfId="16724" priority="141682" stopIfTrue="1" operator="lessThan">
      <formula>0.5</formula>
    </cfRule>
  </conditionalFormatting>
  <conditionalFormatting sqref="AJ61">
    <cfRule type="cellIs" dxfId="16723" priority="141683" stopIfTrue="1" operator="greaterThanOrEqual">
      <formula>0.5</formula>
    </cfRule>
  </conditionalFormatting>
  <conditionalFormatting sqref="AJ62">
    <cfRule type="cellIs" dxfId="16722" priority="141684" stopIfTrue="1" operator="equal">
      <formula>-1</formula>
    </cfRule>
  </conditionalFormatting>
  <conditionalFormatting sqref="AJ62">
    <cfRule type="cellIs" dxfId="16721" priority="141685" stopIfTrue="1" operator="lessThan">
      <formula>0.5</formula>
    </cfRule>
  </conditionalFormatting>
  <conditionalFormatting sqref="AJ62">
    <cfRule type="cellIs" dxfId="16720" priority="141686" stopIfTrue="1" operator="greaterThanOrEqual">
      <formula>0.5</formula>
    </cfRule>
  </conditionalFormatting>
  <conditionalFormatting sqref="AJ63">
    <cfRule type="cellIs" dxfId="16719" priority="141687" stopIfTrue="1" operator="equal">
      <formula>-1</formula>
    </cfRule>
  </conditionalFormatting>
  <conditionalFormatting sqref="AJ63">
    <cfRule type="cellIs" dxfId="16718" priority="141688" stopIfTrue="1" operator="lessThan">
      <formula>0.5</formula>
    </cfRule>
  </conditionalFormatting>
  <conditionalFormatting sqref="AJ63">
    <cfRule type="cellIs" dxfId="16717" priority="141689" stopIfTrue="1" operator="greaterThanOrEqual">
      <formula>0.5</formula>
    </cfRule>
  </conditionalFormatting>
  <conditionalFormatting sqref="AL60">
    <cfRule type="cellIs" dxfId="16716" priority="141690" stopIfTrue="1" operator="equal">
      <formula>-1</formula>
    </cfRule>
  </conditionalFormatting>
  <conditionalFormatting sqref="AL60">
    <cfRule type="cellIs" dxfId="16715" priority="141691" stopIfTrue="1" operator="lessThan">
      <formula>0.5</formula>
    </cfRule>
  </conditionalFormatting>
  <conditionalFormatting sqref="AL60">
    <cfRule type="cellIs" dxfId="16714" priority="141692" stopIfTrue="1" operator="greaterThanOrEqual">
      <formula>0.5</formula>
    </cfRule>
  </conditionalFormatting>
  <conditionalFormatting sqref="AL61">
    <cfRule type="cellIs" dxfId="16713" priority="141693" stopIfTrue="1" operator="equal">
      <formula>-1</formula>
    </cfRule>
  </conditionalFormatting>
  <conditionalFormatting sqref="AL61">
    <cfRule type="cellIs" dxfId="16712" priority="141694" stopIfTrue="1" operator="lessThan">
      <formula>0.5</formula>
    </cfRule>
  </conditionalFormatting>
  <conditionalFormatting sqref="AL61">
    <cfRule type="cellIs" dxfId="16711" priority="141695" stopIfTrue="1" operator="greaterThanOrEqual">
      <formula>0.5</formula>
    </cfRule>
  </conditionalFormatting>
  <conditionalFormatting sqref="AL62">
    <cfRule type="cellIs" dxfId="16710" priority="141696" stopIfTrue="1" operator="equal">
      <formula>-1</formula>
    </cfRule>
  </conditionalFormatting>
  <conditionalFormatting sqref="AL62">
    <cfRule type="cellIs" dxfId="16709" priority="141697" stopIfTrue="1" operator="lessThan">
      <formula>0.5</formula>
    </cfRule>
  </conditionalFormatting>
  <conditionalFormatting sqref="AL62">
    <cfRule type="cellIs" dxfId="16708" priority="141698" stopIfTrue="1" operator="greaterThanOrEqual">
      <formula>0.5</formula>
    </cfRule>
  </conditionalFormatting>
  <conditionalFormatting sqref="AL63">
    <cfRule type="cellIs" dxfId="16707" priority="141699" stopIfTrue="1" operator="equal">
      <formula>-1</formula>
    </cfRule>
  </conditionalFormatting>
  <conditionalFormatting sqref="AL63">
    <cfRule type="cellIs" dxfId="16706" priority="141700" stopIfTrue="1" operator="lessThan">
      <formula>0.5</formula>
    </cfRule>
  </conditionalFormatting>
  <conditionalFormatting sqref="AL63">
    <cfRule type="cellIs" dxfId="16705" priority="141701" stopIfTrue="1" operator="greaterThanOrEqual">
      <formula>0.5</formula>
    </cfRule>
  </conditionalFormatting>
  <conditionalFormatting sqref="AN60">
    <cfRule type="cellIs" dxfId="16704" priority="141702" stopIfTrue="1" operator="equal">
      <formula>-1</formula>
    </cfRule>
  </conditionalFormatting>
  <conditionalFormatting sqref="AN60">
    <cfRule type="cellIs" dxfId="16703" priority="141703" stopIfTrue="1" operator="lessThan">
      <formula>0.5</formula>
    </cfRule>
  </conditionalFormatting>
  <conditionalFormatting sqref="AN60">
    <cfRule type="cellIs" dxfId="16702" priority="141704" stopIfTrue="1" operator="greaterThanOrEqual">
      <formula>0.5</formula>
    </cfRule>
  </conditionalFormatting>
  <conditionalFormatting sqref="AN61">
    <cfRule type="cellIs" dxfId="16701" priority="141705" stopIfTrue="1" operator="equal">
      <formula>-1</formula>
    </cfRule>
  </conditionalFormatting>
  <conditionalFormatting sqref="AN61">
    <cfRule type="cellIs" dxfId="16700" priority="141706" stopIfTrue="1" operator="lessThan">
      <formula>0.5</formula>
    </cfRule>
  </conditionalFormatting>
  <conditionalFormatting sqref="AN61">
    <cfRule type="cellIs" dxfId="16699" priority="141707" stopIfTrue="1" operator="greaterThanOrEqual">
      <formula>0.5</formula>
    </cfRule>
  </conditionalFormatting>
  <conditionalFormatting sqref="AN62">
    <cfRule type="cellIs" dxfId="16698" priority="141708" stopIfTrue="1" operator="equal">
      <formula>-1</formula>
    </cfRule>
  </conditionalFormatting>
  <conditionalFormatting sqref="AN62">
    <cfRule type="cellIs" dxfId="16697" priority="141709" stopIfTrue="1" operator="lessThan">
      <formula>0.5</formula>
    </cfRule>
  </conditionalFormatting>
  <conditionalFormatting sqref="AN62">
    <cfRule type="cellIs" dxfId="16696" priority="141710" stopIfTrue="1" operator="greaterThanOrEqual">
      <formula>0.5</formula>
    </cfRule>
  </conditionalFormatting>
  <conditionalFormatting sqref="AN63">
    <cfRule type="cellIs" dxfId="16695" priority="141711" stopIfTrue="1" operator="equal">
      <formula>-1</formula>
    </cfRule>
  </conditionalFormatting>
  <conditionalFormatting sqref="AN63">
    <cfRule type="cellIs" dxfId="16694" priority="141712" stopIfTrue="1" operator="lessThan">
      <formula>0.5</formula>
    </cfRule>
  </conditionalFormatting>
  <conditionalFormatting sqref="AN63">
    <cfRule type="cellIs" dxfId="16693" priority="141713" stopIfTrue="1" operator="greaterThanOrEqual">
      <formula>0.5</formula>
    </cfRule>
  </conditionalFormatting>
  <conditionalFormatting sqref="AP60">
    <cfRule type="cellIs" dxfId="16692" priority="141714" stopIfTrue="1" operator="equal">
      <formula>-1</formula>
    </cfRule>
  </conditionalFormatting>
  <conditionalFormatting sqref="AP60">
    <cfRule type="cellIs" dxfId="16691" priority="141715" stopIfTrue="1" operator="lessThan">
      <formula>0.5</formula>
    </cfRule>
  </conditionalFormatting>
  <conditionalFormatting sqref="AP60">
    <cfRule type="cellIs" dxfId="16690" priority="141716" stopIfTrue="1" operator="greaterThanOrEqual">
      <formula>0.5</formula>
    </cfRule>
  </conditionalFormatting>
  <conditionalFormatting sqref="AP61">
    <cfRule type="cellIs" dxfId="16689" priority="141717" stopIfTrue="1" operator="equal">
      <formula>-1</formula>
    </cfRule>
  </conditionalFormatting>
  <conditionalFormatting sqref="AP61">
    <cfRule type="cellIs" dxfId="16688" priority="141718" stopIfTrue="1" operator="lessThan">
      <formula>0.5</formula>
    </cfRule>
  </conditionalFormatting>
  <conditionalFormatting sqref="AP61">
    <cfRule type="cellIs" dxfId="16687" priority="141719" stopIfTrue="1" operator="greaterThanOrEqual">
      <formula>0.5</formula>
    </cfRule>
  </conditionalFormatting>
  <conditionalFormatting sqref="AP62">
    <cfRule type="cellIs" dxfId="16686" priority="141720" stopIfTrue="1" operator="equal">
      <formula>-1</formula>
    </cfRule>
  </conditionalFormatting>
  <conditionalFormatting sqref="AP62">
    <cfRule type="cellIs" dxfId="16685" priority="141721" stopIfTrue="1" operator="lessThan">
      <formula>0.5</formula>
    </cfRule>
  </conditionalFormatting>
  <conditionalFormatting sqref="AP62">
    <cfRule type="cellIs" dxfId="16684" priority="141722" stopIfTrue="1" operator="greaterThanOrEqual">
      <formula>0.5</formula>
    </cfRule>
  </conditionalFormatting>
  <conditionalFormatting sqref="AP63">
    <cfRule type="cellIs" dxfId="16683" priority="141723" stopIfTrue="1" operator="equal">
      <formula>-1</formula>
    </cfRule>
  </conditionalFormatting>
  <conditionalFormatting sqref="AP63">
    <cfRule type="cellIs" dxfId="16682" priority="141724" stopIfTrue="1" operator="lessThan">
      <formula>0.5</formula>
    </cfRule>
  </conditionalFormatting>
  <conditionalFormatting sqref="AP63">
    <cfRule type="cellIs" dxfId="16681" priority="141725" stopIfTrue="1" operator="greaterThanOrEqual">
      <formula>0.5</formula>
    </cfRule>
  </conditionalFormatting>
  <conditionalFormatting sqref="AR60">
    <cfRule type="cellIs" dxfId="16680" priority="141726" stopIfTrue="1" operator="equal">
      <formula>-1</formula>
    </cfRule>
  </conditionalFormatting>
  <conditionalFormatting sqref="AR60">
    <cfRule type="cellIs" dxfId="16679" priority="141727" stopIfTrue="1" operator="lessThan">
      <formula>0.5</formula>
    </cfRule>
  </conditionalFormatting>
  <conditionalFormatting sqref="AR60">
    <cfRule type="cellIs" dxfId="16678" priority="141728" stopIfTrue="1" operator="greaterThanOrEqual">
      <formula>0.5</formula>
    </cfRule>
  </conditionalFormatting>
  <conditionalFormatting sqref="AR61">
    <cfRule type="cellIs" dxfId="16677" priority="141729" stopIfTrue="1" operator="equal">
      <formula>-1</formula>
    </cfRule>
  </conditionalFormatting>
  <conditionalFormatting sqref="AR61">
    <cfRule type="cellIs" dxfId="16676" priority="141730" stopIfTrue="1" operator="lessThan">
      <formula>0.5</formula>
    </cfRule>
  </conditionalFormatting>
  <conditionalFormatting sqref="AR61">
    <cfRule type="cellIs" dxfId="16675" priority="141731" stopIfTrue="1" operator="greaterThanOrEqual">
      <formula>0.5</formula>
    </cfRule>
  </conditionalFormatting>
  <conditionalFormatting sqref="AR62">
    <cfRule type="cellIs" dxfId="16674" priority="141732" stopIfTrue="1" operator="equal">
      <formula>-1</formula>
    </cfRule>
  </conditionalFormatting>
  <conditionalFormatting sqref="AR62">
    <cfRule type="cellIs" dxfId="16673" priority="141733" stopIfTrue="1" operator="lessThan">
      <formula>0.5</formula>
    </cfRule>
  </conditionalFormatting>
  <conditionalFormatting sqref="AR62">
    <cfRule type="cellIs" dxfId="16672" priority="141734" stopIfTrue="1" operator="greaterThanOrEqual">
      <formula>0.5</formula>
    </cfRule>
  </conditionalFormatting>
  <conditionalFormatting sqref="AR63">
    <cfRule type="cellIs" dxfId="16671" priority="141735" stopIfTrue="1" operator="equal">
      <formula>-1</formula>
    </cfRule>
  </conditionalFormatting>
  <conditionalFormatting sqref="AR63">
    <cfRule type="cellIs" dxfId="16670" priority="141736" stopIfTrue="1" operator="lessThan">
      <formula>0.5</formula>
    </cfRule>
  </conditionalFormatting>
  <conditionalFormatting sqref="AR63">
    <cfRule type="cellIs" dxfId="16669" priority="141737" stopIfTrue="1" operator="greaterThanOrEqual">
      <formula>0.5</formula>
    </cfRule>
  </conditionalFormatting>
  <conditionalFormatting sqref="AT60">
    <cfRule type="cellIs" dxfId="16668" priority="141738" stopIfTrue="1" operator="equal">
      <formula>-1</formula>
    </cfRule>
  </conditionalFormatting>
  <conditionalFormatting sqref="AT60">
    <cfRule type="cellIs" dxfId="16667" priority="141739" stopIfTrue="1" operator="lessThan">
      <formula>0.5</formula>
    </cfRule>
  </conditionalFormatting>
  <conditionalFormatting sqref="AT60">
    <cfRule type="cellIs" dxfId="16666" priority="141740" stopIfTrue="1" operator="greaterThanOrEqual">
      <formula>0.5</formula>
    </cfRule>
  </conditionalFormatting>
  <conditionalFormatting sqref="AT61">
    <cfRule type="cellIs" dxfId="16665" priority="141741" stopIfTrue="1" operator="equal">
      <formula>-1</formula>
    </cfRule>
  </conditionalFormatting>
  <conditionalFormatting sqref="AT61">
    <cfRule type="cellIs" dxfId="16664" priority="141742" stopIfTrue="1" operator="lessThan">
      <formula>0.5</formula>
    </cfRule>
  </conditionalFormatting>
  <conditionalFormatting sqref="AT61">
    <cfRule type="cellIs" dxfId="16663" priority="141743" stopIfTrue="1" operator="greaterThanOrEqual">
      <formula>0.5</formula>
    </cfRule>
  </conditionalFormatting>
  <conditionalFormatting sqref="AT62">
    <cfRule type="cellIs" dxfId="16662" priority="141744" stopIfTrue="1" operator="equal">
      <formula>-1</formula>
    </cfRule>
  </conditionalFormatting>
  <conditionalFormatting sqref="AT62">
    <cfRule type="cellIs" dxfId="16661" priority="141745" stopIfTrue="1" operator="lessThan">
      <formula>0.5</formula>
    </cfRule>
  </conditionalFormatting>
  <conditionalFormatting sqref="AT62">
    <cfRule type="cellIs" dxfId="16660" priority="141746" stopIfTrue="1" operator="greaterThanOrEqual">
      <formula>0.5</formula>
    </cfRule>
  </conditionalFormatting>
  <conditionalFormatting sqref="AT63">
    <cfRule type="cellIs" dxfId="16659" priority="141747" stopIfTrue="1" operator="equal">
      <formula>-1</formula>
    </cfRule>
  </conditionalFormatting>
  <conditionalFormatting sqref="AT63">
    <cfRule type="cellIs" dxfId="16658" priority="141748" stopIfTrue="1" operator="lessThan">
      <formula>0.5</formula>
    </cfRule>
  </conditionalFormatting>
  <conditionalFormatting sqref="AT63">
    <cfRule type="cellIs" dxfId="16657" priority="141749" stopIfTrue="1" operator="greaterThanOrEqual">
      <formula>0.5</formula>
    </cfRule>
  </conditionalFormatting>
  <conditionalFormatting sqref="AV60">
    <cfRule type="cellIs" dxfId="16656" priority="141750" stopIfTrue="1" operator="equal">
      <formula>-1</formula>
    </cfRule>
  </conditionalFormatting>
  <conditionalFormatting sqref="AV60">
    <cfRule type="cellIs" dxfId="16655" priority="141751" stopIfTrue="1" operator="lessThan">
      <formula>0.5</formula>
    </cfRule>
  </conditionalFormatting>
  <conditionalFormatting sqref="AV60">
    <cfRule type="cellIs" dxfId="16654" priority="141752" stopIfTrue="1" operator="greaterThanOrEqual">
      <formula>0.5</formula>
    </cfRule>
  </conditionalFormatting>
  <conditionalFormatting sqref="AV61">
    <cfRule type="cellIs" dxfId="16653" priority="141753" stopIfTrue="1" operator="equal">
      <formula>-1</formula>
    </cfRule>
  </conditionalFormatting>
  <conditionalFormatting sqref="AV61">
    <cfRule type="cellIs" dxfId="16652" priority="141754" stopIfTrue="1" operator="lessThan">
      <formula>0.5</formula>
    </cfRule>
  </conditionalFormatting>
  <conditionalFormatting sqref="AV61">
    <cfRule type="cellIs" dxfId="16651" priority="141755" stopIfTrue="1" operator="greaterThanOrEqual">
      <formula>0.5</formula>
    </cfRule>
  </conditionalFormatting>
  <conditionalFormatting sqref="AV62">
    <cfRule type="cellIs" dxfId="16650" priority="141756" stopIfTrue="1" operator="equal">
      <formula>-1</formula>
    </cfRule>
  </conditionalFormatting>
  <conditionalFormatting sqref="AV62">
    <cfRule type="cellIs" dxfId="16649" priority="141757" stopIfTrue="1" operator="lessThan">
      <formula>0.5</formula>
    </cfRule>
  </conditionalFormatting>
  <conditionalFormatting sqref="AV62">
    <cfRule type="cellIs" dxfId="16648" priority="141758" stopIfTrue="1" operator="greaterThanOrEqual">
      <formula>0.5</formula>
    </cfRule>
  </conditionalFormatting>
  <conditionalFormatting sqref="AV63">
    <cfRule type="cellIs" dxfId="16647" priority="141759" stopIfTrue="1" operator="equal">
      <formula>-1</formula>
    </cfRule>
  </conditionalFormatting>
  <conditionalFormatting sqref="AV63">
    <cfRule type="cellIs" dxfId="16646" priority="141760" stopIfTrue="1" operator="lessThan">
      <formula>0.5</formula>
    </cfRule>
  </conditionalFormatting>
  <conditionalFormatting sqref="AV63">
    <cfRule type="cellIs" dxfId="16645" priority="141761" stopIfTrue="1" operator="greaterThanOrEqual">
      <formula>0.5</formula>
    </cfRule>
  </conditionalFormatting>
  <conditionalFormatting sqref="AX60">
    <cfRule type="cellIs" dxfId="16644" priority="141762" stopIfTrue="1" operator="equal">
      <formula>-1</formula>
    </cfRule>
  </conditionalFormatting>
  <conditionalFormatting sqref="AX60">
    <cfRule type="cellIs" dxfId="16643" priority="141763" stopIfTrue="1" operator="lessThan">
      <formula>0.5</formula>
    </cfRule>
  </conditionalFormatting>
  <conditionalFormatting sqref="AX60">
    <cfRule type="cellIs" dxfId="16642" priority="141764" stopIfTrue="1" operator="greaterThanOrEqual">
      <formula>0.5</formula>
    </cfRule>
  </conditionalFormatting>
  <conditionalFormatting sqref="AX61">
    <cfRule type="cellIs" dxfId="16641" priority="141765" stopIfTrue="1" operator="equal">
      <formula>-1</formula>
    </cfRule>
  </conditionalFormatting>
  <conditionalFormatting sqref="AX61">
    <cfRule type="cellIs" dxfId="16640" priority="141766" stopIfTrue="1" operator="lessThan">
      <formula>0.5</formula>
    </cfRule>
  </conditionalFormatting>
  <conditionalFormatting sqref="AX61">
    <cfRule type="cellIs" dxfId="16639" priority="141767" stopIfTrue="1" operator="greaterThanOrEqual">
      <formula>0.5</formula>
    </cfRule>
  </conditionalFormatting>
  <conditionalFormatting sqref="AX62">
    <cfRule type="cellIs" dxfId="16638" priority="141768" stopIfTrue="1" operator="equal">
      <formula>-1</formula>
    </cfRule>
  </conditionalFormatting>
  <conditionalFormatting sqref="AX62">
    <cfRule type="cellIs" dxfId="16637" priority="141769" stopIfTrue="1" operator="lessThan">
      <formula>0.5</formula>
    </cfRule>
  </conditionalFormatting>
  <conditionalFormatting sqref="AX62">
    <cfRule type="cellIs" dxfId="16636" priority="141770" stopIfTrue="1" operator="greaterThanOrEqual">
      <formula>0.5</formula>
    </cfRule>
  </conditionalFormatting>
  <conditionalFormatting sqref="AX63">
    <cfRule type="cellIs" dxfId="16635" priority="141771" stopIfTrue="1" operator="equal">
      <formula>-1</formula>
    </cfRule>
  </conditionalFormatting>
  <conditionalFormatting sqref="AX63">
    <cfRule type="cellIs" dxfId="16634" priority="141772" stopIfTrue="1" operator="lessThan">
      <formula>0.5</formula>
    </cfRule>
  </conditionalFormatting>
  <conditionalFormatting sqref="AX63">
    <cfRule type="cellIs" dxfId="16633" priority="141773" stopIfTrue="1" operator="greaterThanOrEqual">
      <formula>0.5</formula>
    </cfRule>
  </conditionalFormatting>
  <conditionalFormatting sqref="AZ60">
    <cfRule type="cellIs" dxfId="16632" priority="141774" stopIfTrue="1" operator="equal">
      <formula>-1</formula>
    </cfRule>
  </conditionalFormatting>
  <conditionalFormatting sqref="AZ60">
    <cfRule type="cellIs" dxfId="16631" priority="141775" stopIfTrue="1" operator="lessThan">
      <formula>0.5</formula>
    </cfRule>
  </conditionalFormatting>
  <conditionalFormatting sqref="AZ60">
    <cfRule type="cellIs" dxfId="16630" priority="141776" stopIfTrue="1" operator="greaterThanOrEqual">
      <formula>0.5</formula>
    </cfRule>
  </conditionalFormatting>
  <conditionalFormatting sqref="AZ61">
    <cfRule type="cellIs" dxfId="16629" priority="141777" stopIfTrue="1" operator="equal">
      <formula>-1</formula>
    </cfRule>
  </conditionalFormatting>
  <conditionalFormatting sqref="AZ61">
    <cfRule type="cellIs" dxfId="16628" priority="141778" stopIfTrue="1" operator="lessThan">
      <formula>0.5</formula>
    </cfRule>
  </conditionalFormatting>
  <conditionalFormatting sqref="AZ61">
    <cfRule type="cellIs" dxfId="16627" priority="141779" stopIfTrue="1" operator="greaterThanOrEqual">
      <formula>0.5</formula>
    </cfRule>
  </conditionalFormatting>
  <conditionalFormatting sqref="AZ62">
    <cfRule type="cellIs" dxfId="16626" priority="141780" stopIfTrue="1" operator="equal">
      <formula>-1</formula>
    </cfRule>
  </conditionalFormatting>
  <conditionalFormatting sqref="AZ62">
    <cfRule type="cellIs" dxfId="16625" priority="141781" stopIfTrue="1" operator="lessThan">
      <formula>0.5</formula>
    </cfRule>
  </conditionalFormatting>
  <conditionalFormatting sqref="AZ62">
    <cfRule type="cellIs" dxfId="16624" priority="141782" stopIfTrue="1" operator="greaterThanOrEqual">
      <formula>0.5</formula>
    </cfRule>
  </conditionalFormatting>
  <conditionalFormatting sqref="AZ63">
    <cfRule type="cellIs" dxfId="16623" priority="141783" stopIfTrue="1" operator="equal">
      <formula>-1</formula>
    </cfRule>
  </conditionalFormatting>
  <conditionalFormatting sqref="AZ63">
    <cfRule type="cellIs" dxfId="16622" priority="141784" stopIfTrue="1" operator="lessThan">
      <formula>0.5</formula>
    </cfRule>
  </conditionalFormatting>
  <conditionalFormatting sqref="AZ63">
    <cfRule type="cellIs" dxfId="16621" priority="141785" stopIfTrue="1" operator="greaterThanOrEqual">
      <formula>0.5</formula>
    </cfRule>
  </conditionalFormatting>
  <conditionalFormatting sqref="BB60">
    <cfRule type="cellIs" dxfId="16620" priority="141786" stopIfTrue="1" operator="equal">
      <formula>-1</formula>
    </cfRule>
  </conditionalFormatting>
  <conditionalFormatting sqref="BB60">
    <cfRule type="cellIs" dxfId="16619" priority="141787" stopIfTrue="1" operator="lessThan">
      <formula>0.5</formula>
    </cfRule>
  </conditionalFormatting>
  <conditionalFormatting sqref="BB60">
    <cfRule type="cellIs" dxfId="16618" priority="141788" stopIfTrue="1" operator="greaterThanOrEqual">
      <formula>0.5</formula>
    </cfRule>
  </conditionalFormatting>
  <conditionalFormatting sqref="BB61">
    <cfRule type="cellIs" dxfId="16617" priority="141789" stopIfTrue="1" operator="equal">
      <formula>-1</formula>
    </cfRule>
  </conditionalFormatting>
  <conditionalFormatting sqref="BB61">
    <cfRule type="cellIs" dxfId="16616" priority="141790" stopIfTrue="1" operator="lessThan">
      <formula>0.5</formula>
    </cfRule>
  </conditionalFormatting>
  <conditionalFormatting sqref="BB61">
    <cfRule type="cellIs" dxfId="16615" priority="141791" stopIfTrue="1" operator="greaterThanOrEqual">
      <formula>0.5</formula>
    </cfRule>
  </conditionalFormatting>
  <conditionalFormatting sqref="BB62">
    <cfRule type="cellIs" dxfId="16614" priority="141792" stopIfTrue="1" operator="equal">
      <formula>-1</formula>
    </cfRule>
  </conditionalFormatting>
  <conditionalFormatting sqref="BB62">
    <cfRule type="cellIs" dxfId="16613" priority="141793" stopIfTrue="1" operator="lessThan">
      <formula>0.5</formula>
    </cfRule>
  </conditionalFormatting>
  <conditionalFormatting sqref="BB62">
    <cfRule type="cellIs" dxfId="16612" priority="141794" stopIfTrue="1" operator="greaterThanOrEqual">
      <formula>0.5</formula>
    </cfRule>
  </conditionalFormatting>
  <conditionalFormatting sqref="BB63">
    <cfRule type="cellIs" dxfId="16611" priority="141795" stopIfTrue="1" operator="equal">
      <formula>-1</formula>
    </cfRule>
  </conditionalFormatting>
  <conditionalFormatting sqref="BB63">
    <cfRule type="cellIs" dxfId="16610" priority="141796" stopIfTrue="1" operator="lessThan">
      <formula>0.5</formula>
    </cfRule>
  </conditionalFormatting>
  <conditionalFormatting sqref="BB63">
    <cfRule type="cellIs" dxfId="16609" priority="141797" stopIfTrue="1" operator="greaterThanOrEqual">
      <formula>0.5</formula>
    </cfRule>
  </conditionalFormatting>
  <conditionalFormatting sqref="BD60">
    <cfRule type="cellIs" dxfId="16608" priority="141798" stopIfTrue="1" operator="equal">
      <formula>-1</formula>
    </cfRule>
  </conditionalFormatting>
  <conditionalFormatting sqref="BD60">
    <cfRule type="cellIs" dxfId="16607" priority="141799" stopIfTrue="1" operator="lessThan">
      <formula>0.5</formula>
    </cfRule>
  </conditionalFormatting>
  <conditionalFormatting sqref="BD60">
    <cfRule type="cellIs" dxfId="16606" priority="141800" stopIfTrue="1" operator="greaterThanOrEqual">
      <formula>0.5</formula>
    </cfRule>
  </conditionalFormatting>
  <conditionalFormatting sqref="BD61">
    <cfRule type="cellIs" dxfId="16605" priority="141801" stopIfTrue="1" operator="equal">
      <formula>-1</formula>
    </cfRule>
  </conditionalFormatting>
  <conditionalFormatting sqref="BD61">
    <cfRule type="cellIs" dxfId="16604" priority="141802" stopIfTrue="1" operator="lessThan">
      <formula>0.5</formula>
    </cfRule>
  </conditionalFormatting>
  <conditionalFormatting sqref="BD61">
    <cfRule type="cellIs" dxfId="16603" priority="141803" stopIfTrue="1" operator="greaterThanOrEqual">
      <formula>0.5</formula>
    </cfRule>
  </conditionalFormatting>
  <conditionalFormatting sqref="BD62">
    <cfRule type="cellIs" dxfId="16602" priority="141804" stopIfTrue="1" operator="equal">
      <formula>-1</formula>
    </cfRule>
  </conditionalFormatting>
  <conditionalFormatting sqref="BD62">
    <cfRule type="cellIs" dxfId="16601" priority="141805" stopIfTrue="1" operator="lessThan">
      <formula>0.5</formula>
    </cfRule>
  </conditionalFormatting>
  <conditionalFormatting sqref="BD62">
    <cfRule type="cellIs" dxfId="16600" priority="141806" stopIfTrue="1" operator="greaterThanOrEqual">
      <formula>0.5</formula>
    </cfRule>
  </conditionalFormatting>
  <conditionalFormatting sqref="BD63">
    <cfRule type="cellIs" dxfId="16599" priority="141807" stopIfTrue="1" operator="equal">
      <formula>-1</formula>
    </cfRule>
  </conditionalFormatting>
  <conditionalFormatting sqref="BD63">
    <cfRule type="cellIs" dxfId="16598" priority="141808" stopIfTrue="1" operator="lessThan">
      <formula>0.5</formula>
    </cfRule>
  </conditionalFormatting>
  <conditionalFormatting sqref="BD63">
    <cfRule type="cellIs" dxfId="16597" priority="141809" stopIfTrue="1" operator="greaterThanOrEqual">
      <formula>0.5</formula>
    </cfRule>
  </conditionalFormatting>
  <conditionalFormatting sqref="BF60">
    <cfRule type="cellIs" dxfId="16596" priority="141810" stopIfTrue="1" operator="equal">
      <formula>-1</formula>
    </cfRule>
  </conditionalFormatting>
  <conditionalFormatting sqref="BF60">
    <cfRule type="cellIs" dxfId="16595" priority="141811" stopIfTrue="1" operator="lessThan">
      <formula>0.5</formula>
    </cfRule>
  </conditionalFormatting>
  <conditionalFormatting sqref="BF60">
    <cfRule type="cellIs" dxfId="16594" priority="141812" stopIfTrue="1" operator="greaterThanOrEqual">
      <formula>0.5</formula>
    </cfRule>
  </conditionalFormatting>
  <conditionalFormatting sqref="BF61">
    <cfRule type="cellIs" dxfId="16593" priority="141813" stopIfTrue="1" operator="equal">
      <formula>-1</formula>
    </cfRule>
  </conditionalFormatting>
  <conditionalFormatting sqref="BF61">
    <cfRule type="cellIs" dxfId="16592" priority="141814" stopIfTrue="1" operator="lessThan">
      <formula>0.5</formula>
    </cfRule>
  </conditionalFormatting>
  <conditionalFormatting sqref="BF61">
    <cfRule type="cellIs" dxfId="16591" priority="141815" stopIfTrue="1" operator="greaterThanOrEqual">
      <formula>0.5</formula>
    </cfRule>
  </conditionalFormatting>
  <conditionalFormatting sqref="BF62">
    <cfRule type="cellIs" dxfId="16590" priority="141816" stopIfTrue="1" operator="equal">
      <formula>-1</formula>
    </cfRule>
  </conditionalFormatting>
  <conditionalFormatting sqref="BF62">
    <cfRule type="cellIs" dxfId="16589" priority="141817" stopIfTrue="1" operator="lessThan">
      <formula>0.5</formula>
    </cfRule>
  </conditionalFormatting>
  <conditionalFormatting sqref="BF62">
    <cfRule type="cellIs" dxfId="16588" priority="141818" stopIfTrue="1" operator="greaterThanOrEqual">
      <formula>0.5</formula>
    </cfRule>
  </conditionalFormatting>
  <conditionalFormatting sqref="BF63">
    <cfRule type="cellIs" dxfId="16587" priority="141819" stopIfTrue="1" operator="equal">
      <formula>-1</formula>
    </cfRule>
  </conditionalFormatting>
  <conditionalFormatting sqref="BF63">
    <cfRule type="cellIs" dxfId="16586" priority="141820" stopIfTrue="1" operator="lessThan">
      <formula>0.5</formula>
    </cfRule>
  </conditionalFormatting>
  <conditionalFormatting sqref="BF63">
    <cfRule type="cellIs" dxfId="16585" priority="141821" stopIfTrue="1" operator="greaterThanOrEqual">
      <formula>0.5</formula>
    </cfRule>
  </conditionalFormatting>
  <conditionalFormatting sqref="BH60">
    <cfRule type="cellIs" dxfId="16584" priority="141822" stopIfTrue="1" operator="equal">
      <formula>-1</formula>
    </cfRule>
  </conditionalFormatting>
  <conditionalFormatting sqref="BH60">
    <cfRule type="cellIs" dxfId="16583" priority="141823" stopIfTrue="1" operator="lessThan">
      <formula>0.5</formula>
    </cfRule>
  </conditionalFormatting>
  <conditionalFormatting sqref="BH60">
    <cfRule type="cellIs" dxfId="16582" priority="141824" stopIfTrue="1" operator="greaterThanOrEqual">
      <formula>0.5</formula>
    </cfRule>
  </conditionalFormatting>
  <conditionalFormatting sqref="BH61">
    <cfRule type="cellIs" dxfId="16581" priority="141825" stopIfTrue="1" operator="equal">
      <formula>-1</formula>
    </cfRule>
  </conditionalFormatting>
  <conditionalFormatting sqref="BH61">
    <cfRule type="cellIs" dxfId="16580" priority="141826" stopIfTrue="1" operator="lessThan">
      <formula>0.5</formula>
    </cfRule>
  </conditionalFormatting>
  <conditionalFormatting sqref="BH61">
    <cfRule type="cellIs" dxfId="16579" priority="141827" stopIfTrue="1" operator="greaterThanOrEqual">
      <formula>0.5</formula>
    </cfRule>
  </conditionalFormatting>
  <conditionalFormatting sqref="BH62">
    <cfRule type="cellIs" dxfId="16578" priority="141828" stopIfTrue="1" operator="equal">
      <formula>-1</formula>
    </cfRule>
  </conditionalFormatting>
  <conditionalFormatting sqref="BH62">
    <cfRule type="cellIs" dxfId="16577" priority="141829" stopIfTrue="1" operator="lessThan">
      <formula>0.5</formula>
    </cfRule>
  </conditionalFormatting>
  <conditionalFormatting sqref="BH62">
    <cfRule type="cellIs" dxfId="16576" priority="141830" stopIfTrue="1" operator="greaterThanOrEqual">
      <formula>0.5</formula>
    </cfRule>
  </conditionalFormatting>
  <conditionalFormatting sqref="BH63">
    <cfRule type="cellIs" dxfId="16575" priority="141831" stopIfTrue="1" operator="equal">
      <formula>-1</formula>
    </cfRule>
  </conditionalFormatting>
  <conditionalFormatting sqref="BH63">
    <cfRule type="cellIs" dxfId="16574" priority="141832" stopIfTrue="1" operator="lessThan">
      <formula>0.5</formula>
    </cfRule>
  </conditionalFormatting>
  <conditionalFormatting sqref="BH63">
    <cfRule type="cellIs" dxfId="16573" priority="141833" stopIfTrue="1" operator="greaterThanOrEqual">
      <formula>0.5</formula>
    </cfRule>
  </conditionalFormatting>
  <conditionalFormatting sqref="BJ60">
    <cfRule type="cellIs" dxfId="16572" priority="141834" stopIfTrue="1" operator="equal">
      <formula>-1</formula>
    </cfRule>
  </conditionalFormatting>
  <conditionalFormatting sqref="BJ60">
    <cfRule type="cellIs" dxfId="16571" priority="141835" stopIfTrue="1" operator="lessThan">
      <formula>0.5</formula>
    </cfRule>
  </conditionalFormatting>
  <conditionalFormatting sqref="BJ60">
    <cfRule type="cellIs" dxfId="16570" priority="141836" stopIfTrue="1" operator="greaterThanOrEqual">
      <formula>0.5</formula>
    </cfRule>
  </conditionalFormatting>
  <conditionalFormatting sqref="BJ61">
    <cfRule type="cellIs" dxfId="16569" priority="141837" stopIfTrue="1" operator="equal">
      <formula>-1</formula>
    </cfRule>
  </conditionalFormatting>
  <conditionalFormatting sqref="BJ61">
    <cfRule type="cellIs" dxfId="16568" priority="141838" stopIfTrue="1" operator="lessThan">
      <formula>0.5</formula>
    </cfRule>
  </conditionalFormatting>
  <conditionalFormatting sqref="BJ61">
    <cfRule type="cellIs" dxfId="16567" priority="141839" stopIfTrue="1" operator="greaterThanOrEqual">
      <formula>0.5</formula>
    </cfRule>
  </conditionalFormatting>
  <conditionalFormatting sqref="BJ62">
    <cfRule type="cellIs" dxfId="16566" priority="141840" stopIfTrue="1" operator="equal">
      <formula>-1</formula>
    </cfRule>
  </conditionalFormatting>
  <conditionalFormatting sqref="BJ62">
    <cfRule type="cellIs" dxfId="16565" priority="141841" stopIfTrue="1" operator="lessThan">
      <formula>0.5</formula>
    </cfRule>
  </conditionalFormatting>
  <conditionalFormatting sqref="BJ62">
    <cfRule type="cellIs" dxfId="16564" priority="141842" stopIfTrue="1" operator="greaterThanOrEqual">
      <formula>0.5</formula>
    </cfRule>
  </conditionalFormatting>
  <conditionalFormatting sqref="BJ63">
    <cfRule type="cellIs" dxfId="16563" priority="141843" stopIfTrue="1" operator="equal">
      <formula>-1</formula>
    </cfRule>
  </conditionalFormatting>
  <conditionalFormatting sqref="BJ63">
    <cfRule type="cellIs" dxfId="16562" priority="141844" stopIfTrue="1" operator="lessThan">
      <formula>0.5</formula>
    </cfRule>
  </conditionalFormatting>
  <conditionalFormatting sqref="BJ63">
    <cfRule type="cellIs" dxfId="16561" priority="141845" stopIfTrue="1" operator="greaterThanOrEqual">
      <formula>0.5</formula>
    </cfRule>
  </conditionalFormatting>
  <conditionalFormatting sqref="D65">
    <cfRule type="cellIs" dxfId="16560" priority="141846" stopIfTrue="1" operator="equal">
      <formula>-1</formula>
    </cfRule>
  </conditionalFormatting>
  <conditionalFormatting sqref="D65">
    <cfRule type="cellIs" dxfId="16559" priority="141847" stopIfTrue="1" operator="lessThan">
      <formula>0.5</formula>
    </cfRule>
  </conditionalFormatting>
  <conditionalFormatting sqref="D65">
    <cfRule type="cellIs" dxfId="16558" priority="141848" stopIfTrue="1" operator="greaterThanOrEqual">
      <formula>0.5</formula>
    </cfRule>
  </conditionalFormatting>
  <conditionalFormatting sqref="D66">
    <cfRule type="cellIs" dxfId="16557" priority="141849" stopIfTrue="1" operator="equal">
      <formula>-1</formula>
    </cfRule>
  </conditionalFormatting>
  <conditionalFormatting sqref="D66">
    <cfRule type="cellIs" dxfId="16556" priority="141850" stopIfTrue="1" operator="lessThan">
      <formula>0.5</formula>
    </cfRule>
  </conditionalFormatting>
  <conditionalFormatting sqref="D66">
    <cfRule type="cellIs" dxfId="16555" priority="141851" stopIfTrue="1" operator="greaterThanOrEqual">
      <formula>0.5</formula>
    </cfRule>
  </conditionalFormatting>
  <conditionalFormatting sqref="D67">
    <cfRule type="cellIs" dxfId="16554" priority="141852" stopIfTrue="1" operator="equal">
      <formula>-1</formula>
    </cfRule>
  </conditionalFormatting>
  <conditionalFormatting sqref="D67">
    <cfRule type="cellIs" dxfId="16553" priority="141853" stopIfTrue="1" operator="lessThan">
      <formula>0.5</formula>
    </cfRule>
  </conditionalFormatting>
  <conditionalFormatting sqref="D67">
    <cfRule type="cellIs" dxfId="16552" priority="141854" stopIfTrue="1" operator="greaterThanOrEqual">
      <formula>0.5</formula>
    </cfRule>
  </conditionalFormatting>
  <conditionalFormatting sqref="D68">
    <cfRule type="cellIs" dxfId="16551" priority="141855" stopIfTrue="1" operator="equal">
      <formula>-1</formula>
    </cfRule>
  </conditionalFormatting>
  <conditionalFormatting sqref="D68">
    <cfRule type="cellIs" dxfId="16550" priority="141856" stopIfTrue="1" operator="lessThan">
      <formula>0.5</formula>
    </cfRule>
  </conditionalFormatting>
  <conditionalFormatting sqref="D68">
    <cfRule type="cellIs" dxfId="16549" priority="141857" stopIfTrue="1" operator="greaterThanOrEqual">
      <formula>0.5</formula>
    </cfRule>
  </conditionalFormatting>
  <conditionalFormatting sqref="D69">
    <cfRule type="cellIs" dxfId="16548" priority="141858" stopIfTrue="1" operator="equal">
      <formula>-1</formula>
    </cfRule>
  </conditionalFormatting>
  <conditionalFormatting sqref="D69">
    <cfRule type="cellIs" dxfId="16547" priority="141859" stopIfTrue="1" operator="lessThan">
      <formula>0.5</formula>
    </cfRule>
  </conditionalFormatting>
  <conditionalFormatting sqref="D69">
    <cfRule type="cellIs" dxfId="16546" priority="141860" stopIfTrue="1" operator="greaterThanOrEqual">
      <formula>0.5</formula>
    </cfRule>
  </conditionalFormatting>
  <conditionalFormatting sqref="D70">
    <cfRule type="cellIs" dxfId="16545" priority="141861" stopIfTrue="1" operator="equal">
      <formula>-1</formula>
    </cfRule>
  </conditionalFormatting>
  <conditionalFormatting sqref="D70">
    <cfRule type="cellIs" dxfId="16544" priority="141862" stopIfTrue="1" operator="lessThan">
      <formula>0.5</formula>
    </cfRule>
  </conditionalFormatting>
  <conditionalFormatting sqref="D70">
    <cfRule type="cellIs" dxfId="16543" priority="141863" stopIfTrue="1" operator="greaterThanOrEqual">
      <formula>0.5</formula>
    </cfRule>
  </conditionalFormatting>
  <conditionalFormatting sqref="D71">
    <cfRule type="cellIs" dxfId="16542" priority="141864" stopIfTrue="1" operator="equal">
      <formula>-1</formula>
    </cfRule>
  </conditionalFormatting>
  <conditionalFormatting sqref="D71">
    <cfRule type="cellIs" dxfId="16541" priority="141865" stopIfTrue="1" operator="lessThan">
      <formula>0.5</formula>
    </cfRule>
  </conditionalFormatting>
  <conditionalFormatting sqref="D71">
    <cfRule type="cellIs" dxfId="16540" priority="141866" stopIfTrue="1" operator="greaterThanOrEqual">
      <formula>0.5</formula>
    </cfRule>
  </conditionalFormatting>
  <conditionalFormatting sqref="D72">
    <cfRule type="cellIs" dxfId="16539" priority="141867" stopIfTrue="1" operator="equal">
      <formula>-1</formula>
    </cfRule>
  </conditionalFormatting>
  <conditionalFormatting sqref="D72">
    <cfRule type="cellIs" dxfId="16538" priority="141868" stopIfTrue="1" operator="lessThan">
      <formula>0.5</formula>
    </cfRule>
  </conditionalFormatting>
  <conditionalFormatting sqref="D72">
    <cfRule type="cellIs" dxfId="16537" priority="141869" stopIfTrue="1" operator="greaterThanOrEqual">
      <formula>0.5</formula>
    </cfRule>
  </conditionalFormatting>
  <conditionalFormatting sqref="D73">
    <cfRule type="cellIs" dxfId="16536" priority="141870" stopIfTrue="1" operator="equal">
      <formula>-1</formula>
    </cfRule>
  </conditionalFormatting>
  <conditionalFormatting sqref="D73">
    <cfRule type="cellIs" dxfId="16535" priority="141871" stopIfTrue="1" operator="lessThan">
      <formula>0.5</formula>
    </cfRule>
  </conditionalFormatting>
  <conditionalFormatting sqref="D73">
    <cfRule type="cellIs" dxfId="16534" priority="141872" stopIfTrue="1" operator="greaterThanOrEqual">
      <formula>0.5</formula>
    </cfRule>
  </conditionalFormatting>
  <conditionalFormatting sqref="D74">
    <cfRule type="cellIs" dxfId="16533" priority="141873" stopIfTrue="1" operator="equal">
      <formula>-1</formula>
    </cfRule>
  </conditionalFormatting>
  <conditionalFormatting sqref="D74">
    <cfRule type="cellIs" dxfId="16532" priority="141874" stopIfTrue="1" operator="lessThan">
      <formula>0.5</formula>
    </cfRule>
  </conditionalFormatting>
  <conditionalFormatting sqref="D74">
    <cfRule type="cellIs" dxfId="16531" priority="141875" stopIfTrue="1" operator="greaterThanOrEqual">
      <formula>0.5</formula>
    </cfRule>
  </conditionalFormatting>
  <conditionalFormatting sqref="D75">
    <cfRule type="cellIs" dxfId="16530" priority="141876" stopIfTrue="1" operator="equal">
      <formula>-1</formula>
    </cfRule>
  </conditionalFormatting>
  <conditionalFormatting sqref="D75">
    <cfRule type="cellIs" dxfId="16529" priority="141877" stopIfTrue="1" operator="lessThan">
      <formula>0.5</formula>
    </cfRule>
  </conditionalFormatting>
  <conditionalFormatting sqref="D75">
    <cfRule type="cellIs" dxfId="16528" priority="141878" stopIfTrue="1" operator="greaterThanOrEqual">
      <formula>0.5</formula>
    </cfRule>
  </conditionalFormatting>
  <conditionalFormatting sqref="D76">
    <cfRule type="cellIs" dxfId="16527" priority="141879" stopIfTrue="1" operator="equal">
      <formula>-1</formula>
    </cfRule>
  </conditionalFormatting>
  <conditionalFormatting sqref="D76">
    <cfRule type="cellIs" dxfId="16526" priority="141880" stopIfTrue="1" operator="lessThan">
      <formula>0.5</formula>
    </cfRule>
  </conditionalFormatting>
  <conditionalFormatting sqref="D76">
    <cfRule type="cellIs" dxfId="16525" priority="141881" stopIfTrue="1" operator="greaterThanOrEqual">
      <formula>0.5</formula>
    </cfRule>
  </conditionalFormatting>
  <conditionalFormatting sqref="D77">
    <cfRule type="cellIs" dxfId="16524" priority="141882" stopIfTrue="1" operator="equal">
      <formula>-1</formula>
    </cfRule>
  </conditionalFormatting>
  <conditionalFormatting sqref="D77">
    <cfRule type="cellIs" dxfId="16523" priority="141883" stopIfTrue="1" operator="lessThan">
      <formula>0.5</formula>
    </cfRule>
  </conditionalFormatting>
  <conditionalFormatting sqref="D77">
    <cfRule type="cellIs" dxfId="16522" priority="141884" stopIfTrue="1" operator="greaterThanOrEqual">
      <formula>0.5</formula>
    </cfRule>
  </conditionalFormatting>
  <conditionalFormatting sqref="D78">
    <cfRule type="cellIs" dxfId="16521" priority="141885" stopIfTrue="1" operator="equal">
      <formula>-1</formula>
    </cfRule>
  </conditionalFormatting>
  <conditionalFormatting sqref="D78">
    <cfRule type="cellIs" dxfId="16520" priority="141886" stopIfTrue="1" operator="lessThan">
      <formula>0.5</formula>
    </cfRule>
  </conditionalFormatting>
  <conditionalFormatting sqref="D78">
    <cfRule type="cellIs" dxfId="16519" priority="141887" stopIfTrue="1" operator="greaterThanOrEqual">
      <formula>0.5</formula>
    </cfRule>
  </conditionalFormatting>
  <conditionalFormatting sqref="D79">
    <cfRule type="cellIs" dxfId="16518" priority="141888" stopIfTrue="1" operator="equal">
      <formula>-1</formula>
    </cfRule>
  </conditionalFormatting>
  <conditionalFormatting sqref="D79">
    <cfRule type="cellIs" dxfId="16517" priority="141889" stopIfTrue="1" operator="lessThan">
      <formula>0.5</formula>
    </cfRule>
  </conditionalFormatting>
  <conditionalFormatting sqref="D79">
    <cfRule type="cellIs" dxfId="16516" priority="141890" stopIfTrue="1" operator="greaterThanOrEqual">
      <formula>0.5</formula>
    </cfRule>
  </conditionalFormatting>
  <conditionalFormatting sqref="D80">
    <cfRule type="cellIs" dxfId="16515" priority="141891" stopIfTrue="1" operator="equal">
      <formula>-1</formula>
    </cfRule>
  </conditionalFormatting>
  <conditionalFormatting sqref="D80">
    <cfRule type="cellIs" dxfId="16514" priority="141892" stopIfTrue="1" operator="lessThan">
      <formula>0.5</formula>
    </cfRule>
  </conditionalFormatting>
  <conditionalFormatting sqref="D80">
    <cfRule type="cellIs" dxfId="16513" priority="141893" stopIfTrue="1" operator="greaterThanOrEqual">
      <formula>0.5</formula>
    </cfRule>
  </conditionalFormatting>
  <conditionalFormatting sqref="D81">
    <cfRule type="cellIs" dxfId="16512" priority="141894" stopIfTrue="1" operator="equal">
      <formula>-1</formula>
    </cfRule>
  </conditionalFormatting>
  <conditionalFormatting sqref="D81">
    <cfRule type="cellIs" dxfId="16511" priority="141895" stopIfTrue="1" operator="lessThan">
      <formula>0.5</formula>
    </cfRule>
  </conditionalFormatting>
  <conditionalFormatting sqref="D81">
    <cfRule type="cellIs" dxfId="16510" priority="141896" stopIfTrue="1" operator="greaterThanOrEqual">
      <formula>0.5</formula>
    </cfRule>
  </conditionalFormatting>
  <conditionalFormatting sqref="D82">
    <cfRule type="cellIs" dxfId="16509" priority="141897" stopIfTrue="1" operator="equal">
      <formula>-1</formula>
    </cfRule>
  </conditionalFormatting>
  <conditionalFormatting sqref="D82">
    <cfRule type="cellIs" dxfId="16508" priority="141898" stopIfTrue="1" operator="lessThan">
      <formula>0.5</formula>
    </cfRule>
  </conditionalFormatting>
  <conditionalFormatting sqref="D82">
    <cfRule type="cellIs" dxfId="16507" priority="141899" stopIfTrue="1" operator="greaterThanOrEqual">
      <formula>0.5</formula>
    </cfRule>
  </conditionalFormatting>
  <conditionalFormatting sqref="D83">
    <cfRule type="cellIs" dxfId="16506" priority="141900" stopIfTrue="1" operator="equal">
      <formula>-1</formula>
    </cfRule>
  </conditionalFormatting>
  <conditionalFormatting sqref="D83">
    <cfRule type="cellIs" dxfId="16505" priority="141901" stopIfTrue="1" operator="lessThan">
      <formula>0.5</formula>
    </cfRule>
  </conditionalFormatting>
  <conditionalFormatting sqref="D83">
    <cfRule type="cellIs" dxfId="16504" priority="141902" stopIfTrue="1" operator="greaterThanOrEqual">
      <formula>0.5</formula>
    </cfRule>
  </conditionalFormatting>
  <conditionalFormatting sqref="D84">
    <cfRule type="cellIs" dxfId="16503" priority="141903" stopIfTrue="1" operator="equal">
      <formula>-1</formula>
    </cfRule>
  </conditionalFormatting>
  <conditionalFormatting sqref="D84">
    <cfRule type="cellIs" dxfId="16502" priority="141904" stopIfTrue="1" operator="lessThan">
      <formula>0.5</formula>
    </cfRule>
  </conditionalFormatting>
  <conditionalFormatting sqref="D84">
    <cfRule type="cellIs" dxfId="16501" priority="141905" stopIfTrue="1" operator="greaterThanOrEqual">
      <formula>0.5</formula>
    </cfRule>
  </conditionalFormatting>
  <conditionalFormatting sqref="D85">
    <cfRule type="cellIs" dxfId="16500" priority="141906" stopIfTrue="1" operator="equal">
      <formula>-1</formula>
    </cfRule>
  </conditionalFormatting>
  <conditionalFormatting sqref="D85">
    <cfRule type="cellIs" dxfId="16499" priority="141907" stopIfTrue="1" operator="lessThan">
      <formula>0.5</formula>
    </cfRule>
  </conditionalFormatting>
  <conditionalFormatting sqref="D85">
    <cfRule type="cellIs" dxfId="16498" priority="141908" stopIfTrue="1" operator="greaterThanOrEqual">
      <formula>0.5</formula>
    </cfRule>
  </conditionalFormatting>
  <conditionalFormatting sqref="F65">
    <cfRule type="cellIs" dxfId="16497" priority="141909" stopIfTrue="1" operator="equal">
      <formula>-1</formula>
    </cfRule>
  </conditionalFormatting>
  <conditionalFormatting sqref="F65">
    <cfRule type="cellIs" dxfId="16496" priority="141910" stopIfTrue="1" operator="lessThan">
      <formula>0.5</formula>
    </cfRule>
  </conditionalFormatting>
  <conditionalFormatting sqref="F65">
    <cfRule type="cellIs" dxfId="16495" priority="141911" stopIfTrue="1" operator="greaterThanOrEqual">
      <formula>0.5</formula>
    </cfRule>
  </conditionalFormatting>
  <conditionalFormatting sqref="F66">
    <cfRule type="cellIs" dxfId="16494" priority="141912" stopIfTrue="1" operator="equal">
      <formula>-1</formula>
    </cfRule>
  </conditionalFormatting>
  <conditionalFormatting sqref="F66">
    <cfRule type="cellIs" dxfId="16493" priority="141913" stopIfTrue="1" operator="lessThan">
      <formula>0.5</formula>
    </cfRule>
  </conditionalFormatting>
  <conditionalFormatting sqref="F66">
    <cfRule type="cellIs" dxfId="16492" priority="141914" stopIfTrue="1" operator="greaterThanOrEqual">
      <formula>0.5</formula>
    </cfRule>
  </conditionalFormatting>
  <conditionalFormatting sqref="F67">
    <cfRule type="cellIs" dxfId="16491" priority="141915" stopIfTrue="1" operator="equal">
      <formula>-1</formula>
    </cfRule>
  </conditionalFormatting>
  <conditionalFormatting sqref="F67">
    <cfRule type="cellIs" dxfId="16490" priority="141916" stopIfTrue="1" operator="lessThan">
      <formula>0.5</formula>
    </cfRule>
  </conditionalFormatting>
  <conditionalFormatting sqref="F67">
    <cfRule type="cellIs" dxfId="16489" priority="141917" stopIfTrue="1" operator="greaterThanOrEqual">
      <formula>0.5</formula>
    </cfRule>
  </conditionalFormatting>
  <conditionalFormatting sqref="F68">
    <cfRule type="cellIs" dxfId="16488" priority="141918" stopIfTrue="1" operator="equal">
      <formula>-1</formula>
    </cfRule>
  </conditionalFormatting>
  <conditionalFormatting sqref="F68">
    <cfRule type="cellIs" dxfId="16487" priority="141919" stopIfTrue="1" operator="lessThan">
      <formula>0.5</formula>
    </cfRule>
  </conditionalFormatting>
  <conditionalFormatting sqref="F68">
    <cfRule type="cellIs" dxfId="16486" priority="141920" stopIfTrue="1" operator="greaterThanOrEqual">
      <formula>0.5</formula>
    </cfRule>
  </conditionalFormatting>
  <conditionalFormatting sqref="F69">
    <cfRule type="cellIs" dxfId="16485" priority="141921" stopIfTrue="1" operator="equal">
      <formula>-1</formula>
    </cfRule>
  </conditionalFormatting>
  <conditionalFormatting sqref="F69">
    <cfRule type="cellIs" dxfId="16484" priority="141922" stopIfTrue="1" operator="lessThan">
      <formula>0.5</formula>
    </cfRule>
  </conditionalFormatting>
  <conditionalFormatting sqref="F69">
    <cfRule type="cellIs" dxfId="16483" priority="141923" stopIfTrue="1" operator="greaterThanOrEqual">
      <formula>0.5</formula>
    </cfRule>
  </conditionalFormatting>
  <conditionalFormatting sqref="F70">
    <cfRule type="cellIs" dxfId="16482" priority="141924" stopIfTrue="1" operator="equal">
      <formula>-1</formula>
    </cfRule>
  </conditionalFormatting>
  <conditionalFormatting sqref="F70">
    <cfRule type="cellIs" dxfId="16481" priority="141925" stopIfTrue="1" operator="lessThan">
      <formula>0.5</formula>
    </cfRule>
  </conditionalFormatting>
  <conditionalFormatting sqref="F70">
    <cfRule type="cellIs" dxfId="16480" priority="141926" stopIfTrue="1" operator="greaterThanOrEqual">
      <formula>0.5</formula>
    </cfRule>
  </conditionalFormatting>
  <conditionalFormatting sqref="F71">
    <cfRule type="cellIs" dxfId="16479" priority="141927" stopIfTrue="1" operator="equal">
      <formula>-1</formula>
    </cfRule>
  </conditionalFormatting>
  <conditionalFormatting sqref="F71">
    <cfRule type="cellIs" dxfId="16478" priority="141928" stopIfTrue="1" operator="lessThan">
      <formula>0.5</formula>
    </cfRule>
  </conditionalFormatting>
  <conditionalFormatting sqref="F71">
    <cfRule type="cellIs" dxfId="16477" priority="141929" stopIfTrue="1" operator="greaterThanOrEqual">
      <formula>0.5</formula>
    </cfRule>
  </conditionalFormatting>
  <conditionalFormatting sqref="F72">
    <cfRule type="cellIs" dxfId="16476" priority="141930" stopIfTrue="1" operator="equal">
      <formula>-1</formula>
    </cfRule>
  </conditionalFormatting>
  <conditionalFormatting sqref="F72">
    <cfRule type="cellIs" dxfId="16475" priority="141931" stopIfTrue="1" operator="lessThan">
      <formula>0.5</formula>
    </cfRule>
  </conditionalFormatting>
  <conditionalFormatting sqref="F72">
    <cfRule type="cellIs" dxfId="16474" priority="141932" stopIfTrue="1" operator="greaterThanOrEqual">
      <formula>0.5</formula>
    </cfRule>
  </conditionalFormatting>
  <conditionalFormatting sqref="F73">
    <cfRule type="cellIs" dxfId="16473" priority="141933" stopIfTrue="1" operator="equal">
      <formula>-1</formula>
    </cfRule>
  </conditionalFormatting>
  <conditionalFormatting sqref="F73">
    <cfRule type="cellIs" dxfId="16472" priority="141934" stopIfTrue="1" operator="lessThan">
      <formula>0.5</formula>
    </cfRule>
  </conditionalFormatting>
  <conditionalFormatting sqref="F73">
    <cfRule type="cellIs" dxfId="16471" priority="141935" stopIfTrue="1" operator="greaterThanOrEqual">
      <formula>0.5</formula>
    </cfRule>
  </conditionalFormatting>
  <conditionalFormatting sqref="F74">
    <cfRule type="cellIs" dxfId="16470" priority="141936" stopIfTrue="1" operator="equal">
      <formula>-1</formula>
    </cfRule>
  </conditionalFormatting>
  <conditionalFormatting sqref="F74">
    <cfRule type="cellIs" dxfId="16469" priority="141937" stopIfTrue="1" operator="lessThan">
      <formula>0.5</formula>
    </cfRule>
  </conditionalFormatting>
  <conditionalFormatting sqref="F74">
    <cfRule type="cellIs" dxfId="16468" priority="141938" stopIfTrue="1" operator="greaterThanOrEqual">
      <formula>0.5</formula>
    </cfRule>
  </conditionalFormatting>
  <conditionalFormatting sqref="F75">
    <cfRule type="cellIs" dxfId="16467" priority="141939" stopIfTrue="1" operator="equal">
      <formula>-1</formula>
    </cfRule>
  </conditionalFormatting>
  <conditionalFormatting sqref="F75">
    <cfRule type="cellIs" dxfId="16466" priority="141940" stopIfTrue="1" operator="lessThan">
      <formula>0.5</formula>
    </cfRule>
  </conditionalFormatting>
  <conditionalFormatting sqref="F75">
    <cfRule type="cellIs" dxfId="16465" priority="141941" stopIfTrue="1" operator="greaterThanOrEqual">
      <formula>0.5</formula>
    </cfRule>
  </conditionalFormatting>
  <conditionalFormatting sqref="F76">
    <cfRule type="cellIs" dxfId="16464" priority="141942" stopIfTrue="1" operator="equal">
      <formula>-1</formula>
    </cfRule>
  </conditionalFormatting>
  <conditionalFormatting sqref="F76">
    <cfRule type="cellIs" dxfId="16463" priority="141943" stopIfTrue="1" operator="lessThan">
      <formula>0.5</formula>
    </cfRule>
  </conditionalFormatting>
  <conditionalFormatting sqref="F76">
    <cfRule type="cellIs" dxfId="16462" priority="141944" stopIfTrue="1" operator="greaterThanOrEqual">
      <formula>0.5</formula>
    </cfRule>
  </conditionalFormatting>
  <conditionalFormatting sqref="F77">
    <cfRule type="cellIs" dxfId="16461" priority="141945" stopIfTrue="1" operator="equal">
      <formula>-1</formula>
    </cfRule>
  </conditionalFormatting>
  <conditionalFormatting sqref="F77">
    <cfRule type="cellIs" dxfId="16460" priority="141946" stopIfTrue="1" operator="lessThan">
      <formula>0.5</formula>
    </cfRule>
  </conditionalFormatting>
  <conditionalFormatting sqref="F77">
    <cfRule type="cellIs" dxfId="16459" priority="141947" stopIfTrue="1" operator="greaterThanOrEqual">
      <formula>0.5</formula>
    </cfRule>
  </conditionalFormatting>
  <conditionalFormatting sqref="F78">
    <cfRule type="cellIs" dxfId="16458" priority="141948" stopIfTrue="1" operator="equal">
      <formula>-1</formula>
    </cfRule>
  </conditionalFormatting>
  <conditionalFormatting sqref="F78">
    <cfRule type="cellIs" dxfId="16457" priority="141949" stopIfTrue="1" operator="lessThan">
      <formula>0.5</formula>
    </cfRule>
  </conditionalFormatting>
  <conditionalFormatting sqref="F78">
    <cfRule type="cellIs" dxfId="16456" priority="141950" stopIfTrue="1" operator="greaterThanOrEqual">
      <formula>0.5</formula>
    </cfRule>
  </conditionalFormatting>
  <conditionalFormatting sqref="F79">
    <cfRule type="cellIs" dxfId="16455" priority="141951" stopIfTrue="1" operator="equal">
      <formula>-1</formula>
    </cfRule>
  </conditionalFormatting>
  <conditionalFormatting sqref="F79">
    <cfRule type="cellIs" dxfId="16454" priority="141952" stopIfTrue="1" operator="lessThan">
      <formula>0.5</formula>
    </cfRule>
  </conditionalFormatting>
  <conditionalFormatting sqref="F79">
    <cfRule type="cellIs" dxfId="16453" priority="141953" stopIfTrue="1" operator="greaterThanOrEqual">
      <formula>0.5</formula>
    </cfRule>
  </conditionalFormatting>
  <conditionalFormatting sqref="F80">
    <cfRule type="cellIs" dxfId="16452" priority="141954" stopIfTrue="1" operator="equal">
      <formula>-1</formula>
    </cfRule>
  </conditionalFormatting>
  <conditionalFormatting sqref="F80">
    <cfRule type="cellIs" dxfId="16451" priority="141955" stopIfTrue="1" operator="lessThan">
      <formula>0.5</formula>
    </cfRule>
  </conditionalFormatting>
  <conditionalFormatting sqref="F80">
    <cfRule type="cellIs" dxfId="16450" priority="141956" stopIfTrue="1" operator="greaterThanOrEqual">
      <formula>0.5</formula>
    </cfRule>
  </conditionalFormatting>
  <conditionalFormatting sqref="F81">
    <cfRule type="cellIs" dxfId="16449" priority="141957" stopIfTrue="1" operator="equal">
      <formula>-1</formula>
    </cfRule>
  </conditionalFormatting>
  <conditionalFormatting sqref="F81">
    <cfRule type="cellIs" dxfId="16448" priority="141958" stopIfTrue="1" operator="lessThan">
      <formula>0.5</formula>
    </cfRule>
  </conditionalFormatting>
  <conditionalFormatting sqref="F81">
    <cfRule type="cellIs" dxfId="16447" priority="141959" stopIfTrue="1" operator="greaterThanOrEqual">
      <formula>0.5</formula>
    </cfRule>
  </conditionalFormatting>
  <conditionalFormatting sqref="F82">
    <cfRule type="cellIs" dxfId="16446" priority="141960" stopIfTrue="1" operator="equal">
      <formula>-1</formula>
    </cfRule>
  </conditionalFormatting>
  <conditionalFormatting sqref="F82">
    <cfRule type="cellIs" dxfId="16445" priority="141961" stopIfTrue="1" operator="lessThan">
      <formula>0.5</formula>
    </cfRule>
  </conditionalFormatting>
  <conditionalFormatting sqref="F82">
    <cfRule type="cellIs" dxfId="16444" priority="141962" stopIfTrue="1" operator="greaterThanOrEqual">
      <formula>0.5</formula>
    </cfRule>
  </conditionalFormatting>
  <conditionalFormatting sqref="F83">
    <cfRule type="cellIs" dxfId="16443" priority="141963" stopIfTrue="1" operator="equal">
      <formula>-1</formula>
    </cfRule>
  </conditionalFormatting>
  <conditionalFormatting sqref="F83">
    <cfRule type="cellIs" dxfId="16442" priority="141964" stopIfTrue="1" operator="lessThan">
      <formula>0.5</formula>
    </cfRule>
  </conditionalFormatting>
  <conditionalFormatting sqref="F83">
    <cfRule type="cellIs" dxfId="16441" priority="141965" stopIfTrue="1" operator="greaterThanOrEqual">
      <formula>0.5</formula>
    </cfRule>
  </conditionalFormatting>
  <conditionalFormatting sqref="F84">
    <cfRule type="cellIs" dxfId="16440" priority="141966" stopIfTrue="1" operator="equal">
      <formula>-1</formula>
    </cfRule>
  </conditionalFormatting>
  <conditionalFormatting sqref="F84">
    <cfRule type="cellIs" dxfId="16439" priority="141967" stopIfTrue="1" operator="lessThan">
      <formula>0.5</formula>
    </cfRule>
  </conditionalFormatting>
  <conditionalFormatting sqref="F84">
    <cfRule type="cellIs" dxfId="16438" priority="141968" stopIfTrue="1" operator="greaterThanOrEqual">
      <formula>0.5</formula>
    </cfRule>
  </conditionalFormatting>
  <conditionalFormatting sqref="F85">
    <cfRule type="cellIs" dxfId="16437" priority="141969" stopIfTrue="1" operator="equal">
      <formula>-1</formula>
    </cfRule>
  </conditionalFormatting>
  <conditionalFormatting sqref="F85">
    <cfRule type="cellIs" dxfId="16436" priority="141970" stopIfTrue="1" operator="lessThan">
      <formula>0.5</formula>
    </cfRule>
  </conditionalFormatting>
  <conditionalFormatting sqref="F85">
    <cfRule type="cellIs" dxfId="16435" priority="141971" stopIfTrue="1" operator="greaterThanOrEqual">
      <formula>0.5</formula>
    </cfRule>
  </conditionalFormatting>
  <conditionalFormatting sqref="H65">
    <cfRule type="cellIs" dxfId="16434" priority="141972" stopIfTrue="1" operator="equal">
      <formula>-1</formula>
    </cfRule>
  </conditionalFormatting>
  <conditionalFormatting sqref="H65">
    <cfRule type="cellIs" dxfId="16433" priority="141973" stopIfTrue="1" operator="lessThan">
      <formula>0.5</formula>
    </cfRule>
  </conditionalFormatting>
  <conditionalFormatting sqref="H65">
    <cfRule type="cellIs" dxfId="16432" priority="141974" stopIfTrue="1" operator="greaterThanOrEqual">
      <formula>0.5</formula>
    </cfRule>
  </conditionalFormatting>
  <conditionalFormatting sqref="H66">
    <cfRule type="cellIs" dxfId="16431" priority="141975" stopIfTrue="1" operator="equal">
      <formula>-1</formula>
    </cfRule>
  </conditionalFormatting>
  <conditionalFormatting sqref="H66">
    <cfRule type="cellIs" dxfId="16430" priority="141976" stopIfTrue="1" operator="lessThan">
      <formula>0.5</formula>
    </cfRule>
  </conditionalFormatting>
  <conditionalFormatting sqref="H66">
    <cfRule type="cellIs" dxfId="16429" priority="141977" stopIfTrue="1" operator="greaterThanOrEqual">
      <formula>0.5</formula>
    </cfRule>
  </conditionalFormatting>
  <conditionalFormatting sqref="H67">
    <cfRule type="cellIs" dxfId="16428" priority="141978" stopIfTrue="1" operator="equal">
      <formula>-1</formula>
    </cfRule>
  </conditionalFormatting>
  <conditionalFormatting sqref="H67">
    <cfRule type="cellIs" dxfId="16427" priority="141979" stopIfTrue="1" operator="lessThan">
      <formula>0.5</formula>
    </cfRule>
  </conditionalFormatting>
  <conditionalFormatting sqref="H67">
    <cfRule type="cellIs" dxfId="16426" priority="141980" stopIfTrue="1" operator="greaterThanOrEqual">
      <formula>0.5</formula>
    </cfRule>
  </conditionalFormatting>
  <conditionalFormatting sqref="H68">
    <cfRule type="cellIs" dxfId="16425" priority="141981" stopIfTrue="1" operator="equal">
      <formula>-1</formula>
    </cfRule>
  </conditionalFormatting>
  <conditionalFormatting sqref="H68">
    <cfRule type="cellIs" dxfId="16424" priority="141982" stopIfTrue="1" operator="lessThan">
      <formula>0.5</formula>
    </cfRule>
  </conditionalFormatting>
  <conditionalFormatting sqref="H68">
    <cfRule type="cellIs" dxfId="16423" priority="141983" stopIfTrue="1" operator="greaterThanOrEqual">
      <formula>0.5</formula>
    </cfRule>
  </conditionalFormatting>
  <conditionalFormatting sqref="H69">
    <cfRule type="cellIs" dxfId="16422" priority="141984" stopIfTrue="1" operator="equal">
      <formula>-1</formula>
    </cfRule>
  </conditionalFormatting>
  <conditionalFormatting sqref="H69">
    <cfRule type="cellIs" dxfId="16421" priority="141985" stopIfTrue="1" operator="lessThan">
      <formula>0.5</formula>
    </cfRule>
  </conditionalFormatting>
  <conditionalFormatting sqref="H69">
    <cfRule type="cellIs" dxfId="16420" priority="141986" stopIfTrue="1" operator="greaterThanOrEqual">
      <formula>0.5</formula>
    </cfRule>
  </conditionalFormatting>
  <conditionalFormatting sqref="H70">
    <cfRule type="cellIs" dxfId="16419" priority="141987" stopIfTrue="1" operator="equal">
      <formula>-1</formula>
    </cfRule>
  </conditionalFormatting>
  <conditionalFormatting sqref="H70">
    <cfRule type="cellIs" dxfId="16418" priority="141988" stopIfTrue="1" operator="lessThan">
      <formula>0.5</formula>
    </cfRule>
  </conditionalFormatting>
  <conditionalFormatting sqref="H70">
    <cfRule type="cellIs" dxfId="16417" priority="141989" stopIfTrue="1" operator="greaterThanOrEqual">
      <formula>0.5</formula>
    </cfRule>
  </conditionalFormatting>
  <conditionalFormatting sqref="H71">
    <cfRule type="cellIs" dxfId="16416" priority="141990" stopIfTrue="1" operator="equal">
      <formula>-1</formula>
    </cfRule>
  </conditionalFormatting>
  <conditionalFormatting sqref="H71">
    <cfRule type="cellIs" dxfId="16415" priority="141991" stopIfTrue="1" operator="lessThan">
      <formula>0.5</formula>
    </cfRule>
  </conditionalFormatting>
  <conditionalFormatting sqref="H71">
    <cfRule type="cellIs" dxfId="16414" priority="141992" stopIfTrue="1" operator="greaterThanOrEqual">
      <formula>0.5</formula>
    </cfRule>
  </conditionalFormatting>
  <conditionalFormatting sqref="H72">
    <cfRule type="cellIs" dxfId="16413" priority="141993" stopIfTrue="1" operator="equal">
      <formula>-1</formula>
    </cfRule>
  </conditionalFormatting>
  <conditionalFormatting sqref="H72">
    <cfRule type="cellIs" dxfId="16412" priority="141994" stopIfTrue="1" operator="lessThan">
      <formula>0.5</formula>
    </cfRule>
  </conditionalFormatting>
  <conditionalFormatting sqref="H72">
    <cfRule type="cellIs" dxfId="16411" priority="141995" stopIfTrue="1" operator="greaterThanOrEqual">
      <formula>0.5</formula>
    </cfRule>
  </conditionalFormatting>
  <conditionalFormatting sqref="H73">
    <cfRule type="cellIs" dxfId="16410" priority="141996" stopIfTrue="1" operator="equal">
      <formula>-1</formula>
    </cfRule>
  </conditionalFormatting>
  <conditionalFormatting sqref="H73">
    <cfRule type="cellIs" dxfId="16409" priority="141997" stopIfTrue="1" operator="lessThan">
      <formula>0.5</formula>
    </cfRule>
  </conditionalFormatting>
  <conditionalFormatting sqref="H73">
    <cfRule type="cellIs" dxfId="16408" priority="141998" stopIfTrue="1" operator="greaterThanOrEqual">
      <formula>0.5</formula>
    </cfRule>
  </conditionalFormatting>
  <conditionalFormatting sqref="H74">
    <cfRule type="cellIs" dxfId="16407" priority="141999" stopIfTrue="1" operator="equal">
      <formula>-1</formula>
    </cfRule>
  </conditionalFormatting>
  <conditionalFormatting sqref="H74">
    <cfRule type="cellIs" dxfId="16406" priority="142000" stopIfTrue="1" operator="lessThan">
      <formula>0.5</formula>
    </cfRule>
  </conditionalFormatting>
  <conditionalFormatting sqref="H74">
    <cfRule type="cellIs" dxfId="16405" priority="142001" stopIfTrue="1" operator="greaterThanOrEqual">
      <formula>0.5</formula>
    </cfRule>
  </conditionalFormatting>
  <conditionalFormatting sqref="H75">
    <cfRule type="cellIs" dxfId="16404" priority="142002" stopIfTrue="1" operator="equal">
      <formula>-1</formula>
    </cfRule>
  </conditionalFormatting>
  <conditionalFormatting sqref="H75">
    <cfRule type="cellIs" dxfId="16403" priority="142003" stopIfTrue="1" operator="lessThan">
      <formula>0.5</formula>
    </cfRule>
  </conditionalFormatting>
  <conditionalFormatting sqref="H75">
    <cfRule type="cellIs" dxfId="16402" priority="142004" stopIfTrue="1" operator="greaterThanOrEqual">
      <formula>0.5</formula>
    </cfRule>
  </conditionalFormatting>
  <conditionalFormatting sqref="H76">
    <cfRule type="cellIs" dxfId="16401" priority="142005" stopIfTrue="1" operator="equal">
      <formula>-1</formula>
    </cfRule>
  </conditionalFormatting>
  <conditionalFormatting sqref="H76">
    <cfRule type="cellIs" dxfId="16400" priority="142006" stopIfTrue="1" operator="lessThan">
      <formula>0.5</formula>
    </cfRule>
  </conditionalFormatting>
  <conditionalFormatting sqref="H76">
    <cfRule type="cellIs" dxfId="16399" priority="142007" stopIfTrue="1" operator="greaterThanOrEqual">
      <formula>0.5</formula>
    </cfRule>
  </conditionalFormatting>
  <conditionalFormatting sqref="H77">
    <cfRule type="cellIs" dxfId="16398" priority="142008" stopIfTrue="1" operator="equal">
      <formula>-1</formula>
    </cfRule>
  </conditionalFormatting>
  <conditionalFormatting sqref="H77">
    <cfRule type="cellIs" dxfId="16397" priority="142009" stopIfTrue="1" operator="lessThan">
      <formula>0.5</formula>
    </cfRule>
  </conditionalFormatting>
  <conditionalFormatting sqref="H77">
    <cfRule type="cellIs" dxfId="16396" priority="142010" stopIfTrue="1" operator="greaterThanOrEqual">
      <formula>0.5</formula>
    </cfRule>
  </conditionalFormatting>
  <conditionalFormatting sqref="H78">
    <cfRule type="cellIs" dxfId="16395" priority="142011" stopIfTrue="1" operator="equal">
      <formula>-1</formula>
    </cfRule>
  </conditionalFormatting>
  <conditionalFormatting sqref="H78">
    <cfRule type="cellIs" dxfId="16394" priority="142012" stopIfTrue="1" operator="lessThan">
      <formula>0.5</formula>
    </cfRule>
  </conditionalFormatting>
  <conditionalFormatting sqref="H78">
    <cfRule type="cellIs" dxfId="16393" priority="142013" stopIfTrue="1" operator="greaterThanOrEqual">
      <formula>0.5</formula>
    </cfRule>
  </conditionalFormatting>
  <conditionalFormatting sqref="H79">
    <cfRule type="cellIs" dxfId="16392" priority="142014" stopIfTrue="1" operator="equal">
      <formula>-1</formula>
    </cfRule>
  </conditionalFormatting>
  <conditionalFormatting sqref="H79">
    <cfRule type="cellIs" dxfId="16391" priority="142015" stopIfTrue="1" operator="lessThan">
      <formula>0.5</formula>
    </cfRule>
  </conditionalFormatting>
  <conditionalFormatting sqref="H79">
    <cfRule type="cellIs" dxfId="16390" priority="142016" stopIfTrue="1" operator="greaterThanOrEqual">
      <formula>0.5</formula>
    </cfRule>
  </conditionalFormatting>
  <conditionalFormatting sqref="H80">
    <cfRule type="cellIs" dxfId="16389" priority="142017" stopIfTrue="1" operator="equal">
      <formula>-1</formula>
    </cfRule>
  </conditionalFormatting>
  <conditionalFormatting sqref="H80">
    <cfRule type="cellIs" dxfId="16388" priority="142018" stopIfTrue="1" operator="lessThan">
      <formula>0.5</formula>
    </cfRule>
  </conditionalFormatting>
  <conditionalFormatting sqref="H80">
    <cfRule type="cellIs" dxfId="16387" priority="142019" stopIfTrue="1" operator="greaterThanOrEqual">
      <formula>0.5</formula>
    </cfRule>
  </conditionalFormatting>
  <conditionalFormatting sqref="H81">
    <cfRule type="cellIs" dxfId="16386" priority="142020" stopIfTrue="1" operator="equal">
      <formula>-1</formula>
    </cfRule>
  </conditionalFormatting>
  <conditionalFormatting sqref="H81">
    <cfRule type="cellIs" dxfId="16385" priority="142021" stopIfTrue="1" operator="lessThan">
      <formula>0.5</formula>
    </cfRule>
  </conditionalFormatting>
  <conditionalFormatting sqref="H81">
    <cfRule type="cellIs" dxfId="16384" priority="142022" stopIfTrue="1" operator="greaterThanOrEqual">
      <formula>0.5</formula>
    </cfRule>
  </conditionalFormatting>
  <conditionalFormatting sqref="H82">
    <cfRule type="cellIs" dxfId="16383" priority="142023" stopIfTrue="1" operator="equal">
      <formula>-1</formula>
    </cfRule>
  </conditionalFormatting>
  <conditionalFormatting sqref="H82">
    <cfRule type="cellIs" dxfId="16382" priority="142024" stopIfTrue="1" operator="lessThan">
      <formula>0.5</formula>
    </cfRule>
  </conditionalFormatting>
  <conditionalFormatting sqref="H82">
    <cfRule type="cellIs" dxfId="16381" priority="142025" stopIfTrue="1" operator="greaterThanOrEqual">
      <formula>0.5</formula>
    </cfRule>
  </conditionalFormatting>
  <conditionalFormatting sqref="H83">
    <cfRule type="cellIs" dxfId="16380" priority="142026" stopIfTrue="1" operator="equal">
      <formula>-1</formula>
    </cfRule>
  </conditionalFormatting>
  <conditionalFormatting sqref="H83">
    <cfRule type="cellIs" dxfId="16379" priority="142027" stopIfTrue="1" operator="lessThan">
      <formula>0.5</formula>
    </cfRule>
  </conditionalFormatting>
  <conditionalFormatting sqref="H83">
    <cfRule type="cellIs" dxfId="16378" priority="142028" stopIfTrue="1" operator="greaterThanOrEqual">
      <formula>0.5</formula>
    </cfRule>
  </conditionalFormatting>
  <conditionalFormatting sqref="H84">
    <cfRule type="cellIs" dxfId="16377" priority="142029" stopIfTrue="1" operator="equal">
      <formula>-1</formula>
    </cfRule>
  </conditionalFormatting>
  <conditionalFormatting sqref="H84">
    <cfRule type="cellIs" dxfId="16376" priority="142030" stopIfTrue="1" operator="lessThan">
      <formula>0.5</formula>
    </cfRule>
  </conditionalFormatting>
  <conditionalFormatting sqref="H84">
    <cfRule type="cellIs" dxfId="16375" priority="142031" stopIfTrue="1" operator="greaterThanOrEqual">
      <formula>0.5</formula>
    </cfRule>
  </conditionalFormatting>
  <conditionalFormatting sqref="H85">
    <cfRule type="cellIs" dxfId="16374" priority="142032" stopIfTrue="1" operator="equal">
      <formula>-1</formula>
    </cfRule>
  </conditionalFormatting>
  <conditionalFormatting sqref="H85">
    <cfRule type="cellIs" dxfId="16373" priority="142033" stopIfTrue="1" operator="lessThan">
      <formula>0.5</formula>
    </cfRule>
  </conditionalFormatting>
  <conditionalFormatting sqref="H85">
    <cfRule type="cellIs" dxfId="16372" priority="142034" stopIfTrue="1" operator="greaterThanOrEqual">
      <formula>0.5</formula>
    </cfRule>
  </conditionalFormatting>
  <conditionalFormatting sqref="J65">
    <cfRule type="cellIs" dxfId="16371" priority="142035" stopIfTrue="1" operator="equal">
      <formula>-1</formula>
    </cfRule>
  </conditionalFormatting>
  <conditionalFormatting sqref="J65">
    <cfRule type="cellIs" dxfId="16370" priority="142036" stopIfTrue="1" operator="lessThan">
      <formula>0.5</formula>
    </cfRule>
  </conditionalFormatting>
  <conditionalFormatting sqref="J65">
    <cfRule type="cellIs" dxfId="16369" priority="142037" stopIfTrue="1" operator="greaterThanOrEqual">
      <formula>0.5</formula>
    </cfRule>
  </conditionalFormatting>
  <conditionalFormatting sqref="J66">
    <cfRule type="cellIs" dxfId="16368" priority="142038" stopIfTrue="1" operator="equal">
      <formula>-1</formula>
    </cfRule>
  </conditionalFormatting>
  <conditionalFormatting sqref="J66">
    <cfRule type="cellIs" dxfId="16367" priority="142039" stopIfTrue="1" operator="lessThan">
      <formula>0.5</formula>
    </cfRule>
  </conditionalFormatting>
  <conditionalFormatting sqref="J66">
    <cfRule type="cellIs" dxfId="16366" priority="142040" stopIfTrue="1" operator="greaterThanOrEqual">
      <formula>0.5</formula>
    </cfRule>
  </conditionalFormatting>
  <conditionalFormatting sqref="J67">
    <cfRule type="cellIs" dxfId="16365" priority="142041" stopIfTrue="1" operator="equal">
      <formula>-1</formula>
    </cfRule>
  </conditionalFormatting>
  <conditionalFormatting sqref="J67">
    <cfRule type="cellIs" dxfId="16364" priority="142042" stopIfTrue="1" operator="lessThan">
      <formula>0.5</formula>
    </cfRule>
  </conditionalFormatting>
  <conditionalFormatting sqref="J67">
    <cfRule type="cellIs" dxfId="16363" priority="142043" stopIfTrue="1" operator="greaterThanOrEqual">
      <formula>0.5</formula>
    </cfRule>
  </conditionalFormatting>
  <conditionalFormatting sqref="J68">
    <cfRule type="cellIs" dxfId="16362" priority="142044" stopIfTrue="1" operator="equal">
      <formula>-1</formula>
    </cfRule>
  </conditionalFormatting>
  <conditionalFormatting sqref="J68">
    <cfRule type="cellIs" dxfId="16361" priority="142045" stopIfTrue="1" operator="lessThan">
      <formula>0.5</formula>
    </cfRule>
  </conditionalFormatting>
  <conditionalFormatting sqref="J68">
    <cfRule type="cellIs" dxfId="16360" priority="142046" stopIfTrue="1" operator="greaterThanOrEqual">
      <formula>0.5</formula>
    </cfRule>
  </conditionalFormatting>
  <conditionalFormatting sqref="J69">
    <cfRule type="cellIs" dxfId="16359" priority="142047" stopIfTrue="1" operator="equal">
      <formula>-1</formula>
    </cfRule>
  </conditionalFormatting>
  <conditionalFormatting sqref="J69">
    <cfRule type="cellIs" dxfId="16358" priority="142048" stopIfTrue="1" operator="lessThan">
      <formula>0.5</formula>
    </cfRule>
  </conditionalFormatting>
  <conditionalFormatting sqref="J69">
    <cfRule type="cellIs" dxfId="16357" priority="142049" stopIfTrue="1" operator="greaterThanOrEqual">
      <formula>0.5</formula>
    </cfRule>
  </conditionalFormatting>
  <conditionalFormatting sqref="J70">
    <cfRule type="cellIs" dxfId="16356" priority="142050" stopIfTrue="1" operator="equal">
      <formula>-1</formula>
    </cfRule>
  </conditionalFormatting>
  <conditionalFormatting sqref="J70">
    <cfRule type="cellIs" dxfId="16355" priority="142051" stopIfTrue="1" operator="lessThan">
      <formula>0.5</formula>
    </cfRule>
  </conditionalFormatting>
  <conditionalFormatting sqref="J70">
    <cfRule type="cellIs" dxfId="16354" priority="142052" stopIfTrue="1" operator="greaterThanOrEqual">
      <formula>0.5</formula>
    </cfRule>
  </conditionalFormatting>
  <conditionalFormatting sqref="J71">
    <cfRule type="cellIs" dxfId="16353" priority="142053" stopIfTrue="1" operator="equal">
      <formula>-1</formula>
    </cfRule>
  </conditionalFormatting>
  <conditionalFormatting sqref="J71">
    <cfRule type="cellIs" dxfId="16352" priority="142054" stopIfTrue="1" operator="lessThan">
      <formula>0.5</formula>
    </cfRule>
  </conditionalFormatting>
  <conditionalFormatting sqref="J71">
    <cfRule type="cellIs" dxfId="16351" priority="142055" stopIfTrue="1" operator="greaterThanOrEqual">
      <formula>0.5</formula>
    </cfRule>
  </conditionalFormatting>
  <conditionalFormatting sqref="J72">
    <cfRule type="cellIs" dxfId="16350" priority="142056" stopIfTrue="1" operator="equal">
      <formula>-1</formula>
    </cfRule>
  </conditionalFormatting>
  <conditionalFormatting sqref="J72">
    <cfRule type="cellIs" dxfId="16349" priority="142057" stopIfTrue="1" operator="lessThan">
      <formula>0.5</formula>
    </cfRule>
  </conditionalFormatting>
  <conditionalFormatting sqref="J72">
    <cfRule type="cellIs" dxfId="16348" priority="142058" stopIfTrue="1" operator="greaterThanOrEqual">
      <formula>0.5</formula>
    </cfRule>
  </conditionalFormatting>
  <conditionalFormatting sqref="J73">
    <cfRule type="cellIs" dxfId="16347" priority="142059" stopIfTrue="1" operator="equal">
      <formula>-1</formula>
    </cfRule>
  </conditionalFormatting>
  <conditionalFormatting sqref="J73">
    <cfRule type="cellIs" dxfId="16346" priority="142060" stopIfTrue="1" operator="lessThan">
      <formula>0.5</formula>
    </cfRule>
  </conditionalFormatting>
  <conditionalFormatting sqref="J73">
    <cfRule type="cellIs" dxfId="16345" priority="142061" stopIfTrue="1" operator="greaterThanOrEqual">
      <formula>0.5</formula>
    </cfRule>
  </conditionalFormatting>
  <conditionalFormatting sqref="J74">
    <cfRule type="cellIs" dxfId="16344" priority="142062" stopIfTrue="1" operator="equal">
      <formula>-1</formula>
    </cfRule>
  </conditionalFormatting>
  <conditionalFormatting sqref="J74">
    <cfRule type="cellIs" dxfId="16343" priority="142063" stopIfTrue="1" operator="lessThan">
      <formula>0.5</formula>
    </cfRule>
  </conditionalFormatting>
  <conditionalFormatting sqref="J74">
    <cfRule type="cellIs" dxfId="16342" priority="142064" stopIfTrue="1" operator="greaterThanOrEqual">
      <formula>0.5</formula>
    </cfRule>
  </conditionalFormatting>
  <conditionalFormatting sqref="J75">
    <cfRule type="cellIs" dxfId="16341" priority="142065" stopIfTrue="1" operator="equal">
      <formula>-1</formula>
    </cfRule>
  </conditionalFormatting>
  <conditionalFormatting sqref="J75">
    <cfRule type="cellIs" dxfId="16340" priority="142066" stopIfTrue="1" operator="lessThan">
      <formula>0.5</formula>
    </cfRule>
  </conditionalFormatting>
  <conditionalFormatting sqref="J75">
    <cfRule type="cellIs" dxfId="16339" priority="142067" stopIfTrue="1" operator="greaterThanOrEqual">
      <formula>0.5</formula>
    </cfRule>
  </conditionalFormatting>
  <conditionalFormatting sqref="J76">
    <cfRule type="cellIs" dxfId="16338" priority="142068" stopIfTrue="1" operator="equal">
      <formula>-1</formula>
    </cfRule>
  </conditionalFormatting>
  <conditionalFormatting sqref="J76">
    <cfRule type="cellIs" dxfId="16337" priority="142069" stopIfTrue="1" operator="lessThan">
      <formula>0.5</formula>
    </cfRule>
  </conditionalFormatting>
  <conditionalFormatting sqref="J76">
    <cfRule type="cellIs" dxfId="16336" priority="142070" stopIfTrue="1" operator="greaterThanOrEqual">
      <formula>0.5</formula>
    </cfRule>
  </conditionalFormatting>
  <conditionalFormatting sqref="J77">
    <cfRule type="cellIs" dxfId="16335" priority="142071" stopIfTrue="1" operator="equal">
      <formula>-1</formula>
    </cfRule>
  </conditionalFormatting>
  <conditionalFormatting sqref="J77">
    <cfRule type="cellIs" dxfId="16334" priority="142072" stopIfTrue="1" operator="lessThan">
      <formula>0.5</formula>
    </cfRule>
  </conditionalFormatting>
  <conditionalFormatting sqref="J77">
    <cfRule type="cellIs" dxfId="16333" priority="142073" stopIfTrue="1" operator="greaterThanOrEqual">
      <formula>0.5</formula>
    </cfRule>
  </conditionalFormatting>
  <conditionalFormatting sqref="J78">
    <cfRule type="cellIs" dxfId="16332" priority="142074" stopIfTrue="1" operator="equal">
      <formula>-1</formula>
    </cfRule>
  </conditionalFormatting>
  <conditionalFormatting sqref="J78">
    <cfRule type="cellIs" dxfId="16331" priority="142075" stopIfTrue="1" operator="lessThan">
      <formula>0.5</formula>
    </cfRule>
  </conditionalFormatting>
  <conditionalFormatting sqref="J78">
    <cfRule type="cellIs" dxfId="16330" priority="142076" stopIfTrue="1" operator="greaterThanOrEqual">
      <formula>0.5</formula>
    </cfRule>
  </conditionalFormatting>
  <conditionalFormatting sqref="J79">
    <cfRule type="cellIs" dxfId="16329" priority="142077" stopIfTrue="1" operator="equal">
      <formula>-1</formula>
    </cfRule>
  </conditionalFormatting>
  <conditionalFormatting sqref="J79">
    <cfRule type="cellIs" dxfId="16328" priority="142078" stopIfTrue="1" operator="lessThan">
      <formula>0.5</formula>
    </cfRule>
  </conditionalFormatting>
  <conditionalFormatting sqref="J79">
    <cfRule type="cellIs" dxfId="16327" priority="142079" stopIfTrue="1" operator="greaterThanOrEqual">
      <formula>0.5</formula>
    </cfRule>
  </conditionalFormatting>
  <conditionalFormatting sqref="J80">
    <cfRule type="cellIs" dxfId="16326" priority="142080" stopIfTrue="1" operator="equal">
      <formula>-1</formula>
    </cfRule>
  </conditionalFormatting>
  <conditionalFormatting sqref="J80">
    <cfRule type="cellIs" dxfId="16325" priority="142081" stopIfTrue="1" operator="lessThan">
      <formula>0.5</formula>
    </cfRule>
  </conditionalFormatting>
  <conditionalFormatting sqref="J80">
    <cfRule type="cellIs" dxfId="16324" priority="142082" stopIfTrue="1" operator="greaterThanOrEqual">
      <formula>0.5</formula>
    </cfRule>
  </conditionalFormatting>
  <conditionalFormatting sqref="J81">
    <cfRule type="cellIs" dxfId="16323" priority="142083" stopIfTrue="1" operator="equal">
      <formula>-1</formula>
    </cfRule>
  </conditionalFormatting>
  <conditionalFormatting sqref="J81">
    <cfRule type="cellIs" dxfId="16322" priority="142084" stopIfTrue="1" operator="lessThan">
      <formula>0.5</formula>
    </cfRule>
  </conditionalFormatting>
  <conditionalFormatting sqref="J81">
    <cfRule type="cellIs" dxfId="16321" priority="142085" stopIfTrue="1" operator="greaterThanOrEqual">
      <formula>0.5</formula>
    </cfRule>
  </conditionalFormatting>
  <conditionalFormatting sqref="J82">
    <cfRule type="cellIs" dxfId="16320" priority="142086" stopIfTrue="1" operator="equal">
      <formula>-1</formula>
    </cfRule>
  </conditionalFormatting>
  <conditionalFormatting sqref="J82">
    <cfRule type="cellIs" dxfId="16319" priority="142087" stopIfTrue="1" operator="lessThan">
      <formula>0.5</formula>
    </cfRule>
  </conditionalFormatting>
  <conditionalFormatting sqref="J82">
    <cfRule type="cellIs" dxfId="16318" priority="142088" stopIfTrue="1" operator="greaterThanOrEqual">
      <formula>0.5</formula>
    </cfRule>
  </conditionalFormatting>
  <conditionalFormatting sqref="J83">
    <cfRule type="cellIs" dxfId="16317" priority="142089" stopIfTrue="1" operator="equal">
      <formula>-1</formula>
    </cfRule>
  </conditionalFormatting>
  <conditionalFormatting sqref="J83">
    <cfRule type="cellIs" dxfId="16316" priority="142090" stopIfTrue="1" operator="lessThan">
      <formula>0.5</formula>
    </cfRule>
  </conditionalFormatting>
  <conditionalFormatting sqref="J83">
    <cfRule type="cellIs" dxfId="16315" priority="142091" stopIfTrue="1" operator="greaterThanOrEqual">
      <formula>0.5</formula>
    </cfRule>
  </conditionalFormatting>
  <conditionalFormatting sqref="J84">
    <cfRule type="cellIs" dxfId="16314" priority="142092" stopIfTrue="1" operator="equal">
      <formula>-1</formula>
    </cfRule>
  </conditionalFormatting>
  <conditionalFormatting sqref="J84">
    <cfRule type="cellIs" dxfId="16313" priority="142093" stopIfTrue="1" operator="lessThan">
      <formula>0.5</formula>
    </cfRule>
  </conditionalFormatting>
  <conditionalFormatting sqref="J84">
    <cfRule type="cellIs" dxfId="16312" priority="142094" stopIfTrue="1" operator="greaterThanOrEqual">
      <formula>0.5</formula>
    </cfRule>
  </conditionalFormatting>
  <conditionalFormatting sqref="J85">
    <cfRule type="cellIs" dxfId="16311" priority="142095" stopIfTrue="1" operator="equal">
      <formula>-1</formula>
    </cfRule>
  </conditionalFormatting>
  <conditionalFormatting sqref="J85">
    <cfRule type="cellIs" dxfId="16310" priority="142096" stopIfTrue="1" operator="lessThan">
      <formula>0.5</formula>
    </cfRule>
  </conditionalFormatting>
  <conditionalFormatting sqref="J85">
    <cfRule type="cellIs" dxfId="16309" priority="142097" stopIfTrue="1" operator="greaterThanOrEqual">
      <formula>0.5</formula>
    </cfRule>
  </conditionalFormatting>
  <conditionalFormatting sqref="L65">
    <cfRule type="cellIs" dxfId="16308" priority="142098" stopIfTrue="1" operator="equal">
      <formula>-1</formula>
    </cfRule>
  </conditionalFormatting>
  <conditionalFormatting sqref="L65">
    <cfRule type="cellIs" dxfId="16307" priority="142099" stopIfTrue="1" operator="lessThan">
      <formula>0.5</formula>
    </cfRule>
  </conditionalFormatting>
  <conditionalFormatting sqref="L65">
    <cfRule type="cellIs" dxfId="16306" priority="142100" stopIfTrue="1" operator="greaterThanOrEqual">
      <formula>0.5</formula>
    </cfRule>
  </conditionalFormatting>
  <conditionalFormatting sqref="L66">
    <cfRule type="cellIs" dxfId="16305" priority="142101" stopIfTrue="1" operator="equal">
      <formula>-1</formula>
    </cfRule>
  </conditionalFormatting>
  <conditionalFormatting sqref="L66">
    <cfRule type="cellIs" dxfId="16304" priority="142102" stopIfTrue="1" operator="lessThan">
      <formula>0.5</formula>
    </cfRule>
  </conditionalFormatting>
  <conditionalFormatting sqref="L66">
    <cfRule type="cellIs" dxfId="16303" priority="142103" stopIfTrue="1" operator="greaterThanOrEqual">
      <formula>0.5</formula>
    </cfRule>
  </conditionalFormatting>
  <conditionalFormatting sqref="L67">
    <cfRule type="cellIs" dxfId="16302" priority="142104" stopIfTrue="1" operator="equal">
      <formula>-1</formula>
    </cfRule>
  </conditionalFormatting>
  <conditionalFormatting sqref="L67">
    <cfRule type="cellIs" dxfId="16301" priority="142105" stopIfTrue="1" operator="lessThan">
      <formula>0.5</formula>
    </cfRule>
  </conditionalFormatting>
  <conditionalFormatting sqref="L67">
    <cfRule type="cellIs" dxfId="16300" priority="142106" stopIfTrue="1" operator="greaterThanOrEqual">
      <formula>0.5</formula>
    </cfRule>
  </conditionalFormatting>
  <conditionalFormatting sqref="L68">
    <cfRule type="cellIs" dxfId="16299" priority="142107" stopIfTrue="1" operator="equal">
      <formula>-1</formula>
    </cfRule>
  </conditionalFormatting>
  <conditionalFormatting sqref="L68">
    <cfRule type="cellIs" dxfId="16298" priority="142108" stopIfTrue="1" operator="lessThan">
      <formula>0.5</formula>
    </cfRule>
  </conditionalFormatting>
  <conditionalFormatting sqref="L68">
    <cfRule type="cellIs" dxfId="16297" priority="142109" stopIfTrue="1" operator="greaterThanOrEqual">
      <formula>0.5</formula>
    </cfRule>
  </conditionalFormatting>
  <conditionalFormatting sqref="L69">
    <cfRule type="cellIs" dxfId="16296" priority="142110" stopIfTrue="1" operator="equal">
      <formula>-1</formula>
    </cfRule>
  </conditionalFormatting>
  <conditionalFormatting sqref="L69">
    <cfRule type="cellIs" dxfId="16295" priority="142111" stopIfTrue="1" operator="lessThan">
      <formula>0.5</formula>
    </cfRule>
  </conditionalFormatting>
  <conditionalFormatting sqref="L69">
    <cfRule type="cellIs" dxfId="16294" priority="142112" stopIfTrue="1" operator="greaterThanOrEqual">
      <formula>0.5</formula>
    </cfRule>
  </conditionalFormatting>
  <conditionalFormatting sqref="L70">
    <cfRule type="cellIs" dxfId="16293" priority="142113" stopIfTrue="1" operator="equal">
      <formula>-1</formula>
    </cfRule>
  </conditionalFormatting>
  <conditionalFormatting sqref="L70">
    <cfRule type="cellIs" dxfId="16292" priority="142114" stopIfTrue="1" operator="lessThan">
      <formula>0.5</formula>
    </cfRule>
  </conditionalFormatting>
  <conditionalFormatting sqref="L70">
    <cfRule type="cellIs" dxfId="16291" priority="142115" stopIfTrue="1" operator="greaterThanOrEqual">
      <formula>0.5</formula>
    </cfRule>
  </conditionalFormatting>
  <conditionalFormatting sqref="L71">
    <cfRule type="cellIs" dxfId="16290" priority="142116" stopIfTrue="1" operator="equal">
      <formula>-1</formula>
    </cfRule>
  </conditionalFormatting>
  <conditionalFormatting sqref="L71">
    <cfRule type="cellIs" dxfId="16289" priority="142117" stopIfTrue="1" operator="lessThan">
      <formula>0.5</formula>
    </cfRule>
  </conditionalFormatting>
  <conditionalFormatting sqref="L71">
    <cfRule type="cellIs" dxfId="16288" priority="142118" stopIfTrue="1" operator="greaterThanOrEqual">
      <formula>0.5</formula>
    </cfRule>
  </conditionalFormatting>
  <conditionalFormatting sqref="L72">
    <cfRule type="cellIs" dxfId="16287" priority="142119" stopIfTrue="1" operator="equal">
      <formula>-1</formula>
    </cfRule>
  </conditionalFormatting>
  <conditionalFormatting sqref="L72">
    <cfRule type="cellIs" dxfId="16286" priority="142120" stopIfTrue="1" operator="lessThan">
      <formula>0.5</formula>
    </cfRule>
  </conditionalFormatting>
  <conditionalFormatting sqref="L72">
    <cfRule type="cellIs" dxfId="16285" priority="142121" stopIfTrue="1" operator="greaterThanOrEqual">
      <formula>0.5</formula>
    </cfRule>
  </conditionalFormatting>
  <conditionalFormatting sqref="L73">
    <cfRule type="cellIs" dxfId="16284" priority="142122" stopIfTrue="1" operator="equal">
      <formula>-1</formula>
    </cfRule>
  </conditionalFormatting>
  <conditionalFormatting sqref="L73">
    <cfRule type="cellIs" dxfId="16283" priority="142123" stopIfTrue="1" operator="lessThan">
      <formula>0.5</formula>
    </cfRule>
  </conditionalFormatting>
  <conditionalFormatting sqref="L73">
    <cfRule type="cellIs" dxfId="16282" priority="142124" stopIfTrue="1" operator="greaterThanOrEqual">
      <formula>0.5</formula>
    </cfRule>
  </conditionalFormatting>
  <conditionalFormatting sqref="L74">
    <cfRule type="cellIs" dxfId="16281" priority="142125" stopIfTrue="1" operator="equal">
      <formula>-1</formula>
    </cfRule>
  </conditionalFormatting>
  <conditionalFormatting sqref="L74">
    <cfRule type="cellIs" dxfId="16280" priority="142126" stopIfTrue="1" operator="lessThan">
      <formula>0.5</formula>
    </cfRule>
  </conditionalFormatting>
  <conditionalFormatting sqref="L74">
    <cfRule type="cellIs" dxfId="16279" priority="142127" stopIfTrue="1" operator="greaterThanOrEqual">
      <formula>0.5</formula>
    </cfRule>
  </conditionalFormatting>
  <conditionalFormatting sqref="L75">
    <cfRule type="cellIs" dxfId="16278" priority="142128" stopIfTrue="1" operator="equal">
      <formula>-1</formula>
    </cfRule>
  </conditionalFormatting>
  <conditionalFormatting sqref="L75">
    <cfRule type="cellIs" dxfId="16277" priority="142129" stopIfTrue="1" operator="lessThan">
      <formula>0.5</formula>
    </cfRule>
  </conditionalFormatting>
  <conditionalFormatting sqref="L75">
    <cfRule type="cellIs" dxfId="16276" priority="142130" stopIfTrue="1" operator="greaterThanOrEqual">
      <formula>0.5</formula>
    </cfRule>
  </conditionalFormatting>
  <conditionalFormatting sqref="L76">
    <cfRule type="cellIs" dxfId="16275" priority="142131" stopIfTrue="1" operator="equal">
      <formula>-1</formula>
    </cfRule>
  </conditionalFormatting>
  <conditionalFormatting sqref="L76">
    <cfRule type="cellIs" dxfId="16274" priority="142132" stopIfTrue="1" operator="lessThan">
      <formula>0.5</formula>
    </cfRule>
  </conditionalFormatting>
  <conditionalFormatting sqref="L76">
    <cfRule type="cellIs" dxfId="16273" priority="142133" stopIfTrue="1" operator="greaterThanOrEqual">
      <formula>0.5</formula>
    </cfRule>
  </conditionalFormatting>
  <conditionalFormatting sqref="L77">
    <cfRule type="cellIs" dxfId="16272" priority="142134" stopIfTrue="1" operator="equal">
      <formula>-1</formula>
    </cfRule>
  </conditionalFormatting>
  <conditionalFormatting sqref="L77">
    <cfRule type="cellIs" dxfId="16271" priority="142135" stopIfTrue="1" operator="lessThan">
      <formula>0.5</formula>
    </cfRule>
  </conditionalFormatting>
  <conditionalFormatting sqref="L77">
    <cfRule type="cellIs" dxfId="16270" priority="142136" stopIfTrue="1" operator="greaterThanOrEqual">
      <formula>0.5</formula>
    </cfRule>
  </conditionalFormatting>
  <conditionalFormatting sqref="L78">
    <cfRule type="cellIs" dxfId="16269" priority="142137" stopIfTrue="1" operator="equal">
      <formula>-1</formula>
    </cfRule>
  </conditionalFormatting>
  <conditionalFormatting sqref="L78">
    <cfRule type="cellIs" dxfId="16268" priority="142138" stopIfTrue="1" operator="lessThan">
      <formula>0.5</formula>
    </cfRule>
  </conditionalFormatting>
  <conditionalFormatting sqref="L78">
    <cfRule type="cellIs" dxfId="16267" priority="142139" stopIfTrue="1" operator="greaterThanOrEqual">
      <formula>0.5</formula>
    </cfRule>
  </conditionalFormatting>
  <conditionalFormatting sqref="L79">
    <cfRule type="cellIs" dxfId="16266" priority="142140" stopIfTrue="1" operator="equal">
      <formula>-1</formula>
    </cfRule>
  </conditionalFormatting>
  <conditionalFormatting sqref="L79">
    <cfRule type="cellIs" dxfId="16265" priority="142141" stopIfTrue="1" operator="lessThan">
      <formula>0.5</formula>
    </cfRule>
  </conditionalFormatting>
  <conditionalFormatting sqref="L79">
    <cfRule type="cellIs" dxfId="16264" priority="142142" stopIfTrue="1" operator="greaterThanOrEqual">
      <formula>0.5</formula>
    </cfRule>
  </conditionalFormatting>
  <conditionalFormatting sqref="L80">
    <cfRule type="cellIs" dxfId="16263" priority="142143" stopIfTrue="1" operator="equal">
      <formula>-1</formula>
    </cfRule>
  </conditionalFormatting>
  <conditionalFormatting sqref="L80">
    <cfRule type="cellIs" dxfId="16262" priority="142144" stopIfTrue="1" operator="lessThan">
      <formula>0.5</formula>
    </cfRule>
  </conditionalFormatting>
  <conditionalFormatting sqref="L80">
    <cfRule type="cellIs" dxfId="16261" priority="142145" stopIfTrue="1" operator="greaterThanOrEqual">
      <formula>0.5</formula>
    </cfRule>
  </conditionalFormatting>
  <conditionalFormatting sqref="L81">
    <cfRule type="cellIs" dxfId="16260" priority="142146" stopIfTrue="1" operator="equal">
      <formula>-1</formula>
    </cfRule>
  </conditionalFormatting>
  <conditionalFormatting sqref="L81">
    <cfRule type="cellIs" dxfId="16259" priority="142147" stopIfTrue="1" operator="lessThan">
      <formula>0.5</formula>
    </cfRule>
  </conditionalFormatting>
  <conditionalFormatting sqref="L81">
    <cfRule type="cellIs" dxfId="16258" priority="142148" stopIfTrue="1" operator="greaterThanOrEqual">
      <formula>0.5</formula>
    </cfRule>
  </conditionalFormatting>
  <conditionalFormatting sqref="L82">
    <cfRule type="cellIs" dxfId="16257" priority="142149" stopIfTrue="1" operator="equal">
      <formula>-1</formula>
    </cfRule>
  </conditionalFormatting>
  <conditionalFormatting sqref="L82">
    <cfRule type="cellIs" dxfId="16256" priority="142150" stopIfTrue="1" operator="lessThan">
      <formula>0.5</formula>
    </cfRule>
  </conditionalFormatting>
  <conditionalFormatting sqref="L82">
    <cfRule type="cellIs" dxfId="16255" priority="142151" stopIfTrue="1" operator="greaterThanOrEqual">
      <formula>0.5</formula>
    </cfRule>
  </conditionalFormatting>
  <conditionalFormatting sqref="L83">
    <cfRule type="cellIs" dxfId="16254" priority="142152" stopIfTrue="1" operator="equal">
      <formula>-1</formula>
    </cfRule>
  </conditionalFormatting>
  <conditionalFormatting sqref="L83">
    <cfRule type="cellIs" dxfId="16253" priority="142153" stopIfTrue="1" operator="lessThan">
      <formula>0.5</formula>
    </cfRule>
  </conditionalFormatting>
  <conditionalFormatting sqref="L83">
    <cfRule type="cellIs" dxfId="16252" priority="142154" stopIfTrue="1" operator="greaterThanOrEqual">
      <formula>0.5</formula>
    </cfRule>
  </conditionalFormatting>
  <conditionalFormatting sqref="L84">
    <cfRule type="cellIs" dxfId="16251" priority="142155" stopIfTrue="1" operator="equal">
      <formula>-1</formula>
    </cfRule>
  </conditionalFormatting>
  <conditionalFormatting sqref="L84">
    <cfRule type="cellIs" dxfId="16250" priority="142156" stopIfTrue="1" operator="lessThan">
      <formula>0.5</formula>
    </cfRule>
  </conditionalFormatting>
  <conditionalFormatting sqref="L84">
    <cfRule type="cellIs" dxfId="16249" priority="142157" stopIfTrue="1" operator="greaterThanOrEqual">
      <formula>0.5</formula>
    </cfRule>
  </conditionalFormatting>
  <conditionalFormatting sqref="L85">
    <cfRule type="cellIs" dxfId="16248" priority="142158" stopIfTrue="1" operator="equal">
      <formula>-1</formula>
    </cfRule>
  </conditionalFormatting>
  <conditionalFormatting sqref="L85">
    <cfRule type="cellIs" dxfId="16247" priority="142159" stopIfTrue="1" operator="lessThan">
      <formula>0.5</formula>
    </cfRule>
  </conditionalFormatting>
  <conditionalFormatting sqref="L85">
    <cfRule type="cellIs" dxfId="16246" priority="142160" stopIfTrue="1" operator="greaterThanOrEqual">
      <formula>0.5</formula>
    </cfRule>
  </conditionalFormatting>
  <conditionalFormatting sqref="N65">
    <cfRule type="cellIs" dxfId="16245" priority="142161" stopIfTrue="1" operator="equal">
      <formula>-1</formula>
    </cfRule>
  </conditionalFormatting>
  <conditionalFormatting sqref="N65">
    <cfRule type="cellIs" dxfId="16244" priority="142162" stopIfTrue="1" operator="lessThan">
      <formula>0.5</formula>
    </cfRule>
  </conditionalFormatting>
  <conditionalFormatting sqref="N65">
    <cfRule type="cellIs" dxfId="16243" priority="142163" stopIfTrue="1" operator="greaterThanOrEqual">
      <formula>0.5</formula>
    </cfRule>
  </conditionalFormatting>
  <conditionalFormatting sqref="N66">
    <cfRule type="cellIs" dxfId="16242" priority="142164" stopIfTrue="1" operator="equal">
      <formula>-1</formula>
    </cfRule>
  </conditionalFormatting>
  <conditionalFormatting sqref="N66">
    <cfRule type="cellIs" dxfId="16241" priority="142165" stopIfTrue="1" operator="lessThan">
      <formula>0.5</formula>
    </cfRule>
  </conditionalFormatting>
  <conditionalFormatting sqref="N66">
    <cfRule type="cellIs" dxfId="16240" priority="142166" stopIfTrue="1" operator="greaterThanOrEqual">
      <formula>0.5</formula>
    </cfRule>
  </conditionalFormatting>
  <conditionalFormatting sqref="N67">
    <cfRule type="cellIs" dxfId="16239" priority="142167" stopIfTrue="1" operator="equal">
      <formula>-1</formula>
    </cfRule>
  </conditionalFormatting>
  <conditionalFormatting sqref="N67">
    <cfRule type="cellIs" dxfId="16238" priority="142168" stopIfTrue="1" operator="lessThan">
      <formula>0.5</formula>
    </cfRule>
  </conditionalFormatting>
  <conditionalFormatting sqref="N67">
    <cfRule type="cellIs" dxfId="16237" priority="142169" stopIfTrue="1" operator="greaterThanOrEqual">
      <formula>0.5</formula>
    </cfRule>
  </conditionalFormatting>
  <conditionalFormatting sqref="N68">
    <cfRule type="cellIs" dxfId="16236" priority="142170" stopIfTrue="1" operator="equal">
      <formula>-1</formula>
    </cfRule>
  </conditionalFormatting>
  <conditionalFormatting sqref="N68">
    <cfRule type="cellIs" dxfId="16235" priority="142171" stopIfTrue="1" operator="lessThan">
      <formula>0.5</formula>
    </cfRule>
  </conditionalFormatting>
  <conditionalFormatting sqref="N68">
    <cfRule type="cellIs" dxfId="16234" priority="142172" stopIfTrue="1" operator="greaterThanOrEqual">
      <formula>0.5</formula>
    </cfRule>
  </conditionalFormatting>
  <conditionalFormatting sqref="N69">
    <cfRule type="cellIs" dxfId="16233" priority="142173" stopIfTrue="1" operator="equal">
      <formula>-1</formula>
    </cfRule>
  </conditionalFormatting>
  <conditionalFormatting sqref="N69">
    <cfRule type="cellIs" dxfId="16232" priority="142174" stopIfTrue="1" operator="lessThan">
      <formula>0.5</formula>
    </cfRule>
  </conditionalFormatting>
  <conditionalFormatting sqref="N69">
    <cfRule type="cellIs" dxfId="16231" priority="142175" stopIfTrue="1" operator="greaterThanOrEqual">
      <formula>0.5</formula>
    </cfRule>
  </conditionalFormatting>
  <conditionalFormatting sqref="N70">
    <cfRule type="cellIs" dxfId="16230" priority="142176" stopIfTrue="1" operator="equal">
      <formula>-1</formula>
    </cfRule>
  </conditionalFormatting>
  <conditionalFormatting sqref="N70">
    <cfRule type="cellIs" dxfId="16229" priority="142177" stopIfTrue="1" operator="lessThan">
      <formula>0.5</formula>
    </cfRule>
  </conditionalFormatting>
  <conditionalFormatting sqref="N70">
    <cfRule type="cellIs" dxfId="16228" priority="142178" stopIfTrue="1" operator="greaterThanOrEqual">
      <formula>0.5</formula>
    </cfRule>
  </conditionalFormatting>
  <conditionalFormatting sqref="N71">
    <cfRule type="cellIs" dxfId="16227" priority="142179" stopIfTrue="1" operator="equal">
      <formula>-1</formula>
    </cfRule>
  </conditionalFormatting>
  <conditionalFormatting sqref="N71">
    <cfRule type="cellIs" dxfId="16226" priority="142180" stopIfTrue="1" operator="lessThan">
      <formula>0.5</formula>
    </cfRule>
  </conditionalFormatting>
  <conditionalFormatting sqref="N71">
    <cfRule type="cellIs" dxfId="16225" priority="142181" stopIfTrue="1" operator="greaterThanOrEqual">
      <formula>0.5</formula>
    </cfRule>
  </conditionalFormatting>
  <conditionalFormatting sqref="N72">
    <cfRule type="cellIs" dxfId="16224" priority="142182" stopIfTrue="1" operator="equal">
      <formula>-1</formula>
    </cfRule>
  </conditionalFormatting>
  <conditionalFormatting sqref="N72">
    <cfRule type="cellIs" dxfId="16223" priority="142183" stopIfTrue="1" operator="lessThan">
      <formula>0.5</formula>
    </cfRule>
  </conditionalFormatting>
  <conditionalFormatting sqref="N72">
    <cfRule type="cellIs" dxfId="16222" priority="142184" stopIfTrue="1" operator="greaterThanOrEqual">
      <formula>0.5</formula>
    </cfRule>
  </conditionalFormatting>
  <conditionalFormatting sqref="N73">
    <cfRule type="cellIs" dxfId="16221" priority="142185" stopIfTrue="1" operator="equal">
      <formula>-1</formula>
    </cfRule>
  </conditionalFormatting>
  <conditionalFormatting sqref="N73">
    <cfRule type="cellIs" dxfId="16220" priority="142186" stopIfTrue="1" operator="lessThan">
      <formula>0.5</formula>
    </cfRule>
  </conditionalFormatting>
  <conditionalFormatting sqref="N73">
    <cfRule type="cellIs" dxfId="16219" priority="142187" stopIfTrue="1" operator="greaterThanOrEqual">
      <formula>0.5</formula>
    </cfRule>
  </conditionalFormatting>
  <conditionalFormatting sqref="N74">
    <cfRule type="cellIs" dxfId="16218" priority="142188" stopIfTrue="1" operator="equal">
      <formula>-1</formula>
    </cfRule>
  </conditionalFormatting>
  <conditionalFormatting sqref="N74">
    <cfRule type="cellIs" dxfId="16217" priority="142189" stopIfTrue="1" operator="lessThan">
      <formula>0.5</formula>
    </cfRule>
  </conditionalFormatting>
  <conditionalFormatting sqref="N74">
    <cfRule type="cellIs" dxfId="16216" priority="142190" stopIfTrue="1" operator="greaterThanOrEqual">
      <formula>0.5</formula>
    </cfRule>
  </conditionalFormatting>
  <conditionalFormatting sqref="N75">
    <cfRule type="cellIs" dxfId="16215" priority="142191" stopIfTrue="1" operator="equal">
      <formula>-1</formula>
    </cfRule>
  </conditionalFormatting>
  <conditionalFormatting sqref="N75">
    <cfRule type="cellIs" dxfId="16214" priority="142192" stopIfTrue="1" operator="lessThan">
      <formula>0.5</formula>
    </cfRule>
  </conditionalFormatting>
  <conditionalFormatting sqref="N75">
    <cfRule type="cellIs" dxfId="16213" priority="142193" stopIfTrue="1" operator="greaterThanOrEqual">
      <formula>0.5</formula>
    </cfRule>
  </conditionalFormatting>
  <conditionalFormatting sqref="N76">
    <cfRule type="cellIs" dxfId="16212" priority="142194" stopIfTrue="1" operator="equal">
      <formula>-1</formula>
    </cfRule>
  </conditionalFormatting>
  <conditionalFormatting sqref="N76">
    <cfRule type="cellIs" dxfId="16211" priority="142195" stopIfTrue="1" operator="lessThan">
      <formula>0.5</formula>
    </cfRule>
  </conditionalFormatting>
  <conditionalFormatting sqref="N76">
    <cfRule type="cellIs" dxfId="16210" priority="142196" stopIfTrue="1" operator="greaterThanOrEqual">
      <formula>0.5</formula>
    </cfRule>
  </conditionalFormatting>
  <conditionalFormatting sqref="N77">
    <cfRule type="cellIs" dxfId="16209" priority="142197" stopIfTrue="1" operator="equal">
      <formula>-1</formula>
    </cfRule>
  </conditionalFormatting>
  <conditionalFormatting sqref="N77">
    <cfRule type="cellIs" dxfId="16208" priority="142198" stopIfTrue="1" operator="lessThan">
      <formula>0.5</formula>
    </cfRule>
  </conditionalFormatting>
  <conditionalFormatting sqref="N77">
    <cfRule type="cellIs" dxfId="16207" priority="142199" stopIfTrue="1" operator="greaterThanOrEqual">
      <formula>0.5</formula>
    </cfRule>
  </conditionalFormatting>
  <conditionalFormatting sqref="N78">
    <cfRule type="cellIs" dxfId="16206" priority="142200" stopIfTrue="1" operator="equal">
      <formula>-1</formula>
    </cfRule>
  </conditionalFormatting>
  <conditionalFormatting sqref="N78">
    <cfRule type="cellIs" dxfId="16205" priority="142201" stopIfTrue="1" operator="lessThan">
      <formula>0.5</formula>
    </cfRule>
  </conditionalFormatting>
  <conditionalFormatting sqref="N78">
    <cfRule type="cellIs" dxfId="16204" priority="142202" stopIfTrue="1" operator="greaterThanOrEqual">
      <formula>0.5</formula>
    </cfRule>
  </conditionalFormatting>
  <conditionalFormatting sqref="N79">
    <cfRule type="cellIs" dxfId="16203" priority="142203" stopIfTrue="1" operator="equal">
      <formula>-1</formula>
    </cfRule>
  </conditionalFormatting>
  <conditionalFormatting sqref="N79">
    <cfRule type="cellIs" dxfId="16202" priority="142204" stopIfTrue="1" operator="lessThan">
      <formula>0.5</formula>
    </cfRule>
  </conditionalFormatting>
  <conditionalFormatting sqref="N79">
    <cfRule type="cellIs" dxfId="16201" priority="142205" stopIfTrue="1" operator="greaterThanOrEqual">
      <formula>0.5</formula>
    </cfRule>
  </conditionalFormatting>
  <conditionalFormatting sqref="N80">
    <cfRule type="cellIs" dxfId="16200" priority="142206" stopIfTrue="1" operator="equal">
      <formula>-1</formula>
    </cfRule>
  </conditionalFormatting>
  <conditionalFormatting sqref="N80">
    <cfRule type="cellIs" dxfId="16199" priority="142207" stopIfTrue="1" operator="lessThan">
      <formula>0.5</formula>
    </cfRule>
  </conditionalFormatting>
  <conditionalFormatting sqref="N80">
    <cfRule type="cellIs" dxfId="16198" priority="142208" stopIfTrue="1" operator="greaterThanOrEqual">
      <formula>0.5</formula>
    </cfRule>
  </conditionalFormatting>
  <conditionalFormatting sqref="N81">
    <cfRule type="cellIs" dxfId="16197" priority="142209" stopIfTrue="1" operator="equal">
      <formula>-1</formula>
    </cfRule>
  </conditionalFormatting>
  <conditionalFormatting sqref="N81">
    <cfRule type="cellIs" dxfId="16196" priority="142210" stopIfTrue="1" operator="lessThan">
      <formula>0.5</formula>
    </cfRule>
  </conditionalFormatting>
  <conditionalFormatting sqref="N81">
    <cfRule type="cellIs" dxfId="16195" priority="142211" stopIfTrue="1" operator="greaterThanOrEqual">
      <formula>0.5</formula>
    </cfRule>
  </conditionalFormatting>
  <conditionalFormatting sqref="N82">
    <cfRule type="cellIs" dxfId="16194" priority="142212" stopIfTrue="1" operator="equal">
      <formula>-1</formula>
    </cfRule>
  </conditionalFormatting>
  <conditionalFormatting sqref="N82">
    <cfRule type="cellIs" dxfId="16193" priority="142213" stopIfTrue="1" operator="lessThan">
      <formula>0.5</formula>
    </cfRule>
  </conditionalFormatting>
  <conditionalFormatting sqref="N82">
    <cfRule type="cellIs" dxfId="16192" priority="142214" stopIfTrue="1" operator="greaterThanOrEqual">
      <formula>0.5</formula>
    </cfRule>
  </conditionalFormatting>
  <conditionalFormatting sqref="N83">
    <cfRule type="cellIs" dxfId="16191" priority="142215" stopIfTrue="1" operator="equal">
      <formula>-1</formula>
    </cfRule>
  </conditionalFormatting>
  <conditionalFormatting sqref="N83">
    <cfRule type="cellIs" dxfId="16190" priority="142216" stopIfTrue="1" operator="lessThan">
      <formula>0.5</formula>
    </cfRule>
  </conditionalFormatting>
  <conditionalFormatting sqref="N83">
    <cfRule type="cellIs" dxfId="16189" priority="142217" stopIfTrue="1" operator="greaterThanOrEqual">
      <formula>0.5</formula>
    </cfRule>
  </conditionalFormatting>
  <conditionalFormatting sqref="N84">
    <cfRule type="cellIs" dxfId="16188" priority="142218" stopIfTrue="1" operator="equal">
      <formula>-1</formula>
    </cfRule>
  </conditionalFormatting>
  <conditionalFormatting sqref="N84">
    <cfRule type="cellIs" dxfId="16187" priority="142219" stopIfTrue="1" operator="lessThan">
      <formula>0.5</formula>
    </cfRule>
  </conditionalFormatting>
  <conditionalFormatting sqref="N84">
    <cfRule type="cellIs" dxfId="16186" priority="142220" stopIfTrue="1" operator="greaterThanOrEqual">
      <formula>0.5</formula>
    </cfRule>
  </conditionalFormatting>
  <conditionalFormatting sqref="N85">
    <cfRule type="cellIs" dxfId="16185" priority="142221" stopIfTrue="1" operator="equal">
      <formula>-1</formula>
    </cfRule>
  </conditionalFormatting>
  <conditionalFormatting sqref="N85">
    <cfRule type="cellIs" dxfId="16184" priority="142222" stopIfTrue="1" operator="lessThan">
      <formula>0.5</formula>
    </cfRule>
  </conditionalFormatting>
  <conditionalFormatting sqref="N85">
    <cfRule type="cellIs" dxfId="16183" priority="142223" stopIfTrue="1" operator="greaterThanOrEqual">
      <formula>0.5</formula>
    </cfRule>
  </conditionalFormatting>
  <conditionalFormatting sqref="P65">
    <cfRule type="cellIs" dxfId="16182" priority="142224" stopIfTrue="1" operator="equal">
      <formula>-1</formula>
    </cfRule>
  </conditionalFormatting>
  <conditionalFormatting sqref="P65">
    <cfRule type="cellIs" dxfId="16181" priority="142225" stopIfTrue="1" operator="lessThan">
      <formula>0.5</formula>
    </cfRule>
  </conditionalFormatting>
  <conditionalFormatting sqref="P65">
    <cfRule type="cellIs" dxfId="16180" priority="142226" stopIfTrue="1" operator="greaterThanOrEqual">
      <formula>0.5</formula>
    </cfRule>
  </conditionalFormatting>
  <conditionalFormatting sqref="P66">
    <cfRule type="cellIs" dxfId="16179" priority="142227" stopIfTrue="1" operator="equal">
      <formula>-1</formula>
    </cfRule>
  </conditionalFormatting>
  <conditionalFormatting sqref="P66">
    <cfRule type="cellIs" dxfId="16178" priority="142228" stopIfTrue="1" operator="lessThan">
      <formula>0.5</formula>
    </cfRule>
  </conditionalFormatting>
  <conditionalFormatting sqref="P66">
    <cfRule type="cellIs" dxfId="16177" priority="142229" stopIfTrue="1" operator="greaterThanOrEqual">
      <formula>0.5</formula>
    </cfRule>
  </conditionalFormatting>
  <conditionalFormatting sqref="P67">
    <cfRule type="cellIs" dxfId="16176" priority="142230" stopIfTrue="1" operator="equal">
      <formula>-1</formula>
    </cfRule>
  </conditionalFormatting>
  <conditionalFormatting sqref="P67">
    <cfRule type="cellIs" dxfId="16175" priority="142231" stopIfTrue="1" operator="lessThan">
      <formula>0.5</formula>
    </cfRule>
  </conditionalFormatting>
  <conditionalFormatting sqref="P67">
    <cfRule type="cellIs" dxfId="16174" priority="142232" stopIfTrue="1" operator="greaterThanOrEqual">
      <formula>0.5</formula>
    </cfRule>
  </conditionalFormatting>
  <conditionalFormatting sqref="P68">
    <cfRule type="cellIs" dxfId="16173" priority="142233" stopIfTrue="1" operator="equal">
      <formula>-1</formula>
    </cfRule>
  </conditionalFormatting>
  <conditionalFormatting sqref="P68">
    <cfRule type="cellIs" dxfId="16172" priority="142234" stopIfTrue="1" operator="lessThan">
      <formula>0.5</formula>
    </cfRule>
  </conditionalFormatting>
  <conditionalFormatting sqref="P68">
    <cfRule type="cellIs" dxfId="16171" priority="142235" stopIfTrue="1" operator="greaterThanOrEqual">
      <formula>0.5</formula>
    </cfRule>
  </conditionalFormatting>
  <conditionalFormatting sqref="P69">
    <cfRule type="cellIs" dxfId="16170" priority="142236" stopIfTrue="1" operator="equal">
      <formula>-1</formula>
    </cfRule>
  </conditionalFormatting>
  <conditionalFormatting sqref="P69">
    <cfRule type="cellIs" dxfId="16169" priority="142237" stopIfTrue="1" operator="lessThan">
      <formula>0.5</formula>
    </cfRule>
  </conditionalFormatting>
  <conditionalFormatting sqref="P69">
    <cfRule type="cellIs" dxfId="16168" priority="142238" stopIfTrue="1" operator="greaterThanOrEqual">
      <formula>0.5</formula>
    </cfRule>
  </conditionalFormatting>
  <conditionalFormatting sqref="P70">
    <cfRule type="cellIs" dxfId="16167" priority="142239" stopIfTrue="1" operator="equal">
      <formula>-1</formula>
    </cfRule>
  </conditionalFormatting>
  <conditionalFormatting sqref="P70">
    <cfRule type="cellIs" dxfId="16166" priority="142240" stopIfTrue="1" operator="lessThan">
      <formula>0.5</formula>
    </cfRule>
  </conditionalFormatting>
  <conditionalFormatting sqref="P70">
    <cfRule type="cellIs" dxfId="16165" priority="142241" stopIfTrue="1" operator="greaterThanOrEqual">
      <formula>0.5</formula>
    </cfRule>
  </conditionalFormatting>
  <conditionalFormatting sqref="P71">
    <cfRule type="cellIs" dxfId="16164" priority="142242" stopIfTrue="1" operator="equal">
      <formula>-1</formula>
    </cfRule>
  </conditionalFormatting>
  <conditionalFormatting sqref="P71">
    <cfRule type="cellIs" dxfId="16163" priority="142243" stopIfTrue="1" operator="lessThan">
      <formula>0.5</formula>
    </cfRule>
  </conditionalFormatting>
  <conditionalFormatting sqref="P71">
    <cfRule type="cellIs" dxfId="16162" priority="142244" stopIfTrue="1" operator="greaterThanOrEqual">
      <formula>0.5</formula>
    </cfRule>
  </conditionalFormatting>
  <conditionalFormatting sqref="P72">
    <cfRule type="cellIs" dxfId="16161" priority="142245" stopIfTrue="1" operator="equal">
      <formula>-1</formula>
    </cfRule>
  </conditionalFormatting>
  <conditionalFormatting sqref="P72">
    <cfRule type="cellIs" dxfId="16160" priority="142246" stopIfTrue="1" operator="lessThan">
      <formula>0.5</formula>
    </cfRule>
  </conditionalFormatting>
  <conditionalFormatting sqref="P72">
    <cfRule type="cellIs" dxfId="16159" priority="142247" stopIfTrue="1" operator="greaterThanOrEqual">
      <formula>0.5</formula>
    </cfRule>
  </conditionalFormatting>
  <conditionalFormatting sqref="P73">
    <cfRule type="cellIs" dxfId="16158" priority="142248" stopIfTrue="1" operator="equal">
      <formula>-1</formula>
    </cfRule>
  </conditionalFormatting>
  <conditionalFormatting sqref="P73">
    <cfRule type="cellIs" dxfId="16157" priority="142249" stopIfTrue="1" operator="lessThan">
      <formula>0.5</formula>
    </cfRule>
  </conditionalFormatting>
  <conditionalFormatting sqref="P73">
    <cfRule type="cellIs" dxfId="16156" priority="142250" stopIfTrue="1" operator="greaterThanOrEqual">
      <formula>0.5</formula>
    </cfRule>
  </conditionalFormatting>
  <conditionalFormatting sqref="P74">
    <cfRule type="cellIs" dxfId="16155" priority="142251" stopIfTrue="1" operator="equal">
      <formula>-1</formula>
    </cfRule>
  </conditionalFormatting>
  <conditionalFormatting sqref="P74">
    <cfRule type="cellIs" dxfId="16154" priority="142252" stopIfTrue="1" operator="lessThan">
      <formula>0.5</formula>
    </cfRule>
  </conditionalFormatting>
  <conditionalFormatting sqref="P74">
    <cfRule type="cellIs" dxfId="16153" priority="142253" stopIfTrue="1" operator="greaterThanOrEqual">
      <formula>0.5</formula>
    </cfRule>
  </conditionalFormatting>
  <conditionalFormatting sqref="P75">
    <cfRule type="cellIs" dxfId="16152" priority="142254" stopIfTrue="1" operator="equal">
      <formula>-1</formula>
    </cfRule>
  </conditionalFormatting>
  <conditionalFormatting sqref="P75">
    <cfRule type="cellIs" dxfId="16151" priority="142255" stopIfTrue="1" operator="lessThan">
      <formula>0.5</formula>
    </cfRule>
  </conditionalFormatting>
  <conditionalFormatting sqref="P75">
    <cfRule type="cellIs" dxfId="16150" priority="142256" stopIfTrue="1" operator="greaterThanOrEqual">
      <formula>0.5</formula>
    </cfRule>
  </conditionalFormatting>
  <conditionalFormatting sqref="P76">
    <cfRule type="cellIs" dxfId="16149" priority="142257" stopIfTrue="1" operator="equal">
      <formula>-1</formula>
    </cfRule>
  </conditionalFormatting>
  <conditionalFormatting sqref="P76">
    <cfRule type="cellIs" dxfId="16148" priority="142258" stopIfTrue="1" operator="lessThan">
      <formula>0.5</formula>
    </cfRule>
  </conditionalFormatting>
  <conditionalFormatting sqref="P76">
    <cfRule type="cellIs" dxfId="16147" priority="142259" stopIfTrue="1" operator="greaterThanOrEqual">
      <formula>0.5</formula>
    </cfRule>
  </conditionalFormatting>
  <conditionalFormatting sqref="P77">
    <cfRule type="cellIs" dxfId="16146" priority="142260" stopIfTrue="1" operator="equal">
      <formula>-1</formula>
    </cfRule>
  </conditionalFormatting>
  <conditionalFormatting sqref="P77">
    <cfRule type="cellIs" dxfId="16145" priority="142261" stopIfTrue="1" operator="lessThan">
      <formula>0.5</formula>
    </cfRule>
  </conditionalFormatting>
  <conditionalFormatting sqref="P77">
    <cfRule type="cellIs" dxfId="16144" priority="142262" stopIfTrue="1" operator="greaterThanOrEqual">
      <formula>0.5</formula>
    </cfRule>
  </conditionalFormatting>
  <conditionalFormatting sqref="P78">
    <cfRule type="cellIs" dxfId="16143" priority="142263" stopIfTrue="1" operator="equal">
      <formula>-1</formula>
    </cfRule>
  </conditionalFormatting>
  <conditionalFormatting sqref="P78">
    <cfRule type="cellIs" dxfId="16142" priority="142264" stopIfTrue="1" operator="lessThan">
      <formula>0.5</formula>
    </cfRule>
  </conditionalFormatting>
  <conditionalFormatting sqref="P78">
    <cfRule type="cellIs" dxfId="16141" priority="142265" stopIfTrue="1" operator="greaterThanOrEqual">
      <formula>0.5</formula>
    </cfRule>
  </conditionalFormatting>
  <conditionalFormatting sqref="P79">
    <cfRule type="cellIs" dxfId="16140" priority="142266" stopIfTrue="1" operator="equal">
      <formula>-1</formula>
    </cfRule>
  </conditionalFormatting>
  <conditionalFormatting sqref="P79">
    <cfRule type="cellIs" dxfId="16139" priority="142267" stopIfTrue="1" operator="lessThan">
      <formula>0.5</formula>
    </cfRule>
  </conditionalFormatting>
  <conditionalFormatting sqref="P79">
    <cfRule type="cellIs" dxfId="16138" priority="142268" stopIfTrue="1" operator="greaterThanOrEqual">
      <formula>0.5</formula>
    </cfRule>
  </conditionalFormatting>
  <conditionalFormatting sqref="P80">
    <cfRule type="cellIs" dxfId="16137" priority="142269" stopIfTrue="1" operator="equal">
      <formula>-1</formula>
    </cfRule>
  </conditionalFormatting>
  <conditionalFormatting sqref="P80">
    <cfRule type="cellIs" dxfId="16136" priority="142270" stopIfTrue="1" operator="lessThan">
      <formula>0.5</formula>
    </cfRule>
  </conditionalFormatting>
  <conditionalFormatting sqref="P80">
    <cfRule type="cellIs" dxfId="16135" priority="142271" stopIfTrue="1" operator="greaterThanOrEqual">
      <formula>0.5</formula>
    </cfRule>
  </conditionalFormatting>
  <conditionalFormatting sqref="P81">
    <cfRule type="cellIs" dxfId="16134" priority="142272" stopIfTrue="1" operator="equal">
      <formula>-1</formula>
    </cfRule>
  </conditionalFormatting>
  <conditionalFormatting sqref="P81">
    <cfRule type="cellIs" dxfId="16133" priority="142273" stopIfTrue="1" operator="lessThan">
      <formula>0.5</formula>
    </cfRule>
  </conditionalFormatting>
  <conditionalFormatting sqref="P81">
    <cfRule type="cellIs" dxfId="16132" priority="142274" stopIfTrue="1" operator="greaterThanOrEqual">
      <formula>0.5</formula>
    </cfRule>
  </conditionalFormatting>
  <conditionalFormatting sqref="P82">
    <cfRule type="cellIs" dxfId="16131" priority="142275" stopIfTrue="1" operator="equal">
      <formula>-1</formula>
    </cfRule>
  </conditionalFormatting>
  <conditionalFormatting sqref="P82">
    <cfRule type="cellIs" dxfId="16130" priority="142276" stopIfTrue="1" operator="lessThan">
      <formula>0.5</formula>
    </cfRule>
  </conditionalFormatting>
  <conditionalFormatting sqref="P82">
    <cfRule type="cellIs" dxfId="16129" priority="142277" stopIfTrue="1" operator="greaterThanOrEqual">
      <formula>0.5</formula>
    </cfRule>
  </conditionalFormatting>
  <conditionalFormatting sqref="P83">
    <cfRule type="cellIs" dxfId="16128" priority="142278" stopIfTrue="1" operator="equal">
      <formula>-1</formula>
    </cfRule>
  </conditionalFormatting>
  <conditionalFormatting sqref="P83">
    <cfRule type="cellIs" dxfId="16127" priority="142279" stopIfTrue="1" operator="lessThan">
      <formula>0.5</formula>
    </cfRule>
  </conditionalFormatting>
  <conditionalFormatting sqref="P83">
    <cfRule type="cellIs" dxfId="16126" priority="142280" stopIfTrue="1" operator="greaterThanOrEqual">
      <formula>0.5</formula>
    </cfRule>
  </conditionalFormatting>
  <conditionalFormatting sqref="P84">
    <cfRule type="cellIs" dxfId="16125" priority="142281" stopIfTrue="1" operator="equal">
      <formula>-1</formula>
    </cfRule>
  </conditionalFormatting>
  <conditionalFormatting sqref="P84">
    <cfRule type="cellIs" dxfId="16124" priority="142282" stopIfTrue="1" operator="lessThan">
      <formula>0.5</formula>
    </cfRule>
  </conditionalFormatting>
  <conditionalFormatting sqref="P84">
    <cfRule type="cellIs" dxfId="16123" priority="142283" stopIfTrue="1" operator="greaterThanOrEqual">
      <formula>0.5</formula>
    </cfRule>
  </conditionalFormatting>
  <conditionalFormatting sqref="P85">
    <cfRule type="cellIs" dxfId="16122" priority="142284" stopIfTrue="1" operator="equal">
      <formula>-1</formula>
    </cfRule>
  </conditionalFormatting>
  <conditionalFormatting sqref="P85">
    <cfRule type="cellIs" dxfId="16121" priority="142285" stopIfTrue="1" operator="lessThan">
      <formula>0.5</formula>
    </cfRule>
  </conditionalFormatting>
  <conditionalFormatting sqref="P85">
    <cfRule type="cellIs" dxfId="16120" priority="142286" stopIfTrue="1" operator="greaterThanOrEqual">
      <formula>0.5</formula>
    </cfRule>
  </conditionalFormatting>
  <conditionalFormatting sqref="R65">
    <cfRule type="cellIs" dxfId="16119" priority="142287" stopIfTrue="1" operator="equal">
      <formula>-1</formula>
    </cfRule>
  </conditionalFormatting>
  <conditionalFormatting sqref="R65">
    <cfRule type="cellIs" dxfId="16118" priority="142288" stopIfTrue="1" operator="lessThan">
      <formula>0.5</formula>
    </cfRule>
  </conditionalFormatting>
  <conditionalFormatting sqref="R65">
    <cfRule type="cellIs" dxfId="16117" priority="142289" stopIfTrue="1" operator="greaterThanOrEqual">
      <formula>0.5</formula>
    </cfRule>
  </conditionalFormatting>
  <conditionalFormatting sqref="R66">
    <cfRule type="cellIs" dxfId="16116" priority="142290" stopIfTrue="1" operator="equal">
      <formula>-1</formula>
    </cfRule>
  </conditionalFormatting>
  <conditionalFormatting sqref="R66">
    <cfRule type="cellIs" dxfId="16115" priority="142291" stopIfTrue="1" operator="lessThan">
      <formula>0.5</formula>
    </cfRule>
  </conditionalFormatting>
  <conditionalFormatting sqref="R66">
    <cfRule type="cellIs" dxfId="16114" priority="142292" stopIfTrue="1" operator="greaterThanOrEqual">
      <formula>0.5</formula>
    </cfRule>
  </conditionalFormatting>
  <conditionalFormatting sqref="R67">
    <cfRule type="cellIs" dxfId="16113" priority="142293" stopIfTrue="1" operator="equal">
      <formula>-1</formula>
    </cfRule>
  </conditionalFormatting>
  <conditionalFormatting sqref="R67">
    <cfRule type="cellIs" dxfId="16112" priority="142294" stopIfTrue="1" operator="lessThan">
      <formula>0.5</formula>
    </cfRule>
  </conditionalFormatting>
  <conditionalFormatting sqref="R67">
    <cfRule type="cellIs" dxfId="16111" priority="142295" stopIfTrue="1" operator="greaterThanOrEqual">
      <formula>0.5</formula>
    </cfRule>
  </conditionalFormatting>
  <conditionalFormatting sqref="R68">
    <cfRule type="cellIs" dxfId="16110" priority="142296" stopIfTrue="1" operator="equal">
      <formula>-1</formula>
    </cfRule>
  </conditionalFormatting>
  <conditionalFormatting sqref="R68">
    <cfRule type="cellIs" dxfId="16109" priority="142297" stopIfTrue="1" operator="lessThan">
      <formula>0.5</formula>
    </cfRule>
  </conditionalFormatting>
  <conditionalFormatting sqref="R68">
    <cfRule type="cellIs" dxfId="16108" priority="142298" stopIfTrue="1" operator="greaterThanOrEqual">
      <formula>0.5</formula>
    </cfRule>
  </conditionalFormatting>
  <conditionalFormatting sqref="R69">
    <cfRule type="cellIs" dxfId="16107" priority="142299" stopIfTrue="1" operator="equal">
      <formula>-1</formula>
    </cfRule>
  </conditionalFormatting>
  <conditionalFormatting sqref="R69">
    <cfRule type="cellIs" dxfId="16106" priority="142300" stopIfTrue="1" operator="lessThan">
      <formula>0.5</formula>
    </cfRule>
  </conditionalFormatting>
  <conditionalFormatting sqref="R69">
    <cfRule type="cellIs" dxfId="16105" priority="142301" stopIfTrue="1" operator="greaterThanOrEqual">
      <formula>0.5</formula>
    </cfRule>
  </conditionalFormatting>
  <conditionalFormatting sqref="R70">
    <cfRule type="cellIs" dxfId="16104" priority="142302" stopIfTrue="1" operator="equal">
      <formula>-1</formula>
    </cfRule>
  </conditionalFormatting>
  <conditionalFormatting sqref="R70">
    <cfRule type="cellIs" dxfId="16103" priority="142303" stopIfTrue="1" operator="lessThan">
      <formula>0.5</formula>
    </cfRule>
  </conditionalFormatting>
  <conditionalFormatting sqref="R70">
    <cfRule type="cellIs" dxfId="16102" priority="142304" stopIfTrue="1" operator="greaterThanOrEqual">
      <formula>0.5</formula>
    </cfRule>
  </conditionalFormatting>
  <conditionalFormatting sqref="R71">
    <cfRule type="cellIs" dxfId="16101" priority="142305" stopIfTrue="1" operator="equal">
      <formula>-1</formula>
    </cfRule>
  </conditionalFormatting>
  <conditionalFormatting sqref="R71">
    <cfRule type="cellIs" dxfId="16100" priority="142306" stopIfTrue="1" operator="lessThan">
      <formula>0.5</formula>
    </cfRule>
  </conditionalFormatting>
  <conditionalFormatting sqref="R71">
    <cfRule type="cellIs" dxfId="16099" priority="142307" stopIfTrue="1" operator="greaterThanOrEqual">
      <formula>0.5</formula>
    </cfRule>
  </conditionalFormatting>
  <conditionalFormatting sqref="R72">
    <cfRule type="cellIs" dxfId="16098" priority="142308" stopIfTrue="1" operator="equal">
      <formula>-1</formula>
    </cfRule>
  </conditionalFormatting>
  <conditionalFormatting sqref="R72">
    <cfRule type="cellIs" dxfId="16097" priority="142309" stopIfTrue="1" operator="lessThan">
      <formula>0.5</formula>
    </cfRule>
  </conditionalFormatting>
  <conditionalFormatting sqref="R72">
    <cfRule type="cellIs" dxfId="16096" priority="142310" stopIfTrue="1" operator="greaterThanOrEqual">
      <formula>0.5</formula>
    </cfRule>
  </conditionalFormatting>
  <conditionalFormatting sqref="R73">
    <cfRule type="cellIs" dxfId="16095" priority="142311" stopIfTrue="1" operator="equal">
      <formula>-1</formula>
    </cfRule>
  </conditionalFormatting>
  <conditionalFormatting sqref="R73">
    <cfRule type="cellIs" dxfId="16094" priority="142312" stopIfTrue="1" operator="lessThan">
      <formula>0.5</formula>
    </cfRule>
  </conditionalFormatting>
  <conditionalFormatting sqref="R73">
    <cfRule type="cellIs" dxfId="16093" priority="142313" stopIfTrue="1" operator="greaterThanOrEqual">
      <formula>0.5</formula>
    </cfRule>
  </conditionalFormatting>
  <conditionalFormatting sqref="R74">
    <cfRule type="cellIs" dxfId="16092" priority="142314" stopIfTrue="1" operator="equal">
      <formula>-1</formula>
    </cfRule>
  </conditionalFormatting>
  <conditionalFormatting sqref="R74">
    <cfRule type="cellIs" dxfId="16091" priority="142315" stopIfTrue="1" operator="lessThan">
      <formula>0.5</formula>
    </cfRule>
  </conditionalFormatting>
  <conditionalFormatting sqref="R74">
    <cfRule type="cellIs" dxfId="16090" priority="142316" stopIfTrue="1" operator="greaterThanOrEqual">
      <formula>0.5</formula>
    </cfRule>
  </conditionalFormatting>
  <conditionalFormatting sqref="R75">
    <cfRule type="cellIs" dxfId="16089" priority="142317" stopIfTrue="1" operator="equal">
      <formula>-1</formula>
    </cfRule>
  </conditionalFormatting>
  <conditionalFormatting sqref="R75">
    <cfRule type="cellIs" dxfId="16088" priority="142318" stopIfTrue="1" operator="lessThan">
      <formula>0.5</formula>
    </cfRule>
  </conditionalFormatting>
  <conditionalFormatting sqref="R75">
    <cfRule type="cellIs" dxfId="16087" priority="142319" stopIfTrue="1" operator="greaterThanOrEqual">
      <formula>0.5</formula>
    </cfRule>
  </conditionalFormatting>
  <conditionalFormatting sqref="R76">
    <cfRule type="cellIs" dxfId="16086" priority="142320" stopIfTrue="1" operator="equal">
      <formula>-1</formula>
    </cfRule>
  </conditionalFormatting>
  <conditionalFormatting sqref="R76">
    <cfRule type="cellIs" dxfId="16085" priority="142321" stopIfTrue="1" operator="lessThan">
      <formula>0.5</formula>
    </cfRule>
  </conditionalFormatting>
  <conditionalFormatting sqref="R76">
    <cfRule type="cellIs" dxfId="16084" priority="142322" stopIfTrue="1" operator="greaterThanOrEqual">
      <formula>0.5</formula>
    </cfRule>
  </conditionalFormatting>
  <conditionalFormatting sqref="R77">
    <cfRule type="cellIs" dxfId="16083" priority="142323" stopIfTrue="1" operator="equal">
      <formula>-1</formula>
    </cfRule>
  </conditionalFormatting>
  <conditionalFormatting sqref="R77">
    <cfRule type="cellIs" dxfId="16082" priority="142324" stopIfTrue="1" operator="lessThan">
      <formula>0.5</formula>
    </cfRule>
  </conditionalFormatting>
  <conditionalFormatting sqref="R77">
    <cfRule type="cellIs" dxfId="16081" priority="142325" stopIfTrue="1" operator="greaterThanOrEqual">
      <formula>0.5</formula>
    </cfRule>
  </conditionalFormatting>
  <conditionalFormatting sqref="R78">
    <cfRule type="cellIs" dxfId="16080" priority="142326" stopIfTrue="1" operator="equal">
      <formula>-1</formula>
    </cfRule>
  </conditionalFormatting>
  <conditionalFormatting sqref="R78">
    <cfRule type="cellIs" dxfId="16079" priority="142327" stopIfTrue="1" operator="lessThan">
      <formula>0.5</formula>
    </cfRule>
  </conditionalFormatting>
  <conditionalFormatting sqref="R78">
    <cfRule type="cellIs" dxfId="16078" priority="142328" stopIfTrue="1" operator="greaterThanOrEqual">
      <formula>0.5</formula>
    </cfRule>
  </conditionalFormatting>
  <conditionalFormatting sqref="R79">
    <cfRule type="cellIs" dxfId="16077" priority="142329" stopIfTrue="1" operator="equal">
      <formula>-1</formula>
    </cfRule>
  </conditionalFormatting>
  <conditionalFormatting sqref="R79">
    <cfRule type="cellIs" dxfId="16076" priority="142330" stopIfTrue="1" operator="lessThan">
      <formula>0.5</formula>
    </cfRule>
  </conditionalFormatting>
  <conditionalFormatting sqref="R79">
    <cfRule type="cellIs" dxfId="16075" priority="142331" stopIfTrue="1" operator="greaterThanOrEqual">
      <formula>0.5</formula>
    </cfRule>
  </conditionalFormatting>
  <conditionalFormatting sqref="R80">
    <cfRule type="cellIs" dxfId="16074" priority="142332" stopIfTrue="1" operator="equal">
      <formula>-1</formula>
    </cfRule>
  </conditionalFormatting>
  <conditionalFormatting sqref="R80">
    <cfRule type="cellIs" dxfId="16073" priority="142333" stopIfTrue="1" operator="lessThan">
      <formula>0.5</formula>
    </cfRule>
  </conditionalFormatting>
  <conditionalFormatting sqref="R80">
    <cfRule type="cellIs" dxfId="16072" priority="142334" stopIfTrue="1" operator="greaterThanOrEqual">
      <formula>0.5</formula>
    </cfRule>
  </conditionalFormatting>
  <conditionalFormatting sqref="R81">
    <cfRule type="cellIs" dxfId="16071" priority="142335" stopIfTrue="1" operator="equal">
      <formula>-1</formula>
    </cfRule>
  </conditionalFormatting>
  <conditionalFormatting sqref="R81">
    <cfRule type="cellIs" dxfId="16070" priority="142336" stopIfTrue="1" operator="lessThan">
      <formula>0.5</formula>
    </cfRule>
  </conditionalFormatting>
  <conditionalFormatting sqref="R81">
    <cfRule type="cellIs" dxfId="16069" priority="142337" stopIfTrue="1" operator="greaterThanOrEqual">
      <formula>0.5</formula>
    </cfRule>
  </conditionalFormatting>
  <conditionalFormatting sqref="R82">
    <cfRule type="cellIs" dxfId="16068" priority="142338" stopIfTrue="1" operator="equal">
      <formula>-1</formula>
    </cfRule>
  </conditionalFormatting>
  <conditionalFormatting sqref="R82">
    <cfRule type="cellIs" dxfId="16067" priority="142339" stopIfTrue="1" operator="lessThan">
      <formula>0.5</formula>
    </cfRule>
  </conditionalFormatting>
  <conditionalFormatting sqref="R82">
    <cfRule type="cellIs" dxfId="16066" priority="142340" stopIfTrue="1" operator="greaterThanOrEqual">
      <formula>0.5</formula>
    </cfRule>
  </conditionalFormatting>
  <conditionalFormatting sqref="R83">
    <cfRule type="cellIs" dxfId="16065" priority="142341" stopIfTrue="1" operator="equal">
      <formula>-1</formula>
    </cfRule>
  </conditionalFormatting>
  <conditionalFormatting sqref="R83">
    <cfRule type="cellIs" dxfId="16064" priority="142342" stopIfTrue="1" operator="lessThan">
      <formula>0.5</formula>
    </cfRule>
  </conditionalFormatting>
  <conditionalFormatting sqref="R83">
    <cfRule type="cellIs" dxfId="16063" priority="142343" stopIfTrue="1" operator="greaterThanOrEqual">
      <formula>0.5</formula>
    </cfRule>
  </conditionalFormatting>
  <conditionalFormatting sqref="R84">
    <cfRule type="cellIs" dxfId="16062" priority="142344" stopIfTrue="1" operator="equal">
      <formula>-1</formula>
    </cfRule>
  </conditionalFormatting>
  <conditionalFormatting sqref="R84">
    <cfRule type="cellIs" dxfId="16061" priority="142345" stopIfTrue="1" operator="lessThan">
      <formula>0.5</formula>
    </cfRule>
  </conditionalFormatting>
  <conditionalFormatting sqref="R84">
    <cfRule type="cellIs" dxfId="16060" priority="142346" stopIfTrue="1" operator="greaterThanOrEqual">
      <formula>0.5</formula>
    </cfRule>
  </conditionalFormatting>
  <conditionalFormatting sqref="R85">
    <cfRule type="cellIs" dxfId="16059" priority="142347" stopIfTrue="1" operator="equal">
      <formula>-1</formula>
    </cfRule>
  </conditionalFormatting>
  <conditionalFormatting sqref="R85">
    <cfRule type="cellIs" dxfId="16058" priority="142348" stopIfTrue="1" operator="lessThan">
      <formula>0.5</formula>
    </cfRule>
  </conditionalFormatting>
  <conditionalFormatting sqref="R85">
    <cfRule type="cellIs" dxfId="16057" priority="142349" stopIfTrue="1" operator="greaterThanOrEqual">
      <formula>0.5</formula>
    </cfRule>
  </conditionalFormatting>
  <conditionalFormatting sqref="T65">
    <cfRule type="cellIs" dxfId="16056" priority="142350" stopIfTrue="1" operator="equal">
      <formula>-1</formula>
    </cfRule>
  </conditionalFormatting>
  <conditionalFormatting sqref="T65">
    <cfRule type="cellIs" dxfId="16055" priority="142351" stopIfTrue="1" operator="lessThan">
      <formula>0.5</formula>
    </cfRule>
  </conditionalFormatting>
  <conditionalFormatting sqref="T65">
    <cfRule type="cellIs" dxfId="16054" priority="142352" stopIfTrue="1" operator="greaterThanOrEqual">
      <formula>0.5</formula>
    </cfRule>
  </conditionalFormatting>
  <conditionalFormatting sqref="T66">
    <cfRule type="cellIs" dxfId="16053" priority="142353" stopIfTrue="1" operator="equal">
      <formula>-1</formula>
    </cfRule>
  </conditionalFormatting>
  <conditionalFormatting sqref="T66">
    <cfRule type="cellIs" dxfId="16052" priority="142354" stopIfTrue="1" operator="lessThan">
      <formula>0.5</formula>
    </cfRule>
  </conditionalFormatting>
  <conditionalFormatting sqref="T66">
    <cfRule type="cellIs" dxfId="16051" priority="142355" stopIfTrue="1" operator="greaterThanOrEqual">
      <formula>0.5</formula>
    </cfRule>
  </conditionalFormatting>
  <conditionalFormatting sqref="T67">
    <cfRule type="cellIs" dxfId="16050" priority="142356" stopIfTrue="1" operator="equal">
      <formula>-1</formula>
    </cfRule>
  </conditionalFormatting>
  <conditionalFormatting sqref="T67">
    <cfRule type="cellIs" dxfId="16049" priority="142357" stopIfTrue="1" operator="lessThan">
      <formula>0.5</formula>
    </cfRule>
  </conditionalFormatting>
  <conditionalFormatting sqref="T67">
    <cfRule type="cellIs" dxfId="16048" priority="142358" stopIfTrue="1" operator="greaterThanOrEqual">
      <formula>0.5</formula>
    </cfRule>
  </conditionalFormatting>
  <conditionalFormatting sqref="T68">
    <cfRule type="cellIs" dxfId="16047" priority="142359" stopIfTrue="1" operator="equal">
      <formula>-1</formula>
    </cfRule>
  </conditionalFormatting>
  <conditionalFormatting sqref="T68">
    <cfRule type="cellIs" dxfId="16046" priority="142360" stopIfTrue="1" operator="lessThan">
      <formula>0.5</formula>
    </cfRule>
  </conditionalFormatting>
  <conditionalFormatting sqref="T68">
    <cfRule type="cellIs" dxfId="16045" priority="142361" stopIfTrue="1" operator="greaterThanOrEqual">
      <formula>0.5</formula>
    </cfRule>
  </conditionalFormatting>
  <conditionalFormatting sqref="T69">
    <cfRule type="cellIs" dxfId="16044" priority="142362" stopIfTrue="1" operator="equal">
      <formula>-1</formula>
    </cfRule>
  </conditionalFormatting>
  <conditionalFormatting sqref="T69">
    <cfRule type="cellIs" dxfId="16043" priority="142363" stopIfTrue="1" operator="lessThan">
      <formula>0.5</formula>
    </cfRule>
  </conditionalFormatting>
  <conditionalFormatting sqref="T69">
    <cfRule type="cellIs" dxfId="16042" priority="142364" stopIfTrue="1" operator="greaterThanOrEqual">
      <formula>0.5</formula>
    </cfRule>
  </conditionalFormatting>
  <conditionalFormatting sqref="T70">
    <cfRule type="cellIs" dxfId="16041" priority="142365" stopIfTrue="1" operator="equal">
      <formula>-1</formula>
    </cfRule>
  </conditionalFormatting>
  <conditionalFormatting sqref="T70">
    <cfRule type="cellIs" dxfId="16040" priority="142366" stopIfTrue="1" operator="lessThan">
      <formula>0.5</formula>
    </cfRule>
  </conditionalFormatting>
  <conditionalFormatting sqref="T70">
    <cfRule type="cellIs" dxfId="16039" priority="142367" stopIfTrue="1" operator="greaterThanOrEqual">
      <formula>0.5</formula>
    </cfRule>
  </conditionalFormatting>
  <conditionalFormatting sqref="T71">
    <cfRule type="cellIs" dxfId="16038" priority="142368" stopIfTrue="1" operator="equal">
      <formula>-1</formula>
    </cfRule>
  </conditionalFormatting>
  <conditionalFormatting sqref="T71">
    <cfRule type="cellIs" dxfId="16037" priority="142369" stopIfTrue="1" operator="lessThan">
      <formula>0.5</formula>
    </cfRule>
  </conditionalFormatting>
  <conditionalFormatting sqref="T71">
    <cfRule type="cellIs" dxfId="16036" priority="142370" stopIfTrue="1" operator="greaterThanOrEqual">
      <formula>0.5</formula>
    </cfRule>
  </conditionalFormatting>
  <conditionalFormatting sqref="T72">
    <cfRule type="cellIs" dxfId="16035" priority="142371" stopIfTrue="1" operator="equal">
      <formula>-1</formula>
    </cfRule>
  </conditionalFormatting>
  <conditionalFormatting sqref="T72">
    <cfRule type="cellIs" dxfId="16034" priority="142372" stopIfTrue="1" operator="lessThan">
      <formula>0.5</formula>
    </cfRule>
  </conditionalFormatting>
  <conditionalFormatting sqref="T72">
    <cfRule type="cellIs" dxfId="16033" priority="142373" stopIfTrue="1" operator="greaterThanOrEqual">
      <formula>0.5</formula>
    </cfRule>
  </conditionalFormatting>
  <conditionalFormatting sqref="T73">
    <cfRule type="cellIs" dxfId="16032" priority="142374" stopIfTrue="1" operator="equal">
      <formula>-1</formula>
    </cfRule>
  </conditionalFormatting>
  <conditionalFormatting sqref="T73">
    <cfRule type="cellIs" dxfId="16031" priority="142375" stopIfTrue="1" operator="lessThan">
      <formula>0.5</formula>
    </cfRule>
  </conditionalFormatting>
  <conditionalFormatting sqref="T73">
    <cfRule type="cellIs" dxfId="16030" priority="142376" stopIfTrue="1" operator="greaterThanOrEqual">
      <formula>0.5</formula>
    </cfRule>
  </conditionalFormatting>
  <conditionalFormatting sqref="T74">
    <cfRule type="cellIs" dxfId="16029" priority="142377" stopIfTrue="1" operator="equal">
      <formula>-1</formula>
    </cfRule>
  </conditionalFormatting>
  <conditionalFormatting sqref="T74">
    <cfRule type="cellIs" dxfId="16028" priority="142378" stopIfTrue="1" operator="lessThan">
      <formula>0.5</formula>
    </cfRule>
  </conditionalFormatting>
  <conditionalFormatting sqref="T74">
    <cfRule type="cellIs" dxfId="16027" priority="142379" stopIfTrue="1" operator="greaterThanOrEqual">
      <formula>0.5</formula>
    </cfRule>
  </conditionalFormatting>
  <conditionalFormatting sqref="T75">
    <cfRule type="cellIs" dxfId="16026" priority="142380" stopIfTrue="1" operator="equal">
      <formula>-1</formula>
    </cfRule>
  </conditionalFormatting>
  <conditionalFormatting sqref="T75">
    <cfRule type="cellIs" dxfId="16025" priority="142381" stopIfTrue="1" operator="lessThan">
      <formula>0.5</formula>
    </cfRule>
  </conditionalFormatting>
  <conditionalFormatting sqref="T75">
    <cfRule type="cellIs" dxfId="16024" priority="142382" stopIfTrue="1" operator="greaterThanOrEqual">
      <formula>0.5</formula>
    </cfRule>
  </conditionalFormatting>
  <conditionalFormatting sqref="T76">
    <cfRule type="cellIs" dxfId="16023" priority="142383" stopIfTrue="1" operator="equal">
      <formula>-1</formula>
    </cfRule>
  </conditionalFormatting>
  <conditionalFormatting sqref="T76">
    <cfRule type="cellIs" dxfId="16022" priority="142384" stopIfTrue="1" operator="lessThan">
      <formula>0.5</formula>
    </cfRule>
  </conditionalFormatting>
  <conditionalFormatting sqref="T76">
    <cfRule type="cellIs" dxfId="16021" priority="142385" stopIfTrue="1" operator="greaterThanOrEqual">
      <formula>0.5</formula>
    </cfRule>
  </conditionalFormatting>
  <conditionalFormatting sqref="T77">
    <cfRule type="cellIs" dxfId="16020" priority="142386" stopIfTrue="1" operator="equal">
      <formula>-1</formula>
    </cfRule>
  </conditionalFormatting>
  <conditionalFormatting sqref="T77">
    <cfRule type="cellIs" dxfId="16019" priority="142387" stopIfTrue="1" operator="lessThan">
      <formula>0.5</formula>
    </cfRule>
  </conditionalFormatting>
  <conditionalFormatting sqref="T77">
    <cfRule type="cellIs" dxfId="16018" priority="142388" stopIfTrue="1" operator="greaterThanOrEqual">
      <formula>0.5</formula>
    </cfRule>
  </conditionalFormatting>
  <conditionalFormatting sqref="T78">
    <cfRule type="cellIs" dxfId="16017" priority="142389" stopIfTrue="1" operator="equal">
      <formula>-1</formula>
    </cfRule>
  </conditionalFormatting>
  <conditionalFormatting sqref="T78">
    <cfRule type="cellIs" dxfId="16016" priority="142390" stopIfTrue="1" operator="lessThan">
      <formula>0.5</formula>
    </cfRule>
  </conditionalFormatting>
  <conditionalFormatting sqref="T78">
    <cfRule type="cellIs" dxfId="16015" priority="142391" stopIfTrue="1" operator="greaterThanOrEqual">
      <formula>0.5</formula>
    </cfRule>
  </conditionalFormatting>
  <conditionalFormatting sqref="T79">
    <cfRule type="cellIs" dxfId="16014" priority="142392" stopIfTrue="1" operator="equal">
      <formula>-1</formula>
    </cfRule>
  </conditionalFormatting>
  <conditionalFormatting sqref="T79">
    <cfRule type="cellIs" dxfId="16013" priority="142393" stopIfTrue="1" operator="lessThan">
      <formula>0.5</formula>
    </cfRule>
  </conditionalFormatting>
  <conditionalFormatting sqref="T79">
    <cfRule type="cellIs" dxfId="16012" priority="142394" stopIfTrue="1" operator="greaterThanOrEqual">
      <formula>0.5</formula>
    </cfRule>
  </conditionalFormatting>
  <conditionalFormatting sqref="T80">
    <cfRule type="cellIs" dxfId="16011" priority="142395" stopIfTrue="1" operator="equal">
      <formula>-1</formula>
    </cfRule>
  </conditionalFormatting>
  <conditionalFormatting sqref="T80">
    <cfRule type="cellIs" dxfId="16010" priority="142396" stopIfTrue="1" operator="lessThan">
      <formula>0.5</formula>
    </cfRule>
  </conditionalFormatting>
  <conditionalFormatting sqref="T80">
    <cfRule type="cellIs" dxfId="16009" priority="142397" stopIfTrue="1" operator="greaterThanOrEqual">
      <formula>0.5</formula>
    </cfRule>
  </conditionalFormatting>
  <conditionalFormatting sqref="T81">
    <cfRule type="cellIs" dxfId="16008" priority="142398" stopIfTrue="1" operator="equal">
      <formula>-1</formula>
    </cfRule>
  </conditionalFormatting>
  <conditionalFormatting sqref="T81">
    <cfRule type="cellIs" dxfId="16007" priority="142399" stopIfTrue="1" operator="lessThan">
      <formula>0.5</formula>
    </cfRule>
  </conditionalFormatting>
  <conditionalFormatting sqref="T81">
    <cfRule type="cellIs" dxfId="16006" priority="142400" stopIfTrue="1" operator="greaterThanOrEqual">
      <formula>0.5</formula>
    </cfRule>
  </conditionalFormatting>
  <conditionalFormatting sqref="T82">
    <cfRule type="cellIs" dxfId="16005" priority="142401" stopIfTrue="1" operator="equal">
      <formula>-1</formula>
    </cfRule>
  </conditionalFormatting>
  <conditionalFormatting sqref="T82">
    <cfRule type="cellIs" dxfId="16004" priority="142402" stopIfTrue="1" operator="lessThan">
      <formula>0.5</formula>
    </cfRule>
  </conditionalFormatting>
  <conditionalFormatting sqref="T82">
    <cfRule type="cellIs" dxfId="16003" priority="142403" stopIfTrue="1" operator="greaterThanOrEqual">
      <formula>0.5</formula>
    </cfRule>
  </conditionalFormatting>
  <conditionalFormatting sqref="T83">
    <cfRule type="cellIs" dxfId="16002" priority="142404" stopIfTrue="1" operator="equal">
      <formula>-1</formula>
    </cfRule>
  </conditionalFormatting>
  <conditionalFormatting sqref="T83">
    <cfRule type="cellIs" dxfId="16001" priority="142405" stopIfTrue="1" operator="lessThan">
      <formula>0.5</formula>
    </cfRule>
  </conditionalFormatting>
  <conditionalFormatting sqref="T83">
    <cfRule type="cellIs" dxfId="16000" priority="142406" stopIfTrue="1" operator="greaterThanOrEqual">
      <formula>0.5</formula>
    </cfRule>
  </conditionalFormatting>
  <conditionalFormatting sqref="T84">
    <cfRule type="cellIs" dxfId="15999" priority="142407" stopIfTrue="1" operator="equal">
      <formula>-1</formula>
    </cfRule>
  </conditionalFormatting>
  <conditionalFormatting sqref="T84">
    <cfRule type="cellIs" dxfId="15998" priority="142408" stopIfTrue="1" operator="lessThan">
      <formula>0.5</formula>
    </cfRule>
  </conditionalFormatting>
  <conditionalFormatting sqref="T84">
    <cfRule type="cellIs" dxfId="15997" priority="142409" stopIfTrue="1" operator="greaterThanOrEqual">
      <formula>0.5</formula>
    </cfRule>
  </conditionalFormatting>
  <conditionalFormatting sqref="T85">
    <cfRule type="cellIs" dxfId="15996" priority="142410" stopIfTrue="1" operator="equal">
      <formula>-1</formula>
    </cfRule>
  </conditionalFormatting>
  <conditionalFormatting sqref="T85">
    <cfRule type="cellIs" dxfId="15995" priority="142411" stopIfTrue="1" operator="lessThan">
      <formula>0.5</formula>
    </cfRule>
  </conditionalFormatting>
  <conditionalFormatting sqref="T85">
    <cfRule type="cellIs" dxfId="15994" priority="142412" stopIfTrue="1" operator="greaterThanOrEqual">
      <formula>0.5</formula>
    </cfRule>
  </conditionalFormatting>
  <conditionalFormatting sqref="V65">
    <cfRule type="cellIs" dxfId="15993" priority="142413" stopIfTrue="1" operator="equal">
      <formula>-1</formula>
    </cfRule>
  </conditionalFormatting>
  <conditionalFormatting sqref="V65">
    <cfRule type="cellIs" dxfId="15992" priority="142414" stopIfTrue="1" operator="lessThan">
      <formula>0.5</formula>
    </cfRule>
  </conditionalFormatting>
  <conditionalFormatting sqref="V65">
    <cfRule type="cellIs" dxfId="15991" priority="142415" stopIfTrue="1" operator="greaterThanOrEqual">
      <formula>0.5</formula>
    </cfRule>
  </conditionalFormatting>
  <conditionalFormatting sqref="V66">
    <cfRule type="cellIs" dxfId="15990" priority="142416" stopIfTrue="1" operator="equal">
      <formula>-1</formula>
    </cfRule>
  </conditionalFormatting>
  <conditionalFormatting sqref="V66">
    <cfRule type="cellIs" dxfId="15989" priority="142417" stopIfTrue="1" operator="lessThan">
      <formula>0.5</formula>
    </cfRule>
  </conditionalFormatting>
  <conditionalFormatting sqref="V66">
    <cfRule type="cellIs" dxfId="15988" priority="142418" stopIfTrue="1" operator="greaterThanOrEqual">
      <formula>0.5</formula>
    </cfRule>
  </conditionalFormatting>
  <conditionalFormatting sqref="V67">
    <cfRule type="cellIs" dxfId="15987" priority="142419" stopIfTrue="1" operator="equal">
      <formula>-1</formula>
    </cfRule>
  </conditionalFormatting>
  <conditionalFormatting sqref="V67">
    <cfRule type="cellIs" dxfId="15986" priority="142420" stopIfTrue="1" operator="lessThan">
      <formula>0.5</formula>
    </cfRule>
  </conditionalFormatting>
  <conditionalFormatting sqref="V67">
    <cfRule type="cellIs" dxfId="15985" priority="142421" stopIfTrue="1" operator="greaterThanOrEqual">
      <formula>0.5</formula>
    </cfRule>
  </conditionalFormatting>
  <conditionalFormatting sqref="V68">
    <cfRule type="cellIs" dxfId="15984" priority="142422" stopIfTrue="1" operator="equal">
      <formula>-1</formula>
    </cfRule>
  </conditionalFormatting>
  <conditionalFormatting sqref="V68">
    <cfRule type="cellIs" dxfId="15983" priority="142423" stopIfTrue="1" operator="lessThan">
      <formula>0.5</formula>
    </cfRule>
  </conditionalFormatting>
  <conditionalFormatting sqref="V68">
    <cfRule type="cellIs" dxfId="15982" priority="142424" stopIfTrue="1" operator="greaterThanOrEqual">
      <formula>0.5</formula>
    </cfRule>
  </conditionalFormatting>
  <conditionalFormatting sqref="V69">
    <cfRule type="cellIs" dxfId="15981" priority="142425" stopIfTrue="1" operator="equal">
      <formula>-1</formula>
    </cfRule>
  </conditionalFormatting>
  <conditionalFormatting sqref="V69">
    <cfRule type="cellIs" dxfId="15980" priority="142426" stopIfTrue="1" operator="lessThan">
      <formula>0.5</formula>
    </cfRule>
  </conditionalFormatting>
  <conditionalFormatting sqref="V69">
    <cfRule type="cellIs" dxfId="15979" priority="142427" stopIfTrue="1" operator="greaterThanOrEqual">
      <formula>0.5</formula>
    </cfRule>
  </conditionalFormatting>
  <conditionalFormatting sqref="V70">
    <cfRule type="cellIs" dxfId="15978" priority="142428" stopIfTrue="1" operator="equal">
      <formula>-1</formula>
    </cfRule>
  </conditionalFormatting>
  <conditionalFormatting sqref="V70">
    <cfRule type="cellIs" dxfId="15977" priority="142429" stopIfTrue="1" operator="lessThan">
      <formula>0.5</formula>
    </cfRule>
  </conditionalFormatting>
  <conditionalFormatting sqref="V70">
    <cfRule type="cellIs" dxfId="15976" priority="142430" stopIfTrue="1" operator="greaterThanOrEqual">
      <formula>0.5</formula>
    </cfRule>
  </conditionalFormatting>
  <conditionalFormatting sqref="V71">
    <cfRule type="cellIs" dxfId="15975" priority="142431" stopIfTrue="1" operator="equal">
      <formula>-1</formula>
    </cfRule>
  </conditionalFormatting>
  <conditionalFormatting sqref="V71">
    <cfRule type="cellIs" dxfId="15974" priority="142432" stopIfTrue="1" operator="lessThan">
      <formula>0.5</formula>
    </cfRule>
  </conditionalFormatting>
  <conditionalFormatting sqref="V71">
    <cfRule type="cellIs" dxfId="15973" priority="142433" stopIfTrue="1" operator="greaterThanOrEqual">
      <formula>0.5</formula>
    </cfRule>
  </conditionalFormatting>
  <conditionalFormatting sqref="V72">
    <cfRule type="cellIs" dxfId="15972" priority="142434" stopIfTrue="1" operator="equal">
      <formula>-1</formula>
    </cfRule>
  </conditionalFormatting>
  <conditionalFormatting sqref="V72">
    <cfRule type="cellIs" dxfId="15971" priority="142435" stopIfTrue="1" operator="lessThan">
      <formula>0.5</formula>
    </cfRule>
  </conditionalFormatting>
  <conditionalFormatting sqref="V72">
    <cfRule type="cellIs" dxfId="15970" priority="142436" stopIfTrue="1" operator="greaterThanOrEqual">
      <formula>0.5</formula>
    </cfRule>
  </conditionalFormatting>
  <conditionalFormatting sqref="V73">
    <cfRule type="cellIs" dxfId="15969" priority="142437" stopIfTrue="1" operator="equal">
      <formula>-1</formula>
    </cfRule>
  </conditionalFormatting>
  <conditionalFormatting sqref="V73">
    <cfRule type="cellIs" dxfId="15968" priority="142438" stopIfTrue="1" operator="lessThan">
      <formula>0.5</formula>
    </cfRule>
  </conditionalFormatting>
  <conditionalFormatting sqref="V73">
    <cfRule type="cellIs" dxfId="15967" priority="142439" stopIfTrue="1" operator="greaterThanOrEqual">
      <formula>0.5</formula>
    </cfRule>
  </conditionalFormatting>
  <conditionalFormatting sqref="V74">
    <cfRule type="cellIs" dxfId="15966" priority="142440" stopIfTrue="1" operator="equal">
      <formula>-1</formula>
    </cfRule>
  </conditionalFormatting>
  <conditionalFormatting sqref="V74">
    <cfRule type="cellIs" dxfId="15965" priority="142441" stopIfTrue="1" operator="lessThan">
      <formula>0.5</formula>
    </cfRule>
  </conditionalFormatting>
  <conditionalFormatting sqref="V74">
    <cfRule type="cellIs" dxfId="15964" priority="142442" stopIfTrue="1" operator="greaterThanOrEqual">
      <formula>0.5</formula>
    </cfRule>
  </conditionalFormatting>
  <conditionalFormatting sqref="V75">
    <cfRule type="cellIs" dxfId="15963" priority="142443" stopIfTrue="1" operator="equal">
      <formula>-1</formula>
    </cfRule>
  </conditionalFormatting>
  <conditionalFormatting sqref="V75">
    <cfRule type="cellIs" dxfId="15962" priority="142444" stopIfTrue="1" operator="lessThan">
      <formula>0.5</formula>
    </cfRule>
  </conditionalFormatting>
  <conditionalFormatting sqref="V75">
    <cfRule type="cellIs" dxfId="15961" priority="142445" stopIfTrue="1" operator="greaterThanOrEqual">
      <formula>0.5</formula>
    </cfRule>
  </conditionalFormatting>
  <conditionalFormatting sqref="V76">
    <cfRule type="cellIs" dxfId="15960" priority="142446" stopIfTrue="1" operator="equal">
      <formula>-1</formula>
    </cfRule>
  </conditionalFormatting>
  <conditionalFormatting sqref="V76">
    <cfRule type="cellIs" dxfId="15959" priority="142447" stopIfTrue="1" operator="lessThan">
      <formula>0.5</formula>
    </cfRule>
  </conditionalFormatting>
  <conditionalFormatting sqref="V76">
    <cfRule type="cellIs" dxfId="15958" priority="142448" stopIfTrue="1" operator="greaterThanOrEqual">
      <formula>0.5</formula>
    </cfRule>
  </conditionalFormatting>
  <conditionalFormatting sqref="V77">
    <cfRule type="cellIs" dxfId="15957" priority="142449" stopIfTrue="1" operator="equal">
      <formula>-1</formula>
    </cfRule>
  </conditionalFormatting>
  <conditionalFormatting sqref="V77">
    <cfRule type="cellIs" dxfId="15956" priority="142450" stopIfTrue="1" operator="lessThan">
      <formula>0.5</formula>
    </cfRule>
  </conditionalFormatting>
  <conditionalFormatting sqref="V77">
    <cfRule type="cellIs" dxfId="15955" priority="142451" stopIfTrue="1" operator="greaterThanOrEqual">
      <formula>0.5</formula>
    </cfRule>
  </conditionalFormatting>
  <conditionalFormatting sqref="V78">
    <cfRule type="cellIs" dxfId="15954" priority="142452" stopIfTrue="1" operator="equal">
      <formula>-1</formula>
    </cfRule>
  </conditionalFormatting>
  <conditionalFormatting sqref="V78">
    <cfRule type="cellIs" dxfId="15953" priority="142453" stopIfTrue="1" operator="lessThan">
      <formula>0.5</formula>
    </cfRule>
  </conditionalFormatting>
  <conditionalFormatting sqref="V78">
    <cfRule type="cellIs" dxfId="15952" priority="142454" stopIfTrue="1" operator="greaterThanOrEqual">
      <formula>0.5</formula>
    </cfRule>
  </conditionalFormatting>
  <conditionalFormatting sqref="V79">
    <cfRule type="cellIs" dxfId="15951" priority="142455" stopIfTrue="1" operator="equal">
      <formula>-1</formula>
    </cfRule>
  </conditionalFormatting>
  <conditionalFormatting sqref="V79">
    <cfRule type="cellIs" dxfId="15950" priority="142456" stopIfTrue="1" operator="lessThan">
      <formula>0.5</formula>
    </cfRule>
  </conditionalFormatting>
  <conditionalFormatting sqref="V79">
    <cfRule type="cellIs" dxfId="15949" priority="142457" stopIfTrue="1" operator="greaterThanOrEqual">
      <formula>0.5</formula>
    </cfRule>
  </conditionalFormatting>
  <conditionalFormatting sqref="V80">
    <cfRule type="cellIs" dxfId="15948" priority="142458" stopIfTrue="1" operator="equal">
      <formula>-1</formula>
    </cfRule>
  </conditionalFormatting>
  <conditionalFormatting sqref="V80">
    <cfRule type="cellIs" dxfId="15947" priority="142459" stopIfTrue="1" operator="lessThan">
      <formula>0.5</formula>
    </cfRule>
  </conditionalFormatting>
  <conditionalFormatting sqref="V80">
    <cfRule type="cellIs" dxfId="15946" priority="142460" stopIfTrue="1" operator="greaterThanOrEqual">
      <formula>0.5</formula>
    </cfRule>
  </conditionalFormatting>
  <conditionalFormatting sqref="V81">
    <cfRule type="cellIs" dxfId="15945" priority="142461" stopIfTrue="1" operator="equal">
      <formula>-1</formula>
    </cfRule>
  </conditionalFormatting>
  <conditionalFormatting sqref="V81">
    <cfRule type="cellIs" dxfId="15944" priority="142462" stopIfTrue="1" operator="lessThan">
      <formula>0.5</formula>
    </cfRule>
  </conditionalFormatting>
  <conditionalFormatting sqref="V81">
    <cfRule type="cellIs" dxfId="15943" priority="142463" stopIfTrue="1" operator="greaterThanOrEqual">
      <formula>0.5</formula>
    </cfRule>
  </conditionalFormatting>
  <conditionalFormatting sqref="V82">
    <cfRule type="cellIs" dxfId="15942" priority="142464" stopIfTrue="1" operator="equal">
      <formula>-1</formula>
    </cfRule>
  </conditionalFormatting>
  <conditionalFormatting sqref="V82">
    <cfRule type="cellIs" dxfId="15941" priority="142465" stopIfTrue="1" operator="lessThan">
      <formula>0.5</formula>
    </cfRule>
  </conditionalFormatting>
  <conditionalFormatting sqref="V82">
    <cfRule type="cellIs" dxfId="15940" priority="142466" stopIfTrue="1" operator="greaterThanOrEqual">
      <formula>0.5</formula>
    </cfRule>
  </conditionalFormatting>
  <conditionalFormatting sqref="V83">
    <cfRule type="cellIs" dxfId="15939" priority="142467" stopIfTrue="1" operator="equal">
      <formula>-1</formula>
    </cfRule>
  </conditionalFormatting>
  <conditionalFormatting sqref="V83">
    <cfRule type="cellIs" dxfId="15938" priority="142468" stopIfTrue="1" operator="lessThan">
      <formula>0.5</formula>
    </cfRule>
  </conditionalFormatting>
  <conditionalFormatting sqref="V83">
    <cfRule type="cellIs" dxfId="15937" priority="142469" stopIfTrue="1" operator="greaterThanOrEqual">
      <formula>0.5</formula>
    </cfRule>
  </conditionalFormatting>
  <conditionalFormatting sqref="V84">
    <cfRule type="cellIs" dxfId="15936" priority="142470" stopIfTrue="1" operator="equal">
      <formula>-1</formula>
    </cfRule>
  </conditionalFormatting>
  <conditionalFormatting sqref="V84">
    <cfRule type="cellIs" dxfId="15935" priority="142471" stopIfTrue="1" operator="lessThan">
      <formula>0.5</formula>
    </cfRule>
  </conditionalFormatting>
  <conditionalFormatting sqref="V84">
    <cfRule type="cellIs" dxfId="15934" priority="142472" stopIfTrue="1" operator="greaterThanOrEqual">
      <formula>0.5</formula>
    </cfRule>
  </conditionalFormatting>
  <conditionalFormatting sqref="V85">
    <cfRule type="cellIs" dxfId="15933" priority="142473" stopIfTrue="1" operator="equal">
      <formula>-1</formula>
    </cfRule>
  </conditionalFormatting>
  <conditionalFormatting sqref="V85">
    <cfRule type="cellIs" dxfId="15932" priority="142474" stopIfTrue="1" operator="lessThan">
      <formula>0.5</formula>
    </cfRule>
  </conditionalFormatting>
  <conditionalFormatting sqref="V85">
    <cfRule type="cellIs" dxfId="15931" priority="142475" stopIfTrue="1" operator="greaterThanOrEqual">
      <formula>0.5</formula>
    </cfRule>
  </conditionalFormatting>
  <conditionalFormatting sqref="X65">
    <cfRule type="cellIs" dxfId="15930" priority="142476" stopIfTrue="1" operator="equal">
      <formula>-1</formula>
    </cfRule>
  </conditionalFormatting>
  <conditionalFormatting sqref="X65">
    <cfRule type="cellIs" dxfId="15929" priority="142477" stopIfTrue="1" operator="lessThan">
      <formula>0.5</formula>
    </cfRule>
  </conditionalFormatting>
  <conditionalFormatting sqref="X65">
    <cfRule type="cellIs" dxfId="15928" priority="142478" stopIfTrue="1" operator="greaterThanOrEqual">
      <formula>0.5</formula>
    </cfRule>
  </conditionalFormatting>
  <conditionalFormatting sqref="X66">
    <cfRule type="cellIs" dxfId="15927" priority="142479" stopIfTrue="1" operator="equal">
      <formula>-1</formula>
    </cfRule>
  </conditionalFormatting>
  <conditionalFormatting sqref="X66">
    <cfRule type="cellIs" dxfId="15926" priority="142480" stopIfTrue="1" operator="lessThan">
      <formula>0.5</formula>
    </cfRule>
  </conditionalFormatting>
  <conditionalFormatting sqref="X66">
    <cfRule type="cellIs" dxfId="15925" priority="142481" stopIfTrue="1" operator="greaterThanOrEqual">
      <formula>0.5</formula>
    </cfRule>
  </conditionalFormatting>
  <conditionalFormatting sqref="X67">
    <cfRule type="cellIs" dxfId="15924" priority="142482" stopIfTrue="1" operator="equal">
      <formula>-1</formula>
    </cfRule>
  </conditionalFormatting>
  <conditionalFormatting sqref="X67">
    <cfRule type="cellIs" dxfId="15923" priority="142483" stopIfTrue="1" operator="lessThan">
      <formula>0.5</formula>
    </cfRule>
  </conditionalFormatting>
  <conditionalFormatting sqref="X67">
    <cfRule type="cellIs" dxfId="15922" priority="142484" stopIfTrue="1" operator="greaterThanOrEqual">
      <formula>0.5</formula>
    </cfRule>
  </conditionalFormatting>
  <conditionalFormatting sqref="X68">
    <cfRule type="cellIs" dxfId="15921" priority="142485" stopIfTrue="1" operator="equal">
      <formula>-1</formula>
    </cfRule>
  </conditionalFormatting>
  <conditionalFormatting sqref="X68">
    <cfRule type="cellIs" dxfId="15920" priority="142486" stopIfTrue="1" operator="lessThan">
      <formula>0.5</formula>
    </cfRule>
  </conditionalFormatting>
  <conditionalFormatting sqref="X68">
    <cfRule type="cellIs" dxfId="15919" priority="142487" stopIfTrue="1" operator="greaterThanOrEqual">
      <formula>0.5</formula>
    </cfRule>
  </conditionalFormatting>
  <conditionalFormatting sqref="X69">
    <cfRule type="cellIs" dxfId="15918" priority="142488" stopIfTrue="1" operator="equal">
      <formula>-1</formula>
    </cfRule>
  </conditionalFormatting>
  <conditionalFormatting sqref="X69">
    <cfRule type="cellIs" dxfId="15917" priority="142489" stopIfTrue="1" operator="lessThan">
      <formula>0.5</formula>
    </cfRule>
  </conditionalFormatting>
  <conditionalFormatting sqref="X69">
    <cfRule type="cellIs" dxfId="15916" priority="142490" stopIfTrue="1" operator="greaterThanOrEqual">
      <formula>0.5</formula>
    </cfRule>
  </conditionalFormatting>
  <conditionalFormatting sqref="X70">
    <cfRule type="cellIs" dxfId="15915" priority="142491" stopIfTrue="1" operator="equal">
      <formula>-1</formula>
    </cfRule>
  </conditionalFormatting>
  <conditionalFormatting sqref="X70">
    <cfRule type="cellIs" dxfId="15914" priority="142492" stopIfTrue="1" operator="lessThan">
      <formula>0.5</formula>
    </cfRule>
  </conditionalFormatting>
  <conditionalFormatting sqref="X70">
    <cfRule type="cellIs" dxfId="15913" priority="142493" stopIfTrue="1" operator="greaterThanOrEqual">
      <formula>0.5</formula>
    </cfRule>
  </conditionalFormatting>
  <conditionalFormatting sqref="X71">
    <cfRule type="cellIs" dxfId="15912" priority="142494" stopIfTrue="1" operator="equal">
      <formula>-1</formula>
    </cfRule>
  </conditionalFormatting>
  <conditionalFormatting sqref="X71">
    <cfRule type="cellIs" dxfId="15911" priority="142495" stopIfTrue="1" operator="lessThan">
      <formula>0.5</formula>
    </cfRule>
  </conditionalFormatting>
  <conditionalFormatting sqref="X71">
    <cfRule type="cellIs" dxfId="15910" priority="142496" stopIfTrue="1" operator="greaterThanOrEqual">
      <formula>0.5</formula>
    </cfRule>
  </conditionalFormatting>
  <conditionalFormatting sqref="X72">
    <cfRule type="cellIs" dxfId="15909" priority="142497" stopIfTrue="1" operator="equal">
      <formula>-1</formula>
    </cfRule>
  </conditionalFormatting>
  <conditionalFormatting sqref="X72">
    <cfRule type="cellIs" dxfId="15908" priority="142498" stopIfTrue="1" operator="lessThan">
      <formula>0.5</formula>
    </cfRule>
  </conditionalFormatting>
  <conditionalFormatting sqref="X72">
    <cfRule type="cellIs" dxfId="15907" priority="142499" stopIfTrue="1" operator="greaterThanOrEqual">
      <formula>0.5</formula>
    </cfRule>
  </conditionalFormatting>
  <conditionalFormatting sqref="X73">
    <cfRule type="cellIs" dxfId="15906" priority="142500" stopIfTrue="1" operator="equal">
      <formula>-1</formula>
    </cfRule>
  </conditionalFormatting>
  <conditionalFormatting sqref="X73">
    <cfRule type="cellIs" dxfId="15905" priority="142501" stopIfTrue="1" operator="lessThan">
      <formula>0.5</formula>
    </cfRule>
  </conditionalFormatting>
  <conditionalFormatting sqref="X73">
    <cfRule type="cellIs" dxfId="15904" priority="142502" stopIfTrue="1" operator="greaterThanOrEqual">
      <formula>0.5</formula>
    </cfRule>
  </conditionalFormatting>
  <conditionalFormatting sqref="X74">
    <cfRule type="cellIs" dxfId="15903" priority="142503" stopIfTrue="1" operator="equal">
      <formula>-1</formula>
    </cfRule>
  </conditionalFormatting>
  <conditionalFormatting sqref="X74">
    <cfRule type="cellIs" dxfId="15902" priority="142504" stopIfTrue="1" operator="lessThan">
      <formula>0.5</formula>
    </cfRule>
  </conditionalFormatting>
  <conditionalFormatting sqref="X74">
    <cfRule type="cellIs" dxfId="15901" priority="142505" stopIfTrue="1" operator="greaterThanOrEqual">
      <formula>0.5</formula>
    </cfRule>
  </conditionalFormatting>
  <conditionalFormatting sqref="X75">
    <cfRule type="cellIs" dxfId="15900" priority="142506" stopIfTrue="1" operator="equal">
      <formula>-1</formula>
    </cfRule>
  </conditionalFormatting>
  <conditionalFormatting sqref="X75">
    <cfRule type="cellIs" dxfId="15899" priority="142507" stopIfTrue="1" operator="lessThan">
      <formula>0.5</formula>
    </cfRule>
  </conditionalFormatting>
  <conditionalFormatting sqref="X75">
    <cfRule type="cellIs" dxfId="15898" priority="142508" stopIfTrue="1" operator="greaterThanOrEqual">
      <formula>0.5</formula>
    </cfRule>
  </conditionalFormatting>
  <conditionalFormatting sqref="X76">
    <cfRule type="cellIs" dxfId="15897" priority="142509" stopIfTrue="1" operator="equal">
      <formula>-1</formula>
    </cfRule>
  </conditionalFormatting>
  <conditionalFormatting sqref="X76">
    <cfRule type="cellIs" dxfId="15896" priority="142510" stopIfTrue="1" operator="lessThan">
      <formula>0.5</formula>
    </cfRule>
  </conditionalFormatting>
  <conditionalFormatting sqref="X76">
    <cfRule type="cellIs" dxfId="15895" priority="142511" stopIfTrue="1" operator="greaterThanOrEqual">
      <formula>0.5</formula>
    </cfRule>
  </conditionalFormatting>
  <conditionalFormatting sqref="X77">
    <cfRule type="cellIs" dxfId="15894" priority="142512" stopIfTrue="1" operator="equal">
      <formula>-1</formula>
    </cfRule>
  </conditionalFormatting>
  <conditionalFormatting sqref="X77">
    <cfRule type="cellIs" dxfId="15893" priority="142513" stopIfTrue="1" operator="lessThan">
      <formula>0.5</formula>
    </cfRule>
  </conditionalFormatting>
  <conditionalFormatting sqref="X77">
    <cfRule type="cellIs" dxfId="15892" priority="142514" stopIfTrue="1" operator="greaterThanOrEqual">
      <formula>0.5</formula>
    </cfRule>
  </conditionalFormatting>
  <conditionalFormatting sqref="X78">
    <cfRule type="cellIs" dxfId="15891" priority="142515" stopIfTrue="1" operator="equal">
      <formula>-1</formula>
    </cfRule>
  </conditionalFormatting>
  <conditionalFormatting sqref="X78">
    <cfRule type="cellIs" dxfId="15890" priority="142516" stopIfTrue="1" operator="lessThan">
      <formula>0.5</formula>
    </cfRule>
  </conditionalFormatting>
  <conditionalFormatting sqref="X78">
    <cfRule type="cellIs" dxfId="15889" priority="142517" stopIfTrue="1" operator="greaterThanOrEqual">
      <formula>0.5</formula>
    </cfRule>
  </conditionalFormatting>
  <conditionalFormatting sqref="X79">
    <cfRule type="cellIs" dxfId="15888" priority="142518" stopIfTrue="1" operator="equal">
      <formula>-1</formula>
    </cfRule>
  </conditionalFormatting>
  <conditionalFormatting sqref="X79">
    <cfRule type="cellIs" dxfId="15887" priority="142519" stopIfTrue="1" operator="lessThan">
      <formula>0.5</formula>
    </cfRule>
  </conditionalFormatting>
  <conditionalFormatting sqref="X79">
    <cfRule type="cellIs" dxfId="15886" priority="142520" stopIfTrue="1" operator="greaterThanOrEqual">
      <formula>0.5</formula>
    </cfRule>
  </conditionalFormatting>
  <conditionalFormatting sqref="X80">
    <cfRule type="cellIs" dxfId="15885" priority="142521" stopIfTrue="1" operator="equal">
      <formula>-1</formula>
    </cfRule>
  </conditionalFormatting>
  <conditionalFormatting sqref="X80">
    <cfRule type="cellIs" dxfId="15884" priority="142522" stopIfTrue="1" operator="lessThan">
      <formula>0.5</formula>
    </cfRule>
  </conditionalFormatting>
  <conditionalFormatting sqref="X80">
    <cfRule type="cellIs" dxfId="15883" priority="142523" stopIfTrue="1" operator="greaterThanOrEqual">
      <formula>0.5</formula>
    </cfRule>
  </conditionalFormatting>
  <conditionalFormatting sqref="X81">
    <cfRule type="cellIs" dxfId="15882" priority="142524" stopIfTrue="1" operator="equal">
      <formula>-1</formula>
    </cfRule>
  </conditionalFormatting>
  <conditionalFormatting sqref="X81">
    <cfRule type="cellIs" dxfId="15881" priority="142525" stopIfTrue="1" operator="lessThan">
      <formula>0.5</formula>
    </cfRule>
  </conditionalFormatting>
  <conditionalFormatting sqref="X81">
    <cfRule type="cellIs" dxfId="15880" priority="142526" stopIfTrue="1" operator="greaterThanOrEqual">
      <formula>0.5</formula>
    </cfRule>
  </conditionalFormatting>
  <conditionalFormatting sqref="X82">
    <cfRule type="cellIs" dxfId="15879" priority="142527" stopIfTrue="1" operator="equal">
      <formula>-1</formula>
    </cfRule>
  </conditionalFormatting>
  <conditionalFormatting sqref="X82">
    <cfRule type="cellIs" dxfId="15878" priority="142528" stopIfTrue="1" operator="lessThan">
      <formula>0.5</formula>
    </cfRule>
  </conditionalFormatting>
  <conditionalFormatting sqref="X82">
    <cfRule type="cellIs" dxfId="15877" priority="142529" stopIfTrue="1" operator="greaterThanOrEqual">
      <formula>0.5</formula>
    </cfRule>
  </conditionalFormatting>
  <conditionalFormatting sqref="X83">
    <cfRule type="cellIs" dxfId="15876" priority="142530" stopIfTrue="1" operator="equal">
      <formula>-1</formula>
    </cfRule>
  </conditionalFormatting>
  <conditionalFormatting sqref="X83">
    <cfRule type="cellIs" dxfId="15875" priority="142531" stopIfTrue="1" operator="lessThan">
      <formula>0.5</formula>
    </cfRule>
  </conditionalFormatting>
  <conditionalFormatting sqref="X83">
    <cfRule type="cellIs" dxfId="15874" priority="142532" stopIfTrue="1" operator="greaterThanOrEqual">
      <formula>0.5</formula>
    </cfRule>
  </conditionalFormatting>
  <conditionalFormatting sqref="X84">
    <cfRule type="cellIs" dxfId="15873" priority="142533" stopIfTrue="1" operator="equal">
      <formula>-1</formula>
    </cfRule>
  </conditionalFormatting>
  <conditionalFormatting sqref="X84">
    <cfRule type="cellIs" dxfId="15872" priority="142534" stopIfTrue="1" operator="lessThan">
      <formula>0.5</formula>
    </cfRule>
  </conditionalFormatting>
  <conditionalFormatting sqref="X84">
    <cfRule type="cellIs" dxfId="15871" priority="142535" stopIfTrue="1" operator="greaterThanOrEqual">
      <formula>0.5</formula>
    </cfRule>
  </conditionalFormatting>
  <conditionalFormatting sqref="X85">
    <cfRule type="cellIs" dxfId="15870" priority="142536" stopIfTrue="1" operator="equal">
      <formula>-1</formula>
    </cfRule>
  </conditionalFormatting>
  <conditionalFormatting sqref="X85">
    <cfRule type="cellIs" dxfId="15869" priority="142537" stopIfTrue="1" operator="lessThan">
      <formula>0.5</formula>
    </cfRule>
  </conditionalFormatting>
  <conditionalFormatting sqref="X85">
    <cfRule type="cellIs" dxfId="15868" priority="142538" stopIfTrue="1" operator="greaterThanOrEqual">
      <formula>0.5</formula>
    </cfRule>
  </conditionalFormatting>
  <conditionalFormatting sqref="Z65">
    <cfRule type="cellIs" dxfId="15867" priority="142539" stopIfTrue="1" operator="equal">
      <formula>-1</formula>
    </cfRule>
  </conditionalFormatting>
  <conditionalFormatting sqref="Z65">
    <cfRule type="cellIs" dxfId="15866" priority="142540" stopIfTrue="1" operator="lessThan">
      <formula>0.5</formula>
    </cfRule>
  </conditionalFormatting>
  <conditionalFormatting sqref="Z65">
    <cfRule type="cellIs" dxfId="15865" priority="142541" stopIfTrue="1" operator="greaterThanOrEqual">
      <formula>0.5</formula>
    </cfRule>
  </conditionalFormatting>
  <conditionalFormatting sqref="Z66">
    <cfRule type="cellIs" dxfId="15864" priority="142542" stopIfTrue="1" operator="equal">
      <formula>-1</formula>
    </cfRule>
  </conditionalFormatting>
  <conditionalFormatting sqref="Z66">
    <cfRule type="cellIs" dxfId="15863" priority="142543" stopIfTrue="1" operator="lessThan">
      <formula>0.5</formula>
    </cfRule>
  </conditionalFormatting>
  <conditionalFormatting sqref="Z66">
    <cfRule type="cellIs" dxfId="15862" priority="142544" stopIfTrue="1" operator="greaterThanOrEqual">
      <formula>0.5</formula>
    </cfRule>
  </conditionalFormatting>
  <conditionalFormatting sqref="Z67">
    <cfRule type="cellIs" dxfId="15861" priority="142545" stopIfTrue="1" operator="equal">
      <formula>-1</formula>
    </cfRule>
  </conditionalFormatting>
  <conditionalFormatting sqref="Z67">
    <cfRule type="cellIs" dxfId="15860" priority="142546" stopIfTrue="1" operator="lessThan">
      <formula>0.5</formula>
    </cfRule>
  </conditionalFormatting>
  <conditionalFormatting sqref="Z67">
    <cfRule type="cellIs" dxfId="15859" priority="142547" stopIfTrue="1" operator="greaterThanOrEqual">
      <formula>0.5</formula>
    </cfRule>
  </conditionalFormatting>
  <conditionalFormatting sqref="Z68">
    <cfRule type="cellIs" dxfId="15858" priority="142548" stopIfTrue="1" operator="equal">
      <formula>-1</formula>
    </cfRule>
  </conditionalFormatting>
  <conditionalFormatting sqref="Z68">
    <cfRule type="cellIs" dxfId="15857" priority="142549" stopIfTrue="1" operator="lessThan">
      <formula>0.5</formula>
    </cfRule>
  </conditionalFormatting>
  <conditionalFormatting sqref="Z68">
    <cfRule type="cellIs" dxfId="15856" priority="142550" stopIfTrue="1" operator="greaterThanOrEqual">
      <formula>0.5</formula>
    </cfRule>
  </conditionalFormatting>
  <conditionalFormatting sqref="Z69">
    <cfRule type="cellIs" dxfId="15855" priority="142551" stopIfTrue="1" operator="equal">
      <formula>-1</formula>
    </cfRule>
  </conditionalFormatting>
  <conditionalFormatting sqref="Z69">
    <cfRule type="cellIs" dxfId="15854" priority="142552" stopIfTrue="1" operator="lessThan">
      <formula>0.5</formula>
    </cfRule>
  </conditionalFormatting>
  <conditionalFormatting sqref="Z69">
    <cfRule type="cellIs" dxfId="15853" priority="142553" stopIfTrue="1" operator="greaterThanOrEqual">
      <formula>0.5</formula>
    </cfRule>
  </conditionalFormatting>
  <conditionalFormatting sqref="Z70">
    <cfRule type="cellIs" dxfId="15852" priority="142554" stopIfTrue="1" operator="equal">
      <formula>-1</formula>
    </cfRule>
  </conditionalFormatting>
  <conditionalFormatting sqref="Z70">
    <cfRule type="cellIs" dxfId="15851" priority="142555" stopIfTrue="1" operator="lessThan">
      <formula>0.5</formula>
    </cfRule>
  </conditionalFormatting>
  <conditionalFormatting sqref="Z70">
    <cfRule type="cellIs" dxfId="15850" priority="142556" stopIfTrue="1" operator="greaterThanOrEqual">
      <formula>0.5</formula>
    </cfRule>
  </conditionalFormatting>
  <conditionalFormatting sqref="Z71">
    <cfRule type="cellIs" dxfId="15849" priority="142557" stopIfTrue="1" operator="equal">
      <formula>-1</formula>
    </cfRule>
  </conditionalFormatting>
  <conditionalFormatting sqref="Z71">
    <cfRule type="cellIs" dxfId="15848" priority="142558" stopIfTrue="1" operator="lessThan">
      <formula>0.5</formula>
    </cfRule>
  </conditionalFormatting>
  <conditionalFormatting sqref="Z71">
    <cfRule type="cellIs" dxfId="15847" priority="142559" stopIfTrue="1" operator="greaterThanOrEqual">
      <formula>0.5</formula>
    </cfRule>
  </conditionalFormatting>
  <conditionalFormatting sqref="Z72">
    <cfRule type="cellIs" dxfId="15846" priority="142560" stopIfTrue="1" operator="equal">
      <formula>-1</formula>
    </cfRule>
  </conditionalFormatting>
  <conditionalFormatting sqref="Z72">
    <cfRule type="cellIs" dxfId="15845" priority="142561" stopIfTrue="1" operator="lessThan">
      <formula>0.5</formula>
    </cfRule>
  </conditionalFormatting>
  <conditionalFormatting sqref="Z72">
    <cfRule type="cellIs" dxfId="15844" priority="142562" stopIfTrue="1" operator="greaterThanOrEqual">
      <formula>0.5</formula>
    </cfRule>
  </conditionalFormatting>
  <conditionalFormatting sqref="Z73">
    <cfRule type="cellIs" dxfId="15843" priority="142563" stopIfTrue="1" operator="equal">
      <formula>-1</formula>
    </cfRule>
  </conditionalFormatting>
  <conditionalFormatting sqref="Z73">
    <cfRule type="cellIs" dxfId="15842" priority="142564" stopIfTrue="1" operator="lessThan">
      <formula>0.5</formula>
    </cfRule>
  </conditionalFormatting>
  <conditionalFormatting sqref="Z73">
    <cfRule type="cellIs" dxfId="15841" priority="142565" stopIfTrue="1" operator="greaterThanOrEqual">
      <formula>0.5</formula>
    </cfRule>
  </conditionalFormatting>
  <conditionalFormatting sqref="Z74">
    <cfRule type="cellIs" dxfId="15840" priority="142566" stopIfTrue="1" operator="equal">
      <formula>-1</formula>
    </cfRule>
  </conditionalFormatting>
  <conditionalFormatting sqref="Z74">
    <cfRule type="cellIs" dxfId="15839" priority="142567" stopIfTrue="1" operator="lessThan">
      <formula>0.5</formula>
    </cfRule>
  </conditionalFormatting>
  <conditionalFormatting sqref="Z74">
    <cfRule type="cellIs" dxfId="15838" priority="142568" stopIfTrue="1" operator="greaterThanOrEqual">
      <formula>0.5</formula>
    </cfRule>
  </conditionalFormatting>
  <conditionalFormatting sqref="Z75">
    <cfRule type="cellIs" dxfId="15837" priority="142569" stopIfTrue="1" operator="equal">
      <formula>-1</formula>
    </cfRule>
  </conditionalFormatting>
  <conditionalFormatting sqref="Z75">
    <cfRule type="cellIs" dxfId="15836" priority="142570" stopIfTrue="1" operator="lessThan">
      <formula>0.5</formula>
    </cfRule>
  </conditionalFormatting>
  <conditionalFormatting sqref="Z75">
    <cfRule type="cellIs" dxfId="15835" priority="142571" stopIfTrue="1" operator="greaterThanOrEqual">
      <formula>0.5</formula>
    </cfRule>
  </conditionalFormatting>
  <conditionalFormatting sqref="Z76">
    <cfRule type="cellIs" dxfId="15834" priority="142572" stopIfTrue="1" operator="equal">
      <formula>-1</formula>
    </cfRule>
  </conditionalFormatting>
  <conditionalFormatting sqref="Z76">
    <cfRule type="cellIs" dxfId="15833" priority="142573" stopIfTrue="1" operator="lessThan">
      <formula>0.5</formula>
    </cfRule>
  </conditionalFormatting>
  <conditionalFormatting sqref="Z76">
    <cfRule type="cellIs" dxfId="15832" priority="142574" stopIfTrue="1" operator="greaterThanOrEqual">
      <formula>0.5</formula>
    </cfRule>
  </conditionalFormatting>
  <conditionalFormatting sqref="Z77">
    <cfRule type="cellIs" dxfId="15831" priority="142575" stopIfTrue="1" operator="equal">
      <formula>-1</formula>
    </cfRule>
  </conditionalFormatting>
  <conditionalFormatting sqref="Z77">
    <cfRule type="cellIs" dxfId="15830" priority="142576" stopIfTrue="1" operator="lessThan">
      <formula>0.5</formula>
    </cfRule>
  </conditionalFormatting>
  <conditionalFormatting sqref="Z77">
    <cfRule type="cellIs" dxfId="15829" priority="142577" stopIfTrue="1" operator="greaterThanOrEqual">
      <formula>0.5</formula>
    </cfRule>
  </conditionalFormatting>
  <conditionalFormatting sqref="Z78">
    <cfRule type="cellIs" dxfId="15828" priority="142578" stopIfTrue="1" operator="equal">
      <formula>-1</formula>
    </cfRule>
  </conditionalFormatting>
  <conditionalFormatting sqref="Z78">
    <cfRule type="cellIs" dxfId="15827" priority="142579" stopIfTrue="1" operator="lessThan">
      <formula>0.5</formula>
    </cfRule>
  </conditionalFormatting>
  <conditionalFormatting sqref="Z78">
    <cfRule type="cellIs" dxfId="15826" priority="142580" stopIfTrue="1" operator="greaterThanOrEqual">
      <formula>0.5</formula>
    </cfRule>
  </conditionalFormatting>
  <conditionalFormatting sqref="Z79">
    <cfRule type="cellIs" dxfId="15825" priority="142581" stopIfTrue="1" operator="equal">
      <formula>-1</formula>
    </cfRule>
  </conditionalFormatting>
  <conditionalFormatting sqref="Z79">
    <cfRule type="cellIs" dxfId="15824" priority="142582" stopIfTrue="1" operator="lessThan">
      <formula>0.5</formula>
    </cfRule>
  </conditionalFormatting>
  <conditionalFormatting sqref="Z79">
    <cfRule type="cellIs" dxfId="15823" priority="142583" stopIfTrue="1" operator="greaterThanOrEqual">
      <formula>0.5</formula>
    </cfRule>
  </conditionalFormatting>
  <conditionalFormatting sqref="Z80">
    <cfRule type="cellIs" dxfId="15822" priority="142584" stopIfTrue="1" operator="equal">
      <formula>-1</formula>
    </cfRule>
  </conditionalFormatting>
  <conditionalFormatting sqref="Z80">
    <cfRule type="cellIs" dxfId="15821" priority="142585" stopIfTrue="1" operator="lessThan">
      <formula>0.5</formula>
    </cfRule>
  </conditionalFormatting>
  <conditionalFormatting sqref="Z80">
    <cfRule type="cellIs" dxfId="15820" priority="142586" stopIfTrue="1" operator="greaterThanOrEqual">
      <formula>0.5</formula>
    </cfRule>
  </conditionalFormatting>
  <conditionalFormatting sqref="Z81">
    <cfRule type="cellIs" dxfId="15819" priority="142587" stopIfTrue="1" operator="equal">
      <formula>-1</formula>
    </cfRule>
  </conditionalFormatting>
  <conditionalFormatting sqref="Z81">
    <cfRule type="cellIs" dxfId="15818" priority="142588" stopIfTrue="1" operator="lessThan">
      <formula>0.5</formula>
    </cfRule>
  </conditionalFormatting>
  <conditionalFormatting sqref="Z81">
    <cfRule type="cellIs" dxfId="15817" priority="142589" stopIfTrue="1" operator="greaterThanOrEqual">
      <formula>0.5</formula>
    </cfRule>
  </conditionalFormatting>
  <conditionalFormatting sqref="Z82">
    <cfRule type="cellIs" dxfId="15816" priority="142590" stopIfTrue="1" operator="equal">
      <formula>-1</formula>
    </cfRule>
  </conditionalFormatting>
  <conditionalFormatting sqref="Z82">
    <cfRule type="cellIs" dxfId="15815" priority="142591" stopIfTrue="1" operator="lessThan">
      <formula>0.5</formula>
    </cfRule>
  </conditionalFormatting>
  <conditionalFormatting sqref="Z82">
    <cfRule type="cellIs" dxfId="15814" priority="142592" stopIfTrue="1" operator="greaterThanOrEqual">
      <formula>0.5</formula>
    </cfRule>
  </conditionalFormatting>
  <conditionalFormatting sqref="Z83">
    <cfRule type="cellIs" dxfId="15813" priority="142593" stopIfTrue="1" operator="equal">
      <formula>-1</formula>
    </cfRule>
  </conditionalFormatting>
  <conditionalFormatting sqref="Z83">
    <cfRule type="cellIs" dxfId="15812" priority="142594" stopIfTrue="1" operator="lessThan">
      <formula>0.5</formula>
    </cfRule>
  </conditionalFormatting>
  <conditionalFormatting sqref="Z83">
    <cfRule type="cellIs" dxfId="15811" priority="142595" stopIfTrue="1" operator="greaterThanOrEqual">
      <formula>0.5</formula>
    </cfRule>
  </conditionalFormatting>
  <conditionalFormatting sqref="Z84">
    <cfRule type="cellIs" dxfId="15810" priority="142596" stopIfTrue="1" operator="equal">
      <formula>-1</formula>
    </cfRule>
  </conditionalFormatting>
  <conditionalFormatting sqref="Z84">
    <cfRule type="cellIs" dxfId="15809" priority="142597" stopIfTrue="1" operator="lessThan">
      <formula>0.5</formula>
    </cfRule>
  </conditionalFormatting>
  <conditionalFormatting sqref="Z84">
    <cfRule type="cellIs" dxfId="15808" priority="142598" stopIfTrue="1" operator="greaterThanOrEqual">
      <formula>0.5</formula>
    </cfRule>
  </conditionalFormatting>
  <conditionalFormatting sqref="Z85">
    <cfRule type="cellIs" dxfId="15807" priority="142599" stopIfTrue="1" operator="equal">
      <formula>-1</formula>
    </cfRule>
  </conditionalFormatting>
  <conditionalFormatting sqref="Z85">
    <cfRule type="cellIs" dxfId="15806" priority="142600" stopIfTrue="1" operator="lessThan">
      <formula>0.5</formula>
    </cfRule>
  </conditionalFormatting>
  <conditionalFormatting sqref="Z85">
    <cfRule type="cellIs" dxfId="15805" priority="142601" stopIfTrue="1" operator="greaterThanOrEqual">
      <formula>0.5</formula>
    </cfRule>
  </conditionalFormatting>
  <conditionalFormatting sqref="AB65">
    <cfRule type="cellIs" dxfId="15804" priority="142602" stopIfTrue="1" operator="equal">
      <formula>-1</formula>
    </cfRule>
  </conditionalFormatting>
  <conditionalFormatting sqref="AB65">
    <cfRule type="cellIs" dxfId="15803" priority="142603" stopIfTrue="1" operator="lessThan">
      <formula>0.5</formula>
    </cfRule>
  </conditionalFormatting>
  <conditionalFormatting sqref="AB65">
    <cfRule type="cellIs" dxfId="15802" priority="142604" stopIfTrue="1" operator="greaterThanOrEqual">
      <formula>0.5</formula>
    </cfRule>
  </conditionalFormatting>
  <conditionalFormatting sqref="AB66">
    <cfRule type="cellIs" dxfId="15801" priority="142605" stopIfTrue="1" operator="equal">
      <formula>-1</formula>
    </cfRule>
  </conditionalFormatting>
  <conditionalFormatting sqref="AB66">
    <cfRule type="cellIs" dxfId="15800" priority="142606" stopIfTrue="1" operator="lessThan">
      <formula>0.5</formula>
    </cfRule>
  </conditionalFormatting>
  <conditionalFormatting sqref="AB66">
    <cfRule type="cellIs" dxfId="15799" priority="142607" stopIfTrue="1" operator="greaterThanOrEqual">
      <formula>0.5</formula>
    </cfRule>
  </conditionalFormatting>
  <conditionalFormatting sqref="AB67">
    <cfRule type="cellIs" dxfId="15798" priority="142608" stopIfTrue="1" operator="equal">
      <formula>-1</formula>
    </cfRule>
  </conditionalFormatting>
  <conditionalFormatting sqref="AB67">
    <cfRule type="cellIs" dxfId="15797" priority="142609" stopIfTrue="1" operator="lessThan">
      <formula>0.5</formula>
    </cfRule>
  </conditionalFormatting>
  <conditionalFormatting sqref="AB67">
    <cfRule type="cellIs" dxfId="15796" priority="142610" stopIfTrue="1" operator="greaterThanOrEqual">
      <formula>0.5</formula>
    </cfRule>
  </conditionalFormatting>
  <conditionalFormatting sqref="AB68">
    <cfRule type="cellIs" dxfId="15795" priority="142611" stopIfTrue="1" operator="equal">
      <formula>-1</formula>
    </cfRule>
  </conditionalFormatting>
  <conditionalFormatting sqref="AB68">
    <cfRule type="cellIs" dxfId="15794" priority="142612" stopIfTrue="1" operator="lessThan">
      <formula>0.5</formula>
    </cfRule>
  </conditionalFormatting>
  <conditionalFormatting sqref="AB68">
    <cfRule type="cellIs" dxfId="15793" priority="142613" stopIfTrue="1" operator="greaterThanOrEqual">
      <formula>0.5</formula>
    </cfRule>
  </conditionalFormatting>
  <conditionalFormatting sqref="AB69">
    <cfRule type="cellIs" dxfId="15792" priority="142614" stopIfTrue="1" operator="equal">
      <formula>-1</formula>
    </cfRule>
  </conditionalFormatting>
  <conditionalFormatting sqref="AB69">
    <cfRule type="cellIs" dxfId="15791" priority="142615" stopIfTrue="1" operator="lessThan">
      <formula>0.5</formula>
    </cfRule>
  </conditionalFormatting>
  <conditionalFormatting sqref="AB69">
    <cfRule type="cellIs" dxfId="15790" priority="142616" stopIfTrue="1" operator="greaterThanOrEqual">
      <formula>0.5</formula>
    </cfRule>
  </conditionalFormatting>
  <conditionalFormatting sqref="AB70">
    <cfRule type="cellIs" dxfId="15789" priority="142617" stopIfTrue="1" operator="equal">
      <formula>-1</formula>
    </cfRule>
  </conditionalFormatting>
  <conditionalFormatting sqref="AB70">
    <cfRule type="cellIs" dxfId="15788" priority="142618" stopIfTrue="1" operator="lessThan">
      <formula>0.5</formula>
    </cfRule>
  </conditionalFormatting>
  <conditionalFormatting sqref="AB70">
    <cfRule type="cellIs" dxfId="15787" priority="142619" stopIfTrue="1" operator="greaterThanOrEqual">
      <formula>0.5</formula>
    </cfRule>
  </conditionalFormatting>
  <conditionalFormatting sqref="AB71">
    <cfRule type="cellIs" dxfId="15786" priority="142620" stopIfTrue="1" operator="equal">
      <formula>-1</formula>
    </cfRule>
  </conditionalFormatting>
  <conditionalFormatting sqref="AB71">
    <cfRule type="cellIs" dxfId="15785" priority="142621" stopIfTrue="1" operator="lessThan">
      <formula>0.5</formula>
    </cfRule>
  </conditionalFormatting>
  <conditionalFormatting sqref="AB71">
    <cfRule type="cellIs" dxfId="15784" priority="142622" stopIfTrue="1" operator="greaterThanOrEqual">
      <formula>0.5</formula>
    </cfRule>
  </conditionalFormatting>
  <conditionalFormatting sqref="AB72">
    <cfRule type="cellIs" dxfId="15783" priority="142623" stopIfTrue="1" operator="equal">
      <formula>-1</formula>
    </cfRule>
  </conditionalFormatting>
  <conditionalFormatting sqref="AB72">
    <cfRule type="cellIs" dxfId="15782" priority="142624" stopIfTrue="1" operator="lessThan">
      <formula>0.5</formula>
    </cfRule>
  </conditionalFormatting>
  <conditionalFormatting sqref="AB72">
    <cfRule type="cellIs" dxfId="15781" priority="142625" stopIfTrue="1" operator="greaterThanOrEqual">
      <formula>0.5</formula>
    </cfRule>
  </conditionalFormatting>
  <conditionalFormatting sqref="AB73">
    <cfRule type="cellIs" dxfId="15780" priority="142626" stopIfTrue="1" operator="equal">
      <formula>-1</formula>
    </cfRule>
  </conditionalFormatting>
  <conditionalFormatting sqref="AB73">
    <cfRule type="cellIs" dxfId="15779" priority="142627" stopIfTrue="1" operator="lessThan">
      <formula>0.5</formula>
    </cfRule>
  </conditionalFormatting>
  <conditionalFormatting sqref="AB73">
    <cfRule type="cellIs" dxfId="15778" priority="142628" stopIfTrue="1" operator="greaterThanOrEqual">
      <formula>0.5</formula>
    </cfRule>
  </conditionalFormatting>
  <conditionalFormatting sqref="AB74">
    <cfRule type="cellIs" dxfId="15777" priority="142629" stopIfTrue="1" operator="equal">
      <formula>-1</formula>
    </cfRule>
  </conditionalFormatting>
  <conditionalFormatting sqref="AB74">
    <cfRule type="cellIs" dxfId="15776" priority="142630" stopIfTrue="1" operator="lessThan">
      <formula>0.5</formula>
    </cfRule>
  </conditionalFormatting>
  <conditionalFormatting sqref="AB74">
    <cfRule type="cellIs" dxfId="15775" priority="142631" stopIfTrue="1" operator="greaterThanOrEqual">
      <formula>0.5</formula>
    </cfRule>
  </conditionalFormatting>
  <conditionalFormatting sqref="AB75">
    <cfRule type="cellIs" dxfId="15774" priority="142632" stopIfTrue="1" operator="equal">
      <formula>-1</formula>
    </cfRule>
  </conditionalFormatting>
  <conditionalFormatting sqref="AB75">
    <cfRule type="cellIs" dxfId="15773" priority="142633" stopIfTrue="1" operator="lessThan">
      <formula>0.5</formula>
    </cfRule>
  </conditionalFormatting>
  <conditionalFormatting sqref="AB75">
    <cfRule type="cellIs" dxfId="15772" priority="142634" stopIfTrue="1" operator="greaterThanOrEqual">
      <formula>0.5</formula>
    </cfRule>
  </conditionalFormatting>
  <conditionalFormatting sqref="AB76">
    <cfRule type="cellIs" dxfId="15771" priority="142635" stopIfTrue="1" operator="equal">
      <formula>-1</formula>
    </cfRule>
  </conditionalFormatting>
  <conditionalFormatting sqref="AB76">
    <cfRule type="cellIs" dxfId="15770" priority="142636" stopIfTrue="1" operator="lessThan">
      <formula>0.5</formula>
    </cfRule>
  </conditionalFormatting>
  <conditionalFormatting sqref="AB76">
    <cfRule type="cellIs" dxfId="15769" priority="142637" stopIfTrue="1" operator="greaterThanOrEqual">
      <formula>0.5</formula>
    </cfRule>
  </conditionalFormatting>
  <conditionalFormatting sqref="AB77">
    <cfRule type="cellIs" dxfId="15768" priority="142638" stopIfTrue="1" operator="equal">
      <formula>-1</formula>
    </cfRule>
  </conditionalFormatting>
  <conditionalFormatting sqref="AB77">
    <cfRule type="cellIs" dxfId="15767" priority="142639" stopIfTrue="1" operator="lessThan">
      <formula>0.5</formula>
    </cfRule>
  </conditionalFormatting>
  <conditionalFormatting sqref="AB77">
    <cfRule type="cellIs" dxfId="15766" priority="142640" stopIfTrue="1" operator="greaterThanOrEqual">
      <formula>0.5</formula>
    </cfRule>
  </conditionalFormatting>
  <conditionalFormatting sqref="AB78">
    <cfRule type="cellIs" dxfId="15765" priority="142641" stopIfTrue="1" operator="equal">
      <formula>-1</formula>
    </cfRule>
  </conditionalFormatting>
  <conditionalFormatting sqref="AB78">
    <cfRule type="cellIs" dxfId="15764" priority="142642" stopIfTrue="1" operator="lessThan">
      <formula>0.5</formula>
    </cfRule>
  </conditionalFormatting>
  <conditionalFormatting sqref="AB78">
    <cfRule type="cellIs" dxfId="15763" priority="142643" stopIfTrue="1" operator="greaterThanOrEqual">
      <formula>0.5</formula>
    </cfRule>
  </conditionalFormatting>
  <conditionalFormatting sqref="AB79">
    <cfRule type="cellIs" dxfId="15762" priority="142644" stopIfTrue="1" operator="equal">
      <formula>-1</formula>
    </cfRule>
  </conditionalFormatting>
  <conditionalFormatting sqref="AB79">
    <cfRule type="cellIs" dxfId="15761" priority="142645" stopIfTrue="1" operator="lessThan">
      <formula>0.5</formula>
    </cfRule>
  </conditionalFormatting>
  <conditionalFormatting sqref="AB79">
    <cfRule type="cellIs" dxfId="15760" priority="142646" stopIfTrue="1" operator="greaterThanOrEqual">
      <formula>0.5</formula>
    </cfRule>
  </conditionalFormatting>
  <conditionalFormatting sqref="AB80">
    <cfRule type="cellIs" dxfId="15759" priority="142647" stopIfTrue="1" operator="equal">
      <formula>-1</formula>
    </cfRule>
  </conditionalFormatting>
  <conditionalFormatting sqref="AB80">
    <cfRule type="cellIs" dxfId="15758" priority="142648" stopIfTrue="1" operator="lessThan">
      <formula>0.5</formula>
    </cfRule>
  </conditionalFormatting>
  <conditionalFormatting sqref="AB80">
    <cfRule type="cellIs" dxfId="15757" priority="142649" stopIfTrue="1" operator="greaterThanOrEqual">
      <formula>0.5</formula>
    </cfRule>
  </conditionalFormatting>
  <conditionalFormatting sqref="AB81">
    <cfRule type="cellIs" dxfId="15756" priority="142650" stopIfTrue="1" operator="equal">
      <formula>-1</formula>
    </cfRule>
  </conditionalFormatting>
  <conditionalFormatting sqref="AB81">
    <cfRule type="cellIs" dxfId="15755" priority="142651" stopIfTrue="1" operator="lessThan">
      <formula>0.5</formula>
    </cfRule>
  </conditionalFormatting>
  <conditionalFormatting sqref="AB81">
    <cfRule type="cellIs" dxfId="15754" priority="142652" stopIfTrue="1" operator="greaterThanOrEqual">
      <formula>0.5</formula>
    </cfRule>
  </conditionalFormatting>
  <conditionalFormatting sqref="AB82">
    <cfRule type="cellIs" dxfId="15753" priority="142653" stopIfTrue="1" operator="equal">
      <formula>-1</formula>
    </cfRule>
  </conditionalFormatting>
  <conditionalFormatting sqref="AB82">
    <cfRule type="cellIs" dxfId="15752" priority="142654" stopIfTrue="1" operator="lessThan">
      <formula>0.5</formula>
    </cfRule>
  </conditionalFormatting>
  <conditionalFormatting sqref="AB82">
    <cfRule type="cellIs" dxfId="15751" priority="142655" stopIfTrue="1" operator="greaterThanOrEqual">
      <formula>0.5</formula>
    </cfRule>
  </conditionalFormatting>
  <conditionalFormatting sqref="AB83">
    <cfRule type="cellIs" dxfId="15750" priority="142656" stopIfTrue="1" operator="equal">
      <formula>-1</formula>
    </cfRule>
  </conditionalFormatting>
  <conditionalFormatting sqref="AB83">
    <cfRule type="cellIs" dxfId="15749" priority="142657" stopIfTrue="1" operator="lessThan">
      <formula>0.5</formula>
    </cfRule>
  </conditionalFormatting>
  <conditionalFormatting sqref="AB83">
    <cfRule type="cellIs" dxfId="15748" priority="142658" stopIfTrue="1" operator="greaterThanOrEqual">
      <formula>0.5</formula>
    </cfRule>
  </conditionalFormatting>
  <conditionalFormatting sqref="AB84">
    <cfRule type="cellIs" dxfId="15747" priority="142659" stopIfTrue="1" operator="equal">
      <formula>-1</formula>
    </cfRule>
  </conditionalFormatting>
  <conditionalFormatting sqref="AB84">
    <cfRule type="cellIs" dxfId="15746" priority="142660" stopIfTrue="1" operator="lessThan">
      <formula>0.5</formula>
    </cfRule>
  </conditionalFormatting>
  <conditionalFormatting sqref="AB84">
    <cfRule type="cellIs" dxfId="15745" priority="142661" stopIfTrue="1" operator="greaterThanOrEqual">
      <formula>0.5</formula>
    </cfRule>
  </conditionalFormatting>
  <conditionalFormatting sqref="AB85">
    <cfRule type="cellIs" dxfId="15744" priority="142662" stopIfTrue="1" operator="equal">
      <formula>-1</formula>
    </cfRule>
  </conditionalFormatting>
  <conditionalFormatting sqref="AB85">
    <cfRule type="cellIs" dxfId="15743" priority="142663" stopIfTrue="1" operator="lessThan">
      <formula>0.5</formula>
    </cfRule>
  </conditionalFormatting>
  <conditionalFormatting sqref="AB85">
    <cfRule type="cellIs" dxfId="15742" priority="142664" stopIfTrue="1" operator="greaterThanOrEqual">
      <formula>0.5</formula>
    </cfRule>
  </conditionalFormatting>
  <conditionalFormatting sqref="AD65">
    <cfRule type="cellIs" dxfId="15741" priority="142665" stopIfTrue="1" operator="equal">
      <formula>-1</formula>
    </cfRule>
  </conditionalFormatting>
  <conditionalFormatting sqref="AD65">
    <cfRule type="cellIs" dxfId="15740" priority="142666" stopIfTrue="1" operator="lessThan">
      <formula>0.5</formula>
    </cfRule>
  </conditionalFormatting>
  <conditionalFormatting sqref="AD65">
    <cfRule type="cellIs" dxfId="15739" priority="142667" stopIfTrue="1" operator="greaterThanOrEqual">
      <formula>0.5</formula>
    </cfRule>
  </conditionalFormatting>
  <conditionalFormatting sqref="AD66">
    <cfRule type="cellIs" dxfId="15738" priority="142668" stopIfTrue="1" operator="equal">
      <formula>-1</formula>
    </cfRule>
  </conditionalFormatting>
  <conditionalFormatting sqref="AD66">
    <cfRule type="cellIs" dxfId="15737" priority="142669" stopIfTrue="1" operator="lessThan">
      <formula>0.5</formula>
    </cfRule>
  </conditionalFormatting>
  <conditionalFormatting sqref="AD66">
    <cfRule type="cellIs" dxfId="15736" priority="142670" stopIfTrue="1" operator="greaterThanOrEqual">
      <formula>0.5</formula>
    </cfRule>
  </conditionalFormatting>
  <conditionalFormatting sqref="AD67">
    <cfRule type="cellIs" dxfId="15735" priority="142671" stopIfTrue="1" operator="equal">
      <formula>-1</formula>
    </cfRule>
  </conditionalFormatting>
  <conditionalFormatting sqref="AD67">
    <cfRule type="cellIs" dxfId="15734" priority="142672" stopIfTrue="1" operator="lessThan">
      <formula>0.5</formula>
    </cfRule>
  </conditionalFormatting>
  <conditionalFormatting sqref="AD67">
    <cfRule type="cellIs" dxfId="15733" priority="142673" stopIfTrue="1" operator="greaterThanOrEqual">
      <formula>0.5</formula>
    </cfRule>
  </conditionalFormatting>
  <conditionalFormatting sqref="AD68">
    <cfRule type="cellIs" dxfId="15732" priority="142674" stopIfTrue="1" operator="equal">
      <formula>-1</formula>
    </cfRule>
  </conditionalFormatting>
  <conditionalFormatting sqref="AD68">
    <cfRule type="cellIs" dxfId="15731" priority="142675" stopIfTrue="1" operator="lessThan">
      <formula>0.5</formula>
    </cfRule>
  </conditionalFormatting>
  <conditionalFormatting sqref="AD68">
    <cfRule type="cellIs" dxfId="15730" priority="142676" stopIfTrue="1" operator="greaterThanOrEqual">
      <formula>0.5</formula>
    </cfRule>
  </conditionalFormatting>
  <conditionalFormatting sqref="AD69">
    <cfRule type="cellIs" dxfId="15729" priority="142677" stopIfTrue="1" operator="equal">
      <formula>-1</formula>
    </cfRule>
  </conditionalFormatting>
  <conditionalFormatting sqref="AD69">
    <cfRule type="cellIs" dxfId="15728" priority="142678" stopIfTrue="1" operator="lessThan">
      <formula>0.5</formula>
    </cfRule>
  </conditionalFormatting>
  <conditionalFormatting sqref="AD69">
    <cfRule type="cellIs" dxfId="15727" priority="142679" stopIfTrue="1" operator="greaterThanOrEqual">
      <formula>0.5</formula>
    </cfRule>
  </conditionalFormatting>
  <conditionalFormatting sqref="AD70">
    <cfRule type="cellIs" dxfId="15726" priority="142680" stopIfTrue="1" operator="equal">
      <formula>-1</formula>
    </cfRule>
  </conditionalFormatting>
  <conditionalFormatting sqref="AD70">
    <cfRule type="cellIs" dxfId="15725" priority="142681" stopIfTrue="1" operator="lessThan">
      <formula>0.5</formula>
    </cfRule>
  </conditionalFormatting>
  <conditionalFormatting sqref="AD70">
    <cfRule type="cellIs" dxfId="15724" priority="142682" stopIfTrue="1" operator="greaterThanOrEqual">
      <formula>0.5</formula>
    </cfRule>
  </conditionalFormatting>
  <conditionalFormatting sqref="AD71">
    <cfRule type="cellIs" dxfId="15723" priority="142683" stopIfTrue="1" operator="equal">
      <formula>-1</formula>
    </cfRule>
  </conditionalFormatting>
  <conditionalFormatting sqref="AD71">
    <cfRule type="cellIs" dxfId="15722" priority="142684" stopIfTrue="1" operator="lessThan">
      <formula>0.5</formula>
    </cfRule>
  </conditionalFormatting>
  <conditionalFormatting sqref="AD71">
    <cfRule type="cellIs" dxfId="15721" priority="142685" stopIfTrue="1" operator="greaterThanOrEqual">
      <formula>0.5</formula>
    </cfRule>
  </conditionalFormatting>
  <conditionalFormatting sqref="AD72">
    <cfRule type="cellIs" dxfId="15720" priority="142686" stopIfTrue="1" operator="equal">
      <formula>-1</formula>
    </cfRule>
  </conditionalFormatting>
  <conditionalFormatting sqref="AD72">
    <cfRule type="cellIs" dxfId="15719" priority="142687" stopIfTrue="1" operator="lessThan">
      <formula>0.5</formula>
    </cfRule>
  </conditionalFormatting>
  <conditionalFormatting sqref="AD72">
    <cfRule type="cellIs" dxfId="15718" priority="142688" stopIfTrue="1" operator="greaterThanOrEqual">
      <formula>0.5</formula>
    </cfRule>
  </conditionalFormatting>
  <conditionalFormatting sqref="AD73">
    <cfRule type="cellIs" dxfId="15717" priority="142689" stopIfTrue="1" operator="equal">
      <formula>-1</formula>
    </cfRule>
  </conditionalFormatting>
  <conditionalFormatting sqref="AD73">
    <cfRule type="cellIs" dxfId="15716" priority="142690" stopIfTrue="1" operator="lessThan">
      <formula>0.5</formula>
    </cfRule>
  </conditionalFormatting>
  <conditionalFormatting sqref="AD73">
    <cfRule type="cellIs" dxfId="15715" priority="142691" stopIfTrue="1" operator="greaterThanOrEqual">
      <formula>0.5</formula>
    </cfRule>
  </conditionalFormatting>
  <conditionalFormatting sqref="AD74">
    <cfRule type="cellIs" dxfId="15714" priority="142692" stopIfTrue="1" operator="equal">
      <formula>-1</formula>
    </cfRule>
  </conditionalFormatting>
  <conditionalFormatting sqref="AD74">
    <cfRule type="cellIs" dxfId="15713" priority="142693" stopIfTrue="1" operator="lessThan">
      <formula>0.5</formula>
    </cfRule>
  </conditionalFormatting>
  <conditionalFormatting sqref="AD74">
    <cfRule type="cellIs" dxfId="15712" priority="142694" stopIfTrue="1" operator="greaterThanOrEqual">
      <formula>0.5</formula>
    </cfRule>
  </conditionalFormatting>
  <conditionalFormatting sqref="AD75">
    <cfRule type="cellIs" dxfId="15711" priority="142695" stopIfTrue="1" operator="equal">
      <formula>-1</formula>
    </cfRule>
  </conditionalFormatting>
  <conditionalFormatting sqref="AD75">
    <cfRule type="cellIs" dxfId="15710" priority="142696" stopIfTrue="1" operator="lessThan">
      <formula>0.5</formula>
    </cfRule>
  </conditionalFormatting>
  <conditionalFormatting sqref="AD75">
    <cfRule type="cellIs" dxfId="15709" priority="142697" stopIfTrue="1" operator="greaterThanOrEqual">
      <formula>0.5</formula>
    </cfRule>
  </conditionalFormatting>
  <conditionalFormatting sqref="AD76">
    <cfRule type="cellIs" dxfId="15708" priority="142698" stopIfTrue="1" operator="equal">
      <formula>-1</formula>
    </cfRule>
  </conditionalFormatting>
  <conditionalFormatting sqref="AD76">
    <cfRule type="cellIs" dxfId="15707" priority="142699" stopIfTrue="1" operator="lessThan">
      <formula>0.5</formula>
    </cfRule>
  </conditionalFormatting>
  <conditionalFormatting sqref="AD76">
    <cfRule type="cellIs" dxfId="15706" priority="142700" stopIfTrue="1" operator="greaterThanOrEqual">
      <formula>0.5</formula>
    </cfRule>
  </conditionalFormatting>
  <conditionalFormatting sqref="AD77">
    <cfRule type="cellIs" dxfId="15705" priority="142701" stopIfTrue="1" operator="equal">
      <formula>-1</formula>
    </cfRule>
  </conditionalFormatting>
  <conditionalFormatting sqref="AD77">
    <cfRule type="cellIs" dxfId="15704" priority="142702" stopIfTrue="1" operator="lessThan">
      <formula>0.5</formula>
    </cfRule>
  </conditionalFormatting>
  <conditionalFormatting sqref="AD77">
    <cfRule type="cellIs" dxfId="15703" priority="142703" stopIfTrue="1" operator="greaterThanOrEqual">
      <formula>0.5</formula>
    </cfRule>
  </conditionalFormatting>
  <conditionalFormatting sqref="AD78">
    <cfRule type="cellIs" dxfId="15702" priority="142704" stopIfTrue="1" operator="equal">
      <formula>-1</formula>
    </cfRule>
  </conditionalFormatting>
  <conditionalFormatting sqref="AD78">
    <cfRule type="cellIs" dxfId="15701" priority="142705" stopIfTrue="1" operator="lessThan">
      <formula>0.5</formula>
    </cfRule>
  </conditionalFormatting>
  <conditionalFormatting sqref="AD78">
    <cfRule type="cellIs" dxfId="15700" priority="142706" stopIfTrue="1" operator="greaterThanOrEqual">
      <formula>0.5</formula>
    </cfRule>
  </conditionalFormatting>
  <conditionalFormatting sqref="AD79">
    <cfRule type="cellIs" dxfId="15699" priority="142707" stopIfTrue="1" operator="equal">
      <formula>-1</formula>
    </cfRule>
  </conditionalFormatting>
  <conditionalFormatting sqref="AD79">
    <cfRule type="cellIs" dxfId="15698" priority="142708" stopIfTrue="1" operator="lessThan">
      <formula>0.5</formula>
    </cfRule>
  </conditionalFormatting>
  <conditionalFormatting sqref="AD79">
    <cfRule type="cellIs" dxfId="15697" priority="142709" stopIfTrue="1" operator="greaterThanOrEqual">
      <formula>0.5</formula>
    </cfRule>
  </conditionalFormatting>
  <conditionalFormatting sqref="AD80">
    <cfRule type="cellIs" dxfId="15696" priority="142710" stopIfTrue="1" operator="equal">
      <formula>-1</formula>
    </cfRule>
  </conditionalFormatting>
  <conditionalFormatting sqref="AD80">
    <cfRule type="cellIs" dxfId="15695" priority="142711" stopIfTrue="1" operator="lessThan">
      <formula>0.5</formula>
    </cfRule>
  </conditionalFormatting>
  <conditionalFormatting sqref="AD80">
    <cfRule type="cellIs" dxfId="15694" priority="142712" stopIfTrue="1" operator="greaterThanOrEqual">
      <formula>0.5</formula>
    </cfRule>
  </conditionalFormatting>
  <conditionalFormatting sqref="AD81">
    <cfRule type="cellIs" dxfId="15693" priority="142713" stopIfTrue="1" operator="equal">
      <formula>-1</formula>
    </cfRule>
  </conditionalFormatting>
  <conditionalFormatting sqref="AD81">
    <cfRule type="cellIs" dxfId="15692" priority="142714" stopIfTrue="1" operator="lessThan">
      <formula>0.5</formula>
    </cfRule>
  </conditionalFormatting>
  <conditionalFormatting sqref="AD81">
    <cfRule type="cellIs" dxfId="15691" priority="142715" stopIfTrue="1" operator="greaterThanOrEqual">
      <formula>0.5</formula>
    </cfRule>
  </conditionalFormatting>
  <conditionalFormatting sqref="AD82">
    <cfRule type="cellIs" dxfId="15690" priority="142716" stopIfTrue="1" operator="equal">
      <formula>-1</formula>
    </cfRule>
  </conditionalFormatting>
  <conditionalFormatting sqref="AD82">
    <cfRule type="cellIs" dxfId="15689" priority="142717" stopIfTrue="1" operator="lessThan">
      <formula>0.5</formula>
    </cfRule>
  </conditionalFormatting>
  <conditionalFormatting sqref="AD82">
    <cfRule type="cellIs" dxfId="15688" priority="142718" stopIfTrue="1" operator="greaterThanOrEqual">
      <formula>0.5</formula>
    </cfRule>
  </conditionalFormatting>
  <conditionalFormatting sqref="AD83">
    <cfRule type="cellIs" dxfId="15687" priority="142719" stopIfTrue="1" operator="equal">
      <formula>-1</formula>
    </cfRule>
  </conditionalFormatting>
  <conditionalFormatting sqref="AD83">
    <cfRule type="cellIs" dxfId="15686" priority="142720" stopIfTrue="1" operator="lessThan">
      <formula>0.5</formula>
    </cfRule>
  </conditionalFormatting>
  <conditionalFormatting sqref="AD83">
    <cfRule type="cellIs" dxfId="15685" priority="142721" stopIfTrue="1" operator="greaterThanOrEqual">
      <formula>0.5</formula>
    </cfRule>
  </conditionalFormatting>
  <conditionalFormatting sqref="AD84">
    <cfRule type="cellIs" dxfId="15684" priority="142722" stopIfTrue="1" operator="equal">
      <formula>-1</formula>
    </cfRule>
  </conditionalFormatting>
  <conditionalFormatting sqref="AD84">
    <cfRule type="cellIs" dxfId="15683" priority="142723" stopIfTrue="1" operator="lessThan">
      <formula>0.5</formula>
    </cfRule>
  </conditionalFormatting>
  <conditionalFormatting sqref="AD84">
    <cfRule type="cellIs" dxfId="15682" priority="142724" stopIfTrue="1" operator="greaterThanOrEqual">
      <formula>0.5</formula>
    </cfRule>
  </conditionalFormatting>
  <conditionalFormatting sqref="AD85">
    <cfRule type="cellIs" dxfId="15681" priority="142725" stopIfTrue="1" operator="equal">
      <formula>-1</formula>
    </cfRule>
  </conditionalFormatting>
  <conditionalFormatting sqref="AD85">
    <cfRule type="cellIs" dxfId="15680" priority="142726" stopIfTrue="1" operator="lessThan">
      <formula>0.5</formula>
    </cfRule>
  </conditionalFormatting>
  <conditionalFormatting sqref="AD85">
    <cfRule type="cellIs" dxfId="15679" priority="142727" stopIfTrue="1" operator="greaterThanOrEqual">
      <formula>0.5</formula>
    </cfRule>
  </conditionalFormatting>
  <conditionalFormatting sqref="AF65">
    <cfRule type="cellIs" dxfId="15678" priority="142728" stopIfTrue="1" operator="equal">
      <formula>-1</formula>
    </cfRule>
  </conditionalFormatting>
  <conditionalFormatting sqref="AF65">
    <cfRule type="cellIs" dxfId="15677" priority="142729" stopIfTrue="1" operator="lessThan">
      <formula>0.5</formula>
    </cfRule>
  </conditionalFormatting>
  <conditionalFormatting sqref="AF65">
    <cfRule type="cellIs" dxfId="15676" priority="142730" stopIfTrue="1" operator="greaterThanOrEqual">
      <formula>0.5</formula>
    </cfRule>
  </conditionalFormatting>
  <conditionalFormatting sqref="AF66">
    <cfRule type="cellIs" dxfId="15675" priority="142731" stopIfTrue="1" operator="equal">
      <formula>-1</formula>
    </cfRule>
  </conditionalFormatting>
  <conditionalFormatting sqref="AF66">
    <cfRule type="cellIs" dxfId="15674" priority="142732" stopIfTrue="1" operator="lessThan">
      <formula>0.5</formula>
    </cfRule>
  </conditionalFormatting>
  <conditionalFormatting sqref="AF66">
    <cfRule type="cellIs" dxfId="15673" priority="142733" stopIfTrue="1" operator="greaterThanOrEqual">
      <formula>0.5</formula>
    </cfRule>
  </conditionalFormatting>
  <conditionalFormatting sqref="AF67">
    <cfRule type="cellIs" dxfId="15672" priority="142734" stopIfTrue="1" operator="equal">
      <formula>-1</formula>
    </cfRule>
  </conditionalFormatting>
  <conditionalFormatting sqref="AF67">
    <cfRule type="cellIs" dxfId="15671" priority="142735" stopIfTrue="1" operator="lessThan">
      <formula>0.5</formula>
    </cfRule>
  </conditionalFormatting>
  <conditionalFormatting sqref="AF67">
    <cfRule type="cellIs" dxfId="15670" priority="142736" stopIfTrue="1" operator="greaterThanOrEqual">
      <formula>0.5</formula>
    </cfRule>
  </conditionalFormatting>
  <conditionalFormatting sqref="AF68">
    <cfRule type="cellIs" dxfId="15669" priority="142737" stopIfTrue="1" operator="equal">
      <formula>-1</formula>
    </cfRule>
  </conditionalFormatting>
  <conditionalFormatting sqref="AF68">
    <cfRule type="cellIs" dxfId="15668" priority="142738" stopIfTrue="1" operator="lessThan">
      <formula>0.5</formula>
    </cfRule>
  </conditionalFormatting>
  <conditionalFormatting sqref="AF68">
    <cfRule type="cellIs" dxfId="15667" priority="142739" stopIfTrue="1" operator="greaterThanOrEqual">
      <formula>0.5</formula>
    </cfRule>
  </conditionalFormatting>
  <conditionalFormatting sqref="AF69">
    <cfRule type="cellIs" dxfId="15666" priority="142740" stopIfTrue="1" operator="equal">
      <formula>-1</formula>
    </cfRule>
  </conditionalFormatting>
  <conditionalFormatting sqref="AF69">
    <cfRule type="cellIs" dxfId="15665" priority="142741" stopIfTrue="1" operator="lessThan">
      <formula>0.5</formula>
    </cfRule>
  </conditionalFormatting>
  <conditionalFormatting sqref="AF69">
    <cfRule type="cellIs" dxfId="15664" priority="142742" stopIfTrue="1" operator="greaterThanOrEqual">
      <formula>0.5</formula>
    </cfRule>
  </conditionalFormatting>
  <conditionalFormatting sqref="AF70">
    <cfRule type="cellIs" dxfId="15663" priority="142743" stopIfTrue="1" operator="equal">
      <formula>-1</formula>
    </cfRule>
  </conditionalFormatting>
  <conditionalFormatting sqref="AF70">
    <cfRule type="cellIs" dxfId="15662" priority="142744" stopIfTrue="1" operator="lessThan">
      <formula>0.5</formula>
    </cfRule>
  </conditionalFormatting>
  <conditionalFormatting sqref="AF70">
    <cfRule type="cellIs" dxfId="15661" priority="142745" stopIfTrue="1" operator="greaterThanOrEqual">
      <formula>0.5</formula>
    </cfRule>
  </conditionalFormatting>
  <conditionalFormatting sqref="AF71">
    <cfRule type="cellIs" dxfId="15660" priority="142746" stopIfTrue="1" operator="equal">
      <formula>-1</formula>
    </cfRule>
  </conditionalFormatting>
  <conditionalFormatting sqref="AF71">
    <cfRule type="cellIs" dxfId="15659" priority="142747" stopIfTrue="1" operator="lessThan">
      <formula>0.5</formula>
    </cfRule>
  </conditionalFormatting>
  <conditionalFormatting sqref="AF71">
    <cfRule type="cellIs" dxfId="15658" priority="142748" stopIfTrue="1" operator="greaterThanOrEqual">
      <formula>0.5</formula>
    </cfRule>
  </conditionalFormatting>
  <conditionalFormatting sqref="AF72">
    <cfRule type="cellIs" dxfId="15657" priority="142749" stopIfTrue="1" operator="equal">
      <formula>-1</formula>
    </cfRule>
  </conditionalFormatting>
  <conditionalFormatting sqref="AF72">
    <cfRule type="cellIs" dxfId="15656" priority="142750" stopIfTrue="1" operator="lessThan">
      <formula>0.5</formula>
    </cfRule>
  </conditionalFormatting>
  <conditionalFormatting sqref="AF72">
    <cfRule type="cellIs" dxfId="15655" priority="142751" stopIfTrue="1" operator="greaterThanOrEqual">
      <formula>0.5</formula>
    </cfRule>
  </conditionalFormatting>
  <conditionalFormatting sqref="AF73">
    <cfRule type="cellIs" dxfId="15654" priority="142752" stopIfTrue="1" operator="equal">
      <formula>-1</formula>
    </cfRule>
  </conditionalFormatting>
  <conditionalFormatting sqref="AF73">
    <cfRule type="cellIs" dxfId="15653" priority="142753" stopIfTrue="1" operator="lessThan">
      <formula>0.5</formula>
    </cfRule>
  </conditionalFormatting>
  <conditionalFormatting sqref="AF73">
    <cfRule type="cellIs" dxfId="15652" priority="142754" stopIfTrue="1" operator="greaterThanOrEqual">
      <formula>0.5</formula>
    </cfRule>
  </conditionalFormatting>
  <conditionalFormatting sqref="AF74">
    <cfRule type="cellIs" dxfId="15651" priority="142755" stopIfTrue="1" operator="equal">
      <formula>-1</formula>
    </cfRule>
  </conditionalFormatting>
  <conditionalFormatting sqref="AF74">
    <cfRule type="cellIs" dxfId="15650" priority="142756" stopIfTrue="1" operator="lessThan">
      <formula>0.5</formula>
    </cfRule>
  </conditionalFormatting>
  <conditionalFormatting sqref="AF74">
    <cfRule type="cellIs" dxfId="15649" priority="142757" stopIfTrue="1" operator="greaterThanOrEqual">
      <formula>0.5</formula>
    </cfRule>
  </conditionalFormatting>
  <conditionalFormatting sqref="AF75">
    <cfRule type="cellIs" dxfId="15648" priority="142758" stopIfTrue="1" operator="equal">
      <formula>-1</formula>
    </cfRule>
  </conditionalFormatting>
  <conditionalFormatting sqref="AF75">
    <cfRule type="cellIs" dxfId="15647" priority="142759" stopIfTrue="1" operator="lessThan">
      <formula>0.5</formula>
    </cfRule>
  </conditionalFormatting>
  <conditionalFormatting sqref="AF75">
    <cfRule type="cellIs" dxfId="15646" priority="142760" stopIfTrue="1" operator="greaterThanOrEqual">
      <formula>0.5</formula>
    </cfRule>
  </conditionalFormatting>
  <conditionalFormatting sqref="AF76">
    <cfRule type="cellIs" dxfId="15645" priority="142761" stopIfTrue="1" operator="equal">
      <formula>-1</formula>
    </cfRule>
  </conditionalFormatting>
  <conditionalFormatting sqref="AF76">
    <cfRule type="cellIs" dxfId="15644" priority="142762" stopIfTrue="1" operator="lessThan">
      <formula>0.5</formula>
    </cfRule>
  </conditionalFormatting>
  <conditionalFormatting sqref="AF76">
    <cfRule type="cellIs" dxfId="15643" priority="142763" stopIfTrue="1" operator="greaterThanOrEqual">
      <formula>0.5</formula>
    </cfRule>
  </conditionalFormatting>
  <conditionalFormatting sqref="AF77">
    <cfRule type="cellIs" dxfId="15642" priority="142764" stopIfTrue="1" operator="equal">
      <formula>-1</formula>
    </cfRule>
  </conditionalFormatting>
  <conditionalFormatting sqref="AF77">
    <cfRule type="cellIs" dxfId="15641" priority="142765" stopIfTrue="1" operator="lessThan">
      <formula>0.5</formula>
    </cfRule>
  </conditionalFormatting>
  <conditionalFormatting sqref="AF77">
    <cfRule type="cellIs" dxfId="15640" priority="142766" stopIfTrue="1" operator="greaterThanOrEqual">
      <formula>0.5</formula>
    </cfRule>
  </conditionalFormatting>
  <conditionalFormatting sqref="AF78">
    <cfRule type="cellIs" dxfId="15639" priority="142767" stopIfTrue="1" operator="equal">
      <formula>-1</formula>
    </cfRule>
  </conditionalFormatting>
  <conditionalFormatting sqref="AF78">
    <cfRule type="cellIs" dxfId="15638" priority="142768" stopIfTrue="1" operator="lessThan">
      <formula>0.5</formula>
    </cfRule>
  </conditionalFormatting>
  <conditionalFormatting sqref="AF78">
    <cfRule type="cellIs" dxfId="15637" priority="142769" stopIfTrue="1" operator="greaterThanOrEqual">
      <formula>0.5</formula>
    </cfRule>
  </conditionalFormatting>
  <conditionalFormatting sqref="AF79">
    <cfRule type="cellIs" dxfId="15636" priority="142770" stopIfTrue="1" operator="equal">
      <formula>-1</formula>
    </cfRule>
  </conditionalFormatting>
  <conditionalFormatting sqref="AF79">
    <cfRule type="cellIs" dxfId="15635" priority="142771" stopIfTrue="1" operator="lessThan">
      <formula>0.5</formula>
    </cfRule>
  </conditionalFormatting>
  <conditionalFormatting sqref="AF79">
    <cfRule type="cellIs" dxfId="15634" priority="142772" stopIfTrue="1" operator="greaterThanOrEqual">
      <formula>0.5</formula>
    </cfRule>
  </conditionalFormatting>
  <conditionalFormatting sqref="AF80">
    <cfRule type="cellIs" dxfId="15633" priority="142773" stopIfTrue="1" operator="equal">
      <formula>-1</formula>
    </cfRule>
  </conditionalFormatting>
  <conditionalFormatting sqref="AF80">
    <cfRule type="cellIs" dxfId="15632" priority="142774" stopIfTrue="1" operator="lessThan">
      <formula>0.5</formula>
    </cfRule>
  </conditionalFormatting>
  <conditionalFormatting sqref="AF80">
    <cfRule type="cellIs" dxfId="15631" priority="142775" stopIfTrue="1" operator="greaterThanOrEqual">
      <formula>0.5</formula>
    </cfRule>
  </conditionalFormatting>
  <conditionalFormatting sqref="AF81">
    <cfRule type="cellIs" dxfId="15630" priority="142776" stopIfTrue="1" operator="equal">
      <formula>-1</formula>
    </cfRule>
  </conditionalFormatting>
  <conditionalFormatting sqref="AF81">
    <cfRule type="cellIs" dxfId="15629" priority="142777" stopIfTrue="1" operator="lessThan">
      <formula>0.5</formula>
    </cfRule>
  </conditionalFormatting>
  <conditionalFormatting sqref="AF81">
    <cfRule type="cellIs" dxfId="15628" priority="142778" stopIfTrue="1" operator="greaterThanOrEqual">
      <formula>0.5</formula>
    </cfRule>
  </conditionalFormatting>
  <conditionalFormatting sqref="AF82">
    <cfRule type="cellIs" dxfId="15627" priority="142779" stopIfTrue="1" operator="equal">
      <formula>-1</formula>
    </cfRule>
  </conditionalFormatting>
  <conditionalFormatting sqref="AF82">
    <cfRule type="cellIs" dxfId="15626" priority="142780" stopIfTrue="1" operator="lessThan">
      <formula>0.5</formula>
    </cfRule>
  </conditionalFormatting>
  <conditionalFormatting sqref="AF82">
    <cfRule type="cellIs" dxfId="15625" priority="142781" stopIfTrue="1" operator="greaterThanOrEqual">
      <formula>0.5</formula>
    </cfRule>
  </conditionalFormatting>
  <conditionalFormatting sqref="AF83">
    <cfRule type="cellIs" dxfId="15624" priority="142782" stopIfTrue="1" operator="equal">
      <formula>-1</formula>
    </cfRule>
  </conditionalFormatting>
  <conditionalFormatting sqref="AF83">
    <cfRule type="cellIs" dxfId="15623" priority="142783" stopIfTrue="1" operator="lessThan">
      <formula>0.5</formula>
    </cfRule>
  </conditionalFormatting>
  <conditionalFormatting sqref="AF83">
    <cfRule type="cellIs" dxfId="15622" priority="142784" stopIfTrue="1" operator="greaterThanOrEqual">
      <formula>0.5</formula>
    </cfRule>
  </conditionalFormatting>
  <conditionalFormatting sqref="AF84">
    <cfRule type="cellIs" dxfId="15621" priority="142785" stopIfTrue="1" operator="equal">
      <formula>-1</formula>
    </cfRule>
  </conditionalFormatting>
  <conditionalFormatting sqref="AF84">
    <cfRule type="cellIs" dxfId="15620" priority="142786" stopIfTrue="1" operator="lessThan">
      <formula>0.5</formula>
    </cfRule>
  </conditionalFormatting>
  <conditionalFormatting sqref="AF84">
    <cfRule type="cellIs" dxfId="15619" priority="142787" stopIfTrue="1" operator="greaterThanOrEqual">
      <formula>0.5</formula>
    </cfRule>
  </conditionalFormatting>
  <conditionalFormatting sqref="AF85">
    <cfRule type="cellIs" dxfId="15618" priority="142788" stopIfTrue="1" operator="equal">
      <formula>-1</formula>
    </cfRule>
  </conditionalFormatting>
  <conditionalFormatting sqref="AF85">
    <cfRule type="cellIs" dxfId="15617" priority="142789" stopIfTrue="1" operator="lessThan">
      <formula>0.5</formula>
    </cfRule>
  </conditionalFormatting>
  <conditionalFormatting sqref="AF85">
    <cfRule type="cellIs" dxfId="15616" priority="142790" stopIfTrue="1" operator="greaterThanOrEqual">
      <formula>0.5</formula>
    </cfRule>
  </conditionalFormatting>
  <conditionalFormatting sqref="AH65">
    <cfRule type="cellIs" dxfId="15615" priority="142791" stopIfTrue="1" operator="equal">
      <formula>-1</formula>
    </cfRule>
  </conditionalFormatting>
  <conditionalFormatting sqref="AH65">
    <cfRule type="cellIs" dxfId="15614" priority="142792" stopIfTrue="1" operator="lessThan">
      <formula>0.5</formula>
    </cfRule>
  </conditionalFormatting>
  <conditionalFormatting sqref="AH65">
    <cfRule type="cellIs" dxfId="15613" priority="142793" stopIfTrue="1" operator="greaterThanOrEqual">
      <formula>0.5</formula>
    </cfRule>
  </conditionalFormatting>
  <conditionalFormatting sqref="AH66">
    <cfRule type="cellIs" dxfId="15612" priority="142794" stopIfTrue="1" operator="equal">
      <formula>-1</formula>
    </cfRule>
  </conditionalFormatting>
  <conditionalFormatting sqref="AH66">
    <cfRule type="cellIs" dxfId="15611" priority="142795" stopIfTrue="1" operator="lessThan">
      <formula>0.5</formula>
    </cfRule>
  </conditionalFormatting>
  <conditionalFormatting sqref="AH66">
    <cfRule type="cellIs" dxfId="15610" priority="142796" stopIfTrue="1" operator="greaterThanOrEqual">
      <formula>0.5</formula>
    </cfRule>
  </conditionalFormatting>
  <conditionalFormatting sqref="AH67">
    <cfRule type="cellIs" dxfId="15609" priority="142797" stopIfTrue="1" operator="equal">
      <formula>-1</formula>
    </cfRule>
  </conditionalFormatting>
  <conditionalFormatting sqref="AH67">
    <cfRule type="cellIs" dxfId="15608" priority="142798" stopIfTrue="1" operator="lessThan">
      <formula>0.5</formula>
    </cfRule>
  </conditionalFormatting>
  <conditionalFormatting sqref="AH67">
    <cfRule type="cellIs" dxfId="15607" priority="142799" stopIfTrue="1" operator="greaterThanOrEqual">
      <formula>0.5</formula>
    </cfRule>
  </conditionalFormatting>
  <conditionalFormatting sqref="AH68">
    <cfRule type="cellIs" dxfId="15606" priority="142800" stopIfTrue="1" operator="equal">
      <formula>-1</formula>
    </cfRule>
  </conditionalFormatting>
  <conditionalFormatting sqref="AH68">
    <cfRule type="cellIs" dxfId="15605" priority="142801" stopIfTrue="1" operator="lessThan">
      <formula>0.5</formula>
    </cfRule>
  </conditionalFormatting>
  <conditionalFormatting sqref="AH68">
    <cfRule type="cellIs" dxfId="15604" priority="142802" stopIfTrue="1" operator="greaterThanOrEqual">
      <formula>0.5</formula>
    </cfRule>
  </conditionalFormatting>
  <conditionalFormatting sqref="AH69">
    <cfRule type="cellIs" dxfId="15603" priority="142803" stopIfTrue="1" operator="equal">
      <formula>-1</formula>
    </cfRule>
  </conditionalFormatting>
  <conditionalFormatting sqref="AH69">
    <cfRule type="cellIs" dxfId="15602" priority="142804" stopIfTrue="1" operator="lessThan">
      <formula>0.5</formula>
    </cfRule>
  </conditionalFormatting>
  <conditionalFormatting sqref="AH69">
    <cfRule type="cellIs" dxfId="15601" priority="142805" stopIfTrue="1" operator="greaterThanOrEqual">
      <formula>0.5</formula>
    </cfRule>
  </conditionalFormatting>
  <conditionalFormatting sqref="AH70">
    <cfRule type="cellIs" dxfId="15600" priority="142806" stopIfTrue="1" operator="equal">
      <formula>-1</formula>
    </cfRule>
  </conditionalFormatting>
  <conditionalFormatting sqref="AH70">
    <cfRule type="cellIs" dxfId="15599" priority="142807" stopIfTrue="1" operator="lessThan">
      <formula>0.5</formula>
    </cfRule>
  </conditionalFormatting>
  <conditionalFormatting sqref="AH70">
    <cfRule type="cellIs" dxfId="15598" priority="142808" stopIfTrue="1" operator="greaterThanOrEqual">
      <formula>0.5</formula>
    </cfRule>
  </conditionalFormatting>
  <conditionalFormatting sqref="AH71">
    <cfRule type="cellIs" dxfId="15597" priority="142809" stopIfTrue="1" operator="equal">
      <formula>-1</formula>
    </cfRule>
  </conditionalFormatting>
  <conditionalFormatting sqref="AH71">
    <cfRule type="cellIs" dxfId="15596" priority="142810" stopIfTrue="1" operator="lessThan">
      <formula>0.5</formula>
    </cfRule>
  </conditionalFormatting>
  <conditionalFormatting sqref="AH71">
    <cfRule type="cellIs" dxfId="15595" priority="142811" stopIfTrue="1" operator="greaterThanOrEqual">
      <formula>0.5</formula>
    </cfRule>
  </conditionalFormatting>
  <conditionalFormatting sqref="AH72">
    <cfRule type="cellIs" dxfId="15594" priority="142812" stopIfTrue="1" operator="equal">
      <formula>-1</formula>
    </cfRule>
  </conditionalFormatting>
  <conditionalFormatting sqref="AH72">
    <cfRule type="cellIs" dxfId="15593" priority="142813" stopIfTrue="1" operator="lessThan">
      <formula>0.5</formula>
    </cfRule>
  </conditionalFormatting>
  <conditionalFormatting sqref="AH72">
    <cfRule type="cellIs" dxfId="15592" priority="142814" stopIfTrue="1" operator="greaterThanOrEqual">
      <formula>0.5</formula>
    </cfRule>
  </conditionalFormatting>
  <conditionalFormatting sqref="AH73">
    <cfRule type="cellIs" dxfId="15591" priority="142815" stopIfTrue="1" operator="equal">
      <formula>-1</formula>
    </cfRule>
  </conditionalFormatting>
  <conditionalFormatting sqref="AH73">
    <cfRule type="cellIs" dxfId="15590" priority="142816" stopIfTrue="1" operator="lessThan">
      <formula>0.5</formula>
    </cfRule>
  </conditionalFormatting>
  <conditionalFormatting sqref="AH73">
    <cfRule type="cellIs" dxfId="15589" priority="142817" stopIfTrue="1" operator="greaterThanOrEqual">
      <formula>0.5</formula>
    </cfRule>
  </conditionalFormatting>
  <conditionalFormatting sqref="AH74">
    <cfRule type="cellIs" dxfId="15588" priority="142818" stopIfTrue="1" operator="equal">
      <formula>-1</formula>
    </cfRule>
  </conditionalFormatting>
  <conditionalFormatting sqref="AH74">
    <cfRule type="cellIs" dxfId="15587" priority="142819" stopIfTrue="1" operator="lessThan">
      <formula>0.5</formula>
    </cfRule>
  </conditionalFormatting>
  <conditionalFormatting sqref="AH74">
    <cfRule type="cellIs" dxfId="15586" priority="142820" stopIfTrue="1" operator="greaterThanOrEqual">
      <formula>0.5</formula>
    </cfRule>
  </conditionalFormatting>
  <conditionalFormatting sqref="AH75">
    <cfRule type="cellIs" dxfId="15585" priority="142821" stopIfTrue="1" operator="equal">
      <formula>-1</formula>
    </cfRule>
  </conditionalFormatting>
  <conditionalFormatting sqref="AH75">
    <cfRule type="cellIs" dxfId="15584" priority="142822" stopIfTrue="1" operator="lessThan">
      <formula>0.5</formula>
    </cfRule>
  </conditionalFormatting>
  <conditionalFormatting sqref="AH75">
    <cfRule type="cellIs" dxfId="15583" priority="142823" stopIfTrue="1" operator="greaterThanOrEqual">
      <formula>0.5</formula>
    </cfRule>
  </conditionalFormatting>
  <conditionalFormatting sqref="AH76">
    <cfRule type="cellIs" dxfId="15582" priority="142824" stopIfTrue="1" operator="equal">
      <formula>-1</formula>
    </cfRule>
  </conditionalFormatting>
  <conditionalFormatting sqref="AH76">
    <cfRule type="cellIs" dxfId="15581" priority="142825" stopIfTrue="1" operator="lessThan">
      <formula>0.5</formula>
    </cfRule>
  </conditionalFormatting>
  <conditionalFormatting sqref="AH76">
    <cfRule type="cellIs" dxfId="15580" priority="142826" stopIfTrue="1" operator="greaterThanOrEqual">
      <formula>0.5</formula>
    </cfRule>
  </conditionalFormatting>
  <conditionalFormatting sqref="AH77">
    <cfRule type="cellIs" dxfId="15579" priority="142827" stopIfTrue="1" operator="equal">
      <formula>-1</formula>
    </cfRule>
  </conditionalFormatting>
  <conditionalFormatting sqref="AH77">
    <cfRule type="cellIs" dxfId="15578" priority="142828" stopIfTrue="1" operator="lessThan">
      <formula>0.5</formula>
    </cfRule>
  </conditionalFormatting>
  <conditionalFormatting sqref="AH77">
    <cfRule type="cellIs" dxfId="15577" priority="142829" stopIfTrue="1" operator="greaterThanOrEqual">
      <formula>0.5</formula>
    </cfRule>
  </conditionalFormatting>
  <conditionalFormatting sqref="AH78">
    <cfRule type="cellIs" dxfId="15576" priority="142830" stopIfTrue="1" operator="equal">
      <formula>-1</formula>
    </cfRule>
  </conditionalFormatting>
  <conditionalFormatting sqref="AH78">
    <cfRule type="cellIs" dxfId="15575" priority="142831" stopIfTrue="1" operator="lessThan">
      <formula>0.5</formula>
    </cfRule>
  </conditionalFormatting>
  <conditionalFormatting sqref="AH78">
    <cfRule type="cellIs" dxfId="15574" priority="142832" stopIfTrue="1" operator="greaterThanOrEqual">
      <formula>0.5</formula>
    </cfRule>
  </conditionalFormatting>
  <conditionalFormatting sqref="AH79">
    <cfRule type="cellIs" dxfId="15573" priority="142833" stopIfTrue="1" operator="equal">
      <formula>-1</formula>
    </cfRule>
  </conditionalFormatting>
  <conditionalFormatting sqref="AH79">
    <cfRule type="cellIs" dxfId="15572" priority="142834" stopIfTrue="1" operator="lessThan">
      <formula>0.5</formula>
    </cfRule>
  </conditionalFormatting>
  <conditionalFormatting sqref="AH79">
    <cfRule type="cellIs" dxfId="15571" priority="142835" stopIfTrue="1" operator="greaterThanOrEqual">
      <formula>0.5</formula>
    </cfRule>
  </conditionalFormatting>
  <conditionalFormatting sqref="AH80">
    <cfRule type="cellIs" dxfId="15570" priority="142836" stopIfTrue="1" operator="equal">
      <formula>-1</formula>
    </cfRule>
  </conditionalFormatting>
  <conditionalFormatting sqref="AH80">
    <cfRule type="cellIs" dxfId="15569" priority="142837" stopIfTrue="1" operator="lessThan">
      <formula>0.5</formula>
    </cfRule>
  </conditionalFormatting>
  <conditionalFormatting sqref="AH80">
    <cfRule type="cellIs" dxfId="15568" priority="142838" stopIfTrue="1" operator="greaterThanOrEqual">
      <formula>0.5</formula>
    </cfRule>
  </conditionalFormatting>
  <conditionalFormatting sqref="AH81">
    <cfRule type="cellIs" dxfId="15567" priority="142839" stopIfTrue="1" operator="equal">
      <formula>-1</formula>
    </cfRule>
  </conditionalFormatting>
  <conditionalFormatting sqref="AH81">
    <cfRule type="cellIs" dxfId="15566" priority="142840" stopIfTrue="1" operator="lessThan">
      <formula>0.5</formula>
    </cfRule>
  </conditionalFormatting>
  <conditionalFormatting sqref="AH81">
    <cfRule type="cellIs" dxfId="15565" priority="142841" stopIfTrue="1" operator="greaterThanOrEqual">
      <formula>0.5</formula>
    </cfRule>
  </conditionalFormatting>
  <conditionalFormatting sqref="AH82">
    <cfRule type="cellIs" dxfId="15564" priority="142842" stopIfTrue="1" operator="equal">
      <formula>-1</formula>
    </cfRule>
  </conditionalFormatting>
  <conditionalFormatting sqref="AH82">
    <cfRule type="cellIs" dxfId="15563" priority="142843" stopIfTrue="1" operator="lessThan">
      <formula>0.5</formula>
    </cfRule>
  </conditionalFormatting>
  <conditionalFormatting sqref="AH82">
    <cfRule type="cellIs" dxfId="15562" priority="142844" stopIfTrue="1" operator="greaterThanOrEqual">
      <formula>0.5</formula>
    </cfRule>
  </conditionalFormatting>
  <conditionalFormatting sqref="AH83">
    <cfRule type="cellIs" dxfId="15561" priority="142845" stopIfTrue="1" operator="equal">
      <formula>-1</formula>
    </cfRule>
  </conditionalFormatting>
  <conditionalFormatting sqref="AH83">
    <cfRule type="cellIs" dxfId="15560" priority="142846" stopIfTrue="1" operator="lessThan">
      <formula>0.5</formula>
    </cfRule>
  </conditionalFormatting>
  <conditionalFormatting sqref="AH83">
    <cfRule type="cellIs" dxfId="15559" priority="142847" stopIfTrue="1" operator="greaterThanOrEqual">
      <formula>0.5</formula>
    </cfRule>
  </conditionalFormatting>
  <conditionalFormatting sqref="AH84">
    <cfRule type="cellIs" dxfId="15558" priority="142848" stopIfTrue="1" operator="equal">
      <formula>-1</formula>
    </cfRule>
  </conditionalFormatting>
  <conditionalFormatting sqref="AH84">
    <cfRule type="cellIs" dxfId="15557" priority="142849" stopIfTrue="1" operator="lessThan">
      <formula>0.5</formula>
    </cfRule>
  </conditionalFormatting>
  <conditionalFormatting sqref="AH84">
    <cfRule type="cellIs" dxfId="15556" priority="142850" stopIfTrue="1" operator="greaterThanOrEqual">
      <formula>0.5</formula>
    </cfRule>
  </conditionalFormatting>
  <conditionalFormatting sqref="AH85">
    <cfRule type="cellIs" dxfId="15555" priority="142851" stopIfTrue="1" operator="equal">
      <formula>-1</formula>
    </cfRule>
  </conditionalFormatting>
  <conditionalFormatting sqref="AH85">
    <cfRule type="cellIs" dxfId="15554" priority="142852" stopIfTrue="1" operator="lessThan">
      <formula>0.5</formula>
    </cfRule>
  </conditionalFormatting>
  <conditionalFormatting sqref="AH85">
    <cfRule type="cellIs" dxfId="15553" priority="142853" stopIfTrue="1" operator="greaterThanOrEqual">
      <formula>0.5</formula>
    </cfRule>
  </conditionalFormatting>
  <conditionalFormatting sqref="AJ65">
    <cfRule type="cellIs" dxfId="15552" priority="142854" stopIfTrue="1" operator="equal">
      <formula>-1</formula>
    </cfRule>
  </conditionalFormatting>
  <conditionalFormatting sqref="AJ65">
    <cfRule type="cellIs" dxfId="15551" priority="142855" stopIfTrue="1" operator="lessThan">
      <formula>0.5</formula>
    </cfRule>
  </conditionalFormatting>
  <conditionalFormatting sqref="AJ65">
    <cfRule type="cellIs" dxfId="15550" priority="142856" stopIfTrue="1" operator="greaterThanOrEqual">
      <formula>0.5</formula>
    </cfRule>
  </conditionalFormatting>
  <conditionalFormatting sqref="AJ66">
    <cfRule type="cellIs" dxfId="15549" priority="142857" stopIfTrue="1" operator="equal">
      <formula>-1</formula>
    </cfRule>
  </conditionalFormatting>
  <conditionalFormatting sqref="AJ66">
    <cfRule type="cellIs" dxfId="15548" priority="142858" stopIfTrue="1" operator="lessThan">
      <formula>0.5</formula>
    </cfRule>
  </conditionalFormatting>
  <conditionalFormatting sqref="AJ66">
    <cfRule type="cellIs" dxfId="15547" priority="142859" stopIfTrue="1" operator="greaterThanOrEqual">
      <formula>0.5</formula>
    </cfRule>
  </conditionalFormatting>
  <conditionalFormatting sqref="AJ67">
    <cfRule type="cellIs" dxfId="15546" priority="142860" stopIfTrue="1" operator="equal">
      <formula>-1</formula>
    </cfRule>
  </conditionalFormatting>
  <conditionalFormatting sqref="AJ67">
    <cfRule type="cellIs" dxfId="15545" priority="142861" stopIfTrue="1" operator="lessThan">
      <formula>0.5</formula>
    </cfRule>
  </conditionalFormatting>
  <conditionalFormatting sqref="AJ67">
    <cfRule type="cellIs" dxfId="15544" priority="142862" stopIfTrue="1" operator="greaterThanOrEqual">
      <formula>0.5</formula>
    </cfRule>
  </conditionalFormatting>
  <conditionalFormatting sqref="AJ68">
    <cfRule type="cellIs" dxfId="15543" priority="142863" stopIfTrue="1" operator="equal">
      <formula>-1</formula>
    </cfRule>
  </conditionalFormatting>
  <conditionalFormatting sqref="AJ68">
    <cfRule type="cellIs" dxfId="15542" priority="142864" stopIfTrue="1" operator="lessThan">
      <formula>0.5</formula>
    </cfRule>
  </conditionalFormatting>
  <conditionalFormatting sqref="AJ68">
    <cfRule type="cellIs" dxfId="15541" priority="142865" stopIfTrue="1" operator="greaterThanOrEqual">
      <formula>0.5</formula>
    </cfRule>
  </conditionalFormatting>
  <conditionalFormatting sqref="AJ69">
    <cfRule type="cellIs" dxfId="15540" priority="142866" stopIfTrue="1" operator="equal">
      <formula>-1</formula>
    </cfRule>
  </conditionalFormatting>
  <conditionalFormatting sqref="AJ69">
    <cfRule type="cellIs" dxfId="15539" priority="142867" stopIfTrue="1" operator="lessThan">
      <formula>0.5</formula>
    </cfRule>
  </conditionalFormatting>
  <conditionalFormatting sqref="AJ69">
    <cfRule type="cellIs" dxfId="15538" priority="142868" stopIfTrue="1" operator="greaterThanOrEqual">
      <formula>0.5</formula>
    </cfRule>
  </conditionalFormatting>
  <conditionalFormatting sqref="AJ70">
    <cfRule type="cellIs" dxfId="15537" priority="142869" stopIfTrue="1" operator="equal">
      <formula>-1</formula>
    </cfRule>
  </conditionalFormatting>
  <conditionalFormatting sqref="AJ70">
    <cfRule type="cellIs" dxfId="15536" priority="142870" stopIfTrue="1" operator="lessThan">
      <formula>0.5</formula>
    </cfRule>
  </conditionalFormatting>
  <conditionalFormatting sqref="AJ70">
    <cfRule type="cellIs" dxfId="15535" priority="142871" stopIfTrue="1" operator="greaterThanOrEqual">
      <formula>0.5</formula>
    </cfRule>
  </conditionalFormatting>
  <conditionalFormatting sqref="AJ71">
    <cfRule type="cellIs" dxfId="15534" priority="142872" stopIfTrue="1" operator="equal">
      <formula>-1</formula>
    </cfRule>
  </conditionalFormatting>
  <conditionalFormatting sqref="AJ71">
    <cfRule type="cellIs" dxfId="15533" priority="142873" stopIfTrue="1" operator="lessThan">
      <formula>0.5</formula>
    </cfRule>
  </conditionalFormatting>
  <conditionalFormatting sqref="AJ71">
    <cfRule type="cellIs" dxfId="15532" priority="142874" stopIfTrue="1" operator="greaterThanOrEqual">
      <formula>0.5</formula>
    </cfRule>
  </conditionalFormatting>
  <conditionalFormatting sqref="AJ72">
    <cfRule type="cellIs" dxfId="15531" priority="142875" stopIfTrue="1" operator="equal">
      <formula>-1</formula>
    </cfRule>
  </conditionalFormatting>
  <conditionalFormatting sqref="AJ72">
    <cfRule type="cellIs" dxfId="15530" priority="142876" stopIfTrue="1" operator="lessThan">
      <formula>0.5</formula>
    </cfRule>
  </conditionalFormatting>
  <conditionalFormatting sqref="AJ72">
    <cfRule type="cellIs" dxfId="15529" priority="142877" stopIfTrue="1" operator="greaterThanOrEqual">
      <formula>0.5</formula>
    </cfRule>
  </conditionalFormatting>
  <conditionalFormatting sqref="AJ73">
    <cfRule type="cellIs" dxfId="15528" priority="142878" stopIfTrue="1" operator="equal">
      <formula>-1</formula>
    </cfRule>
  </conditionalFormatting>
  <conditionalFormatting sqref="AJ73">
    <cfRule type="cellIs" dxfId="15527" priority="142879" stopIfTrue="1" operator="lessThan">
      <formula>0.5</formula>
    </cfRule>
  </conditionalFormatting>
  <conditionalFormatting sqref="AJ73">
    <cfRule type="cellIs" dxfId="15526" priority="142880" stopIfTrue="1" operator="greaterThanOrEqual">
      <formula>0.5</formula>
    </cfRule>
  </conditionalFormatting>
  <conditionalFormatting sqref="AJ74">
    <cfRule type="cellIs" dxfId="15525" priority="142881" stopIfTrue="1" operator="equal">
      <formula>-1</formula>
    </cfRule>
  </conditionalFormatting>
  <conditionalFormatting sqref="AJ74">
    <cfRule type="cellIs" dxfId="15524" priority="142882" stopIfTrue="1" operator="lessThan">
      <formula>0.5</formula>
    </cfRule>
  </conditionalFormatting>
  <conditionalFormatting sqref="AJ74">
    <cfRule type="cellIs" dxfId="15523" priority="142883" stopIfTrue="1" operator="greaterThanOrEqual">
      <formula>0.5</formula>
    </cfRule>
  </conditionalFormatting>
  <conditionalFormatting sqref="AJ75">
    <cfRule type="cellIs" dxfId="15522" priority="142884" stopIfTrue="1" operator="equal">
      <formula>-1</formula>
    </cfRule>
  </conditionalFormatting>
  <conditionalFormatting sqref="AJ75">
    <cfRule type="cellIs" dxfId="15521" priority="142885" stopIfTrue="1" operator="lessThan">
      <formula>0.5</formula>
    </cfRule>
  </conditionalFormatting>
  <conditionalFormatting sqref="AJ75">
    <cfRule type="cellIs" dxfId="15520" priority="142886" stopIfTrue="1" operator="greaterThanOrEqual">
      <formula>0.5</formula>
    </cfRule>
  </conditionalFormatting>
  <conditionalFormatting sqref="AJ76">
    <cfRule type="cellIs" dxfId="15519" priority="142887" stopIfTrue="1" operator="equal">
      <formula>-1</formula>
    </cfRule>
  </conditionalFormatting>
  <conditionalFormatting sqref="AJ76">
    <cfRule type="cellIs" dxfId="15518" priority="142888" stopIfTrue="1" operator="lessThan">
      <formula>0.5</formula>
    </cfRule>
  </conditionalFormatting>
  <conditionalFormatting sqref="AJ76">
    <cfRule type="cellIs" dxfId="15517" priority="142889" stopIfTrue="1" operator="greaterThanOrEqual">
      <formula>0.5</formula>
    </cfRule>
  </conditionalFormatting>
  <conditionalFormatting sqref="AJ77">
    <cfRule type="cellIs" dxfId="15516" priority="142890" stopIfTrue="1" operator="equal">
      <formula>-1</formula>
    </cfRule>
  </conditionalFormatting>
  <conditionalFormatting sqref="AJ77">
    <cfRule type="cellIs" dxfId="15515" priority="142891" stopIfTrue="1" operator="lessThan">
      <formula>0.5</formula>
    </cfRule>
  </conditionalFormatting>
  <conditionalFormatting sqref="AJ77">
    <cfRule type="cellIs" dxfId="15514" priority="142892" stopIfTrue="1" operator="greaterThanOrEqual">
      <formula>0.5</formula>
    </cfRule>
  </conditionalFormatting>
  <conditionalFormatting sqref="AJ78">
    <cfRule type="cellIs" dxfId="15513" priority="142893" stopIfTrue="1" operator="equal">
      <formula>-1</formula>
    </cfRule>
  </conditionalFormatting>
  <conditionalFormatting sqref="AJ78">
    <cfRule type="cellIs" dxfId="15512" priority="142894" stopIfTrue="1" operator="lessThan">
      <formula>0.5</formula>
    </cfRule>
  </conditionalFormatting>
  <conditionalFormatting sqref="AJ78">
    <cfRule type="cellIs" dxfId="15511" priority="142895" stopIfTrue="1" operator="greaterThanOrEqual">
      <formula>0.5</formula>
    </cfRule>
  </conditionalFormatting>
  <conditionalFormatting sqref="AJ79">
    <cfRule type="cellIs" dxfId="15510" priority="142896" stopIfTrue="1" operator="equal">
      <formula>-1</formula>
    </cfRule>
  </conditionalFormatting>
  <conditionalFormatting sqref="AJ79">
    <cfRule type="cellIs" dxfId="15509" priority="142897" stopIfTrue="1" operator="lessThan">
      <formula>0.5</formula>
    </cfRule>
  </conditionalFormatting>
  <conditionalFormatting sqref="AJ79">
    <cfRule type="cellIs" dxfId="15508" priority="142898" stopIfTrue="1" operator="greaterThanOrEqual">
      <formula>0.5</formula>
    </cfRule>
  </conditionalFormatting>
  <conditionalFormatting sqref="AJ80">
    <cfRule type="cellIs" dxfId="15507" priority="142899" stopIfTrue="1" operator="equal">
      <formula>-1</formula>
    </cfRule>
  </conditionalFormatting>
  <conditionalFormatting sqref="AJ80">
    <cfRule type="cellIs" dxfId="15506" priority="142900" stopIfTrue="1" operator="lessThan">
      <formula>0.5</formula>
    </cfRule>
  </conditionalFormatting>
  <conditionalFormatting sqref="AJ80">
    <cfRule type="cellIs" dxfId="15505" priority="142901" stopIfTrue="1" operator="greaterThanOrEqual">
      <formula>0.5</formula>
    </cfRule>
  </conditionalFormatting>
  <conditionalFormatting sqref="AJ81">
    <cfRule type="cellIs" dxfId="15504" priority="142902" stopIfTrue="1" operator="equal">
      <formula>-1</formula>
    </cfRule>
  </conditionalFormatting>
  <conditionalFormatting sqref="AJ81">
    <cfRule type="cellIs" dxfId="15503" priority="142903" stopIfTrue="1" operator="lessThan">
      <formula>0.5</formula>
    </cfRule>
  </conditionalFormatting>
  <conditionalFormatting sqref="AJ81">
    <cfRule type="cellIs" dxfId="15502" priority="142904" stopIfTrue="1" operator="greaterThanOrEqual">
      <formula>0.5</formula>
    </cfRule>
  </conditionalFormatting>
  <conditionalFormatting sqref="AJ82">
    <cfRule type="cellIs" dxfId="15501" priority="142905" stopIfTrue="1" operator="equal">
      <formula>-1</formula>
    </cfRule>
  </conditionalFormatting>
  <conditionalFormatting sqref="AJ82">
    <cfRule type="cellIs" dxfId="15500" priority="142906" stopIfTrue="1" operator="lessThan">
      <formula>0.5</formula>
    </cfRule>
  </conditionalFormatting>
  <conditionalFormatting sqref="AJ82">
    <cfRule type="cellIs" dxfId="15499" priority="142907" stopIfTrue="1" operator="greaterThanOrEqual">
      <formula>0.5</formula>
    </cfRule>
  </conditionalFormatting>
  <conditionalFormatting sqref="AJ83">
    <cfRule type="cellIs" dxfId="15498" priority="142908" stopIfTrue="1" operator="equal">
      <formula>-1</formula>
    </cfRule>
  </conditionalFormatting>
  <conditionalFormatting sqref="AJ83">
    <cfRule type="cellIs" dxfId="15497" priority="142909" stopIfTrue="1" operator="lessThan">
      <formula>0.5</formula>
    </cfRule>
  </conditionalFormatting>
  <conditionalFormatting sqref="AJ83">
    <cfRule type="cellIs" dxfId="15496" priority="142910" stopIfTrue="1" operator="greaterThanOrEqual">
      <formula>0.5</formula>
    </cfRule>
  </conditionalFormatting>
  <conditionalFormatting sqref="AJ84">
    <cfRule type="cellIs" dxfId="15495" priority="142911" stopIfTrue="1" operator="equal">
      <formula>-1</formula>
    </cfRule>
  </conditionalFormatting>
  <conditionalFormatting sqref="AJ84">
    <cfRule type="cellIs" dxfId="15494" priority="142912" stopIfTrue="1" operator="lessThan">
      <formula>0.5</formula>
    </cfRule>
  </conditionalFormatting>
  <conditionalFormatting sqref="AJ84">
    <cfRule type="cellIs" dxfId="15493" priority="142913" stopIfTrue="1" operator="greaterThanOrEqual">
      <formula>0.5</formula>
    </cfRule>
  </conditionalFormatting>
  <conditionalFormatting sqref="AJ85">
    <cfRule type="cellIs" dxfId="15492" priority="142914" stopIfTrue="1" operator="equal">
      <formula>-1</formula>
    </cfRule>
  </conditionalFormatting>
  <conditionalFormatting sqref="AJ85">
    <cfRule type="cellIs" dxfId="15491" priority="142915" stopIfTrue="1" operator="lessThan">
      <formula>0.5</formula>
    </cfRule>
  </conditionalFormatting>
  <conditionalFormatting sqref="AJ85">
    <cfRule type="cellIs" dxfId="15490" priority="142916" stopIfTrue="1" operator="greaterThanOrEqual">
      <formula>0.5</formula>
    </cfRule>
  </conditionalFormatting>
  <conditionalFormatting sqref="AL65">
    <cfRule type="cellIs" dxfId="15489" priority="142917" stopIfTrue="1" operator="equal">
      <formula>-1</formula>
    </cfRule>
  </conditionalFormatting>
  <conditionalFormatting sqref="AL65">
    <cfRule type="cellIs" dxfId="15488" priority="142918" stopIfTrue="1" operator="lessThan">
      <formula>0.5</formula>
    </cfRule>
  </conditionalFormatting>
  <conditionalFormatting sqref="AL65">
    <cfRule type="cellIs" dxfId="15487" priority="142919" stopIfTrue="1" operator="greaterThanOrEqual">
      <formula>0.5</formula>
    </cfRule>
  </conditionalFormatting>
  <conditionalFormatting sqref="AL66">
    <cfRule type="cellIs" dxfId="15486" priority="142920" stopIfTrue="1" operator="equal">
      <formula>-1</formula>
    </cfRule>
  </conditionalFormatting>
  <conditionalFormatting sqref="AL66">
    <cfRule type="cellIs" dxfId="15485" priority="142921" stopIfTrue="1" operator="lessThan">
      <formula>0.5</formula>
    </cfRule>
  </conditionalFormatting>
  <conditionalFormatting sqref="AL66">
    <cfRule type="cellIs" dxfId="15484" priority="142922" stopIfTrue="1" operator="greaterThanOrEqual">
      <formula>0.5</formula>
    </cfRule>
  </conditionalFormatting>
  <conditionalFormatting sqref="AL67">
    <cfRule type="cellIs" dxfId="15483" priority="142923" stopIfTrue="1" operator="equal">
      <formula>-1</formula>
    </cfRule>
  </conditionalFormatting>
  <conditionalFormatting sqref="AL67">
    <cfRule type="cellIs" dxfId="15482" priority="142924" stopIfTrue="1" operator="lessThan">
      <formula>0.5</formula>
    </cfRule>
  </conditionalFormatting>
  <conditionalFormatting sqref="AL67">
    <cfRule type="cellIs" dxfId="15481" priority="142925" stopIfTrue="1" operator="greaterThanOrEqual">
      <formula>0.5</formula>
    </cfRule>
  </conditionalFormatting>
  <conditionalFormatting sqref="AL68">
    <cfRule type="cellIs" dxfId="15480" priority="142926" stopIfTrue="1" operator="equal">
      <formula>-1</formula>
    </cfRule>
  </conditionalFormatting>
  <conditionalFormatting sqref="AL68">
    <cfRule type="cellIs" dxfId="15479" priority="142927" stopIfTrue="1" operator="lessThan">
      <formula>0.5</formula>
    </cfRule>
  </conditionalFormatting>
  <conditionalFormatting sqref="AL68">
    <cfRule type="cellIs" dxfId="15478" priority="142928" stopIfTrue="1" operator="greaterThanOrEqual">
      <formula>0.5</formula>
    </cfRule>
  </conditionalFormatting>
  <conditionalFormatting sqref="AL69">
    <cfRule type="cellIs" dxfId="15477" priority="142929" stopIfTrue="1" operator="equal">
      <formula>-1</formula>
    </cfRule>
  </conditionalFormatting>
  <conditionalFormatting sqref="AL69">
    <cfRule type="cellIs" dxfId="15476" priority="142930" stopIfTrue="1" operator="lessThan">
      <formula>0.5</formula>
    </cfRule>
  </conditionalFormatting>
  <conditionalFormatting sqref="AL69">
    <cfRule type="cellIs" dxfId="15475" priority="142931" stopIfTrue="1" operator="greaterThanOrEqual">
      <formula>0.5</formula>
    </cfRule>
  </conditionalFormatting>
  <conditionalFormatting sqref="AL70">
    <cfRule type="cellIs" dxfId="15474" priority="142932" stopIfTrue="1" operator="equal">
      <formula>-1</formula>
    </cfRule>
  </conditionalFormatting>
  <conditionalFormatting sqref="AL70">
    <cfRule type="cellIs" dxfId="15473" priority="142933" stopIfTrue="1" operator="lessThan">
      <formula>0.5</formula>
    </cfRule>
  </conditionalFormatting>
  <conditionalFormatting sqref="AL70">
    <cfRule type="cellIs" dxfId="15472" priority="142934" stopIfTrue="1" operator="greaterThanOrEqual">
      <formula>0.5</formula>
    </cfRule>
  </conditionalFormatting>
  <conditionalFormatting sqref="AL71">
    <cfRule type="cellIs" dxfId="15471" priority="142935" stopIfTrue="1" operator="equal">
      <formula>-1</formula>
    </cfRule>
  </conditionalFormatting>
  <conditionalFormatting sqref="AL71">
    <cfRule type="cellIs" dxfId="15470" priority="142936" stopIfTrue="1" operator="lessThan">
      <formula>0.5</formula>
    </cfRule>
  </conditionalFormatting>
  <conditionalFormatting sqref="AL71">
    <cfRule type="cellIs" dxfId="15469" priority="142937" stopIfTrue="1" operator="greaterThanOrEqual">
      <formula>0.5</formula>
    </cfRule>
  </conditionalFormatting>
  <conditionalFormatting sqref="AL72">
    <cfRule type="cellIs" dxfId="15468" priority="142938" stopIfTrue="1" operator="equal">
      <formula>-1</formula>
    </cfRule>
  </conditionalFormatting>
  <conditionalFormatting sqref="AL72">
    <cfRule type="cellIs" dxfId="15467" priority="142939" stopIfTrue="1" operator="lessThan">
      <formula>0.5</formula>
    </cfRule>
  </conditionalFormatting>
  <conditionalFormatting sqref="AL72">
    <cfRule type="cellIs" dxfId="15466" priority="142940" stopIfTrue="1" operator="greaterThanOrEqual">
      <formula>0.5</formula>
    </cfRule>
  </conditionalFormatting>
  <conditionalFormatting sqref="AL73">
    <cfRule type="cellIs" dxfId="15465" priority="142941" stopIfTrue="1" operator="equal">
      <formula>-1</formula>
    </cfRule>
  </conditionalFormatting>
  <conditionalFormatting sqref="AL73">
    <cfRule type="cellIs" dxfId="15464" priority="142942" stopIfTrue="1" operator="lessThan">
      <formula>0.5</formula>
    </cfRule>
  </conditionalFormatting>
  <conditionalFormatting sqref="AL73">
    <cfRule type="cellIs" dxfId="15463" priority="142943" stopIfTrue="1" operator="greaterThanOrEqual">
      <formula>0.5</formula>
    </cfRule>
  </conditionalFormatting>
  <conditionalFormatting sqref="AL74">
    <cfRule type="cellIs" dxfId="15462" priority="142944" stopIfTrue="1" operator="equal">
      <formula>-1</formula>
    </cfRule>
  </conditionalFormatting>
  <conditionalFormatting sqref="AL74">
    <cfRule type="cellIs" dxfId="15461" priority="142945" stopIfTrue="1" operator="lessThan">
      <formula>0.5</formula>
    </cfRule>
  </conditionalFormatting>
  <conditionalFormatting sqref="AL74">
    <cfRule type="cellIs" dxfId="15460" priority="142946" stopIfTrue="1" operator="greaterThanOrEqual">
      <formula>0.5</formula>
    </cfRule>
  </conditionalFormatting>
  <conditionalFormatting sqref="AL75">
    <cfRule type="cellIs" dxfId="15459" priority="142947" stopIfTrue="1" operator="equal">
      <formula>-1</formula>
    </cfRule>
  </conditionalFormatting>
  <conditionalFormatting sqref="AL75">
    <cfRule type="cellIs" dxfId="15458" priority="142948" stopIfTrue="1" operator="lessThan">
      <formula>0.5</formula>
    </cfRule>
  </conditionalFormatting>
  <conditionalFormatting sqref="AL75">
    <cfRule type="cellIs" dxfId="15457" priority="142949" stopIfTrue="1" operator="greaterThanOrEqual">
      <formula>0.5</formula>
    </cfRule>
  </conditionalFormatting>
  <conditionalFormatting sqref="AL76">
    <cfRule type="cellIs" dxfId="15456" priority="142950" stopIfTrue="1" operator="equal">
      <formula>-1</formula>
    </cfRule>
  </conditionalFormatting>
  <conditionalFormatting sqref="AL76">
    <cfRule type="cellIs" dxfId="15455" priority="142951" stopIfTrue="1" operator="lessThan">
      <formula>0.5</formula>
    </cfRule>
  </conditionalFormatting>
  <conditionalFormatting sqref="AL76">
    <cfRule type="cellIs" dxfId="15454" priority="142952" stopIfTrue="1" operator="greaterThanOrEqual">
      <formula>0.5</formula>
    </cfRule>
  </conditionalFormatting>
  <conditionalFormatting sqref="AL77">
    <cfRule type="cellIs" dxfId="15453" priority="142953" stopIfTrue="1" operator="equal">
      <formula>-1</formula>
    </cfRule>
  </conditionalFormatting>
  <conditionalFormatting sqref="AL77">
    <cfRule type="cellIs" dxfId="15452" priority="142954" stopIfTrue="1" operator="lessThan">
      <formula>0.5</formula>
    </cfRule>
  </conditionalFormatting>
  <conditionalFormatting sqref="AL77">
    <cfRule type="cellIs" dxfId="15451" priority="142955" stopIfTrue="1" operator="greaterThanOrEqual">
      <formula>0.5</formula>
    </cfRule>
  </conditionalFormatting>
  <conditionalFormatting sqref="AL78">
    <cfRule type="cellIs" dxfId="15450" priority="142956" stopIfTrue="1" operator="equal">
      <formula>-1</formula>
    </cfRule>
  </conditionalFormatting>
  <conditionalFormatting sqref="AL78">
    <cfRule type="cellIs" dxfId="15449" priority="142957" stopIfTrue="1" operator="lessThan">
      <formula>0.5</formula>
    </cfRule>
  </conditionalFormatting>
  <conditionalFormatting sqref="AL78">
    <cfRule type="cellIs" dxfId="15448" priority="142958" stopIfTrue="1" operator="greaterThanOrEqual">
      <formula>0.5</formula>
    </cfRule>
  </conditionalFormatting>
  <conditionalFormatting sqref="AL79">
    <cfRule type="cellIs" dxfId="15447" priority="142959" stopIfTrue="1" operator="equal">
      <formula>-1</formula>
    </cfRule>
  </conditionalFormatting>
  <conditionalFormatting sqref="AL79">
    <cfRule type="cellIs" dxfId="15446" priority="142960" stopIfTrue="1" operator="lessThan">
      <formula>0.5</formula>
    </cfRule>
  </conditionalFormatting>
  <conditionalFormatting sqref="AL79">
    <cfRule type="cellIs" dxfId="15445" priority="142961" stopIfTrue="1" operator="greaterThanOrEqual">
      <formula>0.5</formula>
    </cfRule>
  </conditionalFormatting>
  <conditionalFormatting sqref="AL80">
    <cfRule type="cellIs" dxfId="15444" priority="142962" stopIfTrue="1" operator="equal">
      <formula>-1</formula>
    </cfRule>
  </conditionalFormatting>
  <conditionalFormatting sqref="AL80">
    <cfRule type="cellIs" dxfId="15443" priority="142963" stopIfTrue="1" operator="lessThan">
      <formula>0.5</formula>
    </cfRule>
  </conditionalFormatting>
  <conditionalFormatting sqref="AL80">
    <cfRule type="cellIs" dxfId="15442" priority="142964" stopIfTrue="1" operator="greaterThanOrEqual">
      <formula>0.5</formula>
    </cfRule>
  </conditionalFormatting>
  <conditionalFormatting sqref="AL81">
    <cfRule type="cellIs" dxfId="15441" priority="142965" stopIfTrue="1" operator="equal">
      <formula>-1</formula>
    </cfRule>
  </conditionalFormatting>
  <conditionalFormatting sqref="AL81">
    <cfRule type="cellIs" dxfId="15440" priority="142966" stopIfTrue="1" operator="lessThan">
      <formula>0.5</formula>
    </cfRule>
  </conditionalFormatting>
  <conditionalFormatting sqref="AL81">
    <cfRule type="cellIs" dxfId="15439" priority="142967" stopIfTrue="1" operator="greaterThanOrEqual">
      <formula>0.5</formula>
    </cfRule>
  </conditionalFormatting>
  <conditionalFormatting sqref="AL82">
    <cfRule type="cellIs" dxfId="15438" priority="142968" stopIfTrue="1" operator="equal">
      <formula>-1</formula>
    </cfRule>
  </conditionalFormatting>
  <conditionalFormatting sqref="AL82">
    <cfRule type="cellIs" dxfId="15437" priority="142969" stopIfTrue="1" operator="lessThan">
      <formula>0.5</formula>
    </cfRule>
  </conditionalFormatting>
  <conditionalFormatting sqref="AL82">
    <cfRule type="cellIs" dxfId="15436" priority="142970" stopIfTrue="1" operator="greaterThanOrEqual">
      <formula>0.5</formula>
    </cfRule>
  </conditionalFormatting>
  <conditionalFormatting sqref="AL83">
    <cfRule type="cellIs" dxfId="15435" priority="142971" stopIfTrue="1" operator="equal">
      <formula>-1</formula>
    </cfRule>
  </conditionalFormatting>
  <conditionalFormatting sqref="AL83">
    <cfRule type="cellIs" dxfId="15434" priority="142972" stopIfTrue="1" operator="lessThan">
      <formula>0.5</formula>
    </cfRule>
  </conditionalFormatting>
  <conditionalFormatting sqref="AL83">
    <cfRule type="cellIs" dxfId="15433" priority="142973" stopIfTrue="1" operator="greaterThanOrEqual">
      <formula>0.5</formula>
    </cfRule>
  </conditionalFormatting>
  <conditionalFormatting sqref="AL84">
    <cfRule type="cellIs" dxfId="15432" priority="142974" stopIfTrue="1" operator="equal">
      <formula>-1</formula>
    </cfRule>
  </conditionalFormatting>
  <conditionalFormatting sqref="AL84">
    <cfRule type="cellIs" dxfId="15431" priority="142975" stopIfTrue="1" operator="lessThan">
      <formula>0.5</formula>
    </cfRule>
  </conditionalFormatting>
  <conditionalFormatting sqref="AL84">
    <cfRule type="cellIs" dxfId="15430" priority="142976" stopIfTrue="1" operator="greaterThanOrEqual">
      <formula>0.5</formula>
    </cfRule>
  </conditionalFormatting>
  <conditionalFormatting sqref="AL85">
    <cfRule type="cellIs" dxfId="15429" priority="142977" stopIfTrue="1" operator="equal">
      <formula>-1</formula>
    </cfRule>
  </conditionalFormatting>
  <conditionalFormatting sqref="AL85">
    <cfRule type="cellIs" dxfId="15428" priority="142978" stopIfTrue="1" operator="lessThan">
      <formula>0.5</formula>
    </cfRule>
  </conditionalFormatting>
  <conditionalFormatting sqref="AL85">
    <cfRule type="cellIs" dxfId="15427" priority="142979" stopIfTrue="1" operator="greaterThanOrEqual">
      <formula>0.5</formula>
    </cfRule>
  </conditionalFormatting>
  <conditionalFormatting sqref="AN65">
    <cfRule type="cellIs" dxfId="15426" priority="142980" stopIfTrue="1" operator="equal">
      <formula>-1</formula>
    </cfRule>
  </conditionalFormatting>
  <conditionalFormatting sqref="AN65">
    <cfRule type="cellIs" dxfId="15425" priority="142981" stopIfTrue="1" operator="lessThan">
      <formula>0.5</formula>
    </cfRule>
  </conditionalFormatting>
  <conditionalFormatting sqref="AN65">
    <cfRule type="cellIs" dxfId="15424" priority="142982" stopIfTrue="1" operator="greaterThanOrEqual">
      <formula>0.5</formula>
    </cfRule>
  </conditionalFormatting>
  <conditionalFormatting sqref="AN66">
    <cfRule type="cellIs" dxfId="15423" priority="142983" stopIfTrue="1" operator="equal">
      <formula>-1</formula>
    </cfRule>
  </conditionalFormatting>
  <conditionalFormatting sqref="AN66">
    <cfRule type="cellIs" dxfId="15422" priority="142984" stopIfTrue="1" operator="lessThan">
      <formula>0.5</formula>
    </cfRule>
  </conditionalFormatting>
  <conditionalFormatting sqref="AN66">
    <cfRule type="cellIs" dxfId="15421" priority="142985" stopIfTrue="1" operator="greaterThanOrEqual">
      <formula>0.5</formula>
    </cfRule>
  </conditionalFormatting>
  <conditionalFormatting sqref="AN67">
    <cfRule type="cellIs" dxfId="15420" priority="142986" stopIfTrue="1" operator="equal">
      <formula>-1</formula>
    </cfRule>
  </conditionalFormatting>
  <conditionalFormatting sqref="AN67">
    <cfRule type="cellIs" dxfId="15419" priority="142987" stopIfTrue="1" operator="lessThan">
      <formula>0.5</formula>
    </cfRule>
  </conditionalFormatting>
  <conditionalFormatting sqref="AN67">
    <cfRule type="cellIs" dxfId="15418" priority="142988" stopIfTrue="1" operator="greaterThanOrEqual">
      <formula>0.5</formula>
    </cfRule>
  </conditionalFormatting>
  <conditionalFormatting sqref="AN68">
    <cfRule type="cellIs" dxfId="15417" priority="142989" stopIfTrue="1" operator="equal">
      <formula>-1</formula>
    </cfRule>
  </conditionalFormatting>
  <conditionalFormatting sqref="AN68">
    <cfRule type="cellIs" dxfId="15416" priority="142990" stopIfTrue="1" operator="lessThan">
      <formula>0.5</formula>
    </cfRule>
  </conditionalFormatting>
  <conditionalFormatting sqref="AN68">
    <cfRule type="cellIs" dxfId="15415" priority="142991" stopIfTrue="1" operator="greaterThanOrEqual">
      <formula>0.5</formula>
    </cfRule>
  </conditionalFormatting>
  <conditionalFormatting sqref="AN69">
    <cfRule type="cellIs" dxfId="15414" priority="142992" stopIfTrue="1" operator="equal">
      <formula>-1</formula>
    </cfRule>
  </conditionalFormatting>
  <conditionalFormatting sqref="AN69">
    <cfRule type="cellIs" dxfId="15413" priority="142993" stopIfTrue="1" operator="lessThan">
      <formula>0.5</formula>
    </cfRule>
  </conditionalFormatting>
  <conditionalFormatting sqref="AN69">
    <cfRule type="cellIs" dxfId="15412" priority="142994" stopIfTrue="1" operator="greaterThanOrEqual">
      <formula>0.5</formula>
    </cfRule>
  </conditionalFormatting>
  <conditionalFormatting sqref="AN70">
    <cfRule type="cellIs" dxfId="15411" priority="142995" stopIfTrue="1" operator="equal">
      <formula>-1</formula>
    </cfRule>
  </conditionalFormatting>
  <conditionalFormatting sqref="AN70">
    <cfRule type="cellIs" dxfId="15410" priority="142996" stopIfTrue="1" operator="lessThan">
      <formula>0.5</formula>
    </cfRule>
  </conditionalFormatting>
  <conditionalFormatting sqref="AN70">
    <cfRule type="cellIs" dxfId="15409" priority="142997" stopIfTrue="1" operator="greaterThanOrEqual">
      <formula>0.5</formula>
    </cfRule>
  </conditionalFormatting>
  <conditionalFormatting sqref="AN71">
    <cfRule type="cellIs" dxfId="15408" priority="142998" stopIfTrue="1" operator="equal">
      <formula>-1</formula>
    </cfRule>
  </conditionalFormatting>
  <conditionalFormatting sqref="AN71">
    <cfRule type="cellIs" dxfId="15407" priority="142999" stopIfTrue="1" operator="lessThan">
      <formula>0.5</formula>
    </cfRule>
  </conditionalFormatting>
  <conditionalFormatting sqref="AN71">
    <cfRule type="cellIs" dxfId="15406" priority="143000" stopIfTrue="1" operator="greaterThanOrEqual">
      <formula>0.5</formula>
    </cfRule>
  </conditionalFormatting>
  <conditionalFormatting sqref="AN72">
    <cfRule type="cellIs" dxfId="15405" priority="143001" stopIfTrue="1" operator="equal">
      <formula>-1</formula>
    </cfRule>
  </conditionalFormatting>
  <conditionalFormatting sqref="AN72">
    <cfRule type="cellIs" dxfId="15404" priority="143002" stopIfTrue="1" operator="lessThan">
      <formula>0.5</formula>
    </cfRule>
  </conditionalFormatting>
  <conditionalFormatting sqref="AN72">
    <cfRule type="cellIs" dxfId="15403" priority="143003" stopIfTrue="1" operator="greaterThanOrEqual">
      <formula>0.5</formula>
    </cfRule>
  </conditionalFormatting>
  <conditionalFormatting sqref="AN73">
    <cfRule type="cellIs" dxfId="15402" priority="143004" stopIfTrue="1" operator="equal">
      <formula>-1</formula>
    </cfRule>
  </conditionalFormatting>
  <conditionalFormatting sqref="AN73">
    <cfRule type="cellIs" dxfId="15401" priority="143005" stopIfTrue="1" operator="lessThan">
      <formula>0.5</formula>
    </cfRule>
  </conditionalFormatting>
  <conditionalFormatting sqref="AN73">
    <cfRule type="cellIs" dxfId="15400" priority="143006" stopIfTrue="1" operator="greaterThanOrEqual">
      <formula>0.5</formula>
    </cfRule>
  </conditionalFormatting>
  <conditionalFormatting sqref="AN74">
    <cfRule type="cellIs" dxfId="15399" priority="143007" stopIfTrue="1" operator="equal">
      <formula>-1</formula>
    </cfRule>
  </conditionalFormatting>
  <conditionalFormatting sqref="AN74">
    <cfRule type="cellIs" dxfId="15398" priority="143008" stopIfTrue="1" operator="lessThan">
      <formula>0.5</formula>
    </cfRule>
  </conditionalFormatting>
  <conditionalFormatting sqref="AN74">
    <cfRule type="cellIs" dxfId="15397" priority="143009" stopIfTrue="1" operator="greaterThanOrEqual">
      <formula>0.5</formula>
    </cfRule>
  </conditionalFormatting>
  <conditionalFormatting sqref="AN75">
    <cfRule type="cellIs" dxfId="15396" priority="143010" stopIfTrue="1" operator="equal">
      <formula>-1</formula>
    </cfRule>
  </conditionalFormatting>
  <conditionalFormatting sqref="AN75">
    <cfRule type="cellIs" dxfId="15395" priority="143011" stopIfTrue="1" operator="lessThan">
      <formula>0.5</formula>
    </cfRule>
  </conditionalFormatting>
  <conditionalFormatting sqref="AN75">
    <cfRule type="cellIs" dxfId="15394" priority="143012" stopIfTrue="1" operator="greaterThanOrEqual">
      <formula>0.5</formula>
    </cfRule>
  </conditionalFormatting>
  <conditionalFormatting sqref="AN76">
    <cfRule type="cellIs" dxfId="15393" priority="143013" stopIfTrue="1" operator="equal">
      <formula>-1</formula>
    </cfRule>
  </conditionalFormatting>
  <conditionalFormatting sqref="AN76">
    <cfRule type="cellIs" dxfId="15392" priority="143014" stopIfTrue="1" operator="lessThan">
      <formula>0.5</formula>
    </cfRule>
  </conditionalFormatting>
  <conditionalFormatting sqref="AN76">
    <cfRule type="cellIs" dxfId="15391" priority="143015" stopIfTrue="1" operator="greaterThanOrEqual">
      <formula>0.5</formula>
    </cfRule>
  </conditionalFormatting>
  <conditionalFormatting sqref="AN77">
    <cfRule type="cellIs" dxfId="15390" priority="143016" stopIfTrue="1" operator="equal">
      <formula>-1</formula>
    </cfRule>
  </conditionalFormatting>
  <conditionalFormatting sqref="AN77">
    <cfRule type="cellIs" dxfId="15389" priority="143017" stopIfTrue="1" operator="lessThan">
      <formula>0.5</formula>
    </cfRule>
  </conditionalFormatting>
  <conditionalFormatting sqref="AN77">
    <cfRule type="cellIs" dxfId="15388" priority="143018" stopIfTrue="1" operator="greaterThanOrEqual">
      <formula>0.5</formula>
    </cfRule>
  </conditionalFormatting>
  <conditionalFormatting sqref="AN78">
    <cfRule type="cellIs" dxfId="15387" priority="143019" stopIfTrue="1" operator="equal">
      <formula>-1</formula>
    </cfRule>
  </conditionalFormatting>
  <conditionalFormatting sqref="AN78">
    <cfRule type="cellIs" dxfId="15386" priority="143020" stopIfTrue="1" operator="lessThan">
      <formula>0.5</formula>
    </cfRule>
  </conditionalFormatting>
  <conditionalFormatting sqref="AN78">
    <cfRule type="cellIs" dxfId="15385" priority="143021" stopIfTrue="1" operator="greaterThanOrEqual">
      <formula>0.5</formula>
    </cfRule>
  </conditionalFormatting>
  <conditionalFormatting sqref="AN79">
    <cfRule type="cellIs" dxfId="15384" priority="143022" stopIfTrue="1" operator="equal">
      <formula>-1</formula>
    </cfRule>
  </conditionalFormatting>
  <conditionalFormatting sqref="AN79">
    <cfRule type="cellIs" dxfId="15383" priority="143023" stopIfTrue="1" operator="lessThan">
      <formula>0.5</formula>
    </cfRule>
  </conditionalFormatting>
  <conditionalFormatting sqref="AN79">
    <cfRule type="cellIs" dxfId="15382" priority="143024" stopIfTrue="1" operator="greaterThanOrEqual">
      <formula>0.5</formula>
    </cfRule>
  </conditionalFormatting>
  <conditionalFormatting sqref="AN80">
    <cfRule type="cellIs" dxfId="15381" priority="143025" stopIfTrue="1" operator="equal">
      <formula>-1</formula>
    </cfRule>
  </conditionalFormatting>
  <conditionalFormatting sqref="AN80">
    <cfRule type="cellIs" dxfId="15380" priority="143026" stopIfTrue="1" operator="lessThan">
      <formula>0.5</formula>
    </cfRule>
  </conditionalFormatting>
  <conditionalFormatting sqref="AN80">
    <cfRule type="cellIs" dxfId="15379" priority="143027" stopIfTrue="1" operator="greaterThanOrEqual">
      <formula>0.5</formula>
    </cfRule>
  </conditionalFormatting>
  <conditionalFormatting sqref="AN81">
    <cfRule type="cellIs" dxfId="15378" priority="143028" stopIfTrue="1" operator="equal">
      <formula>-1</formula>
    </cfRule>
  </conditionalFormatting>
  <conditionalFormatting sqref="AN81">
    <cfRule type="cellIs" dxfId="15377" priority="143029" stopIfTrue="1" operator="lessThan">
      <formula>0.5</formula>
    </cfRule>
  </conditionalFormatting>
  <conditionalFormatting sqref="AN81">
    <cfRule type="cellIs" dxfId="15376" priority="143030" stopIfTrue="1" operator="greaterThanOrEqual">
      <formula>0.5</formula>
    </cfRule>
  </conditionalFormatting>
  <conditionalFormatting sqref="AN82">
    <cfRule type="cellIs" dxfId="15375" priority="143031" stopIfTrue="1" operator="equal">
      <formula>-1</formula>
    </cfRule>
  </conditionalFormatting>
  <conditionalFormatting sqref="AN82">
    <cfRule type="cellIs" dxfId="15374" priority="143032" stopIfTrue="1" operator="lessThan">
      <formula>0.5</formula>
    </cfRule>
  </conditionalFormatting>
  <conditionalFormatting sqref="AN82">
    <cfRule type="cellIs" dxfId="15373" priority="143033" stopIfTrue="1" operator="greaterThanOrEqual">
      <formula>0.5</formula>
    </cfRule>
  </conditionalFormatting>
  <conditionalFormatting sqref="AN83">
    <cfRule type="cellIs" dxfId="15372" priority="143034" stopIfTrue="1" operator="equal">
      <formula>-1</formula>
    </cfRule>
  </conditionalFormatting>
  <conditionalFormatting sqref="AN83">
    <cfRule type="cellIs" dxfId="15371" priority="143035" stopIfTrue="1" operator="lessThan">
      <formula>0.5</formula>
    </cfRule>
  </conditionalFormatting>
  <conditionalFormatting sqref="AN83">
    <cfRule type="cellIs" dxfId="15370" priority="143036" stopIfTrue="1" operator="greaterThanOrEqual">
      <formula>0.5</formula>
    </cfRule>
  </conditionalFormatting>
  <conditionalFormatting sqref="AN84">
    <cfRule type="cellIs" dxfId="15369" priority="143037" stopIfTrue="1" operator="equal">
      <formula>-1</formula>
    </cfRule>
  </conditionalFormatting>
  <conditionalFormatting sqref="AN84">
    <cfRule type="cellIs" dxfId="15368" priority="143038" stopIfTrue="1" operator="lessThan">
      <formula>0.5</formula>
    </cfRule>
  </conditionalFormatting>
  <conditionalFormatting sqref="AN84">
    <cfRule type="cellIs" dxfId="15367" priority="143039" stopIfTrue="1" operator="greaterThanOrEqual">
      <formula>0.5</formula>
    </cfRule>
  </conditionalFormatting>
  <conditionalFormatting sqref="AN85">
    <cfRule type="cellIs" dxfId="15366" priority="143040" stopIfTrue="1" operator="equal">
      <formula>-1</formula>
    </cfRule>
  </conditionalFormatting>
  <conditionalFormatting sqref="AN85">
    <cfRule type="cellIs" dxfId="15365" priority="143041" stopIfTrue="1" operator="lessThan">
      <formula>0.5</formula>
    </cfRule>
  </conditionalFormatting>
  <conditionalFormatting sqref="AN85">
    <cfRule type="cellIs" dxfId="15364" priority="143042" stopIfTrue="1" operator="greaterThanOrEqual">
      <formula>0.5</formula>
    </cfRule>
  </conditionalFormatting>
  <conditionalFormatting sqref="AP65">
    <cfRule type="cellIs" dxfId="15363" priority="143043" stopIfTrue="1" operator="equal">
      <formula>-1</formula>
    </cfRule>
  </conditionalFormatting>
  <conditionalFormatting sqref="AP65">
    <cfRule type="cellIs" dxfId="15362" priority="143044" stopIfTrue="1" operator="lessThan">
      <formula>0.5</formula>
    </cfRule>
  </conditionalFormatting>
  <conditionalFormatting sqref="AP65">
    <cfRule type="cellIs" dxfId="15361" priority="143045" stopIfTrue="1" operator="greaterThanOrEqual">
      <formula>0.5</formula>
    </cfRule>
  </conditionalFormatting>
  <conditionalFormatting sqref="AP66">
    <cfRule type="cellIs" dxfId="15360" priority="143046" stopIfTrue="1" operator="equal">
      <formula>-1</formula>
    </cfRule>
  </conditionalFormatting>
  <conditionalFormatting sqref="AP66">
    <cfRule type="cellIs" dxfId="15359" priority="143047" stopIfTrue="1" operator="lessThan">
      <formula>0.5</formula>
    </cfRule>
  </conditionalFormatting>
  <conditionalFormatting sqref="AP66">
    <cfRule type="cellIs" dxfId="15358" priority="143048" stopIfTrue="1" operator="greaterThanOrEqual">
      <formula>0.5</formula>
    </cfRule>
  </conditionalFormatting>
  <conditionalFormatting sqref="AP67">
    <cfRule type="cellIs" dxfId="15357" priority="143049" stopIfTrue="1" operator="equal">
      <formula>-1</formula>
    </cfRule>
  </conditionalFormatting>
  <conditionalFormatting sqref="AP67">
    <cfRule type="cellIs" dxfId="15356" priority="143050" stopIfTrue="1" operator="lessThan">
      <formula>0.5</formula>
    </cfRule>
  </conditionalFormatting>
  <conditionalFormatting sqref="AP67">
    <cfRule type="cellIs" dxfId="15355" priority="143051" stopIfTrue="1" operator="greaterThanOrEqual">
      <formula>0.5</formula>
    </cfRule>
  </conditionalFormatting>
  <conditionalFormatting sqref="AP68">
    <cfRule type="cellIs" dxfId="15354" priority="143052" stopIfTrue="1" operator="equal">
      <formula>-1</formula>
    </cfRule>
  </conditionalFormatting>
  <conditionalFormatting sqref="AP68">
    <cfRule type="cellIs" dxfId="15353" priority="143053" stopIfTrue="1" operator="lessThan">
      <formula>0.5</formula>
    </cfRule>
  </conditionalFormatting>
  <conditionalFormatting sqref="AP68">
    <cfRule type="cellIs" dxfId="15352" priority="143054" stopIfTrue="1" operator="greaterThanOrEqual">
      <formula>0.5</formula>
    </cfRule>
  </conditionalFormatting>
  <conditionalFormatting sqref="AP69">
    <cfRule type="cellIs" dxfId="15351" priority="143055" stopIfTrue="1" operator="equal">
      <formula>-1</formula>
    </cfRule>
  </conditionalFormatting>
  <conditionalFormatting sqref="AP69">
    <cfRule type="cellIs" dxfId="15350" priority="143056" stopIfTrue="1" operator="lessThan">
      <formula>0.5</formula>
    </cfRule>
  </conditionalFormatting>
  <conditionalFormatting sqref="AP69">
    <cfRule type="cellIs" dxfId="15349" priority="143057" stopIfTrue="1" operator="greaterThanOrEqual">
      <formula>0.5</formula>
    </cfRule>
  </conditionalFormatting>
  <conditionalFormatting sqref="AP70">
    <cfRule type="cellIs" dxfId="15348" priority="143058" stopIfTrue="1" operator="equal">
      <formula>-1</formula>
    </cfRule>
  </conditionalFormatting>
  <conditionalFormatting sqref="AP70">
    <cfRule type="cellIs" dxfId="15347" priority="143059" stopIfTrue="1" operator="lessThan">
      <formula>0.5</formula>
    </cfRule>
  </conditionalFormatting>
  <conditionalFormatting sqref="AP70">
    <cfRule type="cellIs" dxfId="15346" priority="143060" stopIfTrue="1" operator="greaterThanOrEqual">
      <formula>0.5</formula>
    </cfRule>
  </conditionalFormatting>
  <conditionalFormatting sqref="AP71">
    <cfRule type="cellIs" dxfId="15345" priority="143061" stopIfTrue="1" operator="equal">
      <formula>-1</formula>
    </cfRule>
  </conditionalFormatting>
  <conditionalFormatting sqref="AP71">
    <cfRule type="cellIs" dxfId="15344" priority="143062" stopIfTrue="1" operator="lessThan">
      <formula>0.5</formula>
    </cfRule>
  </conditionalFormatting>
  <conditionalFormatting sqref="AP71">
    <cfRule type="cellIs" dxfId="15343" priority="143063" stopIfTrue="1" operator="greaterThanOrEqual">
      <formula>0.5</formula>
    </cfRule>
  </conditionalFormatting>
  <conditionalFormatting sqref="AP72">
    <cfRule type="cellIs" dxfId="15342" priority="143064" stopIfTrue="1" operator="equal">
      <formula>-1</formula>
    </cfRule>
  </conditionalFormatting>
  <conditionalFormatting sqref="AP72">
    <cfRule type="cellIs" dxfId="15341" priority="143065" stopIfTrue="1" operator="lessThan">
      <formula>0.5</formula>
    </cfRule>
  </conditionalFormatting>
  <conditionalFormatting sqref="AP72">
    <cfRule type="cellIs" dxfId="15340" priority="143066" stopIfTrue="1" operator="greaterThanOrEqual">
      <formula>0.5</formula>
    </cfRule>
  </conditionalFormatting>
  <conditionalFormatting sqref="AP73">
    <cfRule type="cellIs" dxfId="15339" priority="143067" stopIfTrue="1" operator="equal">
      <formula>-1</formula>
    </cfRule>
  </conditionalFormatting>
  <conditionalFormatting sqref="AP73">
    <cfRule type="cellIs" dxfId="15338" priority="143068" stopIfTrue="1" operator="lessThan">
      <formula>0.5</formula>
    </cfRule>
  </conditionalFormatting>
  <conditionalFormatting sqref="AP73">
    <cfRule type="cellIs" dxfId="15337" priority="143069" stopIfTrue="1" operator="greaterThanOrEqual">
      <formula>0.5</formula>
    </cfRule>
  </conditionalFormatting>
  <conditionalFormatting sqref="AP74">
    <cfRule type="cellIs" dxfId="15336" priority="143070" stopIfTrue="1" operator="equal">
      <formula>-1</formula>
    </cfRule>
  </conditionalFormatting>
  <conditionalFormatting sqref="AP74">
    <cfRule type="cellIs" dxfId="15335" priority="143071" stopIfTrue="1" operator="lessThan">
      <formula>0.5</formula>
    </cfRule>
  </conditionalFormatting>
  <conditionalFormatting sqref="AP74">
    <cfRule type="cellIs" dxfId="15334" priority="143072" stopIfTrue="1" operator="greaterThanOrEqual">
      <formula>0.5</formula>
    </cfRule>
  </conditionalFormatting>
  <conditionalFormatting sqref="AP75">
    <cfRule type="cellIs" dxfId="15333" priority="143073" stopIfTrue="1" operator="equal">
      <formula>-1</formula>
    </cfRule>
  </conditionalFormatting>
  <conditionalFormatting sqref="AP75">
    <cfRule type="cellIs" dxfId="15332" priority="143074" stopIfTrue="1" operator="lessThan">
      <formula>0.5</formula>
    </cfRule>
  </conditionalFormatting>
  <conditionalFormatting sqref="AP75">
    <cfRule type="cellIs" dxfId="15331" priority="143075" stopIfTrue="1" operator="greaterThanOrEqual">
      <formula>0.5</formula>
    </cfRule>
  </conditionalFormatting>
  <conditionalFormatting sqref="AP76">
    <cfRule type="cellIs" dxfId="15330" priority="143076" stopIfTrue="1" operator="equal">
      <formula>-1</formula>
    </cfRule>
  </conditionalFormatting>
  <conditionalFormatting sqref="AP76">
    <cfRule type="cellIs" dxfId="15329" priority="143077" stopIfTrue="1" operator="lessThan">
      <formula>0.5</formula>
    </cfRule>
  </conditionalFormatting>
  <conditionalFormatting sqref="AP76">
    <cfRule type="cellIs" dxfId="15328" priority="143078" stopIfTrue="1" operator="greaterThanOrEqual">
      <formula>0.5</formula>
    </cfRule>
  </conditionalFormatting>
  <conditionalFormatting sqref="AP77">
    <cfRule type="cellIs" dxfId="15327" priority="143079" stopIfTrue="1" operator="equal">
      <formula>-1</formula>
    </cfRule>
  </conditionalFormatting>
  <conditionalFormatting sqref="AP77">
    <cfRule type="cellIs" dxfId="15326" priority="143080" stopIfTrue="1" operator="lessThan">
      <formula>0.5</formula>
    </cfRule>
  </conditionalFormatting>
  <conditionalFormatting sqref="AP77">
    <cfRule type="cellIs" dxfId="15325" priority="143081" stopIfTrue="1" operator="greaterThanOrEqual">
      <formula>0.5</formula>
    </cfRule>
  </conditionalFormatting>
  <conditionalFormatting sqref="AP78">
    <cfRule type="cellIs" dxfId="15324" priority="143082" stopIfTrue="1" operator="equal">
      <formula>-1</formula>
    </cfRule>
  </conditionalFormatting>
  <conditionalFormatting sqref="AP78">
    <cfRule type="cellIs" dxfId="15323" priority="143083" stopIfTrue="1" operator="lessThan">
      <formula>0.5</formula>
    </cfRule>
  </conditionalFormatting>
  <conditionalFormatting sqref="AP78">
    <cfRule type="cellIs" dxfId="15322" priority="143084" stopIfTrue="1" operator="greaterThanOrEqual">
      <formula>0.5</formula>
    </cfRule>
  </conditionalFormatting>
  <conditionalFormatting sqref="AP79">
    <cfRule type="cellIs" dxfId="15321" priority="143085" stopIfTrue="1" operator="equal">
      <formula>-1</formula>
    </cfRule>
  </conditionalFormatting>
  <conditionalFormatting sqref="AP79">
    <cfRule type="cellIs" dxfId="15320" priority="143086" stopIfTrue="1" operator="lessThan">
      <formula>0.5</formula>
    </cfRule>
  </conditionalFormatting>
  <conditionalFormatting sqref="AP79">
    <cfRule type="cellIs" dxfId="15319" priority="143087" stopIfTrue="1" operator="greaterThanOrEqual">
      <formula>0.5</formula>
    </cfRule>
  </conditionalFormatting>
  <conditionalFormatting sqref="AP80">
    <cfRule type="cellIs" dxfId="15318" priority="143088" stopIfTrue="1" operator="equal">
      <formula>-1</formula>
    </cfRule>
  </conditionalFormatting>
  <conditionalFormatting sqref="AP80">
    <cfRule type="cellIs" dxfId="15317" priority="143089" stopIfTrue="1" operator="lessThan">
      <formula>0.5</formula>
    </cfRule>
  </conditionalFormatting>
  <conditionalFormatting sqref="AP80">
    <cfRule type="cellIs" dxfId="15316" priority="143090" stopIfTrue="1" operator="greaterThanOrEqual">
      <formula>0.5</formula>
    </cfRule>
  </conditionalFormatting>
  <conditionalFormatting sqref="AP81">
    <cfRule type="cellIs" dxfId="15315" priority="143091" stopIfTrue="1" operator="equal">
      <formula>-1</formula>
    </cfRule>
  </conditionalFormatting>
  <conditionalFormatting sqref="AP81">
    <cfRule type="cellIs" dxfId="15314" priority="143092" stopIfTrue="1" operator="lessThan">
      <formula>0.5</formula>
    </cfRule>
  </conditionalFormatting>
  <conditionalFormatting sqref="AP81">
    <cfRule type="cellIs" dxfId="15313" priority="143093" stopIfTrue="1" operator="greaterThanOrEqual">
      <formula>0.5</formula>
    </cfRule>
  </conditionalFormatting>
  <conditionalFormatting sqref="AP82">
    <cfRule type="cellIs" dxfId="15312" priority="143094" stopIfTrue="1" operator="equal">
      <formula>-1</formula>
    </cfRule>
  </conditionalFormatting>
  <conditionalFormatting sqref="AP82">
    <cfRule type="cellIs" dxfId="15311" priority="143095" stopIfTrue="1" operator="lessThan">
      <formula>0.5</formula>
    </cfRule>
  </conditionalFormatting>
  <conditionalFormatting sqref="AP82">
    <cfRule type="cellIs" dxfId="15310" priority="143096" stopIfTrue="1" operator="greaterThanOrEqual">
      <formula>0.5</formula>
    </cfRule>
  </conditionalFormatting>
  <conditionalFormatting sqref="AP83">
    <cfRule type="cellIs" dxfId="15309" priority="143097" stopIfTrue="1" operator="equal">
      <formula>-1</formula>
    </cfRule>
  </conditionalFormatting>
  <conditionalFormatting sqref="AP83">
    <cfRule type="cellIs" dxfId="15308" priority="143098" stopIfTrue="1" operator="lessThan">
      <formula>0.5</formula>
    </cfRule>
  </conditionalFormatting>
  <conditionalFormatting sqref="AP83">
    <cfRule type="cellIs" dxfId="15307" priority="143099" stopIfTrue="1" operator="greaterThanOrEqual">
      <formula>0.5</formula>
    </cfRule>
  </conditionalFormatting>
  <conditionalFormatting sqref="AP84">
    <cfRule type="cellIs" dxfId="15306" priority="143100" stopIfTrue="1" operator="equal">
      <formula>-1</formula>
    </cfRule>
  </conditionalFormatting>
  <conditionalFormatting sqref="AP84">
    <cfRule type="cellIs" dxfId="15305" priority="143101" stopIfTrue="1" operator="lessThan">
      <formula>0.5</formula>
    </cfRule>
  </conditionalFormatting>
  <conditionalFormatting sqref="AP84">
    <cfRule type="cellIs" dxfId="15304" priority="143102" stopIfTrue="1" operator="greaterThanOrEqual">
      <formula>0.5</formula>
    </cfRule>
  </conditionalFormatting>
  <conditionalFormatting sqref="AP85">
    <cfRule type="cellIs" dxfId="15303" priority="143103" stopIfTrue="1" operator="equal">
      <formula>-1</formula>
    </cfRule>
  </conditionalFormatting>
  <conditionalFormatting sqref="AP85">
    <cfRule type="cellIs" dxfId="15302" priority="143104" stopIfTrue="1" operator="lessThan">
      <formula>0.5</formula>
    </cfRule>
  </conditionalFormatting>
  <conditionalFormatting sqref="AP85">
    <cfRule type="cellIs" dxfId="15301" priority="143105" stopIfTrue="1" operator="greaterThanOrEqual">
      <formula>0.5</formula>
    </cfRule>
  </conditionalFormatting>
  <conditionalFormatting sqref="AR65">
    <cfRule type="cellIs" dxfId="15300" priority="143106" stopIfTrue="1" operator="equal">
      <formula>-1</formula>
    </cfRule>
  </conditionalFormatting>
  <conditionalFormatting sqref="AR65">
    <cfRule type="cellIs" dxfId="15299" priority="143107" stopIfTrue="1" operator="lessThan">
      <formula>0.5</formula>
    </cfRule>
  </conditionalFormatting>
  <conditionalFormatting sqref="AR65">
    <cfRule type="cellIs" dxfId="15298" priority="143108" stopIfTrue="1" operator="greaterThanOrEqual">
      <formula>0.5</formula>
    </cfRule>
  </conditionalFormatting>
  <conditionalFormatting sqref="AR66">
    <cfRule type="cellIs" dxfId="15297" priority="143109" stopIfTrue="1" operator="equal">
      <formula>-1</formula>
    </cfRule>
  </conditionalFormatting>
  <conditionalFormatting sqref="AR66">
    <cfRule type="cellIs" dxfId="15296" priority="143110" stopIfTrue="1" operator="lessThan">
      <formula>0.5</formula>
    </cfRule>
  </conditionalFormatting>
  <conditionalFormatting sqref="AR66">
    <cfRule type="cellIs" dxfId="15295" priority="143111" stopIfTrue="1" operator="greaterThanOrEqual">
      <formula>0.5</formula>
    </cfRule>
  </conditionalFormatting>
  <conditionalFormatting sqref="AR67">
    <cfRule type="cellIs" dxfId="15294" priority="143112" stopIfTrue="1" operator="equal">
      <formula>-1</formula>
    </cfRule>
  </conditionalFormatting>
  <conditionalFormatting sqref="AR67">
    <cfRule type="cellIs" dxfId="15293" priority="143113" stopIfTrue="1" operator="lessThan">
      <formula>0.5</formula>
    </cfRule>
  </conditionalFormatting>
  <conditionalFormatting sqref="AR67">
    <cfRule type="cellIs" dxfId="15292" priority="143114" stopIfTrue="1" operator="greaterThanOrEqual">
      <formula>0.5</formula>
    </cfRule>
  </conditionalFormatting>
  <conditionalFormatting sqref="AR68">
    <cfRule type="cellIs" dxfId="15291" priority="143115" stopIfTrue="1" operator="equal">
      <formula>-1</formula>
    </cfRule>
  </conditionalFormatting>
  <conditionalFormatting sqref="AR68">
    <cfRule type="cellIs" dxfId="15290" priority="143116" stopIfTrue="1" operator="lessThan">
      <formula>0.5</formula>
    </cfRule>
  </conditionalFormatting>
  <conditionalFormatting sqref="AR68">
    <cfRule type="cellIs" dxfId="15289" priority="143117" stopIfTrue="1" operator="greaterThanOrEqual">
      <formula>0.5</formula>
    </cfRule>
  </conditionalFormatting>
  <conditionalFormatting sqref="AR69">
    <cfRule type="cellIs" dxfId="15288" priority="143118" stopIfTrue="1" operator="equal">
      <formula>-1</formula>
    </cfRule>
  </conditionalFormatting>
  <conditionalFormatting sqref="AR69">
    <cfRule type="cellIs" dxfId="15287" priority="143119" stopIfTrue="1" operator="lessThan">
      <formula>0.5</formula>
    </cfRule>
  </conditionalFormatting>
  <conditionalFormatting sqref="AR69">
    <cfRule type="cellIs" dxfId="15286" priority="143120" stopIfTrue="1" operator="greaterThanOrEqual">
      <formula>0.5</formula>
    </cfRule>
  </conditionalFormatting>
  <conditionalFormatting sqref="AR70">
    <cfRule type="cellIs" dxfId="15285" priority="143121" stopIfTrue="1" operator="equal">
      <formula>-1</formula>
    </cfRule>
  </conditionalFormatting>
  <conditionalFormatting sqref="AR70">
    <cfRule type="cellIs" dxfId="15284" priority="143122" stopIfTrue="1" operator="lessThan">
      <formula>0.5</formula>
    </cfRule>
  </conditionalFormatting>
  <conditionalFormatting sqref="AR70">
    <cfRule type="cellIs" dxfId="15283" priority="143123" stopIfTrue="1" operator="greaterThanOrEqual">
      <formula>0.5</formula>
    </cfRule>
  </conditionalFormatting>
  <conditionalFormatting sqref="AR71">
    <cfRule type="cellIs" dxfId="15282" priority="143124" stopIfTrue="1" operator="equal">
      <formula>-1</formula>
    </cfRule>
  </conditionalFormatting>
  <conditionalFormatting sqref="AR71">
    <cfRule type="cellIs" dxfId="15281" priority="143125" stopIfTrue="1" operator="lessThan">
      <formula>0.5</formula>
    </cfRule>
  </conditionalFormatting>
  <conditionalFormatting sqref="AR71">
    <cfRule type="cellIs" dxfId="15280" priority="143126" stopIfTrue="1" operator="greaterThanOrEqual">
      <formula>0.5</formula>
    </cfRule>
  </conditionalFormatting>
  <conditionalFormatting sqref="AR72">
    <cfRule type="cellIs" dxfId="15279" priority="143127" stopIfTrue="1" operator="equal">
      <formula>-1</formula>
    </cfRule>
  </conditionalFormatting>
  <conditionalFormatting sqref="AR72">
    <cfRule type="cellIs" dxfId="15278" priority="143128" stopIfTrue="1" operator="lessThan">
      <formula>0.5</formula>
    </cfRule>
  </conditionalFormatting>
  <conditionalFormatting sqref="AR72">
    <cfRule type="cellIs" dxfId="15277" priority="143129" stopIfTrue="1" operator="greaterThanOrEqual">
      <formula>0.5</formula>
    </cfRule>
  </conditionalFormatting>
  <conditionalFormatting sqref="AR73">
    <cfRule type="cellIs" dxfId="15276" priority="143130" stopIfTrue="1" operator="equal">
      <formula>-1</formula>
    </cfRule>
  </conditionalFormatting>
  <conditionalFormatting sqref="AR73">
    <cfRule type="cellIs" dxfId="15275" priority="143131" stopIfTrue="1" operator="lessThan">
      <formula>0.5</formula>
    </cfRule>
  </conditionalFormatting>
  <conditionalFormatting sqref="AR73">
    <cfRule type="cellIs" dxfId="15274" priority="143132" stopIfTrue="1" operator="greaterThanOrEqual">
      <formula>0.5</formula>
    </cfRule>
  </conditionalFormatting>
  <conditionalFormatting sqref="AR74">
    <cfRule type="cellIs" dxfId="15273" priority="143133" stopIfTrue="1" operator="equal">
      <formula>-1</formula>
    </cfRule>
  </conditionalFormatting>
  <conditionalFormatting sqref="AR74">
    <cfRule type="cellIs" dxfId="15272" priority="143134" stopIfTrue="1" operator="lessThan">
      <formula>0.5</formula>
    </cfRule>
  </conditionalFormatting>
  <conditionalFormatting sqref="AR74">
    <cfRule type="cellIs" dxfId="15271" priority="143135" stopIfTrue="1" operator="greaterThanOrEqual">
      <formula>0.5</formula>
    </cfRule>
  </conditionalFormatting>
  <conditionalFormatting sqref="AR75">
    <cfRule type="cellIs" dxfId="15270" priority="143136" stopIfTrue="1" operator="equal">
      <formula>-1</formula>
    </cfRule>
  </conditionalFormatting>
  <conditionalFormatting sqref="AR75">
    <cfRule type="cellIs" dxfId="15269" priority="143137" stopIfTrue="1" operator="lessThan">
      <formula>0.5</formula>
    </cfRule>
  </conditionalFormatting>
  <conditionalFormatting sqref="AR75">
    <cfRule type="cellIs" dxfId="15268" priority="143138" stopIfTrue="1" operator="greaterThanOrEqual">
      <formula>0.5</formula>
    </cfRule>
  </conditionalFormatting>
  <conditionalFormatting sqref="AR76">
    <cfRule type="cellIs" dxfId="15267" priority="143139" stopIfTrue="1" operator="equal">
      <formula>-1</formula>
    </cfRule>
  </conditionalFormatting>
  <conditionalFormatting sqref="AR76">
    <cfRule type="cellIs" dxfId="15266" priority="143140" stopIfTrue="1" operator="lessThan">
      <formula>0.5</formula>
    </cfRule>
  </conditionalFormatting>
  <conditionalFormatting sqref="AR76">
    <cfRule type="cellIs" dxfId="15265" priority="143141" stopIfTrue="1" operator="greaterThanOrEqual">
      <formula>0.5</formula>
    </cfRule>
  </conditionalFormatting>
  <conditionalFormatting sqref="AR77">
    <cfRule type="cellIs" dxfId="15264" priority="143142" stopIfTrue="1" operator="equal">
      <formula>-1</formula>
    </cfRule>
  </conditionalFormatting>
  <conditionalFormatting sqref="AR77">
    <cfRule type="cellIs" dxfId="15263" priority="143143" stopIfTrue="1" operator="lessThan">
      <formula>0.5</formula>
    </cfRule>
  </conditionalFormatting>
  <conditionalFormatting sqref="AR77">
    <cfRule type="cellIs" dxfId="15262" priority="143144" stopIfTrue="1" operator="greaterThanOrEqual">
      <formula>0.5</formula>
    </cfRule>
  </conditionalFormatting>
  <conditionalFormatting sqref="AR78">
    <cfRule type="cellIs" dxfId="15261" priority="143145" stopIfTrue="1" operator="equal">
      <formula>-1</formula>
    </cfRule>
  </conditionalFormatting>
  <conditionalFormatting sqref="AR78">
    <cfRule type="cellIs" dxfId="15260" priority="143146" stopIfTrue="1" operator="lessThan">
      <formula>0.5</formula>
    </cfRule>
  </conditionalFormatting>
  <conditionalFormatting sqref="AR78">
    <cfRule type="cellIs" dxfId="15259" priority="143147" stopIfTrue="1" operator="greaterThanOrEqual">
      <formula>0.5</formula>
    </cfRule>
  </conditionalFormatting>
  <conditionalFormatting sqref="AR79">
    <cfRule type="cellIs" dxfId="15258" priority="143148" stopIfTrue="1" operator="equal">
      <formula>-1</formula>
    </cfRule>
  </conditionalFormatting>
  <conditionalFormatting sqref="AR79">
    <cfRule type="cellIs" dxfId="15257" priority="143149" stopIfTrue="1" operator="lessThan">
      <formula>0.5</formula>
    </cfRule>
  </conditionalFormatting>
  <conditionalFormatting sqref="AR79">
    <cfRule type="cellIs" dxfId="15256" priority="143150" stopIfTrue="1" operator="greaterThanOrEqual">
      <formula>0.5</formula>
    </cfRule>
  </conditionalFormatting>
  <conditionalFormatting sqref="AR80">
    <cfRule type="cellIs" dxfId="15255" priority="143151" stopIfTrue="1" operator="equal">
      <formula>-1</formula>
    </cfRule>
  </conditionalFormatting>
  <conditionalFormatting sqref="AR80">
    <cfRule type="cellIs" dxfId="15254" priority="143152" stopIfTrue="1" operator="lessThan">
      <formula>0.5</formula>
    </cfRule>
  </conditionalFormatting>
  <conditionalFormatting sqref="AR80">
    <cfRule type="cellIs" dxfId="15253" priority="143153" stopIfTrue="1" operator="greaterThanOrEqual">
      <formula>0.5</formula>
    </cfRule>
  </conditionalFormatting>
  <conditionalFormatting sqref="AR81">
    <cfRule type="cellIs" dxfId="15252" priority="143154" stopIfTrue="1" operator="equal">
      <formula>-1</formula>
    </cfRule>
  </conditionalFormatting>
  <conditionalFormatting sqref="AR81">
    <cfRule type="cellIs" dxfId="15251" priority="143155" stopIfTrue="1" operator="lessThan">
      <formula>0.5</formula>
    </cfRule>
  </conditionalFormatting>
  <conditionalFormatting sqref="AR81">
    <cfRule type="cellIs" dxfId="15250" priority="143156" stopIfTrue="1" operator="greaterThanOrEqual">
      <formula>0.5</formula>
    </cfRule>
  </conditionalFormatting>
  <conditionalFormatting sqref="AR82">
    <cfRule type="cellIs" dxfId="15249" priority="143157" stopIfTrue="1" operator="equal">
      <formula>-1</formula>
    </cfRule>
  </conditionalFormatting>
  <conditionalFormatting sqref="AR82">
    <cfRule type="cellIs" dxfId="15248" priority="143158" stopIfTrue="1" operator="lessThan">
      <formula>0.5</formula>
    </cfRule>
  </conditionalFormatting>
  <conditionalFormatting sqref="AR82">
    <cfRule type="cellIs" dxfId="15247" priority="143159" stopIfTrue="1" operator="greaterThanOrEqual">
      <formula>0.5</formula>
    </cfRule>
  </conditionalFormatting>
  <conditionalFormatting sqref="AR83">
    <cfRule type="cellIs" dxfId="15246" priority="143160" stopIfTrue="1" operator="equal">
      <formula>-1</formula>
    </cfRule>
  </conditionalFormatting>
  <conditionalFormatting sqref="AR83">
    <cfRule type="cellIs" dxfId="15245" priority="143161" stopIfTrue="1" operator="lessThan">
      <formula>0.5</formula>
    </cfRule>
  </conditionalFormatting>
  <conditionalFormatting sqref="AR83">
    <cfRule type="cellIs" dxfId="15244" priority="143162" stopIfTrue="1" operator="greaterThanOrEqual">
      <formula>0.5</formula>
    </cfRule>
  </conditionalFormatting>
  <conditionalFormatting sqref="AR84">
    <cfRule type="cellIs" dxfId="15243" priority="143163" stopIfTrue="1" operator="equal">
      <formula>-1</formula>
    </cfRule>
  </conditionalFormatting>
  <conditionalFormatting sqref="AR84">
    <cfRule type="cellIs" dxfId="15242" priority="143164" stopIfTrue="1" operator="lessThan">
      <formula>0.5</formula>
    </cfRule>
  </conditionalFormatting>
  <conditionalFormatting sqref="AR84">
    <cfRule type="cellIs" dxfId="15241" priority="143165" stopIfTrue="1" operator="greaterThanOrEqual">
      <formula>0.5</formula>
    </cfRule>
  </conditionalFormatting>
  <conditionalFormatting sqref="AR85">
    <cfRule type="cellIs" dxfId="15240" priority="143166" stopIfTrue="1" operator="equal">
      <formula>-1</formula>
    </cfRule>
  </conditionalFormatting>
  <conditionalFormatting sqref="AR85">
    <cfRule type="cellIs" dxfId="15239" priority="143167" stopIfTrue="1" operator="lessThan">
      <formula>0.5</formula>
    </cfRule>
  </conditionalFormatting>
  <conditionalFormatting sqref="AR85">
    <cfRule type="cellIs" dxfId="15238" priority="143168" stopIfTrue="1" operator="greaterThanOrEqual">
      <formula>0.5</formula>
    </cfRule>
  </conditionalFormatting>
  <conditionalFormatting sqref="AT65">
    <cfRule type="cellIs" dxfId="15237" priority="143169" stopIfTrue="1" operator="equal">
      <formula>-1</formula>
    </cfRule>
  </conditionalFormatting>
  <conditionalFormatting sqref="AT65">
    <cfRule type="cellIs" dxfId="15236" priority="143170" stopIfTrue="1" operator="lessThan">
      <formula>0.5</formula>
    </cfRule>
  </conditionalFormatting>
  <conditionalFormatting sqref="AT65">
    <cfRule type="cellIs" dxfId="15235" priority="143171" stopIfTrue="1" operator="greaterThanOrEqual">
      <formula>0.5</formula>
    </cfRule>
  </conditionalFormatting>
  <conditionalFormatting sqref="AT66">
    <cfRule type="cellIs" dxfId="15234" priority="143172" stopIfTrue="1" operator="equal">
      <formula>-1</formula>
    </cfRule>
  </conditionalFormatting>
  <conditionalFormatting sqref="AT66">
    <cfRule type="cellIs" dxfId="15233" priority="143173" stopIfTrue="1" operator="lessThan">
      <formula>0.5</formula>
    </cfRule>
  </conditionalFormatting>
  <conditionalFormatting sqref="AT66">
    <cfRule type="cellIs" dxfId="15232" priority="143174" stopIfTrue="1" operator="greaterThanOrEqual">
      <formula>0.5</formula>
    </cfRule>
  </conditionalFormatting>
  <conditionalFormatting sqref="AT67">
    <cfRule type="cellIs" dxfId="15231" priority="143175" stopIfTrue="1" operator="equal">
      <formula>-1</formula>
    </cfRule>
  </conditionalFormatting>
  <conditionalFormatting sqref="AT67">
    <cfRule type="cellIs" dxfId="15230" priority="143176" stopIfTrue="1" operator="lessThan">
      <formula>0.5</formula>
    </cfRule>
  </conditionalFormatting>
  <conditionalFormatting sqref="AT67">
    <cfRule type="cellIs" dxfId="15229" priority="143177" stopIfTrue="1" operator="greaterThanOrEqual">
      <formula>0.5</formula>
    </cfRule>
  </conditionalFormatting>
  <conditionalFormatting sqref="AT68">
    <cfRule type="cellIs" dxfId="15228" priority="143178" stopIfTrue="1" operator="equal">
      <formula>-1</formula>
    </cfRule>
  </conditionalFormatting>
  <conditionalFormatting sqref="AT68">
    <cfRule type="cellIs" dxfId="15227" priority="143179" stopIfTrue="1" operator="lessThan">
      <formula>0.5</formula>
    </cfRule>
  </conditionalFormatting>
  <conditionalFormatting sqref="AT68">
    <cfRule type="cellIs" dxfId="15226" priority="143180" stopIfTrue="1" operator="greaterThanOrEqual">
      <formula>0.5</formula>
    </cfRule>
  </conditionalFormatting>
  <conditionalFormatting sqref="AT69">
    <cfRule type="cellIs" dxfId="15225" priority="143181" stopIfTrue="1" operator="equal">
      <formula>-1</formula>
    </cfRule>
  </conditionalFormatting>
  <conditionalFormatting sqref="AT69">
    <cfRule type="cellIs" dxfId="15224" priority="143182" stopIfTrue="1" operator="lessThan">
      <formula>0.5</formula>
    </cfRule>
  </conditionalFormatting>
  <conditionalFormatting sqref="AT69">
    <cfRule type="cellIs" dxfId="15223" priority="143183" stopIfTrue="1" operator="greaterThanOrEqual">
      <formula>0.5</formula>
    </cfRule>
  </conditionalFormatting>
  <conditionalFormatting sqref="AT70">
    <cfRule type="cellIs" dxfId="15222" priority="143184" stopIfTrue="1" operator="equal">
      <formula>-1</formula>
    </cfRule>
  </conditionalFormatting>
  <conditionalFormatting sqref="AT70">
    <cfRule type="cellIs" dxfId="15221" priority="143185" stopIfTrue="1" operator="lessThan">
      <formula>0.5</formula>
    </cfRule>
  </conditionalFormatting>
  <conditionalFormatting sqref="AT70">
    <cfRule type="cellIs" dxfId="15220" priority="143186" stopIfTrue="1" operator="greaterThanOrEqual">
      <formula>0.5</formula>
    </cfRule>
  </conditionalFormatting>
  <conditionalFormatting sqref="AT71">
    <cfRule type="cellIs" dxfId="15219" priority="143187" stopIfTrue="1" operator="equal">
      <formula>-1</formula>
    </cfRule>
  </conditionalFormatting>
  <conditionalFormatting sqref="AT71">
    <cfRule type="cellIs" dxfId="15218" priority="143188" stopIfTrue="1" operator="lessThan">
      <formula>0.5</formula>
    </cfRule>
  </conditionalFormatting>
  <conditionalFormatting sqref="AT71">
    <cfRule type="cellIs" dxfId="15217" priority="143189" stopIfTrue="1" operator="greaterThanOrEqual">
      <formula>0.5</formula>
    </cfRule>
  </conditionalFormatting>
  <conditionalFormatting sqref="AT72">
    <cfRule type="cellIs" dxfId="15216" priority="143190" stopIfTrue="1" operator="equal">
      <formula>-1</formula>
    </cfRule>
  </conditionalFormatting>
  <conditionalFormatting sqref="AT72">
    <cfRule type="cellIs" dxfId="15215" priority="143191" stopIfTrue="1" operator="lessThan">
      <formula>0.5</formula>
    </cfRule>
  </conditionalFormatting>
  <conditionalFormatting sqref="AT72">
    <cfRule type="cellIs" dxfId="15214" priority="143192" stopIfTrue="1" operator="greaterThanOrEqual">
      <formula>0.5</formula>
    </cfRule>
  </conditionalFormatting>
  <conditionalFormatting sqref="AT73">
    <cfRule type="cellIs" dxfId="15213" priority="143193" stopIfTrue="1" operator="equal">
      <formula>-1</formula>
    </cfRule>
  </conditionalFormatting>
  <conditionalFormatting sqref="AT73">
    <cfRule type="cellIs" dxfId="15212" priority="143194" stopIfTrue="1" operator="lessThan">
      <formula>0.5</formula>
    </cfRule>
  </conditionalFormatting>
  <conditionalFormatting sqref="AT73">
    <cfRule type="cellIs" dxfId="15211" priority="143195" stopIfTrue="1" operator="greaterThanOrEqual">
      <formula>0.5</formula>
    </cfRule>
  </conditionalFormatting>
  <conditionalFormatting sqref="AT74">
    <cfRule type="cellIs" dxfId="15210" priority="143196" stopIfTrue="1" operator="equal">
      <formula>-1</formula>
    </cfRule>
  </conditionalFormatting>
  <conditionalFormatting sqref="AT74">
    <cfRule type="cellIs" dxfId="15209" priority="143197" stopIfTrue="1" operator="lessThan">
      <formula>0.5</formula>
    </cfRule>
  </conditionalFormatting>
  <conditionalFormatting sqref="AT74">
    <cfRule type="cellIs" dxfId="15208" priority="143198" stopIfTrue="1" operator="greaterThanOrEqual">
      <formula>0.5</formula>
    </cfRule>
  </conditionalFormatting>
  <conditionalFormatting sqref="AT75">
    <cfRule type="cellIs" dxfId="15207" priority="143199" stopIfTrue="1" operator="equal">
      <formula>-1</formula>
    </cfRule>
  </conditionalFormatting>
  <conditionalFormatting sqref="AT75">
    <cfRule type="cellIs" dxfId="15206" priority="143200" stopIfTrue="1" operator="lessThan">
      <formula>0.5</formula>
    </cfRule>
  </conditionalFormatting>
  <conditionalFormatting sqref="AT75">
    <cfRule type="cellIs" dxfId="15205" priority="143201" stopIfTrue="1" operator="greaterThanOrEqual">
      <formula>0.5</formula>
    </cfRule>
  </conditionalFormatting>
  <conditionalFormatting sqref="AT76">
    <cfRule type="cellIs" dxfId="15204" priority="143202" stopIfTrue="1" operator="equal">
      <formula>-1</formula>
    </cfRule>
  </conditionalFormatting>
  <conditionalFormatting sqref="AT76">
    <cfRule type="cellIs" dxfId="15203" priority="143203" stopIfTrue="1" operator="lessThan">
      <formula>0.5</formula>
    </cfRule>
  </conditionalFormatting>
  <conditionalFormatting sqref="AT76">
    <cfRule type="cellIs" dxfId="15202" priority="143204" stopIfTrue="1" operator="greaterThanOrEqual">
      <formula>0.5</formula>
    </cfRule>
  </conditionalFormatting>
  <conditionalFormatting sqref="AT77">
    <cfRule type="cellIs" dxfId="15201" priority="143205" stopIfTrue="1" operator="equal">
      <formula>-1</formula>
    </cfRule>
  </conditionalFormatting>
  <conditionalFormatting sqref="AT77">
    <cfRule type="cellIs" dxfId="15200" priority="143206" stopIfTrue="1" operator="lessThan">
      <formula>0.5</formula>
    </cfRule>
  </conditionalFormatting>
  <conditionalFormatting sqref="AT77">
    <cfRule type="cellIs" dxfId="15199" priority="143207" stopIfTrue="1" operator="greaterThanOrEqual">
      <formula>0.5</formula>
    </cfRule>
  </conditionalFormatting>
  <conditionalFormatting sqref="AT78">
    <cfRule type="cellIs" dxfId="15198" priority="143208" stopIfTrue="1" operator="equal">
      <formula>-1</formula>
    </cfRule>
  </conditionalFormatting>
  <conditionalFormatting sqref="AT78">
    <cfRule type="cellIs" dxfId="15197" priority="143209" stopIfTrue="1" operator="lessThan">
      <formula>0.5</formula>
    </cfRule>
  </conditionalFormatting>
  <conditionalFormatting sqref="AT78">
    <cfRule type="cellIs" dxfId="15196" priority="143210" stopIfTrue="1" operator="greaterThanOrEqual">
      <formula>0.5</formula>
    </cfRule>
  </conditionalFormatting>
  <conditionalFormatting sqref="AT79">
    <cfRule type="cellIs" dxfId="15195" priority="143211" stopIfTrue="1" operator="equal">
      <formula>-1</formula>
    </cfRule>
  </conditionalFormatting>
  <conditionalFormatting sqref="AT79">
    <cfRule type="cellIs" dxfId="15194" priority="143212" stopIfTrue="1" operator="lessThan">
      <formula>0.5</formula>
    </cfRule>
  </conditionalFormatting>
  <conditionalFormatting sqref="AT79">
    <cfRule type="cellIs" dxfId="15193" priority="143213" stopIfTrue="1" operator="greaterThanOrEqual">
      <formula>0.5</formula>
    </cfRule>
  </conditionalFormatting>
  <conditionalFormatting sqref="AT80">
    <cfRule type="cellIs" dxfId="15192" priority="143214" stopIfTrue="1" operator="equal">
      <formula>-1</formula>
    </cfRule>
  </conditionalFormatting>
  <conditionalFormatting sqref="AT80">
    <cfRule type="cellIs" dxfId="15191" priority="143215" stopIfTrue="1" operator="lessThan">
      <formula>0.5</formula>
    </cfRule>
  </conditionalFormatting>
  <conditionalFormatting sqref="AT80">
    <cfRule type="cellIs" dxfId="15190" priority="143216" stopIfTrue="1" operator="greaterThanOrEqual">
      <formula>0.5</formula>
    </cfRule>
  </conditionalFormatting>
  <conditionalFormatting sqref="AT81">
    <cfRule type="cellIs" dxfId="15189" priority="143217" stopIfTrue="1" operator="equal">
      <formula>-1</formula>
    </cfRule>
  </conditionalFormatting>
  <conditionalFormatting sqref="AT81">
    <cfRule type="cellIs" dxfId="15188" priority="143218" stopIfTrue="1" operator="lessThan">
      <formula>0.5</formula>
    </cfRule>
  </conditionalFormatting>
  <conditionalFormatting sqref="AT81">
    <cfRule type="cellIs" dxfId="15187" priority="143219" stopIfTrue="1" operator="greaterThanOrEqual">
      <formula>0.5</formula>
    </cfRule>
  </conditionalFormatting>
  <conditionalFormatting sqref="AT82">
    <cfRule type="cellIs" dxfId="15186" priority="143220" stopIfTrue="1" operator="equal">
      <formula>-1</formula>
    </cfRule>
  </conditionalFormatting>
  <conditionalFormatting sqref="AT82">
    <cfRule type="cellIs" dxfId="15185" priority="143221" stopIfTrue="1" operator="lessThan">
      <formula>0.5</formula>
    </cfRule>
  </conditionalFormatting>
  <conditionalFormatting sqref="AT82">
    <cfRule type="cellIs" dxfId="15184" priority="143222" stopIfTrue="1" operator="greaterThanOrEqual">
      <formula>0.5</formula>
    </cfRule>
  </conditionalFormatting>
  <conditionalFormatting sqref="AT83">
    <cfRule type="cellIs" dxfId="15183" priority="143223" stopIfTrue="1" operator="equal">
      <formula>-1</formula>
    </cfRule>
  </conditionalFormatting>
  <conditionalFormatting sqref="AT83">
    <cfRule type="cellIs" dxfId="15182" priority="143224" stopIfTrue="1" operator="lessThan">
      <formula>0.5</formula>
    </cfRule>
  </conditionalFormatting>
  <conditionalFormatting sqref="AT83">
    <cfRule type="cellIs" dxfId="15181" priority="143225" stopIfTrue="1" operator="greaterThanOrEqual">
      <formula>0.5</formula>
    </cfRule>
  </conditionalFormatting>
  <conditionalFormatting sqref="AT84">
    <cfRule type="cellIs" dxfId="15180" priority="143226" stopIfTrue="1" operator="equal">
      <formula>-1</formula>
    </cfRule>
  </conditionalFormatting>
  <conditionalFormatting sqref="AT84">
    <cfRule type="cellIs" dxfId="15179" priority="143227" stopIfTrue="1" operator="lessThan">
      <formula>0.5</formula>
    </cfRule>
  </conditionalFormatting>
  <conditionalFormatting sqref="AT84">
    <cfRule type="cellIs" dxfId="15178" priority="143228" stopIfTrue="1" operator="greaterThanOrEqual">
      <formula>0.5</formula>
    </cfRule>
  </conditionalFormatting>
  <conditionalFormatting sqref="AT85">
    <cfRule type="cellIs" dxfId="15177" priority="143229" stopIfTrue="1" operator="equal">
      <formula>-1</formula>
    </cfRule>
  </conditionalFormatting>
  <conditionalFormatting sqref="AT85">
    <cfRule type="cellIs" dxfId="15176" priority="143230" stopIfTrue="1" operator="lessThan">
      <formula>0.5</formula>
    </cfRule>
  </conditionalFormatting>
  <conditionalFormatting sqref="AT85">
    <cfRule type="cellIs" dxfId="15175" priority="143231" stopIfTrue="1" operator="greaterThanOrEqual">
      <formula>0.5</formula>
    </cfRule>
  </conditionalFormatting>
  <conditionalFormatting sqref="AV65">
    <cfRule type="cellIs" dxfId="15174" priority="143232" stopIfTrue="1" operator="equal">
      <formula>-1</formula>
    </cfRule>
  </conditionalFormatting>
  <conditionalFormatting sqref="AV65">
    <cfRule type="cellIs" dxfId="15173" priority="143233" stopIfTrue="1" operator="lessThan">
      <formula>0.5</formula>
    </cfRule>
  </conditionalFormatting>
  <conditionalFormatting sqref="AV65">
    <cfRule type="cellIs" dxfId="15172" priority="143234" stopIfTrue="1" operator="greaterThanOrEqual">
      <formula>0.5</formula>
    </cfRule>
  </conditionalFormatting>
  <conditionalFormatting sqref="AV66">
    <cfRule type="cellIs" dxfId="15171" priority="143235" stopIfTrue="1" operator="equal">
      <formula>-1</formula>
    </cfRule>
  </conditionalFormatting>
  <conditionalFormatting sqref="AV66">
    <cfRule type="cellIs" dxfId="15170" priority="143236" stopIfTrue="1" operator="lessThan">
      <formula>0.5</formula>
    </cfRule>
  </conditionalFormatting>
  <conditionalFormatting sqref="AV66">
    <cfRule type="cellIs" dxfId="15169" priority="143237" stopIfTrue="1" operator="greaterThanOrEqual">
      <formula>0.5</formula>
    </cfRule>
  </conditionalFormatting>
  <conditionalFormatting sqref="AV67">
    <cfRule type="cellIs" dxfId="15168" priority="143238" stopIfTrue="1" operator="equal">
      <formula>-1</formula>
    </cfRule>
  </conditionalFormatting>
  <conditionalFormatting sqref="AV67">
    <cfRule type="cellIs" dxfId="15167" priority="143239" stopIfTrue="1" operator="lessThan">
      <formula>0.5</formula>
    </cfRule>
  </conditionalFormatting>
  <conditionalFormatting sqref="AV67">
    <cfRule type="cellIs" dxfId="15166" priority="143240" stopIfTrue="1" operator="greaterThanOrEqual">
      <formula>0.5</formula>
    </cfRule>
  </conditionalFormatting>
  <conditionalFormatting sqref="AV68">
    <cfRule type="cellIs" dxfId="15165" priority="143241" stopIfTrue="1" operator="equal">
      <formula>-1</formula>
    </cfRule>
  </conditionalFormatting>
  <conditionalFormatting sqref="AV68">
    <cfRule type="cellIs" dxfId="15164" priority="143242" stopIfTrue="1" operator="lessThan">
      <formula>0.5</formula>
    </cfRule>
  </conditionalFormatting>
  <conditionalFormatting sqref="AV68">
    <cfRule type="cellIs" dxfId="15163" priority="143243" stopIfTrue="1" operator="greaterThanOrEqual">
      <formula>0.5</formula>
    </cfRule>
  </conditionalFormatting>
  <conditionalFormatting sqref="AV69">
    <cfRule type="cellIs" dxfId="15162" priority="143244" stopIfTrue="1" operator="equal">
      <formula>-1</formula>
    </cfRule>
  </conditionalFormatting>
  <conditionalFormatting sqref="AV69">
    <cfRule type="cellIs" dxfId="15161" priority="143245" stopIfTrue="1" operator="lessThan">
      <formula>0.5</formula>
    </cfRule>
  </conditionalFormatting>
  <conditionalFormatting sqref="AV69">
    <cfRule type="cellIs" dxfId="15160" priority="143246" stopIfTrue="1" operator="greaterThanOrEqual">
      <formula>0.5</formula>
    </cfRule>
  </conditionalFormatting>
  <conditionalFormatting sqref="AV70">
    <cfRule type="cellIs" dxfId="15159" priority="143247" stopIfTrue="1" operator="equal">
      <formula>-1</formula>
    </cfRule>
  </conditionalFormatting>
  <conditionalFormatting sqref="AV70">
    <cfRule type="cellIs" dxfId="15158" priority="143248" stopIfTrue="1" operator="lessThan">
      <formula>0.5</formula>
    </cfRule>
  </conditionalFormatting>
  <conditionalFormatting sqref="AV70">
    <cfRule type="cellIs" dxfId="15157" priority="143249" stopIfTrue="1" operator="greaterThanOrEqual">
      <formula>0.5</formula>
    </cfRule>
  </conditionalFormatting>
  <conditionalFormatting sqref="AV71">
    <cfRule type="cellIs" dxfId="15156" priority="143250" stopIfTrue="1" operator="equal">
      <formula>-1</formula>
    </cfRule>
  </conditionalFormatting>
  <conditionalFormatting sqref="AV71">
    <cfRule type="cellIs" dxfId="15155" priority="143251" stopIfTrue="1" operator="lessThan">
      <formula>0.5</formula>
    </cfRule>
  </conditionalFormatting>
  <conditionalFormatting sqref="AV71">
    <cfRule type="cellIs" dxfId="15154" priority="143252" stopIfTrue="1" operator="greaterThanOrEqual">
      <formula>0.5</formula>
    </cfRule>
  </conditionalFormatting>
  <conditionalFormatting sqref="AV72">
    <cfRule type="cellIs" dxfId="15153" priority="143253" stopIfTrue="1" operator="equal">
      <formula>-1</formula>
    </cfRule>
  </conditionalFormatting>
  <conditionalFormatting sqref="AV72">
    <cfRule type="cellIs" dxfId="15152" priority="143254" stopIfTrue="1" operator="lessThan">
      <formula>0.5</formula>
    </cfRule>
  </conditionalFormatting>
  <conditionalFormatting sqref="AV72">
    <cfRule type="cellIs" dxfId="15151" priority="143255" stopIfTrue="1" operator="greaterThanOrEqual">
      <formula>0.5</formula>
    </cfRule>
  </conditionalFormatting>
  <conditionalFormatting sqref="AV73">
    <cfRule type="cellIs" dxfId="15150" priority="143256" stopIfTrue="1" operator="equal">
      <formula>-1</formula>
    </cfRule>
  </conditionalFormatting>
  <conditionalFormatting sqref="AV73">
    <cfRule type="cellIs" dxfId="15149" priority="143257" stopIfTrue="1" operator="lessThan">
      <formula>0.5</formula>
    </cfRule>
  </conditionalFormatting>
  <conditionalFormatting sqref="AV73">
    <cfRule type="cellIs" dxfId="15148" priority="143258" stopIfTrue="1" operator="greaterThanOrEqual">
      <formula>0.5</formula>
    </cfRule>
  </conditionalFormatting>
  <conditionalFormatting sqref="AV74">
    <cfRule type="cellIs" dxfId="15147" priority="143259" stopIfTrue="1" operator="equal">
      <formula>-1</formula>
    </cfRule>
  </conditionalFormatting>
  <conditionalFormatting sqref="AV74">
    <cfRule type="cellIs" dxfId="15146" priority="143260" stopIfTrue="1" operator="lessThan">
      <formula>0.5</formula>
    </cfRule>
  </conditionalFormatting>
  <conditionalFormatting sqref="AV74">
    <cfRule type="cellIs" dxfId="15145" priority="143261" stopIfTrue="1" operator="greaterThanOrEqual">
      <formula>0.5</formula>
    </cfRule>
  </conditionalFormatting>
  <conditionalFormatting sqref="AV75">
    <cfRule type="cellIs" dxfId="15144" priority="143262" stopIfTrue="1" operator="equal">
      <formula>-1</formula>
    </cfRule>
  </conditionalFormatting>
  <conditionalFormatting sqref="AV75">
    <cfRule type="cellIs" dxfId="15143" priority="143263" stopIfTrue="1" operator="lessThan">
      <formula>0.5</formula>
    </cfRule>
  </conditionalFormatting>
  <conditionalFormatting sqref="AV75">
    <cfRule type="cellIs" dxfId="15142" priority="143264" stopIfTrue="1" operator="greaterThanOrEqual">
      <formula>0.5</formula>
    </cfRule>
  </conditionalFormatting>
  <conditionalFormatting sqref="AV76">
    <cfRule type="cellIs" dxfId="15141" priority="143265" stopIfTrue="1" operator="equal">
      <formula>-1</formula>
    </cfRule>
  </conditionalFormatting>
  <conditionalFormatting sqref="AV76">
    <cfRule type="cellIs" dxfId="15140" priority="143266" stopIfTrue="1" operator="lessThan">
      <formula>0.5</formula>
    </cfRule>
  </conditionalFormatting>
  <conditionalFormatting sqref="AV76">
    <cfRule type="cellIs" dxfId="15139" priority="143267" stopIfTrue="1" operator="greaterThanOrEqual">
      <formula>0.5</formula>
    </cfRule>
  </conditionalFormatting>
  <conditionalFormatting sqref="AV77">
    <cfRule type="cellIs" dxfId="15138" priority="143268" stopIfTrue="1" operator="equal">
      <formula>-1</formula>
    </cfRule>
  </conditionalFormatting>
  <conditionalFormatting sqref="AV77">
    <cfRule type="cellIs" dxfId="15137" priority="143269" stopIfTrue="1" operator="lessThan">
      <formula>0.5</formula>
    </cfRule>
  </conditionalFormatting>
  <conditionalFormatting sqref="AV77">
    <cfRule type="cellIs" dxfId="15136" priority="143270" stopIfTrue="1" operator="greaterThanOrEqual">
      <formula>0.5</formula>
    </cfRule>
  </conditionalFormatting>
  <conditionalFormatting sqref="AV78">
    <cfRule type="cellIs" dxfId="15135" priority="143271" stopIfTrue="1" operator="equal">
      <formula>-1</formula>
    </cfRule>
  </conditionalFormatting>
  <conditionalFormatting sqref="AV78">
    <cfRule type="cellIs" dxfId="15134" priority="143272" stopIfTrue="1" operator="lessThan">
      <formula>0.5</formula>
    </cfRule>
  </conditionalFormatting>
  <conditionalFormatting sqref="AV78">
    <cfRule type="cellIs" dxfId="15133" priority="143273" stopIfTrue="1" operator="greaterThanOrEqual">
      <formula>0.5</formula>
    </cfRule>
  </conditionalFormatting>
  <conditionalFormatting sqref="AV79">
    <cfRule type="cellIs" dxfId="15132" priority="143274" stopIfTrue="1" operator="equal">
      <formula>-1</formula>
    </cfRule>
  </conditionalFormatting>
  <conditionalFormatting sqref="AV79">
    <cfRule type="cellIs" dxfId="15131" priority="143275" stopIfTrue="1" operator="lessThan">
      <formula>0.5</formula>
    </cfRule>
  </conditionalFormatting>
  <conditionalFormatting sqref="AV79">
    <cfRule type="cellIs" dxfId="15130" priority="143276" stopIfTrue="1" operator="greaterThanOrEqual">
      <formula>0.5</formula>
    </cfRule>
  </conditionalFormatting>
  <conditionalFormatting sqref="AV80">
    <cfRule type="cellIs" dxfId="15129" priority="143277" stopIfTrue="1" operator="equal">
      <formula>-1</formula>
    </cfRule>
  </conditionalFormatting>
  <conditionalFormatting sqref="AV80">
    <cfRule type="cellIs" dxfId="15128" priority="143278" stopIfTrue="1" operator="lessThan">
      <formula>0.5</formula>
    </cfRule>
  </conditionalFormatting>
  <conditionalFormatting sqref="AV80">
    <cfRule type="cellIs" dxfId="15127" priority="143279" stopIfTrue="1" operator="greaterThanOrEqual">
      <formula>0.5</formula>
    </cfRule>
  </conditionalFormatting>
  <conditionalFormatting sqref="AV81">
    <cfRule type="cellIs" dxfId="15126" priority="143280" stopIfTrue="1" operator="equal">
      <formula>-1</formula>
    </cfRule>
  </conditionalFormatting>
  <conditionalFormatting sqref="AV81">
    <cfRule type="cellIs" dxfId="15125" priority="143281" stopIfTrue="1" operator="lessThan">
      <formula>0.5</formula>
    </cfRule>
  </conditionalFormatting>
  <conditionalFormatting sqref="AV81">
    <cfRule type="cellIs" dxfId="15124" priority="143282" stopIfTrue="1" operator="greaterThanOrEqual">
      <formula>0.5</formula>
    </cfRule>
  </conditionalFormatting>
  <conditionalFormatting sqref="AV82">
    <cfRule type="cellIs" dxfId="15123" priority="143283" stopIfTrue="1" operator="equal">
      <formula>-1</formula>
    </cfRule>
  </conditionalFormatting>
  <conditionalFormatting sqref="AV82">
    <cfRule type="cellIs" dxfId="15122" priority="143284" stopIfTrue="1" operator="lessThan">
      <formula>0.5</formula>
    </cfRule>
  </conditionalFormatting>
  <conditionalFormatting sqref="AV82">
    <cfRule type="cellIs" dxfId="15121" priority="143285" stopIfTrue="1" operator="greaterThanOrEqual">
      <formula>0.5</formula>
    </cfRule>
  </conditionalFormatting>
  <conditionalFormatting sqref="AV83">
    <cfRule type="cellIs" dxfId="15120" priority="143286" stopIfTrue="1" operator="equal">
      <formula>-1</formula>
    </cfRule>
  </conditionalFormatting>
  <conditionalFormatting sqref="AV83">
    <cfRule type="cellIs" dxfId="15119" priority="143287" stopIfTrue="1" operator="lessThan">
      <formula>0.5</formula>
    </cfRule>
  </conditionalFormatting>
  <conditionalFormatting sqref="AV83">
    <cfRule type="cellIs" dxfId="15118" priority="143288" stopIfTrue="1" operator="greaterThanOrEqual">
      <formula>0.5</formula>
    </cfRule>
  </conditionalFormatting>
  <conditionalFormatting sqref="AV84">
    <cfRule type="cellIs" dxfId="15117" priority="143289" stopIfTrue="1" operator="equal">
      <formula>-1</formula>
    </cfRule>
  </conditionalFormatting>
  <conditionalFormatting sqref="AV84">
    <cfRule type="cellIs" dxfId="15116" priority="143290" stopIfTrue="1" operator="lessThan">
      <formula>0.5</formula>
    </cfRule>
  </conditionalFormatting>
  <conditionalFormatting sqref="AV84">
    <cfRule type="cellIs" dxfId="15115" priority="143291" stopIfTrue="1" operator="greaterThanOrEqual">
      <formula>0.5</formula>
    </cfRule>
  </conditionalFormatting>
  <conditionalFormatting sqref="AV85">
    <cfRule type="cellIs" dxfId="15114" priority="143292" stopIfTrue="1" operator="equal">
      <formula>-1</formula>
    </cfRule>
  </conditionalFormatting>
  <conditionalFormatting sqref="AV85">
    <cfRule type="cellIs" dxfId="15113" priority="143293" stopIfTrue="1" operator="lessThan">
      <formula>0.5</formula>
    </cfRule>
  </conditionalFormatting>
  <conditionalFormatting sqref="AV85">
    <cfRule type="cellIs" dxfId="15112" priority="143294" stopIfTrue="1" operator="greaterThanOrEqual">
      <formula>0.5</formula>
    </cfRule>
  </conditionalFormatting>
  <conditionalFormatting sqref="AX65">
    <cfRule type="cellIs" dxfId="15111" priority="143295" stopIfTrue="1" operator="equal">
      <formula>-1</formula>
    </cfRule>
  </conditionalFormatting>
  <conditionalFormatting sqref="AX65">
    <cfRule type="cellIs" dxfId="15110" priority="143296" stopIfTrue="1" operator="lessThan">
      <formula>0.5</formula>
    </cfRule>
  </conditionalFormatting>
  <conditionalFormatting sqref="AX65">
    <cfRule type="cellIs" dxfId="15109" priority="143297" stopIfTrue="1" operator="greaterThanOrEqual">
      <formula>0.5</formula>
    </cfRule>
  </conditionalFormatting>
  <conditionalFormatting sqref="AX66">
    <cfRule type="cellIs" dxfId="15108" priority="143298" stopIfTrue="1" operator="equal">
      <formula>-1</formula>
    </cfRule>
  </conditionalFormatting>
  <conditionalFormatting sqref="AX66">
    <cfRule type="cellIs" dxfId="15107" priority="143299" stopIfTrue="1" operator="lessThan">
      <formula>0.5</formula>
    </cfRule>
  </conditionalFormatting>
  <conditionalFormatting sqref="AX66">
    <cfRule type="cellIs" dxfId="15106" priority="143300" stopIfTrue="1" operator="greaterThanOrEqual">
      <formula>0.5</formula>
    </cfRule>
  </conditionalFormatting>
  <conditionalFormatting sqref="AX67">
    <cfRule type="cellIs" dxfId="15105" priority="143301" stopIfTrue="1" operator="equal">
      <formula>-1</formula>
    </cfRule>
  </conditionalFormatting>
  <conditionalFormatting sqref="AX67">
    <cfRule type="cellIs" dxfId="15104" priority="143302" stopIfTrue="1" operator="lessThan">
      <formula>0.5</formula>
    </cfRule>
  </conditionalFormatting>
  <conditionalFormatting sqref="AX67">
    <cfRule type="cellIs" dxfId="15103" priority="143303" stopIfTrue="1" operator="greaterThanOrEqual">
      <formula>0.5</formula>
    </cfRule>
  </conditionalFormatting>
  <conditionalFormatting sqref="AX68">
    <cfRule type="cellIs" dxfId="15102" priority="143304" stopIfTrue="1" operator="equal">
      <formula>-1</formula>
    </cfRule>
  </conditionalFormatting>
  <conditionalFormatting sqref="AX68">
    <cfRule type="cellIs" dxfId="15101" priority="143305" stopIfTrue="1" operator="lessThan">
      <formula>0.5</formula>
    </cfRule>
  </conditionalFormatting>
  <conditionalFormatting sqref="AX68">
    <cfRule type="cellIs" dxfId="15100" priority="143306" stopIfTrue="1" operator="greaterThanOrEqual">
      <formula>0.5</formula>
    </cfRule>
  </conditionalFormatting>
  <conditionalFormatting sqref="AX69">
    <cfRule type="cellIs" dxfId="15099" priority="143307" stopIfTrue="1" operator="equal">
      <formula>-1</formula>
    </cfRule>
  </conditionalFormatting>
  <conditionalFormatting sqref="AX69">
    <cfRule type="cellIs" dxfId="15098" priority="143308" stopIfTrue="1" operator="lessThan">
      <formula>0.5</formula>
    </cfRule>
  </conditionalFormatting>
  <conditionalFormatting sqref="AX69">
    <cfRule type="cellIs" dxfId="15097" priority="143309" stopIfTrue="1" operator="greaterThanOrEqual">
      <formula>0.5</formula>
    </cfRule>
  </conditionalFormatting>
  <conditionalFormatting sqref="AX70">
    <cfRule type="cellIs" dxfId="15096" priority="143310" stopIfTrue="1" operator="equal">
      <formula>-1</formula>
    </cfRule>
  </conditionalFormatting>
  <conditionalFormatting sqref="AX70">
    <cfRule type="cellIs" dxfId="15095" priority="143311" stopIfTrue="1" operator="lessThan">
      <formula>0.5</formula>
    </cfRule>
  </conditionalFormatting>
  <conditionalFormatting sqref="AX70">
    <cfRule type="cellIs" dxfId="15094" priority="143312" stopIfTrue="1" operator="greaterThanOrEqual">
      <formula>0.5</formula>
    </cfRule>
  </conditionalFormatting>
  <conditionalFormatting sqref="AX71">
    <cfRule type="cellIs" dxfId="15093" priority="143313" stopIfTrue="1" operator="equal">
      <formula>-1</formula>
    </cfRule>
  </conditionalFormatting>
  <conditionalFormatting sqref="AX71">
    <cfRule type="cellIs" dxfId="15092" priority="143314" stopIfTrue="1" operator="lessThan">
      <formula>0.5</formula>
    </cfRule>
  </conditionalFormatting>
  <conditionalFormatting sqref="AX71">
    <cfRule type="cellIs" dxfId="15091" priority="143315" stopIfTrue="1" operator="greaterThanOrEqual">
      <formula>0.5</formula>
    </cfRule>
  </conditionalFormatting>
  <conditionalFormatting sqref="AX72">
    <cfRule type="cellIs" dxfId="15090" priority="143316" stopIfTrue="1" operator="equal">
      <formula>-1</formula>
    </cfRule>
  </conditionalFormatting>
  <conditionalFormatting sqref="AX72">
    <cfRule type="cellIs" dxfId="15089" priority="143317" stopIfTrue="1" operator="lessThan">
      <formula>0.5</formula>
    </cfRule>
  </conditionalFormatting>
  <conditionalFormatting sqref="AX72">
    <cfRule type="cellIs" dxfId="15088" priority="143318" stopIfTrue="1" operator="greaterThanOrEqual">
      <formula>0.5</formula>
    </cfRule>
  </conditionalFormatting>
  <conditionalFormatting sqref="AX73">
    <cfRule type="cellIs" dxfId="15087" priority="143319" stopIfTrue="1" operator="equal">
      <formula>-1</formula>
    </cfRule>
  </conditionalFormatting>
  <conditionalFormatting sqref="AX73">
    <cfRule type="cellIs" dxfId="15086" priority="143320" stopIfTrue="1" operator="lessThan">
      <formula>0.5</formula>
    </cfRule>
  </conditionalFormatting>
  <conditionalFormatting sqref="AX73">
    <cfRule type="cellIs" dxfId="15085" priority="143321" stopIfTrue="1" operator="greaterThanOrEqual">
      <formula>0.5</formula>
    </cfRule>
  </conditionalFormatting>
  <conditionalFormatting sqref="AX74">
    <cfRule type="cellIs" dxfId="15084" priority="143322" stopIfTrue="1" operator="equal">
      <formula>-1</formula>
    </cfRule>
  </conditionalFormatting>
  <conditionalFormatting sqref="AX74">
    <cfRule type="cellIs" dxfId="15083" priority="143323" stopIfTrue="1" operator="lessThan">
      <formula>0.5</formula>
    </cfRule>
  </conditionalFormatting>
  <conditionalFormatting sqref="AX74">
    <cfRule type="cellIs" dxfId="15082" priority="143324" stopIfTrue="1" operator="greaterThanOrEqual">
      <formula>0.5</formula>
    </cfRule>
  </conditionalFormatting>
  <conditionalFormatting sqref="AX75">
    <cfRule type="cellIs" dxfId="15081" priority="143325" stopIfTrue="1" operator="equal">
      <formula>-1</formula>
    </cfRule>
  </conditionalFormatting>
  <conditionalFormatting sqref="AX75">
    <cfRule type="cellIs" dxfId="15080" priority="143326" stopIfTrue="1" operator="lessThan">
      <formula>0.5</formula>
    </cfRule>
  </conditionalFormatting>
  <conditionalFormatting sqref="AX75">
    <cfRule type="cellIs" dxfId="15079" priority="143327" stopIfTrue="1" operator="greaterThanOrEqual">
      <formula>0.5</formula>
    </cfRule>
  </conditionalFormatting>
  <conditionalFormatting sqref="AX76">
    <cfRule type="cellIs" dxfId="15078" priority="143328" stopIfTrue="1" operator="equal">
      <formula>-1</formula>
    </cfRule>
  </conditionalFormatting>
  <conditionalFormatting sqref="AX76">
    <cfRule type="cellIs" dxfId="15077" priority="143329" stopIfTrue="1" operator="lessThan">
      <formula>0.5</formula>
    </cfRule>
  </conditionalFormatting>
  <conditionalFormatting sqref="AX76">
    <cfRule type="cellIs" dxfId="15076" priority="143330" stopIfTrue="1" operator="greaterThanOrEqual">
      <formula>0.5</formula>
    </cfRule>
  </conditionalFormatting>
  <conditionalFormatting sqref="AX77">
    <cfRule type="cellIs" dxfId="15075" priority="143331" stopIfTrue="1" operator="equal">
      <formula>-1</formula>
    </cfRule>
  </conditionalFormatting>
  <conditionalFormatting sqref="AX77">
    <cfRule type="cellIs" dxfId="15074" priority="143332" stopIfTrue="1" operator="lessThan">
      <formula>0.5</formula>
    </cfRule>
  </conditionalFormatting>
  <conditionalFormatting sqref="AX77">
    <cfRule type="cellIs" dxfId="15073" priority="143333" stopIfTrue="1" operator="greaterThanOrEqual">
      <formula>0.5</formula>
    </cfRule>
  </conditionalFormatting>
  <conditionalFormatting sqref="AX78">
    <cfRule type="cellIs" dxfId="15072" priority="143334" stopIfTrue="1" operator="equal">
      <formula>-1</formula>
    </cfRule>
  </conditionalFormatting>
  <conditionalFormatting sqref="AX78">
    <cfRule type="cellIs" dxfId="15071" priority="143335" stopIfTrue="1" operator="lessThan">
      <formula>0.5</formula>
    </cfRule>
  </conditionalFormatting>
  <conditionalFormatting sqref="AX78">
    <cfRule type="cellIs" dxfId="15070" priority="143336" stopIfTrue="1" operator="greaterThanOrEqual">
      <formula>0.5</formula>
    </cfRule>
  </conditionalFormatting>
  <conditionalFormatting sqref="AX79">
    <cfRule type="cellIs" dxfId="15069" priority="143337" stopIfTrue="1" operator="equal">
      <formula>-1</formula>
    </cfRule>
  </conditionalFormatting>
  <conditionalFormatting sqref="AX79">
    <cfRule type="cellIs" dxfId="15068" priority="143338" stopIfTrue="1" operator="lessThan">
      <formula>0.5</formula>
    </cfRule>
  </conditionalFormatting>
  <conditionalFormatting sqref="AX79">
    <cfRule type="cellIs" dxfId="15067" priority="143339" stopIfTrue="1" operator="greaterThanOrEqual">
      <formula>0.5</formula>
    </cfRule>
  </conditionalFormatting>
  <conditionalFormatting sqref="AX80">
    <cfRule type="cellIs" dxfId="15066" priority="143340" stopIfTrue="1" operator="equal">
      <formula>-1</formula>
    </cfRule>
  </conditionalFormatting>
  <conditionalFormatting sqref="AX80">
    <cfRule type="cellIs" dxfId="15065" priority="143341" stopIfTrue="1" operator="lessThan">
      <formula>0.5</formula>
    </cfRule>
  </conditionalFormatting>
  <conditionalFormatting sqref="AX80">
    <cfRule type="cellIs" dxfId="15064" priority="143342" stopIfTrue="1" operator="greaterThanOrEqual">
      <formula>0.5</formula>
    </cfRule>
  </conditionalFormatting>
  <conditionalFormatting sqref="AX81">
    <cfRule type="cellIs" dxfId="15063" priority="143343" stopIfTrue="1" operator="equal">
      <formula>-1</formula>
    </cfRule>
  </conditionalFormatting>
  <conditionalFormatting sqref="AX81">
    <cfRule type="cellIs" dxfId="15062" priority="143344" stopIfTrue="1" operator="lessThan">
      <formula>0.5</formula>
    </cfRule>
  </conditionalFormatting>
  <conditionalFormatting sqref="AX81">
    <cfRule type="cellIs" dxfId="15061" priority="143345" stopIfTrue="1" operator="greaterThanOrEqual">
      <formula>0.5</formula>
    </cfRule>
  </conditionalFormatting>
  <conditionalFormatting sqref="AX82">
    <cfRule type="cellIs" dxfId="15060" priority="143346" stopIfTrue="1" operator="equal">
      <formula>-1</formula>
    </cfRule>
  </conditionalFormatting>
  <conditionalFormatting sqref="AX82">
    <cfRule type="cellIs" dxfId="15059" priority="143347" stopIfTrue="1" operator="lessThan">
      <formula>0.5</formula>
    </cfRule>
  </conditionalFormatting>
  <conditionalFormatting sqref="AX82">
    <cfRule type="cellIs" dxfId="15058" priority="143348" stopIfTrue="1" operator="greaterThanOrEqual">
      <formula>0.5</formula>
    </cfRule>
  </conditionalFormatting>
  <conditionalFormatting sqref="AX83">
    <cfRule type="cellIs" dxfId="15057" priority="143349" stopIfTrue="1" operator="equal">
      <formula>-1</formula>
    </cfRule>
  </conditionalFormatting>
  <conditionalFormatting sqref="AX83">
    <cfRule type="cellIs" dxfId="15056" priority="143350" stopIfTrue="1" operator="lessThan">
      <formula>0.5</formula>
    </cfRule>
  </conditionalFormatting>
  <conditionalFormatting sqref="AX83">
    <cfRule type="cellIs" dxfId="15055" priority="143351" stopIfTrue="1" operator="greaterThanOrEqual">
      <formula>0.5</formula>
    </cfRule>
  </conditionalFormatting>
  <conditionalFormatting sqref="AX84">
    <cfRule type="cellIs" dxfId="15054" priority="143352" stopIfTrue="1" operator="equal">
      <formula>-1</formula>
    </cfRule>
  </conditionalFormatting>
  <conditionalFormatting sqref="AX84">
    <cfRule type="cellIs" dxfId="15053" priority="143353" stopIfTrue="1" operator="lessThan">
      <formula>0.5</formula>
    </cfRule>
  </conditionalFormatting>
  <conditionalFormatting sqref="AX84">
    <cfRule type="cellIs" dxfId="15052" priority="143354" stopIfTrue="1" operator="greaterThanOrEqual">
      <formula>0.5</formula>
    </cfRule>
  </conditionalFormatting>
  <conditionalFormatting sqref="AX85">
    <cfRule type="cellIs" dxfId="15051" priority="143355" stopIfTrue="1" operator="equal">
      <formula>-1</formula>
    </cfRule>
  </conditionalFormatting>
  <conditionalFormatting sqref="AX85">
    <cfRule type="cellIs" dxfId="15050" priority="143356" stopIfTrue="1" operator="lessThan">
      <formula>0.5</formula>
    </cfRule>
  </conditionalFormatting>
  <conditionalFormatting sqref="AX85">
    <cfRule type="cellIs" dxfId="15049" priority="143357" stopIfTrue="1" operator="greaterThanOrEqual">
      <formula>0.5</formula>
    </cfRule>
  </conditionalFormatting>
  <conditionalFormatting sqref="AZ65">
    <cfRule type="cellIs" dxfId="15048" priority="143358" stopIfTrue="1" operator="equal">
      <formula>-1</formula>
    </cfRule>
  </conditionalFormatting>
  <conditionalFormatting sqref="AZ65">
    <cfRule type="cellIs" dxfId="15047" priority="143359" stopIfTrue="1" operator="lessThan">
      <formula>0.5</formula>
    </cfRule>
  </conditionalFormatting>
  <conditionalFormatting sqref="AZ65">
    <cfRule type="cellIs" dxfId="15046" priority="143360" stopIfTrue="1" operator="greaterThanOrEqual">
      <formula>0.5</formula>
    </cfRule>
  </conditionalFormatting>
  <conditionalFormatting sqref="AZ66">
    <cfRule type="cellIs" dxfId="15045" priority="143361" stopIfTrue="1" operator="equal">
      <formula>-1</formula>
    </cfRule>
  </conditionalFormatting>
  <conditionalFormatting sqref="AZ66">
    <cfRule type="cellIs" dxfId="15044" priority="143362" stopIfTrue="1" operator="lessThan">
      <formula>0.5</formula>
    </cfRule>
  </conditionalFormatting>
  <conditionalFormatting sqref="AZ66">
    <cfRule type="cellIs" dxfId="15043" priority="143363" stopIfTrue="1" operator="greaterThanOrEqual">
      <formula>0.5</formula>
    </cfRule>
  </conditionalFormatting>
  <conditionalFormatting sqref="AZ67">
    <cfRule type="cellIs" dxfId="15042" priority="143364" stopIfTrue="1" operator="equal">
      <formula>-1</formula>
    </cfRule>
  </conditionalFormatting>
  <conditionalFormatting sqref="AZ67">
    <cfRule type="cellIs" dxfId="15041" priority="143365" stopIfTrue="1" operator="lessThan">
      <formula>0.5</formula>
    </cfRule>
  </conditionalFormatting>
  <conditionalFormatting sqref="AZ67">
    <cfRule type="cellIs" dxfId="15040" priority="143366" stopIfTrue="1" operator="greaterThanOrEqual">
      <formula>0.5</formula>
    </cfRule>
  </conditionalFormatting>
  <conditionalFormatting sqref="AZ68">
    <cfRule type="cellIs" dxfId="15039" priority="143367" stopIfTrue="1" operator="equal">
      <formula>-1</formula>
    </cfRule>
  </conditionalFormatting>
  <conditionalFormatting sqref="AZ68">
    <cfRule type="cellIs" dxfId="15038" priority="143368" stopIfTrue="1" operator="lessThan">
      <formula>0.5</formula>
    </cfRule>
  </conditionalFormatting>
  <conditionalFormatting sqref="AZ68">
    <cfRule type="cellIs" dxfId="15037" priority="143369" stopIfTrue="1" operator="greaterThanOrEqual">
      <formula>0.5</formula>
    </cfRule>
  </conditionalFormatting>
  <conditionalFormatting sqref="AZ69">
    <cfRule type="cellIs" dxfId="15036" priority="143370" stopIfTrue="1" operator="equal">
      <formula>-1</formula>
    </cfRule>
  </conditionalFormatting>
  <conditionalFormatting sqref="AZ69">
    <cfRule type="cellIs" dxfId="15035" priority="143371" stopIfTrue="1" operator="lessThan">
      <formula>0.5</formula>
    </cfRule>
  </conditionalFormatting>
  <conditionalFormatting sqref="AZ69">
    <cfRule type="cellIs" dxfId="15034" priority="143372" stopIfTrue="1" operator="greaterThanOrEqual">
      <formula>0.5</formula>
    </cfRule>
  </conditionalFormatting>
  <conditionalFormatting sqref="AZ70">
    <cfRule type="cellIs" dxfId="15033" priority="143373" stopIfTrue="1" operator="equal">
      <formula>-1</formula>
    </cfRule>
  </conditionalFormatting>
  <conditionalFormatting sqref="AZ70">
    <cfRule type="cellIs" dxfId="15032" priority="143374" stopIfTrue="1" operator="lessThan">
      <formula>0.5</formula>
    </cfRule>
  </conditionalFormatting>
  <conditionalFormatting sqref="AZ70">
    <cfRule type="cellIs" dxfId="15031" priority="143375" stopIfTrue="1" operator="greaterThanOrEqual">
      <formula>0.5</formula>
    </cfRule>
  </conditionalFormatting>
  <conditionalFormatting sqref="AZ71">
    <cfRule type="cellIs" dxfId="15030" priority="143376" stopIfTrue="1" operator="equal">
      <formula>-1</formula>
    </cfRule>
  </conditionalFormatting>
  <conditionalFormatting sqref="AZ71">
    <cfRule type="cellIs" dxfId="15029" priority="143377" stopIfTrue="1" operator="lessThan">
      <formula>0.5</formula>
    </cfRule>
  </conditionalFormatting>
  <conditionalFormatting sqref="AZ71">
    <cfRule type="cellIs" dxfId="15028" priority="143378" stopIfTrue="1" operator="greaterThanOrEqual">
      <formula>0.5</formula>
    </cfRule>
  </conditionalFormatting>
  <conditionalFormatting sqref="AZ72">
    <cfRule type="cellIs" dxfId="15027" priority="143379" stopIfTrue="1" operator="equal">
      <formula>-1</formula>
    </cfRule>
  </conditionalFormatting>
  <conditionalFormatting sqref="AZ72">
    <cfRule type="cellIs" dxfId="15026" priority="143380" stopIfTrue="1" operator="lessThan">
      <formula>0.5</formula>
    </cfRule>
  </conditionalFormatting>
  <conditionalFormatting sqref="AZ72">
    <cfRule type="cellIs" dxfId="15025" priority="143381" stopIfTrue="1" operator="greaterThanOrEqual">
      <formula>0.5</formula>
    </cfRule>
  </conditionalFormatting>
  <conditionalFormatting sqref="AZ73">
    <cfRule type="cellIs" dxfId="15024" priority="143382" stopIfTrue="1" operator="equal">
      <formula>-1</formula>
    </cfRule>
  </conditionalFormatting>
  <conditionalFormatting sqref="AZ73">
    <cfRule type="cellIs" dxfId="15023" priority="143383" stopIfTrue="1" operator="lessThan">
      <formula>0.5</formula>
    </cfRule>
  </conditionalFormatting>
  <conditionalFormatting sqref="AZ73">
    <cfRule type="cellIs" dxfId="15022" priority="143384" stopIfTrue="1" operator="greaterThanOrEqual">
      <formula>0.5</formula>
    </cfRule>
  </conditionalFormatting>
  <conditionalFormatting sqref="AZ74">
    <cfRule type="cellIs" dxfId="15021" priority="143385" stopIfTrue="1" operator="equal">
      <formula>-1</formula>
    </cfRule>
  </conditionalFormatting>
  <conditionalFormatting sqref="AZ74">
    <cfRule type="cellIs" dxfId="15020" priority="143386" stopIfTrue="1" operator="lessThan">
      <formula>0.5</formula>
    </cfRule>
  </conditionalFormatting>
  <conditionalFormatting sqref="AZ74">
    <cfRule type="cellIs" dxfId="15019" priority="143387" stopIfTrue="1" operator="greaterThanOrEqual">
      <formula>0.5</formula>
    </cfRule>
  </conditionalFormatting>
  <conditionalFormatting sqref="AZ75">
    <cfRule type="cellIs" dxfId="15018" priority="143388" stopIfTrue="1" operator="equal">
      <formula>-1</formula>
    </cfRule>
  </conditionalFormatting>
  <conditionalFormatting sqref="AZ75">
    <cfRule type="cellIs" dxfId="15017" priority="143389" stopIfTrue="1" operator="lessThan">
      <formula>0.5</formula>
    </cfRule>
  </conditionalFormatting>
  <conditionalFormatting sqref="AZ75">
    <cfRule type="cellIs" dxfId="15016" priority="143390" stopIfTrue="1" operator="greaterThanOrEqual">
      <formula>0.5</formula>
    </cfRule>
  </conditionalFormatting>
  <conditionalFormatting sqref="AZ76">
    <cfRule type="cellIs" dxfId="15015" priority="143391" stopIfTrue="1" operator="equal">
      <formula>-1</formula>
    </cfRule>
  </conditionalFormatting>
  <conditionalFormatting sqref="AZ76">
    <cfRule type="cellIs" dxfId="15014" priority="143392" stopIfTrue="1" operator="lessThan">
      <formula>0.5</formula>
    </cfRule>
  </conditionalFormatting>
  <conditionalFormatting sqref="AZ76">
    <cfRule type="cellIs" dxfId="15013" priority="143393" stopIfTrue="1" operator="greaterThanOrEqual">
      <formula>0.5</formula>
    </cfRule>
  </conditionalFormatting>
  <conditionalFormatting sqref="AZ77">
    <cfRule type="cellIs" dxfId="15012" priority="143394" stopIfTrue="1" operator="equal">
      <formula>-1</formula>
    </cfRule>
  </conditionalFormatting>
  <conditionalFormatting sqref="AZ77">
    <cfRule type="cellIs" dxfId="15011" priority="143395" stopIfTrue="1" operator="lessThan">
      <formula>0.5</formula>
    </cfRule>
  </conditionalFormatting>
  <conditionalFormatting sqref="AZ77">
    <cfRule type="cellIs" dxfId="15010" priority="143396" stopIfTrue="1" operator="greaterThanOrEqual">
      <formula>0.5</formula>
    </cfRule>
  </conditionalFormatting>
  <conditionalFormatting sqref="AZ78">
    <cfRule type="cellIs" dxfId="15009" priority="143397" stopIfTrue="1" operator="equal">
      <formula>-1</formula>
    </cfRule>
  </conditionalFormatting>
  <conditionalFormatting sqref="AZ78">
    <cfRule type="cellIs" dxfId="15008" priority="143398" stopIfTrue="1" operator="lessThan">
      <formula>0.5</formula>
    </cfRule>
  </conditionalFormatting>
  <conditionalFormatting sqref="AZ78">
    <cfRule type="cellIs" dxfId="15007" priority="143399" stopIfTrue="1" operator="greaterThanOrEqual">
      <formula>0.5</formula>
    </cfRule>
  </conditionalFormatting>
  <conditionalFormatting sqref="AZ79">
    <cfRule type="cellIs" dxfId="15006" priority="143400" stopIfTrue="1" operator="equal">
      <formula>-1</formula>
    </cfRule>
  </conditionalFormatting>
  <conditionalFormatting sqref="AZ79">
    <cfRule type="cellIs" dxfId="15005" priority="143401" stopIfTrue="1" operator="lessThan">
      <formula>0.5</formula>
    </cfRule>
  </conditionalFormatting>
  <conditionalFormatting sqref="AZ79">
    <cfRule type="cellIs" dxfId="15004" priority="143402" stopIfTrue="1" operator="greaterThanOrEqual">
      <formula>0.5</formula>
    </cfRule>
  </conditionalFormatting>
  <conditionalFormatting sqref="AZ80">
    <cfRule type="cellIs" dxfId="15003" priority="143403" stopIfTrue="1" operator="equal">
      <formula>-1</formula>
    </cfRule>
  </conditionalFormatting>
  <conditionalFormatting sqref="AZ80">
    <cfRule type="cellIs" dxfId="15002" priority="143404" stopIfTrue="1" operator="lessThan">
      <formula>0.5</formula>
    </cfRule>
  </conditionalFormatting>
  <conditionalFormatting sqref="AZ80">
    <cfRule type="cellIs" dxfId="15001" priority="143405" stopIfTrue="1" operator="greaterThanOrEqual">
      <formula>0.5</formula>
    </cfRule>
  </conditionalFormatting>
  <conditionalFormatting sqref="AZ81">
    <cfRule type="cellIs" dxfId="15000" priority="143406" stopIfTrue="1" operator="equal">
      <formula>-1</formula>
    </cfRule>
  </conditionalFormatting>
  <conditionalFormatting sqref="AZ81">
    <cfRule type="cellIs" dxfId="14999" priority="143407" stopIfTrue="1" operator="lessThan">
      <formula>0.5</formula>
    </cfRule>
  </conditionalFormatting>
  <conditionalFormatting sqref="AZ81">
    <cfRule type="cellIs" dxfId="14998" priority="143408" stopIfTrue="1" operator="greaterThanOrEqual">
      <formula>0.5</formula>
    </cfRule>
  </conditionalFormatting>
  <conditionalFormatting sqref="AZ82">
    <cfRule type="cellIs" dxfId="14997" priority="143409" stopIfTrue="1" operator="equal">
      <formula>-1</formula>
    </cfRule>
  </conditionalFormatting>
  <conditionalFormatting sqref="AZ82">
    <cfRule type="cellIs" dxfId="14996" priority="143410" stopIfTrue="1" operator="lessThan">
      <formula>0.5</formula>
    </cfRule>
  </conditionalFormatting>
  <conditionalFormatting sqref="AZ82">
    <cfRule type="cellIs" dxfId="14995" priority="143411" stopIfTrue="1" operator="greaterThanOrEqual">
      <formula>0.5</formula>
    </cfRule>
  </conditionalFormatting>
  <conditionalFormatting sqref="AZ83">
    <cfRule type="cellIs" dxfId="14994" priority="143412" stopIfTrue="1" operator="equal">
      <formula>-1</formula>
    </cfRule>
  </conditionalFormatting>
  <conditionalFormatting sqref="AZ83">
    <cfRule type="cellIs" dxfId="14993" priority="143413" stopIfTrue="1" operator="lessThan">
      <formula>0.5</formula>
    </cfRule>
  </conditionalFormatting>
  <conditionalFormatting sqref="AZ83">
    <cfRule type="cellIs" dxfId="14992" priority="143414" stopIfTrue="1" operator="greaterThanOrEqual">
      <formula>0.5</formula>
    </cfRule>
  </conditionalFormatting>
  <conditionalFormatting sqref="AZ84">
    <cfRule type="cellIs" dxfId="14991" priority="143415" stopIfTrue="1" operator="equal">
      <formula>-1</formula>
    </cfRule>
  </conditionalFormatting>
  <conditionalFormatting sqref="AZ84">
    <cfRule type="cellIs" dxfId="14990" priority="143416" stopIfTrue="1" operator="lessThan">
      <formula>0.5</formula>
    </cfRule>
  </conditionalFormatting>
  <conditionalFormatting sqref="AZ84">
    <cfRule type="cellIs" dxfId="14989" priority="143417" stopIfTrue="1" operator="greaterThanOrEqual">
      <formula>0.5</formula>
    </cfRule>
  </conditionalFormatting>
  <conditionalFormatting sqref="AZ85">
    <cfRule type="cellIs" dxfId="14988" priority="143418" stopIfTrue="1" operator="equal">
      <formula>-1</formula>
    </cfRule>
  </conditionalFormatting>
  <conditionalFormatting sqref="AZ85">
    <cfRule type="cellIs" dxfId="14987" priority="143419" stopIfTrue="1" operator="lessThan">
      <formula>0.5</formula>
    </cfRule>
  </conditionalFormatting>
  <conditionalFormatting sqref="AZ85">
    <cfRule type="cellIs" dxfId="14986" priority="143420" stopIfTrue="1" operator="greaterThanOrEqual">
      <formula>0.5</formula>
    </cfRule>
  </conditionalFormatting>
  <conditionalFormatting sqref="BB65">
    <cfRule type="cellIs" dxfId="14985" priority="143421" stopIfTrue="1" operator="equal">
      <formula>-1</formula>
    </cfRule>
  </conditionalFormatting>
  <conditionalFormatting sqref="BB65">
    <cfRule type="cellIs" dxfId="14984" priority="143422" stopIfTrue="1" operator="lessThan">
      <formula>0.5</formula>
    </cfRule>
  </conditionalFormatting>
  <conditionalFormatting sqref="BB65">
    <cfRule type="cellIs" dxfId="14983" priority="143423" stopIfTrue="1" operator="greaterThanOrEqual">
      <formula>0.5</formula>
    </cfRule>
  </conditionalFormatting>
  <conditionalFormatting sqref="BB66">
    <cfRule type="cellIs" dxfId="14982" priority="143424" stopIfTrue="1" operator="equal">
      <formula>-1</formula>
    </cfRule>
  </conditionalFormatting>
  <conditionalFormatting sqref="BB66">
    <cfRule type="cellIs" dxfId="14981" priority="143425" stopIfTrue="1" operator="lessThan">
      <formula>0.5</formula>
    </cfRule>
  </conditionalFormatting>
  <conditionalFormatting sqref="BB66">
    <cfRule type="cellIs" dxfId="14980" priority="143426" stopIfTrue="1" operator="greaterThanOrEqual">
      <formula>0.5</formula>
    </cfRule>
  </conditionalFormatting>
  <conditionalFormatting sqref="BB67">
    <cfRule type="cellIs" dxfId="14979" priority="143427" stopIfTrue="1" operator="equal">
      <formula>-1</formula>
    </cfRule>
  </conditionalFormatting>
  <conditionalFormatting sqref="BB67">
    <cfRule type="cellIs" dxfId="14978" priority="143428" stopIfTrue="1" operator="lessThan">
      <formula>0.5</formula>
    </cfRule>
  </conditionalFormatting>
  <conditionalFormatting sqref="BB67">
    <cfRule type="cellIs" dxfId="14977" priority="143429" stopIfTrue="1" operator="greaterThanOrEqual">
      <formula>0.5</formula>
    </cfRule>
  </conditionalFormatting>
  <conditionalFormatting sqref="BB68">
    <cfRule type="cellIs" dxfId="14976" priority="143430" stopIfTrue="1" operator="equal">
      <formula>-1</formula>
    </cfRule>
  </conditionalFormatting>
  <conditionalFormatting sqref="BB68">
    <cfRule type="cellIs" dxfId="14975" priority="143431" stopIfTrue="1" operator="lessThan">
      <formula>0.5</formula>
    </cfRule>
  </conditionalFormatting>
  <conditionalFormatting sqref="BB68">
    <cfRule type="cellIs" dxfId="14974" priority="143432" stopIfTrue="1" operator="greaterThanOrEqual">
      <formula>0.5</formula>
    </cfRule>
  </conditionalFormatting>
  <conditionalFormatting sqref="BB69">
    <cfRule type="cellIs" dxfId="14973" priority="143433" stopIfTrue="1" operator="equal">
      <formula>-1</formula>
    </cfRule>
  </conditionalFormatting>
  <conditionalFormatting sqref="BB69">
    <cfRule type="cellIs" dxfId="14972" priority="143434" stopIfTrue="1" operator="lessThan">
      <formula>0.5</formula>
    </cfRule>
  </conditionalFormatting>
  <conditionalFormatting sqref="BB69">
    <cfRule type="cellIs" dxfId="14971" priority="143435" stopIfTrue="1" operator="greaterThanOrEqual">
      <formula>0.5</formula>
    </cfRule>
  </conditionalFormatting>
  <conditionalFormatting sqref="BB70">
    <cfRule type="cellIs" dxfId="14970" priority="143436" stopIfTrue="1" operator="equal">
      <formula>-1</formula>
    </cfRule>
  </conditionalFormatting>
  <conditionalFormatting sqref="BB70">
    <cfRule type="cellIs" dxfId="14969" priority="143437" stopIfTrue="1" operator="lessThan">
      <formula>0.5</formula>
    </cfRule>
  </conditionalFormatting>
  <conditionalFormatting sqref="BB70">
    <cfRule type="cellIs" dxfId="14968" priority="143438" stopIfTrue="1" operator="greaterThanOrEqual">
      <formula>0.5</formula>
    </cfRule>
  </conditionalFormatting>
  <conditionalFormatting sqref="BB71">
    <cfRule type="cellIs" dxfId="14967" priority="143439" stopIfTrue="1" operator="equal">
      <formula>-1</formula>
    </cfRule>
  </conditionalFormatting>
  <conditionalFormatting sqref="BB71">
    <cfRule type="cellIs" dxfId="14966" priority="143440" stopIfTrue="1" operator="lessThan">
      <formula>0.5</formula>
    </cfRule>
  </conditionalFormatting>
  <conditionalFormatting sqref="BB71">
    <cfRule type="cellIs" dxfId="14965" priority="143441" stopIfTrue="1" operator="greaterThanOrEqual">
      <formula>0.5</formula>
    </cfRule>
  </conditionalFormatting>
  <conditionalFormatting sqref="BB72">
    <cfRule type="cellIs" dxfId="14964" priority="143442" stopIfTrue="1" operator="equal">
      <formula>-1</formula>
    </cfRule>
  </conditionalFormatting>
  <conditionalFormatting sqref="BB72">
    <cfRule type="cellIs" dxfId="14963" priority="143443" stopIfTrue="1" operator="lessThan">
      <formula>0.5</formula>
    </cfRule>
  </conditionalFormatting>
  <conditionalFormatting sqref="BB72">
    <cfRule type="cellIs" dxfId="14962" priority="143444" stopIfTrue="1" operator="greaterThanOrEqual">
      <formula>0.5</formula>
    </cfRule>
  </conditionalFormatting>
  <conditionalFormatting sqref="BB73">
    <cfRule type="cellIs" dxfId="14961" priority="143445" stopIfTrue="1" operator="equal">
      <formula>-1</formula>
    </cfRule>
  </conditionalFormatting>
  <conditionalFormatting sqref="BB73">
    <cfRule type="cellIs" dxfId="14960" priority="143446" stopIfTrue="1" operator="lessThan">
      <formula>0.5</formula>
    </cfRule>
  </conditionalFormatting>
  <conditionalFormatting sqref="BB73">
    <cfRule type="cellIs" dxfId="14959" priority="143447" stopIfTrue="1" operator="greaterThanOrEqual">
      <formula>0.5</formula>
    </cfRule>
  </conditionalFormatting>
  <conditionalFormatting sqref="BB74">
    <cfRule type="cellIs" dxfId="14958" priority="143448" stopIfTrue="1" operator="equal">
      <formula>-1</formula>
    </cfRule>
  </conditionalFormatting>
  <conditionalFormatting sqref="BB74">
    <cfRule type="cellIs" dxfId="14957" priority="143449" stopIfTrue="1" operator="lessThan">
      <formula>0.5</formula>
    </cfRule>
  </conditionalFormatting>
  <conditionalFormatting sqref="BB74">
    <cfRule type="cellIs" dxfId="14956" priority="143450" stopIfTrue="1" operator="greaterThanOrEqual">
      <formula>0.5</formula>
    </cfRule>
  </conditionalFormatting>
  <conditionalFormatting sqref="BB75">
    <cfRule type="cellIs" dxfId="14955" priority="143451" stopIfTrue="1" operator="equal">
      <formula>-1</formula>
    </cfRule>
  </conditionalFormatting>
  <conditionalFormatting sqref="BB75">
    <cfRule type="cellIs" dxfId="14954" priority="143452" stopIfTrue="1" operator="lessThan">
      <formula>0.5</formula>
    </cfRule>
  </conditionalFormatting>
  <conditionalFormatting sqref="BB75">
    <cfRule type="cellIs" dxfId="14953" priority="143453" stopIfTrue="1" operator="greaterThanOrEqual">
      <formula>0.5</formula>
    </cfRule>
  </conditionalFormatting>
  <conditionalFormatting sqref="BB76">
    <cfRule type="cellIs" dxfId="14952" priority="143454" stopIfTrue="1" operator="equal">
      <formula>-1</formula>
    </cfRule>
  </conditionalFormatting>
  <conditionalFormatting sqref="BB76">
    <cfRule type="cellIs" dxfId="14951" priority="143455" stopIfTrue="1" operator="lessThan">
      <formula>0.5</formula>
    </cfRule>
  </conditionalFormatting>
  <conditionalFormatting sqref="BB76">
    <cfRule type="cellIs" dxfId="14950" priority="143456" stopIfTrue="1" operator="greaterThanOrEqual">
      <formula>0.5</formula>
    </cfRule>
  </conditionalFormatting>
  <conditionalFormatting sqref="BB77">
    <cfRule type="cellIs" dxfId="14949" priority="143457" stopIfTrue="1" operator="equal">
      <formula>-1</formula>
    </cfRule>
  </conditionalFormatting>
  <conditionalFormatting sqref="BB77">
    <cfRule type="cellIs" dxfId="14948" priority="143458" stopIfTrue="1" operator="lessThan">
      <formula>0.5</formula>
    </cfRule>
  </conditionalFormatting>
  <conditionalFormatting sqref="BB77">
    <cfRule type="cellIs" dxfId="14947" priority="143459" stopIfTrue="1" operator="greaterThanOrEqual">
      <formula>0.5</formula>
    </cfRule>
  </conditionalFormatting>
  <conditionalFormatting sqref="BB78">
    <cfRule type="cellIs" dxfId="14946" priority="143460" stopIfTrue="1" operator="equal">
      <formula>-1</formula>
    </cfRule>
  </conditionalFormatting>
  <conditionalFormatting sqref="BB78">
    <cfRule type="cellIs" dxfId="14945" priority="143461" stopIfTrue="1" operator="lessThan">
      <formula>0.5</formula>
    </cfRule>
  </conditionalFormatting>
  <conditionalFormatting sqref="BB78">
    <cfRule type="cellIs" dxfId="14944" priority="143462" stopIfTrue="1" operator="greaterThanOrEqual">
      <formula>0.5</formula>
    </cfRule>
  </conditionalFormatting>
  <conditionalFormatting sqref="BB79">
    <cfRule type="cellIs" dxfId="14943" priority="143463" stopIfTrue="1" operator="equal">
      <formula>-1</formula>
    </cfRule>
  </conditionalFormatting>
  <conditionalFormatting sqref="BB79">
    <cfRule type="cellIs" dxfId="14942" priority="143464" stopIfTrue="1" operator="lessThan">
      <formula>0.5</formula>
    </cfRule>
  </conditionalFormatting>
  <conditionalFormatting sqref="BB79">
    <cfRule type="cellIs" dxfId="14941" priority="143465" stopIfTrue="1" operator="greaterThanOrEqual">
      <formula>0.5</formula>
    </cfRule>
  </conditionalFormatting>
  <conditionalFormatting sqref="BB80">
    <cfRule type="cellIs" dxfId="14940" priority="143466" stopIfTrue="1" operator="equal">
      <formula>-1</formula>
    </cfRule>
  </conditionalFormatting>
  <conditionalFormatting sqref="BB80">
    <cfRule type="cellIs" dxfId="14939" priority="143467" stopIfTrue="1" operator="lessThan">
      <formula>0.5</formula>
    </cfRule>
  </conditionalFormatting>
  <conditionalFormatting sqref="BB80">
    <cfRule type="cellIs" dxfId="14938" priority="143468" stopIfTrue="1" operator="greaterThanOrEqual">
      <formula>0.5</formula>
    </cfRule>
  </conditionalFormatting>
  <conditionalFormatting sqref="BB81">
    <cfRule type="cellIs" dxfId="14937" priority="143469" stopIfTrue="1" operator="equal">
      <formula>-1</formula>
    </cfRule>
  </conditionalFormatting>
  <conditionalFormatting sqref="BB81">
    <cfRule type="cellIs" dxfId="14936" priority="143470" stopIfTrue="1" operator="lessThan">
      <formula>0.5</formula>
    </cfRule>
  </conditionalFormatting>
  <conditionalFormatting sqref="BB81">
    <cfRule type="cellIs" dxfId="14935" priority="143471" stopIfTrue="1" operator="greaterThanOrEqual">
      <formula>0.5</formula>
    </cfRule>
  </conditionalFormatting>
  <conditionalFormatting sqref="BB82">
    <cfRule type="cellIs" dxfId="14934" priority="143472" stopIfTrue="1" operator="equal">
      <formula>-1</formula>
    </cfRule>
  </conditionalFormatting>
  <conditionalFormatting sqref="BB82">
    <cfRule type="cellIs" dxfId="14933" priority="143473" stopIfTrue="1" operator="lessThan">
      <formula>0.5</formula>
    </cfRule>
  </conditionalFormatting>
  <conditionalFormatting sqref="BB82">
    <cfRule type="cellIs" dxfId="14932" priority="143474" stopIfTrue="1" operator="greaterThanOrEqual">
      <formula>0.5</formula>
    </cfRule>
  </conditionalFormatting>
  <conditionalFormatting sqref="BB83">
    <cfRule type="cellIs" dxfId="14931" priority="143475" stopIfTrue="1" operator="equal">
      <formula>-1</formula>
    </cfRule>
  </conditionalFormatting>
  <conditionalFormatting sqref="BB83">
    <cfRule type="cellIs" dxfId="14930" priority="143476" stopIfTrue="1" operator="lessThan">
      <formula>0.5</formula>
    </cfRule>
  </conditionalFormatting>
  <conditionalFormatting sqref="BB83">
    <cfRule type="cellIs" dxfId="14929" priority="143477" stopIfTrue="1" operator="greaterThanOrEqual">
      <formula>0.5</formula>
    </cfRule>
  </conditionalFormatting>
  <conditionalFormatting sqref="BB84">
    <cfRule type="cellIs" dxfId="14928" priority="143478" stopIfTrue="1" operator="equal">
      <formula>-1</formula>
    </cfRule>
  </conditionalFormatting>
  <conditionalFormatting sqref="BB84">
    <cfRule type="cellIs" dxfId="14927" priority="143479" stopIfTrue="1" operator="lessThan">
      <formula>0.5</formula>
    </cfRule>
  </conditionalFormatting>
  <conditionalFormatting sqref="BB84">
    <cfRule type="cellIs" dxfId="14926" priority="143480" stopIfTrue="1" operator="greaterThanOrEqual">
      <formula>0.5</formula>
    </cfRule>
  </conditionalFormatting>
  <conditionalFormatting sqref="BB85">
    <cfRule type="cellIs" dxfId="14925" priority="143481" stopIfTrue="1" operator="equal">
      <formula>-1</formula>
    </cfRule>
  </conditionalFormatting>
  <conditionalFormatting sqref="BB85">
    <cfRule type="cellIs" dxfId="14924" priority="143482" stopIfTrue="1" operator="lessThan">
      <formula>0.5</formula>
    </cfRule>
  </conditionalFormatting>
  <conditionalFormatting sqref="BB85">
    <cfRule type="cellIs" dxfId="14923" priority="143483" stopIfTrue="1" operator="greaterThanOrEqual">
      <formula>0.5</formula>
    </cfRule>
  </conditionalFormatting>
  <conditionalFormatting sqref="BD65">
    <cfRule type="cellIs" dxfId="14922" priority="143484" stopIfTrue="1" operator="equal">
      <formula>-1</formula>
    </cfRule>
  </conditionalFormatting>
  <conditionalFormatting sqref="BD65">
    <cfRule type="cellIs" dxfId="14921" priority="143485" stopIfTrue="1" operator="lessThan">
      <formula>0.5</formula>
    </cfRule>
  </conditionalFormatting>
  <conditionalFormatting sqref="BD65">
    <cfRule type="cellIs" dxfId="14920" priority="143486" stopIfTrue="1" operator="greaterThanOrEqual">
      <formula>0.5</formula>
    </cfRule>
  </conditionalFormatting>
  <conditionalFormatting sqref="BD66">
    <cfRule type="cellIs" dxfId="14919" priority="143487" stopIfTrue="1" operator="equal">
      <formula>-1</formula>
    </cfRule>
  </conditionalFormatting>
  <conditionalFormatting sqref="BD66">
    <cfRule type="cellIs" dxfId="14918" priority="143488" stopIfTrue="1" operator="lessThan">
      <formula>0.5</formula>
    </cfRule>
  </conditionalFormatting>
  <conditionalFormatting sqref="BD66">
    <cfRule type="cellIs" dxfId="14917" priority="143489" stopIfTrue="1" operator="greaterThanOrEqual">
      <formula>0.5</formula>
    </cfRule>
  </conditionalFormatting>
  <conditionalFormatting sqref="BD67">
    <cfRule type="cellIs" dxfId="14916" priority="143490" stopIfTrue="1" operator="equal">
      <formula>-1</formula>
    </cfRule>
  </conditionalFormatting>
  <conditionalFormatting sqref="BD67">
    <cfRule type="cellIs" dxfId="14915" priority="143491" stopIfTrue="1" operator="lessThan">
      <formula>0.5</formula>
    </cfRule>
  </conditionalFormatting>
  <conditionalFormatting sqref="BD67">
    <cfRule type="cellIs" dxfId="14914" priority="143492" stopIfTrue="1" operator="greaterThanOrEqual">
      <formula>0.5</formula>
    </cfRule>
  </conditionalFormatting>
  <conditionalFormatting sqref="BD68">
    <cfRule type="cellIs" dxfId="14913" priority="143493" stopIfTrue="1" operator="equal">
      <formula>-1</formula>
    </cfRule>
  </conditionalFormatting>
  <conditionalFormatting sqref="BD68">
    <cfRule type="cellIs" dxfId="14912" priority="143494" stopIfTrue="1" operator="lessThan">
      <formula>0.5</formula>
    </cfRule>
  </conditionalFormatting>
  <conditionalFormatting sqref="BD68">
    <cfRule type="cellIs" dxfId="14911" priority="143495" stopIfTrue="1" operator="greaterThanOrEqual">
      <formula>0.5</formula>
    </cfRule>
  </conditionalFormatting>
  <conditionalFormatting sqref="BD69">
    <cfRule type="cellIs" dxfId="14910" priority="143496" stopIfTrue="1" operator="equal">
      <formula>-1</formula>
    </cfRule>
  </conditionalFormatting>
  <conditionalFormatting sqref="BD69">
    <cfRule type="cellIs" dxfId="14909" priority="143497" stopIfTrue="1" operator="lessThan">
      <formula>0.5</formula>
    </cfRule>
  </conditionalFormatting>
  <conditionalFormatting sqref="BD69">
    <cfRule type="cellIs" dxfId="14908" priority="143498" stopIfTrue="1" operator="greaterThanOrEqual">
      <formula>0.5</formula>
    </cfRule>
  </conditionalFormatting>
  <conditionalFormatting sqref="BD70">
    <cfRule type="cellIs" dxfId="14907" priority="143499" stopIfTrue="1" operator="equal">
      <formula>-1</formula>
    </cfRule>
  </conditionalFormatting>
  <conditionalFormatting sqref="BD70">
    <cfRule type="cellIs" dxfId="14906" priority="143500" stopIfTrue="1" operator="lessThan">
      <formula>0.5</formula>
    </cfRule>
  </conditionalFormatting>
  <conditionalFormatting sqref="BD70">
    <cfRule type="cellIs" dxfId="14905" priority="143501" stopIfTrue="1" operator="greaterThanOrEqual">
      <formula>0.5</formula>
    </cfRule>
  </conditionalFormatting>
  <conditionalFormatting sqref="BD71">
    <cfRule type="cellIs" dxfId="14904" priority="143502" stopIfTrue="1" operator="equal">
      <formula>-1</formula>
    </cfRule>
  </conditionalFormatting>
  <conditionalFormatting sqref="BD71">
    <cfRule type="cellIs" dxfId="14903" priority="143503" stopIfTrue="1" operator="lessThan">
      <formula>0.5</formula>
    </cfRule>
  </conditionalFormatting>
  <conditionalFormatting sqref="BD71">
    <cfRule type="cellIs" dxfId="14902" priority="143504" stopIfTrue="1" operator="greaterThanOrEqual">
      <formula>0.5</formula>
    </cfRule>
  </conditionalFormatting>
  <conditionalFormatting sqref="BD72">
    <cfRule type="cellIs" dxfId="14901" priority="143505" stopIfTrue="1" operator="equal">
      <formula>-1</formula>
    </cfRule>
  </conditionalFormatting>
  <conditionalFormatting sqref="BD72">
    <cfRule type="cellIs" dxfId="14900" priority="143506" stopIfTrue="1" operator="lessThan">
      <formula>0.5</formula>
    </cfRule>
  </conditionalFormatting>
  <conditionalFormatting sqref="BD72">
    <cfRule type="cellIs" dxfId="14899" priority="143507" stopIfTrue="1" operator="greaterThanOrEqual">
      <formula>0.5</formula>
    </cfRule>
  </conditionalFormatting>
  <conditionalFormatting sqref="BD73">
    <cfRule type="cellIs" dxfId="14898" priority="143508" stopIfTrue="1" operator="equal">
      <formula>-1</formula>
    </cfRule>
  </conditionalFormatting>
  <conditionalFormatting sqref="BD73">
    <cfRule type="cellIs" dxfId="14897" priority="143509" stopIfTrue="1" operator="lessThan">
      <formula>0.5</formula>
    </cfRule>
  </conditionalFormatting>
  <conditionalFormatting sqref="BD73">
    <cfRule type="cellIs" dxfId="14896" priority="143510" stopIfTrue="1" operator="greaterThanOrEqual">
      <formula>0.5</formula>
    </cfRule>
  </conditionalFormatting>
  <conditionalFormatting sqref="BD74">
    <cfRule type="cellIs" dxfId="14895" priority="143511" stopIfTrue="1" operator="equal">
      <formula>-1</formula>
    </cfRule>
  </conditionalFormatting>
  <conditionalFormatting sqref="BD74">
    <cfRule type="cellIs" dxfId="14894" priority="143512" stopIfTrue="1" operator="lessThan">
      <formula>0.5</formula>
    </cfRule>
  </conditionalFormatting>
  <conditionalFormatting sqref="BD74">
    <cfRule type="cellIs" dxfId="14893" priority="143513" stopIfTrue="1" operator="greaterThanOrEqual">
      <formula>0.5</formula>
    </cfRule>
  </conditionalFormatting>
  <conditionalFormatting sqref="BD75">
    <cfRule type="cellIs" dxfId="14892" priority="143514" stopIfTrue="1" operator="equal">
      <formula>-1</formula>
    </cfRule>
  </conditionalFormatting>
  <conditionalFormatting sqref="BD75">
    <cfRule type="cellIs" dxfId="14891" priority="143515" stopIfTrue="1" operator="lessThan">
      <formula>0.5</formula>
    </cfRule>
  </conditionalFormatting>
  <conditionalFormatting sqref="BD75">
    <cfRule type="cellIs" dxfId="14890" priority="143516" stopIfTrue="1" operator="greaterThanOrEqual">
      <formula>0.5</formula>
    </cfRule>
  </conditionalFormatting>
  <conditionalFormatting sqref="BD76">
    <cfRule type="cellIs" dxfId="14889" priority="143517" stopIfTrue="1" operator="equal">
      <formula>-1</formula>
    </cfRule>
  </conditionalFormatting>
  <conditionalFormatting sqref="BD76">
    <cfRule type="cellIs" dxfId="14888" priority="143518" stopIfTrue="1" operator="lessThan">
      <formula>0.5</formula>
    </cfRule>
  </conditionalFormatting>
  <conditionalFormatting sqref="BD76">
    <cfRule type="cellIs" dxfId="14887" priority="143519" stopIfTrue="1" operator="greaterThanOrEqual">
      <formula>0.5</formula>
    </cfRule>
  </conditionalFormatting>
  <conditionalFormatting sqref="BD77">
    <cfRule type="cellIs" dxfId="14886" priority="143520" stopIfTrue="1" operator="equal">
      <formula>-1</formula>
    </cfRule>
  </conditionalFormatting>
  <conditionalFormatting sqref="BD77">
    <cfRule type="cellIs" dxfId="14885" priority="143521" stopIfTrue="1" operator="lessThan">
      <formula>0.5</formula>
    </cfRule>
  </conditionalFormatting>
  <conditionalFormatting sqref="BD77">
    <cfRule type="cellIs" dxfId="14884" priority="143522" stopIfTrue="1" operator="greaterThanOrEqual">
      <formula>0.5</formula>
    </cfRule>
  </conditionalFormatting>
  <conditionalFormatting sqref="BD78">
    <cfRule type="cellIs" dxfId="14883" priority="143523" stopIfTrue="1" operator="equal">
      <formula>-1</formula>
    </cfRule>
  </conditionalFormatting>
  <conditionalFormatting sqref="BD78">
    <cfRule type="cellIs" dxfId="14882" priority="143524" stopIfTrue="1" operator="lessThan">
      <formula>0.5</formula>
    </cfRule>
  </conditionalFormatting>
  <conditionalFormatting sqref="BD78">
    <cfRule type="cellIs" dxfId="14881" priority="143525" stopIfTrue="1" operator="greaterThanOrEqual">
      <formula>0.5</formula>
    </cfRule>
  </conditionalFormatting>
  <conditionalFormatting sqref="BD79">
    <cfRule type="cellIs" dxfId="14880" priority="143526" stopIfTrue="1" operator="equal">
      <formula>-1</formula>
    </cfRule>
  </conditionalFormatting>
  <conditionalFormatting sqref="BD79">
    <cfRule type="cellIs" dxfId="14879" priority="143527" stopIfTrue="1" operator="lessThan">
      <formula>0.5</formula>
    </cfRule>
  </conditionalFormatting>
  <conditionalFormatting sqref="BD79">
    <cfRule type="cellIs" dxfId="14878" priority="143528" stopIfTrue="1" operator="greaterThanOrEqual">
      <formula>0.5</formula>
    </cfRule>
  </conditionalFormatting>
  <conditionalFormatting sqref="BD80">
    <cfRule type="cellIs" dxfId="14877" priority="143529" stopIfTrue="1" operator="equal">
      <formula>-1</formula>
    </cfRule>
  </conditionalFormatting>
  <conditionalFormatting sqref="BD80">
    <cfRule type="cellIs" dxfId="14876" priority="143530" stopIfTrue="1" operator="lessThan">
      <formula>0.5</formula>
    </cfRule>
  </conditionalFormatting>
  <conditionalFormatting sqref="BD80">
    <cfRule type="cellIs" dxfId="14875" priority="143531" stopIfTrue="1" operator="greaterThanOrEqual">
      <formula>0.5</formula>
    </cfRule>
  </conditionalFormatting>
  <conditionalFormatting sqref="BD81">
    <cfRule type="cellIs" dxfId="14874" priority="143532" stopIfTrue="1" operator="equal">
      <formula>-1</formula>
    </cfRule>
  </conditionalFormatting>
  <conditionalFormatting sqref="BD81">
    <cfRule type="cellIs" dxfId="14873" priority="143533" stopIfTrue="1" operator="lessThan">
      <formula>0.5</formula>
    </cfRule>
  </conditionalFormatting>
  <conditionalFormatting sqref="BD81">
    <cfRule type="cellIs" dxfId="14872" priority="143534" stopIfTrue="1" operator="greaterThanOrEqual">
      <formula>0.5</formula>
    </cfRule>
  </conditionalFormatting>
  <conditionalFormatting sqref="BD82">
    <cfRule type="cellIs" dxfId="14871" priority="143535" stopIfTrue="1" operator="equal">
      <formula>-1</formula>
    </cfRule>
  </conditionalFormatting>
  <conditionalFormatting sqref="BD82">
    <cfRule type="cellIs" dxfId="14870" priority="143536" stopIfTrue="1" operator="lessThan">
      <formula>0.5</formula>
    </cfRule>
  </conditionalFormatting>
  <conditionalFormatting sqref="BD82">
    <cfRule type="cellIs" dxfId="14869" priority="143537" stopIfTrue="1" operator="greaterThanOrEqual">
      <formula>0.5</formula>
    </cfRule>
  </conditionalFormatting>
  <conditionalFormatting sqref="BD83">
    <cfRule type="cellIs" dxfId="14868" priority="143538" stopIfTrue="1" operator="equal">
      <formula>-1</formula>
    </cfRule>
  </conditionalFormatting>
  <conditionalFormatting sqref="BD83">
    <cfRule type="cellIs" dxfId="14867" priority="143539" stopIfTrue="1" operator="lessThan">
      <formula>0.5</formula>
    </cfRule>
  </conditionalFormatting>
  <conditionalFormatting sqref="BD83">
    <cfRule type="cellIs" dxfId="14866" priority="143540" stopIfTrue="1" operator="greaterThanOrEqual">
      <formula>0.5</formula>
    </cfRule>
  </conditionalFormatting>
  <conditionalFormatting sqref="BD84">
    <cfRule type="cellIs" dxfId="14865" priority="143541" stopIfTrue="1" operator="equal">
      <formula>-1</formula>
    </cfRule>
  </conditionalFormatting>
  <conditionalFormatting sqref="BD84">
    <cfRule type="cellIs" dxfId="14864" priority="143542" stopIfTrue="1" operator="lessThan">
      <formula>0.5</formula>
    </cfRule>
  </conditionalFormatting>
  <conditionalFormatting sqref="BD84">
    <cfRule type="cellIs" dxfId="14863" priority="143543" stopIfTrue="1" operator="greaterThanOrEqual">
      <formula>0.5</formula>
    </cfRule>
  </conditionalFormatting>
  <conditionalFormatting sqref="BD85">
    <cfRule type="cellIs" dxfId="14862" priority="143544" stopIfTrue="1" operator="equal">
      <formula>-1</formula>
    </cfRule>
  </conditionalFormatting>
  <conditionalFormatting sqref="BD85">
    <cfRule type="cellIs" dxfId="14861" priority="143545" stopIfTrue="1" operator="lessThan">
      <formula>0.5</formula>
    </cfRule>
  </conditionalFormatting>
  <conditionalFormatting sqref="BD85">
    <cfRule type="cellIs" dxfId="14860" priority="143546" stopIfTrue="1" operator="greaterThanOrEqual">
      <formula>0.5</formula>
    </cfRule>
  </conditionalFormatting>
  <conditionalFormatting sqref="BF65">
    <cfRule type="cellIs" dxfId="14859" priority="143547" stopIfTrue="1" operator="equal">
      <formula>-1</formula>
    </cfRule>
  </conditionalFormatting>
  <conditionalFormatting sqref="BF65">
    <cfRule type="cellIs" dxfId="14858" priority="143548" stopIfTrue="1" operator="lessThan">
      <formula>0.5</formula>
    </cfRule>
  </conditionalFormatting>
  <conditionalFormatting sqref="BF65">
    <cfRule type="cellIs" dxfId="14857" priority="143549" stopIfTrue="1" operator="greaterThanOrEqual">
      <formula>0.5</formula>
    </cfRule>
  </conditionalFormatting>
  <conditionalFormatting sqref="BF66">
    <cfRule type="cellIs" dxfId="14856" priority="143550" stopIfTrue="1" operator="equal">
      <formula>-1</formula>
    </cfRule>
  </conditionalFormatting>
  <conditionalFormatting sqref="BF66">
    <cfRule type="cellIs" dxfId="14855" priority="143551" stopIfTrue="1" operator="lessThan">
      <formula>0.5</formula>
    </cfRule>
  </conditionalFormatting>
  <conditionalFormatting sqref="BF66">
    <cfRule type="cellIs" dxfId="14854" priority="143552" stopIfTrue="1" operator="greaterThanOrEqual">
      <formula>0.5</formula>
    </cfRule>
  </conditionalFormatting>
  <conditionalFormatting sqref="BF67">
    <cfRule type="cellIs" dxfId="14853" priority="143553" stopIfTrue="1" operator="equal">
      <formula>-1</formula>
    </cfRule>
  </conditionalFormatting>
  <conditionalFormatting sqref="BF67">
    <cfRule type="cellIs" dxfId="14852" priority="143554" stopIfTrue="1" operator="lessThan">
      <formula>0.5</formula>
    </cfRule>
  </conditionalFormatting>
  <conditionalFormatting sqref="BF67">
    <cfRule type="cellIs" dxfId="14851" priority="143555" stopIfTrue="1" operator="greaterThanOrEqual">
      <formula>0.5</formula>
    </cfRule>
  </conditionalFormatting>
  <conditionalFormatting sqref="BF68">
    <cfRule type="cellIs" dxfId="14850" priority="143556" stopIfTrue="1" operator="equal">
      <formula>-1</formula>
    </cfRule>
  </conditionalFormatting>
  <conditionalFormatting sqref="BF68">
    <cfRule type="cellIs" dxfId="14849" priority="143557" stopIfTrue="1" operator="lessThan">
      <formula>0.5</formula>
    </cfRule>
  </conditionalFormatting>
  <conditionalFormatting sqref="BF68">
    <cfRule type="cellIs" dxfId="14848" priority="143558" stopIfTrue="1" operator="greaterThanOrEqual">
      <formula>0.5</formula>
    </cfRule>
  </conditionalFormatting>
  <conditionalFormatting sqref="BF69">
    <cfRule type="cellIs" dxfId="14847" priority="143559" stopIfTrue="1" operator="equal">
      <formula>-1</formula>
    </cfRule>
  </conditionalFormatting>
  <conditionalFormatting sqref="BF69">
    <cfRule type="cellIs" dxfId="14846" priority="143560" stopIfTrue="1" operator="lessThan">
      <formula>0.5</formula>
    </cfRule>
  </conditionalFormatting>
  <conditionalFormatting sqref="BF69">
    <cfRule type="cellIs" dxfId="14845" priority="143561" stopIfTrue="1" operator="greaterThanOrEqual">
      <formula>0.5</formula>
    </cfRule>
  </conditionalFormatting>
  <conditionalFormatting sqref="BF70">
    <cfRule type="cellIs" dxfId="14844" priority="143562" stopIfTrue="1" operator="equal">
      <formula>-1</formula>
    </cfRule>
  </conditionalFormatting>
  <conditionalFormatting sqref="BF70">
    <cfRule type="cellIs" dxfId="14843" priority="143563" stopIfTrue="1" operator="lessThan">
      <formula>0.5</formula>
    </cfRule>
  </conditionalFormatting>
  <conditionalFormatting sqref="BF70">
    <cfRule type="cellIs" dxfId="14842" priority="143564" stopIfTrue="1" operator="greaterThanOrEqual">
      <formula>0.5</formula>
    </cfRule>
  </conditionalFormatting>
  <conditionalFormatting sqref="BF71">
    <cfRule type="cellIs" dxfId="14841" priority="143565" stopIfTrue="1" operator="equal">
      <formula>-1</formula>
    </cfRule>
  </conditionalFormatting>
  <conditionalFormatting sqref="BF71">
    <cfRule type="cellIs" dxfId="14840" priority="143566" stopIfTrue="1" operator="lessThan">
      <formula>0.5</formula>
    </cfRule>
  </conditionalFormatting>
  <conditionalFormatting sqref="BF71">
    <cfRule type="cellIs" dxfId="14839" priority="143567" stopIfTrue="1" operator="greaterThanOrEqual">
      <formula>0.5</formula>
    </cfRule>
  </conditionalFormatting>
  <conditionalFormatting sqref="BF72">
    <cfRule type="cellIs" dxfId="14838" priority="143568" stopIfTrue="1" operator="equal">
      <formula>-1</formula>
    </cfRule>
  </conditionalFormatting>
  <conditionalFormatting sqref="BF72">
    <cfRule type="cellIs" dxfId="14837" priority="143569" stopIfTrue="1" operator="lessThan">
      <formula>0.5</formula>
    </cfRule>
  </conditionalFormatting>
  <conditionalFormatting sqref="BF72">
    <cfRule type="cellIs" dxfId="14836" priority="143570" stopIfTrue="1" operator="greaterThanOrEqual">
      <formula>0.5</formula>
    </cfRule>
  </conditionalFormatting>
  <conditionalFormatting sqref="BF73">
    <cfRule type="cellIs" dxfId="14835" priority="143571" stopIfTrue="1" operator="equal">
      <formula>-1</formula>
    </cfRule>
  </conditionalFormatting>
  <conditionalFormatting sqref="BF73">
    <cfRule type="cellIs" dxfId="14834" priority="143572" stopIfTrue="1" operator="lessThan">
      <formula>0.5</formula>
    </cfRule>
  </conditionalFormatting>
  <conditionalFormatting sqref="BF73">
    <cfRule type="cellIs" dxfId="14833" priority="143573" stopIfTrue="1" operator="greaterThanOrEqual">
      <formula>0.5</formula>
    </cfRule>
  </conditionalFormatting>
  <conditionalFormatting sqref="BF74">
    <cfRule type="cellIs" dxfId="14832" priority="143574" stopIfTrue="1" operator="equal">
      <formula>-1</formula>
    </cfRule>
  </conditionalFormatting>
  <conditionalFormatting sqref="BF74">
    <cfRule type="cellIs" dxfId="14831" priority="143575" stopIfTrue="1" operator="lessThan">
      <formula>0.5</formula>
    </cfRule>
  </conditionalFormatting>
  <conditionalFormatting sqref="BF74">
    <cfRule type="cellIs" dxfId="14830" priority="143576" stopIfTrue="1" operator="greaterThanOrEqual">
      <formula>0.5</formula>
    </cfRule>
  </conditionalFormatting>
  <conditionalFormatting sqref="BF75">
    <cfRule type="cellIs" dxfId="14829" priority="143577" stopIfTrue="1" operator="equal">
      <formula>-1</formula>
    </cfRule>
  </conditionalFormatting>
  <conditionalFormatting sqref="BF75">
    <cfRule type="cellIs" dxfId="14828" priority="143578" stopIfTrue="1" operator="lessThan">
      <formula>0.5</formula>
    </cfRule>
  </conditionalFormatting>
  <conditionalFormatting sqref="BF75">
    <cfRule type="cellIs" dxfId="14827" priority="143579" stopIfTrue="1" operator="greaterThanOrEqual">
      <formula>0.5</formula>
    </cfRule>
  </conditionalFormatting>
  <conditionalFormatting sqref="BF76">
    <cfRule type="cellIs" dxfId="14826" priority="143580" stopIfTrue="1" operator="equal">
      <formula>-1</formula>
    </cfRule>
  </conditionalFormatting>
  <conditionalFormatting sqref="BF76">
    <cfRule type="cellIs" dxfId="14825" priority="143581" stopIfTrue="1" operator="lessThan">
      <formula>0.5</formula>
    </cfRule>
  </conditionalFormatting>
  <conditionalFormatting sqref="BF76">
    <cfRule type="cellIs" dxfId="14824" priority="143582" stopIfTrue="1" operator="greaterThanOrEqual">
      <formula>0.5</formula>
    </cfRule>
  </conditionalFormatting>
  <conditionalFormatting sqref="BF77">
    <cfRule type="cellIs" dxfId="14823" priority="143583" stopIfTrue="1" operator="equal">
      <formula>-1</formula>
    </cfRule>
  </conditionalFormatting>
  <conditionalFormatting sqref="BF77">
    <cfRule type="cellIs" dxfId="14822" priority="143584" stopIfTrue="1" operator="lessThan">
      <formula>0.5</formula>
    </cfRule>
  </conditionalFormatting>
  <conditionalFormatting sqref="BF77">
    <cfRule type="cellIs" dxfId="14821" priority="143585" stopIfTrue="1" operator="greaterThanOrEqual">
      <formula>0.5</formula>
    </cfRule>
  </conditionalFormatting>
  <conditionalFormatting sqref="BF78">
    <cfRule type="cellIs" dxfId="14820" priority="143586" stopIfTrue="1" operator="equal">
      <formula>-1</formula>
    </cfRule>
  </conditionalFormatting>
  <conditionalFormatting sqref="BF78">
    <cfRule type="cellIs" dxfId="14819" priority="143587" stopIfTrue="1" operator="lessThan">
      <formula>0.5</formula>
    </cfRule>
  </conditionalFormatting>
  <conditionalFormatting sqref="BF78">
    <cfRule type="cellIs" dxfId="14818" priority="143588" stopIfTrue="1" operator="greaterThanOrEqual">
      <formula>0.5</formula>
    </cfRule>
  </conditionalFormatting>
  <conditionalFormatting sqref="BF79">
    <cfRule type="cellIs" dxfId="14817" priority="143589" stopIfTrue="1" operator="equal">
      <formula>-1</formula>
    </cfRule>
  </conditionalFormatting>
  <conditionalFormatting sqref="BF79">
    <cfRule type="cellIs" dxfId="14816" priority="143590" stopIfTrue="1" operator="lessThan">
      <formula>0.5</formula>
    </cfRule>
  </conditionalFormatting>
  <conditionalFormatting sqref="BF79">
    <cfRule type="cellIs" dxfId="14815" priority="143591" stopIfTrue="1" operator="greaterThanOrEqual">
      <formula>0.5</formula>
    </cfRule>
  </conditionalFormatting>
  <conditionalFormatting sqref="BF80">
    <cfRule type="cellIs" dxfId="14814" priority="143592" stopIfTrue="1" operator="equal">
      <formula>-1</formula>
    </cfRule>
  </conditionalFormatting>
  <conditionalFormatting sqref="BF80">
    <cfRule type="cellIs" dxfId="14813" priority="143593" stopIfTrue="1" operator="lessThan">
      <formula>0.5</formula>
    </cfRule>
  </conditionalFormatting>
  <conditionalFormatting sqref="BF80">
    <cfRule type="cellIs" dxfId="14812" priority="143594" stopIfTrue="1" operator="greaterThanOrEqual">
      <formula>0.5</formula>
    </cfRule>
  </conditionalFormatting>
  <conditionalFormatting sqref="BF81">
    <cfRule type="cellIs" dxfId="14811" priority="143595" stopIfTrue="1" operator="equal">
      <formula>-1</formula>
    </cfRule>
  </conditionalFormatting>
  <conditionalFormatting sqref="BF81">
    <cfRule type="cellIs" dxfId="14810" priority="143596" stopIfTrue="1" operator="lessThan">
      <formula>0.5</formula>
    </cfRule>
  </conditionalFormatting>
  <conditionalFormatting sqref="BF81">
    <cfRule type="cellIs" dxfId="14809" priority="143597" stopIfTrue="1" operator="greaterThanOrEqual">
      <formula>0.5</formula>
    </cfRule>
  </conditionalFormatting>
  <conditionalFormatting sqref="BF82">
    <cfRule type="cellIs" dxfId="14808" priority="143598" stopIfTrue="1" operator="equal">
      <formula>-1</formula>
    </cfRule>
  </conditionalFormatting>
  <conditionalFormatting sqref="BF82">
    <cfRule type="cellIs" dxfId="14807" priority="143599" stopIfTrue="1" operator="lessThan">
      <formula>0.5</formula>
    </cfRule>
  </conditionalFormatting>
  <conditionalFormatting sqref="BF82">
    <cfRule type="cellIs" dxfId="14806" priority="143600" stopIfTrue="1" operator="greaterThanOrEqual">
      <formula>0.5</formula>
    </cfRule>
  </conditionalFormatting>
  <conditionalFormatting sqref="BF83">
    <cfRule type="cellIs" dxfId="14805" priority="143601" stopIfTrue="1" operator="equal">
      <formula>-1</formula>
    </cfRule>
  </conditionalFormatting>
  <conditionalFormatting sqref="BF83">
    <cfRule type="cellIs" dxfId="14804" priority="143602" stopIfTrue="1" operator="lessThan">
      <formula>0.5</formula>
    </cfRule>
  </conditionalFormatting>
  <conditionalFormatting sqref="BF83">
    <cfRule type="cellIs" dxfId="14803" priority="143603" stopIfTrue="1" operator="greaterThanOrEqual">
      <formula>0.5</formula>
    </cfRule>
  </conditionalFormatting>
  <conditionalFormatting sqref="BF84">
    <cfRule type="cellIs" dxfId="14802" priority="143604" stopIfTrue="1" operator="equal">
      <formula>-1</formula>
    </cfRule>
  </conditionalFormatting>
  <conditionalFormatting sqref="BF84">
    <cfRule type="cellIs" dxfId="14801" priority="143605" stopIfTrue="1" operator="lessThan">
      <formula>0.5</formula>
    </cfRule>
  </conditionalFormatting>
  <conditionalFormatting sqref="BF84">
    <cfRule type="cellIs" dxfId="14800" priority="143606" stopIfTrue="1" operator="greaterThanOrEqual">
      <formula>0.5</formula>
    </cfRule>
  </conditionalFormatting>
  <conditionalFormatting sqref="BF85">
    <cfRule type="cellIs" dxfId="14799" priority="143607" stopIfTrue="1" operator="equal">
      <formula>-1</formula>
    </cfRule>
  </conditionalFormatting>
  <conditionalFormatting sqref="BF85">
    <cfRule type="cellIs" dxfId="14798" priority="143608" stopIfTrue="1" operator="lessThan">
      <formula>0.5</formula>
    </cfRule>
  </conditionalFormatting>
  <conditionalFormatting sqref="BF85">
    <cfRule type="cellIs" dxfId="14797" priority="143609" stopIfTrue="1" operator="greaterThanOrEqual">
      <formula>0.5</formula>
    </cfRule>
  </conditionalFormatting>
  <conditionalFormatting sqref="BH65">
    <cfRule type="cellIs" dxfId="14796" priority="143610" stopIfTrue="1" operator="equal">
      <formula>-1</formula>
    </cfRule>
  </conditionalFormatting>
  <conditionalFormatting sqref="BH65">
    <cfRule type="cellIs" dxfId="14795" priority="143611" stopIfTrue="1" operator="lessThan">
      <formula>0.5</formula>
    </cfRule>
  </conditionalFormatting>
  <conditionalFormatting sqref="BH65">
    <cfRule type="cellIs" dxfId="14794" priority="143612" stopIfTrue="1" operator="greaterThanOrEqual">
      <formula>0.5</formula>
    </cfRule>
  </conditionalFormatting>
  <conditionalFormatting sqref="BH66">
    <cfRule type="cellIs" dxfId="14793" priority="143613" stopIfTrue="1" operator="equal">
      <formula>-1</formula>
    </cfRule>
  </conditionalFormatting>
  <conditionalFormatting sqref="BH66">
    <cfRule type="cellIs" dxfId="14792" priority="143614" stopIfTrue="1" operator="lessThan">
      <formula>0.5</formula>
    </cfRule>
  </conditionalFormatting>
  <conditionalFormatting sqref="BH66">
    <cfRule type="cellIs" dxfId="14791" priority="143615" stopIfTrue="1" operator="greaterThanOrEqual">
      <formula>0.5</formula>
    </cfRule>
  </conditionalFormatting>
  <conditionalFormatting sqref="BH67">
    <cfRule type="cellIs" dxfId="14790" priority="143616" stopIfTrue="1" operator="equal">
      <formula>-1</formula>
    </cfRule>
  </conditionalFormatting>
  <conditionalFormatting sqref="BH67">
    <cfRule type="cellIs" dxfId="14789" priority="143617" stopIfTrue="1" operator="lessThan">
      <formula>0.5</formula>
    </cfRule>
  </conditionalFormatting>
  <conditionalFormatting sqref="BH67">
    <cfRule type="cellIs" dxfId="14788" priority="143618" stopIfTrue="1" operator="greaterThanOrEqual">
      <formula>0.5</formula>
    </cfRule>
  </conditionalFormatting>
  <conditionalFormatting sqref="BH68">
    <cfRule type="cellIs" dxfId="14787" priority="143619" stopIfTrue="1" operator="equal">
      <formula>-1</formula>
    </cfRule>
  </conditionalFormatting>
  <conditionalFormatting sqref="BH68">
    <cfRule type="cellIs" dxfId="14786" priority="143620" stopIfTrue="1" operator="lessThan">
      <formula>0.5</formula>
    </cfRule>
  </conditionalFormatting>
  <conditionalFormatting sqref="BH68">
    <cfRule type="cellIs" dxfId="14785" priority="143621" stopIfTrue="1" operator="greaterThanOrEqual">
      <formula>0.5</formula>
    </cfRule>
  </conditionalFormatting>
  <conditionalFormatting sqref="BH69">
    <cfRule type="cellIs" dxfId="14784" priority="143622" stopIfTrue="1" operator="equal">
      <formula>-1</formula>
    </cfRule>
  </conditionalFormatting>
  <conditionalFormatting sqref="BH69">
    <cfRule type="cellIs" dxfId="14783" priority="143623" stopIfTrue="1" operator="lessThan">
      <formula>0.5</formula>
    </cfRule>
  </conditionalFormatting>
  <conditionalFormatting sqref="BH69">
    <cfRule type="cellIs" dxfId="14782" priority="143624" stopIfTrue="1" operator="greaterThanOrEqual">
      <formula>0.5</formula>
    </cfRule>
  </conditionalFormatting>
  <conditionalFormatting sqref="BH70">
    <cfRule type="cellIs" dxfId="14781" priority="143625" stopIfTrue="1" operator="equal">
      <formula>-1</formula>
    </cfRule>
  </conditionalFormatting>
  <conditionalFormatting sqref="BH70">
    <cfRule type="cellIs" dxfId="14780" priority="143626" stopIfTrue="1" operator="lessThan">
      <formula>0.5</formula>
    </cfRule>
  </conditionalFormatting>
  <conditionalFormatting sqref="BH70">
    <cfRule type="cellIs" dxfId="14779" priority="143627" stopIfTrue="1" operator="greaterThanOrEqual">
      <formula>0.5</formula>
    </cfRule>
  </conditionalFormatting>
  <conditionalFormatting sqref="BH71">
    <cfRule type="cellIs" dxfId="14778" priority="143628" stopIfTrue="1" operator="equal">
      <formula>-1</formula>
    </cfRule>
  </conditionalFormatting>
  <conditionalFormatting sqref="BH71">
    <cfRule type="cellIs" dxfId="14777" priority="143629" stopIfTrue="1" operator="lessThan">
      <formula>0.5</formula>
    </cfRule>
  </conditionalFormatting>
  <conditionalFormatting sqref="BH71">
    <cfRule type="cellIs" dxfId="14776" priority="143630" stopIfTrue="1" operator="greaterThanOrEqual">
      <formula>0.5</formula>
    </cfRule>
  </conditionalFormatting>
  <conditionalFormatting sqref="BH72">
    <cfRule type="cellIs" dxfId="14775" priority="143631" stopIfTrue="1" operator="equal">
      <formula>-1</formula>
    </cfRule>
  </conditionalFormatting>
  <conditionalFormatting sqref="BH72">
    <cfRule type="cellIs" dxfId="14774" priority="143632" stopIfTrue="1" operator="lessThan">
      <formula>0.5</formula>
    </cfRule>
  </conditionalFormatting>
  <conditionalFormatting sqref="BH72">
    <cfRule type="cellIs" dxfId="14773" priority="143633" stopIfTrue="1" operator="greaterThanOrEqual">
      <formula>0.5</formula>
    </cfRule>
  </conditionalFormatting>
  <conditionalFormatting sqref="BH73">
    <cfRule type="cellIs" dxfId="14772" priority="143634" stopIfTrue="1" operator="equal">
      <formula>-1</formula>
    </cfRule>
  </conditionalFormatting>
  <conditionalFormatting sqref="BH73">
    <cfRule type="cellIs" dxfId="14771" priority="143635" stopIfTrue="1" operator="lessThan">
      <formula>0.5</formula>
    </cfRule>
  </conditionalFormatting>
  <conditionalFormatting sqref="BH73">
    <cfRule type="cellIs" dxfId="14770" priority="143636" stopIfTrue="1" operator="greaterThanOrEqual">
      <formula>0.5</formula>
    </cfRule>
  </conditionalFormatting>
  <conditionalFormatting sqref="BH74">
    <cfRule type="cellIs" dxfId="14769" priority="143637" stopIfTrue="1" operator="equal">
      <formula>-1</formula>
    </cfRule>
  </conditionalFormatting>
  <conditionalFormatting sqref="BH74">
    <cfRule type="cellIs" dxfId="14768" priority="143638" stopIfTrue="1" operator="lessThan">
      <formula>0.5</formula>
    </cfRule>
  </conditionalFormatting>
  <conditionalFormatting sqref="BH74">
    <cfRule type="cellIs" dxfId="14767" priority="143639" stopIfTrue="1" operator="greaterThanOrEqual">
      <formula>0.5</formula>
    </cfRule>
  </conditionalFormatting>
  <conditionalFormatting sqref="BH75">
    <cfRule type="cellIs" dxfId="14766" priority="143640" stopIfTrue="1" operator="equal">
      <formula>-1</formula>
    </cfRule>
  </conditionalFormatting>
  <conditionalFormatting sqref="BH75">
    <cfRule type="cellIs" dxfId="14765" priority="143641" stopIfTrue="1" operator="lessThan">
      <formula>0.5</formula>
    </cfRule>
  </conditionalFormatting>
  <conditionalFormatting sqref="BH75">
    <cfRule type="cellIs" dxfId="14764" priority="143642" stopIfTrue="1" operator="greaterThanOrEqual">
      <formula>0.5</formula>
    </cfRule>
  </conditionalFormatting>
  <conditionalFormatting sqref="BH76">
    <cfRule type="cellIs" dxfId="14763" priority="143643" stopIfTrue="1" operator="equal">
      <formula>-1</formula>
    </cfRule>
  </conditionalFormatting>
  <conditionalFormatting sqref="BH76">
    <cfRule type="cellIs" dxfId="14762" priority="143644" stopIfTrue="1" operator="lessThan">
      <formula>0.5</formula>
    </cfRule>
  </conditionalFormatting>
  <conditionalFormatting sqref="BH76">
    <cfRule type="cellIs" dxfId="14761" priority="143645" stopIfTrue="1" operator="greaterThanOrEqual">
      <formula>0.5</formula>
    </cfRule>
  </conditionalFormatting>
  <conditionalFormatting sqref="BH77">
    <cfRule type="cellIs" dxfId="14760" priority="143646" stopIfTrue="1" operator="equal">
      <formula>-1</formula>
    </cfRule>
  </conditionalFormatting>
  <conditionalFormatting sqref="BH77">
    <cfRule type="cellIs" dxfId="14759" priority="143647" stopIfTrue="1" operator="lessThan">
      <formula>0.5</formula>
    </cfRule>
  </conditionalFormatting>
  <conditionalFormatting sqref="BH77">
    <cfRule type="cellIs" dxfId="14758" priority="143648" stopIfTrue="1" operator="greaterThanOrEqual">
      <formula>0.5</formula>
    </cfRule>
  </conditionalFormatting>
  <conditionalFormatting sqref="BH78">
    <cfRule type="cellIs" dxfId="14757" priority="143649" stopIfTrue="1" operator="equal">
      <formula>-1</formula>
    </cfRule>
  </conditionalFormatting>
  <conditionalFormatting sqref="BH78">
    <cfRule type="cellIs" dxfId="14756" priority="143650" stopIfTrue="1" operator="lessThan">
      <formula>0.5</formula>
    </cfRule>
  </conditionalFormatting>
  <conditionalFormatting sqref="BH78">
    <cfRule type="cellIs" dxfId="14755" priority="143651" stopIfTrue="1" operator="greaterThanOrEqual">
      <formula>0.5</formula>
    </cfRule>
  </conditionalFormatting>
  <conditionalFormatting sqref="BH79">
    <cfRule type="cellIs" dxfId="14754" priority="143652" stopIfTrue="1" operator="equal">
      <formula>-1</formula>
    </cfRule>
  </conditionalFormatting>
  <conditionalFormatting sqref="BH79">
    <cfRule type="cellIs" dxfId="14753" priority="143653" stopIfTrue="1" operator="lessThan">
      <formula>0.5</formula>
    </cfRule>
  </conditionalFormatting>
  <conditionalFormatting sqref="BH79">
    <cfRule type="cellIs" dxfId="14752" priority="143654" stopIfTrue="1" operator="greaterThanOrEqual">
      <formula>0.5</formula>
    </cfRule>
  </conditionalFormatting>
  <conditionalFormatting sqref="BH80">
    <cfRule type="cellIs" dxfId="14751" priority="143655" stopIfTrue="1" operator="equal">
      <formula>-1</formula>
    </cfRule>
  </conditionalFormatting>
  <conditionalFormatting sqref="BH80">
    <cfRule type="cellIs" dxfId="14750" priority="143656" stopIfTrue="1" operator="lessThan">
      <formula>0.5</formula>
    </cfRule>
  </conditionalFormatting>
  <conditionalFormatting sqref="BH80">
    <cfRule type="cellIs" dxfId="14749" priority="143657" stopIfTrue="1" operator="greaterThanOrEqual">
      <formula>0.5</formula>
    </cfRule>
  </conditionalFormatting>
  <conditionalFormatting sqref="BH81">
    <cfRule type="cellIs" dxfId="14748" priority="143658" stopIfTrue="1" operator="equal">
      <formula>-1</formula>
    </cfRule>
  </conditionalFormatting>
  <conditionalFormatting sqref="BH81">
    <cfRule type="cellIs" dxfId="14747" priority="143659" stopIfTrue="1" operator="lessThan">
      <formula>0.5</formula>
    </cfRule>
  </conditionalFormatting>
  <conditionalFormatting sqref="BH81">
    <cfRule type="cellIs" dxfId="14746" priority="143660" stopIfTrue="1" operator="greaterThanOrEqual">
      <formula>0.5</formula>
    </cfRule>
  </conditionalFormatting>
  <conditionalFormatting sqref="BH82">
    <cfRule type="cellIs" dxfId="14745" priority="143661" stopIfTrue="1" operator="equal">
      <formula>-1</formula>
    </cfRule>
  </conditionalFormatting>
  <conditionalFormatting sqref="BH82">
    <cfRule type="cellIs" dxfId="14744" priority="143662" stopIfTrue="1" operator="lessThan">
      <formula>0.5</formula>
    </cfRule>
  </conditionalFormatting>
  <conditionalFormatting sqref="BH82">
    <cfRule type="cellIs" dxfId="14743" priority="143663" stopIfTrue="1" operator="greaterThanOrEqual">
      <formula>0.5</formula>
    </cfRule>
  </conditionalFormatting>
  <conditionalFormatting sqref="BH83">
    <cfRule type="cellIs" dxfId="14742" priority="143664" stopIfTrue="1" operator="equal">
      <formula>-1</formula>
    </cfRule>
  </conditionalFormatting>
  <conditionalFormatting sqref="BH83">
    <cfRule type="cellIs" dxfId="14741" priority="143665" stopIfTrue="1" operator="lessThan">
      <formula>0.5</formula>
    </cfRule>
  </conditionalFormatting>
  <conditionalFormatting sqref="BH83">
    <cfRule type="cellIs" dxfId="14740" priority="143666" stopIfTrue="1" operator="greaterThanOrEqual">
      <formula>0.5</formula>
    </cfRule>
  </conditionalFormatting>
  <conditionalFormatting sqref="BH84">
    <cfRule type="cellIs" dxfId="14739" priority="143667" stopIfTrue="1" operator="equal">
      <formula>-1</formula>
    </cfRule>
  </conditionalFormatting>
  <conditionalFormatting sqref="BH84">
    <cfRule type="cellIs" dxfId="14738" priority="143668" stopIfTrue="1" operator="lessThan">
      <formula>0.5</formula>
    </cfRule>
  </conditionalFormatting>
  <conditionalFormatting sqref="BH84">
    <cfRule type="cellIs" dxfId="14737" priority="143669" stopIfTrue="1" operator="greaterThanOrEqual">
      <formula>0.5</formula>
    </cfRule>
  </conditionalFormatting>
  <conditionalFormatting sqref="BH85">
    <cfRule type="cellIs" dxfId="14736" priority="143670" stopIfTrue="1" operator="equal">
      <formula>-1</formula>
    </cfRule>
  </conditionalFormatting>
  <conditionalFormatting sqref="BH85">
    <cfRule type="cellIs" dxfId="14735" priority="143671" stopIfTrue="1" operator="lessThan">
      <formula>0.5</formula>
    </cfRule>
  </conditionalFormatting>
  <conditionalFormatting sqref="BH85">
    <cfRule type="cellIs" dxfId="14734" priority="143672" stopIfTrue="1" operator="greaterThanOrEqual">
      <formula>0.5</formula>
    </cfRule>
  </conditionalFormatting>
  <conditionalFormatting sqref="BJ65">
    <cfRule type="cellIs" dxfId="14733" priority="143673" stopIfTrue="1" operator="equal">
      <formula>-1</formula>
    </cfRule>
  </conditionalFormatting>
  <conditionalFormatting sqref="BJ65">
    <cfRule type="cellIs" dxfId="14732" priority="143674" stopIfTrue="1" operator="lessThan">
      <formula>0.5</formula>
    </cfRule>
  </conditionalFormatting>
  <conditionalFormatting sqref="BJ65">
    <cfRule type="cellIs" dxfId="14731" priority="143675" stopIfTrue="1" operator="greaterThanOrEqual">
      <formula>0.5</formula>
    </cfRule>
  </conditionalFormatting>
  <conditionalFormatting sqref="BJ66">
    <cfRule type="cellIs" dxfId="14730" priority="143676" stopIfTrue="1" operator="equal">
      <formula>-1</formula>
    </cfRule>
  </conditionalFormatting>
  <conditionalFormatting sqref="BJ66">
    <cfRule type="cellIs" dxfId="14729" priority="143677" stopIfTrue="1" operator="lessThan">
      <formula>0.5</formula>
    </cfRule>
  </conditionalFormatting>
  <conditionalFormatting sqref="BJ66">
    <cfRule type="cellIs" dxfId="14728" priority="143678" stopIfTrue="1" operator="greaterThanOrEqual">
      <formula>0.5</formula>
    </cfRule>
  </conditionalFormatting>
  <conditionalFormatting sqref="BJ67">
    <cfRule type="cellIs" dxfId="14727" priority="143679" stopIfTrue="1" operator="equal">
      <formula>-1</formula>
    </cfRule>
  </conditionalFormatting>
  <conditionalFormatting sqref="BJ67">
    <cfRule type="cellIs" dxfId="14726" priority="143680" stopIfTrue="1" operator="lessThan">
      <formula>0.5</formula>
    </cfRule>
  </conditionalFormatting>
  <conditionalFormatting sqref="BJ67">
    <cfRule type="cellIs" dxfId="14725" priority="143681" stopIfTrue="1" operator="greaterThanOrEqual">
      <formula>0.5</formula>
    </cfRule>
  </conditionalFormatting>
  <conditionalFormatting sqref="BJ68">
    <cfRule type="cellIs" dxfId="14724" priority="143682" stopIfTrue="1" operator="equal">
      <formula>-1</formula>
    </cfRule>
  </conditionalFormatting>
  <conditionalFormatting sqref="BJ68">
    <cfRule type="cellIs" dxfId="14723" priority="143683" stopIfTrue="1" operator="lessThan">
      <formula>0.5</formula>
    </cfRule>
  </conditionalFormatting>
  <conditionalFormatting sqref="BJ68">
    <cfRule type="cellIs" dxfId="14722" priority="143684" stopIfTrue="1" operator="greaterThanOrEqual">
      <formula>0.5</formula>
    </cfRule>
  </conditionalFormatting>
  <conditionalFormatting sqref="BJ69">
    <cfRule type="cellIs" dxfId="14721" priority="143685" stopIfTrue="1" operator="equal">
      <formula>-1</formula>
    </cfRule>
  </conditionalFormatting>
  <conditionalFormatting sqref="BJ69">
    <cfRule type="cellIs" dxfId="14720" priority="143686" stopIfTrue="1" operator="lessThan">
      <formula>0.5</formula>
    </cfRule>
  </conditionalFormatting>
  <conditionalFormatting sqref="BJ69">
    <cfRule type="cellIs" dxfId="14719" priority="143687" stopIfTrue="1" operator="greaterThanOrEqual">
      <formula>0.5</formula>
    </cfRule>
  </conditionalFormatting>
  <conditionalFormatting sqref="BJ70">
    <cfRule type="cellIs" dxfId="14718" priority="143688" stopIfTrue="1" operator="equal">
      <formula>-1</formula>
    </cfRule>
  </conditionalFormatting>
  <conditionalFormatting sqref="BJ70">
    <cfRule type="cellIs" dxfId="14717" priority="143689" stopIfTrue="1" operator="lessThan">
      <formula>0.5</formula>
    </cfRule>
  </conditionalFormatting>
  <conditionalFormatting sqref="BJ70">
    <cfRule type="cellIs" dxfId="14716" priority="143690" stopIfTrue="1" operator="greaterThanOrEqual">
      <formula>0.5</formula>
    </cfRule>
  </conditionalFormatting>
  <conditionalFormatting sqref="BJ71">
    <cfRule type="cellIs" dxfId="14715" priority="143691" stopIfTrue="1" operator="equal">
      <formula>-1</formula>
    </cfRule>
  </conditionalFormatting>
  <conditionalFormatting sqref="BJ71">
    <cfRule type="cellIs" dxfId="14714" priority="143692" stopIfTrue="1" operator="lessThan">
      <formula>0.5</formula>
    </cfRule>
  </conditionalFormatting>
  <conditionalFormatting sqref="BJ71">
    <cfRule type="cellIs" dxfId="14713" priority="143693" stopIfTrue="1" operator="greaterThanOrEqual">
      <formula>0.5</formula>
    </cfRule>
  </conditionalFormatting>
  <conditionalFormatting sqref="BJ72">
    <cfRule type="cellIs" dxfId="14712" priority="143694" stopIfTrue="1" operator="equal">
      <formula>-1</formula>
    </cfRule>
  </conditionalFormatting>
  <conditionalFormatting sqref="BJ72">
    <cfRule type="cellIs" dxfId="14711" priority="143695" stopIfTrue="1" operator="lessThan">
      <formula>0.5</formula>
    </cfRule>
  </conditionalFormatting>
  <conditionalFormatting sqref="BJ72">
    <cfRule type="cellIs" dxfId="14710" priority="143696" stopIfTrue="1" operator="greaterThanOrEqual">
      <formula>0.5</formula>
    </cfRule>
  </conditionalFormatting>
  <conditionalFormatting sqref="BJ73">
    <cfRule type="cellIs" dxfId="14709" priority="143697" stopIfTrue="1" operator="equal">
      <formula>-1</formula>
    </cfRule>
  </conditionalFormatting>
  <conditionalFormatting sqref="BJ73">
    <cfRule type="cellIs" dxfId="14708" priority="143698" stopIfTrue="1" operator="lessThan">
      <formula>0.5</formula>
    </cfRule>
  </conditionalFormatting>
  <conditionalFormatting sqref="BJ73">
    <cfRule type="cellIs" dxfId="14707" priority="143699" stopIfTrue="1" operator="greaterThanOrEqual">
      <formula>0.5</formula>
    </cfRule>
  </conditionalFormatting>
  <conditionalFormatting sqref="BJ74">
    <cfRule type="cellIs" dxfId="14706" priority="143700" stopIfTrue="1" operator="equal">
      <formula>-1</formula>
    </cfRule>
  </conditionalFormatting>
  <conditionalFormatting sqref="BJ74">
    <cfRule type="cellIs" dxfId="14705" priority="143701" stopIfTrue="1" operator="lessThan">
      <formula>0.5</formula>
    </cfRule>
  </conditionalFormatting>
  <conditionalFormatting sqref="BJ74">
    <cfRule type="cellIs" dxfId="14704" priority="143702" stopIfTrue="1" operator="greaterThanOrEqual">
      <formula>0.5</formula>
    </cfRule>
  </conditionalFormatting>
  <conditionalFormatting sqref="BJ75">
    <cfRule type="cellIs" dxfId="14703" priority="143703" stopIfTrue="1" operator="equal">
      <formula>-1</formula>
    </cfRule>
  </conditionalFormatting>
  <conditionalFormatting sqref="BJ75">
    <cfRule type="cellIs" dxfId="14702" priority="143704" stopIfTrue="1" operator="lessThan">
      <formula>0.5</formula>
    </cfRule>
  </conditionalFormatting>
  <conditionalFormatting sqref="BJ75">
    <cfRule type="cellIs" dxfId="14701" priority="143705" stopIfTrue="1" operator="greaterThanOrEqual">
      <formula>0.5</formula>
    </cfRule>
  </conditionalFormatting>
  <conditionalFormatting sqref="BJ76">
    <cfRule type="cellIs" dxfId="14700" priority="143706" stopIfTrue="1" operator="equal">
      <formula>-1</formula>
    </cfRule>
  </conditionalFormatting>
  <conditionalFormatting sqref="BJ76">
    <cfRule type="cellIs" dxfId="14699" priority="143707" stopIfTrue="1" operator="lessThan">
      <formula>0.5</formula>
    </cfRule>
  </conditionalFormatting>
  <conditionalFormatting sqref="BJ76">
    <cfRule type="cellIs" dxfId="14698" priority="143708" stopIfTrue="1" operator="greaterThanOrEqual">
      <formula>0.5</formula>
    </cfRule>
  </conditionalFormatting>
  <conditionalFormatting sqref="BJ77">
    <cfRule type="cellIs" dxfId="14697" priority="143709" stopIfTrue="1" operator="equal">
      <formula>-1</formula>
    </cfRule>
  </conditionalFormatting>
  <conditionalFormatting sqref="BJ77">
    <cfRule type="cellIs" dxfId="14696" priority="143710" stopIfTrue="1" operator="lessThan">
      <formula>0.5</formula>
    </cfRule>
  </conditionalFormatting>
  <conditionalFormatting sqref="BJ77">
    <cfRule type="cellIs" dxfId="14695" priority="143711" stopIfTrue="1" operator="greaterThanOrEqual">
      <formula>0.5</formula>
    </cfRule>
  </conditionalFormatting>
  <conditionalFormatting sqref="BJ78">
    <cfRule type="cellIs" dxfId="14694" priority="143712" stopIfTrue="1" operator="equal">
      <formula>-1</formula>
    </cfRule>
  </conditionalFormatting>
  <conditionalFormatting sqref="BJ78">
    <cfRule type="cellIs" dxfId="14693" priority="143713" stopIfTrue="1" operator="lessThan">
      <formula>0.5</formula>
    </cfRule>
  </conditionalFormatting>
  <conditionalFormatting sqref="BJ78">
    <cfRule type="cellIs" dxfId="14692" priority="143714" stopIfTrue="1" operator="greaterThanOrEqual">
      <formula>0.5</formula>
    </cfRule>
  </conditionalFormatting>
  <conditionalFormatting sqref="BJ79">
    <cfRule type="cellIs" dxfId="14691" priority="143715" stopIfTrue="1" operator="equal">
      <formula>-1</formula>
    </cfRule>
  </conditionalFormatting>
  <conditionalFormatting sqref="BJ79">
    <cfRule type="cellIs" dxfId="14690" priority="143716" stopIfTrue="1" operator="lessThan">
      <formula>0.5</formula>
    </cfRule>
  </conditionalFormatting>
  <conditionalFormatting sqref="BJ79">
    <cfRule type="cellIs" dxfId="14689" priority="143717" stopIfTrue="1" operator="greaterThanOrEqual">
      <formula>0.5</formula>
    </cfRule>
  </conditionalFormatting>
  <conditionalFormatting sqref="BJ80">
    <cfRule type="cellIs" dxfId="14688" priority="143718" stopIfTrue="1" operator="equal">
      <formula>-1</formula>
    </cfRule>
  </conditionalFormatting>
  <conditionalFormatting sqref="BJ80">
    <cfRule type="cellIs" dxfId="14687" priority="143719" stopIfTrue="1" operator="lessThan">
      <formula>0.5</formula>
    </cfRule>
  </conditionalFormatting>
  <conditionalFormatting sqref="BJ80">
    <cfRule type="cellIs" dxfId="14686" priority="143720" stopIfTrue="1" operator="greaterThanOrEqual">
      <formula>0.5</formula>
    </cfRule>
  </conditionalFormatting>
  <conditionalFormatting sqref="BJ81">
    <cfRule type="cellIs" dxfId="14685" priority="143721" stopIfTrue="1" operator="equal">
      <formula>-1</formula>
    </cfRule>
  </conditionalFormatting>
  <conditionalFormatting sqref="BJ81">
    <cfRule type="cellIs" dxfId="14684" priority="143722" stopIfTrue="1" operator="lessThan">
      <formula>0.5</formula>
    </cfRule>
  </conditionalFormatting>
  <conditionalFormatting sqref="BJ81">
    <cfRule type="cellIs" dxfId="14683" priority="143723" stopIfTrue="1" operator="greaterThanOrEqual">
      <formula>0.5</formula>
    </cfRule>
  </conditionalFormatting>
  <conditionalFormatting sqref="BJ82">
    <cfRule type="cellIs" dxfId="14682" priority="143724" stopIfTrue="1" operator="equal">
      <formula>-1</formula>
    </cfRule>
  </conditionalFormatting>
  <conditionalFormatting sqref="BJ82">
    <cfRule type="cellIs" dxfId="14681" priority="143725" stopIfTrue="1" operator="lessThan">
      <formula>0.5</formula>
    </cfRule>
  </conditionalFormatting>
  <conditionalFormatting sqref="BJ82">
    <cfRule type="cellIs" dxfId="14680" priority="143726" stopIfTrue="1" operator="greaterThanOrEqual">
      <formula>0.5</formula>
    </cfRule>
  </conditionalFormatting>
  <conditionalFormatting sqref="BJ83">
    <cfRule type="cellIs" dxfId="14679" priority="143727" stopIfTrue="1" operator="equal">
      <formula>-1</formula>
    </cfRule>
  </conditionalFormatting>
  <conditionalFormatting sqref="BJ83">
    <cfRule type="cellIs" dxfId="14678" priority="143728" stopIfTrue="1" operator="lessThan">
      <formula>0.5</formula>
    </cfRule>
  </conditionalFormatting>
  <conditionalFormatting sqref="BJ83">
    <cfRule type="cellIs" dxfId="14677" priority="143729" stopIfTrue="1" operator="greaterThanOrEqual">
      <formula>0.5</formula>
    </cfRule>
  </conditionalFormatting>
  <conditionalFormatting sqref="BJ84">
    <cfRule type="cellIs" dxfId="14676" priority="143730" stopIfTrue="1" operator="equal">
      <formula>-1</formula>
    </cfRule>
  </conditionalFormatting>
  <conditionalFormatting sqref="BJ84">
    <cfRule type="cellIs" dxfId="14675" priority="143731" stopIfTrue="1" operator="lessThan">
      <formula>0.5</formula>
    </cfRule>
  </conditionalFormatting>
  <conditionalFormatting sqref="BJ84">
    <cfRule type="cellIs" dxfId="14674" priority="143732" stopIfTrue="1" operator="greaterThanOrEqual">
      <formula>0.5</formula>
    </cfRule>
  </conditionalFormatting>
  <conditionalFormatting sqref="BJ85">
    <cfRule type="cellIs" dxfId="14673" priority="143733" stopIfTrue="1" operator="equal">
      <formula>-1</formula>
    </cfRule>
  </conditionalFormatting>
  <conditionalFormatting sqref="BJ85">
    <cfRule type="cellIs" dxfId="14672" priority="143734" stopIfTrue="1" operator="lessThan">
      <formula>0.5</formula>
    </cfRule>
  </conditionalFormatting>
  <conditionalFormatting sqref="BJ85">
    <cfRule type="cellIs" dxfId="14671" priority="14373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A-F6C8-3D4F-8C9A-CA780CB39CFF}">
  <sheetPr codeName="Sheet3">
    <tabColor rgb="FF7030A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9" t="str" cm="1">
        <f t="array" ref="A1">[2]!GRUPO</f>
        <v>2º Bach.</v>
      </c>
      <c r="B1" s="82" t="s">
        <v>87</v>
      </c>
      <c r="C1" s="81">
        <v>1</v>
      </c>
      <c r="D1" s="81"/>
      <c r="E1" s="81">
        <v>2</v>
      </c>
      <c r="F1" s="81" t="s">
        <v>0</v>
      </c>
      <c r="G1" s="81">
        <v>3</v>
      </c>
      <c r="H1" s="81" t="s">
        <v>0</v>
      </c>
      <c r="I1" s="81">
        <v>4</v>
      </c>
      <c r="J1" s="81" t="s">
        <v>0</v>
      </c>
      <c r="K1" s="81">
        <v>5</v>
      </c>
      <c r="L1" s="81" t="s">
        <v>0</v>
      </c>
      <c r="M1" s="81">
        <v>6</v>
      </c>
      <c r="N1" s="81" t="s">
        <v>0</v>
      </c>
      <c r="O1" s="81">
        <v>7</v>
      </c>
      <c r="P1" s="81" t="s">
        <v>0</v>
      </c>
      <c r="Q1" s="81">
        <v>8</v>
      </c>
      <c r="R1" s="81" t="s">
        <v>0</v>
      </c>
      <c r="S1" s="81">
        <v>9</v>
      </c>
      <c r="T1" s="81" t="s">
        <v>0</v>
      </c>
      <c r="U1" s="81">
        <v>10</v>
      </c>
      <c r="V1" s="81" t="s">
        <v>0</v>
      </c>
      <c r="W1" s="81">
        <v>11</v>
      </c>
      <c r="X1" s="81" t="s">
        <v>0</v>
      </c>
      <c r="Y1" s="81">
        <v>12</v>
      </c>
      <c r="Z1" s="81" t="s">
        <v>1</v>
      </c>
      <c r="AA1" s="81">
        <v>13</v>
      </c>
      <c r="AB1" s="81" t="s">
        <v>0</v>
      </c>
      <c r="AC1" s="81">
        <v>14</v>
      </c>
      <c r="AD1" s="81" t="s">
        <v>0</v>
      </c>
      <c r="AE1" s="81">
        <v>15</v>
      </c>
      <c r="AF1" s="81" t="s">
        <v>0</v>
      </c>
      <c r="AG1" s="81">
        <v>16</v>
      </c>
      <c r="AH1" s="81" t="s">
        <v>0</v>
      </c>
      <c r="AI1" s="81">
        <v>17</v>
      </c>
      <c r="AJ1" s="81"/>
      <c r="AK1" s="81">
        <v>18</v>
      </c>
      <c r="AL1" s="81"/>
      <c r="AM1" s="81">
        <v>19</v>
      </c>
      <c r="AN1" s="81"/>
      <c r="AO1" s="81">
        <v>20</v>
      </c>
      <c r="AP1" s="81" t="s">
        <v>0</v>
      </c>
      <c r="AQ1" s="81">
        <v>21</v>
      </c>
      <c r="AR1" s="81"/>
      <c r="AS1" s="81">
        <v>22</v>
      </c>
      <c r="AT1" s="81" t="s">
        <v>0</v>
      </c>
      <c r="AU1" s="81">
        <v>23</v>
      </c>
      <c r="AV1" s="81" t="s">
        <v>0</v>
      </c>
      <c r="AW1" s="81">
        <v>24</v>
      </c>
      <c r="AX1" s="81"/>
      <c r="AY1" s="81">
        <v>25</v>
      </c>
      <c r="AZ1" s="81"/>
      <c r="BA1" s="81">
        <v>26</v>
      </c>
      <c r="BB1" s="81"/>
      <c r="BC1" s="81">
        <v>27</v>
      </c>
      <c r="BD1" s="81"/>
      <c r="BE1" s="81">
        <v>28</v>
      </c>
      <c r="BF1" s="81"/>
      <c r="BG1" s="81">
        <v>29</v>
      </c>
      <c r="BH1" s="81"/>
      <c r="BI1" s="81">
        <v>30</v>
      </c>
      <c r="BJ1" s="81"/>
    </row>
    <row r="2" spans="1:62" ht="115" customHeight="1" x14ac:dyDescent="0.2">
      <c r="A2" s="79"/>
      <c r="B2" s="83"/>
      <c r="C2" s="80" t="str">
        <f ca="1">[2]Examen11!C$2</f>
        <v>Alma Casa, Mario</v>
      </c>
      <c r="D2" s="80"/>
      <c r="E2" s="80" t="str">
        <f ca="1">[2]Examen11!E$2</f>
        <v>Amado Luz, Martín</v>
      </c>
      <c r="F2" s="80"/>
      <c r="G2" s="80" t="str">
        <f ca="1">[2]Examen11!G$2</f>
        <v>Bonete Cune, Carla</v>
      </c>
      <c r="H2" s="80"/>
      <c r="I2" s="80" t="str">
        <f ca="1">[2]Examen11!I$2</f>
        <v>Casado Gómez, María</v>
      </c>
      <c r="J2" s="80"/>
      <c r="K2" s="80" t="str">
        <f ca="1">[2]Examen11!K$2</f>
        <v>Concepción García, Elena</v>
      </c>
      <c r="L2" s="80"/>
      <c r="M2" s="80" t="str">
        <f ca="1">[2]Examen11!M$2</f>
        <v>Díaz Lucas, Ricardo</v>
      </c>
      <c r="N2" s="80"/>
      <c r="O2" s="80" t="str">
        <f ca="1">[2]Examen11!O$2</f>
        <v>Díaz Ríos, Lucía</v>
      </c>
      <c r="P2" s="80"/>
      <c r="Q2" s="80" t="str">
        <f ca="1">[2]Examen11!Q$2</f>
        <v>García López, Juan Ángel</v>
      </c>
      <c r="R2" s="80"/>
      <c r="S2" s="80" t="str">
        <f ca="1">[2]Examen11!S$2</f>
        <v>García Pérez, Luis</v>
      </c>
      <c r="T2" s="80"/>
      <c r="U2" s="80" t="str">
        <f ca="1">[2]Examen11!U$2</f>
        <v>Garijo Piqueras, María</v>
      </c>
      <c r="V2" s="80"/>
      <c r="W2" s="80" t="str">
        <f ca="1">[2]Examen11!W$2</f>
        <v>Gómez Luna, José</v>
      </c>
      <c r="X2" s="80"/>
      <c r="Y2" s="80" t="str">
        <f ca="1">[2]Examen11!Y$2</f>
        <v>González García, Juan</v>
      </c>
      <c r="Z2" s="80"/>
      <c r="AA2" s="80" t="str">
        <f ca="1">[2]Examen11!AA$2</f>
        <v>González Pérez, María</v>
      </c>
      <c r="AB2" s="80"/>
      <c r="AC2" s="80" t="str">
        <f ca="1">[2]Examen11!AC$2</f>
        <v>Laín Hernández, Luisa</v>
      </c>
      <c r="AD2" s="80"/>
      <c r="AE2" s="80" t="str">
        <f ca="1">[2]Examen11!AE$2</f>
        <v>Lirios Lara, Juan</v>
      </c>
      <c r="AF2" s="80"/>
      <c r="AG2" s="80" t="str">
        <f ca="1">[2]Examen11!AG$2</f>
        <v>López Picazo, Marta</v>
      </c>
      <c r="AH2" s="80"/>
      <c r="AI2" s="80" t="str">
        <f ca="1">[2]Examen11!AI$2</f>
        <v>Molina Pérez, Marina</v>
      </c>
      <c r="AJ2" s="80"/>
      <c r="AK2" s="80" t="str">
        <f ca="1">[2]Examen11!AK$2</f>
        <v>Molina Sánchez, Inmaculada</v>
      </c>
      <c r="AL2" s="80"/>
      <c r="AM2" s="80" t="str">
        <f ca="1">[2]Examen11!AM$2</f>
        <v>Montero Pacheco, Pablo</v>
      </c>
      <c r="AN2" s="80"/>
      <c r="AO2" s="80" t="str">
        <f ca="1">[2]Examen11!AO$2</f>
        <v>Mora García, Javier</v>
      </c>
      <c r="AP2" s="80"/>
      <c r="AQ2" s="80" t="str">
        <f ca="1">[2]Examen11!AQ$2</f>
        <v>Morcillo Pared, Luna</v>
      </c>
      <c r="AR2" s="80"/>
      <c r="AS2" s="80" t="str">
        <f ca="1">[2]Examen11!AS$2</f>
        <v>Moreno Hernández, Francisco</v>
      </c>
      <c r="AT2" s="80"/>
      <c r="AU2" s="80" t="str">
        <f ca="1">[2]Examen11!AU$2</f>
        <v>Muñoz Garijo, Pablo</v>
      </c>
      <c r="AV2" s="80"/>
      <c r="AW2" s="80" t="str">
        <f ca="1">[2]Examen11!AW$2</f>
        <v>Pérez Garrido, Francisco</v>
      </c>
      <c r="AX2" s="80"/>
      <c r="AY2" s="80" t="str">
        <f ca="1">[2]Examen11!AY$2</f>
        <v>Serna Serna, Susana</v>
      </c>
      <c r="AZ2" s="80"/>
      <c r="BA2" s="80" t="str">
        <f ca="1">[2]Examen11!BA$2</f>
        <v>Soriano Tornero, Manuel</v>
      </c>
      <c r="BB2" s="80"/>
      <c r="BC2" s="80" t="str">
        <f ca="1">[2]Examen11!BC$2</f>
        <v>Sultán Zar, Pedro</v>
      </c>
      <c r="BD2" s="80"/>
      <c r="BE2" s="80" t="str">
        <f ca="1">[2]Examen11!BE$2</f>
        <v>Tendero Grande, Marina</v>
      </c>
      <c r="BF2" s="80"/>
      <c r="BG2" s="80" t="str">
        <f ca="1">[2]Examen11!BG$2</f>
        <v>Valencia Bueno, Isabel</v>
      </c>
      <c r="BH2" s="80"/>
      <c r="BI2" s="80" t="str">
        <f ca="1">[2]Examen11!BI$2</f>
        <v>Zarza Parrilla, Manuel</v>
      </c>
      <c r="BJ2" s="80"/>
    </row>
    <row r="3" spans="1:62" ht="33" customHeight="1" x14ac:dyDescent="0.2">
      <c r="A3" s="35" t="str" cm="1">
        <f t="array" ref="A3">[2]!VERSION</f>
        <v>Versión 1.2</v>
      </c>
      <c r="B3" s="12" t="str">
        <f>IF((B4+B7+B16+B38+B59+B64)=1,"Ok","Error % Bloques")</f>
        <v>Ok</v>
      </c>
      <c r="C3" s="59">
        <f>SUM(C4,C7,C16,C38,C59,C64)</f>
        <v>4.4649999825283881</v>
      </c>
      <c r="D3" s="60"/>
      <c r="E3" s="59">
        <f t="shared" ref="E3" si="0">SUM(E4,E7,E16,E38,E59,E64)</f>
        <v>4.5775000117719173</v>
      </c>
      <c r="F3" s="60"/>
      <c r="G3" s="59">
        <f t="shared" ref="G3" si="1">SUM(G4,G7,G16,G38,G59,G64)</f>
        <v>3.7775000449270006</v>
      </c>
      <c r="H3" s="60"/>
      <c r="I3" s="59">
        <f t="shared" ref="I3" si="2">SUM(I4,I7,I16,I38,I59,I64)</f>
        <v>4.2625000251457088</v>
      </c>
      <c r="J3" s="60"/>
      <c r="K3" s="59">
        <f t="shared" ref="K3" si="3">SUM(K4,K7,K16,K38,K59,K64)</f>
        <v>4.3750000216066836</v>
      </c>
      <c r="L3" s="60"/>
      <c r="M3" s="59">
        <f t="shared" ref="M3" si="4">SUM(M4,M7,M16,M38,M59,M64)</f>
        <v>3.2725000383332379</v>
      </c>
      <c r="N3" s="60"/>
      <c r="O3" s="59">
        <f t="shared" ref="O3" si="5">SUM(O4,O7,O16,O38,O59,O64)</f>
        <v>4.4625000309199088</v>
      </c>
      <c r="P3" s="60"/>
      <c r="Q3" s="59">
        <f t="shared" ref="Q3" si="6">SUM(Q4,Q7,Q16,Q38,Q59,Q64)</f>
        <v>3.6125000545755026</v>
      </c>
      <c r="R3" s="60"/>
      <c r="S3" s="59">
        <f t="shared" ref="S3" si="7">SUM(S4,S7,S16,S38,S59,S64)</f>
        <v>3.2775000214576719</v>
      </c>
      <c r="T3" s="60"/>
      <c r="U3" s="59">
        <f t="shared" ref="U3" si="8">SUM(U4,U7,U16,U38,U59,U64)</f>
        <v>3.7950000042095784</v>
      </c>
      <c r="V3" s="60"/>
      <c r="W3" s="59">
        <f t="shared" ref="W3" si="9">SUM(W4,W7,W16,W38,W59,W64)</f>
        <v>3.7649999998509882</v>
      </c>
      <c r="X3" s="60"/>
      <c r="Y3" s="59">
        <f t="shared" ref="Y3" si="10">SUM(Y4,Y7,Y16,Y38,Y59,Y64)</f>
        <v>4.2475000318139795</v>
      </c>
      <c r="Z3" s="60"/>
      <c r="AA3" s="59">
        <f t="shared" ref="AA3" si="11">SUM(AA4,AA7,AA16,AA38,AA59,AA64)</f>
        <v>3.9525000523775815</v>
      </c>
      <c r="AB3" s="60"/>
      <c r="AC3" s="59">
        <f t="shared" ref="AC3" si="12">SUM(AC4,AC7,AC16,AC38,AC59,AC64)</f>
        <v>4.0474999971687797</v>
      </c>
      <c r="AD3" s="60"/>
      <c r="AE3" s="59">
        <f t="shared" ref="AE3" si="13">SUM(AE4,AE7,AE16,AE38,AE59,AE64)</f>
        <v>4.0200000321492553</v>
      </c>
      <c r="AF3" s="60"/>
      <c r="AG3" s="59">
        <f t="shared" ref="AG3" si="14">SUM(AG4,AG7,AG16,AG38,AG59,AG64)</f>
        <v>4.0325000219047071</v>
      </c>
      <c r="AH3" s="60"/>
      <c r="AI3" s="59">
        <f t="shared" ref="AI3" si="15">SUM(AI4,AI7,AI16,AI38,AI59,AI64)</f>
        <v>3.2925000227987766</v>
      </c>
      <c r="AJ3" s="60"/>
      <c r="AK3" s="59">
        <f t="shared" ref="AK3" si="16">SUM(AK4,AK7,AK16,AK38,AK59,AK64)</f>
        <v>4.2250000182539225</v>
      </c>
      <c r="AL3" s="60"/>
      <c r="AM3" s="59">
        <f t="shared" ref="AM3" si="17">SUM(AM4,AM7,AM16,AM38,AM59,AM64)</f>
        <v>3.7000000482425093</v>
      </c>
      <c r="AN3" s="60"/>
      <c r="AO3" s="59">
        <f t="shared" ref="AO3" si="18">SUM(AO4,AO7,AO16,AO38,AO59,AO64)</f>
        <v>3.6625000163912773</v>
      </c>
      <c r="AP3" s="60"/>
      <c r="AQ3" s="59">
        <f t="shared" ref="AQ3" si="19">SUM(AQ4,AQ7,AQ16,AQ38,AQ59,AQ64)</f>
        <v>4.0425000503659252</v>
      </c>
      <c r="AR3" s="60"/>
      <c r="AS3" s="59">
        <f t="shared" ref="AS3" si="20">SUM(AS4,AS7,AS16,AS38,AS59,AS64)</f>
        <v>4.3450000539422042</v>
      </c>
      <c r="AT3" s="60"/>
      <c r="AU3" s="59">
        <f t="shared" ref="AU3" si="21">SUM(AU4,AU7,AU16,AU38,AU59,AU64)</f>
        <v>3.5950000274926426</v>
      </c>
      <c r="AV3" s="60"/>
      <c r="AW3" s="59">
        <f t="shared" ref="AW3" si="22">SUM(AW4,AW7,AW16,AW38,AW59,AW64)</f>
        <v>3.5850000170990821</v>
      </c>
      <c r="AX3" s="60"/>
      <c r="AY3" s="59">
        <f t="shared" ref="AY3" si="23">SUM(AY4,AY7,AY16,AY38,AY59,AY64)</f>
        <v>3.7525000238791106</v>
      </c>
      <c r="AZ3" s="60"/>
      <c r="BA3" s="59">
        <f t="shared" ref="BA3" si="24">SUM(BA4,BA7,BA16,BA38,BA59,BA64)</f>
        <v>3.5725000305101275</v>
      </c>
      <c r="BB3" s="60"/>
      <c r="BC3" s="59">
        <f t="shared" ref="BC3" si="25">SUM(BC4,BC7,BC16,BC38,BC59,BC64)</f>
        <v>4.7425000332295895</v>
      </c>
      <c r="BD3" s="60"/>
      <c r="BE3" s="59">
        <f t="shared" ref="BE3" si="26">SUM(BE4,BE7,BE16,BE38,BE59,BE64)</f>
        <v>3.2899999972432852</v>
      </c>
      <c r="BF3" s="60"/>
      <c r="BG3" s="59">
        <f t="shared" ref="BG3" si="27">SUM(BG4,BG7,BG16,BG38,BG59,BG64)</f>
        <v>3.8825000274926422</v>
      </c>
      <c r="BH3" s="60"/>
      <c r="BI3" s="59">
        <f t="shared" ref="BI3" si="28">SUM(BI4,BI7,BI16,BI38,BI59,BI64)</f>
        <v>2.9525000344961883</v>
      </c>
      <c r="BJ3" s="60"/>
    </row>
    <row r="4" spans="1:62" ht="38" x14ac:dyDescent="0.2">
      <c r="A4" s="6" t="s">
        <v>2</v>
      </c>
      <c r="B4" s="7">
        <f>Estructura!D2</f>
        <v>0.1</v>
      </c>
      <c r="C4" s="58" t="str">
        <f>IF(SUM($B5:$B6)&lt;&gt;0,SUM(C5:C6)/SUM($B5:$B6)*$B4*10, "")</f>
        <v/>
      </c>
      <c r="D4" s="58"/>
      <c r="E4" s="58" t="str">
        <f>IF(SUM($B5:$B6)&lt;&gt;0,SUM(E5:E6)/SUM($B5:$B6)*$B4*10, "")</f>
        <v/>
      </c>
      <c r="F4" s="58"/>
      <c r="G4" s="58" t="str">
        <f>IF(SUM($B5:$B6)&lt;&gt;0,SUM(G5:G6)/SUM($B5:$B6)*$B4*10, "")</f>
        <v/>
      </c>
      <c r="H4" s="58"/>
      <c r="I4" s="58" t="str">
        <f>IF(SUM($B5:$B6)&lt;&gt;0,SUM(I5:I6)/SUM($B5:$B6)*$B4*10, "")</f>
        <v/>
      </c>
      <c r="J4" s="58"/>
      <c r="K4" s="58" t="str">
        <f>IF(SUM($B5:$B6)&lt;&gt;0,SUM(K5:K6)/SUM($B5:$B6)*$B4*10, "")</f>
        <v/>
      </c>
      <c r="L4" s="58"/>
      <c r="M4" s="58" t="str">
        <f>IF(SUM($B5:$B6)&lt;&gt;0,SUM(M5:M6)/SUM($B5:$B6)*$B4*10, "")</f>
        <v/>
      </c>
      <c r="N4" s="58"/>
      <c r="O4" s="58" t="str">
        <f>IF(SUM($B5:$B6)&lt;&gt;0,SUM(O5:O6)/SUM($B5:$B6)*$B4*10, "")</f>
        <v/>
      </c>
      <c r="P4" s="58"/>
      <c r="Q4" s="58" t="str">
        <f>IF(SUM($B5:$B6)&lt;&gt;0,SUM(Q5:Q6)/SUM($B5:$B6)*$B4*10, "")</f>
        <v/>
      </c>
      <c r="R4" s="58"/>
      <c r="S4" s="58" t="str">
        <f>IF(SUM($B5:$B6)&lt;&gt;0,SUM(S5:S6)/SUM($B5:$B6)*$B4*10, "")</f>
        <v/>
      </c>
      <c r="T4" s="58"/>
      <c r="U4" s="58" t="str">
        <f>IF(SUM($B5:$B6)&lt;&gt;0,SUM(U5:U6)/SUM($B5:$B6)*$B4*10, "")</f>
        <v/>
      </c>
      <c r="V4" s="58"/>
      <c r="W4" s="58" t="str">
        <f>IF(SUM($B5:$B6)&lt;&gt;0,SUM(W5:W6)/SUM($B5:$B6)*$B4*10, "")</f>
        <v/>
      </c>
      <c r="X4" s="58"/>
      <c r="Y4" s="58" t="str">
        <f>IF(SUM($B5:$B6)&lt;&gt;0,SUM(Y5:Y6)/SUM($B5:$B6)*$B4*10, "")</f>
        <v/>
      </c>
      <c r="Z4" s="58"/>
      <c r="AA4" s="58" t="str">
        <f>IF(SUM($B5:$B6)&lt;&gt;0,SUM(AA5:AA6)/SUM($B5:$B6)*$B4*10, "")</f>
        <v/>
      </c>
      <c r="AB4" s="58"/>
      <c r="AC4" s="58" t="str">
        <f>IF(SUM($B5:$B6)&lt;&gt;0,SUM(AC5:AC6)/SUM($B5:$B6)*$B4*10, "")</f>
        <v/>
      </c>
      <c r="AD4" s="58"/>
      <c r="AE4" s="58" t="str">
        <f>IF(SUM($B5:$B6)&lt;&gt;0,SUM(AE5:AE6)/SUM($B5:$B6)*$B4*10, "")</f>
        <v/>
      </c>
      <c r="AF4" s="58"/>
      <c r="AG4" s="58" t="str">
        <f>IF(SUM($B5:$B6)&lt;&gt;0,SUM(AG5:AG6)/SUM($B5:$B6)*$B4*10, "")</f>
        <v/>
      </c>
      <c r="AH4" s="58"/>
      <c r="AI4" s="58" t="str">
        <f>IF(SUM($B5:$B6)&lt;&gt;0,SUM(AI5:AI6)/SUM($B5:$B6)*$B4*10, "")</f>
        <v/>
      </c>
      <c r="AJ4" s="58"/>
      <c r="AK4" s="58" t="str">
        <f>IF(SUM($B5:$B6)&lt;&gt;0,SUM(AK5:AK6)/SUM($B5:$B6)*$B4*10, "")</f>
        <v/>
      </c>
      <c r="AL4" s="58"/>
      <c r="AM4" s="58" t="str">
        <f>IF(SUM($B5:$B6)&lt;&gt;0,SUM(AM5:AM6)/SUM($B5:$B6)*$B4*10, "")</f>
        <v/>
      </c>
      <c r="AN4" s="58"/>
      <c r="AO4" s="58" t="str">
        <f>IF(SUM($B5:$B6)&lt;&gt;0,SUM(AO5:AO6)/SUM($B5:$B6)*$B4*10, "")</f>
        <v/>
      </c>
      <c r="AP4" s="58"/>
      <c r="AQ4" s="58" t="str">
        <f>IF(SUM($B5:$B6)&lt;&gt;0,SUM(AQ5:AQ6)/SUM($B5:$B6)*$B4*10, "")</f>
        <v/>
      </c>
      <c r="AR4" s="58"/>
      <c r="AS4" s="58" t="str">
        <f>IF(SUM($B5:$B6)&lt;&gt;0,SUM(AS5:AS6)/SUM($B5:$B6)*$B4*10, "")</f>
        <v/>
      </c>
      <c r="AT4" s="58"/>
      <c r="AU4" s="58" t="str">
        <f>IF(SUM($B5:$B6)&lt;&gt;0,SUM(AU5:AU6)/SUM($B5:$B6)*$B4*10, "")</f>
        <v/>
      </c>
      <c r="AV4" s="58"/>
      <c r="AW4" s="58" t="str">
        <f>IF(SUM($B5:$B6)&lt;&gt;0,SUM(AW5:AW6)/SUM($B5:$B6)*$B4*10, "")</f>
        <v/>
      </c>
      <c r="AX4" s="58"/>
      <c r="AY4" s="58" t="str">
        <f>IF(SUM($B5:$B6)&lt;&gt;0,SUM(AY5:AY6)/SUM($B5:$B6)*$B4*10, "")</f>
        <v/>
      </c>
      <c r="AZ4" s="58"/>
      <c r="BA4" s="58" t="str">
        <f>IF(SUM($B5:$B6)&lt;&gt;0,SUM(BA5:BA6)/SUM($B5:$B6)*$B4*10, "")</f>
        <v/>
      </c>
      <c r="BB4" s="58"/>
      <c r="BC4" s="58" t="str">
        <f>IF(SUM($B5:$B6)&lt;&gt;0,SUM(BC5:BC6)/SUM($B5:$B6)*$B4*10, "")</f>
        <v/>
      </c>
      <c r="BD4" s="58"/>
      <c r="BE4" s="58" t="str">
        <f>IF(SUM($B5:$B6)&lt;&gt;0,SUM(BE5:BE6)/SUM($B5:$B6)*$B4*10, "")</f>
        <v/>
      </c>
      <c r="BF4" s="58"/>
      <c r="BG4" s="58" t="str">
        <f>IF(SUM($B5:$B6)&lt;&gt;0,SUM(BG5:BG6)/SUM($B5:$B6)*$B4*10, "")</f>
        <v/>
      </c>
      <c r="BH4" s="58"/>
      <c r="BI4" s="58" t="str">
        <f>IF(SUM($B5:$B6)&lt;&gt;0,SUM(BI5:BI6)/SUM($B5:$B6)*$B4*10, "")</f>
        <v/>
      </c>
      <c r="BJ4" s="58"/>
    </row>
    <row r="5" spans="1:62" ht="28" x14ac:dyDescent="0.2">
      <c r="A5" s="2" t="s">
        <v>8</v>
      </c>
      <c r="B5" s="13">
        <f>Recu3!B5</f>
        <v>0</v>
      </c>
      <c r="C5" s="31">
        <f>Recu3!C5</f>
        <v>0</v>
      </c>
      <c r="D5" s="32">
        <f>IF($B5,C5/$B5,-1)</f>
        <v>-1</v>
      </c>
      <c r="E5" s="31">
        <f>Recu3!E5</f>
        <v>0</v>
      </c>
      <c r="F5" s="32">
        <f>IF($B5,E5/$B5,-1)</f>
        <v>-1</v>
      </c>
      <c r="G5" s="31">
        <f>Recu3!G5</f>
        <v>0</v>
      </c>
      <c r="H5" s="32">
        <f>IF($B5,G5/$B5,-1)</f>
        <v>-1</v>
      </c>
      <c r="I5" s="31">
        <f>Recu3!I5</f>
        <v>0</v>
      </c>
      <c r="J5" s="32">
        <f>IF($B5,I5/$B5,-1)</f>
        <v>-1</v>
      </c>
      <c r="K5" s="31">
        <f>Recu3!K5</f>
        <v>0</v>
      </c>
      <c r="L5" s="32">
        <f>IF($B5,K5/$B5,-1)</f>
        <v>-1</v>
      </c>
      <c r="M5" s="31">
        <f>Recu3!M5</f>
        <v>0</v>
      </c>
      <c r="N5" s="32">
        <f>IF($B5,M5/$B5,-1)</f>
        <v>-1</v>
      </c>
      <c r="O5" s="31">
        <f>Recu3!O5</f>
        <v>0</v>
      </c>
      <c r="P5" s="32">
        <f>IF($B5,O5/$B5,-1)</f>
        <v>-1</v>
      </c>
      <c r="Q5" s="31">
        <f>Recu3!Q5</f>
        <v>0</v>
      </c>
      <c r="R5" s="32">
        <f>IF($B5,Q5/$B5,-1)</f>
        <v>-1</v>
      </c>
      <c r="S5" s="31">
        <f>Recu3!S5</f>
        <v>0</v>
      </c>
      <c r="T5" s="32">
        <f>IF($B5,S5/$B5,-1)</f>
        <v>-1</v>
      </c>
      <c r="U5" s="31">
        <f>Recu3!U5</f>
        <v>0</v>
      </c>
      <c r="V5" s="32">
        <f>IF($B5,U5/$B5,-1)</f>
        <v>-1</v>
      </c>
      <c r="W5" s="31">
        <f>Recu3!W5</f>
        <v>0</v>
      </c>
      <c r="X5" s="32">
        <f>IF($B5,W5/$B5,-1)</f>
        <v>-1</v>
      </c>
      <c r="Y5" s="31">
        <f>Recu3!Y5</f>
        <v>0</v>
      </c>
      <c r="Z5" s="32">
        <f>IF($B5,Y5/$B5,-1)</f>
        <v>-1</v>
      </c>
      <c r="AA5" s="31">
        <f>Recu3!AA5</f>
        <v>0</v>
      </c>
      <c r="AB5" s="32">
        <f>IF($B5,AA5/$B5,-1)</f>
        <v>-1</v>
      </c>
      <c r="AC5" s="31">
        <f>Recu3!AC5</f>
        <v>0</v>
      </c>
      <c r="AD5" s="32">
        <f>IF($B5,AC5/$B5,-1)</f>
        <v>-1</v>
      </c>
      <c r="AE5" s="31">
        <f>Recu3!AE5</f>
        <v>0</v>
      </c>
      <c r="AF5" s="32">
        <f>IF($B5,AE5/$B5,-1)</f>
        <v>-1</v>
      </c>
      <c r="AG5" s="31">
        <f>Recu3!AG5</f>
        <v>0</v>
      </c>
      <c r="AH5" s="32">
        <f>IF($B5,AG5/$B5,-1)</f>
        <v>-1</v>
      </c>
      <c r="AI5" s="31">
        <f>Recu3!AI5</f>
        <v>0</v>
      </c>
      <c r="AJ5" s="32">
        <f>IF($B5,AI5/$B5,-1)</f>
        <v>-1</v>
      </c>
      <c r="AK5" s="31">
        <f>Recu3!AK5</f>
        <v>0</v>
      </c>
      <c r="AL5" s="32">
        <f>IF($B5,AK5/$B5,-1)</f>
        <v>-1</v>
      </c>
      <c r="AM5" s="31">
        <f>Recu3!AM5</f>
        <v>0</v>
      </c>
      <c r="AN5" s="32">
        <f>IF($B5,AM5/$B5,-1)</f>
        <v>-1</v>
      </c>
      <c r="AO5" s="31">
        <f>Recu3!AO5</f>
        <v>0</v>
      </c>
      <c r="AP5" s="32">
        <f>IF($B5,AO5/$B5,-1)</f>
        <v>-1</v>
      </c>
      <c r="AQ5" s="31">
        <f>Recu3!AQ5</f>
        <v>0</v>
      </c>
      <c r="AR5" s="32">
        <f>IF($B5,AQ5/$B5,-1)</f>
        <v>-1</v>
      </c>
      <c r="AS5" s="31">
        <f>Recu3!AS5</f>
        <v>0</v>
      </c>
      <c r="AT5" s="32">
        <f>IF($B5,AS5/$B5,-1)</f>
        <v>-1</v>
      </c>
      <c r="AU5" s="31">
        <f>Recu3!AU5</f>
        <v>0</v>
      </c>
      <c r="AV5" s="32">
        <f>IF($B5,AU5/$B5,-1)</f>
        <v>-1</v>
      </c>
      <c r="AW5" s="31">
        <f>Recu3!AW5</f>
        <v>0</v>
      </c>
      <c r="AX5" s="32">
        <f>IF($B5,AW5/$B5,-1)</f>
        <v>-1</v>
      </c>
      <c r="AY5" s="31">
        <f>Recu3!AY5</f>
        <v>0</v>
      </c>
      <c r="AZ5" s="32">
        <f>IF($B5,AY5/$B5,-1)</f>
        <v>-1</v>
      </c>
      <c r="BA5" s="31">
        <f>Recu3!BA5</f>
        <v>0</v>
      </c>
      <c r="BB5" s="32">
        <f>IF($B5,BA5/$B5,-1)</f>
        <v>-1</v>
      </c>
      <c r="BC5" s="31">
        <f>Recu3!BC5</f>
        <v>0</v>
      </c>
      <c r="BD5" s="32">
        <f>IF($B5,BC5/$B5,-1)</f>
        <v>-1</v>
      </c>
      <c r="BE5" s="31">
        <f>Recu3!BE5</f>
        <v>0</v>
      </c>
      <c r="BF5" s="32">
        <f>IF($B5,BE5/$B5,-1)</f>
        <v>-1</v>
      </c>
      <c r="BG5" s="31">
        <f>Recu3!BG5</f>
        <v>0</v>
      </c>
      <c r="BH5" s="32">
        <f>IF($B5,BG5/$B5,-1)</f>
        <v>-1</v>
      </c>
      <c r="BI5" s="31">
        <f>Recu3!BI5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Recu3!B6</f>
        <v>0</v>
      </c>
      <c r="C6" s="31">
        <f>Recu3!C6</f>
        <v>0</v>
      </c>
      <c r="D6" s="32">
        <f>IF($B6,C6/$B6,-1)</f>
        <v>-1</v>
      </c>
      <c r="E6" s="31">
        <f>Recu3!E6</f>
        <v>0</v>
      </c>
      <c r="F6" s="32">
        <f>IF($B6,E6/$B6,-1)</f>
        <v>-1</v>
      </c>
      <c r="G6" s="31">
        <f>Recu3!G6</f>
        <v>0</v>
      </c>
      <c r="H6" s="32">
        <f>IF($B6,G6/$B6,-1)</f>
        <v>-1</v>
      </c>
      <c r="I6" s="31">
        <f>Recu3!I6</f>
        <v>0</v>
      </c>
      <c r="J6" s="32">
        <f>IF($B6,I6/$B6,-1)</f>
        <v>-1</v>
      </c>
      <c r="K6" s="31">
        <f>Recu3!K6</f>
        <v>0</v>
      </c>
      <c r="L6" s="32">
        <f>IF($B6,K6/$B6,-1)</f>
        <v>-1</v>
      </c>
      <c r="M6" s="31">
        <f>Recu3!M6</f>
        <v>0</v>
      </c>
      <c r="N6" s="32">
        <f>IF($B6,M6/$B6,-1)</f>
        <v>-1</v>
      </c>
      <c r="O6" s="31">
        <f>Recu3!O6</f>
        <v>0</v>
      </c>
      <c r="P6" s="32">
        <f>IF($B6,O6/$B6,-1)</f>
        <v>-1</v>
      </c>
      <c r="Q6" s="31">
        <f>Recu3!Q6</f>
        <v>0</v>
      </c>
      <c r="R6" s="32">
        <f>IF($B6,Q6/$B6,-1)</f>
        <v>-1</v>
      </c>
      <c r="S6" s="31">
        <f>Recu3!S6</f>
        <v>0</v>
      </c>
      <c r="T6" s="32">
        <f>IF($B6,S6/$B6,-1)</f>
        <v>-1</v>
      </c>
      <c r="U6" s="31">
        <f>Recu3!U6</f>
        <v>0</v>
      </c>
      <c r="V6" s="32">
        <f>IF($B6,U6/$B6,-1)</f>
        <v>-1</v>
      </c>
      <c r="W6" s="31">
        <f>Recu3!W6</f>
        <v>0</v>
      </c>
      <c r="X6" s="32">
        <f>IF($B6,W6/$B6,-1)</f>
        <v>-1</v>
      </c>
      <c r="Y6" s="31">
        <f>Recu3!Y6</f>
        <v>0</v>
      </c>
      <c r="Z6" s="32">
        <f>IF($B6,Y6/$B6,-1)</f>
        <v>-1</v>
      </c>
      <c r="AA6" s="31">
        <f>Recu3!AA6</f>
        <v>0</v>
      </c>
      <c r="AB6" s="32">
        <f>IF($B6,AA6/$B6,-1)</f>
        <v>-1</v>
      </c>
      <c r="AC6" s="31">
        <f>Recu3!AC6</f>
        <v>0</v>
      </c>
      <c r="AD6" s="32">
        <f>IF($B6,AC6/$B6,-1)</f>
        <v>-1</v>
      </c>
      <c r="AE6" s="31">
        <f>Recu3!AE6</f>
        <v>0</v>
      </c>
      <c r="AF6" s="32">
        <f>IF($B6,AE6/$B6,-1)</f>
        <v>-1</v>
      </c>
      <c r="AG6" s="31">
        <f>Recu3!AG6</f>
        <v>0</v>
      </c>
      <c r="AH6" s="32">
        <f>IF($B6,AG6/$B6,-1)</f>
        <v>-1</v>
      </c>
      <c r="AI6" s="31">
        <f>Recu3!AI6</f>
        <v>0</v>
      </c>
      <c r="AJ6" s="32">
        <f>IF($B6,AI6/$B6,-1)</f>
        <v>-1</v>
      </c>
      <c r="AK6" s="31">
        <f>Recu3!AK6</f>
        <v>0</v>
      </c>
      <c r="AL6" s="32">
        <f>IF($B6,AK6/$B6,-1)</f>
        <v>-1</v>
      </c>
      <c r="AM6" s="31">
        <f>Recu3!AM6</f>
        <v>0</v>
      </c>
      <c r="AN6" s="32">
        <f>IF($B6,AM6/$B6,-1)</f>
        <v>-1</v>
      </c>
      <c r="AO6" s="31">
        <f>Recu3!AO6</f>
        <v>0</v>
      </c>
      <c r="AP6" s="32">
        <f>IF($B6,AO6/$B6,-1)</f>
        <v>-1</v>
      </c>
      <c r="AQ6" s="31">
        <f>Recu3!AQ6</f>
        <v>0</v>
      </c>
      <c r="AR6" s="32">
        <f>IF($B6,AQ6/$B6,-1)</f>
        <v>-1</v>
      </c>
      <c r="AS6" s="31">
        <f>Recu3!AS6</f>
        <v>0</v>
      </c>
      <c r="AT6" s="32">
        <f>IF($B6,AS6/$B6,-1)</f>
        <v>-1</v>
      </c>
      <c r="AU6" s="31">
        <f>Recu3!AU6</f>
        <v>0</v>
      </c>
      <c r="AV6" s="32">
        <f>IF($B6,AU6/$B6,-1)</f>
        <v>-1</v>
      </c>
      <c r="AW6" s="31">
        <f>Recu3!AW6</f>
        <v>0</v>
      </c>
      <c r="AX6" s="32">
        <f>IF($B6,AW6/$B6,-1)</f>
        <v>-1</v>
      </c>
      <c r="AY6" s="31">
        <f>Recu3!AY6</f>
        <v>0</v>
      </c>
      <c r="AZ6" s="32">
        <f>IF($B6,AY6/$B6,-1)</f>
        <v>-1</v>
      </c>
      <c r="BA6" s="31">
        <f>Recu3!BA6</f>
        <v>0</v>
      </c>
      <c r="BB6" s="32">
        <f>IF($B6,BA6/$B6,-1)</f>
        <v>-1</v>
      </c>
      <c r="BC6" s="31">
        <f>Recu3!BC6</f>
        <v>0</v>
      </c>
      <c r="BD6" s="32">
        <f>IF($B6,BC6/$B6,-1)</f>
        <v>-1</v>
      </c>
      <c r="BE6" s="31">
        <f>Recu3!BE6</f>
        <v>0</v>
      </c>
      <c r="BF6" s="32">
        <f>IF($B6,BE6/$B6,-1)</f>
        <v>-1</v>
      </c>
      <c r="BG6" s="31">
        <f>Recu3!BG6</f>
        <v>0</v>
      </c>
      <c r="BH6" s="32">
        <f>IF($B6,BG6/$B6,-1)</f>
        <v>-1</v>
      </c>
      <c r="BI6" s="31">
        <f>Recu3!BI6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8">
        <f>IF(SUM($B8:$B15)&lt;&gt;0,SUM(C8:C15)/SUM($B8:$B15)*$B7*10, "")</f>
        <v>0.74999999105930337</v>
      </c>
      <c r="D7" s="58"/>
      <c r="E7" s="58">
        <f>IF(SUM($B8:$B15)&lt;&gt;0,SUM(E8:E15)/SUM($B8:$B15)*$B7*10, "")</f>
        <v>0.71999999508261681</v>
      </c>
      <c r="F7" s="58"/>
      <c r="G7" s="58">
        <f>IF(SUM($B8:$B15)&lt;&gt;0,SUM(G8:G15)/SUM($B8:$B15)*$B7*10, "")</f>
        <v>0.75000001788139325</v>
      </c>
      <c r="H7" s="58"/>
      <c r="I7" s="58">
        <f>IF(SUM($B8:$B15)&lt;&gt;0,SUM(I8:I15)/SUM($B8:$B15)*$B7*10, "")</f>
        <v>0.6300000093877316</v>
      </c>
      <c r="J7" s="58"/>
      <c r="K7" s="58">
        <f>IF(SUM($B8:$B15)&lt;&gt;0,SUM(K8:K15)/SUM($B8:$B15)*$B7*10, "")</f>
        <v>0.63000001162290564</v>
      </c>
      <c r="L7" s="58"/>
      <c r="M7" s="58">
        <f>IF(SUM($B8:$B15)&lt;&gt;0,SUM(M8:M15)/SUM($B8:$B15)*$B7*10, "")</f>
        <v>0.51000000536441803</v>
      </c>
      <c r="N7" s="58"/>
      <c r="O7" s="58">
        <f>IF(SUM($B8:$B15)&lt;&gt;0,SUM(O8:O15)/SUM($B8:$B15)*$B7*10, "")</f>
        <v>0.53999999463558201</v>
      </c>
      <c r="P7" s="58"/>
      <c r="Q7" s="58">
        <f>IF(SUM($B8:$B15)&lt;&gt;0,SUM(Q8:Q15)/SUM($B8:$B15)*$B7*10, "")</f>
        <v>1.170000010728836</v>
      </c>
      <c r="R7" s="58"/>
      <c r="S7" s="58">
        <f>IF(SUM($B8:$B15)&lt;&gt;0,SUM(S8:S15)/SUM($B8:$B15)*$B7*10, "")</f>
        <v>0.56999999731779094</v>
      </c>
      <c r="T7" s="58"/>
      <c r="U7" s="58">
        <f>IF(SUM($B8:$B15)&lt;&gt;0,SUM(U8:U15)/SUM($B8:$B15)*$B7*10, "")</f>
        <v>0.6299999982118607</v>
      </c>
      <c r="V7" s="58"/>
      <c r="W7" s="58">
        <f>IF(SUM($B8:$B15)&lt;&gt;0,SUM(W8:W15)/SUM($B8:$B15)*$B7*10, "")</f>
        <v>0.47999999597668647</v>
      </c>
      <c r="X7" s="58"/>
      <c r="Y7" s="58">
        <f>IF(SUM($B8:$B15)&lt;&gt;0,SUM(Y8:Y15)/SUM($B8:$B15)*$B7*10, "")</f>
        <v>0.83999999910593026</v>
      </c>
      <c r="Z7" s="58"/>
      <c r="AA7" s="58">
        <f>IF(SUM($B8:$B15)&lt;&gt;0,SUM(AA8:AA15)/SUM($B8:$B15)*$B7*10, "")</f>
        <v>0.86999999508261672</v>
      </c>
      <c r="AB7" s="58"/>
      <c r="AC7" s="58">
        <f>IF(SUM($B8:$B15)&lt;&gt;0,SUM(AC8:AC15)/SUM($B8:$B15)*$B7*10, "")</f>
        <v>0.60000000894069672</v>
      </c>
      <c r="AD7" s="58"/>
      <c r="AE7" s="58">
        <f>IF(SUM($B8:$B15)&lt;&gt;0,SUM(AE8:AE15)/SUM($B8:$B15)*$B7*10, "")</f>
        <v>0.48000001385807989</v>
      </c>
      <c r="AF7" s="58"/>
      <c r="AG7" s="58">
        <f>IF(SUM($B8:$B15)&lt;&gt;0,SUM(AG8:AG15)/SUM($B8:$B15)*$B7*10, "")</f>
        <v>1.0200000040233135</v>
      </c>
      <c r="AH7" s="58"/>
      <c r="AI7" s="58">
        <f>IF(SUM($B8:$B15)&lt;&gt;0,SUM(AI8:AI15)/SUM($B8:$B15)*$B7*10, "")</f>
        <v>0.9300000004470349</v>
      </c>
      <c r="AJ7" s="58"/>
      <c r="AK7" s="58">
        <f>IF(SUM($B8:$B15)&lt;&gt;0,SUM(AK8:AK15)/SUM($B8:$B15)*$B7*10, "")</f>
        <v>0.60000001117587087</v>
      </c>
      <c r="AL7" s="58"/>
      <c r="AM7" s="58">
        <f>IF(SUM($B8:$B15)&lt;&gt;0,SUM(AM8:AM15)/SUM($B8:$B15)*$B7*10, "")</f>
        <v>0.81000000536441796</v>
      </c>
      <c r="AN7" s="58"/>
      <c r="AO7" s="58">
        <f>IF(SUM($B8:$B15)&lt;&gt;0,SUM(AO8:AO15)/SUM($B8:$B15)*$B7*10, "")</f>
        <v>0.60000000223517413</v>
      </c>
      <c r="AP7" s="58"/>
      <c r="AQ7" s="58">
        <f>IF(SUM($B8:$B15)&lt;&gt;0,SUM(AQ8:AQ15)/SUM($B8:$B15)*$B7*10, "")</f>
        <v>0.6900000125169754</v>
      </c>
      <c r="AR7" s="58"/>
      <c r="AS7" s="58">
        <f>IF(SUM($B8:$B15)&lt;&gt;0,SUM(AS8:AS15)/SUM($B8:$B15)*$B7*10, "")</f>
        <v>0.84000000357627869</v>
      </c>
      <c r="AT7" s="58"/>
      <c r="AU7" s="58">
        <f>IF(SUM($B8:$B15)&lt;&gt;0,SUM(AU8:AU15)/SUM($B8:$B15)*$B7*10, "")</f>
        <v>0.57000000402331352</v>
      </c>
      <c r="AV7" s="58"/>
      <c r="AW7" s="58">
        <f>IF(SUM($B8:$B15)&lt;&gt;0,SUM(AW8:AW15)/SUM($B8:$B15)*$B7*10, "")</f>
        <v>1.0500000044703484</v>
      </c>
      <c r="AX7" s="58"/>
      <c r="AY7" s="58">
        <f>IF(SUM($B8:$B15)&lt;&gt;0,SUM(AY8:AY15)/SUM($B8:$B15)*$B7*10, "")</f>
        <v>0.69000000357627866</v>
      </c>
      <c r="AZ7" s="58"/>
      <c r="BA7" s="58">
        <f>IF(SUM($B8:$B15)&lt;&gt;0,SUM(BA8:BA15)/SUM($B8:$B15)*$B7*10, "")</f>
        <v>0.6300000093877316</v>
      </c>
      <c r="BB7" s="58"/>
      <c r="BC7" s="58">
        <f>IF(SUM($B8:$B15)&lt;&gt;0,SUM(BC8:BC15)/SUM($B8:$B15)*$B7*10, "")</f>
        <v>0.93000002503395074</v>
      </c>
      <c r="BD7" s="58"/>
      <c r="BE7" s="58">
        <f>IF(SUM($B8:$B15)&lt;&gt;0,SUM(BE8:BE15)/SUM($B8:$B15)*$B7*10, "")</f>
        <v>0.65999999195337289</v>
      </c>
      <c r="BF7" s="58"/>
      <c r="BG7" s="58">
        <f>IF(SUM($B8:$B15)&lt;&gt;0,SUM(BG8:BG15)/SUM($B8:$B15)*$B7*10, "")</f>
        <v>0.59999999776482582</v>
      </c>
      <c r="BH7" s="58"/>
      <c r="BI7" s="58">
        <f>IF(SUM($B8:$B15)&lt;&gt;0,SUM(BI8:BI15)/SUM($B8:$B15)*$B7*10, "")</f>
        <v>0.54000000134110449</v>
      </c>
      <c r="BJ7" s="58"/>
    </row>
    <row r="8" spans="1:62" ht="42" x14ac:dyDescent="0.2">
      <c r="A8" s="2" t="s">
        <v>10</v>
      </c>
      <c r="B8" s="13">
        <f>Recu3!B8</f>
        <v>2</v>
      </c>
      <c r="C8" s="31">
        <f>Recu3!C8</f>
        <v>1.3999999761581421</v>
      </c>
      <c r="D8" s="32">
        <f t="shared" ref="D8:D15" si="29">IF($B8,C8/$B8,-1)</f>
        <v>0.69999998807907104</v>
      </c>
      <c r="E8" s="31">
        <f>Recu3!E8</f>
        <v>1</v>
      </c>
      <c r="F8" s="32">
        <f t="shared" ref="F8:F15" si="30">IF($B8,E8/$B8,-1)</f>
        <v>0.5</v>
      </c>
      <c r="G8" s="31">
        <f>Recu3!G8</f>
        <v>1.2000000476837158</v>
      </c>
      <c r="H8" s="32">
        <f t="shared" ref="H8:H15" si="31">IF($B8,G8/$B8,-1)</f>
        <v>0.60000002384185791</v>
      </c>
      <c r="I8" s="31">
        <f>Recu3!I8</f>
        <v>0.60000002384185791</v>
      </c>
      <c r="J8" s="32">
        <f t="shared" ref="J8:J15" si="32">IF($B8,I8/$B8,-1)</f>
        <v>0.30000001192092896</v>
      </c>
      <c r="K8" s="31">
        <f>Recu3!K8</f>
        <v>0.60000002384185791</v>
      </c>
      <c r="L8" s="32">
        <f t="shared" ref="L8:L15" si="33">IF($B8,K8/$B8,-1)</f>
        <v>0.30000001192092896</v>
      </c>
      <c r="M8" s="31">
        <f>Recu3!M8</f>
        <v>1.6000000238418579</v>
      </c>
      <c r="N8" s="32">
        <f t="shared" ref="N8:N15" si="34">IF($B8,M8/$B8,-1)</f>
        <v>0.80000001192092896</v>
      </c>
      <c r="O8" s="31">
        <f>Recu3!O8</f>
        <v>0</v>
      </c>
      <c r="P8" s="32">
        <f t="shared" ref="P8:P15" si="35">IF($B8,O8/$B8,-1)</f>
        <v>0</v>
      </c>
      <c r="Q8" s="31">
        <f>Recu3!Q8</f>
        <v>1.6000000238418579</v>
      </c>
      <c r="R8" s="32">
        <f t="shared" ref="R8:R15" si="36">IF($B8,Q8/$B8,-1)</f>
        <v>0.80000001192092896</v>
      </c>
      <c r="S8" s="31">
        <f>Recu3!S8</f>
        <v>1.6000000238418579</v>
      </c>
      <c r="T8" s="32">
        <f t="shared" ref="T8:T15" si="37">IF($B8,S8/$B8,-1)</f>
        <v>0.80000001192092896</v>
      </c>
      <c r="U8" s="31">
        <f>Recu3!U8</f>
        <v>1.3999999761581421</v>
      </c>
      <c r="V8" s="32">
        <f t="shared" ref="V8:V15" si="38">IF($B8,U8/$B8,-1)</f>
        <v>0.69999998807907104</v>
      </c>
      <c r="W8" s="31">
        <f>Recu3!W8</f>
        <v>0</v>
      </c>
      <c r="X8" s="32">
        <f t="shared" ref="X8:X15" si="39">IF($B8,W8/$B8,-1)</f>
        <v>0</v>
      </c>
      <c r="Y8" s="31">
        <f>Recu3!Y8</f>
        <v>0.80000001192092896</v>
      </c>
      <c r="Z8" s="32">
        <f t="shared" ref="Z8:Z15" si="40">IF($B8,Y8/$B8,-1)</f>
        <v>0.40000000596046448</v>
      </c>
      <c r="AA8" s="31">
        <f>Recu3!AA8</f>
        <v>1.7999999523162842</v>
      </c>
      <c r="AB8" s="32">
        <f t="shared" ref="AB8:AB15" si="41">IF($B8,AA8/$B8,-1)</f>
        <v>0.89999997615814209</v>
      </c>
      <c r="AC8" s="31">
        <f>Recu3!AC8</f>
        <v>1.6000000238418579</v>
      </c>
      <c r="AD8" s="32">
        <f t="shared" ref="AD8:AD15" si="42">IF($B8,AC8/$B8,-1)</f>
        <v>0.80000001192092896</v>
      </c>
      <c r="AE8" s="31">
        <f>Recu3!AE8</f>
        <v>0.80000001192092896</v>
      </c>
      <c r="AF8" s="32">
        <f t="shared" ref="AF8:AF15" si="43">IF($B8,AE8/$B8,-1)</f>
        <v>0.40000000596046448</v>
      </c>
      <c r="AG8" s="31">
        <f>Recu3!AG8</f>
        <v>2</v>
      </c>
      <c r="AH8" s="32">
        <f t="shared" ref="AH8:AH15" si="44">IF($B8,AG8/$B8,-1)</f>
        <v>1</v>
      </c>
      <c r="AI8" s="31">
        <f>Recu3!AI8</f>
        <v>1.7999999523162842</v>
      </c>
      <c r="AJ8" s="32">
        <f t="shared" ref="AJ8:AJ15" si="45">IF($B8,AI8/$B8,-1)</f>
        <v>0.89999997615814209</v>
      </c>
      <c r="AK8" s="31">
        <f>Recu3!AK8</f>
        <v>0</v>
      </c>
      <c r="AL8" s="32">
        <f t="shared" ref="AL8:AL15" si="46">IF($B8,AK8/$B8,-1)</f>
        <v>0</v>
      </c>
      <c r="AM8" s="31">
        <f>Recu3!AM8</f>
        <v>2</v>
      </c>
      <c r="AN8" s="32">
        <f t="shared" ref="AN8:AN15" si="47">IF($B8,AM8/$B8,-1)</f>
        <v>1</v>
      </c>
      <c r="AO8" s="31">
        <f>Recu3!AO8</f>
        <v>0.80000001192092896</v>
      </c>
      <c r="AP8" s="32">
        <f t="shared" ref="AP8:AP15" si="48">IF($B8,AO8/$B8,-1)</f>
        <v>0.40000000596046448</v>
      </c>
      <c r="AQ8" s="31">
        <f>Recu3!AQ8</f>
        <v>1</v>
      </c>
      <c r="AR8" s="32">
        <f t="shared" ref="AR8:AR15" si="49">IF($B8,AQ8/$B8,-1)</f>
        <v>0.5</v>
      </c>
      <c r="AS8" s="31">
        <f>Recu3!AS8</f>
        <v>1.6000000238418579</v>
      </c>
      <c r="AT8" s="32">
        <f t="shared" ref="AT8:AT15" si="50">IF($B8,AS8/$B8,-1)</f>
        <v>0.80000001192092896</v>
      </c>
      <c r="AU8" s="31">
        <f>Recu3!AU8</f>
        <v>0</v>
      </c>
      <c r="AV8" s="32">
        <f t="shared" ref="AV8:AV15" si="51">IF($B8,AU8/$B8,-1)</f>
        <v>0</v>
      </c>
      <c r="AW8" s="31">
        <f>Recu3!AW8</f>
        <v>1.2000000476837158</v>
      </c>
      <c r="AX8" s="32">
        <f t="shared" ref="AX8:AX15" si="52">IF($B8,AW8/$B8,-1)</f>
        <v>0.60000002384185791</v>
      </c>
      <c r="AY8" s="31">
        <f>Recu3!AY8</f>
        <v>1</v>
      </c>
      <c r="AZ8" s="32">
        <f t="shared" ref="AZ8:AZ15" si="53">IF($B8,AY8/$B8,-1)</f>
        <v>0.5</v>
      </c>
      <c r="BA8" s="31">
        <f>Recu3!BA8</f>
        <v>0.60000002384185791</v>
      </c>
      <c r="BB8" s="32">
        <f t="shared" ref="BB8:BB15" si="54">IF($B8,BA8/$B8,-1)</f>
        <v>0.30000001192092896</v>
      </c>
      <c r="BC8" s="31">
        <f>Recu3!BC8</f>
        <v>1.2000000476837158</v>
      </c>
      <c r="BD8" s="32">
        <f t="shared" ref="BD8:BD15" si="55">IF($B8,BC8/$B8,-1)</f>
        <v>0.60000002384185791</v>
      </c>
      <c r="BE8" s="31">
        <f>Recu3!BE8</f>
        <v>1.3999999761581421</v>
      </c>
      <c r="BF8" s="32">
        <f t="shared" ref="BF8:BF15" si="56">IF($B8,BE8/$B8,-1)</f>
        <v>0.69999998807907104</v>
      </c>
      <c r="BG8" s="31">
        <f>Recu3!BG8</f>
        <v>0.40000000596046448</v>
      </c>
      <c r="BH8" s="32">
        <f t="shared" ref="BH8:BH15" si="57">IF($B8,BG8/$B8,-1)</f>
        <v>0.20000000298023224</v>
      </c>
      <c r="BI8" s="31">
        <f>Recu3!BI8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Recu3!B9</f>
        <v>2</v>
      </c>
      <c r="C9" s="31">
        <f>Recu3!C9</f>
        <v>1.7999999523162842</v>
      </c>
      <c r="D9" s="32">
        <f t="shared" si="29"/>
        <v>0.89999997615814209</v>
      </c>
      <c r="E9" s="31">
        <f>Recu3!E9</f>
        <v>1.7999999523162842</v>
      </c>
      <c r="F9" s="32">
        <f t="shared" si="30"/>
        <v>0.89999997615814209</v>
      </c>
      <c r="G9" s="31">
        <f>Recu3!G9</f>
        <v>1.2000000476837158</v>
      </c>
      <c r="H9" s="32">
        <f t="shared" si="31"/>
        <v>0.60000002384185791</v>
      </c>
      <c r="I9" s="31">
        <f>Recu3!I9</f>
        <v>2</v>
      </c>
      <c r="J9" s="32">
        <f t="shared" si="32"/>
        <v>1</v>
      </c>
      <c r="K9" s="31">
        <f>Recu3!K9</f>
        <v>2</v>
      </c>
      <c r="L9" s="32">
        <f t="shared" si="33"/>
        <v>1</v>
      </c>
      <c r="M9" s="31">
        <f>Recu3!M9</f>
        <v>0.40000000596046448</v>
      </c>
      <c r="N9" s="32">
        <f t="shared" si="34"/>
        <v>0.20000000298023224</v>
      </c>
      <c r="O9" s="31">
        <f>Recu3!O9</f>
        <v>1.3999999761581421</v>
      </c>
      <c r="P9" s="32">
        <f t="shared" si="35"/>
        <v>0.69999998807907104</v>
      </c>
      <c r="Q9" s="31">
        <f>Recu3!Q9</f>
        <v>2</v>
      </c>
      <c r="R9" s="32">
        <f t="shared" si="36"/>
        <v>1</v>
      </c>
      <c r="S9" s="31">
        <f>Recu3!S9</f>
        <v>0.40000000596046448</v>
      </c>
      <c r="T9" s="32">
        <f t="shared" si="37"/>
        <v>0.20000000298023224</v>
      </c>
      <c r="U9" s="31">
        <f>Recu3!U9</f>
        <v>1</v>
      </c>
      <c r="V9" s="32">
        <f t="shared" si="38"/>
        <v>0.5</v>
      </c>
      <c r="W9" s="31">
        <f>Recu3!W9</f>
        <v>0.20000000298023224</v>
      </c>
      <c r="X9" s="32">
        <f t="shared" si="39"/>
        <v>0.10000000149011612</v>
      </c>
      <c r="Y9" s="31">
        <f>Recu3!Y9</f>
        <v>2</v>
      </c>
      <c r="Z9" s="32">
        <f t="shared" si="40"/>
        <v>1</v>
      </c>
      <c r="AA9" s="31">
        <f>Recu3!AA9</f>
        <v>1.3999999761581421</v>
      </c>
      <c r="AB9" s="32">
        <f t="shared" si="41"/>
        <v>0.69999998807907104</v>
      </c>
      <c r="AC9" s="31">
        <f>Recu3!AC9</f>
        <v>0</v>
      </c>
      <c r="AD9" s="32">
        <f t="shared" si="42"/>
        <v>0</v>
      </c>
      <c r="AE9" s="31">
        <f>Recu3!AE9</f>
        <v>1.2000000476837158</v>
      </c>
      <c r="AF9" s="32">
        <f t="shared" si="43"/>
        <v>0.60000002384185791</v>
      </c>
      <c r="AG9" s="31">
        <f>Recu3!AG9</f>
        <v>0.20000000298023224</v>
      </c>
      <c r="AH9" s="32">
        <f t="shared" si="44"/>
        <v>0.10000000149011612</v>
      </c>
      <c r="AI9" s="31">
        <f>Recu3!AI9</f>
        <v>0.20000000298023224</v>
      </c>
      <c r="AJ9" s="32">
        <f t="shared" si="45"/>
        <v>0.10000000149011612</v>
      </c>
      <c r="AK9" s="31">
        <f>Recu3!AK9</f>
        <v>1.6000000238418579</v>
      </c>
      <c r="AL9" s="32">
        <f t="shared" si="46"/>
        <v>0.80000001192092896</v>
      </c>
      <c r="AM9" s="31">
        <f>Recu3!AM9</f>
        <v>0.60000002384185791</v>
      </c>
      <c r="AN9" s="32">
        <f t="shared" si="47"/>
        <v>0.30000001192092896</v>
      </c>
      <c r="AO9" s="31">
        <f>Recu3!AO9</f>
        <v>0</v>
      </c>
      <c r="AP9" s="32">
        <f t="shared" si="48"/>
        <v>0</v>
      </c>
      <c r="AQ9" s="31">
        <f>Recu3!AQ9</f>
        <v>0.60000002384185791</v>
      </c>
      <c r="AR9" s="32">
        <f t="shared" si="49"/>
        <v>0.30000001192092896</v>
      </c>
      <c r="AS9" s="31">
        <f>Recu3!AS9</f>
        <v>0.80000001192092896</v>
      </c>
      <c r="AT9" s="32">
        <f t="shared" si="50"/>
        <v>0.40000000596046448</v>
      </c>
      <c r="AU9" s="31">
        <f>Recu3!AU9</f>
        <v>0.60000002384185791</v>
      </c>
      <c r="AV9" s="32">
        <f t="shared" si="51"/>
        <v>0.30000001192092896</v>
      </c>
      <c r="AW9" s="31">
        <f>Recu3!AW9</f>
        <v>2</v>
      </c>
      <c r="AX9" s="32">
        <f t="shared" si="52"/>
        <v>1</v>
      </c>
      <c r="AY9" s="31">
        <f>Recu3!AY9</f>
        <v>2</v>
      </c>
      <c r="AZ9" s="32">
        <f t="shared" si="53"/>
        <v>1</v>
      </c>
      <c r="BA9" s="31">
        <f>Recu3!BA9</f>
        <v>0.80000001192092896</v>
      </c>
      <c r="BB9" s="32">
        <f t="shared" si="54"/>
        <v>0.40000000596046448</v>
      </c>
      <c r="BC9" s="31">
        <f>Recu3!BC9</f>
        <v>0.60000002384185791</v>
      </c>
      <c r="BD9" s="32">
        <f t="shared" si="55"/>
        <v>0.30000001192092896</v>
      </c>
      <c r="BE9" s="31">
        <f>Recu3!BE9</f>
        <v>0.20000000298023224</v>
      </c>
      <c r="BF9" s="32">
        <f t="shared" si="56"/>
        <v>0.10000000149011612</v>
      </c>
      <c r="BG9" s="31">
        <f>Recu3!BG9</f>
        <v>0.20000000298023224</v>
      </c>
      <c r="BH9" s="32">
        <f t="shared" si="57"/>
        <v>0.10000000149011612</v>
      </c>
      <c r="BI9" s="31">
        <f>Recu3!BI9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Recu3!B10</f>
        <v>2</v>
      </c>
      <c r="C10" s="31">
        <f>Recu3!C10</f>
        <v>0.80000001192092896</v>
      </c>
      <c r="D10" s="32">
        <f t="shared" si="29"/>
        <v>0.40000000596046448</v>
      </c>
      <c r="E10" s="31">
        <f>Recu3!E10</f>
        <v>0.80000001192092896</v>
      </c>
      <c r="F10" s="32">
        <f t="shared" si="30"/>
        <v>0.40000000596046448</v>
      </c>
      <c r="G10" s="31">
        <f>Recu3!G10</f>
        <v>1.3999999761581421</v>
      </c>
      <c r="H10" s="32">
        <f t="shared" si="31"/>
        <v>0.69999998807907104</v>
      </c>
      <c r="I10" s="31">
        <f>Recu3!I10</f>
        <v>0.60000002384185791</v>
      </c>
      <c r="J10" s="32">
        <f t="shared" si="32"/>
        <v>0.30000001192092896</v>
      </c>
      <c r="K10" s="31">
        <f>Recu3!K10</f>
        <v>1.2000000476837158</v>
      </c>
      <c r="L10" s="32">
        <f t="shared" si="33"/>
        <v>0.60000002384185791</v>
      </c>
      <c r="M10" s="31">
        <f>Recu3!M10</f>
        <v>0.40000000596046448</v>
      </c>
      <c r="N10" s="32">
        <f t="shared" si="34"/>
        <v>0.20000000298023224</v>
      </c>
      <c r="O10" s="31">
        <f>Recu3!O10</f>
        <v>0.40000000596046448</v>
      </c>
      <c r="P10" s="32">
        <f t="shared" si="35"/>
        <v>0.20000000298023224</v>
      </c>
      <c r="Q10" s="31">
        <f>Recu3!Q10</f>
        <v>1.2000000476837158</v>
      </c>
      <c r="R10" s="32">
        <f t="shared" si="36"/>
        <v>0.60000002384185791</v>
      </c>
      <c r="S10" s="31">
        <f>Recu3!S10</f>
        <v>0</v>
      </c>
      <c r="T10" s="32">
        <f t="shared" si="37"/>
        <v>0</v>
      </c>
      <c r="U10" s="31">
        <f>Recu3!U10</f>
        <v>1</v>
      </c>
      <c r="V10" s="32">
        <f t="shared" si="38"/>
        <v>0.5</v>
      </c>
      <c r="W10" s="31">
        <f>Recu3!W10</f>
        <v>1.7999999523162842</v>
      </c>
      <c r="X10" s="32">
        <f t="shared" si="39"/>
        <v>0.89999997615814209</v>
      </c>
      <c r="Y10" s="31">
        <f>Recu3!Y10</f>
        <v>0.40000000596046448</v>
      </c>
      <c r="Z10" s="32">
        <f t="shared" si="40"/>
        <v>0.20000000298023224</v>
      </c>
      <c r="AA10" s="31">
        <f>Recu3!AA10</f>
        <v>1.6000000238418579</v>
      </c>
      <c r="AB10" s="32">
        <f t="shared" si="41"/>
        <v>0.80000001192092896</v>
      </c>
      <c r="AC10" s="31">
        <f>Recu3!AC10</f>
        <v>0.80000001192092896</v>
      </c>
      <c r="AD10" s="32">
        <f t="shared" si="42"/>
        <v>0.40000000596046448</v>
      </c>
      <c r="AE10" s="31">
        <f>Recu3!AE10</f>
        <v>0.60000002384185791</v>
      </c>
      <c r="AF10" s="32">
        <f t="shared" si="43"/>
        <v>0.30000001192092896</v>
      </c>
      <c r="AG10" s="31">
        <f>Recu3!AG10</f>
        <v>2</v>
      </c>
      <c r="AH10" s="32">
        <f t="shared" si="44"/>
        <v>1</v>
      </c>
      <c r="AI10" s="31">
        <f>Recu3!AI10</f>
        <v>1.2000000476837158</v>
      </c>
      <c r="AJ10" s="32">
        <f t="shared" si="45"/>
        <v>0.60000002384185791</v>
      </c>
      <c r="AK10" s="31">
        <f>Recu3!AK10</f>
        <v>1.2000000476837158</v>
      </c>
      <c r="AL10" s="32">
        <f t="shared" si="46"/>
        <v>0.60000002384185791</v>
      </c>
      <c r="AM10" s="31">
        <f>Recu3!AM10</f>
        <v>0.80000001192092896</v>
      </c>
      <c r="AN10" s="32">
        <f t="shared" si="47"/>
        <v>0.40000000596046448</v>
      </c>
      <c r="AO10" s="31">
        <f>Recu3!AO10</f>
        <v>0.20000000298023224</v>
      </c>
      <c r="AP10" s="32">
        <f t="shared" si="48"/>
        <v>0.10000000149011612</v>
      </c>
      <c r="AQ10" s="31">
        <f>Recu3!AQ10</f>
        <v>1.2000000476837158</v>
      </c>
      <c r="AR10" s="32">
        <f t="shared" si="49"/>
        <v>0.60000002384185791</v>
      </c>
      <c r="AS10" s="31">
        <f>Recu3!AS10</f>
        <v>1.3999999761581421</v>
      </c>
      <c r="AT10" s="32">
        <f t="shared" si="50"/>
        <v>0.69999998807907104</v>
      </c>
      <c r="AU10" s="31">
        <f>Recu3!AU10</f>
        <v>2</v>
      </c>
      <c r="AV10" s="32">
        <f t="shared" si="51"/>
        <v>1</v>
      </c>
      <c r="AW10" s="31">
        <f>Recu3!AW10</f>
        <v>1.7999999523162842</v>
      </c>
      <c r="AX10" s="32">
        <f t="shared" si="52"/>
        <v>0.89999997615814209</v>
      </c>
      <c r="AY10" s="31">
        <f>Recu3!AY10</f>
        <v>0</v>
      </c>
      <c r="AZ10" s="32">
        <f t="shared" si="53"/>
        <v>0</v>
      </c>
      <c r="BA10" s="31">
        <f>Recu3!BA10</f>
        <v>1</v>
      </c>
      <c r="BB10" s="32">
        <f t="shared" si="54"/>
        <v>0.5</v>
      </c>
      <c r="BC10" s="31">
        <f>Recu3!BC10</f>
        <v>2</v>
      </c>
      <c r="BD10" s="32">
        <f t="shared" si="55"/>
        <v>1</v>
      </c>
      <c r="BE10" s="31">
        <f>Recu3!BE10</f>
        <v>0.80000001192092896</v>
      </c>
      <c r="BF10" s="32">
        <f t="shared" si="56"/>
        <v>0.40000000596046448</v>
      </c>
      <c r="BG10" s="31">
        <f>Recu3!BG10</f>
        <v>1.3999999761581421</v>
      </c>
      <c r="BH10" s="32">
        <f t="shared" si="57"/>
        <v>0.69999998807907104</v>
      </c>
      <c r="BI10" s="31">
        <f>Recu3!BI10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Recu3!B11</f>
        <v>0</v>
      </c>
      <c r="C11" s="31">
        <f>Recu3!C11</f>
        <v>0</v>
      </c>
      <c r="D11" s="32">
        <f t="shared" si="29"/>
        <v>-1</v>
      </c>
      <c r="E11" s="31">
        <f>Recu3!E11</f>
        <v>0</v>
      </c>
      <c r="F11" s="32">
        <f t="shared" si="30"/>
        <v>-1</v>
      </c>
      <c r="G11" s="31">
        <f>Recu3!G11</f>
        <v>0</v>
      </c>
      <c r="H11" s="32">
        <f t="shared" si="31"/>
        <v>-1</v>
      </c>
      <c r="I11" s="31">
        <f>Recu3!I11</f>
        <v>0</v>
      </c>
      <c r="J11" s="32">
        <f t="shared" si="32"/>
        <v>-1</v>
      </c>
      <c r="K11" s="31">
        <f>Recu3!K11</f>
        <v>0</v>
      </c>
      <c r="L11" s="32">
        <f t="shared" si="33"/>
        <v>-1</v>
      </c>
      <c r="M11" s="31">
        <f>Recu3!M11</f>
        <v>0</v>
      </c>
      <c r="N11" s="32">
        <f t="shared" si="34"/>
        <v>-1</v>
      </c>
      <c r="O11" s="31">
        <f>Recu3!O11</f>
        <v>0</v>
      </c>
      <c r="P11" s="32">
        <f t="shared" si="35"/>
        <v>-1</v>
      </c>
      <c r="Q11" s="31">
        <f>Recu3!Q11</f>
        <v>0</v>
      </c>
      <c r="R11" s="32">
        <f t="shared" si="36"/>
        <v>-1</v>
      </c>
      <c r="S11" s="31">
        <f>Recu3!S11</f>
        <v>0</v>
      </c>
      <c r="T11" s="32">
        <f t="shared" si="37"/>
        <v>-1</v>
      </c>
      <c r="U11" s="31">
        <f>Recu3!U11</f>
        <v>0</v>
      </c>
      <c r="V11" s="32">
        <f t="shared" si="38"/>
        <v>-1</v>
      </c>
      <c r="W11" s="31">
        <f>Recu3!W11</f>
        <v>0</v>
      </c>
      <c r="X11" s="32">
        <f t="shared" si="39"/>
        <v>-1</v>
      </c>
      <c r="Y11" s="31">
        <f>Recu3!Y11</f>
        <v>0</v>
      </c>
      <c r="Z11" s="32">
        <f t="shared" si="40"/>
        <v>-1</v>
      </c>
      <c r="AA11" s="31">
        <f>Recu3!AA11</f>
        <v>0</v>
      </c>
      <c r="AB11" s="32">
        <f t="shared" si="41"/>
        <v>-1</v>
      </c>
      <c r="AC11" s="31">
        <f>Recu3!AC11</f>
        <v>0</v>
      </c>
      <c r="AD11" s="32">
        <f t="shared" si="42"/>
        <v>-1</v>
      </c>
      <c r="AE11" s="31">
        <f>Recu3!AE11</f>
        <v>0</v>
      </c>
      <c r="AF11" s="32">
        <f t="shared" si="43"/>
        <v>-1</v>
      </c>
      <c r="AG11" s="31">
        <f>Recu3!AG11</f>
        <v>0</v>
      </c>
      <c r="AH11" s="32">
        <f t="shared" si="44"/>
        <v>-1</v>
      </c>
      <c r="AI11" s="31">
        <f>Recu3!AI11</f>
        <v>0</v>
      </c>
      <c r="AJ11" s="32">
        <f t="shared" si="45"/>
        <v>-1</v>
      </c>
      <c r="AK11" s="31">
        <f>Recu3!AK11</f>
        <v>0</v>
      </c>
      <c r="AL11" s="32">
        <f t="shared" si="46"/>
        <v>-1</v>
      </c>
      <c r="AM11" s="31">
        <f>Recu3!AM11</f>
        <v>0</v>
      </c>
      <c r="AN11" s="32">
        <f t="shared" si="47"/>
        <v>-1</v>
      </c>
      <c r="AO11" s="31">
        <f>Recu3!AO11</f>
        <v>0</v>
      </c>
      <c r="AP11" s="32">
        <f t="shared" si="48"/>
        <v>-1</v>
      </c>
      <c r="AQ11" s="31">
        <f>Recu3!AQ11</f>
        <v>0</v>
      </c>
      <c r="AR11" s="32">
        <f t="shared" si="49"/>
        <v>-1</v>
      </c>
      <c r="AS11" s="31">
        <f>Recu3!AS11</f>
        <v>0</v>
      </c>
      <c r="AT11" s="32">
        <f t="shared" si="50"/>
        <v>-1</v>
      </c>
      <c r="AU11" s="31">
        <f>Recu3!AU11</f>
        <v>0</v>
      </c>
      <c r="AV11" s="32">
        <f t="shared" si="51"/>
        <v>-1</v>
      </c>
      <c r="AW11" s="31">
        <f>Recu3!AW11</f>
        <v>0</v>
      </c>
      <c r="AX11" s="32">
        <f t="shared" si="52"/>
        <v>-1</v>
      </c>
      <c r="AY11" s="31">
        <f>Recu3!AY11</f>
        <v>0</v>
      </c>
      <c r="AZ11" s="32">
        <f t="shared" si="53"/>
        <v>-1</v>
      </c>
      <c r="BA11" s="31">
        <f>Recu3!BA11</f>
        <v>0</v>
      </c>
      <c r="BB11" s="32">
        <f t="shared" si="54"/>
        <v>-1</v>
      </c>
      <c r="BC11" s="31">
        <f>Recu3!BC11</f>
        <v>0</v>
      </c>
      <c r="BD11" s="32">
        <f t="shared" si="55"/>
        <v>-1</v>
      </c>
      <c r="BE11" s="31">
        <f>Recu3!BE11</f>
        <v>0</v>
      </c>
      <c r="BF11" s="32">
        <f t="shared" si="56"/>
        <v>-1</v>
      </c>
      <c r="BG11" s="31">
        <f>Recu3!BG11</f>
        <v>0</v>
      </c>
      <c r="BH11" s="32">
        <f t="shared" si="57"/>
        <v>-1</v>
      </c>
      <c r="BI11" s="31">
        <f>Recu3!BI11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Recu3!B12</f>
        <v>2</v>
      </c>
      <c r="C12" s="31">
        <f>Recu3!C12</f>
        <v>1</v>
      </c>
      <c r="D12" s="32">
        <f t="shared" si="29"/>
        <v>0.5</v>
      </c>
      <c r="E12" s="31">
        <f>Recu3!E12</f>
        <v>1</v>
      </c>
      <c r="F12" s="32">
        <f t="shared" si="30"/>
        <v>0.5</v>
      </c>
      <c r="G12" s="31">
        <f>Recu3!G12</f>
        <v>0.60000002384185791</v>
      </c>
      <c r="H12" s="32">
        <f t="shared" si="31"/>
        <v>0.30000001192092896</v>
      </c>
      <c r="I12" s="31">
        <f>Recu3!I12</f>
        <v>0.80000001192092896</v>
      </c>
      <c r="J12" s="32">
        <f t="shared" si="32"/>
        <v>0.40000000596046448</v>
      </c>
      <c r="K12" s="31">
        <f>Recu3!K12</f>
        <v>0.40000000596046448</v>
      </c>
      <c r="L12" s="32">
        <f t="shared" si="33"/>
        <v>0.20000000298023224</v>
      </c>
      <c r="M12" s="31">
        <f>Recu3!M12</f>
        <v>0</v>
      </c>
      <c r="N12" s="32">
        <f t="shared" si="34"/>
        <v>0</v>
      </c>
      <c r="O12" s="31">
        <f>Recu3!O12</f>
        <v>0.40000000596046448</v>
      </c>
      <c r="P12" s="32">
        <f t="shared" si="35"/>
        <v>0.20000000298023224</v>
      </c>
      <c r="Q12" s="31">
        <f>Recu3!Q12</f>
        <v>2</v>
      </c>
      <c r="R12" s="32">
        <f t="shared" si="36"/>
        <v>1</v>
      </c>
      <c r="S12" s="31">
        <f>Recu3!S12</f>
        <v>0</v>
      </c>
      <c r="T12" s="32">
        <f t="shared" si="37"/>
        <v>0</v>
      </c>
      <c r="U12" s="31">
        <f>Recu3!U12</f>
        <v>0.80000001192092896</v>
      </c>
      <c r="V12" s="32">
        <f t="shared" si="38"/>
        <v>0.40000000596046448</v>
      </c>
      <c r="W12" s="31">
        <f>Recu3!W12</f>
        <v>0.80000001192092896</v>
      </c>
      <c r="X12" s="32">
        <f t="shared" si="39"/>
        <v>0.40000000596046448</v>
      </c>
      <c r="Y12" s="31">
        <f>Recu3!Y12</f>
        <v>1</v>
      </c>
      <c r="Z12" s="32">
        <f t="shared" si="40"/>
        <v>0.5</v>
      </c>
      <c r="AA12" s="31">
        <f>Recu3!AA12</f>
        <v>0.20000000298023224</v>
      </c>
      <c r="AB12" s="32">
        <f t="shared" si="41"/>
        <v>0.10000000149011612</v>
      </c>
      <c r="AC12" s="31">
        <f>Recu3!AC12</f>
        <v>1</v>
      </c>
      <c r="AD12" s="32">
        <f t="shared" si="42"/>
        <v>0.5</v>
      </c>
      <c r="AE12" s="31">
        <f>Recu3!AE12</f>
        <v>0.40000000596046448</v>
      </c>
      <c r="AF12" s="32">
        <f t="shared" si="43"/>
        <v>0.20000000298023224</v>
      </c>
      <c r="AG12" s="31">
        <f>Recu3!AG12</f>
        <v>1.2000000476837158</v>
      </c>
      <c r="AH12" s="32">
        <f t="shared" si="44"/>
        <v>0.60000002384185791</v>
      </c>
      <c r="AI12" s="31">
        <f>Recu3!AI12</f>
        <v>1</v>
      </c>
      <c r="AJ12" s="32">
        <f t="shared" si="45"/>
        <v>0.5</v>
      </c>
      <c r="AK12" s="31">
        <f>Recu3!AK12</f>
        <v>0.20000000298023224</v>
      </c>
      <c r="AL12" s="32">
        <f t="shared" si="46"/>
        <v>0.10000000149011612</v>
      </c>
      <c r="AM12" s="31">
        <f>Recu3!AM12</f>
        <v>2</v>
      </c>
      <c r="AN12" s="32">
        <f t="shared" si="47"/>
        <v>1</v>
      </c>
      <c r="AO12" s="31">
        <f>Recu3!AO12</f>
        <v>1.3999999761581421</v>
      </c>
      <c r="AP12" s="32">
        <f t="shared" si="48"/>
        <v>0.69999998807907104</v>
      </c>
      <c r="AQ12" s="31">
        <f>Recu3!AQ12</f>
        <v>1</v>
      </c>
      <c r="AR12" s="32">
        <f t="shared" si="49"/>
        <v>0.5</v>
      </c>
      <c r="AS12" s="31">
        <f>Recu3!AS12</f>
        <v>0.80000001192092896</v>
      </c>
      <c r="AT12" s="32">
        <f t="shared" si="50"/>
        <v>0.40000000596046448</v>
      </c>
      <c r="AU12" s="31">
        <f>Recu3!AU12</f>
        <v>0.20000000298023224</v>
      </c>
      <c r="AV12" s="32">
        <f t="shared" si="51"/>
        <v>0.10000000149011612</v>
      </c>
      <c r="AW12" s="31">
        <f>Recu3!AW12</f>
        <v>1.6000000238418579</v>
      </c>
      <c r="AX12" s="32">
        <f t="shared" si="52"/>
        <v>0.80000001192092896</v>
      </c>
      <c r="AY12" s="31">
        <f>Recu3!AY12</f>
        <v>1</v>
      </c>
      <c r="AZ12" s="32">
        <f t="shared" si="53"/>
        <v>0.5</v>
      </c>
      <c r="BA12" s="31">
        <f>Recu3!BA12</f>
        <v>1.6000000238418579</v>
      </c>
      <c r="BB12" s="32">
        <f t="shared" si="54"/>
        <v>0.80000001192092896</v>
      </c>
      <c r="BC12" s="31">
        <f>Recu3!BC12</f>
        <v>1.2000000476837158</v>
      </c>
      <c r="BD12" s="32">
        <f t="shared" si="55"/>
        <v>0.60000002384185791</v>
      </c>
      <c r="BE12" s="31">
        <f>Recu3!BE12</f>
        <v>1.7999999523162842</v>
      </c>
      <c r="BF12" s="32">
        <f t="shared" si="56"/>
        <v>0.89999997615814209</v>
      </c>
      <c r="BG12" s="31">
        <f>Recu3!BG12</f>
        <v>0</v>
      </c>
      <c r="BH12" s="32">
        <f t="shared" si="57"/>
        <v>0</v>
      </c>
      <c r="BI12" s="31">
        <f>Recu3!BI12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Recu3!B13</f>
        <v>2</v>
      </c>
      <c r="C13" s="31">
        <f>Recu3!C13</f>
        <v>0</v>
      </c>
      <c r="D13" s="32">
        <f t="shared" si="29"/>
        <v>0</v>
      </c>
      <c r="E13" s="31">
        <f>Recu3!E13</f>
        <v>0.20000000298023224</v>
      </c>
      <c r="F13" s="32">
        <f t="shared" si="30"/>
        <v>0.10000000149011612</v>
      </c>
      <c r="G13" s="31">
        <f>Recu3!G13</f>
        <v>0.60000002384185791</v>
      </c>
      <c r="H13" s="32">
        <f t="shared" si="31"/>
        <v>0.30000001192092896</v>
      </c>
      <c r="I13" s="31">
        <f>Recu3!I13</f>
        <v>0.20000000298023224</v>
      </c>
      <c r="J13" s="32">
        <f t="shared" si="32"/>
        <v>0.10000000149011612</v>
      </c>
      <c r="K13" s="31">
        <f>Recu3!K13</f>
        <v>0</v>
      </c>
      <c r="L13" s="32">
        <f t="shared" si="33"/>
        <v>0</v>
      </c>
      <c r="M13" s="31">
        <f>Recu3!M13</f>
        <v>1</v>
      </c>
      <c r="N13" s="32">
        <f t="shared" si="34"/>
        <v>0.5</v>
      </c>
      <c r="O13" s="31">
        <f>Recu3!O13</f>
        <v>1.3999999761581421</v>
      </c>
      <c r="P13" s="32">
        <f t="shared" si="35"/>
        <v>0.69999998807907104</v>
      </c>
      <c r="Q13" s="31">
        <f>Recu3!Q13</f>
        <v>1</v>
      </c>
      <c r="R13" s="32">
        <f t="shared" si="36"/>
        <v>0.5</v>
      </c>
      <c r="S13" s="31">
        <f>Recu3!S13</f>
        <v>1.7999999523162842</v>
      </c>
      <c r="T13" s="32">
        <f t="shared" si="37"/>
        <v>0.89999997615814209</v>
      </c>
      <c r="U13" s="31">
        <f>Recu3!U13</f>
        <v>0</v>
      </c>
      <c r="V13" s="32">
        <f t="shared" si="38"/>
        <v>0</v>
      </c>
      <c r="W13" s="31">
        <f>Recu3!W13</f>
        <v>0.40000000596046448</v>
      </c>
      <c r="X13" s="32">
        <f t="shared" si="39"/>
        <v>0.20000000298023224</v>
      </c>
      <c r="Y13" s="31">
        <f>Recu3!Y13</f>
        <v>1.3999999761581421</v>
      </c>
      <c r="Z13" s="32">
        <f t="shared" si="40"/>
        <v>0.69999998807907104</v>
      </c>
      <c r="AA13" s="31">
        <f>Recu3!AA13</f>
        <v>0.80000001192092896</v>
      </c>
      <c r="AB13" s="32">
        <f t="shared" si="41"/>
        <v>0.40000000596046448</v>
      </c>
      <c r="AC13" s="31">
        <f>Recu3!AC13</f>
        <v>0.60000002384185791</v>
      </c>
      <c r="AD13" s="32">
        <f t="shared" si="42"/>
        <v>0.30000001192092896</v>
      </c>
      <c r="AE13" s="31">
        <f>Recu3!AE13</f>
        <v>0.20000000298023224</v>
      </c>
      <c r="AF13" s="32">
        <f t="shared" si="43"/>
        <v>0.10000000149011612</v>
      </c>
      <c r="AG13" s="31">
        <f>Recu3!AG13</f>
        <v>1.3999999761581421</v>
      </c>
      <c r="AH13" s="32">
        <f t="shared" si="44"/>
        <v>0.69999998807907104</v>
      </c>
      <c r="AI13" s="31">
        <f>Recu3!AI13</f>
        <v>2</v>
      </c>
      <c r="AJ13" s="32">
        <f t="shared" si="45"/>
        <v>1</v>
      </c>
      <c r="AK13" s="31">
        <f>Recu3!AK13</f>
        <v>1</v>
      </c>
      <c r="AL13" s="32">
        <f t="shared" si="46"/>
        <v>0.5</v>
      </c>
      <c r="AM13" s="31">
        <f>Recu3!AM13</f>
        <v>0</v>
      </c>
      <c r="AN13" s="32">
        <f t="shared" si="47"/>
        <v>0</v>
      </c>
      <c r="AO13" s="31">
        <f>Recu3!AO13</f>
        <v>1.6000000238418579</v>
      </c>
      <c r="AP13" s="32">
        <f t="shared" si="48"/>
        <v>0.80000001192092896</v>
      </c>
      <c r="AQ13" s="31">
        <f>Recu3!AQ13</f>
        <v>0.80000001192092896</v>
      </c>
      <c r="AR13" s="32">
        <f t="shared" si="49"/>
        <v>0.40000000596046448</v>
      </c>
      <c r="AS13" s="31">
        <f>Recu3!AS13</f>
        <v>1</v>
      </c>
      <c r="AT13" s="32">
        <f t="shared" si="50"/>
        <v>0.5</v>
      </c>
      <c r="AU13" s="31">
        <f>Recu3!AU13</f>
        <v>1</v>
      </c>
      <c r="AV13" s="32">
        <f t="shared" si="51"/>
        <v>0.5</v>
      </c>
      <c r="AW13" s="31">
        <f>Recu3!AW13</f>
        <v>0.40000000596046448</v>
      </c>
      <c r="AX13" s="32">
        <f t="shared" si="52"/>
        <v>0.20000000298023224</v>
      </c>
      <c r="AY13" s="31">
        <f>Recu3!AY13</f>
        <v>0.60000002384185791</v>
      </c>
      <c r="AZ13" s="32">
        <f t="shared" si="53"/>
        <v>0.30000001192092896</v>
      </c>
      <c r="BA13" s="31">
        <f>Recu3!BA13</f>
        <v>0.20000000298023224</v>
      </c>
      <c r="BB13" s="32">
        <f t="shared" si="54"/>
        <v>0.10000000149011612</v>
      </c>
      <c r="BC13" s="31">
        <f>Recu3!BC13</f>
        <v>1.2000000476837158</v>
      </c>
      <c r="BD13" s="32">
        <f t="shared" si="55"/>
        <v>0.60000002384185791</v>
      </c>
      <c r="BE13" s="31">
        <f>Recu3!BE13</f>
        <v>0.20000000298023224</v>
      </c>
      <c r="BF13" s="32">
        <f t="shared" si="56"/>
        <v>0.10000000149011612</v>
      </c>
      <c r="BG13" s="31">
        <f>Recu3!BG13</f>
        <v>2</v>
      </c>
      <c r="BH13" s="32">
        <f t="shared" si="57"/>
        <v>1</v>
      </c>
      <c r="BI13" s="31">
        <f>Recu3!BI13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Recu3!B14</f>
        <v>0</v>
      </c>
      <c r="C14" s="31">
        <f>Recu3!C14</f>
        <v>0</v>
      </c>
      <c r="D14" s="32">
        <f t="shared" si="29"/>
        <v>-1</v>
      </c>
      <c r="E14" s="31">
        <f>Recu3!E14</f>
        <v>0</v>
      </c>
      <c r="F14" s="32">
        <f t="shared" si="30"/>
        <v>-1</v>
      </c>
      <c r="G14" s="31">
        <f>Recu3!G14</f>
        <v>0</v>
      </c>
      <c r="H14" s="32">
        <f t="shared" si="31"/>
        <v>-1</v>
      </c>
      <c r="I14" s="31">
        <f>Recu3!I14</f>
        <v>0</v>
      </c>
      <c r="J14" s="32">
        <f t="shared" si="32"/>
        <v>-1</v>
      </c>
      <c r="K14" s="31">
        <f>Recu3!K14</f>
        <v>0</v>
      </c>
      <c r="L14" s="32">
        <f t="shared" si="33"/>
        <v>-1</v>
      </c>
      <c r="M14" s="31">
        <f>Recu3!M14</f>
        <v>0</v>
      </c>
      <c r="N14" s="32">
        <f t="shared" si="34"/>
        <v>-1</v>
      </c>
      <c r="O14" s="31">
        <f>Recu3!O14</f>
        <v>0</v>
      </c>
      <c r="P14" s="32">
        <f t="shared" si="35"/>
        <v>-1</v>
      </c>
      <c r="Q14" s="31">
        <f>Recu3!Q14</f>
        <v>0</v>
      </c>
      <c r="R14" s="32">
        <f t="shared" si="36"/>
        <v>-1</v>
      </c>
      <c r="S14" s="31">
        <f>Recu3!S14</f>
        <v>0</v>
      </c>
      <c r="T14" s="32">
        <f t="shared" si="37"/>
        <v>-1</v>
      </c>
      <c r="U14" s="31">
        <f>Recu3!U14</f>
        <v>0</v>
      </c>
      <c r="V14" s="32">
        <f t="shared" si="38"/>
        <v>-1</v>
      </c>
      <c r="W14" s="31">
        <f>Recu3!W14</f>
        <v>0</v>
      </c>
      <c r="X14" s="32">
        <f t="shared" si="39"/>
        <v>-1</v>
      </c>
      <c r="Y14" s="31">
        <f>Recu3!Y14</f>
        <v>0</v>
      </c>
      <c r="Z14" s="32">
        <f t="shared" si="40"/>
        <v>-1</v>
      </c>
      <c r="AA14" s="31">
        <f>Recu3!AA14</f>
        <v>0</v>
      </c>
      <c r="AB14" s="32">
        <f t="shared" si="41"/>
        <v>-1</v>
      </c>
      <c r="AC14" s="31">
        <f>Recu3!AC14</f>
        <v>0</v>
      </c>
      <c r="AD14" s="32">
        <f t="shared" si="42"/>
        <v>-1</v>
      </c>
      <c r="AE14" s="31">
        <f>Recu3!AE14</f>
        <v>0</v>
      </c>
      <c r="AF14" s="32">
        <f t="shared" si="43"/>
        <v>-1</v>
      </c>
      <c r="AG14" s="31">
        <f>Recu3!AG14</f>
        <v>0</v>
      </c>
      <c r="AH14" s="32">
        <f t="shared" si="44"/>
        <v>-1</v>
      </c>
      <c r="AI14" s="31">
        <f>Recu3!AI14</f>
        <v>0</v>
      </c>
      <c r="AJ14" s="32">
        <f t="shared" si="45"/>
        <v>-1</v>
      </c>
      <c r="AK14" s="31">
        <f>Recu3!AK14</f>
        <v>0</v>
      </c>
      <c r="AL14" s="32">
        <f t="shared" si="46"/>
        <v>-1</v>
      </c>
      <c r="AM14" s="31">
        <f>Recu3!AM14</f>
        <v>0</v>
      </c>
      <c r="AN14" s="32">
        <f t="shared" si="47"/>
        <v>-1</v>
      </c>
      <c r="AO14" s="31">
        <f>Recu3!AO14</f>
        <v>0</v>
      </c>
      <c r="AP14" s="32">
        <f t="shared" si="48"/>
        <v>-1</v>
      </c>
      <c r="AQ14" s="31">
        <f>Recu3!AQ14</f>
        <v>0</v>
      </c>
      <c r="AR14" s="32">
        <f t="shared" si="49"/>
        <v>-1</v>
      </c>
      <c r="AS14" s="31">
        <f>Recu3!AS14</f>
        <v>0</v>
      </c>
      <c r="AT14" s="32">
        <f t="shared" si="50"/>
        <v>-1</v>
      </c>
      <c r="AU14" s="31">
        <f>Recu3!AU14</f>
        <v>0</v>
      </c>
      <c r="AV14" s="32">
        <f t="shared" si="51"/>
        <v>-1</v>
      </c>
      <c r="AW14" s="31">
        <f>Recu3!AW14</f>
        <v>0</v>
      </c>
      <c r="AX14" s="32">
        <f t="shared" si="52"/>
        <v>-1</v>
      </c>
      <c r="AY14" s="31">
        <f>Recu3!AY14</f>
        <v>0</v>
      </c>
      <c r="AZ14" s="32">
        <f t="shared" si="53"/>
        <v>-1</v>
      </c>
      <c r="BA14" s="31">
        <f>Recu3!BA14</f>
        <v>0</v>
      </c>
      <c r="BB14" s="32">
        <f t="shared" si="54"/>
        <v>-1</v>
      </c>
      <c r="BC14" s="31">
        <f>Recu3!BC14</f>
        <v>0</v>
      </c>
      <c r="BD14" s="32">
        <f t="shared" si="55"/>
        <v>-1</v>
      </c>
      <c r="BE14" s="31">
        <f>Recu3!BE14</f>
        <v>0</v>
      </c>
      <c r="BF14" s="32">
        <f t="shared" si="56"/>
        <v>-1</v>
      </c>
      <c r="BG14" s="31">
        <f>Recu3!BG14</f>
        <v>0</v>
      </c>
      <c r="BH14" s="32">
        <f t="shared" si="57"/>
        <v>-1</v>
      </c>
      <c r="BI14" s="31">
        <f>Recu3!BI14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Recu3!B15</f>
        <v>0</v>
      </c>
      <c r="C15" s="31">
        <f>Recu3!C15</f>
        <v>0</v>
      </c>
      <c r="D15" s="32">
        <f t="shared" si="29"/>
        <v>-1</v>
      </c>
      <c r="E15" s="31">
        <f>Recu3!E15</f>
        <v>0</v>
      </c>
      <c r="F15" s="32">
        <f t="shared" si="30"/>
        <v>-1</v>
      </c>
      <c r="G15" s="31">
        <f>Recu3!G15</f>
        <v>0</v>
      </c>
      <c r="H15" s="32">
        <f t="shared" si="31"/>
        <v>-1</v>
      </c>
      <c r="I15" s="31">
        <f>Recu3!I15</f>
        <v>0</v>
      </c>
      <c r="J15" s="32">
        <f t="shared" si="32"/>
        <v>-1</v>
      </c>
      <c r="K15" s="31">
        <f>Recu3!K15</f>
        <v>0</v>
      </c>
      <c r="L15" s="32">
        <f t="shared" si="33"/>
        <v>-1</v>
      </c>
      <c r="M15" s="31">
        <f>Recu3!M15</f>
        <v>0</v>
      </c>
      <c r="N15" s="32">
        <f t="shared" si="34"/>
        <v>-1</v>
      </c>
      <c r="O15" s="31">
        <f>Recu3!O15</f>
        <v>0</v>
      </c>
      <c r="P15" s="32">
        <f t="shared" si="35"/>
        <v>-1</v>
      </c>
      <c r="Q15" s="31">
        <f>Recu3!Q15</f>
        <v>0</v>
      </c>
      <c r="R15" s="32">
        <f t="shared" si="36"/>
        <v>-1</v>
      </c>
      <c r="S15" s="31">
        <f>Recu3!S15</f>
        <v>0</v>
      </c>
      <c r="T15" s="32">
        <f t="shared" si="37"/>
        <v>-1</v>
      </c>
      <c r="U15" s="31">
        <f>Recu3!U15</f>
        <v>0</v>
      </c>
      <c r="V15" s="32">
        <f t="shared" si="38"/>
        <v>-1</v>
      </c>
      <c r="W15" s="31">
        <f>Recu3!W15</f>
        <v>0</v>
      </c>
      <c r="X15" s="32">
        <f t="shared" si="39"/>
        <v>-1</v>
      </c>
      <c r="Y15" s="31">
        <f>Recu3!Y15</f>
        <v>0</v>
      </c>
      <c r="Z15" s="32">
        <f t="shared" si="40"/>
        <v>-1</v>
      </c>
      <c r="AA15" s="31">
        <f>Recu3!AA15</f>
        <v>0</v>
      </c>
      <c r="AB15" s="32">
        <f t="shared" si="41"/>
        <v>-1</v>
      </c>
      <c r="AC15" s="31">
        <f>Recu3!AC15</f>
        <v>0</v>
      </c>
      <c r="AD15" s="32">
        <f t="shared" si="42"/>
        <v>-1</v>
      </c>
      <c r="AE15" s="31">
        <f>Recu3!AE15</f>
        <v>0</v>
      </c>
      <c r="AF15" s="32">
        <f t="shared" si="43"/>
        <v>-1</v>
      </c>
      <c r="AG15" s="31">
        <f>Recu3!AG15</f>
        <v>0</v>
      </c>
      <c r="AH15" s="32">
        <f t="shared" si="44"/>
        <v>-1</v>
      </c>
      <c r="AI15" s="31">
        <f>Recu3!AI15</f>
        <v>0</v>
      </c>
      <c r="AJ15" s="32">
        <f t="shared" si="45"/>
        <v>-1</v>
      </c>
      <c r="AK15" s="31">
        <f>Recu3!AK15</f>
        <v>0</v>
      </c>
      <c r="AL15" s="32">
        <f t="shared" si="46"/>
        <v>-1</v>
      </c>
      <c r="AM15" s="31">
        <f>Recu3!AM15</f>
        <v>0</v>
      </c>
      <c r="AN15" s="32">
        <f t="shared" si="47"/>
        <v>-1</v>
      </c>
      <c r="AO15" s="31">
        <f>Recu3!AO15</f>
        <v>0</v>
      </c>
      <c r="AP15" s="32">
        <f t="shared" si="48"/>
        <v>-1</v>
      </c>
      <c r="AQ15" s="31">
        <f>Recu3!AQ15</f>
        <v>0</v>
      </c>
      <c r="AR15" s="32">
        <f t="shared" si="49"/>
        <v>-1</v>
      </c>
      <c r="AS15" s="31">
        <f>Recu3!AS15</f>
        <v>0</v>
      </c>
      <c r="AT15" s="32">
        <f t="shared" si="50"/>
        <v>-1</v>
      </c>
      <c r="AU15" s="31">
        <f>Recu3!AU15</f>
        <v>0</v>
      </c>
      <c r="AV15" s="32">
        <f t="shared" si="51"/>
        <v>-1</v>
      </c>
      <c r="AW15" s="31">
        <f>Recu3!AW15</f>
        <v>0</v>
      </c>
      <c r="AX15" s="32">
        <f t="shared" si="52"/>
        <v>-1</v>
      </c>
      <c r="AY15" s="31">
        <f>Recu3!AY15</f>
        <v>0</v>
      </c>
      <c r="AZ15" s="32">
        <f t="shared" si="53"/>
        <v>-1</v>
      </c>
      <c r="BA15" s="31">
        <f>Recu3!BA15</f>
        <v>0</v>
      </c>
      <c r="BB15" s="32">
        <f t="shared" si="54"/>
        <v>-1</v>
      </c>
      <c r="BC15" s="31">
        <f>Recu3!BC15</f>
        <v>0</v>
      </c>
      <c r="BD15" s="32">
        <f t="shared" si="55"/>
        <v>-1</v>
      </c>
      <c r="BE15" s="31">
        <f>Recu3!BE15</f>
        <v>0</v>
      </c>
      <c r="BF15" s="32">
        <f t="shared" si="56"/>
        <v>-1</v>
      </c>
      <c r="BG15" s="31">
        <f>Recu3!BG15</f>
        <v>0</v>
      </c>
      <c r="BH15" s="32">
        <f t="shared" si="57"/>
        <v>-1</v>
      </c>
      <c r="BI15" s="31">
        <f>Recu3!BI15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8">
        <f>IF(SUM($B17:$B37)&lt;&gt;0,SUM(C17:C37)/SUM($B17:$B37)*$B16*10, "")</f>
        <v>1.5599999986588955</v>
      </c>
      <c r="D16" s="58"/>
      <c r="E16" s="58">
        <f>IF(SUM($B17:$B37)&lt;&gt;0,SUM(E17:E37)/SUM($B17:$B37)*$B16*10, "")</f>
        <v>1.4925000071525574</v>
      </c>
      <c r="F16" s="58"/>
      <c r="G16" s="58">
        <f>IF(SUM($B17:$B37)&lt;&gt;0,SUM(G17:G37)/SUM($B17:$B37)*$B16*10, "")</f>
        <v>1.1100000053644181</v>
      </c>
      <c r="H16" s="58"/>
      <c r="I16" s="58">
        <f>IF(SUM($B17:$B37)&lt;&gt;0,SUM(I17:I37)/SUM($B17:$B37)*$B16*10, "")</f>
        <v>1.8075000056996939</v>
      </c>
      <c r="J16" s="58"/>
      <c r="K16" s="58">
        <f>IF(SUM($B17:$B37)&lt;&gt;0,SUM(K17:K37)/SUM($B17:$B37)*$B16*10, "")</f>
        <v>1.575</v>
      </c>
      <c r="L16" s="58"/>
      <c r="M16" s="58">
        <f>IF(SUM($B17:$B37)&lt;&gt;0,SUM(M17:M37)/SUM($B17:$B37)*$B16*10, "")</f>
        <v>1.7025000113993884</v>
      </c>
      <c r="N16" s="58"/>
      <c r="O16" s="58">
        <f>IF(SUM($B17:$B37)&lt;&gt;0,SUM(O17:O37)/SUM($B17:$B37)*$B16*10, "")</f>
        <v>2.1150000069290398</v>
      </c>
      <c r="P16" s="58"/>
      <c r="Q16" s="58">
        <f>IF(SUM($B17:$B37)&lt;&gt;0,SUM(Q17:Q37)/SUM($B17:$B37)*$B16*10, "")</f>
        <v>1.2375000173225998</v>
      </c>
      <c r="R16" s="58"/>
      <c r="S16" s="58">
        <f>IF(SUM($B17:$B37)&lt;&gt;0,SUM(S17:S37)/SUM($B17:$B37)*$B16*10, "")</f>
        <v>1.4099999930709601</v>
      </c>
      <c r="T16" s="58"/>
      <c r="U16" s="58">
        <f>IF(SUM($B17:$B37)&lt;&gt;0,SUM(U17:U37)/SUM($B17:$B37)*$B16*10, "")</f>
        <v>1.7099999941885471</v>
      </c>
      <c r="V16" s="58"/>
      <c r="W16" s="58">
        <f>IF(SUM($B17:$B37)&lt;&gt;0,SUM(W17:W37)/SUM($B17:$B37)*$B16*10, "")</f>
        <v>1.2000000156462192</v>
      </c>
      <c r="X16" s="58"/>
      <c r="Y16" s="58">
        <f>IF(SUM($B17:$B37)&lt;&gt;0,SUM(Y17:Y37)/SUM($B17:$B37)*$B16*10, "")</f>
        <v>1.732500010728836</v>
      </c>
      <c r="Z16" s="58"/>
      <c r="AA16" s="58">
        <f>IF(SUM($B17:$B37)&lt;&gt;0,SUM(AA17:AA37)/SUM($B17:$B37)*$B16*10, "")</f>
        <v>1.4025000169873236</v>
      </c>
      <c r="AB16" s="58"/>
      <c r="AC16" s="58">
        <f>IF(SUM($B17:$B37)&lt;&gt;0,SUM(AC17:AC37)/SUM($B17:$B37)*$B16*10, "")</f>
        <v>1.2825000040233134</v>
      </c>
      <c r="AD16" s="58"/>
      <c r="AE16" s="58">
        <f>IF(SUM($B17:$B37)&lt;&gt;0,SUM(AE17:AE37)/SUM($B17:$B37)*$B16*10, "")</f>
        <v>1.6875000189989802</v>
      </c>
      <c r="AF16" s="58"/>
      <c r="AG16" s="58">
        <f>IF(SUM($B17:$B37)&lt;&gt;0,SUM(AG17:AG37)/SUM($B17:$B37)*$B16*10, "")</f>
        <v>1.2150000035762787</v>
      </c>
      <c r="AH16" s="58"/>
      <c r="AI16" s="58">
        <f>IF(SUM($B17:$B37)&lt;&gt;0,SUM(AI17:AI37)/SUM($B17:$B37)*$B16*10, "")</f>
        <v>1.3125000067055224</v>
      </c>
      <c r="AJ16" s="58"/>
      <c r="AK16" s="58">
        <f>IF(SUM($B17:$B37)&lt;&gt;0,SUM(AK17:AK37)/SUM($B17:$B37)*$B16*10, "")</f>
        <v>1.6350000154227018</v>
      </c>
      <c r="AL16" s="58"/>
      <c r="AM16" s="58">
        <f>IF(SUM($B17:$B37)&lt;&gt;0,SUM(AM17:AM37)/SUM($B17:$B37)*$B16*10, "")</f>
        <v>1.3200000286102296</v>
      </c>
      <c r="AN16" s="58"/>
      <c r="AO16" s="58">
        <f>IF(SUM($B17:$B37)&lt;&gt;0,SUM(AO17:AO37)/SUM($B17:$B37)*$B16*10, "")</f>
        <v>1.3950000118464232</v>
      </c>
      <c r="AP16" s="58"/>
      <c r="AQ16" s="58">
        <f>IF(SUM($B17:$B37)&lt;&gt;0,SUM(AQ17:AQ37)/SUM($B17:$B37)*$B16*10, "")</f>
        <v>1.8675000127404928</v>
      </c>
      <c r="AR16" s="58"/>
      <c r="AS16" s="58">
        <f>IF(SUM($B17:$B37)&lt;&gt;0,SUM(AS17:AS37)/SUM($B17:$B37)*$B16*10, "")</f>
        <v>1.6950000084936621</v>
      </c>
      <c r="AT16" s="58"/>
      <c r="AU16" s="58">
        <f>IF(SUM($B17:$B37)&lt;&gt;0,SUM(AU17:AU37)/SUM($B17:$B37)*$B16*10, "")</f>
        <v>1.3425000037997961</v>
      </c>
      <c r="AV16" s="58"/>
      <c r="AW16" s="58">
        <f>IF(SUM($B17:$B37)&lt;&gt;0,SUM(AW17:AW37)/SUM($B17:$B37)*$B16*10, "")</f>
        <v>1.1400000119581817</v>
      </c>
      <c r="AX16" s="58"/>
      <c r="AY16" s="58">
        <f>IF(SUM($B17:$B37)&lt;&gt;0,SUM(AY17:AY37)/SUM($B17:$B37)*$B16*10, "")</f>
        <v>1.5375000067055224</v>
      </c>
      <c r="AZ16" s="58"/>
      <c r="BA16" s="58">
        <f>IF(SUM($B17:$B37)&lt;&gt;0,SUM(BA17:BA37)/SUM($B17:$B37)*$B16*10, "")</f>
        <v>1.3275000125169754</v>
      </c>
      <c r="BB16" s="58"/>
      <c r="BC16" s="58">
        <f>IF(SUM($B17:$B37)&lt;&gt;0,SUM(BC17:BC37)/SUM($B17:$B37)*$B16*10, "")</f>
        <v>1.7100000143051144</v>
      </c>
      <c r="BD16" s="58"/>
      <c r="BE16" s="58">
        <f>IF(SUM($B17:$B37)&lt;&gt;0,SUM(BE17:BE37)/SUM($B17:$B37)*$B16*10, "")</f>
        <v>1.1924999915063381</v>
      </c>
      <c r="BF16" s="58"/>
      <c r="BG16" s="58">
        <f>IF(SUM($B17:$B37)&lt;&gt;0,SUM(BG17:BG37)/SUM($B17:$B37)*$B16*10, "")</f>
        <v>1.6350000008940695</v>
      </c>
      <c r="BH16" s="58"/>
      <c r="BI16" s="58">
        <f>IF(SUM($B17:$B37)&lt;&gt;0,SUM(BI17:BI37)/SUM($B17:$B37)*$B16*10, "")</f>
        <v>0.9300000099465251</v>
      </c>
      <c r="BJ16" s="58"/>
    </row>
    <row r="17" spans="1:62" ht="42" x14ac:dyDescent="0.2">
      <c r="A17" s="2" t="s">
        <v>18</v>
      </c>
      <c r="B17" s="13">
        <f>Recu3!B17</f>
        <v>1.5</v>
      </c>
      <c r="C17" s="31">
        <f>Recu3!C17</f>
        <v>0.60000000894069672</v>
      </c>
      <c r="D17" s="32">
        <f t="shared" ref="D17:D37" si="59">IF($B17,C17/$B17,-1)</f>
        <v>0.40000000596046448</v>
      </c>
      <c r="E17" s="31">
        <f>Recu3!E17</f>
        <v>0.45000001788139343</v>
      </c>
      <c r="F17" s="32">
        <f t="shared" ref="F17:F37" si="60">IF($B17,E17/$B17,-1)</f>
        <v>0.30000001192092896</v>
      </c>
      <c r="G17" s="31">
        <f>Recu3!G17</f>
        <v>1.3499999642372131</v>
      </c>
      <c r="H17" s="32">
        <f t="shared" ref="H17:H37" si="61">IF($B17,G17/$B17,-1)</f>
        <v>0.89999997615814209</v>
      </c>
      <c r="I17" s="31">
        <f>Recu3!I17</f>
        <v>1.2000000178813934</v>
      </c>
      <c r="J17" s="32">
        <f t="shared" ref="J17:J37" si="62">IF($B17,I17/$B17,-1)</f>
        <v>0.80000001192092896</v>
      </c>
      <c r="K17" s="31">
        <f>Recu3!K17</f>
        <v>0.45000001788139343</v>
      </c>
      <c r="L17" s="32">
        <f t="shared" ref="L17:L37" si="63">IF($B17,K17/$B17,-1)</f>
        <v>0.30000001192092896</v>
      </c>
      <c r="M17" s="31">
        <f>Recu3!M17</f>
        <v>1.0499999821186066</v>
      </c>
      <c r="N17" s="32">
        <f t="shared" ref="N17:N37" si="64">IF($B17,M17/$B17,-1)</f>
        <v>0.69999998807907104</v>
      </c>
      <c r="O17" s="31">
        <f>Recu3!O17</f>
        <v>0.30000000447034836</v>
      </c>
      <c r="P17" s="32">
        <f t="shared" ref="P17:P37" si="65">IF($B17,O17/$B17,-1)</f>
        <v>0.20000000298023224</v>
      </c>
      <c r="Q17" s="31">
        <f>Recu3!Q17</f>
        <v>0</v>
      </c>
      <c r="R17" s="32">
        <f t="shared" ref="R17:R37" si="66">IF($B17,Q17/$B17,-1)</f>
        <v>0</v>
      </c>
      <c r="S17" s="31">
        <f>Recu3!S17</f>
        <v>0</v>
      </c>
      <c r="T17" s="32">
        <f t="shared" ref="T17:T37" si="67">IF($B17,S17/$B17,-1)</f>
        <v>0</v>
      </c>
      <c r="U17" s="31">
        <f>Recu3!U17</f>
        <v>0.45000001788139343</v>
      </c>
      <c r="V17" s="32">
        <f t="shared" ref="V17:V37" si="68">IF($B17,U17/$B17,-1)</f>
        <v>0.30000001192092896</v>
      </c>
      <c r="W17" s="31">
        <f>Recu3!W17</f>
        <v>1.2000000178813934</v>
      </c>
      <c r="X17" s="32">
        <f t="shared" ref="X17:X37" si="69">IF($B17,W17/$B17,-1)</f>
        <v>0.80000001192092896</v>
      </c>
      <c r="Y17" s="31">
        <f>Recu3!Y17</f>
        <v>0.45000001788139343</v>
      </c>
      <c r="Z17" s="32">
        <f t="shared" ref="Z17:Z37" si="70">IF($B17,Y17/$B17,-1)</f>
        <v>0.30000001192092896</v>
      </c>
      <c r="AA17" s="31">
        <f>Recu3!AA17</f>
        <v>0.30000000447034836</v>
      </c>
      <c r="AB17" s="32">
        <f t="shared" ref="AB17:AB37" si="71">IF($B17,AA17/$B17,-1)</f>
        <v>0.20000000298023224</v>
      </c>
      <c r="AC17" s="31">
        <f>Recu3!AC17</f>
        <v>0.75</v>
      </c>
      <c r="AD17" s="32">
        <f t="shared" ref="AD17:AD37" si="72">IF($B17,AC17/$B17,-1)</f>
        <v>0.5</v>
      </c>
      <c r="AE17" s="31">
        <f>Recu3!AE17</f>
        <v>0.30000000447034836</v>
      </c>
      <c r="AF17" s="32">
        <f t="shared" ref="AF17:AF37" si="73">IF($B17,AE17/$B17,-1)</f>
        <v>0.20000000298023224</v>
      </c>
      <c r="AG17" s="31">
        <f>Recu3!AG17</f>
        <v>0.45000001788139343</v>
      </c>
      <c r="AH17" s="32">
        <f t="shared" ref="AH17:AH37" si="74">IF($B17,AG17/$B17,-1)</f>
        <v>0.30000001192092896</v>
      </c>
      <c r="AI17" s="31">
        <f>Recu3!AI17</f>
        <v>0</v>
      </c>
      <c r="AJ17" s="32">
        <f t="shared" ref="AJ17:AJ37" si="75">IF($B17,AI17/$B17,-1)</f>
        <v>0</v>
      </c>
      <c r="AK17" s="31">
        <f>Recu3!AK17</f>
        <v>0.75</v>
      </c>
      <c r="AL17" s="32">
        <f t="shared" ref="AL17:AL37" si="76">IF($B17,AK17/$B17,-1)</f>
        <v>0.5</v>
      </c>
      <c r="AM17" s="31">
        <f>Recu3!AM17</f>
        <v>0.30000000447034836</v>
      </c>
      <c r="AN17" s="32">
        <f t="shared" ref="AN17:AN37" si="77">IF($B17,AM17/$B17,-1)</f>
        <v>0.20000000298023224</v>
      </c>
      <c r="AO17" s="31">
        <f>Recu3!AO17</f>
        <v>1.3499999642372131</v>
      </c>
      <c r="AP17" s="32">
        <f t="shared" ref="AP17:AP37" si="78">IF($B17,AO17/$B17,-1)</f>
        <v>0.89999997615814209</v>
      </c>
      <c r="AQ17" s="31">
        <f>Recu3!AQ17</f>
        <v>0.90000003576278687</v>
      </c>
      <c r="AR17" s="32">
        <f t="shared" ref="AR17:AR37" si="79">IF($B17,AQ17/$B17,-1)</f>
        <v>0.60000002384185791</v>
      </c>
      <c r="AS17" s="31">
        <f>Recu3!AS17</f>
        <v>1.2000000178813934</v>
      </c>
      <c r="AT17" s="32">
        <f t="shared" ref="AT17:AT37" si="80">IF($B17,AS17/$B17,-1)</f>
        <v>0.80000001192092896</v>
      </c>
      <c r="AU17" s="31">
        <f>Recu3!AU17</f>
        <v>1.5</v>
      </c>
      <c r="AV17" s="32">
        <f t="shared" ref="AV17:AV37" si="81">IF($B17,AU17/$B17,-1)</f>
        <v>1</v>
      </c>
      <c r="AW17" s="31">
        <f>Recu3!AW17</f>
        <v>0.45000001788139343</v>
      </c>
      <c r="AX17" s="32">
        <f t="shared" ref="AX17:AX37" si="82">IF($B17,AW17/$B17,-1)</f>
        <v>0.30000001192092896</v>
      </c>
      <c r="AY17" s="31">
        <f>Recu3!AY17</f>
        <v>0.75</v>
      </c>
      <c r="AZ17" s="32">
        <f t="shared" ref="AZ17:AZ37" si="83">IF($B17,AY17/$B17,-1)</f>
        <v>0.5</v>
      </c>
      <c r="BA17" s="31">
        <f>Recu3!BA17</f>
        <v>0</v>
      </c>
      <c r="BB17" s="32">
        <f t="shared" ref="BB17:BB37" si="84">IF($B17,BA17/$B17,-1)</f>
        <v>0</v>
      </c>
      <c r="BC17" s="31">
        <f>Recu3!BC17</f>
        <v>0.90000003576278687</v>
      </c>
      <c r="BD17" s="32">
        <f t="shared" ref="BD17:BD37" si="85">IF($B17,BC17/$B17,-1)</f>
        <v>0.60000002384185791</v>
      </c>
      <c r="BE17" s="31">
        <f>Recu3!BE17</f>
        <v>0.60000000894069672</v>
      </c>
      <c r="BF17" s="32">
        <f t="shared" ref="BF17:BF37" si="86">IF($B17,BE17/$B17,-1)</f>
        <v>0.40000000596046448</v>
      </c>
      <c r="BG17" s="31">
        <f>Recu3!BG17</f>
        <v>1.5</v>
      </c>
      <c r="BH17" s="32">
        <f t="shared" ref="BH17:BH37" si="87">IF($B17,BG17/$B17,-1)</f>
        <v>1</v>
      </c>
      <c r="BI17" s="31">
        <f>Recu3!BI17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Recu3!B18</f>
        <v>1.5</v>
      </c>
      <c r="C18" s="31">
        <f>Recu3!C18</f>
        <v>1.5</v>
      </c>
      <c r="D18" s="32">
        <f t="shared" si="59"/>
        <v>1</v>
      </c>
      <c r="E18" s="31">
        <f>Recu3!E18</f>
        <v>0.90000003576278687</v>
      </c>
      <c r="F18" s="32">
        <f t="shared" si="60"/>
        <v>0.60000002384185791</v>
      </c>
      <c r="G18" s="31">
        <f>Recu3!G18</f>
        <v>0.45000001788139343</v>
      </c>
      <c r="H18" s="32">
        <f t="shared" si="61"/>
        <v>0.30000001192092896</v>
      </c>
      <c r="I18" s="31">
        <f>Recu3!I18</f>
        <v>0.15000000223517418</v>
      </c>
      <c r="J18" s="32">
        <f t="shared" si="62"/>
        <v>0.10000000149011612</v>
      </c>
      <c r="K18" s="31">
        <f>Recu3!K18</f>
        <v>0.75</v>
      </c>
      <c r="L18" s="32">
        <f t="shared" si="63"/>
        <v>0.5</v>
      </c>
      <c r="M18" s="31">
        <f>Recu3!M18</f>
        <v>0.30000000447034836</v>
      </c>
      <c r="N18" s="32">
        <f t="shared" si="64"/>
        <v>0.20000000298023224</v>
      </c>
      <c r="O18" s="31">
        <f>Recu3!O18</f>
        <v>1.5</v>
      </c>
      <c r="P18" s="32">
        <f t="shared" si="65"/>
        <v>1</v>
      </c>
      <c r="Q18" s="31">
        <f>Recu3!Q18</f>
        <v>0.15000000223517418</v>
      </c>
      <c r="R18" s="32">
        <f t="shared" si="66"/>
        <v>0.10000000149011612</v>
      </c>
      <c r="S18" s="31">
        <f>Recu3!S18</f>
        <v>0</v>
      </c>
      <c r="T18" s="32">
        <f t="shared" si="67"/>
        <v>0</v>
      </c>
      <c r="U18" s="31">
        <f>Recu3!U18</f>
        <v>0.45000001788139343</v>
      </c>
      <c r="V18" s="32">
        <f t="shared" si="68"/>
        <v>0.30000001192092896</v>
      </c>
      <c r="W18" s="31">
        <f>Recu3!W18</f>
        <v>0.90000003576278687</v>
      </c>
      <c r="X18" s="32">
        <f t="shared" si="69"/>
        <v>0.60000002384185791</v>
      </c>
      <c r="Y18" s="31">
        <f>Recu3!Y18</f>
        <v>1.5</v>
      </c>
      <c r="Z18" s="32">
        <f t="shared" si="70"/>
        <v>1</v>
      </c>
      <c r="AA18" s="31">
        <f>Recu3!AA18</f>
        <v>0.75</v>
      </c>
      <c r="AB18" s="32">
        <f t="shared" si="71"/>
        <v>0.5</v>
      </c>
      <c r="AC18" s="31">
        <f>Recu3!AC18</f>
        <v>0.60000000894069672</v>
      </c>
      <c r="AD18" s="32">
        <f t="shared" si="72"/>
        <v>0.40000000596046448</v>
      </c>
      <c r="AE18" s="31">
        <f>Recu3!AE18</f>
        <v>1.3499999642372131</v>
      </c>
      <c r="AF18" s="32">
        <f t="shared" si="73"/>
        <v>0.89999997615814209</v>
      </c>
      <c r="AG18" s="31">
        <f>Recu3!AG18</f>
        <v>1.3499999642372131</v>
      </c>
      <c r="AH18" s="32">
        <f t="shared" si="74"/>
        <v>0.89999997615814209</v>
      </c>
      <c r="AI18" s="31">
        <f>Recu3!AI18</f>
        <v>1.0499999821186066</v>
      </c>
      <c r="AJ18" s="32">
        <f t="shared" si="75"/>
        <v>0.69999998807907104</v>
      </c>
      <c r="AK18" s="31">
        <f>Recu3!AK18</f>
        <v>1.0499999821186066</v>
      </c>
      <c r="AL18" s="32">
        <f t="shared" si="76"/>
        <v>0.69999998807907104</v>
      </c>
      <c r="AM18" s="31">
        <f>Recu3!AM18</f>
        <v>1.5</v>
      </c>
      <c r="AN18" s="32">
        <f t="shared" si="77"/>
        <v>1</v>
      </c>
      <c r="AO18" s="31">
        <f>Recu3!AO18</f>
        <v>0.45000001788139343</v>
      </c>
      <c r="AP18" s="32">
        <f t="shared" si="78"/>
        <v>0.30000001192092896</v>
      </c>
      <c r="AQ18" s="31">
        <f>Recu3!AQ18</f>
        <v>0.75</v>
      </c>
      <c r="AR18" s="32">
        <f t="shared" si="79"/>
        <v>0.5</v>
      </c>
      <c r="AS18" s="31">
        <f>Recu3!AS18</f>
        <v>0.60000000894069672</v>
      </c>
      <c r="AT18" s="32">
        <f t="shared" si="80"/>
        <v>0.40000000596046448</v>
      </c>
      <c r="AU18" s="31">
        <f>Recu3!AU18</f>
        <v>1.0499999821186066</v>
      </c>
      <c r="AV18" s="32">
        <f t="shared" si="81"/>
        <v>0.69999998807907104</v>
      </c>
      <c r="AW18" s="31">
        <f>Recu3!AW18</f>
        <v>0.15000000223517418</v>
      </c>
      <c r="AX18" s="32">
        <f t="shared" si="82"/>
        <v>0.10000000149011612</v>
      </c>
      <c r="AY18" s="31">
        <f>Recu3!AY18</f>
        <v>0.60000000894069672</v>
      </c>
      <c r="AZ18" s="32">
        <f t="shared" si="83"/>
        <v>0.40000000596046448</v>
      </c>
      <c r="BA18" s="31">
        <f>Recu3!BA18</f>
        <v>0.75</v>
      </c>
      <c r="BB18" s="32">
        <f t="shared" si="84"/>
        <v>0.5</v>
      </c>
      <c r="BC18" s="31">
        <f>Recu3!BC18</f>
        <v>1.2000000178813934</v>
      </c>
      <c r="BD18" s="32">
        <f t="shared" si="85"/>
        <v>0.80000001192092896</v>
      </c>
      <c r="BE18" s="31">
        <f>Recu3!BE18</f>
        <v>0.75</v>
      </c>
      <c r="BF18" s="32">
        <f t="shared" si="86"/>
        <v>0.5</v>
      </c>
      <c r="BG18" s="31">
        <f>Recu3!BG18</f>
        <v>0.60000000894069672</v>
      </c>
      <c r="BH18" s="32">
        <f t="shared" si="87"/>
        <v>0.40000000596046448</v>
      </c>
      <c r="BI18" s="31">
        <f>Recu3!BI18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Recu3!B19</f>
        <v>1</v>
      </c>
      <c r="C19" s="31">
        <f>Recu3!C19</f>
        <v>0.20000000298023224</v>
      </c>
      <c r="D19" s="32">
        <f t="shared" si="59"/>
        <v>0.20000000298023224</v>
      </c>
      <c r="E19" s="31">
        <f>Recu3!E19</f>
        <v>0.60000002384185791</v>
      </c>
      <c r="F19" s="32">
        <f t="shared" si="60"/>
        <v>0.60000002384185791</v>
      </c>
      <c r="G19" s="31">
        <f>Recu3!G19</f>
        <v>0.5</v>
      </c>
      <c r="H19" s="32">
        <f t="shared" si="61"/>
        <v>0.5</v>
      </c>
      <c r="I19" s="31">
        <f>Recu3!I19</f>
        <v>0.69999998807907104</v>
      </c>
      <c r="J19" s="32">
        <f t="shared" si="62"/>
        <v>0.69999998807907104</v>
      </c>
      <c r="K19" s="31">
        <f>Recu3!K19</f>
        <v>0.89999997615814209</v>
      </c>
      <c r="L19" s="32">
        <f t="shared" si="63"/>
        <v>0.89999997615814209</v>
      </c>
      <c r="M19" s="31">
        <f>Recu3!M19</f>
        <v>0.40000000596046448</v>
      </c>
      <c r="N19" s="32">
        <f t="shared" si="64"/>
        <v>0.40000000596046448</v>
      </c>
      <c r="O19" s="31">
        <f>Recu3!O19</f>
        <v>0.30000001192092896</v>
      </c>
      <c r="P19" s="32">
        <f t="shared" si="65"/>
        <v>0.30000001192092896</v>
      </c>
      <c r="Q19" s="31">
        <f>Recu3!Q19</f>
        <v>0.30000001192092896</v>
      </c>
      <c r="R19" s="32">
        <f t="shared" si="66"/>
        <v>0.30000001192092896</v>
      </c>
      <c r="S19" s="31">
        <f>Recu3!S19</f>
        <v>0.10000000149011612</v>
      </c>
      <c r="T19" s="32">
        <f t="shared" si="67"/>
        <v>0.10000000149011612</v>
      </c>
      <c r="U19" s="31">
        <f>Recu3!U19</f>
        <v>0.5</v>
      </c>
      <c r="V19" s="32">
        <f t="shared" si="68"/>
        <v>0.5</v>
      </c>
      <c r="W19" s="31">
        <f>Recu3!W19</f>
        <v>0.20000000298023224</v>
      </c>
      <c r="X19" s="32">
        <f t="shared" si="69"/>
        <v>0.20000000298023224</v>
      </c>
      <c r="Y19" s="31">
        <f>Recu3!Y19</f>
        <v>0.60000002384185791</v>
      </c>
      <c r="Z19" s="32">
        <f t="shared" si="70"/>
        <v>0.60000002384185791</v>
      </c>
      <c r="AA19" s="31">
        <f>Recu3!AA19</f>
        <v>0.30000001192092896</v>
      </c>
      <c r="AB19" s="32">
        <f t="shared" si="71"/>
        <v>0.30000001192092896</v>
      </c>
      <c r="AC19" s="31">
        <f>Recu3!AC19</f>
        <v>0.89999997615814209</v>
      </c>
      <c r="AD19" s="32">
        <f t="shared" si="72"/>
        <v>0.89999997615814209</v>
      </c>
      <c r="AE19" s="31">
        <f>Recu3!AE19</f>
        <v>0.5</v>
      </c>
      <c r="AF19" s="32">
        <f t="shared" si="73"/>
        <v>0.5</v>
      </c>
      <c r="AG19" s="31">
        <f>Recu3!AG19</f>
        <v>0.20000000298023224</v>
      </c>
      <c r="AH19" s="32">
        <f t="shared" si="74"/>
        <v>0.20000000298023224</v>
      </c>
      <c r="AI19" s="31">
        <f>Recu3!AI19</f>
        <v>0.69999998807907104</v>
      </c>
      <c r="AJ19" s="32">
        <f t="shared" si="75"/>
        <v>0.69999998807907104</v>
      </c>
      <c r="AK19" s="31">
        <f>Recu3!AK19</f>
        <v>0.80000001192092896</v>
      </c>
      <c r="AL19" s="32">
        <f t="shared" si="76"/>
        <v>0.80000001192092896</v>
      </c>
      <c r="AM19" s="31">
        <f>Recu3!AM19</f>
        <v>0.60000002384185791</v>
      </c>
      <c r="AN19" s="32">
        <f t="shared" si="77"/>
        <v>0.60000002384185791</v>
      </c>
      <c r="AO19" s="31">
        <f>Recu3!AO19</f>
        <v>0.80000001192092896</v>
      </c>
      <c r="AP19" s="32">
        <f t="shared" si="78"/>
        <v>0.80000001192092896</v>
      </c>
      <c r="AQ19" s="31">
        <f>Recu3!AQ19</f>
        <v>0.10000000149011612</v>
      </c>
      <c r="AR19" s="32">
        <f t="shared" si="79"/>
        <v>0.10000000149011612</v>
      </c>
      <c r="AS19" s="31">
        <f>Recu3!AS19</f>
        <v>0.80000001192092896</v>
      </c>
      <c r="AT19" s="32">
        <f t="shared" si="80"/>
        <v>0.80000001192092896</v>
      </c>
      <c r="AU19" s="31">
        <f>Recu3!AU19</f>
        <v>0.20000000298023224</v>
      </c>
      <c r="AV19" s="32">
        <f t="shared" si="81"/>
        <v>0.20000000298023224</v>
      </c>
      <c r="AW19" s="31">
        <f>Recu3!AW19</f>
        <v>1</v>
      </c>
      <c r="AX19" s="32">
        <f t="shared" si="82"/>
        <v>1</v>
      </c>
      <c r="AY19" s="31">
        <f>Recu3!AY19</f>
        <v>0</v>
      </c>
      <c r="AZ19" s="32">
        <f t="shared" si="83"/>
        <v>0</v>
      </c>
      <c r="BA19" s="31">
        <f>Recu3!BA19</f>
        <v>0</v>
      </c>
      <c r="BB19" s="32">
        <f t="shared" si="84"/>
        <v>0</v>
      </c>
      <c r="BC19" s="31">
        <f>Recu3!BC19</f>
        <v>0.80000001192092896</v>
      </c>
      <c r="BD19" s="32">
        <f t="shared" si="85"/>
        <v>0.80000001192092896</v>
      </c>
      <c r="BE19" s="31">
        <f>Recu3!BE19</f>
        <v>0.40000000596046448</v>
      </c>
      <c r="BF19" s="32">
        <f t="shared" si="86"/>
        <v>0.40000000596046448</v>
      </c>
      <c r="BG19" s="31">
        <f>Recu3!BG19</f>
        <v>0.5</v>
      </c>
      <c r="BH19" s="32">
        <f t="shared" si="87"/>
        <v>0.5</v>
      </c>
      <c r="BI19" s="31">
        <f>Recu3!BI19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Recu3!B20</f>
        <v>2</v>
      </c>
      <c r="C20" s="31">
        <f>Recu3!C20</f>
        <v>0.20000000298023224</v>
      </c>
      <c r="D20" s="32">
        <f t="shared" si="59"/>
        <v>0.10000000149011612</v>
      </c>
      <c r="E20" s="31">
        <f>Recu3!E20</f>
        <v>0.20000000298023224</v>
      </c>
      <c r="F20" s="32">
        <f t="shared" si="60"/>
        <v>0.10000000149011612</v>
      </c>
      <c r="G20" s="31">
        <f>Recu3!G20</f>
        <v>0</v>
      </c>
      <c r="H20" s="32">
        <f t="shared" si="61"/>
        <v>0</v>
      </c>
      <c r="I20" s="31">
        <f>Recu3!I20</f>
        <v>1.3999999761581421</v>
      </c>
      <c r="J20" s="32">
        <f t="shared" si="62"/>
        <v>0.69999998807907104</v>
      </c>
      <c r="K20" s="31">
        <f>Recu3!K20</f>
        <v>1</v>
      </c>
      <c r="L20" s="32">
        <f t="shared" si="63"/>
        <v>0.5</v>
      </c>
      <c r="M20" s="31">
        <f>Recu3!M20</f>
        <v>1.2000000476837158</v>
      </c>
      <c r="N20" s="32">
        <f t="shared" si="64"/>
        <v>0.60000002384185791</v>
      </c>
      <c r="O20" s="31">
        <f>Recu3!O20</f>
        <v>0.40000000596046448</v>
      </c>
      <c r="P20" s="32">
        <f t="shared" si="65"/>
        <v>0.20000000298023224</v>
      </c>
      <c r="Q20" s="31">
        <f>Recu3!Q20</f>
        <v>1</v>
      </c>
      <c r="R20" s="32">
        <f t="shared" si="66"/>
        <v>0.5</v>
      </c>
      <c r="S20" s="31">
        <f>Recu3!S20</f>
        <v>1.6000000238418579</v>
      </c>
      <c r="T20" s="32">
        <f t="shared" si="67"/>
        <v>0.80000001192092896</v>
      </c>
      <c r="U20" s="31">
        <f>Recu3!U20</f>
        <v>1.6000000238418579</v>
      </c>
      <c r="V20" s="32">
        <f t="shared" si="68"/>
        <v>0.80000001192092896</v>
      </c>
      <c r="W20" s="31">
        <f>Recu3!W20</f>
        <v>0.80000001192092896</v>
      </c>
      <c r="X20" s="32">
        <f t="shared" si="69"/>
        <v>0.40000000596046448</v>
      </c>
      <c r="Y20" s="31">
        <f>Recu3!Y20</f>
        <v>1.7999999523162842</v>
      </c>
      <c r="Z20" s="32">
        <f t="shared" si="70"/>
        <v>0.89999997615814209</v>
      </c>
      <c r="AA20" s="31">
        <f>Recu3!AA20</f>
        <v>1.6000000238418579</v>
      </c>
      <c r="AB20" s="32">
        <f t="shared" si="71"/>
        <v>0.80000001192092896</v>
      </c>
      <c r="AC20" s="31">
        <f>Recu3!AC20</f>
        <v>0</v>
      </c>
      <c r="AD20" s="32">
        <f t="shared" si="72"/>
        <v>0</v>
      </c>
      <c r="AE20" s="31">
        <f>Recu3!AE20</f>
        <v>1.2000000476837158</v>
      </c>
      <c r="AF20" s="32">
        <f t="shared" si="73"/>
        <v>0.60000002384185791</v>
      </c>
      <c r="AG20" s="31">
        <f>Recu3!AG20</f>
        <v>1.3999999761581421</v>
      </c>
      <c r="AH20" s="32">
        <f t="shared" si="74"/>
        <v>0.69999998807907104</v>
      </c>
      <c r="AI20" s="31">
        <f>Recu3!AI20</f>
        <v>0</v>
      </c>
      <c r="AJ20" s="32">
        <f t="shared" si="75"/>
        <v>0</v>
      </c>
      <c r="AK20" s="31">
        <f>Recu3!AK20</f>
        <v>0.80000001192092896</v>
      </c>
      <c r="AL20" s="32">
        <f t="shared" si="76"/>
        <v>0.40000000596046448</v>
      </c>
      <c r="AM20" s="31">
        <f>Recu3!AM20</f>
        <v>0.80000001192092896</v>
      </c>
      <c r="AN20" s="32">
        <f t="shared" si="77"/>
        <v>0.40000000596046448</v>
      </c>
      <c r="AO20" s="31">
        <f>Recu3!AO20</f>
        <v>0.60000002384185791</v>
      </c>
      <c r="AP20" s="32">
        <f t="shared" si="78"/>
        <v>0.30000001192092896</v>
      </c>
      <c r="AQ20" s="31">
        <f>Recu3!AQ20</f>
        <v>2</v>
      </c>
      <c r="AR20" s="32">
        <f t="shared" si="79"/>
        <v>1</v>
      </c>
      <c r="AS20" s="31">
        <f>Recu3!AS20</f>
        <v>1.6000000238418579</v>
      </c>
      <c r="AT20" s="32">
        <f t="shared" si="80"/>
        <v>0.80000001192092896</v>
      </c>
      <c r="AU20" s="31">
        <f>Recu3!AU20</f>
        <v>1.3999999761581421</v>
      </c>
      <c r="AV20" s="32">
        <f t="shared" si="81"/>
        <v>0.69999998807907104</v>
      </c>
      <c r="AW20" s="31">
        <f>Recu3!AW20</f>
        <v>0.80000001192092896</v>
      </c>
      <c r="AX20" s="32">
        <f t="shared" si="82"/>
        <v>0.40000000596046448</v>
      </c>
      <c r="AY20" s="31">
        <f>Recu3!AY20</f>
        <v>1.6000000238418579</v>
      </c>
      <c r="AZ20" s="32">
        <f t="shared" si="83"/>
        <v>0.80000001192092896</v>
      </c>
      <c r="BA20" s="31">
        <f>Recu3!BA20</f>
        <v>0.60000002384185791</v>
      </c>
      <c r="BB20" s="32">
        <f t="shared" si="84"/>
        <v>0.30000001192092896</v>
      </c>
      <c r="BC20" s="31">
        <f>Recu3!BC20</f>
        <v>0.60000002384185791</v>
      </c>
      <c r="BD20" s="32">
        <f t="shared" si="85"/>
        <v>0.30000001192092896</v>
      </c>
      <c r="BE20" s="31">
        <f>Recu3!BE20</f>
        <v>0.80000001192092896</v>
      </c>
      <c r="BF20" s="32">
        <f t="shared" si="86"/>
        <v>0.40000000596046448</v>
      </c>
      <c r="BG20" s="31">
        <f>Recu3!BG20</f>
        <v>2</v>
      </c>
      <c r="BH20" s="32">
        <f t="shared" si="87"/>
        <v>1</v>
      </c>
      <c r="BI20" s="31">
        <f>Recu3!BI20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Recu3!B21</f>
        <v>2</v>
      </c>
      <c r="C21" s="31">
        <f>Recu3!C21</f>
        <v>1.3999999761581421</v>
      </c>
      <c r="D21" s="32">
        <f t="shared" si="59"/>
        <v>0.69999998807907104</v>
      </c>
      <c r="E21" s="31">
        <f>Recu3!E21</f>
        <v>0.60000002384185791</v>
      </c>
      <c r="F21" s="32">
        <f t="shared" si="60"/>
        <v>0.30000001192092896</v>
      </c>
      <c r="G21" s="31">
        <f>Recu3!G21</f>
        <v>0.20000000298023224</v>
      </c>
      <c r="H21" s="32">
        <f t="shared" si="61"/>
        <v>0.10000000149011612</v>
      </c>
      <c r="I21" s="31">
        <f>Recu3!I21</f>
        <v>0.40000000596046448</v>
      </c>
      <c r="J21" s="32">
        <f t="shared" si="62"/>
        <v>0.20000000298023224</v>
      </c>
      <c r="K21" s="31">
        <f>Recu3!K21</f>
        <v>0</v>
      </c>
      <c r="L21" s="32">
        <f t="shared" si="63"/>
        <v>0</v>
      </c>
      <c r="M21" s="31">
        <f>Recu3!M21</f>
        <v>0.80000001192092896</v>
      </c>
      <c r="N21" s="32">
        <f t="shared" si="64"/>
        <v>0.40000000596046448</v>
      </c>
      <c r="O21" s="31">
        <f>Recu3!O21</f>
        <v>2</v>
      </c>
      <c r="P21" s="32">
        <f t="shared" si="65"/>
        <v>1</v>
      </c>
      <c r="Q21" s="31">
        <f>Recu3!Q21</f>
        <v>1</v>
      </c>
      <c r="R21" s="32">
        <f t="shared" si="66"/>
        <v>0.5</v>
      </c>
      <c r="S21" s="31">
        <f>Recu3!S21</f>
        <v>1</v>
      </c>
      <c r="T21" s="32">
        <f t="shared" si="67"/>
        <v>0.5</v>
      </c>
      <c r="U21" s="31">
        <f>Recu3!U21</f>
        <v>2</v>
      </c>
      <c r="V21" s="32">
        <f t="shared" si="68"/>
        <v>1</v>
      </c>
      <c r="W21" s="31">
        <f>Recu3!W21</f>
        <v>0.40000000596046448</v>
      </c>
      <c r="X21" s="32">
        <f t="shared" si="69"/>
        <v>0.20000000298023224</v>
      </c>
      <c r="Y21" s="31">
        <f>Recu3!Y21</f>
        <v>0.80000001192092896</v>
      </c>
      <c r="Z21" s="32">
        <f t="shared" si="70"/>
        <v>0.40000000596046448</v>
      </c>
      <c r="AA21" s="31">
        <f>Recu3!AA21</f>
        <v>0.80000001192092896</v>
      </c>
      <c r="AB21" s="32">
        <f t="shared" si="71"/>
        <v>0.40000000596046448</v>
      </c>
      <c r="AC21" s="31">
        <f>Recu3!AC21</f>
        <v>0.60000002384185791</v>
      </c>
      <c r="AD21" s="32">
        <f t="shared" si="72"/>
        <v>0.30000001192092896</v>
      </c>
      <c r="AE21" s="31">
        <f>Recu3!AE21</f>
        <v>1</v>
      </c>
      <c r="AF21" s="32">
        <f t="shared" si="73"/>
        <v>0.5</v>
      </c>
      <c r="AG21" s="31">
        <f>Recu3!AG21</f>
        <v>0.20000000298023224</v>
      </c>
      <c r="AH21" s="32">
        <f t="shared" si="74"/>
        <v>0.10000000149011612</v>
      </c>
      <c r="AI21" s="31">
        <f>Recu3!AI21</f>
        <v>1</v>
      </c>
      <c r="AJ21" s="32">
        <f t="shared" si="75"/>
        <v>0.5</v>
      </c>
      <c r="AK21" s="31">
        <f>Recu3!AK21</f>
        <v>2</v>
      </c>
      <c r="AL21" s="32">
        <f t="shared" si="76"/>
        <v>1</v>
      </c>
      <c r="AM21" s="31">
        <f>Recu3!AM21</f>
        <v>1.2000000476837158</v>
      </c>
      <c r="AN21" s="32">
        <f t="shared" si="77"/>
        <v>0.60000002384185791</v>
      </c>
      <c r="AO21" s="31">
        <f>Recu3!AO21</f>
        <v>2</v>
      </c>
      <c r="AP21" s="32">
        <f t="shared" si="78"/>
        <v>1</v>
      </c>
      <c r="AQ21" s="31">
        <f>Recu3!AQ21</f>
        <v>1.3999999761581421</v>
      </c>
      <c r="AR21" s="32">
        <f t="shared" si="79"/>
        <v>0.69999998807907104</v>
      </c>
      <c r="AS21" s="31">
        <f>Recu3!AS21</f>
        <v>0.80000001192092896</v>
      </c>
      <c r="AT21" s="32">
        <f t="shared" si="80"/>
        <v>0.40000000596046448</v>
      </c>
      <c r="AU21" s="31">
        <f>Recu3!AU21</f>
        <v>1.3999999761581421</v>
      </c>
      <c r="AV21" s="32">
        <f t="shared" si="81"/>
        <v>0.69999998807907104</v>
      </c>
      <c r="AW21" s="31">
        <f>Recu3!AW21</f>
        <v>0</v>
      </c>
      <c r="AX21" s="32">
        <f t="shared" si="82"/>
        <v>0</v>
      </c>
      <c r="AY21" s="31">
        <f>Recu3!AY21</f>
        <v>1.6000000238418579</v>
      </c>
      <c r="AZ21" s="32">
        <f t="shared" si="83"/>
        <v>0.80000001192092896</v>
      </c>
      <c r="BA21" s="31">
        <f>Recu3!BA21</f>
        <v>1.3999999761581421</v>
      </c>
      <c r="BB21" s="32">
        <f t="shared" si="84"/>
        <v>0.69999998807907104</v>
      </c>
      <c r="BC21" s="31">
        <f>Recu3!BC21</f>
        <v>1</v>
      </c>
      <c r="BD21" s="32">
        <f t="shared" si="85"/>
        <v>0.5</v>
      </c>
      <c r="BE21" s="31">
        <f>Recu3!BE21</f>
        <v>0.20000000298023224</v>
      </c>
      <c r="BF21" s="32">
        <f t="shared" si="86"/>
        <v>0.10000000149011612</v>
      </c>
      <c r="BG21" s="31">
        <f>Recu3!BG21</f>
        <v>0.40000000596046448</v>
      </c>
      <c r="BH21" s="32">
        <f t="shared" si="87"/>
        <v>0.20000000298023224</v>
      </c>
      <c r="BI21" s="31">
        <f>Recu3!BI21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Recu3!B22</f>
        <v>1</v>
      </c>
      <c r="C22" s="31">
        <f>Recu3!C22</f>
        <v>0.80000001192092896</v>
      </c>
      <c r="D22" s="32">
        <f t="shared" si="59"/>
        <v>0.80000001192092896</v>
      </c>
      <c r="E22" s="31">
        <f>Recu3!E22</f>
        <v>0</v>
      </c>
      <c r="F22" s="32">
        <f t="shared" si="60"/>
        <v>0</v>
      </c>
      <c r="G22" s="31">
        <f>Recu3!G22</f>
        <v>0.5</v>
      </c>
      <c r="H22" s="32">
        <f t="shared" si="61"/>
        <v>0.5</v>
      </c>
      <c r="I22" s="31">
        <f>Recu3!I22</f>
        <v>0.80000001192092896</v>
      </c>
      <c r="J22" s="32">
        <f t="shared" si="62"/>
        <v>0.80000001192092896</v>
      </c>
      <c r="K22" s="31">
        <f>Recu3!K22</f>
        <v>0.80000001192092896</v>
      </c>
      <c r="L22" s="32">
        <f t="shared" si="63"/>
        <v>0.80000001192092896</v>
      </c>
      <c r="M22" s="31">
        <f>Recu3!M22</f>
        <v>0.30000001192092896</v>
      </c>
      <c r="N22" s="32">
        <f t="shared" si="64"/>
        <v>0.30000001192092896</v>
      </c>
      <c r="O22" s="31">
        <f>Recu3!O22</f>
        <v>1</v>
      </c>
      <c r="P22" s="32">
        <f t="shared" si="65"/>
        <v>1</v>
      </c>
      <c r="Q22" s="31">
        <f>Recu3!Q22</f>
        <v>0.80000001192092896</v>
      </c>
      <c r="R22" s="32">
        <f t="shared" si="66"/>
        <v>0.80000001192092896</v>
      </c>
      <c r="S22" s="31">
        <f>Recu3!S22</f>
        <v>0.69999998807907104</v>
      </c>
      <c r="T22" s="32">
        <f t="shared" si="67"/>
        <v>0.69999998807907104</v>
      </c>
      <c r="U22" s="31">
        <f>Recu3!U22</f>
        <v>0.89999997615814209</v>
      </c>
      <c r="V22" s="32">
        <f t="shared" si="68"/>
        <v>0.89999997615814209</v>
      </c>
      <c r="W22" s="31">
        <f>Recu3!W22</f>
        <v>0.89999997615814209</v>
      </c>
      <c r="X22" s="32">
        <f t="shared" si="69"/>
        <v>0.89999997615814209</v>
      </c>
      <c r="Y22" s="31">
        <f>Recu3!Y22</f>
        <v>0.40000000596046448</v>
      </c>
      <c r="Z22" s="32">
        <f t="shared" si="70"/>
        <v>0.40000000596046448</v>
      </c>
      <c r="AA22" s="31">
        <f>Recu3!AA22</f>
        <v>0.10000000149011612</v>
      </c>
      <c r="AB22" s="32">
        <f t="shared" si="71"/>
        <v>0.10000000149011612</v>
      </c>
      <c r="AC22" s="31">
        <f>Recu3!AC22</f>
        <v>1</v>
      </c>
      <c r="AD22" s="32">
        <f t="shared" si="72"/>
        <v>1</v>
      </c>
      <c r="AE22" s="31">
        <f>Recu3!AE22</f>
        <v>0.80000001192092896</v>
      </c>
      <c r="AF22" s="32">
        <f t="shared" si="73"/>
        <v>0.80000001192092896</v>
      </c>
      <c r="AG22" s="31">
        <f>Recu3!AG22</f>
        <v>0.69999998807907104</v>
      </c>
      <c r="AH22" s="32">
        <f t="shared" si="74"/>
        <v>0.69999998807907104</v>
      </c>
      <c r="AI22" s="31">
        <f>Recu3!AI22</f>
        <v>0.40000000596046448</v>
      </c>
      <c r="AJ22" s="32">
        <f t="shared" si="75"/>
        <v>0.40000000596046448</v>
      </c>
      <c r="AK22" s="31">
        <f>Recu3!AK22</f>
        <v>0</v>
      </c>
      <c r="AL22" s="32">
        <f t="shared" si="76"/>
        <v>0</v>
      </c>
      <c r="AM22" s="31">
        <f>Recu3!AM22</f>
        <v>0.10000000149011612</v>
      </c>
      <c r="AN22" s="32">
        <f t="shared" si="77"/>
        <v>0.10000000149011612</v>
      </c>
      <c r="AO22" s="31">
        <f>Recu3!AO22</f>
        <v>0.10000000149011612</v>
      </c>
      <c r="AP22" s="32">
        <f t="shared" si="78"/>
        <v>0.10000000149011612</v>
      </c>
      <c r="AQ22" s="31">
        <f>Recu3!AQ22</f>
        <v>0.5</v>
      </c>
      <c r="AR22" s="32">
        <f t="shared" si="79"/>
        <v>0.5</v>
      </c>
      <c r="AS22" s="31">
        <f>Recu3!AS22</f>
        <v>0.40000000596046448</v>
      </c>
      <c r="AT22" s="32">
        <f t="shared" si="80"/>
        <v>0.40000000596046448</v>
      </c>
      <c r="AU22" s="31">
        <f>Recu3!AU22</f>
        <v>0.10000000149011612</v>
      </c>
      <c r="AV22" s="32">
        <f t="shared" si="81"/>
        <v>0.10000000149011612</v>
      </c>
      <c r="AW22" s="31">
        <f>Recu3!AW22</f>
        <v>0.30000001192092896</v>
      </c>
      <c r="AX22" s="32">
        <f t="shared" si="82"/>
        <v>0.30000001192092896</v>
      </c>
      <c r="AY22" s="31">
        <f>Recu3!AY22</f>
        <v>0.69999998807907104</v>
      </c>
      <c r="AZ22" s="32">
        <f t="shared" si="83"/>
        <v>0.69999998807907104</v>
      </c>
      <c r="BA22" s="31">
        <f>Recu3!BA22</f>
        <v>0.89999997615814209</v>
      </c>
      <c r="BB22" s="32">
        <f t="shared" si="84"/>
        <v>0.89999997615814209</v>
      </c>
      <c r="BC22" s="31">
        <f>Recu3!BC22</f>
        <v>0.5</v>
      </c>
      <c r="BD22" s="32">
        <f t="shared" si="85"/>
        <v>0.5</v>
      </c>
      <c r="BE22" s="31">
        <f>Recu3!BE22</f>
        <v>0.20000000298023224</v>
      </c>
      <c r="BF22" s="32">
        <f t="shared" si="86"/>
        <v>0.20000000298023224</v>
      </c>
      <c r="BG22" s="31">
        <f>Recu3!BG22</f>
        <v>0.89999997615814209</v>
      </c>
      <c r="BH22" s="32">
        <f t="shared" si="87"/>
        <v>0.89999997615814209</v>
      </c>
      <c r="BI22" s="31">
        <f>Recu3!BI22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Recu3!B23</f>
        <v>1</v>
      </c>
      <c r="C23" s="31">
        <f>Recu3!C23</f>
        <v>0.30000001192092896</v>
      </c>
      <c r="D23" s="32">
        <f t="shared" si="59"/>
        <v>0.30000001192092896</v>
      </c>
      <c r="E23" s="31">
        <f>Recu3!E23</f>
        <v>0.80000001192092896</v>
      </c>
      <c r="F23" s="32">
        <f t="shared" si="60"/>
        <v>0.80000001192092896</v>
      </c>
      <c r="G23" s="31">
        <f>Recu3!G23</f>
        <v>0.20000000298023224</v>
      </c>
      <c r="H23" s="32">
        <f t="shared" si="61"/>
        <v>0.20000000298023224</v>
      </c>
      <c r="I23" s="31">
        <f>Recu3!I23</f>
        <v>0.40000000596046448</v>
      </c>
      <c r="J23" s="32">
        <f t="shared" si="62"/>
        <v>0.40000000596046448</v>
      </c>
      <c r="K23" s="31">
        <f>Recu3!K23</f>
        <v>0.20000000298023224</v>
      </c>
      <c r="L23" s="32">
        <f t="shared" si="63"/>
        <v>0.20000000298023224</v>
      </c>
      <c r="M23" s="31">
        <f>Recu3!M23</f>
        <v>0.89999997615814209</v>
      </c>
      <c r="N23" s="32">
        <f t="shared" si="64"/>
        <v>0.89999997615814209</v>
      </c>
      <c r="O23" s="31">
        <f>Recu3!O23</f>
        <v>0.60000002384185791</v>
      </c>
      <c r="P23" s="32">
        <f t="shared" si="65"/>
        <v>0.60000002384185791</v>
      </c>
      <c r="Q23" s="31">
        <f>Recu3!Q23</f>
        <v>0.40000000596046448</v>
      </c>
      <c r="R23" s="32">
        <f t="shared" si="66"/>
        <v>0.40000000596046448</v>
      </c>
      <c r="S23" s="31">
        <f>Recu3!S23</f>
        <v>0.40000000596046448</v>
      </c>
      <c r="T23" s="32">
        <f t="shared" si="67"/>
        <v>0.40000000596046448</v>
      </c>
      <c r="U23" s="31">
        <f>Recu3!U23</f>
        <v>0.89999997615814209</v>
      </c>
      <c r="V23" s="32">
        <f t="shared" si="68"/>
        <v>0.89999997615814209</v>
      </c>
      <c r="W23" s="31">
        <f>Recu3!W23</f>
        <v>0.60000002384185791</v>
      </c>
      <c r="X23" s="32">
        <f t="shared" si="69"/>
        <v>0.60000002384185791</v>
      </c>
      <c r="Y23" s="31">
        <f>Recu3!Y23</f>
        <v>1</v>
      </c>
      <c r="Z23" s="32">
        <f t="shared" si="70"/>
        <v>1</v>
      </c>
      <c r="AA23" s="31">
        <f>Recu3!AA23</f>
        <v>0.5</v>
      </c>
      <c r="AB23" s="32">
        <f t="shared" si="71"/>
        <v>0.5</v>
      </c>
      <c r="AC23" s="31">
        <f>Recu3!AC23</f>
        <v>0.30000001192092896</v>
      </c>
      <c r="AD23" s="32">
        <f t="shared" si="72"/>
        <v>0.30000001192092896</v>
      </c>
      <c r="AE23" s="31">
        <f>Recu3!AE23</f>
        <v>0.89999997615814209</v>
      </c>
      <c r="AF23" s="32">
        <f t="shared" si="73"/>
        <v>0.89999997615814209</v>
      </c>
      <c r="AG23" s="31">
        <f>Recu3!AG23</f>
        <v>0.20000000298023224</v>
      </c>
      <c r="AH23" s="32">
        <f t="shared" si="74"/>
        <v>0.20000000298023224</v>
      </c>
      <c r="AI23" s="31">
        <f>Recu3!AI23</f>
        <v>0.20000000298023224</v>
      </c>
      <c r="AJ23" s="32">
        <f t="shared" si="75"/>
        <v>0.20000000298023224</v>
      </c>
      <c r="AK23" s="31">
        <f>Recu3!AK23</f>
        <v>0.10000000149011612</v>
      </c>
      <c r="AL23" s="32">
        <f t="shared" si="76"/>
        <v>0.10000000149011612</v>
      </c>
      <c r="AM23" s="31">
        <f>Recu3!AM23</f>
        <v>0.30000001192092896</v>
      </c>
      <c r="AN23" s="32">
        <f t="shared" si="77"/>
        <v>0.30000001192092896</v>
      </c>
      <c r="AO23" s="31">
        <f>Recu3!AO23</f>
        <v>0</v>
      </c>
      <c r="AP23" s="32">
        <f t="shared" si="78"/>
        <v>0</v>
      </c>
      <c r="AQ23" s="31">
        <f>Recu3!AQ23</f>
        <v>0.80000001192092896</v>
      </c>
      <c r="AR23" s="32">
        <f t="shared" si="79"/>
        <v>0.80000001192092896</v>
      </c>
      <c r="AS23" s="31">
        <f>Recu3!AS23</f>
        <v>0.89999997615814209</v>
      </c>
      <c r="AT23" s="32">
        <f t="shared" si="80"/>
        <v>0.89999997615814209</v>
      </c>
      <c r="AU23" s="31">
        <f>Recu3!AU23</f>
        <v>0.30000001192092896</v>
      </c>
      <c r="AV23" s="32">
        <f t="shared" si="81"/>
        <v>0.30000001192092896</v>
      </c>
      <c r="AW23" s="31">
        <f>Recu3!AW23</f>
        <v>0.69999998807907104</v>
      </c>
      <c r="AX23" s="32">
        <f t="shared" si="82"/>
        <v>0.69999998807907104</v>
      </c>
      <c r="AY23" s="31">
        <f>Recu3!AY23</f>
        <v>0.40000000596046448</v>
      </c>
      <c r="AZ23" s="32">
        <f t="shared" si="83"/>
        <v>0.40000000596046448</v>
      </c>
      <c r="BA23" s="31">
        <f>Recu3!BA23</f>
        <v>0.80000001192092896</v>
      </c>
      <c r="BB23" s="32">
        <f t="shared" si="84"/>
        <v>0.80000001192092896</v>
      </c>
      <c r="BC23" s="31">
        <f>Recu3!BC23</f>
        <v>0.80000001192092896</v>
      </c>
      <c r="BD23" s="32">
        <f t="shared" si="85"/>
        <v>0.80000001192092896</v>
      </c>
      <c r="BE23" s="31">
        <f>Recu3!BE23</f>
        <v>0.40000000596046448</v>
      </c>
      <c r="BF23" s="32">
        <f t="shared" si="86"/>
        <v>0.40000000596046448</v>
      </c>
      <c r="BG23" s="31">
        <f>Recu3!BG23</f>
        <v>0</v>
      </c>
      <c r="BH23" s="32">
        <f t="shared" si="87"/>
        <v>0</v>
      </c>
      <c r="BI23" s="31">
        <f>Recu3!BI23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Recu3!B24</f>
        <v>0</v>
      </c>
      <c r="C24" s="31">
        <f>Recu3!C24</f>
        <v>0</v>
      </c>
      <c r="D24" s="32">
        <f t="shared" si="59"/>
        <v>-1</v>
      </c>
      <c r="E24" s="31">
        <f>Recu3!E24</f>
        <v>0</v>
      </c>
      <c r="F24" s="32">
        <f t="shared" si="60"/>
        <v>-1</v>
      </c>
      <c r="G24" s="31">
        <f>Recu3!G24</f>
        <v>0</v>
      </c>
      <c r="H24" s="32">
        <f t="shared" si="61"/>
        <v>-1</v>
      </c>
      <c r="I24" s="31">
        <f>Recu3!I24</f>
        <v>0</v>
      </c>
      <c r="J24" s="32">
        <f t="shared" si="62"/>
        <v>-1</v>
      </c>
      <c r="K24" s="31">
        <f>Recu3!K24</f>
        <v>0</v>
      </c>
      <c r="L24" s="32">
        <f t="shared" si="63"/>
        <v>-1</v>
      </c>
      <c r="M24" s="31">
        <f>Recu3!M24</f>
        <v>0</v>
      </c>
      <c r="N24" s="32">
        <f t="shared" si="64"/>
        <v>-1</v>
      </c>
      <c r="O24" s="31">
        <f>Recu3!O24</f>
        <v>0</v>
      </c>
      <c r="P24" s="32">
        <f t="shared" si="65"/>
        <v>-1</v>
      </c>
      <c r="Q24" s="31">
        <f>Recu3!Q24</f>
        <v>0</v>
      </c>
      <c r="R24" s="32">
        <f t="shared" si="66"/>
        <v>-1</v>
      </c>
      <c r="S24" s="31">
        <f>Recu3!S24</f>
        <v>0</v>
      </c>
      <c r="T24" s="32">
        <f t="shared" si="67"/>
        <v>-1</v>
      </c>
      <c r="U24" s="31">
        <f>Recu3!U24</f>
        <v>0</v>
      </c>
      <c r="V24" s="32">
        <f t="shared" si="68"/>
        <v>-1</v>
      </c>
      <c r="W24" s="31">
        <f>Recu3!W24</f>
        <v>0</v>
      </c>
      <c r="X24" s="32">
        <f t="shared" si="69"/>
        <v>-1</v>
      </c>
      <c r="Y24" s="31">
        <f>Recu3!Y24</f>
        <v>0</v>
      </c>
      <c r="Z24" s="32">
        <f t="shared" si="70"/>
        <v>-1</v>
      </c>
      <c r="AA24" s="31">
        <f>Recu3!AA24</f>
        <v>0</v>
      </c>
      <c r="AB24" s="32">
        <f t="shared" si="71"/>
        <v>-1</v>
      </c>
      <c r="AC24" s="31">
        <f>Recu3!AC24</f>
        <v>0</v>
      </c>
      <c r="AD24" s="32">
        <f t="shared" si="72"/>
        <v>-1</v>
      </c>
      <c r="AE24" s="31">
        <f>Recu3!AE24</f>
        <v>0</v>
      </c>
      <c r="AF24" s="32">
        <f t="shared" si="73"/>
        <v>-1</v>
      </c>
      <c r="AG24" s="31">
        <f>Recu3!AG24</f>
        <v>0</v>
      </c>
      <c r="AH24" s="32">
        <f t="shared" si="74"/>
        <v>-1</v>
      </c>
      <c r="AI24" s="31">
        <f>Recu3!AI24</f>
        <v>0</v>
      </c>
      <c r="AJ24" s="32">
        <f t="shared" si="75"/>
        <v>-1</v>
      </c>
      <c r="AK24" s="31">
        <f>Recu3!AK24</f>
        <v>0</v>
      </c>
      <c r="AL24" s="32">
        <f t="shared" si="76"/>
        <v>-1</v>
      </c>
      <c r="AM24" s="31">
        <f>Recu3!AM24</f>
        <v>0</v>
      </c>
      <c r="AN24" s="32">
        <f t="shared" si="77"/>
        <v>-1</v>
      </c>
      <c r="AO24" s="31">
        <f>Recu3!AO24</f>
        <v>0</v>
      </c>
      <c r="AP24" s="32">
        <f t="shared" si="78"/>
        <v>-1</v>
      </c>
      <c r="AQ24" s="31">
        <f>Recu3!AQ24</f>
        <v>0</v>
      </c>
      <c r="AR24" s="32">
        <f t="shared" si="79"/>
        <v>-1</v>
      </c>
      <c r="AS24" s="31">
        <f>Recu3!AS24</f>
        <v>0</v>
      </c>
      <c r="AT24" s="32">
        <f t="shared" si="80"/>
        <v>-1</v>
      </c>
      <c r="AU24" s="31">
        <f>Recu3!AU24</f>
        <v>0</v>
      </c>
      <c r="AV24" s="32">
        <f t="shared" si="81"/>
        <v>-1</v>
      </c>
      <c r="AW24" s="31">
        <f>Recu3!AW24</f>
        <v>0</v>
      </c>
      <c r="AX24" s="32">
        <f t="shared" si="82"/>
        <v>-1</v>
      </c>
      <c r="AY24" s="31">
        <f>Recu3!AY24</f>
        <v>0</v>
      </c>
      <c r="AZ24" s="32">
        <f t="shared" si="83"/>
        <v>-1</v>
      </c>
      <c r="BA24" s="31">
        <f>Recu3!BA24</f>
        <v>0</v>
      </c>
      <c r="BB24" s="32">
        <f t="shared" si="84"/>
        <v>-1</v>
      </c>
      <c r="BC24" s="31">
        <f>Recu3!BC24</f>
        <v>0</v>
      </c>
      <c r="BD24" s="32">
        <f t="shared" si="85"/>
        <v>-1</v>
      </c>
      <c r="BE24" s="31">
        <f>Recu3!BE24</f>
        <v>0</v>
      </c>
      <c r="BF24" s="32">
        <f t="shared" si="86"/>
        <v>-1</v>
      </c>
      <c r="BG24" s="31">
        <f>Recu3!BG24</f>
        <v>0</v>
      </c>
      <c r="BH24" s="32">
        <f t="shared" si="87"/>
        <v>-1</v>
      </c>
      <c r="BI24" s="31">
        <f>Recu3!BI24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Recu3!B25</f>
        <v>0</v>
      </c>
      <c r="C25" s="31">
        <f>Recu3!C25</f>
        <v>0</v>
      </c>
      <c r="D25" s="32">
        <f t="shared" si="59"/>
        <v>-1</v>
      </c>
      <c r="E25" s="31">
        <f>Recu3!E25</f>
        <v>0</v>
      </c>
      <c r="F25" s="32">
        <f t="shared" si="60"/>
        <v>-1</v>
      </c>
      <c r="G25" s="31">
        <f>Recu3!G25</f>
        <v>0</v>
      </c>
      <c r="H25" s="32">
        <f t="shared" si="61"/>
        <v>-1</v>
      </c>
      <c r="I25" s="31">
        <f>Recu3!I25</f>
        <v>0</v>
      </c>
      <c r="J25" s="32">
        <f t="shared" si="62"/>
        <v>-1</v>
      </c>
      <c r="K25" s="31">
        <f>Recu3!K25</f>
        <v>0</v>
      </c>
      <c r="L25" s="32">
        <f t="shared" si="63"/>
        <v>-1</v>
      </c>
      <c r="M25" s="31">
        <f>Recu3!M25</f>
        <v>0</v>
      </c>
      <c r="N25" s="32">
        <f t="shared" si="64"/>
        <v>-1</v>
      </c>
      <c r="O25" s="31">
        <f>Recu3!O25</f>
        <v>0</v>
      </c>
      <c r="P25" s="32">
        <f t="shared" si="65"/>
        <v>-1</v>
      </c>
      <c r="Q25" s="31">
        <f>Recu3!Q25</f>
        <v>0</v>
      </c>
      <c r="R25" s="32">
        <f t="shared" si="66"/>
        <v>-1</v>
      </c>
      <c r="S25" s="31">
        <f>Recu3!S25</f>
        <v>0</v>
      </c>
      <c r="T25" s="32">
        <f t="shared" si="67"/>
        <v>-1</v>
      </c>
      <c r="U25" s="31">
        <f>Recu3!U25</f>
        <v>0</v>
      </c>
      <c r="V25" s="32">
        <f t="shared" si="68"/>
        <v>-1</v>
      </c>
      <c r="W25" s="31">
        <f>Recu3!W25</f>
        <v>0</v>
      </c>
      <c r="X25" s="32">
        <f t="shared" si="69"/>
        <v>-1</v>
      </c>
      <c r="Y25" s="31">
        <f>Recu3!Y25</f>
        <v>0</v>
      </c>
      <c r="Z25" s="32">
        <f t="shared" si="70"/>
        <v>-1</v>
      </c>
      <c r="AA25" s="31">
        <f>Recu3!AA25</f>
        <v>0</v>
      </c>
      <c r="AB25" s="32">
        <f t="shared" si="71"/>
        <v>-1</v>
      </c>
      <c r="AC25" s="31">
        <f>Recu3!AC25</f>
        <v>0</v>
      </c>
      <c r="AD25" s="32">
        <f t="shared" si="72"/>
        <v>-1</v>
      </c>
      <c r="AE25" s="31">
        <f>Recu3!AE25</f>
        <v>0</v>
      </c>
      <c r="AF25" s="32">
        <f t="shared" si="73"/>
        <v>-1</v>
      </c>
      <c r="AG25" s="31">
        <f>Recu3!AG25</f>
        <v>0</v>
      </c>
      <c r="AH25" s="32">
        <f t="shared" si="74"/>
        <v>-1</v>
      </c>
      <c r="AI25" s="31">
        <f>Recu3!AI25</f>
        <v>0</v>
      </c>
      <c r="AJ25" s="32">
        <f t="shared" si="75"/>
        <v>-1</v>
      </c>
      <c r="AK25" s="31">
        <f>Recu3!AK25</f>
        <v>0</v>
      </c>
      <c r="AL25" s="32">
        <f t="shared" si="76"/>
        <v>-1</v>
      </c>
      <c r="AM25" s="31">
        <f>Recu3!AM25</f>
        <v>0</v>
      </c>
      <c r="AN25" s="32">
        <f t="shared" si="77"/>
        <v>-1</v>
      </c>
      <c r="AO25" s="31">
        <f>Recu3!AO25</f>
        <v>0</v>
      </c>
      <c r="AP25" s="32">
        <f t="shared" si="78"/>
        <v>-1</v>
      </c>
      <c r="AQ25" s="31">
        <f>Recu3!AQ25</f>
        <v>0</v>
      </c>
      <c r="AR25" s="32">
        <f t="shared" si="79"/>
        <v>-1</v>
      </c>
      <c r="AS25" s="31">
        <f>Recu3!AS25</f>
        <v>0</v>
      </c>
      <c r="AT25" s="32">
        <f t="shared" si="80"/>
        <v>-1</v>
      </c>
      <c r="AU25" s="31">
        <f>Recu3!AU25</f>
        <v>0</v>
      </c>
      <c r="AV25" s="32">
        <f t="shared" si="81"/>
        <v>-1</v>
      </c>
      <c r="AW25" s="31">
        <f>Recu3!AW25</f>
        <v>0</v>
      </c>
      <c r="AX25" s="32">
        <f t="shared" si="82"/>
        <v>-1</v>
      </c>
      <c r="AY25" s="31">
        <f>Recu3!AY25</f>
        <v>0</v>
      </c>
      <c r="AZ25" s="32">
        <f t="shared" si="83"/>
        <v>-1</v>
      </c>
      <c r="BA25" s="31">
        <f>Recu3!BA25</f>
        <v>0</v>
      </c>
      <c r="BB25" s="32">
        <f t="shared" si="84"/>
        <v>-1</v>
      </c>
      <c r="BC25" s="31">
        <f>Recu3!BC25</f>
        <v>0</v>
      </c>
      <c r="BD25" s="32">
        <f t="shared" si="85"/>
        <v>-1</v>
      </c>
      <c r="BE25" s="31">
        <f>Recu3!BE25</f>
        <v>0</v>
      </c>
      <c r="BF25" s="32">
        <f t="shared" si="86"/>
        <v>-1</v>
      </c>
      <c r="BG25" s="31">
        <f>Recu3!BG25</f>
        <v>0</v>
      </c>
      <c r="BH25" s="32">
        <f t="shared" si="87"/>
        <v>-1</v>
      </c>
      <c r="BI25" s="31">
        <f>Recu3!BI25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Recu3!B26</f>
        <v>2</v>
      </c>
      <c r="C26" s="31">
        <f>Recu3!C26</f>
        <v>0.60000002384185791</v>
      </c>
      <c r="D26" s="32">
        <f t="shared" si="59"/>
        <v>0.30000001192092896</v>
      </c>
      <c r="E26" s="31">
        <f>Recu3!E26</f>
        <v>1.3999999761581421</v>
      </c>
      <c r="F26" s="32">
        <f t="shared" si="60"/>
        <v>0.69999998807907104</v>
      </c>
      <c r="G26" s="31">
        <f>Recu3!G26</f>
        <v>0.60000002384185791</v>
      </c>
      <c r="H26" s="32">
        <f t="shared" si="61"/>
        <v>0.30000001192092896</v>
      </c>
      <c r="I26" s="31">
        <f>Recu3!I26</f>
        <v>1.6000000238418579</v>
      </c>
      <c r="J26" s="32">
        <f t="shared" si="62"/>
        <v>0.80000001192092896</v>
      </c>
      <c r="K26" s="31">
        <f>Recu3!K26</f>
        <v>0.20000000298023224</v>
      </c>
      <c r="L26" s="32">
        <f t="shared" si="63"/>
        <v>0.10000000149011612</v>
      </c>
      <c r="M26" s="31">
        <f>Recu3!M26</f>
        <v>1.2000000476837158</v>
      </c>
      <c r="N26" s="32">
        <f t="shared" si="64"/>
        <v>0.60000002384185791</v>
      </c>
      <c r="O26" s="31">
        <f>Recu3!O26</f>
        <v>2</v>
      </c>
      <c r="P26" s="32">
        <f t="shared" si="65"/>
        <v>1</v>
      </c>
      <c r="Q26" s="31">
        <f>Recu3!Q26</f>
        <v>0.40000000596046448</v>
      </c>
      <c r="R26" s="32">
        <f t="shared" si="66"/>
        <v>0.20000000298023224</v>
      </c>
      <c r="S26" s="31">
        <f>Recu3!S26</f>
        <v>2</v>
      </c>
      <c r="T26" s="32">
        <f t="shared" si="67"/>
        <v>1</v>
      </c>
      <c r="U26" s="31">
        <f>Recu3!U26</f>
        <v>0.20000000298023224</v>
      </c>
      <c r="V26" s="32">
        <f t="shared" si="68"/>
        <v>0.10000000149011612</v>
      </c>
      <c r="W26" s="31">
        <f>Recu3!W26</f>
        <v>2</v>
      </c>
      <c r="X26" s="32">
        <f t="shared" si="69"/>
        <v>1</v>
      </c>
      <c r="Y26" s="31">
        <f>Recu3!Y26</f>
        <v>1.2000000476837158</v>
      </c>
      <c r="Z26" s="32">
        <f t="shared" si="70"/>
        <v>0.60000002384185791</v>
      </c>
      <c r="AA26" s="31">
        <f>Recu3!AA26</f>
        <v>1.2000000476837158</v>
      </c>
      <c r="AB26" s="32">
        <f t="shared" si="71"/>
        <v>0.60000002384185791</v>
      </c>
      <c r="AC26" s="31">
        <f>Recu3!AC26</f>
        <v>1.7999999523162842</v>
      </c>
      <c r="AD26" s="32">
        <f t="shared" si="72"/>
        <v>0.89999997615814209</v>
      </c>
      <c r="AE26" s="31">
        <f>Recu3!AE26</f>
        <v>1.2000000476837158</v>
      </c>
      <c r="AF26" s="32">
        <f t="shared" si="73"/>
        <v>0.60000002384185791</v>
      </c>
      <c r="AG26" s="31">
        <f>Recu3!AG26</f>
        <v>0.40000000596046448</v>
      </c>
      <c r="AH26" s="32">
        <f t="shared" si="74"/>
        <v>0.20000000298023224</v>
      </c>
      <c r="AI26" s="31">
        <f>Recu3!AI26</f>
        <v>1.7999999523162842</v>
      </c>
      <c r="AJ26" s="32">
        <f t="shared" si="75"/>
        <v>0.89999997615814209</v>
      </c>
      <c r="AK26" s="31">
        <f>Recu3!AK26</f>
        <v>0</v>
      </c>
      <c r="AL26" s="32">
        <f t="shared" si="76"/>
        <v>0</v>
      </c>
      <c r="AM26" s="31">
        <f>Recu3!AM26</f>
        <v>0.80000001192092896</v>
      </c>
      <c r="AN26" s="32">
        <f t="shared" si="77"/>
        <v>0.40000000596046448</v>
      </c>
      <c r="AO26" s="31">
        <f>Recu3!AO26</f>
        <v>1.6000000238418579</v>
      </c>
      <c r="AP26" s="32">
        <f t="shared" si="78"/>
        <v>0.80000001192092896</v>
      </c>
      <c r="AQ26" s="31">
        <f>Recu3!AQ26</f>
        <v>0.40000000596046448</v>
      </c>
      <c r="AR26" s="32">
        <f t="shared" si="79"/>
        <v>0.20000000298023224</v>
      </c>
      <c r="AS26" s="31">
        <f>Recu3!AS26</f>
        <v>0.80000001192092896</v>
      </c>
      <c r="AT26" s="32">
        <f t="shared" si="80"/>
        <v>0.40000000596046448</v>
      </c>
      <c r="AU26" s="31">
        <f>Recu3!AU26</f>
        <v>0.80000001192092896</v>
      </c>
      <c r="AV26" s="32">
        <f t="shared" si="81"/>
        <v>0.40000000596046448</v>
      </c>
      <c r="AW26" s="31">
        <f>Recu3!AW26</f>
        <v>1</v>
      </c>
      <c r="AX26" s="32">
        <f t="shared" si="82"/>
        <v>0.5</v>
      </c>
      <c r="AY26" s="31">
        <f>Recu3!AY26</f>
        <v>0.40000000596046448</v>
      </c>
      <c r="AZ26" s="32">
        <f t="shared" si="83"/>
        <v>0.20000000298023224</v>
      </c>
      <c r="BA26" s="31">
        <f>Recu3!BA26</f>
        <v>1.2000000476837158</v>
      </c>
      <c r="BB26" s="32">
        <f t="shared" si="84"/>
        <v>0.60000002384185791</v>
      </c>
      <c r="BC26" s="31">
        <f>Recu3!BC26</f>
        <v>0.40000000596046448</v>
      </c>
      <c r="BD26" s="32">
        <f t="shared" si="85"/>
        <v>0.20000000298023224</v>
      </c>
      <c r="BE26" s="31">
        <f>Recu3!BE26</f>
        <v>0</v>
      </c>
      <c r="BF26" s="32">
        <f t="shared" si="86"/>
        <v>0</v>
      </c>
      <c r="BG26" s="31">
        <f>Recu3!BG26</f>
        <v>1.7999999523162842</v>
      </c>
      <c r="BH26" s="32">
        <f t="shared" si="87"/>
        <v>0.89999997615814209</v>
      </c>
      <c r="BI26" s="31">
        <f>Recu3!BI26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Recu3!B27</f>
        <v>2</v>
      </c>
      <c r="C27" s="31">
        <f>Recu3!C27</f>
        <v>1.3999999761581421</v>
      </c>
      <c r="D27" s="32">
        <f t="shared" si="59"/>
        <v>0.69999998807907104</v>
      </c>
      <c r="E27" s="31">
        <f>Recu3!E27</f>
        <v>1.7999999523162842</v>
      </c>
      <c r="F27" s="32">
        <f t="shared" si="60"/>
        <v>0.89999997615814209</v>
      </c>
      <c r="G27" s="31">
        <f>Recu3!G27</f>
        <v>0.40000000596046448</v>
      </c>
      <c r="H27" s="32">
        <f t="shared" si="61"/>
        <v>0.20000000298023224</v>
      </c>
      <c r="I27" s="31">
        <f>Recu3!I27</f>
        <v>2</v>
      </c>
      <c r="J27" s="32">
        <f t="shared" si="62"/>
        <v>1</v>
      </c>
      <c r="K27" s="31">
        <f>Recu3!K27</f>
        <v>1.7999999523162842</v>
      </c>
      <c r="L27" s="32">
        <f t="shared" si="63"/>
        <v>0.89999997615814209</v>
      </c>
      <c r="M27" s="31">
        <f>Recu3!M27</f>
        <v>0.80000001192092896</v>
      </c>
      <c r="N27" s="32">
        <f t="shared" si="64"/>
        <v>0.40000000596046448</v>
      </c>
      <c r="O27" s="31">
        <f>Recu3!O27</f>
        <v>1</v>
      </c>
      <c r="P27" s="32">
        <f t="shared" si="65"/>
        <v>0.5</v>
      </c>
      <c r="Q27" s="31">
        <f>Recu3!Q27</f>
        <v>1.6000000238418579</v>
      </c>
      <c r="R27" s="32">
        <f t="shared" si="66"/>
        <v>0.80000001192092896</v>
      </c>
      <c r="S27" s="31">
        <f>Recu3!S27</f>
        <v>1.7999999523162842</v>
      </c>
      <c r="T27" s="32">
        <f t="shared" si="67"/>
        <v>0.89999997615814209</v>
      </c>
      <c r="U27" s="31">
        <f>Recu3!U27</f>
        <v>0.80000001192092896</v>
      </c>
      <c r="V27" s="32">
        <f t="shared" si="68"/>
        <v>0.40000000596046448</v>
      </c>
      <c r="W27" s="31">
        <f>Recu3!W27</f>
        <v>0.40000000596046448</v>
      </c>
      <c r="X27" s="32">
        <f t="shared" si="69"/>
        <v>0.20000000298023224</v>
      </c>
      <c r="Y27" s="31">
        <f>Recu3!Y27</f>
        <v>0.60000002384185791</v>
      </c>
      <c r="Z27" s="32">
        <f t="shared" si="70"/>
        <v>0.30000001192092896</v>
      </c>
      <c r="AA27" s="31">
        <f>Recu3!AA27</f>
        <v>0.80000001192092896</v>
      </c>
      <c r="AB27" s="32">
        <f t="shared" si="71"/>
        <v>0.40000000596046448</v>
      </c>
      <c r="AC27" s="31">
        <f>Recu3!AC27</f>
        <v>0.20000000298023224</v>
      </c>
      <c r="AD27" s="32">
        <f t="shared" si="72"/>
        <v>0.10000000149011612</v>
      </c>
      <c r="AE27" s="31">
        <f>Recu3!AE27</f>
        <v>1.2000000476837158</v>
      </c>
      <c r="AF27" s="32">
        <f t="shared" si="73"/>
        <v>0.60000002384185791</v>
      </c>
      <c r="AG27" s="31">
        <f>Recu3!AG27</f>
        <v>0.20000000298023224</v>
      </c>
      <c r="AH27" s="32">
        <f t="shared" si="74"/>
        <v>0.10000000149011612</v>
      </c>
      <c r="AI27" s="31">
        <f>Recu3!AI27</f>
        <v>0.40000000596046448</v>
      </c>
      <c r="AJ27" s="32">
        <f t="shared" si="75"/>
        <v>0.20000000298023224</v>
      </c>
      <c r="AK27" s="31">
        <f>Recu3!AK27</f>
        <v>1.3999999761581421</v>
      </c>
      <c r="AL27" s="32">
        <f t="shared" si="76"/>
        <v>0.69999998807907104</v>
      </c>
      <c r="AM27" s="31">
        <f>Recu3!AM27</f>
        <v>1</v>
      </c>
      <c r="AN27" s="32">
        <f t="shared" si="77"/>
        <v>0.5</v>
      </c>
      <c r="AO27" s="31">
        <f>Recu3!AO27</f>
        <v>0.40000000596046448</v>
      </c>
      <c r="AP27" s="32">
        <f t="shared" si="78"/>
        <v>0.20000000298023224</v>
      </c>
      <c r="AQ27" s="31">
        <f>Recu3!AQ27</f>
        <v>2</v>
      </c>
      <c r="AR27" s="32">
        <f t="shared" si="79"/>
        <v>1</v>
      </c>
      <c r="AS27" s="31">
        <f>Recu3!AS27</f>
        <v>1</v>
      </c>
      <c r="AT27" s="32">
        <f t="shared" si="80"/>
        <v>0.5</v>
      </c>
      <c r="AU27" s="31">
        <f>Recu3!AU27</f>
        <v>0</v>
      </c>
      <c r="AV27" s="32">
        <f t="shared" si="81"/>
        <v>0</v>
      </c>
      <c r="AW27" s="31">
        <f>Recu3!AW27</f>
        <v>0.80000001192092896</v>
      </c>
      <c r="AX27" s="32">
        <f t="shared" si="82"/>
        <v>0.40000000596046448</v>
      </c>
      <c r="AY27" s="31">
        <f>Recu3!AY27</f>
        <v>0.60000002384185791</v>
      </c>
      <c r="AZ27" s="32">
        <f t="shared" si="83"/>
        <v>0.30000001192092896</v>
      </c>
      <c r="BA27" s="31">
        <f>Recu3!BA27</f>
        <v>1.6000000238418579</v>
      </c>
      <c r="BB27" s="32">
        <f t="shared" si="84"/>
        <v>0.80000001192092896</v>
      </c>
      <c r="BC27" s="31">
        <f>Recu3!BC27</f>
        <v>1.7999999523162842</v>
      </c>
      <c r="BD27" s="32">
        <f t="shared" si="85"/>
        <v>0.89999997615814209</v>
      </c>
      <c r="BE27" s="31">
        <f>Recu3!BE27</f>
        <v>1.7999999523162842</v>
      </c>
      <c r="BF27" s="32">
        <f t="shared" si="86"/>
        <v>0.89999997615814209</v>
      </c>
      <c r="BG27" s="31">
        <f>Recu3!BG27</f>
        <v>0.20000000298023224</v>
      </c>
      <c r="BH27" s="32">
        <f t="shared" si="87"/>
        <v>0.10000000149011612</v>
      </c>
      <c r="BI27" s="31">
        <f>Recu3!BI27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Recu3!B28</f>
        <v>2</v>
      </c>
      <c r="C28" s="31">
        <f>Recu3!C28</f>
        <v>0</v>
      </c>
      <c r="D28" s="32">
        <f t="shared" si="59"/>
        <v>0</v>
      </c>
      <c r="E28" s="31">
        <f>Recu3!E28</f>
        <v>0.20000000298023224</v>
      </c>
      <c r="F28" s="32">
        <f t="shared" si="60"/>
        <v>0.10000000149011612</v>
      </c>
      <c r="G28" s="31">
        <f>Recu3!G28</f>
        <v>0.80000001192092896</v>
      </c>
      <c r="H28" s="32">
        <f t="shared" si="61"/>
        <v>0.40000000596046448</v>
      </c>
      <c r="I28" s="31">
        <f>Recu3!I28</f>
        <v>0.40000000596046448</v>
      </c>
      <c r="J28" s="32">
        <f t="shared" si="62"/>
        <v>0.20000000298023224</v>
      </c>
      <c r="K28" s="31">
        <f>Recu3!K28</f>
        <v>2</v>
      </c>
      <c r="L28" s="32">
        <f t="shared" si="63"/>
        <v>1</v>
      </c>
      <c r="M28" s="31">
        <f>Recu3!M28</f>
        <v>1.7999999523162842</v>
      </c>
      <c r="N28" s="32">
        <f t="shared" si="64"/>
        <v>0.89999997615814209</v>
      </c>
      <c r="O28" s="31">
        <f>Recu3!O28</f>
        <v>1.2000000476837158</v>
      </c>
      <c r="P28" s="32">
        <f t="shared" si="65"/>
        <v>0.60000002384185791</v>
      </c>
      <c r="Q28" s="31">
        <f>Recu3!Q28</f>
        <v>1.6000000238418579</v>
      </c>
      <c r="R28" s="32">
        <f t="shared" si="66"/>
        <v>0.80000001192092896</v>
      </c>
      <c r="S28" s="31">
        <f>Recu3!S28</f>
        <v>0.20000000298023224</v>
      </c>
      <c r="T28" s="32">
        <f t="shared" si="67"/>
        <v>0.10000000149011612</v>
      </c>
      <c r="U28" s="31">
        <f>Recu3!U28</f>
        <v>0.40000000596046448</v>
      </c>
      <c r="V28" s="32">
        <f t="shared" si="68"/>
        <v>0.20000000298023224</v>
      </c>
      <c r="W28" s="31">
        <f>Recu3!W28</f>
        <v>0</v>
      </c>
      <c r="X28" s="32">
        <f t="shared" si="69"/>
        <v>0</v>
      </c>
      <c r="Y28" s="31">
        <f>Recu3!Y28</f>
        <v>1.7999999523162842</v>
      </c>
      <c r="Z28" s="32">
        <f t="shared" si="70"/>
        <v>0.89999997615814209</v>
      </c>
      <c r="AA28" s="31">
        <f>Recu3!AA28</f>
        <v>1.6000000238418579</v>
      </c>
      <c r="AB28" s="32">
        <f t="shared" si="71"/>
        <v>0.80000001192092896</v>
      </c>
      <c r="AC28" s="31">
        <f>Recu3!AC28</f>
        <v>1.6000000238418579</v>
      </c>
      <c r="AD28" s="32">
        <f t="shared" si="72"/>
        <v>0.80000001192092896</v>
      </c>
      <c r="AE28" s="31">
        <f>Recu3!AE28</f>
        <v>0.60000002384185791</v>
      </c>
      <c r="AF28" s="32">
        <f t="shared" si="73"/>
        <v>0.30000001192092896</v>
      </c>
      <c r="AG28" s="31">
        <f>Recu3!AG28</f>
        <v>0.80000001192092896</v>
      </c>
      <c r="AH28" s="32">
        <f t="shared" si="74"/>
        <v>0.40000000596046448</v>
      </c>
      <c r="AI28" s="31">
        <f>Recu3!AI28</f>
        <v>1.2000000476837158</v>
      </c>
      <c r="AJ28" s="32">
        <f t="shared" si="75"/>
        <v>0.60000002384185791</v>
      </c>
      <c r="AK28" s="31">
        <f>Recu3!AK28</f>
        <v>1.6000000238418579</v>
      </c>
      <c r="AL28" s="32">
        <f t="shared" si="76"/>
        <v>0.80000001192092896</v>
      </c>
      <c r="AM28" s="31">
        <f>Recu3!AM28</f>
        <v>1.2000000476837158</v>
      </c>
      <c r="AN28" s="32">
        <f t="shared" si="77"/>
        <v>0.60000002384185791</v>
      </c>
      <c r="AO28" s="31">
        <f>Recu3!AO28</f>
        <v>0.40000000596046448</v>
      </c>
      <c r="AP28" s="32">
        <f t="shared" si="78"/>
        <v>0.20000000298023224</v>
      </c>
      <c r="AQ28" s="31">
        <f>Recu3!AQ28</f>
        <v>0.40000000596046448</v>
      </c>
      <c r="AR28" s="32">
        <f t="shared" si="79"/>
        <v>0.20000000298023224</v>
      </c>
      <c r="AS28" s="31">
        <f>Recu3!AS28</f>
        <v>0.80000001192092896</v>
      </c>
      <c r="AT28" s="32">
        <f t="shared" si="80"/>
        <v>0.40000000596046448</v>
      </c>
      <c r="AU28" s="31">
        <f>Recu3!AU28</f>
        <v>1.2000000476837158</v>
      </c>
      <c r="AV28" s="32">
        <f t="shared" si="81"/>
        <v>0.60000002384185791</v>
      </c>
      <c r="AW28" s="31">
        <f>Recu3!AW28</f>
        <v>0.60000002384185791</v>
      </c>
      <c r="AX28" s="32">
        <f t="shared" si="82"/>
        <v>0.30000001192092896</v>
      </c>
      <c r="AY28" s="31">
        <f>Recu3!AY28</f>
        <v>1</v>
      </c>
      <c r="AZ28" s="32">
        <f t="shared" si="83"/>
        <v>0.5</v>
      </c>
      <c r="BA28" s="31">
        <f>Recu3!BA28</f>
        <v>0.80000001192092896</v>
      </c>
      <c r="BB28" s="32">
        <f t="shared" si="84"/>
        <v>0.40000000596046448</v>
      </c>
      <c r="BC28" s="31">
        <f>Recu3!BC28</f>
        <v>1.2000000476837158</v>
      </c>
      <c r="BD28" s="32">
        <f t="shared" si="85"/>
        <v>0.60000002384185791</v>
      </c>
      <c r="BE28" s="31">
        <f>Recu3!BE28</f>
        <v>0</v>
      </c>
      <c r="BF28" s="32">
        <f t="shared" si="86"/>
        <v>0</v>
      </c>
      <c r="BG28" s="31">
        <f>Recu3!BG28</f>
        <v>1.2000000476837158</v>
      </c>
      <c r="BH28" s="32">
        <f t="shared" si="87"/>
        <v>0.60000002384185791</v>
      </c>
      <c r="BI28" s="31">
        <f>Recu3!BI28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Recu3!B29</f>
        <v>2</v>
      </c>
      <c r="C29" s="31">
        <f>Recu3!C29</f>
        <v>2</v>
      </c>
      <c r="D29" s="32">
        <f t="shared" si="59"/>
        <v>1</v>
      </c>
      <c r="E29" s="31">
        <f>Recu3!E29</f>
        <v>2</v>
      </c>
      <c r="F29" s="32">
        <f t="shared" si="60"/>
        <v>1</v>
      </c>
      <c r="G29" s="31">
        <f>Recu3!G29</f>
        <v>2</v>
      </c>
      <c r="H29" s="32">
        <f t="shared" si="61"/>
        <v>1</v>
      </c>
      <c r="I29" s="31">
        <f>Recu3!I29</f>
        <v>1.7999999523162842</v>
      </c>
      <c r="J29" s="32">
        <f t="shared" si="62"/>
        <v>0.89999997615814209</v>
      </c>
      <c r="K29" s="31">
        <f>Recu3!K29</f>
        <v>0.80000001192092896</v>
      </c>
      <c r="L29" s="32">
        <f t="shared" si="63"/>
        <v>0.40000000596046448</v>
      </c>
      <c r="M29" s="31">
        <f>Recu3!M29</f>
        <v>1.6000000238418579</v>
      </c>
      <c r="N29" s="32">
        <f t="shared" si="64"/>
        <v>0.80000001192092896</v>
      </c>
      <c r="O29" s="31">
        <f>Recu3!O29</f>
        <v>2</v>
      </c>
      <c r="P29" s="32">
        <f t="shared" si="65"/>
        <v>1</v>
      </c>
      <c r="Q29" s="31">
        <f>Recu3!Q29</f>
        <v>0.40000000596046448</v>
      </c>
      <c r="R29" s="32">
        <f t="shared" si="66"/>
        <v>0.20000000298023224</v>
      </c>
      <c r="S29" s="31">
        <f>Recu3!S29</f>
        <v>0.20000000298023224</v>
      </c>
      <c r="T29" s="32">
        <f t="shared" si="67"/>
        <v>0.10000000149011612</v>
      </c>
      <c r="U29" s="31">
        <f>Recu3!U29</f>
        <v>1.3999999761581421</v>
      </c>
      <c r="V29" s="32">
        <f t="shared" si="68"/>
        <v>0.69999998807907104</v>
      </c>
      <c r="W29" s="31">
        <f>Recu3!W29</f>
        <v>0</v>
      </c>
      <c r="X29" s="32">
        <f t="shared" si="69"/>
        <v>0</v>
      </c>
      <c r="Y29" s="31">
        <f>Recu3!Y29</f>
        <v>0.60000002384185791</v>
      </c>
      <c r="Z29" s="32">
        <f t="shared" si="70"/>
        <v>0.30000001192092896</v>
      </c>
      <c r="AA29" s="31">
        <f>Recu3!AA29</f>
        <v>1.3999999761581421</v>
      </c>
      <c r="AB29" s="32">
        <f t="shared" si="71"/>
        <v>0.69999998807907104</v>
      </c>
      <c r="AC29" s="31">
        <f>Recu3!AC29</f>
        <v>0.20000000298023224</v>
      </c>
      <c r="AD29" s="32">
        <f t="shared" si="72"/>
        <v>0.10000000149011612</v>
      </c>
      <c r="AE29" s="31">
        <f>Recu3!AE29</f>
        <v>0.20000000298023224</v>
      </c>
      <c r="AF29" s="32">
        <f t="shared" si="73"/>
        <v>0.10000000149011612</v>
      </c>
      <c r="AG29" s="31">
        <f>Recu3!AG29</f>
        <v>0.60000002384185791</v>
      </c>
      <c r="AH29" s="32">
        <f t="shared" si="74"/>
        <v>0.30000001192092896</v>
      </c>
      <c r="AI29" s="31">
        <f>Recu3!AI29</f>
        <v>0.80000001192092896</v>
      </c>
      <c r="AJ29" s="32">
        <f t="shared" si="75"/>
        <v>0.40000000596046448</v>
      </c>
      <c r="AK29" s="31">
        <f>Recu3!AK29</f>
        <v>1.2000000476837158</v>
      </c>
      <c r="AL29" s="32">
        <f t="shared" si="76"/>
        <v>0.60000002384185791</v>
      </c>
      <c r="AM29" s="31">
        <f>Recu3!AM29</f>
        <v>0.60000002384185791</v>
      </c>
      <c r="AN29" s="32">
        <f t="shared" si="77"/>
        <v>0.30000001192092896</v>
      </c>
      <c r="AO29" s="31">
        <f>Recu3!AO29</f>
        <v>0.60000002384185791</v>
      </c>
      <c r="AP29" s="32">
        <f t="shared" si="78"/>
        <v>0.30000001192092896</v>
      </c>
      <c r="AQ29" s="31">
        <f>Recu3!AQ29</f>
        <v>1.6000000238418579</v>
      </c>
      <c r="AR29" s="32">
        <f t="shared" si="79"/>
        <v>0.80000001192092896</v>
      </c>
      <c r="AS29" s="31">
        <f>Recu3!AS29</f>
        <v>0.60000002384185791</v>
      </c>
      <c r="AT29" s="32">
        <f t="shared" si="80"/>
        <v>0.30000001192092896</v>
      </c>
      <c r="AU29" s="31">
        <f>Recu3!AU29</f>
        <v>0.80000001192092896</v>
      </c>
      <c r="AV29" s="32">
        <f t="shared" si="81"/>
        <v>0.40000000596046448</v>
      </c>
      <c r="AW29" s="31">
        <f>Recu3!AW29</f>
        <v>0.80000001192092896</v>
      </c>
      <c r="AX29" s="32">
        <f t="shared" si="82"/>
        <v>0.40000000596046448</v>
      </c>
      <c r="AY29" s="31">
        <f>Recu3!AY29</f>
        <v>1.7999999523162842</v>
      </c>
      <c r="AZ29" s="32">
        <f t="shared" si="83"/>
        <v>0.89999997615814209</v>
      </c>
      <c r="BA29" s="31">
        <f>Recu3!BA29</f>
        <v>0.80000001192092896</v>
      </c>
      <c r="BB29" s="32">
        <f t="shared" si="84"/>
        <v>0.40000000596046448</v>
      </c>
      <c r="BC29" s="31">
        <f>Recu3!BC29</f>
        <v>1.3999999761581421</v>
      </c>
      <c r="BD29" s="32">
        <f t="shared" si="85"/>
        <v>0.69999998807907104</v>
      </c>
      <c r="BE29" s="31">
        <f>Recu3!BE29</f>
        <v>1.3999999761581421</v>
      </c>
      <c r="BF29" s="32">
        <f t="shared" si="86"/>
        <v>0.69999998807907104</v>
      </c>
      <c r="BG29" s="31">
        <f>Recu3!BG29</f>
        <v>0.80000001192092896</v>
      </c>
      <c r="BH29" s="32">
        <f t="shared" si="87"/>
        <v>0.40000000596046448</v>
      </c>
      <c r="BI29" s="31">
        <f>Recu3!BI29</f>
        <v>2</v>
      </c>
      <c r="BJ29" s="32">
        <f t="shared" si="88"/>
        <v>1</v>
      </c>
    </row>
    <row r="30" spans="1:62" ht="70" x14ac:dyDescent="0.2">
      <c r="A30" s="2" t="s">
        <v>31</v>
      </c>
      <c r="B30" s="13">
        <f>Recu3!B30</f>
        <v>0</v>
      </c>
      <c r="C30" s="31">
        <f>Recu3!C30</f>
        <v>0</v>
      </c>
      <c r="D30" s="32">
        <f t="shared" si="59"/>
        <v>-1</v>
      </c>
      <c r="E30" s="31">
        <f>Recu3!E30</f>
        <v>0</v>
      </c>
      <c r="F30" s="32">
        <f t="shared" si="60"/>
        <v>-1</v>
      </c>
      <c r="G30" s="31">
        <f>Recu3!G30</f>
        <v>0</v>
      </c>
      <c r="H30" s="32">
        <f t="shared" si="61"/>
        <v>-1</v>
      </c>
      <c r="I30" s="31">
        <f>Recu3!I30</f>
        <v>0</v>
      </c>
      <c r="J30" s="32">
        <f t="shared" si="62"/>
        <v>-1</v>
      </c>
      <c r="K30" s="31">
        <f>Recu3!K30</f>
        <v>0</v>
      </c>
      <c r="L30" s="32">
        <f t="shared" si="63"/>
        <v>-1</v>
      </c>
      <c r="M30" s="31">
        <f>Recu3!M30</f>
        <v>0</v>
      </c>
      <c r="N30" s="32">
        <f t="shared" si="64"/>
        <v>-1</v>
      </c>
      <c r="O30" s="31">
        <f>Recu3!O30</f>
        <v>0</v>
      </c>
      <c r="P30" s="32">
        <f t="shared" si="65"/>
        <v>-1</v>
      </c>
      <c r="Q30" s="31">
        <f>Recu3!Q30</f>
        <v>0</v>
      </c>
      <c r="R30" s="32">
        <f t="shared" si="66"/>
        <v>-1</v>
      </c>
      <c r="S30" s="31">
        <f>Recu3!S30</f>
        <v>0</v>
      </c>
      <c r="T30" s="32">
        <f t="shared" si="67"/>
        <v>-1</v>
      </c>
      <c r="U30" s="31">
        <f>Recu3!U30</f>
        <v>0</v>
      </c>
      <c r="V30" s="32">
        <f t="shared" si="68"/>
        <v>-1</v>
      </c>
      <c r="W30" s="31">
        <f>Recu3!W30</f>
        <v>0</v>
      </c>
      <c r="X30" s="32">
        <f t="shared" si="69"/>
        <v>-1</v>
      </c>
      <c r="Y30" s="31">
        <f>Recu3!Y30</f>
        <v>0</v>
      </c>
      <c r="Z30" s="32">
        <f t="shared" si="70"/>
        <v>-1</v>
      </c>
      <c r="AA30" s="31">
        <f>Recu3!AA30</f>
        <v>0</v>
      </c>
      <c r="AB30" s="32">
        <f t="shared" si="71"/>
        <v>-1</v>
      </c>
      <c r="AC30" s="31">
        <f>Recu3!AC30</f>
        <v>0</v>
      </c>
      <c r="AD30" s="32">
        <f t="shared" si="72"/>
        <v>-1</v>
      </c>
      <c r="AE30" s="31">
        <f>Recu3!AE30</f>
        <v>0</v>
      </c>
      <c r="AF30" s="32">
        <f t="shared" si="73"/>
        <v>-1</v>
      </c>
      <c r="AG30" s="31">
        <f>Recu3!AG30</f>
        <v>0</v>
      </c>
      <c r="AH30" s="32">
        <f t="shared" si="74"/>
        <v>-1</v>
      </c>
      <c r="AI30" s="31">
        <f>Recu3!AI30</f>
        <v>0</v>
      </c>
      <c r="AJ30" s="32">
        <f t="shared" si="75"/>
        <v>-1</v>
      </c>
      <c r="AK30" s="31">
        <f>Recu3!AK30</f>
        <v>0</v>
      </c>
      <c r="AL30" s="32">
        <f t="shared" si="76"/>
        <v>-1</v>
      </c>
      <c r="AM30" s="31">
        <f>Recu3!AM30</f>
        <v>0</v>
      </c>
      <c r="AN30" s="32">
        <f t="shared" si="77"/>
        <v>-1</v>
      </c>
      <c r="AO30" s="31">
        <f>Recu3!AO30</f>
        <v>0</v>
      </c>
      <c r="AP30" s="32">
        <f t="shared" si="78"/>
        <v>-1</v>
      </c>
      <c r="AQ30" s="31">
        <f>Recu3!AQ30</f>
        <v>0</v>
      </c>
      <c r="AR30" s="32">
        <f t="shared" si="79"/>
        <v>-1</v>
      </c>
      <c r="AS30" s="31">
        <f>Recu3!AS30</f>
        <v>0</v>
      </c>
      <c r="AT30" s="32">
        <f t="shared" si="80"/>
        <v>-1</v>
      </c>
      <c r="AU30" s="31">
        <f>Recu3!AU30</f>
        <v>0</v>
      </c>
      <c r="AV30" s="32">
        <f t="shared" si="81"/>
        <v>-1</v>
      </c>
      <c r="AW30" s="31">
        <f>Recu3!AW30</f>
        <v>0</v>
      </c>
      <c r="AX30" s="32">
        <f t="shared" si="82"/>
        <v>-1</v>
      </c>
      <c r="AY30" s="31">
        <f>Recu3!AY30</f>
        <v>0</v>
      </c>
      <c r="AZ30" s="32">
        <f t="shared" si="83"/>
        <v>-1</v>
      </c>
      <c r="BA30" s="31">
        <f>Recu3!BA30</f>
        <v>0</v>
      </c>
      <c r="BB30" s="32">
        <f t="shared" si="84"/>
        <v>-1</v>
      </c>
      <c r="BC30" s="31">
        <f>Recu3!BC30</f>
        <v>0</v>
      </c>
      <c r="BD30" s="32">
        <f t="shared" si="85"/>
        <v>-1</v>
      </c>
      <c r="BE30" s="31">
        <f>Recu3!BE30</f>
        <v>0</v>
      </c>
      <c r="BF30" s="32">
        <f t="shared" si="86"/>
        <v>-1</v>
      </c>
      <c r="BG30" s="31">
        <f>Recu3!BG30</f>
        <v>0</v>
      </c>
      <c r="BH30" s="32">
        <f t="shared" si="87"/>
        <v>-1</v>
      </c>
      <c r="BI30" s="31">
        <f>Recu3!BI30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Recu3!B31</f>
        <v>2</v>
      </c>
      <c r="C31" s="31">
        <f>Recu3!C31</f>
        <v>1.3999999761581421</v>
      </c>
      <c r="D31" s="32">
        <f t="shared" si="59"/>
        <v>0.69999998807907104</v>
      </c>
      <c r="E31" s="31">
        <f>Recu3!E31</f>
        <v>1</v>
      </c>
      <c r="F31" s="32">
        <f t="shared" si="60"/>
        <v>0.5</v>
      </c>
      <c r="G31" s="31">
        <f>Recu3!G31</f>
        <v>0.40000000596046448</v>
      </c>
      <c r="H31" s="32">
        <f t="shared" si="61"/>
        <v>0.20000000298023224</v>
      </c>
      <c r="I31" s="31">
        <f>Recu3!I31</f>
        <v>1.2000000476837158</v>
      </c>
      <c r="J31" s="32">
        <f t="shared" si="62"/>
        <v>0.60000002384185791</v>
      </c>
      <c r="K31" s="31">
        <f>Recu3!K31</f>
        <v>1.6000000238418579</v>
      </c>
      <c r="L31" s="32">
        <f t="shared" si="63"/>
        <v>0.80000001192092896</v>
      </c>
      <c r="M31" s="31">
        <f>Recu3!M31</f>
        <v>1</v>
      </c>
      <c r="N31" s="32">
        <f t="shared" si="64"/>
        <v>0.5</v>
      </c>
      <c r="O31" s="31">
        <f>Recu3!O31</f>
        <v>1.7999999523162842</v>
      </c>
      <c r="P31" s="32">
        <f t="shared" si="65"/>
        <v>0.89999997615814209</v>
      </c>
      <c r="Q31" s="31">
        <f>Recu3!Q31</f>
        <v>0.60000002384185791</v>
      </c>
      <c r="R31" s="32">
        <f t="shared" si="66"/>
        <v>0.30000001192092896</v>
      </c>
      <c r="S31" s="31">
        <f>Recu3!S31</f>
        <v>1.3999999761581421</v>
      </c>
      <c r="T31" s="32">
        <f t="shared" si="67"/>
        <v>0.69999998807907104</v>
      </c>
      <c r="U31" s="31">
        <f>Recu3!U31</f>
        <v>1.7999999523162842</v>
      </c>
      <c r="V31" s="32">
        <f t="shared" si="68"/>
        <v>0.89999997615814209</v>
      </c>
      <c r="W31" s="31">
        <f>Recu3!W31</f>
        <v>0.60000002384185791</v>
      </c>
      <c r="X31" s="32">
        <f t="shared" si="69"/>
        <v>0.30000001192092896</v>
      </c>
      <c r="Y31" s="31">
        <f>Recu3!Y31</f>
        <v>0.80000001192092896</v>
      </c>
      <c r="Z31" s="32">
        <f t="shared" si="70"/>
        <v>0.40000000596046448</v>
      </c>
      <c r="AA31" s="31">
        <f>Recu3!AA31</f>
        <v>0</v>
      </c>
      <c r="AB31" s="32">
        <f t="shared" si="71"/>
        <v>0</v>
      </c>
      <c r="AC31" s="31">
        <f>Recu3!AC31</f>
        <v>0.60000002384185791</v>
      </c>
      <c r="AD31" s="32">
        <f t="shared" si="72"/>
        <v>0.30000001192092896</v>
      </c>
      <c r="AE31" s="31">
        <f>Recu3!AE31</f>
        <v>2</v>
      </c>
      <c r="AF31" s="32">
        <f t="shared" si="73"/>
        <v>1</v>
      </c>
      <c r="AG31" s="31">
        <f>Recu3!AG31</f>
        <v>1.6000000238418579</v>
      </c>
      <c r="AH31" s="32">
        <f t="shared" si="74"/>
        <v>0.80000001192092896</v>
      </c>
      <c r="AI31" s="31">
        <f>Recu3!AI31</f>
        <v>1.2000000476837158</v>
      </c>
      <c r="AJ31" s="32">
        <f t="shared" si="75"/>
        <v>0.60000002384185791</v>
      </c>
      <c r="AK31" s="31">
        <f>Recu3!AK31</f>
        <v>1.2000000476837158</v>
      </c>
      <c r="AL31" s="32">
        <f t="shared" si="76"/>
        <v>0.60000002384185791</v>
      </c>
      <c r="AM31" s="31">
        <f>Recu3!AM31</f>
        <v>0.40000000596046448</v>
      </c>
      <c r="AN31" s="32">
        <f t="shared" si="77"/>
        <v>0.20000000298023224</v>
      </c>
      <c r="AO31" s="31">
        <f>Recu3!AO31</f>
        <v>1</v>
      </c>
      <c r="AP31" s="32">
        <f t="shared" si="78"/>
        <v>0.5</v>
      </c>
      <c r="AQ31" s="31">
        <f>Recu3!AQ31</f>
        <v>1.6000000238418579</v>
      </c>
      <c r="AR31" s="32">
        <f t="shared" si="79"/>
        <v>0.80000001192092896</v>
      </c>
      <c r="AS31" s="31">
        <f>Recu3!AS31</f>
        <v>1.7999999523162842</v>
      </c>
      <c r="AT31" s="32">
        <f t="shared" si="80"/>
        <v>0.89999997615814209</v>
      </c>
      <c r="AU31" s="31">
        <f>Recu3!AU31</f>
        <v>0.20000000298023224</v>
      </c>
      <c r="AV31" s="32">
        <f t="shared" si="81"/>
        <v>0.10000000149011612</v>
      </c>
      <c r="AW31" s="31">
        <f>Recu3!AW31</f>
        <v>1</v>
      </c>
      <c r="AX31" s="32">
        <f t="shared" si="82"/>
        <v>0.5</v>
      </c>
      <c r="AY31" s="31">
        <f>Recu3!AY31</f>
        <v>0.80000001192092896</v>
      </c>
      <c r="AZ31" s="32">
        <f t="shared" si="83"/>
        <v>0.40000000596046448</v>
      </c>
      <c r="BA31" s="31">
        <f>Recu3!BA31</f>
        <v>0</v>
      </c>
      <c r="BB31" s="32">
        <f t="shared" si="84"/>
        <v>0</v>
      </c>
      <c r="BC31" s="31">
        <f>Recu3!BC31</f>
        <v>0.80000001192092896</v>
      </c>
      <c r="BD31" s="32">
        <f t="shared" si="85"/>
        <v>0.40000000596046448</v>
      </c>
      <c r="BE31" s="31">
        <f>Recu3!BE31</f>
        <v>1.3999999761581421</v>
      </c>
      <c r="BF31" s="32">
        <f t="shared" si="86"/>
        <v>0.69999998807907104</v>
      </c>
      <c r="BG31" s="31">
        <f>Recu3!BG31</f>
        <v>1</v>
      </c>
      <c r="BH31" s="32">
        <f t="shared" si="87"/>
        <v>0.5</v>
      </c>
      <c r="BI31" s="31">
        <f>Recu3!BI31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Recu3!B32</f>
        <v>0</v>
      </c>
      <c r="C32" s="31">
        <f>Recu3!C32</f>
        <v>0</v>
      </c>
      <c r="D32" s="32">
        <f t="shared" si="59"/>
        <v>-1</v>
      </c>
      <c r="E32" s="31">
        <f>Recu3!E32</f>
        <v>0</v>
      </c>
      <c r="F32" s="32">
        <f t="shared" si="60"/>
        <v>-1</v>
      </c>
      <c r="G32" s="31">
        <f>Recu3!G32</f>
        <v>0</v>
      </c>
      <c r="H32" s="32">
        <f t="shared" si="61"/>
        <v>-1</v>
      </c>
      <c r="I32" s="31">
        <f>Recu3!I32</f>
        <v>0</v>
      </c>
      <c r="J32" s="32">
        <f t="shared" si="62"/>
        <v>-1</v>
      </c>
      <c r="K32" s="31">
        <f>Recu3!K32</f>
        <v>0</v>
      </c>
      <c r="L32" s="32">
        <f t="shared" si="63"/>
        <v>-1</v>
      </c>
      <c r="M32" s="31">
        <f>Recu3!M32</f>
        <v>0</v>
      </c>
      <c r="N32" s="32">
        <f t="shared" si="64"/>
        <v>-1</v>
      </c>
      <c r="O32" s="31">
        <f>Recu3!O32</f>
        <v>0</v>
      </c>
      <c r="P32" s="32">
        <f t="shared" si="65"/>
        <v>-1</v>
      </c>
      <c r="Q32" s="31">
        <f>Recu3!Q32</f>
        <v>0</v>
      </c>
      <c r="R32" s="32">
        <f t="shared" si="66"/>
        <v>-1</v>
      </c>
      <c r="S32" s="31">
        <f>Recu3!S32</f>
        <v>0</v>
      </c>
      <c r="T32" s="32">
        <f t="shared" si="67"/>
        <v>-1</v>
      </c>
      <c r="U32" s="31">
        <f>Recu3!U32</f>
        <v>0</v>
      </c>
      <c r="V32" s="32">
        <f t="shared" si="68"/>
        <v>-1</v>
      </c>
      <c r="W32" s="31">
        <f>Recu3!W32</f>
        <v>0</v>
      </c>
      <c r="X32" s="32">
        <f t="shared" si="69"/>
        <v>-1</v>
      </c>
      <c r="Y32" s="31">
        <f>Recu3!Y32</f>
        <v>0</v>
      </c>
      <c r="Z32" s="32">
        <f t="shared" si="70"/>
        <v>-1</v>
      </c>
      <c r="AA32" s="31">
        <f>Recu3!AA32</f>
        <v>0</v>
      </c>
      <c r="AB32" s="32">
        <f t="shared" si="71"/>
        <v>-1</v>
      </c>
      <c r="AC32" s="31">
        <f>Recu3!AC32</f>
        <v>0</v>
      </c>
      <c r="AD32" s="32">
        <f t="shared" si="72"/>
        <v>-1</v>
      </c>
      <c r="AE32" s="31">
        <f>Recu3!AE32</f>
        <v>0</v>
      </c>
      <c r="AF32" s="32">
        <f t="shared" si="73"/>
        <v>-1</v>
      </c>
      <c r="AG32" s="31">
        <f>Recu3!AG32</f>
        <v>0</v>
      </c>
      <c r="AH32" s="32">
        <f t="shared" si="74"/>
        <v>-1</v>
      </c>
      <c r="AI32" s="31">
        <f>Recu3!AI32</f>
        <v>0</v>
      </c>
      <c r="AJ32" s="32">
        <f t="shared" si="75"/>
        <v>-1</v>
      </c>
      <c r="AK32" s="31">
        <f>Recu3!AK32</f>
        <v>0</v>
      </c>
      <c r="AL32" s="32">
        <f t="shared" si="76"/>
        <v>-1</v>
      </c>
      <c r="AM32" s="31">
        <f>Recu3!AM32</f>
        <v>0</v>
      </c>
      <c r="AN32" s="32">
        <f t="shared" si="77"/>
        <v>-1</v>
      </c>
      <c r="AO32" s="31">
        <f>Recu3!AO32</f>
        <v>0</v>
      </c>
      <c r="AP32" s="32">
        <f t="shared" si="78"/>
        <v>-1</v>
      </c>
      <c r="AQ32" s="31">
        <f>Recu3!AQ32</f>
        <v>0</v>
      </c>
      <c r="AR32" s="32">
        <f t="shared" si="79"/>
        <v>-1</v>
      </c>
      <c r="AS32" s="31">
        <f>Recu3!AS32</f>
        <v>0</v>
      </c>
      <c r="AT32" s="32">
        <f t="shared" si="80"/>
        <v>-1</v>
      </c>
      <c r="AU32" s="31">
        <f>Recu3!AU32</f>
        <v>0</v>
      </c>
      <c r="AV32" s="32">
        <f t="shared" si="81"/>
        <v>-1</v>
      </c>
      <c r="AW32" s="31">
        <f>Recu3!AW32</f>
        <v>0</v>
      </c>
      <c r="AX32" s="32">
        <f t="shared" si="82"/>
        <v>-1</v>
      </c>
      <c r="AY32" s="31">
        <f>Recu3!AY32</f>
        <v>0</v>
      </c>
      <c r="AZ32" s="32">
        <f t="shared" si="83"/>
        <v>-1</v>
      </c>
      <c r="BA32" s="31">
        <f>Recu3!BA32</f>
        <v>0</v>
      </c>
      <c r="BB32" s="32">
        <f t="shared" si="84"/>
        <v>-1</v>
      </c>
      <c r="BC32" s="31">
        <f>Recu3!BC32</f>
        <v>0</v>
      </c>
      <c r="BD32" s="32">
        <f t="shared" si="85"/>
        <v>-1</v>
      </c>
      <c r="BE32" s="31">
        <f>Recu3!BE32</f>
        <v>0</v>
      </c>
      <c r="BF32" s="32">
        <f t="shared" si="86"/>
        <v>-1</v>
      </c>
      <c r="BG32" s="31">
        <f>Recu3!BG32</f>
        <v>0</v>
      </c>
      <c r="BH32" s="32">
        <f t="shared" si="87"/>
        <v>-1</v>
      </c>
      <c r="BI32" s="31">
        <f>Recu3!BI32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Recu3!B33</f>
        <v>0</v>
      </c>
      <c r="C33" s="31">
        <f>Recu3!C33</f>
        <v>0</v>
      </c>
      <c r="D33" s="32">
        <f t="shared" si="59"/>
        <v>-1</v>
      </c>
      <c r="E33" s="31">
        <f>Recu3!E33</f>
        <v>0</v>
      </c>
      <c r="F33" s="32">
        <f t="shared" si="60"/>
        <v>-1</v>
      </c>
      <c r="G33" s="31">
        <f>Recu3!G33</f>
        <v>0</v>
      </c>
      <c r="H33" s="32">
        <f t="shared" si="61"/>
        <v>-1</v>
      </c>
      <c r="I33" s="31">
        <f>Recu3!I33</f>
        <v>0</v>
      </c>
      <c r="J33" s="32">
        <f t="shared" si="62"/>
        <v>-1</v>
      </c>
      <c r="K33" s="31">
        <f>Recu3!K33</f>
        <v>0</v>
      </c>
      <c r="L33" s="32">
        <f t="shared" si="63"/>
        <v>-1</v>
      </c>
      <c r="M33" s="31">
        <f>Recu3!M33</f>
        <v>0</v>
      </c>
      <c r="N33" s="32">
        <f t="shared" si="64"/>
        <v>-1</v>
      </c>
      <c r="O33" s="31">
        <f>Recu3!O33</f>
        <v>0</v>
      </c>
      <c r="P33" s="32">
        <f t="shared" si="65"/>
        <v>-1</v>
      </c>
      <c r="Q33" s="31">
        <f>Recu3!Q33</f>
        <v>0</v>
      </c>
      <c r="R33" s="32">
        <f t="shared" si="66"/>
        <v>-1</v>
      </c>
      <c r="S33" s="31">
        <f>Recu3!S33</f>
        <v>0</v>
      </c>
      <c r="T33" s="32">
        <f t="shared" si="67"/>
        <v>-1</v>
      </c>
      <c r="U33" s="31">
        <f>Recu3!U33</f>
        <v>0</v>
      </c>
      <c r="V33" s="32">
        <f t="shared" si="68"/>
        <v>-1</v>
      </c>
      <c r="W33" s="31">
        <f>Recu3!W33</f>
        <v>0</v>
      </c>
      <c r="X33" s="32">
        <f t="shared" si="69"/>
        <v>-1</v>
      </c>
      <c r="Y33" s="31">
        <f>Recu3!Y33</f>
        <v>0</v>
      </c>
      <c r="Z33" s="32">
        <f t="shared" si="70"/>
        <v>-1</v>
      </c>
      <c r="AA33" s="31">
        <f>Recu3!AA33</f>
        <v>0</v>
      </c>
      <c r="AB33" s="32">
        <f t="shared" si="71"/>
        <v>-1</v>
      </c>
      <c r="AC33" s="31">
        <f>Recu3!AC33</f>
        <v>0</v>
      </c>
      <c r="AD33" s="32">
        <f t="shared" si="72"/>
        <v>-1</v>
      </c>
      <c r="AE33" s="31">
        <f>Recu3!AE33</f>
        <v>0</v>
      </c>
      <c r="AF33" s="32">
        <f t="shared" si="73"/>
        <v>-1</v>
      </c>
      <c r="AG33" s="31">
        <f>Recu3!AG33</f>
        <v>0</v>
      </c>
      <c r="AH33" s="32">
        <f t="shared" si="74"/>
        <v>-1</v>
      </c>
      <c r="AI33" s="31">
        <f>Recu3!AI33</f>
        <v>0</v>
      </c>
      <c r="AJ33" s="32">
        <f t="shared" si="75"/>
        <v>-1</v>
      </c>
      <c r="AK33" s="31">
        <f>Recu3!AK33</f>
        <v>0</v>
      </c>
      <c r="AL33" s="32">
        <f t="shared" si="76"/>
        <v>-1</v>
      </c>
      <c r="AM33" s="31">
        <f>Recu3!AM33</f>
        <v>0</v>
      </c>
      <c r="AN33" s="32">
        <f t="shared" si="77"/>
        <v>-1</v>
      </c>
      <c r="AO33" s="31">
        <f>Recu3!AO33</f>
        <v>0</v>
      </c>
      <c r="AP33" s="32">
        <f t="shared" si="78"/>
        <v>-1</v>
      </c>
      <c r="AQ33" s="31">
        <f>Recu3!AQ33</f>
        <v>0</v>
      </c>
      <c r="AR33" s="32">
        <f t="shared" si="79"/>
        <v>-1</v>
      </c>
      <c r="AS33" s="31">
        <f>Recu3!AS33</f>
        <v>0</v>
      </c>
      <c r="AT33" s="32">
        <f t="shared" si="80"/>
        <v>-1</v>
      </c>
      <c r="AU33" s="31">
        <f>Recu3!AU33</f>
        <v>0</v>
      </c>
      <c r="AV33" s="32">
        <f t="shared" si="81"/>
        <v>-1</v>
      </c>
      <c r="AW33" s="31">
        <f>Recu3!AW33</f>
        <v>0</v>
      </c>
      <c r="AX33" s="32">
        <f t="shared" si="82"/>
        <v>-1</v>
      </c>
      <c r="AY33" s="31">
        <f>Recu3!AY33</f>
        <v>0</v>
      </c>
      <c r="AZ33" s="32">
        <f t="shared" si="83"/>
        <v>-1</v>
      </c>
      <c r="BA33" s="31">
        <f>Recu3!BA33</f>
        <v>0</v>
      </c>
      <c r="BB33" s="32">
        <f t="shared" si="84"/>
        <v>-1</v>
      </c>
      <c r="BC33" s="31">
        <f>Recu3!BC33</f>
        <v>0</v>
      </c>
      <c r="BD33" s="32">
        <f t="shared" si="85"/>
        <v>-1</v>
      </c>
      <c r="BE33" s="31">
        <f>Recu3!BE33</f>
        <v>0</v>
      </c>
      <c r="BF33" s="32">
        <f t="shared" si="86"/>
        <v>-1</v>
      </c>
      <c r="BG33" s="31">
        <f>Recu3!BG33</f>
        <v>0</v>
      </c>
      <c r="BH33" s="32">
        <f t="shared" si="87"/>
        <v>-1</v>
      </c>
      <c r="BI33" s="31">
        <f>Recu3!BI33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Recu3!B34</f>
        <v>0</v>
      </c>
      <c r="C34" s="31">
        <f>Recu3!C34</f>
        <v>0</v>
      </c>
      <c r="D34" s="32">
        <f t="shared" si="59"/>
        <v>-1</v>
      </c>
      <c r="E34" s="31">
        <f>Recu3!E34</f>
        <v>0</v>
      </c>
      <c r="F34" s="32">
        <f t="shared" si="60"/>
        <v>-1</v>
      </c>
      <c r="G34" s="31">
        <f>Recu3!G34</f>
        <v>0</v>
      </c>
      <c r="H34" s="32">
        <f t="shared" si="61"/>
        <v>-1</v>
      </c>
      <c r="I34" s="31">
        <f>Recu3!I34</f>
        <v>0</v>
      </c>
      <c r="J34" s="32">
        <f t="shared" si="62"/>
        <v>-1</v>
      </c>
      <c r="K34" s="31">
        <f>Recu3!K34</f>
        <v>0</v>
      </c>
      <c r="L34" s="32">
        <f t="shared" si="63"/>
        <v>-1</v>
      </c>
      <c r="M34" s="31">
        <f>Recu3!M34</f>
        <v>0</v>
      </c>
      <c r="N34" s="32">
        <f t="shared" si="64"/>
        <v>-1</v>
      </c>
      <c r="O34" s="31">
        <f>Recu3!O34</f>
        <v>0</v>
      </c>
      <c r="P34" s="32">
        <f t="shared" si="65"/>
        <v>-1</v>
      </c>
      <c r="Q34" s="31">
        <f>Recu3!Q34</f>
        <v>0</v>
      </c>
      <c r="R34" s="32">
        <f t="shared" si="66"/>
        <v>-1</v>
      </c>
      <c r="S34" s="31">
        <f>Recu3!S34</f>
        <v>0</v>
      </c>
      <c r="T34" s="32">
        <f t="shared" si="67"/>
        <v>-1</v>
      </c>
      <c r="U34" s="31">
        <f>Recu3!U34</f>
        <v>0</v>
      </c>
      <c r="V34" s="32">
        <f t="shared" si="68"/>
        <v>-1</v>
      </c>
      <c r="W34" s="31">
        <f>Recu3!W34</f>
        <v>0</v>
      </c>
      <c r="X34" s="32">
        <f t="shared" si="69"/>
        <v>-1</v>
      </c>
      <c r="Y34" s="31">
        <f>Recu3!Y34</f>
        <v>0</v>
      </c>
      <c r="Z34" s="32">
        <f t="shared" si="70"/>
        <v>-1</v>
      </c>
      <c r="AA34" s="31">
        <f>Recu3!AA34</f>
        <v>0</v>
      </c>
      <c r="AB34" s="32">
        <f t="shared" si="71"/>
        <v>-1</v>
      </c>
      <c r="AC34" s="31">
        <f>Recu3!AC34</f>
        <v>0</v>
      </c>
      <c r="AD34" s="32">
        <f t="shared" si="72"/>
        <v>-1</v>
      </c>
      <c r="AE34" s="31">
        <f>Recu3!AE34</f>
        <v>0</v>
      </c>
      <c r="AF34" s="32">
        <f t="shared" si="73"/>
        <v>-1</v>
      </c>
      <c r="AG34" s="31">
        <f>Recu3!AG34</f>
        <v>0</v>
      </c>
      <c r="AH34" s="32">
        <f t="shared" si="74"/>
        <v>-1</v>
      </c>
      <c r="AI34" s="31">
        <f>Recu3!AI34</f>
        <v>0</v>
      </c>
      <c r="AJ34" s="32">
        <f t="shared" si="75"/>
        <v>-1</v>
      </c>
      <c r="AK34" s="31">
        <f>Recu3!AK34</f>
        <v>0</v>
      </c>
      <c r="AL34" s="32">
        <f t="shared" si="76"/>
        <v>-1</v>
      </c>
      <c r="AM34" s="31">
        <f>Recu3!AM34</f>
        <v>0</v>
      </c>
      <c r="AN34" s="32">
        <f t="shared" si="77"/>
        <v>-1</v>
      </c>
      <c r="AO34" s="31">
        <f>Recu3!AO34</f>
        <v>0</v>
      </c>
      <c r="AP34" s="32">
        <f t="shared" si="78"/>
        <v>-1</v>
      </c>
      <c r="AQ34" s="31">
        <f>Recu3!AQ34</f>
        <v>0</v>
      </c>
      <c r="AR34" s="32">
        <f t="shared" si="79"/>
        <v>-1</v>
      </c>
      <c r="AS34" s="31">
        <f>Recu3!AS34</f>
        <v>0</v>
      </c>
      <c r="AT34" s="32">
        <f t="shared" si="80"/>
        <v>-1</v>
      </c>
      <c r="AU34" s="31">
        <f>Recu3!AU34</f>
        <v>0</v>
      </c>
      <c r="AV34" s="32">
        <f t="shared" si="81"/>
        <v>-1</v>
      </c>
      <c r="AW34" s="31">
        <f>Recu3!AW34</f>
        <v>0</v>
      </c>
      <c r="AX34" s="32">
        <f t="shared" si="82"/>
        <v>-1</v>
      </c>
      <c r="AY34" s="31">
        <f>Recu3!AY34</f>
        <v>0</v>
      </c>
      <c r="AZ34" s="32">
        <f t="shared" si="83"/>
        <v>-1</v>
      </c>
      <c r="BA34" s="31">
        <f>Recu3!BA34</f>
        <v>0</v>
      </c>
      <c r="BB34" s="32">
        <f t="shared" si="84"/>
        <v>-1</v>
      </c>
      <c r="BC34" s="31">
        <f>Recu3!BC34</f>
        <v>0</v>
      </c>
      <c r="BD34" s="32">
        <f t="shared" si="85"/>
        <v>-1</v>
      </c>
      <c r="BE34" s="31">
        <f>Recu3!BE34</f>
        <v>0</v>
      </c>
      <c r="BF34" s="32">
        <f t="shared" si="86"/>
        <v>-1</v>
      </c>
      <c r="BG34" s="31">
        <f>Recu3!BG34</f>
        <v>0</v>
      </c>
      <c r="BH34" s="32">
        <f t="shared" si="87"/>
        <v>-1</v>
      </c>
      <c r="BI34" s="31">
        <f>Recu3!BI34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Recu3!B35</f>
        <v>0</v>
      </c>
      <c r="C35" s="31">
        <f>Recu3!C35</f>
        <v>0</v>
      </c>
      <c r="D35" s="32">
        <f t="shared" si="59"/>
        <v>-1</v>
      </c>
      <c r="E35" s="31">
        <f>Recu3!E35</f>
        <v>0</v>
      </c>
      <c r="F35" s="32">
        <f t="shared" si="60"/>
        <v>-1</v>
      </c>
      <c r="G35" s="31">
        <f>Recu3!G35</f>
        <v>0</v>
      </c>
      <c r="H35" s="32">
        <f t="shared" si="61"/>
        <v>-1</v>
      </c>
      <c r="I35" s="31">
        <f>Recu3!I35</f>
        <v>0</v>
      </c>
      <c r="J35" s="32">
        <f t="shared" si="62"/>
        <v>-1</v>
      </c>
      <c r="K35" s="31">
        <f>Recu3!K35</f>
        <v>0</v>
      </c>
      <c r="L35" s="32">
        <f t="shared" si="63"/>
        <v>-1</v>
      </c>
      <c r="M35" s="31">
        <f>Recu3!M35</f>
        <v>0</v>
      </c>
      <c r="N35" s="32">
        <f t="shared" si="64"/>
        <v>-1</v>
      </c>
      <c r="O35" s="31">
        <f>Recu3!O35</f>
        <v>0</v>
      </c>
      <c r="P35" s="32">
        <f t="shared" si="65"/>
        <v>-1</v>
      </c>
      <c r="Q35" s="31">
        <f>Recu3!Q35</f>
        <v>0</v>
      </c>
      <c r="R35" s="32">
        <f t="shared" si="66"/>
        <v>-1</v>
      </c>
      <c r="S35" s="31">
        <f>Recu3!S35</f>
        <v>0</v>
      </c>
      <c r="T35" s="32">
        <f t="shared" si="67"/>
        <v>-1</v>
      </c>
      <c r="U35" s="31">
        <f>Recu3!U35</f>
        <v>0</v>
      </c>
      <c r="V35" s="32">
        <f t="shared" si="68"/>
        <v>-1</v>
      </c>
      <c r="W35" s="31">
        <f>Recu3!W35</f>
        <v>0</v>
      </c>
      <c r="X35" s="32">
        <f t="shared" si="69"/>
        <v>-1</v>
      </c>
      <c r="Y35" s="31">
        <f>Recu3!Y35</f>
        <v>0</v>
      </c>
      <c r="Z35" s="32">
        <f t="shared" si="70"/>
        <v>-1</v>
      </c>
      <c r="AA35" s="31">
        <f>Recu3!AA35</f>
        <v>0</v>
      </c>
      <c r="AB35" s="32">
        <f t="shared" si="71"/>
        <v>-1</v>
      </c>
      <c r="AC35" s="31">
        <f>Recu3!AC35</f>
        <v>0</v>
      </c>
      <c r="AD35" s="32">
        <f t="shared" si="72"/>
        <v>-1</v>
      </c>
      <c r="AE35" s="31">
        <f>Recu3!AE35</f>
        <v>0</v>
      </c>
      <c r="AF35" s="32">
        <f t="shared" si="73"/>
        <v>-1</v>
      </c>
      <c r="AG35" s="31">
        <f>Recu3!AG35</f>
        <v>0</v>
      </c>
      <c r="AH35" s="32">
        <f t="shared" si="74"/>
        <v>-1</v>
      </c>
      <c r="AI35" s="31">
        <f>Recu3!AI35</f>
        <v>0</v>
      </c>
      <c r="AJ35" s="32">
        <f t="shared" si="75"/>
        <v>-1</v>
      </c>
      <c r="AK35" s="31">
        <f>Recu3!AK35</f>
        <v>0</v>
      </c>
      <c r="AL35" s="32">
        <f t="shared" si="76"/>
        <v>-1</v>
      </c>
      <c r="AM35" s="31">
        <f>Recu3!AM35</f>
        <v>0</v>
      </c>
      <c r="AN35" s="32">
        <f t="shared" si="77"/>
        <v>-1</v>
      </c>
      <c r="AO35" s="31">
        <f>Recu3!AO35</f>
        <v>0</v>
      </c>
      <c r="AP35" s="32">
        <f t="shared" si="78"/>
        <v>-1</v>
      </c>
      <c r="AQ35" s="31">
        <f>Recu3!AQ35</f>
        <v>0</v>
      </c>
      <c r="AR35" s="32">
        <f t="shared" si="79"/>
        <v>-1</v>
      </c>
      <c r="AS35" s="31">
        <f>Recu3!AS35</f>
        <v>0</v>
      </c>
      <c r="AT35" s="32">
        <f t="shared" si="80"/>
        <v>-1</v>
      </c>
      <c r="AU35" s="31">
        <f>Recu3!AU35</f>
        <v>0</v>
      </c>
      <c r="AV35" s="32">
        <f t="shared" si="81"/>
        <v>-1</v>
      </c>
      <c r="AW35" s="31">
        <f>Recu3!AW35</f>
        <v>0</v>
      </c>
      <c r="AX35" s="32">
        <f t="shared" si="82"/>
        <v>-1</v>
      </c>
      <c r="AY35" s="31">
        <f>Recu3!AY35</f>
        <v>0</v>
      </c>
      <c r="AZ35" s="32">
        <f t="shared" si="83"/>
        <v>-1</v>
      </c>
      <c r="BA35" s="31">
        <f>Recu3!BA35</f>
        <v>0</v>
      </c>
      <c r="BB35" s="32">
        <f t="shared" si="84"/>
        <v>-1</v>
      </c>
      <c r="BC35" s="31">
        <f>Recu3!BC35</f>
        <v>0</v>
      </c>
      <c r="BD35" s="32">
        <f t="shared" si="85"/>
        <v>-1</v>
      </c>
      <c r="BE35" s="31">
        <f>Recu3!BE35</f>
        <v>0</v>
      </c>
      <c r="BF35" s="32">
        <f t="shared" si="86"/>
        <v>-1</v>
      </c>
      <c r="BG35" s="31">
        <f>Recu3!BG35</f>
        <v>0</v>
      </c>
      <c r="BH35" s="32">
        <f t="shared" si="87"/>
        <v>-1</v>
      </c>
      <c r="BI35" s="31">
        <f>Recu3!BI35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Recu3!B36</f>
        <v>0</v>
      </c>
      <c r="C36" s="31">
        <f>Recu3!C36</f>
        <v>0</v>
      </c>
      <c r="D36" s="32">
        <f t="shared" si="59"/>
        <v>-1</v>
      </c>
      <c r="E36" s="31">
        <f>Recu3!E36</f>
        <v>0</v>
      </c>
      <c r="F36" s="32">
        <f t="shared" si="60"/>
        <v>-1</v>
      </c>
      <c r="G36" s="31">
        <f>Recu3!G36</f>
        <v>0</v>
      </c>
      <c r="H36" s="32">
        <f t="shared" si="61"/>
        <v>-1</v>
      </c>
      <c r="I36" s="31">
        <f>Recu3!I36</f>
        <v>0</v>
      </c>
      <c r="J36" s="32">
        <f t="shared" si="62"/>
        <v>-1</v>
      </c>
      <c r="K36" s="31">
        <f>Recu3!K36</f>
        <v>0</v>
      </c>
      <c r="L36" s="32">
        <f t="shared" si="63"/>
        <v>-1</v>
      </c>
      <c r="M36" s="31">
        <f>Recu3!M36</f>
        <v>0</v>
      </c>
      <c r="N36" s="32">
        <f t="shared" si="64"/>
        <v>-1</v>
      </c>
      <c r="O36" s="31">
        <f>Recu3!O36</f>
        <v>0</v>
      </c>
      <c r="P36" s="32">
        <f t="shared" si="65"/>
        <v>-1</v>
      </c>
      <c r="Q36" s="31">
        <f>Recu3!Q36</f>
        <v>0</v>
      </c>
      <c r="R36" s="32">
        <f t="shared" si="66"/>
        <v>-1</v>
      </c>
      <c r="S36" s="31">
        <f>Recu3!S36</f>
        <v>0</v>
      </c>
      <c r="T36" s="32">
        <f t="shared" si="67"/>
        <v>-1</v>
      </c>
      <c r="U36" s="31">
        <f>Recu3!U36</f>
        <v>0</v>
      </c>
      <c r="V36" s="32">
        <f t="shared" si="68"/>
        <v>-1</v>
      </c>
      <c r="W36" s="31">
        <f>Recu3!W36</f>
        <v>0</v>
      </c>
      <c r="X36" s="32">
        <f t="shared" si="69"/>
        <v>-1</v>
      </c>
      <c r="Y36" s="31">
        <f>Recu3!Y36</f>
        <v>0</v>
      </c>
      <c r="Z36" s="32">
        <f t="shared" si="70"/>
        <v>-1</v>
      </c>
      <c r="AA36" s="31">
        <f>Recu3!AA36</f>
        <v>0</v>
      </c>
      <c r="AB36" s="32">
        <f t="shared" si="71"/>
        <v>-1</v>
      </c>
      <c r="AC36" s="31">
        <f>Recu3!AC36</f>
        <v>0</v>
      </c>
      <c r="AD36" s="32">
        <f t="shared" si="72"/>
        <v>-1</v>
      </c>
      <c r="AE36" s="31">
        <f>Recu3!AE36</f>
        <v>0</v>
      </c>
      <c r="AF36" s="32">
        <f t="shared" si="73"/>
        <v>-1</v>
      </c>
      <c r="AG36" s="31">
        <f>Recu3!AG36</f>
        <v>0</v>
      </c>
      <c r="AH36" s="32">
        <f t="shared" si="74"/>
        <v>-1</v>
      </c>
      <c r="AI36" s="31">
        <f>Recu3!AI36</f>
        <v>0</v>
      </c>
      <c r="AJ36" s="32">
        <f t="shared" si="75"/>
        <v>-1</v>
      </c>
      <c r="AK36" s="31">
        <f>Recu3!AK36</f>
        <v>0</v>
      </c>
      <c r="AL36" s="32">
        <f t="shared" si="76"/>
        <v>-1</v>
      </c>
      <c r="AM36" s="31">
        <f>Recu3!AM36</f>
        <v>0</v>
      </c>
      <c r="AN36" s="32">
        <f t="shared" si="77"/>
        <v>-1</v>
      </c>
      <c r="AO36" s="31">
        <f>Recu3!AO36</f>
        <v>0</v>
      </c>
      <c r="AP36" s="32">
        <f t="shared" si="78"/>
        <v>-1</v>
      </c>
      <c r="AQ36" s="31">
        <f>Recu3!AQ36</f>
        <v>0</v>
      </c>
      <c r="AR36" s="32">
        <f t="shared" si="79"/>
        <v>-1</v>
      </c>
      <c r="AS36" s="31">
        <f>Recu3!AS36</f>
        <v>0</v>
      </c>
      <c r="AT36" s="32">
        <f t="shared" si="80"/>
        <v>-1</v>
      </c>
      <c r="AU36" s="31">
        <f>Recu3!AU36</f>
        <v>0</v>
      </c>
      <c r="AV36" s="32">
        <f t="shared" si="81"/>
        <v>-1</v>
      </c>
      <c r="AW36" s="31">
        <f>Recu3!AW36</f>
        <v>0</v>
      </c>
      <c r="AX36" s="32">
        <f t="shared" si="82"/>
        <v>-1</v>
      </c>
      <c r="AY36" s="31">
        <f>Recu3!AY36</f>
        <v>0</v>
      </c>
      <c r="AZ36" s="32">
        <f t="shared" si="83"/>
        <v>-1</v>
      </c>
      <c r="BA36" s="31">
        <f>Recu3!BA36</f>
        <v>0</v>
      </c>
      <c r="BB36" s="32">
        <f t="shared" si="84"/>
        <v>-1</v>
      </c>
      <c r="BC36" s="31">
        <f>Recu3!BC36</f>
        <v>0</v>
      </c>
      <c r="BD36" s="32">
        <f t="shared" si="85"/>
        <v>-1</v>
      </c>
      <c r="BE36" s="31">
        <f>Recu3!BE36</f>
        <v>0</v>
      </c>
      <c r="BF36" s="32">
        <f t="shared" si="86"/>
        <v>-1</v>
      </c>
      <c r="BG36" s="31">
        <f>Recu3!BG36</f>
        <v>0</v>
      </c>
      <c r="BH36" s="32">
        <f t="shared" si="87"/>
        <v>-1</v>
      </c>
      <c r="BI36" s="31">
        <f>Recu3!BI36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Recu3!B37</f>
        <v>0</v>
      </c>
      <c r="C37" s="31">
        <f>Recu3!C37</f>
        <v>0</v>
      </c>
      <c r="D37" s="32">
        <f t="shared" si="59"/>
        <v>-1</v>
      </c>
      <c r="E37" s="31">
        <f>Recu3!E37</f>
        <v>0</v>
      </c>
      <c r="F37" s="32">
        <f t="shared" si="60"/>
        <v>-1</v>
      </c>
      <c r="G37" s="31">
        <f>Recu3!G37</f>
        <v>0</v>
      </c>
      <c r="H37" s="32">
        <f t="shared" si="61"/>
        <v>-1</v>
      </c>
      <c r="I37" s="31">
        <f>Recu3!I37</f>
        <v>0</v>
      </c>
      <c r="J37" s="32">
        <f t="shared" si="62"/>
        <v>-1</v>
      </c>
      <c r="K37" s="31">
        <f>Recu3!K37</f>
        <v>0</v>
      </c>
      <c r="L37" s="32">
        <f t="shared" si="63"/>
        <v>-1</v>
      </c>
      <c r="M37" s="31">
        <f>Recu3!M37</f>
        <v>0</v>
      </c>
      <c r="N37" s="32">
        <f t="shared" si="64"/>
        <v>-1</v>
      </c>
      <c r="O37" s="31">
        <f>Recu3!O37</f>
        <v>0</v>
      </c>
      <c r="P37" s="32">
        <f t="shared" si="65"/>
        <v>-1</v>
      </c>
      <c r="Q37" s="31">
        <f>Recu3!Q37</f>
        <v>0</v>
      </c>
      <c r="R37" s="32">
        <f t="shared" si="66"/>
        <v>-1</v>
      </c>
      <c r="S37" s="31">
        <f>Recu3!S37</f>
        <v>0</v>
      </c>
      <c r="T37" s="32">
        <f t="shared" si="67"/>
        <v>-1</v>
      </c>
      <c r="U37" s="31">
        <f>Recu3!U37</f>
        <v>0</v>
      </c>
      <c r="V37" s="32">
        <f t="shared" si="68"/>
        <v>-1</v>
      </c>
      <c r="W37" s="31">
        <f>Recu3!W37</f>
        <v>0</v>
      </c>
      <c r="X37" s="32">
        <f t="shared" si="69"/>
        <v>-1</v>
      </c>
      <c r="Y37" s="31">
        <f>Recu3!Y37</f>
        <v>0</v>
      </c>
      <c r="Z37" s="32">
        <f t="shared" si="70"/>
        <v>-1</v>
      </c>
      <c r="AA37" s="31">
        <f>Recu3!AA37</f>
        <v>0</v>
      </c>
      <c r="AB37" s="32">
        <f t="shared" si="71"/>
        <v>-1</v>
      </c>
      <c r="AC37" s="31">
        <f>Recu3!AC37</f>
        <v>0</v>
      </c>
      <c r="AD37" s="32">
        <f t="shared" si="72"/>
        <v>-1</v>
      </c>
      <c r="AE37" s="31">
        <f>Recu3!AE37</f>
        <v>0</v>
      </c>
      <c r="AF37" s="32">
        <f t="shared" si="73"/>
        <v>-1</v>
      </c>
      <c r="AG37" s="31">
        <f>Recu3!AG37</f>
        <v>0</v>
      </c>
      <c r="AH37" s="32">
        <f t="shared" si="74"/>
        <v>-1</v>
      </c>
      <c r="AI37" s="31">
        <f>Recu3!AI37</f>
        <v>0</v>
      </c>
      <c r="AJ37" s="32">
        <f t="shared" si="75"/>
        <v>-1</v>
      </c>
      <c r="AK37" s="31">
        <f>Recu3!AK37</f>
        <v>0</v>
      </c>
      <c r="AL37" s="32">
        <f t="shared" si="76"/>
        <v>-1</v>
      </c>
      <c r="AM37" s="31">
        <f>Recu3!AM37</f>
        <v>0</v>
      </c>
      <c r="AN37" s="32">
        <f t="shared" si="77"/>
        <v>-1</v>
      </c>
      <c r="AO37" s="31">
        <f>Recu3!AO37</f>
        <v>0</v>
      </c>
      <c r="AP37" s="32">
        <f t="shared" si="78"/>
        <v>-1</v>
      </c>
      <c r="AQ37" s="31">
        <f>Recu3!AQ37</f>
        <v>0</v>
      </c>
      <c r="AR37" s="32">
        <f t="shared" si="79"/>
        <v>-1</v>
      </c>
      <c r="AS37" s="31">
        <f>Recu3!AS37</f>
        <v>0</v>
      </c>
      <c r="AT37" s="32">
        <f t="shared" si="80"/>
        <v>-1</v>
      </c>
      <c r="AU37" s="31">
        <f>Recu3!AU37</f>
        <v>0</v>
      </c>
      <c r="AV37" s="32">
        <f t="shared" si="81"/>
        <v>-1</v>
      </c>
      <c r="AW37" s="31">
        <f>Recu3!AW37</f>
        <v>0</v>
      </c>
      <c r="AX37" s="32">
        <f t="shared" si="82"/>
        <v>-1</v>
      </c>
      <c r="AY37" s="31">
        <f>Recu3!AY37</f>
        <v>0</v>
      </c>
      <c r="AZ37" s="32">
        <f t="shared" si="83"/>
        <v>-1</v>
      </c>
      <c r="BA37" s="31">
        <f>Recu3!BA37</f>
        <v>0</v>
      </c>
      <c r="BB37" s="32">
        <f t="shared" si="84"/>
        <v>-1</v>
      </c>
      <c r="BC37" s="31">
        <f>Recu3!BC37</f>
        <v>0</v>
      </c>
      <c r="BD37" s="32">
        <f t="shared" si="85"/>
        <v>-1</v>
      </c>
      <c r="BE37" s="31">
        <f>Recu3!BE37</f>
        <v>0</v>
      </c>
      <c r="BF37" s="32">
        <f t="shared" si="86"/>
        <v>-1</v>
      </c>
      <c r="BG37" s="31">
        <f>Recu3!BG37</f>
        <v>0</v>
      </c>
      <c r="BH37" s="32">
        <f t="shared" si="87"/>
        <v>-1</v>
      </c>
      <c r="BI37" s="31">
        <f>Recu3!BI37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8">
        <f>IF(SUM($B39:$B58)&lt;&gt;0,SUM(C39:C58)/SUM($B39:$B58)*$B38*10, "")</f>
        <v>1.4799999967217445</v>
      </c>
      <c r="D38" s="58"/>
      <c r="E38" s="58">
        <f>IF(SUM($B39:$B58)&lt;&gt;0,SUM(E39:E58)/SUM($B39:$B58)*$B38*10, "")</f>
        <v>1.2400000095367432</v>
      </c>
      <c r="F38" s="58"/>
      <c r="G38" s="58">
        <f>IF(SUM($B39:$B58)&lt;&gt;0,SUM(G39:G58)/SUM($B39:$B58)*$B38*10, "")</f>
        <v>1.1300000071525573</v>
      </c>
      <c r="H38" s="58"/>
      <c r="I38" s="58">
        <f>IF(SUM($B39:$B58)&lt;&gt;0,SUM(I39:I58)/SUM($B39:$B58)*$B38*10, "")</f>
        <v>1.0000000089406966</v>
      </c>
      <c r="J38" s="58"/>
      <c r="K38" s="58">
        <f>IF(SUM($B39:$B58)&lt;&gt;0,SUM(K39:K58)/SUM($B39:$B58)*$B38*10, "")</f>
        <v>1.1200000166893005</v>
      </c>
      <c r="L38" s="58"/>
      <c r="M38" s="58">
        <f>IF(SUM($B39:$B58)&lt;&gt;0,SUM(M39:M58)/SUM($B39:$B58)*$B38*10, "")</f>
        <v>0.76000001430511488</v>
      </c>
      <c r="N38" s="58"/>
      <c r="O38" s="58">
        <f>IF(SUM($B39:$B58)&lt;&gt;0,SUM(O39:O58)/SUM($B39:$B58)*$B38*10, "")</f>
        <v>1.02000000923872</v>
      </c>
      <c r="P38" s="58"/>
      <c r="Q38" s="58">
        <f>IF(SUM($B39:$B58)&lt;&gt;0,SUM(Q39:Q58)/SUM($B39:$B58)*$B38*10, "")</f>
        <v>0.68000001311302183</v>
      </c>
      <c r="R38" s="58"/>
      <c r="S38" s="58">
        <f>IF(SUM($B39:$B58)&lt;&gt;0,SUM(S39:S58)/SUM($B39:$B58)*$B38*10, "")</f>
        <v>0.6600000187754631</v>
      </c>
      <c r="T38" s="58"/>
      <c r="U38" s="58">
        <f>IF(SUM($B39:$B58)&lt;&gt;0,SUM(U39:U58)/SUM($B39:$B58)*$B38*10, "")</f>
        <v>0.93000001236796392</v>
      </c>
      <c r="V38" s="58"/>
      <c r="W38" s="58">
        <f>IF(SUM($B39:$B58)&lt;&gt;0,SUM(W39:W58)/SUM($B39:$B58)*$B38*10, "")</f>
        <v>1.1099999904632569</v>
      </c>
      <c r="X38" s="58"/>
      <c r="Y38" s="58">
        <f>IF(SUM($B39:$B58)&lt;&gt;0,SUM(Y39:Y58)/SUM($B39:$B58)*$B38*10, "")</f>
        <v>1.0000000119209291</v>
      </c>
      <c r="Z38" s="58"/>
      <c r="AA38" s="58">
        <f>IF(SUM($B39:$B58)&lt;&gt;0,SUM(AA39:AA58)/SUM($B39:$B58)*$B38*10, "")</f>
        <v>1.230000028014183</v>
      </c>
      <c r="AB38" s="58"/>
      <c r="AC38" s="58">
        <f>IF(SUM($B39:$B58)&lt;&gt;0,SUM(AC39:AC58)/SUM($B39:$B58)*$B38*10, "")</f>
        <v>1.0400000065565109</v>
      </c>
      <c r="AD38" s="58"/>
      <c r="AE38" s="58">
        <f>IF(SUM($B39:$B58)&lt;&gt;0,SUM(AE39:AE58)/SUM($B39:$B58)*$B38*10, "")</f>
        <v>1.2899999797344208</v>
      </c>
      <c r="AF38" s="58"/>
      <c r="AG38" s="58">
        <f>IF(SUM($B39:$B58)&lt;&gt;0,SUM(AG39:AG58)/SUM($B39:$B58)*$B38*10, "")</f>
        <v>0.86000001430511475</v>
      </c>
      <c r="AH38" s="58"/>
      <c r="AI38" s="58">
        <f>IF(SUM($B39:$B58)&lt;&gt;0,SUM(AI39:AI58)/SUM($B39:$B58)*$B38*10, "")</f>
        <v>0.60000000894069672</v>
      </c>
      <c r="AJ38" s="58"/>
      <c r="AK38" s="58">
        <f>IF(SUM($B39:$B58)&lt;&gt;0,SUM(AK39:AK58)/SUM($B39:$B58)*$B38*10, "")</f>
        <v>1.0900000005960464</v>
      </c>
      <c r="AL38" s="58"/>
      <c r="AM38" s="58">
        <f>IF(SUM($B39:$B58)&lt;&gt;0,SUM(AM39:AM58)/SUM($B39:$B58)*$B38*10, "")</f>
        <v>1.1200000047683716</v>
      </c>
      <c r="AN38" s="58"/>
      <c r="AO38" s="58">
        <f>IF(SUM($B39:$B58)&lt;&gt;0,SUM(AO39:AO58)/SUM($B39:$B58)*$B38*10, "")</f>
        <v>0.88000001013278972</v>
      </c>
      <c r="AP38" s="58"/>
      <c r="AQ38" s="58">
        <f>IF(SUM($B39:$B58)&lt;&gt;0,SUM(AQ39:AQ58)/SUM($B39:$B58)*$B38*10, "")</f>
        <v>0.96000001728534712</v>
      </c>
      <c r="AR38" s="58"/>
      <c r="AS38" s="58">
        <f>IF(SUM($B39:$B58)&lt;&gt;0,SUM(AS39:AS58)/SUM($B39:$B58)*$B38*10, "")</f>
        <v>0.91000001728534707</v>
      </c>
      <c r="AT38" s="58"/>
      <c r="AU38" s="58">
        <f>IF(SUM($B39:$B58)&lt;&gt;0,SUM(AU39:AU58)/SUM($B39:$B58)*$B38*10, "")</f>
        <v>1.1200000196695328</v>
      </c>
      <c r="AV38" s="58"/>
      <c r="AW38" s="58">
        <f>IF(SUM($B39:$B58)&lt;&gt;0,SUM(AW39:AW58)/SUM($B39:$B58)*$B38*10, "")</f>
        <v>0.72000000178813939</v>
      </c>
      <c r="AX38" s="58"/>
      <c r="AY38" s="58">
        <f>IF(SUM($B39:$B58)&lt;&gt;0,SUM(AY39:AY58)/SUM($B39:$B58)*$B38*10, "")</f>
        <v>0.70000002086162572</v>
      </c>
      <c r="AZ38" s="58"/>
      <c r="BA38" s="58">
        <f>IF(SUM($B39:$B58)&lt;&gt;0,SUM(BA39:BA58)/SUM($B39:$B58)*$B38*10, "")</f>
        <v>0.78999999910593033</v>
      </c>
      <c r="BB38" s="58"/>
      <c r="BC38" s="58">
        <f>IF(SUM($B39:$B58)&lt;&gt;0,SUM(BC39:BC58)/SUM($B39:$B58)*$B38*10, "")</f>
        <v>1.2400000005960465</v>
      </c>
      <c r="BD38" s="58"/>
      <c r="BE38" s="58">
        <f>IF(SUM($B39:$B58)&lt;&gt;0,SUM(BE39:BE58)/SUM($B39:$B58)*$B38*10, "")</f>
        <v>0.80000001266598697</v>
      </c>
      <c r="BF38" s="58"/>
      <c r="BG38" s="58">
        <f>IF(SUM($B39:$B58)&lt;&gt;0,SUM(BG39:BG58)/SUM($B39:$B58)*$B38*10, "")</f>
        <v>0.86000001430511475</v>
      </c>
      <c r="BH38" s="58"/>
      <c r="BI38" s="58">
        <f>IF(SUM($B39:$B58)&lt;&gt;0,SUM(BI39:BI58)/SUM($B39:$B58)*$B38*10, "")</f>
        <v>0.92000000923872005</v>
      </c>
      <c r="BJ38" s="58"/>
    </row>
    <row r="39" spans="1:62" ht="28" x14ac:dyDescent="0.2">
      <c r="A39" s="2" t="s">
        <v>39</v>
      </c>
      <c r="B39" s="13">
        <f>Recu3!B39</f>
        <v>1.5</v>
      </c>
      <c r="C39" s="31">
        <f>Recu3!C39</f>
        <v>1.5</v>
      </c>
      <c r="D39" s="32">
        <f t="shared" ref="D39:D58" si="89">IF($B39,C39/$B39,-1)</f>
        <v>1</v>
      </c>
      <c r="E39" s="31">
        <f>Recu3!E39</f>
        <v>1.5</v>
      </c>
      <c r="F39" s="32">
        <f t="shared" ref="F39:F58" si="90">IF($B39,E39/$B39,-1)</f>
        <v>1</v>
      </c>
      <c r="G39" s="31">
        <f>Recu3!G39</f>
        <v>0.90000003576278687</v>
      </c>
      <c r="H39" s="32">
        <f t="shared" ref="H39:H58" si="91">IF($B39,G39/$B39,-1)</f>
        <v>0.60000002384185791</v>
      </c>
      <c r="I39" s="31">
        <f>Recu3!I39</f>
        <v>0.75</v>
      </c>
      <c r="J39" s="32">
        <f t="shared" ref="J39:J58" si="92">IF($B39,I39/$B39,-1)</f>
        <v>0.5</v>
      </c>
      <c r="K39" s="31">
        <f>Recu3!K39</f>
        <v>0.90000003576278687</v>
      </c>
      <c r="L39" s="32">
        <f t="shared" ref="L39:L58" si="93">IF($B39,K39/$B39,-1)</f>
        <v>0.60000002384185791</v>
      </c>
      <c r="M39" s="31">
        <f>Recu3!M39</f>
        <v>0</v>
      </c>
      <c r="N39" s="32">
        <f t="shared" ref="N39:N58" si="94">IF($B39,M39/$B39,-1)</f>
        <v>0</v>
      </c>
      <c r="O39" s="31">
        <f>Recu3!O39</f>
        <v>0.30000000447034836</v>
      </c>
      <c r="P39" s="32">
        <f t="shared" ref="P39:P58" si="95">IF($B39,O39/$B39,-1)</f>
        <v>0.20000000298023224</v>
      </c>
      <c r="Q39" s="31">
        <f>Recu3!Q39</f>
        <v>0.45000001788139343</v>
      </c>
      <c r="R39" s="32">
        <f t="shared" ref="R39:R58" si="96">IF($B39,Q39/$B39,-1)</f>
        <v>0.30000001192092896</v>
      </c>
      <c r="S39" s="31">
        <f>Recu3!S39</f>
        <v>0</v>
      </c>
      <c r="T39" s="32">
        <f t="shared" ref="T39:T58" si="97">IF($B39,S39/$B39,-1)</f>
        <v>0</v>
      </c>
      <c r="U39" s="31">
        <f>Recu3!U39</f>
        <v>0.15000000223517418</v>
      </c>
      <c r="V39" s="32">
        <f t="shared" ref="V39:V58" si="98">IF($B39,U39/$B39,-1)</f>
        <v>0.10000000149011612</v>
      </c>
      <c r="W39" s="31">
        <f>Recu3!W39</f>
        <v>0.60000000894069672</v>
      </c>
      <c r="X39" s="32">
        <f t="shared" ref="X39:X58" si="99">IF($B39,W39/$B39,-1)</f>
        <v>0.40000000596046448</v>
      </c>
      <c r="Y39" s="31">
        <f>Recu3!Y39</f>
        <v>0.90000003576278687</v>
      </c>
      <c r="Z39" s="32">
        <f t="shared" ref="Z39:Z58" si="100">IF($B39,Y39/$B39,-1)</f>
        <v>0.60000002384185791</v>
      </c>
      <c r="AA39" s="31">
        <f>Recu3!AA39</f>
        <v>0.90000003576278687</v>
      </c>
      <c r="AB39" s="32">
        <f t="shared" ref="AB39:AB58" si="101">IF($B39,AA39/$B39,-1)</f>
        <v>0.60000002384185791</v>
      </c>
      <c r="AC39" s="31">
        <f>Recu3!AC39</f>
        <v>1.2000000178813934</v>
      </c>
      <c r="AD39" s="32">
        <f t="shared" ref="AD39:AD58" si="102">IF($B39,AC39/$B39,-1)</f>
        <v>0.80000001192092896</v>
      </c>
      <c r="AE39" s="31">
        <f>Recu3!AE39</f>
        <v>0</v>
      </c>
      <c r="AF39" s="32">
        <f t="shared" ref="AF39:AF58" si="103">IF($B39,AE39/$B39,-1)</f>
        <v>0</v>
      </c>
      <c r="AG39" s="31">
        <f>Recu3!AG39</f>
        <v>0.60000000894069672</v>
      </c>
      <c r="AH39" s="32">
        <f t="shared" ref="AH39:AH58" si="104">IF($B39,AG39/$B39,-1)</f>
        <v>0.40000000596046448</v>
      </c>
      <c r="AI39" s="31">
        <f>Recu3!AI39</f>
        <v>0</v>
      </c>
      <c r="AJ39" s="32">
        <f t="shared" ref="AJ39:AJ58" si="105">IF($B39,AI39/$B39,-1)</f>
        <v>0</v>
      </c>
      <c r="AK39" s="31">
        <f>Recu3!AK39</f>
        <v>0.45000001788139343</v>
      </c>
      <c r="AL39" s="32">
        <f t="shared" ref="AL39:AL58" si="106">IF($B39,AK39/$B39,-1)</f>
        <v>0.30000001192092896</v>
      </c>
      <c r="AM39" s="31">
        <f>Recu3!AM39</f>
        <v>0.90000003576278687</v>
      </c>
      <c r="AN39" s="32">
        <f t="shared" ref="AN39:AN58" si="107">IF($B39,AM39/$B39,-1)</f>
        <v>0.60000002384185791</v>
      </c>
      <c r="AO39" s="31">
        <f>Recu3!AO39</f>
        <v>0.75</v>
      </c>
      <c r="AP39" s="32">
        <f t="shared" ref="AP39:AP58" si="108">IF($B39,AO39/$B39,-1)</f>
        <v>0.5</v>
      </c>
      <c r="AQ39" s="31">
        <f>Recu3!AQ39</f>
        <v>0.90000003576278687</v>
      </c>
      <c r="AR39" s="32">
        <f t="shared" ref="AR39:AR58" si="109">IF($B39,AQ39/$B39,-1)</f>
        <v>0.60000002384185791</v>
      </c>
      <c r="AS39" s="31">
        <f>Recu3!AS39</f>
        <v>0.45000001788139343</v>
      </c>
      <c r="AT39" s="32">
        <f t="shared" ref="AT39:AT58" si="110">IF($B39,AS39/$B39,-1)</f>
        <v>0.30000001192092896</v>
      </c>
      <c r="AU39" s="31">
        <f>Recu3!AU39</f>
        <v>1.5</v>
      </c>
      <c r="AV39" s="32">
        <f t="shared" ref="AV39:AV58" si="111">IF($B39,AU39/$B39,-1)</f>
        <v>1</v>
      </c>
      <c r="AW39" s="31">
        <f>Recu3!AW39</f>
        <v>1.2000000178813934</v>
      </c>
      <c r="AX39" s="32">
        <f t="shared" ref="AX39:AX58" si="112">IF($B39,AW39/$B39,-1)</f>
        <v>0.80000001192092896</v>
      </c>
      <c r="AY39" s="31">
        <f>Recu3!AY39</f>
        <v>0.90000003576278687</v>
      </c>
      <c r="AZ39" s="32">
        <f t="shared" ref="AZ39:AZ58" si="113">IF($B39,AY39/$B39,-1)</f>
        <v>0.60000002384185791</v>
      </c>
      <c r="BA39" s="31">
        <f>Recu3!BA39</f>
        <v>0.60000000894069672</v>
      </c>
      <c r="BB39" s="32">
        <f t="shared" ref="BB39:BB58" si="114">IF($B39,BA39/$B39,-1)</f>
        <v>0.40000000596046448</v>
      </c>
      <c r="BC39" s="31">
        <f>Recu3!BC39</f>
        <v>1.2000000178813934</v>
      </c>
      <c r="BD39" s="32">
        <f t="shared" ref="BD39:BD58" si="115">IF($B39,BC39/$B39,-1)</f>
        <v>0.80000001192092896</v>
      </c>
      <c r="BE39" s="31">
        <f>Recu3!BE39</f>
        <v>0.15000000223517418</v>
      </c>
      <c r="BF39" s="32">
        <f t="shared" ref="BF39:BF58" si="116">IF($B39,BE39/$B39,-1)</f>
        <v>0.10000000149011612</v>
      </c>
      <c r="BG39" s="31">
        <f>Recu3!BG39</f>
        <v>0</v>
      </c>
      <c r="BH39" s="32">
        <f t="shared" ref="BH39:BH58" si="117">IF($B39,BG39/$B39,-1)</f>
        <v>0</v>
      </c>
      <c r="BI39" s="31">
        <f>Recu3!BI39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Recu3!B40</f>
        <v>1.5</v>
      </c>
      <c r="C40" s="31">
        <f>Recu3!C40</f>
        <v>1.2000000178813934</v>
      </c>
      <c r="D40" s="32">
        <f t="shared" si="89"/>
        <v>0.80000001192092896</v>
      </c>
      <c r="E40" s="31">
        <f>Recu3!E40</f>
        <v>1.5</v>
      </c>
      <c r="F40" s="32">
        <f t="shared" si="90"/>
        <v>1</v>
      </c>
      <c r="G40" s="31">
        <f>Recu3!G40</f>
        <v>0.45000001788139343</v>
      </c>
      <c r="H40" s="32">
        <f t="shared" si="91"/>
        <v>0.30000001192092896</v>
      </c>
      <c r="I40" s="31">
        <f>Recu3!I40</f>
        <v>1.0499999821186066</v>
      </c>
      <c r="J40" s="32">
        <f t="shared" si="92"/>
        <v>0.69999998807907104</v>
      </c>
      <c r="K40" s="31">
        <f>Recu3!K40</f>
        <v>1.2000000178813934</v>
      </c>
      <c r="L40" s="32">
        <f t="shared" si="93"/>
        <v>0.80000001192092896</v>
      </c>
      <c r="M40" s="31">
        <f>Recu3!M40</f>
        <v>0</v>
      </c>
      <c r="N40" s="32">
        <f t="shared" si="94"/>
        <v>0</v>
      </c>
      <c r="O40" s="31">
        <f>Recu3!O40</f>
        <v>1.2000000178813934</v>
      </c>
      <c r="P40" s="32">
        <f t="shared" si="95"/>
        <v>0.80000001192092896</v>
      </c>
      <c r="Q40" s="31">
        <f>Recu3!Q40</f>
        <v>0.75</v>
      </c>
      <c r="R40" s="32">
        <f t="shared" si="96"/>
        <v>0.5</v>
      </c>
      <c r="S40" s="31">
        <f>Recu3!S40</f>
        <v>0.30000000447034836</v>
      </c>
      <c r="T40" s="32">
        <f t="shared" si="97"/>
        <v>0.20000000298023224</v>
      </c>
      <c r="U40" s="31">
        <f>Recu3!U40</f>
        <v>0.90000003576278687</v>
      </c>
      <c r="V40" s="32">
        <f t="shared" si="98"/>
        <v>0.60000002384185791</v>
      </c>
      <c r="W40" s="31">
        <f>Recu3!W40</f>
        <v>1.3499999642372131</v>
      </c>
      <c r="X40" s="32">
        <f t="shared" si="99"/>
        <v>0.89999997615814209</v>
      </c>
      <c r="Y40" s="31">
        <f>Recu3!Y40</f>
        <v>1.5</v>
      </c>
      <c r="Z40" s="32">
        <f t="shared" si="100"/>
        <v>1</v>
      </c>
      <c r="AA40" s="31">
        <f>Recu3!AA40</f>
        <v>1.0499999821186066</v>
      </c>
      <c r="AB40" s="32">
        <f t="shared" si="101"/>
        <v>0.69999998807907104</v>
      </c>
      <c r="AC40" s="31">
        <f>Recu3!AC40</f>
        <v>0</v>
      </c>
      <c r="AD40" s="32">
        <f t="shared" si="102"/>
        <v>0</v>
      </c>
      <c r="AE40" s="31">
        <f>Recu3!AE40</f>
        <v>1.0499999821186066</v>
      </c>
      <c r="AF40" s="32">
        <f t="shared" si="103"/>
        <v>0.69999998807907104</v>
      </c>
      <c r="AG40" s="31">
        <f>Recu3!AG40</f>
        <v>1.5</v>
      </c>
      <c r="AH40" s="32">
        <f t="shared" si="104"/>
        <v>1</v>
      </c>
      <c r="AI40" s="31">
        <f>Recu3!AI40</f>
        <v>0</v>
      </c>
      <c r="AJ40" s="32">
        <f t="shared" si="105"/>
        <v>0</v>
      </c>
      <c r="AK40" s="31">
        <f>Recu3!AK40</f>
        <v>1.5</v>
      </c>
      <c r="AL40" s="32">
        <f t="shared" si="106"/>
        <v>1</v>
      </c>
      <c r="AM40" s="31">
        <f>Recu3!AM40</f>
        <v>0</v>
      </c>
      <c r="AN40" s="32">
        <f t="shared" si="107"/>
        <v>0</v>
      </c>
      <c r="AO40" s="31">
        <f>Recu3!AO40</f>
        <v>0.45000001788139343</v>
      </c>
      <c r="AP40" s="32">
        <f t="shared" si="108"/>
        <v>0.30000001192092896</v>
      </c>
      <c r="AQ40" s="31">
        <f>Recu3!AQ40</f>
        <v>0.90000003576278687</v>
      </c>
      <c r="AR40" s="32">
        <f t="shared" si="109"/>
        <v>0.60000002384185791</v>
      </c>
      <c r="AS40" s="31">
        <f>Recu3!AS40</f>
        <v>1.2000000178813934</v>
      </c>
      <c r="AT40" s="32">
        <f t="shared" si="110"/>
        <v>0.80000001192092896</v>
      </c>
      <c r="AU40" s="31">
        <f>Recu3!AU40</f>
        <v>0</v>
      </c>
      <c r="AV40" s="32">
        <f t="shared" si="111"/>
        <v>0</v>
      </c>
      <c r="AW40" s="31">
        <f>Recu3!AW40</f>
        <v>0</v>
      </c>
      <c r="AX40" s="32">
        <f t="shared" si="112"/>
        <v>0</v>
      </c>
      <c r="AY40" s="31">
        <f>Recu3!AY40</f>
        <v>0.90000003576278687</v>
      </c>
      <c r="AZ40" s="32">
        <f t="shared" si="113"/>
        <v>0.60000002384185791</v>
      </c>
      <c r="BA40" s="31">
        <f>Recu3!BA40</f>
        <v>0.45000001788139343</v>
      </c>
      <c r="BB40" s="32">
        <f t="shared" si="114"/>
        <v>0.30000001192092896</v>
      </c>
      <c r="BC40" s="31">
        <f>Recu3!BC40</f>
        <v>0.60000000894069672</v>
      </c>
      <c r="BD40" s="32">
        <f t="shared" si="115"/>
        <v>0.40000000596046448</v>
      </c>
      <c r="BE40" s="31">
        <f>Recu3!BE40</f>
        <v>0.75</v>
      </c>
      <c r="BF40" s="32">
        <f t="shared" si="116"/>
        <v>0.5</v>
      </c>
      <c r="BG40" s="31">
        <f>Recu3!BG40</f>
        <v>1.2000000178813934</v>
      </c>
      <c r="BH40" s="32">
        <f t="shared" si="117"/>
        <v>0.80000001192092896</v>
      </c>
      <c r="BI40" s="31">
        <f>Recu3!BI40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Recu3!B41</f>
        <v>1</v>
      </c>
      <c r="C41" s="31">
        <f>Recu3!C41</f>
        <v>0.30000001192092896</v>
      </c>
      <c r="D41" s="32">
        <f t="shared" si="89"/>
        <v>0.30000001192092896</v>
      </c>
      <c r="E41" s="31">
        <f>Recu3!E41</f>
        <v>0</v>
      </c>
      <c r="F41" s="32">
        <f t="shared" si="90"/>
        <v>0</v>
      </c>
      <c r="G41" s="31">
        <f>Recu3!G41</f>
        <v>0.40000000596046448</v>
      </c>
      <c r="H41" s="32">
        <f t="shared" si="91"/>
        <v>0.40000000596046448</v>
      </c>
      <c r="I41" s="31">
        <f>Recu3!I41</f>
        <v>0.60000002384185791</v>
      </c>
      <c r="J41" s="32">
        <f t="shared" si="92"/>
        <v>0.60000002384185791</v>
      </c>
      <c r="K41" s="31">
        <f>Recu3!K41</f>
        <v>0.80000001192092896</v>
      </c>
      <c r="L41" s="32">
        <f t="shared" si="93"/>
        <v>0.80000001192092896</v>
      </c>
      <c r="M41" s="31">
        <f>Recu3!M41</f>
        <v>0.60000002384185791</v>
      </c>
      <c r="N41" s="32">
        <f t="shared" si="94"/>
        <v>0.60000002384185791</v>
      </c>
      <c r="O41" s="31">
        <f>Recu3!O41</f>
        <v>0.69999998807907104</v>
      </c>
      <c r="P41" s="32">
        <f t="shared" si="95"/>
        <v>0.69999998807907104</v>
      </c>
      <c r="Q41" s="31">
        <f>Recu3!Q41</f>
        <v>0.80000001192092896</v>
      </c>
      <c r="R41" s="32">
        <f t="shared" si="96"/>
        <v>0.80000001192092896</v>
      </c>
      <c r="S41" s="31">
        <f>Recu3!S41</f>
        <v>0.40000000596046448</v>
      </c>
      <c r="T41" s="32">
        <f t="shared" si="97"/>
        <v>0.40000000596046448</v>
      </c>
      <c r="U41" s="31">
        <f>Recu3!U41</f>
        <v>0.80000001192092896</v>
      </c>
      <c r="V41" s="32">
        <f t="shared" si="98"/>
        <v>0.80000001192092896</v>
      </c>
      <c r="W41" s="31">
        <f>Recu3!W41</f>
        <v>0.69999998807907104</v>
      </c>
      <c r="X41" s="32">
        <f t="shared" si="99"/>
        <v>0.69999998807907104</v>
      </c>
      <c r="Y41" s="31">
        <f>Recu3!Y41</f>
        <v>0.69999998807907104</v>
      </c>
      <c r="Z41" s="32">
        <f t="shared" si="100"/>
        <v>0.69999998807907104</v>
      </c>
      <c r="AA41" s="31">
        <f>Recu3!AA41</f>
        <v>0.80000001192092896</v>
      </c>
      <c r="AB41" s="32">
        <f t="shared" si="101"/>
        <v>0.80000001192092896</v>
      </c>
      <c r="AC41" s="31">
        <f>Recu3!AC41</f>
        <v>0.20000000298023224</v>
      </c>
      <c r="AD41" s="32">
        <f t="shared" si="102"/>
        <v>0.20000000298023224</v>
      </c>
      <c r="AE41" s="31">
        <f>Recu3!AE41</f>
        <v>0.80000001192092896</v>
      </c>
      <c r="AF41" s="32">
        <f t="shared" si="103"/>
        <v>0.80000001192092896</v>
      </c>
      <c r="AG41" s="31">
        <f>Recu3!AG41</f>
        <v>0</v>
      </c>
      <c r="AH41" s="32">
        <f t="shared" si="104"/>
        <v>0</v>
      </c>
      <c r="AI41" s="31">
        <f>Recu3!AI41</f>
        <v>0.20000000298023224</v>
      </c>
      <c r="AJ41" s="32">
        <f t="shared" si="105"/>
        <v>0.20000000298023224</v>
      </c>
      <c r="AK41" s="31">
        <f>Recu3!AK41</f>
        <v>1</v>
      </c>
      <c r="AL41" s="32">
        <f t="shared" si="106"/>
        <v>1</v>
      </c>
      <c r="AM41" s="31">
        <f>Recu3!AM41</f>
        <v>0.89999997615814209</v>
      </c>
      <c r="AN41" s="32">
        <f t="shared" si="107"/>
        <v>0.89999997615814209</v>
      </c>
      <c r="AO41" s="31">
        <f>Recu3!AO41</f>
        <v>0.20000000298023224</v>
      </c>
      <c r="AP41" s="32">
        <f t="shared" si="108"/>
        <v>0.20000000298023224</v>
      </c>
      <c r="AQ41" s="31">
        <f>Recu3!AQ41</f>
        <v>0.20000000298023224</v>
      </c>
      <c r="AR41" s="32">
        <f t="shared" si="109"/>
        <v>0.20000000298023224</v>
      </c>
      <c r="AS41" s="31">
        <f>Recu3!AS41</f>
        <v>0.20000000298023224</v>
      </c>
      <c r="AT41" s="32">
        <f t="shared" si="110"/>
        <v>0.20000000298023224</v>
      </c>
      <c r="AU41" s="31">
        <f>Recu3!AU41</f>
        <v>1</v>
      </c>
      <c r="AV41" s="32">
        <f t="shared" si="111"/>
        <v>1</v>
      </c>
      <c r="AW41" s="31">
        <f>Recu3!AW41</f>
        <v>0.20000000298023224</v>
      </c>
      <c r="AX41" s="32">
        <f t="shared" si="112"/>
        <v>0.20000000298023224</v>
      </c>
      <c r="AY41" s="31">
        <f>Recu3!AY41</f>
        <v>0.20000000298023224</v>
      </c>
      <c r="AZ41" s="32">
        <f t="shared" si="113"/>
        <v>0.20000000298023224</v>
      </c>
      <c r="BA41" s="31">
        <f>Recu3!BA41</f>
        <v>0.69999998807907104</v>
      </c>
      <c r="BB41" s="32">
        <f t="shared" si="114"/>
        <v>0.69999998807907104</v>
      </c>
      <c r="BC41" s="31">
        <f>Recu3!BC41</f>
        <v>0.69999998807907104</v>
      </c>
      <c r="BD41" s="32">
        <f t="shared" si="115"/>
        <v>0.69999998807907104</v>
      </c>
      <c r="BE41" s="31">
        <f>Recu3!BE41</f>
        <v>0.80000001192092896</v>
      </c>
      <c r="BF41" s="32">
        <f t="shared" si="116"/>
        <v>0.80000001192092896</v>
      </c>
      <c r="BG41" s="31">
        <f>Recu3!BG41</f>
        <v>0.80000001192092896</v>
      </c>
      <c r="BH41" s="32">
        <f t="shared" si="117"/>
        <v>0.80000001192092896</v>
      </c>
      <c r="BI41" s="31">
        <f>Recu3!BI41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Recu3!B42</f>
        <v>0</v>
      </c>
      <c r="C42" s="31">
        <f>Recu3!C42</f>
        <v>0</v>
      </c>
      <c r="D42" s="32">
        <f t="shared" si="89"/>
        <v>-1</v>
      </c>
      <c r="E42" s="31">
        <f>Recu3!E42</f>
        <v>0</v>
      </c>
      <c r="F42" s="32">
        <f t="shared" si="90"/>
        <v>-1</v>
      </c>
      <c r="G42" s="31">
        <f>Recu3!G42</f>
        <v>0</v>
      </c>
      <c r="H42" s="32">
        <f t="shared" si="91"/>
        <v>-1</v>
      </c>
      <c r="I42" s="31">
        <f>Recu3!I42</f>
        <v>0</v>
      </c>
      <c r="J42" s="32">
        <f t="shared" si="92"/>
        <v>-1</v>
      </c>
      <c r="K42" s="31">
        <f>Recu3!K42</f>
        <v>0</v>
      </c>
      <c r="L42" s="32">
        <f t="shared" si="93"/>
        <v>-1</v>
      </c>
      <c r="M42" s="31">
        <f>Recu3!M42</f>
        <v>0</v>
      </c>
      <c r="N42" s="32">
        <f t="shared" si="94"/>
        <v>-1</v>
      </c>
      <c r="O42" s="31">
        <f>Recu3!O42</f>
        <v>0</v>
      </c>
      <c r="P42" s="32">
        <f t="shared" si="95"/>
        <v>-1</v>
      </c>
      <c r="Q42" s="31">
        <f>Recu3!Q42</f>
        <v>0</v>
      </c>
      <c r="R42" s="32">
        <f t="shared" si="96"/>
        <v>-1</v>
      </c>
      <c r="S42" s="31">
        <f>Recu3!S42</f>
        <v>0</v>
      </c>
      <c r="T42" s="32">
        <f t="shared" si="97"/>
        <v>-1</v>
      </c>
      <c r="U42" s="31">
        <f>Recu3!U42</f>
        <v>0</v>
      </c>
      <c r="V42" s="32">
        <f t="shared" si="98"/>
        <v>-1</v>
      </c>
      <c r="W42" s="31">
        <f>Recu3!W42</f>
        <v>0</v>
      </c>
      <c r="X42" s="32">
        <f t="shared" si="99"/>
        <v>-1</v>
      </c>
      <c r="Y42" s="31">
        <f>Recu3!Y42</f>
        <v>0</v>
      </c>
      <c r="Z42" s="32">
        <f t="shared" si="100"/>
        <v>-1</v>
      </c>
      <c r="AA42" s="31">
        <f>Recu3!AA42</f>
        <v>0</v>
      </c>
      <c r="AB42" s="32">
        <f t="shared" si="101"/>
        <v>-1</v>
      </c>
      <c r="AC42" s="31">
        <f>Recu3!AC42</f>
        <v>0</v>
      </c>
      <c r="AD42" s="32">
        <f t="shared" si="102"/>
        <v>-1</v>
      </c>
      <c r="AE42" s="31">
        <f>Recu3!AE42</f>
        <v>0</v>
      </c>
      <c r="AF42" s="32">
        <f t="shared" si="103"/>
        <v>-1</v>
      </c>
      <c r="AG42" s="31">
        <f>Recu3!AG42</f>
        <v>0</v>
      </c>
      <c r="AH42" s="32">
        <f t="shared" si="104"/>
        <v>-1</v>
      </c>
      <c r="AI42" s="31">
        <f>Recu3!AI42</f>
        <v>0</v>
      </c>
      <c r="AJ42" s="32">
        <f t="shared" si="105"/>
        <v>-1</v>
      </c>
      <c r="AK42" s="31">
        <f>Recu3!AK42</f>
        <v>0</v>
      </c>
      <c r="AL42" s="32">
        <f t="shared" si="106"/>
        <v>-1</v>
      </c>
      <c r="AM42" s="31">
        <f>Recu3!AM42</f>
        <v>0</v>
      </c>
      <c r="AN42" s="32">
        <f t="shared" si="107"/>
        <v>-1</v>
      </c>
      <c r="AO42" s="31">
        <f>Recu3!AO42</f>
        <v>0</v>
      </c>
      <c r="AP42" s="32">
        <f t="shared" si="108"/>
        <v>-1</v>
      </c>
      <c r="AQ42" s="31">
        <f>Recu3!AQ42</f>
        <v>0</v>
      </c>
      <c r="AR42" s="32">
        <f t="shared" si="109"/>
        <v>-1</v>
      </c>
      <c r="AS42" s="31">
        <f>Recu3!AS42</f>
        <v>0</v>
      </c>
      <c r="AT42" s="32">
        <f t="shared" si="110"/>
        <v>-1</v>
      </c>
      <c r="AU42" s="31">
        <f>Recu3!AU42</f>
        <v>0</v>
      </c>
      <c r="AV42" s="32">
        <f t="shared" si="111"/>
        <v>-1</v>
      </c>
      <c r="AW42" s="31">
        <f>Recu3!AW42</f>
        <v>0</v>
      </c>
      <c r="AX42" s="32">
        <f t="shared" si="112"/>
        <v>-1</v>
      </c>
      <c r="AY42" s="31">
        <f>Recu3!AY42</f>
        <v>0</v>
      </c>
      <c r="AZ42" s="32">
        <f t="shared" si="113"/>
        <v>-1</v>
      </c>
      <c r="BA42" s="31">
        <f>Recu3!BA42</f>
        <v>0</v>
      </c>
      <c r="BB42" s="32">
        <f t="shared" si="114"/>
        <v>-1</v>
      </c>
      <c r="BC42" s="31">
        <f>Recu3!BC42</f>
        <v>0</v>
      </c>
      <c r="BD42" s="32">
        <f t="shared" si="115"/>
        <v>-1</v>
      </c>
      <c r="BE42" s="31">
        <f>Recu3!BE42</f>
        <v>0</v>
      </c>
      <c r="BF42" s="32">
        <f t="shared" si="116"/>
        <v>-1</v>
      </c>
      <c r="BG42" s="31">
        <f>Recu3!BG42</f>
        <v>0</v>
      </c>
      <c r="BH42" s="32">
        <f t="shared" si="117"/>
        <v>-1</v>
      </c>
      <c r="BI42" s="31">
        <f>Recu3!BI42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Recu3!B43</f>
        <v>2</v>
      </c>
      <c r="C43" s="31">
        <f>Recu3!C43</f>
        <v>1.7999999523162842</v>
      </c>
      <c r="D43" s="32">
        <f t="shared" si="89"/>
        <v>0.89999997615814209</v>
      </c>
      <c r="E43" s="31">
        <f>Recu3!E43</f>
        <v>1.3999999761581421</v>
      </c>
      <c r="F43" s="32">
        <f t="shared" si="90"/>
        <v>0.69999998807907104</v>
      </c>
      <c r="G43" s="31">
        <f>Recu3!G43</f>
        <v>1.7999999523162842</v>
      </c>
      <c r="H43" s="32">
        <f t="shared" si="91"/>
        <v>0.89999997615814209</v>
      </c>
      <c r="I43" s="31">
        <f>Recu3!I43</f>
        <v>0.40000000596046448</v>
      </c>
      <c r="J43" s="32">
        <f t="shared" si="92"/>
        <v>0.20000000298023224</v>
      </c>
      <c r="K43" s="31">
        <f>Recu3!K43</f>
        <v>0.60000002384185791</v>
      </c>
      <c r="L43" s="32">
        <f t="shared" si="93"/>
        <v>0.30000001192092896</v>
      </c>
      <c r="M43" s="31">
        <f>Recu3!M43</f>
        <v>1.2000000476837158</v>
      </c>
      <c r="N43" s="32">
        <f t="shared" si="94"/>
        <v>0.60000002384185791</v>
      </c>
      <c r="O43" s="31">
        <f>Recu3!O43</f>
        <v>0.60000002384185791</v>
      </c>
      <c r="P43" s="32">
        <f t="shared" si="95"/>
        <v>0.30000001192092896</v>
      </c>
      <c r="Q43" s="31">
        <f>Recu3!Q43</f>
        <v>0.40000000596046448</v>
      </c>
      <c r="R43" s="32">
        <f t="shared" si="96"/>
        <v>0.20000000298023224</v>
      </c>
      <c r="S43" s="31">
        <f>Recu3!S43</f>
        <v>1.2000000476837158</v>
      </c>
      <c r="T43" s="32">
        <f t="shared" si="97"/>
        <v>0.60000002384185791</v>
      </c>
      <c r="U43" s="31">
        <f>Recu3!U43</f>
        <v>1.2000000476837158</v>
      </c>
      <c r="V43" s="32">
        <f t="shared" si="98"/>
        <v>0.60000002384185791</v>
      </c>
      <c r="W43" s="31">
        <f>Recu3!W43</f>
        <v>0.20000000298023224</v>
      </c>
      <c r="X43" s="32">
        <f t="shared" si="99"/>
        <v>0.10000000149011612</v>
      </c>
      <c r="Y43" s="31">
        <f>Recu3!Y43</f>
        <v>0</v>
      </c>
      <c r="Z43" s="32">
        <f t="shared" si="100"/>
        <v>0</v>
      </c>
      <c r="AA43" s="31">
        <f>Recu3!AA43</f>
        <v>1.2000000476837158</v>
      </c>
      <c r="AB43" s="32">
        <f t="shared" si="101"/>
        <v>0.60000002384185791</v>
      </c>
      <c r="AC43" s="31">
        <f>Recu3!AC43</f>
        <v>1.7999999523162842</v>
      </c>
      <c r="AD43" s="32">
        <f t="shared" si="102"/>
        <v>0.89999997615814209</v>
      </c>
      <c r="AE43" s="31">
        <f>Recu3!AE43</f>
        <v>1.3999999761581421</v>
      </c>
      <c r="AF43" s="32">
        <f t="shared" si="103"/>
        <v>0.69999998807907104</v>
      </c>
      <c r="AG43" s="31">
        <f>Recu3!AG43</f>
        <v>0.80000001192092896</v>
      </c>
      <c r="AH43" s="32">
        <f t="shared" si="104"/>
        <v>0.40000000596046448</v>
      </c>
      <c r="AI43" s="31">
        <f>Recu3!AI43</f>
        <v>0.40000000596046448</v>
      </c>
      <c r="AJ43" s="32">
        <f t="shared" si="105"/>
        <v>0.20000000298023224</v>
      </c>
      <c r="AK43" s="31">
        <f>Recu3!AK43</f>
        <v>1</v>
      </c>
      <c r="AL43" s="32">
        <f t="shared" si="106"/>
        <v>0.5</v>
      </c>
      <c r="AM43" s="31">
        <f>Recu3!AM43</f>
        <v>2</v>
      </c>
      <c r="AN43" s="32">
        <f t="shared" si="107"/>
        <v>1</v>
      </c>
      <c r="AO43" s="31">
        <f>Recu3!AO43</f>
        <v>1.6000000238418579</v>
      </c>
      <c r="AP43" s="32">
        <f t="shared" si="108"/>
        <v>0.80000001192092896</v>
      </c>
      <c r="AQ43" s="31">
        <f>Recu3!AQ43</f>
        <v>0.80000001192092896</v>
      </c>
      <c r="AR43" s="32">
        <f t="shared" si="109"/>
        <v>0.40000000596046448</v>
      </c>
      <c r="AS43" s="31">
        <f>Recu3!AS43</f>
        <v>1</v>
      </c>
      <c r="AT43" s="32">
        <f t="shared" si="110"/>
        <v>0.5</v>
      </c>
      <c r="AU43" s="31">
        <f>Recu3!AU43</f>
        <v>1.2000000476837158</v>
      </c>
      <c r="AV43" s="32">
        <f t="shared" si="111"/>
        <v>0.60000002384185791</v>
      </c>
      <c r="AW43" s="31">
        <f>Recu3!AW43</f>
        <v>1.3999999761581421</v>
      </c>
      <c r="AX43" s="32">
        <f t="shared" si="112"/>
        <v>0.69999998807907104</v>
      </c>
      <c r="AY43" s="31">
        <f>Recu3!AY43</f>
        <v>0</v>
      </c>
      <c r="AZ43" s="32">
        <f t="shared" si="113"/>
        <v>0</v>
      </c>
      <c r="BA43" s="31">
        <f>Recu3!BA43</f>
        <v>1.3999999761581421</v>
      </c>
      <c r="BB43" s="32">
        <f t="shared" si="114"/>
        <v>0.69999998807907104</v>
      </c>
      <c r="BC43" s="31">
        <f>Recu3!BC43</f>
        <v>1.7999999523162842</v>
      </c>
      <c r="BD43" s="32">
        <f t="shared" si="115"/>
        <v>0.89999997615814209</v>
      </c>
      <c r="BE43" s="31">
        <f>Recu3!BE43</f>
        <v>0.60000002384185791</v>
      </c>
      <c r="BF43" s="32">
        <f t="shared" si="116"/>
        <v>0.30000001192092896</v>
      </c>
      <c r="BG43" s="31">
        <f>Recu3!BG43</f>
        <v>0.20000000298023224</v>
      </c>
      <c r="BH43" s="32">
        <f t="shared" si="117"/>
        <v>0.10000000149011612</v>
      </c>
      <c r="BI43" s="31">
        <f>Recu3!BI43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Recu3!B44</f>
        <v>2</v>
      </c>
      <c r="C44" s="31">
        <f>Recu3!C44</f>
        <v>1.6000000238418579</v>
      </c>
      <c r="D44" s="32">
        <f t="shared" si="89"/>
        <v>0.80000001192092896</v>
      </c>
      <c r="E44" s="31">
        <f>Recu3!E44</f>
        <v>0.60000002384185791</v>
      </c>
      <c r="F44" s="32">
        <f t="shared" si="90"/>
        <v>0.30000001192092896</v>
      </c>
      <c r="G44" s="31">
        <f>Recu3!G44</f>
        <v>0.80000001192092896</v>
      </c>
      <c r="H44" s="32">
        <f t="shared" si="91"/>
        <v>0.40000000596046448</v>
      </c>
      <c r="I44" s="31">
        <f>Recu3!I44</f>
        <v>1.6000000238418579</v>
      </c>
      <c r="J44" s="32">
        <f t="shared" si="92"/>
        <v>0.80000001192092896</v>
      </c>
      <c r="K44" s="31">
        <f>Recu3!K44</f>
        <v>0.80000001192092896</v>
      </c>
      <c r="L44" s="32">
        <f t="shared" si="93"/>
        <v>0.40000000596046448</v>
      </c>
      <c r="M44" s="31">
        <f>Recu3!M44</f>
        <v>1.3999999761581421</v>
      </c>
      <c r="N44" s="32">
        <f t="shared" si="94"/>
        <v>0.69999998807907104</v>
      </c>
      <c r="O44" s="31">
        <f>Recu3!O44</f>
        <v>1</v>
      </c>
      <c r="P44" s="32">
        <f t="shared" si="95"/>
        <v>0.5</v>
      </c>
      <c r="Q44" s="31">
        <f>Recu3!Q44</f>
        <v>0.20000000298023224</v>
      </c>
      <c r="R44" s="32">
        <f t="shared" si="96"/>
        <v>0.10000000149011612</v>
      </c>
      <c r="S44" s="31">
        <f>Recu3!S44</f>
        <v>0.60000002384185791</v>
      </c>
      <c r="T44" s="32">
        <f t="shared" si="97"/>
        <v>0.30000001192092896</v>
      </c>
      <c r="U44" s="31">
        <f>Recu3!U44</f>
        <v>0</v>
      </c>
      <c r="V44" s="32">
        <f t="shared" si="98"/>
        <v>0</v>
      </c>
      <c r="W44" s="31">
        <f>Recu3!W44</f>
        <v>2</v>
      </c>
      <c r="X44" s="32">
        <f t="shared" si="99"/>
        <v>1</v>
      </c>
      <c r="Y44" s="31">
        <f>Recu3!Y44</f>
        <v>0.60000002384185791</v>
      </c>
      <c r="Z44" s="32">
        <f t="shared" si="100"/>
        <v>0.30000001192092896</v>
      </c>
      <c r="AA44" s="31">
        <f>Recu3!AA44</f>
        <v>1.2000000476837158</v>
      </c>
      <c r="AB44" s="32">
        <f t="shared" si="101"/>
        <v>0.60000002384185791</v>
      </c>
      <c r="AC44" s="31">
        <f>Recu3!AC44</f>
        <v>0.60000002384185791</v>
      </c>
      <c r="AD44" s="32">
        <f t="shared" si="102"/>
        <v>0.30000001192092896</v>
      </c>
      <c r="AE44" s="31">
        <f>Recu3!AE44</f>
        <v>1.7999999523162842</v>
      </c>
      <c r="AF44" s="32">
        <f t="shared" si="103"/>
        <v>0.89999997615814209</v>
      </c>
      <c r="AG44" s="31">
        <f>Recu3!AG44</f>
        <v>0.60000002384185791</v>
      </c>
      <c r="AH44" s="32">
        <f t="shared" si="104"/>
        <v>0.30000001192092896</v>
      </c>
      <c r="AI44" s="31">
        <f>Recu3!AI44</f>
        <v>1.6000000238418579</v>
      </c>
      <c r="AJ44" s="32">
        <f t="shared" si="105"/>
        <v>0.80000001192092896</v>
      </c>
      <c r="AK44" s="31">
        <f>Recu3!AK44</f>
        <v>0.20000000298023224</v>
      </c>
      <c r="AL44" s="32">
        <f t="shared" si="106"/>
        <v>0.10000000149011612</v>
      </c>
      <c r="AM44" s="31">
        <f>Recu3!AM44</f>
        <v>0.60000002384185791</v>
      </c>
      <c r="AN44" s="32">
        <f t="shared" si="107"/>
        <v>0.30000001192092896</v>
      </c>
      <c r="AO44" s="31">
        <f>Recu3!AO44</f>
        <v>0</v>
      </c>
      <c r="AP44" s="32">
        <f t="shared" si="108"/>
        <v>0</v>
      </c>
      <c r="AQ44" s="31">
        <f>Recu3!AQ44</f>
        <v>1</v>
      </c>
      <c r="AR44" s="32">
        <f t="shared" si="109"/>
        <v>0.5</v>
      </c>
      <c r="AS44" s="31">
        <f>Recu3!AS44</f>
        <v>0.80000001192092896</v>
      </c>
      <c r="AT44" s="32">
        <f t="shared" si="110"/>
        <v>0.40000000596046448</v>
      </c>
      <c r="AU44" s="31">
        <f>Recu3!AU44</f>
        <v>1.2000000476837158</v>
      </c>
      <c r="AV44" s="32">
        <f t="shared" si="111"/>
        <v>0.60000002384185791</v>
      </c>
      <c r="AW44" s="31">
        <f>Recu3!AW44</f>
        <v>0</v>
      </c>
      <c r="AX44" s="32">
        <f t="shared" si="112"/>
        <v>0</v>
      </c>
      <c r="AY44" s="31">
        <f>Recu3!AY44</f>
        <v>0.60000002384185791</v>
      </c>
      <c r="AZ44" s="32">
        <f t="shared" si="113"/>
        <v>0.30000001192092896</v>
      </c>
      <c r="BA44" s="31">
        <f>Recu3!BA44</f>
        <v>0.20000000298023224</v>
      </c>
      <c r="BB44" s="32">
        <f t="shared" si="114"/>
        <v>0.10000000149011612</v>
      </c>
      <c r="BC44" s="31">
        <f>Recu3!BC44</f>
        <v>0.60000002384185791</v>
      </c>
      <c r="BD44" s="32">
        <f t="shared" si="115"/>
        <v>0.30000001192092896</v>
      </c>
      <c r="BE44" s="31">
        <f>Recu3!BE44</f>
        <v>1.6000000238418579</v>
      </c>
      <c r="BF44" s="32">
        <f t="shared" si="116"/>
        <v>0.80000001192092896</v>
      </c>
      <c r="BG44" s="31">
        <f>Recu3!BG44</f>
        <v>1.2000000476837158</v>
      </c>
      <c r="BH44" s="32">
        <f t="shared" si="117"/>
        <v>0.60000002384185791</v>
      </c>
      <c r="BI44" s="31">
        <f>Recu3!BI44</f>
        <v>2</v>
      </c>
      <c r="BJ44" s="32">
        <f t="shared" si="118"/>
        <v>1</v>
      </c>
    </row>
    <row r="45" spans="1:62" ht="42" x14ac:dyDescent="0.2">
      <c r="A45" s="3" t="s">
        <v>45</v>
      </c>
      <c r="B45" s="13">
        <f>Recu3!B45</f>
        <v>1</v>
      </c>
      <c r="C45" s="31">
        <f>Recu3!C45</f>
        <v>0.89999997615814209</v>
      </c>
      <c r="D45" s="32">
        <f t="shared" si="89"/>
        <v>0.89999997615814209</v>
      </c>
      <c r="E45" s="31">
        <f>Recu3!E45</f>
        <v>0.60000002384185791</v>
      </c>
      <c r="F45" s="32">
        <f t="shared" si="90"/>
        <v>0.60000002384185791</v>
      </c>
      <c r="G45" s="31">
        <f>Recu3!G45</f>
        <v>0.60000002384185791</v>
      </c>
      <c r="H45" s="32">
        <f t="shared" si="91"/>
        <v>0.60000002384185791</v>
      </c>
      <c r="I45" s="31">
        <f>Recu3!I45</f>
        <v>0.20000000298023224</v>
      </c>
      <c r="J45" s="32">
        <f t="shared" si="92"/>
        <v>0.20000000298023224</v>
      </c>
      <c r="K45" s="31">
        <f>Recu3!K45</f>
        <v>0.89999997615814209</v>
      </c>
      <c r="L45" s="32">
        <f t="shared" si="93"/>
        <v>0.89999997615814209</v>
      </c>
      <c r="M45" s="31">
        <f>Recu3!M45</f>
        <v>0.30000001192092896</v>
      </c>
      <c r="N45" s="32">
        <f t="shared" si="94"/>
        <v>0.30000001192092896</v>
      </c>
      <c r="O45" s="31">
        <f>Recu3!O45</f>
        <v>0.60000002384185791</v>
      </c>
      <c r="P45" s="32">
        <f t="shared" si="95"/>
        <v>0.60000002384185791</v>
      </c>
      <c r="Q45" s="31">
        <f>Recu3!Q45</f>
        <v>0.60000002384185791</v>
      </c>
      <c r="R45" s="32">
        <f t="shared" si="96"/>
        <v>0.60000002384185791</v>
      </c>
      <c r="S45" s="31">
        <f>Recu3!S45</f>
        <v>0.80000001192092896</v>
      </c>
      <c r="T45" s="32">
        <f t="shared" si="97"/>
        <v>0.80000001192092896</v>
      </c>
      <c r="U45" s="31">
        <f>Recu3!U45</f>
        <v>0.69999998807907104</v>
      </c>
      <c r="V45" s="32">
        <f t="shared" si="98"/>
        <v>0.69999998807907104</v>
      </c>
      <c r="W45" s="31">
        <f>Recu3!W45</f>
        <v>0.69999998807907104</v>
      </c>
      <c r="X45" s="32">
        <f t="shared" si="99"/>
        <v>0.69999998807907104</v>
      </c>
      <c r="Y45" s="31">
        <f>Recu3!Y45</f>
        <v>0.80000001192092896</v>
      </c>
      <c r="Z45" s="32">
        <f t="shared" si="100"/>
        <v>0.80000001192092896</v>
      </c>
      <c r="AA45" s="31">
        <f>Recu3!AA45</f>
        <v>0.20000000298023224</v>
      </c>
      <c r="AB45" s="32">
        <f t="shared" si="101"/>
        <v>0.20000000298023224</v>
      </c>
      <c r="AC45" s="31">
        <f>Recu3!AC45</f>
        <v>0.60000002384185791</v>
      </c>
      <c r="AD45" s="32">
        <f t="shared" si="102"/>
        <v>0.60000002384185791</v>
      </c>
      <c r="AE45" s="31">
        <f>Recu3!AE45</f>
        <v>0.5</v>
      </c>
      <c r="AF45" s="32">
        <f t="shared" si="103"/>
        <v>0.5</v>
      </c>
      <c r="AG45" s="31">
        <f>Recu3!AG45</f>
        <v>0.60000002384185791</v>
      </c>
      <c r="AH45" s="32">
        <f t="shared" si="104"/>
        <v>0.60000002384185791</v>
      </c>
      <c r="AI45" s="31">
        <f>Recu3!AI45</f>
        <v>0.30000001192092896</v>
      </c>
      <c r="AJ45" s="32">
        <f t="shared" si="105"/>
        <v>0.30000001192092896</v>
      </c>
      <c r="AK45" s="31">
        <f>Recu3!AK45</f>
        <v>0.40000000596046448</v>
      </c>
      <c r="AL45" s="32">
        <f t="shared" si="106"/>
        <v>0.40000000596046448</v>
      </c>
      <c r="AM45" s="31">
        <f>Recu3!AM45</f>
        <v>0.30000001192092896</v>
      </c>
      <c r="AN45" s="32">
        <f t="shared" si="107"/>
        <v>0.30000001192092896</v>
      </c>
      <c r="AO45" s="31">
        <f>Recu3!AO45</f>
        <v>1</v>
      </c>
      <c r="AP45" s="32">
        <f t="shared" si="108"/>
        <v>1</v>
      </c>
      <c r="AQ45" s="31">
        <f>Recu3!AQ45</f>
        <v>0.5</v>
      </c>
      <c r="AR45" s="32">
        <f t="shared" si="109"/>
        <v>0.5</v>
      </c>
      <c r="AS45" s="31">
        <f>Recu3!AS45</f>
        <v>0.60000002384185791</v>
      </c>
      <c r="AT45" s="32">
        <f t="shared" si="110"/>
        <v>0.60000002384185791</v>
      </c>
      <c r="AU45" s="31">
        <f>Recu3!AU45</f>
        <v>0.5</v>
      </c>
      <c r="AV45" s="32">
        <f t="shared" si="111"/>
        <v>0.5</v>
      </c>
      <c r="AW45" s="31">
        <f>Recu3!AW45</f>
        <v>0</v>
      </c>
      <c r="AX45" s="32">
        <f t="shared" si="112"/>
        <v>0</v>
      </c>
      <c r="AY45" s="31">
        <f>Recu3!AY45</f>
        <v>0.40000000596046448</v>
      </c>
      <c r="AZ45" s="32">
        <f t="shared" si="113"/>
        <v>0.40000000596046448</v>
      </c>
      <c r="BA45" s="31">
        <f>Recu3!BA45</f>
        <v>0.10000000149011612</v>
      </c>
      <c r="BB45" s="32">
        <f t="shared" si="114"/>
        <v>0.10000000149011612</v>
      </c>
      <c r="BC45" s="31">
        <f>Recu3!BC45</f>
        <v>0.69999998807907104</v>
      </c>
      <c r="BD45" s="32">
        <f t="shared" si="115"/>
        <v>0.69999998807907104</v>
      </c>
      <c r="BE45" s="31">
        <f>Recu3!BE45</f>
        <v>0.10000000149011612</v>
      </c>
      <c r="BF45" s="32">
        <f t="shared" si="116"/>
        <v>0.10000000149011612</v>
      </c>
      <c r="BG45" s="31">
        <f>Recu3!BG45</f>
        <v>0.20000000298023224</v>
      </c>
      <c r="BH45" s="32">
        <f t="shared" si="117"/>
        <v>0.20000000298023224</v>
      </c>
      <c r="BI45" s="31">
        <f>Recu3!BI45</f>
        <v>0.40000000596046448</v>
      </c>
      <c r="BJ45" s="32">
        <f t="shared" si="118"/>
        <v>0.40000000596046448</v>
      </c>
    </row>
    <row r="46" spans="1:62" ht="42" x14ac:dyDescent="0.2">
      <c r="A46" s="2" t="s">
        <v>46</v>
      </c>
      <c r="B46" s="13">
        <f>Recu3!B46</f>
        <v>1</v>
      </c>
      <c r="C46" s="31">
        <f>Recu3!C46</f>
        <v>0.10000000149011612</v>
      </c>
      <c r="D46" s="32">
        <f t="shared" si="89"/>
        <v>0.10000000149011612</v>
      </c>
      <c r="E46" s="31">
        <f>Recu3!E46</f>
        <v>0.60000002384185791</v>
      </c>
      <c r="F46" s="32">
        <f t="shared" si="90"/>
        <v>0.60000002384185791</v>
      </c>
      <c r="G46" s="31">
        <f>Recu3!G46</f>
        <v>0.69999998807907104</v>
      </c>
      <c r="H46" s="32">
        <f t="shared" si="91"/>
        <v>0.69999998807907104</v>
      </c>
      <c r="I46" s="31">
        <f>Recu3!I46</f>
        <v>0.40000000596046448</v>
      </c>
      <c r="J46" s="32">
        <f t="shared" si="92"/>
        <v>0.40000000596046448</v>
      </c>
      <c r="K46" s="31">
        <f>Recu3!K46</f>
        <v>0.40000000596046448</v>
      </c>
      <c r="L46" s="32">
        <f t="shared" si="93"/>
        <v>0.40000000596046448</v>
      </c>
      <c r="M46" s="31">
        <f>Recu3!M46</f>
        <v>0.30000001192092896</v>
      </c>
      <c r="N46" s="32">
        <f t="shared" si="94"/>
        <v>0.30000001192092896</v>
      </c>
      <c r="O46" s="31">
        <f>Recu3!O46</f>
        <v>0.69999998807907104</v>
      </c>
      <c r="P46" s="32">
        <f t="shared" si="95"/>
        <v>0.69999998807907104</v>
      </c>
      <c r="Q46" s="31">
        <f>Recu3!Q46</f>
        <v>0.20000000298023224</v>
      </c>
      <c r="R46" s="32">
        <f t="shared" si="96"/>
        <v>0.20000000298023224</v>
      </c>
      <c r="S46" s="31">
        <f>Recu3!S46</f>
        <v>0</v>
      </c>
      <c r="T46" s="32">
        <f t="shared" si="97"/>
        <v>0</v>
      </c>
      <c r="U46" s="31">
        <f>Recu3!U46</f>
        <v>0.89999997615814209</v>
      </c>
      <c r="V46" s="32">
        <f t="shared" si="98"/>
        <v>0.89999997615814209</v>
      </c>
      <c r="W46" s="31">
        <f>Recu3!W46</f>
        <v>0</v>
      </c>
      <c r="X46" s="32">
        <f t="shared" si="99"/>
        <v>0</v>
      </c>
      <c r="Y46" s="31">
        <f>Recu3!Y46</f>
        <v>0.5</v>
      </c>
      <c r="Z46" s="32">
        <f t="shared" si="100"/>
        <v>0.5</v>
      </c>
      <c r="AA46" s="31">
        <f>Recu3!AA46</f>
        <v>0.80000001192092896</v>
      </c>
      <c r="AB46" s="32">
        <f t="shared" si="101"/>
        <v>0.80000001192092896</v>
      </c>
      <c r="AC46" s="31">
        <f>Recu3!AC46</f>
        <v>0.80000001192092896</v>
      </c>
      <c r="AD46" s="32">
        <f t="shared" si="102"/>
        <v>0.80000001192092896</v>
      </c>
      <c r="AE46" s="31">
        <f>Recu3!AE46</f>
        <v>0.89999997615814209</v>
      </c>
      <c r="AF46" s="32">
        <f t="shared" si="103"/>
        <v>0.89999997615814209</v>
      </c>
      <c r="AG46" s="31">
        <f>Recu3!AG46</f>
        <v>0.20000000298023224</v>
      </c>
      <c r="AH46" s="32">
        <f t="shared" si="104"/>
        <v>0.20000000298023224</v>
      </c>
      <c r="AI46" s="31">
        <f>Recu3!AI46</f>
        <v>0.5</v>
      </c>
      <c r="AJ46" s="32">
        <f t="shared" si="105"/>
        <v>0.5</v>
      </c>
      <c r="AK46" s="31">
        <f>Recu3!AK46</f>
        <v>0.89999997615814209</v>
      </c>
      <c r="AL46" s="32">
        <f t="shared" si="106"/>
        <v>0.89999997615814209</v>
      </c>
      <c r="AM46" s="31">
        <f>Recu3!AM46</f>
        <v>0.89999997615814209</v>
      </c>
      <c r="AN46" s="32">
        <f t="shared" si="107"/>
        <v>0.89999997615814209</v>
      </c>
      <c r="AO46" s="31">
        <f>Recu3!AO46</f>
        <v>0.40000000596046448</v>
      </c>
      <c r="AP46" s="32">
        <f t="shared" si="108"/>
        <v>0.40000000596046448</v>
      </c>
      <c r="AQ46" s="31">
        <f>Recu3!AQ46</f>
        <v>0.5</v>
      </c>
      <c r="AR46" s="32">
        <f t="shared" si="109"/>
        <v>0.5</v>
      </c>
      <c r="AS46" s="31">
        <f>Recu3!AS46</f>
        <v>0.30000001192092896</v>
      </c>
      <c r="AT46" s="32">
        <f t="shared" si="110"/>
        <v>0.30000001192092896</v>
      </c>
      <c r="AU46" s="31">
        <f>Recu3!AU46</f>
        <v>0.20000000298023224</v>
      </c>
      <c r="AV46" s="32">
        <f t="shared" si="111"/>
        <v>0.20000000298023224</v>
      </c>
      <c r="AW46" s="31">
        <f>Recu3!AW46</f>
        <v>0.80000001192092896</v>
      </c>
      <c r="AX46" s="32">
        <f t="shared" si="112"/>
        <v>0.80000001192092896</v>
      </c>
      <c r="AY46" s="31">
        <f>Recu3!AY46</f>
        <v>0.5</v>
      </c>
      <c r="AZ46" s="32">
        <f t="shared" si="113"/>
        <v>0.5</v>
      </c>
      <c r="BA46" s="31">
        <f>Recu3!BA46</f>
        <v>0.5</v>
      </c>
      <c r="BB46" s="32">
        <f t="shared" si="114"/>
        <v>0.5</v>
      </c>
      <c r="BC46" s="31">
        <f>Recu3!BC46</f>
        <v>0.60000002384185791</v>
      </c>
      <c r="BD46" s="32">
        <f t="shared" si="115"/>
        <v>0.60000002384185791</v>
      </c>
      <c r="BE46" s="31">
        <f>Recu3!BE46</f>
        <v>0</v>
      </c>
      <c r="BF46" s="32">
        <f t="shared" si="116"/>
        <v>0</v>
      </c>
      <c r="BG46" s="31">
        <f>Recu3!BG46</f>
        <v>0.69999998807907104</v>
      </c>
      <c r="BH46" s="32">
        <f t="shared" si="117"/>
        <v>0.69999998807907104</v>
      </c>
      <c r="BI46" s="31">
        <f>Recu3!BI46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Recu3!B47</f>
        <v>0</v>
      </c>
      <c r="C47" s="31">
        <f>Recu3!C47</f>
        <v>0</v>
      </c>
      <c r="D47" s="32">
        <f t="shared" si="89"/>
        <v>-1</v>
      </c>
      <c r="E47" s="31">
        <f>Recu3!E47</f>
        <v>0</v>
      </c>
      <c r="F47" s="32">
        <f t="shared" si="90"/>
        <v>-1</v>
      </c>
      <c r="G47" s="31">
        <f>Recu3!G47</f>
        <v>0</v>
      </c>
      <c r="H47" s="32">
        <f t="shared" si="91"/>
        <v>-1</v>
      </c>
      <c r="I47" s="31">
        <f>Recu3!I47</f>
        <v>0</v>
      </c>
      <c r="J47" s="32">
        <f t="shared" si="92"/>
        <v>-1</v>
      </c>
      <c r="K47" s="31">
        <f>Recu3!K47</f>
        <v>0</v>
      </c>
      <c r="L47" s="32">
        <f t="shared" si="93"/>
        <v>-1</v>
      </c>
      <c r="M47" s="31">
        <f>Recu3!M47</f>
        <v>0</v>
      </c>
      <c r="N47" s="32">
        <f t="shared" si="94"/>
        <v>-1</v>
      </c>
      <c r="O47" s="31">
        <f>Recu3!O47</f>
        <v>0</v>
      </c>
      <c r="P47" s="32">
        <f t="shared" si="95"/>
        <v>-1</v>
      </c>
      <c r="Q47" s="31">
        <f>Recu3!Q47</f>
        <v>0</v>
      </c>
      <c r="R47" s="32">
        <f t="shared" si="96"/>
        <v>-1</v>
      </c>
      <c r="S47" s="31">
        <f>Recu3!S47</f>
        <v>0</v>
      </c>
      <c r="T47" s="32">
        <f t="shared" si="97"/>
        <v>-1</v>
      </c>
      <c r="U47" s="31">
        <f>Recu3!U47</f>
        <v>0</v>
      </c>
      <c r="V47" s="32">
        <f t="shared" si="98"/>
        <v>-1</v>
      </c>
      <c r="W47" s="31">
        <f>Recu3!W47</f>
        <v>0</v>
      </c>
      <c r="X47" s="32">
        <f t="shared" si="99"/>
        <v>-1</v>
      </c>
      <c r="Y47" s="31">
        <f>Recu3!Y47</f>
        <v>0</v>
      </c>
      <c r="Z47" s="32">
        <f t="shared" si="100"/>
        <v>-1</v>
      </c>
      <c r="AA47" s="31">
        <f>Recu3!AA47</f>
        <v>0</v>
      </c>
      <c r="AB47" s="32">
        <f t="shared" si="101"/>
        <v>-1</v>
      </c>
      <c r="AC47" s="31">
        <f>Recu3!AC47</f>
        <v>0</v>
      </c>
      <c r="AD47" s="32">
        <f t="shared" si="102"/>
        <v>-1</v>
      </c>
      <c r="AE47" s="31">
        <f>Recu3!AE47</f>
        <v>0</v>
      </c>
      <c r="AF47" s="32">
        <f t="shared" si="103"/>
        <v>-1</v>
      </c>
      <c r="AG47" s="31">
        <f>Recu3!AG47</f>
        <v>0</v>
      </c>
      <c r="AH47" s="32">
        <f t="shared" si="104"/>
        <v>-1</v>
      </c>
      <c r="AI47" s="31">
        <f>Recu3!AI47</f>
        <v>0</v>
      </c>
      <c r="AJ47" s="32">
        <f t="shared" si="105"/>
        <v>-1</v>
      </c>
      <c r="AK47" s="31">
        <f>Recu3!AK47</f>
        <v>0</v>
      </c>
      <c r="AL47" s="32">
        <f t="shared" si="106"/>
        <v>-1</v>
      </c>
      <c r="AM47" s="31">
        <f>Recu3!AM47</f>
        <v>0</v>
      </c>
      <c r="AN47" s="32">
        <f t="shared" si="107"/>
        <v>-1</v>
      </c>
      <c r="AO47" s="31">
        <f>Recu3!AO47</f>
        <v>0</v>
      </c>
      <c r="AP47" s="32">
        <f t="shared" si="108"/>
        <v>-1</v>
      </c>
      <c r="AQ47" s="31">
        <f>Recu3!AQ47</f>
        <v>0</v>
      </c>
      <c r="AR47" s="32">
        <f t="shared" si="109"/>
        <v>-1</v>
      </c>
      <c r="AS47" s="31">
        <f>Recu3!AS47</f>
        <v>0</v>
      </c>
      <c r="AT47" s="32">
        <f t="shared" si="110"/>
        <v>-1</v>
      </c>
      <c r="AU47" s="31">
        <f>Recu3!AU47</f>
        <v>0</v>
      </c>
      <c r="AV47" s="32">
        <f t="shared" si="111"/>
        <v>-1</v>
      </c>
      <c r="AW47" s="31">
        <f>Recu3!AW47</f>
        <v>0</v>
      </c>
      <c r="AX47" s="32">
        <f t="shared" si="112"/>
        <v>-1</v>
      </c>
      <c r="AY47" s="31">
        <f>Recu3!AY47</f>
        <v>0</v>
      </c>
      <c r="AZ47" s="32">
        <f t="shared" si="113"/>
        <v>-1</v>
      </c>
      <c r="BA47" s="31">
        <f>Recu3!BA47</f>
        <v>0</v>
      </c>
      <c r="BB47" s="32">
        <f t="shared" si="114"/>
        <v>-1</v>
      </c>
      <c r="BC47" s="31">
        <f>Recu3!BC47</f>
        <v>0</v>
      </c>
      <c r="BD47" s="32">
        <f t="shared" si="115"/>
        <v>-1</v>
      </c>
      <c r="BE47" s="31">
        <f>Recu3!BE47</f>
        <v>0</v>
      </c>
      <c r="BF47" s="32">
        <f t="shared" si="116"/>
        <v>-1</v>
      </c>
      <c r="BG47" s="31">
        <f>Recu3!BG47</f>
        <v>0</v>
      </c>
      <c r="BH47" s="32">
        <f t="shared" si="117"/>
        <v>-1</v>
      </c>
      <c r="BI47" s="31">
        <f>Recu3!BI47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Recu3!B48</f>
        <v>0</v>
      </c>
      <c r="C48" s="31">
        <f>Recu3!C48</f>
        <v>0</v>
      </c>
      <c r="D48" s="32">
        <f t="shared" si="89"/>
        <v>-1</v>
      </c>
      <c r="E48" s="31">
        <f>Recu3!E48</f>
        <v>0</v>
      </c>
      <c r="F48" s="32">
        <f t="shared" si="90"/>
        <v>-1</v>
      </c>
      <c r="G48" s="31">
        <f>Recu3!G48</f>
        <v>0</v>
      </c>
      <c r="H48" s="32">
        <f t="shared" si="91"/>
        <v>-1</v>
      </c>
      <c r="I48" s="31">
        <f>Recu3!I48</f>
        <v>0</v>
      </c>
      <c r="J48" s="32">
        <f t="shared" si="92"/>
        <v>-1</v>
      </c>
      <c r="K48" s="31">
        <f>Recu3!K48</f>
        <v>0</v>
      </c>
      <c r="L48" s="32">
        <f t="shared" si="93"/>
        <v>-1</v>
      </c>
      <c r="M48" s="31">
        <f>Recu3!M48</f>
        <v>0</v>
      </c>
      <c r="N48" s="32">
        <f t="shared" si="94"/>
        <v>-1</v>
      </c>
      <c r="O48" s="31">
        <f>Recu3!O48</f>
        <v>0</v>
      </c>
      <c r="P48" s="32">
        <f t="shared" si="95"/>
        <v>-1</v>
      </c>
      <c r="Q48" s="31">
        <f>Recu3!Q48</f>
        <v>0</v>
      </c>
      <c r="R48" s="32">
        <f t="shared" si="96"/>
        <v>-1</v>
      </c>
      <c r="S48" s="31">
        <f>Recu3!S48</f>
        <v>0</v>
      </c>
      <c r="T48" s="32">
        <f t="shared" si="97"/>
        <v>-1</v>
      </c>
      <c r="U48" s="31">
        <f>Recu3!U48</f>
        <v>0</v>
      </c>
      <c r="V48" s="32">
        <f t="shared" si="98"/>
        <v>-1</v>
      </c>
      <c r="W48" s="31">
        <f>Recu3!W48</f>
        <v>0</v>
      </c>
      <c r="X48" s="32">
        <f t="shared" si="99"/>
        <v>-1</v>
      </c>
      <c r="Y48" s="31">
        <f>Recu3!Y48</f>
        <v>0</v>
      </c>
      <c r="Z48" s="32">
        <f t="shared" si="100"/>
        <v>-1</v>
      </c>
      <c r="AA48" s="31">
        <f>Recu3!AA48</f>
        <v>0</v>
      </c>
      <c r="AB48" s="32">
        <f t="shared" si="101"/>
        <v>-1</v>
      </c>
      <c r="AC48" s="31">
        <f>Recu3!AC48</f>
        <v>0</v>
      </c>
      <c r="AD48" s="32">
        <f t="shared" si="102"/>
        <v>-1</v>
      </c>
      <c r="AE48" s="31">
        <f>Recu3!AE48</f>
        <v>0</v>
      </c>
      <c r="AF48" s="32">
        <f t="shared" si="103"/>
        <v>-1</v>
      </c>
      <c r="AG48" s="31">
        <f>Recu3!AG48</f>
        <v>0</v>
      </c>
      <c r="AH48" s="32">
        <f t="shared" si="104"/>
        <v>-1</v>
      </c>
      <c r="AI48" s="31">
        <f>Recu3!AI48</f>
        <v>0</v>
      </c>
      <c r="AJ48" s="32">
        <f t="shared" si="105"/>
        <v>-1</v>
      </c>
      <c r="AK48" s="31">
        <f>Recu3!AK48</f>
        <v>0</v>
      </c>
      <c r="AL48" s="32">
        <f t="shared" si="106"/>
        <v>-1</v>
      </c>
      <c r="AM48" s="31">
        <f>Recu3!AM48</f>
        <v>0</v>
      </c>
      <c r="AN48" s="32">
        <f t="shared" si="107"/>
        <v>-1</v>
      </c>
      <c r="AO48" s="31">
        <f>Recu3!AO48</f>
        <v>0</v>
      </c>
      <c r="AP48" s="32">
        <f t="shared" si="108"/>
        <v>-1</v>
      </c>
      <c r="AQ48" s="31">
        <f>Recu3!AQ48</f>
        <v>0</v>
      </c>
      <c r="AR48" s="32">
        <f t="shared" si="109"/>
        <v>-1</v>
      </c>
      <c r="AS48" s="31">
        <f>Recu3!AS48</f>
        <v>0</v>
      </c>
      <c r="AT48" s="32">
        <f t="shared" si="110"/>
        <v>-1</v>
      </c>
      <c r="AU48" s="31">
        <f>Recu3!AU48</f>
        <v>0</v>
      </c>
      <c r="AV48" s="32">
        <f t="shared" si="111"/>
        <v>-1</v>
      </c>
      <c r="AW48" s="31">
        <f>Recu3!AW48</f>
        <v>0</v>
      </c>
      <c r="AX48" s="32">
        <f t="shared" si="112"/>
        <v>-1</v>
      </c>
      <c r="AY48" s="31">
        <f>Recu3!AY48</f>
        <v>0</v>
      </c>
      <c r="AZ48" s="32">
        <f t="shared" si="113"/>
        <v>-1</v>
      </c>
      <c r="BA48" s="31">
        <f>Recu3!BA48</f>
        <v>0</v>
      </c>
      <c r="BB48" s="32">
        <f t="shared" si="114"/>
        <v>-1</v>
      </c>
      <c r="BC48" s="31">
        <f>Recu3!BC48</f>
        <v>0</v>
      </c>
      <c r="BD48" s="32">
        <f t="shared" si="115"/>
        <v>-1</v>
      </c>
      <c r="BE48" s="31">
        <f>Recu3!BE48</f>
        <v>0</v>
      </c>
      <c r="BF48" s="32">
        <f t="shared" si="116"/>
        <v>-1</v>
      </c>
      <c r="BG48" s="31">
        <f>Recu3!BG48</f>
        <v>0</v>
      </c>
      <c r="BH48" s="32">
        <f t="shared" si="117"/>
        <v>-1</v>
      </c>
      <c r="BI48" s="31">
        <f>Recu3!BI48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Recu3!B49</f>
        <v>0</v>
      </c>
      <c r="C49" s="31">
        <f>Recu3!C49</f>
        <v>0</v>
      </c>
      <c r="D49" s="32">
        <f t="shared" si="89"/>
        <v>-1</v>
      </c>
      <c r="E49" s="31">
        <f>Recu3!E49</f>
        <v>0</v>
      </c>
      <c r="F49" s="32">
        <f t="shared" si="90"/>
        <v>-1</v>
      </c>
      <c r="G49" s="31">
        <f>Recu3!G49</f>
        <v>0</v>
      </c>
      <c r="H49" s="32">
        <f t="shared" si="91"/>
        <v>-1</v>
      </c>
      <c r="I49" s="31">
        <f>Recu3!I49</f>
        <v>0</v>
      </c>
      <c r="J49" s="32">
        <f t="shared" si="92"/>
        <v>-1</v>
      </c>
      <c r="K49" s="31">
        <f>Recu3!K49</f>
        <v>0</v>
      </c>
      <c r="L49" s="32">
        <f t="shared" si="93"/>
        <v>-1</v>
      </c>
      <c r="M49" s="31">
        <f>Recu3!M49</f>
        <v>0</v>
      </c>
      <c r="N49" s="32">
        <f t="shared" si="94"/>
        <v>-1</v>
      </c>
      <c r="O49" s="31">
        <f>Recu3!O49</f>
        <v>0</v>
      </c>
      <c r="P49" s="32">
        <f t="shared" si="95"/>
        <v>-1</v>
      </c>
      <c r="Q49" s="31">
        <f>Recu3!Q49</f>
        <v>0</v>
      </c>
      <c r="R49" s="32">
        <f t="shared" si="96"/>
        <v>-1</v>
      </c>
      <c r="S49" s="31">
        <f>Recu3!S49</f>
        <v>0</v>
      </c>
      <c r="T49" s="32">
        <f t="shared" si="97"/>
        <v>-1</v>
      </c>
      <c r="U49" s="31">
        <f>Recu3!U49</f>
        <v>0</v>
      </c>
      <c r="V49" s="32">
        <f t="shared" si="98"/>
        <v>-1</v>
      </c>
      <c r="W49" s="31">
        <f>Recu3!W49</f>
        <v>0</v>
      </c>
      <c r="X49" s="32">
        <f t="shared" si="99"/>
        <v>-1</v>
      </c>
      <c r="Y49" s="31">
        <f>Recu3!Y49</f>
        <v>0</v>
      </c>
      <c r="Z49" s="32">
        <f t="shared" si="100"/>
        <v>-1</v>
      </c>
      <c r="AA49" s="31">
        <f>Recu3!AA49</f>
        <v>0</v>
      </c>
      <c r="AB49" s="32">
        <f t="shared" si="101"/>
        <v>-1</v>
      </c>
      <c r="AC49" s="31">
        <f>Recu3!AC49</f>
        <v>0</v>
      </c>
      <c r="AD49" s="32">
        <f t="shared" si="102"/>
        <v>-1</v>
      </c>
      <c r="AE49" s="31">
        <f>Recu3!AE49</f>
        <v>0</v>
      </c>
      <c r="AF49" s="32">
        <f t="shared" si="103"/>
        <v>-1</v>
      </c>
      <c r="AG49" s="31">
        <f>Recu3!AG49</f>
        <v>0</v>
      </c>
      <c r="AH49" s="32">
        <f t="shared" si="104"/>
        <v>-1</v>
      </c>
      <c r="AI49" s="31">
        <f>Recu3!AI49</f>
        <v>0</v>
      </c>
      <c r="AJ49" s="32">
        <f t="shared" si="105"/>
        <v>-1</v>
      </c>
      <c r="AK49" s="31">
        <f>Recu3!AK49</f>
        <v>0</v>
      </c>
      <c r="AL49" s="32">
        <f t="shared" si="106"/>
        <v>-1</v>
      </c>
      <c r="AM49" s="31">
        <f>Recu3!AM49</f>
        <v>0</v>
      </c>
      <c r="AN49" s="32">
        <f t="shared" si="107"/>
        <v>-1</v>
      </c>
      <c r="AO49" s="31">
        <f>Recu3!AO49</f>
        <v>0</v>
      </c>
      <c r="AP49" s="32">
        <f t="shared" si="108"/>
        <v>-1</v>
      </c>
      <c r="AQ49" s="31">
        <f>Recu3!AQ49</f>
        <v>0</v>
      </c>
      <c r="AR49" s="32">
        <f t="shared" si="109"/>
        <v>-1</v>
      </c>
      <c r="AS49" s="31">
        <f>Recu3!AS49</f>
        <v>0</v>
      </c>
      <c r="AT49" s="32">
        <f t="shared" si="110"/>
        <v>-1</v>
      </c>
      <c r="AU49" s="31">
        <f>Recu3!AU49</f>
        <v>0</v>
      </c>
      <c r="AV49" s="32">
        <f t="shared" si="111"/>
        <v>-1</v>
      </c>
      <c r="AW49" s="31">
        <f>Recu3!AW49</f>
        <v>0</v>
      </c>
      <c r="AX49" s="32">
        <f t="shared" si="112"/>
        <v>-1</v>
      </c>
      <c r="AY49" s="31">
        <f>Recu3!AY49</f>
        <v>0</v>
      </c>
      <c r="AZ49" s="32">
        <f t="shared" si="113"/>
        <v>-1</v>
      </c>
      <c r="BA49" s="31">
        <f>Recu3!BA49</f>
        <v>0</v>
      </c>
      <c r="BB49" s="32">
        <f t="shared" si="114"/>
        <v>-1</v>
      </c>
      <c r="BC49" s="31">
        <f>Recu3!BC49</f>
        <v>0</v>
      </c>
      <c r="BD49" s="32">
        <f t="shared" si="115"/>
        <v>-1</v>
      </c>
      <c r="BE49" s="31">
        <f>Recu3!BE49</f>
        <v>0</v>
      </c>
      <c r="BF49" s="32">
        <f t="shared" si="116"/>
        <v>-1</v>
      </c>
      <c r="BG49" s="31">
        <f>Recu3!BG49</f>
        <v>0</v>
      </c>
      <c r="BH49" s="32">
        <f t="shared" si="117"/>
        <v>-1</v>
      </c>
      <c r="BI49" s="31">
        <f>Recu3!BI49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Recu3!B50</f>
        <v>0</v>
      </c>
      <c r="C50" s="31">
        <f>Recu3!C50</f>
        <v>0</v>
      </c>
      <c r="D50" s="32">
        <f t="shared" si="89"/>
        <v>-1</v>
      </c>
      <c r="E50" s="31">
        <f>Recu3!E50</f>
        <v>0</v>
      </c>
      <c r="F50" s="32">
        <f t="shared" si="90"/>
        <v>-1</v>
      </c>
      <c r="G50" s="31">
        <f>Recu3!G50</f>
        <v>0</v>
      </c>
      <c r="H50" s="32">
        <f t="shared" si="91"/>
        <v>-1</v>
      </c>
      <c r="I50" s="31">
        <f>Recu3!I50</f>
        <v>0</v>
      </c>
      <c r="J50" s="32">
        <f t="shared" si="92"/>
        <v>-1</v>
      </c>
      <c r="K50" s="31">
        <f>Recu3!K50</f>
        <v>0</v>
      </c>
      <c r="L50" s="32">
        <f t="shared" si="93"/>
        <v>-1</v>
      </c>
      <c r="M50" s="31">
        <f>Recu3!M50</f>
        <v>0</v>
      </c>
      <c r="N50" s="32">
        <f t="shared" si="94"/>
        <v>-1</v>
      </c>
      <c r="O50" s="31">
        <f>Recu3!O50</f>
        <v>0</v>
      </c>
      <c r="P50" s="32">
        <f t="shared" si="95"/>
        <v>-1</v>
      </c>
      <c r="Q50" s="31">
        <f>Recu3!Q50</f>
        <v>0</v>
      </c>
      <c r="R50" s="32">
        <f t="shared" si="96"/>
        <v>-1</v>
      </c>
      <c r="S50" s="31">
        <f>Recu3!S50</f>
        <v>0</v>
      </c>
      <c r="T50" s="32">
        <f t="shared" si="97"/>
        <v>-1</v>
      </c>
      <c r="U50" s="31">
        <f>Recu3!U50</f>
        <v>0</v>
      </c>
      <c r="V50" s="32">
        <f t="shared" si="98"/>
        <v>-1</v>
      </c>
      <c r="W50" s="31">
        <f>Recu3!W50</f>
        <v>0</v>
      </c>
      <c r="X50" s="32">
        <f t="shared" si="99"/>
        <v>-1</v>
      </c>
      <c r="Y50" s="31">
        <f>Recu3!Y50</f>
        <v>0</v>
      </c>
      <c r="Z50" s="32">
        <f t="shared" si="100"/>
        <v>-1</v>
      </c>
      <c r="AA50" s="31">
        <f>Recu3!AA50</f>
        <v>0</v>
      </c>
      <c r="AB50" s="32">
        <f t="shared" si="101"/>
        <v>-1</v>
      </c>
      <c r="AC50" s="31">
        <f>Recu3!AC50</f>
        <v>0</v>
      </c>
      <c r="AD50" s="32">
        <f t="shared" si="102"/>
        <v>-1</v>
      </c>
      <c r="AE50" s="31">
        <f>Recu3!AE50</f>
        <v>0</v>
      </c>
      <c r="AF50" s="32">
        <f t="shared" si="103"/>
        <v>-1</v>
      </c>
      <c r="AG50" s="31">
        <f>Recu3!AG50</f>
        <v>0</v>
      </c>
      <c r="AH50" s="32">
        <f t="shared" si="104"/>
        <v>-1</v>
      </c>
      <c r="AI50" s="31">
        <f>Recu3!AI50</f>
        <v>0</v>
      </c>
      <c r="AJ50" s="32">
        <f t="shared" si="105"/>
        <v>-1</v>
      </c>
      <c r="AK50" s="31">
        <f>Recu3!AK50</f>
        <v>0</v>
      </c>
      <c r="AL50" s="32">
        <f t="shared" si="106"/>
        <v>-1</v>
      </c>
      <c r="AM50" s="31">
        <f>Recu3!AM50</f>
        <v>0</v>
      </c>
      <c r="AN50" s="32">
        <f t="shared" si="107"/>
        <v>-1</v>
      </c>
      <c r="AO50" s="31">
        <f>Recu3!AO50</f>
        <v>0</v>
      </c>
      <c r="AP50" s="32">
        <f t="shared" si="108"/>
        <v>-1</v>
      </c>
      <c r="AQ50" s="31">
        <f>Recu3!AQ50</f>
        <v>0</v>
      </c>
      <c r="AR50" s="32">
        <f t="shared" si="109"/>
        <v>-1</v>
      </c>
      <c r="AS50" s="31">
        <f>Recu3!AS50</f>
        <v>0</v>
      </c>
      <c r="AT50" s="32">
        <f t="shared" si="110"/>
        <v>-1</v>
      </c>
      <c r="AU50" s="31">
        <f>Recu3!AU50</f>
        <v>0</v>
      </c>
      <c r="AV50" s="32">
        <f t="shared" si="111"/>
        <v>-1</v>
      </c>
      <c r="AW50" s="31">
        <f>Recu3!AW50</f>
        <v>0</v>
      </c>
      <c r="AX50" s="32">
        <f t="shared" si="112"/>
        <v>-1</v>
      </c>
      <c r="AY50" s="31">
        <f>Recu3!AY50</f>
        <v>0</v>
      </c>
      <c r="AZ50" s="32">
        <f t="shared" si="113"/>
        <v>-1</v>
      </c>
      <c r="BA50" s="31">
        <f>Recu3!BA50</f>
        <v>0</v>
      </c>
      <c r="BB50" s="32">
        <f t="shared" si="114"/>
        <v>-1</v>
      </c>
      <c r="BC50" s="31">
        <f>Recu3!BC50</f>
        <v>0</v>
      </c>
      <c r="BD50" s="32">
        <f t="shared" si="115"/>
        <v>-1</v>
      </c>
      <c r="BE50" s="31">
        <f>Recu3!BE50</f>
        <v>0</v>
      </c>
      <c r="BF50" s="32">
        <f t="shared" si="116"/>
        <v>-1</v>
      </c>
      <c r="BG50" s="31">
        <f>Recu3!BG50</f>
        <v>0</v>
      </c>
      <c r="BH50" s="32">
        <f t="shared" si="117"/>
        <v>-1</v>
      </c>
      <c r="BI50" s="31">
        <f>Recu3!BI50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Recu3!B51</f>
        <v>0</v>
      </c>
      <c r="C51" s="31">
        <f>Recu3!C51</f>
        <v>0</v>
      </c>
      <c r="D51" s="32">
        <f t="shared" si="89"/>
        <v>-1</v>
      </c>
      <c r="E51" s="31">
        <f>Recu3!E51</f>
        <v>0</v>
      </c>
      <c r="F51" s="32">
        <f t="shared" si="90"/>
        <v>-1</v>
      </c>
      <c r="G51" s="31">
        <f>Recu3!G51</f>
        <v>0</v>
      </c>
      <c r="H51" s="32">
        <f t="shared" si="91"/>
        <v>-1</v>
      </c>
      <c r="I51" s="31">
        <f>Recu3!I51</f>
        <v>0</v>
      </c>
      <c r="J51" s="32">
        <f t="shared" si="92"/>
        <v>-1</v>
      </c>
      <c r="K51" s="31">
        <f>Recu3!K51</f>
        <v>0</v>
      </c>
      <c r="L51" s="32">
        <f t="shared" si="93"/>
        <v>-1</v>
      </c>
      <c r="M51" s="31">
        <f>Recu3!M51</f>
        <v>0</v>
      </c>
      <c r="N51" s="32">
        <f t="shared" si="94"/>
        <v>-1</v>
      </c>
      <c r="O51" s="31">
        <f>Recu3!O51</f>
        <v>0</v>
      </c>
      <c r="P51" s="32">
        <f t="shared" si="95"/>
        <v>-1</v>
      </c>
      <c r="Q51" s="31">
        <f>Recu3!Q51</f>
        <v>0</v>
      </c>
      <c r="R51" s="32">
        <f t="shared" si="96"/>
        <v>-1</v>
      </c>
      <c r="S51" s="31">
        <f>Recu3!S51</f>
        <v>0</v>
      </c>
      <c r="T51" s="32">
        <f t="shared" si="97"/>
        <v>-1</v>
      </c>
      <c r="U51" s="31">
        <f>Recu3!U51</f>
        <v>0</v>
      </c>
      <c r="V51" s="32">
        <f t="shared" si="98"/>
        <v>-1</v>
      </c>
      <c r="W51" s="31">
        <f>Recu3!W51</f>
        <v>0</v>
      </c>
      <c r="X51" s="32">
        <f t="shared" si="99"/>
        <v>-1</v>
      </c>
      <c r="Y51" s="31">
        <f>Recu3!Y51</f>
        <v>0</v>
      </c>
      <c r="Z51" s="32">
        <f t="shared" si="100"/>
        <v>-1</v>
      </c>
      <c r="AA51" s="31">
        <f>Recu3!AA51</f>
        <v>0</v>
      </c>
      <c r="AB51" s="32">
        <f t="shared" si="101"/>
        <v>-1</v>
      </c>
      <c r="AC51" s="31">
        <f>Recu3!AC51</f>
        <v>0</v>
      </c>
      <c r="AD51" s="32">
        <f t="shared" si="102"/>
        <v>-1</v>
      </c>
      <c r="AE51" s="31">
        <f>Recu3!AE51</f>
        <v>0</v>
      </c>
      <c r="AF51" s="32">
        <f t="shared" si="103"/>
        <v>-1</v>
      </c>
      <c r="AG51" s="31">
        <f>Recu3!AG51</f>
        <v>0</v>
      </c>
      <c r="AH51" s="32">
        <f t="shared" si="104"/>
        <v>-1</v>
      </c>
      <c r="AI51" s="31">
        <f>Recu3!AI51</f>
        <v>0</v>
      </c>
      <c r="AJ51" s="32">
        <f t="shared" si="105"/>
        <v>-1</v>
      </c>
      <c r="AK51" s="31">
        <f>Recu3!AK51</f>
        <v>0</v>
      </c>
      <c r="AL51" s="32">
        <f t="shared" si="106"/>
        <v>-1</v>
      </c>
      <c r="AM51" s="31">
        <f>Recu3!AM51</f>
        <v>0</v>
      </c>
      <c r="AN51" s="32">
        <f t="shared" si="107"/>
        <v>-1</v>
      </c>
      <c r="AO51" s="31">
        <f>Recu3!AO51</f>
        <v>0</v>
      </c>
      <c r="AP51" s="32">
        <f t="shared" si="108"/>
        <v>-1</v>
      </c>
      <c r="AQ51" s="31">
        <f>Recu3!AQ51</f>
        <v>0</v>
      </c>
      <c r="AR51" s="32">
        <f t="shared" si="109"/>
        <v>-1</v>
      </c>
      <c r="AS51" s="31">
        <f>Recu3!AS51</f>
        <v>0</v>
      </c>
      <c r="AT51" s="32">
        <f t="shared" si="110"/>
        <v>-1</v>
      </c>
      <c r="AU51" s="31">
        <f>Recu3!AU51</f>
        <v>0</v>
      </c>
      <c r="AV51" s="32">
        <f t="shared" si="111"/>
        <v>-1</v>
      </c>
      <c r="AW51" s="31">
        <f>Recu3!AW51</f>
        <v>0</v>
      </c>
      <c r="AX51" s="32">
        <f t="shared" si="112"/>
        <v>-1</v>
      </c>
      <c r="AY51" s="31">
        <f>Recu3!AY51</f>
        <v>0</v>
      </c>
      <c r="AZ51" s="32">
        <f t="shared" si="113"/>
        <v>-1</v>
      </c>
      <c r="BA51" s="31">
        <f>Recu3!BA51</f>
        <v>0</v>
      </c>
      <c r="BB51" s="32">
        <f t="shared" si="114"/>
        <v>-1</v>
      </c>
      <c r="BC51" s="31">
        <f>Recu3!BC51</f>
        <v>0</v>
      </c>
      <c r="BD51" s="32">
        <f t="shared" si="115"/>
        <v>-1</v>
      </c>
      <c r="BE51" s="31">
        <f>Recu3!BE51</f>
        <v>0</v>
      </c>
      <c r="BF51" s="32">
        <f t="shared" si="116"/>
        <v>-1</v>
      </c>
      <c r="BG51" s="31">
        <f>Recu3!BG51</f>
        <v>0</v>
      </c>
      <c r="BH51" s="32">
        <f t="shared" si="117"/>
        <v>-1</v>
      </c>
      <c r="BI51" s="31">
        <f>Recu3!BI51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Recu3!B52</f>
        <v>0</v>
      </c>
      <c r="C52" s="31">
        <f>Recu3!C52</f>
        <v>0</v>
      </c>
      <c r="D52" s="32">
        <f t="shared" si="89"/>
        <v>-1</v>
      </c>
      <c r="E52" s="31">
        <f>Recu3!E52</f>
        <v>0</v>
      </c>
      <c r="F52" s="32">
        <f t="shared" si="90"/>
        <v>-1</v>
      </c>
      <c r="G52" s="31">
        <f>Recu3!G52</f>
        <v>0</v>
      </c>
      <c r="H52" s="32">
        <f t="shared" si="91"/>
        <v>-1</v>
      </c>
      <c r="I52" s="31">
        <f>Recu3!I52</f>
        <v>0</v>
      </c>
      <c r="J52" s="32">
        <f t="shared" si="92"/>
        <v>-1</v>
      </c>
      <c r="K52" s="31">
        <f>Recu3!K52</f>
        <v>0</v>
      </c>
      <c r="L52" s="32">
        <f t="shared" si="93"/>
        <v>-1</v>
      </c>
      <c r="M52" s="31">
        <f>Recu3!M52</f>
        <v>0</v>
      </c>
      <c r="N52" s="32">
        <f t="shared" si="94"/>
        <v>-1</v>
      </c>
      <c r="O52" s="31">
        <f>Recu3!O52</f>
        <v>0</v>
      </c>
      <c r="P52" s="32">
        <f t="shared" si="95"/>
        <v>-1</v>
      </c>
      <c r="Q52" s="31">
        <f>Recu3!Q52</f>
        <v>0</v>
      </c>
      <c r="R52" s="32">
        <f t="shared" si="96"/>
        <v>-1</v>
      </c>
      <c r="S52" s="31">
        <f>Recu3!S52</f>
        <v>0</v>
      </c>
      <c r="T52" s="32">
        <f t="shared" si="97"/>
        <v>-1</v>
      </c>
      <c r="U52" s="31">
        <f>Recu3!U52</f>
        <v>0</v>
      </c>
      <c r="V52" s="32">
        <f t="shared" si="98"/>
        <v>-1</v>
      </c>
      <c r="W52" s="31">
        <f>Recu3!W52</f>
        <v>0</v>
      </c>
      <c r="X52" s="32">
        <f t="shared" si="99"/>
        <v>-1</v>
      </c>
      <c r="Y52" s="31">
        <f>Recu3!Y52</f>
        <v>0</v>
      </c>
      <c r="Z52" s="32">
        <f t="shared" si="100"/>
        <v>-1</v>
      </c>
      <c r="AA52" s="31">
        <f>Recu3!AA52</f>
        <v>0</v>
      </c>
      <c r="AB52" s="32">
        <f t="shared" si="101"/>
        <v>-1</v>
      </c>
      <c r="AC52" s="31">
        <f>Recu3!AC52</f>
        <v>0</v>
      </c>
      <c r="AD52" s="32">
        <f t="shared" si="102"/>
        <v>-1</v>
      </c>
      <c r="AE52" s="31">
        <f>Recu3!AE52</f>
        <v>0</v>
      </c>
      <c r="AF52" s="32">
        <f t="shared" si="103"/>
        <v>-1</v>
      </c>
      <c r="AG52" s="31">
        <f>Recu3!AG52</f>
        <v>0</v>
      </c>
      <c r="AH52" s="32">
        <f t="shared" si="104"/>
        <v>-1</v>
      </c>
      <c r="AI52" s="31">
        <f>Recu3!AI52</f>
        <v>0</v>
      </c>
      <c r="AJ52" s="32">
        <f t="shared" si="105"/>
        <v>-1</v>
      </c>
      <c r="AK52" s="31">
        <f>Recu3!AK52</f>
        <v>0</v>
      </c>
      <c r="AL52" s="32">
        <f t="shared" si="106"/>
        <v>-1</v>
      </c>
      <c r="AM52" s="31">
        <f>Recu3!AM52</f>
        <v>0</v>
      </c>
      <c r="AN52" s="32">
        <f t="shared" si="107"/>
        <v>-1</v>
      </c>
      <c r="AO52" s="31">
        <f>Recu3!AO52</f>
        <v>0</v>
      </c>
      <c r="AP52" s="32">
        <f t="shared" si="108"/>
        <v>-1</v>
      </c>
      <c r="AQ52" s="31">
        <f>Recu3!AQ52</f>
        <v>0</v>
      </c>
      <c r="AR52" s="32">
        <f t="shared" si="109"/>
        <v>-1</v>
      </c>
      <c r="AS52" s="31">
        <f>Recu3!AS52</f>
        <v>0</v>
      </c>
      <c r="AT52" s="32">
        <f t="shared" si="110"/>
        <v>-1</v>
      </c>
      <c r="AU52" s="31">
        <f>Recu3!AU52</f>
        <v>0</v>
      </c>
      <c r="AV52" s="32">
        <f t="shared" si="111"/>
        <v>-1</v>
      </c>
      <c r="AW52" s="31">
        <f>Recu3!AW52</f>
        <v>0</v>
      </c>
      <c r="AX52" s="32">
        <f t="shared" si="112"/>
        <v>-1</v>
      </c>
      <c r="AY52" s="31">
        <f>Recu3!AY52</f>
        <v>0</v>
      </c>
      <c r="AZ52" s="32">
        <f t="shared" si="113"/>
        <v>-1</v>
      </c>
      <c r="BA52" s="31">
        <f>Recu3!BA52</f>
        <v>0</v>
      </c>
      <c r="BB52" s="32">
        <f t="shared" si="114"/>
        <v>-1</v>
      </c>
      <c r="BC52" s="31">
        <f>Recu3!BC52</f>
        <v>0</v>
      </c>
      <c r="BD52" s="32">
        <f t="shared" si="115"/>
        <v>-1</v>
      </c>
      <c r="BE52" s="31">
        <f>Recu3!BE52</f>
        <v>0</v>
      </c>
      <c r="BF52" s="32">
        <f t="shared" si="116"/>
        <v>-1</v>
      </c>
      <c r="BG52" s="31">
        <f>Recu3!BG52</f>
        <v>0</v>
      </c>
      <c r="BH52" s="32">
        <f t="shared" si="117"/>
        <v>-1</v>
      </c>
      <c r="BI52" s="31">
        <f>Recu3!BI52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Recu3!B53</f>
        <v>0</v>
      </c>
      <c r="C53" s="31">
        <f>Recu3!C53</f>
        <v>0</v>
      </c>
      <c r="D53" s="32">
        <f t="shared" si="89"/>
        <v>-1</v>
      </c>
      <c r="E53" s="31">
        <f>Recu3!E53</f>
        <v>0</v>
      </c>
      <c r="F53" s="32">
        <f t="shared" si="90"/>
        <v>-1</v>
      </c>
      <c r="G53" s="31">
        <f>Recu3!G53</f>
        <v>0</v>
      </c>
      <c r="H53" s="32">
        <f t="shared" si="91"/>
        <v>-1</v>
      </c>
      <c r="I53" s="31">
        <f>Recu3!I53</f>
        <v>0</v>
      </c>
      <c r="J53" s="32">
        <f t="shared" si="92"/>
        <v>-1</v>
      </c>
      <c r="K53" s="31">
        <f>Recu3!K53</f>
        <v>0</v>
      </c>
      <c r="L53" s="32">
        <f t="shared" si="93"/>
        <v>-1</v>
      </c>
      <c r="M53" s="31">
        <f>Recu3!M53</f>
        <v>0</v>
      </c>
      <c r="N53" s="32">
        <f t="shared" si="94"/>
        <v>-1</v>
      </c>
      <c r="O53" s="31">
        <f>Recu3!O53</f>
        <v>0</v>
      </c>
      <c r="P53" s="32">
        <f t="shared" si="95"/>
        <v>-1</v>
      </c>
      <c r="Q53" s="31">
        <f>Recu3!Q53</f>
        <v>0</v>
      </c>
      <c r="R53" s="32">
        <f t="shared" si="96"/>
        <v>-1</v>
      </c>
      <c r="S53" s="31">
        <f>Recu3!S53</f>
        <v>0</v>
      </c>
      <c r="T53" s="32">
        <f t="shared" si="97"/>
        <v>-1</v>
      </c>
      <c r="U53" s="31">
        <f>Recu3!U53</f>
        <v>0</v>
      </c>
      <c r="V53" s="32">
        <f t="shared" si="98"/>
        <v>-1</v>
      </c>
      <c r="W53" s="31">
        <f>Recu3!W53</f>
        <v>0</v>
      </c>
      <c r="X53" s="32">
        <f t="shared" si="99"/>
        <v>-1</v>
      </c>
      <c r="Y53" s="31">
        <f>Recu3!Y53</f>
        <v>0</v>
      </c>
      <c r="Z53" s="32">
        <f t="shared" si="100"/>
        <v>-1</v>
      </c>
      <c r="AA53" s="31">
        <f>Recu3!AA53</f>
        <v>0</v>
      </c>
      <c r="AB53" s="32">
        <f t="shared" si="101"/>
        <v>-1</v>
      </c>
      <c r="AC53" s="31">
        <f>Recu3!AC53</f>
        <v>0</v>
      </c>
      <c r="AD53" s="32">
        <f t="shared" si="102"/>
        <v>-1</v>
      </c>
      <c r="AE53" s="31">
        <f>Recu3!AE53</f>
        <v>0</v>
      </c>
      <c r="AF53" s="32">
        <f t="shared" si="103"/>
        <v>-1</v>
      </c>
      <c r="AG53" s="31">
        <f>Recu3!AG53</f>
        <v>0</v>
      </c>
      <c r="AH53" s="32">
        <f t="shared" si="104"/>
        <v>-1</v>
      </c>
      <c r="AI53" s="31">
        <f>Recu3!AI53</f>
        <v>0</v>
      </c>
      <c r="AJ53" s="32">
        <f t="shared" si="105"/>
        <v>-1</v>
      </c>
      <c r="AK53" s="31">
        <f>Recu3!AK53</f>
        <v>0</v>
      </c>
      <c r="AL53" s="32">
        <f t="shared" si="106"/>
        <v>-1</v>
      </c>
      <c r="AM53" s="31">
        <f>Recu3!AM53</f>
        <v>0</v>
      </c>
      <c r="AN53" s="32">
        <f t="shared" si="107"/>
        <v>-1</v>
      </c>
      <c r="AO53" s="31">
        <f>Recu3!AO53</f>
        <v>0</v>
      </c>
      <c r="AP53" s="32">
        <f t="shared" si="108"/>
        <v>-1</v>
      </c>
      <c r="AQ53" s="31">
        <f>Recu3!AQ53</f>
        <v>0</v>
      </c>
      <c r="AR53" s="32">
        <f t="shared" si="109"/>
        <v>-1</v>
      </c>
      <c r="AS53" s="31">
        <f>Recu3!AS53</f>
        <v>0</v>
      </c>
      <c r="AT53" s="32">
        <f t="shared" si="110"/>
        <v>-1</v>
      </c>
      <c r="AU53" s="31">
        <f>Recu3!AU53</f>
        <v>0</v>
      </c>
      <c r="AV53" s="32">
        <f t="shared" si="111"/>
        <v>-1</v>
      </c>
      <c r="AW53" s="31">
        <f>Recu3!AW53</f>
        <v>0</v>
      </c>
      <c r="AX53" s="32">
        <f t="shared" si="112"/>
        <v>-1</v>
      </c>
      <c r="AY53" s="31">
        <f>Recu3!AY53</f>
        <v>0</v>
      </c>
      <c r="AZ53" s="32">
        <f t="shared" si="113"/>
        <v>-1</v>
      </c>
      <c r="BA53" s="31">
        <f>Recu3!BA53</f>
        <v>0</v>
      </c>
      <c r="BB53" s="32">
        <f t="shared" si="114"/>
        <v>-1</v>
      </c>
      <c r="BC53" s="31">
        <f>Recu3!BC53</f>
        <v>0</v>
      </c>
      <c r="BD53" s="32">
        <f t="shared" si="115"/>
        <v>-1</v>
      </c>
      <c r="BE53" s="31">
        <f>Recu3!BE53</f>
        <v>0</v>
      </c>
      <c r="BF53" s="32">
        <f t="shared" si="116"/>
        <v>-1</v>
      </c>
      <c r="BG53" s="31">
        <f>Recu3!BG53</f>
        <v>0</v>
      </c>
      <c r="BH53" s="32">
        <f t="shared" si="117"/>
        <v>-1</v>
      </c>
      <c r="BI53" s="31">
        <f>Recu3!BI53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Recu3!B54</f>
        <v>0</v>
      </c>
      <c r="C54" s="31">
        <f>Recu3!C54</f>
        <v>0</v>
      </c>
      <c r="D54" s="32">
        <f t="shared" si="89"/>
        <v>-1</v>
      </c>
      <c r="E54" s="31">
        <f>Recu3!E54</f>
        <v>0</v>
      </c>
      <c r="F54" s="32">
        <f t="shared" si="90"/>
        <v>-1</v>
      </c>
      <c r="G54" s="31">
        <f>Recu3!G54</f>
        <v>0</v>
      </c>
      <c r="H54" s="32">
        <f t="shared" si="91"/>
        <v>-1</v>
      </c>
      <c r="I54" s="31">
        <f>Recu3!I54</f>
        <v>0</v>
      </c>
      <c r="J54" s="32">
        <f t="shared" si="92"/>
        <v>-1</v>
      </c>
      <c r="K54" s="31">
        <f>Recu3!K54</f>
        <v>0</v>
      </c>
      <c r="L54" s="32">
        <f t="shared" si="93"/>
        <v>-1</v>
      </c>
      <c r="M54" s="31">
        <f>Recu3!M54</f>
        <v>0</v>
      </c>
      <c r="N54" s="32">
        <f t="shared" si="94"/>
        <v>-1</v>
      </c>
      <c r="O54" s="31">
        <f>Recu3!O54</f>
        <v>0</v>
      </c>
      <c r="P54" s="32">
        <f t="shared" si="95"/>
        <v>-1</v>
      </c>
      <c r="Q54" s="31">
        <f>Recu3!Q54</f>
        <v>0</v>
      </c>
      <c r="R54" s="32">
        <f t="shared" si="96"/>
        <v>-1</v>
      </c>
      <c r="S54" s="31">
        <f>Recu3!S54</f>
        <v>0</v>
      </c>
      <c r="T54" s="32">
        <f t="shared" si="97"/>
        <v>-1</v>
      </c>
      <c r="U54" s="31">
        <f>Recu3!U54</f>
        <v>0</v>
      </c>
      <c r="V54" s="32">
        <f t="shared" si="98"/>
        <v>-1</v>
      </c>
      <c r="W54" s="31">
        <f>Recu3!W54</f>
        <v>0</v>
      </c>
      <c r="X54" s="32">
        <f t="shared" si="99"/>
        <v>-1</v>
      </c>
      <c r="Y54" s="31">
        <f>Recu3!Y54</f>
        <v>0</v>
      </c>
      <c r="Z54" s="32">
        <f t="shared" si="100"/>
        <v>-1</v>
      </c>
      <c r="AA54" s="31">
        <f>Recu3!AA54</f>
        <v>0</v>
      </c>
      <c r="AB54" s="32">
        <f t="shared" si="101"/>
        <v>-1</v>
      </c>
      <c r="AC54" s="31">
        <f>Recu3!AC54</f>
        <v>0</v>
      </c>
      <c r="AD54" s="32">
        <f t="shared" si="102"/>
        <v>-1</v>
      </c>
      <c r="AE54" s="31">
        <f>Recu3!AE54</f>
        <v>0</v>
      </c>
      <c r="AF54" s="32">
        <f t="shared" si="103"/>
        <v>-1</v>
      </c>
      <c r="AG54" s="31">
        <f>Recu3!AG54</f>
        <v>0</v>
      </c>
      <c r="AH54" s="32">
        <f t="shared" si="104"/>
        <v>-1</v>
      </c>
      <c r="AI54" s="31">
        <f>Recu3!AI54</f>
        <v>0</v>
      </c>
      <c r="AJ54" s="32">
        <f t="shared" si="105"/>
        <v>-1</v>
      </c>
      <c r="AK54" s="31">
        <f>Recu3!AK54</f>
        <v>0</v>
      </c>
      <c r="AL54" s="32">
        <f t="shared" si="106"/>
        <v>-1</v>
      </c>
      <c r="AM54" s="31">
        <f>Recu3!AM54</f>
        <v>0</v>
      </c>
      <c r="AN54" s="32">
        <f t="shared" si="107"/>
        <v>-1</v>
      </c>
      <c r="AO54" s="31">
        <f>Recu3!AO54</f>
        <v>0</v>
      </c>
      <c r="AP54" s="32">
        <f t="shared" si="108"/>
        <v>-1</v>
      </c>
      <c r="AQ54" s="31">
        <f>Recu3!AQ54</f>
        <v>0</v>
      </c>
      <c r="AR54" s="32">
        <f t="shared" si="109"/>
        <v>-1</v>
      </c>
      <c r="AS54" s="31">
        <f>Recu3!AS54</f>
        <v>0</v>
      </c>
      <c r="AT54" s="32">
        <f t="shared" si="110"/>
        <v>-1</v>
      </c>
      <c r="AU54" s="31">
        <f>Recu3!AU54</f>
        <v>0</v>
      </c>
      <c r="AV54" s="32">
        <f t="shared" si="111"/>
        <v>-1</v>
      </c>
      <c r="AW54" s="31">
        <f>Recu3!AW54</f>
        <v>0</v>
      </c>
      <c r="AX54" s="32">
        <f t="shared" si="112"/>
        <v>-1</v>
      </c>
      <c r="AY54" s="31">
        <f>Recu3!AY54</f>
        <v>0</v>
      </c>
      <c r="AZ54" s="32">
        <f t="shared" si="113"/>
        <v>-1</v>
      </c>
      <c r="BA54" s="31">
        <f>Recu3!BA54</f>
        <v>0</v>
      </c>
      <c r="BB54" s="32">
        <f t="shared" si="114"/>
        <v>-1</v>
      </c>
      <c r="BC54" s="31">
        <f>Recu3!BC54</f>
        <v>0</v>
      </c>
      <c r="BD54" s="32">
        <f t="shared" si="115"/>
        <v>-1</v>
      </c>
      <c r="BE54" s="31">
        <f>Recu3!BE54</f>
        <v>0</v>
      </c>
      <c r="BF54" s="32">
        <f t="shared" si="116"/>
        <v>-1</v>
      </c>
      <c r="BG54" s="31">
        <f>Recu3!BG54</f>
        <v>0</v>
      </c>
      <c r="BH54" s="32">
        <f t="shared" si="117"/>
        <v>-1</v>
      </c>
      <c r="BI54" s="31">
        <f>Recu3!BI54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Recu3!B55</f>
        <v>0</v>
      </c>
      <c r="C55" s="31">
        <f>Recu3!C55</f>
        <v>0</v>
      </c>
      <c r="D55" s="32">
        <f t="shared" si="89"/>
        <v>-1</v>
      </c>
      <c r="E55" s="31">
        <f>Recu3!E55</f>
        <v>0</v>
      </c>
      <c r="F55" s="32">
        <f t="shared" si="90"/>
        <v>-1</v>
      </c>
      <c r="G55" s="31">
        <f>Recu3!G55</f>
        <v>0</v>
      </c>
      <c r="H55" s="32">
        <f t="shared" si="91"/>
        <v>-1</v>
      </c>
      <c r="I55" s="31">
        <f>Recu3!I55</f>
        <v>0</v>
      </c>
      <c r="J55" s="32">
        <f t="shared" si="92"/>
        <v>-1</v>
      </c>
      <c r="K55" s="31">
        <f>Recu3!K55</f>
        <v>0</v>
      </c>
      <c r="L55" s="32">
        <f t="shared" si="93"/>
        <v>-1</v>
      </c>
      <c r="M55" s="31">
        <f>Recu3!M55</f>
        <v>0</v>
      </c>
      <c r="N55" s="32">
        <f t="shared" si="94"/>
        <v>-1</v>
      </c>
      <c r="O55" s="31">
        <f>Recu3!O55</f>
        <v>0</v>
      </c>
      <c r="P55" s="32">
        <f t="shared" si="95"/>
        <v>-1</v>
      </c>
      <c r="Q55" s="31">
        <f>Recu3!Q55</f>
        <v>0</v>
      </c>
      <c r="R55" s="32">
        <f t="shared" si="96"/>
        <v>-1</v>
      </c>
      <c r="S55" s="31">
        <f>Recu3!S55</f>
        <v>0</v>
      </c>
      <c r="T55" s="32">
        <f t="shared" si="97"/>
        <v>-1</v>
      </c>
      <c r="U55" s="31">
        <f>Recu3!U55</f>
        <v>0</v>
      </c>
      <c r="V55" s="32">
        <f t="shared" si="98"/>
        <v>-1</v>
      </c>
      <c r="W55" s="31">
        <f>Recu3!W55</f>
        <v>0</v>
      </c>
      <c r="X55" s="32">
        <f t="shared" si="99"/>
        <v>-1</v>
      </c>
      <c r="Y55" s="31">
        <f>Recu3!Y55</f>
        <v>0</v>
      </c>
      <c r="Z55" s="32">
        <f t="shared" si="100"/>
        <v>-1</v>
      </c>
      <c r="AA55" s="31">
        <f>Recu3!AA55</f>
        <v>0</v>
      </c>
      <c r="AB55" s="32">
        <f t="shared" si="101"/>
        <v>-1</v>
      </c>
      <c r="AC55" s="31">
        <f>Recu3!AC55</f>
        <v>0</v>
      </c>
      <c r="AD55" s="32">
        <f t="shared" si="102"/>
        <v>-1</v>
      </c>
      <c r="AE55" s="31">
        <f>Recu3!AE55</f>
        <v>0</v>
      </c>
      <c r="AF55" s="32">
        <f t="shared" si="103"/>
        <v>-1</v>
      </c>
      <c r="AG55" s="31">
        <f>Recu3!AG55</f>
        <v>0</v>
      </c>
      <c r="AH55" s="32">
        <f t="shared" si="104"/>
        <v>-1</v>
      </c>
      <c r="AI55" s="31">
        <f>Recu3!AI55</f>
        <v>0</v>
      </c>
      <c r="AJ55" s="32">
        <f t="shared" si="105"/>
        <v>-1</v>
      </c>
      <c r="AK55" s="31">
        <f>Recu3!AK55</f>
        <v>0</v>
      </c>
      <c r="AL55" s="32">
        <f t="shared" si="106"/>
        <v>-1</v>
      </c>
      <c r="AM55" s="31">
        <f>Recu3!AM55</f>
        <v>0</v>
      </c>
      <c r="AN55" s="32">
        <f t="shared" si="107"/>
        <v>-1</v>
      </c>
      <c r="AO55" s="31">
        <f>Recu3!AO55</f>
        <v>0</v>
      </c>
      <c r="AP55" s="32">
        <f t="shared" si="108"/>
        <v>-1</v>
      </c>
      <c r="AQ55" s="31">
        <f>Recu3!AQ55</f>
        <v>0</v>
      </c>
      <c r="AR55" s="32">
        <f t="shared" si="109"/>
        <v>-1</v>
      </c>
      <c r="AS55" s="31">
        <f>Recu3!AS55</f>
        <v>0</v>
      </c>
      <c r="AT55" s="32">
        <f t="shared" si="110"/>
        <v>-1</v>
      </c>
      <c r="AU55" s="31">
        <f>Recu3!AU55</f>
        <v>0</v>
      </c>
      <c r="AV55" s="32">
        <f t="shared" si="111"/>
        <v>-1</v>
      </c>
      <c r="AW55" s="31">
        <f>Recu3!AW55</f>
        <v>0</v>
      </c>
      <c r="AX55" s="32">
        <f t="shared" si="112"/>
        <v>-1</v>
      </c>
      <c r="AY55" s="31">
        <f>Recu3!AY55</f>
        <v>0</v>
      </c>
      <c r="AZ55" s="32">
        <f t="shared" si="113"/>
        <v>-1</v>
      </c>
      <c r="BA55" s="31">
        <f>Recu3!BA55</f>
        <v>0</v>
      </c>
      <c r="BB55" s="32">
        <f t="shared" si="114"/>
        <v>-1</v>
      </c>
      <c r="BC55" s="31">
        <f>Recu3!BC55</f>
        <v>0</v>
      </c>
      <c r="BD55" s="32">
        <f t="shared" si="115"/>
        <v>-1</v>
      </c>
      <c r="BE55" s="31">
        <f>Recu3!BE55</f>
        <v>0</v>
      </c>
      <c r="BF55" s="32">
        <f t="shared" si="116"/>
        <v>-1</v>
      </c>
      <c r="BG55" s="31">
        <f>Recu3!BG55</f>
        <v>0</v>
      </c>
      <c r="BH55" s="32">
        <f t="shared" si="117"/>
        <v>-1</v>
      </c>
      <c r="BI55" s="31">
        <f>Recu3!BI55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Recu3!B56</f>
        <v>0</v>
      </c>
      <c r="C56" s="31">
        <f>Recu3!C56</f>
        <v>0</v>
      </c>
      <c r="D56" s="32">
        <f t="shared" si="89"/>
        <v>-1</v>
      </c>
      <c r="E56" s="31">
        <f>Recu3!E56</f>
        <v>0</v>
      </c>
      <c r="F56" s="32">
        <f t="shared" si="90"/>
        <v>-1</v>
      </c>
      <c r="G56" s="31">
        <f>Recu3!G56</f>
        <v>0</v>
      </c>
      <c r="H56" s="32">
        <f t="shared" si="91"/>
        <v>-1</v>
      </c>
      <c r="I56" s="31">
        <f>Recu3!I56</f>
        <v>0</v>
      </c>
      <c r="J56" s="32">
        <f t="shared" si="92"/>
        <v>-1</v>
      </c>
      <c r="K56" s="31">
        <f>Recu3!K56</f>
        <v>0</v>
      </c>
      <c r="L56" s="32">
        <f t="shared" si="93"/>
        <v>-1</v>
      </c>
      <c r="M56" s="31">
        <f>Recu3!M56</f>
        <v>0</v>
      </c>
      <c r="N56" s="32">
        <f t="shared" si="94"/>
        <v>-1</v>
      </c>
      <c r="O56" s="31">
        <f>Recu3!O56</f>
        <v>0</v>
      </c>
      <c r="P56" s="32">
        <f t="shared" si="95"/>
        <v>-1</v>
      </c>
      <c r="Q56" s="31">
        <f>Recu3!Q56</f>
        <v>0</v>
      </c>
      <c r="R56" s="32">
        <f t="shared" si="96"/>
        <v>-1</v>
      </c>
      <c r="S56" s="31">
        <f>Recu3!S56</f>
        <v>0</v>
      </c>
      <c r="T56" s="32">
        <f t="shared" si="97"/>
        <v>-1</v>
      </c>
      <c r="U56" s="31">
        <f>Recu3!U56</f>
        <v>0</v>
      </c>
      <c r="V56" s="32">
        <f t="shared" si="98"/>
        <v>-1</v>
      </c>
      <c r="W56" s="31">
        <f>Recu3!W56</f>
        <v>0</v>
      </c>
      <c r="X56" s="32">
        <f t="shared" si="99"/>
        <v>-1</v>
      </c>
      <c r="Y56" s="31">
        <f>Recu3!Y56</f>
        <v>0</v>
      </c>
      <c r="Z56" s="32">
        <f t="shared" si="100"/>
        <v>-1</v>
      </c>
      <c r="AA56" s="31">
        <f>Recu3!AA56</f>
        <v>0</v>
      </c>
      <c r="AB56" s="32">
        <f t="shared" si="101"/>
        <v>-1</v>
      </c>
      <c r="AC56" s="31">
        <f>Recu3!AC56</f>
        <v>0</v>
      </c>
      <c r="AD56" s="32">
        <f t="shared" si="102"/>
        <v>-1</v>
      </c>
      <c r="AE56" s="31">
        <f>Recu3!AE56</f>
        <v>0</v>
      </c>
      <c r="AF56" s="32">
        <f t="shared" si="103"/>
        <v>-1</v>
      </c>
      <c r="AG56" s="31">
        <f>Recu3!AG56</f>
        <v>0</v>
      </c>
      <c r="AH56" s="32">
        <f t="shared" si="104"/>
        <v>-1</v>
      </c>
      <c r="AI56" s="31">
        <f>Recu3!AI56</f>
        <v>0</v>
      </c>
      <c r="AJ56" s="32">
        <f t="shared" si="105"/>
        <v>-1</v>
      </c>
      <c r="AK56" s="31">
        <f>Recu3!AK56</f>
        <v>0</v>
      </c>
      <c r="AL56" s="32">
        <f t="shared" si="106"/>
        <v>-1</v>
      </c>
      <c r="AM56" s="31">
        <f>Recu3!AM56</f>
        <v>0</v>
      </c>
      <c r="AN56" s="32">
        <f t="shared" si="107"/>
        <v>-1</v>
      </c>
      <c r="AO56" s="31">
        <f>Recu3!AO56</f>
        <v>0</v>
      </c>
      <c r="AP56" s="32">
        <f t="shared" si="108"/>
        <v>-1</v>
      </c>
      <c r="AQ56" s="31">
        <f>Recu3!AQ56</f>
        <v>0</v>
      </c>
      <c r="AR56" s="32">
        <f t="shared" si="109"/>
        <v>-1</v>
      </c>
      <c r="AS56" s="31">
        <f>Recu3!AS56</f>
        <v>0</v>
      </c>
      <c r="AT56" s="32">
        <f t="shared" si="110"/>
        <v>-1</v>
      </c>
      <c r="AU56" s="31">
        <f>Recu3!AU56</f>
        <v>0</v>
      </c>
      <c r="AV56" s="32">
        <f t="shared" si="111"/>
        <v>-1</v>
      </c>
      <c r="AW56" s="31">
        <f>Recu3!AW56</f>
        <v>0</v>
      </c>
      <c r="AX56" s="32">
        <f t="shared" si="112"/>
        <v>-1</v>
      </c>
      <c r="AY56" s="31">
        <f>Recu3!AY56</f>
        <v>0</v>
      </c>
      <c r="AZ56" s="32">
        <f t="shared" si="113"/>
        <v>-1</v>
      </c>
      <c r="BA56" s="31">
        <f>Recu3!BA56</f>
        <v>0</v>
      </c>
      <c r="BB56" s="32">
        <f t="shared" si="114"/>
        <v>-1</v>
      </c>
      <c r="BC56" s="31">
        <f>Recu3!BC56</f>
        <v>0</v>
      </c>
      <c r="BD56" s="32">
        <f t="shared" si="115"/>
        <v>-1</v>
      </c>
      <c r="BE56" s="31">
        <f>Recu3!BE56</f>
        <v>0</v>
      </c>
      <c r="BF56" s="32">
        <f t="shared" si="116"/>
        <v>-1</v>
      </c>
      <c r="BG56" s="31">
        <f>Recu3!BG56</f>
        <v>0</v>
      </c>
      <c r="BH56" s="32">
        <f t="shared" si="117"/>
        <v>-1</v>
      </c>
      <c r="BI56" s="31">
        <f>Recu3!BI56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Recu3!B57</f>
        <v>0</v>
      </c>
      <c r="C57" s="31">
        <f>Recu3!C57</f>
        <v>0</v>
      </c>
      <c r="D57" s="32">
        <f t="shared" si="89"/>
        <v>-1</v>
      </c>
      <c r="E57" s="31">
        <f>Recu3!E57</f>
        <v>0</v>
      </c>
      <c r="F57" s="32">
        <f t="shared" si="90"/>
        <v>-1</v>
      </c>
      <c r="G57" s="31">
        <f>Recu3!G57</f>
        <v>0</v>
      </c>
      <c r="H57" s="32">
        <f t="shared" si="91"/>
        <v>-1</v>
      </c>
      <c r="I57" s="31">
        <f>Recu3!I57</f>
        <v>0</v>
      </c>
      <c r="J57" s="32">
        <f t="shared" si="92"/>
        <v>-1</v>
      </c>
      <c r="K57" s="31">
        <f>Recu3!K57</f>
        <v>0</v>
      </c>
      <c r="L57" s="32">
        <f t="shared" si="93"/>
        <v>-1</v>
      </c>
      <c r="M57" s="31">
        <f>Recu3!M57</f>
        <v>0</v>
      </c>
      <c r="N57" s="32">
        <f t="shared" si="94"/>
        <v>-1</v>
      </c>
      <c r="O57" s="31">
        <f>Recu3!O57</f>
        <v>0</v>
      </c>
      <c r="P57" s="32">
        <f t="shared" si="95"/>
        <v>-1</v>
      </c>
      <c r="Q57" s="31">
        <f>Recu3!Q57</f>
        <v>0</v>
      </c>
      <c r="R57" s="32">
        <f t="shared" si="96"/>
        <v>-1</v>
      </c>
      <c r="S57" s="31">
        <f>Recu3!S57</f>
        <v>0</v>
      </c>
      <c r="T57" s="32">
        <f t="shared" si="97"/>
        <v>-1</v>
      </c>
      <c r="U57" s="31">
        <f>Recu3!U57</f>
        <v>0</v>
      </c>
      <c r="V57" s="32">
        <f t="shared" si="98"/>
        <v>-1</v>
      </c>
      <c r="W57" s="31">
        <f>Recu3!W57</f>
        <v>0</v>
      </c>
      <c r="X57" s="32">
        <f t="shared" si="99"/>
        <v>-1</v>
      </c>
      <c r="Y57" s="31">
        <f>Recu3!Y57</f>
        <v>0</v>
      </c>
      <c r="Z57" s="32">
        <f t="shared" si="100"/>
        <v>-1</v>
      </c>
      <c r="AA57" s="31">
        <f>Recu3!AA57</f>
        <v>0</v>
      </c>
      <c r="AB57" s="32">
        <f t="shared" si="101"/>
        <v>-1</v>
      </c>
      <c r="AC57" s="31">
        <f>Recu3!AC57</f>
        <v>0</v>
      </c>
      <c r="AD57" s="32">
        <f t="shared" si="102"/>
        <v>-1</v>
      </c>
      <c r="AE57" s="31">
        <f>Recu3!AE57</f>
        <v>0</v>
      </c>
      <c r="AF57" s="32">
        <f t="shared" si="103"/>
        <v>-1</v>
      </c>
      <c r="AG57" s="31">
        <f>Recu3!AG57</f>
        <v>0</v>
      </c>
      <c r="AH57" s="32">
        <f t="shared" si="104"/>
        <v>-1</v>
      </c>
      <c r="AI57" s="31">
        <f>Recu3!AI57</f>
        <v>0</v>
      </c>
      <c r="AJ57" s="32">
        <f t="shared" si="105"/>
        <v>-1</v>
      </c>
      <c r="AK57" s="31">
        <f>Recu3!AK57</f>
        <v>0</v>
      </c>
      <c r="AL57" s="32">
        <f t="shared" si="106"/>
        <v>-1</v>
      </c>
      <c r="AM57" s="31">
        <f>Recu3!AM57</f>
        <v>0</v>
      </c>
      <c r="AN57" s="32">
        <f t="shared" si="107"/>
        <v>-1</v>
      </c>
      <c r="AO57" s="31">
        <f>Recu3!AO57</f>
        <v>0</v>
      </c>
      <c r="AP57" s="32">
        <f t="shared" si="108"/>
        <v>-1</v>
      </c>
      <c r="AQ57" s="31">
        <f>Recu3!AQ57</f>
        <v>0</v>
      </c>
      <c r="AR57" s="32">
        <f t="shared" si="109"/>
        <v>-1</v>
      </c>
      <c r="AS57" s="31">
        <f>Recu3!AS57</f>
        <v>0</v>
      </c>
      <c r="AT57" s="32">
        <f t="shared" si="110"/>
        <v>-1</v>
      </c>
      <c r="AU57" s="31">
        <f>Recu3!AU57</f>
        <v>0</v>
      </c>
      <c r="AV57" s="32">
        <f t="shared" si="111"/>
        <v>-1</v>
      </c>
      <c r="AW57" s="31">
        <f>Recu3!AW57</f>
        <v>0</v>
      </c>
      <c r="AX57" s="32">
        <f t="shared" si="112"/>
        <v>-1</v>
      </c>
      <c r="AY57" s="31">
        <f>Recu3!AY57</f>
        <v>0</v>
      </c>
      <c r="AZ57" s="32">
        <f t="shared" si="113"/>
        <v>-1</v>
      </c>
      <c r="BA57" s="31">
        <f>Recu3!BA57</f>
        <v>0</v>
      </c>
      <c r="BB57" s="32">
        <f t="shared" si="114"/>
        <v>-1</v>
      </c>
      <c r="BC57" s="31">
        <f>Recu3!BC57</f>
        <v>0</v>
      </c>
      <c r="BD57" s="32">
        <f t="shared" si="115"/>
        <v>-1</v>
      </c>
      <c r="BE57" s="31">
        <f>Recu3!BE57</f>
        <v>0</v>
      </c>
      <c r="BF57" s="32">
        <f t="shared" si="116"/>
        <v>-1</v>
      </c>
      <c r="BG57" s="31">
        <f>Recu3!BG57</f>
        <v>0</v>
      </c>
      <c r="BH57" s="32">
        <f t="shared" si="117"/>
        <v>-1</v>
      </c>
      <c r="BI57" s="31">
        <f>Recu3!BI57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Recu3!B58</f>
        <v>0</v>
      </c>
      <c r="C58" s="31">
        <f>Recu3!C58</f>
        <v>0</v>
      </c>
      <c r="D58" s="32">
        <f t="shared" si="89"/>
        <v>-1</v>
      </c>
      <c r="E58" s="31">
        <f>Recu3!E58</f>
        <v>0</v>
      </c>
      <c r="F58" s="32">
        <f t="shared" si="90"/>
        <v>-1</v>
      </c>
      <c r="G58" s="31">
        <f>Recu3!G58</f>
        <v>0</v>
      </c>
      <c r="H58" s="32">
        <f t="shared" si="91"/>
        <v>-1</v>
      </c>
      <c r="I58" s="31">
        <f>Recu3!I58</f>
        <v>0</v>
      </c>
      <c r="J58" s="32">
        <f t="shared" si="92"/>
        <v>-1</v>
      </c>
      <c r="K58" s="31">
        <f>Recu3!K58</f>
        <v>0</v>
      </c>
      <c r="L58" s="32">
        <f t="shared" si="93"/>
        <v>-1</v>
      </c>
      <c r="M58" s="31">
        <f>Recu3!M58</f>
        <v>0</v>
      </c>
      <c r="N58" s="32">
        <f t="shared" si="94"/>
        <v>-1</v>
      </c>
      <c r="O58" s="31">
        <f>Recu3!O58</f>
        <v>0</v>
      </c>
      <c r="P58" s="32">
        <f t="shared" si="95"/>
        <v>-1</v>
      </c>
      <c r="Q58" s="31">
        <f>Recu3!Q58</f>
        <v>0</v>
      </c>
      <c r="R58" s="32">
        <f t="shared" si="96"/>
        <v>-1</v>
      </c>
      <c r="S58" s="31">
        <f>Recu3!S58</f>
        <v>0</v>
      </c>
      <c r="T58" s="32">
        <f t="shared" si="97"/>
        <v>-1</v>
      </c>
      <c r="U58" s="31">
        <f>Recu3!U58</f>
        <v>0</v>
      </c>
      <c r="V58" s="32">
        <f t="shared" si="98"/>
        <v>-1</v>
      </c>
      <c r="W58" s="31">
        <f>Recu3!W58</f>
        <v>0</v>
      </c>
      <c r="X58" s="32">
        <f t="shared" si="99"/>
        <v>-1</v>
      </c>
      <c r="Y58" s="31">
        <f>Recu3!Y58</f>
        <v>0</v>
      </c>
      <c r="Z58" s="32">
        <f t="shared" si="100"/>
        <v>-1</v>
      </c>
      <c r="AA58" s="31">
        <f>Recu3!AA58</f>
        <v>0</v>
      </c>
      <c r="AB58" s="32">
        <f t="shared" si="101"/>
        <v>-1</v>
      </c>
      <c r="AC58" s="31">
        <f>Recu3!AC58</f>
        <v>0</v>
      </c>
      <c r="AD58" s="32">
        <f t="shared" si="102"/>
        <v>-1</v>
      </c>
      <c r="AE58" s="31">
        <f>Recu3!AE58</f>
        <v>0</v>
      </c>
      <c r="AF58" s="32">
        <f t="shared" si="103"/>
        <v>-1</v>
      </c>
      <c r="AG58" s="31">
        <f>Recu3!AG58</f>
        <v>0</v>
      </c>
      <c r="AH58" s="32">
        <f t="shared" si="104"/>
        <v>-1</v>
      </c>
      <c r="AI58" s="31">
        <f>Recu3!AI58</f>
        <v>0</v>
      </c>
      <c r="AJ58" s="32">
        <f t="shared" si="105"/>
        <v>-1</v>
      </c>
      <c r="AK58" s="31">
        <f>Recu3!AK58</f>
        <v>0</v>
      </c>
      <c r="AL58" s="32">
        <f t="shared" si="106"/>
        <v>-1</v>
      </c>
      <c r="AM58" s="31">
        <f>Recu3!AM58</f>
        <v>0</v>
      </c>
      <c r="AN58" s="32">
        <f t="shared" si="107"/>
        <v>-1</v>
      </c>
      <c r="AO58" s="31">
        <f>Recu3!AO58</f>
        <v>0</v>
      </c>
      <c r="AP58" s="32">
        <f t="shared" si="108"/>
        <v>-1</v>
      </c>
      <c r="AQ58" s="31">
        <f>Recu3!AQ58</f>
        <v>0</v>
      </c>
      <c r="AR58" s="32">
        <f t="shared" si="109"/>
        <v>-1</v>
      </c>
      <c r="AS58" s="31">
        <f>Recu3!AS58</f>
        <v>0</v>
      </c>
      <c r="AT58" s="32">
        <f t="shared" si="110"/>
        <v>-1</v>
      </c>
      <c r="AU58" s="31">
        <f>Recu3!AU58</f>
        <v>0</v>
      </c>
      <c r="AV58" s="32">
        <f t="shared" si="111"/>
        <v>-1</v>
      </c>
      <c r="AW58" s="31">
        <f>Recu3!AW58</f>
        <v>0</v>
      </c>
      <c r="AX58" s="32">
        <f t="shared" si="112"/>
        <v>-1</v>
      </c>
      <c r="AY58" s="31">
        <f>Recu3!AY58</f>
        <v>0</v>
      </c>
      <c r="AZ58" s="32">
        <f t="shared" si="113"/>
        <v>-1</v>
      </c>
      <c r="BA58" s="31">
        <f>Recu3!BA58</f>
        <v>0</v>
      </c>
      <c r="BB58" s="32">
        <f t="shared" si="114"/>
        <v>-1</v>
      </c>
      <c r="BC58" s="31">
        <f>Recu3!BC58</f>
        <v>0</v>
      </c>
      <c r="BD58" s="32">
        <f t="shared" si="115"/>
        <v>-1</v>
      </c>
      <c r="BE58" s="31">
        <f>Recu3!BE58</f>
        <v>0</v>
      </c>
      <c r="BF58" s="32">
        <f t="shared" si="116"/>
        <v>-1</v>
      </c>
      <c r="BG58" s="31">
        <f>Recu3!BG58</f>
        <v>0</v>
      </c>
      <c r="BH58" s="32">
        <f t="shared" si="117"/>
        <v>-1</v>
      </c>
      <c r="BI58" s="31">
        <f>Recu3!BI58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8">
        <f>IF(SUM($B60:$B63)&lt;&gt;0,SUM(C60:C63)/SUM($B60:$B63)*$B59*10, "")</f>
        <v>0.67499999608844519</v>
      </c>
      <c r="D59" s="58"/>
      <c r="E59" s="58">
        <f>IF(SUM($B60:$B63)&lt;&gt;0,SUM(E60:E63)/SUM($B60:$B63)*$B59*10, "")</f>
        <v>1.125</v>
      </c>
      <c r="F59" s="58"/>
      <c r="G59" s="58">
        <f>IF(SUM($B60:$B63)&lt;&gt;0,SUM(G60:G63)/SUM($B60:$B63)*$B59*10, "")</f>
        <v>0.78750001452863216</v>
      </c>
      <c r="H59" s="58"/>
      <c r="I59" s="58">
        <f>IF(SUM($B60:$B63)&lt;&gt;0,SUM(I60:I63)/SUM($B60:$B63)*$B59*10, "")</f>
        <v>0.82500000111758709</v>
      </c>
      <c r="J59" s="58"/>
      <c r="K59" s="58">
        <f>IF(SUM($B60:$B63)&lt;&gt;0,SUM(K60:K63)/SUM($B60:$B63)*$B59*10, "")</f>
        <v>1.0499999932944775</v>
      </c>
      <c r="L59" s="58"/>
      <c r="M59" s="58">
        <f>IF(SUM($B60:$B63)&lt;&gt;0,SUM(M60:M63)/SUM($B60:$B63)*$B59*10, "")</f>
        <v>0.30000000726431608</v>
      </c>
      <c r="N59" s="58"/>
      <c r="O59" s="58">
        <f>IF(SUM($B60:$B63)&lt;&gt;0,SUM(O60:O63)/SUM($B60:$B63)*$B59*10, "")</f>
        <v>0.78750002011656761</v>
      </c>
      <c r="P59" s="58"/>
      <c r="Q59" s="58">
        <f>IF(SUM($B60:$B63)&lt;&gt;0,SUM(Q60:Q63)/SUM($B60:$B63)*$B59*10, "")</f>
        <v>0.52500001341104507</v>
      </c>
      <c r="R59" s="58"/>
      <c r="S59" s="58">
        <f>IF(SUM($B60:$B63)&lt;&gt;0,SUM(S60:S63)/SUM($B60:$B63)*$B59*10, "")</f>
        <v>0.63750001229345798</v>
      </c>
      <c r="T59" s="58"/>
      <c r="U59" s="58">
        <f>IF(SUM($B60:$B63)&lt;&gt;0,SUM(U60:U63)/SUM($B60:$B63)*$B59*10, "")</f>
        <v>0.52499999944120646</v>
      </c>
      <c r="V59" s="58"/>
      <c r="W59" s="58">
        <f>IF(SUM($B60:$B63)&lt;&gt;0,SUM(W60:W63)/SUM($B60:$B63)*$B59*10, "")</f>
        <v>0.97499999776482582</v>
      </c>
      <c r="X59" s="58"/>
      <c r="Y59" s="58">
        <f>IF(SUM($B60:$B63)&lt;&gt;0,SUM(Y60:Y63)/SUM($B60:$B63)*$B59*10, "")</f>
        <v>0.67500001005828381</v>
      </c>
      <c r="Z59" s="58"/>
      <c r="AA59" s="58">
        <f>IF(SUM($B60:$B63)&lt;&gt;0,SUM(AA60:AA63)/SUM($B60:$B63)*$B59*10, "")</f>
        <v>0.45000001229345798</v>
      </c>
      <c r="AB59" s="58"/>
      <c r="AC59" s="58">
        <f>IF(SUM($B60:$B63)&lt;&gt;0,SUM(AC60:AC63)/SUM($B60:$B63)*$B59*10, "")</f>
        <v>1.1249999776482582</v>
      </c>
      <c r="AD59" s="58"/>
      <c r="AE59" s="58">
        <f>IF(SUM($B60:$B63)&lt;&gt;0,SUM(AE60:AE63)/SUM($B60:$B63)*$B59*10, "")</f>
        <v>0.56250001955777407</v>
      </c>
      <c r="AF59" s="58"/>
      <c r="AG59" s="58">
        <f>IF(SUM($B60:$B63)&lt;&gt;0,SUM(AG60:AG63)/SUM($B60:$B63)*$B59*10, "")</f>
        <v>0.9375</v>
      </c>
      <c r="AH59" s="58"/>
      <c r="AI59" s="58">
        <f>IF(SUM($B60:$B63)&lt;&gt;0,SUM(AI60:AI63)/SUM($B60:$B63)*$B59*10, "")</f>
        <v>0.45000000670552254</v>
      </c>
      <c r="AJ59" s="58"/>
      <c r="AK59" s="58">
        <f>IF(SUM($B60:$B63)&lt;&gt;0,SUM(AK60:AK63)/SUM($B60:$B63)*$B59*10, "")</f>
        <v>0.89999999105930328</v>
      </c>
      <c r="AL59" s="58"/>
      <c r="AM59" s="58">
        <f>IF(SUM($B60:$B63)&lt;&gt;0,SUM(AM60:AM63)/SUM($B60:$B63)*$B59*10, "")</f>
        <v>0.45000000949949026</v>
      </c>
      <c r="AN59" s="58"/>
      <c r="AO59" s="58">
        <f>IF(SUM($B60:$B63)&lt;&gt;0,SUM(AO60:AO63)/SUM($B60:$B63)*$B59*10, "")</f>
        <v>0.78749999217689037</v>
      </c>
      <c r="AP59" s="58"/>
      <c r="AQ59" s="58">
        <f>IF(SUM($B60:$B63)&lt;&gt;0,SUM(AQ60:AQ63)/SUM($B60:$B63)*$B59*10, "")</f>
        <v>0.52500000782310963</v>
      </c>
      <c r="AR59" s="58"/>
      <c r="AS59" s="58">
        <f>IF(SUM($B60:$B63)&lt;&gt;0,SUM(AS60:AS63)/SUM($B60:$B63)*$B59*10, "")</f>
        <v>0.90000002458691597</v>
      </c>
      <c r="AT59" s="58"/>
      <c r="AU59" s="58">
        <f>IF(SUM($B60:$B63)&lt;&gt;0,SUM(AU60:AU63)/SUM($B60:$B63)*$B59*10, "")</f>
        <v>0.5625</v>
      </c>
      <c r="AV59" s="58"/>
      <c r="AW59" s="58">
        <f>IF(SUM($B60:$B63)&lt;&gt;0,SUM(AW60:AW63)/SUM($B60:$B63)*$B59*10, "")</f>
        <v>0.67499999888241291</v>
      </c>
      <c r="AX59" s="58"/>
      <c r="AY59" s="58">
        <f>IF(SUM($B60:$B63)&lt;&gt;0,SUM(AY60:AY63)/SUM($B60:$B63)*$B59*10, "")</f>
        <v>0.82499999273568392</v>
      </c>
      <c r="AZ59" s="58"/>
      <c r="BA59" s="58">
        <f>IF(SUM($B60:$B63)&lt;&gt;0,SUM(BA60:BA63)/SUM($B60:$B63)*$B59*10, "")</f>
        <v>0.82500000949949026</v>
      </c>
      <c r="BB59" s="58"/>
      <c r="BC59" s="58">
        <f>IF(SUM($B60:$B63)&lt;&gt;0,SUM(BC60:BC63)/SUM($B60:$B63)*$B59*10, "")</f>
        <v>0.86249999329447746</v>
      </c>
      <c r="BD59" s="58"/>
      <c r="BE59" s="58">
        <f>IF(SUM($B60:$B63)&lt;&gt;0,SUM(BE60:BE63)/SUM($B60:$B63)*$B59*10, "")</f>
        <v>0.63750000111758698</v>
      </c>
      <c r="BF59" s="58"/>
      <c r="BG59" s="58">
        <f>IF(SUM($B60:$B63)&lt;&gt;0,SUM(BG60:BG63)/SUM($B60:$B63)*$B59*10, "")</f>
        <v>0.78750001452863216</v>
      </c>
      <c r="BH59" s="58"/>
      <c r="BI59" s="58">
        <f>IF(SUM($B60:$B63)&lt;&gt;0,SUM(BI60:BI63)/SUM($B60:$B63)*$B59*10, "")</f>
        <v>0.56250001396983862</v>
      </c>
      <c r="BJ59" s="58"/>
    </row>
    <row r="60" spans="1:62" ht="28" x14ac:dyDescent="0.2">
      <c r="A60" s="2" t="s">
        <v>59</v>
      </c>
      <c r="B60" s="13">
        <f>Recu3!B60</f>
        <v>2.5</v>
      </c>
      <c r="C60" s="31">
        <f>Recu3!C60</f>
        <v>0</v>
      </c>
      <c r="D60" s="32">
        <f>IF($B60,C60/$B60,-1)</f>
        <v>0</v>
      </c>
      <c r="E60" s="31">
        <f>Recu3!E60</f>
        <v>0.75000002980232239</v>
      </c>
      <c r="F60" s="32">
        <f>IF($B60,E60/$B60,-1)</f>
        <v>0.30000001192092896</v>
      </c>
      <c r="G60" s="31">
        <f>Recu3!G60</f>
        <v>2.5</v>
      </c>
      <c r="H60" s="32">
        <f>IF($B60,G60/$B60,-1)</f>
        <v>1</v>
      </c>
      <c r="I60" s="31">
        <f>Recu3!I60</f>
        <v>0.75000002980232239</v>
      </c>
      <c r="J60" s="32">
        <f>IF($B60,I60/$B60,-1)</f>
        <v>0.30000001192092896</v>
      </c>
      <c r="K60" s="31">
        <f>Recu3!K60</f>
        <v>1.7499999701976776</v>
      </c>
      <c r="L60" s="32">
        <f>IF($B60,K60/$B60,-1)</f>
        <v>0.69999998807907104</v>
      </c>
      <c r="M60" s="31">
        <f>Recu3!M60</f>
        <v>0.75000002980232239</v>
      </c>
      <c r="N60" s="32">
        <f>IF($B60,M60/$B60,-1)</f>
        <v>0.30000001192092896</v>
      </c>
      <c r="O60" s="31">
        <f>Recu3!O60</f>
        <v>1.0000000149011612</v>
      </c>
      <c r="P60" s="32">
        <f>IF($B60,O60/$B60,-1)</f>
        <v>0.40000000596046448</v>
      </c>
      <c r="Q60" s="31">
        <f>Recu3!Q60</f>
        <v>0.75000002980232239</v>
      </c>
      <c r="R60" s="32">
        <f>IF($B60,Q60/$B60,-1)</f>
        <v>0.30000001192092896</v>
      </c>
      <c r="S60" s="31">
        <f>Recu3!S60</f>
        <v>0.5000000074505806</v>
      </c>
      <c r="T60" s="32">
        <f>IF($B60,S60/$B60,-1)</f>
        <v>0.20000000298023224</v>
      </c>
      <c r="U60" s="31">
        <f>Recu3!U60</f>
        <v>0.5000000074505806</v>
      </c>
      <c r="V60" s="32">
        <f>IF($B60,U60/$B60,-1)</f>
        <v>0.20000000298023224</v>
      </c>
      <c r="W60" s="31">
        <f>Recu3!W60</f>
        <v>1.0000000149011612</v>
      </c>
      <c r="X60" s="32">
        <f>IF($B60,W60/$B60,-1)</f>
        <v>0.40000000596046448</v>
      </c>
      <c r="Y60" s="31">
        <f>Recu3!Y60</f>
        <v>1.5000000596046448</v>
      </c>
      <c r="Z60" s="32">
        <f>IF($B60,Y60/$B60,-1)</f>
        <v>0.60000002384185791</v>
      </c>
      <c r="AA60" s="31">
        <f>Recu3!AA60</f>
        <v>0.5000000074505806</v>
      </c>
      <c r="AB60" s="32">
        <f>IF($B60,AA60/$B60,-1)</f>
        <v>0.20000000298023224</v>
      </c>
      <c r="AC60" s="31">
        <f>Recu3!AC60</f>
        <v>1.7499999701976776</v>
      </c>
      <c r="AD60" s="32">
        <f>IF($B60,AC60/$B60,-1)</f>
        <v>0.69999998807907104</v>
      </c>
      <c r="AE60" s="31">
        <f>Recu3!AE60</f>
        <v>1.5000000596046448</v>
      </c>
      <c r="AF60" s="32">
        <f>IF($B60,AE60/$B60,-1)</f>
        <v>0.60000002384185791</v>
      </c>
      <c r="AG60" s="31">
        <f>Recu3!AG60</f>
        <v>1.5000000596046448</v>
      </c>
      <c r="AH60" s="32">
        <f>IF($B60,AG60/$B60,-1)</f>
        <v>0.60000002384185791</v>
      </c>
      <c r="AI60" s="31">
        <f>Recu3!AI60</f>
        <v>0</v>
      </c>
      <c r="AJ60" s="32">
        <f>IF($B60,AI60/$B60,-1)</f>
        <v>0</v>
      </c>
      <c r="AK60" s="31">
        <f>Recu3!AK60</f>
        <v>0</v>
      </c>
      <c r="AL60" s="32">
        <f>IF($B60,AK60/$B60,-1)</f>
        <v>0</v>
      </c>
      <c r="AM60" s="31">
        <f>Recu3!AM60</f>
        <v>0.2500000037252903</v>
      </c>
      <c r="AN60" s="32">
        <f>IF($B60,AM60/$B60,-1)</f>
        <v>0.10000000149011612</v>
      </c>
      <c r="AO60" s="31">
        <f>Recu3!AO60</f>
        <v>0.5000000074505806</v>
      </c>
      <c r="AP60" s="32">
        <f>IF($B60,AO60/$B60,-1)</f>
        <v>0.20000000298023224</v>
      </c>
      <c r="AQ60" s="31">
        <f>Recu3!AQ60</f>
        <v>1.0000000149011612</v>
      </c>
      <c r="AR60" s="32">
        <f>IF($B60,AQ60/$B60,-1)</f>
        <v>0.40000000596046448</v>
      </c>
      <c r="AS60" s="31">
        <f>Recu3!AS60</f>
        <v>1.5000000596046448</v>
      </c>
      <c r="AT60" s="32">
        <f>IF($B60,AS60/$B60,-1)</f>
        <v>0.60000002384185791</v>
      </c>
      <c r="AU60" s="31">
        <f>Recu3!AU60</f>
        <v>0.75000002980232239</v>
      </c>
      <c r="AV60" s="32">
        <f>IF($B60,AU60/$B60,-1)</f>
        <v>0.30000001192092896</v>
      </c>
      <c r="AW60" s="31">
        <f>Recu3!AW60</f>
        <v>2.2499999403953552</v>
      </c>
      <c r="AX60" s="32">
        <f>IF($B60,AW60/$B60,-1)</f>
        <v>0.89999997615814209</v>
      </c>
      <c r="AY60" s="31">
        <f>Recu3!AY60</f>
        <v>2.2499999403953552</v>
      </c>
      <c r="AZ60" s="32">
        <f>IF($B60,AY60/$B60,-1)</f>
        <v>0.89999997615814209</v>
      </c>
      <c r="BA60" s="31">
        <f>Recu3!BA60</f>
        <v>1.25</v>
      </c>
      <c r="BB60" s="32">
        <f>IF($B60,BA60/$B60,-1)</f>
        <v>0.5</v>
      </c>
      <c r="BC60" s="31">
        <f>Recu3!BC60</f>
        <v>1.0000000149011612</v>
      </c>
      <c r="BD60" s="32">
        <f>IF($B60,BC60/$B60,-1)</f>
        <v>0.40000000596046448</v>
      </c>
      <c r="BE60" s="31">
        <f>Recu3!BE60</f>
        <v>0</v>
      </c>
      <c r="BF60" s="32">
        <f>IF($B60,BE60/$B60,-1)</f>
        <v>0</v>
      </c>
      <c r="BG60" s="31">
        <f>Recu3!BG60</f>
        <v>0.5000000074505806</v>
      </c>
      <c r="BH60" s="32">
        <f>IF($B60,BG60/$B60,-1)</f>
        <v>0.20000000298023224</v>
      </c>
      <c r="BI60" s="31">
        <f>Recu3!BI60</f>
        <v>0.2500000037252903</v>
      </c>
      <c r="BJ60" s="32">
        <f>IF($B60,BI60/$B60,-1)</f>
        <v>0.10000000149011612</v>
      </c>
    </row>
    <row r="61" spans="1:62" ht="70" x14ac:dyDescent="0.2">
      <c r="A61" s="2" t="s">
        <v>60</v>
      </c>
      <c r="B61" s="13">
        <f>Recu3!B61</f>
        <v>2.5</v>
      </c>
      <c r="C61" s="31">
        <f>Recu3!C61</f>
        <v>1.7499999701976776</v>
      </c>
      <c r="D61" s="32">
        <f>IF($B61,C61/$B61,-1)</f>
        <v>0.69999998807907104</v>
      </c>
      <c r="E61" s="31">
        <f>Recu3!E61</f>
        <v>2.5</v>
      </c>
      <c r="F61" s="32">
        <f>IF($B61,E61/$B61,-1)</f>
        <v>1</v>
      </c>
      <c r="G61" s="31">
        <f>Recu3!G61</f>
        <v>0.75000002980232239</v>
      </c>
      <c r="H61" s="32">
        <f>IF($B61,G61/$B61,-1)</f>
        <v>0.30000001192092896</v>
      </c>
      <c r="I61" s="31">
        <f>Recu3!I61</f>
        <v>0.5000000074505806</v>
      </c>
      <c r="J61" s="32">
        <f>IF($B61,I61/$B61,-1)</f>
        <v>0.20000000298023224</v>
      </c>
      <c r="K61" s="31">
        <f>Recu3!K61</f>
        <v>2.2499999403953552</v>
      </c>
      <c r="L61" s="32">
        <f>IF($B61,K61/$B61,-1)</f>
        <v>0.89999997615814209</v>
      </c>
      <c r="M61" s="31">
        <f>Recu3!M61</f>
        <v>0.2500000037252903</v>
      </c>
      <c r="N61" s="32">
        <f>IF($B61,M61/$B61,-1)</f>
        <v>0.10000000149011612</v>
      </c>
      <c r="O61" s="31">
        <f>Recu3!O61</f>
        <v>1.5000000596046448</v>
      </c>
      <c r="P61" s="32">
        <f>IF($B61,O61/$B61,-1)</f>
        <v>0.60000002384185791</v>
      </c>
      <c r="Q61" s="31">
        <f>Recu3!Q61</f>
        <v>1.5000000596046448</v>
      </c>
      <c r="R61" s="32">
        <f>IF($B61,Q61/$B61,-1)</f>
        <v>0.60000002384185791</v>
      </c>
      <c r="S61" s="31">
        <f>Recu3!S61</f>
        <v>1.5000000596046448</v>
      </c>
      <c r="T61" s="32">
        <f>IF($B61,S61/$B61,-1)</f>
        <v>0.60000002384185791</v>
      </c>
      <c r="U61" s="31">
        <f>Recu3!U61</f>
        <v>1.7499999701976776</v>
      </c>
      <c r="V61" s="32">
        <f>IF($B61,U61/$B61,-1)</f>
        <v>0.69999998807907104</v>
      </c>
      <c r="W61" s="31">
        <f>Recu3!W61</f>
        <v>2.2499999403953552</v>
      </c>
      <c r="X61" s="32">
        <f>IF($B61,W61/$B61,-1)</f>
        <v>0.89999997615814209</v>
      </c>
      <c r="Y61" s="31">
        <f>Recu3!Y61</f>
        <v>0.2500000037252903</v>
      </c>
      <c r="Z61" s="32">
        <f>IF($B61,Y61/$B61,-1)</f>
        <v>0.10000000149011612</v>
      </c>
      <c r="AA61" s="31">
        <f>Recu3!AA61</f>
        <v>1.0000000149011612</v>
      </c>
      <c r="AB61" s="32">
        <f>IF($B61,AA61/$B61,-1)</f>
        <v>0.40000000596046448</v>
      </c>
      <c r="AC61" s="31">
        <f>Recu3!AC61</f>
        <v>2.2499999403953552</v>
      </c>
      <c r="AD61" s="32">
        <f>IF($B61,AC61/$B61,-1)</f>
        <v>0.89999997615814209</v>
      </c>
      <c r="AE61" s="31">
        <f>Recu3!AE61</f>
        <v>0.5000000074505806</v>
      </c>
      <c r="AF61" s="32">
        <f>IF($B61,AE61/$B61,-1)</f>
        <v>0.20000000298023224</v>
      </c>
      <c r="AG61" s="31">
        <f>Recu3!AG61</f>
        <v>1.7499999701976776</v>
      </c>
      <c r="AH61" s="32">
        <f>IF($B61,AG61/$B61,-1)</f>
        <v>0.69999998807907104</v>
      </c>
      <c r="AI61" s="31">
        <f>Recu3!AI61</f>
        <v>1.0000000149011612</v>
      </c>
      <c r="AJ61" s="32">
        <f>IF($B61,AI61/$B61,-1)</f>
        <v>0.40000000596046448</v>
      </c>
      <c r="AK61" s="31">
        <f>Recu3!AK61</f>
        <v>2.2499999403953552</v>
      </c>
      <c r="AL61" s="32">
        <f>IF($B61,AK61/$B61,-1)</f>
        <v>0.89999997615814209</v>
      </c>
      <c r="AM61" s="31">
        <f>Recu3!AM61</f>
        <v>1.0000000149011612</v>
      </c>
      <c r="AN61" s="32">
        <f>IF($B61,AM61/$B61,-1)</f>
        <v>0.40000000596046448</v>
      </c>
      <c r="AO61" s="31">
        <f>Recu3!AO61</f>
        <v>2.2499999403953552</v>
      </c>
      <c r="AP61" s="32">
        <f>IF($B61,AO61/$B61,-1)</f>
        <v>0.89999997615814209</v>
      </c>
      <c r="AQ61" s="31">
        <f>Recu3!AQ61</f>
        <v>0.5000000074505806</v>
      </c>
      <c r="AR61" s="32">
        <f>IF($B61,AQ61/$B61,-1)</f>
        <v>0.20000000298023224</v>
      </c>
      <c r="AS61" s="31">
        <f>Recu3!AS61</f>
        <v>2.0000000298023224</v>
      </c>
      <c r="AT61" s="32">
        <f>IF($B61,AS61/$B61,-1)</f>
        <v>0.80000001192092896</v>
      </c>
      <c r="AU61" s="31">
        <f>Recu3!AU61</f>
        <v>2.2499999403953552</v>
      </c>
      <c r="AV61" s="32">
        <f>IF($B61,AU61/$B61,-1)</f>
        <v>0.89999997615814209</v>
      </c>
      <c r="AW61" s="31">
        <f>Recu3!AW61</f>
        <v>0.5000000074505806</v>
      </c>
      <c r="AX61" s="32">
        <f>IF($B61,AW61/$B61,-1)</f>
        <v>0.20000000298023224</v>
      </c>
      <c r="AY61" s="31">
        <f>Recu3!AY61</f>
        <v>2.5</v>
      </c>
      <c r="AZ61" s="32">
        <f>IF($B61,AY61/$B61,-1)</f>
        <v>1</v>
      </c>
      <c r="BA61" s="31">
        <f>Recu3!BA61</f>
        <v>2.5</v>
      </c>
      <c r="BB61" s="32">
        <f>IF($B61,BA61/$B61,-1)</f>
        <v>1</v>
      </c>
      <c r="BC61" s="31">
        <f>Recu3!BC61</f>
        <v>2.2499999403953552</v>
      </c>
      <c r="BD61" s="32">
        <f>IF($B61,BC61/$B61,-1)</f>
        <v>0.89999997615814209</v>
      </c>
      <c r="BE61" s="31">
        <f>Recu3!BE61</f>
        <v>1.25</v>
      </c>
      <c r="BF61" s="32">
        <f>IF($B61,BE61/$B61,-1)</f>
        <v>0.5</v>
      </c>
      <c r="BG61" s="31">
        <f>Recu3!BG61</f>
        <v>1.7499999701976776</v>
      </c>
      <c r="BH61" s="32">
        <f>IF($B61,BG61/$B61,-1)</f>
        <v>0.69999998807907104</v>
      </c>
      <c r="BI61" s="31">
        <f>Recu3!BI61</f>
        <v>1.25</v>
      </c>
      <c r="BJ61" s="32">
        <f>IF($B61,BI61/$B61,-1)</f>
        <v>0.5</v>
      </c>
    </row>
    <row r="62" spans="1:62" ht="56" x14ac:dyDescent="0.2">
      <c r="A62" s="2" t="s">
        <v>61</v>
      </c>
      <c r="B62" s="13">
        <f>Recu3!B62</f>
        <v>2.5</v>
      </c>
      <c r="C62" s="31">
        <f>Recu3!C62</f>
        <v>0.2500000037252903</v>
      </c>
      <c r="D62" s="32">
        <f>IF($B62,C62/$B62,-1)</f>
        <v>0.10000000149011612</v>
      </c>
      <c r="E62" s="31">
        <f>Recu3!E62</f>
        <v>1.7499999701976776</v>
      </c>
      <c r="F62" s="32">
        <f>IF($B62,E62/$B62,-1)</f>
        <v>0.69999998807907104</v>
      </c>
      <c r="G62" s="31">
        <f>Recu3!G62</f>
        <v>1.5000000596046448</v>
      </c>
      <c r="H62" s="32">
        <f>IF($B62,G62/$B62,-1)</f>
        <v>0.60000002384185791</v>
      </c>
      <c r="I62" s="31">
        <f>Recu3!I62</f>
        <v>2.2499999403953552</v>
      </c>
      <c r="J62" s="32">
        <f>IF($B62,I62/$B62,-1)</f>
        <v>0.89999997615814209</v>
      </c>
      <c r="K62" s="31">
        <f>Recu3!K62</f>
        <v>1.0000000149011612</v>
      </c>
      <c r="L62" s="32">
        <f>IF($B62,K62/$B62,-1)</f>
        <v>0.40000000596046448</v>
      </c>
      <c r="M62" s="31">
        <f>Recu3!M62</f>
        <v>0</v>
      </c>
      <c r="N62" s="32">
        <f>IF($B62,M62/$B62,-1)</f>
        <v>0</v>
      </c>
      <c r="O62" s="31">
        <f>Recu3!O62</f>
        <v>1.25</v>
      </c>
      <c r="P62" s="32">
        <f>IF($B62,O62/$B62,-1)</f>
        <v>0.5</v>
      </c>
      <c r="Q62" s="31">
        <f>Recu3!Q62</f>
        <v>0</v>
      </c>
      <c r="R62" s="32">
        <f>IF($B62,Q62/$B62,-1)</f>
        <v>0</v>
      </c>
      <c r="S62" s="31">
        <f>Recu3!S62</f>
        <v>1.0000000149011612</v>
      </c>
      <c r="T62" s="32">
        <f>IF($B62,S62/$B62,-1)</f>
        <v>0.40000000596046448</v>
      </c>
      <c r="U62" s="31">
        <f>Recu3!U62</f>
        <v>1.0000000149011612</v>
      </c>
      <c r="V62" s="32">
        <f>IF($B62,U62/$B62,-1)</f>
        <v>0.40000000596046448</v>
      </c>
      <c r="W62" s="31">
        <f>Recu3!W62</f>
        <v>0.75000002980232239</v>
      </c>
      <c r="X62" s="32">
        <f>IF($B62,W62/$B62,-1)</f>
        <v>0.30000001192092896</v>
      </c>
      <c r="Y62" s="31">
        <f>Recu3!Y62</f>
        <v>2.5</v>
      </c>
      <c r="Z62" s="32">
        <f>IF($B62,Y62/$B62,-1)</f>
        <v>1</v>
      </c>
      <c r="AA62" s="31">
        <f>Recu3!AA62</f>
        <v>0</v>
      </c>
      <c r="AB62" s="32">
        <f>IF($B62,AA62/$B62,-1)</f>
        <v>0</v>
      </c>
      <c r="AC62" s="31">
        <f>Recu3!AC62</f>
        <v>1.7499999701976776</v>
      </c>
      <c r="AD62" s="32">
        <f>IF($B62,AC62/$B62,-1)</f>
        <v>0.69999998807907104</v>
      </c>
      <c r="AE62" s="31">
        <f>Recu3!AE62</f>
        <v>1.5000000596046448</v>
      </c>
      <c r="AF62" s="32">
        <f>IF($B62,AE62/$B62,-1)</f>
        <v>0.60000002384185791</v>
      </c>
      <c r="AG62" s="31">
        <f>Recu3!AG62</f>
        <v>1.25</v>
      </c>
      <c r="AH62" s="32">
        <f>IF($B62,AG62/$B62,-1)</f>
        <v>0.5</v>
      </c>
      <c r="AI62" s="31">
        <f>Recu3!AI62</f>
        <v>0</v>
      </c>
      <c r="AJ62" s="32">
        <f>IF($B62,AI62/$B62,-1)</f>
        <v>0</v>
      </c>
      <c r="AK62" s="31">
        <f>Recu3!AK62</f>
        <v>1.7499999701976776</v>
      </c>
      <c r="AL62" s="32">
        <f>IF($B62,AK62/$B62,-1)</f>
        <v>0.69999998807907104</v>
      </c>
      <c r="AM62" s="31">
        <f>Recu3!AM62</f>
        <v>0.75000002980232239</v>
      </c>
      <c r="AN62" s="32">
        <f>IF($B62,AM62/$B62,-1)</f>
        <v>0.30000001192092896</v>
      </c>
      <c r="AO62" s="31">
        <f>Recu3!AO62</f>
        <v>2.5</v>
      </c>
      <c r="AP62" s="32">
        <f>IF($B62,AO62/$B62,-1)</f>
        <v>1</v>
      </c>
      <c r="AQ62" s="31">
        <f>Recu3!AQ62</f>
        <v>0.75000002980232239</v>
      </c>
      <c r="AR62" s="32">
        <f>IF($B62,AQ62/$B62,-1)</f>
        <v>0.30000001192092896</v>
      </c>
      <c r="AS62" s="31">
        <f>Recu3!AS62</f>
        <v>1.0000000149011612</v>
      </c>
      <c r="AT62" s="32">
        <f>IF($B62,AS62/$B62,-1)</f>
        <v>0.40000000596046448</v>
      </c>
      <c r="AU62" s="31">
        <f>Recu3!AU62</f>
        <v>0.75000002980232239</v>
      </c>
      <c r="AV62" s="32">
        <f>IF($B62,AU62/$B62,-1)</f>
        <v>0.30000001192092896</v>
      </c>
      <c r="AW62" s="31">
        <f>Recu3!AW62</f>
        <v>0.75000002980232239</v>
      </c>
      <c r="AX62" s="32">
        <f>IF($B62,AW62/$B62,-1)</f>
        <v>0.30000001192092896</v>
      </c>
      <c r="AY62" s="31">
        <f>Recu3!AY62</f>
        <v>0.5000000074505806</v>
      </c>
      <c r="AZ62" s="32">
        <f>IF($B62,AY62/$B62,-1)</f>
        <v>0.20000000298023224</v>
      </c>
      <c r="BA62" s="31">
        <f>Recu3!BA62</f>
        <v>1.5000000596046448</v>
      </c>
      <c r="BB62" s="32">
        <f>IF($B62,BA62/$B62,-1)</f>
        <v>0.60000002384185791</v>
      </c>
      <c r="BC62" s="31">
        <f>Recu3!BC62</f>
        <v>1.7499999701976776</v>
      </c>
      <c r="BD62" s="32">
        <f>IF($B62,BC62/$B62,-1)</f>
        <v>0.69999998807907104</v>
      </c>
      <c r="BE62" s="31">
        <f>Recu3!BE62</f>
        <v>0.5000000074505806</v>
      </c>
      <c r="BF62" s="32">
        <f>IF($B62,BE62/$B62,-1)</f>
        <v>0.20000000298023224</v>
      </c>
      <c r="BG62" s="31">
        <f>Recu3!BG62</f>
        <v>1.5000000596046448</v>
      </c>
      <c r="BH62" s="32">
        <f>IF($B62,BG62/$B62,-1)</f>
        <v>0.60000002384185791</v>
      </c>
      <c r="BI62" s="31">
        <f>Recu3!BI62</f>
        <v>1.5000000596046448</v>
      </c>
      <c r="BJ62" s="32">
        <f>IF($B62,BI62/$B62,-1)</f>
        <v>0.60000002384185791</v>
      </c>
    </row>
    <row r="63" spans="1:62" ht="42" x14ac:dyDescent="0.2">
      <c r="A63" s="2" t="s">
        <v>62</v>
      </c>
      <c r="B63" s="13">
        <f>Recu3!B63</f>
        <v>2.5</v>
      </c>
      <c r="C63" s="31">
        <f>Recu3!C63</f>
        <v>2.5</v>
      </c>
      <c r="D63" s="32">
        <f>IF($B63,C63/$B63,-1)</f>
        <v>1</v>
      </c>
      <c r="E63" s="31">
        <f>Recu3!E63</f>
        <v>2.5</v>
      </c>
      <c r="F63" s="32">
        <f>IF($B63,E63/$B63,-1)</f>
        <v>1</v>
      </c>
      <c r="G63" s="31">
        <f>Recu3!G63</f>
        <v>0.5000000074505806</v>
      </c>
      <c r="H63" s="32">
        <f>IF($B63,G63/$B63,-1)</f>
        <v>0.20000000298023224</v>
      </c>
      <c r="I63" s="31">
        <f>Recu3!I63</f>
        <v>2.0000000298023224</v>
      </c>
      <c r="J63" s="32">
        <f>IF($B63,I63/$B63,-1)</f>
        <v>0.80000001192092896</v>
      </c>
      <c r="K63" s="31">
        <f>Recu3!K63</f>
        <v>2.0000000298023224</v>
      </c>
      <c r="L63" s="32">
        <f>IF($B63,K63/$B63,-1)</f>
        <v>0.80000001192092896</v>
      </c>
      <c r="M63" s="31">
        <f>Recu3!M63</f>
        <v>1.0000000149011612</v>
      </c>
      <c r="N63" s="32">
        <f>IF($B63,M63/$B63,-1)</f>
        <v>0.40000000596046448</v>
      </c>
      <c r="O63" s="31">
        <f>Recu3!O63</f>
        <v>1.5000000596046448</v>
      </c>
      <c r="P63" s="32">
        <f>IF($B63,O63/$B63,-1)</f>
        <v>0.60000002384185791</v>
      </c>
      <c r="Q63" s="31">
        <f>Recu3!Q63</f>
        <v>1.25</v>
      </c>
      <c r="R63" s="32">
        <f>IF($B63,Q63/$B63,-1)</f>
        <v>0.5</v>
      </c>
      <c r="S63" s="31">
        <f>Recu3!S63</f>
        <v>1.25</v>
      </c>
      <c r="T63" s="32">
        <f>IF($B63,S63/$B63,-1)</f>
        <v>0.5</v>
      </c>
      <c r="U63" s="31">
        <f>Recu3!U63</f>
        <v>0.2500000037252903</v>
      </c>
      <c r="V63" s="32">
        <f>IF($B63,U63/$B63,-1)</f>
        <v>0.10000000149011612</v>
      </c>
      <c r="W63" s="31">
        <f>Recu3!W63</f>
        <v>2.5</v>
      </c>
      <c r="X63" s="32">
        <f>IF($B63,W63/$B63,-1)</f>
        <v>1</v>
      </c>
      <c r="Y63" s="31">
        <f>Recu3!Y63</f>
        <v>0.2500000037252903</v>
      </c>
      <c r="Z63" s="32">
        <f>IF($B63,Y63/$B63,-1)</f>
        <v>0.10000000149011612</v>
      </c>
      <c r="AA63" s="31">
        <f>Recu3!AA63</f>
        <v>1.5000000596046448</v>
      </c>
      <c r="AB63" s="32">
        <f>IF($B63,AA63/$B63,-1)</f>
        <v>0.60000002384185791</v>
      </c>
      <c r="AC63" s="31">
        <f>Recu3!AC63</f>
        <v>1.7499999701976776</v>
      </c>
      <c r="AD63" s="32">
        <f>IF($B63,AC63/$B63,-1)</f>
        <v>0.69999998807907104</v>
      </c>
      <c r="AE63" s="31">
        <f>Recu3!AE63</f>
        <v>0.2500000037252903</v>
      </c>
      <c r="AF63" s="32">
        <f>IF($B63,AE63/$B63,-1)</f>
        <v>0.10000000149011612</v>
      </c>
      <c r="AG63" s="31">
        <f>Recu3!AG63</f>
        <v>1.7499999701976776</v>
      </c>
      <c r="AH63" s="32">
        <f>IF($B63,AG63/$B63,-1)</f>
        <v>0.69999998807907104</v>
      </c>
      <c r="AI63" s="31">
        <f>Recu3!AI63</f>
        <v>2.0000000298023224</v>
      </c>
      <c r="AJ63" s="32">
        <f>IF($B63,AI63/$B63,-1)</f>
        <v>0.80000001192092896</v>
      </c>
      <c r="AK63" s="31">
        <f>Recu3!AK63</f>
        <v>2.0000000298023224</v>
      </c>
      <c r="AL63" s="32">
        <f>IF($B63,AK63/$B63,-1)</f>
        <v>0.80000001192092896</v>
      </c>
      <c r="AM63" s="31">
        <f>Recu3!AM63</f>
        <v>1.0000000149011612</v>
      </c>
      <c r="AN63" s="32">
        <f>IF($B63,AM63/$B63,-1)</f>
        <v>0.40000000596046448</v>
      </c>
      <c r="AO63" s="31">
        <f>Recu3!AO63</f>
        <v>0</v>
      </c>
      <c r="AP63" s="32">
        <f>IF($B63,AO63/$B63,-1)</f>
        <v>0</v>
      </c>
      <c r="AQ63" s="31">
        <f>Recu3!AQ63</f>
        <v>1.25</v>
      </c>
      <c r="AR63" s="32">
        <f>IF($B63,AQ63/$B63,-1)</f>
        <v>0.5</v>
      </c>
      <c r="AS63" s="31">
        <f>Recu3!AS63</f>
        <v>1.5000000596046448</v>
      </c>
      <c r="AT63" s="32">
        <f>IF($B63,AS63/$B63,-1)</f>
        <v>0.60000002384185791</v>
      </c>
      <c r="AU63" s="31">
        <f>Recu3!AU63</f>
        <v>0</v>
      </c>
      <c r="AV63" s="32">
        <f>IF($B63,AU63/$B63,-1)</f>
        <v>0</v>
      </c>
      <c r="AW63" s="31">
        <f>Recu3!AW63</f>
        <v>1.0000000149011612</v>
      </c>
      <c r="AX63" s="32">
        <f>IF($B63,AW63/$B63,-1)</f>
        <v>0.40000000596046448</v>
      </c>
      <c r="AY63" s="31">
        <f>Recu3!AY63</f>
        <v>0.2500000037252903</v>
      </c>
      <c r="AZ63" s="32">
        <f>IF($B63,AY63/$B63,-1)</f>
        <v>0.10000000149011612</v>
      </c>
      <c r="BA63" s="31">
        <f>Recu3!BA63</f>
        <v>0.2500000037252903</v>
      </c>
      <c r="BB63" s="32">
        <f>IF($B63,BA63/$B63,-1)</f>
        <v>0.10000000149011612</v>
      </c>
      <c r="BC63" s="31">
        <f>Recu3!BC63</f>
        <v>0.75000002980232239</v>
      </c>
      <c r="BD63" s="32">
        <f>IF($B63,BC63/$B63,-1)</f>
        <v>0.30000001192092896</v>
      </c>
      <c r="BE63" s="31">
        <f>Recu3!BE63</f>
        <v>2.5</v>
      </c>
      <c r="BF63" s="32">
        <f>IF($B63,BE63/$B63,-1)</f>
        <v>1</v>
      </c>
      <c r="BG63" s="31">
        <f>Recu3!BG63</f>
        <v>1.5000000596046448</v>
      </c>
      <c r="BH63" s="32">
        <f>IF($B63,BG63/$B63,-1)</f>
        <v>0.60000002384185791</v>
      </c>
      <c r="BI63" s="31">
        <f>Recu3!BI63</f>
        <v>0.75000002980232239</v>
      </c>
      <c r="BJ63" s="32">
        <f>IF($B63,BI63/$B63,-1)</f>
        <v>0.30000001192092896</v>
      </c>
    </row>
    <row r="64" spans="1:62" ht="38" x14ac:dyDescent="0.2">
      <c r="A64" s="6" t="s">
        <v>7</v>
      </c>
      <c r="B64" s="7">
        <f>Estructura!D7</f>
        <v>0.1</v>
      </c>
      <c r="C64" s="58" t="str">
        <f>IF(SUM($B65:$B85)&lt;&gt;0,SUM(C65:C85)/SUM($B65:$B85)*$B64*10, "")</f>
        <v/>
      </c>
      <c r="D64" s="58"/>
      <c r="E64" s="58" t="str">
        <f>IF(SUM($B65:$B85)&lt;&gt;0,SUM(E65:E85)/SUM($B65:$B85)*$B64*10, "")</f>
        <v/>
      </c>
      <c r="F64" s="58"/>
      <c r="G64" s="58" t="str">
        <f>IF(SUM($B65:$B85)&lt;&gt;0,SUM(G65:G85)/SUM($B65:$B85)*$B64*10, "")</f>
        <v/>
      </c>
      <c r="H64" s="58"/>
      <c r="I64" s="58" t="str">
        <f>IF(SUM($B65:$B85)&lt;&gt;0,SUM(I65:I85)/SUM($B65:$B85)*$B64*10, "")</f>
        <v/>
      </c>
      <c r="J64" s="58"/>
      <c r="K64" s="58" t="str">
        <f>IF(SUM($B65:$B85)&lt;&gt;0,SUM(K65:K85)/SUM($B65:$B85)*$B64*10, "")</f>
        <v/>
      </c>
      <c r="L64" s="58"/>
      <c r="M64" s="58" t="str">
        <f>IF(SUM($B65:$B85)&lt;&gt;0,SUM(M65:M85)/SUM($B65:$B85)*$B64*10, "")</f>
        <v/>
      </c>
      <c r="N64" s="58"/>
      <c r="O64" s="58" t="str">
        <f>IF(SUM($B65:$B85)&lt;&gt;0,SUM(O65:O85)/SUM($B65:$B85)*$B64*10, "")</f>
        <v/>
      </c>
      <c r="P64" s="58"/>
      <c r="Q64" s="58" t="str">
        <f>IF(SUM($B65:$B85)&lt;&gt;0,SUM(Q65:Q85)/SUM($B65:$B85)*$B64*10, "")</f>
        <v/>
      </c>
      <c r="R64" s="58"/>
      <c r="S64" s="58" t="str">
        <f>IF(SUM($B65:$B85)&lt;&gt;0,SUM(S65:S85)/SUM($B65:$B85)*$B64*10, "")</f>
        <v/>
      </c>
      <c r="T64" s="58"/>
      <c r="U64" s="58" t="str">
        <f>IF(SUM($B65:$B85)&lt;&gt;0,SUM(U65:U85)/SUM($B65:$B85)*$B64*10, "")</f>
        <v/>
      </c>
      <c r="V64" s="58"/>
      <c r="W64" s="58" t="str">
        <f>IF(SUM($B65:$B85)&lt;&gt;0,SUM(W65:W85)/SUM($B65:$B85)*$B64*10, "")</f>
        <v/>
      </c>
      <c r="X64" s="58"/>
      <c r="Y64" s="58" t="str">
        <f>IF(SUM($B65:$B85)&lt;&gt;0,SUM(Y65:Y85)/SUM($B65:$B85)*$B64*10, "")</f>
        <v/>
      </c>
      <c r="Z64" s="58"/>
      <c r="AA64" s="58" t="str">
        <f>IF(SUM($B65:$B85)&lt;&gt;0,SUM(AA65:AA85)/SUM($B65:$B85)*$B64*10, "")</f>
        <v/>
      </c>
      <c r="AB64" s="58"/>
      <c r="AC64" s="58" t="str">
        <f>IF(SUM($B65:$B85)&lt;&gt;0,SUM(AC65:AC85)/SUM($B65:$B85)*$B64*10, "")</f>
        <v/>
      </c>
      <c r="AD64" s="58"/>
      <c r="AE64" s="58" t="str">
        <f>IF(SUM($B65:$B85)&lt;&gt;0,SUM(AE65:AE85)/SUM($B65:$B85)*$B64*10, "")</f>
        <v/>
      </c>
      <c r="AF64" s="58"/>
      <c r="AG64" s="58" t="str">
        <f>IF(SUM($B65:$B85)&lt;&gt;0,SUM(AG65:AG85)/SUM($B65:$B85)*$B64*10, "")</f>
        <v/>
      </c>
      <c r="AH64" s="58"/>
      <c r="AI64" s="58" t="str">
        <f>IF(SUM($B65:$B85)&lt;&gt;0,SUM(AI65:AI85)/SUM($B65:$B85)*$B64*10, "")</f>
        <v/>
      </c>
      <c r="AJ64" s="58"/>
      <c r="AK64" s="58" t="str">
        <f>IF(SUM($B65:$B85)&lt;&gt;0,SUM(AK65:AK85)/SUM($B65:$B85)*$B64*10, "")</f>
        <v/>
      </c>
      <c r="AL64" s="58"/>
      <c r="AM64" s="58" t="str">
        <f>IF(SUM($B65:$B85)&lt;&gt;0,SUM(AM65:AM85)/SUM($B65:$B85)*$B64*10, "")</f>
        <v/>
      </c>
      <c r="AN64" s="58"/>
      <c r="AO64" s="58" t="str">
        <f>IF(SUM($B65:$B85)&lt;&gt;0,SUM(AO65:AO85)/SUM($B65:$B85)*$B64*10, "")</f>
        <v/>
      </c>
      <c r="AP64" s="58"/>
      <c r="AQ64" s="58" t="str">
        <f>IF(SUM($B65:$B85)&lt;&gt;0,SUM(AQ65:AQ85)/SUM($B65:$B85)*$B64*10, "")</f>
        <v/>
      </c>
      <c r="AR64" s="58"/>
      <c r="AS64" s="58" t="str">
        <f>IF(SUM($B65:$B85)&lt;&gt;0,SUM(AS65:AS85)/SUM($B65:$B85)*$B64*10, "")</f>
        <v/>
      </c>
      <c r="AT64" s="58"/>
      <c r="AU64" s="58" t="str">
        <f>IF(SUM($B65:$B85)&lt;&gt;0,SUM(AU65:AU85)/SUM($B65:$B85)*$B64*10, "")</f>
        <v/>
      </c>
      <c r="AV64" s="58"/>
      <c r="AW64" s="58" t="str">
        <f>IF(SUM($B65:$B85)&lt;&gt;0,SUM(AW65:AW85)/SUM($B65:$B85)*$B64*10, "")</f>
        <v/>
      </c>
      <c r="AX64" s="58"/>
      <c r="AY64" s="58" t="str">
        <f>IF(SUM($B65:$B85)&lt;&gt;0,SUM(AY65:AY85)/SUM($B65:$B85)*$B64*10, "")</f>
        <v/>
      </c>
      <c r="AZ64" s="58"/>
      <c r="BA64" s="58" t="str">
        <f>IF(SUM($B65:$B85)&lt;&gt;0,SUM(BA65:BA85)/SUM($B65:$B85)*$B64*10, "")</f>
        <v/>
      </c>
      <c r="BB64" s="58"/>
      <c r="BC64" s="58" t="str">
        <f>IF(SUM($B65:$B85)&lt;&gt;0,SUM(BC65:BC85)/SUM($B65:$B85)*$B64*10, "")</f>
        <v/>
      </c>
      <c r="BD64" s="58"/>
      <c r="BE64" s="58" t="str">
        <f>IF(SUM($B65:$B85)&lt;&gt;0,SUM(BE65:BE85)/SUM($B65:$B85)*$B64*10, "")</f>
        <v/>
      </c>
      <c r="BF64" s="58"/>
      <c r="BG64" s="58" t="str">
        <f>IF(SUM($B65:$B85)&lt;&gt;0,SUM(BG65:BG85)/SUM($B65:$B85)*$B64*10, "")</f>
        <v/>
      </c>
      <c r="BH64" s="58"/>
      <c r="BI64" s="58" t="str">
        <f>IF(SUM($B65:$B85)&lt;&gt;0,SUM(BI65:BI85)/SUM($B65:$B85)*$B64*10, "")</f>
        <v/>
      </c>
      <c r="BJ64" s="58"/>
    </row>
    <row r="65" spans="1:62" ht="56" x14ac:dyDescent="0.2">
      <c r="A65" s="2" t="s">
        <v>63</v>
      </c>
      <c r="B65" s="13">
        <f>Recu3!B65</f>
        <v>0</v>
      </c>
      <c r="C65" s="31">
        <f>Recu3!C65</f>
        <v>0</v>
      </c>
      <c r="D65" s="32">
        <f t="shared" ref="D65:D85" si="119">IF($B65,C65/$B65,-1)</f>
        <v>-1</v>
      </c>
      <c r="E65" s="31">
        <f>Recu3!E65</f>
        <v>0</v>
      </c>
      <c r="F65" s="32">
        <f t="shared" ref="F65:F85" si="120">IF($B65,E65/$B65,-1)</f>
        <v>-1</v>
      </c>
      <c r="G65" s="31">
        <f>Recu3!G65</f>
        <v>0</v>
      </c>
      <c r="H65" s="32">
        <f t="shared" ref="H65:H85" si="121">IF($B65,G65/$B65,-1)</f>
        <v>-1</v>
      </c>
      <c r="I65" s="31">
        <f>Recu3!I65</f>
        <v>0</v>
      </c>
      <c r="J65" s="32">
        <f t="shared" ref="J65:J85" si="122">IF($B65,I65/$B65,-1)</f>
        <v>-1</v>
      </c>
      <c r="K65" s="31">
        <f>Recu3!K65</f>
        <v>0</v>
      </c>
      <c r="L65" s="32">
        <f t="shared" ref="L65:L85" si="123">IF($B65,K65/$B65,-1)</f>
        <v>-1</v>
      </c>
      <c r="M65" s="31">
        <f>Recu3!M65</f>
        <v>0</v>
      </c>
      <c r="N65" s="32">
        <f t="shared" ref="N65:N85" si="124">IF($B65,M65/$B65,-1)</f>
        <v>-1</v>
      </c>
      <c r="O65" s="31">
        <f>Recu3!O65</f>
        <v>0</v>
      </c>
      <c r="P65" s="32">
        <f t="shared" ref="P65:P85" si="125">IF($B65,O65/$B65,-1)</f>
        <v>-1</v>
      </c>
      <c r="Q65" s="31">
        <f>Recu3!Q65</f>
        <v>0</v>
      </c>
      <c r="R65" s="32">
        <f t="shared" ref="R65:R85" si="126">IF($B65,Q65/$B65,-1)</f>
        <v>-1</v>
      </c>
      <c r="S65" s="31">
        <f>Recu3!S65</f>
        <v>0</v>
      </c>
      <c r="T65" s="32">
        <f t="shared" ref="T65:T85" si="127">IF($B65,S65/$B65,-1)</f>
        <v>-1</v>
      </c>
      <c r="U65" s="31">
        <f>Recu3!U65</f>
        <v>0</v>
      </c>
      <c r="V65" s="32">
        <f t="shared" ref="V65:V85" si="128">IF($B65,U65/$B65,-1)</f>
        <v>-1</v>
      </c>
      <c r="W65" s="31">
        <f>Recu3!W65</f>
        <v>0</v>
      </c>
      <c r="X65" s="32">
        <f t="shared" ref="X65:X85" si="129">IF($B65,W65/$B65,-1)</f>
        <v>-1</v>
      </c>
      <c r="Y65" s="31">
        <f>Recu3!Y65</f>
        <v>0</v>
      </c>
      <c r="Z65" s="32">
        <f t="shared" ref="Z65:Z85" si="130">IF($B65,Y65/$B65,-1)</f>
        <v>-1</v>
      </c>
      <c r="AA65" s="31">
        <f>Recu3!AA65</f>
        <v>0</v>
      </c>
      <c r="AB65" s="32">
        <f t="shared" ref="AB65:AB85" si="131">IF($B65,AA65/$B65,-1)</f>
        <v>-1</v>
      </c>
      <c r="AC65" s="31">
        <f>Recu3!AC65</f>
        <v>0</v>
      </c>
      <c r="AD65" s="32">
        <f t="shared" ref="AD65:AD85" si="132">IF($B65,AC65/$B65,-1)</f>
        <v>-1</v>
      </c>
      <c r="AE65" s="31">
        <f>Recu3!AE65</f>
        <v>0</v>
      </c>
      <c r="AF65" s="32">
        <f t="shared" ref="AF65:AF85" si="133">IF($B65,AE65/$B65,-1)</f>
        <v>-1</v>
      </c>
      <c r="AG65" s="31">
        <f>Recu3!AG65</f>
        <v>0</v>
      </c>
      <c r="AH65" s="32">
        <f t="shared" ref="AH65:AH85" si="134">IF($B65,AG65/$B65,-1)</f>
        <v>-1</v>
      </c>
      <c r="AI65" s="31">
        <f>Recu3!AI65</f>
        <v>0</v>
      </c>
      <c r="AJ65" s="32">
        <f t="shared" ref="AJ65:AJ85" si="135">IF($B65,AI65/$B65,-1)</f>
        <v>-1</v>
      </c>
      <c r="AK65" s="31">
        <f>Recu3!AK65</f>
        <v>0</v>
      </c>
      <c r="AL65" s="32">
        <f t="shared" ref="AL65:AL85" si="136">IF($B65,AK65/$B65,-1)</f>
        <v>-1</v>
      </c>
      <c r="AM65" s="31">
        <f>Recu3!AM65</f>
        <v>0</v>
      </c>
      <c r="AN65" s="32">
        <f t="shared" ref="AN65:AN85" si="137">IF($B65,AM65/$B65,-1)</f>
        <v>-1</v>
      </c>
      <c r="AO65" s="31">
        <f>Recu3!AO65</f>
        <v>0</v>
      </c>
      <c r="AP65" s="32">
        <f t="shared" ref="AP65:AP85" si="138">IF($B65,AO65/$B65,-1)</f>
        <v>-1</v>
      </c>
      <c r="AQ65" s="31">
        <f>Recu3!AQ65</f>
        <v>0</v>
      </c>
      <c r="AR65" s="32">
        <f t="shared" ref="AR65:AR85" si="139">IF($B65,AQ65/$B65,-1)</f>
        <v>-1</v>
      </c>
      <c r="AS65" s="31">
        <f>Recu3!AS65</f>
        <v>0</v>
      </c>
      <c r="AT65" s="32">
        <f t="shared" ref="AT65:AT85" si="140">IF($B65,AS65/$B65,-1)</f>
        <v>-1</v>
      </c>
      <c r="AU65" s="31">
        <f>Recu3!AU65</f>
        <v>0</v>
      </c>
      <c r="AV65" s="32">
        <f t="shared" ref="AV65:AV85" si="141">IF($B65,AU65/$B65,-1)</f>
        <v>-1</v>
      </c>
      <c r="AW65" s="31">
        <f>Recu3!AW65</f>
        <v>0</v>
      </c>
      <c r="AX65" s="32">
        <f t="shared" ref="AX65:AX85" si="142">IF($B65,AW65/$B65,-1)</f>
        <v>-1</v>
      </c>
      <c r="AY65" s="31">
        <f>Recu3!AY65</f>
        <v>0</v>
      </c>
      <c r="AZ65" s="32">
        <f t="shared" ref="AZ65:AZ85" si="143">IF($B65,AY65/$B65,-1)</f>
        <v>-1</v>
      </c>
      <c r="BA65" s="31">
        <f>Recu3!BA65</f>
        <v>0</v>
      </c>
      <c r="BB65" s="32">
        <f t="shared" ref="BB65:BB85" si="144">IF($B65,BA65/$B65,-1)</f>
        <v>-1</v>
      </c>
      <c r="BC65" s="31">
        <f>Recu3!BC65</f>
        <v>0</v>
      </c>
      <c r="BD65" s="32">
        <f t="shared" ref="BD65:BD85" si="145">IF($B65,BC65/$B65,-1)</f>
        <v>-1</v>
      </c>
      <c r="BE65" s="31">
        <f>Recu3!BE65</f>
        <v>0</v>
      </c>
      <c r="BF65" s="32">
        <f t="shared" ref="BF65:BF85" si="146">IF($B65,BE65/$B65,-1)</f>
        <v>-1</v>
      </c>
      <c r="BG65" s="31">
        <f>Recu3!BG65</f>
        <v>0</v>
      </c>
      <c r="BH65" s="32">
        <f t="shared" ref="BH65:BH85" si="147">IF($B65,BG65/$B65,-1)</f>
        <v>-1</v>
      </c>
      <c r="BI65" s="31">
        <f>Recu3!BI65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Recu3!B66</f>
        <v>0</v>
      </c>
      <c r="C66" s="31">
        <f>Recu3!C66</f>
        <v>0</v>
      </c>
      <c r="D66" s="32">
        <f t="shared" si="119"/>
        <v>-1</v>
      </c>
      <c r="E66" s="31">
        <f>Recu3!E66</f>
        <v>0</v>
      </c>
      <c r="F66" s="32">
        <f t="shared" si="120"/>
        <v>-1</v>
      </c>
      <c r="G66" s="31">
        <f>Recu3!G66</f>
        <v>0</v>
      </c>
      <c r="H66" s="32">
        <f t="shared" si="121"/>
        <v>-1</v>
      </c>
      <c r="I66" s="31">
        <f>Recu3!I66</f>
        <v>0</v>
      </c>
      <c r="J66" s="32">
        <f t="shared" si="122"/>
        <v>-1</v>
      </c>
      <c r="K66" s="31">
        <f>Recu3!K66</f>
        <v>0</v>
      </c>
      <c r="L66" s="32">
        <f t="shared" si="123"/>
        <v>-1</v>
      </c>
      <c r="M66" s="31">
        <f>Recu3!M66</f>
        <v>0</v>
      </c>
      <c r="N66" s="32">
        <f t="shared" si="124"/>
        <v>-1</v>
      </c>
      <c r="O66" s="31">
        <f>Recu3!O66</f>
        <v>0</v>
      </c>
      <c r="P66" s="32">
        <f t="shared" si="125"/>
        <v>-1</v>
      </c>
      <c r="Q66" s="31">
        <f>Recu3!Q66</f>
        <v>0</v>
      </c>
      <c r="R66" s="32">
        <f t="shared" si="126"/>
        <v>-1</v>
      </c>
      <c r="S66" s="31">
        <f>Recu3!S66</f>
        <v>0</v>
      </c>
      <c r="T66" s="32">
        <f t="shared" si="127"/>
        <v>-1</v>
      </c>
      <c r="U66" s="31">
        <f>Recu3!U66</f>
        <v>0</v>
      </c>
      <c r="V66" s="32">
        <f t="shared" si="128"/>
        <v>-1</v>
      </c>
      <c r="W66" s="31">
        <f>Recu3!W66</f>
        <v>0</v>
      </c>
      <c r="X66" s="32">
        <f t="shared" si="129"/>
        <v>-1</v>
      </c>
      <c r="Y66" s="31">
        <f>Recu3!Y66</f>
        <v>0</v>
      </c>
      <c r="Z66" s="32">
        <f t="shared" si="130"/>
        <v>-1</v>
      </c>
      <c r="AA66" s="31">
        <f>Recu3!AA66</f>
        <v>0</v>
      </c>
      <c r="AB66" s="32">
        <f t="shared" si="131"/>
        <v>-1</v>
      </c>
      <c r="AC66" s="31">
        <f>Recu3!AC66</f>
        <v>0</v>
      </c>
      <c r="AD66" s="32">
        <f t="shared" si="132"/>
        <v>-1</v>
      </c>
      <c r="AE66" s="31">
        <f>Recu3!AE66</f>
        <v>0</v>
      </c>
      <c r="AF66" s="32">
        <f t="shared" si="133"/>
        <v>-1</v>
      </c>
      <c r="AG66" s="31">
        <f>Recu3!AG66</f>
        <v>0</v>
      </c>
      <c r="AH66" s="32">
        <f t="shared" si="134"/>
        <v>-1</v>
      </c>
      <c r="AI66" s="31">
        <f>Recu3!AI66</f>
        <v>0</v>
      </c>
      <c r="AJ66" s="32">
        <f t="shared" si="135"/>
        <v>-1</v>
      </c>
      <c r="AK66" s="31">
        <f>Recu3!AK66</f>
        <v>0</v>
      </c>
      <c r="AL66" s="32">
        <f t="shared" si="136"/>
        <v>-1</v>
      </c>
      <c r="AM66" s="31">
        <f>Recu3!AM66</f>
        <v>0</v>
      </c>
      <c r="AN66" s="32">
        <f t="shared" si="137"/>
        <v>-1</v>
      </c>
      <c r="AO66" s="31">
        <f>Recu3!AO66</f>
        <v>0</v>
      </c>
      <c r="AP66" s="32">
        <f t="shared" si="138"/>
        <v>-1</v>
      </c>
      <c r="AQ66" s="31">
        <f>Recu3!AQ66</f>
        <v>0</v>
      </c>
      <c r="AR66" s="32">
        <f t="shared" si="139"/>
        <v>-1</v>
      </c>
      <c r="AS66" s="31">
        <f>Recu3!AS66</f>
        <v>0</v>
      </c>
      <c r="AT66" s="32">
        <f t="shared" si="140"/>
        <v>-1</v>
      </c>
      <c r="AU66" s="31">
        <f>Recu3!AU66</f>
        <v>0</v>
      </c>
      <c r="AV66" s="32">
        <f t="shared" si="141"/>
        <v>-1</v>
      </c>
      <c r="AW66" s="31">
        <f>Recu3!AW66</f>
        <v>0</v>
      </c>
      <c r="AX66" s="32">
        <f t="shared" si="142"/>
        <v>-1</v>
      </c>
      <c r="AY66" s="31">
        <f>Recu3!AY66</f>
        <v>0</v>
      </c>
      <c r="AZ66" s="32">
        <f t="shared" si="143"/>
        <v>-1</v>
      </c>
      <c r="BA66" s="31">
        <f>Recu3!BA66</f>
        <v>0</v>
      </c>
      <c r="BB66" s="32">
        <f t="shared" si="144"/>
        <v>-1</v>
      </c>
      <c r="BC66" s="31">
        <f>Recu3!BC66</f>
        <v>0</v>
      </c>
      <c r="BD66" s="32">
        <f t="shared" si="145"/>
        <v>-1</v>
      </c>
      <c r="BE66" s="31">
        <f>Recu3!BE66</f>
        <v>0</v>
      </c>
      <c r="BF66" s="32">
        <f t="shared" si="146"/>
        <v>-1</v>
      </c>
      <c r="BG66" s="31">
        <f>Recu3!BG66</f>
        <v>0</v>
      </c>
      <c r="BH66" s="32">
        <f t="shared" si="147"/>
        <v>-1</v>
      </c>
      <c r="BI66" s="31">
        <f>Recu3!BI66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Recu3!B67</f>
        <v>0</v>
      </c>
      <c r="C67" s="31">
        <f>Recu3!C67</f>
        <v>0</v>
      </c>
      <c r="D67" s="32">
        <f t="shared" si="119"/>
        <v>-1</v>
      </c>
      <c r="E67" s="31">
        <f>Recu3!E67</f>
        <v>0</v>
      </c>
      <c r="F67" s="32">
        <f t="shared" si="120"/>
        <v>-1</v>
      </c>
      <c r="G67" s="31">
        <f>Recu3!G67</f>
        <v>0</v>
      </c>
      <c r="H67" s="32">
        <f t="shared" si="121"/>
        <v>-1</v>
      </c>
      <c r="I67" s="31">
        <f>Recu3!I67</f>
        <v>0</v>
      </c>
      <c r="J67" s="32">
        <f t="shared" si="122"/>
        <v>-1</v>
      </c>
      <c r="K67" s="31">
        <f>Recu3!K67</f>
        <v>0</v>
      </c>
      <c r="L67" s="32">
        <f t="shared" si="123"/>
        <v>-1</v>
      </c>
      <c r="M67" s="31">
        <f>Recu3!M67</f>
        <v>0</v>
      </c>
      <c r="N67" s="32">
        <f t="shared" si="124"/>
        <v>-1</v>
      </c>
      <c r="O67" s="31">
        <f>Recu3!O67</f>
        <v>0</v>
      </c>
      <c r="P67" s="32">
        <f t="shared" si="125"/>
        <v>-1</v>
      </c>
      <c r="Q67" s="31">
        <f>Recu3!Q67</f>
        <v>0</v>
      </c>
      <c r="R67" s="32">
        <f t="shared" si="126"/>
        <v>-1</v>
      </c>
      <c r="S67" s="31">
        <f>Recu3!S67</f>
        <v>0</v>
      </c>
      <c r="T67" s="32">
        <f t="shared" si="127"/>
        <v>-1</v>
      </c>
      <c r="U67" s="31">
        <f>Recu3!U67</f>
        <v>0</v>
      </c>
      <c r="V67" s="32">
        <f t="shared" si="128"/>
        <v>-1</v>
      </c>
      <c r="W67" s="31">
        <f>Recu3!W67</f>
        <v>0</v>
      </c>
      <c r="X67" s="32">
        <f t="shared" si="129"/>
        <v>-1</v>
      </c>
      <c r="Y67" s="31">
        <f>Recu3!Y67</f>
        <v>0</v>
      </c>
      <c r="Z67" s="32">
        <f t="shared" si="130"/>
        <v>-1</v>
      </c>
      <c r="AA67" s="31">
        <f>Recu3!AA67</f>
        <v>0</v>
      </c>
      <c r="AB67" s="32">
        <f t="shared" si="131"/>
        <v>-1</v>
      </c>
      <c r="AC67" s="31">
        <f>Recu3!AC67</f>
        <v>0</v>
      </c>
      <c r="AD67" s="32">
        <f t="shared" si="132"/>
        <v>-1</v>
      </c>
      <c r="AE67" s="31">
        <f>Recu3!AE67</f>
        <v>0</v>
      </c>
      <c r="AF67" s="32">
        <f t="shared" si="133"/>
        <v>-1</v>
      </c>
      <c r="AG67" s="31">
        <f>Recu3!AG67</f>
        <v>0</v>
      </c>
      <c r="AH67" s="32">
        <f t="shared" si="134"/>
        <v>-1</v>
      </c>
      <c r="AI67" s="31">
        <f>Recu3!AI67</f>
        <v>0</v>
      </c>
      <c r="AJ67" s="32">
        <f t="shared" si="135"/>
        <v>-1</v>
      </c>
      <c r="AK67" s="31">
        <f>Recu3!AK67</f>
        <v>0</v>
      </c>
      <c r="AL67" s="32">
        <f t="shared" si="136"/>
        <v>-1</v>
      </c>
      <c r="AM67" s="31">
        <f>Recu3!AM67</f>
        <v>0</v>
      </c>
      <c r="AN67" s="32">
        <f t="shared" si="137"/>
        <v>-1</v>
      </c>
      <c r="AO67" s="31">
        <f>Recu3!AO67</f>
        <v>0</v>
      </c>
      <c r="AP67" s="32">
        <f t="shared" si="138"/>
        <v>-1</v>
      </c>
      <c r="AQ67" s="31">
        <f>Recu3!AQ67</f>
        <v>0</v>
      </c>
      <c r="AR67" s="32">
        <f t="shared" si="139"/>
        <v>-1</v>
      </c>
      <c r="AS67" s="31">
        <f>Recu3!AS67</f>
        <v>0</v>
      </c>
      <c r="AT67" s="32">
        <f t="shared" si="140"/>
        <v>-1</v>
      </c>
      <c r="AU67" s="31">
        <f>Recu3!AU67</f>
        <v>0</v>
      </c>
      <c r="AV67" s="32">
        <f t="shared" si="141"/>
        <v>-1</v>
      </c>
      <c r="AW67" s="31">
        <f>Recu3!AW67</f>
        <v>0</v>
      </c>
      <c r="AX67" s="32">
        <f t="shared" si="142"/>
        <v>-1</v>
      </c>
      <c r="AY67" s="31">
        <f>Recu3!AY67</f>
        <v>0</v>
      </c>
      <c r="AZ67" s="32">
        <f t="shared" si="143"/>
        <v>-1</v>
      </c>
      <c r="BA67" s="31">
        <f>Recu3!BA67</f>
        <v>0</v>
      </c>
      <c r="BB67" s="32">
        <f t="shared" si="144"/>
        <v>-1</v>
      </c>
      <c r="BC67" s="31">
        <f>Recu3!BC67</f>
        <v>0</v>
      </c>
      <c r="BD67" s="32">
        <f t="shared" si="145"/>
        <v>-1</v>
      </c>
      <c r="BE67" s="31">
        <f>Recu3!BE67</f>
        <v>0</v>
      </c>
      <c r="BF67" s="32">
        <f t="shared" si="146"/>
        <v>-1</v>
      </c>
      <c r="BG67" s="31">
        <f>Recu3!BG67</f>
        <v>0</v>
      </c>
      <c r="BH67" s="32">
        <f t="shared" si="147"/>
        <v>-1</v>
      </c>
      <c r="BI67" s="31">
        <f>Recu3!BI67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Recu3!B68</f>
        <v>0</v>
      </c>
      <c r="C68" s="31">
        <f>Recu3!C68</f>
        <v>0</v>
      </c>
      <c r="D68" s="32">
        <f t="shared" si="119"/>
        <v>-1</v>
      </c>
      <c r="E68" s="31">
        <f>Recu3!E68</f>
        <v>0</v>
      </c>
      <c r="F68" s="32">
        <f t="shared" si="120"/>
        <v>-1</v>
      </c>
      <c r="G68" s="31">
        <f>Recu3!G68</f>
        <v>0</v>
      </c>
      <c r="H68" s="32">
        <f t="shared" si="121"/>
        <v>-1</v>
      </c>
      <c r="I68" s="31">
        <f>Recu3!I68</f>
        <v>0</v>
      </c>
      <c r="J68" s="32">
        <f t="shared" si="122"/>
        <v>-1</v>
      </c>
      <c r="K68" s="31">
        <f>Recu3!K68</f>
        <v>0</v>
      </c>
      <c r="L68" s="32">
        <f t="shared" si="123"/>
        <v>-1</v>
      </c>
      <c r="M68" s="31">
        <f>Recu3!M68</f>
        <v>0</v>
      </c>
      <c r="N68" s="32">
        <f t="shared" si="124"/>
        <v>-1</v>
      </c>
      <c r="O68" s="31">
        <f>Recu3!O68</f>
        <v>0</v>
      </c>
      <c r="P68" s="32">
        <f t="shared" si="125"/>
        <v>-1</v>
      </c>
      <c r="Q68" s="31">
        <f>Recu3!Q68</f>
        <v>0</v>
      </c>
      <c r="R68" s="32">
        <f t="shared" si="126"/>
        <v>-1</v>
      </c>
      <c r="S68" s="31">
        <f>Recu3!S68</f>
        <v>0</v>
      </c>
      <c r="T68" s="32">
        <f t="shared" si="127"/>
        <v>-1</v>
      </c>
      <c r="U68" s="31">
        <f>Recu3!U68</f>
        <v>0</v>
      </c>
      <c r="V68" s="32">
        <f t="shared" si="128"/>
        <v>-1</v>
      </c>
      <c r="W68" s="31">
        <f>Recu3!W68</f>
        <v>0</v>
      </c>
      <c r="X68" s="32">
        <f t="shared" si="129"/>
        <v>-1</v>
      </c>
      <c r="Y68" s="31">
        <f>Recu3!Y68</f>
        <v>0</v>
      </c>
      <c r="Z68" s="32">
        <f t="shared" si="130"/>
        <v>-1</v>
      </c>
      <c r="AA68" s="31">
        <f>Recu3!AA68</f>
        <v>0</v>
      </c>
      <c r="AB68" s="32">
        <f t="shared" si="131"/>
        <v>-1</v>
      </c>
      <c r="AC68" s="31">
        <f>Recu3!AC68</f>
        <v>0</v>
      </c>
      <c r="AD68" s="32">
        <f t="shared" si="132"/>
        <v>-1</v>
      </c>
      <c r="AE68" s="31">
        <f>Recu3!AE68</f>
        <v>0</v>
      </c>
      <c r="AF68" s="32">
        <f t="shared" si="133"/>
        <v>-1</v>
      </c>
      <c r="AG68" s="31">
        <f>Recu3!AG68</f>
        <v>0</v>
      </c>
      <c r="AH68" s="32">
        <f t="shared" si="134"/>
        <v>-1</v>
      </c>
      <c r="AI68" s="31">
        <f>Recu3!AI68</f>
        <v>0</v>
      </c>
      <c r="AJ68" s="32">
        <f t="shared" si="135"/>
        <v>-1</v>
      </c>
      <c r="AK68" s="31">
        <f>Recu3!AK68</f>
        <v>0</v>
      </c>
      <c r="AL68" s="32">
        <f t="shared" si="136"/>
        <v>-1</v>
      </c>
      <c r="AM68" s="31">
        <f>Recu3!AM68</f>
        <v>0</v>
      </c>
      <c r="AN68" s="32">
        <f t="shared" si="137"/>
        <v>-1</v>
      </c>
      <c r="AO68" s="31">
        <f>Recu3!AO68</f>
        <v>0</v>
      </c>
      <c r="AP68" s="32">
        <f t="shared" si="138"/>
        <v>-1</v>
      </c>
      <c r="AQ68" s="31">
        <f>Recu3!AQ68</f>
        <v>0</v>
      </c>
      <c r="AR68" s="32">
        <f t="shared" si="139"/>
        <v>-1</v>
      </c>
      <c r="AS68" s="31">
        <f>Recu3!AS68</f>
        <v>0</v>
      </c>
      <c r="AT68" s="32">
        <f t="shared" si="140"/>
        <v>-1</v>
      </c>
      <c r="AU68" s="31">
        <f>Recu3!AU68</f>
        <v>0</v>
      </c>
      <c r="AV68" s="32">
        <f t="shared" si="141"/>
        <v>-1</v>
      </c>
      <c r="AW68" s="31">
        <f>Recu3!AW68</f>
        <v>0</v>
      </c>
      <c r="AX68" s="32">
        <f t="shared" si="142"/>
        <v>-1</v>
      </c>
      <c r="AY68" s="31">
        <f>Recu3!AY68</f>
        <v>0</v>
      </c>
      <c r="AZ68" s="32">
        <f t="shared" si="143"/>
        <v>-1</v>
      </c>
      <c r="BA68" s="31">
        <f>Recu3!BA68</f>
        <v>0</v>
      </c>
      <c r="BB68" s="32">
        <f t="shared" si="144"/>
        <v>-1</v>
      </c>
      <c r="BC68" s="31">
        <f>Recu3!BC68</f>
        <v>0</v>
      </c>
      <c r="BD68" s="32">
        <f t="shared" si="145"/>
        <v>-1</v>
      </c>
      <c r="BE68" s="31">
        <f>Recu3!BE68</f>
        <v>0</v>
      </c>
      <c r="BF68" s="32">
        <f t="shared" si="146"/>
        <v>-1</v>
      </c>
      <c r="BG68" s="31">
        <f>Recu3!BG68</f>
        <v>0</v>
      </c>
      <c r="BH68" s="32">
        <f t="shared" si="147"/>
        <v>-1</v>
      </c>
      <c r="BI68" s="31">
        <f>Recu3!BI68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Recu3!B69</f>
        <v>0</v>
      </c>
      <c r="C69" s="31">
        <f>Recu3!C69</f>
        <v>0</v>
      </c>
      <c r="D69" s="32">
        <f t="shared" si="119"/>
        <v>-1</v>
      </c>
      <c r="E69" s="31">
        <f>Recu3!E69</f>
        <v>0</v>
      </c>
      <c r="F69" s="32">
        <f t="shared" si="120"/>
        <v>-1</v>
      </c>
      <c r="G69" s="31">
        <f>Recu3!G69</f>
        <v>0</v>
      </c>
      <c r="H69" s="32">
        <f t="shared" si="121"/>
        <v>-1</v>
      </c>
      <c r="I69" s="31">
        <f>Recu3!I69</f>
        <v>0</v>
      </c>
      <c r="J69" s="32">
        <f t="shared" si="122"/>
        <v>-1</v>
      </c>
      <c r="K69" s="31">
        <f>Recu3!K69</f>
        <v>0</v>
      </c>
      <c r="L69" s="32">
        <f t="shared" si="123"/>
        <v>-1</v>
      </c>
      <c r="M69" s="31">
        <f>Recu3!M69</f>
        <v>0</v>
      </c>
      <c r="N69" s="32">
        <f t="shared" si="124"/>
        <v>-1</v>
      </c>
      <c r="O69" s="31">
        <f>Recu3!O69</f>
        <v>0</v>
      </c>
      <c r="P69" s="32">
        <f t="shared" si="125"/>
        <v>-1</v>
      </c>
      <c r="Q69" s="31">
        <f>Recu3!Q69</f>
        <v>0</v>
      </c>
      <c r="R69" s="32">
        <f t="shared" si="126"/>
        <v>-1</v>
      </c>
      <c r="S69" s="31">
        <f>Recu3!S69</f>
        <v>0</v>
      </c>
      <c r="T69" s="32">
        <f t="shared" si="127"/>
        <v>-1</v>
      </c>
      <c r="U69" s="31">
        <f>Recu3!U69</f>
        <v>0</v>
      </c>
      <c r="V69" s="32">
        <f t="shared" si="128"/>
        <v>-1</v>
      </c>
      <c r="W69" s="31">
        <f>Recu3!W69</f>
        <v>0</v>
      </c>
      <c r="X69" s="32">
        <f t="shared" si="129"/>
        <v>-1</v>
      </c>
      <c r="Y69" s="31">
        <f>Recu3!Y69</f>
        <v>0</v>
      </c>
      <c r="Z69" s="32">
        <f t="shared" si="130"/>
        <v>-1</v>
      </c>
      <c r="AA69" s="31">
        <f>Recu3!AA69</f>
        <v>0</v>
      </c>
      <c r="AB69" s="32">
        <f t="shared" si="131"/>
        <v>-1</v>
      </c>
      <c r="AC69" s="31">
        <f>Recu3!AC69</f>
        <v>0</v>
      </c>
      <c r="AD69" s="32">
        <f t="shared" si="132"/>
        <v>-1</v>
      </c>
      <c r="AE69" s="31">
        <f>Recu3!AE69</f>
        <v>0</v>
      </c>
      <c r="AF69" s="32">
        <f t="shared" si="133"/>
        <v>-1</v>
      </c>
      <c r="AG69" s="31">
        <f>Recu3!AG69</f>
        <v>0</v>
      </c>
      <c r="AH69" s="32">
        <f t="shared" si="134"/>
        <v>-1</v>
      </c>
      <c r="AI69" s="31">
        <f>Recu3!AI69</f>
        <v>0</v>
      </c>
      <c r="AJ69" s="32">
        <f t="shared" si="135"/>
        <v>-1</v>
      </c>
      <c r="AK69" s="31">
        <f>Recu3!AK69</f>
        <v>0</v>
      </c>
      <c r="AL69" s="32">
        <f t="shared" si="136"/>
        <v>-1</v>
      </c>
      <c r="AM69" s="31">
        <f>Recu3!AM69</f>
        <v>0</v>
      </c>
      <c r="AN69" s="32">
        <f t="shared" si="137"/>
        <v>-1</v>
      </c>
      <c r="AO69" s="31">
        <f>Recu3!AO69</f>
        <v>0</v>
      </c>
      <c r="AP69" s="32">
        <f t="shared" si="138"/>
        <v>-1</v>
      </c>
      <c r="AQ69" s="31">
        <f>Recu3!AQ69</f>
        <v>0</v>
      </c>
      <c r="AR69" s="32">
        <f t="shared" si="139"/>
        <v>-1</v>
      </c>
      <c r="AS69" s="31">
        <f>Recu3!AS69</f>
        <v>0</v>
      </c>
      <c r="AT69" s="32">
        <f t="shared" si="140"/>
        <v>-1</v>
      </c>
      <c r="AU69" s="31">
        <f>Recu3!AU69</f>
        <v>0</v>
      </c>
      <c r="AV69" s="32">
        <f t="shared" si="141"/>
        <v>-1</v>
      </c>
      <c r="AW69" s="31">
        <f>Recu3!AW69</f>
        <v>0</v>
      </c>
      <c r="AX69" s="32">
        <f t="shared" si="142"/>
        <v>-1</v>
      </c>
      <c r="AY69" s="31">
        <f>Recu3!AY69</f>
        <v>0</v>
      </c>
      <c r="AZ69" s="32">
        <f t="shared" si="143"/>
        <v>-1</v>
      </c>
      <c r="BA69" s="31">
        <f>Recu3!BA69</f>
        <v>0</v>
      </c>
      <c r="BB69" s="32">
        <f t="shared" si="144"/>
        <v>-1</v>
      </c>
      <c r="BC69" s="31">
        <f>Recu3!BC69</f>
        <v>0</v>
      </c>
      <c r="BD69" s="32">
        <f t="shared" si="145"/>
        <v>-1</v>
      </c>
      <c r="BE69" s="31">
        <f>Recu3!BE69</f>
        <v>0</v>
      </c>
      <c r="BF69" s="32">
        <f t="shared" si="146"/>
        <v>-1</v>
      </c>
      <c r="BG69" s="31">
        <f>Recu3!BG69</f>
        <v>0</v>
      </c>
      <c r="BH69" s="32">
        <f t="shared" si="147"/>
        <v>-1</v>
      </c>
      <c r="BI69" s="31">
        <f>Recu3!BI69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Recu3!B70</f>
        <v>0</v>
      </c>
      <c r="C70" s="31">
        <f>Recu3!C70</f>
        <v>0</v>
      </c>
      <c r="D70" s="32">
        <f t="shared" si="119"/>
        <v>-1</v>
      </c>
      <c r="E70" s="31">
        <f>Recu3!E70</f>
        <v>0</v>
      </c>
      <c r="F70" s="32">
        <f t="shared" si="120"/>
        <v>-1</v>
      </c>
      <c r="G70" s="31">
        <f>Recu3!G70</f>
        <v>0</v>
      </c>
      <c r="H70" s="32">
        <f t="shared" si="121"/>
        <v>-1</v>
      </c>
      <c r="I70" s="31">
        <f>Recu3!I70</f>
        <v>0</v>
      </c>
      <c r="J70" s="32">
        <f t="shared" si="122"/>
        <v>-1</v>
      </c>
      <c r="K70" s="31">
        <f>Recu3!K70</f>
        <v>0</v>
      </c>
      <c r="L70" s="32">
        <f t="shared" si="123"/>
        <v>-1</v>
      </c>
      <c r="M70" s="31">
        <f>Recu3!M70</f>
        <v>0</v>
      </c>
      <c r="N70" s="32">
        <f t="shared" si="124"/>
        <v>-1</v>
      </c>
      <c r="O70" s="31">
        <f>Recu3!O70</f>
        <v>0</v>
      </c>
      <c r="P70" s="32">
        <f t="shared" si="125"/>
        <v>-1</v>
      </c>
      <c r="Q70" s="31">
        <f>Recu3!Q70</f>
        <v>0</v>
      </c>
      <c r="R70" s="32">
        <f t="shared" si="126"/>
        <v>-1</v>
      </c>
      <c r="S70" s="31">
        <f>Recu3!S70</f>
        <v>0</v>
      </c>
      <c r="T70" s="32">
        <f t="shared" si="127"/>
        <v>-1</v>
      </c>
      <c r="U70" s="31">
        <f>Recu3!U70</f>
        <v>0</v>
      </c>
      <c r="V70" s="32">
        <f t="shared" si="128"/>
        <v>-1</v>
      </c>
      <c r="W70" s="31">
        <f>Recu3!W70</f>
        <v>0</v>
      </c>
      <c r="X70" s="32">
        <f t="shared" si="129"/>
        <v>-1</v>
      </c>
      <c r="Y70" s="31">
        <f>Recu3!Y70</f>
        <v>0</v>
      </c>
      <c r="Z70" s="32">
        <f t="shared" si="130"/>
        <v>-1</v>
      </c>
      <c r="AA70" s="31">
        <f>Recu3!AA70</f>
        <v>0</v>
      </c>
      <c r="AB70" s="32">
        <f t="shared" si="131"/>
        <v>-1</v>
      </c>
      <c r="AC70" s="31">
        <f>Recu3!AC70</f>
        <v>0</v>
      </c>
      <c r="AD70" s="32">
        <f t="shared" si="132"/>
        <v>-1</v>
      </c>
      <c r="AE70" s="31">
        <f>Recu3!AE70</f>
        <v>0</v>
      </c>
      <c r="AF70" s="32">
        <f t="shared" si="133"/>
        <v>-1</v>
      </c>
      <c r="AG70" s="31">
        <f>Recu3!AG70</f>
        <v>0</v>
      </c>
      <c r="AH70" s="32">
        <f t="shared" si="134"/>
        <v>-1</v>
      </c>
      <c r="AI70" s="31">
        <f>Recu3!AI70</f>
        <v>0</v>
      </c>
      <c r="AJ70" s="32">
        <f t="shared" si="135"/>
        <v>-1</v>
      </c>
      <c r="AK70" s="31">
        <f>Recu3!AK70</f>
        <v>0</v>
      </c>
      <c r="AL70" s="32">
        <f t="shared" si="136"/>
        <v>-1</v>
      </c>
      <c r="AM70" s="31">
        <f>Recu3!AM70</f>
        <v>0</v>
      </c>
      <c r="AN70" s="32">
        <f t="shared" si="137"/>
        <v>-1</v>
      </c>
      <c r="AO70" s="31">
        <f>Recu3!AO70</f>
        <v>0</v>
      </c>
      <c r="AP70" s="32">
        <f t="shared" si="138"/>
        <v>-1</v>
      </c>
      <c r="AQ70" s="31">
        <f>Recu3!AQ70</f>
        <v>0</v>
      </c>
      <c r="AR70" s="32">
        <f t="shared" si="139"/>
        <v>-1</v>
      </c>
      <c r="AS70" s="31">
        <f>Recu3!AS70</f>
        <v>0</v>
      </c>
      <c r="AT70" s="32">
        <f t="shared" si="140"/>
        <v>-1</v>
      </c>
      <c r="AU70" s="31">
        <f>Recu3!AU70</f>
        <v>0</v>
      </c>
      <c r="AV70" s="32">
        <f t="shared" si="141"/>
        <v>-1</v>
      </c>
      <c r="AW70" s="31">
        <f>Recu3!AW70</f>
        <v>0</v>
      </c>
      <c r="AX70" s="32">
        <f t="shared" si="142"/>
        <v>-1</v>
      </c>
      <c r="AY70" s="31">
        <f>Recu3!AY70</f>
        <v>0</v>
      </c>
      <c r="AZ70" s="32">
        <f t="shared" si="143"/>
        <v>-1</v>
      </c>
      <c r="BA70" s="31">
        <f>Recu3!BA70</f>
        <v>0</v>
      </c>
      <c r="BB70" s="32">
        <f t="shared" si="144"/>
        <v>-1</v>
      </c>
      <c r="BC70" s="31">
        <f>Recu3!BC70</f>
        <v>0</v>
      </c>
      <c r="BD70" s="32">
        <f t="shared" si="145"/>
        <v>-1</v>
      </c>
      <c r="BE70" s="31">
        <f>Recu3!BE70</f>
        <v>0</v>
      </c>
      <c r="BF70" s="32">
        <f t="shared" si="146"/>
        <v>-1</v>
      </c>
      <c r="BG70" s="31">
        <f>Recu3!BG70</f>
        <v>0</v>
      </c>
      <c r="BH70" s="32">
        <f t="shared" si="147"/>
        <v>-1</v>
      </c>
      <c r="BI70" s="31">
        <f>Recu3!BI70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Recu3!B71</f>
        <v>0</v>
      </c>
      <c r="C71" s="31">
        <f>Recu3!C71</f>
        <v>0</v>
      </c>
      <c r="D71" s="32">
        <f t="shared" si="119"/>
        <v>-1</v>
      </c>
      <c r="E71" s="31">
        <f>Recu3!E71</f>
        <v>0</v>
      </c>
      <c r="F71" s="32">
        <f t="shared" si="120"/>
        <v>-1</v>
      </c>
      <c r="G71" s="31">
        <f>Recu3!G71</f>
        <v>0</v>
      </c>
      <c r="H71" s="32">
        <f t="shared" si="121"/>
        <v>-1</v>
      </c>
      <c r="I71" s="31">
        <f>Recu3!I71</f>
        <v>0</v>
      </c>
      <c r="J71" s="32">
        <f t="shared" si="122"/>
        <v>-1</v>
      </c>
      <c r="K71" s="31">
        <f>Recu3!K71</f>
        <v>0</v>
      </c>
      <c r="L71" s="32">
        <f t="shared" si="123"/>
        <v>-1</v>
      </c>
      <c r="M71" s="31">
        <f>Recu3!M71</f>
        <v>0</v>
      </c>
      <c r="N71" s="32">
        <f t="shared" si="124"/>
        <v>-1</v>
      </c>
      <c r="O71" s="31">
        <f>Recu3!O71</f>
        <v>0</v>
      </c>
      <c r="P71" s="32">
        <f t="shared" si="125"/>
        <v>-1</v>
      </c>
      <c r="Q71" s="31">
        <f>Recu3!Q71</f>
        <v>0</v>
      </c>
      <c r="R71" s="32">
        <f t="shared" si="126"/>
        <v>-1</v>
      </c>
      <c r="S71" s="31">
        <f>Recu3!S71</f>
        <v>0</v>
      </c>
      <c r="T71" s="32">
        <f t="shared" si="127"/>
        <v>-1</v>
      </c>
      <c r="U71" s="31">
        <f>Recu3!U71</f>
        <v>0</v>
      </c>
      <c r="V71" s="32">
        <f t="shared" si="128"/>
        <v>-1</v>
      </c>
      <c r="W71" s="31">
        <f>Recu3!W71</f>
        <v>0</v>
      </c>
      <c r="X71" s="32">
        <f t="shared" si="129"/>
        <v>-1</v>
      </c>
      <c r="Y71" s="31">
        <f>Recu3!Y71</f>
        <v>0</v>
      </c>
      <c r="Z71" s="32">
        <f t="shared" si="130"/>
        <v>-1</v>
      </c>
      <c r="AA71" s="31">
        <f>Recu3!AA71</f>
        <v>0</v>
      </c>
      <c r="AB71" s="32">
        <f t="shared" si="131"/>
        <v>-1</v>
      </c>
      <c r="AC71" s="31">
        <f>Recu3!AC71</f>
        <v>0</v>
      </c>
      <c r="AD71" s="32">
        <f t="shared" si="132"/>
        <v>-1</v>
      </c>
      <c r="AE71" s="31">
        <f>Recu3!AE71</f>
        <v>0</v>
      </c>
      <c r="AF71" s="32">
        <f t="shared" si="133"/>
        <v>-1</v>
      </c>
      <c r="AG71" s="31">
        <f>Recu3!AG71</f>
        <v>0</v>
      </c>
      <c r="AH71" s="32">
        <f t="shared" si="134"/>
        <v>-1</v>
      </c>
      <c r="AI71" s="31">
        <f>Recu3!AI71</f>
        <v>0</v>
      </c>
      <c r="AJ71" s="32">
        <f t="shared" si="135"/>
        <v>-1</v>
      </c>
      <c r="AK71" s="31">
        <f>Recu3!AK71</f>
        <v>0</v>
      </c>
      <c r="AL71" s="32">
        <f t="shared" si="136"/>
        <v>-1</v>
      </c>
      <c r="AM71" s="31">
        <f>Recu3!AM71</f>
        <v>0</v>
      </c>
      <c r="AN71" s="32">
        <f t="shared" si="137"/>
        <v>-1</v>
      </c>
      <c r="AO71" s="31">
        <f>Recu3!AO71</f>
        <v>0</v>
      </c>
      <c r="AP71" s="32">
        <f t="shared" si="138"/>
        <v>-1</v>
      </c>
      <c r="AQ71" s="31">
        <f>Recu3!AQ71</f>
        <v>0</v>
      </c>
      <c r="AR71" s="32">
        <f t="shared" si="139"/>
        <v>-1</v>
      </c>
      <c r="AS71" s="31">
        <f>Recu3!AS71</f>
        <v>0</v>
      </c>
      <c r="AT71" s="32">
        <f t="shared" si="140"/>
        <v>-1</v>
      </c>
      <c r="AU71" s="31">
        <f>Recu3!AU71</f>
        <v>0</v>
      </c>
      <c r="AV71" s="32">
        <f t="shared" si="141"/>
        <v>-1</v>
      </c>
      <c r="AW71" s="31">
        <f>Recu3!AW71</f>
        <v>0</v>
      </c>
      <c r="AX71" s="32">
        <f t="shared" si="142"/>
        <v>-1</v>
      </c>
      <c r="AY71" s="31">
        <f>Recu3!AY71</f>
        <v>0</v>
      </c>
      <c r="AZ71" s="32">
        <f t="shared" si="143"/>
        <v>-1</v>
      </c>
      <c r="BA71" s="31">
        <f>Recu3!BA71</f>
        <v>0</v>
      </c>
      <c r="BB71" s="32">
        <f t="shared" si="144"/>
        <v>-1</v>
      </c>
      <c r="BC71" s="31">
        <f>Recu3!BC71</f>
        <v>0</v>
      </c>
      <c r="BD71" s="32">
        <f t="shared" si="145"/>
        <v>-1</v>
      </c>
      <c r="BE71" s="31">
        <f>Recu3!BE71</f>
        <v>0</v>
      </c>
      <c r="BF71" s="32">
        <f t="shared" si="146"/>
        <v>-1</v>
      </c>
      <c r="BG71" s="31">
        <f>Recu3!BG71</f>
        <v>0</v>
      </c>
      <c r="BH71" s="32">
        <f t="shared" si="147"/>
        <v>-1</v>
      </c>
      <c r="BI71" s="31">
        <f>Recu3!BI71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Recu3!B72</f>
        <v>0</v>
      </c>
      <c r="C72" s="31">
        <f>Recu3!C72</f>
        <v>0</v>
      </c>
      <c r="D72" s="32">
        <f t="shared" si="119"/>
        <v>-1</v>
      </c>
      <c r="E72" s="31">
        <f>Recu3!E72</f>
        <v>0</v>
      </c>
      <c r="F72" s="32">
        <f t="shared" si="120"/>
        <v>-1</v>
      </c>
      <c r="G72" s="31">
        <f>Recu3!G72</f>
        <v>0</v>
      </c>
      <c r="H72" s="32">
        <f t="shared" si="121"/>
        <v>-1</v>
      </c>
      <c r="I72" s="31">
        <f>Recu3!I72</f>
        <v>0</v>
      </c>
      <c r="J72" s="32">
        <f t="shared" si="122"/>
        <v>-1</v>
      </c>
      <c r="K72" s="31">
        <f>Recu3!K72</f>
        <v>0</v>
      </c>
      <c r="L72" s="32">
        <f t="shared" si="123"/>
        <v>-1</v>
      </c>
      <c r="M72" s="31">
        <f>Recu3!M72</f>
        <v>0</v>
      </c>
      <c r="N72" s="32">
        <f t="shared" si="124"/>
        <v>-1</v>
      </c>
      <c r="O72" s="31">
        <f>Recu3!O72</f>
        <v>0</v>
      </c>
      <c r="P72" s="32">
        <f t="shared" si="125"/>
        <v>-1</v>
      </c>
      <c r="Q72" s="31">
        <f>Recu3!Q72</f>
        <v>0</v>
      </c>
      <c r="R72" s="32">
        <f t="shared" si="126"/>
        <v>-1</v>
      </c>
      <c r="S72" s="31">
        <f>Recu3!S72</f>
        <v>0</v>
      </c>
      <c r="T72" s="32">
        <f t="shared" si="127"/>
        <v>-1</v>
      </c>
      <c r="U72" s="31">
        <f>Recu3!U72</f>
        <v>0</v>
      </c>
      <c r="V72" s="32">
        <f t="shared" si="128"/>
        <v>-1</v>
      </c>
      <c r="W72" s="31">
        <f>Recu3!W72</f>
        <v>0</v>
      </c>
      <c r="X72" s="32">
        <f t="shared" si="129"/>
        <v>-1</v>
      </c>
      <c r="Y72" s="31">
        <f>Recu3!Y72</f>
        <v>0</v>
      </c>
      <c r="Z72" s="32">
        <f t="shared" si="130"/>
        <v>-1</v>
      </c>
      <c r="AA72" s="31">
        <f>Recu3!AA72</f>
        <v>0</v>
      </c>
      <c r="AB72" s="32">
        <f t="shared" si="131"/>
        <v>-1</v>
      </c>
      <c r="AC72" s="31">
        <f>Recu3!AC72</f>
        <v>0</v>
      </c>
      <c r="AD72" s="32">
        <f t="shared" si="132"/>
        <v>-1</v>
      </c>
      <c r="AE72" s="31">
        <f>Recu3!AE72</f>
        <v>0</v>
      </c>
      <c r="AF72" s="32">
        <f t="shared" si="133"/>
        <v>-1</v>
      </c>
      <c r="AG72" s="31">
        <f>Recu3!AG72</f>
        <v>0</v>
      </c>
      <c r="AH72" s="32">
        <f t="shared" si="134"/>
        <v>-1</v>
      </c>
      <c r="AI72" s="31">
        <f>Recu3!AI72</f>
        <v>0</v>
      </c>
      <c r="AJ72" s="32">
        <f t="shared" si="135"/>
        <v>-1</v>
      </c>
      <c r="AK72" s="31">
        <f>Recu3!AK72</f>
        <v>0</v>
      </c>
      <c r="AL72" s="32">
        <f t="shared" si="136"/>
        <v>-1</v>
      </c>
      <c r="AM72" s="31">
        <f>Recu3!AM72</f>
        <v>0</v>
      </c>
      <c r="AN72" s="32">
        <f t="shared" si="137"/>
        <v>-1</v>
      </c>
      <c r="AO72" s="31">
        <f>Recu3!AO72</f>
        <v>0</v>
      </c>
      <c r="AP72" s="32">
        <f t="shared" si="138"/>
        <v>-1</v>
      </c>
      <c r="AQ72" s="31">
        <f>Recu3!AQ72</f>
        <v>0</v>
      </c>
      <c r="AR72" s="32">
        <f t="shared" si="139"/>
        <v>-1</v>
      </c>
      <c r="AS72" s="31">
        <f>Recu3!AS72</f>
        <v>0</v>
      </c>
      <c r="AT72" s="32">
        <f t="shared" si="140"/>
        <v>-1</v>
      </c>
      <c r="AU72" s="31">
        <f>Recu3!AU72</f>
        <v>0</v>
      </c>
      <c r="AV72" s="32">
        <f t="shared" si="141"/>
        <v>-1</v>
      </c>
      <c r="AW72" s="31">
        <f>Recu3!AW72</f>
        <v>0</v>
      </c>
      <c r="AX72" s="32">
        <f t="shared" si="142"/>
        <v>-1</v>
      </c>
      <c r="AY72" s="31">
        <f>Recu3!AY72</f>
        <v>0</v>
      </c>
      <c r="AZ72" s="32">
        <f t="shared" si="143"/>
        <v>-1</v>
      </c>
      <c r="BA72" s="31">
        <f>Recu3!BA72</f>
        <v>0</v>
      </c>
      <c r="BB72" s="32">
        <f t="shared" si="144"/>
        <v>-1</v>
      </c>
      <c r="BC72" s="31">
        <f>Recu3!BC72</f>
        <v>0</v>
      </c>
      <c r="BD72" s="32">
        <f t="shared" si="145"/>
        <v>-1</v>
      </c>
      <c r="BE72" s="31">
        <f>Recu3!BE72</f>
        <v>0</v>
      </c>
      <c r="BF72" s="32">
        <f t="shared" si="146"/>
        <v>-1</v>
      </c>
      <c r="BG72" s="31">
        <f>Recu3!BG72</f>
        <v>0</v>
      </c>
      <c r="BH72" s="32">
        <f t="shared" si="147"/>
        <v>-1</v>
      </c>
      <c r="BI72" s="31">
        <f>Recu3!BI72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Recu3!B73</f>
        <v>0</v>
      </c>
      <c r="C73" s="31">
        <f>Recu3!C73</f>
        <v>0</v>
      </c>
      <c r="D73" s="32">
        <f t="shared" si="119"/>
        <v>-1</v>
      </c>
      <c r="E73" s="31">
        <f>Recu3!E73</f>
        <v>0</v>
      </c>
      <c r="F73" s="32">
        <f t="shared" si="120"/>
        <v>-1</v>
      </c>
      <c r="G73" s="31">
        <f>Recu3!G73</f>
        <v>0</v>
      </c>
      <c r="H73" s="32">
        <f t="shared" si="121"/>
        <v>-1</v>
      </c>
      <c r="I73" s="31">
        <f>Recu3!I73</f>
        <v>0</v>
      </c>
      <c r="J73" s="32">
        <f t="shared" si="122"/>
        <v>-1</v>
      </c>
      <c r="K73" s="31">
        <f>Recu3!K73</f>
        <v>0</v>
      </c>
      <c r="L73" s="32">
        <f t="shared" si="123"/>
        <v>-1</v>
      </c>
      <c r="M73" s="31">
        <f>Recu3!M73</f>
        <v>0</v>
      </c>
      <c r="N73" s="32">
        <f t="shared" si="124"/>
        <v>-1</v>
      </c>
      <c r="O73" s="31">
        <f>Recu3!O73</f>
        <v>0</v>
      </c>
      <c r="P73" s="32">
        <f t="shared" si="125"/>
        <v>-1</v>
      </c>
      <c r="Q73" s="31">
        <f>Recu3!Q73</f>
        <v>0</v>
      </c>
      <c r="R73" s="32">
        <f t="shared" si="126"/>
        <v>-1</v>
      </c>
      <c r="S73" s="31">
        <f>Recu3!S73</f>
        <v>0</v>
      </c>
      <c r="T73" s="32">
        <f t="shared" si="127"/>
        <v>-1</v>
      </c>
      <c r="U73" s="31">
        <f>Recu3!U73</f>
        <v>0</v>
      </c>
      <c r="V73" s="32">
        <f t="shared" si="128"/>
        <v>-1</v>
      </c>
      <c r="W73" s="31">
        <f>Recu3!W73</f>
        <v>0</v>
      </c>
      <c r="X73" s="32">
        <f t="shared" si="129"/>
        <v>-1</v>
      </c>
      <c r="Y73" s="31">
        <f>Recu3!Y73</f>
        <v>0</v>
      </c>
      <c r="Z73" s="32">
        <f t="shared" si="130"/>
        <v>-1</v>
      </c>
      <c r="AA73" s="31">
        <f>Recu3!AA73</f>
        <v>0</v>
      </c>
      <c r="AB73" s="32">
        <f t="shared" si="131"/>
        <v>-1</v>
      </c>
      <c r="AC73" s="31">
        <f>Recu3!AC73</f>
        <v>0</v>
      </c>
      <c r="AD73" s="32">
        <f t="shared" si="132"/>
        <v>-1</v>
      </c>
      <c r="AE73" s="31">
        <f>Recu3!AE73</f>
        <v>0</v>
      </c>
      <c r="AF73" s="32">
        <f t="shared" si="133"/>
        <v>-1</v>
      </c>
      <c r="AG73" s="31">
        <f>Recu3!AG73</f>
        <v>0</v>
      </c>
      <c r="AH73" s="32">
        <f t="shared" si="134"/>
        <v>-1</v>
      </c>
      <c r="AI73" s="31">
        <f>Recu3!AI73</f>
        <v>0</v>
      </c>
      <c r="AJ73" s="32">
        <f t="shared" si="135"/>
        <v>-1</v>
      </c>
      <c r="AK73" s="31">
        <f>Recu3!AK73</f>
        <v>0</v>
      </c>
      <c r="AL73" s="32">
        <f t="shared" si="136"/>
        <v>-1</v>
      </c>
      <c r="AM73" s="31">
        <f>Recu3!AM73</f>
        <v>0</v>
      </c>
      <c r="AN73" s="32">
        <f t="shared" si="137"/>
        <v>-1</v>
      </c>
      <c r="AO73" s="31">
        <f>Recu3!AO73</f>
        <v>0</v>
      </c>
      <c r="AP73" s="32">
        <f t="shared" si="138"/>
        <v>-1</v>
      </c>
      <c r="AQ73" s="31">
        <f>Recu3!AQ73</f>
        <v>0</v>
      </c>
      <c r="AR73" s="32">
        <f t="shared" si="139"/>
        <v>-1</v>
      </c>
      <c r="AS73" s="31">
        <f>Recu3!AS73</f>
        <v>0</v>
      </c>
      <c r="AT73" s="32">
        <f t="shared" si="140"/>
        <v>-1</v>
      </c>
      <c r="AU73" s="31">
        <f>Recu3!AU73</f>
        <v>0</v>
      </c>
      <c r="AV73" s="32">
        <f t="shared" si="141"/>
        <v>-1</v>
      </c>
      <c r="AW73" s="31">
        <f>Recu3!AW73</f>
        <v>0</v>
      </c>
      <c r="AX73" s="32">
        <f t="shared" si="142"/>
        <v>-1</v>
      </c>
      <c r="AY73" s="31">
        <f>Recu3!AY73</f>
        <v>0</v>
      </c>
      <c r="AZ73" s="32">
        <f t="shared" si="143"/>
        <v>-1</v>
      </c>
      <c r="BA73" s="31">
        <f>Recu3!BA73</f>
        <v>0</v>
      </c>
      <c r="BB73" s="32">
        <f t="shared" si="144"/>
        <v>-1</v>
      </c>
      <c r="BC73" s="31">
        <f>Recu3!BC73</f>
        <v>0</v>
      </c>
      <c r="BD73" s="32">
        <f t="shared" si="145"/>
        <v>-1</v>
      </c>
      <c r="BE73" s="31">
        <f>Recu3!BE73</f>
        <v>0</v>
      </c>
      <c r="BF73" s="32">
        <f t="shared" si="146"/>
        <v>-1</v>
      </c>
      <c r="BG73" s="31">
        <f>Recu3!BG73</f>
        <v>0</v>
      </c>
      <c r="BH73" s="32">
        <f t="shared" si="147"/>
        <v>-1</v>
      </c>
      <c r="BI73" s="31">
        <f>Recu3!BI73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Recu3!B74</f>
        <v>0</v>
      </c>
      <c r="C74" s="31">
        <f>Recu3!C74</f>
        <v>0</v>
      </c>
      <c r="D74" s="32">
        <f t="shared" si="119"/>
        <v>-1</v>
      </c>
      <c r="E74" s="31">
        <f>Recu3!E74</f>
        <v>0</v>
      </c>
      <c r="F74" s="32">
        <f t="shared" si="120"/>
        <v>-1</v>
      </c>
      <c r="G74" s="31">
        <f>Recu3!G74</f>
        <v>0</v>
      </c>
      <c r="H74" s="32">
        <f t="shared" si="121"/>
        <v>-1</v>
      </c>
      <c r="I74" s="31">
        <f>Recu3!I74</f>
        <v>0</v>
      </c>
      <c r="J74" s="32">
        <f t="shared" si="122"/>
        <v>-1</v>
      </c>
      <c r="K74" s="31">
        <f>Recu3!K74</f>
        <v>0</v>
      </c>
      <c r="L74" s="32">
        <f t="shared" si="123"/>
        <v>-1</v>
      </c>
      <c r="M74" s="31">
        <f>Recu3!M74</f>
        <v>0</v>
      </c>
      <c r="N74" s="32">
        <f t="shared" si="124"/>
        <v>-1</v>
      </c>
      <c r="O74" s="31">
        <f>Recu3!O74</f>
        <v>0</v>
      </c>
      <c r="P74" s="32">
        <f t="shared" si="125"/>
        <v>-1</v>
      </c>
      <c r="Q74" s="31">
        <f>Recu3!Q74</f>
        <v>0</v>
      </c>
      <c r="R74" s="32">
        <f t="shared" si="126"/>
        <v>-1</v>
      </c>
      <c r="S74" s="31">
        <f>Recu3!S74</f>
        <v>0</v>
      </c>
      <c r="T74" s="32">
        <f t="shared" si="127"/>
        <v>-1</v>
      </c>
      <c r="U74" s="31">
        <f>Recu3!U74</f>
        <v>0</v>
      </c>
      <c r="V74" s="32">
        <f t="shared" si="128"/>
        <v>-1</v>
      </c>
      <c r="W74" s="31">
        <f>Recu3!W74</f>
        <v>0</v>
      </c>
      <c r="X74" s="32">
        <f t="shared" si="129"/>
        <v>-1</v>
      </c>
      <c r="Y74" s="31">
        <f>Recu3!Y74</f>
        <v>0</v>
      </c>
      <c r="Z74" s="32">
        <f t="shared" si="130"/>
        <v>-1</v>
      </c>
      <c r="AA74" s="31">
        <f>Recu3!AA74</f>
        <v>0</v>
      </c>
      <c r="AB74" s="32">
        <f t="shared" si="131"/>
        <v>-1</v>
      </c>
      <c r="AC74" s="31">
        <f>Recu3!AC74</f>
        <v>0</v>
      </c>
      <c r="AD74" s="32">
        <f t="shared" si="132"/>
        <v>-1</v>
      </c>
      <c r="AE74" s="31">
        <f>Recu3!AE74</f>
        <v>0</v>
      </c>
      <c r="AF74" s="32">
        <f t="shared" si="133"/>
        <v>-1</v>
      </c>
      <c r="AG74" s="31">
        <f>Recu3!AG74</f>
        <v>0</v>
      </c>
      <c r="AH74" s="32">
        <f t="shared" si="134"/>
        <v>-1</v>
      </c>
      <c r="AI74" s="31">
        <f>Recu3!AI74</f>
        <v>0</v>
      </c>
      <c r="AJ74" s="32">
        <f t="shared" si="135"/>
        <v>-1</v>
      </c>
      <c r="AK74" s="31">
        <f>Recu3!AK74</f>
        <v>0</v>
      </c>
      <c r="AL74" s="32">
        <f t="shared" si="136"/>
        <v>-1</v>
      </c>
      <c r="AM74" s="31">
        <f>Recu3!AM74</f>
        <v>0</v>
      </c>
      <c r="AN74" s="32">
        <f t="shared" si="137"/>
        <v>-1</v>
      </c>
      <c r="AO74" s="31">
        <f>Recu3!AO74</f>
        <v>0</v>
      </c>
      <c r="AP74" s="32">
        <f t="shared" si="138"/>
        <v>-1</v>
      </c>
      <c r="AQ74" s="31">
        <f>Recu3!AQ74</f>
        <v>0</v>
      </c>
      <c r="AR74" s="32">
        <f t="shared" si="139"/>
        <v>-1</v>
      </c>
      <c r="AS74" s="31">
        <f>Recu3!AS74</f>
        <v>0</v>
      </c>
      <c r="AT74" s="32">
        <f t="shared" si="140"/>
        <v>-1</v>
      </c>
      <c r="AU74" s="31">
        <f>Recu3!AU74</f>
        <v>0</v>
      </c>
      <c r="AV74" s="32">
        <f t="shared" si="141"/>
        <v>-1</v>
      </c>
      <c r="AW74" s="31">
        <f>Recu3!AW74</f>
        <v>0</v>
      </c>
      <c r="AX74" s="32">
        <f t="shared" si="142"/>
        <v>-1</v>
      </c>
      <c r="AY74" s="31">
        <f>Recu3!AY74</f>
        <v>0</v>
      </c>
      <c r="AZ74" s="32">
        <f t="shared" si="143"/>
        <v>-1</v>
      </c>
      <c r="BA74" s="31">
        <f>Recu3!BA74</f>
        <v>0</v>
      </c>
      <c r="BB74" s="32">
        <f t="shared" si="144"/>
        <v>-1</v>
      </c>
      <c r="BC74" s="31">
        <f>Recu3!BC74</f>
        <v>0</v>
      </c>
      <c r="BD74" s="32">
        <f t="shared" si="145"/>
        <v>-1</v>
      </c>
      <c r="BE74" s="31">
        <f>Recu3!BE74</f>
        <v>0</v>
      </c>
      <c r="BF74" s="32">
        <f t="shared" si="146"/>
        <v>-1</v>
      </c>
      <c r="BG74" s="31">
        <f>Recu3!BG74</f>
        <v>0</v>
      </c>
      <c r="BH74" s="32">
        <f t="shared" si="147"/>
        <v>-1</v>
      </c>
      <c r="BI74" s="31">
        <f>Recu3!BI74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Recu3!B75</f>
        <v>0</v>
      </c>
      <c r="C75" s="31">
        <f>Recu3!C75</f>
        <v>0</v>
      </c>
      <c r="D75" s="32">
        <f t="shared" si="119"/>
        <v>-1</v>
      </c>
      <c r="E75" s="31">
        <f>Recu3!E75</f>
        <v>0</v>
      </c>
      <c r="F75" s="32">
        <f t="shared" si="120"/>
        <v>-1</v>
      </c>
      <c r="G75" s="31">
        <f>Recu3!G75</f>
        <v>0</v>
      </c>
      <c r="H75" s="32">
        <f t="shared" si="121"/>
        <v>-1</v>
      </c>
      <c r="I75" s="31">
        <f>Recu3!I75</f>
        <v>0</v>
      </c>
      <c r="J75" s="32">
        <f t="shared" si="122"/>
        <v>-1</v>
      </c>
      <c r="K75" s="31">
        <f>Recu3!K75</f>
        <v>0</v>
      </c>
      <c r="L75" s="32">
        <f t="shared" si="123"/>
        <v>-1</v>
      </c>
      <c r="M75" s="31">
        <f>Recu3!M75</f>
        <v>0</v>
      </c>
      <c r="N75" s="32">
        <f t="shared" si="124"/>
        <v>-1</v>
      </c>
      <c r="O75" s="31">
        <f>Recu3!O75</f>
        <v>0</v>
      </c>
      <c r="P75" s="32">
        <f t="shared" si="125"/>
        <v>-1</v>
      </c>
      <c r="Q75" s="31">
        <f>Recu3!Q75</f>
        <v>0</v>
      </c>
      <c r="R75" s="32">
        <f t="shared" si="126"/>
        <v>-1</v>
      </c>
      <c r="S75" s="31">
        <f>Recu3!S75</f>
        <v>0</v>
      </c>
      <c r="T75" s="32">
        <f t="shared" si="127"/>
        <v>-1</v>
      </c>
      <c r="U75" s="31">
        <f>Recu3!U75</f>
        <v>0</v>
      </c>
      <c r="V75" s="32">
        <f t="shared" si="128"/>
        <v>-1</v>
      </c>
      <c r="W75" s="31">
        <f>Recu3!W75</f>
        <v>0</v>
      </c>
      <c r="X75" s="32">
        <f t="shared" si="129"/>
        <v>-1</v>
      </c>
      <c r="Y75" s="31">
        <f>Recu3!Y75</f>
        <v>0</v>
      </c>
      <c r="Z75" s="32">
        <f t="shared" si="130"/>
        <v>-1</v>
      </c>
      <c r="AA75" s="31">
        <f>Recu3!AA75</f>
        <v>0</v>
      </c>
      <c r="AB75" s="32">
        <f t="shared" si="131"/>
        <v>-1</v>
      </c>
      <c r="AC75" s="31">
        <f>Recu3!AC75</f>
        <v>0</v>
      </c>
      <c r="AD75" s="32">
        <f t="shared" si="132"/>
        <v>-1</v>
      </c>
      <c r="AE75" s="31">
        <f>Recu3!AE75</f>
        <v>0</v>
      </c>
      <c r="AF75" s="32">
        <f t="shared" si="133"/>
        <v>-1</v>
      </c>
      <c r="AG75" s="31">
        <f>Recu3!AG75</f>
        <v>0</v>
      </c>
      <c r="AH75" s="32">
        <f t="shared" si="134"/>
        <v>-1</v>
      </c>
      <c r="AI75" s="31">
        <f>Recu3!AI75</f>
        <v>0</v>
      </c>
      <c r="AJ75" s="32">
        <f t="shared" si="135"/>
        <v>-1</v>
      </c>
      <c r="AK75" s="31">
        <f>Recu3!AK75</f>
        <v>0</v>
      </c>
      <c r="AL75" s="32">
        <f t="shared" si="136"/>
        <v>-1</v>
      </c>
      <c r="AM75" s="31">
        <f>Recu3!AM75</f>
        <v>0</v>
      </c>
      <c r="AN75" s="32">
        <f t="shared" si="137"/>
        <v>-1</v>
      </c>
      <c r="AO75" s="31">
        <f>Recu3!AO75</f>
        <v>0</v>
      </c>
      <c r="AP75" s="32">
        <f t="shared" si="138"/>
        <v>-1</v>
      </c>
      <c r="AQ75" s="31">
        <f>Recu3!AQ75</f>
        <v>0</v>
      </c>
      <c r="AR75" s="32">
        <f t="shared" si="139"/>
        <v>-1</v>
      </c>
      <c r="AS75" s="31">
        <f>Recu3!AS75</f>
        <v>0</v>
      </c>
      <c r="AT75" s="32">
        <f t="shared" si="140"/>
        <v>-1</v>
      </c>
      <c r="AU75" s="31">
        <f>Recu3!AU75</f>
        <v>0</v>
      </c>
      <c r="AV75" s="32">
        <f t="shared" si="141"/>
        <v>-1</v>
      </c>
      <c r="AW75" s="31">
        <f>Recu3!AW75</f>
        <v>0</v>
      </c>
      <c r="AX75" s="32">
        <f t="shared" si="142"/>
        <v>-1</v>
      </c>
      <c r="AY75" s="31">
        <f>Recu3!AY75</f>
        <v>0</v>
      </c>
      <c r="AZ75" s="32">
        <f t="shared" si="143"/>
        <v>-1</v>
      </c>
      <c r="BA75" s="31">
        <f>Recu3!BA75</f>
        <v>0</v>
      </c>
      <c r="BB75" s="32">
        <f t="shared" si="144"/>
        <v>-1</v>
      </c>
      <c r="BC75" s="31">
        <f>Recu3!BC75</f>
        <v>0</v>
      </c>
      <c r="BD75" s="32">
        <f t="shared" si="145"/>
        <v>-1</v>
      </c>
      <c r="BE75" s="31">
        <f>Recu3!BE75</f>
        <v>0</v>
      </c>
      <c r="BF75" s="32">
        <f t="shared" si="146"/>
        <v>-1</v>
      </c>
      <c r="BG75" s="31">
        <f>Recu3!BG75</f>
        <v>0</v>
      </c>
      <c r="BH75" s="32">
        <f t="shared" si="147"/>
        <v>-1</v>
      </c>
      <c r="BI75" s="31">
        <f>Recu3!BI75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Recu3!B76</f>
        <v>0</v>
      </c>
      <c r="C76" s="31">
        <f>Recu3!C76</f>
        <v>0</v>
      </c>
      <c r="D76" s="32">
        <f t="shared" si="119"/>
        <v>-1</v>
      </c>
      <c r="E76" s="31">
        <f>Recu3!E76</f>
        <v>0</v>
      </c>
      <c r="F76" s="32">
        <f t="shared" si="120"/>
        <v>-1</v>
      </c>
      <c r="G76" s="31">
        <f>Recu3!G76</f>
        <v>0</v>
      </c>
      <c r="H76" s="32">
        <f t="shared" si="121"/>
        <v>-1</v>
      </c>
      <c r="I76" s="31">
        <f>Recu3!I76</f>
        <v>0</v>
      </c>
      <c r="J76" s="32">
        <f t="shared" si="122"/>
        <v>-1</v>
      </c>
      <c r="K76" s="31">
        <f>Recu3!K76</f>
        <v>0</v>
      </c>
      <c r="L76" s="32">
        <f t="shared" si="123"/>
        <v>-1</v>
      </c>
      <c r="M76" s="31">
        <f>Recu3!M76</f>
        <v>0</v>
      </c>
      <c r="N76" s="32">
        <f t="shared" si="124"/>
        <v>-1</v>
      </c>
      <c r="O76" s="31">
        <f>Recu3!O76</f>
        <v>0</v>
      </c>
      <c r="P76" s="32">
        <f t="shared" si="125"/>
        <v>-1</v>
      </c>
      <c r="Q76" s="31">
        <f>Recu3!Q76</f>
        <v>0</v>
      </c>
      <c r="R76" s="32">
        <f t="shared" si="126"/>
        <v>-1</v>
      </c>
      <c r="S76" s="31">
        <f>Recu3!S76</f>
        <v>0</v>
      </c>
      <c r="T76" s="32">
        <f t="shared" si="127"/>
        <v>-1</v>
      </c>
      <c r="U76" s="31">
        <f>Recu3!U76</f>
        <v>0</v>
      </c>
      <c r="V76" s="32">
        <f t="shared" si="128"/>
        <v>-1</v>
      </c>
      <c r="W76" s="31">
        <f>Recu3!W76</f>
        <v>0</v>
      </c>
      <c r="X76" s="32">
        <f t="shared" si="129"/>
        <v>-1</v>
      </c>
      <c r="Y76" s="31">
        <f>Recu3!Y76</f>
        <v>0</v>
      </c>
      <c r="Z76" s="32">
        <f t="shared" si="130"/>
        <v>-1</v>
      </c>
      <c r="AA76" s="31">
        <f>Recu3!AA76</f>
        <v>0</v>
      </c>
      <c r="AB76" s="32">
        <f t="shared" si="131"/>
        <v>-1</v>
      </c>
      <c r="AC76" s="31">
        <f>Recu3!AC76</f>
        <v>0</v>
      </c>
      <c r="AD76" s="32">
        <f t="shared" si="132"/>
        <v>-1</v>
      </c>
      <c r="AE76" s="31">
        <f>Recu3!AE76</f>
        <v>0</v>
      </c>
      <c r="AF76" s="32">
        <f t="shared" si="133"/>
        <v>-1</v>
      </c>
      <c r="AG76" s="31">
        <f>Recu3!AG76</f>
        <v>0</v>
      </c>
      <c r="AH76" s="32">
        <f t="shared" si="134"/>
        <v>-1</v>
      </c>
      <c r="AI76" s="31">
        <f>Recu3!AI76</f>
        <v>0</v>
      </c>
      <c r="AJ76" s="32">
        <f t="shared" si="135"/>
        <v>-1</v>
      </c>
      <c r="AK76" s="31">
        <f>Recu3!AK76</f>
        <v>0</v>
      </c>
      <c r="AL76" s="32">
        <f t="shared" si="136"/>
        <v>-1</v>
      </c>
      <c r="AM76" s="31">
        <f>Recu3!AM76</f>
        <v>0</v>
      </c>
      <c r="AN76" s="32">
        <f t="shared" si="137"/>
        <v>-1</v>
      </c>
      <c r="AO76" s="31">
        <f>Recu3!AO76</f>
        <v>0</v>
      </c>
      <c r="AP76" s="32">
        <f t="shared" si="138"/>
        <v>-1</v>
      </c>
      <c r="AQ76" s="31">
        <f>Recu3!AQ76</f>
        <v>0</v>
      </c>
      <c r="AR76" s="32">
        <f t="shared" si="139"/>
        <v>-1</v>
      </c>
      <c r="AS76" s="31">
        <f>Recu3!AS76</f>
        <v>0</v>
      </c>
      <c r="AT76" s="32">
        <f t="shared" si="140"/>
        <v>-1</v>
      </c>
      <c r="AU76" s="31">
        <f>Recu3!AU76</f>
        <v>0</v>
      </c>
      <c r="AV76" s="32">
        <f t="shared" si="141"/>
        <v>-1</v>
      </c>
      <c r="AW76" s="31">
        <f>Recu3!AW76</f>
        <v>0</v>
      </c>
      <c r="AX76" s="32">
        <f t="shared" si="142"/>
        <v>-1</v>
      </c>
      <c r="AY76" s="31">
        <f>Recu3!AY76</f>
        <v>0</v>
      </c>
      <c r="AZ76" s="32">
        <f t="shared" si="143"/>
        <v>-1</v>
      </c>
      <c r="BA76" s="31">
        <f>Recu3!BA76</f>
        <v>0</v>
      </c>
      <c r="BB76" s="32">
        <f t="shared" si="144"/>
        <v>-1</v>
      </c>
      <c r="BC76" s="31">
        <f>Recu3!BC76</f>
        <v>0</v>
      </c>
      <c r="BD76" s="32">
        <f t="shared" si="145"/>
        <v>-1</v>
      </c>
      <c r="BE76" s="31">
        <f>Recu3!BE76</f>
        <v>0</v>
      </c>
      <c r="BF76" s="32">
        <f t="shared" si="146"/>
        <v>-1</v>
      </c>
      <c r="BG76" s="31">
        <f>Recu3!BG76</f>
        <v>0</v>
      </c>
      <c r="BH76" s="32">
        <f t="shared" si="147"/>
        <v>-1</v>
      </c>
      <c r="BI76" s="31">
        <f>Recu3!BI76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Recu3!B77</f>
        <v>0</v>
      </c>
      <c r="C77" s="31">
        <f>Recu3!C77</f>
        <v>0</v>
      </c>
      <c r="D77" s="32">
        <f t="shared" si="119"/>
        <v>-1</v>
      </c>
      <c r="E77" s="31">
        <f>Recu3!E77</f>
        <v>0</v>
      </c>
      <c r="F77" s="32">
        <f t="shared" si="120"/>
        <v>-1</v>
      </c>
      <c r="G77" s="31">
        <f>Recu3!G77</f>
        <v>0</v>
      </c>
      <c r="H77" s="32">
        <f t="shared" si="121"/>
        <v>-1</v>
      </c>
      <c r="I77" s="31">
        <f>Recu3!I77</f>
        <v>0</v>
      </c>
      <c r="J77" s="32">
        <f t="shared" si="122"/>
        <v>-1</v>
      </c>
      <c r="K77" s="31">
        <f>Recu3!K77</f>
        <v>0</v>
      </c>
      <c r="L77" s="32">
        <f t="shared" si="123"/>
        <v>-1</v>
      </c>
      <c r="M77" s="31">
        <f>Recu3!M77</f>
        <v>0</v>
      </c>
      <c r="N77" s="32">
        <f t="shared" si="124"/>
        <v>-1</v>
      </c>
      <c r="O77" s="31">
        <f>Recu3!O77</f>
        <v>0</v>
      </c>
      <c r="P77" s="32">
        <f t="shared" si="125"/>
        <v>-1</v>
      </c>
      <c r="Q77" s="31">
        <f>Recu3!Q77</f>
        <v>0</v>
      </c>
      <c r="R77" s="32">
        <f t="shared" si="126"/>
        <v>-1</v>
      </c>
      <c r="S77" s="31">
        <f>Recu3!S77</f>
        <v>0</v>
      </c>
      <c r="T77" s="32">
        <f t="shared" si="127"/>
        <v>-1</v>
      </c>
      <c r="U77" s="31">
        <f>Recu3!U77</f>
        <v>0</v>
      </c>
      <c r="V77" s="32">
        <f t="shared" si="128"/>
        <v>-1</v>
      </c>
      <c r="W77" s="31">
        <f>Recu3!W77</f>
        <v>0</v>
      </c>
      <c r="X77" s="32">
        <f t="shared" si="129"/>
        <v>-1</v>
      </c>
      <c r="Y77" s="31">
        <f>Recu3!Y77</f>
        <v>0</v>
      </c>
      <c r="Z77" s="32">
        <f t="shared" si="130"/>
        <v>-1</v>
      </c>
      <c r="AA77" s="31">
        <f>Recu3!AA77</f>
        <v>0</v>
      </c>
      <c r="AB77" s="32">
        <f t="shared" si="131"/>
        <v>-1</v>
      </c>
      <c r="AC77" s="31">
        <f>Recu3!AC77</f>
        <v>0</v>
      </c>
      <c r="AD77" s="32">
        <f t="shared" si="132"/>
        <v>-1</v>
      </c>
      <c r="AE77" s="31">
        <f>Recu3!AE77</f>
        <v>0</v>
      </c>
      <c r="AF77" s="32">
        <f t="shared" si="133"/>
        <v>-1</v>
      </c>
      <c r="AG77" s="31">
        <f>Recu3!AG77</f>
        <v>0</v>
      </c>
      <c r="AH77" s="32">
        <f t="shared" si="134"/>
        <v>-1</v>
      </c>
      <c r="AI77" s="31">
        <f>Recu3!AI77</f>
        <v>0</v>
      </c>
      <c r="AJ77" s="32">
        <f t="shared" si="135"/>
        <v>-1</v>
      </c>
      <c r="AK77" s="31">
        <f>Recu3!AK77</f>
        <v>0</v>
      </c>
      <c r="AL77" s="32">
        <f t="shared" si="136"/>
        <v>-1</v>
      </c>
      <c r="AM77" s="31">
        <f>Recu3!AM77</f>
        <v>0</v>
      </c>
      <c r="AN77" s="32">
        <f t="shared" si="137"/>
        <v>-1</v>
      </c>
      <c r="AO77" s="31">
        <f>Recu3!AO77</f>
        <v>0</v>
      </c>
      <c r="AP77" s="32">
        <f t="shared" si="138"/>
        <v>-1</v>
      </c>
      <c r="AQ77" s="31">
        <f>Recu3!AQ77</f>
        <v>0</v>
      </c>
      <c r="AR77" s="32">
        <f t="shared" si="139"/>
        <v>-1</v>
      </c>
      <c r="AS77" s="31">
        <f>Recu3!AS77</f>
        <v>0</v>
      </c>
      <c r="AT77" s="32">
        <f t="shared" si="140"/>
        <v>-1</v>
      </c>
      <c r="AU77" s="31">
        <f>Recu3!AU77</f>
        <v>0</v>
      </c>
      <c r="AV77" s="32">
        <f t="shared" si="141"/>
        <v>-1</v>
      </c>
      <c r="AW77" s="31">
        <f>Recu3!AW77</f>
        <v>0</v>
      </c>
      <c r="AX77" s="32">
        <f t="shared" si="142"/>
        <v>-1</v>
      </c>
      <c r="AY77" s="31">
        <f>Recu3!AY77</f>
        <v>0</v>
      </c>
      <c r="AZ77" s="32">
        <f t="shared" si="143"/>
        <v>-1</v>
      </c>
      <c r="BA77" s="31">
        <f>Recu3!BA77</f>
        <v>0</v>
      </c>
      <c r="BB77" s="32">
        <f t="shared" si="144"/>
        <v>-1</v>
      </c>
      <c r="BC77" s="31">
        <f>Recu3!BC77</f>
        <v>0</v>
      </c>
      <c r="BD77" s="32">
        <f t="shared" si="145"/>
        <v>-1</v>
      </c>
      <c r="BE77" s="31">
        <f>Recu3!BE77</f>
        <v>0</v>
      </c>
      <c r="BF77" s="32">
        <f t="shared" si="146"/>
        <v>-1</v>
      </c>
      <c r="BG77" s="31">
        <f>Recu3!BG77</f>
        <v>0</v>
      </c>
      <c r="BH77" s="32">
        <f t="shared" si="147"/>
        <v>-1</v>
      </c>
      <c r="BI77" s="31">
        <f>Recu3!BI77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Recu3!B78</f>
        <v>0</v>
      </c>
      <c r="C78" s="31">
        <f>Recu3!C78</f>
        <v>0</v>
      </c>
      <c r="D78" s="32">
        <f t="shared" si="119"/>
        <v>-1</v>
      </c>
      <c r="E78" s="31">
        <f>Recu3!E78</f>
        <v>0</v>
      </c>
      <c r="F78" s="32">
        <f t="shared" si="120"/>
        <v>-1</v>
      </c>
      <c r="G78" s="31">
        <f>Recu3!G78</f>
        <v>0</v>
      </c>
      <c r="H78" s="32">
        <f t="shared" si="121"/>
        <v>-1</v>
      </c>
      <c r="I78" s="31">
        <f>Recu3!I78</f>
        <v>0</v>
      </c>
      <c r="J78" s="32">
        <f t="shared" si="122"/>
        <v>-1</v>
      </c>
      <c r="K78" s="31">
        <f>Recu3!K78</f>
        <v>0</v>
      </c>
      <c r="L78" s="32">
        <f t="shared" si="123"/>
        <v>-1</v>
      </c>
      <c r="M78" s="31">
        <f>Recu3!M78</f>
        <v>0</v>
      </c>
      <c r="N78" s="32">
        <f t="shared" si="124"/>
        <v>-1</v>
      </c>
      <c r="O78" s="31">
        <f>Recu3!O78</f>
        <v>0</v>
      </c>
      <c r="P78" s="32">
        <f t="shared" si="125"/>
        <v>-1</v>
      </c>
      <c r="Q78" s="31">
        <f>Recu3!Q78</f>
        <v>0</v>
      </c>
      <c r="R78" s="32">
        <f t="shared" si="126"/>
        <v>-1</v>
      </c>
      <c r="S78" s="31">
        <f>Recu3!S78</f>
        <v>0</v>
      </c>
      <c r="T78" s="32">
        <f t="shared" si="127"/>
        <v>-1</v>
      </c>
      <c r="U78" s="31">
        <f>Recu3!U78</f>
        <v>0</v>
      </c>
      <c r="V78" s="32">
        <f t="shared" si="128"/>
        <v>-1</v>
      </c>
      <c r="W78" s="31">
        <f>Recu3!W78</f>
        <v>0</v>
      </c>
      <c r="X78" s="32">
        <f t="shared" si="129"/>
        <v>-1</v>
      </c>
      <c r="Y78" s="31">
        <f>Recu3!Y78</f>
        <v>0</v>
      </c>
      <c r="Z78" s="32">
        <f t="shared" si="130"/>
        <v>-1</v>
      </c>
      <c r="AA78" s="31">
        <f>Recu3!AA78</f>
        <v>0</v>
      </c>
      <c r="AB78" s="32">
        <f t="shared" si="131"/>
        <v>-1</v>
      </c>
      <c r="AC78" s="31">
        <f>Recu3!AC78</f>
        <v>0</v>
      </c>
      <c r="AD78" s="32">
        <f t="shared" si="132"/>
        <v>-1</v>
      </c>
      <c r="AE78" s="31">
        <f>Recu3!AE78</f>
        <v>0</v>
      </c>
      <c r="AF78" s="32">
        <f t="shared" si="133"/>
        <v>-1</v>
      </c>
      <c r="AG78" s="31">
        <f>Recu3!AG78</f>
        <v>0</v>
      </c>
      <c r="AH78" s="32">
        <f t="shared" si="134"/>
        <v>-1</v>
      </c>
      <c r="AI78" s="31">
        <f>Recu3!AI78</f>
        <v>0</v>
      </c>
      <c r="AJ78" s="32">
        <f t="shared" si="135"/>
        <v>-1</v>
      </c>
      <c r="AK78" s="31">
        <f>Recu3!AK78</f>
        <v>0</v>
      </c>
      <c r="AL78" s="32">
        <f t="shared" si="136"/>
        <v>-1</v>
      </c>
      <c r="AM78" s="31">
        <f>Recu3!AM78</f>
        <v>0</v>
      </c>
      <c r="AN78" s="32">
        <f t="shared" si="137"/>
        <v>-1</v>
      </c>
      <c r="AO78" s="31">
        <f>Recu3!AO78</f>
        <v>0</v>
      </c>
      <c r="AP78" s="32">
        <f t="shared" si="138"/>
        <v>-1</v>
      </c>
      <c r="AQ78" s="31">
        <f>Recu3!AQ78</f>
        <v>0</v>
      </c>
      <c r="AR78" s="32">
        <f t="shared" si="139"/>
        <v>-1</v>
      </c>
      <c r="AS78" s="31">
        <f>Recu3!AS78</f>
        <v>0</v>
      </c>
      <c r="AT78" s="32">
        <f t="shared" si="140"/>
        <v>-1</v>
      </c>
      <c r="AU78" s="31">
        <f>Recu3!AU78</f>
        <v>0</v>
      </c>
      <c r="AV78" s="32">
        <f t="shared" si="141"/>
        <v>-1</v>
      </c>
      <c r="AW78" s="31">
        <f>Recu3!AW78</f>
        <v>0</v>
      </c>
      <c r="AX78" s="32">
        <f t="shared" si="142"/>
        <v>-1</v>
      </c>
      <c r="AY78" s="31">
        <f>Recu3!AY78</f>
        <v>0</v>
      </c>
      <c r="AZ78" s="32">
        <f t="shared" si="143"/>
        <v>-1</v>
      </c>
      <c r="BA78" s="31">
        <f>Recu3!BA78</f>
        <v>0</v>
      </c>
      <c r="BB78" s="32">
        <f t="shared" si="144"/>
        <v>-1</v>
      </c>
      <c r="BC78" s="31">
        <f>Recu3!BC78</f>
        <v>0</v>
      </c>
      <c r="BD78" s="32">
        <f t="shared" si="145"/>
        <v>-1</v>
      </c>
      <c r="BE78" s="31">
        <f>Recu3!BE78</f>
        <v>0</v>
      </c>
      <c r="BF78" s="32">
        <f t="shared" si="146"/>
        <v>-1</v>
      </c>
      <c r="BG78" s="31">
        <f>Recu3!BG78</f>
        <v>0</v>
      </c>
      <c r="BH78" s="32">
        <f t="shared" si="147"/>
        <v>-1</v>
      </c>
      <c r="BI78" s="31">
        <f>Recu3!BI78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Recu3!B79</f>
        <v>0</v>
      </c>
      <c r="C79" s="31">
        <f>Recu3!C79</f>
        <v>0</v>
      </c>
      <c r="D79" s="32">
        <f t="shared" si="119"/>
        <v>-1</v>
      </c>
      <c r="E79" s="31">
        <f>Recu3!E79</f>
        <v>0</v>
      </c>
      <c r="F79" s="32">
        <f t="shared" si="120"/>
        <v>-1</v>
      </c>
      <c r="G79" s="31">
        <f>Recu3!G79</f>
        <v>0</v>
      </c>
      <c r="H79" s="32">
        <f t="shared" si="121"/>
        <v>-1</v>
      </c>
      <c r="I79" s="31">
        <f>Recu3!I79</f>
        <v>0</v>
      </c>
      <c r="J79" s="32">
        <f t="shared" si="122"/>
        <v>-1</v>
      </c>
      <c r="K79" s="31">
        <f>Recu3!K79</f>
        <v>0</v>
      </c>
      <c r="L79" s="32">
        <f t="shared" si="123"/>
        <v>-1</v>
      </c>
      <c r="M79" s="31">
        <f>Recu3!M79</f>
        <v>0</v>
      </c>
      <c r="N79" s="32">
        <f t="shared" si="124"/>
        <v>-1</v>
      </c>
      <c r="O79" s="31">
        <f>Recu3!O79</f>
        <v>0</v>
      </c>
      <c r="P79" s="32">
        <f t="shared" si="125"/>
        <v>-1</v>
      </c>
      <c r="Q79" s="31">
        <f>Recu3!Q79</f>
        <v>0</v>
      </c>
      <c r="R79" s="32">
        <f t="shared" si="126"/>
        <v>-1</v>
      </c>
      <c r="S79" s="31">
        <f>Recu3!S79</f>
        <v>0</v>
      </c>
      <c r="T79" s="32">
        <f t="shared" si="127"/>
        <v>-1</v>
      </c>
      <c r="U79" s="31">
        <f>Recu3!U79</f>
        <v>0</v>
      </c>
      <c r="V79" s="32">
        <f t="shared" si="128"/>
        <v>-1</v>
      </c>
      <c r="W79" s="31">
        <f>Recu3!W79</f>
        <v>0</v>
      </c>
      <c r="X79" s="32">
        <f t="shared" si="129"/>
        <v>-1</v>
      </c>
      <c r="Y79" s="31">
        <f>Recu3!Y79</f>
        <v>0</v>
      </c>
      <c r="Z79" s="32">
        <f t="shared" si="130"/>
        <v>-1</v>
      </c>
      <c r="AA79" s="31">
        <f>Recu3!AA79</f>
        <v>0</v>
      </c>
      <c r="AB79" s="32">
        <f t="shared" si="131"/>
        <v>-1</v>
      </c>
      <c r="AC79" s="31">
        <f>Recu3!AC79</f>
        <v>0</v>
      </c>
      <c r="AD79" s="32">
        <f t="shared" si="132"/>
        <v>-1</v>
      </c>
      <c r="AE79" s="31">
        <f>Recu3!AE79</f>
        <v>0</v>
      </c>
      <c r="AF79" s="32">
        <f t="shared" si="133"/>
        <v>-1</v>
      </c>
      <c r="AG79" s="31">
        <f>Recu3!AG79</f>
        <v>0</v>
      </c>
      <c r="AH79" s="32">
        <f t="shared" si="134"/>
        <v>-1</v>
      </c>
      <c r="AI79" s="31">
        <f>Recu3!AI79</f>
        <v>0</v>
      </c>
      <c r="AJ79" s="32">
        <f t="shared" si="135"/>
        <v>-1</v>
      </c>
      <c r="AK79" s="31">
        <f>Recu3!AK79</f>
        <v>0</v>
      </c>
      <c r="AL79" s="32">
        <f t="shared" si="136"/>
        <v>-1</v>
      </c>
      <c r="AM79" s="31">
        <f>Recu3!AM79</f>
        <v>0</v>
      </c>
      <c r="AN79" s="32">
        <f t="shared" si="137"/>
        <v>-1</v>
      </c>
      <c r="AO79" s="31">
        <f>Recu3!AO79</f>
        <v>0</v>
      </c>
      <c r="AP79" s="32">
        <f t="shared" si="138"/>
        <v>-1</v>
      </c>
      <c r="AQ79" s="31">
        <f>Recu3!AQ79</f>
        <v>0</v>
      </c>
      <c r="AR79" s="32">
        <f t="shared" si="139"/>
        <v>-1</v>
      </c>
      <c r="AS79" s="31">
        <f>Recu3!AS79</f>
        <v>0</v>
      </c>
      <c r="AT79" s="32">
        <f t="shared" si="140"/>
        <v>-1</v>
      </c>
      <c r="AU79" s="31">
        <f>Recu3!AU79</f>
        <v>0</v>
      </c>
      <c r="AV79" s="32">
        <f t="shared" si="141"/>
        <v>-1</v>
      </c>
      <c r="AW79" s="31">
        <f>Recu3!AW79</f>
        <v>0</v>
      </c>
      <c r="AX79" s="32">
        <f t="shared" si="142"/>
        <v>-1</v>
      </c>
      <c r="AY79" s="31">
        <f>Recu3!AY79</f>
        <v>0</v>
      </c>
      <c r="AZ79" s="32">
        <f t="shared" si="143"/>
        <v>-1</v>
      </c>
      <c r="BA79" s="31">
        <f>Recu3!BA79</f>
        <v>0</v>
      </c>
      <c r="BB79" s="32">
        <f t="shared" si="144"/>
        <v>-1</v>
      </c>
      <c r="BC79" s="31">
        <f>Recu3!BC79</f>
        <v>0</v>
      </c>
      <c r="BD79" s="32">
        <f t="shared" si="145"/>
        <v>-1</v>
      </c>
      <c r="BE79" s="31">
        <f>Recu3!BE79</f>
        <v>0</v>
      </c>
      <c r="BF79" s="32">
        <f t="shared" si="146"/>
        <v>-1</v>
      </c>
      <c r="BG79" s="31">
        <f>Recu3!BG79</f>
        <v>0</v>
      </c>
      <c r="BH79" s="32">
        <f t="shared" si="147"/>
        <v>-1</v>
      </c>
      <c r="BI79" s="31">
        <f>Recu3!BI79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Recu3!B80</f>
        <v>0</v>
      </c>
      <c r="C80" s="31">
        <f>Recu3!C80</f>
        <v>0</v>
      </c>
      <c r="D80" s="32">
        <f t="shared" si="119"/>
        <v>-1</v>
      </c>
      <c r="E80" s="31">
        <f>Recu3!E80</f>
        <v>0</v>
      </c>
      <c r="F80" s="32">
        <f t="shared" si="120"/>
        <v>-1</v>
      </c>
      <c r="G80" s="31">
        <f>Recu3!G80</f>
        <v>0</v>
      </c>
      <c r="H80" s="32">
        <f t="shared" si="121"/>
        <v>-1</v>
      </c>
      <c r="I80" s="31">
        <f>Recu3!I80</f>
        <v>0</v>
      </c>
      <c r="J80" s="32">
        <f t="shared" si="122"/>
        <v>-1</v>
      </c>
      <c r="K80" s="31">
        <f>Recu3!K80</f>
        <v>0</v>
      </c>
      <c r="L80" s="32">
        <f t="shared" si="123"/>
        <v>-1</v>
      </c>
      <c r="M80" s="31">
        <f>Recu3!M80</f>
        <v>0</v>
      </c>
      <c r="N80" s="32">
        <f t="shared" si="124"/>
        <v>-1</v>
      </c>
      <c r="O80" s="31">
        <f>Recu3!O80</f>
        <v>0</v>
      </c>
      <c r="P80" s="32">
        <f t="shared" si="125"/>
        <v>-1</v>
      </c>
      <c r="Q80" s="31">
        <f>Recu3!Q80</f>
        <v>0</v>
      </c>
      <c r="R80" s="32">
        <f t="shared" si="126"/>
        <v>-1</v>
      </c>
      <c r="S80" s="31">
        <f>Recu3!S80</f>
        <v>0</v>
      </c>
      <c r="T80" s="32">
        <f t="shared" si="127"/>
        <v>-1</v>
      </c>
      <c r="U80" s="31">
        <f>Recu3!U80</f>
        <v>0</v>
      </c>
      <c r="V80" s="32">
        <f t="shared" si="128"/>
        <v>-1</v>
      </c>
      <c r="W80" s="31">
        <f>Recu3!W80</f>
        <v>0</v>
      </c>
      <c r="X80" s="32">
        <f t="shared" si="129"/>
        <v>-1</v>
      </c>
      <c r="Y80" s="31">
        <f>Recu3!Y80</f>
        <v>0</v>
      </c>
      <c r="Z80" s="32">
        <f t="shared" si="130"/>
        <v>-1</v>
      </c>
      <c r="AA80" s="31">
        <f>Recu3!AA80</f>
        <v>0</v>
      </c>
      <c r="AB80" s="32">
        <f t="shared" si="131"/>
        <v>-1</v>
      </c>
      <c r="AC80" s="31">
        <f>Recu3!AC80</f>
        <v>0</v>
      </c>
      <c r="AD80" s="32">
        <f t="shared" si="132"/>
        <v>-1</v>
      </c>
      <c r="AE80" s="31">
        <f>Recu3!AE80</f>
        <v>0</v>
      </c>
      <c r="AF80" s="32">
        <f t="shared" si="133"/>
        <v>-1</v>
      </c>
      <c r="AG80" s="31">
        <f>Recu3!AG80</f>
        <v>0</v>
      </c>
      <c r="AH80" s="32">
        <f t="shared" si="134"/>
        <v>-1</v>
      </c>
      <c r="AI80" s="31">
        <f>Recu3!AI80</f>
        <v>0</v>
      </c>
      <c r="AJ80" s="32">
        <f t="shared" si="135"/>
        <v>-1</v>
      </c>
      <c r="AK80" s="31">
        <f>Recu3!AK80</f>
        <v>0</v>
      </c>
      <c r="AL80" s="32">
        <f t="shared" si="136"/>
        <v>-1</v>
      </c>
      <c r="AM80" s="31">
        <f>Recu3!AM80</f>
        <v>0</v>
      </c>
      <c r="AN80" s="32">
        <f t="shared" si="137"/>
        <v>-1</v>
      </c>
      <c r="AO80" s="31">
        <f>Recu3!AO80</f>
        <v>0</v>
      </c>
      <c r="AP80" s="32">
        <f t="shared" si="138"/>
        <v>-1</v>
      </c>
      <c r="AQ80" s="31">
        <f>Recu3!AQ80</f>
        <v>0</v>
      </c>
      <c r="AR80" s="32">
        <f t="shared" si="139"/>
        <v>-1</v>
      </c>
      <c r="AS80" s="31">
        <f>Recu3!AS80</f>
        <v>0</v>
      </c>
      <c r="AT80" s="32">
        <f t="shared" si="140"/>
        <v>-1</v>
      </c>
      <c r="AU80" s="31">
        <f>Recu3!AU80</f>
        <v>0</v>
      </c>
      <c r="AV80" s="32">
        <f t="shared" si="141"/>
        <v>-1</v>
      </c>
      <c r="AW80" s="31">
        <f>Recu3!AW80</f>
        <v>0</v>
      </c>
      <c r="AX80" s="32">
        <f t="shared" si="142"/>
        <v>-1</v>
      </c>
      <c r="AY80" s="31">
        <f>Recu3!AY80</f>
        <v>0</v>
      </c>
      <c r="AZ80" s="32">
        <f t="shared" si="143"/>
        <v>-1</v>
      </c>
      <c r="BA80" s="31">
        <f>Recu3!BA80</f>
        <v>0</v>
      </c>
      <c r="BB80" s="32">
        <f t="shared" si="144"/>
        <v>-1</v>
      </c>
      <c r="BC80" s="31">
        <f>Recu3!BC80</f>
        <v>0</v>
      </c>
      <c r="BD80" s="32">
        <f t="shared" si="145"/>
        <v>-1</v>
      </c>
      <c r="BE80" s="31">
        <f>Recu3!BE80</f>
        <v>0</v>
      </c>
      <c r="BF80" s="32">
        <f t="shared" si="146"/>
        <v>-1</v>
      </c>
      <c r="BG80" s="31">
        <f>Recu3!BG80</f>
        <v>0</v>
      </c>
      <c r="BH80" s="32">
        <f t="shared" si="147"/>
        <v>-1</v>
      </c>
      <c r="BI80" s="31">
        <f>Recu3!BI80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Recu3!B81</f>
        <v>0</v>
      </c>
      <c r="C81" s="31">
        <f>Recu3!C81</f>
        <v>0</v>
      </c>
      <c r="D81" s="32">
        <f t="shared" si="119"/>
        <v>-1</v>
      </c>
      <c r="E81" s="31">
        <f>Recu3!E81</f>
        <v>0</v>
      </c>
      <c r="F81" s="32">
        <f t="shared" si="120"/>
        <v>-1</v>
      </c>
      <c r="G81" s="31">
        <f>Recu3!G81</f>
        <v>0</v>
      </c>
      <c r="H81" s="32">
        <f t="shared" si="121"/>
        <v>-1</v>
      </c>
      <c r="I81" s="31">
        <f>Recu3!I81</f>
        <v>0</v>
      </c>
      <c r="J81" s="32">
        <f t="shared" si="122"/>
        <v>-1</v>
      </c>
      <c r="K81" s="31">
        <f>Recu3!K81</f>
        <v>0</v>
      </c>
      <c r="L81" s="32">
        <f t="shared" si="123"/>
        <v>-1</v>
      </c>
      <c r="M81" s="31">
        <f>Recu3!M81</f>
        <v>0</v>
      </c>
      <c r="N81" s="32">
        <f t="shared" si="124"/>
        <v>-1</v>
      </c>
      <c r="O81" s="31">
        <f>Recu3!O81</f>
        <v>0</v>
      </c>
      <c r="P81" s="32">
        <f t="shared" si="125"/>
        <v>-1</v>
      </c>
      <c r="Q81" s="31">
        <f>Recu3!Q81</f>
        <v>0</v>
      </c>
      <c r="R81" s="32">
        <f t="shared" si="126"/>
        <v>-1</v>
      </c>
      <c r="S81" s="31">
        <f>Recu3!S81</f>
        <v>0</v>
      </c>
      <c r="T81" s="32">
        <f t="shared" si="127"/>
        <v>-1</v>
      </c>
      <c r="U81" s="31">
        <f>Recu3!U81</f>
        <v>0</v>
      </c>
      <c r="V81" s="32">
        <f t="shared" si="128"/>
        <v>-1</v>
      </c>
      <c r="W81" s="31">
        <f>Recu3!W81</f>
        <v>0</v>
      </c>
      <c r="X81" s="32">
        <f t="shared" si="129"/>
        <v>-1</v>
      </c>
      <c r="Y81" s="31">
        <f>Recu3!Y81</f>
        <v>0</v>
      </c>
      <c r="Z81" s="32">
        <f t="shared" si="130"/>
        <v>-1</v>
      </c>
      <c r="AA81" s="31">
        <f>Recu3!AA81</f>
        <v>0</v>
      </c>
      <c r="AB81" s="32">
        <f t="shared" si="131"/>
        <v>-1</v>
      </c>
      <c r="AC81" s="31">
        <f>Recu3!AC81</f>
        <v>0</v>
      </c>
      <c r="AD81" s="32">
        <f t="shared" si="132"/>
        <v>-1</v>
      </c>
      <c r="AE81" s="31">
        <f>Recu3!AE81</f>
        <v>0</v>
      </c>
      <c r="AF81" s="32">
        <f t="shared" si="133"/>
        <v>-1</v>
      </c>
      <c r="AG81" s="31">
        <f>Recu3!AG81</f>
        <v>0</v>
      </c>
      <c r="AH81" s="32">
        <f t="shared" si="134"/>
        <v>-1</v>
      </c>
      <c r="AI81" s="31">
        <f>Recu3!AI81</f>
        <v>0</v>
      </c>
      <c r="AJ81" s="32">
        <f t="shared" si="135"/>
        <v>-1</v>
      </c>
      <c r="AK81" s="31">
        <f>Recu3!AK81</f>
        <v>0</v>
      </c>
      <c r="AL81" s="32">
        <f t="shared" si="136"/>
        <v>-1</v>
      </c>
      <c r="AM81" s="31">
        <f>Recu3!AM81</f>
        <v>0</v>
      </c>
      <c r="AN81" s="32">
        <f t="shared" si="137"/>
        <v>-1</v>
      </c>
      <c r="AO81" s="31">
        <f>Recu3!AO81</f>
        <v>0</v>
      </c>
      <c r="AP81" s="32">
        <f t="shared" si="138"/>
        <v>-1</v>
      </c>
      <c r="AQ81" s="31">
        <f>Recu3!AQ81</f>
        <v>0</v>
      </c>
      <c r="AR81" s="32">
        <f t="shared" si="139"/>
        <v>-1</v>
      </c>
      <c r="AS81" s="31">
        <f>Recu3!AS81</f>
        <v>0</v>
      </c>
      <c r="AT81" s="32">
        <f t="shared" si="140"/>
        <v>-1</v>
      </c>
      <c r="AU81" s="31">
        <f>Recu3!AU81</f>
        <v>0</v>
      </c>
      <c r="AV81" s="32">
        <f t="shared" si="141"/>
        <v>-1</v>
      </c>
      <c r="AW81" s="31">
        <f>Recu3!AW81</f>
        <v>0</v>
      </c>
      <c r="AX81" s="32">
        <f t="shared" si="142"/>
        <v>-1</v>
      </c>
      <c r="AY81" s="31">
        <f>Recu3!AY81</f>
        <v>0</v>
      </c>
      <c r="AZ81" s="32">
        <f t="shared" si="143"/>
        <v>-1</v>
      </c>
      <c r="BA81" s="31">
        <f>Recu3!BA81</f>
        <v>0</v>
      </c>
      <c r="BB81" s="32">
        <f t="shared" si="144"/>
        <v>-1</v>
      </c>
      <c r="BC81" s="31">
        <f>Recu3!BC81</f>
        <v>0</v>
      </c>
      <c r="BD81" s="32">
        <f t="shared" si="145"/>
        <v>-1</v>
      </c>
      <c r="BE81" s="31">
        <f>Recu3!BE81</f>
        <v>0</v>
      </c>
      <c r="BF81" s="32">
        <f t="shared" si="146"/>
        <v>-1</v>
      </c>
      <c r="BG81" s="31">
        <f>Recu3!BG81</f>
        <v>0</v>
      </c>
      <c r="BH81" s="32">
        <f t="shared" si="147"/>
        <v>-1</v>
      </c>
      <c r="BI81" s="31">
        <f>Recu3!BI81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Recu3!B82</f>
        <v>0</v>
      </c>
      <c r="C82" s="31">
        <f>Recu3!C82</f>
        <v>0</v>
      </c>
      <c r="D82" s="32">
        <f t="shared" si="119"/>
        <v>-1</v>
      </c>
      <c r="E82" s="31">
        <f>Recu3!E82</f>
        <v>0</v>
      </c>
      <c r="F82" s="32">
        <f t="shared" si="120"/>
        <v>-1</v>
      </c>
      <c r="G82" s="31">
        <f>Recu3!G82</f>
        <v>0</v>
      </c>
      <c r="H82" s="32">
        <f t="shared" si="121"/>
        <v>-1</v>
      </c>
      <c r="I82" s="31">
        <f>Recu3!I82</f>
        <v>0</v>
      </c>
      <c r="J82" s="32">
        <f t="shared" si="122"/>
        <v>-1</v>
      </c>
      <c r="K82" s="31">
        <f>Recu3!K82</f>
        <v>0</v>
      </c>
      <c r="L82" s="32">
        <f t="shared" si="123"/>
        <v>-1</v>
      </c>
      <c r="M82" s="31">
        <f>Recu3!M82</f>
        <v>0</v>
      </c>
      <c r="N82" s="32">
        <f t="shared" si="124"/>
        <v>-1</v>
      </c>
      <c r="O82" s="31">
        <f>Recu3!O82</f>
        <v>0</v>
      </c>
      <c r="P82" s="32">
        <f t="shared" si="125"/>
        <v>-1</v>
      </c>
      <c r="Q82" s="31">
        <f>Recu3!Q82</f>
        <v>0</v>
      </c>
      <c r="R82" s="32">
        <f t="shared" si="126"/>
        <v>-1</v>
      </c>
      <c r="S82" s="31">
        <f>Recu3!S82</f>
        <v>0</v>
      </c>
      <c r="T82" s="32">
        <f t="shared" si="127"/>
        <v>-1</v>
      </c>
      <c r="U82" s="31">
        <f>Recu3!U82</f>
        <v>0</v>
      </c>
      <c r="V82" s="32">
        <f t="shared" si="128"/>
        <v>-1</v>
      </c>
      <c r="W82" s="31">
        <f>Recu3!W82</f>
        <v>0</v>
      </c>
      <c r="X82" s="32">
        <f t="shared" si="129"/>
        <v>-1</v>
      </c>
      <c r="Y82" s="31">
        <f>Recu3!Y82</f>
        <v>0</v>
      </c>
      <c r="Z82" s="32">
        <f t="shared" si="130"/>
        <v>-1</v>
      </c>
      <c r="AA82" s="31">
        <f>Recu3!AA82</f>
        <v>0</v>
      </c>
      <c r="AB82" s="32">
        <f t="shared" si="131"/>
        <v>-1</v>
      </c>
      <c r="AC82" s="31">
        <f>Recu3!AC82</f>
        <v>0</v>
      </c>
      <c r="AD82" s="32">
        <f t="shared" si="132"/>
        <v>-1</v>
      </c>
      <c r="AE82" s="31">
        <f>Recu3!AE82</f>
        <v>0</v>
      </c>
      <c r="AF82" s="32">
        <f t="shared" si="133"/>
        <v>-1</v>
      </c>
      <c r="AG82" s="31">
        <f>Recu3!AG82</f>
        <v>0</v>
      </c>
      <c r="AH82" s="32">
        <f t="shared" si="134"/>
        <v>-1</v>
      </c>
      <c r="AI82" s="31">
        <f>Recu3!AI82</f>
        <v>0</v>
      </c>
      <c r="AJ82" s="32">
        <f t="shared" si="135"/>
        <v>-1</v>
      </c>
      <c r="AK82" s="31">
        <f>Recu3!AK82</f>
        <v>0</v>
      </c>
      <c r="AL82" s="32">
        <f t="shared" si="136"/>
        <v>-1</v>
      </c>
      <c r="AM82" s="31">
        <f>Recu3!AM82</f>
        <v>0</v>
      </c>
      <c r="AN82" s="32">
        <f t="shared" si="137"/>
        <v>-1</v>
      </c>
      <c r="AO82" s="31">
        <f>Recu3!AO82</f>
        <v>0</v>
      </c>
      <c r="AP82" s="32">
        <f t="shared" si="138"/>
        <v>-1</v>
      </c>
      <c r="AQ82" s="31">
        <f>Recu3!AQ82</f>
        <v>0</v>
      </c>
      <c r="AR82" s="32">
        <f t="shared" si="139"/>
        <v>-1</v>
      </c>
      <c r="AS82" s="31">
        <f>Recu3!AS82</f>
        <v>0</v>
      </c>
      <c r="AT82" s="32">
        <f t="shared" si="140"/>
        <v>-1</v>
      </c>
      <c r="AU82" s="31">
        <f>Recu3!AU82</f>
        <v>0</v>
      </c>
      <c r="AV82" s="32">
        <f t="shared" si="141"/>
        <v>-1</v>
      </c>
      <c r="AW82" s="31">
        <f>Recu3!AW82</f>
        <v>0</v>
      </c>
      <c r="AX82" s="32">
        <f t="shared" si="142"/>
        <v>-1</v>
      </c>
      <c r="AY82" s="31">
        <f>Recu3!AY82</f>
        <v>0</v>
      </c>
      <c r="AZ82" s="32">
        <f t="shared" si="143"/>
        <v>-1</v>
      </c>
      <c r="BA82" s="31">
        <f>Recu3!BA82</f>
        <v>0</v>
      </c>
      <c r="BB82" s="32">
        <f t="shared" si="144"/>
        <v>-1</v>
      </c>
      <c r="BC82" s="31">
        <f>Recu3!BC82</f>
        <v>0</v>
      </c>
      <c r="BD82" s="32">
        <f t="shared" si="145"/>
        <v>-1</v>
      </c>
      <c r="BE82" s="31">
        <f>Recu3!BE82</f>
        <v>0</v>
      </c>
      <c r="BF82" s="32">
        <f t="shared" si="146"/>
        <v>-1</v>
      </c>
      <c r="BG82" s="31">
        <f>Recu3!BG82</f>
        <v>0</v>
      </c>
      <c r="BH82" s="32">
        <f t="shared" si="147"/>
        <v>-1</v>
      </c>
      <c r="BI82" s="31">
        <f>Recu3!BI82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Recu3!B83</f>
        <v>0</v>
      </c>
      <c r="C83" s="31">
        <f>Recu3!C83</f>
        <v>0</v>
      </c>
      <c r="D83" s="32">
        <f t="shared" si="119"/>
        <v>-1</v>
      </c>
      <c r="E83" s="31">
        <f>Recu3!E83</f>
        <v>0</v>
      </c>
      <c r="F83" s="32">
        <f t="shared" si="120"/>
        <v>-1</v>
      </c>
      <c r="G83" s="31">
        <f>Recu3!G83</f>
        <v>0</v>
      </c>
      <c r="H83" s="32">
        <f t="shared" si="121"/>
        <v>-1</v>
      </c>
      <c r="I83" s="31">
        <f>Recu3!I83</f>
        <v>0</v>
      </c>
      <c r="J83" s="32">
        <f t="shared" si="122"/>
        <v>-1</v>
      </c>
      <c r="K83" s="31">
        <f>Recu3!K83</f>
        <v>0</v>
      </c>
      <c r="L83" s="32">
        <f t="shared" si="123"/>
        <v>-1</v>
      </c>
      <c r="M83" s="31">
        <f>Recu3!M83</f>
        <v>0</v>
      </c>
      <c r="N83" s="32">
        <f t="shared" si="124"/>
        <v>-1</v>
      </c>
      <c r="O83" s="31">
        <f>Recu3!O83</f>
        <v>0</v>
      </c>
      <c r="P83" s="32">
        <f t="shared" si="125"/>
        <v>-1</v>
      </c>
      <c r="Q83" s="31">
        <f>Recu3!Q83</f>
        <v>0</v>
      </c>
      <c r="R83" s="32">
        <f t="shared" si="126"/>
        <v>-1</v>
      </c>
      <c r="S83" s="31">
        <f>Recu3!S83</f>
        <v>0</v>
      </c>
      <c r="T83" s="32">
        <f t="shared" si="127"/>
        <v>-1</v>
      </c>
      <c r="U83" s="31">
        <f>Recu3!U83</f>
        <v>0</v>
      </c>
      <c r="V83" s="32">
        <f t="shared" si="128"/>
        <v>-1</v>
      </c>
      <c r="W83" s="31">
        <f>Recu3!W83</f>
        <v>0</v>
      </c>
      <c r="X83" s="32">
        <f t="shared" si="129"/>
        <v>-1</v>
      </c>
      <c r="Y83" s="31">
        <f>Recu3!Y83</f>
        <v>0</v>
      </c>
      <c r="Z83" s="32">
        <f t="shared" si="130"/>
        <v>-1</v>
      </c>
      <c r="AA83" s="31">
        <f>Recu3!AA83</f>
        <v>0</v>
      </c>
      <c r="AB83" s="32">
        <f t="shared" si="131"/>
        <v>-1</v>
      </c>
      <c r="AC83" s="31">
        <f>Recu3!AC83</f>
        <v>0</v>
      </c>
      <c r="AD83" s="32">
        <f t="shared" si="132"/>
        <v>-1</v>
      </c>
      <c r="AE83" s="31">
        <f>Recu3!AE83</f>
        <v>0</v>
      </c>
      <c r="AF83" s="32">
        <f t="shared" si="133"/>
        <v>-1</v>
      </c>
      <c r="AG83" s="31">
        <f>Recu3!AG83</f>
        <v>0</v>
      </c>
      <c r="AH83" s="32">
        <f t="shared" si="134"/>
        <v>-1</v>
      </c>
      <c r="AI83" s="31">
        <f>Recu3!AI83</f>
        <v>0</v>
      </c>
      <c r="AJ83" s="32">
        <f t="shared" si="135"/>
        <v>-1</v>
      </c>
      <c r="AK83" s="31">
        <f>Recu3!AK83</f>
        <v>0</v>
      </c>
      <c r="AL83" s="32">
        <f t="shared" si="136"/>
        <v>-1</v>
      </c>
      <c r="AM83" s="31">
        <f>Recu3!AM83</f>
        <v>0</v>
      </c>
      <c r="AN83" s="32">
        <f t="shared" si="137"/>
        <v>-1</v>
      </c>
      <c r="AO83" s="31">
        <f>Recu3!AO83</f>
        <v>0</v>
      </c>
      <c r="AP83" s="32">
        <f t="shared" si="138"/>
        <v>-1</v>
      </c>
      <c r="AQ83" s="31">
        <f>Recu3!AQ83</f>
        <v>0</v>
      </c>
      <c r="AR83" s="32">
        <f t="shared" si="139"/>
        <v>-1</v>
      </c>
      <c r="AS83" s="31">
        <f>Recu3!AS83</f>
        <v>0</v>
      </c>
      <c r="AT83" s="32">
        <f t="shared" si="140"/>
        <v>-1</v>
      </c>
      <c r="AU83" s="31">
        <f>Recu3!AU83</f>
        <v>0</v>
      </c>
      <c r="AV83" s="32">
        <f t="shared" si="141"/>
        <v>-1</v>
      </c>
      <c r="AW83" s="31">
        <f>Recu3!AW83</f>
        <v>0</v>
      </c>
      <c r="AX83" s="32">
        <f t="shared" si="142"/>
        <v>-1</v>
      </c>
      <c r="AY83" s="31">
        <f>Recu3!AY83</f>
        <v>0</v>
      </c>
      <c r="AZ83" s="32">
        <f t="shared" si="143"/>
        <v>-1</v>
      </c>
      <c r="BA83" s="31">
        <f>Recu3!BA83</f>
        <v>0</v>
      </c>
      <c r="BB83" s="32">
        <f t="shared" si="144"/>
        <v>-1</v>
      </c>
      <c r="BC83" s="31">
        <f>Recu3!BC83</f>
        <v>0</v>
      </c>
      <c r="BD83" s="32">
        <f t="shared" si="145"/>
        <v>-1</v>
      </c>
      <c r="BE83" s="31">
        <f>Recu3!BE83</f>
        <v>0</v>
      </c>
      <c r="BF83" s="32">
        <f t="shared" si="146"/>
        <v>-1</v>
      </c>
      <c r="BG83" s="31">
        <f>Recu3!BG83</f>
        <v>0</v>
      </c>
      <c r="BH83" s="32">
        <f t="shared" si="147"/>
        <v>-1</v>
      </c>
      <c r="BI83" s="31">
        <f>Recu3!BI83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Recu3!B84</f>
        <v>0</v>
      </c>
      <c r="C84" s="31">
        <f>Recu3!C84</f>
        <v>0</v>
      </c>
      <c r="D84" s="32">
        <f t="shared" si="119"/>
        <v>-1</v>
      </c>
      <c r="E84" s="31">
        <f>Recu3!E84</f>
        <v>0</v>
      </c>
      <c r="F84" s="32">
        <f t="shared" si="120"/>
        <v>-1</v>
      </c>
      <c r="G84" s="31">
        <f>Recu3!G84</f>
        <v>0</v>
      </c>
      <c r="H84" s="32">
        <f t="shared" si="121"/>
        <v>-1</v>
      </c>
      <c r="I84" s="31">
        <f>Recu3!I84</f>
        <v>0</v>
      </c>
      <c r="J84" s="32">
        <f t="shared" si="122"/>
        <v>-1</v>
      </c>
      <c r="K84" s="31">
        <f>Recu3!K84</f>
        <v>0</v>
      </c>
      <c r="L84" s="32">
        <f t="shared" si="123"/>
        <v>-1</v>
      </c>
      <c r="M84" s="31">
        <f>Recu3!M84</f>
        <v>0</v>
      </c>
      <c r="N84" s="32">
        <f t="shared" si="124"/>
        <v>-1</v>
      </c>
      <c r="O84" s="31">
        <f>Recu3!O84</f>
        <v>0</v>
      </c>
      <c r="P84" s="32">
        <f t="shared" si="125"/>
        <v>-1</v>
      </c>
      <c r="Q84" s="31">
        <f>Recu3!Q84</f>
        <v>0</v>
      </c>
      <c r="R84" s="32">
        <f t="shared" si="126"/>
        <v>-1</v>
      </c>
      <c r="S84" s="31">
        <f>Recu3!S84</f>
        <v>0</v>
      </c>
      <c r="T84" s="32">
        <f t="shared" si="127"/>
        <v>-1</v>
      </c>
      <c r="U84" s="31">
        <f>Recu3!U84</f>
        <v>0</v>
      </c>
      <c r="V84" s="32">
        <f t="shared" si="128"/>
        <v>-1</v>
      </c>
      <c r="W84" s="31">
        <f>Recu3!W84</f>
        <v>0</v>
      </c>
      <c r="X84" s="32">
        <f t="shared" si="129"/>
        <v>-1</v>
      </c>
      <c r="Y84" s="31">
        <f>Recu3!Y84</f>
        <v>0</v>
      </c>
      <c r="Z84" s="32">
        <f t="shared" si="130"/>
        <v>-1</v>
      </c>
      <c r="AA84" s="31">
        <f>Recu3!AA84</f>
        <v>0</v>
      </c>
      <c r="AB84" s="32">
        <f t="shared" si="131"/>
        <v>-1</v>
      </c>
      <c r="AC84" s="31">
        <f>Recu3!AC84</f>
        <v>0</v>
      </c>
      <c r="AD84" s="32">
        <f t="shared" si="132"/>
        <v>-1</v>
      </c>
      <c r="AE84" s="31">
        <f>Recu3!AE84</f>
        <v>0</v>
      </c>
      <c r="AF84" s="32">
        <f t="shared" si="133"/>
        <v>-1</v>
      </c>
      <c r="AG84" s="31">
        <f>Recu3!AG84</f>
        <v>0</v>
      </c>
      <c r="AH84" s="32">
        <f t="shared" si="134"/>
        <v>-1</v>
      </c>
      <c r="AI84" s="31">
        <f>Recu3!AI84</f>
        <v>0</v>
      </c>
      <c r="AJ84" s="32">
        <f t="shared" si="135"/>
        <v>-1</v>
      </c>
      <c r="AK84" s="31">
        <f>Recu3!AK84</f>
        <v>0</v>
      </c>
      <c r="AL84" s="32">
        <f t="shared" si="136"/>
        <v>-1</v>
      </c>
      <c r="AM84" s="31">
        <f>Recu3!AM84</f>
        <v>0</v>
      </c>
      <c r="AN84" s="32">
        <f t="shared" si="137"/>
        <v>-1</v>
      </c>
      <c r="AO84" s="31">
        <f>Recu3!AO84</f>
        <v>0</v>
      </c>
      <c r="AP84" s="32">
        <f t="shared" si="138"/>
        <v>-1</v>
      </c>
      <c r="AQ84" s="31">
        <f>Recu3!AQ84</f>
        <v>0</v>
      </c>
      <c r="AR84" s="32">
        <f t="shared" si="139"/>
        <v>-1</v>
      </c>
      <c r="AS84" s="31">
        <f>Recu3!AS84</f>
        <v>0</v>
      </c>
      <c r="AT84" s="32">
        <f t="shared" si="140"/>
        <v>-1</v>
      </c>
      <c r="AU84" s="31">
        <f>Recu3!AU84</f>
        <v>0</v>
      </c>
      <c r="AV84" s="32">
        <f t="shared" si="141"/>
        <v>-1</v>
      </c>
      <c r="AW84" s="31">
        <f>Recu3!AW84</f>
        <v>0</v>
      </c>
      <c r="AX84" s="32">
        <f t="shared" si="142"/>
        <v>-1</v>
      </c>
      <c r="AY84" s="31">
        <f>Recu3!AY84</f>
        <v>0</v>
      </c>
      <c r="AZ84" s="32">
        <f t="shared" si="143"/>
        <v>-1</v>
      </c>
      <c r="BA84" s="31">
        <f>Recu3!BA84</f>
        <v>0</v>
      </c>
      <c r="BB84" s="32">
        <f t="shared" si="144"/>
        <v>-1</v>
      </c>
      <c r="BC84" s="31">
        <f>Recu3!BC84</f>
        <v>0</v>
      </c>
      <c r="BD84" s="32">
        <f t="shared" si="145"/>
        <v>-1</v>
      </c>
      <c r="BE84" s="31">
        <f>Recu3!BE84</f>
        <v>0</v>
      </c>
      <c r="BF84" s="32">
        <f t="shared" si="146"/>
        <v>-1</v>
      </c>
      <c r="BG84" s="31">
        <f>Recu3!BG84</f>
        <v>0</v>
      </c>
      <c r="BH84" s="32">
        <f t="shared" si="147"/>
        <v>-1</v>
      </c>
      <c r="BI84" s="31">
        <f>Recu3!BI84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Recu3!B85</f>
        <v>0</v>
      </c>
      <c r="C85" s="31">
        <f>Recu3!C85</f>
        <v>0</v>
      </c>
      <c r="D85" s="32">
        <f t="shared" si="119"/>
        <v>-1</v>
      </c>
      <c r="E85" s="31">
        <f>Recu3!E85</f>
        <v>0</v>
      </c>
      <c r="F85" s="32">
        <f t="shared" si="120"/>
        <v>-1</v>
      </c>
      <c r="G85" s="31">
        <f>Recu3!G85</f>
        <v>0</v>
      </c>
      <c r="H85" s="32">
        <f t="shared" si="121"/>
        <v>-1</v>
      </c>
      <c r="I85" s="31">
        <f>Recu3!I85</f>
        <v>0</v>
      </c>
      <c r="J85" s="32">
        <f t="shared" si="122"/>
        <v>-1</v>
      </c>
      <c r="K85" s="31">
        <f>Recu3!K85</f>
        <v>0</v>
      </c>
      <c r="L85" s="32">
        <f t="shared" si="123"/>
        <v>-1</v>
      </c>
      <c r="M85" s="31">
        <f>Recu3!M85</f>
        <v>0</v>
      </c>
      <c r="N85" s="32">
        <f t="shared" si="124"/>
        <v>-1</v>
      </c>
      <c r="O85" s="31">
        <f>Recu3!O85</f>
        <v>0</v>
      </c>
      <c r="P85" s="32">
        <f t="shared" si="125"/>
        <v>-1</v>
      </c>
      <c r="Q85" s="31">
        <f>Recu3!Q85</f>
        <v>0</v>
      </c>
      <c r="R85" s="32">
        <f t="shared" si="126"/>
        <v>-1</v>
      </c>
      <c r="S85" s="31">
        <f>Recu3!S85</f>
        <v>0</v>
      </c>
      <c r="T85" s="32">
        <f t="shared" si="127"/>
        <v>-1</v>
      </c>
      <c r="U85" s="31">
        <f>Recu3!U85</f>
        <v>0</v>
      </c>
      <c r="V85" s="32">
        <f t="shared" si="128"/>
        <v>-1</v>
      </c>
      <c r="W85" s="31">
        <f>Recu3!W85</f>
        <v>0</v>
      </c>
      <c r="X85" s="32">
        <f t="shared" si="129"/>
        <v>-1</v>
      </c>
      <c r="Y85" s="31">
        <f>Recu3!Y85</f>
        <v>0</v>
      </c>
      <c r="Z85" s="32">
        <f t="shared" si="130"/>
        <v>-1</v>
      </c>
      <c r="AA85" s="31">
        <f>Recu3!AA85</f>
        <v>0</v>
      </c>
      <c r="AB85" s="32">
        <f t="shared" si="131"/>
        <v>-1</v>
      </c>
      <c r="AC85" s="31">
        <f>Recu3!AC85</f>
        <v>0</v>
      </c>
      <c r="AD85" s="32">
        <f t="shared" si="132"/>
        <v>-1</v>
      </c>
      <c r="AE85" s="31">
        <f>Recu3!AE85</f>
        <v>0</v>
      </c>
      <c r="AF85" s="32">
        <f t="shared" si="133"/>
        <v>-1</v>
      </c>
      <c r="AG85" s="31">
        <f>Recu3!AG85</f>
        <v>0</v>
      </c>
      <c r="AH85" s="32">
        <f t="shared" si="134"/>
        <v>-1</v>
      </c>
      <c r="AI85" s="31">
        <f>Recu3!AI85</f>
        <v>0</v>
      </c>
      <c r="AJ85" s="32">
        <f t="shared" si="135"/>
        <v>-1</v>
      </c>
      <c r="AK85" s="31">
        <f>Recu3!AK85</f>
        <v>0</v>
      </c>
      <c r="AL85" s="32">
        <f t="shared" si="136"/>
        <v>-1</v>
      </c>
      <c r="AM85" s="31">
        <f>Recu3!AM85</f>
        <v>0</v>
      </c>
      <c r="AN85" s="32">
        <f t="shared" si="137"/>
        <v>-1</v>
      </c>
      <c r="AO85" s="31">
        <f>Recu3!AO85</f>
        <v>0</v>
      </c>
      <c r="AP85" s="32">
        <f t="shared" si="138"/>
        <v>-1</v>
      </c>
      <c r="AQ85" s="31">
        <f>Recu3!AQ85</f>
        <v>0</v>
      </c>
      <c r="AR85" s="32">
        <f t="shared" si="139"/>
        <v>-1</v>
      </c>
      <c r="AS85" s="31">
        <f>Recu3!AS85</f>
        <v>0</v>
      </c>
      <c r="AT85" s="32">
        <f t="shared" si="140"/>
        <v>-1</v>
      </c>
      <c r="AU85" s="31">
        <f>Recu3!AU85</f>
        <v>0</v>
      </c>
      <c r="AV85" s="32">
        <f t="shared" si="141"/>
        <v>-1</v>
      </c>
      <c r="AW85" s="31">
        <f>Recu3!AW85</f>
        <v>0</v>
      </c>
      <c r="AX85" s="32">
        <f t="shared" si="142"/>
        <v>-1</v>
      </c>
      <c r="AY85" s="31">
        <f>Recu3!AY85</f>
        <v>0</v>
      </c>
      <c r="AZ85" s="32">
        <f t="shared" si="143"/>
        <v>-1</v>
      </c>
      <c r="BA85" s="31">
        <f>Recu3!BA85</f>
        <v>0</v>
      </c>
      <c r="BB85" s="32">
        <f t="shared" si="144"/>
        <v>-1</v>
      </c>
      <c r="BC85" s="31">
        <f>Recu3!BC85</f>
        <v>0</v>
      </c>
      <c r="BD85" s="32">
        <f t="shared" si="145"/>
        <v>-1</v>
      </c>
      <c r="BE85" s="31">
        <f>Recu3!BE85</f>
        <v>0</v>
      </c>
      <c r="BF85" s="32">
        <f t="shared" si="146"/>
        <v>-1</v>
      </c>
      <c r="BG85" s="31">
        <f>Recu3!BG85</f>
        <v>0</v>
      </c>
      <c r="BH85" s="32">
        <f t="shared" si="147"/>
        <v>-1</v>
      </c>
      <c r="BI85" s="31">
        <f>Recu3!BI85</f>
        <v>0</v>
      </c>
      <c r="BJ85" s="32">
        <f t="shared" si="148"/>
        <v>-1</v>
      </c>
    </row>
    <row r="86" spans="1:62" ht="19" customHeight="1" x14ac:dyDescent="0.2">
      <c r="A86" s="54" t="s">
        <v>84</v>
      </c>
      <c r="B86" s="55"/>
      <c r="C86" s="59">
        <f>SUM(C4,C7,C16,C38,C59,C64)</f>
        <v>4.4649999825283881</v>
      </c>
      <c r="D86" s="60"/>
      <c r="E86" s="59">
        <f t="shared" ref="E86" si="149">SUM(E4,E7,E16,E38,E59,E64)</f>
        <v>4.5775000117719173</v>
      </c>
      <c r="F86" s="60"/>
      <c r="G86" s="59">
        <f t="shared" ref="G86" si="150">SUM(G4,G7,G16,G38,G59,G64)</f>
        <v>3.7775000449270006</v>
      </c>
      <c r="H86" s="60"/>
      <c r="I86" s="59">
        <f t="shared" ref="I86" si="151">SUM(I4,I7,I16,I38,I59,I64)</f>
        <v>4.2625000251457088</v>
      </c>
      <c r="J86" s="60"/>
      <c r="K86" s="59">
        <f t="shared" ref="K86" si="152">SUM(K4,K7,K16,K38,K59,K64)</f>
        <v>4.3750000216066836</v>
      </c>
      <c r="L86" s="60"/>
      <c r="M86" s="59">
        <f t="shared" ref="M86" si="153">SUM(M4,M7,M16,M38,M59,M64)</f>
        <v>3.2725000383332379</v>
      </c>
      <c r="N86" s="60"/>
      <c r="O86" s="59">
        <f t="shared" ref="O86" si="154">SUM(O4,O7,O16,O38,O59,O64)</f>
        <v>4.4625000309199088</v>
      </c>
      <c r="P86" s="60"/>
      <c r="Q86" s="59">
        <f t="shared" ref="Q86" si="155">SUM(Q4,Q7,Q16,Q38,Q59,Q64)</f>
        <v>3.6125000545755026</v>
      </c>
      <c r="R86" s="60"/>
      <c r="S86" s="59">
        <f t="shared" ref="S86" si="156">SUM(S4,S7,S16,S38,S59,S64)</f>
        <v>3.2775000214576719</v>
      </c>
      <c r="T86" s="60"/>
      <c r="U86" s="59">
        <f t="shared" ref="U86" si="157">SUM(U4,U7,U16,U38,U59,U64)</f>
        <v>3.7950000042095784</v>
      </c>
      <c r="V86" s="60"/>
      <c r="W86" s="59">
        <f t="shared" ref="W86" si="158">SUM(W4,W7,W16,W38,W59,W64)</f>
        <v>3.7649999998509882</v>
      </c>
      <c r="X86" s="60"/>
      <c r="Y86" s="59">
        <f t="shared" ref="Y86" si="159">SUM(Y4,Y7,Y16,Y38,Y59,Y64)</f>
        <v>4.2475000318139795</v>
      </c>
      <c r="Z86" s="60"/>
      <c r="AA86" s="59">
        <f t="shared" ref="AA86" si="160">SUM(AA4,AA7,AA16,AA38,AA59,AA64)</f>
        <v>3.9525000523775815</v>
      </c>
      <c r="AB86" s="60"/>
      <c r="AC86" s="59">
        <f t="shared" ref="AC86" si="161">SUM(AC4,AC7,AC16,AC38,AC59,AC64)</f>
        <v>4.0474999971687797</v>
      </c>
      <c r="AD86" s="60"/>
      <c r="AE86" s="59">
        <f t="shared" ref="AE86" si="162">SUM(AE4,AE7,AE16,AE38,AE59,AE64)</f>
        <v>4.0200000321492553</v>
      </c>
      <c r="AF86" s="60"/>
      <c r="AG86" s="59">
        <f t="shared" ref="AG86" si="163">SUM(AG4,AG7,AG16,AG38,AG59,AG64)</f>
        <v>4.0325000219047071</v>
      </c>
      <c r="AH86" s="60"/>
      <c r="AI86" s="59">
        <f t="shared" ref="AI86" si="164">SUM(AI4,AI7,AI16,AI38,AI59,AI64)</f>
        <v>3.2925000227987766</v>
      </c>
      <c r="AJ86" s="60"/>
      <c r="AK86" s="59">
        <f t="shared" ref="AK86" si="165">SUM(AK4,AK7,AK16,AK38,AK59,AK64)</f>
        <v>4.2250000182539225</v>
      </c>
      <c r="AL86" s="60"/>
      <c r="AM86" s="59">
        <f t="shared" ref="AM86" si="166">SUM(AM4,AM7,AM16,AM38,AM59,AM64)</f>
        <v>3.7000000482425093</v>
      </c>
      <c r="AN86" s="60"/>
      <c r="AO86" s="59">
        <f t="shared" ref="AO86" si="167">SUM(AO4,AO7,AO16,AO38,AO59,AO64)</f>
        <v>3.6625000163912773</v>
      </c>
      <c r="AP86" s="60"/>
      <c r="AQ86" s="59">
        <f t="shared" ref="AQ86" si="168">SUM(AQ4,AQ7,AQ16,AQ38,AQ59,AQ64)</f>
        <v>4.0425000503659252</v>
      </c>
      <c r="AR86" s="60"/>
      <c r="AS86" s="59">
        <f t="shared" ref="AS86" si="169">SUM(AS4,AS7,AS16,AS38,AS59,AS64)</f>
        <v>4.3450000539422042</v>
      </c>
      <c r="AT86" s="60"/>
      <c r="AU86" s="59">
        <f t="shared" ref="AU86" si="170">SUM(AU4,AU7,AU16,AU38,AU59,AU64)</f>
        <v>3.5950000274926426</v>
      </c>
      <c r="AV86" s="60"/>
      <c r="AW86" s="59">
        <f t="shared" ref="AW86" si="171">SUM(AW4,AW7,AW16,AW38,AW59,AW64)</f>
        <v>3.5850000170990821</v>
      </c>
      <c r="AX86" s="60"/>
      <c r="AY86" s="59">
        <f t="shared" ref="AY86" si="172">SUM(AY4,AY7,AY16,AY38,AY59,AY64)</f>
        <v>3.7525000238791106</v>
      </c>
      <c r="AZ86" s="60"/>
      <c r="BA86" s="59">
        <f t="shared" ref="BA86" si="173">SUM(BA4,BA7,BA16,BA38,BA59,BA64)</f>
        <v>3.5725000305101275</v>
      </c>
      <c r="BB86" s="60"/>
      <c r="BC86" s="59">
        <f t="shared" ref="BC86" si="174">SUM(BC4,BC7,BC16,BC38,BC59,BC64)</f>
        <v>4.7425000332295895</v>
      </c>
      <c r="BD86" s="60"/>
      <c r="BE86" s="59">
        <f t="shared" ref="BE86" si="175">SUM(BE4,BE7,BE16,BE38,BE59,BE64)</f>
        <v>3.2899999972432852</v>
      </c>
      <c r="BF86" s="60"/>
      <c r="BG86" s="59">
        <f t="shared" ref="BG86" si="176">SUM(BG4,BG7,BG16,BG38,BG59,BG64)</f>
        <v>3.8825000274926422</v>
      </c>
      <c r="BH86" s="60"/>
      <c r="BI86" s="59">
        <f t="shared" ref="BI86" si="177">SUM(BI4,BI7,BI16,BI38,BI59,BI64)</f>
        <v>2.9525000344961883</v>
      </c>
      <c r="BJ86" s="60"/>
    </row>
    <row r="87" spans="1:62" ht="19" customHeight="1" x14ac:dyDescent="0.2">
      <c r="A87" s="54"/>
      <c r="B87" s="55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</row>
    <row r="88" spans="1:62" ht="19" customHeight="1" x14ac:dyDescent="0.2">
      <c r="A88" s="54"/>
      <c r="B88" s="55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</row>
  </sheetData>
  <sheetProtection algorithmName="SHA-512" hashValue="3PyTi1Ra838R4AyAIZANK2KdmaZ7Fw359g80DJEaUnEkJFPIWuwEVeKBRNNOJM2sn8D7kFETAmKdxOhDmebHOg==" saltValue="HB0dAinPFaZfMVesxtcajQ==" spinCount="100000" sheet="1" objects="1" scenarios="1"/>
  <mergeCells count="30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U64:V64"/>
    <mergeCell ref="W64:X64"/>
    <mergeCell ref="Y64:Z64"/>
    <mergeCell ref="BC64:BD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O86:P88"/>
    <mergeCell ref="Q86:R88"/>
    <mergeCell ref="S86:T88"/>
    <mergeCell ref="U86:V88"/>
    <mergeCell ref="C86:D88"/>
    <mergeCell ref="E86:F88"/>
    <mergeCell ref="G86:H88"/>
    <mergeCell ref="I86:J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A1:A2"/>
    <mergeCell ref="BG86:BH88"/>
    <mergeCell ref="BI86:BJ88"/>
    <mergeCell ref="A86:B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  <mergeCell ref="W86:X88"/>
    <mergeCell ref="Y86:Z88"/>
    <mergeCell ref="AA86:AB88"/>
    <mergeCell ref="AC86:AD88"/>
    <mergeCell ref="AE86:AF88"/>
    <mergeCell ref="AG86:AH88"/>
    <mergeCell ref="K86:L88"/>
    <mergeCell ref="M86:N88"/>
  </mergeCells>
  <conditionalFormatting sqref="C86 E86 G86 I86 K86 M86 O86 Q86 S86 U86 W86 Y86 AA86 AC86 AE86 AG86 AI86 AK86 AM86 AO86 AQ86 AS86 AU86 AW86 AY86 BA86 BC86 BE86 BG86 BI86">
    <cfRule type="cellIs" dxfId="14670" priority="92" stopIfTrue="1" operator="lessThan">
      <formula>5</formula>
    </cfRule>
    <cfRule type="cellIs" dxfId="14669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14668" priority="2" stopIfTrue="1" operator="lessThan">
      <formula>5</formula>
    </cfRule>
    <cfRule type="cellIs" dxfId="14667" priority="3" operator="greaterThanOrEqual">
      <formula>5</formula>
    </cfRule>
  </conditionalFormatting>
  <conditionalFormatting sqref="B3">
    <cfRule type="cellIs" dxfId="14666" priority="1" operator="notEqual">
      <formula>"Ok"</formula>
    </cfRule>
  </conditionalFormatting>
  <conditionalFormatting sqref="D5">
    <cfRule type="cellIs" dxfId="14665" priority="137438" stopIfTrue="1" operator="equal">
      <formula>-1</formula>
    </cfRule>
  </conditionalFormatting>
  <conditionalFormatting sqref="D5">
    <cfRule type="cellIs" dxfId="14664" priority="137439" stopIfTrue="1" operator="lessThan">
      <formula>0.5</formula>
    </cfRule>
  </conditionalFormatting>
  <conditionalFormatting sqref="D5">
    <cfRule type="cellIs" dxfId="14663" priority="137440" stopIfTrue="1" operator="greaterThanOrEqual">
      <formula>0.5</formula>
    </cfRule>
  </conditionalFormatting>
  <conditionalFormatting sqref="D6">
    <cfRule type="cellIs" dxfId="14662" priority="137441" stopIfTrue="1" operator="equal">
      <formula>-1</formula>
    </cfRule>
  </conditionalFormatting>
  <conditionalFormatting sqref="D6">
    <cfRule type="cellIs" dxfId="14661" priority="137442" stopIfTrue="1" operator="lessThan">
      <formula>0.5</formula>
    </cfRule>
  </conditionalFormatting>
  <conditionalFormatting sqref="D6">
    <cfRule type="cellIs" dxfId="14660" priority="137443" stopIfTrue="1" operator="greaterThanOrEqual">
      <formula>0.5</formula>
    </cfRule>
  </conditionalFormatting>
  <conditionalFormatting sqref="F5">
    <cfRule type="cellIs" dxfId="14659" priority="137444" stopIfTrue="1" operator="equal">
      <formula>-1</formula>
    </cfRule>
  </conditionalFormatting>
  <conditionalFormatting sqref="F5">
    <cfRule type="cellIs" dxfId="14658" priority="137445" stopIfTrue="1" operator="lessThan">
      <formula>0.5</formula>
    </cfRule>
  </conditionalFormatting>
  <conditionalFormatting sqref="F5">
    <cfRule type="cellIs" dxfId="14657" priority="137446" stopIfTrue="1" operator="greaterThanOrEqual">
      <formula>0.5</formula>
    </cfRule>
  </conditionalFormatting>
  <conditionalFormatting sqref="F6">
    <cfRule type="cellIs" dxfId="14656" priority="137447" stopIfTrue="1" operator="equal">
      <formula>-1</formula>
    </cfRule>
  </conditionalFormatting>
  <conditionalFormatting sqref="F6">
    <cfRule type="cellIs" dxfId="14655" priority="137448" stopIfTrue="1" operator="lessThan">
      <formula>0.5</formula>
    </cfRule>
  </conditionalFormatting>
  <conditionalFormatting sqref="F6">
    <cfRule type="cellIs" dxfId="14654" priority="137449" stopIfTrue="1" operator="greaterThanOrEqual">
      <formula>0.5</formula>
    </cfRule>
  </conditionalFormatting>
  <conditionalFormatting sqref="H5">
    <cfRule type="cellIs" dxfId="14653" priority="137450" stopIfTrue="1" operator="equal">
      <formula>-1</formula>
    </cfRule>
  </conditionalFormatting>
  <conditionalFormatting sqref="H5">
    <cfRule type="cellIs" dxfId="14652" priority="137451" stopIfTrue="1" operator="lessThan">
      <formula>0.5</formula>
    </cfRule>
  </conditionalFormatting>
  <conditionalFormatting sqref="H5">
    <cfRule type="cellIs" dxfId="14651" priority="137452" stopIfTrue="1" operator="greaterThanOrEqual">
      <formula>0.5</formula>
    </cfRule>
  </conditionalFormatting>
  <conditionalFormatting sqref="H6">
    <cfRule type="cellIs" dxfId="14650" priority="137453" stopIfTrue="1" operator="equal">
      <formula>-1</formula>
    </cfRule>
  </conditionalFormatting>
  <conditionalFormatting sqref="H6">
    <cfRule type="cellIs" dxfId="14649" priority="137454" stopIfTrue="1" operator="lessThan">
      <formula>0.5</formula>
    </cfRule>
  </conditionalFormatting>
  <conditionalFormatting sqref="H6">
    <cfRule type="cellIs" dxfId="14648" priority="137455" stopIfTrue="1" operator="greaterThanOrEqual">
      <formula>0.5</formula>
    </cfRule>
  </conditionalFormatting>
  <conditionalFormatting sqref="J5">
    <cfRule type="cellIs" dxfId="14647" priority="137456" stopIfTrue="1" operator="equal">
      <formula>-1</formula>
    </cfRule>
  </conditionalFormatting>
  <conditionalFormatting sqref="J5">
    <cfRule type="cellIs" dxfId="14646" priority="137457" stopIfTrue="1" operator="lessThan">
      <formula>0.5</formula>
    </cfRule>
  </conditionalFormatting>
  <conditionalFormatting sqref="J5">
    <cfRule type="cellIs" dxfId="14645" priority="137458" stopIfTrue="1" operator="greaterThanOrEqual">
      <formula>0.5</formula>
    </cfRule>
  </conditionalFormatting>
  <conditionalFormatting sqref="J6">
    <cfRule type="cellIs" dxfId="14644" priority="137459" stopIfTrue="1" operator="equal">
      <formula>-1</formula>
    </cfRule>
  </conditionalFormatting>
  <conditionalFormatting sqref="J6">
    <cfRule type="cellIs" dxfId="14643" priority="137460" stopIfTrue="1" operator="lessThan">
      <formula>0.5</formula>
    </cfRule>
  </conditionalFormatting>
  <conditionalFormatting sqref="J6">
    <cfRule type="cellIs" dxfId="14642" priority="137461" stopIfTrue="1" operator="greaterThanOrEqual">
      <formula>0.5</formula>
    </cfRule>
  </conditionalFormatting>
  <conditionalFormatting sqref="L5">
    <cfRule type="cellIs" dxfId="14641" priority="137462" stopIfTrue="1" operator="equal">
      <formula>-1</formula>
    </cfRule>
  </conditionalFormatting>
  <conditionalFormatting sqref="L5">
    <cfRule type="cellIs" dxfId="14640" priority="137463" stopIfTrue="1" operator="lessThan">
      <formula>0.5</formula>
    </cfRule>
  </conditionalFormatting>
  <conditionalFormatting sqref="L5">
    <cfRule type="cellIs" dxfId="14639" priority="137464" stopIfTrue="1" operator="greaterThanOrEqual">
      <formula>0.5</formula>
    </cfRule>
  </conditionalFormatting>
  <conditionalFormatting sqref="L6">
    <cfRule type="cellIs" dxfId="14638" priority="137465" stopIfTrue="1" operator="equal">
      <formula>-1</formula>
    </cfRule>
  </conditionalFormatting>
  <conditionalFormatting sqref="L6">
    <cfRule type="cellIs" dxfId="14637" priority="137466" stopIfTrue="1" operator="lessThan">
      <formula>0.5</formula>
    </cfRule>
  </conditionalFormatting>
  <conditionalFormatting sqref="L6">
    <cfRule type="cellIs" dxfId="14636" priority="137467" stopIfTrue="1" operator="greaterThanOrEqual">
      <formula>0.5</formula>
    </cfRule>
  </conditionalFormatting>
  <conditionalFormatting sqref="N5">
    <cfRule type="cellIs" dxfId="14635" priority="137468" stopIfTrue="1" operator="equal">
      <formula>-1</formula>
    </cfRule>
  </conditionalFormatting>
  <conditionalFormatting sqref="N5">
    <cfRule type="cellIs" dxfId="14634" priority="137469" stopIfTrue="1" operator="lessThan">
      <formula>0.5</formula>
    </cfRule>
  </conditionalFormatting>
  <conditionalFormatting sqref="N5">
    <cfRule type="cellIs" dxfId="14633" priority="137470" stopIfTrue="1" operator="greaterThanOrEqual">
      <formula>0.5</formula>
    </cfRule>
  </conditionalFormatting>
  <conditionalFormatting sqref="N6">
    <cfRule type="cellIs" dxfId="14632" priority="137471" stopIfTrue="1" operator="equal">
      <formula>-1</formula>
    </cfRule>
  </conditionalFormatting>
  <conditionalFormatting sqref="N6">
    <cfRule type="cellIs" dxfId="14631" priority="137472" stopIfTrue="1" operator="lessThan">
      <formula>0.5</formula>
    </cfRule>
  </conditionalFormatting>
  <conditionalFormatting sqref="N6">
    <cfRule type="cellIs" dxfId="14630" priority="137473" stopIfTrue="1" operator="greaterThanOrEqual">
      <formula>0.5</formula>
    </cfRule>
  </conditionalFormatting>
  <conditionalFormatting sqref="P5">
    <cfRule type="cellIs" dxfId="14629" priority="137474" stopIfTrue="1" operator="equal">
      <formula>-1</formula>
    </cfRule>
  </conditionalFormatting>
  <conditionalFormatting sqref="P5">
    <cfRule type="cellIs" dxfId="14628" priority="137475" stopIfTrue="1" operator="lessThan">
      <formula>0.5</formula>
    </cfRule>
  </conditionalFormatting>
  <conditionalFormatting sqref="P5">
    <cfRule type="cellIs" dxfId="14627" priority="137476" stopIfTrue="1" operator="greaterThanOrEqual">
      <formula>0.5</formula>
    </cfRule>
  </conditionalFormatting>
  <conditionalFormatting sqref="P6">
    <cfRule type="cellIs" dxfId="14626" priority="137477" stopIfTrue="1" operator="equal">
      <formula>-1</formula>
    </cfRule>
  </conditionalFormatting>
  <conditionalFormatting sqref="P6">
    <cfRule type="cellIs" dxfId="14625" priority="137478" stopIfTrue="1" operator="lessThan">
      <formula>0.5</formula>
    </cfRule>
  </conditionalFormatting>
  <conditionalFormatting sqref="P6">
    <cfRule type="cellIs" dxfId="14624" priority="137479" stopIfTrue="1" operator="greaterThanOrEqual">
      <formula>0.5</formula>
    </cfRule>
  </conditionalFormatting>
  <conditionalFormatting sqref="R5">
    <cfRule type="cellIs" dxfId="14623" priority="137480" stopIfTrue="1" operator="equal">
      <formula>-1</formula>
    </cfRule>
  </conditionalFormatting>
  <conditionalFormatting sqref="R5">
    <cfRule type="cellIs" dxfId="14622" priority="137481" stopIfTrue="1" operator="lessThan">
      <formula>0.5</formula>
    </cfRule>
  </conditionalFormatting>
  <conditionalFormatting sqref="R5">
    <cfRule type="cellIs" dxfId="14621" priority="137482" stopIfTrue="1" operator="greaterThanOrEqual">
      <formula>0.5</formula>
    </cfRule>
  </conditionalFormatting>
  <conditionalFormatting sqref="R6">
    <cfRule type="cellIs" dxfId="14620" priority="137483" stopIfTrue="1" operator="equal">
      <formula>-1</formula>
    </cfRule>
  </conditionalFormatting>
  <conditionalFormatting sqref="R6">
    <cfRule type="cellIs" dxfId="14619" priority="137484" stopIfTrue="1" operator="lessThan">
      <formula>0.5</formula>
    </cfRule>
  </conditionalFormatting>
  <conditionalFormatting sqref="R6">
    <cfRule type="cellIs" dxfId="14618" priority="137485" stopIfTrue="1" operator="greaterThanOrEqual">
      <formula>0.5</formula>
    </cfRule>
  </conditionalFormatting>
  <conditionalFormatting sqref="T5">
    <cfRule type="cellIs" dxfId="14617" priority="137486" stopIfTrue="1" operator="equal">
      <formula>-1</formula>
    </cfRule>
  </conditionalFormatting>
  <conditionalFormatting sqref="T5">
    <cfRule type="cellIs" dxfId="14616" priority="137487" stopIfTrue="1" operator="lessThan">
      <formula>0.5</formula>
    </cfRule>
  </conditionalFormatting>
  <conditionalFormatting sqref="T5">
    <cfRule type="cellIs" dxfId="14615" priority="137488" stopIfTrue="1" operator="greaterThanOrEqual">
      <formula>0.5</formula>
    </cfRule>
  </conditionalFormatting>
  <conditionalFormatting sqref="T6">
    <cfRule type="cellIs" dxfId="14614" priority="137489" stopIfTrue="1" operator="equal">
      <formula>-1</formula>
    </cfRule>
  </conditionalFormatting>
  <conditionalFormatting sqref="T6">
    <cfRule type="cellIs" dxfId="14613" priority="137490" stopIfTrue="1" operator="lessThan">
      <formula>0.5</formula>
    </cfRule>
  </conditionalFormatting>
  <conditionalFormatting sqref="T6">
    <cfRule type="cellIs" dxfId="14612" priority="137491" stopIfTrue="1" operator="greaterThanOrEqual">
      <formula>0.5</formula>
    </cfRule>
  </conditionalFormatting>
  <conditionalFormatting sqref="V5">
    <cfRule type="cellIs" dxfId="14611" priority="137492" stopIfTrue="1" operator="equal">
      <formula>-1</formula>
    </cfRule>
  </conditionalFormatting>
  <conditionalFormatting sqref="V5">
    <cfRule type="cellIs" dxfId="14610" priority="137493" stopIfTrue="1" operator="lessThan">
      <formula>0.5</formula>
    </cfRule>
  </conditionalFormatting>
  <conditionalFormatting sqref="V5">
    <cfRule type="cellIs" dxfId="14609" priority="137494" stopIfTrue="1" operator="greaterThanOrEqual">
      <formula>0.5</formula>
    </cfRule>
  </conditionalFormatting>
  <conditionalFormatting sqref="V6">
    <cfRule type="cellIs" dxfId="14608" priority="137495" stopIfTrue="1" operator="equal">
      <formula>-1</formula>
    </cfRule>
  </conditionalFormatting>
  <conditionalFormatting sqref="V6">
    <cfRule type="cellIs" dxfId="14607" priority="137496" stopIfTrue="1" operator="lessThan">
      <formula>0.5</formula>
    </cfRule>
  </conditionalFormatting>
  <conditionalFormatting sqref="V6">
    <cfRule type="cellIs" dxfId="14606" priority="137497" stopIfTrue="1" operator="greaterThanOrEqual">
      <formula>0.5</formula>
    </cfRule>
  </conditionalFormatting>
  <conditionalFormatting sqref="X5">
    <cfRule type="cellIs" dxfId="14605" priority="137498" stopIfTrue="1" operator="equal">
      <formula>-1</formula>
    </cfRule>
  </conditionalFormatting>
  <conditionalFormatting sqref="X5">
    <cfRule type="cellIs" dxfId="14604" priority="137499" stopIfTrue="1" operator="lessThan">
      <formula>0.5</formula>
    </cfRule>
  </conditionalFormatting>
  <conditionalFormatting sqref="X5">
    <cfRule type="cellIs" dxfId="14603" priority="137500" stopIfTrue="1" operator="greaterThanOrEqual">
      <formula>0.5</formula>
    </cfRule>
  </conditionalFormatting>
  <conditionalFormatting sqref="X6">
    <cfRule type="cellIs" dxfId="14602" priority="137501" stopIfTrue="1" operator="equal">
      <formula>-1</formula>
    </cfRule>
  </conditionalFormatting>
  <conditionalFormatting sqref="X6">
    <cfRule type="cellIs" dxfId="14601" priority="137502" stopIfTrue="1" operator="lessThan">
      <formula>0.5</formula>
    </cfRule>
  </conditionalFormatting>
  <conditionalFormatting sqref="X6">
    <cfRule type="cellIs" dxfId="14600" priority="137503" stopIfTrue="1" operator="greaterThanOrEqual">
      <formula>0.5</formula>
    </cfRule>
  </conditionalFormatting>
  <conditionalFormatting sqref="Z5">
    <cfRule type="cellIs" dxfId="14599" priority="137504" stopIfTrue="1" operator="equal">
      <formula>-1</formula>
    </cfRule>
  </conditionalFormatting>
  <conditionalFormatting sqref="Z5">
    <cfRule type="cellIs" dxfId="14598" priority="137505" stopIfTrue="1" operator="lessThan">
      <formula>0.5</formula>
    </cfRule>
  </conditionalFormatting>
  <conditionalFormatting sqref="Z5">
    <cfRule type="cellIs" dxfId="14597" priority="137506" stopIfTrue="1" operator="greaterThanOrEqual">
      <formula>0.5</formula>
    </cfRule>
  </conditionalFormatting>
  <conditionalFormatting sqref="Z6">
    <cfRule type="cellIs" dxfId="14596" priority="137507" stopIfTrue="1" operator="equal">
      <formula>-1</formula>
    </cfRule>
  </conditionalFormatting>
  <conditionalFormatting sqref="Z6">
    <cfRule type="cellIs" dxfId="14595" priority="137508" stopIfTrue="1" operator="lessThan">
      <formula>0.5</formula>
    </cfRule>
  </conditionalFormatting>
  <conditionalFormatting sqref="Z6">
    <cfRule type="cellIs" dxfId="14594" priority="137509" stopIfTrue="1" operator="greaterThanOrEqual">
      <formula>0.5</formula>
    </cfRule>
  </conditionalFormatting>
  <conditionalFormatting sqref="AB5">
    <cfRule type="cellIs" dxfId="14593" priority="137510" stopIfTrue="1" operator="equal">
      <formula>-1</formula>
    </cfRule>
  </conditionalFormatting>
  <conditionalFormatting sqref="AB5">
    <cfRule type="cellIs" dxfId="14592" priority="137511" stopIfTrue="1" operator="lessThan">
      <formula>0.5</formula>
    </cfRule>
  </conditionalFormatting>
  <conditionalFormatting sqref="AB5">
    <cfRule type="cellIs" dxfId="14591" priority="137512" stopIfTrue="1" operator="greaterThanOrEqual">
      <formula>0.5</formula>
    </cfRule>
  </conditionalFormatting>
  <conditionalFormatting sqref="AB6">
    <cfRule type="cellIs" dxfId="14590" priority="137513" stopIfTrue="1" operator="equal">
      <formula>-1</formula>
    </cfRule>
  </conditionalFormatting>
  <conditionalFormatting sqref="AB6">
    <cfRule type="cellIs" dxfId="14589" priority="137514" stopIfTrue="1" operator="lessThan">
      <formula>0.5</formula>
    </cfRule>
  </conditionalFormatting>
  <conditionalFormatting sqref="AB6">
    <cfRule type="cellIs" dxfId="14588" priority="137515" stopIfTrue="1" operator="greaterThanOrEqual">
      <formula>0.5</formula>
    </cfRule>
  </conditionalFormatting>
  <conditionalFormatting sqref="AD5">
    <cfRule type="cellIs" dxfId="14587" priority="137516" stopIfTrue="1" operator="equal">
      <formula>-1</formula>
    </cfRule>
  </conditionalFormatting>
  <conditionalFormatting sqref="AD5">
    <cfRule type="cellIs" dxfId="14586" priority="137517" stopIfTrue="1" operator="lessThan">
      <formula>0.5</formula>
    </cfRule>
  </conditionalFormatting>
  <conditionalFormatting sqref="AD5">
    <cfRule type="cellIs" dxfId="14585" priority="137518" stopIfTrue="1" operator="greaterThanOrEqual">
      <formula>0.5</formula>
    </cfRule>
  </conditionalFormatting>
  <conditionalFormatting sqref="AD6">
    <cfRule type="cellIs" dxfId="14584" priority="137519" stopIfTrue="1" operator="equal">
      <formula>-1</formula>
    </cfRule>
  </conditionalFormatting>
  <conditionalFormatting sqref="AD6">
    <cfRule type="cellIs" dxfId="14583" priority="137520" stopIfTrue="1" operator="lessThan">
      <formula>0.5</formula>
    </cfRule>
  </conditionalFormatting>
  <conditionalFormatting sqref="AD6">
    <cfRule type="cellIs" dxfId="14582" priority="137521" stopIfTrue="1" operator="greaterThanOrEqual">
      <formula>0.5</formula>
    </cfRule>
  </conditionalFormatting>
  <conditionalFormatting sqref="AF5">
    <cfRule type="cellIs" dxfId="14581" priority="137522" stopIfTrue="1" operator="equal">
      <formula>-1</formula>
    </cfRule>
  </conditionalFormatting>
  <conditionalFormatting sqref="AF5">
    <cfRule type="cellIs" dxfId="14580" priority="137523" stopIfTrue="1" operator="lessThan">
      <formula>0.5</formula>
    </cfRule>
  </conditionalFormatting>
  <conditionalFormatting sqref="AF5">
    <cfRule type="cellIs" dxfId="14579" priority="137524" stopIfTrue="1" operator="greaterThanOrEqual">
      <formula>0.5</formula>
    </cfRule>
  </conditionalFormatting>
  <conditionalFormatting sqref="AF6">
    <cfRule type="cellIs" dxfId="14578" priority="137525" stopIfTrue="1" operator="equal">
      <formula>-1</formula>
    </cfRule>
  </conditionalFormatting>
  <conditionalFormatting sqref="AF6">
    <cfRule type="cellIs" dxfId="14577" priority="137526" stopIfTrue="1" operator="lessThan">
      <formula>0.5</formula>
    </cfRule>
  </conditionalFormatting>
  <conditionalFormatting sqref="AF6">
    <cfRule type="cellIs" dxfId="14576" priority="137527" stopIfTrue="1" operator="greaterThanOrEqual">
      <formula>0.5</formula>
    </cfRule>
  </conditionalFormatting>
  <conditionalFormatting sqref="AH5">
    <cfRule type="cellIs" dxfId="14575" priority="137528" stopIfTrue="1" operator="equal">
      <formula>-1</formula>
    </cfRule>
  </conditionalFormatting>
  <conditionalFormatting sqref="AH5">
    <cfRule type="cellIs" dxfId="14574" priority="137529" stopIfTrue="1" operator="lessThan">
      <formula>0.5</formula>
    </cfRule>
  </conditionalFormatting>
  <conditionalFormatting sqref="AH5">
    <cfRule type="cellIs" dxfId="14573" priority="137530" stopIfTrue="1" operator="greaterThanOrEqual">
      <formula>0.5</formula>
    </cfRule>
  </conditionalFormatting>
  <conditionalFormatting sqref="AH6">
    <cfRule type="cellIs" dxfId="14572" priority="137531" stopIfTrue="1" operator="equal">
      <formula>-1</formula>
    </cfRule>
  </conditionalFormatting>
  <conditionalFormatting sqref="AH6">
    <cfRule type="cellIs" dxfId="14571" priority="137532" stopIfTrue="1" operator="lessThan">
      <formula>0.5</formula>
    </cfRule>
  </conditionalFormatting>
  <conditionalFormatting sqref="AH6">
    <cfRule type="cellIs" dxfId="14570" priority="137533" stopIfTrue="1" operator="greaterThanOrEqual">
      <formula>0.5</formula>
    </cfRule>
  </conditionalFormatting>
  <conditionalFormatting sqref="AJ5">
    <cfRule type="cellIs" dxfId="14569" priority="137534" stopIfTrue="1" operator="equal">
      <formula>-1</formula>
    </cfRule>
  </conditionalFormatting>
  <conditionalFormatting sqref="AJ5">
    <cfRule type="cellIs" dxfId="14568" priority="137535" stopIfTrue="1" operator="lessThan">
      <formula>0.5</formula>
    </cfRule>
  </conditionalFormatting>
  <conditionalFormatting sqref="AJ5">
    <cfRule type="cellIs" dxfId="14567" priority="137536" stopIfTrue="1" operator="greaterThanOrEqual">
      <formula>0.5</formula>
    </cfRule>
  </conditionalFormatting>
  <conditionalFormatting sqref="AJ6">
    <cfRule type="cellIs" dxfId="14566" priority="137537" stopIfTrue="1" operator="equal">
      <formula>-1</formula>
    </cfRule>
  </conditionalFormatting>
  <conditionalFormatting sqref="AJ6">
    <cfRule type="cellIs" dxfId="14565" priority="137538" stopIfTrue="1" operator="lessThan">
      <formula>0.5</formula>
    </cfRule>
  </conditionalFormatting>
  <conditionalFormatting sqref="AJ6">
    <cfRule type="cellIs" dxfId="14564" priority="137539" stopIfTrue="1" operator="greaterThanOrEqual">
      <formula>0.5</formula>
    </cfRule>
  </conditionalFormatting>
  <conditionalFormatting sqref="AL5">
    <cfRule type="cellIs" dxfId="14563" priority="137540" stopIfTrue="1" operator="equal">
      <formula>-1</formula>
    </cfRule>
  </conditionalFormatting>
  <conditionalFormatting sqref="AL5">
    <cfRule type="cellIs" dxfId="14562" priority="137541" stopIfTrue="1" operator="lessThan">
      <formula>0.5</formula>
    </cfRule>
  </conditionalFormatting>
  <conditionalFormatting sqref="AL5">
    <cfRule type="cellIs" dxfId="14561" priority="137542" stopIfTrue="1" operator="greaterThanOrEqual">
      <formula>0.5</formula>
    </cfRule>
  </conditionalFormatting>
  <conditionalFormatting sqref="AL6">
    <cfRule type="cellIs" dxfId="14560" priority="137543" stopIfTrue="1" operator="equal">
      <formula>-1</formula>
    </cfRule>
  </conditionalFormatting>
  <conditionalFormatting sqref="AL6">
    <cfRule type="cellIs" dxfId="14559" priority="137544" stopIfTrue="1" operator="lessThan">
      <formula>0.5</formula>
    </cfRule>
  </conditionalFormatting>
  <conditionalFormatting sqref="AL6">
    <cfRule type="cellIs" dxfId="14558" priority="137545" stopIfTrue="1" operator="greaterThanOrEqual">
      <formula>0.5</formula>
    </cfRule>
  </conditionalFormatting>
  <conditionalFormatting sqref="AN5">
    <cfRule type="cellIs" dxfId="14557" priority="137546" stopIfTrue="1" operator="equal">
      <formula>-1</formula>
    </cfRule>
  </conditionalFormatting>
  <conditionalFormatting sqref="AN5">
    <cfRule type="cellIs" dxfId="14556" priority="137547" stopIfTrue="1" operator="lessThan">
      <formula>0.5</formula>
    </cfRule>
  </conditionalFormatting>
  <conditionalFormatting sqref="AN5">
    <cfRule type="cellIs" dxfId="14555" priority="137548" stopIfTrue="1" operator="greaterThanOrEqual">
      <formula>0.5</formula>
    </cfRule>
  </conditionalFormatting>
  <conditionalFormatting sqref="AN6">
    <cfRule type="cellIs" dxfId="14554" priority="137549" stopIfTrue="1" operator="equal">
      <formula>-1</formula>
    </cfRule>
  </conditionalFormatting>
  <conditionalFormatting sqref="AN6">
    <cfRule type="cellIs" dxfId="14553" priority="137550" stopIfTrue="1" operator="lessThan">
      <formula>0.5</formula>
    </cfRule>
  </conditionalFormatting>
  <conditionalFormatting sqref="AN6">
    <cfRule type="cellIs" dxfId="14552" priority="137551" stopIfTrue="1" operator="greaterThanOrEqual">
      <formula>0.5</formula>
    </cfRule>
  </conditionalFormatting>
  <conditionalFormatting sqref="AP5">
    <cfRule type="cellIs" dxfId="14551" priority="137552" stopIfTrue="1" operator="equal">
      <formula>-1</formula>
    </cfRule>
  </conditionalFormatting>
  <conditionalFormatting sqref="AP5">
    <cfRule type="cellIs" dxfId="14550" priority="137553" stopIfTrue="1" operator="lessThan">
      <formula>0.5</formula>
    </cfRule>
  </conditionalFormatting>
  <conditionalFormatting sqref="AP5">
    <cfRule type="cellIs" dxfId="14549" priority="137554" stopIfTrue="1" operator="greaterThanOrEqual">
      <formula>0.5</formula>
    </cfRule>
  </conditionalFormatting>
  <conditionalFormatting sqref="AP6">
    <cfRule type="cellIs" dxfId="14548" priority="137555" stopIfTrue="1" operator="equal">
      <formula>-1</formula>
    </cfRule>
  </conditionalFormatting>
  <conditionalFormatting sqref="AP6">
    <cfRule type="cellIs" dxfId="14547" priority="137556" stopIfTrue="1" operator="lessThan">
      <formula>0.5</formula>
    </cfRule>
  </conditionalFormatting>
  <conditionalFormatting sqref="AP6">
    <cfRule type="cellIs" dxfId="14546" priority="137557" stopIfTrue="1" operator="greaterThanOrEqual">
      <formula>0.5</formula>
    </cfRule>
  </conditionalFormatting>
  <conditionalFormatting sqref="AR5">
    <cfRule type="cellIs" dxfId="14545" priority="137558" stopIfTrue="1" operator="equal">
      <formula>-1</formula>
    </cfRule>
  </conditionalFormatting>
  <conditionalFormatting sqref="AR5">
    <cfRule type="cellIs" dxfId="14544" priority="137559" stopIfTrue="1" operator="lessThan">
      <formula>0.5</formula>
    </cfRule>
  </conditionalFormatting>
  <conditionalFormatting sqref="AR5">
    <cfRule type="cellIs" dxfId="14543" priority="137560" stopIfTrue="1" operator="greaterThanOrEqual">
      <formula>0.5</formula>
    </cfRule>
  </conditionalFormatting>
  <conditionalFormatting sqref="AR6">
    <cfRule type="cellIs" dxfId="14542" priority="137561" stopIfTrue="1" operator="equal">
      <formula>-1</formula>
    </cfRule>
  </conditionalFormatting>
  <conditionalFormatting sqref="AR6">
    <cfRule type="cellIs" dxfId="14541" priority="137562" stopIfTrue="1" operator="lessThan">
      <formula>0.5</formula>
    </cfRule>
  </conditionalFormatting>
  <conditionalFormatting sqref="AR6">
    <cfRule type="cellIs" dxfId="14540" priority="137563" stopIfTrue="1" operator="greaterThanOrEqual">
      <formula>0.5</formula>
    </cfRule>
  </conditionalFormatting>
  <conditionalFormatting sqref="AT5">
    <cfRule type="cellIs" dxfId="14539" priority="137564" stopIfTrue="1" operator="equal">
      <formula>-1</formula>
    </cfRule>
  </conditionalFormatting>
  <conditionalFormatting sqref="AT5">
    <cfRule type="cellIs" dxfId="14538" priority="137565" stopIfTrue="1" operator="lessThan">
      <formula>0.5</formula>
    </cfRule>
  </conditionalFormatting>
  <conditionalFormatting sqref="AT5">
    <cfRule type="cellIs" dxfId="14537" priority="137566" stopIfTrue="1" operator="greaterThanOrEqual">
      <formula>0.5</formula>
    </cfRule>
  </conditionalFormatting>
  <conditionalFormatting sqref="AT6">
    <cfRule type="cellIs" dxfId="14536" priority="137567" stopIfTrue="1" operator="equal">
      <formula>-1</formula>
    </cfRule>
  </conditionalFormatting>
  <conditionalFormatting sqref="AT6">
    <cfRule type="cellIs" dxfId="14535" priority="137568" stopIfTrue="1" operator="lessThan">
      <formula>0.5</formula>
    </cfRule>
  </conditionalFormatting>
  <conditionalFormatting sqref="AT6">
    <cfRule type="cellIs" dxfId="14534" priority="137569" stopIfTrue="1" operator="greaterThanOrEqual">
      <formula>0.5</formula>
    </cfRule>
  </conditionalFormatting>
  <conditionalFormatting sqref="AV5">
    <cfRule type="cellIs" dxfId="14533" priority="137570" stopIfTrue="1" operator="equal">
      <formula>-1</formula>
    </cfRule>
  </conditionalFormatting>
  <conditionalFormatting sqref="AV5">
    <cfRule type="cellIs" dxfId="14532" priority="137571" stopIfTrue="1" operator="lessThan">
      <formula>0.5</formula>
    </cfRule>
  </conditionalFormatting>
  <conditionalFormatting sqref="AV5">
    <cfRule type="cellIs" dxfId="14531" priority="137572" stopIfTrue="1" operator="greaterThanOrEqual">
      <formula>0.5</formula>
    </cfRule>
  </conditionalFormatting>
  <conditionalFormatting sqref="AV6">
    <cfRule type="cellIs" dxfId="14530" priority="137573" stopIfTrue="1" operator="equal">
      <formula>-1</formula>
    </cfRule>
  </conditionalFormatting>
  <conditionalFormatting sqref="AV6">
    <cfRule type="cellIs" dxfId="14529" priority="137574" stopIfTrue="1" operator="lessThan">
      <formula>0.5</formula>
    </cfRule>
  </conditionalFormatting>
  <conditionalFormatting sqref="AV6">
    <cfRule type="cellIs" dxfId="14528" priority="137575" stopIfTrue="1" operator="greaterThanOrEqual">
      <formula>0.5</formula>
    </cfRule>
  </conditionalFormatting>
  <conditionalFormatting sqref="AX5">
    <cfRule type="cellIs" dxfId="14527" priority="137576" stopIfTrue="1" operator="equal">
      <formula>-1</formula>
    </cfRule>
  </conditionalFormatting>
  <conditionalFormatting sqref="AX5">
    <cfRule type="cellIs" dxfId="14526" priority="137577" stopIfTrue="1" operator="lessThan">
      <formula>0.5</formula>
    </cfRule>
  </conditionalFormatting>
  <conditionalFormatting sqref="AX5">
    <cfRule type="cellIs" dxfId="14525" priority="137578" stopIfTrue="1" operator="greaterThanOrEqual">
      <formula>0.5</formula>
    </cfRule>
  </conditionalFormatting>
  <conditionalFormatting sqref="AX6">
    <cfRule type="cellIs" dxfId="14524" priority="137579" stopIfTrue="1" operator="equal">
      <formula>-1</formula>
    </cfRule>
  </conditionalFormatting>
  <conditionalFormatting sqref="AX6">
    <cfRule type="cellIs" dxfId="14523" priority="137580" stopIfTrue="1" operator="lessThan">
      <formula>0.5</formula>
    </cfRule>
  </conditionalFormatting>
  <conditionalFormatting sqref="AX6">
    <cfRule type="cellIs" dxfId="14522" priority="137581" stopIfTrue="1" operator="greaterThanOrEqual">
      <formula>0.5</formula>
    </cfRule>
  </conditionalFormatting>
  <conditionalFormatting sqref="AZ5">
    <cfRule type="cellIs" dxfId="14521" priority="137582" stopIfTrue="1" operator="equal">
      <formula>-1</formula>
    </cfRule>
  </conditionalFormatting>
  <conditionalFormatting sqref="AZ5">
    <cfRule type="cellIs" dxfId="14520" priority="137583" stopIfTrue="1" operator="lessThan">
      <formula>0.5</formula>
    </cfRule>
  </conditionalFormatting>
  <conditionalFormatting sqref="AZ5">
    <cfRule type="cellIs" dxfId="14519" priority="137584" stopIfTrue="1" operator="greaterThanOrEqual">
      <formula>0.5</formula>
    </cfRule>
  </conditionalFormatting>
  <conditionalFormatting sqref="AZ6">
    <cfRule type="cellIs" dxfId="14518" priority="137585" stopIfTrue="1" operator="equal">
      <formula>-1</formula>
    </cfRule>
  </conditionalFormatting>
  <conditionalFormatting sqref="AZ6">
    <cfRule type="cellIs" dxfId="14517" priority="137586" stopIfTrue="1" operator="lessThan">
      <formula>0.5</formula>
    </cfRule>
  </conditionalFormatting>
  <conditionalFormatting sqref="AZ6">
    <cfRule type="cellIs" dxfId="14516" priority="137587" stopIfTrue="1" operator="greaterThanOrEqual">
      <formula>0.5</formula>
    </cfRule>
  </conditionalFormatting>
  <conditionalFormatting sqref="BB5">
    <cfRule type="cellIs" dxfId="14515" priority="137588" stopIfTrue="1" operator="equal">
      <formula>-1</formula>
    </cfRule>
  </conditionalFormatting>
  <conditionalFormatting sqref="BB5">
    <cfRule type="cellIs" dxfId="14514" priority="137589" stopIfTrue="1" operator="lessThan">
      <formula>0.5</formula>
    </cfRule>
  </conditionalFormatting>
  <conditionalFormatting sqref="BB5">
    <cfRule type="cellIs" dxfId="14513" priority="137590" stopIfTrue="1" operator="greaterThanOrEqual">
      <formula>0.5</formula>
    </cfRule>
  </conditionalFormatting>
  <conditionalFormatting sqref="BB6">
    <cfRule type="cellIs" dxfId="14512" priority="137591" stopIfTrue="1" operator="equal">
      <formula>-1</formula>
    </cfRule>
  </conditionalFormatting>
  <conditionalFormatting sqref="BB6">
    <cfRule type="cellIs" dxfId="14511" priority="137592" stopIfTrue="1" operator="lessThan">
      <formula>0.5</formula>
    </cfRule>
  </conditionalFormatting>
  <conditionalFormatting sqref="BB6">
    <cfRule type="cellIs" dxfId="14510" priority="137593" stopIfTrue="1" operator="greaterThanOrEqual">
      <formula>0.5</formula>
    </cfRule>
  </conditionalFormatting>
  <conditionalFormatting sqref="BD5">
    <cfRule type="cellIs" dxfId="14509" priority="137594" stopIfTrue="1" operator="equal">
      <formula>-1</formula>
    </cfRule>
  </conditionalFormatting>
  <conditionalFormatting sqref="BD5">
    <cfRule type="cellIs" dxfId="14508" priority="137595" stopIfTrue="1" operator="lessThan">
      <formula>0.5</formula>
    </cfRule>
  </conditionalFormatting>
  <conditionalFormatting sqref="BD5">
    <cfRule type="cellIs" dxfId="14507" priority="137596" stopIfTrue="1" operator="greaterThanOrEqual">
      <formula>0.5</formula>
    </cfRule>
  </conditionalFormatting>
  <conditionalFormatting sqref="BD6">
    <cfRule type="cellIs" dxfId="14506" priority="137597" stopIfTrue="1" operator="equal">
      <formula>-1</formula>
    </cfRule>
  </conditionalFormatting>
  <conditionalFormatting sqref="BD6">
    <cfRule type="cellIs" dxfId="14505" priority="137598" stopIfTrue="1" operator="lessThan">
      <formula>0.5</formula>
    </cfRule>
  </conditionalFormatting>
  <conditionalFormatting sqref="BD6">
    <cfRule type="cellIs" dxfId="14504" priority="137599" stopIfTrue="1" operator="greaterThanOrEqual">
      <formula>0.5</formula>
    </cfRule>
  </conditionalFormatting>
  <conditionalFormatting sqref="BF5">
    <cfRule type="cellIs" dxfId="14503" priority="137600" stopIfTrue="1" operator="equal">
      <formula>-1</formula>
    </cfRule>
  </conditionalFormatting>
  <conditionalFormatting sqref="BF5">
    <cfRule type="cellIs" dxfId="14502" priority="137601" stopIfTrue="1" operator="lessThan">
      <formula>0.5</formula>
    </cfRule>
  </conditionalFormatting>
  <conditionalFormatting sqref="BF5">
    <cfRule type="cellIs" dxfId="14501" priority="137602" stopIfTrue="1" operator="greaterThanOrEqual">
      <formula>0.5</formula>
    </cfRule>
  </conditionalFormatting>
  <conditionalFormatting sqref="BF6">
    <cfRule type="cellIs" dxfId="14500" priority="137603" stopIfTrue="1" operator="equal">
      <formula>-1</formula>
    </cfRule>
  </conditionalFormatting>
  <conditionalFormatting sqref="BF6">
    <cfRule type="cellIs" dxfId="14499" priority="137604" stopIfTrue="1" operator="lessThan">
      <formula>0.5</formula>
    </cfRule>
  </conditionalFormatting>
  <conditionalFormatting sqref="BF6">
    <cfRule type="cellIs" dxfId="14498" priority="137605" stopIfTrue="1" operator="greaterThanOrEqual">
      <formula>0.5</formula>
    </cfRule>
  </conditionalFormatting>
  <conditionalFormatting sqref="BH5">
    <cfRule type="cellIs" dxfId="14497" priority="137606" stopIfTrue="1" operator="equal">
      <formula>-1</formula>
    </cfRule>
  </conditionalFormatting>
  <conditionalFormatting sqref="BH5">
    <cfRule type="cellIs" dxfId="14496" priority="137607" stopIfTrue="1" operator="lessThan">
      <formula>0.5</formula>
    </cfRule>
  </conditionalFormatting>
  <conditionalFormatting sqref="BH5">
    <cfRule type="cellIs" dxfId="14495" priority="137608" stopIfTrue="1" operator="greaterThanOrEqual">
      <formula>0.5</formula>
    </cfRule>
  </conditionalFormatting>
  <conditionalFormatting sqref="BH6">
    <cfRule type="cellIs" dxfId="14494" priority="137609" stopIfTrue="1" operator="equal">
      <formula>-1</formula>
    </cfRule>
  </conditionalFormatting>
  <conditionalFormatting sqref="BH6">
    <cfRule type="cellIs" dxfId="14493" priority="137610" stopIfTrue="1" operator="lessThan">
      <formula>0.5</formula>
    </cfRule>
  </conditionalFormatting>
  <conditionalFormatting sqref="BH6">
    <cfRule type="cellIs" dxfId="14492" priority="137611" stopIfTrue="1" operator="greaterThanOrEqual">
      <formula>0.5</formula>
    </cfRule>
  </conditionalFormatting>
  <conditionalFormatting sqref="BJ5">
    <cfRule type="cellIs" dxfId="14491" priority="137612" stopIfTrue="1" operator="equal">
      <formula>-1</formula>
    </cfRule>
  </conditionalFormatting>
  <conditionalFormatting sqref="BJ5">
    <cfRule type="cellIs" dxfId="14490" priority="137613" stopIfTrue="1" operator="lessThan">
      <formula>0.5</formula>
    </cfRule>
  </conditionalFormatting>
  <conditionalFormatting sqref="BJ5">
    <cfRule type="cellIs" dxfId="14489" priority="137614" stopIfTrue="1" operator="greaterThanOrEqual">
      <formula>0.5</formula>
    </cfRule>
  </conditionalFormatting>
  <conditionalFormatting sqref="BJ6">
    <cfRule type="cellIs" dxfId="14488" priority="137615" stopIfTrue="1" operator="equal">
      <formula>-1</formula>
    </cfRule>
  </conditionalFormatting>
  <conditionalFormatting sqref="BJ6">
    <cfRule type="cellIs" dxfId="14487" priority="137616" stopIfTrue="1" operator="lessThan">
      <formula>0.5</formula>
    </cfRule>
  </conditionalFormatting>
  <conditionalFormatting sqref="BJ6">
    <cfRule type="cellIs" dxfId="14486" priority="137617" stopIfTrue="1" operator="greaterThanOrEqual">
      <formula>0.5</formula>
    </cfRule>
  </conditionalFormatting>
  <conditionalFormatting sqref="D8">
    <cfRule type="cellIs" dxfId="14485" priority="137618" stopIfTrue="1" operator="equal">
      <formula>-1</formula>
    </cfRule>
  </conditionalFormatting>
  <conditionalFormatting sqref="D8">
    <cfRule type="cellIs" dxfId="14484" priority="137619" stopIfTrue="1" operator="lessThan">
      <formula>0.5</formula>
    </cfRule>
  </conditionalFormatting>
  <conditionalFormatting sqref="D8">
    <cfRule type="cellIs" dxfId="14483" priority="137620" stopIfTrue="1" operator="greaterThanOrEqual">
      <formula>0.5</formula>
    </cfRule>
  </conditionalFormatting>
  <conditionalFormatting sqref="D9">
    <cfRule type="cellIs" dxfId="14482" priority="137621" stopIfTrue="1" operator="equal">
      <formula>-1</formula>
    </cfRule>
  </conditionalFormatting>
  <conditionalFormatting sqref="D9">
    <cfRule type="cellIs" dxfId="14481" priority="137622" stopIfTrue="1" operator="lessThan">
      <formula>0.5</formula>
    </cfRule>
  </conditionalFormatting>
  <conditionalFormatting sqref="D9">
    <cfRule type="cellIs" dxfId="14480" priority="137623" stopIfTrue="1" operator="greaterThanOrEqual">
      <formula>0.5</formula>
    </cfRule>
  </conditionalFormatting>
  <conditionalFormatting sqref="D10">
    <cfRule type="cellIs" dxfId="14479" priority="137624" stopIfTrue="1" operator="equal">
      <formula>-1</formula>
    </cfRule>
  </conditionalFormatting>
  <conditionalFormatting sqref="D10">
    <cfRule type="cellIs" dxfId="14478" priority="137625" stopIfTrue="1" operator="lessThan">
      <formula>0.5</formula>
    </cfRule>
  </conditionalFormatting>
  <conditionalFormatting sqref="D10">
    <cfRule type="cellIs" dxfId="14477" priority="137626" stopIfTrue="1" operator="greaterThanOrEqual">
      <formula>0.5</formula>
    </cfRule>
  </conditionalFormatting>
  <conditionalFormatting sqref="D11">
    <cfRule type="cellIs" dxfId="14476" priority="137627" stopIfTrue="1" operator="equal">
      <formula>-1</formula>
    </cfRule>
  </conditionalFormatting>
  <conditionalFormatting sqref="D11">
    <cfRule type="cellIs" dxfId="14475" priority="137628" stopIfTrue="1" operator="lessThan">
      <formula>0.5</formula>
    </cfRule>
  </conditionalFormatting>
  <conditionalFormatting sqref="D11">
    <cfRule type="cellIs" dxfId="14474" priority="137629" stopIfTrue="1" operator="greaterThanOrEqual">
      <formula>0.5</formula>
    </cfRule>
  </conditionalFormatting>
  <conditionalFormatting sqref="D12">
    <cfRule type="cellIs" dxfId="14473" priority="137630" stopIfTrue="1" operator="equal">
      <formula>-1</formula>
    </cfRule>
  </conditionalFormatting>
  <conditionalFormatting sqref="D12">
    <cfRule type="cellIs" dxfId="14472" priority="137631" stopIfTrue="1" operator="lessThan">
      <formula>0.5</formula>
    </cfRule>
  </conditionalFormatting>
  <conditionalFormatting sqref="D12">
    <cfRule type="cellIs" dxfId="14471" priority="137632" stopIfTrue="1" operator="greaterThanOrEqual">
      <formula>0.5</formula>
    </cfRule>
  </conditionalFormatting>
  <conditionalFormatting sqref="D13">
    <cfRule type="cellIs" dxfId="14470" priority="137633" stopIfTrue="1" operator="equal">
      <formula>-1</formula>
    </cfRule>
  </conditionalFormatting>
  <conditionalFormatting sqref="D13">
    <cfRule type="cellIs" dxfId="14469" priority="137634" stopIfTrue="1" operator="lessThan">
      <formula>0.5</formula>
    </cfRule>
  </conditionalFormatting>
  <conditionalFormatting sqref="D13">
    <cfRule type="cellIs" dxfId="14468" priority="137635" stopIfTrue="1" operator="greaterThanOrEqual">
      <formula>0.5</formula>
    </cfRule>
  </conditionalFormatting>
  <conditionalFormatting sqref="D14">
    <cfRule type="cellIs" dxfId="14467" priority="137636" stopIfTrue="1" operator="equal">
      <formula>-1</formula>
    </cfRule>
  </conditionalFormatting>
  <conditionalFormatting sqref="D14">
    <cfRule type="cellIs" dxfId="14466" priority="137637" stopIfTrue="1" operator="lessThan">
      <formula>0.5</formula>
    </cfRule>
  </conditionalFormatting>
  <conditionalFormatting sqref="D14">
    <cfRule type="cellIs" dxfId="14465" priority="137638" stopIfTrue="1" operator="greaterThanOrEqual">
      <formula>0.5</formula>
    </cfRule>
  </conditionalFormatting>
  <conditionalFormatting sqref="D15">
    <cfRule type="cellIs" dxfId="14464" priority="137639" stopIfTrue="1" operator="equal">
      <formula>-1</formula>
    </cfRule>
  </conditionalFormatting>
  <conditionalFormatting sqref="D15">
    <cfRule type="cellIs" dxfId="14463" priority="137640" stopIfTrue="1" operator="lessThan">
      <formula>0.5</formula>
    </cfRule>
  </conditionalFormatting>
  <conditionalFormatting sqref="D15">
    <cfRule type="cellIs" dxfId="14462" priority="137641" stopIfTrue="1" operator="greaterThanOrEqual">
      <formula>0.5</formula>
    </cfRule>
  </conditionalFormatting>
  <conditionalFormatting sqref="F8">
    <cfRule type="cellIs" dxfId="14461" priority="137642" stopIfTrue="1" operator="equal">
      <formula>-1</formula>
    </cfRule>
  </conditionalFormatting>
  <conditionalFormatting sqref="F8">
    <cfRule type="cellIs" dxfId="14460" priority="137643" stopIfTrue="1" operator="lessThan">
      <formula>0.5</formula>
    </cfRule>
  </conditionalFormatting>
  <conditionalFormatting sqref="F8">
    <cfRule type="cellIs" dxfId="14459" priority="137644" stopIfTrue="1" operator="greaterThanOrEqual">
      <formula>0.5</formula>
    </cfRule>
  </conditionalFormatting>
  <conditionalFormatting sqref="F9">
    <cfRule type="cellIs" dxfId="14458" priority="137645" stopIfTrue="1" operator="equal">
      <formula>-1</formula>
    </cfRule>
  </conditionalFormatting>
  <conditionalFormatting sqref="F9">
    <cfRule type="cellIs" dxfId="14457" priority="137646" stopIfTrue="1" operator="lessThan">
      <formula>0.5</formula>
    </cfRule>
  </conditionalFormatting>
  <conditionalFormatting sqref="F9">
    <cfRule type="cellIs" dxfId="14456" priority="137647" stopIfTrue="1" operator="greaterThanOrEqual">
      <formula>0.5</formula>
    </cfRule>
  </conditionalFormatting>
  <conditionalFormatting sqref="F10">
    <cfRule type="cellIs" dxfId="14455" priority="137648" stopIfTrue="1" operator="equal">
      <formula>-1</formula>
    </cfRule>
  </conditionalFormatting>
  <conditionalFormatting sqref="F10">
    <cfRule type="cellIs" dxfId="14454" priority="137649" stopIfTrue="1" operator="lessThan">
      <formula>0.5</formula>
    </cfRule>
  </conditionalFormatting>
  <conditionalFormatting sqref="F10">
    <cfRule type="cellIs" dxfId="14453" priority="137650" stopIfTrue="1" operator="greaterThanOrEqual">
      <formula>0.5</formula>
    </cfRule>
  </conditionalFormatting>
  <conditionalFormatting sqref="F11">
    <cfRule type="cellIs" dxfId="14452" priority="137651" stopIfTrue="1" operator="equal">
      <formula>-1</formula>
    </cfRule>
  </conditionalFormatting>
  <conditionalFormatting sqref="F11">
    <cfRule type="cellIs" dxfId="14451" priority="137652" stopIfTrue="1" operator="lessThan">
      <formula>0.5</formula>
    </cfRule>
  </conditionalFormatting>
  <conditionalFormatting sqref="F11">
    <cfRule type="cellIs" dxfId="14450" priority="137653" stopIfTrue="1" operator="greaterThanOrEqual">
      <formula>0.5</formula>
    </cfRule>
  </conditionalFormatting>
  <conditionalFormatting sqref="F12">
    <cfRule type="cellIs" dxfId="14449" priority="137654" stopIfTrue="1" operator="equal">
      <formula>-1</formula>
    </cfRule>
  </conditionalFormatting>
  <conditionalFormatting sqref="F12">
    <cfRule type="cellIs" dxfId="14448" priority="137655" stopIfTrue="1" operator="lessThan">
      <formula>0.5</formula>
    </cfRule>
  </conditionalFormatting>
  <conditionalFormatting sqref="F12">
    <cfRule type="cellIs" dxfId="14447" priority="137656" stopIfTrue="1" operator="greaterThanOrEqual">
      <formula>0.5</formula>
    </cfRule>
  </conditionalFormatting>
  <conditionalFormatting sqref="F13">
    <cfRule type="cellIs" dxfId="14446" priority="137657" stopIfTrue="1" operator="equal">
      <formula>-1</formula>
    </cfRule>
  </conditionalFormatting>
  <conditionalFormatting sqref="F13">
    <cfRule type="cellIs" dxfId="14445" priority="137658" stopIfTrue="1" operator="lessThan">
      <formula>0.5</formula>
    </cfRule>
  </conditionalFormatting>
  <conditionalFormatting sqref="F13">
    <cfRule type="cellIs" dxfId="14444" priority="137659" stopIfTrue="1" operator="greaterThanOrEqual">
      <formula>0.5</formula>
    </cfRule>
  </conditionalFormatting>
  <conditionalFormatting sqref="F14">
    <cfRule type="cellIs" dxfId="14443" priority="137660" stopIfTrue="1" operator="equal">
      <formula>-1</formula>
    </cfRule>
  </conditionalFormatting>
  <conditionalFormatting sqref="F14">
    <cfRule type="cellIs" dxfId="14442" priority="137661" stopIfTrue="1" operator="lessThan">
      <formula>0.5</formula>
    </cfRule>
  </conditionalFormatting>
  <conditionalFormatting sqref="F14">
    <cfRule type="cellIs" dxfId="14441" priority="137662" stopIfTrue="1" operator="greaterThanOrEqual">
      <formula>0.5</formula>
    </cfRule>
  </conditionalFormatting>
  <conditionalFormatting sqref="F15">
    <cfRule type="cellIs" dxfId="14440" priority="137663" stopIfTrue="1" operator="equal">
      <formula>-1</formula>
    </cfRule>
  </conditionalFormatting>
  <conditionalFormatting sqref="F15">
    <cfRule type="cellIs" dxfId="14439" priority="137664" stopIfTrue="1" operator="lessThan">
      <formula>0.5</formula>
    </cfRule>
  </conditionalFormatting>
  <conditionalFormatting sqref="F15">
    <cfRule type="cellIs" dxfId="14438" priority="137665" stopIfTrue="1" operator="greaterThanOrEqual">
      <formula>0.5</formula>
    </cfRule>
  </conditionalFormatting>
  <conditionalFormatting sqref="H8">
    <cfRule type="cellIs" dxfId="14437" priority="137666" stopIfTrue="1" operator="equal">
      <formula>-1</formula>
    </cfRule>
  </conditionalFormatting>
  <conditionalFormatting sqref="H8">
    <cfRule type="cellIs" dxfId="14436" priority="137667" stopIfTrue="1" operator="lessThan">
      <formula>0.5</formula>
    </cfRule>
  </conditionalFormatting>
  <conditionalFormatting sqref="H8">
    <cfRule type="cellIs" dxfId="14435" priority="137668" stopIfTrue="1" operator="greaterThanOrEqual">
      <formula>0.5</formula>
    </cfRule>
  </conditionalFormatting>
  <conditionalFormatting sqref="H9">
    <cfRule type="cellIs" dxfId="14434" priority="137669" stopIfTrue="1" operator="equal">
      <formula>-1</formula>
    </cfRule>
  </conditionalFormatting>
  <conditionalFormatting sqref="H9">
    <cfRule type="cellIs" dxfId="14433" priority="137670" stopIfTrue="1" operator="lessThan">
      <formula>0.5</formula>
    </cfRule>
  </conditionalFormatting>
  <conditionalFormatting sqref="H9">
    <cfRule type="cellIs" dxfId="14432" priority="137671" stopIfTrue="1" operator="greaterThanOrEqual">
      <formula>0.5</formula>
    </cfRule>
  </conditionalFormatting>
  <conditionalFormatting sqref="H10">
    <cfRule type="cellIs" dxfId="14431" priority="137672" stopIfTrue="1" operator="equal">
      <formula>-1</formula>
    </cfRule>
  </conditionalFormatting>
  <conditionalFormatting sqref="H10">
    <cfRule type="cellIs" dxfId="14430" priority="137673" stopIfTrue="1" operator="lessThan">
      <formula>0.5</formula>
    </cfRule>
  </conditionalFormatting>
  <conditionalFormatting sqref="H10">
    <cfRule type="cellIs" dxfId="14429" priority="137674" stopIfTrue="1" operator="greaterThanOrEqual">
      <formula>0.5</formula>
    </cfRule>
  </conditionalFormatting>
  <conditionalFormatting sqref="H11">
    <cfRule type="cellIs" dxfId="14428" priority="137675" stopIfTrue="1" operator="equal">
      <formula>-1</formula>
    </cfRule>
  </conditionalFormatting>
  <conditionalFormatting sqref="H11">
    <cfRule type="cellIs" dxfId="14427" priority="137676" stopIfTrue="1" operator="lessThan">
      <formula>0.5</formula>
    </cfRule>
  </conditionalFormatting>
  <conditionalFormatting sqref="H11">
    <cfRule type="cellIs" dxfId="14426" priority="137677" stopIfTrue="1" operator="greaterThanOrEqual">
      <formula>0.5</formula>
    </cfRule>
  </conditionalFormatting>
  <conditionalFormatting sqref="H12">
    <cfRule type="cellIs" dxfId="14425" priority="137678" stopIfTrue="1" operator="equal">
      <formula>-1</formula>
    </cfRule>
  </conditionalFormatting>
  <conditionalFormatting sqref="H12">
    <cfRule type="cellIs" dxfId="14424" priority="137679" stopIfTrue="1" operator="lessThan">
      <formula>0.5</formula>
    </cfRule>
  </conditionalFormatting>
  <conditionalFormatting sqref="H12">
    <cfRule type="cellIs" dxfId="14423" priority="137680" stopIfTrue="1" operator="greaterThanOrEqual">
      <formula>0.5</formula>
    </cfRule>
  </conditionalFormatting>
  <conditionalFormatting sqref="H13">
    <cfRule type="cellIs" dxfId="14422" priority="137681" stopIfTrue="1" operator="equal">
      <formula>-1</formula>
    </cfRule>
  </conditionalFormatting>
  <conditionalFormatting sqref="H13">
    <cfRule type="cellIs" dxfId="14421" priority="137682" stopIfTrue="1" operator="lessThan">
      <formula>0.5</formula>
    </cfRule>
  </conditionalFormatting>
  <conditionalFormatting sqref="H13">
    <cfRule type="cellIs" dxfId="14420" priority="137683" stopIfTrue="1" operator="greaterThanOrEqual">
      <formula>0.5</formula>
    </cfRule>
  </conditionalFormatting>
  <conditionalFormatting sqref="H14">
    <cfRule type="cellIs" dxfId="14419" priority="137684" stopIfTrue="1" operator="equal">
      <formula>-1</formula>
    </cfRule>
  </conditionalFormatting>
  <conditionalFormatting sqref="H14">
    <cfRule type="cellIs" dxfId="14418" priority="137685" stopIfTrue="1" operator="lessThan">
      <formula>0.5</formula>
    </cfRule>
  </conditionalFormatting>
  <conditionalFormatting sqref="H14">
    <cfRule type="cellIs" dxfId="14417" priority="137686" stopIfTrue="1" operator="greaterThanOrEqual">
      <formula>0.5</formula>
    </cfRule>
  </conditionalFormatting>
  <conditionalFormatting sqref="H15">
    <cfRule type="cellIs" dxfId="14416" priority="137687" stopIfTrue="1" operator="equal">
      <formula>-1</formula>
    </cfRule>
  </conditionalFormatting>
  <conditionalFormatting sqref="H15">
    <cfRule type="cellIs" dxfId="14415" priority="137688" stopIfTrue="1" operator="lessThan">
      <formula>0.5</formula>
    </cfRule>
  </conditionalFormatting>
  <conditionalFormatting sqref="H15">
    <cfRule type="cellIs" dxfId="14414" priority="137689" stopIfTrue="1" operator="greaterThanOrEqual">
      <formula>0.5</formula>
    </cfRule>
  </conditionalFormatting>
  <conditionalFormatting sqref="J8">
    <cfRule type="cellIs" dxfId="14413" priority="137690" stopIfTrue="1" operator="equal">
      <formula>-1</formula>
    </cfRule>
  </conditionalFormatting>
  <conditionalFormatting sqref="J8">
    <cfRule type="cellIs" dxfId="14412" priority="137691" stopIfTrue="1" operator="lessThan">
      <formula>0.5</formula>
    </cfRule>
  </conditionalFormatting>
  <conditionalFormatting sqref="J8">
    <cfRule type="cellIs" dxfId="14411" priority="137692" stopIfTrue="1" operator="greaterThanOrEqual">
      <formula>0.5</formula>
    </cfRule>
  </conditionalFormatting>
  <conditionalFormatting sqref="J9">
    <cfRule type="cellIs" dxfId="14410" priority="137693" stopIfTrue="1" operator="equal">
      <formula>-1</formula>
    </cfRule>
  </conditionalFormatting>
  <conditionalFormatting sqref="J9">
    <cfRule type="cellIs" dxfId="14409" priority="137694" stopIfTrue="1" operator="lessThan">
      <formula>0.5</formula>
    </cfRule>
  </conditionalFormatting>
  <conditionalFormatting sqref="J9">
    <cfRule type="cellIs" dxfId="14408" priority="137695" stopIfTrue="1" operator="greaterThanOrEqual">
      <formula>0.5</formula>
    </cfRule>
  </conditionalFormatting>
  <conditionalFormatting sqref="J10">
    <cfRule type="cellIs" dxfId="14407" priority="137696" stopIfTrue="1" operator="equal">
      <formula>-1</formula>
    </cfRule>
  </conditionalFormatting>
  <conditionalFormatting sqref="J10">
    <cfRule type="cellIs" dxfId="14406" priority="137697" stopIfTrue="1" operator="lessThan">
      <formula>0.5</formula>
    </cfRule>
  </conditionalFormatting>
  <conditionalFormatting sqref="J10">
    <cfRule type="cellIs" dxfId="14405" priority="137698" stopIfTrue="1" operator="greaterThanOrEqual">
      <formula>0.5</formula>
    </cfRule>
  </conditionalFormatting>
  <conditionalFormatting sqref="J11">
    <cfRule type="cellIs" dxfId="14404" priority="137699" stopIfTrue="1" operator="equal">
      <formula>-1</formula>
    </cfRule>
  </conditionalFormatting>
  <conditionalFormatting sqref="J11">
    <cfRule type="cellIs" dxfId="14403" priority="137700" stopIfTrue="1" operator="lessThan">
      <formula>0.5</formula>
    </cfRule>
  </conditionalFormatting>
  <conditionalFormatting sqref="J11">
    <cfRule type="cellIs" dxfId="14402" priority="137701" stopIfTrue="1" operator="greaterThanOrEqual">
      <formula>0.5</formula>
    </cfRule>
  </conditionalFormatting>
  <conditionalFormatting sqref="J12">
    <cfRule type="cellIs" dxfId="14401" priority="137702" stopIfTrue="1" operator="equal">
      <formula>-1</formula>
    </cfRule>
  </conditionalFormatting>
  <conditionalFormatting sqref="J12">
    <cfRule type="cellIs" dxfId="14400" priority="137703" stopIfTrue="1" operator="lessThan">
      <formula>0.5</formula>
    </cfRule>
  </conditionalFormatting>
  <conditionalFormatting sqref="J12">
    <cfRule type="cellIs" dxfId="14399" priority="137704" stopIfTrue="1" operator="greaterThanOrEqual">
      <formula>0.5</formula>
    </cfRule>
  </conditionalFormatting>
  <conditionalFormatting sqref="J13">
    <cfRule type="cellIs" dxfId="14398" priority="137705" stopIfTrue="1" operator="equal">
      <formula>-1</formula>
    </cfRule>
  </conditionalFormatting>
  <conditionalFormatting sqref="J13">
    <cfRule type="cellIs" dxfId="14397" priority="137706" stopIfTrue="1" operator="lessThan">
      <formula>0.5</formula>
    </cfRule>
  </conditionalFormatting>
  <conditionalFormatting sqref="J13">
    <cfRule type="cellIs" dxfId="14396" priority="137707" stopIfTrue="1" operator="greaterThanOrEqual">
      <formula>0.5</formula>
    </cfRule>
  </conditionalFormatting>
  <conditionalFormatting sqref="J14">
    <cfRule type="cellIs" dxfId="14395" priority="137708" stopIfTrue="1" operator="equal">
      <formula>-1</formula>
    </cfRule>
  </conditionalFormatting>
  <conditionalFormatting sqref="J14">
    <cfRule type="cellIs" dxfId="14394" priority="137709" stopIfTrue="1" operator="lessThan">
      <formula>0.5</formula>
    </cfRule>
  </conditionalFormatting>
  <conditionalFormatting sqref="J14">
    <cfRule type="cellIs" dxfId="14393" priority="137710" stopIfTrue="1" operator="greaterThanOrEqual">
      <formula>0.5</formula>
    </cfRule>
  </conditionalFormatting>
  <conditionalFormatting sqref="J15">
    <cfRule type="cellIs" dxfId="14392" priority="137711" stopIfTrue="1" operator="equal">
      <formula>-1</formula>
    </cfRule>
  </conditionalFormatting>
  <conditionalFormatting sqref="J15">
    <cfRule type="cellIs" dxfId="14391" priority="137712" stopIfTrue="1" operator="lessThan">
      <formula>0.5</formula>
    </cfRule>
  </conditionalFormatting>
  <conditionalFormatting sqref="J15">
    <cfRule type="cellIs" dxfId="14390" priority="137713" stopIfTrue="1" operator="greaterThanOrEqual">
      <formula>0.5</formula>
    </cfRule>
  </conditionalFormatting>
  <conditionalFormatting sqref="L8">
    <cfRule type="cellIs" dxfId="14389" priority="137714" stopIfTrue="1" operator="equal">
      <formula>-1</formula>
    </cfRule>
  </conditionalFormatting>
  <conditionalFormatting sqref="L8">
    <cfRule type="cellIs" dxfId="14388" priority="137715" stopIfTrue="1" operator="lessThan">
      <formula>0.5</formula>
    </cfRule>
  </conditionalFormatting>
  <conditionalFormatting sqref="L8">
    <cfRule type="cellIs" dxfId="14387" priority="137716" stopIfTrue="1" operator="greaterThanOrEqual">
      <formula>0.5</formula>
    </cfRule>
  </conditionalFormatting>
  <conditionalFormatting sqref="L9">
    <cfRule type="cellIs" dxfId="14386" priority="137717" stopIfTrue="1" operator="equal">
      <formula>-1</formula>
    </cfRule>
  </conditionalFormatting>
  <conditionalFormatting sqref="L9">
    <cfRule type="cellIs" dxfId="14385" priority="137718" stopIfTrue="1" operator="lessThan">
      <formula>0.5</formula>
    </cfRule>
  </conditionalFormatting>
  <conditionalFormatting sqref="L9">
    <cfRule type="cellIs" dxfId="14384" priority="137719" stopIfTrue="1" operator="greaterThanOrEqual">
      <formula>0.5</formula>
    </cfRule>
  </conditionalFormatting>
  <conditionalFormatting sqref="L10">
    <cfRule type="cellIs" dxfId="14383" priority="137720" stopIfTrue="1" operator="equal">
      <formula>-1</formula>
    </cfRule>
  </conditionalFormatting>
  <conditionalFormatting sqref="L10">
    <cfRule type="cellIs" dxfId="14382" priority="137721" stopIfTrue="1" operator="lessThan">
      <formula>0.5</formula>
    </cfRule>
  </conditionalFormatting>
  <conditionalFormatting sqref="L10">
    <cfRule type="cellIs" dxfId="14381" priority="137722" stopIfTrue="1" operator="greaterThanOrEqual">
      <formula>0.5</formula>
    </cfRule>
  </conditionalFormatting>
  <conditionalFormatting sqref="L11">
    <cfRule type="cellIs" dxfId="14380" priority="137723" stopIfTrue="1" operator="equal">
      <formula>-1</formula>
    </cfRule>
  </conditionalFormatting>
  <conditionalFormatting sqref="L11">
    <cfRule type="cellIs" dxfId="14379" priority="137724" stopIfTrue="1" operator="lessThan">
      <formula>0.5</formula>
    </cfRule>
  </conditionalFormatting>
  <conditionalFormatting sqref="L11">
    <cfRule type="cellIs" dxfId="14378" priority="137725" stopIfTrue="1" operator="greaterThanOrEqual">
      <formula>0.5</formula>
    </cfRule>
  </conditionalFormatting>
  <conditionalFormatting sqref="L12">
    <cfRule type="cellIs" dxfId="14377" priority="137726" stopIfTrue="1" operator="equal">
      <formula>-1</formula>
    </cfRule>
  </conditionalFormatting>
  <conditionalFormatting sqref="L12">
    <cfRule type="cellIs" dxfId="14376" priority="137727" stopIfTrue="1" operator="lessThan">
      <formula>0.5</formula>
    </cfRule>
  </conditionalFormatting>
  <conditionalFormatting sqref="L12">
    <cfRule type="cellIs" dxfId="14375" priority="137728" stopIfTrue="1" operator="greaterThanOrEqual">
      <formula>0.5</formula>
    </cfRule>
  </conditionalFormatting>
  <conditionalFormatting sqref="L13">
    <cfRule type="cellIs" dxfId="14374" priority="137729" stopIfTrue="1" operator="equal">
      <formula>-1</formula>
    </cfRule>
  </conditionalFormatting>
  <conditionalFormatting sqref="L13">
    <cfRule type="cellIs" dxfId="14373" priority="137730" stopIfTrue="1" operator="lessThan">
      <formula>0.5</formula>
    </cfRule>
  </conditionalFormatting>
  <conditionalFormatting sqref="L13">
    <cfRule type="cellIs" dxfId="14372" priority="137731" stopIfTrue="1" operator="greaterThanOrEqual">
      <formula>0.5</formula>
    </cfRule>
  </conditionalFormatting>
  <conditionalFormatting sqref="L14">
    <cfRule type="cellIs" dxfId="14371" priority="137732" stopIfTrue="1" operator="equal">
      <formula>-1</formula>
    </cfRule>
  </conditionalFormatting>
  <conditionalFormatting sqref="L14">
    <cfRule type="cellIs" dxfId="14370" priority="137733" stopIfTrue="1" operator="lessThan">
      <formula>0.5</formula>
    </cfRule>
  </conditionalFormatting>
  <conditionalFormatting sqref="L14">
    <cfRule type="cellIs" dxfId="14369" priority="137734" stopIfTrue="1" operator="greaterThanOrEqual">
      <formula>0.5</formula>
    </cfRule>
  </conditionalFormatting>
  <conditionalFormatting sqref="L15">
    <cfRule type="cellIs" dxfId="14368" priority="137735" stopIfTrue="1" operator="equal">
      <formula>-1</formula>
    </cfRule>
  </conditionalFormatting>
  <conditionalFormatting sqref="L15">
    <cfRule type="cellIs" dxfId="14367" priority="137736" stopIfTrue="1" operator="lessThan">
      <formula>0.5</formula>
    </cfRule>
  </conditionalFormatting>
  <conditionalFormatting sqref="L15">
    <cfRule type="cellIs" dxfId="14366" priority="137737" stopIfTrue="1" operator="greaterThanOrEqual">
      <formula>0.5</formula>
    </cfRule>
  </conditionalFormatting>
  <conditionalFormatting sqref="N8">
    <cfRule type="cellIs" dxfId="14365" priority="137738" stopIfTrue="1" operator="equal">
      <formula>-1</formula>
    </cfRule>
  </conditionalFormatting>
  <conditionalFormatting sqref="N8">
    <cfRule type="cellIs" dxfId="14364" priority="137739" stopIfTrue="1" operator="lessThan">
      <formula>0.5</formula>
    </cfRule>
  </conditionalFormatting>
  <conditionalFormatting sqref="N8">
    <cfRule type="cellIs" dxfId="14363" priority="137740" stopIfTrue="1" operator="greaterThanOrEqual">
      <formula>0.5</formula>
    </cfRule>
  </conditionalFormatting>
  <conditionalFormatting sqref="N9">
    <cfRule type="cellIs" dxfId="14362" priority="137741" stopIfTrue="1" operator="equal">
      <formula>-1</formula>
    </cfRule>
  </conditionalFormatting>
  <conditionalFormatting sqref="N9">
    <cfRule type="cellIs" dxfId="14361" priority="137742" stopIfTrue="1" operator="lessThan">
      <formula>0.5</formula>
    </cfRule>
  </conditionalFormatting>
  <conditionalFormatting sqref="N9">
    <cfRule type="cellIs" dxfId="14360" priority="137743" stopIfTrue="1" operator="greaterThanOrEqual">
      <formula>0.5</formula>
    </cfRule>
  </conditionalFormatting>
  <conditionalFormatting sqref="N10">
    <cfRule type="cellIs" dxfId="14359" priority="137744" stopIfTrue="1" operator="equal">
      <formula>-1</formula>
    </cfRule>
  </conditionalFormatting>
  <conditionalFormatting sqref="N10">
    <cfRule type="cellIs" dxfId="14358" priority="137745" stopIfTrue="1" operator="lessThan">
      <formula>0.5</formula>
    </cfRule>
  </conditionalFormatting>
  <conditionalFormatting sqref="N10">
    <cfRule type="cellIs" dxfId="14357" priority="137746" stopIfTrue="1" operator="greaterThanOrEqual">
      <formula>0.5</formula>
    </cfRule>
  </conditionalFormatting>
  <conditionalFormatting sqref="N11">
    <cfRule type="cellIs" dxfId="14356" priority="137747" stopIfTrue="1" operator="equal">
      <formula>-1</formula>
    </cfRule>
  </conditionalFormatting>
  <conditionalFormatting sqref="N11">
    <cfRule type="cellIs" dxfId="14355" priority="137748" stopIfTrue="1" operator="lessThan">
      <formula>0.5</formula>
    </cfRule>
  </conditionalFormatting>
  <conditionalFormatting sqref="N11">
    <cfRule type="cellIs" dxfId="14354" priority="137749" stopIfTrue="1" operator="greaterThanOrEqual">
      <formula>0.5</formula>
    </cfRule>
  </conditionalFormatting>
  <conditionalFormatting sqref="N12">
    <cfRule type="cellIs" dxfId="14353" priority="137750" stopIfTrue="1" operator="equal">
      <formula>-1</formula>
    </cfRule>
  </conditionalFormatting>
  <conditionalFormatting sqref="N12">
    <cfRule type="cellIs" dxfId="14352" priority="137751" stopIfTrue="1" operator="lessThan">
      <formula>0.5</formula>
    </cfRule>
  </conditionalFormatting>
  <conditionalFormatting sqref="N12">
    <cfRule type="cellIs" dxfId="14351" priority="137752" stopIfTrue="1" operator="greaterThanOrEqual">
      <formula>0.5</formula>
    </cfRule>
  </conditionalFormatting>
  <conditionalFormatting sqref="N13">
    <cfRule type="cellIs" dxfId="14350" priority="137753" stopIfTrue="1" operator="equal">
      <formula>-1</formula>
    </cfRule>
  </conditionalFormatting>
  <conditionalFormatting sqref="N13">
    <cfRule type="cellIs" dxfId="14349" priority="137754" stopIfTrue="1" operator="lessThan">
      <formula>0.5</formula>
    </cfRule>
  </conditionalFormatting>
  <conditionalFormatting sqref="N13">
    <cfRule type="cellIs" dxfId="14348" priority="137755" stopIfTrue="1" operator="greaterThanOrEqual">
      <formula>0.5</formula>
    </cfRule>
  </conditionalFormatting>
  <conditionalFormatting sqref="N14">
    <cfRule type="cellIs" dxfId="14347" priority="137756" stopIfTrue="1" operator="equal">
      <formula>-1</formula>
    </cfRule>
  </conditionalFormatting>
  <conditionalFormatting sqref="N14">
    <cfRule type="cellIs" dxfId="14346" priority="137757" stopIfTrue="1" operator="lessThan">
      <formula>0.5</formula>
    </cfRule>
  </conditionalFormatting>
  <conditionalFormatting sqref="N14">
    <cfRule type="cellIs" dxfId="14345" priority="137758" stopIfTrue="1" operator="greaterThanOrEqual">
      <formula>0.5</formula>
    </cfRule>
  </conditionalFormatting>
  <conditionalFormatting sqref="N15">
    <cfRule type="cellIs" dxfId="14344" priority="137759" stopIfTrue="1" operator="equal">
      <formula>-1</formula>
    </cfRule>
  </conditionalFormatting>
  <conditionalFormatting sqref="N15">
    <cfRule type="cellIs" dxfId="14343" priority="137760" stopIfTrue="1" operator="lessThan">
      <formula>0.5</formula>
    </cfRule>
  </conditionalFormatting>
  <conditionalFormatting sqref="N15">
    <cfRule type="cellIs" dxfId="14342" priority="137761" stopIfTrue="1" operator="greaterThanOrEqual">
      <formula>0.5</formula>
    </cfRule>
  </conditionalFormatting>
  <conditionalFormatting sqref="P8">
    <cfRule type="cellIs" dxfId="14341" priority="137762" stopIfTrue="1" operator="equal">
      <formula>-1</formula>
    </cfRule>
  </conditionalFormatting>
  <conditionalFormatting sqref="P8">
    <cfRule type="cellIs" dxfId="14340" priority="137763" stopIfTrue="1" operator="lessThan">
      <formula>0.5</formula>
    </cfRule>
  </conditionalFormatting>
  <conditionalFormatting sqref="P8">
    <cfRule type="cellIs" dxfId="14339" priority="137764" stopIfTrue="1" operator="greaterThanOrEqual">
      <formula>0.5</formula>
    </cfRule>
  </conditionalFormatting>
  <conditionalFormatting sqref="P9">
    <cfRule type="cellIs" dxfId="14338" priority="137765" stopIfTrue="1" operator="equal">
      <formula>-1</formula>
    </cfRule>
  </conditionalFormatting>
  <conditionalFormatting sqref="P9">
    <cfRule type="cellIs" dxfId="14337" priority="137766" stopIfTrue="1" operator="lessThan">
      <formula>0.5</formula>
    </cfRule>
  </conditionalFormatting>
  <conditionalFormatting sqref="P9">
    <cfRule type="cellIs" dxfId="14336" priority="137767" stopIfTrue="1" operator="greaterThanOrEqual">
      <formula>0.5</formula>
    </cfRule>
  </conditionalFormatting>
  <conditionalFormatting sqref="P10">
    <cfRule type="cellIs" dxfId="14335" priority="137768" stopIfTrue="1" operator="equal">
      <formula>-1</formula>
    </cfRule>
  </conditionalFormatting>
  <conditionalFormatting sqref="P10">
    <cfRule type="cellIs" dxfId="14334" priority="137769" stopIfTrue="1" operator="lessThan">
      <formula>0.5</formula>
    </cfRule>
  </conditionalFormatting>
  <conditionalFormatting sqref="P10">
    <cfRule type="cellIs" dxfId="14333" priority="137770" stopIfTrue="1" operator="greaterThanOrEqual">
      <formula>0.5</formula>
    </cfRule>
  </conditionalFormatting>
  <conditionalFormatting sqref="P11">
    <cfRule type="cellIs" dxfId="14332" priority="137771" stopIfTrue="1" operator="equal">
      <formula>-1</formula>
    </cfRule>
  </conditionalFormatting>
  <conditionalFormatting sqref="P11">
    <cfRule type="cellIs" dxfId="14331" priority="137772" stopIfTrue="1" operator="lessThan">
      <formula>0.5</formula>
    </cfRule>
  </conditionalFormatting>
  <conditionalFormatting sqref="P11">
    <cfRule type="cellIs" dxfId="14330" priority="137773" stopIfTrue="1" operator="greaterThanOrEqual">
      <formula>0.5</formula>
    </cfRule>
  </conditionalFormatting>
  <conditionalFormatting sqref="P12">
    <cfRule type="cellIs" dxfId="14329" priority="137774" stopIfTrue="1" operator="equal">
      <formula>-1</formula>
    </cfRule>
  </conditionalFormatting>
  <conditionalFormatting sqref="P12">
    <cfRule type="cellIs" dxfId="14328" priority="137775" stopIfTrue="1" operator="lessThan">
      <formula>0.5</formula>
    </cfRule>
  </conditionalFormatting>
  <conditionalFormatting sqref="P12">
    <cfRule type="cellIs" dxfId="14327" priority="137776" stopIfTrue="1" operator="greaterThanOrEqual">
      <formula>0.5</formula>
    </cfRule>
  </conditionalFormatting>
  <conditionalFormatting sqref="P13">
    <cfRule type="cellIs" dxfId="14326" priority="137777" stopIfTrue="1" operator="equal">
      <formula>-1</formula>
    </cfRule>
  </conditionalFormatting>
  <conditionalFormatting sqref="P13">
    <cfRule type="cellIs" dxfId="14325" priority="137778" stopIfTrue="1" operator="lessThan">
      <formula>0.5</formula>
    </cfRule>
  </conditionalFormatting>
  <conditionalFormatting sqref="P13">
    <cfRule type="cellIs" dxfId="14324" priority="137779" stopIfTrue="1" operator="greaterThanOrEqual">
      <formula>0.5</formula>
    </cfRule>
  </conditionalFormatting>
  <conditionalFormatting sqref="P14">
    <cfRule type="cellIs" dxfId="14323" priority="137780" stopIfTrue="1" operator="equal">
      <formula>-1</formula>
    </cfRule>
  </conditionalFormatting>
  <conditionalFormatting sqref="P14">
    <cfRule type="cellIs" dxfId="14322" priority="137781" stopIfTrue="1" operator="lessThan">
      <formula>0.5</formula>
    </cfRule>
  </conditionalFormatting>
  <conditionalFormatting sqref="P14">
    <cfRule type="cellIs" dxfId="14321" priority="137782" stopIfTrue="1" operator="greaterThanOrEqual">
      <formula>0.5</formula>
    </cfRule>
  </conditionalFormatting>
  <conditionalFormatting sqref="P15">
    <cfRule type="cellIs" dxfId="14320" priority="137783" stopIfTrue="1" operator="equal">
      <formula>-1</formula>
    </cfRule>
  </conditionalFormatting>
  <conditionalFormatting sqref="P15">
    <cfRule type="cellIs" dxfId="14319" priority="137784" stopIfTrue="1" operator="lessThan">
      <formula>0.5</formula>
    </cfRule>
  </conditionalFormatting>
  <conditionalFormatting sqref="P15">
    <cfRule type="cellIs" dxfId="14318" priority="137785" stopIfTrue="1" operator="greaterThanOrEqual">
      <formula>0.5</formula>
    </cfRule>
  </conditionalFormatting>
  <conditionalFormatting sqref="R8">
    <cfRule type="cellIs" dxfId="14317" priority="137786" stopIfTrue="1" operator="equal">
      <formula>-1</formula>
    </cfRule>
  </conditionalFormatting>
  <conditionalFormatting sqref="R8">
    <cfRule type="cellIs" dxfId="14316" priority="137787" stopIfTrue="1" operator="lessThan">
      <formula>0.5</formula>
    </cfRule>
  </conditionalFormatting>
  <conditionalFormatting sqref="R8">
    <cfRule type="cellIs" dxfId="14315" priority="137788" stopIfTrue="1" operator="greaterThanOrEqual">
      <formula>0.5</formula>
    </cfRule>
  </conditionalFormatting>
  <conditionalFormatting sqref="R9">
    <cfRule type="cellIs" dxfId="14314" priority="137789" stopIfTrue="1" operator="equal">
      <formula>-1</formula>
    </cfRule>
  </conditionalFormatting>
  <conditionalFormatting sqref="R9">
    <cfRule type="cellIs" dxfId="14313" priority="137790" stopIfTrue="1" operator="lessThan">
      <formula>0.5</formula>
    </cfRule>
  </conditionalFormatting>
  <conditionalFormatting sqref="R9">
    <cfRule type="cellIs" dxfId="14312" priority="137791" stopIfTrue="1" operator="greaterThanOrEqual">
      <formula>0.5</formula>
    </cfRule>
  </conditionalFormatting>
  <conditionalFormatting sqref="R10">
    <cfRule type="cellIs" dxfId="14311" priority="137792" stopIfTrue="1" operator="equal">
      <formula>-1</formula>
    </cfRule>
  </conditionalFormatting>
  <conditionalFormatting sqref="R10">
    <cfRule type="cellIs" dxfId="14310" priority="137793" stopIfTrue="1" operator="lessThan">
      <formula>0.5</formula>
    </cfRule>
  </conditionalFormatting>
  <conditionalFormatting sqref="R10">
    <cfRule type="cellIs" dxfId="14309" priority="137794" stopIfTrue="1" operator="greaterThanOrEqual">
      <formula>0.5</formula>
    </cfRule>
  </conditionalFormatting>
  <conditionalFormatting sqref="R11">
    <cfRule type="cellIs" dxfId="14308" priority="137795" stopIfTrue="1" operator="equal">
      <formula>-1</formula>
    </cfRule>
  </conditionalFormatting>
  <conditionalFormatting sqref="R11">
    <cfRule type="cellIs" dxfId="14307" priority="137796" stopIfTrue="1" operator="lessThan">
      <formula>0.5</formula>
    </cfRule>
  </conditionalFormatting>
  <conditionalFormatting sqref="R11">
    <cfRule type="cellIs" dxfId="14306" priority="137797" stopIfTrue="1" operator="greaterThanOrEqual">
      <formula>0.5</formula>
    </cfRule>
  </conditionalFormatting>
  <conditionalFormatting sqref="R12">
    <cfRule type="cellIs" dxfId="14305" priority="137798" stopIfTrue="1" operator="equal">
      <formula>-1</formula>
    </cfRule>
  </conditionalFormatting>
  <conditionalFormatting sqref="R12">
    <cfRule type="cellIs" dxfId="14304" priority="137799" stopIfTrue="1" operator="lessThan">
      <formula>0.5</formula>
    </cfRule>
  </conditionalFormatting>
  <conditionalFormatting sqref="R12">
    <cfRule type="cellIs" dxfId="14303" priority="137800" stopIfTrue="1" operator="greaterThanOrEqual">
      <formula>0.5</formula>
    </cfRule>
  </conditionalFormatting>
  <conditionalFormatting sqref="R13">
    <cfRule type="cellIs" dxfId="14302" priority="137801" stopIfTrue="1" operator="equal">
      <formula>-1</formula>
    </cfRule>
  </conditionalFormatting>
  <conditionalFormatting sqref="R13">
    <cfRule type="cellIs" dxfId="14301" priority="137802" stopIfTrue="1" operator="lessThan">
      <formula>0.5</formula>
    </cfRule>
  </conditionalFormatting>
  <conditionalFormatting sqref="R13">
    <cfRule type="cellIs" dxfId="14300" priority="137803" stopIfTrue="1" operator="greaterThanOrEqual">
      <formula>0.5</formula>
    </cfRule>
  </conditionalFormatting>
  <conditionalFormatting sqref="R14">
    <cfRule type="cellIs" dxfId="14299" priority="137804" stopIfTrue="1" operator="equal">
      <formula>-1</formula>
    </cfRule>
  </conditionalFormatting>
  <conditionalFormatting sqref="R14">
    <cfRule type="cellIs" dxfId="14298" priority="137805" stopIfTrue="1" operator="lessThan">
      <formula>0.5</formula>
    </cfRule>
  </conditionalFormatting>
  <conditionalFormatting sqref="R14">
    <cfRule type="cellIs" dxfId="14297" priority="137806" stopIfTrue="1" operator="greaterThanOrEqual">
      <formula>0.5</formula>
    </cfRule>
  </conditionalFormatting>
  <conditionalFormatting sqref="R15">
    <cfRule type="cellIs" dxfId="14296" priority="137807" stopIfTrue="1" operator="equal">
      <formula>-1</formula>
    </cfRule>
  </conditionalFormatting>
  <conditionalFormatting sqref="R15">
    <cfRule type="cellIs" dxfId="14295" priority="137808" stopIfTrue="1" operator="lessThan">
      <formula>0.5</formula>
    </cfRule>
  </conditionalFormatting>
  <conditionalFormatting sqref="R15">
    <cfRule type="cellIs" dxfId="14294" priority="137809" stopIfTrue="1" operator="greaterThanOrEqual">
      <formula>0.5</formula>
    </cfRule>
  </conditionalFormatting>
  <conditionalFormatting sqref="T8">
    <cfRule type="cellIs" dxfId="14293" priority="137810" stopIfTrue="1" operator="equal">
      <formula>-1</formula>
    </cfRule>
  </conditionalFormatting>
  <conditionalFormatting sqref="T8">
    <cfRule type="cellIs" dxfId="14292" priority="137811" stopIfTrue="1" operator="lessThan">
      <formula>0.5</formula>
    </cfRule>
  </conditionalFormatting>
  <conditionalFormatting sqref="T8">
    <cfRule type="cellIs" dxfId="14291" priority="137812" stopIfTrue="1" operator="greaterThanOrEqual">
      <formula>0.5</formula>
    </cfRule>
  </conditionalFormatting>
  <conditionalFormatting sqref="T9">
    <cfRule type="cellIs" dxfId="14290" priority="137813" stopIfTrue="1" operator="equal">
      <formula>-1</formula>
    </cfRule>
  </conditionalFormatting>
  <conditionalFormatting sqref="T9">
    <cfRule type="cellIs" dxfId="14289" priority="137814" stopIfTrue="1" operator="lessThan">
      <formula>0.5</formula>
    </cfRule>
  </conditionalFormatting>
  <conditionalFormatting sqref="T9">
    <cfRule type="cellIs" dxfId="14288" priority="137815" stopIfTrue="1" operator="greaterThanOrEqual">
      <formula>0.5</formula>
    </cfRule>
  </conditionalFormatting>
  <conditionalFormatting sqref="T10">
    <cfRule type="cellIs" dxfId="14287" priority="137816" stopIfTrue="1" operator="equal">
      <formula>-1</formula>
    </cfRule>
  </conditionalFormatting>
  <conditionalFormatting sqref="T10">
    <cfRule type="cellIs" dxfId="14286" priority="137817" stopIfTrue="1" operator="lessThan">
      <formula>0.5</formula>
    </cfRule>
  </conditionalFormatting>
  <conditionalFormatting sqref="T10">
    <cfRule type="cellIs" dxfId="14285" priority="137818" stopIfTrue="1" operator="greaterThanOrEqual">
      <formula>0.5</formula>
    </cfRule>
  </conditionalFormatting>
  <conditionalFormatting sqref="T11">
    <cfRule type="cellIs" dxfId="14284" priority="137819" stopIfTrue="1" operator="equal">
      <formula>-1</formula>
    </cfRule>
  </conditionalFormatting>
  <conditionalFormatting sqref="T11">
    <cfRule type="cellIs" dxfId="14283" priority="137820" stopIfTrue="1" operator="lessThan">
      <formula>0.5</formula>
    </cfRule>
  </conditionalFormatting>
  <conditionalFormatting sqref="T11">
    <cfRule type="cellIs" dxfId="14282" priority="137821" stopIfTrue="1" operator="greaterThanOrEqual">
      <formula>0.5</formula>
    </cfRule>
  </conditionalFormatting>
  <conditionalFormatting sqref="T12">
    <cfRule type="cellIs" dxfId="14281" priority="137822" stopIfTrue="1" operator="equal">
      <formula>-1</formula>
    </cfRule>
  </conditionalFormatting>
  <conditionalFormatting sqref="T12">
    <cfRule type="cellIs" dxfId="14280" priority="137823" stopIfTrue="1" operator="lessThan">
      <formula>0.5</formula>
    </cfRule>
  </conditionalFormatting>
  <conditionalFormatting sqref="T12">
    <cfRule type="cellIs" dxfId="14279" priority="137824" stopIfTrue="1" operator="greaterThanOrEqual">
      <formula>0.5</formula>
    </cfRule>
  </conditionalFormatting>
  <conditionalFormatting sqref="T13">
    <cfRule type="cellIs" dxfId="14278" priority="137825" stopIfTrue="1" operator="equal">
      <formula>-1</formula>
    </cfRule>
  </conditionalFormatting>
  <conditionalFormatting sqref="T13">
    <cfRule type="cellIs" dxfId="14277" priority="137826" stopIfTrue="1" operator="lessThan">
      <formula>0.5</formula>
    </cfRule>
  </conditionalFormatting>
  <conditionalFormatting sqref="T13">
    <cfRule type="cellIs" dxfId="14276" priority="137827" stopIfTrue="1" operator="greaterThanOrEqual">
      <formula>0.5</formula>
    </cfRule>
  </conditionalFormatting>
  <conditionalFormatting sqref="T14">
    <cfRule type="cellIs" dxfId="14275" priority="137828" stopIfTrue="1" operator="equal">
      <formula>-1</formula>
    </cfRule>
  </conditionalFormatting>
  <conditionalFormatting sqref="T14">
    <cfRule type="cellIs" dxfId="14274" priority="137829" stopIfTrue="1" operator="lessThan">
      <formula>0.5</formula>
    </cfRule>
  </conditionalFormatting>
  <conditionalFormatting sqref="T14">
    <cfRule type="cellIs" dxfId="14273" priority="137830" stopIfTrue="1" operator="greaterThanOrEqual">
      <formula>0.5</formula>
    </cfRule>
  </conditionalFormatting>
  <conditionalFormatting sqref="T15">
    <cfRule type="cellIs" dxfId="14272" priority="137831" stopIfTrue="1" operator="equal">
      <formula>-1</formula>
    </cfRule>
  </conditionalFormatting>
  <conditionalFormatting sqref="T15">
    <cfRule type="cellIs" dxfId="14271" priority="137832" stopIfTrue="1" operator="lessThan">
      <formula>0.5</formula>
    </cfRule>
  </conditionalFormatting>
  <conditionalFormatting sqref="T15">
    <cfRule type="cellIs" dxfId="14270" priority="137833" stopIfTrue="1" operator="greaterThanOrEqual">
      <formula>0.5</formula>
    </cfRule>
  </conditionalFormatting>
  <conditionalFormatting sqref="V8">
    <cfRule type="cellIs" dxfId="14269" priority="137834" stopIfTrue="1" operator="equal">
      <formula>-1</formula>
    </cfRule>
  </conditionalFormatting>
  <conditionalFormatting sqref="V8">
    <cfRule type="cellIs" dxfId="14268" priority="137835" stopIfTrue="1" operator="lessThan">
      <formula>0.5</formula>
    </cfRule>
  </conditionalFormatting>
  <conditionalFormatting sqref="V8">
    <cfRule type="cellIs" dxfId="14267" priority="137836" stopIfTrue="1" operator="greaterThanOrEqual">
      <formula>0.5</formula>
    </cfRule>
  </conditionalFormatting>
  <conditionalFormatting sqref="V9">
    <cfRule type="cellIs" dxfId="14266" priority="137837" stopIfTrue="1" operator="equal">
      <formula>-1</formula>
    </cfRule>
  </conditionalFormatting>
  <conditionalFormatting sqref="V9">
    <cfRule type="cellIs" dxfId="14265" priority="137838" stopIfTrue="1" operator="lessThan">
      <formula>0.5</formula>
    </cfRule>
  </conditionalFormatting>
  <conditionalFormatting sqref="V9">
    <cfRule type="cellIs" dxfId="14264" priority="137839" stopIfTrue="1" operator="greaterThanOrEqual">
      <formula>0.5</formula>
    </cfRule>
  </conditionalFormatting>
  <conditionalFormatting sqref="V10">
    <cfRule type="cellIs" dxfId="14263" priority="137840" stopIfTrue="1" operator="equal">
      <formula>-1</formula>
    </cfRule>
  </conditionalFormatting>
  <conditionalFormatting sqref="V10">
    <cfRule type="cellIs" dxfId="14262" priority="137841" stopIfTrue="1" operator="lessThan">
      <formula>0.5</formula>
    </cfRule>
  </conditionalFormatting>
  <conditionalFormatting sqref="V10">
    <cfRule type="cellIs" dxfId="14261" priority="137842" stopIfTrue="1" operator="greaterThanOrEqual">
      <formula>0.5</formula>
    </cfRule>
  </conditionalFormatting>
  <conditionalFormatting sqref="V11">
    <cfRule type="cellIs" dxfId="14260" priority="137843" stopIfTrue="1" operator="equal">
      <formula>-1</formula>
    </cfRule>
  </conditionalFormatting>
  <conditionalFormatting sqref="V11">
    <cfRule type="cellIs" dxfId="14259" priority="137844" stopIfTrue="1" operator="lessThan">
      <formula>0.5</formula>
    </cfRule>
  </conditionalFormatting>
  <conditionalFormatting sqref="V11">
    <cfRule type="cellIs" dxfId="14258" priority="137845" stopIfTrue="1" operator="greaterThanOrEqual">
      <formula>0.5</formula>
    </cfRule>
  </conditionalFormatting>
  <conditionalFormatting sqref="V12">
    <cfRule type="cellIs" dxfId="14257" priority="137846" stopIfTrue="1" operator="equal">
      <formula>-1</formula>
    </cfRule>
  </conditionalFormatting>
  <conditionalFormatting sqref="V12">
    <cfRule type="cellIs" dxfId="14256" priority="137847" stopIfTrue="1" operator="lessThan">
      <formula>0.5</formula>
    </cfRule>
  </conditionalFormatting>
  <conditionalFormatting sqref="V12">
    <cfRule type="cellIs" dxfId="14255" priority="137848" stopIfTrue="1" operator="greaterThanOrEqual">
      <formula>0.5</formula>
    </cfRule>
  </conditionalFormatting>
  <conditionalFormatting sqref="V13">
    <cfRule type="cellIs" dxfId="14254" priority="137849" stopIfTrue="1" operator="equal">
      <formula>-1</formula>
    </cfRule>
  </conditionalFormatting>
  <conditionalFormatting sqref="V13">
    <cfRule type="cellIs" dxfId="14253" priority="137850" stopIfTrue="1" operator="lessThan">
      <formula>0.5</formula>
    </cfRule>
  </conditionalFormatting>
  <conditionalFormatting sqref="V13">
    <cfRule type="cellIs" dxfId="14252" priority="137851" stopIfTrue="1" operator="greaterThanOrEqual">
      <formula>0.5</formula>
    </cfRule>
  </conditionalFormatting>
  <conditionalFormatting sqref="V14">
    <cfRule type="cellIs" dxfId="14251" priority="137852" stopIfTrue="1" operator="equal">
      <formula>-1</formula>
    </cfRule>
  </conditionalFormatting>
  <conditionalFormatting sqref="V14">
    <cfRule type="cellIs" dxfId="14250" priority="137853" stopIfTrue="1" operator="lessThan">
      <formula>0.5</formula>
    </cfRule>
  </conditionalFormatting>
  <conditionalFormatting sqref="V14">
    <cfRule type="cellIs" dxfId="14249" priority="137854" stopIfTrue="1" operator="greaterThanOrEqual">
      <formula>0.5</formula>
    </cfRule>
  </conditionalFormatting>
  <conditionalFormatting sqref="V15">
    <cfRule type="cellIs" dxfId="14248" priority="137855" stopIfTrue="1" operator="equal">
      <formula>-1</formula>
    </cfRule>
  </conditionalFormatting>
  <conditionalFormatting sqref="V15">
    <cfRule type="cellIs" dxfId="14247" priority="137856" stopIfTrue="1" operator="lessThan">
      <formula>0.5</formula>
    </cfRule>
  </conditionalFormatting>
  <conditionalFormatting sqref="V15">
    <cfRule type="cellIs" dxfId="14246" priority="137857" stopIfTrue="1" operator="greaterThanOrEqual">
      <formula>0.5</formula>
    </cfRule>
  </conditionalFormatting>
  <conditionalFormatting sqref="X8">
    <cfRule type="cellIs" dxfId="14245" priority="137858" stopIfTrue="1" operator="equal">
      <formula>-1</formula>
    </cfRule>
  </conditionalFormatting>
  <conditionalFormatting sqref="X8">
    <cfRule type="cellIs" dxfId="14244" priority="137859" stopIfTrue="1" operator="lessThan">
      <formula>0.5</formula>
    </cfRule>
  </conditionalFormatting>
  <conditionalFormatting sqref="X8">
    <cfRule type="cellIs" dxfId="14243" priority="137860" stopIfTrue="1" operator="greaterThanOrEqual">
      <formula>0.5</formula>
    </cfRule>
  </conditionalFormatting>
  <conditionalFormatting sqref="X9">
    <cfRule type="cellIs" dxfId="14242" priority="137861" stopIfTrue="1" operator="equal">
      <formula>-1</formula>
    </cfRule>
  </conditionalFormatting>
  <conditionalFormatting sqref="X9">
    <cfRule type="cellIs" dxfId="14241" priority="137862" stopIfTrue="1" operator="lessThan">
      <formula>0.5</formula>
    </cfRule>
  </conditionalFormatting>
  <conditionalFormatting sqref="X9">
    <cfRule type="cellIs" dxfId="14240" priority="137863" stopIfTrue="1" operator="greaterThanOrEqual">
      <formula>0.5</formula>
    </cfRule>
  </conditionalFormatting>
  <conditionalFormatting sqref="X10">
    <cfRule type="cellIs" dxfId="14239" priority="137864" stopIfTrue="1" operator="equal">
      <formula>-1</formula>
    </cfRule>
  </conditionalFormatting>
  <conditionalFormatting sqref="X10">
    <cfRule type="cellIs" dxfId="14238" priority="137865" stopIfTrue="1" operator="lessThan">
      <formula>0.5</formula>
    </cfRule>
  </conditionalFormatting>
  <conditionalFormatting sqref="X10">
    <cfRule type="cellIs" dxfId="14237" priority="137866" stopIfTrue="1" operator="greaterThanOrEqual">
      <formula>0.5</formula>
    </cfRule>
  </conditionalFormatting>
  <conditionalFormatting sqref="X11">
    <cfRule type="cellIs" dxfId="14236" priority="137867" stopIfTrue="1" operator="equal">
      <formula>-1</formula>
    </cfRule>
  </conditionalFormatting>
  <conditionalFormatting sqref="X11">
    <cfRule type="cellIs" dxfId="14235" priority="137868" stopIfTrue="1" operator="lessThan">
      <formula>0.5</formula>
    </cfRule>
  </conditionalFormatting>
  <conditionalFormatting sqref="X11">
    <cfRule type="cellIs" dxfId="14234" priority="137869" stopIfTrue="1" operator="greaterThanOrEqual">
      <formula>0.5</formula>
    </cfRule>
  </conditionalFormatting>
  <conditionalFormatting sqref="X12">
    <cfRule type="cellIs" dxfId="14233" priority="137870" stopIfTrue="1" operator="equal">
      <formula>-1</formula>
    </cfRule>
  </conditionalFormatting>
  <conditionalFormatting sqref="X12">
    <cfRule type="cellIs" dxfId="14232" priority="137871" stopIfTrue="1" operator="lessThan">
      <formula>0.5</formula>
    </cfRule>
  </conditionalFormatting>
  <conditionalFormatting sqref="X12">
    <cfRule type="cellIs" dxfId="14231" priority="137872" stopIfTrue="1" operator="greaterThanOrEqual">
      <formula>0.5</formula>
    </cfRule>
  </conditionalFormatting>
  <conditionalFormatting sqref="X13">
    <cfRule type="cellIs" dxfId="14230" priority="137873" stopIfTrue="1" operator="equal">
      <formula>-1</formula>
    </cfRule>
  </conditionalFormatting>
  <conditionalFormatting sqref="X13">
    <cfRule type="cellIs" dxfId="14229" priority="137874" stopIfTrue="1" operator="lessThan">
      <formula>0.5</formula>
    </cfRule>
  </conditionalFormatting>
  <conditionalFormatting sqref="X13">
    <cfRule type="cellIs" dxfId="14228" priority="137875" stopIfTrue="1" operator="greaterThanOrEqual">
      <formula>0.5</formula>
    </cfRule>
  </conditionalFormatting>
  <conditionalFormatting sqref="X14">
    <cfRule type="cellIs" dxfId="14227" priority="137876" stopIfTrue="1" operator="equal">
      <formula>-1</formula>
    </cfRule>
  </conditionalFormatting>
  <conditionalFormatting sqref="X14">
    <cfRule type="cellIs" dxfId="14226" priority="137877" stopIfTrue="1" operator="lessThan">
      <formula>0.5</formula>
    </cfRule>
  </conditionalFormatting>
  <conditionalFormatting sqref="X14">
    <cfRule type="cellIs" dxfId="14225" priority="137878" stopIfTrue="1" operator="greaterThanOrEqual">
      <formula>0.5</formula>
    </cfRule>
  </conditionalFormatting>
  <conditionalFormatting sqref="X15">
    <cfRule type="cellIs" dxfId="14224" priority="137879" stopIfTrue="1" operator="equal">
      <formula>-1</formula>
    </cfRule>
  </conditionalFormatting>
  <conditionalFormatting sqref="X15">
    <cfRule type="cellIs" dxfId="14223" priority="137880" stopIfTrue="1" operator="lessThan">
      <formula>0.5</formula>
    </cfRule>
  </conditionalFormatting>
  <conditionalFormatting sqref="X15">
    <cfRule type="cellIs" dxfId="14222" priority="137881" stopIfTrue="1" operator="greaterThanOrEqual">
      <formula>0.5</formula>
    </cfRule>
  </conditionalFormatting>
  <conditionalFormatting sqref="Z8">
    <cfRule type="cellIs" dxfId="14221" priority="137882" stopIfTrue="1" operator="equal">
      <formula>-1</formula>
    </cfRule>
  </conditionalFormatting>
  <conditionalFormatting sqref="Z8">
    <cfRule type="cellIs" dxfId="14220" priority="137883" stopIfTrue="1" operator="lessThan">
      <formula>0.5</formula>
    </cfRule>
  </conditionalFormatting>
  <conditionalFormatting sqref="Z8">
    <cfRule type="cellIs" dxfId="14219" priority="137884" stopIfTrue="1" operator="greaterThanOrEqual">
      <formula>0.5</formula>
    </cfRule>
  </conditionalFormatting>
  <conditionalFormatting sqref="Z9">
    <cfRule type="cellIs" dxfId="14218" priority="137885" stopIfTrue="1" operator="equal">
      <formula>-1</formula>
    </cfRule>
  </conditionalFormatting>
  <conditionalFormatting sqref="Z9">
    <cfRule type="cellIs" dxfId="14217" priority="137886" stopIfTrue="1" operator="lessThan">
      <formula>0.5</formula>
    </cfRule>
  </conditionalFormatting>
  <conditionalFormatting sqref="Z9">
    <cfRule type="cellIs" dxfId="14216" priority="137887" stopIfTrue="1" operator="greaterThanOrEqual">
      <formula>0.5</formula>
    </cfRule>
  </conditionalFormatting>
  <conditionalFormatting sqref="Z10">
    <cfRule type="cellIs" dxfId="14215" priority="137888" stopIfTrue="1" operator="equal">
      <formula>-1</formula>
    </cfRule>
  </conditionalFormatting>
  <conditionalFormatting sqref="Z10">
    <cfRule type="cellIs" dxfId="14214" priority="137889" stopIfTrue="1" operator="lessThan">
      <formula>0.5</formula>
    </cfRule>
  </conditionalFormatting>
  <conditionalFormatting sqref="Z10">
    <cfRule type="cellIs" dxfId="14213" priority="137890" stopIfTrue="1" operator="greaterThanOrEqual">
      <formula>0.5</formula>
    </cfRule>
  </conditionalFormatting>
  <conditionalFormatting sqref="Z11">
    <cfRule type="cellIs" dxfId="14212" priority="137891" stopIfTrue="1" operator="equal">
      <formula>-1</formula>
    </cfRule>
  </conditionalFormatting>
  <conditionalFormatting sqref="Z11">
    <cfRule type="cellIs" dxfId="14211" priority="137892" stopIfTrue="1" operator="lessThan">
      <formula>0.5</formula>
    </cfRule>
  </conditionalFormatting>
  <conditionalFormatting sqref="Z11">
    <cfRule type="cellIs" dxfId="14210" priority="137893" stopIfTrue="1" operator="greaterThanOrEqual">
      <formula>0.5</formula>
    </cfRule>
  </conditionalFormatting>
  <conditionalFormatting sqref="Z12">
    <cfRule type="cellIs" dxfId="14209" priority="137894" stopIfTrue="1" operator="equal">
      <formula>-1</formula>
    </cfRule>
  </conditionalFormatting>
  <conditionalFormatting sqref="Z12">
    <cfRule type="cellIs" dxfId="14208" priority="137895" stopIfTrue="1" operator="lessThan">
      <formula>0.5</formula>
    </cfRule>
  </conditionalFormatting>
  <conditionalFormatting sqref="Z12">
    <cfRule type="cellIs" dxfId="14207" priority="137896" stopIfTrue="1" operator="greaterThanOrEqual">
      <formula>0.5</formula>
    </cfRule>
  </conditionalFormatting>
  <conditionalFormatting sqref="Z13">
    <cfRule type="cellIs" dxfId="14206" priority="137897" stopIfTrue="1" operator="equal">
      <formula>-1</formula>
    </cfRule>
  </conditionalFormatting>
  <conditionalFormatting sqref="Z13">
    <cfRule type="cellIs" dxfId="14205" priority="137898" stopIfTrue="1" operator="lessThan">
      <formula>0.5</formula>
    </cfRule>
  </conditionalFormatting>
  <conditionalFormatting sqref="Z13">
    <cfRule type="cellIs" dxfId="14204" priority="137899" stopIfTrue="1" operator="greaterThanOrEqual">
      <formula>0.5</formula>
    </cfRule>
  </conditionalFormatting>
  <conditionalFormatting sqref="Z14">
    <cfRule type="cellIs" dxfId="14203" priority="137900" stopIfTrue="1" operator="equal">
      <formula>-1</formula>
    </cfRule>
  </conditionalFormatting>
  <conditionalFormatting sqref="Z14">
    <cfRule type="cellIs" dxfId="14202" priority="137901" stopIfTrue="1" operator="lessThan">
      <formula>0.5</formula>
    </cfRule>
  </conditionalFormatting>
  <conditionalFormatting sqref="Z14">
    <cfRule type="cellIs" dxfId="14201" priority="137902" stopIfTrue="1" operator="greaterThanOrEqual">
      <formula>0.5</formula>
    </cfRule>
  </conditionalFormatting>
  <conditionalFormatting sqref="Z15">
    <cfRule type="cellIs" dxfId="14200" priority="137903" stopIfTrue="1" operator="equal">
      <formula>-1</formula>
    </cfRule>
  </conditionalFormatting>
  <conditionalFormatting sqref="Z15">
    <cfRule type="cellIs" dxfId="14199" priority="137904" stopIfTrue="1" operator="lessThan">
      <formula>0.5</formula>
    </cfRule>
  </conditionalFormatting>
  <conditionalFormatting sqref="Z15">
    <cfRule type="cellIs" dxfId="14198" priority="137905" stopIfTrue="1" operator="greaterThanOrEqual">
      <formula>0.5</formula>
    </cfRule>
  </conditionalFormatting>
  <conditionalFormatting sqref="AB8">
    <cfRule type="cellIs" dxfId="14197" priority="137906" stopIfTrue="1" operator="equal">
      <formula>-1</formula>
    </cfRule>
  </conditionalFormatting>
  <conditionalFormatting sqref="AB8">
    <cfRule type="cellIs" dxfId="14196" priority="137907" stopIfTrue="1" operator="lessThan">
      <formula>0.5</formula>
    </cfRule>
  </conditionalFormatting>
  <conditionalFormatting sqref="AB8">
    <cfRule type="cellIs" dxfId="14195" priority="137908" stopIfTrue="1" operator="greaterThanOrEqual">
      <formula>0.5</formula>
    </cfRule>
  </conditionalFormatting>
  <conditionalFormatting sqref="AB9">
    <cfRule type="cellIs" dxfId="14194" priority="137909" stopIfTrue="1" operator="equal">
      <formula>-1</formula>
    </cfRule>
  </conditionalFormatting>
  <conditionalFormatting sqref="AB9">
    <cfRule type="cellIs" dxfId="14193" priority="137910" stopIfTrue="1" operator="lessThan">
      <formula>0.5</formula>
    </cfRule>
  </conditionalFormatting>
  <conditionalFormatting sqref="AB9">
    <cfRule type="cellIs" dxfId="14192" priority="137911" stopIfTrue="1" operator="greaterThanOrEqual">
      <formula>0.5</formula>
    </cfRule>
  </conditionalFormatting>
  <conditionalFormatting sqref="AB10">
    <cfRule type="cellIs" dxfId="14191" priority="137912" stopIfTrue="1" operator="equal">
      <formula>-1</formula>
    </cfRule>
  </conditionalFormatting>
  <conditionalFormatting sqref="AB10">
    <cfRule type="cellIs" dxfId="14190" priority="137913" stopIfTrue="1" operator="lessThan">
      <formula>0.5</formula>
    </cfRule>
  </conditionalFormatting>
  <conditionalFormatting sqref="AB10">
    <cfRule type="cellIs" dxfId="14189" priority="137914" stopIfTrue="1" operator="greaterThanOrEqual">
      <formula>0.5</formula>
    </cfRule>
  </conditionalFormatting>
  <conditionalFormatting sqref="AB11">
    <cfRule type="cellIs" dxfId="14188" priority="137915" stopIfTrue="1" operator="equal">
      <formula>-1</formula>
    </cfRule>
  </conditionalFormatting>
  <conditionalFormatting sqref="AB11">
    <cfRule type="cellIs" dxfId="14187" priority="137916" stopIfTrue="1" operator="lessThan">
      <formula>0.5</formula>
    </cfRule>
  </conditionalFormatting>
  <conditionalFormatting sqref="AB11">
    <cfRule type="cellIs" dxfId="14186" priority="137917" stopIfTrue="1" operator="greaterThanOrEqual">
      <formula>0.5</formula>
    </cfRule>
  </conditionalFormatting>
  <conditionalFormatting sqref="AB12">
    <cfRule type="cellIs" dxfId="14185" priority="137918" stopIfTrue="1" operator="equal">
      <formula>-1</formula>
    </cfRule>
  </conditionalFormatting>
  <conditionalFormatting sqref="AB12">
    <cfRule type="cellIs" dxfId="14184" priority="137919" stopIfTrue="1" operator="lessThan">
      <formula>0.5</formula>
    </cfRule>
  </conditionalFormatting>
  <conditionalFormatting sqref="AB12">
    <cfRule type="cellIs" dxfId="14183" priority="137920" stopIfTrue="1" operator="greaterThanOrEqual">
      <formula>0.5</formula>
    </cfRule>
  </conditionalFormatting>
  <conditionalFormatting sqref="AB13">
    <cfRule type="cellIs" dxfId="14182" priority="137921" stopIfTrue="1" operator="equal">
      <formula>-1</formula>
    </cfRule>
  </conditionalFormatting>
  <conditionalFormatting sqref="AB13">
    <cfRule type="cellIs" dxfId="14181" priority="137922" stopIfTrue="1" operator="lessThan">
      <formula>0.5</formula>
    </cfRule>
  </conditionalFormatting>
  <conditionalFormatting sqref="AB13">
    <cfRule type="cellIs" dxfId="14180" priority="137923" stopIfTrue="1" operator="greaterThanOrEqual">
      <formula>0.5</formula>
    </cfRule>
  </conditionalFormatting>
  <conditionalFormatting sqref="AB14">
    <cfRule type="cellIs" dxfId="14179" priority="137924" stopIfTrue="1" operator="equal">
      <formula>-1</formula>
    </cfRule>
  </conditionalFormatting>
  <conditionalFormatting sqref="AB14">
    <cfRule type="cellIs" dxfId="14178" priority="137925" stopIfTrue="1" operator="lessThan">
      <formula>0.5</formula>
    </cfRule>
  </conditionalFormatting>
  <conditionalFormatting sqref="AB14">
    <cfRule type="cellIs" dxfId="14177" priority="137926" stopIfTrue="1" operator="greaterThanOrEqual">
      <formula>0.5</formula>
    </cfRule>
  </conditionalFormatting>
  <conditionalFormatting sqref="AB15">
    <cfRule type="cellIs" dxfId="14176" priority="137927" stopIfTrue="1" operator="equal">
      <formula>-1</formula>
    </cfRule>
  </conditionalFormatting>
  <conditionalFormatting sqref="AB15">
    <cfRule type="cellIs" dxfId="14175" priority="137928" stopIfTrue="1" operator="lessThan">
      <formula>0.5</formula>
    </cfRule>
  </conditionalFormatting>
  <conditionalFormatting sqref="AB15">
    <cfRule type="cellIs" dxfId="14174" priority="137929" stopIfTrue="1" operator="greaterThanOrEqual">
      <formula>0.5</formula>
    </cfRule>
  </conditionalFormatting>
  <conditionalFormatting sqref="AD8">
    <cfRule type="cellIs" dxfId="14173" priority="137930" stopIfTrue="1" operator="equal">
      <formula>-1</formula>
    </cfRule>
  </conditionalFormatting>
  <conditionalFormatting sqref="AD8">
    <cfRule type="cellIs" dxfId="14172" priority="137931" stopIfTrue="1" operator="lessThan">
      <formula>0.5</formula>
    </cfRule>
  </conditionalFormatting>
  <conditionalFormatting sqref="AD8">
    <cfRule type="cellIs" dxfId="14171" priority="137932" stopIfTrue="1" operator="greaterThanOrEqual">
      <formula>0.5</formula>
    </cfRule>
  </conditionalFormatting>
  <conditionalFormatting sqref="AD9">
    <cfRule type="cellIs" dxfId="14170" priority="137933" stopIfTrue="1" operator="equal">
      <formula>-1</formula>
    </cfRule>
  </conditionalFormatting>
  <conditionalFormatting sqref="AD9">
    <cfRule type="cellIs" dxfId="14169" priority="137934" stopIfTrue="1" operator="lessThan">
      <formula>0.5</formula>
    </cfRule>
  </conditionalFormatting>
  <conditionalFormatting sqref="AD9">
    <cfRule type="cellIs" dxfId="14168" priority="137935" stopIfTrue="1" operator="greaterThanOrEqual">
      <formula>0.5</formula>
    </cfRule>
  </conditionalFormatting>
  <conditionalFormatting sqref="AD10">
    <cfRule type="cellIs" dxfId="14167" priority="137936" stopIfTrue="1" operator="equal">
      <formula>-1</formula>
    </cfRule>
  </conditionalFormatting>
  <conditionalFormatting sqref="AD10">
    <cfRule type="cellIs" dxfId="14166" priority="137937" stopIfTrue="1" operator="lessThan">
      <formula>0.5</formula>
    </cfRule>
  </conditionalFormatting>
  <conditionalFormatting sqref="AD10">
    <cfRule type="cellIs" dxfId="14165" priority="137938" stopIfTrue="1" operator="greaterThanOrEqual">
      <formula>0.5</formula>
    </cfRule>
  </conditionalFormatting>
  <conditionalFormatting sqref="AD11">
    <cfRule type="cellIs" dxfId="14164" priority="137939" stopIfTrue="1" operator="equal">
      <formula>-1</formula>
    </cfRule>
  </conditionalFormatting>
  <conditionalFormatting sqref="AD11">
    <cfRule type="cellIs" dxfId="14163" priority="137940" stopIfTrue="1" operator="lessThan">
      <formula>0.5</formula>
    </cfRule>
  </conditionalFormatting>
  <conditionalFormatting sqref="AD11">
    <cfRule type="cellIs" dxfId="14162" priority="137941" stopIfTrue="1" operator="greaterThanOrEqual">
      <formula>0.5</formula>
    </cfRule>
  </conditionalFormatting>
  <conditionalFormatting sqref="AD12">
    <cfRule type="cellIs" dxfId="14161" priority="137942" stopIfTrue="1" operator="equal">
      <formula>-1</formula>
    </cfRule>
  </conditionalFormatting>
  <conditionalFormatting sqref="AD12">
    <cfRule type="cellIs" dxfId="14160" priority="137943" stopIfTrue="1" operator="lessThan">
      <formula>0.5</formula>
    </cfRule>
  </conditionalFormatting>
  <conditionalFormatting sqref="AD12">
    <cfRule type="cellIs" dxfId="14159" priority="137944" stopIfTrue="1" operator="greaterThanOrEqual">
      <formula>0.5</formula>
    </cfRule>
  </conditionalFormatting>
  <conditionalFormatting sqref="AD13">
    <cfRule type="cellIs" dxfId="14158" priority="137945" stopIfTrue="1" operator="equal">
      <formula>-1</formula>
    </cfRule>
  </conditionalFormatting>
  <conditionalFormatting sqref="AD13">
    <cfRule type="cellIs" dxfId="14157" priority="137946" stopIfTrue="1" operator="lessThan">
      <formula>0.5</formula>
    </cfRule>
  </conditionalFormatting>
  <conditionalFormatting sqref="AD13">
    <cfRule type="cellIs" dxfId="14156" priority="137947" stopIfTrue="1" operator="greaterThanOrEqual">
      <formula>0.5</formula>
    </cfRule>
  </conditionalFormatting>
  <conditionalFormatting sqref="AD14">
    <cfRule type="cellIs" dxfId="14155" priority="137948" stopIfTrue="1" operator="equal">
      <formula>-1</formula>
    </cfRule>
  </conditionalFormatting>
  <conditionalFormatting sqref="AD14">
    <cfRule type="cellIs" dxfId="14154" priority="137949" stopIfTrue="1" operator="lessThan">
      <formula>0.5</formula>
    </cfRule>
  </conditionalFormatting>
  <conditionalFormatting sqref="AD14">
    <cfRule type="cellIs" dxfId="14153" priority="137950" stopIfTrue="1" operator="greaterThanOrEqual">
      <formula>0.5</formula>
    </cfRule>
  </conditionalFormatting>
  <conditionalFormatting sqref="AD15">
    <cfRule type="cellIs" dxfId="14152" priority="137951" stopIfTrue="1" operator="equal">
      <formula>-1</formula>
    </cfRule>
  </conditionalFormatting>
  <conditionalFormatting sqref="AD15">
    <cfRule type="cellIs" dxfId="14151" priority="137952" stopIfTrue="1" operator="lessThan">
      <formula>0.5</formula>
    </cfRule>
  </conditionalFormatting>
  <conditionalFormatting sqref="AD15">
    <cfRule type="cellIs" dxfId="14150" priority="137953" stopIfTrue="1" operator="greaterThanOrEqual">
      <formula>0.5</formula>
    </cfRule>
  </conditionalFormatting>
  <conditionalFormatting sqref="AF8">
    <cfRule type="cellIs" dxfId="14149" priority="137954" stopIfTrue="1" operator="equal">
      <formula>-1</formula>
    </cfRule>
  </conditionalFormatting>
  <conditionalFormatting sqref="AF8">
    <cfRule type="cellIs" dxfId="14148" priority="137955" stopIfTrue="1" operator="lessThan">
      <formula>0.5</formula>
    </cfRule>
  </conditionalFormatting>
  <conditionalFormatting sqref="AF8">
    <cfRule type="cellIs" dxfId="14147" priority="137956" stopIfTrue="1" operator="greaterThanOrEqual">
      <formula>0.5</formula>
    </cfRule>
  </conditionalFormatting>
  <conditionalFormatting sqref="AF9">
    <cfRule type="cellIs" dxfId="14146" priority="137957" stopIfTrue="1" operator="equal">
      <formula>-1</formula>
    </cfRule>
  </conditionalFormatting>
  <conditionalFormatting sqref="AF9">
    <cfRule type="cellIs" dxfId="14145" priority="137958" stopIfTrue="1" operator="lessThan">
      <formula>0.5</formula>
    </cfRule>
  </conditionalFormatting>
  <conditionalFormatting sqref="AF9">
    <cfRule type="cellIs" dxfId="14144" priority="137959" stopIfTrue="1" operator="greaterThanOrEqual">
      <formula>0.5</formula>
    </cfRule>
  </conditionalFormatting>
  <conditionalFormatting sqref="AF10">
    <cfRule type="cellIs" dxfId="14143" priority="137960" stopIfTrue="1" operator="equal">
      <formula>-1</formula>
    </cfRule>
  </conditionalFormatting>
  <conditionalFormatting sqref="AF10">
    <cfRule type="cellIs" dxfId="14142" priority="137961" stopIfTrue="1" operator="lessThan">
      <formula>0.5</formula>
    </cfRule>
  </conditionalFormatting>
  <conditionalFormatting sqref="AF10">
    <cfRule type="cellIs" dxfId="14141" priority="137962" stopIfTrue="1" operator="greaterThanOrEqual">
      <formula>0.5</formula>
    </cfRule>
  </conditionalFormatting>
  <conditionalFormatting sqref="AF11">
    <cfRule type="cellIs" dxfId="14140" priority="137963" stopIfTrue="1" operator="equal">
      <formula>-1</formula>
    </cfRule>
  </conditionalFormatting>
  <conditionalFormatting sqref="AF11">
    <cfRule type="cellIs" dxfId="14139" priority="137964" stopIfTrue="1" operator="lessThan">
      <formula>0.5</formula>
    </cfRule>
  </conditionalFormatting>
  <conditionalFormatting sqref="AF11">
    <cfRule type="cellIs" dxfId="14138" priority="137965" stopIfTrue="1" operator="greaterThanOrEqual">
      <formula>0.5</formula>
    </cfRule>
  </conditionalFormatting>
  <conditionalFormatting sqref="AF12">
    <cfRule type="cellIs" dxfId="14137" priority="137966" stopIfTrue="1" operator="equal">
      <formula>-1</formula>
    </cfRule>
  </conditionalFormatting>
  <conditionalFormatting sqref="AF12">
    <cfRule type="cellIs" dxfId="14136" priority="137967" stopIfTrue="1" operator="lessThan">
      <formula>0.5</formula>
    </cfRule>
  </conditionalFormatting>
  <conditionalFormatting sqref="AF12">
    <cfRule type="cellIs" dxfId="14135" priority="137968" stopIfTrue="1" operator="greaterThanOrEqual">
      <formula>0.5</formula>
    </cfRule>
  </conditionalFormatting>
  <conditionalFormatting sqref="AF13">
    <cfRule type="cellIs" dxfId="14134" priority="137969" stopIfTrue="1" operator="equal">
      <formula>-1</formula>
    </cfRule>
  </conditionalFormatting>
  <conditionalFormatting sqref="AF13">
    <cfRule type="cellIs" dxfId="14133" priority="137970" stopIfTrue="1" operator="lessThan">
      <formula>0.5</formula>
    </cfRule>
  </conditionalFormatting>
  <conditionalFormatting sqref="AF13">
    <cfRule type="cellIs" dxfId="14132" priority="137971" stopIfTrue="1" operator="greaterThanOrEqual">
      <formula>0.5</formula>
    </cfRule>
  </conditionalFormatting>
  <conditionalFormatting sqref="AF14">
    <cfRule type="cellIs" dxfId="14131" priority="137972" stopIfTrue="1" operator="equal">
      <formula>-1</formula>
    </cfRule>
  </conditionalFormatting>
  <conditionalFormatting sqref="AF14">
    <cfRule type="cellIs" dxfId="14130" priority="137973" stopIfTrue="1" operator="lessThan">
      <formula>0.5</formula>
    </cfRule>
  </conditionalFormatting>
  <conditionalFormatting sqref="AF14">
    <cfRule type="cellIs" dxfId="14129" priority="137974" stopIfTrue="1" operator="greaterThanOrEqual">
      <formula>0.5</formula>
    </cfRule>
  </conditionalFormatting>
  <conditionalFormatting sqref="AF15">
    <cfRule type="cellIs" dxfId="14128" priority="137975" stopIfTrue="1" operator="equal">
      <formula>-1</formula>
    </cfRule>
  </conditionalFormatting>
  <conditionalFormatting sqref="AF15">
    <cfRule type="cellIs" dxfId="14127" priority="137976" stopIfTrue="1" operator="lessThan">
      <formula>0.5</formula>
    </cfRule>
  </conditionalFormatting>
  <conditionalFormatting sqref="AF15">
    <cfRule type="cellIs" dxfId="14126" priority="137977" stopIfTrue="1" operator="greaterThanOrEqual">
      <formula>0.5</formula>
    </cfRule>
  </conditionalFormatting>
  <conditionalFormatting sqref="AH8">
    <cfRule type="cellIs" dxfId="14125" priority="137978" stopIfTrue="1" operator="equal">
      <formula>-1</formula>
    </cfRule>
  </conditionalFormatting>
  <conditionalFormatting sqref="AH8">
    <cfRule type="cellIs" dxfId="14124" priority="137979" stopIfTrue="1" operator="lessThan">
      <formula>0.5</formula>
    </cfRule>
  </conditionalFormatting>
  <conditionalFormatting sqref="AH8">
    <cfRule type="cellIs" dxfId="14123" priority="137980" stopIfTrue="1" operator="greaterThanOrEqual">
      <formula>0.5</formula>
    </cfRule>
  </conditionalFormatting>
  <conditionalFormatting sqref="AH9">
    <cfRule type="cellIs" dxfId="14122" priority="137981" stopIfTrue="1" operator="equal">
      <formula>-1</formula>
    </cfRule>
  </conditionalFormatting>
  <conditionalFormatting sqref="AH9">
    <cfRule type="cellIs" dxfId="14121" priority="137982" stopIfTrue="1" operator="lessThan">
      <formula>0.5</formula>
    </cfRule>
  </conditionalFormatting>
  <conditionalFormatting sqref="AH9">
    <cfRule type="cellIs" dxfId="14120" priority="137983" stopIfTrue="1" operator="greaterThanOrEqual">
      <formula>0.5</formula>
    </cfRule>
  </conditionalFormatting>
  <conditionalFormatting sqref="AH10">
    <cfRule type="cellIs" dxfId="14119" priority="137984" stopIfTrue="1" operator="equal">
      <formula>-1</formula>
    </cfRule>
  </conditionalFormatting>
  <conditionalFormatting sqref="AH10">
    <cfRule type="cellIs" dxfId="14118" priority="137985" stopIfTrue="1" operator="lessThan">
      <formula>0.5</formula>
    </cfRule>
  </conditionalFormatting>
  <conditionalFormatting sqref="AH10">
    <cfRule type="cellIs" dxfId="14117" priority="137986" stopIfTrue="1" operator="greaterThanOrEqual">
      <formula>0.5</formula>
    </cfRule>
  </conditionalFormatting>
  <conditionalFormatting sqref="AH11">
    <cfRule type="cellIs" dxfId="14116" priority="137987" stopIfTrue="1" operator="equal">
      <formula>-1</formula>
    </cfRule>
  </conditionalFormatting>
  <conditionalFormatting sqref="AH11">
    <cfRule type="cellIs" dxfId="14115" priority="137988" stopIfTrue="1" operator="lessThan">
      <formula>0.5</formula>
    </cfRule>
  </conditionalFormatting>
  <conditionalFormatting sqref="AH11">
    <cfRule type="cellIs" dxfId="14114" priority="137989" stopIfTrue="1" operator="greaterThanOrEqual">
      <formula>0.5</formula>
    </cfRule>
  </conditionalFormatting>
  <conditionalFormatting sqref="AH12">
    <cfRule type="cellIs" dxfId="14113" priority="137990" stopIfTrue="1" operator="equal">
      <formula>-1</formula>
    </cfRule>
  </conditionalFormatting>
  <conditionalFormatting sqref="AH12">
    <cfRule type="cellIs" dxfId="14112" priority="137991" stopIfTrue="1" operator="lessThan">
      <formula>0.5</formula>
    </cfRule>
  </conditionalFormatting>
  <conditionalFormatting sqref="AH12">
    <cfRule type="cellIs" dxfId="14111" priority="137992" stopIfTrue="1" operator="greaterThanOrEqual">
      <formula>0.5</formula>
    </cfRule>
  </conditionalFormatting>
  <conditionalFormatting sqref="AH13">
    <cfRule type="cellIs" dxfId="14110" priority="137993" stopIfTrue="1" operator="equal">
      <formula>-1</formula>
    </cfRule>
  </conditionalFormatting>
  <conditionalFormatting sqref="AH13">
    <cfRule type="cellIs" dxfId="14109" priority="137994" stopIfTrue="1" operator="lessThan">
      <formula>0.5</formula>
    </cfRule>
  </conditionalFormatting>
  <conditionalFormatting sqref="AH13">
    <cfRule type="cellIs" dxfId="14108" priority="137995" stopIfTrue="1" operator="greaterThanOrEqual">
      <formula>0.5</formula>
    </cfRule>
  </conditionalFormatting>
  <conditionalFormatting sqref="AH14">
    <cfRule type="cellIs" dxfId="14107" priority="137996" stopIfTrue="1" operator="equal">
      <formula>-1</formula>
    </cfRule>
  </conditionalFormatting>
  <conditionalFormatting sqref="AH14">
    <cfRule type="cellIs" dxfId="14106" priority="137997" stopIfTrue="1" operator="lessThan">
      <formula>0.5</formula>
    </cfRule>
  </conditionalFormatting>
  <conditionalFormatting sqref="AH14">
    <cfRule type="cellIs" dxfId="14105" priority="137998" stopIfTrue="1" operator="greaterThanOrEqual">
      <formula>0.5</formula>
    </cfRule>
  </conditionalFormatting>
  <conditionalFormatting sqref="AH15">
    <cfRule type="cellIs" dxfId="14104" priority="137999" stopIfTrue="1" operator="equal">
      <formula>-1</formula>
    </cfRule>
  </conditionalFormatting>
  <conditionalFormatting sqref="AH15">
    <cfRule type="cellIs" dxfId="14103" priority="138000" stopIfTrue="1" operator="lessThan">
      <formula>0.5</formula>
    </cfRule>
  </conditionalFormatting>
  <conditionalFormatting sqref="AH15">
    <cfRule type="cellIs" dxfId="14102" priority="138001" stopIfTrue="1" operator="greaterThanOrEqual">
      <formula>0.5</formula>
    </cfRule>
  </conditionalFormatting>
  <conditionalFormatting sqref="AJ8">
    <cfRule type="cellIs" dxfId="14101" priority="138002" stopIfTrue="1" operator="equal">
      <formula>-1</formula>
    </cfRule>
  </conditionalFormatting>
  <conditionalFormatting sqref="AJ8">
    <cfRule type="cellIs" dxfId="14100" priority="138003" stopIfTrue="1" operator="lessThan">
      <formula>0.5</formula>
    </cfRule>
  </conditionalFormatting>
  <conditionalFormatting sqref="AJ8">
    <cfRule type="cellIs" dxfId="14099" priority="138004" stopIfTrue="1" operator="greaterThanOrEqual">
      <formula>0.5</formula>
    </cfRule>
  </conditionalFormatting>
  <conditionalFormatting sqref="AJ9">
    <cfRule type="cellIs" dxfId="14098" priority="138005" stopIfTrue="1" operator="equal">
      <formula>-1</formula>
    </cfRule>
  </conditionalFormatting>
  <conditionalFormatting sqref="AJ9">
    <cfRule type="cellIs" dxfId="14097" priority="138006" stopIfTrue="1" operator="lessThan">
      <formula>0.5</formula>
    </cfRule>
  </conditionalFormatting>
  <conditionalFormatting sqref="AJ9">
    <cfRule type="cellIs" dxfId="14096" priority="138007" stopIfTrue="1" operator="greaterThanOrEqual">
      <formula>0.5</formula>
    </cfRule>
  </conditionalFormatting>
  <conditionalFormatting sqref="AJ10">
    <cfRule type="cellIs" dxfId="14095" priority="138008" stopIfTrue="1" operator="equal">
      <formula>-1</formula>
    </cfRule>
  </conditionalFormatting>
  <conditionalFormatting sqref="AJ10">
    <cfRule type="cellIs" dxfId="14094" priority="138009" stopIfTrue="1" operator="lessThan">
      <formula>0.5</formula>
    </cfRule>
  </conditionalFormatting>
  <conditionalFormatting sqref="AJ10">
    <cfRule type="cellIs" dxfId="14093" priority="138010" stopIfTrue="1" operator="greaterThanOrEqual">
      <formula>0.5</formula>
    </cfRule>
  </conditionalFormatting>
  <conditionalFormatting sqref="AJ11">
    <cfRule type="cellIs" dxfId="14092" priority="138011" stopIfTrue="1" operator="equal">
      <formula>-1</formula>
    </cfRule>
  </conditionalFormatting>
  <conditionalFormatting sqref="AJ11">
    <cfRule type="cellIs" dxfId="14091" priority="138012" stopIfTrue="1" operator="lessThan">
      <formula>0.5</formula>
    </cfRule>
  </conditionalFormatting>
  <conditionalFormatting sqref="AJ11">
    <cfRule type="cellIs" dxfId="14090" priority="138013" stopIfTrue="1" operator="greaterThanOrEqual">
      <formula>0.5</formula>
    </cfRule>
  </conditionalFormatting>
  <conditionalFormatting sqref="AJ12">
    <cfRule type="cellIs" dxfId="14089" priority="138014" stopIfTrue="1" operator="equal">
      <formula>-1</formula>
    </cfRule>
  </conditionalFormatting>
  <conditionalFormatting sqref="AJ12">
    <cfRule type="cellIs" dxfId="14088" priority="138015" stopIfTrue="1" operator="lessThan">
      <formula>0.5</formula>
    </cfRule>
  </conditionalFormatting>
  <conditionalFormatting sqref="AJ12">
    <cfRule type="cellIs" dxfId="14087" priority="138016" stopIfTrue="1" operator="greaterThanOrEqual">
      <formula>0.5</formula>
    </cfRule>
  </conditionalFormatting>
  <conditionalFormatting sqref="AJ13">
    <cfRule type="cellIs" dxfId="14086" priority="138017" stopIfTrue="1" operator="equal">
      <formula>-1</formula>
    </cfRule>
  </conditionalFormatting>
  <conditionalFormatting sqref="AJ13">
    <cfRule type="cellIs" dxfId="14085" priority="138018" stopIfTrue="1" operator="lessThan">
      <formula>0.5</formula>
    </cfRule>
  </conditionalFormatting>
  <conditionalFormatting sqref="AJ13">
    <cfRule type="cellIs" dxfId="14084" priority="138019" stopIfTrue="1" operator="greaterThanOrEqual">
      <formula>0.5</formula>
    </cfRule>
  </conditionalFormatting>
  <conditionalFormatting sqref="AJ14">
    <cfRule type="cellIs" dxfId="14083" priority="138020" stopIfTrue="1" operator="equal">
      <formula>-1</formula>
    </cfRule>
  </conditionalFormatting>
  <conditionalFormatting sqref="AJ14">
    <cfRule type="cellIs" dxfId="14082" priority="138021" stopIfTrue="1" operator="lessThan">
      <formula>0.5</formula>
    </cfRule>
  </conditionalFormatting>
  <conditionalFormatting sqref="AJ14">
    <cfRule type="cellIs" dxfId="14081" priority="138022" stopIfTrue="1" operator="greaterThanOrEqual">
      <formula>0.5</formula>
    </cfRule>
  </conditionalFormatting>
  <conditionalFormatting sqref="AJ15">
    <cfRule type="cellIs" dxfId="14080" priority="138023" stopIfTrue="1" operator="equal">
      <formula>-1</formula>
    </cfRule>
  </conditionalFormatting>
  <conditionalFormatting sqref="AJ15">
    <cfRule type="cellIs" dxfId="14079" priority="138024" stopIfTrue="1" operator="lessThan">
      <formula>0.5</formula>
    </cfRule>
  </conditionalFormatting>
  <conditionalFormatting sqref="AJ15">
    <cfRule type="cellIs" dxfId="14078" priority="138025" stopIfTrue="1" operator="greaterThanOrEqual">
      <formula>0.5</formula>
    </cfRule>
  </conditionalFormatting>
  <conditionalFormatting sqref="AL8">
    <cfRule type="cellIs" dxfId="14077" priority="138026" stopIfTrue="1" operator="equal">
      <formula>-1</formula>
    </cfRule>
  </conditionalFormatting>
  <conditionalFormatting sqref="AL8">
    <cfRule type="cellIs" dxfId="14076" priority="138027" stopIfTrue="1" operator="lessThan">
      <formula>0.5</formula>
    </cfRule>
  </conditionalFormatting>
  <conditionalFormatting sqref="AL8">
    <cfRule type="cellIs" dxfId="14075" priority="138028" stopIfTrue="1" operator="greaterThanOrEqual">
      <formula>0.5</formula>
    </cfRule>
  </conditionalFormatting>
  <conditionalFormatting sqref="AL9">
    <cfRule type="cellIs" dxfId="14074" priority="138029" stopIfTrue="1" operator="equal">
      <formula>-1</formula>
    </cfRule>
  </conditionalFormatting>
  <conditionalFormatting sqref="AL9">
    <cfRule type="cellIs" dxfId="14073" priority="138030" stopIfTrue="1" operator="lessThan">
      <formula>0.5</formula>
    </cfRule>
  </conditionalFormatting>
  <conditionalFormatting sqref="AL9">
    <cfRule type="cellIs" dxfId="14072" priority="138031" stopIfTrue="1" operator="greaterThanOrEqual">
      <formula>0.5</formula>
    </cfRule>
  </conditionalFormatting>
  <conditionalFormatting sqref="AL10">
    <cfRule type="cellIs" dxfId="14071" priority="138032" stopIfTrue="1" operator="equal">
      <formula>-1</formula>
    </cfRule>
  </conditionalFormatting>
  <conditionalFormatting sqref="AL10">
    <cfRule type="cellIs" dxfId="14070" priority="138033" stopIfTrue="1" operator="lessThan">
      <formula>0.5</formula>
    </cfRule>
  </conditionalFormatting>
  <conditionalFormatting sqref="AL10">
    <cfRule type="cellIs" dxfId="14069" priority="138034" stopIfTrue="1" operator="greaterThanOrEqual">
      <formula>0.5</formula>
    </cfRule>
  </conditionalFormatting>
  <conditionalFormatting sqref="AL11">
    <cfRule type="cellIs" dxfId="14068" priority="138035" stopIfTrue="1" operator="equal">
      <formula>-1</formula>
    </cfRule>
  </conditionalFormatting>
  <conditionalFormatting sqref="AL11">
    <cfRule type="cellIs" dxfId="14067" priority="138036" stopIfTrue="1" operator="lessThan">
      <formula>0.5</formula>
    </cfRule>
  </conditionalFormatting>
  <conditionalFormatting sqref="AL11">
    <cfRule type="cellIs" dxfId="14066" priority="138037" stopIfTrue="1" operator="greaterThanOrEqual">
      <formula>0.5</formula>
    </cfRule>
  </conditionalFormatting>
  <conditionalFormatting sqref="AL12">
    <cfRule type="cellIs" dxfId="14065" priority="138038" stopIfTrue="1" operator="equal">
      <formula>-1</formula>
    </cfRule>
  </conditionalFormatting>
  <conditionalFormatting sqref="AL12">
    <cfRule type="cellIs" dxfId="14064" priority="138039" stopIfTrue="1" operator="lessThan">
      <formula>0.5</formula>
    </cfRule>
  </conditionalFormatting>
  <conditionalFormatting sqref="AL12">
    <cfRule type="cellIs" dxfId="14063" priority="138040" stopIfTrue="1" operator="greaterThanOrEqual">
      <formula>0.5</formula>
    </cfRule>
  </conditionalFormatting>
  <conditionalFormatting sqref="AL13">
    <cfRule type="cellIs" dxfId="14062" priority="138041" stopIfTrue="1" operator="equal">
      <formula>-1</formula>
    </cfRule>
  </conditionalFormatting>
  <conditionalFormatting sqref="AL13">
    <cfRule type="cellIs" dxfId="14061" priority="138042" stopIfTrue="1" operator="lessThan">
      <formula>0.5</formula>
    </cfRule>
  </conditionalFormatting>
  <conditionalFormatting sqref="AL13">
    <cfRule type="cellIs" dxfId="14060" priority="138043" stopIfTrue="1" operator="greaterThanOrEqual">
      <formula>0.5</formula>
    </cfRule>
  </conditionalFormatting>
  <conditionalFormatting sqref="AL14">
    <cfRule type="cellIs" dxfId="14059" priority="138044" stopIfTrue="1" operator="equal">
      <formula>-1</formula>
    </cfRule>
  </conditionalFormatting>
  <conditionalFormatting sqref="AL14">
    <cfRule type="cellIs" dxfId="14058" priority="138045" stopIfTrue="1" operator="lessThan">
      <formula>0.5</formula>
    </cfRule>
  </conditionalFormatting>
  <conditionalFormatting sqref="AL14">
    <cfRule type="cellIs" dxfId="14057" priority="138046" stopIfTrue="1" operator="greaterThanOrEqual">
      <formula>0.5</formula>
    </cfRule>
  </conditionalFormatting>
  <conditionalFormatting sqref="AL15">
    <cfRule type="cellIs" dxfId="14056" priority="138047" stopIfTrue="1" operator="equal">
      <formula>-1</formula>
    </cfRule>
  </conditionalFormatting>
  <conditionalFormatting sqref="AL15">
    <cfRule type="cellIs" dxfId="14055" priority="138048" stopIfTrue="1" operator="lessThan">
      <formula>0.5</formula>
    </cfRule>
  </conditionalFormatting>
  <conditionalFormatting sqref="AL15">
    <cfRule type="cellIs" dxfId="14054" priority="138049" stopIfTrue="1" operator="greaterThanOrEqual">
      <formula>0.5</formula>
    </cfRule>
  </conditionalFormatting>
  <conditionalFormatting sqref="AN8">
    <cfRule type="cellIs" dxfId="14053" priority="138050" stopIfTrue="1" operator="equal">
      <formula>-1</formula>
    </cfRule>
  </conditionalFormatting>
  <conditionalFormatting sqref="AN8">
    <cfRule type="cellIs" dxfId="14052" priority="138051" stopIfTrue="1" operator="lessThan">
      <formula>0.5</formula>
    </cfRule>
  </conditionalFormatting>
  <conditionalFormatting sqref="AN8">
    <cfRule type="cellIs" dxfId="14051" priority="138052" stopIfTrue="1" operator="greaterThanOrEqual">
      <formula>0.5</formula>
    </cfRule>
  </conditionalFormatting>
  <conditionalFormatting sqref="AN9">
    <cfRule type="cellIs" dxfId="14050" priority="138053" stopIfTrue="1" operator="equal">
      <formula>-1</formula>
    </cfRule>
  </conditionalFormatting>
  <conditionalFormatting sqref="AN9">
    <cfRule type="cellIs" dxfId="14049" priority="138054" stopIfTrue="1" operator="lessThan">
      <formula>0.5</formula>
    </cfRule>
  </conditionalFormatting>
  <conditionalFormatting sqref="AN9">
    <cfRule type="cellIs" dxfId="14048" priority="138055" stopIfTrue="1" operator="greaterThanOrEqual">
      <formula>0.5</formula>
    </cfRule>
  </conditionalFormatting>
  <conditionalFormatting sqref="AN10">
    <cfRule type="cellIs" dxfId="14047" priority="138056" stopIfTrue="1" operator="equal">
      <formula>-1</formula>
    </cfRule>
  </conditionalFormatting>
  <conditionalFormatting sqref="AN10">
    <cfRule type="cellIs" dxfId="14046" priority="138057" stopIfTrue="1" operator="lessThan">
      <formula>0.5</formula>
    </cfRule>
  </conditionalFormatting>
  <conditionalFormatting sqref="AN10">
    <cfRule type="cellIs" dxfId="14045" priority="138058" stopIfTrue="1" operator="greaterThanOrEqual">
      <formula>0.5</formula>
    </cfRule>
  </conditionalFormatting>
  <conditionalFormatting sqref="AN11">
    <cfRule type="cellIs" dxfId="14044" priority="138059" stopIfTrue="1" operator="equal">
      <formula>-1</formula>
    </cfRule>
  </conditionalFormatting>
  <conditionalFormatting sqref="AN11">
    <cfRule type="cellIs" dxfId="14043" priority="138060" stopIfTrue="1" operator="lessThan">
      <formula>0.5</formula>
    </cfRule>
  </conditionalFormatting>
  <conditionalFormatting sqref="AN11">
    <cfRule type="cellIs" dxfId="14042" priority="138061" stopIfTrue="1" operator="greaterThanOrEqual">
      <formula>0.5</formula>
    </cfRule>
  </conditionalFormatting>
  <conditionalFormatting sqref="AN12">
    <cfRule type="cellIs" dxfId="14041" priority="138062" stopIfTrue="1" operator="equal">
      <formula>-1</formula>
    </cfRule>
  </conditionalFormatting>
  <conditionalFormatting sqref="AN12">
    <cfRule type="cellIs" dxfId="14040" priority="138063" stopIfTrue="1" operator="lessThan">
      <formula>0.5</formula>
    </cfRule>
  </conditionalFormatting>
  <conditionalFormatting sqref="AN12">
    <cfRule type="cellIs" dxfId="14039" priority="138064" stopIfTrue="1" operator="greaterThanOrEqual">
      <formula>0.5</formula>
    </cfRule>
  </conditionalFormatting>
  <conditionalFormatting sqref="AN13">
    <cfRule type="cellIs" dxfId="14038" priority="138065" stopIfTrue="1" operator="equal">
      <formula>-1</formula>
    </cfRule>
  </conditionalFormatting>
  <conditionalFormatting sqref="AN13">
    <cfRule type="cellIs" dxfId="14037" priority="138066" stopIfTrue="1" operator="lessThan">
      <formula>0.5</formula>
    </cfRule>
  </conditionalFormatting>
  <conditionalFormatting sqref="AN13">
    <cfRule type="cellIs" dxfId="14036" priority="138067" stopIfTrue="1" operator="greaterThanOrEqual">
      <formula>0.5</formula>
    </cfRule>
  </conditionalFormatting>
  <conditionalFormatting sqref="AN14">
    <cfRule type="cellIs" dxfId="14035" priority="138068" stopIfTrue="1" operator="equal">
      <formula>-1</formula>
    </cfRule>
  </conditionalFormatting>
  <conditionalFormatting sqref="AN14">
    <cfRule type="cellIs" dxfId="14034" priority="138069" stopIfTrue="1" operator="lessThan">
      <formula>0.5</formula>
    </cfRule>
  </conditionalFormatting>
  <conditionalFormatting sqref="AN14">
    <cfRule type="cellIs" dxfId="14033" priority="138070" stopIfTrue="1" operator="greaterThanOrEqual">
      <formula>0.5</formula>
    </cfRule>
  </conditionalFormatting>
  <conditionalFormatting sqref="AN15">
    <cfRule type="cellIs" dxfId="14032" priority="138071" stopIfTrue="1" operator="equal">
      <formula>-1</formula>
    </cfRule>
  </conditionalFormatting>
  <conditionalFormatting sqref="AN15">
    <cfRule type="cellIs" dxfId="14031" priority="138072" stopIfTrue="1" operator="lessThan">
      <formula>0.5</formula>
    </cfRule>
  </conditionalFormatting>
  <conditionalFormatting sqref="AN15">
    <cfRule type="cellIs" dxfId="14030" priority="138073" stopIfTrue="1" operator="greaterThanOrEqual">
      <formula>0.5</formula>
    </cfRule>
  </conditionalFormatting>
  <conditionalFormatting sqref="AP8">
    <cfRule type="cellIs" dxfId="14029" priority="138074" stopIfTrue="1" operator="equal">
      <formula>-1</formula>
    </cfRule>
  </conditionalFormatting>
  <conditionalFormatting sqref="AP8">
    <cfRule type="cellIs" dxfId="14028" priority="138075" stopIfTrue="1" operator="lessThan">
      <formula>0.5</formula>
    </cfRule>
  </conditionalFormatting>
  <conditionalFormatting sqref="AP8">
    <cfRule type="cellIs" dxfId="14027" priority="138076" stopIfTrue="1" operator="greaterThanOrEqual">
      <formula>0.5</formula>
    </cfRule>
  </conditionalFormatting>
  <conditionalFormatting sqref="AP9">
    <cfRule type="cellIs" dxfId="14026" priority="138077" stopIfTrue="1" operator="equal">
      <formula>-1</formula>
    </cfRule>
  </conditionalFormatting>
  <conditionalFormatting sqref="AP9">
    <cfRule type="cellIs" dxfId="14025" priority="138078" stopIfTrue="1" operator="lessThan">
      <formula>0.5</formula>
    </cfRule>
  </conditionalFormatting>
  <conditionalFormatting sqref="AP9">
    <cfRule type="cellIs" dxfId="14024" priority="138079" stopIfTrue="1" operator="greaterThanOrEqual">
      <formula>0.5</formula>
    </cfRule>
  </conditionalFormatting>
  <conditionalFormatting sqref="AP10">
    <cfRule type="cellIs" dxfId="14023" priority="138080" stopIfTrue="1" operator="equal">
      <formula>-1</formula>
    </cfRule>
  </conditionalFormatting>
  <conditionalFormatting sqref="AP10">
    <cfRule type="cellIs" dxfId="14022" priority="138081" stopIfTrue="1" operator="lessThan">
      <formula>0.5</formula>
    </cfRule>
  </conditionalFormatting>
  <conditionalFormatting sqref="AP10">
    <cfRule type="cellIs" dxfId="14021" priority="138082" stopIfTrue="1" operator="greaterThanOrEqual">
      <formula>0.5</formula>
    </cfRule>
  </conditionalFormatting>
  <conditionalFormatting sqref="AP11">
    <cfRule type="cellIs" dxfId="14020" priority="138083" stopIfTrue="1" operator="equal">
      <formula>-1</formula>
    </cfRule>
  </conditionalFormatting>
  <conditionalFormatting sqref="AP11">
    <cfRule type="cellIs" dxfId="14019" priority="138084" stopIfTrue="1" operator="lessThan">
      <formula>0.5</formula>
    </cfRule>
  </conditionalFormatting>
  <conditionalFormatting sqref="AP11">
    <cfRule type="cellIs" dxfId="14018" priority="138085" stopIfTrue="1" operator="greaterThanOrEqual">
      <formula>0.5</formula>
    </cfRule>
  </conditionalFormatting>
  <conditionalFormatting sqref="AP12">
    <cfRule type="cellIs" dxfId="14017" priority="138086" stopIfTrue="1" operator="equal">
      <formula>-1</formula>
    </cfRule>
  </conditionalFormatting>
  <conditionalFormatting sqref="AP12">
    <cfRule type="cellIs" dxfId="14016" priority="138087" stopIfTrue="1" operator="lessThan">
      <formula>0.5</formula>
    </cfRule>
  </conditionalFormatting>
  <conditionalFormatting sqref="AP12">
    <cfRule type="cellIs" dxfId="14015" priority="138088" stopIfTrue="1" operator="greaterThanOrEqual">
      <formula>0.5</formula>
    </cfRule>
  </conditionalFormatting>
  <conditionalFormatting sqref="AP13">
    <cfRule type="cellIs" dxfId="14014" priority="138089" stopIfTrue="1" operator="equal">
      <formula>-1</formula>
    </cfRule>
  </conditionalFormatting>
  <conditionalFormatting sqref="AP13">
    <cfRule type="cellIs" dxfId="14013" priority="138090" stopIfTrue="1" operator="lessThan">
      <formula>0.5</formula>
    </cfRule>
  </conditionalFormatting>
  <conditionalFormatting sqref="AP13">
    <cfRule type="cellIs" dxfId="14012" priority="138091" stopIfTrue="1" operator="greaterThanOrEqual">
      <formula>0.5</formula>
    </cfRule>
  </conditionalFormatting>
  <conditionalFormatting sqref="AP14">
    <cfRule type="cellIs" dxfId="14011" priority="138092" stopIfTrue="1" operator="equal">
      <formula>-1</formula>
    </cfRule>
  </conditionalFormatting>
  <conditionalFormatting sqref="AP14">
    <cfRule type="cellIs" dxfId="14010" priority="138093" stopIfTrue="1" operator="lessThan">
      <formula>0.5</formula>
    </cfRule>
  </conditionalFormatting>
  <conditionalFormatting sqref="AP14">
    <cfRule type="cellIs" dxfId="14009" priority="138094" stopIfTrue="1" operator="greaterThanOrEqual">
      <formula>0.5</formula>
    </cfRule>
  </conditionalFormatting>
  <conditionalFormatting sqref="AP15">
    <cfRule type="cellIs" dxfId="14008" priority="138095" stopIfTrue="1" operator="equal">
      <formula>-1</formula>
    </cfRule>
  </conditionalFormatting>
  <conditionalFormatting sqref="AP15">
    <cfRule type="cellIs" dxfId="14007" priority="138096" stopIfTrue="1" operator="lessThan">
      <formula>0.5</formula>
    </cfRule>
  </conditionalFormatting>
  <conditionalFormatting sqref="AP15">
    <cfRule type="cellIs" dxfId="14006" priority="138097" stopIfTrue="1" operator="greaterThanOrEqual">
      <formula>0.5</formula>
    </cfRule>
  </conditionalFormatting>
  <conditionalFormatting sqref="AR8">
    <cfRule type="cellIs" dxfId="14005" priority="138098" stopIfTrue="1" operator="equal">
      <formula>-1</formula>
    </cfRule>
  </conditionalFormatting>
  <conditionalFormatting sqref="AR8">
    <cfRule type="cellIs" dxfId="14004" priority="138099" stopIfTrue="1" operator="lessThan">
      <formula>0.5</formula>
    </cfRule>
  </conditionalFormatting>
  <conditionalFormatting sqref="AR8">
    <cfRule type="cellIs" dxfId="14003" priority="138100" stopIfTrue="1" operator="greaterThanOrEqual">
      <formula>0.5</formula>
    </cfRule>
  </conditionalFormatting>
  <conditionalFormatting sqref="AR9">
    <cfRule type="cellIs" dxfId="14002" priority="138101" stopIfTrue="1" operator="equal">
      <formula>-1</formula>
    </cfRule>
  </conditionalFormatting>
  <conditionalFormatting sqref="AR9">
    <cfRule type="cellIs" dxfId="14001" priority="138102" stopIfTrue="1" operator="lessThan">
      <formula>0.5</formula>
    </cfRule>
  </conditionalFormatting>
  <conditionalFormatting sqref="AR9">
    <cfRule type="cellIs" dxfId="14000" priority="138103" stopIfTrue="1" operator="greaterThanOrEqual">
      <formula>0.5</formula>
    </cfRule>
  </conditionalFormatting>
  <conditionalFormatting sqref="AR10">
    <cfRule type="cellIs" dxfId="13999" priority="138104" stopIfTrue="1" operator="equal">
      <formula>-1</formula>
    </cfRule>
  </conditionalFormatting>
  <conditionalFormatting sqref="AR10">
    <cfRule type="cellIs" dxfId="13998" priority="138105" stopIfTrue="1" operator="lessThan">
      <formula>0.5</formula>
    </cfRule>
  </conditionalFormatting>
  <conditionalFormatting sqref="AR10">
    <cfRule type="cellIs" dxfId="13997" priority="138106" stopIfTrue="1" operator="greaterThanOrEqual">
      <formula>0.5</formula>
    </cfRule>
  </conditionalFormatting>
  <conditionalFormatting sqref="AR11">
    <cfRule type="cellIs" dxfId="13996" priority="138107" stopIfTrue="1" operator="equal">
      <formula>-1</formula>
    </cfRule>
  </conditionalFormatting>
  <conditionalFormatting sqref="AR11">
    <cfRule type="cellIs" dxfId="13995" priority="138108" stopIfTrue="1" operator="lessThan">
      <formula>0.5</formula>
    </cfRule>
  </conditionalFormatting>
  <conditionalFormatting sqref="AR11">
    <cfRule type="cellIs" dxfId="13994" priority="138109" stopIfTrue="1" operator="greaterThanOrEqual">
      <formula>0.5</formula>
    </cfRule>
  </conditionalFormatting>
  <conditionalFormatting sqref="AR12">
    <cfRule type="cellIs" dxfId="13993" priority="138110" stopIfTrue="1" operator="equal">
      <formula>-1</formula>
    </cfRule>
  </conditionalFormatting>
  <conditionalFormatting sqref="AR12">
    <cfRule type="cellIs" dxfId="13992" priority="138111" stopIfTrue="1" operator="lessThan">
      <formula>0.5</formula>
    </cfRule>
  </conditionalFormatting>
  <conditionalFormatting sqref="AR12">
    <cfRule type="cellIs" dxfId="13991" priority="138112" stopIfTrue="1" operator="greaterThanOrEqual">
      <formula>0.5</formula>
    </cfRule>
  </conditionalFormatting>
  <conditionalFormatting sqref="AR13">
    <cfRule type="cellIs" dxfId="13990" priority="138113" stopIfTrue="1" operator="equal">
      <formula>-1</formula>
    </cfRule>
  </conditionalFormatting>
  <conditionalFormatting sqref="AR13">
    <cfRule type="cellIs" dxfId="13989" priority="138114" stopIfTrue="1" operator="lessThan">
      <formula>0.5</formula>
    </cfRule>
  </conditionalFormatting>
  <conditionalFormatting sqref="AR13">
    <cfRule type="cellIs" dxfId="13988" priority="138115" stopIfTrue="1" operator="greaterThanOrEqual">
      <formula>0.5</formula>
    </cfRule>
  </conditionalFormatting>
  <conditionalFormatting sqref="AR14">
    <cfRule type="cellIs" dxfId="13987" priority="138116" stopIfTrue="1" operator="equal">
      <formula>-1</formula>
    </cfRule>
  </conditionalFormatting>
  <conditionalFormatting sqref="AR14">
    <cfRule type="cellIs" dxfId="13986" priority="138117" stopIfTrue="1" operator="lessThan">
      <formula>0.5</formula>
    </cfRule>
  </conditionalFormatting>
  <conditionalFormatting sqref="AR14">
    <cfRule type="cellIs" dxfId="13985" priority="138118" stopIfTrue="1" operator="greaterThanOrEqual">
      <formula>0.5</formula>
    </cfRule>
  </conditionalFormatting>
  <conditionalFormatting sqref="AR15">
    <cfRule type="cellIs" dxfId="13984" priority="138119" stopIfTrue="1" operator="equal">
      <formula>-1</formula>
    </cfRule>
  </conditionalFormatting>
  <conditionalFormatting sqref="AR15">
    <cfRule type="cellIs" dxfId="13983" priority="138120" stopIfTrue="1" operator="lessThan">
      <formula>0.5</formula>
    </cfRule>
  </conditionalFormatting>
  <conditionalFormatting sqref="AR15">
    <cfRule type="cellIs" dxfId="13982" priority="138121" stopIfTrue="1" operator="greaterThanOrEqual">
      <formula>0.5</formula>
    </cfRule>
  </conditionalFormatting>
  <conditionalFormatting sqref="AT8">
    <cfRule type="cellIs" dxfId="13981" priority="138122" stopIfTrue="1" operator="equal">
      <formula>-1</formula>
    </cfRule>
  </conditionalFormatting>
  <conditionalFormatting sqref="AT8">
    <cfRule type="cellIs" dxfId="13980" priority="138123" stopIfTrue="1" operator="lessThan">
      <formula>0.5</formula>
    </cfRule>
  </conditionalFormatting>
  <conditionalFormatting sqref="AT8">
    <cfRule type="cellIs" dxfId="13979" priority="138124" stopIfTrue="1" operator="greaterThanOrEqual">
      <formula>0.5</formula>
    </cfRule>
  </conditionalFormatting>
  <conditionalFormatting sqref="AT9">
    <cfRule type="cellIs" dxfId="13978" priority="138125" stopIfTrue="1" operator="equal">
      <formula>-1</formula>
    </cfRule>
  </conditionalFormatting>
  <conditionalFormatting sqref="AT9">
    <cfRule type="cellIs" dxfId="13977" priority="138126" stopIfTrue="1" operator="lessThan">
      <formula>0.5</formula>
    </cfRule>
  </conditionalFormatting>
  <conditionalFormatting sqref="AT9">
    <cfRule type="cellIs" dxfId="13976" priority="138127" stopIfTrue="1" operator="greaterThanOrEqual">
      <formula>0.5</formula>
    </cfRule>
  </conditionalFormatting>
  <conditionalFormatting sqref="AT10">
    <cfRule type="cellIs" dxfId="13975" priority="138128" stopIfTrue="1" operator="equal">
      <formula>-1</formula>
    </cfRule>
  </conditionalFormatting>
  <conditionalFormatting sqref="AT10">
    <cfRule type="cellIs" dxfId="13974" priority="138129" stopIfTrue="1" operator="lessThan">
      <formula>0.5</formula>
    </cfRule>
  </conditionalFormatting>
  <conditionalFormatting sqref="AT10">
    <cfRule type="cellIs" dxfId="13973" priority="138130" stopIfTrue="1" operator="greaterThanOrEqual">
      <formula>0.5</formula>
    </cfRule>
  </conditionalFormatting>
  <conditionalFormatting sqref="AT11">
    <cfRule type="cellIs" dxfId="13972" priority="138131" stopIfTrue="1" operator="equal">
      <formula>-1</formula>
    </cfRule>
  </conditionalFormatting>
  <conditionalFormatting sqref="AT11">
    <cfRule type="cellIs" dxfId="13971" priority="138132" stopIfTrue="1" operator="lessThan">
      <formula>0.5</formula>
    </cfRule>
  </conditionalFormatting>
  <conditionalFormatting sqref="AT11">
    <cfRule type="cellIs" dxfId="13970" priority="138133" stopIfTrue="1" operator="greaterThanOrEqual">
      <formula>0.5</formula>
    </cfRule>
  </conditionalFormatting>
  <conditionalFormatting sqref="AT12">
    <cfRule type="cellIs" dxfId="13969" priority="138134" stopIfTrue="1" operator="equal">
      <formula>-1</formula>
    </cfRule>
  </conditionalFormatting>
  <conditionalFormatting sqref="AT12">
    <cfRule type="cellIs" dxfId="13968" priority="138135" stopIfTrue="1" operator="lessThan">
      <formula>0.5</formula>
    </cfRule>
  </conditionalFormatting>
  <conditionalFormatting sqref="AT12">
    <cfRule type="cellIs" dxfId="13967" priority="138136" stopIfTrue="1" operator="greaterThanOrEqual">
      <formula>0.5</formula>
    </cfRule>
  </conditionalFormatting>
  <conditionalFormatting sqref="AT13">
    <cfRule type="cellIs" dxfId="13966" priority="138137" stopIfTrue="1" operator="equal">
      <formula>-1</formula>
    </cfRule>
  </conditionalFormatting>
  <conditionalFormatting sqref="AT13">
    <cfRule type="cellIs" dxfId="13965" priority="138138" stopIfTrue="1" operator="lessThan">
      <formula>0.5</formula>
    </cfRule>
  </conditionalFormatting>
  <conditionalFormatting sqref="AT13">
    <cfRule type="cellIs" dxfId="13964" priority="138139" stopIfTrue="1" operator="greaterThanOrEqual">
      <formula>0.5</formula>
    </cfRule>
  </conditionalFormatting>
  <conditionalFormatting sqref="AT14">
    <cfRule type="cellIs" dxfId="13963" priority="138140" stopIfTrue="1" operator="equal">
      <formula>-1</formula>
    </cfRule>
  </conditionalFormatting>
  <conditionalFormatting sqref="AT14">
    <cfRule type="cellIs" dxfId="13962" priority="138141" stopIfTrue="1" operator="lessThan">
      <formula>0.5</formula>
    </cfRule>
  </conditionalFormatting>
  <conditionalFormatting sqref="AT14">
    <cfRule type="cellIs" dxfId="13961" priority="138142" stopIfTrue="1" operator="greaterThanOrEqual">
      <formula>0.5</formula>
    </cfRule>
  </conditionalFormatting>
  <conditionalFormatting sqref="AT15">
    <cfRule type="cellIs" dxfId="13960" priority="138143" stopIfTrue="1" operator="equal">
      <formula>-1</formula>
    </cfRule>
  </conditionalFormatting>
  <conditionalFormatting sqref="AT15">
    <cfRule type="cellIs" dxfId="13959" priority="138144" stopIfTrue="1" operator="lessThan">
      <formula>0.5</formula>
    </cfRule>
  </conditionalFormatting>
  <conditionalFormatting sqref="AT15">
    <cfRule type="cellIs" dxfId="13958" priority="138145" stopIfTrue="1" operator="greaterThanOrEqual">
      <formula>0.5</formula>
    </cfRule>
  </conditionalFormatting>
  <conditionalFormatting sqref="AV8">
    <cfRule type="cellIs" dxfId="13957" priority="138146" stopIfTrue="1" operator="equal">
      <formula>-1</formula>
    </cfRule>
  </conditionalFormatting>
  <conditionalFormatting sqref="AV8">
    <cfRule type="cellIs" dxfId="13956" priority="138147" stopIfTrue="1" operator="lessThan">
      <formula>0.5</formula>
    </cfRule>
  </conditionalFormatting>
  <conditionalFormatting sqref="AV8">
    <cfRule type="cellIs" dxfId="13955" priority="138148" stopIfTrue="1" operator="greaterThanOrEqual">
      <formula>0.5</formula>
    </cfRule>
  </conditionalFormatting>
  <conditionalFormatting sqref="AV9">
    <cfRule type="cellIs" dxfId="13954" priority="138149" stopIfTrue="1" operator="equal">
      <formula>-1</formula>
    </cfRule>
  </conditionalFormatting>
  <conditionalFormatting sqref="AV9">
    <cfRule type="cellIs" dxfId="13953" priority="138150" stopIfTrue="1" operator="lessThan">
      <formula>0.5</formula>
    </cfRule>
  </conditionalFormatting>
  <conditionalFormatting sqref="AV9">
    <cfRule type="cellIs" dxfId="13952" priority="138151" stopIfTrue="1" operator="greaterThanOrEqual">
      <formula>0.5</formula>
    </cfRule>
  </conditionalFormatting>
  <conditionalFormatting sqref="AV10">
    <cfRule type="cellIs" dxfId="13951" priority="138152" stopIfTrue="1" operator="equal">
      <formula>-1</formula>
    </cfRule>
  </conditionalFormatting>
  <conditionalFormatting sqref="AV10">
    <cfRule type="cellIs" dxfId="13950" priority="138153" stopIfTrue="1" operator="lessThan">
      <formula>0.5</formula>
    </cfRule>
  </conditionalFormatting>
  <conditionalFormatting sqref="AV10">
    <cfRule type="cellIs" dxfId="13949" priority="138154" stopIfTrue="1" operator="greaterThanOrEqual">
      <formula>0.5</formula>
    </cfRule>
  </conditionalFormatting>
  <conditionalFormatting sqref="AV11">
    <cfRule type="cellIs" dxfId="13948" priority="138155" stopIfTrue="1" operator="equal">
      <formula>-1</formula>
    </cfRule>
  </conditionalFormatting>
  <conditionalFormatting sqref="AV11">
    <cfRule type="cellIs" dxfId="13947" priority="138156" stopIfTrue="1" operator="lessThan">
      <formula>0.5</formula>
    </cfRule>
  </conditionalFormatting>
  <conditionalFormatting sqref="AV11">
    <cfRule type="cellIs" dxfId="13946" priority="138157" stopIfTrue="1" operator="greaterThanOrEqual">
      <formula>0.5</formula>
    </cfRule>
  </conditionalFormatting>
  <conditionalFormatting sqref="AV12">
    <cfRule type="cellIs" dxfId="13945" priority="138158" stopIfTrue="1" operator="equal">
      <formula>-1</formula>
    </cfRule>
  </conditionalFormatting>
  <conditionalFormatting sqref="AV12">
    <cfRule type="cellIs" dxfId="13944" priority="138159" stopIfTrue="1" operator="lessThan">
      <formula>0.5</formula>
    </cfRule>
  </conditionalFormatting>
  <conditionalFormatting sqref="AV12">
    <cfRule type="cellIs" dxfId="13943" priority="138160" stopIfTrue="1" operator="greaterThanOrEqual">
      <formula>0.5</formula>
    </cfRule>
  </conditionalFormatting>
  <conditionalFormatting sqref="AV13">
    <cfRule type="cellIs" dxfId="13942" priority="138161" stopIfTrue="1" operator="equal">
      <formula>-1</formula>
    </cfRule>
  </conditionalFormatting>
  <conditionalFormatting sqref="AV13">
    <cfRule type="cellIs" dxfId="13941" priority="138162" stopIfTrue="1" operator="lessThan">
      <formula>0.5</formula>
    </cfRule>
  </conditionalFormatting>
  <conditionalFormatting sqref="AV13">
    <cfRule type="cellIs" dxfId="13940" priority="138163" stopIfTrue="1" operator="greaterThanOrEqual">
      <formula>0.5</formula>
    </cfRule>
  </conditionalFormatting>
  <conditionalFormatting sqref="AV14">
    <cfRule type="cellIs" dxfId="13939" priority="138164" stopIfTrue="1" operator="equal">
      <formula>-1</formula>
    </cfRule>
  </conditionalFormatting>
  <conditionalFormatting sqref="AV14">
    <cfRule type="cellIs" dxfId="13938" priority="138165" stopIfTrue="1" operator="lessThan">
      <formula>0.5</formula>
    </cfRule>
  </conditionalFormatting>
  <conditionalFormatting sqref="AV14">
    <cfRule type="cellIs" dxfId="13937" priority="138166" stopIfTrue="1" operator="greaterThanOrEqual">
      <formula>0.5</formula>
    </cfRule>
  </conditionalFormatting>
  <conditionalFormatting sqref="AV15">
    <cfRule type="cellIs" dxfId="13936" priority="138167" stopIfTrue="1" operator="equal">
      <formula>-1</formula>
    </cfRule>
  </conditionalFormatting>
  <conditionalFormatting sqref="AV15">
    <cfRule type="cellIs" dxfId="13935" priority="138168" stopIfTrue="1" operator="lessThan">
      <formula>0.5</formula>
    </cfRule>
  </conditionalFormatting>
  <conditionalFormatting sqref="AV15">
    <cfRule type="cellIs" dxfId="13934" priority="138169" stopIfTrue="1" operator="greaterThanOrEqual">
      <formula>0.5</formula>
    </cfRule>
  </conditionalFormatting>
  <conditionalFormatting sqref="AX8">
    <cfRule type="cellIs" dxfId="13933" priority="138170" stopIfTrue="1" operator="equal">
      <formula>-1</formula>
    </cfRule>
  </conditionalFormatting>
  <conditionalFormatting sqref="AX8">
    <cfRule type="cellIs" dxfId="13932" priority="138171" stopIfTrue="1" operator="lessThan">
      <formula>0.5</formula>
    </cfRule>
  </conditionalFormatting>
  <conditionalFormatting sqref="AX8">
    <cfRule type="cellIs" dxfId="13931" priority="138172" stopIfTrue="1" operator="greaterThanOrEqual">
      <formula>0.5</formula>
    </cfRule>
  </conditionalFormatting>
  <conditionalFormatting sqref="AX9">
    <cfRule type="cellIs" dxfId="13930" priority="138173" stopIfTrue="1" operator="equal">
      <formula>-1</formula>
    </cfRule>
  </conditionalFormatting>
  <conditionalFormatting sqref="AX9">
    <cfRule type="cellIs" dxfId="13929" priority="138174" stopIfTrue="1" operator="lessThan">
      <formula>0.5</formula>
    </cfRule>
  </conditionalFormatting>
  <conditionalFormatting sqref="AX9">
    <cfRule type="cellIs" dxfId="13928" priority="138175" stopIfTrue="1" operator="greaterThanOrEqual">
      <formula>0.5</formula>
    </cfRule>
  </conditionalFormatting>
  <conditionalFormatting sqref="AX10">
    <cfRule type="cellIs" dxfId="13927" priority="138176" stopIfTrue="1" operator="equal">
      <formula>-1</formula>
    </cfRule>
  </conditionalFormatting>
  <conditionalFormatting sqref="AX10">
    <cfRule type="cellIs" dxfId="13926" priority="138177" stopIfTrue="1" operator="lessThan">
      <formula>0.5</formula>
    </cfRule>
  </conditionalFormatting>
  <conditionalFormatting sqref="AX10">
    <cfRule type="cellIs" dxfId="13925" priority="138178" stopIfTrue="1" operator="greaterThanOrEqual">
      <formula>0.5</formula>
    </cfRule>
  </conditionalFormatting>
  <conditionalFormatting sqref="AX11">
    <cfRule type="cellIs" dxfId="13924" priority="138179" stopIfTrue="1" operator="equal">
      <formula>-1</formula>
    </cfRule>
  </conditionalFormatting>
  <conditionalFormatting sqref="AX11">
    <cfRule type="cellIs" dxfId="13923" priority="138180" stopIfTrue="1" operator="lessThan">
      <formula>0.5</formula>
    </cfRule>
  </conditionalFormatting>
  <conditionalFormatting sqref="AX11">
    <cfRule type="cellIs" dxfId="13922" priority="138181" stopIfTrue="1" operator="greaterThanOrEqual">
      <formula>0.5</formula>
    </cfRule>
  </conditionalFormatting>
  <conditionalFormatting sqref="AX12">
    <cfRule type="cellIs" dxfId="13921" priority="138182" stopIfTrue="1" operator="equal">
      <formula>-1</formula>
    </cfRule>
  </conditionalFormatting>
  <conditionalFormatting sqref="AX12">
    <cfRule type="cellIs" dxfId="13920" priority="138183" stopIfTrue="1" operator="lessThan">
      <formula>0.5</formula>
    </cfRule>
  </conditionalFormatting>
  <conditionalFormatting sqref="AX12">
    <cfRule type="cellIs" dxfId="13919" priority="138184" stopIfTrue="1" operator="greaterThanOrEqual">
      <formula>0.5</formula>
    </cfRule>
  </conditionalFormatting>
  <conditionalFormatting sqref="AX13">
    <cfRule type="cellIs" dxfId="13918" priority="138185" stopIfTrue="1" operator="equal">
      <formula>-1</formula>
    </cfRule>
  </conditionalFormatting>
  <conditionalFormatting sqref="AX13">
    <cfRule type="cellIs" dxfId="13917" priority="138186" stopIfTrue="1" operator="lessThan">
      <formula>0.5</formula>
    </cfRule>
  </conditionalFormatting>
  <conditionalFormatting sqref="AX13">
    <cfRule type="cellIs" dxfId="13916" priority="138187" stopIfTrue="1" operator="greaterThanOrEqual">
      <formula>0.5</formula>
    </cfRule>
  </conditionalFormatting>
  <conditionalFormatting sqref="AX14">
    <cfRule type="cellIs" dxfId="13915" priority="138188" stopIfTrue="1" operator="equal">
      <formula>-1</formula>
    </cfRule>
  </conditionalFormatting>
  <conditionalFormatting sqref="AX14">
    <cfRule type="cellIs" dxfId="13914" priority="138189" stopIfTrue="1" operator="lessThan">
      <formula>0.5</formula>
    </cfRule>
  </conditionalFormatting>
  <conditionalFormatting sqref="AX14">
    <cfRule type="cellIs" dxfId="13913" priority="138190" stopIfTrue="1" operator="greaterThanOrEqual">
      <formula>0.5</formula>
    </cfRule>
  </conditionalFormatting>
  <conditionalFormatting sqref="AX15">
    <cfRule type="cellIs" dxfId="13912" priority="138191" stopIfTrue="1" operator="equal">
      <formula>-1</formula>
    </cfRule>
  </conditionalFormatting>
  <conditionalFormatting sqref="AX15">
    <cfRule type="cellIs" dxfId="13911" priority="138192" stopIfTrue="1" operator="lessThan">
      <formula>0.5</formula>
    </cfRule>
  </conditionalFormatting>
  <conditionalFormatting sqref="AX15">
    <cfRule type="cellIs" dxfId="13910" priority="138193" stopIfTrue="1" operator="greaterThanOrEqual">
      <formula>0.5</formula>
    </cfRule>
  </conditionalFormatting>
  <conditionalFormatting sqref="AZ8">
    <cfRule type="cellIs" dxfId="13909" priority="138194" stopIfTrue="1" operator="equal">
      <formula>-1</formula>
    </cfRule>
  </conditionalFormatting>
  <conditionalFormatting sqref="AZ8">
    <cfRule type="cellIs" dxfId="13908" priority="138195" stopIfTrue="1" operator="lessThan">
      <formula>0.5</formula>
    </cfRule>
  </conditionalFormatting>
  <conditionalFormatting sqref="AZ8">
    <cfRule type="cellIs" dxfId="13907" priority="138196" stopIfTrue="1" operator="greaterThanOrEqual">
      <formula>0.5</formula>
    </cfRule>
  </conditionalFormatting>
  <conditionalFormatting sqref="AZ9">
    <cfRule type="cellIs" dxfId="13906" priority="138197" stopIfTrue="1" operator="equal">
      <formula>-1</formula>
    </cfRule>
  </conditionalFormatting>
  <conditionalFormatting sqref="AZ9">
    <cfRule type="cellIs" dxfId="13905" priority="138198" stopIfTrue="1" operator="lessThan">
      <formula>0.5</formula>
    </cfRule>
  </conditionalFormatting>
  <conditionalFormatting sqref="AZ9">
    <cfRule type="cellIs" dxfId="13904" priority="138199" stopIfTrue="1" operator="greaterThanOrEqual">
      <formula>0.5</formula>
    </cfRule>
  </conditionalFormatting>
  <conditionalFormatting sqref="AZ10">
    <cfRule type="cellIs" dxfId="13903" priority="138200" stopIfTrue="1" operator="equal">
      <formula>-1</formula>
    </cfRule>
  </conditionalFormatting>
  <conditionalFormatting sqref="AZ10">
    <cfRule type="cellIs" dxfId="13902" priority="138201" stopIfTrue="1" operator="lessThan">
      <formula>0.5</formula>
    </cfRule>
  </conditionalFormatting>
  <conditionalFormatting sqref="AZ10">
    <cfRule type="cellIs" dxfId="13901" priority="138202" stopIfTrue="1" operator="greaterThanOrEqual">
      <formula>0.5</formula>
    </cfRule>
  </conditionalFormatting>
  <conditionalFormatting sqref="AZ11">
    <cfRule type="cellIs" dxfId="13900" priority="138203" stopIfTrue="1" operator="equal">
      <formula>-1</formula>
    </cfRule>
  </conditionalFormatting>
  <conditionalFormatting sqref="AZ11">
    <cfRule type="cellIs" dxfId="13899" priority="138204" stopIfTrue="1" operator="lessThan">
      <formula>0.5</formula>
    </cfRule>
  </conditionalFormatting>
  <conditionalFormatting sqref="AZ11">
    <cfRule type="cellIs" dxfId="13898" priority="138205" stopIfTrue="1" operator="greaterThanOrEqual">
      <formula>0.5</formula>
    </cfRule>
  </conditionalFormatting>
  <conditionalFormatting sqref="AZ12">
    <cfRule type="cellIs" dxfId="13897" priority="138206" stopIfTrue="1" operator="equal">
      <formula>-1</formula>
    </cfRule>
  </conditionalFormatting>
  <conditionalFormatting sqref="AZ12">
    <cfRule type="cellIs" dxfId="13896" priority="138207" stopIfTrue="1" operator="lessThan">
      <formula>0.5</formula>
    </cfRule>
  </conditionalFormatting>
  <conditionalFormatting sqref="AZ12">
    <cfRule type="cellIs" dxfId="13895" priority="138208" stopIfTrue="1" operator="greaterThanOrEqual">
      <formula>0.5</formula>
    </cfRule>
  </conditionalFormatting>
  <conditionalFormatting sqref="AZ13">
    <cfRule type="cellIs" dxfId="13894" priority="138209" stopIfTrue="1" operator="equal">
      <formula>-1</formula>
    </cfRule>
  </conditionalFormatting>
  <conditionalFormatting sqref="AZ13">
    <cfRule type="cellIs" dxfId="13893" priority="138210" stopIfTrue="1" operator="lessThan">
      <formula>0.5</formula>
    </cfRule>
  </conditionalFormatting>
  <conditionalFormatting sqref="AZ13">
    <cfRule type="cellIs" dxfId="13892" priority="138211" stopIfTrue="1" operator="greaterThanOrEqual">
      <formula>0.5</formula>
    </cfRule>
  </conditionalFormatting>
  <conditionalFormatting sqref="AZ14">
    <cfRule type="cellIs" dxfId="13891" priority="138212" stopIfTrue="1" operator="equal">
      <formula>-1</formula>
    </cfRule>
  </conditionalFormatting>
  <conditionalFormatting sqref="AZ14">
    <cfRule type="cellIs" dxfId="13890" priority="138213" stopIfTrue="1" operator="lessThan">
      <formula>0.5</formula>
    </cfRule>
  </conditionalFormatting>
  <conditionalFormatting sqref="AZ14">
    <cfRule type="cellIs" dxfId="13889" priority="138214" stopIfTrue="1" operator="greaterThanOrEqual">
      <formula>0.5</formula>
    </cfRule>
  </conditionalFormatting>
  <conditionalFormatting sqref="AZ15">
    <cfRule type="cellIs" dxfId="13888" priority="138215" stopIfTrue="1" operator="equal">
      <formula>-1</formula>
    </cfRule>
  </conditionalFormatting>
  <conditionalFormatting sqref="AZ15">
    <cfRule type="cellIs" dxfId="13887" priority="138216" stopIfTrue="1" operator="lessThan">
      <formula>0.5</formula>
    </cfRule>
  </conditionalFormatting>
  <conditionalFormatting sqref="AZ15">
    <cfRule type="cellIs" dxfId="13886" priority="138217" stopIfTrue="1" operator="greaterThanOrEqual">
      <formula>0.5</formula>
    </cfRule>
  </conditionalFormatting>
  <conditionalFormatting sqref="BB8">
    <cfRule type="cellIs" dxfId="13885" priority="138218" stopIfTrue="1" operator="equal">
      <formula>-1</formula>
    </cfRule>
  </conditionalFormatting>
  <conditionalFormatting sqref="BB8">
    <cfRule type="cellIs" dxfId="13884" priority="138219" stopIfTrue="1" operator="lessThan">
      <formula>0.5</formula>
    </cfRule>
  </conditionalFormatting>
  <conditionalFormatting sqref="BB8">
    <cfRule type="cellIs" dxfId="13883" priority="138220" stopIfTrue="1" operator="greaterThanOrEqual">
      <formula>0.5</formula>
    </cfRule>
  </conditionalFormatting>
  <conditionalFormatting sqref="BB9">
    <cfRule type="cellIs" dxfId="13882" priority="138221" stopIfTrue="1" operator="equal">
      <formula>-1</formula>
    </cfRule>
  </conditionalFormatting>
  <conditionalFormatting sqref="BB9">
    <cfRule type="cellIs" dxfId="13881" priority="138222" stopIfTrue="1" operator="lessThan">
      <formula>0.5</formula>
    </cfRule>
  </conditionalFormatting>
  <conditionalFormatting sqref="BB9">
    <cfRule type="cellIs" dxfId="13880" priority="138223" stopIfTrue="1" operator="greaterThanOrEqual">
      <formula>0.5</formula>
    </cfRule>
  </conditionalFormatting>
  <conditionalFormatting sqref="BB10">
    <cfRule type="cellIs" dxfId="13879" priority="138224" stopIfTrue="1" operator="equal">
      <formula>-1</formula>
    </cfRule>
  </conditionalFormatting>
  <conditionalFormatting sqref="BB10">
    <cfRule type="cellIs" dxfId="13878" priority="138225" stopIfTrue="1" operator="lessThan">
      <formula>0.5</formula>
    </cfRule>
  </conditionalFormatting>
  <conditionalFormatting sqref="BB10">
    <cfRule type="cellIs" dxfId="13877" priority="138226" stopIfTrue="1" operator="greaterThanOrEqual">
      <formula>0.5</formula>
    </cfRule>
  </conditionalFormatting>
  <conditionalFormatting sqref="BB11">
    <cfRule type="cellIs" dxfId="13876" priority="138227" stopIfTrue="1" operator="equal">
      <formula>-1</formula>
    </cfRule>
  </conditionalFormatting>
  <conditionalFormatting sqref="BB11">
    <cfRule type="cellIs" dxfId="13875" priority="138228" stopIfTrue="1" operator="lessThan">
      <formula>0.5</formula>
    </cfRule>
  </conditionalFormatting>
  <conditionalFormatting sqref="BB11">
    <cfRule type="cellIs" dxfId="13874" priority="138229" stopIfTrue="1" operator="greaterThanOrEqual">
      <formula>0.5</formula>
    </cfRule>
  </conditionalFormatting>
  <conditionalFormatting sqref="BB12">
    <cfRule type="cellIs" dxfId="13873" priority="138230" stopIfTrue="1" operator="equal">
      <formula>-1</formula>
    </cfRule>
  </conditionalFormatting>
  <conditionalFormatting sqref="BB12">
    <cfRule type="cellIs" dxfId="13872" priority="138231" stopIfTrue="1" operator="lessThan">
      <formula>0.5</formula>
    </cfRule>
  </conditionalFormatting>
  <conditionalFormatting sqref="BB12">
    <cfRule type="cellIs" dxfId="13871" priority="138232" stopIfTrue="1" operator="greaterThanOrEqual">
      <formula>0.5</formula>
    </cfRule>
  </conditionalFormatting>
  <conditionalFormatting sqref="BB13">
    <cfRule type="cellIs" dxfId="13870" priority="138233" stopIfTrue="1" operator="equal">
      <formula>-1</formula>
    </cfRule>
  </conditionalFormatting>
  <conditionalFormatting sqref="BB13">
    <cfRule type="cellIs" dxfId="13869" priority="138234" stopIfTrue="1" operator="lessThan">
      <formula>0.5</formula>
    </cfRule>
  </conditionalFormatting>
  <conditionalFormatting sqref="BB13">
    <cfRule type="cellIs" dxfId="13868" priority="138235" stopIfTrue="1" operator="greaterThanOrEqual">
      <formula>0.5</formula>
    </cfRule>
  </conditionalFormatting>
  <conditionalFormatting sqref="BB14">
    <cfRule type="cellIs" dxfId="13867" priority="138236" stopIfTrue="1" operator="equal">
      <formula>-1</formula>
    </cfRule>
  </conditionalFormatting>
  <conditionalFormatting sqref="BB14">
    <cfRule type="cellIs" dxfId="13866" priority="138237" stopIfTrue="1" operator="lessThan">
      <formula>0.5</formula>
    </cfRule>
  </conditionalFormatting>
  <conditionalFormatting sqref="BB14">
    <cfRule type="cellIs" dxfId="13865" priority="138238" stopIfTrue="1" operator="greaterThanOrEqual">
      <formula>0.5</formula>
    </cfRule>
  </conditionalFormatting>
  <conditionalFormatting sqref="BB15">
    <cfRule type="cellIs" dxfId="13864" priority="138239" stopIfTrue="1" operator="equal">
      <formula>-1</formula>
    </cfRule>
  </conditionalFormatting>
  <conditionalFormatting sqref="BB15">
    <cfRule type="cellIs" dxfId="13863" priority="138240" stopIfTrue="1" operator="lessThan">
      <formula>0.5</formula>
    </cfRule>
  </conditionalFormatting>
  <conditionalFormatting sqref="BB15">
    <cfRule type="cellIs" dxfId="13862" priority="138241" stopIfTrue="1" operator="greaterThanOrEqual">
      <formula>0.5</formula>
    </cfRule>
  </conditionalFormatting>
  <conditionalFormatting sqref="BD8">
    <cfRule type="cellIs" dxfId="13861" priority="138242" stopIfTrue="1" operator="equal">
      <formula>-1</formula>
    </cfRule>
  </conditionalFormatting>
  <conditionalFormatting sqref="BD8">
    <cfRule type="cellIs" dxfId="13860" priority="138243" stopIfTrue="1" operator="lessThan">
      <formula>0.5</formula>
    </cfRule>
  </conditionalFormatting>
  <conditionalFormatting sqref="BD8">
    <cfRule type="cellIs" dxfId="13859" priority="138244" stopIfTrue="1" operator="greaterThanOrEqual">
      <formula>0.5</formula>
    </cfRule>
  </conditionalFormatting>
  <conditionalFormatting sqref="BD9">
    <cfRule type="cellIs" dxfId="13858" priority="138245" stopIfTrue="1" operator="equal">
      <formula>-1</formula>
    </cfRule>
  </conditionalFormatting>
  <conditionalFormatting sqref="BD9">
    <cfRule type="cellIs" dxfId="13857" priority="138246" stopIfTrue="1" operator="lessThan">
      <formula>0.5</formula>
    </cfRule>
  </conditionalFormatting>
  <conditionalFormatting sqref="BD9">
    <cfRule type="cellIs" dxfId="13856" priority="138247" stopIfTrue="1" operator="greaterThanOrEqual">
      <formula>0.5</formula>
    </cfRule>
  </conditionalFormatting>
  <conditionalFormatting sqref="BD10">
    <cfRule type="cellIs" dxfId="13855" priority="138248" stopIfTrue="1" operator="equal">
      <formula>-1</formula>
    </cfRule>
  </conditionalFormatting>
  <conditionalFormatting sqref="BD10">
    <cfRule type="cellIs" dxfId="13854" priority="138249" stopIfTrue="1" operator="lessThan">
      <formula>0.5</formula>
    </cfRule>
  </conditionalFormatting>
  <conditionalFormatting sqref="BD10">
    <cfRule type="cellIs" dxfId="13853" priority="138250" stopIfTrue="1" operator="greaterThanOrEqual">
      <formula>0.5</formula>
    </cfRule>
  </conditionalFormatting>
  <conditionalFormatting sqref="BD11">
    <cfRule type="cellIs" dxfId="13852" priority="138251" stopIfTrue="1" operator="equal">
      <formula>-1</formula>
    </cfRule>
  </conditionalFormatting>
  <conditionalFormatting sqref="BD11">
    <cfRule type="cellIs" dxfId="13851" priority="138252" stopIfTrue="1" operator="lessThan">
      <formula>0.5</formula>
    </cfRule>
  </conditionalFormatting>
  <conditionalFormatting sqref="BD11">
    <cfRule type="cellIs" dxfId="13850" priority="138253" stopIfTrue="1" operator="greaterThanOrEqual">
      <formula>0.5</formula>
    </cfRule>
  </conditionalFormatting>
  <conditionalFormatting sqref="BD12">
    <cfRule type="cellIs" dxfId="13849" priority="138254" stopIfTrue="1" operator="equal">
      <formula>-1</formula>
    </cfRule>
  </conditionalFormatting>
  <conditionalFormatting sqref="BD12">
    <cfRule type="cellIs" dxfId="13848" priority="138255" stopIfTrue="1" operator="lessThan">
      <formula>0.5</formula>
    </cfRule>
  </conditionalFormatting>
  <conditionalFormatting sqref="BD12">
    <cfRule type="cellIs" dxfId="13847" priority="138256" stopIfTrue="1" operator="greaterThanOrEqual">
      <formula>0.5</formula>
    </cfRule>
  </conditionalFormatting>
  <conditionalFormatting sqref="BD13">
    <cfRule type="cellIs" dxfId="13846" priority="138257" stopIfTrue="1" operator="equal">
      <formula>-1</formula>
    </cfRule>
  </conditionalFormatting>
  <conditionalFormatting sqref="BD13">
    <cfRule type="cellIs" dxfId="13845" priority="138258" stopIfTrue="1" operator="lessThan">
      <formula>0.5</formula>
    </cfRule>
  </conditionalFormatting>
  <conditionalFormatting sqref="BD13">
    <cfRule type="cellIs" dxfId="13844" priority="138259" stopIfTrue="1" operator="greaterThanOrEqual">
      <formula>0.5</formula>
    </cfRule>
  </conditionalFormatting>
  <conditionalFormatting sqref="BD14">
    <cfRule type="cellIs" dxfId="13843" priority="138260" stopIfTrue="1" operator="equal">
      <formula>-1</formula>
    </cfRule>
  </conditionalFormatting>
  <conditionalFormatting sqref="BD14">
    <cfRule type="cellIs" dxfId="13842" priority="138261" stopIfTrue="1" operator="lessThan">
      <formula>0.5</formula>
    </cfRule>
  </conditionalFormatting>
  <conditionalFormatting sqref="BD14">
    <cfRule type="cellIs" dxfId="13841" priority="138262" stopIfTrue="1" operator="greaterThanOrEqual">
      <formula>0.5</formula>
    </cfRule>
  </conditionalFormatting>
  <conditionalFormatting sqref="BD15">
    <cfRule type="cellIs" dxfId="13840" priority="138263" stopIfTrue="1" operator="equal">
      <formula>-1</formula>
    </cfRule>
  </conditionalFormatting>
  <conditionalFormatting sqref="BD15">
    <cfRule type="cellIs" dxfId="13839" priority="138264" stopIfTrue="1" operator="lessThan">
      <formula>0.5</formula>
    </cfRule>
  </conditionalFormatting>
  <conditionalFormatting sqref="BD15">
    <cfRule type="cellIs" dxfId="13838" priority="138265" stopIfTrue="1" operator="greaterThanOrEqual">
      <formula>0.5</formula>
    </cfRule>
  </conditionalFormatting>
  <conditionalFormatting sqref="BF8">
    <cfRule type="cellIs" dxfId="13837" priority="138266" stopIfTrue="1" operator="equal">
      <formula>-1</formula>
    </cfRule>
  </conditionalFormatting>
  <conditionalFormatting sqref="BF8">
    <cfRule type="cellIs" dxfId="13836" priority="138267" stopIfTrue="1" operator="lessThan">
      <formula>0.5</formula>
    </cfRule>
  </conditionalFormatting>
  <conditionalFormatting sqref="BF8">
    <cfRule type="cellIs" dxfId="13835" priority="138268" stopIfTrue="1" operator="greaterThanOrEqual">
      <formula>0.5</formula>
    </cfRule>
  </conditionalFormatting>
  <conditionalFormatting sqref="BF9">
    <cfRule type="cellIs" dxfId="13834" priority="138269" stopIfTrue="1" operator="equal">
      <formula>-1</formula>
    </cfRule>
  </conditionalFormatting>
  <conditionalFormatting sqref="BF9">
    <cfRule type="cellIs" dxfId="13833" priority="138270" stopIfTrue="1" operator="lessThan">
      <formula>0.5</formula>
    </cfRule>
  </conditionalFormatting>
  <conditionalFormatting sqref="BF9">
    <cfRule type="cellIs" dxfId="13832" priority="138271" stopIfTrue="1" operator="greaterThanOrEqual">
      <formula>0.5</formula>
    </cfRule>
  </conditionalFormatting>
  <conditionalFormatting sqref="BF10">
    <cfRule type="cellIs" dxfId="13831" priority="138272" stopIfTrue="1" operator="equal">
      <formula>-1</formula>
    </cfRule>
  </conditionalFormatting>
  <conditionalFormatting sqref="BF10">
    <cfRule type="cellIs" dxfId="13830" priority="138273" stopIfTrue="1" operator="lessThan">
      <formula>0.5</formula>
    </cfRule>
  </conditionalFormatting>
  <conditionalFormatting sqref="BF10">
    <cfRule type="cellIs" dxfId="13829" priority="138274" stopIfTrue="1" operator="greaterThanOrEqual">
      <formula>0.5</formula>
    </cfRule>
  </conditionalFormatting>
  <conditionalFormatting sqref="BF11">
    <cfRule type="cellIs" dxfId="13828" priority="138275" stopIfTrue="1" operator="equal">
      <formula>-1</formula>
    </cfRule>
  </conditionalFormatting>
  <conditionalFormatting sqref="BF11">
    <cfRule type="cellIs" dxfId="13827" priority="138276" stopIfTrue="1" operator="lessThan">
      <formula>0.5</formula>
    </cfRule>
  </conditionalFormatting>
  <conditionalFormatting sqref="BF11">
    <cfRule type="cellIs" dxfId="13826" priority="138277" stopIfTrue="1" operator="greaterThanOrEqual">
      <formula>0.5</formula>
    </cfRule>
  </conditionalFormatting>
  <conditionalFormatting sqref="BF12">
    <cfRule type="cellIs" dxfId="13825" priority="138278" stopIfTrue="1" operator="equal">
      <formula>-1</formula>
    </cfRule>
  </conditionalFormatting>
  <conditionalFormatting sqref="BF12">
    <cfRule type="cellIs" dxfId="13824" priority="138279" stopIfTrue="1" operator="lessThan">
      <formula>0.5</formula>
    </cfRule>
  </conditionalFormatting>
  <conditionalFormatting sqref="BF12">
    <cfRule type="cellIs" dxfId="13823" priority="138280" stopIfTrue="1" operator="greaterThanOrEqual">
      <formula>0.5</formula>
    </cfRule>
  </conditionalFormatting>
  <conditionalFormatting sqref="BF13">
    <cfRule type="cellIs" dxfId="13822" priority="138281" stopIfTrue="1" operator="equal">
      <formula>-1</formula>
    </cfRule>
  </conditionalFormatting>
  <conditionalFormatting sqref="BF13">
    <cfRule type="cellIs" dxfId="13821" priority="138282" stopIfTrue="1" operator="lessThan">
      <formula>0.5</formula>
    </cfRule>
  </conditionalFormatting>
  <conditionalFormatting sqref="BF13">
    <cfRule type="cellIs" dxfId="13820" priority="138283" stopIfTrue="1" operator="greaterThanOrEqual">
      <formula>0.5</formula>
    </cfRule>
  </conditionalFormatting>
  <conditionalFormatting sqref="BF14">
    <cfRule type="cellIs" dxfId="13819" priority="138284" stopIfTrue="1" operator="equal">
      <formula>-1</formula>
    </cfRule>
  </conditionalFormatting>
  <conditionalFormatting sqref="BF14">
    <cfRule type="cellIs" dxfId="13818" priority="138285" stopIfTrue="1" operator="lessThan">
      <formula>0.5</formula>
    </cfRule>
  </conditionalFormatting>
  <conditionalFormatting sqref="BF14">
    <cfRule type="cellIs" dxfId="13817" priority="138286" stopIfTrue="1" operator="greaterThanOrEqual">
      <formula>0.5</formula>
    </cfRule>
  </conditionalFormatting>
  <conditionalFormatting sqref="BF15">
    <cfRule type="cellIs" dxfId="13816" priority="138287" stopIfTrue="1" operator="equal">
      <formula>-1</formula>
    </cfRule>
  </conditionalFormatting>
  <conditionalFormatting sqref="BF15">
    <cfRule type="cellIs" dxfId="13815" priority="138288" stopIfTrue="1" operator="lessThan">
      <formula>0.5</formula>
    </cfRule>
  </conditionalFormatting>
  <conditionalFormatting sqref="BF15">
    <cfRule type="cellIs" dxfId="13814" priority="138289" stopIfTrue="1" operator="greaterThanOrEqual">
      <formula>0.5</formula>
    </cfRule>
  </conditionalFormatting>
  <conditionalFormatting sqref="BH8">
    <cfRule type="cellIs" dxfId="13813" priority="138290" stopIfTrue="1" operator="equal">
      <formula>-1</formula>
    </cfRule>
  </conditionalFormatting>
  <conditionalFormatting sqref="BH8">
    <cfRule type="cellIs" dxfId="13812" priority="138291" stopIfTrue="1" operator="lessThan">
      <formula>0.5</formula>
    </cfRule>
  </conditionalFormatting>
  <conditionalFormatting sqref="BH8">
    <cfRule type="cellIs" dxfId="13811" priority="138292" stopIfTrue="1" operator="greaterThanOrEqual">
      <formula>0.5</formula>
    </cfRule>
  </conditionalFormatting>
  <conditionalFormatting sqref="BH9">
    <cfRule type="cellIs" dxfId="13810" priority="138293" stopIfTrue="1" operator="equal">
      <formula>-1</formula>
    </cfRule>
  </conditionalFormatting>
  <conditionalFormatting sqref="BH9">
    <cfRule type="cellIs" dxfId="13809" priority="138294" stopIfTrue="1" operator="lessThan">
      <formula>0.5</formula>
    </cfRule>
  </conditionalFormatting>
  <conditionalFormatting sqref="BH9">
    <cfRule type="cellIs" dxfId="13808" priority="138295" stopIfTrue="1" operator="greaterThanOrEqual">
      <formula>0.5</formula>
    </cfRule>
  </conditionalFormatting>
  <conditionalFormatting sqref="BH10">
    <cfRule type="cellIs" dxfId="13807" priority="138296" stopIfTrue="1" operator="equal">
      <formula>-1</formula>
    </cfRule>
  </conditionalFormatting>
  <conditionalFormatting sqref="BH10">
    <cfRule type="cellIs" dxfId="13806" priority="138297" stopIfTrue="1" operator="lessThan">
      <formula>0.5</formula>
    </cfRule>
  </conditionalFormatting>
  <conditionalFormatting sqref="BH10">
    <cfRule type="cellIs" dxfId="13805" priority="138298" stopIfTrue="1" operator="greaterThanOrEqual">
      <formula>0.5</formula>
    </cfRule>
  </conditionalFormatting>
  <conditionalFormatting sqref="BH11">
    <cfRule type="cellIs" dxfId="13804" priority="138299" stopIfTrue="1" operator="equal">
      <formula>-1</formula>
    </cfRule>
  </conditionalFormatting>
  <conditionalFormatting sqref="BH11">
    <cfRule type="cellIs" dxfId="13803" priority="138300" stopIfTrue="1" operator="lessThan">
      <formula>0.5</formula>
    </cfRule>
  </conditionalFormatting>
  <conditionalFormatting sqref="BH11">
    <cfRule type="cellIs" dxfId="13802" priority="138301" stopIfTrue="1" operator="greaterThanOrEqual">
      <formula>0.5</formula>
    </cfRule>
  </conditionalFormatting>
  <conditionalFormatting sqref="BH12">
    <cfRule type="cellIs" dxfId="13801" priority="138302" stopIfTrue="1" operator="equal">
      <formula>-1</formula>
    </cfRule>
  </conditionalFormatting>
  <conditionalFormatting sqref="BH12">
    <cfRule type="cellIs" dxfId="13800" priority="138303" stopIfTrue="1" operator="lessThan">
      <formula>0.5</formula>
    </cfRule>
  </conditionalFormatting>
  <conditionalFormatting sqref="BH12">
    <cfRule type="cellIs" dxfId="13799" priority="138304" stopIfTrue="1" operator="greaterThanOrEqual">
      <formula>0.5</formula>
    </cfRule>
  </conditionalFormatting>
  <conditionalFormatting sqref="BH13">
    <cfRule type="cellIs" dxfId="13798" priority="138305" stopIfTrue="1" operator="equal">
      <formula>-1</formula>
    </cfRule>
  </conditionalFormatting>
  <conditionalFormatting sqref="BH13">
    <cfRule type="cellIs" dxfId="13797" priority="138306" stopIfTrue="1" operator="lessThan">
      <formula>0.5</formula>
    </cfRule>
  </conditionalFormatting>
  <conditionalFormatting sqref="BH13">
    <cfRule type="cellIs" dxfId="13796" priority="138307" stopIfTrue="1" operator="greaterThanOrEqual">
      <formula>0.5</formula>
    </cfRule>
  </conditionalFormatting>
  <conditionalFormatting sqref="BH14">
    <cfRule type="cellIs" dxfId="13795" priority="138308" stopIfTrue="1" operator="equal">
      <formula>-1</formula>
    </cfRule>
  </conditionalFormatting>
  <conditionalFormatting sqref="BH14">
    <cfRule type="cellIs" dxfId="13794" priority="138309" stopIfTrue="1" operator="lessThan">
      <formula>0.5</formula>
    </cfRule>
  </conditionalFormatting>
  <conditionalFormatting sqref="BH14">
    <cfRule type="cellIs" dxfId="13793" priority="138310" stopIfTrue="1" operator="greaterThanOrEqual">
      <formula>0.5</formula>
    </cfRule>
  </conditionalFormatting>
  <conditionalFormatting sqref="BH15">
    <cfRule type="cellIs" dxfId="13792" priority="138311" stopIfTrue="1" operator="equal">
      <formula>-1</formula>
    </cfRule>
  </conditionalFormatting>
  <conditionalFormatting sqref="BH15">
    <cfRule type="cellIs" dxfId="13791" priority="138312" stopIfTrue="1" operator="lessThan">
      <formula>0.5</formula>
    </cfRule>
  </conditionalFormatting>
  <conditionalFormatting sqref="BH15">
    <cfRule type="cellIs" dxfId="13790" priority="138313" stopIfTrue="1" operator="greaterThanOrEqual">
      <formula>0.5</formula>
    </cfRule>
  </conditionalFormatting>
  <conditionalFormatting sqref="BJ8">
    <cfRule type="cellIs" dxfId="13789" priority="138314" stopIfTrue="1" operator="equal">
      <formula>-1</formula>
    </cfRule>
  </conditionalFormatting>
  <conditionalFormatting sqref="BJ8">
    <cfRule type="cellIs" dxfId="13788" priority="138315" stopIfTrue="1" operator="lessThan">
      <formula>0.5</formula>
    </cfRule>
  </conditionalFormatting>
  <conditionalFormatting sqref="BJ8">
    <cfRule type="cellIs" dxfId="13787" priority="138316" stopIfTrue="1" operator="greaterThanOrEqual">
      <formula>0.5</formula>
    </cfRule>
  </conditionalFormatting>
  <conditionalFormatting sqref="BJ9">
    <cfRule type="cellIs" dxfId="13786" priority="138317" stopIfTrue="1" operator="equal">
      <formula>-1</formula>
    </cfRule>
  </conditionalFormatting>
  <conditionalFormatting sqref="BJ9">
    <cfRule type="cellIs" dxfId="13785" priority="138318" stopIfTrue="1" operator="lessThan">
      <formula>0.5</formula>
    </cfRule>
  </conditionalFormatting>
  <conditionalFormatting sqref="BJ9">
    <cfRule type="cellIs" dxfId="13784" priority="138319" stopIfTrue="1" operator="greaterThanOrEqual">
      <formula>0.5</formula>
    </cfRule>
  </conditionalFormatting>
  <conditionalFormatting sqref="BJ10">
    <cfRule type="cellIs" dxfId="13783" priority="138320" stopIfTrue="1" operator="equal">
      <formula>-1</formula>
    </cfRule>
  </conditionalFormatting>
  <conditionalFormatting sqref="BJ10">
    <cfRule type="cellIs" dxfId="13782" priority="138321" stopIfTrue="1" operator="lessThan">
      <formula>0.5</formula>
    </cfRule>
  </conditionalFormatting>
  <conditionalFormatting sqref="BJ10">
    <cfRule type="cellIs" dxfId="13781" priority="138322" stopIfTrue="1" operator="greaterThanOrEqual">
      <formula>0.5</formula>
    </cfRule>
  </conditionalFormatting>
  <conditionalFormatting sqref="BJ11">
    <cfRule type="cellIs" dxfId="13780" priority="138323" stopIfTrue="1" operator="equal">
      <formula>-1</formula>
    </cfRule>
  </conditionalFormatting>
  <conditionalFormatting sqref="BJ11">
    <cfRule type="cellIs" dxfId="13779" priority="138324" stopIfTrue="1" operator="lessThan">
      <formula>0.5</formula>
    </cfRule>
  </conditionalFormatting>
  <conditionalFormatting sqref="BJ11">
    <cfRule type="cellIs" dxfId="13778" priority="138325" stopIfTrue="1" operator="greaterThanOrEqual">
      <formula>0.5</formula>
    </cfRule>
  </conditionalFormatting>
  <conditionalFormatting sqref="BJ12">
    <cfRule type="cellIs" dxfId="13777" priority="138326" stopIfTrue="1" operator="equal">
      <formula>-1</formula>
    </cfRule>
  </conditionalFormatting>
  <conditionalFormatting sqref="BJ12">
    <cfRule type="cellIs" dxfId="13776" priority="138327" stopIfTrue="1" operator="lessThan">
      <formula>0.5</formula>
    </cfRule>
  </conditionalFormatting>
  <conditionalFormatting sqref="BJ12">
    <cfRule type="cellIs" dxfId="13775" priority="138328" stopIfTrue="1" operator="greaterThanOrEqual">
      <formula>0.5</formula>
    </cfRule>
  </conditionalFormatting>
  <conditionalFormatting sqref="BJ13">
    <cfRule type="cellIs" dxfId="13774" priority="138329" stopIfTrue="1" operator="equal">
      <formula>-1</formula>
    </cfRule>
  </conditionalFormatting>
  <conditionalFormatting sqref="BJ13">
    <cfRule type="cellIs" dxfId="13773" priority="138330" stopIfTrue="1" operator="lessThan">
      <formula>0.5</formula>
    </cfRule>
  </conditionalFormatting>
  <conditionalFormatting sqref="BJ13">
    <cfRule type="cellIs" dxfId="13772" priority="138331" stopIfTrue="1" operator="greaterThanOrEqual">
      <formula>0.5</formula>
    </cfRule>
  </conditionalFormatting>
  <conditionalFormatting sqref="BJ14">
    <cfRule type="cellIs" dxfId="13771" priority="138332" stopIfTrue="1" operator="equal">
      <formula>-1</formula>
    </cfRule>
  </conditionalFormatting>
  <conditionalFormatting sqref="BJ14">
    <cfRule type="cellIs" dxfId="13770" priority="138333" stopIfTrue="1" operator="lessThan">
      <formula>0.5</formula>
    </cfRule>
  </conditionalFormatting>
  <conditionalFormatting sqref="BJ14">
    <cfRule type="cellIs" dxfId="13769" priority="138334" stopIfTrue="1" operator="greaterThanOrEqual">
      <formula>0.5</formula>
    </cfRule>
  </conditionalFormatting>
  <conditionalFormatting sqref="BJ15">
    <cfRule type="cellIs" dxfId="13768" priority="138335" stopIfTrue="1" operator="equal">
      <formula>-1</formula>
    </cfRule>
  </conditionalFormatting>
  <conditionalFormatting sqref="BJ15">
    <cfRule type="cellIs" dxfId="13767" priority="138336" stopIfTrue="1" operator="lessThan">
      <formula>0.5</formula>
    </cfRule>
  </conditionalFormatting>
  <conditionalFormatting sqref="BJ15">
    <cfRule type="cellIs" dxfId="13766" priority="138337" stopIfTrue="1" operator="greaterThanOrEqual">
      <formula>0.5</formula>
    </cfRule>
  </conditionalFormatting>
  <conditionalFormatting sqref="D17">
    <cfRule type="cellIs" dxfId="13765" priority="138338" stopIfTrue="1" operator="equal">
      <formula>-1</formula>
    </cfRule>
  </conditionalFormatting>
  <conditionalFormatting sqref="D17">
    <cfRule type="cellIs" dxfId="13764" priority="138339" stopIfTrue="1" operator="lessThan">
      <formula>0.5</formula>
    </cfRule>
  </conditionalFormatting>
  <conditionalFormatting sqref="D17">
    <cfRule type="cellIs" dxfId="13763" priority="138340" stopIfTrue="1" operator="greaterThanOrEqual">
      <formula>0.5</formula>
    </cfRule>
  </conditionalFormatting>
  <conditionalFormatting sqref="D18">
    <cfRule type="cellIs" dxfId="13762" priority="138341" stopIfTrue="1" operator="equal">
      <formula>-1</formula>
    </cfRule>
  </conditionalFormatting>
  <conditionalFormatting sqref="D18">
    <cfRule type="cellIs" dxfId="13761" priority="138342" stopIfTrue="1" operator="lessThan">
      <formula>0.5</formula>
    </cfRule>
  </conditionalFormatting>
  <conditionalFormatting sqref="D18">
    <cfRule type="cellIs" dxfId="13760" priority="138343" stopIfTrue="1" operator="greaterThanOrEqual">
      <formula>0.5</formula>
    </cfRule>
  </conditionalFormatting>
  <conditionalFormatting sqref="D19">
    <cfRule type="cellIs" dxfId="13759" priority="138344" stopIfTrue="1" operator="equal">
      <formula>-1</formula>
    </cfRule>
  </conditionalFormatting>
  <conditionalFormatting sqref="D19">
    <cfRule type="cellIs" dxfId="13758" priority="138345" stopIfTrue="1" operator="lessThan">
      <formula>0.5</formula>
    </cfRule>
  </conditionalFormatting>
  <conditionalFormatting sqref="D19">
    <cfRule type="cellIs" dxfId="13757" priority="138346" stopIfTrue="1" operator="greaterThanOrEqual">
      <formula>0.5</formula>
    </cfRule>
  </conditionalFormatting>
  <conditionalFormatting sqref="D20">
    <cfRule type="cellIs" dxfId="13756" priority="138347" stopIfTrue="1" operator="equal">
      <formula>-1</formula>
    </cfRule>
  </conditionalFormatting>
  <conditionalFormatting sqref="D20">
    <cfRule type="cellIs" dxfId="13755" priority="138348" stopIfTrue="1" operator="lessThan">
      <formula>0.5</formula>
    </cfRule>
  </conditionalFormatting>
  <conditionalFormatting sqref="D20">
    <cfRule type="cellIs" dxfId="13754" priority="138349" stopIfTrue="1" operator="greaterThanOrEqual">
      <formula>0.5</formula>
    </cfRule>
  </conditionalFormatting>
  <conditionalFormatting sqref="D21">
    <cfRule type="cellIs" dxfId="13753" priority="138350" stopIfTrue="1" operator="equal">
      <formula>-1</formula>
    </cfRule>
  </conditionalFormatting>
  <conditionalFormatting sqref="D21">
    <cfRule type="cellIs" dxfId="13752" priority="138351" stopIfTrue="1" operator="lessThan">
      <formula>0.5</formula>
    </cfRule>
  </conditionalFormatting>
  <conditionalFormatting sqref="D21">
    <cfRule type="cellIs" dxfId="13751" priority="138352" stopIfTrue="1" operator="greaterThanOrEqual">
      <formula>0.5</formula>
    </cfRule>
  </conditionalFormatting>
  <conditionalFormatting sqref="D22">
    <cfRule type="cellIs" dxfId="13750" priority="138353" stopIfTrue="1" operator="equal">
      <formula>-1</formula>
    </cfRule>
  </conditionalFormatting>
  <conditionalFormatting sqref="D22">
    <cfRule type="cellIs" dxfId="13749" priority="138354" stopIfTrue="1" operator="lessThan">
      <formula>0.5</formula>
    </cfRule>
  </conditionalFormatting>
  <conditionalFormatting sqref="D22">
    <cfRule type="cellIs" dxfId="13748" priority="138355" stopIfTrue="1" operator="greaterThanOrEqual">
      <formula>0.5</formula>
    </cfRule>
  </conditionalFormatting>
  <conditionalFormatting sqref="D23">
    <cfRule type="cellIs" dxfId="13747" priority="138356" stopIfTrue="1" operator="equal">
      <formula>-1</formula>
    </cfRule>
  </conditionalFormatting>
  <conditionalFormatting sqref="D23">
    <cfRule type="cellIs" dxfId="13746" priority="138357" stopIfTrue="1" operator="lessThan">
      <formula>0.5</formula>
    </cfRule>
  </conditionalFormatting>
  <conditionalFormatting sqref="D23">
    <cfRule type="cellIs" dxfId="13745" priority="138358" stopIfTrue="1" operator="greaterThanOrEqual">
      <formula>0.5</formula>
    </cfRule>
  </conditionalFormatting>
  <conditionalFormatting sqref="D24">
    <cfRule type="cellIs" dxfId="13744" priority="138359" stopIfTrue="1" operator="equal">
      <formula>-1</formula>
    </cfRule>
  </conditionalFormatting>
  <conditionalFormatting sqref="D24">
    <cfRule type="cellIs" dxfId="13743" priority="138360" stopIfTrue="1" operator="lessThan">
      <formula>0.5</formula>
    </cfRule>
  </conditionalFormatting>
  <conditionalFormatting sqref="D24">
    <cfRule type="cellIs" dxfId="13742" priority="138361" stopIfTrue="1" operator="greaterThanOrEqual">
      <formula>0.5</formula>
    </cfRule>
  </conditionalFormatting>
  <conditionalFormatting sqref="D25">
    <cfRule type="cellIs" dxfId="13741" priority="138362" stopIfTrue="1" operator="equal">
      <formula>-1</formula>
    </cfRule>
  </conditionalFormatting>
  <conditionalFormatting sqref="D25">
    <cfRule type="cellIs" dxfId="13740" priority="138363" stopIfTrue="1" operator="lessThan">
      <formula>0.5</formula>
    </cfRule>
  </conditionalFormatting>
  <conditionalFormatting sqref="D25">
    <cfRule type="cellIs" dxfId="13739" priority="138364" stopIfTrue="1" operator="greaterThanOrEqual">
      <formula>0.5</formula>
    </cfRule>
  </conditionalFormatting>
  <conditionalFormatting sqref="D26">
    <cfRule type="cellIs" dxfId="13738" priority="138365" stopIfTrue="1" operator="equal">
      <formula>-1</formula>
    </cfRule>
  </conditionalFormatting>
  <conditionalFormatting sqref="D26">
    <cfRule type="cellIs" dxfId="13737" priority="138366" stopIfTrue="1" operator="lessThan">
      <formula>0.5</formula>
    </cfRule>
  </conditionalFormatting>
  <conditionalFormatting sqref="D26">
    <cfRule type="cellIs" dxfId="13736" priority="138367" stopIfTrue="1" operator="greaterThanOrEqual">
      <formula>0.5</formula>
    </cfRule>
  </conditionalFormatting>
  <conditionalFormatting sqref="D27">
    <cfRule type="cellIs" dxfId="13735" priority="138368" stopIfTrue="1" operator="equal">
      <formula>-1</formula>
    </cfRule>
  </conditionalFormatting>
  <conditionalFormatting sqref="D27">
    <cfRule type="cellIs" dxfId="13734" priority="138369" stopIfTrue="1" operator="lessThan">
      <formula>0.5</formula>
    </cfRule>
  </conditionalFormatting>
  <conditionalFormatting sqref="D27">
    <cfRule type="cellIs" dxfId="13733" priority="138370" stopIfTrue="1" operator="greaterThanOrEqual">
      <formula>0.5</formula>
    </cfRule>
  </conditionalFormatting>
  <conditionalFormatting sqref="D28">
    <cfRule type="cellIs" dxfId="13732" priority="138371" stopIfTrue="1" operator="equal">
      <formula>-1</formula>
    </cfRule>
  </conditionalFormatting>
  <conditionalFormatting sqref="D28">
    <cfRule type="cellIs" dxfId="13731" priority="138372" stopIfTrue="1" operator="lessThan">
      <formula>0.5</formula>
    </cfRule>
  </conditionalFormatting>
  <conditionalFormatting sqref="D28">
    <cfRule type="cellIs" dxfId="13730" priority="138373" stopIfTrue="1" operator="greaterThanOrEqual">
      <formula>0.5</formula>
    </cfRule>
  </conditionalFormatting>
  <conditionalFormatting sqref="D29">
    <cfRule type="cellIs" dxfId="13729" priority="138374" stopIfTrue="1" operator="equal">
      <formula>-1</formula>
    </cfRule>
  </conditionalFormatting>
  <conditionalFormatting sqref="D29">
    <cfRule type="cellIs" dxfId="13728" priority="138375" stopIfTrue="1" operator="lessThan">
      <formula>0.5</formula>
    </cfRule>
  </conditionalFormatting>
  <conditionalFormatting sqref="D29">
    <cfRule type="cellIs" dxfId="13727" priority="138376" stopIfTrue="1" operator="greaterThanOrEqual">
      <formula>0.5</formula>
    </cfRule>
  </conditionalFormatting>
  <conditionalFormatting sqref="D30">
    <cfRule type="cellIs" dxfId="13726" priority="138377" stopIfTrue="1" operator="equal">
      <formula>-1</formula>
    </cfRule>
  </conditionalFormatting>
  <conditionalFormatting sqref="D30">
    <cfRule type="cellIs" dxfId="13725" priority="138378" stopIfTrue="1" operator="lessThan">
      <formula>0.5</formula>
    </cfRule>
  </conditionalFormatting>
  <conditionalFormatting sqref="D30">
    <cfRule type="cellIs" dxfId="13724" priority="138379" stopIfTrue="1" operator="greaterThanOrEqual">
      <formula>0.5</formula>
    </cfRule>
  </conditionalFormatting>
  <conditionalFormatting sqref="D31">
    <cfRule type="cellIs" dxfId="13723" priority="138380" stopIfTrue="1" operator="equal">
      <formula>-1</formula>
    </cfRule>
  </conditionalFormatting>
  <conditionalFormatting sqref="D31">
    <cfRule type="cellIs" dxfId="13722" priority="138381" stopIfTrue="1" operator="lessThan">
      <formula>0.5</formula>
    </cfRule>
  </conditionalFormatting>
  <conditionalFormatting sqref="D31">
    <cfRule type="cellIs" dxfId="13721" priority="138382" stopIfTrue="1" operator="greaterThanOrEqual">
      <formula>0.5</formula>
    </cfRule>
  </conditionalFormatting>
  <conditionalFormatting sqref="D32">
    <cfRule type="cellIs" dxfId="13720" priority="138383" stopIfTrue="1" operator="equal">
      <formula>-1</formula>
    </cfRule>
  </conditionalFormatting>
  <conditionalFormatting sqref="D32">
    <cfRule type="cellIs" dxfId="13719" priority="138384" stopIfTrue="1" operator="lessThan">
      <formula>0.5</formula>
    </cfRule>
  </conditionalFormatting>
  <conditionalFormatting sqref="D32">
    <cfRule type="cellIs" dxfId="13718" priority="138385" stopIfTrue="1" operator="greaterThanOrEqual">
      <formula>0.5</formula>
    </cfRule>
  </conditionalFormatting>
  <conditionalFormatting sqref="D33">
    <cfRule type="cellIs" dxfId="13717" priority="138386" stopIfTrue="1" operator="equal">
      <formula>-1</formula>
    </cfRule>
  </conditionalFormatting>
  <conditionalFormatting sqref="D33">
    <cfRule type="cellIs" dxfId="13716" priority="138387" stopIfTrue="1" operator="lessThan">
      <formula>0.5</formula>
    </cfRule>
  </conditionalFormatting>
  <conditionalFormatting sqref="D33">
    <cfRule type="cellIs" dxfId="13715" priority="138388" stopIfTrue="1" operator="greaterThanOrEqual">
      <formula>0.5</formula>
    </cfRule>
  </conditionalFormatting>
  <conditionalFormatting sqref="D34">
    <cfRule type="cellIs" dxfId="13714" priority="138389" stopIfTrue="1" operator="equal">
      <formula>-1</formula>
    </cfRule>
  </conditionalFormatting>
  <conditionalFormatting sqref="D34">
    <cfRule type="cellIs" dxfId="13713" priority="138390" stopIfTrue="1" operator="lessThan">
      <formula>0.5</formula>
    </cfRule>
  </conditionalFormatting>
  <conditionalFormatting sqref="D34">
    <cfRule type="cellIs" dxfId="13712" priority="138391" stopIfTrue="1" operator="greaterThanOrEqual">
      <formula>0.5</formula>
    </cfRule>
  </conditionalFormatting>
  <conditionalFormatting sqref="D35">
    <cfRule type="cellIs" dxfId="13711" priority="138392" stopIfTrue="1" operator="equal">
      <formula>-1</formula>
    </cfRule>
  </conditionalFormatting>
  <conditionalFormatting sqref="D35">
    <cfRule type="cellIs" dxfId="13710" priority="138393" stopIfTrue="1" operator="lessThan">
      <formula>0.5</formula>
    </cfRule>
  </conditionalFormatting>
  <conditionalFormatting sqref="D35">
    <cfRule type="cellIs" dxfId="13709" priority="138394" stopIfTrue="1" operator="greaterThanOrEqual">
      <formula>0.5</formula>
    </cfRule>
  </conditionalFormatting>
  <conditionalFormatting sqref="D36">
    <cfRule type="cellIs" dxfId="13708" priority="138395" stopIfTrue="1" operator="equal">
      <formula>-1</formula>
    </cfRule>
  </conditionalFormatting>
  <conditionalFormatting sqref="D36">
    <cfRule type="cellIs" dxfId="13707" priority="138396" stopIfTrue="1" operator="lessThan">
      <formula>0.5</formula>
    </cfRule>
  </conditionalFormatting>
  <conditionalFormatting sqref="D36">
    <cfRule type="cellIs" dxfId="13706" priority="138397" stopIfTrue="1" operator="greaterThanOrEqual">
      <formula>0.5</formula>
    </cfRule>
  </conditionalFormatting>
  <conditionalFormatting sqref="D37">
    <cfRule type="cellIs" dxfId="13705" priority="138398" stopIfTrue="1" operator="equal">
      <formula>-1</formula>
    </cfRule>
  </conditionalFormatting>
  <conditionalFormatting sqref="D37">
    <cfRule type="cellIs" dxfId="13704" priority="138399" stopIfTrue="1" operator="lessThan">
      <formula>0.5</formula>
    </cfRule>
  </conditionalFormatting>
  <conditionalFormatting sqref="D37">
    <cfRule type="cellIs" dxfId="13703" priority="138400" stopIfTrue="1" operator="greaterThanOrEqual">
      <formula>0.5</formula>
    </cfRule>
  </conditionalFormatting>
  <conditionalFormatting sqref="F17">
    <cfRule type="cellIs" dxfId="13702" priority="138401" stopIfTrue="1" operator="equal">
      <formula>-1</formula>
    </cfRule>
  </conditionalFormatting>
  <conditionalFormatting sqref="F17">
    <cfRule type="cellIs" dxfId="13701" priority="138402" stopIfTrue="1" operator="lessThan">
      <formula>0.5</formula>
    </cfRule>
  </conditionalFormatting>
  <conditionalFormatting sqref="F17">
    <cfRule type="cellIs" dxfId="13700" priority="138403" stopIfTrue="1" operator="greaterThanOrEqual">
      <formula>0.5</formula>
    </cfRule>
  </conditionalFormatting>
  <conditionalFormatting sqref="F18">
    <cfRule type="cellIs" dxfId="13699" priority="138404" stopIfTrue="1" operator="equal">
      <formula>-1</formula>
    </cfRule>
  </conditionalFormatting>
  <conditionalFormatting sqref="F18">
    <cfRule type="cellIs" dxfId="13698" priority="138405" stopIfTrue="1" operator="lessThan">
      <formula>0.5</formula>
    </cfRule>
  </conditionalFormatting>
  <conditionalFormatting sqref="F18">
    <cfRule type="cellIs" dxfId="13697" priority="138406" stopIfTrue="1" operator="greaterThanOrEqual">
      <formula>0.5</formula>
    </cfRule>
  </conditionalFormatting>
  <conditionalFormatting sqref="F19">
    <cfRule type="cellIs" dxfId="13696" priority="138407" stopIfTrue="1" operator="equal">
      <formula>-1</formula>
    </cfRule>
  </conditionalFormatting>
  <conditionalFormatting sqref="F19">
    <cfRule type="cellIs" dxfId="13695" priority="138408" stopIfTrue="1" operator="lessThan">
      <formula>0.5</formula>
    </cfRule>
  </conditionalFormatting>
  <conditionalFormatting sqref="F19">
    <cfRule type="cellIs" dxfId="13694" priority="138409" stopIfTrue="1" operator="greaterThanOrEqual">
      <formula>0.5</formula>
    </cfRule>
  </conditionalFormatting>
  <conditionalFormatting sqref="F20">
    <cfRule type="cellIs" dxfId="13693" priority="138410" stopIfTrue="1" operator="equal">
      <formula>-1</formula>
    </cfRule>
  </conditionalFormatting>
  <conditionalFormatting sqref="F20">
    <cfRule type="cellIs" dxfId="13692" priority="138411" stopIfTrue="1" operator="lessThan">
      <formula>0.5</formula>
    </cfRule>
  </conditionalFormatting>
  <conditionalFormatting sqref="F20">
    <cfRule type="cellIs" dxfId="13691" priority="138412" stopIfTrue="1" operator="greaterThanOrEqual">
      <formula>0.5</formula>
    </cfRule>
  </conditionalFormatting>
  <conditionalFormatting sqref="F21">
    <cfRule type="cellIs" dxfId="13690" priority="138413" stopIfTrue="1" operator="equal">
      <formula>-1</formula>
    </cfRule>
  </conditionalFormatting>
  <conditionalFormatting sqref="F21">
    <cfRule type="cellIs" dxfId="13689" priority="138414" stopIfTrue="1" operator="lessThan">
      <formula>0.5</formula>
    </cfRule>
  </conditionalFormatting>
  <conditionalFormatting sqref="F21">
    <cfRule type="cellIs" dxfId="13688" priority="138415" stopIfTrue="1" operator="greaterThanOrEqual">
      <formula>0.5</formula>
    </cfRule>
  </conditionalFormatting>
  <conditionalFormatting sqref="F22">
    <cfRule type="cellIs" dxfId="13687" priority="138416" stopIfTrue="1" operator="equal">
      <formula>-1</formula>
    </cfRule>
  </conditionalFormatting>
  <conditionalFormatting sqref="F22">
    <cfRule type="cellIs" dxfId="13686" priority="138417" stopIfTrue="1" operator="lessThan">
      <formula>0.5</formula>
    </cfRule>
  </conditionalFormatting>
  <conditionalFormatting sqref="F22">
    <cfRule type="cellIs" dxfId="13685" priority="138418" stopIfTrue="1" operator="greaterThanOrEqual">
      <formula>0.5</formula>
    </cfRule>
  </conditionalFormatting>
  <conditionalFormatting sqref="F23">
    <cfRule type="cellIs" dxfId="13684" priority="138419" stopIfTrue="1" operator="equal">
      <formula>-1</formula>
    </cfRule>
  </conditionalFormatting>
  <conditionalFormatting sqref="F23">
    <cfRule type="cellIs" dxfId="13683" priority="138420" stopIfTrue="1" operator="lessThan">
      <formula>0.5</formula>
    </cfRule>
  </conditionalFormatting>
  <conditionalFormatting sqref="F23">
    <cfRule type="cellIs" dxfId="13682" priority="138421" stopIfTrue="1" operator="greaterThanOrEqual">
      <formula>0.5</formula>
    </cfRule>
  </conditionalFormatting>
  <conditionalFormatting sqref="F24">
    <cfRule type="cellIs" dxfId="13681" priority="138422" stopIfTrue="1" operator="equal">
      <formula>-1</formula>
    </cfRule>
  </conditionalFormatting>
  <conditionalFormatting sqref="F24">
    <cfRule type="cellIs" dxfId="13680" priority="138423" stopIfTrue="1" operator="lessThan">
      <formula>0.5</formula>
    </cfRule>
  </conditionalFormatting>
  <conditionalFormatting sqref="F24">
    <cfRule type="cellIs" dxfId="13679" priority="138424" stopIfTrue="1" operator="greaterThanOrEqual">
      <formula>0.5</formula>
    </cfRule>
  </conditionalFormatting>
  <conditionalFormatting sqref="F25">
    <cfRule type="cellIs" dxfId="13678" priority="138425" stopIfTrue="1" operator="equal">
      <formula>-1</formula>
    </cfRule>
  </conditionalFormatting>
  <conditionalFormatting sqref="F25">
    <cfRule type="cellIs" dxfId="13677" priority="138426" stopIfTrue="1" operator="lessThan">
      <formula>0.5</formula>
    </cfRule>
  </conditionalFormatting>
  <conditionalFormatting sqref="F25">
    <cfRule type="cellIs" dxfId="13676" priority="138427" stopIfTrue="1" operator="greaterThanOrEqual">
      <formula>0.5</formula>
    </cfRule>
  </conditionalFormatting>
  <conditionalFormatting sqref="F26">
    <cfRule type="cellIs" dxfId="13675" priority="138428" stopIfTrue="1" operator="equal">
      <formula>-1</formula>
    </cfRule>
  </conditionalFormatting>
  <conditionalFormatting sqref="F26">
    <cfRule type="cellIs" dxfId="13674" priority="138429" stopIfTrue="1" operator="lessThan">
      <formula>0.5</formula>
    </cfRule>
  </conditionalFormatting>
  <conditionalFormatting sqref="F26">
    <cfRule type="cellIs" dxfId="13673" priority="138430" stopIfTrue="1" operator="greaterThanOrEqual">
      <formula>0.5</formula>
    </cfRule>
  </conditionalFormatting>
  <conditionalFormatting sqref="F27">
    <cfRule type="cellIs" dxfId="13672" priority="138431" stopIfTrue="1" operator="equal">
      <formula>-1</formula>
    </cfRule>
  </conditionalFormatting>
  <conditionalFormatting sqref="F27">
    <cfRule type="cellIs" dxfId="13671" priority="138432" stopIfTrue="1" operator="lessThan">
      <formula>0.5</formula>
    </cfRule>
  </conditionalFormatting>
  <conditionalFormatting sqref="F27">
    <cfRule type="cellIs" dxfId="13670" priority="138433" stopIfTrue="1" operator="greaterThanOrEqual">
      <formula>0.5</formula>
    </cfRule>
  </conditionalFormatting>
  <conditionalFormatting sqref="F28">
    <cfRule type="cellIs" dxfId="13669" priority="138434" stopIfTrue="1" operator="equal">
      <formula>-1</formula>
    </cfRule>
  </conditionalFormatting>
  <conditionalFormatting sqref="F28">
    <cfRule type="cellIs" dxfId="13668" priority="138435" stopIfTrue="1" operator="lessThan">
      <formula>0.5</formula>
    </cfRule>
  </conditionalFormatting>
  <conditionalFormatting sqref="F28">
    <cfRule type="cellIs" dxfId="13667" priority="138436" stopIfTrue="1" operator="greaterThanOrEqual">
      <formula>0.5</formula>
    </cfRule>
  </conditionalFormatting>
  <conditionalFormatting sqref="F29">
    <cfRule type="cellIs" dxfId="13666" priority="138437" stopIfTrue="1" operator="equal">
      <formula>-1</formula>
    </cfRule>
  </conditionalFormatting>
  <conditionalFormatting sqref="F29">
    <cfRule type="cellIs" dxfId="13665" priority="138438" stopIfTrue="1" operator="lessThan">
      <formula>0.5</formula>
    </cfRule>
  </conditionalFormatting>
  <conditionalFormatting sqref="F29">
    <cfRule type="cellIs" dxfId="13664" priority="138439" stopIfTrue="1" operator="greaterThanOrEqual">
      <formula>0.5</formula>
    </cfRule>
  </conditionalFormatting>
  <conditionalFormatting sqref="F30">
    <cfRule type="cellIs" dxfId="13663" priority="138440" stopIfTrue="1" operator="equal">
      <formula>-1</formula>
    </cfRule>
  </conditionalFormatting>
  <conditionalFormatting sqref="F30">
    <cfRule type="cellIs" dxfId="13662" priority="138441" stopIfTrue="1" operator="lessThan">
      <formula>0.5</formula>
    </cfRule>
  </conditionalFormatting>
  <conditionalFormatting sqref="F30">
    <cfRule type="cellIs" dxfId="13661" priority="138442" stopIfTrue="1" operator="greaterThanOrEqual">
      <formula>0.5</formula>
    </cfRule>
  </conditionalFormatting>
  <conditionalFormatting sqref="F31">
    <cfRule type="cellIs" dxfId="13660" priority="138443" stopIfTrue="1" operator="equal">
      <formula>-1</formula>
    </cfRule>
  </conditionalFormatting>
  <conditionalFormatting sqref="F31">
    <cfRule type="cellIs" dxfId="13659" priority="138444" stopIfTrue="1" operator="lessThan">
      <formula>0.5</formula>
    </cfRule>
  </conditionalFormatting>
  <conditionalFormatting sqref="F31">
    <cfRule type="cellIs" dxfId="13658" priority="138445" stopIfTrue="1" operator="greaterThanOrEqual">
      <formula>0.5</formula>
    </cfRule>
  </conditionalFormatting>
  <conditionalFormatting sqref="F32">
    <cfRule type="cellIs" dxfId="13657" priority="138446" stopIfTrue="1" operator="equal">
      <formula>-1</formula>
    </cfRule>
  </conditionalFormatting>
  <conditionalFormatting sqref="F32">
    <cfRule type="cellIs" dxfId="13656" priority="138447" stopIfTrue="1" operator="lessThan">
      <formula>0.5</formula>
    </cfRule>
  </conditionalFormatting>
  <conditionalFormatting sqref="F32">
    <cfRule type="cellIs" dxfId="13655" priority="138448" stopIfTrue="1" operator="greaterThanOrEqual">
      <formula>0.5</formula>
    </cfRule>
  </conditionalFormatting>
  <conditionalFormatting sqref="F33">
    <cfRule type="cellIs" dxfId="13654" priority="138449" stopIfTrue="1" operator="equal">
      <formula>-1</formula>
    </cfRule>
  </conditionalFormatting>
  <conditionalFormatting sqref="F33">
    <cfRule type="cellIs" dxfId="13653" priority="138450" stopIfTrue="1" operator="lessThan">
      <formula>0.5</formula>
    </cfRule>
  </conditionalFormatting>
  <conditionalFormatting sqref="F33">
    <cfRule type="cellIs" dxfId="13652" priority="138451" stopIfTrue="1" operator="greaterThanOrEqual">
      <formula>0.5</formula>
    </cfRule>
  </conditionalFormatting>
  <conditionalFormatting sqref="F34">
    <cfRule type="cellIs" dxfId="13651" priority="138452" stopIfTrue="1" operator="equal">
      <formula>-1</formula>
    </cfRule>
  </conditionalFormatting>
  <conditionalFormatting sqref="F34">
    <cfRule type="cellIs" dxfId="13650" priority="138453" stopIfTrue="1" operator="lessThan">
      <formula>0.5</formula>
    </cfRule>
  </conditionalFormatting>
  <conditionalFormatting sqref="F34">
    <cfRule type="cellIs" dxfId="13649" priority="138454" stopIfTrue="1" operator="greaterThanOrEqual">
      <formula>0.5</formula>
    </cfRule>
  </conditionalFormatting>
  <conditionalFormatting sqref="F35">
    <cfRule type="cellIs" dxfId="13648" priority="138455" stopIfTrue="1" operator="equal">
      <formula>-1</formula>
    </cfRule>
  </conditionalFormatting>
  <conditionalFormatting sqref="F35">
    <cfRule type="cellIs" dxfId="13647" priority="138456" stopIfTrue="1" operator="lessThan">
      <formula>0.5</formula>
    </cfRule>
  </conditionalFormatting>
  <conditionalFormatting sqref="F35">
    <cfRule type="cellIs" dxfId="13646" priority="138457" stopIfTrue="1" operator="greaterThanOrEqual">
      <formula>0.5</formula>
    </cfRule>
  </conditionalFormatting>
  <conditionalFormatting sqref="F36">
    <cfRule type="cellIs" dxfId="13645" priority="138458" stopIfTrue="1" operator="equal">
      <formula>-1</formula>
    </cfRule>
  </conditionalFormatting>
  <conditionalFormatting sqref="F36">
    <cfRule type="cellIs" dxfId="13644" priority="138459" stopIfTrue="1" operator="lessThan">
      <formula>0.5</formula>
    </cfRule>
  </conditionalFormatting>
  <conditionalFormatting sqref="F36">
    <cfRule type="cellIs" dxfId="13643" priority="138460" stopIfTrue="1" operator="greaterThanOrEqual">
      <formula>0.5</formula>
    </cfRule>
  </conditionalFormatting>
  <conditionalFormatting sqref="F37">
    <cfRule type="cellIs" dxfId="13642" priority="138461" stopIfTrue="1" operator="equal">
      <formula>-1</formula>
    </cfRule>
  </conditionalFormatting>
  <conditionalFormatting sqref="F37">
    <cfRule type="cellIs" dxfId="13641" priority="138462" stopIfTrue="1" operator="lessThan">
      <formula>0.5</formula>
    </cfRule>
  </conditionalFormatting>
  <conditionalFormatting sqref="F37">
    <cfRule type="cellIs" dxfId="13640" priority="138463" stopIfTrue="1" operator="greaterThanOrEqual">
      <formula>0.5</formula>
    </cfRule>
  </conditionalFormatting>
  <conditionalFormatting sqref="H17">
    <cfRule type="cellIs" dxfId="13639" priority="138464" stopIfTrue="1" operator="equal">
      <formula>-1</formula>
    </cfRule>
  </conditionalFormatting>
  <conditionalFormatting sqref="H17">
    <cfRule type="cellIs" dxfId="13638" priority="138465" stopIfTrue="1" operator="lessThan">
      <formula>0.5</formula>
    </cfRule>
  </conditionalFormatting>
  <conditionalFormatting sqref="H17">
    <cfRule type="cellIs" dxfId="13637" priority="138466" stopIfTrue="1" operator="greaterThanOrEqual">
      <formula>0.5</formula>
    </cfRule>
  </conditionalFormatting>
  <conditionalFormatting sqref="H18">
    <cfRule type="cellIs" dxfId="13636" priority="138467" stopIfTrue="1" operator="equal">
      <formula>-1</formula>
    </cfRule>
  </conditionalFormatting>
  <conditionalFormatting sqref="H18">
    <cfRule type="cellIs" dxfId="13635" priority="138468" stopIfTrue="1" operator="lessThan">
      <formula>0.5</formula>
    </cfRule>
  </conditionalFormatting>
  <conditionalFormatting sqref="H18">
    <cfRule type="cellIs" dxfId="13634" priority="138469" stopIfTrue="1" operator="greaterThanOrEqual">
      <formula>0.5</formula>
    </cfRule>
  </conditionalFormatting>
  <conditionalFormatting sqref="H19">
    <cfRule type="cellIs" dxfId="13633" priority="138470" stopIfTrue="1" operator="equal">
      <formula>-1</formula>
    </cfRule>
  </conditionalFormatting>
  <conditionalFormatting sqref="H19">
    <cfRule type="cellIs" dxfId="13632" priority="138471" stopIfTrue="1" operator="lessThan">
      <formula>0.5</formula>
    </cfRule>
  </conditionalFormatting>
  <conditionalFormatting sqref="H19">
    <cfRule type="cellIs" dxfId="13631" priority="138472" stopIfTrue="1" operator="greaterThanOrEqual">
      <formula>0.5</formula>
    </cfRule>
  </conditionalFormatting>
  <conditionalFormatting sqref="H20">
    <cfRule type="cellIs" dxfId="13630" priority="138473" stopIfTrue="1" operator="equal">
      <formula>-1</formula>
    </cfRule>
  </conditionalFormatting>
  <conditionalFormatting sqref="H20">
    <cfRule type="cellIs" dxfId="13629" priority="138474" stopIfTrue="1" operator="lessThan">
      <formula>0.5</formula>
    </cfRule>
  </conditionalFormatting>
  <conditionalFormatting sqref="H20">
    <cfRule type="cellIs" dxfId="13628" priority="138475" stopIfTrue="1" operator="greaterThanOrEqual">
      <formula>0.5</formula>
    </cfRule>
  </conditionalFormatting>
  <conditionalFormatting sqref="H21">
    <cfRule type="cellIs" dxfId="13627" priority="138476" stopIfTrue="1" operator="equal">
      <formula>-1</formula>
    </cfRule>
  </conditionalFormatting>
  <conditionalFormatting sqref="H21">
    <cfRule type="cellIs" dxfId="13626" priority="138477" stopIfTrue="1" operator="lessThan">
      <formula>0.5</formula>
    </cfRule>
  </conditionalFormatting>
  <conditionalFormatting sqref="H21">
    <cfRule type="cellIs" dxfId="13625" priority="138478" stopIfTrue="1" operator="greaterThanOrEqual">
      <formula>0.5</formula>
    </cfRule>
  </conditionalFormatting>
  <conditionalFormatting sqref="H22">
    <cfRule type="cellIs" dxfId="13624" priority="138479" stopIfTrue="1" operator="equal">
      <formula>-1</formula>
    </cfRule>
  </conditionalFormatting>
  <conditionalFormatting sqref="H22">
    <cfRule type="cellIs" dxfId="13623" priority="138480" stopIfTrue="1" operator="lessThan">
      <formula>0.5</formula>
    </cfRule>
  </conditionalFormatting>
  <conditionalFormatting sqref="H22">
    <cfRule type="cellIs" dxfId="13622" priority="138481" stopIfTrue="1" operator="greaterThanOrEqual">
      <formula>0.5</formula>
    </cfRule>
  </conditionalFormatting>
  <conditionalFormatting sqref="H23">
    <cfRule type="cellIs" dxfId="13621" priority="138482" stopIfTrue="1" operator="equal">
      <formula>-1</formula>
    </cfRule>
  </conditionalFormatting>
  <conditionalFormatting sqref="H23">
    <cfRule type="cellIs" dxfId="13620" priority="138483" stopIfTrue="1" operator="lessThan">
      <formula>0.5</formula>
    </cfRule>
  </conditionalFormatting>
  <conditionalFormatting sqref="H23">
    <cfRule type="cellIs" dxfId="13619" priority="138484" stopIfTrue="1" operator="greaterThanOrEqual">
      <formula>0.5</formula>
    </cfRule>
  </conditionalFormatting>
  <conditionalFormatting sqref="H24">
    <cfRule type="cellIs" dxfId="13618" priority="138485" stopIfTrue="1" operator="equal">
      <formula>-1</formula>
    </cfRule>
  </conditionalFormatting>
  <conditionalFormatting sqref="H24">
    <cfRule type="cellIs" dxfId="13617" priority="138486" stopIfTrue="1" operator="lessThan">
      <formula>0.5</formula>
    </cfRule>
  </conditionalFormatting>
  <conditionalFormatting sqref="H24">
    <cfRule type="cellIs" dxfId="13616" priority="138487" stopIfTrue="1" operator="greaterThanOrEqual">
      <formula>0.5</formula>
    </cfRule>
  </conditionalFormatting>
  <conditionalFormatting sqref="H25">
    <cfRule type="cellIs" dxfId="13615" priority="138488" stopIfTrue="1" operator="equal">
      <formula>-1</formula>
    </cfRule>
  </conditionalFormatting>
  <conditionalFormatting sqref="H25">
    <cfRule type="cellIs" dxfId="13614" priority="138489" stopIfTrue="1" operator="lessThan">
      <formula>0.5</formula>
    </cfRule>
  </conditionalFormatting>
  <conditionalFormatting sqref="H25">
    <cfRule type="cellIs" dxfId="13613" priority="138490" stopIfTrue="1" operator="greaterThanOrEqual">
      <formula>0.5</formula>
    </cfRule>
  </conditionalFormatting>
  <conditionalFormatting sqref="H26">
    <cfRule type="cellIs" dxfId="13612" priority="138491" stopIfTrue="1" operator="equal">
      <formula>-1</formula>
    </cfRule>
  </conditionalFormatting>
  <conditionalFormatting sqref="H26">
    <cfRule type="cellIs" dxfId="13611" priority="138492" stopIfTrue="1" operator="lessThan">
      <formula>0.5</formula>
    </cfRule>
  </conditionalFormatting>
  <conditionalFormatting sqref="H26">
    <cfRule type="cellIs" dxfId="13610" priority="138493" stopIfTrue="1" operator="greaterThanOrEqual">
      <formula>0.5</formula>
    </cfRule>
  </conditionalFormatting>
  <conditionalFormatting sqref="H27">
    <cfRule type="cellIs" dxfId="13609" priority="138494" stopIfTrue="1" operator="equal">
      <formula>-1</formula>
    </cfRule>
  </conditionalFormatting>
  <conditionalFormatting sqref="H27">
    <cfRule type="cellIs" dxfId="13608" priority="138495" stopIfTrue="1" operator="lessThan">
      <formula>0.5</formula>
    </cfRule>
  </conditionalFormatting>
  <conditionalFormatting sqref="H27">
    <cfRule type="cellIs" dxfId="13607" priority="138496" stopIfTrue="1" operator="greaterThanOrEqual">
      <formula>0.5</formula>
    </cfRule>
  </conditionalFormatting>
  <conditionalFormatting sqref="H28">
    <cfRule type="cellIs" dxfId="13606" priority="138497" stopIfTrue="1" operator="equal">
      <formula>-1</formula>
    </cfRule>
  </conditionalFormatting>
  <conditionalFormatting sqref="H28">
    <cfRule type="cellIs" dxfId="13605" priority="138498" stopIfTrue="1" operator="lessThan">
      <formula>0.5</formula>
    </cfRule>
  </conditionalFormatting>
  <conditionalFormatting sqref="H28">
    <cfRule type="cellIs" dxfId="13604" priority="138499" stopIfTrue="1" operator="greaterThanOrEqual">
      <formula>0.5</formula>
    </cfRule>
  </conditionalFormatting>
  <conditionalFormatting sqref="H29">
    <cfRule type="cellIs" dxfId="13603" priority="138500" stopIfTrue="1" operator="equal">
      <formula>-1</formula>
    </cfRule>
  </conditionalFormatting>
  <conditionalFormatting sqref="H29">
    <cfRule type="cellIs" dxfId="13602" priority="138501" stopIfTrue="1" operator="lessThan">
      <formula>0.5</formula>
    </cfRule>
  </conditionalFormatting>
  <conditionalFormatting sqref="H29">
    <cfRule type="cellIs" dxfId="13601" priority="138502" stopIfTrue="1" operator="greaterThanOrEqual">
      <formula>0.5</formula>
    </cfRule>
  </conditionalFormatting>
  <conditionalFormatting sqref="H30">
    <cfRule type="cellIs" dxfId="13600" priority="138503" stopIfTrue="1" operator="equal">
      <formula>-1</formula>
    </cfRule>
  </conditionalFormatting>
  <conditionalFormatting sqref="H30">
    <cfRule type="cellIs" dxfId="13599" priority="138504" stopIfTrue="1" operator="lessThan">
      <formula>0.5</formula>
    </cfRule>
  </conditionalFormatting>
  <conditionalFormatting sqref="H30">
    <cfRule type="cellIs" dxfId="13598" priority="138505" stopIfTrue="1" operator="greaterThanOrEqual">
      <formula>0.5</formula>
    </cfRule>
  </conditionalFormatting>
  <conditionalFormatting sqref="H31">
    <cfRule type="cellIs" dxfId="13597" priority="138506" stopIfTrue="1" operator="equal">
      <formula>-1</formula>
    </cfRule>
  </conditionalFormatting>
  <conditionalFormatting sqref="H31">
    <cfRule type="cellIs" dxfId="13596" priority="138507" stopIfTrue="1" operator="lessThan">
      <formula>0.5</formula>
    </cfRule>
  </conditionalFormatting>
  <conditionalFormatting sqref="H31">
    <cfRule type="cellIs" dxfId="13595" priority="138508" stopIfTrue="1" operator="greaterThanOrEqual">
      <formula>0.5</formula>
    </cfRule>
  </conditionalFormatting>
  <conditionalFormatting sqref="H32">
    <cfRule type="cellIs" dxfId="13594" priority="138509" stopIfTrue="1" operator="equal">
      <formula>-1</formula>
    </cfRule>
  </conditionalFormatting>
  <conditionalFormatting sqref="H32">
    <cfRule type="cellIs" dxfId="13593" priority="138510" stopIfTrue="1" operator="lessThan">
      <formula>0.5</formula>
    </cfRule>
  </conditionalFormatting>
  <conditionalFormatting sqref="H32">
    <cfRule type="cellIs" dxfId="13592" priority="138511" stopIfTrue="1" operator="greaterThanOrEqual">
      <formula>0.5</formula>
    </cfRule>
  </conditionalFormatting>
  <conditionalFormatting sqref="H33">
    <cfRule type="cellIs" dxfId="13591" priority="138512" stopIfTrue="1" operator="equal">
      <formula>-1</formula>
    </cfRule>
  </conditionalFormatting>
  <conditionalFormatting sqref="H33">
    <cfRule type="cellIs" dxfId="13590" priority="138513" stopIfTrue="1" operator="lessThan">
      <formula>0.5</formula>
    </cfRule>
  </conditionalFormatting>
  <conditionalFormatting sqref="H33">
    <cfRule type="cellIs" dxfId="13589" priority="138514" stopIfTrue="1" operator="greaterThanOrEqual">
      <formula>0.5</formula>
    </cfRule>
  </conditionalFormatting>
  <conditionalFormatting sqref="H34">
    <cfRule type="cellIs" dxfId="13588" priority="138515" stopIfTrue="1" operator="equal">
      <formula>-1</formula>
    </cfRule>
  </conditionalFormatting>
  <conditionalFormatting sqref="H34">
    <cfRule type="cellIs" dxfId="13587" priority="138516" stopIfTrue="1" operator="lessThan">
      <formula>0.5</formula>
    </cfRule>
  </conditionalFormatting>
  <conditionalFormatting sqref="H34">
    <cfRule type="cellIs" dxfId="13586" priority="138517" stopIfTrue="1" operator="greaterThanOrEqual">
      <formula>0.5</formula>
    </cfRule>
  </conditionalFormatting>
  <conditionalFormatting sqref="H35">
    <cfRule type="cellIs" dxfId="13585" priority="138518" stopIfTrue="1" operator="equal">
      <formula>-1</formula>
    </cfRule>
  </conditionalFormatting>
  <conditionalFormatting sqref="H35">
    <cfRule type="cellIs" dxfId="13584" priority="138519" stopIfTrue="1" operator="lessThan">
      <formula>0.5</formula>
    </cfRule>
  </conditionalFormatting>
  <conditionalFormatting sqref="H35">
    <cfRule type="cellIs" dxfId="13583" priority="138520" stopIfTrue="1" operator="greaterThanOrEqual">
      <formula>0.5</formula>
    </cfRule>
  </conditionalFormatting>
  <conditionalFormatting sqref="H36">
    <cfRule type="cellIs" dxfId="13582" priority="138521" stopIfTrue="1" operator="equal">
      <formula>-1</formula>
    </cfRule>
  </conditionalFormatting>
  <conditionalFormatting sqref="H36">
    <cfRule type="cellIs" dxfId="13581" priority="138522" stopIfTrue="1" operator="lessThan">
      <formula>0.5</formula>
    </cfRule>
  </conditionalFormatting>
  <conditionalFormatting sqref="H36">
    <cfRule type="cellIs" dxfId="13580" priority="138523" stopIfTrue="1" operator="greaterThanOrEqual">
      <formula>0.5</formula>
    </cfRule>
  </conditionalFormatting>
  <conditionalFormatting sqref="H37">
    <cfRule type="cellIs" dxfId="13579" priority="138524" stopIfTrue="1" operator="equal">
      <formula>-1</formula>
    </cfRule>
  </conditionalFormatting>
  <conditionalFormatting sqref="H37">
    <cfRule type="cellIs" dxfId="13578" priority="138525" stopIfTrue="1" operator="lessThan">
      <formula>0.5</formula>
    </cfRule>
  </conditionalFormatting>
  <conditionalFormatting sqref="H37">
    <cfRule type="cellIs" dxfId="13577" priority="138526" stopIfTrue="1" operator="greaterThanOrEqual">
      <formula>0.5</formula>
    </cfRule>
  </conditionalFormatting>
  <conditionalFormatting sqref="J17">
    <cfRule type="cellIs" dxfId="13576" priority="138527" stopIfTrue="1" operator="equal">
      <formula>-1</formula>
    </cfRule>
  </conditionalFormatting>
  <conditionalFormatting sqref="J17">
    <cfRule type="cellIs" dxfId="13575" priority="138528" stopIfTrue="1" operator="lessThan">
      <formula>0.5</formula>
    </cfRule>
  </conditionalFormatting>
  <conditionalFormatting sqref="J17">
    <cfRule type="cellIs" dxfId="13574" priority="138529" stopIfTrue="1" operator="greaterThanOrEqual">
      <formula>0.5</formula>
    </cfRule>
  </conditionalFormatting>
  <conditionalFormatting sqref="J18">
    <cfRule type="cellIs" dxfId="13573" priority="138530" stopIfTrue="1" operator="equal">
      <formula>-1</formula>
    </cfRule>
  </conditionalFormatting>
  <conditionalFormatting sqref="J18">
    <cfRule type="cellIs" dxfId="13572" priority="138531" stopIfTrue="1" operator="lessThan">
      <formula>0.5</formula>
    </cfRule>
  </conditionalFormatting>
  <conditionalFormatting sqref="J18">
    <cfRule type="cellIs" dxfId="13571" priority="138532" stopIfTrue="1" operator="greaterThanOrEqual">
      <formula>0.5</formula>
    </cfRule>
  </conditionalFormatting>
  <conditionalFormatting sqref="J19">
    <cfRule type="cellIs" dxfId="13570" priority="138533" stopIfTrue="1" operator="equal">
      <formula>-1</formula>
    </cfRule>
  </conditionalFormatting>
  <conditionalFormatting sqref="J19">
    <cfRule type="cellIs" dxfId="13569" priority="138534" stopIfTrue="1" operator="lessThan">
      <formula>0.5</formula>
    </cfRule>
  </conditionalFormatting>
  <conditionalFormatting sqref="J19">
    <cfRule type="cellIs" dxfId="13568" priority="138535" stopIfTrue="1" operator="greaterThanOrEqual">
      <formula>0.5</formula>
    </cfRule>
  </conditionalFormatting>
  <conditionalFormatting sqref="J20">
    <cfRule type="cellIs" dxfId="13567" priority="138536" stopIfTrue="1" operator="equal">
      <formula>-1</formula>
    </cfRule>
  </conditionalFormatting>
  <conditionalFormatting sqref="J20">
    <cfRule type="cellIs" dxfId="13566" priority="138537" stopIfTrue="1" operator="lessThan">
      <formula>0.5</formula>
    </cfRule>
  </conditionalFormatting>
  <conditionalFormatting sqref="J20">
    <cfRule type="cellIs" dxfId="13565" priority="138538" stopIfTrue="1" operator="greaterThanOrEqual">
      <formula>0.5</formula>
    </cfRule>
  </conditionalFormatting>
  <conditionalFormatting sqref="J21">
    <cfRule type="cellIs" dxfId="13564" priority="138539" stopIfTrue="1" operator="equal">
      <formula>-1</formula>
    </cfRule>
  </conditionalFormatting>
  <conditionalFormatting sqref="J21">
    <cfRule type="cellIs" dxfId="13563" priority="138540" stopIfTrue="1" operator="lessThan">
      <formula>0.5</formula>
    </cfRule>
  </conditionalFormatting>
  <conditionalFormatting sqref="J21">
    <cfRule type="cellIs" dxfId="13562" priority="138541" stopIfTrue="1" operator="greaterThanOrEqual">
      <formula>0.5</formula>
    </cfRule>
  </conditionalFormatting>
  <conditionalFormatting sqref="J22">
    <cfRule type="cellIs" dxfId="13561" priority="138542" stopIfTrue="1" operator="equal">
      <formula>-1</formula>
    </cfRule>
  </conditionalFormatting>
  <conditionalFormatting sqref="J22">
    <cfRule type="cellIs" dxfId="13560" priority="138543" stopIfTrue="1" operator="lessThan">
      <formula>0.5</formula>
    </cfRule>
  </conditionalFormatting>
  <conditionalFormatting sqref="J22">
    <cfRule type="cellIs" dxfId="13559" priority="138544" stopIfTrue="1" operator="greaterThanOrEqual">
      <formula>0.5</formula>
    </cfRule>
  </conditionalFormatting>
  <conditionalFormatting sqref="J23">
    <cfRule type="cellIs" dxfId="13558" priority="138545" stopIfTrue="1" operator="equal">
      <formula>-1</formula>
    </cfRule>
  </conditionalFormatting>
  <conditionalFormatting sqref="J23">
    <cfRule type="cellIs" dxfId="13557" priority="138546" stopIfTrue="1" operator="lessThan">
      <formula>0.5</formula>
    </cfRule>
  </conditionalFormatting>
  <conditionalFormatting sqref="J23">
    <cfRule type="cellIs" dxfId="13556" priority="138547" stopIfTrue="1" operator="greaterThanOrEqual">
      <formula>0.5</formula>
    </cfRule>
  </conditionalFormatting>
  <conditionalFormatting sqref="J24">
    <cfRule type="cellIs" dxfId="13555" priority="138548" stopIfTrue="1" operator="equal">
      <formula>-1</formula>
    </cfRule>
  </conditionalFormatting>
  <conditionalFormatting sqref="J24">
    <cfRule type="cellIs" dxfId="13554" priority="138549" stopIfTrue="1" operator="lessThan">
      <formula>0.5</formula>
    </cfRule>
  </conditionalFormatting>
  <conditionalFormatting sqref="J24">
    <cfRule type="cellIs" dxfId="13553" priority="138550" stopIfTrue="1" operator="greaterThanOrEqual">
      <formula>0.5</formula>
    </cfRule>
  </conditionalFormatting>
  <conditionalFormatting sqref="J25">
    <cfRule type="cellIs" dxfId="13552" priority="138551" stopIfTrue="1" operator="equal">
      <formula>-1</formula>
    </cfRule>
  </conditionalFormatting>
  <conditionalFormatting sqref="J25">
    <cfRule type="cellIs" dxfId="13551" priority="138552" stopIfTrue="1" operator="lessThan">
      <formula>0.5</formula>
    </cfRule>
  </conditionalFormatting>
  <conditionalFormatting sqref="J25">
    <cfRule type="cellIs" dxfId="13550" priority="138553" stopIfTrue="1" operator="greaterThanOrEqual">
      <formula>0.5</formula>
    </cfRule>
  </conditionalFormatting>
  <conditionalFormatting sqref="J26">
    <cfRule type="cellIs" dxfId="13549" priority="138554" stopIfTrue="1" operator="equal">
      <formula>-1</formula>
    </cfRule>
  </conditionalFormatting>
  <conditionalFormatting sqref="J26">
    <cfRule type="cellIs" dxfId="13548" priority="138555" stopIfTrue="1" operator="lessThan">
      <formula>0.5</formula>
    </cfRule>
  </conditionalFormatting>
  <conditionalFormatting sqref="J26">
    <cfRule type="cellIs" dxfId="13547" priority="138556" stopIfTrue="1" operator="greaterThanOrEqual">
      <formula>0.5</formula>
    </cfRule>
  </conditionalFormatting>
  <conditionalFormatting sqref="J27">
    <cfRule type="cellIs" dxfId="13546" priority="138557" stopIfTrue="1" operator="equal">
      <formula>-1</formula>
    </cfRule>
  </conditionalFormatting>
  <conditionalFormatting sqref="J27">
    <cfRule type="cellIs" dxfId="13545" priority="138558" stopIfTrue="1" operator="lessThan">
      <formula>0.5</formula>
    </cfRule>
  </conditionalFormatting>
  <conditionalFormatting sqref="J27">
    <cfRule type="cellIs" dxfId="13544" priority="138559" stopIfTrue="1" operator="greaterThanOrEqual">
      <formula>0.5</formula>
    </cfRule>
  </conditionalFormatting>
  <conditionalFormatting sqref="J28">
    <cfRule type="cellIs" dxfId="13543" priority="138560" stopIfTrue="1" operator="equal">
      <formula>-1</formula>
    </cfRule>
  </conditionalFormatting>
  <conditionalFormatting sqref="J28">
    <cfRule type="cellIs" dxfId="13542" priority="138561" stopIfTrue="1" operator="lessThan">
      <formula>0.5</formula>
    </cfRule>
  </conditionalFormatting>
  <conditionalFormatting sqref="J28">
    <cfRule type="cellIs" dxfId="13541" priority="138562" stopIfTrue="1" operator="greaterThanOrEqual">
      <formula>0.5</formula>
    </cfRule>
  </conditionalFormatting>
  <conditionalFormatting sqref="J29">
    <cfRule type="cellIs" dxfId="13540" priority="138563" stopIfTrue="1" operator="equal">
      <formula>-1</formula>
    </cfRule>
  </conditionalFormatting>
  <conditionalFormatting sqref="J29">
    <cfRule type="cellIs" dxfId="13539" priority="138564" stopIfTrue="1" operator="lessThan">
      <formula>0.5</formula>
    </cfRule>
  </conditionalFormatting>
  <conditionalFormatting sqref="J29">
    <cfRule type="cellIs" dxfId="13538" priority="138565" stopIfTrue="1" operator="greaterThanOrEqual">
      <formula>0.5</formula>
    </cfRule>
  </conditionalFormatting>
  <conditionalFormatting sqref="J30">
    <cfRule type="cellIs" dxfId="13537" priority="138566" stopIfTrue="1" operator="equal">
      <formula>-1</formula>
    </cfRule>
  </conditionalFormatting>
  <conditionalFormatting sqref="J30">
    <cfRule type="cellIs" dxfId="13536" priority="138567" stopIfTrue="1" operator="lessThan">
      <formula>0.5</formula>
    </cfRule>
  </conditionalFormatting>
  <conditionalFormatting sqref="J30">
    <cfRule type="cellIs" dxfId="13535" priority="138568" stopIfTrue="1" operator="greaterThanOrEqual">
      <formula>0.5</formula>
    </cfRule>
  </conditionalFormatting>
  <conditionalFormatting sqref="J31">
    <cfRule type="cellIs" dxfId="13534" priority="138569" stopIfTrue="1" operator="equal">
      <formula>-1</formula>
    </cfRule>
  </conditionalFormatting>
  <conditionalFormatting sqref="J31">
    <cfRule type="cellIs" dxfId="13533" priority="138570" stopIfTrue="1" operator="lessThan">
      <formula>0.5</formula>
    </cfRule>
  </conditionalFormatting>
  <conditionalFormatting sqref="J31">
    <cfRule type="cellIs" dxfId="13532" priority="138571" stopIfTrue="1" operator="greaterThanOrEqual">
      <formula>0.5</formula>
    </cfRule>
  </conditionalFormatting>
  <conditionalFormatting sqref="J32">
    <cfRule type="cellIs" dxfId="13531" priority="138572" stopIfTrue="1" operator="equal">
      <formula>-1</formula>
    </cfRule>
  </conditionalFormatting>
  <conditionalFormatting sqref="J32">
    <cfRule type="cellIs" dxfId="13530" priority="138573" stopIfTrue="1" operator="lessThan">
      <formula>0.5</formula>
    </cfRule>
  </conditionalFormatting>
  <conditionalFormatting sqref="J32">
    <cfRule type="cellIs" dxfId="13529" priority="138574" stopIfTrue="1" operator="greaterThanOrEqual">
      <formula>0.5</formula>
    </cfRule>
  </conditionalFormatting>
  <conditionalFormatting sqref="J33">
    <cfRule type="cellIs" dxfId="13528" priority="138575" stopIfTrue="1" operator="equal">
      <formula>-1</formula>
    </cfRule>
  </conditionalFormatting>
  <conditionalFormatting sqref="J33">
    <cfRule type="cellIs" dxfId="13527" priority="138576" stopIfTrue="1" operator="lessThan">
      <formula>0.5</formula>
    </cfRule>
  </conditionalFormatting>
  <conditionalFormatting sqref="J33">
    <cfRule type="cellIs" dxfId="13526" priority="138577" stopIfTrue="1" operator="greaterThanOrEqual">
      <formula>0.5</formula>
    </cfRule>
  </conditionalFormatting>
  <conditionalFormatting sqref="J34">
    <cfRule type="cellIs" dxfId="13525" priority="138578" stopIfTrue="1" operator="equal">
      <formula>-1</formula>
    </cfRule>
  </conditionalFormatting>
  <conditionalFormatting sqref="J34">
    <cfRule type="cellIs" dxfId="13524" priority="138579" stopIfTrue="1" operator="lessThan">
      <formula>0.5</formula>
    </cfRule>
  </conditionalFormatting>
  <conditionalFormatting sqref="J34">
    <cfRule type="cellIs" dxfId="13523" priority="138580" stopIfTrue="1" operator="greaterThanOrEqual">
      <formula>0.5</formula>
    </cfRule>
  </conditionalFormatting>
  <conditionalFormatting sqref="J35">
    <cfRule type="cellIs" dxfId="13522" priority="138581" stopIfTrue="1" operator="equal">
      <formula>-1</formula>
    </cfRule>
  </conditionalFormatting>
  <conditionalFormatting sqref="J35">
    <cfRule type="cellIs" dxfId="13521" priority="138582" stopIfTrue="1" operator="lessThan">
      <formula>0.5</formula>
    </cfRule>
  </conditionalFormatting>
  <conditionalFormatting sqref="J35">
    <cfRule type="cellIs" dxfId="13520" priority="138583" stopIfTrue="1" operator="greaterThanOrEqual">
      <formula>0.5</formula>
    </cfRule>
  </conditionalFormatting>
  <conditionalFormatting sqref="J36">
    <cfRule type="cellIs" dxfId="13519" priority="138584" stopIfTrue="1" operator="equal">
      <formula>-1</formula>
    </cfRule>
  </conditionalFormatting>
  <conditionalFormatting sqref="J36">
    <cfRule type="cellIs" dxfId="13518" priority="138585" stopIfTrue="1" operator="lessThan">
      <formula>0.5</formula>
    </cfRule>
  </conditionalFormatting>
  <conditionalFormatting sqref="J36">
    <cfRule type="cellIs" dxfId="13517" priority="138586" stopIfTrue="1" operator="greaterThanOrEqual">
      <formula>0.5</formula>
    </cfRule>
  </conditionalFormatting>
  <conditionalFormatting sqref="J37">
    <cfRule type="cellIs" dxfId="13516" priority="138587" stopIfTrue="1" operator="equal">
      <formula>-1</formula>
    </cfRule>
  </conditionalFormatting>
  <conditionalFormatting sqref="J37">
    <cfRule type="cellIs" dxfId="13515" priority="138588" stopIfTrue="1" operator="lessThan">
      <formula>0.5</formula>
    </cfRule>
  </conditionalFormatting>
  <conditionalFormatting sqref="J37">
    <cfRule type="cellIs" dxfId="13514" priority="138589" stopIfTrue="1" operator="greaterThanOrEqual">
      <formula>0.5</formula>
    </cfRule>
  </conditionalFormatting>
  <conditionalFormatting sqref="L17">
    <cfRule type="cellIs" dxfId="13513" priority="138590" stopIfTrue="1" operator="equal">
      <formula>-1</formula>
    </cfRule>
  </conditionalFormatting>
  <conditionalFormatting sqref="L17">
    <cfRule type="cellIs" dxfId="13512" priority="138591" stopIfTrue="1" operator="lessThan">
      <formula>0.5</formula>
    </cfRule>
  </conditionalFormatting>
  <conditionalFormatting sqref="L17">
    <cfRule type="cellIs" dxfId="13511" priority="138592" stopIfTrue="1" operator="greaterThanOrEqual">
      <formula>0.5</formula>
    </cfRule>
  </conditionalFormatting>
  <conditionalFormatting sqref="L18">
    <cfRule type="cellIs" dxfId="13510" priority="138593" stopIfTrue="1" operator="equal">
      <formula>-1</formula>
    </cfRule>
  </conditionalFormatting>
  <conditionalFormatting sqref="L18">
    <cfRule type="cellIs" dxfId="13509" priority="138594" stopIfTrue="1" operator="lessThan">
      <formula>0.5</formula>
    </cfRule>
  </conditionalFormatting>
  <conditionalFormatting sqref="L18">
    <cfRule type="cellIs" dxfId="13508" priority="138595" stopIfTrue="1" operator="greaterThanOrEqual">
      <formula>0.5</formula>
    </cfRule>
  </conditionalFormatting>
  <conditionalFormatting sqref="L19">
    <cfRule type="cellIs" dxfId="13507" priority="138596" stopIfTrue="1" operator="equal">
      <formula>-1</formula>
    </cfRule>
  </conditionalFormatting>
  <conditionalFormatting sqref="L19">
    <cfRule type="cellIs" dxfId="13506" priority="138597" stopIfTrue="1" operator="lessThan">
      <formula>0.5</formula>
    </cfRule>
  </conditionalFormatting>
  <conditionalFormatting sqref="L19">
    <cfRule type="cellIs" dxfId="13505" priority="138598" stopIfTrue="1" operator="greaterThanOrEqual">
      <formula>0.5</formula>
    </cfRule>
  </conditionalFormatting>
  <conditionalFormatting sqref="L20">
    <cfRule type="cellIs" dxfId="13504" priority="138599" stopIfTrue="1" operator="equal">
      <formula>-1</formula>
    </cfRule>
  </conditionalFormatting>
  <conditionalFormatting sqref="L20">
    <cfRule type="cellIs" dxfId="13503" priority="138600" stopIfTrue="1" operator="lessThan">
      <formula>0.5</formula>
    </cfRule>
  </conditionalFormatting>
  <conditionalFormatting sqref="L20">
    <cfRule type="cellIs" dxfId="13502" priority="138601" stopIfTrue="1" operator="greaterThanOrEqual">
      <formula>0.5</formula>
    </cfRule>
  </conditionalFormatting>
  <conditionalFormatting sqref="L21">
    <cfRule type="cellIs" dxfId="13501" priority="138602" stopIfTrue="1" operator="equal">
      <formula>-1</formula>
    </cfRule>
  </conditionalFormatting>
  <conditionalFormatting sqref="L21">
    <cfRule type="cellIs" dxfId="13500" priority="138603" stopIfTrue="1" operator="lessThan">
      <formula>0.5</formula>
    </cfRule>
  </conditionalFormatting>
  <conditionalFormatting sqref="L21">
    <cfRule type="cellIs" dxfId="13499" priority="138604" stopIfTrue="1" operator="greaterThanOrEqual">
      <formula>0.5</formula>
    </cfRule>
  </conditionalFormatting>
  <conditionalFormatting sqref="L22">
    <cfRule type="cellIs" dxfId="13498" priority="138605" stopIfTrue="1" operator="equal">
      <formula>-1</formula>
    </cfRule>
  </conditionalFormatting>
  <conditionalFormatting sqref="L22">
    <cfRule type="cellIs" dxfId="13497" priority="138606" stopIfTrue="1" operator="lessThan">
      <formula>0.5</formula>
    </cfRule>
  </conditionalFormatting>
  <conditionalFormatting sqref="L22">
    <cfRule type="cellIs" dxfId="13496" priority="138607" stopIfTrue="1" operator="greaterThanOrEqual">
      <formula>0.5</formula>
    </cfRule>
  </conditionalFormatting>
  <conditionalFormatting sqref="L23">
    <cfRule type="cellIs" dxfId="13495" priority="138608" stopIfTrue="1" operator="equal">
      <formula>-1</formula>
    </cfRule>
  </conditionalFormatting>
  <conditionalFormatting sqref="L23">
    <cfRule type="cellIs" dxfId="13494" priority="138609" stopIfTrue="1" operator="lessThan">
      <formula>0.5</formula>
    </cfRule>
  </conditionalFormatting>
  <conditionalFormatting sqref="L23">
    <cfRule type="cellIs" dxfId="13493" priority="138610" stopIfTrue="1" operator="greaterThanOrEqual">
      <formula>0.5</formula>
    </cfRule>
  </conditionalFormatting>
  <conditionalFormatting sqref="L24">
    <cfRule type="cellIs" dxfId="13492" priority="138611" stopIfTrue="1" operator="equal">
      <formula>-1</formula>
    </cfRule>
  </conditionalFormatting>
  <conditionalFormatting sqref="L24">
    <cfRule type="cellIs" dxfId="13491" priority="138612" stopIfTrue="1" operator="lessThan">
      <formula>0.5</formula>
    </cfRule>
  </conditionalFormatting>
  <conditionalFormatting sqref="L24">
    <cfRule type="cellIs" dxfId="13490" priority="138613" stopIfTrue="1" operator="greaterThanOrEqual">
      <formula>0.5</formula>
    </cfRule>
  </conditionalFormatting>
  <conditionalFormatting sqref="L25">
    <cfRule type="cellIs" dxfId="13489" priority="138614" stopIfTrue="1" operator="equal">
      <formula>-1</formula>
    </cfRule>
  </conditionalFormatting>
  <conditionalFormatting sqref="L25">
    <cfRule type="cellIs" dxfId="13488" priority="138615" stopIfTrue="1" operator="lessThan">
      <formula>0.5</formula>
    </cfRule>
  </conditionalFormatting>
  <conditionalFormatting sqref="L25">
    <cfRule type="cellIs" dxfId="13487" priority="138616" stopIfTrue="1" operator="greaterThanOrEqual">
      <formula>0.5</formula>
    </cfRule>
  </conditionalFormatting>
  <conditionalFormatting sqref="L26">
    <cfRule type="cellIs" dxfId="13486" priority="138617" stopIfTrue="1" operator="equal">
      <formula>-1</formula>
    </cfRule>
  </conditionalFormatting>
  <conditionalFormatting sqref="L26">
    <cfRule type="cellIs" dxfId="13485" priority="138618" stopIfTrue="1" operator="lessThan">
      <formula>0.5</formula>
    </cfRule>
  </conditionalFormatting>
  <conditionalFormatting sqref="L26">
    <cfRule type="cellIs" dxfId="13484" priority="138619" stopIfTrue="1" operator="greaterThanOrEqual">
      <formula>0.5</formula>
    </cfRule>
  </conditionalFormatting>
  <conditionalFormatting sqref="L27">
    <cfRule type="cellIs" dxfId="13483" priority="138620" stopIfTrue="1" operator="equal">
      <formula>-1</formula>
    </cfRule>
  </conditionalFormatting>
  <conditionalFormatting sqref="L27">
    <cfRule type="cellIs" dxfId="13482" priority="138621" stopIfTrue="1" operator="lessThan">
      <formula>0.5</formula>
    </cfRule>
  </conditionalFormatting>
  <conditionalFormatting sqref="L27">
    <cfRule type="cellIs" dxfId="13481" priority="138622" stopIfTrue="1" operator="greaterThanOrEqual">
      <formula>0.5</formula>
    </cfRule>
  </conditionalFormatting>
  <conditionalFormatting sqref="L28">
    <cfRule type="cellIs" dxfId="13480" priority="138623" stopIfTrue="1" operator="equal">
      <formula>-1</formula>
    </cfRule>
  </conditionalFormatting>
  <conditionalFormatting sqref="L28">
    <cfRule type="cellIs" dxfId="13479" priority="138624" stopIfTrue="1" operator="lessThan">
      <formula>0.5</formula>
    </cfRule>
  </conditionalFormatting>
  <conditionalFormatting sqref="L28">
    <cfRule type="cellIs" dxfId="13478" priority="138625" stopIfTrue="1" operator="greaterThanOrEqual">
      <formula>0.5</formula>
    </cfRule>
  </conditionalFormatting>
  <conditionalFormatting sqref="L29">
    <cfRule type="cellIs" dxfId="13477" priority="138626" stopIfTrue="1" operator="equal">
      <formula>-1</formula>
    </cfRule>
  </conditionalFormatting>
  <conditionalFormatting sqref="L29">
    <cfRule type="cellIs" dxfId="13476" priority="138627" stopIfTrue="1" operator="lessThan">
      <formula>0.5</formula>
    </cfRule>
  </conditionalFormatting>
  <conditionalFormatting sqref="L29">
    <cfRule type="cellIs" dxfId="13475" priority="138628" stopIfTrue="1" operator="greaterThanOrEqual">
      <formula>0.5</formula>
    </cfRule>
  </conditionalFormatting>
  <conditionalFormatting sqref="L30">
    <cfRule type="cellIs" dxfId="13474" priority="138629" stopIfTrue="1" operator="equal">
      <formula>-1</formula>
    </cfRule>
  </conditionalFormatting>
  <conditionalFormatting sqref="L30">
    <cfRule type="cellIs" dxfId="13473" priority="138630" stopIfTrue="1" operator="lessThan">
      <formula>0.5</formula>
    </cfRule>
  </conditionalFormatting>
  <conditionalFormatting sqref="L30">
    <cfRule type="cellIs" dxfId="13472" priority="138631" stopIfTrue="1" operator="greaterThanOrEqual">
      <formula>0.5</formula>
    </cfRule>
  </conditionalFormatting>
  <conditionalFormatting sqref="L31">
    <cfRule type="cellIs" dxfId="13471" priority="138632" stopIfTrue="1" operator="equal">
      <formula>-1</formula>
    </cfRule>
  </conditionalFormatting>
  <conditionalFormatting sqref="L31">
    <cfRule type="cellIs" dxfId="13470" priority="138633" stopIfTrue="1" operator="lessThan">
      <formula>0.5</formula>
    </cfRule>
  </conditionalFormatting>
  <conditionalFormatting sqref="L31">
    <cfRule type="cellIs" dxfId="13469" priority="138634" stopIfTrue="1" operator="greaterThanOrEqual">
      <formula>0.5</formula>
    </cfRule>
  </conditionalFormatting>
  <conditionalFormatting sqref="L32">
    <cfRule type="cellIs" dxfId="13468" priority="138635" stopIfTrue="1" operator="equal">
      <formula>-1</formula>
    </cfRule>
  </conditionalFormatting>
  <conditionalFormatting sqref="L32">
    <cfRule type="cellIs" dxfId="13467" priority="138636" stopIfTrue="1" operator="lessThan">
      <formula>0.5</formula>
    </cfRule>
  </conditionalFormatting>
  <conditionalFormatting sqref="L32">
    <cfRule type="cellIs" dxfId="13466" priority="138637" stopIfTrue="1" operator="greaterThanOrEqual">
      <formula>0.5</formula>
    </cfRule>
  </conditionalFormatting>
  <conditionalFormatting sqref="L33">
    <cfRule type="cellIs" dxfId="13465" priority="138638" stopIfTrue="1" operator="equal">
      <formula>-1</formula>
    </cfRule>
  </conditionalFormatting>
  <conditionalFormatting sqref="L33">
    <cfRule type="cellIs" dxfId="13464" priority="138639" stopIfTrue="1" operator="lessThan">
      <formula>0.5</formula>
    </cfRule>
  </conditionalFormatting>
  <conditionalFormatting sqref="L33">
    <cfRule type="cellIs" dxfId="13463" priority="138640" stopIfTrue="1" operator="greaterThanOrEqual">
      <formula>0.5</formula>
    </cfRule>
  </conditionalFormatting>
  <conditionalFormatting sqref="L34">
    <cfRule type="cellIs" dxfId="13462" priority="138641" stopIfTrue="1" operator="equal">
      <formula>-1</formula>
    </cfRule>
  </conditionalFormatting>
  <conditionalFormatting sqref="L34">
    <cfRule type="cellIs" dxfId="13461" priority="138642" stopIfTrue="1" operator="lessThan">
      <formula>0.5</formula>
    </cfRule>
  </conditionalFormatting>
  <conditionalFormatting sqref="L34">
    <cfRule type="cellIs" dxfId="13460" priority="138643" stopIfTrue="1" operator="greaterThanOrEqual">
      <formula>0.5</formula>
    </cfRule>
  </conditionalFormatting>
  <conditionalFormatting sqref="L35">
    <cfRule type="cellIs" dxfId="13459" priority="138644" stopIfTrue="1" operator="equal">
      <formula>-1</formula>
    </cfRule>
  </conditionalFormatting>
  <conditionalFormatting sqref="L35">
    <cfRule type="cellIs" dxfId="13458" priority="138645" stopIfTrue="1" operator="lessThan">
      <formula>0.5</formula>
    </cfRule>
  </conditionalFormatting>
  <conditionalFormatting sqref="L35">
    <cfRule type="cellIs" dxfId="13457" priority="138646" stopIfTrue="1" operator="greaterThanOrEqual">
      <formula>0.5</formula>
    </cfRule>
  </conditionalFormatting>
  <conditionalFormatting sqref="L36">
    <cfRule type="cellIs" dxfId="13456" priority="138647" stopIfTrue="1" operator="equal">
      <formula>-1</formula>
    </cfRule>
  </conditionalFormatting>
  <conditionalFormatting sqref="L36">
    <cfRule type="cellIs" dxfId="13455" priority="138648" stopIfTrue="1" operator="lessThan">
      <formula>0.5</formula>
    </cfRule>
  </conditionalFormatting>
  <conditionalFormatting sqref="L36">
    <cfRule type="cellIs" dxfId="13454" priority="138649" stopIfTrue="1" operator="greaterThanOrEqual">
      <formula>0.5</formula>
    </cfRule>
  </conditionalFormatting>
  <conditionalFormatting sqref="L37">
    <cfRule type="cellIs" dxfId="13453" priority="138650" stopIfTrue="1" operator="equal">
      <formula>-1</formula>
    </cfRule>
  </conditionalFormatting>
  <conditionalFormatting sqref="L37">
    <cfRule type="cellIs" dxfId="13452" priority="138651" stopIfTrue="1" operator="lessThan">
      <formula>0.5</formula>
    </cfRule>
  </conditionalFormatting>
  <conditionalFormatting sqref="L37">
    <cfRule type="cellIs" dxfId="13451" priority="138652" stopIfTrue="1" operator="greaterThanOrEqual">
      <formula>0.5</formula>
    </cfRule>
  </conditionalFormatting>
  <conditionalFormatting sqref="N17">
    <cfRule type="cellIs" dxfId="13450" priority="138653" stopIfTrue="1" operator="equal">
      <formula>-1</formula>
    </cfRule>
  </conditionalFormatting>
  <conditionalFormatting sqref="N17">
    <cfRule type="cellIs" dxfId="13449" priority="138654" stopIfTrue="1" operator="lessThan">
      <formula>0.5</formula>
    </cfRule>
  </conditionalFormatting>
  <conditionalFormatting sqref="N17">
    <cfRule type="cellIs" dxfId="13448" priority="138655" stopIfTrue="1" operator="greaterThanOrEqual">
      <formula>0.5</formula>
    </cfRule>
  </conditionalFormatting>
  <conditionalFormatting sqref="N18">
    <cfRule type="cellIs" dxfId="13447" priority="138656" stopIfTrue="1" operator="equal">
      <formula>-1</formula>
    </cfRule>
  </conditionalFormatting>
  <conditionalFormatting sqref="N18">
    <cfRule type="cellIs" dxfId="13446" priority="138657" stopIfTrue="1" operator="lessThan">
      <formula>0.5</formula>
    </cfRule>
  </conditionalFormatting>
  <conditionalFormatting sqref="N18">
    <cfRule type="cellIs" dxfId="13445" priority="138658" stopIfTrue="1" operator="greaterThanOrEqual">
      <formula>0.5</formula>
    </cfRule>
  </conditionalFormatting>
  <conditionalFormatting sqref="N19">
    <cfRule type="cellIs" dxfId="13444" priority="138659" stopIfTrue="1" operator="equal">
      <formula>-1</formula>
    </cfRule>
  </conditionalFormatting>
  <conditionalFormatting sqref="N19">
    <cfRule type="cellIs" dxfId="13443" priority="138660" stopIfTrue="1" operator="lessThan">
      <formula>0.5</formula>
    </cfRule>
  </conditionalFormatting>
  <conditionalFormatting sqref="N19">
    <cfRule type="cellIs" dxfId="13442" priority="138661" stopIfTrue="1" operator="greaterThanOrEqual">
      <formula>0.5</formula>
    </cfRule>
  </conditionalFormatting>
  <conditionalFormatting sqref="N20">
    <cfRule type="cellIs" dxfId="13441" priority="138662" stopIfTrue="1" operator="equal">
      <formula>-1</formula>
    </cfRule>
  </conditionalFormatting>
  <conditionalFormatting sqref="N20">
    <cfRule type="cellIs" dxfId="13440" priority="138663" stopIfTrue="1" operator="lessThan">
      <formula>0.5</formula>
    </cfRule>
  </conditionalFormatting>
  <conditionalFormatting sqref="N20">
    <cfRule type="cellIs" dxfId="13439" priority="138664" stopIfTrue="1" operator="greaterThanOrEqual">
      <formula>0.5</formula>
    </cfRule>
  </conditionalFormatting>
  <conditionalFormatting sqref="N21">
    <cfRule type="cellIs" dxfId="13438" priority="138665" stopIfTrue="1" operator="equal">
      <formula>-1</formula>
    </cfRule>
  </conditionalFormatting>
  <conditionalFormatting sqref="N21">
    <cfRule type="cellIs" dxfId="13437" priority="138666" stopIfTrue="1" operator="lessThan">
      <formula>0.5</formula>
    </cfRule>
  </conditionalFormatting>
  <conditionalFormatting sqref="N21">
    <cfRule type="cellIs" dxfId="13436" priority="138667" stopIfTrue="1" operator="greaterThanOrEqual">
      <formula>0.5</formula>
    </cfRule>
  </conditionalFormatting>
  <conditionalFormatting sqref="N22">
    <cfRule type="cellIs" dxfId="13435" priority="138668" stopIfTrue="1" operator="equal">
      <formula>-1</formula>
    </cfRule>
  </conditionalFormatting>
  <conditionalFormatting sqref="N22">
    <cfRule type="cellIs" dxfId="13434" priority="138669" stopIfTrue="1" operator="lessThan">
      <formula>0.5</formula>
    </cfRule>
  </conditionalFormatting>
  <conditionalFormatting sqref="N22">
    <cfRule type="cellIs" dxfId="13433" priority="138670" stopIfTrue="1" operator="greaterThanOrEqual">
      <formula>0.5</formula>
    </cfRule>
  </conditionalFormatting>
  <conditionalFormatting sqref="N23">
    <cfRule type="cellIs" dxfId="13432" priority="138671" stopIfTrue="1" operator="equal">
      <formula>-1</formula>
    </cfRule>
  </conditionalFormatting>
  <conditionalFormatting sqref="N23">
    <cfRule type="cellIs" dxfId="13431" priority="138672" stopIfTrue="1" operator="lessThan">
      <formula>0.5</formula>
    </cfRule>
  </conditionalFormatting>
  <conditionalFormatting sqref="N23">
    <cfRule type="cellIs" dxfId="13430" priority="138673" stopIfTrue="1" operator="greaterThanOrEqual">
      <formula>0.5</formula>
    </cfRule>
  </conditionalFormatting>
  <conditionalFormatting sqref="N24">
    <cfRule type="cellIs" dxfId="13429" priority="138674" stopIfTrue="1" operator="equal">
      <formula>-1</formula>
    </cfRule>
  </conditionalFormatting>
  <conditionalFormatting sqref="N24">
    <cfRule type="cellIs" dxfId="13428" priority="138675" stopIfTrue="1" operator="lessThan">
      <formula>0.5</formula>
    </cfRule>
  </conditionalFormatting>
  <conditionalFormatting sqref="N24">
    <cfRule type="cellIs" dxfId="13427" priority="138676" stopIfTrue="1" operator="greaterThanOrEqual">
      <formula>0.5</formula>
    </cfRule>
  </conditionalFormatting>
  <conditionalFormatting sqref="N25">
    <cfRule type="cellIs" dxfId="13426" priority="138677" stopIfTrue="1" operator="equal">
      <formula>-1</formula>
    </cfRule>
  </conditionalFormatting>
  <conditionalFormatting sqref="N25">
    <cfRule type="cellIs" dxfId="13425" priority="138678" stopIfTrue="1" operator="lessThan">
      <formula>0.5</formula>
    </cfRule>
  </conditionalFormatting>
  <conditionalFormatting sqref="N25">
    <cfRule type="cellIs" dxfId="13424" priority="138679" stopIfTrue="1" operator="greaterThanOrEqual">
      <formula>0.5</formula>
    </cfRule>
  </conditionalFormatting>
  <conditionalFormatting sqref="N26">
    <cfRule type="cellIs" dxfId="13423" priority="138680" stopIfTrue="1" operator="equal">
      <formula>-1</formula>
    </cfRule>
  </conditionalFormatting>
  <conditionalFormatting sqref="N26">
    <cfRule type="cellIs" dxfId="13422" priority="138681" stopIfTrue="1" operator="lessThan">
      <formula>0.5</formula>
    </cfRule>
  </conditionalFormatting>
  <conditionalFormatting sqref="N26">
    <cfRule type="cellIs" dxfId="13421" priority="138682" stopIfTrue="1" operator="greaterThanOrEqual">
      <formula>0.5</formula>
    </cfRule>
  </conditionalFormatting>
  <conditionalFormatting sqref="N27">
    <cfRule type="cellIs" dxfId="13420" priority="138683" stopIfTrue="1" operator="equal">
      <formula>-1</formula>
    </cfRule>
  </conditionalFormatting>
  <conditionalFormatting sqref="N27">
    <cfRule type="cellIs" dxfId="13419" priority="138684" stopIfTrue="1" operator="lessThan">
      <formula>0.5</formula>
    </cfRule>
  </conditionalFormatting>
  <conditionalFormatting sqref="N27">
    <cfRule type="cellIs" dxfId="13418" priority="138685" stopIfTrue="1" operator="greaterThanOrEqual">
      <formula>0.5</formula>
    </cfRule>
  </conditionalFormatting>
  <conditionalFormatting sqref="N28">
    <cfRule type="cellIs" dxfId="13417" priority="138686" stopIfTrue="1" operator="equal">
      <formula>-1</formula>
    </cfRule>
  </conditionalFormatting>
  <conditionalFormatting sqref="N28">
    <cfRule type="cellIs" dxfId="13416" priority="138687" stopIfTrue="1" operator="lessThan">
      <formula>0.5</formula>
    </cfRule>
  </conditionalFormatting>
  <conditionalFormatting sqref="N28">
    <cfRule type="cellIs" dxfId="13415" priority="138688" stopIfTrue="1" operator="greaterThanOrEqual">
      <formula>0.5</formula>
    </cfRule>
  </conditionalFormatting>
  <conditionalFormatting sqref="N29">
    <cfRule type="cellIs" dxfId="13414" priority="138689" stopIfTrue="1" operator="equal">
      <formula>-1</formula>
    </cfRule>
  </conditionalFormatting>
  <conditionalFormatting sqref="N29">
    <cfRule type="cellIs" dxfId="13413" priority="138690" stopIfTrue="1" operator="lessThan">
      <formula>0.5</formula>
    </cfRule>
  </conditionalFormatting>
  <conditionalFormatting sqref="N29">
    <cfRule type="cellIs" dxfId="13412" priority="138691" stopIfTrue="1" operator="greaterThanOrEqual">
      <formula>0.5</formula>
    </cfRule>
  </conditionalFormatting>
  <conditionalFormatting sqref="N30">
    <cfRule type="cellIs" dxfId="13411" priority="138692" stopIfTrue="1" operator="equal">
      <formula>-1</formula>
    </cfRule>
  </conditionalFormatting>
  <conditionalFormatting sqref="N30">
    <cfRule type="cellIs" dxfId="13410" priority="138693" stopIfTrue="1" operator="lessThan">
      <formula>0.5</formula>
    </cfRule>
  </conditionalFormatting>
  <conditionalFormatting sqref="N30">
    <cfRule type="cellIs" dxfId="13409" priority="138694" stopIfTrue="1" operator="greaterThanOrEqual">
      <formula>0.5</formula>
    </cfRule>
  </conditionalFormatting>
  <conditionalFormatting sqref="N31">
    <cfRule type="cellIs" dxfId="13408" priority="138695" stopIfTrue="1" operator="equal">
      <formula>-1</formula>
    </cfRule>
  </conditionalFormatting>
  <conditionalFormatting sqref="N31">
    <cfRule type="cellIs" dxfId="13407" priority="138696" stopIfTrue="1" operator="lessThan">
      <formula>0.5</formula>
    </cfRule>
  </conditionalFormatting>
  <conditionalFormatting sqref="N31">
    <cfRule type="cellIs" dxfId="13406" priority="138697" stopIfTrue="1" operator="greaterThanOrEqual">
      <formula>0.5</formula>
    </cfRule>
  </conditionalFormatting>
  <conditionalFormatting sqref="N32">
    <cfRule type="cellIs" dxfId="13405" priority="138698" stopIfTrue="1" operator="equal">
      <formula>-1</formula>
    </cfRule>
  </conditionalFormatting>
  <conditionalFormatting sqref="N32">
    <cfRule type="cellIs" dxfId="13404" priority="138699" stopIfTrue="1" operator="lessThan">
      <formula>0.5</formula>
    </cfRule>
  </conditionalFormatting>
  <conditionalFormatting sqref="N32">
    <cfRule type="cellIs" dxfId="13403" priority="138700" stopIfTrue="1" operator="greaterThanOrEqual">
      <formula>0.5</formula>
    </cfRule>
  </conditionalFormatting>
  <conditionalFormatting sqref="N33">
    <cfRule type="cellIs" dxfId="13402" priority="138701" stopIfTrue="1" operator="equal">
      <formula>-1</formula>
    </cfRule>
  </conditionalFormatting>
  <conditionalFormatting sqref="N33">
    <cfRule type="cellIs" dxfId="13401" priority="138702" stopIfTrue="1" operator="lessThan">
      <formula>0.5</formula>
    </cfRule>
  </conditionalFormatting>
  <conditionalFormatting sqref="N33">
    <cfRule type="cellIs" dxfId="13400" priority="138703" stopIfTrue="1" operator="greaterThanOrEqual">
      <formula>0.5</formula>
    </cfRule>
  </conditionalFormatting>
  <conditionalFormatting sqref="N34">
    <cfRule type="cellIs" dxfId="13399" priority="138704" stopIfTrue="1" operator="equal">
      <formula>-1</formula>
    </cfRule>
  </conditionalFormatting>
  <conditionalFormatting sqref="N34">
    <cfRule type="cellIs" dxfId="13398" priority="138705" stopIfTrue="1" operator="lessThan">
      <formula>0.5</formula>
    </cfRule>
  </conditionalFormatting>
  <conditionalFormatting sqref="N34">
    <cfRule type="cellIs" dxfId="13397" priority="138706" stopIfTrue="1" operator="greaterThanOrEqual">
      <formula>0.5</formula>
    </cfRule>
  </conditionalFormatting>
  <conditionalFormatting sqref="N35">
    <cfRule type="cellIs" dxfId="13396" priority="138707" stopIfTrue="1" operator="equal">
      <formula>-1</formula>
    </cfRule>
  </conditionalFormatting>
  <conditionalFormatting sqref="N35">
    <cfRule type="cellIs" dxfId="13395" priority="138708" stopIfTrue="1" operator="lessThan">
      <formula>0.5</formula>
    </cfRule>
  </conditionalFormatting>
  <conditionalFormatting sqref="N35">
    <cfRule type="cellIs" dxfId="13394" priority="138709" stopIfTrue="1" operator="greaterThanOrEqual">
      <formula>0.5</formula>
    </cfRule>
  </conditionalFormatting>
  <conditionalFormatting sqref="N36">
    <cfRule type="cellIs" dxfId="13393" priority="138710" stopIfTrue="1" operator="equal">
      <formula>-1</formula>
    </cfRule>
  </conditionalFormatting>
  <conditionalFormatting sqref="N36">
    <cfRule type="cellIs" dxfId="13392" priority="138711" stopIfTrue="1" operator="lessThan">
      <formula>0.5</formula>
    </cfRule>
  </conditionalFormatting>
  <conditionalFormatting sqref="N36">
    <cfRule type="cellIs" dxfId="13391" priority="138712" stopIfTrue="1" operator="greaterThanOrEqual">
      <formula>0.5</formula>
    </cfRule>
  </conditionalFormatting>
  <conditionalFormatting sqref="N37">
    <cfRule type="cellIs" dxfId="13390" priority="138713" stopIfTrue="1" operator="equal">
      <formula>-1</formula>
    </cfRule>
  </conditionalFormatting>
  <conditionalFormatting sqref="N37">
    <cfRule type="cellIs" dxfId="13389" priority="138714" stopIfTrue="1" operator="lessThan">
      <formula>0.5</formula>
    </cfRule>
  </conditionalFormatting>
  <conditionalFormatting sqref="N37">
    <cfRule type="cellIs" dxfId="13388" priority="138715" stopIfTrue="1" operator="greaterThanOrEqual">
      <formula>0.5</formula>
    </cfRule>
  </conditionalFormatting>
  <conditionalFormatting sqref="P17">
    <cfRule type="cellIs" dxfId="13387" priority="138716" stopIfTrue="1" operator="equal">
      <formula>-1</formula>
    </cfRule>
  </conditionalFormatting>
  <conditionalFormatting sqref="P17">
    <cfRule type="cellIs" dxfId="13386" priority="138717" stopIfTrue="1" operator="lessThan">
      <formula>0.5</formula>
    </cfRule>
  </conditionalFormatting>
  <conditionalFormatting sqref="P17">
    <cfRule type="cellIs" dxfId="13385" priority="138718" stopIfTrue="1" operator="greaterThanOrEqual">
      <formula>0.5</formula>
    </cfRule>
  </conditionalFormatting>
  <conditionalFormatting sqref="P18">
    <cfRule type="cellIs" dxfId="13384" priority="138719" stopIfTrue="1" operator="equal">
      <formula>-1</formula>
    </cfRule>
  </conditionalFormatting>
  <conditionalFormatting sqref="P18">
    <cfRule type="cellIs" dxfId="13383" priority="138720" stopIfTrue="1" operator="lessThan">
      <formula>0.5</formula>
    </cfRule>
  </conditionalFormatting>
  <conditionalFormatting sqref="P18">
    <cfRule type="cellIs" dxfId="13382" priority="138721" stopIfTrue="1" operator="greaterThanOrEqual">
      <formula>0.5</formula>
    </cfRule>
  </conditionalFormatting>
  <conditionalFormatting sqref="P19">
    <cfRule type="cellIs" dxfId="13381" priority="138722" stopIfTrue="1" operator="equal">
      <formula>-1</formula>
    </cfRule>
  </conditionalFormatting>
  <conditionalFormatting sqref="P19">
    <cfRule type="cellIs" dxfId="13380" priority="138723" stopIfTrue="1" operator="lessThan">
      <formula>0.5</formula>
    </cfRule>
  </conditionalFormatting>
  <conditionalFormatting sqref="P19">
    <cfRule type="cellIs" dxfId="13379" priority="138724" stopIfTrue="1" operator="greaterThanOrEqual">
      <formula>0.5</formula>
    </cfRule>
  </conditionalFormatting>
  <conditionalFormatting sqref="P20">
    <cfRule type="cellIs" dxfId="13378" priority="138725" stopIfTrue="1" operator="equal">
      <formula>-1</formula>
    </cfRule>
  </conditionalFormatting>
  <conditionalFormatting sqref="P20">
    <cfRule type="cellIs" dxfId="13377" priority="138726" stopIfTrue="1" operator="lessThan">
      <formula>0.5</formula>
    </cfRule>
  </conditionalFormatting>
  <conditionalFormatting sqref="P20">
    <cfRule type="cellIs" dxfId="13376" priority="138727" stopIfTrue="1" operator="greaterThanOrEqual">
      <formula>0.5</formula>
    </cfRule>
  </conditionalFormatting>
  <conditionalFormatting sqref="P21">
    <cfRule type="cellIs" dxfId="13375" priority="138728" stopIfTrue="1" operator="equal">
      <formula>-1</formula>
    </cfRule>
  </conditionalFormatting>
  <conditionalFormatting sqref="P21">
    <cfRule type="cellIs" dxfId="13374" priority="138729" stopIfTrue="1" operator="lessThan">
      <formula>0.5</formula>
    </cfRule>
  </conditionalFormatting>
  <conditionalFormatting sqref="P21">
    <cfRule type="cellIs" dxfId="13373" priority="138730" stopIfTrue="1" operator="greaterThanOrEqual">
      <formula>0.5</formula>
    </cfRule>
  </conditionalFormatting>
  <conditionalFormatting sqref="P22">
    <cfRule type="cellIs" dxfId="13372" priority="138731" stopIfTrue="1" operator="equal">
      <formula>-1</formula>
    </cfRule>
  </conditionalFormatting>
  <conditionalFormatting sqref="P22">
    <cfRule type="cellIs" dxfId="13371" priority="138732" stopIfTrue="1" operator="lessThan">
      <formula>0.5</formula>
    </cfRule>
  </conditionalFormatting>
  <conditionalFormatting sqref="P22">
    <cfRule type="cellIs" dxfId="13370" priority="138733" stopIfTrue="1" operator="greaterThanOrEqual">
      <formula>0.5</formula>
    </cfRule>
  </conditionalFormatting>
  <conditionalFormatting sqref="P23">
    <cfRule type="cellIs" dxfId="13369" priority="138734" stopIfTrue="1" operator="equal">
      <formula>-1</formula>
    </cfRule>
  </conditionalFormatting>
  <conditionalFormatting sqref="P23">
    <cfRule type="cellIs" dxfId="13368" priority="138735" stopIfTrue="1" operator="lessThan">
      <formula>0.5</formula>
    </cfRule>
  </conditionalFormatting>
  <conditionalFormatting sqref="P23">
    <cfRule type="cellIs" dxfId="13367" priority="138736" stopIfTrue="1" operator="greaterThanOrEqual">
      <formula>0.5</formula>
    </cfRule>
  </conditionalFormatting>
  <conditionalFormatting sqref="P24">
    <cfRule type="cellIs" dxfId="13366" priority="138737" stopIfTrue="1" operator="equal">
      <formula>-1</formula>
    </cfRule>
  </conditionalFormatting>
  <conditionalFormatting sqref="P24">
    <cfRule type="cellIs" dxfId="13365" priority="138738" stopIfTrue="1" operator="lessThan">
      <formula>0.5</formula>
    </cfRule>
  </conditionalFormatting>
  <conditionalFormatting sqref="P24">
    <cfRule type="cellIs" dxfId="13364" priority="138739" stopIfTrue="1" operator="greaterThanOrEqual">
      <formula>0.5</formula>
    </cfRule>
  </conditionalFormatting>
  <conditionalFormatting sqref="P25">
    <cfRule type="cellIs" dxfId="13363" priority="138740" stopIfTrue="1" operator="equal">
      <formula>-1</formula>
    </cfRule>
  </conditionalFormatting>
  <conditionalFormatting sqref="P25">
    <cfRule type="cellIs" dxfId="13362" priority="138741" stopIfTrue="1" operator="lessThan">
      <formula>0.5</formula>
    </cfRule>
  </conditionalFormatting>
  <conditionalFormatting sqref="P25">
    <cfRule type="cellIs" dxfId="13361" priority="138742" stopIfTrue="1" operator="greaterThanOrEqual">
      <formula>0.5</formula>
    </cfRule>
  </conditionalFormatting>
  <conditionalFormatting sqref="P26">
    <cfRule type="cellIs" dxfId="13360" priority="138743" stopIfTrue="1" operator="equal">
      <formula>-1</formula>
    </cfRule>
  </conditionalFormatting>
  <conditionalFormatting sqref="P26">
    <cfRule type="cellIs" dxfId="13359" priority="138744" stopIfTrue="1" operator="lessThan">
      <formula>0.5</formula>
    </cfRule>
  </conditionalFormatting>
  <conditionalFormatting sqref="P26">
    <cfRule type="cellIs" dxfId="13358" priority="138745" stopIfTrue="1" operator="greaterThanOrEqual">
      <formula>0.5</formula>
    </cfRule>
  </conditionalFormatting>
  <conditionalFormatting sqref="P27">
    <cfRule type="cellIs" dxfId="13357" priority="138746" stopIfTrue="1" operator="equal">
      <formula>-1</formula>
    </cfRule>
  </conditionalFormatting>
  <conditionalFormatting sqref="P27">
    <cfRule type="cellIs" dxfId="13356" priority="138747" stopIfTrue="1" operator="lessThan">
      <formula>0.5</formula>
    </cfRule>
  </conditionalFormatting>
  <conditionalFormatting sqref="P27">
    <cfRule type="cellIs" dxfId="13355" priority="138748" stopIfTrue="1" operator="greaterThanOrEqual">
      <formula>0.5</formula>
    </cfRule>
  </conditionalFormatting>
  <conditionalFormatting sqref="P28">
    <cfRule type="cellIs" dxfId="13354" priority="138749" stopIfTrue="1" operator="equal">
      <formula>-1</formula>
    </cfRule>
  </conditionalFormatting>
  <conditionalFormatting sqref="P28">
    <cfRule type="cellIs" dxfId="13353" priority="138750" stopIfTrue="1" operator="lessThan">
      <formula>0.5</formula>
    </cfRule>
  </conditionalFormatting>
  <conditionalFormatting sqref="P28">
    <cfRule type="cellIs" dxfId="13352" priority="138751" stopIfTrue="1" operator="greaterThanOrEqual">
      <formula>0.5</formula>
    </cfRule>
  </conditionalFormatting>
  <conditionalFormatting sqref="P29">
    <cfRule type="cellIs" dxfId="13351" priority="138752" stopIfTrue="1" operator="equal">
      <formula>-1</formula>
    </cfRule>
  </conditionalFormatting>
  <conditionalFormatting sqref="P29">
    <cfRule type="cellIs" dxfId="13350" priority="138753" stopIfTrue="1" operator="lessThan">
      <formula>0.5</formula>
    </cfRule>
  </conditionalFormatting>
  <conditionalFormatting sqref="P29">
    <cfRule type="cellIs" dxfId="13349" priority="138754" stopIfTrue="1" operator="greaterThanOrEqual">
      <formula>0.5</formula>
    </cfRule>
  </conditionalFormatting>
  <conditionalFormatting sqref="P30">
    <cfRule type="cellIs" dxfId="13348" priority="138755" stopIfTrue="1" operator="equal">
      <formula>-1</formula>
    </cfRule>
  </conditionalFormatting>
  <conditionalFormatting sqref="P30">
    <cfRule type="cellIs" dxfId="13347" priority="138756" stopIfTrue="1" operator="lessThan">
      <formula>0.5</formula>
    </cfRule>
  </conditionalFormatting>
  <conditionalFormatting sqref="P30">
    <cfRule type="cellIs" dxfId="13346" priority="138757" stopIfTrue="1" operator="greaterThanOrEqual">
      <formula>0.5</formula>
    </cfRule>
  </conditionalFormatting>
  <conditionalFormatting sqref="P31">
    <cfRule type="cellIs" dxfId="13345" priority="138758" stopIfTrue="1" operator="equal">
      <formula>-1</formula>
    </cfRule>
  </conditionalFormatting>
  <conditionalFormatting sqref="P31">
    <cfRule type="cellIs" dxfId="13344" priority="138759" stopIfTrue="1" operator="lessThan">
      <formula>0.5</formula>
    </cfRule>
  </conditionalFormatting>
  <conditionalFormatting sqref="P31">
    <cfRule type="cellIs" dxfId="13343" priority="138760" stopIfTrue="1" operator="greaterThanOrEqual">
      <formula>0.5</formula>
    </cfRule>
  </conditionalFormatting>
  <conditionalFormatting sqref="P32">
    <cfRule type="cellIs" dxfId="13342" priority="138761" stopIfTrue="1" operator="equal">
      <formula>-1</formula>
    </cfRule>
  </conditionalFormatting>
  <conditionalFormatting sqref="P32">
    <cfRule type="cellIs" dxfId="13341" priority="138762" stopIfTrue="1" operator="lessThan">
      <formula>0.5</formula>
    </cfRule>
  </conditionalFormatting>
  <conditionalFormatting sqref="P32">
    <cfRule type="cellIs" dxfId="13340" priority="138763" stopIfTrue="1" operator="greaterThanOrEqual">
      <formula>0.5</formula>
    </cfRule>
  </conditionalFormatting>
  <conditionalFormatting sqref="P33">
    <cfRule type="cellIs" dxfId="13339" priority="138764" stopIfTrue="1" operator="equal">
      <formula>-1</formula>
    </cfRule>
  </conditionalFormatting>
  <conditionalFormatting sqref="P33">
    <cfRule type="cellIs" dxfId="13338" priority="138765" stopIfTrue="1" operator="lessThan">
      <formula>0.5</formula>
    </cfRule>
  </conditionalFormatting>
  <conditionalFormatting sqref="P33">
    <cfRule type="cellIs" dxfId="13337" priority="138766" stopIfTrue="1" operator="greaterThanOrEqual">
      <formula>0.5</formula>
    </cfRule>
  </conditionalFormatting>
  <conditionalFormatting sqref="P34">
    <cfRule type="cellIs" dxfId="13336" priority="138767" stopIfTrue="1" operator="equal">
      <formula>-1</formula>
    </cfRule>
  </conditionalFormatting>
  <conditionalFormatting sqref="P34">
    <cfRule type="cellIs" dxfId="13335" priority="138768" stopIfTrue="1" operator="lessThan">
      <formula>0.5</formula>
    </cfRule>
  </conditionalFormatting>
  <conditionalFormatting sqref="P34">
    <cfRule type="cellIs" dxfId="13334" priority="138769" stopIfTrue="1" operator="greaterThanOrEqual">
      <formula>0.5</formula>
    </cfRule>
  </conditionalFormatting>
  <conditionalFormatting sqref="P35">
    <cfRule type="cellIs" dxfId="13333" priority="138770" stopIfTrue="1" operator="equal">
      <formula>-1</formula>
    </cfRule>
  </conditionalFormatting>
  <conditionalFormatting sqref="P35">
    <cfRule type="cellIs" dxfId="13332" priority="138771" stopIfTrue="1" operator="lessThan">
      <formula>0.5</formula>
    </cfRule>
  </conditionalFormatting>
  <conditionalFormatting sqref="P35">
    <cfRule type="cellIs" dxfId="13331" priority="138772" stopIfTrue="1" operator="greaterThanOrEqual">
      <formula>0.5</formula>
    </cfRule>
  </conditionalFormatting>
  <conditionalFormatting sqref="P36">
    <cfRule type="cellIs" dxfId="13330" priority="138773" stopIfTrue="1" operator="equal">
      <formula>-1</formula>
    </cfRule>
  </conditionalFormatting>
  <conditionalFormatting sqref="P36">
    <cfRule type="cellIs" dxfId="13329" priority="138774" stopIfTrue="1" operator="lessThan">
      <formula>0.5</formula>
    </cfRule>
  </conditionalFormatting>
  <conditionalFormatting sqref="P36">
    <cfRule type="cellIs" dxfId="13328" priority="138775" stopIfTrue="1" operator="greaterThanOrEqual">
      <formula>0.5</formula>
    </cfRule>
  </conditionalFormatting>
  <conditionalFormatting sqref="P37">
    <cfRule type="cellIs" dxfId="13327" priority="138776" stopIfTrue="1" operator="equal">
      <formula>-1</formula>
    </cfRule>
  </conditionalFormatting>
  <conditionalFormatting sqref="P37">
    <cfRule type="cellIs" dxfId="13326" priority="138777" stopIfTrue="1" operator="lessThan">
      <formula>0.5</formula>
    </cfRule>
  </conditionalFormatting>
  <conditionalFormatting sqref="P37">
    <cfRule type="cellIs" dxfId="13325" priority="138778" stopIfTrue="1" operator="greaterThanOrEqual">
      <formula>0.5</formula>
    </cfRule>
  </conditionalFormatting>
  <conditionalFormatting sqref="R17">
    <cfRule type="cellIs" dxfId="13324" priority="138779" stopIfTrue="1" operator="equal">
      <formula>-1</formula>
    </cfRule>
  </conditionalFormatting>
  <conditionalFormatting sqref="R17">
    <cfRule type="cellIs" dxfId="13323" priority="138780" stopIfTrue="1" operator="lessThan">
      <formula>0.5</formula>
    </cfRule>
  </conditionalFormatting>
  <conditionalFormatting sqref="R17">
    <cfRule type="cellIs" dxfId="13322" priority="138781" stopIfTrue="1" operator="greaterThanOrEqual">
      <formula>0.5</formula>
    </cfRule>
  </conditionalFormatting>
  <conditionalFormatting sqref="R18">
    <cfRule type="cellIs" dxfId="13321" priority="138782" stopIfTrue="1" operator="equal">
      <formula>-1</formula>
    </cfRule>
  </conditionalFormatting>
  <conditionalFormatting sqref="R18">
    <cfRule type="cellIs" dxfId="13320" priority="138783" stopIfTrue="1" operator="lessThan">
      <formula>0.5</formula>
    </cfRule>
  </conditionalFormatting>
  <conditionalFormatting sqref="R18">
    <cfRule type="cellIs" dxfId="13319" priority="138784" stopIfTrue="1" operator="greaterThanOrEqual">
      <formula>0.5</formula>
    </cfRule>
  </conditionalFormatting>
  <conditionalFormatting sqref="R19">
    <cfRule type="cellIs" dxfId="13318" priority="138785" stopIfTrue="1" operator="equal">
      <formula>-1</formula>
    </cfRule>
  </conditionalFormatting>
  <conditionalFormatting sqref="R19">
    <cfRule type="cellIs" dxfId="13317" priority="138786" stopIfTrue="1" operator="lessThan">
      <formula>0.5</formula>
    </cfRule>
  </conditionalFormatting>
  <conditionalFormatting sqref="R19">
    <cfRule type="cellIs" dxfId="13316" priority="138787" stopIfTrue="1" operator="greaterThanOrEqual">
      <formula>0.5</formula>
    </cfRule>
  </conditionalFormatting>
  <conditionalFormatting sqref="R20">
    <cfRule type="cellIs" dxfId="13315" priority="138788" stopIfTrue="1" operator="equal">
      <formula>-1</formula>
    </cfRule>
  </conditionalFormatting>
  <conditionalFormatting sqref="R20">
    <cfRule type="cellIs" dxfId="13314" priority="138789" stopIfTrue="1" operator="lessThan">
      <formula>0.5</formula>
    </cfRule>
  </conditionalFormatting>
  <conditionalFormatting sqref="R20">
    <cfRule type="cellIs" dxfId="13313" priority="138790" stopIfTrue="1" operator="greaterThanOrEqual">
      <formula>0.5</formula>
    </cfRule>
  </conditionalFormatting>
  <conditionalFormatting sqref="R21">
    <cfRule type="cellIs" dxfId="13312" priority="138791" stopIfTrue="1" operator="equal">
      <formula>-1</formula>
    </cfRule>
  </conditionalFormatting>
  <conditionalFormatting sqref="R21">
    <cfRule type="cellIs" dxfId="13311" priority="138792" stopIfTrue="1" operator="lessThan">
      <formula>0.5</formula>
    </cfRule>
  </conditionalFormatting>
  <conditionalFormatting sqref="R21">
    <cfRule type="cellIs" dxfId="13310" priority="138793" stopIfTrue="1" operator="greaterThanOrEqual">
      <formula>0.5</formula>
    </cfRule>
  </conditionalFormatting>
  <conditionalFormatting sqref="R22">
    <cfRule type="cellIs" dxfId="13309" priority="138794" stopIfTrue="1" operator="equal">
      <formula>-1</formula>
    </cfRule>
  </conditionalFormatting>
  <conditionalFormatting sqref="R22">
    <cfRule type="cellIs" dxfId="13308" priority="138795" stopIfTrue="1" operator="lessThan">
      <formula>0.5</formula>
    </cfRule>
  </conditionalFormatting>
  <conditionalFormatting sqref="R22">
    <cfRule type="cellIs" dxfId="13307" priority="138796" stopIfTrue="1" operator="greaterThanOrEqual">
      <formula>0.5</formula>
    </cfRule>
  </conditionalFormatting>
  <conditionalFormatting sqref="R23">
    <cfRule type="cellIs" dxfId="13306" priority="138797" stopIfTrue="1" operator="equal">
      <formula>-1</formula>
    </cfRule>
  </conditionalFormatting>
  <conditionalFormatting sqref="R23">
    <cfRule type="cellIs" dxfId="13305" priority="138798" stopIfTrue="1" operator="lessThan">
      <formula>0.5</formula>
    </cfRule>
  </conditionalFormatting>
  <conditionalFormatting sqref="R23">
    <cfRule type="cellIs" dxfId="13304" priority="138799" stopIfTrue="1" operator="greaterThanOrEqual">
      <formula>0.5</formula>
    </cfRule>
  </conditionalFormatting>
  <conditionalFormatting sqref="R24">
    <cfRule type="cellIs" dxfId="13303" priority="138800" stopIfTrue="1" operator="equal">
      <formula>-1</formula>
    </cfRule>
  </conditionalFormatting>
  <conditionalFormatting sqref="R24">
    <cfRule type="cellIs" dxfId="13302" priority="138801" stopIfTrue="1" operator="lessThan">
      <formula>0.5</formula>
    </cfRule>
  </conditionalFormatting>
  <conditionalFormatting sqref="R24">
    <cfRule type="cellIs" dxfId="13301" priority="138802" stopIfTrue="1" operator="greaterThanOrEqual">
      <formula>0.5</formula>
    </cfRule>
  </conditionalFormatting>
  <conditionalFormatting sqref="R25">
    <cfRule type="cellIs" dxfId="13300" priority="138803" stopIfTrue="1" operator="equal">
      <formula>-1</formula>
    </cfRule>
  </conditionalFormatting>
  <conditionalFormatting sqref="R25">
    <cfRule type="cellIs" dxfId="13299" priority="138804" stopIfTrue="1" operator="lessThan">
      <formula>0.5</formula>
    </cfRule>
  </conditionalFormatting>
  <conditionalFormatting sqref="R25">
    <cfRule type="cellIs" dxfId="13298" priority="138805" stopIfTrue="1" operator="greaterThanOrEqual">
      <formula>0.5</formula>
    </cfRule>
  </conditionalFormatting>
  <conditionalFormatting sqref="R26">
    <cfRule type="cellIs" dxfId="13297" priority="138806" stopIfTrue="1" operator="equal">
      <formula>-1</formula>
    </cfRule>
  </conditionalFormatting>
  <conditionalFormatting sqref="R26">
    <cfRule type="cellIs" dxfId="13296" priority="138807" stopIfTrue="1" operator="lessThan">
      <formula>0.5</formula>
    </cfRule>
  </conditionalFormatting>
  <conditionalFormatting sqref="R26">
    <cfRule type="cellIs" dxfId="13295" priority="138808" stopIfTrue="1" operator="greaterThanOrEqual">
      <formula>0.5</formula>
    </cfRule>
  </conditionalFormatting>
  <conditionalFormatting sqref="R27">
    <cfRule type="cellIs" dxfId="13294" priority="138809" stopIfTrue="1" operator="equal">
      <formula>-1</formula>
    </cfRule>
  </conditionalFormatting>
  <conditionalFormatting sqref="R27">
    <cfRule type="cellIs" dxfId="13293" priority="138810" stopIfTrue="1" operator="lessThan">
      <formula>0.5</formula>
    </cfRule>
  </conditionalFormatting>
  <conditionalFormatting sqref="R27">
    <cfRule type="cellIs" dxfId="13292" priority="138811" stopIfTrue="1" operator="greaterThanOrEqual">
      <formula>0.5</formula>
    </cfRule>
  </conditionalFormatting>
  <conditionalFormatting sqref="R28">
    <cfRule type="cellIs" dxfId="13291" priority="138812" stopIfTrue="1" operator="equal">
      <formula>-1</formula>
    </cfRule>
  </conditionalFormatting>
  <conditionalFormatting sqref="R28">
    <cfRule type="cellIs" dxfId="13290" priority="138813" stopIfTrue="1" operator="lessThan">
      <formula>0.5</formula>
    </cfRule>
  </conditionalFormatting>
  <conditionalFormatting sqref="R28">
    <cfRule type="cellIs" dxfId="13289" priority="138814" stopIfTrue="1" operator="greaterThanOrEqual">
      <formula>0.5</formula>
    </cfRule>
  </conditionalFormatting>
  <conditionalFormatting sqref="R29">
    <cfRule type="cellIs" dxfId="13288" priority="138815" stopIfTrue="1" operator="equal">
      <formula>-1</formula>
    </cfRule>
  </conditionalFormatting>
  <conditionalFormatting sqref="R29">
    <cfRule type="cellIs" dxfId="13287" priority="138816" stopIfTrue="1" operator="lessThan">
      <formula>0.5</formula>
    </cfRule>
  </conditionalFormatting>
  <conditionalFormatting sqref="R29">
    <cfRule type="cellIs" dxfId="13286" priority="138817" stopIfTrue="1" operator="greaterThanOrEqual">
      <formula>0.5</formula>
    </cfRule>
  </conditionalFormatting>
  <conditionalFormatting sqref="R30">
    <cfRule type="cellIs" dxfId="13285" priority="138818" stopIfTrue="1" operator="equal">
      <formula>-1</formula>
    </cfRule>
  </conditionalFormatting>
  <conditionalFormatting sqref="R30">
    <cfRule type="cellIs" dxfId="13284" priority="138819" stopIfTrue="1" operator="lessThan">
      <formula>0.5</formula>
    </cfRule>
  </conditionalFormatting>
  <conditionalFormatting sqref="R30">
    <cfRule type="cellIs" dxfId="13283" priority="138820" stopIfTrue="1" operator="greaterThanOrEqual">
      <formula>0.5</formula>
    </cfRule>
  </conditionalFormatting>
  <conditionalFormatting sqref="R31">
    <cfRule type="cellIs" dxfId="13282" priority="138821" stopIfTrue="1" operator="equal">
      <formula>-1</formula>
    </cfRule>
  </conditionalFormatting>
  <conditionalFormatting sqref="R31">
    <cfRule type="cellIs" dxfId="13281" priority="138822" stopIfTrue="1" operator="lessThan">
      <formula>0.5</formula>
    </cfRule>
  </conditionalFormatting>
  <conditionalFormatting sqref="R31">
    <cfRule type="cellIs" dxfId="13280" priority="138823" stopIfTrue="1" operator="greaterThanOrEqual">
      <formula>0.5</formula>
    </cfRule>
  </conditionalFormatting>
  <conditionalFormatting sqref="R32">
    <cfRule type="cellIs" dxfId="13279" priority="138824" stopIfTrue="1" operator="equal">
      <formula>-1</formula>
    </cfRule>
  </conditionalFormatting>
  <conditionalFormatting sqref="R32">
    <cfRule type="cellIs" dxfId="13278" priority="138825" stopIfTrue="1" operator="lessThan">
      <formula>0.5</formula>
    </cfRule>
  </conditionalFormatting>
  <conditionalFormatting sqref="R32">
    <cfRule type="cellIs" dxfId="13277" priority="138826" stopIfTrue="1" operator="greaterThanOrEqual">
      <formula>0.5</formula>
    </cfRule>
  </conditionalFormatting>
  <conditionalFormatting sqref="R33">
    <cfRule type="cellIs" dxfId="13276" priority="138827" stopIfTrue="1" operator="equal">
      <formula>-1</formula>
    </cfRule>
  </conditionalFormatting>
  <conditionalFormatting sqref="R33">
    <cfRule type="cellIs" dxfId="13275" priority="138828" stopIfTrue="1" operator="lessThan">
      <formula>0.5</formula>
    </cfRule>
  </conditionalFormatting>
  <conditionalFormatting sqref="R33">
    <cfRule type="cellIs" dxfId="13274" priority="138829" stopIfTrue="1" operator="greaterThanOrEqual">
      <formula>0.5</formula>
    </cfRule>
  </conditionalFormatting>
  <conditionalFormatting sqref="R34">
    <cfRule type="cellIs" dxfId="13273" priority="138830" stopIfTrue="1" operator="equal">
      <formula>-1</formula>
    </cfRule>
  </conditionalFormatting>
  <conditionalFormatting sqref="R34">
    <cfRule type="cellIs" dxfId="13272" priority="138831" stopIfTrue="1" operator="lessThan">
      <formula>0.5</formula>
    </cfRule>
  </conditionalFormatting>
  <conditionalFormatting sqref="R34">
    <cfRule type="cellIs" dxfId="13271" priority="138832" stopIfTrue="1" operator="greaterThanOrEqual">
      <formula>0.5</formula>
    </cfRule>
  </conditionalFormatting>
  <conditionalFormatting sqref="R35">
    <cfRule type="cellIs" dxfId="13270" priority="138833" stopIfTrue="1" operator="equal">
      <formula>-1</formula>
    </cfRule>
  </conditionalFormatting>
  <conditionalFormatting sqref="R35">
    <cfRule type="cellIs" dxfId="13269" priority="138834" stopIfTrue="1" operator="lessThan">
      <formula>0.5</formula>
    </cfRule>
  </conditionalFormatting>
  <conditionalFormatting sqref="R35">
    <cfRule type="cellIs" dxfId="13268" priority="138835" stopIfTrue="1" operator="greaterThanOrEqual">
      <formula>0.5</formula>
    </cfRule>
  </conditionalFormatting>
  <conditionalFormatting sqref="R36">
    <cfRule type="cellIs" dxfId="13267" priority="138836" stopIfTrue="1" operator="equal">
      <formula>-1</formula>
    </cfRule>
  </conditionalFormatting>
  <conditionalFormatting sqref="R36">
    <cfRule type="cellIs" dxfId="13266" priority="138837" stopIfTrue="1" operator="lessThan">
      <formula>0.5</formula>
    </cfRule>
  </conditionalFormatting>
  <conditionalFormatting sqref="R36">
    <cfRule type="cellIs" dxfId="13265" priority="138838" stopIfTrue="1" operator="greaterThanOrEqual">
      <formula>0.5</formula>
    </cfRule>
  </conditionalFormatting>
  <conditionalFormatting sqref="R37">
    <cfRule type="cellIs" dxfId="13264" priority="138839" stopIfTrue="1" operator="equal">
      <formula>-1</formula>
    </cfRule>
  </conditionalFormatting>
  <conditionalFormatting sqref="R37">
    <cfRule type="cellIs" dxfId="13263" priority="138840" stopIfTrue="1" operator="lessThan">
      <formula>0.5</formula>
    </cfRule>
  </conditionalFormatting>
  <conditionalFormatting sqref="R37">
    <cfRule type="cellIs" dxfId="13262" priority="138841" stopIfTrue="1" operator="greaterThanOrEqual">
      <formula>0.5</formula>
    </cfRule>
  </conditionalFormatting>
  <conditionalFormatting sqref="T17">
    <cfRule type="cellIs" dxfId="13261" priority="138842" stopIfTrue="1" operator="equal">
      <formula>-1</formula>
    </cfRule>
  </conditionalFormatting>
  <conditionalFormatting sqref="T17">
    <cfRule type="cellIs" dxfId="13260" priority="138843" stopIfTrue="1" operator="lessThan">
      <formula>0.5</formula>
    </cfRule>
  </conditionalFormatting>
  <conditionalFormatting sqref="T17">
    <cfRule type="cellIs" dxfId="13259" priority="138844" stopIfTrue="1" operator="greaterThanOrEqual">
      <formula>0.5</formula>
    </cfRule>
  </conditionalFormatting>
  <conditionalFormatting sqref="T18">
    <cfRule type="cellIs" dxfId="13258" priority="138845" stopIfTrue="1" operator="equal">
      <formula>-1</formula>
    </cfRule>
  </conditionalFormatting>
  <conditionalFormatting sqref="T18">
    <cfRule type="cellIs" dxfId="13257" priority="138846" stopIfTrue="1" operator="lessThan">
      <formula>0.5</formula>
    </cfRule>
  </conditionalFormatting>
  <conditionalFormatting sqref="T18">
    <cfRule type="cellIs" dxfId="13256" priority="138847" stopIfTrue="1" operator="greaterThanOrEqual">
      <formula>0.5</formula>
    </cfRule>
  </conditionalFormatting>
  <conditionalFormatting sqref="T19">
    <cfRule type="cellIs" dxfId="13255" priority="138848" stopIfTrue="1" operator="equal">
      <formula>-1</formula>
    </cfRule>
  </conditionalFormatting>
  <conditionalFormatting sqref="T19">
    <cfRule type="cellIs" dxfId="13254" priority="138849" stopIfTrue="1" operator="lessThan">
      <formula>0.5</formula>
    </cfRule>
  </conditionalFormatting>
  <conditionalFormatting sqref="T19">
    <cfRule type="cellIs" dxfId="13253" priority="138850" stopIfTrue="1" operator="greaterThanOrEqual">
      <formula>0.5</formula>
    </cfRule>
  </conditionalFormatting>
  <conditionalFormatting sqref="T20">
    <cfRule type="cellIs" dxfId="13252" priority="138851" stopIfTrue="1" operator="equal">
      <formula>-1</formula>
    </cfRule>
  </conditionalFormatting>
  <conditionalFormatting sqref="T20">
    <cfRule type="cellIs" dxfId="13251" priority="138852" stopIfTrue="1" operator="lessThan">
      <formula>0.5</formula>
    </cfRule>
  </conditionalFormatting>
  <conditionalFormatting sqref="T20">
    <cfRule type="cellIs" dxfId="13250" priority="138853" stopIfTrue="1" operator="greaterThanOrEqual">
      <formula>0.5</formula>
    </cfRule>
  </conditionalFormatting>
  <conditionalFormatting sqref="T21">
    <cfRule type="cellIs" dxfId="13249" priority="138854" stopIfTrue="1" operator="equal">
      <formula>-1</formula>
    </cfRule>
  </conditionalFormatting>
  <conditionalFormatting sqref="T21">
    <cfRule type="cellIs" dxfId="13248" priority="138855" stopIfTrue="1" operator="lessThan">
      <formula>0.5</formula>
    </cfRule>
  </conditionalFormatting>
  <conditionalFormatting sqref="T21">
    <cfRule type="cellIs" dxfId="13247" priority="138856" stopIfTrue="1" operator="greaterThanOrEqual">
      <formula>0.5</formula>
    </cfRule>
  </conditionalFormatting>
  <conditionalFormatting sqref="T22">
    <cfRule type="cellIs" dxfId="13246" priority="138857" stopIfTrue="1" operator="equal">
      <formula>-1</formula>
    </cfRule>
  </conditionalFormatting>
  <conditionalFormatting sqref="T22">
    <cfRule type="cellIs" dxfId="13245" priority="138858" stopIfTrue="1" operator="lessThan">
      <formula>0.5</formula>
    </cfRule>
  </conditionalFormatting>
  <conditionalFormatting sqref="T22">
    <cfRule type="cellIs" dxfId="13244" priority="138859" stopIfTrue="1" operator="greaterThanOrEqual">
      <formula>0.5</formula>
    </cfRule>
  </conditionalFormatting>
  <conditionalFormatting sqref="T23">
    <cfRule type="cellIs" dxfId="13243" priority="138860" stopIfTrue="1" operator="equal">
      <formula>-1</formula>
    </cfRule>
  </conditionalFormatting>
  <conditionalFormatting sqref="T23">
    <cfRule type="cellIs" dxfId="13242" priority="138861" stopIfTrue="1" operator="lessThan">
      <formula>0.5</formula>
    </cfRule>
  </conditionalFormatting>
  <conditionalFormatting sqref="T23">
    <cfRule type="cellIs" dxfId="13241" priority="138862" stopIfTrue="1" operator="greaterThanOrEqual">
      <formula>0.5</formula>
    </cfRule>
  </conditionalFormatting>
  <conditionalFormatting sqref="T24">
    <cfRule type="cellIs" dxfId="13240" priority="138863" stopIfTrue="1" operator="equal">
      <formula>-1</formula>
    </cfRule>
  </conditionalFormatting>
  <conditionalFormatting sqref="T24">
    <cfRule type="cellIs" dxfId="13239" priority="138864" stopIfTrue="1" operator="lessThan">
      <formula>0.5</formula>
    </cfRule>
  </conditionalFormatting>
  <conditionalFormatting sqref="T24">
    <cfRule type="cellIs" dxfId="13238" priority="138865" stopIfTrue="1" operator="greaterThanOrEqual">
      <formula>0.5</formula>
    </cfRule>
  </conditionalFormatting>
  <conditionalFormatting sqref="T25">
    <cfRule type="cellIs" dxfId="13237" priority="138866" stopIfTrue="1" operator="equal">
      <formula>-1</formula>
    </cfRule>
  </conditionalFormatting>
  <conditionalFormatting sqref="T25">
    <cfRule type="cellIs" dxfId="13236" priority="138867" stopIfTrue="1" operator="lessThan">
      <formula>0.5</formula>
    </cfRule>
  </conditionalFormatting>
  <conditionalFormatting sqref="T25">
    <cfRule type="cellIs" dxfId="13235" priority="138868" stopIfTrue="1" operator="greaterThanOrEqual">
      <formula>0.5</formula>
    </cfRule>
  </conditionalFormatting>
  <conditionalFormatting sqref="T26">
    <cfRule type="cellIs" dxfId="13234" priority="138869" stopIfTrue="1" operator="equal">
      <formula>-1</formula>
    </cfRule>
  </conditionalFormatting>
  <conditionalFormatting sqref="T26">
    <cfRule type="cellIs" dxfId="13233" priority="138870" stopIfTrue="1" operator="lessThan">
      <formula>0.5</formula>
    </cfRule>
  </conditionalFormatting>
  <conditionalFormatting sqref="T26">
    <cfRule type="cellIs" dxfId="13232" priority="138871" stopIfTrue="1" operator="greaterThanOrEqual">
      <formula>0.5</formula>
    </cfRule>
  </conditionalFormatting>
  <conditionalFormatting sqref="T27">
    <cfRule type="cellIs" dxfId="13231" priority="138872" stopIfTrue="1" operator="equal">
      <formula>-1</formula>
    </cfRule>
  </conditionalFormatting>
  <conditionalFormatting sqref="T27">
    <cfRule type="cellIs" dxfId="13230" priority="138873" stopIfTrue="1" operator="lessThan">
      <formula>0.5</formula>
    </cfRule>
  </conditionalFormatting>
  <conditionalFormatting sqref="T27">
    <cfRule type="cellIs" dxfId="13229" priority="138874" stopIfTrue="1" operator="greaterThanOrEqual">
      <formula>0.5</formula>
    </cfRule>
  </conditionalFormatting>
  <conditionalFormatting sqref="T28">
    <cfRule type="cellIs" dxfId="13228" priority="138875" stopIfTrue="1" operator="equal">
      <formula>-1</formula>
    </cfRule>
  </conditionalFormatting>
  <conditionalFormatting sqref="T28">
    <cfRule type="cellIs" dxfId="13227" priority="138876" stopIfTrue="1" operator="lessThan">
      <formula>0.5</formula>
    </cfRule>
  </conditionalFormatting>
  <conditionalFormatting sqref="T28">
    <cfRule type="cellIs" dxfId="13226" priority="138877" stopIfTrue="1" operator="greaterThanOrEqual">
      <formula>0.5</formula>
    </cfRule>
  </conditionalFormatting>
  <conditionalFormatting sqref="T29">
    <cfRule type="cellIs" dxfId="13225" priority="138878" stopIfTrue="1" operator="equal">
      <formula>-1</formula>
    </cfRule>
  </conditionalFormatting>
  <conditionalFormatting sqref="T29">
    <cfRule type="cellIs" dxfId="13224" priority="138879" stopIfTrue="1" operator="lessThan">
      <formula>0.5</formula>
    </cfRule>
  </conditionalFormatting>
  <conditionalFormatting sqref="T29">
    <cfRule type="cellIs" dxfId="13223" priority="138880" stopIfTrue="1" operator="greaterThanOrEqual">
      <formula>0.5</formula>
    </cfRule>
  </conditionalFormatting>
  <conditionalFormatting sqref="T30">
    <cfRule type="cellIs" dxfId="13222" priority="138881" stopIfTrue="1" operator="equal">
      <formula>-1</formula>
    </cfRule>
  </conditionalFormatting>
  <conditionalFormatting sqref="T30">
    <cfRule type="cellIs" dxfId="13221" priority="138882" stopIfTrue="1" operator="lessThan">
      <formula>0.5</formula>
    </cfRule>
  </conditionalFormatting>
  <conditionalFormatting sqref="T30">
    <cfRule type="cellIs" dxfId="13220" priority="138883" stopIfTrue="1" operator="greaterThanOrEqual">
      <formula>0.5</formula>
    </cfRule>
  </conditionalFormatting>
  <conditionalFormatting sqref="T31">
    <cfRule type="cellIs" dxfId="13219" priority="138884" stopIfTrue="1" operator="equal">
      <formula>-1</formula>
    </cfRule>
  </conditionalFormatting>
  <conditionalFormatting sqref="T31">
    <cfRule type="cellIs" dxfId="13218" priority="138885" stopIfTrue="1" operator="lessThan">
      <formula>0.5</formula>
    </cfRule>
  </conditionalFormatting>
  <conditionalFormatting sqref="T31">
    <cfRule type="cellIs" dxfId="13217" priority="138886" stopIfTrue="1" operator="greaterThanOrEqual">
      <formula>0.5</formula>
    </cfRule>
  </conditionalFormatting>
  <conditionalFormatting sqref="T32">
    <cfRule type="cellIs" dxfId="13216" priority="138887" stopIfTrue="1" operator="equal">
      <formula>-1</formula>
    </cfRule>
  </conditionalFormatting>
  <conditionalFormatting sqref="T32">
    <cfRule type="cellIs" dxfId="13215" priority="138888" stopIfTrue="1" operator="lessThan">
      <formula>0.5</formula>
    </cfRule>
  </conditionalFormatting>
  <conditionalFormatting sqref="T32">
    <cfRule type="cellIs" dxfId="13214" priority="138889" stopIfTrue="1" operator="greaterThanOrEqual">
      <formula>0.5</formula>
    </cfRule>
  </conditionalFormatting>
  <conditionalFormatting sqref="T33">
    <cfRule type="cellIs" dxfId="13213" priority="138890" stopIfTrue="1" operator="equal">
      <formula>-1</formula>
    </cfRule>
  </conditionalFormatting>
  <conditionalFormatting sqref="T33">
    <cfRule type="cellIs" dxfId="13212" priority="138891" stopIfTrue="1" operator="lessThan">
      <formula>0.5</formula>
    </cfRule>
  </conditionalFormatting>
  <conditionalFormatting sqref="T33">
    <cfRule type="cellIs" dxfId="13211" priority="138892" stopIfTrue="1" operator="greaterThanOrEqual">
      <formula>0.5</formula>
    </cfRule>
  </conditionalFormatting>
  <conditionalFormatting sqref="T34">
    <cfRule type="cellIs" dxfId="13210" priority="138893" stopIfTrue="1" operator="equal">
      <formula>-1</formula>
    </cfRule>
  </conditionalFormatting>
  <conditionalFormatting sqref="T34">
    <cfRule type="cellIs" dxfId="13209" priority="138894" stopIfTrue="1" operator="lessThan">
      <formula>0.5</formula>
    </cfRule>
  </conditionalFormatting>
  <conditionalFormatting sqref="T34">
    <cfRule type="cellIs" dxfId="13208" priority="138895" stopIfTrue="1" operator="greaterThanOrEqual">
      <formula>0.5</formula>
    </cfRule>
  </conditionalFormatting>
  <conditionalFormatting sqref="T35">
    <cfRule type="cellIs" dxfId="13207" priority="138896" stopIfTrue="1" operator="equal">
      <formula>-1</formula>
    </cfRule>
  </conditionalFormatting>
  <conditionalFormatting sqref="T35">
    <cfRule type="cellIs" dxfId="13206" priority="138897" stopIfTrue="1" operator="lessThan">
      <formula>0.5</formula>
    </cfRule>
  </conditionalFormatting>
  <conditionalFormatting sqref="T35">
    <cfRule type="cellIs" dxfId="13205" priority="138898" stopIfTrue="1" operator="greaterThanOrEqual">
      <formula>0.5</formula>
    </cfRule>
  </conditionalFormatting>
  <conditionalFormatting sqref="T36">
    <cfRule type="cellIs" dxfId="13204" priority="138899" stopIfTrue="1" operator="equal">
      <formula>-1</formula>
    </cfRule>
  </conditionalFormatting>
  <conditionalFormatting sqref="T36">
    <cfRule type="cellIs" dxfId="13203" priority="138900" stopIfTrue="1" operator="lessThan">
      <formula>0.5</formula>
    </cfRule>
  </conditionalFormatting>
  <conditionalFormatting sqref="T36">
    <cfRule type="cellIs" dxfId="13202" priority="138901" stopIfTrue="1" operator="greaterThanOrEqual">
      <formula>0.5</formula>
    </cfRule>
  </conditionalFormatting>
  <conditionalFormatting sqref="T37">
    <cfRule type="cellIs" dxfId="13201" priority="138902" stopIfTrue="1" operator="equal">
      <formula>-1</formula>
    </cfRule>
  </conditionalFormatting>
  <conditionalFormatting sqref="T37">
    <cfRule type="cellIs" dxfId="13200" priority="138903" stopIfTrue="1" operator="lessThan">
      <formula>0.5</formula>
    </cfRule>
  </conditionalFormatting>
  <conditionalFormatting sqref="T37">
    <cfRule type="cellIs" dxfId="13199" priority="138904" stopIfTrue="1" operator="greaterThanOrEqual">
      <formula>0.5</formula>
    </cfRule>
  </conditionalFormatting>
  <conditionalFormatting sqref="V17">
    <cfRule type="cellIs" dxfId="13198" priority="138905" stopIfTrue="1" operator="equal">
      <formula>-1</formula>
    </cfRule>
  </conditionalFormatting>
  <conditionalFormatting sqref="V17">
    <cfRule type="cellIs" dxfId="13197" priority="138906" stopIfTrue="1" operator="lessThan">
      <formula>0.5</formula>
    </cfRule>
  </conditionalFormatting>
  <conditionalFormatting sqref="V17">
    <cfRule type="cellIs" dxfId="13196" priority="138907" stopIfTrue="1" operator="greaterThanOrEqual">
      <formula>0.5</formula>
    </cfRule>
  </conditionalFormatting>
  <conditionalFormatting sqref="V18">
    <cfRule type="cellIs" dxfId="13195" priority="138908" stopIfTrue="1" operator="equal">
      <formula>-1</formula>
    </cfRule>
  </conditionalFormatting>
  <conditionalFormatting sqref="V18">
    <cfRule type="cellIs" dxfId="13194" priority="138909" stopIfTrue="1" operator="lessThan">
      <formula>0.5</formula>
    </cfRule>
  </conditionalFormatting>
  <conditionalFormatting sqref="V18">
    <cfRule type="cellIs" dxfId="13193" priority="138910" stopIfTrue="1" operator="greaterThanOrEqual">
      <formula>0.5</formula>
    </cfRule>
  </conditionalFormatting>
  <conditionalFormatting sqref="V19">
    <cfRule type="cellIs" dxfId="13192" priority="138911" stopIfTrue="1" operator="equal">
      <formula>-1</formula>
    </cfRule>
  </conditionalFormatting>
  <conditionalFormatting sqref="V19">
    <cfRule type="cellIs" dxfId="13191" priority="138912" stopIfTrue="1" operator="lessThan">
      <formula>0.5</formula>
    </cfRule>
  </conditionalFormatting>
  <conditionalFormatting sqref="V19">
    <cfRule type="cellIs" dxfId="13190" priority="138913" stopIfTrue="1" operator="greaterThanOrEqual">
      <formula>0.5</formula>
    </cfRule>
  </conditionalFormatting>
  <conditionalFormatting sqref="V20">
    <cfRule type="cellIs" dxfId="13189" priority="138914" stopIfTrue="1" operator="equal">
      <formula>-1</formula>
    </cfRule>
  </conditionalFormatting>
  <conditionalFormatting sqref="V20">
    <cfRule type="cellIs" dxfId="13188" priority="138915" stopIfTrue="1" operator="lessThan">
      <formula>0.5</formula>
    </cfRule>
  </conditionalFormatting>
  <conditionalFormatting sqref="V20">
    <cfRule type="cellIs" dxfId="13187" priority="138916" stopIfTrue="1" operator="greaterThanOrEqual">
      <formula>0.5</formula>
    </cfRule>
  </conditionalFormatting>
  <conditionalFormatting sqref="V21">
    <cfRule type="cellIs" dxfId="13186" priority="138917" stopIfTrue="1" operator="equal">
      <formula>-1</formula>
    </cfRule>
  </conditionalFormatting>
  <conditionalFormatting sqref="V21">
    <cfRule type="cellIs" dxfId="13185" priority="138918" stopIfTrue="1" operator="lessThan">
      <formula>0.5</formula>
    </cfRule>
  </conditionalFormatting>
  <conditionalFormatting sqref="V21">
    <cfRule type="cellIs" dxfId="13184" priority="138919" stopIfTrue="1" operator="greaterThanOrEqual">
      <formula>0.5</formula>
    </cfRule>
  </conditionalFormatting>
  <conditionalFormatting sqref="V22">
    <cfRule type="cellIs" dxfId="13183" priority="138920" stopIfTrue="1" operator="equal">
      <formula>-1</formula>
    </cfRule>
  </conditionalFormatting>
  <conditionalFormatting sqref="V22">
    <cfRule type="cellIs" dxfId="13182" priority="138921" stopIfTrue="1" operator="lessThan">
      <formula>0.5</formula>
    </cfRule>
  </conditionalFormatting>
  <conditionalFormatting sqref="V22">
    <cfRule type="cellIs" dxfId="13181" priority="138922" stopIfTrue="1" operator="greaterThanOrEqual">
      <formula>0.5</formula>
    </cfRule>
  </conditionalFormatting>
  <conditionalFormatting sqref="V23">
    <cfRule type="cellIs" dxfId="13180" priority="138923" stopIfTrue="1" operator="equal">
      <formula>-1</formula>
    </cfRule>
  </conditionalFormatting>
  <conditionalFormatting sqref="V23">
    <cfRule type="cellIs" dxfId="13179" priority="138924" stopIfTrue="1" operator="lessThan">
      <formula>0.5</formula>
    </cfRule>
  </conditionalFormatting>
  <conditionalFormatting sqref="V23">
    <cfRule type="cellIs" dxfId="13178" priority="138925" stopIfTrue="1" operator="greaterThanOrEqual">
      <formula>0.5</formula>
    </cfRule>
  </conditionalFormatting>
  <conditionalFormatting sqref="V24">
    <cfRule type="cellIs" dxfId="13177" priority="138926" stopIfTrue="1" operator="equal">
      <formula>-1</formula>
    </cfRule>
  </conditionalFormatting>
  <conditionalFormatting sqref="V24">
    <cfRule type="cellIs" dxfId="13176" priority="138927" stopIfTrue="1" operator="lessThan">
      <formula>0.5</formula>
    </cfRule>
  </conditionalFormatting>
  <conditionalFormatting sqref="V24">
    <cfRule type="cellIs" dxfId="13175" priority="138928" stopIfTrue="1" operator="greaterThanOrEqual">
      <formula>0.5</formula>
    </cfRule>
  </conditionalFormatting>
  <conditionalFormatting sqref="V25">
    <cfRule type="cellIs" dxfId="13174" priority="138929" stopIfTrue="1" operator="equal">
      <formula>-1</formula>
    </cfRule>
  </conditionalFormatting>
  <conditionalFormatting sqref="V25">
    <cfRule type="cellIs" dxfId="13173" priority="138930" stopIfTrue="1" operator="lessThan">
      <formula>0.5</formula>
    </cfRule>
  </conditionalFormatting>
  <conditionalFormatting sqref="V25">
    <cfRule type="cellIs" dxfId="13172" priority="138931" stopIfTrue="1" operator="greaterThanOrEqual">
      <formula>0.5</formula>
    </cfRule>
  </conditionalFormatting>
  <conditionalFormatting sqref="V26">
    <cfRule type="cellIs" dxfId="13171" priority="138932" stopIfTrue="1" operator="equal">
      <formula>-1</formula>
    </cfRule>
  </conditionalFormatting>
  <conditionalFormatting sqref="V26">
    <cfRule type="cellIs" dxfId="13170" priority="138933" stopIfTrue="1" operator="lessThan">
      <formula>0.5</formula>
    </cfRule>
  </conditionalFormatting>
  <conditionalFormatting sqref="V26">
    <cfRule type="cellIs" dxfId="13169" priority="138934" stopIfTrue="1" operator="greaterThanOrEqual">
      <formula>0.5</formula>
    </cfRule>
  </conditionalFormatting>
  <conditionalFormatting sqref="V27">
    <cfRule type="cellIs" dxfId="13168" priority="138935" stopIfTrue="1" operator="equal">
      <formula>-1</formula>
    </cfRule>
  </conditionalFormatting>
  <conditionalFormatting sqref="V27">
    <cfRule type="cellIs" dxfId="13167" priority="138936" stopIfTrue="1" operator="lessThan">
      <formula>0.5</formula>
    </cfRule>
  </conditionalFormatting>
  <conditionalFormatting sqref="V27">
    <cfRule type="cellIs" dxfId="13166" priority="138937" stopIfTrue="1" operator="greaterThanOrEqual">
      <formula>0.5</formula>
    </cfRule>
  </conditionalFormatting>
  <conditionalFormatting sqref="V28">
    <cfRule type="cellIs" dxfId="13165" priority="138938" stopIfTrue="1" operator="equal">
      <formula>-1</formula>
    </cfRule>
  </conditionalFormatting>
  <conditionalFormatting sqref="V28">
    <cfRule type="cellIs" dxfId="13164" priority="138939" stopIfTrue="1" operator="lessThan">
      <formula>0.5</formula>
    </cfRule>
  </conditionalFormatting>
  <conditionalFormatting sqref="V28">
    <cfRule type="cellIs" dxfId="13163" priority="138940" stopIfTrue="1" operator="greaterThanOrEqual">
      <formula>0.5</formula>
    </cfRule>
  </conditionalFormatting>
  <conditionalFormatting sqref="V29">
    <cfRule type="cellIs" dxfId="13162" priority="138941" stopIfTrue="1" operator="equal">
      <formula>-1</formula>
    </cfRule>
  </conditionalFormatting>
  <conditionalFormatting sqref="V29">
    <cfRule type="cellIs" dxfId="13161" priority="138942" stopIfTrue="1" operator="lessThan">
      <formula>0.5</formula>
    </cfRule>
  </conditionalFormatting>
  <conditionalFormatting sqref="V29">
    <cfRule type="cellIs" dxfId="13160" priority="138943" stopIfTrue="1" operator="greaterThanOrEqual">
      <formula>0.5</formula>
    </cfRule>
  </conditionalFormatting>
  <conditionalFormatting sqref="V30">
    <cfRule type="cellIs" dxfId="13159" priority="138944" stopIfTrue="1" operator="equal">
      <formula>-1</formula>
    </cfRule>
  </conditionalFormatting>
  <conditionalFormatting sqref="V30">
    <cfRule type="cellIs" dxfId="13158" priority="138945" stopIfTrue="1" operator="lessThan">
      <formula>0.5</formula>
    </cfRule>
  </conditionalFormatting>
  <conditionalFormatting sqref="V30">
    <cfRule type="cellIs" dxfId="13157" priority="138946" stopIfTrue="1" operator="greaterThanOrEqual">
      <formula>0.5</formula>
    </cfRule>
  </conditionalFormatting>
  <conditionalFormatting sqref="V31">
    <cfRule type="cellIs" dxfId="13156" priority="138947" stopIfTrue="1" operator="equal">
      <formula>-1</formula>
    </cfRule>
  </conditionalFormatting>
  <conditionalFormatting sqref="V31">
    <cfRule type="cellIs" dxfId="13155" priority="138948" stopIfTrue="1" operator="lessThan">
      <formula>0.5</formula>
    </cfRule>
  </conditionalFormatting>
  <conditionalFormatting sqref="V31">
    <cfRule type="cellIs" dxfId="13154" priority="138949" stopIfTrue="1" operator="greaterThanOrEqual">
      <formula>0.5</formula>
    </cfRule>
  </conditionalFormatting>
  <conditionalFormatting sqref="V32">
    <cfRule type="cellIs" dxfId="13153" priority="138950" stopIfTrue="1" operator="equal">
      <formula>-1</formula>
    </cfRule>
  </conditionalFormatting>
  <conditionalFormatting sqref="V32">
    <cfRule type="cellIs" dxfId="13152" priority="138951" stopIfTrue="1" operator="lessThan">
      <formula>0.5</formula>
    </cfRule>
  </conditionalFormatting>
  <conditionalFormatting sqref="V32">
    <cfRule type="cellIs" dxfId="13151" priority="138952" stopIfTrue="1" operator="greaterThanOrEqual">
      <formula>0.5</formula>
    </cfRule>
  </conditionalFormatting>
  <conditionalFormatting sqref="V33">
    <cfRule type="cellIs" dxfId="13150" priority="138953" stopIfTrue="1" operator="equal">
      <formula>-1</formula>
    </cfRule>
  </conditionalFormatting>
  <conditionalFormatting sqref="V33">
    <cfRule type="cellIs" dxfId="13149" priority="138954" stopIfTrue="1" operator="lessThan">
      <formula>0.5</formula>
    </cfRule>
  </conditionalFormatting>
  <conditionalFormatting sqref="V33">
    <cfRule type="cellIs" dxfId="13148" priority="138955" stopIfTrue="1" operator="greaterThanOrEqual">
      <formula>0.5</formula>
    </cfRule>
  </conditionalFormatting>
  <conditionalFormatting sqref="V34">
    <cfRule type="cellIs" dxfId="13147" priority="138956" stopIfTrue="1" operator="equal">
      <formula>-1</formula>
    </cfRule>
  </conditionalFormatting>
  <conditionalFormatting sqref="V34">
    <cfRule type="cellIs" dxfId="13146" priority="138957" stopIfTrue="1" operator="lessThan">
      <formula>0.5</formula>
    </cfRule>
  </conditionalFormatting>
  <conditionalFormatting sqref="V34">
    <cfRule type="cellIs" dxfId="13145" priority="138958" stopIfTrue="1" operator="greaterThanOrEqual">
      <formula>0.5</formula>
    </cfRule>
  </conditionalFormatting>
  <conditionalFormatting sqref="V35">
    <cfRule type="cellIs" dxfId="13144" priority="138959" stopIfTrue="1" operator="equal">
      <formula>-1</formula>
    </cfRule>
  </conditionalFormatting>
  <conditionalFormatting sqref="V35">
    <cfRule type="cellIs" dxfId="13143" priority="138960" stopIfTrue="1" operator="lessThan">
      <formula>0.5</formula>
    </cfRule>
  </conditionalFormatting>
  <conditionalFormatting sqref="V35">
    <cfRule type="cellIs" dxfId="13142" priority="138961" stopIfTrue="1" operator="greaterThanOrEqual">
      <formula>0.5</formula>
    </cfRule>
  </conditionalFormatting>
  <conditionalFormatting sqref="V36">
    <cfRule type="cellIs" dxfId="13141" priority="138962" stopIfTrue="1" operator="equal">
      <formula>-1</formula>
    </cfRule>
  </conditionalFormatting>
  <conditionalFormatting sqref="V36">
    <cfRule type="cellIs" dxfId="13140" priority="138963" stopIfTrue="1" operator="lessThan">
      <formula>0.5</formula>
    </cfRule>
  </conditionalFormatting>
  <conditionalFormatting sqref="V36">
    <cfRule type="cellIs" dxfId="13139" priority="138964" stopIfTrue="1" operator="greaterThanOrEqual">
      <formula>0.5</formula>
    </cfRule>
  </conditionalFormatting>
  <conditionalFormatting sqref="V37">
    <cfRule type="cellIs" dxfId="13138" priority="138965" stopIfTrue="1" operator="equal">
      <formula>-1</formula>
    </cfRule>
  </conditionalFormatting>
  <conditionalFormatting sqref="V37">
    <cfRule type="cellIs" dxfId="13137" priority="138966" stopIfTrue="1" operator="lessThan">
      <formula>0.5</formula>
    </cfRule>
  </conditionalFormatting>
  <conditionalFormatting sqref="V37">
    <cfRule type="cellIs" dxfId="13136" priority="138967" stopIfTrue="1" operator="greaterThanOrEqual">
      <formula>0.5</formula>
    </cfRule>
  </conditionalFormatting>
  <conditionalFormatting sqref="X17">
    <cfRule type="cellIs" dxfId="13135" priority="138968" stopIfTrue="1" operator="equal">
      <formula>-1</formula>
    </cfRule>
  </conditionalFormatting>
  <conditionalFormatting sqref="X17">
    <cfRule type="cellIs" dxfId="13134" priority="138969" stopIfTrue="1" operator="lessThan">
      <formula>0.5</formula>
    </cfRule>
  </conditionalFormatting>
  <conditionalFormatting sqref="X17">
    <cfRule type="cellIs" dxfId="13133" priority="138970" stopIfTrue="1" operator="greaterThanOrEqual">
      <formula>0.5</formula>
    </cfRule>
  </conditionalFormatting>
  <conditionalFormatting sqref="X18">
    <cfRule type="cellIs" dxfId="13132" priority="138971" stopIfTrue="1" operator="equal">
      <formula>-1</formula>
    </cfRule>
  </conditionalFormatting>
  <conditionalFormatting sqref="X18">
    <cfRule type="cellIs" dxfId="13131" priority="138972" stopIfTrue="1" operator="lessThan">
      <formula>0.5</formula>
    </cfRule>
  </conditionalFormatting>
  <conditionalFormatting sqref="X18">
    <cfRule type="cellIs" dxfId="13130" priority="138973" stopIfTrue="1" operator="greaterThanOrEqual">
      <formula>0.5</formula>
    </cfRule>
  </conditionalFormatting>
  <conditionalFormatting sqref="X19">
    <cfRule type="cellIs" dxfId="13129" priority="138974" stopIfTrue="1" operator="equal">
      <formula>-1</formula>
    </cfRule>
  </conditionalFormatting>
  <conditionalFormatting sqref="X19">
    <cfRule type="cellIs" dxfId="13128" priority="138975" stopIfTrue="1" operator="lessThan">
      <formula>0.5</formula>
    </cfRule>
  </conditionalFormatting>
  <conditionalFormatting sqref="X19">
    <cfRule type="cellIs" dxfId="13127" priority="138976" stopIfTrue="1" operator="greaterThanOrEqual">
      <formula>0.5</formula>
    </cfRule>
  </conditionalFormatting>
  <conditionalFormatting sqref="X20">
    <cfRule type="cellIs" dxfId="13126" priority="138977" stopIfTrue="1" operator="equal">
      <formula>-1</formula>
    </cfRule>
  </conditionalFormatting>
  <conditionalFormatting sqref="X20">
    <cfRule type="cellIs" dxfId="13125" priority="138978" stopIfTrue="1" operator="lessThan">
      <formula>0.5</formula>
    </cfRule>
  </conditionalFormatting>
  <conditionalFormatting sqref="X20">
    <cfRule type="cellIs" dxfId="13124" priority="138979" stopIfTrue="1" operator="greaterThanOrEqual">
      <formula>0.5</formula>
    </cfRule>
  </conditionalFormatting>
  <conditionalFormatting sqref="X21">
    <cfRule type="cellIs" dxfId="13123" priority="138980" stopIfTrue="1" operator="equal">
      <formula>-1</formula>
    </cfRule>
  </conditionalFormatting>
  <conditionalFormatting sqref="X21">
    <cfRule type="cellIs" dxfId="13122" priority="138981" stopIfTrue="1" operator="lessThan">
      <formula>0.5</formula>
    </cfRule>
  </conditionalFormatting>
  <conditionalFormatting sqref="X21">
    <cfRule type="cellIs" dxfId="13121" priority="138982" stopIfTrue="1" operator="greaterThanOrEqual">
      <formula>0.5</formula>
    </cfRule>
  </conditionalFormatting>
  <conditionalFormatting sqref="X22">
    <cfRule type="cellIs" dxfId="13120" priority="138983" stopIfTrue="1" operator="equal">
      <formula>-1</formula>
    </cfRule>
  </conditionalFormatting>
  <conditionalFormatting sqref="X22">
    <cfRule type="cellIs" dxfId="13119" priority="138984" stopIfTrue="1" operator="lessThan">
      <formula>0.5</formula>
    </cfRule>
  </conditionalFormatting>
  <conditionalFormatting sqref="X22">
    <cfRule type="cellIs" dxfId="13118" priority="138985" stopIfTrue="1" operator="greaterThanOrEqual">
      <formula>0.5</formula>
    </cfRule>
  </conditionalFormatting>
  <conditionalFormatting sqref="X23">
    <cfRule type="cellIs" dxfId="13117" priority="138986" stopIfTrue="1" operator="equal">
      <formula>-1</formula>
    </cfRule>
  </conditionalFormatting>
  <conditionalFormatting sqref="X23">
    <cfRule type="cellIs" dxfId="13116" priority="138987" stopIfTrue="1" operator="lessThan">
      <formula>0.5</formula>
    </cfRule>
  </conditionalFormatting>
  <conditionalFormatting sqref="X23">
    <cfRule type="cellIs" dxfId="13115" priority="138988" stopIfTrue="1" operator="greaterThanOrEqual">
      <formula>0.5</formula>
    </cfRule>
  </conditionalFormatting>
  <conditionalFormatting sqref="X24">
    <cfRule type="cellIs" dxfId="13114" priority="138989" stopIfTrue="1" operator="equal">
      <formula>-1</formula>
    </cfRule>
  </conditionalFormatting>
  <conditionalFormatting sqref="X24">
    <cfRule type="cellIs" dxfId="13113" priority="138990" stopIfTrue="1" operator="lessThan">
      <formula>0.5</formula>
    </cfRule>
  </conditionalFormatting>
  <conditionalFormatting sqref="X24">
    <cfRule type="cellIs" dxfId="13112" priority="138991" stopIfTrue="1" operator="greaterThanOrEqual">
      <formula>0.5</formula>
    </cfRule>
  </conditionalFormatting>
  <conditionalFormatting sqref="X25">
    <cfRule type="cellIs" dxfId="13111" priority="138992" stopIfTrue="1" operator="equal">
      <formula>-1</formula>
    </cfRule>
  </conditionalFormatting>
  <conditionalFormatting sqref="X25">
    <cfRule type="cellIs" dxfId="13110" priority="138993" stopIfTrue="1" operator="lessThan">
      <formula>0.5</formula>
    </cfRule>
  </conditionalFormatting>
  <conditionalFormatting sqref="X25">
    <cfRule type="cellIs" dxfId="13109" priority="138994" stopIfTrue="1" operator="greaterThanOrEqual">
      <formula>0.5</formula>
    </cfRule>
  </conditionalFormatting>
  <conditionalFormatting sqref="X26">
    <cfRule type="cellIs" dxfId="13108" priority="138995" stopIfTrue="1" operator="equal">
      <formula>-1</formula>
    </cfRule>
  </conditionalFormatting>
  <conditionalFormatting sqref="X26">
    <cfRule type="cellIs" dxfId="13107" priority="138996" stopIfTrue="1" operator="lessThan">
      <formula>0.5</formula>
    </cfRule>
  </conditionalFormatting>
  <conditionalFormatting sqref="X26">
    <cfRule type="cellIs" dxfId="13106" priority="138997" stopIfTrue="1" operator="greaterThanOrEqual">
      <formula>0.5</formula>
    </cfRule>
  </conditionalFormatting>
  <conditionalFormatting sqref="X27">
    <cfRule type="cellIs" dxfId="13105" priority="138998" stopIfTrue="1" operator="equal">
      <formula>-1</formula>
    </cfRule>
  </conditionalFormatting>
  <conditionalFormatting sqref="X27">
    <cfRule type="cellIs" dxfId="13104" priority="138999" stopIfTrue="1" operator="lessThan">
      <formula>0.5</formula>
    </cfRule>
  </conditionalFormatting>
  <conditionalFormatting sqref="X27">
    <cfRule type="cellIs" dxfId="13103" priority="139000" stopIfTrue="1" operator="greaterThanOrEqual">
      <formula>0.5</formula>
    </cfRule>
  </conditionalFormatting>
  <conditionalFormatting sqref="X28">
    <cfRule type="cellIs" dxfId="13102" priority="139001" stopIfTrue="1" operator="equal">
      <formula>-1</formula>
    </cfRule>
  </conditionalFormatting>
  <conditionalFormatting sqref="X28">
    <cfRule type="cellIs" dxfId="13101" priority="139002" stopIfTrue="1" operator="lessThan">
      <formula>0.5</formula>
    </cfRule>
  </conditionalFormatting>
  <conditionalFormatting sqref="X28">
    <cfRule type="cellIs" dxfId="13100" priority="139003" stopIfTrue="1" operator="greaterThanOrEqual">
      <formula>0.5</formula>
    </cfRule>
  </conditionalFormatting>
  <conditionalFormatting sqref="X29">
    <cfRule type="cellIs" dxfId="13099" priority="139004" stopIfTrue="1" operator="equal">
      <formula>-1</formula>
    </cfRule>
  </conditionalFormatting>
  <conditionalFormatting sqref="X29">
    <cfRule type="cellIs" dxfId="13098" priority="139005" stopIfTrue="1" operator="lessThan">
      <formula>0.5</formula>
    </cfRule>
  </conditionalFormatting>
  <conditionalFormatting sqref="X29">
    <cfRule type="cellIs" dxfId="13097" priority="139006" stopIfTrue="1" operator="greaterThanOrEqual">
      <formula>0.5</formula>
    </cfRule>
  </conditionalFormatting>
  <conditionalFormatting sqref="X30">
    <cfRule type="cellIs" dxfId="13096" priority="139007" stopIfTrue="1" operator="equal">
      <formula>-1</formula>
    </cfRule>
  </conditionalFormatting>
  <conditionalFormatting sqref="X30">
    <cfRule type="cellIs" dxfId="13095" priority="139008" stopIfTrue="1" operator="lessThan">
      <formula>0.5</formula>
    </cfRule>
  </conditionalFormatting>
  <conditionalFormatting sqref="X30">
    <cfRule type="cellIs" dxfId="13094" priority="139009" stopIfTrue="1" operator="greaterThanOrEqual">
      <formula>0.5</formula>
    </cfRule>
  </conditionalFormatting>
  <conditionalFormatting sqref="X31">
    <cfRule type="cellIs" dxfId="13093" priority="139010" stopIfTrue="1" operator="equal">
      <formula>-1</formula>
    </cfRule>
  </conditionalFormatting>
  <conditionalFormatting sqref="X31">
    <cfRule type="cellIs" dxfId="13092" priority="139011" stopIfTrue="1" operator="lessThan">
      <formula>0.5</formula>
    </cfRule>
  </conditionalFormatting>
  <conditionalFormatting sqref="X31">
    <cfRule type="cellIs" dxfId="13091" priority="139012" stopIfTrue="1" operator="greaterThanOrEqual">
      <formula>0.5</formula>
    </cfRule>
  </conditionalFormatting>
  <conditionalFormatting sqref="X32">
    <cfRule type="cellIs" dxfId="13090" priority="139013" stopIfTrue="1" operator="equal">
      <formula>-1</formula>
    </cfRule>
  </conditionalFormatting>
  <conditionalFormatting sqref="X32">
    <cfRule type="cellIs" dxfId="13089" priority="139014" stopIfTrue="1" operator="lessThan">
      <formula>0.5</formula>
    </cfRule>
  </conditionalFormatting>
  <conditionalFormatting sqref="X32">
    <cfRule type="cellIs" dxfId="13088" priority="139015" stopIfTrue="1" operator="greaterThanOrEqual">
      <formula>0.5</formula>
    </cfRule>
  </conditionalFormatting>
  <conditionalFormatting sqref="X33">
    <cfRule type="cellIs" dxfId="13087" priority="139016" stopIfTrue="1" operator="equal">
      <formula>-1</formula>
    </cfRule>
  </conditionalFormatting>
  <conditionalFormatting sqref="X33">
    <cfRule type="cellIs" dxfId="13086" priority="139017" stopIfTrue="1" operator="lessThan">
      <formula>0.5</formula>
    </cfRule>
  </conditionalFormatting>
  <conditionalFormatting sqref="X33">
    <cfRule type="cellIs" dxfId="13085" priority="139018" stopIfTrue="1" operator="greaterThanOrEqual">
      <formula>0.5</formula>
    </cfRule>
  </conditionalFormatting>
  <conditionalFormatting sqref="X34">
    <cfRule type="cellIs" dxfId="13084" priority="139019" stopIfTrue="1" operator="equal">
      <formula>-1</formula>
    </cfRule>
  </conditionalFormatting>
  <conditionalFormatting sqref="X34">
    <cfRule type="cellIs" dxfId="13083" priority="139020" stopIfTrue="1" operator="lessThan">
      <formula>0.5</formula>
    </cfRule>
  </conditionalFormatting>
  <conditionalFormatting sqref="X34">
    <cfRule type="cellIs" dxfId="13082" priority="139021" stopIfTrue="1" operator="greaterThanOrEqual">
      <formula>0.5</formula>
    </cfRule>
  </conditionalFormatting>
  <conditionalFormatting sqref="X35">
    <cfRule type="cellIs" dxfId="13081" priority="139022" stopIfTrue="1" operator="equal">
      <formula>-1</formula>
    </cfRule>
  </conditionalFormatting>
  <conditionalFormatting sqref="X35">
    <cfRule type="cellIs" dxfId="13080" priority="139023" stopIfTrue="1" operator="lessThan">
      <formula>0.5</formula>
    </cfRule>
  </conditionalFormatting>
  <conditionalFormatting sqref="X35">
    <cfRule type="cellIs" dxfId="13079" priority="139024" stopIfTrue="1" operator="greaterThanOrEqual">
      <formula>0.5</formula>
    </cfRule>
  </conditionalFormatting>
  <conditionalFormatting sqref="X36">
    <cfRule type="cellIs" dxfId="13078" priority="139025" stopIfTrue="1" operator="equal">
      <formula>-1</formula>
    </cfRule>
  </conditionalFormatting>
  <conditionalFormatting sqref="X36">
    <cfRule type="cellIs" dxfId="13077" priority="139026" stopIfTrue="1" operator="lessThan">
      <formula>0.5</formula>
    </cfRule>
  </conditionalFormatting>
  <conditionalFormatting sqref="X36">
    <cfRule type="cellIs" dxfId="13076" priority="139027" stopIfTrue="1" operator="greaterThanOrEqual">
      <formula>0.5</formula>
    </cfRule>
  </conditionalFormatting>
  <conditionalFormatting sqref="X37">
    <cfRule type="cellIs" dxfId="13075" priority="139028" stopIfTrue="1" operator="equal">
      <formula>-1</formula>
    </cfRule>
  </conditionalFormatting>
  <conditionalFormatting sqref="X37">
    <cfRule type="cellIs" dxfId="13074" priority="139029" stopIfTrue="1" operator="lessThan">
      <formula>0.5</formula>
    </cfRule>
  </conditionalFormatting>
  <conditionalFormatting sqref="X37">
    <cfRule type="cellIs" dxfId="13073" priority="139030" stopIfTrue="1" operator="greaterThanOrEqual">
      <formula>0.5</formula>
    </cfRule>
  </conditionalFormatting>
  <conditionalFormatting sqref="Z17">
    <cfRule type="cellIs" dxfId="13072" priority="139031" stopIfTrue="1" operator="equal">
      <formula>-1</formula>
    </cfRule>
  </conditionalFormatting>
  <conditionalFormatting sqref="Z17">
    <cfRule type="cellIs" dxfId="13071" priority="139032" stopIfTrue="1" operator="lessThan">
      <formula>0.5</formula>
    </cfRule>
  </conditionalFormatting>
  <conditionalFormatting sqref="Z17">
    <cfRule type="cellIs" dxfId="13070" priority="139033" stopIfTrue="1" operator="greaterThanOrEqual">
      <formula>0.5</formula>
    </cfRule>
  </conditionalFormatting>
  <conditionalFormatting sqref="Z18">
    <cfRule type="cellIs" dxfId="13069" priority="139034" stopIfTrue="1" operator="equal">
      <formula>-1</formula>
    </cfRule>
  </conditionalFormatting>
  <conditionalFormatting sqref="Z18">
    <cfRule type="cellIs" dxfId="13068" priority="139035" stopIfTrue="1" operator="lessThan">
      <formula>0.5</formula>
    </cfRule>
  </conditionalFormatting>
  <conditionalFormatting sqref="Z18">
    <cfRule type="cellIs" dxfId="13067" priority="139036" stopIfTrue="1" operator="greaterThanOrEqual">
      <formula>0.5</formula>
    </cfRule>
  </conditionalFormatting>
  <conditionalFormatting sqref="Z19">
    <cfRule type="cellIs" dxfId="13066" priority="139037" stopIfTrue="1" operator="equal">
      <formula>-1</formula>
    </cfRule>
  </conditionalFormatting>
  <conditionalFormatting sqref="Z19">
    <cfRule type="cellIs" dxfId="13065" priority="139038" stopIfTrue="1" operator="lessThan">
      <formula>0.5</formula>
    </cfRule>
  </conditionalFormatting>
  <conditionalFormatting sqref="Z19">
    <cfRule type="cellIs" dxfId="13064" priority="139039" stopIfTrue="1" operator="greaterThanOrEqual">
      <formula>0.5</formula>
    </cfRule>
  </conditionalFormatting>
  <conditionalFormatting sqref="Z20">
    <cfRule type="cellIs" dxfId="13063" priority="139040" stopIfTrue="1" operator="equal">
      <formula>-1</formula>
    </cfRule>
  </conditionalFormatting>
  <conditionalFormatting sqref="Z20">
    <cfRule type="cellIs" dxfId="13062" priority="139041" stopIfTrue="1" operator="lessThan">
      <formula>0.5</formula>
    </cfRule>
  </conditionalFormatting>
  <conditionalFormatting sqref="Z20">
    <cfRule type="cellIs" dxfId="13061" priority="139042" stopIfTrue="1" operator="greaterThanOrEqual">
      <formula>0.5</formula>
    </cfRule>
  </conditionalFormatting>
  <conditionalFormatting sqref="Z21">
    <cfRule type="cellIs" dxfId="13060" priority="139043" stopIfTrue="1" operator="equal">
      <formula>-1</formula>
    </cfRule>
  </conditionalFormatting>
  <conditionalFormatting sqref="Z21">
    <cfRule type="cellIs" dxfId="13059" priority="139044" stopIfTrue="1" operator="lessThan">
      <formula>0.5</formula>
    </cfRule>
  </conditionalFormatting>
  <conditionalFormatting sqref="Z21">
    <cfRule type="cellIs" dxfId="13058" priority="139045" stopIfTrue="1" operator="greaterThanOrEqual">
      <formula>0.5</formula>
    </cfRule>
  </conditionalFormatting>
  <conditionalFormatting sqref="Z22">
    <cfRule type="cellIs" dxfId="13057" priority="139046" stopIfTrue="1" operator="equal">
      <formula>-1</formula>
    </cfRule>
  </conditionalFormatting>
  <conditionalFormatting sqref="Z22">
    <cfRule type="cellIs" dxfId="13056" priority="139047" stopIfTrue="1" operator="lessThan">
      <formula>0.5</formula>
    </cfRule>
  </conditionalFormatting>
  <conditionalFormatting sqref="Z22">
    <cfRule type="cellIs" dxfId="13055" priority="139048" stopIfTrue="1" operator="greaterThanOrEqual">
      <formula>0.5</formula>
    </cfRule>
  </conditionalFormatting>
  <conditionalFormatting sqref="Z23">
    <cfRule type="cellIs" dxfId="13054" priority="139049" stopIfTrue="1" operator="equal">
      <formula>-1</formula>
    </cfRule>
  </conditionalFormatting>
  <conditionalFormatting sqref="Z23">
    <cfRule type="cellIs" dxfId="13053" priority="139050" stopIfTrue="1" operator="lessThan">
      <formula>0.5</formula>
    </cfRule>
  </conditionalFormatting>
  <conditionalFormatting sqref="Z23">
    <cfRule type="cellIs" dxfId="13052" priority="139051" stopIfTrue="1" operator="greaterThanOrEqual">
      <formula>0.5</formula>
    </cfRule>
  </conditionalFormatting>
  <conditionalFormatting sqref="Z24">
    <cfRule type="cellIs" dxfId="13051" priority="139052" stopIfTrue="1" operator="equal">
      <formula>-1</formula>
    </cfRule>
  </conditionalFormatting>
  <conditionalFormatting sqref="Z24">
    <cfRule type="cellIs" dxfId="13050" priority="139053" stopIfTrue="1" operator="lessThan">
      <formula>0.5</formula>
    </cfRule>
  </conditionalFormatting>
  <conditionalFormatting sqref="Z24">
    <cfRule type="cellIs" dxfId="13049" priority="139054" stopIfTrue="1" operator="greaterThanOrEqual">
      <formula>0.5</formula>
    </cfRule>
  </conditionalFormatting>
  <conditionalFormatting sqref="Z25">
    <cfRule type="cellIs" dxfId="13048" priority="139055" stopIfTrue="1" operator="equal">
      <formula>-1</formula>
    </cfRule>
  </conditionalFormatting>
  <conditionalFormatting sqref="Z25">
    <cfRule type="cellIs" dxfId="13047" priority="139056" stopIfTrue="1" operator="lessThan">
      <formula>0.5</formula>
    </cfRule>
  </conditionalFormatting>
  <conditionalFormatting sqref="Z25">
    <cfRule type="cellIs" dxfId="13046" priority="139057" stopIfTrue="1" operator="greaterThanOrEqual">
      <formula>0.5</formula>
    </cfRule>
  </conditionalFormatting>
  <conditionalFormatting sqref="Z26">
    <cfRule type="cellIs" dxfId="13045" priority="139058" stopIfTrue="1" operator="equal">
      <formula>-1</formula>
    </cfRule>
  </conditionalFormatting>
  <conditionalFormatting sqref="Z26">
    <cfRule type="cellIs" dxfId="13044" priority="139059" stopIfTrue="1" operator="lessThan">
      <formula>0.5</formula>
    </cfRule>
  </conditionalFormatting>
  <conditionalFormatting sqref="Z26">
    <cfRule type="cellIs" dxfId="13043" priority="139060" stopIfTrue="1" operator="greaterThanOrEqual">
      <formula>0.5</formula>
    </cfRule>
  </conditionalFormatting>
  <conditionalFormatting sqref="Z27">
    <cfRule type="cellIs" dxfId="13042" priority="139061" stopIfTrue="1" operator="equal">
      <formula>-1</formula>
    </cfRule>
  </conditionalFormatting>
  <conditionalFormatting sqref="Z27">
    <cfRule type="cellIs" dxfId="13041" priority="139062" stopIfTrue="1" operator="lessThan">
      <formula>0.5</formula>
    </cfRule>
  </conditionalFormatting>
  <conditionalFormatting sqref="Z27">
    <cfRule type="cellIs" dxfId="13040" priority="139063" stopIfTrue="1" operator="greaterThanOrEqual">
      <formula>0.5</formula>
    </cfRule>
  </conditionalFormatting>
  <conditionalFormatting sqref="Z28">
    <cfRule type="cellIs" dxfId="13039" priority="139064" stopIfTrue="1" operator="equal">
      <formula>-1</formula>
    </cfRule>
  </conditionalFormatting>
  <conditionalFormatting sqref="Z28">
    <cfRule type="cellIs" dxfId="13038" priority="139065" stopIfTrue="1" operator="lessThan">
      <formula>0.5</formula>
    </cfRule>
  </conditionalFormatting>
  <conditionalFormatting sqref="Z28">
    <cfRule type="cellIs" dxfId="13037" priority="139066" stopIfTrue="1" operator="greaterThanOrEqual">
      <formula>0.5</formula>
    </cfRule>
  </conditionalFormatting>
  <conditionalFormatting sqref="Z29">
    <cfRule type="cellIs" dxfId="13036" priority="139067" stopIfTrue="1" operator="equal">
      <formula>-1</formula>
    </cfRule>
  </conditionalFormatting>
  <conditionalFormatting sqref="Z29">
    <cfRule type="cellIs" dxfId="13035" priority="139068" stopIfTrue="1" operator="lessThan">
      <formula>0.5</formula>
    </cfRule>
  </conditionalFormatting>
  <conditionalFormatting sqref="Z29">
    <cfRule type="cellIs" dxfId="13034" priority="139069" stopIfTrue="1" operator="greaterThanOrEqual">
      <formula>0.5</formula>
    </cfRule>
  </conditionalFormatting>
  <conditionalFormatting sqref="Z30">
    <cfRule type="cellIs" dxfId="13033" priority="139070" stopIfTrue="1" operator="equal">
      <formula>-1</formula>
    </cfRule>
  </conditionalFormatting>
  <conditionalFormatting sqref="Z30">
    <cfRule type="cellIs" dxfId="13032" priority="139071" stopIfTrue="1" operator="lessThan">
      <formula>0.5</formula>
    </cfRule>
  </conditionalFormatting>
  <conditionalFormatting sqref="Z30">
    <cfRule type="cellIs" dxfId="13031" priority="139072" stopIfTrue="1" operator="greaterThanOrEqual">
      <formula>0.5</formula>
    </cfRule>
  </conditionalFormatting>
  <conditionalFormatting sqref="Z31">
    <cfRule type="cellIs" dxfId="13030" priority="139073" stopIfTrue="1" operator="equal">
      <formula>-1</formula>
    </cfRule>
  </conditionalFormatting>
  <conditionalFormatting sqref="Z31">
    <cfRule type="cellIs" dxfId="13029" priority="139074" stopIfTrue="1" operator="lessThan">
      <formula>0.5</formula>
    </cfRule>
  </conditionalFormatting>
  <conditionalFormatting sqref="Z31">
    <cfRule type="cellIs" dxfId="13028" priority="139075" stopIfTrue="1" operator="greaterThanOrEqual">
      <formula>0.5</formula>
    </cfRule>
  </conditionalFormatting>
  <conditionalFormatting sqref="Z32">
    <cfRule type="cellIs" dxfId="13027" priority="139076" stopIfTrue="1" operator="equal">
      <formula>-1</formula>
    </cfRule>
  </conditionalFormatting>
  <conditionalFormatting sqref="Z32">
    <cfRule type="cellIs" dxfId="13026" priority="139077" stopIfTrue="1" operator="lessThan">
      <formula>0.5</formula>
    </cfRule>
  </conditionalFormatting>
  <conditionalFormatting sqref="Z32">
    <cfRule type="cellIs" dxfId="13025" priority="139078" stopIfTrue="1" operator="greaterThanOrEqual">
      <formula>0.5</formula>
    </cfRule>
  </conditionalFormatting>
  <conditionalFormatting sqref="Z33">
    <cfRule type="cellIs" dxfId="13024" priority="139079" stopIfTrue="1" operator="equal">
      <formula>-1</formula>
    </cfRule>
  </conditionalFormatting>
  <conditionalFormatting sqref="Z33">
    <cfRule type="cellIs" dxfId="13023" priority="139080" stopIfTrue="1" operator="lessThan">
      <formula>0.5</formula>
    </cfRule>
  </conditionalFormatting>
  <conditionalFormatting sqref="Z33">
    <cfRule type="cellIs" dxfId="13022" priority="139081" stopIfTrue="1" operator="greaterThanOrEqual">
      <formula>0.5</formula>
    </cfRule>
  </conditionalFormatting>
  <conditionalFormatting sqref="Z34">
    <cfRule type="cellIs" dxfId="13021" priority="139082" stopIfTrue="1" operator="equal">
      <formula>-1</formula>
    </cfRule>
  </conditionalFormatting>
  <conditionalFormatting sqref="Z34">
    <cfRule type="cellIs" dxfId="13020" priority="139083" stopIfTrue="1" operator="lessThan">
      <formula>0.5</formula>
    </cfRule>
  </conditionalFormatting>
  <conditionalFormatting sqref="Z34">
    <cfRule type="cellIs" dxfId="13019" priority="139084" stopIfTrue="1" operator="greaterThanOrEqual">
      <formula>0.5</formula>
    </cfRule>
  </conditionalFormatting>
  <conditionalFormatting sqref="Z35">
    <cfRule type="cellIs" dxfId="13018" priority="139085" stopIfTrue="1" operator="equal">
      <formula>-1</formula>
    </cfRule>
  </conditionalFormatting>
  <conditionalFormatting sqref="Z35">
    <cfRule type="cellIs" dxfId="13017" priority="139086" stopIfTrue="1" operator="lessThan">
      <formula>0.5</formula>
    </cfRule>
  </conditionalFormatting>
  <conditionalFormatting sqref="Z35">
    <cfRule type="cellIs" dxfId="13016" priority="139087" stopIfTrue="1" operator="greaterThanOrEqual">
      <formula>0.5</formula>
    </cfRule>
  </conditionalFormatting>
  <conditionalFormatting sqref="Z36">
    <cfRule type="cellIs" dxfId="13015" priority="139088" stopIfTrue="1" operator="equal">
      <formula>-1</formula>
    </cfRule>
  </conditionalFormatting>
  <conditionalFormatting sqref="Z36">
    <cfRule type="cellIs" dxfId="13014" priority="139089" stopIfTrue="1" operator="lessThan">
      <formula>0.5</formula>
    </cfRule>
  </conditionalFormatting>
  <conditionalFormatting sqref="Z36">
    <cfRule type="cellIs" dxfId="13013" priority="139090" stopIfTrue="1" operator="greaterThanOrEqual">
      <formula>0.5</formula>
    </cfRule>
  </conditionalFormatting>
  <conditionalFormatting sqref="Z37">
    <cfRule type="cellIs" dxfId="13012" priority="139091" stopIfTrue="1" operator="equal">
      <formula>-1</formula>
    </cfRule>
  </conditionalFormatting>
  <conditionalFormatting sqref="Z37">
    <cfRule type="cellIs" dxfId="13011" priority="139092" stopIfTrue="1" operator="lessThan">
      <formula>0.5</formula>
    </cfRule>
  </conditionalFormatting>
  <conditionalFormatting sqref="Z37">
    <cfRule type="cellIs" dxfId="13010" priority="139093" stopIfTrue="1" operator="greaterThanOrEqual">
      <formula>0.5</formula>
    </cfRule>
  </conditionalFormatting>
  <conditionalFormatting sqref="AB17">
    <cfRule type="cellIs" dxfId="13009" priority="139094" stopIfTrue="1" operator="equal">
      <formula>-1</formula>
    </cfRule>
  </conditionalFormatting>
  <conditionalFormatting sqref="AB17">
    <cfRule type="cellIs" dxfId="13008" priority="139095" stopIfTrue="1" operator="lessThan">
      <formula>0.5</formula>
    </cfRule>
  </conditionalFormatting>
  <conditionalFormatting sqref="AB17">
    <cfRule type="cellIs" dxfId="13007" priority="139096" stopIfTrue="1" operator="greaterThanOrEqual">
      <formula>0.5</formula>
    </cfRule>
  </conditionalFormatting>
  <conditionalFormatting sqref="AB18">
    <cfRule type="cellIs" dxfId="13006" priority="139097" stopIfTrue="1" operator="equal">
      <formula>-1</formula>
    </cfRule>
  </conditionalFormatting>
  <conditionalFormatting sqref="AB18">
    <cfRule type="cellIs" dxfId="13005" priority="139098" stopIfTrue="1" operator="lessThan">
      <formula>0.5</formula>
    </cfRule>
  </conditionalFormatting>
  <conditionalFormatting sqref="AB18">
    <cfRule type="cellIs" dxfId="13004" priority="139099" stopIfTrue="1" operator="greaterThanOrEqual">
      <formula>0.5</formula>
    </cfRule>
  </conditionalFormatting>
  <conditionalFormatting sqref="AB19">
    <cfRule type="cellIs" dxfId="13003" priority="139100" stopIfTrue="1" operator="equal">
      <formula>-1</formula>
    </cfRule>
  </conditionalFormatting>
  <conditionalFormatting sqref="AB19">
    <cfRule type="cellIs" dxfId="13002" priority="139101" stopIfTrue="1" operator="lessThan">
      <formula>0.5</formula>
    </cfRule>
  </conditionalFormatting>
  <conditionalFormatting sqref="AB19">
    <cfRule type="cellIs" dxfId="13001" priority="139102" stopIfTrue="1" operator="greaterThanOrEqual">
      <formula>0.5</formula>
    </cfRule>
  </conditionalFormatting>
  <conditionalFormatting sqref="AB20">
    <cfRule type="cellIs" dxfId="13000" priority="139103" stopIfTrue="1" operator="equal">
      <formula>-1</formula>
    </cfRule>
  </conditionalFormatting>
  <conditionalFormatting sqref="AB20">
    <cfRule type="cellIs" dxfId="12999" priority="139104" stopIfTrue="1" operator="lessThan">
      <formula>0.5</formula>
    </cfRule>
  </conditionalFormatting>
  <conditionalFormatting sqref="AB20">
    <cfRule type="cellIs" dxfId="12998" priority="139105" stopIfTrue="1" operator="greaterThanOrEqual">
      <formula>0.5</formula>
    </cfRule>
  </conditionalFormatting>
  <conditionalFormatting sqref="AB21">
    <cfRule type="cellIs" dxfId="12997" priority="139106" stopIfTrue="1" operator="equal">
      <formula>-1</formula>
    </cfRule>
  </conditionalFormatting>
  <conditionalFormatting sqref="AB21">
    <cfRule type="cellIs" dxfId="12996" priority="139107" stopIfTrue="1" operator="lessThan">
      <formula>0.5</formula>
    </cfRule>
  </conditionalFormatting>
  <conditionalFormatting sqref="AB21">
    <cfRule type="cellIs" dxfId="12995" priority="139108" stopIfTrue="1" operator="greaterThanOrEqual">
      <formula>0.5</formula>
    </cfRule>
  </conditionalFormatting>
  <conditionalFormatting sqref="AB22">
    <cfRule type="cellIs" dxfId="12994" priority="139109" stopIfTrue="1" operator="equal">
      <formula>-1</formula>
    </cfRule>
  </conditionalFormatting>
  <conditionalFormatting sqref="AB22">
    <cfRule type="cellIs" dxfId="12993" priority="139110" stopIfTrue="1" operator="lessThan">
      <formula>0.5</formula>
    </cfRule>
  </conditionalFormatting>
  <conditionalFormatting sqref="AB22">
    <cfRule type="cellIs" dxfId="12992" priority="139111" stopIfTrue="1" operator="greaterThanOrEqual">
      <formula>0.5</formula>
    </cfRule>
  </conditionalFormatting>
  <conditionalFormatting sqref="AB23">
    <cfRule type="cellIs" dxfId="12991" priority="139112" stopIfTrue="1" operator="equal">
      <formula>-1</formula>
    </cfRule>
  </conditionalFormatting>
  <conditionalFormatting sqref="AB23">
    <cfRule type="cellIs" dxfId="12990" priority="139113" stopIfTrue="1" operator="lessThan">
      <formula>0.5</formula>
    </cfRule>
  </conditionalFormatting>
  <conditionalFormatting sqref="AB23">
    <cfRule type="cellIs" dxfId="12989" priority="139114" stopIfTrue="1" operator="greaterThanOrEqual">
      <formula>0.5</formula>
    </cfRule>
  </conditionalFormatting>
  <conditionalFormatting sqref="AB24">
    <cfRule type="cellIs" dxfId="12988" priority="139115" stopIfTrue="1" operator="equal">
      <formula>-1</formula>
    </cfRule>
  </conditionalFormatting>
  <conditionalFormatting sqref="AB24">
    <cfRule type="cellIs" dxfId="12987" priority="139116" stopIfTrue="1" operator="lessThan">
      <formula>0.5</formula>
    </cfRule>
  </conditionalFormatting>
  <conditionalFormatting sqref="AB24">
    <cfRule type="cellIs" dxfId="12986" priority="139117" stopIfTrue="1" operator="greaterThanOrEqual">
      <formula>0.5</formula>
    </cfRule>
  </conditionalFormatting>
  <conditionalFormatting sqref="AB25">
    <cfRule type="cellIs" dxfId="12985" priority="139118" stopIfTrue="1" operator="equal">
      <formula>-1</formula>
    </cfRule>
  </conditionalFormatting>
  <conditionalFormatting sqref="AB25">
    <cfRule type="cellIs" dxfId="12984" priority="139119" stopIfTrue="1" operator="lessThan">
      <formula>0.5</formula>
    </cfRule>
  </conditionalFormatting>
  <conditionalFormatting sqref="AB25">
    <cfRule type="cellIs" dxfId="12983" priority="139120" stopIfTrue="1" operator="greaterThanOrEqual">
      <formula>0.5</formula>
    </cfRule>
  </conditionalFormatting>
  <conditionalFormatting sqref="AB26">
    <cfRule type="cellIs" dxfId="12982" priority="139121" stopIfTrue="1" operator="equal">
      <formula>-1</formula>
    </cfRule>
  </conditionalFormatting>
  <conditionalFormatting sqref="AB26">
    <cfRule type="cellIs" dxfId="12981" priority="139122" stopIfTrue="1" operator="lessThan">
      <formula>0.5</formula>
    </cfRule>
  </conditionalFormatting>
  <conditionalFormatting sqref="AB26">
    <cfRule type="cellIs" dxfId="12980" priority="139123" stopIfTrue="1" operator="greaterThanOrEqual">
      <formula>0.5</formula>
    </cfRule>
  </conditionalFormatting>
  <conditionalFormatting sqref="AB27">
    <cfRule type="cellIs" dxfId="12979" priority="139124" stopIfTrue="1" operator="equal">
      <formula>-1</formula>
    </cfRule>
  </conditionalFormatting>
  <conditionalFormatting sqref="AB27">
    <cfRule type="cellIs" dxfId="12978" priority="139125" stopIfTrue="1" operator="lessThan">
      <formula>0.5</formula>
    </cfRule>
  </conditionalFormatting>
  <conditionalFormatting sqref="AB27">
    <cfRule type="cellIs" dxfId="12977" priority="139126" stopIfTrue="1" operator="greaterThanOrEqual">
      <formula>0.5</formula>
    </cfRule>
  </conditionalFormatting>
  <conditionalFormatting sqref="AB28">
    <cfRule type="cellIs" dxfId="12976" priority="139127" stopIfTrue="1" operator="equal">
      <formula>-1</formula>
    </cfRule>
  </conditionalFormatting>
  <conditionalFormatting sqref="AB28">
    <cfRule type="cellIs" dxfId="12975" priority="139128" stopIfTrue="1" operator="lessThan">
      <formula>0.5</formula>
    </cfRule>
  </conditionalFormatting>
  <conditionalFormatting sqref="AB28">
    <cfRule type="cellIs" dxfId="12974" priority="139129" stopIfTrue="1" operator="greaterThanOrEqual">
      <formula>0.5</formula>
    </cfRule>
  </conditionalFormatting>
  <conditionalFormatting sqref="AB29">
    <cfRule type="cellIs" dxfId="12973" priority="139130" stopIfTrue="1" operator="equal">
      <formula>-1</formula>
    </cfRule>
  </conditionalFormatting>
  <conditionalFormatting sqref="AB29">
    <cfRule type="cellIs" dxfId="12972" priority="139131" stopIfTrue="1" operator="lessThan">
      <formula>0.5</formula>
    </cfRule>
  </conditionalFormatting>
  <conditionalFormatting sqref="AB29">
    <cfRule type="cellIs" dxfId="12971" priority="139132" stopIfTrue="1" operator="greaterThanOrEqual">
      <formula>0.5</formula>
    </cfRule>
  </conditionalFormatting>
  <conditionalFormatting sqref="AB30">
    <cfRule type="cellIs" dxfId="12970" priority="139133" stopIfTrue="1" operator="equal">
      <formula>-1</formula>
    </cfRule>
  </conditionalFormatting>
  <conditionalFormatting sqref="AB30">
    <cfRule type="cellIs" dxfId="12969" priority="139134" stopIfTrue="1" operator="lessThan">
      <formula>0.5</formula>
    </cfRule>
  </conditionalFormatting>
  <conditionalFormatting sqref="AB30">
    <cfRule type="cellIs" dxfId="12968" priority="139135" stopIfTrue="1" operator="greaterThanOrEqual">
      <formula>0.5</formula>
    </cfRule>
  </conditionalFormatting>
  <conditionalFormatting sqref="AB31">
    <cfRule type="cellIs" dxfId="12967" priority="139136" stopIfTrue="1" operator="equal">
      <formula>-1</formula>
    </cfRule>
  </conditionalFormatting>
  <conditionalFormatting sqref="AB31">
    <cfRule type="cellIs" dxfId="12966" priority="139137" stopIfTrue="1" operator="lessThan">
      <formula>0.5</formula>
    </cfRule>
  </conditionalFormatting>
  <conditionalFormatting sqref="AB31">
    <cfRule type="cellIs" dxfId="12965" priority="139138" stopIfTrue="1" operator="greaterThanOrEqual">
      <formula>0.5</formula>
    </cfRule>
  </conditionalFormatting>
  <conditionalFormatting sqref="AB32">
    <cfRule type="cellIs" dxfId="12964" priority="139139" stopIfTrue="1" operator="equal">
      <formula>-1</formula>
    </cfRule>
  </conditionalFormatting>
  <conditionalFormatting sqref="AB32">
    <cfRule type="cellIs" dxfId="12963" priority="139140" stopIfTrue="1" operator="lessThan">
      <formula>0.5</formula>
    </cfRule>
  </conditionalFormatting>
  <conditionalFormatting sqref="AB32">
    <cfRule type="cellIs" dxfId="12962" priority="139141" stopIfTrue="1" operator="greaterThanOrEqual">
      <formula>0.5</formula>
    </cfRule>
  </conditionalFormatting>
  <conditionalFormatting sqref="AB33">
    <cfRule type="cellIs" dxfId="12961" priority="139142" stopIfTrue="1" operator="equal">
      <formula>-1</formula>
    </cfRule>
  </conditionalFormatting>
  <conditionalFormatting sqref="AB33">
    <cfRule type="cellIs" dxfId="12960" priority="139143" stopIfTrue="1" operator="lessThan">
      <formula>0.5</formula>
    </cfRule>
  </conditionalFormatting>
  <conditionalFormatting sqref="AB33">
    <cfRule type="cellIs" dxfId="12959" priority="139144" stopIfTrue="1" operator="greaterThanOrEqual">
      <formula>0.5</formula>
    </cfRule>
  </conditionalFormatting>
  <conditionalFormatting sqref="AB34">
    <cfRule type="cellIs" dxfId="12958" priority="139145" stopIfTrue="1" operator="equal">
      <formula>-1</formula>
    </cfRule>
  </conditionalFormatting>
  <conditionalFormatting sqref="AB34">
    <cfRule type="cellIs" dxfId="12957" priority="139146" stopIfTrue="1" operator="lessThan">
      <formula>0.5</formula>
    </cfRule>
  </conditionalFormatting>
  <conditionalFormatting sqref="AB34">
    <cfRule type="cellIs" dxfId="12956" priority="139147" stopIfTrue="1" operator="greaterThanOrEqual">
      <formula>0.5</formula>
    </cfRule>
  </conditionalFormatting>
  <conditionalFormatting sqref="AB35">
    <cfRule type="cellIs" dxfId="12955" priority="139148" stopIfTrue="1" operator="equal">
      <formula>-1</formula>
    </cfRule>
  </conditionalFormatting>
  <conditionalFormatting sqref="AB35">
    <cfRule type="cellIs" dxfId="12954" priority="139149" stopIfTrue="1" operator="lessThan">
      <formula>0.5</formula>
    </cfRule>
  </conditionalFormatting>
  <conditionalFormatting sqref="AB35">
    <cfRule type="cellIs" dxfId="12953" priority="139150" stopIfTrue="1" operator="greaterThanOrEqual">
      <formula>0.5</formula>
    </cfRule>
  </conditionalFormatting>
  <conditionalFormatting sqref="AB36">
    <cfRule type="cellIs" dxfId="12952" priority="139151" stopIfTrue="1" operator="equal">
      <formula>-1</formula>
    </cfRule>
  </conditionalFormatting>
  <conditionalFormatting sqref="AB36">
    <cfRule type="cellIs" dxfId="12951" priority="139152" stopIfTrue="1" operator="lessThan">
      <formula>0.5</formula>
    </cfRule>
  </conditionalFormatting>
  <conditionalFormatting sqref="AB36">
    <cfRule type="cellIs" dxfId="12950" priority="139153" stopIfTrue="1" operator="greaterThanOrEqual">
      <formula>0.5</formula>
    </cfRule>
  </conditionalFormatting>
  <conditionalFormatting sqref="AB37">
    <cfRule type="cellIs" dxfId="12949" priority="139154" stopIfTrue="1" operator="equal">
      <formula>-1</formula>
    </cfRule>
  </conditionalFormatting>
  <conditionalFormatting sqref="AB37">
    <cfRule type="cellIs" dxfId="12948" priority="139155" stopIfTrue="1" operator="lessThan">
      <formula>0.5</formula>
    </cfRule>
  </conditionalFormatting>
  <conditionalFormatting sqref="AB37">
    <cfRule type="cellIs" dxfId="12947" priority="139156" stopIfTrue="1" operator="greaterThanOrEqual">
      <formula>0.5</formula>
    </cfRule>
  </conditionalFormatting>
  <conditionalFormatting sqref="AD17">
    <cfRule type="cellIs" dxfId="12946" priority="139157" stopIfTrue="1" operator="equal">
      <formula>-1</formula>
    </cfRule>
  </conditionalFormatting>
  <conditionalFormatting sqref="AD17">
    <cfRule type="cellIs" dxfId="12945" priority="139158" stopIfTrue="1" operator="lessThan">
      <formula>0.5</formula>
    </cfRule>
  </conditionalFormatting>
  <conditionalFormatting sqref="AD17">
    <cfRule type="cellIs" dxfId="12944" priority="139159" stopIfTrue="1" operator="greaterThanOrEqual">
      <formula>0.5</formula>
    </cfRule>
  </conditionalFormatting>
  <conditionalFormatting sqref="AD18">
    <cfRule type="cellIs" dxfId="12943" priority="139160" stopIfTrue="1" operator="equal">
      <formula>-1</formula>
    </cfRule>
  </conditionalFormatting>
  <conditionalFormatting sqref="AD18">
    <cfRule type="cellIs" dxfId="12942" priority="139161" stopIfTrue="1" operator="lessThan">
      <formula>0.5</formula>
    </cfRule>
  </conditionalFormatting>
  <conditionalFormatting sqref="AD18">
    <cfRule type="cellIs" dxfId="12941" priority="139162" stopIfTrue="1" operator="greaterThanOrEqual">
      <formula>0.5</formula>
    </cfRule>
  </conditionalFormatting>
  <conditionalFormatting sqref="AD19">
    <cfRule type="cellIs" dxfId="12940" priority="139163" stopIfTrue="1" operator="equal">
      <formula>-1</formula>
    </cfRule>
  </conditionalFormatting>
  <conditionalFormatting sqref="AD19">
    <cfRule type="cellIs" dxfId="12939" priority="139164" stopIfTrue="1" operator="lessThan">
      <formula>0.5</formula>
    </cfRule>
  </conditionalFormatting>
  <conditionalFormatting sqref="AD19">
    <cfRule type="cellIs" dxfId="12938" priority="139165" stopIfTrue="1" operator="greaterThanOrEqual">
      <formula>0.5</formula>
    </cfRule>
  </conditionalFormatting>
  <conditionalFormatting sqref="AD20">
    <cfRule type="cellIs" dxfId="12937" priority="139166" stopIfTrue="1" operator="equal">
      <formula>-1</formula>
    </cfRule>
  </conditionalFormatting>
  <conditionalFormatting sqref="AD20">
    <cfRule type="cellIs" dxfId="12936" priority="139167" stopIfTrue="1" operator="lessThan">
      <formula>0.5</formula>
    </cfRule>
  </conditionalFormatting>
  <conditionalFormatting sqref="AD20">
    <cfRule type="cellIs" dxfId="12935" priority="139168" stopIfTrue="1" operator="greaterThanOrEqual">
      <formula>0.5</formula>
    </cfRule>
  </conditionalFormatting>
  <conditionalFormatting sqref="AD21">
    <cfRule type="cellIs" dxfId="12934" priority="139169" stopIfTrue="1" operator="equal">
      <formula>-1</formula>
    </cfRule>
  </conditionalFormatting>
  <conditionalFormatting sqref="AD21">
    <cfRule type="cellIs" dxfId="12933" priority="139170" stopIfTrue="1" operator="lessThan">
      <formula>0.5</formula>
    </cfRule>
  </conditionalFormatting>
  <conditionalFormatting sqref="AD21">
    <cfRule type="cellIs" dxfId="12932" priority="139171" stopIfTrue="1" operator="greaterThanOrEqual">
      <formula>0.5</formula>
    </cfRule>
  </conditionalFormatting>
  <conditionalFormatting sqref="AD22">
    <cfRule type="cellIs" dxfId="12931" priority="139172" stopIfTrue="1" operator="equal">
      <formula>-1</formula>
    </cfRule>
  </conditionalFormatting>
  <conditionalFormatting sqref="AD22">
    <cfRule type="cellIs" dxfId="12930" priority="139173" stopIfTrue="1" operator="lessThan">
      <formula>0.5</formula>
    </cfRule>
  </conditionalFormatting>
  <conditionalFormatting sqref="AD22">
    <cfRule type="cellIs" dxfId="12929" priority="139174" stopIfTrue="1" operator="greaterThanOrEqual">
      <formula>0.5</formula>
    </cfRule>
  </conditionalFormatting>
  <conditionalFormatting sqref="AD23">
    <cfRule type="cellIs" dxfId="12928" priority="139175" stopIfTrue="1" operator="equal">
      <formula>-1</formula>
    </cfRule>
  </conditionalFormatting>
  <conditionalFormatting sqref="AD23">
    <cfRule type="cellIs" dxfId="12927" priority="139176" stopIfTrue="1" operator="lessThan">
      <formula>0.5</formula>
    </cfRule>
  </conditionalFormatting>
  <conditionalFormatting sqref="AD23">
    <cfRule type="cellIs" dxfId="12926" priority="139177" stopIfTrue="1" operator="greaterThanOrEqual">
      <formula>0.5</formula>
    </cfRule>
  </conditionalFormatting>
  <conditionalFormatting sqref="AD24">
    <cfRule type="cellIs" dxfId="12925" priority="139178" stopIfTrue="1" operator="equal">
      <formula>-1</formula>
    </cfRule>
  </conditionalFormatting>
  <conditionalFormatting sqref="AD24">
    <cfRule type="cellIs" dxfId="12924" priority="139179" stopIfTrue="1" operator="lessThan">
      <formula>0.5</formula>
    </cfRule>
  </conditionalFormatting>
  <conditionalFormatting sqref="AD24">
    <cfRule type="cellIs" dxfId="12923" priority="139180" stopIfTrue="1" operator="greaterThanOrEqual">
      <formula>0.5</formula>
    </cfRule>
  </conditionalFormatting>
  <conditionalFormatting sqref="AD25">
    <cfRule type="cellIs" dxfId="12922" priority="139181" stopIfTrue="1" operator="equal">
      <formula>-1</formula>
    </cfRule>
  </conditionalFormatting>
  <conditionalFormatting sqref="AD25">
    <cfRule type="cellIs" dxfId="12921" priority="139182" stopIfTrue="1" operator="lessThan">
      <formula>0.5</formula>
    </cfRule>
  </conditionalFormatting>
  <conditionalFormatting sqref="AD25">
    <cfRule type="cellIs" dxfId="12920" priority="139183" stopIfTrue="1" operator="greaterThanOrEqual">
      <formula>0.5</formula>
    </cfRule>
  </conditionalFormatting>
  <conditionalFormatting sqref="AD26">
    <cfRule type="cellIs" dxfId="12919" priority="139184" stopIfTrue="1" operator="equal">
      <formula>-1</formula>
    </cfRule>
  </conditionalFormatting>
  <conditionalFormatting sqref="AD26">
    <cfRule type="cellIs" dxfId="12918" priority="139185" stopIfTrue="1" operator="lessThan">
      <formula>0.5</formula>
    </cfRule>
  </conditionalFormatting>
  <conditionalFormatting sqref="AD26">
    <cfRule type="cellIs" dxfId="12917" priority="139186" stopIfTrue="1" operator="greaterThanOrEqual">
      <formula>0.5</formula>
    </cfRule>
  </conditionalFormatting>
  <conditionalFormatting sqref="AD27">
    <cfRule type="cellIs" dxfId="12916" priority="139187" stopIfTrue="1" operator="equal">
      <formula>-1</formula>
    </cfRule>
  </conditionalFormatting>
  <conditionalFormatting sqref="AD27">
    <cfRule type="cellIs" dxfId="12915" priority="139188" stopIfTrue="1" operator="lessThan">
      <formula>0.5</formula>
    </cfRule>
  </conditionalFormatting>
  <conditionalFormatting sqref="AD27">
    <cfRule type="cellIs" dxfId="12914" priority="139189" stopIfTrue="1" operator="greaterThanOrEqual">
      <formula>0.5</formula>
    </cfRule>
  </conditionalFormatting>
  <conditionalFormatting sqref="AD28">
    <cfRule type="cellIs" dxfId="12913" priority="139190" stopIfTrue="1" operator="equal">
      <formula>-1</formula>
    </cfRule>
  </conditionalFormatting>
  <conditionalFormatting sqref="AD28">
    <cfRule type="cellIs" dxfId="12912" priority="139191" stopIfTrue="1" operator="lessThan">
      <formula>0.5</formula>
    </cfRule>
  </conditionalFormatting>
  <conditionalFormatting sqref="AD28">
    <cfRule type="cellIs" dxfId="12911" priority="139192" stopIfTrue="1" operator="greaterThanOrEqual">
      <formula>0.5</formula>
    </cfRule>
  </conditionalFormatting>
  <conditionalFormatting sqref="AD29">
    <cfRule type="cellIs" dxfId="12910" priority="139193" stopIfTrue="1" operator="equal">
      <formula>-1</formula>
    </cfRule>
  </conditionalFormatting>
  <conditionalFormatting sqref="AD29">
    <cfRule type="cellIs" dxfId="12909" priority="139194" stopIfTrue="1" operator="lessThan">
      <formula>0.5</formula>
    </cfRule>
  </conditionalFormatting>
  <conditionalFormatting sqref="AD29">
    <cfRule type="cellIs" dxfId="12908" priority="139195" stopIfTrue="1" operator="greaterThanOrEqual">
      <formula>0.5</formula>
    </cfRule>
  </conditionalFormatting>
  <conditionalFormatting sqref="AD30">
    <cfRule type="cellIs" dxfId="12907" priority="139196" stopIfTrue="1" operator="equal">
      <formula>-1</formula>
    </cfRule>
  </conditionalFormatting>
  <conditionalFormatting sqref="AD30">
    <cfRule type="cellIs" dxfId="12906" priority="139197" stopIfTrue="1" operator="lessThan">
      <formula>0.5</formula>
    </cfRule>
  </conditionalFormatting>
  <conditionalFormatting sqref="AD30">
    <cfRule type="cellIs" dxfId="12905" priority="139198" stopIfTrue="1" operator="greaterThanOrEqual">
      <formula>0.5</formula>
    </cfRule>
  </conditionalFormatting>
  <conditionalFormatting sqref="AD31">
    <cfRule type="cellIs" dxfId="12904" priority="139199" stopIfTrue="1" operator="equal">
      <formula>-1</formula>
    </cfRule>
  </conditionalFormatting>
  <conditionalFormatting sqref="AD31">
    <cfRule type="cellIs" dxfId="12903" priority="139200" stopIfTrue="1" operator="lessThan">
      <formula>0.5</formula>
    </cfRule>
  </conditionalFormatting>
  <conditionalFormatting sqref="AD31">
    <cfRule type="cellIs" dxfId="12902" priority="139201" stopIfTrue="1" operator="greaterThanOrEqual">
      <formula>0.5</formula>
    </cfRule>
  </conditionalFormatting>
  <conditionalFormatting sqref="AD32">
    <cfRule type="cellIs" dxfId="12901" priority="139202" stopIfTrue="1" operator="equal">
      <formula>-1</formula>
    </cfRule>
  </conditionalFormatting>
  <conditionalFormatting sqref="AD32">
    <cfRule type="cellIs" dxfId="12900" priority="139203" stopIfTrue="1" operator="lessThan">
      <formula>0.5</formula>
    </cfRule>
  </conditionalFormatting>
  <conditionalFormatting sqref="AD32">
    <cfRule type="cellIs" dxfId="12899" priority="139204" stopIfTrue="1" operator="greaterThanOrEqual">
      <formula>0.5</formula>
    </cfRule>
  </conditionalFormatting>
  <conditionalFormatting sqref="AD33">
    <cfRule type="cellIs" dxfId="12898" priority="139205" stopIfTrue="1" operator="equal">
      <formula>-1</formula>
    </cfRule>
  </conditionalFormatting>
  <conditionalFormatting sqref="AD33">
    <cfRule type="cellIs" dxfId="12897" priority="139206" stopIfTrue="1" operator="lessThan">
      <formula>0.5</formula>
    </cfRule>
  </conditionalFormatting>
  <conditionalFormatting sqref="AD33">
    <cfRule type="cellIs" dxfId="12896" priority="139207" stopIfTrue="1" operator="greaterThanOrEqual">
      <formula>0.5</formula>
    </cfRule>
  </conditionalFormatting>
  <conditionalFormatting sqref="AD34">
    <cfRule type="cellIs" dxfId="12895" priority="139208" stopIfTrue="1" operator="equal">
      <formula>-1</formula>
    </cfRule>
  </conditionalFormatting>
  <conditionalFormatting sqref="AD34">
    <cfRule type="cellIs" dxfId="12894" priority="139209" stopIfTrue="1" operator="lessThan">
      <formula>0.5</formula>
    </cfRule>
  </conditionalFormatting>
  <conditionalFormatting sqref="AD34">
    <cfRule type="cellIs" dxfId="12893" priority="139210" stopIfTrue="1" operator="greaterThanOrEqual">
      <formula>0.5</formula>
    </cfRule>
  </conditionalFormatting>
  <conditionalFormatting sqref="AD35">
    <cfRule type="cellIs" dxfId="12892" priority="139211" stopIfTrue="1" operator="equal">
      <formula>-1</formula>
    </cfRule>
  </conditionalFormatting>
  <conditionalFormatting sqref="AD35">
    <cfRule type="cellIs" dxfId="12891" priority="139212" stopIfTrue="1" operator="lessThan">
      <formula>0.5</formula>
    </cfRule>
  </conditionalFormatting>
  <conditionalFormatting sqref="AD35">
    <cfRule type="cellIs" dxfId="12890" priority="139213" stopIfTrue="1" operator="greaterThanOrEqual">
      <formula>0.5</formula>
    </cfRule>
  </conditionalFormatting>
  <conditionalFormatting sqref="AD36">
    <cfRule type="cellIs" dxfId="12889" priority="139214" stopIfTrue="1" operator="equal">
      <formula>-1</formula>
    </cfRule>
  </conditionalFormatting>
  <conditionalFormatting sqref="AD36">
    <cfRule type="cellIs" dxfId="12888" priority="139215" stopIfTrue="1" operator="lessThan">
      <formula>0.5</formula>
    </cfRule>
  </conditionalFormatting>
  <conditionalFormatting sqref="AD36">
    <cfRule type="cellIs" dxfId="12887" priority="139216" stopIfTrue="1" operator="greaterThanOrEqual">
      <formula>0.5</formula>
    </cfRule>
  </conditionalFormatting>
  <conditionalFormatting sqref="AD37">
    <cfRule type="cellIs" dxfId="12886" priority="139217" stopIfTrue="1" operator="equal">
      <formula>-1</formula>
    </cfRule>
  </conditionalFormatting>
  <conditionalFormatting sqref="AD37">
    <cfRule type="cellIs" dxfId="12885" priority="139218" stopIfTrue="1" operator="lessThan">
      <formula>0.5</formula>
    </cfRule>
  </conditionalFormatting>
  <conditionalFormatting sqref="AD37">
    <cfRule type="cellIs" dxfId="12884" priority="139219" stopIfTrue="1" operator="greaterThanOrEqual">
      <formula>0.5</formula>
    </cfRule>
  </conditionalFormatting>
  <conditionalFormatting sqref="AF17">
    <cfRule type="cellIs" dxfId="12883" priority="139220" stopIfTrue="1" operator="equal">
      <formula>-1</formula>
    </cfRule>
  </conditionalFormatting>
  <conditionalFormatting sqref="AF17">
    <cfRule type="cellIs" dxfId="12882" priority="139221" stopIfTrue="1" operator="lessThan">
      <formula>0.5</formula>
    </cfRule>
  </conditionalFormatting>
  <conditionalFormatting sqref="AF17">
    <cfRule type="cellIs" dxfId="12881" priority="139222" stopIfTrue="1" operator="greaterThanOrEqual">
      <formula>0.5</formula>
    </cfRule>
  </conditionalFormatting>
  <conditionalFormatting sqref="AF18">
    <cfRule type="cellIs" dxfId="12880" priority="139223" stopIfTrue="1" operator="equal">
      <formula>-1</formula>
    </cfRule>
  </conditionalFormatting>
  <conditionalFormatting sqref="AF18">
    <cfRule type="cellIs" dxfId="12879" priority="139224" stopIfTrue="1" operator="lessThan">
      <formula>0.5</formula>
    </cfRule>
  </conditionalFormatting>
  <conditionalFormatting sqref="AF18">
    <cfRule type="cellIs" dxfId="12878" priority="139225" stopIfTrue="1" operator="greaterThanOrEqual">
      <formula>0.5</formula>
    </cfRule>
  </conditionalFormatting>
  <conditionalFormatting sqref="AF19">
    <cfRule type="cellIs" dxfId="12877" priority="139226" stopIfTrue="1" operator="equal">
      <formula>-1</formula>
    </cfRule>
  </conditionalFormatting>
  <conditionalFormatting sqref="AF19">
    <cfRule type="cellIs" dxfId="12876" priority="139227" stopIfTrue="1" operator="lessThan">
      <formula>0.5</formula>
    </cfRule>
  </conditionalFormatting>
  <conditionalFormatting sqref="AF19">
    <cfRule type="cellIs" dxfId="12875" priority="139228" stopIfTrue="1" operator="greaterThanOrEqual">
      <formula>0.5</formula>
    </cfRule>
  </conditionalFormatting>
  <conditionalFormatting sqref="AF20">
    <cfRule type="cellIs" dxfId="12874" priority="139229" stopIfTrue="1" operator="equal">
      <formula>-1</formula>
    </cfRule>
  </conditionalFormatting>
  <conditionalFormatting sqref="AF20">
    <cfRule type="cellIs" dxfId="12873" priority="139230" stopIfTrue="1" operator="lessThan">
      <formula>0.5</formula>
    </cfRule>
  </conditionalFormatting>
  <conditionalFormatting sqref="AF20">
    <cfRule type="cellIs" dxfId="12872" priority="139231" stopIfTrue="1" operator="greaterThanOrEqual">
      <formula>0.5</formula>
    </cfRule>
  </conditionalFormatting>
  <conditionalFormatting sqref="AF21">
    <cfRule type="cellIs" dxfId="12871" priority="139232" stopIfTrue="1" operator="equal">
      <formula>-1</formula>
    </cfRule>
  </conditionalFormatting>
  <conditionalFormatting sqref="AF21">
    <cfRule type="cellIs" dxfId="12870" priority="139233" stopIfTrue="1" operator="lessThan">
      <formula>0.5</formula>
    </cfRule>
  </conditionalFormatting>
  <conditionalFormatting sqref="AF21">
    <cfRule type="cellIs" dxfId="12869" priority="139234" stopIfTrue="1" operator="greaterThanOrEqual">
      <formula>0.5</formula>
    </cfRule>
  </conditionalFormatting>
  <conditionalFormatting sqref="AF22">
    <cfRule type="cellIs" dxfId="12868" priority="139235" stopIfTrue="1" operator="equal">
      <formula>-1</formula>
    </cfRule>
  </conditionalFormatting>
  <conditionalFormatting sqref="AF22">
    <cfRule type="cellIs" dxfId="12867" priority="139236" stopIfTrue="1" operator="lessThan">
      <formula>0.5</formula>
    </cfRule>
  </conditionalFormatting>
  <conditionalFormatting sqref="AF22">
    <cfRule type="cellIs" dxfId="12866" priority="139237" stopIfTrue="1" operator="greaterThanOrEqual">
      <formula>0.5</formula>
    </cfRule>
  </conditionalFormatting>
  <conditionalFormatting sqref="AF23">
    <cfRule type="cellIs" dxfId="12865" priority="139238" stopIfTrue="1" operator="equal">
      <formula>-1</formula>
    </cfRule>
  </conditionalFormatting>
  <conditionalFormatting sqref="AF23">
    <cfRule type="cellIs" dxfId="12864" priority="139239" stopIfTrue="1" operator="lessThan">
      <formula>0.5</formula>
    </cfRule>
  </conditionalFormatting>
  <conditionalFormatting sqref="AF23">
    <cfRule type="cellIs" dxfId="12863" priority="139240" stopIfTrue="1" operator="greaterThanOrEqual">
      <formula>0.5</formula>
    </cfRule>
  </conditionalFormatting>
  <conditionalFormatting sqref="AF24">
    <cfRule type="cellIs" dxfId="12862" priority="139241" stopIfTrue="1" operator="equal">
      <formula>-1</formula>
    </cfRule>
  </conditionalFormatting>
  <conditionalFormatting sqref="AF24">
    <cfRule type="cellIs" dxfId="12861" priority="139242" stopIfTrue="1" operator="lessThan">
      <formula>0.5</formula>
    </cfRule>
  </conditionalFormatting>
  <conditionalFormatting sqref="AF24">
    <cfRule type="cellIs" dxfId="12860" priority="139243" stopIfTrue="1" operator="greaterThanOrEqual">
      <formula>0.5</formula>
    </cfRule>
  </conditionalFormatting>
  <conditionalFormatting sqref="AF25">
    <cfRule type="cellIs" dxfId="12859" priority="139244" stopIfTrue="1" operator="equal">
      <formula>-1</formula>
    </cfRule>
  </conditionalFormatting>
  <conditionalFormatting sqref="AF25">
    <cfRule type="cellIs" dxfId="12858" priority="139245" stopIfTrue="1" operator="lessThan">
      <formula>0.5</formula>
    </cfRule>
  </conditionalFormatting>
  <conditionalFormatting sqref="AF25">
    <cfRule type="cellIs" dxfId="12857" priority="139246" stopIfTrue="1" operator="greaterThanOrEqual">
      <formula>0.5</formula>
    </cfRule>
  </conditionalFormatting>
  <conditionalFormatting sqref="AF26">
    <cfRule type="cellIs" dxfId="12856" priority="139247" stopIfTrue="1" operator="equal">
      <formula>-1</formula>
    </cfRule>
  </conditionalFormatting>
  <conditionalFormatting sqref="AF26">
    <cfRule type="cellIs" dxfId="12855" priority="139248" stopIfTrue="1" operator="lessThan">
      <formula>0.5</formula>
    </cfRule>
  </conditionalFormatting>
  <conditionalFormatting sqref="AF26">
    <cfRule type="cellIs" dxfId="12854" priority="139249" stopIfTrue="1" operator="greaterThanOrEqual">
      <formula>0.5</formula>
    </cfRule>
  </conditionalFormatting>
  <conditionalFormatting sqref="AF27">
    <cfRule type="cellIs" dxfId="12853" priority="139250" stopIfTrue="1" operator="equal">
      <formula>-1</formula>
    </cfRule>
  </conditionalFormatting>
  <conditionalFormatting sqref="AF27">
    <cfRule type="cellIs" dxfId="12852" priority="139251" stopIfTrue="1" operator="lessThan">
      <formula>0.5</formula>
    </cfRule>
  </conditionalFormatting>
  <conditionalFormatting sqref="AF27">
    <cfRule type="cellIs" dxfId="12851" priority="139252" stopIfTrue="1" operator="greaterThanOrEqual">
      <formula>0.5</formula>
    </cfRule>
  </conditionalFormatting>
  <conditionalFormatting sqref="AF28">
    <cfRule type="cellIs" dxfId="12850" priority="139253" stopIfTrue="1" operator="equal">
      <formula>-1</formula>
    </cfRule>
  </conditionalFormatting>
  <conditionalFormatting sqref="AF28">
    <cfRule type="cellIs" dxfId="12849" priority="139254" stopIfTrue="1" operator="lessThan">
      <formula>0.5</formula>
    </cfRule>
  </conditionalFormatting>
  <conditionalFormatting sqref="AF28">
    <cfRule type="cellIs" dxfId="12848" priority="139255" stopIfTrue="1" operator="greaterThanOrEqual">
      <formula>0.5</formula>
    </cfRule>
  </conditionalFormatting>
  <conditionalFormatting sqref="AF29">
    <cfRule type="cellIs" dxfId="12847" priority="139256" stopIfTrue="1" operator="equal">
      <formula>-1</formula>
    </cfRule>
  </conditionalFormatting>
  <conditionalFormatting sqref="AF29">
    <cfRule type="cellIs" dxfId="12846" priority="139257" stopIfTrue="1" operator="lessThan">
      <formula>0.5</formula>
    </cfRule>
  </conditionalFormatting>
  <conditionalFormatting sqref="AF29">
    <cfRule type="cellIs" dxfId="12845" priority="139258" stopIfTrue="1" operator="greaterThanOrEqual">
      <formula>0.5</formula>
    </cfRule>
  </conditionalFormatting>
  <conditionalFormatting sqref="AF30">
    <cfRule type="cellIs" dxfId="12844" priority="139259" stopIfTrue="1" operator="equal">
      <formula>-1</formula>
    </cfRule>
  </conditionalFormatting>
  <conditionalFormatting sqref="AF30">
    <cfRule type="cellIs" dxfId="12843" priority="139260" stopIfTrue="1" operator="lessThan">
      <formula>0.5</formula>
    </cfRule>
  </conditionalFormatting>
  <conditionalFormatting sqref="AF30">
    <cfRule type="cellIs" dxfId="12842" priority="139261" stopIfTrue="1" operator="greaterThanOrEqual">
      <formula>0.5</formula>
    </cfRule>
  </conditionalFormatting>
  <conditionalFormatting sqref="AF31">
    <cfRule type="cellIs" dxfId="12841" priority="139262" stopIfTrue="1" operator="equal">
      <formula>-1</formula>
    </cfRule>
  </conditionalFormatting>
  <conditionalFormatting sqref="AF31">
    <cfRule type="cellIs" dxfId="12840" priority="139263" stopIfTrue="1" operator="lessThan">
      <formula>0.5</formula>
    </cfRule>
  </conditionalFormatting>
  <conditionalFormatting sqref="AF31">
    <cfRule type="cellIs" dxfId="12839" priority="139264" stopIfTrue="1" operator="greaterThanOrEqual">
      <formula>0.5</formula>
    </cfRule>
  </conditionalFormatting>
  <conditionalFormatting sqref="AF32">
    <cfRule type="cellIs" dxfId="12838" priority="139265" stopIfTrue="1" operator="equal">
      <formula>-1</formula>
    </cfRule>
  </conditionalFormatting>
  <conditionalFormatting sqref="AF32">
    <cfRule type="cellIs" dxfId="12837" priority="139266" stopIfTrue="1" operator="lessThan">
      <formula>0.5</formula>
    </cfRule>
  </conditionalFormatting>
  <conditionalFormatting sqref="AF32">
    <cfRule type="cellIs" dxfId="12836" priority="139267" stopIfTrue="1" operator="greaterThanOrEqual">
      <formula>0.5</formula>
    </cfRule>
  </conditionalFormatting>
  <conditionalFormatting sqref="AF33">
    <cfRule type="cellIs" dxfId="12835" priority="139268" stopIfTrue="1" operator="equal">
      <formula>-1</formula>
    </cfRule>
  </conditionalFormatting>
  <conditionalFormatting sqref="AF33">
    <cfRule type="cellIs" dxfId="12834" priority="139269" stopIfTrue="1" operator="lessThan">
      <formula>0.5</formula>
    </cfRule>
  </conditionalFormatting>
  <conditionalFormatting sqref="AF33">
    <cfRule type="cellIs" dxfId="12833" priority="139270" stopIfTrue="1" operator="greaterThanOrEqual">
      <formula>0.5</formula>
    </cfRule>
  </conditionalFormatting>
  <conditionalFormatting sqref="AF34">
    <cfRule type="cellIs" dxfId="12832" priority="139271" stopIfTrue="1" operator="equal">
      <formula>-1</formula>
    </cfRule>
  </conditionalFormatting>
  <conditionalFormatting sqref="AF34">
    <cfRule type="cellIs" dxfId="12831" priority="139272" stopIfTrue="1" operator="lessThan">
      <formula>0.5</formula>
    </cfRule>
  </conditionalFormatting>
  <conditionalFormatting sqref="AF34">
    <cfRule type="cellIs" dxfId="12830" priority="139273" stopIfTrue="1" operator="greaterThanOrEqual">
      <formula>0.5</formula>
    </cfRule>
  </conditionalFormatting>
  <conditionalFormatting sqref="AF35">
    <cfRule type="cellIs" dxfId="12829" priority="139274" stopIfTrue="1" operator="equal">
      <formula>-1</formula>
    </cfRule>
  </conditionalFormatting>
  <conditionalFormatting sqref="AF35">
    <cfRule type="cellIs" dxfId="12828" priority="139275" stopIfTrue="1" operator="lessThan">
      <formula>0.5</formula>
    </cfRule>
  </conditionalFormatting>
  <conditionalFormatting sqref="AF35">
    <cfRule type="cellIs" dxfId="12827" priority="139276" stopIfTrue="1" operator="greaterThanOrEqual">
      <formula>0.5</formula>
    </cfRule>
  </conditionalFormatting>
  <conditionalFormatting sqref="AF36">
    <cfRule type="cellIs" dxfId="12826" priority="139277" stopIfTrue="1" operator="equal">
      <formula>-1</formula>
    </cfRule>
  </conditionalFormatting>
  <conditionalFormatting sqref="AF36">
    <cfRule type="cellIs" dxfId="12825" priority="139278" stopIfTrue="1" operator="lessThan">
      <formula>0.5</formula>
    </cfRule>
  </conditionalFormatting>
  <conditionalFormatting sqref="AF36">
    <cfRule type="cellIs" dxfId="12824" priority="139279" stopIfTrue="1" operator="greaterThanOrEqual">
      <formula>0.5</formula>
    </cfRule>
  </conditionalFormatting>
  <conditionalFormatting sqref="AF37">
    <cfRule type="cellIs" dxfId="12823" priority="139280" stopIfTrue="1" operator="equal">
      <formula>-1</formula>
    </cfRule>
  </conditionalFormatting>
  <conditionalFormatting sqref="AF37">
    <cfRule type="cellIs" dxfId="12822" priority="139281" stopIfTrue="1" operator="lessThan">
      <formula>0.5</formula>
    </cfRule>
  </conditionalFormatting>
  <conditionalFormatting sqref="AF37">
    <cfRule type="cellIs" dxfId="12821" priority="139282" stopIfTrue="1" operator="greaterThanOrEqual">
      <formula>0.5</formula>
    </cfRule>
  </conditionalFormatting>
  <conditionalFormatting sqref="AH17">
    <cfRule type="cellIs" dxfId="12820" priority="139283" stopIfTrue="1" operator="equal">
      <formula>-1</formula>
    </cfRule>
  </conditionalFormatting>
  <conditionalFormatting sqref="AH17">
    <cfRule type="cellIs" dxfId="12819" priority="139284" stopIfTrue="1" operator="lessThan">
      <formula>0.5</formula>
    </cfRule>
  </conditionalFormatting>
  <conditionalFormatting sqref="AH17">
    <cfRule type="cellIs" dxfId="12818" priority="139285" stopIfTrue="1" operator="greaterThanOrEqual">
      <formula>0.5</formula>
    </cfRule>
  </conditionalFormatting>
  <conditionalFormatting sqref="AH18">
    <cfRule type="cellIs" dxfId="12817" priority="139286" stopIfTrue="1" operator="equal">
      <formula>-1</formula>
    </cfRule>
  </conditionalFormatting>
  <conditionalFormatting sqref="AH18">
    <cfRule type="cellIs" dxfId="12816" priority="139287" stopIfTrue="1" operator="lessThan">
      <formula>0.5</formula>
    </cfRule>
  </conditionalFormatting>
  <conditionalFormatting sqref="AH18">
    <cfRule type="cellIs" dxfId="12815" priority="139288" stopIfTrue="1" operator="greaterThanOrEqual">
      <formula>0.5</formula>
    </cfRule>
  </conditionalFormatting>
  <conditionalFormatting sqref="AH19">
    <cfRule type="cellIs" dxfId="12814" priority="139289" stopIfTrue="1" operator="equal">
      <formula>-1</formula>
    </cfRule>
  </conditionalFormatting>
  <conditionalFormatting sqref="AH19">
    <cfRule type="cellIs" dxfId="12813" priority="139290" stopIfTrue="1" operator="lessThan">
      <formula>0.5</formula>
    </cfRule>
  </conditionalFormatting>
  <conditionalFormatting sqref="AH19">
    <cfRule type="cellIs" dxfId="12812" priority="139291" stopIfTrue="1" operator="greaterThanOrEqual">
      <formula>0.5</formula>
    </cfRule>
  </conditionalFormatting>
  <conditionalFormatting sqref="AH20">
    <cfRule type="cellIs" dxfId="12811" priority="139292" stopIfTrue="1" operator="equal">
      <formula>-1</formula>
    </cfRule>
  </conditionalFormatting>
  <conditionalFormatting sqref="AH20">
    <cfRule type="cellIs" dxfId="12810" priority="139293" stopIfTrue="1" operator="lessThan">
      <formula>0.5</formula>
    </cfRule>
  </conditionalFormatting>
  <conditionalFormatting sqref="AH20">
    <cfRule type="cellIs" dxfId="12809" priority="139294" stopIfTrue="1" operator="greaterThanOrEqual">
      <formula>0.5</formula>
    </cfRule>
  </conditionalFormatting>
  <conditionalFormatting sqref="AH21">
    <cfRule type="cellIs" dxfId="12808" priority="139295" stopIfTrue="1" operator="equal">
      <formula>-1</formula>
    </cfRule>
  </conditionalFormatting>
  <conditionalFormatting sqref="AH21">
    <cfRule type="cellIs" dxfId="12807" priority="139296" stopIfTrue="1" operator="lessThan">
      <formula>0.5</formula>
    </cfRule>
  </conditionalFormatting>
  <conditionalFormatting sqref="AH21">
    <cfRule type="cellIs" dxfId="12806" priority="139297" stopIfTrue="1" operator="greaterThanOrEqual">
      <formula>0.5</formula>
    </cfRule>
  </conditionalFormatting>
  <conditionalFormatting sqref="AH22">
    <cfRule type="cellIs" dxfId="12805" priority="139298" stopIfTrue="1" operator="equal">
      <formula>-1</formula>
    </cfRule>
  </conditionalFormatting>
  <conditionalFormatting sqref="AH22">
    <cfRule type="cellIs" dxfId="12804" priority="139299" stopIfTrue="1" operator="lessThan">
      <formula>0.5</formula>
    </cfRule>
  </conditionalFormatting>
  <conditionalFormatting sqref="AH22">
    <cfRule type="cellIs" dxfId="12803" priority="139300" stopIfTrue="1" operator="greaterThanOrEqual">
      <formula>0.5</formula>
    </cfRule>
  </conditionalFormatting>
  <conditionalFormatting sqref="AH23">
    <cfRule type="cellIs" dxfId="12802" priority="139301" stopIfTrue="1" operator="equal">
      <formula>-1</formula>
    </cfRule>
  </conditionalFormatting>
  <conditionalFormatting sqref="AH23">
    <cfRule type="cellIs" dxfId="12801" priority="139302" stopIfTrue="1" operator="lessThan">
      <formula>0.5</formula>
    </cfRule>
  </conditionalFormatting>
  <conditionalFormatting sqref="AH23">
    <cfRule type="cellIs" dxfId="12800" priority="139303" stopIfTrue="1" operator="greaterThanOrEqual">
      <formula>0.5</formula>
    </cfRule>
  </conditionalFormatting>
  <conditionalFormatting sqref="AH24">
    <cfRule type="cellIs" dxfId="12799" priority="139304" stopIfTrue="1" operator="equal">
      <formula>-1</formula>
    </cfRule>
  </conditionalFormatting>
  <conditionalFormatting sqref="AH24">
    <cfRule type="cellIs" dxfId="12798" priority="139305" stopIfTrue="1" operator="lessThan">
      <formula>0.5</formula>
    </cfRule>
  </conditionalFormatting>
  <conditionalFormatting sqref="AH24">
    <cfRule type="cellIs" dxfId="12797" priority="139306" stopIfTrue="1" operator="greaterThanOrEqual">
      <formula>0.5</formula>
    </cfRule>
  </conditionalFormatting>
  <conditionalFormatting sqref="AH25">
    <cfRule type="cellIs" dxfId="12796" priority="139307" stopIfTrue="1" operator="equal">
      <formula>-1</formula>
    </cfRule>
  </conditionalFormatting>
  <conditionalFormatting sqref="AH25">
    <cfRule type="cellIs" dxfId="12795" priority="139308" stopIfTrue="1" operator="lessThan">
      <formula>0.5</formula>
    </cfRule>
  </conditionalFormatting>
  <conditionalFormatting sqref="AH25">
    <cfRule type="cellIs" dxfId="12794" priority="139309" stopIfTrue="1" operator="greaterThanOrEqual">
      <formula>0.5</formula>
    </cfRule>
  </conditionalFormatting>
  <conditionalFormatting sqref="AH26">
    <cfRule type="cellIs" dxfId="12793" priority="139310" stopIfTrue="1" operator="equal">
      <formula>-1</formula>
    </cfRule>
  </conditionalFormatting>
  <conditionalFormatting sqref="AH26">
    <cfRule type="cellIs" dxfId="12792" priority="139311" stopIfTrue="1" operator="lessThan">
      <formula>0.5</formula>
    </cfRule>
  </conditionalFormatting>
  <conditionalFormatting sqref="AH26">
    <cfRule type="cellIs" dxfId="12791" priority="139312" stopIfTrue="1" operator="greaterThanOrEqual">
      <formula>0.5</formula>
    </cfRule>
  </conditionalFormatting>
  <conditionalFormatting sqref="AH27">
    <cfRule type="cellIs" dxfId="12790" priority="139313" stopIfTrue="1" operator="equal">
      <formula>-1</formula>
    </cfRule>
  </conditionalFormatting>
  <conditionalFormatting sqref="AH27">
    <cfRule type="cellIs" dxfId="12789" priority="139314" stopIfTrue="1" operator="lessThan">
      <formula>0.5</formula>
    </cfRule>
  </conditionalFormatting>
  <conditionalFormatting sqref="AH27">
    <cfRule type="cellIs" dxfId="12788" priority="139315" stopIfTrue="1" operator="greaterThanOrEqual">
      <formula>0.5</formula>
    </cfRule>
  </conditionalFormatting>
  <conditionalFormatting sqref="AH28">
    <cfRule type="cellIs" dxfId="12787" priority="139316" stopIfTrue="1" operator="equal">
      <formula>-1</formula>
    </cfRule>
  </conditionalFormatting>
  <conditionalFormatting sqref="AH28">
    <cfRule type="cellIs" dxfId="12786" priority="139317" stopIfTrue="1" operator="lessThan">
      <formula>0.5</formula>
    </cfRule>
  </conditionalFormatting>
  <conditionalFormatting sqref="AH28">
    <cfRule type="cellIs" dxfId="12785" priority="139318" stopIfTrue="1" operator="greaterThanOrEqual">
      <formula>0.5</formula>
    </cfRule>
  </conditionalFormatting>
  <conditionalFormatting sqref="AH29">
    <cfRule type="cellIs" dxfId="12784" priority="139319" stopIfTrue="1" operator="equal">
      <formula>-1</formula>
    </cfRule>
  </conditionalFormatting>
  <conditionalFormatting sqref="AH29">
    <cfRule type="cellIs" dxfId="12783" priority="139320" stopIfTrue="1" operator="lessThan">
      <formula>0.5</formula>
    </cfRule>
  </conditionalFormatting>
  <conditionalFormatting sqref="AH29">
    <cfRule type="cellIs" dxfId="12782" priority="139321" stopIfTrue="1" operator="greaterThanOrEqual">
      <formula>0.5</formula>
    </cfRule>
  </conditionalFormatting>
  <conditionalFormatting sqref="AH30">
    <cfRule type="cellIs" dxfId="12781" priority="139322" stopIfTrue="1" operator="equal">
      <formula>-1</formula>
    </cfRule>
  </conditionalFormatting>
  <conditionalFormatting sqref="AH30">
    <cfRule type="cellIs" dxfId="12780" priority="139323" stopIfTrue="1" operator="lessThan">
      <formula>0.5</formula>
    </cfRule>
  </conditionalFormatting>
  <conditionalFormatting sqref="AH30">
    <cfRule type="cellIs" dxfId="12779" priority="139324" stopIfTrue="1" operator="greaterThanOrEqual">
      <formula>0.5</formula>
    </cfRule>
  </conditionalFormatting>
  <conditionalFormatting sqref="AH31">
    <cfRule type="cellIs" dxfId="12778" priority="139325" stopIfTrue="1" operator="equal">
      <formula>-1</formula>
    </cfRule>
  </conditionalFormatting>
  <conditionalFormatting sqref="AH31">
    <cfRule type="cellIs" dxfId="12777" priority="139326" stopIfTrue="1" operator="lessThan">
      <formula>0.5</formula>
    </cfRule>
  </conditionalFormatting>
  <conditionalFormatting sqref="AH31">
    <cfRule type="cellIs" dxfId="12776" priority="139327" stopIfTrue="1" operator="greaterThanOrEqual">
      <formula>0.5</formula>
    </cfRule>
  </conditionalFormatting>
  <conditionalFormatting sqref="AH32">
    <cfRule type="cellIs" dxfId="12775" priority="139328" stopIfTrue="1" operator="equal">
      <formula>-1</formula>
    </cfRule>
  </conditionalFormatting>
  <conditionalFormatting sqref="AH32">
    <cfRule type="cellIs" dxfId="12774" priority="139329" stopIfTrue="1" operator="lessThan">
      <formula>0.5</formula>
    </cfRule>
  </conditionalFormatting>
  <conditionalFormatting sqref="AH32">
    <cfRule type="cellIs" dxfId="12773" priority="139330" stopIfTrue="1" operator="greaterThanOrEqual">
      <formula>0.5</formula>
    </cfRule>
  </conditionalFormatting>
  <conditionalFormatting sqref="AH33">
    <cfRule type="cellIs" dxfId="12772" priority="139331" stopIfTrue="1" operator="equal">
      <formula>-1</formula>
    </cfRule>
  </conditionalFormatting>
  <conditionalFormatting sqref="AH33">
    <cfRule type="cellIs" dxfId="12771" priority="139332" stopIfTrue="1" operator="lessThan">
      <formula>0.5</formula>
    </cfRule>
  </conditionalFormatting>
  <conditionalFormatting sqref="AH33">
    <cfRule type="cellIs" dxfId="12770" priority="139333" stopIfTrue="1" operator="greaterThanOrEqual">
      <formula>0.5</formula>
    </cfRule>
  </conditionalFormatting>
  <conditionalFormatting sqref="AH34">
    <cfRule type="cellIs" dxfId="12769" priority="139334" stopIfTrue="1" operator="equal">
      <formula>-1</formula>
    </cfRule>
  </conditionalFormatting>
  <conditionalFormatting sqref="AH34">
    <cfRule type="cellIs" dxfId="12768" priority="139335" stopIfTrue="1" operator="lessThan">
      <formula>0.5</formula>
    </cfRule>
  </conditionalFormatting>
  <conditionalFormatting sqref="AH34">
    <cfRule type="cellIs" dxfId="12767" priority="139336" stopIfTrue="1" operator="greaterThanOrEqual">
      <formula>0.5</formula>
    </cfRule>
  </conditionalFormatting>
  <conditionalFormatting sqref="AH35">
    <cfRule type="cellIs" dxfId="12766" priority="139337" stopIfTrue="1" operator="equal">
      <formula>-1</formula>
    </cfRule>
  </conditionalFormatting>
  <conditionalFormatting sqref="AH35">
    <cfRule type="cellIs" dxfId="12765" priority="139338" stopIfTrue="1" operator="lessThan">
      <formula>0.5</formula>
    </cfRule>
  </conditionalFormatting>
  <conditionalFormatting sqref="AH35">
    <cfRule type="cellIs" dxfId="12764" priority="139339" stopIfTrue="1" operator="greaterThanOrEqual">
      <formula>0.5</formula>
    </cfRule>
  </conditionalFormatting>
  <conditionalFormatting sqref="AH36">
    <cfRule type="cellIs" dxfId="12763" priority="139340" stopIfTrue="1" operator="equal">
      <formula>-1</formula>
    </cfRule>
  </conditionalFormatting>
  <conditionalFormatting sqref="AH36">
    <cfRule type="cellIs" dxfId="12762" priority="139341" stopIfTrue="1" operator="lessThan">
      <formula>0.5</formula>
    </cfRule>
  </conditionalFormatting>
  <conditionalFormatting sqref="AH36">
    <cfRule type="cellIs" dxfId="12761" priority="139342" stopIfTrue="1" operator="greaterThanOrEqual">
      <formula>0.5</formula>
    </cfRule>
  </conditionalFormatting>
  <conditionalFormatting sqref="AH37">
    <cfRule type="cellIs" dxfId="12760" priority="139343" stopIfTrue="1" operator="equal">
      <formula>-1</formula>
    </cfRule>
  </conditionalFormatting>
  <conditionalFormatting sqref="AH37">
    <cfRule type="cellIs" dxfId="12759" priority="139344" stopIfTrue="1" operator="lessThan">
      <formula>0.5</formula>
    </cfRule>
  </conditionalFormatting>
  <conditionalFormatting sqref="AH37">
    <cfRule type="cellIs" dxfId="12758" priority="139345" stopIfTrue="1" operator="greaterThanOrEqual">
      <formula>0.5</formula>
    </cfRule>
  </conditionalFormatting>
  <conditionalFormatting sqref="AJ17">
    <cfRule type="cellIs" dxfId="12757" priority="139346" stopIfTrue="1" operator="equal">
      <formula>-1</formula>
    </cfRule>
  </conditionalFormatting>
  <conditionalFormatting sqref="AJ17">
    <cfRule type="cellIs" dxfId="12756" priority="139347" stopIfTrue="1" operator="lessThan">
      <formula>0.5</formula>
    </cfRule>
  </conditionalFormatting>
  <conditionalFormatting sqref="AJ17">
    <cfRule type="cellIs" dxfId="12755" priority="139348" stopIfTrue="1" operator="greaterThanOrEqual">
      <formula>0.5</formula>
    </cfRule>
  </conditionalFormatting>
  <conditionalFormatting sqref="AJ18">
    <cfRule type="cellIs" dxfId="12754" priority="139349" stopIfTrue="1" operator="equal">
      <formula>-1</formula>
    </cfRule>
  </conditionalFormatting>
  <conditionalFormatting sqref="AJ18">
    <cfRule type="cellIs" dxfId="12753" priority="139350" stopIfTrue="1" operator="lessThan">
      <formula>0.5</formula>
    </cfRule>
  </conditionalFormatting>
  <conditionalFormatting sqref="AJ18">
    <cfRule type="cellIs" dxfId="12752" priority="139351" stopIfTrue="1" operator="greaterThanOrEqual">
      <formula>0.5</formula>
    </cfRule>
  </conditionalFormatting>
  <conditionalFormatting sqref="AJ19">
    <cfRule type="cellIs" dxfId="12751" priority="139352" stopIfTrue="1" operator="equal">
      <formula>-1</formula>
    </cfRule>
  </conditionalFormatting>
  <conditionalFormatting sqref="AJ19">
    <cfRule type="cellIs" dxfId="12750" priority="139353" stopIfTrue="1" operator="lessThan">
      <formula>0.5</formula>
    </cfRule>
  </conditionalFormatting>
  <conditionalFormatting sqref="AJ19">
    <cfRule type="cellIs" dxfId="12749" priority="139354" stopIfTrue="1" operator="greaterThanOrEqual">
      <formula>0.5</formula>
    </cfRule>
  </conditionalFormatting>
  <conditionalFormatting sqref="AJ20">
    <cfRule type="cellIs" dxfId="12748" priority="139355" stopIfTrue="1" operator="equal">
      <formula>-1</formula>
    </cfRule>
  </conditionalFormatting>
  <conditionalFormatting sqref="AJ20">
    <cfRule type="cellIs" dxfId="12747" priority="139356" stopIfTrue="1" operator="lessThan">
      <formula>0.5</formula>
    </cfRule>
  </conditionalFormatting>
  <conditionalFormatting sqref="AJ20">
    <cfRule type="cellIs" dxfId="12746" priority="139357" stopIfTrue="1" operator="greaterThanOrEqual">
      <formula>0.5</formula>
    </cfRule>
  </conditionalFormatting>
  <conditionalFormatting sqref="AJ21">
    <cfRule type="cellIs" dxfId="12745" priority="139358" stopIfTrue="1" operator="equal">
      <formula>-1</formula>
    </cfRule>
  </conditionalFormatting>
  <conditionalFormatting sqref="AJ21">
    <cfRule type="cellIs" dxfId="12744" priority="139359" stopIfTrue="1" operator="lessThan">
      <formula>0.5</formula>
    </cfRule>
  </conditionalFormatting>
  <conditionalFormatting sqref="AJ21">
    <cfRule type="cellIs" dxfId="12743" priority="139360" stopIfTrue="1" operator="greaterThanOrEqual">
      <formula>0.5</formula>
    </cfRule>
  </conditionalFormatting>
  <conditionalFormatting sqref="AJ22">
    <cfRule type="cellIs" dxfId="12742" priority="139361" stopIfTrue="1" operator="equal">
      <formula>-1</formula>
    </cfRule>
  </conditionalFormatting>
  <conditionalFormatting sqref="AJ22">
    <cfRule type="cellIs" dxfId="12741" priority="139362" stopIfTrue="1" operator="lessThan">
      <formula>0.5</formula>
    </cfRule>
  </conditionalFormatting>
  <conditionalFormatting sqref="AJ22">
    <cfRule type="cellIs" dxfId="12740" priority="139363" stopIfTrue="1" operator="greaterThanOrEqual">
      <formula>0.5</formula>
    </cfRule>
  </conditionalFormatting>
  <conditionalFormatting sqref="AJ23">
    <cfRule type="cellIs" dxfId="12739" priority="139364" stopIfTrue="1" operator="equal">
      <formula>-1</formula>
    </cfRule>
  </conditionalFormatting>
  <conditionalFormatting sqref="AJ23">
    <cfRule type="cellIs" dxfId="12738" priority="139365" stopIfTrue="1" operator="lessThan">
      <formula>0.5</formula>
    </cfRule>
  </conditionalFormatting>
  <conditionalFormatting sqref="AJ23">
    <cfRule type="cellIs" dxfId="12737" priority="139366" stopIfTrue="1" operator="greaterThanOrEqual">
      <formula>0.5</formula>
    </cfRule>
  </conditionalFormatting>
  <conditionalFormatting sqref="AJ24">
    <cfRule type="cellIs" dxfId="12736" priority="139367" stopIfTrue="1" operator="equal">
      <formula>-1</formula>
    </cfRule>
  </conditionalFormatting>
  <conditionalFormatting sqref="AJ24">
    <cfRule type="cellIs" dxfId="12735" priority="139368" stopIfTrue="1" operator="lessThan">
      <formula>0.5</formula>
    </cfRule>
  </conditionalFormatting>
  <conditionalFormatting sqref="AJ24">
    <cfRule type="cellIs" dxfId="12734" priority="139369" stopIfTrue="1" operator="greaterThanOrEqual">
      <formula>0.5</formula>
    </cfRule>
  </conditionalFormatting>
  <conditionalFormatting sqref="AJ25">
    <cfRule type="cellIs" dxfId="12733" priority="139370" stopIfTrue="1" operator="equal">
      <formula>-1</formula>
    </cfRule>
  </conditionalFormatting>
  <conditionalFormatting sqref="AJ25">
    <cfRule type="cellIs" dxfId="12732" priority="139371" stopIfTrue="1" operator="lessThan">
      <formula>0.5</formula>
    </cfRule>
  </conditionalFormatting>
  <conditionalFormatting sqref="AJ25">
    <cfRule type="cellIs" dxfId="12731" priority="139372" stopIfTrue="1" operator="greaterThanOrEqual">
      <formula>0.5</formula>
    </cfRule>
  </conditionalFormatting>
  <conditionalFormatting sqref="AJ26">
    <cfRule type="cellIs" dxfId="12730" priority="139373" stopIfTrue="1" operator="equal">
      <formula>-1</formula>
    </cfRule>
  </conditionalFormatting>
  <conditionalFormatting sqref="AJ26">
    <cfRule type="cellIs" dxfId="12729" priority="139374" stopIfTrue="1" operator="lessThan">
      <formula>0.5</formula>
    </cfRule>
  </conditionalFormatting>
  <conditionalFormatting sqref="AJ26">
    <cfRule type="cellIs" dxfId="12728" priority="139375" stopIfTrue="1" operator="greaterThanOrEqual">
      <formula>0.5</formula>
    </cfRule>
  </conditionalFormatting>
  <conditionalFormatting sqref="AJ27">
    <cfRule type="cellIs" dxfId="12727" priority="139376" stopIfTrue="1" operator="equal">
      <formula>-1</formula>
    </cfRule>
  </conditionalFormatting>
  <conditionalFormatting sqref="AJ27">
    <cfRule type="cellIs" dxfId="12726" priority="139377" stopIfTrue="1" operator="lessThan">
      <formula>0.5</formula>
    </cfRule>
  </conditionalFormatting>
  <conditionalFormatting sqref="AJ27">
    <cfRule type="cellIs" dxfId="12725" priority="139378" stopIfTrue="1" operator="greaterThanOrEqual">
      <formula>0.5</formula>
    </cfRule>
  </conditionalFormatting>
  <conditionalFormatting sqref="AJ28">
    <cfRule type="cellIs" dxfId="12724" priority="139379" stopIfTrue="1" operator="equal">
      <formula>-1</formula>
    </cfRule>
  </conditionalFormatting>
  <conditionalFormatting sqref="AJ28">
    <cfRule type="cellIs" dxfId="12723" priority="139380" stopIfTrue="1" operator="lessThan">
      <formula>0.5</formula>
    </cfRule>
  </conditionalFormatting>
  <conditionalFormatting sqref="AJ28">
    <cfRule type="cellIs" dxfId="12722" priority="139381" stopIfTrue="1" operator="greaterThanOrEqual">
      <formula>0.5</formula>
    </cfRule>
  </conditionalFormatting>
  <conditionalFormatting sqref="AJ29">
    <cfRule type="cellIs" dxfId="12721" priority="139382" stopIfTrue="1" operator="equal">
      <formula>-1</formula>
    </cfRule>
  </conditionalFormatting>
  <conditionalFormatting sqref="AJ29">
    <cfRule type="cellIs" dxfId="12720" priority="139383" stopIfTrue="1" operator="lessThan">
      <formula>0.5</formula>
    </cfRule>
  </conditionalFormatting>
  <conditionalFormatting sqref="AJ29">
    <cfRule type="cellIs" dxfId="12719" priority="139384" stopIfTrue="1" operator="greaterThanOrEqual">
      <formula>0.5</formula>
    </cfRule>
  </conditionalFormatting>
  <conditionalFormatting sqref="AJ30">
    <cfRule type="cellIs" dxfId="12718" priority="139385" stopIfTrue="1" operator="equal">
      <formula>-1</formula>
    </cfRule>
  </conditionalFormatting>
  <conditionalFormatting sqref="AJ30">
    <cfRule type="cellIs" dxfId="12717" priority="139386" stopIfTrue="1" operator="lessThan">
      <formula>0.5</formula>
    </cfRule>
  </conditionalFormatting>
  <conditionalFormatting sqref="AJ30">
    <cfRule type="cellIs" dxfId="12716" priority="139387" stopIfTrue="1" operator="greaterThanOrEqual">
      <formula>0.5</formula>
    </cfRule>
  </conditionalFormatting>
  <conditionalFormatting sqref="AJ31">
    <cfRule type="cellIs" dxfId="12715" priority="139388" stopIfTrue="1" operator="equal">
      <formula>-1</formula>
    </cfRule>
  </conditionalFormatting>
  <conditionalFormatting sqref="AJ31">
    <cfRule type="cellIs" dxfId="12714" priority="139389" stopIfTrue="1" operator="lessThan">
      <formula>0.5</formula>
    </cfRule>
  </conditionalFormatting>
  <conditionalFormatting sqref="AJ31">
    <cfRule type="cellIs" dxfId="12713" priority="139390" stopIfTrue="1" operator="greaterThanOrEqual">
      <formula>0.5</formula>
    </cfRule>
  </conditionalFormatting>
  <conditionalFormatting sqref="AJ32">
    <cfRule type="cellIs" dxfId="12712" priority="139391" stopIfTrue="1" operator="equal">
      <formula>-1</formula>
    </cfRule>
  </conditionalFormatting>
  <conditionalFormatting sqref="AJ32">
    <cfRule type="cellIs" dxfId="12711" priority="139392" stopIfTrue="1" operator="lessThan">
      <formula>0.5</formula>
    </cfRule>
  </conditionalFormatting>
  <conditionalFormatting sqref="AJ32">
    <cfRule type="cellIs" dxfId="12710" priority="139393" stopIfTrue="1" operator="greaterThanOrEqual">
      <formula>0.5</formula>
    </cfRule>
  </conditionalFormatting>
  <conditionalFormatting sqref="AJ33">
    <cfRule type="cellIs" dxfId="12709" priority="139394" stopIfTrue="1" operator="equal">
      <formula>-1</formula>
    </cfRule>
  </conditionalFormatting>
  <conditionalFormatting sqref="AJ33">
    <cfRule type="cellIs" dxfId="12708" priority="139395" stopIfTrue="1" operator="lessThan">
      <formula>0.5</formula>
    </cfRule>
  </conditionalFormatting>
  <conditionalFormatting sqref="AJ33">
    <cfRule type="cellIs" dxfId="12707" priority="139396" stopIfTrue="1" operator="greaterThanOrEqual">
      <formula>0.5</formula>
    </cfRule>
  </conditionalFormatting>
  <conditionalFormatting sqref="AJ34">
    <cfRule type="cellIs" dxfId="12706" priority="139397" stopIfTrue="1" operator="equal">
      <formula>-1</formula>
    </cfRule>
  </conditionalFormatting>
  <conditionalFormatting sqref="AJ34">
    <cfRule type="cellIs" dxfId="12705" priority="139398" stopIfTrue="1" operator="lessThan">
      <formula>0.5</formula>
    </cfRule>
  </conditionalFormatting>
  <conditionalFormatting sqref="AJ34">
    <cfRule type="cellIs" dxfId="12704" priority="139399" stopIfTrue="1" operator="greaterThanOrEqual">
      <formula>0.5</formula>
    </cfRule>
  </conditionalFormatting>
  <conditionalFormatting sqref="AJ35">
    <cfRule type="cellIs" dxfId="12703" priority="139400" stopIfTrue="1" operator="equal">
      <formula>-1</formula>
    </cfRule>
  </conditionalFormatting>
  <conditionalFormatting sqref="AJ35">
    <cfRule type="cellIs" dxfId="12702" priority="139401" stopIfTrue="1" operator="lessThan">
      <formula>0.5</formula>
    </cfRule>
  </conditionalFormatting>
  <conditionalFormatting sqref="AJ35">
    <cfRule type="cellIs" dxfId="12701" priority="139402" stopIfTrue="1" operator="greaterThanOrEqual">
      <formula>0.5</formula>
    </cfRule>
  </conditionalFormatting>
  <conditionalFormatting sqref="AJ36">
    <cfRule type="cellIs" dxfId="12700" priority="139403" stopIfTrue="1" operator="equal">
      <formula>-1</formula>
    </cfRule>
  </conditionalFormatting>
  <conditionalFormatting sqref="AJ36">
    <cfRule type="cellIs" dxfId="12699" priority="139404" stopIfTrue="1" operator="lessThan">
      <formula>0.5</formula>
    </cfRule>
  </conditionalFormatting>
  <conditionalFormatting sqref="AJ36">
    <cfRule type="cellIs" dxfId="12698" priority="139405" stopIfTrue="1" operator="greaterThanOrEqual">
      <formula>0.5</formula>
    </cfRule>
  </conditionalFormatting>
  <conditionalFormatting sqref="AJ37">
    <cfRule type="cellIs" dxfId="12697" priority="139406" stopIfTrue="1" operator="equal">
      <formula>-1</formula>
    </cfRule>
  </conditionalFormatting>
  <conditionalFormatting sqref="AJ37">
    <cfRule type="cellIs" dxfId="12696" priority="139407" stopIfTrue="1" operator="lessThan">
      <formula>0.5</formula>
    </cfRule>
  </conditionalFormatting>
  <conditionalFormatting sqref="AJ37">
    <cfRule type="cellIs" dxfId="12695" priority="139408" stopIfTrue="1" operator="greaterThanOrEqual">
      <formula>0.5</formula>
    </cfRule>
  </conditionalFormatting>
  <conditionalFormatting sqref="AL17">
    <cfRule type="cellIs" dxfId="12694" priority="139409" stopIfTrue="1" operator="equal">
      <formula>-1</formula>
    </cfRule>
  </conditionalFormatting>
  <conditionalFormatting sqref="AL17">
    <cfRule type="cellIs" dxfId="12693" priority="139410" stopIfTrue="1" operator="lessThan">
      <formula>0.5</formula>
    </cfRule>
  </conditionalFormatting>
  <conditionalFormatting sqref="AL17">
    <cfRule type="cellIs" dxfId="12692" priority="139411" stopIfTrue="1" operator="greaterThanOrEqual">
      <formula>0.5</formula>
    </cfRule>
  </conditionalFormatting>
  <conditionalFormatting sqref="AL18">
    <cfRule type="cellIs" dxfId="12691" priority="139412" stopIfTrue="1" operator="equal">
      <formula>-1</formula>
    </cfRule>
  </conditionalFormatting>
  <conditionalFormatting sqref="AL18">
    <cfRule type="cellIs" dxfId="12690" priority="139413" stopIfTrue="1" operator="lessThan">
      <formula>0.5</formula>
    </cfRule>
  </conditionalFormatting>
  <conditionalFormatting sqref="AL18">
    <cfRule type="cellIs" dxfId="12689" priority="139414" stopIfTrue="1" operator="greaterThanOrEqual">
      <formula>0.5</formula>
    </cfRule>
  </conditionalFormatting>
  <conditionalFormatting sqref="AL19">
    <cfRule type="cellIs" dxfId="12688" priority="139415" stopIfTrue="1" operator="equal">
      <formula>-1</formula>
    </cfRule>
  </conditionalFormatting>
  <conditionalFormatting sqref="AL19">
    <cfRule type="cellIs" dxfId="12687" priority="139416" stopIfTrue="1" operator="lessThan">
      <formula>0.5</formula>
    </cfRule>
  </conditionalFormatting>
  <conditionalFormatting sqref="AL19">
    <cfRule type="cellIs" dxfId="12686" priority="139417" stopIfTrue="1" operator="greaterThanOrEqual">
      <formula>0.5</formula>
    </cfRule>
  </conditionalFormatting>
  <conditionalFormatting sqref="AL20">
    <cfRule type="cellIs" dxfId="12685" priority="139418" stopIfTrue="1" operator="equal">
      <formula>-1</formula>
    </cfRule>
  </conditionalFormatting>
  <conditionalFormatting sqref="AL20">
    <cfRule type="cellIs" dxfId="12684" priority="139419" stopIfTrue="1" operator="lessThan">
      <formula>0.5</formula>
    </cfRule>
  </conditionalFormatting>
  <conditionalFormatting sqref="AL20">
    <cfRule type="cellIs" dxfId="12683" priority="139420" stopIfTrue="1" operator="greaterThanOrEqual">
      <formula>0.5</formula>
    </cfRule>
  </conditionalFormatting>
  <conditionalFormatting sqref="AL21">
    <cfRule type="cellIs" dxfId="12682" priority="139421" stopIfTrue="1" operator="equal">
      <formula>-1</formula>
    </cfRule>
  </conditionalFormatting>
  <conditionalFormatting sqref="AL21">
    <cfRule type="cellIs" dxfId="12681" priority="139422" stopIfTrue="1" operator="lessThan">
      <formula>0.5</formula>
    </cfRule>
  </conditionalFormatting>
  <conditionalFormatting sqref="AL21">
    <cfRule type="cellIs" dxfId="12680" priority="139423" stopIfTrue="1" operator="greaterThanOrEqual">
      <formula>0.5</formula>
    </cfRule>
  </conditionalFormatting>
  <conditionalFormatting sqref="AL22">
    <cfRule type="cellIs" dxfId="12679" priority="139424" stopIfTrue="1" operator="equal">
      <formula>-1</formula>
    </cfRule>
  </conditionalFormatting>
  <conditionalFormatting sqref="AL22">
    <cfRule type="cellIs" dxfId="12678" priority="139425" stopIfTrue="1" operator="lessThan">
      <formula>0.5</formula>
    </cfRule>
  </conditionalFormatting>
  <conditionalFormatting sqref="AL22">
    <cfRule type="cellIs" dxfId="12677" priority="139426" stopIfTrue="1" operator="greaterThanOrEqual">
      <formula>0.5</formula>
    </cfRule>
  </conditionalFormatting>
  <conditionalFormatting sqref="AL23">
    <cfRule type="cellIs" dxfId="12676" priority="139427" stopIfTrue="1" operator="equal">
      <formula>-1</formula>
    </cfRule>
  </conditionalFormatting>
  <conditionalFormatting sqref="AL23">
    <cfRule type="cellIs" dxfId="12675" priority="139428" stopIfTrue="1" operator="lessThan">
      <formula>0.5</formula>
    </cfRule>
  </conditionalFormatting>
  <conditionalFormatting sqref="AL23">
    <cfRule type="cellIs" dxfId="12674" priority="139429" stopIfTrue="1" operator="greaterThanOrEqual">
      <formula>0.5</formula>
    </cfRule>
  </conditionalFormatting>
  <conditionalFormatting sqref="AL24">
    <cfRule type="cellIs" dxfId="12673" priority="139430" stopIfTrue="1" operator="equal">
      <formula>-1</formula>
    </cfRule>
  </conditionalFormatting>
  <conditionalFormatting sqref="AL24">
    <cfRule type="cellIs" dxfId="12672" priority="139431" stopIfTrue="1" operator="lessThan">
      <formula>0.5</formula>
    </cfRule>
  </conditionalFormatting>
  <conditionalFormatting sqref="AL24">
    <cfRule type="cellIs" dxfId="12671" priority="139432" stopIfTrue="1" operator="greaterThanOrEqual">
      <formula>0.5</formula>
    </cfRule>
  </conditionalFormatting>
  <conditionalFormatting sqref="AL25">
    <cfRule type="cellIs" dxfId="12670" priority="139433" stopIfTrue="1" operator="equal">
      <formula>-1</formula>
    </cfRule>
  </conditionalFormatting>
  <conditionalFormatting sqref="AL25">
    <cfRule type="cellIs" dxfId="12669" priority="139434" stopIfTrue="1" operator="lessThan">
      <formula>0.5</formula>
    </cfRule>
  </conditionalFormatting>
  <conditionalFormatting sqref="AL25">
    <cfRule type="cellIs" dxfId="12668" priority="139435" stopIfTrue="1" operator="greaterThanOrEqual">
      <formula>0.5</formula>
    </cfRule>
  </conditionalFormatting>
  <conditionalFormatting sqref="AL26">
    <cfRule type="cellIs" dxfId="12667" priority="139436" stopIfTrue="1" operator="equal">
      <formula>-1</formula>
    </cfRule>
  </conditionalFormatting>
  <conditionalFormatting sqref="AL26">
    <cfRule type="cellIs" dxfId="12666" priority="139437" stopIfTrue="1" operator="lessThan">
      <formula>0.5</formula>
    </cfRule>
  </conditionalFormatting>
  <conditionalFormatting sqref="AL26">
    <cfRule type="cellIs" dxfId="12665" priority="139438" stopIfTrue="1" operator="greaterThanOrEqual">
      <formula>0.5</formula>
    </cfRule>
  </conditionalFormatting>
  <conditionalFormatting sqref="AL27">
    <cfRule type="cellIs" dxfId="12664" priority="139439" stopIfTrue="1" operator="equal">
      <formula>-1</formula>
    </cfRule>
  </conditionalFormatting>
  <conditionalFormatting sqref="AL27">
    <cfRule type="cellIs" dxfId="12663" priority="139440" stopIfTrue="1" operator="lessThan">
      <formula>0.5</formula>
    </cfRule>
  </conditionalFormatting>
  <conditionalFormatting sqref="AL27">
    <cfRule type="cellIs" dxfId="12662" priority="139441" stopIfTrue="1" operator="greaterThanOrEqual">
      <formula>0.5</formula>
    </cfRule>
  </conditionalFormatting>
  <conditionalFormatting sqref="AL28">
    <cfRule type="cellIs" dxfId="12661" priority="139442" stopIfTrue="1" operator="equal">
      <formula>-1</formula>
    </cfRule>
  </conditionalFormatting>
  <conditionalFormatting sqref="AL28">
    <cfRule type="cellIs" dxfId="12660" priority="139443" stopIfTrue="1" operator="lessThan">
      <formula>0.5</formula>
    </cfRule>
  </conditionalFormatting>
  <conditionalFormatting sqref="AL28">
    <cfRule type="cellIs" dxfId="12659" priority="139444" stopIfTrue="1" operator="greaterThanOrEqual">
      <formula>0.5</formula>
    </cfRule>
  </conditionalFormatting>
  <conditionalFormatting sqref="AL29">
    <cfRule type="cellIs" dxfId="12658" priority="139445" stopIfTrue="1" operator="equal">
      <formula>-1</formula>
    </cfRule>
  </conditionalFormatting>
  <conditionalFormatting sqref="AL29">
    <cfRule type="cellIs" dxfId="12657" priority="139446" stopIfTrue="1" operator="lessThan">
      <formula>0.5</formula>
    </cfRule>
  </conditionalFormatting>
  <conditionalFormatting sqref="AL29">
    <cfRule type="cellIs" dxfId="12656" priority="139447" stopIfTrue="1" operator="greaterThanOrEqual">
      <formula>0.5</formula>
    </cfRule>
  </conditionalFormatting>
  <conditionalFormatting sqref="AL30">
    <cfRule type="cellIs" dxfId="12655" priority="139448" stopIfTrue="1" operator="equal">
      <formula>-1</formula>
    </cfRule>
  </conditionalFormatting>
  <conditionalFormatting sqref="AL30">
    <cfRule type="cellIs" dxfId="12654" priority="139449" stopIfTrue="1" operator="lessThan">
      <formula>0.5</formula>
    </cfRule>
  </conditionalFormatting>
  <conditionalFormatting sqref="AL30">
    <cfRule type="cellIs" dxfId="12653" priority="139450" stopIfTrue="1" operator="greaterThanOrEqual">
      <formula>0.5</formula>
    </cfRule>
  </conditionalFormatting>
  <conditionalFormatting sqref="AL31">
    <cfRule type="cellIs" dxfId="12652" priority="139451" stopIfTrue="1" operator="equal">
      <formula>-1</formula>
    </cfRule>
  </conditionalFormatting>
  <conditionalFormatting sqref="AL31">
    <cfRule type="cellIs" dxfId="12651" priority="139452" stopIfTrue="1" operator="lessThan">
      <formula>0.5</formula>
    </cfRule>
  </conditionalFormatting>
  <conditionalFormatting sqref="AL31">
    <cfRule type="cellIs" dxfId="12650" priority="139453" stopIfTrue="1" operator="greaterThanOrEqual">
      <formula>0.5</formula>
    </cfRule>
  </conditionalFormatting>
  <conditionalFormatting sqref="AL32">
    <cfRule type="cellIs" dxfId="12649" priority="139454" stopIfTrue="1" operator="equal">
      <formula>-1</formula>
    </cfRule>
  </conditionalFormatting>
  <conditionalFormatting sqref="AL32">
    <cfRule type="cellIs" dxfId="12648" priority="139455" stopIfTrue="1" operator="lessThan">
      <formula>0.5</formula>
    </cfRule>
  </conditionalFormatting>
  <conditionalFormatting sqref="AL32">
    <cfRule type="cellIs" dxfId="12647" priority="139456" stopIfTrue="1" operator="greaterThanOrEqual">
      <formula>0.5</formula>
    </cfRule>
  </conditionalFormatting>
  <conditionalFormatting sqref="AL33">
    <cfRule type="cellIs" dxfId="12646" priority="139457" stopIfTrue="1" operator="equal">
      <formula>-1</formula>
    </cfRule>
  </conditionalFormatting>
  <conditionalFormatting sqref="AL33">
    <cfRule type="cellIs" dxfId="12645" priority="139458" stopIfTrue="1" operator="lessThan">
      <formula>0.5</formula>
    </cfRule>
  </conditionalFormatting>
  <conditionalFormatting sqref="AL33">
    <cfRule type="cellIs" dxfId="12644" priority="139459" stopIfTrue="1" operator="greaterThanOrEqual">
      <formula>0.5</formula>
    </cfRule>
  </conditionalFormatting>
  <conditionalFormatting sqref="AL34">
    <cfRule type="cellIs" dxfId="12643" priority="139460" stopIfTrue="1" operator="equal">
      <formula>-1</formula>
    </cfRule>
  </conditionalFormatting>
  <conditionalFormatting sqref="AL34">
    <cfRule type="cellIs" dxfId="12642" priority="139461" stopIfTrue="1" operator="lessThan">
      <formula>0.5</formula>
    </cfRule>
  </conditionalFormatting>
  <conditionalFormatting sqref="AL34">
    <cfRule type="cellIs" dxfId="12641" priority="139462" stopIfTrue="1" operator="greaterThanOrEqual">
      <formula>0.5</formula>
    </cfRule>
  </conditionalFormatting>
  <conditionalFormatting sqref="AL35">
    <cfRule type="cellIs" dxfId="12640" priority="139463" stopIfTrue="1" operator="equal">
      <formula>-1</formula>
    </cfRule>
  </conditionalFormatting>
  <conditionalFormatting sqref="AL35">
    <cfRule type="cellIs" dxfId="12639" priority="139464" stopIfTrue="1" operator="lessThan">
      <formula>0.5</formula>
    </cfRule>
  </conditionalFormatting>
  <conditionalFormatting sqref="AL35">
    <cfRule type="cellIs" dxfId="12638" priority="139465" stopIfTrue="1" operator="greaterThanOrEqual">
      <formula>0.5</formula>
    </cfRule>
  </conditionalFormatting>
  <conditionalFormatting sqref="AL36">
    <cfRule type="cellIs" dxfId="12637" priority="139466" stopIfTrue="1" operator="equal">
      <formula>-1</formula>
    </cfRule>
  </conditionalFormatting>
  <conditionalFormatting sqref="AL36">
    <cfRule type="cellIs" dxfId="12636" priority="139467" stopIfTrue="1" operator="lessThan">
      <formula>0.5</formula>
    </cfRule>
  </conditionalFormatting>
  <conditionalFormatting sqref="AL36">
    <cfRule type="cellIs" dxfId="12635" priority="139468" stopIfTrue="1" operator="greaterThanOrEqual">
      <formula>0.5</formula>
    </cfRule>
  </conditionalFormatting>
  <conditionalFormatting sqref="AL37">
    <cfRule type="cellIs" dxfId="12634" priority="139469" stopIfTrue="1" operator="equal">
      <formula>-1</formula>
    </cfRule>
  </conditionalFormatting>
  <conditionalFormatting sqref="AL37">
    <cfRule type="cellIs" dxfId="12633" priority="139470" stopIfTrue="1" operator="lessThan">
      <formula>0.5</formula>
    </cfRule>
  </conditionalFormatting>
  <conditionalFormatting sqref="AL37">
    <cfRule type="cellIs" dxfId="12632" priority="139471" stopIfTrue="1" operator="greaterThanOrEqual">
      <formula>0.5</formula>
    </cfRule>
  </conditionalFormatting>
  <conditionalFormatting sqref="AN17">
    <cfRule type="cellIs" dxfId="12631" priority="139472" stopIfTrue="1" operator="equal">
      <formula>-1</formula>
    </cfRule>
  </conditionalFormatting>
  <conditionalFormatting sqref="AN17">
    <cfRule type="cellIs" dxfId="12630" priority="139473" stopIfTrue="1" operator="lessThan">
      <formula>0.5</formula>
    </cfRule>
  </conditionalFormatting>
  <conditionalFormatting sqref="AN17">
    <cfRule type="cellIs" dxfId="12629" priority="139474" stopIfTrue="1" operator="greaterThanOrEqual">
      <formula>0.5</formula>
    </cfRule>
  </conditionalFormatting>
  <conditionalFormatting sqref="AN18">
    <cfRule type="cellIs" dxfId="12628" priority="139475" stopIfTrue="1" operator="equal">
      <formula>-1</formula>
    </cfRule>
  </conditionalFormatting>
  <conditionalFormatting sqref="AN18">
    <cfRule type="cellIs" dxfId="12627" priority="139476" stopIfTrue="1" operator="lessThan">
      <formula>0.5</formula>
    </cfRule>
  </conditionalFormatting>
  <conditionalFormatting sqref="AN18">
    <cfRule type="cellIs" dxfId="12626" priority="139477" stopIfTrue="1" operator="greaterThanOrEqual">
      <formula>0.5</formula>
    </cfRule>
  </conditionalFormatting>
  <conditionalFormatting sqref="AN19">
    <cfRule type="cellIs" dxfId="12625" priority="139478" stopIfTrue="1" operator="equal">
      <formula>-1</formula>
    </cfRule>
  </conditionalFormatting>
  <conditionalFormatting sqref="AN19">
    <cfRule type="cellIs" dxfId="12624" priority="139479" stopIfTrue="1" operator="lessThan">
      <formula>0.5</formula>
    </cfRule>
  </conditionalFormatting>
  <conditionalFormatting sqref="AN19">
    <cfRule type="cellIs" dxfId="12623" priority="139480" stopIfTrue="1" operator="greaterThanOrEqual">
      <formula>0.5</formula>
    </cfRule>
  </conditionalFormatting>
  <conditionalFormatting sqref="AN20">
    <cfRule type="cellIs" dxfId="12622" priority="139481" stopIfTrue="1" operator="equal">
      <formula>-1</formula>
    </cfRule>
  </conditionalFormatting>
  <conditionalFormatting sqref="AN20">
    <cfRule type="cellIs" dxfId="12621" priority="139482" stopIfTrue="1" operator="lessThan">
      <formula>0.5</formula>
    </cfRule>
  </conditionalFormatting>
  <conditionalFormatting sqref="AN20">
    <cfRule type="cellIs" dxfId="12620" priority="139483" stopIfTrue="1" operator="greaterThanOrEqual">
      <formula>0.5</formula>
    </cfRule>
  </conditionalFormatting>
  <conditionalFormatting sqref="AN21">
    <cfRule type="cellIs" dxfId="12619" priority="139484" stopIfTrue="1" operator="equal">
      <formula>-1</formula>
    </cfRule>
  </conditionalFormatting>
  <conditionalFormatting sqref="AN21">
    <cfRule type="cellIs" dxfId="12618" priority="139485" stopIfTrue="1" operator="lessThan">
      <formula>0.5</formula>
    </cfRule>
  </conditionalFormatting>
  <conditionalFormatting sqref="AN21">
    <cfRule type="cellIs" dxfId="12617" priority="139486" stopIfTrue="1" operator="greaterThanOrEqual">
      <formula>0.5</formula>
    </cfRule>
  </conditionalFormatting>
  <conditionalFormatting sqref="AN22">
    <cfRule type="cellIs" dxfId="12616" priority="139487" stopIfTrue="1" operator="equal">
      <formula>-1</formula>
    </cfRule>
  </conditionalFormatting>
  <conditionalFormatting sqref="AN22">
    <cfRule type="cellIs" dxfId="12615" priority="139488" stopIfTrue="1" operator="lessThan">
      <formula>0.5</formula>
    </cfRule>
  </conditionalFormatting>
  <conditionalFormatting sqref="AN22">
    <cfRule type="cellIs" dxfId="12614" priority="139489" stopIfTrue="1" operator="greaterThanOrEqual">
      <formula>0.5</formula>
    </cfRule>
  </conditionalFormatting>
  <conditionalFormatting sqref="AN23">
    <cfRule type="cellIs" dxfId="12613" priority="139490" stopIfTrue="1" operator="equal">
      <formula>-1</formula>
    </cfRule>
  </conditionalFormatting>
  <conditionalFormatting sqref="AN23">
    <cfRule type="cellIs" dxfId="12612" priority="139491" stopIfTrue="1" operator="lessThan">
      <formula>0.5</formula>
    </cfRule>
  </conditionalFormatting>
  <conditionalFormatting sqref="AN23">
    <cfRule type="cellIs" dxfId="12611" priority="139492" stopIfTrue="1" operator="greaterThanOrEqual">
      <formula>0.5</formula>
    </cfRule>
  </conditionalFormatting>
  <conditionalFormatting sqref="AN24">
    <cfRule type="cellIs" dxfId="12610" priority="139493" stopIfTrue="1" operator="equal">
      <formula>-1</formula>
    </cfRule>
  </conditionalFormatting>
  <conditionalFormatting sqref="AN24">
    <cfRule type="cellIs" dxfId="12609" priority="139494" stopIfTrue="1" operator="lessThan">
      <formula>0.5</formula>
    </cfRule>
  </conditionalFormatting>
  <conditionalFormatting sqref="AN24">
    <cfRule type="cellIs" dxfId="12608" priority="139495" stopIfTrue="1" operator="greaterThanOrEqual">
      <formula>0.5</formula>
    </cfRule>
  </conditionalFormatting>
  <conditionalFormatting sqref="AN25">
    <cfRule type="cellIs" dxfId="12607" priority="139496" stopIfTrue="1" operator="equal">
      <formula>-1</formula>
    </cfRule>
  </conditionalFormatting>
  <conditionalFormatting sqref="AN25">
    <cfRule type="cellIs" dxfId="12606" priority="139497" stopIfTrue="1" operator="lessThan">
      <formula>0.5</formula>
    </cfRule>
  </conditionalFormatting>
  <conditionalFormatting sqref="AN25">
    <cfRule type="cellIs" dxfId="12605" priority="139498" stopIfTrue="1" operator="greaterThanOrEqual">
      <formula>0.5</formula>
    </cfRule>
  </conditionalFormatting>
  <conditionalFormatting sqref="AN26">
    <cfRule type="cellIs" dxfId="12604" priority="139499" stopIfTrue="1" operator="equal">
      <formula>-1</formula>
    </cfRule>
  </conditionalFormatting>
  <conditionalFormatting sqref="AN26">
    <cfRule type="cellIs" dxfId="12603" priority="139500" stopIfTrue="1" operator="lessThan">
      <formula>0.5</formula>
    </cfRule>
  </conditionalFormatting>
  <conditionalFormatting sqref="AN26">
    <cfRule type="cellIs" dxfId="12602" priority="139501" stopIfTrue="1" operator="greaterThanOrEqual">
      <formula>0.5</formula>
    </cfRule>
  </conditionalFormatting>
  <conditionalFormatting sqref="AN27">
    <cfRule type="cellIs" dxfId="12601" priority="139502" stopIfTrue="1" operator="equal">
      <formula>-1</formula>
    </cfRule>
  </conditionalFormatting>
  <conditionalFormatting sqref="AN27">
    <cfRule type="cellIs" dxfId="12600" priority="139503" stopIfTrue="1" operator="lessThan">
      <formula>0.5</formula>
    </cfRule>
  </conditionalFormatting>
  <conditionalFormatting sqref="AN27">
    <cfRule type="cellIs" dxfId="12599" priority="139504" stopIfTrue="1" operator="greaterThanOrEqual">
      <formula>0.5</formula>
    </cfRule>
  </conditionalFormatting>
  <conditionalFormatting sqref="AN28">
    <cfRule type="cellIs" dxfId="12598" priority="139505" stopIfTrue="1" operator="equal">
      <formula>-1</formula>
    </cfRule>
  </conditionalFormatting>
  <conditionalFormatting sqref="AN28">
    <cfRule type="cellIs" dxfId="12597" priority="139506" stopIfTrue="1" operator="lessThan">
      <formula>0.5</formula>
    </cfRule>
  </conditionalFormatting>
  <conditionalFormatting sqref="AN28">
    <cfRule type="cellIs" dxfId="12596" priority="139507" stopIfTrue="1" operator="greaterThanOrEqual">
      <formula>0.5</formula>
    </cfRule>
  </conditionalFormatting>
  <conditionalFormatting sqref="AN29">
    <cfRule type="cellIs" dxfId="12595" priority="139508" stopIfTrue="1" operator="equal">
      <formula>-1</formula>
    </cfRule>
  </conditionalFormatting>
  <conditionalFormatting sqref="AN29">
    <cfRule type="cellIs" dxfId="12594" priority="139509" stopIfTrue="1" operator="lessThan">
      <formula>0.5</formula>
    </cfRule>
  </conditionalFormatting>
  <conditionalFormatting sqref="AN29">
    <cfRule type="cellIs" dxfId="12593" priority="139510" stopIfTrue="1" operator="greaterThanOrEqual">
      <formula>0.5</formula>
    </cfRule>
  </conditionalFormatting>
  <conditionalFormatting sqref="AN30">
    <cfRule type="cellIs" dxfId="12592" priority="139511" stopIfTrue="1" operator="equal">
      <formula>-1</formula>
    </cfRule>
  </conditionalFormatting>
  <conditionalFormatting sqref="AN30">
    <cfRule type="cellIs" dxfId="12591" priority="139512" stopIfTrue="1" operator="lessThan">
      <formula>0.5</formula>
    </cfRule>
  </conditionalFormatting>
  <conditionalFormatting sqref="AN30">
    <cfRule type="cellIs" dxfId="12590" priority="139513" stopIfTrue="1" operator="greaterThanOrEqual">
      <formula>0.5</formula>
    </cfRule>
  </conditionalFormatting>
  <conditionalFormatting sqref="AN31">
    <cfRule type="cellIs" dxfId="12589" priority="139514" stopIfTrue="1" operator="equal">
      <formula>-1</formula>
    </cfRule>
  </conditionalFormatting>
  <conditionalFormatting sqref="AN31">
    <cfRule type="cellIs" dxfId="12588" priority="139515" stopIfTrue="1" operator="lessThan">
      <formula>0.5</formula>
    </cfRule>
  </conditionalFormatting>
  <conditionalFormatting sqref="AN31">
    <cfRule type="cellIs" dxfId="12587" priority="139516" stopIfTrue="1" operator="greaterThanOrEqual">
      <formula>0.5</formula>
    </cfRule>
  </conditionalFormatting>
  <conditionalFormatting sqref="AN32">
    <cfRule type="cellIs" dxfId="12586" priority="139517" stopIfTrue="1" operator="equal">
      <formula>-1</formula>
    </cfRule>
  </conditionalFormatting>
  <conditionalFormatting sqref="AN32">
    <cfRule type="cellIs" dxfId="12585" priority="139518" stopIfTrue="1" operator="lessThan">
      <formula>0.5</formula>
    </cfRule>
  </conditionalFormatting>
  <conditionalFormatting sqref="AN32">
    <cfRule type="cellIs" dxfId="12584" priority="139519" stopIfTrue="1" operator="greaterThanOrEqual">
      <formula>0.5</formula>
    </cfRule>
  </conditionalFormatting>
  <conditionalFormatting sqref="AN33">
    <cfRule type="cellIs" dxfId="12583" priority="139520" stopIfTrue="1" operator="equal">
      <formula>-1</formula>
    </cfRule>
  </conditionalFormatting>
  <conditionalFormatting sqref="AN33">
    <cfRule type="cellIs" dxfId="12582" priority="139521" stopIfTrue="1" operator="lessThan">
      <formula>0.5</formula>
    </cfRule>
  </conditionalFormatting>
  <conditionalFormatting sqref="AN33">
    <cfRule type="cellIs" dxfId="12581" priority="139522" stopIfTrue="1" operator="greaterThanOrEqual">
      <formula>0.5</formula>
    </cfRule>
  </conditionalFormatting>
  <conditionalFormatting sqref="AN34">
    <cfRule type="cellIs" dxfId="12580" priority="139523" stopIfTrue="1" operator="equal">
      <formula>-1</formula>
    </cfRule>
  </conditionalFormatting>
  <conditionalFormatting sqref="AN34">
    <cfRule type="cellIs" dxfId="12579" priority="139524" stopIfTrue="1" operator="lessThan">
      <formula>0.5</formula>
    </cfRule>
  </conditionalFormatting>
  <conditionalFormatting sqref="AN34">
    <cfRule type="cellIs" dxfId="12578" priority="139525" stopIfTrue="1" operator="greaterThanOrEqual">
      <formula>0.5</formula>
    </cfRule>
  </conditionalFormatting>
  <conditionalFormatting sqref="AN35">
    <cfRule type="cellIs" dxfId="12577" priority="139526" stopIfTrue="1" operator="equal">
      <formula>-1</formula>
    </cfRule>
  </conditionalFormatting>
  <conditionalFormatting sqref="AN35">
    <cfRule type="cellIs" dxfId="12576" priority="139527" stopIfTrue="1" operator="lessThan">
      <formula>0.5</formula>
    </cfRule>
  </conditionalFormatting>
  <conditionalFormatting sqref="AN35">
    <cfRule type="cellIs" dxfId="12575" priority="139528" stopIfTrue="1" operator="greaterThanOrEqual">
      <formula>0.5</formula>
    </cfRule>
  </conditionalFormatting>
  <conditionalFormatting sqref="AN36">
    <cfRule type="cellIs" dxfId="12574" priority="139529" stopIfTrue="1" operator="equal">
      <formula>-1</formula>
    </cfRule>
  </conditionalFormatting>
  <conditionalFormatting sqref="AN36">
    <cfRule type="cellIs" dxfId="12573" priority="139530" stopIfTrue="1" operator="lessThan">
      <formula>0.5</formula>
    </cfRule>
  </conditionalFormatting>
  <conditionalFormatting sqref="AN36">
    <cfRule type="cellIs" dxfId="12572" priority="139531" stopIfTrue="1" operator="greaterThanOrEqual">
      <formula>0.5</formula>
    </cfRule>
  </conditionalFormatting>
  <conditionalFormatting sqref="AN37">
    <cfRule type="cellIs" dxfId="12571" priority="139532" stopIfTrue="1" operator="equal">
      <formula>-1</formula>
    </cfRule>
  </conditionalFormatting>
  <conditionalFormatting sqref="AN37">
    <cfRule type="cellIs" dxfId="12570" priority="139533" stopIfTrue="1" operator="lessThan">
      <formula>0.5</formula>
    </cfRule>
  </conditionalFormatting>
  <conditionalFormatting sqref="AN37">
    <cfRule type="cellIs" dxfId="12569" priority="139534" stopIfTrue="1" operator="greaterThanOrEqual">
      <formula>0.5</formula>
    </cfRule>
  </conditionalFormatting>
  <conditionalFormatting sqref="AP17">
    <cfRule type="cellIs" dxfId="12568" priority="139535" stopIfTrue="1" operator="equal">
      <formula>-1</formula>
    </cfRule>
  </conditionalFormatting>
  <conditionalFormatting sqref="AP17">
    <cfRule type="cellIs" dxfId="12567" priority="139536" stopIfTrue="1" operator="lessThan">
      <formula>0.5</formula>
    </cfRule>
  </conditionalFormatting>
  <conditionalFormatting sqref="AP17">
    <cfRule type="cellIs" dxfId="12566" priority="139537" stopIfTrue="1" operator="greaterThanOrEqual">
      <formula>0.5</formula>
    </cfRule>
  </conditionalFormatting>
  <conditionalFormatting sqref="AP18">
    <cfRule type="cellIs" dxfId="12565" priority="139538" stopIfTrue="1" operator="equal">
      <formula>-1</formula>
    </cfRule>
  </conditionalFormatting>
  <conditionalFormatting sqref="AP18">
    <cfRule type="cellIs" dxfId="12564" priority="139539" stopIfTrue="1" operator="lessThan">
      <formula>0.5</formula>
    </cfRule>
  </conditionalFormatting>
  <conditionalFormatting sqref="AP18">
    <cfRule type="cellIs" dxfId="12563" priority="139540" stopIfTrue="1" operator="greaterThanOrEqual">
      <formula>0.5</formula>
    </cfRule>
  </conditionalFormatting>
  <conditionalFormatting sqref="AP19">
    <cfRule type="cellIs" dxfId="12562" priority="139541" stopIfTrue="1" operator="equal">
      <formula>-1</formula>
    </cfRule>
  </conditionalFormatting>
  <conditionalFormatting sqref="AP19">
    <cfRule type="cellIs" dxfId="12561" priority="139542" stopIfTrue="1" operator="lessThan">
      <formula>0.5</formula>
    </cfRule>
  </conditionalFormatting>
  <conditionalFormatting sqref="AP19">
    <cfRule type="cellIs" dxfId="12560" priority="139543" stopIfTrue="1" operator="greaterThanOrEqual">
      <formula>0.5</formula>
    </cfRule>
  </conditionalFormatting>
  <conditionalFormatting sqref="AP20">
    <cfRule type="cellIs" dxfId="12559" priority="139544" stopIfTrue="1" operator="equal">
      <formula>-1</formula>
    </cfRule>
  </conditionalFormatting>
  <conditionalFormatting sqref="AP20">
    <cfRule type="cellIs" dxfId="12558" priority="139545" stopIfTrue="1" operator="lessThan">
      <formula>0.5</formula>
    </cfRule>
  </conditionalFormatting>
  <conditionalFormatting sqref="AP20">
    <cfRule type="cellIs" dxfId="12557" priority="139546" stopIfTrue="1" operator="greaterThanOrEqual">
      <formula>0.5</formula>
    </cfRule>
  </conditionalFormatting>
  <conditionalFormatting sqref="AP21">
    <cfRule type="cellIs" dxfId="12556" priority="139547" stopIfTrue="1" operator="equal">
      <formula>-1</formula>
    </cfRule>
  </conditionalFormatting>
  <conditionalFormatting sqref="AP21">
    <cfRule type="cellIs" dxfId="12555" priority="139548" stopIfTrue="1" operator="lessThan">
      <formula>0.5</formula>
    </cfRule>
  </conditionalFormatting>
  <conditionalFormatting sqref="AP21">
    <cfRule type="cellIs" dxfId="12554" priority="139549" stopIfTrue="1" operator="greaterThanOrEqual">
      <formula>0.5</formula>
    </cfRule>
  </conditionalFormatting>
  <conditionalFormatting sqref="AP22">
    <cfRule type="cellIs" dxfId="12553" priority="139550" stopIfTrue="1" operator="equal">
      <formula>-1</formula>
    </cfRule>
  </conditionalFormatting>
  <conditionalFormatting sqref="AP22">
    <cfRule type="cellIs" dxfId="12552" priority="139551" stopIfTrue="1" operator="lessThan">
      <formula>0.5</formula>
    </cfRule>
  </conditionalFormatting>
  <conditionalFormatting sqref="AP22">
    <cfRule type="cellIs" dxfId="12551" priority="139552" stopIfTrue="1" operator="greaterThanOrEqual">
      <formula>0.5</formula>
    </cfRule>
  </conditionalFormatting>
  <conditionalFormatting sqref="AP23">
    <cfRule type="cellIs" dxfId="12550" priority="139553" stopIfTrue="1" operator="equal">
      <formula>-1</formula>
    </cfRule>
  </conditionalFormatting>
  <conditionalFormatting sqref="AP23">
    <cfRule type="cellIs" dxfId="12549" priority="139554" stopIfTrue="1" operator="lessThan">
      <formula>0.5</formula>
    </cfRule>
  </conditionalFormatting>
  <conditionalFormatting sqref="AP23">
    <cfRule type="cellIs" dxfId="12548" priority="139555" stopIfTrue="1" operator="greaterThanOrEqual">
      <formula>0.5</formula>
    </cfRule>
  </conditionalFormatting>
  <conditionalFormatting sqref="AP24">
    <cfRule type="cellIs" dxfId="12547" priority="139556" stopIfTrue="1" operator="equal">
      <formula>-1</formula>
    </cfRule>
  </conditionalFormatting>
  <conditionalFormatting sqref="AP24">
    <cfRule type="cellIs" dxfId="12546" priority="139557" stopIfTrue="1" operator="lessThan">
      <formula>0.5</formula>
    </cfRule>
  </conditionalFormatting>
  <conditionalFormatting sqref="AP24">
    <cfRule type="cellIs" dxfId="12545" priority="139558" stopIfTrue="1" operator="greaterThanOrEqual">
      <formula>0.5</formula>
    </cfRule>
  </conditionalFormatting>
  <conditionalFormatting sqref="AP25">
    <cfRule type="cellIs" dxfId="12544" priority="139559" stopIfTrue="1" operator="equal">
      <formula>-1</formula>
    </cfRule>
  </conditionalFormatting>
  <conditionalFormatting sqref="AP25">
    <cfRule type="cellIs" dxfId="12543" priority="139560" stopIfTrue="1" operator="lessThan">
      <formula>0.5</formula>
    </cfRule>
  </conditionalFormatting>
  <conditionalFormatting sqref="AP25">
    <cfRule type="cellIs" dxfId="12542" priority="139561" stopIfTrue="1" operator="greaterThanOrEqual">
      <formula>0.5</formula>
    </cfRule>
  </conditionalFormatting>
  <conditionalFormatting sqref="AP26">
    <cfRule type="cellIs" dxfId="12541" priority="139562" stopIfTrue="1" operator="equal">
      <formula>-1</formula>
    </cfRule>
  </conditionalFormatting>
  <conditionalFormatting sqref="AP26">
    <cfRule type="cellIs" dxfId="12540" priority="139563" stopIfTrue="1" operator="lessThan">
      <formula>0.5</formula>
    </cfRule>
  </conditionalFormatting>
  <conditionalFormatting sqref="AP26">
    <cfRule type="cellIs" dxfId="12539" priority="139564" stopIfTrue="1" operator="greaterThanOrEqual">
      <formula>0.5</formula>
    </cfRule>
  </conditionalFormatting>
  <conditionalFormatting sqref="AP27">
    <cfRule type="cellIs" dxfId="12538" priority="139565" stopIfTrue="1" operator="equal">
      <formula>-1</formula>
    </cfRule>
  </conditionalFormatting>
  <conditionalFormatting sqref="AP27">
    <cfRule type="cellIs" dxfId="12537" priority="139566" stopIfTrue="1" operator="lessThan">
      <formula>0.5</formula>
    </cfRule>
  </conditionalFormatting>
  <conditionalFormatting sqref="AP27">
    <cfRule type="cellIs" dxfId="12536" priority="139567" stopIfTrue="1" operator="greaterThanOrEqual">
      <formula>0.5</formula>
    </cfRule>
  </conditionalFormatting>
  <conditionalFormatting sqref="AP28">
    <cfRule type="cellIs" dxfId="12535" priority="139568" stopIfTrue="1" operator="equal">
      <formula>-1</formula>
    </cfRule>
  </conditionalFormatting>
  <conditionalFormatting sqref="AP28">
    <cfRule type="cellIs" dxfId="12534" priority="139569" stopIfTrue="1" operator="lessThan">
      <formula>0.5</formula>
    </cfRule>
  </conditionalFormatting>
  <conditionalFormatting sqref="AP28">
    <cfRule type="cellIs" dxfId="12533" priority="139570" stopIfTrue="1" operator="greaterThanOrEqual">
      <formula>0.5</formula>
    </cfRule>
  </conditionalFormatting>
  <conditionalFormatting sqref="AP29">
    <cfRule type="cellIs" dxfId="12532" priority="139571" stopIfTrue="1" operator="equal">
      <formula>-1</formula>
    </cfRule>
  </conditionalFormatting>
  <conditionalFormatting sqref="AP29">
    <cfRule type="cellIs" dxfId="12531" priority="139572" stopIfTrue="1" operator="lessThan">
      <formula>0.5</formula>
    </cfRule>
  </conditionalFormatting>
  <conditionalFormatting sqref="AP29">
    <cfRule type="cellIs" dxfId="12530" priority="139573" stopIfTrue="1" operator="greaterThanOrEqual">
      <formula>0.5</formula>
    </cfRule>
  </conditionalFormatting>
  <conditionalFormatting sqref="AP30">
    <cfRule type="cellIs" dxfId="12529" priority="139574" stopIfTrue="1" operator="equal">
      <formula>-1</formula>
    </cfRule>
  </conditionalFormatting>
  <conditionalFormatting sqref="AP30">
    <cfRule type="cellIs" dxfId="12528" priority="139575" stopIfTrue="1" operator="lessThan">
      <formula>0.5</formula>
    </cfRule>
  </conditionalFormatting>
  <conditionalFormatting sqref="AP30">
    <cfRule type="cellIs" dxfId="12527" priority="139576" stopIfTrue="1" operator="greaterThanOrEqual">
      <formula>0.5</formula>
    </cfRule>
  </conditionalFormatting>
  <conditionalFormatting sqref="AP31">
    <cfRule type="cellIs" dxfId="12526" priority="139577" stopIfTrue="1" operator="equal">
      <formula>-1</formula>
    </cfRule>
  </conditionalFormatting>
  <conditionalFormatting sqref="AP31">
    <cfRule type="cellIs" dxfId="12525" priority="139578" stopIfTrue="1" operator="lessThan">
      <formula>0.5</formula>
    </cfRule>
  </conditionalFormatting>
  <conditionalFormatting sqref="AP31">
    <cfRule type="cellIs" dxfId="12524" priority="139579" stopIfTrue="1" operator="greaterThanOrEqual">
      <formula>0.5</formula>
    </cfRule>
  </conditionalFormatting>
  <conditionalFormatting sqref="AP32">
    <cfRule type="cellIs" dxfId="12523" priority="139580" stopIfTrue="1" operator="equal">
      <formula>-1</formula>
    </cfRule>
  </conditionalFormatting>
  <conditionalFormatting sqref="AP32">
    <cfRule type="cellIs" dxfId="12522" priority="139581" stopIfTrue="1" operator="lessThan">
      <formula>0.5</formula>
    </cfRule>
  </conditionalFormatting>
  <conditionalFormatting sqref="AP32">
    <cfRule type="cellIs" dxfId="12521" priority="139582" stopIfTrue="1" operator="greaterThanOrEqual">
      <formula>0.5</formula>
    </cfRule>
  </conditionalFormatting>
  <conditionalFormatting sqref="AP33">
    <cfRule type="cellIs" dxfId="12520" priority="139583" stopIfTrue="1" operator="equal">
      <formula>-1</formula>
    </cfRule>
  </conditionalFormatting>
  <conditionalFormatting sqref="AP33">
    <cfRule type="cellIs" dxfId="12519" priority="139584" stopIfTrue="1" operator="lessThan">
      <formula>0.5</formula>
    </cfRule>
  </conditionalFormatting>
  <conditionalFormatting sqref="AP33">
    <cfRule type="cellIs" dxfId="12518" priority="139585" stopIfTrue="1" operator="greaterThanOrEqual">
      <formula>0.5</formula>
    </cfRule>
  </conditionalFormatting>
  <conditionalFormatting sqref="AP34">
    <cfRule type="cellIs" dxfId="12517" priority="139586" stopIfTrue="1" operator="equal">
      <formula>-1</formula>
    </cfRule>
  </conditionalFormatting>
  <conditionalFormatting sqref="AP34">
    <cfRule type="cellIs" dxfId="12516" priority="139587" stopIfTrue="1" operator="lessThan">
      <formula>0.5</formula>
    </cfRule>
  </conditionalFormatting>
  <conditionalFormatting sqref="AP34">
    <cfRule type="cellIs" dxfId="12515" priority="139588" stopIfTrue="1" operator="greaterThanOrEqual">
      <formula>0.5</formula>
    </cfRule>
  </conditionalFormatting>
  <conditionalFormatting sqref="AP35">
    <cfRule type="cellIs" dxfId="12514" priority="139589" stopIfTrue="1" operator="equal">
      <formula>-1</formula>
    </cfRule>
  </conditionalFormatting>
  <conditionalFormatting sqref="AP35">
    <cfRule type="cellIs" dxfId="12513" priority="139590" stopIfTrue="1" operator="lessThan">
      <formula>0.5</formula>
    </cfRule>
  </conditionalFormatting>
  <conditionalFormatting sqref="AP35">
    <cfRule type="cellIs" dxfId="12512" priority="139591" stopIfTrue="1" operator="greaterThanOrEqual">
      <formula>0.5</formula>
    </cfRule>
  </conditionalFormatting>
  <conditionalFormatting sqref="AP36">
    <cfRule type="cellIs" dxfId="12511" priority="139592" stopIfTrue="1" operator="equal">
      <formula>-1</formula>
    </cfRule>
  </conditionalFormatting>
  <conditionalFormatting sqref="AP36">
    <cfRule type="cellIs" dxfId="12510" priority="139593" stopIfTrue="1" operator="lessThan">
      <formula>0.5</formula>
    </cfRule>
  </conditionalFormatting>
  <conditionalFormatting sqref="AP36">
    <cfRule type="cellIs" dxfId="12509" priority="139594" stopIfTrue="1" operator="greaterThanOrEqual">
      <formula>0.5</formula>
    </cfRule>
  </conditionalFormatting>
  <conditionalFormatting sqref="AP37">
    <cfRule type="cellIs" dxfId="12508" priority="139595" stopIfTrue="1" operator="equal">
      <formula>-1</formula>
    </cfRule>
  </conditionalFormatting>
  <conditionalFormatting sqref="AP37">
    <cfRule type="cellIs" dxfId="12507" priority="139596" stopIfTrue="1" operator="lessThan">
      <formula>0.5</formula>
    </cfRule>
  </conditionalFormatting>
  <conditionalFormatting sqref="AP37">
    <cfRule type="cellIs" dxfId="12506" priority="139597" stopIfTrue="1" operator="greaterThanOrEqual">
      <formula>0.5</formula>
    </cfRule>
  </conditionalFormatting>
  <conditionalFormatting sqref="AR17">
    <cfRule type="cellIs" dxfId="12505" priority="139598" stopIfTrue="1" operator="equal">
      <formula>-1</formula>
    </cfRule>
  </conditionalFormatting>
  <conditionalFormatting sqref="AR17">
    <cfRule type="cellIs" dxfId="12504" priority="139599" stopIfTrue="1" operator="lessThan">
      <formula>0.5</formula>
    </cfRule>
  </conditionalFormatting>
  <conditionalFormatting sqref="AR17">
    <cfRule type="cellIs" dxfId="12503" priority="139600" stopIfTrue="1" operator="greaterThanOrEqual">
      <formula>0.5</formula>
    </cfRule>
  </conditionalFormatting>
  <conditionalFormatting sqref="AR18">
    <cfRule type="cellIs" dxfId="12502" priority="139601" stopIfTrue="1" operator="equal">
      <formula>-1</formula>
    </cfRule>
  </conditionalFormatting>
  <conditionalFormatting sqref="AR18">
    <cfRule type="cellIs" dxfId="12501" priority="139602" stopIfTrue="1" operator="lessThan">
      <formula>0.5</formula>
    </cfRule>
  </conditionalFormatting>
  <conditionalFormatting sqref="AR18">
    <cfRule type="cellIs" dxfId="12500" priority="139603" stopIfTrue="1" operator="greaterThanOrEqual">
      <formula>0.5</formula>
    </cfRule>
  </conditionalFormatting>
  <conditionalFormatting sqref="AR19">
    <cfRule type="cellIs" dxfId="12499" priority="139604" stopIfTrue="1" operator="equal">
      <formula>-1</formula>
    </cfRule>
  </conditionalFormatting>
  <conditionalFormatting sqref="AR19">
    <cfRule type="cellIs" dxfId="12498" priority="139605" stopIfTrue="1" operator="lessThan">
      <formula>0.5</formula>
    </cfRule>
  </conditionalFormatting>
  <conditionalFormatting sqref="AR19">
    <cfRule type="cellIs" dxfId="12497" priority="139606" stopIfTrue="1" operator="greaterThanOrEqual">
      <formula>0.5</formula>
    </cfRule>
  </conditionalFormatting>
  <conditionalFormatting sqref="AR20">
    <cfRule type="cellIs" dxfId="12496" priority="139607" stopIfTrue="1" operator="equal">
      <formula>-1</formula>
    </cfRule>
  </conditionalFormatting>
  <conditionalFormatting sqref="AR20">
    <cfRule type="cellIs" dxfId="12495" priority="139608" stopIfTrue="1" operator="lessThan">
      <formula>0.5</formula>
    </cfRule>
  </conditionalFormatting>
  <conditionalFormatting sqref="AR20">
    <cfRule type="cellIs" dxfId="12494" priority="139609" stopIfTrue="1" operator="greaterThanOrEqual">
      <formula>0.5</formula>
    </cfRule>
  </conditionalFormatting>
  <conditionalFormatting sqref="AR21">
    <cfRule type="cellIs" dxfId="12493" priority="139610" stopIfTrue="1" operator="equal">
      <formula>-1</formula>
    </cfRule>
  </conditionalFormatting>
  <conditionalFormatting sqref="AR21">
    <cfRule type="cellIs" dxfId="12492" priority="139611" stopIfTrue="1" operator="lessThan">
      <formula>0.5</formula>
    </cfRule>
  </conditionalFormatting>
  <conditionalFormatting sqref="AR21">
    <cfRule type="cellIs" dxfId="12491" priority="139612" stopIfTrue="1" operator="greaterThanOrEqual">
      <formula>0.5</formula>
    </cfRule>
  </conditionalFormatting>
  <conditionalFormatting sqref="AR22">
    <cfRule type="cellIs" dxfId="12490" priority="139613" stopIfTrue="1" operator="equal">
      <formula>-1</formula>
    </cfRule>
  </conditionalFormatting>
  <conditionalFormatting sqref="AR22">
    <cfRule type="cellIs" dxfId="12489" priority="139614" stopIfTrue="1" operator="lessThan">
      <formula>0.5</formula>
    </cfRule>
  </conditionalFormatting>
  <conditionalFormatting sqref="AR22">
    <cfRule type="cellIs" dxfId="12488" priority="139615" stopIfTrue="1" operator="greaterThanOrEqual">
      <formula>0.5</formula>
    </cfRule>
  </conditionalFormatting>
  <conditionalFormatting sqref="AR23">
    <cfRule type="cellIs" dxfId="12487" priority="139616" stopIfTrue="1" operator="equal">
      <formula>-1</formula>
    </cfRule>
  </conditionalFormatting>
  <conditionalFormatting sqref="AR23">
    <cfRule type="cellIs" dxfId="12486" priority="139617" stopIfTrue="1" operator="lessThan">
      <formula>0.5</formula>
    </cfRule>
  </conditionalFormatting>
  <conditionalFormatting sqref="AR23">
    <cfRule type="cellIs" dxfId="12485" priority="139618" stopIfTrue="1" operator="greaterThanOrEqual">
      <formula>0.5</formula>
    </cfRule>
  </conditionalFormatting>
  <conditionalFormatting sqref="AR24">
    <cfRule type="cellIs" dxfId="12484" priority="139619" stopIfTrue="1" operator="equal">
      <formula>-1</formula>
    </cfRule>
  </conditionalFormatting>
  <conditionalFormatting sqref="AR24">
    <cfRule type="cellIs" dxfId="12483" priority="139620" stopIfTrue="1" operator="lessThan">
      <formula>0.5</formula>
    </cfRule>
  </conditionalFormatting>
  <conditionalFormatting sqref="AR24">
    <cfRule type="cellIs" dxfId="12482" priority="139621" stopIfTrue="1" operator="greaterThanOrEqual">
      <formula>0.5</formula>
    </cfRule>
  </conditionalFormatting>
  <conditionalFormatting sqref="AR25">
    <cfRule type="cellIs" dxfId="12481" priority="139622" stopIfTrue="1" operator="equal">
      <formula>-1</formula>
    </cfRule>
  </conditionalFormatting>
  <conditionalFormatting sqref="AR25">
    <cfRule type="cellIs" dxfId="12480" priority="139623" stopIfTrue="1" operator="lessThan">
      <formula>0.5</formula>
    </cfRule>
  </conditionalFormatting>
  <conditionalFormatting sqref="AR25">
    <cfRule type="cellIs" dxfId="12479" priority="139624" stopIfTrue="1" operator="greaterThanOrEqual">
      <formula>0.5</formula>
    </cfRule>
  </conditionalFormatting>
  <conditionalFormatting sqref="AR26">
    <cfRule type="cellIs" dxfId="12478" priority="139625" stopIfTrue="1" operator="equal">
      <formula>-1</formula>
    </cfRule>
  </conditionalFormatting>
  <conditionalFormatting sqref="AR26">
    <cfRule type="cellIs" dxfId="12477" priority="139626" stopIfTrue="1" operator="lessThan">
      <formula>0.5</formula>
    </cfRule>
  </conditionalFormatting>
  <conditionalFormatting sqref="AR26">
    <cfRule type="cellIs" dxfId="12476" priority="139627" stopIfTrue="1" operator="greaterThanOrEqual">
      <formula>0.5</formula>
    </cfRule>
  </conditionalFormatting>
  <conditionalFormatting sqref="AR27">
    <cfRule type="cellIs" dxfId="12475" priority="139628" stopIfTrue="1" operator="equal">
      <formula>-1</formula>
    </cfRule>
  </conditionalFormatting>
  <conditionalFormatting sqref="AR27">
    <cfRule type="cellIs" dxfId="12474" priority="139629" stopIfTrue="1" operator="lessThan">
      <formula>0.5</formula>
    </cfRule>
  </conditionalFormatting>
  <conditionalFormatting sqref="AR27">
    <cfRule type="cellIs" dxfId="12473" priority="139630" stopIfTrue="1" operator="greaterThanOrEqual">
      <formula>0.5</formula>
    </cfRule>
  </conditionalFormatting>
  <conditionalFormatting sqref="AR28">
    <cfRule type="cellIs" dxfId="12472" priority="139631" stopIfTrue="1" operator="equal">
      <formula>-1</formula>
    </cfRule>
  </conditionalFormatting>
  <conditionalFormatting sqref="AR28">
    <cfRule type="cellIs" dxfId="12471" priority="139632" stopIfTrue="1" operator="lessThan">
      <formula>0.5</formula>
    </cfRule>
  </conditionalFormatting>
  <conditionalFormatting sqref="AR28">
    <cfRule type="cellIs" dxfId="12470" priority="139633" stopIfTrue="1" operator="greaterThanOrEqual">
      <formula>0.5</formula>
    </cfRule>
  </conditionalFormatting>
  <conditionalFormatting sqref="AR29">
    <cfRule type="cellIs" dxfId="12469" priority="139634" stopIfTrue="1" operator="equal">
      <formula>-1</formula>
    </cfRule>
  </conditionalFormatting>
  <conditionalFormatting sqref="AR29">
    <cfRule type="cellIs" dxfId="12468" priority="139635" stopIfTrue="1" operator="lessThan">
      <formula>0.5</formula>
    </cfRule>
  </conditionalFormatting>
  <conditionalFormatting sqref="AR29">
    <cfRule type="cellIs" dxfId="12467" priority="139636" stopIfTrue="1" operator="greaterThanOrEqual">
      <formula>0.5</formula>
    </cfRule>
  </conditionalFormatting>
  <conditionalFormatting sqref="AR30">
    <cfRule type="cellIs" dxfId="12466" priority="139637" stopIfTrue="1" operator="equal">
      <formula>-1</formula>
    </cfRule>
  </conditionalFormatting>
  <conditionalFormatting sqref="AR30">
    <cfRule type="cellIs" dxfId="12465" priority="139638" stopIfTrue="1" operator="lessThan">
      <formula>0.5</formula>
    </cfRule>
  </conditionalFormatting>
  <conditionalFormatting sqref="AR30">
    <cfRule type="cellIs" dxfId="12464" priority="139639" stopIfTrue="1" operator="greaterThanOrEqual">
      <formula>0.5</formula>
    </cfRule>
  </conditionalFormatting>
  <conditionalFormatting sqref="AR31">
    <cfRule type="cellIs" dxfId="12463" priority="139640" stopIfTrue="1" operator="equal">
      <formula>-1</formula>
    </cfRule>
  </conditionalFormatting>
  <conditionalFormatting sqref="AR31">
    <cfRule type="cellIs" dxfId="12462" priority="139641" stopIfTrue="1" operator="lessThan">
      <formula>0.5</formula>
    </cfRule>
  </conditionalFormatting>
  <conditionalFormatting sqref="AR31">
    <cfRule type="cellIs" dxfId="12461" priority="139642" stopIfTrue="1" operator="greaterThanOrEqual">
      <formula>0.5</formula>
    </cfRule>
  </conditionalFormatting>
  <conditionalFormatting sqref="AR32">
    <cfRule type="cellIs" dxfId="12460" priority="139643" stopIfTrue="1" operator="equal">
      <formula>-1</formula>
    </cfRule>
  </conditionalFormatting>
  <conditionalFormatting sqref="AR32">
    <cfRule type="cellIs" dxfId="12459" priority="139644" stopIfTrue="1" operator="lessThan">
      <formula>0.5</formula>
    </cfRule>
  </conditionalFormatting>
  <conditionalFormatting sqref="AR32">
    <cfRule type="cellIs" dxfId="12458" priority="139645" stopIfTrue="1" operator="greaterThanOrEqual">
      <formula>0.5</formula>
    </cfRule>
  </conditionalFormatting>
  <conditionalFormatting sqref="AR33">
    <cfRule type="cellIs" dxfId="12457" priority="139646" stopIfTrue="1" operator="equal">
      <formula>-1</formula>
    </cfRule>
  </conditionalFormatting>
  <conditionalFormatting sqref="AR33">
    <cfRule type="cellIs" dxfId="12456" priority="139647" stopIfTrue="1" operator="lessThan">
      <formula>0.5</formula>
    </cfRule>
  </conditionalFormatting>
  <conditionalFormatting sqref="AR33">
    <cfRule type="cellIs" dxfId="12455" priority="139648" stopIfTrue="1" operator="greaterThanOrEqual">
      <formula>0.5</formula>
    </cfRule>
  </conditionalFormatting>
  <conditionalFormatting sqref="AR34">
    <cfRule type="cellIs" dxfId="12454" priority="139649" stopIfTrue="1" operator="equal">
      <formula>-1</formula>
    </cfRule>
  </conditionalFormatting>
  <conditionalFormatting sqref="AR34">
    <cfRule type="cellIs" dxfId="12453" priority="139650" stopIfTrue="1" operator="lessThan">
      <formula>0.5</formula>
    </cfRule>
  </conditionalFormatting>
  <conditionalFormatting sqref="AR34">
    <cfRule type="cellIs" dxfId="12452" priority="139651" stopIfTrue="1" operator="greaterThanOrEqual">
      <formula>0.5</formula>
    </cfRule>
  </conditionalFormatting>
  <conditionalFormatting sqref="AR35">
    <cfRule type="cellIs" dxfId="12451" priority="139652" stopIfTrue="1" operator="equal">
      <formula>-1</formula>
    </cfRule>
  </conditionalFormatting>
  <conditionalFormatting sqref="AR35">
    <cfRule type="cellIs" dxfId="12450" priority="139653" stopIfTrue="1" operator="lessThan">
      <formula>0.5</formula>
    </cfRule>
  </conditionalFormatting>
  <conditionalFormatting sqref="AR35">
    <cfRule type="cellIs" dxfId="12449" priority="139654" stopIfTrue="1" operator="greaterThanOrEqual">
      <formula>0.5</formula>
    </cfRule>
  </conditionalFormatting>
  <conditionalFormatting sqref="AR36">
    <cfRule type="cellIs" dxfId="12448" priority="139655" stopIfTrue="1" operator="equal">
      <formula>-1</formula>
    </cfRule>
  </conditionalFormatting>
  <conditionalFormatting sqref="AR36">
    <cfRule type="cellIs" dxfId="12447" priority="139656" stopIfTrue="1" operator="lessThan">
      <formula>0.5</formula>
    </cfRule>
  </conditionalFormatting>
  <conditionalFormatting sqref="AR36">
    <cfRule type="cellIs" dxfId="12446" priority="139657" stopIfTrue="1" operator="greaterThanOrEqual">
      <formula>0.5</formula>
    </cfRule>
  </conditionalFormatting>
  <conditionalFormatting sqref="AR37">
    <cfRule type="cellIs" dxfId="12445" priority="139658" stopIfTrue="1" operator="equal">
      <formula>-1</formula>
    </cfRule>
  </conditionalFormatting>
  <conditionalFormatting sqref="AR37">
    <cfRule type="cellIs" dxfId="12444" priority="139659" stopIfTrue="1" operator="lessThan">
      <formula>0.5</formula>
    </cfRule>
  </conditionalFormatting>
  <conditionalFormatting sqref="AR37">
    <cfRule type="cellIs" dxfId="12443" priority="139660" stopIfTrue="1" operator="greaterThanOrEqual">
      <formula>0.5</formula>
    </cfRule>
  </conditionalFormatting>
  <conditionalFormatting sqref="AT17">
    <cfRule type="cellIs" dxfId="12442" priority="139661" stopIfTrue="1" operator="equal">
      <formula>-1</formula>
    </cfRule>
  </conditionalFormatting>
  <conditionalFormatting sqref="AT17">
    <cfRule type="cellIs" dxfId="12441" priority="139662" stopIfTrue="1" operator="lessThan">
      <formula>0.5</formula>
    </cfRule>
  </conditionalFormatting>
  <conditionalFormatting sqref="AT17">
    <cfRule type="cellIs" dxfId="12440" priority="139663" stopIfTrue="1" operator="greaterThanOrEqual">
      <formula>0.5</formula>
    </cfRule>
  </conditionalFormatting>
  <conditionalFormatting sqref="AT18">
    <cfRule type="cellIs" dxfId="12439" priority="139664" stopIfTrue="1" operator="equal">
      <formula>-1</formula>
    </cfRule>
  </conditionalFormatting>
  <conditionalFormatting sqref="AT18">
    <cfRule type="cellIs" dxfId="12438" priority="139665" stopIfTrue="1" operator="lessThan">
      <formula>0.5</formula>
    </cfRule>
  </conditionalFormatting>
  <conditionalFormatting sqref="AT18">
    <cfRule type="cellIs" dxfId="12437" priority="139666" stopIfTrue="1" operator="greaterThanOrEqual">
      <formula>0.5</formula>
    </cfRule>
  </conditionalFormatting>
  <conditionalFormatting sqref="AT19">
    <cfRule type="cellIs" dxfId="12436" priority="139667" stopIfTrue="1" operator="equal">
      <formula>-1</formula>
    </cfRule>
  </conditionalFormatting>
  <conditionalFormatting sqref="AT19">
    <cfRule type="cellIs" dxfId="12435" priority="139668" stopIfTrue="1" operator="lessThan">
      <formula>0.5</formula>
    </cfRule>
  </conditionalFormatting>
  <conditionalFormatting sqref="AT19">
    <cfRule type="cellIs" dxfId="12434" priority="139669" stopIfTrue="1" operator="greaterThanOrEqual">
      <formula>0.5</formula>
    </cfRule>
  </conditionalFormatting>
  <conditionalFormatting sqref="AT20">
    <cfRule type="cellIs" dxfId="12433" priority="139670" stopIfTrue="1" operator="equal">
      <formula>-1</formula>
    </cfRule>
  </conditionalFormatting>
  <conditionalFormatting sqref="AT20">
    <cfRule type="cellIs" dxfId="12432" priority="139671" stopIfTrue="1" operator="lessThan">
      <formula>0.5</formula>
    </cfRule>
  </conditionalFormatting>
  <conditionalFormatting sqref="AT20">
    <cfRule type="cellIs" dxfId="12431" priority="139672" stopIfTrue="1" operator="greaterThanOrEqual">
      <formula>0.5</formula>
    </cfRule>
  </conditionalFormatting>
  <conditionalFormatting sqref="AT21">
    <cfRule type="cellIs" dxfId="12430" priority="139673" stopIfTrue="1" operator="equal">
      <formula>-1</formula>
    </cfRule>
  </conditionalFormatting>
  <conditionalFormatting sqref="AT21">
    <cfRule type="cellIs" dxfId="12429" priority="139674" stopIfTrue="1" operator="lessThan">
      <formula>0.5</formula>
    </cfRule>
  </conditionalFormatting>
  <conditionalFormatting sqref="AT21">
    <cfRule type="cellIs" dxfId="12428" priority="139675" stopIfTrue="1" operator="greaterThanOrEqual">
      <formula>0.5</formula>
    </cfRule>
  </conditionalFormatting>
  <conditionalFormatting sqref="AT22">
    <cfRule type="cellIs" dxfId="12427" priority="139676" stopIfTrue="1" operator="equal">
      <formula>-1</formula>
    </cfRule>
  </conditionalFormatting>
  <conditionalFormatting sqref="AT22">
    <cfRule type="cellIs" dxfId="12426" priority="139677" stopIfTrue="1" operator="lessThan">
      <formula>0.5</formula>
    </cfRule>
  </conditionalFormatting>
  <conditionalFormatting sqref="AT22">
    <cfRule type="cellIs" dxfId="12425" priority="139678" stopIfTrue="1" operator="greaterThanOrEqual">
      <formula>0.5</formula>
    </cfRule>
  </conditionalFormatting>
  <conditionalFormatting sqref="AT23">
    <cfRule type="cellIs" dxfId="12424" priority="139679" stopIfTrue="1" operator="equal">
      <formula>-1</formula>
    </cfRule>
  </conditionalFormatting>
  <conditionalFormatting sqref="AT23">
    <cfRule type="cellIs" dxfId="12423" priority="139680" stopIfTrue="1" operator="lessThan">
      <formula>0.5</formula>
    </cfRule>
  </conditionalFormatting>
  <conditionalFormatting sqref="AT23">
    <cfRule type="cellIs" dxfId="12422" priority="139681" stopIfTrue="1" operator="greaterThanOrEqual">
      <formula>0.5</formula>
    </cfRule>
  </conditionalFormatting>
  <conditionalFormatting sqref="AT24">
    <cfRule type="cellIs" dxfId="12421" priority="139682" stopIfTrue="1" operator="equal">
      <formula>-1</formula>
    </cfRule>
  </conditionalFormatting>
  <conditionalFormatting sqref="AT24">
    <cfRule type="cellIs" dxfId="12420" priority="139683" stopIfTrue="1" operator="lessThan">
      <formula>0.5</formula>
    </cfRule>
  </conditionalFormatting>
  <conditionalFormatting sqref="AT24">
    <cfRule type="cellIs" dxfId="12419" priority="139684" stopIfTrue="1" operator="greaterThanOrEqual">
      <formula>0.5</formula>
    </cfRule>
  </conditionalFormatting>
  <conditionalFormatting sqref="AT25">
    <cfRule type="cellIs" dxfId="12418" priority="139685" stopIfTrue="1" operator="equal">
      <formula>-1</formula>
    </cfRule>
  </conditionalFormatting>
  <conditionalFormatting sqref="AT25">
    <cfRule type="cellIs" dxfId="12417" priority="139686" stopIfTrue="1" operator="lessThan">
      <formula>0.5</formula>
    </cfRule>
  </conditionalFormatting>
  <conditionalFormatting sqref="AT25">
    <cfRule type="cellIs" dxfId="12416" priority="139687" stopIfTrue="1" operator="greaterThanOrEqual">
      <formula>0.5</formula>
    </cfRule>
  </conditionalFormatting>
  <conditionalFormatting sqref="AT26">
    <cfRule type="cellIs" dxfId="12415" priority="139688" stopIfTrue="1" operator="equal">
      <formula>-1</formula>
    </cfRule>
  </conditionalFormatting>
  <conditionalFormatting sqref="AT26">
    <cfRule type="cellIs" dxfId="12414" priority="139689" stopIfTrue="1" operator="lessThan">
      <formula>0.5</formula>
    </cfRule>
  </conditionalFormatting>
  <conditionalFormatting sqref="AT26">
    <cfRule type="cellIs" dxfId="12413" priority="139690" stopIfTrue="1" operator="greaterThanOrEqual">
      <formula>0.5</formula>
    </cfRule>
  </conditionalFormatting>
  <conditionalFormatting sqref="AT27">
    <cfRule type="cellIs" dxfId="12412" priority="139691" stopIfTrue="1" operator="equal">
      <formula>-1</formula>
    </cfRule>
  </conditionalFormatting>
  <conditionalFormatting sqref="AT27">
    <cfRule type="cellIs" dxfId="12411" priority="139692" stopIfTrue="1" operator="lessThan">
      <formula>0.5</formula>
    </cfRule>
  </conditionalFormatting>
  <conditionalFormatting sqref="AT27">
    <cfRule type="cellIs" dxfId="12410" priority="139693" stopIfTrue="1" operator="greaterThanOrEqual">
      <formula>0.5</formula>
    </cfRule>
  </conditionalFormatting>
  <conditionalFormatting sqref="AT28">
    <cfRule type="cellIs" dxfId="12409" priority="139694" stopIfTrue="1" operator="equal">
      <formula>-1</formula>
    </cfRule>
  </conditionalFormatting>
  <conditionalFormatting sqref="AT28">
    <cfRule type="cellIs" dxfId="12408" priority="139695" stopIfTrue="1" operator="lessThan">
      <formula>0.5</formula>
    </cfRule>
  </conditionalFormatting>
  <conditionalFormatting sqref="AT28">
    <cfRule type="cellIs" dxfId="12407" priority="139696" stopIfTrue="1" operator="greaterThanOrEqual">
      <formula>0.5</formula>
    </cfRule>
  </conditionalFormatting>
  <conditionalFormatting sqref="AT29">
    <cfRule type="cellIs" dxfId="12406" priority="139697" stopIfTrue="1" operator="equal">
      <formula>-1</formula>
    </cfRule>
  </conditionalFormatting>
  <conditionalFormatting sqref="AT29">
    <cfRule type="cellIs" dxfId="12405" priority="139698" stopIfTrue="1" operator="lessThan">
      <formula>0.5</formula>
    </cfRule>
  </conditionalFormatting>
  <conditionalFormatting sqref="AT29">
    <cfRule type="cellIs" dxfId="12404" priority="139699" stopIfTrue="1" operator="greaterThanOrEqual">
      <formula>0.5</formula>
    </cfRule>
  </conditionalFormatting>
  <conditionalFormatting sqref="AT30">
    <cfRule type="cellIs" dxfId="12403" priority="139700" stopIfTrue="1" operator="equal">
      <formula>-1</formula>
    </cfRule>
  </conditionalFormatting>
  <conditionalFormatting sqref="AT30">
    <cfRule type="cellIs" dxfId="12402" priority="139701" stopIfTrue="1" operator="lessThan">
      <formula>0.5</formula>
    </cfRule>
  </conditionalFormatting>
  <conditionalFormatting sqref="AT30">
    <cfRule type="cellIs" dxfId="12401" priority="139702" stopIfTrue="1" operator="greaterThanOrEqual">
      <formula>0.5</formula>
    </cfRule>
  </conditionalFormatting>
  <conditionalFormatting sqref="AT31">
    <cfRule type="cellIs" dxfId="12400" priority="139703" stopIfTrue="1" operator="equal">
      <formula>-1</formula>
    </cfRule>
  </conditionalFormatting>
  <conditionalFormatting sqref="AT31">
    <cfRule type="cellIs" dxfId="12399" priority="139704" stopIfTrue="1" operator="lessThan">
      <formula>0.5</formula>
    </cfRule>
  </conditionalFormatting>
  <conditionalFormatting sqref="AT31">
    <cfRule type="cellIs" dxfId="12398" priority="139705" stopIfTrue="1" operator="greaterThanOrEqual">
      <formula>0.5</formula>
    </cfRule>
  </conditionalFormatting>
  <conditionalFormatting sqref="AT32">
    <cfRule type="cellIs" dxfId="12397" priority="139706" stopIfTrue="1" operator="equal">
      <formula>-1</formula>
    </cfRule>
  </conditionalFormatting>
  <conditionalFormatting sqref="AT32">
    <cfRule type="cellIs" dxfId="12396" priority="139707" stopIfTrue="1" operator="lessThan">
      <formula>0.5</formula>
    </cfRule>
  </conditionalFormatting>
  <conditionalFormatting sqref="AT32">
    <cfRule type="cellIs" dxfId="12395" priority="139708" stopIfTrue="1" operator="greaterThanOrEqual">
      <formula>0.5</formula>
    </cfRule>
  </conditionalFormatting>
  <conditionalFormatting sqref="AT33">
    <cfRule type="cellIs" dxfId="12394" priority="139709" stopIfTrue="1" operator="equal">
      <formula>-1</formula>
    </cfRule>
  </conditionalFormatting>
  <conditionalFormatting sqref="AT33">
    <cfRule type="cellIs" dxfId="12393" priority="139710" stopIfTrue="1" operator="lessThan">
      <formula>0.5</formula>
    </cfRule>
  </conditionalFormatting>
  <conditionalFormatting sqref="AT33">
    <cfRule type="cellIs" dxfId="12392" priority="139711" stopIfTrue="1" operator="greaterThanOrEqual">
      <formula>0.5</formula>
    </cfRule>
  </conditionalFormatting>
  <conditionalFormatting sqref="AT34">
    <cfRule type="cellIs" dxfId="12391" priority="139712" stopIfTrue="1" operator="equal">
      <formula>-1</formula>
    </cfRule>
  </conditionalFormatting>
  <conditionalFormatting sqref="AT34">
    <cfRule type="cellIs" dxfId="12390" priority="139713" stopIfTrue="1" operator="lessThan">
      <formula>0.5</formula>
    </cfRule>
  </conditionalFormatting>
  <conditionalFormatting sqref="AT34">
    <cfRule type="cellIs" dxfId="12389" priority="139714" stopIfTrue="1" operator="greaterThanOrEqual">
      <formula>0.5</formula>
    </cfRule>
  </conditionalFormatting>
  <conditionalFormatting sqref="AT35">
    <cfRule type="cellIs" dxfId="12388" priority="139715" stopIfTrue="1" operator="equal">
      <formula>-1</formula>
    </cfRule>
  </conditionalFormatting>
  <conditionalFormatting sqref="AT35">
    <cfRule type="cellIs" dxfId="12387" priority="139716" stopIfTrue="1" operator="lessThan">
      <formula>0.5</formula>
    </cfRule>
  </conditionalFormatting>
  <conditionalFormatting sqref="AT35">
    <cfRule type="cellIs" dxfId="12386" priority="139717" stopIfTrue="1" operator="greaterThanOrEqual">
      <formula>0.5</formula>
    </cfRule>
  </conditionalFormatting>
  <conditionalFormatting sqref="AT36">
    <cfRule type="cellIs" dxfId="12385" priority="139718" stopIfTrue="1" operator="equal">
      <formula>-1</formula>
    </cfRule>
  </conditionalFormatting>
  <conditionalFormatting sqref="AT36">
    <cfRule type="cellIs" dxfId="12384" priority="139719" stopIfTrue="1" operator="lessThan">
      <formula>0.5</formula>
    </cfRule>
  </conditionalFormatting>
  <conditionalFormatting sqref="AT36">
    <cfRule type="cellIs" dxfId="12383" priority="139720" stopIfTrue="1" operator="greaterThanOrEqual">
      <formula>0.5</formula>
    </cfRule>
  </conditionalFormatting>
  <conditionalFormatting sqref="AT37">
    <cfRule type="cellIs" dxfId="12382" priority="139721" stopIfTrue="1" operator="equal">
      <formula>-1</formula>
    </cfRule>
  </conditionalFormatting>
  <conditionalFormatting sqref="AT37">
    <cfRule type="cellIs" dxfId="12381" priority="139722" stopIfTrue="1" operator="lessThan">
      <formula>0.5</formula>
    </cfRule>
  </conditionalFormatting>
  <conditionalFormatting sqref="AT37">
    <cfRule type="cellIs" dxfId="12380" priority="139723" stopIfTrue="1" operator="greaterThanOrEqual">
      <formula>0.5</formula>
    </cfRule>
  </conditionalFormatting>
  <conditionalFormatting sqref="AV17">
    <cfRule type="cellIs" dxfId="12379" priority="139724" stopIfTrue="1" operator="equal">
      <formula>-1</formula>
    </cfRule>
  </conditionalFormatting>
  <conditionalFormatting sqref="AV17">
    <cfRule type="cellIs" dxfId="12378" priority="139725" stopIfTrue="1" operator="lessThan">
      <formula>0.5</formula>
    </cfRule>
  </conditionalFormatting>
  <conditionalFormatting sqref="AV17">
    <cfRule type="cellIs" dxfId="12377" priority="139726" stopIfTrue="1" operator="greaterThanOrEqual">
      <formula>0.5</formula>
    </cfRule>
  </conditionalFormatting>
  <conditionalFormatting sqref="AV18">
    <cfRule type="cellIs" dxfId="12376" priority="139727" stopIfTrue="1" operator="equal">
      <formula>-1</formula>
    </cfRule>
  </conditionalFormatting>
  <conditionalFormatting sqref="AV18">
    <cfRule type="cellIs" dxfId="12375" priority="139728" stopIfTrue="1" operator="lessThan">
      <formula>0.5</formula>
    </cfRule>
  </conditionalFormatting>
  <conditionalFormatting sqref="AV18">
    <cfRule type="cellIs" dxfId="12374" priority="139729" stopIfTrue="1" operator="greaterThanOrEqual">
      <formula>0.5</formula>
    </cfRule>
  </conditionalFormatting>
  <conditionalFormatting sqref="AV19">
    <cfRule type="cellIs" dxfId="12373" priority="139730" stopIfTrue="1" operator="equal">
      <formula>-1</formula>
    </cfRule>
  </conditionalFormatting>
  <conditionalFormatting sqref="AV19">
    <cfRule type="cellIs" dxfId="12372" priority="139731" stopIfTrue="1" operator="lessThan">
      <formula>0.5</formula>
    </cfRule>
  </conditionalFormatting>
  <conditionalFormatting sqref="AV19">
    <cfRule type="cellIs" dxfId="12371" priority="139732" stopIfTrue="1" operator="greaterThanOrEqual">
      <formula>0.5</formula>
    </cfRule>
  </conditionalFormatting>
  <conditionalFormatting sqref="AV20">
    <cfRule type="cellIs" dxfId="12370" priority="139733" stopIfTrue="1" operator="equal">
      <formula>-1</formula>
    </cfRule>
  </conditionalFormatting>
  <conditionalFormatting sqref="AV20">
    <cfRule type="cellIs" dxfId="12369" priority="139734" stopIfTrue="1" operator="lessThan">
      <formula>0.5</formula>
    </cfRule>
  </conditionalFormatting>
  <conditionalFormatting sqref="AV20">
    <cfRule type="cellIs" dxfId="12368" priority="139735" stopIfTrue="1" operator="greaterThanOrEqual">
      <formula>0.5</formula>
    </cfRule>
  </conditionalFormatting>
  <conditionalFormatting sqref="AV21">
    <cfRule type="cellIs" dxfId="12367" priority="139736" stopIfTrue="1" operator="equal">
      <formula>-1</formula>
    </cfRule>
  </conditionalFormatting>
  <conditionalFormatting sqref="AV21">
    <cfRule type="cellIs" dxfId="12366" priority="139737" stopIfTrue="1" operator="lessThan">
      <formula>0.5</formula>
    </cfRule>
  </conditionalFormatting>
  <conditionalFormatting sqref="AV21">
    <cfRule type="cellIs" dxfId="12365" priority="139738" stopIfTrue="1" operator="greaterThanOrEqual">
      <formula>0.5</formula>
    </cfRule>
  </conditionalFormatting>
  <conditionalFormatting sqref="AV22">
    <cfRule type="cellIs" dxfId="12364" priority="139739" stopIfTrue="1" operator="equal">
      <formula>-1</formula>
    </cfRule>
  </conditionalFormatting>
  <conditionalFormatting sqref="AV22">
    <cfRule type="cellIs" dxfId="12363" priority="139740" stopIfTrue="1" operator="lessThan">
      <formula>0.5</formula>
    </cfRule>
  </conditionalFormatting>
  <conditionalFormatting sqref="AV22">
    <cfRule type="cellIs" dxfId="12362" priority="139741" stopIfTrue="1" operator="greaterThanOrEqual">
      <formula>0.5</formula>
    </cfRule>
  </conditionalFormatting>
  <conditionalFormatting sqref="AV23">
    <cfRule type="cellIs" dxfId="12361" priority="139742" stopIfTrue="1" operator="equal">
      <formula>-1</formula>
    </cfRule>
  </conditionalFormatting>
  <conditionalFormatting sqref="AV23">
    <cfRule type="cellIs" dxfId="12360" priority="139743" stopIfTrue="1" operator="lessThan">
      <formula>0.5</formula>
    </cfRule>
  </conditionalFormatting>
  <conditionalFormatting sqref="AV23">
    <cfRule type="cellIs" dxfId="12359" priority="139744" stopIfTrue="1" operator="greaterThanOrEqual">
      <formula>0.5</formula>
    </cfRule>
  </conditionalFormatting>
  <conditionalFormatting sqref="AV24">
    <cfRule type="cellIs" dxfId="12358" priority="139745" stopIfTrue="1" operator="equal">
      <formula>-1</formula>
    </cfRule>
  </conditionalFormatting>
  <conditionalFormatting sqref="AV24">
    <cfRule type="cellIs" dxfId="12357" priority="139746" stopIfTrue="1" operator="lessThan">
      <formula>0.5</formula>
    </cfRule>
  </conditionalFormatting>
  <conditionalFormatting sqref="AV24">
    <cfRule type="cellIs" dxfId="12356" priority="139747" stopIfTrue="1" operator="greaterThanOrEqual">
      <formula>0.5</formula>
    </cfRule>
  </conditionalFormatting>
  <conditionalFormatting sqref="AV25">
    <cfRule type="cellIs" dxfId="12355" priority="139748" stopIfTrue="1" operator="equal">
      <formula>-1</formula>
    </cfRule>
  </conditionalFormatting>
  <conditionalFormatting sqref="AV25">
    <cfRule type="cellIs" dxfId="12354" priority="139749" stopIfTrue="1" operator="lessThan">
      <formula>0.5</formula>
    </cfRule>
  </conditionalFormatting>
  <conditionalFormatting sqref="AV25">
    <cfRule type="cellIs" dxfId="12353" priority="139750" stopIfTrue="1" operator="greaterThanOrEqual">
      <formula>0.5</formula>
    </cfRule>
  </conditionalFormatting>
  <conditionalFormatting sqref="AV26">
    <cfRule type="cellIs" dxfId="12352" priority="139751" stopIfTrue="1" operator="equal">
      <formula>-1</formula>
    </cfRule>
  </conditionalFormatting>
  <conditionalFormatting sqref="AV26">
    <cfRule type="cellIs" dxfId="12351" priority="139752" stopIfTrue="1" operator="lessThan">
      <formula>0.5</formula>
    </cfRule>
  </conditionalFormatting>
  <conditionalFormatting sqref="AV26">
    <cfRule type="cellIs" dxfId="12350" priority="139753" stopIfTrue="1" operator="greaterThanOrEqual">
      <formula>0.5</formula>
    </cfRule>
  </conditionalFormatting>
  <conditionalFormatting sqref="AV27">
    <cfRule type="cellIs" dxfId="12349" priority="139754" stopIfTrue="1" operator="equal">
      <formula>-1</formula>
    </cfRule>
  </conditionalFormatting>
  <conditionalFormatting sqref="AV27">
    <cfRule type="cellIs" dxfId="12348" priority="139755" stopIfTrue="1" operator="lessThan">
      <formula>0.5</formula>
    </cfRule>
  </conditionalFormatting>
  <conditionalFormatting sqref="AV27">
    <cfRule type="cellIs" dxfId="12347" priority="139756" stopIfTrue="1" operator="greaterThanOrEqual">
      <formula>0.5</formula>
    </cfRule>
  </conditionalFormatting>
  <conditionalFormatting sqref="AV28">
    <cfRule type="cellIs" dxfId="12346" priority="139757" stopIfTrue="1" operator="equal">
      <formula>-1</formula>
    </cfRule>
  </conditionalFormatting>
  <conditionalFormatting sqref="AV28">
    <cfRule type="cellIs" dxfId="12345" priority="139758" stopIfTrue="1" operator="lessThan">
      <formula>0.5</formula>
    </cfRule>
  </conditionalFormatting>
  <conditionalFormatting sqref="AV28">
    <cfRule type="cellIs" dxfId="12344" priority="139759" stopIfTrue="1" operator="greaterThanOrEqual">
      <formula>0.5</formula>
    </cfRule>
  </conditionalFormatting>
  <conditionalFormatting sqref="AV29">
    <cfRule type="cellIs" dxfId="12343" priority="139760" stopIfTrue="1" operator="equal">
      <formula>-1</formula>
    </cfRule>
  </conditionalFormatting>
  <conditionalFormatting sqref="AV29">
    <cfRule type="cellIs" dxfId="12342" priority="139761" stopIfTrue="1" operator="lessThan">
      <formula>0.5</formula>
    </cfRule>
  </conditionalFormatting>
  <conditionalFormatting sqref="AV29">
    <cfRule type="cellIs" dxfId="12341" priority="139762" stopIfTrue="1" operator="greaterThanOrEqual">
      <formula>0.5</formula>
    </cfRule>
  </conditionalFormatting>
  <conditionalFormatting sqref="AV30">
    <cfRule type="cellIs" dxfId="12340" priority="139763" stopIfTrue="1" operator="equal">
      <formula>-1</formula>
    </cfRule>
  </conditionalFormatting>
  <conditionalFormatting sqref="AV30">
    <cfRule type="cellIs" dxfId="12339" priority="139764" stopIfTrue="1" operator="lessThan">
      <formula>0.5</formula>
    </cfRule>
  </conditionalFormatting>
  <conditionalFormatting sqref="AV30">
    <cfRule type="cellIs" dxfId="12338" priority="139765" stopIfTrue="1" operator="greaterThanOrEqual">
      <formula>0.5</formula>
    </cfRule>
  </conditionalFormatting>
  <conditionalFormatting sqref="AV31">
    <cfRule type="cellIs" dxfId="12337" priority="139766" stopIfTrue="1" operator="equal">
      <formula>-1</formula>
    </cfRule>
  </conditionalFormatting>
  <conditionalFormatting sqref="AV31">
    <cfRule type="cellIs" dxfId="12336" priority="139767" stopIfTrue="1" operator="lessThan">
      <formula>0.5</formula>
    </cfRule>
  </conditionalFormatting>
  <conditionalFormatting sqref="AV31">
    <cfRule type="cellIs" dxfId="12335" priority="139768" stopIfTrue="1" operator="greaterThanOrEqual">
      <formula>0.5</formula>
    </cfRule>
  </conditionalFormatting>
  <conditionalFormatting sqref="AV32">
    <cfRule type="cellIs" dxfId="12334" priority="139769" stopIfTrue="1" operator="equal">
      <formula>-1</formula>
    </cfRule>
  </conditionalFormatting>
  <conditionalFormatting sqref="AV32">
    <cfRule type="cellIs" dxfId="12333" priority="139770" stopIfTrue="1" operator="lessThan">
      <formula>0.5</formula>
    </cfRule>
  </conditionalFormatting>
  <conditionalFormatting sqref="AV32">
    <cfRule type="cellIs" dxfId="12332" priority="139771" stopIfTrue="1" operator="greaterThanOrEqual">
      <formula>0.5</formula>
    </cfRule>
  </conditionalFormatting>
  <conditionalFormatting sqref="AV33">
    <cfRule type="cellIs" dxfId="12331" priority="139772" stopIfTrue="1" operator="equal">
      <formula>-1</formula>
    </cfRule>
  </conditionalFormatting>
  <conditionalFormatting sqref="AV33">
    <cfRule type="cellIs" dxfId="12330" priority="139773" stopIfTrue="1" operator="lessThan">
      <formula>0.5</formula>
    </cfRule>
  </conditionalFormatting>
  <conditionalFormatting sqref="AV33">
    <cfRule type="cellIs" dxfId="12329" priority="139774" stopIfTrue="1" operator="greaterThanOrEqual">
      <formula>0.5</formula>
    </cfRule>
  </conditionalFormatting>
  <conditionalFormatting sqref="AV34">
    <cfRule type="cellIs" dxfId="12328" priority="139775" stopIfTrue="1" operator="equal">
      <formula>-1</formula>
    </cfRule>
  </conditionalFormatting>
  <conditionalFormatting sqref="AV34">
    <cfRule type="cellIs" dxfId="12327" priority="139776" stopIfTrue="1" operator="lessThan">
      <formula>0.5</formula>
    </cfRule>
  </conditionalFormatting>
  <conditionalFormatting sqref="AV34">
    <cfRule type="cellIs" dxfId="12326" priority="139777" stopIfTrue="1" operator="greaterThanOrEqual">
      <formula>0.5</formula>
    </cfRule>
  </conditionalFormatting>
  <conditionalFormatting sqref="AV35">
    <cfRule type="cellIs" dxfId="12325" priority="139778" stopIfTrue="1" operator="equal">
      <formula>-1</formula>
    </cfRule>
  </conditionalFormatting>
  <conditionalFormatting sqref="AV35">
    <cfRule type="cellIs" dxfId="12324" priority="139779" stopIfTrue="1" operator="lessThan">
      <formula>0.5</formula>
    </cfRule>
  </conditionalFormatting>
  <conditionalFormatting sqref="AV35">
    <cfRule type="cellIs" dxfId="12323" priority="139780" stopIfTrue="1" operator="greaterThanOrEqual">
      <formula>0.5</formula>
    </cfRule>
  </conditionalFormatting>
  <conditionalFormatting sqref="AV36">
    <cfRule type="cellIs" dxfId="12322" priority="139781" stopIfTrue="1" operator="equal">
      <formula>-1</formula>
    </cfRule>
  </conditionalFormatting>
  <conditionalFormatting sqref="AV36">
    <cfRule type="cellIs" dxfId="12321" priority="139782" stopIfTrue="1" operator="lessThan">
      <formula>0.5</formula>
    </cfRule>
  </conditionalFormatting>
  <conditionalFormatting sqref="AV36">
    <cfRule type="cellIs" dxfId="12320" priority="139783" stopIfTrue="1" operator="greaterThanOrEqual">
      <formula>0.5</formula>
    </cfRule>
  </conditionalFormatting>
  <conditionalFormatting sqref="AV37">
    <cfRule type="cellIs" dxfId="12319" priority="139784" stopIfTrue="1" operator="equal">
      <formula>-1</formula>
    </cfRule>
  </conditionalFormatting>
  <conditionalFormatting sqref="AV37">
    <cfRule type="cellIs" dxfId="12318" priority="139785" stopIfTrue="1" operator="lessThan">
      <formula>0.5</formula>
    </cfRule>
  </conditionalFormatting>
  <conditionalFormatting sqref="AV37">
    <cfRule type="cellIs" dxfId="12317" priority="139786" stopIfTrue="1" operator="greaterThanOrEqual">
      <formula>0.5</formula>
    </cfRule>
  </conditionalFormatting>
  <conditionalFormatting sqref="AX17">
    <cfRule type="cellIs" dxfId="12316" priority="139787" stopIfTrue="1" operator="equal">
      <formula>-1</formula>
    </cfRule>
  </conditionalFormatting>
  <conditionalFormatting sqref="AX17">
    <cfRule type="cellIs" dxfId="12315" priority="139788" stopIfTrue="1" operator="lessThan">
      <formula>0.5</formula>
    </cfRule>
  </conditionalFormatting>
  <conditionalFormatting sqref="AX17">
    <cfRule type="cellIs" dxfId="12314" priority="139789" stopIfTrue="1" operator="greaterThanOrEqual">
      <formula>0.5</formula>
    </cfRule>
  </conditionalFormatting>
  <conditionalFormatting sqref="AX18">
    <cfRule type="cellIs" dxfId="12313" priority="139790" stopIfTrue="1" operator="equal">
      <formula>-1</formula>
    </cfRule>
  </conditionalFormatting>
  <conditionalFormatting sqref="AX18">
    <cfRule type="cellIs" dxfId="12312" priority="139791" stopIfTrue="1" operator="lessThan">
      <formula>0.5</formula>
    </cfRule>
  </conditionalFormatting>
  <conditionalFormatting sqref="AX18">
    <cfRule type="cellIs" dxfId="12311" priority="139792" stopIfTrue="1" operator="greaterThanOrEqual">
      <formula>0.5</formula>
    </cfRule>
  </conditionalFormatting>
  <conditionalFormatting sqref="AX19">
    <cfRule type="cellIs" dxfId="12310" priority="139793" stopIfTrue="1" operator="equal">
      <formula>-1</formula>
    </cfRule>
  </conditionalFormatting>
  <conditionalFormatting sqref="AX19">
    <cfRule type="cellIs" dxfId="12309" priority="139794" stopIfTrue="1" operator="lessThan">
      <formula>0.5</formula>
    </cfRule>
  </conditionalFormatting>
  <conditionalFormatting sqref="AX19">
    <cfRule type="cellIs" dxfId="12308" priority="139795" stopIfTrue="1" operator="greaterThanOrEqual">
      <formula>0.5</formula>
    </cfRule>
  </conditionalFormatting>
  <conditionalFormatting sqref="AX20">
    <cfRule type="cellIs" dxfId="12307" priority="139796" stopIfTrue="1" operator="equal">
      <formula>-1</formula>
    </cfRule>
  </conditionalFormatting>
  <conditionalFormatting sqref="AX20">
    <cfRule type="cellIs" dxfId="12306" priority="139797" stopIfTrue="1" operator="lessThan">
      <formula>0.5</formula>
    </cfRule>
  </conditionalFormatting>
  <conditionalFormatting sqref="AX20">
    <cfRule type="cellIs" dxfId="12305" priority="139798" stopIfTrue="1" operator="greaterThanOrEqual">
      <formula>0.5</formula>
    </cfRule>
  </conditionalFormatting>
  <conditionalFormatting sqref="AX21">
    <cfRule type="cellIs" dxfId="12304" priority="139799" stopIfTrue="1" operator="equal">
      <formula>-1</formula>
    </cfRule>
  </conditionalFormatting>
  <conditionalFormatting sqref="AX21">
    <cfRule type="cellIs" dxfId="12303" priority="139800" stopIfTrue="1" operator="lessThan">
      <formula>0.5</formula>
    </cfRule>
  </conditionalFormatting>
  <conditionalFormatting sqref="AX21">
    <cfRule type="cellIs" dxfId="12302" priority="139801" stopIfTrue="1" operator="greaterThanOrEqual">
      <formula>0.5</formula>
    </cfRule>
  </conditionalFormatting>
  <conditionalFormatting sqref="AX22">
    <cfRule type="cellIs" dxfId="12301" priority="139802" stopIfTrue="1" operator="equal">
      <formula>-1</formula>
    </cfRule>
  </conditionalFormatting>
  <conditionalFormatting sqref="AX22">
    <cfRule type="cellIs" dxfId="12300" priority="139803" stopIfTrue="1" operator="lessThan">
      <formula>0.5</formula>
    </cfRule>
  </conditionalFormatting>
  <conditionalFormatting sqref="AX22">
    <cfRule type="cellIs" dxfId="12299" priority="139804" stopIfTrue="1" operator="greaterThanOrEqual">
      <formula>0.5</formula>
    </cfRule>
  </conditionalFormatting>
  <conditionalFormatting sqref="AX23">
    <cfRule type="cellIs" dxfId="12298" priority="139805" stopIfTrue="1" operator="equal">
      <formula>-1</formula>
    </cfRule>
  </conditionalFormatting>
  <conditionalFormatting sqref="AX23">
    <cfRule type="cellIs" dxfId="12297" priority="139806" stopIfTrue="1" operator="lessThan">
      <formula>0.5</formula>
    </cfRule>
  </conditionalFormatting>
  <conditionalFormatting sqref="AX23">
    <cfRule type="cellIs" dxfId="12296" priority="139807" stopIfTrue="1" operator="greaterThanOrEqual">
      <formula>0.5</formula>
    </cfRule>
  </conditionalFormatting>
  <conditionalFormatting sqref="AX24">
    <cfRule type="cellIs" dxfId="12295" priority="139808" stopIfTrue="1" operator="equal">
      <formula>-1</formula>
    </cfRule>
  </conditionalFormatting>
  <conditionalFormatting sqref="AX24">
    <cfRule type="cellIs" dxfId="12294" priority="139809" stopIfTrue="1" operator="lessThan">
      <formula>0.5</formula>
    </cfRule>
  </conditionalFormatting>
  <conditionalFormatting sqref="AX24">
    <cfRule type="cellIs" dxfId="12293" priority="139810" stopIfTrue="1" operator="greaterThanOrEqual">
      <formula>0.5</formula>
    </cfRule>
  </conditionalFormatting>
  <conditionalFormatting sqref="AX25">
    <cfRule type="cellIs" dxfId="12292" priority="139811" stopIfTrue="1" operator="equal">
      <formula>-1</formula>
    </cfRule>
  </conditionalFormatting>
  <conditionalFormatting sqref="AX25">
    <cfRule type="cellIs" dxfId="12291" priority="139812" stopIfTrue="1" operator="lessThan">
      <formula>0.5</formula>
    </cfRule>
  </conditionalFormatting>
  <conditionalFormatting sqref="AX25">
    <cfRule type="cellIs" dxfId="12290" priority="139813" stopIfTrue="1" operator="greaterThanOrEqual">
      <formula>0.5</formula>
    </cfRule>
  </conditionalFormatting>
  <conditionalFormatting sqref="AX26">
    <cfRule type="cellIs" dxfId="12289" priority="139814" stopIfTrue="1" operator="equal">
      <formula>-1</formula>
    </cfRule>
  </conditionalFormatting>
  <conditionalFormatting sqref="AX26">
    <cfRule type="cellIs" dxfId="12288" priority="139815" stopIfTrue="1" operator="lessThan">
      <formula>0.5</formula>
    </cfRule>
  </conditionalFormatting>
  <conditionalFormatting sqref="AX26">
    <cfRule type="cellIs" dxfId="12287" priority="139816" stopIfTrue="1" operator="greaterThanOrEqual">
      <formula>0.5</formula>
    </cfRule>
  </conditionalFormatting>
  <conditionalFormatting sqref="AX27">
    <cfRule type="cellIs" dxfId="12286" priority="139817" stopIfTrue="1" operator="equal">
      <formula>-1</formula>
    </cfRule>
  </conditionalFormatting>
  <conditionalFormatting sqref="AX27">
    <cfRule type="cellIs" dxfId="12285" priority="139818" stopIfTrue="1" operator="lessThan">
      <formula>0.5</formula>
    </cfRule>
  </conditionalFormatting>
  <conditionalFormatting sqref="AX27">
    <cfRule type="cellIs" dxfId="12284" priority="139819" stopIfTrue="1" operator="greaterThanOrEqual">
      <formula>0.5</formula>
    </cfRule>
  </conditionalFormatting>
  <conditionalFormatting sqref="AX28">
    <cfRule type="cellIs" dxfId="12283" priority="139820" stopIfTrue="1" operator="equal">
      <formula>-1</formula>
    </cfRule>
  </conditionalFormatting>
  <conditionalFormatting sqref="AX28">
    <cfRule type="cellIs" dxfId="12282" priority="139821" stopIfTrue="1" operator="lessThan">
      <formula>0.5</formula>
    </cfRule>
  </conditionalFormatting>
  <conditionalFormatting sqref="AX28">
    <cfRule type="cellIs" dxfId="12281" priority="139822" stopIfTrue="1" operator="greaterThanOrEqual">
      <formula>0.5</formula>
    </cfRule>
  </conditionalFormatting>
  <conditionalFormatting sqref="AX29">
    <cfRule type="cellIs" dxfId="12280" priority="139823" stopIfTrue="1" operator="equal">
      <formula>-1</formula>
    </cfRule>
  </conditionalFormatting>
  <conditionalFormatting sqref="AX29">
    <cfRule type="cellIs" dxfId="12279" priority="139824" stopIfTrue="1" operator="lessThan">
      <formula>0.5</formula>
    </cfRule>
  </conditionalFormatting>
  <conditionalFormatting sqref="AX29">
    <cfRule type="cellIs" dxfId="12278" priority="139825" stopIfTrue="1" operator="greaterThanOrEqual">
      <formula>0.5</formula>
    </cfRule>
  </conditionalFormatting>
  <conditionalFormatting sqref="AX30">
    <cfRule type="cellIs" dxfId="12277" priority="139826" stopIfTrue="1" operator="equal">
      <formula>-1</formula>
    </cfRule>
  </conditionalFormatting>
  <conditionalFormatting sqref="AX30">
    <cfRule type="cellIs" dxfId="12276" priority="139827" stopIfTrue="1" operator="lessThan">
      <formula>0.5</formula>
    </cfRule>
  </conditionalFormatting>
  <conditionalFormatting sqref="AX30">
    <cfRule type="cellIs" dxfId="12275" priority="139828" stopIfTrue="1" operator="greaterThanOrEqual">
      <formula>0.5</formula>
    </cfRule>
  </conditionalFormatting>
  <conditionalFormatting sqref="AX31">
    <cfRule type="cellIs" dxfId="12274" priority="139829" stopIfTrue="1" operator="equal">
      <formula>-1</formula>
    </cfRule>
  </conditionalFormatting>
  <conditionalFormatting sqref="AX31">
    <cfRule type="cellIs" dxfId="12273" priority="139830" stopIfTrue="1" operator="lessThan">
      <formula>0.5</formula>
    </cfRule>
  </conditionalFormatting>
  <conditionalFormatting sqref="AX31">
    <cfRule type="cellIs" dxfId="12272" priority="139831" stopIfTrue="1" operator="greaterThanOrEqual">
      <formula>0.5</formula>
    </cfRule>
  </conditionalFormatting>
  <conditionalFormatting sqref="AX32">
    <cfRule type="cellIs" dxfId="12271" priority="139832" stopIfTrue="1" operator="equal">
      <formula>-1</formula>
    </cfRule>
  </conditionalFormatting>
  <conditionalFormatting sqref="AX32">
    <cfRule type="cellIs" dxfId="12270" priority="139833" stopIfTrue="1" operator="lessThan">
      <formula>0.5</formula>
    </cfRule>
  </conditionalFormatting>
  <conditionalFormatting sqref="AX32">
    <cfRule type="cellIs" dxfId="12269" priority="139834" stopIfTrue="1" operator="greaterThanOrEqual">
      <formula>0.5</formula>
    </cfRule>
  </conditionalFormatting>
  <conditionalFormatting sqref="AX33">
    <cfRule type="cellIs" dxfId="12268" priority="139835" stopIfTrue="1" operator="equal">
      <formula>-1</formula>
    </cfRule>
  </conditionalFormatting>
  <conditionalFormatting sqref="AX33">
    <cfRule type="cellIs" dxfId="12267" priority="139836" stopIfTrue="1" operator="lessThan">
      <formula>0.5</formula>
    </cfRule>
  </conditionalFormatting>
  <conditionalFormatting sqref="AX33">
    <cfRule type="cellIs" dxfId="12266" priority="139837" stopIfTrue="1" operator="greaterThanOrEqual">
      <formula>0.5</formula>
    </cfRule>
  </conditionalFormatting>
  <conditionalFormatting sqref="AX34">
    <cfRule type="cellIs" dxfId="12265" priority="139838" stopIfTrue="1" operator="equal">
      <formula>-1</formula>
    </cfRule>
  </conditionalFormatting>
  <conditionalFormatting sqref="AX34">
    <cfRule type="cellIs" dxfId="12264" priority="139839" stopIfTrue="1" operator="lessThan">
      <formula>0.5</formula>
    </cfRule>
  </conditionalFormatting>
  <conditionalFormatting sqref="AX34">
    <cfRule type="cellIs" dxfId="12263" priority="139840" stopIfTrue="1" operator="greaterThanOrEqual">
      <formula>0.5</formula>
    </cfRule>
  </conditionalFormatting>
  <conditionalFormatting sqref="AX35">
    <cfRule type="cellIs" dxfId="12262" priority="139841" stopIfTrue="1" operator="equal">
      <formula>-1</formula>
    </cfRule>
  </conditionalFormatting>
  <conditionalFormatting sqref="AX35">
    <cfRule type="cellIs" dxfId="12261" priority="139842" stopIfTrue="1" operator="lessThan">
      <formula>0.5</formula>
    </cfRule>
  </conditionalFormatting>
  <conditionalFormatting sqref="AX35">
    <cfRule type="cellIs" dxfId="12260" priority="139843" stopIfTrue="1" operator="greaterThanOrEqual">
      <formula>0.5</formula>
    </cfRule>
  </conditionalFormatting>
  <conditionalFormatting sqref="AX36">
    <cfRule type="cellIs" dxfId="12259" priority="139844" stopIfTrue="1" operator="equal">
      <formula>-1</formula>
    </cfRule>
  </conditionalFormatting>
  <conditionalFormatting sqref="AX36">
    <cfRule type="cellIs" dxfId="12258" priority="139845" stopIfTrue="1" operator="lessThan">
      <formula>0.5</formula>
    </cfRule>
  </conditionalFormatting>
  <conditionalFormatting sqref="AX36">
    <cfRule type="cellIs" dxfId="12257" priority="139846" stopIfTrue="1" operator="greaterThanOrEqual">
      <formula>0.5</formula>
    </cfRule>
  </conditionalFormatting>
  <conditionalFormatting sqref="AX37">
    <cfRule type="cellIs" dxfId="12256" priority="139847" stopIfTrue="1" operator="equal">
      <formula>-1</formula>
    </cfRule>
  </conditionalFormatting>
  <conditionalFormatting sqref="AX37">
    <cfRule type="cellIs" dxfId="12255" priority="139848" stopIfTrue="1" operator="lessThan">
      <formula>0.5</formula>
    </cfRule>
  </conditionalFormatting>
  <conditionalFormatting sqref="AX37">
    <cfRule type="cellIs" dxfId="12254" priority="139849" stopIfTrue="1" operator="greaterThanOrEqual">
      <formula>0.5</formula>
    </cfRule>
  </conditionalFormatting>
  <conditionalFormatting sqref="AZ17">
    <cfRule type="cellIs" dxfId="12253" priority="139850" stopIfTrue="1" operator="equal">
      <formula>-1</formula>
    </cfRule>
  </conditionalFormatting>
  <conditionalFormatting sqref="AZ17">
    <cfRule type="cellIs" dxfId="12252" priority="139851" stopIfTrue="1" operator="lessThan">
      <formula>0.5</formula>
    </cfRule>
  </conditionalFormatting>
  <conditionalFormatting sqref="AZ17">
    <cfRule type="cellIs" dxfId="12251" priority="139852" stopIfTrue="1" operator="greaterThanOrEqual">
      <formula>0.5</formula>
    </cfRule>
  </conditionalFormatting>
  <conditionalFormatting sqref="AZ18">
    <cfRule type="cellIs" dxfId="12250" priority="139853" stopIfTrue="1" operator="equal">
      <formula>-1</formula>
    </cfRule>
  </conditionalFormatting>
  <conditionalFormatting sqref="AZ18">
    <cfRule type="cellIs" dxfId="12249" priority="139854" stopIfTrue="1" operator="lessThan">
      <formula>0.5</formula>
    </cfRule>
  </conditionalFormatting>
  <conditionalFormatting sqref="AZ18">
    <cfRule type="cellIs" dxfId="12248" priority="139855" stopIfTrue="1" operator="greaterThanOrEqual">
      <formula>0.5</formula>
    </cfRule>
  </conditionalFormatting>
  <conditionalFormatting sqref="AZ19">
    <cfRule type="cellIs" dxfId="12247" priority="139856" stopIfTrue="1" operator="equal">
      <formula>-1</formula>
    </cfRule>
  </conditionalFormatting>
  <conditionalFormatting sqref="AZ19">
    <cfRule type="cellIs" dxfId="12246" priority="139857" stopIfTrue="1" operator="lessThan">
      <formula>0.5</formula>
    </cfRule>
  </conditionalFormatting>
  <conditionalFormatting sqref="AZ19">
    <cfRule type="cellIs" dxfId="12245" priority="139858" stopIfTrue="1" operator="greaterThanOrEqual">
      <formula>0.5</formula>
    </cfRule>
  </conditionalFormatting>
  <conditionalFormatting sqref="AZ20">
    <cfRule type="cellIs" dxfId="12244" priority="139859" stopIfTrue="1" operator="equal">
      <formula>-1</formula>
    </cfRule>
  </conditionalFormatting>
  <conditionalFormatting sqref="AZ20">
    <cfRule type="cellIs" dxfId="12243" priority="139860" stopIfTrue="1" operator="lessThan">
      <formula>0.5</formula>
    </cfRule>
  </conditionalFormatting>
  <conditionalFormatting sqref="AZ20">
    <cfRule type="cellIs" dxfId="12242" priority="139861" stopIfTrue="1" operator="greaterThanOrEqual">
      <formula>0.5</formula>
    </cfRule>
  </conditionalFormatting>
  <conditionalFormatting sqref="AZ21">
    <cfRule type="cellIs" dxfId="12241" priority="139862" stopIfTrue="1" operator="equal">
      <formula>-1</formula>
    </cfRule>
  </conditionalFormatting>
  <conditionalFormatting sqref="AZ21">
    <cfRule type="cellIs" dxfId="12240" priority="139863" stopIfTrue="1" operator="lessThan">
      <formula>0.5</formula>
    </cfRule>
  </conditionalFormatting>
  <conditionalFormatting sqref="AZ21">
    <cfRule type="cellIs" dxfId="12239" priority="139864" stopIfTrue="1" operator="greaterThanOrEqual">
      <formula>0.5</formula>
    </cfRule>
  </conditionalFormatting>
  <conditionalFormatting sqref="AZ22">
    <cfRule type="cellIs" dxfId="12238" priority="139865" stopIfTrue="1" operator="equal">
      <formula>-1</formula>
    </cfRule>
  </conditionalFormatting>
  <conditionalFormatting sqref="AZ22">
    <cfRule type="cellIs" dxfId="12237" priority="139866" stopIfTrue="1" operator="lessThan">
      <formula>0.5</formula>
    </cfRule>
  </conditionalFormatting>
  <conditionalFormatting sqref="AZ22">
    <cfRule type="cellIs" dxfId="12236" priority="139867" stopIfTrue="1" operator="greaterThanOrEqual">
      <formula>0.5</formula>
    </cfRule>
  </conditionalFormatting>
  <conditionalFormatting sqref="AZ23">
    <cfRule type="cellIs" dxfId="12235" priority="139868" stopIfTrue="1" operator="equal">
      <formula>-1</formula>
    </cfRule>
  </conditionalFormatting>
  <conditionalFormatting sqref="AZ23">
    <cfRule type="cellIs" dxfId="12234" priority="139869" stopIfTrue="1" operator="lessThan">
      <formula>0.5</formula>
    </cfRule>
  </conditionalFormatting>
  <conditionalFormatting sqref="AZ23">
    <cfRule type="cellIs" dxfId="12233" priority="139870" stopIfTrue="1" operator="greaterThanOrEqual">
      <formula>0.5</formula>
    </cfRule>
  </conditionalFormatting>
  <conditionalFormatting sqref="AZ24">
    <cfRule type="cellIs" dxfId="12232" priority="139871" stopIfTrue="1" operator="equal">
      <formula>-1</formula>
    </cfRule>
  </conditionalFormatting>
  <conditionalFormatting sqref="AZ24">
    <cfRule type="cellIs" dxfId="12231" priority="139872" stopIfTrue="1" operator="lessThan">
      <formula>0.5</formula>
    </cfRule>
  </conditionalFormatting>
  <conditionalFormatting sqref="AZ24">
    <cfRule type="cellIs" dxfId="12230" priority="139873" stopIfTrue="1" operator="greaterThanOrEqual">
      <formula>0.5</formula>
    </cfRule>
  </conditionalFormatting>
  <conditionalFormatting sqref="AZ25">
    <cfRule type="cellIs" dxfId="12229" priority="139874" stopIfTrue="1" operator="equal">
      <formula>-1</formula>
    </cfRule>
  </conditionalFormatting>
  <conditionalFormatting sqref="AZ25">
    <cfRule type="cellIs" dxfId="12228" priority="139875" stopIfTrue="1" operator="lessThan">
      <formula>0.5</formula>
    </cfRule>
  </conditionalFormatting>
  <conditionalFormatting sqref="AZ25">
    <cfRule type="cellIs" dxfId="12227" priority="139876" stopIfTrue="1" operator="greaterThanOrEqual">
      <formula>0.5</formula>
    </cfRule>
  </conditionalFormatting>
  <conditionalFormatting sqref="AZ26">
    <cfRule type="cellIs" dxfId="12226" priority="139877" stopIfTrue="1" operator="equal">
      <formula>-1</formula>
    </cfRule>
  </conditionalFormatting>
  <conditionalFormatting sqref="AZ26">
    <cfRule type="cellIs" dxfId="12225" priority="139878" stopIfTrue="1" operator="lessThan">
      <formula>0.5</formula>
    </cfRule>
  </conditionalFormatting>
  <conditionalFormatting sqref="AZ26">
    <cfRule type="cellIs" dxfId="12224" priority="139879" stopIfTrue="1" operator="greaterThanOrEqual">
      <formula>0.5</formula>
    </cfRule>
  </conditionalFormatting>
  <conditionalFormatting sqref="AZ27">
    <cfRule type="cellIs" dxfId="12223" priority="139880" stopIfTrue="1" operator="equal">
      <formula>-1</formula>
    </cfRule>
  </conditionalFormatting>
  <conditionalFormatting sqref="AZ27">
    <cfRule type="cellIs" dxfId="12222" priority="139881" stopIfTrue="1" operator="lessThan">
      <formula>0.5</formula>
    </cfRule>
  </conditionalFormatting>
  <conditionalFormatting sqref="AZ27">
    <cfRule type="cellIs" dxfId="12221" priority="139882" stopIfTrue="1" operator="greaterThanOrEqual">
      <formula>0.5</formula>
    </cfRule>
  </conditionalFormatting>
  <conditionalFormatting sqref="AZ28">
    <cfRule type="cellIs" dxfId="12220" priority="139883" stopIfTrue="1" operator="equal">
      <formula>-1</formula>
    </cfRule>
  </conditionalFormatting>
  <conditionalFormatting sqref="AZ28">
    <cfRule type="cellIs" dxfId="12219" priority="139884" stopIfTrue="1" operator="lessThan">
      <formula>0.5</formula>
    </cfRule>
  </conditionalFormatting>
  <conditionalFormatting sqref="AZ28">
    <cfRule type="cellIs" dxfId="12218" priority="139885" stopIfTrue="1" operator="greaterThanOrEqual">
      <formula>0.5</formula>
    </cfRule>
  </conditionalFormatting>
  <conditionalFormatting sqref="AZ29">
    <cfRule type="cellIs" dxfId="12217" priority="139886" stopIfTrue="1" operator="equal">
      <formula>-1</formula>
    </cfRule>
  </conditionalFormatting>
  <conditionalFormatting sqref="AZ29">
    <cfRule type="cellIs" dxfId="12216" priority="139887" stopIfTrue="1" operator="lessThan">
      <formula>0.5</formula>
    </cfRule>
  </conditionalFormatting>
  <conditionalFormatting sqref="AZ29">
    <cfRule type="cellIs" dxfId="12215" priority="139888" stopIfTrue="1" operator="greaterThanOrEqual">
      <formula>0.5</formula>
    </cfRule>
  </conditionalFormatting>
  <conditionalFormatting sqref="AZ30">
    <cfRule type="cellIs" dxfId="12214" priority="139889" stopIfTrue="1" operator="equal">
      <formula>-1</formula>
    </cfRule>
  </conditionalFormatting>
  <conditionalFormatting sqref="AZ30">
    <cfRule type="cellIs" dxfId="12213" priority="139890" stopIfTrue="1" operator="lessThan">
      <formula>0.5</formula>
    </cfRule>
  </conditionalFormatting>
  <conditionalFormatting sqref="AZ30">
    <cfRule type="cellIs" dxfId="12212" priority="139891" stopIfTrue="1" operator="greaterThanOrEqual">
      <formula>0.5</formula>
    </cfRule>
  </conditionalFormatting>
  <conditionalFormatting sqref="AZ31">
    <cfRule type="cellIs" dxfId="12211" priority="139892" stopIfTrue="1" operator="equal">
      <formula>-1</formula>
    </cfRule>
  </conditionalFormatting>
  <conditionalFormatting sqref="AZ31">
    <cfRule type="cellIs" dxfId="12210" priority="139893" stopIfTrue="1" operator="lessThan">
      <formula>0.5</formula>
    </cfRule>
  </conditionalFormatting>
  <conditionalFormatting sqref="AZ31">
    <cfRule type="cellIs" dxfId="12209" priority="139894" stopIfTrue="1" operator="greaterThanOrEqual">
      <formula>0.5</formula>
    </cfRule>
  </conditionalFormatting>
  <conditionalFormatting sqref="AZ32">
    <cfRule type="cellIs" dxfId="12208" priority="139895" stopIfTrue="1" operator="equal">
      <formula>-1</formula>
    </cfRule>
  </conditionalFormatting>
  <conditionalFormatting sqref="AZ32">
    <cfRule type="cellIs" dxfId="12207" priority="139896" stopIfTrue="1" operator="lessThan">
      <formula>0.5</formula>
    </cfRule>
  </conditionalFormatting>
  <conditionalFormatting sqref="AZ32">
    <cfRule type="cellIs" dxfId="12206" priority="139897" stopIfTrue="1" operator="greaterThanOrEqual">
      <formula>0.5</formula>
    </cfRule>
  </conditionalFormatting>
  <conditionalFormatting sqref="AZ33">
    <cfRule type="cellIs" dxfId="12205" priority="139898" stopIfTrue="1" operator="equal">
      <formula>-1</formula>
    </cfRule>
  </conditionalFormatting>
  <conditionalFormatting sqref="AZ33">
    <cfRule type="cellIs" dxfId="12204" priority="139899" stopIfTrue="1" operator="lessThan">
      <formula>0.5</formula>
    </cfRule>
  </conditionalFormatting>
  <conditionalFormatting sqref="AZ33">
    <cfRule type="cellIs" dxfId="12203" priority="139900" stopIfTrue="1" operator="greaterThanOrEqual">
      <formula>0.5</formula>
    </cfRule>
  </conditionalFormatting>
  <conditionalFormatting sqref="AZ34">
    <cfRule type="cellIs" dxfId="12202" priority="139901" stopIfTrue="1" operator="equal">
      <formula>-1</formula>
    </cfRule>
  </conditionalFormatting>
  <conditionalFormatting sqref="AZ34">
    <cfRule type="cellIs" dxfId="12201" priority="139902" stopIfTrue="1" operator="lessThan">
      <formula>0.5</formula>
    </cfRule>
  </conditionalFormatting>
  <conditionalFormatting sqref="AZ34">
    <cfRule type="cellIs" dxfId="12200" priority="139903" stopIfTrue="1" operator="greaterThanOrEqual">
      <formula>0.5</formula>
    </cfRule>
  </conditionalFormatting>
  <conditionalFormatting sqref="AZ35">
    <cfRule type="cellIs" dxfId="12199" priority="139904" stopIfTrue="1" operator="equal">
      <formula>-1</formula>
    </cfRule>
  </conditionalFormatting>
  <conditionalFormatting sqref="AZ35">
    <cfRule type="cellIs" dxfId="12198" priority="139905" stopIfTrue="1" operator="lessThan">
      <formula>0.5</formula>
    </cfRule>
  </conditionalFormatting>
  <conditionalFormatting sqref="AZ35">
    <cfRule type="cellIs" dxfId="12197" priority="139906" stopIfTrue="1" operator="greaterThanOrEqual">
      <formula>0.5</formula>
    </cfRule>
  </conditionalFormatting>
  <conditionalFormatting sqref="AZ36">
    <cfRule type="cellIs" dxfId="12196" priority="139907" stopIfTrue="1" operator="equal">
      <formula>-1</formula>
    </cfRule>
  </conditionalFormatting>
  <conditionalFormatting sqref="AZ36">
    <cfRule type="cellIs" dxfId="12195" priority="139908" stopIfTrue="1" operator="lessThan">
      <formula>0.5</formula>
    </cfRule>
  </conditionalFormatting>
  <conditionalFormatting sqref="AZ36">
    <cfRule type="cellIs" dxfId="12194" priority="139909" stopIfTrue="1" operator="greaterThanOrEqual">
      <formula>0.5</formula>
    </cfRule>
  </conditionalFormatting>
  <conditionalFormatting sqref="AZ37">
    <cfRule type="cellIs" dxfId="12193" priority="139910" stopIfTrue="1" operator="equal">
      <formula>-1</formula>
    </cfRule>
  </conditionalFormatting>
  <conditionalFormatting sqref="AZ37">
    <cfRule type="cellIs" dxfId="12192" priority="139911" stopIfTrue="1" operator="lessThan">
      <formula>0.5</formula>
    </cfRule>
  </conditionalFormatting>
  <conditionalFormatting sqref="AZ37">
    <cfRule type="cellIs" dxfId="12191" priority="139912" stopIfTrue="1" operator="greaterThanOrEqual">
      <formula>0.5</formula>
    </cfRule>
  </conditionalFormatting>
  <conditionalFormatting sqref="BB17">
    <cfRule type="cellIs" dxfId="12190" priority="139913" stopIfTrue="1" operator="equal">
      <formula>-1</formula>
    </cfRule>
  </conditionalFormatting>
  <conditionalFormatting sqref="BB17">
    <cfRule type="cellIs" dxfId="12189" priority="139914" stopIfTrue="1" operator="lessThan">
      <formula>0.5</formula>
    </cfRule>
  </conditionalFormatting>
  <conditionalFormatting sqref="BB17">
    <cfRule type="cellIs" dxfId="12188" priority="139915" stopIfTrue="1" operator="greaterThanOrEqual">
      <formula>0.5</formula>
    </cfRule>
  </conditionalFormatting>
  <conditionalFormatting sqref="BB18">
    <cfRule type="cellIs" dxfId="12187" priority="139916" stopIfTrue="1" operator="equal">
      <formula>-1</formula>
    </cfRule>
  </conditionalFormatting>
  <conditionalFormatting sqref="BB18">
    <cfRule type="cellIs" dxfId="12186" priority="139917" stopIfTrue="1" operator="lessThan">
      <formula>0.5</formula>
    </cfRule>
  </conditionalFormatting>
  <conditionalFormatting sqref="BB18">
    <cfRule type="cellIs" dxfId="12185" priority="139918" stopIfTrue="1" operator="greaterThanOrEqual">
      <formula>0.5</formula>
    </cfRule>
  </conditionalFormatting>
  <conditionalFormatting sqref="BB19">
    <cfRule type="cellIs" dxfId="12184" priority="139919" stopIfTrue="1" operator="equal">
      <formula>-1</formula>
    </cfRule>
  </conditionalFormatting>
  <conditionalFormatting sqref="BB19">
    <cfRule type="cellIs" dxfId="12183" priority="139920" stopIfTrue="1" operator="lessThan">
      <formula>0.5</formula>
    </cfRule>
  </conditionalFormatting>
  <conditionalFormatting sqref="BB19">
    <cfRule type="cellIs" dxfId="12182" priority="139921" stopIfTrue="1" operator="greaterThanOrEqual">
      <formula>0.5</formula>
    </cfRule>
  </conditionalFormatting>
  <conditionalFormatting sqref="BB20">
    <cfRule type="cellIs" dxfId="12181" priority="139922" stopIfTrue="1" operator="equal">
      <formula>-1</formula>
    </cfRule>
  </conditionalFormatting>
  <conditionalFormatting sqref="BB20">
    <cfRule type="cellIs" dxfId="12180" priority="139923" stopIfTrue="1" operator="lessThan">
      <formula>0.5</formula>
    </cfRule>
  </conditionalFormatting>
  <conditionalFormatting sqref="BB20">
    <cfRule type="cellIs" dxfId="12179" priority="139924" stopIfTrue="1" operator="greaterThanOrEqual">
      <formula>0.5</formula>
    </cfRule>
  </conditionalFormatting>
  <conditionalFormatting sqref="BB21">
    <cfRule type="cellIs" dxfId="12178" priority="139925" stopIfTrue="1" operator="equal">
      <formula>-1</formula>
    </cfRule>
  </conditionalFormatting>
  <conditionalFormatting sqref="BB21">
    <cfRule type="cellIs" dxfId="12177" priority="139926" stopIfTrue="1" operator="lessThan">
      <formula>0.5</formula>
    </cfRule>
  </conditionalFormatting>
  <conditionalFormatting sqref="BB21">
    <cfRule type="cellIs" dxfId="12176" priority="139927" stopIfTrue="1" operator="greaterThanOrEqual">
      <formula>0.5</formula>
    </cfRule>
  </conditionalFormatting>
  <conditionalFormatting sqref="BB22">
    <cfRule type="cellIs" dxfId="12175" priority="139928" stopIfTrue="1" operator="equal">
      <formula>-1</formula>
    </cfRule>
  </conditionalFormatting>
  <conditionalFormatting sqref="BB22">
    <cfRule type="cellIs" dxfId="12174" priority="139929" stopIfTrue="1" operator="lessThan">
      <formula>0.5</formula>
    </cfRule>
  </conditionalFormatting>
  <conditionalFormatting sqref="BB22">
    <cfRule type="cellIs" dxfId="12173" priority="139930" stopIfTrue="1" operator="greaterThanOrEqual">
      <formula>0.5</formula>
    </cfRule>
  </conditionalFormatting>
  <conditionalFormatting sqref="BB23">
    <cfRule type="cellIs" dxfId="12172" priority="139931" stopIfTrue="1" operator="equal">
      <formula>-1</formula>
    </cfRule>
  </conditionalFormatting>
  <conditionalFormatting sqref="BB23">
    <cfRule type="cellIs" dxfId="12171" priority="139932" stopIfTrue="1" operator="lessThan">
      <formula>0.5</formula>
    </cfRule>
  </conditionalFormatting>
  <conditionalFormatting sqref="BB23">
    <cfRule type="cellIs" dxfId="12170" priority="139933" stopIfTrue="1" operator="greaterThanOrEqual">
      <formula>0.5</formula>
    </cfRule>
  </conditionalFormatting>
  <conditionalFormatting sqref="BB24">
    <cfRule type="cellIs" dxfId="12169" priority="139934" stopIfTrue="1" operator="equal">
      <formula>-1</formula>
    </cfRule>
  </conditionalFormatting>
  <conditionalFormatting sqref="BB24">
    <cfRule type="cellIs" dxfId="12168" priority="139935" stopIfTrue="1" operator="lessThan">
      <formula>0.5</formula>
    </cfRule>
  </conditionalFormatting>
  <conditionalFormatting sqref="BB24">
    <cfRule type="cellIs" dxfId="12167" priority="139936" stopIfTrue="1" operator="greaterThanOrEqual">
      <formula>0.5</formula>
    </cfRule>
  </conditionalFormatting>
  <conditionalFormatting sqref="BB25">
    <cfRule type="cellIs" dxfId="12166" priority="139937" stopIfTrue="1" operator="equal">
      <formula>-1</formula>
    </cfRule>
  </conditionalFormatting>
  <conditionalFormatting sqref="BB25">
    <cfRule type="cellIs" dxfId="12165" priority="139938" stopIfTrue="1" operator="lessThan">
      <formula>0.5</formula>
    </cfRule>
  </conditionalFormatting>
  <conditionalFormatting sqref="BB25">
    <cfRule type="cellIs" dxfId="12164" priority="139939" stopIfTrue="1" operator="greaterThanOrEqual">
      <formula>0.5</formula>
    </cfRule>
  </conditionalFormatting>
  <conditionalFormatting sqref="BB26">
    <cfRule type="cellIs" dxfId="12163" priority="139940" stopIfTrue="1" operator="equal">
      <formula>-1</formula>
    </cfRule>
  </conditionalFormatting>
  <conditionalFormatting sqref="BB26">
    <cfRule type="cellIs" dxfId="12162" priority="139941" stopIfTrue="1" operator="lessThan">
      <formula>0.5</formula>
    </cfRule>
  </conditionalFormatting>
  <conditionalFormatting sqref="BB26">
    <cfRule type="cellIs" dxfId="12161" priority="139942" stopIfTrue="1" operator="greaterThanOrEqual">
      <formula>0.5</formula>
    </cfRule>
  </conditionalFormatting>
  <conditionalFormatting sqref="BB27">
    <cfRule type="cellIs" dxfId="12160" priority="139943" stopIfTrue="1" operator="equal">
      <formula>-1</formula>
    </cfRule>
  </conditionalFormatting>
  <conditionalFormatting sqref="BB27">
    <cfRule type="cellIs" dxfId="12159" priority="139944" stopIfTrue="1" operator="lessThan">
      <formula>0.5</formula>
    </cfRule>
  </conditionalFormatting>
  <conditionalFormatting sqref="BB27">
    <cfRule type="cellIs" dxfId="12158" priority="139945" stopIfTrue="1" operator="greaterThanOrEqual">
      <formula>0.5</formula>
    </cfRule>
  </conditionalFormatting>
  <conditionalFormatting sqref="BB28">
    <cfRule type="cellIs" dxfId="12157" priority="139946" stopIfTrue="1" operator="equal">
      <formula>-1</formula>
    </cfRule>
  </conditionalFormatting>
  <conditionalFormatting sqref="BB28">
    <cfRule type="cellIs" dxfId="12156" priority="139947" stopIfTrue="1" operator="lessThan">
      <formula>0.5</formula>
    </cfRule>
  </conditionalFormatting>
  <conditionalFormatting sqref="BB28">
    <cfRule type="cellIs" dxfId="12155" priority="139948" stopIfTrue="1" operator="greaterThanOrEqual">
      <formula>0.5</formula>
    </cfRule>
  </conditionalFormatting>
  <conditionalFormatting sqref="BB29">
    <cfRule type="cellIs" dxfId="12154" priority="139949" stopIfTrue="1" operator="equal">
      <formula>-1</formula>
    </cfRule>
  </conditionalFormatting>
  <conditionalFormatting sqref="BB29">
    <cfRule type="cellIs" dxfId="12153" priority="139950" stopIfTrue="1" operator="lessThan">
      <formula>0.5</formula>
    </cfRule>
  </conditionalFormatting>
  <conditionalFormatting sqref="BB29">
    <cfRule type="cellIs" dxfId="12152" priority="139951" stopIfTrue="1" operator="greaterThanOrEqual">
      <formula>0.5</formula>
    </cfRule>
  </conditionalFormatting>
  <conditionalFormatting sqref="BB30">
    <cfRule type="cellIs" dxfId="12151" priority="139952" stopIfTrue="1" operator="equal">
      <formula>-1</formula>
    </cfRule>
  </conditionalFormatting>
  <conditionalFormatting sqref="BB30">
    <cfRule type="cellIs" dxfId="12150" priority="139953" stopIfTrue="1" operator="lessThan">
      <formula>0.5</formula>
    </cfRule>
  </conditionalFormatting>
  <conditionalFormatting sqref="BB30">
    <cfRule type="cellIs" dxfId="12149" priority="139954" stopIfTrue="1" operator="greaterThanOrEqual">
      <formula>0.5</formula>
    </cfRule>
  </conditionalFormatting>
  <conditionalFormatting sqref="BB31">
    <cfRule type="cellIs" dxfId="12148" priority="139955" stopIfTrue="1" operator="equal">
      <formula>-1</formula>
    </cfRule>
  </conditionalFormatting>
  <conditionalFormatting sqref="BB31">
    <cfRule type="cellIs" dxfId="12147" priority="139956" stopIfTrue="1" operator="lessThan">
      <formula>0.5</formula>
    </cfRule>
  </conditionalFormatting>
  <conditionalFormatting sqref="BB31">
    <cfRule type="cellIs" dxfId="12146" priority="139957" stopIfTrue="1" operator="greaterThanOrEqual">
      <formula>0.5</formula>
    </cfRule>
  </conditionalFormatting>
  <conditionalFormatting sqref="BB32">
    <cfRule type="cellIs" dxfId="12145" priority="139958" stopIfTrue="1" operator="equal">
      <formula>-1</formula>
    </cfRule>
  </conditionalFormatting>
  <conditionalFormatting sqref="BB32">
    <cfRule type="cellIs" dxfId="12144" priority="139959" stopIfTrue="1" operator="lessThan">
      <formula>0.5</formula>
    </cfRule>
  </conditionalFormatting>
  <conditionalFormatting sqref="BB32">
    <cfRule type="cellIs" dxfId="12143" priority="139960" stopIfTrue="1" operator="greaterThanOrEqual">
      <formula>0.5</formula>
    </cfRule>
  </conditionalFormatting>
  <conditionalFormatting sqref="BB33">
    <cfRule type="cellIs" dxfId="12142" priority="139961" stopIfTrue="1" operator="equal">
      <formula>-1</formula>
    </cfRule>
  </conditionalFormatting>
  <conditionalFormatting sqref="BB33">
    <cfRule type="cellIs" dxfId="12141" priority="139962" stopIfTrue="1" operator="lessThan">
      <formula>0.5</formula>
    </cfRule>
  </conditionalFormatting>
  <conditionalFormatting sqref="BB33">
    <cfRule type="cellIs" dxfId="12140" priority="139963" stopIfTrue="1" operator="greaterThanOrEqual">
      <formula>0.5</formula>
    </cfRule>
  </conditionalFormatting>
  <conditionalFormatting sqref="BB34">
    <cfRule type="cellIs" dxfId="12139" priority="139964" stopIfTrue="1" operator="equal">
      <formula>-1</formula>
    </cfRule>
  </conditionalFormatting>
  <conditionalFormatting sqref="BB34">
    <cfRule type="cellIs" dxfId="12138" priority="139965" stopIfTrue="1" operator="lessThan">
      <formula>0.5</formula>
    </cfRule>
  </conditionalFormatting>
  <conditionalFormatting sqref="BB34">
    <cfRule type="cellIs" dxfId="12137" priority="139966" stopIfTrue="1" operator="greaterThanOrEqual">
      <formula>0.5</formula>
    </cfRule>
  </conditionalFormatting>
  <conditionalFormatting sqref="BB35">
    <cfRule type="cellIs" dxfId="12136" priority="139967" stopIfTrue="1" operator="equal">
      <formula>-1</formula>
    </cfRule>
  </conditionalFormatting>
  <conditionalFormatting sqref="BB35">
    <cfRule type="cellIs" dxfId="12135" priority="139968" stopIfTrue="1" operator="lessThan">
      <formula>0.5</formula>
    </cfRule>
  </conditionalFormatting>
  <conditionalFormatting sqref="BB35">
    <cfRule type="cellIs" dxfId="12134" priority="139969" stopIfTrue="1" operator="greaterThanOrEqual">
      <formula>0.5</formula>
    </cfRule>
  </conditionalFormatting>
  <conditionalFormatting sqref="BB36">
    <cfRule type="cellIs" dxfId="12133" priority="139970" stopIfTrue="1" operator="equal">
      <formula>-1</formula>
    </cfRule>
  </conditionalFormatting>
  <conditionalFormatting sqref="BB36">
    <cfRule type="cellIs" dxfId="12132" priority="139971" stopIfTrue="1" operator="lessThan">
      <formula>0.5</formula>
    </cfRule>
  </conditionalFormatting>
  <conditionalFormatting sqref="BB36">
    <cfRule type="cellIs" dxfId="12131" priority="139972" stopIfTrue="1" operator="greaterThanOrEqual">
      <formula>0.5</formula>
    </cfRule>
  </conditionalFormatting>
  <conditionalFormatting sqref="BB37">
    <cfRule type="cellIs" dxfId="12130" priority="139973" stopIfTrue="1" operator="equal">
      <formula>-1</formula>
    </cfRule>
  </conditionalFormatting>
  <conditionalFormatting sqref="BB37">
    <cfRule type="cellIs" dxfId="12129" priority="139974" stopIfTrue="1" operator="lessThan">
      <formula>0.5</formula>
    </cfRule>
  </conditionalFormatting>
  <conditionalFormatting sqref="BB37">
    <cfRule type="cellIs" dxfId="12128" priority="139975" stopIfTrue="1" operator="greaterThanOrEqual">
      <formula>0.5</formula>
    </cfRule>
  </conditionalFormatting>
  <conditionalFormatting sqref="BD17">
    <cfRule type="cellIs" dxfId="12127" priority="139976" stopIfTrue="1" operator="equal">
      <formula>-1</formula>
    </cfRule>
  </conditionalFormatting>
  <conditionalFormatting sqref="BD17">
    <cfRule type="cellIs" dxfId="12126" priority="139977" stopIfTrue="1" operator="lessThan">
      <formula>0.5</formula>
    </cfRule>
  </conditionalFormatting>
  <conditionalFormatting sqref="BD17">
    <cfRule type="cellIs" dxfId="12125" priority="139978" stopIfTrue="1" operator="greaterThanOrEqual">
      <formula>0.5</formula>
    </cfRule>
  </conditionalFormatting>
  <conditionalFormatting sqref="BD18">
    <cfRule type="cellIs" dxfId="12124" priority="139979" stopIfTrue="1" operator="equal">
      <formula>-1</formula>
    </cfRule>
  </conditionalFormatting>
  <conditionalFormatting sqref="BD18">
    <cfRule type="cellIs" dxfId="12123" priority="139980" stopIfTrue="1" operator="lessThan">
      <formula>0.5</formula>
    </cfRule>
  </conditionalFormatting>
  <conditionalFormatting sqref="BD18">
    <cfRule type="cellIs" dxfId="12122" priority="139981" stopIfTrue="1" operator="greaterThanOrEqual">
      <formula>0.5</formula>
    </cfRule>
  </conditionalFormatting>
  <conditionalFormatting sqref="BD19">
    <cfRule type="cellIs" dxfId="12121" priority="139982" stopIfTrue="1" operator="equal">
      <formula>-1</formula>
    </cfRule>
  </conditionalFormatting>
  <conditionalFormatting sqref="BD19">
    <cfRule type="cellIs" dxfId="12120" priority="139983" stopIfTrue="1" operator="lessThan">
      <formula>0.5</formula>
    </cfRule>
  </conditionalFormatting>
  <conditionalFormatting sqref="BD19">
    <cfRule type="cellIs" dxfId="12119" priority="139984" stopIfTrue="1" operator="greaterThanOrEqual">
      <formula>0.5</formula>
    </cfRule>
  </conditionalFormatting>
  <conditionalFormatting sqref="BD20">
    <cfRule type="cellIs" dxfId="12118" priority="139985" stopIfTrue="1" operator="equal">
      <formula>-1</formula>
    </cfRule>
  </conditionalFormatting>
  <conditionalFormatting sqref="BD20">
    <cfRule type="cellIs" dxfId="12117" priority="139986" stopIfTrue="1" operator="lessThan">
      <formula>0.5</formula>
    </cfRule>
  </conditionalFormatting>
  <conditionalFormatting sqref="BD20">
    <cfRule type="cellIs" dxfId="12116" priority="139987" stopIfTrue="1" operator="greaterThanOrEqual">
      <formula>0.5</formula>
    </cfRule>
  </conditionalFormatting>
  <conditionalFormatting sqref="BD21">
    <cfRule type="cellIs" dxfId="12115" priority="139988" stopIfTrue="1" operator="equal">
      <formula>-1</formula>
    </cfRule>
  </conditionalFormatting>
  <conditionalFormatting sqref="BD21">
    <cfRule type="cellIs" dxfId="12114" priority="139989" stopIfTrue="1" operator="lessThan">
      <formula>0.5</formula>
    </cfRule>
  </conditionalFormatting>
  <conditionalFormatting sqref="BD21">
    <cfRule type="cellIs" dxfId="12113" priority="139990" stopIfTrue="1" operator="greaterThanOrEqual">
      <formula>0.5</formula>
    </cfRule>
  </conditionalFormatting>
  <conditionalFormatting sqref="BD22">
    <cfRule type="cellIs" dxfId="12112" priority="139991" stopIfTrue="1" operator="equal">
      <formula>-1</formula>
    </cfRule>
  </conditionalFormatting>
  <conditionalFormatting sqref="BD22">
    <cfRule type="cellIs" dxfId="12111" priority="139992" stopIfTrue="1" operator="lessThan">
      <formula>0.5</formula>
    </cfRule>
  </conditionalFormatting>
  <conditionalFormatting sqref="BD22">
    <cfRule type="cellIs" dxfId="12110" priority="139993" stopIfTrue="1" operator="greaterThanOrEqual">
      <formula>0.5</formula>
    </cfRule>
  </conditionalFormatting>
  <conditionalFormatting sqref="BD23">
    <cfRule type="cellIs" dxfId="12109" priority="139994" stopIfTrue="1" operator="equal">
      <formula>-1</formula>
    </cfRule>
  </conditionalFormatting>
  <conditionalFormatting sqref="BD23">
    <cfRule type="cellIs" dxfId="12108" priority="139995" stopIfTrue="1" operator="lessThan">
      <formula>0.5</formula>
    </cfRule>
  </conditionalFormatting>
  <conditionalFormatting sqref="BD23">
    <cfRule type="cellIs" dxfId="12107" priority="139996" stopIfTrue="1" operator="greaterThanOrEqual">
      <formula>0.5</formula>
    </cfRule>
  </conditionalFormatting>
  <conditionalFormatting sqref="BD24">
    <cfRule type="cellIs" dxfId="12106" priority="139997" stopIfTrue="1" operator="equal">
      <formula>-1</formula>
    </cfRule>
  </conditionalFormatting>
  <conditionalFormatting sqref="BD24">
    <cfRule type="cellIs" dxfId="12105" priority="139998" stopIfTrue="1" operator="lessThan">
      <formula>0.5</formula>
    </cfRule>
  </conditionalFormatting>
  <conditionalFormatting sqref="BD24">
    <cfRule type="cellIs" dxfId="12104" priority="139999" stopIfTrue="1" operator="greaterThanOrEqual">
      <formula>0.5</formula>
    </cfRule>
  </conditionalFormatting>
  <conditionalFormatting sqref="BD25">
    <cfRule type="cellIs" dxfId="12103" priority="140000" stopIfTrue="1" operator="equal">
      <formula>-1</formula>
    </cfRule>
  </conditionalFormatting>
  <conditionalFormatting sqref="BD25">
    <cfRule type="cellIs" dxfId="12102" priority="140001" stopIfTrue="1" operator="lessThan">
      <formula>0.5</formula>
    </cfRule>
  </conditionalFormatting>
  <conditionalFormatting sqref="BD25">
    <cfRule type="cellIs" dxfId="12101" priority="140002" stopIfTrue="1" operator="greaterThanOrEqual">
      <formula>0.5</formula>
    </cfRule>
  </conditionalFormatting>
  <conditionalFormatting sqref="BD26">
    <cfRule type="cellIs" dxfId="12100" priority="140003" stopIfTrue="1" operator="equal">
      <formula>-1</formula>
    </cfRule>
  </conditionalFormatting>
  <conditionalFormatting sqref="BD26">
    <cfRule type="cellIs" dxfId="12099" priority="140004" stopIfTrue="1" operator="lessThan">
      <formula>0.5</formula>
    </cfRule>
  </conditionalFormatting>
  <conditionalFormatting sqref="BD26">
    <cfRule type="cellIs" dxfId="12098" priority="140005" stopIfTrue="1" operator="greaterThanOrEqual">
      <formula>0.5</formula>
    </cfRule>
  </conditionalFormatting>
  <conditionalFormatting sqref="BD27">
    <cfRule type="cellIs" dxfId="12097" priority="140006" stopIfTrue="1" operator="equal">
      <formula>-1</formula>
    </cfRule>
  </conditionalFormatting>
  <conditionalFormatting sqref="BD27">
    <cfRule type="cellIs" dxfId="12096" priority="140007" stopIfTrue="1" operator="lessThan">
      <formula>0.5</formula>
    </cfRule>
  </conditionalFormatting>
  <conditionalFormatting sqref="BD27">
    <cfRule type="cellIs" dxfId="12095" priority="140008" stopIfTrue="1" operator="greaterThanOrEqual">
      <formula>0.5</formula>
    </cfRule>
  </conditionalFormatting>
  <conditionalFormatting sqref="BD28">
    <cfRule type="cellIs" dxfId="12094" priority="140009" stopIfTrue="1" operator="equal">
      <formula>-1</formula>
    </cfRule>
  </conditionalFormatting>
  <conditionalFormatting sqref="BD28">
    <cfRule type="cellIs" dxfId="12093" priority="140010" stopIfTrue="1" operator="lessThan">
      <formula>0.5</formula>
    </cfRule>
  </conditionalFormatting>
  <conditionalFormatting sqref="BD28">
    <cfRule type="cellIs" dxfId="12092" priority="140011" stopIfTrue="1" operator="greaterThanOrEqual">
      <formula>0.5</formula>
    </cfRule>
  </conditionalFormatting>
  <conditionalFormatting sqref="BD29">
    <cfRule type="cellIs" dxfId="12091" priority="140012" stopIfTrue="1" operator="equal">
      <formula>-1</formula>
    </cfRule>
  </conditionalFormatting>
  <conditionalFormatting sqref="BD29">
    <cfRule type="cellIs" dxfId="12090" priority="140013" stopIfTrue="1" operator="lessThan">
      <formula>0.5</formula>
    </cfRule>
  </conditionalFormatting>
  <conditionalFormatting sqref="BD29">
    <cfRule type="cellIs" dxfId="12089" priority="140014" stopIfTrue="1" operator="greaterThanOrEqual">
      <formula>0.5</formula>
    </cfRule>
  </conditionalFormatting>
  <conditionalFormatting sqref="BD30">
    <cfRule type="cellIs" dxfId="12088" priority="140015" stopIfTrue="1" operator="equal">
      <formula>-1</formula>
    </cfRule>
  </conditionalFormatting>
  <conditionalFormatting sqref="BD30">
    <cfRule type="cellIs" dxfId="12087" priority="140016" stopIfTrue="1" operator="lessThan">
      <formula>0.5</formula>
    </cfRule>
  </conditionalFormatting>
  <conditionalFormatting sqref="BD30">
    <cfRule type="cellIs" dxfId="12086" priority="140017" stopIfTrue="1" operator="greaterThanOrEqual">
      <formula>0.5</formula>
    </cfRule>
  </conditionalFormatting>
  <conditionalFormatting sqref="BD31">
    <cfRule type="cellIs" dxfId="12085" priority="140018" stopIfTrue="1" operator="equal">
      <formula>-1</formula>
    </cfRule>
  </conditionalFormatting>
  <conditionalFormatting sqref="BD31">
    <cfRule type="cellIs" dxfId="12084" priority="140019" stopIfTrue="1" operator="lessThan">
      <formula>0.5</formula>
    </cfRule>
  </conditionalFormatting>
  <conditionalFormatting sqref="BD31">
    <cfRule type="cellIs" dxfId="12083" priority="140020" stopIfTrue="1" operator="greaterThanOrEqual">
      <formula>0.5</formula>
    </cfRule>
  </conditionalFormatting>
  <conditionalFormatting sqref="BD32">
    <cfRule type="cellIs" dxfId="12082" priority="140021" stopIfTrue="1" operator="equal">
      <formula>-1</formula>
    </cfRule>
  </conditionalFormatting>
  <conditionalFormatting sqref="BD32">
    <cfRule type="cellIs" dxfId="12081" priority="140022" stopIfTrue="1" operator="lessThan">
      <formula>0.5</formula>
    </cfRule>
  </conditionalFormatting>
  <conditionalFormatting sqref="BD32">
    <cfRule type="cellIs" dxfId="12080" priority="140023" stopIfTrue="1" operator="greaterThanOrEqual">
      <formula>0.5</formula>
    </cfRule>
  </conditionalFormatting>
  <conditionalFormatting sqref="BD33">
    <cfRule type="cellIs" dxfId="12079" priority="140024" stopIfTrue="1" operator="equal">
      <formula>-1</formula>
    </cfRule>
  </conditionalFormatting>
  <conditionalFormatting sqref="BD33">
    <cfRule type="cellIs" dxfId="12078" priority="140025" stopIfTrue="1" operator="lessThan">
      <formula>0.5</formula>
    </cfRule>
  </conditionalFormatting>
  <conditionalFormatting sqref="BD33">
    <cfRule type="cellIs" dxfId="12077" priority="140026" stopIfTrue="1" operator="greaterThanOrEqual">
      <formula>0.5</formula>
    </cfRule>
  </conditionalFormatting>
  <conditionalFormatting sqref="BD34">
    <cfRule type="cellIs" dxfId="12076" priority="140027" stopIfTrue="1" operator="equal">
      <formula>-1</formula>
    </cfRule>
  </conditionalFormatting>
  <conditionalFormatting sqref="BD34">
    <cfRule type="cellIs" dxfId="12075" priority="140028" stopIfTrue="1" operator="lessThan">
      <formula>0.5</formula>
    </cfRule>
  </conditionalFormatting>
  <conditionalFormatting sqref="BD34">
    <cfRule type="cellIs" dxfId="12074" priority="140029" stopIfTrue="1" operator="greaterThanOrEqual">
      <formula>0.5</formula>
    </cfRule>
  </conditionalFormatting>
  <conditionalFormatting sqref="BD35">
    <cfRule type="cellIs" dxfId="12073" priority="140030" stopIfTrue="1" operator="equal">
      <formula>-1</formula>
    </cfRule>
  </conditionalFormatting>
  <conditionalFormatting sqref="BD35">
    <cfRule type="cellIs" dxfId="12072" priority="140031" stopIfTrue="1" operator="lessThan">
      <formula>0.5</formula>
    </cfRule>
  </conditionalFormatting>
  <conditionalFormatting sqref="BD35">
    <cfRule type="cellIs" dxfId="12071" priority="140032" stopIfTrue="1" operator="greaterThanOrEqual">
      <formula>0.5</formula>
    </cfRule>
  </conditionalFormatting>
  <conditionalFormatting sqref="BD36">
    <cfRule type="cellIs" dxfId="12070" priority="140033" stopIfTrue="1" operator="equal">
      <formula>-1</formula>
    </cfRule>
  </conditionalFormatting>
  <conditionalFormatting sqref="BD36">
    <cfRule type="cellIs" dxfId="12069" priority="140034" stopIfTrue="1" operator="lessThan">
      <formula>0.5</formula>
    </cfRule>
  </conditionalFormatting>
  <conditionalFormatting sqref="BD36">
    <cfRule type="cellIs" dxfId="12068" priority="140035" stopIfTrue="1" operator="greaterThanOrEqual">
      <formula>0.5</formula>
    </cfRule>
  </conditionalFormatting>
  <conditionalFormatting sqref="BD37">
    <cfRule type="cellIs" dxfId="12067" priority="140036" stopIfTrue="1" operator="equal">
      <formula>-1</formula>
    </cfRule>
  </conditionalFormatting>
  <conditionalFormatting sqref="BD37">
    <cfRule type="cellIs" dxfId="12066" priority="140037" stopIfTrue="1" operator="lessThan">
      <formula>0.5</formula>
    </cfRule>
  </conditionalFormatting>
  <conditionalFormatting sqref="BD37">
    <cfRule type="cellIs" dxfId="12065" priority="140038" stopIfTrue="1" operator="greaterThanOrEqual">
      <formula>0.5</formula>
    </cfRule>
  </conditionalFormatting>
  <conditionalFormatting sqref="BF17">
    <cfRule type="cellIs" dxfId="12064" priority="140039" stopIfTrue="1" operator="equal">
      <formula>-1</formula>
    </cfRule>
  </conditionalFormatting>
  <conditionalFormatting sqref="BF17">
    <cfRule type="cellIs" dxfId="12063" priority="140040" stopIfTrue="1" operator="lessThan">
      <formula>0.5</formula>
    </cfRule>
  </conditionalFormatting>
  <conditionalFormatting sqref="BF17">
    <cfRule type="cellIs" dxfId="12062" priority="140041" stopIfTrue="1" operator="greaterThanOrEqual">
      <formula>0.5</formula>
    </cfRule>
  </conditionalFormatting>
  <conditionalFormatting sqref="BF18">
    <cfRule type="cellIs" dxfId="12061" priority="140042" stopIfTrue="1" operator="equal">
      <formula>-1</formula>
    </cfRule>
  </conditionalFormatting>
  <conditionalFormatting sqref="BF18">
    <cfRule type="cellIs" dxfId="12060" priority="140043" stopIfTrue="1" operator="lessThan">
      <formula>0.5</formula>
    </cfRule>
  </conditionalFormatting>
  <conditionalFormatting sqref="BF18">
    <cfRule type="cellIs" dxfId="12059" priority="140044" stopIfTrue="1" operator="greaterThanOrEqual">
      <formula>0.5</formula>
    </cfRule>
  </conditionalFormatting>
  <conditionalFormatting sqref="BF19">
    <cfRule type="cellIs" dxfId="12058" priority="140045" stopIfTrue="1" operator="equal">
      <formula>-1</formula>
    </cfRule>
  </conditionalFormatting>
  <conditionalFormatting sqref="BF19">
    <cfRule type="cellIs" dxfId="12057" priority="140046" stopIfTrue="1" operator="lessThan">
      <formula>0.5</formula>
    </cfRule>
  </conditionalFormatting>
  <conditionalFormatting sqref="BF19">
    <cfRule type="cellIs" dxfId="12056" priority="140047" stopIfTrue="1" operator="greaterThanOrEqual">
      <formula>0.5</formula>
    </cfRule>
  </conditionalFormatting>
  <conditionalFormatting sqref="BF20">
    <cfRule type="cellIs" dxfId="12055" priority="140048" stopIfTrue="1" operator="equal">
      <formula>-1</formula>
    </cfRule>
  </conditionalFormatting>
  <conditionalFormatting sqref="BF20">
    <cfRule type="cellIs" dxfId="12054" priority="140049" stopIfTrue="1" operator="lessThan">
      <formula>0.5</formula>
    </cfRule>
  </conditionalFormatting>
  <conditionalFormatting sqref="BF20">
    <cfRule type="cellIs" dxfId="12053" priority="140050" stopIfTrue="1" operator="greaterThanOrEqual">
      <formula>0.5</formula>
    </cfRule>
  </conditionalFormatting>
  <conditionalFormatting sqref="BF21">
    <cfRule type="cellIs" dxfId="12052" priority="140051" stopIfTrue="1" operator="equal">
      <formula>-1</formula>
    </cfRule>
  </conditionalFormatting>
  <conditionalFormatting sqref="BF21">
    <cfRule type="cellIs" dxfId="12051" priority="140052" stopIfTrue="1" operator="lessThan">
      <formula>0.5</formula>
    </cfRule>
  </conditionalFormatting>
  <conditionalFormatting sqref="BF21">
    <cfRule type="cellIs" dxfId="12050" priority="140053" stopIfTrue="1" operator="greaterThanOrEqual">
      <formula>0.5</formula>
    </cfRule>
  </conditionalFormatting>
  <conditionalFormatting sqref="BF22">
    <cfRule type="cellIs" dxfId="12049" priority="140054" stopIfTrue="1" operator="equal">
      <formula>-1</formula>
    </cfRule>
  </conditionalFormatting>
  <conditionalFormatting sqref="BF22">
    <cfRule type="cellIs" dxfId="12048" priority="140055" stopIfTrue="1" operator="lessThan">
      <formula>0.5</formula>
    </cfRule>
  </conditionalFormatting>
  <conditionalFormatting sqref="BF22">
    <cfRule type="cellIs" dxfId="12047" priority="140056" stopIfTrue="1" operator="greaterThanOrEqual">
      <formula>0.5</formula>
    </cfRule>
  </conditionalFormatting>
  <conditionalFormatting sqref="BF23">
    <cfRule type="cellIs" dxfId="12046" priority="140057" stopIfTrue="1" operator="equal">
      <formula>-1</formula>
    </cfRule>
  </conditionalFormatting>
  <conditionalFormatting sqref="BF23">
    <cfRule type="cellIs" dxfId="12045" priority="140058" stopIfTrue="1" operator="lessThan">
      <formula>0.5</formula>
    </cfRule>
  </conditionalFormatting>
  <conditionalFormatting sqref="BF23">
    <cfRule type="cellIs" dxfId="12044" priority="140059" stopIfTrue="1" operator="greaterThanOrEqual">
      <formula>0.5</formula>
    </cfRule>
  </conditionalFormatting>
  <conditionalFormatting sqref="BF24">
    <cfRule type="cellIs" dxfId="12043" priority="140060" stopIfTrue="1" operator="equal">
      <formula>-1</formula>
    </cfRule>
  </conditionalFormatting>
  <conditionalFormatting sqref="BF24">
    <cfRule type="cellIs" dxfId="12042" priority="140061" stopIfTrue="1" operator="lessThan">
      <formula>0.5</formula>
    </cfRule>
  </conditionalFormatting>
  <conditionalFormatting sqref="BF24">
    <cfRule type="cellIs" dxfId="12041" priority="140062" stopIfTrue="1" operator="greaterThanOrEqual">
      <formula>0.5</formula>
    </cfRule>
  </conditionalFormatting>
  <conditionalFormatting sqref="BF25">
    <cfRule type="cellIs" dxfId="12040" priority="140063" stopIfTrue="1" operator="equal">
      <formula>-1</formula>
    </cfRule>
  </conditionalFormatting>
  <conditionalFormatting sqref="BF25">
    <cfRule type="cellIs" dxfId="12039" priority="140064" stopIfTrue="1" operator="lessThan">
      <formula>0.5</formula>
    </cfRule>
  </conditionalFormatting>
  <conditionalFormatting sqref="BF25">
    <cfRule type="cellIs" dxfId="12038" priority="140065" stopIfTrue="1" operator="greaterThanOrEqual">
      <formula>0.5</formula>
    </cfRule>
  </conditionalFormatting>
  <conditionalFormatting sqref="BF26">
    <cfRule type="cellIs" dxfId="12037" priority="140066" stopIfTrue="1" operator="equal">
      <formula>-1</formula>
    </cfRule>
  </conditionalFormatting>
  <conditionalFormatting sqref="BF26">
    <cfRule type="cellIs" dxfId="12036" priority="140067" stopIfTrue="1" operator="lessThan">
      <formula>0.5</formula>
    </cfRule>
  </conditionalFormatting>
  <conditionalFormatting sqref="BF26">
    <cfRule type="cellIs" dxfId="12035" priority="140068" stopIfTrue="1" operator="greaterThanOrEqual">
      <formula>0.5</formula>
    </cfRule>
  </conditionalFormatting>
  <conditionalFormatting sqref="BF27">
    <cfRule type="cellIs" dxfId="12034" priority="140069" stopIfTrue="1" operator="equal">
      <formula>-1</formula>
    </cfRule>
  </conditionalFormatting>
  <conditionalFormatting sqref="BF27">
    <cfRule type="cellIs" dxfId="12033" priority="140070" stopIfTrue="1" operator="lessThan">
      <formula>0.5</formula>
    </cfRule>
  </conditionalFormatting>
  <conditionalFormatting sqref="BF27">
    <cfRule type="cellIs" dxfId="12032" priority="140071" stopIfTrue="1" operator="greaterThanOrEqual">
      <formula>0.5</formula>
    </cfRule>
  </conditionalFormatting>
  <conditionalFormatting sqref="BF28">
    <cfRule type="cellIs" dxfId="12031" priority="140072" stopIfTrue="1" operator="equal">
      <formula>-1</formula>
    </cfRule>
  </conditionalFormatting>
  <conditionalFormatting sqref="BF28">
    <cfRule type="cellIs" dxfId="12030" priority="140073" stopIfTrue="1" operator="lessThan">
      <formula>0.5</formula>
    </cfRule>
  </conditionalFormatting>
  <conditionalFormatting sqref="BF28">
    <cfRule type="cellIs" dxfId="12029" priority="140074" stopIfTrue="1" operator="greaterThanOrEqual">
      <formula>0.5</formula>
    </cfRule>
  </conditionalFormatting>
  <conditionalFormatting sqref="BF29">
    <cfRule type="cellIs" dxfId="12028" priority="140075" stopIfTrue="1" operator="equal">
      <formula>-1</formula>
    </cfRule>
  </conditionalFormatting>
  <conditionalFormatting sqref="BF29">
    <cfRule type="cellIs" dxfId="12027" priority="140076" stopIfTrue="1" operator="lessThan">
      <formula>0.5</formula>
    </cfRule>
  </conditionalFormatting>
  <conditionalFormatting sqref="BF29">
    <cfRule type="cellIs" dxfId="12026" priority="140077" stopIfTrue="1" operator="greaterThanOrEqual">
      <formula>0.5</formula>
    </cfRule>
  </conditionalFormatting>
  <conditionalFormatting sqref="BF30">
    <cfRule type="cellIs" dxfId="12025" priority="140078" stopIfTrue="1" operator="equal">
      <formula>-1</formula>
    </cfRule>
  </conditionalFormatting>
  <conditionalFormatting sqref="BF30">
    <cfRule type="cellIs" dxfId="12024" priority="140079" stopIfTrue="1" operator="lessThan">
      <formula>0.5</formula>
    </cfRule>
  </conditionalFormatting>
  <conditionalFormatting sqref="BF30">
    <cfRule type="cellIs" dxfId="12023" priority="140080" stopIfTrue="1" operator="greaterThanOrEqual">
      <formula>0.5</formula>
    </cfRule>
  </conditionalFormatting>
  <conditionalFormatting sqref="BF31">
    <cfRule type="cellIs" dxfId="12022" priority="140081" stopIfTrue="1" operator="equal">
      <formula>-1</formula>
    </cfRule>
  </conditionalFormatting>
  <conditionalFormatting sqref="BF31">
    <cfRule type="cellIs" dxfId="12021" priority="140082" stopIfTrue="1" operator="lessThan">
      <formula>0.5</formula>
    </cfRule>
  </conditionalFormatting>
  <conditionalFormatting sqref="BF31">
    <cfRule type="cellIs" dxfId="12020" priority="140083" stopIfTrue="1" operator="greaterThanOrEqual">
      <formula>0.5</formula>
    </cfRule>
  </conditionalFormatting>
  <conditionalFormatting sqref="BF32">
    <cfRule type="cellIs" dxfId="12019" priority="140084" stopIfTrue="1" operator="equal">
      <formula>-1</formula>
    </cfRule>
  </conditionalFormatting>
  <conditionalFormatting sqref="BF32">
    <cfRule type="cellIs" dxfId="12018" priority="140085" stopIfTrue="1" operator="lessThan">
      <formula>0.5</formula>
    </cfRule>
  </conditionalFormatting>
  <conditionalFormatting sqref="BF32">
    <cfRule type="cellIs" dxfId="12017" priority="140086" stopIfTrue="1" operator="greaterThanOrEqual">
      <formula>0.5</formula>
    </cfRule>
  </conditionalFormatting>
  <conditionalFormatting sqref="BF33">
    <cfRule type="cellIs" dxfId="12016" priority="140087" stopIfTrue="1" operator="equal">
      <formula>-1</formula>
    </cfRule>
  </conditionalFormatting>
  <conditionalFormatting sqref="BF33">
    <cfRule type="cellIs" dxfId="12015" priority="140088" stopIfTrue="1" operator="lessThan">
      <formula>0.5</formula>
    </cfRule>
  </conditionalFormatting>
  <conditionalFormatting sqref="BF33">
    <cfRule type="cellIs" dxfId="12014" priority="140089" stopIfTrue="1" operator="greaterThanOrEqual">
      <formula>0.5</formula>
    </cfRule>
  </conditionalFormatting>
  <conditionalFormatting sqref="BF34">
    <cfRule type="cellIs" dxfId="12013" priority="140090" stopIfTrue="1" operator="equal">
      <formula>-1</formula>
    </cfRule>
  </conditionalFormatting>
  <conditionalFormatting sqref="BF34">
    <cfRule type="cellIs" dxfId="12012" priority="140091" stopIfTrue="1" operator="lessThan">
      <formula>0.5</formula>
    </cfRule>
  </conditionalFormatting>
  <conditionalFormatting sqref="BF34">
    <cfRule type="cellIs" dxfId="12011" priority="140092" stopIfTrue="1" operator="greaterThanOrEqual">
      <formula>0.5</formula>
    </cfRule>
  </conditionalFormatting>
  <conditionalFormatting sqref="BF35">
    <cfRule type="cellIs" dxfId="12010" priority="140093" stopIfTrue="1" operator="equal">
      <formula>-1</formula>
    </cfRule>
  </conditionalFormatting>
  <conditionalFormatting sqref="BF35">
    <cfRule type="cellIs" dxfId="12009" priority="140094" stopIfTrue="1" operator="lessThan">
      <formula>0.5</formula>
    </cfRule>
  </conditionalFormatting>
  <conditionalFormatting sqref="BF35">
    <cfRule type="cellIs" dxfId="12008" priority="140095" stopIfTrue="1" operator="greaterThanOrEqual">
      <formula>0.5</formula>
    </cfRule>
  </conditionalFormatting>
  <conditionalFormatting sqref="BF36">
    <cfRule type="cellIs" dxfId="12007" priority="140096" stopIfTrue="1" operator="equal">
      <formula>-1</formula>
    </cfRule>
  </conditionalFormatting>
  <conditionalFormatting sqref="BF36">
    <cfRule type="cellIs" dxfId="12006" priority="140097" stopIfTrue="1" operator="lessThan">
      <formula>0.5</formula>
    </cfRule>
  </conditionalFormatting>
  <conditionalFormatting sqref="BF36">
    <cfRule type="cellIs" dxfId="12005" priority="140098" stopIfTrue="1" operator="greaterThanOrEqual">
      <formula>0.5</formula>
    </cfRule>
  </conditionalFormatting>
  <conditionalFormatting sqref="BF37">
    <cfRule type="cellIs" dxfId="12004" priority="140099" stopIfTrue="1" operator="equal">
      <formula>-1</formula>
    </cfRule>
  </conditionalFormatting>
  <conditionalFormatting sqref="BF37">
    <cfRule type="cellIs" dxfId="12003" priority="140100" stopIfTrue="1" operator="lessThan">
      <formula>0.5</formula>
    </cfRule>
  </conditionalFormatting>
  <conditionalFormatting sqref="BF37">
    <cfRule type="cellIs" dxfId="12002" priority="140101" stopIfTrue="1" operator="greaterThanOrEqual">
      <formula>0.5</formula>
    </cfRule>
  </conditionalFormatting>
  <conditionalFormatting sqref="BH17">
    <cfRule type="cellIs" dxfId="12001" priority="140102" stopIfTrue="1" operator="equal">
      <formula>-1</formula>
    </cfRule>
  </conditionalFormatting>
  <conditionalFormatting sqref="BH17">
    <cfRule type="cellIs" dxfId="12000" priority="140103" stopIfTrue="1" operator="lessThan">
      <formula>0.5</formula>
    </cfRule>
  </conditionalFormatting>
  <conditionalFormatting sqref="BH17">
    <cfRule type="cellIs" dxfId="11999" priority="140104" stopIfTrue="1" operator="greaterThanOrEqual">
      <formula>0.5</formula>
    </cfRule>
  </conditionalFormatting>
  <conditionalFormatting sqref="BH18">
    <cfRule type="cellIs" dxfId="11998" priority="140105" stopIfTrue="1" operator="equal">
      <formula>-1</formula>
    </cfRule>
  </conditionalFormatting>
  <conditionalFormatting sqref="BH18">
    <cfRule type="cellIs" dxfId="11997" priority="140106" stopIfTrue="1" operator="lessThan">
      <formula>0.5</formula>
    </cfRule>
  </conditionalFormatting>
  <conditionalFormatting sqref="BH18">
    <cfRule type="cellIs" dxfId="11996" priority="140107" stopIfTrue="1" operator="greaterThanOrEqual">
      <formula>0.5</formula>
    </cfRule>
  </conditionalFormatting>
  <conditionalFormatting sqref="BH19">
    <cfRule type="cellIs" dxfId="11995" priority="140108" stopIfTrue="1" operator="equal">
      <formula>-1</formula>
    </cfRule>
  </conditionalFormatting>
  <conditionalFormatting sqref="BH19">
    <cfRule type="cellIs" dxfId="11994" priority="140109" stopIfTrue="1" operator="lessThan">
      <formula>0.5</formula>
    </cfRule>
  </conditionalFormatting>
  <conditionalFormatting sqref="BH19">
    <cfRule type="cellIs" dxfId="11993" priority="140110" stopIfTrue="1" operator="greaterThanOrEqual">
      <formula>0.5</formula>
    </cfRule>
  </conditionalFormatting>
  <conditionalFormatting sqref="BH20">
    <cfRule type="cellIs" dxfId="11992" priority="140111" stopIfTrue="1" operator="equal">
      <formula>-1</formula>
    </cfRule>
  </conditionalFormatting>
  <conditionalFormatting sqref="BH20">
    <cfRule type="cellIs" dxfId="11991" priority="140112" stopIfTrue="1" operator="lessThan">
      <formula>0.5</formula>
    </cfRule>
  </conditionalFormatting>
  <conditionalFormatting sqref="BH20">
    <cfRule type="cellIs" dxfId="11990" priority="140113" stopIfTrue="1" operator="greaterThanOrEqual">
      <formula>0.5</formula>
    </cfRule>
  </conditionalFormatting>
  <conditionalFormatting sqref="BH21">
    <cfRule type="cellIs" dxfId="11989" priority="140114" stopIfTrue="1" operator="equal">
      <formula>-1</formula>
    </cfRule>
  </conditionalFormatting>
  <conditionalFormatting sqref="BH21">
    <cfRule type="cellIs" dxfId="11988" priority="140115" stopIfTrue="1" operator="lessThan">
      <formula>0.5</formula>
    </cfRule>
  </conditionalFormatting>
  <conditionalFormatting sqref="BH21">
    <cfRule type="cellIs" dxfId="11987" priority="140116" stopIfTrue="1" operator="greaterThanOrEqual">
      <formula>0.5</formula>
    </cfRule>
  </conditionalFormatting>
  <conditionalFormatting sqref="BH22">
    <cfRule type="cellIs" dxfId="11986" priority="140117" stopIfTrue="1" operator="equal">
      <formula>-1</formula>
    </cfRule>
  </conditionalFormatting>
  <conditionalFormatting sqref="BH22">
    <cfRule type="cellIs" dxfId="11985" priority="140118" stopIfTrue="1" operator="lessThan">
      <formula>0.5</formula>
    </cfRule>
  </conditionalFormatting>
  <conditionalFormatting sqref="BH22">
    <cfRule type="cellIs" dxfId="11984" priority="140119" stopIfTrue="1" operator="greaterThanOrEqual">
      <formula>0.5</formula>
    </cfRule>
  </conditionalFormatting>
  <conditionalFormatting sqref="BH23">
    <cfRule type="cellIs" dxfId="11983" priority="140120" stopIfTrue="1" operator="equal">
      <formula>-1</formula>
    </cfRule>
  </conditionalFormatting>
  <conditionalFormatting sqref="BH23">
    <cfRule type="cellIs" dxfId="11982" priority="140121" stopIfTrue="1" operator="lessThan">
      <formula>0.5</formula>
    </cfRule>
  </conditionalFormatting>
  <conditionalFormatting sqref="BH23">
    <cfRule type="cellIs" dxfId="11981" priority="140122" stopIfTrue="1" operator="greaterThanOrEqual">
      <formula>0.5</formula>
    </cfRule>
  </conditionalFormatting>
  <conditionalFormatting sqref="BH24">
    <cfRule type="cellIs" dxfId="11980" priority="140123" stopIfTrue="1" operator="equal">
      <formula>-1</formula>
    </cfRule>
  </conditionalFormatting>
  <conditionalFormatting sqref="BH24">
    <cfRule type="cellIs" dxfId="11979" priority="140124" stopIfTrue="1" operator="lessThan">
      <formula>0.5</formula>
    </cfRule>
  </conditionalFormatting>
  <conditionalFormatting sqref="BH24">
    <cfRule type="cellIs" dxfId="11978" priority="140125" stopIfTrue="1" operator="greaterThanOrEqual">
      <formula>0.5</formula>
    </cfRule>
  </conditionalFormatting>
  <conditionalFormatting sqref="BH25">
    <cfRule type="cellIs" dxfId="11977" priority="140126" stopIfTrue="1" operator="equal">
      <formula>-1</formula>
    </cfRule>
  </conditionalFormatting>
  <conditionalFormatting sqref="BH25">
    <cfRule type="cellIs" dxfId="11976" priority="140127" stopIfTrue="1" operator="lessThan">
      <formula>0.5</formula>
    </cfRule>
  </conditionalFormatting>
  <conditionalFormatting sqref="BH25">
    <cfRule type="cellIs" dxfId="11975" priority="140128" stopIfTrue="1" operator="greaterThanOrEqual">
      <formula>0.5</formula>
    </cfRule>
  </conditionalFormatting>
  <conditionalFormatting sqref="BH26">
    <cfRule type="cellIs" dxfId="11974" priority="140129" stopIfTrue="1" operator="equal">
      <formula>-1</formula>
    </cfRule>
  </conditionalFormatting>
  <conditionalFormatting sqref="BH26">
    <cfRule type="cellIs" dxfId="11973" priority="140130" stopIfTrue="1" operator="lessThan">
      <formula>0.5</formula>
    </cfRule>
  </conditionalFormatting>
  <conditionalFormatting sqref="BH26">
    <cfRule type="cellIs" dxfId="11972" priority="140131" stopIfTrue="1" operator="greaterThanOrEqual">
      <formula>0.5</formula>
    </cfRule>
  </conditionalFormatting>
  <conditionalFormatting sqref="BH27">
    <cfRule type="cellIs" dxfId="11971" priority="140132" stopIfTrue="1" operator="equal">
      <formula>-1</formula>
    </cfRule>
  </conditionalFormatting>
  <conditionalFormatting sqref="BH27">
    <cfRule type="cellIs" dxfId="11970" priority="140133" stopIfTrue="1" operator="lessThan">
      <formula>0.5</formula>
    </cfRule>
  </conditionalFormatting>
  <conditionalFormatting sqref="BH27">
    <cfRule type="cellIs" dxfId="11969" priority="140134" stopIfTrue="1" operator="greaterThanOrEqual">
      <formula>0.5</formula>
    </cfRule>
  </conditionalFormatting>
  <conditionalFormatting sqref="BH28">
    <cfRule type="cellIs" dxfId="11968" priority="140135" stopIfTrue="1" operator="equal">
      <formula>-1</formula>
    </cfRule>
  </conditionalFormatting>
  <conditionalFormatting sqref="BH28">
    <cfRule type="cellIs" dxfId="11967" priority="140136" stopIfTrue="1" operator="lessThan">
      <formula>0.5</formula>
    </cfRule>
  </conditionalFormatting>
  <conditionalFormatting sqref="BH28">
    <cfRule type="cellIs" dxfId="11966" priority="140137" stopIfTrue="1" operator="greaterThanOrEqual">
      <formula>0.5</formula>
    </cfRule>
  </conditionalFormatting>
  <conditionalFormatting sqref="BH29">
    <cfRule type="cellIs" dxfId="11965" priority="140138" stopIfTrue="1" operator="equal">
      <formula>-1</formula>
    </cfRule>
  </conditionalFormatting>
  <conditionalFormatting sqref="BH29">
    <cfRule type="cellIs" dxfId="11964" priority="140139" stopIfTrue="1" operator="lessThan">
      <formula>0.5</formula>
    </cfRule>
  </conditionalFormatting>
  <conditionalFormatting sqref="BH29">
    <cfRule type="cellIs" dxfId="11963" priority="140140" stopIfTrue="1" operator="greaterThanOrEqual">
      <formula>0.5</formula>
    </cfRule>
  </conditionalFormatting>
  <conditionalFormatting sqref="BH30">
    <cfRule type="cellIs" dxfId="11962" priority="140141" stopIfTrue="1" operator="equal">
      <formula>-1</formula>
    </cfRule>
  </conditionalFormatting>
  <conditionalFormatting sqref="BH30">
    <cfRule type="cellIs" dxfId="11961" priority="140142" stopIfTrue="1" operator="lessThan">
      <formula>0.5</formula>
    </cfRule>
  </conditionalFormatting>
  <conditionalFormatting sqref="BH30">
    <cfRule type="cellIs" dxfId="11960" priority="140143" stopIfTrue="1" operator="greaterThanOrEqual">
      <formula>0.5</formula>
    </cfRule>
  </conditionalFormatting>
  <conditionalFormatting sqref="BH31">
    <cfRule type="cellIs" dxfId="11959" priority="140144" stopIfTrue="1" operator="equal">
      <formula>-1</formula>
    </cfRule>
  </conditionalFormatting>
  <conditionalFormatting sqref="BH31">
    <cfRule type="cellIs" dxfId="11958" priority="140145" stopIfTrue="1" operator="lessThan">
      <formula>0.5</formula>
    </cfRule>
  </conditionalFormatting>
  <conditionalFormatting sqref="BH31">
    <cfRule type="cellIs" dxfId="11957" priority="140146" stopIfTrue="1" operator="greaterThanOrEqual">
      <formula>0.5</formula>
    </cfRule>
  </conditionalFormatting>
  <conditionalFormatting sqref="BH32">
    <cfRule type="cellIs" dxfId="11956" priority="140147" stopIfTrue="1" operator="equal">
      <formula>-1</formula>
    </cfRule>
  </conditionalFormatting>
  <conditionalFormatting sqref="BH32">
    <cfRule type="cellIs" dxfId="11955" priority="140148" stopIfTrue="1" operator="lessThan">
      <formula>0.5</formula>
    </cfRule>
  </conditionalFormatting>
  <conditionalFormatting sqref="BH32">
    <cfRule type="cellIs" dxfId="11954" priority="140149" stopIfTrue="1" operator="greaterThanOrEqual">
      <formula>0.5</formula>
    </cfRule>
  </conditionalFormatting>
  <conditionalFormatting sqref="BH33">
    <cfRule type="cellIs" dxfId="11953" priority="140150" stopIfTrue="1" operator="equal">
      <formula>-1</formula>
    </cfRule>
  </conditionalFormatting>
  <conditionalFormatting sqref="BH33">
    <cfRule type="cellIs" dxfId="11952" priority="140151" stopIfTrue="1" operator="lessThan">
      <formula>0.5</formula>
    </cfRule>
  </conditionalFormatting>
  <conditionalFormatting sqref="BH33">
    <cfRule type="cellIs" dxfId="11951" priority="140152" stopIfTrue="1" operator="greaterThanOrEqual">
      <formula>0.5</formula>
    </cfRule>
  </conditionalFormatting>
  <conditionalFormatting sqref="BH34">
    <cfRule type="cellIs" dxfId="11950" priority="140153" stopIfTrue="1" operator="equal">
      <formula>-1</formula>
    </cfRule>
  </conditionalFormatting>
  <conditionalFormatting sqref="BH34">
    <cfRule type="cellIs" dxfId="11949" priority="140154" stopIfTrue="1" operator="lessThan">
      <formula>0.5</formula>
    </cfRule>
  </conditionalFormatting>
  <conditionalFormatting sqref="BH34">
    <cfRule type="cellIs" dxfId="11948" priority="140155" stopIfTrue="1" operator="greaterThanOrEqual">
      <formula>0.5</formula>
    </cfRule>
  </conditionalFormatting>
  <conditionalFormatting sqref="BH35">
    <cfRule type="cellIs" dxfId="11947" priority="140156" stopIfTrue="1" operator="equal">
      <formula>-1</formula>
    </cfRule>
  </conditionalFormatting>
  <conditionalFormatting sqref="BH35">
    <cfRule type="cellIs" dxfId="11946" priority="140157" stopIfTrue="1" operator="lessThan">
      <formula>0.5</formula>
    </cfRule>
  </conditionalFormatting>
  <conditionalFormatting sqref="BH35">
    <cfRule type="cellIs" dxfId="11945" priority="140158" stopIfTrue="1" operator="greaterThanOrEqual">
      <formula>0.5</formula>
    </cfRule>
  </conditionalFormatting>
  <conditionalFormatting sqref="BH36">
    <cfRule type="cellIs" dxfId="11944" priority="140159" stopIfTrue="1" operator="equal">
      <formula>-1</formula>
    </cfRule>
  </conditionalFormatting>
  <conditionalFormatting sqref="BH36">
    <cfRule type="cellIs" dxfId="11943" priority="140160" stopIfTrue="1" operator="lessThan">
      <formula>0.5</formula>
    </cfRule>
  </conditionalFormatting>
  <conditionalFormatting sqref="BH36">
    <cfRule type="cellIs" dxfId="11942" priority="140161" stopIfTrue="1" operator="greaterThanOrEqual">
      <formula>0.5</formula>
    </cfRule>
  </conditionalFormatting>
  <conditionalFormatting sqref="BH37">
    <cfRule type="cellIs" dxfId="11941" priority="140162" stopIfTrue="1" operator="equal">
      <formula>-1</formula>
    </cfRule>
  </conditionalFormatting>
  <conditionalFormatting sqref="BH37">
    <cfRule type="cellIs" dxfId="11940" priority="140163" stopIfTrue="1" operator="lessThan">
      <formula>0.5</formula>
    </cfRule>
  </conditionalFormatting>
  <conditionalFormatting sqref="BH37">
    <cfRule type="cellIs" dxfId="11939" priority="140164" stopIfTrue="1" operator="greaterThanOrEqual">
      <formula>0.5</formula>
    </cfRule>
  </conditionalFormatting>
  <conditionalFormatting sqref="BJ17">
    <cfRule type="cellIs" dxfId="11938" priority="140165" stopIfTrue="1" operator="equal">
      <formula>-1</formula>
    </cfRule>
  </conditionalFormatting>
  <conditionalFormatting sqref="BJ17">
    <cfRule type="cellIs" dxfId="11937" priority="140166" stopIfTrue="1" operator="lessThan">
      <formula>0.5</formula>
    </cfRule>
  </conditionalFormatting>
  <conditionalFormatting sqref="BJ17">
    <cfRule type="cellIs" dxfId="11936" priority="140167" stopIfTrue="1" operator="greaterThanOrEqual">
      <formula>0.5</formula>
    </cfRule>
  </conditionalFormatting>
  <conditionalFormatting sqref="BJ18">
    <cfRule type="cellIs" dxfId="11935" priority="140168" stopIfTrue="1" operator="equal">
      <formula>-1</formula>
    </cfRule>
  </conditionalFormatting>
  <conditionalFormatting sqref="BJ18">
    <cfRule type="cellIs" dxfId="11934" priority="140169" stopIfTrue="1" operator="lessThan">
      <formula>0.5</formula>
    </cfRule>
  </conditionalFormatting>
  <conditionalFormatting sqref="BJ18">
    <cfRule type="cellIs" dxfId="11933" priority="140170" stopIfTrue="1" operator="greaterThanOrEqual">
      <formula>0.5</formula>
    </cfRule>
  </conditionalFormatting>
  <conditionalFormatting sqref="BJ19">
    <cfRule type="cellIs" dxfId="11932" priority="140171" stopIfTrue="1" operator="equal">
      <formula>-1</formula>
    </cfRule>
  </conditionalFormatting>
  <conditionalFormatting sqref="BJ19">
    <cfRule type="cellIs" dxfId="11931" priority="140172" stopIfTrue="1" operator="lessThan">
      <formula>0.5</formula>
    </cfRule>
  </conditionalFormatting>
  <conditionalFormatting sqref="BJ19">
    <cfRule type="cellIs" dxfId="11930" priority="140173" stopIfTrue="1" operator="greaterThanOrEqual">
      <formula>0.5</formula>
    </cfRule>
  </conditionalFormatting>
  <conditionalFormatting sqref="BJ20">
    <cfRule type="cellIs" dxfId="11929" priority="140174" stopIfTrue="1" operator="equal">
      <formula>-1</formula>
    </cfRule>
  </conditionalFormatting>
  <conditionalFormatting sqref="BJ20">
    <cfRule type="cellIs" dxfId="11928" priority="140175" stopIfTrue="1" operator="lessThan">
      <formula>0.5</formula>
    </cfRule>
  </conditionalFormatting>
  <conditionalFormatting sqref="BJ20">
    <cfRule type="cellIs" dxfId="11927" priority="140176" stopIfTrue="1" operator="greaterThanOrEqual">
      <formula>0.5</formula>
    </cfRule>
  </conditionalFormatting>
  <conditionalFormatting sqref="BJ21">
    <cfRule type="cellIs" dxfId="11926" priority="140177" stopIfTrue="1" operator="equal">
      <formula>-1</formula>
    </cfRule>
  </conditionalFormatting>
  <conditionalFormatting sqref="BJ21">
    <cfRule type="cellIs" dxfId="11925" priority="140178" stopIfTrue="1" operator="lessThan">
      <formula>0.5</formula>
    </cfRule>
  </conditionalFormatting>
  <conditionalFormatting sqref="BJ21">
    <cfRule type="cellIs" dxfId="11924" priority="140179" stopIfTrue="1" operator="greaterThanOrEqual">
      <formula>0.5</formula>
    </cfRule>
  </conditionalFormatting>
  <conditionalFormatting sqref="BJ22">
    <cfRule type="cellIs" dxfId="11923" priority="140180" stopIfTrue="1" operator="equal">
      <formula>-1</formula>
    </cfRule>
  </conditionalFormatting>
  <conditionalFormatting sqref="BJ22">
    <cfRule type="cellIs" dxfId="11922" priority="140181" stopIfTrue="1" operator="lessThan">
      <formula>0.5</formula>
    </cfRule>
  </conditionalFormatting>
  <conditionalFormatting sqref="BJ22">
    <cfRule type="cellIs" dxfId="11921" priority="140182" stopIfTrue="1" operator="greaterThanOrEqual">
      <formula>0.5</formula>
    </cfRule>
  </conditionalFormatting>
  <conditionalFormatting sqref="BJ23">
    <cfRule type="cellIs" dxfId="11920" priority="140183" stopIfTrue="1" operator="equal">
      <formula>-1</formula>
    </cfRule>
  </conditionalFormatting>
  <conditionalFormatting sqref="BJ23">
    <cfRule type="cellIs" dxfId="11919" priority="140184" stopIfTrue="1" operator="lessThan">
      <formula>0.5</formula>
    </cfRule>
  </conditionalFormatting>
  <conditionalFormatting sqref="BJ23">
    <cfRule type="cellIs" dxfId="11918" priority="140185" stopIfTrue="1" operator="greaterThanOrEqual">
      <formula>0.5</formula>
    </cfRule>
  </conditionalFormatting>
  <conditionalFormatting sqref="BJ24">
    <cfRule type="cellIs" dxfId="11917" priority="140186" stopIfTrue="1" operator="equal">
      <formula>-1</formula>
    </cfRule>
  </conditionalFormatting>
  <conditionalFormatting sqref="BJ24">
    <cfRule type="cellIs" dxfId="11916" priority="140187" stopIfTrue="1" operator="lessThan">
      <formula>0.5</formula>
    </cfRule>
  </conditionalFormatting>
  <conditionalFormatting sqref="BJ24">
    <cfRule type="cellIs" dxfId="11915" priority="140188" stopIfTrue="1" operator="greaterThanOrEqual">
      <formula>0.5</formula>
    </cfRule>
  </conditionalFormatting>
  <conditionalFormatting sqref="BJ25">
    <cfRule type="cellIs" dxfId="11914" priority="140189" stopIfTrue="1" operator="equal">
      <formula>-1</formula>
    </cfRule>
  </conditionalFormatting>
  <conditionalFormatting sqref="BJ25">
    <cfRule type="cellIs" dxfId="11913" priority="140190" stopIfTrue="1" operator="lessThan">
      <formula>0.5</formula>
    </cfRule>
  </conditionalFormatting>
  <conditionalFormatting sqref="BJ25">
    <cfRule type="cellIs" dxfId="11912" priority="140191" stopIfTrue="1" operator="greaterThanOrEqual">
      <formula>0.5</formula>
    </cfRule>
  </conditionalFormatting>
  <conditionalFormatting sqref="BJ26">
    <cfRule type="cellIs" dxfId="11911" priority="140192" stopIfTrue="1" operator="equal">
      <formula>-1</formula>
    </cfRule>
  </conditionalFormatting>
  <conditionalFormatting sqref="BJ26">
    <cfRule type="cellIs" dxfId="11910" priority="140193" stopIfTrue="1" operator="lessThan">
      <formula>0.5</formula>
    </cfRule>
  </conditionalFormatting>
  <conditionalFormatting sqref="BJ26">
    <cfRule type="cellIs" dxfId="11909" priority="140194" stopIfTrue="1" operator="greaterThanOrEqual">
      <formula>0.5</formula>
    </cfRule>
  </conditionalFormatting>
  <conditionalFormatting sqref="BJ27">
    <cfRule type="cellIs" dxfId="11908" priority="140195" stopIfTrue="1" operator="equal">
      <formula>-1</formula>
    </cfRule>
  </conditionalFormatting>
  <conditionalFormatting sqref="BJ27">
    <cfRule type="cellIs" dxfId="11907" priority="140196" stopIfTrue="1" operator="lessThan">
      <formula>0.5</formula>
    </cfRule>
  </conditionalFormatting>
  <conditionalFormatting sqref="BJ27">
    <cfRule type="cellIs" dxfId="11906" priority="140197" stopIfTrue="1" operator="greaterThanOrEqual">
      <formula>0.5</formula>
    </cfRule>
  </conditionalFormatting>
  <conditionalFormatting sqref="BJ28">
    <cfRule type="cellIs" dxfId="11905" priority="140198" stopIfTrue="1" operator="equal">
      <formula>-1</formula>
    </cfRule>
  </conditionalFormatting>
  <conditionalFormatting sqref="BJ28">
    <cfRule type="cellIs" dxfId="11904" priority="140199" stopIfTrue="1" operator="lessThan">
      <formula>0.5</formula>
    </cfRule>
  </conditionalFormatting>
  <conditionalFormatting sqref="BJ28">
    <cfRule type="cellIs" dxfId="11903" priority="140200" stopIfTrue="1" operator="greaterThanOrEqual">
      <formula>0.5</formula>
    </cfRule>
  </conditionalFormatting>
  <conditionalFormatting sqref="BJ29">
    <cfRule type="cellIs" dxfId="11902" priority="140201" stopIfTrue="1" operator="equal">
      <formula>-1</formula>
    </cfRule>
  </conditionalFormatting>
  <conditionalFormatting sqref="BJ29">
    <cfRule type="cellIs" dxfId="11901" priority="140202" stopIfTrue="1" operator="lessThan">
      <formula>0.5</formula>
    </cfRule>
  </conditionalFormatting>
  <conditionalFormatting sqref="BJ29">
    <cfRule type="cellIs" dxfId="11900" priority="140203" stopIfTrue="1" operator="greaterThanOrEqual">
      <formula>0.5</formula>
    </cfRule>
  </conditionalFormatting>
  <conditionalFormatting sqref="BJ30">
    <cfRule type="cellIs" dxfId="11899" priority="140204" stopIfTrue="1" operator="equal">
      <formula>-1</formula>
    </cfRule>
  </conditionalFormatting>
  <conditionalFormatting sqref="BJ30">
    <cfRule type="cellIs" dxfId="11898" priority="140205" stopIfTrue="1" operator="lessThan">
      <formula>0.5</formula>
    </cfRule>
  </conditionalFormatting>
  <conditionalFormatting sqref="BJ30">
    <cfRule type="cellIs" dxfId="11897" priority="140206" stopIfTrue="1" operator="greaterThanOrEqual">
      <formula>0.5</formula>
    </cfRule>
  </conditionalFormatting>
  <conditionalFormatting sqref="BJ31">
    <cfRule type="cellIs" dxfId="11896" priority="140207" stopIfTrue="1" operator="equal">
      <formula>-1</formula>
    </cfRule>
  </conditionalFormatting>
  <conditionalFormatting sqref="BJ31">
    <cfRule type="cellIs" dxfId="11895" priority="140208" stopIfTrue="1" operator="lessThan">
      <formula>0.5</formula>
    </cfRule>
  </conditionalFormatting>
  <conditionalFormatting sqref="BJ31">
    <cfRule type="cellIs" dxfId="11894" priority="140209" stopIfTrue="1" operator="greaterThanOrEqual">
      <formula>0.5</formula>
    </cfRule>
  </conditionalFormatting>
  <conditionalFormatting sqref="BJ32">
    <cfRule type="cellIs" dxfId="11893" priority="140210" stopIfTrue="1" operator="equal">
      <formula>-1</formula>
    </cfRule>
  </conditionalFormatting>
  <conditionalFormatting sqref="BJ32">
    <cfRule type="cellIs" dxfId="11892" priority="140211" stopIfTrue="1" operator="lessThan">
      <formula>0.5</formula>
    </cfRule>
  </conditionalFormatting>
  <conditionalFormatting sqref="BJ32">
    <cfRule type="cellIs" dxfId="11891" priority="140212" stopIfTrue="1" operator="greaterThanOrEqual">
      <formula>0.5</formula>
    </cfRule>
  </conditionalFormatting>
  <conditionalFormatting sqref="BJ33">
    <cfRule type="cellIs" dxfId="11890" priority="140213" stopIfTrue="1" operator="equal">
      <formula>-1</formula>
    </cfRule>
  </conditionalFormatting>
  <conditionalFormatting sqref="BJ33">
    <cfRule type="cellIs" dxfId="11889" priority="140214" stopIfTrue="1" operator="lessThan">
      <formula>0.5</formula>
    </cfRule>
  </conditionalFormatting>
  <conditionalFormatting sqref="BJ33">
    <cfRule type="cellIs" dxfId="11888" priority="140215" stopIfTrue="1" operator="greaterThanOrEqual">
      <formula>0.5</formula>
    </cfRule>
  </conditionalFormatting>
  <conditionalFormatting sqref="BJ34">
    <cfRule type="cellIs" dxfId="11887" priority="140216" stopIfTrue="1" operator="equal">
      <formula>-1</formula>
    </cfRule>
  </conditionalFormatting>
  <conditionalFormatting sqref="BJ34">
    <cfRule type="cellIs" dxfId="11886" priority="140217" stopIfTrue="1" operator="lessThan">
      <formula>0.5</formula>
    </cfRule>
  </conditionalFormatting>
  <conditionalFormatting sqref="BJ34">
    <cfRule type="cellIs" dxfId="11885" priority="140218" stopIfTrue="1" operator="greaterThanOrEqual">
      <formula>0.5</formula>
    </cfRule>
  </conditionalFormatting>
  <conditionalFormatting sqref="BJ35">
    <cfRule type="cellIs" dxfId="11884" priority="140219" stopIfTrue="1" operator="equal">
      <formula>-1</formula>
    </cfRule>
  </conditionalFormatting>
  <conditionalFormatting sqref="BJ35">
    <cfRule type="cellIs" dxfId="11883" priority="140220" stopIfTrue="1" operator="lessThan">
      <formula>0.5</formula>
    </cfRule>
  </conditionalFormatting>
  <conditionalFormatting sqref="BJ35">
    <cfRule type="cellIs" dxfId="11882" priority="140221" stopIfTrue="1" operator="greaterThanOrEqual">
      <formula>0.5</formula>
    </cfRule>
  </conditionalFormatting>
  <conditionalFormatting sqref="BJ36">
    <cfRule type="cellIs" dxfId="11881" priority="140222" stopIfTrue="1" operator="equal">
      <formula>-1</formula>
    </cfRule>
  </conditionalFormatting>
  <conditionalFormatting sqref="BJ36">
    <cfRule type="cellIs" dxfId="11880" priority="140223" stopIfTrue="1" operator="lessThan">
      <formula>0.5</formula>
    </cfRule>
  </conditionalFormatting>
  <conditionalFormatting sqref="BJ36">
    <cfRule type="cellIs" dxfId="11879" priority="140224" stopIfTrue="1" operator="greaterThanOrEqual">
      <formula>0.5</formula>
    </cfRule>
  </conditionalFormatting>
  <conditionalFormatting sqref="BJ37">
    <cfRule type="cellIs" dxfId="11878" priority="140225" stopIfTrue="1" operator="equal">
      <formula>-1</formula>
    </cfRule>
  </conditionalFormatting>
  <conditionalFormatting sqref="BJ37">
    <cfRule type="cellIs" dxfId="11877" priority="140226" stopIfTrue="1" operator="lessThan">
      <formula>0.5</formula>
    </cfRule>
  </conditionalFormatting>
  <conditionalFormatting sqref="BJ37">
    <cfRule type="cellIs" dxfId="11876" priority="140227" stopIfTrue="1" operator="greaterThanOrEqual">
      <formula>0.5</formula>
    </cfRule>
  </conditionalFormatting>
  <conditionalFormatting sqref="D39">
    <cfRule type="cellIs" dxfId="11875" priority="140228" stopIfTrue="1" operator="equal">
      <formula>-1</formula>
    </cfRule>
  </conditionalFormatting>
  <conditionalFormatting sqref="D39">
    <cfRule type="cellIs" dxfId="11874" priority="140229" stopIfTrue="1" operator="lessThan">
      <formula>0.5</formula>
    </cfRule>
  </conditionalFormatting>
  <conditionalFormatting sqref="D39">
    <cfRule type="cellIs" dxfId="11873" priority="140230" stopIfTrue="1" operator="greaterThanOrEqual">
      <formula>0.5</formula>
    </cfRule>
  </conditionalFormatting>
  <conditionalFormatting sqref="D40">
    <cfRule type="cellIs" dxfId="11872" priority="140231" stopIfTrue="1" operator="equal">
      <formula>-1</formula>
    </cfRule>
  </conditionalFormatting>
  <conditionalFormatting sqref="D40">
    <cfRule type="cellIs" dxfId="11871" priority="140232" stopIfTrue="1" operator="lessThan">
      <formula>0.5</formula>
    </cfRule>
  </conditionalFormatting>
  <conditionalFormatting sqref="D40">
    <cfRule type="cellIs" dxfId="11870" priority="140233" stopIfTrue="1" operator="greaterThanOrEqual">
      <formula>0.5</formula>
    </cfRule>
  </conditionalFormatting>
  <conditionalFormatting sqref="D41">
    <cfRule type="cellIs" dxfId="11869" priority="140234" stopIfTrue="1" operator="equal">
      <formula>-1</formula>
    </cfRule>
  </conditionalFormatting>
  <conditionalFormatting sqref="D41">
    <cfRule type="cellIs" dxfId="11868" priority="140235" stopIfTrue="1" operator="lessThan">
      <formula>0.5</formula>
    </cfRule>
  </conditionalFormatting>
  <conditionalFormatting sqref="D41">
    <cfRule type="cellIs" dxfId="11867" priority="140236" stopIfTrue="1" operator="greaterThanOrEqual">
      <formula>0.5</formula>
    </cfRule>
  </conditionalFormatting>
  <conditionalFormatting sqref="D42">
    <cfRule type="cellIs" dxfId="11866" priority="140237" stopIfTrue="1" operator="equal">
      <formula>-1</formula>
    </cfRule>
  </conditionalFormatting>
  <conditionalFormatting sqref="D42">
    <cfRule type="cellIs" dxfId="11865" priority="140238" stopIfTrue="1" operator="lessThan">
      <formula>0.5</formula>
    </cfRule>
  </conditionalFormatting>
  <conditionalFormatting sqref="D42">
    <cfRule type="cellIs" dxfId="11864" priority="140239" stopIfTrue="1" operator="greaterThanOrEqual">
      <formula>0.5</formula>
    </cfRule>
  </conditionalFormatting>
  <conditionalFormatting sqref="D43">
    <cfRule type="cellIs" dxfId="11863" priority="140240" stopIfTrue="1" operator="equal">
      <formula>-1</formula>
    </cfRule>
  </conditionalFormatting>
  <conditionalFormatting sqref="D43">
    <cfRule type="cellIs" dxfId="11862" priority="140241" stopIfTrue="1" operator="lessThan">
      <formula>0.5</formula>
    </cfRule>
  </conditionalFormatting>
  <conditionalFormatting sqref="D43">
    <cfRule type="cellIs" dxfId="11861" priority="140242" stopIfTrue="1" operator="greaterThanOrEqual">
      <formula>0.5</formula>
    </cfRule>
  </conditionalFormatting>
  <conditionalFormatting sqref="D44">
    <cfRule type="cellIs" dxfId="11860" priority="140243" stopIfTrue="1" operator="equal">
      <formula>-1</formula>
    </cfRule>
  </conditionalFormatting>
  <conditionalFormatting sqref="D44">
    <cfRule type="cellIs" dxfId="11859" priority="140244" stopIfTrue="1" operator="lessThan">
      <formula>0.5</formula>
    </cfRule>
  </conditionalFormatting>
  <conditionalFormatting sqref="D44">
    <cfRule type="cellIs" dxfId="11858" priority="140245" stopIfTrue="1" operator="greaterThanOrEqual">
      <formula>0.5</formula>
    </cfRule>
  </conditionalFormatting>
  <conditionalFormatting sqref="D45">
    <cfRule type="cellIs" dxfId="11857" priority="140246" stopIfTrue="1" operator="equal">
      <formula>-1</formula>
    </cfRule>
  </conditionalFormatting>
  <conditionalFormatting sqref="D45">
    <cfRule type="cellIs" dxfId="11856" priority="140247" stopIfTrue="1" operator="lessThan">
      <formula>0.5</formula>
    </cfRule>
  </conditionalFormatting>
  <conditionalFormatting sqref="D45">
    <cfRule type="cellIs" dxfId="11855" priority="140248" stopIfTrue="1" operator="greaterThanOrEqual">
      <formula>0.5</formula>
    </cfRule>
  </conditionalFormatting>
  <conditionalFormatting sqref="D46">
    <cfRule type="cellIs" dxfId="11854" priority="140249" stopIfTrue="1" operator="equal">
      <formula>-1</formula>
    </cfRule>
  </conditionalFormatting>
  <conditionalFormatting sqref="D46">
    <cfRule type="cellIs" dxfId="11853" priority="140250" stopIfTrue="1" operator="lessThan">
      <formula>0.5</formula>
    </cfRule>
  </conditionalFormatting>
  <conditionalFormatting sqref="D46">
    <cfRule type="cellIs" dxfId="11852" priority="140251" stopIfTrue="1" operator="greaterThanOrEqual">
      <formula>0.5</formula>
    </cfRule>
  </conditionalFormatting>
  <conditionalFormatting sqref="D47">
    <cfRule type="cellIs" dxfId="11851" priority="140252" stopIfTrue="1" operator="equal">
      <formula>-1</formula>
    </cfRule>
  </conditionalFormatting>
  <conditionalFormatting sqref="D47">
    <cfRule type="cellIs" dxfId="11850" priority="140253" stopIfTrue="1" operator="lessThan">
      <formula>0.5</formula>
    </cfRule>
  </conditionalFormatting>
  <conditionalFormatting sqref="D47">
    <cfRule type="cellIs" dxfId="11849" priority="140254" stopIfTrue="1" operator="greaterThanOrEqual">
      <formula>0.5</formula>
    </cfRule>
  </conditionalFormatting>
  <conditionalFormatting sqref="D48">
    <cfRule type="cellIs" dxfId="11848" priority="140255" stopIfTrue="1" operator="equal">
      <formula>-1</formula>
    </cfRule>
  </conditionalFormatting>
  <conditionalFormatting sqref="D48">
    <cfRule type="cellIs" dxfId="11847" priority="140256" stopIfTrue="1" operator="lessThan">
      <formula>0.5</formula>
    </cfRule>
  </conditionalFormatting>
  <conditionalFormatting sqref="D48">
    <cfRule type="cellIs" dxfId="11846" priority="140257" stopIfTrue="1" operator="greaterThanOrEqual">
      <formula>0.5</formula>
    </cfRule>
  </conditionalFormatting>
  <conditionalFormatting sqref="D49">
    <cfRule type="cellIs" dxfId="11845" priority="140258" stopIfTrue="1" operator="equal">
      <formula>-1</formula>
    </cfRule>
  </conditionalFormatting>
  <conditionalFormatting sqref="D49">
    <cfRule type="cellIs" dxfId="11844" priority="140259" stopIfTrue="1" operator="lessThan">
      <formula>0.5</formula>
    </cfRule>
  </conditionalFormatting>
  <conditionalFormatting sqref="D49">
    <cfRule type="cellIs" dxfId="11843" priority="140260" stopIfTrue="1" operator="greaterThanOrEqual">
      <formula>0.5</formula>
    </cfRule>
  </conditionalFormatting>
  <conditionalFormatting sqref="D50">
    <cfRule type="cellIs" dxfId="11842" priority="140261" stopIfTrue="1" operator="equal">
      <formula>-1</formula>
    </cfRule>
  </conditionalFormatting>
  <conditionalFormatting sqref="D50">
    <cfRule type="cellIs" dxfId="11841" priority="140262" stopIfTrue="1" operator="lessThan">
      <formula>0.5</formula>
    </cfRule>
  </conditionalFormatting>
  <conditionalFormatting sqref="D50">
    <cfRule type="cellIs" dxfId="11840" priority="140263" stopIfTrue="1" operator="greaterThanOrEqual">
      <formula>0.5</formula>
    </cfRule>
  </conditionalFormatting>
  <conditionalFormatting sqref="D51">
    <cfRule type="cellIs" dxfId="11839" priority="140264" stopIfTrue="1" operator="equal">
      <formula>-1</formula>
    </cfRule>
  </conditionalFormatting>
  <conditionalFormatting sqref="D51">
    <cfRule type="cellIs" dxfId="11838" priority="140265" stopIfTrue="1" operator="lessThan">
      <formula>0.5</formula>
    </cfRule>
  </conditionalFormatting>
  <conditionalFormatting sqref="D51">
    <cfRule type="cellIs" dxfId="11837" priority="140266" stopIfTrue="1" operator="greaterThanOrEqual">
      <formula>0.5</formula>
    </cfRule>
  </conditionalFormatting>
  <conditionalFormatting sqref="D52">
    <cfRule type="cellIs" dxfId="11836" priority="140267" stopIfTrue="1" operator="equal">
      <formula>-1</formula>
    </cfRule>
  </conditionalFormatting>
  <conditionalFormatting sqref="D52">
    <cfRule type="cellIs" dxfId="11835" priority="140268" stopIfTrue="1" operator="lessThan">
      <formula>0.5</formula>
    </cfRule>
  </conditionalFormatting>
  <conditionalFormatting sqref="D52">
    <cfRule type="cellIs" dxfId="11834" priority="140269" stopIfTrue="1" operator="greaterThanOrEqual">
      <formula>0.5</formula>
    </cfRule>
  </conditionalFormatting>
  <conditionalFormatting sqref="D53">
    <cfRule type="cellIs" dxfId="11833" priority="140270" stopIfTrue="1" operator="equal">
      <formula>-1</formula>
    </cfRule>
  </conditionalFormatting>
  <conditionalFormatting sqref="D53">
    <cfRule type="cellIs" dxfId="11832" priority="140271" stopIfTrue="1" operator="lessThan">
      <formula>0.5</formula>
    </cfRule>
  </conditionalFormatting>
  <conditionalFormatting sqref="D53">
    <cfRule type="cellIs" dxfId="11831" priority="140272" stopIfTrue="1" operator="greaterThanOrEqual">
      <formula>0.5</formula>
    </cfRule>
  </conditionalFormatting>
  <conditionalFormatting sqref="D54">
    <cfRule type="cellIs" dxfId="11830" priority="140273" stopIfTrue="1" operator="equal">
      <formula>-1</formula>
    </cfRule>
  </conditionalFormatting>
  <conditionalFormatting sqref="D54">
    <cfRule type="cellIs" dxfId="11829" priority="140274" stopIfTrue="1" operator="lessThan">
      <formula>0.5</formula>
    </cfRule>
  </conditionalFormatting>
  <conditionalFormatting sqref="D54">
    <cfRule type="cellIs" dxfId="11828" priority="140275" stopIfTrue="1" operator="greaterThanOrEqual">
      <formula>0.5</formula>
    </cfRule>
  </conditionalFormatting>
  <conditionalFormatting sqref="D55">
    <cfRule type="cellIs" dxfId="11827" priority="140276" stopIfTrue="1" operator="equal">
      <formula>-1</formula>
    </cfRule>
  </conditionalFormatting>
  <conditionalFormatting sqref="D55">
    <cfRule type="cellIs" dxfId="11826" priority="140277" stopIfTrue="1" operator="lessThan">
      <formula>0.5</formula>
    </cfRule>
  </conditionalFormatting>
  <conditionalFormatting sqref="D55">
    <cfRule type="cellIs" dxfId="11825" priority="140278" stopIfTrue="1" operator="greaterThanOrEqual">
      <formula>0.5</formula>
    </cfRule>
  </conditionalFormatting>
  <conditionalFormatting sqref="D56">
    <cfRule type="cellIs" dxfId="11824" priority="140279" stopIfTrue="1" operator="equal">
      <formula>-1</formula>
    </cfRule>
  </conditionalFormatting>
  <conditionalFormatting sqref="D56">
    <cfRule type="cellIs" dxfId="11823" priority="140280" stopIfTrue="1" operator="lessThan">
      <formula>0.5</formula>
    </cfRule>
  </conditionalFormatting>
  <conditionalFormatting sqref="D56">
    <cfRule type="cellIs" dxfId="11822" priority="140281" stopIfTrue="1" operator="greaterThanOrEqual">
      <formula>0.5</formula>
    </cfRule>
  </conditionalFormatting>
  <conditionalFormatting sqref="D57">
    <cfRule type="cellIs" dxfId="11821" priority="140282" stopIfTrue="1" operator="equal">
      <formula>-1</formula>
    </cfRule>
  </conditionalFormatting>
  <conditionalFormatting sqref="D57">
    <cfRule type="cellIs" dxfId="11820" priority="140283" stopIfTrue="1" operator="lessThan">
      <formula>0.5</formula>
    </cfRule>
  </conditionalFormatting>
  <conditionalFormatting sqref="D57">
    <cfRule type="cellIs" dxfId="11819" priority="140284" stopIfTrue="1" operator="greaterThanOrEqual">
      <formula>0.5</formula>
    </cfRule>
  </conditionalFormatting>
  <conditionalFormatting sqref="D58">
    <cfRule type="cellIs" dxfId="11818" priority="140285" stopIfTrue="1" operator="equal">
      <formula>-1</formula>
    </cfRule>
  </conditionalFormatting>
  <conditionalFormatting sqref="D58">
    <cfRule type="cellIs" dxfId="11817" priority="140286" stopIfTrue="1" operator="lessThan">
      <formula>0.5</formula>
    </cfRule>
  </conditionalFormatting>
  <conditionalFormatting sqref="D58">
    <cfRule type="cellIs" dxfId="11816" priority="140287" stopIfTrue="1" operator="greaterThanOrEqual">
      <formula>0.5</formula>
    </cfRule>
  </conditionalFormatting>
  <conditionalFormatting sqref="F39">
    <cfRule type="cellIs" dxfId="11815" priority="140288" stopIfTrue="1" operator="equal">
      <formula>-1</formula>
    </cfRule>
  </conditionalFormatting>
  <conditionalFormatting sqref="F39">
    <cfRule type="cellIs" dxfId="11814" priority="140289" stopIfTrue="1" operator="lessThan">
      <formula>0.5</formula>
    </cfRule>
  </conditionalFormatting>
  <conditionalFormatting sqref="F39">
    <cfRule type="cellIs" dxfId="11813" priority="140290" stopIfTrue="1" operator="greaterThanOrEqual">
      <formula>0.5</formula>
    </cfRule>
  </conditionalFormatting>
  <conditionalFormatting sqref="F40">
    <cfRule type="cellIs" dxfId="11812" priority="140291" stopIfTrue="1" operator="equal">
      <formula>-1</formula>
    </cfRule>
  </conditionalFormatting>
  <conditionalFormatting sqref="F40">
    <cfRule type="cellIs" dxfId="11811" priority="140292" stopIfTrue="1" operator="lessThan">
      <formula>0.5</formula>
    </cfRule>
  </conditionalFormatting>
  <conditionalFormatting sqref="F40">
    <cfRule type="cellIs" dxfId="11810" priority="140293" stopIfTrue="1" operator="greaterThanOrEqual">
      <formula>0.5</formula>
    </cfRule>
  </conditionalFormatting>
  <conditionalFormatting sqref="F41">
    <cfRule type="cellIs" dxfId="11809" priority="140294" stopIfTrue="1" operator="equal">
      <formula>-1</formula>
    </cfRule>
  </conditionalFormatting>
  <conditionalFormatting sqref="F41">
    <cfRule type="cellIs" dxfId="11808" priority="140295" stopIfTrue="1" operator="lessThan">
      <formula>0.5</formula>
    </cfRule>
  </conditionalFormatting>
  <conditionalFormatting sqref="F41">
    <cfRule type="cellIs" dxfId="11807" priority="140296" stopIfTrue="1" operator="greaterThanOrEqual">
      <formula>0.5</formula>
    </cfRule>
  </conditionalFormatting>
  <conditionalFormatting sqref="F42">
    <cfRule type="cellIs" dxfId="11806" priority="140297" stopIfTrue="1" operator="equal">
      <formula>-1</formula>
    </cfRule>
  </conditionalFormatting>
  <conditionalFormatting sqref="F42">
    <cfRule type="cellIs" dxfId="11805" priority="140298" stopIfTrue="1" operator="lessThan">
      <formula>0.5</formula>
    </cfRule>
  </conditionalFormatting>
  <conditionalFormatting sqref="F42">
    <cfRule type="cellIs" dxfId="11804" priority="140299" stopIfTrue="1" operator="greaterThanOrEqual">
      <formula>0.5</formula>
    </cfRule>
  </conditionalFormatting>
  <conditionalFormatting sqref="F43">
    <cfRule type="cellIs" dxfId="11803" priority="140300" stopIfTrue="1" operator="equal">
      <formula>-1</formula>
    </cfRule>
  </conditionalFormatting>
  <conditionalFormatting sqref="F43">
    <cfRule type="cellIs" dxfId="11802" priority="140301" stopIfTrue="1" operator="lessThan">
      <formula>0.5</formula>
    </cfRule>
  </conditionalFormatting>
  <conditionalFormatting sqref="F43">
    <cfRule type="cellIs" dxfId="11801" priority="140302" stopIfTrue="1" operator="greaterThanOrEqual">
      <formula>0.5</formula>
    </cfRule>
  </conditionalFormatting>
  <conditionalFormatting sqref="F44">
    <cfRule type="cellIs" dxfId="11800" priority="140303" stopIfTrue="1" operator="equal">
      <formula>-1</formula>
    </cfRule>
  </conditionalFormatting>
  <conditionalFormatting sqref="F44">
    <cfRule type="cellIs" dxfId="11799" priority="140304" stopIfTrue="1" operator="lessThan">
      <formula>0.5</formula>
    </cfRule>
  </conditionalFormatting>
  <conditionalFormatting sqref="F44">
    <cfRule type="cellIs" dxfId="11798" priority="140305" stopIfTrue="1" operator="greaterThanOrEqual">
      <formula>0.5</formula>
    </cfRule>
  </conditionalFormatting>
  <conditionalFormatting sqref="F45">
    <cfRule type="cellIs" dxfId="11797" priority="140306" stopIfTrue="1" operator="equal">
      <formula>-1</formula>
    </cfRule>
  </conditionalFormatting>
  <conditionalFormatting sqref="F45">
    <cfRule type="cellIs" dxfId="11796" priority="140307" stopIfTrue="1" operator="lessThan">
      <formula>0.5</formula>
    </cfRule>
  </conditionalFormatting>
  <conditionalFormatting sqref="F45">
    <cfRule type="cellIs" dxfId="11795" priority="140308" stopIfTrue="1" operator="greaterThanOrEqual">
      <formula>0.5</formula>
    </cfRule>
  </conditionalFormatting>
  <conditionalFormatting sqref="F46">
    <cfRule type="cellIs" dxfId="11794" priority="140309" stopIfTrue="1" operator="equal">
      <formula>-1</formula>
    </cfRule>
  </conditionalFormatting>
  <conditionalFormatting sqref="F46">
    <cfRule type="cellIs" dxfId="11793" priority="140310" stopIfTrue="1" operator="lessThan">
      <formula>0.5</formula>
    </cfRule>
  </conditionalFormatting>
  <conditionalFormatting sqref="F46">
    <cfRule type="cellIs" dxfId="11792" priority="140311" stopIfTrue="1" operator="greaterThanOrEqual">
      <formula>0.5</formula>
    </cfRule>
  </conditionalFormatting>
  <conditionalFormatting sqref="F47">
    <cfRule type="cellIs" dxfId="11791" priority="140312" stopIfTrue="1" operator="equal">
      <formula>-1</formula>
    </cfRule>
  </conditionalFormatting>
  <conditionalFormatting sqref="F47">
    <cfRule type="cellIs" dxfId="11790" priority="140313" stopIfTrue="1" operator="lessThan">
      <formula>0.5</formula>
    </cfRule>
  </conditionalFormatting>
  <conditionalFormatting sqref="F47">
    <cfRule type="cellIs" dxfId="11789" priority="140314" stopIfTrue="1" operator="greaterThanOrEqual">
      <formula>0.5</formula>
    </cfRule>
  </conditionalFormatting>
  <conditionalFormatting sqref="F48">
    <cfRule type="cellIs" dxfId="11788" priority="140315" stopIfTrue="1" operator="equal">
      <formula>-1</formula>
    </cfRule>
  </conditionalFormatting>
  <conditionalFormatting sqref="F48">
    <cfRule type="cellIs" dxfId="11787" priority="140316" stopIfTrue="1" operator="lessThan">
      <formula>0.5</formula>
    </cfRule>
  </conditionalFormatting>
  <conditionalFormatting sqref="F48">
    <cfRule type="cellIs" dxfId="11786" priority="140317" stopIfTrue="1" operator="greaterThanOrEqual">
      <formula>0.5</formula>
    </cfRule>
  </conditionalFormatting>
  <conditionalFormatting sqref="F49">
    <cfRule type="cellIs" dxfId="11785" priority="140318" stopIfTrue="1" operator="equal">
      <formula>-1</formula>
    </cfRule>
  </conditionalFormatting>
  <conditionalFormatting sqref="F49">
    <cfRule type="cellIs" dxfId="11784" priority="140319" stopIfTrue="1" operator="lessThan">
      <formula>0.5</formula>
    </cfRule>
  </conditionalFormatting>
  <conditionalFormatting sqref="F49">
    <cfRule type="cellIs" dxfId="11783" priority="140320" stopIfTrue="1" operator="greaterThanOrEqual">
      <formula>0.5</formula>
    </cfRule>
  </conditionalFormatting>
  <conditionalFormatting sqref="F50">
    <cfRule type="cellIs" dxfId="11782" priority="140321" stopIfTrue="1" operator="equal">
      <formula>-1</formula>
    </cfRule>
  </conditionalFormatting>
  <conditionalFormatting sqref="F50">
    <cfRule type="cellIs" dxfId="11781" priority="140322" stopIfTrue="1" operator="lessThan">
      <formula>0.5</formula>
    </cfRule>
  </conditionalFormatting>
  <conditionalFormatting sqref="F50">
    <cfRule type="cellIs" dxfId="11780" priority="140323" stopIfTrue="1" operator="greaterThanOrEqual">
      <formula>0.5</formula>
    </cfRule>
  </conditionalFormatting>
  <conditionalFormatting sqref="F51">
    <cfRule type="cellIs" dxfId="11779" priority="140324" stopIfTrue="1" operator="equal">
      <formula>-1</formula>
    </cfRule>
  </conditionalFormatting>
  <conditionalFormatting sqref="F51">
    <cfRule type="cellIs" dxfId="11778" priority="140325" stopIfTrue="1" operator="lessThan">
      <formula>0.5</formula>
    </cfRule>
  </conditionalFormatting>
  <conditionalFormatting sqref="F51">
    <cfRule type="cellIs" dxfId="11777" priority="140326" stopIfTrue="1" operator="greaterThanOrEqual">
      <formula>0.5</formula>
    </cfRule>
  </conditionalFormatting>
  <conditionalFormatting sqref="F52">
    <cfRule type="cellIs" dxfId="11776" priority="140327" stopIfTrue="1" operator="equal">
      <formula>-1</formula>
    </cfRule>
  </conditionalFormatting>
  <conditionalFormatting sqref="F52">
    <cfRule type="cellIs" dxfId="11775" priority="140328" stopIfTrue="1" operator="lessThan">
      <formula>0.5</formula>
    </cfRule>
  </conditionalFormatting>
  <conditionalFormatting sqref="F52">
    <cfRule type="cellIs" dxfId="11774" priority="140329" stopIfTrue="1" operator="greaterThanOrEqual">
      <formula>0.5</formula>
    </cfRule>
  </conditionalFormatting>
  <conditionalFormatting sqref="F53">
    <cfRule type="cellIs" dxfId="11773" priority="140330" stopIfTrue="1" operator="equal">
      <formula>-1</formula>
    </cfRule>
  </conditionalFormatting>
  <conditionalFormatting sqref="F53">
    <cfRule type="cellIs" dxfId="11772" priority="140331" stopIfTrue="1" operator="lessThan">
      <formula>0.5</formula>
    </cfRule>
  </conditionalFormatting>
  <conditionalFormatting sqref="F53">
    <cfRule type="cellIs" dxfId="11771" priority="140332" stopIfTrue="1" operator="greaterThanOrEqual">
      <formula>0.5</formula>
    </cfRule>
  </conditionalFormatting>
  <conditionalFormatting sqref="F54">
    <cfRule type="cellIs" dxfId="11770" priority="140333" stopIfTrue="1" operator="equal">
      <formula>-1</formula>
    </cfRule>
  </conditionalFormatting>
  <conditionalFormatting sqref="F54">
    <cfRule type="cellIs" dxfId="11769" priority="140334" stopIfTrue="1" operator="lessThan">
      <formula>0.5</formula>
    </cfRule>
  </conditionalFormatting>
  <conditionalFormatting sqref="F54">
    <cfRule type="cellIs" dxfId="11768" priority="140335" stopIfTrue="1" operator="greaterThanOrEqual">
      <formula>0.5</formula>
    </cfRule>
  </conditionalFormatting>
  <conditionalFormatting sqref="F55">
    <cfRule type="cellIs" dxfId="11767" priority="140336" stopIfTrue="1" operator="equal">
      <formula>-1</formula>
    </cfRule>
  </conditionalFormatting>
  <conditionalFormatting sqref="F55">
    <cfRule type="cellIs" dxfId="11766" priority="140337" stopIfTrue="1" operator="lessThan">
      <formula>0.5</formula>
    </cfRule>
  </conditionalFormatting>
  <conditionalFormatting sqref="F55">
    <cfRule type="cellIs" dxfId="11765" priority="140338" stopIfTrue="1" operator="greaterThanOrEqual">
      <formula>0.5</formula>
    </cfRule>
  </conditionalFormatting>
  <conditionalFormatting sqref="F56">
    <cfRule type="cellIs" dxfId="11764" priority="140339" stopIfTrue="1" operator="equal">
      <formula>-1</formula>
    </cfRule>
  </conditionalFormatting>
  <conditionalFormatting sqref="F56">
    <cfRule type="cellIs" dxfId="11763" priority="140340" stopIfTrue="1" operator="lessThan">
      <formula>0.5</formula>
    </cfRule>
  </conditionalFormatting>
  <conditionalFormatting sqref="F56">
    <cfRule type="cellIs" dxfId="11762" priority="140341" stopIfTrue="1" operator="greaterThanOrEqual">
      <formula>0.5</formula>
    </cfRule>
  </conditionalFormatting>
  <conditionalFormatting sqref="F57">
    <cfRule type="cellIs" dxfId="11761" priority="140342" stopIfTrue="1" operator="equal">
      <formula>-1</formula>
    </cfRule>
  </conditionalFormatting>
  <conditionalFormatting sqref="F57">
    <cfRule type="cellIs" dxfId="11760" priority="140343" stopIfTrue="1" operator="lessThan">
      <formula>0.5</formula>
    </cfRule>
  </conditionalFormatting>
  <conditionalFormatting sqref="F57">
    <cfRule type="cellIs" dxfId="11759" priority="140344" stopIfTrue="1" operator="greaterThanOrEqual">
      <formula>0.5</formula>
    </cfRule>
  </conditionalFormatting>
  <conditionalFormatting sqref="F58">
    <cfRule type="cellIs" dxfId="11758" priority="140345" stopIfTrue="1" operator="equal">
      <formula>-1</formula>
    </cfRule>
  </conditionalFormatting>
  <conditionalFormatting sqref="F58">
    <cfRule type="cellIs" dxfId="11757" priority="140346" stopIfTrue="1" operator="lessThan">
      <formula>0.5</formula>
    </cfRule>
  </conditionalFormatting>
  <conditionalFormatting sqref="F58">
    <cfRule type="cellIs" dxfId="11756" priority="140347" stopIfTrue="1" operator="greaterThanOrEqual">
      <formula>0.5</formula>
    </cfRule>
  </conditionalFormatting>
  <conditionalFormatting sqref="H39">
    <cfRule type="cellIs" dxfId="11755" priority="140348" stopIfTrue="1" operator="equal">
      <formula>-1</formula>
    </cfRule>
  </conditionalFormatting>
  <conditionalFormatting sqref="H39">
    <cfRule type="cellIs" dxfId="11754" priority="140349" stopIfTrue="1" operator="lessThan">
      <formula>0.5</formula>
    </cfRule>
  </conditionalFormatting>
  <conditionalFormatting sqref="H39">
    <cfRule type="cellIs" dxfId="11753" priority="140350" stopIfTrue="1" operator="greaterThanOrEqual">
      <formula>0.5</formula>
    </cfRule>
  </conditionalFormatting>
  <conditionalFormatting sqref="H40">
    <cfRule type="cellIs" dxfId="11752" priority="140351" stopIfTrue="1" operator="equal">
      <formula>-1</formula>
    </cfRule>
  </conditionalFormatting>
  <conditionalFormatting sqref="H40">
    <cfRule type="cellIs" dxfId="11751" priority="140352" stopIfTrue="1" operator="lessThan">
      <formula>0.5</formula>
    </cfRule>
  </conditionalFormatting>
  <conditionalFormatting sqref="H40">
    <cfRule type="cellIs" dxfId="11750" priority="140353" stopIfTrue="1" operator="greaterThanOrEqual">
      <formula>0.5</formula>
    </cfRule>
  </conditionalFormatting>
  <conditionalFormatting sqref="H41">
    <cfRule type="cellIs" dxfId="11749" priority="140354" stopIfTrue="1" operator="equal">
      <formula>-1</formula>
    </cfRule>
  </conditionalFormatting>
  <conditionalFormatting sqref="H41">
    <cfRule type="cellIs" dxfId="11748" priority="140355" stopIfTrue="1" operator="lessThan">
      <formula>0.5</formula>
    </cfRule>
  </conditionalFormatting>
  <conditionalFormatting sqref="H41">
    <cfRule type="cellIs" dxfId="11747" priority="140356" stopIfTrue="1" operator="greaterThanOrEqual">
      <formula>0.5</formula>
    </cfRule>
  </conditionalFormatting>
  <conditionalFormatting sqref="H42">
    <cfRule type="cellIs" dxfId="11746" priority="140357" stopIfTrue="1" operator="equal">
      <formula>-1</formula>
    </cfRule>
  </conditionalFormatting>
  <conditionalFormatting sqref="H42">
    <cfRule type="cellIs" dxfId="11745" priority="140358" stopIfTrue="1" operator="lessThan">
      <formula>0.5</formula>
    </cfRule>
  </conditionalFormatting>
  <conditionalFormatting sqref="H42">
    <cfRule type="cellIs" dxfId="11744" priority="140359" stopIfTrue="1" operator="greaterThanOrEqual">
      <formula>0.5</formula>
    </cfRule>
  </conditionalFormatting>
  <conditionalFormatting sqref="H43">
    <cfRule type="cellIs" dxfId="11743" priority="140360" stopIfTrue="1" operator="equal">
      <formula>-1</formula>
    </cfRule>
  </conditionalFormatting>
  <conditionalFormatting sqref="H43">
    <cfRule type="cellIs" dxfId="11742" priority="140361" stopIfTrue="1" operator="lessThan">
      <formula>0.5</formula>
    </cfRule>
  </conditionalFormatting>
  <conditionalFormatting sqref="H43">
    <cfRule type="cellIs" dxfId="11741" priority="140362" stopIfTrue="1" operator="greaterThanOrEqual">
      <formula>0.5</formula>
    </cfRule>
  </conditionalFormatting>
  <conditionalFormatting sqref="H44">
    <cfRule type="cellIs" dxfId="11740" priority="140363" stopIfTrue="1" operator="equal">
      <formula>-1</formula>
    </cfRule>
  </conditionalFormatting>
  <conditionalFormatting sqref="H44">
    <cfRule type="cellIs" dxfId="11739" priority="140364" stopIfTrue="1" operator="lessThan">
      <formula>0.5</formula>
    </cfRule>
  </conditionalFormatting>
  <conditionalFormatting sqref="H44">
    <cfRule type="cellIs" dxfId="11738" priority="140365" stopIfTrue="1" operator="greaterThanOrEqual">
      <formula>0.5</formula>
    </cfRule>
  </conditionalFormatting>
  <conditionalFormatting sqref="H45">
    <cfRule type="cellIs" dxfId="11737" priority="140366" stopIfTrue="1" operator="equal">
      <formula>-1</formula>
    </cfRule>
  </conditionalFormatting>
  <conditionalFormatting sqref="H45">
    <cfRule type="cellIs" dxfId="11736" priority="140367" stopIfTrue="1" operator="lessThan">
      <formula>0.5</formula>
    </cfRule>
  </conditionalFormatting>
  <conditionalFormatting sqref="H45">
    <cfRule type="cellIs" dxfId="11735" priority="140368" stopIfTrue="1" operator="greaterThanOrEqual">
      <formula>0.5</formula>
    </cfRule>
  </conditionalFormatting>
  <conditionalFormatting sqref="H46">
    <cfRule type="cellIs" dxfId="11734" priority="140369" stopIfTrue="1" operator="equal">
      <formula>-1</formula>
    </cfRule>
  </conditionalFormatting>
  <conditionalFormatting sqref="H46">
    <cfRule type="cellIs" dxfId="11733" priority="140370" stopIfTrue="1" operator="lessThan">
      <formula>0.5</formula>
    </cfRule>
  </conditionalFormatting>
  <conditionalFormatting sqref="H46">
    <cfRule type="cellIs" dxfId="11732" priority="140371" stopIfTrue="1" operator="greaterThanOrEqual">
      <formula>0.5</formula>
    </cfRule>
  </conditionalFormatting>
  <conditionalFormatting sqref="H47">
    <cfRule type="cellIs" dxfId="11731" priority="140372" stopIfTrue="1" operator="equal">
      <formula>-1</formula>
    </cfRule>
  </conditionalFormatting>
  <conditionalFormatting sqref="H47">
    <cfRule type="cellIs" dxfId="11730" priority="140373" stopIfTrue="1" operator="lessThan">
      <formula>0.5</formula>
    </cfRule>
  </conditionalFormatting>
  <conditionalFormatting sqref="H47">
    <cfRule type="cellIs" dxfId="11729" priority="140374" stopIfTrue="1" operator="greaterThanOrEqual">
      <formula>0.5</formula>
    </cfRule>
  </conditionalFormatting>
  <conditionalFormatting sqref="H48">
    <cfRule type="cellIs" dxfId="11728" priority="140375" stopIfTrue="1" operator="equal">
      <formula>-1</formula>
    </cfRule>
  </conditionalFormatting>
  <conditionalFormatting sqref="H48">
    <cfRule type="cellIs" dxfId="11727" priority="140376" stopIfTrue="1" operator="lessThan">
      <formula>0.5</formula>
    </cfRule>
  </conditionalFormatting>
  <conditionalFormatting sqref="H48">
    <cfRule type="cellIs" dxfId="11726" priority="140377" stopIfTrue="1" operator="greaterThanOrEqual">
      <formula>0.5</formula>
    </cfRule>
  </conditionalFormatting>
  <conditionalFormatting sqref="H49">
    <cfRule type="cellIs" dxfId="11725" priority="140378" stopIfTrue="1" operator="equal">
      <formula>-1</formula>
    </cfRule>
  </conditionalFormatting>
  <conditionalFormatting sqref="H49">
    <cfRule type="cellIs" dxfId="11724" priority="140379" stopIfTrue="1" operator="lessThan">
      <formula>0.5</formula>
    </cfRule>
  </conditionalFormatting>
  <conditionalFormatting sqref="H49">
    <cfRule type="cellIs" dxfId="11723" priority="140380" stopIfTrue="1" operator="greaterThanOrEqual">
      <formula>0.5</formula>
    </cfRule>
  </conditionalFormatting>
  <conditionalFormatting sqref="H50">
    <cfRule type="cellIs" dxfId="11722" priority="140381" stopIfTrue="1" operator="equal">
      <formula>-1</formula>
    </cfRule>
  </conditionalFormatting>
  <conditionalFormatting sqref="H50">
    <cfRule type="cellIs" dxfId="11721" priority="140382" stopIfTrue="1" operator="lessThan">
      <formula>0.5</formula>
    </cfRule>
  </conditionalFormatting>
  <conditionalFormatting sqref="H50">
    <cfRule type="cellIs" dxfId="11720" priority="140383" stopIfTrue="1" operator="greaterThanOrEqual">
      <formula>0.5</formula>
    </cfRule>
  </conditionalFormatting>
  <conditionalFormatting sqref="H51">
    <cfRule type="cellIs" dxfId="11719" priority="140384" stopIfTrue="1" operator="equal">
      <formula>-1</formula>
    </cfRule>
  </conditionalFormatting>
  <conditionalFormatting sqref="H51">
    <cfRule type="cellIs" dxfId="11718" priority="140385" stopIfTrue="1" operator="lessThan">
      <formula>0.5</formula>
    </cfRule>
  </conditionalFormatting>
  <conditionalFormatting sqref="H51">
    <cfRule type="cellIs" dxfId="11717" priority="140386" stopIfTrue="1" operator="greaterThanOrEqual">
      <formula>0.5</formula>
    </cfRule>
  </conditionalFormatting>
  <conditionalFormatting sqref="H52">
    <cfRule type="cellIs" dxfId="11716" priority="140387" stopIfTrue="1" operator="equal">
      <formula>-1</formula>
    </cfRule>
  </conditionalFormatting>
  <conditionalFormatting sqref="H52">
    <cfRule type="cellIs" dxfId="11715" priority="140388" stopIfTrue="1" operator="lessThan">
      <formula>0.5</formula>
    </cfRule>
  </conditionalFormatting>
  <conditionalFormatting sqref="H52">
    <cfRule type="cellIs" dxfId="11714" priority="140389" stopIfTrue="1" operator="greaterThanOrEqual">
      <formula>0.5</formula>
    </cfRule>
  </conditionalFormatting>
  <conditionalFormatting sqref="H53">
    <cfRule type="cellIs" dxfId="11713" priority="140390" stopIfTrue="1" operator="equal">
      <formula>-1</formula>
    </cfRule>
  </conditionalFormatting>
  <conditionalFormatting sqref="H53">
    <cfRule type="cellIs" dxfId="11712" priority="140391" stopIfTrue="1" operator="lessThan">
      <formula>0.5</formula>
    </cfRule>
  </conditionalFormatting>
  <conditionalFormatting sqref="H53">
    <cfRule type="cellIs" dxfId="11711" priority="140392" stopIfTrue="1" operator="greaterThanOrEqual">
      <formula>0.5</formula>
    </cfRule>
  </conditionalFormatting>
  <conditionalFormatting sqref="H54">
    <cfRule type="cellIs" dxfId="11710" priority="140393" stopIfTrue="1" operator="equal">
      <formula>-1</formula>
    </cfRule>
  </conditionalFormatting>
  <conditionalFormatting sqref="H54">
    <cfRule type="cellIs" dxfId="11709" priority="140394" stopIfTrue="1" operator="lessThan">
      <formula>0.5</formula>
    </cfRule>
  </conditionalFormatting>
  <conditionalFormatting sqref="H54">
    <cfRule type="cellIs" dxfId="11708" priority="140395" stopIfTrue="1" operator="greaterThanOrEqual">
      <formula>0.5</formula>
    </cfRule>
  </conditionalFormatting>
  <conditionalFormatting sqref="H55">
    <cfRule type="cellIs" dxfId="11707" priority="140396" stopIfTrue="1" operator="equal">
      <formula>-1</formula>
    </cfRule>
  </conditionalFormatting>
  <conditionalFormatting sqref="H55">
    <cfRule type="cellIs" dxfId="11706" priority="140397" stopIfTrue="1" operator="lessThan">
      <formula>0.5</formula>
    </cfRule>
  </conditionalFormatting>
  <conditionalFormatting sqref="H55">
    <cfRule type="cellIs" dxfId="11705" priority="140398" stopIfTrue="1" operator="greaterThanOrEqual">
      <formula>0.5</formula>
    </cfRule>
  </conditionalFormatting>
  <conditionalFormatting sqref="H56">
    <cfRule type="cellIs" dxfId="11704" priority="140399" stopIfTrue="1" operator="equal">
      <formula>-1</formula>
    </cfRule>
  </conditionalFormatting>
  <conditionalFormatting sqref="H56">
    <cfRule type="cellIs" dxfId="11703" priority="140400" stopIfTrue="1" operator="lessThan">
      <formula>0.5</formula>
    </cfRule>
  </conditionalFormatting>
  <conditionalFormatting sqref="H56">
    <cfRule type="cellIs" dxfId="11702" priority="140401" stopIfTrue="1" operator="greaterThanOrEqual">
      <formula>0.5</formula>
    </cfRule>
  </conditionalFormatting>
  <conditionalFormatting sqref="H57">
    <cfRule type="cellIs" dxfId="11701" priority="140402" stopIfTrue="1" operator="equal">
      <formula>-1</formula>
    </cfRule>
  </conditionalFormatting>
  <conditionalFormatting sqref="H57">
    <cfRule type="cellIs" dxfId="11700" priority="140403" stopIfTrue="1" operator="lessThan">
      <formula>0.5</formula>
    </cfRule>
  </conditionalFormatting>
  <conditionalFormatting sqref="H57">
    <cfRule type="cellIs" dxfId="11699" priority="140404" stopIfTrue="1" operator="greaterThanOrEqual">
      <formula>0.5</formula>
    </cfRule>
  </conditionalFormatting>
  <conditionalFormatting sqref="H58">
    <cfRule type="cellIs" dxfId="11698" priority="140405" stopIfTrue="1" operator="equal">
      <formula>-1</formula>
    </cfRule>
  </conditionalFormatting>
  <conditionalFormatting sqref="H58">
    <cfRule type="cellIs" dxfId="11697" priority="140406" stopIfTrue="1" operator="lessThan">
      <formula>0.5</formula>
    </cfRule>
  </conditionalFormatting>
  <conditionalFormatting sqref="H58">
    <cfRule type="cellIs" dxfId="11696" priority="140407" stopIfTrue="1" operator="greaterThanOrEqual">
      <formula>0.5</formula>
    </cfRule>
  </conditionalFormatting>
  <conditionalFormatting sqref="J39">
    <cfRule type="cellIs" dxfId="11695" priority="140408" stopIfTrue="1" operator="equal">
      <formula>-1</formula>
    </cfRule>
  </conditionalFormatting>
  <conditionalFormatting sqref="J39">
    <cfRule type="cellIs" dxfId="11694" priority="140409" stopIfTrue="1" operator="lessThan">
      <formula>0.5</formula>
    </cfRule>
  </conditionalFormatting>
  <conditionalFormatting sqref="J39">
    <cfRule type="cellIs" dxfId="11693" priority="140410" stopIfTrue="1" operator="greaterThanOrEqual">
      <formula>0.5</formula>
    </cfRule>
  </conditionalFormatting>
  <conditionalFormatting sqref="J40">
    <cfRule type="cellIs" dxfId="11692" priority="140411" stopIfTrue="1" operator="equal">
      <formula>-1</formula>
    </cfRule>
  </conditionalFormatting>
  <conditionalFormatting sqref="J40">
    <cfRule type="cellIs" dxfId="11691" priority="140412" stopIfTrue="1" operator="lessThan">
      <formula>0.5</formula>
    </cfRule>
  </conditionalFormatting>
  <conditionalFormatting sqref="J40">
    <cfRule type="cellIs" dxfId="11690" priority="140413" stopIfTrue="1" operator="greaterThanOrEqual">
      <formula>0.5</formula>
    </cfRule>
  </conditionalFormatting>
  <conditionalFormatting sqref="J41">
    <cfRule type="cellIs" dxfId="11689" priority="140414" stopIfTrue="1" operator="equal">
      <formula>-1</formula>
    </cfRule>
  </conditionalFormatting>
  <conditionalFormatting sqref="J41">
    <cfRule type="cellIs" dxfId="11688" priority="140415" stopIfTrue="1" operator="lessThan">
      <formula>0.5</formula>
    </cfRule>
  </conditionalFormatting>
  <conditionalFormatting sqref="J41">
    <cfRule type="cellIs" dxfId="11687" priority="140416" stopIfTrue="1" operator="greaterThanOrEqual">
      <formula>0.5</formula>
    </cfRule>
  </conditionalFormatting>
  <conditionalFormatting sqref="J42">
    <cfRule type="cellIs" dxfId="11686" priority="140417" stopIfTrue="1" operator="equal">
      <formula>-1</formula>
    </cfRule>
  </conditionalFormatting>
  <conditionalFormatting sqref="J42">
    <cfRule type="cellIs" dxfId="11685" priority="140418" stopIfTrue="1" operator="lessThan">
      <formula>0.5</formula>
    </cfRule>
  </conditionalFormatting>
  <conditionalFormatting sqref="J42">
    <cfRule type="cellIs" dxfId="11684" priority="140419" stopIfTrue="1" operator="greaterThanOrEqual">
      <formula>0.5</formula>
    </cfRule>
  </conditionalFormatting>
  <conditionalFormatting sqref="J43">
    <cfRule type="cellIs" dxfId="11683" priority="140420" stopIfTrue="1" operator="equal">
      <formula>-1</formula>
    </cfRule>
  </conditionalFormatting>
  <conditionalFormatting sqref="J43">
    <cfRule type="cellIs" dxfId="11682" priority="140421" stopIfTrue="1" operator="lessThan">
      <formula>0.5</formula>
    </cfRule>
  </conditionalFormatting>
  <conditionalFormatting sqref="J43">
    <cfRule type="cellIs" dxfId="11681" priority="140422" stopIfTrue="1" operator="greaterThanOrEqual">
      <formula>0.5</formula>
    </cfRule>
  </conditionalFormatting>
  <conditionalFormatting sqref="J44">
    <cfRule type="cellIs" dxfId="11680" priority="140423" stopIfTrue="1" operator="equal">
      <formula>-1</formula>
    </cfRule>
  </conditionalFormatting>
  <conditionalFormatting sqref="J44">
    <cfRule type="cellIs" dxfId="11679" priority="140424" stopIfTrue="1" operator="lessThan">
      <formula>0.5</formula>
    </cfRule>
  </conditionalFormatting>
  <conditionalFormatting sqref="J44">
    <cfRule type="cellIs" dxfId="11678" priority="140425" stopIfTrue="1" operator="greaterThanOrEqual">
      <formula>0.5</formula>
    </cfRule>
  </conditionalFormatting>
  <conditionalFormatting sqref="J45">
    <cfRule type="cellIs" dxfId="11677" priority="140426" stopIfTrue="1" operator="equal">
      <formula>-1</formula>
    </cfRule>
  </conditionalFormatting>
  <conditionalFormatting sqref="J45">
    <cfRule type="cellIs" dxfId="11676" priority="140427" stopIfTrue="1" operator="lessThan">
      <formula>0.5</formula>
    </cfRule>
  </conditionalFormatting>
  <conditionalFormatting sqref="J45">
    <cfRule type="cellIs" dxfId="11675" priority="140428" stopIfTrue="1" operator="greaterThanOrEqual">
      <formula>0.5</formula>
    </cfRule>
  </conditionalFormatting>
  <conditionalFormatting sqref="J46">
    <cfRule type="cellIs" dxfId="11674" priority="140429" stopIfTrue="1" operator="equal">
      <formula>-1</formula>
    </cfRule>
  </conditionalFormatting>
  <conditionalFormatting sqref="J46">
    <cfRule type="cellIs" dxfId="11673" priority="140430" stopIfTrue="1" operator="lessThan">
      <formula>0.5</formula>
    </cfRule>
  </conditionalFormatting>
  <conditionalFormatting sqref="J46">
    <cfRule type="cellIs" dxfId="11672" priority="140431" stopIfTrue="1" operator="greaterThanOrEqual">
      <formula>0.5</formula>
    </cfRule>
  </conditionalFormatting>
  <conditionalFormatting sqref="J47">
    <cfRule type="cellIs" dxfId="11671" priority="140432" stopIfTrue="1" operator="equal">
      <formula>-1</formula>
    </cfRule>
  </conditionalFormatting>
  <conditionalFormatting sqref="J47">
    <cfRule type="cellIs" dxfId="11670" priority="140433" stopIfTrue="1" operator="lessThan">
      <formula>0.5</formula>
    </cfRule>
  </conditionalFormatting>
  <conditionalFormatting sqref="J47">
    <cfRule type="cellIs" dxfId="11669" priority="140434" stopIfTrue="1" operator="greaterThanOrEqual">
      <formula>0.5</formula>
    </cfRule>
  </conditionalFormatting>
  <conditionalFormatting sqref="J48">
    <cfRule type="cellIs" dxfId="11668" priority="140435" stopIfTrue="1" operator="equal">
      <formula>-1</formula>
    </cfRule>
  </conditionalFormatting>
  <conditionalFormatting sqref="J48">
    <cfRule type="cellIs" dxfId="11667" priority="140436" stopIfTrue="1" operator="lessThan">
      <formula>0.5</formula>
    </cfRule>
  </conditionalFormatting>
  <conditionalFormatting sqref="J48">
    <cfRule type="cellIs" dxfId="11666" priority="140437" stopIfTrue="1" operator="greaterThanOrEqual">
      <formula>0.5</formula>
    </cfRule>
  </conditionalFormatting>
  <conditionalFormatting sqref="J49">
    <cfRule type="cellIs" dxfId="11665" priority="140438" stopIfTrue="1" operator="equal">
      <formula>-1</formula>
    </cfRule>
  </conditionalFormatting>
  <conditionalFormatting sqref="J49">
    <cfRule type="cellIs" dxfId="11664" priority="140439" stopIfTrue="1" operator="lessThan">
      <formula>0.5</formula>
    </cfRule>
  </conditionalFormatting>
  <conditionalFormatting sqref="J49">
    <cfRule type="cellIs" dxfId="11663" priority="140440" stopIfTrue="1" operator="greaterThanOrEqual">
      <formula>0.5</formula>
    </cfRule>
  </conditionalFormatting>
  <conditionalFormatting sqref="J50">
    <cfRule type="cellIs" dxfId="11662" priority="140441" stopIfTrue="1" operator="equal">
      <formula>-1</formula>
    </cfRule>
  </conditionalFormatting>
  <conditionalFormatting sqref="J50">
    <cfRule type="cellIs" dxfId="11661" priority="140442" stopIfTrue="1" operator="lessThan">
      <formula>0.5</formula>
    </cfRule>
  </conditionalFormatting>
  <conditionalFormatting sqref="J50">
    <cfRule type="cellIs" dxfId="11660" priority="140443" stopIfTrue="1" operator="greaterThanOrEqual">
      <formula>0.5</formula>
    </cfRule>
  </conditionalFormatting>
  <conditionalFormatting sqref="J51">
    <cfRule type="cellIs" dxfId="11659" priority="140444" stopIfTrue="1" operator="equal">
      <formula>-1</formula>
    </cfRule>
  </conditionalFormatting>
  <conditionalFormatting sqref="J51">
    <cfRule type="cellIs" dxfId="11658" priority="140445" stopIfTrue="1" operator="lessThan">
      <formula>0.5</formula>
    </cfRule>
  </conditionalFormatting>
  <conditionalFormatting sqref="J51">
    <cfRule type="cellIs" dxfId="11657" priority="140446" stopIfTrue="1" operator="greaterThanOrEqual">
      <formula>0.5</formula>
    </cfRule>
  </conditionalFormatting>
  <conditionalFormatting sqref="J52">
    <cfRule type="cellIs" dxfId="11656" priority="140447" stopIfTrue="1" operator="equal">
      <formula>-1</formula>
    </cfRule>
  </conditionalFormatting>
  <conditionalFormatting sqref="J52">
    <cfRule type="cellIs" dxfId="11655" priority="140448" stopIfTrue="1" operator="lessThan">
      <formula>0.5</formula>
    </cfRule>
  </conditionalFormatting>
  <conditionalFormatting sqref="J52">
    <cfRule type="cellIs" dxfId="11654" priority="140449" stopIfTrue="1" operator="greaterThanOrEqual">
      <formula>0.5</formula>
    </cfRule>
  </conditionalFormatting>
  <conditionalFormatting sqref="J53">
    <cfRule type="cellIs" dxfId="11653" priority="140450" stopIfTrue="1" operator="equal">
      <formula>-1</formula>
    </cfRule>
  </conditionalFormatting>
  <conditionalFormatting sqref="J53">
    <cfRule type="cellIs" dxfId="11652" priority="140451" stopIfTrue="1" operator="lessThan">
      <formula>0.5</formula>
    </cfRule>
  </conditionalFormatting>
  <conditionalFormatting sqref="J53">
    <cfRule type="cellIs" dxfId="11651" priority="140452" stopIfTrue="1" operator="greaterThanOrEqual">
      <formula>0.5</formula>
    </cfRule>
  </conditionalFormatting>
  <conditionalFormatting sqref="J54">
    <cfRule type="cellIs" dxfId="11650" priority="140453" stopIfTrue="1" operator="equal">
      <formula>-1</formula>
    </cfRule>
  </conditionalFormatting>
  <conditionalFormatting sqref="J54">
    <cfRule type="cellIs" dxfId="11649" priority="140454" stopIfTrue="1" operator="lessThan">
      <formula>0.5</formula>
    </cfRule>
  </conditionalFormatting>
  <conditionalFormatting sqref="J54">
    <cfRule type="cellIs" dxfId="11648" priority="140455" stopIfTrue="1" operator="greaterThanOrEqual">
      <formula>0.5</formula>
    </cfRule>
  </conditionalFormatting>
  <conditionalFormatting sqref="J55">
    <cfRule type="cellIs" dxfId="11647" priority="140456" stopIfTrue="1" operator="equal">
      <formula>-1</formula>
    </cfRule>
  </conditionalFormatting>
  <conditionalFormatting sqref="J55">
    <cfRule type="cellIs" dxfId="11646" priority="140457" stopIfTrue="1" operator="lessThan">
      <formula>0.5</formula>
    </cfRule>
  </conditionalFormatting>
  <conditionalFormatting sqref="J55">
    <cfRule type="cellIs" dxfId="11645" priority="140458" stopIfTrue="1" operator="greaterThanOrEqual">
      <formula>0.5</formula>
    </cfRule>
  </conditionalFormatting>
  <conditionalFormatting sqref="J56">
    <cfRule type="cellIs" dxfId="11644" priority="140459" stopIfTrue="1" operator="equal">
      <formula>-1</formula>
    </cfRule>
  </conditionalFormatting>
  <conditionalFormatting sqref="J56">
    <cfRule type="cellIs" dxfId="11643" priority="140460" stopIfTrue="1" operator="lessThan">
      <formula>0.5</formula>
    </cfRule>
  </conditionalFormatting>
  <conditionalFormatting sqref="J56">
    <cfRule type="cellIs" dxfId="11642" priority="140461" stopIfTrue="1" operator="greaterThanOrEqual">
      <formula>0.5</formula>
    </cfRule>
  </conditionalFormatting>
  <conditionalFormatting sqref="J57">
    <cfRule type="cellIs" dxfId="11641" priority="140462" stopIfTrue="1" operator="equal">
      <formula>-1</formula>
    </cfRule>
  </conditionalFormatting>
  <conditionalFormatting sqref="J57">
    <cfRule type="cellIs" dxfId="11640" priority="140463" stopIfTrue="1" operator="lessThan">
      <formula>0.5</formula>
    </cfRule>
  </conditionalFormatting>
  <conditionalFormatting sqref="J57">
    <cfRule type="cellIs" dxfId="11639" priority="140464" stopIfTrue="1" operator="greaterThanOrEqual">
      <formula>0.5</formula>
    </cfRule>
  </conditionalFormatting>
  <conditionalFormatting sqref="J58">
    <cfRule type="cellIs" dxfId="11638" priority="140465" stopIfTrue="1" operator="equal">
      <formula>-1</formula>
    </cfRule>
  </conditionalFormatting>
  <conditionalFormatting sqref="J58">
    <cfRule type="cellIs" dxfId="11637" priority="140466" stopIfTrue="1" operator="lessThan">
      <formula>0.5</formula>
    </cfRule>
  </conditionalFormatting>
  <conditionalFormatting sqref="J58">
    <cfRule type="cellIs" dxfId="11636" priority="140467" stopIfTrue="1" operator="greaterThanOrEqual">
      <formula>0.5</formula>
    </cfRule>
  </conditionalFormatting>
  <conditionalFormatting sqref="L39">
    <cfRule type="cellIs" dxfId="11635" priority="140468" stopIfTrue="1" operator="equal">
      <formula>-1</formula>
    </cfRule>
  </conditionalFormatting>
  <conditionalFormatting sqref="L39">
    <cfRule type="cellIs" dxfId="11634" priority="140469" stopIfTrue="1" operator="lessThan">
      <formula>0.5</formula>
    </cfRule>
  </conditionalFormatting>
  <conditionalFormatting sqref="L39">
    <cfRule type="cellIs" dxfId="11633" priority="140470" stopIfTrue="1" operator="greaterThanOrEqual">
      <formula>0.5</formula>
    </cfRule>
  </conditionalFormatting>
  <conditionalFormatting sqref="L40">
    <cfRule type="cellIs" dxfId="11632" priority="140471" stopIfTrue="1" operator="equal">
      <formula>-1</formula>
    </cfRule>
  </conditionalFormatting>
  <conditionalFormatting sqref="L40">
    <cfRule type="cellIs" dxfId="11631" priority="140472" stopIfTrue="1" operator="lessThan">
      <formula>0.5</formula>
    </cfRule>
  </conditionalFormatting>
  <conditionalFormatting sqref="L40">
    <cfRule type="cellIs" dxfId="11630" priority="140473" stopIfTrue="1" operator="greaterThanOrEqual">
      <formula>0.5</formula>
    </cfRule>
  </conditionalFormatting>
  <conditionalFormatting sqref="L41">
    <cfRule type="cellIs" dxfId="11629" priority="140474" stopIfTrue="1" operator="equal">
      <formula>-1</formula>
    </cfRule>
  </conditionalFormatting>
  <conditionalFormatting sqref="L41">
    <cfRule type="cellIs" dxfId="11628" priority="140475" stopIfTrue="1" operator="lessThan">
      <formula>0.5</formula>
    </cfRule>
  </conditionalFormatting>
  <conditionalFormatting sqref="L41">
    <cfRule type="cellIs" dxfId="11627" priority="140476" stopIfTrue="1" operator="greaterThanOrEqual">
      <formula>0.5</formula>
    </cfRule>
  </conditionalFormatting>
  <conditionalFormatting sqref="L42">
    <cfRule type="cellIs" dxfId="11626" priority="140477" stopIfTrue="1" operator="equal">
      <formula>-1</formula>
    </cfRule>
  </conditionalFormatting>
  <conditionalFormatting sqref="L42">
    <cfRule type="cellIs" dxfId="11625" priority="140478" stopIfTrue="1" operator="lessThan">
      <formula>0.5</formula>
    </cfRule>
  </conditionalFormatting>
  <conditionalFormatting sqref="L42">
    <cfRule type="cellIs" dxfId="11624" priority="140479" stopIfTrue="1" operator="greaterThanOrEqual">
      <formula>0.5</formula>
    </cfRule>
  </conditionalFormatting>
  <conditionalFormatting sqref="L43">
    <cfRule type="cellIs" dxfId="11623" priority="140480" stopIfTrue="1" operator="equal">
      <formula>-1</formula>
    </cfRule>
  </conditionalFormatting>
  <conditionalFormatting sqref="L43">
    <cfRule type="cellIs" dxfId="11622" priority="140481" stopIfTrue="1" operator="lessThan">
      <formula>0.5</formula>
    </cfRule>
  </conditionalFormatting>
  <conditionalFormatting sqref="L43">
    <cfRule type="cellIs" dxfId="11621" priority="140482" stopIfTrue="1" operator="greaterThanOrEqual">
      <formula>0.5</formula>
    </cfRule>
  </conditionalFormatting>
  <conditionalFormatting sqref="L44">
    <cfRule type="cellIs" dxfId="11620" priority="140483" stopIfTrue="1" operator="equal">
      <formula>-1</formula>
    </cfRule>
  </conditionalFormatting>
  <conditionalFormatting sqref="L44">
    <cfRule type="cellIs" dxfId="11619" priority="140484" stopIfTrue="1" operator="lessThan">
      <formula>0.5</formula>
    </cfRule>
  </conditionalFormatting>
  <conditionalFormatting sqref="L44">
    <cfRule type="cellIs" dxfId="11618" priority="140485" stopIfTrue="1" operator="greaterThanOrEqual">
      <formula>0.5</formula>
    </cfRule>
  </conditionalFormatting>
  <conditionalFormatting sqref="L45">
    <cfRule type="cellIs" dxfId="11617" priority="140486" stopIfTrue="1" operator="equal">
      <formula>-1</formula>
    </cfRule>
  </conditionalFormatting>
  <conditionalFormatting sqref="L45">
    <cfRule type="cellIs" dxfId="11616" priority="140487" stopIfTrue="1" operator="lessThan">
      <formula>0.5</formula>
    </cfRule>
  </conditionalFormatting>
  <conditionalFormatting sqref="L45">
    <cfRule type="cellIs" dxfId="11615" priority="140488" stopIfTrue="1" operator="greaterThanOrEqual">
      <formula>0.5</formula>
    </cfRule>
  </conditionalFormatting>
  <conditionalFormatting sqref="L46">
    <cfRule type="cellIs" dxfId="11614" priority="140489" stopIfTrue="1" operator="equal">
      <formula>-1</formula>
    </cfRule>
  </conditionalFormatting>
  <conditionalFormatting sqref="L46">
    <cfRule type="cellIs" dxfId="11613" priority="140490" stopIfTrue="1" operator="lessThan">
      <formula>0.5</formula>
    </cfRule>
  </conditionalFormatting>
  <conditionalFormatting sqref="L46">
    <cfRule type="cellIs" dxfId="11612" priority="140491" stopIfTrue="1" operator="greaterThanOrEqual">
      <formula>0.5</formula>
    </cfRule>
  </conditionalFormatting>
  <conditionalFormatting sqref="L47">
    <cfRule type="cellIs" dxfId="11611" priority="140492" stopIfTrue="1" operator="equal">
      <formula>-1</formula>
    </cfRule>
  </conditionalFormatting>
  <conditionalFormatting sqref="L47">
    <cfRule type="cellIs" dxfId="11610" priority="140493" stopIfTrue="1" operator="lessThan">
      <formula>0.5</formula>
    </cfRule>
  </conditionalFormatting>
  <conditionalFormatting sqref="L47">
    <cfRule type="cellIs" dxfId="11609" priority="140494" stopIfTrue="1" operator="greaterThanOrEqual">
      <formula>0.5</formula>
    </cfRule>
  </conditionalFormatting>
  <conditionalFormatting sqref="L48">
    <cfRule type="cellIs" dxfId="11608" priority="140495" stopIfTrue="1" operator="equal">
      <formula>-1</formula>
    </cfRule>
  </conditionalFormatting>
  <conditionalFormatting sqref="L48">
    <cfRule type="cellIs" dxfId="11607" priority="140496" stopIfTrue="1" operator="lessThan">
      <formula>0.5</formula>
    </cfRule>
  </conditionalFormatting>
  <conditionalFormatting sqref="L48">
    <cfRule type="cellIs" dxfId="11606" priority="140497" stopIfTrue="1" operator="greaterThanOrEqual">
      <formula>0.5</formula>
    </cfRule>
  </conditionalFormatting>
  <conditionalFormatting sqref="L49">
    <cfRule type="cellIs" dxfId="11605" priority="140498" stopIfTrue="1" operator="equal">
      <formula>-1</formula>
    </cfRule>
  </conditionalFormatting>
  <conditionalFormatting sqref="L49">
    <cfRule type="cellIs" dxfId="11604" priority="140499" stopIfTrue="1" operator="lessThan">
      <formula>0.5</formula>
    </cfRule>
  </conditionalFormatting>
  <conditionalFormatting sqref="L49">
    <cfRule type="cellIs" dxfId="11603" priority="140500" stopIfTrue="1" operator="greaterThanOrEqual">
      <formula>0.5</formula>
    </cfRule>
  </conditionalFormatting>
  <conditionalFormatting sqref="L50">
    <cfRule type="cellIs" dxfId="11602" priority="140501" stopIfTrue="1" operator="equal">
      <formula>-1</formula>
    </cfRule>
  </conditionalFormatting>
  <conditionalFormatting sqref="L50">
    <cfRule type="cellIs" dxfId="11601" priority="140502" stopIfTrue="1" operator="lessThan">
      <formula>0.5</formula>
    </cfRule>
  </conditionalFormatting>
  <conditionalFormatting sqref="L50">
    <cfRule type="cellIs" dxfId="11600" priority="140503" stopIfTrue="1" operator="greaterThanOrEqual">
      <formula>0.5</formula>
    </cfRule>
  </conditionalFormatting>
  <conditionalFormatting sqref="L51">
    <cfRule type="cellIs" dxfId="11599" priority="140504" stopIfTrue="1" operator="equal">
      <formula>-1</formula>
    </cfRule>
  </conditionalFormatting>
  <conditionalFormatting sqref="L51">
    <cfRule type="cellIs" dxfId="11598" priority="140505" stopIfTrue="1" operator="lessThan">
      <formula>0.5</formula>
    </cfRule>
  </conditionalFormatting>
  <conditionalFormatting sqref="L51">
    <cfRule type="cellIs" dxfId="11597" priority="140506" stopIfTrue="1" operator="greaterThanOrEqual">
      <formula>0.5</formula>
    </cfRule>
  </conditionalFormatting>
  <conditionalFormatting sqref="L52">
    <cfRule type="cellIs" dxfId="11596" priority="140507" stopIfTrue="1" operator="equal">
      <formula>-1</formula>
    </cfRule>
  </conditionalFormatting>
  <conditionalFormatting sqref="L52">
    <cfRule type="cellIs" dxfId="11595" priority="140508" stopIfTrue="1" operator="lessThan">
      <formula>0.5</formula>
    </cfRule>
  </conditionalFormatting>
  <conditionalFormatting sqref="L52">
    <cfRule type="cellIs" dxfId="11594" priority="140509" stopIfTrue="1" operator="greaterThanOrEqual">
      <formula>0.5</formula>
    </cfRule>
  </conditionalFormatting>
  <conditionalFormatting sqref="L53">
    <cfRule type="cellIs" dxfId="11593" priority="140510" stopIfTrue="1" operator="equal">
      <formula>-1</formula>
    </cfRule>
  </conditionalFormatting>
  <conditionalFormatting sqref="L53">
    <cfRule type="cellIs" dxfId="11592" priority="140511" stopIfTrue="1" operator="lessThan">
      <formula>0.5</formula>
    </cfRule>
  </conditionalFormatting>
  <conditionalFormatting sqref="L53">
    <cfRule type="cellIs" dxfId="11591" priority="140512" stopIfTrue="1" operator="greaterThanOrEqual">
      <formula>0.5</formula>
    </cfRule>
  </conditionalFormatting>
  <conditionalFormatting sqref="L54">
    <cfRule type="cellIs" dxfId="11590" priority="140513" stopIfTrue="1" operator="equal">
      <formula>-1</formula>
    </cfRule>
  </conditionalFormatting>
  <conditionalFormatting sqref="L54">
    <cfRule type="cellIs" dxfId="11589" priority="140514" stopIfTrue="1" operator="lessThan">
      <formula>0.5</formula>
    </cfRule>
  </conditionalFormatting>
  <conditionalFormatting sqref="L54">
    <cfRule type="cellIs" dxfId="11588" priority="140515" stopIfTrue="1" operator="greaterThanOrEqual">
      <formula>0.5</formula>
    </cfRule>
  </conditionalFormatting>
  <conditionalFormatting sqref="L55">
    <cfRule type="cellIs" dxfId="11587" priority="140516" stopIfTrue="1" operator="equal">
      <formula>-1</formula>
    </cfRule>
  </conditionalFormatting>
  <conditionalFormatting sqref="L55">
    <cfRule type="cellIs" dxfId="11586" priority="140517" stopIfTrue="1" operator="lessThan">
      <formula>0.5</formula>
    </cfRule>
  </conditionalFormatting>
  <conditionalFormatting sqref="L55">
    <cfRule type="cellIs" dxfId="11585" priority="140518" stopIfTrue="1" operator="greaterThanOrEqual">
      <formula>0.5</formula>
    </cfRule>
  </conditionalFormatting>
  <conditionalFormatting sqref="L56">
    <cfRule type="cellIs" dxfId="11584" priority="140519" stopIfTrue="1" operator="equal">
      <formula>-1</formula>
    </cfRule>
  </conditionalFormatting>
  <conditionalFormatting sqref="L56">
    <cfRule type="cellIs" dxfId="11583" priority="140520" stopIfTrue="1" operator="lessThan">
      <formula>0.5</formula>
    </cfRule>
  </conditionalFormatting>
  <conditionalFormatting sqref="L56">
    <cfRule type="cellIs" dxfId="11582" priority="140521" stopIfTrue="1" operator="greaterThanOrEqual">
      <formula>0.5</formula>
    </cfRule>
  </conditionalFormatting>
  <conditionalFormatting sqref="L57">
    <cfRule type="cellIs" dxfId="11581" priority="140522" stopIfTrue="1" operator="equal">
      <formula>-1</formula>
    </cfRule>
  </conditionalFormatting>
  <conditionalFormatting sqref="L57">
    <cfRule type="cellIs" dxfId="11580" priority="140523" stopIfTrue="1" operator="lessThan">
      <formula>0.5</formula>
    </cfRule>
  </conditionalFormatting>
  <conditionalFormatting sqref="L57">
    <cfRule type="cellIs" dxfId="11579" priority="140524" stopIfTrue="1" operator="greaterThanOrEqual">
      <formula>0.5</formula>
    </cfRule>
  </conditionalFormatting>
  <conditionalFormatting sqref="L58">
    <cfRule type="cellIs" dxfId="11578" priority="140525" stopIfTrue="1" operator="equal">
      <formula>-1</formula>
    </cfRule>
  </conditionalFormatting>
  <conditionalFormatting sqref="L58">
    <cfRule type="cellIs" dxfId="11577" priority="140526" stopIfTrue="1" operator="lessThan">
      <formula>0.5</formula>
    </cfRule>
  </conditionalFormatting>
  <conditionalFormatting sqref="L58">
    <cfRule type="cellIs" dxfId="11576" priority="140527" stopIfTrue="1" operator="greaterThanOrEqual">
      <formula>0.5</formula>
    </cfRule>
  </conditionalFormatting>
  <conditionalFormatting sqref="N39">
    <cfRule type="cellIs" dxfId="11575" priority="140528" stopIfTrue="1" operator="equal">
      <formula>-1</formula>
    </cfRule>
  </conditionalFormatting>
  <conditionalFormatting sqref="N39">
    <cfRule type="cellIs" dxfId="11574" priority="140529" stopIfTrue="1" operator="lessThan">
      <formula>0.5</formula>
    </cfRule>
  </conditionalFormatting>
  <conditionalFormatting sqref="N39">
    <cfRule type="cellIs" dxfId="11573" priority="140530" stopIfTrue="1" operator="greaterThanOrEqual">
      <formula>0.5</formula>
    </cfRule>
  </conditionalFormatting>
  <conditionalFormatting sqref="N40">
    <cfRule type="cellIs" dxfId="11572" priority="140531" stopIfTrue="1" operator="equal">
      <formula>-1</formula>
    </cfRule>
  </conditionalFormatting>
  <conditionalFormatting sqref="N40">
    <cfRule type="cellIs" dxfId="11571" priority="140532" stopIfTrue="1" operator="lessThan">
      <formula>0.5</formula>
    </cfRule>
  </conditionalFormatting>
  <conditionalFormatting sqref="N40">
    <cfRule type="cellIs" dxfId="11570" priority="140533" stopIfTrue="1" operator="greaterThanOrEqual">
      <formula>0.5</formula>
    </cfRule>
  </conditionalFormatting>
  <conditionalFormatting sqref="N41">
    <cfRule type="cellIs" dxfId="11569" priority="140534" stopIfTrue="1" operator="equal">
      <formula>-1</formula>
    </cfRule>
  </conditionalFormatting>
  <conditionalFormatting sqref="N41">
    <cfRule type="cellIs" dxfId="11568" priority="140535" stopIfTrue="1" operator="lessThan">
      <formula>0.5</formula>
    </cfRule>
  </conditionalFormatting>
  <conditionalFormatting sqref="N41">
    <cfRule type="cellIs" dxfId="11567" priority="140536" stopIfTrue="1" operator="greaterThanOrEqual">
      <formula>0.5</formula>
    </cfRule>
  </conditionalFormatting>
  <conditionalFormatting sqref="N42">
    <cfRule type="cellIs" dxfId="11566" priority="140537" stopIfTrue="1" operator="equal">
      <formula>-1</formula>
    </cfRule>
  </conditionalFormatting>
  <conditionalFormatting sqref="N42">
    <cfRule type="cellIs" dxfId="11565" priority="140538" stopIfTrue="1" operator="lessThan">
      <formula>0.5</formula>
    </cfRule>
  </conditionalFormatting>
  <conditionalFormatting sqref="N42">
    <cfRule type="cellIs" dxfId="11564" priority="140539" stopIfTrue="1" operator="greaterThanOrEqual">
      <formula>0.5</formula>
    </cfRule>
  </conditionalFormatting>
  <conditionalFormatting sqref="N43">
    <cfRule type="cellIs" dxfId="11563" priority="140540" stopIfTrue="1" operator="equal">
      <formula>-1</formula>
    </cfRule>
  </conditionalFormatting>
  <conditionalFormatting sqref="N43">
    <cfRule type="cellIs" dxfId="11562" priority="140541" stopIfTrue="1" operator="lessThan">
      <formula>0.5</formula>
    </cfRule>
  </conditionalFormatting>
  <conditionalFormatting sqref="N43">
    <cfRule type="cellIs" dxfId="11561" priority="140542" stopIfTrue="1" operator="greaterThanOrEqual">
      <formula>0.5</formula>
    </cfRule>
  </conditionalFormatting>
  <conditionalFormatting sqref="N44">
    <cfRule type="cellIs" dxfId="11560" priority="140543" stopIfTrue="1" operator="equal">
      <formula>-1</formula>
    </cfRule>
  </conditionalFormatting>
  <conditionalFormatting sqref="N44">
    <cfRule type="cellIs" dxfId="11559" priority="140544" stopIfTrue="1" operator="lessThan">
      <formula>0.5</formula>
    </cfRule>
  </conditionalFormatting>
  <conditionalFormatting sqref="N44">
    <cfRule type="cellIs" dxfId="11558" priority="140545" stopIfTrue="1" operator="greaterThanOrEqual">
      <formula>0.5</formula>
    </cfRule>
  </conditionalFormatting>
  <conditionalFormatting sqref="N45">
    <cfRule type="cellIs" dxfId="11557" priority="140546" stopIfTrue="1" operator="equal">
      <formula>-1</formula>
    </cfRule>
  </conditionalFormatting>
  <conditionalFormatting sqref="N45">
    <cfRule type="cellIs" dxfId="11556" priority="140547" stopIfTrue="1" operator="lessThan">
      <formula>0.5</formula>
    </cfRule>
  </conditionalFormatting>
  <conditionalFormatting sqref="N45">
    <cfRule type="cellIs" dxfId="11555" priority="140548" stopIfTrue="1" operator="greaterThanOrEqual">
      <formula>0.5</formula>
    </cfRule>
  </conditionalFormatting>
  <conditionalFormatting sqref="N46">
    <cfRule type="cellIs" dxfId="11554" priority="140549" stopIfTrue="1" operator="equal">
      <formula>-1</formula>
    </cfRule>
  </conditionalFormatting>
  <conditionalFormatting sqref="N46">
    <cfRule type="cellIs" dxfId="11553" priority="140550" stopIfTrue="1" operator="lessThan">
      <formula>0.5</formula>
    </cfRule>
  </conditionalFormatting>
  <conditionalFormatting sqref="N46">
    <cfRule type="cellIs" dxfId="11552" priority="140551" stopIfTrue="1" operator="greaterThanOrEqual">
      <formula>0.5</formula>
    </cfRule>
  </conditionalFormatting>
  <conditionalFormatting sqref="N47">
    <cfRule type="cellIs" dxfId="11551" priority="140552" stopIfTrue="1" operator="equal">
      <formula>-1</formula>
    </cfRule>
  </conditionalFormatting>
  <conditionalFormatting sqref="N47">
    <cfRule type="cellIs" dxfId="11550" priority="140553" stopIfTrue="1" operator="lessThan">
      <formula>0.5</formula>
    </cfRule>
  </conditionalFormatting>
  <conditionalFormatting sqref="N47">
    <cfRule type="cellIs" dxfId="11549" priority="140554" stopIfTrue="1" operator="greaterThanOrEqual">
      <formula>0.5</formula>
    </cfRule>
  </conditionalFormatting>
  <conditionalFormatting sqref="N48">
    <cfRule type="cellIs" dxfId="11548" priority="140555" stopIfTrue="1" operator="equal">
      <formula>-1</formula>
    </cfRule>
  </conditionalFormatting>
  <conditionalFormatting sqref="N48">
    <cfRule type="cellIs" dxfId="11547" priority="140556" stopIfTrue="1" operator="lessThan">
      <formula>0.5</formula>
    </cfRule>
  </conditionalFormatting>
  <conditionalFormatting sqref="N48">
    <cfRule type="cellIs" dxfId="11546" priority="140557" stopIfTrue="1" operator="greaterThanOrEqual">
      <formula>0.5</formula>
    </cfRule>
  </conditionalFormatting>
  <conditionalFormatting sqref="N49">
    <cfRule type="cellIs" dxfId="11545" priority="140558" stopIfTrue="1" operator="equal">
      <formula>-1</formula>
    </cfRule>
  </conditionalFormatting>
  <conditionalFormatting sqref="N49">
    <cfRule type="cellIs" dxfId="11544" priority="140559" stopIfTrue="1" operator="lessThan">
      <formula>0.5</formula>
    </cfRule>
  </conditionalFormatting>
  <conditionalFormatting sqref="N49">
    <cfRule type="cellIs" dxfId="11543" priority="140560" stopIfTrue="1" operator="greaterThanOrEqual">
      <formula>0.5</formula>
    </cfRule>
  </conditionalFormatting>
  <conditionalFormatting sqref="N50">
    <cfRule type="cellIs" dxfId="11542" priority="140561" stopIfTrue="1" operator="equal">
      <formula>-1</formula>
    </cfRule>
  </conditionalFormatting>
  <conditionalFormatting sqref="N50">
    <cfRule type="cellIs" dxfId="11541" priority="140562" stopIfTrue="1" operator="lessThan">
      <formula>0.5</formula>
    </cfRule>
  </conditionalFormatting>
  <conditionalFormatting sqref="N50">
    <cfRule type="cellIs" dxfId="11540" priority="140563" stopIfTrue="1" operator="greaterThanOrEqual">
      <formula>0.5</formula>
    </cfRule>
  </conditionalFormatting>
  <conditionalFormatting sqref="N51">
    <cfRule type="cellIs" dxfId="11539" priority="140564" stopIfTrue="1" operator="equal">
      <formula>-1</formula>
    </cfRule>
  </conditionalFormatting>
  <conditionalFormatting sqref="N51">
    <cfRule type="cellIs" dxfId="11538" priority="140565" stopIfTrue="1" operator="lessThan">
      <formula>0.5</formula>
    </cfRule>
  </conditionalFormatting>
  <conditionalFormatting sqref="N51">
    <cfRule type="cellIs" dxfId="11537" priority="140566" stopIfTrue="1" operator="greaterThanOrEqual">
      <formula>0.5</formula>
    </cfRule>
  </conditionalFormatting>
  <conditionalFormatting sqref="N52">
    <cfRule type="cellIs" dxfId="11536" priority="140567" stopIfTrue="1" operator="equal">
      <formula>-1</formula>
    </cfRule>
  </conditionalFormatting>
  <conditionalFormatting sqref="N52">
    <cfRule type="cellIs" dxfId="11535" priority="140568" stopIfTrue="1" operator="lessThan">
      <formula>0.5</formula>
    </cfRule>
  </conditionalFormatting>
  <conditionalFormatting sqref="N52">
    <cfRule type="cellIs" dxfId="11534" priority="140569" stopIfTrue="1" operator="greaterThanOrEqual">
      <formula>0.5</formula>
    </cfRule>
  </conditionalFormatting>
  <conditionalFormatting sqref="N53">
    <cfRule type="cellIs" dxfId="11533" priority="140570" stopIfTrue="1" operator="equal">
      <formula>-1</formula>
    </cfRule>
  </conditionalFormatting>
  <conditionalFormatting sqref="N53">
    <cfRule type="cellIs" dxfId="11532" priority="140571" stopIfTrue="1" operator="lessThan">
      <formula>0.5</formula>
    </cfRule>
  </conditionalFormatting>
  <conditionalFormatting sqref="N53">
    <cfRule type="cellIs" dxfId="11531" priority="140572" stopIfTrue="1" operator="greaterThanOrEqual">
      <formula>0.5</formula>
    </cfRule>
  </conditionalFormatting>
  <conditionalFormatting sqref="N54">
    <cfRule type="cellIs" dxfId="11530" priority="140573" stopIfTrue="1" operator="equal">
      <formula>-1</formula>
    </cfRule>
  </conditionalFormatting>
  <conditionalFormatting sqref="N54">
    <cfRule type="cellIs" dxfId="11529" priority="140574" stopIfTrue="1" operator="lessThan">
      <formula>0.5</formula>
    </cfRule>
  </conditionalFormatting>
  <conditionalFormatting sqref="N54">
    <cfRule type="cellIs" dxfId="11528" priority="140575" stopIfTrue="1" operator="greaterThanOrEqual">
      <formula>0.5</formula>
    </cfRule>
  </conditionalFormatting>
  <conditionalFormatting sqref="N55">
    <cfRule type="cellIs" dxfId="11527" priority="140576" stopIfTrue="1" operator="equal">
      <formula>-1</formula>
    </cfRule>
  </conditionalFormatting>
  <conditionalFormatting sqref="N55">
    <cfRule type="cellIs" dxfId="11526" priority="140577" stopIfTrue="1" operator="lessThan">
      <formula>0.5</formula>
    </cfRule>
  </conditionalFormatting>
  <conditionalFormatting sqref="N55">
    <cfRule type="cellIs" dxfId="11525" priority="140578" stopIfTrue="1" operator="greaterThanOrEqual">
      <formula>0.5</formula>
    </cfRule>
  </conditionalFormatting>
  <conditionalFormatting sqref="N56">
    <cfRule type="cellIs" dxfId="11524" priority="140579" stopIfTrue="1" operator="equal">
      <formula>-1</formula>
    </cfRule>
  </conditionalFormatting>
  <conditionalFormatting sqref="N56">
    <cfRule type="cellIs" dxfId="11523" priority="140580" stopIfTrue="1" operator="lessThan">
      <formula>0.5</formula>
    </cfRule>
  </conditionalFormatting>
  <conditionalFormatting sqref="N56">
    <cfRule type="cellIs" dxfId="11522" priority="140581" stopIfTrue="1" operator="greaterThanOrEqual">
      <formula>0.5</formula>
    </cfRule>
  </conditionalFormatting>
  <conditionalFormatting sqref="N57">
    <cfRule type="cellIs" dxfId="11521" priority="140582" stopIfTrue="1" operator="equal">
      <formula>-1</formula>
    </cfRule>
  </conditionalFormatting>
  <conditionalFormatting sqref="N57">
    <cfRule type="cellIs" dxfId="11520" priority="140583" stopIfTrue="1" operator="lessThan">
      <formula>0.5</formula>
    </cfRule>
  </conditionalFormatting>
  <conditionalFormatting sqref="N57">
    <cfRule type="cellIs" dxfId="11519" priority="140584" stopIfTrue="1" operator="greaterThanOrEqual">
      <formula>0.5</formula>
    </cfRule>
  </conditionalFormatting>
  <conditionalFormatting sqref="N58">
    <cfRule type="cellIs" dxfId="11518" priority="140585" stopIfTrue="1" operator="equal">
      <formula>-1</formula>
    </cfRule>
  </conditionalFormatting>
  <conditionalFormatting sqref="N58">
    <cfRule type="cellIs" dxfId="11517" priority="140586" stopIfTrue="1" operator="lessThan">
      <formula>0.5</formula>
    </cfRule>
  </conditionalFormatting>
  <conditionalFormatting sqref="N58">
    <cfRule type="cellIs" dxfId="11516" priority="140587" stopIfTrue="1" operator="greaterThanOrEqual">
      <formula>0.5</formula>
    </cfRule>
  </conditionalFormatting>
  <conditionalFormatting sqref="P39">
    <cfRule type="cellIs" dxfId="11515" priority="140588" stopIfTrue="1" operator="equal">
      <formula>-1</formula>
    </cfRule>
  </conditionalFormatting>
  <conditionalFormatting sqref="P39">
    <cfRule type="cellIs" dxfId="11514" priority="140589" stopIfTrue="1" operator="lessThan">
      <formula>0.5</formula>
    </cfRule>
  </conditionalFormatting>
  <conditionalFormatting sqref="P39">
    <cfRule type="cellIs" dxfId="11513" priority="140590" stopIfTrue="1" operator="greaterThanOrEqual">
      <formula>0.5</formula>
    </cfRule>
  </conditionalFormatting>
  <conditionalFormatting sqref="P40">
    <cfRule type="cellIs" dxfId="11512" priority="140591" stopIfTrue="1" operator="equal">
      <formula>-1</formula>
    </cfRule>
  </conditionalFormatting>
  <conditionalFormatting sqref="P40">
    <cfRule type="cellIs" dxfId="11511" priority="140592" stopIfTrue="1" operator="lessThan">
      <formula>0.5</formula>
    </cfRule>
  </conditionalFormatting>
  <conditionalFormatting sqref="P40">
    <cfRule type="cellIs" dxfId="11510" priority="140593" stopIfTrue="1" operator="greaterThanOrEqual">
      <formula>0.5</formula>
    </cfRule>
  </conditionalFormatting>
  <conditionalFormatting sqref="P41">
    <cfRule type="cellIs" dxfId="11509" priority="140594" stopIfTrue="1" operator="equal">
      <formula>-1</formula>
    </cfRule>
  </conditionalFormatting>
  <conditionalFormatting sqref="P41">
    <cfRule type="cellIs" dxfId="11508" priority="140595" stopIfTrue="1" operator="lessThan">
      <formula>0.5</formula>
    </cfRule>
  </conditionalFormatting>
  <conditionalFormatting sqref="P41">
    <cfRule type="cellIs" dxfId="11507" priority="140596" stopIfTrue="1" operator="greaterThanOrEqual">
      <formula>0.5</formula>
    </cfRule>
  </conditionalFormatting>
  <conditionalFormatting sqref="P42">
    <cfRule type="cellIs" dxfId="11506" priority="140597" stopIfTrue="1" operator="equal">
      <formula>-1</formula>
    </cfRule>
  </conditionalFormatting>
  <conditionalFormatting sqref="P42">
    <cfRule type="cellIs" dxfId="11505" priority="140598" stopIfTrue="1" operator="lessThan">
      <formula>0.5</formula>
    </cfRule>
  </conditionalFormatting>
  <conditionalFormatting sqref="P42">
    <cfRule type="cellIs" dxfId="11504" priority="140599" stopIfTrue="1" operator="greaterThanOrEqual">
      <formula>0.5</formula>
    </cfRule>
  </conditionalFormatting>
  <conditionalFormatting sqref="P43">
    <cfRule type="cellIs" dxfId="11503" priority="140600" stopIfTrue="1" operator="equal">
      <formula>-1</formula>
    </cfRule>
  </conditionalFormatting>
  <conditionalFormatting sqref="P43">
    <cfRule type="cellIs" dxfId="11502" priority="140601" stopIfTrue="1" operator="lessThan">
      <formula>0.5</formula>
    </cfRule>
  </conditionalFormatting>
  <conditionalFormatting sqref="P43">
    <cfRule type="cellIs" dxfId="11501" priority="140602" stopIfTrue="1" operator="greaterThanOrEqual">
      <formula>0.5</formula>
    </cfRule>
  </conditionalFormatting>
  <conditionalFormatting sqref="P44">
    <cfRule type="cellIs" dxfId="11500" priority="140603" stopIfTrue="1" operator="equal">
      <formula>-1</formula>
    </cfRule>
  </conditionalFormatting>
  <conditionalFormatting sqref="P44">
    <cfRule type="cellIs" dxfId="11499" priority="140604" stopIfTrue="1" operator="lessThan">
      <formula>0.5</formula>
    </cfRule>
  </conditionalFormatting>
  <conditionalFormatting sqref="P44">
    <cfRule type="cellIs" dxfId="11498" priority="140605" stopIfTrue="1" operator="greaterThanOrEqual">
      <formula>0.5</formula>
    </cfRule>
  </conditionalFormatting>
  <conditionalFormatting sqref="P45">
    <cfRule type="cellIs" dxfId="11497" priority="140606" stopIfTrue="1" operator="equal">
      <formula>-1</formula>
    </cfRule>
  </conditionalFormatting>
  <conditionalFormatting sqref="P45">
    <cfRule type="cellIs" dxfId="11496" priority="140607" stopIfTrue="1" operator="lessThan">
      <formula>0.5</formula>
    </cfRule>
  </conditionalFormatting>
  <conditionalFormatting sqref="P45">
    <cfRule type="cellIs" dxfId="11495" priority="140608" stopIfTrue="1" operator="greaterThanOrEqual">
      <formula>0.5</formula>
    </cfRule>
  </conditionalFormatting>
  <conditionalFormatting sqref="P46">
    <cfRule type="cellIs" dxfId="11494" priority="140609" stopIfTrue="1" operator="equal">
      <formula>-1</formula>
    </cfRule>
  </conditionalFormatting>
  <conditionalFormatting sqref="P46">
    <cfRule type="cellIs" dxfId="11493" priority="140610" stopIfTrue="1" operator="lessThan">
      <formula>0.5</formula>
    </cfRule>
  </conditionalFormatting>
  <conditionalFormatting sqref="P46">
    <cfRule type="cellIs" dxfId="11492" priority="140611" stopIfTrue="1" operator="greaterThanOrEqual">
      <formula>0.5</formula>
    </cfRule>
  </conditionalFormatting>
  <conditionalFormatting sqref="P47">
    <cfRule type="cellIs" dxfId="11491" priority="140612" stopIfTrue="1" operator="equal">
      <formula>-1</formula>
    </cfRule>
  </conditionalFormatting>
  <conditionalFormatting sqref="P47">
    <cfRule type="cellIs" dxfId="11490" priority="140613" stopIfTrue="1" operator="lessThan">
      <formula>0.5</formula>
    </cfRule>
  </conditionalFormatting>
  <conditionalFormatting sqref="P47">
    <cfRule type="cellIs" dxfId="11489" priority="140614" stopIfTrue="1" operator="greaterThanOrEqual">
      <formula>0.5</formula>
    </cfRule>
  </conditionalFormatting>
  <conditionalFormatting sqref="P48">
    <cfRule type="cellIs" dxfId="11488" priority="140615" stopIfTrue="1" operator="equal">
      <formula>-1</formula>
    </cfRule>
  </conditionalFormatting>
  <conditionalFormatting sqref="P48">
    <cfRule type="cellIs" dxfId="11487" priority="140616" stopIfTrue="1" operator="lessThan">
      <formula>0.5</formula>
    </cfRule>
  </conditionalFormatting>
  <conditionalFormatting sqref="P48">
    <cfRule type="cellIs" dxfId="11486" priority="140617" stopIfTrue="1" operator="greaterThanOrEqual">
      <formula>0.5</formula>
    </cfRule>
  </conditionalFormatting>
  <conditionalFormatting sqref="P49">
    <cfRule type="cellIs" dxfId="11485" priority="140618" stopIfTrue="1" operator="equal">
      <formula>-1</formula>
    </cfRule>
  </conditionalFormatting>
  <conditionalFormatting sqref="P49">
    <cfRule type="cellIs" dxfId="11484" priority="140619" stopIfTrue="1" operator="lessThan">
      <formula>0.5</formula>
    </cfRule>
  </conditionalFormatting>
  <conditionalFormatting sqref="P49">
    <cfRule type="cellIs" dxfId="11483" priority="140620" stopIfTrue="1" operator="greaterThanOrEqual">
      <formula>0.5</formula>
    </cfRule>
  </conditionalFormatting>
  <conditionalFormatting sqref="P50">
    <cfRule type="cellIs" dxfId="11482" priority="140621" stopIfTrue="1" operator="equal">
      <formula>-1</formula>
    </cfRule>
  </conditionalFormatting>
  <conditionalFormatting sqref="P50">
    <cfRule type="cellIs" dxfId="11481" priority="140622" stopIfTrue="1" operator="lessThan">
      <formula>0.5</formula>
    </cfRule>
  </conditionalFormatting>
  <conditionalFormatting sqref="P50">
    <cfRule type="cellIs" dxfId="11480" priority="140623" stopIfTrue="1" operator="greaterThanOrEqual">
      <formula>0.5</formula>
    </cfRule>
  </conditionalFormatting>
  <conditionalFormatting sqref="P51">
    <cfRule type="cellIs" dxfId="11479" priority="140624" stopIfTrue="1" operator="equal">
      <formula>-1</formula>
    </cfRule>
  </conditionalFormatting>
  <conditionalFormatting sqref="P51">
    <cfRule type="cellIs" dxfId="11478" priority="140625" stopIfTrue="1" operator="lessThan">
      <formula>0.5</formula>
    </cfRule>
  </conditionalFormatting>
  <conditionalFormatting sqref="P51">
    <cfRule type="cellIs" dxfId="11477" priority="140626" stopIfTrue="1" operator="greaterThanOrEqual">
      <formula>0.5</formula>
    </cfRule>
  </conditionalFormatting>
  <conditionalFormatting sqref="P52">
    <cfRule type="cellIs" dxfId="11476" priority="140627" stopIfTrue="1" operator="equal">
      <formula>-1</formula>
    </cfRule>
  </conditionalFormatting>
  <conditionalFormatting sqref="P52">
    <cfRule type="cellIs" dxfId="11475" priority="140628" stopIfTrue="1" operator="lessThan">
      <formula>0.5</formula>
    </cfRule>
  </conditionalFormatting>
  <conditionalFormatting sqref="P52">
    <cfRule type="cellIs" dxfId="11474" priority="140629" stopIfTrue="1" operator="greaterThanOrEqual">
      <formula>0.5</formula>
    </cfRule>
  </conditionalFormatting>
  <conditionalFormatting sqref="P53">
    <cfRule type="cellIs" dxfId="11473" priority="140630" stopIfTrue="1" operator="equal">
      <formula>-1</formula>
    </cfRule>
  </conditionalFormatting>
  <conditionalFormatting sqref="P53">
    <cfRule type="cellIs" dxfId="11472" priority="140631" stopIfTrue="1" operator="lessThan">
      <formula>0.5</formula>
    </cfRule>
  </conditionalFormatting>
  <conditionalFormatting sqref="P53">
    <cfRule type="cellIs" dxfId="11471" priority="140632" stopIfTrue="1" operator="greaterThanOrEqual">
      <formula>0.5</formula>
    </cfRule>
  </conditionalFormatting>
  <conditionalFormatting sqref="P54">
    <cfRule type="cellIs" dxfId="11470" priority="140633" stopIfTrue="1" operator="equal">
      <formula>-1</formula>
    </cfRule>
  </conditionalFormatting>
  <conditionalFormatting sqref="P54">
    <cfRule type="cellIs" dxfId="11469" priority="140634" stopIfTrue="1" operator="lessThan">
      <formula>0.5</formula>
    </cfRule>
  </conditionalFormatting>
  <conditionalFormatting sqref="P54">
    <cfRule type="cellIs" dxfId="11468" priority="140635" stopIfTrue="1" operator="greaterThanOrEqual">
      <formula>0.5</formula>
    </cfRule>
  </conditionalFormatting>
  <conditionalFormatting sqref="P55">
    <cfRule type="cellIs" dxfId="11467" priority="140636" stopIfTrue="1" operator="equal">
      <formula>-1</formula>
    </cfRule>
  </conditionalFormatting>
  <conditionalFormatting sqref="P55">
    <cfRule type="cellIs" dxfId="11466" priority="140637" stopIfTrue="1" operator="lessThan">
      <formula>0.5</formula>
    </cfRule>
  </conditionalFormatting>
  <conditionalFormatting sqref="P55">
    <cfRule type="cellIs" dxfId="11465" priority="140638" stopIfTrue="1" operator="greaterThanOrEqual">
      <formula>0.5</formula>
    </cfRule>
  </conditionalFormatting>
  <conditionalFormatting sqref="P56">
    <cfRule type="cellIs" dxfId="11464" priority="140639" stopIfTrue="1" operator="equal">
      <formula>-1</formula>
    </cfRule>
  </conditionalFormatting>
  <conditionalFormatting sqref="P56">
    <cfRule type="cellIs" dxfId="11463" priority="140640" stopIfTrue="1" operator="lessThan">
      <formula>0.5</formula>
    </cfRule>
  </conditionalFormatting>
  <conditionalFormatting sqref="P56">
    <cfRule type="cellIs" dxfId="11462" priority="140641" stopIfTrue="1" operator="greaterThanOrEqual">
      <formula>0.5</formula>
    </cfRule>
  </conditionalFormatting>
  <conditionalFormatting sqref="P57">
    <cfRule type="cellIs" dxfId="11461" priority="140642" stopIfTrue="1" operator="equal">
      <formula>-1</formula>
    </cfRule>
  </conditionalFormatting>
  <conditionalFormatting sqref="P57">
    <cfRule type="cellIs" dxfId="11460" priority="140643" stopIfTrue="1" operator="lessThan">
      <formula>0.5</formula>
    </cfRule>
  </conditionalFormatting>
  <conditionalFormatting sqref="P57">
    <cfRule type="cellIs" dxfId="11459" priority="140644" stopIfTrue="1" operator="greaterThanOrEqual">
      <formula>0.5</formula>
    </cfRule>
  </conditionalFormatting>
  <conditionalFormatting sqref="P58">
    <cfRule type="cellIs" dxfId="11458" priority="140645" stopIfTrue="1" operator="equal">
      <formula>-1</formula>
    </cfRule>
  </conditionalFormatting>
  <conditionalFormatting sqref="P58">
    <cfRule type="cellIs" dxfId="11457" priority="140646" stopIfTrue="1" operator="lessThan">
      <formula>0.5</formula>
    </cfRule>
  </conditionalFormatting>
  <conditionalFormatting sqref="P58">
    <cfRule type="cellIs" dxfId="11456" priority="140647" stopIfTrue="1" operator="greaterThanOrEqual">
      <formula>0.5</formula>
    </cfRule>
  </conditionalFormatting>
  <conditionalFormatting sqref="R39">
    <cfRule type="cellIs" dxfId="11455" priority="140648" stopIfTrue="1" operator="equal">
      <formula>-1</formula>
    </cfRule>
  </conditionalFormatting>
  <conditionalFormatting sqref="R39">
    <cfRule type="cellIs" dxfId="11454" priority="140649" stopIfTrue="1" operator="lessThan">
      <formula>0.5</formula>
    </cfRule>
  </conditionalFormatting>
  <conditionalFormatting sqref="R39">
    <cfRule type="cellIs" dxfId="11453" priority="140650" stopIfTrue="1" operator="greaterThanOrEqual">
      <formula>0.5</formula>
    </cfRule>
  </conditionalFormatting>
  <conditionalFormatting sqref="R40">
    <cfRule type="cellIs" dxfId="11452" priority="140651" stopIfTrue="1" operator="equal">
      <formula>-1</formula>
    </cfRule>
  </conditionalFormatting>
  <conditionalFormatting sqref="R40">
    <cfRule type="cellIs" dxfId="11451" priority="140652" stopIfTrue="1" operator="lessThan">
      <formula>0.5</formula>
    </cfRule>
  </conditionalFormatting>
  <conditionalFormatting sqref="R40">
    <cfRule type="cellIs" dxfId="11450" priority="140653" stopIfTrue="1" operator="greaterThanOrEqual">
      <formula>0.5</formula>
    </cfRule>
  </conditionalFormatting>
  <conditionalFormatting sqref="R41">
    <cfRule type="cellIs" dxfId="11449" priority="140654" stopIfTrue="1" operator="equal">
      <formula>-1</formula>
    </cfRule>
  </conditionalFormatting>
  <conditionalFormatting sqref="R41">
    <cfRule type="cellIs" dxfId="11448" priority="140655" stopIfTrue="1" operator="lessThan">
      <formula>0.5</formula>
    </cfRule>
  </conditionalFormatting>
  <conditionalFormatting sqref="R41">
    <cfRule type="cellIs" dxfId="11447" priority="140656" stopIfTrue="1" operator="greaterThanOrEqual">
      <formula>0.5</formula>
    </cfRule>
  </conditionalFormatting>
  <conditionalFormatting sqref="R42">
    <cfRule type="cellIs" dxfId="11446" priority="140657" stopIfTrue="1" operator="equal">
      <formula>-1</formula>
    </cfRule>
  </conditionalFormatting>
  <conditionalFormatting sqref="R42">
    <cfRule type="cellIs" dxfId="11445" priority="140658" stopIfTrue="1" operator="lessThan">
      <formula>0.5</formula>
    </cfRule>
  </conditionalFormatting>
  <conditionalFormatting sqref="R42">
    <cfRule type="cellIs" dxfId="11444" priority="140659" stopIfTrue="1" operator="greaterThanOrEqual">
      <formula>0.5</formula>
    </cfRule>
  </conditionalFormatting>
  <conditionalFormatting sqref="R43">
    <cfRule type="cellIs" dxfId="11443" priority="140660" stopIfTrue="1" operator="equal">
      <formula>-1</formula>
    </cfRule>
  </conditionalFormatting>
  <conditionalFormatting sqref="R43">
    <cfRule type="cellIs" dxfId="11442" priority="140661" stopIfTrue="1" operator="lessThan">
      <formula>0.5</formula>
    </cfRule>
  </conditionalFormatting>
  <conditionalFormatting sqref="R43">
    <cfRule type="cellIs" dxfId="11441" priority="140662" stopIfTrue="1" operator="greaterThanOrEqual">
      <formula>0.5</formula>
    </cfRule>
  </conditionalFormatting>
  <conditionalFormatting sqref="R44">
    <cfRule type="cellIs" dxfId="11440" priority="140663" stopIfTrue="1" operator="equal">
      <formula>-1</formula>
    </cfRule>
  </conditionalFormatting>
  <conditionalFormatting sqref="R44">
    <cfRule type="cellIs" dxfId="11439" priority="140664" stopIfTrue="1" operator="lessThan">
      <formula>0.5</formula>
    </cfRule>
  </conditionalFormatting>
  <conditionalFormatting sqref="R44">
    <cfRule type="cellIs" dxfId="11438" priority="140665" stopIfTrue="1" operator="greaterThanOrEqual">
      <formula>0.5</formula>
    </cfRule>
  </conditionalFormatting>
  <conditionalFormatting sqref="R45">
    <cfRule type="cellIs" dxfId="11437" priority="140666" stopIfTrue="1" operator="equal">
      <formula>-1</formula>
    </cfRule>
  </conditionalFormatting>
  <conditionalFormatting sqref="R45">
    <cfRule type="cellIs" dxfId="11436" priority="140667" stopIfTrue="1" operator="lessThan">
      <formula>0.5</formula>
    </cfRule>
  </conditionalFormatting>
  <conditionalFormatting sqref="R45">
    <cfRule type="cellIs" dxfId="11435" priority="140668" stopIfTrue="1" operator="greaterThanOrEqual">
      <formula>0.5</formula>
    </cfRule>
  </conditionalFormatting>
  <conditionalFormatting sqref="R46">
    <cfRule type="cellIs" dxfId="11434" priority="140669" stopIfTrue="1" operator="equal">
      <formula>-1</formula>
    </cfRule>
  </conditionalFormatting>
  <conditionalFormatting sqref="R46">
    <cfRule type="cellIs" dxfId="11433" priority="140670" stopIfTrue="1" operator="lessThan">
      <formula>0.5</formula>
    </cfRule>
  </conditionalFormatting>
  <conditionalFormatting sqref="R46">
    <cfRule type="cellIs" dxfId="11432" priority="140671" stopIfTrue="1" operator="greaterThanOrEqual">
      <formula>0.5</formula>
    </cfRule>
  </conditionalFormatting>
  <conditionalFormatting sqref="R47">
    <cfRule type="cellIs" dxfId="11431" priority="140672" stopIfTrue="1" operator="equal">
      <formula>-1</formula>
    </cfRule>
  </conditionalFormatting>
  <conditionalFormatting sqref="R47">
    <cfRule type="cellIs" dxfId="11430" priority="140673" stopIfTrue="1" operator="lessThan">
      <formula>0.5</formula>
    </cfRule>
  </conditionalFormatting>
  <conditionalFormatting sqref="R47">
    <cfRule type="cellIs" dxfId="11429" priority="140674" stopIfTrue="1" operator="greaterThanOrEqual">
      <formula>0.5</formula>
    </cfRule>
  </conditionalFormatting>
  <conditionalFormatting sqref="R48">
    <cfRule type="cellIs" dxfId="11428" priority="140675" stopIfTrue="1" operator="equal">
      <formula>-1</formula>
    </cfRule>
  </conditionalFormatting>
  <conditionalFormatting sqref="R48">
    <cfRule type="cellIs" dxfId="11427" priority="140676" stopIfTrue="1" operator="lessThan">
      <formula>0.5</formula>
    </cfRule>
  </conditionalFormatting>
  <conditionalFormatting sqref="R48">
    <cfRule type="cellIs" dxfId="11426" priority="140677" stopIfTrue="1" operator="greaterThanOrEqual">
      <formula>0.5</formula>
    </cfRule>
  </conditionalFormatting>
  <conditionalFormatting sqref="R49">
    <cfRule type="cellIs" dxfId="11425" priority="140678" stopIfTrue="1" operator="equal">
      <formula>-1</formula>
    </cfRule>
  </conditionalFormatting>
  <conditionalFormatting sqref="R49">
    <cfRule type="cellIs" dxfId="11424" priority="140679" stopIfTrue="1" operator="lessThan">
      <formula>0.5</formula>
    </cfRule>
  </conditionalFormatting>
  <conditionalFormatting sqref="R49">
    <cfRule type="cellIs" dxfId="11423" priority="140680" stopIfTrue="1" operator="greaterThanOrEqual">
      <formula>0.5</formula>
    </cfRule>
  </conditionalFormatting>
  <conditionalFormatting sqref="R50">
    <cfRule type="cellIs" dxfId="11422" priority="140681" stopIfTrue="1" operator="equal">
      <formula>-1</formula>
    </cfRule>
  </conditionalFormatting>
  <conditionalFormatting sqref="R50">
    <cfRule type="cellIs" dxfId="11421" priority="140682" stopIfTrue="1" operator="lessThan">
      <formula>0.5</formula>
    </cfRule>
  </conditionalFormatting>
  <conditionalFormatting sqref="R50">
    <cfRule type="cellIs" dxfId="11420" priority="140683" stopIfTrue="1" operator="greaterThanOrEqual">
      <formula>0.5</formula>
    </cfRule>
  </conditionalFormatting>
  <conditionalFormatting sqref="R51">
    <cfRule type="cellIs" dxfId="11419" priority="140684" stopIfTrue="1" operator="equal">
      <formula>-1</formula>
    </cfRule>
  </conditionalFormatting>
  <conditionalFormatting sqref="R51">
    <cfRule type="cellIs" dxfId="11418" priority="140685" stopIfTrue="1" operator="lessThan">
      <formula>0.5</formula>
    </cfRule>
  </conditionalFormatting>
  <conditionalFormatting sqref="R51">
    <cfRule type="cellIs" dxfId="11417" priority="140686" stopIfTrue="1" operator="greaterThanOrEqual">
      <formula>0.5</formula>
    </cfRule>
  </conditionalFormatting>
  <conditionalFormatting sqref="R52">
    <cfRule type="cellIs" dxfId="11416" priority="140687" stopIfTrue="1" operator="equal">
      <formula>-1</formula>
    </cfRule>
  </conditionalFormatting>
  <conditionalFormatting sqref="R52">
    <cfRule type="cellIs" dxfId="11415" priority="140688" stopIfTrue="1" operator="lessThan">
      <formula>0.5</formula>
    </cfRule>
  </conditionalFormatting>
  <conditionalFormatting sqref="R52">
    <cfRule type="cellIs" dxfId="11414" priority="140689" stopIfTrue="1" operator="greaterThanOrEqual">
      <formula>0.5</formula>
    </cfRule>
  </conditionalFormatting>
  <conditionalFormatting sqref="R53">
    <cfRule type="cellIs" dxfId="11413" priority="140690" stopIfTrue="1" operator="equal">
      <formula>-1</formula>
    </cfRule>
  </conditionalFormatting>
  <conditionalFormatting sqref="R53">
    <cfRule type="cellIs" dxfId="11412" priority="140691" stopIfTrue="1" operator="lessThan">
      <formula>0.5</formula>
    </cfRule>
  </conditionalFormatting>
  <conditionalFormatting sqref="R53">
    <cfRule type="cellIs" dxfId="11411" priority="140692" stopIfTrue="1" operator="greaterThanOrEqual">
      <formula>0.5</formula>
    </cfRule>
  </conditionalFormatting>
  <conditionalFormatting sqref="R54">
    <cfRule type="cellIs" dxfId="11410" priority="140693" stopIfTrue="1" operator="equal">
      <formula>-1</formula>
    </cfRule>
  </conditionalFormatting>
  <conditionalFormatting sqref="R54">
    <cfRule type="cellIs" dxfId="11409" priority="140694" stopIfTrue="1" operator="lessThan">
      <formula>0.5</formula>
    </cfRule>
  </conditionalFormatting>
  <conditionalFormatting sqref="R54">
    <cfRule type="cellIs" dxfId="11408" priority="140695" stopIfTrue="1" operator="greaterThanOrEqual">
      <formula>0.5</formula>
    </cfRule>
  </conditionalFormatting>
  <conditionalFormatting sqref="R55">
    <cfRule type="cellIs" dxfId="11407" priority="140696" stopIfTrue="1" operator="equal">
      <formula>-1</formula>
    </cfRule>
  </conditionalFormatting>
  <conditionalFormatting sqref="R55">
    <cfRule type="cellIs" dxfId="11406" priority="140697" stopIfTrue="1" operator="lessThan">
      <formula>0.5</formula>
    </cfRule>
  </conditionalFormatting>
  <conditionalFormatting sqref="R55">
    <cfRule type="cellIs" dxfId="11405" priority="140698" stopIfTrue="1" operator="greaterThanOrEqual">
      <formula>0.5</formula>
    </cfRule>
  </conditionalFormatting>
  <conditionalFormatting sqref="R56">
    <cfRule type="cellIs" dxfId="11404" priority="140699" stopIfTrue="1" operator="equal">
      <formula>-1</formula>
    </cfRule>
  </conditionalFormatting>
  <conditionalFormatting sqref="R56">
    <cfRule type="cellIs" dxfId="11403" priority="140700" stopIfTrue="1" operator="lessThan">
      <formula>0.5</formula>
    </cfRule>
  </conditionalFormatting>
  <conditionalFormatting sqref="R56">
    <cfRule type="cellIs" dxfId="11402" priority="140701" stopIfTrue="1" operator="greaterThanOrEqual">
      <formula>0.5</formula>
    </cfRule>
  </conditionalFormatting>
  <conditionalFormatting sqref="R57">
    <cfRule type="cellIs" dxfId="11401" priority="140702" stopIfTrue="1" operator="equal">
      <formula>-1</formula>
    </cfRule>
  </conditionalFormatting>
  <conditionalFormatting sqref="R57">
    <cfRule type="cellIs" dxfId="11400" priority="140703" stopIfTrue="1" operator="lessThan">
      <formula>0.5</formula>
    </cfRule>
  </conditionalFormatting>
  <conditionalFormatting sqref="R57">
    <cfRule type="cellIs" dxfId="11399" priority="140704" stopIfTrue="1" operator="greaterThanOrEqual">
      <formula>0.5</formula>
    </cfRule>
  </conditionalFormatting>
  <conditionalFormatting sqref="R58">
    <cfRule type="cellIs" dxfId="11398" priority="140705" stopIfTrue="1" operator="equal">
      <formula>-1</formula>
    </cfRule>
  </conditionalFormatting>
  <conditionalFormatting sqref="R58">
    <cfRule type="cellIs" dxfId="11397" priority="140706" stopIfTrue="1" operator="lessThan">
      <formula>0.5</formula>
    </cfRule>
  </conditionalFormatting>
  <conditionalFormatting sqref="R58">
    <cfRule type="cellIs" dxfId="11396" priority="140707" stopIfTrue="1" operator="greaterThanOrEqual">
      <formula>0.5</formula>
    </cfRule>
  </conditionalFormatting>
  <conditionalFormatting sqref="T39">
    <cfRule type="cellIs" dxfId="11395" priority="140708" stopIfTrue="1" operator="equal">
      <formula>-1</formula>
    </cfRule>
  </conditionalFormatting>
  <conditionalFormatting sqref="T39">
    <cfRule type="cellIs" dxfId="11394" priority="140709" stopIfTrue="1" operator="lessThan">
      <formula>0.5</formula>
    </cfRule>
  </conditionalFormatting>
  <conditionalFormatting sqref="T39">
    <cfRule type="cellIs" dxfId="11393" priority="140710" stopIfTrue="1" operator="greaterThanOrEqual">
      <formula>0.5</formula>
    </cfRule>
  </conditionalFormatting>
  <conditionalFormatting sqref="T40">
    <cfRule type="cellIs" dxfId="11392" priority="140711" stopIfTrue="1" operator="equal">
      <formula>-1</formula>
    </cfRule>
  </conditionalFormatting>
  <conditionalFormatting sqref="T40">
    <cfRule type="cellIs" dxfId="11391" priority="140712" stopIfTrue="1" operator="lessThan">
      <formula>0.5</formula>
    </cfRule>
  </conditionalFormatting>
  <conditionalFormatting sqref="T40">
    <cfRule type="cellIs" dxfId="11390" priority="140713" stopIfTrue="1" operator="greaterThanOrEqual">
      <formula>0.5</formula>
    </cfRule>
  </conditionalFormatting>
  <conditionalFormatting sqref="T41">
    <cfRule type="cellIs" dxfId="11389" priority="140714" stopIfTrue="1" operator="equal">
      <formula>-1</formula>
    </cfRule>
  </conditionalFormatting>
  <conditionalFormatting sqref="T41">
    <cfRule type="cellIs" dxfId="11388" priority="140715" stopIfTrue="1" operator="lessThan">
      <formula>0.5</formula>
    </cfRule>
  </conditionalFormatting>
  <conditionalFormatting sqref="T41">
    <cfRule type="cellIs" dxfId="11387" priority="140716" stopIfTrue="1" operator="greaterThanOrEqual">
      <formula>0.5</formula>
    </cfRule>
  </conditionalFormatting>
  <conditionalFormatting sqref="T42">
    <cfRule type="cellIs" dxfId="11386" priority="140717" stopIfTrue="1" operator="equal">
      <formula>-1</formula>
    </cfRule>
  </conditionalFormatting>
  <conditionalFormatting sqref="T42">
    <cfRule type="cellIs" dxfId="11385" priority="140718" stopIfTrue="1" operator="lessThan">
      <formula>0.5</formula>
    </cfRule>
  </conditionalFormatting>
  <conditionalFormatting sqref="T42">
    <cfRule type="cellIs" dxfId="11384" priority="140719" stopIfTrue="1" operator="greaterThanOrEqual">
      <formula>0.5</formula>
    </cfRule>
  </conditionalFormatting>
  <conditionalFormatting sqref="T43">
    <cfRule type="cellIs" dxfId="11383" priority="140720" stopIfTrue="1" operator="equal">
      <formula>-1</formula>
    </cfRule>
  </conditionalFormatting>
  <conditionalFormatting sqref="T43">
    <cfRule type="cellIs" dxfId="11382" priority="140721" stopIfTrue="1" operator="lessThan">
      <formula>0.5</formula>
    </cfRule>
  </conditionalFormatting>
  <conditionalFormatting sqref="T43">
    <cfRule type="cellIs" dxfId="11381" priority="140722" stopIfTrue="1" operator="greaterThanOrEqual">
      <formula>0.5</formula>
    </cfRule>
  </conditionalFormatting>
  <conditionalFormatting sqref="T44">
    <cfRule type="cellIs" dxfId="11380" priority="140723" stopIfTrue="1" operator="equal">
      <formula>-1</formula>
    </cfRule>
  </conditionalFormatting>
  <conditionalFormatting sqref="T44">
    <cfRule type="cellIs" dxfId="11379" priority="140724" stopIfTrue="1" operator="lessThan">
      <formula>0.5</formula>
    </cfRule>
  </conditionalFormatting>
  <conditionalFormatting sqref="T44">
    <cfRule type="cellIs" dxfId="11378" priority="140725" stopIfTrue="1" operator="greaterThanOrEqual">
      <formula>0.5</formula>
    </cfRule>
  </conditionalFormatting>
  <conditionalFormatting sqref="T45">
    <cfRule type="cellIs" dxfId="11377" priority="140726" stopIfTrue="1" operator="equal">
      <formula>-1</formula>
    </cfRule>
  </conditionalFormatting>
  <conditionalFormatting sqref="T45">
    <cfRule type="cellIs" dxfId="11376" priority="140727" stopIfTrue="1" operator="lessThan">
      <formula>0.5</formula>
    </cfRule>
  </conditionalFormatting>
  <conditionalFormatting sqref="T45">
    <cfRule type="cellIs" dxfId="11375" priority="140728" stopIfTrue="1" operator="greaterThanOrEqual">
      <formula>0.5</formula>
    </cfRule>
  </conditionalFormatting>
  <conditionalFormatting sqref="T46">
    <cfRule type="cellIs" dxfId="11374" priority="140729" stopIfTrue="1" operator="equal">
      <formula>-1</formula>
    </cfRule>
  </conditionalFormatting>
  <conditionalFormatting sqref="T46">
    <cfRule type="cellIs" dxfId="11373" priority="140730" stopIfTrue="1" operator="lessThan">
      <formula>0.5</formula>
    </cfRule>
  </conditionalFormatting>
  <conditionalFormatting sqref="T46">
    <cfRule type="cellIs" dxfId="11372" priority="140731" stopIfTrue="1" operator="greaterThanOrEqual">
      <formula>0.5</formula>
    </cfRule>
  </conditionalFormatting>
  <conditionalFormatting sqref="T47">
    <cfRule type="cellIs" dxfId="11371" priority="140732" stopIfTrue="1" operator="equal">
      <formula>-1</formula>
    </cfRule>
  </conditionalFormatting>
  <conditionalFormatting sqref="T47">
    <cfRule type="cellIs" dxfId="11370" priority="140733" stopIfTrue="1" operator="lessThan">
      <formula>0.5</formula>
    </cfRule>
  </conditionalFormatting>
  <conditionalFormatting sqref="T47">
    <cfRule type="cellIs" dxfId="11369" priority="140734" stopIfTrue="1" operator="greaterThanOrEqual">
      <formula>0.5</formula>
    </cfRule>
  </conditionalFormatting>
  <conditionalFormatting sqref="T48">
    <cfRule type="cellIs" dxfId="11368" priority="140735" stopIfTrue="1" operator="equal">
      <formula>-1</formula>
    </cfRule>
  </conditionalFormatting>
  <conditionalFormatting sqref="T48">
    <cfRule type="cellIs" dxfId="11367" priority="140736" stopIfTrue="1" operator="lessThan">
      <formula>0.5</formula>
    </cfRule>
  </conditionalFormatting>
  <conditionalFormatting sqref="T48">
    <cfRule type="cellIs" dxfId="11366" priority="140737" stopIfTrue="1" operator="greaterThanOrEqual">
      <formula>0.5</formula>
    </cfRule>
  </conditionalFormatting>
  <conditionalFormatting sqref="T49">
    <cfRule type="cellIs" dxfId="11365" priority="140738" stopIfTrue="1" operator="equal">
      <formula>-1</formula>
    </cfRule>
  </conditionalFormatting>
  <conditionalFormatting sqref="T49">
    <cfRule type="cellIs" dxfId="11364" priority="140739" stopIfTrue="1" operator="lessThan">
      <formula>0.5</formula>
    </cfRule>
  </conditionalFormatting>
  <conditionalFormatting sqref="T49">
    <cfRule type="cellIs" dxfId="11363" priority="140740" stopIfTrue="1" operator="greaterThanOrEqual">
      <formula>0.5</formula>
    </cfRule>
  </conditionalFormatting>
  <conditionalFormatting sqref="T50">
    <cfRule type="cellIs" dxfId="11362" priority="140741" stopIfTrue="1" operator="equal">
      <formula>-1</formula>
    </cfRule>
  </conditionalFormatting>
  <conditionalFormatting sqref="T50">
    <cfRule type="cellIs" dxfId="11361" priority="140742" stopIfTrue="1" operator="lessThan">
      <formula>0.5</formula>
    </cfRule>
  </conditionalFormatting>
  <conditionalFormatting sqref="T50">
    <cfRule type="cellIs" dxfId="11360" priority="140743" stopIfTrue="1" operator="greaterThanOrEqual">
      <formula>0.5</formula>
    </cfRule>
  </conditionalFormatting>
  <conditionalFormatting sqref="T51">
    <cfRule type="cellIs" dxfId="11359" priority="140744" stopIfTrue="1" operator="equal">
      <formula>-1</formula>
    </cfRule>
  </conditionalFormatting>
  <conditionalFormatting sqref="T51">
    <cfRule type="cellIs" dxfId="11358" priority="140745" stopIfTrue="1" operator="lessThan">
      <formula>0.5</formula>
    </cfRule>
  </conditionalFormatting>
  <conditionalFormatting sqref="T51">
    <cfRule type="cellIs" dxfId="11357" priority="140746" stopIfTrue="1" operator="greaterThanOrEqual">
      <formula>0.5</formula>
    </cfRule>
  </conditionalFormatting>
  <conditionalFormatting sqref="T52">
    <cfRule type="cellIs" dxfId="11356" priority="140747" stopIfTrue="1" operator="equal">
      <formula>-1</formula>
    </cfRule>
  </conditionalFormatting>
  <conditionalFormatting sqref="T52">
    <cfRule type="cellIs" dxfId="11355" priority="140748" stopIfTrue="1" operator="lessThan">
      <formula>0.5</formula>
    </cfRule>
  </conditionalFormatting>
  <conditionalFormatting sqref="T52">
    <cfRule type="cellIs" dxfId="11354" priority="140749" stopIfTrue="1" operator="greaterThanOrEqual">
      <formula>0.5</formula>
    </cfRule>
  </conditionalFormatting>
  <conditionalFormatting sqref="T53">
    <cfRule type="cellIs" dxfId="11353" priority="140750" stopIfTrue="1" operator="equal">
      <formula>-1</formula>
    </cfRule>
  </conditionalFormatting>
  <conditionalFormatting sqref="T53">
    <cfRule type="cellIs" dxfId="11352" priority="140751" stopIfTrue="1" operator="lessThan">
      <formula>0.5</formula>
    </cfRule>
  </conditionalFormatting>
  <conditionalFormatting sqref="T53">
    <cfRule type="cellIs" dxfId="11351" priority="140752" stopIfTrue="1" operator="greaterThanOrEqual">
      <formula>0.5</formula>
    </cfRule>
  </conditionalFormatting>
  <conditionalFormatting sqref="T54">
    <cfRule type="cellIs" dxfId="11350" priority="140753" stopIfTrue="1" operator="equal">
      <formula>-1</formula>
    </cfRule>
  </conditionalFormatting>
  <conditionalFormatting sqref="T54">
    <cfRule type="cellIs" dxfId="11349" priority="140754" stopIfTrue="1" operator="lessThan">
      <formula>0.5</formula>
    </cfRule>
  </conditionalFormatting>
  <conditionalFormatting sqref="T54">
    <cfRule type="cellIs" dxfId="11348" priority="140755" stopIfTrue="1" operator="greaterThanOrEqual">
      <formula>0.5</formula>
    </cfRule>
  </conditionalFormatting>
  <conditionalFormatting sqref="T55">
    <cfRule type="cellIs" dxfId="11347" priority="140756" stopIfTrue="1" operator="equal">
      <formula>-1</formula>
    </cfRule>
  </conditionalFormatting>
  <conditionalFormatting sqref="T55">
    <cfRule type="cellIs" dxfId="11346" priority="140757" stopIfTrue="1" operator="lessThan">
      <formula>0.5</formula>
    </cfRule>
  </conditionalFormatting>
  <conditionalFormatting sqref="T55">
    <cfRule type="cellIs" dxfId="11345" priority="140758" stopIfTrue="1" operator="greaterThanOrEqual">
      <formula>0.5</formula>
    </cfRule>
  </conditionalFormatting>
  <conditionalFormatting sqref="T56">
    <cfRule type="cellIs" dxfId="11344" priority="140759" stopIfTrue="1" operator="equal">
      <formula>-1</formula>
    </cfRule>
  </conditionalFormatting>
  <conditionalFormatting sqref="T56">
    <cfRule type="cellIs" dxfId="11343" priority="140760" stopIfTrue="1" operator="lessThan">
      <formula>0.5</formula>
    </cfRule>
  </conditionalFormatting>
  <conditionalFormatting sqref="T56">
    <cfRule type="cellIs" dxfId="11342" priority="140761" stopIfTrue="1" operator="greaterThanOrEqual">
      <formula>0.5</formula>
    </cfRule>
  </conditionalFormatting>
  <conditionalFormatting sqref="T57">
    <cfRule type="cellIs" dxfId="11341" priority="140762" stopIfTrue="1" operator="equal">
      <formula>-1</formula>
    </cfRule>
  </conditionalFormatting>
  <conditionalFormatting sqref="T57">
    <cfRule type="cellIs" dxfId="11340" priority="140763" stopIfTrue="1" operator="lessThan">
      <formula>0.5</formula>
    </cfRule>
  </conditionalFormatting>
  <conditionalFormatting sqref="T57">
    <cfRule type="cellIs" dxfId="11339" priority="140764" stopIfTrue="1" operator="greaterThanOrEqual">
      <formula>0.5</formula>
    </cfRule>
  </conditionalFormatting>
  <conditionalFormatting sqref="T58">
    <cfRule type="cellIs" dxfId="11338" priority="140765" stopIfTrue="1" operator="equal">
      <formula>-1</formula>
    </cfRule>
  </conditionalFormatting>
  <conditionalFormatting sqref="T58">
    <cfRule type="cellIs" dxfId="11337" priority="140766" stopIfTrue="1" operator="lessThan">
      <formula>0.5</formula>
    </cfRule>
  </conditionalFormatting>
  <conditionalFormatting sqref="T58">
    <cfRule type="cellIs" dxfId="11336" priority="140767" stopIfTrue="1" operator="greaterThanOrEqual">
      <formula>0.5</formula>
    </cfRule>
  </conditionalFormatting>
  <conditionalFormatting sqref="V39">
    <cfRule type="cellIs" dxfId="11335" priority="140768" stopIfTrue="1" operator="equal">
      <formula>-1</formula>
    </cfRule>
  </conditionalFormatting>
  <conditionalFormatting sqref="V39">
    <cfRule type="cellIs" dxfId="11334" priority="140769" stopIfTrue="1" operator="lessThan">
      <formula>0.5</formula>
    </cfRule>
  </conditionalFormatting>
  <conditionalFormatting sqref="V39">
    <cfRule type="cellIs" dxfId="11333" priority="140770" stopIfTrue="1" operator="greaterThanOrEqual">
      <formula>0.5</formula>
    </cfRule>
  </conditionalFormatting>
  <conditionalFormatting sqref="V40">
    <cfRule type="cellIs" dxfId="11332" priority="140771" stopIfTrue="1" operator="equal">
      <formula>-1</formula>
    </cfRule>
  </conditionalFormatting>
  <conditionalFormatting sqref="V40">
    <cfRule type="cellIs" dxfId="11331" priority="140772" stopIfTrue="1" operator="lessThan">
      <formula>0.5</formula>
    </cfRule>
  </conditionalFormatting>
  <conditionalFormatting sqref="V40">
    <cfRule type="cellIs" dxfId="11330" priority="140773" stopIfTrue="1" operator="greaterThanOrEqual">
      <formula>0.5</formula>
    </cfRule>
  </conditionalFormatting>
  <conditionalFormatting sqref="V41">
    <cfRule type="cellIs" dxfId="11329" priority="140774" stopIfTrue="1" operator="equal">
      <formula>-1</formula>
    </cfRule>
  </conditionalFormatting>
  <conditionalFormatting sqref="V41">
    <cfRule type="cellIs" dxfId="11328" priority="140775" stopIfTrue="1" operator="lessThan">
      <formula>0.5</formula>
    </cfRule>
  </conditionalFormatting>
  <conditionalFormatting sqref="V41">
    <cfRule type="cellIs" dxfId="11327" priority="140776" stopIfTrue="1" operator="greaterThanOrEqual">
      <formula>0.5</formula>
    </cfRule>
  </conditionalFormatting>
  <conditionalFormatting sqref="V42">
    <cfRule type="cellIs" dxfId="11326" priority="140777" stopIfTrue="1" operator="equal">
      <formula>-1</formula>
    </cfRule>
  </conditionalFormatting>
  <conditionalFormatting sqref="V42">
    <cfRule type="cellIs" dxfId="11325" priority="140778" stopIfTrue="1" operator="lessThan">
      <formula>0.5</formula>
    </cfRule>
  </conditionalFormatting>
  <conditionalFormatting sqref="V42">
    <cfRule type="cellIs" dxfId="11324" priority="140779" stopIfTrue="1" operator="greaterThanOrEqual">
      <formula>0.5</formula>
    </cfRule>
  </conditionalFormatting>
  <conditionalFormatting sqref="V43">
    <cfRule type="cellIs" dxfId="11323" priority="140780" stopIfTrue="1" operator="equal">
      <formula>-1</formula>
    </cfRule>
  </conditionalFormatting>
  <conditionalFormatting sqref="V43">
    <cfRule type="cellIs" dxfId="11322" priority="140781" stopIfTrue="1" operator="lessThan">
      <formula>0.5</formula>
    </cfRule>
  </conditionalFormatting>
  <conditionalFormatting sqref="V43">
    <cfRule type="cellIs" dxfId="11321" priority="140782" stopIfTrue="1" operator="greaterThanOrEqual">
      <formula>0.5</formula>
    </cfRule>
  </conditionalFormatting>
  <conditionalFormatting sqref="V44">
    <cfRule type="cellIs" dxfId="11320" priority="140783" stopIfTrue="1" operator="equal">
      <formula>-1</formula>
    </cfRule>
  </conditionalFormatting>
  <conditionalFormatting sqref="V44">
    <cfRule type="cellIs" dxfId="11319" priority="140784" stopIfTrue="1" operator="lessThan">
      <formula>0.5</formula>
    </cfRule>
  </conditionalFormatting>
  <conditionalFormatting sqref="V44">
    <cfRule type="cellIs" dxfId="11318" priority="140785" stopIfTrue="1" operator="greaterThanOrEqual">
      <formula>0.5</formula>
    </cfRule>
  </conditionalFormatting>
  <conditionalFormatting sqref="V45">
    <cfRule type="cellIs" dxfId="11317" priority="140786" stopIfTrue="1" operator="equal">
      <formula>-1</formula>
    </cfRule>
  </conditionalFormatting>
  <conditionalFormatting sqref="V45">
    <cfRule type="cellIs" dxfId="11316" priority="140787" stopIfTrue="1" operator="lessThan">
      <formula>0.5</formula>
    </cfRule>
  </conditionalFormatting>
  <conditionalFormatting sqref="V45">
    <cfRule type="cellIs" dxfId="11315" priority="140788" stopIfTrue="1" operator="greaterThanOrEqual">
      <formula>0.5</formula>
    </cfRule>
  </conditionalFormatting>
  <conditionalFormatting sqref="V46">
    <cfRule type="cellIs" dxfId="11314" priority="140789" stopIfTrue="1" operator="equal">
      <formula>-1</formula>
    </cfRule>
  </conditionalFormatting>
  <conditionalFormatting sqref="V46">
    <cfRule type="cellIs" dxfId="11313" priority="140790" stopIfTrue="1" operator="lessThan">
      <formula>0.5</formula>
    </cfRule>
  </conditionalFormatting>
  <conditionalFormatting sqref="V46">
    <cfRule type="cellIs" dxfId="11312" priority="140791" stopIfTrue="1" operator="greaterThanOrEqual">
      <formula>0.5</formula>
    </cfRule>
  </conditionalFormatting>
  <conditionalFormatting sqref="V47">
    <cfRule type="cellIs" dxfId="11311" priority="140792" stopIfTrue="1" operator="equal">
      <formula>-1</formula>
    </cfRule>
  </conditionalFormatting>
  <conditionalFormatting sqref="V47">
    <cfRule type="cellIs" dxfId="11310" priority="140793" stopIfTrue="1" operator="lessThan">
      <formula>0.5</formula>
    </cfRule>
  </conditionalFormatting>
  <conditionalFormatting sqref="V47">
    <cfRule type="cellIs" dxfId="11309" priority="140794" stopIfTrue="1" operator="greaterThanOrEqual">
      <formula>0.5</formula>
    </cfRule>
  </conditionalFormatting>
  <conditionalFormatting sqref="V48">
    <cfRule type="cellIs" dxfId="11308" priority="140795" stopIfTrue="1" operator="equal">
      <formula>-1</formula>
    </cfRule>
  </conditionalFormatting>
  <conditionalFormatting sqref="V48">
    <cfRule type="cellIs" dxfId="11307" priority="140796" stopIfTrue="1" operator="lessThan">
      <formula>0.5</formula>
    </cfRule>
  </conditionalFormatting>
  <conditionalFormatting sqref="V48">
    <cfRule type="cellIs" dxfId="11306" priority="140797" stopIfTrue="1" operator="greaterThanOrEqual">
      <formula>0.5</formula>
    </cfRule>
  </conditionalFormatting>
  <conditionalFormatting sqref="V49">
    <cfRule type="cellIs" dxfId="11305" priority="140798" stopIfTrue="1" operator="equal">
      <formula>-1</formula>
    </cfRule>
  </conditionalFormatting>
  <conditionalFormatting sqref="V49">
    <cfRule type="cellIs" dxfId="11304" priority="140799" stopIfTrue="1" operator="lessThan">
      <formula>0.5</formula>
    </cfRule>
  </conditionalFormatting>
  <conditionalFormatting sqref="V49">
    <cfRule type="cellIs" dxfId="11303" priority="140800" stopIfTrue="1" operator="greaterThanOrEqual">
      <formula>0.5</formula>
    </cfRule>
  </conditionalFormatting>
  <conditionalFormatting sqref="V50">
    <cfRule type="cellIs" dxfId="11302" priority="140801" stopIfTrue="1" operator="equal">
      <formula>-1</formula>
    </cfRule>
  </conditionalFormatting>
  <conditionalFormatting sqref="V50">
    <cfRule type="cellIs" dxfId="11301" priority="140802" stopIfTrue="1" operator="lessThan">
      <formula>0.5</formula>
    </cfRule>
  </conditionalFormatting>
  <conditionalFormatting sqref="V50">
    <cfRule type="cellIs" dxfId="11300" priority="140803" stopIfTrue="1" operator="greaterThanOrEqual">
      <formula>0.5</formula>
    </cfRule>
  </conditionalFormatting>
  <conditionalFormatting sqref="V51">
    <cfRule type="cellIs" dxfId="11299" priority="140804" stopIfTrue="1" operator="equal">
      <formula>-1</formula>
    </cfRule>
  </conditionalFormatting>
  <conditionalFormatting sqref="V51">
    <cfRule type="cellIs" dxfId="11298" priority="140805" stopIfTrue="1" operator="lessThan">
      <formula>0.5</formula>
    </cfRule>
  </conditionalFormatting>
  <conditionalFormatting sqref="V51">
    <cfRule type="cellIs" dxfId="11297" priority="140806" stopIfTrue="1" operator="greaterThanOrEqual">
      <formula>0.5</formula>
    </cfRule>
  </conditionalFormatting>
  <conditionalFormatting sqref="V52">
    <cfRule type="cellIs" dxfId="11296" priority="140807" stopIfTrue="1" operator="equal">
      <formula>-1</formula>
    </cfRule>
  </conditionalFormatting>
  <conditionalFormatting sqref="V52">
    <cfRule type="cellIs" dxfId="11295" priority="140808" stopIfTrue="1" operator="lessThan">
      <formula>0.5</formula>
    </cfRule>
  </conditionalFormatting>
  <conditionalFormatting sqref="V52">
    <cfRule type="cellIs" dxfId="11294" priority="140809" stopIfTrue="1" operator="greaterThanOrEqual">
      <formula>0.5</formula>
    </cfRule>
  </conditionalFormatting>
  <conditionalFormatting sqref="V53">
    <cfRule type="cellIs" dxfId="11293" priority="140810" stopIfTrue="1" operator="equal">
      <formula>-1</formula>
    </cfRule>
  </conditionalFormatting>
  <conditionalFormatting sqref="V53">
    <cfRule type="cellIs" dxfId="11292" priority="140811" stopIfTrue="1" operator="lessThan">
      <formula>0.5</formula>
    </cfRule>
  </conditionalFormatting>
  <conditionalFormatting sqref="V53">
    <cfRule type="cellIs" dxfId="11291" priority="140812" stopIfTrue="1" operator="greaterThanOrEqual">
      <formula>0.5</formula>
    </cfRule>
  </conditionalFormatting>
  <conditionalFormatting sqref="V54">
    <cfRule type="cellIs" dxfId="11290" priority="140813" stopIfTrue="1" operator="equal">
      <formula>-1</formula>
    </cfRule>
  </conditionalFormatting>
  <conditionalFormatting sqref="V54">
    <cfRule type="cellIs" dxfId="11289" priority="140814" stopIfTrue="1" operator="lessThan">
      <formula>0.5</formula>
    </cfRule>
  </conditionalFormatting>
  <conditionalFormatting sqref="V54">
    <cfRule type="cellIs" dxfId="11288" priority="140815" stopIfTrue="1" operator="greaterThanOrEqual">
      <formula>0.5</formula>
    </cfRule>
  </conditionalFormatting>
  <conditionalFormatting sqref="V55">
    <cfRule type="cellIs" dxfId="11287" priority="140816" stopIfTrue="1" operator="equal">
      <formula>-1</formula>
    </cfRule>
  </conditionalFormatting>
  <conditionalFormatting sqref="V55">
    <cfRule type="cellIs" dxfId="11286" priority="140817" stopIfTrue="1" operator="lessThan">
      <formula>0.5</formula>
    </cfRule>
  </conditionalFormatting>
  <conditionalFormatting sqref="V55">
    <cfRule type="cellIs" dxfId="11285" priority="140818" stopIfTrue="1" operator="greaterThanOrEqual">
      <formula>0.5</formula>
    </cfRule>
  </conditionalFormatting>
  <conditionalFormatting sqref="V56">
    <cfRule type="cellIs" dxfId="11284" priority="140819" stopIfTrue="1" operator="equal">
      <formula>-1</formula>
    </cfRule>
  </conditionalFormatting>
  <conditionalFormatting sqref="V56">
    <cfRule type="cellIs" dxfId="11283" priority="140820" stopIfTrue="1" operator="lessThan">
      <formula>0.5</formula>
    </cfRule>
  </conditionalFormatting>
  <conditionalFormatting sqref="V56">
    <cfRule type="cellIs" dxfId="11282" priority="140821" stopIfTrue="1" operator="greaterThanOrEqual">
      <formula>0.5</formula>
    </cfRule>
  </conditionalFormatting>
  <conditionalFormatting sqref="V57">
    <cfRule type="cellIs" dxfId="11281" priority="140822" stopIfTrue="1" operator="equal">
      <formula>-1</formula>
    </cfRule>
  </conditionalFormatting>
  <conditionalFormatting sqref="V57">
    <cfRule type="cellIs" dxfId="11280" priority="140823" stopIfTrue="1" operator="lessThan">
      <formula>0.5</formula>
    </cfRule>
  </conditionalFormatting>
  <conditionalFormatting sqref="V57">
    <cfRule type="cellIs" dxfId="11279" priority="140824" stopIfTrue="1" operator="greaterThanOrEqual">
      <formula>0.5</formula>
    </cfRule>
  </conditionalFormatting>
  <conditionalFormatting sqref="V58">
    <cfRule type="cellIs" dxfId="11278" priority="140825" stopIfTrue="1" operator="equal">
      <formula>-1</formula>
    </cfRule>
  </conditionalFormatting>
  <conditionalFormatting sqref="V58">
    <cfRule type="cellIs" dxfId="11277" priority="140826" stopIfTrue="1" operator="lessThan">
      <formula>0.5</formula>
    </cfRule>
  </conditionalFormatting>
  <conditionalFormatting sqref="V58">
    <cfRule type="cellIs" dxfId="11276" priority="140827" stopIfTrue="1" operator="greaterThanOrEqual">
      <formula>0.5</formula>
    </cfRule>
  </conditionalFormatting>
  <conditionalFormatting sqref="X39">
    <cfRule type="cellIs" dxfId="11275" priority="140828" stopIfTrue="1" operator="equal">
      <formula>-1</formula>
    </cfRule>
  </conditionalFormatting>
  <conditionalFormatting sqref="X39">
    <cfRule type="cellIs" dxfId="11274" priority="140829" stopIfTrue="1" operator="lessThan">
      <formula>0.5</formula>
    </cfRule>
  </conditionalFormatting>
  <conditionalFormatting sqref="X39">
    <cfRule type="cellIs" dxfId="11273" priority="140830" stopIfTrue="1" operator="greaterThanOrEqual">
      <formula>0.5</formula>
    </cfRule>
  </conditionalFormatting>
  <conditionalFormatting sqref="X40">
    <cfRule type="cellIs" dxfId="11272" priority="140831" stopIfTrue="1" operator="equal">
      <formula>-1</formula>
    </cfRule>
  </conditionalFormatting>
  <conditionalFormatting sqref="X40">
    <cfRule type="cellIs" dxfId="11271" priority="140832" stopIfTrue="1" operator="lessThan">
      <formula>0.5</formula>
    </cfRule>
  </conditionalFormatting>
  <conditionalFormatting sqref="X40">
    <cfRule type="cellIs" dxfId="11270" priority="140833" stopIfTrue="1" operator="greaterThanOrEqual">
      <formula>0.5</formula>
    </cfRule>
  </conditionalFormatting>
  <conditionalFormatting sqref="X41">
    <cfRule type="cellIs" dxfId="11269" priority="140834" stopIfTrue="1" operator="equal">
      <formula>-1</formula>
    </cfRule>
  </conditionalFormatting>
  <conditionalFormatting sqref="X41">
    <cfRule type="cellIs" dxfId="11268" priority="140835" stopIfTrue="1" operator="lessThan">
      <formula>0.5</formula>
    </cfRule>
  </conditionalFormatting>
  <conditionalFormatting sqref="X41">
    <cfRule type="cellIs" dxfId="11267" priority="140836" stopIfTrue="1" operator="greaterThanOrEqual">
      <formula>0.5</formula>
    </cfRule>
  </conditionalFormatting>
  <conditionalFormatting sqref="X42">
    <cfRule type="cellIs" dxfId="11266" priority="140837" stopIfTrue="1" operator="equal">
      <formula>-1</formula>
    </cfRule>
  </conditionalFormatting>
  <conditionalFormatting sqref="X42">
    <cfRule type="cellIs" dxfId="11265" priority="140838" stopIfTrue="1" operator="lessThan">
      <formula>0.5</formula>
    </cfRule>
  </conditionalFormatting>
  <conditionalFormatting sqref="X42">
    <cfRule type="cellIs" dxfId="11264" priority="140839" stopIfTrue="1" operator="greaterThanOrEqual">
      <formula>0.5</formula>
    </cfRule>
  </conditionalFormatting>
  <conditionalFormatting sqref="X43">
    <cfRule type="cellIs" dxfId="11263" priority="140840" stopIfTrue="1" operator="equal">
      <formula>-1</formula>
    </cfRule>
  </conditionalFormatting>
  <conditionalFormatting sqref="X43">
    <cfRule type="cellIs" dxfId="11262" priority="140841" stopIfTrue="1" operator="lessThan">
      <formula>0.5</formula>
    </cfRule>
  </conditionalFormatting>
  <conditionalFormatting sqref="X43">
    <cfRule type="cellIs" dxfId="11261" priority="140842" stopIfTrue="1" operator="greaterThanOrEqual">
      <formula>0.5</formula>
    </cfRule>
  </conditionalFormatting>
  <conditionalFormatting sqref="X44">
    <cfRule type="cellIs" dxfId="11260" priority="140843" stopIfTrue="1" operator="equal">
      <formula>-1</formula>
    </cfRule>
  </conditionalFormatting>
  <conditionalFormatting sqref="X44">
    <cfRule type="cellIs" dxfId="11259" priority="140844" stopIfTrue="1" operator="lessThan">
      <formula>0.5</formula>
    </cfRule>
  </conditionalFormatting>
  <conditionalFormatting sqref="X44">
    <cfRule type="cellIs" dxfId="11258" priority="140845" stopIfTrue="1" operator="greaterThanOrEqual">
      <formula>0.5</formula>
    </cfRule>
  </conditionalFormatting>
  <conditionalFormatting sqref="X45">
    <cfRule type="cellIs" dxfId="11257" priority="140846" stopIfTrue="1" operator="equal">
      <formula>-1</formula>
    </cfRule>
  </conditionalFormatting>
  <conditionalFormatting sqref="X45">
    <cfRule type="cellIs" dxfId="11256" priority="140847" stopIfTrue="1" operator="lessThan">
      <formula>0.5</formula>
    </cfRule>
  </conditionalFormatting>
  <conditionalFormatting sqref="X45">
    <cfRule type="cellIs" dxfId="11255" priority="140848" stopIfTrue="1" operator="greaterThanOrEqual">
      <formula>0.5</formula>
    </cfRule>
  </conditionalFormatting>
  <conditionalFormatting sqref="X46">
    <cfRule type="cellIs" dxfId="11254" priority="140849" stopIfTrue="1" operator="equal">
      <formula>-1</formula>
    </cfRule>
  </conditionalFormatting>
  <conditionalFormatting sqref="X46">
    <cfRule type="cellIs" dxfId="11253" priority="140850" stopIfTrue="1" operator="lessThan">
      <formula>0.5</formula>
    </cfRule>
  </conditionalFormatting>
  <conditionalFormatting sqref="X46">
    <cfRule type="cellIs" dxfId="11252" priority="140851" stopIfTrue="1" operator="greaterThanOrEqual">
      <formula>0.5</formula>
    </cfRule>
  </conditionalFormatting>
  <conditionalFormatting sqref="X47">
    <cfRule type="cellIs" dxfId="11251" priority="140852" stopIfTrue="1" operator="equal">
      <formula>-1</formula>
    </cfRule>
  </conditionalFormatting>
  <conditionalFormatting sqref="X47">
    <cfRule type="cellIs" dxfId="11250" priority="140853" stopIfTrue="1" operator="lessThan">
      <formula>0.5</formula>
    </cfRule>
  </conditionalFormatting>
  <conditionalFormatting sqref="X47">
    <cfRule type="cellIs" dxfId="11249" priority="140854" stopIfTrue="1" operator="greaterThanOrEqual">
      <formula>0.5</formula>
    </cfRule>
  </conditionalFormatting>
  <conditionalFormatting sqref="X48">
    <cfRule type="cellIs" dxfId="11248" priority="140855" stopIfTrue="1" operator="equal">
      <formula>-1</formula>
    </cfRule>
  </conditionalFormatting>
  <conditionalFormatting sqref="X48">
    <cfRule type="cellIs" dxfId="11247" priority="140856" stopIfTrue="1" operator="lessThan">
      <formula>0.5</formula>
    </cfRule>
  </conditionalFormatting>
  <conditionalFormatting sqref="X48">
    <cfRule type="cellIs" dxfId="11246" priority="140857" stopIfTrue="1" operator="greaterThanOrEqual">
      <formula>0.5</formula>
    </cfRule>
  </conditionalFormatting>
  <conditionalFormatting sqref="X49">
    <cfRule type="cellIs" dxfId="11245" priority="140858" stopIfTrue="1" operator="equal">
      <formula>-1</formula>
    </cfRule>
  </conditionalFormatting>
  <conditionalFormatting sqref="X49">
    <cfRule type="cellIs" dxfId="11244" priority="140859" stopIfTrue="1" operator="lessThan">
      <formula>0.5</formula>
    </cfRule>
  </conditionalFormatting>
  <conditionalFormatting sqref="X49">
    <cfRule type="cellIs" dxfId="11243" priority="140860" stopIfTrue="1" operator="greaterThanOrEqual">
      <formula>0.5</formula>
    </cfRule>
  </conditionalFormatting>
  <conditionalFormatting sqref="X50">
    <cfRule type="cellIs" dxfId="11242" priority="140861" stopIfTrue="1" operator="equal">
      <formula>-1</formula>
    </cfRule>
  </conditionalFormatting>
  <conditionalFormatting sqref="X50">
    <cfRule type="cellIs" dxfId="11241" priority="140862" stopIfTrue="1" operator="lessThan">
      <formula>0.5</formula>
    </cfRule>
  </conditionalFormatting>
  <conditionalFormatting sqref="X50">
    <cfRule type="cellIs" dxfId="11240" priority="140863" stopIfTrue="1" operator="greaterThanOrEqual">
      <formula>0.5</formula>
    </cfRule>
  </conditionalFormatting>
  <conditionalFormatting sqref="X51">
    <cfRule type="cellIs" dxfId="11239" priority="140864" stopIfTrue="1" operator="equal">
      <formula>-1</formula>
    </cfRule>
  </conditionalFormatting>
  <conditionalFormatting sqref="X51">
    <cfRule type="cellIs" dxfId="11238" priority="140865" stopIfTrue="1" operator="lessThan">
      <formula>0.5</formula>
    </cfRule>
  </conditionalFormatting>
  <conditionalFormatting sqref="X51">
    <cfRule type="cellIs" dxfId="11237" priority="140866" stopIfTrue="1" operator="greaterThanOrEqual">
      <formula>0.5</formula>
    </cfRule>
  </conditionalFormatting>
  <conditionalFormatting sqref="X52">
    <cfRule type="cellIs" dxfId="11236" priority="140867" stopIfTrue="1" operator="equal">
      <formula>-1</formula>
    </cfRule>
  </conditionalFormatting>
  <conditionalFormatting sqref="X52">
    <cfRule type="cellIs" dxfId="11235" priority="140868" stopIfTrue="1" operator="lessThan">
      <formula>0.5</formula>
    </cfRule>
  </conditionalFormatting>
  <conditionalFormatting sqref="X52">
    <cfRule type="cellIs" dxfId="11234" priority="140869" stopIfTrue="1" operator="greaterThanOrEqual">
      <formula>0.5</formula>
    </cfRule>
  </conditionalFormatting>
  <conditionalFormatting sqref="X53">
    <cfRule type="cellIs" dxfId="11233" priority="140870" stopIfTrue="1" operator="equal">
      <formula>-1</formula>
    </cfRule>
  </conditionalFormatting>
  <conditionalFormatting sqref="X53">
    <cfRule type="cellIs" dxfId="11232" priority="140871" stopIfTrue="1" operator="lessThan">
      <formula>0.5</formula>
    </cfRule>
  </conditionalFormatting>
  <conditionalFormatting sqref="X53">
    <cfRule type="cellIs" dxfId="11231" priority="140872" stopIfTrue="1" operator="greaterThanOrEqual">
      <formula>0.5</formula>
    </cfRule>
  </conditionalFormatting>
  <conditionalFormatting sqref="X54">
    <cfRule type="cellIs" dxfId="11230" priority="140873" stopIfTrue="1" operator="equal">
      <formula>-1</formula>
    </cfRule>
  </conditionalFormatting>
  <conditionalFormatting sqref="X54">
    <cfRule type="cellIs" dxfId="11229" priority="140874" stopIfTrue="1" operator="lessThan">
      <formula>0.5</formula>
    </cfRule>
  </conditionalFormatting>
  <conditionalFormatting sqref="X54">
    <cfRule type="cellIs" dxfId="11228" priority="140875" stopIfTrue="1" operator="greaterThanOrEqual">
      <formula>0.5</formula>
    </cfRule>
  </conditionalFormatting>
  <conditionalFormatting sqref="X55">
    <cfRule type="cellIs" dxfId="11227" priority="140876" stopIfTrue="1" operator="equal">
      <formula>-1</formula>
    </cfRule>
  </conditionalFormatting>
  <conditionalFormatting sqref="X55">
    <cfRule type="cellIs" dxfId="11226" priority="140877" stopIfTrue="1" operator="lessThan">
      <formula>0.5</formula>
    </cfRule>
  </conditionalFormatting>
  <conditionalFormatting sqref="X55">
    <cfRule type="cellIs" dxfId="11225" priority="140878" stopIfTrue="1" operator="greaterThanOrEqual">
      <formula>0.5</formula>
    </cfRule>
  </conditionalFormatting>
  <conditionalFormatting sqref="X56">
    <cfRule type="cellIs" dxfId="11224" priority="140879" stopIfTrue="1" operator="equal">
      <formula>-1</formula>
    </cfRule>
  </conditionalFormatting>
  <conditionalFormatting sqref="X56">
    <cfRule type="cellIs" dxfId="11223" priority="140880" stopIfTrue="1" operator="lessThan">
      <formula>0.5</formula>
    </cfRule>
  </conditionalFormatting>
  <conditionalFormatting sqref="X56">
    <cfRule type="cellIs" dxfId="11222" priority="140881" stopIfTrue="1" operator="greaterThanOrEqual">
      <formula>0.5</formula>
    </cfRule>
  </conditionalFormatting>
  <conditionalFormatting sqref="X57">
    <cfRule type="cellIs" dxfId="11221" priority="140882" stopIfTrue="1" operator="equal">
      <formula>-1</formula>
    </cfRule>
  </conditionalFormatting>
  <conditionalFormatting sqref="X57">
    <cfRule type="cellIs" dxfId="11220" priority="140883" stopIfTrue="1" operator="lessThan">
      <formula>0.5</formula>
    </cfRule>
  </conditionalFormatting>
  <conditionalFormatting sqref="X57">
    <cfRule type="cellIs" dxfId="11219" priority="140884" stopIfTrue="1" operator="greaterThanOrEqual">
      <formula>0.5</formula>
    </cfRule>
  </conditionalFormatting>
  <conditionalFormatting sqref="X58">
    <cfRule type="cellIs" dxfId="11218" priority="140885" stopIfTrue="1" operator="equal">
      <formula>-1</formula>
    </cfRule>
  </conditionalFormatting>
  <conditionalFormatting sqref="X58">
    <cfRule type="cellIs" dxfId="11217" priority="140886" stopIfTrue="1" operator="lessThan">
      <formula>0.5</formula>
    </cfRule>
  </conditionalFormatting>
  <conditionalFormatting sqref="X58">
    <cfRule type="cellIs" dxfId="11216" priority="140887" stopIfTrue="1" operator="greaterThanOrEqual">
      <formula>0.5</formula>
    </cfRule>
  </conditionalFormatting>
  <conditionalFormatting sqref="Z39">
    <cfRule type="cellIs" dxfId="11215" priority="140888" stopIfTrue="1" operator="equal">
      <formula>-1</formula>
    </cfRule>
  </conditionalFormatting>
  <conditionalFormatting sqref="Z39">
    <cfRule type="cellIs" dxfId="11214" priority="140889" stopIfTrue="1" operator="lessThan">
      <formula>0.5</formula>
    </cfRule>
  </conditionalFormatting>
  <conditionalFormatting sqref="Z39">
    <cfRule type="cellIs" dxfId="11213" priority="140890" stopIfTrue="1" operator="greaterThanOrEqual">
      <formula>0.5</formula>
    </cfRule>
  </conditionalFormatting>
  <conditionalFormatting sqref="Z40">
    <cfRule type="cellIs" dxfId="11212" priority="140891" stopIfTrue="1" operator="equal">
      <formula>-1</formula>
    </cfRule>
  </conditionalFormatting>
  <conditionalFormatting sqref="Z40">
    <cfRule type="cellIs" dxfId="11211" priority="140892" stopIfTrue="1" operator="lessThan">
      <formula>0.5</formula>
    </cfRule>
  </conditionalFormatting>
  <conditionalFormatting sqref="Z40">
    <cfRule type="cellIs" dxfId="11210" priority="140893" stopIfTrue="1" operator="greaterThanOrEqual">
      <formula>0.5</formula>
    </cfRule>
  </conditionalFormatting>
  <conditionalFormatting sqref="Z41">
    <cfRule type="cellIs" dxfId="11209" priority="140894" stopIfTrue="1" operator="equal">
      <formula>-1</formula>
    </cfRule>
  </conditionalFormatting>
  <conditionalFormatting sqref="Z41">
    <cfRule type="cellIs" dxfId="11208" priority="140895" stopIfTrue="1" operator="lessThan">
      <formula>0.5</formula>
    </cfRule>
  </conditionalFormatting>
  <conditionalFormatting sqref="Z41">
    <cfRule type="cellIs" dxfId="11207" priority="140896" stopIfTrue="1" operator="greaterThanOrEqual">
      <formula>0.5</formula>
    </cfRule>
  </conditionalFormatting>
  <conditionalFormatting sqref="Z42">
    <cfRule type="cellIs" dxfId="11206" priority="140897" stopIfTrue="1" operator="equal">
      <formula>-1</formula>
    </cfRule>
  </conditionalFormatting>
  <conditionalFormatting sqref="Z42">
    <cfRule type="cellIs" dxfId="11205" priority="140898" stopIfTrue="1" operator="lessThan">
      <formula>0.5</formula>
    </cfRule>
  </conditionalFormatting>
  <conditionalFormatting sqref="Z42">
    <cfRule type="cellIs" dxfId="11204" priority="140899" stopIfTrue="1" operator="greaterThanOrEqual">
      <formula>0.5</formula>
    </cfRule>
  </conditionalFormatting>
  <conditionalFormatting sqref="Z43">
    <cfRule type="cellIs" dxfId="11203" priority="140900" stopIfTrue="1" operator="equal">
      <formula>-1</formula>
    </cfRule>
  </conditionalFormatting>
  <conditionalFormatting sqref="Z43">
    <cfRule type="cellIs" dxfId="11202" priority="140901" stopIfTrue="1" operator="lessThan">
      <formula>0.5</formula>
    </cfRule>
  </conditionalFormatting>
  <conditionalFormatting sqref="Z43">
    <cfRule type="cellIs" dxfId="11201" priority="140902" stopIfTrue="1" operator="greaterThanOrEqual">
      <formula>0.5</formula>
    </cfRule>
  </conditionalFormatting>
  <conditionalFormatting sqref="Z44">
    <cfRule type="cellIs" dxfId="11200" priority="140903" stopIfTrue="1" operator="equal">
      <formula>-1</formula>
    </cfRule>
  </conditionalFormatting>
  <conditionalFormatting sqref="Z44">
    <cfRule type="cellIs" dxfId="11199" priority="140904" stopIfTrue="1" operator="lessThan">
      <formula>0.5</formula>
    </cfRule>
  </conditionalFormatting>
  <conditionalFormatting sqref="Z44">
    <cfRule type="cellIs" dxfId="11198" priority="140905" stopIfTrue="1" operator="greaterThanOrEqual">
      <formula>0.5</formula>
    </cfRule>
  </conditionalFormatting>
  <conditionalFormatting sqref="Z45">
    <cfRule type="cellIs" dxfId="11197" priority="140906" stopIfTrue="1" operator="equal">
      <formula>-1</formula>
    </cfRule>
  </conditionalFormatting>
  <conditionalFormatting sqref="Z45">
    <cfRule type="cellIs" dxfId="11196" priority="140907" stopIfTrue="1" operator="lessThan">
      <formula>0.5</formula>
    </cfRule>
  </conditionalFormatting>
  <conditionalFormatting sqref="Z45">
    <cfRule type="cellIs" dxfId="11195" priority="140908" stopIfTrue="1" operator="greaterThanOrEqual">
      <formula>0.5</formula>
    </cfRule>
  </conditionalFormatting>
  <conditionalFormatting sqref="Z46">
    <cfRule type="cellIs" dxfId="11194" priority="140909" stopIfTrue="1" operator="equal">
      <formula>-1</formula>
    </cfRule>
  </conditionalFormatting>
  <conditionalFormatting sqref="Z46">
    <cfRule type="cellIs" dxfId="11193" priority="140910" stopIfTrue="1" operator="lessThan">
      <formula>0.5</formula>
    </cfRule>
  </conditionalFormatting>
  <conditionalFormatting sqref="Z46">
    <cfRule type="cellIs" dxfId="11192" priority="140911" stopIfTrue="1" operator="greaterThanOrEqual">
      <formula>0.5</formula>
    </cfRule>
  </conditionalFormatting>
  <conditionalFormatting sqref="Z47">
    <cfRule type="cellIs" dxfId="11191" priority="140912" stopIfTrue="1" operator="equal">
      <formula>-1</formula>
    </cfRule>
  </conditionalFormatting>
  <conditionalFormatting sqref="Z47">
    <cfRule type="cellIs" dxfId="11190" priority="140913" stopIfTrue="1" operator="lessThan">
      <formula>0.5</formula>
    </cfRule>
  </conditionalFormatting>
  <conditionalFormatting sqref="Z47">
    <cfRule type="cellIs" dxfId="11189" priority="140914" stopIfTrue="1" operator="greaterThanOrEqual">
      <formula>0.5</formula>
    </cfRule>
  </conditionalFormatting>
  <conditionalFormatting sqref="Z48">
    <cfRule type="cellIs" dxfId="11188" priority="140915" stopIfTrue="1" operator="equal">
      <formula>-1</formula>
    </cfRule>
  </conditionalFormatting>
  <conditionalFormatting sqref="Z48">
    <cfRule type="cellIs" dxfId="11187" priority="140916" stopIfTrue="1" operator="lessThan">
      <formula>0.5</formula>
    </cfRule>
  </conditionalFormatting>
  <conditionalFormatting sqref="Z48">
    <cfRule type="cellIs" dxfId="11186" priority="140917" stopIfTrue="1" operator="greaterThanOrEqual">
      <formula>0.5</formula>
    </cfRule>
  </conditionalFormatting>
  <conditionalFormatting sqref="Z49">
    <cfRule type="cellIs" dxfId="11185" priority="140918" stopIfTrue="1" operator="equal">
      <formula>-1</formula>
    </cfRule>
  </conditionalFormatting>
  <conditionalFormatting sqref="Z49">
    <cfRule type="cellIs" dxfId="11184" priority="140919" stopIfTrue="1" operator="lessThan">
      <formula>0.5</formula>
    </cfRule>
  </conditionalFormatting>
  <conditionalFormatting sqref="Z49">
    <cfRule type="cellIs" dxfId="11183" priority="140920" stopIfTrue="1" operator="greaterThanOrEqual">
      <formula>0.5</formula>
    </cfRule>
  </conditionalFormatting>
  <conditionalFormatting sqref="Z50">
    <cfRule type="cellIs" dxfId="11182" priority="140921" stopIfTrue="1" operator="equal">
      <formula>-1</formula>
    </cfRule>
  </conditionalFormatting>
  <conditionalFormatting sqref="Z50">
    <cfRule type="cellIs" dxfId="11181" priority="140922" stopIfTrue="1" operator="lessThan">
      <formula>0.5</formula>
    </cfRule>
  </conditionalFormatting>
  <conditionalFormatting sqref="Z50">
    <cfRule type="cellIs" dxfId="11180" priority="140923" stopIfTrue="1" operator="greaterThanOrEqual">
      <formula>0.5</formula>
    </cfRule>
  </conditionalFormatting>
  <conditionalFormatting sqref="Z51">
    <cfRule type="cellIs" dxfId="11179" priority="140924" stopIfTrue="1" operator="equal">
      <formula>-1</formula>
    </cfRule>
  </conditionalFormatting>
  <conditionalFormatting sqref="Z51">
    <cfRule type="cellIs" dxfId="11178" priority="140925" stopIfTrue="1" operator="lessThan">
      <formula>0.5</formula>
    </cfRule>
  </conditionalFormatting>
  <conditionalFormatting sqref="Z51">
    <cfRule type="cellIs" dxfId="11177" priority="140926" stopIfTrue="1" operator="greaterThanOrEqual">
      <formula>0.5</formula>
    </cfRule>
  </conditionalFormatting>
  <conditionalFormatting sqref="Z52">
    <cfRule type="cellIs" dxfId="11176" priority="140927" stopIfTrue="1" operator="equal">
      <formula>-1</formula>
    </cfRule>
  </conditionalFormatting>
  <conditionalFormatting sqref="Z52">
    <cfRule type="cellIs" dxfId="11175" priority="140928" stopIfTrue="1" operator="lessThan">
      <formula>0.5</formula>
    </cfRule>
  </conditionalFormatting>
  <conditionalFormatting sqref="Z52">
    <cfRule type="cellIs" dxfId="11174" priority="140929" stopIfTrue="1" operator="greaterThanOrEqual">
      <formula>0.5</formula>
    </cfRule>
  </conditionalFormatting>
  <conditionalFormatting sqref="Z53">
    <cfRule type="cellIs" dxfId="11173" priority="140930" stopIfTrue="1" operator="equal">
      <formula>-1</formula>
    </cfRule>
  </conditionalFormatting>
  <conditionalFormatting sqref="Z53">
    <cfRule type="cellIs" dxfId="11172" priority="140931" stopIfTrue="1" operator="lessThan">
      <formula>0.5</formula>
    </cfRule>
  </conditionalFormatting>
  <conditionalFormatting sqref="Z53">
    <cfRule type="cellIs" dxfId="11171" priority="140932" stopIfTrue="1" operator="greaterThanOrEqual">
      <formula>0.5</formula>
    </cfRule>
  </conditionalFormatting>
  <conditionalFormatting sqref="Z54">
    <cfRule type="cellIs" dxfId="11170" priority="140933" stopIfTrue="1" operator="equal">
      <formula>-1</formula>
    </cfRule>
  </conditionalFormatting>
  <conditionalFormatting sqref="Z54">
    <cfRule type="cellIs" dxfId="11169" priority="140934" stopIfTrue="1" operator="lessThan">
      <formula>0.5</formula>
    </cfRule>
  </conditionalFormatting>
  <conditionalFormatting sqref="Z54">
    <cfRule type="cellIs" dxfId="11168" priority="140935" stopIfTrue="1" operator="greaterThanOrEqual">
      <formula>0.5</formula>
    </cfRule>
  </conditionalFormatting>
  <conditionalFormatting sqref="Z55">
    <cfRule type="cellIs" dxfId="11167" priority="140936" stopIfTrue="1" operator="equal">
      <formula>-1</formula>
    </cfRule>
  </conditionalFormatting>
  <conditionalFormatting sqref="Z55">
    <cfRule type="cellIs" dxfId="11166" priority="140937" stopIfTrue="1" operator="lessThan">
      <formula>0.5</formula>
    </cfRule>
  </conditionalFormatting>
  <conditionalFormatting sqref="Z55">
    <cfRule type="cellIs" dxfId="11165" priority="140938" stopIfTrue="1" operator="greaterThanOrEqual">
      <formula>0.5</formula>
    </cfRule>
  </conditionalFormatting>
  <conditionalFormatting sqref="Z56">
    <cfRule type="cellIs" dxfId="11164" priority="140939" stopIfTrue="1" operator="equal">
      <formula>-1</formula>
    </cfRule>
  </conditionalFormatting>
  <conditionalFormatting sqref="Z56">
    <cfRule type="cellIs" dxfId="11163" priority="140940" stopIfTrue="1" operator="lessThan">
      <formula>0.5</formula>
    </cfRule>
  </conditionalFormatting>
  <conditionalFormatting sqref="Z56">
    <cfRule type="cellIs" dxfId="11162" priority="140941" stopIfTrue="1" operator="greaterThanOrEqual">
      <formula>0.5</formula>
    </cfRule>
  </conditionalFormatting>
  <conditionalFormatting sqref="Z57">
    <cfRule type="cellIs" dxfId="11161" priority="140942" stopIfTrue="1" operator="equal">
      <formula>-1</formula>
    </cfRule>
  </conditionalFormatting>
  <conditionalFormatting sqref="Z57">
    <cfRule type="cellIs" dxfId="11160" priority="140943" stopIfTrue="1" operator="lessThan">
      <formula>0.5</formula>
    </cfRule>
  </conditionalFormatting>
  <conditionalFormatting sqref="Z57">
    <cfRule type="cellIs" dxfId="11159" priority="140944" stopIfTrue="1" operator="greaterThanOrEqual">
      <formula>0.5</formula>
    </cfRule>
  </conditionalFormatting>
  <conditionalFormatting sqref="Z58">
    <cfRule type="cellIs" dxfId="11158" priority="140945" stopIfTrue="1" operator="equal">
      <formula>-1</formula>
    </cfRule>
  </conditionalFormatting>
  <conditionalFormatting sqref="Z58">
    <cfRule type="cellIs" dxfId="11157" priority="140946" stopIfTrue="1" operator="lessThan">
      <formula>0.5</formula>
    </cfRule>
  </conditionalFormatting>
  <conditionalFormatting sqref="Z58">
    <cfRule type="cellIs" dxfId="11156" priority="140947" stopIfTrue="1" operator="greaterThanOrEqual">
      <formula>0.5</formula>
    </cfRule>
  </conditionalFormatting>
  <conditionalFormatting sqref="AB39">
    <cfRule type="cellIs" dxfId="11155" priority="140948" stopIfTrue="1" operator="equal">
      <formula>-1</formula>
    </cfRule>
  </conditionalFormatting>
  <conditionalFormatting sqref="AB39">
    <cfRule type="cellIs" dxfId="11154" priority="140949" stopIfTrue="1" operator="lessThan">
      <formula>0.5</formula>
    </cfRule>
  </conditionalFormatting>
  <conditionalFormatting sqref="AB39">
    <cfRule type="cellIs" dxfId="11153" priority="140950" stopIfTrue="1" operator="greaterThanOrEqual">
      <formula>0.5</formula>
    </cfRule>
  </conditionalFormatting>
  <conditionalFormatting sqref="AB40">
    <cfRule type="cellIs" dxfId="11152" priority="140951" stopIfTrue="1" operator="equal">
      <formula>-1</formula>
    </cfRule>
  </conditionalFormatting>
  <conditionalFormatting sqref="AB40">
    <cfRule type="cellIs" dxfId="11151" priority="140952" stopIfTrue="1" operator="lessThan">
      <formula>0.5</formula>
    </cfRule>
  </conditionalFormatting>
  <conditionalFormatting sqref="AB40">
    <cfRule type="cellIs" dxfId="11150" priority="140953" stopIfTrue="1" operator="greaterThanOrEqual">
      <formula>0.5</formula>
    </cfRule>
  </conditionalFormatting>
  <conditionalFormatting sqref="AB41">
    <cfRule type="cellIs" dxfId="11149" priority="140954" stopIfTrue="1" operator="equal">
      <formula>-1</formula>
    </cfRule>
  </conditionalFormatting>
  <conditionalFormatting sqref="AB41">
    <cfRule type="cellIs" dxfId="11148" priority="140955" stopIfTrue="1" operator="lessThan">
      <formula>0.5</formula>
    </cfRule>
  </conditionalFormatting>
  <conditionalFormatting sqref="AB41">
    <cfRule type="cellIs" dxfId="11147" priority="140956" stopIfTrue="1" operator="greaterThanOrEqual">
      <formula>0.5</formula>
    </cfRule>
  </conditionalFormatting>
  <conditionalFormatting sqref="AB42">
    <cfRule type="cellIs" dxfId="11146" priority="140957" stopIfTrue="1" operator="equal">
      <formula>-1</formula>
    </cfRule>
  </conditionalFormatting>
  <conditionalFormatting sqref="AB42">
    <cfRule type="cellIs" dxfId="11145" priority="140958" stopIfTrue="1" operator="lessThan">
      <formula>0.5</formula>
    </cfRule>
  </conditionalFormatting>
  <conditionalFormatting sqref="AB42">
    <cfRule type="cellIs" dxfId="11144" priority="140959" stopIfTrue="1" operator="greaterThanOrEqual">
      <formula>0.5</formula>
    </cfRule>
  </conditionalFormatting>
  <conditionalFormatting sqref="AB43">
    <cfRule type="cellIs" dxfId="11143" priority="140960" stopIfTrue="1" operator="equal">
      <formula>-1</formula>
    </cfRule>
  </conditionalFormatting>
  <conditionalFormatting sqref="AB43">
    <cfRule type="cellIs" dxfId="11142" priority="140961" stopIfTrue="1" operator="lessThan">
      <formula>0.5</formula>
    </cfRule>
  </conditionalFormatting>
  <conditionalFormatting sqref="AB43">
    <cfRule type="cellIs" dxfId="11141" priority="140962" stopIfTrue="1" operator="greaterThanOrEqual">
      <formula>0.5</formula>
    </cfRule>
  </conditionalFormatting>
  <conditionalFormatting sqref="AB44">
    <cfRule type="cellIs" dxfId="11140" priority="140963" stopIfTrue="1" operator="equal">
      <formula>-1</formula>
    </cfRule>
  </conditionalFormatting>
  <conditionalFormatting sqref="AB44">
    <cfRule type="cellIs" dxfId="11139" priority="140964" stopIfTrue="1" operator="lessThan">
      <formula>0.5</formula>
    </cfRule>
  </conditionalFormatting>
  <conditionalFormatting sqref="AB44">
    <cfRule type="cellIs" dxfId="11138" priority="140965" stopIfTrue="1" operator="greaterThanOrEqual">
      <formula>0.5</formula>
    </cfRule>
  </conditionalFormatting>
  <conditionalFormatting sqref="AB45">
    <cfRule type="cellIs" dxfId="11137" priority="140966" stopIfTrue="1" operator="equal">
      <formula>-1</formula>
    </cfRule>
  </conditionalFormatting>
  <conditionalFormatting sqref="AB45">
    <cfRule type="cellIs" dxfId="11136" priority="140967" stopIfTrue="1" operator="lessThan">
      <formula>0.5</formula>
    </cfRule>
  </conditionalFormatting>
  <conditionalFormatting sqref="AB45">
    <cfRule type="cellIs" dxfId="11135" priority="140968" stopIfTrue="1" operator="greaterThanOrEqual">
      <formula>0.5</formula>
    </cfRule>
  </conditionalFormatting>
  <conditionalFormatting sqref="AB46">
    <cfRule type="cellIs" dxfId="11134" priority="140969" stopIfTrue="1" operator="equal">
      <formula>-1</formula>
    </cfRule>
  </conditionalFormatting>
  <conditionalFormatting sqref="AB46">
    <cfRule type="cellIs" dxfId="11133" priority="140970" stopIfTrue="1" operator="lessThan">
      <formula>0.5</formula>
    </cfRule>
  </conditionalFormatting>
  <conditionalFormatting sqref="AB46">
    <cfRule type="cellIs" dxfId="11132" priority="140971" stopIfTrue="1" operator="greaterThanOrEqual">
      <formula>0.5</formula>
    </cfRule>
  </conditionalFormatting>
  <conditionalFormatting sqref="AB47">
    <cfRule type="cellIs" dxfId="11131" priority="140972" stopIfTrue="1" operator="equal">
      <formula>-1</formula>
    </cfRule>
  </conditionalFormatting>
  <conditionalFormatting sqref="AB47">
    <cfRule type="cellIs" dxfId="11130" priority="140973" stopIfTrue="1" operator="lessThan">
      <formula>0.5</formula>
    </cfRule>
  </conditionalFormatting>
  <conditionalFormatting sqref="AB47">
    <cfRule type="cellIs" dxfId="11129" priority="140974" stopIfTrue="1" operator="greaterThanOrEqual">
      <formula>0.5</formula>
    </cfRule>
  </conditionalFormatting>
  <conditionalFormatting sqref="AB48">
    <cfRule type="cellIs" dxfId="11128" priority="140975" stopIfTrue="1" operator="equal">
      <formula>-1</formula>
    </cfRule>
  </conditionalFormatting>
  <conditionalFormatting sqref="AB48">
    <cfRule type="cellIs" dxfId="11127" priority="140976" stopIfTrue="1" operator="lessThan">
      <formula>0.5</formula>
    </cfRule>
  </conditionalFormatting>
  <conditionalFormatting sqref="AB48">
    <cfRule type="cellIs" dxfId="11126" priority="140977" stopIfTrue="1" operator="greaterThanOrEqual">
      <formula>0.5</formula>
    </cfRule>
  </conditionalFormatting>
  <conditionalFormatting sqref="AB49">
    <cfRule type="cellIs" dxfId="11125" priority="140978" stopIfTrue="1" operator="equal">
      <formula>-1</formula>
    </cfRule>
  </conditionalFormatting>
  <conditionalFormatting sqref="AB49">
    <cfRule type="cellIs" dxfId="11124" priority="140979" stopIfTrue="1" operator="lessThan">
      <formula>0.5</formula>
    </cfRule>
  </conditionalFormatting>
  <conditionalFormatting sqref="AB49">
    <cfRule type="cellIs" dxfId="11123" priority="140980" stopIfTrue="1" operator="greaterThanOrEqual">
      <formula>0.5</formula>
    </cfRule>
  </conditionalFormatting>
  <conditionalFormatting sqref="AB50">
    <cfRule type="cellIs" dxfId="11122" priority="140981" stopIfTrue="1" operator="equal">
      <formula>-1</formula>
    </cfRule>
  </conditionalFormatting>
  <conditionalFormatting sqref="AB50">
    <cfRule type="cellIs" dxfId="11121" priority="140982" stopIfTrue="1" operator="lessThan">
      <formula>0.5</formula>
    </cfRule>
  </conditionalFormatting>
  <conditionalFormatting sqref="AB50">
    <cfRule type="cellIs" dxfId="11120" priority="140983" stopIfTrue="1" operator="greaterThanOrEqual">
      <formula>0.5</formula>
    </cfRule>
  </conditionalFormatting>
  <conditionalFormatting sqref="AB51">
    <cfRule type="cellIs" dxfId="11119" priority="140984" stopIfTrue="1" operator="equal">
      <formula>-1</formula>
    </cfRule>
  </conditionalFormatting>
  <conditionalFormatting sqref="AB51">
    <cfRule type="cellIs" dxfId="11118" priority="140985" stopIfTrue="1" operator="lessThan">
      <formula>0.5</formula>
    </cfRule>
  </conditionalFormatting>
  <conditionalFormatting sqref="AB51">
    <cfRule type="cellIs" dxfId="11117" priority="140986" stopIfTrue="1" operator="greaterThanOrEqual">
      <formula>0.5</formula>
    </cfRule>
  </conditionalFormatting>
  <conditionalFormatting sqref="AB52">
    <cfRule type="cellIs" dxfId="11116" priority="140987" stopIfTrue="1" operator="equal">
      <formula>-1</formula>
    </cfRule>
  </conditionalFormatting>
  <conditionalFormatting sqref="AB52">
    <cfRule type="cellIs" dxfId="11115" priority="140988" stopIfTrue="1" operator="lessThan">
      <formula>0.5</formula>
    </cfRule>
  </conditionalFormatting>
  <conditionalFormatting sqref="AB52">
    <cfRule type="cellIs" dxfId="11114" priority="140989" stopIfTrue="1" operator="greaterThanOrEqual">
      <formula>0.5</formula>
    </cfRule>
  </conditionalFormatting>
  <conditionalFormatting sqref="AB53">
    <cfRule type="cellIs" dxfId="11113" priority="140990" stopIfTrue="1" operator="equal">
      <formula>-1</formula>
    </cfRule>
  </conditionalFormatting>
  <conditionalFormatting sqref="AB53">
    <cfRule type="cellIs" dxfId="11112" priority="140991" stopIfTrue="1" operator="lessThan">
      <formula>0.5</formula>
    </cfRule>
  </conditionalFormatting>
  <conditionalFormatting sqref="AB53">
    <cfRule type="cellIs" dxfId="11111" priority="140992" stopIfTrue="1" operator="greaterThanOrEqual">
      <formula>0.5</formula>
    </cfRule>
  </conditionalFormatting>
  <conditionalFormatting sqref="AB54">
    <cfRule type="cellIs" dxfId="11110" priority="140993" stopIfTrue="1" operator="equal">
      <formula>-1</formula>
    </cfRule>
  </conditionalFormatting>
  <conditionalFormatting sqref="AB54">
    <cfRule type="cellIs" dxfId="11109" priority="140994" stopIfTrue="1" operator="lessThan">
      <formula>0.5</formula>
    </cfRule>
  </conditionalFormatting>
  <conditionalFormatting sqref="AB54">
    <cfRule type="cellIs" dxfId="11108" priority="140995" stopIfTrue="1" operator="greaterThanOrEqual">
      <formula>0.5</formula>
    </cfRule>
  </conditionalFormatting>
  <conditionalFormatting sqref="AB55">
    <cfRule type="cellIs" dxfId="11107" priority="140996" stopIfTrue="1" operator="equal">
      <formula>-1</formula>
    </cfRule>
  </conditionalFormatting>
  <conditionalFormatting sqref="AB55">
    <cfRule type="cellIs" dxfId="11106" priority="140997" stopIfTrue="1" operator="lessThan">
      <formula>0.5</formula>
    </cfRule>
  </conditionalFormatting>
  <conditionalFormatting sqref="AB55">
    <cfRule type="cellIs" dxfId="11105" priority="140998" stopIfTrue="1" operator="greaterThanOrEqual">
      <formula>0.5</formula>
    </cfRule>
  </conditionalFormatting>
  <conditionalFormatting sqref="AB56">
    <cfRule type="cellIs" dxfId="11104" priority="140999" stopIfTrue="1" operator="equal">
      <formula>-1</formula>
    </cfRule>
  </conditionalFormatting>
  <conditionalFormatting sqref="AB56">
    <cfRule type="cellIs" dxfId="11103" priority="141000" stopIfTrue="1" operator="lessThan">
      <formula>0.5</formula>
    </cfRule>
  </conditionalFormatting>
  <conditionalFormatting sqref="AB56">
    <cfRule type="cellIs" dxfId="11102" priority="141001" stopIfTrue="1" operator="greaterThanOrEqual">
      <formula>0.5</formula>
    </cfRule>
  </conditionalFormatting>
  <conditionalFormatting sqref="AB57">
    <cfRule type="cellIs" dxfId="11101" priority="141002" stopIfTrue="1" operator="equal">
      <formula>-1</formula>
    </cfRule>
  </conditionalFormatting>
  <conditionalFormatting sqref="AB57">
    <cfRule type="cellIs" dxfId="11100" priority="141003" stopIfTrue="1" operator="lessThan">
      <formula>0.5</formula>
    </cfRule>
  </conditionalFormatting>
  <conditionalFormatting sqref="AB57">
    <cfRule type="cellIs" dxfId="11099" priority="141004" stopIfTrue="1" operator="greaterThanOrEqual">
      <formula>0.5</formula>
    </cfRule>
  </conditionalFormatting>
  <conditionalFormatting sqref="AB58">
    <cfRule type="cellIs" dxfId="11098" priority="141005" stopIfTrue="1" operator="equal">
      <formula>-1</formula>
    </cfRule>
  </conditionalFormatting>
  <conditionalFormatting sqref="AB58">
    <cfRule type="cellIs" dxfId="11097" priority="141006" stopIfTrue="1" operator="lessThan">
      <formula>0.5</formula>
    </cfRule>
  </conditionalFormatting>
  <conditionalFormatting sqref="AB58">
    <cfRule type="cellIs" dxfId="11096" priority="141007" stopIfTrue="1" operator="greaterThanOrEqual">
      <formula>0.5</formula>
    </cfRule>
  </conditionalFormatting>
  <conditionalFormatting sqref="AD39">
    <cfRule type="cellIs" dxfId="11095" priority="141008" stopIfTrue="1" operator="equal">
      <formula>-1</formula>
    </cfRule>
  </conditionalFormatting>
  <conditionalFormatting sqref="AD39">
    <cfRule type="cellIs" dxfId="11094" priority="141009" stopIfTrue="1" operator="lessThan">
      <formula>0.5</formula>
    </cfRule>
  </conditionalFormatting>
  <conditionalFormatting sqref="AD39">
    <cfRule type="cellIs" dxfId="11093" priority="141010" stopIfTrue="1" operator="greaterThanOrEqual">
      <formula>0.5</formula>
    </cfRule>
  </conditionalFormatting>
  <conditionalFormatting sqref="AD40">
    <cfRule type="cellIs" dxfId="11092" priority="141011" stopIfTrue="1" operator="equal">
      <formula>-1</formula>
    </cfRule>
  </conditionalFormatting>
  <conditionalFormatting sqref="AD40">
    <cfRule type="cellIs" dxfId="11091" priority="141012" stopIfTrue="1" operator="lessThan">
      <formula>0.5</formula>
    </cfRule>
  </conditionalFormatting>
  <conditionalFormatting sqref="AD40">
    <cfRule type="cellIs" dxfId="11090" priority="141013" stopIfTrue="1" operator="greaterThanOrEqual">
      <formula>0.5</formula>
    </cfRule>
  </conditionalFormatting>
  <conditionalFormatting sqref="AD41">
    <cfRule type="cellIs" dxfId="11089" priority="141014" stopIfTrue="1" operator="equal">
      <formula>-1</formula>
    </cfRule>
  </conditionalFormatting>
  <conditionalFormatting sqref="AD41">
    <cfRule type="cellIs" dxfId="11088" priority="141015" stopIfTrue="1" operator="lessThan">
      <formula>0.5</formula>
    </cfRule>
  </conditionalFormatting>
  <conditionalFormatting sqref="AD41">
    <cfRule type="cellIs" dxfId="11087" priority="141016" stopIfTrue="1" operator="greaterThanOrEqual">
      <formula>0.5</formula>
    </cfRule>
  </conditionalFormatting>
  <conditionalFormatting sqref="AD42">
    <cfRule type="cellIs" dxfId="11086" priority="141017" stopIfTrue="1" operator="equal">
      <formula>-1</formula>
    </cfRule>
  </conditionalFormatting>
  <conditionalFormatting sqref="AD42">
    <cfRule type="cellIs" dxfId="11085" priority="141018" stopIfTrue="1" operator="lessThan">
      <formula>0.5</formula>
    </cfRule>
  </conditionalFormatting>
  <conditionalFormatting sqref="AD42">
    <cfRule type="cellIs" dxfId="11084" priority="141019" stopIfTrue="1" operator="greaterThanOrEqual">
      <formula>0.5</formula>
    </cfRule>
  </conditionalFormatting>
  <conditionalFormatting sqref="AD43">
    <cfRule type="cellIs" dxfId="11083" priority="141020" stopIfTrue="1" operator="equal">
      <formula>-1</formula>
    </cfRule>
  </conditionalFormatting>
  <conditionalFormatting sqref="AD43">
    <cfRule type="cellIs" dxfId="11082" priority="141021" stopIfTrue="1" operator="lessThan">
      <formula>0.5</formula>
    </cfRule>
  </conditionalFormatting>
  <conditionalFormatting sqref="AD43">
    <cfRule type="cellIs" dxfId="11081" priority="141022" stopIfTrue="1" operator="greaterThanOrEqual">
      <formula>0.5</formula>
    </cfRule>
  </conditionalFormatting>
  <conditionalFormatting sqref="AD44">
    <cfRule type="cellIs" dxfId="11080" priority="141023" stopIfTrue="1" operator="equal">
      <formula>-1</formula>
    </cfRule>
  </conditionalFormatting>
  <conditionalFormatting sqref="AD44">
    <cfRule type="cellIs" dxfId="11079" priority="141024" stopIfTrue="1" operator="lessThan">
      <formula>0.5</formula>
    </cfRule>
  </conditionalFormatting>
  <conditionalFormatting sqref="AD44">
    <cfRule type="cellIs" dxfId="11078" priority="141025" stopIfTrue="1" operator="greaterThanOrEqual">
      <formula>0.5</formula>
    </cfRule>
  </conditionalFormatting>
  <conditionalFormatting sqref="AD45">
    <cfRule type="cellIs" dxfId="11077" priority="141026" stopIfTrue="1" operator="equal">
      <formula>-1</formula>
    </cfRule>
  </conditionalFormatting>
  <conditionalFormatting sqref="AD45">
    <cfRule type="cellIs" dxfId="11076" priority="141027" stopIfTrue="1" operator="lessThan">
      <formula>0.5</formula>
    </cfRule>
  </conditionalFormatting>
  <conditionalFormatting sqref="AD45">
    <cfRule type="cellIs" dxfId="11075" priority="141028" stopIfTrue="1" operator="greaterThanOrEqual">
      <formula>0.5</formula>
    </cfRule>
  </conditionalFormatting>
  <conditionalFormatting sqref="AD46">
    <cfRule type="cellIs" dxfId="11074" priority="141029" stopIfTrue="1" operator="equal">
      <formula>-1</formula>
    </cfRule>
  </conditionalFormatting>
  <conditionalFormatting sqref="AD46">
    <cfRule type="cellIs" dxfId="11073" priority="141030" stopIfTrue="1" operator="lessThan">
      <formula>0.5</formula>
    </cfRule>
  </conditionalFormatting>
  <conditionalFormatting sqref="AD46">
    <cfRule type="cellIs" dxfId="11072" priority="141031" stopIfTrue="1" operator="greaterThanOrEqual">
      <formula>0.5</formula>
    </cfRule>
  </conditionalFormatting>
  <conditionalFormatting sqref="AD47">
    <cfRule type="cellIs" dxfId="11071" priority="141032" stopIfTrue="1" operator="equal">
      <formula>-1</formula>
    </cfRule>
  </conditionalFormatting>
  <conditionalFormatting sqref="AD47">
    <cfRule type="cellIs" dxfId="11070" priority="141033" stopIfTrue="1" operator="lessThan">
      <formula>0.5</formula>
    </cfRule>
  </conditionalFormatting>
  <conditionalFormatting sqref="AD47">
    <cfRule type="cellIs" dxfId="11069" priority="141034" stopIfTrue="1" operator="greaterThanOrEqual">
      <formula>0.5</formula>
    </cfRule>
  </conditionalFormatting>
  <conditionalFormatting sqref="AD48">
    <cfRule type="cellIs" dxfId="11068" priority="141035" stopIfTrue="1" operator="equal">
      <formula>-1</formula>
    </cfRule>
  </conditionalFormatting>
  <conditionalFormatting sqref="AD48">
    <cfRule type="cellIs" dxfId="11067" priority="141036" stopIfTrue="1" operator="lessThan">
      <formula>0.5</formula>
    </cfRule>
  </conditionalFormatting>
  <conditionalFormatting sqref="AD48">
    <cfRule type="cellIs" dxfId="11066" priority="141037" stopIfTrue="1" operator="greaterThanOrEqual">
      <formula>0.5</formula>
    </cfRule>
  </conditionalFormatting>
  <conditionalFormatting sqref="AD49">
    <cfRule type="cellIs" dxfId="11065" priority="141038" stopIfTrue="1" operator="equal">
      <formula>-1</formula>
    </cfRule>
  </conditionalFormatting>
  <conditionalFormatting sqref="AD49">
    <cfRule type="cellIs" dxfId="11064" priority="141039" stopIfTrue="1" operator="lessThan">
      <formula>0.5</formula>
    </cfRule>
  </conditionalFormatting>
  <conditionalFormatting sqref="AD49">
    <cfRule type="cellIs" dxfId="11063" priority="141040" stopIfTrue="1" operator="greaterThanOrEqual">
      <formula>0.5</formula>
    </cfRule>
  </conditionalFormatting>
  <conditionalFormatting sqref="AD50">
    <cfRule type="cellIs" dxfId="11062" priority="141041" stopIfTrue="1" operator="equal">
      <formula>-1</formula>
    </cfRule>
  </conditionalFormatting>
  <conditionalFormatting sqref="AD50">
    <cfRule type="cellIs" dxfId="11061" priority="141042" stopIfTrue="1" operator="lessThan">
      <formula>0.5</formula>
    </cfRule>
  </conditionalFormatting>
  <conditionalFormatting sqref="AD50">
    <cfRule type="cellIs" dxfId="11060" priority="141043" stopIfTrue="1" operator="greaterThanOrEqual">
      <formula>0.5</formula>
    </cfRule>
  </conditionalFormatting>
  <conditionalFormatting sqref="AD51">
    <cfRule type="cellIs" dxfId="11059" priority="141044" stopIfTrue="1" operator="equal">
      <formula>-1</formula>
    </cfRule>
  </conditionalFormatting>
  <conditionalFormatting sqref="AD51">
    <cfRule type="cellIs" dxfId="11058" priority="141045" stopIfTrue="1" operator="lessThan">
      <formula>0.5</formula>
    </cfRule>
  </conditionalFormatting>
  <conditionalFormatting sqref="AD51">
    <cfRule type="cellIs" dxfId="11057" priority="141046" stopIfTrue="1" operator="greaterThanOrEqual">
      <formula>0.5</formula>
    </cfRule>
  </conditionalFormatting>
  <conditionalFormatting sqref="AD52">
    <cfRule type="cellIs" dxfId="11056" priority="141047" stopIfTrue="1" operator="equal">
      <formula>-1</formula>
    </cfRule>
  </conditionalFormatting>
  <conditionalFormatting sqref="AD52">
    <cfRule type="cellIs" dxfId="11055" priority="141048" stopIfTrue="1" operator="lessThan">
      <formula>0.5</formula>
    </cfRule>
  </conditionalFormatting>
  <conditionalFormatting sqref="AD52">
    <cfRule type="cellIs" dxfId="11054" priority="141049" stopIfTrue="1" operator="greaterThanOrEqual">
      <formula>0.5</formula>
    </cfRule>
  </conditionalFormatting>
  <conditionalFormatting sqref="AD53">
    <cfRule type="cellIs" dxfId="11053" priority="141050" stopIfTrue="1" operator="equal">
      <formula>-1</formula>
    </cfRule>
  </conditionalFormatting>
  <conditionalFormatting sqref="AD53">
    <cfRule type="cellIs" dxfId="11052" priority="141051" stopIfTrue="1" operator="lessThan">
      <formula>0.5</formula>
    </cfRule>
  </conditionalFormatting>
  <conditionalFormatting sqref="AD53">
    <cfRule type="cellIs" dxfId="11051" priority="141052" stopIfTrue="1" operator="greaterThanOrEqual">
      <formula>0.5</formula>
    </cfRule>
  </conditionalFormatting>
  <conditionalFormatting sqref="AD54">
    <cfRule type="cellIs" dxfId="11050" priority="141053" stopIfTrue="1" operator="equal">
      <formula>-1</formula>
    </cfRule>
  </conditionalFormatting>
  <conditionalFormatting sqref="AD54">
    <cfRule type="cellIs" dxfId="11049" priority="141054" stopIfTrue="1" operator="lessThan">
      <formula>0.5</formula>
    </cfRule>
  </conditionalFormatting>
  <conditionalFormatting sqref="AD54">
    <cfRule type="cellIs" dxfId="11048" priority="141055" stopIfTrue="1" operator="greaterThanOrEqual">
      <formula>0.5</formula>
    </cfRule>
  </conditionalFormatting>
  <conditionalFormatting sqref="AD55">
    <cfRule type="cellIs" dxfId="11047" priority="141056" stopIfTrue="1" operator="equal">
      <formula>-1</formula>
    </cfRule>
  </conditionalFormatting>
  <conditionalFormatting sqref="AD55">
    <cfRule type="cellIs" dxfId="11046" priority="141057" stopIfTrue="1" operator="lessThan">
      <formula>0.5</formula>
    </cfRule>
  </conditionalFormatting>
  <conditionalFormatting sqref="AD55">
    <cfRule type="cellIs" dxfId="11045" priority="141058" stopIfTrue="1" operator="greaterThanOrEqual">
      <formula>0.5</formula>
    </cfRule>
  </conditionalFormatting>
  <conditionalFormatting sqref="AD56">
    <cfRule type="cellIs" dxfId="11044" priority="141059" stopIfTrue="1" operator="equal">
      <formula>-1</formula>
    </cfRule>
  </conditionalFormatting>
  <conditionalFormatting sqref="AD56">
    <cfRule type="cellIs" dxfId="11043" priority="141060" stopIfTrue="1" operator="lessThan">
      <formula>0.5</formula>
    </cfRule>
  </conditionalFormatting>
  <conditionalFormatting sqref="AD56">
    <cfRule type="cellIs" dxfId="11042" priority="141061" stopIfTrue="1" operator="greaterThanOrEqual">
      <formula>0.5</formula>
    </cfRule>
  </conditionalFormatting>
  <conditionalFormatting sqref="AD57">
    <cfRule type="cellIs" dxfId="11041" priority="141062" stopIfTrue="1" operator="equal">
      <formula>-1</formula>
    </cfRule>
  </conditionalFormatting>
  <conditionalFormatting sqref="AD57">
    <cfRule type="cellIs" dxfId="11040" priority="141063" stopIfTrue="1" operator="lessThan">
      <formula>0.5</formula>
    </cfRule>
  </conditionalFormatting>
  <conditionalFormatting sqref="AD57">
    <cfRule type="cellIs" dxfId="11039" priority="141064" stopIfTrue="1" operator="greaterThanOrEqual">
      <formula>0.5</formula>
    </cfRule>
  </conditionalFormatting>
  <conditionalFormatting sqref="AD58">
    <cfRule type="cellIs" dxfId="11038" priority="141065" stopIfTrue="1" operator="equal">
      <formula>-1</formula>
    </cfRule>
  </conditionalFormatting>
  <conditionalFormatting sqref="AD58">
    <cfRule type="cellIs" dxfId="11037" priority="141066" stopIfTrue="1" operator="lessThan">
      <formula>0.5</formula>
    </cfRule>
  </conditionalFormatting>
  <conditionalFormatting sqref="AD58">
    <cfRule type="cellIs" dxfId="11036" priority="141067" stopIfTrue="1" operator="greaterThanOrEqual">
      <formula>0.5</formula>
    </cfRule>
  </conditionalFormatting>
  <conditionalFormatting sqref="AF39">
    <cfRule type="cellIs" dxfId="11035" priority="141068" stopIfTrue="1" operator="equal">
      <formula>-1</formula>
    </cfRule>
  </conditionalFormatting>
  <conditionalFormatting sqref="AF39">
    <cfRule type="cellIs" dxfId="11034" priority="141069" stopIfTrue="1" operator="lessThan">
      <formula>0.5</formula>
    </cfRule>
  </conditionalFormatting>
  <conditionalFormatting sqref="AF39">
    <cfRule type="cellIs" dxfId="11033" priority="141070" stopIfTrue="1" operator="greaterThanOrEqual">
      <formula>0.5</formula>
    </cfRule>
  </conditionalFormatting>
  <conditionalFormatting sqref="AF40">
    <cfRule type="cellIs" dxfId="11032" priority="141071" stopIfTrue="1" operator="equal">
      <formula>-1</formula>
    </cfRule>
  </conditionalFormatting>
  <conditionalFormatting sqref="AF40">
    <cfRule type="cellIs" dxfId="11031" priority="141072" stopIfTrue="1" operator="lessThan">
      <formula>0.5</formula>
    </cfRule>
  </conditionalFormatting>
  <conditionalFormatting sqref="AF40">
    <cfRule type="cellIs" dxfId="11030" priority="141073" stopIfTrue="1" operator="greaterThanOrEqual">
      <formula>0.5</formula>
    </cfRule>
  </conditionalFormatting>
  <conditionalFormatting sqref="AF41">
    <cfRule type="cellIs" dxfId="11029" priority="141074" stopIfTrue="1" operator="equal">
      <formula>-1</formula>
    </cfRule>
  </conditionalFormatting>
  <conditionalFormatting sqref="AF41">
    <cfRule type="cellIs" dxfId="11028" priority="141075" stopIfTrue="1" operator="lessThan">
      <formula>0.5</formula>
    </cfRule>
  </conditionalFormatting>
  <conditionalFormatting sqref="AF41">
    <cfRule type="cellIs" dxfId="11027" priority="141076" stopIfTrue="1" operator="greaterThanOrEqual">
      <formula>0.5</formula>
    </cfRule>
  </conditionalFormatting>
  <conditionalFormatting sqref="AF42">
    <cfRule type="cellIs" dxfId="11026" priority="141077" stopIfTrue="1" operator="equal">
      <formula>-1</formula>
    </cfRule>
  </conditionalFormatting>
  <conditionalFormatting sqref="AF42">
    <cfRule type="cellIs" dxfId="11025" priority="141078" stopIfTrue="1" operator="lessThan">
      <formula>0.5</formula>
    </cfRule>
  </conditionalFormatting>
  <conditionalFormatting sqref="AF42">
    <cfRule type="cellIs" dxfId="11024" priority="141079" stopIfTrue="1" operator="greaterThanOrEqual">
      <formula>0.5</formula>
    </cfRule>
  </conditionalFormatting>
  <conditionalFormatting sqref="AF43">
    <cfRule type="cellIs" dxfId="11023" priority="141080" stopIfTrue="1" operator="equal">
      <formula>-1</formula>
    </cfRule>
  </conditionalFormatting>
  <conditionalFormatting sqref="AF43">
    <cfRule type="cellIs" dxfId="11022" priority="141081" stopIfTrue="1" operator="lessThan">
      <formula>0.5</formula>
    </cfRule>
  </conditionalFormatting>
  <conditionalFormatting sqref="AF43">
    <cfRule type="cellIs" dxfId="11021" priority="141082" stopIfTrue="1" operator="greaterThanOrEqual">
      <formula>0.5</formula>
    </cfRule>
  </conditionalFormatting>
  <conditionalFormatting sqref="AF44">
    <cfRule type="cellIs" dxfId="11020" priority="141083" stopIfTrue="1" operator="equal">
      <formula>-1</formula>
    </cfRule>
  </conditionalFormatting>
  <conditionalFormatting sqref="AF44">
    <cfRule type="cellIs" dxfId="11019" priority="141084" stopIfTrue="1" operator="lessThan">
      <formula>0.5</formula>
    </cfRule>
  </conditionalFormatting>
  <conditionalFormatting sqref="AF44">
    <cfRule type="cellIs" dxfId="11018" priority="141085" stopIfTrue="1" operator="greaterThanOrEqual">
      <formula>0.5</formula>
    </cfRule>
  </conditionalFormatting>
  <conditionalFormatting sqref="AF45">
    <cfRule type="cellIs" dxfId="11017" priority="141086" stopIfTrue="1" operator="equal">
      <formula>-1</formula>
    </cfRule>
  </conditionalFormatting>
  <conditionalFormatting sqref="AF45">
    <cfRule type="cellIs" dxfId="11016" priority="141087" stopIfTrue="1" operator="lessThan">
      <formula>0.5</formula>
    </cfRule>
  </conditionalFormatting>
  <conditionalFormatting sqref="AF45">
    <cfRule type="cellIs" dxfId="11015" priority="141088" stopIfTrue="1" operator="greaterThanOrEqual">
      <formula>0.5</formula>
    </cfRule>
  </conditionalFormatting>
  <conditionalFormatting sqref="AF46">
    <cfRule type="cellIs" dxfId="11014" priority="141089" stopIfTrue="1" operator="equal">
      <formula>-1</formula>
    </cfRule>
  </conditionalFormatting>
  <conditionalFormatting sqref="AF46">
    <cfRule type="cellIs" dxfId="11013" priority="141090" stopIfTrue="1" operator="lessThan">
      <formula>0.5</formula>
    </cfRule>
  </conditionalFormatting>
  <conditionalFormatting sqref="AF46">
    <cfRule type="cellIs" dxfId="11012" priority="141091" stopIfTrue="1" operator="greaterThanOrEqual">
      <formula>0.5</formula>
    </cfRule>
  </conditionalFormatting>
  <conditionalFormatting sqref="AF47">
    <cfRule type="cellIs" dxfId="11011" priority="141092" stopIfTrue="1" operator="equal">
      <formula>-1</formula>
    </cfRule>
  </conditionalFormatting>
  <conditionalFormatting sqref="AF47">
    <cfRule type="cellIs" dxfId="11010" priority="141093" stopIfTrue="1" operator="lessThan">
      <formula>0.5</formula>
    </cfRule>
  </conditionalFormatting>
  <conditionalFormatting sqref="AF47">
    <cfRule type="cellIs" dxfId="11009" priority="141094" stopIfTrue="1" operator="greaterThanOrEqual">
      <formula>0.5</formula>
    </cfRule>
  </conditionalFormatting>
  <conditionalFormatting sqref="AF48">
    <cfRule type="cellIs" dxfId="11008" priority="141095" stopIfTrue="1" operator="equal">
      <formula>-1</formula>
    </cfRule>
  </conditionalFormatting>
  <conditionalFormatting sqref="AF48">
    <cfRule type="cellIs" dxfId="11007" priority="141096" stopIfTrue="1" operator="lessThan">
      <formula>0.5</formula>
    </cfRule>
  </conditionalFormatting>
  <conditionalFormatting sqref="AF48">
    <cfRule type="cellIs" dxfId="11006" priority="141097" stopIfTrue="1" operator="greaterThanOrEqual">
      <formula>0.5</formula>
    </cfRule>
  </conditionalFormatting>
  <conditionalFormatting sqref="AF49">
    <cfRule type="cellIs" dxfId="11005" priority="141098" stopIfTrue="1" operator="equal">
      <formula>-1</formula>
    </cfRule>
  </conditionalFormatting>
  <conditionalFormatting sqref="AF49">
    <cfRule type="cellIs" dxfId="11004" priority="141099" stopIfTrue="1" operator="lessThan">
      <formula>0.5</formula>
    </cfRule>
  </conditionalFormatting>
  <conditionalFormatting sqref="AF49">
    <cfRule type="cellIs" dxfId="11003" priority="141100" stopIfTrue="1" operator="greaterThanOrEqual">
      <formula>0.5</formula>
    </cfRule>
  </conditionalFormatting>
  <conditionalFormatting sqref="AF50">
    <cfRule type="cellIs" dxfId="11002" priority="141101" stopIfTrue="1" operator="equal">
      <formula>-1</formula>
    </cfRule>
  </conditionalFormatting>
  <conditionalFormatting sqref="AF50">
    <cfRule type="cellIs" dxfId="11001" priority="141102" stopIfTrue="1" operator="lessThan">
      <formula>0.5</formula>
    </cfRule>
  </conditionalFormatting>
  <conditionalFormatting sqref="AF50">
    <cfRule type="cellIs" dxfId="11000" priority="141103" stopIfTrue="1" operator="greaterThanOrEqual">
      <formula>0.5</formula>
    </cfRule>
  </conditionalFormatting>
  <conditionalFormatting sqref="AF51">
    <cfRule type="cellIs" dxfId="10999" priority="141104" stopIfTrue="1" operator="equal">
      <formula>-1</formula>
    </cfRule>
  </conditionalFormatting>
  <conditionalFormatting sqref="AF51">
    <cfRule type="cellIs" dxfId="10998" priority="141105" stopIfTrue="1" operator="lessThan">
      <formula>0.5</formula>
    </cfRule>
  </conditionalFormatting>
  <conditionalFormatting sqref="AF51">
    <cfRule type="cellIs" dxfId="10997" priority="141106" stopIfTrue="1" operator="greaterThanOrEqual">
      <formula>0.5</formula>
    </cfRule>
  </conditionalFormatting>
  <conditionalFormatting sqref="AF52">
    <cfRule type="cellIs" dxfId="10996" priority="141107" stopIfTrue="1" operator="equal">
      <formula>-1</formula>
    </cfRule>
  </conditionalFormatting>
  <conditionalFormatting sqref="AF52">
    <cfRule type="cellIs" dxfId="10995" priority="141108" stopIfTrue="1" operator="lessThan">
      <formula>0.5</formula>
    </cfRule>
  </conditionalFormatting>
  <conditionalFormatting sqref="AF52">
    <cfRule type="cellIs" dxfId="10994" priority="141109" stopIfTrue="1" operator="greaterThanOrEqual">
      <formula>0.5</formula>
    </cfRule>
  </conditionalFormatting>
  <conditionalFormatting sqref="AF53">
    <cfRule type="cellIs" dxfId="10993" priority="141110" stopIfTrue="1" operator="equal">
      <formula>-1</formula>
    </cfRule>
  </conditionalFormatting>
  <conditionalFormatting sqref="AF53">
    <cfRule type="cellIs" dxfId="10992" priority="141111" stopIfTrue="1" operator="lessThan">
      <formula>0.5</formula>
    </cfRule>
  </conditionalFormatting>
  <conditionalFormatting sqref="AF53">
    <cfRule type="cellIs" dxfId="10991" priority="141112" stopIfTrue="1" operator="greaterThanOrEqual">
      <formula>0.5</formula>
    </cfRule>
  </conditionalFormatting>
  <conditionalFormatting sqref="AF54">
    <cfRule type="cellIs" dxfId="10990" priority="141113" stopIfTrue="1" operator="equal">
      <formula>-1</formula>
    </cfRule>
  </conditionalFormatting>
  <conditionalFormatting sqref="AF54">
    <cfRule type="cellIs" dxfId="10989" priority="141114" stopIfTrue="1" operator="lessThan">
      <formula>0.5</formula>
    </cfRule>
  </conditionalFormatting>
  <conditionalFormatting sqref="AF54">
    <cfRule type="cellIs" dxfId="10988" priority="141115" stopIfTrue="1" operator="greaterThanOrEqual">
      <formula>0.5</formula>
    </cfRule>
  </conditionalFormatting>
  <conditionalFormatting sqref="AF55">
    <cfRule type="cellIs" dxfId="10987" priority="141116" stopIfTrue="1" operator="equal">
      <formula>-1</formula>
    </cfRule>
  </conditionalFormatting>
  <conditionalFormatting sqref="AF55">
    <cfRule type="cellIs" dxfId="10986" priority="141117" stopIfTrue="1" operator="lessThan">
      <formula>0.5</formula>
    </cfRule>
  </conditionalFormatting>
  <conditionalFormatting sqref="AF55">
    <cfRule type="cellIs" dxfId="10985" priority="141118" stopIfTrue="1" operator="greaterThanOrEqual">
      <formula>0.5</formula>
    </cfRule>
  </conditionalFormatting>
  <conditionalFormatting sqref="AF56">
    <cfRule type="cellIs" dxfId="10984" priority="141119" stopIfTrue="1" operator="equal">
      <formula>-1</formula>
    </cfRule>
  </conditionalFormatting>
  <conditionalFormatting sqref="AF56">
    <cfRule type="cellIs" dxfId="10983" priority="141120" stopIfTrue="1" operator="lessThan">
      <formula>0.5</formula>
    </cfRule>
  </conditionalFormatting>
  <conditionalFormatting sqref="AF56">
    <cfRule type="cellIs" dxfId="10982" priority="141121" stopIfTrue="1" operator="greaterThanOrEqual">
      <formula>0.5</formula>
    </cfRule>
  </conditionalFormatting>
  <conditionalFormatting sqref="AF57">
    <cfRule type="cellIs" dxfId="10981" priority="141122" stopIfTrue="1" operator="equal">
      <formula>-1</formula>
    </cfRule>
  </conditionalFormatting>
  <conditionalFormatting sqref="AF57">
    <cfRule type="cellIs" dxfId="10980" priority="141123" stopIfTrue="1" operator="lessThan">
      <formula>0.5</formula>
    </cfRule>
  </conditionalFormatting>
  <conditionalFormatting sqref="AF57">
    <cfRule type="cellIs" dxfId="10979" priority="141124" stopIfTrue="1" operator="greaterThanOrEqual">
      <formula>0.5</formula>
    </cfRule>
  </conditionalFormatting>
  <conditionalFormatting sqref="AF58">
    <cfRule type="cellIs" dxfId="10978" priority="141125" stopIfTrue="1" operator="equal">
      <formula>-1</formula>
    </cfRule>
  </conditionalFormatting>
  <conditionalFormatting sqref="AF58">
    <cfRule type="cellIs" dxfId="10977" priority="141126" stopIfTrue="1" operator="lessThan">
      <formula>0.5</formula>
    </cfRule>
  </conditionalFormatting>
  <conditionalFormatting sqref="AF58">
    <cfRule type="cellIs" dxfId="10976" priority="141127" stopIfTrue="1" operator="greaterThanOrEqual">
      <formula>0.5</formula>
    </cfRule>
  </conditionalFormatting>
  <conditionalFormatting sqref="AH39">
    <cfRule type="cellIs" dxfId="10975" priority="141128" stopIfTrue="1" operator="equal">
      <formula>-1</formula>
    </cfRule>
  </conditionalFormatting>
  <conditionalFormatting sqref="AH39">
    <cfRule type="cellIs" dxfId="10974" priority="141129" stopIfTrue="1" operator="lessThan">
      <formula>0.5</formula>
    </cfRule>
  </conditionalFormatting>
  <conditionalFormatting sqref="AH39">
    <cfRule type="cellIs" dxfId="10973" priority="141130" stopIfTrue="1" operator="greaterThanOrEqual">
      <formula>0.5</formula>
    </cfRule>
  </conditionalFormatting>
  <conditionalFormatting sqref="AH40">
    <cfRule type="cellIs" dxfId="10972" priority="141131" stopIfTrue="1" operator="equal">
      <formula>-1</formula>
    </cfRule>
  </conditionalFormatting>
  <conditionalFormatting sqref="AH40">
    <cfRule type="cellIs" dxfId="10971" priority="141132" stopIfTrue="1" operator="lessThan">
      <formula>0.5</formula>
    </cfRule>
  </conditionalFormatting>
  <conditionalFormatting sqref="AH40">
    <cfRule type="cellIs" dxfId="10970" priority="141133" stopIfTrue="1" operator="greaterThanOrEqual">
      <formula>0.5</formula>
    </cfRule>
  </conditionalFormatting>
  <conditionalFormatting sqref="AH41">
    <cfRule type="cellIs" dxfId="10969" priority="141134" stopIfTrue="1" operator="equal">
      <formula>-1</formula>
    </cfRule>
  </conditionalFormatting>
  <conditionalFormatting sqref="AH41">
    <cfRule type="cellIs" dxfId="10968" priority="141135" stopIfTrue="1" operator="lessThan">
      <formula>0.5</formula>
    </cfRule>
  </conditionalFormatting>
  <conditionalFormatting sqref="AH41">
    <cfRule type="cellIs" dxfId="10967" priority="141136" stopIfTrue="1" operator="greaterThanOrEqual">
      <formula>0.5</formula>
    </cfRule>
  </conditionalFormatting>
  <conditionalFormatting sqref="AH42">
    <cfRule type="cellIs" dxfId="10966" priority="141137" stopIfTrue="1" operator="equal">
      <formula>-1</formula>
    </cfRule>
  </conditionalFormatting>
  <conditionalFormatting sqref="AH42">
    <cfRule type="cellIs" dxfId="10965" priority="141138" stopIfTrue="1" operator="lessThan">
      <formula>0.5</formula>
    </cfRule>
  </conditionalFormatting>
  <conditionalFormatting sqref="AH42">
    <cfRule type="cellIs" dxfId="10964" priority="141139" stopIfTrue="1" operator="greaterThanOrEqual">
      <formula>0.5</formula>
    </cfRule>
  </conditionalFormatting>
  <conditionalFormatting sqref="AH43">
    <cfRule type="cellIs" dxfId="10963" priority="141140" stopIfTrue="1" operator="equal">
      <formula>-1</formula>
    </cfRule>
  </conditionalFormatting>
  <conditionalFormatting sqref="AH43">
    <cfRule type="cellIs" dxfId="10962" priority="141141" stopIfTrue="1" operator="lessThan">
      <formula>0.5</formula>
    </cfRule>
  </conditionalFormatting>
  <conditionalFormatting sqref="AH43">
    <cfRule type="cellIs" dxfId="10961" priority="141142" stopIfTrue="1" operator="greaterThanOrEqual">
      <formula>0.5</formula>
    </cfRule>
  </conditionalFormatting>
  <conditionalFormatting sqref="AH44">
    <cfRule type="cellIs" dxfId="10960" priority="141143" stopIfTrue="1" operator="equal">
      <formula>-1</formula>
    </cfRule>
  </conditionalFormatting>
  <conditionalFormatting sqref="AH44">
    <cfRule type="cellIs" dxfId="10959" priority="141144" stopIfTrue="1" operator="lessThan">
      <formula>0.5</formula>
    </cfRule>
  </conditionalFormatting>
  <conditionalFormatting sqref="AH44">
    <cfRule type="cellIs" dxfId="10958" priority="141145" stopIfTrue="1" operator="greaterThanOrEqual">
      <formula>0.5</formula>
    </cfRule>
  </conditionalFormatting>
  <conditionalFormatting sqref="AH45">
    <cfRule type="cellIs" dxfId="10957" priority="141146" stopIfTrue="1" operator="equal">
      <formula>-1</formula>
    </cfRule>
  </conditionalFormatting>
  <conditionalFormatting sqref="AH45">
    <cfRule type="cellIs" dxfId="10956" priority="141147" stopIfTrue="1" operator="lessThan">
      <formula>0.5</formula>
    </cfRule>
  </conditionalFormatting>
  <conditionalFormatting sqref="AH45">
    <cfRule type="cellIs" dxfId="10955" priority="141148" stopIfTrue="1" operator="greaterThanOrEqual">
      <formula>0.5</formula>
    </cfRule>
  </conditionalFormatting>
  <conditionalFormatting sqref="AH46">
    <cfRule type="cellIs" dxfId="10954" priority="141149" stopIfTrue="1" operator="equal">
      <formula>-1</formula>
    </cfRule>
  </conditionalFormatting>
  <conditionalFormatting sqref="AH46">
    <cfRule type="cellIs" dxfId="10953" priority="141150" stopIfTrue="1" operator="lessThan">
      <formula>0.5</formula>
    </cfRule>
  </conditionalFormatting>
  <conditionalFormatting sqref="AH46">
    <cfRule type="cellIs" dxfId="10952" priority="141151" stopIfTrue="1" operator="greaterThanOrEqual">
      <formula>0.5</formula>
    </cfRule>
  </conditionalFormatting>
  <conditionalFormatting sqref="AH47">
    <cfRule type="cellIs" dxfId="10951" priority="141152" stopIfTrue="1" operator="equal">
      <formula>-1</formula>
    </cfRule>
  </conditionalFormatting>
  <conditionalFormatting sqref="AH47">
    <cfRule type="cellIs" dxfId="10950" priority="141153" stopIfTrue="1" operator="lessThan">
      <formula>0.5</formula>
    </cfRule>
  </conditionalFormatting>
  <conditionalFormatting sqref="AH47">
    <cfRule type="cellIs" dxfId="10949" priority="141154" stopIfTrue="1" operator="greaterThanOrEqual">
      <formula>0.5</formula>
    </cfRule>
  </conditionalFormatting>
  <conditionalFormatting sqref="AH48">
    <cfRule type="cellIs" dxfId="10948" priority="141155" stopIfTrue="1" operator="equal">
      <formula>-1</formula>
    </cfRule>
  </conditionalFormatting>
  <conditionalFormatting sqref="AH48">
    <cfRule type="cellIs" dxfId="10947" priority="141156" stopIfTrue="1" operator="lessThan">
      <formula>0.5</formula>
    </cfRule>
  </conditionalFormatting>
  <conditionalFormatting sqref="AH48">
    <cfRule type="cellIs" dxfId="10946" priority="141157" stopIfTrue="1" operator="greaterThanOrEqual">
      <formula>0.5</formula>
    </cfRule>
  </conditionalFormatting>
  <conditionalFormatting sqref="AH49">
    <cfRule type="cellIs" dxfId="10945" priority="141158" stopIfTrue="1" operator="equal">
      <formula>-1</formula>
    </cfRule>
  </conditionalFormatting>
  <conditionalFormatting sqref="AH49">
    <cfRule type="cellIs" dxfId="10944" priority="141159" stopIfTrue="1" operator="lessThan">
      <formula>0.5</formula>
    </cfRule>
  </conditionalFormatting>
  <conditionalFormatting sqref="AH49">
    <cfRule type="cellIs" dxfId="10943" priority="141160" stopIfTrue="1" operator="greaterThanOrEqual">
      <formula>0.5</formula>
    </cfRule>
  </conditionalFormatting>
  <conditionalFormatting sqref="AH50">
    <cfRule type="cellIs" dxfId="10942" priority="141161" stopIfTrue="1" operator="equal">
      <formula>-1</formula>
    </cfRule>
  </conditionalFormatting>
  <conditionalFormatting sqref="AH50">
    <cfRule type="cellIs" dxfId="10941" priority="141162" stopIfTrue="1" operator="lessThan">
      <formula>0.5</formula>
    </cfRule>
  </conditionalFormatting>
  <conditionalFormatting sqref="AH50">
    <cfRule type="cellIs" dxfId="10940" priority="141163" stopIfTrue="1" operator="greaterThanOrEqual">
      <formula>0.5</formula>
    </cfRule>
  </conditionalFormatting>
  <conditionalFormatting sqref="AH51">
    <cfRule type="cellIs" dxfId="10939" priority="141164" stopIfTrue="1" operator="equal">
      <formula>-1</formula>
    </cfRule>
  </conditionalFormatting>
  <conditionalFormatting sqref="AH51">
    <cfRule type="cellIs" dxfId="10938" priority="141165" stopIfTrue="1" operator="lessThan">
      <formula>0.5</formula>
    </cfRule>
  </conditionalFormatting>
  <conditionalFormatting sqref="AH51">
    <cfRule type="cellIs" dxfId="10937" priority="141166" stopIfTrue="1" operator="greaterThanOrEqual">
      <formula>0.5</formula>
    </cfRule>
  </conditionalFormatting>
  <conditionalFormatting sqref="AH52">
    <cfRule type="cellIs" dxfId="10936" priority="141167" stopIfTrue="1" operator="equal">
      <formula>-1</formula>
    </cfRule>
  </conditionalFormatting>
  <conditionalFormatting sqref="AH52">
    <cfRule type="cellIs" dxfId="10935" priority="141168" stopIfTrue="1" operator="lessThan">
      <formula>0.5</formula>
    </cfRule>
  </conditionalFormatting>
  <conditionalFormatting sqref="AH52">
    <cfRule type="cellIs" dxfId="10934" priority="141169" stopIfTrue="1" operator="greaterThanOrEqual">
      <formula>0.5</formula>
    </cfRule>
  </conditionalFormatting>
  <conditionalFormatting sqref="AH53">
    <cfRule type="cellIs" dxfId="10933" priority="141170" stopIfTrue="1" operator="equal">
      <formula>-1</formula>
    </cfRule>
  </conditionalFormatting>
  <conditionalFormatting sqref="AH53">
    <cfRule type="cellIs" dxfId="10932" priority="141171" stopIfTrue="1" operator="lessThan">
      <formula>0.5</formula>
    </cfRule>
  </conditionalFormatting>
  <conditionalFormatting sqref="AH53">
    <cfRule type="cellIs" dxfId="10931" priority="141172" stopIfTrue="1" operator="greaterThanOrEqual">
      <formula>0.5</formula>
    </cfRule>
  </conditionalFormatting>
  <conditionalFormatting sqref="AH54">
    <cfRule type="cellIs" dxfId="10930" priority="141173" stopIfTrue="1" operator="equal">
      <formula>-1</formula>
    </cfRule>
  </conditionalFormatting>
  <conditionalFormatting sqref="AH54">
    <cfRule type="cellIs" dxfId="10929" priority="141174" stopIfTrue="1" operator="lessThan">
      <formula>0.5</formula>
    </cfRule>
  </conditionalFormatting>
  <conditionalFormatting sqref="AH54">
    <cfRule type="cellIs" dxfId="10928" priority="141175" stopIfTrue="1" operator="greaterThanOrEqual">
      <formula>0.5</formula>
    </cfRule>
  </conditionalFormatting>
  <conditionalFormatting sqref="AH55">
    <cfRule type="cellIs" dxfId="10927" priority="141176" stopIfTrue="1" operator="equal">
      <formula>-1</formula>
    </cfRule>
  </conditionalFormatting>
  <conditionalFormatting sqref="AH55">
    <cfRule type="cellIs" dxfId="10926" priority="141177" stopIfTrue="1" operator="lessThan">
      <formula>0.5</formula>
    </cfRule>
  </conditionalFormatting>
  <conditionalFormatting sqref="AH55">
    <cfRule type="cellIs" dxfId="10925" priority="141178" stopIfTrue="1" operator="greaterThanOrEqual">
      <formula>0.5</formula>
    </cfRule>
  </conditionalFormatting>
  <conditionalFormatting sqref="AH56">
    <cfRule type="cellIs" dxfId="10924" priority="141179" stopIfTrue="1" operator="equal">
      <formula>-1</formula>
    </cfRule>
  </conditionalFormatting>
  <conditionalFormatting sqref="AH56">
    <cfRule type="cellIs" dxfId="10923" priority="141180" stopIfTrue="1" operator="lessThan">
      <formula>0.5</formula>
    </cfRule>
  </conditionalFormatting>
  <conditionalFormatting sqref="AH56">
    <cfRule type="cellIs" dxfId="10922" priority="141181" stopIfTrue="1" operator="greaterThanOrEqual">
      <formula>0.5</formula>
    </cfRule>
  </conditionalFormatting>
  <conditionalFormatting sqref="AH57">
    <cfRule type="cellIs" dxfId="10921" priority="141182" stopIfTrue="1" operator="equal">
      <formula>-1</formula>
    </cfRule>
  </conditionalFormatting>
  <conditionalFormatting sqref="AH57">
    <cfRule type="cellIs" dxfId="10920" priority="141183" stopIfTrue="1" operator="lessThan">
      <formula>0.5</formula>
    </cfRule>
  </conditionalFormatting>
  <conditionalFormatting sqref="AH57">
    <cfRule type="cellIs" dxfId="10919" priority="141184" stopIfTrue="1" operator="greaterThanOrEqual">
      <formula>0.5</formula>
    </cfRule>
  </conditionalFormatting>
  <conditionalFormatting sqref="AH58">
    <cfRule type="cellIs" dxfId="10918" priority="141185" stopIfTrue="1" operator="equal">
      <formula>-1</formula>
    </cfRule>
  </conditionalFormatting>
  <conditionalFormatting sqref="AH58">
    <cfRule type="cellIs" dxfId="10917" priority="141186" stopIfTrue="1" operator="lessThan">
      <formula>0.5</formula>
    </cfRule>
  </conditionalFormatting>
  <conditionalFormatting sqref="AH58">
    <cfRule type="cellIs" dxfId="10916" priority="141187" stopIfTrue="1" operator="greaterThanOrEqual">
      <formula>0.5</formula>
    </cfRule>
  </conditionalFormatting>
  <conditionalFormatting sqref="AJ39">
    <cfRule type="cellIs" dxfId="10915" priority="141188" stopIfTrue="1" operator="equal">
      <formula>-1</formula>
    </cfRule>
  </conditionalFormatting>
  <conditionalFormatting sqref="AJ39">
    <cfRule type="cellIs" dxfId="10914" priority="141189" stopIfTrue="1" operator="lessThan">
      <formula>0.5</formula>
    </cfRule>
  </conditionalFormatting>
  <conditionalFormatting sqref="AJ39">
    <cfRule type="cellIs" dxfId="10913" priority="141190" stopIfTrue="1" operator="greaterThanOrEqual">
      <formula>0.5</formula>
    </cfRule>
  </conditionalFormatting>
  <conditionalFormatting sqref="AJ40">
    <cfRule type="cellIs" dxfId="10912" priority="141191" stopIfTrue="1" operator="equal">
      <formula>-1</formula>
    </cfRule>
  </conditionalFormatting>
  <conditionalFormatting sqref="AJ40">
    <cfRule type="cellIs" dxfId="10911" priority="141192" stopIfTrue="1" operator="lessThan">
      <formula>0.5</formula>
    </cfRule>
  </conditionalFormatting>
  <conditionalFormatting sqref="AJ40">
    <cfRule type="cellIs" dxfId="10910" priority="141193" stopIfTrue="1" operator="greaterThanOrEqual">
      <formula>0.5</formula>
    </cfRule>
  </conditionalFormatting>
  <conditionalFormatting sqref="AJ41">
    <cfRule type="cellIs" dxfId="10909" priority="141194" stopIfTrue="1" operator="equal">
      <formula>-1</formula>
    </cfRule>
  </conditionalFormatting>
  <conditionalFormatting sqref="AJ41">
    <cfRule type="cellIs" dxfId="10908" priority="141195" stopIfTrue="1" operator="lessThan">
      <formula>0.5</formula>
    </cfRule>
  </conditionalFormatting>
  <conditionalFormatting sqref="AJ41">
    <cfRule type="cellIs" dxfId="10907" priority="141196" stopIfTrue="1" operator="greaterThanOrEqual">
      <formula>0.5</formula>
    </cfRule>
  </conditionalFormatting>
  <conditionalFormatting sqref="AJ42">
    <cfRule type="cellIs" dxfId="10906" priority="141197" stopIfTrue="1" operator="equal">
      <formula>-1</formula>
    </cfRule>
  </conditionalFormatting>
  <conditionalFormatting sqref="AJ42">
    <cfRule type="cellIs" dxfId="10905" priority="141198" stopIfTrue="1" operator="lessThan">
      <formula>0.5</formula>
    </cfRule>
  </conditionalFormatting>
  <conditionalFormatting sqref="AJ42">
    <cfRule type="cellIs" dxfId="10904" priority="141199" stopIfTrue="1" operator="greaterThanOrEqual">
      <formula>0.5</formula>
    </cfRule>
  </conditionalFormatting>
  <conditionalFormatting sqref="AJ43">
    <cfRule type="cellIs" dxfId="10903" priority="141200" stopIfTrue="1" operator="equal">
      <formula>-1</formula>
    </cfRule>
  </conditionalFormatting>
  <conditionalFormatting sqref="AJ43">
    <cfRule type="cellIs" dxfId="10902" priority="141201" stopIfTrue="1" operator="lessThan">
      <formula>0.5</formula>
    </cfRule>
  </conditionalFormatting>
  <conditionalFormatting sqref="AJ43">
    <cfRule type="cellIs" dxfId="10901" priority="141202" stopIfTrue="1" operator="greaterThanOrEqual">
      <formula>0.5</formula>
    </cfRule>
  </conditionalFormatting>
  <conditionalFormatting sqref="AJ44">
    <cfRule type="cellIs" dxfId="10900" priority="141203" stopIfTrue="1" operator="equal">
      <formula>-1</formula>
    </cfRule>
  </conditionalFormatting>
  <conditionalFormatting sqref="AJ44">
    <cfRule type="cellIs" dxfId="10899" priority="141204" stopIfTrue="1" operator="lessThan">
      <formula>0.5</formula>
    </cfRule>
  </conditionalFormatting>
  <conditionalFormatting sqref="AJ44">
    <cfRule type="cellIs" dxfId="10898" priority="141205" stopIfTrue="1" operator="greaterThanOrEqual">
      <formula>0.5</formula>
    </cfRule>
  </conditionalFormatting>
  <conditionalFormatting sqref="AJ45">
    <cfRule type="cellIs" dxfId="10897" priority="141206" stopIfTrue="1" operator="equal">
      <formula>-1</formula>
    </cfRule>
  </conditionalFormatting>
  <conditionalFormatting sqref="AJ45">
    <cfRule type="cellIs" dxfId="10896" priority="141207" stopIfTrue="1" operator="lessThan">
      <formula>0.5</formula>
    </cfRule>
  </conditionalFormatting>
  <conditionalFormatting sqref="AJ45">
    <cfRule type="cellIs" dxfId="10895" priority="141208" stopIfTrue="1" operator="greaterThanOrEqual">
      <formula>0.5</formula>
    </cfRule>
  </conditionalFormatting>
  <conditionalFormatting sqref="AJ46">
    <cfRule type="cellIs" dxfId="10894" priority="141209" stopIfTrue="1" operator="equal">
      <formula>-1</formula>
    </cfRule>
  </conditionalFormatting>
  <conditionalFormatting sqref="AJ46">
    <cfRule type="cellIs" dxfId="10893" priority="141210" stopIfTrue="1" operator="lessThan">
      <formula>0.5</formula>
    </cfRule>
  </conditionalFormatting>
  <conditionalFormatting sqref="AJ46">
    <cfRule type="cellIs" dxfId="10892" priority="141211" stopIfTrue="1" operator="greaterThanOrEqual">
      <formula>0.5</formula>
    </cfRule>
  </conditionalFormatting>
  <conditionalFormatting sqref="AJ47">
    <cfRule type="cellIs" dxfId="10891" priority="141212" stopIfTrue="1" operator="equal">
      <formula>-1</formula>
    </cfRule>
  </conditionalFormatting>
  <conditionalFormatting sqref="AJ47">
    <cfRule type="cellIs" dxfId="10890" priority="141213" stopIfTrue="1" operator="lessThan">
      <formula>0.5</formula>
    </cfRule>
  </conditionalFormatting>
  <conditionalFormatting sqref="AJ47">
    <cfRule type="cellIs" dxfId="10889" priority="141214" stopIfTrue="1" operator="greaterThanOrEqual">
      <formula>0.5</formula>
    </cfRule>
  </conditionalFormatting>
  <conditionalFormatting sqref="AJ48">
    <cfRule type="cellIs" dxfId="10888" priority="141215" stopIfTrue="1" operator="equal">
      <formula>-1</formula>
    </cfRule>
  </conditionalFormatting>
  <conditionalFormatting sqref="AJ48">
    <cfRule type="cellIs" dxfId="10887" priority="141216" stopIfTrue="1" operator="lessThan">
      <formula>0.5</formula>
    </cfRule>
  </conditionalFormatting>
  <conditionalFormatting sqref="AJ48">
    <cfRule type="cellIs" dxfId="10886" priority="141217" stopIfTrue="1" operator="greaterThanOrEqual">
      <formula>0.5</formula>
    </cfRule>
  </conditionalFormatting>
  <conditionalFormatting sqref="AJ49">
    <cfRule type="cellIs" dxfId="10885" priority="141218" stopIfTrue="1" operator="equal">
      <formula>-1</formula>
    </cfRule>
  </conditionalFormatting>
  <conditionalFormatting sqref="AJ49">
    <cfRule type="cellIs" dxfId="10884" priority="141219" stopIfTrue="1" operator="lessThan">
      <formula>0.5</formula>
    </cfRule>
  </conditionalFormatting>
  <conditionalFormatting sqref="AJ49">
    <cfRule type="cellIs" dxfId="10883" priority="141220" stopIfTrue="1" operator="greaterThanOrEqual">
      <formula>0.5</formula>
    </cfRule>
  </conditionalFormatting>
  <conditionalFormatting sqref="AJ50">
    <cfRule type="cellIs" dxfId="10882" priority="141221" stopIfTrue="1" operator="equal">
      <formula>-1</formula>
    </cfRule>
  </conditionalFormatting>
  <conditionalFormatting sqref="AJ50">
    <cfRule type="cellIs" dxfId="10881" priority="141222" stopIfTrue="1" operator="lessThan">
      <formula>0.5</formula>
    </cfRule>
  </conditionalFormatting>
  <conditionalFormatting sqref="AJ50">
    <cfRule type="cellIs" dxfId="10880" priority="141223" stopIfTrue="1" operator="greaterThanOrEqual">
      <formula>0.5</formula>
    </cfRule>
  </conditionalFormatting>
  <conditionalFormatting sqref="AJ51">
    <cfRule type="cellIs" dxfId="10879" priority="141224" stopIfTrue="1" operator="equal">
      <formula>-1</formula>
    </cfRule>
  </conditionalFormatting>
  <conditionalFormatting sqref="AJ51">
    <cfRule type="cellIs" dxfId="10878" priority="141225" stopIfTrue="1" operator="lessThan">
      <formula>0.5</formula>
    </cfRule>
  </conditionalFormatting>
  <conditionalFormatting sqref="AJ51">
    <cfRule type="cellIs" dxfId="10877" priority="141226" stopIfTrue="1" operator="greaterThanOrEqual">
      <formula>0.5</formula>
    </cfRule>
  </conditionalFormatting>
  <conditionalFormatting sqref="AJ52">
    <cfRule type="cellIs" dxfId="10876" priority="141227" stopIfTrue="1" operator="equal">
      <formula>-1</formula>
    </cfRule>
  </conditionalFormatting>
  <conditionalFormatting sqref="AJ52">
    <cfRule type="cellIs" dxfId="10875" priority="141228" stopIfTrue="1" operator="lessThan">
      <formula>0.5</formula>
    </cfRule>
  </conditionalFormatting>
  <conditionalFormatting sqref="AJ52">
    <cfRule type="cellIs" dxfId="10874" priority="141229" stopIfTrue="1" operator="greaterThanOrEqual">
      <formula>0.5</formula>
    </cfRule>
  </conditionalFormatting>
  <conditionalFormatting sqref="AJ53">
    <cfRule type="cellIs" dxfId="10873" priority="141230" stopIfTrue="1" operator="equal">
      <formula>-1</formula>
    </cfRule>
  </conditionalFormatting>
  <conditionalFormatting sqref="AJ53">
    <cfRule type="cellIs" dxfId="10872" priority="141231" stopIfTrue="1" operator="lessThan">
      <formula>0.5</formula>
    </cfRule>
  </conditionalFormatting>
  <conditionalFormatting sqref="AJ53">
    <cfRule type="cellIs" dxfId="10871" priority="141232" stopIfTrue="1" operator="greaterThanOrEqual">
      <formula>0.5</formula>
    </cfRule>
  </conditionalFormatting>
  <conditionalFormatting sqref="AJ54">
    <cfRule type="cellIs" dxfId="10870" priority="141233" stopIfTrue="1" operator="equal">
      <formula>-1</formula>
    </cfRule>
  </conditionalFormatting>
  <conditionalFormatting sqref="AJ54">
    <cfRule type="cellIs" dxfId="10869" priority="141234" stopIfTrue="1" operator="lessThan">
      <formula>0.5</formula>
    </cfRule>
  </conditionalFormatting>
  <conditionalFormatting sqref="AJ54">
    <cfRule type="cellIs" dxfId="10868" priority="141235" stopIfTrue="1" operator="greaterThanOrEqual">
      <formula>0.5</formula>
    </cfRule>
  </conditionalFormatting>
  <conditionalFormatting sqref="AJ55">
    <cfRule type="cellIs" dxfId="10867" priority="141236" stopIfTrue="1" operator="equal">
      <formula>-1</formula>
    </cfRule>
  </conditionalFormatting>
  <conditionalFormatting sqref="AJ55">
    <cfRule type="cellIs" dxfId="10866" priority="141237" stopIfTrue="1" operator="lessThan">
      <formula>0.5</formula>
    </cfRule>
  </conditionalFormatting>
  <conditionalFormatting sqref="AJ55">
    <cfRule type="cellIs" dxfId="10865" priority="141238" stopIfTrue="1" operator="greaterThanOrEqual">
      <formula>0.5</formula>
    </cfRule>
  </conditionalFormatting>
  <conditionalFormatting sqref="AJ56">
    <cfRule type="cellIs" dxfId="10864" priority="141239" stopIfTrue="1" operator="equal">
      <formula>-1</formula>
    </cfRule>
  </conditionalFormatting>
  <conditionalFormatting sqref="AJ56">
    <cfRule type="cellIs" dxfId="10863" priority="141240" stopIfTrue="1" operator="lessThan">
      <formula>0.5</formula>
    </cfRule>
  </conditionalFormatting>
  <conditionalFormatting sqref="AJ56">
    <cfRule type="cellIs" dxfId="10862" priority="141241" stopIfTrue="1" operator="greaterThanOrEqual">
      <formula>0.5</formula>
    </cfRule>
  </conditionalFormatting>
  <conditionalFormatting sqref="AJ57">
    <cfRule type="cellIs" dxfId="10861" priority="141242" stopIfTrue="1" operator="equal">
      <formula>-1</formula>
    </cfRule>
  </conditionalFormatting>
  <conditionalFormatting sqref="AJ57">
    <cfRule type="cellIs" dxfId="10860" priority="141243" stopIfTrue="1" operator="lessThan">
      <formula>0.5</formula>
    </cfRule>
  </conditionalFormatting>
  <conditionalFormatting sqref="AJ57">
    <cfRule type="cellIs" dxfId="10859" priority="141244" stopIfTrue="1" operator="greaterThanOrEqual">
      <formula>0.5</formula>
    </cfRule>
  </conditionalFormatting>
  <conditionalFormatting sqref="AJ58">
    <cfRule type="cellIs" dxfId="10858" priority="141245" stopIfTrue="1" operator="equal">
      <formula>-1</formula>
    </cfRule>
  </conditionalFormatting>
  <conditionalFormatting sqref="AJ58">
    <cfRule type="cellIs" dxfId="10857" priority="141246" stopIfTrue="1" operator="lessThan">
      <formula>0.5</formula>
    </cfRule>
  </conditionalFormatting>
  <conditionalFormatting sqref="AJ58">
    <cfRule type="cellIs" dxfId="10856" priority="141247" stopIfTrue="1" operator="greaterThanOrEqual">
      <formula>0.5</formula>
    </cfRule>
  </conditionalFormatting>
  <conditionalFormatting sqref="AL39">
    <cfRule type="cellIs" dxfId="10855" priority="141248" stopIfTrue="1" operator="equal">
      <formula>-1</formula>
    </cfRule>
  </conditionalFormatting>
  <conditionalFormatting sqref="AL39">
    <cfRule type="cellIs" dxfId="10854" priority="141249" stopIfTrue="1" operator="lessThan">
      <formula>0.5</formula>
    </cfRule>
  </conditionalFormatting>
  <conditionalFormatting sqref="AL39">
    <cfRule type="cellIs" dxfId="10853" priority="141250" stopIfTrue="1" operator="greaterThanOrEqual">
      <formula>0.5</formula>
    </cfRule>
  </conditionalFormatting>
  <conditionalFormatting sqref="AL40">
    <cfRule type="cellIs" dxfId="10852" priority="141251" stopIfTrue="1" operator="equal">
      <formula>-1</formula>
    </cfRule>
  </conditionalFormatting>
  <conditionalFormatting sqref="AL40">
    <cfRule type="cellIs" dxfId="10851" priority="141252" stopIfTrue="1" operator="lessThan">
      <formula>0.5</formula>
    </cfRule>
  </conditionalFormatting>
  <conditionalFormatting sqref="AL40">
    <cfRule type="cellIs" dxfId="10850" priority="141253" stopIfTrue="1" operator="greaterThanOrEqual">
      <formula>0.5</formula>
    </cfRule>
  </conditionalFormatting>
  <conditionalFormatting sqref="AL41">
    <cfRule type="cellIs" dxfId="10849" priority="141254" stopIfTrue="1" operator="equal">
      <formula>-1</formula>
    </cfRule>
  </conditionalFormatting>
  <conditionalFormatting sqref="AL41">
    <cfRule type="cellIs" dxfId="10848" priority="141255" stopIfTrue="1" operator="lessThan">
      <formula>0.5</formula>
    </cfRule>
  </conditionalFormatting>
  <conditionalFormatting sqref="AL41">
    <cfRule type="cellIs" dxfId="10847" priority="141256" stopIfTrue="1" operator="greaterThanOrEqual">
      <formula>0.5</formula>
    </cfRule>
  </conditionalFormatting>
  <conditionalFormatting sqref="AL42">
    <cfRule type="cellIs" dxfId="10846" priority="141257" stopIfTrue="1" operator="equal">
      <formula>-1</formula>
    </cfRule>
  </conditionalFormatting>
  <conditionalFormatting sqref="AL42">
    <cfRule type="cellIs" dxfId="10845" priority="141258" stopIfTrue="1" operator="lessThan">
      <formula>0.5</formula>
    </cfRule>
  </conditionalFormatting>
  <conditionalFormatting sqref="AL42">
    <cfRule type="cellIs" dxfId="10844" priority="141259" stopIfTrue="1" operator="greaterThanOrEqual">
      <formula>0.5</formula>
    </cfRule>
  </conditionalFormatting>
  <conditionalFormatting sqref="AL43">
    <cfRule type="cellIs" dxfId="10843" priority="141260" stopIfTrue="1" operator="equal">
      <formula>-1</formula>
    </cfRule>
  </conditionalFormatting>
  <conditionalFormatting sqref="AL43">
    <cfRule type="cellIs" dxfId="10842" priority="141261" stopIfTrue="1" operator="lessThan">
      <formula>0.5</formula>
    </cfRule>
  </conditionalFormatting>
  <conditionalFormatting sqref="AL43">
    <cfRule type="cellIs" dxfId="10841" priority="141262" stopIfTrue="1" operator="greaterThanOrEqual">
      <formula>0.5</formula>
    </cfRule>
  </conditionalFormatting>
  <conditionalFormatting sqref="AL44">
    <cfRule type="cellIs" dxfId="10840" priority="141263" stopIfTrue="1" operator="equal">
      <formula>-1</formula>
    </cfRule>
  </conditionalFormatting>
  <conditionalFormatting sqref="AL44">
    <cfRule type="cellIs" dxfId="10839" priority="141264" stopIfTrue="1" operator="lessThan">
      <formula>0.5</formula>
    </cfRule>
  </conditionalFormatting>
  <conditionalFormatting sqref="AL44">
    <cfRule type="cellIs" dxfId="10838" priority="141265" stopIfTrue="1" operator="greaterThanOrEqual">
      <formula>0.5</formula>
    </cfRule>
  </conditionalFormatting>
  <conditionalFormatting sqref="AL45">
    <cfRule type="cellIs" dxfId="10837" priority="141266" stopIfTrue="1" operator="equal">
      <formula>-1</formula>
    </cfRule>
  </conditionalFormatting>
  <conditionalFormatting sqref="AL45">
    <cfRule type="cellIs" dxfId="10836" priority="141267" stopIfTrue="1" operator="lessThan">
      <formula>0.5</formula>
    </cfRule>
  </conditionalFormatting>
  <conditionalFormatting sqref="AL45">
    <cfRule type="cellIs" dxfId="10835" priority="141268" stopIfTrue="1" operator="greaterThanOrEqual">
      <formula>0.5</formula>
    </cfRule>
  </conditionalFormatting>
  <conditionalFormatting sqref="AL46">
    <cfRule type="cellIs" dxfId="10834" priority="141269" stopIfTrue="1" operator="equal">
      <formula>-1</formula>
    </cfRule>
  </conditionalFormatting>
  <conditionalFormatting sqref="AL46">
    <cfRule type="cellIs" dxfId="10833" priority="141270" stopIfTrue="1" operator="lessThan">
      <formula>0.5</formula>
    </cfRule>
  </conditionalFormatting>
  <conditionalFormatting sqref="AL46">
    <cfRule type="cellIs" dxfId="10832" priority="141271" stopIfTrue="1" operator="greaterThanOrEqual">
      <formula>0.5</formula>
    </cfRule>
  </conditionalFormatting>
  <conditionalFormatting sqref="AL47">
    <cfRule type="cellIs" dxfId="10831" priority="141272" stopIfTrue="1" operator="equal">
      <formula>-1</formula>
    </cfRule>
  </conditionalFormatting>
  <conditionalFormatting sqref="AL47">
    <cfRule type="cellIs" dxfId="10830" priority="141273" stopIfTrue="1" operator="lessThan">
      <formula>0.5</formula>
    </cfRule>
  </conditionalFormatting>
  <conditionalFormatting sqref="AL47">
    <cfRule type="cellIs" dxfId="10829" priority="141274" stopIfTrue="1" operator="greaterThanOrEqual">
      <formula>0.5</formula>
    </cfRule>
  </conditionalFormatting>
  <conditionalFormatting sqref="AL48">
    <cfRule type="cellIs" dxfId="10828" priority="141275" stopIfTrue="1" operator="equal">
      <formula>-1</formula>
    </cfRule>
  </conditionalFormatting>
  <conditionalFormatting sqref="AL48">
    <cfRule type="cellIs" dxfId="10827" priority="141276" stopIfTrue="1" operator="lessThan">
      <formula>0.5</formula>
    </cfRule>
  </conditionalFormatting>
  <conditionalFormatting sqref="AL48">
    <cfRule type="cellIs" dxfId="10826" priority="141277" stopIfTrue="1" operator="greaterThanOrEqual">
      <formula>0.5</formula>
    </cfRule>
  </conditionalFormatting>
  <conditionalFormatting sqref="AL49">
    <cfRule type="cellIs" dxfId="10825" priority="141278" stopIfTrue="1" operator="equal">
      <formula>-1</formula>
    </cfRule>
  </conditionalFormatting>
  <conditionalFormatting sqref="AL49">
    <cfRule type="cellIs" dxfId="10824" priority="141279" stopIfTrue="1" operator="lessThan">
      <formula>0.5</formula>
    </cfRule>
  </conditionalFormatting>
  <conditionalFormatting sqref="AL49">
    <cfRule type="cellIs" dxfId="10823" priority="141280" stopIfTrue="1" operator="greaterThanOrEqual">
      <formula>0.5</formula>
    </cfRule>
  </conditionalFormatting>
  <conditionalFormatting sqref="AL50">
    <cfRule type="cellIs" dxfId="10822" priority="141281" stopIfTrue="1" operator="equal">
      <formula>-1</formula>
    </cfRule>
  </conditionalFormatting>
  <conditionalFormatting sqref="AL50">
    <cfRule type="cellIs" dxfId="10821" priority="141282" stopIfTrue="1" operator="lessThan">
      <formula>0.5</formula>
    </cfRule>
  </conditionalFormatting>
  <conditionalFormatting sqref="AL50">
    <cfRule type="cellIs" dxfId="10820" priority="141283" stopIfTrue="1" operator="greaterThanOrEqual">
      <formula>0.5</formula>
    </cfRule>
  </conditionalFormatting>
  <conditionalFormatting sqref="AL51">
    <cfRule type="cellIs" dxfId="10819" priority="141284" stopIfTrue="1" operator="equal">
      <formula>-1</formula>
    </cfRule>
  </conditionalFormatting>
  <conditionalFormatting sqref="AL51">
    <cfRule type="cellIs" dxfId="10818" priority="141285" stopIfTrue="1" operator="lessThan">
      <formula>0.5</formula>
    </cfRule>
  </conditionalFormatting>
  <conditionalFormatting sqref="AL51">
    <cfRule type="cellIs" dxfId="10817" priority="141286" stopIfTrue="1" operator="greaterThanOrEqual">
      <formula>0.5</formula>
    </cfRule>
  </conditionalFormatting>
  <conditionalFormatting sqref="AL52">
    <cfRule type="cellIs" dxfId="10816" priority="141287" stopIfTrue="1" operator="equal">
      <formula>-1</formula>
    </cfRule>
  </conditionalFormatting>
  <conditionalFormatting sqref="AL52">
    <cfRule type="cellIs" dxfId="10815" priority="141288" stopIfTrue="1" operator="lessThan">
      <formula>0.5</formula>
    </cfRule>
  </conditionalFormatting>
  <conditionalFormatting sqref="AL52">
    <cfRule type="cellIs" dxfId="10814" priority="141289" stopIfTrue="1" operator="greaterThanOrEqual">
      <formula>0.5</formula>
    </cfRule>
  </conditionalFormatting>
  <conditionalFormatting sqref="AL53">
    <cfRule type="cellIs" dxfId="10813" priority="141290" stopIfTrue="1" operator="equal">
      <formula>-1</formula>
    </cfRule>
  </conditionalFormatting>
  <conditionalFormatting sqref="AL53">
    <cfRule type="cellIs" dxfId="10812" priority="141291" stopIfTrue="1" operator="lessThan">
      <formula>0.5</formula>
    </cfRule>
  </conditionalFormatting>
  <conditionalFormatting sqref="AL53">
    <cfRule type="cellIs" dxfId="10811" priority="141292" stopIfTrue="1" operator="greaterThanOrEqual">
      <formula>0.5</formula>
    </cfRule>
  </conditionalFormatting>
  <conditionalFormatting sqref="AL54">
    <cfRule type="cellIs" dxfId="10810" priority="141293" stopIfTrue="1" operator="equal">
      <formula>-1</formula>
    </cfRule>
  </conditionalFormatting>
  <conditionalFormatting sqref="AL54">
    <cfRule type="cellIs" dxfId="10809" priority="141294" stopIfTrue="1" operator="lessThan">
      <formula>0.5</formula>
    </cfRule>
  </conditionalFormatting>
  <conditionalFormatting sqref="AL54">
    <cfRule type="cellIs" dxfId="10808" priority="141295" stopIfTrue="1" operator="greaterThanOrEqual">
      <formula>0.5</formula>
    </cfRule>
  </conditionalFormatting>
  <conditionalFormatting sqref="AL55">
    <cfRule type="cellIs" dxfId="10807" priority="141296" stopIfTrue="1" operator="equal">
      <formula>-1</formula>
    </cfRule>
  </conditionalFormatting>
  <conditionalFormatting sqref="AL55">
    <cfRule type="cellIs" dxfId="10806" priority="141297" stopIfTrue="1" operator="lessThan">
      <formula>0.5</formula>
    </cfRule>
  </conditionalFormatting>
  <conditionalFormatting sqref="AL55">
    <cfRule type="cellIs" dxfId="10805" priority="141298" stopIfTrue="1" operator="greaterThanOrEqual">
      <formula>0.5</formula>
    </cfRule>
  </conditionalFormatting>
  <conditionalFormatting sqref="AL56">
    <cfRule type="cellIs" dxfId="10804" priority="141299" stopIfTrue="1" operator="equal">
      <formula>-1</formula>
    </cfRule>
  </conditionalFormatting>
  <conditionalFormatting sqref="AL56">
    <cfRule type="cellIs" dxfId="10803" priority="141300" stopIfTrue="1" operator="lessThan">
      <formula>0.5</formula>
    </cfRule>
  </conditionalFormatting>
  <conditionalFormatting sqref="AL56">
    <cfRule type="cellIs" dxfId="10802" priority="141301" stopIfTrue="1" operator="greaterThanOrEqual">
      <formula>0.5</formula>
    </cfRule>
  </conditionalFormatting>
  <conditionalFormatting sqref="AL57">
    <cfRule type="cellIs" dxfId="10801" priority="141302" stopIfTrue="1" operator="equal">
      <formula>-1</formula>
    </cfRule>
  </conditionalFormatting>
  <conditionalFormatting sqref="AL57">
    <cfRule type="cellIs" dxfId="10800" priority="141303" stopIfTrue="1" operator="lessThan">
      <formula>0.5</formula>
    </cfRule>
  </conditionalFormatting>
  <conditionalFormatting sqref="AL57">
    <cfRule type="cellIs" dxfId="10799" priority="141304" stopIfTrue="1" operator="greaterThanOrEqual">
      <formula>0.5</formula>
    </cfRule>
  </conditionalFormatting>
  <conditionalFormatting sqref="AL58">
    <cfRule type="cellIs" dxfId="10798" priority="141305" stopIfTrue="1" operator="equal">
      <formula>-1</formula>
    </cfRule>
  </conditionalFormatting>
  <conditionalFormatting sqref="AL58">
    <cfRule type="cellIs" dxfId="10797" priority="141306" stopIfTrue="1" operator="lessThan">
      <formula>0.5</formula>
    </cfRule>
  </conditionalFormatting>
  <conditionalFormatting sqref="AL58">
    <cfRule type="cellIs" dxfId="10796" priority="141307" stopIfTrue="1" operator="greaterThanOrEqual">
      <formula>0.5</formula>
    </cfRule>
  </conditionalFormatting>
  <conditionalFormatting sqref="AN39">
    <cfRule type="cellIs" dxfId="10795" priority="141308" stopIfTrue="1" operator="equal">
      <formula>-1</formula>
    </cfRule>
  </conditionalFormatting>
  <conditionalFormatting sqref="AN39">
    <cfRule type="cellIs" dxfId="10794" priority="141309" stopIfTrue="1" operator="lessThan">
      <formula>0.5</formula>
    </cfRule>
  </conditionalFormatting>
  <conditionalFormatting sqref="AN39">
    <cfRule type="cellIs" dxfId="10793" priority="141310" stopIfTrue="1" operator="greaterThanOrEqual">
      <formula>0.5</formula>
    </cfRule>
  </conditionalFormatting>
  <conditionalFormatting sqref="AN40">
    <cfRule type="cellIs" dxfId="10792" priority="141311" stopIfTrue="1" operator="equal">
      <formula>-1</formula>
    </cfRule>
  </conditionalFormatting>
  <conditionalFormatting sqref="AN40">
    <cfRule type="cellIs" dxfId="10791" priority="141312" stopIfTrue="1" operator="lessThan">
      <formula>0.5</formula>
    </cfRule>
  </conditionalFormatting>
  <conditionalFormatting sqref="AN40">
    <cfRule type="cellIs" dxfId="10790" priority="141313" stopIfTrue="1" operator="greaterThanOrEqual">
      <formula>0.5</formula>
    </cfRule>
  </conditionalFormatting>
  <conditionalFormatting sqref="AN41">
    <cfRule type="cellIs" dxfId="10789" priority="141314" stopIfTrue="1" operator="equal">
      <formula>-1</formula>
    </cfRule>
  </conditionalFormatting>
  <conditionalFormatting sqref="AN41">
    <cfRule type="cellIs" dxfId="10788" priority="141315" stopIfTrue="1" operator="lessThan">
      <formula>0.5</formula>
    </cfRule>
  </conditionalFormatting>
  <conditionalFormatting sqref="AN41">
    <cfRule type="cellIs" dxfId="10787" priority="141316" stopIfTrue="1" operator="greaterThanOrEqual">
      <formula>0.5</formula>
    </cfRule>
  </conditionalFormatting>
  <conditionalFormatting sqref="AN42">
    <cfRule type="cellIs" dxfId="10786" priority="141317" stopIfTrue="1" operator="equal">
      <formula>-1</formula>
    </cfRule>
  </conditionalFormatting>
  <conditionalFormatting sqref="AN42">
    <cfRule type="cellIs" dxfId="10785" priority="141318" stopIfTrue="1" operator="lessThan">
      <formula>0.5</formula>
    </cfRule>
  </conditionalFormatting>
  <conditionalFormatting sqref="AN42">
    <cfRule type="cellIs" dxfId="10784" priority="141319" stopIfTrue="1" operator="greaterThanOrEqual">
      <formula>0.5</formula>
    </cfRule>
  </conditionalFormatting>
  <conditionalFormatting sqref="AN43">
    <cfRule type="cellIs" dxfId="10783" priority="141320" stopIfTrue="1" operator="equal">
      <formula>-1</formula>
    </cfRule>
  </conditionalFormatting>
  <conditionalFormatting sqref="AN43">
    <cfRule type="cellIs" dxfId="10782" priority="141321" stopIfTrue="1" operator="lessThan">
      <formula>0.5</formula>
    </cfRule>
  </conditionalFormatting>
  <conditionalFormatting sqref="AN43">
    <cfRule type="cellIs" dxfId="10781" priority="141322" stopIfTrue="1" operator="greaterThanOrEqual">
      <formula>0.5</formula>
    </cfRule>
  </conditionalFormatting>
  <conditionalFormatting sqref="AN44">
    <cfRule type="cellIs" dxfId="10780" priority="141323" stopIfTrue="1" operator="equal">
      <formula>-1</formula>
    </cfRule>
  </conditionalFormatting>
  <conditionalFormatting sqref="AN44">
    <cfRule type="cellIs" dxfId="10779" priority="141324" stopIfTrue="1" operator="lessThan">
      <formula>0.5</formula>
    </cfRule>
  </conditionalFormatting>
  <conditionalFormatting sqref="AN44">
    <cfRule type="cellIs" dxfId="10778" priority="141325" stopIfTrue="1" operator="greaterThanOrEqual">
      <formula>0.5</formula>
    </cfRule>
  </conditionalFormatting>
  <conditionalFormatting sqref="AN45">
    <cfRule type="cellIs" dxfId="10777" priority="141326" stopIfTrue="1" operator="equal">
      <formula>-1</formula>
    </cfRule>
  </conditionalFormatting>
  <conditionalFormatting sqref="AN45">
    <cfRule type="cellIs" dxfId="10776" priority="141327" stopIfTrue="1" operator="lessThan">
      <formula>0.5</formula>
    </cfRule>
  </conditionalFormatting>
  <conditionalFormatting sqref="AN45">
    <cfRule type="cellIs" dxfId="10775" priority="141328" stopIfTrue="1" operator="greaterThanOrEqual">
      <formula>0.5</formula>
    </cfRule>
  </conditionalFormatting>
  <conditionalFormatting sqref="AN46">
    <cfRule type="cellIs" dxfId="10774" priority="141329" stopIfTrue="1" operator="equal">
      <formula>-1</formula>
    </cfRule>
  </conditionalFormatting>
  <conditionalFormatting sqref="AN46">
    <cfRule type="cellIs" dxfId="10773" priority="141330" stopIfTrue="1" operator="lessThan">
      <formula>0.5</formula>
    </cfRule>
  </conditionalFormatting>
  <conditionalFormatting sqref="AN46">
    <cfRule type="cellIs" dxfId="10772" priority="141331" stopIfTrue="1" operator="greaterThanOrEqual">
      <formula>0.5</formula>
    </cfRule>
  </conditionalFormatting>
  <conditionalFormatting sqref="AN47">
    <cfRule type="cellIs" dxfId="10771" priority="141332" stopIfTrue="1" operator="equal">
      <formula>-1</formula>
    </cfRule>
  </conditionalFormatting>
  <conditionalFormatting sqref="AN47">
    <cfRule type="cellIs" dxfId="10770" priority="141333" stopIfTrue="1" operator="lessThan">
      <formula>0.5</formula>
    </cfRule>
  </conditionalFormatting>
  <conditionalFormatting sqref="AN47">
    <cfRule type="cellIs" dxfId="10769" priority="141334" stopIfTrue="1" operator="greaterThanOrEqual">
      <formula>0.5</formula>
    </cfRule>
  </conditionalFormatting>
  <conditionalFormatting sqref="AN48">
    <cfRule type="cellIs" dxfId="10768" priority="141335" stopIfTrue="1" operator="equal">
      <formula>-1</formula>
    </cfRule>
  </conditionalFormatting>
  <conditionalFormatting sqref="AN48">
    <cfRule type="cellIs" dxfId="10767" priority="141336" stopIfTrue="1" operator="lessThan">
      <formula>0.5</formula>
    </cfRule>
  </conditionalFormatting>
  <conditionalFormatting sqref="AN48">
    <cfRule type="cellIs" dxfId="10766" priority="141337" stopIfTrue="1" operator="greaterThanOrEqual">
      <formula>0.5</formula>
    </cfRule>
  </conditionalFormatting>
  <conditionalFormatting sqref="AN49">
    <cfRule type="cellIs" dxfId="10765" priority="141338" stopIfTrue="1" operator="equal">
      <formula>-1</formula>
    </cfRule>
  </conditionalFormatting>
  <conditionalFormatting sqref="AN49">
    <cfRule type="cellIs" dxfId="10764" priority="141339" stopIfTrue="1" operator="lessThan">
      <formula>0.5</formula>
    </cfRule>
  </conditionalFormatting>
  <conditionalFormatting sqref="AN49">
    <cfRule type="cellIs" dxfId="10763" priority="141340" stopIfTrue="1" operator="greaterThanOrEqual">
      <formula>0.5</formula>
    </cfRule>
  </conditionalFormatting>
  <conditionalFormatting sqref="AN50">
    <cfRule type="cellIs" dxfId="10762" priority="141341" stopIfTrue="1" operator="equal">
      <formula>-1</formula>
    </cfRule>
  </conditionalFormatting>
  <conditionalFormatting sqref="AN50">
    <cfRule type="cellIs" dxfId="10761" priority="141342" stopIfTrue="1" operator="lessThan">
      <formula>0.5</formula>
    </cfRule>
  </conditionalFormatting>
  <conditionalFormatting sqref="AN50">
    <cfRule type="cellIs" dxfId="10760" priority="141343" stopIfTrue="1" operator="greaterThanOrEqual">
      <formula>0.5</formula>
    </cfRule>
  </conditionalFormatting>
  <conditionalFormatting sqref="AN51">
    <cfRule type="cellIs" dxfId="10759" priority="141344" stopIfTrue="1" operator="equal">
      <formula>-1</formula>
    </cfRule>
  </conditionalFormatting>
  <conditionalFormatting sqref="AN51">
    <cfRule type="cellIs" dxfId="10758" priority="141345" stopIfTrue="1" operator="lessThan">
      <formula>0.5</formula>
    </cfRule>
  </conditionalFormatting>
  <conditionalFormatting sqref="AN51">
    <cfRule type="cellIs" dxfId="10757" priority="141346" stopIfTrue="1" operator="greaterThanOrEqual">
      <formula>0.5</formula>
    </cfRule>
  </conditionalFormatting>
  <conditionalFormatting sqref="AN52">
    <cfRule type="cellIs" dxfId="10756" priority="141347" stopIfTrue="1" operator="equal">
      <formula>-1</formula>
    </cfRule>
  </conditionalFormatting>
  <conditionalFormatting sqref="AN52">
    <cfRule type="cellIs" dxfId="10755" priority="141348" stopIfTrue="1" operator="lessThan">
      <formula>0.5</formula>
    </cfRule>
  </conditionalFormatting>
  <conditionalFormatting sqref="AN52">
    <cfRule type="cellIs" dxfId="10754" priority="141349" stopIfTrue="1" operator="greaterThanOrEqual">
      <formula>0.5</formula>
    </cfRule>
  </conditionalFormatting>
  <conditionalFormatting sqref="AN53">
    <cfRule type="cellIs" dxfId="10753" priority="141350" stopIfTrue="1" operator="equal">
      <formula>-1</formula>
    </cfRule>
  </conditionalFormatting>
  <conditionalFormatting sqref="AN53">
    <cfRule type="cellIs" dxfId="10752" priority="141351" stopIfTrue="1" operator="lessThan">
      <formula>0.5</formula>
    </cfRule>
  </conditionalFormatting>
  <conditionalFormatting sqref="AN53">
    <cfRule type="cellIs" dxfId="10751" priority="141352" stopIfTrue="1" operator="greaterThanOrEqual">
      <formula>0.5</formula>
    </cfRule>
  </conditionalFormatting>
  <conditionalFormatting sqref="AN54">
    <cfRule type="cellIs" dxfId="10750" priority="141353" stopIfTrue="1" operator="equal">
      <formula>-1</formula>
    </cfRule>
  </conditionalFormatting>
  <conditionalFormatting sqref="AN54">
    <cfRule type="cellIs" dxfId="10749" priority="141354" stopIfTrue="1" operator="lessThan">
      <formula>0.5</formula>
    </cfRule>
  </conditionalFormatting>
  <conditionalFormatting sqref="AN54">
    <cfRule type="cellIs" dxfId="10748" priority="141355" stopIfTrue="1" operator="greaterThanOrEqual">
      <formula>0.5</formula>
    </cfRule>
  </conditionalFormatting>
  <conditionalFormatting sqref="AN55">
    <cfRule type="cellIs" dxfId="10747" priority="141356" stopIfTrue="1" operator="equal">
      <formula>-1</formula>
    </cfRule>
  </conditionalFormatting>
  <conditionalFormatting sqref="AN55">
    <cfRule type="cellIs" dxfId="10746" priority="141357" stopIfTrue="1" operator="lessThan">
      <formula>0.5</formula>
    </cfRule>
  </conditionalFormatting>
  <conditionalFormatting sqref="AN55">
    <cfRule type="cellIs" dxfId="10745" priority="141358" stopIfTrue="1" operator="greaterThanOrEqual">
      <formula>0.5</formula>
    </cfRule>
  </conditionalFormatting>
  <conditionalFormatting sqref="AN56">
    <cfRule type="cellIs" dxfId="10744" priority="141359" stopIfTrue="1" operator="equal">
      <formula>-1</formula>
    </cfRule>
  </conditionalFormatting>
  <conditionalFormatting sqref="AN56">
    <cfRule type="cellIs" dxfId="10743" priority="141360" stopIfTrue="1" operator="lessThan">
      <formula>0.5</formula>
    </cfRule>
  </conditionalFormatting>
  <conditionalFormatting sqref="AN56">
    <cfRule type="cellIs" dxfId="10742" priority="141361" stopIfTrue="1" operator="greaterThanOrEqual">
      <formula>0.5</formula>
    </cfRule>
  </conditionalFormatting>
  <conditionalFormatting sqref="AN57">
    <cfRule type="cellIs" dxfId="10741" priority="141362" stopIfTrue="1" operator="equal">
      <formula>-1</formula>
    </cfRule>
  </conditionalFormatting>
  <conditionalFormatting sqref="AN57">
    <cfRule type="cellIs" dxfId="10740" priority="141363" stopIfTrue="1" operator="lessThan">
      <formula>0.5</formula>
    </cfRule>
  </conditionalFormatting>
  <conditionalFormatting sqref="AN57">
    <cfRule type="cellIs" dxfId="10739" priority="141364" stopIfTrue="1" operator="greaterThanOrEqual">
      <formula>0.5</formula>
    </cfRule>
  </conditionalFormatting>
  <conditionalFormatting sqref="AN58">
    <cfRule type="cellIs" dxfId="10738" priority="141365" stopIfTrue="1" operator="equal">
      <formula>-1</formula>
    </cfRule>
  </conditionalFormatting>
  <conditionalFormatting sqref="AN58">
    <cfRule type="cellIs" dxfId="10737" priority="141366" stopIfTrue="1" operator="lessThan">
      <formula>0.5</formula>
    </cfRule>
  </conditionalFormatting>
  <conditionalFormatting sqref="AN58">
    <cfRule type="cellIs" dxfId="10736" priority="141367" stopIfTrue="1" operator="greaterThanOrEqual">
      <formula>0.5</formula>
    </cfRule>
  </conditionalFormatting>
  <conditionalFormatting sqref="AP39">
    <cfRule type="cellIs" dxfId="10735" priority="141368" stopIfTrue="1" operator="equal">
      <formula>-1</formula>
    </cfRule>
  </conditionalFormatting>
  <conditionalFormatting sqref="AP39">
    <cfRule type="cellIs" dxfId="10734" priority="141369" stopIfTrue="1" operator="lessThan">
      <formula>0.5</formula>
    </cfRule>
  </conditionalFormatting>
  <conditionalFormatting sqref="AP39">
    <cfRule type="cellIs" dxfId="10733" priority="141370" stopIfTrue="1" operator="greaterThanOrEqual">
      <formula>0.5</formula>
    </cfRule>
  </conditionalFormatting>
  <conditionalFormatting sqref="AP40">
    <cfRule type="cellIs" dxfId="10732" priority="141371" stopIfTrue="1" operator="equal">
      <formula>-1</formula>
    </cfRule>
  </conditionalFormatting>
  <conditionalFormatting sqref="AP40">
    <cfRule type="cellIs" dxfId="10731" priority="141372" stopIfTrue="1" operator="lessThan">
      <formula>0.5</formula>
    </cfRule>
  </conditionalFormatting>
  <conditionalFormatting sqref="AP40">
    <cfRule type="cellIs" dxfId="10730" priority="141373" stopIfTrue="1" operator="greaterThanOrEqual">
      <formula>0.5</formula>
    </cfRule>
  </conditionalFormatting>
  <conditionalFormatting sqref="AP41">
    <cfRule type="cellIs" dxfId="10729" priority="141374" stopIfTrue="1" operator="equal">
      <formula>-1</formula>
    </cfRule>
  </conditionalFormatting>
  <conditionalFormatting sqref="AP41">
    <cfRule type="cellIs" dxfId="10728" priority="141375" stopIfTrue="1" operator="lessThan">
      <formula>0.5</formula>
    </cfRule>
  </conditionalFormatting>
  <conditionalFormatting sqref="AP41">
    <cfRule type="cellIs" dxfId="10727" priority="141376" stopIfTrue="1" operator="greaterThanOrEqual">
      <formula>0.5</formula>
    </cfRule>
  </conditionalFormatting>
  <conditionalFormatting sqref="AP42">
    <cfRule type="cellIs" dxfId="10726" priority="141377" stopIfTrue="1" operator="equal">
      <formula>-1</formula>
    </cfRule>
  </conditionalFormatting>
  <conditionalFormatting sqref="AP42">
    <cfRule type="cellIs" dxfId="10725" priority="141378" stopIfTrue="1" operator="lessThan">
      <formula>0.5</formula>
    </cfRule>
  </conditionalFormatting>
  <conditionalFormatting sqref="AP42">
    <cfRule type="cellIs" dxfId="10724" priority="141379" stopIfTrue="1" operator="greaterThanOrEqual">
      <formula>0.5</formula>
    </cfRule>
  </conditionalFormatting>
  <conditionalFormatting sqref="AP43">
    <cfRule type="cellIs" dxfId="10723" priority="141380" stopIfTrue="1" operator="equal">
      <formula>-1</formula>
    </cfRule>
  </conditionalFormatting>
  <conditionalFormatting sqref="AP43">
    <cfRule type="cellIs" dxfId="10722" priority="141381" stopIfTrue="1" operator="lessThan">
      <formula>0.5</formula>
    </cfRule>
  </conditionalFormatting>
  <conditionalFormatting sqref="AP43">
    <cfRule type="cellIs" dxfId="10721" priority="141382" stopIfTrue="1" operator="greaterThanOrEqual">
      <formula>0.5</formula>
    </cfRule>
  </conditionalFormatting>
  <conditionalFormatting sqref="AP44">
    <cfRule type="cellIs" dxfId="10720" priority="141383" stopIfTrue="1" operator="equal">
      <formula>-1</formula>
    </cfRule>
  </conditionalFormatting>
  <conditionalFormatting sqref="AP44">
    <cfRule type="cellIs" dxfId="10719" priority="141384" stopIfTrue="1" operator="lessThan">
      <formula>0.5</formula>
    </cfRule>
  </conditionalFormatting>
  <conditionalFormatting sqref="AP44">
    <cfRule type="cellIs" dxfId="10718" priority="141385" stopIfTrue="1" operator="greaterThanOrEqual">
      <formula>0.5</formula>
    </cfRule>
  </conditionalFormatting>
  <conditionalFormatting sqref="AP45">
    <cfRule type="cellIs" dxfId="10717" priority="141386" stopIfTrue="1" operator="equal">
      <formula>-1</formula>
    </cfRule>
  </conditionalFormatting>
  <conditionalFormatting sqref="AP45">
    <cfRule type="cellIs" dxfId="10716" priority="141387" stopIfTrue="1" operator="lessThan">
      <formula>0.5</formula>
    </cfRule>
  </conditionalFormatting>
  <conditionalFormatting sqref="AP45">
    <cfRule type="cellIs" dxfId="10715" priority="141388" stopIfTrue="1" operator="greaterThanOrEqual">
      <formula>0.5</formula>
    </cfRule>
  </conditionalFormatting>
  <conditionalFormatting sqref="AP46">
    <cfRule type="cellIs" dxfId="10714" priority="141389" stopIfTrue="1" operator="equal">
      <formula>-1</formula>
    </cfRule>
  </conditionalFormatting>
  <conditionalFormatting sqref="AP46">
    <cfRule type="cellIs" dxfId="10713" priority="141390" stopIfTrue="1" operator="lessThan">
      <formula>0.5</formula>
    </cfRule>
  </conditionalFormatting>
  <conditionalFormatting sqref="AP46">
    <cfRule type="cellIs" dxfId="10712" priority="141391" stopIfTrue="1" operator="greaterThanOrEqual">
      <formula>0.5</formula>
    </cfRule>
  </conditionalFormatting>
  <conditionalFormatting sqref="AP47">
    <cfRule type="cellIs" dxfId="10711" priority="141392" stopIfTrue="1" operator="equal">
      <formula>-1</formula>
    </cfRule>
  </conditionalFormatting>
  <conditionalFormatting sqref="AP47">
    <cfRule type="cellIs" dxfId="10710" priority="141393" stopIfTrue="1" operator="lessThan">
      <formula>0.5</formula>
    </cfRule>
  </conditionalFormatting>
  <conditionalFormatting sqref="AP47">
    <cfRule type="cellIs" dxfId="10709" priority="141394" stopIfTrue="1" operator="greaterThanOrEqual">
      <formula>0.5</formula>
    </cfRule>
  </conditionalFormatting>
  <conditionalFormatting sqref="AP48">
    <cfRule type="cellIs" dxfId="10708" priority="141395" stopIfTrue="1" operator="equal">
      <formula>-1</formula>
    </cfRule>
  </conditionalFormatting>
  <conditionalFormatting sqref="AP48">
    <cfRule type="cellIs" dxfId="10707" priority="141396" stopIfTrue="1" operator="lessThan">
      <formula>0.5</formula>
    </cfRule>
  </conditionalFormatting>
  <conditionalFormatting sqref="AP48">
    <cfRule type="cellIs" dxfId="10706" priority="141397" stopIfTrue="1" operator="greaterThanOrEqual">
      <formula>0.5</formula>
    </cfRule>
  </conditionalFormatting>
  <conditionalFormatting sqref="AP49">
    <cfRule type="cellIs" dxfId="10705" priority="141398" stopIfTrue="1" operator="equal">
      <formula>-1</formula>
    </cfRule>
  </conditionalFormatting>
  <conditionalFormatting sqref="AP49">
    <cfRule type="cellIs" dxfId="10704" priority="141399" stopIfTrue="1" operator="lessThan">
      <formula>0.5</formula>
    </cfRule>
  </conditionalFormatting>
  <conditionalFormatting sqref="AP49">
    <cfRule type="cellIs" dxfId="10703" priority="141400" stopIfTrue="1" operator="greaterThanOrEqual">
      <formula>0.5</formula>
    </cfRule>
  </conditionalFormatting>
  <conditionalFormatting sqref="AP50">
    <cfRule type="cellIs" dxfId="10702" priority="141401" stopIfTrue="1" operator="equal">
      <formula>-1</formula>
    </cfRule>
  </conditionalFormatting>
  <conditionalFormatting sqref="AP50">
    <cfRule type="cellIs" dxfId="10701" priority="141402" stopIfTrue="1" operator="lessThan">
      <formula>0.5</formula>
    </cfRule>
  </conditionalFormatting>
  <conditionalFormatting sqref="AP50">
    <cfRule type="cellIs" dxfId="10700" priority="141403" stopIfTrue="1" operator="greaterThanOrEqual">
      <formula>0.5</formula>
    </cfRule>
  </conditionalFormatting>
  <conditionalFormatting sqref="AP51">
    <cfRule type="cellIs" dxfId="10699" priority="141404" stopIfTrue="1" operator="equal">
      <formula>-1</formula>
    </cfRule>
  </conditionalFormatting>
  <conditionalFormatting sqref="AP51">
    <cfRule type="cellIs" dxfId="10698" priority="141405" stopIfTrue="1" operator="lessThan">
      <formula>0.5</formula>
    </cfRule>
  </conditionalFormatting>
  <conditionalFormatting sqref="AP51">
    <cfRule type="cellIs" dxfId="10697" priority="141406" stopIfTrue="1" operator="greaterThanOrEqual">
      <formula>0.5</formula>
    </cfRule>
  </conditionalFormatting>
  <conditionalFormatting sqref="AP52">
    <cfRule type="cellIs" dxfId="10696" priority="141407" stopIfTrue="1" operator="equal">
      <formula>-1</formula>
    </cfRule>
  </conditionalFormatting>
  <conditionalFormatting sqref="AP52">
    <cfRule type="cellIs" dxfId="10695" priority="141408" stopIfTrue="1" operator="lessThan">
      <formula>0.5</formula>
    </cfRule>
  </conditionalFormatting>
  <conditionalFormatting sqref="AP52">
    <cfRule type="cellIs" dxfId="10694" priority="141409" stopIfTrue="1" operator="greaterThanOrEqual">
      <formula>0.5</formula>
    </cfRule>
  </conditionalFormatting>
  <conditionalFormatting sqref="AP53">
    <cfRule type="cellIs" dxfId="10693" priority="141410" stopIfTrue="1" operator="equal">
      <formula>-1</formula>
    </cfRule>
  </conditionalFormatting>
  <conditionalFormatting sqref="AP53">
    <cfRule type="cellIs" dxfId="10692" priority="141411" stopIfTrue="1" operator="lessThan">
      <formula>0.5</formula>
    </cfRule>
  </conditionalFormatting>
  <conditionalFormatting sqref="AP53">
    <cfRule type="cellIs" dxfId="10691" priority="141412" stopIfTrue="1" operator="greaterThanOrEqual">
      <formula>0.5</formula>
    </cfRule>
  </conditionalFormatting>
  <conditionalFormatting sqref="AP54">
    <cfRule type="cellIs" dxfId="10690" priority="141413" stopIfTrue="1" operator="equal">
      <formula>-1</formula>
    </cfRule>
  </conditionalFormatting>
  <conditionalFormatting sqref="AP54">
    <cfRule type="cellIs" dxfId="10689" priority="141414" stopIfTrue="1" operator="lessThan">
      <formula>0.5</formula>
    </cfRule>
  </conditionalFormatting>
  <conditionalFormatting sqref="AP54">
    <cfRule type="cellIs" dxfId="10688" priority="141415" stopIfTrue="1" operator="greaterThanOrEqual">
      <formula>0.5</formula>
    </cfRule>
  </conditionalFormatting>
  <conditionalFormatting sqref="AP55">
    <cfRule type="cellIs" dxfId="10687" priority="141416" stopIfTrue="1" operator="equal">
      <formula>-1</formula>
    </cfRule>
  </conditionalFormatting>
  <conditionalFormatting sqref="AP55">
    <cfRule type="cellIs" dxfId="10686" priority="141417" stopIfTrue="1" operator="lessThan">
      <formula>0.5</formula>
    </cfRule>
  </conditionalFormatting>
  <conditionalFormatting sqref="AP55">
    <cfRule type="cellIs" dxfId="10685" priority="141418" stopIfTrue="1" operator="greaterThanOrEqual">
      <formula>0.5</formula>
    </cfRule>
  </conditionalFormatting>
  <conditionalFormatting sqref="AP56">
    <cfRule type="cellIs" dxfId="10684" priority="141419" stopIfTrue="1" operator="equal">
      <formula>-1</formula>
    </cfRule>
  </conditionalFormatting>
  <conditionalFormatting sqref="AP56">
    <cfRule type="cellIs" dxfId="10683" priority="141420" stopIfTrue="1" operator="lessThan">
      <formula>0.5</formula>
    </cfRule>
  </conditionalFormatting>
  <conditionalFormatting sqref="AP56">
    <cfRule type="cellIs" dxfId="10682" priority="141421" stopIfTrue="1" operator="greaterThanOrEqual">
      <formula>0.5</formula>
    </cfRule>
  </conditionalFormatting>
  <conditionalFormatting sqref="AP57">
    <cfRule type="cellIs" dxfId="10681" priority="141422" stopIfTrue="1" operator="equal">
      <formula>-1</formula>
    </cfRule>
  </conditionalFormatting>
  <conditionalFormatting sqref="AP57">
    <cfRule type="cellIs" dxfId="10680" priority="141423" stopIfTrue="1" operator="lessThan">
      <formula>0.5</formula>
    </cfRule>
  </conditionalFormatting>
  <conditionalFormatting sqref="AP57">
    <cfRule type="cellIs" dxfId="10679" priority="141424" stopIfTrue="1" operator="greaterThanOrEqual">
      <formula>0.5</formula>
    </cfRule>
  </conditionalFormatting>
  <conditionalFormatting sqref="AP58">
    <cfRule type="cellIs" dxfId="10678" priority="141425" stopIfTrue="1" operator="equal">
      <formula>-1</formula>
    </cfRule>
  </conditionalFormatting>
  <conditionalFormatting sqref="AP58">
    <cfRule type="cellIs" dxfId="10677" priority="141426" stopIfTrue="1" operator="lessThan">
      <formula>0.5</formula>
    </cfRule>
  </conditionalFormatting>
  <conditionalFormatting sqref="AP58">
    <cfRule type="cellIs" dxfId="10676" priority="141427" stopIfTrue="1" operator="greaterThanOrEqual">
      <formula>0.5</formula>
    </cfRule>
  </conditionalFormatting>
  <conditionalFormatting sqref="AR39">
    <cfRule type="cellIs" dxfId="10675" priority="141428" stopIfTrue="1" operator="equal">
      <formula>-1</formula>
    </cfRule>
  </conditionalFormatting>
  <conditionalFormatting sqref="AR39">
    <cfRule type="cellIs" dxfId="10674" priority="141429" stopIfTrue="1" operator="lessThan">
      <formula>0.5</formula>
    </cfRule>
  </conditionalFormatting>
  <conditionalFormatting sqref="AR39">
    <cfRule type="cellIs" dxfId="10673" priority="141430" stopIfTrue="1" operator="greaterThanOrEqual">
      <formula>0.5</formula>
    </cfRule>
  </conditionalFormatting>
  <conditionalFormatting sqref="AR40">
    <cfRule type="cellIs" dxfId="10672" priority="141431" stopIfTrue="1" operator="equal">
      <formula>-1</formula>
    </cfRule>
  </conditionalFormatting>
  <conditionalFormatting sqref="AR40">
    <cfRule type="cellIs" dxfId="10671" priority="141432" stopIfTrue="1" operator="lessThan">
      <formula>0.5</formula>
    </cfRule>
  </conditionalFormatting>
  <conditionalFormatting sqref="AR40">
    <cfRule type="cellIs" dxfId="10670" priority="141433" stopIfTrue="1" operator="greaterThanOrEqual">
      <formula>0.5</formula>
    </cfRule>
  </conditionalFormatting>
  <conditionalFormatting sqref="AR41">
    <cfRule type="cellIs" dxfId="10669" priority="141434" stopIfTrue="1" operator="equal">
      <formula>-1</formula>
    </cfRule>
  </conditionalFormatting>
  <conditionalFormatting sqref="AR41">
    <cfRule type="cellIs" dxfId="10668" priority="141435" stopIfTrue="1" operator="lessThan">
      <formula>0.5</formula>
    </cfRule>
  </conditionalFormatting>
  <conditionalFormatting sqref="AR41">
    <cfRule type="cellIs" dxfId="10667" priority="141436" stopIfTrue="1" operator="greaterThanOrEqual">
      <formula>0.5</formula>
    </cfRule>
  </conditionalFormatting>
  <conditionalFormatting sqref="AR42">
    <cfRule type="cellIs" dxfId="10666" priority="141437" stopIfTrue="1" operator="equal">
      <formula>-1</formula>
    </cfRule>
  </conditionalFormatting>
  <conditionalFormatting sqref="AR42">
    <cfRule type="cellIs" dxfId="10665" priority="141438" stopIfTrue="1" operator="lessThan">
      <formula>0.5</formula>
    </cfRule>
  </conditionalFormatting>
  <conditionalFormatting sqref="AR42">
    <cfRule type="cellIs" dxfId="10664" priority="141439" stopIfTrue="1" operator="greaterThanOrEqual">
      <formula>0.5</formula>
    </cfRule>
  </conditionalFormatting>
  <conditionalFormatting sqref="AR43">
    <cfRule type="cellIs" dxfId="10663" priority="141440" stopIfTrue="1" operator="equal">
      <formula>-1</formula>
    </cfRule>
  </conditionalFormatting>
  <conditionalFormatting sqref="AR43">
    <cfRule type="cellIs" dxfId="10662" priority="141441" stopIfTrue="1" operator="lessThan">
      <formula>0.5</formula>
    </cfRule>
  </conditionalFormatting>
  <conditionalFormatting sqref="AR43">
    <cfRule type="cellIs" dxfId="10661" priority="141442" stopIfTrue="1" operator="greaterThanOrEqual">
      <formula>0.5</formula>
    </cfRule>
  </conditionalFormatting>
  <conditionalFormatting sqref="AR44">
    <cfRule type="cellIs" dxfId="10660" priority="141443" stopIfTrue="1" operator="equal">
      <formula>-1</formula>
    </cfRule>
  </conditionalFormatting>
  <conditionalFormatting sqref="AR44">
    <cfRule type="cellIs" dxfId="10659" priority="141444" stopIfTrue="1" operator="lessThan">
      <formula>0.5</formula>
    </cfRule>
  </conditionalFormatting>
  <conditionalFormatting sqref="AR44">
    <cfRule type="cellIs" dxfId="10658" priority="141445" stopIfTrue="1" operator="greaterThanOrEqual">
      <formula>0.5</formula>
    </cfRule>
  </conditionalFormatting>
  <conditionalFormatting sqref="AR45">
    <cfRule type="cellIs" dxfId="10657" priority="141446" stopIfTrue="1" operator="equal">
      <formula>-1</formula>
    </cfRule>
  </conditionalFormatting>
  <conditionalFormatting sqref="AR45">
    <cfRule type="cellIs" dxfId="10656" priority="141447" stopIfTrue="1" operator="lessThan">
      <formula>0.5</formula>
    </cfRule>
  </conditionalFormatting>
  <conditionalFormatting sqref="AR45">
    <cfRule type="cellIs" dxfId="10655" priority="141448" stopIfTrue="1" operator="greaterThanOrEqual">
      <formula>0.5</formula>
    </cfRule>
  </conditionalFormatting>
  <conditionalFormatting sqref="AR46">
    <cfRule type="cellIs" dxfId="10654" priority="141449" stopIfTrue="1" operator="equal">
      <formula>-1</formula>
    </cfRule>
  </conditionalFormatting>
  <conditionalFormatting sqref="AR46">
    <cfRule type="cellIs" dxfId="10653" priority="141450" stopIfTrue="1" operator="lessThan">
      <formula>0.5</formula>
    </cfRule>
  </conditionalFormatting>
  <conditionalFormatting sqref="AR46">
    <cfRule type="cellIs" dxfId="10652" priority="141451" stopIfTrue="1" operator="greaterThanOrEqual">
      <formula>0.5</formula>
    </cfRule>
  </conditionalFormatting>
  <conditionalFormatting sqref="AR47">
    <cfRule type="cellIs" dxfId="10651" priority="141452" stopIfTrue="1" operator="equal">
      <formula>-1</formula>
    </cfRule>
  </conditionalFormatting>
  <conditionalFormatting sqref="AR47">
    <cfRule type="cellIs" dxfId="10650" priority="141453" stopIfTrue="1" operator="lessThan">
      <formula>0.5</formula>
    </cfRule>
  </conditionalFormatting>
  <conditionalFormatting sqref="AR47">
    <cfRule type="cellIs" dxfId="10649" priority="141454" stopIfTrue="1" operator="greaterThanOrEqual">
      <formula>0.5</formula>
    </cfRule>
  </conditionalFormatting>
  <conditionalFormatting sqref="AR48">
    <cfRule type="cellIs" dxfId="10648" priority="141455" stopIfTrue="1" operator="equal">
      <formula>-1</formula>
    </cfRule>
  </conditionalFormatting>
  <conditionalFormatting sqref="AR48">
    <cfRule type="cellIs" dxfId="10647" priority="141456" stopIfTrue="1" operator="lessThan">
      <formula>0.5</formula>
    </cfRule>
  </conditionalFormatting>
  <conditionalFormatting sqref="AR48">
    <cfRule type="cellIs" dxfId="10646" priority="141457" stopIfTrue="1" operator="greaterThanOrEqual">
      <formula>0.5</formula>
    </cfRule>
  </conditionalFormatting>
  <conditionalFormatting sqref="AR49">
    <cfRule type="cellIs" dxfId="10645" priority="141458" stopIfTrue="1" operator="equal">
      <formula>-1</formula>
    </cfRule>
  </conditionalFormatting>
  <conditionalFormatting sqref="AR49">
    <cfRule type="cellIs" dxfId="10644" priority="141459" stopIfTrue="1" operator="lessThan">
      <formula>0.5</formula>
    </cfRule>
  </conditionalFormatting>
  <conditionalFormatting sqref="AR49">
    <cfRule type="cellIs" dxfId="10643" priority="141460" stopIfTrue="1" operator="greaterThanOrEqual">
      <formula>0.5</formula>
    </cfRule>
  </conditionalFormatting>
  <conditionalFormatting sqref="AR50">
    <cfRule type="cellIs" dxfId="10642" priority="141461" stopIfTrue="1" operator="equal">
      <formula>-1</formula>
    </cfRule>
  </conditionalFormatting>
  <conditionalFormatting sqref="AR50">
    <cfRule type="cellIs" dxfId="10641" priority="141462" stopIfTrue="1" operator="lessThan">
      <formula>0.5</formula>
    </cfRule>
  </conditionalFormatting>
  <conditionalFormatting sqref="AR50">
    <cfRule type="cellIs" dxfId="10640" priority="141463" stopIfTrue="1" operator="greaterThanOrEqual">
      <formula>0.5</formula>
    </cfRule>
  </conditionalFormatting>
  <conditionalFormatting sqref="AR51">
    <cfRule type="cellIs" dxfId="10639" priority="141464" stopIfTrue="1" operator="equal">
      <formula>-1</formula>
    </cfRule>
  </conditionalFormatting>
  <conditionalFormatting sqref="AR51">
    <cfRule type="cellIs" dxfId="10638" priority="141465" stopIfTrue="1" operator="lessThan">
      <formula>0.5</formula>
    </cfRule>
  </conditionalFormatting>
  <conditionalFormatting sqref="AR51">
    <cfRule type="cellIs" dxfId="10637" priority="141466" stopIfTrue="1" operator="greaterThanOrEqual">
      <formula>0.5</formula>
    </cfRule>
  </conditionalFormatting>
  <conditionalFormatting sqref="AR52">
    <cfRule type="cellIs" dxfId="10636" priority="141467" stopIfTrue="1" operator="equal">
      <formula>-1</formula>
    </cfRule>
  </conditionalFormatting>
  <conditionalFormatting sqref="AR52">
    <cfRule type="cellIs" dxfId="10635" priority="141468" stopIfTrue="1" operator="lessThan">
      <formula>0.5</formula>
    </cfRule>
  </conditionalFormatting>
  <conditionalFormatting sqref="AR52">
    <cfRule type="cellIs" dxfId="10634" priority="141469" stopIfTrue="1" operator="greaterThanOrEqual">
      <formula>0.5</formula>
    </cfRule>
  </conditionalFormatting>
  <conditionalFormatting sqref="AR53">
    <cfRule type="cellIs" dxfId="10633" priority="141470" stopIfTrue="1" operator="equal">
      <formula>-1</formula>
    </cfRule>
  </conditionalFormatting>
  <conditionalFormatting sqref="AR53">
    <cfRule type="cellIs" dxfId="10632" priority="141471" stopIfTrue="1" operator="lessThan">
      <formula>0.5</formula>
    </cfRule>
  </conditionalFormatting>
  <conditionalFormatting sqref="AR53">
    <cfRule type="cellIs" dxfId="10631" priority="141472" stopIfTrue="1" operator="greaterThanOrEqual">
      <formula>0.5</formula>
    </cfRule>
  </conditionalFormatting>
  <conditionalFormatting sqref="AR54">
    <cfRule type="cellIs" dxfId="10630" priority="141473" stopIfTrue="1" operator="equal">
      <formula>-1</formula>
    </cfRule>
  </conditionalFormatting>
  <conditionalFormatting sqref="AR54">
    <cfRule type="cellIs" dxfId="10629" priority="141474" stopIfTrue="1" operator="lessThan">
      <formula>0.5</formula>
    </cfRule>
  </conditionalFormatting>
  <conditionalFormatting sqref="AR54">
    <cfRule type="cellIs" dxfId="10628" priority="141475" stopIfTrue="1" operator="greaterThanOrEqual">
      <formula>0.5</formula>
    </cfRule>
  </conditionalFormatting>
  <conditionalFormatting sqref="AR55">
    <cfRule type="cellIs" dxfId="10627" priority="141476" stopIfTrue="1" operator="equal">
      <formula>-1</formula>
    </cfRule>
  </conditionalFormatting>
  <conditionalFormatting sqref="AR55">
    <cfRule type="cellIs" dxfId="10626" priority="141477" stopIfTrue="1" operator="lessThan">
      <formula>0.5</formula>
    </cfRule>
  </conditionalFormatting>
  <conditionalFormatting sqref="AR55">
    <cfRule type="cellIs" dxfId="10625" priority="141478" stopIfTrue="1" operator="greaterThanOrEqual">
      <formula>0.5</formula>
    </cfRule>
  </conditionalFormatting>
  <conditionalFormatting sqref="AR56">
    <cfRule type="cellIs" dxfId="10624" priority="141479" stopIfTrue="1" operator="equal">
      <formula>-1</formula>
    </cfRule>
  </conditionalFormatting>
  <conditionalFormatting sqref="AR56">
    <cfRule type="cellIs" dxfId="10623" priority="141480" stopIfTrue="1" operator="lessThan">
      <formula>0.5</formula>
    </cfRule>
  </conditionalFormatting>
  <conditionalFormatting sqref="AR56">
    <cfRule type="cellIs" dxfId="10622" priority="141481" stopIfTrue="1" operator="greaterThanOrEqual">
      <formula>0.5</formula>
    </cfRule>
  </conditionalFormatting>
  <conditionalFormatting sqref="AR57">
    <cfRule type="cellIs" dxfId="10621" priority="141482" stopIfTrue="1" operator="equal">
      <formula>-1</formula>
    </cfRule>
  </conditionalFormatting>
  <conditionalFormatting sqref="AR57">
    <cfRule type="cellIs" dxfId="10620" priority="141483" stopIfTrue="1" operator="lessThan">
      <formula>0.5</formula>
    </cfRule>
  </conditionalFormatting>
  <conditionalFormatting sqref="AR57">
    <cfRule type="cellIs" dxfId="10619" priority="141484" stopIfTrue="1" operator="greaterThanOrEqual">
      <formula>0.5</formula>
    </cfRule>
  </conditionalFormatting>
  <conditionalFormatting sqref="AR58">
    <cfRule type="cellIs" dxfId="10618" priority="141485" stopIfTrue="1" operator="equal">
      <formula>-1</formula>
    </cfRule>
  </conditionalFormatting>
  <conditionalFormatting sqref="AR58">
    <cfRule type="cellIs" dxfId="10617" priority="141486" stopIfTrue="1" operator="lessThan">
      <formula>0.5</formula>
    </cfRule>
  </conditionalFormatting>
  <conditionalFormatting sqref="AR58">
    <cfRule type="cellIs" dxfId="10616" priority="141487" stopIfTrue="1" operator="greaterThanOrEqual">
      <formula>0.5</formula>
    </cfRule>
  </conditionalFormatting>
  <conditionalFormatting sqref="AT39">
    <cfRule type="cellIs" dxfId="10615" priority="141488" stopIfTrue="1" operator="equal">
      <formula>-1</formula>
    </cfRule>
  </conditionalFormatting>
  <conditionalFormatting sqref="AT39">
    <cfRule type="cellIs" dxfId="10614" priority="141489" stopIfTrue="1" operator="lessThan">
      <formula>0.5</formula>
    </cfRule>
  </conditionalFormatting>
  <conditionalFormatting sqref="AT39">
    <cfRule type="cellIs" dxfId="10613" priority="141490" stopIfTrue="1" operator="greaterThanOrEqual">
      <formula>0.5</formula>
    </cfRule>
  </conditionalFormatting>
  <conditionalFormatting sqref="AT40">
    <cfRule type="cellIs" dxfId="10612" priority="141491" stopIfTrue="1" operator="equal">
      <formula>-1</formula>
    </cfRule>
  </conditionalFormatting>
  <conditionalFormatting sqref="AT40">
    <cfRule type="cellIs" dxfId="10611" priority="141492" stopIfTrue="1" operator="lessThan">
      <formula>0.5</formula>
    </cfRule>
  </conditionalFormatting>
  <conditionalFormatting sqref="AT40">
    <cfRule type="cellIs" dxfId="10610" priority="141493" stopIfTrue="1" operator="greaterThanOrEqual">
      <formula>0.5</formula>
    </cfRule>
  </conditionalFormatting>
  <conditionalFormatting sqref="AT41">
    <cfRule type="cellIs" dxfId="10609" priority="141494" stopIfTrue="1" operator="equal">
      <formula>-1</formula>
    </cfRule>
  </conditionalFormatting>
  <conditionalFormatting sqref="AT41">
    <cfRule type="cellIs" dxfId="10608" priority="141495" stopIfTrue="1" operator="lessThan">
      <formula>0.5</formula>
    </cfRule>
  </conditionalFormatting>
  <conditionalFormatting sqref="AT41">
    <cfRule type="cellIs" dxfId="10607" priority="141496" stopIfTrue="1" operator="greaterThanOrEqual">
      <formula>0.5</formula>
    </cfRule>
  </conditionalFormatting>
  <conditionalFormatting sqref="AT42">
    <cfRule type="cellIs" dxfId="10606" priority="141497" stopIfTrue="1" operator="equal">
      <formula>-1</formula>
    </cfRule>
  </conditionalFormatting>
  <conditionalFormatting sqref="AT42">
    <cfRule type="cellIs" dxfId="10605" priority="141498" stopIfTrue="1" operator="lessThan">
      <formula>0.5</formula>
    </cfRule>
  </conditionalFormatting>
  <conditionalFormatting sqref="AT42">
    <cfRule type="cellIs" dxfId="10604" priority="141499" stopIfTrue="1" operator="greaterThanOrEqual">
      <formula>0.5</formula>
    </cfRule>
  </conditionalFormatting>
  <conditionalFormatting sqref="AT43">
    <cfRule type="cellIs" dxfId="10603" priority="141500" stopIfTrue="1" operator="equal">
      <formula>-1</formula>
    </cfRule>
  </conditionalFormatting>
  <conditionalFormatting sqref="AT43">
    <cfRule type="cellIs" dxfId="10602" priority="141501" stopIfTrue="1" operator="lessThan">
      <formula>0.5</formula>
    </cfRule>
  </conditionalFormatting>
  <conditionalFormatting sqref="AT43">
    <cfRule type="cellIs" dxfId="10601" priority="141502" stopIfTrue="1" operator="greaterThanOrEqual">
      <formula>0.5</formula>
    </cfRule>
  </conditionalFormatting>
  <conditionalFormatting sqref="AT44">
    <cfRule type="cellIs" dxfId="10600" priority="141503" stopIfTrue="1" operator="equal">
      <formula>-1</formula>
    </cfRule>
  </conditionalFormatting>
  <conditionalFormatting sqref="AT44">
    <cfRule type="cellIs" dxfId="10599" priority="141504" stopIfTrue="1" operator="lessThan">
      <formula>0.5</formula>
    </cfRule>
  </conditionalFormatting>
  <conditionalFormatting sqref="AT44">
    <cfRule type="cellIs" dxfId="10598" priority="141505" stopIfTrue="1" operator="greaterThanOrEqual">
      <formula>0.5</formula>
    </cfRule>
  </conditionalFormatting>
  <conditionalFormatting sqref="AT45">
    <cfRule type="cellIs" dxfId="10597" priority="141506" stopIfTrue="1" operator="equal">
      <formula>-1</formula>
    </cfRule>
  </conditionalFormatting>
  <conditionalFormatting sqref="AT45">
    <cfRule type="cellIs" dxfId="10596" priority="141507" stopIfTrue="1" operator="lessThan">
      <formula>0.5</formula>
    </cfRule>
  </conditionalFormatting>
  <conditionalFormatting sqref="AT45">
    <cfRule type="cellIs" dxfId="10595" priority="141508" stopIfTrue="1" operator="greaterThanOrEqual">
      <formula>0.5</formula>
    </cfRule>
  </conditionalFormatting>
  <conditionalFormatting sqref="AT46">
    <cfRule type="cellIs" dxfId="10594" priority="141509" stopIfTrue="1" operator="equal">
      <formula>-1</formula>
    </cfRule>
  </conditionalFormatting>
  <conditionalFormatting sqref="AT46">
    <cfRule type="cellIs" dxfId="10593" priority="141510" stopIfTrue="1" operator="lessThan">
      <formula>0.5</formula>
    </cfRule>
  </conditionalFormatting>
  <conditionalFormatting sqref="AT46">
    <cfRule type="cellIs" dxfId="10592" priority="141511" stopIfTrue="1" operator="greaterThanOrEqual">
      <formula>0.5</formula>
    </cfRule>
  </conditionalFormatting>
  <conditionalFormatting sqref="AT47">
    <cfRule type="cellIs" dxfId="10591" priority="141512" stopIfTrue="1" operator="equal">
      <formula>-1</formula>
    </cfRule>
  </conditionalFormatting>
  <conditionalFormatting sqref="AT47">
    <cfRule type="cellIs" dxfId="10590" priority="141513" stopIfTrue="1" operator="lessThan">
      <formula>0.5</formula>
    </cfRule>
  </conditionalFormatting>
  <conditionalFormatting sqref="AT47">
    <cfRule type="cellIs" dxfId="10589" priority="141514" stopIfTrue="1" operator="greaterThanOrEqual">
      <formula>0.5</formula>
    </cfRule>
  </conditionalFormatting>
  <conditionalFormatting sqref="AT48">
    <cfRule type="cellIs" dxfId="10588" priority="141515" stopIfTrue="1" operator="equal">
      <formula>-1</formula>
    </cfRule>
  </conditionalFormatting>
  <conditionalFormatting sqref="AT48">
    <cfRule type="cellIs" dxfId="10587" priority="141516" stopIfTrue="1" operator="lessThan">
      <formula>0.5</formula>
    </cfRule>
  </conditionalFormatting>
  <conditionalFormatting sqref="AT48">
    <cfRule type="cellIs" dxfId="10586" priority="141517" stopIfTrue="1" operator="greaterThanOrEqual">
      <formula>0.5</formula>
    </cfRule>
  </conditionalFormatting>
  <conditionalFormatting sqref="AT49">
    <cfRule type="cellIs" dxfId="10585" priority="141518" stopIfTrue="1" operator="equal">
      <formula>-1</formula>
    </cfRule>
  </conditionalFormatting>
  <conditionalFormatting sqref="AT49">
    <cfRule type="cellIs" dxfId="10584" priority="141519" stopIfTrue="1" operator="lessThan">
      <formula>0.5</formula>
    </cfRule>
  </conditionalFormatting>
  <conditionalFormatting sqref="AT49">
    <cfRule type="cellIs" dxfId="10583" priority="141520" stopIfTrue="1" operator="greaterThanOrEqual">
      <formula>0.5</formula>
    </cfRule>
  </conditionalFormatting>
  <conditionalFormatting sqref="AT50">
    <cfRule type="cellIs" dxfId="10582" priority="141521" stopIfTrue="1" operator="equal">
      <formula>-1</formula>
    </cfRule>
  </conditionalFormatting>
  <conditionalFormatting sqref="AT50">
    <cfRule type="cellIs" dxfId="10581" priority="141522" stopIfTrue="1" operator="lessThan">
      <formula>0.5</formula>
    </cfRule>
  </conditionalFormatting>
  <conditionalFormatting sqref="AT50">
    <cfRule type="cellIs" dxfId="10580" priority="141523" stopIfTrue="1" operator="greaterThanOrEqual">
      <formula>0.5</formula>
    </cfRule>
  </conditionalFormatting>
  <conditionalFormatting sqref="AT51">
    <cfRule type="cellIs" dxfId="10579" priority="141524" stopIfTrue="1" operator="equal">
      <formula>-1</formula>
    </cfRule>
  </conditionalFormatting>
  <conditionalFormatting sqref="AT51">
    <cfRule type="cellIs" dxfId="10578" priority="141525" stopIfTrue="1" operator="lessThan">
      <formula>0.5</formula>
    </cfRule>
  </conditionalFormatting>
  <conditionalFormatting sqref="AT51">
    <cfRule type="cellIs" dxfId="10577" priority="141526" stopIfTrue="1" operator="greaterThanOrEqual">
      <formula>0.5</formula>
    </cfRule>
  </conditionalFormatting>
  <conditionalFormatting sqref="AT52">
    <cfRule type="cellIs" dxfId="10576" priority="141527" stopIfTrue="1" operator="equal">
      <formula>-1</formula>
    </cfRule>
  </conditionalFormatting>
  <conditionalFormatting sqref="AT52">
    <cfRule type="cellIs" dxfId="10575" priority="141528" stopIfTrue="1" operator="lessThan">
      <formula>0.5</formula>
    </cfRule>
  </conditionalFormatting>
  <conditionalFormatting sqref="AT52">
    <cfRule type="cellIs" dxfId="10574" priority="141529" stopIfTrue="1" operator="greaterThanOrEqual">
      <formula>0.5</formula>
    </cfRule>
  </conditionalFormatting>
  <conditionalFormatting sqref="AT53">
    <cfRule type="cellIs" dxfId="10573" priority="141530" stopIfTrue="1" operator="equal">
      <formula>-1</formula>
    </cfRule>
  </conditionalFormatting>
  <conditionalFormatting sqref="AT53">
    <cfRule type="cellIs" dxfId="10572" priority="141531" stopIfTrue="1" operator="lessThan">
      <formula>0.5</formula>
    </cfRule>
  </conditionalFormatting>
  <conditionalFormatting sqref="AT53">
    <cfRule type="cellIs" dxfId="10571" priority="141532" stopIfTrue="1" operator="greaterThanOrEqual">
      <formula>0.5</formula>
    </cfRule>
  </conditionalFormatting>
  <conditionalFormatting sqref="AT54">
    <cfRule type="cellIs" dxfId="10570" priority="141533" stopIfTrue="1" operator="equal">
      <formula>-1</formula>
    </cfRule>
  </conditionalFormatting>
  <conditionalFormatting sqref="AT54">
    <cfRule type="cellIs" dxfId="10569" priority="141534" stopIfTrue="1" operator="lessThan">
      <formula>0.5</formula>
    </cfRule>
  </conditionalFormatting>
  <conditionalFormatting sqref="AT54">
    <cfRule type="cellIs" dxfId="10568" priority="141535" stopIfTrue="1" operator="greaterThanOrEqual">
      <formula>0.5</formula>
    </cfRule>
  </conditionalFormatting>
  <conditionalFormatting sqref="AT55">
    <cfRule type="cellIs" dxfId="10567" priority="141536" stopIfTrue="1" operator="equal">
      <formula>-1</formula>
    </cfRule>
  </conditionalFormatting>
  <conditionalFormatting sqref="AT55">
    <cfRule type="cellIs" dxfId="10566" priority="141537" stopIfTrue="1" operator="lessThan">
      <formula>0.5</formula>
    </cfRule>
  </conditionalFormatting>
  <conditionalFormatting sqref="AT55">
    <cfRule type="cellIs" dxfId="10565" priority="141538" stopIfTrue="1" operator="greaterThanOrEqual">
      <formula>0.5</formula>
    </cfRule>
  </conditionalFormatting>
  <conditionalFormatting sqref="AT56">
    <cfRule type="cellIs" dxfId="10564" priority="141539" stopIfTrue="1" operator="equal">
      <formula>-1</formula>
    </cfRule>
  </conditionalFormatting>
  <conditionalFormatting sqref="AT56">
    <cfRule type="cellIs" dxfId="10563" priority="141540" stopIfTrue="1" operator="lessThan">
      <formula>0.5</formula>
    </cfRule>
  </conditionalFormatting>
  <conditionalFormatting sqref="AT56">
    <cfRule type="cellIs" dxfId="10562" priority="141541" stopIfTrue="1" operator="greaterThanOrEqual">
      <formula>0.5</formula>
    </cfRule>
  </conditionalFormatting>
  <conditionalFormatting sqref="AT57">
    <cfRule type="cellIs" dxfId="10561" priority="141542" stopIfTrue="1" operator="equal">
      <formula>-1</formula>
    </cfRule>
  </conditionalFormatting>
  <conditionalFormatting sqref="AT57">
    <cfRule type="cellIs" dxfId="10560" priority="141543" stopIfTrue="1" operator="lessThan">
      <formula>0.5</formula>
    </cfRule>
  </conditionalFormatting>
  <conditionalFormatting sqref="AT57">
    <cfRule type="cellIs" dxfId="10559" priority="141544" stopIfTrue="1" operator="greaterThanOrEqual">
      <formula>0.5</formula>
    </cfRule>
  </conditionalFormatting>
  <conditionalFormatting sqref="AT58">
    <cfRule type="cellIs" dxfId="10558" priority="141545" stopIfTrue="1" operator="equal">
      <formula>-1</formula>
    </cfRule>
  </conditionalFormatting>
  <conditionalFormatting sqref="AT58">
    <cfRule type="cellIs" dxfId="10557" priority="141546" stopIfTrue="1" operator="lessThan">
      <formula>0.5</formula>
    </cfRule>
  </conditionalFormatting>
  <conditionalFormatting sqref="AT58">
    <cfRule type="cellIs" dxfId="10556" priority="141547" stopIfTrue="1" operator="greaterThanOrEqual">
      <formula>0.5</formula>
    </cfRule>
  </conditionalFormatting>
  <conditionalFormatting sqref="AV39">
    <cfRule type="cellIs" dxfId="10555" priority="141548" stopIfTrue="1" operator="equal">
      <formula>-1</formula>
    </cfRule>
  </conditionalFormatting>
  <conditionalFormatting sqref="AV39">
    <cfRule type="cellIs" dxfId="10554" priority="141549" stopIfTrue="1" operator="lessThan">
      <formula>0.5</formula>
    </cfRule>
  </conditionalFormatting>
  <conditionalFormatting sqref="AV39">
    <cfRule type="cellIs" dxfId="10553" priority="141550" stopIfTrue="1" operator="greaterThanOrEqual">
      <formula>0.5</formula>
    </cfRule>
  </conditionalFormatting>
  <conditionalFormatting sqref="AV40">
    <cfRule type="cellIs" dxfId="10552" priority="141551" stopIfTrue="1" operator="equal">
      <formula>-1</formula>
    </cfRule>
  </conditionalFormatting>
  <conditionalFormatting sqref="AV40">
    <cfRule type="cellIs" dxfId="10551" priority="141552" stopIfTrue="1" operator="lessThan">
      <formula>0.5</formula>
    </cfRule>
  </conditionalFormatting>
  <conditionalFormatting sqref="AV40">
    <cfRule type="cellIs" dxfId="10550" priority="141553" stopIfTrue="1" operator="greaterThanOrEqual">
      <formula>0.5</formula>
    </cfRule>
  </conditionalFormatting>
  <conditionalFormatting sqref="AV41">
    <cfRule type="cellIs" dxfId="10549" priority="141554" stopIfTrue="1" operator="equal">
      <formula>-1</formula>
    </cfRule>
  </conditionalFormatting>
  <conditionalFormatting sqref="AV41">
    <cfRule type="cellIs" dxfId="10548" priority="141555" stopIfTrue="1" operator="lessThan">
      <formula>0.5</formula>
    </cfRule>
  </conditionalFormatting>
  <conditionalFormatting sqref="AV41">
    <cfRule type="cellIs" dxfId="10547" priority="141556" stopIfTrue="1" operator="greaterThanOrEqual">
      <formula>0.5</formula>
    </cfRule>
  </conditionalFormatting>
  <conditionalFormatting sqref="AV42">
    <cfRule type="cellIs" dxfId="10546" priority="141557" stopIfTrue="1" operator="equal">
      <formula>-1</formula>
    </cfRule>
  </conditionalFormatting>
  <conditionalFormatting sqref="AV42">
    <cfRule type="cellIs" dxfId="10545" priority="141558" stopIfTrue="1" operator="lessThan">
      <formula>0.5</formula>
    </cfRule>
  </conditionalFormatting>
  <conditionalFormatting sqref="AV42">
    <cfRule type="cellIs" dxfId="10544" priority="141559" stopIfTrue="1" operator="greaterThanOrEqual">
      <formula>0.5</formula>
    </cfRule>
  </conditionalFormatting>
  <conditionalFormatting sqref="AV43">
    <cfRule type="cellIs" dxfId="10543" priority="141560" stopIfTrue="1" operator="equal">
      <formula>-1</formula>
    </cfRule>
  </conditionalFormatting>
  <conditionalFormatting sqref="AV43">
    <cfRule type="cellIs" dxfId="10542" priority="141561" stopIfTrue="1" operator="lessThan">
      <formula>0.5</formula>
    </cfRule>
  </conditionalFormatting>
  <conditionalFormatting sqref="AV43">
    <cfRule type="cellIs" dxfId="10541" priority="141562" stopIfTrue="1" operator="greaterThanOrEqual">
      <formula>0.5</formula>
    </cfRule>
  </conditionalFormatting>
  <conditionalFormatting sqref="AV44">
    <cfRule type="cellIs" dxfId="10540" priority="141563" stopIfTrue="1" operator="equal">
      <formula>-1</formula>
    </cfRule>
  </conditionalFormatting>
  <conditionalFormatting sqref="AV44">
    <cfRule type="cellIs" dxfId="10539" priority="141564" stopIfTrue="1" operator="lessThan">
      <formula>0.5</formula>
    </cfRule>
  </conditionalFormatting>
  <conditionalFormatting sqref="AV44">
    <cfRule type="cellIs" dxfId="10538" priority="141565" stopIfTrue="1" operator="greaterThanOrEqual">
      <formula>0.5</formula>
    </cfRule>
  </conditionalFormatting>
  <conditionalFormatting sqref="AV45">
    <cfRule type="cellIs" dxfId="10537" priority="141566" stopIfTrue="1" operator="equal">
      <formula>-1</formula>
    </cfRule>
  </conditionalFormatting>
  <conditionalFormatting sqref="AV45">
    <cfRule type="cellIs" dxfId="10536" priority="141567" stopIfTrue="1" operator="lessThan">
      <formula>0.5</formula>
    </cfRule>
  </conditionalFormatting>
  <conditionalFormatting sqref="AV45">
    <cfRule type="cellIs" dxfId="10535" priority="141568" stopIfTrue="1" operator="greaterThanOrEqual">
      <formula>0.5</formula>
    </cfRule>
  </conditionalFormatting>
  <conditionalFormatting sqref="AV46">
    <cfRule type="cellIs" dxfId="10534" priority="141569" stopIfTrue="1" operator="equal">
      <formula>-1</formula>
    </cfRule>
  </conditionalFormatting>
  <conditionalFormatting sqref="AV46">
    <cfRule type="cellIs" dxfId="10533" priority="141570" stopIfTrue="1" operator="lessThan">
      <formula>0.5</formula>
    </cfRule>
  </conditionalFormatting>
  <conditionalFormatting sqref="AV46">
    <cfRule type="cellIs" dxfId="10532" priority="141571" stopIfTrue="1" operator="greaterThanOrEqual">
      <formula>0.5</formula>
    </cfRule>
  </conditionalFormatting>
  <conditionalFormatting sqref="AV47">
    <cfRule type="cellIs" dxfId="10531" priority="141572" stopIfTrue="1" operator="equal">
      <formula>-1</formula>
    </cfRule>
  </conditionalFormatting>
  <conditionalFormatting sqref="AV47">
    <cfRule type="cellIs" dxfId="10530" priority="141573" stopIfTrue="1" operator="lessThan">
      <formula>0.5</formula>
    </cfRule>
  </conditionalFormatting>
  <conditionalFormatting sqref="AV47">
    <cfRule type="cellIs" dxfId="10529" priority="141574" stopIfTrue="1" operator="greaterThanOrEqual">
      <formula>0.5</formula>
    </cfRule>
  </conditionalFormatting>
  <conditionalFormatting sqref="AV48">
    <cfRule type="cellIs" dxfId="10528" priority="141575" stopIfTrue="1" operator="equal">
      <formula>-1</formula>
    </cfRule>
  </conditionalFormatting>
  <conditionalFormatting sqref="AV48">
    <cfRule type="cellIs" dxfId="10527" priority="141576" stopIfTrue="1" operator="lessThan">
      <formula>0.5</formula>
    </cfRule>
  </conditionalFormatting>
  <conditionalFormatting sqref="AV48">
    <cfRule type="cellIs" dxfId="10526" priority="141577" stopIfTrue="1" operator="greaterThanOrEqual">
      <formula>0.5</formula>
    </cfRule>
  </conditionalFormatting>
  <conditionalFormatting sqref="AV49">
    <cfRule type="cellIs" dxfId="10525" priority="141578" stopIfTrue="1" operator="equal">
      <formula>-1</formula>
    </cfRule>
  </conditionalFormatting>
  <conditionalFormatting sqref="AV49">
    <cfRule type="cellIs" dxfId="10524" priority="141579" stopIfTrue="1" operator="lessThan">
      <formula>0.5</formula>
    </cfRule>
  </conditionalFormatting>
  <conditionalFormatting sqref="AV49">
    <cfRule type="cellIs" dxfId="10523" priority="141580" stopIfTrue="1" operator="greaterThanOrEqual">
      <formula>0.5</formula>
    </cfRule>
  </conditionalFormatting>
  <conditionalFormatting sqref="AV50">
    <cfRule type="cellIs" dxfId="10522" priority="141581" stopIfTrue="1" operator="equal">
      <formula>-1</formula>
    </cfRule>
  </conditionalFormatting>
  <conditionalFormatting sqref="AV50">
    <cfRule type="cellIs" dxfId="10521" priority="141582" stopIfTrue="1" operator="lessThan">
      <formula>0.5</formula>
    </cfRule>
  </conditionalFormatting>
  <conditionalFormatting sqref="AV50">
    <cfRule type="cellIs" dxfId="10520" priority="141583" stopIfTrue="1" operator="greaterThanOrEqual">
      <formula>0.5</formula>
    </cfRule>
  </conditionalFormatting>
  <conditionalFormatting sqref="AV51">
    <cfRule type="cellIs" dxfId="10519" priority="141584" stopIfTrue="1" operator="equal">
      <formula>-1</formula>
    </cfRule>
  </conditionalFormatting>
  <conditionalFormatting sqref="AV51">
    <cfRule type="cellIs" dxfId="10518" priority="141585" stopIfTrue="1" operator="lessThan">
      <formula>0.5</formula>
    </cfRule>
  </conditionalFormatting>
  <conditionalFormatting sqref="AV51">
    <cfRule type="cellIs" dxfId="10517" priority="141586" stopIfTrue="1" operator="greaterThanOrEqual">
      <formula>0.5</formula>
    </cfRule>
  </conditionalFormatting>
  <conditionalFormatting sqref="AV52">
    <cfRule type="cellIs" dxfId="10516" priority="141587" stopIfTrue="1" operator="equal">
      <formula>-1</formula>
    </cfRule>
  </conditionalFormatting>
  <conditionalFormatting sqref="AV52">
    <cfRule type="cellIs" dxfId="10515" priority="141588" stopIfTrue="1" operator="lessThan">
      <formula>0.5</formula>
    </cfRule>
  </conditionalFormatting>
  <conditionalFormatting sqref="AV52">
    <cfRule type="cellIs" dxfId="10514" priority="141589" stopIfTrue="1" operator="greaterThanOrEqual">
      <formula>0.5</formula>
    </cfRule>
  </conditionalFormatting>
  <conditionalFormatting sqref="AV53">
    <cfRule type="cellIs" dxfId="10513" priority="141590" stopIfTrue="1" operator="equal">
      <formula>-1</formula>
    </cfRule>
  </conditionalFormatting>
  <conditionalFormatting sqref="AV53">
    <cfRule type="cellIs" dxfId="10512" priority="141591" stopIfTrue="1" operator="lessThan">
      <formula>0.5</formula>
    </cfRule>
  </conditionalFormatting>
  <conditionalFormatting sqref="AV53">
    <cfRule type="cellIs" dxfId="10511" priority="141592" stopIfTrue="1" operator="greaterThanOrEqual">
      <formula>0.5</formula>
    </cfRule>
  </conditionalFormatting>
  <conditionalFormatting sqref="AV54">
    <cfRule type="cellIs" dxfId="10510" priority="141593" stopIfTrue="1" operator="equal">
      <formula>-1</formula>
    </cfRule>
  </conditionalFormatting>
  <conditionalFormatting sqref="AV54">
    <cfRule type="cellIs" dxfId="10509" priority="141594" stopIfTrue="1" operator="lessThan">
      <formula>0.5</formula>
    </cfRule>
  </conditionalFormatting>
  <conditionalFormatting sqref="AV54">
    <cfRule type="cellIs" dxfId="10508" priority="141595" stopIfTrue="1" operator="greaterThanOrEqual">
      <formula>0.5</formula>
    </cfRule>
  </conditionalFormatting>
  <conditionalFormatting sqref="AV55">
    <cfRule type="cellIs" dxfId="10507" priority="141596" stopIfTrue="1" operator="equal">
      <formula>-1</formula>
    </cfRule>
  </conditionalFormatting>
  <conditionalFormatting sqref="AV55">
    <cfRule type="cellIs" dxfId="10506" priority="141597" stopIfTrue="1" operator="lessThan">
      <formula>0.5</formula>
    </cfRule>
  </conditionalFormatting>
  <conditionalFormatting sqref="AV55">
    <cfRule type="cellIs" dxfId="10505" priority="141598" stopIfTrue="1" operator="greaterThanOrEqual">
      <formula>0.5</formula>
    </cfRule>
  </conditionalFormatting>
  <conditionalFormatting sqref="AV56">
    <cfRule type="cellIs" dxfId="10504" priority="141599" stopIfTrue="1" operator="equal">
      <formula>-1</formula>
    </cfRule>
  </conditionalFormatting>
  <conditionalFormatting sqref="AV56">
    <cfRule type="cellIs" dxfId="10503" priority="141600" stopIfTrue="1" operator="lessThan">
      <formula>0.5</formula>
    </cfRule>
  </conditionalFormatting>
  <conditionalFormatting sqref="AV56">
    <cfRule type="cellIs" dxfId="10502" priority="141601" stopIfTrue="1" operator="greaterThanOrEqual">
      <formula>0.5</formula>
    </cfRule>
  </conditionalFormatting>
  <conditionalFormatting sqref="AV57">
    <cfRule type="cellIs" dxfId="10501" priority="141602" stopIfTrue="1" operator="equal">
      <formula>-1</formula>
    </cfRule>
  </conditionalFormatting>
  <conditionalFormatting sqref="AV57">
    <cfRule type="cellIs" dxfId="10500" priority="141603" stopIfTrue="1" operator="lessThan">
      <formula>0.5</formula>
    </cfRule>
  </conditionalFormatting>
  <conditionalFormatting sqref="AV57">
    <cfRule type="cellIs" dxfId="10499" priority="141604" stopIfTrue="1" operator="greaterThanOrEqual">
      <formula>0.5</formula>
    </cfRule>
  </conditionalFormatting>
  <conditionalFormatting sqref="AV58">
    <cfRule type="cellIs" dxfId="10498" priority="141605" stopIfTrue="1" operator="equal">
      <formula>-1</formula>
    </cfRule>
  </conditionalFormatting>
  <conditionalFormatting sqref="AV58">
    <cfRule type="cellIs" dxfId="10497" priority="141606" stopIfTrue="1" operator="lessThan">
      <formula>0.5</formula>
    </cfRule>
  </conditionalFormatting>
  <conditionalFormatting sqref="AV58">
    <cfRule type="cellIs" dxfId="10496" priority="141607" stopIfTrue="1" operator="greaterThanOrEqual">
      <formula>0.5</formula>
    </cfRule>
  </conditionalFormatting>
  <conditionalFormatting sqref="AX39">
    <cfRule type="cellIs" dxfId="10495" priority="141608" stopIfTrue="1" operator="equal">
      <formula>-1</formula>
    </cfRule>
  </conditionalFormatting>
  <conditionalFormatting sqref="AX39">
    <cfRule type="cellIs" dxfId="10494" priority="141609" stopIfTrue="1" operator="lessThan">
      <formula>0.5</formula>
    </cfRule>
  </conditionalFormatting>
  <conditionalFormatting sqref="AX39">
    <cfRule type="cellIs" dxfId="10493" priority="141610" stopIfTrue="1" operator="greaterThanOrEqual">
      <formula>0.5</formula>
    </cfRule>
  </conditionalFormatting>
  <conditionalFormatting sqref="AX40">
    <cfRule type="cellIs" dxfId="10492" priority="141611" stopIfTrue="1" operator="equal">
      <formula>-1</formula>
    </cfRule>
  </conditionalFormatting>
  <conditionalFormatting sqref="AX40">
    <cfRule type="cellIs" dxfId="10491" priority="141612" stopIfTrue="1" operator="lessThan">
      <formula>0.5</formula>
    </cfRule>
  </conditionalFormatting>
  <conditionalFormatting sqref="AX40">
    <cfRule type="cellIs" dxfId="10490" priority="141613" stopIfTrue="1" operator="greaterThanOrEqual">
      <formula>0.5</formula>
    </cfRule>
  </conditionalFormatting>
  <conditionalFormatting sqref="AX41">
    <cfRule type="cellIs" dxfId="10489" priority="141614" stopIfTrue="1" operator="equal">
      <formula>-1</formula>
    </cfRule>
  </conditionalFormatting>
  <conditionalFormatting sqref="AX41">
    <cfRule type="cellIs" dxfId="10488" priority="141615" stopIfTrue="1" operator="lessThan">
      <formula>0.5</formula>
    </cfRule>
  </conditionalFormatting>
  <conditionalFormatting sqref="AX41">
    <cfRule type="cellIs" dxfId="10487" priority="141616" stopIfTrue="1" operator="greaterThanOrEqual">
      <formula>0.5</formula>
    </cfRule>
  </conditionalFormatting>
  <conditionalFormatting sqref="AX42">
    <cfRule type="cellIs" dxfId="10486" priority="141617" stopIfTrue="1" operator="equal">
      <formula>-1</formula>
    </cfRule>
  </conditionalFormatting>
  <conditionalFormatting sqref="AX42">
    <cfRule type="cellIs" dxfId="10485" priority="141618" stopIfTrue="1" operator="lessThan">
      <formula>0.5</formula>
    </cfRule>
  </conditionalFormatting>
  <conditionalFormatting sqref="AX42">
    <cfRule type="cellIs" dxfId="10484" priority="141619" stopIfTrue="1" operator="greaterThanOrEqual">
      <formula>0.5</formula>
    </cfRule>
  </conditionalFormatting>
  <conditionalFormatting sqref="AX43">
    <cfRule type="cellIs" dxfId="10483" priority="141620" stopIfTrue="1" operator="equal">
      <formula>-1</formula>
    </cfRule>
  </conditionalFormatting>
  <conditionalFormatting sqref="AX43">
    <cfRule type="cellIs" dxfId="10482" priority="141621" stopIfTrue="1" operator="lessThan">
      <formula>0.5</formula>
    </cfRule>
  </conditionalFormatting>
  <conditionalFormatting sqref="AX43">
    <cfRule type="cellIs" dxfId="10481" priority="141622" stopIfTrue="1" operator="greaterThanOrEqual">
      <formula>0.5</formula>
    </cfRule>
  </conditionalFormatting>
  <conditionalFormatting sqref="AX44">
    <cfRule type="cellIs" dxfId="10480" priority="141623" stopIfTrue="1" operator="equal">
      <formula>-1</formula>
    </cfRule>
  </conditionalFormatting>
  <conditionalFormatting sqref="AX44">
    <cfRule type="cellIs" dxfId="10479" priority="141624" stopIfTrue="1" operator="lessThan">
      <formula>0.5</formula>
    </cfRule>
  </conditionalFormatting>
  <conditionalFormatting sqref="AX44">
    <cfRule type="cellIs" dxfId="10478" priority="141625" stopIfTrue="1" operator="greaterThanOrEqual">
      <formula>0.5</formula>
    </cfRule>
  </conditionalFormatting>
  <conditionalFormatting sqref="AX45">
    <cfRule type="cellIs" dxfId="10477" priority="141626" stopIfTrue="1" operator="equal">
      <formula>-1</formula>
    </cfRule>
  </conditionalFormatting>
  <conditionalFormatting sqref="AX45">
    <cfRule type="cellIs" dxfId="10476" priority="141627" stopIfTrue="1" operator="lessThan">
      <formula>0.5</formula>
    </cfRule>
  </conditionalFormatting>
  <conditionalFormatting sqref="AX45">
    <cfRule type="cellIs" dxfId="10475" priority="141628" stopIfTrue="1" operator="greaterThanOrEqual">
      <formula>0.5</formula>
    </cfRule>
  </conditionalFormatting>
  <conditionalFormatting sqref="AX46">
    <cfRule type="cellIs" dxfId="10474" priority="141629" stopIfTrue="1" operator="equal">
      <formula>-1</formula>
    </cfRule>
  </conditionalFormatting>
  <conditionalFormatting sqref="AX46">
    <cfRule type="cellIs" dxfId="10473" priority="141630" stopIfTrue="1" operator="lessThan">
      <formula>0.5</formula>
    </cfRule>
  </conditionalFormatting>
  <conditionalFormatting sqref="AX46">
    <cfRule type="cellIs" dxfId="10472" priority="141631" stopIfTrue="1" operator="greaterThanOrEqual">
      <formula>0.5</formula>
    </cfRule>
  </conditionalFormatting>
  <conditionalFormatting sqref="AX47">
    <cfRule type="cellIs" dxfId="10471" priority="141632" stopIfTrue="1" operator="equal">
      <formula>-1</formula>
    </cfRule>
  </conditionalFormatting>
  <conditionalFormatting sqref="AX47">
    <cfRule type="cellIs" dxfId="10470" priority="141633" stopIfTrue="1" operator="lessThan">
      <formula>0.5</formula>
    </cfRule>
  </conditionalFormatting>
  <conditionalFormatting sqref="AX47">
    <cfRule type="cellIs" dxfId="10469" priority="141634" stopIfTrue="1" operator="greaterThanOrEqual">
      <formula>0.5</formula>
    </cfRule>
  </conditionalFormatting>
  <conditionalFormatting sqref="AX48">
    <cfRule type="cellIs" dxfId="10468" priority="141635" stopIfTrue="1" operator="equal">
      <formula>-1</formula>
    </cfRule>
  </conditionalFormatting>
  <conditionalFormatting sqref="AX48">
    <cfRule type="cellIs" dxfId="10467" priority="141636" stopIfTrue="1" operator="lessThan">
      <formula>0.5</formula>
    </cfRule>
  </conditionalFormatting>
  <conditionalFormatting sqref="AX48">
    <cfRule type="cellIs" dxfId="10466" priority="141637" stopIfTrue="1" operator="greaterThanOrEqual">
      <formula>0.5</formula>
    </cfRule>
  </conditionalFormatting>
  <conditionalFormatting sqref="AX49">
    <cfRule type="cellIs" dxfId="10465" priority="141638" stopIfTrue="1" operator="equal">
      <formula>-1</formula>
    </cfRule>
  </conditionalFormatting>
  <conditionalFormatting sqref="AX49">
    <cfRule type="cellIs" dxfId="10464" priority="141639" stopIfTrue="1" operator="lessThan">
      <formula>0.5</formula>
    </cfRule>
  </conditionalFormatting>
  <conditionalFormatting sqref="AX49">
    <cfRule type="cellIs" dxfId="10463" priority="141640" stopIfTrue="1" operator="greaterThanOrEqual">
      <formula>0.5</formula>
    </cfRule>
  </conditionalFormatting>
  <conditionalFormatting sqref="AX50">
    <cfRule type="cellIs" dxfId="10462" priority="141641" stopIfTrue="1" operator="equal">
      <formula>-1</formula>
    </cfRule>
  </conditionalFormatting>
  <conditionalFormatting sqref="AX50">
    <cfRule type="cellIs" dxfId="10461" priority="141642" stopIfTrue="1" operator="lessThan">
      <formula>0.5</formula>
    </cfRule>
  </conditionalFormatting>
  <conditionalFormatting sqref="AX50">
    <cfRule type="cellIs" dxfId="10460" priority="141643" stopIfTrue="1" operator="greaterThanOrEqual">
      <formula>0.5</formula>
    </cfRule>
  </conditionalFormatting>
  <conditionalFormatting sqref="AX51">
    <cfRule type="cellIs" dxfId="10459" priority="141644" stopIfTrue="1" operator="equal">
      <formula>-1</formula>
    </cfRule>
  </conditionalFormatting>
  <conditionalFormatting sqref="AX51">
    <cfRule type="cellIs" dxfId="10458" priority="141645" stopIfTrue="1" operator="lessThan">
      <formula>0.5</formula>
    </cfRule>
  </conditionalFormatting>
  <conditionalFormatting sqref="AX51">
    <cfRule type="cellIs" dxfId="10457" priority="141646" stopIfTrue="1" operator="greaterThanOrEqual">
      <formula>0.5</formula>
    </cfRule>
  </conditionalFormatting>
  <conditionalFormatting sqref="AX52">
    <cfRule type="cellIs" dxfId="10456" priority="141647" stopIfTrue="1" operator="equal">
      <formula>-1</formula>
    </cfRule>
  </conditionalFormatting>
  <conditionalFormatting sqref="AX52">
    <cfRule type="cellIs" dxfId="10455" priority="141648" stopIfTrue="1" operator="lessThan">
      <formula>0.5</formula>
    </cfRule>
  </conditionalFormatting>
  <conditionalFormatting sqref="AX52">
    <cfRule type="cellIs" dxfId="10454" priority="141649" stopIfTrue="1" operator="greaterThanOrEqual">
      <formula>0.5</formula>
    </cfRule>
  </conditionalFormatting>
  <conditionalFormatting sqref="AX53">
    <cfRule type="cellIs" dxfId="10453" priority="141650" stopIfTrue="1" operator="equal">
      <formula>-1</formula>
    </cfRule>
  </conditionalFormatting>
  <conditionalFormatting sqref="AX53">
    <cfRule type="cellIs" dxfId="10452" priority="141651" stopIfTrue="1" operator="lessThan">
      <formula>0.5</formula>
    </cfRule>
  </conditionalFormatting>
  <conditionalFormatting sqref="AX53">
    <cfRule type="cellIs" dxfId="10451" priority="141652" stopIfTrue="1" operator="greaterThanOrEqual">
      <formula>0.5</formula>
    </cfRule>
  </conditionalFormatting>
  <conditionalFormatting sqref="AX54">
    <cfRule type="cellIs" dxfId="10450" priority="141653" stopIfTrue="1" operator="equal">
      <formula>-1</formula>
    </cfRule>
  </conditionalFormatting>
  <conditionalFormatting sqref="AX54">
    <cfRule type="cellIs" dxfId="10449" priority="141654" stopIfTrue="1" operator="lessThan">
      <formula>0.5</formula>
    </cfRule>
  </conditionalFormatting>
  <conditionalFormatting sqref="AX54">
    <cfRule type="cellIs" dxfId="10448" priority="141655" stopIfTrue="1" operator="greaterThanOrEqual">
      <formula>0.5</formula>
    </cfRule>
  </conditionalFormatting>
  <conditionalFormatting sqref="AX55">
    <cfRule type="cellIs" dxfId="10447" priority="141656" stopIfTrue="1" operator="equal">
      <formula>-1</formula>
    </cfRule>
  </conditionalFormatting>
  <conditionalFormatting sqref="AX55">
    <cfRule type="cellIs" dxfId="10446" priority="141657" stopIfTrue="1" operator="lessThan">
      <formula>0.5</formula>
    </cfRule>
  </conditionalFormatting>
  <conditionalFormatting sqref="AX55">
    <cfRule type="cellIs" dxfId="10445" priority="141658" stopIfTrue="1" operator="greaterThanOrEqual">
      <formula>0.5</formula>
    </cfRule>
  </conditionalFormatting>
  <conditionalFormatting sqref="AX56">
    <cfRule type="cellIs" dxfId="10444" priority="141659" stopIfTrue="1" operator="equal">
      <formula>-1</formula>
    </cfRule>
  </conditionalFormatting>
  <conditionalFormatting sqref="AX56">
    <cfRule type="cellIs" dxfId="10443" priority="141660" stopIfTrue="1" operator="lessThan">
      <formula>0.5</formula>
    </cfRule>
  </conditionalFormatting>
  <conditionalFormatting sqref="AX56">
    <cfRule type="cellIs" dxfId="10442" priority="141661" stopIfTrue="1" operator="greaterThanOrEqual">
      <formula>0.5</formula>
    </cfRule>
  </conditionalFormatting>
  <conditionalFormatting sqref="AX57">
    <cfRule type="cellIs" dxfId="10441" priority="141662" stopIfTrue="1" operator="equal">
      <formula>-1</formula>
    </cfRule>
  </conditionalFormatting>
  <conditionalFormatting sqref="AX57">
    <cfRule type="cellIs" dxfId="10440" priority="141663" stopIfTrue="1" operator="lessThan">
      <formula>0.5</formula>
    </cfRule>
  </conditionalFormatting>
  <conditionalFormatting sqref="AX57">
    <cfRule type="cellIs" dxfId="10439" priority="141664" stopIfTrue="1" operator="greaterThanOrEqual">
      <formula>0.5</formula>
    </cfRule>
  </conditionalFormatting>
  <conditionalFormatting sqref="AX58">
    <cfRule type="cellIs" dxfId="10438" priority="141665" stopIfTrue="1" operator="equal">
      <formula>-1</formula>
    </cfRule>
  </conditionalFormatting>
  <conditionalFormatting sqref="AX58">
    <cfRule type="cellIs" dxfId="10437" priority="141666" stopIfTrue="1" operator="lessThan">
      <formula>0.5</formula>
    </cfRule>
  </conditionalFormatting>
  <conditionalFormatting sqref="AX58">
    <cfRule type="cellIs" dxfId="10436" priority="141667" stopIfTrue="1" operator="greaterThanOrEqual">
      <formula>0.5</formula>
    </cfRule>
  </conditionalFormatting>
  <conditionalFormatting sqref="AZ39">
    <cfRule type="cellIs" dxfId="10435" priority="141668" stopIfTrue="1" operator="equal">
      <formula>-1</formula>
    </cfRule>
  </conditionalFormatting>
  <conditionalFormatting sqref="AZ39">
    <cfRule type="cellIs" dxfId="10434" priority="141669" stopIfTrue="1" operator="lessThan">
      <formula>0.5</formula>
    </cfRule>
  </conditionalFormatting>
  <conditionalFormatting sqref="AZ39">
    <cfRule type="cellIs" dxfId="10433" priority="141670" stopIfTrue="1" operator="greaterThanOrEqual">
      <formula>0.5</formula>
    </cfRule>
  </conditionalFormatting>
  <conditionalFormatting sqref="AZ40">
    <cfRule type="cellIs" dxfId="10432" priority="141671" stopIfTrue="1" operator="equal">
      <formula>-1</formula>
    </cfRule>
  </conditionalFormatting>
  <conditionalFormatting sqref="AZ40">
    <cfRule type="cellIs" dxfId="10431" priority="141672" stopIfTrue="1" operator="lessThan">
      <formula>0.5</formula>
    </cfRule>
  </conditionalFormatting>
  <conditionalFormatting sqref="AZ40">
    <cfRule type="cellIs" dxfId="10430" priority="141673" stopIfTrue="1" operator="greaterThanOrEqual">
      <formula>0.5</formula>
    </cfRule>
  </conditionalFormatting>
  <conditionalFormatting sqref="AZ41">
    <cfRule type="cellIs" dxfId="10429" priority="141674" stopIfTrue="1" operator="equal">
      <formula>-1</formula>
    </cfRule>
  </conditionalFormatting>
  <conditionalFormatting sqref="AZ41">
    <cfRule type="cellIs" dxfId="10428" priority="141675" stopIfTrue="1" operator="lessThan">
      <formula>0.5</formula>
    </cfRule>
  </conditionalFormatting>
  <conditionalFormatting sqref="AZ41">
    <cfRule type="cellIs" dxfId="10427" priority="141676" stopIfTrue="1" operator="greaterThanOrEqual">
      <formula>0.5</formula>
    </cfRule>
  </conditionalFormatting>
  <conditionalFormatting sqref="AZ42">
    <cfRule type="cellIs" dxfId="10426" priority="141677" stopIfTrue="1" operator="equal">
      <formula>-1</formula>
    </cfRule>
  </conditionalFormatting>
  <conditionalFormatting sqref="AZ42">
    <cfRule type="cellIs" dxfId="10425" priority="141678" stopIfTrue="1" operator="lessThan">
      <formula>0.5</formula>
    </cfRule>
  </conditionalFormatting>
  <conditionalFormatting sqref="AZ42">
    <cfRule type="cellIs" dxfId="10424" priority="141679" stopIfTrue="1" operator="greaterThanOrEqual">
      <formula>0.5</formula>
    </cfRule>
  </conditionalFormatting>
  <conditionalFormatting sqref="AZ43">
    <cfRule type="cellIs" dxfId="10423" priority="141680" stopIfTrue="1" operator="equal">
      <formula>-1</formula>
    </cfRule>
  </conditionalFormatting>
  <conditionalFormatting sqref="AZ43">
    <cfRule type="cellIs" dxfId="10422" priority="141681" stopIfTrue="1" operator="lessThan">
      <formula>0.5</formula>
    </cfRule>
  </conditionalFormatting>
  <conditionalFormatting sqref="AZ43">
    <cfRule type="cellIs" dxfId="10421" priority="141682" stopIfTrue="1" operator="greaterThanOrEqual">
      <formula>0.5</formula>
    </cfRule>
  </conditionalFormatting>
  <conditionalFormatting sqref="AZ44">
    <cfRule type="cellIs" dxfId="10420" priority="141683" stopIfTrue="1" operator="equal">
      <formula>-1</formula>
    </cfRule>
  </conditionalFormatting>
  <conditionalFormatting sqref="AZ44">
    <cfRule type="cellIs" dxfId="10419" priority="141684" stopIfTrue="1" operator="lessThan">
      <formula>0.5</formula>
    </cfRule>
  </conditionalFormatting>
  <conditionalFormatting sqref="AZ44">
    <cfRule type="cellIs" dxfId="10418" priority="141685" stopIfTrue="1" operator="greaterThanOrEqual">
      <formula>0.5</formula>
    </cfRule>
  </conditionalFormatting>
  <conditionalFormatting sqref="AZ45">
    <cfRule type="cellIs" dxfId="10417" priority="141686" stopIfTrue="1" operator="equal">
      <formula>-1</formula>
    </cfRule>
  </conditionalFormatting>
  <conditionalFormatting sqref="AZ45">
    <cfRule type="cellIs" dxfId="10416" priority="141687" stopIfTrue="1" operator="lessThan">
      <formula>0.5</formula>
    </cfRule>
  </conditionalFormatting>
  <conditionalFormatting sqref="AZ45">
    <cfRule type="cellIs" dxfId="10415" priority="141688" stopIfTrue="1" operator="greaterThanOrEqual">
      <formula>0.5</formula>
    </cfRule>
  </conditionalFormatting>
  <conditionalFormatting sqref="AZ46">
    <cfRule type="cellIs" dxfId="10414" priority="141689" stopIfTrue="1" operator="equal">
      <formula>-1</formula>
    </cfRule>
  </conditionalFormatting>
  <conditionalFormatting sqref="AZ46">
    <cfRule type="cellIs" dxfId="10413" priority="141690" stopIfTrue="1" operator="lessThan">
      <formula>0.5</formula>
    </cfRule>
  </conditionalFormatting>
  <conditionalFormatting sqref="AZ46">
    <cfRule type="cellIs" dxfId="10412" priority="141691" stopIfTrue="1" operator="greaterThanOrEqual">
      <formula>0.5</formula>
    </cfRule>
  </conditionalFormatting>
  <conditionalFormatting sqref="AZ47">
    <cfRule type="cellIs" dxfId="10411" priority="141692" stopIfTrue="1" operator="equal">
      <formula>-1</formula>
    </cfRule>
  </conditionalFormatting>
  <conditionalFormatting sqref="AZ47">
    <cfRule type="cellIs" dxfId="10410" priority="141693" stopIfTrue="1" operator="lessThan">
      <formula>0.5</formula>
    </cfRule>
  </conditionalFormatting>
  <conditionalFormatting sqref="AZ47">
    <cfRule type="cellIs" dxfId="10409" priority="141694" stopIfTrue="1" operator="greaterThanOrEqual">
      <formula>0.5</formula>
    </cfRule>
  </conditionalFormatting>
  <conditionalFormatting sqref="AZ48">
    <cfRule type="cellIs" dxfId="10408" priority="141695" stopIfTrue="1" operator="equal">
      <formula>-1</formula>
    </cfRule>
  </conditionalFormatting>
  <conditionalFormatting sqref="AZ48">
    <cfRule type="cellIs" dxfId="10407" priority="141696" stopIfTrue="1" operator="lessThan">
      <formula>0.5</formula>
    </cfRule>
  </conditionalFormatting>
  <conditionalFormatting sqref="AZ48">
    <cfRule type="cellIs" dxfId="10406" priority="141697" stopIfTrue="1" operator="greaterThanOrEqual">
      <formula>0.5</formula>
    </cfRule>
  </conditionalFormatting>
  <conditionalFormatting sqref="AZ49">
    <cfRule type="cellIs" dxfId="10405" priority="141698" stopIfTrue="1" operator="equal">
      <formula>-1</formula>
    </cfRule>
  </conditionalFormatting>
  <conditionalFormatting sqref="AZ49">
    <cfRule type="cellIs" dxfId="10404" priority="141699" stopIfTrue="1" operator="lessThan">
      <formula>0.5</formula>
    </cfRule>
  </conditionalFormatting>
  <conditionalFormatting sqref="AZ49">
    <cfRule type="cellIs" dxfId="10403" priority="141700" stopIfTrue="1" operator="greaterThanOrEqual">
      <formula>0.5</formula>
    </cfRule>
  </conditionalFormatting>
  <conditionalFormatting sqref="AZ50">
    <cfRule type="cellIs" dxfId="10402" priority="141701" stopIfTrue="1" operator="equal">
      <formula>-1</formula>
    </cfRule>
  </conditionalFormatting>
  <conditionalFormatting sqref="AZ50">
    <cfRule type="cellIs" dxfId="10401" priority="141702" stopIfTrue="1" operator="lessThan">
      <formula>0.5</formula>
    </cfRule>
  </conditionalFormatting>
  <conditionalFormatting sqref="AZ50">
    <cfRule type="cellIs" dxfId="10400" priority="141703" stopIfTrue="1" operator="greaterThanOrEqual">
      <formula>0.5</formula>
    </cfRule>
  </conditionalFormatting>
  <conditionalFormatting sqref="AZ51">
    <cfRule type="cellIs" dxfId="10399" priority="141704" stopIfTrue="1" operator="equal">
      <formula>-1</formula>
    </cfRule>
  </conditionalFormatting>
  <conditionalFormatting sqref="AZ51">
    <cfRule type="cellIs" dxfId="10398" priority="141705" stopIfTrue="1" operator="lessThan">
      <formula>0.5</formula>
    </cfRule>
  </conditionalFormatting>
  <conditionalFormatting sqref="AZ51">
    <cfRule type="cellIs" dxfId="10397" priority="141706" stopIfTrue="1" operator="greaterThanOrEqual">
      <formula>0.5</formula>
    </cfRule>
  </conditionalFormatting>
  <conditionalFormatting sqref="AZ52">
    <cfRule type="cellIs" dxfId="10396" priority="141707" stopIfTrue="1" operator="equal">
      <formula>-1</formula>
    </cfRule>
  </conditionalFormatting>
  <conditionalFormatting sqref="AZ52">
    <cfRule type="cellIs" dxfId="10395" priority="141708" stopIfTrue="1" operator="lessThan">
      <formula>0.5</formula>
    </cfRule>
  </conditionalFormatting>
  <conditionalFormatting sqref="AZ52">
    <cfRule type="cellIs" dxfId="10394" priority="141709" stopIfTrue="1" operator="greaterThanOrEqual">
      <formula>0.5</formula>
    </cfRule>
  </conditionalFormatting>
  <conditionalFormatting sqref="AZ53">
    <cfRule type="cellIs" dxfId="10393" priority="141710" stopIfTrue="1" operator="equal">
      <formula>-1</formula>
    </cfRule>
  </conditionalFormatting>
  <conditionalFormatting sqref="AZ53">
    <cfRule type="cellIs" dxfId="10392" priority="141711" stopIfTrue="1" operator="lessThan">
      <formula>0.5</formula>
    </cfRule>
  </conditionalFormatting>
  <conditionalFormatting sqref="AZ53">
    <cfRule type="cellIs" dxfId="10391" priority="141712" stopIfTrue="1" operator="greaterThanOrEqual">
      <formula>0.5</formula>
    </cfRule>
  </conditionalFormatting>
  <conditionalFormatting sqref="AZ54">
    <cfRule type="cellIs" dxfId="10390" priority="141713" stopIfTrue="1" operator="equal">
      <formula>-1</formula>
    </cfRule>
  </conditionalFormatting>
  <conditionalFormatting sqref="AZ54">
    <cfRule type="cellIs" dxfId="10389" priority="141714" stopIfTrue="1" operator="lessThan">
      <formula>0.5</formula>
    </cfRule>
  </conditionalFormatting>
  <conditionalFormatting sqref="AZ54">
    <cfRule type="cellIs" dxfId="10388" priority="141715" stopIfTrue="1" operator="greaterThanOrEqual">
      <formula>0.5</formula>
    </cfRule>
  </conditionalFormatting>
  <conditionalFormatting sqref="AZ55">
    <cfRule type="cellIs" dxfId="10387" priority="141716" stopIfTrue="1" operator="equal">
      <formula>-1</formula>
    </cfRule>
  </conditionalFormatting>
  <conditionalFormatting sqref="AZ55">
    <cfRule type="cellIs" dxfId="10386" priority="141717" stopIfTrue="1" operator="lessThan">
      <formula>0.5</formula>
    </cfRule>
  </conditionalFormatting>
  <conditionalFormatting sqref="AZ55">
    <cfRule type="cellIs" dxfId="10385" priority="141718" stopIfTrue="1" operator="greaterThanOrEqual">
      <formula>0.5</formula>
    </cfRule>
  </conditionalFormatting>
  <conditionalFormatting sqref="AZ56">
    <cfRule type="cellIs" dxfId="10384" priority="141719" stopIfTrue="1" operator="equal">
      <formula>-1</formula>
    </cfRule>
  </conditionalFormatting>
  <conditionalFormatting sqref="AZ56">
    <cfRule type="cellIs" dxfId="10383" priority="141720" stopIfTrue="1" operator="lessThan">
      <formula>0.5</formula>
    </cfRule>
  </conditionalFormatting>
  <conditionalFormatting sqref="AZ56">
    <cfRule type="cellIs" dxfId="10382" priority="141721" stopIfTrue="1" operator="greaterThanOrEqual">
      <formula>0.5</formula>
    </cfRule>
  </conditionalFormatting>
  <conditionalFormatting sqref="AZ57">
    <cfRule type="cellIs" dxfId="10381" priority="141722" stopIfTrue="1" operator="equal">
      <formula>-1</formula>
    </cfRule>
  </conditionalFormatting>
  <conditionalFormatting sqref="AZ57">
    <cfRule type="cellIs" dxfId="10380" priority="141723" stopIfTrue="1" operator="lessThan">
      <formula>0.5</formula>
    </cfRule>
  </conditionalFormatting>
  <conditionalFormatting sqref="AZ57">
    <cfRule type="cellIs" dxfId="10379" priority="141724" stopIfTrue="1" operator="greaterThanOrEqual">
      <formula>0.5</formula>
    </cfRule>
  </conditionalFormatting>
  <conditionalFormatting sqref="AZ58">
    <cfRule type="cellIs" dxfId="10378" priority="141725" stopIfTrue="1" operator="equal">
      <formula>-1</formula>
    </cfRule>
  </conditionalFormatting>
  <conditionalFormatting sqref="AZ58">
    <cfRule type="cellIs" dxfId="10377" priority="141726" stopIfTrue="1" operator="lessThan">
      <formula>0.5</formula>
    </cfRule>
  </conditionalFormatting>
  <conditionalFormatting sqref="AZ58">
    <cfRule type="cellIs" dxfId="10376" priority="141727" stopIfTrue="1" operator="greaterThanOrEqual">
      <formula>0.5</formula>
    </cfRule>
  </conditionalFormatting>
  <conditionalFormatting sqref="BB39">
    <cfRule type="cellIs" dxfId="10375" priority="141728" stopIfTrue="1" operator="equal">
      <formula>-1</formula>
    </cfRule>
  </conditionalFormatting>
  <conditionalFormatting sqref="BB39">
    <cfRule type="cellIs" dxfId="10374" priority="141729" stopIfTrue="1" operator="lessThan">
      <formula>0.5</formula>
    </cfRule>
  </conditionalFormatting>
  <conditionalFormatting sqref="BB39">
    <cfRule type="cellIs" dxfId="10373" priority="141730" stopIfTrue="1" operator="greaterThanOrEqual">
      <formula>0.5</formula>
    </cfRule>
  </conditionalFormatting>
  <conditionalFormatting sqref="BB40">
    <cfRule type="cellIs" dxfId="10372" priority="141731" stopIfTrue="1" operator="equal">
      <formula>-1</formula>
    </cfRule>
  </conditionalFormatting>
  <conditionalFormatting sqref="BB40">
    <cfRule type="cellIs" dxfId="10371" priority="141732" stopIfTrue="1" operator="lessThan">
      <formula>0.5</formula>
    </cfRule>
  </conditionalFormatting>
  <conditionalFormatting sqref="BB40">
    <cfRule type="cellIs" dxfId="10370" priority="141733" stopIfTrue="1" operator="greaterThanOrEqual">
      <formula>0.5</formula>
    </cfRule>
  </conditionalFormatting>
  <conditionalFormatting sqref="BB41">
    <cfRule type="cellIs" dxfId="10369" priority="141734" stopIfTrue="1" operator="equal">
      <formula>-1</formula>
    </cfRule>
  </conditionalFormatting>
  <conditionalFormatting sqref="BB41">
    <cfRule type="cellIs" dxfId="10368" priority="141735" stopIfTrue="1" operator="lessThan">
      <formula>0.5</formula>
    </cfRule>
  </conditionalFormatting>
  <conditionalFormatting sqref="BB41">
    <cfRule type="cellIs" dxfId="10367" priority="141736" stopIfTrue="1" operator="greaterThanOrEqual">
      <formula>0.5</formula>
    </cfRule>
  </conditionalFormatting>
  <conditionalFormatting sqref="BB42">
    <cfRule type="cellIs" dxfId="10366" priority="141737" stopIfTrue="1" operator="equal">
      <formula>-1</formula>
    </cfRule>
  </conditionalFormatting>
  <conditionalFormatting sqref="BB42">
    <cfRule type="cellIs" dxfId="10365" priority="141738" stopIfTrue="1" operator="lessThan">
      <formula>0.5</formula>
    </cfRule>
  </conditionalFormatting>
  <conditionalFormatting sqref="BB42">
    <cfRule type="cellIs" dxfId="10364" priority="141739" stopIfTrue="1" operator="greaterThanOrEqual">
      <formula>0.5</formula>
    </cfRule>
  </conditionalFormatting>
  <conditionalFormatting sqref="BB43">
    <cfRule type="cellIs" dxfId="10363" priority="141740" stopIfTrue="1" operator="equal">
      <formula>-1</formula>
    </cfRule>
  </conditionalFormatting>
  <conditionalFormatting sqref="BB43">
    <cfRule type="cellIs" dxfId="10362" priority="141741" stopIfTrue="1" operator="lessThan">
      <formula>0.5</formula>
    </cfRule>
  </conditionalFormatting>
  <conditionalFormatting sqref="BB43">
    <cfRule type="cellIs" dxfId="10361" priority="141742" stopIfTrue="1" operator="greaterThanOrEqual">
      <formula>0.5</formula>
    </cfRule>
  </conditionalFormatting>
  <conditionalFormatting sqref="BB44">
    <cfRule type="cellIs" dxfId="10360" priority="141743" stopIfTrue="1" operator="equal">
      <formula>-1</formula>
    </cfRule>
  </conditionalFormatting>
  <conditionalFormatting sqref="BB44">
    <cfRule type="cellIs" dxfId="10359" priority="141744" stopIfTrue="1" operator="lessThan">
      <formula>0.5</formula>
    </cfRule>
  </conditionalFormatting>
  <conditionalFormatting sqref="BB44">
    <cfRule type="cellIs" dxfId="10358" priority="141745" stopIfTrue="1" operator="greaterThanOrEqual">
      <formula>0.5</formula>
    </cfRule>
  </conditionalFormatting>
  <conditionalFormatting sqref="BB45">
    <cfRule type="cellIs" dxfId="10357" priority="141746" stopIfTrue="1" operator="equal">
      <formula>-1</formula>
    </cfRule>
  </conditionalFormatting>
  <conditionalFormatting sqref="BB45">
    <cfRule type="cellIs" dxfId="10356" priority="141747" stopIfTrue="1" operator="lessThan">
      <formula>0.5</formula>
    </cfRule>
  </conditionalFormatting>
  <conditionalFormatting sqref="BB45">
    <cfRule type="cellIs" dxfId="10355" priority="141748" stopIfTrue="1" operator="greaterThanOrEqual">
      <formula>0.5</formula>
    </cfRule>
  </conditionalFormatting>
  <conditionalFormatting sqref="BB46">
    <cfRule type="cellIs" dxfId="10354" priority="141749" stopIfTrue="1" operator="equal">
      <formula>-1</formula>
    </cfRule>
  </conditionalFormatting>
  <conditionalFormatting sqref="BB46">
    <cfRule type="cellIs" dxfId="10353" priority="141750" stopIfTrue="1" operator="lessThan">
      <formula>0.5</formula>
    </cfRule>
  </conditionalFormatting>
  <conditionalFormatting sqref="BB46">
    <cfRule type="cellIs" dxfId="10352" priority="141751" stopIfTrue="1" operator="greaterThanOrEqual">
      <formula>0.5</formula>
    </cfRule>
  </conditionalFormatting>
  <conditionalFormatting sqref="BB47">
    <cfRule type="cellIs" dxfId="10351" priority="141752" stopIfTrue="1" operator="equal">
      <formula>-1</formula>
    </cfRule>
  </conditionalFormatting>
  <conditionalFormatting sqref="BB47">
    <cfRule type="cellIs" dxfId="10350" priority="141753" stopIfTrue="1" operator="lessThan">
      <formula>0.5</formula>
    </cfRule>
  </conditionalFormatting>
  <conditionalFormatting sqref="BB47">
    <cfRule type="cellIs" dxfId="10349" priority="141754" stopIfTrue="1" operator="greaterThanOrEqual">
      <formula>0.5</formula>
    </cfRule>
  </conditionalFormatting>
  <conditionalFormatting sqref="BB48">
    <cfRule type="cellIs" dxfId="10348" priority="141755" stopIfTrue="1" operator="equal">
      <formula>-1</formula>
    </cfRule>
  </conditionalFormatting>
  <conditionalFormatting sqref="BB48">
    <cfRule type="cellIs" dxfId="10347" priority="141756" stopIfTrue="1" operator="lessThan">
      <formula>0.5</formula>
    </cfRule>
  </conditionalFormatting>
  <conditionalFormatting sqref="BB48">
    <cfRule type="cellIs" dxfId="10346" priority="141757" stopIfTrue="1" operator="greaterThanOrEqual">
      <formula>0.5</formula>
    </cfRule>
  </conditionalFormatting>
  <conditionalFormatting sqref="BB49">
    <cfRule type="cellIs" dxfId="10345" priority="141758" stopIfTrue="1" operator="equal">
      <formula>-1</formula>
    </cfRule>
  </conditionalFormatting>
  <conditionalFormatting sqref="BB49">
    <cfRule type="cellIs" dxfId="10344" priority="141759" stopIfTrue="1" operator="lessThan">
      <formula>0.5</formula>
    </cfRule>
  </conditionalFormatting>
  <conditionalFormatting sqref="BB49">
    <cfRule type="cellIs" dxfId="10343" priority="141760" stopIfTrue="1" operator="greaterThanOrEqual">
      <formula>0.5</formula>
    </cfRule>
  </conditionalFormatting>
  <conditionalFormatting sqref="BB50">
    <cfRule type="cellIs" dxfId="10342" priority="141761" stopIfTrue="1" operator="equal">
      <formula>-1</formula>
    </cfRule>
  </conditionalFormatting>
  <conditionalFormatting sqref="BB50">
    <cfRule type="cellIs" dxfId="10341" priority="141762" stopIfTrue="1" operator="lessThan">
      <formula>0.5</formula>
    </cfRule>
  </conditionalFormatting>
  <conditionalFormatting sqref="BB50">
    <cfRule type="cellIs" dxfId="10340" priority="141763" stopIfTrue="1" operator="greaterThanOrEqual">
      <formula>0.5</formula>
    </cfRule>
  </conditionalFormatting>
  <conditionalFormatting sqref="BB51">
    <cfRule type="cellIs" dxfId="10339" priority="141764" stopIfTrue="1" operator="equal">
      <formula>-1</formula>
    </cfRule>
  </conditionalFormatting>
  <conditionalFormatting sqref="BB51">
    <cfRule type="cellIs" dxfId="10338" priority="141765" stopIfTrue="1" operator="lessThan">
      <formula>0.5</formula>
    </cfRule>
  </conditionalFormatting>
  <conditionalFormatting sqref="BB51">
    <cfRule type="cellIs" dxfId="10337" priority="141766" stopIfTrue="1" operator="greaterThanOrEqual">
      <formula>0.5</formula>
    </cfRule>
  </conditionalFormatting>
  <conditionalFormatting sqref="BB52">
    <cfRule type="cellIs" dxfId="10336" priority="141767" stopIfTrue="1" operator="equal">
      <formula>-1</formula>
    </cfRule>
  </conditionalFormatting>
  <conditionalFormatting sqref="BB52">
    <cfRule type="cellIs" dxfId="10335" priority="141768" stopIfTrue="1" operator="lessThan">
      <formula>0.5</formula>
    </cfRule>
  </conditionalFormatting>
  <conditionalFormatting sqref="BB52">
    <cfRule type="cellIs" dxfId="10334" priority="141769" stopIfTrue="1" operator="greaterThanOrEqual">
      <formula>0.5</formula>
    </cfRule>
  </conditionalFormatting>
  <conditionalFormatting sqref="BB53">
    <cfRule type="cellIs" dxfId="10333" priority="141770" stopIfTrue="1" operator="equal">
      <formula>-1</formula>
    </cfRule>
  </conditionalFormatting>
  <conditionalFormatting sqref="BB53">
    <cfRule type="cellIs" dxfId="10332" priority="141771" stopIfTrue="1" operator="lessThan">
      <formula>0.5</formula>
    </cfRule>
  </conditionalFormatting>
  <conditionalFormatting sqref="BB53">
    <cfRule type="cellIs" dxfId="10331" priority="141772" stopIfTrue="1" operator="greaterThanOrEqual">
      <formula>0.5</formula>
    </cfRule>
  </conditionalFormatting>
  <conditionalFormatting sqref="BB54">
    <cfRule type="cellIs" dxfId="10330" priority="141773" stopIfTrue="1" operator="equal">
      <formula>-1</formula>
    </cfRule>
  </conditionalFormatting>
  <conditionalFormatting sqref="BB54">
    <cfRule type="cellIs" dxfId="10329" priority="141774" stopIfTrue="1" operator="lessThan">
      <formula>0.5</formula>
    </cfRule>
  </conditionalFormatting>
  <conditionalFormatting sqref="BB54">
    <cfRule type="cellIs" dxfId="10328" priority="141775" stopIfTrue="1" operator="greaterThanOrEqual">
      <formula>0.5</formula>
    </cfRule>
  </conditionalFormatting>
  <conditionalFormatting sqref="BB55">
    <cfRule type="cellIs" dxfId="10327" priority="141776" stopIfTrue="1" operator="equal">
      <formula>-1</formula>
    </cfRule>
  </conditionalFormatting>
  <conditionalFormatting sqref="BB55">
    <cfRule type="cellIs" dxfId="10326" priority="141777" stopIfTrue="1" operator="lessThan">
      <formula>0.5</formula>
    </cfRule>
  </conditionalFormatting>
  <conditionalFormatting sqref="BB55">
    <cfRule type="cellIs" dxfId="10325" priority="141778" stopIfTrue="1" operator="greaterThanOrEqual">
      <formula>0.5</formula>
    </cfRule>
  </conditionalFormatting>
  <conditionalFormatting sqref="BB56">
    <cfRule type="cellIs" dxfId="10324" priority="141779" stopIfTrue="1" operator="equal">
      <formula>-1</formula>
    </cfRule>
  </conditionalFormatting>
  <conditionalFormatting sqref="BB56">
    <cfRule type="cellIs" dxfId="10323" priority="141780" stopIfTrue="1" operator="lessThan">
      <formula>0.5</formula>
    </cfRule>
  </conditionalFormatting>
  <conditionalFormatting sqref="BB56">
    <cfRule type="cellIs" dxfId="10322" priority="141781" stopIfTrue="1" operator="greaterThanOrEqual">
      <formula>0.5</formula>
    </cfRule>
  </conditionalFormatting>
  <conditionalFormatting sqref="BB57">
    <cfRule type="cellIs" dxfId="10321" priority="141782" stopIfTrue="1" operator="equal">
      <formula>-1</formula>
    </cfRule>
  </conditionalFormatting>
  <conditionalFormatting sqref="BB57">
    <cfRule type="cellIs" dxfId="10320" priority="141783" stopIfTrue="1" operator="lessThan">
      <formula>0.5</formula>
    </cfRule>
  </conditionalFormatting>
  <conditionalFormatting sqref="BB57">
    <cfRule type="cellIs" dxfId="10319" priority="141784" stopIfTrue="1" operator="greaterThanOrEqual">
      <formula>0.5</formula>
    </cfRule>
  </conditionalFormatting>
  <conditionalFormatting sqref="BB58">
    <cfRule type="cellIs" dxfId="10318" priority="141785" stopIfTrue="1" operator="equal">
      <formula>-1</formula>
    </cfRule>
  </conditionalFormatting>
  <conditionalFormatting sqref="BB58">
    <cfRule type="cellIs" dxfId="10317" priority="141786" stopIfTrue="1" operator="lessThan">
      <formula>0.5</formula>
    </cfRule>
  </conditionalFormatting>
  <conditionalFormatting sqref="BB58">
    <cfRule type="cellIs" dxfId="10316" priority="141787" stopIfTrue="1" operator="greaterThanOrEqual">
      <formula>0.5</formula>
    </cfRule>
  </conditionalFormatting>
  <conditionalFormatting sqref="BD39">
    <cfRule type="cellIs" dxfId="10315" priority="141788" stopIfTrue="1" operator="equal">
      <formula>-1</formula>
    </cfRule>
  </conditionalFormatting>
  <conditionalFormatting sqref="BD39">
    <cfRule type="cellIs" dxfId="10314" priority="141789" stopIfTrue="1" operator="lessThan">
      <formula>0.5</formula>
    </cfRule>
  </conditionalFormatting>
  <conditionalFormatting sqref="BD39">
    <cfRule type="cellIs" dxfId="10313" priority="141790" stopIfTrue="1" operator="greaterThanOrEqual">
      <formula>0.5</formula>
    </cfRule>
  </conditionalFormatting>
  <conditionalFormatting sqref="BD40">
    <cfRule type="cellIs" dxfId="10312" priority="141791" stopIfTrue="1" operator="equal">
      <formula>-1</formula>
    </cfRule>
  </conditionalFormatting>
  <conditionalFormatting sqref="BD40">
    <cfRule type="cellIs" dxfId="10311" priority="141792" stopIfTrue="1" operator="lessThan">
      <formula>0.5</formula>
    </cfRule>
  </conditionalFormatting>
  <conditionalFormatting sqref="BD40">
    <cfRule type="cellIs" dxfId="10310" priority="141793" stopIfTrue="1" operator="greaterThanOrEqual">
      <formula>0.5</formula>
    </cfRule>
  </conditionalFormatting>
  <conditionalFormatting sqref="BD41">
    <cfRule type="cellIs" dxfId="10309" priority="141794" stopIfTrue="1" operator="equal">
      <formula>-1</formula>
    </cfRule>
  </conditionalFormatting>
  <conditionalFormatting sqref="BD41">
    <cfRule type="cellIs" dxfId="10308" priority="141795" stopIfTrue="1" operator="lessThan">
      <formula>0.5</formula>
    </cfRule>
  </conditionalFormatting>
  <conditionalFormatting sqref="BD41">
    <cfRule type="cellIs" dxfId="10307" priority="141796" stopIfTrue="1" operator="greaterThanOrEqual">
      <formula>0.5</formula>
    </cfRule>
  </conditionalFormatting>
  <conditionalFormatting sqref="BD42">
    <cfRule type="cellIs" dxfId="10306" priority="141797" stopIfTrue="1" operator="equal">
      <formula>-1</formula>
    </cfRule>
  </conditionalFormatting>
  <conditionalFormatting sqref="BD42">
    <cfRule type="cellIs" dxfId="10305" priority="141798" stopIfTrue="1" operator="lessThan">
      <formula>0.5</formula>
    </cfRule>
  </conditionalFormatting>
  <conditionalFormatting sqref="BD42">
    <cfRule type="cellIs" dxfId="10304" priority="141799" stopIfTrue="1" operator="greaterThanOrEqual">
      <formula>0.5</formula>
    </cfRule>
  </conditionalFormatting>
  <conditionalFormatting sqref="BD43">
    <cfRule type="cellIs" dxfId="10303" priority="141800" stopIfTrue="1" operator="equal">
      <formula>-1</formula>
    </cfRule>
  </conditionalFormatting>
  <conditionalFormatting sqref="BD43">
    <cfRule type="cellIs" dxfId="10302" priority="141801" stopIfTrue="1" operator="lessThan">
      <formula>0.5</formula>
    </cfRule>
  </conditionalFormatting>
  <conditionalFormatting sqref="BD43">
    <cfRule type="cellIs" dxfId="10301" priority="141802" stopIfTrue="1" operator="greaterThanOrEqual">
      <formula>0.5</formula>
    </cfRule>
  </conditionalFormatting>
  <conditionalFormatting sqref="BD44">
    <cfRule type="cellIs" dxfId="10300" priority="141803" stopIfTrue="1" operator="equal">
      <formula>-1</formula>
    </cfRule>
  </conditionalFormatting>
  <conditionalFormatting sqref="BD44">
    <cfRule type="cellIs" dxfId="10299" priority="141804" stopIfTrue="1" operator="lessThan">
      <formula>0.5</formula>
    </cfRule>
  </conditionalFormatting>
  <conditionalFormatting sqref="BD44">
    <cfRule type="cellIs" dxfId="10298" priority="141805" stopIfTrue="1" operator="greaterThanOrEqual">
      <formula>0.5</formula>
    </cfRule>
  </conditionalFormatting>
  <conditionalFormatting sqref="BD45">
    <cfRule type="cellIs" dxfId="10297" priority="141806" stopIfTrue="1" operator="equal">
      <formula>-1</formula>
    </cfRule>
  </conditionalFormatting>
  <conditionalFormatting sqref="BD45">
    <cfRule type="cellIs" dxfId="10296" priority="141807" stopIfTrue="1" operator="lessThan">
      <formula>0.5</formula>
    </cfRule>
  </conditionalFormatting>
  <conditionalFormatting sqref="BD45">
    <cfRule type="cellIs" dxfId="10295" priority="141808" stopIfTrue="1" operator="greaterThanOrEqual">
      <formula>0.5</formula>
    </cfRule>
  </conditionalFormatting>
  <conditionalFormatting sqref="BD46">
    <cfRule type="cellIs" dxfId="10294" priority="141809" stopIfTrue="1" operator="equal">
      <formula>-1</formula>
    </cfRule>
  </conditionalFormatting>
  <conditionalFormatting sqref="BD46">
    <cfRule type="cellIs" dxfId="10293" priority="141810" stopIfTrue="1" operator="lessThan">
      <formula>0.5</formula>
    </cfRule>
  </conditionalFormatting>
  <conditionalFormatting sqref="BD46">
    <cfRule type="cellIs" dxfId="10292" priority="141811" stopIfTrue="1" operator="greaterThanOrEqual">
      <formula>0.5</formula>
    </cfRule>
  </conditionalFormatting>
  <conditionalFormatting sqref="BD47">
    <cfRule type="cellIs" dxfId="10291" priority="141812" stopIfTrue="1" operator="equal">
      <formula>-1</formula>
    </cfRule>
  </conditionalFormatting>
  <conditionalFormatting sqref="BD47">
    <cfRule type="cellIs" dxfId="10290" priority="141813" stopIfTrue="1" operator="lessThan">
      <formula>0.5</formula>
    </cfRule>
  </conditionalFormatting>
  <conditionalFormatting sqref="BD47">
    <cfRule type="cellIs" dxfId="10289" priority="141814" stopIfTrue="1" operator="greaterThanOrEqual">
      <formula>0.5</formula>
    </cfRule>
  </conditionalFormatting>
  <conditionalFormatting sqref="BD48">
    <cfRule type="cellIs" dxfId="10288" priority="141815" stopIfTrue="1" operator="equal">
      <formula>-1</formula>
    </cfRule>
  </conditionalFormatting>
  <conditionalFormatting sqref="BD48">
    <cfRule type="cellIs" dxfId="10287" priority="141816" stopIfTrue="1" operator="lessThan">
      <formula>0.5</formula>
    </cfRule>
  </conditionalFormatting>
  <conditionalFormatting sqref="BD48">
    <cfRule type="cellIs" dxfId="10286" priority="141817" stopIfTrue="1" operator="greaterThanOrEqual">
      <formula>0.5</formula>
    </cfRule>
  </conditionalFormatting>
  <conditionalFormatting sqref="BD49">
    <cfRule type="cellIs" dxfId="10285" priority="141818" stopIfTrue="1" operator="equal">
      <formula>-1</formula>
    </cfRule>
  </conditionalFormatting>
  <conditionalFormatting sqref="BD49">
    <cfRule type="cellIs" dxfId="10284" priority="141819" stopIfTrue="1" operator="lessThan">
      <formula>0.5</formula>
    </cfRule>
  </conditionalFormatting>
  <conditionalFormatting sqref="BD49">
    <cfRule type="cellIs" dxfId="10283" priority="141820" stopIfTrue="1" operator="greaterThanOrEqual">
      <formula>0.5</formula>
    </cfRule>
  </conditionalFormatting>
  <conditionalFormatting sqref="BD50">
    <cfRule type="cellIs" dxfId="10282" priority="141821" stopIfTrue="1" operator="equal">
      <formula>-1</formula>
    </cfRule>
  </conditionalFormatting>
  <conditionalFormatting sqref="BD50">
    <cfRule type="cellIs" dxfId="10281" priority="141822" stopIfTrue="1" operator="lessThan">
      <formula>0.5</formula>
    </cfRule>
  </conditionalFormatting>
  <conditionalFormatting sqref="BD50">
    <cfRule type="cellIs" dxfId="10280" priority="141823" stopIfTrue="1" operator="greaterThanOrEqual">
      <formula>0.5</formula>
    </cfRule>
  </conditionalFormatting>
  <conditionalFormatting sqref="BD51">
    <cfRule type="cellIs" dxfId="10279" priority="141824" stopIfTrue="1" operator="equal">
      <formula>-1</formula>
    </cfRule>
  </conditionalFormatting>
  <conditionalFormatting sqref="BD51">
    <cfRule type="cellIs" dxfId="10278" priority="141825" stopIfTrue="1" operator="lessThan">
      <formula>0.5</formula>
    </cfRule>
  </conditionalFormatting>
  <conditionalFormatting sqref="BD51">
    <cfRule type="cellIs" dxfId="10277" priority="141826" stopIfTrue="1" operator="greaterThanOrEqual">
      <formula>0.5</formula>
    </cfRule>
  </conditionalFormatting>
  <conditionalFormatting sqref="BD52">
    <cfRule type="cellIs" dxfId="10276" priority="141827" stopIfTrue="1" operator="equal">
      <formula>-1</formula>
    </cfRule>
  </conditionalFormatting>
  <conditionalFormatting sqref="BD52">
    <cfRule type="cellIs" dxfId="10275" priority="141828" stopIfTrue="1" operator="lessThan">
      <formula>0.5</formula>
    </cfRule>
  </conditionalFormatting>
  <conditionalFormatting sqref="BD52">
    <cfRule type="cellIs" dxfId="10274" priority="141829" stopIfTrue="1" operator="greaterThanOrEqual">
      <formula>0.5</formula>
    </cfRule>
  </conditionalFormatting>
  <conditionalFormatting sqref="BD53">
    <cfRule type="cellIs" dxfId="10273" priority="141830" stopIfTrue="1" operator="equal">
      <formula>-1</formula>
    </cfRule>
  </conditionalFormatting>
  <conditionalFormatting sqref="BD53">
    <cfRule type="cellIs" dxfId="10272" priority="141831" stopIfTrue="1" operator="lessThan">
      <formula>0.5</formula>
    </cfRule>
  </conditionalFormatting>
  <conditionalFormatting sqref="BD53">
    <cfRule type="cellIs" dxfId="10271" priority="141832" stopIfTrue="1" operator="greaterThanOrEqual">
      <formula>0.5</formula>
    </cfRule>
  </conditionalFormatting>
  <conditionalFormatting sqref="BD54">
    <cfRule type="cellIs" dxfId="10270" priority="141833" stopIfTrue="1" operator="equal">
      <formula>-1</formula>
    </cfRule>
  </conditionalFormatting>
  <conditionalFormatting sqref="BD54">
    <cfRule type="cellIs" dxfId="10269" priority="141834" stopIfTrue="1" operator="lessThan">
      <formula>0.5</formula>
    </cfRule>
  </conditionalFormatting>
  <conditionalFormatting sqref="BD54">
    <cfRule type="cellIs" dxfId="10268" priority="141835" stopIfTrue="1" operator="greaterThanOrEqual">
      <formula>0.5</formula>
    </cfRule>
  </conditionalFormatting>
  <conditionalFormatting sqref="BD55">
    <cfRule type="cellIs" dxfId="10267" priority="141836" stopIfTrue="1" operator="equal">
      <formula>-1</formula>
    </cfRule>
  </conditionalFormatting>
  <conditionalFormatting sqref="BD55">
    <cfRule type="cellIs" dxfId="10266" priority="141837" stopIfTrue="1" operator="lessThan">
      <formula>0.5</formula>
    </cfRule>
  </conditionalFormatting>
  <conditionalFormatting sqref="BD55">
    <cfRule type="cellIs" dxfId="10265" priority="141838" stopIfTrue="1" operator="greaterThanOrEqual">
      <formula>0.5</formula>
    </cfRule>
  </conditionalFormatting>
  <conditionalFormatting sqref="BD56">
    <cfRule type="cellIs" dxfId="10264" priority="141839" stopIfTrue="1" operator="equal">
      <formula>-1</formula>
    </cfRule>
  </conditionalFormatting>
  <conditionalFormatting sqref="BD56">
    <cfRule type="cellIs" dxfId="10263" priority="141840" stopIfTrue="1" operator="lessThan">
      <formula>0.5</formula>
    </cfRule>
  </conditionalFormatting>
  <conditionalFormatting sqref="BD56">
    <cfRule type="cellIs" dxfId="10262" priority="141841" stopIfTrue="1" operator="greaterThanOrEqual">
      <formula>0.5</formula>
    </cfRule>
  </conditionalFormatting>
  <conditionalFormatting sqref="BD57">
    <cfRule type="cellIs" dxfId="10261" priority="141842" stopIfTrue="1" operator="equal">
      <formula>-1</formula>
    </cfRule>
  </conditionalFormatting>
  <conditionalFormatting sqref="BD57">
    <cfRule type="cellIs" dxfId="10260" priority="141843" stopIfTrue="1" operator="lessThan">
      <formula>0.5</formula>
    </cfRule>
  </conditionalFormatting>
  <conditionalFormatting sqref="BD57">
    <cfRule type="cellIs" dxfId="10259" priority="141844" stopIfTrue="1" operator="greaterThanOrEqual">
      <formula>0.5</formula>
    </cfRule>
  </conditionalFormatting>
  <conditionalFormatting sqref="BD58">
    <cfRule type="cellIs" dxfId="10258" priority="141845" stopIfTrue="1" operator="equal">
      <formula>-1</formula>
    </cfRule>
  </conditionalFormatting>
  <conditionalFormatting sqref="BD58">
    <cfRule type="cellIs" dxfId="10257" priority="141846" stopIfTrue="1" operator="lessThan">
      <formula>0.5</formula>
    </cfRule>
  </conditionalFormatting>
  <conditionalFormatting sqref="BD58">
    <cfRule type="cellIs" dxfId="10256" priority="141847" stopIfTrue="1" operator="greaterThanOrEqual">
      <formula>0.5</formula>
    </cfRule>
  </conditionalFormatting>
  <conditionalFormatting sqref="BF39">
    <cfRule type="cellIs" dxfId="10255" priority="141848" stopIfTrue="1" operator="equal">
      <formula>-1</formula>
    </cfRule>
  </conditionalFormatting>
  <conditionalFormatting sqref="BF39">
    <cfRule type="cellIs" dxfId="10254" priority="141849" stopIfTrue="1" operator="lessThan">
      <formula>0.5</formula>
    </cfRule>
  </conditionalFormatting>
  <conditionalFormatting sqref="BF39">
    <cfRule type="cellIs" dxfId="10253" priority="141850" stopIfTrue="1" operator="greaterThanOrEqual">
      <formula>0.5</formula>
    </cfRule>
  </conditionalFormatting>
  <conditionalFormatting sqref="BF40">
    <cfRule type="cellIs" dxfId="10252" priority="141851" stopIfTrue="1" operator="equal">
      <formula>-1</formula>
    </cfRule>
  </conditionalFormatting>
  <conditionalFormatting sqref="BF40">
    <cfRule type="cellIs" dxfId="10251" priority="141852" stopIfTrue="1" operator="lessThan">
      <formula>0.5</formula>
    </cfRule>
  </conditionalFormatting>
  <conditionalFormatting sqref="BF40">
    <cfRule type="cellIs" dxfId="10250" priority="141853" stopIfTrue="1" operator="greaterThanOrEqual">
      <formula>0.5</formula>
    </cfRule>
  </conditionalFormatting>
  <conditionalFormatting sqref="BF41">
    <cfRule type="cellIs" dxfId="10249" priority="141854" stopIfTrue="1" operator="equal">
      <formula>-1</formula>
    </cfRule>
  </conditionalFormatting>
  <conditionalFormatting sqref="BF41">
    <cfRule type="cellIs" dxfId="10248" priority="141855" stopIfTrue="1" operator="lessThan">
      <formula>0.5</formula>
    </cfRule>
  </conditionalFormatting>
  <conditionalFormatting sqref="BF41">
    <cfRule type="cellIs" dxfId="10247" priority="141856" stopIfTrue="1" operator="greaterThanOrEqual">
      <formula>0.5</formula>
    </cfRule>
  </conditionalFormatting>
  <conditionalFormatting sqref="BF42">
    <cfRule type="cellIs" dxfId="10246" priority="141857" stopIfTrue="1" operator="equal">
      <formula>-1</formula>
    </cfRule>
  </conditionalFormatting>
  <conditionalFormatting sqref="BF42">
    <cfRule type="cellIs" dxfId="10245" priority="141858" stopIfTrue="1" operator="lessThan">
      <formula>0.5</formula>
    </cfRule>
  </conditionalFormatting>
  <conditionalFormatting sqref="BF42">
    <cfRule type="cellIs" dxfId="10244" priority="141859" stopIfTrue="1" operator="greaterThanOrEqual">
      <formula>0.5</formula>
    </cfRule>
  </conditionalFormatting>
  <conditionalFormatting sqref="BF43">
    <cfRule type="cellIs" dxfId="10243" priority="141860" stopIfTrue="1" operator="equal">
      <formula>-1</formula>
    </cfRule>
  </conditionalFormatting>
  <conditionalFormatting sqref="BF43">
    <cfRule type="cellIs" dxfId="10242" priority="141861" stopIfTrue="1" operator="lessThan">
      <formula>0.5</formula>
    </cfRule>
  </conditionalFormatting>
  <conditionalFormatting sqref="BF43">
    <cfRule type="cellIs" dxfId="10241" priority="141862" stopIfTrue="1" operator="greaterThanOrEqual">
      <formula>0.5</formula>
    </cfRule>
  </conditionalFormatting>
  <conditionalFormatting sqref="BF44">
    <cfRule type="cellIs" dxfId="10240" priority="141863" stopIfTrue="1" operator="equal">
      <formula>-1</formula>
    </cfRule>
  </conditionalFormatting>
  <conditionalFormatting sqref="BF44">
    <cfRule type="cellIs" dxfId="10239" priority="141864" stopIfTrue="1" operator="lessThan">
      <formula>0.5</formula>
    </cfRule>
  </conditionalFormatting>
  <conditionalFormatting sqref="BF44">
    <cfRule type="cellIs" dxfId="10238" priority="141865" stopIfTrue="1" operator="greaterThanOrEqual">
      <formula>0.5</formula>
    </cfRule>
  </conditionalFormatting>
  <conditionalFormatting sqref="BF45">
    <cfRule type="cellIs" dxfId="10237" priority="141866" stopIfTrue="1" operator="equal">
      <formula>-1</formula>
    </cfRule>
  </conditionalFormatting>
  <conditionalFormatting sqref="BF45">
    <cfRule type="cellIs" dxfId="10236" priority="141867" stopIfTrue="1" operator="lessThan">
      <formula>0.5</formula>
    </cfRule>
  </conditionalFormatting>
  <conditionalFormatting sqref="BF45">
    <cfRule type="cellIs" dxfId="10235" priority="141868" stopIfTrue="1" operator="greaterThanOrEqual">
      <formula>0.5</formula>
    </cfRule>
  </conditionalFormatting>
  <conditionalFormatting sqref="BF46">
    <cfRule type="cellIs" dxfId="10234" priority="141869" stopIfTrue="1" operator="equal">
      <formula>-1</formula>
    </cfRule>
  </conditionalFormatting>
  <conditionalFormatting sqref="BF46">
    <cfRule type="cellIs" dxfId="10233" priority="141870" stopIfTrue="1" operator="lessThan">
      <formula>0.5</formula>
    </cfRule>
  </conditionalFormatting>
  <conditionalFormatting sqref="BF46">
    <cfRule type="cellIs" dxfId="10232" priority="141871" stopIfTrue="1" operator="greaterThanOrEqual">
      <formula>0.5</formula>
    </cfRule>
  </conditionalFormatting>
  <conditionalFormatting sqref="BF47">
    <cfRule type="cellIs" dxfId="10231" priority="141872" stopIfTrue="1" operator="equal">
      <formula>-1</formula>
    </cfRule>
  </conditionalFormatting>
  <conditionalFormatting sqref="BF47">
    <cfRule type="cellIs" dxfId="10230" priority="141873" stopIfTrue="1" operator="lessThan">
      <formula>0.5</formula>
    </cfRule>
  </conditionalFormatting>
  <conditionalFormatting sqref="BF47">
    <cfRule type="cellIs" dxfId="10229" priority="141874" stopIfTrue="1" operator="greaterThanOrEqual">
      <formula>0.5</formula>
    </cfRule>
  </conditionalFormatting>
  <conditionalFormatting sqref="BF48">
    <cfRule type="cellIs" dxfId="10228" priority="141875" stopIfTrue="1" operator="equal">
      <formula>-1</formula>
    </cfRule>
  </conditionalFormatting>
  <conditionalFormatting sqref="BF48">
    <cfRule type="cellIs" dxfId="10227" priority="141876" stopIfTrue="1" operator="lessThan">
      <formula>0.5</formula>
    </cfRule>
  </conditionalFormatting>
  <conditionalFormatting sqref="BF48">
    <cfRule type="cellIs" dxfId="10226" priority="141877" stopIfTrue="1" operator="greaterThanOrEqual">
      <formula>0.5</formula>
    </cfRule>
  </conditionalFormatting>
  <conditionalFormatting sqref="BF49">
    <cfRule type="cellIs" dxfId="10225" priority="141878" stopIfTrue="1" operator="equal">
      <formula>-1</formula>
    </cfRule>
  </conditionalFormatting>
  <conditionalFormatting sqref="BF49">
    <cfRule type="cellIs" dxfId="10224" priority="141879" stopIfTrue="1" operator="lessThan">
      <formula>0.5</formula>
    </cfRule>
  </conditionalFormatting>
  <conditionalFormatting sqref="BF49">
    <cfRule type="cellIs" dxfId="10223" priority="141880" stopIfTrue="1" operator="greaterThanOrEqual">
      <formula>0.5</formula>
    </cfRule>
  </conditionalFormatting>
  <conditionalFormatting sqref="BF50">
    <cfRule type="cellIs" dxfId="10222" priority="141881" stopIfTrue="1" operator="equal">
      <formula>-1</formula>
    </cfRule>
  </conditionalFormatting>
  <conditionalFormatting sqref="BF50">
    <cfRule type="cellIs" dxfId="10221" priority="141882" stopIfTrue="1" operator="lessThan">
      <formula>0.5</formula>
    </cfRule>
  </conditionalFormatting>
  <conditionalFormatting sqref="BF50">
    <cfRule type="cellIs" dxfId="10220" priority="141883" stopIfTrue="1" operator="greaterThanOrEqual">
      <formula>0.5</formula>
    </cfRule>
  </conditionalFormatting>
  <conditionalFormatting sqref="BF51">
    <cfRule type="cellIs" dxfId="10219" priority="141884" stopIfTrue="1" operator="equal">
      <formula>-1</formula>
    </cfRule>
  </conditionalFormatting>
  <conditionalFormatting sqref="BF51">
    <cfRule type="cellIs" dxfId="10218" priority="141885" stopIfTrue="1" operator="lessThan">
      <formula>0.5</formula>
    </cfRule>
  </conditionalFormatting>
  <conditionalFormatting sqref="BF51">
    <cfRule type="cellIs" dxfId="10217" priority="141886" stopIfTrue="1" operator="greaterThanOrEqual">
      <formula>0.5</formula>
    </cfRule>
  </conditionalFormatting>
  <conditionalFormatting sqref="BF52">
    <cfRule type="cellIs" dxfId="10216" priority="141887" stopIfTrue="1" operator="equal">
      <formula>-1</formula>
    </cfRule>
  </conditionalFormatting>
  <conditionalFormatting sqref="BF52">
    <cfRule type="cellIs" dxfId="10215" priority="141888" stopIfTrue="1" operator="lessThan">
      <formula>0.5</formula>
    </cfRule>
  </conditionalFormatting>
  <conditionalFormatting sqref="BF52">
    <cfRule type="cellIs" dxfId="10214" priority="141889" stopIfTrue="1" operator="greaterThanOrEqual">
      <formula>0.5</formula>
    </cfRule>
  </conditionalFormatting>
  <conditionalFormatting sqref="BF53">
    <cfRule type="cellIs" dxfId="10213" priority="141890" stopIfTrue="1" operator="equal">
      <formula>-1</formula>
    </cfRule>
  </conditionalFormatting>
  <conditionalFormatting sqref="BF53">
    <cfRule type="cellIs" dxfId="10212" priority="141891" stopIfTrue="1" operator="lessThan">
      <formula>0.5</formula>
    </cfRule>
  </conditionalFormatting>
  <conditionalFormatting sqref="BF53">
    <cfRule type="cellIs" dxfId="10211" priority="141892" stopIfTrue="1" operator="greaterThanOrEqual">
      <formula>0.5</formula>
    </cfRule>
  </conditionalFormatting>
  <conditionalFormatting sqref="BF54">
    <cfRule type="cellIs" dxfId="10210" priority="141893" stopIfTrue="1" operator="equal">
      <formula>-1</formula>
    </cfRule>
  </conditionalFormatting>
  <conditionalFormatting sqref="BF54">
    <cfRule type="cellIs" dxfId="10209" priority="141894" stopIfTrue="1" operator="lessThan">
      <formula>0.5</formula>
    </cfRule>
  </conditionalFormatting>
  <conditionalFormatting sqref="BF54">
    <cfRule type="cellIs" dxfId="10208" priority="141895" stopIfTrue="1" operator="greaterThanOrEqual">
      <formula>0.5</formula>
    </cfRule>
  </conditionalFormatting>
  <conditionalFormatting sqref="BF55">
    <cfRule type="cellIs" dxfId="10207" priority="141896" stopIfTrue="1" operator="equal">
      <formula>-1</formula>
    </cfRule>
  </conditionalFormatting>
  <conditionalFormatting sqref="BF55">
    <cfRule type="cellIs" dxfId="10206" priority="141897" stopIfTrue="1" operator="lessThan">
      <formula>0.5</formula>
    </cfRule>
  </conditionalFormatting>
  <conditionalFormatting sqref="BF55">
    <cfRule type="cellIs" dxfId="10205" priority="141898" stopIfTrue="1" operator="greaterThanOrEqual">
      <formula>0.5</formula>
    </cfRule>
  </conditionalFormatting>
  <conditionalFormatting sqref="BF56">
    <cfRule type="cellIs" dxfId="10204" priority="141899" stopIfTrue="1" operator="equal">
      <formula>-1</formula>
    </cfRule>
  </conditionalFormatting>
  <conditionalFormatting sqref="BF56">
    <cfRule type="cellIs" dxfId="10203" priority="141900" stopIfTrue="1" operator="lessThan">
      <formula>0.5</formula>
    </cfRule>
  </conditionalFormatting>
  <conditionalFormatting sqref="BF56">
    <cfRule type="cellIs" dxfId="10202" priority="141901" stopIfTrue="1" operator="greaterThanOrEqual">
      <formula>0.5</formula>
    </cfRule>
  </conditionalFormatting>
  <conditionalFormatting sqref="BF57">
    <cfRule type="cellIs" dxfId="10201" priority="141902" stopIfTrue="1" operator="equal">
      <formula>-1</formula>
    </cfRule>
  </conditionalFormatting>
  <conditionalFormatting sqref="BF57">
    <cfRule type="cellIs" dxfId="10200" priority="141903" stopIfTrue="1" operator="lessThan">
      <formula>0.5</formula>
    </cfRule>
  </conditionalFormatting>
  <conditionalFormatting sqref="BF57">
    <cfRule type="cellIs" dxfId="10199" priority="141904" stopIfTrue="1" operator="greaterThanOrEqual">
      <formula>0.5</formula>
    </cfRule>
  </conditionalFormatting>
  <conditionalFormatting sqref="BF58">
    <cfRule type="cellIs" dxfId="10198" priority="141905" stopIfTrue="1" operator="equal">
      <formula>-1</formula>
    </cfRule>
  </conditionalFormatting>
  <conditionalFormatting sqref="BF58">
    <cfRule type="cellIs" dxfId="10197" priority="141906" stopIfTrue="1" operator="lessThan">
      <formula>0.5</formula>
    </cfRule>
  </conditionalFormatting>
  <conditionalFormatting sqref="BF58">
    <cfRule type="cellIs" dxfId="10196" priority="141907" stopIfTrue="1" operator="greaterThanOrEqual">
      <formula>0.5</formula>
    </cfRule>
  </conditionalFormatting>
  <conditionalFormatting sqref="BH39">
    <cfRule type="cellIs" dxfId="10195" priority="141908" stopIfTrue="1" operator="equal">
      <formula>-1</formula>
    </cfRule>
  </conditionalFormatting>
  <conditionalFormatting sqref="BH39">
    <cfRule type="cellIs" dxfId="10194" priority="141909" stopIfTrue="1" operator="lessThan">
      <formula>0.5</formula>
    </cfRule>
  </conditionalFormatting>
  <conditionalFormatting sqref="BH39">
    <cfRule type="cellIs" dxfId="10193" priority="141910" stopIfTrue="1" operator="greaterThanOrEqual">
      <formula>0.5</formula>
    </cfRule>
  </conditionalFormatting>
  <conditionalFormatting sqref="BH40">
    <cfRule type="cellIs" dxfId="10192" priority="141911" stopIfTrue="1" operator="equal">
      <formula>-1</formula>
    </cfRule>
  </conditionalFormatting>
  <conditionalFormatting sqref="BH40">
    <cfRule type="cellIs" dxfId="10191" priority="141912" stopIfTrue="1" operator="lessThan">
      <formula>0.5</formula>
    </cfRule>
  </conditionalFormatting>
  <conditionalFormatting sqref="BH40">
    <cfRule type="cellIs" dxfId="10190" priority="141913" stopIfTrue="1" operator="greaterThanOrEqual">
      <formula>0.5</formula>
    </cfRule>
  </conditionalFormatting>
  <conditionalFormatting sqref="BH41">
    <cfRule type="cellIs" dxfId="10189" priority="141914" stopIfTrue="1" operator="equal">
      <formula>-1</formula>
    </cfRule>
  </conditionalFormatting>
  <conditionalFormatting sqref="BH41">
    <cfRule type="cellIs" dxfId="10188" priority="141915" stopIfTrue="1" operator="lessThan">
      <formula>0.5</formula>
    </cfRule>
  </conditionalFormatting>
  <conditionalFormatting sqref="BH41">
    <cfRule type="cellIs" dxfId="10187" priority="141916" stopIfTrue="1" operator="greaterThanOrEqual">
      <formula>0.5</formula>
    </cfRule>
  </conditionalFormatting>
  <conditionalFormatting sqref="BH42">
    <cfRule type="cellIs" dxfId="10186" priority="141917" stopIfTrue="1" operator="equal">
      <formula>-1</formula>
    </cfRule>
  </conditionalFormatting>
  <conditionalFormatting sqref="BH42">
    <cfRule type="cellIs" dxfId="10185" priority="141918" stopIfTrue="1" operator="lessThan">
      <formula>0.5</formula>
    </cfRule>
  </conditionalFormatting>
  <conditionalFormatting sqref="BH42">
    <cfRule type="cellIs" dxfId="10184" priority="141919" stopIfTrue="1" operator="greaterThanOrEqual">
      <formula>0.5</formula>
    </cfRule>
  </conditionalFormatting>
  <conditionalFormatting sqref="BH43">
    <cfRule type="cellIs" dxfId="10183" priority="141920" stopIfTrue="1" operator="equal">
      <formula>-1</formula>
    </cfRule>
  </conditionalFormatting>
  <conditionalFormatting sqref="BH43">
    <cfRule type="cellIs" dxfId="10182" priority="141921" stopIfTrue="1" operator="lessThan">
      <formula>0.5</formula>
    </cfRule>
  </conditionalFormatting>
  <conditionalFormatting sqref="BH43">
    <cfRule type="cellIs" dxfId="10181" priority="141922" stopIfTrue="1" operator="greaterThanOrEqual">
      <formula>0.5</formula>
    </cfRule>
  </conditionalFormatting>
  <conditionalFormatting sqref="BH44">
    <cfRule type="cellIs" dxfId="10180" priority="141923" stopIfTrue="1" operator="equal">
      <formula>-1</formula>
    </cfRule>
  </conditionalFormatting>
  <conditionalFormatting sqref="BH44">
    <cfRule type="cellIs" dxfId="10179" priority="141924" stopIfTrue="1" operator="lessThan">
      <formula>0.5</formula>
    </cfRule>
  </conditionalFormatting>
  <conditionalFormatting sqref="BH44">
    <cfRule type="cellIs" dxfId="10178" priority="141925" stopIfTrue="1" operator="greaterThanOrEqual">
      <formula>0.5</formula>
    </cfRule>
  </conditionalFormatting>
  <conditionalFormatting sqref="BH45">
    <cfRule type="cellIs" dxfId="10177" priority="141926" stopIfTrue="1" operator="equal">
      <formula>-1</formula>
    </cfRule>
  </conditionalFormatting>
  <conditionalFormatting sqref="BH45">
    <cfRule type="cellIs" dxfId="10176" priority="141927" stopIfTrue="1" operator="lessThan">
      <formula>0.5</formula>
    </cfRule>
  </conditionalFormatting>
  <conditionalFormatting sqref="BH45">
    <cfRule type="cellIs" dxfId="10175" priority="141928" stopIfTrue="1" operator="greaterThanOrEqual">
      <formula>0.5</formula>
    </cfRule>
  </conditionalFormatting>
  <conditionalFormatting sqref="BH46">
    <cfRule type="cellIs" dxfId="10174" priority="141929" stopIfTrue="1" operator="equal">
      <formula>-1</formula>
    </cfRule>
  </conditionalFormatting>
  <conditionalFormatting sqref="BH46">
    <cfRule type="cellIs" dxfId="10173" priority="141930" stopIfTrue="1" operator="lessThan">
      <formula>0.5</formula>
    </cfRule>
  </conditionalFormatting>
  <conditionalFormatting sqref="BH46">
    <cfRule type="cellIs" dxfId="10172" priority="141931" stopIfTrue="1" operator="greaterThanOrEqual">
      <formula>0.5</formula>
    </cfRule>
  </conditionalFormatting>
  <conditionalFormatting sqref="BH47">
    <cfRule type="cellIs" dxfId="10171" priority="141932" stopIfTrue="1" operator="equal">
      <formula>-1</formula>
    </cfRule>
  </conditionalFormatting>
  <conditionalFormatting sqref="BH47">
    <cfRule type="cellIs" dxfId="10170" priority="141933" stopIfTrue="1" operator="lessThan">
      <formula>0.5</formula>
    </cfRule>
  </conditionalFormatting>
  <conditionalFormatting sqref="BH47">
    <cfRule type="cellIs" dxfId="10169" priority="141934" stopIfTrue="1" operator="greaterThanOrEqual">
      <formula>0.5</formula>
    </cfRule>
  </conditionalFormatting>
  <conditionalFormatting sqref="BH48">
    <cfRule type="cellIs" dxfId="10168" priority="141935" stopIfTrue="1" operator="equal">
      <formula>-1</formula>
    </cfRule>
  </conditionalFormatting>
  <conditionalFormatting sqref="BH48">
    <cfRule type="cellIs" dxfId="10167" priority="141936" stopIfTrue="1" operator="lessThan">
      <formula>0.5</formula>
    </cfRule>
  </conditionalFormatting>
  <conditionalFormatting sqref="BH48">
    <cfRule type="cellIs" dxfId="10166" priority="141937" stopIfTrue="1" operator="greaterThanOrEqual">
      <formula>0.5</formula>
    </cfRule>
  </conditionalFormatting>
  <conditionalFormatting sqref="BH49">
    <cfRule type="cellIs" dxfId="10165" priority="141938" stopIfTrue="1" operator="equal">
      <formula>-1</formula>
    </cfRule>
  </conditionalFormatting>
  <conditionalFormatting sqref="BH49">
    <cfRule type="cellIs" dxfId="10164" priority="141939" stopIfTrue="1" operator="lessThan">
      <formula>0.5</formula>
    </cfRule>
  </conditionalFormatting>
  <conditionalFormatting sqref="BH49">
    <cfRule type="cellIs" dxfId="10163" priority="141940" stopIfTrue="1" operator="greaterThanOrEqual">
      <formula>0.5</formula>
    </cfRule>
  </conditionalFormatting>
  <conditionalFormatting sqref="BH50">
    <cfRule type="cellIs" dxfId="10162" priority="141941" stopIfTrue="1" operator="equal">
      <formula>-1</formula>
    </cfRule>
  </conditionalFormatting>
  <conditionalFormatting sqref="BH50">
    <cfRule type="cellIs" dxfId="10161" priority="141942" stopIfTrue="1" operator="lessThan">
      <formula>0.5</formula>
    </cfRule>
  </conditionalFormatting>
  <conditionalFormatting sqref="BH50">
    <cfRule type="cellIs" dxfId="10160" priority="141943" stopIfTrue="1" operator="greaterThanOrEqual">
      <formula>0.5</formula>
    </cfRule>
  </conditionalFormatting>
  <conditionalFormatting sqref="BH51">
    <cfRule type="cellIs" dxfId="10159" priority="141944" stopIfTrue="1" operator="equal">
      <formula>-1</formula>
    </cfRule>
  </conditionalFormatting>
  <conditionalFormatting sqref="BH51">
    <cfRule type="cellIs" dxfId="10158" priority="141945" stopIfTrue="1" operator="lessThan">
      <formula>0.5</formula>
    </cfRule>
  </conditionalFormatting>
  <conditionalFormatting sqref="BH51">
    <cfRule type="cellIs" dxfId="10157" priority="141946" stopIfTrue="1" operator="greaterThanOrEqual">
      <formula>0.5</formula>
    </cfRule>
  </conditionalFormatting>
  <conditionalFormatting sqref="BH52">
    <cfRule type="cellIs" dxfId="10156" priority="141947" stopIfTrue="1" operator="equal">
      <formula>-1</formula>
    </cfRule>
  </conditionalFormatting>
  <conditionalFormatting sqref="BH52">
    <cfRule type="cellIs" dxfId="10155" priority="141948" stopIfTrue="1" operator="lessThan">
      <formula>0.5</formula>
    </cfRule>
  </conditionalFormatting>
  <conditionalFormatting sqref="BH52">
    <cfRule type="cellIs" dxfId="10154" priority="141949" stopIfTrue="1" operator="greaterThanOrEqual">
      <formula>0.5</formula>
    </cfRule>
  </conditionalFormatting>
  <conditionalFormatting sqref="BH53">
    <cfRule type="cellIs" dxfId="10153" priority="141950" stopIfTrue="1" operator="equal">
      <formula>-1</formula>
    </cfRule>
  </conditionalFormatting>
  <conditionalFormatting sqref="BH53">
    <cfRule type="cellIs" dxfId="10152" priority="141951" stopIfTrue="1" operator="lessThan">
      <formula>0.5</formula>
    </cfRule>
  </conditionalFormatting>
  <conditionalFormatting sqref="BH53">
    <cfRule type="cellIs" dxfId="10151" priority="141952" stopIfTrue="1" operator="greaterThanOrEqual">
      <formula>0.5</formula>
    </cfRule>
  </conditionalFormatting>
  <conditionalFormatting sqref="BH54">
    <cfRule type="cellIs" dxfId="10150" priority="141953" stopIfTrue="1" operator="equal">
      <formula>-1</formula>
    </cfRule>
  </conditionalFormatting>
  <conditionalFormatting sqref="BH54">
    <cfRule type="cellIs" dxfId="10149" priority="141954" stopIfTrue="1" operator="lessThan">
      <formula>0.5</formula>
    </cfRule>
  </conditionalFormatting>
  <conditionalFormatting sqref="BH54">
    <cfRule type="cellIs" dxfId="10148" priority="141955" stopIfTrue="1" operator="greaterThanOrEqual">
      <formula>0.5</formula>
    </cfRule>
  </conditionalFormatting>
  <conditionalFormatting sqref="BH55">
    <cfRule type="cellIs" dxfId="10147" priority="141956" stopIfTrue="1" operator="equal">
      <formula>-1</formula>
    </cfRule>
  </conditionalFormatting>
  <conditionalFormatting sqref="BH55">
    <cfRule type="cellIs" dxfId="10146" priority="141957" stopIfTrue="1" operator="lessThan">
      <formula>0.5</formula>
    </cfRule>
  </conditionalFormatting>
  <conditionalFormatting sqref="BH55">
    <cfRule type="cellIs" dxfId="10145" priority="141958" stopIfTrue="1" operator="greaterThanOrEqual">
      <formula>0.5</formula>
    </cfRule>
  </conditionalFormatting>
  <conditionalFormatting sqref="BH56">
    <cfRule type="cellIs" dxfId="10144" priority="141959" stopIfTrue="1" operator="equal">
      <formula>-1</formula>
    </cfRule>
  </conditionalFormatting>
  <conditionalFormatting sqref="BH56">
    <cfRule type="cellIs" dxfId="10143" priority="141960" stopIfTrue="1" operator="lessThan">
      <formula>0.5</formula>
    </cfRule>
  </conditionalFormatting>
  <conditionalFormatting sqref="BH56">
    <cfRule type="cellIs" dxfId="10142" priority="141961" stopIfTrue="1" operator="greaterThanOrEqual">
      <formula>0.5</formula>
    </cfRule>
  </conditionalFormatting>
  <conditionalFormatting sqref="BH57">
    <cfRule type="cellIs" dxfId="10141" priority="141962" stopIfTrue="1" operator="equal">
      <formula>-1</formula>
    </cfRule>
  </conditionalFormatting>
  <conditionalFormatting sqref="BH57">
    <cfRule type="cellIs" dxfId="10140" priority="141963" stopIfTrue="1" operator="lessThan">
      <formula>0.5</formula>
    </cfRule>
  </conditionalFormatting>
  <conditionalFormatting sqref="BH57">
    <cfRule type="cellIs" dxfId="10139" priority="141964" stopIfTrue="1" operator="greaterThanOrEqual">
      <formula>0.5</formula>
    </cfRule>
  </conditionalFormatting>
  <conditionalFormatting sqref="BH58">
    <cfRule type="cellIs" dxfId="10138" priority="141965" stopIfTrue="1" operator="equal">
      <formula>-1</formula>
    </cfRule>
  </conditionalFormatting>
  <conditionalFormatting sqref="BH58">
    <cfRule type="cellIs" dxfId="10137" priority="141966" stopIfTrue="1" operator="lessThan">
      <formula>0.5</formula>
    </cfRule>
  </conditionalFormatting>
  <conditionalFormatting sqref="BH58">
    <cfRule type="cellIs" dxfId="10136" priority="141967" stopIfTrue="1" operator="greaterThanOrEqual">
      <formula>0.5</formula>
    </cfRule>
  </conditionalFormatting>
  <conditionalFormatting sqref="BJ39">
    <cfRule type="cellIs" dxfId="10135" priority="141968" stopIfTrue="1" operator="equal">
      <formula>-1</formula>
    </cfRule>
  </conditionalFormatting>
  <conditionalFormatting sqref="BJ39">
    <cfRule type="cellIs" dxfId="10134" priority="141969" stopIfTrue="1" operator="lessThan">
      <formula>0.5</formula>
    </cfRule>
  </conditionalFormatting>
  <conditionalFormatting sqref="BJ39">
    <cfRule type="cellIs" dxfId="10133" priority="141970" stopIfTrue="1" operator="greaterThanOrEqual">
      <formula>0.5</formula>
    </cfRule>
  </conditionalFormatting>
  <conditionalFormatting sqref="BJ40">
    <cfRule type="cellIs" dxfId="10132" priority="141971" stopIfTrue="1" operator="equal">
      <formula>-1</formula>
    </cfRule>
  </conditionalFormatting>
  <conditionalFormatting sqref="BJ40">
    <cfRule type="cellIs" dxfId="10131" priority="141972" stopIfTrue="1" operator="lessThan">
      <formula>0.5</formula>
    </cfRule>
  </conditionalFormatting>
  <conditionalFormatting sqref="BJ40">
    <cfRule type="cellIs" dxfId="10130" priority="141973" stopIfTrue="1" operator="greaterThanOrEqual">
      <formula>0.5</formula>
    </cfRule>
  </conditionalFormatting>
  <conditionalFormatting sqref="BJ41">
    <cfRule type="cellIs" dxfId="10129" priority="141974" stopIfTrue="1" operator="equal">
      <formula>-1</formula>
    </cfRule>
  </conditionalFormatting>
  <conditionalFormatting sqref="BJ41">
    <cfRule type="cellIs" dxfId="10128" priority="141975" stopIfTrue="1" operator="lessThan">
      <formula>0.5</formula>
    </cfRule>
  </conditionalFormatting>
  <conditionalFormatting sqref="BJ41">
    <cfRule type="cellIs" dxfId="10127" priority="141976" stopIfTrue="1" operator="greaterThanOrEqual">
      <formula>0.5</formula>
    </cfRule>
  </conditionalFormatting>
  <conditionalFormatting sqref="BJ42">
    <cfRule type="cellIs" dxfId="10126" priority="141977" stopIfTrue="1" operator="equal">
      <formula>-1</formula>
    </cfRule>
  </conditionalFormatting>
  <conditionalFormatting sqref="BJ42">
    <cfRule type="cellIs" dxfId="10125" priority="141978" stopIfTrue="1" operator="lessThan">
      <formula>0.5</formula>
    </cfRule>
  </conditionalFormatting>
  <conditionalFormatting sqref="BJ42">
    <cfRule type="cellIs" dxfId="10124" priority="141979" stopIfTrue="1" operator="greaterThanOrEqual">
      <formula>0.5</formula>
    </cfRule>
  </conditionalFormatting>
  <conditionalFormatting sqref="BJ43">
    <cfRule type="cellIs" dxfId="10123" priority="141980" stopIfTrue="1" operator="equal">
      <formula>-1</formula>
    </cfRule>
  </conditionalFormatting>
  <conditionalFormatting sqref="BJ43">
    <cfRule type="cellIs" dxfId="10122" priority="141981" stopIfTrue="1" operator="lessThan">
      <formula>0.5</formula>
    </cfRule>
  </conditionalFormatting>
  <conditionalFormatting sqref="BJ43">
    <cfRule type="cellIs" dxfId="10121" priority="141982" stopIfTrue="1" operator="greaterThanOrEqual">
      <formula>0.5</formula>
    </cfRule>
  </conditionalFormatting>
  <conditionalFormatting sqref="BJ44">
    <cfRule type="cellIs" dxfId="10120" priority="141983" stopIfTrue="1" operator="equal">
      <formula>-1</formula>
    </cfRule>
  </conditionalFormatting>
  <conditionalFormatting sqref="BJ44">
    <cfRule type="cellIs" dxfId="10119" priority="141984" stopIfTrue="1" operator="lessThan">
      <formula>0.5</formula>
    </cfRule>
  </conditionalFormatting>
  <conditionalFormatting sqref="BJ44">
    <cfRule type="cellIs" dxfId="10118" priority="141985" stopIfTrue="1" operator="greaterThanOrEqual">
      <formula>0.5</formula>
    </cfRule>
  </conditionalFormatting>
  <conditionalFormatting sqref="BJ45">
    <cfRule type="cellIs" dxfId="10117" priority="141986" stopIfTrue="1" operator="equal">
      <formula>-1</formula>
    </cfRule>
  </conditionalFormatting>
  <conditionalFormatting sqref="BJ45">
    <cfRule type="cellIs" dxfId="10116" priority="141987" stopIfTrue="1" operator="lessThan">
      <formula>0.5</formula>
    </cfRule>
  </conditionalFormatting>
  <conditionalFormatting sqref="BJ45">
    <cfRule type="cellIs" dxfId="10115" priority="141988" stopIfTrue="1" operator="greaterThanOrEqual">
      <formula>0.5</formula>
    </cfRule>
  </conditionalFormatting>
  <conditionalFormatting sqref="BJ46">
    <cfRule type="cellIs" dxfId="10114" priority="141989" stopIfTrue="1" operator="equal">
      <formula>-1</formula>
    </cfRule>
  </conditionalFormatting>
  <conditionalFormatting sqref="BJ46">
    <cfRule type="cellIs" dxfId="10113" priority="141990" stopIfTrue="1" operator="lessThan">
      <formula>0.5</formula>
    </cfRule>
  </conditionalFormatting>
  <conditionalFormatting sqref="BJ46">
    <cfRule type="cellIs" dxfId="10112" priority="141991" stopIfTrue="1" operator="greaterThanOrEqual">
      <formula>0.5</formula>
    </cfRule>
  </conditionalFormatting>
  <conditionalFormatting sqref="BJ47">
    <cfRule type="cellIs" dxfId="10111" priority="141992" stopIfTrue="1" operator="equal">
      <formula>-1</formula>
    </cfRule>
  </conditionalFormatting>
  <conditionalFormatting sqref="BJ47">
    <cfRule type="cellIs" dxfId="10110" priority="141993" stopIfTrue="1" operator="lessThan">
      <formula>0.5</formula>
    </cfRule>
  </conditionalFormatting>
  <conditionalFormatting sqref="BJ47">
    <cfRule type="cellIs" dxfId="10109" priority="141994" stopIfTrue="1" operator="greaterThanOrEqual">
      <formula>0.5</formula>
    </cfRule>
  </conditionalFormatting>
  <conditionalFormatting sqref="BJ48">
    <cfRule type="cellIs" dxfId="10108" priority="141995" stopIfTrue="1" operator="equal">
      <formula>-1</formula>
    </cfRule>
  </conditionalFormatting>
  <conditionalFormatting sqref="BJ48">
    <cfRule type="cellIs" dxfId="10107" priority="141996" stopIfTrue="1" operator="lessThan">
      <formula>0.5</formula>
    </cfRule>
  </conditionalFormatting>
  <conditionalFormatting sqref="BJ48">
    <cfRule type="cellIs" dxfId="10106" priority="141997" stopIfTrue="1" operator="greaterThanOrEqual">
      <formula>0.5</formula>
    </cfRule>
  </conditionalFormatting>
  <conditionalFormatting sqref="BJ49">
    <cfRule type="cellIs" dxfId="10105" priority="141998" stopIfTrue="1" operator="equal">
      <formula>-1</formula>
    </cfRule>
  </conditionalFormatting>
  <conditionalFormatting sqref="BJ49">
    <cfRule type="cellIs" dxfId="10104" priority="141999" stopIfTrue="1" operator="lessThan">
      <formula>0.5</formula>
    </cfRule>
  </conditionalFormatting>
  <conditionalFormatting sqref="BJ49">
    <cfRule type="cellIs" dxfId="10103" priority="142000" stopIfTrue="1" operator="greaterThanOrEqual">
      <formula>0.5</formula>
    </cfRule>
  </conditionalFormatting>
  <conditionalFormatting sqref="BJ50">
    <cfRule type="cellIs" dxfId="10102" priority="142001" stopIfTrue="1" operator="equal">
      <formula>-1</formula>
    </cfRule>
  </conditionalFormatting>
  <conditionalFormatting sqref="BJ50">
    <cfRule type="cellIs" dxfId="10101" priority="142002" stopIfTrue="1" operator="lessThan">
      <formula>0.5</formula>
    </cfRule>
  </conditionalFormatting>
  <conditionalFormatting sqref="BJ50">
    <cfRule type="cellIs" dxfId="10100" priority="142003" stopIfTrue="1" operator="greaterThanOrEqual">
      <formula>0.5</formula>
    </cfRule>
  </conditionalFormatting>
  <conditionalFormatting sqref="BJ51">
    <cfRule type="cellIs" dxfId="10099" priority="142004" stopIfTrue="1" operator="equal">
      <formula>-1</formula>
    </cfRule>
  </conditionalFormatting>
  <conditionalFormatting sqref="BJ51">
    <cfRule type="cellIs" dxfId="10098" priority="142005" stopIfTrue="1" operator="lessThan">
      <formula>0.5</formula>
    </cfRule>
  </conditionalFormatting>
  <conditionalFormatting sqref="BJ51">
    <cfRule type="cellIs" dxfId="10097" priority="142006" stopIfTrue="1" operator="greaterThanOrEqual">
      <formula>0.5</formula>
    </cfRule>
  </conditionalFormatting>
  <conditionalFormatting sqref="BJ52">
    <cfRule type="cellIs" dxfId="10096" priority="142007" stopIfTrue="1" operator="equal">
      <formula>-1</formula>
    </cfRule>
  </conditionalFormatting>
  <conditionalFormatting sqref="BJ52">
    <cfRule type="cellIs" dxfId="10095" priority="142008" stopIfTrue="1" operator="lessThan">
      <formula>0.5</formula>
    </cfRule>
  </conditionalFormatting>
  <conditionalFormatting sqref="BJ52">
    <cfRule type="cellIs" dxfId="10094" priority="142009" stopIfTrue="1" operator="greaterThanOrEqual">
      <formula>0.5</formula>
    </cfRule>
  </conditionalFormatting>
  <conditionalFormatting sqref="BJ53">
    <cfRule type="cellIs" dxfId="10093" priority="142010" stopIfTrue="1" operator="equal">
      <formula>-1</formula>
    </cfRule>
  </conditionalFormatting>
  <conditionalFormatting sqref="BJ53">
    <cfRule type="cellIs" dxfId="10092" priority="142011" stopIfTrue="1" operator="lessThan">
      <formula>0.5</formula>
    </cfRule>
  </conditionalFormatting>
  <conditionalFormatting sqref="BJ53">
    <cfRule type="cellIs" dxfId="10091" priority="142012" stopIfTrue="1" operator="greaterThanOrEqual">
      <formula>0.5</formula>
    </cfRule>
  </conditionalFormatting>
  <conditionalFormatting sqref="BJ54">
    <cfRule type="cellIs" dxfId="10090" priority="142013" stopIfTrue="1" operator="equal">
      <formula>-1</formula>
    </cfRule>
  </conditionalFormatting>
  <conditionalFormatting sqref="BJ54">
    <cfRule type="cellIs" dxfId="10089" priority="142014" stopIfTrue="1" operator="lessThan">
      <formula>0.5</formula>
    </cfRule>
  </conditionalFormatting>
  <conditionalFormatting sqref="BJ54">
    <cfRule type="cellIs" dxfId="10088" priority="142015" stopIfTrue="1" operator="greaterThanOrEqual">
      <formula>0.5</formula>
    </cfRule>
  </conditionalFormatting>
  <conditionalFormatting sqref="BJ55">
    <cfRule type="cellIs" dxfId="10087" priority="142016" stopIfTrue="1" operator="equal">
      <formula>-1</formula>
    </cfRule>
  </conditionalFormatting>
  <conditionalFormatting sqref="BJ55">
    <cfRule type="cellIs" dxfId="10086" priority="142017" stopIfTrue="1" operator="lessThan">
      <formula>0.5</formula>
    </cfRule>
  </conditionalFormatting>
  <conditionalFormatting sqref="BJ55">
    <cfRule type="cellIs" dxfId="10085" priority="142018" stopIfTrue="1" operator="greaterThanOrEqual">
      <formula>0.5</formula>
    </cfRule>
  </conditionalFormatting>
  <conditionalFormatting sqref="BJ56">
    <cfRule type="cellIs" dxfId="10084" priority="142019" stopIfTrue="1" operator="equal">
      <formula>-1</formula>
    </cfRule>
  </conditionalFormatting>
  <conditionalFormatting sqref="BJ56">
    <cfRule type="cellIs" dxfId="10083" priority="142020" stopIfTrue="1" operator="lessThan">
      <formula>0.5</formula>
    </cfRule>
  </conditionalFormatting>
  <conditionalFormatting sqref="BJ56">
    <cfRule type="cellIs" dxfId="10082" priority="142021" stopIfTrue="1" operator="greaterThanOrEqual">
      <formula>0.5</formula>
    </cfRule>
  </conditionalFormatting>
  <conditionalFormatting sqref="BJ57">
    <cfRule type="cellIs" dxfId="10081" priority="142022" stopIfTrue="1" operator="equal">
      <formula>-1</formula>
    </cfRule>
  </conditionalFormatting>
  <conditionalFormatting sqref="BJ57">
    <cfRule type="cellIs" dxfId="10080" priority="142023" stopIfTrue="1" operator="lessThan">
      <formula>0.5</formula>
    </cfRule>
  </conditionalFormatting>
  <conditionalFormatting sqref="BJ57">
    <cfRule type="cellIs" dxfId="10079" priority="142024" stopIfTrue="1" operator="greaterThanOrEqual">
      <formula>0.5</formula>
    </cfRule>
  </conditionalFormatting>
  <conditionalFormatting sqref="BJ58">
    <cfRule type="cellIs" dxfId="10078" priority="142025" stopIfTrue="1" operator="equal">
      <formula>-1</formula>
    </cfRule>
  </conditionalFormatting>
  <conditionalFormatting sqref="BJ58">
    <cfRule type="cellIs" dxfId="10077" priority="142026" stopIfTrue="1" operator="lessThan">
      <formula>0.5</formula>
    </cfRule>
  </conditionalFormatting>
  <conditionalFormatting sqref="BJ58">
    <cfRule type="cellIs" dxfId="10076" priority="142027" stopIfTrue="1" operator="greaterThanOrEqual">
      <formula>0.5</formula>
    </cfRule>
  </conditionalFormatting>
  <conditionalFormatting sqref="D60">
    <cfRule type="cellIs" dxfId="10075" priority="142028" stopIfTrue="1" operator="equal">
      <formula>-1</formula>
    </cfRule>
  </conditionalFormatting>
  <conditionalFormatting sqref="D60">
    <cfRule type="cellIs" dxfId="10074" priority="142029" stopIfTrue="1" operator="lessThan">
      <formula>0.5</formula>
    </cfRule>
  </conditionalFormatting>
  <conditionalFormatting sqref="D60">
    <cfRule type="cellIs" dxfId="10073" priority="142030" stopIfTrue="1" operator="greaterThanOrEqual">
      <formula>0.5</formula>
    </cfRule>
  </conditionalFormatting>
  <conditionalFormatting sqref="D61">
    <cfRule type="cellIs" dxfId="10072" priority="142031" stopIfTrue="1" operator="equal">
      <formula>-1</formula>
    </cfRule>
  </conditionalFormatting>
  <conditionalFormatting sqref="D61">
    <cfRule type="cellIs" dxfId="10071" priority="142032" stopIfTrue="1" operator="lessThan">
      <formula>0.5</formula>
    </cfRule>
  </conditionalFormatting>
  <conditionalFormatting sqref="D61">
    <cfRule type="cellIs" dxfId="10070" priority="142033" stopIfTrue="1" operator="greaterThanOrEqual">
      <formula>0.5</formula>
    </cfRule>
  </conditionalFormatting>
  <conditionalFormatting sqref="D62">
    <cfRule type="cellIs" dxfId="10069" priority="142034" stopIfTrue="1" operator="equal">
      <formula>-1</formula>
    </cfRule>
  </conditionalFormatting>
  <conditionalFormatting sqref="D62">
    <cfRule type="cellIs" dxfId="10068" priority="142035" stopIfTrue="1" operator="lessThan">
      <formula>0.5</formula>
    </cfRule>
  </conditionalFormatting>
  <conditionalFormatting sqref="D62">
    <cfRule type="cellIs" dxfId="10067" priority="142036" stopIfTrue="1" operator="greaterThanOrEqual">
      <formula>0.5</formula>
    </cfRule>
  </conditionalFormatting>
  <conditionalFormatting sqref="D63">
    <cfRule type="cellIs" dxfId="10066" priority="142037" stopIfTrue="1" operator="equal">
      <formula>-1</formula>
    </cfRule>
  </conditionalFormatting>
  <conditionalFormatting sqref="D63">
    <cfRule type="cellIs" dxfId="10065" priority="142038" stopIfTrue="1" operator="lessThan">
      <formula>0.5</formula>
    </cfRule>
  </conditionalFormatting>
  <conditionalFormatting sqref="D63">
    <cfRule type="cellIs" dxfId="10064" priority="142039" stopIfTrue="1" operator="greaterThanOrEqual">
      <formula>0.5</formula>
    </cfRule>
  </conditionalFormatting>
  <conditionalFormatting sqref="F60">
    <cfRule type="cellIs" dxfId="10063" priority="142040" stopIfTrue="1" operator="equal">
      <formula>-1</formula>
    </cfRule>
  </conditionalFormatting>
  <conditionalFormatting sqref="F60">
    <cfRule type="cellIs" dxfId="10062" priority="142041" stopIfTrue="1" operator="lessThan">
      <formula>0.5</formula>
    </cfRule>
  </conditionalFormatting>
  <conditionalFormatting sqref="F60">
    <cfRule type="cellIs" dxfId="10061" priority="142042" stopIfTrue="1" operator="greaterThanOrEqual">
      <formula>0.5</formula>
    </cfRule>
  </conditionalFormatting>
  <conditionalFormatting sqref="F61">
    <cfRule type="cellIs" dxfId="10060" priority="142043" stopIfTrue="1" operator="equal">
      <formula>-1</formula>
    </cfRule>
  </conditionalFormatting>
  <conditionalFormatting sqref="F61">
    <cfRule type="cellIs" dxfId="10059" priority="142044" stopIfTrue="1" operator="lessThan">
      <formula>0.5</formula>
    </cfRule>
  </conditionalFormatting>
  <conditionalFormatting sqref="F61">
    <cfRule type="cellIs" dxfId="10058" priority="142045" stopIfTrue="1" operator="greaterThanOrEqual">
      <formula>0.5</formula>
    </cfRule>
  </conditionalFormatting>
  <conditionalFormatting sqref="F62">
    <cfRule type="cellIs" dxfId="10057" priority="142046" stopIfTrue="1" operator="equal">
      <formula>-1</formula>
    </cfRule>
  </conditionalFormatting>
  <conditionalFormatting sqref="F62">
    <cfRule type="cellIs" dxfId="10056" priority="142047" stopIfTrue="1" operator="lessThan">
      <formula>0.5</formula>
    </cfRule>
  </conditionalFormatting>
  <conditionalFormatting sqref="F62">
    <cfRule type="cellIs" dxfId="10055" priority="142048" stopIfTrue="1" operator="greaterThanOrEqual">
      <formula>0.5</formula>
    </cfRule>
  </conditionalFormatting>
  <conditionalFormatting sqref="F63">
    <cfRule type="cellIs" dxfId="10054" priority="142049" stopIfTrue="1" operator="equal">
      <formula>-1</formula>
    </cfRule>
  </conditionalFormatting>
  <conditionalFormatting sqref="F63">
    <cfRule type="cellIs" dxfId="10053" priority="142050" stopIfTrue="1" operator="lessThan">
      <formula>0.5</formula>
    </cfRule>
  </conditionalFormatting>
  <conditionalFormatting sqref="F63">
    <cfRule type="cellIs" dxfId="10052" priority="142051" stopIfTrue="1" operator="greaterThanOrEqual">
      <formula>0.5</formula>
    </cfRule>
  </conditionalFormatting>
  <conditionalFormatting sqref="H60">
    <cfRule type="cellIs" dxfId="10051" priority="142052" stopIfTrue="1" operator="equal">
      <formula>-1</formula>
    </cfRule>
  </conditionalFormatting>
  <conditionalFormatting sqref="H60">
    <cfRule type="cellIs" dxfId="10050" priority="142053" stopIfTrue="1" operator="lessThan">
      <formula>0.5</formula>
    </cfRule>
  </conditionalFormatting>
  <conditionalFormatting sqref="H60">
    <cfRule type="cellIs" dxfId="10049" priority="142054" stopIfTrue="1" operator="greaterThanOrEqual">
      <formula>0.5</formula>
    </cfRule>
  </conditionalFormatting>
  <conditionalFormatting sqref="H61">
    <cfRule type="cellIs" dxfId="10048" priority="142055" stopIfTrue="1" operator="equal">
      <formula>-1</formula>
    </cfRule>
  </conditionalFormatting>
  <conditionalFormatting sqref="H61">
    <cfRule type="cellIs" dxfId="10047" priority="142056" stopIfTrue="1" operator="lessThan">
      <formula>0.5</formula>
    </cfRule>
  </conditionalFormatting>
  <conditionalFormatting sqref="H61">
    <cfRule type="cellIs" dxfId="10046" priority="142057" stopIfTrue="1" operator="greaterThanOrEqual">
      <formula>0.5</formula>
    </cfRule>
  </conditionalFormatting>
  <conditionalFormatting sqref="H62">
    <cfRule type="cellIs" dxfId="10045" priority="142058" stopIfTrue="1" operator="equal">
      <formula>-1</formula>
    </cfRule>
  </conditionalFormatting>
  <conditionalFormatting sqref="H62">
    <cfRule type="cellIs" dxfId="10044" priority="142059" stopIfTrue="1" operator="lessThan">
      <formula>0.5</formula>
    </cfRule>
  </conditionalFormatting>
  <conditionalFormatting sqref="H62">
    <cfRule type="cellIs" dxfId="10043" priority="142060" stopIfTrue="1" operator="greaterThanOrEqual">
      <formula>0.5</formula>
    </cfRule>
  </conditionalFormatting>
  <conditionalFormatting sqref="H63">
    <cfRule type="cellIs" dxfId="10042" priority="142061" stopIfTrue="1" operator="equal">
      <formula>-1</formula>
    </cfRule>
  </conditionalFormatting>
  <conditionalFormatting sqref="H63">
    <cfRule type="cellIs" dxfId="10041" priority="142062" stopIfTrue="1" operator="lessThan">
      <formula>0.5</formula>
    </cfRule>
  </conditionalFormatting>
  <conditionalFormatting sqref="H63">
    <cfRule type="cellIs" dxfId="10040" priority="142063" stopIfTrue="1" operator="greaterThanOrEqual">
      <formula>0.5</formula>
    </cfRule>
  </conditionalFormatting>
  <conditionalFormatting sqref="J60">
    <cfRule type="cellIs" dxfId="10039" priority="142064" stopIfTrue="1" operator="equal">
      <formula>-1</formula>
    </cfRule>
  </conditionalFormatting>
  <conditionalFormatting sqref="J60">
    <cfRule type="cellIs" dxfId="10038" priority="142065" stopIfTrue="1" operator="lessThan">
      <formula>0.5</formula>
    </cfRule>
  </conditionalFormatting>
  <conditionalFormatting sqref="J60">
    <cfRule type="cellIs" dxfId="10037" priority="142066" stopIfTrue="1" operator="greaterThanOrEqual">
      <formula>0.5</formula>
    </cfRule>
  </conditionalFormatting>
  <conditionalFormatting sqref="J61">
    <cfRule type="cellIs" dxfId="10036" priority="142067" stopIfTrue="1" operator="equal">
      <formula>-1</formula>
    </cfRule>
  </conditionalFormatting>
  <conditionalFormatting sqref="J61">
    <cfRule type="cellIs" dxfId="10035" priority="142068" stopIfTrue="1" operator="lessThan">
      <formula>0.5</formula>
    </cfRule>
  </conditionalFormatting>
  <conditionalFormatting sqref="J61">
    <cfRule type="cellIs" dxfId="10034" priority="142069" stopIfTrue="1" operator="greaterThanOrEqual">
      <formula>0.5</formula>
    </cfRule>
  </conditionalFormatting>
  <conditionalFormatting sqref="J62">
    <cfRule type="cellIs" dxfId="10033" priority="142070" stopIfTrue="1" operator="equal">
      <formula>-1</formula>
    </cfRule>
  </conditionalFormatting>
  <conditionalFormatting sqref="J62">
    <cfRule type="cellIs" dxfId="10032" priority="142071" stopIfTrue="1" operator="lessThan">
      <formula>0.5</formula>
    </cfRule>
  </conditionalFormatting>
  <conditionalFormatting sqref="J62">
    <cfRule type="cellIs" dxfId="10031" priority="142072" stopIfTrue="1" operator="greaterThanOrEqual">
      <formula>0.5</formula>
    </cfRule>
  </conditionalFormatting>
  <conditionalFormatting sqref="J63">
    <cfRule type="cellIs" dxfId="10030" priority="142073" stopIfTrue="1" operator="equal">
      <formula>-1</formula>
    </cfRule>
  </conditionalFormatting>
  <conditionalFormatting sqref="J63">
    <cfRule type="cellIs" dxfId="10029" priority="142074" stopIfTrue="1" operator="lessThan">
      <formula>0.5</formula>
    </cfRule>
  </conditionalFormatting>
  <conditionalFormatting sqref="J63">
    <cfRule type="cellIs" dxfId="10028" priority="142075" stopIfTrue="1" operator="greaterThanOrEqual">
      <formula>0.5</formula>
    </cfRule>
  </conditionalFormatting>
  <conditionalFormatting sqref="L60">
    <cfRule type="cellIs" dxfId="10027" priority="142076" stopIfTrue="1" operator="equal">
      <formula>-1</formula>
    </cfRule>
  </conditionalFormatting>
  <conditionalFormatting sqref="L60">
    <cfRule type="cellIs" dxfId="10026" priority="142077" stopIfTrue="1" operator="lessThan">
      <formula>0.5</formula>
    </cfRule>
  </conditionalFormatting>
  <conditionalFormatting sqref="L60">
    <cfRule type="cellIs" dxfId="10025" priority="142078" stopIfTrue="1" operator="greaterThanOrEqual">
      <formula>0.5</formula>
    </cfRule>
  </conditionalFormatting>
  <conditionalFormatting sqref="L61">
    <cfRule type="cellIs" dxfId="10024" priority="142079" stopIfTrue="1" operator="equal">
      <formula>-1</formula>
    </cfRule>
  </conditionalFormatting>
  <conditionalFormatting sqref="L61">
    <cfRule type="cellIs" dxfId="10023" priority="142080" stopIfTrue="1" operator="lessThan">
      <formula>0.5</formula>
    </cfRule>
  </conditionalFormatting>
  <conditionalFormatting sqref="L61">
    <cfRule type="cellIs" dxfId="10022" priority="142081" stopIfTrue="1" operator="greaterThanOrEqual">
      <formula>0.5</formula>
    </cfRule>
  </conditionalFormatting>
  <conditionalFormatting sqref="L62">
    <cfRule type="cellIs" dxfId="10021" priority="142082" stopIfTrue="1" operator="equal">
      <formula>-1</formula>
    </cfRule>
  </conditionalFormatting>
  <conditionalFormatting sqref="L62">
    <cfRule type="cellIs" dxfId="10020" priority="142083" stopIfTrue="1" operator="lessThan">
      <formula>0.5</formula>
    </cfRule>
  </conditionalFormatting>
  <conditionalFormatting sqref="L62">
    <cfRule type="cellIs" dxfId="10019" priority="142084" stopIfTrue="1" operator="greaterThanOrEqual">
      <formula>0.5</formula>
    </cfRule>
  </conditionalFormatting>
  <conditionalFormatting sqref="L63">
    <cfRule type="cellIs" dxfId="10018" priority="142085" stopIfTrue="1" operator="equal">
      <formula>-1</formula>
    </cfRule>
  </conditionalFormatting>
  <conditionalFormatting sqref="L63">
    <cfRule type="cellIs" dxfId="10017" priority="142086" stopIfTrue="1" operator="lessThan">
      <formula>0.5</formula>
    </cfRule>
  </conditionalFormatting>
  <conditionalFormatting sqref="L63">
    <cfRule type="cellIs" dxfId="10016" priority="142087" stopIfTrue="1" operator="greaterThanOrEqual">
      <formula>0.5</formula>
    </cfRule>
  </conditionalFormatting>
  <conditionalFormatting sqref="N60">
    <cfRule type="cellIs" dxfId="10015" priority="142088" stopIfTrue="1" operator="equal">
      <formula>-1</formula>
    </cfRule>
  </conditionalFormatting>
  <conditionalFormatting sqref="N60">
    <cfRule type="cellIs" dxfId="10014" priority="142089" stopIfTrue="1" operator="lessThan">
      <formula>0.5</formula>
    </cfRule>
  </conditionalFormatting>
  <conditionalFormatting sqref="N60">
    <cfRule type="cellIs" dxfId="10013" priority="142090" stopIfTrue="1" operator="greaterThanOrEqual">
      <formula>0.5</formula>
    </cfRule>
  </conditionalFormatting>
  <conditionalFormatting sqref="N61">
    <cfRule type="cellIs" dxfId="10012" priority="142091" stopIfTrue="1" operator="equal">
      <formula>-1</formula>
    </cfRule>
  </conditionalFormatting>
  <conditionalFormatting sqref="N61">
    <cfRule type="cellIs" dxfId="10011" priority="142092" stopIfTrue="1" operator="lessThan">
      <formula>0.5</formula>
    </cfRule>
  </conditionalFormatting>
  <conditionalFormatting sqref="N61">
    <cfRule type="cellIs" dxfId="10010" priority="142093" stopIfTrue="1" operator="greaterThanOrEqual">
      <formula>0.5</formula>
    </cfRule>
  </conditionalFormatting>
  <conditionalFormatting sqref="N62">
    <cfRule type="cellIs" dxfId="10009" priority="142094" stopIfTrue="1" operator="equal">
      <formula>-1</formula>
    </cfRule>
  </conditionalFormatting>
  <conditionalFormatting sqref="N62">
    <cfRule type="cellIs" dxfId="10008" priority="142095" stopIfTrue="1" operator="lessThan">
      <formula>0.5</formula>
    </cfRule>
  </conditionalFormatting>
  <conditionalFormatting sqref="N62">
    <cfRule type="cellIs" dxfId="10007" priority="142096" stopIfTrue="1" operator="greaterThanOrEqual">
      <formula>0.5</formula>
    </cfRule>
  </conditionalFormatting>
  <conditionalFormatting sqref="N63">
    <cfRule type="cellIs" dxfId="10006" priority="142097" stopIfTrue="1" operator="equal">
      <formula>-1</formula>
    </cfRule>
  </conditionalFormatting>
  <conditionalFormatting sqref="N63">
    <cfRule type="cellIs" dxfId="10005" priority="142098" stopIfTrue="1" operator="lessThan">
      <formula>0.5</formula>
    </cfRule>
  </conditionalFormatting>
  <conditionalFormatting sqref="N63">
    <cfRule type="cellIs" dxfId="10004" priority="142099" stopIfTrue="1" operator="greaterThanOrEqual">
      <formula>0.5</formula>
    </cfRule>
  </conditionalFormatting>
  <conditionalFormatting sqref="P60">
    <cfRule type="cellIs" dxfId="10003" priority="142100" stopIfTrue="1" operator="equal">
      <formula>-1</formula>
    </cfRule>
  </conditionalFormatting>
  <conditionalFormatting sqref="P60">
    <cfRule type="cellIs" dxfId="10002" priority="142101" stopIfTrue="1" operator="lessThan">
      <formula>0.5</formula>
    </cfRule>
  </conditionalFormatting>
  <conditionalFormatting sqref="P60">
    <cfRule type="cellIs" dxfId="10001" priority="142102" stopIfTrue="1" operator="greaterThanOrEqual">
      <formula>0.5</formula>
    </cfRule>
  </conditionalFormatting>
  <conditionalFormatting sqref="P61">
    <cfRule type="cellIs" dxfId="10000" priority="142103" stopIfTrue="1" operator="equal">
      <formula>-1</formula>
    </cfRule>
  </conditionalFormatting>
  <conditionalFormatting sqref="P61">
    <cfRule type="cellIs" dxfId="9999" priority="142104" stopIfTrue="1" operator="lessThan">
      <formula>0.5</formula>
    </cfRule>
  </conditionalFormatting>
  <conditionalFormatting sqref="P61">
    <cfRule type="cellIs" dxfId="9998" priority="142105" stopIfTrue="1" operator="greaterThanOrEqual">
      <formula>0.5</formula>
    </cfRule>
  </conditionalFormatting>
  <conditionalFormatting sqref="P62">
    <cfRule type="cellIs" dxfId="9997" priority="142106" stopIfTrue="1" operator="equal">
      <formula>-1</formula>
    </cfRule>
  </conditionalFormatting>
  <conditionalFormatting sqref="P62">
    <cfRule type="cellIs" dxfId="9996" priority="142107" stopIfTrue="1" operator="lessThan">
      <formula>0.5</formula>
    </cfRule>
  </conditionalFormatting>
  <conditionalFormatting sqref="P62">
    <cfRule type="cellIs" dxfId="9995" priority="142108" stopIfTrue="1" operator="greaterThanOrEqual">
      <formula>0.5</formula>
    </cfRule>
  </conditionalFormatting>
  <conditionalFormatting sqref="P63">
    <cfRule type="cellIs" dxfId="9994" priority="142109" stopIfTrue="1" operator="equal">
      <formula>-1</formula>
    </cfRule>
  </conditionalFormatting>
  <conditionalFormatting sqref="P63">
    <cfRule type="cellIs" dxfId="9993" priority="142110" stopIfTrue="1" operator="lessThan">
      <formula>0.5</formula>
    </cfRule>
  </conditionalFormatting>
  <conditionalFormatting sqref="P63">
    <cfRule type="cellIs" dxfId="9992" priority="142111" stopIfTrue="1" operator="greaterThanOrEqual">
      <formula>0.5</formula>
    </cfRule>
  </conditionalFormatting>
  <conditionalFormatting sqref="R60">
    <cfRule type="cellIs" dxfId="9991" priority="142112" stopIfTrue="1" operator="equal">
      <formula>-1</formula>
    </cfRule>
  </conditionalFormatting>
  <conditionalFormatting sqref="R60">
    <cfRule type="cellIs" dxfId="9990" priority="142113" stopIfTrue="1" operator="lessThan">
      <formula>0.5</formula>
    </cfRule>
  </conditionalFormatting>
  <conditionalFormatting sqref="R60">
    <cfRule type="cellIs" dxfId="9989" priority="142114" stopIfTrue="1" operator="greaterThanOrEqual">
      <formula>0.5</formula>
    </cfRule>
  </conditionalFormatting>
  <conditionalFormatting sqref="R61">
    <cfRule type="cellIs" dxfId="9988" priority="142115" stopIfTrue="1" operator="equal">
      <formula>-1</formula>
    </cfRule>
  </conditionalFormatting>
  <conditionalFormatting sqref="R61">
    <cfRule type="cellIs" dxfId="9987" priority="142116" stopIfTrue="1" operator="lessThan">
      <formula>0.5</formula>
    </cfRule>
  </conditionalFormatting>
  <conditionalFormatting sqref="R61">
    <cfRule type="cellIs" dxfId="9986" priority="142117" stopIfTrue="1" operator="greaterThanOrEqual">
      <formula>0.5</formula>
    </cfRule>
  </conditionalFormatting>
  <conditionalFormatting sqref="R62">
    <cfRule type="cellIs" dxfId="9985" priority="142118" stopIfTrue="1" operator="equal">
      <formula>-1</formula>
    </cfRule>
  </conditionalFormatting>
  <conditionalFormatting sqref="R62">
    <cfRule type="cellIs" dxfId="9984" priority="142119" stopIfTrue="1" operator="lessThan">
      <formula>0.5</formula>
    </cfRule>
  </conditionalFormatting>
  <conditionalFormatting sqref="R62">
    <cfRule type="cellIs" dxfId="9983" priority="142120" stopIfTrue="1" operator="greaterThanOrEqual">
      <formula>0.5</formula>
    </cfRule>
  </conditionalFormatting>
  <conditionalFormatting sqref="R63">
    <cfRule type="cellIs" dxfId="9982" priority="142121" stopIfTrue="1" operator="equal">
      <formula>-1</formula>
    </cfRule>
  </conditionalFormatting>
  <conditionalFormatting sqref="R63">
    <cfRule type="cellIs" dxfId="9981" priority="142122" stopIfTrue="1" operator="lessThan">
      <formula>0.5</formula>
    </cfRule>
  </conditionalFormatting>
  <conditionalFormatting sqref="R63">
    <cfRule type="cellIs" dxfId="9980" priority="142123" stopIfTrue="1" operator="greaterThanOrEqual">
      <formula>0.5</formula>
    </cfRule>
  </conditionalFormatting>
  <conditionalFormatting sqref="T60">
    <cfRule type="cellIs" dxfId="9979" priority="142124" stopIfTrue="1" operator="equal">
      <formula>-1</formula>
    </cfRule>
  </conditionalFormatting>
  <conditionalFormatting sqref="T60">
    <cfRule type="cellIs" dxfId="9978" priority="142125" stopIfTrue="1" operator="lessThan">
      <formula>0.5</formula>
    </cfRule>
  </conditionalFormatting>
  <conditionalFormatting sqref="T60">
    <cfRule type="cellIs" dxfId="9977" priority="142126" stopIfTrue="1" operator="greaterThanOrEqual">
      <formula>0.5</formula>
    </cfRule>
  </conditionalFormatting>
  <conditionalFormatting sqref="T61">
    <cfRule type="cellIs" dxfId="9976" priority="142127" stopIfTrue="1" operator="equal">
      <formula>-1</formula>
    </cfRule>
  </conditionalFormatting>
  <conditionalFormatting sqref="T61">
    <cfRule type="cellIs" dxfId="9975" priority="142128" stopIfTrue="1" operator="lessThan">
      <formula>0.5</formula>
    </cfRule>
  </conditionalFormatting>
  <conditionalFormatting sqref="T61">
    <cfRule type="cellIs" dxfId="9974" priority="142129" stopIfTrue="1" operator="greaterThanOrEqual">
      <formula>0.5</formula>
    </cfRule>
  </conditionalFormatting>
  <conditionalFormatting sqref="T62">
    <cfRule type="cellIs" dxfId="9973" priority="142130" stopIfTrue="1" operator="equal">
      <formula>-1</formula>
    </cfRule>
  </conditionalFormatting>
  <conditionalFormatting sqref="T62">
    <cfRule type="cellIs" dxfId="9972" priority="142131" stopIfTrue="1" operator="lessThan">
      <formula>0.5</formula>
    </cfRule>
  </conditionalFormatting>
  <conditionalFormatting sqref="T62">
    <cfRule type="cellIs" dxfId="9971" priority="142132" stopIfTrue="1" operator="greaterThanOrEqual">
      <formula>0.5</formula>
    </cfRule>
  </conditionalFormatting>
  <conditionalFormatting sqref="T63">
    <cfRule type="cellIs" dxfId="9970" priority="142133" stopIfTrue="1" operator="equal">
      <formula>-1</formula>
    </cfRule>
  </conditionalFormatting>
  <conditionalFormatting sqref="T63">
    <cfRule type="cellIs" dxfId="9969" priority="142134" stopIfTrue="1" operator="lessThan">
      <formula>0.5</formula>
    </cfRule>
  </conditionalFormatting>
  <conditionalFormatting sqref="T63">
    <cfRule type="cellIs" dxfId="9968" priority="142135" stopIfTrue="1" operator="greaterThanOrEqual">
      <formula>0.5</formula>
    </cfRule>
  </conditionalFormatting>
  <conditionalFormatting sqref="V60">
    <cfRule type="cellIs" dxfId="9967" priority="142136" stopIfTrue="1" operator="equal">
      <formula>-1</formula>
    </cfRule>
  </conditionalFormatting>
  <conditionalFormatting sqref="V60">
    <cfRule type="cellIs" dxfId="9966" priority="142137" stopIfTrue="1" operator="lessThan">
      <formula>0.5</formula>
    </cfRule>
  </conditionalFormatting>
  <conditionalFormatting sqref="V60">
    <cfRule type="cellIs" dxfId="9965" priority="142138" stopIfTrue="1" operator="greaterThanOrEqual">
      <formula>0.5</formula>
    </cfRule>
  </conditionalFormatting>
  <conditionalFormatting sqref="V61">
    <cfRule type="cellIs" dxfId="9964" priority="142139" stopIfTrue="1" operator="equal">
      <formula>-1</formula>
    </cfRule>
  </conditionalFormatting>
  <conditionalFormatting sqref="V61">
    <cfRule type="cellIs" dxfId="9963" priority="142140" stopIfTrue="1" operator="lessThan">
      <formula>0.5</formula>
    </cfRule>
  </conditionalFormatting>
  <conditionalFormatting sqref="V61">
    <cfRule type="cellIs" dxfId="9962" priority="142141" stopIfTrue="1" operator="greaterThanOrEqual">
      <formula>0.5</formula>
    </cfRule>
  </conditionalFormatting>
  <conditionalFormatting sqref="V62">
    <cfRule type="cellIs" dxfId="9961" priority="142142" stopIfTrue="1" operator="equal">
      <formula>-1</formula>
    </cfRule>
  </conditionalFormatting>
  <conditionalFormatting sqref="V62">
    <cfRule type="cellIs" dxfId="9960" priority="142143" stopIfTrue="1" operator="lessThan">
      <formula>0.5</formula>
    </cfRule>
  </conditionalFormatting>
  <conditionalFormatting sqref="V62">
    <cfRule type="cellIs" dxfId="9959" priority="142144" stopIfTrue="1" operator="greaterThanOrEqual">
      <formula>0.5</formula>
    </cfRule>
  </conditionalFormatting>
  <conditionalFormatting sqref="V63">
    <cfRule type="cellIs" dxfId="9958" priority="142145" stopIfTrue="1" operator="equal">
      <formula>-1</formula>
    </cfRule>
  </conditionalFormatting>
  <conditionalFormatting sqref="V63">
    <cfRule type="cellIs" dxfId="9957" priority="142146" stopIfTrue="1" operator="lessThan">
      <formula>0.5</formula>
    </cfRule>
  </conditionalFormatting>
  <conditionalFormatting sqref="V63">
    <cfRule type="cellIs" dxfId="9956" priority="142147" stopIfTrue="1" operator="greaterThanOrEqual">
      <formula>0.5</formula>
    </cfRule>
  </conditionalFormatting>
  <conditionalFormatting sqref="X60">
    <cfRule type="cellIs" dxfId="9955" priority="142148" stopIfTrue="1" operator="equal">
      <formula>-1</formula>
    </cfRule>
  </conditionalFormatting>
  <conditionalFormatting sqref="X60">
    <cfRule type="cellIs" dxfId="9954" priority="142149" stopIfTrue="1" operator="lessThan">
      <formula>0.5</formula>
    </cfRule>
  </conditionalFormatting>
  <conditionalFormatting sqref="X60">
    <cfRule type="cellIs" dxfId="9953" priority="142150" stopIfTrue="1" operator="greaterThanOrEqual">
      <formula>0.5</formula>
    </cfRule>
  </conditionalFormatting>
  <conditionalFormatting sqref="X61">
    <cfRule type="cellIs" dxfId="9952" priority="142151" stopIfTrue="1" operator="equal">
      <formula>-1</formula>
    </cfRule>
  </conditionalFormatting>
  <conditionalFormatting sqref="X61">
    <cfRule type="cellIs" dxfId="9951" priority="142152" stopIfTrue="1" operator="lessThan">
      <formula>0.5</formula>
    </cfRule>
  </conditionalFormatting>
  <conditionalFormatting sqref="X61">
    <cfRule type="cellIs" dxfId="9950" priority="142153" stopIfTrue="1" operator="greaterThanOrEqual">
      <formula>0.5</formula>
    </cfRule>
  </conditionalFormatting>
  <conditionalFormatting sqref="X62">
    <cfRule type="cellIs" dxfId="9949" priority="142154" stopIfTrue="1" operator="equal">
      <formula>-1</formula>
    </cfRule>
  </conditionalFormatting>
  <conditionalFormatting sqref="X62">
    <cfRule type="cellIs" dxfId="9948" priority="142155" stopIfTrue="1" operator="lessThan">
      <formula>0.5</formula>
    </cfRule>
  </conditionalFormatting>
  <conditionalFormatting sqref="X62">
    <cfRule type="cellIs" dxfId="9947" priority="142156" stopIfTrue="1" operator="greaterThanOrEqual">
      <formula>0.5</formula>
    </cfRule>
  </conditionalFormatting>
  <conditionalFormatting sqref="X63">
    <cfRule type="cellIs" dxfId="9946" priority="142157" stopIfTrue="1" operator="equal">
      <formula>-1</formula>
    </cfRule>
  </conditionalFormatting>
  <conditionalFormatting sqref="X63">
    <cfRule type="cellIs" dxfId="9945" priority="142158" stopIfTrue="1" operator="lessThan">
      <formula>0.5</formula>
    </cfRule>
  </conditionalFormatting>
  <conditionalFormatting sqref="X63">
    <cfRule type="cellIs" dxfId="9944" priority="142159" stopIfTrue="1" operator="greaterThanOrEqual">
      <formula>0.5</formula>
    </cfRule>
  </conditionalFormatting>
  <conditionalFormatting sqref="Z60">
    <cfRule type="cellIs" dxfId="9943" priority="142160" stopIfTrue="1" operator="equal">
      <formula>-1</formula>
    </cfRule>
  </conditionalFormatting>
  <conditionalFormatting sqref="Z60">
    <cfRule type="cellIs" dxfId="9942" priority="142161" stopIfTrue="1" operator="lessThan">
      <formula>0.5</formula>
    </cfRule>
  </conditionalFormatting>
  <conditionalFormatting sqref="Z60">
    <cfRule type="cellIs" dxfId="9941" priority="142162" stopIfTrue="1" operator="greaterThanOrEqual">
      <formula>0.5</formula>
    </cfRule>
  </conditionalFormatting>
  <conditionalFormatting sqref="Z61">
    <cfRule type="cellIs" dxfId="9940" priority="142163" stopIfTrue="1" operator="equal">
      <formula>-1</formula>
    </cfRule>
  </conditionalFormatting>
  <conditionalFormatting sqref="Z61">
    <cfRule type="cellIs" dxfId="9939" priority="142164" stopIfTrue="1" operator="lessThan">
      <formula>0.5</formula>
    </cfRule>
  </conditionalFormatting>
  <conditionalFormatting sqref="Z61">
    <cfRule type="cellIs" dxfId="9938" priority="142165" stopIfTrue="1" operator="greaterThanOrEqual">
      <formula>0.5</formula>
    </cfRule>
  </conditionalFormatting>
  <conditionalFormatting sqref="Z62">
    <cfRule type="cellIs" dxfId="9937" priority="142166" stopIfTrue="1" operator="equal">
      <formula>-1</formula>
    </cfRule>
  </conditionalFormatting>
  <conditionalFormatting sqref="Z62">
    <cfRule type="cellIs" dxfId="9936" priority="142167" stopIfTrue="1" operator="lessThan">
      <formula>0.5</formula>
    </cfRule>
  </conditionalFormatting>
  <conditionalFormatting sqref="Z62">
    <cfRule type="cellIs" dxfId="9935" priority="142168" stopIfTrue="1" operator="greaterThanOrEqual">
      <formula>0.5</formula>
    </cfRule>
  </conditionalFormatting>
  <conditionalFormatting sqref="Z63">
    <cfRule type="cellIs" dxfId="9934" priority="142169" stopIfTrue="1" operator="equal">
      <formula>-1</formula>
    </cfRule>
  </conditionalFormatting>
  <conditionalFormatting sqref="Z63">
    <cfRule type="cellIs" dxfId="9933" priority="142170" stopIfTrue="1" operator="lessThan">
      <formula>0.5</formula>
    </cfRule>
  </conditionalFormatting>
  <conditionalFormatting sqref="Z63">
    <cfRule type="cellIs" dxfId="9932" priority="142171" stopIfTrue="1" operator="greaterThanOrEqual">
      <formula>0.5</formula>
    </cfRule>
  </conditionalFormatting>
  <conditionalFormatting sqref="AB60">
    <cfRule type="cellIs" dxfId="9931" priority="142172" stopIfTrue="1" operator="equal">
      <formula>-1</formula>
    </cfRule>
  </conditionalFormatting>
  <conditionalFormatting sqref="AB60">
    <cfRule type="cellIs" dxfId="9930" priority="142173" stopIfTrue="1" operator="lessThan">
      <formula>0.5</formula>
    </cfRule>
  </conditionalFormatting>
  <conditionalFormatting sqref="AB60">
    <cfRule type="cellIs" dxfId="9929" priority="142174" stopIfTrue="1" operator="greaterThanOrEqual">
      <formula>0.5</formula>
    </cfRule>
  </conditionalFormatting>
  <conditionalFormatting sqref="AB61">
    <cfRule type="cellIs" dxfId="9928" priority="142175" stopIfTrue="1" operator="equal">
      <formula>-1</formula>
    </cfRule>
  </conditionalFormatting>
  <conditionalFormatting sqref="AB61">
    <cfRule type="cellIs" dxfId="9927" priority="142176" stopIfTrue="1" operator="lessThan">
      <formula>0.5</formula>
    </cfRule>
  </conditionalFormatting>
  <conditionalFormatting sqref="AB61">
    <cfRule type="cellIs" dxfId="9926" priority="142177" stopIfTrue="1" operator="greaterThanOrEqual">
      <formula>0.5</formula>
    </cfRule>
  </conditionalFormatting>
  <conditionalFormatting sqref="AB62">
    <cfRule type="cellIs" dxfId="9925" priority="142178" stopIfTrue="1" operator="equal">
      <formula>-1</formula>
    </cfRule>
  </conditionalFormatting>
  <conditionalFormatting sqref="AB62">
    <cfRule type="cellIs" dxfId="9924" priority="142179" stopIfTrue="1" operator="lessThan">
      <formula>0.5</formula>
    </cfRule>
  </conditionalFormatting>
  <conditionalFormatting sqref="AB62">
    <cfRule type="cellIs" dxfId="9923" priority="142180" stopIfTrue="1" operator="greaterThanOrEqual">
      <formula>0.5</formula>
    </cfRule>
  </conditionalFormatting>
  <conditionalFormatting sqref="AB63">
    <cfRule type="cellIs" dxfId="9922" priority="142181" stopIfTrue="1" operator="equal">
      <formula>-1</formula>
    </cfRule>
  </conditionalFormatting>
  <conditionalFormatting sqref="AB63">
    <cfRule type="cellIs" dxfId="9921" priority="142182" stopIfTrue="1" operator="lessThan">
      <formula>0.5</formula>
    </cfRule>
  </conditionalFormatting>
  <conditionalFormatting sqref="AB63">
    <cfRule type="cellIs" dxfId="9920" priority="142183" stopIfTrue="1" operator="greaterThanOrEqual">
      <formula>0.5</formula>
    </cfRule>
  </conditionalFormatting>
  <conditionalFormatting sqref="AD60">
    <cfRule type="cellIs" dxfId="9919" priority="142184" stopIfTrue="1" operator="equal">
      <formula>-1</formula>
    </cfRule>
  </conditionalFormatting>
  <conditionalFormatting sqref="AD60">
    <cfRule type="cellIs" dxfId="9918" priority="142185" stopIfTrue="1" operator="lessThan">
      <formula>0.5</formula>
    </cfRule>
  </conditionalFormatting>
  <conditionalFormatting sqref="AD60">
    <cfRule type="cellIs" dxfId="9917" priority="142186" stopIfTrue="1" operator="greaterThanOrEqual">
      <formula>0.5</formula>
    </cfRule>
  </conditionalFormatting>
  <conditionalFormatting sqref="AD61">
    <cfRule type="cellIs" dxfId="9916" priority="142187" stopIfTrue="1" operator="equal">
      <formula>-1</formula>
    </cfRule>
  </conditionalFormatting>
  <conditionalFormatting sqref="AD61">
    <cfRule type="cellIs" dxfId="9915" priority="142188" stopIfTrue="1" operator="lessThan">
      <formula>0.5</formula>
    </cfRule>
  </conditionalFormatting>
  <conditionalFormatting sqref="AD61">
    <cfRule type="cellIs" dxfId="9914" priority="142189" stopIfTrue="1" operator="greaterThanOrEqual">
      <formula>0.5</formula>
    </cfRule>
  </conditionalFormatting>
  <conditionalFormatting sqref="AD62">
    <cfRule type="cellIs" dxfId="9913" priority="142190" stopIfTrue="1" operator="equal">
      <formula>-1</formula>
    </cfRule>
  </conditionalFormatting>
  <conditionalFormatting sqref="AD62">
    <cfRule type="cellIs" dxfId="9912" priority="142191" stopIfTrue="1" operator="lessThan">
      <formula>0.5</formula>
    </cfRule>
  </conditionalFormatting>
  <conditionalFormatting sqref="AD62">
    <cfRule type="cellIs" dxfId="9911" priority="142192" stopIfTrue="1" operator="greaterThanOrEqual">
      <formula>0.5</formula>
    </cfRule>
  </conditionalFormatting>
  <conditionalFormatting sqref="AD63">
    <cfRule type="cellIs" dxfId="9910" priority="142193" stopIfTrue="1" operator="equal">
      <formula>-1</formula>
    </cfRule>
  </conditionalFormatting>
  <conditionalFormatting sqref="AD63">
    <cfRule type="cellIs" dxfId="9909" priority="142194" stopIfTrue="1" operator="lessThan">
      <formula>0.5</formula>
    </cfRule>
  </conditionalFormatting>
  <conditionalFormatting sqref="AD63">
    <cfRule type="cellIs" dxfId="9908" priority="142195" stopIfTrue="1" operator="greaterThanOrEqual">
      <formula>0.5</formula>
    </cfRule>
  </conditionalFormatting>
  <conditionalFormatting sqref="AF60">
    <cfRule type="cellIs" dxfId="9907" priority="142196" stopIfTrue="1" operator="equal">
      <formula>-1</formula>
    </cfRule>
  </conditionalFormatting>
  <conditionalFormatting sqref="AF60">
    <cfRule type="cellIs" dxfId="9906" priority="142197" stopIfTrue="1" operator="lessThan">
      <formula>0.5</formula>
    </cfRule>
  </conditionalFormatting>
  <conditionalFormatting sqref="AF60">
    <cfRule type="cellIs" dxfId="9905" priority="142198" stopIfTrue="1" operator="greaterThanOrEqual">
      <formula>0.5</formula>
    </cfRule>
  </conditionalFormatting>
  <conditionalFormatting sqref="AF61">
    <cfRule type="cellIs" dxfId="9904" priority="142199" stopIfTrue="1" operator="equal">
      <formula>-1</formula>
    </cfRule>
  </conditionalFormatting>
  <conditionalFormatting sqref="AF61">
    <cfRule type="cellIs" dxfId="9903" priority="142200" stopIfTrue="1" operator="lessThan">
      <formula>0.5</formula>
    </cfRule>
  </conditionalFormatting>
  <conditionalFormatting sqref="AF61">
    <cfRule type="cellIs" dxfId="9902" priority="142201" stopIfTrue="1" operator="greaterThanOrEqual">
      <formula>0.5</formula>
    </cfRule>
  </conditionalFormatting>
  <conditionalFormatting sqref="AF62">
    <cfRule type="cellIs" dxfId="9901" priority="142202" stopIfTrue="1" operator="equal">
      <formula>-1</formula>
    </cfRule>
  </conditionalFormatting>
  <conditionalFormatting sqref="AF62">
    <cfRule type="cellIs" dxfId="9900" priority="142203" stopIfTrue="1" operator="lessThan">
      <formula>0.5</formula>
    </cfRule>
  </conditionalFormatting>
  <conditionalFormatting sqref="AF62">
    <cfRule type="cellIs" dxfId="9899" priority="142204" stopIfTrue="1" operator="greaterThanOrEqual">
      <formula>0.5</formula>
    </cfRule>
  </conditionalFormatting>
  <conditionalFormatting sqref="AF63">
    <cfRule type="cellIs" dxfId="9898" priority="142205" stopIfTrue="1" operator="equal">
      <formula>-1</formula>
    </cfRule>
  </conditionalFormatting>
  <conditionalFormatting sqref="AF63">
    <cfRule type="cellIs" dxfId="9897" priority="142206" stopIfTrue="1" operator="lessThan">
      <formula>0.5</formula>
    </cfRule>
  </conditionalFormatting>
  <conditionalFormatting sqref="AF63">
    <cfRule type="cellIs" dxfId="9896" priority="142207" stopIfTrue="1" operator="greaterThanOrEqual">
      <formula>0.5</formula>
    </cfRule>
  </conditionalFormatting>
  <conditionalFormatting sqref="AH60">
    <cfRule type="cellIs" dxfId="9895" priority="142208" stopIfTrue="1" operator="equal">
      <formula>-1</formula>
    </cfRule>
  </conditionalFormatting>
  <conditionalFormatting sqref="AH60">
    <cfRule type="cellIs" dxfId="9894" priority="142209" stopIfTrue="1" operator="lessThan">
      <formula>0.5</formula>
    </cfRule>
  </conditionalFormatting>
  <conditionalFormatting sqref="AH60">
    <cfRule type="cellIs" dxfId="9893" priority="142210" stopIfTrue="1" operator="greaterThanOrEqual">
      <formula>0.5</formula>
    </cfRule>
  </conditionalFormatting>
  <conditionalFormatting sqref="AH61">
    <cfRule type="cellIs" dxfId="9892" priority="142211" stopIfTrue="1" operator="equal">
      <formula>-1</formula>
    </cfRule>
  </conditionalFormatting>
  <conditionalFormatting sqref="AH61">
    <cfRule type="cellIs" dxfId="9891" priority="142212" stopIfTrue="1" operator="lessThan">
      <formula>0.5</formula>
    </cfRule>
  </conditionalFormatting>
  <conditionalFormatting sqref="AH61">
    <cfRule type="cellIs" dxfId="9890" priority="142213" stopIfTrue="1" operator="greaterThanOrEqual">
      <formula>0.5</formula>
    </cfRule>
  </conditionalFormatting>
  <conditionalFormatting sqref="AH62">
    <cfRule type="cellIs" dxfId="9889" priority="142214" stopIfTrue="1" operator="equal">
      <formula>-1</formula>
    </cfRule>
  </conditionalFormatting>
  <conditionalFormatting sqref="AH62">
    <cfRule type="cellIs" dxfId="9888" priority="142215" stopIfTrue="1" operator="lessThan">
      <formula>0.5</formula>
    </cfRule>
  </conditionalFormatting>
  <conditionalFormatting sqref="AH62">
    <cfRule type="cellIs" dxfId="9887" priority="142216" stopIfTrue="1" operator="greaterThanOrEqual">
      <formula>0.5</formula>
    </cfRule>
  </conditionalFormatting>
  <conditionalFormatting sqref="AH63">
    <cfRule type="cellIs" dxfId="9886" priority="142217" stopIfTrue="1" operator="equal">
      <formula>-1</formula>
    </cfRule>
  </conditionalFormatting>
  <conditionalFormatting sqref="AH63">
    <cfRule type="cellIs" dxfId="9885" priority="142218" stopIfTrue="1" operator="lessThan">
      <formula>0.5</formula>
    </cfRule>
  </conditionalFormatting>
  <conditionalFormatting sqref="AH63">
    <cfRule type="cellIs" dxfId="9884" priority="142219" stopIfTrue="1" operator="greaterThanOrEqual">
      <formula>0.5</formula>
    </cfRule>
  </conditionalFormatting>
  <conditionalFormatting sqref="AJ60">
    <cfRule type="cellIs" dxfId="9883" priority="142220" stopIfTrue="1" operator="equal">
      <formula>-1</formula>
    </cfRule>
  </conditionalFormatting>
  <conditionalFormatting sqref="AJ60">
    <cfRule type="cellIs" dxfId="9882" priority="142221" stopIfTrue="1" operator="lessThan">
      <formula>0.5</formula>
    </cfRule>
  </conditionalFormatting>
  <conditionalFormatting sqref="AJ60">
    <cfRule type="cellIs" dxfId="9881" priority="142222" stopIfTrue="1" operator="greaterThanOrEqual">
      <formula>0.5</formula>
    </cfRule>
  </conditionalFormatting>
  <conditionalFormatting sqref="AJ61">
    <cfRule type="cellIs" dxfId="9880" priority="142223" stopIfTrue="1" operator="equal">
      <formula>-1</formula>
    </cfRule>
  </conditionalFormatting>
  <conditionalFormatting sqref="AJ61">
    <cfRule type="cellIs" dxfId="9879" priority="142224" stopIfTrue="1" operator="lessThan">
      <formula>0.5</formula>
    </cfRule>
  </conditionalFormatting>
  <conditionalFormatting sqref="AJ61">
    <cfRule type="cellIs" dxfId="9878" priority="142225" stopIfTrue="1" operator="greaterThanOrEqual">
      <formula>0.5</formula>
    </cfRule>
  </conditionalFormatting>
  <conditionalFormatting sqref="AJ62">
    <cfRule type="cellIs" dxfId="9877" priority="142226" stopIfTrue="1" operator="equal">
      <formula>-1</formula>
    </cfRule>
  </conditionalFormatting>
  <conditionalFormatting sqref="AJ62">
    <cfRule type="cellIs" dxfId="9876" priority="142227" stopIfTrue="1" operator="lessThan">
      <formula>0.5</formula>
    </cfRule>
  </conditionalFormatting>
  <conditionalFormatting sqref="AJ62">
    <cfRule type="cellIs" dxfId="9875" priority="142228" stopIfTrue="1" operator="greaterThanOrEqual">
      <formula>0.5</formula>
    </cfRule>
  </conditionalFormatting>
  <conditionalFormatting sqref="AJ63">
    <cfRule type="cellIs" dxfId="9874" priority="142229" stopIfTrue="1" operator="equal">
      <formula>-1</formula>
    </cfRule>
  </conditionalFormatting>
  <conditionalFormatting sqref="AJ63">
    <cfRule type="cellIs" dxfId="9873" priority="142230" stopIfTrue="1" operator="lessThan">
      <formula>0.5</formula>
    </cfRule>
  </conditionalFormatting>
  <conditionalFormatting sqref="AJ63">
    <cfRule type="cellIs" dxfId="9872" priority="142231" stopIfTrue="1" operator="greaterThanOrEqual">
      <formula>0.5</formula>
    </cfRule>
  </conditionalFormatting>
  <conditionalFormatting sqref="AL60">
    <cfRule type="cellIs" dxfId="9871" priority="142232" stopIfTrue="1" operator="equal">
      <formula>-1</formula>
    </cfRule>
  </conditionalFormatting>
  <conditionalFormatting sqref="AL60">
    <cfRule type="cellIs" dxfId="9870" priority="142233" stopIfTrue="1" operator="lessThan">
      <formula>0.5</formula>
    </cfRule>
  </conditionalFormatting>
  <conditionalFormatting sqref="AL60">
    <cfRule type="cellIs" dxfId="9869" priority="142234" stopIfTrue="1" operator="greaterThanOrEqual">
      <formula>0.5</formula>
    </cfRule>
  </conditionalFormatting>
  <conditionalFormatting sqref="AL61">
    <cfRule type="cellIs" dxfId="9868" priority="142235" stopIfTrue="1" operator="equal">
      <formula>-1</formula>
    </cfRule>
  </conditionalFormatting>
  <conditionalFormatting sqref="AL61">
    <cfRule type="cellIs" dxfId="9867" priority="142236" stopIfTrue="1" operator="lessThan">
      <formula>0.5</formula>
    </cfRule>
  </conditionalFormatting>
  <conditionalFormatting sqref="AL61">
    <cfRule type="cellIs" dxfId="9866" priority="142237" stopIfTrue="1" operator="greaterThanOrEqual">
      <formula>0.5</formula>
    </cfRule>
  </conditionalFormatting>
  <conditionalFormatting sqref="AL62">
    <cfRule type="cellIs" dxfId="9865" priority="142238" stopIfTrue="1" operator="equal">
      <formula>-1</formula>
    </cfRule>
  </conditionalFormatting>
  <conditionalFormatting sqref="AL62">
    <cfRule type="cellIs" dxfId="9864" priority="142239" stopIfTrue="1" operator="lessThan">
      <formula>0.5</formula>
    </cfRule>
  </conditionalFormatting>
  <conditionalFormatting sqref="AL62">
    <cfRule type="cellIs" dxfId="9863" priority="142240" stopIfTrue="1" operator="greaterThanOrEqual">
      <formula>0.5</formula>
    </cfRule>
  </conditionalFormatting>
  <conditionalFormatting sqref="AL63">
    <cfRule type="cellIs" dxfId="9862" priority="142241" stopIfTrue="1" operator="equal">
      <formula>-1</formula>
    </cfRule>
  </conditionalFormatting>
  <conditionalFormatting sqref="AL63">
    <cfRule type="cellIs" dxfId="9861" priority="142242" stopIfTrue="1" operator="lessThan">
      <formula>0.5</formula>
    </cfRule>
  </conditionalFormatting>
  <conditionalFormatting sqref="AL63">
    <cfRule type="cellIs" dxfId="9860" priority="142243" stopIfTrue="1" operator="greaterThanOrEqual">
      <formula>0.5</formula>
    </cfRule>
  </conditionalFormatting>
  <conditionalFormatting sqref="AN60">
    <cfRule type="cellIs" dxfId="9859" priority="142244" stopIfTrue="1" operator="equal">
      <formula>-1</formula>
    </cfRule>
  </conditionalFormatting>
  <conditionalFormatting sqref="AN60">
    <cfRule type="cellIs" dxfId="9858" priority="142245" stopIfTrue="1" operator="lessThan">
      <formula>0.5</formula>
    </cfRule>
  </conditionalFormatting>
  <conditionalFormatting sqref="AN60">
    <cfRule type="cellIs" dxfId="9857" priority="142246" stopIfTrue="1" operator="greaterThanOrEqual">
      <formula>0.5</formula>
    </cfRule>
  </conditionalFormatting>
  <conditionalFormatting sqref="AN61">
    <cfRule type="cellIs" dxfId="9856" priority="142247" stopIfTrue="1" operator="equal">
      <formula>-1</formula>
    </cfRule>
  </conditionalFormatting>
  <conditionalFormatting sqref="AN61">
    <cfRule type="cellIs" dxfId="9855" priority="142248" stopIfTrue="1" operator="lessThan">
      <formula>0.5</formula>
    </cfRule>
  </conditionalFormatting>
  <conditionalFormatting sqref="AN61">
    <cfRule type="cellIs" dxfId="9854" priority="142249" stopIfTrue="1" operator="greaterThanOrEqual">
      <formula>0.5</formula>
    </cfRule>
  </conditionalFormatting>
  <conditionalFormatting sqref="AN62">
    <cfRule type="cellIs" dxfId="9853" priority="142250" stopIfTrue="1" operator="equal">
      <formula>-1</formula>
    </cfRule>
  </conditionalFormatting>
  <conditionalFormatting sqref="AN62">
    <cfRule type="cellIs" dxfId="9852" priority="142251" stopIfTrue="1" operator="lessThan">
      <formula>0.5</formula>
    </cfRule>
  </conditionalFormatting>
  <conditionalFormatting sqref="AN62">
    <cfRule type="cellIs" dxfId="9851" priority="142252" stopIfTrue="1" operator="greaterThanOrEqual">
      <formula>0.5</formula>
    </cfRule>
  </conditionalFormatting>
  <conditionalFormatting sqref="AN63">
    <cfRule type="cellIs" dxfId="9850" priority="142253" stopIfTrue="1" operator="equal">
      <formula>-1</formula>
    </cfRule>
  </conditionalFormatting>
  <conditionalFormatting sqref="AN63">
    <cfRule type="cellIs" dxfId="9849" priority="142254" stopIfTrue="1" operator="lessThan">
      <formula>0.5</formula>
    </cfRule>
  </conditionalFormatting>
  <conditionalFormatting sqref="AN63">
    <cfRule type="cellIs" dxfId="9848" priority="142255" stopIfTrue="1" operator="greaterThanOrEqual">
      <formula>0.5</formula>
    </cfRule>
  </conditionalFormatting>
  <conditionalFormatting sqref="AP60">
    <cfRule type="cellIs" dxfId="9847" priority="142256" stopIfTrue="1" operator="equal">
      <formula>-1</formula>
    </cfRule>
  </conditionalFormatting>
  <conditionalFormatting sqref="AP60">
    <cfRule type="cellIs" dxfId="9846" priority="142257" stopIfTrue="1" operator="lessThan">
      <formula>0.5</formula>
    </cfRule>
  </conditionalFormatting>
  <conditionalFormatting sqref="AP60">
    <cfRule type="cellIs" dxfId="9845" priority="142258" stopIfTrue="1" operator="greaterThanOrEqual">
      <formula>0.5</formula>
    </cfRule>
  </conditionalFormatting>
  <conditionalFormatting sqref="AP61">
    <cfRule type="cellIs" dxfId="9844" priority="142259" stopIfTrue="1" operator="equal">
      <formula>-1</formula>
    </cfRule>
  </conditionalFormatting>
  <conditionalFormatting sqref="AP61">
    <cfRule type="cellIs" dxfId="9843" priority="142260" stopIfTrue="1" operator="lessThan">
      <formula>0.5</formula>
    </cfRule>
  </conditionalFormatting>
  <conditionalFormatting sqref="AP61">
    <cfRule type="cellIs" dxfId="9842" priority="142261" stopIfTrue="1" operator="greaterThanOrEqual">
      <formula>0.5</formula>
    </cfRule>
  </conditionalFormatting>
  <conditionalFormatting sqref="AP62">
    <cfRule type="cellIs" dxfId="9841" priority="142262" stopIfTrue="1" operator="equal">
      <formula>-1</formula>
    </cfRule>
  </conditionalFormatting>
  <conditionalFormatting sqref="AP62">
    <cfRule type="cellIs" dxfId="9840" priority="142263" stopIfTrue="1" operator="lessThan">
      <formula>0.5</formula>
    </cfRule>
  </conditionalFormatting>
  <conditionalFormatting sqref="AP62">
    <cfRule type="cellIs" dxfId="9839" priority="142264" stopIfTrue="1" operator="greaterThanOrEqual">
      <formula>0.5</formula>
    </cfRule>
  </conditionalFormatting>
  <conditionalFormatting sqref="AP63">
    <cfRule type="cellIs" dxfId="9838" priority="142265" stopIfTrue="1" operator="equal">
      <formula>-1</formula>
    </cfRule>
  </conditionalFormatting>
  <conditionalFormatting sqref="AP63">
    <cfRule type="cellIs" dxfId="9837" priority="142266" stopIfTrue="1" operator="lessThan">
      <formula>0.5</formula>
    </cfRule>
  </conditionalFormatting>
  <conditionalFormatting sqref="AP63">
    <cfRule type="cellIs" dxfId="9836" priority="142267" stopIfTrue="1" operator="greaterThanOrEqual">
      <formula>0.5</formula>
    </cfRule>
  </conditionalFormatting>
  <conditionalFormatting sqref="AR60">
    <cfRule type="cellIs" dxfId="9835" priority="142268" stopIfTrue="1" operator="equal">
      <formula>-1</formula>
    </cfRule>
  </conditionalFormatting>
  <conditionalFormatting sqref="AR60">
    <cfRule type="cellIs" dxfId="9834" priority="142269" stopIfTrue="1" operator="lessThan">
      <formula>0.5</formula>
    </cfRule>
  </conditionalFormatting>
  <conditionalFormatting sqref="AR60">
    <cfRule type="cellIs" dxfId="9833" priority="142270" stopIfTrue="1" operator="greaterThanOrEqual">
      <formula>0.5</formula>
    </cfRule>
  </conditionalFormatting>
  <conditionalFormatting sqref="AR61">
    <cfRule type="cellIs" dxfId="9832" priority="142271" stopIfTrue="1" operator="equal">
      <formula>-1</formula>
    </cfRule>
  </conditionalFormatting>
  <conditionalFormatting sqref="AR61">
    <cfRule type="cellIs" dxfId="9831" priority="142272" stopIfTrue="1" operator="lessThan">
      <formula>0.5</formula>
    </cfRule>
  </conditionalFormatting>
  <conditionalFormatting sqref="AR61">
    <cfRule type="cellIs" dxfId="9830" priority="142273" stopIfTrue="1" operator="greaterThanOrEqual">
      <formula>0.5</formula>
    </cfRule>
  </conditionalFormatting>
  <conditionalFormatting sqref="AR62">
    <cfRule type="cellIs" dxfId="9829" priority="142274" stopIfTrue="1" operator="equal">
      <formula>-1</formula>
    </cfRule>
  </conditionalFormatting>
  <conditionalFormatting sqref="AR62">
    <cfRule type="cellIs" dxfId="9828" priority="142275" stopIfTrue="1" operator="lessThan">
      <formula>0.5</formula>
    </cfRule>
  </conditionalFormatting>
  <conditionalFormatting sqref="AR62">
    <cfRule type="cellIs" dxfId="9827" priority="142276" stopIfTrue="1" operator="greaterThanOrEqual">
      <formula>0.5</formula>
    </cfRule>
  </conditionalFormatting>
  <conditionalFormatting sqref="AR63">
    <cfRule type="cellIs" dxfId="9826" priority="142277" stopIfTrue="1" operator="equal">
      <formula>-1</formula>
    </cfRule>
  </conditionalFormatting>
  <conditionalFormatting sqref="AR63">
    <cfRule type="cellIs" dxfId="9825" priority="142278" stopIfTrue="1" operator="lessThan">
      <formula>0.5</formula>
    </cfRule>
  </conditionalFormatting>
  <conditionalFormatting sqref="AR63">
    <cfRule type="cellIs" dxfId="9824" priority="142279" stopIfTrue="1" operator="greaterThanOrEqual">
      <formula>0.5</formula>
    </cfRule>
  </conditionalFormatting>
  <conditionalFormatting sqref="AT60">
    <cfRule type="cellIs" dxfId="9823" priority="142280" stopIfTrue="1" operator="equal">
      <formula>-1</formula>
    </cfRule>
  </conditionalFormatting>
  <conditionalFormatting sqref="AT60">
    <cfRule type="cellIs" dxfId="9822" priority="142281" stopIfTrue="1" operator="lessThan">
      <formula>0.5</formula>
    </cfRule>
  </conditionalFormatting>
  <conditionalFormatting sqref="AT60">
    <cfRule type="cellIs" dxfId="9821" priority="142282" stopIfTrue="1" operator="greaterThanOrEqual">
      <formula>0.5</formula>
    </cfRule>
  </conditionalFormatting>
  <conditionalFormatting sqref="AT61">
    <cfRule type="cellIs" dxfId="9820" priority="142283" stopIfTrue="1" operator="equal">
      <formula>-1</formula>
    </cfRule>
  </conditionalFormatting>
  <conditionalFormatting sqref="AT61">
    <cfRule type="cellIs" dxfId="9819" priority="142284" stopIfTrue="1" operator="lessThan">
      <formula>0.5</formula>
    </cfRule>
  </conditionalFormatting>
  <conditionalFormatting sqref="AT61">
    <cfRule type="cellIs" dxfId="9818" priority="142285" stopIfTrue="1" operator="greaterThanOrEqual">
      <formula>0.5</formula>
    </cfRule>
  </conditionalFormatting>
  <conditionalFormatting sqref="AT62">
    <cfRule type="cellIs" dxfId="9817" priority="142286" stopIfTrue="1" operator="equal">
      <formula>-1</formula>
    </cfRule>
  </conditionalFormatting>
  <conditionalFormatting sqref="AT62">
    <cfRule type="cellIs" dxfId="9816" priority="142287" stopIfTrue="1" operator="lessThan">
      <formula>0.5</formula>
    </cfRule>
  </conditionalFormatting>
  <conditionalFormatting sqref="AT62">
    <cfRule type="cellIs" dxfId="9815" priority="142288" stopIfTrue="1" operator="greaterThanOrEqual">
      <formula>0.5</formula>
    </cfRule>
  </conditionalFormatting>
  <conditionalFormatting sqref="AT63">
    <cfRule type="cellIs" dxfId="9814" priority="142289" stopIfTrue="1" operator="equal">
      <formula>-1</formula>
    </cfRule>
  </conditionalFormatting>
  <conditionalFormatting sqref="AT63">
    <cfRule type="cellIs" dxfId="9813" priority="142290" stopIfTrue="1" operator="lessThan">
      <formula>0.5</formula>
    </cfRule>
  </conditionalFormatting>
  <conditionalFormatting sqref="AT63">
    <cfRule type="cellIs" dxfId="9812" priority="142291" stopIfTrue="1" operator="greaterThanOrEqual">
      <formula>0.5</formula>
    </cfRule>
  </conditionalFormatting>
  <conditionalFormatting sqref="AV60">
    <cfRule type="cellIs" dxfId="9811" priority="142292" stopIfTrue="1" operator="equal">
      <formula>-1</formula>
    </cfRule>
  </conditionalFormatting>
  <conditionalFormatting sqref="AV60">
    <cfRule type="cellIs" dxfId="9810" priority="142293" stopIfTrue="1" operator="lessThan">
      <formula>0.5</formula>
    </cfRule>
  </conditionalFormatting>
  <conditionalFormatting sqref="AV60">
    <cfRule type="cellIs" dxfId="9809" priority="142294" stopIfTrue="1" operator="greaterThanOrEqual">
      <formula>0.5</formula>
    </cfRule>
  </conditionalFormatting>
  <conditionalFormatting sqref="AV61">
    <cfRule type="cellIs" dxfId="9808" priority="142295" stopIfTrue="1" operator="equal">
      <formula>-1</formula>
    </cfRule>
  </conditionalFormatting>
  <conditionalFormatting sqref="AV61">
    <cfRule type="cellIs" dxfId="9807" priority="142296" stopIfTrue="1" operator="lessThan">
      <formula>0.5</formula>
    </cfRule>
  </conditionalFormatting>
  <conditionalFormatting sqref="AV61">
    <cfRule type="cellIs" dxfId="9806" priority="142297" stopIfTrue="1" operator="greaterThanOrEqual">
      <formula>0.5</formula>
    </cfRule>
  </conditionalFormatting>
  <conditionalFormatting sqref="AV62">
    <cfRule type="cellIs" dxfId="9805" priority="142298" stopIfTrue="1" operator="equal">
      <formula>-1</formula>
    </cfRule>
  </conditionalFormatting>
  <conditionalFormatting sqref="AV62">
    <cfRule type="cellIs" dxfId="9804" priority="142299" stopIfTrue="1" operator="lessThan">
      <formula>0.5</formula>
    </cfRule>
  </conditionalFormatting>
  <conditionalFormatting sqref="AV62">
    <cfRule type="cellIs" dxfId="9803" priority="142300" stopIfTrue="1" operator="greaterThanOrEqual">
      <formula>0.5</formula>
    </cfRule>
  </conditionalFormatting>
  <conditionalFormatting sqref="AV63">
    <cfRule type="cellIs" dxfId="9802" priority="142301" stopIfTrue="1" operator="equal">
      <formula>-1</formula>
    </cfRule>
  </conditionalFormatting>
  <conditionalFormatting sqref="AV63">
    <cfRule type="cellIs" dxfId="9801" priority="142302" stopIfTrue="1" operator="lessThan">
      <formula>0.5</formula>
    </cfRule>
  </conditionalFormatting>
  <conditionalFormatting sqref="AV63">
    <cfRule type="cellIs" dxfId="9800" priority="142303" stopIfTrue="1" operator="greaterThanOrEqual">
      <formula>0.5</formula>
    </cfRule>
  </conditionalFormatting>
  <conditionalFormatting sqref="AX60">
    <cfRule type="cellIs" dxfId="9799" priority="142304" stopIfTrue="1" operator="equal">
      <formula>-1</formula>
    </cfRule>
  </conditionalFormatting>
  <conditionalFormatting sqref="AX60">
    <cfRule type="cellIs" dxfId="9798" priority="142305" stopIfTrue="1" operator="lessThan">
      <formula>0.5</formula>
    </cfRule>
  </conditionalFormatting>
  <conditionalFormatting sqref="AX60">
    <cfRule type="cellIs" dxfId="9797" priority="142306" stopIfTrue="1" operator="greaterThanOrEqual">
      <formula>0.5</formula>
    </cfRule>
  </conditionalFormatting>
  <conditionalFormatting sqref="AX61">
    <cfRule type="cellIs" dxfId="9796" priority="142307" stopIfTrue="1" operator="equal">
      <formula>-1</formula>
    </cfRule>
  </conditionalFormatting>
  <conditionalFormatting sqref="AX61">
    <cfRule type="cellIs" dxfId="9795" priority="142308" stopIfTrue="1" operator="lessThan">
      <formula>0.5</formula>
    </cfRule>
  </conditionalFormatting>
  <conditionalFormatting sqref="AX61">
    <cfRule type="cellIs" dxfId="9794" priority="142309" stopIfTrue="1" operator="greaterThanOrEqual">
      <formula>0.5</formula>
    </cfRule>
  </conditionalFormatting>
  <conditionalFormatting sqref="AX62">
    <cfRule type="cellIs" dxfId="9793" priority="142310" stopIfTrue="1" operator="equal">
      <formula>-1</formula>
    </cfRule>
  </conditionalFormatting>
  <conditionalFormatting sqref="AX62">
    <cfRule type="cellIs" dxfId="9792" priority="142311" stopIfTrue="1" operator="lessThan">
      <formula>0.5</formula>
    </cfRule>
  </conditionalFormatting>
  <conditionalFormatting sqref="AX62">
    <cfRule type="cellIs" dxfId="9791" priority="142312" stopIfTrue="1" operator="greaterThanOrEqual">
      <formula>0.5</formula>
    </cfRule>
  </conditionalFormatting>
  <conditionalFormatting sqref="AX63">
    <cfRule type="cellIs" dxfId="9790" priority="142313" stopIfTrue="1" operator="equal">
      <formula>-1</formula>
    </cfRule>
  </conditionalFormatting>
  <conditionalFormatting sqref="AX63">
    <cfRule type="cellIs" dxfId="9789" priority="142314" stopIfTrue="1" operator="lessThan">
      <formula>0.5</formula>
    </cfRule>
  </conditionalFormatting>
  <conditionalFormatting sqref="AX63">
    <cfRule type="cellIs" dxfId="9788" priority="142315" stopIfTrue="1" operator="greaterThanOrEqual">
      <formula>0.5</formula>
    </cfRule>
  </conditionalFormatting>
  <conditionalFormatting sqref="AZ60">
    <cfRule type="cellIs" dxfId="9787" priority="142316" stopIfTrue="1" operator="equal">
      <formula>-1</formula>
    </cfRule>
  </conditionalFormatting>
  <conditionalFormatting sqref="AZ60">
    <cfRule type="cellIs" dxfId="9786" priority="142317" stopIfTrue="1" operator="lessThan">
      <formula>0.5</formula>
    </cfRule>
  </conditionalFormatting>
  <conditionalFormatting sqref="AZ60">
    <cfRule type="cellIs" dxfId="9785" priority="142318" stopIfTrue="1" operator="greaterThanOrEqual">
      <formula>0.5</formula>
    </cfRule>
  </conditionalFormatting>
  <conditionalFormatting sqref="AZ61">
    <cfRule type="cellIs" dxfId="9784" priority="142319" stopIfTrue="1" operator="equal">
      <formula>-1</formula>
    </cfRule>
  </conditionalFormatting>
  <conditionalFormatting sqref="AZ61">
    <cfRule type="cellIs" dxfId="9783" priority="142320" stopIfTrue="1" operator="lessThan">
      <formula>0.5</formula>
    </cfRule>
  </conditionalFormatting>
  <conditionalFormatting sqref="AZ61">
    <cfRule type="cellIs" dxfId="9782" priority="142321" stopIfTrue="1" operator="greaterThanOrEqual">
      <formula>0.5</formula>
    </cfRule>
  </conditionalFormatting>
  <conditionalFormatting sqref="AZ62">
    <cfRule type="cellIs" dxfId="9781" priority="142322" stopIfTrue="1" operator="equal">
      <formula>-1</formula>
    </cfRule>
  </conditionalFormatting>
  <conditionalFormatting sqref="AZ62">
    <cfRule type="cellIs" dxfId="9780" priority="142323" stopIfTrue="1" operator="lessThan">
      <formula>0.5</formula>
    </cfRule>
  </conditionalFormatting>
  <conditionalFormatting sqref="AZ62">
    <cfRule type="cellIs" dxfId="9779" priority="142324" stopIfTrue="1" operator="greaterThanOrEqual">
      <formula>0.5</formula>
    </cfRule>
  </conditionalFormatting>
  <conditionalFormatting sqref="AZ63">
    <cfRule type="cellIs" dxfId="9778" priority="142325" stopIfTrue="1" operator="equal">
      <formula>-1</formula>
    </cfRule>
  </conditionalFormatting>
  <conditionalFormatting sqref="AZ63">
    <cfRule type="cellIs" dxfId="9777" priority="142326" stopIfTrue="1" operator="lessThan">
      <formula>0.5</formula>
    </cfRule>
  </conditionalFormatting>
  <conditionalFormatting sqref="AZ63">
    <cfRule type="cellIs" dxfId="9776" priority="142327" stopIfTrue="1" operator="greaterThanOrEqual">
      <formula>0.5</formula>
    </cfRule>
  </conditionalFormatting>
  <conditionalFormatting sqref="BB60">
    <cfRule type="cellIs" dxfId="9775" priority="142328" stopIfTrue="1" operator="equal">
      <formula>-1</formula>
    </cfRule>
  </conditionalFormatting>
  <conditionalFormatting sqref="BB60">
    <cfRule type="cellIs" dxfId="9774" priority="142329" stopIfTrue="1" operator="lessThan">
      <formula>0.5</formula>
    </cfRule>
  </conditionalFormatting>
  <conditionalFormatting sqref="BB60">
    <cfRule type="cellIs" dxfId="9773" priority="142330" stopIfTrue="1" operator="greaterThanOrEqual">
      <formula>0.5</formula>
    </cfRule>
  </conditionalFormatting>
  <conditionalFormatting sqref="BB61">
    <cfRule type="cellIs" dxfId="9772" priority="142331" stopIfTrue="1" operator="equal">
      <formula>-1</formula>
    </cfRule>
  </conditionalFormatting>
  <conditionalFormatting sqref="BB61">
    <cfRule type="cellIs" dxfId="9771" priority="142332" stopIfTrue="1" operator="lessThan">
      <formula>0.5</formula>
    </cfRule>
  </conditionalFormatting>
  <conditionalFormatting sqref="BB61">
    <cfRule type="cellIs" dxfId="9770" priority="142333" stopIfTrue="1" operator="greaterThanOrEqual">
      <formula>0.5</formula>
    </cfRule>
  </conditionalFormatting>
  <conditionalFormatting sqref="BB62">
    <cfRule type="cellIs" dxfId="9769" priority="142334" stopIfTrue="1" operator="equal">
      <formula>-1</formula>
    </cfRule>
  </conditionalFormatting>
  <conditionalFormatting sqref="BB62">
    <cfRule type="cellIs" dxfId="9768" priority="142335" stopIfTrue="1" operator="lessThan">
      <formula>0.5</formula>
    </cfRule>
  </conditionalFormatting>
  <conditionalFormatting sqref="BB62">
    <cfRule type="cellIs" dxfId="9767" priority="142336" stopIfTrue="1" operator="greaterThanOrEqual">
      <formula>0.5</formula>
    </cfRule>
  </conditionalFormatting>
  <conditionalFormatting sqref="BB63">
    <cfRule type="cellIs" dxfId="9766" priority="142337" stopIfTrue="1" operator="equal">
      <formula>-1</formula>
    </cfRule>
  </conditionalFormatting>
  <conditionalFormatting sqref="BB63">
    <cfRule type="cellIs" dxfId="9765" priority="142338" stopIfTrue="1" operator="lessThan">
      <formula>0.5</formula>
    </cfRule>
  </conditionalFormatting>
  <conditionalFormatting sqref="BB63">
    <cfRule type="cellIs" dxfId="9764" priority="142339" stopIfTrue="1" operator="greaterThanOrEqual">
      <formula>0.5</formula>
    </cfRule>
  </conditionalFormatting>
  <conditionalFormatting sqref="BD60">
    <cfRule type="cellIs" dxfId="9763" priority="142340" stopIfTrue="1" operator="equal">
      <formula>-1</formula>
    </cfRule>
  </conditionalFormatting>
  <conditionalFormatting sqref="BD60">
    <cfRule type="cellIs" dxfId="9762" priority="142341" stopIfTrue="1" operator="lessThan">
      <formula>0.5</formula>
    </cfRule>
  </conditionalFormatting>
  <conditionalFormatting sqref="BD60">
    <cfRule type="cellIs" dxfId="9761" priority="142342" stopIfTrue="1" operator="greaterThanOrEqual">
      <formula>0.5</formula>
    </cfRule>
  </conditionalFormatting>
  <conditionalFormatting sqref="BD61">
    <cfRule type="cellIs" dxfId="9760" priority="142343" stopIfTrue="1" operator="equal">
      <formula>-1</formula>
    </cfRule>
  </conditionalFormatting>
  <conditionalFormatting sqref="BD61">
    <cfRule type="cellIs" dxfId="9759" priority="142344" stopIfTrue="1" operator="lessThan">
      <formula>0.5</formula>
    </cfRule>
  </conditionalFormatting>
  <conditionalFormatting sqref="BD61">
    <cfRule type="cellIs" dxfId="9758" priority="142345" stopIfTrue="1" operator="greaterThanOrEqual">
      <formula>0.5</formula>
    </cfRule>
  </conditionalFormatting>
  <conditionalFormatting sqref="BD62">
    <cfRule type="cellIs" dxfId="9757" priority="142346" stopIfTrue="1" operator="equal">
      <formula>-1</formula>
    </cfRule>
  </conditionalFormatting>
  <conditionalFormatting sqref="BD62">
    <cfRule type="cellIs" dxfId="9756" priority="142347" stopIfTrue="1" operator="lessThan">
      <formula>0.5</formula>
    </cfRule>
  </conditionalFormatting>
  <conditionalFormatting sqref="BD62">
    <cfRule type="cellIs" dxfId="9755" priority="142348" stopIfTrue="1" operator="greaterThanOrEqual">
      <formula>0.5</formula>
    </cfRule>
  </conditionalFormatting>
  <conditionalFormatting sqref="BD63">
    <cfRule type="cellIs" dxfId="9754" priority="142349" stopIfTrue="1" operator="equal">
      <formula>-1</formula>
    </cfRule>
  </conditionalFormatting>
  <conditionalFormatting sqref="BD63">
    <cfRule type="cellIs" dxfId="9753" priority="142350" stopIfTrue="1" operator="lessThan">
      <formula>0.5</formula>
    </cfRule>
  </conditionalFormatting>
  <conditionalFormatting sqref="BD63">
    <cfRule type="cellIs" dxfId="9752" priority="142351" stopIfTrue="1" operator="greaterThanOrEqual">
      <formula>0.5</formula>
    </cfRule>
  </conditionalFormatting>
  <conditionalFormatting sqref="BF60">
    <cfRule type="cellIs" dxfId="9751" priority="142352" stopIfTrue="1" operator="equal">
      <formula>-1</formula>
    </cfRule>
  </conditionalFormatting>
  <conditionalFormatting sqref="BF60">
    <cfRule type="cellIs" dxfId="9750" priority="142353" stopIfTrue="1" operator="lessThan">
      <formula>0.5</formula>
    </cfRule>
  </conditionalFormatting>
  <conditionalFormatting sqref="BF60">
    <cfRule type="cellIs" dxfId="9749" priority="142354" stopIfTrue="1" operator="greaterThanOrEqual">
      <formula>0.5</formula>
    </cfRule>
  </conditionalFormatting>
  <conditionalFormatting sqref="BF61">
    <cfRule type="cellIs" dxfId="9748" priority="142355" stopIfTrue="1" operator="equal">
      <formula>-1</formula>
    </cfRule>
  </conditionalFormatting>
  <conditionalFormatting sqref="BF61">
    <cfRule type="cellIs" dxfId="9747" priority="142356" stopIfTrue="1" operator="lessThan">
      <formula>0.5</formula>
    </cfRule>
  </conditionalFormatting>
  <conditionalFormatting sqref="BF61">
    <cfRule type="cellIs" dxfId="9746" priority="142357" stopIfTrue="1" operator="greaterThanOrEqual">
      <formula>0.5</formula>
    </cfRule>
  </conditionalFormatting>
  <conditionalFormatting sqref="BF62">
    <cfRule type="cellIs" dxfId="9745" priority="142358" stopIfTrue="1" operator="equal">
      <formula>-1</formula>
    </cfRule>
  </conditionalFormatting>
  <conditionalFormatting sqref="BF62">
    <cfRule type="cellIs" dxfId="9744" priority="142359" stopIfTrue="1" operator="lessThan">
      <formula>0.5</formula>
    </cfRule>
  </conditionalFormatting>
  <conditionalFormatting sqref="BF62">
    <cfRule type="cellIs" dxfId="9743" priority="142360" stopIfTrue="1" operator="greaterThanOrEqual">
      <formula>0.5</formula>
    </cfRule>
  </conditionalFormatting>
  <conditionalFormatting sqref="BF63">
    <cfRule type="cellIs" dxfId="9742" priority="142361" stopIfTrue="1" operator="equal">
      <formula>-1</formula>
    </cfRule>
  </conditionalFormatting>
  <conditionalFormatting sqref="BF63">
    <cfRule type="cellIs" dxfId="9741" priority="142362" stopIfTrue="1" operator="lessThan">
      <formula>0.5</formula>
    </cfRule>
  </conditionalFormatting>
  <conditionalFormatting sqref="BF63">
    <cfRule type="cellIs" dxfId="9740" priority="142363" stopIfTrue="1" operator="greaterThanOrEqual">
      <formula>0.5</formula>
    </cfRule>
  </conditionalFormatting>
  <conditionalFormatting sqref="BH60">
    <cfRule type="cellIs" dxfId="9739" priority="142364" stopIfTrue="1" operator="equal">
      <formula>-1</formula>
    </cfRule>
  </conditionalFormatting>
  <conditionalFormatting sqref="BH60">
    <cfRule type="cellIs" dxfId="9738" priority="142365" stopIfTrue="1" operator="lessThan">
      <formula>0.5</formula>
    </cfRule>
  </conditionalFormatting>
  <conditionalFormatting sqref="BH60">
    <cfRule type="cellIs" dxfId="9737" priority="142366" stopIfTrue="1" operator="greaterThanOrEqual">
      <formula>0.5</formula>
    </cfRule>
  </conditionalFormatting>
  <conditionalFormatting sqref="BH61">
    <cfRule type="cellIs" dxfId="9736" priority="142367" stopIfTrue="1" operator="equal">
      <formula>-1</formula>
    </cfRule>
  </conditionalFormatting>
  <conditionalFormatting sqref="BH61">
    <cfRule type="cellIs" dxfId="9735" priority="142368" stopIfTrue="1" operator="lessThan">
      <formula>0.5</formula>
    </cfRule>
  </conditionalFormatting>
  <conditionalFormatting sqref="BH61">
    <cfRule type="cellIs" dxfId="9734" priority="142369" stopIfTrue="1" operator="greaterThanOrEqual">
      <formula>0.5</formula>
    </cfRule>
  </conditionalFormatting>
  <conditionalFormatting sqref="BH62">
    <cfRule type="cellIs" dxfId="9733" priority="142370" stopIfTrue="1" operator="equal">
      <formula>-1</formula>
    </cfRule>
  </conditionalFormatting>
  <conditionalFormatting sqref="BH62">
    <cfRule type="cellIs" dxfId="9732" priority="142371" stopIfTrue="1" operator="lessThan">
      <formula>0.5</formula>
    </cfRule>
  </conditionalFormatting>
  <conditionalFormatting sqref="BH62">
    <cfRule type="cellIs" dxfId="9731" priority="142372" stopIfTrue="1" operator="greaterThanOrEqual">
      <formula>0.5</formula>
    </cfRule>
  </conditionalFormatting>
  <conditionalFormatting sqref="BH63">
    <cfRule type="cellIs" dxfId="9730" priority="142373" stopIfTrue="1" operator="equal">
      <formula>-1</formula>
    </cfRule>
  </conditionalFormatting>
  <conditionalFormatting sqref="BH63">
    <cfRule type="cellIs" dxfId="9729" priority="142374" stopIfTrue="1" operator="lessThan">
      <formula>0.5</formula>
    </cfRule>
  </conditionalFormatting>
  <conditionalFormatting sqref="BH63">
    <cfRule type="cellIs" dxfId="9728" priority="142375" stopIfTrue="1" operator="greaterThanOrEqual">
      <formula>0.5</formula>
    </cfRule>
  </conditionalFormatting>
  <conditionalFormatting sqref="BJ60">
    <cfRule type="cellIs" dxfId="9727" priority="142376" stopIfTrue="1" operator="equal">
      <formula>-1</formula>
    </cfRule>
  </conditionalFormatting>
  <conditionalFormatting sqref="BJ60">
    <cfRule type="cellIs" dxfId="9726" priority="142377" stopIfTrue="1" operator="lessThan">
      <formula>0.5</formula>
    </cfRule>
  </conditionalFormatting>
  <conditionalFormatting sqref="BJ60">
    <cfRule type="cellIs" dxfId="9725" priority="142378" stopIfTrue="1" operator="greaterThanOrEqual">
      <formula>0.5</formula>
    </cfRule>
  </conditionalFormatting>
  <conditionalFormatting sqref="BJ61">
    <cfRule type="cellIs" dxfId="9724" priority="142379" stopIfTrue="1" operator="equal">
      <formula>-1</formula>
    </cfRule>
  </conditionalFormatting>
  <conditionalFormatting sqref="BJ61">
    <cfRule type="cellIs" dxfId="9723" priority="142380" stopIfTrue="1" operator="lessThan">
      <formula>0.5</formula>
    </cfRule>
  </conditionalFormatting>
  <conditionalFormatting sqref="BJ61">
    <cfRule type="cellIs" dxfId="9722" priority="142381" stopIfTrue="1" operator="greaterThanOrEqual">
      <formula>0.5</formula>
    </cfRule>
  </conditionalFormatting>
  <conditionalFormatting sqref="BJ62">
    <cfRule type="cellIs" dxfId="9721" priority="142382" stopIfTrue="1" operator="equal">
      <formula>-1</formula>
    </cfRule>
  </conditionalFormatting>
  <conditionalFormatting sqref="BJ62">
    <cfRule type="cellIs" dxfId="9720" priority="142383" stopIfTrue="1" operator="lessThan">
      <formula>0.5</formula>
    </cfRule>
  </conditionalFormatting>
  <conditionalFormatting sqref="BJ62">
    <cfRule type="cellIs" dxfId="9719" priority="142384" stopIfTrue="1" operator="greaterThanOrEqual">
      <formula>0.5</formula>
    </cfRule>
  </conditionalFormatting>
  <conditionalFormatting sqref="BJ63">
    <cfRule type="cellIs" dxfId="9718" priority="142385" stopIfTrue="1" operator="equal">
      <formula>-1</formula>
    </cfRule>
  </conditionalFormatting>
  <conditionalFormatting sqref="BJ63">
    <cfRule type="cellIs" dxfId="9717" priority="142386" stopIfTrue="1" operator="lessThan">
      <formula>0.5</formula>
    </cfRule>
  </conditionalFormatting>
  <conditionalFormatting sqref="BJ63">
    <cfRule type="cellIs" dxfId="9716" priority="142387" stopIfTrue="1" operator="greaterThanOrEqual">
      <formula>0.5</formula>
    </cfRule>
  </conditionalFormatting>
  <conditionalFormatting sqref="D65">
    <cfRule type="cellIs" dxfId="9715" priority="142388" stopIfTrue="1" operator="equal">
      <formula>-1</formula>
    </cfRule>
  </conditionalFormatting>
  <conditionalFormatting sqref="D65">
    <cfRule type="cellIs" dxfId="9714" priority="142389" stopIfTrue="1" operator="lessThan">
      <formula>0.5</formula>
    </cfRule>
  </conditionalFormatting>
  <conditionalFormatting sqref="D65">
    <cfRule type="cellIs" dxfId="9713" priority="142390" stopIfTrue="1" operator="greaterThanOrEqual">
      <formula>0.5</formula>
    </cfRule>
  </conditionalFormatting>
  <conditionalFormatting sqref="D66">
    <cfRule type="cellIs" dxfId="9712" priority="142391" stopIfTrue="1" operator="equal">
      <formula>-1</formula>
    </cfRule>
  </conditionalFormatting>
  <conditionalFormatting sqref="D66">
    <cfRule type="cellIs" dxfId="9711" priority="142392" stopIfTrue="1" operator="lessThan">
      <formula>0.5</formula>
    </cfRule>
  </conditionalFormatting>
  <conditionalFormatting sqref="D66">
    <cfRule type="cellIs" dxfId="9710" priority="142393" stopIfTrue="1" operator="greaterThanOrEqual">
      <formula>0.5</formula>
    </cfRule>
  </conditionalFormatting>
  <conditionalFormatting sqref="D67">
    <cfRule type="cellIs" dxfId="9709" priority="142394" stopIfTrue="1" operator="equal">
      <formula>-1</formula>
    </cfRule>
  </conditionalFormatting>
  <conditionalFormatting sqref="D67">
    <cfRule type="cellIs" dxfId="9708" priority="142395" stopIfTrue="1" operator="lessThan">
      <formula>0.5</formula>
    </cfRule>
  </conditionalFormatting>
  <conditionalFormatting sqref="D67">
    <cfRule type="cellIs" dxfId="9707" priority="142396" stopIfTrue="1" operator="greaterThanOrEqual">
      <formula>0.5</formula>
    </cfRule>
  </conditionalFormatting>
  <conditionalFormatting sqref="D68">
    <cfRule type="cellIs" dxfId="9706" priority="142397" stopIfTrue="1" operator="equal">
      <formula>-1</formula>
    </cfRule>
  </conditionalFormatting>
  <conditionalFormatting sqref="D68">
    <cfRule type="cellIs" dxfId="9705" priority="142398" stopIfTrue="1" operator="lessThan">
      <formula>0.5</formula>
    </cfRule>
  </conditionalFormatting>
  <conditionalFormatting sqref="D68">
    <cfRule type="cellIs" dxfId="9704" priority="142399" stopIfTrue="1" operator="greaterThanOrEqual">
      <formula>0.5</formula>
    </cfRule>
  </conditionalFormatting>
  <conditionalFormatting sqref="D69">
    <cfRule type="cellIs" dxfId="9703" priority="142400" stopIfTrue="1" operator="equal">
      <formula>-1</formula>
    </cfRule>
  </conditionalFormatting>
  <conditionalFormatting sqref="D69">
    <cfRule type="cellIs" dxfId="9702" priority="142401" stopIfTrue="1" operator="lessThan">
      <formula>0.5</formula>
    </cfRule>
  </conditionalFormatting>
  <conditionalFormatting sqref="D69">
    <cfRule type="cellIs" dxfId="9701" priority="142402" stopIfTrue="1" operator="greaterThanOrEqual">
      <formula>0.5</formula>
    </cfRule>
  </conditionalFormatting>
  <conditionalFormatting sqref="D70">
    <cfRule type="cellIs" dxfId="9700" priority="142403" stopIfTrue="1" operator="equal">
      <formula>-1</formula>
    </cfRule>
  </conditionalFormatting>
  <conditionalFormatting sqref="D70">
    <cfRule type="cellIs" dxfId="9699" priority="142404" stopIfTrue="1" operator="lessThan">
      <formula>0.5</formula>
    </cfRule>
  </conditionalFormatting>
  <conditionalFormatting sqref="D70">
    <cfRule type="cellIs" dxfId="9698" priority="142405" stopIfTrue="1" operator="greaterThanOrEqual">
      <formula>0.5</formula>
    </cfRule>
  </conditionalFormatting>
  <conditionalFormatting sqref="D71">
    <cfRule type="cellIs" dxfId="9697" priority="142406" stopIfTrue="1" operator="equal">
      <formula>-1</formula>
    </cfRule>
  </conditionalFormatting>
  <conditionalFormatting sqref="D71">
    <cfRule type="cellIs" dxfId="9696" priority="142407" stopIfTrue="1" operator="lessThan">
      <formula>0.5</formula>
    </cfRule>
  </conditionalFormatting>
  <conditionalFormatting sqref="D71">
    <cfRule type="cellIs" dxfId="9695" priority="142408" stopIfTrue="1" operator="greaterThanOrEqual">
      <formula>0.5</formula>
    </cfRule>
  </conditionalFormatting>
  <conditionalFormatting sqref="D72">
    <cfRule type="cellIs" dxfId="9694" priority="142409" stopIfTrue="1" operator="equal">
      <formula>-1</formula>
    </cfRule>
  </conditionalFormatting>
  <conditionalFormatting sqref="D72">
    <cfRule type="cellIs" dxfId="9693" priority="142410" stopIfTrue="1" operator="lessThan">
      <formula>0.5</formula>
    </cfRule>
  </conditionalFormatting>
  <conditionalFormatting sqref="D72">
    <cfRule type="cellIs" dxfId="9692" priority="142411" stopIfTrue="1" operator="greaterThanOrEqual">
      <formula>0.5</formula>
    </cfRule>
  </conditionalFormatting>
  <conditionalFormatting sqref="D73">
    <cfRule type="cellIs" dxfId="9691" priority="142412" stopIfTrue="1" operator="equal">
      <formula>-1</formula>
    </cfRule>
  </conditionalFormatting>
  <conditionalFormatting sqref="D73">
    <cfRule type="cellIs" dxfId="9690" priority="142413" stopIfTrue="1" operator="lessThan">
      <formula>0.5</formula>
    </cfRule>
  </conditionalFormatting>
  <conditionalFormatting sqref="D73">
    <cfRule type="cellIs" dxfId="9689" priority="142414" stopIfTrue="1" operator="greaterThanOrEqual">
      <formula>0.5</formula>
    </cfRule>
  </conditionalFormatting>
  <conditionalFormatting sqref="D74">
    <cfRule type="cellIs" dxfId="9688" priority="142415" stopIfTrue="1" operator="equal">
      <formula>-1</formula>
    </cfRule>
  </conditionalFormatting>
  <conditionalFormatting sqref="D74">
    <cfRule type="cellIs" dxfId="9687" priority="142416" stopIfTrue="1" operator="lessThan">
      <formula>0.5</formula>
    </cfRule>
  </conditionalFormatting>
  <conditionalFormatting sqref="D74">
    <cfRule type="cellIs" dxfId="9686" priority="142417" stopIfTrue="1" operator="greaterThanOrEqual">
      <formula>0.5</formula>
    </cfRule>
  </conditionalFormatting>
  <conditionalFormatting sqref="D75">
    <cfRule type="cellIs" dxfId="9685" priority="142418" stopIfTrue="1" operator="equal">
      <formula>-1</formula>
    </cfRule>
  </conditionalFormatting>
  <conditionalFormatting sqref="D75">
    <cfRule type="cellIs" dxfId="9684" priority="142419" stopIfTrue="1" operator="lessThan">
      <formula>0.5</formula>
    </cfRule>
  </conditionalFormatting>
  <conditionalFormatting sqref="D75">
    <cfRule type="cellIs" dxfId="9683" priority="142420" stopIfTrue="1" operator="greaterThanOrEqual">
      <formula>0.5</formula>
    </cfRule>
  </conditionalFormatting>
  <conditionalFormatting sqref="D76">
    <cfRule type="cellIs" dxfId="9682" priority="142421" stopIfTrue="1" operator="equal">
      <formula>-1</formula>
    </cfRule>
  </conditionalFormatting>
  <conditionalFormatting sqref="D76">
    <cfRule type="cellIs" dxfId="9681" priority="142422" stopIfTrue="1" operator="lessThan">
      <formula>0.5</formula>
    </cfRule>
  </conditionalFormatting>
  <conditionalFormatting sqref="D76">
    <cfRule type="cellIs" dxfId="9680" priority="142423" stopIfTrue="1" operator="greaterThanOrEqual">
      <formula>0.5</formula>
    </cfRule>
  </conditionalFormatting>
  <conditionalFormatting sqref="D77">
    <cfRule type="cellIs" dxfId="9679" priority="142424" stopIfTrue="1" operator="equal">
      <formula>-1</formula>
    </cfRule>
  </conditionalFormatting>
  <conditionalFormatting sqref="D77">
    <cfRule type="cellIs" dxfId="9678" priority="142425" stopIfTrue="1" operator="lessThan">
      <formula>0.5</formula>
    </cfRule>
  </conditionalFormatting>
  <conditionalFormatting sqref="D77">
    <cfRule type="cellIs" dxfId="9677" priority="142426" stopIfTrue="1" operator="greaterThanOrEqual">
      <formula>0.5</formula>
    </cfRule>
  </conditionalFormatting>
  <conditionalFormatting sqref="D78">
    <cfRule type="cellIs" dxfId="9676" priority="142427" stopIfTrue="1" operator="equal">
      <formula>-1</formula>
    </cfRule>
  </conditionalFormatting>
  <conditionalFormatting sqref="D78">
    <cfRule type="cellIs" dxfId="9675" priority="142428" stopIfTrue="1" operator="lessThan">
      <formula>0.5</formula>
    </cfRule>
  </conditionalFormatting>
  <conditionalFormatting sqref="D78">
    <cfRule type="cellIs" dxfId="9674" priority="142429" stopIfTrue="1" operator="greaterThanOrEqual">
      <formula>0.5</formula>
    </cfRule>
  </conditionalFormatting>
  <conditionalFormatting sqref="D79">
    <cfRule type="cellIs" dxfId="9673" priority="142430" stopIfTrue="1" operator="equal">
      <formula>-1</formula>
    </cfRule>
  </conditionalFormatting>
  <conditionalFormatting sqref="D79">
    <cfRule type="cellIs" dxfId="9672" priority="142431" stopIfTrue="1" operator="lessThan">
      <formula>0.5</formula>
    </cfRule>
  </conditionalFormatting>
  <conditionalFormatting sqref="D79">
    <cfRule type="cellIs" dxfId="9671" priority="142432" stopIfTrue="1" operator="greaterThanOrEqual">
      <formula>0.5</formula>
    </cfRule>
  </conditionalFormatting>
  <conditionalFormatting sqref="D80">
    <cfRule type="cellIs" dxfId="9670" priority="142433" stopIfTrue="1" operator="equal">
      <formula>-1</formula>
    </cfRule>
  </conditionalFormatting>
  <conditionalFormatting sqref="D80">
    <cfRule type="cellIs" dxfId="9669" priority="142434" stopIfTrue="1" operator="lessThan">
      <formula>0.5</formula>
    </cfRule>
  </conditionalFormatting>
  <conditionalFormatting sqref="D80">
    <cfRule type="cellIs" dxfId="9668" priority="142435" stopIfTrue="1" operator="greaterThanOrEqual">
      <formula>0.5</formula>
    </cfRule>
  </conditionalFormatting>
  <conditionalFormatting sqref="D81">
    <cfRule type="cellIs" dxfId="9667" priority="142436" stopIfTrue="1" operator="equal">
      <formula>-1</formula>
    </cfRule>
  </conditionalFormatting>
  <conditionalFormatting sqref="D81">
    <cfRule type="cellIs" dxfId="9666" priority="142437" stopIfTrue="1" operator="lessThan">
      <formula>0.5</formula>
    </cfRule>
  </conditionalFormatting>
  <conditionalFormatting sqref="D81">
    <cfRule type="cellIs" dxfId="9665" priority="142438" stopIfTrue="1" operator="greaterThanOrEqual">
      <formula>0.5</formula>
    </cfRule>
  </conditionalFormatting>
  <conditionalFormatting sqref="D82">
    <cfRule type="cellIs" dxfId="9664" priority="142439" stopIfTrue="1" operator="equal">
      <formula>-1</formula>
    </cfRule>
  </conditionalFormatting>
  <conditionalFormatting sqref="D82">
    <cfRule type="cellIs" dxfId="9663" priority="142440" stopIfTrue="1" operator="lessThan">
      <formula>0.5</formula>
    </cfRule>
  </conditionalFormatting>
  <conditionalFormatting sqref="D82">
    <cfRule type="cellIs" dxfId="9662" priority="142441" stopIfTrue="1" operator="greaterThanOrEqual">
      <formula>0.5</formula>
    </cfRule>
  </conditionalFormatting>
  <conditionalFormatting sqref="D83">
    <cfRule type="cellIs" dxfId="9661" priority="142442" stopIfTrue="1" operator="equal">
      <formula>-1</formula>
    </cfRule>
  </conditionalFormatting>
  <conditionalFormatting sqref="D83">
    <cfRule type="cellIs" dxfId="9660" priority="142443" stopIfTrue="1" operator="lessThan">
      <formula>0.5</formula>
    </cfRule>
  </conditionalFormatting>
  <conditionalFormatting sqref="D83">
    <cfRule type="cellIs" dxfId="9659" priority="142444" stopIfTrue="1" operator="greaterThanOrEqual">
      <formula>0.5</formula>
    </cfRule>
  </conditionalFormatting>
  <conditionalFormatting sqref="D84">
    <cfRule type="cellIs" dxfId="9658" priority="142445" stopIfTrue="1" operator="equal">
      <formula>-1</formula>
    </cfRule>
  </conditionalFormatting>
  <conditionalFormatting sqref="D84">
    <cfRule type="cellIs" dxfId="9657" priority="142446" stopIfTrue="1" operator="lessThan">
      <formula>0.5</formula>
    </cfRule>
  </conditionalFormatting>
  <conditionalFormatting sqref="D84">
    <cfRule type="cellIs" dxfId="9656" priority="142447" stopIfTrue="1" operator="greaterThanOrEqual">
      <formula>0.5</formula>
    </cfRule>
  </conditionalFormatting>
  <conditionalFormatting sqref="D85">
    <cfRule type="cellIs" dxfId="9655" priority="142448" stopIfTrue="1" operator="equal">
      <formula>-1</formula>
    </cfRule>
  </conditionalFormatting>
  <conditionalFormatting sqref="D85">
    <cfRule type="cellIs" dxfId="9654" priority="142449" stopIfTrue="1" operator="lessThan">
      <formula>0.5</formula>
    </cfRule>
  </conditionalFormatting>
  <conditionalFormatting sqref="D85">
    <cfRule type="cellIs" dxfId="9653" priority="142450" stopIfTrue="1" operator="greaterThanOrEqual">
      <formula>0.5</formula>
    </cfRule>
  </conditionalFormatting>
  <conditionalFormatting sqref="F65">
    <cfRule type="cellIs" dxfId="9652" priority="142451" stopIfTrue="1" operator="equal">
      <formula>-1</formula>
    </cfRule>
  </conditionalFormatting>
  <conditionalFormatting sqref="F65">
    <cfRule type="cellIs" dxfId="9651" priority="142452" stopIfTrue="1" operator="lessThan">
      <formula>0.5</formula>
    </cfRule>
  </conditionalFormatting>
  <conditionalFormatting sqref="F65">
    <cfRule type="cellIs" dxfId="9650" priority="142453" stopIfTrue="1" operator="greaterThanOrEqual">
      <formula>0.5</formula>
    </cfRule>
  </conditionalFormatting>
  <conditionalFormatting sqref="F66">
    <cfRule type="cellIs" dxfId="9649" priority="142454" stopIfTrue="1" operator="equal">
      <formula>-1</formula>
    </cfRule>
  </conditionalFormatting>
  <conditionalFormatting sqref="F66">
    <cfRule type="cellIs" dxfId="9648" priority="142455" stopIfTrue="1" operator="lessThan">
      <formula>0.5</formula>
    </cfRule>
  </conditionalFormatting>
  <conditionalFormatting sqref="F66">
    <cfRule type="cellIs" dxfId="9647" priority="142456" stopIfTrue="1" operator="greaterThanOrEqual">
      <formula>0.5</formula>
    </cfRule>
  </conditionalFormatting>
  <conditionalFormatting sqref="F67">
    <cfRule type="cellIs" dxfId="9646" priority="142457" stopIfTrue="1" operator="equal">
      <formula>-1</formula>
    </cfRule>
  </conditionalFormatting>
  <conditionalFormatting sqref="F67">
    <cfRule type="cellIs" dxfId="9645" priority="142458" stopIfTrue="1" operator="lessThan">
      <formula>0.5</formula>
    </cfRule>
  </conditionalFormatting>
  <conditionalFormatting sqref="F67">
    <cfRule type="cellIs" dxfId="9644" priority="142459" stopIfTrue="1" operator="greaterThanOrEqual">
      <formula>0.5</formula>
    </cfRule>
  </conditionalFormatting>
  <conditionalFormatting sqref="F68">
    <cfRule type="cellIs" dxfId="9643" priority="142460" stopIfTrue="1" operator="equal">
      <formula>-1</formula>
    </cfRule>
  </conditionalFormatting>
  <conditionalFormatting sqref="F68">
    <cfRule type="cellIs" dxfId="9642" priority="142461" stopIfTrue="1" operator="lessThan">
      <formula>0.5</formula>
    </cfRule>
  </conditionalFormatting>
  <conditionalFormatting sqref="F68">
    <cfRule type="cellIs" dxfId="9641" priority="142462" stopIfTrue="1" operator="greaterThanOrEqual">
      <formula>0.5</formula>
    </cfRule>
  </conditionalFormatting>
  <conditionalFormatting sqref="F69">
    <cfRule type="cellIs" dxfId="9640" priority="142463" stopIfTrue="1" operator="equal">
      <formula>-1</formula>
    </cfRule>
  </conditionalFormatting>
  <conditionalFormatting sqref="F69">
    <cfRule type="cellIs" dxfId="9639" priority="142464" stopIfTrue="1" operator="lessThan">
      <formula>0.5</formula>
    </cfRule>
  </conditionalFormatting>
  <conditionalFormatting sqref="F69">
    <cfRule type="cellIs" dxfId="9638" priority="142465" stopIfTrue="1" operator="greaterThanOrEqual">
      <formula>0.5</formula>
    </cfRule>
  </conditionalFormatting>
  <conditionalFormatting sqref="F70">
    <cfRule type="cellIs" dxfId="9637" priority="142466" stopIfTrue="1" operator="equal">
      <formula>-1</formula>
    </cfRule>
  </conditionalFormatting>
  <conditionalFormatting sqref="F70">
    <cfRule type="cellIs" dxfId="9636" priority="142467" stopIfTrue="1" operator="lessThan">
      <formula>0.5</formula>
    </cfRule>
  </conditionalFormatting>
  <conditionalFormatting sqref="F70">
    <cfRule type="cellIs" dxfId="9635" priority="142468" stopIfTrue="1" operator="greaterThanOrEqual">
      <formula>0.5</formula>
    </cfRule>
  </conditionalFormatting>
  <conditionalFormatting sqref="F71">
    <cfRule type="cellIs" dxfId="9634" priority="142469" stopIfTrue="1" operator="equal">
      <formula>-1</formula>
    </cfRule>
  </conditionalFormatting>
  <conditionalFormatting sqref="F71">
    <cfRule type="cellIs" dxfId="9633" priority="142470" stopIfTrue="1" operator="lessThan">
      <formula>0.5</formula>
    </cfRule>
  </conditionalFormatting>
  <conditionalFormatting sqref="F71">
    <cfRule type="cellIs" dxfId="9632" priority="142471" stopIfTrue="1" operator="greaterThanOrEqual">
      <formula>0.5</formula>
    </cfRule>
  </conditionalFormatting>
  <conditionalFormatting sqref="F72">
    <cfRule type="cellIs" dxfId="9631" priority="142472" stopIfTrue="1" operator="equal">
      <formula>-1</formula>
    </cfRule>
  </conditionalFormatting>
  <conditionalFormatting sqref="F72">
    <cfRule type="cellIs" dxfId="9630" priority="142473" stopIfTrue="1" operator="lessThan">
      <formula>0.5</formula>
    </cfRule>
  </conditionalFormatting>
  <conditionalFormatting sqref="F72">
    <cfRule type="cellIs" dxfId="9629" priority="142474" stopIfTrue="1" operator="greaterThanOrEqual">
      <formula>0.5</formula>
    </cfRule>
  </conditionalFormatting>
  <conditionalFormatting sqref="F73">
    <cfRule type="cellIs" dxfId="9628" priority="142475" stopIfTrue="1" operator="equal">
      <formula>-1</formula>
    </cfRule>
  </conditionalFormatting>
  <conditionalFormatting sqref="F73">
    <cfRule type="cellIs" dxfId="9627" priority="142476" stopIfTrue="1" operator="lessThan">
      <formula>0.5</formula>
    </cfRule>
  </conditionalFormatting>
  <conditionalFormatting sqref="F73">
    <cfRule type="cellIs" dxfId="9626" priority="142477" stopIfTrue="1" operator="greaterThanOrEqual">
      <formula>0.5</formula>
    </cfRule>
  </conditionalFormatting>
  <conditionalFormatting sqref="F74">
    <cfRule type="cellIs" dxfId="9625" priority="142478" stopIfTrue="1" operator="equal">
      <formula>-1</formula>
    </cfRule>
  </conditionalFormatting>
  <conditionalFormatting sqref="F74">
    <cfRule type="cellIs" dxfId="9624" priority="142479" stopIfTrue="1" operator="lessThan">
      <formula>0.5</formula>
    </cfRule>
  </conditionalFormatting>
  <conditionalFormatting sqref="F74">
    <cfRule type="cellIs" dxfId="9623" priority="142480" stopIfTrue="1" operator="greaterThanOrEqual">
      <formula>0.5</formula>
    </cfRule>
  </conditionalFormatting>
  <conditionalFormatting sqref="F75">
    <cfRule type="cellIs" dxfId="9622" priority="142481" stopIfTrue="1" operator="equal">
      <formula>-1</formula>
    </cfRule>
  </conditionalFormatting>
  <conditionalFormatting sqref="F75">
    <cfRule type="cellIs" dxfId="9621" priority="142482" stopIfTrue="1" operator="lessThan">
      <formula>0.5</formula>
    </cfRule>
  </conditionalFormatting>
  <conditionalFormatting sqref="F75">
    <cfRule type="cellIs" dxfId="9620" priority="142483" stopIfTrue="1" operator="greaterThanOrEqual">
      <formula>0.5</formula>
    </cfRule>
  </conditionalFormatting>
  <conditionalFormatting sqref="F76">
    <cfRule type="cellIs" dxfId="9619" priority="142484" stopIfTrue="1" operator="equal">
      <formula>-1</formula>
    </cfRule>
  </conditionalFormatting>
  <conditionalFormatting sqref="F76">
    <cfRule type="cellIs" dxfId="9618" priority="142485" stopIfTrue="1" operator="lessThan">
      <formula>0.5</formula>
    </cfRule>
  </conditionalFormatting>
  <conditionalFormatting sqref="F76">
    <cfRule type="cellIs" dxfId="9617" priority="142486" stopIfTrue="1" operator="greaterThanOrEqual">
      <formula>0.5</formula>
    </cfRule>
  </conditionalFormatting>
  <conditionalFormatting sqref="F77">
    <cfRule type="cellIs" dxfId="9616" priority="142487" stopIfTrue="1" operator="equal">
      <formula>-1</formula>
    </cfRule>
  </conditionalFormatting>
  <conditionalFormatting sqref="F77">
    <cfRule type="cellIs" dxfId="9615" priority="142488" stopIfTrue="1" operator="lessThan">
      <formula>0.5</formula>
    </cfRule>
  </conditionalFormatting>
  <conditionalFormatting sqref="F77">
    <cfRule type="cellIs" dxfId="9614" priority="142489" stopIfTrue="1" operator="greaterThanOrEqual">
      <formula>0.5</formula>
    </cfRule>
  </conditionalFormatting>
  <conditionalFormatting sqref="F78">
    <cfRule type="cellIs" dxfId="9613" priority="142490" stopIfTrue="1" operator="equal">
      <formula>-1</formula>
    </cfRule>
  </conditionalFormatting>
  <conditionalFormatting sqref="F78">
    <cfRule type="cellIs" dxfId="9612" priority="142491" stopIfTrue="1" operator="lessThan">
      <formula>0.5</formula>
    </cfRule>
  </conditionalFormatting>
  <conditionalFormatting sqref="F78">
    <cfRule type="cellIs" dxfId="9611" priority="142492" stopIfTrue="1" operator="greaterThanOrEqual">
      <formula>0.5</formula>
    </cfRule>
  </conditionalFormatting>
  <conditionalFormatting sqref="F79">
    <cfRule type="cellIs" dxfId="9610" priority="142493" stopIfTrue="1" operator="equal">
      <formula>-1</formula>
    </cfRule>
  </conditionalFormatting>
  <conditionalFormatting sqref="F79">
    <cfRule type="cellIs" dxfId="9609" priority="142494" stopIfTrue="1" operator="lessThan">
      <formula>0.5</formula>
    </cfRule>
  </conditionalFormatting>
  <conditionalFormatting sqref="F79">
    <cfRule type="cellIs" dxfId="9608" priority="142495" stopIfTrue="1" operator="greaterThanOrEqual">
      <formula>0.5</formula>
    </cfRule>
  </conditionalFormatting>
  <conditionalFormatting sqref="F80">
    <cfRule type="cellIs" dxfId="9607" priority="142496" stopIfTrue="1" operator="equal">
      <formula>-1</formula>
    </cfRule>
  </conditionalFormatting>
  <conditionalFormatting sqref="F80">
    <cfRule type="cellIs" dxfId="9606" priority="142497" stopIfTrue="1" operator="lessThan">
      <formula>0.5</formula>
    </cfRule>
  </conditionalFormatting>
  <conditionalFormatting sqref="F80">
    <cfRule type="cellIs" dxfId="9605" priority="142498" stopIfTrue="1" operator="greaterThanOrEqual">
      <formula>0.5</formula>
    </cfRule>
  </conditionalFormatting>
  <conditionalFormatting sqref="F81">
    <cfRule type="cellIs" dxfId="9604" priority="142499" stopIfTrue="1" operator="equal">
      <formula>-1</formula>
    </cfRule>
  </conditionalFormatting>
  <conditionalFormatting sqref="F81">
    <cfRule type="cellIs" dxfId="9603" priority="142500" stopIfTrue="1" operator="lessThan">
      <formula>0.5</formula>
    </cfRule>
  </conditionalFormatting>
  <conditionalFormatting sqref="F81">
    <cfRule type="cellIs" dxfId="9602" priority="142501" stopIfTrue="1" operator="greaterThanOrEqual">
      <formula>0.5</formula>
    </cfRule>
  </conditionalFormatting>
  <conditionalFormatting sqref="F82">
    <cfRule type="cellIs" dxfId="9601" priority="142502" stopIfTrue="1" operator="equal">
      <formula>-1</formula>
    </cfRule>
  </conditionalFormatting>
  <conditionalFormatting sqref="F82">
    <cfRule type="cellIs" dxfId="9600" priority="142503" stopIfTrue="1" operator="lessThan">
      <formula>0.5</formula>
    </cfRule>
  </conditionalFormatting>
  <conditionalFormatting sqref="F82">
    <cfRule type="cellIs" dxfId="9599" priority="142504" stopIfTrue="1" operator="greaterThanOrEqual">
      <formula>0.5</formula>
    </cfRule>
  </conditionalFormatting>
  <conditionalFormatting sqref="F83">
    <cfRule type="cellIs" dxfId="9598" priority="142505" stopIfTrue="1" operator="equal">
      <formula>-1</formula>
    </cfRule>
  </conditionalFormatting>
  <conditionalFormatting sqref="F83">
    <cfRule type="cellIs" dxfId="9597" priority="142506" stopIfTrue="1" operator="lessThan">
      <formula>0.5</formula>
    </cfRule>
  </conditionalFormatting>
  <conditionalFormatting sqref="F83">
    <cfRule type="cellIs" dxfId="9596" priority="142507" stopIfTrue="1" operator="greaterThanOrEqual">
      <formula>0.5</formula>
    </cfRule>
  </conditionalFormatting>
  <conditionalFormatting sqref="F84">
    <cfRule type="cellIs" dxfId="9595" priority="142508" stopIfTrue="1" operator="equal">
      <formula>-1</formula>
    </cfRule>
  </conditionalFormatting>
  <conditionalFormatting sqref="F84">
    <cfRule type="cellIs" dxfId="9594" priority="142509" stopIfTrue="1" operator="lessThan">
      <formula>0.5</formula>
    </cfRule>
  </conditionalFormatting>
  <conditionalFormatting sqref="F84">
    <cfRule type="cellIs" dxfId="9593" priority="142510" stopIfTrue="1" operator="greaterThanOrEqual">
      <formula>0.5</formula>
    </cfRule>
  </conditionalFormatting>
  <conditionalFormatting sqref="F85">
    <cfRule type="cellIs" dxfId="9592" priority="142511" stopIfTrue="1" operator="equal">
      <formula>-1</formula>
    </cfRule>
  </conditionalFormatting>
  <conditionalFormatting sqref="F85">
    <cfRule type="cellIs" dxfId="9591" priority="142512" stopIfTrue="1" operator="lessThan">
      <formula>0.5</formula>
    </cfRule>
  </conditionalFormatting>
  <conditionalFormatting sqref="F85">
    <cfRule type="cellIs" dxfId="9590" priority="142513" stopIfTrue="1" operator="greaterThanOrEqual">
      <formula>0.5</formula>
    </cfRule>
  </conditionalFormatting>
  <conditionalFormatting sqref="H65">
    <cfRule type="cellIs" dxfId="9589" priority="142514" stopIfTrue="1" operator="equal">
      <formula>-1</formula>
    </cfRule>
  </conditionalFormatting>
  <conditionalFormatting sqref="H65">
    <cfRule type="cellIs" dxfId="9588" priority="142515" stopIfTrue="1" operator="lessThan">
      <formula>0.5</formula>
    </cfRule>
  </conditionalFormatting>
  <conditionalFormatting sqref="H65">
    <cfRule type="cellIs" dxfId="9587" priority="142516" stopIfTrue="1" operator="greaterThanOrEqual">
      <formula>0.5</formula>
    </cfRule>
  </conditionalFormatting>
  <conditionalFormatting sqref="H66">
    <cfRule type="cellIs" dxfId="9586" priority="142517" stopIfTrue="1" operator="equal">
      <formula>-1</formula>
    </cfRule>
  </conditionalFormatting>
  <conditionalFormatting sqref="H66">
    <cfRule type="cellIs" dxfId="9585" priority="142518" stopIfTrue="1" operator="lessThan">
      <formula>0.5</formula>
    </cfRule>
  </conditionalFormatting>
  <conditionalFormatting sqref="H66">
    <cfRule type="cellIs" dxfId="9584" priority="142519" stopIfTrue="1" operator="greaterThanOrEqual">
      <formula>0.5</formula>
    </cfRule>
  </conditionalFormatting>
  <conditionalFormatting sqref="H67">
    <cfRule type="cellIs" dxfId="9583" priority="142520" stopIfTrue="1" operator="equal">
      <formula>-1</formula>
    </cfRule>
  </conditionalFormatting>
  <conditionalFormatting sqref="H67">
    <cfRule type="cellIs" dxfId="9582" priority="142521" stopIfTrue="1" operator="lessThan">
      <formula>0.5</formula>
    </cfRule>
  </conditionalFormatting>
  <conditionalFormatting sqref="H67">
    <cfRule type="cellIs" dxfId="9581" priority="142522" stopIfTrue="1" operator="greaterThanOrEqual">
      <formula>0.5</formula>
    </cfRule>
  </conditionalFormatting>
  <conditionalFormatting sqref="H68">
    <cfRule type="cellIs" dxfId="9580" priority="142523" stopIfTrue="1" operator="equal">
      <formula>-1</formula>
    </cfRule>
  </conditionalFormatting>
  <conditionalFormatting sqref="H68">
    <cfRule type="cellIs" dxfId="9579" priority="142524" stopIfTrue="1" operator="lessThan">
      <formula>0.5</formula>
    </cfRule>
  </conditionalFormatting>
  <conditionalFormatting sqref="H68">
    <cfRule type="cellIs" dxfId="9578" priority="142525" stopIfTrue="1" operator="greaterThanOrEqual">
      <formula>0.5</formula>
    </cfRule>
  </conditionalFormatting>
  <conditionalFormatting sqref="H69">
    <cfRule type="cellIs" dxfId="9577" priority="142526" stopIfTrue="1" operator="equal">
      <formula>-1</formula>
    </cfRule>
  </conditionalFormatting>
  <conditionalFormatting sqref="H69">
    <cfRule type="cellIs" dxfId="9576" priority="142527" stopIfTrue="1" operator="lessThan">
      <formula>0.5</formula>
    </cfRule>
  </conditionalFormatting>
  <conditionalFormatting sqref="H69">
    <cfRule type="cellIs" dxfId="9575" priority="142528" stopIfTrue="1" operator="greaterThanOrEqual">
      <formula>0.5</formula>
    </cfRule>
  </conditionalFormatting>
  <conditionalFormatting sqref="H70">
    <cfRule type="cellIs" dxfId="9574" priority="142529" stopIfTrue="1" operator="equal">
      <formula>-1</formula>
    </cfRule>
  </conditionalFormatting>
  <conditionalFormatting sqref="H70">
    <cfRule type="cellIs" dxfId="9573" priority="142530" stopIfTrue="1" operator="lessThan">
      <formula>0.5</formula>
    </cfRule>
  </conditionalFormatting>
  <conditionalFormatting sqref="H70">
    <cfRule type="cellIs" dxfId="9572" priority="142531" stopIfTrue="1" operator="greaterThanOrEqual">
      <formula>0.5</formula>
    </cfRule>
  </conditionalFormatting>
  <conditionalFormatting sqref="H71">
    <cfRule type="cellIs" dxfId="9571" priority="142532" stopIfTrue="1" operator="equal">
      <formula>-1</formula>
    </cfRule>
  </conditionalFormatting>
  <conditionalFormatting sqref="H71">
    <cfRule type="cellIs" dxfId="9570" priority="142533" stopIfTrue="1" operator="lessThan">
      <formula>0.5</formula>
    </cfRule>
  </conditionalFormatting>
  <conditionalFormatting sqref="H71">
    <cfRule type="cellIs" dxfId="9569" priority="142534" stopIfTrue="1" operator="greaterThanOrEqual">
      <formula>0.5</formula>
    </cfRule>
  </conditionalFormatting>
  <conditionalFormatting sqref="H72">
    <cfRule type="cellIs" dxfId="9568" priority="142535" stopIfTrue="1" operator="equal">
      <formula>-1</formula>
    </cfRule>
  </conditionalFormatting>
  <conditionalFormatting sqref="H72">
    <cfRule type="cellIs" dxfId="9567" priority="142536" stopIfTrue="1" operator="lessThan">
      <formula>0.5</formula>
    </cfRule>
  </conditionalFormatting>
  <conditionalFormatting sqref="H72">
    <cfRule type="cellIs" dxfId="9566" priority="142537" stopIfTrue="1" operator="greaterThanOrEqual">
      <formula>0.5</formula>
    </cfRule>
  </conditionalFormatting>
  <conditionalFormatting sqref="H73">
    <cfRule type="cellIs" dxfId="9565" priority="142538" stopIfTrue="1" operator="equal">
      <formula>-1</formula>
    </cfRule>
  </conditionalFormatting>
  <conditionalFormatting sqref="H73">
    <cfRule type="cellIs" dxfId="9564" priority="142539" stopIfTrue="1" operator="lessThan">
      <formula>0.5</formula>
    </cfRule>
  </conditionalFormatting>
  <conditionalFormatting sqref="H73">
    <cfRule type="cellIs" dxfId="9563" priority="142540" stopIfTrue="1" operator="greaterThanOrEqual">
      <formula>0.5</formula>
    </cfRule>
  </conditionalFormatting>
  <conditionalFormatting sqref="H74">
    <cfRule type="cellIs" dxfId="9562" priority="142541" stopIfTrue="1" operator="equal">
      <formula>-1</formula>
    </cfRule>
  </conditionalFormatting>
  <conditionalFormatting sqref="H74">
    <cfRule type="cellIs" dxfId="9561" priority="142542" stopIfTrue="1" operator="lessThan">
      <formula>0.5</formula>
    </cfRule>
  </conditionalFormatting>
  <conditionalFormatting sqref="H74">
    <cfRule type="cellIs" dxfId="9560" priority="142543" stopIfTrue="1" operator="greaterThanOrEqual">
      <formula>0.5</formula>
    </cfRule>
  </conditionalFormatting>
  <conditionalFormatting sqref="H75">
    <cfRule type="cellIs" dxfId="9559" priority="142544" stopIfTrue="1" operator="equal">
      <formula>-1</formula>
    </cfRule>
  </conditionalFormatting>
  <conditionalFormatting sqref="H75">
    <cfRule type="cellIs" dxfId="9558" priority="142545" stopIfTrue="1" operator="lessThan">
      <formula>0.5</formula>
    </cfRule>
  </conditionalFormatting>
  <conditionalFormatting sqref="H75">
    <cfRule type="cellIs" dxfId="9557" priority="142546" stopIfTrue="1" operator="greaterThanOrEqual">
      <formula>0.5</formula>
    </cfRule>
  </conditionalFormatting>
  <conditionalFormatting sqref="H76">
    <cfRule type="cellIs" dxfId="9556" priority="142547" stopIfTrue="1" operator="equal">
      <formula>-1</formula>
    </cfRule>
  </conditionalFormatting>
  <conditionalFormatting sqref="H76">
    <cfRule type="cellIs" dxfId="9555" priority="142548" stopIfTrue="1" operator="lessThan">
      <formula>0.5</formula>
    </cfRule>
  </conditionalFormatting>
  <conditionalFormatting sqref="H76">
    <cfRule type="cellIs" dxfId="9554" priority="142549" stopIfTrue="1" operator="greaterThanOrEqual">
      <formula>0.5</formula>
    </cfRule>
  </conditionalFormatting>
  <conditionalFormatting sqref="H77">
    <cfRule type="cellIs" dxfId="9553" priority="142550" stopIfTrue="1" operator="equal">
      <formula>-1</formula>
    </cfRule>
  </conditionalFormatting>
  <conditionalFormatting sqref="H77">
    <cfRule type="cellIs" dxfId="9552" priority="142551" stopIfTrue="1" operator="lessThan">
      <formula>0.5</formula>
    </cfRule>
  </conditionalFormatting>
  <conditionalFormatting sqref="H77">
    <cfRule type="cellIs" dxfId="9551" priority="142552" stopIfTrue="1" operator="greaterThanOrEqual">
      <formula>0.5</formula>
    </cfRule>
  </conditionalFormatting>
  <conditionalFormatting sqref="H78">
    <cfRule type="cellIs" dxfId="9550" priority="142553" stopIfTrue="1" operator="equal">
      <formula>-1</formula>
    </cfRule>
  </conditionalFormatting>
  <conditionalFormatting sqref="H78">
    <cfRule type="cellIs" dxfId="9549" priority="142554" stopIfTrue="1" operator="lessThan">
      <formula>0.5</formula>
    </cfRule>
  </conditionalFormatting>
  <conditionalFormatting sqref="H78">
    <cfRule type="cellIs" dxfId="9548" priority="142555" stopIfTrue="1" operator="greaterThanOrEqual">
      <formula>0.5</formula>
    </cfRule>
  </conditionalFormatting>
  <conditionalFormatting sqref="H79">
    <cfRule type="cellIs" dxfId="9547" priority="142556" stopIfTrue="1" operator="equal">
      <formula>-1</formula>
    </cfRule>
  </conditionalFormatting>
  <conditionalFormatting sqref="H79">
    <cfRule type="cellIs" dxfId="9546" priority="142557" stopIfTrue="1" operator="lessThan">
      <formula>0.5</formula>
    </cfRule>
  </conditionalFormatting>
  <conditionalFormatting sqref="H79">
    <cfRule type="cellIs" dxfId="9545" priority="142558" stopIfTrue="1" operator="greaterThanOrEqual">
      <formula>0.5</formula>
    </cfRule>
  </conditionalFormatting>
  <conditionalFormatting sqref="H80">
    <cfRule type="cellIs" dxfId="9544" priority="142559" stopIfTrue="1" operator="equal">
      <formula>-1</formula>
    </cfRule>
  </conditionalFormatting>
  <conditionalFormatting sqref="H80">
    <cfRule type="cellIs" dxfId="9543" priority="142560" stopIfTrue="1" operator="lessThan">
      <formula>0.5</formula>
    </cfRule>
  </conditionalFormatting>
  <conditionalFormatting sqref="H80">
    <cfRule type="cellIs" dxfId="9542" priority="142561" stopIfTrue="1" operator="greaterThanOrEqual">
      <formula>0.5</formula>
    </cfRule>
  </conditionalFormatting>
  <conditionalFormatting sqref="H81">
    <cfRule type="cellIs" dxfId="9541" priority="142562" stopIfTrue="1" operator="equal">
      <formula>-1</formula>
    </cfRule>
  </conditionalFormatting>
  <conditionalFormatting sqref="H81">
    <cfRule type="cellIs" dxfId="9540" priority="142563" stopIfTrue="1" operator="lessThan">
      <formula>0.5</formula>
    </cfRule>
  </conditionalFormatting>
  <conditionalFormatting sqref="H81">
    <cfRule type="cellIs" dxfId="9539" priority="142564" stopIfTrue="1" operator="greaterThanOrEqual">
      <formula>0.5</formula>
    </cfRule>
  </conditionalFormatting>
  <conditionalFormatting sqref="H82">
    <cfRule type="cellIs" dxfId="9538" priority="142565" stopIfTrue="1" operator="equal">
      <formula>-1</formula>
    </cfRule>
  </conditionalFormatting>
  <conditionalFormatting sqref="H82">
    <cfRule type="cellIs" dxfId="9537" priority="142566" stopIfTrue="1" operator="lessThan">
      <formula>0.5</formula>
    </cfRule>
  </conditionalFormatting>
  <conditionalFormatting sqref="H82">
    <cfRule type="cellIs" dxfId="9536" priority="142567" stopIfTrue="1" operator="greaterThanOrEqual">
      <formula>0.5</formula>
    </cfRule>
  </conditionalFormatting>
  <conditionalFormatting sqref="H83">
    <cfRule type="cellIs" dxfId="9535" priority="142568" stopIfTrue="1" operator="equal">
      <formula>-1</formula>
    </cfRule>
  </conditionalFormatting>
  <conditionalFormatting sqref="H83">
    <cfRule type="cellIs" dxfId="9534" priority="142569" stopIfTrue="1" operator="lessThan">
      <formula>0.5</formula>
    </cfRule>
  </conditionalFormatting>
  <conditionalFormatting sqref="H83">
    <cfRule type="cellIs" dxfId="9533" priority="142570" stopIfTrue="1" operator="greaterThanOrEqual">
      <formula>0.5</formula>
    </cfRule>
  </conditionalFormatting>
  <conditionalFormatting sqref="H84">
    <cfRule type="cellIs" dxfId="9532" priority="142571" stopIfTrue="1" operator="equal">
      <formula>-1</formula>
    </cfRule>
  </conditionalFormatting>
  <conditionalFormatting sqref="H84">
    <cfRule type="cellIs" dxfId="9531" priority="142572" stopIfTrue="1" operator="lessThan">
      <formula>0.5</formula>
    </cfRule>
  </conditionalFormatting>
  <conditionalFormatting sqref="H84">
    <cfRule type="cellIs" dxfId="9530" priority="142573" stopIfTrue="1" operator="greaterThanOrEqual">
      <formula>0.5</formula>
    </cfRule>
  </conditionalFormatting>
  <conditionalFormatting sqref="H85">
    <cfRule type="cellIs" dxfId="9529" priority="142574" stopIfTrue="1" operator="equal">
      <formula>-1</formula>
    </cfRule>
  </conditionalFormatting>
  <conditionalFormatting sqref="H85">
    <cfRule type="cellIs" dxfId="9528" priority="142575" stopIfTrue="1" operator="lessThan">
      <formula>0.5</formula>
    </cfRule>
  </conditionalFormatting>
  <conditionalFormatting sqref="H85">
    <cfRule type="cellIs" dxfId="9527" priority="142576" stopIfTrue="1" operator="greaterThanOrEqual">
      <formula>0.5</formula>
    </cfRule>
  </conditionalFormatting>
  <conditionalFormatting sqref="J65">
    <cfRule type="cellIs" dxfId="9526" priority="142577" stopIfTrue="1" operator="equal">
      <formula>-1</formula>
    </cfRule>
  </conditionalFormatting>
  <conditionalFormatting sqref="J65">
    <cfRule type="cellIs" dxfId="9525" priority="142578" stopIfTrue="1" operator="lessThan">
      <formula>0.5</formula>
    </cfRule>
  </conditionalFormatting>
  <conditionalFormatting sqref="J65">
    <cfRule type="cellIs" dxfId="9524" priority="142579" stopIfTrue="1" operator="greaterThanOrEqual">
      <formula>0.5</formula>
    </cfRule>
  </conditionalFormatting>
  <conditionalFormatting sqref="J66">
    <cfRule type="cellIs" dxfId="9523" priority="142580" stopIfTrue="1" operator="equal">
      <formula>-1</formula>
    </cfRule>
  </conditionalFormatting>
  <conditionalFormatting sqref="J66">
    <cfRule type="cellIs" dxfId="9522" priority="142581" stopIfTrue="1" operator="lessThan">
      <formula>0.5</formula>
    </cfRule>
  </conditionalFormatting>
  <conditionalFormatting sqref="J66">
    <cfRule type="cellIs" dxfId="9521" priority="142582" stopIfTrue="1" operator="greaterThanOrEqual">
      <formula>0.5</formula>
    </cfRule>
  </conditionalFormatting>
  <conditionalFormatting sqref="J67">
    <cfRule type="cellIs" dxfId="9520" priority="142583" stopIfTrue="1" operator="equal">
      <formula>-1</formula>
    </cfRule>
  </conditionalFormatting>
  <conditionalFormatting sqref="J67">
    <cfRule type="cellIs" dxfId="9519" priority="142584" stopIfTrue="1" operator="lessThan">
      <formula>0.5</formula>
    </cfRule>
  </conditionalFormatting>
  <conditionalFormatting sqref="J67">
    <cfRule type="cellIs" dxfId="9518" priority="142585" stopIfTrue="1" operator="greaterThanOrEqual">
      <formula>0.5</formula>
    </cfRule>
  </conditionalFormatting>
  <conditionalFormatting sqref="J68">
    <cfRule type="cellIs" dxfId="9517" priority="142586" stopIfTrue="1" operator="equal">
      <formula>-1</formula>
    </cfRule>
  </conditionalFormatting>
  <conditionalFormatting sqref="J68">
    <cfRule type="cellIs" dxfId="9516" priority="142587" stopIfTrue="1" operator="lessThan">
      <formula>0.5</formula>
    </cfRule>
  </conditionalFormatting>
  <conditionalFormatting sqref="J68">
    <cfRule type="cellIs" dxfId="9515" priority="142588" stopIfTrue="1" operator="greaterThanOrEqual">
      <formula>0.5</formula>
    </cfRule>
  </conditionalFormatting>
  <conditionalFormatting sqref="J69">
    <cfRule type="cellIs" dxfId="9514" priority="142589" stopIfTrue="1" operator="equal">
      <formula>-1</formula>
    </cfRule>
  </conditionalFormatting>
  <conditionalFormatting sqref="J69">
    <cfRule type="cellIs" dxfId="9513" priority="142590" stopIfTrue="1" operator="lessThan">
      <formula>0.5</formula>
    </cfRule>
  </conditionalFormatting>
  <conditionalFormatting sqref="J69">
    <cfRule type="cellIs" dxfId="9512" priority="142591" stopIfTrue="1" operator="greaterThanOrEqual">
      <formula>0.5</formula>
    </cfRule>
  </conditionalFormatting>
  <conditionalFormatting sqref="J70">
    <cfRule type="cellIs" dxfId="9511" priority="142592" stopIfTrue="1" operator="equal">
      <formula>-1</formula>
    </cfRule>
  </conditionalFormatting>
  <conditionalFormatting sqref="J70">
    <cfRule type="cellIs" dxfId="9510" priority="142593" stopIfTrue="1" operator="lessThan">
      <formula>0.5</formula>
    </cfRule>
  </conditionalFormatting>
  <conditionalFormatting sqref="J70">
    <cfRule type="cellIs" dxfId="9509" priority="142594" stopIfTrue="1" operator="greaterThanOrEqual">
      <formula>0.5</formula>
    </cfRule>
  </conditionalFormatting>
  <conditionalFormatting sqref="J71">
    <cfRule type="cellIs" dxfId="9508" priority="142595" stopIfTrue="1" operator="equal">
      <formula>-1</formula>
    </cfRule>
  </conditionalFormatting>
  <conditionalFormatting sqref="J71">
    <cfRule type="cellIs" dxfId="9507" priority="142596" stopIfTrue="1" operator="lessThan">
      <formula>0.5</formula>
    </cfRule>
  </conditionalFormatting>
  <conditionalFormatting sqref="J71">
    <cfRule type="cellIs" dxfId="9506" priority="142597" stopIfTrue="1" operator="greaterThanOrEqual">
      <formula>0.5</formula>
    </cfRule>
  </conditionalFormatting>
  <conditionalFormatting sqref="J72">
    <cfRule type="cellIs" dxfId="9505" priority="142598" stopIfTrue="1" operator="equal">
      <formula>-1</formula>
    </cfRule>
  </conditionalFormatting>
  <conditionalFormatting sqref="J72">
    <cfRule type="cellIs" dxfId="9504" priority="142599" stopIfTrue="1" operator="lessThan">
      <formula>0.5</formula>
    </cfRule>
  </conditionalFormatting>
  <conditionalFormatting sqref="J72">
    <cfRule type="cellIs" dxfId="9503" priority="142600" stopIfTrue="1" operator="greaterThanOrEqual">
      <formula>0.5</formula>
    </cfRule>
  </conditionalFormatting>
  <conditionalFormatting sqref="J73">
    <cfRule type="cellIs" dxfId="9502" priority="142601" stopIfTrue="1" operator="equal">
      <formula>-1</formula>
    </cfRule>
  </conditionalFormatting>
  <conditionalFormatting sqref="J73">
    <cfRule type="cellIs" dxfId="9501" priority="142602" stopIfTrue="1" operator="lessThan">
      <formula>0.5</formula>
    </cfRule>
  </conditionalFormatting>
  <conditionalFormatting sqref="J73">
    <cfRule type="cellIs" dxfId="9500" priority="142603" stopIfTrue="1" operator="greaterThanOrEqual">
      <formula>0.5</formula>
    </cfRule>
  </conditionalFormatting>
  <conditionalFormatting sqref="J74">
    <cfRule type="cellIs" dxfId="9499" priority="142604" stopIfTrue="1" operator="equal">
      <formula>-1</formula>
    </cfRule>
  </conditionalFormatting>
  <conditionalFormatting sqref="J74">
    <cfRule type="cellIs" dxfId="9498" priority="142605" stopIfTrue="1" operator="lessThan">
      <formula>0.5</formula>
    </cfRule>
  </conditionalFormatting>
  <conditionalFormatting sqref="J74">
    <cfRule type="cellIs" dxfId="9497" priority="142606" stopIfTrue="1" operator="greaterThanOrEqual">
      <formula>0.5</formula>
    </cfRule>
  </conditionalFormatting>
  <conditionalFormatting sqref="J75">
    <cfRule type="cellIs" dxfId="9496" priority="142607" stopIfTrue="1" operator="equal">
      <formula>-1</formula>
    </cfRule>
  </conditionalFormatting>
  <conditionalFormatting sqref="J75">
    <cfRule type="cellIs" dxfId="9495" priority="142608" stopIfTrue="1" operator="lessThan">
      <formula>0.5</formula>
    </cfRule>
  </conditionalFormatting>
  <conditionalFormatting sqref="J75">
    <cfRule type="cellIs" dxfId="9494" priority="142609" stopIfTrue="1" operator="greaterThanOrEqual">
      <formula>0.5</formula>
    </cfRule>
  </conditionalFormatting>
  <conditionalFormatting sqref="J76">
    <cfRule type="cellIs" dxfId="9493" priority="142610" stopIfTrue="1" operator="equal">
      <formula>-1</formula>
    </cfRule>
  </conditionalFormatting>
  <conditionalFormatting sqref="J76">
    <cfRule type="cellIs" dxfId="9492" priority="142611" stopIfTrue="1" operator="lessThan">
      <formula>0.5</formula>
    </cfRule>
  </conditionalFormatting>
  <conditionalFormatting sqref="J76">
    <cfRule type="cellIs" dxfId="9491" priority="142612" stopIfTrue="1" operator="greaterThanOrEqual">
      <formula>0.5</formula>
    </cfRule>
  </conditionalFormatting>
  <conditionalFormatting sqref="J77">
    <cfRule type="cellIs" dxfId="9490" priority="142613" stopIfTrue="1" operator="equal">
      <formula>-1</formula>
    </cfRule>
  </conditionalFormatting>
  <conditionalFormatting sqref="J77">
    <cfRule type="cellIs" dxfId="9489" priority="142614" stopIfTrue="1" operator="lessThan">
      <formula>0.5</formula>
    </cfRule>
  </conditionalFormatting>
  <conditionalFormatting sqref="J77">
    <cfRule type="cellIs" dxfId="9488" priority="142615" stopIfTrue="1" operator="greaterThanOrEqual">
      <formula>0.5</formula>
    </cfRule>
  </conditionalFormatting>
  <conditionalFormatting sqref="J78">
    <cfRule type="cellIs" dxfId="9487" priority="142616" stopIfTrue="1" operator="equal">
      <formula>-1</formula>
    </cfRule>
  </conditionalFormatting>
  <conditionalFormatting sqref="J78">
    <cfRule type="cellIs" dxfId="9486" priority="142617" stopIfTrue="1" operator="lessThan">
      <formula>0.5</formula>
    </cfRule>
  </conditionalFormatting>
  <conditionalFormatting sqref="J78">
    <cfRule type="cellIs" dxfId="9485" priority="142618" stopIfTrue="1" operator="greaterThanOrEqual">
      <formula>0.5</formula>
    </cfRule>
  </conditionalFormatting>
  <conditionalFormatting sqref="J79">
    <cfRule type="cellIs" dxfId="9484" priority="142619" stopIfTrue="1" operator="equal">
      <formula>-1</formula>
    </cfRule>
  </conditionalFormatting>
  <conditionalFormatting sqref="J79">
    <cfRule type="cellIs" dxfId="9483" priority="142620" stopIfTrue="1" operator="lessThan">
      <formula>0.5</formula>
    </cfRule>
  </conditionalFormatting>
  <conditionalFormatting sqref="J79">
    <cfRule type="cellIs" dxfId="9482" priority="142621" stopIfTrue="1" operator="greaterThanOrEqual">
      <formula>0.5</formula>
    </cfRule>
  </conditionalFormatting>
  <conditionalFormatting sqref="J80">
    <cfRule type="cellIs" dxfId="9481" priority="142622" stopIfTrue="1" operator="equal">
      <formula>-1</formula>
    </cfRule>
  </conditionalFormatting>
  <conditionalFormatting sqref="J80">
    <cfRule type="cellIs" dxfId="9480" priority="142623" stopIfTrue="1" operator="lessThan">
      <formula>0.5</formula>
    </cfRule>
  </conditionalFormatting>
  <conditionalFormatting sqref="J80">
    <cfRule type="cellIs" dxfId="9479" priority="142624" stopIfTrue="1" operator="greaterThanOrEqual">
      <formula>0.5</formula>
    </cfRule>
  </conditionalFormatting>
  <conditionalFormatting sqref="J81">
    <cfRule type="cellIs" dxfId="9478" priority="142625" stopIfTrue="1" operator="equal">
      <formula>-1</formula>
    </cfRule>
  </conditionalFormatting>
  <conditionalFormatting sqref="J81">
    <cfRule type="cellIs" dxfId="9477" priority="142626" stopIfTrue="1" operator="lessThan">
      <formula>0.5</formula>
    </cfRule>
  </conditionalFormatting>
  <conditionalFormatting sqref="J81">
    <cfRule type="cellIs" dxfId="9476" priority="142627" stopIfTrue="1" operator="greaterThanOrEqual">
      <formula>0.5</formula>
    </cfRule>
  </conditionalFormatting>
  <conditionalFormatting sqref="J82">
    <cfRule type="cellIs" dxfId="9475" priority="142628" stopIfTrue="1" operator="equal">
      <formula>-1</formula>
    </cfRule>
  </conditionalFormatting>
  <conditionalFormatting sqref="J82">
    <cfRule type="cellIs" dxfId="9474" priority="142629" stopIfTrue="1" operator="lessThan">
      <formula>0.5</formula>
    </cfRule>
  </conditionalFormatting>
  <conditionalFormatting sqref="J82">
    <cfRule type="cellIs" dxfId="9473" priority="142630" stopIfTrue="1" operator="greaterThanOrEqual">
      <formula>0.5</formula>
    </cfRule>
  </conditionalFormatting>
  <conditionalFormatting sqref="J83">
    <cfRule type="cellIs" dxfId="9472" priority="142631" stopIfTrue="1" operator="equal">
      <formula>-1</formula>
    </cfRule>
  </conditionalFormatting>
  <conditionalFormatting sqref="J83">
    <cfRule type="cellIs" dxfId="9471" priority="142632" stopIfTrue="1" operator="lessThan">
      <formula>0.5</formula>
    </cfRule>
  </conditionalFormatting>
  <conditionalFormatting sqref="J83">
    <cfRule type="cellIs" dxfId="9470" priority="142633" stopIfTrue="1" operator="greaterThanOrEqual">
      <formula>0.5</formula>
    </cfRule>
  </conditionalFormatting>
  <conditionalFormatting sqref="J84">
    <cfRule type="cellIs" dxfId="9469" priority="142634" stopIfTrue="1" operator="equal">
      <formula>-1</formula>
    </cfRule>
  </conditionalFormatting>
  <conditionalFormatting sqref="J84">
    <cfRule type="cellIs" dxfId="9468" priority="142635" stopIfTrue="1" operator="lessThan">
      <formula>0.5</formula>
    </cfRule>
  </conditionalFormatting>
  <conditionalFormatting sqref="J84">
    <cfRule type="cellIs" dxfId="9467" priority="142636" stopIfTrue="1" operator="greaterThanOrEqual">
      <formula>0.5</formula>
    </cfRule>
  </conditionalFormatting>
  <conditionalFormatting sqref="J85">
    <cfRule type="cellIs" dxfId="9466" priority="142637" stopIfTrue="1" operator="equal">
      <formula>-1</formula>
    </cfRule>
  </conditionalFormatting>
  <conditionalFormatting sqref="J85">
    <cfRule type="cellIs" dxfId="9465" priority="142638" stopIfTrue="1" operator="lessThan">
      <formula>0.5</formula>
    </cfRule>
  </conditionalFormatting>
  <conditionalFormatting sqref="J85">
    <cfRule type="cellIs" dxfId="9464" priority="142639" stopIfTrue="1" operator="greaterThanOrEqual">
      <formula>0.5</formula>
    </cfRule>
  </conditionalFormatting>
  <conditionalFormatting sqref="L65">
    <cfRule type="cellIs" dxfId="9463" priority="142640" stopIfTrue="1" operator="equal">
      <formula>-1</formula>
    </cfRule>
  </conditionalFormatting>
  <conditionalFormatting sqref="L65">
    <cfRule type="cellIs" dxfId="9462" priority="142641" stopIfTrue="1" operator="lessThan">
      <formula>0.5</formula>
    </cfRule>
  </conditionalFormatting>
  <conditionalFormatting sqref="L65">
    <cfRule type="cellIs" dxfId="9461" priority="142642" stopIfTrue="1" operator="greaterThanOrEqual">
      <formula>0.5</formula>
    </cfRule>
  </conditionalFormatting>
  <conditionalFormatting sqref="L66">
    <cfRule type="cellIs" dxfId="9460" priority="142643" stopIfTrue="1" operator="equal">
      <formula>-1</formula>
    </cfRule>
  </conditionalFormatting>
  <conditionalFormatting sqref="L66">
    <cfRule type="cellIs" dxfId="9459" priority="142644" stopIfTrue="1" operator="lessThan">
      <formula>0.5</formula>
    </cfRule>
  </conditionalFormatting>
  <conditionalFormatting sqref="L66">
    <cfRule type="cellIs" dxfId="9458" priority="142645" stopIfTrue="1" operator="greaterThanOrEqual">
      <formula>0.5</formula>
    </cfRule>
  </conditionalFormatting>
  <conditionalFormatting sqref="L67">
    <cfRule type="cellIs" dxfId="9457" priority="142646" stopIfTrue="1" operator="equal">
      <formula>-1</formula>
    </cfRule>
  </conditionalFormatting>
  <conditionalFormatting sqref="L67">
    <cfRule type="cellIs" dxfId="9456" priority="142647" stopIfTrue="1" operator="lessThan">
      <formula>0.5</formula>
    </cfRule>
  </conditionalFormatting>
  <conditionalFormatting sqref="L67">
    <cfRule type="cellIs" dxfId="9455" priority="142648" stopIfTrue="1" operator="greaterThanOrEqual">
      <formula>0.5</formula>
    </cfRule>
  </conditionalFormatting>
  <conditionalFormatting sqref="L68">
    <cfRule type="cellIs" dxfId="9454" priority="142649" stopIfTrue="1" operator="equal">
      <formula>-1</formula>
    </cfRule>
  </conditionalFormatting>
  <conditionalFormatting sqref="L68">
    <cfRule type="cellIs" dxfId="9453" priority="142650" stopIfTrue="1" operator="lessThan">
      <formula>0.5</formula>
    </cfRule>
  </conditionalFormatting>
  <conditionalFormatting sqref="L68">
    <cfRule type="cellIs" dxfId="9452" priority="142651" stopIfTrue="1" operator="greaterThanOrEqual">
      <formula>0.5</formula>
    </cfRule>
  </conditionalFormatting>
  <conditionalFormatting sqref="L69">
    <cfRule type="cellIs" dxfId="9451" priority="142652" stopIfTrue="1" operator="equal">
      <formula>-1</formula>
    </cfRule>
  </conditionalFormatting>
  <conditionalFormatting sqref="L69">
    <cfRule type="cellIs" dxfId="9450" priority="142653" stopIfTrue="1" operator="lessThan">
      <formula>0.5</formula>
    </cfRule>
  </conditionalFormatting>
  <conditionalFormatting sqref="L69">
    <cfRule type="cellIs" dxfId="9449" priority="142654" stopIfTrue="1" operator="greaterThanOrEqual">
      <formula>0.5</formula>
    </cfRule>
  </conditionalFormatting>
  <conditionalFormatting sqref="L70">
    <cfRule type="cellIs" dxfId="9448" priority="142655" stopIfTrue="1" operator="equal">
      <formula>-1</formula>
    </cfRule>
  </conditionalFormatting>
  <conditionalFormatting sqref="L70">
    <cfRule type="cellIs" dxfId="9447" priority="142656" stopIfTrue="1" operator="lessThan">
      <formula>0.5</formula>
    </cfRule>
  </conditionalFormatting>
  <conditionalFormatting sqref="L70">
    <cfRule type="cellIs" dxfId="9446" priority="142657" stopIfTrue="1" operator="greaterThanOrEqual">
      <formula>0.5</formula>
    </cfRule>
  </conditionalFormatting>
  <conditionalFormatting sqref="L71">
    <cfRule type="cellIs" dxfId="9445" priority="142658" stopIfTrue="1" operator="equal">
      <formula>-1</formula>
    </cfRule>
  </conditionalFormatting>
  <conditionalFormatting sqref="L71">
    <cfRule type="cellIs" dxfId="9444" priority="142659" stopIfTrue="1" operator="lessThan">
      <formula>0.5</formula>
    </cfRule>
  </conditionalFormatting>
  <conditionalFormatting sqref="L71">
    <cfRule type="cellIs" dxfId="9443" priority="142660" stopIfTrue="1" operator="greaterThanOrEqual">
      <formula>0.5</formula>
    </cfRule>
  </conditionalFormatting>
  <conditionalFormatting sqref="L72">
    <cfRule type="cellIs" dxfId="9442" priority="142661" stopIfTrue="1" operator="equal">
      <formula>-1</formula>
    </cfRule>
  </conditionalFormatting>
  <conditionalFormatting sqref="L72">
    <cfRule type="cellIs" dxfId="9441" priority="142662" stopIfTrue="1" operator="lessThan">
      <formula>0.5</formula>
    </cfRule>
  </conditionalFormatting>
  <conditionalFormatting sqref="L72">
    <cfRule type="cellIs" dxfId="9440" priority="142663" stopIfTrue="1" operator="greaterThanOrEqual">
      <formula>0.5</formula>
    </cfRule>
  </conditionalFormatting>
  <conditionalFormatting sqref="L73">
    <cfRule type="cellIs" dxfId="9439" priority="142664" stopIfTrue="1" operator="equal">
      <formula>-1</formula>
    </cfRule>
  </conditionalFormatting>
  <conditionalFormatting sqref="L73">
    <cfRule type="cellIs" dxfId="9438" priority="142665" stopIfTrue="1" operator="lessThan">
      <formula>0.5</formula>
    </cfRule>
  </conditionalFormatting>
  <conditionalFormatting sqref="L73">
    <cfRule type="cellIs" dxfId="9437" priority="142666" stopIfTrue="1" operator="greaterThanOrEqual">
      <formula>0.5</formula>
    </cfRule>
  </conditionalFormatting>
  <conditionalFormatting sqref="L74">
    <cfRule type="cellIs" dxfId="9436" priority="142667" stopIfTrue="1" operator="equal">
      <formula>-1</formula>
    </cfRule>
  </conditionalFormatting>
  <conditionalFormatting sqref="L74">
    <cfRule type="cellIs" dxfId="9435" priority="142668" stopIfTrue="1" operator="lessThan">
      <formula>0.5</formula>
    </cfRule>
  </conditionalFormatting>
  <conditionalFormatting sqref="L74">
    <cfRule type="cellIs" dxfId="9434" priority="142669" stopIfTrue="1" operator="greaterThanOrEqual">
      <formula>0.5</formula>
    </cfRule>
  </conditionalFormatting>
  <conditionalFormatting sqref="L75">
    <cfRule type="cellIs" dxfId="9433" priority="142670" stopIfTrue="1" operator="equal">
      <formula>-1</formula>
    </cfRule>
  </conditionalFormatting>
  <conditionalFormatting sqref="L75">
    <cfRule type="cellIs" dxfId="9432" priority="142671" stopIfTrue="1" operator="lessThan">
      <formula>0.5</formula>
    </cfRule>
  </conditionalFormatting>
  <conditionalFormatting sqref="L75">
    <cfRule type="cellIs" dxfId="9431" priority="142672" stopIfTrue="1" operator="greaterThanOrEqual">
      <formula>0.5</formula>
    </cfRule>
  </conditionalFormatting>
  <conditionalFormatting sqref="L76">
    <cfRule type="cellIs" dxfId="9430" priority="142673" stopIfTrue="1" operator="equal">
      <formula>-1</formula>
    </cfRule>
  </conditionalFormatting>
  <conditionalFormatting sqref="L76">
    <cfRule type="cellIs" dxfId="9429" priority="142674" stopIfTrue="1" operator="lessThan">
      <formula>0.5</formula>
    </cfRule>
  </conditionalFormatting>
  <conditionalFormatting sqref="L76">
    <cfRule type="cellIs" dxfId="9428" priority="142675" stopIfTrue="1" operator="greaterThanOrEqual">
      <formula>0.5</formula>
    </cfRule>
  </conditionalFormatting>
  <conditionalFormatting sqref="L77">
    <cfRule type="cellIs" dxfId="9427" priority="142676" stopIfTrue="1" operator="equal">
      <formula>-1</formula>
    </cfRule>
  </conditionalFormatting>
  <conditionalFormatting sqref="L77">
    <cfRule type="cellIs" dxfId="9426" priority="142677" stopIfTrue="1" operator="lessThan">
      <formula>0.5</formula>
    </cfRule>
  </conditionalFormatting>
  <conditionalFormatting sqref="L77">
    <cfRule type="cellIs" dxfId="9425" priority="142678" stopIfTrue="1" operator="greaterThanOrEqual">
      <formula>0.5</formula>
    </cfRule>
  </conditionalFormatting>
  <conditionalFormatting sqref="L78">
    <cfRule type="cellIs" dxfId="9424" priority="142679" stopIfTrue="1" operator="equal">
      <formula>-1</formula>
    </cfRule>
  </conditionalFormatting>
  <conditionalFormatting sqref="L78">
    <cfRule type="cellIs" dxfId="9423" priority="142680" stopIfTrue="1" operator="lessThan">
      <formula>0.5</formula>
    </cfRule>
  </conditionalFormatting>
  <conditionalFormatting sqref="L78">
    <cfRule type="cellIs" dxfId="9422" priority="142681" stopIfTrue="1" operator="greaterThanOrEqual">
      <formula>0.5</formula>
    </cfRule>
  </conditionalFormatting>
  <conditionalFormatting sqref="L79">
    <cfRule type="cellIs" dxfId="9421" priority="142682" stopIfTrue="1" operator="equal">
      <formula>-1</formula>
    </cfRule>
  </conditionalFormatting>
  <conditionalFormatting sqref="L79">
    <cfRule type="cellIs" dxfId="9420" priority="142683" stopIfTrue="1" operator="lessThan">
      <formula>0.5</formula>
    </cfRule>
  </conditionalFormatting>
  <conditionalFormatting sqref="L79">
    <cfRule type="cellIs" dxfId="9419" priority="142684" stopIfTrue="1" operator="greaterThanOrEqual">
      <formula>0.5</formula>
    </cfRule>
  </conditionalFormatting>
  <conditionalFormatting sqref="L80">
    <cfRule type="cellIs" dxfId="9418" priority="142685" stopIfTrue="1" operator="equal">
      <formula>-1</formula>
    </cfRule>
  </conditionalFormatting>
  <conditionalFormatting sqref="L80">
    <cfRule type="cellIs" dxfId="9417" priority="142686" stopIfTrue="1" operator="lessThan">
      <formula>0.5</formula>
    </cfRule>
  </conditionalFormatting>
  <conditionalFormatting sqref="L80">
    <cfRule type="cellIs" dxfId="9416" priority="142687" stopIfTrue="1" operator="greaterThanOrEqual">
      <formula>0.5</formula>
    </cfRule>
  </conditionalFormatting>
  <conditionalFormatting sqref="L81">
    <cfRule type="cellIs" dxfId="9415" priority="142688" stopIfTrue="1" operator="equal">
      <formula>-1</formula>
    </cfRule>
  </conditionalFormatting>
  <conditionalFormatting sqref="L81">
    <cfRule type="cellIs" dxfId="9414" priority="142689" stopIfTrue="1" operator="lessThan">
      <formula>0.5</formula>
    </cfRule>
  </conditionalFormatting>
  <conditionalFormatting sqref="L81">
    <cfRule type="cellIs" dxfId="9413" priority="142690" stopIfTrue="1" operator="greaterThanOrEqual">
      <formula>0.5</formula>
    </cfRule>
  </conditionalFormatting>
  <conditionalFormatting sqref="L82">
    <cfRule type="cellIs" dxfId="9412" priority="142691" stopIfTrue="1" operator="equal">
      <formula>-1</formula>
    </cfRule>
  </conditionalFormatting>
  <conditionalFormatting sqref="L82">
    <cfRule type="cellIs" dxfId="9411" priority="142692" stopIfTrue="1" operator="lessThan">
      <formula>0.5</formula>
    </cfRule>
  </conditionalFormatting>
  <conditionalFormatting sqref="L82">
    <cfRule type="cellIs" dxfId="9410" priority="142693" stopIfTrue="1" operator="greaterThanOrEqual">
      <formula>0.5</formula>
    </cfRule>
  </conditionalFormatting>
  <conditionalFormatting sqref="L83">
    <cfRule type="cellIs" dxfId="9409" priority="142694" stopIfTrue="1" operator="equal">
      <formula>-1</formula>
    </cfRule>
  </conditionalFormatting>
  <conditionalFormatting sqref="L83">
    <cfRule type="cellIs" dxfId="9408" priority="142695" stopIfTrue="1" operator="lessThan">
      <formula>0.5</formula>
    </cfRule>
  </conditionalFormatting>
  <conditionalFormatting sqref="L83">
    <cfRule type="cellIs" dxfId="9407" priority="142696" stopIfTrue="1" operator="greaterThanOrEqual">
      <formula>0.5</formula>
    </cfRule>
  </conditionalFormatting>
  <conditionalFormatting sqref="L84">
    <cfRule type="cellIs" dxfId="9406" priority="142697" stopIfTrue="1" operator="equal">
      <formula>-1</formula>
    </cfRule>
  </conditionalFormatting>
  <conditionalFormatting sqref="L84">
    <cfRule type="cellIs" dxfId="9405" priority="142698" stopIfTrue="1" operator="lessThan">
      <formula>0.5</formula>
    </cfRule>
  </conditionalFormatting>
  <conditionalFormatting sqref="L84">
    <cfRule type="cellIs" dxfId="9404" priority="142699" stopIfTrue="1" operator="greaterThanOrEqual">
      <formula>0.5</formula>
    </cfRule>
  </conditionalFormatting>
  <conditionalFormatting sqref="L85">
    <cfRule type="cellIs" dxfId="9403" priority="142700" stopIfTrue="1" operator="equal">
      <formula>-1</formula>
    </cfRule>
  </conditionalFormatting>
  <conditionalFormatting sqref="L85">
    <cfRule type="cellIs" dxfId="9402" priority="142701" stopIfTrue="1" operator="lessThan">
      <formula>0.5</formula>
    </cfRule>
  </conditionalFormatting>
  <conditionalFormatting sqref="L85">
    <cfRule type="cellIs" dxfId="9401" priority="142702" stopIfTrue="1" operator="greaterThanOrEqual">
      <formula>0.5</formula>
    </cfRule>
  </conditionalFormatting>
  <conditionalFormatting sqref="N65">
    <cfRule type="cellIs" dxfId="9400" priority="142703" stopIfTrue="1" operator="equal">
      <formula>-1</formula>
    </cfRule>
  </conditionalFormatting>
  <conditionalFormatting sqref="N65">
    <cfRule type="cellIs" dxfId="9399" priority="142704" stopIfTrue="1" operator="lessThan">
      <formula>0.5</formula>
    </cfRule>
  </conditionalFormatting>
  <conditionalFormatting sqref="N65">
    <cfRule type="cellIs" dxfId="9398" priority="142705" stopIfTrue="1" operator="greaterThanOrEqual">
      <formula>0.5</formula>
    </cfRule>
  </conditionalFormatting>
  <conditionalFormatting sqref="N66">
    <cfRule type="cellIs" dxfId="9397" priority="142706" stopIfTrue="1" operator="equal">
      <formula>-1</formula>
    </cfRule>
  </conditionalFormatting>
  <conditionalFormatting sqref="N66">
    <cfRule type="cellIs" dxfId="9396" priority="142707" stopIfTrue="1" operator="lessThan">
      <formula>0.5</formula>
    </cfRule>
  </conditionalFormatting>
  <conditionalFormatting sqref="N66">
    <cfRule type="cellIs" dxfId="9395" priority="142708" stopIfTrue="1" operator="greaterThanOrEqual">
      <formula>0.5</formula>
    </cfRule>
  </conditionalFormatting>
  <conditionalFormatting sqref="N67">
    <cfRule type="cellIs" dxfId="9394" priority="142709" stopIfTrue="1" operator="equal">
      <formula>-1</formula>
    </cfRule>
  </conditionalFormatting>
  <conditionalFormatting sqref="N67">
    <cfRule type="cellIs" dxfId="9393" priority="142710" stopIfTrue="1" operator="lessThan">
      <formula>0.5</formula>
    </cfRule>
  </conditionalFormatting>
  <conditionalFormatting sqref="N67">
    <cfRule type="cellIs" dxfId="9392" priority="142711" stopIfTrue="1" operator="greaterThanOrEqual">
      <formula>0.5</formula>
    </cfRule>
  </conditionalFormatting>
  <conditionalFormatting sqref="N68">
    <cfRule type="cellIs" dxfId="9391" priority="142712" stopIfTrue="1" operator="equal">
      <formula>-1</formula>
    </cfRule>
  </conditionalFormatting>
  <conditionalFormatting sqref="N68">
    <cfRule type="cellIs" dxfId="9390" priority="142713" stopIfTrue="1" operator="lessThan">
      <formula>0.5</formula>
    </cfRule>
  </conditionalFormatting>
  <conditionalFormatting sqref="N68">
    <cfRule type="cellIs" dxfId="9389" priority="142714" stopIfTrue="1" operator="greaterThanOrEqual">
      <formula>0.5</formula>
    </cfRule>
  </conditionalFormatting>
  <conditionalFormatting sqref="N69">
    <cfRule type="cellIs" dxfId="9388" priority="142715" stopIfTrue="1" operator="equal">
      <formula>-1</formula>
    </cfRule>
  </conditionalFormatting>
  <conditionalFormatting sqref="N69">
    <cfRule type="cellIs" dxfId="9387" priority="142716" stopIfTrue="1" operator="lessThan">
      <formula>0.5</formula>
    </cfRule>
  </conditionalFormatting>
  <conditionalFormatting sqref="N69">
    <cfRule type="cellIs" dxfId="9386" priority="142717" stopIfTrue="1" operator="greaterThanOrEqual">
      <formula>0.5</formula>
    </cfRule>
  </conditionalFormatting>
  <conditionalFormatting sqref="N70">
    <cfRule type="cellIs" dxfId="9385" priority="142718" stopIfTrue="1" operator="equal">
      <formula>-1</formula>
    </cfRule>
  </conditionalFormatting>
  <conditionalFormatting sqref="N70">
    <cfRule type="cellIs" dxfId="9384" priority="142719" stopIfTrue="1" operator="lessThan">
      <formula>0.5</formula>
    </cfRule>
  </conditionalFormatting>
  <conditionalFormatting sqref="N70">
    <cfRule type="cellIs" dxfId="9383" priority="142720" stopIfTrue="1" operator="greaterThanOrEqual">
      <formula>0.5</formula>
    </cfRule>
  </conditionalFormatting>
  <conditionalFormatting sqref="N71">
    <cfRule type="cellIs" dxfId="9382" priority="142721" stopIfTrue="1" operator="equal">
      <formula>-1</formula>
    </cfRule>
  </conditionalFormatting>
  <conditionalFormatting sqref="N71">
    <cfRule type="cellIs" dxfId="9381" priority="142722" stopIfTrue="1" operator="lessThan">
      <formula>0.5</formula>
    </cfRule>
  </conditionalFormatting>
  <conditionalFormatting sqref="N71">
    <cfRule type="cellIs" dxfId="9380" priority="142723" stopIfTrue="1" operator="greaterThanOrEqual">
      <formula>0.5</formula>
    </cfRule>
  </conditionalFormatting>
  <conditionalFormatting sqref="N72">
    <cfRule type="cellIs" dxfId="9379" priority="142724" stopIfTrue="1" operator="equal">
      <formula>-1</formula>
    </cfRule>
  </conditionalFormatting>
  <conditionalFormatting sqref="N72">
    <cfRule type="cellIs" dxfId="9378" priority="142725" stopIfTrue="1" operator="lessThan">
      <formula>0.5</formula>
    </cfRule>
  </conditionalFormatting>
  <conditionalFormatting sqref="N72">
    <cfRule type="cellIs" dxfId="9377" priority="142726" stopIfTrue="1" operator="greaterThanOrEqual">
      <formula>0.5</formula>
    </cfRule>
  </conditionalFormatting>
  <conditionalFormatting sqref="N73">
    <cfRule type="cellIs" dxfId="9376" priority="142727" stopIfTrue="1" operator="equal">
      <formula>-1</formula>
    </cfRule>
  </conditionalFormatting>
  <conditionalFormatting sqref="N73">
    <cfRule type="cellIs" dxfId="9375" priority="142728" stopIfTrue="1" operator="lessThan">
      <formula>0.5</formula>
    </cfRule>
  </conditionalFormatting>
  <conditionalFormatting sqref="N73">
    <cfRule type="cellIs" dxfId="9374" priority="142729" stopIfTrue="1" operator="greaterThanOrEqual">
      <formula>0.5</formula>
    </cfRule>
  </conditionalFormatting>
  <conditionalFormatting sqref="N74">
    <cfRule type="cellIs" dxfId="9373" priority="142730" stopIfTrue="1" operator="equal">
      <formula>-1</formula>
    </cfRule>
  </conditionalFormatting>
  <conditionalFormatting sqref="N74">
    <cfRule type="cellIs" dxfId="9372" priority="142731" stopIfTrue="1" operator="lessThan">
      <formula>0.5</formula>
    </cfRule>
  </conditionalFormatting>
  <conditionalFormatting sqref="N74">
    <cfRule type="cellIs" dxfId="9371" priority="142732" stopIfTrue="1" operator="greaterThanOrEqual">
      <formula>0.5</formula>
    </cfRule>
  </conditionalFormatting>
  <conditionalFormatting sqref="N75">
    <cfRule type="cellIs" dxfId="9370" priority="142733" stopIfTrue="1" operator="equal">
      <formula>-1</formula>
    </cfRule>
  </conditionalFormatting>
  <conditionalFormatting sqref="N75">
    <cfRule type="cellIs" dxfId="9369" priority="142734" stopIfTrue="1" operator="lessThan">
      <formula>0.5</formula>
    </cfRule>
  </conditionalFormatting>
  <conditionalFormatting sqref="N75">
    <cfRule type="cellIs" dxfId="9368" priority="142735" stopIfTrue="1" operator="greaterThanOrEqual">
      <formula>0.5</formula>
    </cfRule>
  </conditionalFormatting>
  <conditionalFormatting sqref="N76">
    <cfRule type="cellIs" dxfId="9367" priority="142736" stopIfTrue="1" operator="equal">
      <formula>-1</formula>
    </cfRule>
  </conditionalFormatting>
  <conditionalFormatting sqref="N76">
    <cfRule type="cellIs" dxfId="9366" priority="142737" stopIfTrue="1" operator="lessThan">
      <formula>0.5</formula>
    </cfRule>
  </conditionalFormatting>
  <conditionalFormatting sqref="N76">
    <cfRule type="cellIs" dxfId="9365" priority="142738" stopIfTrue="1" operator="greaterThanOrEqual">
      <formula>0.5</formula>
    </cfRule>
  </conditionalFormatting>
  <conditionalFormatting sqref="N77">
    <cfRule type="cellIs" dxfId="9364" priority="142739" stopIfTrue="1" operator="equal">
      <formula>-1</formula>
    </cfRule>
  </conditionalFormatting>
  <conditionalFormatting sqref="N77">
    <cfRule type="cellIs" dxfId="9363" priority="142740" stopIfTrue="1" operator="lessThan">
      <formula>0.5</formula>
    </cfRule>
  </conditionalFormatting>
  <conditionalFormatting sqref="N77">
    <cfRule type="cellIs" dxfId="9362" priority="142741" stopIfTrue="1" operator="greaterThanOrEqual">
      <formula>0.5</formula>
    </cfRule>
  </conditionalFormatting>
  <conditionalFormatting sqref="N78">
    <cfRule type="cellIs" dxfId="9361" priority="142742" stopIfTrue="1" operator="equal">
      <formula>-1</formula>
    </cfRule>
  </conditionalFormatting>
  <conditionalFormatting sqref="N78">
    <cfRule type="cellIs" dxfId="9360" priority="142743" stopIfTrue="1" operator="lessThan">
      <formula>0.5</formula>
    </cfRule>
  </conditionalFormatting>
  <conditionalFormatting sqref="N78">
    <cfRule type="cellIs" dxfId="9359" priority="142744" stopIfTrue="1" operator="greaterThanOrEqual">
      <formula>0.5</formula>
    </cfRule>
  </conditionalFormatting>
  <conditionalFormatting sqref="N79">
    <cfRule type="cellIs" dxfId="9358" priority="142745" stopIfTrue="1" operator="equal">
      <formula>-1</formula>
    </cfRule>
  </conditionalFormatting>
  <conditionalFormatting sqref="N79">
    <cfRule type="cellIs" dxfId="9357" priority="142746" stopIfTrue="1" operator="lessThan">
      <formula>0.5</formula>
    </cfRule>
  </conditionalFormatting>
  <conditionalFormatting sqref="N79">
    <cfRule type="cellIs" dxfId="9356" priority="142747" stopIfTrue="1" operator="greaterThanOrEqual">
      <formula>0.5</formula>
    </cfRule>
  </conditionalFormatting>
  <conditionalFormatting sqref="N80">
    <cfRule type="cellIs" dxfId="9355" priority="142748" stopIfTrue="1" operator="equal">
      <formula>-1</formula>
    </cfRule>
  </conditionalFormatting>
  <conditionalFormatting sqref="N80">
    <cfRule type="cellIs" dxfId="9354" priority="142749" stopIfTrue="1" operator="lessThan">
      <formula>0.5</formula>
    </cfRule>
  </conditionalFormatting>
  <conditionalFormatting sqref="N80">
    <cfRule type="cellIs" dxfId="9353" priority="142750" stopIfTrue="1" operator="greaterThanOrEqual">
      <formula>0.5</formula>
    </cfRule>
  </conditionalFormatting>
  <conditionalFormatting sqref="N81">
    <cfRule type="cellIs" dxfId="9352" priority="142751" stopIfTrue="1" operator="equal">
      <formula>-1</formula>
    </cfRule>
  </conditionalFormatting>
  <conditionalFormatting sqref="N81">
    <cfRule type="cellIs" dxfId="9351" priority="142752" stopIfTrue="1" operator="lessThan">
      <formula>0.5</formula>
    </cfRule>
  </conditionalFormatting>
  <conditionalFormatting sqref="N81">
    <cfRule type="cellIs" dxfId="9350" priority="142753" stopIfTrue="1" operator="greaterThanOrEqual">
      <formula>0.5</formula>
    </cfRule>
  </conditionalFormatting>
  <conditionalFormatting sqref="N82">
    <cfRule type="cellIs" dxfId="9349" priority="142754" stopIfTrue="1" operator="equal">
      <formula>-1</formula>
    </cfRule>
  </conditionalFormatting>
  <conditionalFormatting sqref="N82">
    <cfRule type="cellIs" dxfId="9348" priority="142755" stopIfTrue="1" operator="lessThan">
      <formula>0.5</formula>
    </cfRule>
  </conditionalFormatting>
  <conditionalFormatting sqref="N82">
    <cfRule type="cellIs" dxfId="9347" priority="142756" stopIfTrue="1" operator="greaterThanOrEqual">
      <formula>0.5</formula>
    </cfRule>
  </conditionalFormatting>
  <conditionalFormatting sqref="N83">
    <cfRule type="cellIs" dxfId="9346" priority="142757" stopIfTrue="1" operator="equal">
      <formula>-1</formula>
    </cfRule>
  </conditionalFormatting>
  <conditionalFormatting sqref="N83">
    <cfRule type="cellIs" dxfId="9345" priority="142758" stopIfTrue="1" operator="lessThan">
      <formula>0.5</formula>
    </cfRule>
  </conditionalFormatting>
  <conditionalFormatting sqref="N83">
    <cfRule type="cellIs" dxfId="9344" priority="142759" stopIfTrue="1" operator="greaterThanOrEqual">
      <formula>0.5</formula>
    </cfRule>
  </conditionalFormatting>
  <conditionalFormatting sqref="N84">
    <cfRule type="cellIs" dxfId="9343" priority="142760" stopIfTrue="1" operator="equal">
      <formula>-1</formula>
    </cfRule>
  </conditionalFormatting>
  <conditionalFormatting sqref="N84">
    <cfRule type="cellIs" dxfId="9342" priority="142761" stopIfTrue="1" operator="lessThan">
      <formula>0.5</formula>
    </cfRule>
  </conditionalFormatting>
  <conditionalFormatting sqref="N84">
    <cfRule type="cellIs" dxfId="9341" priority="142762" stopIfTrue="1" operator="greaterThanOrEqual">
      <formula>0.5</formula>
    </cfRule>
  </conditionalFormatting>
  <conditionalFormatting sqref="N85">
    <cfRule type="cellIs" dxfId="9340" priority="142763" stopIfTrue="1" operator="equal">
      <formula>-1</formula>
    </cfRule>
  </conditionalFormatting>
  <conditionalFormatting sqref="N85">
    <cfRule type="cellIs" dxfId="9339" priority="142764" stopIfTrue="1" operator="lessThan">
      <formula>0.5</formula>
    </cfRule>
  </conditionalFormatting>
  <conditionalFormatting sqref="N85">
    <cfRule type="cellIs" dxfId="9338" priority="142765" stopIfTrue="1" operator="greaterThanOrEqual">
      <formula>0.5</formula>
    </cfRule>
  </conditionalFormatting>
  <conditionalFormatting sqref="P65">
    <cfRule type="cellIs" dxfId="9337" priority="142766" stopIfTrue="1" operator="equal">
      <formula>-1</formula>
    </cfRule>
  </conditionalFormatting>
  <conditionalFormatting sqref="P65">
    <cfRule type="cellIs" dxfId="9336" priority="142767" stopIfTrue="1" operator="lessThan">
      <formula>0.5</formula>
    </cfRule>
  </conditionalFormatting>
  <conditionalFormatting sqref="P65">
    <cfRule type="cellIs" dxfId="9335" priority="142768" stopIfTrue="1" operator="greaterThanOrEqual">
      <formula>0.5</formula>
    </cfRule>
  </conditionalFormatting>
  <conditionalFormatting sqref="P66">
    <cfRule type="cellIs" dxfId="9334" priority="142769" stopIfTrue="1" operator="equal">
      <formula>-1</formula>
    </cfRule>
  </conditionalFormatting>
  <conditionalFormatting sqref="P66">
    <cfRule type="cellIs" dxfId="9333" priority="142770" stopIfTrue="1" operator="lessThan">
      <formula>0.5</formula>
    </cfRule>
  </conditionalFormatting>
  <conditionalFormatting sqref="P66">
    <cfRule type="cellIs" dxfId="9332" priority="142771" stopIfTrue="1" operator="greaterThanOrEqual">
      <formula>0.5</formula>
    </cfRule>
  </conditionalFormatting>
  <conditionalFormatting sqref="P67">
    <cfRule type="cellIs" dxfId="9331" priority="142772" stopIfTrue="1" operator="equal">
      <formula>-1</formula>
    </cfRule>
  </conditionalFormatting>
  <conditionalFormatting sqref="P67">
    <cfRule type="cellIs" dxfId="9330" priority="142773" stopIfTrue="1" operator="lessThan">
      <formula>0.5</formula>
    </cfRule>
  </conditionalFormatting>
  <conditionalFormatting sqref="P67">
    <cfRule type="cellIs" dxfId="9329" priority="142774" stopIfTrue="1" operator="greaterThanOrEqual">
      <formula>0.5</formula>
    </cfRule>
  </conditionalFormatting>
  <conditionalFormatting sqref="P68">
    <cfRule type="cellIs" dxfId="9328" priority="142775" stopIfTrue="1" operator="equal">
      <formula>-1</formula>
    </cfRule>
  </conditionalFormatting>
  <conditionalFormatting sqref="P68">
    <cfRule type="cellIs" dxfId="9327" priority="142776" stopIfTrue="1" operator="lessThan">
      <formula>0.5</formula>
    </cfRule>
  </conditionalFormatting>
  <conditionalFormatting sqref="P68">
    <cfRule type="cellIs" dxfId="9326" priority="142777" stopIfTrue="1" operator="greaterThanOrEqual">
      <formula>0.5</formula>
    </cfRule>
  </conditionalFormatting>
  <conditionalFormatting sqref="P69">
    <cfRule type="cellIs" dxfId="9325" priority="142778" stopIfTrue="1" operator="equal">
      <formula>-1</formula>
    </cfRule>
  </conditionalFormatting>
  <conditionalFormatting sqref="P69">
    <cfRule type="cellIs" dxfId="9324" priority="142779" stopIfTrue="1" operator="lessThan">
      <formula>0.5</formula>
    </cfRule>
  </conditionalFormatting>
  <conditionalFormatting sqref="P69">
    <cfRule type="cellIs" dxfId="9323" priority="142780" stopIfTrue="1" operator="greaterThanOrEqual">
      <formula>0.5</formula>
    </cfRule>
  </conditionalFormatting>
  <conditionalFormatting sqref="P70">
    <cfRule type="cellIs" dxfId="9322" priority="142781" stopIfTrue="1" operator="equal">
      <formula>-1</formula>
    </cfRule>
  </conditionalFormatting>
  <conditionalFormatting sqref="P70">
    <cfRule type="cellIs" dxfId="9321" priority="142782" stopIfTrue="1" operator="lessThan">
      <formula>0.5</formula>
    </cfRule>
  </conditionalFormatting>
  <conditionalFormatting sqref="P70">
    <cfRule type="cellIs" dxfId="9320" priority="142783" stopIfTrue="1" operator="greaterThanOrEqual">
      <formula>0.5</formula>
    </cfRule>
  </conditionalFormatting>
  <conditionalFormatting sqref="P71">
    <cfRule type="cellIs" dxfId="9319" priority="142784" stopIfTrue="1" operator="equal">
      <formula>-1</formula>
    </cfRule>
  </conditionalFormatting>
  <conditionalFormatting sqref="P71">
    <cfRule type="cellIs" dxfId="9318" priority="142785" stopIfTrue="1" operator="lessThan">
      <formula>0.5</formula>
    </cfRule>
  </conditionalFormatting>
  <conditionalFormatting sqref="P71">
    <cfRule type="cellIs" dxfId="9317" priority="142786" stopIfTrue="1" operator="greaterThanOrEqual">
      <formula>0.5</formula>
    </cfRule>
  </conditionalFormatting>
  <conditionalFormatting sqref="P72">
    <cfRule type="cellIs" dxfId="9316" priority="142787" stopIfTrue="1" operator="equal">
      <formula>-1</formula>
    </cfRule>
  </conditionalFormatting>
  <conditionalFormatting sqref="P72">
    <cfRule type="cellIs" dxfId="9315" priority="142788" stopIfTrue="1" operator="lessThan">
      <formula>0.5</formula>
    </cfRule>
  </conditionalFormatting>
  <conditionalFormatting sqref="P72">
    <cfRule type="cellIs" dxfId="9314" priority="142789" stopIfTrue="1" operator="greaterThanOrEqual">
      <formula>0.5</formula>
    </cfRule>
  </conditionalFormatting>
  <conditionalFormatting sqref="P73">
    <cfRule type="cellIs" dxfId="9313" priority="142790" stopIfTrue="1" operator="equal">
      <formula>-1</formula>
    </cfRule>
  </conditionalFormatting>
  <conditionalFormatting sqref="P73">
    <cfRule type="cellIs" dxfId="9312" priority="142791" stopIfTrue="1" operator="lessThan">
      <formula>0.5</formula>
    </cfRule>
  </conditionalFormatting>
  <conditionalFormatting sqref="P73">
    <cfRule type="cellIs" dxfId="9311" priority="142792" stopIfTrue="1" operator="greaterThanOrEqual">
      <formula>0.5</formula>
    </cfRule>
  </conditionalFormatting>
  <conditionalFormatting sqref="P74">
    <cfRule type="cellIs" dxfId="9310" priority="142793" stopIfTrue="1" operator="equal">
      <formula>-1</formula>
    </cfRule>
  </conditionalFormatting>
  <conditionalFormatting sqref="P74">
    <cfRule type="cellIs" dxfId="9309" priority="142794" stopIfTrue="1" operator="lessThan">
      <formula>0.5</formula>
    </cfRule>
  </conditionalFormatting>
  <conditionalFormatting sqref="P74">
    <cfRule type="cellIs" dxfId="9308" priority="142795" stopIfTrue="1" operator="greaterThanOrEqual">
      <formula>0.5</formula>
    </cfRule>
  </conditionalFormatting>
  <conditionalFormatting sqref="P75">
    <cfRule type="cellIs" dxfId="9307" priority="142796" stopIfTrue="1" operator="equal">
      <formula>-1</formula>
    </cfRule>
  </conditionalFormatting>
  <conditionalFormatting sqref="P75">
    <cfRule type="cellIs" dxfId="9306" priority="142797" stopIfTrue="1" operator="lessThan">
      <formula>0.5</formula>
    </cfRule>
  </conditionalFormatting>
  <conditionalFormatting sqref="P75">
    <cfRule type="cellIs" dxfId="9305" priority="142798" stopIfTrue="1" operator="greaterThanOrEqual">
      <formula>0.5</formula>
    </cfRule>
  </conditionalFormatting>
  <conditionalFormatting sqref="P76">
    <cfRule type="cellIs" dxfId="9304" priority="142799" stopIfTrue="1" operator="equal">
      <formula>-1</formula>
    </cfRule>
  </conditionalFormatting>
  <conditionalFormatting sqref="P76">
    <cfRule type="cellIs" dxfId="9303" priority="142800" stopIfTrue="1" operator="lessThan">
      <formula>0.5</formula>
    </cfRule>
  </conditionalFormatting>
  <conditionalFormatting sqref="P76">
    <cfRule type="cellIs" dxfId="9302" priority="142801" stopIfTrue="1" operator="greaterThanOrEqual">
      <formula>0.5</formula>
    </cfRule>
  </conditionalFormatting>
  <conditionalFormatting sqref="P77">
    <cfRule type="cellIs" dxfId="9301" priority="142802" stopIfTrue="1" operator="equal">
      <formula>-1</formula>
    </cfRule>
  </conditionalFormatting>
  <conditionalFormatting sqref="P77">
    <cfRule type="cellIs" dxfId="9300" priority="142803" stopIfTrue="1" operator="lessThan">
      <formula>0.5</formula>
    </cfRule>
  </conditionalFormatting>
  <conditionalFormatting sqref="P77">
    <cfRule type="cellIs" dxfId="9299" priority="142804" stopIfTrue="1" operator="greaterThanOrEqual">
      <formula>0.5</formula>
    </cfRule>
  </conditionalFormatting>
  <conditionalFormatting sqref="P78">
    <cfRule type="cellIs" dxfId="9298" priority="142805" stopIfTrue="1" operator="equal">
      <formula>-1</formula>
    </cfRule>
  </conditionalFormatting>
  <conditionalFormatting sqref="P78">
    <cfRule type="cellIs" dxfId="9297" priority="142806" stopIfTrue="1" operator="lessThan">
      <formula>0.5</formula>
    </cfRule>
  </conditionalFormatting>
  <conditionalFormatting sqref="P78">
    <cfRule type="cellIs" dxfId="9296" priority="142807" stopIfTrue="1" operator="greaterThanOrEqual">
      <formula>0.5</formula>
    </cfRule>
  </conditionalFormatting>
  <conditionalFormatting sqref="P79">
    <cfRule type="cellIs" dxfId="9295" priority="142808" stopIfTrue="1" operator="equal">
      <formula>-1</formula>
    </cfRule>
  </conditionalFormatting>
  <conditionalFormatting sqref="P79">
    <cfRule type="cellIs" dxfId="9294" priority="142809" stopIfTrue="1" operator="lessThan">
      <formula>0.5</formula>
    </cfRule>
  </conditionalFormatting>
  <conditionalFormatting sqref="P79">
    <cfRule type="cellIs" dxfId="9293" priority="142810" stopIfTrue="1" operator="greaterThanOrEqual">
      <formula>0.5</formula>
    </cfRule>
  </conditionalFormatting>
  <conditionalFormatting sqref="P80">
    <cfRule type="cellIs" dxfId="9292" priority="142811" stopIfTrue="1" operator="equal">
      <formula>-1</formula>
    </cfRule>
  </conditionalFormatting>
  <conditionalFormatting sqref="P80">
    <cfRule type="cellIs" dxfId="9291" priority="142812" stopIfTrue="1" operator="lessThan">
      <formula>0.5</formula>
    </cfRule>
  </conditionalFormatting>
  <conditionalFormatting sqref="P80">
    <cfRule type="cellIs" dxfId="9290" priority="142813" stopIfTrue="1" operator="greaterThanOrEqual">
      <formula>0.5</formula>
    </cfRule>
  </conditionalFormatting>
  <conditionalFormatting sqref="P81">
    <cfRule type="cellIs" dxfId="9289" priority="142814" stopIfTrue="1" operator="equal">
      <formula>-1</formula>
    </cfRule>
  </conditionalFormatting>
  <conditionalFormatting sqref="P81">
    <cfRule type="cellIs" dxfId="9288" priority="142815" stopIfTrue="1" operator="lessThan">
      <formula>0.5</formula>
    </cfRule>
  </conditionalFormatting>
  <conditionalFormatting sqref="P81">
    <cfRule type="cellIs" dxfId="9287" priority="142816" stopIfTrue="1" operator="greaterThanOrEqual">
      <formula>0.5</formula>
    </cfRule>
  </conditionalFormatting>
  <conditionalFormatting sqref="P82">
    <cfRule type="cellIs" dxfId="9286" priority="142817" stopIfTrue="1" operator="equal">
      <formula>-1</formula>
    </cfRule>
  </conditionalFormatting>
  <conditionalFormatting sqref="P82">
    <cfRule type="cellIs" dxfId="9285" priority="142818" stopIfTrue="1" operator="lessThan">
      <formula>0.5</formula>
    </cfRule>
  </conditionalFormatting>
  <conditionalFormatting sqref="P82">
    <cfRule type="cellIs" dxfId="9284" priority="142819" stopIfTrue="1" operator="greaterThanOrEqual">
      <formula>0.5</formula>
    </cfRule>
  </conditionalFormatting>
  <conditionalFormatting sqref="P83">
    <cfRule type="cellIs" dxfId="9283" priority="142820" stopIfTrue="1" operator="equal">
      <formula>-1</formula>
    </cfRule>
  </conditionalFormatting>
  <conditionalFormatting sqref="P83">
    <cfRule type="cellIs" dxfId="9282" priority="142821" stopIfTrue="1" operator="lessThan">
      <formula>0.5</formula>
    </cfRule>
  </conditionalFormatting>
  <conditionalFormatting sqref="P83">
    <cfRule type="cellIs" dxfId="9281" priority="142822" stopIfTrue="1" operator="greaterThanOrEqual">
      <formula>0.5</formula>
    </cfRule>
  </conditionalFormatting>
  <conditionalFormatting sqref="P84">
    <cfRule type="cellIs" dxfId="9280" priority="142823" stopIfTrue="1" operator="equal">
      <formula>-1</formula>
    </cfRule>
  </conditionalFormatting>
  <conditionalFormatting sqref="P84">
    <cfRule type="cellIs" dxfId="9279" priority="142824" stopIfTrue="1" operator="lessThan">
      <formula>0.5</formula>
    </cfRule>
  </conditionalFormatting>
  <conditionalFormatting sqref="P84">
    <cfRule type="cellIs" dxfId="9278" priority="142825" stopIfTrue="1" operator="greaterThanOrEqual">
      <formula>0.5</formula>
    </cfRule>
  </conditionalFormatting>
  <conditionalFormatting sqref="P85">
    <cfRule type="cellIs" dxfId="9277" priority="142826" stopIfTrue="1" operator="equal">
      <formula>-1</formula>
    </cfRule>
  </conditionalFormatting>
  <conditionalFormatting sqref="P85">
    <cfRule type="cellIs" dxfId="9276" priority="142827" stopIfTrue="1" operator="lessThan">
      <formula>0.5</formula>
    </cfRule>
  </conditionalFormatting>
  <conditionalFormatting sqref="P85">
    <cfRule type="cellIs" dxfId="9275" priority="142828" stopIfTrue="1" operator="greaterThanOrEqual">
      <formula>0.5</formula>
    </cfRule>
  </conditionalFormatting>
  <conditionalFormatting sqref="R65">
    <cfRule type="cellIs" dxfId="9274" priority="142829" stopIfTrue="1" operator="equal">
      <formula>-1</formula>
    </cfRule>
  </conditionalFormatting>
  <conditionalFormatting sqref="R65">
    <cfRule type="cellIs" dxfId="9273" priority="142830" stopIfTrue="1" operator="lessThan">
      <formula>0.5</formula>
    </cfRule>
  </conditionalFormatting>
  <conditionalFormatting sqref="R65">
    <cfRule type="cellIs" dxfId="9272" priority="142831" stopIfTrue="1" operator="greaterThanOrEqual">
      <formula>0.5</formula>
    </cfRule>
  </conditionalFormatting>
  <conditionalFormatting sqref="R66">
    <cfRule type="cellIs" dxfId="9271" priority="142832" stopIfTrue="1" operator="equal">
      <formula>-1</formula>
    </cfRule>
  </conditionalFormatting>
  <conditionalFormatting sqref="R66">
    <cfRule type="cellIs" dxfId="9270" priority="142833" stopIfTrue="1" operator="lessThan">
      <formula>0.5</formula>
    </cfRule>
  </conditionalFormatting>
  <conditionalFormatting sqref="R66">
    <cfRule type="cellIs" dxfId="9269" priority="142834" stopIfTrue="1" operator="greaterThanOrEqual">
      <formula>0.5</formula>
    </cfRule>
  </conditionalFormatting>
  <conditionalFormatting sqref="R67">
    <cfRule type="cellIs" dxfId="9268" priority="142835" stopIfTrue="1" operator="equal">
      <formula>-1</formula>
    </cfRule>
  </conditionalFormatting>
  <conditionalFormatting sqref="R67">
    <cfRule type="cellIs" dxfId="9267" priority="142836" stopIfTrue="1" operator="lessThan">
      <formula>0.5</formula>
    </cfRule>
  </conditionalFormatting>
  <conditionalFormatting sqref="R67">
    <cfRule type="cellIs" dxfId="9266" priority="142837" stopIfTrue="1" operator="greaterThanOrEqual">
      <formula>0.5</formula>
    </cfRule>
  </conditionalFormatting>
  <conditionalFormatting sqref="R68">
    <cfRule type="cellIs" dxfId="9265" priority="142838" stopIfTrue="1" operator="equal">
      <formula>-1</formula>
    </cfRule>
  </conditionalFormatting>
  <conditionalFormatting sqref="R68">
    <cfRule type="cellIs" dxfId="9264" priority="142839" stopIfTrue="1" operator="lessThan">
      <formula>0.5</formula>
    </cfRule>
  </conditionalFormatting>
  <conditionalFormatting sqref="R68">
    <cfRule type="cellIs" dxfId="9263" priority="142840" stopIfTrue="1" operator="greaterThanOrEqual">
      <formula>0.5</formula>
    </cfRule>
  </conditionalFormatting>
  <conditionalFormatting sqref="R69">
    <cfRule type="cellIs" dxfId="9262" priority="142841" stopIfTrue="1" operator="equal">
      <formula>-1</formula>
    </cfRule>
  </conditionalFormatting>
  <conditionalFormatting sqref="R69">
    <cfRule type="cellIs" dxfId="9261" priority="142842" stopIfTrue="1" operator="lessThan">
      <formula>0.5</formula>
    </cfRule>
  </conditionalFormatting>
  <conditionalFormatting sqref="R69">
    <cfRule type="cellIs" dxfId="9260" priority="142843" stopIfTrue="1" operator="greaterThanOrEqual">
      <formula>0.5</formula>
    </cfRule>
  </conditionalFormatting>
  <conditionalFormatting sqref="R70">
    <cfRule type="cellIs" dxfId="9259" priority="142844" stopIfTrue="1" operator="equal">
      <formula>-1</formula>
    </cfRule>
  </conditionalFormatting>
  <conditionalFormatting sqref="R70">
    <cfRule type="cellIs" dxfId="9258" priority="142845" stopIfTrue="1" operator="lessThan">
      <formula>0.5</formula>
    </cfRule>
  </conditionalFormatting>
  <conditionalFormatting sqref="R70">
    <cfRule type="cellIs" dxfId="9257" priority="142846" stopIfTrue="1" operator="greaterThanOrEqual">
      <formula>0.5</formula>
    </cfRule>
  </conditionalFormatting>
  <conditionalFormatting sqref="R71">
    <cfRule type="cellIs" dxfId="9256" priority="142847" stopIfTrue="1" operator="equal">
      <formula>-1</formula>
    </cfRule>
  </conditionalFormatting>
  <conditionalFormatting sqref="R71">
    <cfRule type="cellIs" dxfId="9255" priority="142848" stopIfTrue="1" operator="lessThan">
      <formula>0.5</formula>
    </cfRule>
  </conditionalFormatting>
  <conditionalFormatting sqref="R71">
    <cfRule type="cellIs" dxfId="9254" priority="142849" stopIfTrue="1" operator="greaterThanOrEqual">
      <formula>0.5</formula>
    </cfRule>
  </conditionalFormatting>
  <conditionalFormatting sqref="R72">
    <cfRule type="cellIs" dxfId="9253" priority="142850" stopIfTrue="1" operator="equal">
      <formula>-1</formula>
    </cfRule>
  </conditionalFormatting>
  <conditionalFormatting sqref="R72">
    <cfRule type="cellIs" dxfId="9252" priority="142851" stopIfTrue="1" operator="lessThan">
      <formula>0.5</formula>
    </cfRule>
  </conditionalFormatting>
  <conditionalFormatting sqref="R72">
    <cfRule type="cellIs" dxfId="9251" priority="142852" stopIfTrue="1" operator="greaterThanOrEqual">
      <formula>0.5</formula>
    </cfRule>
  </conditionalFormatting>
  <conditionalFormatting sqref="R73">
    <cfRule type="cellIs" dxfId="9250" priority="142853" stopIfTrue="1" operator="equal">
      <formula>-1</formula>
    </cfRule>
  </conditionalFormatting>
  <conditionalFormatting sqref="R73">
    <cfRule type="cellIs" dxfId="9249" priority="142854" stopIfTrue="1" operator="lessThan">
      <formula>0.5</formula>
    </cfRule>
  </conditionalFormatting>
  <conditionalFormatting sqref="R73">
    <cfRule type="cellIs" dxfId="9248" priority="142855" stopIfTrue="1" operator="greaterThanOrEqual">
      <formula>0.5</formula>
    </cfRule>
  </conditionalFormatting>
  <conditionalFormatting sqref="R74">
    <cfRule type="cellIs" dxfId="9247" priority="142856" stopIfTrue="1" operator="equal">
      <formula>-1</formula>
    </cfRule>
  </conditionalFormatting>
  <conditionalFormatting sqref="R74">
    <cfRule type="cellIs" dxfId="9246" priority="142857" stopIfTrue="1" operator="lessThan">
      <formula>0.5</formula>
    </cfRule>
  </conditionalFormatting>
  <conditionalFormatting sqref="R74">
    <cfRule type="cellIs" dxfId="9245" priority="142858" stopIfTrue="1" operator="greaterThanOrEqual">
      <formula>0.5</formula>
    </cfRule>
  </conditionalFormatting>
  <conditionalFormatting sqref="R75">
    <cfRule type="cellIs" dxfId="9244" priority="142859" stopIfTrue="1" operator="equal">
      <formula>-1</formula>
    </cfRule>
  </conditionalFormatting>
  <conditionalFormatting sqref="R75">
    <cfRule type="cellIs" dxfId="9243" priority="142860" stopIfTrue="1" operator="lessThan">
      <formula>0.5</formula>
    </cfRule>
  </conditionalFormatting>
  <conditionalFormatting sqref="R75">
    <cfRule type="cellIs" dxfId="9242" priority="142861" stopIfTrue="1" operator="greaterThanOrEqual">
      <formula>0.5</formula>
    </cfRule>
  </conditionalFormatting>
  <conditionalFormatting sqref="R76">
    <cfRule type="cellIs" dxfId="9241" priority="142862" stopIfTrue="1" operator="equal">
      <formula>-1</formula>
    </cfRule>
  </conditionalFormatting>
  <conditionalFormatting sqref="R76">
    <cfRule type="cellIs" dxfId="9240" priority="142863" stopIfTrue="1" operator="lessThan">
      <formula>0.5</formula>
    </cfRule>
  </conditionalFormatting>
  <conditionalFormatting sqref="R76">
    <cfRule type="cellIs" dxfId="9239" priority="142864" stopIfTrue="1" operator="greaterThanOrEqual">
      <formula>0.5</formula>
    </cfRule>
  </conditionalFormatting>
  <conditionalFormatting sqref="R77">
    <cfRule type="cellIs" dxfId="9238" priority="142865" stopIfTrue="1" operator="equal">
      <formula>-1</formula>
    </cfRule>
  </conditionalFormatting>
  <conditionalFormatting sqref="R77">
    <cfRule type="cellIs" dxfId="9237" priority="142866" stopIfTrue="1" operator="lessThan">
      <formula>0.5</formula>
    </cfRule>
  </conditionalFormatting>
  <conditionalFormatting sqref="R77">
    <cfRule type="cellIs" dxfId="9236" priority="142867" stopIfTrue="1" operator="greaterThanOrEqual">
      <formula>0.5</formula>
    </cfRule>
  </conditionalFormatting>
  <conditionalFormatting sqref="R78">
    <cfRule type="cellIs" dxfId="9235" priority="142868" stopIfTrue="1" operator="equal">
      <formula>-1</formula>
    </cfRule>
  </conditionalFormatting>
  <conditionalFormatting sqref="R78">
    <cfRule type="cellIs" dxfId="9234" priority="142869" stopIfTrue="1" operator="lessThan">
      <formula>0.5</formula>
    </cfRule>
  </conditionalFormatting>
  <conditionalFormatting sqref="R78">
    <cfRule type="cellIs" dxfId="9233" priority="142870" stopIfTrue="1" operator="greaterThanOrEqual">
      <formula>0.5</formula>
    </cfRule>
  </conditionalFormatting>
  <conditionalFormatting sqref="R79">
    <cfRule type="cellIs" dxfId="9232" priority="142871" stopIfTrue="1" operator="equal">
      <formula>-1</formula>
    </cfRule>
  </conditionalFormatting>
  <conditionalFormatting sqref="R79">
    <cfRule type="cellIs" dxfId="9231" priority="142872" stopIfTrue="1" operator="lessThan">
      <formula>0.5</formula>
    </cfRule>
  </conditionalFormatting>
  <conditionalFormatting sqref="R79">
    <cfRule type="cellIs" dxfId="9230" priority="142873" stopIfTrue="1" operator="greaterThanOrEqual">
      <formula>0.5</formula>
    </cfRule>
  </conditionalFormatting>
  <conditionalFormatting sqref="R80">
    <cfRule type="cellIs" dxfId="9229" priority="142874" stopIfTrue="1" operator="equal">
      <formula>-1</formula>
    </cfRule>
  </conditionalFormatting>
  <conditionalFormatting sqref="R80">
    <cfRule type="cellIs" dxfId="9228" priority="142875" stopIfTrue="1" operator="lessThan">
      <formula>0.5</formula>
    </cfRule>
  </conditionalFormatting>
  <conditionalFormatting sqref="R80">
    <cfRule type="cellIs" dxfId="9227" priority="142876" stopIfTrue="1" operator="greaterThanOrEqual">
      <formula>0.5</formula>
    </cfRule>
  </conditionalFormatting>
  <conditionalFormatting sqref="R81">
    <cfRule type="cellIs" dxfId="9226" priority="142877" stopIfTrue="1" operator="equal">
      <formula>-1</formula>
    </cfRule>
  </conditionalFormatting>
  <conditionalFormatting sqref="R81">
    <cfRule type="cellIs" dxfId="9225" priority="142878" stopIfTrue="1" operator="lessThan">
      <formula>0.5</formula>
    </cfRule>
  </conditionalFormatting>
  <conditionalFormatting sqref="R81">
    <cfRule type="cellIs" dxfId="9224" priority="142879" stopIfTrue="1" operator="greaterThanOrEqual">
      <formula>0.5</formula>
    </cfRule>
  </conditionalFormatting>
  <conditionalFormatting sqref="R82">
    <cfRule type="cellIs" dxfId="9223" priority="142880" stopIfTrue="1" operator="equal">
      <formula>-1</formula>
    </cfRule>
  </conditionalFormatting>
  <conditionalFormatting sqref="R82">
    <cfRule type="cellIs" dxfId="9222" priority="142881" stopIfTrue="1" operator="lessThan">
      <formula>0.5</formula>
    </cfRule>
  </conditionalFormatting>
  <conditionalFormatting sqref="R82">
    <cfRule type="cellIs" dxfId="9221" priority="142882" stopIfTrue="1" operator="greaterThanOrEqual">
      <formula>0.5</formula>
    </cfRule>
  </conditionalFormatting>
  <conditionalFormatting sqref="R83">
    <cfRule type="cellIs" dxfId="9220" priority="142883" stopIfTrue="1" operator="equal">
      <formula>-1</formula>
    </cfRule>
  </conditionalFormatting>
  <conditionalFormatting sqref="R83">
    <cfRule type="cellIs" dxfId="9219" priority="142884" stopIfTrue="1" operator="lessThan">
      <formula>0.5</formula>
    </cfRule>
  </conditionalFormatting>
  <conditionalFormatting sqref="R83">
    <cfRule type="cellIs" dxfId="9218" priority="142885" stopIfTrue="1" operator="greaterThanOrEqual">
      <formula>0.5</formula>
    </cfRule>
  </conditionalFormatting>
  <conditionalFormatting sqref="R84">
    <cfRule type="cellIs" dxfId="9217" priority="142886" stopIfTrue="1" operator="equal">
      <formula>-1</formula>
    </cfRule>
  </conditionalFormatting>
  <conditionalFormatting sqref="R84">
    <cfRule type="cellIs" dxfId="9216" priority="142887" stopIfTrue="1" operator="lessThan">
      <formula>0.5</formula>
    </cfRule>
  </conditionalFormatting>
  <conditionalFormatting sqref="R84">
    <cfRule type="cellIs" dxfId="9215" priority="142888" stopIfTrue="1" operator="greaterThanOrEqual">
      <formula>0.5</formula>
    </cfRule>
  </conditionalFormatting>
  <conditionalFormatting sqref="R85">
    <cfRule type="cellIs" dxfId="9214" priority="142889" stopIfTrue="1" operator="equal">
      <formula>-1</formula>
    </cfRule>
  </conditionalFormatting>
  <conditionalFormatting sqref="R85">
    <cfRule type="cellIs" dxfId="9213" priority="142890" stopIfTrue="1" operator="lessThan">
      <formula>0.5</formula>
    </cfRule>
  </conditionalFormatting>
  <conditionalFormatting sqref="R85">
    <cfRule type="cellIs" dxfId="9212" priority="142891" stopIfTrue="1" operator="greaterThanOrEqual">
      <formula>0.5</formula>
    </cfRule>
  </conditionalFormatting>
  <conditionalFormatting sqref="T65">
    <cfRule type="cellIs" dxfId="9211" priority="142892" stopIfTrue="1" operator="equal">
      <formula>-1</formula>
    </cfRule>
  </conditionalFormatting>
  <conditionalFormatting sqref="T65">
    <cfRule type="cellIs" dxfId="9210" priority="142893" stopIfTrue="1" operator="lessThan">
      <formula>0.5</formula>
    </cfRule>
  </conditionalFormatting>
  <conditionalFormatting sqref="T65">
    <cfRule type="cellIs" dxfId="9209" priority="142894" stopIfTrue="1" operator="greaterThanOrEqual">
      <formula>0.5</formula>
    </cfRule>
  </conditionalFormatting>
  <conditionalFormatting sqref="T66">
    <cfRule type="cellIs" dxfId="9208" priority="142895" stopIfTrue="1" operator="equal">
      <formula>-1</formula>
    </cfRule>
  </conditionalFormatting>
  <conditionalFormatting sqref="T66">
    <cfRule type="cellIs" dxfId="9207" priority="142896" stopIfTrue="1" operator="lessThan">
      <formula>0.5</formula>
    </cfRule>
  </conditionalFormatting>
  <conditionalFormatting sqref="T66">
    <cfRule type="cellIs" dxfId="9206" priority="142897" stopIfTrue="1" operator="greaterThanOrEqual">
      <formula>0.5</formula>
    </cfRule>
  </conditionalFormatting>
  <conditionalFormatting sqref="T67">
    <cfRule type="cellIs" dxfId="9205" priority="142898" stopIfTrue="1" operator="equal">
      <formula>-1</formula>
    </cfRule>
  </conditionalFormatting>
  <conditionalFormatting sqref="T67">
    <cfRule type="cellIs" dxfId="9204" priority="142899" stopIfTrue="1" operator="lessThan">
      <formula>0.5</formula>
    </cfRule>
  </conditionalFormatting>
  <conditionalFormatting sqref="T67">
    <cfRule type="cellIs" dxfId="9203" priority="142900" stopIfTrue="1" operator="greaterThanOrEqual">
      <formula>0.5</formula>
    </cfRule>
  </conditionalFormatting>
  <conditionalFormatting sqref="T68">
    <cfRule type="cellIs" dxfId="9202" priority="142901" stopIfTrue="1" operator="equal">
      <formula>-1</formula>
    </cfRule>
  </conditionalFormatting>
  <conditionalFormatting sqref="T68">
    <cfRule type="cellIs" dxfId="9201" priority="142902" stopIfTrue="1" operator="lessThan">
      <formula>0.5</formula>
    </cfRule>
  </conditionalFormatting>
  <conditionalFormatting sqref="T68">
    <cfRule type="cellIs" dxfId="9200" priority="142903" stopIfTrue="1" operator="greaterThanOrEqual">
      <formula>0.5</formula>
    </cfRule>
  </conditionalFormatting>
  <conditionalFormatting sqref="T69">
    <cfRule type="cellIs" dxfId="9199" priority="142904" stopIfTrue="1" operator="equal">
      <formula>-1</formula>
    </cfRule>
  </conditionalFormatting>
  <conditionalFormatting sqref="T69">
    <cfRule type="cellIs" dxfId="9198" priority="142905" stopIfTrue="1" operator="lessThan">
      <formula>0.5</formula>
    </cfRule>
  </conditionalFormatting>
  <conditionalFormatting sqref="T69">
    <cfRule type="cellIs" dxfId="9197" priority="142906" stopIfTrue="1" operator="greaterThanOrEqual">
      <formula>0.5</formula>
    </cfRule>
  </conditionalFormatting>
  <conditionalFormatting sqref="T70">
    <cfRule type="cellIs" dxfId="9196" priority="142907" stopIfTrue="1" operator="equal">
      <formula>-1</formula>
    </cfRule>
  </conditionalFormatting>
  <conditionalFormatting sqref="T70">
    <cfRule type="cellIs" dxfId="9195" priority="142908" stopIfTrue="1" operator="lessThan">
      <formula>0.5</formula>
    </cfRule>
  </conditionalFormatting>
  <conditionalFormatting sqref="T70">
    <cfRule type="cellIs" dxfId="9194" priority="142909" stopIfTrue="1" operator="greaterThanOrEqual">
      <formula>0.5</formula>
    </cfRule>
  </conditionalFormatting>
  <conditionalFormatting sqref="T71">
    <cfRule type="cellIs" dxfId="9193" priority="142910" stopIfTrue="1" operator="equal">
      <formula>-1</formula>
    </cfRule>
  </conditionalFormatting>
  <conditionalFormatting sqref="T71">
    <cfRule type="cellIs" dxfId="9192" priority="142911" stopIfTrue="1" operator="lessThan">
      <formula>0.5</formula>
    </cfRule>
  </conditionalFormatting>
  <conditionalFormatting sqref="T71">
    <cfRule type="cellIs" dxfId="9191" priority="142912" stopIfTrue="1" operator="greaterThanOrEqual">
      <formula>0.5</formula>
    </cfRule>
  </conditionalFormatting>
  <conditionalFormatting sqref="T72">
    <cfRule type="cellIs" dxfId="9190" priority="142913" stopIfTrue="1" operator="equal">
      <formula>-1</formula>
    </cfRule>
  </conditionalFormatting>
  <conditionalFormatting sqref="T72">
    <cfRule type="cellIs" dxfId="9189" priority="142914" stopIfTrue="1" operator="lessThan">
      <formula>0.5</formula>
    </cfRule>
  </conditionalFormatting>
  <conditionalFormatting sqref="T72">
    <cfRule type="cellIs" dxfId="9188" priority="142915" stopIfTrue="1" operator="greaterThanOrEqual">
      <formula>0.5</formula>
    </cfRule>
  </conditionalFormatting>
  <conditionalFormatting sqref="T73">
    <cfRule type="cellIs" dxfId="9187" priority="142916" stopIfTrue="1" operator="equal">
      <formula>-1</formula>
    </cfRule>
  </conditionalFormatting>
  <conditionalFormatting sqref="T73">
    <cfRule type="cellIs" dxfId="9186" priority="142917" stopIfTrue="1" operator="lessThan">
      <formula>0.5</formula>
    </cfRule>
  </conditionalFormatting>
  <conditionalFormatting sqref="T73">
    <cfRule type="cellIs" dxfId="9185" priority="142918" stopIfTrue="1" operator="greaterThanOrEqual">
      <formula>0.5</formula>
    </cfRule>
  </conditionalFormatting>
  <conditionalFormatting sqref="T74">
    <cfRule type="cellIs" dxfId="9184" priority="142919" stopIfTrue="1" operator="equal">
      <formula>-1</formula>
    </cfRule>
  </conditionalFormatting>
  <conditionalFormatting sqref="T74">
    <cfRule type="cellIs" dxfId="9183" priority="142920" stopIfTrue="1" operator="lessThan">
      <formula>0.5</formula>
    </cfRule>
  </conditionalFormatting>
  <conditionalFormatting sqref="T74">
    <cfRule type="cellIs" dxfId="9182" priority="142921" stopIfTrue="1" operator="greaterThanOrEqual">
      <formula>0.5</formula>
    </cfRule>
  </conditionalFormatting>
  <conditionalFormatting sqref="T75">
    <cfRule type="cellIs" dxfId="9181" priority="142922" stopIfTrue="1" operator="equal">
      <formula>-1</formula>
    </cfRule>
  </conditionalFormatting>
  <conditionalFormatting sqref="T75">
    <cfRule type="cellIs" dxfId="9180" priority="142923" stopIfTrue="1" operator="lessThan">
      <formula>0.5</formula>
    </cfRule>
  </conditionalFormatting>
  <conditionalFormatting sqref="T75">
    <cfRule type="cellIs" dxfId="9179" priority="142924" stopIfTrue="1" operator="greaterThanOrEqual">
      <formula>0.5</formula>
    </cfRule>
  </conditionalFormatting>
  <conditionalFormatting sqref="T76">
    <cfRule type="cellIs" dxfId="9178" priority="142925" stopIfTrue="1" operator="equal">
      <formula>-1</formula>
    </cfRule>
  </conditionalFormatting>
  <conditionalFormatting sqref="T76">
    <cfRule type="cellIs" dxfId="9177" priority="142926" stopIfTrue="1" operator="lessThan">
      <formula>0.5</formula>
    </cfRule>
  </conditionalFormatting>
  <conditionalFormatting sqref="T76">
    <cfRule type="cellIs" dxfId="9176" priority="142927" stopIfTrue="1" operator="greaterThanOrEqual">
      <formula>0.5</formula>
    </cfRule>
  </conditionalFormatting>
  <conditionalFormatting sqref="T77">
    <cfRule type="cellIs" dxfId="9175" priority="142928" stopIfTrue="1" operator="equal">
      <formula>-1</formula>
    </cfRule>
  </conditionalFormatting>
  <conditionalFormatting sqref="T77">
    <cfRule type="cellIs" dxfId="9174" priority="142929" stopIfTrue="1" operator="lessThan">
      <formula>0.5</formula>
    </cfRule>
  </conditionalFormatting>
  <conditionalFormatting sqref="T77">
    <cfRule type="cellIs" dxfId="9173" priority="142930" stopIfTrue="1" operator="greaterThanOrEqual">
      <formula>0.5</formula>
    </cfRule>
  </conditionalFormatting>
  <conditionalFormatting sqref="T78">
    <cfRule type="cellIs" dxfId="9172" priority="142931" stopIfTrue="1" operator="equal">
      <formula>-1</formula>
    </cfRule>
  </conditionalFormatting>
  <conditionalFormatting sqref="T78">
    <cfRule type="cellIs" dxfId="9171" priority="142932" stopIfTrue="1" operator="lessThan">
      <formula>0.5</formula>
    </cfRule>
  </conditionalFormatting>
  <conditionalFormatting sqref="T78">
    <cfRule type="cellIs" dxfId="9170" priority="142933" stopIfTrue="1" operator="greaterThanOrEqual">
      <formula>0.5</formula>
    </cfRule>
  </conditionalFormatting>
  <conditionalFormatting sqref="T79">
    <cfRule type="cellIs" dxfId="9169" priority="142934" stopIfTrue="1" operator="equal">
      <formula>-1</formula>
    </cfRule>
  </conditionalFormatting>
  <conditionalFormatting sqref="T79">
    <cfRule type="cellIs" dxfId="9168" priority="142935" stopIfTrue="1" operator="lessThan">
      <formula>0.5</formula>
    </cfRule>
  </conditionalFormatting>
  <conditionalFormatting sqref="T79">
    <cfRule type="cellIs" dxfId="9167" priority="142936" stopIfTrue="1" operator="greaterThanOrEqual">
      <formula>0.5</formula>
    </cfRule>
  </conditionalFormatting>
  <conditionalFormatting sqref="T80">
    <cfRule type="cellIs" dxfId="9166" priority="142937" stopIfTrue="1" operator="equal">
      <formula>-1</formula>
    </cfRule>
  </conditionalFormatting>
  <conditionalFormatting sqref="T80">
    <cfRule type="cellIs" dxfId="9165" priority="142938" stopIfTrue="1" operator="lessThan">
      <formula>0.5</formula>
    </cfRule>
  </conditionalFormatting>
  <conditionalFormatting sqref="T80">
    <cfRule type="cellIs" dxfId="9164" priority="142939" stopIfTrue="1" operator="greaterThanOrEqual">
      <formula>0.5</formula>
    </cfRule>
  </conditionalFormatting>
  <conditionalFormatting sqref="T81">
    <cfRule type="cellIs" dxfId="9163" priority="142940" stopIfTrue="1" operator="equal">
      <formula>-1</formula>
    </cfRule>
  </conditionalFormatting>
  <conditionalFormatting sqref="T81">
    <cfRule type="cellIs" dxfId="9162" priority="142941" stopIfTrue="1" operator="lessThan">
      <formula>0.5</formula>
    </cfRule>
  </conditionalFormatting>
  <conditionalFormatting sqref="T81">
    <cfRule type="cellIs" dxfId="9161" priority="142942" stopIfTrue="1" operator="greaterThanOrEqual">
      <formula>0.5</formula>
    </cfRule>
  </conditionalFormatting>
  <conditionalFormatting sqref="T82">
    <cfRule type="cellIs" dxfId="9160" priority="142943" stopIfTrue="1" operator="equal">
      <formula>-1</formula>
    </cfRule>
  </conditionalFormatting>
  <conditionalFormatting sqref="T82">
    <cfRule type="cellIs" dxfId="9159" priority="142944" stopIfTrue="1" operator="lessThan">
      <formula>0.5</formula>
    </cfRule>
  </conditionalFormatting>
  <conditionalFormatting sqref="T82">
    <cfRule type="cellIs" dxfId="9158" priority="142945" stopIfTrue="1" operator="greaterThanOrEqual">
      <formula>0.5</formula>
    </cfRule>
  </conditionalFormatting>
  <conditionalFormatting sqref="T83">
    <cfRule type="cellIs" dxfId="9157" priority="142946" stopIfTrue="1" operator="equal">
      <formula>-1</formula>
    </cfRule>
  </conditionalFormatting>
  <conditionalFormatting sqref="T83">
    <cfRule type="cellIs" dxfId="9156" priority="142947" stopIfTrue="1" operator="lessThan">
      <formula>0.5</formula>
    </cfRule>
  </conditionalFormatting>
  <conditionalFormatting sqref="T83">
    <cfRule type="cellIs" dxfId="9155" priority="142948" stopIfTrue="1" operator="greaterThanOrEqual">
      <formula>0.5</formula>
    </cfRule>
  </conditionalFormatting>
  <conditionalFormatting sqref="T84">
    <cfRule type="cellIs" dxfId="9154" priority="142949" stopIfTrue="1" operator="equal">
      <formula>-1</formula>
    </cfRule>
  </conditionalFormatting>
  <conditionalFormatting sqref="T84">
    <cfRule type="cellIs" dxfId="9153" priority="142950" stopIfTrue="1" operator="lessThan">
      <formula>0.5</formula>
    </cfRule>
  </conditionalFormatting>
  <conditionalFormatting sqref="T84">
    <cfRule type="cellIs" dxfId="9152" priority="142951" stopIfTrue="1" operator="greaterThanOrEqual">
      <formula>0.5</formula>
    </cfRule>
  </conditionalFormatting>
  <conditionalFormatting sqref="T85">
    <cfRule type="cellIs" dxfId="9151" priority="142952" stopIfTrue="1" operator="equal">
      <formula>-1</formula>
    </cfRule>
  </conditionalFormatting>
  <conditionalFormatting sqref="T85">
    <cfRule type="cellIs" dxfId="9150" priority="142953" stopIfTrue="1" operator="lessThan">
      <formula>0.5</formula>
    </cfRule>
  </conditionalFormatting>
  <conditionalFormatting sqref="T85">
    <cfRule type="cellIs" dxfId="9149" priority="142954" stopIfTrue="1" operator="greaterThanOrEqual">
      <formula>0.5</formula>
    </cfRule>
  </conditionalFormatting>
  <conditionalFormatting sqref="V65">
    <cfRule type="cellIs" dxfId="9148" priority="142955" stopIfTrue="1" operator="equal">
      <formula>-1</formula>
    </cfRule>
  </conditionalFormatting>
  <conditionalFormatting sqref="V65">
    <cfRule type="cellIs" dxfId="9147" priority="142956" stopIfTrue="1" operator="lessThan">
      <formula>0.5</formula>
    </cfRule>
  </conditionalFormatting>
  <conditionalFormatting sqref="V65">
    <cfRule type="cellIs" dxfId="9146" priority="142957" stopIfTrue="1" operator="greaterThanOrEqual">
      <formula>0.5</formula>
    </cfRule>
  </conditionalFormatting>
  <conditionalFormatting sqref="V66">
    <cfRule type="cellIs" dxfId="9145" priority="142958" stopIfTrue="1" operator="equal">
      <formula>-1</formula>
    </cfRule>
  </conditionalFormatting>
  <conditionalFormatting sqref="V66">
    <cfRule type="cellIs" dxfId="9144" priority="142959" stopIfTrue="1" operator="lessThan">
      <formula>0.5</formula>
    </cfRule>
  </conditionalFormatting>
  <conditionalFormatting sqref="V66">
    <cfRule type="cellIs" dxfId="9143" priority="142960" stopIfTrue="1" operator="greaterThanOrEqual">
      <formula>0.5</formula>
    </cfRule>
  </conditionalFormatting>
  <conditionalFormatting sqref="V67">
    <cfRule type="cellIs" dxfId="9142" priority="142961" stopIfTrue="1" operator="equal">
      <formula>-1</formula>
    </cfRule>
  </conditionalFormatting>
  <conditionalFormatting sqref="V67">
    <cfRule type="cellIs" dxfId="9141" priority="142962" stopIfTrue="1" operator="lessThan">
      <formula>0.5</formula>
    </cfRule>
  </conditionalFormatting>
  <conditionalFormatting sqref="V67">
    <cfRule type="cellIs" dxfId="9140" priority="142963" stopIfTrue="1" operator="greaterThanOrEqual">
      <formula>0.5</formula>
    </cfRule>
  </conditionalFormatting>
  <conditionalFormatting sqref="V68">
    <cfRule type="cellIs" dxfId="9139" priority="142964" stopIfTrue="1" operator="equal">
      <formula>-1</formula>
    </cfRule>
  </conditionalFormatting>
  <conditionalFormatting sqref="V68">
    <cfRule type="cellIs" dxfId="9138" priority="142965" stopIfTrue="1" operator="lessThan">
      <formula>0.5</formula>
    </cfRule>
  </conditionalFormatting>
  <conditionalFormatting sqref="V68">
    <cfRule type="cellIs" dxfId="9137" priority="142966" stopIfTrue="1" operator="greaterThanOrEqual">
      <formula>0.5</formula>
    </cfRule>
  </conditionalFormatting>
  <conditionalFormatting sqref="V69">
    <cfRule type="cellIs" dxfId="9136" priority="142967" stopIfTrue="1" operator="equal">
      <formula>-1</formula>
    </cfRule>
  </conditionalFormatting>
  <conditionalFormatting sqref="V69">
    <cfRule type="cellIs" dxfId="9135" priority="142968" stopIfTrue="1" operator="lessThan">
      <formula>0.5</formula>
    </cfRule>
  </conditionalFormatting>
  <conditionalFormatting sqref="V69">
    <cfRule type="cellIs" dxfId="9134" priority="142969" stopIfTrue="1" operator="greaterThanOrEqual">
      <formula>0.5</formula>
    </cfRule>
  </conditionalFormatting>
  <conditionalFormatting sqref="V70">
    <cfRule type="cellIs" dxfId="9133" priority="142970" stopIfTrue="1" operator="equal">
      <formula>-1</formula>
    </cfRule>
  </conditionalFormatting>
  <conditionalFormatting sqref="V70">
    <cfRule type="cellIs" dxfId="9132" priority="142971" stopIfTrue="1" operator="lessThan">
      <formula>0.5</formula>
    </cfRule>
  </conditionalFormatting>
  <conditionalFormatting sqref="V70">
    <cfRule type="cellIs" dxfId="9131" priority="142972" stopIfTrue="1" operator="greaterThanOrEqual">
      <formula>0.5</formula>
    </cfRule>
  </conditionalFormatting>
  <conditionalFormatting sqref="V71">
    <cfRule type="cellIs" dxfId="9130" priority="142973" stopIfTrue="1" operator="equal">
      <formula>-1</formula>
    </cfRule>
  </conditionalFormatting>
  <conditionalFormatting sqref="V71">
    <cfRule type="cellIs" dxfId="9129" priority="142974" stopIfTrue="1" operator="lessThan">
      <formula>0.5</formula>
    </cfRule>
  </conditionalFormatting>
  <conditionalFormatting sqref="V71">
    <cfRule type="cellIs" dxfId="9128" priority="142975" stopIfTrue="1" operator="greaterThanOrEqual">
      <formula>0.5</formula>
    </cfRule>
  </conditionalFormatting>
  <conditionalFormatting sqref="V72">
    <cfRule type="cellIs" dxfId="9127" priority="142976" stopIfTrue="1" operator="equal">
      <formula>-1</formula>
    </cfRule>
  </conditionalFormatting>
  <conditionalFormatting sqref="V72">
    <cfRule type="cellIs" dxfId="9126" priority="142977" stopIfTrue="1" operator="lessThan">
      <formula>0.5</formula>
    </cfRule>
  </conditionalFormatting>
  <conditionalFormatting sqref="V72">
    <cfRule type="cellIs" dxfId="9125" priority="142978" stopIfTrue="1" operator="greaterThanOrEqual">
      <formula>0.5</formula>
    </cfRule>
  </conditionalFormatting>
  <conditionalFormatting sqref="V73">
    <cfRule type="cellIs" dxfId="9124" priority="142979" stopIfTrue="1" operator="equal">
      <formula>-1</formula>
    </cfRule>
  </conditionalFormatting>
  <conditionalFormatting sqref="V73">
    <cfRule type="cellIs" dxfId="9123" priority="142980" stopIfTrue="1" operator="lessThan">
      <formula>0.5</formula>
    </cfRule>
  </conditionalFormatting>
  <conditionalFormatting sqref="V73">
    <cfRule type="cellIs" dxfId="9122" priority="142981" stopIfTrue="1" operator="greaterThanOrEqual">
      <formula>0.5</formula>
    </cfRule>
  </conditionalFormatting>
  <conditionalFormatting sqref="V74">
    <cfRule type="cellIs" dxfId="9121" priority="142982" stopIfTrue="1" operator="equal">
      <formula>-1</formula>
    </cfRule>
  </conditionalFormatting>
  <conditionalFormatting sqref="V74">
    <cfRule type="cellIs" dxfId="9120" priority="142983" stopIfTrue="1" operator="lessThan">
      <formula>0.5</formula>
    </cfRule>
  </conditionalFormatting>
  <conditionalFormatting sqref="V74">
    <cfRule type="cellIs" dxfId="9119" priority="142984" stopIfTrue="1" operator="greaterThanOrEqual">
      <formula>0.5</formula>
    </cfRule>
  </conditionalFormatting>
  <conditionalFormatting sqref="V75">
    <cfRule type="cellIs" dxfId="9118" priority="142985" stopIfTrue="1" operator="equal">
      <formula>-1</formula>
    </cfRule>
  </conditionalFormatting>
  <conditionalFormatting sqref="V75">
    <cfRule type="cellIs" dxfId="9117" priority="142986" stopIfTrue="1" operator="lessThan">
      <formula>0.5</formula>
    </cfRule>
  </conditionalFormatting>
  <conditionalFormatting sqref="V75">
    <cfRule type="cellIs" dxfId="9116" priority="142987" stopIfTrue="1" operator="greaterThanOrEqual">
      <formula>0.5</formula>
    </cfRule>
  </conditionalFormatting>
  <conditionalFormatting sqref="V76">
    <cfRule type="cellIs" dxfId="9115" priority="142988" stopIfTrue="1" operator="equal">
      <formula>-1</formula>
    </cfRule>
  </conditionalFormatting>
  <conditionalFormatting sqref="V76">
    <cfRule type="cellIs" dxfId="9114" priority="142989" stopIfTrue="1" operator="lessThan">
      <formula>0.5</formula>
    </cfRule>
  </conditionalFormatting>
  <conditionalFormatting sqref="V76">
    <cfRule type="cellIs" dxfId="9113" priority="142990" stopIfTrue="1" operator="greaterThanOrEqual">
      <formula>0.5</formula>
    </cfRule>
  </conditionalFormatting>
  <conditionalFormatting sqref="V77">
    <cfRule type="cellIs" dxfId="9112" priority="142991" stopIfTrue="1" operator="equal">
      <formula>-1</formula>
    </cfRule>
  </conditionalFormatting>
  <conditionalFormatting sqref="V77">
    <cfRule type="cellIs" dxfId="9111" priority="142992" stopIfTrue="1" operator="lessThan">
      <formula>0.5</formula>
    </cfRule>
  </conditionalFormatting>
  <conditionalFormatting sqref="V77">
    <cfRule type="cellIs" dxfId="9110" priority="142993" stopIfTrue="1" operator="greaterThanOrEqual">
      <formula>0.5</formula>
    </cfRule>
  </conditionalFormatting>
  <conditionalFormatting sqref="V78">
    <cfRule type="cellIs" dxfId="9109" priority="142994" stopIfTrue="1" operator="equal">
      <formula>-1</formula>
    </cfRule>
  </conditionalFormatting>
  <conditionalFormatting sqref="V78">
    <cfRule type="cellIs" dxfId="9108" priority="142995" stopIfTrue="1" operator="lessThan">
      <formula>0.5</formula>
    </cfRule>
  </conditionalFormatting>
  <conditionalFormatting sqref="V78">
    <cfRule type="cellIs" dxfId="9107" priority="142996" stopIfTrue="1" operator="greaterThanOrEqual">
      <formula>0.5</formula>
    </cfRule>
  </conditionalFormatting>
  <conditionalFormatting sqref="V79">
    <cfRule type="cellIs" dxfId="9106" priority="142997" stopIfTrue="1" operator="equal">
      <formula>-1</formula>
    </cfRule>
  </conditionalFormatting>
  <conditionalFormatting sqref="V79">
    <cfRule type="cellIs" dxfId="9105" priority="142998" stopIfTrue="1" operator="lessThan">
      <formula>0.5</formula>
    </cfRule>
  </conditionalFormatting>
  <conditionalFormatting sqref="V79">
    <cfRule type="cellIs" dxfId="9104" priority="142999" stopIfTrue="1" operator="greaterThanOrEqual">
      <formula>0.5</formula>
    </cfRule>
  </conditionalFormatting>
  <conditionalFormatting sqref="V80">
    <cfRule type="cellIs" dxfId="9103" priority="143000" stopIfTrue="1" operator="equal">
      <formula>-1</formula>
    </cfRule>
  </conditionalFormatting>
  <conditionalFormatting sqref="V80">
    <cfRule type="cellIs" dxfId="9102" priority="143001" stopIfTrue="1" operator="lessThan">
      <formula>0.5</formula>
    </cfRule>
  </conditionalFormatting>
  <conditionalFormatting sqref="V80">
    <cfRule type="cellIs" dxfId="9101" priority="143002" stopIfTrue="1" operator="greaterThanOrEqual">
      <formula>0.5</formula>
    </cfRule>
  </conditionalFormatting>
  <conditionalFormatting sqref="V81">
    <cfRule type="cellIs" dxfId="9100" priority="143003" stopIfTrue="1" operator="equal">
      <formula>-1</formula>
    </cfRule>
  </conditionalFormatting>
  <conditionalFormatting sqref="V81">
    <cfRule type="cellIs" dxfId="9099" priority="143004" stopIfTrue="1" operator="lessThan">
      <formula>0.5</formula>
    </cfRule>
  </conditionalFormatting>
  <conditionalFormatting sqref="V81">
    <cfRule type="cellIs" dxfId="9098" priority="143005" stopIfTrue="1" operator="greaterThanOrEqual">
      <formula>0.5</formula>
    </cfRule>
  </conditionalFormatting>
  <conditionalFormatting sqref="V82">
    <cfRule type="cellIs" dxfId="9097" priority="143006" stopIfTrue="1" operator="equal">
      <formula>-1</formula>
    </cfRule>
  </conditionalFormatting>
  <conditionalFormatting sqref="V82">
    <cfRule type="cellIs" dxfId="9096" priority="143007" stopIfTrue="1" operator="lessThan">
      <formula>0.5</formula>
    </cfRule>
  </conditionalFormatting>
  <conditionalFormatting sqref="V82">
    <cfRule type="cellIs" dxfId="9095" priority="143008" stopIfTrue="1" operator="greaterThanOrEqual">
      <formula>0.5</formula>
    </cfRule>
  </conditionalFormatting>
  <conditionalFormatting sqref="V83">
    <cfRule type="cellIs" dxfId="9094" priority="143009" stopIfTrue="1" operator="equal">
      <formula>-1</formula>
    </cfRule>
  </conditionalFormatting>
  <conditionalFormatting sqref="V83">
    <cfRule type="cellIs" dxfId="9093" priority="143010" stopIfTrue="1" operator="lessThan">
      <formula>0.5</formula>
    </cfRule>
  </conditionalFormatting>
  <conditionalFormatting sqref="V83">
    <cfRule type="cellIs" dxfId="9092" priority="143011" stopIfTrue="1" operator="greaterThanOrEqual">
      <formula>0.5</formula>
    </cfRule>
  </conditionalFormatting>
  <conditionalFormatting sqref="V84">
    <cfRule type="cellIs" dxfId="9091" priority="143012" stopIfTrue="1" operator="equal">
      <formula>-1</formula>
    </cfRule>
  </conditionalFormatting>
  <conditionalFormatting sqref="V84">
    <cfRule type="cellIs" dxfId="9090" priority="143013" stopIfTrue="1" operator="lessThan">
      <formula>0.5</formula>
    </cfRule>
  </conditionalFormatting>
  <conditionalFormatting sqref="V84">
    <cfRule type="cellIs" dxfId="9089" priority="143014" stopIfTrue="1" operator="greaterThanOrEqual">
      <formula>0.5</formula>
    </cfRule>
  </conditionalFormatting>
  <conditionalFormatting sqref="V85">
    <cfRule type="cellIs" dxfId="9088" priority="143015" stopIfTrue="1" operator="equal">
      <formula>-1</formula>
    </cfRule>
  </conditionalFormatting>
  <conditionalFormatting sqref="V85">
    <cfRule type="cellIs" dxfId="9087" priority="143016" stopIfTrue="1" operator="lessThan">
      <formula>0.5</formula>
    </cfRule>
  </conditionalFormatting>
  <conditionalFormatting sqref="V85">
    <cfRule type="cellIs" dxfId="9086" priority="143017" stopIfTrue="1" operator="greaterThanOrEqual">
      <formula>0.5</formula>
    </cfRule>
  </conditionalFormatting>
  <conditionalFormatting sqref="X65">
    <cfRule type="cellIs" dxfId="9085" priority="143018" stopIfTrue="1" operator="equal">
      <formula>-1</formula>
    </cfRule>
  </conditionalFormatting>
  <conditionalFormatting sqref="X65">
    <cfRule type="cellIs" dxfId="9084" priority="143019" stopIfTrue="1" operator="lessThan">
      <formula>0.5</formula>
    </cfRule>
  </conditionalFormatting>
  <conditionalFormatting sqref="X65">
    <cfRule type="cellIs" dxfId="9083" priority="143020" stopIfTrue="1" operator="greaterThanOrEqual">
      <formula>0.5</formula>
    </cfRule>
  </conditionalFormatting>
  <conditionalFormatting sqref="X66">
    <cfRule type="cellIs" dxfId="9082" priority="143021" stopIfTrue="1" operator="equal">
      <formula>-1</formula>
    </cfRule>
  </conditionalFormatting>
  <conditionalFormatting sqref="X66">
    <cfRule type="cellIs" dxfId="9081" priority="143022" stopIfTrue="1" operator="lessThan">
      <formula>0.5</formula>
    </cfRule>
  </conditionalFormatting>
  <conditionalFormatting sqref="X66">
    <cfRule type="cellIs" dxfId="9080" priority="143023" stopIfTrue="1" operator="greaterThanOrEqual">
      <formula>0.5</formula>
    </cfRule>
  </conditionalFormatting>
  <conditionalFormatting sqref="X67">
    <cfRule type="cellIs" dxfId="9079" priority="143024" stopIfTrue="1" operator="equal">
      <formula>-1</formula>
    </cfRule>
  </conditionalFormatting>
  <conditionalFormatting sqref="X67">
    <cfRule type="cellIs" dxfId="9078" priority="143025" stopIfTrue="1" operator="lessThan">
      <formula>0.5</formula>
    </cfRule>
  </conditionalFormatting>
  <conditionalFormatting sqref="X67">
    <cfRule type="cellIs" dxfId="9077" priority="143026" stopIfTrue="1" operator="greaterThanOrEqual">
      <formula>0.5</formula>
    </cfRule>
  </conditionalFormatting>
  <conditionalFormatting sqref="X68">
    <cfRule type="cellIs" dxfId="9076" priority="143027" stopIfTrue="1" operator="equal">
      <formula>-1</formula>
    </cfRule>
  </conditionalFormatting>
  <conditionalFormatting sqref="X68">
    <cfRule type="cellIs" dxfId="9075" priority="143028" stopIfTrue="1" operator="lessThan">
      <formula>0.5</formula>
    </cfRule>
  </conditionalFormatting>
  <conditionalFormatting sqref="X68">
    <cfRule type="cellIs" dxfId="9074" priority="143029" stopIfTrue="1" operator="greaterThanOrEqual">
      <formula>0.5</formula>
    </cfRule>
  </conditionalFormatting>
  <conditionalFormatting sqref="X69">
    <cfRule type="cellIs" dxfId="9073" priority="143030" stopIfTrue="1" operator="equal">
      <formula>-1</formula>
    </cfRule>
  </conditionalFormatting>
  <conditionalFormatting sqref="X69">
    <cfRule type="cellIs" dxfId="9072" priority="143031" stopIfTrue="1" operator="lessThan">
      <formula>0.5</formula>
    </cfRule>
  </conditionalFormatting>
  <conditionalFormatting sqref="X69">
    <cfRule type="cellIs" dxfId="9071" priority="143032" stopIfTrue="1" operator="greaterThanOrEqual">
      <formula>0.5</formula>
    </cfRule>
  </conditionalFormatting>
  <conditionalFormatting sqref="X70">
    <cfRule type="cellIs" dxfId="9070" priority="143033" stopIfTrue="1" operator="equal">
      <formula>-1</formula>
    </cfRule>
  </conditionalFormatting>
  <conditionalFormatting sqref="X70">
    <cfRule type="cellIs" dxfId="9069" priority="143034" stopIfTrue="1" operator="lessThan">
      <formula>0.5</formula>
    </cfRule>
  </conditionalFormatting>
  <conditionalFormatting sqref="X70">
    <cfRule type="cellIs" dxfId="9068" priority="143035" stopIfTrue="1" operator="greaterThanOrEqual">
      <formula>0.5</formula>
    </cfRule>
  </conditionalFormatting>
  <conditionalFormatting sqref="X71">
    <cfRule type="cellIs" dxfId="9067" priority="143036" stopIfTrue="1" operator="equal">
      <formula>-1</formula>
    </cfRule>
  </conditionalFormatting>
  <conditionalFormatting sqref="X71">
    <cfRule type="cellIs" dxfId="9066" priority="143037" stopIfTrue="1" operator="lessThan">
      <formula>0.5</formula>
    </cfRule>
  </conditionalFormatting>
  <conditionalFormatting sqref="X71">
    <cfRule type="cellIs" dxfId="9065" priority="143038" stopIfTrue="1" operator="greaterThanOrEqual">
      <formula>0.5</formula>
    </cfRule>
  </conditionalFormatting>
  <conditionalFormatting sqref="X72">
    <cfRule type="cellIs" dxfId="9064" priority="143039" stopIfTrue="1" operator="equal">
      <formula>-1</formula>
    </cfRule>
  </conditionalFormatting>
  <conditionalFormatting sqref="X72">
    <cfRule type="cellIs" dxfId="9063" priority="143040" stopIfTrue="1" operator="lessThan">
      <formula>0.5</formula>
    </cfRule>
  </conditionalFormatting>
  <conditionalFormatting sqref="X72">
    <cfRule type="cellIs" dxfId="9062" priority="143041" stopIfTrue="1" operator="greaterThanOrEqual">
      <formula>0.5</formula>
    </cfRule>
  </conditionalFormatting>
  <conditionalFormatting sqref="X73">
    <cfRule type="cellIs" dxfId="9061" priority="143042" stopIfTrue="1" operator="equal">
      <formula>-1</formula>
    </cfRule>
  </conditionalFormatting>
  <conditionalFormatting sqref="X73">
    <cfRule type="cellIs" dxfId="9060" priority="143043" stopIfTrue="1" operator="lessThan">
      <formula>0.5</formula>
    </cfRule>
  </conditionalFormatting>
  <conditionalFormatting sqref="X73">
    <cfRule type="cellIs" dxfId="9059" priority="143044" stopIfTrue="1" operator="greaterThanOrEqual">
      <formula>0.5</formula>
    </cfRule>
  </conditionalFormatting>
  <conditionalFormatting sqref="X74">
    <cfRule type="cellIs" dxfId="9058" priority="143045" stopIfTrue="1" operator="equal">
      <formula>-1</formula>
    </cfRule>
  </conditionalFormatting>
  <conditionalFormatting sqref="X74">
    <cfRule type="cellIs" dxfId="9057" priority="143046" stopIfTrue="1" operator="lessThan">
      <formula>0.5</formula>
    </cfRule>
  </conditionalFormatting>
  <conditionalFormatting sqref="X74">
    <cfRule type="cellIs" dxfId="9056" priority="143047" stopIfTrue="1" operator="greaterThanOrEqual">
      <formula>0.5</formula>
    </cfRule>
  </conditionalFormatting>
  <conditionalFormatting sqref="X75">
    <cfRule type="cellIs" dxfId="9055" priority="143048" stopIfTrue="1" operator="equal">
      <formula>-1</formula>
    </cfRule>
  </conditionalFormatting>
  <conditionalFormatting sqref="X75">
    <cfRule type="cellIs" dxfId="9054" priority="143049" stopIfTrue="1" operator="lessThan">
      <formula>0.5</formula>
    </cfRule>
  </conditionalFormatting>
  <conditionalFormatting sqref="X75">
    <cfRule type="cellIs" dxfId="9053" priority="143050" stopIfTrue="1" operator="greaterThanOrEqual">
      <formula>0.5</formula>
    </cfRule>
  </conditionalFormatting>
  <conditionalFormatting sqref="X76">
    <cfRule type="cellIs" dxfId="9052" priority="143051" stopIfTrue="1" operator="equal">
      <formula>-1</formula>
    </cfRule>
  </conditionalFormatting>
  <conditionalFormatting sqref="X76">
    <cfRule type="cellIs" dxfId="9051" priority="143052" stopIfTrue="1" operator="lessThan">
      <formula>0.5</formula>
    </cfRule>
  </conditionalFormatting>
  <conditionalFormatting sqref="X76">
    <cfRule type="cellIs" dxfId="9050" priority="143053" stopIfTrue="1" operator="greaterThanOrEqual">
      <formula>0.5</formula>
    </cfRule>
  </conditionalFormatting>
  <conditionalFormatting sqref="X77">
    <cfRule type="cellIs" dxfId="9049" priority="143054" stopIfTrue="1" operator="equal">
      <formula>-1</formula>
    </cfRule>
  </conditionalFormatting>
  <conditionalFormatting sqref="X77">
    <cfRule type="cellIs" dxfId="9048" priority="143055" stopIfTrue="1" operator="lessThan">
      <formula>0.5</formula>
    </cfRule>
  </conditionalFormatting>
  <conditionalFormatting sqref="X77">
    <cfRule type="cellIs" dxfId="9047" priority="143056" stopIfTrue="1" operator="greaterThanOrEqual">
      <formula>0.5</formula>
    </cfRule>
  </conditionalFormatting>
  <conditionalFormatting sqref="X78">
    <cfRule type="cellIs" dxfId="9046" priority="143057" stopIfTrue="1" operator="equal">
      <formula>-1</formula>
    </cfRule>
  </conditionalFormatting>
  <conditionalFormatting sqref="X78">
    <cfRule type="cellIs" dxfId="9045" priority="143058" stopIfTrue="1" operator="lessThan">
      <formula>0.5</formula>
    </cfRule>
  </conditionalFormatting>
  <conditionalFormatting sqref="X78">
    <cfRule type="cellIs" dxfId="9044" priority="143059" stopIfTrue="1" operator="greaterThanOrEqual">
      <formula>0.5</formula>
    </cfRule>
  </conditionalFormatting>
  <conditionalFormatting sqref="X79">
    <cfRule type="cellIs" dxfId="9043" priority="143060" stopIfTrue="1" operator="equal">
      <formula>-1</formula>
    </cfRule>
  </conditionalFormatting>
  <conditionalFormatting sqref="X79">
    <cfRule type="cellIs" dxfId="9042" priority="143061" stopIfTrue="1" operator="lessThan">
      <formula>0.5</formula>
    </cfRule>
  </conditionalFormatting>
  <conditionalFormatting sqref="X79">
    <cfRule type="cellIs" dxfId="9041" priority="143062" stopIfTrue="1" operator="greaterThanOrEqual">
      <formula>0.5</formula>
    </cfRule>
  </conditionalFormatting>
  <conditionalFormatting sqref="X80">
    <cfRule type="cellIs" dxfId="9040" priority="143063" stopIfTrue="1" operator="equal">
      <formula>-1</formula>
    </cfRule>
  </conditionalFormatting>
  <conditionalFormatting sqref="X80">
    <cfRule type="cellIs" dxfId="9039" priority="143064" stopIfTrue="1" operator="lessThan">
      <formula>0.5</formula>
    </cfRule>
  </conditionalFormatting>
  <conditionalFormatting sqref="X80">
    <cfRule type="cellIs" dxfId="9038" priority="143065" stopIfTrue="1" operator="greaterThanOrEqual">
      <formula>0.5</formula>
    </cfRule>
  </conditionalFormatting>
  <conditionalFormatting sqref="X81">
    <cfRule type="cellIs" dxfId="9037" priority="143066" stopIfTrue="1" operator="equal">
      <formula>-1</formula>
    </cfRule>
  </conditionalFormatting>
  <conditionalFormatting sqref="X81">
    <cfRule type="cellIs" dxfId="9036" priority="143067" stopIfTrue="1" operator="lessThan">
      <formula>0.5</formula>
    </cfRule>
  </conditionalFormatting>
  <conditionalFormatting sqref="X81">
    <cfRule type="cellIs" dxfId="9035" priority="143068" stopIfTrue="1" operator="greaterThanOrEqual">
      <formula>0.5</formula>
    </cfRule>
  </conditionalFormatting>
  <conditionalFormatting sqref="X82">
    <cfRule type="cellIs" dxfId="9034" priority="143069" stopIfTrue="1" operator="equal">
      <formula>-1</formula>
    </cfRule>
  </conditionalFormatting>
  <conditionalFormatting sqref="X82">
    <cfRule type="cellIs" dxfId="9033" priority="143070" stopIfTrue="1" operator="lessThan">
      <formula>0.5</formula>
    </cfRule>
  </conditionalFormatting>
  <conditionalFormatting sqref="X82">
    <cfRule type="cellIs" dxfId="9032" priority="143071" stopIfTrue="1" operator="greaterThanOrEqual">
      <formula>0.5</formula>
    </cfRule>
  </conditionalFormatting>
  <conditionalFormatting sqref="X83">
    <cfRule type="cellIs" dxfId="9031" priority="143072" stopIfTrue="1" operator="equal">
      <formula>-1</formula>
    </cfRule>
  </conditionalFormatting>
  <conditionalFormatting sqref="X83">
    <cfRule type="cellIs" dxfId="9030" priority="143073" stopIfTrue="1" operator="lessThan">
      <formula>0.5</formula>
    </cfRule>
  </conditionalFormatting>
  <conditionalFormatting sqref="X83">
    <cfRule type="cellIs" dxfId="9029" priority="143074" stopIfTrue="1" operator="greaterThanOrEqual">
      <formula>0.5</formula>
    </cfRule>
  </conditionalFormatting>
  <conditionalFormatting sqref="X84">
    <cfRule type="cellIs" dxfId="9028" priority="143075" stopIfTrue="1" operator="equal">
      <formula>-1</formula>
    </cfRule>
  </conditionalFormatting>
  <conditionalFormatting sqref="X84">
    <cfRule type="cellIs" dxfId="9027" priority="143076" stopIfTrue="1" operator="lessThan">
      <formula>0.5</formula>
    </cfRule>
  </conditionalFormatting>
  <conditionalFormatting sqref="X84">
    <cfRule type="cellIs" dxfId="9026" priority="143077" stopIfTrue="1" operator="greaterThanOrEqual">
      <formula>0.5</formula>
    </cfRule>
  </conditionalFormatting>
  <conditionalFormatting sqref="X85">
    <cfRule type="cellIs" dxfId="9025" priority="143078" stopIfTrue="1" operator="equal">
      <formula>-1</formula>
    </cfRule>
  </conditionalFormatting>
  <conditionalFormatting sqref="X85">
    <cfRule type="cellIs" dxfId="9024" priority="143079" stopIfTrue="1" operator="lessThan">
      <formula>0.5</formula>
    </cfRule>
  </conditionalFormatting>
  <conditionalFormatting sqref="X85">
    <cfRule type="cellIs" dxfId="9023" priority="143080" stopIfTrue="1" operator="greaterThanOrEqual">
      <formula>0.5</formula>
    </cfRule>
  </conditionalFormatting>
  <conditionalFormatting sqref="Z65">
    <cfRule type="cellIs" dxfId="9022" priority="143081" stopIfTrue="1" operator="equal">
      <formula>-1</formula>
    </cfRule>
  </conditionalFormatting>
  <conditionalFormatting sqref="Z65">
    <cfRule type="cellIs" dxfId="9021" priority="143082" stopIfTrue="1" operator="lessThan">
      <formula>0.5</formula>
    </cfRule>
  </conditionalFormatting>
  <conditionalFormatting sqref="Z65">
    <cfRule type="cellIs" dxfId="9020" priority="143083" stopIfTrue="1" operator="greaterThanOrEqual">
      <formula>0.5</formula>
    </cfRule>
  </conditionalFormatting>
  <conditionalFormatting sqref="Z66">
    <cfRule type="cellIs" dxfId="9019" priority="143084" stopIfTrue="1" operator="equal">
      <formula>-1</formula>
    </cfRule>
  </conditionalFormatting>
  <conditionalFormatting sqref="Z66">
    <cfRule type="cellIs" dxfId="9018" priority="143085" stopIfTrue="1" operator="lessThan">
      <formula>0.5</formula>
    </cfRule>
  </conditionalFormatting>
  <conditionalFormatting sqref="Z66">
    <cfRule type="cellIs" dxfId="9017" priority="143086" stopIfTrue="1" operator="greaterThanOrEqual">
      <formula>0.5</formula>
    </cfRule>
  </conditionalFormatting>
  <conditionalFormatting sqref="Z67">
    <cfRule type="cellIs" dxfId="9016" priority="143087" stopIfTrue="1" operator="equal">
      <formula>-1</formula>
    </cfRule>
  </conditionalFormatting>
  <conditionalFormatting sqref="Z67">
    <cfRule type="cellIs" dxfId="9015" priority="143088" stopIfTrue="1" operator="lessThan">
      <formula>0.5</formula>
    </cfRule>
  </conditionalFormatting>
  <conditionalFormatting sqref="Z67">
    <cfRule type="cellIs" dxfId="9014" priority="143089" stopIfTrue="1" operator="greaterThanOrEqual">
      <formula>0.5</formula>
    </cfRule>
  </conditionalFormatting>
  <conditionalFormatting sqref="Z68">
    <cfRule type="cellIs" dxfId="9013" priority="143090" stopIfTrue="1" operator="equal">
      <formula>-1</formula>
    </cfRule>
  </conditionalFormatting>
  <conditionalFormatting sqref="Z68">
    <cfRule type="cellIs" dxfId="9012" priority="143091" stopIfTrue="1" operator="lessThan">
      <formula>0.5</formula>
    </cfRule>
  </conditionalFormatting>
  <conditionalFormatting sqref="Z68">
    <cfRule type="cellIs" dxfId="9011" priority="143092" stopIfTrue="1" operator="greaterThanOrEqual">
      <formula>0.5</formula>
    </cfRule>
  </conditionalFormatting>
  <conditionalFormatting sqref="Z69">
    <cfRule type="cellIs" dxfId="9010" priority="143093" stopIfTrue="1" operator="equal">
      <formula>-1</formula>
    </cfRule>
  </conditionalFormatting>
  <conditionalFormatting sqref="Z69">
    <cfRule type="cellIs" dxfId="9009" priority="143094" stopIfTrue="1" operator="lessThan">
      <formula>0.5</formula>
    </cfRule>
  </conditionalFormatting>
  <conditionalFormatting sqref="Z69">
    <cfRule type="cellIs" dxfId="9008" priority="143095" stopIfTrue="1" operator="greaterThanOrEqual">
      <formula>0.5</formula>
    </cfRule>
  </conditionalFormatting>
  <conditionalFormatting sqref="Z70">
    <cfRule type="cellIs" dxfId="9007" priority="143096" stopIfTrue="1" operator="equal">
      <formula>-1</formula>
    </cfRule>
  </conditionalFormatting>
  <conditionalFormatting sqref="Z70">
    <cfRule type="cellIs" dxfId="9006" priority="143097" stopIfTrue="1" operator="lessThan">
      <formula>0.5</formula>
    </cfRule>
  </conditionalFormatting>
  <conditionalFormatting sqref="Z70">
    <cfRule type="cellIs" dxfId="9005" priority="143098" stopIfTrue="1" operator="greaterThanOrEqual">
      <formula>0.5</formula>
    </cfRule>
  </conditionalFormatting>
  <conditionalFormatting sqref="Z71">
    <cfRule type="cellIs" dxfId="9004" priority="143099" stopIfTrue="1" operator="equal">
      <formula>-1</formula>
    </cfRule>
  </conditionalFormatting>
  <conditionalFormatting sqref="Z71">
    <cfRule type="cellIs" dxfId="9003" priority="143100" stopIfTrue="1" operator="lessThan">
      <formula>0.5</formula>
    </cfRule>
  </conditionalFormatting>
  <conditionalFormatting sqref="Z71">
    <cfRule type="cellIs" dxfId="9002" priority="143101" stopIfTrue="1" operator="greaterThanOrEqual">
      <formula>0.5</formula>
    </cfRule>
  </conditionalFormatting>
  <conditionalFormatting sqref="Z72">
    <cfRule type="cellIs" dxfId="9001" priority="143102" stopIfTrue="1" operator="equal">
      <formula>-1</formula>
    </cfRule>
  </conditionalFormatting>
  <conditionalFormatting sqref="Z72">
    <cfRule type="cellIs" dxfId="9000" priority="143103" stopIfTrue="1" operator="lessThan">
      <formula>0.5</formula>
    </cfRule>
  </conditionalFormatting>
  <conditionalFormatting sqref="Z72">
    <cfRule type="cellIs" dxfId="8999" priority="143104" stopIfTrue="1" operator="greaterThanOrEqual">
      <formula>0.5</formula>
    </cfRule>
  </conditionalFormatting>
  <conditionalFormatting sqref="Z73">
    <cfRule type="cellIs" dxfId="8998" priority="143105" stopIfTrue="1" operator="equal">
      <formula>-1</formula>
    </cfRule>
  </conditionalFormatting>
  <conditionalFormatting sqref="Z73">
    <cfRule type="cellIs" dxfId="8997" priority="143106" stopIfTrue="1" operator="lessThan">
      <formula>0.5</formula>
    </cfRule>
  </conditionalFormatting>
  <conditionalFormatting sqref="Z73">
    <cfRule type="cellIs" dxfId="8996" priority="143107" stopIfTrue="1" operator="greaterThanOrEqual">
      <formula>0.5</formula>
    </cfRule>
  </conditionalFormatting>
  <conditionalFormatting sqref="Z74">
    <cfRule type="cellIs" dxfId="8995" priority="143108" stopIfTrue="1" operator="equal">
      <formula>-1</formula>
    </cfRule>
  </conditionalFormatting>
  <conditionalFormatting sqref="Z74">
    <cfRule type="cellIs" dxfId="8994" priority="143109" stopIfTrue="1" operator="lessThan">
      <formula>0.5</formula>
    </cfRule>
  </conditionalFormatting>
  <conditionalFormatting sqref="Z74">
    <cfRule type="cellIs" dxfId="8993" priority="143110" stopIfTrue="1" operator="greaterThanOrEqual">
      <formula>0.5</formula>
    </cfRule>
  </conditionalFormatting>
  <conditionalFormatting sqref="Z75">
    <cfRule type="cellIs" dxfId="8992" priority="143111" stopIfTrue="1" operator="equal">
      <formula>-1</formula>
    </cfRule>
  </conditionalFormatting>
  <conditionalFormatting sqref="Z75">
    <cfRule type="cellIs" dxfId="8991" priority="143112" stopIfTrue="1" operator="lessThan">
      <formula>0.5</formula>
    </cfRule>
  </conditionalFormatting>
  <conditionalFormatting sqref="Z75">
    <cfRule type="cellIs" dxfId="8990" priority="143113" stopIfTrue="1" operator="greaterThanOrEqual">
      <formula>0.5</formula>
    </cfRule>
  </conditionalFormatting>
  <conditionalFormatting sqref="Z76">
    <cfRule type="cellIs" dxfId="8989" priority="143114" stopIfTrue="1" operator="equal">
      <formula>-1</formula>
    </cfRule>
  </conditionalFormatting>
  <conditionalFormatting sqref="Z76">
    <cfRule type="cellIs" dxfId="8988" priority="143115" stopIfTrue="1" operator="lessThan">
      <formula>0.5</formula>
    </cfRule>
  </conditionalFormatting>
  <conditionalFormatting sqref="Z76">
    <cfRule type="cellIs" dxfId="8987" priority="143116" stopIfTrue="1" operator="greaterThanOrEqual">
      <formula>0.5</formula>
    </cfRule>
  </conditionalFormatting>
  <conditionalFormatting sqref="Z77">
    <cfRule type="cellIs" dxfId="8986" priority="143117" stopIfTrue="1" operator="equal">
      <formula>-1</formula>
    </cfRule>
  </conditionalFormatting>
  <conditionalFormatting sqref="Z77">
    <cfRule type="cellIs" dxfId="8985" priority="143118" stopIfTrue="1" operator="lessThan">
      <formula>0.5</formula>
    </cfRule>
  </conditionalFormatting>
  <conditionalFormatting sqref="Z77">
    <cfRule type="cellIs" dxfId="8984" priority="143119" stopIfTrue="1" operator="greaterThanOrEqual">
      <formula>0.5</formula>
    </cfRule>
  </conditionalFormatting>
  <conditionalFormatting sqref="Z78">
    <cfRule type="cellIs" dxfId="8983" priority="143120" stopIfTrue="1" operator="equal">
      <formula>-1</formula>
    </cfRule>
  </conditionalFormatting>
  <conditionalFormatting sqref="Z78">
    <cfRule type="cellIs" dxfId="8982" priority="143121" stopIfTrue="1" operator="lessThan">
      <formula>0.5</formula>
    </cfRule>
  </conditionalFormatting>
  <conditionalFormatting sqref="Z78">
    <cfRule type="cellIs" dxfId="8981" priority="143122" stopIfTrue="1" operator="greaterThanOrEqual">
      <formula>0.5</formula>
    </cfRule>
  </conditionalFormatting>
  <conditionalFormatting sqref="Z79">
    <cfRule type="cellIs" dxfId="8980" priority="143123" stopIfTrue="1" operator="equal">
      <formula>-1</formula>
    </cfRule>
  </conditionalFormatting>
  <conditionalFormatting sqref="Z79">
    <cfRule type="cellIs" dxfId="8979" priority="143124" stopIfTrue="1" operator="lessThan">
      <formula>0.5</formula>
    </cfRule>
  </conditionalFormatting>
  <conditionalFormatting sqref="Z79">
    <cfRule type="cellIs" dxfId="8978" priority="143125" stopIfTrue="1" operator="greaterThanOrEqual">
      <formula>0.5</formula>
    </cfRule>
  </conditionalFormatting>
  <conditionalFormatting sqref="Z80">
    <cfRule type="cellIs" dxfId="8977" priority="143126" stopIfTrue="1" operator="equal">
      <formula>-1</formula>
    </cfRule>
  </conditionalFormatting>
  <conditionalFormatting sqref="Z80">
    <cfRule type="cellIs" dxfId="8976" priority="143127" stopIfTrue="1" operator="lessThan">
      <formula>0.5</formula>
    </cfRule>
  </conditionalFormatting>
  <conditionalFormatting sqref="Z80">
    <cfRule type="cellIs" dxfId="8975" priority="143128" stopIfTrue="1" operator="greaterThanOrEqual">
      <formula>0.5</formula>
    </cfRule>
  </conditionalFormatting>
  <conditionalFormatting sqref="Z81">
    <cfRule type="cellIs" dxfId="8974" priority="143129" stopIfTrue="1" operator="equal">
      <formula>-1</formula>
    </cfRule>
  </conditionalFormatting>
  <conditionalFormatting sqref="Z81">
    <cfRule type="cellIs" dxfId="8973" priority="143130" stopIfTrue="1" operator="lessThan">
      <formula>0.5</formula>
    </cfRule>
  </conditionalFormatting>
  <conditionalFormatting sqref="Z81">
    <cfRule type="cellIs" dxfId="8972" priority="143131" stopIfTrue="1" operator="greaterThanOrEqual">
      <formula>0.5</formula>
    </cfRule>
  </conditionalFormatting>
  <conditionalFormatting sqref="Z82">
    <cfRule type="cellIs" dxfId="8971" priority="143132" stopIfTrue="1" operator="equal">
      <formula>-1</formula>
    </cfRule>
  </conditionalFormatting>
  <conditionalFormatting sqref="Z82">
    <cfRule type="cellIs" dxfId="8970" priority="143133" stopIfTrue="1" operator="lessThan">
      <formula>0.5</formula>
    </cfRule>
  </conditionalFormatting>
  <conditionalFormatting sqref="Z82">
    <cfRule type="cellIs" dxfId="8969" priority="143134" stopIfTrue="1" operator="greaterThanOrEqual">
      <formula>0.5</formula>
    </cfRule>
  </conditionalFormatting>
  <conditionalFormatting sqref="Z83">
    <cfRule type="cellIs" dxfId="8968" priority="143135" stopIfTrue="1" operator="equal">
      <formula>-1</formula>
    </cfRule>
  </conditionalFormatting>
  <conditionalFormatting sqref="Z83">
    <cfRule type="cellIs" dxfId="8967" priority="143136" stopIfTrue="1" operator="lessThan">
      <formula>0.5</formula>
    </cfRule>
  </conditionalFormatting>
  <conditionalFormatting sqref="Z83">
    <cfRule type="cellIs" dxfId="8966" priority="143137" stopIfTrue="1" operator="greaterThanOrEqual">
      <formula>0.5</formula>
    </cfRule>
  </conditionalFormatting>
  <conditionalFormatting sqref="Z84">
    <cfRule type="cellIs" dxfId="8965" priority="143138" stopIfTrue="1" operator="equal">
      <formula>-1</formula>
    </cfRule>
  </conditionalFormatting>
  <conditionalFormatting sqref="Z84">
    <cfRule type="cellIs" dxfId="8964" priority="143139" stopIfTrue="1" operator="lessThan">
      <formula>0.5</formula>
    </cfRule>
  </conditionalFormatting>
  <conditionalFormatting sqref="Z84">
    <cfRule type="cellIs" dxfId="8963" priority="143140" stopIfTrue="1" operator="greaterThanOrEqual">
      <formula>0.5</formula>
    </cfRule>
  </conditionalFormatting>
  <conditionalFormatting sqref="Z85">
    <cfRule type="cellIs" dxfId="8962" priority="143141" stopIfTrue="1" operator="equal">
      <formula>-1</formula>
    </cfRule>
  </conditionalFormatting>
  <conditionalFormatting sqref="Z85">
    <cfRule type="cellIs" dxfId="8961" priority="143142" stopIfTrue="1" operator="lessThan">
      <formula>0.5</formula>
    </cfRule>
  </conditionalFormatting>
  <conditionalFormatting sqref="Z85">
    <cfRule type="cellIs" dxfId="8960" priority="143143" stopIfTrue="1" operator="greaterThanOrEqual">
      <formula>0.5</formula>
    </cfRule>
  </conditionalFormatting>
  <conditionalFormatting sqref="AB65">
    <cfRule type="cellIs" dxfId="8959" priority="143144" stopIfTrue="1" operator="equal">
      <formula>-1</formula>
    </cfRule>
  </conditionalFormatting>
  <conditionalFormatting sqref="AB65">
    <cfRule type="cellIs" dxfId="8958" priority="143145" stopIfTrue="1" operator="lessThan">
      <formula>0.5</formula>
    </cfRule>
  </conditionalFormatting>
  <conditionalFormatting sqref="AB65">
    <cfRule type="cellIs" dxfId="8957" priority="143146" stopIfTrue="1" operator="greaterThanOrEqual">
      <formula>0.5</formula>
    </cfRule>
  </conditionalFormatting>
  <conditionalFormatting sqref="AB66">
    <cfRule type="cellIs" dxfId="8956" priority="143147" stopIfTrue="1" operator="equal">
      <formula>-1</formula>
    </cfRule>
  </conditionalFormatting>
  <conditionalFormatting sqref="AB66">
    <cfRule type="cellIs" dxfId="8955" priority="143148" stopIfTrue="1" operator="lessThan">
      <formula>0.5</formula>
    </cfRule>
  </conditionalFormatting>
  <conditionalFormatting sqref="AB66">
    <cfRule type="cellIs" dxfId="8954" priority="143149" stopIfTrue="1" operator="greaterThanOrEqual">
      <formula>0.5</formula>
    </cfRule>
  </conditionalFormatting>
  <conditionalFormatting sqref="AB67">
    <cfRule type="cellIs" dxfId="8953" priority="143150" stopIfTrue="1" operator="equal">
      <formula>-1</formula>
    </cfRule>
  </conditionalFormatting>
  <conditionalFormatting sqref="AB67">
    <cfRule type="cellIs" dxfId="8952" priority="143151" stopIfTrue="1" operator="lessThan">
      <formula>0.5</formula>
    </cfRule>
  </conditionalFormatting>
  <conditionalFormatting sqref="AB67">
    <cfRule type="cellIs" dxfId="8951" priority="143152" stopIfTrue="1" operator="greaterThanOrEqual">
      <formula>0.5</formula>
    </cfRule>
  </conditionalFormatting>
  <conditionalFormatting sqref="AB68">
    <cfRule type="cellIs" dxfId="8950" priority="143153" stopIfTrue="1" operator="equal">
      <formula>-1</formula>
    </cfRule>
  </conditionalFormatting>
  <conditionalFormatting sqref="AB68">
    <cfRule type="cellIs" dxfId="8949" priority="143154" stopIfTrue="1" operator="lessThan">
      <formula>0.5</formula>
    </cfRule>
  </conditionalFormatting>
  <conditionalFormatting sqref="AB68">
    <cfRule type="cellIs" dxfId="8948" priority="143155" stopIfTrue="1" operator="greaterThanOrEqual">
      <formula>0.5</formula>
    </cfRule>
  </conditionalFormatting>
  <conditionalFormatting sqref="AB69">
    <cfRule type="cellIs" dxfId="8947" priority="143156" stopIfTrue="1" operator="equal">
      <formula>-1</formula>
    </cfRule>
  </conditionalFormatting>
  <conditionalFormatting sqref="AB69">
    <cfRule type="cellIs" dxfId="8946" priority="143157" stopIfTrue="1" operator="lessThan">
      <formula>0.5</formula>
    </cfRule>
  </conditionalFormatting>
  <conditionalFormatting sqref="AB69">
    <cfRule type="cellIs" dxfId="8945" priority="143158" stopIfTrue="1" operator="greaterThanOrEqual">
      <formula>0.5</formula>
    </cfRule>
  </conditionalFormatting>
  <conditionalFormatting sqref="AB70">
    <cfRule type="cellIs" dxfId="8944" priority="143159" stopIfTrue="1" operator="equal">
      <formula>-1</formula>
    </cfRule>
  </conditionalFormatting>
  <conditionalFormatting sqref="AB70">
    <cfRule type="cellIs" dxfId="8943" priority="143160" stopIfTrue="1" operator="lessThan">
      <formula>0.5</formula>
    </cfRule>
  </conditionalFormatting>
  <conditionalFormatting sqref="AB70">
    <cfRule type="cellIs" dxfId="8942" priority="143161" stopIfTrue="1" operator="greaterThanOrEqual">
      <formula>0.5</formula>
    </cfRule>
  </conditionalFormatting>
  <conditionalFormatting sqref="AB71">
    <cfRule type="cellIs" dxfId="8941" priority="143162" stopIfTrue="1" operator="equal">
      <formula>-1</formula>
    </cfRule>
  </conditionalFormatting>
  <conditionalFormatting sqref="AB71">
    <cfRule type="cellIs" dxfId="8940" priority="143163" stopIfTrue="1" operator="lessThan">
      <formula>0.5</formula>
    </cfRule>
  </conditionalFormatting>
  <conditionalFormatting sqref="AB71">
    <cfRule type="cellIs" dxfId="8939" priority="143164" stopIfTrue="1" operator="greaterThanOrEqual">
      <formula>0.5</formula>
    </cfRule>
  </conditionalFormatting>
  <conditionalFormatting sqref="AB72">
    <cfRule type="cellIs" dxfId="8938" priority="143165" stopIfTrue="1" operator="equal">
      <formula>-1</formula>
    </cfRule>
  </conditionalFormatting>
  <conditionalFormatting sqref="AB72">
    <cfRule type="cellIs" dxfId="8937" priority="143166" stopIfTrue="1" operator="lessThan">
      <formula>0.5</formula>
    </cfRule>
  </conditionalFormatting>
  <conditionalFormatting sqref="AB72">
    <cfRule type="cellIs" dxfId="8936" priority="143167" stopIfTrue="1" operator="greaterThanOrEqual">
      <formula>0.5</formula>
    </cfRule>
  </conditionalFormatting>
  <conditionalFormatting sqref="AB73">
    <cfRule type="cellIs" dxfId="8935" priority="143168" stopIfTrue="1" operator="equal">
      <formula>-1</formula>
    </cfRule>
  </conditionalFormatting>
  <conditionalFormatting sqref="AB73">
    <cfRule type="cellIs" dxfId="8934" priority="143169" stopIfTrue="1" operator="lessThan">
      <formula>0.5</formula>
    </cfRule>
  </conditionalFormatting>
  <conditionalFormatting sqref="AB73">
    <cfRule type="cellIs" dxfId="8933" priority="143170" stopIfTrue="1" operator="greaterThanOrEqual">
      <formula>0.5</formula>
    </cfRule>
  </conditionalFormatting>
  <conditionalFormatting sqref="AB74">
    <cfRule type="cellIs" dxfId="8932" priority="143171" stopIfTrue="1" operator="equal">
      <formula>-1</formula>
    </cfRule>
  </conditionalFormatting>
  <conditionalFormatting sqref="AB74">
    <cfRule type="cellIs" dxfId="8931" priority="143172" stopIfTrue="1" operator="lessThan">
      <formula>0.5</formula>
    </cfRule>
  </conditionalFormatting>
  <conditionalFormatting sqref="AB74">
    <cfRule type="cellIs" dxfId="8930" priority="143173" stopIfTrue="1" operator="greaterThanOrEqual">
      <formula>0.5</formula>
    </cfRule>
  </conditionalFormatting>
  <conditionalFormatting sqref="AB75">
    <cfRule type="cellIs" dxfId="8929" priority="143174" stopIfTrue="1" operator="equal">
      <formula>-1</formula>
    </cfRule>
  </conditionalFormatting>
  <conditionalFormatting sqref="AB75">
    <cfRule type="cellIs" dxfId="8928" priority="143175" stopIfTrue="1" operator="lessThan">
      <formula>0.5</formula>
    </cfRule>
  </conditionalFormatting>
  <conditionalFormatting sqref="AB75">
    <cfRule type="cellIs" dxfId="8927" priority="143176" stopIfTrue="1" operator="greaterThanOrEqual">
      <formula>0.5</formula>
    </cfRule>
  </conditionalFormatting>
  <conditionalFormatting sqref="AB76">
    <cfRule type="cellIs" dxfId="8926" priority="143177" stopIfTrue="1" operator="equal">
      <formula>-1</formula>
    </cfRule>
  </conditionalFormatting>
  <conditionalFormatting sqref="AB76">
    <cfRule type="cellIs" dxfId="8925" priority="143178" stopIfTrue="1" operator="lessThan">
      <formula>0.5</formula>
    </cfRule>
  </conditionalFormatting>
  <conditionalFormatting sqref="AB76">
    <cfRule type="cellIs" dxfId="8924" priority="143179" stopIfTrue="1" operator="greaterThanOrEqual">
      <formula>0.5</formula>
    </cfRule>
  </conditionalFormatting>
  <conditionalFormatting sqref="AB77">
    <cfRule type="cellIs" dxfId="8923" priority="143180" stopIfTrue="1" operator="equal">
      <formula>-1</formula>
    </cfRule>
  </conditionalFormatting>
  <conditionalFormatting sqref="AB77">
    <cfRule type="cellIs" dxfId="8922" priority="143181" stopIfTrue="1" operator="lessThan">
      <formula>0.5</formula>
    </cfRule>
  </conditionalFormatting>
  <conditionalFormatting sqref="AB77">
    <cfRule type="cellIs" dxfId="8921" priority="143182" stopIfTrue="1" operator="greaterThanOrEqual">
      <formula>0.5</formula>
    </cfRule>
  </conditionalFormatting>
  <conditionalFormatting sqref="AB78">
    <cfRule type="cellIs" dxfId="8920" priority="143183" stopIfTrue="1" operator="equal">
      <formula>-1</formula>
    </cfRule>
  </conditionalFormatting>
  <conditionalFormatting sqref="AB78">
    <cfRule type="cellIs" dxfId="8919" priority="143184" stopIfTrue="1" operator="lessThan">
      <formula>0.5</formula>
    </cfRule>
  </conditionalFormatting>
  <conditionalFormatting sqref="AB78">
    <cfRule type="cellIs" dxfId="8918" priority="143185" stopIfTrue="1" operator="greaterThanOrEqual">
      <formula>0.5</formula>
    </cfRule>
  </conditionalFormatting>
  <conditionalFormatting sqref="AB79">
    <cfRule type="cellIs" dxfId="8917" priority="143186" stopIfTrue="1" operator="equal">
      <formula>-1</formula>
    </cfRule>
  </conditionalFormatting>
  <conditionalFormatting sqref="AB79">
    <cfRule type="cellIs" dxfId="8916" priority="143187" stopIfTrue="1" operator="lessThan">
      <formula>0.5</formula>
    </cfRule>
  </conditionalFormatting>
  <conditionalFormatting sqref="AB79">
    <cfRule type="cellIs" dxfId="8915" priority="143188" stopIfTrue="1" operator="greaterThanOrEqual">
      <formula>0.5</formula>
    </cfRule>
  </conditionalFormatting>
  <conditionalFormatting sqref="AB80">
    <cfRule type="cellIs" dxfId="8914" priority="143189" stopIfTrue="1" operator="equal">
      <formula>-1</formula>
    </cfRule>
  </conditionalFormatting>
  <conditionalFormatting sqref="AB80">
    <cfRule type="cellIs" dxfId="8913" priority="143190" stopIfTrue="1" operator="lessThan">
      <formula>0.5</formula>
    </cfRule>
  </conditionalFormatting>
  <conditionalFormatting sqref="AB80">
    <cfRule type="cellIs" dxfId="8912" priority="143191" stopIfTrue="1" operator="greaterThanOrEqual">
      <formula>0.5</formula>
    </cfRule>
  </conditionalFormatting>
  <conditionalFormatting sqref="AB81">
    <cfRule type="cellIs" dxfId="8911" priority="143192" stopIfTrue="1" operator="equal">
      <formula>-1</formula>
    </cfRule>
  </conditionalFormatting>
  <conditionalFormatting sqref="AB81">
    <cfRule type="cellIs" dxfId="8910" priority="143193" stopIfTrue="1" operator="lessThan">
      <formula>0.5</formula>
    </cfRule>
  </conditionalFormatting>
  <conditionalFormatting sqref="AB81">
    <cfRule type="cellIs" dxfId="8909" priority="143194" stopIfTrue="1" operator="greaterThanOrEqual">
      <formula>0.5</formula>
    </cfRule>
  </conditionalFormatting>
  <conditionalFormatting sqref="AB82">
    <cfRule type="cellIs" dxfId="8908" priority="143195" stopIfTrue="1" operator="equal">
      <formula>-1</formula>
    </cfRule>
  </conditionalFormatting>
  <conditionalFormatting sqref="AB82">
    <cfRule type="cellIs" dxfId="8907" priority="143196" stopIfTrue="1" operator="lessThan">
      <formula>0.5</formula>
    </cfRule>
  </conditionalFormatting>
  <conditionalFormatting sqref="AB82">
    <cfRule type="cellIs" dxfId="8906" priority="143197" stopIfTrue="1" operator="greaterThanOrEqual">
      <formula>0.5</formula>
    </cfRule>
  </conditionalFormatting>
  <conditionalFormatting sqref="AB83">
    <cfRule type="cellIs" dxfId="8905" priority="143198" stopIfTrue="1" operator="equal">
      <formula>-1</formula>
    </cfRule>
  </conditionalFormatting>
  <conditionalFormatting sqref="AB83">
    <cfRule type="cellIs" dxfId="8904" priority="143199" stopIfTrue="1" operator="lessThan">
      <formula>0.5</formula>
    </cfRule>
  </conditionalFormatting>
  <conditionalFormatting sqref="AB83">
    <cfRule type="cellIs" dxfId="8903" priority="143200" stopIfTrue="1" operator="greaterThanOrEqual">
      <formula>0.5</formula>
    </cfRule>
  </conditionalFormatting>
  <conditionalFormatting sqref="AB84">
    <cfRule type="cellIs" dxfId="8902" priority="143201" stopIfTrue="1" operator="equal">
      <formula>-1</formula>
    </cfRule>
  </conditionalFormatting>
  <conditionalFormatting sqref="AB84">
    <cfRule type="cellIs" dxfId="8901" priority="143202" stopIfTrue="1" operator="lessThan">
      <formula>0.5</formula>
    </cfRule>
  </conditionalFormatting>
  <conditionalFormatting sqref="AB84">
    <cfRule type="cellIs" dxfId="8900" priority="143203" stopIfTrue="1" operator="greaterThanOrEqual">
      <formula>0.5</formula>
    </cfRule>
  </conditionalFormatting>
  <conditionalFormatting sqref="AB85">
    <cfRule type="cellIs" dxfId="8899" priority="143204" stopIfTrue="1" operator="equal">
      <formula>-1</formula>
    </cfRule>
  </conditionalFormatting>
  <conditionalFormatting sqref="AB85">
    <cfRule type="cellIs" dxfId="8898" priority="143205" stopIfTrue="1" operator="lessThan">
      <formula>0.5</formula>
    </cfRule>
  </conditionalFormatting>
  <conditionalFormatting sqref="AB85">
    <cfRule type="cellIs" dxfId="8897" priority="143206" stopIfTrue="1" operator="greaterThanOrEqual">
      <formula>0.5</formula>
    </cfRule>
  </conditionalFormatting>
  <conditionalFormatting sqref="AD65">
    <cfRule type="cellIs" dxfId="8896" priority="143207" stopIfTrue="1" operator="equal">
      <formula>-1</formula>
    </cfRule>
  </conditionalFormatting>
  <conditionalFormatting sqref="AD65">
    <cfRule type="cellIs" dxfId="8895" priority="143208" stopIfTrue="1" operator="lessThan">
      <formula>0.5</formula>
    </cfRule>
  </conditionalFormatting>
  <conditionalFormatting sqref="AD65">
    <cfRule type="cellIs" dxfId="8894" priority="143209" stopIfTrue="1" operator="greaterThanOrEqual">
      <formula>0.5</formula>
    </cfRule>
  </conditionalFormatting>
  <conditionalFormatting sqref="AD66">
    <cfRule type="cellIs" dxfId="8893" priority="143210" stopIfTrue="1" operator="equal">
      <formula>-1</formula>
    </cfRule>
  </conditionalFormatting>
  <conditionalFormatting sqref="AD66">
    <cfRule type="cellIs" dxfId="8892" priority="143211" stopIfTrue="1" operator="lessThan">
      <formula>0.5</formula>
    </cfRule>
  </conditionalFormatting>
  <conditionalFormatting sqref="AD66">
    <cfRule type="cellIs" dxfId="8891" priority="143212" stopIfTrue="1" operator="greaterThanOrEqual">
      <formula>0.5</formula>
    </cfRule>
  </conditionalFormatting>
  <conditionalFormatting sqref="AD67">
    <cfRule type="cellIs" dxfId="8890" priority="143213" stopIfTrue="1" operator="equal">
      <formula>-1</formula>
    </cfRule>
  </conditionalFormatting>
  <conditionalFormatting sqref="AD67">
    <cfRule type="cellIs" dxfId="8889" priority="143214" stopIfTrue="1" operator="lessThan">
      <formula>0.5</formula>
    </cfRule>
  </conditionalFormatting>
  <conditionalFormatting sqref="AD67">
    <cfRule type="cellIs" dxfId="8888" priority="143215" stopIfTrue="1" operator="greaterThanOrEqual">
      <formula>0.5</formula>
    </cfRule>
  </conditionalFormatting>
  <conditionalFormatting sqref="AD68">
    <cfRule type="cellIs" dxfId="8887" priority="143216" stopIfTrue="1" operator="equal">
      <formula>-1</formula>
    </cfRule>
  </conditionalFormatting>
  <conditionalFormatting sqref="AD68">
    <cfRule type="cellIs" dxfId="8886" priority="143217" stopIfTrue="1" operator="lessThan">
      <formula>0.5</formula>
    </cfRule>
  </conditionalFormatting>
  <conditionalFormatting sqref="AD68">
    <cfRule type="cellIs" dxfId="8885" priority="143218" stopIfTrue="1" operator="greaterThanOrEqual">
      <formula>0.5</formula>
    </cfRule>
  </conditionalFormatting>
  <conditionalFormatting sqref="AD69">
    <cfRule type="cellIs" dxfId="8884" priority="143219" stopIfTrue="1" operator="equal">
      <formula>-1</formula>
    </cfRule>
  </conditionalFormatting>
  <conditionalFormatting sqref="AD69">
    <cfRule type="cellIs" dxfId="8883" priority="143220" stopIfTrue="1" operator="lessThan">
      <formula>0.5</formula>
    </cfRule>
  </conditionalFormatting>
  <conditionalFormatting sqref="AD69">
    <cfRule type="cellIs" dxfId="8882" priority="143221" stopIfTrue="1" operator="greaterThanOrEqual">
      <formula>0.5</formula>
    </cfRule>
  </conditionalFormatting>
  <conditionalFormatting sqref="AD70">
    <cfRule type="cellIs" dxfId="8881" priority="143222" stopIfTrue="1" operator="equal">
      <formula>-1</formula>
    </cfRule>
  </conditionalFormatting>
  <conditionalFormatting sqref="AD70">
    <cfRule type="cellIs" dxfId="8880" priority="143223" stopIfTrue="1" operator="lessThan">
      <formula>0.5</formula>
    </cfRule>
  </conditionalFormatting>
  <conditionalFormatting sqref="AD70">
    <cfRule type="cellIs" dxfId="8879" priority="143224" stopIfTrue="1" operator="greaterThanOrEqual">
      <formula>0.5</formula>
    </cfRule>
  </conditionalFormatting>
  <conditionalFormatting sqref="AD71">
    <cfRule type="cellIs" dxfId="8878" priority="143225" stopIfTrue="1" operator="equal">
      <formula>-1</formula>
    </cfRule>
  </conditionalFormatting>
  <conditionalFormatting sqref="AD71">
    <cfRule type="cellIs" dxfId="8877" priority="143226" stopIfTrue="1" operator="lessThan">
      <formula>0.5</formula>
    </cfRule>
  </conditionalFormatting>
  <conditionalFormatting sqref="AD71">
    <cfRule type="cellIs" dxfId="8876" priority="143227" stopIfTrue="1" operator="greaterThanOrEqual">
      <formula>0.5</formula>
    </cfRule>
  </conditionalFormatting>
  <conditionalFormatting sqref="AD72">
    <cfRule type="cellIs" dxfId="8875" priority="143228" stopIfTrue="1" operator="equal">
      <formula>-1</formula>
    </cfRule>
  </conditionalFormatting>
  <conditionalFormatting sqref="AD72">
    <cfRule type="cellIs" dxfId="8874" priority="143229" stopIfTrue="1" operator="lessThan">
      <formula>0.5</formula>
    </cfRule>
  </conditionalFormatting>
  <conditionalFormatting sqref="AD72">
    <cfRule type="cellIs" dxfId="8873" priority="143230" stopIfTrue="1" operator="greaterThanOrEqual">
      <formula>0.5</formula>
    </cfRule>
  </conditionalFormatting>
  <conditionalFormatting sqref="AD73">
    <cfRule type="cellIs" dxfId="8872" priority="143231" stopIfTrue="1" operator="equal">
      <formula>-1</formula>
    </cfRule>
  </conditionalFormatting>
  <conditionalFormatting sqref="AD73">
    <cfRule type="cellIs" dxfId="8871" priority="143232" stopIfTrue="1" operator="lessThan">
      <formula>0.5</formula>
    </cfRule>
  </conditionalFormatting>
  <conditionalFormatting sqref="AD73">
    <cfRule type="cellIs" dxfId="8870" priority="143233" stopIfTrue="1" operator="greaterThanOrEqual">
      <formula>0.5</formula>
    </cfRule>
  </conditionalFormatting>
  <conditionalFormatting sqref="AD74">
    <cfRule type="cellIs" dxfId="8869" priority="143234" stopIfTrue="1" operator="equal">
      <formula>-1</formula>
    </cfRule>
  </conditionalFormatting>
  <conditionalFormatting sqref="AD74">
    <cfRule type="cellIs" dxfId="8868" priority="143235" stopIfTrue="1" operator="lessThan">
      <formula>0.5</formula>
    </cfRule>
  </conditionalFormatting>
  <conditionalFormatting sqref="AD74">
    <cfRule type="cellIs" dxfId="8867" priority="143236" stopIfTrue="1" operator="greaterThanOrEqual">
      <formula>0.5</formula>
    </cfRule>
  </conditionalFormatting>
  <conditionalFormatting sqref="AD75">
    <cfRule type="cellIs" dxfId="8866" priority="143237" stopIfTrue="1" operator="equal">
      <formula>-1</formula>
    </cfRule>
  </conditionalFormatting>
  <conditionalFormatting sqref="AD75">
    <cfRule type="cellIs" dxfId="8865" priority="143238" stopIfTrue="1" operator="lessThan">
      <formula>0.5</formula>
    </cfRule>
  </conditionalFormatting>
  <conditionalFormatting sqref="AD75">
    <cfRule type="cellIs" dxfId="8864" priority="143239" stopIfTrue="1" operator="greaterThanOrEqual">
      <formula>0.5</formula>
    </cfRule>
  </conditionalFormatting>
  <conditionalFormatting sqref="AD76">
    <cfRule type="cellIs" dxfId="8863" priority="143240" stopIfTrue="1" operator="equal">
      <formula>-1</formula>
    </cfRule>
  </conditionalFormatting>
  <conditionalFormatting sqref="AD76">
    <cfRule type="cellIs" dxfId="8862" priority="143241" stopIfTrue="1" operator="lessThan">
      <formula>0.5</formula>
    </cfRule>
  </conditionalFormatting>
  <conditionalFormatting sqref="AD76">
    <cfRule type="cellIs" dxfId="8861" priority="143242" stopIfTrue="1" operator="greaterThanOrEqual">
      <formula>0.5</formula>
    </cfRule>
  </conditionalFormatting>
  <conditionalFormatting sqref="AD77">
    <cfRule type="cellIs" dxfId="8860" priority="143243" stopIfTrue="1" operator="equal">
      <formula>-1</formula>
    </cfRule>
  </conditionalFormatting>
  <conditionalFormatting sqref="AD77">
    <cfRule type="cellIs" dxfId="8859" priority="143244" stopIfTrue="1" operator="lessThan">
      <formula>0.5</formula>
    </cfRule>
  </conditionalFormatting>
  <conditionalFormatting sqref="AD77">
    <cfRule type="cellIs" dxfId="8858" priority="143245" stopIfTrue="1" operator="greaterThanOrEqual">
      <formula>0.5</formula>
    </cfRule>
  </conditionalFormatting>
  <conditionalFormatting sqref="AD78">
    <cfRule type="cellIs" dxfId="8857" priority="143246" stopIfTrue="1" operator="equal">
      <formula>-1</formula>
    </cfRule>
  </conditionalFormatting>
  <conditionalFormatting sqref="AD78">
    <cfRule type="cellIs" dxfId="8856" priority="143247" stopIfTrue="1" operator="lessThan">
      <formula>0.5</formula>
    </cfRule>
  </conditionalFormatting>
  <conditionalFormatting sqref="AD78">
    <cfRule type="cellIs" dxfId="8855" priority="143248" stopIfTrue="1" operator="greaterThanOrEqual">
      <formula>0.5</formula>
    </cfRule>
  </conditionalFormatting>
  <conditionalFormatting sqref="AD79">
    <cfRule type="cellIs" dxfId="8854" priority="143249" stopIfTrue="1" operator="equal">
      <formula>-1</formula>
    </cfRule>
  </conditionalFormatting>
  <conditionalFormatting sqref="AD79">
    <cfRule type="cellIs" dxfId="8853" priority="143250" stopIfTrue="1" operator="lessThan">
      <formula>0.5</formula>
    </cfRule>
  </conditionalFormatting>
  <conditionalFormatting sqref="AD79">
    <cfRule type="cellIs" dxfId="8852" priority="143251" stopIfTrue="1" operator="greaterThanOrEqual">
      <formula>0.5</formula>
    </cfRule>
  </conditionalFormatting>
  <conditionalFormatting sqref="AD80">
    <cfRule type="cellIs" dxfId="8851" priority="143252" stopIfTrue="1" operator="equal">
      <formula>-1</formula>
    </cfRule>
  </conditionalFormatting>
  <conditionalFormatting sqref="AD80">
    <cfRule type="cellIs" dxfId="8850" priority="143253" stopIfTrue="1" operator="lessThan">
      <formula>0.5</formula>
    </cfRule>
  </conditionalFormatting>
  <conditionalFormatting sqref="AD80">
    <cfRule type="cellIs" dxfId="8849" priority="143254" stopIfTrue="1" operator="greaterThanOrEqual">
      <formula>0.5</formula>
    </cfRule>
  </conditionalFormatting>
  <conditionalFormatting sqref="AD81">
    <cfRule type="cellIs" dxfId="8848" priority="143255" stopIfTrue="1" operator="equal">
      <formula>-1</formula>
    </cfRule>
  </conditionalFormatting>
  <conditionalFormatting sqref="AD81">
    <cfRule type="cellIs" dxfId="8847" priority="143256" stopIfTrue="1" operator="lessThan">
      <formula>0.5</formula>
    </cfRule>
  </conditionalFormatting>
  <conditionalFormatting sqref="AD81">
    <cfRule type="cellIs" dxfId="8846" priority="143257" stopIfTrue="1" operator="greaterThanOrEqual">
      <formula>0.5</formula>
    </cfRule>
  </conditionalFormatting>
  <conditionalFormatting sqref="AD82">
    <cfRule type="cellIs" dxfId="8845" priority="143258" stopIfTrue="1" operator="equal">
      <formula>-1</formula>
    </cfRule>
  </conditionalFormatting>
  <conditionalFormatting sqref="AD82">
    <cfRule type="cellIs" dxfId="8844" priority="143259" stopIfTrue="1" operator="lessThan">
      <formula>0.5</formula>
    </cfRule>
  </conditionalFormatting>
  <conditionalFormatting sqref="AD82">
    <cfRule type="cellIs" dxfId="8843" priority="143260" stopIfTrue="1" operator="greaterThanOrEqual">
      <formula>0.5</formula>
    </cfRule>
  </conditionalFormatting>
  <conditionalFormatting sqref="AD83">
    <cfRule type="cellIs" dxfId="8842" priority="143261" stopIfTrue="1" operator="equal">
      <formula>-1</formula>
    </cfRule>
  </conditionalFormatting>
  <conditionalFormatting sqref="AD83">
    <cfRule type="cellIs" dxfId="8841" priority="143262" stopIfTrue="1" operator="lessThan">
      <formula>0.5</formula>
    </cfRule>
  </conditionalFormatting>
  <conditionalFormatting sqref="AD83">
    <cfRule type="cellIs" dxfId="8840" priority="143263" stopIfTrue="1" operator="greaterThanOrEqual">
      <formula>0.5</formula>
    </cfRule>
  </conditionalFormatting>
  <conditionalFormatting sqref="AD84">
    <cfRule type="cellIs" dxfId="8839" priority="143264" stopIfTrue="1" operator="equal">
      <formula>-1</formula>
    </cfRule>
  </conditionalFormatting>
  <conditionalFormatting sqref="AD84">
    <cfRule type="cellIs" dxfId="8838" priority="143265" stopIfTrue="1" operator="lessThan">
      <formula>0.5</formula>
    </cfRule>
  </conditionalFormatting>
  <conditionalFormatting sqref="AD84">
    <cfRule type="cellIs" dxfId="8837" priority="143266" stopIfTrue="1" operator="greaterThanOrEqual">
      <formula>0.5</formula>
    </cfRule>
  </conditionalFormatting>
  <conditionalFormatting sqref="AD85">
    <cfRule type="cellIs" dxfId="8836" priority="143267" stopIfTrue="1" operator="equal">
      <formula>-1</formula>
    </cfRule>
  </conditionalFormatting>
  <conditionalFormatting sqref="AD85">
    <cfRule type="cellIs" dxfId="8835" priority="143268" stopIfTrue="1" operator="lessThan">
      <formula>0.5</formula>
    </cfRule>
  </conditionalFormatting>
  <conditionalFormatting sqref="AD85">
    <cfRule type="cellIs" dxfId="8834" priority="143269" stopIfTrue="1" operator="greaterThanOrEqual">
      <formula>0.5</formula>
    </cfRule>
  </conditionalFormatting>
  <conditionalFormatting sqref="AF65">
    <cfRule type="cellIs" dxfId="8833" priority="143270" stopIfTrue="1" operator="equal">
      <formula>-1</formula>
    </cfRule>
  </conditionalFormatting>
  <conditionalFormatting sqref="AF65">
    <cfRule type="cellIs" dxfId="8832" priority="143271" stopIfTrue="1" operator="lessThan">
      <formula>0.5</formula>
    </cfRule>
  </conditionalFormatting>
  <conditionalFormatting sqref="AF65">
    <cfRule type="cellIs" dxfId="8831" priority="143272" stopIfTrue="1" operator="greaterThanOrEqual">
      <formula>0.5</formula>
    </cfRule>
  </conditionalFormatting>
  <conditionalFormatting sqref="AF66">
    <cfRule type="cellIs" dxfId="8830" priority="143273" stopIfTrue="1" operator="equal">
      <formula>-1</formula>
    </cfRule>
  </conditionalFormatting>
  <conditionalFormatting sqref="AF66">
    <cfRule type="cellIs" dxfId="8829" priority="143274" stopIfTrue="1" operator="lessThan">
      <formula>0.5</formula>
    </cfRule>
  </conditionalFormatting>
  <conditionalFormatting sqref="AF66">
    <cfRule type="cellIs" dxfId="8828" priority="143275" stopIfTrue="1" operator="greaterThanOrEqual">
      <formula>0.5</formula>
    </cfRule>
  </conditionalFormatting>
  <conditionalFormatting sqref="AF67">
    <cfRule type="cellIs" dxfId="8827" priority="143276" stopIfTrue="1" operator="equal">
      <formula>-1</formula>
    </cfRule>
  </conditionalFormatting>
  <conditionalFormatting sqref="AF67">
    <cfRule type="cellIs" dxfId="8826" priority="143277" stopIfTrue="1" operator="lessThan">
      <formula>0.5</formula>
    </cfRule>
  </conditionalFormatting>
  <conditionalFormatting sqref="AF67">
    <cfRule type="cellIs" dxfId="8825" priority="143278" stopIfTrue="1" operator="greaterThanOrEqual">
      <formula>0.5</formula>
    </cfRule>
  </conditionalFormatting>
  <conditionalFormatting sqref="AF68">
    <cfRule type="cellIs" dxfId="8824" priority="143279" stopIfTrue="1" operator="equal">
      <formula>-1</formula>
    </cfRule>
  </conditionalFormatting>
  <conditionalFormatting sqref="AF68">
    <cfRule type="cellIs" dxfId="8823" priority="143280" stopIfTrue="1" operator="lessThan">
      <formula>0.5</formula>
    </cfRule>
  </conditionalFormatting>
  <conditionalFormatting sqref="AF68">
    <cfRule type="cellIs" dxfId="8822" priority="143281" stopIfTrue="1" operator="greaterThanOrEqual">
      <formula>0.5</formula>
    </cfRule>
  </conditionalFormatting>
  <conditionalFormatting sqref="AF69">
    <cfRule type="cellIs" dxfId="8821" priority="143282" stopIfTrue="1" operator="equal">
      <formula>-1</formula>
    </cfRule>
  </conditionalFormatting>
  <conditionalFormatting sqref="AF69">
    <cfRule type="cellIs" dxfId="8820" priority="143283" stopIfTrue="1" operator="lessThan">
      <formula>0.5</formula>
    </cfRule>
  </conditionalFormatting>
  <conditionalFormatting sqref="AF69">
    <cfRule type="cellIs" dxfId="8819" priority="143284" stopIfTrue="1" operator="greaterThanOrEqual">
      <formula>0.5</formula>
    </cfRule>
  </conditionalFormatting>
  <conditionalFormatting sqref="AF70">
    <cfRule type="cellIs" dxfId="8818" priority="143285" stopIfTrue="1" operator="equal">
      <formula>-1</formula>
    </cfRule>
  </conditionalFormatting>
  <conditionalFormatting sqref="AF70">
    <cfRule type="cellIs" dxfId="8817" priority="143286" stopIfTrue="1" operator="lessThan">
      <formula>0.5</formula>
    </cfRule>
  </conditionalFormatting>
  <conditionalFormatting sqref="AF70">
    <cfRule type="cellIs" dxfId="8816" priority="143287" stopIfTrue="1" operator="greaterThanOrEqual">
      <formula>0.5</formula>
    </cfRule>
  </conditionalFormatting>
  <conditionalFormatting sqref="AF71">
    <cfRule type="cellIs" dxfId="8815" priority="143288" stopIfTrue="1" operator="equal">
      <formula>-1</formula>
    </cfRule>
  </conditionalFormatting>
  <conditionalFormatting sqref="AF71">
    <cfRule type="cellIs" dxfId="8814" priority="143289" stopIfTrue="1" operator="lessThan">
      <formula>0.5</formula>
    </cfRule>
  </conditionalFormatting>
  <conditionalFormatting sqref="AF71">
    <cfRule type="cellIs" dxfId="8813" priority="143290" stopIfTrue="1" operator="greaterThanOrEqual">
      <formula>0.5</formula>
    </cfRule>
  </conditionalFormatting>
  <conditionalFormatting sqref="AF72">
    <cfRule type="cellIs" dxfId="8812" priority="143291" stopIfTrue="1" operator="equal">
      <formula>-1</formula>
    </cfRule>
  </conditionalFormatting>
  <conditionalFormatting sqref="AF72">
    <cfRule type="cellIs" dxfId="8811" priority="143292" stopIfTrue="1" operator="lessThan">
      <formula>0.5</formula>
    </cfRule>
  </conditionalFormatting>
  <conditionalFormatting sqref="AF72">
    <cfRule type="cellIs" dxfId="8810" priority="143293" stopIfTrue="1" operator="greaterThanOrEqual">
      <formula>0.5</formula>
    </cfRule>
  </conditionalFormatting>
  <conditionalFormatting sqref="AF73">
    <cfRule type="cellIs" dxfId="8809" priority="143294" stopIfTrue="1" operator="equal">
      <formula>-1</formula>
    </cfRule>
  </conditionalFormatting>
  <conditionalFormatting sqref="AF73">
    <cfRule type="cellIs" dxfId="8808" priority="143295" stopIfTrue="1" operator="lessThan">
      <formula>0.5</formula>
    </cfRule>
  </conditionalFormatting>
  <conditionalFormatting sqref="AF73">
    <cfRule type="cellIs" dxfId="8807" priority="143296" stopIfTrue="1" operator="greaterThanOrEqual">
      <formula>0.5</formula>
    </cfRule>
  </conditionalFormatting>
  <conditionalFormatting sqref="AF74">
    <cfRule type="cellIs" dxfId="8806" priority="143297" stopIfTrue="1" operator="equal">
      <formula>-1</formula>
    </cfRule>
  </conditionalFormatting>
  <conditionalFormatting sqref="AF74">
    <cfRule type="cellIs" dxfId="8805" priority="143298" stopIfTrue="1" operator="lessThan">
      <formula>0.5</formula>
    </cfRule>
  </conditionalFormatting>
  <conditionalFormatting sqref="AF74">
    <cfRule type="cellIs" dxfId="8804" priority="143299" stopIfTrue="1" operator="greaterThanOrEqual">
      <formula>0.5</formula>
    </cfRule>
  </conditionalFormatting>
  <conditionalFormatting sqref="AF75">
    <cfRule type="cellIs" dxfId="8803" priority="143300" stopIfTrue="1" operator="equal">
      <formula>-1</formula>
    </cfRule>
  </conditionalFormatting>
  <conditionalFormatting sqref="AF75">
    <cfRule type="cellIs" dxfId="8802" priority="143301" stopIfTrue="1" operator="lessThan">
      <formula>0.5</formula>
    </cfRule>
  </conditionalFormatting>
  <conditionalFormatting sqref="AF75">
    <cfRule type="cellIs" dxfId="8801" priority="143302" stopIfTrue="1" operator="greaterThanOrEqual">
      <formula>0.5</formula>
    </cfRule>
  </conditionalFormatting>
  <conditionalFormatting sqref="AF76">
    <cfRule type="cellIs" dxfId="8800" priority="143303" stopIfTrue="1" operator="equal">
      <formula>-1</formula>
    </cfRule>
  </conditionalFormatting>
  <conditionalFormatting sqref="AF76">
    <cfRule type="cellIs" dxfId="8799" priority="143304" stopIfTrue="1" operator="lessThan">
      <formula>0.5</formula>
    </cfRule>
  </conditionalFormatting>
  <conditionalFormatting sqref="AF76">
    <cfRule type="cellIs" dxfId="8798" priority="143305" stopIfTrue="1" operator="greaterThanOrEqual">
      <formula>0.5</formula>
    </cfRule>
  </conditionalFormatting>
  <conditionalFormatting sqref="AF77">
    <cfRule type="cellIs" dxfId="8797" priority="143306" stopIfTrue="1" operator="equal">
      <formula>-1</formula>
    </cfRule>
  </conditionalFormatting>
  <conditionalFormatting sqref="AF77">
    <cfRule type="cellIs" dxfId="8796" priority="143307" stopIfTrue="1" operator="lessThan">
      <formula>0.5</formula>
    </cfRule>
  </conditionalFormatting>
  <conditionalFormatting sqref="AF77">
    <cfRule type="cellIs" dxfId="8795" priority="143308" stopIfTrue="1" operator="greaterThanOrEqual">
      <formula>0.5</formula>
    </cfRule>
  </conditionalFormatting>
  <conditionalFormatting sqref="AF78">
    <cfRule type="cellIs" dxfId="8794" priority="143309" stopIfTrue="1" operator="equal">
      <formula>-1</formula>
    </cfRule>
  </conditionalFormatting>
  <conditionalFormatting sqref="AF78">
    <cfRule type="cellIs" dxfId="8793" priority="143310" stopIfTrue="1" operator="lessThan">
      <formula>0.5</formula>
    </cfRule>
  </conditionalFormatting>
  <conditionalFormatting sqref="AF78">
    <cfRule type="cellIs" dxfId="8792" priority="143311" stopIfTrue="1" operator="greaterThanOrEqual">
      <formula>0.5</formula>
    </cfRule>
  </conditionalFormatting>
  <conditionalFormatting sqref="AF79">
    <cfRule type="cellIs" dxfId="8791" priority="143312" stopIfTrue="1" operator="equal">
      <formula>-1</formula>
    </cfRule>
  </conditionalFormatting>
  <conditionalFormatting sqref="AF79">
    <cfRule type="cellIs" dxfId="8790" priority="143313" stopIfTrue="1" operator="lessThan">
      <formula>0.5</formula>
    </cfRule>
  </conditionalFormatting>
  <conditionalFormatting sqref="AF79">
    <cfRule type="cellIs" dxfId="8789" priority="143314" stopIfTrue="1" operator="greaterThanOrEqual">
      <formula>0.5</formula>
    </cfRule>
  </conditionalFormatting>
  <conditionalFormatting sqref="AF80">
    <cfRule type="cellIs" dxfId="8788" priority="143315" stopIfTrue="1" operator="equal">
      <formula>-1</formula>
    </cfRule>
  </conditionalFormatting>
  <conditionalFormatting sqref="AF80">
    <cfRule type="cellIs" dxfId="8787" priority="143316" stopIfTrue="1" operator="lessThan">
      <formula>0.5</formula>
    </cfRule>
  </conditionalFormatting>
  <conditionalFormatting sqref="AF80">
    <cfRule type="cellIs" dxfId="8786" priority="143317" stopIfTrue="1" operator="greaterThanOrEqual">
      <formula>0.5</formula>
    </cfRule>
  </conditionalFormatting>
  <conditionalFormatting sqref="AF81">
    <cfRule type="cellIs" dxfId="8785" priority="143318" stopIfTrue="1" operator="equal">
      <formula>-1</formula>
    </cfRule>
  </conditionalFormatting>
  <conditionalFormatting sqref="AF81">
    <cfRule type="cellIs" dxfId="8784" priority="143319" stopIfTrue="1" operator="lessThan">
      <formula>0.5</formula>
    </cfRule>
  </conditionalFormatting>
  <conditionalFormatting sqref="AF81">
    <cfRule type="cellIs" dxfId="8783" priority="143320" stopIfTrue="1" operator="greaterThanOrEqual">
      <formula>0.5</formula>
    </cfRule>
  </conditionalFormatting>
  <conditionalFormatting sqref="AF82">
    <cfRule type="cellIs" dxfId="8782" priority="143321" stopIfTrue="1" operator="equal">
      <formula>-1</formula>
    </cfRule>
  </conditionalFormatting>
  <conditionalFormatting sqref="AF82">
    <cfRule type="cellIs" dxfId="8781" priority="143322" stopIfTrue="1" operator="lessThan">
      <formula>0.5</formula>
    </cfRule>
  </conditionalFormatting>
  <conditionalFormatting sqref="AF82">
    <cfRule type="cellIs" dxfId="8780" priority="143323" stopIfTrue="1" operator="greaterThanOrEqual">
      <formula>0.5</formula>
    </cfRule>
  </conditionalFormatting>
  <conditionalFormatting sqref="AF83">
    <cfRule type="cellIs" dxfId="8779" priority="143324" stopIfTrue="1" operator="equal">
      <formula>-1</formula>
    </cfRule>
  </conditionalFormatting>
  <conditionalFormatting sqref="AF83">
    <cfRule type="cellIs" dxfId="8778" priority="143325" stopIfTrue="1" operator="lessThan">
      <formula>0.5</formula>
    </cfRule>
  </conditionalFormatting>
  <conditionalFormatting sqref="AF83">
    <cfRule type="cellIs" dxfId="8777" priority="143326" stopIfTrue="1" operator="greaterThanOrEqual">
      <formula>0.5</formula>
    </cfRule>
  </conditionalFormatting>
  <conditionalFormatting sqref="AF84">
    <cfRule type="cellIs" dxfId="8776" priority="143327" stopIfTrue="1" operator="equal">
      <formula>-1</formula>
    </cfRule>
  </conditionalFormatting>
  <conditionalFormatting sqref="AF84">
    <cfRule type="cellIs" dxfId="8775" priority="143328" stopIfTrue="1" operator="lessThan">
      <formula>0.5</formula>
    </cfRule>
  </conditionalFormatting>
  <conditionalFormatting sqref="AF84">
    <cfRule type="cellIs" dxfId="8774" priority="143329" stopIfTrue="1" operator="greaterThanOrEqual">
      <formula>0.5</formula>
    </cfRule>
  </conditionalFormatting>
  <conditionalFormatting sqref="AF85">
    <cfRule type="cellIs" dxfId="8773" priority="143330" stopIfTrue="1" operator="equal">
      <formula>-1</formula>
    </cfRule>
  </conditionalFormatting>
  <conditionalFormatting sqref="AF85">
    <cfRule type="cellIs" dxfId="8772" priority="143331" stopIfTrue="1" operator="lessThan">
      <formula>0.5</formula>
    </cfRule>
  </conditionalFormatting>
  <conditionalFormatting sqref="AF85">
    <cfRule type="cellIs" dxfId="8771" priority="143332" stopIfTrue="1" operator="greaterThanOrEqual">
      <formula>0.5</formula>
    </cfRule>
  </conditionalFormatting>
  <conditionalFormatting sqref="AH65">
    <cfRule type="cellIs" dxfId="8770" priority="143333" stopIfTrue="1" operator="equal">
      <formula>-1</formula>
    </cfRule>
  </conditionalFormatting>
  <conditionalFormatting sqref="AH65">
    <cfRule type="cellIs" dxfId="8769" priority="143334" stopIfTrue="1" operator="lessThan">
      <formula>0.5</formula>
    </cfRule>
  </conditionalFormatting>
  <conditionalFormatting sqref="AH65">
    <cfRule type="cellIs" dxfId="8768" priority="143335" stopIfTrue="1" operator="greaterThanOrEqual">
      <formula>0.5</formula>
    </cfRule>
  </conditionalFormatting>
  <conditionalFormatting sqref="AH66">
    <cfRule type="cellIs" dxfId="8767" priority="143336" stopIfTrue="1" operator="equal">
      <formula>-1</formula>
    </cfRule>
  </conditionalFormatting>
  <conditionalFormatting sqref="AH66">
    <cfRule type="cellIs" dxfId="8766" priority="143337" stopIfTrue="1" operator="lessThan">
      <formula>0.5</formula>
    </cfRule>
  </conditionalFormatting>
  <conditionalFormatting sqref="AH66">
    <cfRule type="cellIs" dxfId="8765" priority="143338" stopIfTrue="1" operator="greaterThanOrEqual">
      <formula>0.5</formula>
    </cfRule>
  </conditionalFormatting>
  <conditionalFormatting sqref="AH67">
    <cfRule type="cellIs" dxfId="8764" priority="143339" stopIfTrue="1" operator="equal">
      <formula>-1</formula>
    </cfRule>
  </conditionalFormatting>
  <conditionalFormatting sqref="AH67">
    <cfRule type="cellIs" dxfId="8763" priority="143340" stopIfTrue="1" operator="lessThan">
      <formula>0.5</formula>
    </cfRule>
  </conditionalFormatting>
  <conditionalFormatting sqref="AH67">
    <cfRule type="cellIs" dxfId="8762" priority="143341" stopIfTrue="1" operator="greaterThanOrEqual">
      <formula>0.5</formula>
    </cfRule>
  </conditionalFormatting>
  <conditionalFormatting sqref="AH68">
    <cfRule type="cellIs" dxfId="8761" priority="143342" stopIfTrue="1" operator="equal">
      <formula>-1</formula>
    </cfRule>
  </conditionalFormatting>
  <conditionalFormatting sqref="AH68">
    <cfRule type="cellIs" dxfId="8760" priority="143343" stopIfTrue="1" operator="lessThan">
      <formula>0.5</formula>
    </cfRule>
  </conditionalFormatting>
  <conditionalFormatting sqref="AH68">
    <cfRule type="cellIs" dxfId="8759" priority="143344" stopIfTrue="1" operator="greaterThanOrEqual">
      <formula>0.5</formula>
    </cfRule>
  </conditionalFormatting>
  <conditionalFormatting sqref="AH69">
    <cfRule type="cellIs" dxfId="8758" priority="143345" stopIfTrue="1" operator="equal">
      <formula>-1</formula>
    </cfRule>
  </conditionalFormatting>
  <conditionalFormatting sqref="AH69">
    <cfRule type="cellIs" dxfId="8757" priority="143346" stopIfTrue="1" operator="lessThan">
      <formula>0.5</formula>
    </cfRule>
  </conditionalFormatting>
  <conditionalFormatting sqref="AH69">
    <cfRule type="cellIs" dxfId="8756" priority="143347" stopIfTrue="1" operator="greaterThanOrEqual">
      <formula>0.5</formula>
    </cfRule>
  </conditionalFormatting>
  <conditionalFormatting sqref="AH70">
    <cfRule type="cellIs" dxfId="8755" priority="143348" stopIfTrue="1" operator="equal">
      <formula>-1</formula>
    </cfRule>
  </conditionalFormatting>
  <conditionalFormatting sqref="AH70">
    <cfRule type="cellIs" dxfId="8754" priority="143349" stopIfTrue="1" operator="lessThan">
      <formula>0.5</formula>
    </cfRule>
  </conditionalFormatting>
  <conditionalFormatting sqref="AH70">
    <cfRule type="cellIs" dxfId="8753" priority="143350" stopIfTrue="1" operator="greaterThanOrEqual">
      <formula>0.5</formula>
    </cfRule>
  </conditionalFormatting>
  <conditionalFormatting sqref="AH71">
    <cfRule type="cellIs" dxfId="8752" priority="143351" stopIfTrue="1" operator="equal">
      <formula>-1</formula>
    </cfRule>
  </conditionalFormatting>
  <conditionalFormatting sqref="AH71">
    <cfRule type="cellIs" dxfId="8751" priority="143352" stopIfTrue="1" operator="lessThan">
      <formula>0.5</formula>
    </cfRule>
  </conditionalFormatting>
  <conditionalFormatting sqref="AH71">
    <cfRule type="cellIs" dxfId="8750" priority="143353" stopIfTrue="1" operator="greaterThanOrEqual">
      <formula>0.5</formula>
    </cfRule>
  </conditionalFormatting>
  <conditionalFormatting sqref="AH72">
    <cfRule type="cellIs" dxfId="8749" priority="143354" stopIfTrue="1" operator="equal">
      <formula>-1</formula>
    </cfRule>
  </conditionalFormatting>
  <conditionalFormatting sqref="AH72">
    <cfRule type="cellIs" dxfId="8748" priority="143355" stopIfTrue="1" operator="lessThan">
      <formula>0.5</formula>
    </cfRule>
  </conditionalFormatting>
  <conditionalFormatting sqref="AH72">
    <cfRule type="cellIs" dxfId="8747" priority="143356" stopIfTrue="1" operator="greaterThanOrEqual">
      <formula>0.5</formula>
    </cfRule>
  </conditionalFormatting>
  <conditionalFormatting sqref="AH73">
    <cfRule type="cellIs" dxfId="8746" priority="143357" stopIfTrue="1" operator="equal">
      <formula>-1</formula>
    </cfRule>
  </conditionalFormatting>
  <conditionalFormatting sqref="AH73">
    <cfRule type="cellIs" dxfId="8745" priority="143358" stopIfTrue="1" operator="lessThan">
      <formula>0.5</formula>
    </cfRule>
  </conditionalFormatting>
  <conditionalFormatting sqref="AH73">
    <cfRule type="cellIs" dxfId="8744" priority="143359" stopIfTrue="1" operator="greaterThanOrEqual">
      <formula>0.5</formula>
    </cfRule>
  </conditionalFormatting>
  <conditionalFormatting sqref="AH74">
    <cfRule type="cellIs" dxfId="8743" priority="143360" stopIfTrue="1" operator="equal">
      <formula>-1</formula>
    </cfRule>
  </conditionalFormatting>
  <conditionalFormatting sqref="AH74">
    <cfRule type="cellIs" dxfId="8742" priority="143361" stopIfTrue="1" operator="lessThan">
      <formula>0.5</formula>
    </cfRule>
  </conditionalFormatting>
  <conditionalFormatting sqref="AH74">
    <cfRule type="cellIs" dxfId="8741" priority="143362" stopIfTrue="1" operator="greaterThanOrEqual">
      <formula>0.5</formula>
    </cfRule>
  </conditionalFormatting>
  <conditionalFormatting sqref="AH75">
    <cfRule type="cellIs" dxfId="8740" priority="143363" stopIfTrue="1" operator="equal">
      <formula>-1</formula>
    </cfRule>
  </conditionalFormatting>
  <conditionalFormatting sqref="AH75">
    <cfRule type="cellIs" dxfId="8739" priority="143364" stopIfTrue="1" operator="lessThan">
      <formula>0.5</formula>
    </cfRule>
  </conditionalFormatting>
  <conditionalFormatting sqref="AH75">
    <cfRule type="cellIs" dxfId="8738" priority="143365" stopIfTrue="1" operator="greaterThanOrEqual">
      <formula>0.5</formula>
    </cfRule>
  </conditionalFormatting>
  <conditionalFormatting sqref="AH76">
    <cfRule type="cellIs" dxfId="8737" priority="143366" stopIfTrue="1" operator="equal">
      <formula>-1</formula>
    </cfRule>
  </conditionalFormatting>
  <conditionalFormatting sqref="AH76">
    <cfRule type="cellIs" dxfId="8736" priority="143367" stopIfTrue="1" operator="lessThan">
      <formula>0.5</formula>
    </cfRule>
  </conditionalFormatting>
  <conditionalFormatting sqref="AH76">
    <cfRule type="cellIs" dxfId="8735" priority="143368" stopIfTrue="1" operator="greaterThanOrEqual">
      <formula>0.5</formula>
    </cfRule>
  </conditionalFormatting>
  <conditionalFormatting sqref="AH77">
    <cfRule type="cellIs" dxfId="8734" priority="143369" stopIfTrue="1" operator="equal">
      <formula>-1</formula>
    </cfRule>
  </conditionalFormatting>
  <conditionalFormatting sqref="AH77">
    <cfRule type="cellIs" dxfId="8733" priority="143370" stopIfTrue="1" operator="lessThan">
      <formula>0.5</formula>
    </cfRule>
  </conditionalFormatting>
  <conditionalFormatting sqref="AH77">
    <cfRule type="cellIs" dxfId="8732" priority="143371" stopIfTrue="1" operator="greaterThanOrEqual">
      <formula>0.5</formula>
    </cfRule>
  </conditionalFormatting>
  <conditionalFormatting sqref="AH78">
    <cfRule type="cellIs" dxfId="8731" priority="143372" stopIfTrue="1" operator="equal">
      <formula>-1</formula>
    </cfRule>
  </conditionalFormatting>
  <conditionalFormatting sqref="AH78">
    <cfRule type="cellIs" dxfId="8730" priority="143373" stopIfTrue="1" operator="lessThan">
      <formula>0.5</formula>
    </cfRule>
  </conditionalFormatting>
  <conditionalFormatting sqref="AH78">
    <cfRule type="cellIs" dxfId="8729" priority="143374" stopIfTrue="1" operator="greaterThanOrEqual">
      <formula>0.5</formula>
    </cfRule>
  </conditionalFormatting>
  <conditionalFormatting sqref="AH79">
    <cfRule type="cellIs" dxfId="8728" priority="143375" stopIfTrue="1" operator="equal">
      <formula>-1</formula>
    </cfRule>
  </conditionalFormatting>
  <conditionalFormatting sqref="AH79">
    <cfRule type="cellIs" dxfId="8727" priority="143376" stopIfTrue="1" operator="lessThan">
      <formula>0.5</formula>
    </cfRule>
  </conditionalFormatting>
  <conditionalFormatting sqref="AH79">
    <cfRule type="cellIs" dxfId="8726" priority="143377" stopIfTrue="1" operator="greaterThanOrEqual">
      <formula>0.5</formula>
    </cfRule>
  </conditionalFormatting>
  <conditionalFormatting sqref="AH80">
    <cfRule type="cellIs" dxfId="8725" priority="143378" stopIfTrue="1" operator="equal">
      <formula>-1</formula>
    </cfRule>
  </conditionalFormatting>
  <conditionalFormatting sqref="AH80">
    <cfRule type="cellIs" dxfId="8724" priority="143379" stopIfTrue="1" operator="lessThan">
      <formula>0.5</formula>
    </cfRule>
  </conditionalFormatting>
  <conditionalFormatting sqref="AH80">
    <cfRule type="cellIs" dxfId="8723" priority="143380" stopIfTrue="1" operator="greaterThanOrEqual">
      <formula>0.5</formula>
    </cfRule>
  </conditionalFormatting>
  <conditionalFormatting sqref="AH81">
    <cfRule type="cellIs" dxfId="8722" priority="143381" stopIfTrue="1" operator="equal">
      <formula>-1</formula>
    </cfRule>
  </conditionalFormatting>
  <conditionalFormatting sqref="AH81">
    <cfRule type="cellIs" dxfId="8721" priority="143382" stopIfTrue="1" operator="lessThan">
      <formula>0.5</formula>
    </cfRule>
  </conditionalFormatting>
  <conditionalFormatting sqref="AH81">
    <cfRule type="cellIs" dxfId="8720" priority="143383" stopIfTrue="1" operator="greaterThanOrEqual">
      <formula>0.5</formula>
    </cfRule>
  </conditionalFormatting>
  <conditionalFormatting sqref="AH82">
    <cfRule type="cellIs" dxfId="8719" priority="143384" stopIfTrue="1" operator="equal">
      <formula>-1</formula>
    </cfRule>
  </conditionalFormatting>
  <conditionalFormatting sqref="AH82">
    <cfRule type="cellIs" dxfId="8718" priority="143385" stopIfTrue="1" operator="lessThan">
      <formula>0.5</formula>
    </cfRule>
  </conditionalFormatting>
  <conditionalFormatting sqref="AH82">
    <cfRule type="cellIs" dxfId="8717" priority="143386" stopIfTrue="1" operator="greaterThanOrEqual">
      <formula>0.5</formula>
    </cfRule>
  </conditionalFormatting>
  <conditionalFormatting sqref="AH83">
    <cfRule type="cellIs" dxfId="8716" priority="143387" stopIfTrue="1" operator="equal">
      <formula>-1</formula>
    </cfRule>
  </conditionalFormatting>
  <conditionalFormatting sqref="AH83">
    <cfRule type="cellIs" dxfId="8715" priority="143388" stopIfTrue="1" operator="lessThan">
      <formula>0.5</formula>
    </cfRule>
  </conditionalFormatting>
  <conditionalFormatting sqref="AH83">
    <cfRule type="cellIs" dxfId="8714" priority="143389" stopIfTrue="1" operator="greaterThanOrEqual">
      <formula>0.5</formula>
    </cfRule>
  </conditionalFormatting>
  <conditionalFormatting sqref="AH84">
    <cfRule type="cellIs" dxfId="8713" priority="143390" stopIfTrue="1" operator="equal">
      <formula>-1</formula>
    </cfRule>
  </conditionalFormatting>
  <conditionalFormatting sqref="AH84">
    <cfRule type="cellIs" dxfId="8712" priority="143391" stopIfTrue="1" operator="lessThan">
      <formula>0.5</formula>
    </cfRule>
  </conditionalFormatting>
  <conditionalFormatting sqref="AH84">
    <cfRule type="cellIs" dxfId="8711" priority="143392" stopIfTrue="1" operator="greaterThanOrEqual">
      <formula>0.5</formula>
    </cfRule>
  </conditionalFormatting>
  <conditionalFormatting sqref="AH85">
    <cfRule type="cellIs" dxfId="8710" priority="143393" stopIfTrue="1" operator="equal">
      <formula>-1</formula>
    </cfRule>
  </conditionalFormatting>
  <conditionalFormatting sqref="AH85">
    <cfRule type="cellIs" dxfId="8709" priority="143394" stopIfTrue="1" operator="lessThan">
      <formula>0.5</formula>
    </cfRule>
  </conditionalFormatting>
  <conditionalFormatting sqref="AH85">
    <cfRule type="cellIs" dxfId="8708" priority="143395" stopIfTrue="1" operator="greaterThanOrEqual">
      <formula>0.5</formula>
    </cfRule>
  </conditionalFormatting>
  <conditionalFormatting sqref="AJ65">
    <cfRule type="cellIs" dxfId="8707" priority="143396" stopIfTrue="1" operator="equal">
      <formula>-1</formula>
    </cfRule>
  </conditionalFormatting>
  <conditionalFormatting sqref="AJ65">
    <cfRule type="cellIs" dxfId="8706" priority="143397" stopIfTrue="1" operator="lessThan">
      <formula>0.5</formula>
    </cfRule>
  </conditionalFormatting>
  <conditionalFormatting sqref="AJ65">
    <cfRule type="cellIs" dxfId="8705" priority="143398" stopIfTrue="1" operator="greaterThanOrEqual">
      <formula>0.5</formula>
    </cfRule>
  </conditionalFormatting>
  <conditionalFormatting sqref="AJ66">
    <cfRule type="cellIs" dxfId="8704" priority="143399" stopIfTrue="1" operator="equal">
      <formula>-1</formula>
    </cfRule>
  </conditionalFormatting>
  <conditionalFormatting sqref="AJ66">
    <cfRule type="cellIs" dxfId="8703" priority="143400" stopIfTrue="1" operator="lessThan">
      <formula>0.5</formula>
    </cfRule>
  </conditionalFormatting>
  <conditionalFormatting sqref="AJ66">
    <cfRule type="cellIs" dxfId="8702" priority="143401" stopIfTrue="1" operator="greaterThanOrEqual">
      <formula>0.5</formula>
    </cfRule>
  </conditionalFormatting>
  <conditionalFormatting sqref="AJ67">
    <cfRule type="cellIs" dxfId="8701" priority="143402" stopIfTrue="1" operator="equal">
      <formula>-1</formula>
    </cfRule>
  </conditionalFormatting>
  <conditionalFormatting sqref="AJ67">
    <cfRule type="cellIs" dxfId="8700" priority="143403" stopIfTrue="1" operator="lessThan">
      <formula>0.5</formula>
    </cfRule>
  </conditionalFormatting>
  <conditionalFormatting sqref="AJ67">
    <cfRule type="cellIs" dxfId="8699" priority="143404" stopIfTrue="1" operator="greaterThanOrEqual">
      <formula>0.5</formula>
    </cfRule>
  </conditionalFormatting>
  <conditionalFormatting sqref="AJ68">
    <cfRule type="cellIs" dxfId="8698" priority="143405" stopIfTrue="1" operator="equal">
      <formula>-1</formula>
    </cfRule>
  </conditionalFormatting>
  <conditionalFormatting sqref="AJ68">
    <cfRule type="cellIs" dxfId="8697" priority="143406" stopIfTrue="1" operator="lessThan">
      <formula>0.5</formula>
    </cfRule>
  </conditionalFormatting>
  <conditionalFormatting sqref="AJ68">
    <cfRule type="cellIs" dxfId="8696" priority="143407" stopIfTrue="1" operator="greaterThanOrEqual">
      <formula>0.5</formula>
    </cfRule>
  </conditionalFormatting>
  <conditionalFormatting sqref="AJ69">
    <cfRule type="cellIs" dxfId="8695" priority="143408" stopIfTrue="1" operator="equal">
      <formula>-1</formula>
    </cfRule>
  </conditionalFormatting>
  <conditionalFormatting sqref="AJ69">
    <cfRule type="cellIs" dxfId="8694" priority="143409" stopIfTrue="1" operator="lessThan">
      <formula>0.5</formula>
    </cfRule>
  </conditionalFormatting>
  <conditionalFormatting sqref="AJ69">
    <cfRule type="cellIs" dxfId="8693" priority="143410" stopIfTrue="1" operator="greaterThanOrEqual">
      <formula>0.5</formula>
    </cfRule>
  </conditionalFormatting>
  <conditionalFormatting sqref="AJ70">
    <cfRule type="cellIs" dxfId="8692" priority="143411" stopIfTrue="1" operator="equal">
      <formula>-1</formula>
    </cfRule>
  </conditionalFormatting>
  <conditionalFormatting sqref="AJ70">
    <cfRule type="cellIs" dxfId="8691" priority="143412" stopIfTrue="1" operator="lessThan">
      <formula>0.5</formula>
    </cfRule>
  </conditionalFormatting>
  <conditionalFormatting sqref="AJ70">
    <cfRule type="cellIs" dxfId="8690" priority="143413" stopIfTrue="1" operator="greaterThanOrEqual">
      <formula>0.5</formula>
    </cfRule>
  </conditionalFormatting>
  <conditionalFormatting sqref="AJ71">
    <cfRule type="cellIs" dxfId="8689" priority="143414" stopIfTrue="1" operator="equal">
      <formula>-1</formula>
    </cfRule>
  </conditionalFormatting>
  <conditionalFormatting sqref="AJ71">
    <cfRule type="cellIs" dxfId="8688" priority="143415" stopIfTrue="1" operator="lessThan">
      <formula>0.5</formula>
    </cfRule>
  </conditionalFormatting>
  <conditionalFormatting sqref="AJ71">
    <cfRule type="cellIs" dxfId="8687" priority="143416" stopIfTrue="1" operator="greaterThanOrEqual">
      <formula>0.5</formula>
    </cfRule>
  </conditionalFormatting>
  <conditionalFormatting sqref="AJ72">
    <cfRule type="cellIs" dxfId="8686" priority="143417" stopIfTrue="1" operator="equal">
      <formula>-1</formula>
    </cfRule>
  </conditionalFormatting>
  <conditionalFormatting sqref="AJ72">
    <cfRule type="cellIs" dxfId="8685" priority="143418" stopIfTrue="1" operator="lessThan">
      <formula>0.5</formula>
    </cfRule>
  </conditionalFormatting>
  <conditionalFormatting sqref="AJ72">
    <cfRule type="cellIs" dxfId="8684" priority="143419" stopIfTrue="1" operator="greaterThanOrEqual">
      <formula>0.5</formula>
    </cfRule>
  </conditionalFormatting>
  <conditionalFormatting sqref="AJ73">
    <cfRule type="cellIs" dxfId="8683" priority="143420" stopIfTrue="1" operator="equal">
      <formula>-1</formula>
    </cfRule>
  </conditionalFormatting>
  <conditionalFormatting sqref="AJ73">
    <cfRule type="cellIs" dxfId="8682" priority="143421" stopIfTrue="1" operator="lessThan">
      <formula>0.5</formula>
    </cfRule>
  </conditionalFormatting>
  <conditionalFormatting sqref="AJ73">
    <cfRule type="cellIs" dxfId="8681" priority="143422" stopIfTrue="1" operator="greaterThanOrEqual">
      <formula>0.5</formula>
    </cfRule>
  </conditionalFormatting>
  <conditionalFormatting sqref="AJ74">
    <cfRule type="cellIs" dxfId="8680" priority="143423" stopIfTrue="1" operator="equal">
      <formula>-1</formula>
    </cfRule>
  </conditionalFormatting>
  <conditionalFormatting sqref="AJ74">
    <cfRule type="cellIs" dxfId="8679" priority="143424" stopIfTrue="1" operator="lessThan">
      <formula>0.5</formula>
    </cfRule>
  </conditionalFormatting>
  <conditionalFormatting sqref="AJ74">
    <cfRule type="cellIs" dxfId="8678" priority="143425" stopIfTrue="1" operator="greaterThanOrEqual">
      <formula>0.5</formula>
    </cfRule>
  </conditionalFormatting>
  <conditionalFormatting sqref="AJ75">
    <cfRule type="cellIs" dxfId="8677" priority="143426" stopIfTrue="1" operator="equal">
      <formula>-1</formula>
    </cfRule>
  </conditionalFormatting>
  <conditionalFormatting sqref="AJ75">
    <cfRule type="cellIs" dxfId="8676" priority="143427" stopIfTrue="1" operator="lessThan">
      <formula>0.5</formula>
    </cfRule>
  </conditionalFormatting>
  <conditionalFormatting sqref="AJ75">
    <cfRule type="cellIs" dxfId="8675" priority="143428" stopIfTrue="1" operator="greaterThanOrEqual">
      <formula>0.5</formula>
    </cfRule>
  </conditionalFormatting>
  <conditionalFormatting sqref="AJ76">
    <cfRule type="cellIs" dxfId="8674" priority="143429" stopIfTrue="1" operator="equal">
      <formula>-1</formula>
    </cfRule>
  </conditionalFormatting>
  <conditionalFormatting sqref="AJ76">
    <cfRule type="cellIs" dxfId="8673" priority="143430" stopIfTrue="1" operator="lessThan">
      <formula>0.5</formula>
    </cfRule>
  </conditionalFormatting>
  <conditionalFormatting sqref="AJ76">
    <cfRule type="cellIs" dxfId="8672" priority="143431" stopIfTrue="1" operator="greaterThanOrEqual">
      <formula>0.5</formula>
    </cfRule>
  </conditionalFormatting>
  <conditionalFormatting sqref="AJ77">
    <cfRule type="cellIs" dxfId="8671" priority="143432" stopIfTrue="1" operator="equal">
      <formula>-1</formula>
    </cfRule>
  </conditionalFormatting>
  <conditionalFormatting sqref="AJ77">
    <cfRule type="cellIs" dxfId="8670" priority="143433" stopIfTrue="1" operator="lessThan">
      <formula>0.5</formula>
    </cfRule>
  </conditionalFormatting>
  <conditionalFormatting sqref="AJ77">
    <cfRule type="cellIs" dxfId="8669" priority="143434" stopIfTrue="1" operator="greaterThanOrEqual">
      <formula>0.5</formula>
    </cfRule>
  </conditionalFormatting>
  <conditionalFormatting sqref="AJ78">
    <cfRule type="cellIs" dxfId="8668" priority="143435" stopIfTrue="1" operator="equal">
      <formula>-1</formula>
    </cfRule>
  </conditionalFormatting>
  <conditionalFormatting sqref="AJ78">
    <cfRule type="cellIs" dxfId="8667" priority="143436" stopIfTrue="1" operator="lessThan">
      <formula>0.5</formula>
    </cfRule>
  </conditionalFormatting>
  <conditionalFormatting sqref="AJ78">
    <cfRule type="cellIs" dxfId="8666" priority="143437" stopIfTrue="1" operator="greaterThanOrEqual">
      <formula>0.5</formula>
    </cfRule>
  </conditionalFormatting>
  <conditionalFormatting sqref="AJ79">
    <cfRule type="cellIs" dxfId="8665" priority="143438" stopIfTrue="1" operator="equal">
      <formula>-1</formula>
    </cfRule>
  </conditionalFormatting>
  <conditionalFormatting sqref="AJ79">
    <cfRule type="cellIs" dxfId="8664" priority="143439" stopIfTrue="1" operator="lessThan">
      <formula>0.5</formula>
    </cfRule>
  </conditionalFormatting>
  <conditionalFormatting sqref="AJ79">
    <cfRule type="cellIs" dxfId="8663" priority="143440" stopIfTrue="1" operator="greaterThanOrEqual">
      <formula>0.5</formula>
    </cfRule>
  </conditionalFormatting>
  <conditionalFormatting sqref="AJ80">
    <cfRule type="cellIs" dxfId="8662" priority="143441" stopIfTrue="1" operator="equal">
      <formula>-1</formula>
    </cfRule>
  </conditionalFormatting>
  <conditionalFormatting sqref="AJ80">
    <cfRule type="cellIs" dxfId="8661" priority="143442" stopIfTrue="1" operator="lessThan">
      <formula>0.5</formula>
    </cfRule>
  </conditionalFormatting>
  <conditionalFormatting sqref="AJ80">
    <cfRule type="cellIs" dxfId="8660" priority="143443" stopIfTrue="1" operator="greaterThanOrEqual">
      <formula>0.5</formula>
    </cfRule>
  </conditionalFormatting>
  <conditionalFormatting sqref="AJ81">
    <cfRule type="cellIs" dxfId="8659" priority="143444" stopIfTrue="1" operator="equal">
      <formula>-1</formula>
    </cfRule>
  </conditionalFormatting>
  <conditionalFormatting sqref="AJ81">
    <cfRule type="cellIs" dxfId="8658" priority="143445" stopIfTrue="1" operator="lessThan">
      <formula>0.5</formula>
    </cfRule>
  </conditionalFormatting>
  <conditionalFormatting sqref="AJ81">
    <cfRule type="cellIs" dxfId="8657" priority="143446" stopIfTrue="1" operator="greaterThanOrEqual">
      <formula>0.5</formula>
    </cfRule>
  </conditionalFormatting>
  <conditionalFormatting sqref="AJ82">
    <cfRule type="cellIs" dxfId="8656" priority="143447" stopIfTrue="1" operator="equal">
      <formula>-1</formula>
    </cfRule>
  </conditionalFormatting>
  <conditionalFormatting sqref="AJ82">
    <cfRule type="cellIs" dxfId="8655" priority="143448" stopIfTrue="1" operator="lessThan">
      <formula>0.5</formula>
    </cfRule>
  </conditionalFormatting>
  <conditionalFormatting sqref="AJ82">
    <cfRule type="cellIs" dxfId="8654" priority="143449" stopIfTrue="1" operator="greaterThanOrEqual">
      <formula>0.5</formula>
    </cfRule>
  </conditionalFormatting>
  <conditionalFormatting sqref="AJ83">
    <cfRule type="cellIs" dxfId="8653" priority="143450" stopIfTrue="1" operator="equal">
      <formula>-1</formula>
    </cfRule>
  </conditionalFormatting>
  <conditionalFormatting sqref="AJ83">
    <cfRule type="cellIs" dxfId="8652" priority="143451" stopIfTrue="1" operator="lessThan">
      <formula>0.5</formula>
    </cfRule>
  </conditionalFormatting>
  <conditionalFormatting sqref="AJ83">
    <cfRule type="cellIs" dxfId="8651" priority="143452" stopIfTrue="1" operator="greaterThanOrEqual">
      <formula>0.5</formula>
    </cfRule>
  </conditionalFormatting>
  <conditionalFormatting sqref="AJ84">
    <cfRule type="cellIs" dxfId="8650" priority="143453" stopIfTrue="1" operator="equal">
      <formula>-1</formula>
    </cfRule>
  </conditionalFormatting>
  <conditionalFormatting sqref="AJ84">
    <cfRule type="cellIs" dxfId="8649" priority="143454" stopIfTrue="1" operator="lessThan">
      <formula>0.5</formula>
    </cfRule>
  </conditionalFormatting>
  <conditionalFormatting sqref="AJ84">
    <cfRule type="cellIs" dxfId="8648" priority="143455" stopIfTrue="1" operator="greaterThanOrEqual">
      <formula>0.5</formula>
    </cfRule>
  </conditionalFormatting>
  <conditionalFormatting sqref="AJ85">
    <cfRule type="cellIs" dxfId="8647" priority="143456" stopIfTrue="1" operator="equal">
      <formula>-1</formula>
    </cfRule>
  </conditionalFormatting>
  <conditionalFormatting sqref="AJ85">
    <cfRule type="cellIs" dxfId="8646" priority="143457" stopIfTrue="1" operator="lessThan">
      <formula>0.5</formula>
    </cfRule>
  </conditionalFormatting>
  <conditionalFormatting sqref="AJ85">
    <cfRule type="cellIs" dxfId="8645" priority="143458" stopIfTrue="1" operator="greaterThanOrEqual">
      <formula>0.5</formula>
    </cfRule>
  </conditionalFormatting>
  <conditionalFormatting sqref="AL65">
    <cfRule type="cellIs" dxfId="8644" priority="143459" stopIfTrue="1" operator="equal">
      <formula>-1</formula>
    </cfRule>
  </conditionalFormatting>
  <conditionalFormatting sqref="AL65">
    <cfRule type="cellIs" dxfId="8643" priority="143460" stopIfTrue="1" operator="lessThan">
      <formula>0.5</formula>
    </cfRule>
  </conditionalFormatting>
  <conditionalFormatting sqref="AL65">
    <cfRule type="cellIs" dxfId="8642" priority="143461" stopIfTrue="1" operator="greaterThanOrEqual">
      <formula>0.5</formula>
    </cfRule>
  </conditionalFormatting>
  <conditionalFormatting sqref="AL66">
    <cfRule type="cellIs" dxfId="8641" priority="143462" stopIfTrue="1" operator="equal">
      <formula>-1</formula>
    </cfRule>
  </conditionalFormatting>
  <conditionalFormatting sqref="AL66">
    <cfRule type="cellIs" dxfId="8640" priority="143463" stopIfTrue="1" operator="lessThan">
      <formula>0.5</formula>
    </cfRule>
  </conditionalFormatting>
  <conditionalFormatting sqref="AL66">
    <cfRule type="cellIs" dxfId="8639" priority="143464" stopIfTrue="1" operator="greaterThanOrEqual">
      <formula>0.5</formula>
    </cfRule>
  </conditionalFormatting>
  <conditionalFormatting sqref="AL67">
    <cfRule type="cellIs" dxfId="8638" priority="143465" stopIfTrue="1" operator="equal">
      <formula>-1</formula>
    </cfRule>
  </conditionalFormatting>
  <conditionalFormatting sqref="AL67">
    <cfRule type="cellIs" dxfId="8637" priority="143466" stopIfTrue="1" operator="lessThan">
      <formula>0.5</formula>
    </cfRule>
  </conditionalFormatting>
  <conditionalFormatting sqref="AL67">
    <cfRule type="cellIs" dxfId="8636" priority="143467" stopIfTrue="1" operator="greaterThanOrEqual">
      <formula>0.5</formula>
    </cfRule>
  </conditionalFormatting>
  <conditionalFormatting sqref="AL68">
    <cfRule type="cellIs" dxfId="8635" priority="143468" stopIfTrue="1" operator="equal">
      <formula>-1</formula>
    </cfRule>
  </conditionalFormatting>
  <conditionalFormatting sqref="AL68">
    <cfRule type="cellIs" dxfId="8634" priority="143469" stopIfTrue="1" operator="lessThan">
      <formula>0.5</formula>
    </cfRule>
  </conditionalFormatting>
  <conditionalFormatting sqref="AL68">
    <cfRule type="cellIs" dxfId="8633" priority="143470" stopIfTrue="1" operator="greaterThanOrEqual">
      <formula>0.5</formula>
    </cfRule>
  </conditionalFormatting>
  <conditionalFormatting sqref="AL69">
    <cfRule type="cellIs" dxfId="8632" priority="143471" stopIfTrue="1" operator="equal">
      <formula>-1</formula>
    </cfRule>
  </conditionalFormatting>
  <conditionalFormatting sqref="AL69">
    <cfRule type="cellIs" dxfId="8631" priority="143472" stopIfTrue="1" operator="lessThan">
      <formula>0.5</formula>
    </cfRule>
  </conditionalFormatting>
  <conditionalFormatting sqref="AL69">
    <cfRule type="cellIs" dxfId="8630" priority="143473" stopIfTrue="1" operator="greaterThanOrEqual">
      <formula>0.5</formula>
    </cfRule>
  </conditionalFormatting>
  <conditionalFormatting sqref="AL70">
    <cfRule type="cellIs" dxfId="8629" priority="143474" stopIfTrue="1" operator="equal">
      <formula>-1</formula>
    </cfRule>
  </conditionalFormatting>
  <conditionalFormatting sqref="AL70">
    <cfRule type="cellIs" dxfId="8628" priority="143475" stopIfTrue="1" operator="lessThan">
      <formula>0.5</formula>
    </cfRule>
  </conditionalFormatting>
  <conditionalFormatting sqref="AL70">
    <cfRule type="cellIs" dxfId="8627" priority="143476" stopIfTrue="1" operator="greaterThanOrEqual">
      <formula>0.5</formula>
    </cfRule>
  </conditionalFormatting>
  <conditionalFormatting sqref="AL71">
    <cfRule type="cellIs" dxfId="8626" priority="143477" stopIfTrue="1" operator="equal">
      <formula>-1</formula>
    </cfRule>
  </conditionalFormatting>
  <conditionalFormatting sqref="AL71">
    <cfRule type="cellIs" dxfId="8625" priority="143478" stopIfTrue="1" operator="lessThan">
      <formula>0.5</formula>
    </cfRule>
  </conditionalFormatting>
  <conditionalFormatting sqref="AL71">
    <cfRule type="cellIs" dxfId="8624" priority="143479" stopIfTrue="1" operator="greaterThanOrEqual">
      <formula>0.5</formula>
    </cfRule>
  </conditionalFormatting>
  <conditionalFormatting sqref="AL72">
    <cfRule type="cellIs" dxfId="8623" priority="143480" stopIfTrue="1" operator="equal">
      <formula>-1</formula>
    </cfRule>
  </conditionalFormatting>
  <conditionalFormatting sqref="AL72">
    <cfRule type="cellIs" dxfId="8622" priority="143481" stopIfTrue="1" operator="lessThan">
      <formula>0.5</formula>
    </cfRule>
  </conditionalFormatting>
  <conditionalFormatting sqref="AL72">
    <cfRule type="cellIs" dxfId="8621" priority="143482" stopIfTrue="1" operator="greaterThanOrEqual">
      <formula>0.5</formula>
    </cfRule>
  </conditionalFormatting>
  <conditionalFormatting sqref="AL73">
    <cfRule type="cellIs" dxfId="8620" priority="143483" stopIfTrue="1" operator="equal">
      <formula>-1</formula>
    </cfRule>
  </conditionalFormatting>
  <conditionalFormatting sqref="AL73">
    <cfRule type="cellIs" dxfId="8619" priority="143484" stopIfTrue="1" operator="lessThan">
      <formula>0.5</formula>
    </cfRule>
  </conditionalFormatting>
  <conditionalFormatting sqref="AL73">
    <cfRule type="cellIs" dxfId="8618" priority="143485" stopIfTrue="1" operator="greaterThanOrEqual">
      <formula>0.5</formula>
    </cfRule>
  </conditionalFormatting>
  <conditionalFormatting sqref="AL74">
    <cfRule type="cellIs" dxfId="8617" priority="143486" stopIfTrue="1" operator="equal">
      <formula>-1</formula>
    </cfRule>
  </conditionalFormatting>
  <conditionalFormatting sqref="AL74">
    <cfRule type="cellIs" dxfId="8616" priority="143487" stopIfTrue="1" operator="lessThan">
      <formula>0.5</formula>
    </cfRule>
  </conditionalFormatting>
  <conditionalFormatting sqref="AL74">
    <cfRule type="cellIs" dxfId="8615" priority="143488" stopIfTrue="1" operator="greaterThanOrEqual">
      <formula>0.5</formula>
    </cfRule>
  </conditionalFormatting>
  <conditionalFormatting sqref="AL75">
    <cfRule type="cellIs" dxfId="8614" priority="143489" stopIfTrue="1" operator="equal">
      <formula>-1</formula>
    </cfRule>
  </conditionalFormatting>
  <conditionalFormatting sqref="AL75">
    <cfRule type="cellIs" dxfId="8613" priority="143490" stopIfTrue="1" operator="lessThan">
      <formula>0.5</formula>
    </cfRule>
  </conditionalFormatting>
  <conditionalFormatting sqref="AL75">
    <cfRule type="cellIs" dxfId="8612" priority="143491" stopIfTrue="1" operator="greaterThanOrEqual">
      <formula>0.5</formula>
    </cfRule>
  </conditionalFormatting>
  <conditionalFormatting sqref="AL76">
    <cfRule type="cellIs" dxfId="8611" priority="143492" stopIfTrue="1" operator="equal">
      <formula>-1</formula>
    </cfRule>
  </conditionalFormatting>
  <conditionalFormatting sqref="AL76">
    <cfRule type="cellIs" dxfId="8610" priority="143493" stopIfTrue="1" operator="lessThan">
      <formula>0.5</formula>
    </cfRule>
  </conditionalFormatting>
  <conditionalFormatting sqref="AL76">
    <cfRule type="cellIs" dxfId="8609" priority="143494" stopIfTrue="1" operator="greaterThanOrEqual">
      <formula>0.5</formula>
    </cfRule>
  </conditionalFormatting>
  <conditionalFormatting sqref="AL77">
    <cfRule type="cellIs" dxfId="8608" priority="143495" stopIfTrue="1" operator="equal">
      <formula>-1</formula>
    </cfRule>
  </conditionalFormatting>
  <conditionalFormatting sqref="AL77">
    <cfRule type="cellIs" dxfId="8607" priority="143496" stopIfTrue="1" operator="lessThan">
      <formula>0.5</formula>
    </cfRule>
  </conditionalFormatting>
  <conditionalFormatting sqref="AL77">
    <cfRule type="cellIs" dxfId="8606" priority="143497" stopIfTrue="1" operator="greaterThanOrEqual">
      <formula>0.5</formula>
    </cfRule>
  </conditionalFormatting>
  <conditionalFormatting sqref="AL78">
    <cfRule type="cellIs" dxfId="8605" priority="143498" stopIfTrue="1" operator="equal">
      <formula>-1</formula>
    </cfRule>
  </conditionalFormatting>
  <conditionalFormatting sqref="AL78">
    <cfRule type="cellIs" dxfId="8604" priority="143499" stopIfTrue="1" operator="lessThan">
      <formula>0.5</formula>
    </cfRule>
  </conditionalFormatting>
  <conditionalFormatting sqref="AL78">
    <cfRule type="cellIs" dxfId="8603" priority="143500" stopIfTrue="1" operator="greaterThanOrEqual">
      <formula>0.5</formula>
    </cfRule>
  </conditionalFormatting>
  <conditionalFormatting sqref="AL79">
    <cfRule type="cellIs" dxfId="8602" priority="143501" stopIfTrue="1" operator="equal">
      <formula>-1</formula>
    </cfRule>
  </conditionalFormatting>
  <conditionalFormatting sqref="AL79">
    <cfRule type="cellIs" dxfId="8601" priority="143502" stopIfTrue="1" operator="lessThan">
      <formula>0.5</formula>
    </cfRule>
  </conditionalFormatting>
  <conditionalFormatting sqref="AL79">
    <cfRule type="cellIs" dxfId="8600" priority="143503" stopIfTrue="1" operator="greaterThanOrEqual">
      <formula>0.5</formula>
    </cfRule>
  </conditionalFormatting>
  <conditionalFormatting sqref="AL80">
    <cfRule type="cellIs" dxfId="8599" priority="143504" stopIfTrue="1" operator="equal">
      <formula>-1</formula>
    </cfRule>
  </conditionalFormatting>
  <conditionalFormatting sqref="AL80">
    <cfRule type="cellIs" dxfId="8598" priority="143505" stopIfTrue="1" operator="lessThan">
      <formula>0.5</formula>
    </cfRule>
  </conditionalFormatting>
  <conditionalFormatting sqref="AL80">
    <cfRule type="cellIs" dxfId="8597" priority="143506" stopIfTrue="1" operator="greaterThanOrEqual">
      <formula>0.5</formula>
    </cfRule>
  </conditionalFormatting>
  <conditionalFormatting sqref="AL81">
    <cfRule type="cellIs" dxfId="8596" priority="143507" stopIfTrue="1" operator="equal">
      <formula>-1</formula>
    </cfRule>
  </conditionalFormatting>
  <conditionalFormatting sqref="AL81">
    <cfRule type="cellIs" dxfId="8595" priority="143508" stopIfTrue="1" operator="lessThan">
      <formula>0.5</formula>
    </cfRule>
  </conditionalFormatting>
  <conditionalFormatting sqref="AL81">
    <cfRule type="cellIs" dxfId="8594" priority="143509" stopIfTrue="1" operator="greaterThanOrEqual">
      <formula>0.5</formula>
    </cfRule>
  </conditionalFormatting>
  <conditionalFormatting sqref="AL82">
    <cfRule type="cellIs" dxfId="8593" priority="143510" stopIfTrue="1" operator="equal">
      <formula>-1</formula>
    </cfRule>
  </conditionalFormatting>
  <conditionalFormatting sqref="AL82">
    <cfRule type="cellIs" dxfId="8592" priority="143511" stopIfTrue="1" operator="lessThan">
      <formula>0.5</formula>
    </cfRule>
  </conditionalFormatting>
  <conditionalFormatting sqref="AL82">
    <cfRule type="cellIs" dxfId="8591" priority="143512" stopIfTrue="1" operator="greaterThanOrEqual">
      <formula>0.5</formula>
    </cfRule>
  </conditionalFormatting>
  <conditionalFormatting sqref="AL83">
    <cfRule type="cellIs" dxfId="8590" priority="143513" stopIfTrue="1" operator="equal">
      <formula>-1</formula>
    </cfRule>
  </conditionalFormatting>
  <conditionalFormatting sqref="AL83">
    <cfRule type="cellIs" dxfId="8589" priority="143514" stopIfTrue="1" operator="lessThan">
      <formula>0.5</formula>
    </cfRule>
  </conditionalFormatting>
  <conditionalFormatting sqref="AL83">
    <cfRule type="cellIs" dxfId="8588" priority="143515" stopIfTrue="1" operator="greaterThanOrEqual">
      <formula>0.5</formula>
    </cfRule>
  </conditionalFormatting>
  <conditionalFormatting sqref="AL84">
    <cfRule type="cellIs" dxfId="8587" priority="143516" stopIfTrue="1" operator="equal">
      <formula>-1</formula>
    </cfRule>
  </conditionalFormatting>
  <conditionalFormatting sqref="AL84">
    <cfRule type="cellIs" dxfId="8586" priority="143517" stopIfTrue="1" operator="lessThan">
      <formula>0.5</formula>
    </cfRule>
  </conditionalFormatting>
  <conditionalFormatting sqref="AL84">
    <cfRule type="cellIs" dxfId="8585" priority="143518" stopIfTrue="1" operator="greaterThanOrEqual">
      <formula>0.5</formula>
    </cfRule>
  </conditionalFormatting>
  <conditionalFormatting sqref="AL85">
    <cfRule type="cellIs" dxfId="8584" priority="143519" stopIfTrue="1" operator="equal">
      <formula>-1</formula>
    </cfRule>
  </conditionalFormatting>
  <conditionalFormatting sqref="AL85">
    <cfRule type="cellIs" dxfId="8583" priority="143520" stopIfTrue="1" operator="lessThan">
      <formula>0.5</formula>
    </cfRule>
  </conditionalFormatting>
  <conditionalFormatting sqref="AL85">
    <cfRule type="cellIs" dxfId="8582" priority="143521" stopIfTrue="1" operator="greaterThanOrEqual">
      <formula>0.5</formula>
    </cfRule>
  </conditionalFormatting>
  <conditionalFormatting sqref="AN65">
    <cfRule type="cellIs" dxfId="8581" priority="143522" stopIfTrue="1" operator="equal">
      <formula>-1</formula>
    </cfRule>
  </conditionalFormatting>
  <conditionalFormatting sqref="AN65">
    <cfRule type="cellIs" dxfId="8580" priority="143523" stopIfTrue="1" operator="lessThan">
      <formula>0.5</formula>
    </cfRule>
  </conditionalFormatting>
  <conditionalFormatting sqref="AN65">
    <cfRule type="cellIs" dxfId="8579" priority="143524" stopIfTrue="1" operator="greaterThanOrEqual">
      <formula>0.5</formula>
    </cfRule>
  </conditionalFormatting>
  <conditionalFormatting sqref="AN66">
    <cfRule type="cellIs" dxfId="8578" priority="143525" stopIfTrue="1" operator="equal">
      <formula>-1</formula>
    </cfRule>
  </conditionalFormatting>
  <conditionalFormatting sqref="AN66">
    <cfRule type="cellIs" dxfId="8577" priority="143526" stopIfTrue="1" operator="lessThan">
      <formula>0.5</formula>
    </cfRule>
  </conditionalFormatting>
  <conditionalFormatting sqref="AN66">
    <cfRule type="cellIs" dxfId="8576" priority="143527" stopIfTrue="1" operator="greaterThanOrEqual">
      <formula>0.5</formula>
    </cfRule>
  </conditionalFormatting>
  <conditionalFormatting sqref="AN67">
    <cfRule type="cellIs" dxfId="8575" priority="143528" stopIfTrue="1" operator="equal">
      <formula>-1</formula>
    </cfRule>
  </conditionalFormatting>
  <conditionalFormatting sqref="AN67">
    <cfRule type="cellIs" dxfId="8574" priority="143529" stopIfTrue="1" operator="lessThan">
      <formula>0.5</formula>
    </cfRule>
  </conditionalFormatting>
  <conditionalFormatting sqref="AN67">
    <cfRule type="cellIs" dxfId="8573" priority="143530" stopIfTrue="1" operator="greaterThanOrEqual">
      <formula>0.5</formula>
    </cfRule>
  </conditionalFormatting>
  <conditionalFormatting sqref="AN68">
    <cfRule type="cellIs" dxfId="8572" priority="143531" stopIfTrue="1" operator="equal">
      <formula>-1</formula>
    </cfRule>
  </conditionalFormatting>
  <conditionalFormatting sqref="AN68">
    <cfRule type="cellIs" dxfId="8571" priority="143532" stopIfTrue="1" operator="lessThan">
      <formula>0.5</formula>
    </cfRule>
  </conditionalFormatting>
  <conditionalFormatting sqref="AN68">
    <cfRule type="cellIs" dxfId="8570" priority="143533" stopIfTrue="1" operator="greaterThanOrEqual">
      <formula>0.5</formula>
    </cfRule>
  </conditionalFormatting>
  <conditionalFormatting sqref="AN69">
    <cfRule type="cellIs" dxfId="8569" priority="143534" stopIfTrue="1" operator="equal">
      <formula>-1</formula>
    </cfRule>
  </conditionalFormatting>
  <conditionalFormatting sqref="AN69">
    <cfRule type="cellIs" dxfId="8568" priority="143535" stopIfTrue="1" operator="lessThan">
      <formula>0.5</formula>
    </cfRule>
  </conditionalFormatting>
  <conditionalFormatting sqref="AN69">
    <cfRule type="cellIs" dxfId="8567" priority="143536" stopIfTrue="1" operator="greaterThanOrEqual">
      <formula>0.5</formula>
    </cfRule>
  </conditionalFormatting>
  <conditionalFormatting sqref="AN70">
    <cfRule type="cellIs" dxfId="8566" priority="143537" stopIfTrue="1" operator="equal">
      <formula>-1</formula>
    </cfRule>
  </conditionalFormatting>
  <conditionalFormatting sqref="AN70">
    <cfRule type="cellIs" dxfId="8565" priority="143538" stopIfTrue="1" operator="lessThan">
      <formula>0.5</formula>
    </cfRule>
  </conditionalFormatting>
  <conditionalFormatting sqref="AN70">
    <cfRule type="cellIs" dxfId="8564" priority="143539" stopIfTrue="1" operator="greaterThanOrEqual">
      <formula>0.5</formula>
    </cfRule>
  </conditionalFormatting>
  <conditionalFormatting sqref="AN71">
    <cfRule type="cellIs" dxfId="8563" priority="143540" stopIfTrue="1" operator="equal">
      <formula>-1</formula>
    </cfRule>
  </conditionalFormatting>
  <conditionalFormatting sqref="AN71">
    <cfRule type="cellIs" dxfId="8562" priority="143541" stopIfTrue="1" operator="lessThan">
      <formula>0.5</formula>
    </cfRule>
  </conditionalFormatting>
  <conditionalFormatting sqref="AN71">
    <cfRule type="cellIs" dxfId="8561" priority="143542" stopIfTrue="1" operator="greaterThanOrEqual">
      <formula>0.5</formula>
    </cfRule>
  </conditionalFormatting>
  <conditionalFormatting sqref="AN72">
    <cfRule type="cellIs" dxfId="8560" priority="143543" stopIfTrue="1" operator="equal">
      <formula>-1</formula>
    </cfRule>
  </conditionalFormatting>
  <conditionalFormatting sqref="AN72">
    <cfRule type="cellIs" dxfId="8559" priority="143544" stopIfTrue="1" operator="lessThan">
      <formula>0.5</formula>
    </cfRule>
  </conditionalFormatting>
  <conditionalFormatting sqref="AN72">
    <cfRule type="cellIs" dxfId="8558" priority="143545" stopIfTrue="1" operator="greaterThanOrEqual">
      <formula>0.5</formula>
    </cfRule>
  </conditionalFormatting>
  <conditionalFormatting sqref="AN73">
    <cfRule type="cellIs" dxfId="8557" priority="143546" stopIfTrue="1" operator="equal">
      <formula>-1</formula>
    </cfRule>
  </conditionalFormatting>
  <conditionalFormatting sqref="AN73">
    <cfRule type="cellIs" dxfId="8556" priority="143547" stopIfTrue="1" operator="lessThan">
      <formula>0.5</formula>
    </cfRule>
  </conditionalFormatting>
  <conditionalFormatting sqref="AN73">
    <cfRule type="cellIs" dxfId="8555" priority="143548" stopIfTrue="1" operator="greaterThanOrEqual">
      <formula>0.5</formula>
    </cfRule>
  </conditionalFormatting>
  <conditionalFormatting sqref="AN74">
    <cfRule type="cellIs" dxfId="8554" priority="143549" stopIfTrue="1" operator="equal">
      <formula>-1</formula>
    </cfRule>
  </conditionalFormatting>
  <conditionalFormatting sqref="AN74">
    <cfRule type="cellIs" dxfId="8553" priority="143550" stopIfTrue="1" operator="lessThan">
      <formula>0.5</formula>
    </cfRule>
  </conditionalFormatting>
  <conditionalFormatting sqref="AN74">
    <cfRule type="cellIs" dxfId="8552" priority="143551" stopIfTrue="1" operator="greaterThanOrEqual">
      <formula>0.5</formula>
    </cfRule>
  </conditionalFormatting>
  <conditionalFormatting sqref="AN75">
    <cfRule type="cellIs" dxfId="8551" priority="143552" stopIfTrue="1" operator="equal">
      <formula>-1</formula>
    </cfRule>
  </conditionalFormatting>
  <conditionalFormatting sqref="AN75">
    <cfRule type="cellIs" dxfId="8550" priority="143553" stopIfTrue="1" operator="lessThan">
      <formula>0.5</formula>
    </cfRule>
  </conditionalFormatting>
  <conditionalFormatting sqref="AN75">
    <cfRule type="cellIs" dxfId="8549" priority="143554" stopIfTrue="1" operator="greaterThanOrEqual">
      <formula>0.5</formula>
    </cfRule>
  </conditionalFormatting>
  <conditionalFormatting sqref="AN76">
    <cfRule type="cellIs" dxfId="8548" priority="143555" stopIfTrue="1" operator="equal">
      <formula>-1</formula>
    </cfRule>
  </conditionalFormatting>
  <conditionalFormatting sqref="AN76">
    <cfRule type="cellIs" dxfId="8547" priority="143556" stopIfTrue="1" operator="lessThan">
      <formula>0.5</formula>
    </cfRule>
  </conditionalFormatting>
  <conditionalFormatting sqref="AN76">
    <cfRule type="cellIs" dxfId="8546" priority="143557" stopIfTrue="1" operator="greaterThanOrEqual">
      <formula>0.5</formula>
    </cfRule>
  </conditionalFormatting>
  <conditionalFormatting sqref="AN77">
    <cfRule type="cellIs" dxfId="8545" priority="143558" stopIfTrue="1" operator="equal">
      <formula>-1</formula>
    </cfRule>
  </conditionalFormatting>
  <conditionalFormatting sqref="AN77">
    <cfRule type="cellIs" dxfId="8544" priority="143559" stopIfTrue="1" operator="lessThan">
      <formula>0.5</formula>
    </cfRule>
  </conditionalFormatting>
  <conditionalFormatting sqref="AN77">
    <cfRule type="cellIs" dxfId="8543" priority="143560" stopIfTrue="1" operator="greaterThanOrEqual">
      <formula>0.5</formula>
    </cfRule>
  </conditionalFormatting>
  <conditionalFormatting sqref="AN78">
    <cfRule type="cellIs" dxfId="8542" priority="143561" stopIfTrue="1" operator="equal">
      <formula>-1</formula>
    </cfRule>
  </conditionalFormatting>
  <conditionalFormatting sqref="AN78">
    <cfRule type="cellIs" dxfId="8541" priority="143562" stopIfTrue="1" operator="lessThan">
      <formula>0.5</formula>
    </cfRule>
  </conditionalFormatting>
  <conditionalFormatting sqref="AN78">
    <cfRule type="cellIs" dxfId="8540" priority="143563" stopIfTrue="1" operator="greaterThanOrEqual">
      <formula>0.5</formula>
    </cfRule>
  </conditionalFormatting>
  <conditionalFormatting sqref="AN79">
    <cfRule type="cellIs" dxfId="8539" priority="143564" stopIfTrue="1" operator="equal">
      <formula>-1</formula>
    </cfRule>
  </conditionalFormatting>
  <conditionalFormatting sqref="AN79">
    <cfRule type="cellIs" dxfId="8538" priority="143565" stopIfTrue="1" operator="lessThan">
      <formula>0.5</formula>
    </cfRule>
  </conditionalFormatting>
  <conditionalFormatting sqref="AN79">
    <cfRule type="cellIs" dxfId="8537" priority="143566" stopIfTrue="1" operator="greaterThanOrEqual">
      <formula>0.5</formula>
    </cfRule>
  </conditionalFormatting>
  <conditionalFormatting sqref="AN80">
    <cfRule type="cellIs" dxfId="8536" priority="143567" stopIfTrue="1" operator="equal">
      <formula>-1</formula>
    </cfRule>
  </conditionalFormatting>
  <conditionalFormatting sqref="AN80">
    <cfRule type="cellIs" dxfId="8535" priority="143568" stopIfTrue="1" operator="lessThan">
      <formula>0.5</formula>
    </cfRule>
  </conditionalFormatting>
  <conditionalFormatting sqref="AN80">
    <cfRule type="cellIs" dxfId="8534" priority="143569" stopIfTrue="1" operator="greaterThanOrEqual">
      <formula>0.5</formula>
    </cfRule>
  </conditionalFormatting>
  <conditionalFormatting sqref="AN81">
    <cfRule type="cellIs" dxfId="8533" priority="143570" stopIfTrue="1" operator="equal">
      <formula>-1</formula>
    </cfRule>
  </conditionalFormatting>
  <conditionalFormatting sqref="AN81">
    <cfRule type="cellIs" dxfId="8532" priority="143571" stopIfTrue="1" operator="lessThan">
      <formula>0.5</formula>
    </cfRule>
  </conditionalFormatting>
  <conditionalFormatting sqref="AN81">
    <cfRule type="cellIs" dxfId="8531" priority="143572" stopIfTrue="1" operator="greaterThanOrEqual">
      <formula>0.5</formula>
    </cfRule>
  </conditionalFormatting>
  <conditionalFormatting sqref="AN82">
    <cfRule type="cellIs" dxfId="8530" priority="143573" stopIfTrue="1" operator="equal">
      <formula>-1</formula>
    </cfRule>
  </conditionalFormatting>
  <conditionalFormatting sqref="AN82">
    <cfRule type="cellIs" dxfId="8529" priority="143574" stopIfTrue="1" operator="lessThan">
      <formula>0.5</formula>
    </cfRule>
  </conditionalFormatting>
  <conditionalFormatting sqref="AN82">
    <cfRule type="cellIs" dxfId="8528" priority="143575" stopIfTrue="1" operator="greaterThanOrEqual">
      <formula>0.5</formula>
    </cfRule>
  </conditionalFormatting>
  <conditionalFormatting sqref="AN83">
    <cfRule type="cellIs" dxfId="8527" priority="143576" stopIfTrue="1" operator="equal">
      <formula>-1</formula>
    </cfRule>
  </conditionalFormatting>
  <conditionalFormatting sqref="AN83">
    <cfRule type="cellIs" dxfId="8526" priority="143577" stopIfTrue="1" operator="lessThan">
      <formula>0.5</formula>
    </cfRule>
  </conditionalFormatting>
  <conditionalFormatting sqref="AN83">
    <cfRule type="cellIs" dxfId="8525" priority="143578" stopIfTrue="1" operator="greaterThanOrEqual">
      <formula>0.5</formula>
    </cfRule>
  </conditionalFormatting>
  <conditionalFormatting sqref="AN84">
    <cfRule type="cellIs" dxfId="8524" priority="143579" stopIfTrue="1" operator="equal">
      <formula>-1</formula>
    </cfRule>
  </conditionalFormatting>
  <conditionalFormatting sqref="AN84">
    <cfRule type="cellIs" dxfId="8523" priority="143580" stopIfTrue="1" operator="lessThan">
      <formula>0.5</formula>
    </cfRule>
  </conditionalFormatting>
  <conditionalFormatting sqref="AN84">
    <cfRule type="cellIs" dxfId="8522" priority="143581" stopIfTrue="1" operator="greaterThanOrEqual">
      <formula>0.5</formula>
    </cfRule>
  </conditionalFormatting>
  <conditionalFormatting sqref="AN85">
    <cfRule type="cellIs" dxfId="8521" priority="143582" stopIfTrue="1" operator="equal">
      <formula>-1</formula>
    </cfRule>
  </conditionalFormatting>
  <conditionalFormatting sqref="AN85">
    <cfRule type="cellIs" dxfId="8520" priority="143583" stopIfTrue="1" operator="lessThan">
      <formula>0.5</formula>
    </cfRule>
  </conditionalFormatting>
  <conditionalFormatting sqref="AN85">
    <cfRule type="cellIs" dxfId="8519" priority="143584" stopIfTrue="1" operator="greaterThanOrEqual">
      <formula>0.5</formula>
    </cfRule>
  </conditionalFormatting>
  <conditionalFormatting sqref="AP65">
    <cfRule type="cellIs" dxfId="8518" priority="143585" stopIfTrue="1" operator="equal">
      <formula>-1</formula>
    </cfRule>
  </conditionalFormatting>
  <conditionalFormatting sqref="AP65">
    <cfRule type="cellIs" dxfId="8517" priority="143586" stopIfTrue="1" operator="lessThan">
      <formula>0.5</formula>
    </cfRule>
  </conditionalFormatting>
  <conditionalFormatting sqref="AP65">
    <cfRule type="cellIs" dxfId="8516" priority="143587" stopIfTrue="1" operator="greaterThanOrEqual">
      <formula>0.5</formula>
    </cfRule>
  </conditionalFormatting>
  <conditionalFormatting sqref="AP66">
    <cfRule type="cellIs" dxfId="8515" priority="143588" stopIfTrue="1" operator="equal">
      <formula>-1</formula>
    </cfRule>
  </conditionalFormatting>
  <conditionalFormatting sqref="AP66">
    <cfRule type="cellIs" dxfId="8514" priority="143589" stopIfTrue="1" operator="lessThan">
      <formula>0.5</formula>
    </cfRule>
  </conditionalFormatting>
  <conditionalFormatting sqref="AP66">
    <cfRule type="cellIs" dxfId="8513" priority="143590" stopIfTrue="1" operator="greaterThanOrEqual">
      <formula>0.5</formula>
    </cfRule>
  </conditionalFormatting>
  <conditionalFormatting sqref="AP67">
    <cfRule type="cellIs" dxfId="8512" priority="143591" stopIfTrue="1" operator="equal">
      <formula>-1</formula>
    </cfRule>
  </conditionalFormatting>
  <conditionalFormatting sqref="AP67">
    <cfRule type="cellIs" dxfId="8511" priority="143592" stopIfTrue="1" operator="lessThan">
      <formula>0.5</formula>
    </cfRule>
  </conditionalFormatting>
  <conditionalFormatting sqref="AP67">
    <cfRule type="cellIs" dxfId="8510" priority="143593" stopIfTrue="1" operator="greaterThanOrEqual">
      <formula>0.5</formula>
    </cfRule>
  </conditionalFormatting>
  <conditionalFormatting sqref="AP68">
    <cfRule type="cellIs" dxfId="8509" priority="143594" stopIfTrue="1" operator="equal">
      <formula>-1</formula>
    </cfRule>
  </conditionalFormatting>
  <conditionalFormatting sqref="AP68">
    <cfRule type="cellIs" dxfId="8508" priority="143595" stopIfTrue="1" operator="lessThan">
      <formula>0.5</formula>
    </cfRule>
  </conditionalFormatting>
  <conditionalFormatting sqref="AP68">
    <cfRule type="cellIs" dxfId="8507" priority="143596" stopIfTrue="1" operator="greaterThanOrEqual">
      <formula>0.5</formula>
    </cfRule>
  </conditionalFormatting>
  <conditionalFormatting sqref="AP69">
    <cfRule type="cellIs" dxfId="8506" priority="143597" stopIfTrue="1" operator="equal">
      <formula>-1</formula>
    </cfRule>
  </conditionalFormatting>
  <conditionalFormatting sqref="AP69">
    <cfRule type="cellIs" dxfId="8505" priority="143598" stopIfTrue="1" operator="lessThan">
      <formula>0.5</formula>
    </cfRule>
  </conditionalFormatting>
  <conditionalFormatting sqref="AP69">
    <cfRule type="cellIs" dxfId="8504" priority="143599" stopIfTrue="1" operator="greaterThanOrEqual">
      <formula>0.5</formula>
    </cfRule>
  </conditionalFormatting>
  <conditionalFormatting sqref="AP70">
    <cfRule type="cellIs" dxfId="8503" priority="143600" stopIfTrue="1" operator="equal">
      <formula>-1</formula>
    </cfRule>
  </conditionalFormatting>
  <conditionalFormatting sqref="AP70">
    <cfRule type="cellIs" dxfId="8502" priority="143601" stopIfTrue="1" operator="lessThan">
      <formula>0.5</formula>
    </cfRule>
  </conditionalFormatting>
  <conditionalFormatting sqref="AP70">
    <cfRule type="cellIs" dxfId="8501" priority="143602" stopIfTrue="1" operator="greaterThanOrEqual">
      <formula>0.5</formula>
    </cfRule>
  </conditionalFormatting>
  <conditionalFormatting sqref="AP71">
    <cfRule type="cellIs" dxfId="8500" priority="143603" stopIfTrue="1" operator="equal">
      <formula>-1</formula>
    </cfRule>
  </conditionalFormatting>
  <conditionalFormatting sqref="AP71">
    <cfRule type="cellIs" dxfId="8499" priority="143604" stopIfTrue="1" operator="lessThan">
      <formula>0.5</formula>
    </cfRule>
  </conditionalFormatting>
  <conditionalFormatting sqref="AP71">
    <cfRule type="cellIs" dxfId="8498" priority="143605" stopIfTrue="1" operator="greaterThanOrEqual">
      <formula>0.5</formula>
    </cfRule>
  </conditionalFormatting>
  <conditionalFormatting sqref="AP72">
    <cfRule type="cellIs" dxfId="8497" priority="143606" stopIfTrue="1" operator="equal">
      <formula>-1</formula>
    </cfRule>
  </conditionalFormatting>
  <conditionalFormatting sqref="AP72">
    <cfRule type="cellIs" dxfId="8496" priority="143607" stopIfTrue="1" operator="lessThan">
      <formula>0.5</formula>
    </cfRule>
  </conditionalFormatting>
  <conditionalFormatting sqref="AP72">
    <cfRule type="cellIs" dxfId="8495" priority="143608" stopIfTrue="1" operator="greaterThanOrEqual">
      <formula>0.5</formula>
    </cfRule>
  </conditionalFormatting>
  <conditionalFormatting sqref="AP73">
    <cfRule type="cellIs" dxfId="8494" priority="143609" stopIfTrue="1" operator="equal">
      <formula>-1</formula>
    </cfRule>
  </conditionalFormatting>
  <conditionalFormatting sqref="AP73">
    <cfRule type="cellIs" dxfId="8493" priority="143610" stopIfTrue="1" operator="lessThan">
      <formula>0.5</formula>
    </cfRule>
  </conditionalFormatting>
  <conditionalFormatting sqref="AP73">
    <cfRule type="cellIs" dxfId="8492" priority="143611" stopIfTrue="1" operator="greaterThanOrEqual">
      <formula>0.5</formula>
    </cfRule>
  </conditionalFormatting>
  <conditionalFormatting sqref="AP74">
    <cfRule type="cellIs" dxfId="8491" priority="143612" stopIfTrue="1" operator="equal">
      <formula>-1</formula>
    </cfRule>
  </conditionalFormatting>
  <conditionalFormatting sqref="AP74">
    <cfRule type="cellIs" dxfId="8490" priority="143613" stopIfTrue="1" operator="lessThan">
      <formula>0.5</formula>
    </cfRule>
  </conditionalFormatting>
  <conditionalFormatting sqref="AP74">
    <cfRule type="cellIs" dxfId="8489" priority="143614" stopIfTrue="1" operator="greaterThanOrEqual">
      <formula>0.5</formula>
    </cfRule>
  </conditionalFormatting>
  <conditionalFormatting sqref="AP75">
    <cfRule type="cellIs" dxfId="8488" priority="143615" stopIfTrue="1" operator="equal">
      <formula>-1</formula>
    </cfRule>
  </conditionalFormatting>
  <conditionalFormatting sqref="AP75">
    <cfRule type="cellIs" dxfId="8487" priority="143616" stopIfTrue="1" operator="lessThan">
      <formula>0.5</formula>
    </cfRule>
  </conditionalFormatting>
  <conditionalFormatting sqref="AP75">
    <cfRule type="cellIs" dxfId="8486" priority="143617" stopIfTrue="1" operator="greaterThanOrEqual">
      <formula>0.5</formula>
    </cfRule>
  </conditionalFormatting>
  <conditionalFormatting sqref="AP76">
    <cfRule type="cellIs" dxfId="8485" priority="143618" stopIfTrue="1" operator="equal">
      <formula>-1</formula>
    </cfRule>
  </conditionalFormatting>
  <conditionalFormatting sqref="AP76">
    <cfRule type="cellIs" dxfId="8484" priority="143619" stopIfTrue="1" operator="lessThan">
      <formula>0.5</formula>
    </cfRule>
  </conditionalFormatting>
  <conditionalFormatting sqref="AP76">
    <cfRule type="cellIs" dxfId="8483" priority="143620" stopIfTrue="1" operator="greaterThanOrEqual">
      <formula>0.5</formula>
    </cfRule>
  </conditionalFormatting>
  <conditionalFormatting sqref="AP77">
    <cfRule type="cellIs" dxfId="8482" priority="143621" stopIfTrue="1" operator="equal">
      <formula>-1</formula>
    </cfRule>
  </conditionalFormatting>
  <conditionalFormatting sqref="AP77">
    <cfRule type="cellIs" dxfId="8481" priority="143622" stopIfTrue="1" operator="lessThan">
      <formula>0.5</formula>
    </cfRule>
  </conditionalFormatting>
  <conditionalFormatting sqref="AP77">
    <cfRule type="cellIs" dxfId="8480" priority="143623" stopIfTrue="1" operator="greaterThanOrEqual">
      <formula>0.5</formula>
    </cfRule>
  </conditionalFormatting>
  <conditionalFormatting sqref="AP78">
    <cfRule type="cellIs" dxfId="8479" priority="143624" stopIfTrue="1" operator="equal">
      <formula>-1</formula>
    </cfRule>
  </conditionalFormatting>
  <conditionalFormatting sqref="AP78">
    <cfRule type="cellIs" dxfId="8478" priority="143625" stopIfTrue="1" operator="lessThan">
      <formula>0.5</formula>
    </cfRule>
  </conditionalFormatting>
  <conditionalFormatting sqref="AP78">
    <cfRule type="cellIs" dxfId="8477" priority="143626" stopIfTrue="1" operator="greaterThanOrEqual">
      <formula>0.5</formula>
    </cfRule>
  </conditionalFormatting>
  <conditionalFormatting sqref="AP79">
    <cfRule type="cellIs" dxfId="8476" priority="143627" stopIfTrue="1" operator="equal">
      <formula>-1</formula>
    </cfRule>
  </conditionalFormatting>
  <conditionalFormatting sqref="AP79">
    <cfRule type="cellIs" dxfId="8475" priority="143628" stopIfTrue="1" operator="lessThan">
      <formula>0.5</formula>
    </cfRule>
  </conditionalFormatting>
  <conditionalFormatting sqref="AP79">
    <cfRule type="cellIs" dxfId="8474" priority="143629" stopIfTrue="1" operator="greaterThanOrEqual">
      <formula>0.5</formula>
    </cfRule>
  </conditionalFormatting>
  <conditionalFormatting sqref="AP80">
    <cfRule type="cellIs" dxfId="8473" priority="143630" stopIfTrue="1" operator="equal">
      <formula>-1</formula>
    </cfRule>
  </conditionalFormatting>
  <conditionalFormatting sqref="AP80">
    <cfRule type="cellIs" dxfId="8472" priority="143631" stopIfTrue="1" operator="lessThan">
      <formula>0.5</formula>
    </cfRule>
  </conditionalFormatting>
  <conditionalFormatting sqref="AP80">
    <cfRule type="cellIs" dxfId="8471" priority="143632" stopIfTrue="1" operator="greaterThanOrEqual">
      <formula>0.5</formula>
    </cfRule>
  </conditionalFormatting>
  <conditionalFormatting sqref="AP81">
    <cfRule type="cellIs" dxfId="8470" priority="143633" stopIfTrue="1" operator="equal">
      <formula>-1</formula>
    </cfRule>
  </conditionalFormatting>
  <conditionalFormatting sqref="AP81">
    <cfRule type="cellIs" dxfId="8469" priority="143634" stopIfTrue="1" operator="lessThan">
      <formula>0.5</formula>
    </cfRule>
  </conditionalFormatting>
  <conditionalFormatting sqref="AP81">
    <cfRule type="cellIs" dxfId="8468" priority="143635" stopIfTrue="1" operator="greaterThanOrEqual">
      <formula>0.5</formula>
    </cfRule>
  </conditionalFormatting>
  <conditionalFormatting sqref="AP82">
    <cfRule type="cellIs" dxfId="8467" priority="143636" stopIfTrue="1" operator="equal">
      <formula>-1</formula>
    </cfRule>
  </conditionalFormatting>
  <conditionalFormatting sqref="AP82">
    <cfRule type="cellIs" dxfId="8466" priority="143637" stopIfTrue="1" operator="lessThan">
      <formula>0.5</formula>
    </cfRule>
  </conditionalFormatting>
  <conditionalFormatting sqref="AP82">
    <cfRule type="cellIs" dxfId="8465" priority="143638" stopIfTrue="1" operator="greaterThanOrEqual">
      <formula>0.5</formula>
    </cfRule>
  </conditionalFormatting>
  <conditionalFormatting sqref="AP83">
    <cfRule type="cellIs" dxfId="8464" priority="143639" stopIfTrue="1" operator="equal">
      <formula>-1</formula>
    </cfRule>
  </conditionalFormatting>
  <conditionalFormatting sqref="AP83">
    <cfRule type="cellIs" dxfId="8463" priority="143640" stopIfTrue="1" operator="lessThan">
      <formula>0.5</formula>
    </cfRule>
  </conditionalFormatting>
  <conditionalFormatting sqref="AP83">
    <cfRule type="cellIs" dxfId="8462" priority="143641" stopIfTrue="1" operator="greaterThanOrEqual">
      <formula>0.5</formula>
    </cfRule>
  </conditionalFormatting>
  <conditionalFormatting sqref="AP84">
    <cfRule type="cellIs" dxfId="8461" priority="143642" stopIfTrue="1" operator="equal">
      <formula>-1</formula>
    </cfRule>
  </conditionalFormatting>
  <conditionalFormatting sqref="AP84">
    <cfRule type="cellIs" dxfId="8460" priority="143643" stopIfTrue="1" operator="lessThan">
      <formula>0.5</formula>
    </cfRule>
  </conditionalFormatting>
  <conditionalFormatting sqref="AP84">
    <cfRule type="cellIs" dxfId="8459" priority="143644" stopIfTrue="1" operator="greaterThanOrEqual">
      <formula>0.5</formula>
    </cfRule>
  </conditionalFormatting>
  <conditionalFormatting sqref="AP85">
    <cfRule type="cellIs" dxfId="8458" priority="143645" stopIfTrue="1" operator="equal">
      <formula>-1</formula>
    </cfRule>
  </conditionalFormatting>
  <conditionalFormatting sqref="AP85">
    <cfRule type="cellIs" dxfId="8457" priority="143646" stopIfTrue="1" operator="lessThan">
      <formula>0.5</formula>
    </cfRule>
  </conditionalFormatting>
  <conditionalFormatting sqref="AP85">
    <cfRule type="cellIs" dxfId="8456" priority="143647" stopIfTrue="1" operator="greaterThanOrEqual">
      <formula>0.5</formula>
    </cfRule>
  </conditionalFormatting>
  <conditionalFormatting sqref="AR65">
    <cfRule type="cellIs" dxfId="8455" priority="143648" stopIfTrue="1" operator="equal">
      <formula>-1</formula>
    </cfRule>
  </conditionalFormatting>
  <conditionalFormatting sqref="AR65">
    <cfRule type="cellIs" dxfId="8454" priority="143649" stopIfTrue="1" operator="lessThan">
      <formula>0.5</formula>
    </cfRule>
  </conditionalFormatting>
  <conditionalFormatting sqref="AR65">
    <cfRule type="cellIs" dxfId="8453" priority="143650" stopIfTrue="1" operator="greaterThanOrEqual">
      <formula>0.5</formula>
    </cfRule>
  </conditionalFormatting>
  <conditionalFormatting sqref="AR66">
    <cfRule type="cellIs" dxfId="8452" priority="143651" stopIfTrue="1" operator="equal">
      <formula>-1</formula>
    </cfRule>
  </conditionalFormatting>
  <conditionalFormatting sqref="AR66">
    <cfRule type="cellIs" dxfId="8451" priority="143652" stopIfTrue="1" operator="lessThan">
      <formula>0.5</formula>
    </cfRule>
  </conditionalFormatting>
  <conditionalFormatting sqref="AR66">
    <cfRule type="cellIs" dxfId="8450" priority="143653" stopIfTrue="1" operator="greaterThanOrEqual">
      <formula>0.5</formula>
    </cfRule>
  </conditionalFormatting>
  <conditionalFormatting sqref="AR67">
    <cfRule type="cellIs" dxfId="8449" priority="143654" stopIfTrue="1" operator="equal">
      <formula>-1</formula>
    </cfRule>
  </conditionalFormatting>
  <conditionalFormatting sqref="AR67">
    <cfRule type="cellIs" dxfId="8448" priority="143655" stopIfTrue="1" operator="lessThan">
      <formula>0.5</formula>
    </cfRule>
  </conditionalFormatting>
  <conditionalFormatting sqref="AR67">
    <cfRule type="cellIs" dxfId="8447" priority="143656" stopIfTrue="1" operator="greaterThanOrEqual">
      <formula>0.5</formula>
    </cfRule>
  </conditionalFormatting>
  <conditionalFormatting sqref="AR68">
    <cfRule type="cellIs" dxfId="8446" priority="143657" stopIfTrue="1" operator="equal">
      <formula>-1</formula>
    </cfRule>
  </conditionalFormatting>
  <conditionalFormatting sqref="AR68">
    <cfRule type="cellIs" dxfId="8445" priority="143658" stopIfTrue="1" operator="lessThan">
      <formula>0.5</formula>
    </cfRule>
  </conditionalFormatting>
  <conditionalFormatting sqref="AR68">
    <cfRule type="cellIs" dxfId="8444" priority="143659" stopIfTrue="1" operator="greaterThanOrEqual">
      <formula>0.5</formula>
    </cfRule>
  </conditionalFormatting>
  <conditionalFormatting sqref="AR69">
    <cfRule type="cellIs" dxfId="8443" priority="143660" stopIfTrue="1" operator="equal">
      <formula>-1</formula>
    </cfRule>
  </conditionalFormatting>
  <conditionalFormatting sqref="AR69">
    <cfRule type="cellIs" dxfId="8442" priority="143661" stopIfTrue="1" operator="lessThan">
      <formula>0.5</formula>
    </cfRule>
  </conditionalFormatting>
  <conditionalFormatting sqref="AR69">
    <cfRule type="cellIs" dxfId="8441" priority="143662" stopIfTrue="1" operator="greaterThanOrEqual">
      <formula>0.5</formula>
    </cfRule>
  </conditionalFormatting>
  <conditionalFormatting sqref="AR70">
    <cfRule type="cellIs" dxfId="8440" priority="143663" stopIfTrue="1" operator="equal">
      <formula>-1</formula>
    </cfRule>
  </conditionalFormatting>
  <conditionalFormatting sqref="AR70">
    <cfRule type="cellIs" dxfId="8439" priority="143664" stopIfTrue="1" operator="lessThan">
      <formula>0.5</formula>
    </cfRule>
  </conditionalFormatting>
  <conditionalFormatting sqref="AR70">
    <cfRule type="cellIs" dxfId="8438" priority="143665" stopIfTrue="1" operator="greaterThanOrEqual">
      <formula>0.5</formula>
    </cfRule>
  </conditionalFormatting>
  <conditionalFormatting sqref="AR71">
    <cfRule type="cellIs" dxfId="8437" priority="143666" stopIfTrue="1" operator="equal">
      <formula>-1</formula>
    </cfRule>
  </conditionalFormatting>
  <conditionalFormatting sqref="AR71">
    <cfRule type="cellIs" dxfId="8436" priority="143667" stopIfTrue="1" operator="lessThan">
      <formula>0.5</formula>
    </cfRule>
  </conditionalFormatting>
  <conditionalFormatting sqref="AR71">
    <cfRule type="cellIs" dxfId="8435" priority="143668" stopIfTrue="1" operator="greaterThanOrEqual">
      <formula>0.5</formula>
    </cfRule>
  </conditionalFormatting>
  <conditionalFormatting sqref="AR72">
    <cfRule type="cellIs" dxfId="8434" priority="143669" stopIfTrue="1" operator="equal">
      <formula>-1</formula>
    </cfRule>
  </conditionalFormatting>
  <conditionalFormatting sqref="AR72">
    <cfRule type="cellIs" dxfId="8433" priority="143670" stopIfTrue="1" operator="lessThan">
      <formula>0.5</formula>
    </cfRule>
  </conditionalFormatting>
  <conditionalFormatting sqref="AR72">
    <cfRule type="cellIs" dxfId="8432" priority="143671" stopIfTrue="1" operator="greaterThanOrEqual">
      <formula>0.5</formula>
    </cfRule>
  </conditionalFormatting>
  <conditionalFormatting sqref="AR73">
    <cfRule type="cellIs" dxfId="8431" priority="143672" stopIfTrue="1" operator="equal">
      <formula>-1</formula>
    </cfRule>
  </conditionalFormatting>
  <conditionalFormatting sqref="AR73">
    <cfRule type="cellIs" dxfId="8430" priority="143673" stopIfTrue="1" operator="lessThan">
      <formula>0.5</formula>
    </cfRule>
  </conditionalFormatting>
  <conditionalFormatting sqref="AR73">
    <cfRule type="cellIs" dxfId="8429" priority="143674" stopIfTrue="1" operator="greaterThanOrEqual">
      <formula>0.5</formula>
    </cfRule>
  </conditionalFormatting>
  <conditionalFormatting sqref="AR74">
    <cfRule type="cellIs" dxfId="8428" priority="143675" stopIfTrue="1" operator="equal">
      <formula>-1</formula>
    </cfRule>
  </conditionalFormatting>
  <conditionalFormatting sqref="AR74">
    <cfRule type="cellIs" dxfId="8427" priority="143676" stopIfTrue="1" operator="lessThan">
      <formula>0.5</formula>
    </cfRule>
  </conditionalFormatting>
  <conditionalFormatting sqref="AR74">
    <cfRule type="cellIs" dxfId="8426" priority="143677" stopIfTrue="1" operator="greaterThanOrEqual">
      <formula>0.5</formula>
    </cfRule>
  </conditionalFormatting>
  <conditionalFormatting sqref="AR75">
    <cfRule type="cellIs" dxfId="8425" priority="143678" stopIfTrue="1" operator="equal">
      <formula>-1</formula>
    </cfRule>
  </conditionalFormatting>
  <conditionalFormatting sqref="AR75">
    <cfRule type="cellIs" dxfId="8424" priority="143679" stopIfTrue="1" operator="lessThan">
      <formula>0.5</formula>
    </cfRule>
  </conditionalFormatting>
  <conditionalFormatting sqref="AR75">
    <cfRule type="cellIs" dxfId="8423" priority="143680" stopIfTrue="1" operator="greaterThanOrEqual">
      <formula>0.5</formula>
    </cfRule>
  </conditionalFormatting>
  <conditionalFormatting sqref="AR76">
    <cfRule type="cellIs" dxfId="8422" priority="143681" stopIfTrue="1" operator="equal">
      <formula>-1</formula>
    </cfRule>
  </conditionalFormatting>
  <conditionalFormatting sqref="AR76">
    <cfRule type="cellIs" dxfId="8421" priority="143682" stopIfTrue="1" operator="lessThan">
      <formula>0.5</formula>
    </cfRule>
  </conditionalFormatting>
  <conditionalFormatting sqref="AR76">
    <cfRule type="cellIs" dxfId="8420" priority="143683" stopIfTrue="1" operator="greaterThanOrEqual">
      <formula>0.5</formula>
    </cfRule>
  </conditionalFormatting>
  <conditionalFormatting sqref="AR77">
    <cfRule type="cellIs" dxfId="8419" priority="143684" stopIfTrue="1" operator="equal">
      <formula>-1</formula>
    </cfRule>
  </conditionalFormatting>
  <conditionalFormatting sqref="AR77">
    <cfRule type="cellIs" dxfId="8418" priority="143685" stopIfTrue="1" operator="lessThan">
      <formula>0.5</formula>
    </cfRule>
  </conditionalFormatting>
  <conditionalFormatting sqref="AR77">
    <cfRule type="cellIs" dxfId="8417" priority="143686" stopIfTrue="1" operator="greaterThanOrEqual">
      <formula>0.5</formula>
    </cfRule>
  </conditionalFormatting>
  <conditionalFormatting sqref="AR78">
    <cfRule type="cellIs" dxfId="8416" priority="143687" stopIfTrue="1" operator="equal">
      <formula>-1</formula>
    </cfRule>
  </conditionalFormatting>
  <conditionalFormatting sqref="AR78">
    <cfRule type="cellIs" dxfId="8415" priority="143688" stopIfTrue="1" operator="lessThan">
      <formula>0.5</formula>
    </cfRule>
  </conditionalFormatting>
  <conditionalFormatting sqref="AR78">
    <cfRule type="cellIs" dxfId="8414" priority="143689" stopIfTrue="1" operator="greaterThanOrEqual">
      <formula>0.5</formula>
    </cfRule>
  </conditionalFormatting>
  <conditionalFormatting sqref="AR79">
    <cfRule type="cellIs" dxfId="8413" priority="143690" stopIfTrue="1" operator="equal">
      <formula>-1</formula>
    </cfRule>
  </conditionalFormatting>
  <conditionalFormatting sqref="AR79">
    <cfRule type="cellIs" dxfId="8412" priority="143691" stopIfTrue="1" operator="lessThan">
      <formula>0.5</formula>
    </cfRule>
  </conditionalFormatting>
  <conditionalFormatting sqref="AR79">
    <cfRule type="cellIs" dxfId="8411" priority="143692" stopIfTrue="1" operator="greaterThanOrEqual">
      <formula>0.5</formula>
    </cfRule>
  </conditionalFormatting>
  <conditionalFormatting sqref="AR80">
    <cfRule type="cellIs" dxfId="8410" priority="143693" stopIfTrue="1" operator="equal">
      <formula>-1</formula>
    </cfRule>
  </conditionalFormatting>
  <conditionalFormatting sqref="AR80">
    <cfRule type="cellIs" dxfId="8409" priority="143694" stopIfTrue="1" operator="lessThan">
      <formula>0.5</formula>
    </cfRule>
  </conditionalFormatting>
  <conditionalFormatting sqref="AR80">
    <cfRule type="cellIs" dxfId="8408" priority="143695" stopIfTrue="1" operator="greaterThanOrEqual">
      <formula>0.5</formula>
    </cfRule>
  </conditionalFormatting>
  <conditionalFormatting sqref="AR81">
    <cfRule type="cellIs" dxfId="8407" priority="143696" stopIfTrue="1" operator="equal">
      <formula>-1</formula>
    </cfRule>
  </conditionalFormatting>
  <conditionalFormatting sqref="AR81">
    <cfRule type="cellIs" dxfId="8406" priority="143697" stopIfTrue="1" operator="lessThan">
      <formula>0.5</formula>
    </cfRule>
  </conditionalFormatting>
  <conditionalFormatting sqref="AR81">
    <cfRule type="cellIs" dxfId="8405" priority="143698" stopIfTrue="1" operator="greaterThanOrEqual">
      <formula>0.5</formula>
    </cfRule>
  </conditionalFormatting>
  <conditionalFormatting sqref="AR82">
    <cfRule type="cellIs" dxfId="8404" priority="143699" stopIfTrue="1" operator="equal">
      <formula>-1</formula>
    </cfRule>
  </conditionalFormatting>
  <conditionalFormatting sqref="AR82">
    <cfRule type="cellIs" dxfId="8403" priority="143700" stopIfTrue="1" operator="lessThan">
      <formula>0.5</formula>
    </cfRule>
  </conditionalFormatting>
  <conditionalFormatting sqref="AR82">
    <cfRule type="cellIs" dxfId="8402" priority="143701" stopIfTrue="1" operator="greaterThanOrEqual">
      <formula>0.5</formula>
    </cfRule>
  </conditionalFormatting>
  <conditionalFormatting sqref="AR83">
    <cfRule type="cellIs" dxfId="8401" priority="143702" stopIfTrue="1" operator="equal">
      <formula>-1</formula>
    </cfRule>
  </conditionalFormatting>
  <conditionalFormatting sqref="AR83">
    <cfRule type="cellIs" dxfId="8400" priority="143703" stopIfTrue="1" operator="lessThan">
      <formula>0.5</formula>
    </cfRule>
  </conditionalFormatting>
  <conditionalFormatting sqref="AR83">
    <cfRule type="cellIs" dxfId="8399" priority="143704" stopIfTrue="1" operator="greaterThanOrEqual">
      <formula>0.5</formula>
    </cfRule>
  </conditionalFormatting>
  <conditionalFormatting sqref="AR84">
    <cfRule type="cellIs" dxfId="8398" priority="143705" stopIfTrue="1" operator="equal">
      <formula>-1</formula>
    </cfRule>
  </conditionalFormatting>
  <conditionalFormatting sqref="AR84">
    <cfRule type="cellIs" dxfId="8397" priority="143706" stopIfTrue="1" operator="lessThan">
      <formula>0.5</formula>
    </cfRule>
  </conditionalFormatting>
  <conditionalFormatting sqref="AR84">
    <cfRule type="cellIs" dxfId="8396" priority="143707" stopIfTrue="1" operator="greaterThanOrEqual">
      <formula>0.5</formula>
    </cfRule>
  </conditionalFormatting>
  <conditionalFormatting sqref="AR85">
    <cfRule type="cellIs" dxfId="8395" priority="143708" stopIfTrue="1" operator="equal">
      <formula>-1</formula>
    </cfRule>
  </conditionalFormatting>
  <conditionalFormatting sqref="AR85">
    <cfRule type="cellIs" dxfId="8394" priority="143709" stopIfTrue="1" operator="lessThan">
      <formula>0.5</formula>
    </cfRule>
  </conditionalFormatting>
  <conditionalFormatting sqref="AR85">
    <cfRule type="cellIs" dxfId="8393" priority="143710" stopIfTrue="1" operator="greaterThanOrEqual">
      <formula>0.5</formula>
    </cfRule>
  </conditionalFormatting>
  <conditionalFormatting sqref="AT65">
    <cfRule type="cellIs" dxfId="8392" priority="143711" stopIfTrue="1" operator="equal">
      <formula>-1</formula>
    </cfRule>
  </conditionalFormatting>
  <conditionalFormatting sqref="AT65">
    <cfRule type="cellIs" dxfId="8391" priority="143712" stopIfTrue="1" operator="lessThan">
      <formula>0.5</formula>
    </cfRule>
  </conditionalFormatting>
  <conditionalFormatting sqref="AT65">
    <cfRule type="cellIs" dxfId="8390" priority="143713" stopIfTrue="1" operator="greaterThanOrEqual">
      <formula>0.5</formula>
    </cfRule>
  </conditionalFormatting>
  <conditionalFormatting sqref="AT66">
    <cfRule type="cellIs" dxfId="8389" priority="143714" stopIfTrue="1" operator="equal">
      <formula>-1</formula>
    </cfRule>
  </conditionalFormatting>
  <conditionalFormatting sqref="AT66">
    <cfRule type="cellIs" dxfId="8388" priority="143715" stopIfTrue="1" operator="lessThan">
      <formula>0.5</formula>
    </cfRule>
  </conditionalFormatting>
  <conditionalFormatting sqref="AT66">
    <cfRule type="cellIs" dxfId="8387" priority="143716" stopIfTrue="1" operator="greaterThanOrEqual">
      <formula>0.5</formula>
    </cfRule>
  </conditionalFormatting>
  <conditionalFormatting sqref="AT67">
    <cfRule type="cellIs" dxfId="8386" priority="143717" stopIfTrue="1" operator="equal">
      <formula>-1</formula>
    </cfRule>
  </conditionalFormatting>
  <conditionalFormatting sqref="AT67">
    <cfRule type="cellIs" dxfId="8385" priority="143718" stopIfTrue="1" operator="lessThan">
      <formula>0.5</formula>
    </cfRule>
  </conditionalFormatting>
  <conditionalFormatting sqref="AT67">
    <cfRule type="cellIs" dxfId="8384" priority="143719" stopIfTrue="1" operator="greaterThanOrEqual">
      <formula>0.5</formula>
    </cfRule>
  </conditionalFormatting>
  <conditionalFormatting sqref="AT68">
    <cfRule type="cellIs" dxfId="8383" priority="143720" stopIfTrue="1" operator="equal">
      <formula>-1</formula>
    </cfRule>
  </conditionalFormatting>
  <conditionalFormatting sqref="AT68">
    <cfRule type="cellIs" dxfId="8382" priority="143721" stopIfTrue="1" operator="lessThan">
      <formula>0.5</formula>
    </cfRule>
  </conditionalFormatting>
  <conditionalFormatting sqref="AT68">
    <cfRule type="cellIs" dxfId="8381" priority="143722" stopIfTrue="1" operator="greaterThanOrEqual">
      <formula>0.5</formula>
    </cfRule>
  </conditionalFormatting>
  <conditionalFormatting sqref="AT69">
    <cfRule type="cellIs" dxfId="8380" priority="143723" stopIfTrue="1" operator="equal">
      <formula>-1</formula>
    </cfRule>
  </conditionalFormatting>
  <conditionalFormatting sqref="AT69">
    <cfRule type="cellIs" dxfId="8379" priority="143724" stopIfTrue="1" operator="lessThan">
      <formula>0.5</formula>
    </cfRule>
  </conditionalFormatting>
  <conditionalFormatting sqref="AT69">
    <cfRule type="cellIs" dxfId="8378" priority="143725" stopIfTrue="1" operator="greaterThanOrEqual">
      <formula>0.5</formula>
    </cfRule>
  </conditionalFormatting>
  <conditionalFormatting sqref="AT70">
    <cfRule type="cellIs" dxfId="8377" priority="143726" stopIfTrue="1" operator="equal">
      <formula>-1</formula>
    </cfRule>
  </conditionalFormatting>
  <conditionalFormatting sqref="AT70">
    <cfRule type="cellIs" dxfId="8376" priority="143727" stopIfTrue="1" operator="lessThan">
      <formula>0.5</formula>
    </cfRule>
  </conditionalFormatting>
  <conditionalFormatting sqref="AT70">
    <cfRule type="cellIs" dxfId="8375" priority="143728" stopIfTrue="1" operator="greaterThanOrEqual">
      <formula>0.5</formula>
    </cfRule>
  </conditionalFormatting>
  <conditionalFormatting sqref="AT71">
    <cfRule type="cellIs" dxfId="8374" priority="143729" stopIfTrue="1" operator="equal">
      <formula>-1</formula>
    </cfRule>
  </conditionalFormatting>
  <conditionalFormatting sqref="AT71">
    <cfRule type="cellIs" dxfId="8373" priority="143730" stopIfTrue="1" operator="lessThan">
      <formula>0.5</formula>
    </cfRule>
  </conditionalFormatting>
  <conditionalFormatting sqref="AT71">
    <cfRule type="cellIs" dxfId="8372" priority="143731" stopIfTrue="1" operator="greaterThanOrEqual">
      <formula>0.5</formula>
    </cfRule>
  </conditionalFormatting>
  <conditionalFormatting sqref="AT72">
    <cfRule type="cellIs" dxfId="8371" priority="143732" stopIfTrue="1" operator="equal">
      <formula>-1</formula>
    </cfRule>
  </conditionalFormatting>
  <conditionalFormatting sqref="AT72">
    <cfRule type="cellIs" dxfId="8370" priority="143733" stopIfTrue="1" operator="lessThan">
      <formula>0.5</formula>
    </cfRule>
  </conditionalFormatting>
  <conditionalFormatting sqref="AT72">
    <cfRule type="cellIs" dxfId="8369" priority="143734" stopIfTrue="1" operator="greaterThanOrEqual">
      <formula>0.5</formula>
    </cfRule>
  </conditionalFormatting>
  <conditionalFormatting sqref="AT73">
    <cfRule type="cellIs" dxfId="8368" priority="143735" stopIfTrue="1" operator="equal">
      <formula>-1</formula>
    </cfRule>
  </conditionalFormatting>
  <conditionalFormatting sqref="AT73">
    <cfRule type="cellIs" dxfId="8367" priority="143736" stopIfTrue="1" operator="lessThan">
      <formula>0.5</formula>
    </cfRule>
  </conditionalFormatting>
  <conditionalFormatting sqref="AT73">
    <cfRule type="cellIs" dxfId="8366" priority="143737" stopIfTrue="1" operator="greaterThanOrEqual">
      <formula>0.5</formula>
    </cfRule>
  </conditionalFormatting>
  <conditionalFormatting sqref="AT74">
    <cfRule type="cellIs" dxfId="8365" priority="143738" stopIfTrue="1" operator="equal">
      <formula>-1</formula>
    </cfRule>
  </conditionalFormatting>
  <conditionalFormatting sqref="AT74">
    <cfRule type="cellIs" dxfId="8364" priority="143739" stopIfTrue="1" operator="lessThan">
      <formula>0.5</formula>
    </cfRule>
  </conditionalFormatting>
  <conditionalFormatting sqref="AT74">
    <cfRule type="cellIs" dxfId="8363" priority="143740" stopIfTrue="1" operator="greaterThanOrEqual">
      <formula>0.5</formula>
    </cfRule>
  </conditionalFormatting>
  <conditionalFormatting sqref="AT75">
    <cfRule type="cellIs" dxfId="8362" priority="143741" stopIfTrue="1" operator="equal">
      <formula>-1</formula>
    </cfRule>
  </conditionalFormatting>
  <conditionalFormatting sqref="AT75">
    <cfRule type="cellIs" dxfId="8361" priority="143742" stopIfTrue="1" operator="lessThan">
      <formula>0.5</formula>
    </cfRule>
  </conditionalFormatting>
  <conditionalFormatting sqref="AT75">
    <cfRule type="cellIs" dxfId="8360" priority="143743" stopIfTrue="1" operator="greaterThanOrEqual">
      <formula>0.5</formula>
    </cfRule>
  </conditionalFormatting>
  <conditionalFormatting sqref="AT76">
    <cfRule type="cellIs" dxfId="8359" priority="143744" stopIfTrue="1" operator="equal">
      <formula>-1</formula>
    </cfRule>
  </conditionalFormatting>
  <conditionalFormatting sqref="AT76">
    <cfRule type="cellIs" dxfId="8358" priority="143745" stopIfTrue="1" operator="lessThan">
      <formula>0.5</formula>
    </cfRule>
  </conditionalFormatting>
  <conditionalFormatting sqref="AT76">
    <cfRule type="cellIs" dxfId="8357" priority="143746" stopIfTrue="1" operator="greaterThanOrEqual">
      <formula>0.5</formula>
    </cfRule>
  </conditionalFormatting>
  <conditionalFormatting sqref="AT77">
    <cfRule type="cellIs" dxfId="8356" priority="143747" stopIfTrue="1" operator="equal">
      <formula>-1</formula>
    </cfRule>
  </conditionalFormatting>
  <conditionalFormatting sqref="AT77">
    <cfRule type="cellIs" dxfId="8355" priority="143748" stopIfTrue="1" operator="lessThan">
      <formula>0.5</formula>
    </cfRule>
  </conditionalFormatting>
  <conditionalFormatting sqref="AT77">
    <cfRule type="cellIs" dxfId="8354" priority="143749" stopIfTrue="1" operator="greaterThanOrEqual">
      <formula>0.5</formula>
    </cfRule>
  </conditionalFormatting>
  <conditionalFormatting sqref="AT78">
    <cfRule type="cellIs" dxfId="8353" priority="143750" stopIfTrue="1" operator="equal">
      <formula>-1</formula>
    </cfRule>
  </conditionalFormatting>
  <conditionalFormatting sqref="AT78">
    <cfRule type="cellIs" dxfId="8352" priority="143751" stopIfTrue="1" operator="lessThan">
      <formula>0.5</formula>
    </cfRule>
  </conditionalFormatting>
  <conditionalFormatting sqref="AT78">
    <cfRule type="cellIs" dxfId="8351" priority="143752" stopIfTrue="1" operator="greaterThanOrEqual">
      <formula>0.5</formula>
    </cfRule>
  </conditionalFormatting>
  <conditionalFormatting sqref="AT79">
    <cfRule type="cellIs" dxfId="8350" priority="143753" stopIfTrue="1" operator="equal">
      <formula>-1</formula>
    </cfRule>
  </conditionalFormatting>
  <conditionalFormatting sqref="AT79">
    <cfRule type="cellIs" dxfId="8349" priority="143754" stopIfTrue="1" operator="lessThan">
      <formula>0.5</formula>
    </cfRule>
  </conditionalFormatting>
  <conditionalFormatting sqref="AT79">
    <cfRule type="cellIs" dxfId="8348" priority="143755" stopIfTrue="1" operator="greaterThanOrEqual">
      <formula>0.5</formula>
    </cfRule>
  </conditionalFormatting>
  <conditionalFormatting sqref="AT80">
    <cfRule type="cellIs" dxfId="8347" priority="143756" stopIfTrue="1" operator="equal">
      <formula>-1</formula>
    </cfRule>
  </conditionalFormatting>
  <conditionalFormatting sqref="AT80">
    <cfRule type="cellIs" dxfId="8346" priority="143757" stopIfTrue="1" operator="lessThan">
      <formula>0.5</formula>
    </cfRule>
  </conditionalFormatting>
  <conditionalFormatting sqref="AT80">
    <cfRule type="cellIs" dxfId="8345" priority="143758" stopIfTrue="1" operator="greaterThanOrEqual">
      <formula>0.5</formula>
    </cfRule>
  </conditionalFormatting>
  <conditionalFormatting sqref="AT81">
    <cfRule type="cellIs" dxfId="8344" priority="143759" stopIfTrue="1" operator="equal">
      <formula>-1</formula>
    </cfRule>
  </conditionalFormatting>
  <conditionalFormatting sqref="AT81">
    <cfRule type="cellIs" dxfId="8343" priority="143760" stopIfTrue="1" operator="lessThan">
      <formula>0.5</formula>
    </cfRule>
  </conditionalFormatting>
  <conditionalFormatting sqref="AT81">
    <cfRule type="cellIs" dxfId="8342" priority="143761" stopIfTrue="1" operator="greaterThanOrEqual">
      <formula>0.5</formula>
    </cfRule>
  </conditionalFormatting>
  <conditionalFormatting sqref="AT82">
    <cfRule type="cellIs" dxfId="8341" priority="143762" stopIfTrue="1" operator="equal">
      <formula>-1</formula>
    </cfRule>
  </conditionalFormatting>
  <conditionalFormatting sqref="AT82">
    <cfRule type="cellIs" dxfId="8340" priority="143763" stopIfTrue="1" operator="lessThan">
      <formula>0.5</formula>
    </cfRule>
  </conditionalFormatting>
  <conditionalFormatting sqref="AT82">
    <cfRule type="cellIs" dxfId="8339" priority="143764" stopIfTrue="1" operator="greaterThanOrEqual">
      <formula>0.5</formula>
    </cfRule>
  </conditionalFormatting>
  <conditionalFormatting sqref="AT83">
    <cfRule type="cellIs" dxfId="8338" priority="143765" stopIfTrue="1" operator="equal">
      <formula>-1</formula>
    </cfRule>
  </conditionalFormatting>
  <conditionalFormatting sqref="AT83">
    <cfRule type="cellIs" dxfId="8337" priority="143766" stopIfTrue="1" operator="lessThan">
      <formula>0.5</formula>
    </cfRule>
  </conditionalFormatting>
  <conditionalFormatting sqref="AT83">
    <cfRule type="cellIs" dxfId="8336" priority="143767" stopIfTrue="1" operator="greaterThanOrEqual">
      <formula>0.5</formula>
    </cfRule>
  </conditionalFormatting>
  <conditionalFormatting sqref="AT84">
    <cfRule type="cellIs" dxfId="8335" priority="143768" stopIfTrue="1" operator="equal">
      <formula>-1</formula>
    </cfRule>
  </conditionalFormatting>
  <conditionalFormatting sqref="AT84">
    <cfRule type="cellIs" dxfId="8334" priority="143769" stopIfTrue="1" operator="lessThan">
      <formula>0.5</formula>
    </cfRule>
  </conditionalFormatting>
  <conditionalFormatting sqref="AT84">
    <cfRule type="cellIs" dxfId="8333" priority="143770" stopIfTrue="1" operator="greaterThanOrEqual">
      <formula>0.5</formula>
    </cfRule>
  </conditionalFormatting>
  <conditionalFormatting sqref="AT85">
    <cfRule type="cellIs" dxfId="8332" priority="143771" stopIfTrue="1" operator="equal">
      <formula>-1</formula>
    </cfRule>
  </conditionalFormatting>
  <conditionalFormatting sqref="AT85">
    <cfRule type="cellIs" dxfId="8331" priority="143772" stopIfTrue="1" operator="lessThan">
      <formula>0.5</formula>
    </cfRule>
  </conditionalFormatting>
  <conditionalFormatting sqref="AT85">
    <cfRule type="cellIs" dxfId="8330" priority="143773" stopIfTrue="1" operator="greaterThanOrEqual">
      <formula>0.5</formula>
    </cfRule>
  </conditionalFormatting>
  <conditionalFormatting sqref="AV65">
    <cfRule type="cellIs" dxfId="8329" priority="143774" stopIfTrue="1" operator="equal">
      <formula>-1</formula>
    </cfRule>
  </conditionalFormatting>
  <conditionalFormatting sqref="AV65">
    <cfRule type="cellIs" dxfId="8328" priority="143775" stopIfTrue="1" operator="lessThan">
      <formula>0.5</formula>
    </cfRule>
  </conditionalFormatting>
  <conditionalFormatting sqref="AV65">
    <cfRule type="cellIs" dxfId="8327" priority="143776" stopIfTrue="1" operator="greaterThanOrEqual">
      <formula>0.5</formula>
    </cfRule>
  </conditionalFormatting>
  <conditionalFormatting sqref="AV66">
    <cfRule type="cellIs" dxfId="8326" priority="143777" stopIfTrue="1" operator="equal">
      <formula>-1</formula>
    </cfRule>
  </conditionalFormatting>
  <conditionalFormatting sqref="AV66">
    <cfRule type="cellIs" dxfId="8325" priority="143778" stopIfTrue="1" operator="lessThan">
      <formula>0.5</formula>
    </cfRule>
  </conditionalFormatting>
  <conditionalFormatting sqref="AV66">
    <cfRule type="cellIs" dxfId="8324" priority="143779" stopIfTrue="1" operator="greaterThanOrEqual">
      <formula>0.5</formula>
    </cfRule>
  </conditionalFormatting>
  <conditionalFormatting sqref="AV67">
    <cfRule type="cellIs" dxfId="8323" priority="143780" stopIfTrue="1" operator="equal">
      <formula>-1</formula>
    </cfRule>
  </conditionalFormatting>
  <conditionalFormatting sqref="AV67">
    <cfRule type="cellIs" dxfId="8322" priority="143781" stopIfTrue="1" operator="lessThan">
      <formula>0.5</formula>
    </cfRule>
  </conditionalFormatting>
  <conditionalFormatting sqref="AV67">
    <cfRule type="cellIs" dxfId="8321" priority="143782" stopIfTrue="1" operator="greaterThanOrEqual">
      <formula>0.5</formula>
    </cfRule>
  </conditionalFormatting>
  <conditionalFormatting sqref="AV68">
    <cfRule type="cellIs" dxfId="8320" priority="143783" stopIfTrue="1" operator="equal">
      <formula>-1</formula>
    </cfRule>
  </conditionalFormatting>
  <conditionalFormatting sqref="AV68">
    <cfRule type="cellIs" dxfId="8319" priority="143784" stopIfTrue="1" operator="lessThan">
      <formula>0.5</formula>
    </cfRule>
  </conditionalFormatting>
  <conditionalFormatting sqref="AV68">
    <cfRule type="cellIs" dxfId="8318" priority="143785" stopIfTrue="1" operator="greaterThanOrEqual">
      <formula>0.5</formula>
    </cfRule>
  </conditionalFormatting>
  <conditionalFormatting sqref="AV69">
    <cfRule type="cellIs" dxfId="8317" priority="143786" stopIfTrue="1" operator="equal">
      <formula>-1</formula>
    </cfRule>
  </conditionalFormatting>
  <conditionalFormatting sqref="AV69">
    <cfRule type="cellIs" dxfId="8316" priority="143787" stopIfTrue="1" operator="lessThan">
      <formula>0.5</formula>
    </cfRule>
  </conditionalFormatting>
  <conditionalFormatting sqref="AV69">
    <cfRule type="cellIs" dxfId="8315" priority="143788" stopIfTrue="1" operator="greaterThanOrEqual">
      <formula>0.5</formula>
    </cfRule>
  </conditionalFormatting>
  <conditionalFormatting sqref="AV70">
    <cfRule type="cellIs" dxfId="8314" priority="143789" stopIfTrue="1" operator="equal">
      <formula>-1</formula>
    </cfRule>
  </conditionalFormatting>
  <conditionalFormatting sqref="AV70">
    <cfRule type="cellIs" dxfId="8313" priority="143790" stopIfTrue="1" operator="lessThan">
      <formula>0.5</formula>
    </cfRule>
  </conditionalFormatting>
  <conditionalFormatting sqref="AV70">
    <cfRule type="cellIs" dxfId="8312" priority="143791" stopIfTrue="1" operator="greaterThanOrEqual">
      <formula>0.5</formula>
    </cfRule>
  </conditionalFormatting>
  <conditionalFormatting sqref="AV71">
    <cfRule type="cellIs" dxfId="8311" priority="143792" stopIfTrue="1" operator="equal">
      <formula>-1</formula>
    </cfRule>
  </conditionalFormatting>
  <conditionalFormatting sqref="AV71">
    <cfRule type="cellIs" dxfId="8310" priority="143793" stopIfTrue="1" operator="lessThan">
      <formula>0.5</formula>
    </cfRule>
  </conditionalFormatting>
  <conditionalFormatting sqref="AV71">
    <cfRule type="cellIs" dxfId="8309" priority="143794" stopIfTrue="1" operator="greaterThanOrEqual">
      <formula>0.5</formula>
    </cfRule>
  </conditionalFormatting>
  <conditionalFormatting sqref="AV72">
    <cfRule type="cellIs" dxfId="8308" priority="143795" stopIfTrue="1" operator="equal">
      <formula>-1</formula>
    </cfRule>
  </conditionalFormatting>
  <conditionalFormatting sqref="AV72">
    <cfRule type="cellIs" dxfId="8307" priority="143796" stopIfTrue="1" operator="lessThan">
      <formula>0.5</formula>
    </cfRule>
  </conditionalFormatting>
  <conditionalFormatting sqref="AV72">
    <cfRule type="cellIs" dxfId="8306" priority="143797" stopIfTrue="1" operator="greaterThanOrEqual">
      <formula>0.5</formula>
    </cfRule>
  </conditionalFormatting>
  <conditionalFormatting sqref="AV73">
    <cfRule type="cellIs" dxfId="8305" priority="143798" stopIfTrue="1" operator="equal">
      <formula>-1</formula>
    </cfRule>
  </conditionalFormatting>
  <conditionalFormatting sqref="AV73">
    <cfRule type="cellIs" dxfId="8304" priority="143799" stopIfTrue="1" operator="lessThan">
      <formula>0.5</formula>
    </cfRule>
  </conditionalFormatting>
  <conditionalFormatting sqref="AV73">
    <cfRule type="cellIs" dxfId="8303" priority="143800" stopIfTrue="1" operator="greaterThanOrEqual">
      <formula>0.5</formula>
    </cfRule>
  </conditionalFormatting>
  <conditionalFormatting sqref="AV74">
    <cfRule type="cellIs" dxfId="8302" priority="143801" stopIfTrue="1" operator="equal">
      <formula>-1</formula>
    </cfRule>
  </conditionalFormatting>
  <conditionalFormatting sqref="AV74">
    <cfRule type="cellIs" dxfId="8301" priority="143802" stopIfTrue="1" operator="lessThan">
      <formula>0.5</formula>
    </cfRule>
  </conditionalFormatting>
  <conditionalFormatting sqref="AV74">
    <cfRule type="cellIs" dxfId="8300" priority="143803" stopIfTrue="1" operator="greaterThanOrEqual">
      <formula>0.5</formula>
    </cfRule>
  </conditionalFormatting>
  <conditionalFormatting sqref="AV75">
    <cfRule type="cellIs" dxfId="8299" priority="143804" stopIfTrue="1" operator="equal">
      <formula>-1</formula>
    </cfRule>
  </conditionalFormatting>
  <conditionalFormatting sqref="AV75">
    <cfRule type="cellIs" dxfId="8298" priority="143805" stopIfTrue="1" operator="lessThan">
      <formula>0.5</formula>
    </cfRule>
  </conditionalFormatting>
  <conditionalFormatting sqref="AV75">
    <cfRule type="cellIs" dxfId="8297" priority="143806" stopIfTrue="1" operator="greaterThanOrEqual">
      <formula>0.5</formula>
    </cfRule>
  </conditionalFormatting>
  <conditionalFormatting sqref="AV76">
    <cfRule type="cellIs" dxfId="8296" priority="143807" stopIfTrue="1" operator="equal">
      <formula>-1</formula>
    </cfRule>
  </conditionalFormatting>
  <conditionalFormatting sqref="AV76">
    <cfRule type="cellIs" dxfId="8295" priority="143808" stopIfTrue="1" operator="lessThan">
      <formula>0.5</formula>
    </cfRule>
  </conditionalFormatting>
  <conditionalFormatting sqref="AV76">
    <cfRule type="cellIs" dxfId="8294" priority="143809" stopIfTrue="1" operator="greaterThanOrEqual">
      <formula>0.5</formula>
    </cfRule>
  </conditionalFormatting>
  <conditionalFormatting sqref="AV77">
    <cfRule type="cellIs" dxfId="8293" priority="143810" stopIfTrue="1" operator="equal">
      <formula>-1</formula>
    </cfRule>
  </conditionalFormatting>
  <conditionalFormatting sqref="AV77">
    <cfRule type="cellIs" dxfId="8292" priority="143811" stopIfTrue="1" operator="lessThan">
      <formula>0.5</formula>
    </cfRule>
  </conditionalFormatting>
  <conditionalFormatting sqref="AV77">
    <cfRule type="cellIs" dxfId="8291" priority="143812" stopIfTrue="1" operator="greaterThanOrEqual">
      <formula>0.5</formula>
    </cfRule>
  </conditionalFormatting>
  <conditionalFormatting sqref="AV78">
    <cfRule type="cellIs" dxfId="8290" priority="143813" stopIfTrue="1" operator="equal">
      <formula>-1</formula>
    </cfRule>
  </conditionalFormatting>
  <conditionalFormatting sqref="AV78">
    <cfRule type="cellIs" dxfId="8289" priority="143814" stopIfTrue="1" operator="lessThan">
      <formula>0.5</formula>
    </cfRule>
  </conditionalFormatting>
  <conditionalFormatting sqref="AV78">
    <cfRule type="cellIs" dxfId="8288" priority="143815" stopIfTrue="1" operator="greaterThanOrEqual">
      <formula>0.5</formula>
    </cfRule>
  </conditionalFormatting>
  <conditionalFormatting sqref="AV79">
    <cfRule type="cellIs" dxfId="8287" priority="143816" stopIfTrue="1" operator="equal">
      <formula>-1</formula>
    </cfRule>
  </conditionalFormatting>
  <conditionalFormatting sqref="AV79">
    <cfRule type="cellIs" dxfId="8286" priority="143817" stopIfTrue="1" operator="lessThan">
      <formula>0.5</formula>
    </cfRule>
  </conditionalFormatting>
  <conditionalFormatting sqref="AV79">
    <cfRule type="cellIs" dxfId="8285" priority="143818" stopIfTrue="1" operator="greaterThanOrEqual">
      <formula>0.5</formula>
    </cfRule>
  </conditionalFormatting>
  <conditionalFormatting sqref="AV80">
    <cfRule type="cellIs" dxfId="8284" priority="143819" stopIfTrue="1" operator="equal">
      <formula>-1</formula>
    </cfRule>
  </conditionalFormatting>
  <conditionalFormatting sqref="AV80">
    <cfRule type="cellIs" dxfId="8283" priority="143820" stopIfTrue="1" operator="lessThan">
      <formula>0.5</formula>
    </cfRule>
  </conditionalFormatting>
  <conditionalFormatting sqref="AV80">
    <cfRule type="cellIs" dxfId="8282" priority="143821" stopIfTrue="1" operator="greaterThanOrEqual">
      <formula>0.5</formula>
    </cfRule>
  </conditionalFormatting>
  <conditionalFormatting sqref="AV81">
    <cfRule type="cellIs" dxfId="8281" priority="143822" stopIfTrue="1" operator="equal">
      <formula>-1</formula>
    </cfRule>
  </conditionalFormatting>
  <conditionalFormatting sqref="AV81">
    <cfRule type="cellIs" dxfId="8280" priority="143823" stopIfTrue="1" operator="lessThan">
      <formula>0.5</formula>
    </cfRule>
  </conditionalFormatting>
  <conditionalFormatting sqref="AV81">
    <cfRule type="cellIs" dxfId="8279" priority="143824" stopIfTrue="1" operator="greaterThanOrEqual">
      <formula>0.5</formula>
    </cfRule>
  </conditionalFormatting>
  <conditionalFormatting sqref="AV82">
    <cfRule type="cellIs" dxfId="8278" priority="143825" stopIfTrue="1" operator="equal">
      <formula>-1</formula>
    </cfRule>
  </conditionalFormatting>
  <conditionalFormatting sqref="AV82">
    <cfRule type="cellIs" dxfId="8277" priority="143826" stopIfTrue="1" operator="lessThan">
      <formula>0.5</formula>
    </cfRule>
  </conditionalFormatting>
  <conditionalFormatting sqref="AV82">
    <cfRule type="cellIs" dxfId="8276" priority="143827" stopIfTrue="1" operator="greaterThanOrEqual">
      <formula>0.5</formula>
    </cfRule>
  </conditionalFormatting>
  <conditionalFormatting sqref="AV83">
    <cfRule type="cellIs" dxfId="8275" priority="143828" stopIfTrue="1" operator="equal">
      <formula>-1</formula>
    </cfRule>
  </conditionalFormatting>
  <conditionalFormatting sqref="AV83">
    <cfRule type="cellIs" dxfId="8274" priority="143829" stopIfTrue="1" operator="lessThan">
      <formula>0.5</formula>
    </cfRule>
  </conditionalFormatting>
  <conditionalFormatting sqref="AV83">
    <cfRule type="cellIs" dxfId="8273" priority="143830" stopIfTrue="1" operator="greaterThanOrEqual">
      <formula>0.5</formula>
    </cfRule>
  </conditionalFormatting>
  <conditionalFormatting sqref="AV84">
    <cfRule type="cellIs" dxfId="8272" priority="143831" stopIfTrue="1" operator="equal">
      <formula>-1</formula>
    </cfRule>
  </conditionalFormatting>
  <conditionalFormatting sqref="AV84">
    <cfRule type="cellIs" dxfId="8271" priority="143832" stopIfTrue="1" operator="lessThan">
      <formula>0.5</formula>
    </cfRule>
  </conditionalFormatting>
  <conditionalFormatting sqref="AV84">
    <cfRule type="cellIs" dxfId="8270" priority="143833" stopIfTrue="1" operator="greaterThanOrEqual">
      <formula>0.5</formula>
    </cfRule>
  </conditionalFormatting>
  <conditionalFormatting sqref="AV85">
    <cfRule type="cellIs" dxfId="8269" priority="143834" stopIfTrue="1" operator="equal">
      <formula>-1</formula>
    </cfRule>
  </conditionalFormatting>
  <conditionalFormatting sqref="AV85">
    <cfRule type="cellIs" dxfId="8268" priority="143835" stopIfTrue="1" operator="lessThan">
      <formula>0.5</formula>
    </cfRule>
  </conditionalFormatting>
  <conditionalFormatting sqref="AV85">
    <cfRule type="cellIs" dxfId="8267" priority="143836" stopIfTrue="1" operator="greaterThanOrEqual">
      <formula>0.5</formula>
    </cfRule>
  </conditionalFormatting>
  <conditionalFormatting sqref="AX65">
    <cfRule type="cellIs" dxfId="8266" priority="143837" stopIfTrue="1" operator="equal">
      <formula>-1</formula>
    </cfRule>
  </conditionalFormatting>
  <conditionalFormatting sqref="AX65">
    <cfRule type="cellIs" dxfId="8265" priority="143838" stopIfTrue="1" operator="lessThan">
      <formula>0.5</formula>
    </cfRule>
  </conditionalFormatting>
  <conditionalFormatting sqref="AX65">
    <cfRule type="cellIs" dxfId="8264" priority="143839" stopIfTrue="1" operator="greaterThanOrEqual">
      <formula>0.5</formula>
    </cfRule>
  </conditionalFormatting>
  <conditionalFormatting sqref="AX66">
    <cfRule type="cellIs" dxfId="8263" priority="143840" stopIfTrue="1" operator="equal">
      <formula>-1</formula>
    </cfRule>
  </conditionalFormatting>
  <conditionalFormatting sqref="AX66">
    <cfRule type="cellIs" dxfId="8262" priority="143841" stopIfTrue="1" operator="lessThan">
      <formula>0.5</formula>
    </cfRule>
  </conditionalFormatting>
  <conditionalFormatting sqref="AX66">
    <cfRule type="cellIs" dxfId="8261" priority="143842" stopIfTrue="1" operator="greaterThanOrEqual">
      <formula>0.5</formula>
    </cfRule>
  </conditionalFormatting>
  <conditionalFormatting sqref="AX67">
    <cfRule type="cellIs" dxfId="8260" priority="143843" stopIfTrue="1" operator="equal">
      <formula>-1</formula>
    </cfRule>
  </conditionalFormatting>
  <conditionalFormatting sqref="AX67">
    <cfRule type="cellIs" dxfId="8259" priority="143844" stopIfTrue="1" operator="lessThan">
      <formula>0.5</formula>
    </cfRule>
  </conditionalFormatting>
  <conditionalFormatting sqref="AX67">
    <cfRule type="cellIs" dxfId="8258" priority="143845" stopIfTrue="1" operator="greaterThanOrEqual">
      <formula>0.5</formula>
    </cfRule>
  </conditionalFormatting>
  <conditionalFormatting sqref="AX68">
    <cfRule type="cellIs" dxfId="8257" priority="143846" stopIfTrue="1" operator="equal">
      <formula>-1</formula>
    </cfRule>
  </conditionalFormatting>
  <conditionalFormatting sqref="AX68">
    <cfRule type="cellIs" dxfId="8256" priority="143847" stopIfTrue="1" operator="lessThan">
      <formula>0.5</formula>
    </cfRule>
  </conditionalFormatting>
  <conditionalFormatting sqref="AX68">
    <cfRule type="cellIs" dxfId="8255" priority="143848" stopIfTrue="1" operator="greaterThanOrEqual">
      <formula>0.5</formula>
    </cfRule>
  </conditionalFormatting>
  <conditionalFormatting sqref="AX69">
    <cfRule type="cellIs" dxfId="8254" priority="143849" stopIfTrue="1" operator="equal">
      <formula>-1</formula>
    </cfRule>
  </conditionalFormatting>
  <conditionalFormatting sqref="AX69">
    <cfRule type="cellIs" dxfId="8253" priority="143850" stopIfTrue="1" operator="lessThan">
      <formula>0.5</formula>
    </cfRule>
  </conditionalFormatting>
  <conditionalFormatting sqref="AX69">
    <cfRule type="cellIs" dxfId="8252" priority="143851" stopIfTrue="1" operator="greaterThanOrEqual">
      <formula>0.5</formula>
    </cfRule>
  </conditionalFormatting>
  <conditionalFormatting sqref="AX70">
    <cfRule type="cellIs" dxfId="8251" priority="143852" stopIfTrue="1" operator="equal">
      <formula>-1</formula>
    </cfRule>
  </conditionalFormatting>
  <conditionalFormatting sqref="AX70">
    <cfRule type="cellIs" dxfId="8250" priority="143853" stopIfTrue="1" operator="lessThan">
      <formula>0.5</formula>
    </cfRule>
  </conditionalFormatting>
  <conditionalFormatting sqref="AX70">
    <cfRule type="cellIs" dxfId="8249" priority="143854" stopIfTrue="1" operator="greaterThanOrEqual">
      <formula>0.5</formula>
    </cfRule>
  </conditionalFormatting>
  <conditionalFormatting sqref="AX71">
    <cfRule type="cellIs" dxfId="8248" priority="143855" stopIfTrue="1" operator="equal">
      <formula>-1</formula>
    </cfRule>
  </conditionalFormatting>
  <conditionalFormatting sqref="AX71">
    <cfRule type="cellIs" dxfId="8247" priority="143856" stopIfTrue="1" operator="lessThan">
      <formula>0.5</formula>
    </cfRule>
  </conditionalFormatting>
  <conditionalFormatting sqref="AX71">
    <cfRule type="cellIs" dxfId="8246" priority="143857" stopIfTrue="1" operator="greaterThanOrEqual">
      <formula>0.5</formula>
    </cfRule>
  </conditionalFormatting>
  <conditionalFormatting sqref="AX72">
    <cfRule type="cellIs" dxfId="8245" priority="143858" stopIfTrue="1" operator="equal">
      <formula>-1</formula>
    </cfRule>
  </conditionalFormatting>
  <conditionalFormatting sqref="AX72">
    <cfRule type="cellIs" dxfId="8244" priority="143859" stopIfTrue="1" operator="lessThan">
      <formula>0.5</formula>
    </cfRule>
  </conditionalFormatting>
  <conditionalFormatting sqref="AX72">
    <cfRule type="cellIs" dxfId="8243" priority="143860" stopIfTrue="1" operator="greaterThanOrEqual">
      <formula>0.5</formula>
    </cfRule>
  </conditionalFormatting>
  <conditionalFormatting sqref="AX73">
    <cfRule type="cellIs" dxfId="8242" priority="143861" stopIfTrue="1" operator="equal">
      <formula>-1</formula>
    </cfRule>
  </conditionalFormatting>
  <conditionalFormatting sqref="AX73">
    <cfRule type="cellIs" dxfId="8241" priority="143862" stopIfTrue="1" operator="lessThan">
      <formula>0.5</formula>
    </cfRule>
  </conditionalFormatting>
  <conditionalFormatting sqref="AX73">
    <cfRule type="cellIs" dxfId="8240" priority="143863" stopIfTrue="1" operator="greaterThanOrEqual">
      <formula>0.5</formula>
    </cfRule>
  </conditionalFormatting>
  <conditionalFormatting sqref="AX74">
    <cfRule type="cellIs" dxfId="8239" priority="143864" stopIfTrue="1" operator="equal">
      <formula>-1</formula>
    </cfRule>
  </conditionalFormatting>
  <conditionalFormatting sqref="AX74">
    <cfRule type="cellIs" dxfId="8238" priority="143865" stopIfTrue="1" operator="lessThan">
      <formula>0.5</formula>
    </cfRule>
  </conditionalFormatting>
  <conditionalFormatting sqref="AX74">
    <cfRule type="cellIs" dxfId="8237" priority="143866" stopIfTrue="1" operator="greaterThanOrEqual">
      <formula>0.5</formula>
    </cfRule>
  </conditionalFormatting>
  <conditionalFormatting sqref="AX75">
    <cfRule type="cellIs" dxfId="8236" priority="143867" stopIfTrue="1" operator="equal">
      <formula>-1</formula>
    </cfRule>
  </conditionalFormatting>
  <conditionalFormatting sqref="AX75">
    <cfRule type="cellIs" dxfId="8235" priority="143868" stopIfTrue="1" operator="lessThan">
      <formula>0.5</formula>
    </cfRule>
  </conditionalFormatting>
  <conditionalFormatting sqref="AX75">
    <cfRule type="cellIs" dxfId="8234" priority="143869" stopIfTrue="1" operator="greaterThanOrEqual">
      <formula>0.5</formula>
    </cfRule>
  </conditionalFormatting>
  <conditionalFormatting sqref="AX76">
    <cfRule type="cellIs" dxfId="8233" priority="143870" stopIfTrue="1" operator="equal">
      <formula>-1</formula>
    </cfRule>
  </conditionalFormatting>
  <conditionalFormatting sqref="AX76">
    <cfRule type="cellIs" dxfId="8232" priority="143871" stopIfTrue="1" operator="lessThan">
      <formula>0.5</formula>
    </cfRule>
  </conditionalFormatting>
  <conditionalFormatting sqref="AX76">
    <cfRule type="cellIs" dxfId="8231" priority="143872" stopIfTrue="1" operator="greaterThanOrEqual">
      <formula>0.5</formula>
    </cfRule>
  </conditionalFormatting>
  <conditionalFormatting sqref="AX77">
    <cfRule type="cellIs" dxfId="8230" priority="143873" stopIfTrue="1" operator="equal">
      <formula>-1</formula>
    </cfRule>
  </conditionalFormatting>
  <conditionalFormatting sqref="AX77">
    <cfRule type="cellIs" dxfId="8229" priority="143874" stopIfTrue="1" operator="lessThan">
      <formula>0.5</formula>
    </cfRule>
  </conditionalFormatting>
  <conditionalFormatting sqref="AX77">
    <cfRule type="cellIs" dxfId="8228" priority="143875" stopIfTrue="1" operator="greaterThanOrEqual">
      <formula>0.5</formula>
    </cfRule>
  </conditionalFormatting>
  <conditionalFormatting sqref="AX78">
    <cfRule type="cellIs" dxfId="8227" priority="143876" stopIfTrue="1" operator="equal">
      <formula>-1</formula>
    </cfRule>
  </conditionalFormatting>
  <conditionalFormatting sqref="AX78">
    <cfRule type="cellIs" dxfId="8226" priority="143877" stopIfTrue="1" operator="lessThan">
      <formula>0.5</formula>
    </cfRule>
  </conditionalFormatting>
  <conditionalFormatting sqref="AX78">
    <cfRule type="cellIs" dxfId="8225" priority="143878" stopIfTrue="1" operator="greaterThanOrEqual">
      <formula>0.5</formula>
    </cfRule>
  </conditionalFormatting>
  <conditionalFormatting sqref="AX79">
    <cfRule type="cellIs" dxfId="8224" priority="143879" stopIfTrue="1" operator="equal">
      <formula>-1</formula>
    </cfRule>
  </conditionalFormatting>
  <conditionalFormatting sqref="AX79">
    <cfRule type="cellIs" dxfId="8223" priority="143880" stopIfTrue="1" operator="lessThan">
      <formula>0.5</formula>
    </cfRule>
  </conditionalFormatting>
  <conditionalFormatting sqref="AX79">
    <cfRule type="cellIs" dxfId="8222" priority="143881" stopIfTrue="1" operator="greaterThanOrEqual">
      <formula>0.5</formula>
    </cfRule>
  </conditionalFormatting>
  <conditionalFormatting sqref="AX80">
    <cfRule type="cellIs" dxfId="8221" priority="143882" stopIfTrue="1" operator="equal">
      <formula>-1</formula>
    </cfRule>
  </conditionalFormatting>
  <conditionalFormatting sqref="AX80">
    <cfRule type="cellIs" dxfId="8220" priority="143883" stopIfTrue="1" operator="lessThan">
      <formula>0.5</formula>
    </cfRule>
  </conditionalFormatting>
  <conditionalFormatting sqref="AX80">
    <cfRule type="cellIs" dxfId="8219" priority="143884" stopIfTrue="1" operator="greaterThanOrEqual">
      <formula>0.5</formula>
    </cfRule>
  </conditionalFormatting>
  <conditionalFormatting sqref="AX81">
    <cfRule type="cellIs" dxfId="8218" priority="143885" stopIfTrue="1" operator="equal">
      <formula>-1</formula>
    </cfRule>
  </conditionalFormatting>
  <conditionalFormatting sqref="AX81">
    <cfRule type="cellIs" dxfId="8217" priority="143886" stopIfTrue="1" operator="lessThan">
      <formula>0.5</formula>
    </cfRule>
  </conditionalFormatting>
  <conditionalFormatting sqref="AX81">
    <cfRule type="cellIs" dxfId="8216" priority="143887" stopIfTrue="1" operator="greaterThanOrEqual">
      <formula>0.5</formula>
    </cfRule>
  </conditionalFormatting>
  <conditionalFormatting sqref="AX82">
    <cfRule type="cellIs" dxfId="8215" priority="143888" stopIfTrue="1" operator="equal">
      <formula>-1</formula>
    </cfRule>
  </conditionalFormatting>
  <conditionalFormatting sqref="AX82">
    <cfRule type="cellIs" dxfId="8214" priority="143889" stopIfTrue="1" operator="lessThan">
      <formula>0.5</formula>
    </cfRule>
  </conditionalFormatting>
  <conditionalFormatting sqref="AX82">
    <cfRule type="cellIs" dxfId="8213" priority="143890" stopIfTrue="1" operator="greaterThanOrEqual">
      <formula>0.5</formula>
    </cfRule>
  </conditionalFormatting>
  <conditionalFormatting sqref="AX83">
    <cfRule type="cellIs" dxfId="8212" priority="143891" stopIfTrue="1" operator="equal">
      <formula>-1</formula>
    </cfRule>
  </conditionalFormatting>
  <conditionalFormatting sqref="AX83">
    <cfRule type="cellIs" dxfId="8211" priority="143892" stopIfTrue="1" operator="lessThan">
      <formula>0.5</formula>
    </cfRule>
  </conditionalFormatting>
  <conditionalFormatting sqref="AX83">
    <cfRule type="cellIs" dxfId="8210" priority="143893" stopIfTrue="1" operator="greaterThanOrEqual">
      <formula>0.5</formula>
    </cfRule>
  </conditionalFormatting>
  <conditionalFormatting sqref="AX84">
    <cfRule type="cellIs" dxfId="8209" priority="143894" stopIfTrue="1" operator="equal">
      <formula>-1</formula>
    </cfRule>
  </conditionalFormatting>
  <conditionalFormatting sqref="AX84">
    <cfRule type="cellIs" dxfId="8208" priority="143895" stopIfTrue="1" operator="lessThan">
      <formula>0.5</formula>
    </cfRule>
  </conditionalFormatting>
  <conditionalFormatting sqref="AX84">
    <cfRule type="cellIs" dxfId="8207" priority="143896" stopIfTrue="1" operator="greaterThanOrEqual">
      <formula>0.5</formula>
    </cfRule>
  </conditionalFormatting>
  <conditionalFormatting sqref="AX85">
    <cfRule type="cellIs" dxfId="8206" priority="143897" stopIfTrue="1" operator="equal">
      <formula>-1</formula>
    </cfRule>
  </conditionalFormatting>
  <conditionalFormatting sqref="AX85">
    <cfRule type="cellIs" dxfId="8205" priority="143898" stopIfTrue="1" operator="lessThan">
      <formula>0.5</formula>
    </cfRule>
  </conditionalFormatting>
  <conditionalFormatting sqref="AX85">
    <cfRule type="cellIs" dxfId="8204" priority="143899" stopIfTrue="1" operator="greaterThanOrEqual">
      <formula>0.5</formula>
    </cfRule>
  </conditionalFormatting>
  <conditionalFormatting sqref="AZ65">
    <cfRule type="cellIs" dxfId="8203" priority="143900" stopIfTrue="1" operator="equal">
      <formula>-1</formula>
    </cfRule>
  </conditionalFormatting>
  <conditionalFormatting sqref="AZ65">
    <cfRule type="cellIs" dxfId="8202" priority="143901" stopIfTrue="1" operator="lessThan">
      <formula>0.5</formula>
    </cfRule>
  </conditionalFormatting>
  <conditionalFormatting sqref="AZ65">
    <cfRule type="cellIs" dxfId="8201" priority="143902" stopIfTrue="1" operator="greaterThanOrEqual">
      <formula>0.5</formula>
    </cfRule>
  </conditionalFormatting>
  <conditionalFormatting sqref="AZ66">
    <cfRule type="cellIs" dxfId="8200" priority="143903" stopIfTrue="1" operator="equal">
      <formula>-1</formula>
    </cfRule>
  </conditionalFormatting>
  <conditionalFormatting sqref="AZ66">
    <cfRule type="cellIs" dxfId="8199" priority="143904" stopIfTrue="1" operator="lessThan">
      <formula>0.5</formula>
    </cfRule>
  </conditionalFormatting>
  <conditionalFormatting sqref="AZ66">
    <cfRule type="cellIs" dxfId="8198" priority="143905" stopIfTrue="1" operator="greaterThanOrEqual">
      <formula>0.5</formula>
    </cfRule>
  </conditionalFormatting>
  <conditionalFormatting sqref="AZ67">
    <cfRule type="cellIs" dxfId="8197" priority="143906" stopIfTrue="1" operator="equal">
      <formula>-1</formula>
    </cfRule>
  </conditionalFormatting>
  <conditionalFormatting sqref="AZ67">
    <cfRule type="cellIs" dxfId="8196" priority="143907" stopIfTrue="1" operator="lessThan">
      <formula>0.5</formula>
    </cfRule>
  </conditionalFormatting>
  <conditionalFormatting sqref="AZ67">
    <cfRule type="cellIs" dxfId="8195" priority="143908" stopIfTrue="1" operator="greaterThanOrEqual">
      <formula>0.5</formula>
    </cfRule>
  </conditionalFormatting>
  <conditionalFormatting sqref="AZ68">
    <cfRule type="cellIs" dxfId="8194" priority="143909" stopIfTrue="1" operator="equal">
      <formula>-1</formula>
    </cfRule>
  </conditionalFormatting>
  <conditionalFormatting sqref="AZ68">
    <cfRule type="cellIs" dxfId="8193" priority="143910" stopIfTrue="1" operator="lessThan">
      <formula>0.5</formula>
    </cfRule>
  </conditionalFormatting>
  <conditionalFormatting sqref="AZ68">
    <cfRule type="cellIs" dxfId="8192" priority="143911" stopIfTrue="1" operator="greaterThanOrEqual">
      <formula>0.5</formula>
    </cfRule>
  </conditionalFormatting>
  <conditionalFormatting sqref="AZ69">
    <cfRule type="cellIs" dxfId="8191" priority="143912" stopIfTrue="1" operator="equal">
      <formula>-1</formula>
    </cfRule>
  </conditionalFormatting>
  <conditionalFormatting sqref="AZ69">
    <cfRule type="cellIs" dxfId="8190" priority="143913" stopIfTrue="1" operator="lessThan">
      <formula>0.5</formula>
    </cfRule>
  </conditionalFormatting>
  <conditionalFormatting sqref="AZ69">
    <cfRule type="cellIs" dxfId="8189" priority="143914" stopIfTrue="1" operator="greaterThanOrEqual">
      <formula>0.5</formula>
    </cfRule>
  </conditionalFormatting>
  <conditionalFormatting sqref="AZ70">
    <cfRule type="cellIs" dxfId="8188" priority="143915" stopIfTrue="1" operator="equal">
      <formula>-1</formula>
    </cfRule>
  </conditionalFormatting>
  <conditionalFormatting sqref="AZ70">
    <cfRule type="cellIs" dxfId="8187" priority="143916" stopIfTrue="1" operator="lessThan">
      <formula>0.5</formula>
    </cfRule>
  </conditionalFormatting>
  <conditionalFormatting sqref="AZ70">
    <cfRule type="cellIs" dxfId="8186" priority="143917" stopIfTrue="1" operator="greaterThanOrEqual">
      <formula>0.5</formula>
    </cfRule>
  </conditionalFormatting>
  <conditionalFormatting sqref="AZ71">
    <cfRule type="cellIs" dxfId="8185" priority="143918" stopIfTrue="1" operator="equal">
      <formula>-1</formula>
    </cfRule>
  </conditionalFormatting>
  <conditionalFormatting sqref="AZ71">
    <cfRule type="cellIs" dxfId="8184" priority="143919" stopIfTrue="1" operator="lessThan">
      <formula>0.5</formula>
    </cfRule>
  </conditionalFormatting>
  <conditionalFormatting sqref="AZ71">
    <cfRule type="cellIs" dxfId="8183" priority="143920" stopIfTrue="1" operator="greaterThanOrEqual">
      <formula>0.5</formula>
    </cfRule>
  </conditionalFormatting>
  <conditionalFormatting sqref="AZ72">
    <cfRule type="cellIs" dxfId="8182" priority="143921" stopIfTrue="1" operator="equal">
      <formula>-1</formula>
    </cfRule>
  </conditionalFormatting>
  <conditionalFormatting sqref="AZ72">
    <cfRule type="cellIs" dxfId="8181" priority="143922" stopIfTrue="1" operator="lessThan">
      <formula>0.5</formula>
    </cfRule>
  </conditionalFormatting>
  <conditionalFormatting sqref="AZ72">
    <cfRule type="cellIs" dxfId="8180" priority="143923" stopIfTrue="1" operator="greaterThanOrEqual">
      <formula>0.5</formula>
    </cfRule>
  </conditionalFormatting>
  <conditionalFormatting sqref="AZ73">
    <cfRule type="cellIs" dxfId="8179" priority="143924" stopIfTrue="1" operator="equal">
      <formula>-1</formula>
    </cfRule>
  </conditionalFormatting>
  <conditionalFormatting sqref="AZ73">
    <cfRule type="cellIs" dxfId="8178" priority="143925" stopIfTrue="1" operator="lessThan">
      <formula>0.5</formula>
    </cfRule>
  </conditionalFormatting>
  <conditionalFormatting sqref="AZ73">
    <cfRule type="cellIs" dxfId="8177" priority="143926" stopIfTrue="1" operator="greaterThanOrEqual">
      <formula>0.5</formula>
    </cfRule>
  </conditionalFormatting>
  <conditionalFormatting sqref="AZ74">
    <cfRule type="cellIs" dxfId="8176" priority="143927" stopIfTrue="1" operator="equal">
      <formula>-1</formula>
    </cfRule>
  </conditionalFormatting>
  <conditionalFormatting sqref="AZ74">
    <cfRule type="cellIs" dxfId="8175" priority="143928" stopIfTrue="1" operator="lessThan">
      <formula>0.5</formula>
    </cfRule>
  </conditionalFormatting>
  <conditionalFormatting sqref="AZ74">
    <cfRule type="cellIs" dxfId="8174" priority="143929" stopIfTrue="1" operator="greaterThanOrEqual">
      <formula>0.5</formula>
    </cfRule>
  </conditionalFormatting>
  <conditionalFormatting sqref="AZ75">
    <cfRule type="cellIs" dxfId="8173" priority="143930" stopIfTrue="1" operator="equal">
      <formula>-1</formula>
    </cfRule>
  </conditionalFormatting>
  <conditionalFormatting sqref="AZ75">
    <cfRule type="cellIs" dxfId="8172" priority="143931" stopIfTrue="1" operator="lessThan">
      <formula>0.5</formula>
    </cfRule>
  </conditionalFormatting>
  <conditionalFormatting sqref="AZ75">
    <cfRule type="cellIs" dxfId="8171" priority="143932" stopIfTrue="1" operator="greaterThanOrEqual">
      <formula>0.5</formula>
    </cfRule>
  </conditionalFormatting>
  <conditionalFormatting sqref="AZ76">
    <cfRule type="cellIs" dxfId="8170" priority="143933" stopIfTrue="1" operator="equal">
      <formula>-1</formula>
    </cfRule>
  </conditionalFormatting>
  <conditionalFormatting sqref="AZ76">
    <cfRule type="cellIs" dxfId="8169" priority="143934" stopIfTrue="1" operator="lessThan">
      <formula>0.5</formula>
    </cfRule>
  </conditionalFormatting>
  <conditionalFormatting sqref="AZ76">
    <cfRule type="cellIs" dxfId="8168" priority="143935" stopIfTrue="1" operator="greaterThanOrEqual">
      <formula>0.5</formula>
    </cfRule>
  </conditionalFormatting>
  <conditionalFormatting sqref="AZ77">
    <cfRule type="cellIs" dxfId="8167" priority="143936" stopIfTrue="1" operator="equal">
      <formula>-1</formula>
    </cfRule>
  </conditionalFormatting>
  <conditionalFormatting sqref="AZ77">
    <cfRule type="cellIs" dxfId="8166" priority="143937" stopIfTrue="1" operator="lessThan">
      <formula>0.5</formula>
    </cfRule>
  </conditionalFormatting>
  <conditionalFormatting sqref="AZ77">
    <cfRule type="cellIs" dxfId="8165" priority="143938" stopIfTrue="1" operator="greaterThanOrEqual">
      <formula>0.5</formula>
    </cfRule>
  </conditionalFormatting>
  <conditionalFormatting sqref="AZ78">
    <cfRule type="cellIs" dxfId="8164" priority="143939" stopIfTrue="1" operator="equal">
      <formula>-1</formula>
    </cfRule>
  </conditionalFormatting>
  <conditionalFormatting sqref="AZ78">
    <cfRule type="cellIs" dxfId="8163" priority="143940" stopIfTrue="1" operator="lessThan">
      <formula>0.5</formula>
    </cfRule>
  </conditionalFormatting>
  <conditionalFormatting sqref="AZ78">
    <cfRule type="cellIs" dxfId="8162" priority="143941" stopIfTrue="1" operator="greaterThanOrEqual">
      <formula>0.5</formula>
    </cfRule>
  </conditionalFormatting>
  <conditionalFormatting sqref="AZ79">
    <cfRule type="cellIs" dxfId="8161" priority="143942" stopIfTrue="1" operator="equal">
      <formula>-1</formula>
    </cfRule>
  </conditionalFormatting>
  <conditionalFormatting sqref="AZ79">
    <cfRule type="cellIs" dxfId="8160" priority="143943" stopIfTrue="1" operator="lessThan">
      <formula>0.5</formula>
    </cfRule>
  </conditionalFormatting>
  <conditionalFormatting sqref="AZ79">
    <cfRule type="cellIs" dxfId="8159" priority="143944" stopIfTrue="1" operator="greaterThanOrEqual">
      <formula>0.5</formula>
    </cfRule>
  </conditionalFormatting>
  <conditionalFormatting sqref="AZ80">
    <cfRule type="cellIs" dxfId="8158" priority="143945" stopIfTrue="1" operator="equal">
      <formula>-1</formula>
    </cfRule>
  </conditionalFormatting>
  <conditionalFormatting sqref="AZ80">
    <cfRule type="cellIs" dxfId="8157" priority="143946" stopIfTrue="1" operator="lessThan">
      <formula>0.5</formula>
    </cfRule>
  </conditionalFormatting>
  <conditionalFormatting sqref="AZ80">
    <cfRule type="cellIs" dxfId="8156" priority="143947" stopIfTrue="1" operator="greaterThanOrEqual">
      <formula>0.5</formula>
    </cfRule>
  </conditionalFormatting>
  <conditionalFormatting sqref="AZ81">
    <cfRule type="cellIs" dxfId="8155" priority="143948" stopIfTrue="1" operator="equal">
      <formula>-1</formula>
    </cfRule>
  </conditionalFormatting>
  <conditionalFormatting sqref="AZ81">
    <cfRule type="cellIs" dxfId="8154" priority="143949" stopIfTrue="1" operator="lessThan">
      <formula>0.5</formula>
    </cfRule>
  </conditionalFormatting>
  <conditionalFormatting sqref="AZ81">
    <cfRule type="cellIs" dxfId="8153" priority="143950" stopIfTrue="1" operator="greaterThanOrEqual">
      <formula>0.5</formula>
    </cfRule>
  </conditionalFormatting>
  <conditionalFormatting sqref="AZ82">
    <cfRule type="cellIs" dxfId="8152" priority="143951" stopIfTrue="1" operator="equal">
      <formula>-1</formula>
    </cfRule>
  </conditionalFormatting>
  <conditionalFormatting sqref="AZ82">
    <cfRule type="cellIs" dxfId="8151" priority="143952" stopIfTrue="1" operator="lessThan">
      <formula>0.5</formula>
    </cfRule>
  </conditionalFormatting>
  <conditionalFormatting sqref="AZ82">
    <cfRule type="cellIs" dxfId="8150" priority="143953" stopIfTrue="1" operator="greaterThanOrEqual">
      <formula>0.5</formula>
    </cfRule>
  </conditionalFormatting>
  <conditionalFormatting sqref="AZ83">
    <cfRule type="cellIs" dxfId="8149" priority="143954" stopIfTrue="1" operator="equal">
      <formula>-1</formula>
    </cfRule>
  </conditionalFormatting>
  <conditionalFormatting sqref="AZ83">
    <cfRule type="cellIs" dxfId="8148" priority="143955" stopIfTrue="1" operator="lessThan">
      <formula>0.5</formula>
    </cfRule>
  </conditionalFormatting>
  <conditionalFormatting sqref="AZ83">
    <cfRule type="cellIs" dxfId="8147" priority="143956" stopIfTrue="1" operator="greaterThanOrEqual">
      <formula>0.5</formula>
    </cfRule>
  </conditionalFormatting>
  <conditionalFormatting sqref="AZ84">
    <cfRule type="cellIs" dxfId="8146" priority="143957" stopIfTrue="1" operator="equal">
      <formula>-1</formula>
    </cfRule>
  </conditionalFormatting>
  <conditionalFormatting sqref="AZ84">
    <cfRule type="cellIs" dxfId="8145" priority="143958" stopIfTrue="1" operator="lessThan">
      <formula>0.5</formula>
    </cfRule>
  </conditionalFormatting>
  <conditionalFormatting sqref="AZ84">
    <cfRule type="cellIs" dxfId="8144" priority="143959" stopIfTrue="1" operator="greaterThanOrEqual">
      <formula>0.5</formula>
    </cfRule>
  </conditionalFormatting>
  <conditionalFormatting sqref="AZ85">
    <cfRule type="cellIs" dxfId="8143" priority="143960" stopIfTrue="1" operator="equal">
      <formula>-1</formula>
    </cfRule>
  </conditionalFormatting>
  <conditionalFormatting sqref="AZ85">
    <cfRule type="cellIs" dxfId="8142" priority="143961" stopIfTrue="1" operator="lessThan">
      <formula>0.5</formula>
    </cfRule>
  </conditionalFormatting>
  <conditionalFormatting sqref="AZ85">
    <cfRule type="cellIs" dxfId="8141" priority="143962" stopIfTrue="1" operator="greaterThanOrEqual">
      <formula>0.5</formula>
    </cfRule>
  </conditionalFormatting>
  <conditionalFormatting sqref="BB65">
    <cfRule type="cellIs" dxfId="8140" priority="143963" stopIfTrue="1" operator="equal">
      <formula>-1</formula>
    </cfRule>
  </conditionalFormatting>
  <conditionalFormatting sqref="BB65">
    <cfRule type="cellIs" dxfId="8139" priority="143964" stopIfTrue="1" operator="lessThan">
      <formula>0.5</formula>
    </cfRule>
  </conditionalFormatting>
  <conditionalFormatting sqref="BB65">
    <cfRule type="cellIs" dxfId="8138" priority="143965" stopIfTrue="1" operator="greaterThanOrEqual">
      <formula>0.5</formula>
    </cfRule>
  </conditionalFormatting>
  <conditionalFormatting sqref="BB66">
    <cfRule type="cellIs" dxfId="8137" priority="143966" stopIfTrue="1" operator="equal">
      <formula>-1</formula>
    </cfRule>
  </conditionalFormatting>
  <conditionalFormatting sqref="BB66">
    <cfRule type="cellIs" dxfId="8136" priority="143967" stopIfTrue="1" operator="lessThan">
      <formula>0.5</formula>
    </cfRule>
  </conditionalFormatting>
  <conditionalFormatting sqref="BB66">
    <cfRule type="cellIs" dxfId="8135" priority="143968" stopIfTrue="1" operator="greaterThanOrEqual">
      <formula>0.5</formula>
    </cfRule>
  </conditionalFormatting>
  <conditionalFormatting sqref="BB67">
    <cfRule type="cellIs" dxfId="8134" priority="143969" stopIfTrue="1" operator="equal">
      <formula>-1</formula>
    </cfRule>
  </conditionalFormatting>
  <conditionalFormatting sqref="BB67">
    <cfRule type="cellIs" dxfId="8133" priority="143970" stopIfTrue="1" operator="lessThan">
      <formula>0.5</formula>
    </cfRule>
  </conditionalFormatting>
  <conditionalFormatting sqref="BB67">
    <cfRule type="cellIs" dxfId="8132" priority="143971" stopIfTrue="1" operator="greaterThanOrEqual">
      <formula>0.5</formula>
    </cfRule>
  </conditionalFormatting>
  <conditionalFormatting sqref="BB68">
    <cfRule type="cellIs" dxfId="8131" priority="143972" stopIfTrue="1" operator="equal">
      <formula>-1</formula>
    </cfRule>
  </conditionalFormatting>
  <conditionalFormatting sqref="BB68">
    <cfRule type="cellIs" dxfId="8130" priority="143973" stopIfTrue="1" operator="lessThan">
      <formula>0.5</formula>
    </cfRule>
  </conditionalFormatting>
  <conditionalFormatting sqref="BB68">
    <cfRule type="cellIs" dxfId="8129" priority="143974" stopIfTrue="1" operator="greaterThanOrEqual">
      <formula>0.5</formula>
    </cfRule>
  </conditionalFormatting>
  <conditionalFormatting sqref="BB69">
    <cfRule type="cellIs" dxfId="8128" priority="143975" stopIfTrue="1" operator="equal">
      <formula>-1</formula>
    </cfRule>
  </conditionalFormatting>
  <conditionalFormatting sqref="BB69">
    <cfRule type="cellIs" dxfId="8127" priority="143976" stopIfTrue="1" operator="lessThan">
      <formula>0.5</formula>
    </cfRule>
  </conditionalFormatting>
  <conditionalFormatting sqref="BB69">
    <cfRule type="cellIs" dxfId="8126" priority="143977" stopIfTrue="1" operator="greaterThanOrEqual">
      <formula>0.5</formula>
    </cfRule>
  </conditionalFormatting>
  <conditionalFormatting sqref="BB70">
    <cfRule type="cellIs" dxfId="8125" priority="143978" stopIfTrue="1" operator="equal">
      <formula>-1</formula>
    </cfRule>
  </conditionalFormatting>
  <conditionalFormatting sqref="BB70">
    <cfRule type="cellIs" dxfId="8124" priority="143979" stopIfTrue="1" operator="lessThan">
      <formula>0.5</formula>
    </cfRule>
  </conditionalFormatting>
  <conditionalFormatting sqref="BB70">
    <cfRule type="cellIs" dxfId="8123" priority="143980" stopIfTrue="1" operator="greaterThanOrEqual">
      <formula>0.5</formula>
    </cfRule>
  </conditionalFormatting>
  <conditionalFormatting sqref="BB71">
    <cfRule type="cellIs" dxfId="8122" priority="143981" stopIfTrue="1" operator="equal">
      <formula>-1</formula>
    </cfRule>
  </conditionalFormatting>
  <conditionalFormatting sqref="BB71">
    <cfRule type="cellIs" dxfId="8121" priority="143982" stopIfTrue="1" operator="lessThan">
      <formula>0.5</formula>
    </cfRule>
  </conditionalFormatting>
  <conditionalFormatting sqref="BB71">
    <cfRule type="cellIs" dxfId="8120" priority="143983" stopIfTrue="1" operator="greaterThanOrEqual">
      <formula>0.5</formula>
    </cfRule>
  </conditionalFormatting>
  <conditionalFormatting sqref="BB72">
    <cfRule type="cellIs" dxfId="8119" priority="143984" stopIfTrue="1" operator="equal">
      <formula>-1</formula>
    </cfRule>
  </conditionalFormatting>
  <conditionalFormatting sqref="BB72">
    <cfRule type="cellIs" dxfId="8118" priority="143985" stopIfTrue="1" operator="lessThan">
      <formula>0.5</formula>
    </cfRule>
  </conditionalFormatting>
  <conditionalFormatting sqref="BB72">
    <cfRule type="cellIs" dxfId="8117" priority="143986" stopIfTrue="1" operator="greaterThanOrEqual">
      <formula>0.5</formula>
    </cfRule>
  </conditionalFormatting>
  <conditionalFormatting sqref="BB73">
    <cfRule type="cellIs" dxfId="8116" priority="143987" stopIfTrue="1" operator="equal">
      <formula>-1</formula>
    </cfRule>
  </conditionalFormatting>
  <conditionalFormatting sqref="BB73">
    <cfRule type="cellIs" dxfId="8115" priority="143988" stopIfTrue="1" operator="lessThan">
      <formula>0.5</formula>
    </cfRule>
  </conditionalFormatting>
  <conditionalFormatting sqref="BB73">
    <cfRule type="cellIs" dxfId="8114" priority="143989" stopIfTrue="1" operator="greaterThanOrEqual">
      <formula>0.5</formula>
    </cfRule>
  </conditionalFormatting>
  <conditionalFormatting sqref="BB74">
    <cfRule type="cellIs" dxfId="8113" priority="143990" stopIfTrue="1" operator="equal">
      <formula>-1</formula>
    </cfRule>
  </conditionalFormatting>
  <conditionalFormatting sqref="BB74">
    <cfRule type="cellIs" dxfId="8112" priority="143991" stopIfTrue="1" operator="lessThan">
      <formula>0.5</formula>
    </cfRule>
  </conditionalFormatting>
  <conditionalFormatting sqref="BB74">
    <cfRule type="cellIs" dxfId="8111" priority="143992" stopIfTrue="1" operator="greaterThanOrEqual">
      <formula>0.5</formula>
    </cfRule>
  </conditionalFormatting>
  <conditionalFormatting sqref="BB75">
    <cfRule type="cellIs" dxfId="8110" priority="143993" stopIfTrue="1" operator="equal">
      <formula>-1</formula>
    </cfRule>
  </conditionalFormatting>
  <conditionalFormatting sqref="BB75">
    <cfRule type="cellIs" dxfId="8109" priority="143994" stopIfTrue="1" operator="lessThan">
      <formula>0.5</formula>
    </cfRule>
  </conditionalFormatting>
  <conditionalFormatting sqref="BB75">
    <cfRule type="cellIs" dxfId="8108" priority="143995" stopIfTrue="1" operator="greaterThanOrEqual">
      <formula>0.5</formula>
    </cfRule>
  </conditionalFormatting>
  <conditionalFormatting sqref="BB76">
    <cfRule type="cellIs" dxfId="8107" priority="143996" stopIfTrue="1" operator="equal">
      <formula>-1</formula>
    </cfRule>
  </conditionalFormatting>
  <conditionalFormatting sqref="BB76">
    <cfRule type="cellIs" dxfId="8106" priority="143997" stopIfTrue="1" operator="lessThan">
      <formula>0.5</formula>
    </cfRule>
  </conditionalFormatting>
  <conditionalFormatting sqref="BB76">
    <cfRule type="cellIs" dxfId="8105" priority="143998" stopIfTrue="1" operator="greaterThanOrEqual">
      <formula>0.5</formula>
    </cfRule>
  </conditionalFormatting>
  <conditionalFormatting sqref="BB77">
    <cfRule type="cellIs" dxfId="8104" priority="143999" stopIfTrue="1" operator="equal">
      <formula>-1</formula>
    </cfRule>
  </conditionalFormatting>
  <conditionalFormatting sqref="BB77">
    <cfRule type="cellIs" dxfId="8103" priority="144000" stopIfTrue="1" operator="lessThan">
      <formula>0.5</formula>
    </cfRule>
  </conditionalFormatting>
  <conditionalFormatting sqref="BB77">
    <cfRule type="cellIs" dxfId="8102" priority="144001" stopIfTrue="1" operator="greaterThanOrEqual">
      <formula>0.5</formula>
    </cfRule>
  </conditionalFormatting>
  <conditionalFormatting sqref="BB78">
    <cfRule type="cellIs" dxfId="8101" priority="144002" stopIfTrue="1" operator="equal">
      <formula>-1</formula>
    </cfRule>
  </conditionalFormatting>
  <conditionalFormatting sqref="BB78">
    <cfRule type="cellIs" dxfId="8100" priority="144003" stopIfTrue="1" operator="lessThan">
      <formula>0.5</formula>
    </cfRule>
  </conditionalFormatting>
  <conditionalFormatting sqref="BB78">
    <cfRule type="cellIs" dxfId="8099" priority="144004" stopIfTrue="1" operator="greaterThanOrEqual">
      <formula>0.5</formula>
    </cfRule>
  </conditionalFormatting>
  <conditionalFormatting sqref="BB79">
    <cfRule type="cellIs" dxfId="8098" priority="144005" stopIfTrue="1" operator="equal">
      <formula>-1</formula>
    </cfRule>
  </conditionalFormatting>
  <conditionalFormatting sqref="BB79">
    <cfRule type="cellIs" dxfId="8097" priority="144006" stopIfTrue="1" operator="lessThan">
      <formula>0.5</formula>
    </cfRule>
  </conditionalFormatting>
  <conditionalFormatting sqref="BB79">
    <cfRule type="cellIs" dxfId="8096" priority="144007" stopIfTrue="1" operator="greaterThanOrEqual">
      <formula>0.5</formula>
    </cfRule>
  </conditionalFormatting>
  <conditionalFormatting sqref="BB80">
    <cfRule type="cellIs" dxfId="8095" priority="144008" stopIfTrue="1" operator="equal">
      <formula>-1</formula>
    </cfRule>
  </conditionalFormatting>
  <conditionalFormatting sqref="BB80">
    <cfRule type="cellIs" dxfId="8094" priority="144009" stopIfTrue="1" operator="lessThan">
      <formula>0.5</formula>
    </cfRule>
  </conditionalFormatting>
  <conditionalFormatting sqref="BB80">
    <cfRule type="cellIs" dxfId="8093" priority="144010" stopIfTrue="1" operator="greaterThanOrEqual">
      <formula>0.5</formula>
    </cfRule>
  </conditionalFormatting>
  <conditionalFormatting sqref="BB81">
    <cfRule type="cellIs" dxfId="8092" priority="144011" stopIfTrue="1" operator="equal">
      <formula>-1</formula>
    </cfRule>
  </conditionalFormatting>
  <conditionalFormatting sqref="BB81">
    <cfRule type="cellIs" dxfId="8091" priority="144012" stopIfTrue="1" operator="lessThan">
      <formula>0.5</formula>
    </cfRule>
  </conditionalFormatting>
  <conditionalFormatting sqref="BB81">
    <cfRule type="cellIs" dxfId="8090" priority="144013" stopIfTrue="1" operator="greaterThanOrEqual">
      <formula>0.5</formula>
    </cfRule>
  </conditionalFormatting>
  <conditionalFormatting sqref="BB82">
    <cfRule type="cellIs" dxfId="8089" priority="144014" stopIfTrue="1" operator="equal">
      <formula>-1</formula>
    </cfRule>
  </conditionalFormatting>
  <conditionalFormatting sqref="BB82">
    <cfRule type="cellIs" dxfId="8088" priority="144015" stopIfTrue="1" operator="lessThan">
      <formula>0.5</formula>
    </cfRule>
  </conditionalFormatting>
  <conditionalFormatting sqref="BB82">
    <cfRule type="cellIs" dxfId="8087" priority="144016" stopIfTrue="1" operator="greaterThanOrEqual">
      <formula>0.5</formula>
    </cfRule>
  </conditionalFormatting>
  <conditionalFormatting sqref="BB83">
    <cfRule type="cellIs" dxfId="8086" priority="144017" stopIfTrue="1" operator="equal">
      <formula>-1</formula>
    </cfRule>
  </conditionalFormatting>
  <conditionalFormatting sqref="BB83">
    <cfRule type="cellIs" dxfId="8085" priority="144018" stopIfTrue="1" operator="lessThan">
      <formula>0.5</formula>
    </cfRule>
  </conditionalFormatting>
  <conditionalFormatting sqref="BB83">
    <cfRule type="cellIs" dxfId="8084" priority="144019" stopIfTrue="1" operator="greaterThanOrEqual">
      <formula>0.5</formula>
    </cfRule>
  </conditionalFormatting>
  <conditionalFormatting sqref="BB84">
    <cfRule type="cellIs" dxfId="8083" priority="144020" stopIfTrue="1" operator="equal">
      <formula>-1</formula>
    </cfRule>
  </conditionalFormatting>
  <conditionalFormatting sqref="BB84">
    <cfRule type="cellIs" dxfId="8082" priority="144021" stopIfTrue="1" operator="lessThan">
      <formula>0.5</formula>
    </cfRule>
  </conditionalFormatting>
  <conditionalFormatting sqref="BB84">
    <cfRule type="cellIs" dxfId="8081" priority="144022" stopIfTrue="1" operator="greaterThanOrEqual">
      <formula>0.5</formula>
    </cfRule>
  </conditionalFormatting>
  <conditionalFormatting sqref="BB85">
    <cfRule type="cellIs" dxfId="8080" priority="144023" stopIfTrue="1" operator="equal">
      <formula>-1</formula>
    </cfRule>
  </conditionalFormatting>
  <conditionalFormatting sqref="BB85">
    <cfRule type="cellIs" dxfId="8079" priority="144024" stopIfTrue="1" operator="lessThan">
      <formula>0.5</formula>
    </cfRule>
  </conditionalFormatting>
  <conditionalFormatting sqref="BB85">
    <cfRule type="cellIs" dxfId="8078" priority="144025" stopIfTrue="1" operator="greaterThanOrEqual">
      <formula>0.5</formula>
    </cfRule>
  </conditionalFormatting>
  <conditionalFormatting sqref="BD65">
    <cfRule type="cellIs" dxfId="8077" priority="144026" stopIfTrue="1" operator="equal">
      <formula>-1</formula>
    </cfRule>
  </conditionalFormatting>
  <conditionalFormatting sqref="BD65">
    <cfRule type="cellIs" dxfId="8076" priority="144027" stopIfTrue="1" operator="lessThan">
      <formula>0.5</formula>
    </cfRule>
  </conditionalFormatting>
  <conditionalFormatting sqref="BD65">
    <cfRule type="cellIs" dxfId="8075" priority="144028" stopIfTrue="1" operator="greaterThanOrEqual">
      <formula>0.5</formula>
    </cfRule>
  </conditionalFormatting>
  <conditionalFormatting sqref="BD66">
    <cfRule type="cellIs" dxfId="8074" priority="144029" stopIfTrue="1" operator="equal">
      <formula>-1</formula>
    </cfRule>
  </conditionalFormatting>
  <conditionalFormatting sqref="BD66">
    <cfRule type="cellIs" dxfId="8073" priority="144030" stopIfTrue="1" operator="lessThan">
      <formula>0.5</formula>
    </cfRule>
  </conditionalFormatting>
  <conditionalFormatting sqref="BD66">
    <cfRule type="cellIs" dxfId="8072" priority="144031" stopIfTrue="1" operator="greaterThanOrEqual">
      <formula>0.5</formula>
    </cfRule>
  </conditionalFormatting>
  <conditionalFormatting sqref="BD67">
    <cfRule type="cellIs" dxfId="8071" priority="144032" stopIfTrue="1" operator="equal">
      <formula>-1</formula>
    </cfRule>
  </conditionalFormatting>
  <conditionalFormatting sqref="BD67">
    <cfRule type="cellIs" dxfId="8070" priority="144033" stopIfTrue="1" operator="lessThan">
      <formula>0.5</formula>
    </cfRule>
  </conditionalFormatting>
  <conditionalFormatting sqref="BD67">
    <cfRule type="cellIs" dxfId="8069" priority="144034" stopIfTrue="1" operator="greaterThanOrEqual">
      <formula>0.5</formula>
    </cfRule>
  </conditionalFormatting>
  <conditionalFormatting sqref="BD68">
    <cfRule type="cellIs" dxfId="8068" priority="144035" stopIfTrue="1" operator="equal">
      <formula>-1</formula>
    </cfRule>
  </conditionalFormatting>
  <conditionalFormatting sqref="BD68">
    <cfRule type="cellIs" dxfId="8067" priority="144036" stopIfTrue="1" operator="lessThan">
      <formula>0.5</formula>
    </cfRule>
  </conditionalFormatting>
  <conditionalFormatting sqref="BD68">
    <cfRule type="cellIs" dxfId="8066" priority="144037" stopIfTrue="1" operator="greaterThanOrEqual">
      <formula>0.5</formula>
    </cfRule>
  </conditionalFormatting>
  <conditionalFormatting sqref="BD69">
    <cfRule type="cellIs" dxfId="8065" priority="144038" stopIfTrue="1" operator="equal">
      <formula>-1</formula>
    </cfRule>
  </conditionalFormatting>
  <conditionalFormatting sqref="BD69">
    <cfRule type="cellIs" dxfId="8064" priority="144039" stopIfTrue="1" operator="lessThan">
      <formula>0.5</formula>
    </cfRule>
  </conditionalFormatting>
  <conditionalFormatting sqref="BD69">
    <cfRule type="cellIs" dxfId="8063" priority="144040" stopIfTrue="1" operator="greaterThanOrEqual">
      <formula>0.5</formula>
    </cfRule>
  </conditionalFormatting>
  <conditionalFormatting sqref="BD70">
    <cfRule type="cellIs" dxfId="8062" priority="144041" stopIfTrue="1" operator="equal">
      <formula>-1</formula>
    </cfRule>
  </conditionalFormatting>
  <conditionalFormatting sqref="BD70">
    <cfRule type="cellIs" dxfId="8061" priority="144042" stopIfTrue="1" operator="lessThan">
      <formula>0.5</formula>
    </cfRule>
  </conditionalFormatting>
  <conditionalFormatting sqref="BD70">
    <cfRule type="cellIs" dxfId="8060" priority="144043" stopIfTrue="1" operator="greaterThanOrEqual">
      <formula>0.5</formula>
    </cfRule>
  </conditionalFormatting>
  <conditionalFormatting sqref="BD71">
    <cfRule type="cellIs" dxfId="8059" priority="144044" stopIfTrue="1" operator="equal">
      <formula>-1</formula>
    </cfRule>
  </conditionalFormatting>
  <conditionalFormatting sqref="BD71">
    <cfRule type="cellIs" dxfId="8058" priority="144045" stopIfTrue="1" operator="lessThan">
      <formula>0.5</formula>
    </cfRule>
  </conditionalFormatting>
  <conditionalFormatting sqref="BD71">
    <cfRule type="cellIs" dxfId="8057" priority="144046" stopIfTrue="1" operator="greaterThanOrEqual">
      <formula>0.5</formula>
    </cfRule>
  </conditionalFormatting>
  <conditionalFormatting sqref="BD72">
    <cfRule type="cellIs" dxfId="8056" priority="144047" stopIfTrue="1" operator="equal">
      <formula>-1</formula>
    </cfRule>
  </conditionalFormatting>
  <conditionalFormatting sqref="BD72">
    <cfRule type="cellIs" dxfId="8055" priority="144048" stopIfTrue="1" operator="lessThan">
      <formula>0.5</formula>
    </cfRule>
  </conditionalFormatting>
  <conditionalFormatting sqref="BD72">
    <cfRule type="cellIs" dxfId="8054" priority="144049" stopIfTrue="1" operator="greaterThanOrEqual">
      <formula>0.5</formula>
    </cfRule>
  </conditionalFormatting>
  <conditionalFormatting sqref="BD73">
    <cfRule type="cellIs" dxfId="8053" priority="144050" stopIfTrue="1" operator="equal">
      <formula>-1</formula>
    </cfRule>
  </conditionalFormatting>
  <conditionalFormatting sqref="BD73">
    <cfRule type="cellIs" dxfId="8052" priority="144051" stopIfTrue="1" operator="lessThan">
      <formula>0.5</formula>
    </cfRule>
  </conditionalFormatting>
  <conditionalFormatting sqref="BD73">
    <cfRule type="cellIs" dxfId="8051" priority="144052" stopIfTrue="1" operator="greaterThanOrEqual">
      <formula>0.5</formula>
    </cfRule>
  </conditionalFormatting>
  <conditionalFormatting sqref="BD74">
    <cfRule type="cellIs" dxfId="8050" priority="144053" stopIfTrue="1" operator="equal">
      <formula>-1</formula>
    </cfRule>
  </conditionalFormatting>
  <conditionalFormatting sqref="BD74">
    <cfRule type="cellIs" dxfId="8049" priority="144054" stopIfTrue="1" operator="lessThan">
      <formula>0.5</formula>
    </cfRule>
  </conditionalFormatting>
  <conditionalFormatting sqref="BD74">
    <cfRule type="cellIs" dxfId="8048" priority="144055" stopIfTrue="1" operator="greaterThanOrEqual">
      <formula>0.5</formula>
    </cfRule>
  </conditionalFormatting>
  <conditionalFormatting sqref="BD75">
    <cfRule type="cellIs" dxfId="8047" priority="144056" stopIfTrue="1" operator="equal">
      <formula>-1</formula>
    </cfRule>
  </conditionalFormatting>
  <conditionalFormatting sqref="BD75">
    <cfRule type="cellIs" dxfId="8046" priority="144057" stopIfTrue="1" operator="lessThan">
      <formula>0.5</formula>
    </cfRule>
  </conditionalFormatting>
  <conditionalFormatting sqref="BD75">
    <cfRule type="cellIs" dxfId="8045" priority="144058" stopIfTrue="1" operator="greaterThanOrEqual">
      <formula>0.5</formula>
    </cfRule>
  </conditionalFormatting>
  <conditionalFormatting sqref="BD76">
    <cfRule type="cellIs" dxfId="8044" priority="144059" stopIfTrue="1" operator="equal">
      <formula>-1</formula>
    </cfRule>
  </conditionalFormatting>
  <conditionalFormatting sqref="BD76">
    <cfRule type="cellIs" dxfId="8043" priority="144060" stopIfTrue="1" operator="lessThan">
      <formula>0.5</formula>
    </cfRule>
  </conditionalFormatting>
  <conditionalFormatting sqref="BD76">
    <cfRule type="cellIs" dxfId="8042" priority="144061" stopIfTrue="1" operator="greaterThanOrEqual">
      <formula>0.5</formula>
    </cfRule>
  </conditionalFormatting>
  <conditionalFormatting sqref="BD77">
    <cfRule type="cellIs" dxfId="8041" priority="144062" stopIfTrue="1" operator="equal">
      <formula>-1</formula>
    </cfRule>
  </conditionalFormatting>
  <conditionalFormatting sqref="BD77">
    <cfRule type="cellIs" dxfId="8040" priority="144063" stopIfTrue="1" operator="lessThan">
      <formula>0.5</formula>
    </cfRule>
  </conditionalFormatting>
  <conditionalFormatting sqref="BD77">
    <cfRule type="cellIs" dxfId="8039" priority="144064" stopIfTrue="1" operator="greaterThanOrEqual">
      <formula>0.5</formula>
    </cfRule>
  </conditionalFormatting>
  <conditionalFormatting sqref="BD78">
    <cfRule type="cellIs" dxfId="8038" priority="144065" stopIfTrue="1" operator="equal">
      <formula>-1</formula>
    </cfRule>
  </conditionalFormatting>
  <conditionalFormatting sqref="BD78">
    <cfRule type="cellIs" dxfId="8037" priority="144066" stopIfTrue="1" operator="lessThan">
      <formula>0.5</formula>
    </cfRule>
  </conditionalFormatting>
  <conditionalFormatting sqref="BD78">
    <cfRule type="cellIs" dxfId="8036" priority="144067" stopIfTrue="1" operator="greaterThanOrEqual">
      <formula>0.5</formula>
    </cfRule>
  </conditionalFormatting>
  <conditionalFormatting sqref="BD79">
    <cfRule type="cellIs" dxfId="8035" priority="144068" stopIfTrue="1" operator="equal">
      <formula>-1</formula>
    </cfRule>
  </conditionalFormatting>
  <conditionalFormatting sqref="BD79">
    <cfRule type="cellIs" dxfId="8034" priority="144069" stopIfTrue="1" operator="lessThan">
      <formula>0.5</formula>
    </cfRule>
  </conditionalFormatting>
  <conditionalFormatting sqref="BD79">
    <cfRule type="cellIs" dxfId="8033" priority="144070" stopIfTrue="1" operator="greaterThanOrEqual">
      <formula>0.5</formula>
    </cfRule>
  </conditionalFormatting>
  <conditionalFormatting sqref="BD80">
    <cfRule type="cellIs" dxfId="8032" priority="144071" stopIfTrue="1" operator="equal">
      <formula>-1</formula>
    </cfRule>
  </conditionalFormatting>
  <conditionalFormatting sqref="BD80">
    <cfRule type="cellIs" dxfId="8031" priority="144072" stopIfTrue="1" operator="lessThan">
      <formula>0.5</formula>
    </cfRule>
  </conditionalFormatting>
  <conditionalFormatting sqref="BD80">
    <cfRule type="cellIs" dxfId="8030" priority="144073" stopIfTrue="1" operator="greaterThanOrEqual">
      <formula>0.5</formula>
    </cfRule>
  </conditionalFormatting>
  <conditionalFormatting sqref="BD81">
    <cfRule type="cellIs" dxfId="8029" priority="144074" stopIfTrue="1" operator="equal">
      <formula>-1</formula>
    </cfRule>
  </conditionalFormatting>
  <conditionalFormatting sqref="BD81">
    <cfRule type="cellIs" dxfId="8028" priority="144075" stopIfTrue="1" operator="lessThan">
      <formula>0.5</formula>
    </cfRule>
  </conditionalFormatting>
  <conditionalFormatting sqref="BD81">
    <cfRule type="cellIs" dxfId="8027" priority="144076" stopIfTrue="1" operator="greaterThanOrEqual">
      <formula>0.5</formula>
    </cfRule>
  </conditionalFormatting>
  <conditionalFormatting sqref="BD82">
    <cfRule type="cellIs" dxfId="8026" priority="144077" stopIfTrue="1" operator="equal">
      <formula>-1</formula>
    </cfRule>
  </conditionalFormatting>
  <conditionalFormatting sqref="BD82">
    <cfRule type="cellIs" dxfId="8025" priority="144078" stopIfTrue="1" operator="lessThan">
      <formula>0.5</formula>
    </cfRule>
  </conditionalFormatting>
  <conditionalFormatting sqref="BD82">
    <cfRule type="cellIs" dxfId="8024" priority="144079" stopIfTrue="1" operator="greaterThanOrEqual">
      <formula>0.5</formula>
    </cfRule>
  </conditionalFormatting>
  <conditionalFormatting sqref="BD83">
    <cfRule type="cellIs" dxfId="8023" priority="144080" stopIfTrue="1" operator="equal">
      <formula>-1</formula>
    </cfRule>
  </conditionalFormatting>
  <conditionalFormatting sqref="BD83">
    <cfRule type="cellIs" dxfId="8022" priority="144081" stopIfTrue="1" operator="lessThan">
      <formula>0.5</formula>
    </cfRule>
  </conditionalFormatting>
  <conditionalFormatting sqref="BD83">
    <cfRule type="cellIs" dxfId="8021" priority="144082" stopIfTrue="1" operator="greaterThanOrEqual">
      <formula>0.5</formula>
    </cfRule>
  </conditionalFormatting>
  <conditionalFormatting sqref="BD84">
    <cfRule type="cellIs" dxfId="8020" priority="144083" stopIfTrue="1" operator="equal">
      <formula>-1</formula>
    </cfRule>
  </conditionalFormatting>
  <conditionalFormatting sqref="BD84">
    <cfRule type="cellIs" dxfId="8019" priority="144084" stopIfTrue="1" operator="lessThan">
      <formula>0.5</formula>
    </cfRule>
  </conditionalFormatting>
  <conditionalFormatting sqref="BD84">
    <cfRule type="cellIs" dxfId="8018" priority="144085" stopIfTrue="1" operator="greaterThanOrEqual">
      <formula>0.5</formula>
    </cfRule>
  </conditionalFormatting>
  <conditionalFormatting sqref="BD85">
    <cfRule type="cellIs" dxfId="8017" priority="144086" stopIfTrue="1" operator="equal">
      <formula>-1</formula>
    </cfRule>
  </conditionalFormatting>
  <conditionalFormatting sqref="BD85">
    <cfRule type="cellIs" dxfId="8016" priority="144087" stopIfTrue="1" operator="lessThan">
      <formula>0.5</formula>
    </cfRule>
  </conditionalFormatting>
  <conditionalFormatting sqref="BD85">
    <cfRule type="cellIs" dxfId="8015" priority="144088" stopIfTrue="1" operator="greaterThanOrEqual">
      <formula>0.5</formula>
    </cfRule>
  </conditionalFormatting>
  <conditionalFormatting sqref="BF65">
    <cfRule type="cellIs" dxfId="8014" priority="144089" stopIfTrue="1" operator="equal">
      <formula>-1</formula>
    </cfRule>
  </conditionalFormatting>
  <conditionalFormatting sqref="BF65">
    <cfRule type="cellIs" dxfId="8013" priority="144090" stopIfTrue="1" operator="lessThan">
      <formula>0.5</formula>
    </cfRule>
  </conditionalFormatting>
  <conditionalFormatting sqref="BF65">
    <cfRule type="cellIs" dxfId="8012" priority="144091" stopIfTrue="1" operator="greaterThanOrEqual">
      <formula>0.5</formula>
    </cfRule>
  </conditionalFormatting>
  <conditionalFormatting sqref="BF66">
    <cfRule type="cellIs" dxfId="8011" priority="144092" stopIfTrue="1" operator="equal">
      <formula>-1</formula>
    </cfRule>
  </conditionalFormatting>
  <conditionalFormatting sqref="BF66">
    <cfRule type="cellIs" dxfId="8010" priority="144093" stopIfTrue="1" operator="lessThan">
      <formula>0.5</formula>
    </cfRule>
  </conditionalFormatting>
  <conditionalFormatting sqref="BF66">
    <cfRule type="cellIs" dxfId="8009" priority="144094" stopIfTrue="1" operator="greaterThanOrEqual">
      <formula>0.5</formula>
    </cfRule>
  </conditionalFormatting>
  <conditionalFormatting sqref="BF67">
    <cfRule type="cellIs" dxfId="8008" priority="144095" stopIfTrue="1" operator="equal">
      <formula>-1</formula>
    </cfRule>
  </conditionalFormatting>
  <conditionalFormatting sqref="BF67">
    <cfRule type="cellIs" dxfId="8007" priority="144096" stopIfTrue="1" operator="lessThan">
      <formula>0.5</formula>
    </cfRule>
  </conditionalFormatting>
  <conditionalFormatting sqref="BF67">
    <cfRule type="cellIs" dxfId="8006" priority="144097" stopIfTrue="1" operator="greaterThanOrEqual">
      <formula>0.5</formula>
    </cfRule>
  </conditionalFormatting>
  <conditionalFormatting sqref="BF68">
    <cfRule type="cellIs" dxfId="8005" priority="144098" stopIfTrue="1" operator="equal">
      <formula>-1</formula>
    </cfRule>
  </conditionalFormatting>
  <conditionalFormatting sqref="BF68">
    <cfRule type="cellIs" dxfId="8004" priority="144099" stopIfTrue="1" operator="lessThan">
      <formula>0.5</formula>
    </cfRule>
  </conditionalFormatting>
  <conditionalFormatting sqref="BF68">
    <cfRule type="cellIs" dxfId="8003" priority="144100" stopIfTrue="1" operator="greaterThanOrEqual">
      <formula>0.5</formula>
    </cfRule>
  </conditionalFormatting>
  <conditionalFormatting sqref="BF69">
    <cfRule type="cellIs" dxfId="8002" priority="144101" stopIfTrue="1" operator="equal">
      <formula>-1</formula>
    </cfRule>
  </conditionalFormatting>
  <conditionalFormatting sqref="BF69">
    <cfRule type="cellIs" dxfId="8001" priority="144102" stopIfTrue="1" operator="lessThan">
      <formula>0.5</formula>
    </cfRule>
  </conditionalFormatting>
  <conditionalFormatting sqref="BF69">
    <cfRule type="cellIs" dxfId="8000" priority="144103" stopIfTrue="1" operator="greaterThanOrEqual">
      <formula>0.5</formula>
    </cfRule>
  </conditionalFormatting>
  <conditionalFormatting sqref="BF70">
    <cfRule type="cellIs" dxfId="7999" priority="144104" stopIfTrue="1" operator="equal">
      <formula>-1</formula>
    </cfRule>
  </conditionalFormatting>
  <conditionalFormatting sqref="BF70">
    <cfRule type="cellIs" dxfId="7998" priority="144105" stopIfTrue="1" operator="lessThan">
      <formula>0.5</formula>
    </cfRule>
  </conditionalFormatting>
  <conditionalFormatting sqref="BF70">
    <cfRule type="cellIs" dxfId="7997" priority="144106" stopIfTrue="1" operator="greaterThanOrEqual">
      <formula>0.5</formula>
    </cfRule>
  </conditionalFormatting>
  <conditionalFormatting sqref="BF71">
    <cfRule type="cellIs" dxfId="7996" priority="144107" stopIfTrue="1" operator="equal">
      <formula>-1</formula>
    </cfRule>
  </conditionalFormatting>
  <conditionalFormatting sqref="BF71">
    <cfRule type="cellIs" dxfId="7995" priority="144108" stopIfTrue="1" operator="lessThan">
      <formula>0.5</formula>
    </cfRule>
  </conditionalFormatting>
  <conditionalFormatting sqref="BF71">
    <cfRule type="cellIs" dxfId="7994" priority="144109" stopIfTrue="1" operator="greaterThanOrEqual">
      <formula>0.5</formula>
    </cfRule>
  </conditionalFormatting>
  <conditionalFormatting sqref="BF72">
    <cfRule type="cellIs" dxfId="7993" priority="144110" stopIfTrue="1" operator="equal">
      <formula>-1</formula>
    </cfRule>
  </conditionalFormatting>
  <conditionalFormatting sqref="BF72">
    <cfRule type="cellIs" dxfId="7992" priority="144111" stopIfTrue="1" operator="lessThan">
      <formula>0.5</formula>
    </cfRule>
  </conditionalFormatting>
  <conditionalFormatting sqref="BF72">
    <cfRule type="cellIs" dxfId="7991" priority="144112" stopIfTrue="1" operator="greaterThanOrEqual">
      <formula>0.5</formula>
    </cfRule>
  </conditionalFormatting>
  <conditionalFormatting sqref="BF73">
    <cfRule type="cellIs" dxfId="7990" priority="144113" stopIfTrue="1" operator="equal">
      <formula>-1</formula>
    </cfRule>
  </conditionalFormatting>
  <conditionalFormatting sqref="BF73">
    <cfRule type="cellIs" dxfId="7989" priority="144114" stopIfTrue="1" operator="lessThan">
      <formula>0.5</formula>
    </cfRule>
  </conditionalFormatting>
  <conditionalFormatting sqref="BF73">
    <cfRule type="cellIs" dxfId="7988" priority="144115" stopIfTrue="1" operator="greaterThanOrEqual">
      <formula>0.5</formula>
    </cfRule>
  </conditionalFormatting>
  <conditionalFormatting sqref="BF74">
    <cfRule type="cellIs" dxfId="7987" priority="144116" stopIfTrue="1" operator="equal">
      <formula>-1</formula>
    </cfRule>
  </conditionalFormatting>
  <conditionalFormatting sqref="BF74">
    <cfRule type="cellIs" dxfId="7986" priority="144117" stopIfTrue="1" operator="lessThan">
      <formula>0.5</formula>
    </cfRule>
  </conditionalFormatting>
  <conditionalFormatting sqref="BF74">
    <cfRule type="cellIs" dxfId="7985" priority="144118" stopIfTrue="1" operator="greaterThanOrEqual">
      <formula>0.5</formula>
    </cfRule>
  </conditionalFormatting>
  <conditionalFormatting sqref="BF75">
    <cfRule type="cellIs" dxfId="7984" priority="144119" stopIfTrue="1" operator="equal">
      <formula>-1</formula>
    </cfRule>
  </conditionalFormatting>
  <conditionalFormatting sqref="BF75">
    <cfRule type="cellIs" dxfId="7983" priority="144120" stopIfTrue="1" operator="lessThan">
      <formula>0.5</formula>
    </cfRule>
  </conditionalFormatting>
  <conditionalFormatting sqref="BF75">
    <cfRule type="cellIs" dxfId="7982" priority="144121" stopIfTrue="1" operator="greaterThanOrEqual">
      <formula>0.5</formula>
    </cfRule>
  </conditionalFormatting>
  <conditionalFormatting sqref="BF76">
    <cfRule type="cellIs" dxfId="7981" priority="144122" stopIfTrue="1" operator="equal">
      <formula>-1</formula>
    </cfRule>
  </conditionalFormatting>
  <conditionalFormatting sqref="BF76">
    <cfRule type="cellIs" dxfId="7980" priority="144123" stopIfTrue="1" operator="lessThan">
      <formula>0.5</formula>
    </cfRule>
  </conditionalFormatting>
  <conditionalFormatting sqref="BF76">
    <cfRule type="cellIs" dxfId="7979" priority="144124" stopIfTrue="1" operator="greaterThanOrEqual">
      <formula>0.5</formula>
    </cfRule>
  </conditionalFormatting>
  <conditionalFormatting sqref="BF77">
    <cfRule type="cellIs" dxfId="7978" priority="144125" stopIfTrue="1" operator="equal">
      <formula>-1</formula>
    </cfRule>
  </conditionalFormatting>
  <conditionalFormatting sqref="BF77">
    <cfRule type="cellIs" dxfId="7977" priority="144126" stopIfTrue="1" operator="lessThan">
      <formula>0.5</formula>
    </cfRule>
  </conditionalFormatting>
  <conditionalFormatting sqref="BF77">
    <cfRule type="cellIs" dxfId="7976" priority="144127" stopIfTrue="1" operator="greaterThanOrEqual">
      <formula>0.5</formula>
    </cfRule>
  </conditionalFormatting>
  <conditionalFormatting sqref="BF78">
    <cfRule type="cellIs" dxfId="7975" priority="144128" stopIfTrue="1" operator="equal">
      <formula>-1</formula>
    </cfRule>
  </conditionalFormatting>
  <conditionalFormatting sqref="BF78">
    <cfRule type="cellIs" dxfId="7974" priority="144129" stopIfTrue="1" operator="lessThan">
      <formula>0.5</formula>
    </cfRule>
  </conditionalFormatting>
  <conditionalFormatting sqref="BF78">
    <cfRule type="cellIs" dxfId="7973" priority="144130" stopIfTrue="1" operator="greaterThanOrEqual">
      <formula>0.5</formula>
    </cfRule>
  </conditionalFormatting>
  <conditionalFormatting sqref="BF79">
    <cfRule type="cellIs" dxfId="7972" priority="144131" stopIfTrue="1" operator="equal">
      <formula>-1</formula>
    </cfRule>
  </conditionalFormatting>
  <conditionalFormatting sqref="BF79">
    <cfRule type="cellIs" dxfId="7971" priority="144132" stopIfTrue="1" operator="lessThan">
      <formula>0.5</formula>
    </cfRule>
  </conditionalFormatting>
  <conditionalFormatting sqref="BF79">
    <cfRule type="cellIs" dxfId="7970" priority="144133" stopIfTrue="1" operator="greaterThanOrEqual">
      <formula>0.5</formula>
    </cfRule>
  </conditionalFormatting>
  <conditionalFormatting sqref="BF80">
    <cfRule type="cellIs" dxfId="7969" priority="144134" stopIfTrue="1" operator="equal">
      <formula>-1</formula>
    </cfRule>
  </conditionalFormatting>
  <conditionalFormatting sqref="BF80">
    <cfRule type="cellIs" dxfId="7968" priority="144135" stopIfTrue="1" operator="lessThan">
      <formula>0.5</formula>
    </cfRule>
  </conditionalFormatting>
  <conditionalFormatting sqref="BF80">
    <cfRule type="cellIs" dxfId="7967" priority="144136" stopIfTrue="1" operator="greaterThanOrEqual">
      <formula>0.5</formula>
    </cfRule>
  </conditionalFormatting>
  <conditionalFormatting sqref="BF81">
    <cfRule type="cellIs" dxfId="7966" priority="144137" stopIfTrue="1" operator="equal">
      <formula>-1</formula>
    </cfRule>
  </conditionalFormatting>
  <conditionalFormatting sqref="BF81">
    <cfRule type="cellIs" dxfId="7965" priority="144138" stopIfTrue="1" operator="lessThan">
      <formula>0.5</formula>
    </cfRule>
  </conditionalFormatting>
  <conditionalFormatting sqref="BF81">
    <cfRule type="cellIs" dxfId="7964" priority="144139" stopIfTrue="1" operator="greaterThanOrEqual">
      <formula>0.5</formula>
    </cfRule>
  </conditionalFormatting>
  <conditionalFormatting sqref="BF82">
    <cfRule type="cellIs" dxfId="7963" priority="144140" stopIfTrue="1" operator="equal">
      <formula>-1</formula>
    </cfRule>
  </conditionalFormatting>
  <conditionalFormatting sqref="BF82">
    <cfRule type="cellIs" dxfId="7962" priority="144141" stopIfTrue="1" operator="lessThan">
      <formula>0.5</formula>
    </cfRule>
  </conditionalFormatting>
  <conditionalFormatting sqref="BF82">
    <cfRule type="cellIs" dxfId="7961" priority="144142" stopIfTrue="1" operator="greaterThanOrEqual">
      <formula>0.5</formula>
    </cfRule>
  </conditionalFormatting>
  <conditionalFormatting sqref="BF83">
    <cfRule type="cellIs" dxfId="7960" priority="144143" stopIfTrue="1" operator="equal">
      <formula>-1</formula>
    </cfRule>
  </conditionalFormatting>
  <conditionalFormatting sqref="BF83">
    <cfRule type="cellIs" dxfId="7959" priority="144144" stopIfTrue="1" operator="lessThan">
      <formula>0.5</formula>
    </cfRule>
  </conditionalFormatting>
  <conditionalFormatting sqref="BF83">
    <cfRule type="cellIs" dxfId="7958" priority="144145" stopIfTrue="1" operator="greaterThanOrEqual">
      <formula>0.5</formula>
    </cfRule>
  </conditionalFormatting>
  <conditionalFormatting sqref="BF84">
    <cfRule type="cellIs" dxfId="7957" priority="144146" stopIfTrue="1" operator="equal">
      <formula>-1</formula>
    </cfRule>
  </conditionalFormatting>
  <conditionalFormatting sqref="BF84">
    <cfRule type="cellIs" dxfId="7956" priority="144147" stopIfTrue="1" operator="lessThan">
      <formula>0.5</formula>
    </cfRule>
  </conditionalFormatting>
  <conditionalFormatting sqref="BF84">
    <cfRule type="cellIs" dxfId="7955" priority="144148" stopIfTrue="1" operator="greaterThanOrEqual">
      <formula>0.5</formula>
    </cfRule>
  </conditionalFormatting>
  <conditionalFormatting sqref="BF85">
    <cfRule type="cellIs" dxfId="7954" priority="144149" stopIfTrue="1" operator="equal">
      <formula>-1</formula>
    </cfRule>
  </conditionalFormatting>
  <conditionalFormatting sqref="BF85">
    <cfRule type="cellIs" dxfId="7953" priority="144150" stopIfTrue="1" operator="lessThan">
      <formula>0.5</formula>
    </cfRule>
  </conditionalFormatting>
  <conditionalFormatting sqref="BF85">
    <cfRule type="cellIs" dxfId="7952" priority="144151" stopIfTrue="1" operator="greaterThanOrEqual">
      <formula>0.5</formula>
    </cfRule>
  </conditionalFormatting>
  <conditionalFormatting sqref="BH65">
    <cfRule type="cellIs" dxfId="7951" priority="144152" stopIfTrue="1" operator="equal">
      <formula>-1</formula>
    </cfRule>
  </conditionalFormatting>
  <conditionalFormatting sqref="BH65">
    <cfRule type="cellIs" dxfId="7950" priority="144153" stopIfTrue="1" operator="lessThan">
      <formula>0.5</formula>
    </cfRule>
  </conditionalFormatting>
  <conditionalFormatting sqref="BH65">
    <cfRule type="cellIs" dxfId="7949" priority="144154" stopIfTrue="1" operator="greaterThanOrEqual">
      <formula>0.5</formula>
    </cfRule>
  </conditionalFormatting>
  <conditionalFormatting sqref="BH66">
    <cfRule type="cellIs" dxfId="7948" priority="144155" stopIfTrue="1" operator="equal">
      <formula>-1</formula>
    </cfRule>
  </conditionalFormatting>
  <conditionalFormatting sqref="BH66">
    <cfRule type="cellIs" dxfId="7947" priority="144156" stopIfTrue="1" operator="lessThan">
      <formula>0.5</formula>
    </cfRule>
  </conditionalFormatting>
  <conditionalFormatting sqref="BH66">
    <cfRule type="cellIs" dxfId="7946" priority="144157" stopIfTrue="1" operator="greaterThanOrEqual">
      <formula>0.5</formula>
    </cfRule>
  </conditionalFormatting>
  <conditionalFormatting sqref="BH67">
    <cfRule type="cellIs" dxfId="7945" priority="144158" stopIfTrue="1" operator="equal">
      <formula>-1</formula>
    </cfRule>
  </conditionalFormatting>
  <conditionalFormatting sqref="BH67">
    <cfRule type="cellIs" dxfId="7944" priority="144159" stopIfTrue="1" operator="lessThan">
      <formula>0.5</formula>
    </cfRule>
  </conditionalFormatting>
  <conditionalFormatting sqref="BH67">
    <cfRule type="cellIs" dxfId="7943" priority="144160" stopIfTrue="1" operator="greaterThanOrEqual">
      <formula>0.5</formula>
    </cfRule>
  </conditionalFormatting>
  <conditionalFormatting sqref="BH68">
    <cfRule type="cellIs" dxfId="7942" priority="144161" stopIfTrue="1" operator="equal">
      <formula>-1</formula>
    </cfRule>
  </conditionalFormatting>
  <conditionalFormatting sqref="BH68">
    <cfRule type="cellIs" dxfId="7941" priority="144162" stopIfTrue="1" operator="lessThan">
      <formula>0.5</formula>
    </cfRule>
  </conditionalFormatting>
  <conditionalFormatting sqref="BH68">
    <cfRule type="cellIs" dxfId="7940" priority="144163" stopIfTrue="1" operator="greaterThanOrEqual">
      <formula>0.5</formula>
    </cfRule>
  </conditionalFormatting>
  <conditionalFormatting sqref="BH69">
    <cfRule type="cellIs" dxfId="7939" priority="144164" stopIfTrue="1" operator="equal">
      <formula>-1</formula>
    </cfRule>
  </conditionalFormatting>
  <conditionalFormatting sqref="BH69">
    <cfRule type="cellIs" dxfId="7938" priority="144165" stopIfTrue="1" operator="lessThan">
      <formula>0.5</formula>
    </cfRule>
  </conditionalFormatting>
  <conditionalFormatting sqref="BH69">
    <cfRule type="cellIs" dxfId="7937" priority="144166" stopIfTrue="1" operator="greaterThanOrEqual">
      <formula>0.5</formula>
    </cfRule>
  </conditionalFormatting>
  <conditionalFormatting sqref="BH70">
    <cfRule type="cellIs" dxfId="7936" priority="144167" stopIfTrue="1" operator="equal">
      <formula>-1</formula>
    </cfRule>
  </conditionalFormatting>
  <conditionalFormatting sqref="BH70">
    <cfRule type="cellIs" dxfId="7935" priority="144168" stopIfTrue="1" operator="lessThan">
      <formula>0.5</formula>
    </cfRule>
  </conditionalFormatting>
  <conditionalFormatting sqref="BH70">
    <cfRule type="cellIs" dxfId="7934" priority="144169" stopIfTrue="1" operator="greaterThanOrEqual">
      <formula>0.5</formula>
    </cfRule>
  </conditionalFormatting>
  <conditionalFormatting sqref="BH71">
    <cfRule type="cellIs" dxfId="7933" priority="144170" stopIfTrue="1" operator="equal">
      <formula>-1</formula>
    </cfRule>
  </conditionalFormatting>
  <conditionalFormatting sqref="BH71">
    <cfRule type="cellIs" dxfId="7932" priority="144171" stopIfTrue="1" operator="lessThan">
      <formula>0.5</formula>
    </cfRule>
  </conditionalFormatting>
  <conditionalFormatting sqref="BH71">
    <cfRule type="cellIs" dxfId="7931" priority="144172" stopIfTrue="1" operator="greaterThanOrEqual">
      <formula>0.5</formula>
    </cfRule>
  </conditionalFormatting>
  <conditionalFormatting sqref="BH72">
    <cfRule type="cellIs" dxfId="7930" priority="144173" stopIfTrue="1" operator="equal">
      <formula>-1</formula>
    </cfRule>
  </conditionalFormatting>
  <conditionalFormatting sqref="BH72">
    <cfRule type="cellIs" dxfId="7929" priority="144174" stopIfTrue="1" operator="lessThan">
      <formula>0.5</formula>
    </cfRule>
  </conditionalFormatting>
  <conditionalFormatting sqref="BH72">
    <cfRule type="cellIs" dxfId="7928" priority="144175" stopIfTrue="1" operator="greaterThanOrEqual">
      <formula>0.5</formula>
    </cfRule>
  </conditionalFormatting>
  <conditionalFormatting sqref="BH73">
    <cfRule type="cellIs" dxfId="7927" priority="144176" stopIfTrue="1" operator="equal">
      <formula>-1</formula>
    </cfRule>
  </conditionalFormatting>
  <conditionalFormatting sqref="BH73">
    <cfRule type="cellIs" dxfId="7926" priority="144177" stopIfTrue="1" operator="lessThan">
      <formula>0.5</formula>
    </cfRule>
  </conditionalFormatting>
  <conditionalFormatting sqref="BH73">
    <cfRule type="cellIs" dxfId="7925" priority="144178" stopIfTrue="1" operator="greaterThanOrEqual">
      <formula>0.5</formula>
    </cfRule>
  </conditionalFormatting>
  <conditionalFormatting sqref="BH74">
    <cfRule type="cellIs" dxfId="7924" priority="144179" stopIfTrue="1" operator="equal">
      <formula>-1</formula>
    </cfRule>
  </conditionalFormatting>
  <conditionalFormatting sqref="BH74">
    <cfRule type="cellIs" dxfId="7923" priority="144180" stopIfTrue="1" operator="lessThan">
      <formula>0.5</formula>
    </cfRule>
  </conditionalFormatting>
  <conditionalFormatting sqref="BH74">
    <cfRule type="cellIs" dxfId="7922" priority="144181" stopIfTrue="1" operator="greaterThanOrEqual">
      <formula>0.5</formula>
    </cfRule>
  </conditionalFormatting>
  <conditionalFormatting sqref="BH75">
    <cfRule type="cellIs" dxfId="7921" priority="144182" stopIfTrue="1" operator="equal">
      <formula>-1</formula>
    </cfRule>
  </conditionalFormatting>
  <conditionalFormatting sqref="BH75">
    <cfRule type="cellIs" dxfId="7920" priority="144183" stopIfTrue="1" operator="lessThan">
      <formula>0.5</formula>
    </cfRule>
  </conditionalFormatting>
  <conditionalFormatting sqref="BH75">
    <cfRule type="cellIs" dxfId="7919" priority="144184" stopIfTrue="1" operator="greaterThanOrEqual">
      <formula>0.5</formula>
    </cfRule>
  </conditionalFormatting>
  <conditionalFormatting sqref="BH76">
    <cfRule type="cellIs" dxfId="7918" priority="144185" stopIfTrue="1" operator="equal">
      <formula>-1</formula>
    </cfRule>
  </conditionalFormatting>
  <conditionalFormatting sqref="BH76">
    <cfRule type="cellIs" dxfId="7917" priority="144186" stopIfTrue="1" operator="lessThan">
      <formula>0.5</formula>
    </cfRule>
  </conditionalFormatting>
  <conditionalFormatting sqref="BH76">
    <cfRule type="cellIs" dxfId="7916" priority="144187" stopIfTrue="1" operator="greaterThanOrEqual">
      <formula>0.5</formula>
    </cfRule>
  </conditionalFormatting>
  <conditionalFormatting sqref="BH77">
    <cfRule type="cellIs" dxfId="7915" priority="144188" stopIfTrue="1" operator="equal">
      <formula>-1</formula>
    </cfRule>
  </conditionalFormatting>
  <conditionalFormatting sqref="BH77">
    <cfRule type="cellIs" dxfId="7914" priority="144189" stopIfTrue="1" operator="lessThan">
      <formula>0.5</formula>
    </cfRule>
  </conditionalFormatting>
  <conditionalFormatting sqref="BH77">
    <cfRule type="cellIs" dxfId="7913" priority="144190" stopIfTrue="1" operator="greaterThanOrEqual">
      <formula>0.5</formula>
    </cfRule>
  </conditionalFormatting>
  <conditionalFormatting sqref="BH78">
    <cfRule type="cellIs" dxfId="7912" priority="144191" stopIfTrue="1" operator="equal">
      <formula>-1</formula>
    </cfRule>
  </conditionalFormatting>
  <conditionalFormatting sqref="BH78">
    <cfRule type="cellIs" dxfId="7911" priority="144192" stopIfTrue="1" operator="lessThan">
      <formula>0.5</formula>
    </cfRule>
  </conditionalFormatting>
  <conditionalFormatting sqref="BH78">
    <cfRule type="cellIs" dxfId="7910" priority="144193" stopIfTrue="1" operator="greaterThanOrEqual">
      <formula>0.5</formula>
    </cfRule>
  </conditionalFormatting>
  <conditionalFormatting sqref="BH79">
    <cfRule type="cellIs" dxfId="7909" priority="144194" stopIfTrue="1" operator="equal">
      <formula>-1</formula>
    </cfRule>
  </conditionalFormatting>
  <conditionalFormatting sqref="BH79">
    <cfRule type="cellIs" dxfId="7908" priority="144195" stopIfTrue="1" operator="lessThan">
      <formula>0.5</formula>
    </cfRule>
  </conditionalFormatting>
  <conditionalFormatting sqref="BH79">
    <cfRule type="cellIs" dxfId="7907" priority="144196" stopIfTrue="1" operator="greaterThanOrEqual">
      <formula>0.5</formula>
    </cfRule>
  </conditionalFormatting>
  <conditionalFormatting sqref="BH80">
    <cfRule type="cellIs" dxfId="7906" priority="144197" stopIfTrue="1" operator="equal">
      <formula>-1</formula>
    </cfRule>
  </conditionalFormatting>
  <conditionalFormatting sqref="BH80">
    <cfRule type="cellIs" dxfId="7905" priority="144198" stopIfTrue="1" operator="lessThan">
      <formula>0.5</formula>
    </cfRule>
  </conditionalFormatting>
  <conditionalFormatting sqref="BH80">
    <cfRule type="cellIs" dxfId="7904" priority="144199" stopIfTrue="1" operator="greaterThanOrEqual">
      <formula>0.5</formula>
    </cfRule>
  </conditionalFormatting>
  <conditionalFormatting sqref="BH81">
    <cfRule type="cellIs" dxfId="7903" priority="144200" stopIfTrue="1" operator="equal">
      <formula>-1</formula>
    </cfRule>
  </conditionalFormatting>
  <conditionalFormatting sqref="BH81">
    <cfRule type="cellIs" dxfId="7902" priority="144201" stopIfTrue="1" operator="lessThan">
      <formula>0.5</formula>
    </cfRule>
  </conditionalFormatting>
  <conditionalFormatting sqref="BH81">
    <cfRule type="cellIs" dxfId="7901" priority="144202" stopIfTrue="1" operator="greaterThanOrEqual">
      <formula>0.5</formula>
    </cfRule>
  </conditionalFormatting>
  <conditionalFormatting sqref="BH82">
    <cfRule type="cellIs" dxfId="7900" priority="144203" stopIfTrue="1" operator="equal">
      <formula>-1</formula>
    </cfRule>
  </conditionalFormatting>
  <conditionalFormatting sqref="BH82">
    <cfRule type="cellIs" dxfId="7899" priority="144204" stopIfTrue="1" operator="lessThan">
      <formula>0.5</formula>
    </cfRule>
  </conditionalFormatting>
  <conditionalFormatting sqref="BH82">
    <cfRule type="cellIs" dxfId="7898" priority="144205" stopIfTrue="1" operator="greaterThanOrEqual">
      <formula>0.5</formula>
    </cfRule>
  </conditionalFormatting>
  <conditionalFormatting sqref="BH83">
    <cfRule type="cellIs" dxfId="7897" priority="144206" stopIfTrue="1" operator="equal">
      <formula>-1</formula>
    </cfRule>
  </conditionalFormatting>
  <conditionalFormatting sqref="BH83">
    <cfRule type="cellIs" dxfId="7896" priority="144207" stopIfTrue="1" operator="lessThan">
      <formula>0.5</formula>
    </cfRule>
  </conditionalFormatting>
  <conditionalFormatting sqref="BH83">
    <cfRule type="cellIs" dxfId="7895" priority="144208" stopIfTrue="1" operator="greaterThanOrEqual">
      <formula>0.5</formula>
    </cfRule>
  </conditionalFormatting>
  <conditionalFormatting sqref="BH84">
    <cfRule type="cellIs" dxfId="7894" priority="144209" stopIfTrue="1" operator="equal">
      <formula>-1</formula>
    </cfRule>
  </conditionalFormatting>
  <conditionalFormatting sqref="BH84">
    <cfRule type="cellIs" dxfId="7893" priority="144210" stopIfTrue="1" operator="lessThan">
      <formula>0.5</formula>
    </cfRule>
  </conditionalFormatting>
  <conditionalFormatting sqref="BH84">
    <cfRule type="cellIs" dxfId="7892" priority="144211" stopIfTrue="1" operator="greaterThanOrEqual">
      <formula>0.5</formula>
    </cfRule>
  </conditionalFormatting>
  <conditionalFormatting sqref="BH85">
    <cfRule type="cellIs" dxfId="7891" priority="144212" stopIfTrue="1" operator="equal">
      <formula>-1</formula>
    </cfRule>
  </conditionalFormatting>
  <conditionalFormatting sqref="BH85">
    <cfRule type="cellIs" dxfId="7890" priority="144213" stopIfTrue="1" operator="lessThan">
      <formula>0.5</formula>
    </cfRule>
  </conditionalFormatting>
  <conditionalFormatting sqref="BH85">
    <cfRule type="cellIs" dxfId="7889" priority="144214" stopIfTrue="1" operator="greaterThanOrEqual">
      <formula>0.5</formula>
    </cfRule>
  </conditionalFormatting>
  <conditionalFormatting sqref="BJ65">
    <cfRule type="cellIs" dxfId="7888" priority="144215" stopIfTrue="1" operator="equal">
      <formula>-1</formula>
    </cfRule>
  </conditionalFormatting>
  <conditionalFormatting sqref="BJ65">
    <cfRule type="cellIs" dxfId="7887" priority="144216" stopIfTrue="1" operator="lessThan">
      <formula>0.5</formula>
    </cfRule>
  </conditionalFormatting>
  <conditionalFormatting sqref="BJ65">
    <cfRule type="cellIs" dxfId="7886" priority="144217" stopIfTrue="1" operator="greaterThanOrEqual">
      <formula>0.5</formula>
    </cfRule>
  </conditionalFormatting>
  <conditionalFormatting sqref="BJ66">
    <cfRule type="cellIs" dxfId="7885" priority="144218" stopIfTrue="1" operator="equal">
      <formula>-1</formula>
    </cfRule>
  </conditionalFormatting>
  <conditionalFormatting sqref="BJ66">
    <cfRule type="cellIs" dxfId="7884" priority="144219" stopIfTrue="1" operator="lessThan">
      <formula>0.5</formula>
    </cfRule>
  </conditionalFormatting>
  <conditionalFormatting sqref="BJ66">
    <cfRule type="cellIs" dxfId="7883" priority="144220" stopIfTrue="1" operator="greaterThanOrEqual">
      <formula>0.5</formula>
    </cfRule>
  </conditionalFormatting>
  <conditionalFormatting sqref="BJ67">
    <cfRule type="cellIs" dxfId="7882" priority="144221" stopIfTrue="1" operator="equal">
      <formula>-1</formula>
    </cfRule>
  </conditionalFormatting>
  <conditionalFormatting sqref="BJ67">
    <cfRule type="cellIs" dxfId="7881" priority="144222" stopIfTrue="1" operator="lessThan">
      <formula>0.5</formula>
    </cfRule>
  </conditionalFormatting>
  <conditionalFormatting sqref="BJ67">
    <cfRule type="cellIs" dxfId="7880" priority="144223" stopIfTrue="1" operator="greaterThanOrEqual">
      <formula>0.5</formula>
    </cfRule>
  </conditionalFormatting>
  <conditionalFormatting sqref="BJ68">
    <cfRule type="cellIs" dxfId="7879" priority="144224" stopIfTrue="1" operator="equal">
      <formula>-1</formula>
    </cfRule>
  </conditionalFormatting>
  <conditionalFormatting sqref="BJ68">
    <cfRule type="cellIs" dxfId="7878" priority="144225" stopIfTrue="1" operator="lessThan">
      <formula>0.5</formula>
    </cfRule>
  </conditionalFormatting>
  <conditionalFormatting sqref="BJ68">
    <cfRule type="cellIs" dxfId="7877" priority="144226" stopIfTrue="1" operator="greaterThanOrEqual">
      <formula>0.5</formula>
    </cfRule>
  </conditionalFormatting>
  <conditionalFormatting sqref="BJ69">
    <cfRule type="cellIs" dxfId="7876" priority="144227" stopIfTrue="1" operator="equal">
      <formula>-1</formula>
    </cfRule>
  </conditionalFormatting>
  <conditionalFormatting sqref="BJ69">
    <cfRule type="cellIs" dxfId="7875" priority="144228" stopIfTrue="1" operator="lessThan">
      <formula>0.5</formula>
    </cfRule>
  </conditionalFormatting>
  <conditionalFormatting sqref="BJ69">
    <cfRule type="cellIs" dxfId="7874" priority="144229" stopIfTrue="1" operator="greaterThanOrEqual">
      <formula>0.5</formula>
    </cfRule>
  </conditionalFormatting>
  <conditionalFormatting sqref="BJ70">
    <cfRule type="cellIs" dxfId="7873" priority="144230" stopIfTrue="1" operator="equal">
      <formula>-1</formula>
    </cfRule>
  </conditionalFormatting>
  <conditionalFormatting sqref="BJ70">
    <cfRule type="cellIs" dxfId="7872" priority="144231" stopIfTrue="1" operator="lessThan">
      <formula>0.5</formula>
    </cfRule>
  </conditionalFormatting>
  <conditionalFormatting sqref="BJ70">
    <cfRule type="cellIs" dxfId="7871" priority="144232" stopIfTrue="1" operator="greaterThanOrEqual">
      <formula>0.5</formula>
    </cfRule>
  </conditionalFormatting>
  <conditionalFormatting sqref="BJ71">
    <cfRule type="cellIs" dxfId="7870" priority="144233" stopIfTrue="1" operator="equal">
      <formula>-1</formula>
    </cfRule>
  </conditionalFormatting>
  <conditionalFormatting sqref="BJ71">
    <cfRule type="cellIs" dxfId="7869" priority="144234" stopIfTrue="1" operator="lessThan">
      <formula>0.5</formula>
    </cfRule>
  </conditionalFormatting>
  <conditionalFormatting sqref="BJ71">
    <cfRule type="cellIs" dxfId="7868" priority="144235" stopIfTrue="1" operator="greaterThanOrEqual">
      <formula>0.5</formula>
    </cfRule>
  </conditionalFormatting>
  <conditionalFormatting sqref="BJ72">
    <cfRule type="cellIs" dxfId="7867" priority="144236" stopIfTrue="1" operator="equal">
      <formula>-1</formula>
    </cfRule>
  </conditionalFormatting>
  <conditionalFormatting sqref="BJ72">
    <cfRule type="cellIs" dxfId="7866" priority="144237" stopIfTrue="1" operator="lessThan">
      <formula>0.5</formula>
    </cfRule>
  </conditionalFormatting>
  <conditionalFormatting sqref="BJ72">
    <cfRule type="cellIs" dxfId="7865" priority="144238" stopIfTrue="1" operator="greaterThanOrEqual">
      <formula>0.5</formula>
    </cfRule>
  </conditionalFormatting>
  <conditionalFormatting sqref="BJ73">
    <cfRule type="cellIs" dxfId="7864" priority="144239" stopIfTrue="1" operator="equal">
      <formula>-1</formula>
    </cfRule>
  </conditionalFormatting>
  <conditionalFormatting sqref="BJ73">
    <cfRule type="cellIs" dxfId="7863" priority="144240" stopIfTrue="1" operator="lessThan">
      <formula>0.5</formula>
    </cfRule>
  </conditionalFormatting>
  <conditionalFormatting sqref="BJ73">
    <cfRule type="cellIs" dxfId="7862" priority="144241" stopIfTrue="1" operator="greaterThanOrEqual">
      <formula>0.5</formula>
    </cfRule>
  </conditionalFormatting>
  <conditionalFormatting sqref="BJ74">
    <cfRule type="cellIs" dxfId="7861" priority="144242" stopIfTrue="1" operator="equal">
      <formula>-1</formula>
    </cfRule>
  </conditionalFormatting>
  <conditionalFormatting sqref="BJ74">
    <cfRule type="cellIs" dxfId="7860" priority="144243" stopIfTrue="1" operator="lessThan">
      <formula>0.5</formula>
    </cfRule>
  </conditionalFormatting>
  <conditionalFormatting sqref="BJ74">
    <cfRule type="cellIs" dxfId="7859" priority="144244" stopIfTrue="1" operator="greaterThanOrEqual">
      <formula>0.5</formula>
    </cfRule>
  </conditionalFormatting>
  <conditionalFormatting sqref="BJ75">
    <cfRule type="cellIs" dxfId="7858" priority="144245" stopIfTrue="1" operator="equal">
      <formula>-1</formula>
    </cfRule>
  </conditionalFormatting>
  <conditionalFormatting sqref="BJ75">
    <cfRule type="cellIs" dxfId="7857" priority="144246" stopIfTrue="1" operator="lessThan">
      <formula>0.5</formula>
    </cfRule>
  </conditionalFormatting>
  <conditionalFormatting sqref="BJ75">
    <cfRule type="cellIs" dxfId="7856" priority="144247" stopIfTrue="1" operator="greaterThanOrEqual">
      <formula>0.5</formula>
    </cfRule>
  </conditionalFormatting>
  <conditionalFormatting sqref="BJ76">
    <cfRule type="cellIs" dxfId="7855" priority="144248" stopIfTrue="1" operator="equal">
      <formula>-1</formula>
    </cfRule>
  </conditionalFormatting>
  <conditionalFormatting sqref="BJ76">
    <cfRule type="cellIs" dxfId="7854" priority="144249" stopIfTrue="1" operator="lessThan">
      <formula>0.5</formula>
    </cfRule>
  </conditionalFormatting>
  <conditionalFormatting sqref="BJ76">
    <cfRule type="cellIs" dxfId="7853" priority="144250" stopIfTrue="1" operator="greaterThanOrEqual">
      <formula>0.5</formula>
    </cfRule>
  </conditionalFormatting>
  <conditionalFormatting sqref="BJ77">
    <cfRule type="cellIs" dxfId="7852" priority="144251" stopIfTrue="1" operator="equal">
      <formula>-1</formula>
    </cfRule>
  </conditionalFormatting>
  <conditionalFormatting sqref="BJ77">
    <cfRule type="cellIs" dxfId="7851" priority="144252" stopIfTrue="1" operator="lessThan">
      <formula>0.5</formula>
    </cfRule>
  </conditionalFormatting>
  <conditionalFormatting sqref="BJ77">
    <cfRule type="cellIs" dxfId="7850" priority="144253" stopIfTrue="1" operator="greaterThanOrEqual">
      <formula>0.5</formula>
    </cfRule>
  </conditionalFormatting>
  <conditionalFormatting sqref="BJ78">
    <cfRule type="cellIs" dxfId="7849" priority="144254" stopIfTrue="1" operator="equal">
      <formula>-1</formula>
    </cfRule>
  </conditionalFormatting>
  <conditionalFormatting sqref="BJ78">
    <cfRule type="cellIs" dxfId="7848" priority="144255" stopIfTrue="1" operator="lessThan">
      <formula>0.5</formula>
    </cfRule>
  </conditionalFormatting>
  <conditionalFormatting sqref="BJ78">
    <cfRule type="cellIs" dxfId="7847" priority="144256" stopIfTrue="1" operator="greaterThanOrEqual">
      <formula>0.5</formula>
    </cfRule>
  </conditionalFormatting>
  <conditionalFormatting sqref="BJ79">
    <cfRule type="cellIs" dxfId="7846" priority="144257" stopIfTrue="1" operator="equal">
      <formula>-1</formula>
    </cfRule>
  </conditionalFormatting>
  <conditionalFormatting sqref="BJ79">
    <cfRule type="cellIs" dxfId="7845" priority="144258" stopIfTrue="1" operator="lessThan">
      <formula>0.5</formula>
    </cfRule>
  </conditionalFormatting>
  <conditionalFormatting sqref="BJ79">
    <cfRule type="cellIs" dxfId="7844" priority="144259" stopIfTrue="1" operator="greaterThanOrEqual">
      <formula>0.5</formula>
    </cfRule>
  </conditionalFormatting>
  <conditionalFormatting sqref="BJ80">
    <cfRule type="cellIs" dxfId="7843" priority="144260" stopIfTrue="1" operator="equal">
      <formula>-1</formula>
    </cfRule>
  </conditionalFormatting>
  <conditionalFormatting sqref="BJ80">
    <cfRule type="cellIs" dxfId="7842" priority="144261" stopIfTrue="1" operator="lessThan">
      <formula>0.5</formula>
    </cfRule>
  </conditionalFormatting>
  <conditionalFormatting sqref="BJ80">
    <cfRule type="cellIs" dxfId="7841" priority="144262" stopIfTrue="1" operator="greaterThanOrEqual">
      <formula>0.5</formula>
    </cfRule>
  </conditionalFormatting>
  <conditionalFormatting sqref="BJ81">
    <cfRule type="cellIs" dxfId="7840" priority="144263" stopIfTrue="1" operator="equal">
      <formula>-1</formula>
    </cfRule>
  </conditionalFormatting>
  <conditionalFormatting sqref="BJ81">
    <cfRule type="cellIs" dxfId="7839" priority="144264" stopIfTrue="1" operator="lessThan">
      <formula>0.5</formula>
    </cfRule>
  </conditionalFormatting>
  <conditionalFormatting sqref="BJ81">
    <cfRule type="cellIs" dxfId="7838" priority="144265" stopIfTrue="1" operator="greaterThanOrEqual">
      <formula>0.5</formula>
    </cfRule>
  </conditionalFormatting>
  <conditionalFormatting sqref="BJ82">
    <cfRule type="cellIs" dxfId="7837" priority="144266" stopIfTrue="1" operator="equal">
      <formula>-1</formula>
    </cfRule>
  </conditionalFormatting>
  <conditionalFormatting sqref="BJ82">
    <cfRule type="cellIs" dxfId="7836" priority="144267" stopIfTrue="1" operator="lessThan">
      <formula>0.5</formula>
    </cfRule>
  </conditionalFormatting>
  <conditionalFormatting sqref="BJ82">
    <cfRule type="cellIs" dxfId="7835" priority="144268" stopIfTrue="1" operator="greaterThanOrEqual">
      <formula>0.5</formula>
    </cfRule>
  </conditionalFormatting>
  <conditionalFormatting sqref="BJ83">
    <cfRule type="cellIs" dxfId="7834" priority="144269" stopIfTrue="1" operator="equal">
      <formula>-1</formula>
    </cfRule>
  </conditionalFormatting>
  <conditionalFormatting sqref="BJ83">
    <cfRule type="cellIs" dxfId="7833" priority="144270" stopIfTrue="1" operator="lessThan">
      <formula>0.5</formula>
    </cfRule>
  </conditionalFormatting>
  <conditionalFormatting sqref="BJ83">
    <cfRule type="cellIs" dxfId="7832" priority="144271" stopIfTrue="1" operator="greaterThanOrEqual">
      <formula>0.5</formula>
    </cfRule>
  </conditionalFormatting>
  <conditionalFormatting sqref="BJ84">
    <cfRule type="cellIs" dxfId="7831" priority="144272" stopIfTrue="1" operator="equal">
      <formula>-1</formula>
    </cfRule>
  </conditionalFormatting>
  <conditionalFormatting sqref="BJ84">
    <cfRule type="cellIs" dxfId="7830" priority="144273" stopIfTrue="1" operator="lessThan">
      <formula>0.5</formula>
    </cfRule>
  </conditionalFormatting>
  <conditionalFormatting sqref="BJ84">
    <cfRule type="cellIs" dxfId="7829" priority="144274" stopIfTrue="1" operator="greaterThanOrEqual">
      <formula>0.5</formula>
    </cfRule>
  </conditionalFormatting>
  <conditionalFormatting sqref="BJ85">
    <cfRule type="cellIs" dxfId="7828" priority="144275" stopIfTrue="1" operator="equal">
      <formula>-1</formula>
    </cfRule>
  </conditionalFormatting>
  <conditionalFormatting sqref="BJ85">
    <cfRule type="cellIs" dxfId="7827" priority="144276" stopIfTrue="1" operator="lessThan">
      <formula>0.5</formula>
    </cfRule>
  </conditionalFormatting>
  <conditionalFormatting sqref="BJ85">
    <cfRule type="cellIs" dxfId="7826" priority="144277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F21CD-F954-0043-9CFC-0C8FC2A30565}">
  <sheetPr codeName="Sheet4">
    <tabColor rgb="FFFF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84" t="str" cm="1">
        <f t="array" ref="A1">[2]!GRUPO</f>
        <v>2º Bach.</v>
      </c>
      <c r="B1" s="85" t="s">
        <v>88</v>
      </c>
      <c r="C1" s="56">
        <v>1</v>
      </c>
      <c r="D1" s="56"/>
      <c r="E1" s="56">
        <v>2</v>
      </c>
      <c r="F1" s="56" t="s">
        <v>0</v>
      </c>
      <c r="G1" s="56">
        <v>3</v>
      </c>
      <c r="H1" s="56" t="s">
        <v>0</v>
      </c>
      <c r="I1" s="56">
        <v>4</v>
      </c>
      <c r="J1" s="56" t="s">
        <v>0</v>
      </c>
      <c r="K1" s="56">
        <v>5</v>
      </c>
      <c r="L1" s="56" t="s">
        <v>0</v>
      </c>
      <c r="M1" s="56">
        <v>6</v>
      </c>
      <c r="N1" s="56" t="s">
        <v>0</v>
      </c>
      <c r="O1" s="56">
        <v>7</v>
      </c>
      <c r="P1" s="56" t="s">
        <v>0</v>
      </c>
      <c r="Q1" s="56">
        <v>8</v>
      </c>
      <c r="R1" s="56" t="s">
        <v>0</v>
      </c>
      <c r="S1" s="56">
        <v>9</v>
      </c>
      <c r="T1" s="56" t="s">
        <v>0</v>
      </c>
      <c r="U1" s="56">
        <v>10</v>
      </c>
      <c r="V1" s="56" t="s">
        <v>0</v>
      </c>
      <c r="W1" s="56">
        <v>11</v>
      </c>
      <c r="X1" s="56" t="s">
        <v>0</v>
      </c>
      <c r="Y1" s="56">
        <v>12</v>
      </c>
      <c r="Z1" s="56" t="s">
        <v>1</v>
      </c>
      <c r="AA1" s="56">
        <v>13</v>
      </c>
      <c r="AB1" s="56" t="s">
        <v>0</v>
      </c>
      <c r="AC1" s="56">
        <v>14</v>
      </c>
      <c r="AD1" s="56" t="s">
        <v>0</v>
      </c>
      <c r="AE1" s="56">
        <v>15</v>
      </c>
      <c r="AF1" s="56" t="s">
        <v>0</v>
      </c>
      <c r="AG1" s="56">
        <v>16</v>
      </c>
      <c r="AH1" s="56" t="s">
        <v>0</v>
      </c>
      <c r="AI1" s="56">
        <v>17</v>
      </c>
      <c r="AJ1" s="56"/>
      <c r="AK1" s="56">
        <v>18</v>
      </c>
      <c r="AL1" s="56"/>
      <c r="AM1" s="56">
        <v>19</v>
      </c>
      <c r="AN1" s="56"/>
      <c r="AO1" s="56">
        <v>20</v>
      </c>
      <c r="AP1" s="56" t="s">
        <v>0</v>
      </c>
      <c r="AQ1" s="56">
        <v>21</v>
      </c>
      <c r="AR1" s="56"/>
      <c r="AS1" s="56">
        <v>22</v>
      </c>
      <c r="AT1" s="56" t="s">
        <v>0</v>
      </c>
      <c r="AU1" s="56">
        <v>23</v>
      </c>
      <c r="AV1" s="56" t="s">
        <v>0</v>
      </c>
      <c r="AW1" s="56">
        <v>24</v>
      </c>
      <c r="AX1" s="56"/>
      <c r="AY1" s="56">
        <v>25</v>
      </c>
      <c r="AZ1" s="56"/>
      <c r="BA1" s="56">
        <v>26</v>
      </c>
      <c r="BB1" s="56"/>
      <c r="BC1" s="56">
        <v>27</v>
      </c>
      <c r="BD1" s="56"/>
      <c r="BE1" s="56">
        <v>28</v>
      </c>
      <c r="BF1" s="56"/>
      <c r="BG1" s="56">
        <v>29</v>
      </c>
      <c r="BH1" s="56"/>
      <c r="BI1" s="56">
        <v>30</v>
      </c>
      <c r="BJ1" s="56"/>
    </row>
    <row r="2" spans="1:62" ht="115" customHeight="1" x14ac:dyDescent="0.2">
      <c r="A2" s="84"/>
      <c r="B2" s="86"/>
      <c r="C2" s="57" t="str">
        <f ca="1">[2]Examen11!C$2</f>
        <v>Alma Casa, Mario</v>
      </c>
      <c r="D2" s="57"/>
      <c r="E2" s="57" t="str">
        <f ca="1">[2]Examen11!E$2</f>
        <v>Amado Luz, Martín</v>
      </c>
      <c r="F2" s="57"/>
      <c r="G2" s="57" t="str">
        <f ca="1">[2]Examen11!G$2</f>
        <v>Bonete Cune, Carla</v>
      </c>
      <c r="H2" s="57"/>
      <c r="I2" s="57" t="str">
        <f ca="1">[2]Examen11!I$2</f>
        <v>Casado Gómez, María</v>
      </c>
      <c r="J2" s="57"/>
      <c r="K2" s="57" t="str">
        <f ca="1">[2]Examen11!K$2</f>
        <v>Concepción García, Elena</v>
      </c>
      <c r="L2" s="57"/>
      <c r="M2" s="57" t="str">
        <f ca="1">[2]Examen11!M$2</f>
        <v>Díaz Lucas, Ricardo</v>
      </c>
      <c r="N2" s="57"/>
      <c r="O2" s="57" t="str">
        <f ca="1">[2]Examen11!O$2</f>
        <v>Díaz Ríos, Lucía</v>
      </c>
      <c r="P2" s="57"/>
      <c r="Q2" s="57" t="str">
        <f ca="1">[2]Examen11!Q$2</f>
        <v>García López, Juan Ángel</v>
      </c>
      <c r="R2" s="57"/>
      <c r="S2" s="57" t="str">
        <f ca="1">[2]Examen11!S$2</f>
        <v>García Pérez, Luis</v>
      </c>
      <c r="T2" s="57"/>
      <c r="U2" s="57" t="str">
        <f ca="1">[2]Examen11!U$2</f>
        <v>Garijo Piqueras, María</v>
      </c>
      <c r="V2" s="57"/>
      <c r="W2" s="57" t="str">
        <f ca="1">[2]Examen11!W$2</f>
        <v>Gómez Luna, José</v>
      </c>
      <c r="X2" s="57"/>
      <c r="Y2" s="57" t="str">
        <f ca="1">[2]Examen11!Y$2</f>
        <v>González García, Juan</v>
      </c>
      <c r="Z2" s="57"/>
      <c r="AA2" s="57" t="str">
        <f ca="1">[2]Examen11!AA$2</f>
        <v>González Pérez, María</v>
      </c>
      <c r="AB2" s="57"/>
      <c r="AC2" s="57" t="str">
        <f ca="1">[2]Examen11!AC$2</f>
        <v>Laín Hernández, Luisa</v>
      </c>
      <c r="AD2" s="57"/>
      <c r="AE2" s="57" t="str">
        <f ca="1">[2]Examen11!AE$2</f>
        <v>Lirios Lara, Juan</v>
      </c>
      <c r="AF2" s="57"/>
      <c r="AG2" s="57" t="str">
        <f ca="1">[2]Examen11!AG$2</f>
        <v>López Picazo, Marta</v>
      </c>
      <c r="AH2" s="57"/>
      <c r="AI2" s="57" t="str">
        <f ca="1">[2]Examen11!AI$2</f>
        <v>Molina Pérez, Marina</v>
      </c>
      <c r="AJ2" s="57"/>
      <c r="AK2" s="57" t="str">
        <f ca="1">[2]Examen11!AK$2</f>
        <v>Molina Sánchez, Inmaculada</v>
      </c>
      <c r="AL2" s="57"/>
      <c r="AM2" s="57" t="str">
        <f ca="1">[2]Examen11!AM$2</f>
        <v>Montero Pacheco, Pablo</v>
      </c>
      <c r="AN2" s="57"/>
      <c r="AO2" s="57" t="str">
        <f ca="1">[2]Examen11!AO$2</f>
        <v>Mora García, Javier</v>
      </c>
      <c r="AP2" s="57"/>
      <c r="AQ2" s="57" t="str">
        <f ca="1">[2]Examen11!AQ$2</f>
        <v>Morcillo Pared, Luna</v>
      </c>
      <c r="AR2" s="57"/>
      <c r="AS2" s="57" t="str">
        <f ca="1">[2]Examen11!AS$2</f>
        <v>Moreno Hernández, Francisco</v>
      </c>
      <c r="AT2" s="57"/>
      <c r="AU2" s="57" t="str">
        <f ca="1">[2]Examen11!AU$2</f>
        <v>Muñoz Garijo, Pablo</v>
      </c>
      <c r="AV2" s="57"/>
      <c r="AW2" s="57" t="str">
        <f ca="1">[2]Examen11!AW$2</f>
        <v>Pérez Garrido, Francisco</v>
      </c>
      <c r="AX2" s="57"/>
      <c r="AY2" s="57" t="str">
        <f ca="1">[2]Examen11!AY$2</f>
        <v>Serna Serna, Susana</v>
      </c>
      <c r="AZ2" s="57"/>
      <c r="BA2" s="57" t="str">
        <f ca="1">[2]Examen11!BA$2</f>
        <v>Soriano Tornero, Manuel</v>
      </c>
      <c r="BB2" s="57"/>
      <c r="BC2" s="57" t="str">
        <f ca="1">[2]Examen11!BC$2</f>
        <v>Sultán Zar, Pedro</v>
      </c>
      <c r="BD2" s="57"/>
      <c r="BE2" s="57" t="str">
        <f ca="1">[2]Examen11!BE$2</f>
        <v>Tendero Grande, Marina</v>
      </c>
      <c r="BF2" s="57"/>
      <c r="BG2" s="57" t="str">
        <f ca="1">[2]Examen11!BG$2</f>
        <v>Valencia Bueno, Isabel</v>
      </c>
      <c r="BH2" s="57"/>
      <c r="BI2" s="57" t="str">
        <f ca="1">[2]Examen11!BI$2</f>
        <v>Zarza Parrilla, Manuel</v>
      </c>
      <c r="BJ2" s="57"/>
    </row>
    <row r="3" spans="1:62" ht="33" customHeight="1" x14ac:dyDescent="0.2">
      <c r="A3" s="36" t="str" cm="1">
        <f t="array" ref="A3">[2]!VERSION</f>
        <v>Versión 1.2</v>
      </c>
      <c r="B3" s="11" t="str">
        <f>IF((B4+B7+B16+B38+B59+B64)=1,"Ok","Error % Bloques")</f>
        <v>Ok</v>
      </c>
      <c r="C3" s="59">
        <f>SUM(C4,C7,C16,C38,C59,C64)</f>
        <v>4.4649999825283881</v>
      </c>
      <c r="D3" s="60"/>
      <c r="E3" s="59">
        <f t="shared" ref="E3" si="0">SUM(E4,E7,E16,E38,E59,E64)</f>
        <v>4.5775000117719173</v>
      </c>
      <c r="F3" s="60"/>
      <c r="G3" s="59">
        <f t="shared" ref="G3" si="1">SUM(G4,G7,G16,G38,G59,G64)</f>
        <v>3.7775000449270006</v>
      </c>
      <c r="H3" s="60"/>
      <c r="I3" s="59">
        <f t="shared" ref="I3" si="2">SUM(I4,I7,I16,I38,I59,I64)</f>
        <v>4.2625000251457088</v>
      </c>
      <c r="J3" s="60"/>
      <c r="K3" s="59">
        <f t="shared" ref="K3" si="3">SUM(K4,K7,K16,K38,K59,K64)</f>
        <v>4.3750000216066836</v>
      </c>
      <c r="L3" s="60"/>
      <c r="M3" s="59">
        <f t="shared" ref="M3" si="4">SUM(M4,M7,M16,M38,M59,M64)</f>
        <v>3.2725000383332379</v>
      </c>
      <c r="N3" s="60"/>
      <c r="O3" s="59">
        <f t="shared" ref="O3" si="5">SUM(O4,O7,O16,O38,O59,O64)</f>
        <v>4.4625000309199088</v>
      </c>
      <c r="P3" s="60"/>
      <c r="Q3" s="59">
        <f t="shared" ref="Q3" si="6">SUM(Q4,Q7,Q16,Q38,Q59,Q64)</f>
        <v>3.6125000545755026</v>
      </c>
      <c r="R3" s="60"/>
      <c r="S3" s="59">
        <f t="shared" ref="S3" si="7">SUM(S4,S7,S16,S38,S59,S64)</f>
        <v>3.2775000214576719</v>
      </c>
      <c r="T3" s="60"/>
      <c r="U3" s="59">
        <f t="shared" ref="U3" si="8">SUM(U4,U7,U16,U38,U59,U64)</f>
        <v>3.7950000042095784</v>
      </c>
      <c r="V3" s="60"/>
      <c r="W3" s="59">
        <f t="shared" ref="W3" si="9">SUM(W4,W7,W16,W38,W59,W64)</f>
        <v>3.7649999998509882</v>
      </c>
      <c r="X3" s="60"/>
      <c r="Y3" s="59">
        <f t="shared" ref="Y3" si="10">SUM(Y4,Y7,Y16,Y38,Y59,Y64)</f>
        <v>4.2475000318139795</v>
      </c>
      <c r="Z3" s="60"/>
      <c r="AA3" s="59">
        <f t="shared" ref="AA3" si="11">SUM(AA4,AA7,AA16,AA38,AA59,AA64)</f>
        <v>3.9525000523775815</v>
      </c>
      <c r="AB3" s="60"/>
      <c r="AC3" s="59">
        <f t="shared" ref="AC3" si="12">SUM(AC4,AC7,AC16,AC38,AC59,AC64)</f>
        <v>4.0474999971687797</v>
      </c>
      <c r="AD3" s="60"/>
      <c r="AE3" s="59">
        <f t="shared" ref="AE3" si="13">SUM(AE4,AE7,AE16,AE38,AE59,AE64)</f>
        <v>4.0200000321492553</v>
      </c>
      <c r="AF3" s="60"/>
      <c r="AG3" s="59">
        <f t="shared" ref="AG3" si="14">SUM(AG4,AG7,AG16,AG38,AG59,AG64)</f>
        <v>4.0325000219047071</v>
      </c>
      <c r="AH3" s="60"/>
      <c r="AI3" s="59">
        <f t="shared" ref="AI3" si="15">SUM(AI4,AI7,AI16,AI38,AI59,AI64)</f>
        <v>3.2925000227987766</v>
      </c>
      <c r="AJ3" s="60"/>
      <c r="AK3" s="59">
        <f t="shared" ref="AK3" si="16">SUM(AK4,AK7,AK16,AK38,AK59,AK64)</f>
        <v>4.2250000182539225</v>
      </c>
      <c r="AL3" s="60"/>
      <c r="AM3" s="59">
        <f t="shared" ref="AM3" si="17">SUM(AM4,AM7,AM16,AM38,AM59,AM64)</f>
        <v>3.7000000482425093</v>
      </c>
      <c r="AN3" s="60"/>
      <c r="AO3" s="59">
        <f t="shared" ref="AO3" si="18">SUM(AO4,AO7,AO16,AO38,AO59,AO64)</f>
        <v>3.6625000163912773</v>
      </c>
      <c r="AP3" s="60"/>
      <c r="AQ3" s="59">
        <f t="shared" ref="AQ3" si="19">SUM(AQ4,AQ7,AQ16,AQ38,AQ59,AQ64)</f>
        <v>4.0425000503659252</v>
      </c>
      <c r="AR3" s="60"/>
      <c r="AS3" s="59">
        <f t="shared" ref="AS3" si="20">SUM(AS4,AS7,AS16,AS38,AS59,AS64)</f>
        <v>4.3450000539422042</v>
      </c>
      <c r="AT3" s="60"/>
      <c r="AU3" s="59">
        <f t="shared" ref="AU3" si="21">SUM(AU4,AU7,AU16,AU38,AU59,AU64)</f>
        <v>3.5950000274926426</v>
      </c>
      <c r="AV3" s="60"/>
      <c r="AW3" s="59">
        <f t="shared" ref="AW3" si="22">SUM(AW4,AW7,AW16,AW38,AW59,AW64)</f>
        <v>3.5850000170990821</v>
      </c>
      <c r="AX3" s="60"/>
      <c r="AY3" s="59">
        <f t="shared" ref="AY3" si="23">SUM(AY4,AY7,AY16,AY38,AY59,AY64)</f>
        <v>3.7525000238791106</v>
      </c>
      <c r="AZ3" s="60"/>
      <c r="BA3" s="59">
        <f t="shared" ref="BA3" si="24">SUM(BA4,BA7,BA16,BA38,BA59,BA64)</f>
        <v>3.5725000305101275</v>
      </c>
      <c r="BB3" s="60"/>
      <c r="BC3" s="59">
        <f t="shared" ref="BC3" si="25">SUM(BC4,BC7,BC16,BC38,BC59,BC64)</f>
        <v>4.7425000332295895</v>
      </c>
      <c r="BD3" s="60"/>
      <c r="BE3" s="59">
        <f t="shared" ref="BE3" si="26">SUM(BE4,BE7,BE16,BE38,BE59,BE64)</f>
        <v>3.2899999972432852</v>
      </c>
      <c r="BF3" s="60"/>
      <c r="BG3" s="59">
        <f t="shared" ref="BG3" si="27">SUM(BG4,BG7,BG16,BG38,BG59,BG64)</f>
        <v>3.8825000274926422</v>
      </c>
      <c r="BH3" s="60"/>
      <c r="BI3" s="59">
        <f t="shared" ref="BI3" si="28">SUM(BI4,BI7,BI16,BI38,BI59,BI64)</f>
        <v>2.9525000344961883</v>
      </c>
      <c r="BJ3" s="60"/>
    </row>
    <row r="4" spans="1:62" ht="38" x14ac:dyDescent="0.2">
      <c r="A4" s="6" t="s">
        <v>2</v>
      </c>
      <c r="B4" s="7">
        <f>Estructura!D2</f>
        <v>0.1</v>
      </c>
      <c r="C4" s="58" t="str">
        <f>IF(SUM($B5:$B6)&lt;&gt;0,SUM(C5:C6)/SUM($B5:$B6)*$B4*10, "")</f>
        <v/>
      </c>
      <c r="D4" s="58"/>
      <c r="E4" s="58" t="str">
        <f>IF(SUM($B5:$B6)&lt;&gt;0,SUM(E5:E6)/SUM($B5:$B6)*$B4*10, "")</f>
        <v/>
      </c>
      <c r="F4" s="58"/>
      <c r="G4" s="58" t="str">
        <f>IF(SUM($B5:$B6)&lt;&gt;0,SUM(G5:G6)/SUM($B5:$B6)*$B4*10, "")</f>
        <v/>
      </c>
      <c r="H4" s="58"/>
      <c r="I4" s="58" t="str">
        <f>IF(SUM($B5:$B6)&lt;&gt;0,SUM(I5:I6)/SUM($B5:$B6)*$B4*10, "")</f>
        <v/>
      </c>
      <c r="J4" s="58"/>
      <c r="K4" s="58" t="str">
        <f>IF(SUM($B5:$B6)&lt;&gt;0,SUM(K5:K6)/SUM($B5:$B6)*$B4*10, "")</f>
        <v/>
      </c>
      <c r="L4" s="58"/>
      <c r="M4" s="58" t="str">
        <f>IF(SUM($B5:$B6)&lt;&gt;0,SUM(M5:M6)/SUM($B5:$B6)*$B4*10, "")</f>
        <v/>
      </c>
      <c r="N4" s="58"/>
      <c r="O4" s="58" t="str">
        <f>IF(SUM($B5:$B6)&lt;&gt;0,SUM(O5:O6)/SUM($B5:$B6)*$B4*10, "")</f>
        <v/>
      </c>
      <c r="P4" s="58"/>
      <c r="Q4" s="58" t="str">
        <f>IF(SUM($B5:$B6)&lt;&gt;0,SUM(Q5:Q6)/SUM($B5:$B6)*$B4*10, "")</f>
        <v/>
      </c>
      <c r="R4" s="58"/>
      <c r="S4" s="58" t="str">
        <f>IF(SUM($B5:$B6)&lt;&gt;0,SUM(S5:S6)/SUM($B5:$B6)*$B4*10, "")</f>
        <v/>
      </c>
      <c r="T4" s="58"/>
      <c r="U4" s="58" t="str">
        <f>IF(SUM($B5:$B6)&lt;&gt;0,SUM(U5:U6)/SUM($B5:$B6)*$B4*10, "")</f>
        <v/>
      </c>
      <c r="V4" s="58"/>
      <c r="W4" s="58" t="str">
        <f>IF(SUM($B5:$B6)&lt;&gt;0,SUM(W5:W6)/SUM($B5:$B6)*$B4*10, "")</f>
        <v/>
      </c>
      <c r="X4" s="58"/>
      <c r="Y4" s="58" t="str">
        <f>IF(SUM($B5:$B6)&lt;&gt;0,SUM(Y5:Y6)/SUM($B5:$B6)*$B4*10, "")</f>
        <v/>
      </c>
      <c r="Z4" s="58"/>
      <c r="AA4" s="58" t="str">
        <f>IF(SUM($B5:$B6)&lt;&gt;0,SUM(AA5:AA6)/SUM($B5:$B6)*$B4*10, "")</f>
        <v/>
      </c>
      <c r="AB4" s="58"/>
      <c r="AC4" s="58" t="str">
        <f>IF(SUM($B5:$B6)&lt;&gt;0,SUM(AC5:AC6)/SUM($B5:$B6)*$B4*10, "")</f>
        <v/>
      </c>
      <c r="AD4" s="58"/>
      <c r="AE4" s="58" t="str">
        <f>IF(SUM($B5:$B6)&lt;&gt;0,SUM(AE5:AE6)/SUM($B5:$B6)*$B4*10, "")</f>
        <v/>
      </c>
      <c r="AF4" s="58"/>
      <c r="AG4" s="58" t="str">
        <f>IF(SUM($B5:$B6)&lt;&gt;0,SUM(AG5:AG6)/SUM($B5:$B6)*$B4*10, "")</f>
        <v/>
      </c>
      <c r="AH4" s="58"/>
      <c r="AI4" s="58" t="str">
        <f>IF(SUM($B5:$B6)&lt;&gt;0,SUM(AI5:AI6)/SUM($B5:$B6)*$B4*10, "")</f>
        <v/>
      </c>
      <c r="AJ4" s="58"/>
      <c r="AK4" s="58" t="str">
        <f>IF(SUM($B5:$B6)&lt;&gt;0,SUM(AK5:AK6)/SUM($B5:$B6)*$B4*10, "")</f>
        <v/>
      </c>
      <c r="AL4" s="58"/>
      <c r="AM4" s="58" t="str">
        <f>IF(SUM($B5:$B6)&lt;&gt;0,SUM(AM5:AM6)/SUM($B5:$B6)*$B4*10, "")</f>
        <v/>
      </c>
      <c r="AN4" s="58"/>
      <c r="AO4" s="58" t="str">
        <f>IF(SUM($B5:$B6)&lt;&gt;0,SUM(AO5:AO6)/SUM($B5:$B6)*$B4*10, "")</f>
        <v/>
      </c>
      <c r="AP4" s="58"/>
      <c r="AQ4" s="58" t="str">
        <f>IF(SUM($B5:$B6)&lt;&gt;0,SUM(AQ5:AQ6)/SUM($B5:$B6)*$B4*10, "")</f>
        <v/>
      </c>
      <c r="AR4" s="58"/>
      <c r="AS4" s="58" t="str">
        <f>IF(SUM($B5:$B6)&lt;&gt;0,SUM(AS5:AS6)/SUM($B5:$B6)*$B4*10, "")</f>
        <v/>
      </c>
      <c r="AT4" s="58"/>
      <c r="AU4" s="58" t="str">
        <f>IF(SUM($B5:$B6)&lt;&gt;0,SUM(AU5:AU6)/SUM($B5:$B6)*$B4*10, "")</f>
        <v/>
      </c>
      <c r="AV4" s="58"/>
      <c r="AW4" s="58" t="str">
        <f>IF(SUM($B5:$B6)&lt;&gt;0,SUM(AW5:AW6)/SUM($B5:$B6)*$B4*10, "")</f>
        <v/>
      </c>
      <c r="AX4" s="58"/>
      <c r="AY4" s="58" t="str">
        <f>IF(SUM($B5:$B6)&lt;&gt;0,SUM(AY5:AY6)/SUM($B5:$B6)*$B4*10, "")</f>
        <v/>
      </c>
      <c r="AZ4" s="58"/>
      <c r="BA4" s="58" t="str">
        <f>IF(SUM($B5:$B6)&lt;&gt;0,SUM(BA5:BA6)/SUM($B5:$B6)*$B4*10, "")</f>
        <v/>
      </c>
      <c r="BB4" s="58"/>
      <c r="BC4" s="58" t="str">
        <f>IF(SUM($B5:$B6)&lt;&gt;0,SUM(BC5:BC6)/SUM($B5:$B6)*$B4*10, "")</f>
        <v/>
      </c>
      <c r="BD4" s="58"/>
      <c r="BE4" s="58" t="str">
        <f>IF(SUM($B5:$B6)&lt;&gt;0,SUM(BE5:BE6)/SUM($B5:$B6)*$B4*10, "")</f>
        <v/>
      </c>
      <c r="BF4" s="58"/>
      <c r="BG4" s="58" t="str">
        <f>IF(SUM($B5:$B6)&lt;&gt;0,SUM(BG5:BG6)/SUM($B5:$B6)*$B4*10, "")</f>
        <v/>
      </c>
      <c r="BH4" s="58"/>
      <c r="BI4" s="58" t="str">
        <f>IF(SUM($B5:$B6)&lt;&gt;0,SUM(BI5:BI6)/SUM($B5:$B6)*$B4*10, "")</f>
        <v/>
      </c>
      <c r="BJ4" s="58"/>
    </row>
    <row r="5" spans="1:62" ht="28" x14ac:dyDescent="0.2">
      <c r="A5" s="2" t="s">
        <v>8</v>
      </c>
      <c r="B5" s="13">
        <f>Ordinaria!B5</f>
        <v>0</v>
      </c>
      <c r="C5" s="31">
        <f>Ordinaria!C5</f>
        <v>0</v>
      </c>
      <c r="D5" s="32">
        <f>IF($B5,C5/$B5,-1)</f>
        <v>-1</v>
      </c>
      <c r="E5" s="31">
        <f>Ordinaria!E5</f>
        <v>0</v>
      </c>
      <c r="F5" s="32">
        <f>IF($B5,E5/$B5,-1)</f>
        <v>-1</v>
      </c>
      <c r="G5" s="31">
        <f>Ordinaria!G5</f>
        <v>0</v>
      </c>
      <c r="H5" s="32">
        <f>IF($B5,G5/$B5,-1)</f>
        <v>-1</v>
      </c>
      <c r="I5" s="31">
        <f>Ordinaria!I5</f>
        <v>0</v>
      </c>
      <c r="J5" s="32">
        <f>IF($B5,I5/$B5,-1)</f>
        <v>-1</v>
      </c>
      <c r="K5" s="31">
        <f>Ordinaria!K5</f>
        <v>0</v>
      </c>
      <c r="L5" s="32">
        <f>IF($B5,K5/$B5,-1)</f>
        <v>-1</v>
      </c>
      <c r="M5" s="31">
        <f>Ordinaria!M5</f>
        <v>0</v>
      </c>
      <c r="N5" s="32">
        <f>IF($B5,M5/$B5,-1)</f>
        <v>-1</v>
      </c>
      <c r="O5" s="31">
        <f>Ordinaria!O5</f>
        <v>0</v>
      </c>
      <c r="P5" s="32">
        <f>IF($B5,O5/$B5,-1)</f>
        <v>-1</v>
      </c>
      <c r="Q5" s="31">
        <f>Ordinaria!Q5</f>
        <v>0</v>
      </c>
      <c r="R5" s="32">
        <f>IF($B5,Q5/$B5,-1)</f>
        <v>-1</v>
      </c>
      <c r="S5" s="31">
        <f>Ordinaria!S5</f>
        <v>0</v>
      </c>
      <c r="T5" s="32">
        <f>IF($B5,S5/$B5,-1)</f>
        <v>-1</v>
      </c>
      <c r="U5" s="31">
        <f>Ordinaria!U5</f>
        <v>0</v>
      </c>
      <c r="V5" s="32">
        <f>IF($B5,U5/$B5,-1)</f>
        <v>-1</v>
      </c>
      <c r="W5" s="31">
        <f>Ordinaria!W5</f>
        <v>0</v>
      </c>
      <c r="X5" s="32">
        <f>IF($B5,W5/$B5,-1)</f>
        <v>-1</v>
      </c>
      <c r="Y5" s="31">
        <f>Ordinaria!Y5</f>
        <v>0</v>
      </c>
      <c r="Z5" s="32">
        <f>IF($B5,Y5/$B5,-1)</f>
        <v>-1</v>
      </c>
      <c r="AA5" s="31">
        <f>Ordinaria!AA5</f>
        <v>0</v>
      </c>
      <c r="AB5" s="32">
        <f>IF($B5,AA5/$B5,-1)</f>
        <v>-1</v>
      </c>
      <c r="AC5" s="31">
        <f>Ordinaria!AC5</f>
        <v>0</v>
      </c>
      <c r="AD5" s="32">
        <f>IF($B5,AC5/$B5,-1)</f>
        <v>-1</v>
      </c>
      <c r="AE5" s="31">
        <f>Ordinaria!AE5</f>
        <v>0</v>
      </c>
      <c r="AF5" s="32">
        <f>IF($B5,AE5/$B5,-1)</f>
        <v>-1</v>
      </c>
      <c r="AG5" s="31">
        <f>Ordinaria!AG5</f>
        <v>0</v>
      </c>
      <c r="AH5" s="32">
        <f>IF($B5,AG5/$B5,-1)</f>
        <v>-1</v>
      </c>
      <c r="AI5" s="31">
        <f>Ordinaria!AI5</f>
        <v>0</v>
      </c>
      <c r="AJ5" s="32">
        <f>IF($B5,AI5/$B5,-1)</f>
        <v>-1</v>
      </c>
      <c r="AK5" s="31">
        <f>Ordinaria!AK5</f>
        <v>0</v>
      </c>
      <c r="AL5" s="32">
        <f>IF($B5,AK5/$B5,-1)</f>
        <v>-1</v>
      </c>
      <c r="AM5" s="31">
        <f>Ordinaria!AM5</f>
        <v>0</v>
      </c>
      <c r="AN5" s="32">
        <f>IF($B5,AM5/$B5,-1)</f>
        <v>-1</v>
      </c>
      <c r="AO5" s="31">
        <f>Ordinaria!AO5</f>
        <v>0</v>
      </c>
      <c r="AP5" s="32">
        <f>IF($B5,AO5/$B5,-1)</f>
        <v>-1</v>
      </c>
      <c r="AQ5" s="31">
        <f>Ordinaria!AQ5</f>
        <v>0</v>
      </c>
      <c r="AR5" s="32">
        <f>IF($B5,AQ5/$B5,-1)</f>
        <v>-1</v>
      </c>
      <c r="AS5" s="31">
        <f>Ordinaria!AS5</f>
        <v>0</v>
      </c>
      <c r="AT5" s="32">
        <f>IF($B5,AS5/$B5,-1)</f>
        <v>-1</v>
      </c>
      <c r="AU5" s="31">
        <f>Ordinaria!AU5</f>
        <v>0</v>
      </c>
      <c r="AV5" s="32">
        <f>IF($B5,AU5/$B5,-1)</f>
        <v>-1</v>
      </c>
      <c r="AW5" s="31">
        <f>Ordinaria!AW5</f>
        <v>0</v>
      </c>
      <c r="AX5" s="32">
        <f>IF($B5,AW5/$B5,-1)</f>
        <v>-1</v>
      </c>
      <c r="AY5" s="31">
        <f>Ordinaria!AY5</f>
        <v>0</v>
      </c>
      <c r="AZ5" s="32">
        <f>IF($B5,AY5/$B5,-1)</f>
        <v>-1</v>
      </c>
      <c r="BA5" s="31">
        <f>Ordinaria!BA5</f>
        <v>0</v>
      </c>
      <c r="BB5" s="32">
        <f>IF($B5,BA5/$B5,-1)</f>
        <v>-1</v>
      </c>
      <c r="BC5" s="31">
        <f>Ordinaria!BC5</f>
        <v>0</v>
      </c>
      <c r="BD5" s="32">
        <f>IF($B5,BC5/$B5,-1)</f>
        <v>-1</v>
      </c>
      <c r="BE5" s="31">
        <f>Ordinaria!BE5</f>
        <v>0</v>
      </c>
      <c r="BF5" s="32">
        <f>IF($B5,BE5/$B5,-1)</f>
        <v>-1</v>
      </c>
      <c r="BG5" s="31">
        <f>Ordinaria!BG5</f>
        <v>0</v>
      </c>
      <c r="BH5" s="32">
        <f>IF($B5,BG5/$B5,-1)</f>
        <v>-1</v>
      </c>
      <c r="BI5" s="31">
        <f>Ordinaria!BI5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Ordinaria!B6</f>
        <v>0</v>
      </c>
      <c r="C6" s="31">
        <f>Ordinaria!C6</f>
        <v>0</v>
      </c>
      <c r="D6" s="32">
        <f>IF($B6,C6/$B6,-1)</f>
        <v>-1</v>
      </c>
      <c r="E6" s="31">
        <f>Ordinaria!E6</f>
        <v>0</v>
      </c>
      <c r="F6" s="32">
        <f>IF($B6,E6/$B6,-1)</f>
        <v>-1</v>
      </c>
      <c r="G6" s="31">
        <f>Ordinaria!G6</f>
        <v>0</v>
      </c>
      <c r="H6" s="32">
        <f>IF($B6,G6/$B6,-1)</f>
        <v>-1</v>
      </c>
      <c r="I6" s="31">
        <f>Ordinaria!I6</f>
        <v>0</v>
      </c>
      <c r="J6" s="32">
        <f>IF($B6,I6/$B6,-1)</f>
        <v>-1</v>
      </c>
      <c r="K6" s="31">
        <f>Ordinaria!K6</f>
        <v>0</v>
      </c>
      <c r="L6" s="32">
        <f>IF($B6,K6/$B6,-1)</f>
        <v>-1</v>
      </c>
      <c r="M6" s="31">
        <f>Ordinaria!M6</f>
        <v>0</v>
      </c>
      <c r="N6" s="32">
        <f>IF($B6,M6/$B6,-1)</f>
        <v>-1</v>
      </c>
      <c r="O6" s="31">
        <f>Ordinaria!O6</f>
        <v>0</v>
      </c>
      <c r="P6" s="32">
        <f>IF($B6,O6/$B6,-1)</f>
        <v>-1</v>
      </c>
      <c r="Q6" s="31">
        <f>Ordinaria!Q6</f>
        <v>0</v>
      </c>
      <c r="R6" s="32">
        <f>IF($B6,Q6/$B6,-1)</f>
        <v>-1</v>
      </c>
      <c r="S6" s="31">
        <f>Ordinaria!S6</f>
        <v>0</v>
      </c>
      <c r="T6" s="32">
        <f>IF($B6,S6/$B6,-1)</f>
        <v>-1</v>
      </c>
      <c r="U6" s="31">
        <f>Ordinaria!U6</f>
        <v>0</v>
      </c>
      <c r="V6" s="32">
        <f>IF($B6,U6/$B6,-1)</f>
        <v>-1</v>
      </c>
      <c r="W6" s="31">
        <f>Ordinaria!W6</f>
        <v>0</v>
      </c>
      <c r="X6" s="32">
        <f>IF($B6,W6/$B6,-1)</f>
        <v>-1</v>
      </c>
      <c r="Y6" s="31">
        <f>Ordinaria!Y6</f>
        <v>0</v>
      </c>
      <c r="Z6" s="32">
        <f>IF($B6,Y6/$B6,-1)</f>
        <v>-1</v>
      </c>
      <c r="AA6" s="31">
        <f>Ordinaria!AA6</f>
        <v>0</v>
      </c>
      <c r="AB6" s="32">
        <f>IF($B6,AA6/$B6,-1)</f>
        <v>-1</v>
      </c>
      <c r="AC6" s="31">
        <f>Ordinaria!AC6</f>
        <v>0</v>
      </c>
      <c r="AD6" s="32">
        <f>IF($B6,AC6/$B6,-1)</f>
        <v>-1</v>
      </c>
      <c r="AE6" s="31">
        <f>Ordinaria!AE6</f>
        <v>0</v>
      </c>
      <c r="AF6" s="32">
        <f>IF($B6,AE6/$B6,-1)</f>
        <v>-1</v>
      </c>
      <c r="AG6" s="31">
        <f>Ordinaria!AG6</f>
        <v>0</v>
      </c>
      <c r="AH6" s="32">
        <f>IF($B6,AG6/$B6,-1)</f>
        <v>-1</v>
      </c>
      <c r="AI6" s="31">
        <f>Ordinaria!AI6</f>
        <v>0</v>
      </c>
      <c r="AJ6" s="32">
        <f>IF($B6,AI6/$B6,-1)</f>
        <v>-1</v>
      </c>
      <c r="AK6" s="31">
        <f>Ordinaria!AK6</f>
        <v>0</v>
      </c>
      <c r="AL6" s="32">
        <f>IF($B6,AK6/$B6,-1)</f>
        <v>-1</v>
      </c>
      <c r="AM6" s="31">
        <f>Ordinaria!AM6</f>
        <v>0</v>
      </c>
      <c r="AN6" s="32">
        <f>IF($B6,AM6/$B6,-1)</f>
        <v>-1</v>
      </c>
      <c r="AO6" s="31">
        <f>Ordinaria!AO6</f>
        <v>0</v>
      </c>
      <c r="AP6" s="32">
        <f>IF($B6,AO6/$B6,-1)</f>
        <v>-1</v>
      </c>
      <c r="AQ6" s="31">
        <f>Ordinaria!AQ6</f>
        <v>0</v>
      </c>
      <c r="AR6" s="32">
        <f>IF($B6,AQ6/$B6,-1)</f>
        <v>-1</v>
      </c>
      <c r="AS6" s="31">
        <f>Ordinaria!AS6</f>
        <v>0</v>
      </c>
      <c r="AT6" s="32">
        <f>IF($B6,AS6/$B6,-1)</f>
        <v>-1</v>
      </c>
      <c r="AU6" s="31">
        <f>Ordinaria!AU6</f>
        <v>0</v>
      </c>
      <c r="AV6" s="32">
        <f>IF($B6,AU6/$B6,-1)</f>
        <v>-1</v>
      </c>
      <c r="AW6" s="31">
        <f>Ordinaria!AW6</f>
        <v>0</v>
      </c>
      <c r="AX6" s="32">
        <f>IF($B6,AW6/$B6,-1)</f>
        <v>-1</v>
      </c>
      <c r="AY6" s="31">
        <f>Ordinaria!AY6</f>
        <v>0</v>
      </c>
      <c r="AZ6" s="32">
        <f>IF($B6,AY6/$B6,-1)</f>
        <v>-1</v>
      </c>
      <c r="BA6" s="31">
        <f>Ordinaria!BA6</f>
        <v>0</v>
      </c>
      <c r="BB6" s="32">
        <f>IF($B6,BA6/$B6,-1)</f>
        <v>-1</v>
      </c>
      <c r="BC6" s="31">
        <f>Ordinaria!BC6</f>
        <v>0</v>
      </c>
      <c r="BD6" s="32">
        <f>IF($B6,BC6/$B6,-1)</f>
        <v>-1</v>
      </c>
      <c r="BE6" s="31">
        <f>Ordinaria!BE6</f>
        <v>0</v>
      </c>
      <c r="BF6" s="32">
        <f>IF($B6,BE6/$B6,-1)</f>
        <v>-1</v>
      </c>
      <c r="BG6" s="31">
        <f>Ordinaria!BG6</f>
        <v>0</v>
      </c>
      <c r="BH6" s="32">
        <f>IF($B6,BG6/$B6,-1)</f>
        <v>-1</v>
      </c>
      <c r="BI6" s="31">
        <f>Ordinaria!BI6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8">
        <f>IF(SUM($B8:$B15)&lt;&gt;0,SUM(C8:C15)/SUM($B8:$B15)*$B7*10, "")</f>
        <v>0.74999999105930337</v>
      </c>
      <c r="D7" s="58"/>
      <c r="E7" s="58">
        <f>IF(SUM($B8:$B15)&lt;&gt;0,SUM(E8:E15)/SUM($B8:$B15)*$B7*10, "")</f>
        <v>0.71999999508261681</v>
      </c>
      <c r="F7" s="58"/>
      <c r="G7" s="58">
        <f>IF(SUM($B8:$B15)&lt;&gt;0,SUM(G8:G15)/SUM($B8:$B15)*$B7*10, "")</f>
        <v>0.75000001788139325</v>
      </c>
      <c r="H7" s="58"/>
      <c r="I7" s="58">
        <f>IF(SUM($B8:$B15)&lt;&gt;0,SUM(I8:I15)/SUM($B8:$B15)*$B7*10, "")</f>
        <v>0.6300000093877316</v>
      </c>
      <c r="J7" s="58"/>
      <c r="K7" s="58">
        <f>IF(SUM($B8:$B15)&lt;&gt;0,SUM(K8:K15)/SUM($B8:$B15)*$B7*10, "")</f>
        <v>0.63000001162290564</v>
      </c>
      <c r="L7" s="58"/>
      <c r="M7" s="58">
        <f>IF(SUM($B8:$B15)&lt;&gt;0,SUM(M8:M15)/SUM($B8:$B15)*$B7*10, "")</f>
        <v>0.51000000536441803</v>
      </c>
      <c r="N7" s="58"/>
      <c r="O7" s="58">
        <f>IF(SUM($B8:$B15)&lt;&gt;0,SUM(O8:O15)/SUM($B8:$B15)*$B7*10, "")</f>
        <v>0.53999999463558201</v>
      </c>
      <c r="P7" s="58"/>
      <c r="Q7" s="58">
        <f>IF(SUM($B8:$B15)&lt;&gt;0,SUM(Q8:Q15)/SUM($B8:$B15)*$B7*10, "")</f>
        <v>1.170000010728836</v>
      </c>
      <c r="R7" s="58"/>
      <c r="S7" s="58">
        <f>IF(SUM($B8:$B15)&lt;&gt;0,SUM(S8:S15)/SUM($B8:$B15)*$B7*10, "")</f>
        <v>0.56999999731779094</v>
      </c>
      <c r="T7" s="58"/>
      <c r="U7" s="58">
        <f>IF(SUM($B8:$B15)&lt;&gt;0,SUM(U8:U15)/SUM($B8:$B15)*$B7*10, "")</f>
        <v>0.6299999982118607</v>
      </c>
      <c r="V7" s="58"/>
      <c r="W7" s="58">
        <f>IF(SUM($B8:$B15)&lt;&gt;0,SUM(W8:W15)/SUM($B8:$B15)*$B7*10, "")</f>
        <v>0.47999999597668647</v>
      </c>
      <c r="X7" s="58"/>
      <c r="Y7" s="58">
        <f>IF(SUM($B8:$B15)&lt;&gt;0,SUM(Y8:Y15)/SUM($B8:$B15)*$B7*10, "")</f>
        <v>0.83999999910593026</v>
      </c>
      <c r="Z7" s="58"/>
      <c r="AA7" s="58">
        <f>IF(SUM($B8:$B15)&lt;&gt;0,SUM(AA8:AA15)/SUM($B8:$B15)*$B7*10, "")</f>
        <v>0.86999999508261672</v>
      </c>
      <c r="AB7" s="58"/>
      <c r="AC7" s="58">
        <f>IF(SUM($B8:$B15)&lt;&gt;0,SUM(AC8:AC15)/SUM($B8:$B15)*$B7*10, "")</f>
        <v>0.60000000894069672</v>
      </c>
      <c r="AD7" s="58"/>
      <c r="AE7" s="58">
        <f>IF(SUM($B8:$B15)&lt;&gt;0,SUM(AE8:AE15)/SUM($B8:$B15)*$B7*10, "")</f>
        <v>0.48000001385807989</v>
      </c>
      <c r="AF7" s="58"/>
      <c r="AG7" s="58">
        <f>IF(SUM($B8:$B15)&lt;&gt;0,SUM(AG8:AG15)/SUM($B8:$B15)*$B7*10, "")</f>
        <v>1.0200000040233135</v>
      </c>
      <c r="AH7" s="58"/>
      <c r="AI7" s="58">
        <f>IF(SUM($B8:$B15)&lt;&gt;0,SUM(AI8:AI15)/SUM($B8:$B15)*$B7*10, "")</f>
        <v>0.9300000004470349</v>
      </c>
      <c r="AJ7" s="58"/>
      <c r="AK7" s="58">
        <f>IF(SUM($B8:$B15)&lt;&gt;0,SUM(AK8:AK15)/SUM($B8:$B15)*$B7*10, "")</f>
        <v>0.60000001117587087</v>
      </c>
      <c r="AL7" s="58"/>
      <c r="AM7" s="58">
        <f>IF(SUM($B8:$B15)&lt;&gt;0,SUM(AM8:AM15)/SUM($B8:$B15)*$B7*10, "")</f>
        <v>0.81000000536441796</v>
      </c>
      <c r="AN7" s="58"/>
      <c r="AO7" s="58">
        <f>IF(SUM($B8:$B15)&lt;&gt;0,SUM(AO8:AO15)/SUM($B8:$B15)*$B7*10, "")</f>
        <v>0.60000000223517413</v>
      </c>
      <c r="AP7" s="58"/>
      <c r="AQ7" s="58">
        <f>IF(SUM($B8:$B15)&lt;&gt;0,SUM(AQ8:AQ15)/SUM($B8:$B15)*$B7*10, "")</f>
        <v>0.6900000125169754</v>
      </c>
      <c r="AR7" s="58"/>
      <c r="AS7" s="58">
        <f>IF(SUM($B8:$B15)&lt;&gt;0,SUM(AS8:AS15)/SUM($B8:$B15)*$B7*10, "")</f>
        <v>0.84000000357627869</v>
      </c>
      <c r="AT7" s="58"/>
      <c r="AU7" s="58">
        <f>IF(SUM($B8:$B15)&lt;&gt;0,SUM(AU8:AU15)/SUM($B8:$B15)*$B7*10, "")</f>
        <v>0.57000000402331352</v>
      </c>
      <c r="AV7" s="58"/>
      <c r="AW7" s="58">
        <f>IF(SUM($B8:$B15)&lt;&gt;0,SUM(AW8:AW15)/SUM($B8:$B15)*$B7*10, "")</f>
        <v>1.0500000044703484</v>
      </c>
      <c r="AX7" s="58"/>
      <c r="AY7" s="58">
        <f>IF(SUM($B8:$B15)&lt;&gt;0,SUM(AY8:AY15)/SUM($B8:$B15)*$B7*10, "")</f>
        <v>0.69000000357627866</v>
      </c>
      <c r="AZ7" s="58"/>
      <c r="BA7" s="58">
        <f>IF(SUM($B8:$B15)&lt;&gt;0,SUM(BA8:BA15)/SUM($B8:$B15)*$B7*10, "")</f>
        <v>0.6300000093877316</v>
      </c>
      <c r="BB7" s="58"/>
      <c r="BC7" s="58">
        <f>IF(SUM($B8:$B15)&lt;&gt;0,SUM(BC8:BC15)/SUM($B8:$B15)*$B7*10, "")</f>
        <v>0.93000002503395074</v>
      </c>
      <c r="BD7" s="58"/>
      <c r="BE7" s="58">
        <f>IF(SUM($B8:$B15)&lt;&gt;0,SUM(BE8:BE15)/SUM($B8:$B15)*$B7*10, "")</f>
        <v>0.65999999195337289</v>
      </c>
      <c r="BF7" s="58"/>
      <c r="BG7" s="58">
        <f>IF(SUM($B8:$B15)&lt;&gt;0,SUM(BG8:BG15)/SUM($B8:$B15)*$B7*10, "")</f>
        <v>0.59999999776482582</v>
      </c>
      <c r="BH7" s="58"/>
      <c r="BI7" s="58">
        <f>IF(SUM($B8:$B15)&lt;&gt;0,SUM(BI8:BI15)/SUM($B8:$B15)*$B7*10, "")</f>
        <v>0.54000000134110449</v>
      </c>
      <c r="BJ7" s="58"/>
    </row>
    <row r="8" spans="1:62" ht="42" x14ac:dyDescent="0.2">
      <c r="A8" s="2" t="s">
        <v>10</v>
      </c>
      <c r="B8" s="13">
        <f>Ordinaria!B8</f>
        <v>2</v>
      </c>
      <c r="C8" s="31">
        <f>Ordinaria!C8</f>
        <v>1.3999999761581421</v>
      </c>
      <c r="D8" s="32">
        <f t="shared" ref="D8:D15" si="29">IF($B8,C8/$B8,-1)</f>
        <v>0.69999998807907104</v>
      </c>
      <c r="E8" s="31">
        <f>Ordinaria!E8</f>
        <v>1</v>
      </c>
      <c r="F8" s="32">
        <f t="shared" ref="F8:F15" si="30">IF($B8,E8/$B8,-1)</f>
        <v>0.5</v>
      </c>
      <c r="G8" s="31">
        <f>Ordinaria!G8</f>
        <v>1.2000000476837158</v>
      </c>
      <c r="H8" s="32">
        <f t="shared" ref="H8:H15" si="31">IF($B8,G8/$B8,-1)</f>
        <v>0.60000002384185791</v>
      </c>
      <c r="I8" s="31">
        <f>Ordinaria!I8</f>
        <v>0.60000002384185791</v>
      </c>
      <c r="J8" s="32">
        <f t="shared" ref="J8:J15" si="32">IF($B8,I8/$B8,-1)</f>
        <v>0.30000001192092896</v>
      </c>
      <c r="K8" s="31">
        <f>Ordinaria!K8</f>
        <v>0.60000002384185791</v>
      </c>
      <c r="L8" s="32">
        <f t="shared" ref="L8:L15" si="33">IF($B8,K8/$B8,-1)</f>
        <v>0.30000001192092896</v>
      </c>
      <c r="M8" s="31">
        <f>Ordinaria!M8</f>
        <v>1.6000000238418579</v>
      </c>
      <c r="N8" s="32">
        <f t="shared" ref="N8:N15" si="34">IF($B8,M8/$B8,-1)</f>
        <v>0.80000001192092896</v>
      </c>
      <c r="O8" s="31">
        <f>Ordinaria!O8</f>
        <v>0</v>
      </c>
      <c r="P8" s="32">
        <f t="shared" ref="P8:P15" si="35">IF($B8,O8/$B8,-1)</f>
        <v>0</v>
      </c>
      <c r="Q8" s="31">
        <f>Ordinaria!Q8</f>
        <v>1.6000000238418579</v>
      </c>
      <c r="R8" s="32">
        <f t="shared" ref="R8:R15" si="36">IF($B8,Q8/$B8,-1)</f>
        <v>0.80000001192092896</v>
      </c>
      <c r="S8" s="31">
        <f>Ordinaria!S8</f>
        <v>1.6000000238418579</v>
      </c>
      <c r="T8" s="32">
        <f t="shared" ref="T8:T15" si="37">IF($B8,S8/$B8,-1)</f>
        <v>0.80000001192092896</v>
      </c>
      <c r="U8" s="31">
        <f>Ordinaria!U8</f>
        <v>1.3999999761581421</v>
      </c>
      <c r="V8" s="32">
        <f t="shared" ref="V8:V15" si="38">IF($B8,U8/$B8,-1)</f>
        <v>0.69999998807907104</v>
      </c>
      <c r="W8" s="31">
        <f>Ordinaria!W8</f>
        <v>0</v>
      </c>
      <c r="X8" s="32">
        <f t="shared" ref="X8:X15" si="39">IF($B8,W8/$B8,-1)</f>
        <v>0</v>
      </c>
      <c r="Y8" s="31">
        <f>Ordinaria!Y8</f>
        <v>0.80000001192092896</v>
      </c>
      <c r="Z8" s="32">
        <f t="shared" ref="Z8:Z15" si="40">IF($B8,Y8/$B8,-1)</f>
        <v>0.40000000596046448</v>
      </c>
      <c r="AA8" s="31">
        <f>Ordinaria!AA8</f>
        <v>1.7999999523162842</v>
      </c>
      <c r="AB8" s="32">
        <f t="shared" ref="AB8:AB15" si="41">IF($B8,AA8/$B8,-1)</f>
        <v>0.89999997615814209</v>
      </c>
      <c r="AC8" s="31">
        <f>Ordinaria!AC8</f>
        <v>1.6000000238418579</v>
      </c>
      <c r="AD8" s="32">
        <f t="shared" ref="AD8:AD15" si="42">IF($B8,AC8/$B8,-1)</f>
        <v>0.80000001192092896</v>
      </c>
      <c r="AE8" s="31">
        <f>Ordinaria!AE8</f>
        <v>0.80000001192092896</v>
      </c>
      <c r="AF8" s="32">
        <f t="shared" ref="AF8:AF15" si="43">IF($B8,AE8/$B8,-1)</f>
        <v>0.40000000596046448</v>
      </c>
      <c r="AG8" s="31">
        <f>Ordinaria!AG8</f>
        <v>2</v>
      </c>
      <c r="AH8" s="32">
        <f t="shared" ref="AH8:AH15" si="44">IF($B8,AG8/$B8,-1)</f>
        <v>1</v>
      </c>
      <c r="AI8" s="31">
        <f>Ordinaria!AI8</f>
        <v>1.7999999523162842</v>
      </c>
      <c r="AJ8" s="32">
        <f t="shared" ref="AJ8:AJ15" si="45">IF($B8,AI8/$B8,-1)</f>
        <v>0.89999997615814209</v>
      </c>
      <c r="AK8" s="31">
        <f>Ordinaria!AK8</f>
        <v>0</v>
      </c>
      <c r="AL8" s="32">
        <f t="shared" ref="AL8:AL15" si="46">IF($B8,AK8/$B8,-1)</f>
        <v>0</v>
      </c>
      <c r="AM8" s="31">
        <f>Ordinaria!AM8</f>
        <v>2</v>
      </c>
      <c r="AN8" s="32">
        <f t="shared" ref="AN8:AN15" si="47">IF($B8,AM8/$B8,-1)</f>
        <v>1</v>
      </c>
      <c r="AO8" s="31">
        <f>Ordinaria!AO8</f>
        <v>0.80000001192092896</v>
      </c>
      <c r="AP8" s="32">
        <f t="shared" ref="AP8:AP15" si="48">IF($B8,AO8/$B8,-1)</f>
        <v>0.40000000596046448</v>
      </c>
      <c r="AQ8" s="31">
        <f>Ordinaria!AQ8</f>
        <v>1</v>
      </c>
      <c r="AR8" s="32">
        <f t="shared" ref="AR8:AR15" si="49">IF($B8,AQ8/$B8,-1)</f>
        <v>0.5</v>
      </c>
      <c r="AS8" s="31">
        <f>Ordinaria!AS8</f>
        <v>1.6000000238418579</v>
      </c>
      <c r="AT8" s="32">
        <f t="shared" ref="AT8:AT15" si="50">IF($B8,AS8/$B8,-1)</f>
        <v>0.80000001192092896</v>
      </c>
      <c r="AU8" s="31">
        <f>Ordinaria!AU8</f>
        <v>0</v>
      </c>
      <c r="AV8" s="32">
        <f t="shared" ref="AV8:AV15" si="51">IF($B8,AU8/$B8,-1)</f>
        <v>0</v>
      </c>
      <c r="AW8" s="31">
        <f>Ordinaria!AW8</f>
        <v>1.2000000476837158</v>
      </c>
      <c r="AX8" s="32">
        <f t="shared" ref="AX8:AX15" si="52">IF($B8,AW8/$B8,-1)</f>
        <v>0.60000002384185791</v>
      </c>
      <c r="AY8" s="31">
        <f>Ordinaria!AY8</f>
        <v>1</v>
      </c>
      <c r="AZ8" s="32">
        <f t="shared" ref="AZ8:AZ15" si="53">IF($B8,AY8/$B8,-1)</f>
        <v>0.5</v>
      </c>
      <c r="BA8" s="31">
        <f>Ordinaria!BA8</f>
        <v>0.60000002384185791</v>
      </c>
      <c r="BB8" s="32">
        <f t="shared" ref="BB8:BB15" si="54">IF($B8,BA8/$B8,-1)</f>
        <v>0.30000001192092896</v>
      </c>
      <c r="BC8" s="31">
        <f>Ordinaria!BC8</f>
        <v>1.2000000476837158</v>
      </c>
      <c r="BD8" s="32">
        <f t="shared" ref="BD8:BD15" si="55">IF($B8,BC8/$B8,-1)</f>
        <v>0.60000002384185791</v>
      </c>
      <c r="BE8" s="31">
        <f>Ordinaria!BE8</f>
        <v>1.3999999761581421</v>
      </c>
      <c r="BF8" s="32">
        <f t="shared" ref="BF8:BF15" si="56">IF($B8,BE8/$B8,-1)</f>
        <v>0.69999998807907104</v>
      </c>
      <c r="BG8" s="31">
        <f>Ordinaria!BG8</f>
        <v>0.40000000596046448</v>
      </c>
      <c r="BH8" s="32">
        <f t="shared" ref="BH8:BH15" si="57">IF($B8,BG8/$B8,-1)</f>
        <v>0.20000000298023224</v>
      </c>
      <c r="BI8" s="31">
        <f>Ordinaria!BI8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Ordinaria!B9</f>
        <v>2</v>
      </c>
      <c r="C9" s="31">
        <f>Ordinaria!C9</f>
        <v>1.7999999523162842</v>
      </c>
      <c r="D9" s="32">
        <f t="shared" si="29"/>
        <v>0.89999997615814209</v>
      </c>
      <c r="E9" s="31">
        <f>Ordinaria!E9</f>
        <v>1.7999999523162842</v>
      </c>
      <c r="F9" s="32">
        <f t="shared" si="30"/>
        <v>0.89999997615814209</v>
      </c>
      <c r="G9" s="31">
        <f>Ordinaria!G9</f>
        <v>1.2000000476837158</v>
      </c>
      <c r="H9" s="32">
        <f t="shared" si="31"/>
        <v>0.60000002384185791</v>
      </c>
      <c r="I9" s="31">
        <f>Ordinaria!I9</f>
        <v>2</v>
      </c>
      <c r="J9" s="32">
        <f t="shared" si="32"/>
        <v>1</v>
      </c>
      <c r="K9" s="31">
        <f>Ordinaria!K9</f>
        <v>2</v>
      </c>
      <c r="L9" s="32">
        <f t="shared" si="33"/>
        <v>1</v>
      </c>
      <c r="M9" s="31">
        <f>Ordinaria!M9</f>
        <v>0.40000000596046448</v>
      </c>
      <c r="N9" s="32">
        <f t="shared" si="34"/>
        <v>0.20000000298023224</v>
      </c>
      <c r="O9" s="31">
        <f>Ordinaria!O9</f>
        <v>1.3999999761581421</v>
      </c>
      <c r="P9" s="32">
        <f t="shared" si="35"/>
        <v>0.69999998807907104</v>
      </c>
      <c r="Q9" s="31">
        <f>Ordinaria!Q9</f>
        <v>2</v>
      </c>
      <c r="R9" s="32">
        <f t="shared" si="36"/>
        <v>1</v>
      </c>
      <c r="S9" s="31">
        <f>Ordinaria!S9</f>
        <v>0.40000000596046448</v>
      </c>
      <c r="T9" s="32">
        <f t="shared" si="37"/>
        <v>0.20000000298023224</v>
      </c>
      <c r="U9" s="31">
        <f>Ordinaria!U9</f>
        <v>1</v>
      </c>
      <c r="V9" s="32">
        <f t="shared" si="38"/>
        <v>0.5</v>
      </c>
      <c r="W9" s="31">
        <f>Ordinaria!W9</f>
        <v>0.20000000298023224</v>
      </c>
      <c r="X9" s="32">
        <f t="shared" si="39"/>
        <v>0.10000000149011612</v>
      </c>
      <c r="Y9" s="31">
        <f>Ordinaria!Y9</f>
        <v>2</v>
      </c>
      <c r="Z9" s="32">
        <f t="shared" si="40"/>
        <v>1</v>
      </c>
      <c r="AA9" s="31">
        <f>Ordinaria!AA9</f>
        <v>1.3999999761581421</v>
      </c>
      <c r="AB9" s="32">
        <f t="shared" si="41"/>
        <v>0.69999998807907104</v>
      </c>
      <c r="AC9" s="31">
        <f>Ordinaria!AC9</f>
        <v>0</v>
      </c>
      <c r="AD9" s="32">
        <f t="shared" si="42"/>
        <v>0</v>
      </c>
      <c r="AE9" s="31">
        <f>Ordinaria!AE9</f>
        <v>1.2000000476837158</v>
      </c>
      <c r="AF9" s="32">
        <f t="shared" si="43"/>
        <v>0.60000002384185791</v>
      </c>
      <c r="AG9" s="31">
        <f>Ordinaria!AG9</f>
        <v>0.20000000298023224</v>
      </c>
      <c r="AH9" s="32">
        <f t="shared" si="44"/>
        <v>0.10000000149011612</v>
      </c>
      <c r="AI9" s="31">
        <f>Ordinaria!AI9</f>
        <v>0.20000000298023224</v>
      </c>
      <c r="AJ9" s="32">
        <f t="shared" si="45"/>
        <v>0.10000000149011612</v>
      </c>
      <c r="AK9" s="31">
        <f>Ordinaria!AK9</f>
        <v>1.6000000238418579</v>
      </c>
      <c r="AL9" s="32">
        <f t="shared" si="46"/>
        <v>0.80000001192092896</v>
      </c>
      <c r="AM9" s="31">
        <f>Ordinaria!AM9</f>
        <v>0.60000002384185791</v>
      </c>
      <c r="AN9" s="32">
        <f t="shared" si="47"/>
        <v>0.30000001192092896</v>
      </c>
      <c r="AO9" s="31">
        <f>Ordinaria!AO9</f>
        <v>0</v>
      </c>
      <c r="AP9" s="32">
        <f t="shared" si="48"/>
        <v>0</v>
      </c>
      <c r="AQ9" s="31">
        <f>Ordinaria!AQ9</f>
        <v>0.60000002384185791</v>
      </c>
      <c r="AR9" s="32">
        <f t="shared" si="49"/>
        <v>0.30000001192092896</v>
      </c>
      <c r="AS9" s="31">
        <f>Ordinaria!AS9</f>
        <v>0.80000001192092896</v>
      </c>
      <c r="AT9" s="32">
        <f t="shared" si="50"/>
        <v>0.40000000596046448</v>
      </c>
      <c r="AU9" s="31">
        <f>Ordinaria!AU9</f>
        <v>0.60000002384185791</v>
      </c>
      <c r="AV9" s="32">
        <f t="shared" si="51"/>
        <v>0.30000001192092896</v>
      </c>
      <c r="AW9" s="31">
        <f>Ordinaria!AW9</f>
        <v>2</v>
      </c>
      <c r="AX9" s="32">
        <f t="shared" si="52"/>
        <v>1</v>
      </c>
      <c r="AY9" s="31">
        <f>Ordinaria!AY9</f>
        <v>2</v>
      </c>
      <c r="AZ9" s="32">
        <f t="shared" si="53"/>
        <v>1</v>
      </c>
      <c r="BA9" s="31">
        <f>Ordinaria!BA9</f>
        <v>0.80000001192092896</v>
      </c>
      <c r="BB9" s="32">
        <f t="shared" si="54"/>
        <v>0.40000000596046448</v>
      </c>
      <c r="BC9" s="31">
        <f>Ordinaria!BC9</f>
        <v>0.60000002384185791</v>
      </c>
      <c r="BD9" s="32">
        <f t="shared" si="55"/>
        <v>0.30000001192092896</v>
      </c>
      <c r="BE9" s="31">
        <f>Ordinaria!BE9</f>
        <v>0.20000000298023224</v>
      </c>
      <c r="BF9" s="32">
        <f t="shared" si="56"/>
        <v>0.10000000149011612</v>
      </c>
      <c r="BG9" s="31">
        <f>Ordinaria!BG9</f>
        <v>0.20000000298023224</v>
      </c>
      <c r="BH9" s="32">
        <f t="shared" si="57"/>
        <v>0.10000000149011612</v>
      </c>
      <c r="BI9" s="31">
        <f>Ordinaria!BI9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Ordinaria!B10</f>
        <v>2</v>
      </c>
      <c r="C10" s="31">
        <f>Ordinaria!C10</f>
        <v>0.80000001192092896</v>
      </c>
      <c r="D10" s="32">
        <f t="shared" si="29"/>
        <v>0.40000000596046448</v>
      </c>
      <c r="E10" s="31">
        <f>Ordinaria!E10</f>
        <v>0.80000001192092896</v>
      </c>
      <c r="F10" s="32">
        <f t="shared" si="30"/>
        <v>0.40000000596046448</v>
      </c>
      <c r="G10" s="31">
        <f>Ordinaria!G10</f>
        <v>1.3999999761581421</v>
      </c>
      <c r="H10" s="32">
        <f t="shared" si="31"/>
        <v>0.69999998807907104</v>
      </c>
      <c r="I10" s="31">
        <f>Ordinaria!I10</f>
        <v>0.60000002384185791</v>
      </c>
      <c r="J10" s="32">
        <f t="shared" si="32"/>
        <v>0.30000001192092896</v>
      </c>
      <c r="K10" s="31">
        <f>Ordinaria!K10</f>
        <v>1.2000000476837158</v>
      </c>
      <c r="L10" s="32">
        <f t="shared" si="33"/>
        <v>0.60000002384185791</v>
      </c>
      <c r="M10" s="31">
        <f>Ordinaria!M10</f>
        <v>0.40000000596046448</v>
      </c>
      <c r="N10" s="32">
        <f t="shared" si="34"/>
        <v>0.20000000298023224</v>
      </c>
      <c r="O10" s="31">
        <f>Ordinaria!O10</f>
        <v>0.40000000596046448</v>
      </c>
      <c r="P10" s="32">
        <f t="shared" si="35"/>
        <v>0.20000000298023224</v>
      </c>
      <c r="Q10" s="31">
        <f>Ordinaria!Q10</f>
        <v>1.2000000476837158</v>
      </c>
      <c r="R10" s="32">
        <f t="shared" si="36"/>
        <v>0.60000002384185791</v>
      </c>
      <c r="S10" s="31">
        <f>Ordinaria!S10</f>
        <v>0</v>
      </c>
      <c r="T10" s="32">
        <f t="shared" si="37"/>
        <v>0</v>
      </c>
      <c r="U10" s="31">
        <f>Ordinaria!U10</f>
        <v>1</v>
      </c>
      <c r="V10" s="32">
        <f t="shared" si="38"/>
        <v>0.5</v>
      </c>
      <c r="W10" s="31">
        <f>Ordinaria!W10</f>
        <v>1.7999999523162842</v>
      </c>
      <c r="X10" s="32">
        <f t="shared" si="39"/>
        <v>0.89999997615814209</v>
      </c>
      <c r="Y10" s="31">
        <f>Ordinaria!Y10</f>
        <v>0.40000000596046448</v>
      </c>
      <c r="Z10" s="32">
        <f t="shared" si="40"/>
        <v>0.20000000298023224</v>
      </c>
      <c r="AA10" s="31">
        <f>Ordinaria!AA10</f>
        <v>1.6000000238418579</v>
      </c>
      <c r="AB10" s="32">
        <f t="shared" si="41"/>
        <v>0.80000001192092896</v>
      </c>
      <c r="AC10" s="31">
        <f>Ordinaria!AC10</f>
        <v>0.80000001192092896</v>
      </c>
      <c r="AD10" s="32">
        <f t="shared" si="42"/>
        <v>0.40000000596046448</v>
      </c>
      <c r="AE10" s="31">
        <f>Ordinaria!AE10</f>
        <v>0.60000002384185791</v>
      </c>
      <c r="AF10" s="32">
        <f t="shared" si="43"/>
        <v>0.30000001192092896</v>
      </c>
      <c r="AG10" s="31">
        <f>Ordinaria!AG10</f>
        <v>2</v>
      </c>
      <c r="AH10" s="32">
        <f t="shared" si="44"/>
        <v>1</v>
      </c>
      <c r="AI10" s="31">
        <f>Ordinaria!AI10</f>
        <v>1.2000000476837158</v>
      </c>
      <c r="AJ10" s="32">
        <f t="shared" si="45"/>
        <v>0.60000002384185791</v>
      </c>
      <c r="AK10" s="31">
        <f>Ordinaria!AK10</f>
        <v>1.2000000476837158</v>
      </c>
      <c r="AL10" s="32">
        <f t="shared" si="46"/>
        <v>0.60000002384185791</v>
      </c>
      <c r="AM10" s="31">
        <f>Ordinaria!AM10</f>
        <v>0.80000001192092896</v>
      </c>
      <c r="AN10" s="32">
        <f t="shared" si="47"/>
        <v>0.40000000596046448</v>
      </c>
      <c r="AO10" s="31">
        <f>Ordinaria!AO10</f>
        <v>0.20000000298023224</v>
      </c>
      <c r="AP10" s="32">
        <f t="shared" si="48"/>
        <v>0.10000000149011612</v>
      </c>
      <c r="AQ10" s="31">
        <f>Ordinaria!AQ10</f>
        <v>1.2000000476837158</v>
      </c>
      <c r="AR10" s="32">
        <f t="shared" si="49"/>
        <v>0.60000002384185791</v>
      </c>
      <c r="AS10" s="31">
        <f>Ordinaria!AS10</f>
        <v>1.3999999761581421</v>
      </c>
      <c r="AT10" s="32">
        <f t="shared" si="50"/>
        <v>0.69999998807907104</v>
      </c>
      <c r="AU10" s="31">
        <f>Ordinaria!AU10</f>
        <v>2</v>
      </c>
      <c r="AV10" s="32">
        <f t="shared" si="51"/>
        <v>1</v>
      </c>
      <c r="AW10" s="31">
        <f>Ordinaria!AW10</f>
        <v>1.7999999523162842</v>
      </c>
      <c r="AX10" s="32">
        <f t="shared" si="52"/>
        <v>0.89999997615814209</v>
      </c>
      <c r="AY10" s="31">
        <f>Ordinaria!AY10</f>
        <v>0</v>
      </c>
      <c r="AZ10" s="32">
        <f t="shared" si="53"/>
        <v>0</v>
      </c>
      <c r="BA10" s="31">
        <f>Ordinaria!BA10</f>
        <v>1</v>
      </c>
      <c r="BB10" s="32">
        <f t="shared" si="54"/>
        <v>0.5</v>
      </c>
      <c r="BC10" s="31">
        <f>Ordinaria!BC10</f>
        <v>2</v>
      </c>
      <c r="BD10" s="32">
        <f t="shared" si="55"/>
        <v>1</v>
      </c>
      <c r="BE10" s="31">
        <f>Ordinaria!BE10</f>
        <v>0.80000001192092896</v>
      </c>
      <c r="BF10" s="32">
        <f t="shared" si="56"/>
        <v>0.40000000596046448</v>
      </c>
      <c r="BG10" s="31">
        <f>Ordinaria!BG10</f>
        <v>1.3999999761581421</v>
      </c>
      <c r="BH10" s="32">
        <f t="shared" si="57"/>
        <v>0.69999998807907104</v>
      </c>
      <c r="BI10" s="31">
        <f>Ordinaria!BI10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Ordinaria!B11</f>
        <v>0</v>
      </c>
      <c r="C11" s="31">
        <f>Ordinaria!C11</f>
        <v>0</v>
      </c>
      <c r="D11" s="32">
        <f t="shared" si="29"/>
        <v>-1</v>
      </c>
      <c r="E11" s="31">
        <f>Ordinaria!E11</f>
        <v>0</v>
      </c>
      <c r="F11" s="32">
        <f t="shared" si="30"/>
        <v>-1</v>
      </c>
      <c r="G11" s="31">
        <f>Ordinaria!G11</f>
        <v>0</v>
      </c>
      <c r="H11" s="32">
        <f t="shared" si="31"/>
        <v>-1</v>
      </c>
      <c r="I11" s="31">
        <f>Ordinaria!I11</f>
        <v>0</v>
      </c>
      <c r="J11" s="32">
        <f t="shared" si="32"/>
        <v>-1</v>
      </c>
      <c r="K11" s="31">
        <f>Ordinaria!K11</f>
        <v>0</v>
      </c>
      <c r="L11" s="32">
        <f t="shared" si="33"/>
        <v>-1</v>
      </c>
      <c r="M11" s="31">
        <f>Ordinaria!M11</f>
        <v>0</v>
      </c>
      <c r="N11" s="32">
        <f t="shared" si="34"/>
        <v>-1</v>
      </c>
      <c r="O11" s="31">
        <f>Ordinaria!O11</f>
        <v>0</v>
      </c>
      <c r="P11" s="32">
        <f t="shared" si="35"/>
        <v>-1</v>
      </c>
      <c r="Q11" s="31">
        <f>Ordinaria!Q11</f>
        <v>0</v>
      </c>
      <c r="R11" s="32">
        <f t="shared" si="36"/>
        <v>-1</v>
      </c>
      <c r="S11" s="31">
        <f>Ordinaria!S11</f>
        <v>0</v>
      </c>
      <c r="T11" s="32">
        <f t="shared" si="37"/>
        <v>-1</v>
      </c>
      <c r="U11" s="31">
        <f>Ordinaria!U11</f>
        <v>0</v>
      </c>
      <c r="V11" s="32">
        <f t="shared" si="38"/>
        <v>-1</v>
      </c>
      <c r="W11" s="31">
        <f>Ordinaria!W11</f>
        <v>0</v>
      </c>
      <c r="X11" s="32">
        <f t="shared" si="39"/>
        <v>-1</v>
      </c>
      <c r="Y11" s="31">
        <f>Ordinaria!Y11</f>
        <v>0</v>
      </c>
      <c r="Z11" s="32">
        <f t="shared" si="40"/>
        <v>-1</v>
      </c>
      <c r="AA11" s="31">
        <f>Ordinaria!AA11</f>
        <v>0</v>
      </c>
      <c r="AB11" s="32">
        <f t="shared" si="41"/>
        <v>-1</v>
      </c>
      <c r="AC11" s="31">
        <f>Ordinaria!AC11</f>
        <v>0</v>
      </c>
      <c r="AD11" s="32">
        <f t="shared" si="42"/>
        <v>-1</v>
      </c>
      <c r="AE11" s="31">
        <f>Ordinaria!AE11</f>
        <v>0</v>
      </c>
      <c r="AF11" s="32">
        <f t="shared" si="43"/>
        <v>-1</v>
      </c>
      <c r="AG11" s="31">
        <f>Ordinaria!AG11</f>
        <v>0</v>
      </c>
      <c r="AH11" s="32">
        <f t="shared" si="44"/>
        <v>-1</v>
      </c>
      <c r="AI11" s="31">
        <f>Ordinaria!AI11</f>
        <v>0</v>
      </c>
      <c r="AJ11" s="32">
        <f t="shared" si="45"/>
        <v>-1</v>
      </c>
      <c r="AK11" s="31">
        <f>Ordinaria!AK11</f>
        <v>0</v>
      </c>
      <c r="AL11" s="32">
        <f t="shared" si="46"/>
        <v>-1</v>
      </c>
      <c r="AM11" s="31">
        <f>Ordinaria!AM11</f>
        <v>0</v>
      </c>
      <c r="AN11" s="32">
        <f t="shared" si="47"/>
        <v>-1</v>
      </c>
      <c r="AO11" s="31">
        <f>Ordinaria!AO11</f>
        <v>0</v>
      </c>
      <c r="AP11" s="32">
        <f t="shared" si="48"/>
        <v>-1</v>
      </c>
      <c r="AQ11" s="31">
        <f>Ordinaria!AQ11</f>
        <v>0</v>
      </c>
      <c r="AR11" s="32">
        <f t="shared" si="49"/>
        <v>-1</v>
      </c>
      <c r="AS11" s="31">
        <f>Ordinaria!AS11</f>
        <v>0</v>
      </c>
      <c r="AT11" s="32">
        <f t="shared" si="50"/>
        <v>-1</v>
      </c>
      <c r="AU11" s="31">
        <f>Ordinaria!AU11</f>
        <v>0</v>
      </c>
      <c r="AV11" s="32">
        <f t="shared" si="51"/>
        <v>-1</v>
      </c>
      <c r="AW11" s="31">
        <f>Ordinaria!AW11</f>
        <v>0</v>
      </c>
      <c r="AX11" s="32">
        <f t="shared" si="52"/>
        <v>-1</v>
      </c>
      <c r="AY11" s="31">
        <f>Ordinaria!AY11</f>
        <v>0</v>
      </c>
      <c r="AZ11" s="32">
        <f t="shared" si="53"/>
        <v>-1</v>
      </c>
      <c r="BA11" s="31">
        <f>Ordinaria!BA11</f>
        <v>0</v>
      </c>
      <c r="BB11" s="32">
        <f t="shared" si="54"/>
        <v>-1</v>
      </c>
      <c r="BC11" s="31">
        <f>Ordinaria!BC11</f>
        <v>0</v>
      </c>
      <c r="BD11" s="32">
        <f t="shared" si="55"/>
        <v>-1</v>
      </c>
      <c r="BE11" s="31">
        <f>Ordinaria!BE11</f>
        <v>0</v>
      </c>
      <c r="BF11" s="32">
        <f t="shared" si="56"/>
        <v>-1</v>
      </c>
      <c r="BG11" s="31">
        <f>Ordinaria!BG11</f>
        <v>0</v>
      </c>
      <c r="BH11" s="32">
        <f t="shared" si="57"/>
        <v>-1</v>
      </c>
      <c r="BI11" s="31">
        <f>Ordinaria!BI11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Ordinaria!B12</f>
        <v>2</v>
      </c>
      <c r="C12" s="31">
        <f>Ordinaria!C12</f>
        <v>1</v>
      </c>
      <c r="D12" s="32">
        <f t="shared" si="29"/>
        <v>0.5</v>
      </c>
      <c r="E12" s="31">
        <f>Ordinaria!E12</f>
        <v>1</v>
      </c>
      <c r="F12" s="32">
        <f t="shared" si="30"/>
        <v>0.5</v>
      </c>
      <c r="G12" s="31">
        <f>Ordinaria!G12</f>
        <v>0.60000002384185791</v>
      </c>
      <c r="H12" s="32">
        <f t="shared" si="31"/>
        <v>0.30000001192092896</v>
      </c>
      <c r="I12" s="31">
        <f>Ordinaria!I12</f>
        <v>0.80000001192092896</v>
      </c>
      <c r="J12" s="32">
        <f t="shared" si="32"/>
        <v>0.40000000596046448</v>
      </c>
      <c r="K12" s="31">
        <f>Ordinaria!K12</f>
        <v>0.40000000596046448</v>
      </c>
      <c r="L12" s="32">
        <f t="shared" si="33"/>
        <v>0.20000000298023224</v>
      </c>
      <c r="M12" s="31">
        <f>Ordinaria!M12</f>
        <v>0</v>
      </c>
      <c r="N12" s="32">
        <f t="shared" si="34"/>
        <v>0</v>
      </c>
      <c r="O12" s="31">
        <f>Ordinaria!O12</f>
        <v>0.40000000596046448</v>
      </c>
      <c r="P12" s="32">
        <f t="shared" si="35"/>
        <v>0.20000000298023224</v>
      </c>
      <c r="Q12" s="31">
        <f>Ordinaria!Q12</f>
        <v>2</v>
      </c>
      <c r="R12" s="32">
        <f t="shared" si="36"/>
        <v>1</v>
      </c>
      <c r="S12" s="31">
        <f>Ordinaria!S12</f>
        <v>0</v>
      </c>
      <c r="T12" s="32">
        <f t="shared" si="37"/>
        <v>0</v>
      </c>
      <c r="U12" s="31">
        <f>Ordinaria!U12</f>
        <v>0.80000001192092896</v>
      </c>
      <c r="V12" s="32">
        <f t="shared" si="38"/>
        <v>0.40000000596046448</v>
      </c>
      <c r="W12" s="31">
        <f>Ordinaria!W12</f>
        <v>0.80000001192092896</v>
      </c>
      <c r="X12" s="32">
        <f t="shared" si="39"/>
        <v>0.40000000596046448</v>
      </c>
      <c r="Y12" s="31">
        <f>Ordinaria!Y12</f>
        <v>1</v>
      </c>
      <c r="Z12" s="32">
        <f t="shared" si="40"/>
        <v>0.5</v>
      </c>
      <c r="AA12" s="31">
        <f>Ordinaria!AA12</f>
        <v>0.20000000298023224</v>
      </c>
      <c r="AB12" s="32">
        <f t="shared" si="41"/>
        <v>0.10000000149011612</v>
      </c>
      <c r="AC12" s="31">
        <f>Ordinaria!AC12</f>
        <v>1</v>
      </c>
      <c r="AD12" s="32">
        <f t="shared" si="42"/>
        <v>0.5</v>
      </c>
      <c r="AE12" s="31">
        <f>Ordinaria!AE12</f>
        <v>0.40000000596046448</v>
      </c>
      <c r="AF12" s="32">
        <f t="shared" si="43"/>
        <v>0.20000000298023224</v>
      </c>
      <c r="AG12" s="31">
        <f>Ordinaria!AG12</f>
        <v>1.2000000476837158</v>
      </c>
      <c r="AH12" s="32">
        <f t="shared" si="44"/>
        <v>0.60000002384185791</v>
      </c>
      <c r="AI12" s="31">
        <f>Ordinaria!AI12</f>
        <v>1</v>
      </c>
      <c r="AJ12" s="32">
        <f t="shared" si="45"/>
        <v>0.5</v>
      </c>
      <c r="AK12" s="31">
        <f>Ordinaria!AK12</f>
        <v>0.20000000298023224</v>
      </c>
      <c r="AL12" s="32">
        <f t="shared" si="46"/>
        <v>0.10000000149011612</v>
      </c>
      <c r="AM12" s="31">
        <f>Ordinaria!AM12</f>
        <v>2</v>
      </c>
      <c r="AN12" s="32">
        <f t="shared" si="47"/>
        <v>1</v>
      </c>
      <c r="AO12" s="31">
        <f>Ordinaria!AO12</f>
        <v>1.3999999761581421</v>
      </c>
      <c r="AP12" s="32">
        <f t="shared" si="48"/>
        <v>0.69999998807907104</v>
      </c>
      <c r="AQ12" s="31">
        <f>Ordinaria!AQ12</f>
        <v>1</v>
      </c>
      <c r="AR12" s="32">
        <f t="shared" si="49"/>
        <v>0.5</v>
      </c>
      <c r="AS12" s="31">
        <f>Ordinaria!AS12</f>
        <v>0.80000001192092896</v>
      </c>
      <c r="AT12" s="32">
        <f t="shared" si="50"/>
        <v>0.40000000596046448</v>
      </c>
      <c r="AU12" s="31">
        <f>Ordinaria!AU12</f>
        <v>0.20000000298023224</v>
      </c>
      <c r="AV12" s="32">
        <f t="shared" si="51"/>
        <v>0.10000000149011612</v>
      </c>
      <c r="AW12" s="31">
        <f>Ordinaria!AW12</f>
        <v>1.6000000238418579</v>
      </c>
      <c r="AX12" s="32">
        <f t="shared" si="52"/>
        <v>0.80000001192092896</v>
      </c>
      <c r="AY12" s="31">
        <f>Ordinaria!AY12</f>
        <v>1</v>
      </c>
      <c r="AZ12" s="32">
        <f t="shared" si="53"/>
        <v>0.5</v>
      </c>
      <c r="BA12" s="31">
        <f>Ordinaria!BA12</f>
        <v>1.6000000238418579</v>
      </c>
      <c r="BB12" s="32">
        <f t="shared" si="54"/>
        <v>0.80000001192092896</v>
      </c>
      <c r="BC12" s="31">
        <f>Ordinaria!BC12</f>
        <v>1.2000000476837158</v>
      </c>
      <c r="BD12" s="32">
        <f t="shared" si="55"/>
        <v>0.60000002384185791</v>
      </c>
      <c r="BE12" s="31">
        <f>Ordinaria!BE12</f>
        <v>1.7999999523162842</v>
      </c>
      <c r="BF12" s="32">
        <f t="shared" si="56"/>
        <v>0.89999997615814209</v>
      </c>
      <c r="BG12" s="31">
        <f>Ordinaria!BG12</f>
        <v>0</v>
      </c>
      <c r="BH12" s="32">
        <f t="shared" si="57"/>
        <v>0</v>
      </c>
      <c r="BI12" s="31">
        <f>Ordinaria!BI12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Ordinaria!B13</f>
        <v>2</v>
      </c>
      <c r="C13" s="31">
        <f>Ordinaria!C13</f>
        <v>0</v>
      </c>
      <c r="D13" s="32">
        <f t="shared" si="29"/>
        <v>0</v>
      </c>
      <c r="E13" s="31">
        <f>Ordinaria!E13</f>
        <v>0.20000000298023224</v>
      </c>
      <c r="F13" s="32">
        <f t="shared" si="30"/>
        <v>0.10000000149011612</v>
      </c>
      <c r="G13" s="31">
        <f>Ordinaria!G13</f>
        <v>0.60000002384185791</v>
      </c>
      <c r="H13" s="32">
        <f t="shared" si="31"/>
        <v>0.30000001192092896</v>
      </c>
      <c r="I13" s="31">
        <f>Ordinaria!I13</f>
        <v>0.20000000298023224</v>
      </c>
      <c r="J13" s="32">
        <f t="shared" si="32"/>
        <v>0.10000000149011612</v>
      </c>
      <c r="K13" s="31">
        <f>Ordinaria!K13</f>
        <v>0</v>
      </c>
      <c r="L13" s="32">
        <f t="shared" si="33"/>
        <v>0</v>
      </c>
      <c r="M13" s="31">
        <f>Ordinaria!M13</f>
        <v>1</v>
      </c>
      <c r="N13" s="32">
        <f t="shared" si="34"/>
        <v>0.5</v>
      </c>
      <c r="O13" s="31">
        <f>Ordinaria!O13</f>
        <v>1.3999999761581421</v>
      </c>
      <c r="P13" s="32">
        <f t="shared" si="35"/>
        <v>0.69999998807907104</v>
      </c>
      <c r="Q13" s="31">
        <f>Ordinaria!Q13</f>
        <v>1</v>
      </c>
      <c r="R13" s="32">
        <f t="shared" si="36"/>
        <v>0.5</v>
      </c>
      <c r="S13" s="31">
        <f>Ordinaria!S13</f>
        <v>1.7999999523162842</v>
      </c>
      <c r="T13" s="32">
        <f t="shared" si="37"/>
        <v>0.89999997615814209</v>
      </c>
      <c r="U13" s="31">
        <f>Ordinaria!U13</f>
        <v>0</v>
      </c>
      <c r="V13" s="32">
        <f t="shared" si="38"/>
        <v>0</v>
      </c>
      <c r="W13" s="31">
        <f>Ordinaria!W13</f>
        <v>0.40000000596046448</v>
      </c>
      <c r="X13" s="32">
        <f t="shared" si="39"/>
        <v>0.20000000298023224</v>
      </c>
      <c r="Y13" s="31">
        <f>Ordinaria!Y13</f>
        <v>1.3999999761581421</v>
      </c>
      <c r="Z13" s="32">
        <f t="shared" si="40"/>
        <v>0.69999998807907104</v>
      </c>
      <c r="AA13" s="31">
        <f>Ordinaria!AA13</f>
        <v>0.80000001192092896</v>
      </c>
      <c r="AB13" s="32">
        <f t="shared" si="41"/>
        <v>0.40000000596046448</v>
      </c>
      <c r="AC13" s="31">
        <f>Ordinaria!AC13</f>
        <v>0.60000002384185791</v>
      </c>
      <c r="AD13" s="32">
        <f t="shared" si="42"/>
        <v>0.30000001192092896</v>
      </c>
      <c r="AE13" s="31">
        <f>Ordinaria!AE13</f>
        <v>0.20000000298023224</v>
      </c>
      <c r="AF13" s="32">
        <f t="shared" si="43"/>
        <v>0.10000000149011612</v>
      </c>
      <c r="AG13" s="31">
        <f>Ordinaria!AG13</f>
        <v>1.3999999761581421</v>
      </c>
      <c r="AH13" s="32">
        <f t="shared" si="44"/>
        <v>0.69999998807907104</v>
      </c>
      <c r="AI13" s="31">
        <f>Ordinaria!AI13</f>
        <v>2</v>
      </c>
      <c r="AJ13" s="32">
        <f t="shared" si="45"/>
        <v>1</v>
      </c>
      <c r="AK13" s="31">
        <f>Ordinaria!AK13</f>
        <v>1</v>
      </c>
      <c r="AL13" s="32">
        <f t="shared" si="46"/>
        <v>0.5</v>
      </c>
      <c r="AM13" s="31">
        <f>Ordinaria!AM13</f>
        <v>0</v>
      </c>
      <c r="AN13" s="32">
        <f t="shared" si="47"/>
        <v>0</v>
      </c>
      <c r="AO13" s="31">
        <f>Ordinaria!AO13</f>
        <v>1.6000000238418579</v>
      </c>
      <c r="AP13" s="32">
        <f t="shared" si="48"/>
        <v>0.80000001192092896</v>
      </c>
      <c r="AQ13" s="31">
        <f>Ordinaria!AQ13</f>
        <v>0.80000001192092896</v>
      </c>
      <c r="AR13" s="32">
        <f t="shared" si="49"/>
        <v>0.40000000596046448</v>
      </c>
      <c r="AS13" s="31">
        <f>Ordinaria!AS13</f>
        <v>1</v>
      </c>
      <c r="AT13" s="32">
        <f t="shared" si="50"/>
        <v>0.5</v>
      </c>
      <c r="AU13" s="31">
        <f>Ordinaria!AU13</f>
        <v>1</v>
      </c>
      <c r="AV13" s="32">
        <f t="shared" si="51"/>
        <v>0.5</v>
      </c>
      <c r="AW13" s="31">
        <f>Ordinaria!AW13</f>
        <v>0.40000000596046448</v>
      </c>
      <c r="AX13" s="32">
        <f t="shared" si="52"/>
        <v>0.20000000298023224</v>
      </c>
      <c r="AY13" s="31">
        <f>Ordinaria!AY13</f>
        <v>0.60000002384185791</v>
      </c>
      <c r="AZ13" s="32">
        <f t="shared" si="53"/>
        <v>0.30000001192092896</v>
      </c>
      <c r="BA13" s="31">
        <f>Ordinaria!BA13</f>
        <v>0.20000000298023224</v>
      </c>
      <c r="BB13" s="32">
        <f t="shared" si="54"/>
        <v>0.10000000149011612</v>
      </c>
      <c r="BC13" s="31">
        <f>Ordinaria!BC13</f>
        <v>1.2000000476837158</v>
      </c>
      <c r="BD13" s="32">
        <f t="shared" si="55"/>
        <v>0.60000002384185791</v>
      </c>
      <c r="BE13" s="31">
        <f>Ordinaria!BE13</f>
        <v>0.20000000298023224</v>
      </c>
      <c r="BF13" s="32">
        <f t="shared" si="56"/>
        <v>0.10000000149011612</v>
      </c>
      <c r="BG13" s="31">
        <f>Ordinaria!BG13</f>
        <v>2</v>
      </c>
      <c r="BH13" s="32">
        <f t="shared" si="57"/>
        <v>1</v>
      </c>
      <c r="BI13" s="31">
        <f>Ordinaria!BI13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Ordinaria!B14</f>
        <v>0</v>
      </c>
      <c r="C14" s="31">
        <f>Ordinaria!C14</f>
        <v>0</v>
      </c>
      <c r="D14" s="32">
        <f t="shared" si="29"/>
        <v>-1</v>
      </c>
      <c r="E14" s="31">
        <f>Ordinaria!E14</f>
        <v>0</v>
      </c>
      <c r="F14" s="32">
        <f t="shared" si="30"/>
        <v>-1</v>
      </c>
      <c r="G14" s="31">
        <f>Ordinaria!G14</f>
        <v>0</v>
      </c>
      <c r="H14" s="32">
        <f t="shared" si="31"/>
        <v>-1</v>
      </c>
      <c r="I14" s="31">
        <f>Ordinaria!I14</f>
        <v>0</v>
      </c>
      <c r="J14" s="32">
        <f t="shared" si="32"/>
        <v>-1</v>
      </c>
      <c r="K14" s="31">
        <f>Ordinaria!K14</f>
        <v>0</v>
      </c>
      <c r="L14" s="32">
        <f t="shared" si="33"/>
        <v>-1</v>
      </c>
      <c r="M14" s="31">
        <f>Ordinaria!M14</f>
        <v>0</v>
      </c>
      <c r="N14" s="32">
        <f t="shared" si="34"/>
        <v>-1</v>
      </c>
      <c r="O14" s="31">
        <f>Ordinaria!O14</f>
        <v>0</v>
      </c>
      <c r="P14" s="32">
        <f t="shared" si="35"/>
        <v>-1</v>
      </c>
      <c r="Q14" s="31">
        <f>Ordinaria!Q14</f>
        <v>0</v>
      </c>
      <c r="R14" s="32">
        <f t="shared" si="36"/>
        <v>-1</v>
      </c>
      <c r="S14" s="31">
        <f>Ordinaria!S14</f>
        <v>0</v>
      </c>
      <c r="T14" s="32">
        <f t="shared" si="37"/>
        <v>-1</v>
      </c>
      <c r="U14" s="31">
        <f>Ordinaria!U14</f>
        <v>0</v>
      </c>
      <c r="V14" s="32">
        <f t="shared" si="38"/>
        <v>-1</v>
      </c>
      <c r="W14" s="31">
        <f>Ordinaria!W14</f>
        <v>0</v>
      </c>
      <c r="X14" s="32">
        <f t="shared" si="39"/>
        <v>-1</v>
      </c>
      <c r="Y14" s="31">
        <f>Ordinaria!Y14</f>
        <v>0</v>
      </c>
      <c r="Z14" s="32">
        <f t="shared" si="40"/>
        <v>-1</v>
      </c>
      <c r="AA14" s="31">
        <f>Ordinaria!AA14</f>
        <v>0</v>
      </c>
      <c r="AB14" s="32">
        <f t="shared" si="41"/>
        <v>-1</v>
      </c>
      <c r="AC14" s="31">
        <f>Ordinaria!AC14</f>
        <v>0</v>
      </c>
      <c r="AD14" s="32">
        <f t="shared" si="42"/>
        <v>-1</v>
      </c>
      <c r="AE14" s="31">
        <f>Ordinaria!AE14</f>
        <v>0</v>
      </c>
      <c r="AF14" s="32">
        <f t="shared" si="43"/>
        <v>-1</v>
      </c>
      <c r="AG14" s="31">
        <f>Ordinaria!AG14</f>
        <v>0</v>
      </c>
      <c r="AH14" s="32">
        <f t="shared" si="44"/>
        <v>-1</v>
      </c>
      <c r="AI14" s="31">
        <f>Ordinaria!AI14</f>
        <v>0</v>
      </c>
      <c r="AJ14" s="32">
        <f t="shared" si="45"/>
        <v>-1</v>
      </c>
      <c r="AK14" s="31">
        <f>Ordinaria!AK14</f>
        <v>0</v>
      </c>
      <c r="AL14" s="32">
        <f t="shared" si="46"/>
        <v>-1</v>
      </c>
      <c r="AM14" s="31">
        <f>Ordinaria!AM14</f>
        <v>0</v>
      </c>
      <c r="AN14" s="32">
        <f t="shared" si="47"/>
        <v>-1</v>
      </c>
      <c r="AO14" s="31">
        <f>Ordinaria!AO14</f>
        <v>0</v>
      </c>
      <c r="AP14" s="32">
        <f t="shared" si="48"/>
        <v>-1</v>
      </c>
      <c r="AQ14" s="31">
        <f>Ordinaria!AQ14</f>
        <v>0</v>
      </c>
      <c r="AR14" s="32">
        <f t="shared" si="49"/>
        <v>-1</v>
      </c>
      <c r="AS14" s="31">
        <f>Ordinaria!AS14</f>
        <v>0</v>
      </c>
      <c r="AT14" s="32">
        <f t="shared" si="50"/>
        <v>-1</v>
      </c>
      <c r="AU14" s="31">
        <f>Ordinaria!AU14</f>
        <v>0</v>
      </c>
      <c r="AV14" s="32">
        <f t="shared" si="51"/>
        <v>-1</v>
      </c>
      <c r="AW14" s="31">
        <f>Ordinaria!AW14</f>
        <v>0</v>
      </c>
      <c r="AX14" s="32">
        <f t="shared" si="52"/>
        <v>-1</v>
      </c>
      <c r="AY14" s="31">
        <f>Ordinaria!AY14</f>
        <v>0</v>
      </c>
      <c r="AZ14" s="32">
        <f t="shared" si="53"/>
        <v>-1</v>
      </c>
      <c r="BA14" s="31">
        <f>Ordinaria!BA14</f>
        <v>0</v>
      </c>
      <c r="BB14" s="32">
        <f t="shared" si="54"/>
        <v>-1</v>
      </c>
      <c r="BC14" s="31">
        <f>Ordinaria!BC14</f>
        <v>0</v>
      </c>
      <c r="BD14" s="32">
        <f t="shared" si="55"/>
        <v>-1</v>
      </c>
      <c r="BE14" s="31">
        <f>Ordinaria!BE14</f>
        <v>0</v>
      </c>
      <c r="BF14" s="32">
        <f t="shared" si="56"/>
        <v>-1</v>
      </c>
      <c r="BG14" s="31">
        <f>Ordinaria!BG14</f>
        <v>0</v>
      </c>
      <c r="BH14" s="32">
        <f t="shared" si="57"/>
        <v>-1</v>
      </c>
      <c r="BI14" s="31">
        <f>Ordinaria!BI14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Ordinaria!B15</f>
        <v>0</v>
      </c>
      <c r="C15" s="31">
        <f>Ordinaria!C15</f>
        <v>0</v>
      </c>
      <c r="D15" s="32">
        <f t="shared" si="29"/>
        <v>-1</v>
      </c>
      <c r="E15" s="31">
        <f>Ordinaria!E15</f>
        <v>0</v>
      </c>
      <c r="F15" s="32">
        <f t="shared" si="30"/>
        <v>-1</v>
      </c>
      <c r="G15" s="31">
        <f>Ordinaria!G15</f>
        <v>0</v>
      </c>
      <c r="H15" s="32">
        <f t="shared" si="31"/>
        <v>-1</v>
      </c>
      <c r="I15" s="31">
        <f>Ordinaria!I15</f>
        <v>0</v>
      </c>
      <c r="J15" s="32">
        <f t="shared" si="32"/>
        <v>-1</v>
      </c>
      <c r="K15" s="31">
        <f>Ordinaria!K15</f>
        <v>0</v>
      </c>
      <c r="L15" s="32">
        <f t="shared" si="33"/>
        <v>-1</v>
      </c>
      <c r="M15" s="31">
        <f>Ordinaria!M15</f>
        <v>0</v>
      </c>
      <c r="N15" s="32">
        <f t="shared" si="34"/>
        <v>-1</v>
      </c>
      <c r="O15" s="31">
        <f>Ordinaria!O15</f>
        <v>0</v>
      </c>
      <c r="P15" s="32">
        <f t="shared" si="35"/>
        <v>-1</v>
      </c>
      <c r="Q15" s="31">
        <f>Ordinaria!Q15</f>
        <v>0</v>
      </c>
      <c r="R15" s="32">
        <f t="shared" si="36"/>
        <v>-1</v>
      </c>
      <c r="S15" s="31">
        <f>Ordinaria!S15</f>
        <v>0</v>
      </c>
      <c r="T15" s="32">
        <f t="shared" si="37"/>
        <v>-1</v>
      </c>
      <c r="U15" s="31">
        <f>Ordinaria!U15</f>
        <v>0</v>
      </c>
      <c r="V15" s="32">
        <f t="shared" si="38"/>
        <v>-1</v>
      </c>
      <c r="W15" s="31">
        <f>Ordinaria!W15</f>
        <v>0</v>
      </c>
      <c r="X15" s="32">
        <f t="shared" si="39"/>
        <v>-1</v>
      </c>
      <c r="Y15" s="31">
        <f>Ordinaria!Y15</f>
        <v>0</v>
      </c>
      <c r="Z15" s="32">
        <f t="shared" si="40"/>
        <v>-1</v>
      </c>
      <c r="AA15" s="31">
        <f>Ordinaria!AA15</f>
        <v>0</v>
      </c>
      <c r="AB15" s="32">
        <f t="shared" si="41"/>
        <v>-1</v>
      </c>
      <c r="AC15" s="31">
        <f>Ordinaria!AC15</f>
        <v>0</v>
      </c>
      <c r="AD15" s="32">
        <f t="shared" si="42"/>
        <v>-1</v>
      </c>
      <c r="AE15" s="31">
        <f>Ordinaria!AE15</f>
        <v>0</v>
      </c>
      <c r="AF15" s="32">
        <f t="shared" si="43"/>
        <v>-1</v>
      </c>
      <c r="AG15" s="31">
        <f>Ordinaria!AG15</f>
        <v>0</v>
      </c>
      <c r="AH15" s="32">
        <f t="shared" si="44"/>
        <v>-1</v>
      </c>
      <c r="AI15" s="31">
        <f>Ordinaria!AI15</f>
        <v>0</v>
      </c>
      <c r="AJ15" s="32">
        <f t="shared" si="45"/>
        <v>-1</v>
      </c>
      <c r="AK15" s="31">
        <f>Ordinaria!AK15</f>
        <v>0</v>
      </c>
      <c r="AL15" s="32">
        <f t="shared" si="46"/>
        <v>-1</v>
      </c>
      <c r="AM15" s="31">
        <f>Ordinaria!AM15</f>
        <v>0</v>
      </c>
      <c r="AN15" s="32">
        <f t="shared" si="47"/>
        <v>-1</v>
      </c>
      <c r="AO15" s="31">
        <f>Ordinaria!AO15</f>
        <v>0</v>
      </c>
      <c r="AP15" s="32">
        <f t="shared" si="48"/>
        <v>-1</v>
      </c>
      <c r="AQ15" s="31">
        <f>Ordinaria!AQ15</f>
        <v>0</v>
      </c>
      <c r="AR15" s="32">
        <f t="shared" si="49"/>
        <v>-1</v>
      </c>
      <c r="AS15" s="31">
        <f>Ordinaria!AS15</f>
        <v>0</v>
      </c>
      <c r="AT15" s="32">
        <f t="shared" si="50"/>
        <v>-1</v>
      </c>
      <c r="AU15" s="31">
        <f>Ordinaria!AU15</f>
        <v>0</v>
      </c>
      <c r="AV15" s="32">
        <f t="shared" si="51"/>
        <v>-1</v>
      </c>
      <c r="AW15" s="31">
        <f>Ordinaria!AW15</f>
        <v>0</v>
      </c>
      <c r="AX15" s="32">
        <f t="shared" si="52"/>
        <v>-1</v>
      </c>
      <c r="AY15" s="31">
        <f>Ordinaria!AY15</f>
        <v>0</v>
      </c>
      <c r="AZ15" s="32">
        <f t="shared" si="53"/>
        <v>-1</v>
      </c>
      <c r="BA15" s="31">
        <f>Ordinaria!BA15</f>
        <v>0</v>
      </c>
      <c r="BB15" s="32">
        <f t="shared" si="54"/>
        <v>-1</v>
      </c>
      <c r="BC15" s="31">
        <f>Ordinaria!BC15</f>
        <v>0</v>
      </c>
      <c r="BD15" s="32">
        <f t="shared" si="55"/>
        <v>-1</v>
      </c>
      <c r="BE15" s="31">
        <f>Ordinaria!BE15</f>
        <v>0</v>
      </c>
      <c r="BF15" s="32">
        <f t="shared" si="56"/>
        <v>-1</v>
      </c>
      <c r="BG15" s="31">
        <f>Ordinaria!BG15</f>
        <v>0</v>
      </c>
      <c r="BH15" s="32">
        <f t="shared" si="57"/>
        <v>-1</v>
      </c>
      <c r="BI15" s="31">
        <f>Ordinaria!BI15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8">
        <f>IF(SUM($B17:$B37)&lt;&gt;0,SUM(C17:C37)/SUM($B17:$B37)*$B16*10, "")</f>
        <v>1.5599999986588955</v>
      </c>
      <c r="D16" s="58"/>
      <c r="E16" s="58">
        <f>IF(SUM($B17:$B37)&lt;&gt;0,SUM(E17:E37)/SUM($B17:$B37)*$B16*10, "")</f>
        <v>1.4925000071525574</v>
      </c>
      <c r="F16" s="58"/>
      <c r="G16" s="58">
        <f>IF(SUM($B17:$B37)&lt;&gt;0,SUM(G17:G37)/SUM($B17:$B37)*$B16*10, "")</f>
        <v>1.1100000053644181</v>
      </c>
      <c r="H16" s="58"/>
      <c r="I16" s="58">
        <f>IF(SUM($B17:$B37)&lt;&gt;0,SUM(I17:I37)/SUM($B17:$B37)*$B16*10, "")</f>
        <v>1.8075000056996939</v>
      </c>
      <c r="J16" s="58"/>
      <c r="K16" s="58">
        <f>IF(SUM($B17:$B37)&lt;&gt;0,SUM(K17:K37)/SUM($B17:$B37)*$B16*10, "")</f>
        <v>1.575</v>
      </c>
      <c r="L16" s="58"/>
      <c r="M16" s="58">
        <f>IF(SUM($B17:$B37)&lt;&gt;0,SUM(M17:M37)/SUM($B17:$B37)*$B16*10, "")</f>
        <v>1.7025000113993884</v>
      </c>
      <c r="N16" s="58"/>
      <c r="O16" s="58">
        <f>IF(SUM($B17:$B37)&lt;&gt;0,SUM(O17:O37)/SUM($B17:$B37)*$B16*10, "")</f>
        <v>2.1150000069290398</v>
      </c>
      <c r="P16" s="58"/>
      <c r="Q16" s="58">
        <f>IF(SUM($B17:$B37)&lt;&gt;0,SUM(Q17:Q37)/SUM($B17:$B37)*$B16*10, "")</f>
        <v>1.2375000173225998</v>
      </c>
      <c r="R16" s="58"/>
      <c r="S16" s="58">
        <f>IF(SUM($B17:$B37)&lt;&gt;0,SUM(S17:S37)/SUM($B17:$B37)*$B16*10, "")</f>
        <v>1.4099999930709601</v>
      </c>
      <c r="T16" s="58"/>
      <c r="U16" s="58">
        <f>IF(SUM($B17:$B37)&lt;&gt;0,SUM(U17:U37)/SUM($B17:$B37)*$B16*10, "")</f>
        <v>1.7099999941885471</v>
      </c>
      <c r="V16" s="58"/>
      <c r="W16" s="58">
        <f>IF(SUM($B17:$B37)&lt;&gt;0,SUM(W17:W37)/SUM($B17:$B37)*$B16*10, "")</f>
        <v>1.2000000156462192</v>
      </c>
      <c r="X16" s="58"/>
      <c r="Y16" s="58">
        <f>IF(SUM($B17:$B37)&lt;&gt;0,SUM(Y17:Y37)/SUM($B17:$B37)*$B16*10, "")</f>
        <v>1.732500010728836</v>
      </c>
      <c r="Z16" s="58"/>
      <c r="AA16" s="58">
        <f>IF(SUM($B17:$B37)&lt;&gt;0,SUM(AA17:AA37)/SUM($B17:$B37)*$B16*10, "")</f>
        <v>1.4025000169873236</v>
      </c>
      <c r="AB16" s="58"/>
      <c r="AC16" s="58">
        <f>IF(SUM($B17:$B37)&lt;&gt;0,SUM(AC17:AC37)/SUM($B17:$B37)*$B16*10, "")</f>
        <v>1.2825000040233134</v>
      </c>
      <c r="AD16" s="58"/>
      <c r="AE16" s="58">
        <f>IF(SUM($B17:$B37)&lt;&gt;0,SUM(AE17:AE37)/SUM($B17:$B37)*$B16*10, "")</f>
        <v>1.6875000189989802</v>
      </c>
      <c r="AF16" s="58"/>
      <c r="AG16" s="58">
        <f>IF(SUM($B17:$B37)&lt;&gt;0,SUM(AG17:AG37)/SUM($B17:$B37)*$B16*10, "")</f>
        <v>1.2150000035762787</v>
      </c>
      <c r="AH16" s="58"/>
      <c r="AI16" s="58">
        <f>IF(SUM($B17:$B37)&lt;&gt;0,SUM(AI17:AI37)/SUM($B17:$B37)*$B16*10, "")</f>
        <v>1.3125000067055224</v>
      </c>
      <c r="AJ16" s="58"/>
      <c r="AK16" s="58">
        <f>IF(SUM($B17:$B37)&lt;&gt;0,SUM(AK17:AK37)/SUM($B17:$B37)*$B16*10, "")</f>
        <v>1.6350000154227018</v>
      </c>
      <c r="AL16" s="58"/>
      <c r="AM16" s="58">
        <f>IF(SUM($B17:$B37)&lt;&gt;0,SUM(AM17:AM37)/SUM($B17:$B37)*$B16*10, "")</f>
        <v>1.3200000286102296</v>
      </c>
      <c r="AN16" s="58"/>
      <c r="AO16" s="58">
        <f>IF(SUM($B17:$B37)&lt;&gt;0,SUM(AO17:AO37)/SUM($B17:$B37)*$B16*10, "")</f>
        <v>1.3950000118464232</v>
      </c>
      <c r="AP16" s="58"/>
      <c r="AQ16" s="58">
        <f>IF(SUM($B17:$B37)&lt;&gt;0,SUM(AQ17:AQ37)/SUM($B17:$B37)*$B16*10, "")</f>
        <v>1.8675000127404928</v>
      </c>
      <c r="AR16" s="58"/>
      <c r="AS16" s="58">
        <f>IF(SUM($B17:$B37)&lt;&gt;0,SUM(AS17:AS37)/SUM($B17:$B37)*$B16*10, "")</f>
        <v>1.6950000084936621</v>
      </c>
      <c r="AT16" s="58"/>
      <c r="AU16" s="58">
        <f>IF(SUM($B17:$B37)&lt;&gt;0,SUM(AU17:AU37)/SUM($B17:$B37)*$B16*10, "")</f>
        <v>1.3425000037997961</v>
      </c>
      <c r="AV16" s="58"/>
      <c r="AW16" s="58">
        <f>IF(SUM($B17:$B37)&lt;&gt;0,SUM(AW17:AW37)/SUM($B17:$B37)*$B16*10, "")</f>
        <v>1.1400000119581817</v>
      </c>
      <c r="AX16" s="58"/>
      <c r="AY16" s="58">
        <f>IF(SUM($B17:$B37)&lt;&gt;0,SUM(AY17:AY37)/SUM($B17:$B37)*$B16*10, "")</f>
        <v>1.5375000067055224</v>
      </c>
      <c r="AZ16" s="58"/>
      <c r="BA16" s="58">
        <f>IF(SUM($B17:$B37)&lt;&gt;0,SUM(BA17:BA37)/SUM($B17:$B37)*$B16*10, "")</f>
        <v>1.3275000125169754</v>
      </c>
      <c r="BB16" s="58"/>
      <c r="BC16" s="58">
        <f>IF(SUM($B17:$B37)&lt;&gt;0,SUM(BC17:BC37)/SUM($B17:$B37)*$B16*10, "")</f>
        <v>1.7100000143051144</v>
      </c>
      <c r="BD16" s="58"/>
      <c r="BE16" s="58">
        <f>IF(SUM($B17:$B37)&lt;&gt;0,SUM(BE17:BE37)/SUM($B17:$B37)*$B16*10, "")</f>
        <v>1.1924999915063381</v>
      </c>
      <c r="BF16" s="58"/>
      <c r="BG16" s="58">
        <f>IF(SUM($B17:$B37)&lt;&gt;0,SUM(BG17:BG37)/SUM($B17:$B37)*$B16*10, "")</f>
        <v>1.6350000008940695</v>
      </c>
      <c r="BH16" s="58"/>
      <c r="BI16" s="58">
        <f>IF(SUM($B17:$B37)&lt;&gt;0,SUM(BI17:BI37)/SUM($B17:$B37)*$B16*10, "")</f>
        <v>0.9300000099465251</v>
      </c>
      <c r="BJ16" s="58"/>
    </row>
    <row r="17" spans="1:62" ht="42" x14ac:dyDescent="0.2">
      <c r="A17" s="2" t="s">
        <v>18</v>
      </c>
      <c r="B17" s="13">
        <f>Ordinaria!B17</f>
        <v>1.5</v>
      </c>
      <c r="C17" s="31">
        <f>Ordinaria!C17</f>
        <v>0.60000000894069672</v>
      </c>
      <c r="D17" s="32">
        <f t="shared" ref="D17:D37" si="59">IF($B17,C17/$B17,-1)</f>
        <v>0.40000000596046448</v>
      </c>
      <c r="E17" s="31">
        <f>Ordinaria!E17</f>
        <v>0.45000001788139343</v>
      </c>
      <c r="F17" s="32">
        <f t="shared" ref="F17:F37" si="60">IF($B17,E17/$B17,-1)</f>
        <v>0.30000001192092896</v>
      </c>
      <c r="G17" s="31">
        <f>Ordinaria!G17</f>
        <v>1.3499999642372131</v>
      </c>
      <c r="H17" s="32">
        <f t="shared" ref="H17:H37" si="61">IF($B17,G17/$B17,-1)</f>
        <v>0.89999997615814209</v>
      </c>
      <c r="I17" s="31">
        <f>Ordinaria!I17</f>
        <v>1.2000000178813934</v>
      </c>
      <c r="J17" s="32">
        <f t="shared" ref="J17:J37" si="62">IF($B17,I17/$B17,-1)</f>
        <v>0.80000001192092896</v>
      </c>
      <c r="K17" s="31">
        <f>Ordinaria!K17</f>
        <v>0.45000001788139343</v>
      </c>
      <c r="L17" s="32">
        <f t="shared" ref="L17:L37" si="63">IF($B17,K17/$B17,-1)</f>
        <v>0.30000001192092896</v>
      </c>
      <c r="M17" s="31">
        <f>Ordinaria!M17</f>
        <v>1.0499999821186066</v>
      </c>
      <c r="N17" s="32">
        <f t="shared" ref="N17:N37" si="64">IF($B17,M17/$B17,-1)</f>
        <v>0.69999998807907104</v>
      </c>
      <c r="O17" s="31">
        <f>Ordinaria!O17</f>
        <v>0.30000000447034836</v>
      </c>
      <c r="P17" s="32">
        <f t="shared" ref="P17:P37" si="65">IF($B17,O17/$B17,-1)</f>
        <v>0.20000000298023224</v>
      </c>
      <c r="Q17" s="31">
        <f>Ordinaria!Q17</f>
        <v>0</v>
      </c>
      <c r="R17" s="32">
        <f t="shared" ref="R17:R37" si="66">IF($B17,Q17/$B17,-1)</f>
        <v>0</v>
      </c>
      <c r="S17" s="31">
        <f>Ordinaria!S17</f>
        <v>0</v>
      </c>
      <c r="T17" s="32">
        <f t="shared" ref="T17:T37" si="67">IF($B17,S17/$B17,-1)</f>
        <v>0</v>
      </c>
      <c r="U17" s="31">
        <f>Ordinaria!U17</f>
        <v>0.45000001788139343</v>
      </c>
      <c r="V17" s="32">
        <f t="shared" ref="V17:V37" si="68">IF($B17,U17/$B17,-1)</f>
        <v>0.30000001192092896</v>
      </c>
      <c r="W17" s="31">
        <f>Ordinaria!W17</f>
        <v>1.2000000178813934</v>
      </c>
      <c r="X17" s="32">
        <f t="shared" ref="X17:X37" si="69">IF($B17,W17/$B17,-1)</f>
        <v>0.80000001192092896</v>
      </c>
      <c r="Y17" s="31">
        <f>Ordinaria!Y17</f>
        <v>0.45000001788139343</v>
      </c>
      <c r="Z17" s="32">
        <f t="shared" ref="Z17:Z37" si="70">IF($B17,Y17/$B17,-1)</f>
        <v>0.30000001192092896</v>
      </c>
      <c r="AA17" s="31">
        <f>Ordinaria!AA17</f>
        <v>0.30000000447034836</v>
      </c>
      <c r="AB17" s="32">
        <f t="shared" ref="AB17:AB37" si="71">IF($B17,AA17/$B17,-1)</f>
        <v>0.20000000298023224</v>
      </c>
      <c r="AC17" s="31">
        <f>Ordinaria!AC17</f>
        <v>0.75</v>
      </c>
      <c r="AD17" s="32">
        <f t="shared" ref="AD17:AD37" si="72">IF($B17,AC17/$B17,-1)</f>
        <v>0.5</v>
      </c>
      <c r="AE17" s="31">
        <f>Ordinaria!AE17</f>
        <v>0.30000000447034836</v>
      </c>
      <c r="AF17" s="32">
        <f t="shared" ref="AF17:AF37" si="73">IF($B17,AE17/$B17,-1)</f>
        <v>0.20000000298023224</v>
      </c>
      <c r="AG17" s="31">
        <f>Ordinaria!AG17</f>
        <v>0.45000001788139343</v>
      </c>
      <c r="AH17" s="32">
        <f t="shared" ref="AH17:AH37" si="74">IF($B17,AG17/$B17,-1)</f>
        <v>0.30000001192092896</v>
      </c>
      <c r="AI17" s="31">
        <f>Ordinaria!AI17</f>
        <v>0</v>
      </c>
      <c r="AJ17" s="32">
        <f t="shared" ref="AJ17:AJ37" si="75">IF($B17,AI17/$B17,-1)</f>
        <v>0</v>
      </c>
      <c r="AK17" s="31">
        <f>Ordinaria!AK17</f>
        <v>0.75</v>
      </c>
      <c r="AL17" s="32">
        <f t="shared" ref="AL17:AL37" si="76">IF($B17,AK17/$B17,-1)</f>
        <v>0.5</v>
      </c>
      <c r="AM17" s="31">
        <f>Ordinaria!AM17</f>
        <v>0.30000000447034836</v>
      </c>
      <c r="AN17" s="32">
        <f t="shared" ref="AN17:AN37" si="77">IF($B17,AM17/$B17,-1)</f>
        <v>0.20000000298023224</v>
      </c>
      <c r="AO17" s="31">
        <f>Ordinaria!AO17</f>
        <v>1.3499999642372131</v>
      </c>
      <c r="AP17" s="32">
        <f t="shared" ref="AP17:AP37" si="78">IF($B17,AO17/$B17,-1)</f>
        <v>0.89999997615814209</v>
      </c>
      <c r="AQ17" s="31">
        <f>Ordinaria!AQ17</f>
        <v>0.90000003576278687</v>
      </c>
      <c r="AR17" s="32">
        <f t="shared" ref="AR17:AR37" si="79">IF($B17,AQ17/$B17,-1)</f>
        <v>0.60000002384185791</v>
      </c>
      <c r="AS17" s="31">
        <f>Ordinaria!AS17</f>
        <v>1.2000000178813934</v>
      </c>
      <c r="AT17" s="32">
        <f t="shared" ref="AT17:AT37" si="80">IF($B17,AS17/$B17,-1)</f>
        <v>0.80000001192092896</v>
      </c>
      <c r="AU17" s="31">
        <f>Ordinaria!AU17</f>
        <v>1.5</v>
      </c>
      <c r="AV17" s="32">
        <f t="shared" ref="AV17:AV37" si="81">IF($B17,AU17/$B17,-1)</f>
        <v>1</v>
      </c>
      <c r="AW17" s="31">
        <f>Ordinaria!AW17</f>
        <v>0.45000001788139343</v>
      </c>
      <c r="AX17" s="32">
        <f t="shared" ref="AX17:AX37" si="82">IF($B17,AW17/$B17,-1)</f>
        <v>0.30000001192092896</v>
      </c>
      <c r="AY17" s="31">
        <f>Ordinaria!AY17</f>
        <v>0.75</v>
      </c>
      <c r="AZ17" s="32">
        <f t="shared" ref="AZ17:AZ37" si="83">IF($B17,AY17/$B17,-1)</f>
        <v>0.5</v>
      </c>
      <c r="BA17" s="31">
        <f>Ordinaria!BA17</f>
        <v>0</v>
      </c>
      <c r="BB17" s="32">
        <f t="shared" ref="BB17:BB37" si="84">IF($B17,BA17/$B17,-1)</f>
        <v>0</v>
      </c>
      <c r="BC17" s="31">
        <f>Ordinaria!BC17</f>
        <v>0.90000003576278687</v>
      </c>
      <c r="BD17" s="32">
        <f t="shared" ref="BD17:BD37" si="85">IF($B17,BC17/$B17,-1)</f>
        <v>0.60000002384185791</v>
      </c>
      <c r="BE17" s="31">
        <f>Ordinaria!BE17</f>
        <v>0.60000000894069672</v>
      </c>
      <c r="BF17" s="32">
        <f t="shared" ref="BF17:BF37" si="86">IF($B17,BE17/$B17,-1)</f>
        <v>0.40000000596046448</v>
      </c>
      <c r="BG17" s="31">
        <f>Ordinaria!BG17</f>
        <v>1.5</v>
      </c>
      <c r="BH17" s="32">
        <f t="shared" ref="BH17:BH37" si="87">IF($B17,BG17/$B17,-1)</f>
        <v>1</v>
      </c>
      <c r="BI17" s="31">
        <f>Ordinaria!BI17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Ordinaria!B18</f>
        <v>1.5</v>
      </c>
      <c r="C18" s="31">
        <f>Ordinaria!C18</f>
        <v>1.5</v>
      </c>
      <c r="D18" s="32">
        <f t="shared" si="59"/>
        <v>1</v>
      </c>
      <c r="E18" s="31">
        <f>Ordinaria!E18</f>
        <v>0.90000003576278687</v>
      </c>
      <c r="F18" s="32">
        <f t="shared" si="60"/>
        <v>0.60000002384185791</v>
      </c>
      <c r="G18" s="31">
        <f>Ordinaria!G18</f>
        <v>0.45000001788139343</v>
      </c>
      <c r="H18" s="32">
        <f t="shared" si="61"/>
        <v>0.30000001192092896</v>
      </c>
      <c r="I18" s="31">
        <f>Ordinaria!I18</f>
        <v>0.15000000223517418</v>
      </c>
      <c r="J18" s="32">
        <f t="shared" si="62"/>
        <v>0.10000000149011612</v>
      </c>
      <c r="K18" s="31">
        <f>Ordinaria!K18</f>
        <v>0.75</v>
      </c>
      <c r="L18" s="32">
        <f t="shared" si="63"/>
        <v>0.5</v>
      </c>
      <c r="M18" s="31">
        <f>Ordinaria!M18</f>
        <v>0.30000000447034836</v>
      </c>
      <c r="N18" s="32">
        <f t="shared" si="64"/>
        <v>0.20000000298023224</v>
      </c>
      <c r="O18" s="31">
        <f>Ordinaria!O18</f>
        <v>1.5</v>
      </c>
      <c r="P18" s="32">
        <f t="shared" si="65"/>
        <v>1</v>
      </c>
      <c r="Q18" s="31">
        <f>Ordinaria!Q18</f>
        <v>0.15000000223517418</v>
      </c>
      <c r="R18" s="32">
        <f t="shared" si="66"/>
        <v>0.10000000149011612</v>
      </c>
      <c r="S18" s="31">
        <f>Ordinaria!S18</f>
        <v>0</v>
      </c>
      <c r="T18" s="32">
        <f t="shared" si="67"/>
        <v>0</v>
      </c>
      <c r="U18" s="31">
        <f>Ordinaria!U18</f>
        <v>0.45000001788139343</v>
      </c>
      <c r="V18" s="32">
        <f t="shared" si="68"/>
        <v>0.30000001192092896</v>
      </c>
      <c r="W18" s="31">
        <f>Ordinaria!W18</f>
        <v>0.90000003576278687</v>
      </c>
      <c r="X18" s="32">
        <f t="shared" si="69"/>
        <v>0.60000002384185791</v>
      </c>
      <c r="Y18" s="31">
        <f>Ordinaria!Y18</f>
        <v>1.5</v>
      </c>
      <c r="Z18" s="32">
        <f t="shared" si="70"/>
        <v>1</v>
      </c>
      <c r="AA18" s="31">
        <f>Ordinaria!AA18</f>
        <v>0.75</v>
      </c>
      <c r="AB18" s="32">
        <f t="shared" si="71"/>
        <v>0.5</v>
      </c>
      <c r="AC18" s="31">
        <f>Ordinaria!AC18</f>
        <v>0.60000000894069672</v>
      </c>
      <c r="AD18" s="32">
        <f t="shared" si="72"/>
        <v>0.40000000596046448</v>
      </c>
      <c r="AE18" s="31">
        <f>Ordinaria!AE18</f>
        <v>1.3499999642372131</v>
      </c>
      <c r="AF18" s="32">
        <f t="shared" si="73"/>
        <v>0.89999997615814209</v>
      </c>
      <c r="AG18" s="31">
        <f>Ordinaria!AG18</f>
        <v>1.3499999642372131</v>
      </c>
      <c r="AH18" s="32">
        <f t="shared" si="74"/>
        <v>0.89999997615814209</v>
      </c>
      <c r="AI18" s="31">
        <f>Ordinaria!AI18</f>
        <v>1.0499999821186066</v>
      </c>
      <c r="AJ18" s="32">
        <f t="shared" si="75"/>
        <v>0.69999998807907104</v>
      </c>
      <c r="AK18" s="31">
        <f>Ordinaria!AK18</f>
        <v>1.0499999821186066</v>
      </c>
      <c r="AL18" s="32">
        <f t="shared" si="76"/>
        <v>0.69999998807907104</v>
      </c>
      <c r="AM18" s="31">
        <f>Ordinaria!AM18</f>
        <v>1.5</v>
      </c>
      <c r="AN18" s="32">
        <f t="shared" si="77"/>
        <v>1</v>
      </c>
      <c r="AO18" s="31">
        <f>Ordinaria!AO18</f>
        <v>0.45000001788139343</v>
      </c>
      <c r="AP18" s="32">
        <f t="shared" si="78"/>
        <v>0.30000001192092896</v>
      </c>
      <c r="AQ18" s="31">
        <f>Ordinaria!AQ18</f>
        <v>0.75</v>
      </c>
      <c r="AR18" s="32">
        <f t="shared" si="79"/>
        <v>0.5</v>
      </c>
      <c r="AS18" s="31">
        <f>Ordinaria!AS18</f>
        <v>0.60000000894069672</v>
      </c>
      <c r="AT18" s="32">
        <f t="shared" si="80"/>
        <v>0.40000000596046448</v>
      </c>
      <c r="AU18" s="31">
        <f>Ordinaria!AU18</f>
        <v>1.0499999821186066</v>
      </c>
      <c r="AV18" s="32">
        <f t="shared" si="81"/>
        <v>0.69999998807907104</v>
      </c>
      <c r="AW18" s="31">
        <f>Ordinaria!AW18</f>
        <v>0.15000000223517418</v>
      </c>
      <c r="AX18" s="32">
        <f t="shared" si="82"/>
        <v>0.10000000149011612</v>
      </c>
      <c r="AY18" s="31">
        <f>Ordinaria!AY18</f>
        <v>0.60000000894069672</v>
      </c>
      <c r="AZ18" s="32">
        <f t="shared" si="83"/>
        <v>0.40000000596046448</v>
      </c>
      <c r="BA18" s="31">
        <f>Ordinaria!BA18</f>
        <v>0.75</v>
      </c>
      <c r="BB18" s="32">
        <f t="shared" si="84"/>
        <v>0.5</v>
      </c>
      <c r="BC18" s="31">
        <f>Ordinaria!BC18</f>
        <v>1.2000000178813934</v>
      </c>
      <c r="BD18" s="32">
        <f t="shared" si="85"/>
        <v>0.80000001192092896</v>
      </c>
      <c r="BE18" s="31">
        <f>Ordinaria!BE18</f>
        <v>0.75</v>
      </c>
      <c r="BF18" s="32">
        <f t="shared" si="86"/>
        <v>0.5</v>
      </c>
      <c r="BG18" s="31">
        <f>Ordinaria!BG18</f>
        <v>0.60000000894069672</v>
      </c>
      <c r="BH18" s="32">
        <f t="shared" si="87"/>
        <v>0.40000000596046448</v>
      </c>
      <c r="BI18" s="31">
        <f>Ordinaria!BI18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Ordinaria!B19</f>
        <v>1</v>
      </c>
      <c r="C19" s="31">
        <f>Ordinaria!C19</f>
        <v>0.20000000298023224</v>
      </c>
      <c r="D19" s="32">
        <f t="shared" si="59"/>
        <v>0.20000000298023224</v>
      </c>
      <c r="E19" s="31">
        <f>Ordinaria!E19</f>
        <v>0.60000002384185791</v>
      </c>
      <c r="F19" s="32">
        <f t="shared" si="60"/>
        <v>0.60000002384185791</v>
      </c>
      <c r="G19" s="31">
        <f>Ordinaria!G19</f>
        <v>0.5</v>
      </c>
      <c r="H19" s="32">
        <f t="shared" si="61"/>
        <v>0.5</v>
      </c>
      <c r="I19" s="31">
        <f>Ordinaria!I19</f>
        <v>0.69999998807907104</v>
      </c>
      <c r="J19" s="32">
        <f t="shared" si="62"/>
        <v>0.69999998807907104</v>
      </c>
      <c r="K19" s="31">
        <f>Ordinaria!K19</f>
        <v>0.89999997615814209</v>
      </c>
      <c r="L19" s="32">
        <f t="shared" si="63"/>
        <v>0.89999997615814209</v>
      </c>
      <c r="M19" s="31">
        <f>Ordinaria!M19</f>
        <v>0.40000000596046448</v>
      </c>
      <c r="N19" s="32">
        <f t="shared" si="64"/>
        <v>0.40000000596046448</v>
      </c>
      <c r="O19" s="31">
        <f>Ordinaria!O19</f>
        <v>0.30000001192092896</v>
      </c>
      <c r="P19" s="32">
        <f t="shared" si="65"/>
        <v>0.30000001192092896</v>
      </c>
      <c r="Q19" s="31">
        <f>Ordinaria!Q19</f>
        <v>0.30000001192092896</v>
      </c>
      <c r="R19" s="32">
        <f t="shared" si="66"/>
        <v>0.30000001192092896</v>
      </c>
      <c r="S19" s="31">
        <f>Ordinaria!S19</f>
        <v>0.10000000149011612</v>
      </c>
      <c r="T19" s="32">
        <f t="shared" si="67"/>
        <v>0.10000000149011612</v>
      </c>
      <c r="U19" s="31">
        <f>Ordinaria!U19</f>
        <v>0.5</v>
      </c>
      <c r="V19" s="32">
        <f t="shared" si="68"/>
        <v>0.5</v>
      </c>
      <c r="W19" s="31">
        <f>Ordinaria!W19</f>
        <v>0.20000000298023224</v>
      </c>
      <c r="X19" s="32">
        <f t="shared" si="69"/>
        <v>0.20000000298023224</v>
      </c>
      <c r="Y19" s="31">
        <f>Ordinaria!Y19</f>
        <v>0.60000002384185791</v>
      </c>
      <c r="Z19" s="32">
        <f t="shared" si="70"/>
        <v>0.60000002384185791</v>
      </c>
      <c r="AA19" s="31">
        <f>Ordinaria!AA19</f>
        <v>0.30000001192092896</v>
      </c>
      <c r="AB19" s="32">
        <f t="shared" si="71"/>
        <v>0.30000001192092896</v>
      </c>
      <c r="AC19" s="31">
        <f>Ordinaria!AC19</f>
        <v>0.89999997615814209</v>
      </c>
      <c r="AD19" s="32">
        <f t="shared" si="72"/>
        <v>0.89999997615814209</v>
      </c>
      <c r="AE19" s="31">
        <f>Ordinaria!AE19</f>
        <v>0.5</v>
      </c>
      <c r="AF19" s="32">
        <f t="shared" si="73"/>
        <v>0.5</v>
      </c>
      <c r="AG19" s="31">
        <f>Ordinaria!AG19</f>
        <v>0.20000000298023224</v>
      </c>
      <c r="AH19" s="32">
        <f t="shared" si="74"/>
        <v>0.20000000298023224</v>
      </c>
      <c r="AI19" s="31">
        <f>Ordinaria!AI19</f>
        <v>0.69999998807907104</v>
      </c>
      <c r="AJ19" s="32">
        <f t="shared" si="75"/>
        <v>0.69999998807907104</v>
      </c>
      <c r="AK19" s="31">
        <f>Ordinaria!AK19</f>
        <v>0.80000001192092896</v>
      </c>
      <c r="AL19" s="32">
        <f t="shared" si="76"/>
        <v>0.80000001192092896</v>
      </c>
      <c r="AM19" s="31">
        <f>Ordinaria!AM19</f>
        <v>0.60000002384185791</v>
      </c>
      <c r="AN19" s="32">
        <f t="shared" si="77"/>
        <v>0.60000002384185791</v>
      </c>
      <c r="AO19" s="31">
        <f>Ordinaria!AO19</f>
        <v>0.80000001192092896</v>
      </c>
      <c r="AP19" s="32">
        <f t="shared" si="78"/>
        <v>0.80000001192092896</v>
      </c>
      <c r="AQ19" s="31">
        <f>Ordinaria!AQ19</f>
        <v>0.10000000149011612</v>
      </c>
      <c r="AR19" s="32">
        <f t="shared" si="79"/>
        <v>0.10000000149011612</v>
      </c>
      <c r="AS19" s="31">
        <f>Ordinaria!AS19</f>
        <v>0.80000001192092896</v>
      </c>
      <c r="AT19" s="32">
        <f t="shared" si="80"/>
        <v>0.80000001192092896</v>
      </c>
      <c r="AU19" s="31">
        <f>Ordinaria!AU19</f>
        <v>0.20000000298023224</v>
      </c>
      <c r="AV19" s="32">
        <f t="shared" si="81"/>
        <v>0.20000000298023224</v>
      </c>
      <c r="AW19" s="31">
        <f>Ordinaria!AW19</f>
        <v>1</v>
      </c>
      <c r="AX19" s="32">
        <f t="shared" si="82"/>
        <v>1</v>
      </c>
      <c r="AY19" s="31">
        <f>Ordinaria!AY19</f>
        <v>0</v>
      </c>
      <c r="AZ19" s="32">
        <f t="shared" si="83"/>
        <v>0</v>
      </c>
      <c r="BA19" s="31">
        <f>Ordinaria!BA19</f>
        <v>0</v>
      </c>
      <c r="BB19" s="32">
        <f t="shared" si="84"/>
        <v>0</v>
      </c>
      <c r="BC19" s="31">
        <f>Ordinaria!BC19</f>
        <v>0.80000001192092896</v>
      </c>
      <c r="BD19" s="32">
        <f t="shared" si="85"/>
        <v>0.80000001192092896</v>
      </c>
      <c r="BE19" s="31">
        <f>Ordinaria!BE19</f>
        <v>0.40000000596046448</v>
      </c>
      <c r="BF19" s="32">
        <f t="shared" si="86"/>
        <v>0.40000000596046448</v>
      </c>
      <c r="BG19" s="31">
        <f>Ordinaria!BG19</f>
        <v>0.5</v>
      </c>
      <c r="BH19" s="32">
        <f t="shared" si="87"/>
        <v>0.5</v>
      </c>
      <c r="BI19" s="31">
        <f>Ordinaria!BI19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Ordinaria!B20</f>
        <v>2</v>
      </c>
      <c r="C20" s="31">
        <f>Ordinaria!C20</f>
        <v>0.20000000298023224</v>
      </c>
      <c r="D20" s="32">
        <f t="shared" si="59"/>
        <v>0.10000000149011612</v>
      </c>
      <c r="E20" s="31">
        <f>Ordinaria!E20</f>
        <v>0.20000000298023224</v>
      </c>
      <c r="F20" s="32">
        <f t="shared" si="60"/>
        <v>0.10000000149011612</v>
      </c>
      <c r="G20" s="31">
        <f>Ordinaria!G20</f>
        <v>0</v>
      </c>
      <c r="H20" s="32">
        <f t="shared" si="61"/>
        <v>0</v>
      </c>
      <c r="I20" s="31">
        <f>Ordinaria!I20</f>
        <v>1.3999999761581421</v>
      </c>
      <c r="J20" s="32">
        <f t="shared" si="62"/>
        <v>0.69999998807907104</v>
      </c>
      <c r="K20" s="31">
        <f>Ordinaria!K20</f>
        <v>1</v>
      </c>
      <c r="L20" s="32">
        <f t="shared" si="63"/>
        <v>0.5</v>
      </c>
      <c r="M20" s="31">
        <f>Ordinaria!M20</f>
        <v>1.2000000476837158</v>
      </c>
      <c r="N20" s="32">
        <f t="shared" si="64"/>
        <v>0.60000002384185791</v>
      </c>
      <c r="O20" s="31">
        <f>Ordinaria!O20</f>
        <v>0.40000000596046448</v>
      </c>
      <c r="P20" s="32">
        <f t="shared" si="65"/>
        <v>0.20000000298023224</v>
      </c>
      <c r="Q20" s="31">
        <f>Ordinaria!Q20</f>
        <v>1</v>
      </c>
      <c r="R20" s="32">
        <f t="shared" si="66"/>
        <v>0.5</v>
      </c>
      <c r="S20" s="31">
        <f>Ordinaria!S20</f>
        <v>1.6000000238418579</v>
      </c>
      <c r="T20" s="32">
        <f t="shared" si="67"/>
        <v>0.80000001192092896</v>
      </c>
      <c r="U20" s="31">
        <f>Ordinaria!U20</f>
        <v>1.6000000238418579</v>
      </c>
      <c r="V20" s="32">
        <f t="shared" si="68"/>
        <v>0.80000001192092896</v>
      </c>
      <c r="W20" s="31">
        <f>Ordinaria!W20</f>
        <v>0.80000001192092896</v>
      </c>
      <c r="X20" s="32">
        <f t="shared" si="69"/>
        <v>0.40000000596046448</v>
      </c>
      <c r="Y20" s="31">
        <f>Ordinaria!Y20</f>
        <v>1.7999999523162842</v>
      </c>
      <c r="Z20" s="32">
        <f t="shared" si="70"/>
        <v>0.89999997615814209</v>
      </c>
      <c r="AA20" s="31">
        <f>Ordinaria!AA20</f>
        <v>1.6000000238418579</v>
      </c>
      <c r="AB20" s="32">
        <f t="shared" si="71"/>
        <v>0.80000001192092896</v>
      </c>
      <c r="AC20" s="31">
        <f>Ordinaria!AC20</f>
        <v>0</v>
      </c>
      <c r="AD20" s="32">
        <f t="shared" si="72"/>
        <v>0</v>
      </c>
      <c r="AE20" s="31">
        <f>Ordinaria!AE20</f>
        <v>1.2000000476837158</v>
      </c>
      <c r="AF20" s="32">
        <f t="shared" si="73"/>
        <v>0.60000002384185791</v>
      </c>
      <c r="AG20" s="31">
        <f>Ordinaria!AG20</f>
        <v>1.3999999761581421</v>
      </c>
      <c r="AH20" s="32">
        <f t="shared" si="74"/>
        <v>0.69999998807907104</v>
      </c>
      <c r="AI20" s="31">
        <f>Ordinaria!AI20</f>
        <v>0</v>
      </c>
      <c r="AJ20" s="32">
        <f t="shared" si="75"/>
        <v>0</v>
      </c>
      <c r="AK20" s="31">
        <f>Ordinaria!AK20</f>
        <v>0.80000001192092896</v>
      </c>
      <c r="AL20" s="32">
        <f t="shared" si="76"/>
        <v>0.40000000596046448</v>
      </c>
      <c r="AM20" s="31">
        <f>Ordinaria!AM20</f>
        <v>0.80000001192092896</v>
      </c>
      <c r="AN20" s="32">
        <f t="shared" si="77"/>
        <v>0.40000000596046448</v>
      </c>
      <c r="AO20" s="31">
        <f>Ordinaria!AO20</f>
        <v>0.60000002384185791</v>
      </c>
      <c r="AP20" s="32">
        <f t="shared" si="78"/>
        <v>0.30000001192092896</v>
      </c>
      <c r="AQ20" s="31">
        <f>Ordinaria!AQ20</f>
        <v>2</v>
      </c>
      <c r="AR20" s="32">
        <f t="shared" si="79"/>
        <v>1</v>
      </c>
      <c r="AS20" s="31">
        <f>Ordinaria!AS20</f>
        <v>1.6000000238418579</v>
      </c>
      <c r="AT20" s="32">
        <f t="shared" si="80"/>
        <v>0.80000001192092896</v>
      </c>
      <c r="AU20" s="31">
        <f>Ordinaria!AU20</f>
        <v>1.3999999761581421</v>
      </c>
      <c r="AV20" s="32">
        <f t="shared" si="81"/>
        <v>0.69999998807907104</v>
      </c>
      <c r="AW20" s="31">
        <f>Ordinaria!AW20</f>
        <v>0.80000001192092896</v>
      </c>
      <c r="AX20" s="32">
        <f t="shared" si="82"/>
        <v>0.40000000596046448</v>
      </c>
      <c r="AY20" s="31">
        <f>Ordinaria!AY20</f>
        <v>1.6000000238418579</v>
      </c>
      <c r="AZ20" s="32">
        <f t="shared" si="83"/>
        <v>0.80000001192092896</v>
      </c>
      <c r="BA20" s="31">
        <f>Ordinaria!BA20</f>
        <v>0.60000002384185791</v>
      </c>
      <c r="BB20" s="32">
        <f t="shared" si="84"/>
        <v>0.30000001192092896</v>
      </c>
      <c r="BC20" s="31">
        <f>Ordinaria!BC20</f>
        <v>0.60000002384185791</v>
      </c>
      <c r="BD20" s="32">
        <f t="shared" si="85"/>
        <v>0.30000001192092896</v>
      </c>
      <c r="BE20" s="31">
        <f>Ordinaria!BE20</f>
        <v>0.80000001192092896</v>
      </c>
      <c r="BF20" s="32">
        <f t="shared" si="86"/>
        <v>0.40000000596046448</v>
      </c>
      <c r="BG20" s="31">
        <f>Ordinaria!BG20</f>
        <v>2</v>
      </c>
      <c r="BH20" s="32">
        <f t="shared" si="87"/>
        <v>1</v>
      </c>
      <c r="BI20" s="31">
        <f>Ordinaria!BI20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Ordinaria!B21</f>
        <v>2</v>
      </c>
      <c r="C21" s="31">
        <f>Ordinaria!C21</f>
        <v>1.3999999761581421</v>
      </c>
      <c r="D21" s="32">
        <f t="shared" si="59"/>
        <v>0.69999998807907104</v>
      </c>
      <c r="E21" s="31">
        <f>Ordinaria!E21</f>
        <v>0.60000002384185791</v>
      </c>
      <c r="F21" s="32">
        <f t="shared" si="60"/>
        <v>0.30000001192092896</v>
      </c>
      <c r="G21" s="31">
        <f>Ordinaria!G21</f>
        <v>0.20000000298023224</v>
      </c>
      <c r="H21" s="32">
        <f t="shared" si="61"/>
        <v>0.10000000149011612</v>
      </c>
      <c r="I21" s="31">
        <f>Ordinaria!I21</f>
        <v>0.40000000596046448</v>
      </c>
      <c r="J21" s="32">
        <f t="shared" si="62"/>
        <v>0.20000000298023224</v>
      </c>
      <c r="K21" s="31">
        <f>Ordinaria!K21</f>
        <v>0</v>
      </c>
      <c r="L21" s="32">
        <f t="shared" si="63"/>
        <v>0</v>
      </c>
      <c r="M21" s="31">
        <f>Ordinaria!M21</f>
        <v>0.80000001192092896</v>
      </c>
      <c r="N21" s="32">
        <f t="shared" si="64"/>
        <v>0.40000000596046448</v>
      </c>
      <c r="O21" s="31">
        <f>Ordinaria!O21</f>
        <v>2</v>
      </c>
      <c r="P21" s="32">
        <f t="shared" si="65"/>
        <v>1</v>
      </c>
      <c r="Q21" s="31">
        <f>Ordinaria!Q21</f>
        <v>1</v>
      </c>
      <c r="R21" s="32">
        <f t="shared" si="66"/>
        <v>0.5</v>
      </c>
      <c r="S21" s="31">
        <f>Ordinaria!S21</f>
        <v>1</v>
      </c>
      <c r="T21" s="32">
        <f t="shared" si="67"/>
        <v>0.5</v>
      </c>
      <c r="U21" s="31">
        <f>Ordinaria!U21</f>
        <v>2</v>
      </c>
      <c r="V21" s="32">
        <f t="shared" si="68"/>
        <v>1</v>
      </c>
      <c r="W21" s="31">
        <f>Ordinaria!W21</f>
        <v>0.40000000596046448</v>
      </c>
      <c r="X21" s="32">
        <f t="shared" si="69"/>
        <v>0.20000000298023224</v>
      </c>
      <c r="Y21" s="31">
        <f>Ordinaria!Y21</f>
        <v>0.80000001192092896</v>
      </c>
      <c r="Z21" s="32">
        <f t="shared" si="70"/>
        <v>0.40000000596046448</v>
      </c>
      <c r="AA21" s="31">
        <f>Ordinaria!AA21</f>
        <v>0.80000001192092896</v>
      </c>
      <c r="AB21" s="32">
        <f t="shared" si="71"/>
        <v>0.40000000596046448</v>
      </c>
      <c r="AC21" s="31">
        <f>Ordinaria!AC21</f>
        <v>0.60000002384185791</v>
      </c>
      <c r="AD21" s="32">
        <f t="shared" si="72"/>
        <v>0.30000001192092896</v>
      </c>
      <c r="AE21" s="31">
        <f>Ordinaria!AE21</f>
        <v>1</v>
      </c>
      <c r="AF21" s="32">
        <f t="shared" si="73"/>
        <v>0.5</v>
      </c>
      <c r="AG21" s="31">
        <f>Ordinaria!AG21</f>
        <v>0.20000000298023224</v>
      </c>
      <c r="AH21" s="32">
        <f t="shared" si="74"/>
        <v>0.10000000149011612</v>
      </c>
      <c r="AI21" s="31">
        <f>Ordinaria!AI21</f>
        <v>1</v>
      </c>
      <c r="AJ21" s="32">
        <f t="shared" si="75"/>
        <v>0.5</v>
      </c>
      <c r="AK21" s="31">
        <f>Ordinaria!AK21</f>
        <v>2</v>
      </c>
      <c r="AL21" s="32">
        <f t="shared" si="76"/>
        <v>1</v>
      </c>
      <c r="AM21" s="31">
        <f>Ordinaria!AM21</f>
        <v>1.2000000476837158</v>
      </c>
      <c r="AN21" s="32">
        <f t="shared" si="77"/>
        <v>0.60000002384185791</v>
      </c>
      <c r="AO21" s="31">
        <f>Ordinaria!AO21</f>
        <v>2</v>
      </c>
      <c r="AP21" s="32">
        <f t="shared" si="78"/>
        <v>1</v>
      </c>
      <c r="AQ21" s="31">
        <f>Ordinaria!AQ21</f>
        <v>1.3999999761581421</v>
      </c>
      <c r="AR21" s="32">
        <f t="shared" si="79"/>
        <v>0.69999998807907104</v>
      </c>
      <c r="AS21" s="31">
        <f>Ordinaria!AS21</f>
        <v>0.80000001192092896</v>
      </c>
      <c r="AT21" s="32">
        <f t="shared" si="80"/>
        <v>0.40000000596046448</v>
      </c>
      <c r="AU21" s="31">
        <f>Ordinaria!AU21</f>
        <v>1.3999999761581421</v>
      </c>
      <c r="AV21" s="32">
        <f t="shared" si="81"/>
        <v>0.69999998807907104</v>
      </c>
      <c r="AW21" s="31">
        <f>Ordinaria!AW21</f>
        <v>0</v>
      </c>
      <c r="AX21" s="32">
        <f t="shared" si="82"/>
        <v>0</v>
      </c>
      <c r="AY21" s="31">
        <f>Ordinaria!AY21</f>
        <v>1.6000000238418579</v>
      </c>
      <c r="AZ21" s="32">
        <f t="shared" si="83"/>
        <v>0.80000001192092896</v>
      </c>
      <c r="BA21" s="31">
        <f>Ordinaria!BA21</f>
        <v>1.3999999761581421</v>
      </c>
      <c r="BB21" s="32">
        <f t="shared" si="84"/>
        <v>0.69999998807907104</v>
      </c>
      <c r="BC21" s="31">
        <f>Ordinaria!BC21</f>
        <v>1</v>
      </c>
      <c r="BD21" s="32">
        <f t="shared" si="85"/>
        <v>0.5</v>
      </c>
      <c r="BE21" s="31">
        <f>Ordinaria!BE21</f>
        <v>0.20000000298023224</v>
      </c>
      <c r="BF21" s="32">
        <f t="shared" si="86"/>
        <v>0.10000000149011612</v>
      </c>
      <c r="BG21" s="31">
        <f>Ordinaria!BG21</f>
        <v>0.40000000596046448</v>
      </c>
      <c r="BH21" s="32">
        <f t="shared" si="87"/>
        <v>0.20000000298023224</v>
      </c>
      <c r="BI21" s="31">
        <f>Ordinaria!BI21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Ordinaria!B22</f>
        <v>1</v>
      </c>
      <c r="C22" s="31">
        <f>Ordinaria!C22</f>
        <v>0.80000001192092896</v>
      </c>
      <c r="D22" s="32">
        <f t="shared" si="59"/>
        <v>0.80000001192092896</v>
      </c>
      <c r="E22" s="31">
        <f>Ordinaria!E22</f>
        <v>0</v>
      </c>
      <c r="F22" s="32">
        <f t="shared" si="60"/>
        <v>0</v>
      </c>
      <c r="G22" s="31">
        <f>Ordinaria!G22</f>
        <v>0.5</v>
      </c>
      <c r="H22" s="32">
        <f t="shared" si="61"/>
        <v>0.5</v>
      </c>
      <c r="I22" s="31">
        <f>Ordinaria!I22</f>
        <v>0.80000001192092896</v>
      </c>
      <c r="J22" s="32">
        <f t="shared" si="62"/>
        <v>0.80000001192092896</v>
      </c>
      <c r="K22" s="31">
        <f>Ordinaria!K22</f>
        <v>0.80000001192092896</v>
      </c>
      <c r="L22" s="32">
        <f t="shared" si="63"/>
        <v>0.80000001192092896</v>
      </c>
      <c r="M22" s="31">
        <f>Ordinaria!M22</f>
        <v>0.30000001192092896</v>
      </c>
      <c r="N22" s="32">
        <f t="shared" si="64"/>
        <v>0.30000001192092896</v>
      </c>
      <c r="O22" s="31">
        <f>Ordinaria!O22</f>
        <v>1</v>
      </c>
      <c r="P22" s="32">
        <f t="shared" si="65"/>
        <v>1</v>
      </c>
      <c r="Q22" s="31">
        <f>Ordinaria!Q22</f>
        <v>0.80000001192092896</v>
      </c>
      <c r="R22" s="32">
        <f t="shared" si="66"/>
        <v>0.80000001192092896</v>
      </c>
      <c r="S22" s="31">
        <f>Ordinaria!S22</f>
        <v>0.69999998807907104</v>
      </c>
      <c r="T22" s="32">
        <f t="shared" si="67"/>
        <v>0.69999998807907104</v>
      </c>
      <c r="U22" s="31">
        <f>Ordinaria!U22</f>
        <v>0.89999997615814209</v>
      </c>
      <c r="V22" s="32">
        <f t="shared" si="68"/>
        <v>0.89999997615814209</v>
      </c>
      <c r="W22" s="31">
        <f>Ordinaria!W22</f>
        <v>0.89999997615814209</v>
      </c>
      <c r="X22" s="32">
        <f t="shared" si="69"/>
        <v>0.89999997615814209</v>
      </c>
      <c r="Y22" s="31">
        <f>Ordinaria!Y22</f>
        <v>0.40000000596046448</v>
      </c>
      <c r="Z22" s="32">
        <f t="shared" si="70"/>
        <v>0.40000000596046448</v>
      </c>
      <c r="AA22" s="31">
        <f>Ordinaria!AA22</f>
        <v>0.10000000149011612</v>
      </c>
      <c r="AB22" s="32">
        <f t="shared" si="71"/>
        <v>0.10000000149011612</v>
      </c>
      <c r="AC22" s="31">
        <f>Ordinaria!AC22</f>
        <v>1</v>
      </c>
      <c r="AD22" s="32">
        <f t="shared" si="72"/>
        <v>1</v>
      </c>
      <c r="AE22" s="31">
        <f>Ordinaria!AE22</f>
        <v>0.80000001192092896</v>
      </c>
      <c r="AF22" s="32">
        <f t="shared" si="73"/>
        <v>0.80000001192092896</v>
      </c>
      <c r="AG22" s="31">
        <f>Ordinaria!AG22</f>
        <v>0.69999998807907104</v>
      </c>
      <c r="AH22" s="32">
        <f t="shared" si="74"/>
        <v>0.69999998807907104</v>
      </c>
      <c r="AI22" s="31">
        <f>Ordinaria!AI22</f>
        <v>0.40000000596046448</v>
      </c>
      <c r="AJ22" s="32">
        <f t="shared" si="75"/>
        <v>0.40000000596046448</v>
      </c>
      <c r="AK22" s="31">
        <f>Ordinaria!AK22</f>
        <v>0</v>
      </c>
      <c r="AL22" s="32">
        <f t="shared" si="76"/>
        <v>0</v>
      </c>
      <c r="AM22" s="31">
        <f>Ordinaria!AM22</f>
        <v>0.10000000149011612</v>
      </c>
      <c r="AN22" s="32">
        <f t="shared" si="77"/>
        <v>0.10000000149011612</v>
      </c>
      <c r="AO22" s="31">
        <f>Ordinaria!AO22</f>
        <v>0.10000000149011612</v>
      </c>
      <c r="AP22" s="32">
        <f t="shared" si="78"/>
        <v>0.10000000149011612</v>
      </c>
      <c r="AQ22" s="31">
        <f>Ordinaria!AQ22</f>
        <v>0.5</v>
      </c>
      <c r="AR22" s="32">
        <f t="shared" si="79"/>
        <v>0.5</v>
      </c>
      <c r="AS22" s="31">
        <f>Ordinaria!AS22</f>
        <v>0.40000000596046448</v>
      </c>
      <c r="AT22" s="32">
        <f t="shared" si="80"/>
        <v>0.40000000596046448</v>
      </c>
      <c r="AU22" s="31">
        <f>Ordinaria!AU22</f>
        <v>0.10000000149011612</v>
      </c>
      <c r="AV22" s="32">
        <f t="shared" si="81"/>
        <v>0.10000000149011612</v>
      </c>
      <c r="AW22" s="31">
        <f>Ordinaria!AW22</f>
        <v>0.30000001192092896</v>
      </c>
      <c r="AX22" s="32">
        <f t="shared" si="82"/>
        <v>0.30000001192092896</v>
      </c>
      <c r="AY22" s="31">
        <f>Ordinaria!AY22</f>
        <v>0.69999998807907104</v>
      </c>
      <c r="AZ22" s="32">
        <f t="shared" si="83"/>
        <v>0.69999998807907104</v>
      </c>
      <c r="BA22" s="31">
        <f>Ordinaria!BA22</f>
        <v>0.89999997615814209</v>
      </c>
      <c r="BB22" s="32">
        <f t="shared" si="84"/>
        <v>0.89999997615814209</v>
      </c>
      <c r="BC22" s="31">
        <f>Ordinaria!BC22</f>
        <v>0.5</v>
      </c>
      <c r="BD22" s="32">
        <f t="shared" si="85"/>
        <v>0.5</v>
      </c>
      <c r="BE22" s="31">
        <f>Ordinaria!BE22</f>
        <v>0.20000000298023224</v>
      </c>
      <c r="BF22" s="32">
        <f t="shared" si="86"/>
        <v>0.20000000298023224</v>
      </c>
      <c r="BG22" s="31">
        <f>Ordinaria!BG22</f>
        <v>0.89999997615814209</v>
      </c>
      <c r="BH22" s="32">
        <f t="shared" si="87"/>
        <v>0.89999997615814209</v>
      </c>
      <c r="BI22" s="31">
        <f>Ordinaria!BI22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Ordinaria!B23</f>
        <v>1</v>
      </c>
      <c r="C23" s="31">
        <f>Ordinaria!C23</f>
        <v>0.30000001192092896</v>
      </c>
      <c r="D23" s="32">
        <f t="shared" si="59"/>
        <v>0.30000001192092896</v>
      </c>
      <c r="E23" s="31">
        <f>Ordinaria!E23</f>
        <v>0.80000001192092896</v>
      </c>
      <c r="F23" s="32">
        <f t="shared" si="60"/>
        <v>0.80000001192092896</v>
      </c>
      <c r="G23" s="31">
        <f>Ordinaria!G23</f>
        <v>0.20000000298023224</v>
      </c>
      <c r="H23" s="32">
        <f t="shared" si="61"/>
        <v>0.20000000298023224</v>
      </c>
      <c r="I23" s="31">
        <f>Ordinaria!I23</f>
        <v>0.40000000596046448</v>
      </c>
      <c r="J23" s="32">
        <f t="shared" si="62"/>
        <v>0.40000000596046448</v>
      </c>
      <c r="K23" s="31">
        <f>Ordinaria!K23</f>
        <v>0.20000000298023224</v>
      </c>
      <c r="L23" s="32">
        <f t="shared" si="63"/>
        <v>0.20000000298023224</v>
      </c>
      <c r="M23" s="31">
        <f>Ordinaria!M23</f>
        <v>0.89999997615814209</v>
      </c>
      <c r="N23" s="32">
        <f t="shared" si="64"/>
        <v>0.89999997615814209</v>
      </c>
      <c r="O23" s="31">
        <f>Ordinaria!O23</f>
        <v>0.60000002384185791</v>
      </c>
      <c r="P23" s="32">
        <f t="shared" si="65"/>
        <v>0.60000002384185791</v>
      </c>
      <c r="Q23" s="31">
        <f>Ordinaria!Q23</f>
        <v>0.40000000596046448</v>
      </c>
      <c r="R23" s="32">
        <f t="shared" si="66"/>
        <v>0.40000000596046448</v>
      </c>
      <c r="S23" s="31">
        <f>Ordinaria!S23</f>
        <v>0.40000000596046448</v>
      </c>
      <c r="T23" s="32">
        <f t="shared" si="67"/>
        <v>0.40000000596046448</v>
      </c>
      <c r="U23" s="31">
        <f>Ordinaria!U23</f>
        <v>0.89999997615814209</v>
      </c>
      <c r="V23" s="32">
        <f t="shared" si="68"/>
        <v>0.89999997615814209</v>
      </c>
      <c r="W23" s="31">
        <f>Ordinaria!W23</f>
        <v>0.60000002384185791</v>
      </c>
      <c r="X23" s="32">
        <f t="shared" si="69"/>
        <v>0.60000002384185791</v>
      </c>
      <c r="Y23" s="31">
        <f>Ordinaria!Y23</f>
        <v>1</v>
      </c>
      <c r="Z23" s="32">
        <f t="shared" si="70"/>
        <v>1</v>
      </c>
      <c r="AA23" s="31">
        <f>Ordinaria!AA23</f>
        <v>0.5</v>
      </c>
      <c r="AB23" s="32">
        <f t="shared" si="71"/>
        <v>0.5</v>
      </c>
      <c r="AC23" s="31">
        <f>Ordinaria!AC23</f>
        <v>0.30000001192092896</v>
      </c>
      <c r="AD23" s="32">
        <f t="shared" si="72"/>
        <v>0.30000001192092896</v>
      </c>
      <c r="AE23" s="31">
        <f>Ordinaria!AE23</f>
        <v>0.89999997615814209</v>
      </c>
      <c r="AF23" s="32">
        <f t="shared" si="73"/>
        <v>0.89999997615814209</v>
      </c>
      <c r="AG23" s="31">
        <f>Ordinaria!AG23</f>
        <v>0.20000000298023224</v>
      </c>
      <c r="AH23" s="32">
        <f t="shared" si="74"/>
        <v>0.20000000298023224</v>
      </c>
      <c r="AI23" s="31">
        <f>Ordinaria!AI23</f>
        <v>0.20000000298023224</v>
      </c>
      <c r="AJ23" s="32">
        <f t="shared" si="75"/>
        <v>0.20000000298023224</v>
      </c>
      <c r="AK23" s="31">
        <f>Ordinaria!AK23</f>
        <v>0.10000000149011612</v>
      </c>
      <c r="AL23" s="32">
        <f t="shared" si="76"/>
        <v>0.10000000149011612</v>
      </c>
      <c r="AM23" s="31">
        <f>Ordinaria!AM23</f>
        <v>0.30000001192092896</v>
      </c>
      <c r="AN23" s="32">
        <f t="shared" si="77"/>
        <v>0.30000001192092896</v>
      </c>
      <c r="AO23" s="31">
        <f>Ordinaria!AO23</f>
        <v>0</v>
      </c>
      <c r="AP23" s="32">
        <f t="shared" si="78"/>
        <v>0</v>
      </c>
      <c r="AQ23" s="31">
        <f>Ordinaria!AQ23</f>
        <v>0.80000001192092896</v>
      </c>
      <c r="AR23" s="32">
        <f t="shared" si="79"/>
        <v>0.80000001192092896</v>
      </c>
      <c r="AS23" s="31">
        <f>Ordinaria!AS23</f>
        <v>0.89999997615814209</v>
      </c>
      <c r="AT23" s="32">
        <f t="shared" si="80"/>
        <v>0.89999997615814209</v>
      </c>
      <c r="AU23" s="31">
        <f>Ordinaria!AU23</f>
        <v>0.30000001192092896</v>
      </c>
      <c r="AV23" s="32">
        <f t="shared" si="81"/>
        <v>0.30000001192092896</v>
      </c>
      <c r="AW23" s="31">
        <f>Ordinaria!AW23</f>
        <v>0.69999998807907104</v>
      </c>
      <c r="AX23" s="32">
        <f t="shared" si="82"/>
        <v>0.69999998807907104</v>
      </c>
      <c r="AY23" s="31">
        <f>Ordinaria!AY23</f>
        <v>0.40000000596046448</v>
      </c>
      <c r="AZ23" s="32">
        <f t="shared" si="83"/>
        <v>0.40000000596046448</v>
      </c>
      <c r="BA23" s="31">
        <f>Ordinaria!BA23</f>
        <v>0.80000001192092896</v>
      </c>
      <c r="BB23" s="32">
        <f t="shared" si="84"/>
        <v>0.80000001192092896</v>
      </c>
      <c r="BC23" s="31">
        <f>Ordinaria!BC23</f>
        <v>0.80000001192092896</v>
      </c>
      <c r="BD23" s="32">
        <f t="shared" si="85"/>
        <v>0.80000001192092896</v>
      </c>
      <c r="BE23" s="31">
        <f>Ordinaria!BE23</f>
        <v>0.40000000596046448</v>
      </c>
      <c r="BF23" s="32">
        <f t="shared" si="86"/>
        <v>0.40000000596046448</v>
      </c>
      <c r="BG23" s="31">
        <f>Ordinaria!BG23</f>
        <v>0</v>
      </c>
      <c r="BH23" s="32">
        <f t="shared" si="87"/>
        <v>0</v>
      </c>
      <c r="BI23" s="31">
        <f>Ordinaria!BI23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Ordinaria!B24</f>
        <v>0</v>
      </c>
      <c r="C24" s="31">
        <f>Ordinaria!C24</f>
        <v>0</v>
      </c>
      <c r="D24" s="32">
        <f t="shared" si="59"/>
        <v>-1</v>
      </c>
      <c r="E24" s="31">
        <f>Ordinaria!E24</f>
        <v>0</v>
      </c>
      <c r="F24" s="32">
        <f t="shared" si="60"/>
        <v>-1</v>
      </c>
      <c r="G24" s="31">
        <f>Ordinaria!G24</f>
        <v>0</v>
      </c>
      <c r="H24" s="32">
        <f t="shared" si="61"/>
        <v>-1</v>
      </c>
      <c r="I24" s="31">
        <f>Ordinaria!I24</f>
        <v>0</v>
      </c>
      <c r="J24" s="32">
        <f t="shared" si="62"/>
        <v>-1</v>
      </c>
      <c r="K24" s="31">
        <f>Ordinaria!K24</f>
        <v>0</v>
      </c>
      <c r="L24" s="32">
        <f t="shared" si="63"/>
        <v>-1</v>
      </c>
      <c r="M24" s="31">
        <f>Ordinaria!M24</f>
        <v>0</v>
      </c>
      <c r="N24" s="32">
        <f t="shared" si="64"/>
        <v>-1</v>
      </c>
      <c r="O24" s="31">
        <f>Ordinaria!O24</f>
        <v>0</v>
      </c>
      <c r="P24" s="32">
        <f t="shared" si="65"/>
        <v>-1</v>
      </c>
      <c r="Q24" s="31">
        <f>Ordinaria!Q24</f>
        <v>0</v>
      </c>
      <c r="R24" s="32">
        <f t="shared" si="66"/>
        <v>-1</v>
      </c>
      <c r="S24" s="31">
        <f>Ordinaria!S24</f>
        <v>0</v>
      </c>
      <c r="T24" s="32">
        <f t="shared" si="67"/>
        <v>-1</v>
      </c>
      <c r="U24" s="31">
        <f>Ordinaria!U24</f>
        <v>0</v>
      </c>
      <c r="V24" s="32">
        <f t="shared" si="68"/>
        <v>-1</v>
      </c>
      <c r="W24" s="31">
        <f>Ordinaria!W24</f>
        <v>0</v>
      </c>
      <c r="X24" s="32">
        <f t="shared" si="69"/>
        <v>-1</v>
      </c>
      <c r="Y24" s="31">
        <f>Ordinaria!Y24</f>
        <v>0</v>
      </c>
      <c r="Z24" s="32">
        <f t="shared" si="70"/>
        <v>-1</v>
      </c>
      <c r="AA24" s="31">
        <f>Ordinaria!AA24</f>
        <v>0</v>
      </c>
      <c r="AB24" s="32">
        <f t="shared" si="71"/>
        <v>-1</v>
      </c>
      <c r="AC24" s="31">
        <f>Ordinaria!AC24</f>
        <v>0</v>
      </c>
      <c r="AD24" s="32">
        <f t="shared" si="72"/>
        <v>-1</v>
      </c>
      <c r="AE24" s="31">
        <f>Ordinaria!AE24</f>
        <v>0</v>
      </c>
      <c r="AF24" s="32">
        <f t="shared" si="73"/>
        <v>-1</v>
      </c>
      <c r="AG24" s="31">
        <f>Ordinaria!AG24</f>
        <v>0</v>
      </c>
      <c r="AH24" s="32">
        <f t="shared" si="74"/>
        <v>-1</v>
      </c>
      <c r="AI24" s="31">
        <f>Ordinaria!AI24</f>
        <v>0</v>
      </c>
      <c r="AJ24" s="32">
        <f t="shared" si="75"/>
        <v>-1</v>
      </c>
      <c r="AK24" s="31">
        <f>Ordinaria!AK24</f>
        <v>0</v>
      </c>
      <c r="AL24" s="32">
        <f t="shared" si="76"/>
        <v>-1</v>
      </c>
      <c r="AM24" s="31">
        <f>Ordinaria!AM24</f>
        <v>0</v>
      </c>
      <c r="AN24" s="32">
        <f t="shared" si="77"/>
        <v>-1</v>
      </c>
      <c r="AO24" s="31">
        <f>Ordinaria!AO24</f>
        <v>0</v>
      </c>
      <c r="AP24" s="32">
        <f t="shared" si="78"/>
        <v>-1</v>
      </c>
      <c r="AQ24" s="31">
        <f>Ordinaria!AQ24</f>
        <v>0</v>
      </c>
      <c r="AR24" s="32">
        <f t="shared" si="79"/>
        <v>-1</v>
      </c>
      <c r="AS24" s="31">
        <f>Ordinaria!AS24</f>
        <v>0</v>
      </c>
      <c r="AT24" s="32">
        <f t="shared" si="80"/>
        <v>-1</v>
      </c>
      <c r="AU24" s="31">
        <f>Ordinaria!AU24</f>
        <v>0</v>
      </c>
      <c r="AV24" s="32">
        <f t="shared" si="81"/>
        <v>-1</v>
      </c>
      <c r="AW24" s="31">
        <f>Ordinaria!AW24</f>
        <v>0</v>
      </c>
      <c r="AX24" s="32">
        <f t="shared" si="82"/>
        <v>-1</v>
      </c>
      <c r="AY24" s="31">
        <f>Ordinaria!AY24</f>
        <v>0</v>
      </c>
      <c r="AZ24" s="32">
        <f t="shared" si="83"/>
        <v>-1</v>
      </c>
      <c r="BA24" s="31">
        <f>Ordinaria!BA24</f>
        <v>0</v>
      </c>
      <c r="BB24" s="32">
        <f t="shared" si="84"/>
        <v>-1</v>
      </c>
      <c r="BC24" s="31">
        <f>Ordinaria!BC24</f>
        <v>0</v>
      </c>
      <c r="BD24" s="32">
        <f t="shared" si="85"/>
        <v>-1</v>
      </c>
      <c r="BE24" s="31">
        <f>Ordinaria!BE24</f>
        <v>0</v>
      </c>
      <c r="BF24" s="32">
        <f t="shared" si="86"/>
        <v>-1</v>
      </c>
      <c r="BG24" s="31">
        <f>Ordinaria!BG24</f>
        <v>0</v>
      </c>
      <c r="BH24" s="32">
        <f t="shared" si="87"/>
        <v>-1</v>
      </c>
      <c r="BI24" s="31">
        <f>Ordinaria!BI24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Ordinaria!B25</f>
        <v>0</v>
      </c>
      <c r="C25" s="31">
        <f>Ordinaria!C25</f>
        <v>0</v>
      </c>
      <c r="D25" s="32">
        <f t="shared" si="59"/>
        <v>-1</v>
      </c>
      <c r="E25" s="31">
        <f>Ordinaria!E25</f>
        <v>0</v>
      </c>
      <c r="F25" s="32">
        <f t="shared" si="60"/>
        <v>-1</v>
      </c>
      <c r="G25" s="31">
        <f>Ordinaria!G25</f>
        <v>0</v>
      </c>
      <c r="H25" s="32">
        <f t="shared" si="61"/>
        <v>-1</v>
      </c>
      <c r="I25" s="31">
        <f>Ordinaria!I25</f>
        <v>0</v>
      </c>
      <c r="J25" s="32">
        <f t="shared" si="62"/>
        <v>-1</v>
      </c>
      <c r="K25" s="31">
        <f>Ordinaria!K25</f>
        <v>0</v>
      </c>
      <c r="L25" s="32">
        <f t="shared" si="63"/>
        <v>-1</v>
      </c>
      <c r="M25" s="31">
        <f>Ordinaria!M25</f>
        <v>0</v>
      </c>
      <c r="N25" s="32">
        <f t="shared" si="64"/>
        <v>-1</v>
      </c>
      <c r="O25" s="31">
        <f>Ordinaria!O25</f>
        <v>0</v>
      </c>
      <c r="P25" s="32">
        <f t="shared" si="65"/>
        <v>-1</v>
      </c>
      <c r="Q25" s="31">
        <f>Ordinaria!Q25</f>
        <v>0</v>
      </c>
      <c r="R25" s="32">
        <f t="shared" si="66"/>
        <v>-1</v>
      </c>
      <c r="S25" s="31">
        <f>Ordinaria!S25</f>
        <v>0</v>
      </c>
      <c r="T25" s="32">
        <f t="shared" si="67"/>
        <v>-1</v>
      </c>
      <c r="U25" s="31">
        <f>Ordinaria!U25</f>
        <v>0</v>
      </c>
      <c r="V25" s="32">
        <f t="shared" si="68"/>
        <v>-1</v>
      </c>
      <c r="W25" s="31">
        <f>Ordinaria!W25</f>
        <v>0</v>
      </c>
      <c r="X25" s="32">
        <f t="shared" si="69"/>
        <v>-1</v>
      </c>
      <c r="Y25" s="31">
        <f>Ordinaria!Y25</f>
        <v>0</v>
      </c>
      <c r="Z25" s="32">
        <f t="shared" si="70"/>
        <v>-1</v>
      </c>
      <c r="AA25" s="31">
        <f>Ordinaria!AA25</f>
        <v>0</v>
      </c>
      <c r="AB25" s="32">
        <f t="shared" si="71"/>
        <v>-1</v>
      </c>
      <c r="AC25" s="31">
        <f>Ordinaria!AC25</f>
        <v>0</v>
      </c>
      <c r="AD25" s="32">
        <f t="shared" si="72"/>
        <v>-1</v>
      </c>
      <c r="AE25" s="31">
        <f>Ordinaria!AE25</f>
        <v>0</v>
      </c>
      <c r="AF25" s="32">
        <f t="shared" si="73"/>
        <v>-1</v>
      </c>
      <c r="AG25" s="31">
        <f>Ordinaria!AG25</f>
        <v>0</v>
      </c>
      <c r="AH25" s="32">
        <f t="shared" si="74"/>
        <v>-1</v>
      </c>
      <c r="AI25" s="31">
        <f>Ordinaria!AI25</f>
        <v>0</v>
      </c>
      <c r="AJ25" s="32">
        <f t="shared" si="75"/>
        <v>-1</v>
      </c>
      <c r="AK25" s="31">
        <f>Ordinaria!AK25</f>
        <v>0</v>
      </c>
      <c r="AL25" s="32">
        <f t="shared" si="76"/>
        <v>-1</v>
      </c>
      <c r="AM25" s="31">
        <f>Ordinaria!AM25</f>
        <v>0</v>
      </c>
      <c r="AN25" s="32">
        <f t="shared" si="77"/>
        <v>-1</v>
      </c>
      <c r="AO25" s="31">
        <f>Ordinaria!AO25</f>
        <v>0</v>
      </c>
      <c r="AP25" s="32">
        <f t="shared" si="78"/>
        <v>-1</v>
      </c>
      <c r="AQ25" s="31">
        <f>Ordinaria!AQ25</f>
        <v>0</v>
      </c>
      <c r="AR25" s="32">
        <f t="shared" si="79"/>
        <v>-1</v>
      </c>
      <c r="AS25" s="31">
        <f>Ordinaria!AS25</f>
        <v>0</v>
      </c>
      <c r="AT25" s="32">
        <f t="shared" si="80"/>
        <v>-1</v>
      </c>
      <c r="AU25" s="31">
        <f>Ordinaria!AU25</f>
        <v>0</v>
      </c>
      <c r="AV25" s="32">
        <f t="shared" si="81"/>
        <v>-1</v>
      </c>
      <c r="AW25" s="31">
        <f>Ordinaria!AW25</f>
        <v>0</v>
      </c>
      <c r="AX25" s="32">
        <f t="shared" si="82"/>
        <v>-1</v>
      </c>
      <c r="AY25" s="31">
        <f>Ordinaria!AY25</f>
        <v>0</v>
      </c>
      <c r="AZ25" s="32">
        <f t="shared" si="83"/>
        <v>-1</v>
      </c>
      <c r="BA25" s="31">
        <f>Ordinaria!BA25</f>
        <v>0</v>
      </c>
      <c r="BB25" s="32">
        <f t="shared" si="84"/>
        <v>-1</v>
      </c>
      <c r="BC25" s="31">
        <f>Ordinaria!BC25</f>
        <v>0</v>
      </c>
      <c r="BD25" s="32">
        <f t="shared" si="85"/>
        <v>-1</v>
      </c>
      <c r="BE25" s="31">
        <f>Ordinaria!BE25</f>
        <v>0</v>
      </c>
      <c r="BF25" s="32">
        <f t="shared" si="86"/>
        <v>-1</v>
      </c>
      <c r="BG25" s="31">
        <f>Ordinaria!BG25</f>
        <v>0</v>
      </c>
      <c r="BH25" s="32">
        <f t="shared" si="87"/>
        <v>-1</v>
      </c>
      <c r="BI25" s="31">
        <f>Ordinaria!BI25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Ordinaria!B26</f>
        <v>2</v>
      </c>
      <c r="C26" s="31">
        <f>Ordinaria!C26</f>
        <v>0.60000002384185791</v>
      </c>
      <c r="D26" s="32">
        <f t="shared" si="59"/>
        <v>0.30000001192092896</v>
      </c>
      <c r="E26" s="31">
        <f>Ordinaria!E26</f>
        <v>1.3999999761581421</v>
      </c>
      <c r="F26" s="32">
        <f t="shared" si="60"/>
        <v>0.69999998807907104</v>
      </c>
      <c r="G26" s="31">
        <f>Ordinaria!G26</f>
        <v>0.60000002384185791</v>
      </c>
      <c r="H26" s="32">
        <f t="shared" si="61"/>
        <v>0.30000001192092896</v>
      </c>
      <c r="I26" s="31">
        <f>Ordinaria!I26</f>
        <v>1.6000000238418579</v>
      </c>
      <c r="J26" s="32">
        <f t="shared" si="62"/>
        <v>0.80000001192092896</v>
      </c>
      <c r="K26" s="31">
        <f>Ordinaria!K26</f>
        <v>0.20000000298023224</v>
      </c>
      <c r="L26" s="32">
        <f t="shared" si="63"/>
        <v>0.10000000149011612</v>
      </c>
      <c r="M26" s="31">
        <f>Ordinaria!M26</f>
        <v>1.2000000476837158</v>
      </c>
      <c r="N26" s="32">
        <f t="shared" si="64"/>
        <v>0.60000002384185791</v>
      </c>
      <c r="O26" s="31">
        <f>Ordinaria!O26</f>
        <v>2</v>
      </c>
      <c r="P26" s="32">
        <f t="shared" si="65"/>
        <v>1</v>
      </c>
      <c r="Q26" s="31">
        <f>Ordinaria!Q26</f>
        <v>0.40000000596046448</v>
      </c>
      <c r="R26" s="32">
        <f t="shared" si="66"/>
        <v>0.20000000298023224</v>
      </c>
      <c r="S26" s="31">
        <f>Ordinaria!S26</f>
        <v>2</v>
      </c>
      <c r="T26" s="32">
        <f t="shared" si="67"/>
        <v>1</v>
      </c>
      <c r="U26" s="31">
        <f>Ordinaria!U26</f>
        <v>0.20000000298023224</v>
      </c>
      <c r="V26" s="32">
        <f t="shared" si="68"/>
        <v>0.10000000149011612</v>
      </c>
      <c r="W26" s="31">
        <f>Ordinaria!W26</f>
        <v>2</v>
      </c>
      <c r="X26" s="32">
        <f t="shared" si="69"/>
        <v>1</v>
      </c>
      <c r="Y26" s="31">
        <f>Ordinaria!Y26</f>
        <v>1.2000000476837158</v>
      </c>
      <c r="Z26" s="32">
        <f t="shared" si="70"/>
        <v>0.60000002384185791</v>
      </c>
      <c r="AA26" s="31">
        <f>Ordinaria!AA26</f>
        <v>1.2000000476837158</v>
      </c>
      <c r="AB26" s="32">
        <f t="shared" si="71"/>
        <v>0.60000002384185791</v>
      </c>
      <c r="AC26" s="31">
        <f>Ordinaria!AC26</f>
        <v>1.7999999523162842</v>
      </c>
      <c r="AD26" s="32">
        <f t="shared" si="72"/>
        <v>0.89999997615814209</v>
      </c>
      <c r="AE26" s="31">
        <f>Ordinaria!AE26</f>
        <v>1.2000000476837158</v>
      </c>
      <c r="AF26" s="32">
        <f t="shared" si="73"/>
        <v>0.60000002384185791</v>
      </c>
      <c r="AG26" s="31">
        <f>Ordinaria!AG26</f>
        <v>0.40000000596046448</v>
      </c>
      <c r="AH26" s="32">
        <f t="shared" si="74"/>
        <v>0.20000000298023224</v>
      </c>
      <c r="AI26" s="31">
        <f>Ordinaria!AI26</f>
        <v>1.7999999523162842</v>
      </c>
      <c r="AJ26" s="32">
        <f t="shared" si="75"/>
        <v>0.89999997615814209</v>
      </c>
      <c r="AK26" s="31">
        <f>Ordinaria!AK26</f>
        <v>0</v>
      </c>
      <c r="AL26" s="32">
        <f t="shared" si="76"/>
        <v>0</v>
      </c>
      <c r="AM26" s="31">
        <f>Ordinaria!AM26</f>
        <v>0.80000001192092896</v>
      </c>
      <c r="AN26" s="32">
        <f t="shared" si="77"/>
        <v>0.40000000596046448</v>
      </c>
      <c r="AO26" s="31">
        <f>Ordinaria!AO26</f>
        <v>1.6000000238418579</v>
      </c>
      <c r="AP26" s="32">
        <f t="shared" si="78"/>
        <v>0.80000001192092896</v>
      </c>
      <c r="AQ26" s="31">
        <f>Ordinaria!AQ26</f>
        <v>0.40000000596046448</v>
      </c>
      <c r="AR26" s="32">
        <f t="shared" si="79"/>
        <v>0.20000000298023224</v>
      </c>
      <c r="AS26" s="31">
        <f>Ordinaria!AS26</f>
        <v>0.80000001192092896</v>
      </c>
      <c r="AT26" s="32">
        <f t="shared" si="80"/>
        <v>0.40000000596046448</v>
      </c>
      <c r="AU26" s="31">
        <f>Ordinaria!AU26</f>
        <v>0.80000001192092896</v>
      </c>
      <c r="AV26" s="32">
        <f t="shared" si="81"/>
        <v>0.40000000596046448</v>
      </c>
      <c r="AW26" s="31">
        <f>Ordinaria!AW26</f>
        <v>1</v>
      </c>
      <c r="AX26" s="32">
        <f t="shared" si="82"/>
        <v>0.5</v>
      </c>
      <c r="AY26" s="31">
        <f>Ordinaria!AY26</f>
        <v>0.40000000596046448</v>
      </c>
      <c r="AZ26" s="32">
        <f t="shared" si="83"/>
        <v>0.20000000298023224</v>
      </c>
      <c r="BA26" s="31">
        <f>Ordinaria!BA26</f>
        <v>1.2000000476837158</v>
      </c>
      <c r="BB26" s="32">
        <f t="shared" si="84"/>
        <v>0.60000002384185791</v>
      </c>
      <c r="BC26" s="31">
        <f>Ordinaria!BC26</f>
        <v>0.40000000596046448</v>
      </c>
      <c r="BD26" s="32">
        <f t="shared" si="85"/>
        <v>0.20000000298023224</v>
      </c>
      <c r="BE26" s="31">
        <f>Ordinaria!BE26</f>
        <v>0</v>
      </c>
      <c r="BF26" s="32">
        <f t="shared" si="86"/>
        <v>0</v>
      </c>
      <c r="BG26" s="31">
        <f>Ordinaria!BG26</f>
        <v>1.7999999523162842</v>
      </c>
      <c r="BH26" s="32">
        <f t="shared" si="87"/>
        <v>0.89999997615814209</v>
      </c>
      <c r="BI26" s="31">
        <f>Ordinaria!BI26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Ordinaria!B27</f>
        <v>2</v>
      </c>
      <c r="C27" s="31">
        <f>Ordinaria!C27</f>
        <v>1.3999999761581421</v>
      </c>
      <c r="D27" s="32">
        <f t="shared" si="59"/>
        <v>0.69999998807907104</v>
      </c>
      <c r="E27" s="31">
        <f>Ordinaria!E27</f>
        <v>1.7999999523162842</v>
      </c>
      <c r="F27" s="32">
        <f t="shared" si="60"/>
        <v>0.89999997615814209</v>
      </c>
      <c r="G27" s="31">
        <f>Ordinaria!G27</f>
        <v>0.40000000596046448</v>
      </c>
      <c r="H27" s="32">
        <f t="shared" si="61"/>
        <v>0.20000000298023224</v>
      </c>
      <c r="I27" s="31">
        <f>Ordinaria!I27</f>
        <v>2</v>
      </c>
      <c r="J27" s="32">
        <f t="shared" si="62"/>
        <v>1</v>
      </c>
      <c r="K27" s="31">
        <f>Ordinaria!K27</f>
        <v>1.7999999523162842</v>
      </c>
      <c r="L27" s="32">
        <f t="shared" si="63"/>
        <v>0.89999997615814209</v>
      </c>
      <c r="M27" s="31">
        <f>Ordinaria!M27</f>
        <v>0.80000001192092896</v>
      </c>
      <c r="N27" s="32">
        <f t="shared" si="64"/>
        <v>0.40000000596046448</v>
      </c>
      <c r="O27" s="31">
        <f>Ordinaria!O27</f>
        <v>1</v>
      </c>
      <c r="P27" s="32">
        <f t="shared" si="65"/>
        <v>0.5</v>
      </c>
      <c r="Q27" s="31">
        <f>Ordinaria!Q27</f>
        <v>1.6000000238418579</v>
      </c>
      <c r="R27" s="32">
        <f t="shared" si="66"/>
        <v>0.80000001192092896</v>
      </c>
      <c r="S27" s="31">
        <f>Ordinaria!S27</f>
        <v>1.7999999523162842</v>
      </c>
      <c r="T27" s="32">
        <f t="shared" si="67"/>
        <v>0.89999997615814209</v>
      </c>
      <c r="U27" s="31">
        <f>Ordinaria!U27</f>
        <v>0.80000001192092896</v>
      </c>
      <c r="V27" s="32">
        <f t="shared" si="68"/>
        <v>0.40000000596046448</v>
      </c>
      <c r="W27" s="31">
        <f>Ordinaria!W27</f>
        <v>0.40000000596046448</v>
      </c>
      <c r="X27" s="32">
        <f t="shared" si="69"/>
        <v>0.20000000298023224</v>
      </c>
      <c r="Y27" s="31">
        <f>Ordinaria!Y27</f>
        <v>0.60000002384185791</v>
      </c>
      <c r="Z27" s="32">
        <f t="shared" si="70"/>
        <v>0.30000001192092896</v>
      </c>
      <c r="AA27" s="31">
        <f>Ordinaria!AA27</f>
        <v>0.80000001192092896</v>
      </c>
      <c r="AB27" s="32">
        <f t="shared" si="71"/>
        <v>0.40000000596046448</v>
      </c>
      <c r="AC27" s="31">
        <f>Ordinaria!AC27</f>
        <v>0.20000000298023224</v>
      </c>
      <c r="AD27" s="32">
        <f t="shared" si="72"/>
        <v>0.10000000149011612</v>
      </c>
      <c r="AE27" s="31">
        <f>Ordinaria!AE27</f>
        <v>1.2000000476837158</v>
      </c>
      <c r="AF27" s="32">
        <f t="shared" si="73"/>
        <v>0.60000002384185791</v>
      </c>
      <c r="AG27" s="31">
        <f>Ordinaria!AG27</f>
        <v>0.20000000298023224</v>
      </c>
      <c r="AH27" s="32">
        <f t="shared" si="74"/>
        <v>0.10000000149011612</v>
      </c>
      <c r="AI27" s="31">
        <f>Ordinaria!AI27</f>
        <v>0.40000000596046448</v>
      </c>
      <c r="AJ27" s="32">
        <f t="shared" si="75"/>
        <v>0.20000000298023224</v>
      </c>
      <c r="AK27" s="31">
        <f>Ordinaria!AK27</f>
        <v>1.3999999761581421</v>
      </c>
      <c r="AL27" s="32">
        <f t="shared" si="76"/>
        <v>0.69999998807907104</v>
      </c>
      <c r="AM27" s="31">
        <f>Ordinaria!AM27</f>
        <v>1</v>
      </c>
      <c r="AN27" s="32">
        <f t="shared" si="77"/>
        <v>0.5</v>
      </c>
      <c r="AO27" s="31">
        <f>Ordinaria!AO27</f>
        <v>0.40000000596046448</v>
      </c>
      <c r="AP27" s="32">
        <f t="shared" si="78"/>
        <v>0.20000000298023224</v>
      </c>
      <c r="AQ27" s="31">
        <f>Ordinaria!AQ27</f>
        <v>2</v>
      </c>
      <c r="AR27" s="32">
        <f t="shared" si="79"/>
        <v>1</v>
      </c>
      <c r="AS27" s="31">
        <f>Ordinaria!AS27</f>
        <v>1</v>
      </c>
      <c r="AT27" s="32">
        <f t="shared" si="80"/>
        <v>0.5</v>
      </c>
      <c r="AU27" s="31">
        <f>Ordinaria!AU27</f>
        <v>0</v>
      </c>
      <c r="AV27" s="32">
        <f t="shared" si="81"/>
        <v>0</v>
      </c>
      <c r="AW27" s="31">
        <f>Ordinaria!AW27</f>
        <v>0.80000001192092896</v>
      </c>
      <c r="AX27" s="32">
        <f t="shared" si="82"/>
        <v>0.40000000596046448</v>
      </c>
      <c r="AY27" s="31">
        <f>Ordinaria!AY27</f>
        <v>0.60000002384185791</v>
      </c>
      <c r="AZ27" s="32">
        <f t="shared" si="83"/>
        <v>0.30000001192092896</v>
      </c>
      <c r="BA27" s="31">
        <f>Ordinaria!BA27</f>
        <v>1.6000000238418579</v>
      </c>
      <c r="BB27" s="32">
        <f t="shared" si="84"/>
        <v>0.80000001192092896</v>
      </c>
      <c r="BC27" s="31">
        <f>Ordinaria!BC27</f>
        <v>1.7999999523162842</v>
      </c>
      <c r="BD27" s="32">
        <f t="shared" si="85"/>
        <v>0.89999997615814209</v>
      </c>
      <c r="BE27" s="31">
        <f>Ordinaria!BE27</f>
        <v>1.7999999523162842</v>
      </c>
      <c r="BF27" s="32">
        <f t="shared" si="86"/>
        <v>0.89999997615814209</v>
      </c>
      <c r="BG27" s="31">
        <f>Ordinaria!BG27</f>
        <v>0.20000000298023224</v>
      </c>
      <c r="BH27" s="32">
        <f t="shared" si="87"/>
        <v>0.10000000149011612</v>
      </c>
      <c r="BI27" s="31">
        <f>Ordinaria!BI27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Ordinaria!B28</f>
        <v>2</v>
      </c>
      <c r="C28" s="31">
        <f>Ordinaria!C28</f>
        <v>0</v>
      </c>
      <c r="D28" s="32">
        <f t="shared" si="59"/>
        <v>0</v>
      </c>
      <c r="E28" s="31">
        <f>Ordinaria!E28</f>
        <v>0.20000000298023224</v>
      </c>
      <c r="F28" s="32">
        <f t="shared" si="60"/>
        <v>0.10000000149011612</v>
      </c>
      <c r="G28" s="31">
        <f>Ordinaria!G28</f>
        <v>0.80000001192092896</v>
      </c>
      <c r="H28" s="32">
        <f t="shared" si="61"/>
        <v>0.40000000596046448</v>
      </c>
      <c r="I28" s="31">
        <f>Ordinaria!I28</f>
        <v>0.40000000596046448</v>
      </c>
      <c r="J28" s="32">
        <f t="shared" si="62"/>
        <v>0.20000000298023224</v>
      </c>
      <c r="K28" s="31">
        <f>Ordinaria!K28</f>
        <v>2</v>
      </c>
      <c r="L28" s="32">
        <f t="shared" si="63"/>
        <v>1</v>
      </c>
      <c r="M28" s="31">
        <f>Ordinaria!M28</f>
        <v>1.7999999523162842</v>
      </c>
      <c r="N28" s="32">
        <f t="shared" si="64"/>
        <v>0.89999997615814209</v>
      </c>
      <c r="O28" s="31">
        <f>Ordinaria!O28</f>
        <v>1.2000000476837158</v>
      </c>
      <c r="P28" s="32">
        <f t="shared" si="65"/>
        <v>0.60000002384185791</v>
      </c>
      <c r="Q28" s="31">
        <f>Ordinaria!Q28</f>
        <v>1.6000000238418579</v>
      </c>
      <c r="R28" s="32">
        <f t="shared" si="66"/>
        <v>0.80000001192092896</v>
      </c>
      <c r="S28" s="31">
        <f>Ordinaria!S28</f>
        <v>0.20000000298023224</v>
      </c>
      <c r="T28" s="32">
        <f t="shared" si="67"/>
        <v>0.10000000149011612</v>
      </c>
      <c r="U28" s="31">
        <f>Ordinaria!U28</f>
        <v>0.40000000596046448</v>
      </c>
      <c r="V28" s="32">
        <f t="shared" si="68"/>
        <v>0.20000000298023224</v>
      </c>
      <c r="W28" s="31">
        <f>Ordinaria!W28</f>
        <v>0</v>
      </c>
      <c r="X28" s="32">
        <f t="shared" si="69"/>
        <v>0</v>
      </c>
      <c r="Y28" s="31">
        <f>Ordinaria!Y28</f>
        <v>1.7999999523162842</v>
      </c>
      <c r="Z28" s="32">
        <f t="shared" si="70"/>
        <v>0.89999997615814209</v>
      </c>
      <c r="AA28" s="31">
        <f>Ordinaria!AA28</f>
        <v>1.6000000238418579</v>
      </c>
      <c r="AB28" s="32">
        <f t="shared" si="71"/>
        <v>0.80000001192092896</v>
      </c>
      <c r="AC28" s="31">
        <f>Ordinaria!AC28</f>
        <v>1.6000000238418579</v>
      </c>
      <c r="AD28" s="32">
        <f t="shared" si="72"/>
        <v>0.80000001192092896</v>
      </c>
      <c r="AE28" s="31">
        <f>Ordinaria!AE28</f>
        <v>0.60000002384185791</v>
      </c>
      <c r="AF28" s="32">
        <f t="shared" si="73"/>
        <v>0.30000001192092896</v>
      </c>
      <c r="AG28" s="31">
        <f>Ordinaria!AG28</f>
        <v>0.80000001192092896</v>
      </c>
      <c r="AH28" s="32">
        <f t="shared" si="74"/>
        <v>0.40000000596046448</v>
      </c>
      <c r="AI28" s="31">
        <f>Ordinaria!AI28</f>
        <v>1.2000000476837158</v>
      </c>
      <c r="AJ28" s="32">
        <f t="shared" si="75"/>
        <v>0.60000002384185791</v>
      </c>
      <c r="AK28" s="31">
        <f>Ordinaria!AK28</f>
        <v>1.6000000238418579</v>
      </c>
      <c r="AL28" s="32">
        <f t="shared" si="76"/>
        <v>0.80000001192092896</v>
      </c>
      <c r="AM28" s="31">
        <f>Ordinaria!AM28</f>
        <v>1.2000000476837158</v>
      </c>
      <c r="AN28" s="32">
        <f t="shared" si="77"/>
        <v>0.60000002384185791</v>
      </c>
      <c r="AO28" s="31">
        <f>Ordinaria!AO28</f>
        <v>0.40000000596046448</v>
      </c>
      <c r="AP28" s="32">
        <f t="shared" si="78"/>
        <v>0.20000000298023224</v>
      </c>
      <c r="AQ28" s="31">
        <f>Ordinaria!AQ28</f>
        <v>0.40000000596046448</v>
      </c>
      <c r="AR28" s="32">
        <f t="shared" si="79"/>
        <v>0.20000000298023224</v>
      </c>
      <c r="AS28" s="31">
        <f>Ordinaria!AS28</f>
        <v>0.80000001192092896</v>
      </c>
      <c r="AT28" s="32">
        <f t="shared" si="80"/>
        <v>0.40000000596046448</v>
      </c>
      <c r="AU28" s="31">
        <f>Ordinaria!AU28</f>
        <v>1.2000000476837158</v>
      </c>
      <c r="AV28" s="32">
        <f t="shared" si="81"/>
        <v>0.60000002384185791</v>
      </c>
      <c r="AW28" s="31">
        <f>Ordinaria!AW28</f>
        <v>0.60000002384185791</v>
      </c>
      <c r="AX28" s="32">
        <f t="shared" si="82"/>
        <v>0.30000001192092896</v>
      </c>
      <c r="AY28" s="31">
        <f>Ordinaria!AY28</f>
        <v>1</v>
      </c>
      <c r="AZ28" s="32">
        <f t="shared" si="83"/>
        <v>0.5</v>
      </c>
      <c r="BA28" s="31">
        <f>Ordinaria!BA28</f>
        <v>0.80000001192092896</v>
      </c>
      <c r="BB28" s="32">
        <f t="shared" si="84"/>
        <v>0.40000000596046448</v>
      </c>
      <c r="BC28" s="31">
        <f>Ordinaria!BC28</f>
        <v>1.2000000476837158</v>
      </c>
      <c r="BD28" s="32">
        <f t="shared" si="85"/>
        <v>0.60000002384185791</v>
      </c>
      <c r="BE28" s="31">
        <f>Ordinaria!BE28</f>
        <v>0</v>
      </c>
      <c r="BF28" s="32">
        <f t="shared" si="86"/>
        <v>0</v>
      </c>
      <c r="BG28" s="31">
        <f>Ordinaria!BG28</f>
        <v>1.2000000476837158</v>
      </c>
      <c r="BH28" s="32">
        <f t="shared" si="87"/>
        <v>0.60000002384185791</v>
      </c>
      <c r="BI28" s="31">
        <f>Ordinaria!BI28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Ordinaria!B29</f>
        <v>2</v>
      </c>
      <c r="C29" s="31">
        <f>Ordinaria!C29</f>
        <v>2</v>
      </c>
      <c r="D29" s="32">
        <f t="shared" si="59"/>
        <v>1</v>
      </c>
      <c r="E29" s="31">
        <f>Ordinaria!E29</f>
        <v>2</v>
      </c>
      <c r="F29" s="32">
        <f t="shared" si="60"/>
        <v>1</v>
      </c>
      <c r="G29" s="31">
        <f>Ordinaria!G29</f>
        <v>2</v>
      </c>
      <c r="H29" s="32">
        <f t="shared" si="61"/>
        <v>1</v>
      </c>
      <c r="I29" s="31">
        <f>Ordinaria!I29</f>
        <v>1.7999999523162842</v>
      </c>
      <c r="J29" s="32">
        <f t="shared" si="62"/>
        <v>0.89999997615814209</v>
      </c>
      <c r="K29" s="31">
        <f>Ordinaria!K29</f>
        <v>0.80000001192092896</v>
      </c>
      <c r="L29" s="32">
        <f t="shared" si="63"/>
        <v>0.40000000596046448</v>
      </c>
      <c r="M29" s="31">
        <f>Ordinaria!M29</f>
        <v>1.6000000238418579</v>
      </c>
      <c r="N29" s="32">
        <f t="shared" si="64"/>
        <v>0.80000001192092896</v>
      </c>
      <c r="O29" s="31">
        <f>Ordinaria!O29</f>
        <v>2</v>
      </c>
      <c r="P29" s="32">
        <f t="shared" si="65"/>
        <v>1</v>
      </c>
      <c r="Q29" s="31">
        <f>Ordinaria!Q29</f>
        <v>0.40000000596046448</v>
      </c>
      <c r="R29" s="32">
        <f t="shared" si="66"/>
        <v>0.20000000298023224</v>
      </c>
      <c r="S29" s="31">
        <f>Ordinaria!S29</f>
        <v>0.20000000298023224</v>
      </c>
      <c r="T29" s="32">
        <f t="shared" si="67"/>
        <v>0.10000000149011612</v>
      </c>
      <c r="U29" s="31">
        <f>Ordinaria!U29</f>
        <v>1.3999999761581421</v>
      </c>
      <c r="V29" s="32">
        <f t="shared" si="68"/>
        <v>0.69999998807907104</v>
      </c>
      <c r="W29" s="31">
        <f>Ordinaria!W29</f>
        <v>0</v>
      </c>
      <c r="X29" s="32">
        <f t="shared" si="69"/>
        <v>0</v>
      </c>
      <c r="Y29" s="31">
        <f>Ordinaria!Y29</f>
        <v>0.60000002384185791</v>
      </c>
      <c r="Z29" s="32">
        <f t="shared" si="70"/>
        <v>0.30000001192092896</v>
      </c>
      <c r="AA29" s="31">
        <f>Ordinaria!AA29</f>
        <v>1.3999999761581421</v>
      </c>
      <c r="AB29" s="32">
        <f t="shared" si="71"/>
        <v>0.69999998807907104</v>
      </c>
      <c r="AC29" s="31">
        <f>Ordinaria!AC29</f>
        <v>0.20000000298023224</v>
      </c>
      <c r="AD29" s="32">
        <f t="shared" si="72"/>
        <v>0.10000000149011612</v>
      </c>
      <c r="AE29" s="31">
        <f>Ordinaria!AE29</f>
        <v>0.20000000298023224</v>
      </c>
      <c r="AF29" s="32">
        <f t="shared" si="73"/>
        <v>0.10000000149011612</v>
      </c>
      <c r="AG29" s="31">
        <f>Ordinaria!AG29</f>
        <v>0.60000002384185791</v>
      </c>
      <c r="AH29" s="32">
        <f t="shared" si="74"/>
        <v>0.30000001192092896</v>
      </c>
      <c r="AI29" s="31">
        <f>Ordinaria!AI29</f>
        <v>0.80000001192092896</v>
      </c>
      <c r="AJ29" s="32">
        <f t="shared" si="75"/>
        <v>0.40000000596046448</v>
      </c>
      <c r="AK29" s="31">
        <f>Ordinaria!AK29</f>
        <v>1.2000000476837158</v>
      </c>
      <c r="AL29" s="32">
        <f t="shared" si="76"/>
        <v>0.60000002384185791</v>
      </c>
      <c r="AM29" s="31">
        <f>Ordinaria!AM29</f>
        <v>0.60000002384185791</v>
      </c>
      <c r="AN29" s="32">
        <f t="shared" si="77"/>
        <v>0.30000001192092896</v>
      </c>
      <c r="AO29" s="31">
        <f>Ordinaria!AO29</f>
        <v>0.60000002384185791</v>
      </c>
      <c r="AP29" s="32">
        <f t="shared" si="78"/>
        <v>0.30000001192092896</v>
      </c>
      <c r="AQ29" s="31">
        <f>Ordinaria!AQ29</f>
        <v>1.6000000238418579</v>
      </c>
      <c r="AR29" s="32">
        <f t="shared" si="79"/>
        <v>0.80000001192092896</v>
      </c>
      <c r="AS29" s="31">
        <f>Ordinaria!AS29</f>
        <v>0.60000002384185791</v>
      </c>
      <c r="AT29" s="32">
        <f t="shared" si="80"/>
        <v>0.30000001192092896</v>
      </c>
      <c r="AU29" s="31">
        <f>Ordinaria!AU29</f>
        <v>0.80000001192092896</v>
      </c>
      <c r="AV29" s="32">
        <f t="shared" si="81"/>
        <v>0.40000000596046448</v>
      </c>
      <c r="AW29" s="31">
        <f>Ordinaria!AW29</f>
        <v>0.80000001192092896</v>
      </c>
      <c r="AX29" s="32">
        <f t="shared" si="82"/>
        <v>0.40000000596046448</v>
      </c>
      <c r="AY29" s="31">
        <f>Ordinaria!AY29</f>
        <v>1.7999999523162842</v>
      </c>
      <c r="AZ29" s="32">
        <f t="shared" si="83"/>
        <v>0.89999997615814209</v>
      </c>
      <c r="BA29" s="31">
        <f>Ordinaria!BA29</f>
        <v>0.80000001192092896</v>
      </c>
      <c r="BB29" s="32">
        <f t="shared" si="84"/>
        <v>0.40000000596046448</v>
      </c>
      <c r="BC29" s="31">
        <f>Ordinaria!BC29</f>
        <v>1.3999999761581421</v>
      </c>
      <c r="BD29" s="32">
        <f t="shared" si="85"/>
        <v>0.69999998807907104</v>
      </c>
      <c r="BE29" s="31">
        <f>Ordinaria!BE29</f>
        <v>1.3999999761581421</v>
      </c>
      <c r="BF29" s="32">
        <f t="shared" si="86"/>
        <v>0.69999998807907104</v>
      </c>
      <c r="BG29" s="31">
        <f>Ordinaria!BG29</f>
        <v>0.80000001192092896</v>
      </c>
      <c r="BH29" s="32">
        <f t="shared" si="87"/>
        <v>0.40000000596046448</v>
      </c>
      <c r="BI29" s="31">
        <f>Ordinaria!BI29</f>
        <v>2</v>
      </c>
      <c r="BJ29" s="32">
        <f t="shared" si="88"/>
        <v>1</v>
      </c>
    </row>
    <row r="30" spans="1:62" ht="70" x14ac:dyDescent="0.2">
      <c r="A30" s="2" t="s">
        <v>31</v>
      </c>
      <c r="B30" s="13">
        <f>Ordinaria!B30</f>
        <v>0</v>
      </c>
      <c r="C30" s="31">
        <f>Ordinaria!C30</f>
        <v>0</v>
      </c>
      <c r="D30" s="32">
        <f t="shared" si="59"/>
        <v>-1</v>
      </c>
      <c r="E30" s="31">
        <f>Ordinaria!E30</f>
        <v>0</v>
      </c>
      <c r="F30" s="32">
        <f t="shared" si="60"/>
        <v>-1</v>
      </c>
      <c r="G30" s="31">
        <f>Ordinaria!G30</f>
        <v>0</v>
      </c>
      <c r="H30" s="32">
        <f t="shared" si="61"/>
        <v>-1</v>
      </c>
      <c r="I30" s="31">
        <f>Ordinaria!I30</f>
        <v>0</v>
      </c>
      <c r="J30" s="32">
        <f t="shared" si="62"/>
        <v>-1</v>
      </c>
      <c r="K30" s="31">
        <f>Ordinaria!K30</f>
        <v>0</v>
      </c>
      <c r="L30" s="32">
        <f t="shared" si="63"/>
        <v>-1</v>
      </c>
      <c r="M30" s="31">
        <f>Ordinaria!M30</f>
        <v>0</v>
      </c>
      <c r="N30" s="32">
        <f t="shared" si="64"/>
        <v>-1</v>
      </c>
      <c r="O30" s="31">
        <f>Ordinaria!O30</f>
        <v>0</v>
      </c>
      <c r="P30" s="32">
        <f t="shared" si="65"/>
        <v>-1</v>
      </c>
      <c r="Q30" s="31">
        <f>Ordinaria!Q30</f>
        <v>0</v>
      </c>
      <c r="R30" s="32">
        <f t="shared" si="66"/>
        <v>-1</v>
      </c>
      <c r="S30" s="31">
        <f>Ordinaria!S30</f>
        <v>0</v>
      </c>
      <c r="T30" s="32">
        <f t="shared" si="67"/>
        <v>-1</v>
      </c>
      <c r="U30" s="31">
        <f>Ordinaria!U30</f>
        <v>0</v>
      </c>
      <c r="V30" s="32">
        <f t="shared" si="68"/>
        <v>-1</v>
      </c>
      <c r="W30" s="31">
        <f>Ordinaria!W30</f>
        <v>0</v>
      </c>
      <c r="X30" s="32">
        <f t="shared" si="69"/>
        <v>-1</v>
      </c>
      <c r="Y30" s="31">
        <f>Ordinaria!Y30</f>
        <v>0</v>
      </c>
      <c r="Z30" s="32">
        <f t="shared" si="70"/>
        <v>-1</v>
      </c>
      <c r="AA30" s="31">
        <f>Ordinaria!AA30</f>
        <v>0</v>
      </c>
      <c r="AB30" s="32">
        <f t="shared" si="71"/>
        <v>-1</v>
      </c>
      <c r="AC30" s="31">
        <f>Ordinaria!AC30</f>
        <v>0</v>
      </c>
      <c r="AD30" s="32">
        <f t="shared" si="72"/>
        <v>-1</v>
      </c>
      <c r="AE30" s="31">
        <f>Ordinaria!AE30</f>
        <v>0</v>
      </c>
      <c r="AF30" s="32">
        <f t="shared" si="73"/>
        <v>-1</v>
      </c>
      <c r="AG30" s="31">
        <f>Ordinaria!AG30</f>
        <v>0</v>
      </c>
      <c r="AH30" s="32">
        <f t="shared" si="74"/>
        <v>-1</v>
      </c>
      <c r="AI30" s="31">
        <f>Ordinaria!AI30</f>
        <v>0</v>
      </c>
      <c r="AJ30" s="32">
        <f t="shared" si="75"/>
        <v>-1</v>
      </c>
      <c r="AK30" s="31">
        <f>Ordinaria!AK30</f>
        <v>0</v>
      </c>
      <c r="AL30" s="32">
        <f t="shared" si="76"/>
        <v>-1</v>
      </c>
      <c r="AM30" s="31">
        <f>Ordinaria!AM30</f>
        <v>0</v>
      </c>
      <c r="AN30" s="32">
        <f t="shared" si="77"/>
        <v>-1</v>
      </c>
      <c r="AO30" s="31">
        <f>Ordinaria!AO30</f>
        <v>0</v>
      </c>
      <c r="AP30" s="32">
        <f t="shared" si="78"/>
        <v>-1</v>
      </c>
      <c r="AQ30" s="31">
        <f>Ordinaria!AQ30</f>
        <v>0</v>
      </c>
      <c r="AR30" s="32">
        <f t="shared" si="79"/>
        <v>-1</v>
      </c>
      <c r="AS30" s="31">
        <f>Ordinaria!AS30</f>
        <v>0</v>
      </c>
      <c r="AT30" s="32">
        <f t="shared" si="80"/>
        <v>-1</v>
      </c>
      <c r="AU30" s="31">
        <f>Ordinaria!AU30</f>
        <v>0</v>
      </c>
      <c r="AV30" s="32">
        <f t="shared" si="81"/>
        <v>-1</v>
      </c>
      <c r="AW30" s="31">
        <f>Ordinaria!AW30</f>
        <v>0</v>
      </c>
      <c r="AX30" s="32">
        <f t="shared" si="82"/>
        <v>-1</v>
      </c>
      <c r="AY30" s="31">
        <f>Ordinaria!AY30</f>
        <v>0</v>
      </c>
      <c r="AZ30" s="32">
        <f t="shared" si="83"/>
        <v>-1</v>
      </c>
      <c r="BA30" s="31">
        <f>Ordinaria!BA30</f>
        <v>0</v>
      </c>
      <c r="BB30" s="32">
        <f t="shared" si="84"/>
        <v>-1</v>
      </c>
      <c r="BC30" s="31">
        <f>Ordinaria!BC30</f>
        <v>0</v>
      </c>
      <c r="BD30" s="32">
        <f t="shared" si="85"/>
        <v>-1</v>
      </c>
      <c r="BE30" s="31">
        <f>Ordinaria!BE30</f>
        <v>0</v>
      </c>
      <c r="BF30" s="32">
        <f t="shared" si="86"/>
        <v>-1</v>
      </c>
      <c r="BG30" s="31">
        <f>Ordinaria!BG30</f>
        <v>0</v>
      </c>
      <c r="BH30" s="32">
        <f t="shared" si="87"/>
        <v>-1</v>
      </c>
      <c r="BI30" s="31">
        <f>Ordinaria!BI30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Ordinaria!B31</f>
        <v>2</v>
      </c>
      <c r="C31" s="31">
        <f>Ordinaria!C31</f>
        <v>1.3999999761581421</v>
      </c>
      <c r="D31" s="32">
        <f t="shared" si="59"/>
        <v>0.69999998807907104</v>
      </c>
      <c r="E31" s="31">
        <f>Ordinaria!E31</f>
        <v>1</v>
      </c>
      <c r="F31" s="32">
        <f t="shared" si="60"/>
        <v>0.5</v>
      </c>
      <c r="G31" s="31">
        <f>Ordinaria!G31</f>
        <v>0.40000000596046448</v>
      </c>
      <c r="H31" s="32">
        <f t="shared" si="61"/>
        <v>0.20000000298023224</v>
      </c>
      <c r="I31" s="31">
        <f>Ordinaria!I31</f>
        <v>1.2000000476837158</v>
      </c>
      <c r="J31" s="32">
        <f t="shared" si="62"/>
        <v>0.60000002384185791</v>
      </c>
      <c r="K31" s="31">
        <f>Ordinaria!K31</f>
        <v>1.6000000238418579</v>
      </c>
      <c r="L31" s="32">
        <f t="shared" si="63"/>
        <v>0.80000001192092896</v>
      </c>
      <c r="M31" s="31">
        <f>Ordinaria!M31</f>
        <v>1</v>
      </c>
      <c r="N31" s="32">
        <f t="shared" si="64"/>
        <v>0.5</v>
      </c>
      <c r="O31" s="31">
        <f>Ordinaria!O31</f>
        <v>1.7999999523162842</v>
      </c>
      <c r="P31" s="32">
        <f t="shared" si="65"/>
        <v>0.89999997615814209</v>
      </c>
      <c r="Q31" s="31">
        <f>Ordinaria!Q31</f>
        <v>0.60000002384185791</v>
      </c>
      <c r="R31" s="32">
        <f t="shared" si="66"/>
        <v>0.30000001192092896</v>
      </c>
      <c r="S31" s="31">
        <f>Ordinaria!S31</f>
        <v>1.3999999761581421</v>
      </c>
      <c r="T31" s="32">
        <f t="shared" si="67"/>
        <v>0.69999998807907104</v>
      </c>
      <c r="U31" s="31">
        <f>Ordinaria!U31</f>
        <v>1.7999999523162842</v>
      </c>
      <c r="V31" s="32">
        <f t="shared" si="68"/>
        <v>0.89999997615814209</v>
      </c>
      <c r="W31" s="31">
        <f>Ordinaria!W31</f>
        <v>0.60000002384185791</v>
      </c>
      <c r="X31" s="32">
        <f t="shared" si="69"/>
        <v>0.30000001192092896</v>
      </c>
      <c r="Y31" s="31">
        <f>Ordinaria!Y31</f>
        <v>0.80000001192092896</v>
      </c>
      <c r="Z31" s="32">
        <f t="shared" si="70"/>
        <v>0.40000000596046448</v>
      </c>
      <c r="AA31" s="31">
        <f>Ordinaria!AA31</f>
        <v>0</v>
      </c>
      <c r="AB31" s="32">
        <f t="shared" si="71"/>
        <v>0</v>
      </c>
      <c r="AC31" s="31">
        <f>Ordinaria!AC31</f>
        <v>0.60000002384185791</v>
      </c>
      <c r="AD31" s="32">
        <f t="shared" si="72"/>
        <v>0.30000001192092896</v>
      </c>
      <c r="AE31" s="31">
        <f>Ordinaria!AE31</f>
        <v>2</v>
      </c>
      <c r="AF31" s="32">
        <f t="shared" si="73"/>
        <v>1</v>
      </c>
      <c r="AG31" s="31">
        <f>Ordinaria!AG31</f>
        <v>1.6000000238418579</v>
      </c>
      <c r="AH31" s="32">
        <f t="shared" si="74"/>
        <v>0.80000001192092896</v>
      </c>
      <c r="AI31" s="31">
        <f>Ordinaria!AI31</f>
        <v>1.2000000476837158</v>
      </c>
      <c r="AJ31" s="32">
        <f t="shared" si="75"/>
        <v>0.60000002384185791</v>
      </c>
      <c r="AK31" s="31">
        <f>Ordinaria!AK31</f>
        <v>1.2000000476837158</v>
      </c>
      <c r="AL31" s="32">
        <f t="shared" si="76"/>
        <v>0.60000002384185791</v>
      </c>
      <c r="AM31" s="31">
        <f>Ordinaria!AM31</f>
        <v>0.40000000596046448</v>
      </c>
      <c r="AN31" s="32">
        <f t="shared" si="77"/>
        <v>0.20000000298023224</v>
      </c>
      <c r="AO31" s="31">
        <f>Ordinaria!AO31</f>
        <v>1</v>
      </c>
      <c r="AP31" s="32">
        <f t="shared" si="78"/>
        <v>0.5</v>
      </c>
      <c r="AQ31" s="31">
        <f>Ordinaria!AQ31</f>
        <v>1.6000000238418579</v>
      </c>
      <c r="AR31" s="32">
        <f t="shared" si="79"/>
        <v>0.80000001192092896</v>
      </c>
      <c r="AS31" s="31">
        <f>Ordinaria!AS31</f>
        <v>1.7999999523162842</v>
      </c>
      <c r="AT31" s="32">
        <f t="shared" si="80"/>
        <v>0.89999997615814209</v>
      </c>
      <c r="AU31" s="31">
        <f>Ordinaria!AU31</f>
        <v>0.20000000298023224</v>
      </c>
      <c r="AV31" s="32">
        <f t="shared" si="81"/>
        <v>0.10000000149011612</v>
      </c>
      <c r="AW31" s="31">
        <f>Ordinaria!AW31</f>
        <v>1</v>
      </c>
      <c r="AX31" s="32">
        <f t="shared" si="82"/>
        <v>0.5</v>
      </c>
      <c r="AY31" s="31">
        <f>Ordinaria!AY31</f>
        <v>0.80000001192092896</v>
      </c>
      <c r="AZ31" s="32">
        <f t="shared" si="83"/>
        <v>0.40000000596046448</v>
      </c>
      <c r="BA31" s="31">
        <f>Ordinaria!BA31</f>
        <v>0</v>
      </c>
      <c r="BB31" s="32">
        <f t="shared" si="84"/>
        <v>0</v>
      </c>
      <c r="BC31" s="31">
        <f>Ordinaria!BC31</f>
        <v>0.80000001192092896</v>
      </c>
      <c r="BD31" s="32">
        <f t="shared" si="85"/>
        <v>0.40000000596046448</v>
      </c>
      <c r="BE31" s="31">
        <f>Ordinaria!BE31</f>
        <v>1.3999999761581421</v>
      </c>
      <c r="BF31" s="32">
        <f t="shared" si="86"/>
        <v>0.69999998807907104</v>
      </c>
      <c r="BG31" s="31">
        <f>Ordinaria!BG31</f>
        <v>1</v>
      </c>
      <c r="BH31" s="32">
        <f t="shared" si="87"/>
        <v>0.5</v>
      </c>
      <c r="BI31" s="31">
        <f>Ordinaria!BI31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Ordinaria!B32</f>
        <v>0</v>
      </c>
      <c r="C32" s="31">
        <f>Ordinaria!C32</f>
        <v>0</v>
      </c>
      <c r="D32" s="32">
        <f t="shared" si="59"/>
        <v>-1</v>
      </c>
      <c r="E32" s="31">
        <f>Ordinaria!E32</f>
        <v>0</v>
      </c>
      <c r="F32" s="32">
        <f t="shared" si="60"/>
        <v>-1</v>
      </c>
      <c r="G32" s="31">
        <f>Ordinaria!G32</f>
        <v>0</v>
      </c>
      <c r="H32" s="32">
        <f t="shared" si="61"/>
        <v>-1</v>
      </c>
      <c r="I32" s="31">
        <f>Ordinaria!I32</f>
        <v>0</v>
      </c>
      <c r="J32" s="32">
        <f t="shared" si="62"/>
        <v>-1</v>
      </c>
      <c r="K32" s="31">
        <f>Ordinaria!K32</f>
        <v>0</v>
      </c>
      <c r="L32" s="32">
        <f t="shared" si="63"/>
        <v>-1</v>
      </c>
      <c r="M32" s="31">
        <f>Ordinaria!M32</f>
        <v>0</v>
      </c>
      <c r="N32" s="32">
        <f t="shared" si="64"/>
        <v>-1</v>
      </c>
      <c r="O32" s="31">
        <f>Ordinaria!O32</f>
        <v>0</v>
      </c>
      <c r="P32" s="32">
        <f t="shared" si="65"/>
        <v>-1</v>
      </c>
      <c r="Q32" s="31">
        <f>Ordinaria!Q32</f>
        <v>0</v>
      </c>
      <c r="R32" s="32">
        <f t="shared" si="66"/>
        <v>-1</v>
      </c>
      <c r="S32" s="31">
        <f>Ordinaria!S32</f>
        <v>0</v>
      </c>
      <c r="T32" s="32">
        <f t="shared" si="67"/>
        <v>-1</v>
      </c>
      <c r="U32" s="31">
        <f>Ordinaria!U32</f>
        <v>0</v>
      </c>
      <c r="V32" s="32">
        <f t="shared" si="68"/>
        <v>-1</v>
      </c>
      <c r="W32" s="31">
        <f>Ordinaria!W32</f>
        <v>0</v>
      </c>
      <c r="X32" s="32">
        <f t="shared" si="69"/>
        <v>-1</v>
      </c>
      <c r="Y32" s="31">
        <f>Ordinaria!Y32</f>
        <v>0</v>
      </c>
      <c r="Z32" s="32">
        <f t="shared" si="70"/>
        <v>-1</v>
      </c>
      <c r="AA32" s="31">
        <f>Ordinaria!AA32</f>
        <v>0</v>
      </c>
      <c r="AB32" s="32">
        <f t="shared" si="71"/>
        <v>-1</v>
      </c>
      <c r="AC32" s="31">
        <f>Ordinaria!AC32</f>
        <v>0</v>
      </c>
      <c r="AD32" s="32">
        <f t="shared" si="72"/>
        <v>-1</v>
      </c>
      <c r="AE32" s="31">
        <f>Ordinaria!AE32</f>
        <v>0</v>
      </c>
      <c r="AF32" s="32">
        <f t="shared" si="73"/>
        <v>-1</v>
      </c>
      <c r="AG32" s="31">
        <f>Ordinaria!AG32</f>
        <v>0</v>
      </c>
      <c r="AH32" s="32">
        <f t="shared" si="74"/>
        <v>-1</v>
      </c>
      <c r="AI32" s="31">
        <f>Ordinaria!AI32</f>
        <v>0</v>
      </c>
      <c r="AJ32" s="32">
        <f t="shared" si="75"/>
        <v>-1</v>
      </c>
      <c r="AK32" s="31">
        <f>Ordinaria!AK32</f>
        <v>0</v>
      </c>
      <c r="AL32" s="32">
        <f t="shared" si="76"/>
        <v>-1</v>
      </c>
      <c r="AM32" s="31">
        <f>Ordinaria!AM32</f>
        <v>0</v>
      </c>
      <c r="AN32" s="32">
        <f t="shared" si="77"/>
        <v>-1</v>
      </c>
      <c r="AO32" s="31">
        <f>Ordinaria!AO32</f>
        <v>0</v>
      </c>
      <c r="AP32" s="32">
        <f t="shared" si="78"/>
        <v>-1</v>
      </c>
      <c r="AQ32" s="31">
        <f>Ordinaria!AQ32</f>
        <v>0</v>
      </c>
      <c r="AR32" s="32">
        <f t="shared" si="79"/>
        <v>-1</v>
      </c>
      <c r="AS32" s="31">
        <f>Ordinaria!AS32</f>
        <v>0</v>
      </c>
      <c r="AT32" s="32">
        <f t="shared" si="80"/>
        <v>-1</v>
      </c>
      <c r="AU32" s="31">
        <f>Ordinaria!AU32</f>
        <v>0</v>
      </c>
      <c r="AV32" s="32">
        <f t="shared" si="81"/>
        <v>-1</v>
      </c>
      <c r="AW32" s="31">
        <f>Ordinaria!AW32</f>
        <v>0</v>
      </c>
      <c r="AX32" s="32">
        <f t="shared" si="82"/>
        <v>-1</v>
      </c>
      <c r="AY32" s="31">
        <f>Ordinaria!AY32</f>
        <v>0</v>
      </c>
      <c r="AZ32" s="32">
        <f t="shared" si="83"/>
        <v>-1</v>
      </c>
      <c r="BA32" s="31">
        <f>Ordinaria!BA32</f>
        <v>0</v>
      </c>
      <c r="BB32" s="32">
        <f t="shared" si="84"/>
        <v>-1</v>
      </c>
      <c r="BC32" s="31">
        <f>Ordinaria!BC32</f>
        <v>0</v>
      </c>
      <c r="BD32" s="32">
        <f t="shared" si="85"/>
        <v>-1</v>
      </c>
      <c r="BE32" s="31">
        <f>Ordinaria!BE32</f>
        <v>0</v>
      </c>
      <c r="BF32" s="32">
        <f t="shared" si="86"/>
        <v>-1</v>
      </c>
      <c r="BG32" s="31">
        <f>Ordinaria!BG32</f>
        <v>0</v>
      </c>
      <c r="BH32" s="32">
        <f t="shared" si="87"/>
        <v>-1</v>
      </c>
      <c r="BI32" s="31">
        <f>Ordinaria!BI32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Ordinaria!B33</f>
        <v>0</v>
      </c>
      <c r="C33" s="31">
        <f>Ordinaria!C33</f>
        <v>0</v>
      </c>
      <c r="D33" s="32">
        <f t="shared" si="59"/>
        <v>-1</v>
      </c>
      <c r="E33" s="31">
        <f>Ordinaria!E33</f>
        <v>0</v>
      </c>
      <c r="F33" s="32">
        <f t="shared" si="60"/>
        <v>-1</v>
      </c>
      <c r="G33" s="31">
        <f>Ordinaria!G33</f>
        <v>0</v>
      </c>
      <c r="H33" s="32">
        <f t="shared" si="61"/>
        <v>-1</v>
      </c>
      <c r="I33" s="31">
        <f>Ordinaria!I33</f>
        <v>0</v>
      </c>
      <c r="J33" s="32">
        <f t="shared" si="62"/>
        <v>-1</v>
      </c>
      <c r="K33" s="31">
        <f>Ordinaria!K33</f>
        <v>0</v>
      </c>
      <c r="L33" s="32">
        <f t="shared" si="63"/>
        <v>-1</v>
      </c>
      <c r="M33" s="31">
        <f>Ordinaria!M33</f>
        <v>0</v>
      </c>
      <c r="N33" s="32">
        <f t="shared" si="64"/>
        <v>-1</v>
      </c>
      <c r="O33" s="31">
        <f>Ordinaria!O33</f>
        <v>0</v>
      </c>
      <c r="P33" s="32">
        <f t="shared" si="65"/>
        <v>-1</v>
      </c>
      <c r="Q33" s="31">
        <f>Ordinaria!Q33</f>
        <v>0</v>
      </c>
      <c r="R33" s="32">
        <f t="shared" si="66"/>
        <v>-1</v>
      </c>
      <c r="S33" s="31">
        <f>Ordinaria!S33</f>
        <v>0</v>
      </c>
      <c r="T33" s="32">
        <f t="shared" si="67"/>
        <v>-1</v>
      </c>
      <c r="U33" s="31">
        <f>Ordinaria!U33</f>
        <v>0</v>
      </c>
      <c r="V33" s="32">
        <f t="shared" si="68"/>
        <v>-1</v>
      </c>
      <c r="W33" s="31">
        <f>Ordinaria!W33</f>
        <v>0</v>
      </c>
      <c r="X33" s="32">
        <f t="shared" si="69"/>
        <v>-1</v>
      </c>
      <c r="Y33" s="31">
        <f>Ordinaria!Y33</f>
        <v>0</v>
      </c>
      <c r="Z33" s="32">
        <f t="shared" si="70"/>
        <v>-1</v>
      </c>
      <c r="AA33" s="31">
        <f>Ordinaria!AA33</f>
        <v>0</v>
      </c>
      <c r="AB33" s="32">
        <f t="shared" si="71"/>
        <v>-1</v>
      </c>
      <c r="AC33" s="31">
        <f>Ordinaria!AC33</f>
        <v>0</v>
      </c>
      <c r="AD33" s="32">
        <f t="shared" si="72"/>
        <v>-1</v>
      </c>
      <c r="AE33" s="31">
        <f>Ordinaria!AE33</f>
        <v>0</v>
      </c>
      <c r="AF33" s="32">
        <f t="shared" si="73"/>
        <v>-1</v>
      </c>
      <c r="AG33" s="31">
        <f>Ordinaria!AG33</f>
        <v>0</v>
      </c>
      <c r="AH33" s="32">
        <f t="shared" si="74"/>
        <v>-1</v>
      </c>
      <c r="AI33" s="31">
        <f>Ordinaria!AI33</f>
        <v>0</v>
      </c>
      <c r="AJ33" s="32">
        <f t="shared" si="75"/>
        <v>-1</v>
      </c>
      <c r="AK33" s="31">
        <f>Ordinaria!AK33</f>
        <v>0</v>
      </c>
      <c r="AL33" s="32">
        <f t="shared" si="76"/>
        <v>-1</v>
      </c>
      <c r="AM33" s="31">
        <f>Ordinaria!AM33</f>
        <v>0</v>
      </c>
      <c r="AN33" s="32">
        <f t="shared" si="77"/>
        <v>-1</v>
      </c>
      <c r="AO33" s="31">
        <f>Ordinaria!AO33</f>
        <v>0</v>
      </c>
      <c r="AP33" s="32">
        <f t="shared" si="78"/>
        <v>-1</v>
      </c>
      <c r="AQ33" s="31">
        <f>Ordinaria!AQ33</f>
        <v>0</v>
      </c>
      <c r="AR33" s="32">
        <f t="shared" si="79"/>
        <v>-1</v>
      </c>
      <c r="AS33" s="31">
        <f>Ordinaria!AS33</f>
        <v>0</v>
      </c>
      <c r="AT33" s="32">
        <f t="shared" si="80"/>
        <v>-1</v>
      </c>
      <c r="AU33" s="31">
        <f>Ordinaria!AU33</f>
        <v>0</v>
      </c>
      <c r="AV33" s="32">
        <f t="shared" si="81"/>
        <v>-1</v>
      </c>
      <c r="AW33" s="31">
        <f>Ordinaria!AW33</f>
        <v>0</v>
      </c>
      <c r="AX33" s="32">
        <f t="shared" si="82"/>
        <v>-1</v>
      </c>
      <c r="AY33" s="31">
        <f>Ordinaria!AY33</f>
        <v>0</v>
      </c>
      <c r="AZ33" s="32">
        <f t="shared" si="83"/>
        <v>-1</v>
      </c>
      <c r="BA33" s="31">
        <f>Ordinaria!BA33</f>
        <v>0</v>
      </c>
      <c r="BB33" s="32">
        <f t="shared" si="84"/>
        <v>-1</v>
      </c>
      <c r="BC33" s="31">
        <f>Ordinaria!BC33</f>
        <v>0</v>
      </c>
      <c r="BD33" s="32">
        <f t="shared" si="85"/>
        <v>-1</v>
      </c>
      <c r="BE33" s="31">
        <f>Ordinaria!BE33</f>
        <v>0</v>
      </c>
      <c r="BF33" s="32">
        <f t="shared" si="86"/>
        <v>-1</v>
      </c>
      <c r="BG33" s="31">
        <f>Ordinaria!BG33</f>
        <v>0</v>
      </c>
      <c r="BH33" s="32">
        <f t="shared" si="87"/>
        <v>-1</v>
      </c>
      <c r="BI33" s="31">
        <f>Ordinaria!BI33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Ordinaria!B34</f>
        <v>0</v>
      </c>
      <c r="C34" s="31">
        <f>Ordinaria!C34</f>
        <v>0</v>
      </c>
      <c r="D34" s="32">
        <f t="shared" si="59"/>
        <v>-1</v>
      </c>
      <c r="E34" s="31">
        <f>Ordinaria!E34</f>
        <v>0</v>
      </c>
      <c r="F34" s="32">
        <f t="shared" si="60"/>
        <v>-1</v>
      </c>
      <c r="G34" s="31">
        <f>Ordinaria!G34</f>
        <v>0</v>
      </c>
      <c r="H34" s="32">
        <f t="shared" si="61"/>
        <v>-1</v>
      </c>
      <c r="I34" s="31">
        <f>Ordinaria!I34</f>
        <v>0</v>
      </c>
      <c r="J34" s="32">
        <f t="shared" si="62"/>
        <v>-1</v>
      </c>
      <c r="K34" s="31">
        <f>Ordinaria!K34</f>
        <v>0</v>
      </c>
      <c r="L34" s="32">
        <f t="shared" si="63"/>
        <v>-1</v>
      </c>
      <c r="M34" s="31">
        <f>Ordinaria!M34</f>
        <v>0</v>
      </c>
      <c r="N34" s="32">
        <f t="shared" si="64"/>
        <v>-1</v>
      </c>
      <c r="O34" s="31">
        <f>Ordinaria!O34</f>
        <v>0</v>
      </c>
      <c r="P34" s="32">
        <f t="shared" si="65"/>
        <v>-1</v>
      </c>
      <c r="Q34" s="31">
        <f>Ordinaria!Q34</f>
        <v>0</v>
      </c>
      <c r="R34" s="32">
        <f t="shared" si="66"/>
        <v>-1</v>
      </c>
      <c r="S34" s="31">
        <f>Ordinaria!S34</f>
        <v>0</v>
      </c>
      <c r="T34" s="32">
        <f t="shared" si="67"/>
        <v>-1</v>
      </c>
      <c r="U34" s="31">
        <f>Ordinaria!U34</f>
        <v>0</v>
      </c>
      <c r="V34" s="32">
        <f t="shared" si="68"/>
        <v>-1</v>
      </c>
      <c r="W34" s="31">
        <f>Ordinaria!W34</f>
        <v>0</v>
      </c>
      <c r="X34" s="32">
        <f t="shared" si="69"/>
        <v>-1</v>
      </c>
      <c r="Y34" s="31">
        <f>Ordinaria!Y34</f>
        <v>0</v>
      </c>
      <c r="Z34" s="32">
        <f t="shared" si="70"/>
        <v>-1</v>
      </c>
      <c r="AA34" s="31">
        <f>Ordinaria!AA34</f>
        <v>0</v>
      </c>
      <c r="AB34" s="32">
        <f t="shared" si="71"/>
        <v>-1</v>
      </c>
      <c r="AC34" s="31">
        <f>Ordinaria!AC34</f>
        <v>0</v>
      </c>
      <c r="AD34" s="32">
        <f t="shared" si="72"/>
        <v>-1</v>
      </c>
      <c r="AE34" s="31">
        <f>Ordinaria!AE34</f>
        <v>0</v>
      </c>
      <c r="AF34" s="32">
        <f t="shared" si="73"/>
        <v>-1</v>
      </c>
      <c r="AG34" s="31">
        <f>Ordinaria!AG34</f>
        <v>0</v>
      </c>
      <c r="AH34" s="32">
        <f t="shared" si="74"/>
        <v>-1</v>
      </c>
      <c r="AI34" s="31">
        <f>Ordinaria!AI34</f>
        <v>0</v>
      </c>
      <c r="AJ34" s="32">
        <f t="shared" si="75"/>
        <v>-1</v>
      </c>
      <c r="AK34" s="31">
        <f>Ordinaria!AK34</f>
        <v>0</v>
      </c>
      <c r="AL34" s="32">
        <f t="shared" si="76"/>
        <v>-1</v>
      </c>
      <c r="AM34" s="31">
        <f>Ordinaria!AM34</f>
        <v>0</v>
      </c>
      <c r="AN34" s="32">
        <f t="shared" si="77"/>
        <v>-1</v>
      </c>
      <c r="AO34" s="31">
        <f>Ordinaria!AO34</f>
        <v>0</v>
      </c>
      <c r="AP34" s="32">
        <f t="shared" si="78"/>
        <v>-1</v>
      </c>
      <c r="AQ34" s="31">
        <f>Ordinaria!AQ34</f>
        <v>0</v>
      </c>
      <c r="AR34" s="32">
        <f t="shared" si="79"/>
        <v>-1</v>
      </c>
      <c r="AS34" s="31">
        <f>Ordinaria!AS34</f>
        <v>0</v>
      </c>
      <c r="AT34" s="32">
        <f t="shared" si="80"/>
        <v>-1</v>
      </c>
      <c r="AU34" s="31">
        <f>Ordinaria!AU34</f>
        <v>0</v>
      </c>
      <c r="AV34" s="32">
        <f t="shared" si="81"/>
        <v>-1</v>
      </c>
      <c r="AW34" s="31">
        <f>Ordinaria!AW34</f>
        <v>0</v>
      </c>
      <c r="AX34" s="32">
        <f t="shared" si="82"/>
        <v>-1</v>
      </c>
      <c r="AY34" s="31">
        <f>Ordinaria!AY34</f>
        <v>0</v>
      </c>
      <c r="AZ34" s="32">
        <f t="shared" si="83"/>
        <v>-1</v>
      </c>
      <c r="BA34" s="31">
        <f>Ordinaria!BA34</f>
        <v>0</v>
      </c>
      <c r="BB34" s="32">
        <f t="shared" si="84"/>
        <v>-1</v>
      </c>
      <c r="BC34" s="31">
        <f>Ordinaria!BC34</f>
        <v>0</v>
      </c>
      <c r="BD34" s="32">
        <f t="shared" si="85"/>
        <v>-1</v>
      </c>
      <c r="BE34" s="31">
        <f>Ordinaria!BE34</f>
        <v>0</v>
      </c>
      <c r="BF34" s="32">
        <f t="shared" si="86"/>
        <v>-1</v>
      </c>
      <c r="BG34" s="31">
        <f>Ordinaria!BG34</f>
        <v>0</v>
      </c>
      <c r="BH34" s="32">
        <f t="shared" si="87"/>
        <v>-1</v>
      </c>
      <c r="BI34" s="31">
        <f>Ordinaria!BI34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Ordinaria!B35</f>
        <v>0</v>
      </c>
      <c r="C35" s="31">
        <f>Ordinaria!C35</f>
        <v>0</v>
      </c>
      <c r="D35" s="32">
        <f t="shared" si="59"/>
        <v>-1</v>
      </c>
      <c r="E35" s="31">
        <f>Ordinaria!E35</f>
        <v>0</v>
      </c>
      <c r="F35" s="32">
        <f t="shared" si="60"/>
        <v>-1</v>
      </c>
      <c r="G35" s="31">
        <f>Ordinaria!G35</f>
        <v>0</v>
      </c>
      <c r="H35" s="32">
        <f t="shared" si="61"/>
        <v>-1</v>
      </c>
      <c r="I35" s="31">
        <f>Ordinaria!I35</f>
        <v>0</v>
      </c>
      <c r="J35" s="32">
        <f t="shared" si="62"/>
        <v>-1</v>
      </c>
      <c r="K35" s="31">
        <f>Ordinaria!K35</f>
        <v>0</v>
      </c>
      <c r="L35" s="32">
        <f t="shared" si="63"/>
        <v>-1</v>
      </c>
      <c r="M35" s="31">
        <f>Ordinaria!M35</f>
        <v>0</v>
      </c>
      <c r="N35" s="32">
        <f t="shared" si="64"/>
        <v>-1</v>
      </c>
      <c r="O35" s="31">
        <f>Ordinaria!O35</f>
        <v>0</v>
      </c>
      <c r="P35" s="32">
        <f t="shared" si="65"/>
        <v>-1</v>
      </c>
      <c r="Q35" s="31">
        <f>Ordinaria!Q35</f>
        <v>0</v>
      </c>
      <c r="R35" s="32">
        <f t="shared" si="66"/>
        <v>-1</v>
      </c>
      <c r="S35" s="31">
        <f>Ordinaria!S35</f>
        <v>0</v>
      </c>
      <c r="T35" s="32">
        <f t="shared" si="67"/>
        <v>-1</v>
      </c>
      <c r="U35" s="31">
        <f>Ordinaria!U35</f>
        <v>0</v>
      </c>
      <c r="V35" s="32">
        <f t="shared" si="68"/>
        <v>-1</v>
      </c>
      <c r="W35" s="31">
        <f>Ordinaria!W35</f>
        <v>0</v>
      </c>
      <c r="X35" s="32">
        <f t="shared" si="69"/>
        <v>-1</v>
      </c>
      <c r="Y35" s="31">
        <f>Ordinaria!Y35</f>
        <v>0</v>
      </c>
      <c r="Z35" s="32">
        <f t="shared" si="70"/>
        <v>-1</v>
      </c>
      <c r="AA35" s="31">
        <f>Ordinaria!AA35</f>
        <v>0</v>
      </c>
      <c r="AB35" s="32">
        <f t="shared" si="71"/>
        <v>-1</v>
      </c>
      <c r="AC35" s="31">
        <f>Ordinaria!AC35</f>
        <v>0</v>
      </c>
      <c r="AD35" s="32">
        <f t="shared" si="72"/>
        <v>-1</v>
      </c>
      <c r="AE35" s="31">
        <f>Ordinaria!AE35</f>
        <v>0</v>
      </c>
      <c r="AF35" s="32">
        <f t="shared" si="73"/>
        <v>-1</v>
      </c>
      <c r="AG35" s="31">
        <f>Ordinaria!AG35</f>
        <v>0</v>
      </c>
      <c r="AH35" s="32">
        <f t="shared" si="74"/>
        <v>-1</v>
      </c>
      <c r="AI35" s="31">
        <f>Ordinaria!AI35</f>
        <v>0</v>
      </c>
      <c r="AJ35" s="32">
        <f t="shared" si="75"/>
        <v>-1</v>
      </c>
      <c r="AK35" s="31">
        <f>Ordinaria!AK35</f>
        <v>0</v>
      </c>
      <c r="AL35" s="32">
        <f t="shared" si="76"/>
        <v>-1</v>
      </c>
      <c r="AM35" s="31">
        <f>Ordinaria!AM35</f>
        <v>0</v>
      </c>
      <c r="AN35" s="32">
        <f t="shared" si="77"/>
        <v>-1</v>
      </c>
      <c r="AO35" s="31">
        <f>Ordinaria!AO35</f>
        <v>0</v>
      </c>
      <c r="AP35" s="32">
        <f t="shared" si="78"/>
        <v>-1</v>
      </c>
      <c r="AQ35" s="31">
        <f>Ordinaria!AQ35</f>
        <v>0</v>
      </c>
      <c r="AR35" s="32">
        <f t="shared" si="79"/>
        <v>-1</v>
      </c>
      <c r="AS35" s="31">
        <f>Ordinaria!AS35</f>
        <v>0</v>
      </c>
      <c r="AT35" s="32">
        <f t="shared" si="80"/>
        <v>-1</v>
      </c>
      <c r="AU35" s="31">
        <f>Ordinaria!AU35</f>
        <v>0</v>
      </c>
      <c r="AV35" s="32">
        <f t="shared" si="81"/>
        <v>-1</v>
      </c>
      <c r="AW35" s="31">
        <f>Ordinaria!AW35</f>
        <v>0</v>
      </c>
      <c r="AX35" s="32">
        <f t="shared" si="82"/>
        <v>-1</v>
      </c>
      <c r="AY35" s="31">
        <f>Ordinaria!AY35</f>
        <v>0</v>
      </c>
      <c r="AZ35" s="32">
        <f t="shared" si="83"/>
        <v>-1</v>
      </c>
      <c r="BA35" s="31">
        <f>Ordinaria!BA35</f>
        <v>0</v>
      </c>
      <c r="BB35" s="32">
        <f t="shared" si="84"/>
        <v>-1</v>
      </c>
      <c r="BC35" s="31">
        <f>Ordinaria!BC35</f>
        <v>0</v>
      </c>
      <c r="BD35" s="32">
        <f t="shared" si="85"/>
        <v>-1</v>
      </c>
      <c r="BE35" s="31">
        <f>Ordinaria!BE35</f>
        <v>0</v>
      </c>
      <c r="BF35" s="32">
        <f t="shared" si="86"/>
        <v>-1</v>
      </c>
      <c r="BG35" s="31">
        <f>Ordinaria!BG35</f>
        <v>0</v>
      </c>
      <c r="BH35" s="32">
        <f t="shared" si="87"/>
        <v>-1</v>
      </c>
      <c r="BI35" s="31">
        <f>Ordinaria!BI35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Ordinaria!B36</f>
        <v>0</v>
      </c>
      <c r="C36" s="31">
        <f>Ordinaria!C36</f>
        <v>0</v>
      </c>
      <c r="D36" s="32">
        <f t="shared" si="59"/>
        <v>-1</v>
      </c>
      <c r="E36" s="31">
        <f>Ordinaria!E36</f>
        <v>0</v>
      </c>
      <c r="F36" s="32">
        <f t="shared" si="60"/>
        <v>-1</v>
      </c>
      <c r="G36" s="31">
        <f>Ordinaria!G36</f>
        <v>0</v>
      </c>
      <c r="H36" s="32">
        <f t="shared" si="61"/>
        <v>-1</v>
      </c>
      <c r="I36" s="31">
        <f>Ordinaria!I36</f>
        <v>0</v>
      </c>
      <c r="J36" s="32">
        <f t="shared" si="62"/>
        <v>-1</v>
      </c>
      <c r="K36" s="31">
        <f>Ordinaria!K36</f>
        <v>0</v>
      </c>
      <c r="L36" s="32">
        <f t="shared" si="63"/>
        <v>-1</v>
      </c>
      <c r="M36" s="31">
        <f>Ordinaria!M36</f>
        <v>0</v>
      </c>
      <c r="N36" s="32">
        <f t="shared" si="64"/>
        <v>-1</v>
      </c>
      <c r="O36" s="31">
        <f>Ordinaria!O36</f>
        <v>0</v>
      </c>
      <c r="P36" s="32">
        <f t="shared" si="65"/>
        <v>-1</v>
      </c>
      <c r="Q36" s="31">
        <f>Ordinaria!Q36</f>
        <v>0</v>
      </c>
      <c r="R36" s="32">
        <f t="shared" si="66"/>
        <v>-1</v>
      </c>
      <c r="S36" s="31">
        <f>Ordinaria!S36</f>
        <v>0</v>
      </c>
      <c r="T36" s="32">
        <f t="shared" si="67"/>
        <v>-1</v>
      </c>
      <c r="U36" s="31">
        <f>Ordinaria!U36</f>
        <v>0</v>
      </c>
      <c r="V36" s="32">
        <f t="shared" si="68"/>
        <v>-1</v>
      </c>
      <c r="W36" s="31">
        <f>Ordinaria!W36</f>
        <v>0</v>
      </c>
      <c r="X36" s="32">
        <f t="shared" si="69"/>
        <v>-1</v>
      </c>
      <c r="Y36" s="31">
        <f>Ordinaria!Y36</f>
        <v>0</v>
      </c>
      <c r="Z36" s="32">
        <f t="shared" si="70"/>
        <v>-1</v>
      </c>
      <c r="AA36" s="31">
        <f>Ordinaria!AA36</f>
        <v>0</v>
      </c>
      <c r="AB36" s="32">
        <f t="shared" si="71"/>
        <v>-1</v>
      </c>
      <c r="AC36" s="31">
        <f>Ordinaria!AC36</f>
        <v>0</v>
      </c>
      <c r="AD36" s="32">
        <f t="shared" si="72"/>
        <v>-1</v>
      </c>
      <c r="AE36" s="31">
        <f>Ordinaria!AE36</f>
        <v>0</v>
      </c>
      <c r="AF36" s="32">
        <f t="shared" si="73"/>
        <v>-1</v>
      </c>
      <c r="AG36" s="31">
        <f>Ordinaria!AG36</f>
        <v>0</v>
      </c>
      <c r="AH36" s="32">
        <f t="shared" si="74"/>
        <v>-1</v>
      </c>
      <c r="AI36" s="31">
        <f>Ordinaria!AI36</f>
        <v>0</v>
      </c>
      <c r="AJ36" s="32">
        <f t="shared" si="75"/>
        <v>-1</v>
      </c>
      <c r="AK36" s="31">
        <f>Ordinaria!AK36</f>
        <v>0</v>
      </c>
      <c r="AL36" s="32">
        <f t="shared" si="76"/>
        <v>-1</v>
      </c>
      <c r="AM36" s="31">
        <f>Ordinaria!AM36</f>
        <v>0</v>
      </c>
      <c r="AN36" s="32">
        <f t="shared" si="77"/>
        <v>-1</v>
      </c>
      <c r="AO36" s="31">
        <f>Ordinaria!AO36</f>
        <v>0</v>
      </c>
      <c r="AP36" s="32">
        <f t="shared" si="78"/>
        <v>-1</v>
      </c>
      <c r="AQ36" s="31">
        <f>Ordinaria!AQ36</f>
        <v>0</v>
      </c>
      <c r="AR36" s="32">
        <f t="shared" si="79"/>
        <v>-1</v>
      </c>
      <c r="AS36" s="31">
        <f>Ordinaria!AS36</f>
        <v>0</v>
      </c>
      <c r="AT36" s="32">
        <f t="shared" si="80"/>
        <v>-1</v>
      </c>
      <c r="AU36" s="31">
        <f>Ordinaria!AU36</f>
        <v>0</v>
      </c>
      <c r="AV36" s="32">
        <f t="shared" si="81"/>
        <v>-1</v>
      </c>
      <c r="AW36" s="31">
        <f>Ordinaria!AW36</f>
        <v>0</v>
      </c>
      <c r="AX36" s="32">
        <f t="shared" si="82"/>
        <v>-1</v>
      </c>
      <c r="AY36" s="31">
        <f>Ordinaria!AY36</f>
        <v>0</v>
      </c>
      <c r="AZ36" s="32">
        <f t="shared" si="83"/>
        <v>-1</v>
      </c>
      <c r="BA36" s="31">
        <f>Ordinaria!BA36</f>
        <v>0</v>
      </c>
      <c r="BB36" s="32">
        <f t="shared" si="84"/>
        <v>-1</v>
      </c>
      <c r="BC36" s="31">
        <f>Ordinaria!BC36</f>
        <v>0</v>
      </c>
      <c r="BD36" s="32">
        <f t="shared" si="85"/>
        <v>-1</v>
      </c>
      <c r="BE36" s="31">
        <f>Ordinaria!BE36</f>
        <v>0</v>
      </c>
      <c r="BF36" s="32">
        <f t="shared" si="86"/>
        <v>-1</v>
      </c>
      <c r="BG36" s="31">
        <f>Ordinaria!BG36</f>
        <v>0</v>
      </c>
      <c r="BH36" s="32">
        <f t="shared" si="87"/>
        <v>-1</v>
      </c>
      <c r="BI36" s="31">
        <f>Ordinaria!BI36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Ordinaria!B37</f>
        <v>0</v>
      </c>
      <c r="C37" s="31">
        <f>Ordinaria!C37</f>
        <v>0</v>
      </c>
      <c r="D37" s="32">
        <f t="shared" si="59"/>
        <v>-1</v>
      </c>
      <c r="E37" s="31">
        <f>Ordinaria!E37</f>
        <v>0</v>
      </c>
      <c r="F37" s="32">
        <f t="shared" si="60"/>
        <v>-1</v>
      </c>
      <c r="G37" s="31">
        <f>Ordinaria!G37</f>
        <v>0</v>
      </c>
      <c r="H37" s="32">
        <f t="shared" si="61"/>
        <v>-1</v>
      </c>
      <c r="I37" s="31">
        <f>Ordinaria!I37</f>
        <v>0</v>
      </c>
      <c r="J37" s="32">
        <f t="shared" si="62"/>
        <v>-1</v>
      </c>
      <c r="K37" s="31">
        <f>Ordinaria!K37</f>
        <v>0</v>
      </c>
      <c r="L37" s="32">
        <f t="shared" si="63"/>
        <v>-1</v>
      </c>
      <c r="M37" s="31">
        <f>Ordinaria!M37</f>
        <v>0</v>
      </c>
      <c r="N37" s="32">
        <f t="shared" si="64"/>
        <v>-1</v>
      </c>
      <c r="O37" s="31">
        <f>Ordinaria!O37</f>
        <v>0</v>
      </c>
      <c r="P37" s="32">
        <f t="shared" si="65"/>
        <v>-1</v>
      </c>
      <c r="Q37" s="31">
        <f>Ordinaria!Q37</f>
        <v>0</v>
      </c>
      <c r="R37" s="32">
        <f t="shared" si="66"/>
        <v>-1</v>
      </c>
      <c r="S37" s="31">
        <f>Ordinaria!S37</f>
        <v>0</v>
      </c>
      <c r="T37" s="32">
        <f t="shared" si="67"/>
        <v>-1</v>
      </c>
      <c r="U37" s="31">
        <f>Ordinaria!U37</f>
        <v>0</v>
      </c>
      <c r="V37" s="32">
        <f t="shared" si="68"/>
        <v>-1</v>
      </c>
      <c r="W37" s="31">
        <f>Ordinaria!W37</f>
        <v>0</v>
      </c>
      <c r="X37" s="32">
        <f t="shared" si="69"/>
        <v>-1</v>
      </c>
      <c r="Y37" s="31">
        <f>Ordinaria!Y37</f>
        <v>0</v>
      </c>
      <c r="Z37" s="32">
        <f t="shared" si="70"/>
        <v>-1</v>
      </c>
      <c r="AA37" s="31">
        <f>Ordinaria!AA37</f>
        <v>0</v>
      </c>
      <c r="AB37" s="32">
        <f t="shared" si="71"/>
        <v>-1</v>
      </c>
      <c r="AC37" s="31">
        <f>Ordinaria!AC37</f>
        <v>0</v>
      </c>
      <c r="AD37" s="32">
        <f t="shared" si="72"/>
        <v>-1</v>
      </c>
      <c r="AE37" s="31">
        <f>Ordinaria!AE37</f>
        <v>0</v>
      </c>
      <c r="AF37" s="32">
        <f t="shared" si="73"/>
        <v>-1</v>
      </c>
      <c r="AG37" s="31">
        <f>Ordinaria!AG37</f>
        <v>0</v>
      </c>
      <c r="AH37" s="32">
        <f t="shared" si="74"/>
        <v>-1</v>
      </c>
      <c r="AI37" s="31">
        <f>Ordinaria!AI37</f>
        <v>0</v>
      </c>
      <c r="AJ37" s="32">
        <f t="shared" si="75"/>
        <v>-1</v>
      </c>
      <c r="AK37" s="31">
        <f>Ordinaria!AK37</f>
        <v>0</v>
      </c>
      <c r="AL37" s="32">
        <f t="shared" si="76"/>
        <v>-1</v>
      </c>
      <c r="AM37" s="31">
        <f>Ordinaria!AM37</f>
        <v>0</v>
      </c>
      <c r="AN37" s="32">
        <f t="shared" si="77"/>
        <v>-1</v>
      </c>
      <c r="AO37" s="31">
        <f>Ordinaria!AO37</f>
        <v>0</v>
      </c>
      <c r="AP37" s="32">
        <f t="shared" si="78"/>
        <v>-1</v>
      </c>
      <c r="AQ37" s="31">
        <f>Ordinaria!AQ37</f>
        <v>0</v>
      </c>
      <c r="AR37" s="32">
        <f t="shared" si="79"/>
        <v>-1</v>
      </c>
      <c r="AS37" s="31">
        <f>Ordinaria!AS37</f>
        <v>0</v>
      </c>
      <c r="AT37" s="32">
        <f t="shared" si="80"/>
        <v>-1</v>
      </c>
      <c r="AU37" s="31">
        <f>Ordinaria!AU37</f>
        <v>0</v>
      </c>
      <c r="AV37" s="32">
        <f t="shared" si="81"/>
        <v>-1</v>
      </c>
      <c r="AW37" s="31">
        <f>Ordinaria!AW37</f>
        <v>0</v>
      </c>
      <c r="AX37" s="32">
        <f t="shared" si="82"/>
        <v>-1</v>
      </c>
      <c r="AY37" s="31">
        <f>Ordinaria!AY37</f>
        <v>0</v>
      </c>
      <c r="AZ37" s="32">
        <f t="shared" si="83"/>
        <v>-1</v>
      </c>
      <c r="BA37" s="31">
        <f>Ordinaria!BA37</f>
        <v>0</v>
      </c>
      <c r="BB37" s="32">
        <f t="shared" si="84"/>
        <v>-1</v>
      </c>
      <c r="BC37" s="31">
        <f>Ordinaria!BC37</f>
        <v>0</v>
      </c>
      <c r="BD37" s="32">
        <f t="shared" si="85"/>
        <v>-1</v>
      </c>
      <c r="BE37" s="31">
        <f>Ordinaria!BE37</f>
        <v>0</v>
      </c>
      <c r="BF37" s="32">
        <f t="shared" si="86"/>
        <v>-1</v>
      </c>
      <c r="BG37" s="31">
        <f>Ordinaria!BG37</f>
        <v>0</v>
      </c>
      <c r="BH37" s="32">
        <f t="shared" si="87"/>
        <v>-1</v>
      </c>
      <c r="BI37" s="31">
        <f>Ordinaria!BI37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8">
        <f>IF(SUM($B39:$B58)&lt;&gt;0,SUM(C39:C58)/SUM($B39:$B58)*$B38*10, "")</f>
        <v>1.4799999967217445</v>
      </c>
      <c r="D38" s="58"/>
      <c r="E38" s="58">
        <f>IF(SUM($B39:$B58)&lt;&gt;0,SUM(E39:E58)/SUM($B39:$B58)*$B38*10, "")</f>
        <v>1.2400000095367432</v>
      </c>
      <c r="F38" s="58"/>
      <c r="G38" s="58">
        <f>IF(SUM($B39:$B58)&lt;&gt;0,SUM(G39:G58)/SUM($B39:$B58)*$B38*10, "")</f>
        <v>1.1300000071525573</v>
      </c>
      <c r="H38" s="58"/>
      <c r="I38" s="58">
        <f>IF(SUM($B39:$B58)&lt;&gt;0,SUM(I39:I58)/SUM($B39:$B58)*$B38*10, "")</f>
        <v>1.0000000089406966</v>
      </c>
      <c r="J38" s="58"/>
      <c r="K38" s="58">
        <f>IF(SUM($B39:$B58)&lt;&gt;0,SUM(K39:K58)/SUM($B39:$B58)*$B38*10, "")</f>
        <v>1.1200000166893005</v>
      </c>
      <c r="L38" s="58"/>
      <c r="M38" s="58">
        <f>IF(SUM($B39:$B58)&lt;&gt;0,SUM(M39:M58)/SUM($B39:$B58)*$B38*10, "")</f>
        <v>0.76000001430511488</v>
      </c>
      <c r="N38" s="58"/>
      <c r="O38" s="58">
        <f>IF(SUM($B39:$B58)&lt;&gt;0,SUM(O39:O58)/SUM($B39:$B58)*$B38*10, "")</f>
        <v>1.02000000923872</v>
      </c>
      <c r="P38" s="58"/>
      <c r="Q38" s="58">
        <f>IF(SUM($B39:$B58)&lt;&gt;0,SUM(Q39:Q58)/SUM($B39:$B58)*$B38*10, "")</f>
        <v>0.68000001311302183</v>
      </c>
      <c r="R38" s="58"/>
      <c r="S38" s="58">
        <f>IF(SUM($B39:$B58)&lt;&gt;0,SUM(S39:S58)/SUM($B39:$B58)*$B38*10, "")</f>
        <v>0.6600000187754631</v>
      </c>
      <c r="T38" s="58"/>
      <c r="U38" s="58">
        <f>IF(SUM($B39:$B58)&lt;&gt;0,SUM(U39:U58)/SUM($B39:$B58)*$B38*10, "")</f>
        <v>0.93000001236796392</v>
      </c>
      <c r="V38" s="58"/>
      <c r="W38" s="58">
        <f>IF(SUM($B39:$B58)&lt;&gt;0,SUM(W39:W58)/SUM($B39:$B58)*$B38*10, "")</f>
        <v>1.1099999904632569</v>
      </c>
      <c r="X38" s="58"/>
      <c r="Y38" s="58">
        <f>IF(SUM($B39:$B58)&lt;&gt;0,SUM(Y39:Y58)/SUM($B39:$B58)*$B38*10, "")</f>
        <v>1.0000000119209291</v>
      </c>
      <c r="Z38" s="58"/>
      <c r="AA38" s="58">
        <f>IF(SUM($B39:$B58)&lt;&gt;0,SUM(AA39:AA58)/SUM($B39:$B58)*$B38*10, "")</f>
        <v>1.230000028014183</v>
      </c>
      <c r="AB38" s="58"/>
      <c r="AC38" s="58">
        <f>IF(SUM($B39:$B58)&lt;&gt;0,SUM(AC39:AC58)/SUM($B39:$B58)*$B38*10, "")</f>
        <v>1.0400000065565109</v>
      </c>
      <c r="AD38" s="58"/>
      <c r="AE38" s="58">
        <f>IF(SUM($B39:$B58)&lt;&gt;0,SUM(AE39:AE58)/SUM($B39:$B58)*$B38*10, "")</f>
        <v>1.2899999797344208</v>
      </c>
      <c r="AF38" s="58"/>
      <c r="AG38" s="58">
        <f>IF(SUM($B39:$B58)&lt;&gt;0,SUM(AG39:AG58)/SUM($B39:$B58)*$B38*10, "")</f>
        <v>0.86000001430511475</v>
      </c>
      <c r="AH38" s="58"/>
      <c r="AI38" s="58">
        <f>IF(SUM($B39:$B58)&lt;&gt;0,SUM(AI39:AI58)/SUM($B39:$B58)*$B38*10, "")</f>
        <v>0.60000000894069672</v>
      </c>
      <c r="AJ38" s="58"/>
      <c r="AK38" s="58">
        <f>IF(SUM($B39:$B58)&lt;&gt;0,SUM(AK39:AK58)/SUM($B39:$B58)*$B38*10, "")</f>
        <v>1.0900000005960464</v>
      </c>
      <c r="AL38" s="58"/>
      <c r="AM38" s="58">
        <f>IF(SUM($B39:$B58)&lt;&gt;0,SUM(AM39:AM58)/SUM($B39:$B58)*$B38*10, "")</f>
        <v>1.1200000047683716</v>
      </c>
      <c r="AN38" s="58"/>
      <c r="AO38" s="58">
        <f>IF(SUM($B39:$B58)&lt;&gt;0,SUM(AO39:AO58)/SUM($B39:$B58)*$B38*10, "")</f>
        <v>0.88000001013278972</v>
      </c>
      <c r="AP38" s="58"/>
      <c r="AQ38" s="58">
        <f>IF(SUM($B39:$B58)&lt;&gt;0,SUM(AQ39:AQ58)/SUM($B39:$B58)*$B38*10, "")</f>
        <v>0.96000001728534712</v>
      </c>
      <c r="AR38" s="58"/>
      <c r="AS38" s="58">
        <f>IF(SUM($B39:$B58)&lt;&gt;0,SUM(AS39:AS58)/SUM($B39:$B58)*$B38*10, "")</f>
        <v>0.91000001728534707</v>
      </c>
      <c r="AT38" s="58"/>
      <c r="AU38" s="58">
        <f>IF(SUM($B39:$B58)&lt;&gt;0,SUM(AU39:AU58)/SUM($B39:$B58)*$B38*10, "")</f>
        <v>1.1200000196695328</v>
      </c>
      <c r="AV38" s="58"/>
      <c r="AW38" s="58">
        <f>IF(SUM($B39:$B58)&lt;&gt;0,SUM(AW39:AW58)/SUM($B39:$B58)*$B38*10, "")</f>
        <v>0.72000000178813939</v>
      </c>
      <c r="AX38" s="58"/>
      <c r="AY38" s="58">
        <f>IF(SUM($B39:$B58)&lt;&gt;0,SUM(AY39:AY58)/SUM($B39:$B58)*$B38*10, "")</f>
        <v>0.70000002086162572</v>
      </c>
      <c r="AZ38" s="58"/>
      <c r="BA38" s="58">
        <f>IF(SUM($B39:$B58)&lt;&gt;0,SUM(BA39:BA58)/SUM($B39:$B58)*$B38*10, "")</f>
        <v>0.78999999910593033</v>
      </c>
      <c r="BB38" s="58"/>
      <c r="BC38" s="58">
        <f>IF(SUM($B39:$B58)&lt;&gt;0,SUM(BC39:BC58)/SUM($B39:$B58)*$B38*10, "")</f>
        <v>1.2400000005960465</v>
      </c>
      <c r="BD38" s="58"/>
      <c r="BE38" s="58">
        <f>IF(SUM($B39:$B58)&lt;&gt;0,SUM(BE39:BE58)/SUM($B39:$B58)*$B38*10, "")</f>
        <v>0.80000001266598697</v>
      </c>
      <c r="BF38" s="58"/>
      <c r="BG38" s="58">
        <f>IF(SUM($B39:$B58)&lt;&gt;0,SUM(BG39:BG58)/SUM($B39:$B58)*$B38*10, "")</f>
        <v>0.86000001430511475</v>
      </c>
      <c r="BH38" s="58"/>
      <c r="BI38" s="58">
        <f>IF(SUM($B39:$B58)&lt;&gt;0,SUM(BI39:BI58)/SUM($B39:$B58)*$B38*10, "")</f>
        <v>0.92000000923872005</v>
      </c>
      <c r="BJ38" s="58"/>
    </row>
    <row r="39" spans="1:62" ht="28" x14ac:dyDescent="0.2">
      <c r="A39" s="2" t="s">
        <v>39</v>
      </c>
      <c r="B39" s="13">
        <f>Ordinaria!B39</f>
        <v>1.5</v>
      </c>
      <c r="C39" s="31">
        <f>Ordinaria!C39</f>
        <v>1.5</v>
      </c>
      <c r="D39" s="32">
        <f t="shared" ref="D39:D58" si="89">IF($B39,C39/$B39,-1)</f>
        <v>1</v>
      </c>
      <c r="E39" s="31">
        <f>Ordinaria!E39</f>
        <v>1.5</v>
      </c>
      <c r="F39" s="32">
        <f t="shared" ref="F39:F58" si="90">IF($B39,E39/$B39,-1)</f>
        <v>1</v>
      </c>
      <c r="G39" s="31">
        <f>Ordinaria!G39</f>
        <v>0.90000003576278687</v>
      </c>
      <c r="H39" s="32">
        <f t="shared" ref="H39:H58" si="91">IF($B39,G39/$B39,-1)</f>
        <v>0.60000002384185791</v>
      </c>
      <c r="I39" s="31">
        <f>Ordinaria!I39</f>
        <v>0.75</v>
      </c>
      <c r="J39" s="32">
        <f t="shared" ref="J39:J58" si="92">IF($B39,I39/$B39,-1)</f>
        <v>0.5</v>
      </c>
      <c r="K39" s="31">
        <f>Ordinaria!K39</f>
        <v>0.90000003576278687</v>
      </c>
      <c r="L39" s="32">
        <f t="shared" ref="L39:L58" si="93">IF($B39,K39/$B39,-1)</f>
        <v>0.60000002384185791</v>
      </c>
      <c r="M39" s="31">
        <f>Ordinaria!M39</f>
        <v>0</v>
      </c>
      <c r="N39" s="32">
        <f t="shared" ref="N39:N58" si="94">IF($B39,M39/$B39,-1)</f>
        <v>0</v>
      </c>
      <c r="O39" s="31">
        <f>Ordinaria!O39</f>
        <v>0.30000000447034836</v>
      </c>
      <c r="P39" s="32">
        <f t="shared" ref="P39:P58" si="95">IF($B39,O39/$B39,-1)</f>
        <v>0.20000000298023224</v>
      </c>
      <c r="Q39" s="31">
        <f>Ordinaria!Q39</f>
        <v>0.45000001788139343</v>
      </c>
      <c r="R39" s="32">
        <f t="shared" ref="R39:R58" si="96">IF($B39,Q39/$B39,-1)</f>
        <v>0.30000001192092896</v>
      </c>
      <c r="S39" s="31">
        <f>Ordinaria!S39</f>
        <v>0</v>
      </c>
      <c r="T39" s="32">
        <f t="shared" ref="T39:T58" si="97">IF($B39,S39/$B39,-1)</f>
        <v>0</v>
      </c>
      <c r="U39" s="31">
        <f>Ordinaria!U39</f>
        <v>0.15000000223517418</v>
      </c>
      <c r="V39" s="32">
        <f t="shared" ref="V39:V58" si="98">IF($B39,U39/$B39,-1)</f>
        <v>0.10000000149011612</v>
      </c>
      <c r="W39" s="31">
        <f>Ordinaria!W39</f>
        <v>0.60000000894069672</v>
      </c>
      <c r="X39" s="32">
        <f t="shared" ref="X39:X58" si="99">IF($B39,W39/$B39,-1)</f>
        <v>0.40000000596046448</v>
      </c>
      <c r="Y39" s="31">
        <f>Ordinaria!Y39</f>
        <v>0.90000003576278687</v>
      </c>
      <c r="Z39" s="32">
        <f t="shared" ref="Z39:Z58" si="100">IF($B39,Y39/$B39,-1)</f>
        <v>0.60000002384185791</v>
      </c>
      <c r="AA39" s="31">
        <f>Ordinaria!AA39</f>
        <v>0.90000003576278687</v>
      </c>
      <c r="AB39" s="32">
        <f t="shared" ref="AB39:AB58" si="101">IF($B39,AA39/$B39,-1)</f>
        <v>0.60000002384185791</v>
      </c>
      <c r="AC39" s="31">
        <f>Ordinaria!AC39</f>
        <v>1.2000000178813934</v>
      </c>
      <c r="AD39" s="32">
        <f t="shared" ref="AD39:AD58" si="102">IF($B39,AC39/$B39,-1)</f>
        <v>0.80000001192092896</v>
      </c>
      <c r="AE39" s="31">
        <f>Ordinaria!AE39</f>
        <v>0</v>
      </c>
      <c r="AF39" s="32">
        <f t="shared" ref="AF39:AF58" si="103">IF($B39,AE39/$B39,-1)</f>
        <v>0</v>
      </c>
      <c r="AG39" s="31">
        <f>Ordinaria!AG39</f>
        <v>0.60000000894069672</v>
      </c>
      <c r="AH39" s="32">
        <f t="shared" ref="AH39:AH58" si="104">IF($B39,AG39/$B39,-1)</f>
        <v>0.40000000596046448</v>
      </c>
      <c r="AI39" s="31">
        <f>Ordinaria!AI39</f>
        <v>0</v>
      </c>
      <c r="AJ39" s="32">
        <f t="shared" ref="AJ39:AJ58" si="105">IF($B39,AI39/$B39,-1)</f>
        <v>0</v>
      </c>
      <c r="AK39" s="31">
        <f>Ordinaria!AK39</f>
        <v>0.45000001788139343</v>
      </c>
      <c r="AL39" s="32">
        <f t="shared" ref="AL39:AL58" si="106">IF($B39,AK39/$B39,-1)</f>
        <v>0.30000001192092896</v>
      </c>
      <c r="AM39" s="31">
        <f>Ordinaria!AM39</f>
        <v>0.90000003576278687</v>
      </c>
      <c r="AN39" s="32">
        <f t="shared" ref="AN39:AN58" si="107">IF($B39,AM39/$B39,-1)</f>
        <v>0.60000002384185791</v>
      </c>
      <c r="AO39" s="31">
        <f>Ordinaria!AO39</f>
        <v>0.75</v>
      </c>
      <c r="AP39" s="32">
        <f t="shared" ref="AP39:AP58" si="108">IF($B39,AO39/$B39,-1)</f>
        <v>0.5</v>
      </c>
      <c r="AQ39" s="31">
        <f>Ordinaria!AQ39</f>
        <v>0.90000003576278687</v>
      </c>
      <c r="AR39" s="32">
        <f t="shared" ref="AR39:AR58" si="109">IF($B39,AQ39/$B39,-1)</f>
        <v>0.60000002384185791</v>
      </c>
      <c r="AS39" s="31">
        <f>Ordinaria!AS39</f>
        <v>0.45000001788139343</v>
      </c>
      <c r="AT39" s="32">
        <f t="shared" ref="AT39:AT58" si="110">IF($B39,AS39/$B39,-1)</f>
        <v>0.30000001192092896</v>
      </c>
      <c r="AU39" s="31">
        <f>Ordinaria!AU39</f>
        <v>1.5</v>
      </c>
      <c r="AV39" s="32">
        <f t="shared" ref="AV39:AV58" si="111">IF($B39,AU39/$B39,-1)</f>
        <v>1</v>
      </c>
      <c r="AW39" s="31">
        <f>Ordinaria!AW39</f>
        <v>1.2000000178813934</v>
      </c>
      <c r="AX39" s="32">
        <f t="shared" ref="AX39:AX58" si="112">IF($B39,AW39/$B39,-1)</f>
        <v>0.80000001192092896</v>
      </c>
      <c r="AY39" s="31">
        <f>Ordinaria!AY39</f>
        <v>0.90000003576278687</v>
      </c>
      <c r="AZ39" s="32">
        <f t="shared" ref="AZ39:AZ58" si="113">IF($B39,AY39/$B39,-1)</f>
        <v>0.60000002384185791</v>
      </c>
      <c r="BA39" s="31">
        <f>Ordinaria!BA39</f>
        <v>0.60000000894069672</v>
      </c>
      <c r="BB39" s="32">
        <f t="shared" ref="BB39:BB58" si="114">IF($B39,BA39/$B39,-1)</f>
        <v>0.40000000596046448</v>
      </c>
      <c r="BC39" s="31">
        <f>Ordinaria!BC39</f>
        <v>1.2000000178813934</v>
      </c>
      <c r="BD39" s="32">
        <f t="shared" ref="BD39:BD58" si="115">IF($B39,BC39/$B39,-1)</f>
        <v>0.80000001192092896</v>
      </c>
      <c r="BE39" s="31">
        <f>Ordinaria!BE39</f>
        <v>0.15000000223517418</v>
      </c>
      <c r="BF39" s="32">
        <f t="shared" ref="BF39:BF58" si="116">IF($B39,BE39/$B39,-1)</f>
        <v>0.10000000149011612</v>
      </c>
      <c r="BG39" s="31">
        <f>Ordinaria!BG39</f>
        <v>0</v>
      </c>
      <c r="BH39" s="32">
        <f t="shared" ref="BH39:BH58" si="117">IF($B39,BG39/$B39,-1)</f>
        <v>0</v>
      </c>
      <c r="BI39" s="31">
        <f>Ordinaria!BI39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Ordinaria!B40</f>
        <v>1.5</v>
      </c>
      <c r="C40" s="31">
        <f>Ordinaria!C40</f>
        <v>1.2000000178813934</v>
      </c>
      <c r="D40" s="32">
        <f t="shared" si="89"/>
        <v>0.80000001192092896</v>
      </c>
      <c r="E40" s="31">
        <f>Ordinaria!E40</f>
        <v>1.5</v>
      </c>
      <c r="F40" s="32">
        <f t="shared" si="90"/>
        <v>1</v>
      </c>
      <c r="G40" s="31">
        <f>Ordinaria!G40</f>
        <v>0.45000001788139343</v>
      </c>
      <c r="H40" s="32">
        <f t="shared" si="91"/>
        <v>0.30000001192092896</v>
      </c>
      <c r="I40" s="31">
        <f>Ordinaria!I40</f>
        <v>1.0499999821186066</v>
      </c>
      <c r="J40" s="32">
        <f t="shared" si="92"/>
        <v>0.69999998807907104</v>
      </c>
      <c r="K40" s="31">
        <f>Ordinaria!K40</f>
        <v>1.2000000178813934</v>
      </c>
      <c r="L40" s="32">
        <f t="shared" si="93"/>
        <v>0.80000001192092896</v>
      </c>
      <c r="M40" s="31">
        <f>Ordinaria!M40</f>
        <v>0</v>
      </c>
      <c r="N40" s="32">
        <f t="shared" si="94"/>
        <v>0</v>
      </c>
      <c r="O40" s="31">
        <f>Ordinaria!O40</f>
        <v>1.2000000178813934</v>
      </c>
      <c r="P40" s="32">
        <f t="shared" si="95"/>
        <v>0.80000001192092896</v>
      </c>
      <c r="Q40" s="31">
        <f>Ordinaria!Q40</f>
        <v>0.75</v>
      </c>
      <c r="R40" s="32">
        <f t="shared" si="96"/>
        <v>0.5</v>
      </c>
      <c r="S40" s="31">
        <f>Ordinaria!S40</f>
        <v>0.30000000447034836</v>
      </c>
      <c r="T40" s="32">
        <f t="shared" si="97"/>
        <v>0.20000000298023224</v>
      </c>
      <c r="U40" s="31">
        <f>Ordinaria!U40</f>
        <v>0.90000003576278687</v>
      </c>
      <c r="V40" s="32">
        <f t="shared" si="98"/>
        <v>0.60000002384185791</v>
      </c>
      <c r="W40" s="31">
        <f>Ordinaria!W40</f>
        <v>1.3499999642372131</v>
      </c>
      <c r="X40" s="32">
        <f t="shared" si="99"/>
        <v>0.89999997615814209</v>
      </c>
      <c r="Y40" s="31">
        <f>Ordinaria!Y40</f>
        <v>1.5</v>
      </c>
      <c r="Z40" s="32">
        <f t="shared" si="100"/>
        <v>1</v>
      </c>
      <c r="AA40" s="31">
        <f>Ordinaria!AA40</f>
        <v>1.0499999821186066</v>
      </c>
      <c r="AB40" s="32">
        <f t="shared" si="101"/>
        <v>0.69999998807907104</v>
      </c>
      <c r="AC40" s="31">
        <f>Ordinaria!AC40</f>
        <v>0</v>
      </c>
      <c r="AD40" s="32">
        <f t="shared" si="102"/>
        <v>0</v>
      </c>
      <c r="AE40" s="31">
        <f>Ordinaria!AE40</f>
        <v>1.0499999821186066</v>
      </c>
      <c r="AF40" s="32">
        <f t="shared" si="103"/>
        <v>0.69999998807907104</v>
      </c>
      <c r="AG40" s="31">
        <f>Ordinaria!AG40</f>
        <v>1.5</v>
      </c>
      <c r="AH40" s="32">
        <f t="shared" si="104"/>
        <v>1</v>
      </c>
      <c r="AI40" s="31">
        <f>Ordinaria!AI40</f>
        <v>0</v>
      </c>
      <c r="AJ40" s="32">
        <f t="shared" si="105"/>
        <v>0</v>
      </c>
      <c r="AK40" s="31">
        <f>Ordinaria!AK40</f>
        <v>1.5</v>
      </c>
      <c r="AL40" s="32">
        <f t="shared" si="106"/>
        <v>1</v>
      </c>
      <c r="AM40" s="31">
        <f>Ordinaria!AM40</f>
        <v>0</v>
      </c>
      <c r="AN40" s="32">
        <f t="shared" si="107"/>
        <v>0</v>
      </c>
      <c r="AO40" s="31">
        <f>Ordinaria!AO40</f>
        <v>0.45000001788139343</v>
      </c>
      <c r="AP40" s="32">
        <f t="shared" si="108"/>
        <v>0.30000001192092896</v>
      </c>
      <c r="AQ40" s="31">
        <f>Ordinaria!AQ40</f>
        <v>0.90000003576278687</v>
      </c>
      <c r="AR40" s="32">
        <f t="shared" si="109"/>
        <v>0.60000002384185791</v>
      </c>
      <c r="AS40" s="31">
        <f>Ordinaria!AS40</f>
        <v>1.2000000178813934</v>
      </c>
      <c r="AT40" s="32">
        <f t="shared" si="110"/>
        <v>0.80000001192092896</v>
      </c>
      <c r="AU40" s="31">
        <f>Ordinaria!AU40</f>
        <v>0</v>
      </c>
      <c r="AV40" s="32">
        <f t="shared" si="111"/>
        <v>0</v>
      </c>
      <c r="AW40" s="31">
        <f>Ordinaria!AW40</f>
        <v>0</v>
      </c>
      <c r="AX40" s="32">
        <f t="shared" si="112"/>
        <v>0</v>
      </c>
      <c r="AY40" s="31">
        <f>Ordinaria!AY40</f>
        <v>0.90000003576278687</v>
      </c>
      <c r="AZ40" s="32">
        <f t="shared" si="113"/>
        <v>0.60000002384185791</v>
      </c>
      <c r="BA40" s="31">
        <f>Ordinaria!BA40</f>
        <v>0.45000001788139343</v>
      </c>
      <c r="BB40" s="32">
        <f t="shared" si="114"/>
        <v>0.30000001192092896</v>
      </c>
      <c r="BC40" s="31">
        <f>Ordinaria!BC40</f>
        <v>0.60000000894069672</v>
      </c>
      <c r="BD40" s="32">
        <f t="shared" si="115"/>
        <v>0.40000000596046448</v>
      </c>
      <c r="BE40" s="31">
        <f>Ordinaria!BE40</f>
        <v>0.75</v>
      </c>
      <c r="BF40" s="32">
        <f t="shared" si="116"/>
        <v>0.5</v>
      </c>
      <c r="BG40" s="31">
        <f>Ordinaria!BG40</f>
        <v>1.2000000178813934</v>
      </c>
      <c r="BH40" s="32">
        <f t="shared" si="117"/>
        <v>0.80000001192092896</v>
      </c>
      <c r="BI40" s="31">
        <f>Ordinaria!BI40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Ordinaria!B41</f>
        <v>1</v>
      </c>
      <c r="C41" s="31">
        <f>Ordinaria!C41</f>
        <v>0.30000001192092896</v>
      </c>
      <c r="D41" s="32">
        <f t="shared" si="89"/>
        <v>0.30000001192092896</v>
      </c>
      <c r="E41" s="31">
        <f>Ordinaria!E41</f>
        <v>0</v>
      </c>
      <c r="F41" s="32">
        <f t="shared" si="90"/>
        <v>0</v>
      </c>
      <c r="G41" s="31">
        <f>Ordinaria!G41</f>
        <v>0.40000000596046448</v>
      </c>
      <c r="H41" s="32">
        <f t="shared" si="91"/>
        <v>0.40000000596046448</v>
      </c>
      <c r="I41" s="31">
        <f>Ordinaria!I41</f>
        <v>0.60000002384185791</v>
      </c>
      <c r="J41" s="32">
        <f t="shared" si="92"/>
        <v>0.60000002384185791</v>
      </c>
      <c r="K41" s="31">
        <f>Ordinaria!K41</f>
        <v>0.80000001192092896</v>
      </c>
      <c r="L41" s="32">
        <f t="shared" si="93"/>
        <v>0.80000001192092896</v>
      </c>
      <c r="M41" s="31">
        <f>Ordinaria!M41</f>
        <v>0.60000002384185791</v>
      </c>
      <c r="N41" s="32">
        <f t="shared" si="94"/>
        <v>0.60000002384185791</v>
      </c>
      <c r="O41" s="31">
        <f>Ordinaria!O41</f>
        <v>0.69999998807907104</v>
      </c>
      <c r="P41" s="32">
        <f t="shared" si="95"/>
        <v>0.69999998807907104</v>
      </c>
      <c r="Q41" s="31">
        <f>Ordinaria!Q41</f>
        <v>0.80000001192092896</v>
      </c>
      <c r="R41" s="32">
        <f t="shared" si="96"/>
        <v>0.80000001192092896</v>
      </c>
      <c r="S41" s="31">
        <f>Ordinaria!S41</f>
        <v>0.40000000596046448</v>
      </c>
      <c r="T41" s="32">
        <f t="shared" si="97"/>
        <v>0.40000000596046448</v>
      </c>
      <c r="U41" s="31">
        <f>Ordinaria!U41</f>
        <v>0.80000001192092896</v>
      </c>
      <c r="V41" s="32">
        <f t="shared" si="98"/>
        <v>0.80000001192092896</v>
      </c>
      <c r="W41" s="31">
        <f>Ordinaria!W41</f>
        <v>0.69999998807907104</v>
      </c>
      <c r="X41" s="32">
        <f t="shared" si="99"/>
        <v>0.69999998807907104</v>
      </c>
      <c r="Y41" s="31">
        <f>Ordinaria!Y41</f>
        <v>0.69999998807907104</v>
      </c>
      <c r="Z41" s="32">
        <f t="shared" si="100"/>
        <v>0.69999998807907104</v>
      </c>
      <c r="AA41" s="31">
        <f>Ordinaria!AA41</f>
        <v>0.80000001192092896</v>
      </c>
      <c r="AB41" s="32">
        <f t="shared" si="101"/>
        <v>0.80000001192092896</v>
      </c>
      <c r="AC41" s="31">
        <f>Ordinaria!AC41</f>
        <v>0.20000000298023224</v>
      </c>
      <c r="AD41" s="32">
        <f t="shared" si="102"/>
        <v>0.20000000298023224</v>
      </c>
      <c r="AE41" s="31">
        <f>Ordinaria!AE41</f>
        <v>0.80000001192092896</v>
      </c>
      <c r="AF41" s="32">
        <f t="shared" si="103"/>
        <v>0.80000001192092896</v>
      </c>
      <c r="AG41" s="31">
        <f>Ordinaria!AG41</f>
        <v>0</v>
      </c>
      <c r="AH41" s="32">
        <f t="shared" si="104"/>
        <v>0</v>
      </c>
      <c r="AI41" s="31">
        <f>Ordinaria!AI41</f>
        <v>0.20000000298023224</v>
      </c>
      <c r="AJ41" s="32">
        <f t="shared" si="105"/>
        <v>0.20000000298023224</v>
      </c>
      <c r="AK41" s="31">
        <f>Ordinaria!AK41</f>
        <v>1</v>
      </c>
      <c r="AL41" s="32">
        <f t="shared" si="106"/>
        <v>1</v>
      </c>
      <c r="AM41" s="31">
        <f>Ordinaria!AM41</f>
        <v>0.89999997615814209</v>
      </c>
      <c r="AN41" s="32">
        <f t="shared" si="107"/>
        <v>0.89999997615814209</v>
      </c>
      <c r="AO41" s="31">
        <f>Ordinaria!AO41</f>
        <v>0.20000000298023224</v>
      </c>
      <c r="AP41" s="32">
        <f t="shared" si="108"/>
        <v>0.20000000298023224</v>
      </c>
      <c r="AQ41" s="31">
        <f>Ordinaria!AQ41</f>
        <v>0.20000000298023224</v>
      </c>
      <c r="AR41" s="32">
        <f t="shared" si="109"/>
        <v>0.20000000298023224</v>
      </c>
      <c r="AS41" s="31">
        <f>Ordinaria!AS41</f>
        <v>0.20000000298023224</v>
      </c>
      <c r="AT41" s="32">
        <f t="shared" si="110"/>
        <v>0.20000000298023224</v>
      </c>
      <c r="AU41" s="31">
        <f>Ordinaria!AU41</f>
        <v>1</v>
      </c>
      <c r="AV41" s="32">
        <f t="shared" si="111"/>
        <v>1</v>
      </c>
      <c r="AW41" s="31">
        <f>Ordinaria!AW41</f>
        <v>0.20000000298023224</v>
      </c>
      <c r="AX41" s="32">
        <f t="shared" si="112"/>
        <v>0.20000000298023224</v>
      </c>
      <c r="AY41" s="31">
        <f>Ordinaria!AY41</f>
        <v>0.20000000298023224</v>
      </c>
      <c r="AZ41" s="32">
        <f t="shared" si="113"/>
        <v>0.20000000298023224</v>
      </c>
      <c r="BA41" s="31">
        <f>Ordinaria!BA41</f>
        <v>0.69999998807907104</v>
      </c>
      <c r="BB41" s="32">
        <f t="shared" si="114"/>
        <v>0.69999998807907104</v>
      </c>
      <c r="BC41" s="31">
        <f>Ordinaria!BC41</f>
        <v>0.69999998807907104</v>
      </c>
      <c r="BD41" s="32">
        <f t="shared" si="115"/>
        <v>0.69999998807907104</v>
      </c>
      <c r="BE41" s="31">
        <f>Ordinaria!BE41</f>
        <v>0.80000001192092896</v>
      </c>
      <c r="BF41" s="32">
        <f t="shared" si="116"/>
        <v>0.80000001192092896</v>
      </c>
      <c r="BG41" s="31">
        <f>Ordinaria!BG41</f>
        <v>0.80000001192092896</v>
      </c>
      <c r="BH41" s="32">
        <f t="shared" si="117"/>
        <v>0.80000001192092896</v>
      </c>
      <c r="BI41" s="31">
        <f>Ordinaria!BI41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Ordinaria!B42</f>
        <v>0</v>
      </c>
      <c r="C42" s="31">
        <f>Ordinaria!C42</f>
        <v>0</v>
      </c>
      <c r="D42" s="32">
        <f t="shared" si="89"/>
        <v>-1</v>
      </c>
      <c r="E42" s="31">
        <f>Ordinaria!E42</f>
        <v>0</v>
      </c>
      <c r="F42" s="32">
        <f t="shared" si="90"/>
        <v>-1</v>
      </c>
      <c r="G42" s="31">
        <f>Ordinaria!G42</f>
        <v>0</v>
      </c>
      <c r="H42" s="32">
        <f t="shared" si="91"/>
        <v>-1</v>
      </c>
      <c r="I42" s="31">
        <f>Ordinaria!I42</f>
        <v>0</v>
      </c>
      <c r="J42" s="32">
        <f t="shared" si="92"/>
        <v>-1</v>
      </c>
      <c r="K42" s="31">
        <f>Ordinaria!K42</f>
        <v>0</v>
      </c>
      <c r="L42" s="32">
        <f t="shared" si="93"/>
        <v>-1</v>
      </c>
      <c r="M42" s="31">
        <f>Ordinaria!M42</f>
        <v>0</v>
      </c>
      <c r="N42" s="32">
        <f t="shared" si="94"/>
        <v>-1</v>
      </c>
      <c r="O42" s="31">
        <f>Ordinaria!O42</f>
        <v>0</v>
      </c>
      <c r="P42" s="32">
        <f t="shared" si="95"/>
        <v>-1</v>
      </c>
      <c r="Q42" s="31">
        <f>Ordinaria!Q42</f>
        <v>0</v>
      </c>
      <c r="R42" s="32">
        <f t="shared" si="96"/>
        <v>-1</v>
      </c>
      <c r="S42" s="31">
        <f>Ordinaria!S42</f>
        <v>0</v>
      </c>
      <c r="T42" s="32">
        <f t="shared" si="97"/>
        <v>-1</v>
      </c>
      <c r="U42" s="31">
        <f>Ordinaria!U42</f>
        <v>0</v>
      </c>
      <c r="V42" s="32">
        <f t="shared" si="98"/>
        <v>-1</v>
      </c>
      <c r="W42" s="31">
        <f>Ordinaria!W42</f>
        <v>0</v>
      </c>
      <c r="X42" s="32">
        <f t="shared" si="99"/>
        <v>-1</v>
      </c>
      <c r="Y42" s="31">
        <f>Ordinaria!Y42</f>
        <v>0</v>
      </c>
      <c r="Z42" s="32">
        <f t="shared" si="100"/>
        <v>-1</v>
      </c>
      <c r="AA42" s="31">
        <f>Ordinaria!AA42</f>
        <v>0</v>
      </c>
      <c r="AB42" s="32">
        <f t="shared" si="101"/>
        <v>-1</v>
      </c>
      <c r="AC42" s="31">
        <f>Ordinaria!AC42</f>
        <v>0</v>
      </c>
      <c r="AD42" s="32">
        <f t="shared" si="102"/>
        <v>-1</v>
      </c>
      <c r="AE42" s="31">
        <f>Ordinaria!AE42</f>
        <v>0</v>
      </c>
      <c r="AF42" s="32">
        <f t="shared" si="103"/>
        <v>-1</v>
      </c>
      <c r="AG42" s="31">
        <f>Ordinaria!AG42</f>
        <v>0</v>
      </c>
      <c r="AH42" s="32">
        <f t="shared" si="104"/>
        <v>-1</v>
      </c>
      <c r="AI42" s="31">
        <f>Ordinaria!AI42</f>
        <v>0</v>
      </c>
      <c r="AJ42" s="32">
        <f t="shared" si="105"/>
        <v>-1</v>
      </c>
      <c r="AK42" s="31">
        <f>Ordinaria!AK42</f>
        <v>0</v>
      </c>
      <c r="AL42" s="32">
        <f t="shared" si="106"/>
        <v>-1</v>
      </c>
      <c r="AM42" s="31">
        <f>Ordinaria!AM42</f>
        <v>0</v>
      </c>
      <c r="AN42" s="32">
        <f t="shared" si="107"/>
        <v>-1</v>
      </c>
      <c r="AO42" s="31">
        <f>Ordinaria!AO42</f>
        <v>0</v>
      </c>
      <c r="AP42" s="32">
        <f t="shared" si="108"/>
        <v>-1</v>
      </c>
      <c r="AQ42" s="31">
        <f>Ordinaria!AQ42</f>
        <v>0</v>
      </c>
      <c r="AR42" s="32">
        <f t="shared" si="109"/>
        <v>-1</v>
      </c>
      <c r="AS42" s="31">
        <f>Ordinaria!AS42</f>
        <v>0</v>
      </c>
      <c r="AT42" s="32">
        <f t="shared" si="110"/>
        <v>-1</v>
      </c>
      <c r="AU42" s="31">
        <f>Ordinaria!AU42</f>
        <v>0</v>
      </c>
      <c r="AV42" s="32">
        <f t="shared" si="111"/>
        <v>-1</v>
      </c>
      <c r="AW42" s="31">
        <f>Ordinaria!AW42</f>
        <v>0</v>
      </c>
      <c r="AX42" s="32">
        <f t="shared" si="112"/>
        <v>-1</v>
      </c>
      <c r="AY42" s="31">
        <f>Ordinaria!AY42</f>
        <v>0</v>
      </c>
      <c r="AZ42" s="32">
        <f t="shared" si="113"/>
        <v>-1</v>
      </c>
      <c r="BA42" s="31">
        <f>Ordinaria!BA42</f>
        <v>0</v>
      </c>
      <c r="BB42" s="32">
        <f t="shared" si="114"/>
        <v>-1</v>
      </c>
      <c r="BC42" s="31">
        <f>Ordinaria!BC42</f>
        <v>0</v>
      </c>
      <c r="BD42" s="32">
        <f t="shared" si="115"/>
        <v>-1</v>
      </c>
      <c r="BE42" s="31">
        <f>Ordinaria!BE42</f>
        <v>0</v>
      </c>
      <c r="BF42" s="32">
        <f t="shared" si="116"/>
        <v>-1</v>
      </c>
      <c r="BG42" s="31">
        <f>Ordinaria!BG42</f>
        <v>0</v>
      </c>
      <c r="BH42" s="32">
        <f t="shared" si="117"/>
        <v>-1</v>
      </c>
      <c r="BI42" s="31">
        <f>Ordinaria!BI42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Ordinaria!B43</f>
        <v>2</v>
      </c>
      <c r="C43" s="31">
        <f>Ordinaria!C43</f>
        <v>1.7999999523162842</v>
      </c>
      <c r="D43" s="32">
        <f t="shared" si="89"/>
        <v>0.89999997615814209</v>
      </c>
      <c r="E43" s="31">
        <f>Ordinaria!E43</f>
        <v>1.3999999761581421</v>
      </c>
      <c r="F43" s="32">
        <f t="shared" si="90"/>
        <v>0.69999998807907104</v>
      </c>
      <c r="G43" s="31">
        <f>Ordinaria!G43</f>
        <v>1.7999999523162842</v>
      </c>
      <c r="H43" s="32">
        <f t="shared" si="91"/>
        <v>0.89999997615814209</v>
      </c>
      <c r="I43" s="31">
        <f>Ordinaria!I43</f>
        <v>0.40000000596046448</v>
      </c>
      <c r="J43" s="32">
        <f t="shared" si="92"/>
        <v>0.20000000298023224</v>
      </c>
      <c r="K43" s="31">
        <f>Ordinaria!K43</f>
        <v>0.60000002384185791</v>
      </c>
      <c r="L43" s="32">
        <f t="shared" si="93"/>
        <v>0.30000001192092896</v>
      </c>
      <c r="M43" s="31">
        <f>Ordinaria!M43</f>
        <v>1.2000000476837158</v>
      </c>
      <c r="N43" s="32">
        <f t="shared" si="94"/>
        <v>0.60000002384185791</v>
      </c>
      <c r="O43" s="31">
        <f>Ordinaria!O43</f>
        <v>0.60000002384185791</v>
      </c>
      <c r="P43" s="32">
        <f t="shared" si="95"/>
        <v>0.30000001192092896</v>
      </c>
      <c r="Q43" s="31">
        <f>Ordinaria!Q43</f>
        <v>0.40000000596046448</v>
      </c>
      <c r="R43" s="32">
        <f t="shared" si="96"/>
        <v>0.20000000298023224</v>
      </c>
      <c r="S43" s="31">
        <f>Ordinaria!S43</f>
        <v>1.2000000476837158</v>
      </c>
      <c r="T43" s="32">
        <f t="shared" si="97"/>
        <v>0.60000002384185791</v>
      </c>
      <c r="U43" s="31">
        <f>Ordinaria!U43</f>
        <v>1.2000000476837158</v>
      </c>
      <c r="V43" s="32">
        <f t="shared" si="98"/>
        <v>0.60000002384185791</v>
      </c>
      <c r="W43" s="31">
        <f>Ordinaria!W43</f>
        <v>0.20000000298023224</v>
      </c>
      <c r="X43" s="32">
        <f t="shared" si="99"/>
        <v>0.10000000149011612</v>
      </c>
      <c r="Y43" s="31">
        <f>Ordinaria!Y43</f>
        <v>0</v>
      </c>
      <c r="Z43" s="32">
        <f t="shared" si="100"/>
        <v>0</v>
      </c>
      <c r="AA43" s="31">
        <f>Ordinaria!AA43</f>
        <v>1.2000000476837158</v>
      </c>
      <c r="AB43" s="32">
        <f t="shared" si="101"/>
        <v>0.60000002384185791</v>
      </c>
      <c r="AC43" s="31">
        <f>Ordinaria!AC43</f>
        <v>1.7999999523162842</v>
      </c>
      <c r="AD43" s="32">
        <f t="shared" si="102"/>
        <v>0.89999997615814209</v>
      </c>
      <c r="AE43" s="31">
        <f>Ordinaria!AE43</f>
        <v>1.3999999761581421</v>
      </c>
      <c r="AF43" s="32">
        <f t="shared" si="103"/>
        <v>0.69999998807907104</v>
      </c>
      <c r="AG43" s="31">
        <f>Ordinaria!AG43</f>
        <v>0.80000001192092896</v>
      </c>
      <c r="AH43" s="32">
        <f t="shared" si="104"/>
        <v>0.40000000596046448</v>
      </c>
      <c r="AI43" s="31">
        <f>Ordinaria!AI43</f>
        <v>0.40000000596046448</v>
      </c>
      <c r="AJ43" s="32">
        <f t="shared" si="105"/>
        <v>0.20000000298023224</v>
      </c>
      <c r="AK43" s="31">
        <f>Ordinaria!AK43</f>
        <v>1</v>
      </c>
      <c r="AL43" s="32">
        <f t="shared" si="106"/>
        <v>0.5</v>
      </c>
      <c r="AM43" s="31">
        <f>Ordinaria!AM43</f>
        <v>2</v>
      </c>
      <c r="AN43" s="32">
        <f t="shared" si="107"/>
        <v>1</v>
      </c>
      <c r="AO43" s="31">
        <f>Ordinaria!AO43</f>
        <v>1.6000000238418579</v>
      </c>
      <c r="AP43" s="32">
        <f t="shared" si="108"/>
        <v>0.80000001192092896</v>
      </c>
      <c r="AQ43" s="31">
        <f>Ordinaria!AQ43</f>
        <v>0.80000001192092896</v>
      </c>
      <c r="AR43" s="32">
        <f t="shared" si="109"/>
        <v>0.40000000596046448</v>
      </c>
      <c r="AS43" s="31">
        <f>Ordinaria!AS43</f>
        <v>1</v>
      </c>
      <c r="AT43" s="32">
        <f t="shared" si="110"/>
        <v>0.5</v>
      </c>
      <c r="AU43" s="31">
        <f>Ordinaria!AU43</f>
        <v>1.2000000476837158</v>
      </c>
      <c r="AV43" s="32">
        <f t="shared" si="111"/>
        <v>0.60000002384185791</v>
      </c>
      <c r="AW43" s="31">
        <f>Ordinaria!AW43</f>
        <v>1.3999999761581421</v>
      </c>
      <c r="AX43" s="32">
        <f t="shared" si="112"/>
        <v>0.69999998807907104</v>
      </c>
      <c r="AY43" s="31">
        <f>Ordinaria!AY43</f>
        <v>0</v>
      </c>
      <c r="AZ43" s="32">
        <f t="shared" si="113"/>
        <v>0</v>
      </c>
      <c r="BA43" s="31">
        <f>Ordinaria!BA43</f>
        <v>1.3999999761581421</v>
      </c>
      <c r="BB43" s="32">
        <f t="shared" si="114"/>
        <v>0.69999998807907104</v>
      </c>
      <c r="BC43" s="31">
        <f>Ordinaria!BC43</f>
        <v>1.7999999523162842</v>
      </c>
      <c r="BD43" s="32">
        <f t="shared" si="115"/>
        <v>0.89999997615814209</v>
      </c>
      <c r="BE43" s="31">
        <f>Ordinaria!BE43</f>
        <v>0.60000002384185791</v>
      </c>
      <c r="BF43" s="32">
        <f t="shared" si="116"/>
        <v>0.30000001192092896</v>
      </c>
      <c r="BG43" s="31">
        <f>Ordinaria!BG43</f>
        <v>0.20000000298023224</v>
      </c>
      <c r="BH43" s="32">
        <f t="shared" si="117"/>
        <v>0.10000000149011612</v>
      </c>
      <c r="BI43" s="31">
        <f>Ordinaria!BI43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Ordinaria!B44</f>
        <v>2</v>
      </c>
      <c r="C44" s="31">
        <f>Ordinaria!C44</f>
        <v>1.6000000238418579</v>
      </c>
      <c r="D44" s="32">
        <f t="shared" si="89"/>
        <v>0.80000001192092896</v>
      </c>
      <c r="E44" s="31">
        <f>Ordinaria!E44</f>
        <v>0.60000002384185791</v>
      </c>
      <c r="F44" s="32">
        <f t="shared" si="90"/>
        <v>0.30000001192092896</v>
      </c>
      <c r="G44" s="31">
        <f>Ordinaria!G44</f>
        <v>0.80000001192092896</v>
      </c>
      <c r="H44" s="32">
        <f t="shared" si="91"/>
        <v>0.40000000596046448</v>
      </c>
      <c r="I44" s="31">
        <f>Ordinaria!I44</f>
        <v>1.6000000238418579</v>
      </c>
      <c r="J44" s="32">
        <f t="shared" si="92"/>
        <v>0.80000001192092896</v>
      </c>
      <c r="K44" s="31">
        <f>Ordinaria!K44</f>
        <v>0.80000001192092896</v>
      </c>
      <c r="L44" s="32">
        <f t="shared" si="93"/>
        <v>0.40000000596046448</v>
      </c>
      <c r="M44" s="31">
        <f>Ordinaria!M44</f>
        <v>1.3999999761581421</v>
      </c>
      <c r="N44" s="32">
        <f t="shared" si="94"/>
        <v>0.69999998807907104</v>
      </c>
      <c r="O44" s="31">
        <f>Ordinaria!O44</f>
        <v>1</v>
      </c>
      <c r="P44" s="32">
        <f t="shared" si="95"/>
        <v>0.5</v>
      </c>
      <c r="Q44" s="31">
        <f>Ordinaria!Q44</f>
        <v>0.20000000298023224</v>
      </c>
      <c r="R44" s="32">
        <f t="shared" si="96"/>
        <v>0.10000000149011612</v>
      </c>
      <c r="S44" s="31">
        <f>Ordinaria!S44</f>
        <v>0.60000002384185791</v>
      </c>
      <c r="T44" s="32">
        <f t="shared" si="97"/>
        <v>0.30000001192092896</v>
      </c>
      <c r="U44" s="31">
        <f>Ordinaria!U44</f>
        <v>0</v>
      </c>
      <c r="V44" s="32">
        <f t="shared" si="98"/>
        <v>0</v>
      </c>
      <c r="W44" s="31">
        <f>Ordinaria!W44</f>
        <v>2</v>
      </c>
      <c r="X44" s="32">
        <f t="shared" si="99"/>
        <v>1</v>
      </c>
      <c r="Y44" s="31">
        <f>Ordinaria!Y44</f>
        <v>0.60000002384185791</v>
      </c>
      <c r="Z44" s="32">
        <f t="shared" si="100"/>
        <v>0.30000001192092896</v>
      </c>
      <c r="AA44" s="31">
        <f>Ordinaria!AA44</f>
        <v>1.2000000476837158</v>
      </c>
      <c r="AB44" s="32">
        <f t="shared" si="101"/>
        <v>0.60000002384185791</v>
      </c>
      <c r="AC44" s="31">
        <f>Ordinaria!AC44</f>
        <v>0.60000002384185791</v>
      </c>
      <c r="AD44" s="32">
        <f t="shared" si="102"/>
        <v>0.30000001192092896</v>
      </c>
      <c r="AE44" s="31">
        <f>Ordinaria!AE44</f>
        <v>1.7999999523162842</v>
      </c>
      <c r="AF44" s="32">
        <f t="shared" si="103"/>
        <v>0.89999997615814209</v>
      </c>
      <c r="AG44" s="31">
        <f>Ordinaria!AG44</f>
        <v>0.60000002384185791</v>
      </c>
      <c r="AH44" s="32">
        <f t="shared" si="104"/>
        <v>0.30000001192092896</v>
      </c>
      <c r="AI44" s="31">
        <f>Ordinaria!AI44</f>
        <v>1.6000000238418579</v>
      </c>
      <c r="AJ44" s="32">
        <f t="shared" si="105"/>
        <v>0.80000001192092896</v>
      </c>
      <c r="AK44" s="31">
        <f>Ordinaria!AK44</f>
        <v>0.20000000298023224</v>
      </c>
      <c r="AL44" s="32">
        <f t="shared" si="106"/>
        <v>0.10000000149011612</v>
      </c>
      <c r="AM44" s="31">
        <f>Ordinaria!AM44</f>
        <v>0.60000002384185791</v>
      </c>
      <c r="AN44" s="32">
        <f t="shared" si="107"/>
        <v>0.30000001192092896</v>
      </c>
      <c r="AO44" s="31">
        <f>Ordinaria!AO44</f>
        <v>0</v>
      </c>
      <c r="AP44" s="32">
        <f t="shared" si="108"/>
        <v>0</v>
      </c>
      <c r="AQ44" s="31">
        <f>Ordinaria!AQ44</f>
        <v>1</v>
      </c>
      <c r="AR44" s="32">
        <f t="shared" si="109"/>
        <v>0.5</v>
      </c>
      <c r="AS44" s="31">
        <f>Ordinaria!AS44</f>
        <v>0.80000001192092896</v>
      </c>
      <c r="AT44" s="32">
        <f t="shared" si="110"/>
        <v>0.40000000596046448</v>
      </c>
      <c r="AU44" s="31">
        <f>Ordinaria!AU44</f>
        <v>1.2000000476837158</v>
      </c>
      <c r="AV44" s="32">
        <f t="shared" si="111"/>
        <v>0.60000002384185791</v>
      </c>
      <c r="AW44" s="31">
        <f>Ordinaria!AW44</f>
        <v>0</v>
      </c>
      <c r="AX44" s="32">
        <f t="shared" si="112"/>
        <v>0</v>
      </c>
      <c r="AY44" s="31">
        <f>Ordinaria!AY44</f>
        <v>0.60000002384185791</v>
      </c>
      <c r="AZ44" s="32">
        <f t="shared" si="113"/>
        <v>0.30000001192092896</v>
      </c>
      <c r="BA44" s="31">
        <f>Ordinaria!BA44</f>
        <v>0.20000000298023224</v>
      </c>
      <c r="BB44" s="32">
        <f t="shared" si="114"/>
        <v>0.10000000149011612</v>
      </c>
      <c r="BC44" s="31">
        <f>Ordinaria!BC44</f>
        <v>0.60000002384185791</v>
      </c>
      <c r="BD44" s="32">
        <f t="shared" si="115"/>
        <v>0.30000001192092896</v>
      </c>
      <c r="BE44" s="31">
        <f>Ordinaria!BE44</f>
        <v>1.6000000238418579</v>
      </c>
      <c r="BF44" s="32">
        <f t="shared" si="116"/>
        <v>0.80000001192092896</v>
      </c>
      <c r="BG44" s="31">
        <f>Ordinaria!BG44</f>
        <v>1.2000000476837158</v>
      </c>
      <c r="BH44" s="32">
        <f t="shared" si="117"/>
        <v>0.60000002384185791</v>
      </c>
      <c r="BI44" s="31">
        <f>Ordinaria!BI44</f>
        <v>2</v>
      </c>
      <c r="BJ44" s="32">
        <f t="shared" si="118"/>
        <v>1</v>
      </c>
    </row>
    <row r="45" spans="1:62" ht="42" x14ac:dyDescent="0.2">
      <c r="A45" s="3" t="s">
        <v>45</v>
      </c>
      <c r="B45" s="13">
        <f>Ordinaria!B45</f>
        <v>1</v>
      </c>
      <c r="C45" s="31">
        <f>Ordinaria!C45</f>
        <v>0.89999997615814209</v>
      </c>
      <c r="D45" s="32">
        <f t="shared" si="89"/>
        <v>0.89999997615814209</v>
      </c>
      <c r="E45" s="31">
        <f>Ordinaria!E45</f>
        <v>0.60000002384185791</v>
      </c>
      <c r="F45" s="32">
        <f t="shared" si="90"/>
        <v>0.60000002384185791</v>
      </c>
      <c r="G45" s="31">
        <f>Ordinaria!G45</f>
        <v>0.60000002384185791</v>
      </c>
      <c r="H45" s="32">
        <f t="shared" si="91"/>
        <v>0.60000002384185791</v>
      </c>
      <c r="I45" s="31">
        <f>Ordinaria!I45</f>
        <v>0.20000000298023224</v>
      </c>
      <c r="J45" s="32">
        <f t="shared" si="92"/>
        <v>0.20000000298023224</v>
      </c>
      <c r="K45" s="31">
        <f>Ordinaria!K45</f>
        <v>0.89999997615814209</v>
      </c>
      <c r="L45" s="32">
        <f t="shared" si="93"/>
        <v>0.89999997615814209</v>
      </c>
      <c r="M45" s="31">
        <f>Ordinaria!M45</f>
        <v>0.30000001192092896</v>
      </c>
      <c r="N45" s="32">
        <f t="shared" si="94"/>
        <v>0.30000001192092896</v>
      </c>
      <c r="O45" s="31">
        <f>Ordinaria!O45</f>
        <v>0.60000002384185791</v>
      </c>
      <c r="P45" s="32">
        <f t="shared" si="95"/>
        <v>0.60000002384185791</v>
      </c>
      <c r="Q45" s="31">
        <f>Ordinaria!Q45</f>
        <v>0.60000002384185791</v>
      </c>
      <c r="R45" s="32">
        <f t="shared" si="96"/>
        <v>0.60000002384185791</v>
      </c>
      <c r="S45" s="31">
        <f>Ordinaria!S45</f>
        <v>0.80000001192092896</v>
      </c>
      <c r="T45" s="32">
        <f t="shared" si="97"/>
        <v>0.80000001192092896</v>
      </c>
      <c r="U45" s="31">
        <f>Ordinaria!U45</f>
        <v>0.69999998807907104</v>
      </c>
      <c r="V45" s="32">
        <f t="shared" si="98"/>
        <v>0.69999998807907104</v>
      </c>
      <c r="W45" s="31">
        <f>Ordinaria!W45</f>
        <v>0.69999998807907104</v>
      </c>
      <c r="X45" s="32">
        <f t="shared" si="99"/>
        <v>0.69999998807907104</v>
      </c>
      <c r="Y45" s="31">
        <f>Ordinaria!Y45</f>
        <v>0.80000001192092896</v>
      </c>
      <c r="Z45" s="32">
        <f t="shared" si="100"/>
        <v>0.80000001192092896</v>
      </c>
      <c r="AA45" s="31">
        <f>Ordinaria!AA45</f>
        <v>0.20000000298023224</v>
      </c>
      <c r="AB45" s="32">
        <f t="shared" si="101"/>
        <v>0.20000000298023224</v>
      </c>
      <c r="AC45" s="31">
        <f>Ordinaria!AC45</f>
        <v>0.60000002384185791</v>
      </c>
      <c r="AD45" s="32">
        <f t="shared" si="102"/>
        <v>0.60000002384185791</v>
      </c>
      <c r="AE45" s="31">
        <f>Ordinaria!AE45</f>
        <v>0.5</v>
      </c>
      <c r="AF45" s="32">
        <f t="shared" si="103"/>
        <v>0.5</v>
      </c>
      <c r="AG45" s="31">
        <f>Ordinaria!AG45</f>
        <v>0.60000002384185791</v>
      </c>
      <c r="AH45" s="32">
        <f t="shared" si="104"/>
        <v>0.60000002384185791</v>
      </c>
      <c r="AI45" s="31">
        <f>Ordinaria!AI45</f>
        <v>0.30000001192092896</v>
      </c>
      <c r="AJ45" s="32">
        <f t="shared" si="105"/>
        <v>0.30000001192092896</v>
      </c>
      <c r="AK45" s="31">
        <f>Ordinaria!AK45</f>
        <v>0.40000000596046448</v>
      </c>
      <c r="AL45" s="32">
        <f t="shared" si="106"/>
        <v>0.40000000596046448</v>
      </c>
      <c r="AM45" s="31">
        <f>Ordinaria!AM45</f>
        <v>0.30000001192092896</v>
      </c>
      <c r="AN45" s="32">
        <f t="shared" si="107"/>
        <v>0.30000001192092896</v>
      </c>
      <c r="AO45" s="31">
        <f>Ordinaria!AO45</f>
        <v>1</v>
      </c>
      <c r="AP45" s="32">
        <f t="shared" si="108"/>
        <v>1</v>
      </c>
      <c r="AQ45" s="31">
        <f>Ordinaria!AQ45</f>
        <v>0.5</v>
      </c>
      <c r="AR45" s="32">
        <f t="shared" si="109"/>
        <v>0.5</v>
      </c>
      <c r="AS45" s="31">
        <f>Ordinaria!AS45</f>
        <v>0.60000002384185791</v>
      </c>
      <c r="AT45" s="32">
        <f t="shared" si="110"/>
        <v>0.60000002384185791</v>
      </c>
      <c r="AU45" s="31">
        <f>Ordinaria!AU45</f>
        <v>0.5</v>
      </c>
      <c r="AV45" s="32">
        <f t="shared" si="111"/>
        <v>0.5</v>
      </c>
      <c r="AW45" s="31">
        <f>Ordinaria!AW45</f>
        <v>0</v>
      </c>
      <c r="AX45" s="32">
        <f t="shared" si="112"/>
        <v>0</v>
      </c>
      <c r="AY45" s="31">
        <f>Ordinaria!AY45</f>
        <v>0.40000000596046448</v>
      </c>
      <c r="AZ45" s="32">
        <f t="shared" si="113"/>
        <v>0.40000000596046448</v>
      </c>
      <c r="BA45" s="31">
        <f>Ordinaria!BA45</f>
        <v>0.10000000149011612</v>
      </c>
      <c r="BB45" s="32">
        <f t="shared" si="114"/>
        <v>0.10000000149011612</v>
      </c>
      <c r="BC45" s="31">
        <f>Ordinaria!BC45</f>
        <v>0.69999998807907104</v>
      </c>
      <c r="BD45" s="32">
        <f t="shared" si="115"/>
        <v>0.69999998807907104</v>
      </c>
      <c r="BE45" s="31">
        <f>Ordinaria!BE45</f>
        <v>0.10000000149011612</v>
      </c>
      <c r="BF45" s="32">
        <f t="shared" si="116"/>
        <v>0.10000000149011612</v>
      </c>
      <c r="BG45" s="31">
        <f>Ordinaria!BG45</f>
        <v>0.20000000298023224</v>
      </c>
      <c r="BH45" s="32">
        <f t="shared" si="117"/>
        <v>0.20000000298023224</v>
      </c>
      <c r="BI45" s="31">
        <f>Ordinaria!BI45</f>
        <v>0.40000000596046448</v>
      </c>
      <c r="BJ45" s="32">
        <f t="shared" si="118"/>
        <v>0.40000000596046448</v>
      </c>
    </row>
    <row r="46" spans="1:62" ht="42" x14ac:dyDescent="0.2">
      <c r="A46" s="2" t="s">
        <v>46</v>
      </c>
      <c r="B46" s="13">
        <f>Ordinaria!B46</f>
        <v>1</v>
      </c>
      <c r="C46" s="31">
        <f>Ordinaria!C46</f>
        <v>0.10000000149011612</v>
      </c>
      <c r="D46" s="32">
        <f t="shared" si="89"/>
        <v>0.10000000149011612</v>
      </c>
      <c r="E46" s="31">
        <f>Ordinaria!E46</f>
        <v>0.60000002384185791</v>
      </c>
      <c r="F46" s="32">
        <f t="shared" si="90"/>
        <v>0.60000002384185791</v>
      </c>
      <c r="G46" s="31">
        <f>Ordinaria!G46</f>
        <v>0.69999998807907104</v>
      </c>
      <c r="H46" s="32">
        <f t="shared" si="91"/>
        <v>0.69999998807907104</v>
      </c>
      <c r="I46" s="31">
        <f>Ordinaria!I46</f>
        <v>0.40000000596046448</v>
      </c>
      <c r="J46" s="32">
        <f t="shared" si="92"/>
        <v>0.40000000596046448</v>
      </c>
      <c r="K46" s="31">
        <f>Ordinaria!K46</f>
        <v>0.40000000596046448</v>
      </c>
      <c r="L46" s="32">
        <f t="shared" si="93"/>
        <v>0.40000000596046448</v>
      </c>
      <c r="M46" s="31">
        <f>Ordinaria!M46</f>
        <v>0.30000001192092896</v>
      </c>
      <c r="N46" s="32">
        <f t="shared" si="94"/>
        <v>0.30000001192092896</v>
      </c>
      <c r="O46" s="31">
        <f>Ordinaria!O46</f>
        <v>0.69999998807907104</v>
      </c>
      <c r="P46" s="32">
        <f t="shared" si="95"/>
        <v>0.69999998807907104</v>
      </c>
      <c r="Q46" s="31">
        <f>Ordinaria!Q46</f>
        <v>0.20000000298023224</v>
      </c>
      <c r="R46" s="32">
        <f t="shared" si="96"/>
        <v>0.20000000298023224</v>
      </c>
      <c r="S46" s="31">
        <f>Ordinaria!S46</f>
        <v>0</v>
      </c>
      <c r="T46" s="32">
        <f t="shared" si="97"/>
        <v>0</v>
      </c>
      <c r="U46" s="31">
        <f>Ordinaria!U46</f>
        <v>0.89999997615814209</v>
      </c>
      <c r="V46" s="32">
        <f t="shared" si="98"/>
        <v>0.89999997615814209</v>
      </c>
      <c r="W46" s="31">
        <f>Ordinaria!W46</f>
        <v>0</v>
      </c>
      <c r="X46" s="32">
        <f t="shared" si="99"/>
        <v>0</v>
      </c>
      <c r="Y46" s="31">
        <f>Ordinaria!Y46</f>
        <v>0.5</v>
      </c>
      <c r="Z46" s="32">
        <f t="shared" si="100"/>
        <v>0.5</v>
      </c>
      <c r="AA46" s="31">
        <f>Ordinaria!AA46</f>
        <v>0.80000001192092896</v>
      </c>
      <c r="AB46" s="32">
        <f t="shared" si="101"/>
        <v>0.80000001192092896</v>
      </c>
      <c r="AC46" s="31">
        <f>Ordinaria!AC46</f>
        <v>0.80000001192092896</v>
      </c>
      <c r="AD46" s="32">
        <f t="shared" si="102"/>
        <v>0.80000001192092896</v>
      </c>
      <c r="AE46" s="31">
        <f>Ordinaria!AE46</f>
        <v>0.89999997615814209</v>
      </c>
      <c r="AF46" s="32">
        <f t="shared" si="103"/>
        <v>0.89999997615814209</v>
      </c>
      <c r="AG46" s="31">
        <f>Ordinaria!AG46</f>
        <v>0.20000000298023224</v>
      </c>
      <c r="AH46" s="32">
        <f t="shared" si="104"/>
        <v>0.20000000298023224</v>
      </c>
      <c r="AI46" s="31">
        <f>Ordinaria!AI46</f>
        <v>0.5</v>
      </c>
      <c r="AJ46" s="32">
        <f t="shared" si="105"/>
        <v>0.5</v>
      </c>
      <c r="AK46" s="31">
        <f>Ordinaria!AK46</f>
        <v>0.89999997615814209</v>
      </c>
      <c r="AL46" s="32">
        <f t="shared" si="106"/>
        <v>0.89999997615814209</v>
      </c>
      <c r="AM46" s="31">
        <f>Ordinaria!AM46</f>
        <v>0.89999997615814209</v>
      </c>
      <c r="AN46" s="32">
        <f t="shared" si="107"/>
        <v>0.89999997615814209</v>
      </c>
      <c r="AO46" s="31">
        <f>Ordinaria!AO46</f>
        <v>0.40000000596046448</v>
      </c>
      <c r="AP46" s="32">
        <f t="shared" si="108"/>
        <v>0.40000000596046448</v>
      </c>
      <c r="AQ46" s="31">
        <f>Ordinaria!AQ46</f>
        <v>0.5</v>
      </c>
      <c r="AR46" s="32">
        <f t="shared" si="109"/>
        <v>0.5</v>
      </c>
      <c r="AS46" s="31">
        <f>Ordinaria!AS46</f>
        <v>0.30000001192092896</v>
      </c>
      <c r="AT46" s="32">
        <f t="shared" si="110"/>
        <v>0.30000001192092896</v>
      </c>
      <c r="AU46" s="31">
        <f>Ordinaria!AU46</f>
        <v>0.20000000298023224</v>
      </c>
      <c r="AV46" s="32">
        <f t="shared" si="111"/>
        <v>0.20000000298023224</v>
      </c>
      <c r="AW46" s="31">
        <f>Ordinaria!AW46</f>
        <v>0.80000001192092896</v>
      </c>
      <c r="AX46" s="32">
        <f t="shared" si="112"/>
        <v>0.80000001192092896</v>
      </c>
      <c r="AY46" s="31">
        <f>Ordinaria!AY46</f>
        <v>0.5</v>
      </c>
      <c r="AZ46" s="32">
        <f t="shared" si="113"/>
        <v>0.5</v>
      </c>
      <c r="BA46" s="31">
        <f>Ordinaria!BA46</f>
        <v>0.5</v>
      </c>
      <c r="BB46" s="32">
        <f t="shared" si="114"/>
        <v>0.5</v>
      </c>
      <c r="BC46" s="31">
        <f>Ordinaria!BC46</f>
        <v>0.60000002384185791</v>
      </c>
      <c r="BD46" s="32">
        <f t="shared" si="115"/>
        <v>0.60000002384185791</v>
      </c>
      <c r="BE46" s="31">
        <f>Ordinaria!BE46</f>
        <v>0</v>
      </c>
      <c r="BF46" s="32">
        <f t="shared" si="116"/>
        <v>0</v>
      </c>
      <c r="BG46" s="31">
        <f>Ordinaria!BG46</f>
        <v>0.69999998807907104</v>
      </c>
      <c r="BH46" s="32">
        <f t="shared" si="117"/>
        <v>0.69999998807907104</v>
      </c>
      <c r="BI46" s="31">
        <f>Ordinaria!BI46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Ordinaria!B47</f>
        <v>0</v>
      </c>
      <c r="C47" s="31">
        <f>Ordinaria!C47</f>
        <v>0</v>
      </c>
      <c r="D47" s="32">
        <f t="shared" si="89"/>
        <v>-1</v>
      </c>
      <c r="E47" s="31">
        <f>Ordinaria!E47</f>
        <v>0</v>
      </c>
      <c r="F47" s="32">
        <f t="shared" si="90"/>
        <v>-1</v>
      </c>
      <c r="G47" s="31">
        <f>Ordinaria!G47</f>
        <v>0</v>
      </c>
      <c r="H47" s="32">
        <f t="shared" si="91"/>
        <v>-1</v>
      </c>
      <c r="I47" s="31">
        <f>Ordinaria!I47</f>
        <v>0</v>
      </c>
      <c r="J47" s="32">
        <f t="shared" si="92"/>
        <v>-1</v>
      </c>
      <c r="K47" s="31">
        <f>Ordinaria!K47</f>
        <v>0</v>
      </c>
      <c r="L47" s="32">
        <f t="shared" si="93"/>
        <v>-1</v>
      </c>
      <c r="M47" s="31">
        <f>Ordinaria!M47</f>
        <v>0</v>
      </c>
      <c r="N47" s="32">
        <f t="shared" si="94"/>
        <v>-1</v>
      </c>
      <c r="O47" s="31">
        <f>Ordinaria!O47</f>
        <v>0</v>
      </c>
      <c r="P47" s="32">
        <f t="shared" si="95"/>
        <v>-1</v>
      </c>
      <c r="Q47" s="31">
        <f>Ordinaria!Q47</f>
        <v>0</v>
      </c>
      <c r="R47" s="32">
        <f t="shared" si="96"/>
        <v>-1</v>
      </c>
      <c r="S47" s="31">
        <f>Ordinaria!S47</f>
        <v>0</v>
      </c>
      <c r="T47" s="32">
        <f t="shared" si="97"/>
        <v>-1</v>
      </c>
      <c r="U47" s="31">
        <f>Ordinaria!U47</f>
        <v>0</v>
      </c>
      <c r="V47" s="32">
        <f t="shared" si="98"/>
        <v>-1</v>
      </c>
      <c r="W47" s="31">
        <f>Ordinaria!W47</f>
        <v>0</v>
      </c>
      <c r="X47" s="32">
        <f t="shared" si="99"/>
        <v>-1</v>
      </c>
      <c r="Y47" s="31">
        <f>Ordinaria!Y47</f>
        <v>0</v>
      </c>
      <c r="Z47" s="32">
        <f t="shared" si="100"/>
        <v>-1</v>
      </c>
      <c r="AA47" s="31">
        <f>Ordinaria!AA47</f>
        <v>0</v>
      </c>
      <c r="AB47" s="32">
        <f t="shared" si="101"/>
        <v>-1</v>
      </c>
      <c r="AC47" s="31">
        <f>Ordinaria!AC47</f>
        <v>0</v>
      </c>
      <c r="AD47" s="32">
        <f t="shared" si="102"/>
        <v>-1</v>
      </c>
      <c r="AE47" s="31">
        <f>Ordinaria!AE47</f>
        <v>0</v>
      </c>
      <c r="AF47" s="32">
        <f t="shared" si="103"/>
        <v>-1</v>
      </c>
      <c r="AG47" s="31">
        <f>Ordinaria!AG47</f>
        <v>0</v>
      </c>
      <c r="AH47" s="32">
        <f t="shared" si="104"/>
        <v>-1</v>
      </c>
      <c r="AI47" s="31">
        <f>Ordinaria!AI47</f>
        <v>0</v>
      </c>
      <c r="AJ47" s="32">
        <f t="shared" si="105"/>
        <v>-1</v>
      </c>
      <c r="AK47" s="31">
        <f>Ordinaria!AK47</f>
        <v>0</v>
      </c>
      <c r="AL47" s="32">
        <f t="shared" si="106"/>
        <v>-1</v>
      </c>
      <c r="AM47" s="31">
        <f>Ordinaria!AM47</f>
        <v>0</v>
      </c>
      <c r="AN47" s="32">
        <f t="shared" si="107"/>
        <v>-1</v>
      </c>
      <c r="AO47" s="31">
        <f>Ordinaria!AO47</f>
        <v>0</v>
      </c>
      <c r="AP47" s="32">
        <f t="shared" si="108"/>
        <v>-1</v>
      </c>
      <c r="AQ47" s="31">
        <f>Ordinaria!AQ47</f>
        <v>0</v>
      </c>
      <c r="AR47" s="32">
        <f t="shared" si="109"/>
        <v>-1</v>
      </c>
      <c r="AS47" s="31">
        <f>Ordinaria!AS47</f>
        <v>0</v>
      </c>
      <c r="AT47" s="32">
        <f t="shared" si="110"/>
        <v>-1</v>
      </c>
      <c r="AU47" s="31">
        <f>Ordinaria!AU47</f>
        <v>0</v>
      </c>
      <c r="AV47" s="32">
        <f t="shared" si="111"/>
        <v>-1</v>
      </c>
      <c r="AW47" s="31">
        <f>Ordinaria!AW47</f>
        <v>0</v>
      </c>
      <c r="AX47" s="32">
        <f t="shared" si="112"/>
        <v>-1</v>
      </c>
      <c r="AY47" s="31">
        <f>Ordinaria!AY47</f>
        <v>0</v>
      </c>
      <c r="AZ47" s="32">
        <f t="shared" si="113"/>
        <v>-1</v>
      </c>
      <c r="BA47" s="31">
        <f>Ordinaria!BA47</f>
        <v>0</v>
      </c>
      <c r="BB47" s="32">
        <f t="shared" si="114"/>
        <v>-1</v>
      </c>
      <c r="BC47" s="31">
        <f>Ordinaria!BC47</f>
        <v>0</v>
      </c>
      <c r="BD47" s="32">
        <f t="shared" si="115"/>
        <v>-1</v>
      </c>
      <c r="BE47" s="31">
        <f>Ordinaria!BE47</f>
        <v>0</v>
      </c>
      <c r="BF47" s="32">
        <f t="shared" si="116"/>
        <v>-1</v>
      </c>
      <c r="BG47" s="31">
        <f>Ordinaria!BG47</f>
        <v>0</v>
      </c>
      <c r="BH47" s="32">
        <f t="shared" si="117"/>
        <v>-1</v>
      </c>
      <c r="BI47" s="31">
        <f>Ordinaria!BI47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Ordinaria!B48</f>
        <v>0</v>
      </c>
      <c r="C48" s="31">
        <f>Ordinaria!C48</f>
        <v>0</v>
      </c>
      <c r="D48" s="32">
        <f t="shared" si="89"/>
        <v>-1</v>
      </c>
      <c r="E48" s="31">
        <f>Ordinaria!E48</f>
        <v>0</v>
      </c>
      <c r="F48" s="32">
        <f t="shared" si="90"/>
        <v>-1</v>
      </c>
      <c r="G48" s="31">
        <f>Ordinaria!G48</f>
        <v>0</v>
      </c>
      <c r="H48" s="32">
        <f t="shared" si="91"/>
        <v>-1</v>
      </c>
      <c r="I48" s="31">
        <f>Ordinaria!I48</f>
        <v>0</v>
      </c>
      <c r="J48" s="32">
        <f t="shared" si="92"/>
        <v>-1</v>
      </c>
      <c r="K48" s="31">
        <f>Ordinaria!K48</f>
        <v>0</v>
      </c>
      <c r="L48" s="32">
        <f t="shared" si="93"/>
        <v>-1</v>
      </c>
      <c r="M48" s="31">
        <f>Ordinaria!M48</f>
        <v>0</v>
      </c>
      <c r="N48" s="32">
        <f t="shared" si="94"/>
        <v>-1</v>
      </c>
      <c r="O48" s="31">
        <f>Ordinaria!O48</f>
        <v>0</v>
      </c>
      <c r="P48" s="32">
        <f t="shared" si="95"/>
        <v>-1</v>
      </c>
      <c r="Q48" s="31">
        <f>Ordinaria!Q48</f>
        <v>0</v>
      </c>
      <c r="R48" s="32">
        <f t="shared" si="96"/>
        <v>-1</v>
      </c>
      <c r="S48" s="31">
        <f>Ordinaria!S48</f>
        <v>0</v>
      </c>
      <c r="T48" s="32">
        <f t="shared" si="97"/>
        <v>-1</v>
      </c>
      <c r="U48" s="31">
        <f>Ordinaria!U48</f>
        <v>0</v>
      </c>
      <c r="V48" s="32">
        <f t="shared" si="98"/>
        <v>-1</v>
      </c>
      <c r="W48" s="31">
        <f>Ordinaria!W48</f>
        <v>0</v>
      </c>
      <c r="X48" s="32">
        <f t="shared" si="99"/>
        <v>-1</v>
      </c>
      <c r="Y48" s="31">
        <f>Ordinaria!Y48</f>
        <v>0</v>
      </c>
      <c r="Z48" s="32">
        <f t="shared" si="100"/>
        <v>-1</v>
      </c>
      <c r="AA48" s="31">
        <f>Ordinaria!AA48</f>
        <v>0</v>
      </c>
      <c r="AB48" s="32">
        <f t="shared" si="101"/>
        <v>-1</v>
      </c>
      <c r="AC48" s="31">
        <f>Ordinaria!AC48</f>
        <v>0</v>
      </c>
      <c r="AD48" s="32">
        <f t="shared" si="102"/>
        <v>-1</v>
      </c>
      <c r="AE48" s="31">
        <f>Ordinaria!AE48</f>
        <v>0</v>
      </c>
      <c r="AF48" s="32">
        <f t="shared" si="103"/>
        <v>-1</v>
      </c>
      <c r="AG48" s="31">
        <f>Ordinaria!AG48</f>
        <v>0</v>
      </c>
      <c r="AH48" s="32">
        <f t="shared" si="104"/>
        <v>-1</v>
      </c>
      <c r="AI48" s="31">
        <f>Ordinaria!AI48</f>
        <v>0</v>
      </c>
      <c r="AJ48" s="32">
        <f t="shared" si="105"/>
        <v>-1</v>
      </c>
      <c r="AK48" s="31">
        <f>Ordinaria!AK48</f>
        <v>0</v>
      </c>
      <c r="AL48" s="32">
        <f t="shared" si="106"/>
        <v>-1</v>
      </c>
      <c r="AM48" s="31">
        <f>Ordinaria!AM48</f>
        <v>0</v>
      </c>
      <c r="AN48" s="32">
        <f t="shared" si="107"/>
        <v>-1</v>
      </c>
      <c r="AO48" s="31">
        <f>Ordinaria!AO48</f>
        <v>0</v>
      </c>
      <c r="AP48" s="32">
        <f t="shared" si="108"/>
        <v>-1</v>
      </c>
      <c r="AQ48" s="31">
        <f>Ordinaria!AQ48</f>
        <v>0</v>
      </c>
      <c r="AR48" s="32">
        <f t="shared" si="109"/>
        <v>-1</v>
      </c>
      <c r="AS48" s="31">
        <f>Ordinaria!AS48</f>
        <v>0</v>
      </c>
      <c r="AT48" s="32">
        <f t="shared" si="110"/>
        <v>-1</v>
      </c>
      <c r="AU48" s="31">
        <f>Ordinaria!AU48</f>
        <v>0</v>
      </c>
      <c r="AV48" s="32">
        <f t="shared" si="111"/>
        <v>-1</v>
      </c>
      <c r="AW48" s="31">
        <f>Ordinaria!AW48</f>
        <v>0</v>
      </c>
      <c r="AX48" s="32">
        <f t="shared" si="112"/>
        <v>-1</v>
      </c>
      <c r="AY48" s="31">
        <f>Ordinaria!AY48</f>
        <v>0</v>
      </c>
      <c r="AZ48" s="32">
        <f t="shared" si="113"/>
        <v>-1</v>
      </c>
      <c r="BA48" s="31">
        <f>Ordinaria!BA48</f>
        <v>0</v>
      </c>
      <c r="BB48" s="32">
        <f t="shared" si="114"/>
        <v>-1</v>
      </c>
      <c r="BC48" s="31">
        <f>Ordinaria!BC48</f>
        <v>0</v>
      </c>
      <c r="BD48" s="32">
        <f t="shared" si="115"/>
        <v>-1</v>
      </c>
      <c r="BE48" s="31">
        <f>Ordinaria!BE48</f>
        <v>0</v>
      </c>
      <c r="BF48" s="32">
        <f t="shared" si="116"/>
        <v>-1</v>
      </c>
      <c r="BG48" s="31">
        <f>Ordinaria!BG48</f>
        <v>0</v>
      </c>
      <c r="BH48" s="32">
        <f t="shared" si="117"/>
        <v>-1</v>
      </c>
      <c r="BI48" s="31">
        <f>Ordinaria!BI48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Ordinaria!B49</f>
        <v>0</v>
      </c>
      <c r="C49" s="31">
        <f>Ordinaria!C49</f>
        <v>0</v>
      </c>
      <c r="D49" s="32">
        <f t="shared" si="89"/>
        <v>-1</v>
      </c>
      <c r="E49" s="31">
        <f>Ordinaria!E49</f>
        <v>0</v>
      </c>
      <c r="F49" s="32">
        <f t="shared" si="90"/>
        <v>-1</v>
      </c>
      <c r="G49" s="31">
        <f>Ordinaria!G49</f>
        <v>0</v>
      </c>
      <c r="H49" s="32">
        <f t="shared" si="91"/>
        <v>-1</v>
      </c>
      <c r="I49" s="31">
        <f>Ordinaria!I49</f>
        <v>0</v>
      </c>
      <c r="J49" s="32">
        <f t="shared" si="92"/>
        <v>-1</v>
      </c>
      <c r="K49" s="31">
        <f>Ordinaria!K49</f>
        <v>0</v>
      </c>
      <c r="L49" s="32">
        <f t="shared" si="93"/>
        <v>-1</v>
      </c>
      <c r="M49" s="31">
        <f>Ordinaria!M49</f>
        <v>0</v>
      </c>
      <c r="N49" s="32">
        <f t="shared" si="94"/>
        <v>-1</v>
      </c>
      <c r="O49" s="31">
        <f>Ordinaria!O49</f>
        <v>0</v>
      </c>
      <c r="P49" s="32">
        <f t="shared" si="95"/>
        <v>-1</v>
      </c>
      <c r="Q49" s="31">
        <f>Ordinaria!Q49</f>
        <v>0</v>
      </c>
      <c r="R49" s="32">
        <f t="shared" si="96"/>
        <v>-1</v>
      </c>
      <c r="S49" s="31">
        <f>Ordinaria!S49</f>
        <v>0</v>
      </c>
      <c r="T49" s="32">
        <f t="shared" si="97"/>
        <v>-1</v>
      </c>
      <c r="U49" s="31">
        <f>Ordinaria!U49</f>
        <v>0</v>
      </c>
      <c r="V49" s="32">
        <f t="shared" si="98"/>
        <v>-1</v>
      </c>
      <c r="W49" s="31">
        <f>Ordinaria!W49</f>
        <v>0</v>
      </c>
      <c r="X49" s="32">
        <f t="shared" si="99"/>
        <v>-1</v>
      </c>
      <c r="Y49" s="31">
        <f>Ordinaria!Y49</f>
        <v>0</v>
      </c>
      <c r="Z49" s="32">
        <f t="shared" si="100"/>
        <v>-1</v>
      </c>
      <c r="AA49" s="31">
        <f>Ordinaria!AA49</f>
        <v>0</v>
      </c>
      <c r="AB49" s="32">
        <f t="shared" si="101"/>
        <v>-1</v>
      </c>
      <c r="AC49" s="31">
        <f>Ordinaria!AC49</f>
        <v>0</v>
      </c>
      <c r="AD49" s="32">
        <f t="shared" si="102"/>
        <v>-1</v>
      </c>
      <c r="AE49" s="31">
        <f>Ordinaria!AE49</f>
        <v>0</v>
      </c>
      <c r="AF49" s="32">
        <f t="shared" si="103"/>
        <v>-1</v>
      </c>
      <c r="AG49" s="31">
        <f>Ordinaria!AG49</f>
        <v>0</v>
      </c>
      <c r="AH49" s="32">
        <f t="shared" si="104"/>
        <v>-1</v>
      </c>
      <c r="AI49" s="31">
        <f>Ordinaria!AI49</f>
        <v>0</v>
      </c>
      <c r="AJ49" s="32">
        <f t="shared" si="105"/>
        <v>-1</v>
      </c>
      <c r="AK49" s="31">
        <f>Ordinaria!AK49</f>
        <v>0</v>
      </c>
      <c r="AL49" s="32">
        <f t="shared" si="106"/>
        <v>-1</v>
      </c>
      <c r="AM49" s="31">
        <f>Ordinaria!AM49</f>
        <v>0</v>
      </c>
      <c r="AN49" s="32">
        <f t="shared" si="107"/>
        <v>-1</v>
      </c>
      <c r="AO49" s="31">
        <f>Ordinaria!AO49</f>
        <v>0</v>
      </c>
      <c r="AP49" s="32">
        <f t="shared" si="108"/>
        <v>-1</v>
      </c>
      <c r="AQ49" s="31">
        <f>Ordinaria!AQ49</f>
        <v>0</v>
      </c>
      <c r="AR49" s="32">
        <f t="shared" si="109"/>
        <v>-1</v>
      </c>
      <c r="AS49" s="31">
        <f>Ordinaria!AS49</f>
        <v>0</v>
      </c>
      <c r="AT49" s="32">
        <f t="shared" si="110"/>
        <v>-1</v>
      </c>
      <c r="AU49" s="31">
        <f>Ordinaria!AU49</f>
        <v>0</v>
      </c>
      <c r="AV49" s="32">
        <f t="shared" si="111"/>
        <v>-1</v>
      </c>
      <c r="AW49" s="31">
        <f>Ordinaria!AW49</f>
        <v>0</v>
      </c>
      <c r="AX49" s="32">
        <f t="shared" si="112"/>
        <v>-1</v>
      </c>
      <c r="AY49" s="31">
        <f>Ordinaria!AY49</f>
        <v>0</v>
      </c>
      <c r="AZ49" s="32">
        <f t="shared" si="113"/>
        <v>-1</v>
      </c>
      <c r="BA49" s="31">
        <f>Ordinaria!BA49</f>
        <v>0</v>
      </c>
      <c r="BB49" s="32">
        <f t="shared" si="114"/>
        <v>-1</v>
      </c>
      <c r="BC49" s="31">
        <f>Ordinaria!BC49</f>
        <v>0</v>
      </c>
      <c r="BD49" s="32">
        <f t="shared" si="115"/>
        <v>-1</v>
      </c>
      <c r="BE49" s="31">
        <f>Ordinaria!BE49</f>
        <v>0</v>
      </c>
      <c r="BF49" s="32">
        <f t="shared" si="116"/>
        <v>-1</v>
      </c>
      <c r="BG49" s="31">
        <f>Ordinaria!BG49</f>
        <v>0</v>
      </c>
      <c r="BH49" s="32">
        <f t="shared" si="117"/>
        <v>-1</v>
      </c>
      <c r="BI49" s="31">
        <f>Ordinaria!BI49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Ordinaria!B50</f>
        <v>0</v>
      </c>
      <c r="C50" s="31">
        <f>Ordinaria!C50</f>
        <v>0</v>
      </c>
      <c r="D50" s="32">
        <f t="shared" si="89"/>
        <v>-1</v>
      </c>
      <c r="E50" s="31">
        <f>Ordinaria!E50</f>
        <v>0</v>
      </c>
      <c r="F50" s="32">
        <f t="shared" si="90"/>
        <v>-1</v>
      </c>
      <c r="G50" s="31">
        <f>Ordinaria!G50</f>
        <v>0</v>
      </c>
      <c r="H50" s="32">
        <f t="shared" si="91"/>
        <v>-1</v>
      </c>
      <c r="I50" s="31">
        <f>Ordinaria!I50</f>
        <v>0</v>
      </c>
      <c r="J50" s="32">
        <f t="shared" si="92"/>
        <v>-1</v>
      </c>
      <c r="K50" s="31">
        <f>Ordinaria!K50</f>
        <v>0</v>
      </c>
      <c r="L50" s="32">
        <f t="shared" si="93"/>
        <v>-1</v>
      </c>
      <c r="M50" s="31">
        <f>Ordinaria!M50</f>
        <v>0</v>
      </c>
      <c r="N50" s="32">
        <f t="shared" si="94"/>
        <v>-1</v>
      </c>
      <c r="O50" s="31">
        <f>Ordinaria!O50</f>
        <v>0</v>
      </c>
      <c r="P50" s="32">
        <f t="shared" si="95"/>
        <v>-1</v>
      </c>
      <c r="Q50" s="31">
        <f>Ordinaria!Q50</f>
        <v>0</v>
      </c>
      <c r="R50" s="32">
        <f t="shared" si="96"/>
        <v>-1</v>
      </c>
      <c r="S50" s="31">
        <f>Ordinaria!S50</f>
        <v>0</v>
      </c>
      <c r="T50" s="32">
        <f t="shared" si="97"/>
        <v>-1</v>
      </c>
      <c r="U50" s="31">
        <f>Ordinaria!U50</f>
        <v>0</v>
      </c>
      <c r="V50" s="32">
        <f t="shared" si="98"/>
        <v>-1</v>
      </c>
      <c r="W50" s="31">
        <f>Ordinaria!W50</f>
        <v>0</v>
      </c>
      <c r="X50" s="32">
        <f t="shared" si="99"/>
        <v>-1</v>
      </c>
      <c r="Y50" s="31">
        <f>Ordinaria!Y50</f>
        <v>0</v>
      </c>
      <c r="Z50" s="32">
        <f t="shared" si="100"/>
        <v>-1</v>
      </c>
      <c r="AA50" s="31">
        <f>Ordinaria!AA50</f>
        <v>0</v>
      </c>
      <c r="AB50" s="32">
        <f t="shared" si="101"/>
        <v>-1</v>
      </c>
      <c r="AC50" s="31">
        <f>Ordinaria!AC50</f>
        <v>0</v>
      </c>
      <c r="AD50" s="32">
        <f t="shared" si="102"/>
        <v>-1</v>
      </c>
      <c r="AE50" s="31">
        <f>Ordinaria!AE50</f>
        <v>0</v>
      </c>
      <c r="AF50" s="32">
        <f t="shared" si="103"/>
        <v>-1</v>
      </c>
      <c r="AG50" s="31">
        <f>Ordinaria!AG50</f>
        <v>0</v>
      </c>
      <c r="AH50" s="32">
        <f t="shared" si="104"/>
        <v>-1</v>
      </c>
      <c r="AI50" s="31">
        <f>Ordinaria!AI50</f>
        <v>0</v>
      </c>
      <c r="AJ50" s="32">
        <f t="shared" si="105"/>
        <v>-1</v>
      </c>
      <c r="AK50" s="31">
        <f>Ordinaria!AK50</f>
        <v>0</v>
      </c>
      <c r="AL50" s="32">
        <f t="shared" si="106"/>
        <v>-1</v>
      </c>
      <c r="AM50" s="31">
        <f>Ordinaria!AM50</f>
        <v>0</v>
      </c>
      <c r="AN50" s="32">
        <f t="shared" si="107"/>
        <v>-1</v>
      </c>
      <c r="AO50" s="31">
        <f>Ordinaria!AO50</f>
        <v>0</v>
      </c>
      <c r="AP50" s="32">
        <f t="shared" si="108"/>
        <v>-1</v>
      </c>
      <c r="AQ50" s="31">
        <f>Ordinaria!AQ50</f>
        <v>0</v>
      </c>
      <c r="AR50" s="32">
        <f t="shared" si="109"/>
        <v>-1</v>
      </c>
      <c r="AS50" s="31">
        <f>Ordinaria!AS50</f>
        <v>0</v>
      </c>
      <c r="AT50" s="32">
        <f t="shared" si="110"/>
        <v>-1</v>
      </c>
      <c r="AU50" s="31">
        <f>Ordinaria!AU50</f>
        <v>0</v>
      </c>
      <c r="AV50" s="32">
        <f t="shared" si="111"/>
        <v>-1</v>
      </c>
      <c r="AW50" s="31">
        <f>Ordinaria!AW50</f>
        <v>0</v>
      </c>
      <c r="AX50" s="32">
        <f t="shared" si="112"/>
        <v>-1</v>
      </c>
      <c r="AY50" s="31">
        <f>Ordinaria!AY50</f>
        <v>0</v>
      </c>
      <c r="AZ50" s="32">
        <f t="shared" si="113"/>
        <v>-1</v>
      </c>
      <c r="BA50" s="31">
        <f>Ordinaria!BA50</f>
        <v>0</v>
      </c>
      <c r="BB50" s="32">
        <f t="shared" si="114"/>
        <v>-1</v>
      </c>
      <c r="BC50" s="31">
        <f>Ordinaria!BC50</f>
        <v>0</v>
      </c>
      <c r="BD50" s="32">
        <f t="shared" si="115"/>
        <v>-1</v>
      </c>
      <c r="BE50" s="31">
        <f>Ordinaria!BE50</f>
        <v>0</v>
      </c>
      <c r="BF50" s="32">
        <f t="shared" si="116"/>
        <v>-1</v>
      </c>
      <c r="BG50" s="31">
        <f>Ordinaria!BG50</f>
        <v>0</v>
      </c>
      <c r="BH50" s="32">
        <f t="shared" si="117"/>
        <v>-1</v>
      </c>
      <c r="BI50" s="31">
        <f>Ordinaria!BI50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Ordinaria!B51</f>
        <v>0</v>
      </c>
      <c r="C51" s="31">
        <f>Ordinaria!C51</f>
        <v>0</v>
      </c>
      <c r="D51" s="32">
        <f t="shared" si="89"/>
        <v>-1</v>
      </c>
      <c r="E51" s="31">
        <f>Ordinaria!E51</f>
        <v>0</v>
      </c>
      <c r="F51" s="32">
        <f t="shared" si="90"/>
        <v>-1</v>
      </c>
      <c r="G51" s="31">
        <f>Ordinaria!G51</f>
        <v>0</v>
      </c>
      <c r="H51" s="32">
        <f t="shared" si="91"/>
        <v>-1</v>
      </c>
      <c r="I51" s="31">
        <f>Ordinaria!I51</f>
        <v>0</v>
      </c>
      <c r="J51" s="32">
        <f t="shared" si="92"/>
        <v>-1</v>
      </c>
      <c r="K51" s="31">
        <f>Ordinaria!K51</f>
        <v>0</v>
      </c>
      <c r="L51" s="32">
        <f t="shared" si="93"/>
        <v>-1</v>
      </c>
      <c r="M51" s="31">
        <f>Ordinaria!M51</f>
        <v>0</v>
      </c>
      <c r="N51" s="32">
        <f t="shared" si="94"/>
        <v>-1</v>
      </c>
      <c r="O51" s="31">
        <f>Ordinaria!O51</f>
        <v>0</v>
      </c>
      <c r="P51" s="32">
        <f t="shared" si="95"/>
        <v>-1</v>
      </c>
      <c r="Q51" s="31">
        <f>Ordinaria!Q51</f>
        <v>0</v>
      </c>
      <c r="R51" s="32">
        <f t="shared" si="96"/>
        <v>-1</v>
      </c>
      <c r="S51" s="31">
        <f>Ordinaria!S51</f>
        <v>0</v>
      </c>
      <c r="T51" s="32">
        <f t="shared" si="97"/>
        <v>-1</v>
      </c>
      <c r="U51" s="31">
        <f>Ordinaria!U51</f>
        <v>0</v>
      </c>
      <c r="V51" s="32">
        <f t="shared" si="98"/>
        <v>-1</v>
      </c>
      <c r="W51" s="31">
        <f>Ordinaria!W51</f>
        <v>0</v>
      </c>
      <c r="X51" s="32">
        <f t="shared" si="99"/>
        <v>-1</v>
      </c>
      <c r="Y51" s="31">
        <f>Ordinaria!Y51</f>
        <v>0</v>
      </c>
      <c r="Z51" s="32">
        <f t="shared" si="100"/>
        <v>-1</v>
      </c>
      <c r="AA51" s="31">
        <f>Ordinaria!AA51</f>
        <v>0</v>
      </c>
      <c r="AB51" s="32">
        <f t="shared" si="101"/>
        <v>-1</v>
      </c>
      <c r="AC51" s="31">
        <f>Ordinaria!AC51</f>
        <v>0</v>
      </c>
      <c r="AD51" s="32">
        <f t="shared" si="102"/>
        <v>-1</v>
      </c>
      <c r="AE51" s="31">
        <f>Ordinaria!AE51</f>
        <v>0</v>
      </c>
      <c r="AF51" s="32">
        <f t="shared" si="103"/>
        <v>-1</v>
      </c>
      <c r="AG51" s="31">
        <f>Ordinaria!AG51</f>
        <v>0</v>
      </c>
      <c r="AH51" s="32">
        <f t="shared" si="104"/>
        <v>-1</v>
      </c>
      <c r="AI51" s="31">
        <f>Ordinaria!AI51</f>
        <v>0</v>
      </c>
      <c r="AJ51" s="32">
        <f t="shared" si="105"/>
        <v>-1</v>
      </c>
      <c r="AK51" s="31">
        <f>Ordinaria!AK51</f>
        <v>0</v>
      </c>
      <c r="AL51" s="32">
        <f t="shared" si="106"/>
        <v>-1</v>
      </c>
      <c r="AM51" s="31">
        <f>Ordinaria!AM51</f>
        <v>0</v>
      </c>
      <c r="AN51" s="32">
        <f t="shared" si="107"/>
        <v>-1</v>
      </c>
      <c r="AO51" s="31">
        <f>Ordinaria!AO51</f>
        <v>0</v>
      </c>
      <c r="AP51" s="32">
        <f t="shared" si="108"/>
        <v>-1</v>
      </c>
      <c r="AQ51" s="31">
        <f>Ordinaria!AQ51</f>
        <v>0</v>
      </c>
      <c r="AR51" s="32">
        <f t="shared" si="109"/>
        <v>-1</v>
      </c>
      <c r="AS51" s="31">
        <f>Ordinaria!AS51</f>
        <v>0</v>
      </c>
      <c r="AT51" s="32">
        <f t="shared" si="110"/>
        <v>-1</v>
      </c>
      <c r="AU51" s="31">
        <f>Ordinaria!AU51</f>
        <v>0</v>
      </c>
      <c r="AV51" s="32">
        <f t="shared" si="111"/>
        <v>-1</v>
      </c>
      <c r="AW51" s="31">
        <f>Ordinaria!AW51</f>
        <v>0</v>
      </c>
      <c r="AX51" s="32">
        <f t="shared" si="112"/>
        <v>-1</v>
      </c>
      <c r="AY51" s="31">
        <f>Ordinaria!AY51</f>
        <v>0</v>
      </c>
      <c r="AZ51" s="32">
        <f t="shared" si="113"/>
        <v>-1</v>
      </c>
      <c r="BA51" s="31">
        <f>Ordinaria!BA51</f>
        <v>0</v>
      </c>
      <c r="BB51" s="32">
        <f t="shared" si="114"/>
        <v>-1</v>
      </c>
      <c r="BC51" s="31">
        <f>Ordinaria!BC51</f>
        <v>0</v>
      </c>
      <c r="BD51" s="32">
        <f t="shared" si="115"/>
        <v>-1</v>
      </c>
      <c r="BE51" s="31">
        <f>Ordinaria!BE51</f>
        <v>0</v>
      </c>
      <c r="BF51" s="32">
        <f t="shared" si="116"/>
        <v>-1</v>
      </c>
      <c r="BG51" s="31">
        <f>Ordinaria!BG51</f>
        <v>0</v>
      </c>
      <c r="BH51" s="32">
        <f t="shared" si="117"/>
        <v>-1</v>
      </c>
      <c r="BI51" s="31">
        <f>Ordinaria!BI51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Ordinaria!B52</f>
        <v>0</v>
      </c>
      <c r="C52" s="31">
        <f>Ordinaria!C52</f>
        <v>0</v>
      </c>
      <c r="D52" s="32">
        <f t="shared" si="89"/>
        <v>-1</v>
      </c>
      <c r="E52" s="31">
        <f>Ordinaria!E52</f>
        <v>0</v>
      </c>
      <c r="F52" s="32">
        <f t="shared" si="90"/>
        <v>-1</v>
      </c>
      <c r="G52" s="31">
        <f>Ordinaria!G52</f>
        <v>0</v>
      </c>
      <c r="H52" s="32">
        <f t="shared" si="91"/>
        <v>-1</v>
      </c>
      <c r="I52" s="31">
        <f>Ordinaria!I52</f>
        <v>0</v>
      </c>
      <c r="J52" s="32">
        <f t="shared" si="92"/>
        <v>-1</v>
      </c>
      <c r="K52" s="31">
        <f>Ordinaria!K52</f>
        <v>0</v>
      </c>
      <c r="L52" s="32">
        <f t="shared" si="93"/>
        <v>-1</v>
      </c>
      <c r="M52" s="31">
        <f>Ordinaria!M52</f>
        <v>0</v>
      </c>
      <c r="N52" s="32">
        <f t="shared" si="94"/>
        <v>-1</v>
      </c>
      <c r="O52" s="31">
        <f>Ordinaria!O52</f>
        <v>0</v>
      </c>
      <c r="P52" s="32">
        <f t="shared" si="95"/>
        <v>-1</v>
      </c>
      <c r="Q52" s="31">
        <f>Ordinaria!Q52</f>
        <v>0</v>
      </c>
      <c r="R52" s="32">
        <f t="shared" si="96"/>
        <v>-1</v>
      </c>
      <c r="S52" s="31">
        <f>Ordinaria!S52</f>
        <v>0</v>
      </c>
      <c r="T52" s="32">
        <f t="shared" si="97"/>
        <v>-1</v>
      </c>
      <c r="U52" s="31">
        <f>Ordinaria!U52</f>
        <v>0</v>
      </c>
      <c r="V52" s="32">
        <f t="shared" si="98"/>
        <v>-1</v>
      </c>
      <c r="W52" s="31">
        <f>Ordinaria!W52</f>
        <v>0</v>
      </c>
      <c r="X52" s="32">
        <f t="shared" si="99"/>
        <v>-1</v>
      </c>
      <c r="Y52" s="31">
        <f>Ordinaria!Y52</f>
        <v>0</v>
      </c>
      <c r="Z52" s="32">
        <f t="shared" si="100"/>
        <v>-1</v>
      </c>
      <c r="AA52" s="31">
        <f>Ordinaria!AA52</f>
        <v>0</v>
      </c>
      <c r="AB52" s="32">
        <f t="shared" si="101"/>
        <v>-1</v>
      </c>
      <c r="AC52" s="31">
        <f>Ordinaria!AC52</f>
        <v>0</v>
      </c>
      <c r="AD52" s="32">
        <f t="shared" si="102"/>
        <v>-1</v>
      </c>
      <c r="AE52" s="31">
        <f>Ordinaria!AE52</f>
        <v>0</v>
      </c>
      <c r="AF52" s="32">
        <f t="shared" si="103"/>
        <v>-1</v>
      </c>
      <c r="AG52" s="31">
        <f>Ordinaria!AG52</f>
        <v>0</v>
      </c>
      <c r="AH52" s="32">
        <f t="shared" si="104"/>
        <v>-1</v>
      </c>
      <c r="AI52" s="31">
        <f>Ordinaria!AI52</f>
        <v>0</v>
      </c>
      <c r="AJ52" s="32">
        <f t="shared" si="105"/>
        <v>-1</v>
      </c>
      <c r="AK52" s="31">
        <f>Ordinaria!AK52</f>
        <v>0</v>
      </c>
      <c r="AL52" s="32">
        <f t="shared" si="106"/>
        <v>-1</v>
      </c>
      <c r="AM52" s="31">
        <f>Ordinaria!AM52</f>
        <v>0</v>
      </c>
      <c r="AN52" s="32">
        <f t="shared" si="107"/>
        <v>-1</v>
      </c>
      <c r="AO52" s="31">
        <f>Ordinaria!AO52</f>
        <v>0</v>
      </c>
      <c r="AP52" s="32">
        <f t="shared" si="108"/>
        <v>-1</v>
      </c>
      <c r="AQ52" s="31">
        <f>Ordinaria!AQ52</f>
        <v>0</v>
      </c>
      <c r="AR52" s="32">
        <f t="shared" si="109"/>
        <v>-1</v>
      </c>
      <c r="AS52" s="31">
        <f>Ordinaria!AS52</f>
        <v>0</v>
      </c>
      <c r="AT52" s="32">
        <f t="shared" si="110"/>
        <v>-1</v>
      </c>
      <c r="AU52" s="31">
        <f>Ordinaria!AU52</f>
        <v>0</v>
      </c>
      <c r="AV52" s="32">
        <f t="shared" si="111"/>
        <v>-1</v>
      </c>
      <c r="AW52" s="31">
        <f>Ordinaria!AW52</f>
        <v>0</v>
      </c>
      <c r="AX52" s="32">
        <f t="shared" si="112"/>
        <v>-1</v>
      </c>
      <c r="AY52" s="31">
        <f>Ordinaria!AY52</f>
        <v>0</v>
      </c>
      <c r="AZ52" s="32">
        <f t="shared" si="113"/>
        <v>-1</v>
      </c>
      <c r="BA52" s="31">
        <f>Ordinaria!BA52</f>
        <v>0</v>
      </c>
      <c r="BB52" s="32">
        <f t="shared" si="114"/>
        <v>-1</v>
      </c>
      <c r="BC52" s="31">
        <f>Ordinaria!BC52</f>
        <v>0</v>
      </c>
      <c r="BD52" s="32">
        <f t="shared" si="115"/>
        <v>-1</v>
      </c>
      <c r="BE52" s="31">
        <f>Ordinaria!BE52</f>
        <v>0</v>
      </c>
      <c r="BF52" s="32">
        <f t="shared" si="116"/>
        <v>-1</v>
      </c>
      <c r="BG52" s="31">
        <f>Ordinaria!BG52</f>
        <v>0</v>
      </c>
      <c r="BH52" s="32">
        <f t="shared" si="117"/>
        <v>-1</v>
      </c>
      <c r="BI52" s="31">
        <f>Ordinaria!BI52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Ordinaria!B53</f>
        <v>0</v>
      </c>
      <c r="C53" s="31">
        <f>Ordinaria!C53</f>
        <v>0</v>
      </c>
      <c r="D53" s="32">
        <f t="shared" si="89"/>
        <v>-1</v>
      </c>
      <c r="E53" s="31">
        <f>Ordinaria!E53</f>
        <v>0</v>
      </c>
      <c r="F53" s="32">
        <f t="shared" si="90"/>
        <v>-1</v>
      </c>
      <c r="G53" s="31">
        <f>Ordinaria!G53</f>
        <v>0</v>
      </c>
      <c r="H53" s="32">
        <f t="shared" si="91"/>
        <v>-1</v>
      </c>
      <c r="I53" s="31">
        <f>Ordinaria!I53</f>
        <v>0</v>
      </c>
      <c r="J53" s="32">
        <f t="shared" si="92"/>
        <v>-1</v>
      </c>
      <c r="K53" s="31">
        <f>Ordinaria!K53</f>
        <v>0</v>
      </c>
      <c r="L53" s="32">
        <f t="shared" si="93"/>
        <v>-1</v>
      </c>
      <c r="M53" s="31">
        <f>Ordinaria!M53</f>
        <v>0</v>
      </c>
      <c r="N53" s="32">
        <f t="shared" si="94"/>
        <v>-1</v>
      </c>
      <c r="O53" s="31">
        <f>Ordinaria!O53</f>
        <v>0</v>
      </c>
      <c r="P53" s="32">
        <f t="shared" si="95"/>
        <v>-1</v>
      </c>
      <c r="Q53" s="31">
        <f>Ordinaria!Q53</f>
        <v>0</v>
      </c>
      <c r="R53" s="32">
        <f t="shared" si="96"/>
        <v>-1</v>
      </c>
      <c r="S53" s="31">
        <f>Ordinaria!S53</f>
        <v>0</v>
      </c>
      <c r="T53" s="32">
        <f t="shared" si="97"/>
        <v>-1</v>
      </c>
      <c r="U53" s="31">
        <f>Ordinaria!U53</f>
        <v>0</v>
      </c>
      <c r="V53" s="32">
        <f t="shared" si="98"/>
        <v>-1</v>
      </c>
      <c r="W53" s="31">
        <f>Ordinaria!W53</f>
        <v>0</v>
      </c>
      <c r="X53" s="32">
        <f t="shared" si="99"/>
        <v>-1</v>
      </c>
      <c r="Y53" s="31">
        <f>Ordinaria!Y53</f>
        <v>0</v>
      </c>
      <c r="Z53" s="32">
        <f t="shared" si="100"/>
        <v>-1</v>
      </c>
      <c r="AA53" s="31">
        <f>Ordinaria!AA53</f>
        <v>0</v>
      </c>
      <c r="AB53" s="32">
        <f t="shared" si="101"/>
        <v>-1</v>
      </c>
      <c r="AC53" s="31">
        <f>Ordinaria!AC53</f>
        <v>0</v>
      </c>
      <c r="AD53" s="32">
        <f t="shared" si="102"/>
        <v>-1</v>
      </c>
      <c r="AE53" s="31">
        <f>Ordinaria!AE53</f>
        <v>0</v>
      </c>
      <c r="AF53" s="32">
        <f t="shared" si="103"/>
        <v>-1</v>
      </c>
      <c r="AG53" s="31">
        <f>Ordinaria!AG53</f>
        <v>0</v>
      </c>
      <c r="AH53" s="32">
        <f t="shared" si="104"/>
        <v>-1</v>
      </c>
      <c r="AI53" s="31">
        <f>Ordinaria!AI53</f>
        <v>0</v>
      </c>
      <c r="AJ53" s="32">
        <f t="shared" si="105"/>
        <v>-1</v>
      </c>
      <c r="AK53" s="31">
        <f>Ordinaria!AK53</f>
        <v>0</v>
      </c>
      <c r="AL53" s="32">
        <f t="shared" si="106"/>
        <v>-1</v>
      </c>
      <c r="AM53" s="31">
        <f>Ordinaria!AM53</f>
        <v>0</v>
      </c>
      <c r="AN53" s="32">
        <f t="shared" si="107"/>
        <v>-1</v>
      </c>
      <c r="AO53" s="31">
        <f>Ordinaria!AO53</f>
        <v>0</v>
      </c>
      <c r="AP53" s="32">
        <f t="shared" si="108"/>
        <v>-1</v>
      </c>
      <c r="AQ53" s="31">
        <f>Ordinaria!AQ53</f>
        <v>0</v>
      </c>
      <c r="AR53" s="32">
        <f t="shared" si="109"/>
        <v>-1</v>
      </c>
      <c r="AS53" s="31">
        <f>Ordinaria!AS53</f>
        <v>0</v>
      </c>
      <c r="AT53" s="32">
        <f t="shared" si="110"/>
        <v>-1</v>
      </c>
      <c r="AU53" s="31">
        <f>Ordinaria!AU53</f>
        <v>0</v>
      </c>
      <c r="AV53" s="32">
        <f t="shared" si="111"/>
        <v>-1</v>
      </c>
      <c r="AW53" s="31">
        <f>Ordinaria!AW53</f>
        <v>0</v>
      </c>
      <c r="AX53" s="32">
        <f t="shared" si="112"/>
        <v>-1</v>
      </c>
      <c r="AY53" s="31">
        <f>Ordinaria!AY53</f>
        <v>0</v>
      </c>
      <c r="AZ53" s="32">
        <f t="shared" si="113"/>
        <v>-1</v>
      </c>
      <c r="BA53" s="31">
        <f>Ordinaria!BA53</f>
        <v>0</v>
      </c>
      <c r="BB53" s="32">
        <f t="shared" si="114"/>
        <v>-1</v>
      </c>
      <c r="BC53" s="31">
        <f>Ordinaria!BC53</f>
        <v>0</v>
      </c>
      <c r="BD53" s="32">
        <f t="shared" si="115"/>
        <v>-1</v>
      </c>
      <c r="BE53" s="31">
        <f>Ordinaria!BE53</f>
        <v>0</v>
      </c>
      <c r="BF53" s="32">
        <f t="shared" si="116"/>
        <v>-1</v>
      </c>
      <c r="BG53" s="31">
        <f>Ordinaria!BG53</f>
        <v>0</v>
      </c>
      <c r="BH53" s="32">
        <f t="shared" si="117"/>
        <v>-1</v>
      </c>
      <c r="BI53" s="31">
        <f>Ordinaria!BI53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Ordinaria!B54</f>
        <v>0</v>
      </c>
      <c r="C54" s="31">
        <f>Ordinaria!C54</f>
        <v>0</v>
      </c>
      <c r="D54" s="32">
        <f t="shared" si="89"/>
        <v>-1</v>
      </c>
      <c r="E54" s="31">
        <f>Ordinaria!E54</f>
        <v>0</v>
      </c>
      <c r="F54" s="32">
        <f t="shared" si="90"/>
        <v>-1</v>
      </c>
      <c r="G54" s="31">
        <f>Ordinaria!G54</f>
        <v>0</v>
      </c>
      <c r="H54" s="32">
        <f t="shared" si="91"/>
        <v>-1</v>
      </c>
      <c r="I54" s="31">
        <f>Ordinaria!I54</f>
        <v>0</v>
      </c>
      <c r="J54" s="32">
        <f t="shared" si="92"/>
        <v>-1</v>
      </c>
      <c r="K54" s="31">
        <f>Ordinaria!K54</f>
        <v>0</v>
      </c>
      <c r="L54" s="32">
        <f t="shared" si="93"/>
        <v>-1</v>
      </c>
      <c r="M54" s="31">
        <f>Ordinaria!M54</f>
        <v>0</v>
      </c>
      <c r="N54" s="32">
        <f t="shared" si="94"/>
        <v>-1</v>
      </c>
      <c r="O54" s="31">
        <f>Ordinaria!O54</f>
        <v>0</v>
      </c>
      <c r="P54" s="32">
        <f t="shared" si="95"/>
        <v>-1</v>
      </c>
      <c r="Q54" s="31">
        <f>Ordinaria!Q54</f>
        <v>0</v>
      </c>
      <c r="R54" s="32">
        <f t="shared" si="96"/>
        <v>-1</v>
      </c>
      <c r="S54" s="31">
        <f>Ordinaria!S54</f>
        <v>0</v>
      </c>
      <c r="T54" s="32">
        <f t="shared" si="97"/>
        <v>-1</v>
      </c>
      <c r="U54" s="31">
        <f>Ordinaria!U54</f>
        <v>0</v>
      </c>
      <c r="V54" s="32">
        <f t="shared" si="98"/>
        <v>-1</v>
      </c>
      <c r="W54" s="31">
        <f>Ordinaria!W54</f>
        <v>0</v>
      </c>
      <c r="X54" s="32">
        <f t="shared" si="99"/>
        <v>-1</v>
      </c>
      <c r="Y54" s="31">
        <f>Ordinaria!Y54</f>
        <v>0</v>
      </c>
      <c r="Z54" s="32">
        <f t="shared" si="100"/>
        <v>-1</v>
      </c>
      <c r="AA54" s="31">
        <f>Ordinaria!AA54</f>
        <v>0</v>
      </c>
      <c r="AB54" s="32">
        <f t="shared" si="101"/>
        <v>-1</v>
      </c>
      <c r="AC54" s="31">
        <f>Ordinaria!AC54</f>
        <v>0</v>
      </c>
      <c r="AD54" s="32">
        <f t="shared" si="102"/>
        <v>-1</v>
      </c>
      <c r="AE54" s="31">
        <f>Ordinaria!AE54</f>
        <v>0</v>
      </c>
      <c r="AF54" s="32">
        <f t="shared" si="103"/>
        <v>-1</v>
      </c>
      <c r="AG54" s="31">
        <f>Ordinaria!AG54</f>
        <v>0</v>
      </c>
      <c r="AH54" s="32">
        <f t="shared" si="104"/>
        <v>-1</v>
      </c>
      <c r="AI54" s="31">
        <f>Ordinaria!AI54</f>
        <v>0</v>
      </c>
      <c r="AJ54" s="32">
        <f t="shared" si="105"/>
        <v>-1</v>
      </c>
      <c r="AK54" s="31">
        <f>Ordinaria!AK54</f>
        <v>0</v>
      </c>
      <c r="AL54" s="32">
        <f t="shared" si="106"/>
        <v>-1</v>
      </c>
      <c r="AM54" s="31">
        <f>Ordinaria!AM54</f>
        <v>0</v>
      </c>
      <c r="AN54" s="32">
        <f t="shared" si="107"/>
        <v>-1</v>
      </c>
      <c r="AO54" s="31">
        <f>Ordinaria!AO54</f>
        <v>0</v>
      </c>
      <c r="AP54" s="32">
        <f t="shared" si="108"/>
        <v>-1</v>
      </c>
      <c r="AQ54" s="31">
        <f>Ordinaria!AQ54</f>
        <v>0</v>
      </c>
      <c r="AR54" s="32">
        <f t="shared" si="109"/>
        <v>-1</v>
      </c>
      <c r="AS54" s="31">
        <f>Ordinaria!AS54</f>
        <v>0</v>
      </c>
      <c r="AT54" s="32">
        <f t="shared" si="110"/>
        <v>-1</v>
      </c>
      <c r="AU54" s="31">
        <f>Ordinaria!AU54</f>
        <v>0</v>
      </c>
      <c r="AV54" s="32">
        <f t="shared" si="111"/>
        <v>-1</v>
      </c>
      <c r="AW54" s="31">
        <f>Ordinaria!AW54</f>
        <v>0</v>
      </c>
      <c r="AX54" s="32">
        <f t="shared" si="112"/>
        <v>-1</v>
      </c>
      <c r="AY54" s="31">
        <f>Ordinaria!AY54</f>
        <v>0</v>
      </c>
      <c r="AZ54" s="32">
        <f t="shared" si="113"/>
        <v>-1</v>
      </c>
      <c r="BA54" s="31">
        <f>Ordinaria!BA54</f>
        <v>0</v>
      </c>
      <c r="BB54" s="32">
        <f t="shared" si="114"/>
        <v>-1</v>
      </c>
      <c r="BC54" s="31">
        <f>Ordinaria!BC54</f>
        <v>0</v>
      </c>
      <c r="BD54" s="32">
        <f t="shared" si="115"/>
        <v>-1</v>
      </c>
      <c r="BE54" s="31">
        <f>Ordinaria!BE54</f>
        <v>0</v>
      </c>
      <c r="BF54" s="32">
        <f t="shared" si="116"/>
        <v>-1</v>
      </c>
      <c r="BG54" s="31">
        <f>Ordinaria!BG54</f>
        <v>0</v>
      </c>
      <c r="BH54" s="32">
        <f t="shared" si="117"/>
        <v>-1</v>
      </c>
      <c r="BI54" s="31">
        <f>Ordinaria!BI54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Ordinaria!B55</f>
        <v>0</v>
      </c>
      <c r="C55" s="31">
        <f>Ordinaria!C55</f>
        <v>0</v>
      </c>
      <c r="D55" s="32">
        <f t="shared" si="89"/>
        <v>-1</v>
      </c>
      <c r="E55" s="31">
        <f>Ordinaria!E55</f>
        <v>0</v>
      </c>
      <c r="F55" s="32">
        <f t="shared" si="90"/>
        <v>-1</v>
      </c>
      <c r="G55" s="31">
        <f>Ordinaria!G55</f>
        <v>0</v>
      </c>
      <c r="H55" s="32">
        <f t="shared" si="91"/>
        <v>-1</v>
      </c>
      <c r="I55" s="31">
        <f>Ordinaria!I55</f>
        <v>0</v>
      </c>
      <c r="J55" s="32">
        <f t="shared" si="92"/>
        <v>-1</v>
      </c>
      <c r="K55" s="31">
        <f>Ordinaria!K55</f>
        <v>0</v>
      </c>
      <c r="L55" s="32">
        <f t="shared" si="93"/>
        <v>-1</v>
      </c>
      <c r="M55" s="31">
        <f>Ordinaria!M55</f>
        <v>0</v>
      </c>
      <c r="N55" s="32">
        <f t="shared" si="94"/>
        <v>-1</v>
      </c>
      <c r="O55" s="31">
        <f>Ordinaria!O55</f>
        <v>0</v>
      </c>
      <c r="P55" s="32">
        <f t="shared" si="95"/>
        <v>-1</v>
      </c>
      <c r="Q55" s="31">
        <f>Ordinaria!Q55</f>
        <v>0</v>
      </c>
      <c r="R55" s="32">
        <f t="shared" si="96"/>
        <v>-1</v>
      </c>
      <c r="S55" s="31">
        <f>Ordinaria!S55</f>
        <v>0</v>
      </c>
      <c r="T55" s="32">
        <f t="shared" si="97"/>
        <v>-1</v>
      </c>
      <c r="U55" s="31">
        <f>Ordinaria!U55</f>
        <v>0</v>
      </c>
      <c r="V55" s="32">
        <f t="shared" si="98"/>
        <v>-1</v>
      </c>
      <c r="W55" s="31">
        <f>Ordinaria!W55</f>
        <v>0</v>
      </c>
      <c r="X55" s="32">
        <f t="shared" si="99"/>
        <v>-1</v>
      </c>
      <c r="Y55" s="31">
        <f>Ordinaria!Y55</f>
        <v>0</v>
      </c>
      <c r="Z55" s="32">
        <f t="shared" si="100"/>
        <v>-1</v>
      </c>
      <c r="AA55" s="31">
        <f>Ordinaria!AA55</f>
        <v>0</v>
      </c>
      <c r="AB55" s="32">
        <f t="shared" si="101"/>
        <v>-1</v>
      </c>
      <c r="AC55" s="31">
        <f>Ordinaria!AC55</f>
        <v>0</v>
      </c>
      <c r="AD55" s="32">
        <f t="shared" si="102"/>
        <v>-1</v>
      </c>
      <c r="AE55" s="31">
        <f>Ordinaria!AE55</f>
        <v>0</v>
      </c>
      <c r="AF55" s="32">
        <f t="shared" si="103"/>
        <v>-1</v>
      </c>
      <c r="AG55" s="31">
        <f>Ordinaria!AG55</f>
        <v>0</v>
      </c>
      <c r="AH55" s="32">
        <f t="shared" si="104"/>
        <v>-1</v>
      </c>
      <c r="AI55" s="31">
        <f>Ordinaria!AI55</f>
        <v>0</v>
      </c>
      <c r="AJ55" s="32">
        <f t="shared" si="105"/>
        <v>-1</v>
      </c>
      <c r="AK55" s="31">
        <f>Ordinaria!AK55</f>
        <v>0</v>
      </c>
      <c r="AL55" s="32">
        <f t="shared" si="106"/>
        <v>-1</v>
      </c>
      <c r="AM55" s="31">
        <f>Ordinaria!AM55</f>
        <v>0</v>
      </c>
      <c r="AN55" s="32">
        <f t="shared" si="107"/>
        <v>-1</v>
      </c>
      <c r="AO55" s="31">
        <f>Ordinaria!AO55</f>
        <v>0</v>
      </c>
      <c r="AP55" s="32">
        <f t="shared" si="108"/>
        <v>-1</v>
      </c>
      <c r="AQ55" s="31">
        <f>Ordinaria!AQ55</f>
        <v>0</v>
      </c>
      <c r="AR55" s="32">
        <f t="shared" si="109"/>
        <v>-1</v>
      </c>
      <c r="AS55" s="31">
        <f>Ordinaria!AS55</f>
        <v>0</v>
      </c>
      <c r="AT55" s="32">
        <f t="shared" si="110"/>
        <v>-1</v>
      </c>
      <c r="AU55" s="31">
        <f>Ordinaria!AU55</f>
        <v>0</v>
      </c>
      <c r="AV55" s="32">
        <f t="shared" si="111"/>
        <v>-1</v>
      </c>
      <c r="AW55" s="31">
        <f>Ordinaria!AW55</f>
        <v>0</v>
      </c>
      <c r="AX55" s="32">
        <f t="shared" si="112"/>
        <v>-1</v>
      </c>
      <c r="AY55" s="31">
        <f>Ordinaria!AY55</f>
        <v>0</v>
      </c>
      <c r="AZ55" s="32">
        <f t="shared" si="113"/>
        <v>-1</v>
      </c>
      <c r="BA55" s="31">
        <f>Ordinaria!BA55</f>
        <v>0</v>
      </c>
      <c r="BB55" s="32">
        <f t="shared" si="114"/>
        <v>-1</v>
      </c>
      <c r="BC55" s="31">
        <f>Ordinaria!BC55</f>
        <v>0</v>
      </c>
      <c r="BD55" s="32">
        <f t="shared" si="115"/>
        <v>-1</v>
      </c>
      <c r="BE55" s="31">
        <f>Ordinaria!BE55</f>
        <v>0</v>
      </c>
      <c r="BF55" s="32">
        <f t="shared" si="116"/>
        <v>-1</v>
      </c>
      <c r="BG55" s="31">
        <f>Ordinaria!BG55</f>
        <v>0</v>
      </c>
      <c r="BH55" s="32">
        <f t="shared" si="117"/>
        <v>-1</v>
      </c>
      <c r="BI55" s="31">
        <f>Ordinaria!BI55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Ordinaria!B56</f>
        <v>0</v>
      </c>
      <c r="C56" s="31">
        <f>Ordinaria!C56</f>
        <v>0</v>
      </c>
      <c r="D56" s="32">
        <f t="shared" si="89"/>
        <v>-1</v>
      </c>
      <c r="E56" s="31">
        <f>Ordinaria!E56</f>
        <v>0</v>
      </c>
      <c r="F56" s="32">
        <f t="shared" si="90"/>
        <v>-1</v>
      </c>
      <c r="G56" s="31">
        <f>Ordinaria!G56</f>
        <v>0</v>
      </c>
      <c r="H56" s="32">
        <f t="shared" si="91"/>
        <v>-1</v>
      </c>
      <c r="I56" s="31">
        <f>Ordinaria!I56</f>
        <v>0</v>
      </c>
      <c r="J56" s="32">
        <f t="shared" si="92"/>
        <v>-1</v>
      </c>
      <c r="K56" s="31">
        <f>Ordinaria!K56</f>
        <v>0</v>
      </c>
      <c r="L56" s="32">
        <f t="shared" si="93"/>
        <v>-1</v>
      </c>
      <c r="M56" s="31">
        <f>Ordinaria!M56</f>
        <v>0</v>
      </c>
      <c r="N56" s="32">
        <f t="shared" si="94"/>
        <v>-1</v>
      </c>
      <c r="O56" s="31">
        <f>Ordinaria!O56</f>
        <v>0</v>
      </c>
      <c r="P56" s="32">
        <f t="shared" si="95"/>
        <v>-1</v>
      </c>
      <c r="Q56" s="31">
        <f>Ordinaria!Q56</f>
        <v>0</v>
      </c>
      <c r="R56" s="32">
        <f t="shared" si="96"/>
        <v>-1</v>
      </c>
      <c r="S56" s="31">
        <f>Ordinaria!S56</f>
        <v>0</v>
      </c>
      <c r="T56" s="32">
        <f t="shared" si="97"/>
        <v>-1</v>
      </c>
      <c r="U56" s="31">
        <f>Ordinaria!U56</f>
        <v>0</v>
      </c>
      <c r="V56" s="32">
        <f t="shared" si="98"/>
        <v>-1</v>
      </c>
      <c r="W56" s="31">
        <f>Ordinaria!W56</f>
        <v>0</v>
      </c>
      <c r="X56" s="32">
        <f t="shared" si="99"/>
        <v>-1</v>
      </c>
      <c r="Y56" s="31">
        <f>Ordinaria!Y56</f>
        <v>0</v>
      </c>
      <c r="Z56" s="32">
        <f t="shared" si="100"/>
        <v>-1</v>
      </c>
      <c r="AA56" s="31">
        <f>Ordinaria!AA56</f>
        <v>0</v>
      </c>
      <c r="AB56" s="32">
        <f t="shared" si="101"/>
        <v>-1</v>
      </c>
      <c r="AC56" s="31">
        <f>Ordinaria!AC56</f>
        <v>0</v>
      </c>
      <c r="AD56" s="32">
        <f t="shared" si="102"/>
        <v>-1</v>
      </c>
      <c r="AE56" s="31">
        <f>Ordinaria!AE56</f>
        <v>0</v>
      </c>
      <c r="AF56" s="32">
        <f t="shared" si="103"/>
        <v>-1</v>
      </c>
      <c r="AG56" s="31">
        <f>Ordinaria!AG56</f>
        <v>0</v>
      </c>
      <c r="AH56" s="32">
        <f t="shared" si="104"/>
        <v>-1</v>
      </c>
      <c r="AI56" s="31">
        <f>Ordinaria!AI56</f>
        <v>0</v>
      </c>
      <c r="AJ56" s="32">
        <f t="shared" si="105"/>
        <v>-1</v>
      </c>
      <c r="AK56" s="31">
        <f>Ordinaria!AK56</f>
        <v>0</v>
      </c>
      <c r="AL56" s="32">
        <f t="shared" si="106"/>
        <v>-1</v>
      </c>
      <c r="AM56" s="31">
        <f>Ordinaria!AM56</f>
        <v>0</v>
      </c>
      <c r="AN56" s="32">
        <f t="shared" si="107"/>
        <v>-1</v>
      </c>
      <c r="AO56" s="31">
        <f>Ordinaria!AO56</f>
        <v>0</v>
      </c>
      <c r="AP56" s="32">
        <f t="shared" si="108"/>
        <v>-1</v>
      </c>
      <c r="AQ56" s="31">
        <f>Ordinaria!AQ56</f>
        <v>0</v>
      </c>
      <c r="AR56" s="32">
        <f t="shared" si="109"/>
        <v>-1</v>
      </c>
      <c r="AS56" s="31">
        <f>Ordinaria!AS56</f>
        <v>0</v>
      </c>
      <c r="AT56" s="32">
        <f t="shared" si="110"/>
        <v>-1</v>
      </c>
      <c r="AU56" s="31">
        <f>Ordinaria!AU56</f>
        <v>0</v>
      </c>
      <c r="AV56" s="32">
        <f t="shared" si="111"/>
        <v>-1</v>
      </c>
      <c r="AW56" s="31">
        <f>Ordinaria!AW56</f>
        <v>0</v>
      </c>
      <c r="AX56" s="32">
        <f t="shared" si="112"/>
        <v>-1</v>
      </c>
      <c r="AY56" s="31">
        <f>Ordinaria!AY56</f>
        <v>0</v>
      </c>
      <c r="AZ56" s="32">
        <f t="shared" si="113"/>
        <v>-1</v>
      </c>
      <c r="BA56" s="31">
        <f>Ordinaria!BA56</f>
        <v>0</v>
      </c>
      <c r="BB56" s="32">
        <f t="shared" si="114"/>
        <v>-1</v>
      </c>
      <c r="BC56" s="31">
        <f>Ordinaria!BC56</f>
        <v>0</v>
      </c>
      <c r="BD56" s="32">
        <f t="shared" si="115"/>
        <v>-1</v>
      </c>
      <c r="BE56" s="31">
        <f>Ordinaria!BE56</f>
        <v>0</v>
      </c>
      <c r="BF56" s="32">
        <f t="shared" si="116"/>
        <v>-1</v>
      </c>
      <c r="BG56" s="31">
        <f>Ordinaria!BG56</f>
        <v>0</v>
      </c>
      <c r="BH56" s="32">
        <f t="shared" si="117"/>
        <v>-1</v>
      </c>
      <c r="BI56" s="31">
        <f>Ordinaria!BI56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Ordinaria!B57</f>
        <v>0</v>
      </c>
      <c r="C57" s="31">
        <f>Ordinaria!C57</f>
        <v>0</v>
      </c>
      <c r="D57" s="32">
        <f t="shared" si="89"/>
        <v>-1</v>
      </c>
      <c r="E57" s="31">
        <f>Ordinaria!E57</f>
        <v>0</v>
      </c>
      <c r="F57" s="32">
        <f t="shared" si="90"/>
        <v>-1</v>
      </c>
      <c r="G57" s="31">
        <f>Ordinaria!G57</f>
        <v>0</v>
      </c>
      <c r="H57" s="32">
        <f t="shared" si="91"/>
        <v>-1</v>
      </c>
      <c r="I57" s="31">
        <f>Ordinaria!I57</f>
        <v>0</v>
      </c>
      <c r="J57" s="32">
        <f t="shared" si="92"/>
        <v>-1</v>
      </c>
      <c r="K57" s="31">
        <f>Ordinaria!K57</f>
        <v>0</v>
      </c>
      <c r="L57" s="32">
        <f t="shared" si="93"/>
        <v>-1</v>
      </c>
      <c r="M57" s="31">
        <f>Ordinaria!M57</f>
        <v>0</v>
      </c>
      <c r="N57" s="32">
        <f t="shared" si="94"/>
        <v>-1</v>
      </c>
      <c r="O57" s="31">
        <f>Ordinaria!O57</f>
        <v>0</v>
      </c>
      <c r="P57" s="32">
        <f t="shared" si="95"/>
        <v>-1</v>
      </c>
      <c r="Q57" s="31">
        <f>Ordinaria!Q57</f>
        <v>0</v>
      </c>
      <c r="R57" s="32">
        <f t="shared" si="96"/>
        <v>-1</v>
      </c>
      <c r="S57" s="31">
        <f>Ordinaria!S57</f>
        <v>0</v>
      </c>
      <c r="T57" s="32">
        <f t="shared" si="97"/>
        <v>-1</v>
      </c>
      <c r="U57" s="31">
        <f>Ordinaria!U57</f>
        <v>0</v>
      </c>
      <c r="V57" s="32">
        <f t="shared" si="98"/>
        <v>-1</v>
      </c>
      <c r="W57" s="31">
        <f>Ordinaria!W57</f>
        <v>0</v>
      </c>
      <c r="X57" s="32">
        <f t="shared" si="99"/>
        <v>-1</v>
      </c>
      <c r="Y57" s="31">
        <f>Ordinaria!Y57</f>
        <v>0</v>
      </c>
      <c r="Z57" s="32">
        <f t="shared" si="100"/>
        <v>-1</v>
      </c>
      <c r="AA57" s="31">
        <f>Ordinaria!AA57</f>
        <v>0</v>
      </c>
      <c r="AB57" s="32">
        <f t="shared" si="101"/>
        <v>-1</v>
      </c>
      <c r="AC57" s="31">
        <f>Ordinaria!AC57</f>
        <v>0</v>
      </c>
      <c r="AD57" s="32">
        <f t="shared" si="102"/>
        <v>-1</v>
      </c>
      <c r="AE57" s="31">
        <f>Ordinaria!AE57</f>
        <v>0</v>
      </c>
      <c r="AF57" s="32">
        <f t="shared" si="103"/>
        <v>-1</v>
      </c>
      <c r="AG57" s="31">
        <f>Ordinaria!AG57</f>
        <v>0</v>
      </c>
      <c r="AH57" s="32">
        <f t="shared" si="104"/>
        <v>-1</v>
      </c>
      <c r="AI57" s="31">
        <f>Ordinaria!AI57</f>
        <v>0</v>
      </c>
      <c r="AJ57" s="32">
        <f t="shared" si="105"/>
        <v>-1</v>
      </c>
      <c r="AK57" s="31">
        <f>Ordinaria!AK57</f>
        <v>0</v>
      </c>
      <c r="AL57" s="32">
        <f t="shared" si="106"/>
        <v>-1</v>
      </c>
      <c r="AM57" s="31">
        <f>Ordinaria!AM57</f>
        <v>0</v>
      </c>
      <c r="AN57" s="32">
        <f t="shared" si="107"/>
        <v>-1</v>
      </c>
      <c r="AO57" s="31">
        <f>Ordinaria!AO57</f>
        <v>0</v>
      </c>
      <c r="AP57" s="32">
        <f t="shared" si="108"/>
        <v>-1</v>
      </c>
      <c r="AQ57" s="31">
        <f>Ordinaria!AQ57</f>
        <v>0</v>
      </c>
      <c r="AR57" s="32">
        <f t="shared" si="109"/>
        <v>-1</v>
      </c>
      <c r="AS57" s="31">
        <f>Ordinaria!AS57</f>
        <v>0</v>
      </c>
      <c r="AT57" s="32">
        <f t="shared" si="110"/>
        <v>-1</v>
      </c>
      <c r="AU57" s="31">
        <f>Ordinaria!AU57</f>
        <v>0</v>
      </c>
      <c r="AV57" s="32">
        <f t="shared" si="111"/>
        <v>-1</v>
      </c>
      <c r="AW57" s="31">
        <f>Ordinaria!AW57</f>
        <v>0</v>
      </c>
      <c r="AX57" s="32">
        <f t="shared" si="112"/>
        <v>-1</v>
      </c>
      <c r="AY57" s="31">
        <f>Ordinaria!AY57</f>
        <v>0</v>
      </c>
      <c r="AZ57" s="32">
        <f t="shared" si="113"/>
        <v>-1</v>
      </c>
      <c r="BA57" s="31">
        <f>Ordinaria!BA57</f>
        <v>0</v>
      </c>
      <c r="BB57" s="32">
        <f t="shared" si="114"/>
        <v>-1</v>
      </c>
      <c r="BC57" s="31">
        <f>Ordinaria!BC57</f>
        <v>0</v>
      </c>
      <c r="BD57" s="32">
        <f t="shared" si="115"/>
        <v>-1</v>
      </c>
      <c r="BE57" s="31">
        <f>Ordinaria!BE57</f>
        <v>0</v>
      </c>
      <c r="BF57" s="32">
        <f t="shared" si="116"/>
        <v>-1</v>
      </c>
      <c r="BG57" s="31">
        <f>Ordinaria!BG57</f>
        <v>0</v>
      </c>
      <c r="BH57" s="32">
        <f t="shared" si="117"/>
        <v>-1</v>
      </c>
      <c r="BI57" s="31">
        <f>Ordinaria!BI57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Ordinaria!B58</f>
        <v>0</v>
      </c>
      <c r="C58" s="31">
        <f>Ordinaria!C58</f>
        <v>0</v>
      </c>
      <c r="D58" s="32">
        <f t="shared" si="89"/>
        <v>-1</v>
      </c>
      <c r="E58" s="31">
        <f>Ordinaria!E58</f>
        <v>0</v>
      </c>
      <c r="F58" s="32">
        <f t="shared" si="90"/>
        <v>-1</v>
      </c>
      <c r="G58" s="31">
        <f>Ordinaria!G58</f>
        <v>0</v>
      </c>
      <c r="H58" s="32">
        <f t="shared" si="91"/>
        <v>-1</v>
      </c>
      <c r="I58" s="31">
        <f>Ordinaria!I58</f>
        <v>0</v>
      </c>
      <c r="J58" s="32">
        <f t="shared" si="92"/>
        <v>-1</v>
      </c>
      <c r="K58" s="31">
        <f>Ordinaria!K58</f>
        <v>0</v>
      </c>
      <c r="L58" s="32">
        <f t="shared" si="93"/>
        <v>-1</v>
      </c>
      <c r="M58" s="31">
        <f>Ordinaria!M58</f>
        <v>0</v>
      </c>
      <c r="N58" s="32">
        <f t="shared" si="94"/>
        <v>-1</v>
      </c>
      <c r="O58" s="31">
        <f>Ordinaria!O58</f>
        <v>0</v>
      </c>
      <c r="P58" s="32">
        <f t="shared" si="95"/>
        <v>-1</v>
      </c>
      <c r="Q58" s="31">
        <f>Ordinaria!Q58</f>
        <v>0</v>
      </c>
      <c r="R58" s="32">
        <f t="shared" si="96"/>
        <v>-1</v>
      </c>
      <c r="S58" s="31">
        <f>Ordinaria!S58</f>
        <v>0</v>
      </c>
      <c r="T58" s="32">
        <f t="shared" si="97"/>
        <v>-1</v>
      </c>
      <c r="U58" s="31">
        <f>Ordinaria!U58</f>
        <v>0</v>
      </c>
      <c r="V58" s="32">
        <f t="shared" si="98"/>
        <v>-1</v>
      </c>
      <c r="W58" s="31">
        <f>Ordinaria!W58</f>
        <v>0</v>
      </c>
      <c r="X58" s="32">
        <f t="shared" si="99"/>
        <v>-1</v>
      </c>
      <c r="Y58" s="31">
        <f>Ordinaria!Y58</f>
        <v>0</v>
      </c>
      <c r="Z58" s="32">
        <f t="shared" si="100"/>
        <v>-1</v>
      </c>
      <c r="AA58" s="31">
        <f>Ordinaria!AA58</f>
        <v>0</v>
      </c>
      <c r="AB58" s="32">
        <f t="shared" si="101"/>
        <v>-1</v>
      </c>
      <c r="AC58" s="31">
        <f>Ordinaria!AC58</f>
        <v>0</v>
      </c>
      <c r="AD58" s="32">
        <f t="shared" si="102"/>
        <v>-1</v>
      </c>
      <c r="AE58" s="31">
        <f>Ordinaria!AE58</f>
        <v>0</v>
      </c>
      <c r="AF58" s="32">
        <f t="shared" si="103"/>
        <v>-1</v>
      </c>
      <c r="AG58" s="31">
        <f>Ordinaria!AG58</f>
        <v>0</v>
      </c>
      <c r="AH58" s="32">
        <f t="shared" si="104"/>
        <v>-1</v>
      </c>
      <c r="AI58" s="31">
        <f>Ordinaria!AI58</f>
        <v>0</v>
      </c>
      <c r="AJ58" s="32">
        <f t="shared" si="105"/>
        <v>-1</v>
      </c>
      <c r="AK58" s="31">
        <f>Ordinaria!AK58</f>
        <v>0</v>
      </c>
      <c r="AL58" s="32">
        <f t="shared" si="106"/>
        <v>-1</v>
      </c>
      <c r="AM58" s="31">
        <f>Ordinaria!AM58</f>
        <v>0</v>
      </c>
      <c r="AN58" s="32">
        <f t="shared" si="107"/>
        <v>-1</v>
      </c>
      <c r="AO58" s="31">
        <f>Ordinaria!AO58</f>
        <v>0</v>
      </c>
      <c r="AP58" s="32">
        <f t="shared" si="108"/>
        <v>-1</v>
      </c>
      <c r="AQ58" s="31">
        <f>Ordinaria!AQ58</f>
        <v>0</v>
      </c>
      <c r="AR58" s="32">
        <f t="shared" si="109"/>
        <v>-1</v>
      </c>
      <c r="AS58" s="31">
        <f>Ordinaria!AS58</f>
        <v>0</v>
      </c>
      <c r="AT58" s="32">
        <f t="shared" si="110"/>
        <v>-1</v>
      </c>
      <c r="AU58" s="31">
        <f>Ordinaria!AU58</f>
        <v>0</v>
      </c>
      <c r="AV58" s="32">
        <f t="shared" si="111"/>
        <v>-1</v>
      </c>
      <c r="AW58" s="31">
        <f>Ordinaria!AW58</f>
        <v>0</v>
      </c>
      <c r="AX58" s="32">
        <f t="shared" si="112"/>
        <v>-1</v>
      </c>
      <c r="AY58" s="31">
        <f>Ordinaria!AY58</f>
        <v>0</v>
      </c>
      <c r="AZ58" s="32">
        <f t="shared" si="113"/>
        <v>-1</v>
      </c>
      <c r="BA58" s="31">
        <f>Ordinaria!BA58</f>
        <v>0</v>
      </c>
      <c r="BB58" s="32">
        <f t="shared" si="114"/>
        <v>-1</v>
      </c>
      <c r="BC58" s="31">
        <f>Ordinaria!BC58</f>
        <v>0</v>
      </c>
      <c r="BD58" s="32">
        <f t="shared" si="115"/>
        <v>-1</v>
      </c>
      <c r="BE58" s="31">
        <f>Ordinaria!BE58</f>
        <v>0</v>
      </c>
      <c r="BF58" s="32">
        <f t="shared" si="116"/>
        <v>-1</v>
      </c>
      <c r="BG58" s="31">
        <f>Ordinaria!BG58</f>
        <v>0</v>
      </c>
      <c r="BH58" s="32">
        <f t="shared" si="117"/>
        <v>-1</v>
      </c>
      <c r="BI58" s="31">
        <f>Ordinaria!BI58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8">
        <f>IF(SUM($B60:$B63)&lt;&gt;0,SUM(C60:C63)/SUM($B60:$B63)*$B59*10, "")</f>
        <v>0.67499999608844519</v>
      </c>
      <c r="D59" s="58"/>
      <c r="E59" s="58">
        <f>IF(SUM($B60:$B63)&lt;&gt;0,SUM(E60:E63)/SUM($B60:$B63)*$B59*10, "")</f>
        <v>1.125</v>
      </c>
      <c r="F59" s="58"/>
      <c r="G59" s="58">
        <f>IF(SUM($B60:$B63)&lt;&gt;0,SUM(G60:G63)/SUM($B60:$B63)*$B59*10, "")</f>
        <v>0.78750001452863216</v>
      </c>
      <c r="H59" s="58"/>
      <c r="I59" s="58">
        <f>IF(SUM($B60:$B63)&lt;&gt;0,SUM(I60:I63)/SUM($B60:$B63)*$B59*10, "")</f>
        <v>0.82500000111758709</v>
      </c>
      <c r="J59" s="58"/>
      <c r="K59" s="58">
        <f>IF(SUM($B60:$B63)&lt;&gt;0,SUM(K60:K63)/SUM($B60:$B63)*$B59*10, "")</f>
        <v>1.0499999932944775</v>
      </c>
      <c r="L59" s="58"/>
      <c r="M59" s="58">
        <f>IF(SUM($B60:$B63)&lt;&gt;0,SUM(M60:M63)/SUM($B60:$B63)*$B59*10, "")</f>
        <v>0.30000000726431608</v>
      </c>
      <c r="N59" s="58"/>
      <c r="O59" s="58">
        <f>IF(SUM($B60:$B63)&lt;&gt;0,SUM(O60:O63)/SUM($B60:$B63)*$B59*10, "")</f>
        <v>0.78750002011656761</v>
      </c>
      <c r="P59" s="58"/>
      <c r="Q59" s="58">
        <f>IF(SUM($B60:$B63)&lt;&gt;0,SUM(Q60:Q63)/SUM($B60:$B63)*$B59*10, "")</f>
        <v>0.52500001341104507</v>
      </c>
      <c r="R59" s="58"/>
      <c r="S59" s="58">
        <f>IF(SUM($B60:$B63)&lt;&gt;0,SUM(S60:S63)/SUM($B60:$B63)*$B59*10, "")</f>
        <v>0.63750001229345798</v>
      </c>
      <c r="T59" s="58"/>
      <c r="U59" s="58">
        <f>IF(SUM($B60:$B63)&lt;&gt;0,SUM(U60:U63)/SUM($B60:$B63)*$B59*10, "")</f>
        <v>0.52499999944120646</v>
      </c>
      <c r="V59" s="58"/>
      <c r="W59" s="58">
        <f>IF(SUM($B60:$B63)&lt;&gt;0,SUM(W60:W63)/SUM($B60:$B63)*$B59*10, "")</f>
        <v>0.97499999776482582</v>
      </c>
      <c r="X59" s="58"/>
      <c r="Y59" s="58">
        <f>IF(SUM($B60:$B63)&lt;&gt;0,SUM(Y60:Y63)/SUM($B60:$B63)*$B59*10, "")</f>
        <v>0.67500001005828381</v>
      </c>
      <c r="Z59" s="58"/>
      <c r="AA59" s="58">
        <f>IF(SUM($B60:$B63)&lt;&gt;0,SUM(AA60:AA63)/SUM($B60:$B63)*$B59*10, "")</f>
        <v>0.45000001229345798</v>
      </c>
      <c r="AB59" s="58"/>
      <c r="AC59" s="58">
        <f>IF(SUM($B60:$B63)&lt;&gt;0,SUM(AC60:AC63)/SUM($B60:$B63)*$B59*10, "")</f>
        <v>1.1249999776482582</v>
      </c>
      <c r="AD59" s="58"/>
      <c r="AE59" s="58">
        <f>IF(SUM($B60:$B63)&lt;&gt;0,SUM(AE60:AE63)/SUM($B60:$B63)*$B59*10, "")</f>
        <v>0.56250001955777407</v>
      </c>
      <c r="AF59" s="58"/>
      <c r="AG59" s="58">
        <f>IF(SUM($B60:$B63)&lt;&gt;0,SUM(AG60:AG63)/SUM($B60:$B63)*$B59*10, "")</f>
        <v>0.9375</v>
      </c>
      <c r="AH59" s="58"/>
      <c r="AI59" s="58">
        <f>IF(SUM($B60:$B63)&lt;&gt;0,SUM(AI60:AI63)/SUM($B60:$B63)*$B59*10, "")</f>
        <v>0.45000000670552254</v>
      </c>
      <c r="AJ59" s="58"/>
      <c r="AK59" s="58">
        <f>IF(SUM($B60:$B63)&lt;&gt;0,SUM(AK60:AK63)/SUM($B60:$B63)*$B59*10, "")</f>
        <v>0.89999999105930328</v>
      </c>
      <c r="AL59" s="58"/>
      <c r="AM59" s="58">
        <f>IF(SUM($B60:$B63)&lt;&gt;0,SUM(AM60:AM63)/SUM($B60:$B63)*$B59*10, "")</f>
        <v>0.45000000949949026</v>
      </c>
      <c r="AN59" s="58"/>
      <c r="AO59" s="58">
        <f>IF(SUM($B60:$B63)&lt;&gt;0,SUM(AO60:AO63)/SUM($B60:$B63)*$B59*10, "")</f>
        <v>0.78749999217689037</v>
      </c>
      <c r="AP59" s="58"/>
      <c r="AQ59" s="58">
        <f>IF(SUM($B60:$B63)&lt;&gt;0,SUM(AQ60:AQ63)/SUM($B60:$B63)*$B59*10, "")</f>
        <v>0.52500000782310963</v>
      </c>
      <c r="AR59" s="58"/>
      <c r="AS59" s="58">
        <f>IF(SUM($B60:$B63)&lt;&gt;0,SUM(AS60:AS63)/SUM($B60:$B63)*$B59*10, "")</f>
        <v>0.90000002458691597</v>
      </c>
      <c r="AT59" s="58"/>
      <c r="AU59" s="58">
        <f>IF(SUM($B60:$B63)&lt;&gt;0,SUM(AU60:AU63)/SUM($B60:$B63)*$B59*10, "")</f>
        <v>0.5625</v>
      </c>
      <c r="AV59" s="58"/>
      <c r="AW59" s="58">
        <f>IF(SUM($B60:$B63)&lt;&gt;0,SUM(AW60:AW63)/SUM($B60:$B63)*$B59*10, "")</f>
        <v>0.67499999888241291</v>
      </c>
      <c r="AX59" s="58"/>
      <c r="AY59" s="58">
        <f>IF(SUM($B60:$B63)&lt;&gt;0,SUM(AY60:AY63)/SUM($B60:$B63)*$B59*10, "")</f>
        <v>0.82499999273568392</v>
      </c>
      <c r="AZ59" s="58"/>
      <c r="BA59" s="58">
        <f>IF(SUM($B60:$B63)&lt;&gt;0,SUM(BA60:BA63)/SUM($B60:$B63)*$B59*10, "")</f>
        <v>0.82500000949949026</v>
      </c>
      <c r="BB59" s="58"/>
      <c r="BC59" s="58">
        <f>IF(SUM($B60:$B63)&lt;&gt;0,SUM(BC60:BC63)/SUM($B60:$B63)*$B59*10, "")</f>
        <v>0.86249999329447746</v>
      </c>
      <c r="BD59" s="58"/>
      <c r="BE59" s="58">
        <f>IF(SUM($B60:$B63)&lt;&gt;0,SUM(BE60:BE63)/SUM($B60:$B63)*$B59*10, "")</f>
        <v>0.63750000111758698</v>
      </c>
      <c r="BF59" s="58"/>
      <c r="BG59" s="58">
        <f>IF(SUM($B60:$B63)&lt;&gt;0,SUM(BG60:BG63)/SUM($B60:$B63)*$B59*10, "")</f>
        <v>0.78750001452863216</v>
      </c>
      <c r="BH59" s="58"/>
      <c r="BI59" s="58">
        <f>IF(SUM($B60:$B63)&lt;&gt;0,SUM(BI60:BI63)/SUM($B60:$B63)*$B59*10, "")</f>
        <v>0.56250001396983862</v>
      </c>
      <c r="BJ59" s="58"/>
    </row>
    <row r="60" spans="1:62" ht="28" x14ac:dyDescent="0.2">
      <c r="A60" s="2" t="s">
        <v>59</v>
      </c>
      <c r="B60" s="13">
        <f>Ordinaria!B60</f>
        <v>2.5</v>
      </c>
      <c r="C60" s="31">
        <f>Ordinaria!C60</f>
        <v>0</v>
      </c>
      <c r="D60" s="32">
        <f>IF($B60,C60/$B60,-1)</f>
        <v>0</v>
      </c>
      <c r="E60" s="31">
        <f>Ordinaria!E60</f>
        <v>0.75000002980232239</v>
      </c>
      <c r="F60" s="32">
        <f>IF($B60,E60/$B60,-1)</f>
        <v>0.30000001192092896</v>
      </c>
      <c r="G60" s="31">
        <f>Ordinaria!G60</f>
        <v>2.5</v>
      </c>
      <c r="H60" s="32">
        <f>IF($B60,G60/$B60,-1)</f>
        <v>1</v>
      </c>
      <c r="I60" s="31">
        <f>Ordinaria!I60</f>
        <v>0.75000002980232239</v>
      </c>
      <c r="J60" s="32">
        <f>IF($B60,I60/$B60,-1)</f>
        <v>0.30000001192092896</v>
      </c>
      <c r="K60" s="31">
        <f>Ordinaria!K60</f>
        <v>1.7499999701976776</v>
      </c>
      <c r="L60" s="32">
        <f>IF($B60,K60/$B60,-1)</f>
        <v>0.69999998807907104</v>
      </c>
      <c r="M60" s="31">
        <f>Ordinaria!M60</f>
        <v>0.75000002980232239</v>
      </c>
      <c r="N60" s="32">
        <f>IF($B60,M60/$B60,-1)</f>
        <v>0.30000001192092896</v>
      </c>
      <c r="O60" s="31">
        <f>Ordinaria!O60</f>
        <v>1.0000000149011612</v>
      </c>
      <c r="P60" s="32">
        <f>IF($B60,O60/$B60,-1)</f>
        <v>0.40000000596046448</v>
      </c>
      <c r="Q60" s="31">
        <f>Ordinaria!Q60</f>
        <v>0.75000002980232239</v>
      </c>
      <c r="R60" s="32">
        <f>IF($B60,Q60/$B60,-1)</f>
        <v>0.30000001192092896</v>
      </c>
      <c r="S60" s="31">
        <f>Ordinaria!S60</f>
        <v>0.5000000074505806</v>
      </c>
      <c r="T60" s="32">
        <f>IF($B60,S60/$B60,-1)</f>
        <v>0.20000000298023224</v>
      </c>
      <c r="U60" s="31">
        <f>Ordinaria!U60</f>
        <v>0.5000000074505806</v>
      </c>
      <c r="V60" s="32">
        <f>IF($B60,U60/$B60,-1)</f>
        <v>0.20000000298023224</v>
      </c>
      <c r="W60" s="31">
        <f>Ordinaria!W60</f>
        <v>1.0000000149011612</v>
      </c>
      <c r="X60" s="32">
        <f>IF($B60,W60/$B60,-1)</f>
        <v>0.40000000596046448</v>
      </c>
      <c r="Y60" s="31">
        <f>Ordinaria!Y60</f>
        <v>1.5000000596046448</v>
      </c>
      <c r="Z60" s="32">
        <f>IF($B60,Y60/$B60,-1)</f>
        <v>0.60000002384185791</v>
      </c>
      <c r="AA60" s="31">
        <f>Ordinaria!AA60</f>
        <v>0.5000000074505806</v>
      </c>
      <c r="AB60" s="32">
        <f>IF($B60,AA60/$B60,-1)</f>
        <v>0.20000000298023224</v>
      </c>
      <c r="AC60" s="31">
        <f>Ordinaria!AC60</f>
        <v>1.7499999701976776</v>
      </c>
      <c r="AD60" s="32">
        <f>IF($B60,AC60/$B60,-1)</f>
        <v>0.69999998807907104</v>
      </c>
      <c r="AE60" s="31">
        <f>Ordinaria!AE60</f>
        <v>1.5000000596046448</v>
      </c>
      <c r="AF60" s="32">
        <f>IF($B60,AE60/$B60,-1)</f>
        <v>0.60000002384185791</v>
      </c>
      <c r="AG60" s="31">
        <f>Ordinaria!AG60</f>
        <v>1.5000000596046448</v>
      </c>
      <c r="AH60" s="32">
        <f>IF($B60,AG60/$B60,-1)</f>
        <v>0.60000002384185791</v>
      </c>
      <c r="AI60" s="31">
        <f>Ordinaria!AI60</f>
        <v>0</v>
      </c>
      <c r="AJ60" s="32">
        <f>IF($B60,AI60/$B60,-1)</f>
        <v>0</v>
      </c>
      <c r="AK60" s="31">
        <f>Ordinaria!AK60</f>
        <v>0</v>
      </c>
      <c r="AL60" s="32">
        <f>IF($B60,AK60/$B60,-1)</f>
        <v>0</v>
      </c>
      <c r="AM60" s="31">
        <f>Ordinaria!AM60</f>
        <v>0.2500000037252903</v>
      </c>
      <c r="AN60" s="32">
        <f>IF($B60,AM60/$B60,-1)</f>
        <v>0.10000000149011612</v>
      </c>
      <c r="AO60" s="31">
        <f>Ordinaria!AO60</f>
        <v>0.5000000074505806</v>
      </c>
      <c r="AP60" s="32">
        <f>IF($B60,AO60/$B60,-1)</f>
        <v>0.20000000298023224</v>
      </c>
      <c r="AQ60" s="31">
        <f>Ordinaria!AQ60</f>
        <v>1.0000000149011612</v>
      </c>
      <c r="AR60" s="32">
        <f>IF($B60,AQ60/$B60,-1)</f>
        <v>0.40000000596046448</v>
      </c>
      <c r="AS60" s="31">
        <f>Ordinaria!AS60</f>
        <v>1.5000000596046448</v>
      </c>
      <c r="AT60" s="32">
        <f>IF($B60,AS60/$B60,-1)</f>
        <v>0.60000002384185791</v>
      </c>
      <c r="AU60" s="31">
        <f>Ordinaria!AU60</f>
        <v>0.75000002980232239</v>
      </c>
      <c r="AV60" s="32">
        <f>IF($B60,AU60/$B60,-1)</f>
        <v>0.30000001192092896</v>
      </c>
      <c r="AW60" s="31">
        <f>Ordinaria!AW60</f>
        <v>2.2499999403953552</v>
      </c>
      <c r="AX60" s="32">
        <f>IF($B60,AW60/$B60,-1)</f>
        <v>0.89999997615814209</v>
      </c>
      <c r="AY60" s="31">
        <f>Ordinaria!AY60</f>
        <v>2.2499999403953552</v>
      </c>
      <c r="AZ60" s="32">
        <f>IF($B60,AY60/$B60,-1)</f>
        <v>0.89999997615814209</v>
      </c>
      <c r="BA60" s="31">
        <f>Ordinaria!BA60</f>
        <v>1.25</v>
      </c>
      <c r="BB60" s="32">
        <f>IF($B60,BA60/$B60,-1)</f>
        <v>0.5</v>
      </c>
      <c r="BC60" s="31">
        <f>Ordinaria!BC60</f>
        <v>1.0000000149011612</v>
      </c>
      <c r="BD60" s="32">
        <f>IF($B60,BC60/$B60,-1)</f>
        <v>0.40000000596046448</v>
      </c>
      <c r="BE60" s="31">
        <f>Ordinaria!BE60</f>
        <v>0</v>
      </c>
      <c r="BF60" s="32">
        <f>IF($B60,BE60/$B60,-1)</f>
        <v>0</v>
      </c>
      <c r="BG60" s="31">
        <f>Ordinaria!BG60</f>
        <v>0.5000000074505806</v>
      </c>
      <c r="BH60" s="32">
        <f>IF($B60,BG60/$B60,-1)</f>
        <v>0.20000000298023224</v>
      </c>
      <c r="BI60" s="31">
        <f>Ordinaria!BI60</f>
        <v>0.2500000037252903</v>
      </c>
      <c r="BJ60" s="32">
        <f>IF($B60,BI60/$B60,-1)</f>
        <v>0.10000000149011612</v>
      </c>
    </row>
    <row r="61" spans="1:62" ht="70" x14ac:dyDescent="0.2">
      <c r="A61" s="2" t="s">
        <v>60</v>
      </c>
      <c r="B61" s="13">
        <f>Ordinaria!B61</f>
        <v>2.5</v>
      </c>
      <c r="C61" s="31">
        <f>Ordinaria!C61</f>
        <v>1.7499999701976776</v>
      </c>
      <c r="D61" s="32">
        <f>IF($B61,C61/$B61,-1)</f>
        <v>0.69999998807907104</v>
      </c>
      <c r="E61" s="31">
        <f>Ordinaria!E61</f>
        <v>2.5</v>
      </c>
      <c r="F61" s="32">
        <f>IF($B61,E61/$B61,-1)</f>
        <v>1</v>
      </c>
      <c r="G61" s="31">
        <f>Ordinaria!G61</f>
        <v>0.75000002980232239</v>
      </c>
      <c r="H61" s="32">
        <f>IF($B61,G61/$B61,-1)</f>
        <v>0.30000001192092896</v>
      </c>
      <c r="I61" s="31">
        <f>Ordinaria!I61</f>
        <v>0.5000000074505806</v>
      </c>
      <c r="J61" s="32">
        <f>IF($B61,I61/$B61,-1)</f>
        <v>0.20000000298023224</v>
      </c>
      <c r="K61" s="31">
        <f>Ordinaria!K61</f>
        <v>2.2499999403953552</v>
      </c>
      <c r="L61" s="32">
        <f>IF($B61,K61/$B61,-1)</f>
        <v>0.89999997615814209</v>
      </c>
      <c r="M61" s="31">
        <f>Ordinaria!M61</f>
        <v>0.2500000037252903</v>
      </c>
      <c r="N61" s="32">
        <f>IF($B61,M61/$B61,-1)</f>
        <v>0.10000000149011612</v>
      </c>
      <c r="O61" s="31">
        <f>Ordinaria!O61</f>
        <v>1.5000000596046448</v>
      </c>
      <c r="P61" s="32">
        <f>IF($B61,O61/$B61,-1)</f>
        <v>0.60000002384185791</v>
      </c>
      <c r="Q61" s="31">
        <f>Ordinaria!Q61</f>
        <v>1.5000000596046448</v>
      </c>
      <c r="R61" s="32">
        <f>IF($B61,Q61/$B61,-1)</f>
        <v>0.60000002384185791</v>
      </c>
      <c r="S61" s="31">
        <f>Ordinaria!S61</f>
        <v>1.5000000596046448</v>
      </c>
      <c r="T61" s="32">
        <f>IF($B61,S61/$B61,-1)</f>
        <v>0.60000002384185791</v>
      </c>
      <c r="U61" s="31">
        <f>Ordinaria!U61</f>
        <v>1.7499999701976776</v>
      </c>
      <c r="V61" s="32">
        <f>IF($B61,U61/$B61,-1)</f>
        <v>0.69999998807907104</v>
      </c>
      <c r="W61" s="31">
        <f>Ordinaria!W61</f>
        <v>2.2499999403953552</v>
      </c>
      <c r="X61" s="32">
        <f>IF($B61,W61/$B61,-1)</f>
        <v>0.89999997615814209</v>
      </c>
      <c r="Y61" s="31">
        <f>Ordinaria!Y61</f>
        <v>0.2500000037252903</v>
      </c>
      <c r="Z61" s="32">
        <f>IF($B61,Y61/$B61,-1)</f>
        <v>0.10000000149011612</v>
      </c>
      <c r="AA61" s="31">
        <f>Ordinaria!AA61</f>
        <v>1.0000000149011612</v>
      </c>
      <c r="AB61" s="32">
        <f>IF($B61,AA61/$B61,-1)</f>
        <v>0.40000000596046448</v>
      </c>
      <c r="AC61" s="31">
        <f>Ordinaria!AC61</f>
        <v>2.2499999403953552</v>
      </c>
      <c r="AD61" s="32">
        <f>IF($B61,AC61/$B61,-1)</f>
        <v>0.89999997615814209</v>
      </c>
      <c r="AE61" s="31">
        <f>Ordinaria!AE61</f>
        <v>0.5000000074505806</v>
      </c>
      <c r="AF61" s="32">
        <f>IF($B61,AE61/$B61,-1)</f>
        <v>0.20000000298023224</v>
      </c>
      <c r="AG61" s="31">
        <f>Ordinaria!AG61</f>
        <v>1.7499999701976776</v>
      </c>
      <c r="AH61" s="32">
        <f>IF($B61,AG61/$B61,-1)</f>
        <v>0.69999998807907104</v>
      </c>
      <c r="AI61" s="31">
        <f>Ordinaria!AI61</f>
        <v>1.0000000149011612</v>
      </c>
      <c r="AJ61" s="32">
        <f>IF($B61,AI61/$B61,-1)</f>
        <v>0.40000000596046448</v>
      </c>
      <c r="AK61" s="31">
        <f>Ordinaria!AK61</f>
        <v>2.2499999403953552</v>
      </c>
      <c r="AL61" s="32">
        <f>IF($B61,AK61/$B61,-1)</f>
        <v>0.89999997615814209</v>
      </c>
      <c r="AM61" s="31">
        <f>Ordinaria!AM61</f>
        <v>1.0000000149011612</v>
      </c>
      <c r="AN61" s="32">
        <f>IF($B61,AM61/$B61,-1)</f>
        <v>0.40000000596046448</v>
      </c>
      <c r="AO61" s="31">
        <f>Ordinaria!AO61</f>
        <v>2.2499999403953552</v>
      </c>
      <c r="AP61" s="32">
        <f>IF($B61,AO61/$B61,-1)</f>
        <v>0.89999997615814209</v>
      </c>
      <c r="AQ61" s="31">
        <f>Ordinaria!AQ61</f>
        <v>0.5000000074505806</v>
      </c>
      <c r="AR61" s="32">
        <f>IF($B61,AQ61/$B61,-1)</f>
        <v>0.20000000298023224</v>
      </c>
      <c r="AS61" s="31">
        <f>Ordinaria!AS61</f>
        <v>2.0000000298023224</v>
      </c>
      <c r="AT61" s="32">
        <f>IF($B61,AS61/$B61,-1)</f>
        <v>0.80000001192092896</v>
      </c>
      <c r="AU61" s="31">
        <f>Ordinaria!AU61</f>
        <v>2.2499999403953552</v>
      </c>
      <c r="AV61" s="32">
        <f>IF($B61,AU61/$B61,-1)</f>
        <v>0.89999997615814209</v>
      </c>
      <c r="AW61" s="31">
        <f>Ordinaria!AW61</f>
        <v>0.5000000074505806</v>
      </c>
      <c r="AX61" s="32">
        <f>IF($B61,AW61/$B61,-1)</f>
        <v>0.20000000298023224</v>
      </c>
      <c r="AY61" s="31">
        <f>Ordinaria!AY61</f>
        <v>2.5</v>
      </c>
      <c r="AZ61" s="32">
        <f>IF($B61,AY61/$B61,-1)</f>
        <v>1</v>
      </c>
      <c r="BA61" s="31">
        <f>Ordinaria!BA61</f>
        <v>2.5</v>
      </c>
      <c r="BB61" s="32">
        <f>IF($B61,BA61/$B61,-1)</f>
        <v>1</v>
      </c>
      <c r="BC61" s="31">
        <f>Ordinaria!BC61</f>
        <v>2.2499999403953552</v>
      </c>
      <c r="BD61" s="32">
        <f>IF($B61,BC61/$B61,-1)</f>
        <v>0.89999997615814209</v>
      </c>
      <c r="BE61" s="31">
        <f>Ordinaria!BE61</f>
        <v>1.25</v>
      </c>
      <c r="BF61" s="32">
        <f>IF($B61,BE61/$B61,-1)</f>
        <v>0.5</v>
      </c>
      <c r="BG61" s="31">
        <f>Ordinaria!BG61</f>
        <v>1.7499999701976776</v>
      </c>
      <c r="BH61" s="32">
        <f>IF($B61,BG61/$B61,-1)</f>
        <v>0.69999998807907104</v>
      </c>
      <c r="BI61" s="31">
        <f>Ordinaria!BI61</f>
        <v>1.25</v>
      </c>
      <c r="BJ61" s="32">
        <f>IF($B61,BI61/$B61,-1)</f>
        <v>0.5</v>
      </c>
    </row>
    <row r="62" spans="1:62" ht="56" x14ac:dyDescent="0.2">
      <c r="A62" s="2" t="s">
        <v>61</v>
      </c>
      <c r="B62" s="13">
        <f>Ordinaria!B62</f>
        <v>2.5</v>
      </c>
      <c r="C62" s="31">
        <f>Ordinaria!C62</f>
        <v>0.2500000037252903</v>
      </c>
      <c r="D62" s="32">
        <f>IF($B62,C62/$B62,-1)</f>
        <v>0.10000000149011612</v>
      </c>
      <c r="E62" s="31">
        <f>Ordinaria!E62</f>
        <v>1.7499999701976776</v>
      </c>
      <c r="F62" s="32">
        <f>IF($B62,E62/$B62,-1)</f>
        <v>0.69999998807907104</v>
      </c>
      <c r="G62" s="31">
        <f>Ordinaria!G62</f>
        <v>1.5000000596046448</v>
      </c>
      <c r="H62" s="32">
        <f>IF($B62,G62/$B62,-1)</f>
        <v>0.60000002384185791</v>
      </c>
      <c r="I62" s="31">
        <f>Ordinaria!I62</f>
        <v>2.2499999403953552</v>
      </c>
      <c r="J62" s="32">
        <f>IF($B62,I62/$B62,-1)</f>
        <v>0.89999997615814209</v>
      </c>
      <c r="K62" s="31">
        <f>Ordinaria!K62</f>
        <v>1.0000000149011612</v>
      </c>
      <c r="L62" s="32">
        <f>IF($B62,K62/$B62,-1)</f>
        <v>0.40000000596046448</v>
      </c>
      <c r="M62" s="31">
        <f>Ordinaria!M62</f>
        <v>0</v>
      </c>
      <c r="N62" s="32">
        <f>IF($B62,M62/$B62,-1)</f>
        <v>0</v>
      </c>
      <c r="O62" s="31">
        <f>Ordinaria!O62</f>
        <v>1.25</v>
      </c>
      <c r="P62" s="32">
        <f>IF($B62,O62/$B62,-1)</f>
        <v>0.5</v>
      </c>
      <c r="Q62" s="31">
        <f>Ordinaria!Q62</f>
        <v>0</v>
      </c>
      <c r="R62" s="32">
        <f>IF($B62,Q62/$B62,-1)</f>
        <v>0</v>
      </c>
      <c r="S62" s="31">
        <f>Ordinaria!S62</f>
        <v>1.0000000149011612</v>
      </c>
      <c r="T62" s="32">
        <f>IF($B62,S62/$B62,-1)</f>
        <v>0.40000000596046448</v>
      </c>
      <c r="U62" s="31">
        <f>Ordinaria!U62</f>
        <v>1.0000000149011612</v>
      </c>
      <c r="V62" s="32">
        <f>IF($B62,U62/$B62,-1)</f>
        <v>0.40000000596046448</v>
      </c>
      <c r="W62" s="31">
        <f>Ordinaria!W62</f>
        <v>0.75000002980232239</v>
      </c>
      <c r="X62" s="32">
        <f>IF($B62,W62/$B62,-1)</f>
        <v>0.30000001192092896</v>
      </c>
      <c r="Y62" s="31">
        <f>Ordinaria!Y62</f>
        <v>2.5</v>
      </c>
      <c r="Z62" s="32">
        <f>IF($B62,Y62/$B62,-1)</f>
        <v>1</v>
      </c>
      <c r="AA62" s="31">
        <f>Ordinaria!AA62</f>
        <v>0</v>
      </c>
      <c r="AB62" s="32">
        <f>IF($B62,AA62/$B62,-1)</f>
        <v>0</v>
      </c>
      <c r="AC62" s="31">
        <f>Ordinaria!AC62</f>
        <v>1.7499999701976776</v>
      </c>
      <c r="AD62" s="32">
        <f>IF($B62,AC62/$B62,-1)</f>
        <v>0.69999998807907104</v>
      </c>
      <c r="AE62" s="31">
        <f>Ordinaria!AE62</f>
        <v>1.5000000596046448</v>
      </c>
      <c r="AF62" s="32">
        <f>IF($B62,AE62/$B62,-1)</f>
        <v>0.60000002384185791</v>
      </c>
      <c r="AG62" s="31">
        <f>Ordinaria!AG62</f>
        <v>1.25</v>
      </c>
      <c r="AH62" s="32">
        <f>IF($B62,AG62/$B62,-1)</f>
        <v>0.5</v>
      </c>
      <c r="AI62" s="31">
        <f>Ordinaria!AI62</f>
        <v>0</v>
      </c>
      <c r="AJ62" s="32">
        <f>IF($B62,AI62/$B62,-1)</f>
        <v>0</v>
      </c>
      <c r="AK62" s="31">
        <f>Ordinaria!AK62</f>
        <v>1.7499999701976776</v>
      </c>
      <c r="AL62" s="32">
        <f>IF($B62,AK62/$B62,-1)</f>
        <v>0.69999998807907104</v>
      </c>
      <c r="AM62" s="31">
        <f>Ordinaria!AM62</f>
        <v>0.75000002980232239</v>
      </c>
      <c r="AN62" s="32">
        <f>IF($B62,AM62/$B62,-1)</f>
        <v>0.30000001192092896</v>
      </c>
      <c r="AO62" s="31">
        <f>Ordinaria!AO62</f>
        <v>2.5</v>
      </c>
      <c r="AP62" s="32">
        <f>IF($B62,AO62/$B62,-1)</f>
        <v>1</v>
      </c>
      <c r="AQ62" s="31">
        <f>Ordinaria!AQ62</f>
        <v>0.75000002980232239</v>
      </c>
      <c r="AR62" s="32">
        <f>IF($B62,AQ62/$B62,-1)</f>
        <v>0.30000001192092896</v>
      </c>
      <c r="AS62" s="31">
        <f>Ordinaria!AS62</f>
        <v>1.0000000149011612</v>
      </c>
      <c r="AT62" s="32">
        <f>IF($B62,AS62/$B62,-1)</f>
        <v>0.40000000596046448</v>
      </c>
      <c r="AU62" s="31">
        <f>Ordinaria!AU62</f>
        <v>0.75000002980232239</v>
      </c>
      <c r="AV62" s="32">
        <f>IF($B62,AU62/$B62,-1)</f>
        <v>0.30000001192092896</v>
      </c>
      <c r="AW62" s="31">
        <f>Ordinaria!AW62</f>
        <v>0.75000002980232239</v>
      </c>
      <c r="AX62" s="32">
        <f>IF($B62,AW62/$B62,-1)</f>
        <v>0.30000001192092896</v>
      </c>
      <c r="AY62" s="31">
        <f>Ordinaria!AY62</f>
        <v>0.5000000074505806</v>
      </c>
      <c r="AZ62" s="32">
        <f>IF($B62,AY62/$B62,-1)</f>
        <v>0.20000000298023224</v>
      </c>
      <c r="BA62" s="31">
        <f>Ordinaria!BA62</f>
        <v>1.5000000596046448</v>
      </c>
      <c r="BB62" s="32">
        <f>IF($B62,BA62/$B62,-1)</f>
        <v>0.60000002384185791</v>
      </c>
      <c r="BC62" s="31">
        <f>Ordinaria!BC62</f>
        <v>1.7499999701976776</v>
      </c>
      <c r="BD62" s="32">
        <f>IF($B62,BC62/$B62,-1)</f>
        <v>0.69999998807907104</v>
      </c>
      <c r="BE62" s="31">
        <f>Ordinaria!BE62</f>
        <v>0.5000000074505806</v>
      </c>
      <c r="BF62" s="32">
        <f>IF($B62,BE62/$B62,-1)</f>
        <v>0.20000000298023224</v>
      </c>
      <c r="BG62" s="31">
        <f>Ordinaria!BG62</f>
        <v>1.5000000596046448</v>
      </c>
      <c r="BH62" s="32">
        <f>IF($B62,BG62/$B62,-1)</f>
        <v>0.60000002384185791</v>
      </c>
      <c r="BI62" s="31">
        <f>Ordinaria!BI62</f>
        <v>1.5000000596046448</v>
      </c>
      <c r="BJ62" s="32">
        <f>IF($B62,BI62/$B62,-1)</f>
        <v>0.60000002384185791</v>
      </c>
    </row>
    <row r="63" spans="1:62" ht="42" x14ac:dyDescent="0.2">
      <c r="A63" s="2" t="s">
        <v>62</v>
      </c>
      <c r="B63" s="13">
        <f>Ordinaria!B63</f>
        <v>2.5</v>
      </c>
      <c r="C63" s="31">
        <f>Ordinaria!C63</f>
        <v>2.5</v>
      </c>
      <c r="D63" s="32">
        <f>IF($B63,C63/$B63,-1)</f>
        <v>1</v>
      </c>
      <c r="E63" s="31">
        <f>Ordinaria!E63</f>
        <v>2.5</v>
      </c>
      <c r="F63" s="32">
        <f>IF($B63,E63/$B63,-1)</f>
        <v>1</v>
      </c>
      <c r="G63" s="31">
        <f>Ordinaria!G63</f>
        <v>0.5000000074505806</v>
      </c>
      <c r="H63" s="32">
        <f>IF($B63,G63/$B63,-1)</f>
        <v>0.20000000298023224</v>
      </c>
      <c r="I63" s="31">
        <f>Ordinaria!I63</f>
        <v>2.0000000298023224</v>
      </c>
      <c r="J63" s="32">
        <f>IF($B63,I63/$B63,-1)</f>
        <v>0.80000001192092896</v>
      </c>
      <c r="K63" s="31">
        <f>Ordinaria!K63</f>
        <v>2.0000000298023224</v>
      </c>
      <c r="L63" s="32">
        <f>IF($B63,K63/$B63,-1)</f>
        <v>0.80000001192092896</v>
      </c>
      <c r="M63" s="31">
        <f>Ordinaria!M63</f>
        <v>1.0000000149011612</v>
      </c>
      <c r="N63" s="32">
        <f>IF($B63,M63/$B63,-1)</f>
        <v>0.40000000596046448</v>
      </c>
      <c r="O63" s="31">
        <f>Ordinaria!O63</f>
        <v>1.5000000596046448</v>
      </c>
      <c r="P63" s="32">
        <f>IF($B63,O63/$B63,-1)</f>
        <v>0.60000002384185791</v>
      </c>
      <c r="Q63" s="31">
        <f>Ordinaria!Q63</f>
        <v>1.25</v>
      </c>
      <c r="R63" s="32">
        <f>IF($B63,Q63/$B63,-1)</f>
        <v>0.5</v>
      </c>
      <c r="S63" s="31">
        <f>Ordinaria!S63</f>
        <v>1.25</v>
      </c>
      <c r="T63" s="32">
        <f>IF($B63,S63/$B63,-1)</f>
        <v>0.5</v>
      </c>
      <c r="U63" s="31">
        <f>Ordinaria!U63</f>
        <v>0.2500000037252903</v>
      </c>
      <c r="V63" s="32">
        <f>IF($B63,U63/$B63,-1)</f>
        <v>0.10000000149011612</v>
      </c>
      <c r="W63" s="31">
        <f>Ordinaria!W63</f>
        <v>2.5</v>
      </c>
      <c r="X63" s="32">
        <f>IF($B63,W63/$B63,-1)</f>
        <v>1</v>
      </c>
      <c r="Y63" s="31">
        <f>Ordinaria!Y63</f>
        <v>0.2500000037252903</v>
      </c>
      <c r="Z63" s="32">
        <f>IF($B63,Y63/$B63,-1)</f>
        <v>0.10000000149011612</v>
      </c>
      <c r="AA63" s="31">
        <f>Ordinaria!AA63</f>
        <v>1.5000000596046448</v>
      </c>
      <c r="AB63" s="32">
        <f>IF($B63,AA63/$B63,-1)</f>
        <v>0.60000002384185791</v>
      </c>
      <c r="AC63" s="31">
        <f>Ordinaria!AC63</f>
        <v>1.7499999701976776</v>
      </c>
      <c r="AD63" s="32">
        <f>IF($B63,AC63/$B63,-1)</f>
        <v>0.69999998807907104</v>
      </c>
      <c r="AE63" s="31">
        <f>Ordinaria!AE63</f>
        <v>0.2500000037252903</v>
      </c>
      <c r="AF63" s="32">
        <f>IF($B63,AE63/$B63,-1)</f>
        <v>0.10000000149011612</v>
      </c>
      <c r="AG63" s="31">
        <f>Ordinaria!AG63</f>
        <v>1.7499999701976776</v>
      </c>
      <c r="AH63" s="32">
        <f>IF($B63,AG63/$B63,-1)</f>
        <v>0.69999998807907104</v>
      </c>
      <c r="AI63" s="31">
        <f>Ordinaria!AI63</f>
        <v>2.0000000298023224</v>
      </c>
      <c r="AJ63" s="32">
        <f>IF($B63,AI63/$B63,-1)</f>
        <v>0.80000001192092896</v>
      </c>
      <c r="AK63" s="31">
        <f>Ordinaria!AK63</f>
        <v>2.0000000298023224</v>
      </c>
      <c r="AL63" s="32">
        <f>IF($B63,AK63/$B63,-1)</f>
        <v>0.80000001192092896</v>
      </c>
      <c r="AM63" s="31">
        <f>Ordinaria!AM63</f>
        <v>1.0000000149011612</v>
      </c>
      <c r="AN63" s="32">
        <f>IF($B63,AM63/$B63,-1)</f>
        <v>0.40000000596046448</v>
      </c>
      <c r="AO63" s="31">
        <f>Ordinaria!AO63</f>
        <v>0</v>
      </c>
      <c r="AP63" s="32">
        <f>IF($B63,AO63/$B63,-1)</f>
        <v>0</v>
      </c>
      <c r="AQ63" s="31">
        <f>Ordinaria!AQ63</f>
        <v>1.25</v>
      </c>
      <c r="AR63" s="32">
        <f>IF($B63,AQ63/$B63,-1)</f>
        <v>0.5</v>
      </c>
      <c r="AS63" s="31">
        <f>Ordinaria!AS63</f>
        <v>1.5000000596046448</v>
      </c>
      <c r="AT63" s="32">
        <f>IF($B63,AS63/$B63,-1)</f>
        <v>0.60000002384185791</v>
      </c>
      <c r="AU63" s="31">
        <f>Ordinaria!AU63</f>
        <v>0</v>
      </c>
      <c r="AV63" s="32">
        <f>IF($B63,AU63/$B63,-1)</f>
        <v>0</v>
      </c>
      <c r="AW63" s="31">
        <f>Ordinaria!AW63</f>
        <v>1.0000000149011612</v>
      </c>
      <c r="AX63" s="32">
        <f>IF($B63,AW63/$B63,-1)</f>
        <v>0.40000000596046448</v>
      </c>
      <c r="AY63" s="31">
        <f>Ordinaria!AY63</f>
        <v>0.2500000037252903</v>
      </c>
      <c r="AZ63" s="32">
        <f>IF($B63,AY63/$B63,-1)</f>
        <v>0.10000000149011612</v>
      </c>
      <c r="BA63" s="31">
        <f>Ordinaria!BA63</f>
        <v>0.2500000037252903</v>
      </c>
      <c r="BB63" s="32">
        <f>IF($B63,BA63/$B63,-1)</f>
        <v>0.10000000149011612</v>
      </c>
      <c r="BC63" s="31">
        <f>Ordinaria!BC63</f>
        <v>0.75000002980232239</v>
      </c>
      <c r="BD63" s="32">
        <f>IF($B63,BC63/$B63,-1)</f>
        <v>0.30000001192092896</v>
      </c>
      <c r="BE63" s="31">
        <f>Ordinaria!BE63</f>
        <v>2.5</v>
      </c>
      <c r="BF63" s="32">
        <f>IF($B63,BE63/$B63,-1)</f>
        <v>1</v>
      </c>
      <c r="BG63" s="31">
        <f>Ordinaria!BG63</f>
        <v>1.5000000596046448</v>
      </c>
      <c r="BH63" s="32">
        <f>IF($B63,BG63/$B63,-1)</f>
        <v>0.60000002384185791</v>
      </c>
      <c r="BI63" s="31">
        <f>Ordinaria!BI63</f>
        <v>0.75000002980232239</v>
      </c>
      <c r="BJ63" s="32">
        <f>IF($B63,BI63/$B63,-1)</f>
        <v>0.30000001192092896</v>
      </c>
    </row>
    <row r="64" spans="1:62" ht="38" x14ac:dyDescent="0.2">
      <c r="A64" s="6" t="s">
        <v>7</v>
      </c>
      <c r="B64" s="7">
        <f>Estructura!D7</f>
        <v>0.1</v>
      </c>
      <c r="C64" s="58" t="str">
        <f>IF(SUM($B65:$B85)&lt;&gt;0,SUM(C65:C85)/SUM($B65:$B85)*$B64*10, "")</f>
        <v/>
      </c>
      <c r="D64" s="58"/>
      <c r="E64" s="58" t="str">
        <f>IF(SUM($B65:$B85)&lt;&gt;0,SUM(E65:E85)/SUM($B65:$B85)*$B64*10, "")</f>
        <v/>
      </c>
      <c r="F64" s="58"/>
      <c r="G64" s="58" t="str">
        <f>IF(SUM($B65:$B85)&lt;&gt;0,SUM(G65:G85)/SUM($B65:$B85)*$B64*10, "")</f>
        <v/>
      </c>
      <c r="H64" s="58"/>
      <c r="I64" s="58" t="str">
        <f>IF(SUM($B65:$B85)&lt;&gt;0,SUM(I65:I85)/SUM($B65:$B85)*$B64*10, "")</f>
        <v/>
      </c>
      <c r="J64" s="58"/>
      <c r="K64" s="58" t="str">
        <f>IF(SUM($B65:$B85)&lt;&gt;0,SUM(K65:K85)/SUM($B65:$B85)*$B64*10, "")</f>
        <v/>
      </c>
      <c r="L64" s="58"/>
      <c r="M64" s="58" t="str">
        <f>IF(SUM($B65:$B85)&lt;&gt;0,SUM(M65:M85)/SUM($B65:$B85)*$B64*10, "")</f>
        <v/>
      </c>
      <c r="N64" s="58"/>
      <c r="O64" s="58" t="str">
        <f>IF(SUM($B65:$B85)&lt;&gt;0,SUM(O65:O85)/SUM($B65:$B85)*$B64*10, "")</f>
        <v/>
      </c>
      <c r="P64" s="58"/>
      <c r="Q64" s="58" t="str">
        <f>IF(SUM($B65:$B85)&lt;&gt;0,SUM(Q65:Q85)/SUM($B65:$B85)*$B64*10, "")</f>
        <v/>
      </c>
      <c r="R64" s="58"/>
      <c r="S64" s="58" t="str">
        <f>IF(SUM($B65:$B85)&lt;&gt;0,SUM(S65:S85)/SUM($B65:$B85)*$B64*10, "")</f>
        <v/>
      </c>
      <c r="T64" s="58"/>
      <c r="U64" s="58" t="str">
        <f>IF(SUM($B65:$B85)&lt;&gt;0,SUM(U65:U85)/SUM($B65:$B85)*$B64*10, "")</f>
        <v/>
      </c>
      <c r="V64" s="58"/>
      <c r="W64" s="58" t="str">
        <f>IF(SUM($B65:$B85)&lt;&gt;0,SUM(W65:W85)/SUM($B65:$B85)*$B64*10, "")</f>
        <v/>
      </c>
      <c r="X64" s="58"/>
      <c r="Y64" s="58" t="str">
        <f>IF(SUM($B65:$B85)&lt;&gt;0,SUM(Y65:Y85)/SUM($B65:$B85)*$B64*10, "")</f>
        <v/>
      </c>
      <c r="Z64" s="58"/>
      <c r="AA64" s="58" t="str">
        <f>IF(SUM($B65:$B85)&lt;&gt;0,SUM(AA65:AA85)/SUM($B65:$B85)*$B64*10, "")</f>
        <v/>
      </c>
      <c r="AB64" s="58"/>
      <c r="AC64" s="58" t="str">
        <f>IF(SUM($B65:$B85)&lt;&gt;0,SUM(AC65:AC85)/SUM($B65:$B85)*$B64*10, "")</f>
        <v/>
      </c>
      <c r="AD64" s="58"/>
      <c r="AE64" s="58" t="str">
        <f>IF(SUM($B65:$B85)&lt;&gt;0,SUM(AE65:AE85)/SUM($B65:$B85)*$B64*10, "")</f>
        <v/>
      </c>
      <c r="AF64" s="58"/>
      <c r="AG64" s="58" t="str">
        <f>IF(SUM($B65:$B85)&lt;&gt;0,SUM(AG65:AG85)/SUM($B65:$B85)*$B64*10, "")</f>
        <v/>
      </c>
      <c r="AH64" s="58"/>
      <c r="AI64" s="58" t="str">
        <f>IF(SUM($B65:$B85)&lt;&gt;0,SUM(AI65:AI85)/SUM($B65:$B85)*$B64*10, "")</f>
        <v/>
      </c>
      <c r="AJ64" s="58"/>
      <c r="AK64" s="58" t="str">
        <f>IF(SUM($B65:$B85)&lt;&gt;0,SUM(AK65:AK85)/SUM($B65:$B85)*$B64*10, "")</f>
        <v/>
      </c>
      <c r="AL64" s="58"/>
      <c r="AM64" s="58" t="str">
        <f>IF(SUM($B65:$B85)&lt;&gt;0,SUM(AM65:AM85)/SUM($B65:$B85)*$B64*10, "")</f>
        <v/>
      </c>
      <c r="AN64" s="58"/>
      <c r="AO64" s="58" t="str">
        <f>IF(SUM($B65:$B85)&lt;&gt;0,SUM(AO65:AO85)/SUM($B65:$B85)*$B64*10, "")</f>
        <v/>
      </c>
      <c r="AP64" s="58"/>
      <c r="AQ64" s="58" t="str">
        <f>IF(SUM($B65:$B85)&lt;&gt;0,SUM(AQ65:AQ85)/SUM($B65:$B85)*$B64*10, "")</f>
        <v/>
      </c>
      <c r="AR64" s="58"/>
      <c r="AS64" s="58" t="str">
        <f>IF(SUM($B65:$B85)&lt;&gt;0,SUM(AS65:AS85)/SUM($B65:$B85)*$B64*10, "")</f>
        <v/>
      </c>
      <c r="AT64" s="58"/>
      <c r="AU64" s="58" t="str">
        <f>IF(SUM($B65:$B85)&lt;&gt;0,SUM(AU65:AU85)/SUM($B65:$B85)*$B64*10, "")</f>
        <v/>
      </c>
      <c r="AV64" s="58"/>
      <c r="AW64" s="58" t="str">
        <f>IF(SUM($B65:$B85)&lt;&gt;0,SUM(AW65:AW85)/SUM($B65:$B85)*$B64*10, "")</f>
        <v/>
      </c>
      <c r="AX64" s="58"/>
      <c r="AY64" s="58" t="str">
        <f>IF(SUM($B65:$B85)&lt;&gt;0,SUM(AY65:AY85)/SUM($B65:$B85)*$B64*10, "")</f>
        <v/>
      </c>
      <c r="AZ64" s="58"/>
      <c r="BA64" s="58" t="str">
        <f>IF(SUM($B65:$B85)&lt;&gt;0,SUM(BA65:BA85)/SUM($B65:$B85)*$B64*10, "")</f>
        <v/>
      </c>
      <c r="BB64" s="58"/>
      <c r="BC64" s="58" t="str">
        <f>IF(SUM($B65:$B85)&lt;&gt;0,SUM(BC65:BC85)/SUM($B65:$B85)*$B64*10, "")</f>
        <v/>
      </c>
      <c r="BD64" s="58"/>
      <c r="BE64" s="58" t="str">
        <f>IF(SUM($B65:$B85)&lt;&gt;0,SUM(BE65:BE85)/SUM($B65:$B85)*$B64*10, "")</f>
        <v/>
      </c>
      <c r="BF64" s="58"/>
      <c r="BG64" s="58" t="str">
        <f>IF(SUM($B65:$B85)&lt;&gt;0,SUM(BG65:BG85)/SUM($B65:$B85)*$B64*10, "")</f>
        <v/>
      </c>
      <c r="BH64" s="58"/>
      <c r="BI64" s="58" t="str">
        <f>IF(SUM($B65:$B85)&lt;&gt;0,SUM(BI65:BI85)/SUM($B65:$B85)*$B64*10, "")</f>
        <v/>
      </c>
      <c r="BJ64" s="58"/>
    </row>
    <row r="65" spans="1:62" ht="56" x14ac:dyDescent="0.2">
      <c r="A65" s="2" t="s">
        <v>63</v>
      </c>
      <c r="B65" s="13">
        <f>Ordinaria!B65</f>
        <v>0</v>
      </c>
      <c r="C65" s="31">
        <f>Ordinaria!C65</f>
        <v>0</v>
      </c>
      <c r="D65" s="32">
        <f t="shared" ref="D65:D85" si="119">IF($B65,C65/$B65,-1)</f>
        <v>-1</v>
      </c>
      <c r="E65" s="31">
        <f>Ordinaria!E65</f>
        <v>0</v>
      </c>
      <c r="F65" s="32">
        <f t="shared" ref="F65:F85" si="120">IF($B65,E65/$B65,-1)</f>
        <v>-1</v>
      </c>
      <c r="G65" s="31">
        <f>Ordinaria!G65</f>
        <v>0</v>
      </c>
      <c r="H65" s="32">
        <f t="shared" ref="H65:H85" si="121">IF($B65,G65/$B65,-1)</f>
        <v>-1</v>
      </c>
      <c r="I65" s="31">
        <f>Ordinaria!I65</f>
        <v>0</v>
      </c>
      <c r="J65" s="32">
        <f t="shared" ref="J65:J85" si="122">IF($B65,I65/$B65,-1)</f>
        <v>-1</v>
      </c>
      <c r="K65" s="31">
        <f>Ordinaria!K65</f>
        <v>0</v>
      </c>
      <c r="L65" s="32">
        <f t="shared" ref="L65:L85" si="123">IF($B65,K65/$B65,-1)</f>
        <v>-1</v>
      </c>
      <c r="M65" s="31">
        <f>Ordinaria!M65</f>
        <v>0</v>
      </c>
      <c r="N65" s="32">
        <f t="shared" ref="N65:N85" si="124">IF($B65,M65/$B65,-1)</f>
        <v>-1</v>
      </c>
      <c r="O65" s="31">
        <f>Ordinaria!O65</f>
        <v>0</v>
      </c>
      <c r="P65" s="32">
        <f t="shared" ref="P65:P85" si="125">IF($B65,O65/$B65,-1)</f>
        <v>-1</v>
      </c>
      <c r="Q65" s="31">
        <f>Ordinaria!Q65</f>
        <v>0</v>
      </c>
      <c r="R65" s="32">
        <f t="shared" ref="R65:R85" si="126">IF($B65,Q65/$B65,-1)</f>
        <v>-1</v>
      </c>
      <c r="S65" s="31">
        <f>Ordinaria!S65</f>
        <v>0</v>
      </c>
      <c r="T65" s="32">
        <f t="shared" ref="T65:T85" si="127">IF($B65,S65/$B65,-1)</f>
        <v>-1</v>
      </c>
      <c r="U65" s="31">
        <f>Ordinaria!U65</f>
        <v>0</v>
      </c>
      <c r="V65" s="32">
        <f t="shared" ref="V65:V85" si="128">IF($B65,U65/$B65,-1)</f>
        <v>-1</v>
      </c>
      <c r="W65" s="31">
        <f>Ordinaria!W65</f>
        <v>0</v>
      </c>
      <c r="X65" s="32">
        <f t="shared" ref="X65:X85" si="129">IF($B65,W65/$B65,-1)</f>
        <v>-1</v>
      </c>
      <c r="Y65" s="31">
        <f>Ordinaria!Y65</f>
        <v>0</v>
      </c>
      <c r="Z65" s="32">
        <f t="shared" ref="Z65:Z85" si="130">IF($B65,Y65/$B65,-1)</f>
        <v>-1</v>
      </c>
      <c r="AA65" s="31">
        <f>Ordinaria!AA65</f>
        <v>0</v>
      </c>
      <c r="AB65" s="32">
        <f t="shared" ref="AB65:AB85" si="131">IF($B65,AA65/$B65,-1)</f>
        <v>-1</v>
      </c>
      <c r="AC65" s="31">
        <f>Ordinaria!AC65</f>
        <v>0</v>
      </c>
      <c r="AD65" s="32">
        <f t="shared" ref="AD65:AD85" si="132">IF($B65,AC65/$B65,-1)</f>
        <v>-1</v>
      </c>
      <c r="AE65" s="31">
        <f>Ordinaria!AE65</f>
        <v>0</v>
      </c>
      <c r="AF65" s="32">
        <f t="shared" ref="AF65:AF85" si="133">IF($B65,AE65/$B65,-1)</f>
        <v>-1</v>
      </c>
      <c r="AG65" s="31">
        <f>Ordinaria!AG65</f>
        <v>0</v>
      </c>
      <c r="AH65" s="32">
        <f t="shared" ref="AH65:AH85" si="134">IF($B65,AG65/$B65,-1)</f>
        <v>-1</v>
      </c>
      <c r="AI65" s="31">
        <f>Ordinaria!AI65</f>
        <v>0</v>
      </c>
      <c r="AJ65" s="32">
        <f t="shared" ref="AJ65:AJ85" si="135">IF($B65,AI65/$B65,-1)</f>
        <v>-1</v>
      </c>
      <c r="AK65" s="31">
        <f>Ordinaria!AK65</f>
        <v>0</v>
      </c>
      <c r="AL65" s="32">
        <f t="shared" ref="AL65:AL85" si="136">IF($B65,AK65/$B65,-1)</f>
        <v>-1</v>
      </c>
      <c r="AM65" s="31">
        <f>Ordinaria!AM65</f>
        <v>0</v>
      </c>
      <c r="AN65" s="32">
        <f t="shared" ref="AN65:AN85" si="137">IF($B65,AM65/$B65,-1)</f>
        <v>-1</v>
      </c>
      <c r="AO65" s="31">
        <f>Ordinaria!AO65</f>
        <v>0</v>
      </c>
      <c r="AP65" s="32">
        <f t="shared" ref="AP65:AP85" si="138">IF($B65,AO65/$B65,-1)</f>
        <v>-1</v>
      </c>
      <c r="AQ65" s="31">
        <f>Ordinaria!AQ65</f>
        <v>0</v>
      </c>
      <c r="AR65" s="32">
        <f t="shared" ref="AR65:AR85" si="139">IF($B65,AQ65/$B65,-1)</f>
        <v>-1</v>
      </c>
      <c r="AS65" s="31">
        <f>Ordinaria!AS65</f>
        <v>0</v>
      </c>
      <c r="AT65" s="32">
        <f t="shared" ref="AT65:AT85" si="140">IF($B65,AS65/$B65,-1)</f>
        <v>-1</v>
      </c>
      <c r="AU65" s="31">
        <f>Ordinaria!AU65</f>
        <v>0</v>
      </c>
      <c r="AV65" s="32">
        <f t="shared" ref="AV65:AV85" si="141">IF($B65,AU65/$B65,-1)</f>
        <v>-1</v>
      </c>
      <c r="AW65" s="31">
        <f>Ordinaria!AW65</f>
        <v>0</v>
      </c>
      <c r="AX65" s="32">
        <f t="shared" ref="AX65:AX85" si="142">IF($B65,AW65/$B65,-1)</f>
        <v>-1</v>
      </c>
      <c r="AY65" s="31">
        <f>Ordinaria!AY65</f>
        <v>0</v>
      </c>
      <c r="AZ65" s="32">
        <f t="shared" ref="AZ65:AZ85" si="143">IF($B65,AY65/$B65,-1)</f>
        <v>-1</v>
      </c>
      <c r="BA65" s="31">
        <f>Ordinaria!BA65</f>
        <v>0</v>
      </c>
      <c r="BB65" s="32">
        <f t="shared" ref="BB65:BB85" si="144">IF($B65,BA65/$B65,-1)</f>
        <v>-1</v>
      </c>
      <c r="BC65" s="31">
        <f>Ordinaria!BC65</f>
        <v>0</v>
      </c>
      <c r="BD65" s="32">
        <f t="shared" ref="BD65:BD85" si="145">IF($B65,BC65/$B65,-1)</f>
        <v>-1</v>
      </c>
      <c r="BE65" s="31">
        <f>Ordinaria!BE65</f>
        <v>0</v>
      </c>
      <c r="BF65" s="32">
        <f t="shared" ref="BF65:BF85" si="146">IF($B65,BE65/$B65,-1)</f>
        <v>-1</v>
      </c>
      <c r="BG65" s="31">
        <f>Ordinaria!BG65</f>
        <v>0</v>
      </c>
      <c r="BH65" s="32">
        <f t="shared" ref="BH65:BH85" si="147">IF($B65,BG65/$B65,-1)</f>
        <v>-1</v>
      </c>
      <c r="BI65" s="31">
        <f>Ordinaria!BI65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Ordinaria!B66</f>
        <v>0</v>
      </c>
      <c r="C66" s="31">
        <f>Ordinaria!C66</f>
        <v>0</v>
      </c>
      <c r="D66" s="32">
        <f t="shared" si="119"/>
        <v>-1</v>
      </c>
      <c r="E66" s="31">
        <f>Ordinaria!E66</f>
        <v>0</v>
      </c>
      <c r="F66" s="32">
        <f t="shared" si="120"/>
        <v>-1</v>
      </c>
      <c r="G66" s="31">
        <f>Ordinaria!G66</f>
        <v>0</v>
      </c>
      <c r="H66" s="32">
        <f t="shared" si="121"/>
        <v>-1</v>
      </c>
      <c r="I66" s="31">
        <f>Ordinaria!I66</f>
        <v>0</v>
      </c>
      <c r="J66" s="32">
        <f t="shared" si="122"/>
        <v>-1</v>
      </c>
      <c r="K66" s="31">
        <f>Ordinaria!K66</f>
        <v>0</v>
      </c>
      <c r="L66" s="32">
        <f t="shared" si="123"/>
        <v>-1</v>
      </c>
      <c r="M66" s="31">
        <f>Ordinaria!M66</f>
        <v>0</v>
      </c>
      <c r="N66" s="32">
        <f t="shared" si="124"/>
        <v>-1</v>
      </c>
      <c r="O66" s="31">
        <f>Ordinaria!O66</f>
        <v>0</v>
      </c>
      <c r="P66" s="32">
        <f t="shared" si="125"/>
        <v>-1</v>
      </c>
      <c r="Q66" s="31">
        <f>Ordinaria!Q66</f>
        <v>0</v>
      </c>
      <c r="R66" s="32">
        <f t="shared" si="126"/>
        <v>-1</v>
      </c>
      <c r="S66" s="31">
        <f>Ordinaria!S66</f>
        <v>0</v>
      </c>
      <c r="T66" s="32">
        <f t="shared" si="127"/>
        <v>-1</v>
      </c>
      <c r="U66" s="31">
        <f>Ordinaria!U66</f>
        <v>0</v>
      </c>
      <c r="V66" s="32">
        <f t="shared" si="128"/>
        <v>-1</v>
      </c>
      <c r="W66" s="31">
        <f>Ordinaria!W66</f>
        <v>0</v>
      </c>
      <c r="X66" s="32">
        <f t="shared" si="129"/>
        <v>-1</v>
      </c>
      <c r="Y66" s="31">
        <f>Ordinaria!Y66</f>
        <v>0</v>
      </c>
      <c r="Z66" s="32">
        <f t="shared" si="130"/>
        <v>-1</v>
      </c>
      <c r="AA66" s="31">
        <f>Ordinaria!AA66</f>
        <v>0</v>
      </c>
      <c r="AB66" s="32">
        <f t="shared" si="131"/>
        <v>-1</v>
      </c>
      <c r="AC66" s="31">
        <f>Ordinaria!AC66</f>
        <v>0</v>
      </c>
      <c r="AD66" s="32">
        <f t="shared" si="132"/>
        <v>-1</v>
      </c>
      <c r="AE66" s="31">
        <f>Ordinaria!AE66</f>
        <v>0</v>
      </c>
      <c r="AF66" s="32">
        <f t="shared" si="133"/>
        <v>-1</v>
      </c>
      <c r="AG66" s="31">
        <f>Ordinaria!AG66</f>
        <v>0</v>
      </c>
      <c r="AH66" s="32">
        <f t="shared" si="134"/>
        <v>-1</v>
      </c>
      <c r="AI66" s="31">
        <f>Ordinaria!AI66</f>
        <v>0</v>
      </c>
      <c r="AJ66" s="32">
        <f t="shared" si="135"/>
        <v>-1</v>
      </c>
      <c r="AK66" s="31">
        <f>Ordinaria!AK66</f>
        <v>0</v>
      </c>
      <c r="AL66" s="32">
        <f t="shared" si="136"/>
        <v>-1</v>
      </c>
      <c r="AM66" s="31">
        <f>Ordinaria!AM66</f>
        <v>0</v>
      </c>
      <c r="AN66" s="32">
        <f t="shared" si="137"/>
        <v>-1</v>
      </c>
      <c r="AO66" s="31">
        <f>Ordinaria!AO66</f>
        <v>0</v>
      </c>
      <c r="AP66" s="32">
        <f t="shared" si="138"/>
        <v>-1</v>
      </c>
      <c r="AQ66" s="31">
        <f>Ordinaria!AQ66</f>
        <v>0</v>
      </c>
      <c r="AR66" s="32">
        <f t="shared" si="139"/>
        <v>-1</v>
      </c>
      <c r="AS66" s="31">
        <f>Ordinaria!AS66</f>
        <v>0</v>
      </c>
      <c r="AT66" s="32">
        <f t="shared" si="140"/>
        <v>-1</v>
      </c>
      <c r="AU66" s="31">
        <f>Ordinaria!AU66</f>
        <v>0</v>
      </c>
      <c r="AV66" s="32">
        <f t="shared" si="141"/>
        <v>-1</v>
      </c>
      <c r="AW66" s="31">
        <f>Ordinaria!AW66</f>
        <v>0</v>
      </c>
      <c r="AX66" s="32">
        <f t="shared" si="142"/>
        <v>-1</v>
      </c>
      <c r="AY66" s="31">
        <f>Ordinaria!AY66</f>
        <v>0</v>
      </c>
      <c r="AZ66" s="32">
        <f t="shared" si="143"/>
        <v>-1</v>
      </c>
      <c r="BA66" s="31">
        <f>Ordinaria!BA66</f>
        <v>0</v>
      </c>
      <c r="BB66" s="32">
        <f t="shared" si="144"/>
        <v>-1</v>
      </c>
      <c r="BC66" s="31">
        <f>Ordinaria!BC66</f>
        <v>0</v>
      </c>
      <c r="BD66" s="32">
        <f t="shared" si="145"/>
        <v>-1</v>
      </c>
      <c r="BE66" s="31">
        <f>Ordinaria!BE66</f>
        <v>0</v>
      </c>
      <c r="BF66" s="32">
        <f t="shared" si="146"/>
        <v>-1</v>
      </c>
      <c r="BG66" s="31">
        <f>Ordinaria!BG66</f>
        <v>0</v>
      </c>
      <c r="BH66" s="32">
        <f t="shared" si="147"/>
        <v>-1</v>
      </c>
      <c r="BI66" s="31">
        <f>Ordinaria!BI66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Ordinaria!B67</f>
        <v>0</v>
      </c>
      <c r="C67" s="31">
        <f>Ordinaria!C67</f>
        <v>0</v>
      </c>
      <c r="D67" s="32">
        <f t="shared" si="119"/>
        <v>-1</v>
      </c>
      <c r="E67" s="31">
        <f>Ordinaria!E67</f>
        <v>0</v>
      </c>
      <c r="F67" s="32">
        <f t="shared" si="120"/>
        <v>-1</v>
      </c>
      <c r="G67" s="31">
        <f>Ordinaria!G67</f>
        <v>0</v>
      </c>
      <c r="H67" s="32">
        <f t="shared" si="121"/>
        <v>-1</v>
      </c>
      <c r="I67" s="31">
        <f>Ordinaria!I67</f>
        <v>0</v>
      </c>
      <c r="J67" s="32">
        <f t="shared" si="122"/>
        <v>-1</v>
      </c>
      <c r="K67" s="31">
        <f>Ordinaria!K67</f>
        <v>0</v>
      </c>
      <c r="L67" s="32">
        <f t="shared" si="123"/>
        <v>-1</v>
      </c>
      <c r="M67" s="31">
        <f>Ordinaria!M67</f>
        <v>0</v>
      </c>
      <c r="N67" s="32">
        <f t="shared" si="124"/>
        <v>-1</v>
      </c>
      <c r="O67" s="31">
        <f>Ordinaria!O67</f>
        <v>0</v>
      </c>
      <c r="P67" s="32">
        <f t="shared" si="125"/>
        <v>-1</v>
      </c>
      <c r="Q67" s="31">
        <f>Ordinaria!Q67</f>
        <v>0</v>
      </c>
      <c r="R67" s="32">
        <f t="shared" si="126"/>
        <v>-1</v>
      </c>
      <c r="S67" s="31">
        <f>Ordinaria!S67</f>
        <v>0</v>
      </c>
      <c r="T67" s="32">
        <f t="shared" si="127"/>
        <v>-1</v>
      </c>
      <c r="U67" s="31">
        <f>Ordinaria!U67</f>
        <v>0</v>
      </c>
      <c r="V67" s="32">
        <f t="shared" si="128"/>
        <v>-1</v>
      </c>
      <c r="W67" s="31">
        <f>Ordinaria!W67</f>
        <v>0</v>
      </c>
      <c r="X67" s="32">
        <f t="shared" si="129"/>
        <v>-1</v>
      </c>
      <c r="Y67" s="31">
        <f>Ordinaria!Y67</f>
        <v>0</v>
      </c>
      <c r="Z67" s="32">
        <f t="shared" si="130"/>
        <v>-1</v>
      </c>
      <c r="AA67" s="31">
        <f>Ordinaria!AA67</f>
        <v>0</v>
      </c>
      <c r="AB67" s="32">
        <f t="shared" si="131"/>
        <v>-1</v>
      </c>
      <c r="AC67" s="31">
        <f>Ordinaria!AC67</f>
        <v>0</v>
      </c>
      <c r="AD67" s="32">
        <f t="shared" si="132"/>
        <v>-1</v>
      </c>
      <c r="AE67" s="31">
        <f>Ordinaria!AE67</f>
        <v>0</v>
      </c>
      <c r="AF67" s="32">
        <f t="shared" si="133"/>
        <v>-1</v>
      </c>
      <c r="AG67" s="31">
        <f>Ordinaria!AG67</f>
        <v>0</v>
      </c>
      <c r="AH67" s="32">
        <f t="shared" si="134"/>
        <v>-1</v>
      </c>
      <c r="AI67" s="31">
        <f>Ordinaria!AI67</f>
        <v>0</v>
      </c>
      <c r="AJ67" s="32">
        <f t="shared" si="135"/>
        <v>-1</v>
      </c>
      <c r="AK67" s="31">
        <f>Ordinaria!AK67</f>
        <v>0</v>
      </c>
      <c r="AL67" s="32">
        <f t="shared" si="136"/>
        <v>-1</v>
      </c>
      <c r="AM67" s="31">
        <f>Ordinaria!AM67</f>
        <v>0</v>
      </c>
      <c r="AN67" s="32">
        <f t="shared" si="137"/>
        <v>-1</v>
      </c>
      <c r="AO67" s="31">
        <f>Ordinaria!AO67</f>
        <v>0</v>
      </c>
      <c r="AP67" s="32">
        <f t="shared" si="138"/>
        <v>-1</v>
      </c>
      <c r="AQ67" s="31">
        <f>Ordinaria!AQ67</f>
        <v>0</v>
      </c>
      <c r="AR67" s="32">
        <f t="shared" si="139"/>
        <v>-1</v>
      </c>
      <c r="AS67" s="31">
        <f>Ordinaria!AS67</f>
        <v>0</v>
      </c>
      <c r="AT67" s="32">
        <f t="shared" si="140"/>
        <v>-1</v>
      </c>
      <c r="AU67" s="31">
        <f>Ordinaria!AU67</f>
        <v>0</v>
      </c>
      <c r="AV67" s="32">
        <f t="shared" si="141"/>
        <v>-1</v>
      </c>
      <c r="AW67" s="31">
        <f>Ordinaria!AW67</f>
        <v>0</v>
      </c>
      <c r="AX67" s="32">
        <f t="shared" si="142"/>
        <v>-1</v>
      </c>
      <c r="AY67" s="31">
        <f>Ordinaria!AY67</f>
        <v>0</v>
      </c>
      <c r="AZ67" s="32">
        <f t="shared" si="143"/>
        <v>-1</v>
      </c>
      <c r="BA67" s="31">
        <f>Ordinaria!BA67</f>
        <v>0</v>
      </c>
      <c r="BB67" s="32">
        <f t="shared" si="144"/>
        <v>-1</v>
      </c>
      <c r="BC67" s="31">
        <f>Ordinaria!BC67</f>
        <v>0</v>
      </c>
      <c r="BD67" s="32">
        <f t="shared" si="145"/>
        <v>-1</v>
      </c>
      <c r="BE67" s="31">
        <f>Ordinaria!BE67</f>
        <v>0</v>
      </c>
      <c r="BF67" s="32">
        <f t="shared" si="146"/>
        <v>-1</v>
      </c>
      <c r="BG67" s="31">
        <f>Ordinaria!BG67</f>
        <v>0</v>
      </c>
      <c r="BH67" s="32">
        <f t="shared" si="147"/>
        <v>-1</v>
      </c>
      <c r="BI67" s="31">
        <f>Ordinaria!BI67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Ordinaria!B68</f>
        <v>0</v>
      </c>
      <c r="C68" s="31">
        <f>Ordinaria!C68</f>
        <v>0</v>
      </c>
      <c r="D68" s="32">
        <f t="shared" si="119"/>
        <v>-1</v>
      </c>
      <c r="E68" s="31">
        <f>Ordinaria!E68</f>
        <v>0</v>
      </c>
      <c r="F68" s="32">
        <f t="shared" si="120"/>
        <v>-1</v>
      </c>
      <c r="G68" s="31">
        <f>Ordinaria!G68</f>
        <v>0</v>
      </c>
      <c r="H68" s="32">
        <f t="shared" si="121"/>
        <v>-1</v>
      </c>
      <c r="I68" s="31">
        <f>Ordinaria!I68</f>
        <v>0</v>
      </c>
      <c r="J68" s="32">
        <f t="shared" si="122"/>
        <v>-1</v>
      </c>
      <c r="K68" s="31">
        <f>Ordinaria!K68</f>
        <v>0</v>
      </c>
      <c r="L68" s="32">
        <f t="shared" si="123"/>
        <v>-1</v>
      </c>
      <c r="M68" s="31">
        <f>Ordinaria!M68</f>
        <v>0</v>
      </c>
      <c r="N68" s="32">
        <f t="shared" si="124"/>
        <v>-1</v>
      </c>
      <c r="O68" s="31">
        <f>Ordinaria!O68</f>
        <v>0</v>
      </c>
      <c r="P68" s="32">
        <f t="shared" si="125"/>
        <v>-1</v>
      </c>
      <c r="Q68" s="31">
        <f>Ordinaria!Q68</f>
        <v>0</v>
      </c>
      <c r="R68" s="32">
        <f t="shared" si="126"/>
        <v>-1</v>
      </c>
      <c r="S68" s="31">
        <f>Ordinaria!S68</f>
        <v>0</v>
      </c>
      <c r="T68" s="32">
        <f t="shared" si="127"/>
        <v>-1</v>
      </c>
      <c r="U68" s="31">
        <f>Ordinaria!U68</f>
        <v>0</v>
      </c>
      <c r="V68" s="32">
        <f t="shared" si="128"/>
        <v>-1</v>
      </c>
      <c r="W68" s="31">
        <f>Ordinaria!W68</f>
        <v>0</v>
      </c>
      <c r="X68" s="32">
        <f t="shared" si="129"/>
        <v>-1</v>
      </c>
      <c r="Y68" s="31">
        <f>Ordinaria!Y68</f>
        <v>0</v>
      </c>
      <c r="Z68" s="32">
        <f t="shared" si="130"/>
        <v>-1</v>
      </c>
      <c r="AA68" s="31">
        <f>Ordinaria!AA68</f>
        <v>0</v>
      </c>
      <c r="AB68" s="32">
        <f t="shared" si="131"/>
        <v>-1</v>
      </c>
      <c r="AC68" s="31">
        <f>Ordinaria!AC68</f>
        <v>0</v>
      </c>
      <c r="AD68" s="32">
        <f t="shared" si="132"/>
        <v>-1</v>
      </c>
      <c r="AE68" s="31">
        <f>Ordinaria!AE68</f>
        <v>0</v>
      </c>
      <c r="AF68" s="32">
        <f t="shared" si="133"/>
        <v>-1</v>
      </c>
      <c r="AG68" s="31">
        <f>Ordinaria!AG68</f>
        <v>0</v>
      </c>
      <c r="AH68" s="32">
        <f t="shared" si="134"/>
        <v>-1</v>
      </c>
      <c r="AI68" s="31">
        <f>Ordinaria!AI68</f>
        <v>0</v>
      </c>
      <c r="AJ68" s="32">
        <f t="shared" si="135"/>
        <v>-1</v>
      </c>
      <c r="AK68" s="31">
        <f>Ordinaria!AK68</f>
        <v>0</v>
      </c>
      <c r="AL68" s="32">
        <f t="shared" si="136"/>
        <v>-1</v>
      </c>
      <c r="AM68" s="31">
        <f>Ordinaria!AM68</f>
        <v>0</v>
      </c>
      <c r="AN68" s="32">
        <f t="shared" si="137"/>
        <v>-1</v>
      </c>
      <c r="AO68" s="31">
        <f>Ordinaria!AO68</f>
        <v>0</v>
      </c>
      <c r="AP68" s="32">
        <f t="shared" si="138"/>
        <v>-1</v>
      </c>
      <c r="AQ68" s="31">
        <f>Ordinaria!AQ68</f>
        <v>0</v>
      </c>
      <c r="AR68" s="32">
        <f t="shared" si="139"/>
        <v>-1</v>
      </c>
      <c r="AS68" s="31">
        <f>Ordinaria!AS68</f>
        <v>0</v>
      </c>
      <c r="AT68" s="32">
        <f t="shared" si="140"/>
        <v>-1</v>
      </c>
      <c r="AU68" s="31">
        <f>Ordinaria!AU68</f>
        <v>0</v>
      </c>
      <c r="AV68" s="32">
        <f t="shared" si="141"/>
        <v>-1</v>
      </c>
      <c r="AW68" s="31">
        <f>Ordinaria!AW68</f>
        <v>0</v>
      </c>
      <c r="AX68" s="32">
        <f t="shared" si="142"/>
        <v>-1</v>
      </c>
      <c r="AY68" s="31">
        <f>Ordinaria!AY68</f>
        <v>0</v>
      </c>
      <c r="AZ68" s="32">
        <f t="shared" si="143"/>
        <v>-1</v>
      </c>
      <c r="BA68" s="31">
        <f>Ordinaria!BA68</f>
        <v>0</v>
      </c>
      <c r="BB68" s="32">
        <f t="shared" si="144"/>
        <v>-1</v>
      </c>
      <c r="BC68" s="31">
        <f>Ordinaria!BC68</f>
        <v>0</v>
      </c>
      <c r="BD68" s="32">
        <f t="shared" si="145"/>
        <v>-1</v>
      </c>
      <c r="BE68" s="31">
        <f>Ordinaria!BE68</f>
        <v>0</v>
      </c>
      <c r="BF68" s="32">
        <f t="shared" si="146"/>
        <v>-1</v>
      </c>
      <c r="BG68" s="31">
        <f>Ordinaria!BG68</f>
        <v>0</v>
      </c>
      <c r="BH68" s="32">
        <f t="shared" si="147"/>
        <v>-1</v>
      </c>
      <c r="BI68" s="31">
        <f>Ordinaria!BI68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Ordinaria!B69</f>
        <v>0</v>
      </c>
      <c r="C69" s="31">
        <f>Ordinaria!C69</f>
        <v>0</v>
      </c>
      <c r="D69" s="32">
        <f t="shared" si="119"/>
        <v>-1</v>
      </c>
      <c r="E69" s="31">
        <f>Ordinaria!E69</f>
        <v>0</v>
      </c>
      <c r="F69" s="32">
        <f t="shared" si="120"/>
        <v>-1</v>
      </c>
      <c r="G69" s="31">
        <f>Ordinaria!G69</f>
        <v>0</v>
      </c>
      <c r="H69" s="32">
        <f t="shared" si="121"/>
        <v>-1</v>
      </c>
      <c r="I69" s="31">
        <f>Ordinaria!I69</f>
        <v>0</v>
      </c>
      <c r="J69" s="32">
        <f t="shared" si="122"/>
        <v>-1</v>
      </c>
      <c r="K69" s="31">
        <f>Ordinaria!K69</f>
        <v>0</v>
      </c>
      <c r="L69" s="32">
        <f t="shared" si="123"/>
        <v>-1</v>
      </c>
      <c r="M69" s="31">
        <f>Ordinaria!M69</f>
        <v>0</v>
      </c>
      <c r="N69" s="32">
        <f t="shared" si="124"/>
        <v>-1</v>
      </c>
      <c r="O69" s="31">
        <f>Ordinaria!O69</f>
        <v>0</v>
      </c>
      <c r="P69" s="32">
        <f t="shared" si="125"/>
        <v>-1</v>
      </c>
      <c r="Q69" s="31">
        <f>Ordinaria!Q69</f>
        <v>0</v>
      </c>
      <c r="R69" s="32">
        <f t="shared" si="126"/>
        <v>-1</v>
      </c>
      <c r="S69" s="31">
        <f>Ordinaria!S69</f>
        <v>0</v>
      </c>
      <c r="T69" s="32">
        <f t="shared" si="127"/>
        <v>-1</v>
      </c>
      <c r="U69" s="31">
        <f>Ordinaria!U69</f>
        <v>0</v>
      </c>
      <c r="V69" s="32">
        <f t="shared" si="128"/>
        <v>-1</v>
      </c>
      <c r="W69" s="31">
        <f>Ordinaria!W69</f>
        <v>0</v>
      </c>
      <c r="X69" s="32">
        <f t="shared" si="129"/>
        <v>-1</v>
      </c>
      <c r="Y69" s="31">
        <f>Ordinaria!Y69</f>
        <v>0</v>
      </c>
      <c r="Z69" s="32">
        <f t="shared" si="130"/>
        <v>-1</v>
      </c>
      <c r="AA69" s="31">
        <f>Ordinaria!AA69</f>
        <v>0</v>
      </c>
      <c r="AB69" s="32">
        <f t="shared" si="131"/>
        <v>-1</v>
      </c>
      <c r="AC69" s="31">
        <f>Ordinaria!AC69</f>
        <v>0</v>
      </c>
      <c r="AD69" s="32">
        <f t="shared" si="132"/>
        <v>-1</v>
      </c>
      <c r="AE69" s="31">
        <f>Ordinaria!AE69</f>
        <v>0</v>
      </c>
      <c r="AF69" s="32">
        <f t="shared" si="133"/>
        <v>-1</v>
      </c>
      <c r="AG69" s="31">
        <f>Ordinaria!AG69</f>
        <v>0</v>
      </c>
      <c r="AH69" s="32">
        <f t="shared" si="134"/>
        <v>-1</v>
      </c>
      <c r="AI69" s="31">
        <f>Ordinaria!AI69</f>
        <v>0</v>
      </c>
      <c r="AJ69" s="32">
        <f t="shared" si="135"/>
        <v>-1</v>
      </c>
      <c r="AK69" s="31">
        <f>Ordinaria!AK69</f>
        <v>0</v>
      </c>
      <c r="AL69" s="32">
        <f t="shared" si="136"/>
        <v>-1</v>
      </c>
      <c r="AM69" s="31">
        <f>Ordinaria!AM69</f>
        <v>0</v>
      </c>
      <c r="AN69" s="32">
        <f t="shared" si="137"/>
        <v>-1</v>
      </c>
      <c r="AO69" s="31">
        <f>Ordinaria!AO69</f>
        <v>0</v>
      </c>
      <c r="AP69" s="32">
        <f t="shared" si="138"/>
        <v>-1</v>
      </c>
      <c r="AQ69" s="31">
        <f>Ordinaria!AQ69</f>
        <v>0</v>
      </c>
      <c r="AR69" s="32">
        <f t="shared" si="139"/>
        <v>-1</v>
      </c>
      <c r="AS69" s="31">
        <f>Ordinaria!AS69</f>
        <v>0</v>
      </c>
      <c r="AT69" s="32">
        <f t="shared" si="140"/>
        <v>-1</v>
      </c>
      <c r="AU69" s="31">
        <f>Ordinaria!AU69</f>
        <v>0</v>
      </c>
      <c r="AV69" s="32">
        <f t="shared" si="141"/>
        <v>-1</v>
      </c>
      <c r="AW69" s="31">
        <f>Ordinaria!AW69</f>
        <v>0</v>
      </c>
      <c r="AX69" s="32">
        <f t="shared" si="142"/>
        <v>-1</v>
      </c>
      <c r="AY69" s="31">
        <f>Ordinaria!AY69</f>
        <v>0</v>
      </c>
      <c r="AZ69" s="32">
        <f t="shared" si="143"/>
        <v>-1</v>
      </c>
      <c r="BA69" s="31">
        <f>Ordinaria!BA69</f>
        <v>0</v>
      </c>
      <c r="BB69" s="32">
        <f t="shared" si="144"/>
        <v>-1</v>
      </c>
      <c r="BC69" s="31">
        <f>Ordinaria!BC69</f>
        <v>0</v>
      </c>
      <c r="BD69" s="32">
        <f t="shared" si="145"/>
        <v>-1</v>
      </c>
      <c r="BE69" s="31">
        <f>Ordinaria!BE69</f>
        <v>0</v>
      </c>
      <c r="BF69" s="32">
        <f t="shared" si="146"/>
        <v>-1</v>
      </c>
      <c r="BG69" s="31">
        <f>Ordinaria!BG69</f>
        <v>0</v>
      </c>
      <c r="BH69" s="32">
        <f t="shared" si="147"/>
        <v>-1</v>
      </c>
      <c r="BI69" s="31">
        <f>Ordinaria!BI69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Ordinaria!B70</f>
        <v>0</v>
      </c>
      <c r="C70" s="31">
        <f>Ordinaria!C70</f>
        <v>0</v>
      </c>
      <c r="D70" s="32">
        <f t="shared" si="119"/>
        <v>-1</v>
      </c>
      <c r="E70" s="31">
        <f>Ordinaria!E70</f>
        <v>0</v>
      </c>
      <c r="F70" s="32">
        <f t="shared" si="120"/>
        <v>-1</v>
      </c>
      <c r="G70" s="31">
        <f>Ordinaria!G70</f>
        <v>0</v>
      </c>
      <c r="H70" s="32">
        <f t="shared" si="121"/>
        <v>-1</v>
      </c>
      <c r="I70" s="31">
        <f>Ordinaria!I70</f>
        <v>0</v>
      </c>
      <c r="J70" s="32">
        <f t="shared" si="122"/>
        <v>-1</v>
      </c>
      <c r="K70" s="31">
        <f>Ordinaria!K70</f>
        <v>0</v>
      </c>
      <c r="L70" s="32">
        <f t="shared" si="123"/>
        <v>-1</v>
      </c>
      <c r="M70" s="31">
        <f>Ordinaria!M70</f>
        <v>0</v>
      </c>
      <c r="N70" s="32">
        <f t="shared" si="124"/>
        <v>-1</v>
      </c>
      <c r="O70" s="31">
        <f>Ordinaria!O70</f>
        <v>0</v>
      </c>
      <c r="P70" s="32">
        <f t="shared" si="125"/>
        <v>-1</v>
      </c>
      <c r="Q70" s="31">
        <f>Ordinaria!Q70</f>
        <v>0</v>
      </c>
      <c r="R70" s="32">
        <f t="shared" si="126"/>
        <v>-1</v>
      </c>
      <c r="S70" s="31">
        <f>Ordinaria!S70</f>
        <v>0</v>
      </c>
      <c r="T70" s="32">
        <f t="shared" si="127"/>
        <v>-1</v>
      </c>
      <c r="U70" s="31">
        <f>Ordinaria!U70</f>
        <v>0</v>
      </c>
      <c r="V70" s="32">
        <f t="shared" si="128"/>
        <v>-1</v>
      </c>
      <c r="W70" s="31">
        <f>Ordinaria!W70</f>
        <v>0</v>
      </c>
      <c r="X70" s="32">
        <f t="shared" si="129"/>
        <v>-1</v>
      </c>
      <c r="Y70" s="31">
        <f>Ordinaria!Y70</f>
        <v>0</v>
      </c>
      <c r="Z70" s="32">
        <f t="shared" si="130"/>
        <v>-1</v>
      </c>
      <c r="AA70" s="31">
        <f>Ordinaria!AA70</f>
        <v>0</v>
      </c>
      <c r="AB70" s="32">
        <f t="shared" si="131"/>
        <v>-1</v>
      </c>
      <c r="AC70" s="31">
        <f>Ordinaria!AC70</f>
        <v>0</v>
      </c>
      <c r="AD70" s="32">
        <f t="shared" si="132"/>
        <v>-1</v>
      </c>
      <c r="AE70" s="31">
        <f>Ordinaria!AE70</f>
        <v>0</v>
      </c>
      <c r="AF70" s="32">
        <f t="shared" si="133"/>
        <v>-1</v>
      </c>
      <c r="AG70" s="31">
        <f>Ordinaria!AG70</f>
        <v>0</v>
      </c>
      <c r="AH70" s="32">
        <f t="shared" si="134"/>
        <v>-1</v>
      </c>
      <c r="AI70" s="31">
        <f>Ordinaria!AI70</f>
        <v>0</v>
      </c>
      <c r="AJ70" s="32">
        <f t="shared" si="135"/>
        <v>-1</v>
      </c>
      <c r="AK70" s="31">
        <f>Ordinaria!AK70</f>
        <v>0</v>
      </c>
      <c r="AL70" s="32">
        <f t="shared" si="136"/>
        <v>-1</v>
      </c>
      <c r="AM70" s="31">
        <f>Ordinaria!AM70</f>
        <v>0</v>
      </c>
      <c r="AN70" s="32">
        <f t="shared" si="137"/>
        <v>-1</v>
      </c>
      <c r="AO70" s="31">
        <f>Ordinaria!AO70</f>
        <v>0</v>
      </c>
      <c r="AP70" s="32">
        <f t="shared" si="138"/>
        <v>-1</v>
      </c>
      <c r="AQ70" s="31">
        <f>Ordinaria!AQ70</f>
        <v>0</v>
      </c>
      <c r="AR70" s="32">
        <f t="shared" si="139"/>
        <v>-1</v>
      </c>
      <c r="AS70" s="31">
        <f>Ordinaria!AS70</f>
        <v>0</v>
      </c>
      <c r="AT70" s="32">
        <f t="shared" si="140"/>
        <v>-1</v>
      </c>
      <c r="AU70" s="31">
        <f>Ordinaria!AU70</f>
        <v>0</v>
      </c>
      <c r="AV70" s="32">
        <f t="shared" si="141"/>
        <v>-1</v>
      </c>
      <c r="AW70" s="31">
        <f>Ordinaria!AW70</f>
        <v>0</v>
      </c>
      <c r="AX70" s="32">
        <f t="shared" si="142"/>
        <v>-1</v>
      </c>
      <c r="AY70" s="31">
        <f>Ordinaria!AY70</f>
        <v>0</v>
      </c>
      <c r="AZ70" s="32">
        <f t="shared" si="143"/>
        <v>-1</v>
      </c>
      <c r="BA70" s="31">
        <f>Ordinaria!BA70</f>
        <v>0</v>
      </c>
      <c r="BB70" s="32">
        <f t="shared" si="144"/>
        <v>-1</v>
      </c>
      <c r="BC70" s="31">
        <f>Ordinaria!BC70</f>
        <v>0</v>
      </c>
      <c r="BD70" s="32">
        <f t="shared" si="145"/>
        <v>-1</v>
      </c>
      <c r="BE70" s="31">
        <f>Ordinaria!BE70</f>
        <v>0</v>
      </c>
      <c r="BF70" s="32">
        <f t="shared" si="146"/>
        <v>-1</v>
      </c>
      <c r="BG70" s="31">
        <f>Ordinaria!BG70</f>
        <v>0</v>
      </c>
      <c r="BH70" s="32">
        <f t="shared" si="147"/>
        <v>-1</v>
      </c>
      <c r="BI70" s="31">
        <f>Ordinaria!BI70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Ordinaria!B71</f>
        <v>0</v>
      </c>
      <c r="C71" s="31">
        <f>Ordinaria!C71</f>
        <v>0</v>
      </c>
      <c r="D71" s="32">
        <f t="shared" si="119"/>
        <v>-1</v>
      </c>
      <c r="E71" s="31">
        <f>Ordinaria!E71</f>
        <v>0</v>
      </c>
      <c r="F71" s="32">
        <f t="shared" si="120"/>
        <v>-1</v>
      </c>
      <c r="G71" s="31">
        <f>Ordinaria!G71</f>
        <v>0</v>
      </c>
      <c r="H71" s="32">
        <f t="shared" si="121"/>
        <v>-1</v>
      </c>
      <c r="I71" s="31">
        <f>Ordinaria!I71</f>
        <v>0</v>
      </c>
      <c r="J71" s="32">
        <f t="shared" si="122"/>
        <v>-1</v>
      </c>
      <c r="K71" s="31">
        <f>Ordinaria!K71</f>
        <v>0</v>
      </c>
      <c r="L71" s="32">
        <f t="shared" si="123"/>
        <v>-1</v>
      </c>
      <c r="M71" s="31">
        <f>Ordinaria!M71</f>
        <v>0</v>
      </c>
      <c r="N71" s="32">
        <f t="shared" si="124"/>
        <v>-1</v>
      </c>
      <c r="O71" s="31">
        <f>Ordinaria!O71</f>
        <v>0</v>
      </c>
      <c r="P71" s="32">
        <f t="shared" si="125"/>
        <v>-1</v>
      </c>
      <c r="Q71" s="31">
        <f>Ordinaria!Q71</f>
        <v>0</v>
      </c>
      <c r="R71" s="32">
        <f t="shared" si="126"/>
        <v>-1</v>
      </c>
      <c r="S71" s="31">
        <f>Ordinaria!S71</f>
        <v>0</v>
      </c>
      <c r="T71" s="32">
        <f t="shared" si="127"/>
        <v>-1</v>
      </c>
      <c r="U71" s="31">
        <f>Ordinaria!U71</f>
        <v>0</v>
      </c>
      <c r="V71" s="32">
        <f t="shared" si="128"/>
        <v>-1</v>
      </c>
      <c r="W71" s="31">
        <f>Ordinaria!W71</f>
        <v>0</v>
      </c>
      <c r="X71" s="32">
        <f t="shared" si="129"/>
        <v>-1</v>
      </c>
      <c r="Y71" s="31">
        <f>Ordinaria!Y71</f>
        <v>0</v>
      </c>
      <c r="Z71" s="32">
        <f t="shared" si="130"/>
        <v>-1</v>
      </c>
      <c r="AA71" s="31">
        <f>Ordinaria!AA71</f>
        <v>0</v>
      </c>
      <c r="AB71" s="32">
        <f t="shared" si="131"/>
        <v>-1</v>
      </c>
      <c r="AC71" s="31">
        <f>Ordinaria!AC71</f>
        <v>0</v>
      </c>
      <c r="AD71" s="32">
        <f t="shared" si="132"/>
        <v>-1</v>
      </c>
      <c r="AE71" s="31">
        <f>Ordinaria!AE71</f>
        <v>0</v>
      </c>
      <c r="AF71" s="32">
        <f t="shared" si="133"/>
        <v>-1</v>
      </c>
      <c r="AG71" s="31">
        <f>Ordinaria!AG71</f>
        <v>0</v>
      </c>
      <c r="AH71" s="32">
        <f t="shared" si="134"/>
        <v>-1</v>
      </c>
      <c r="AI71" s="31">
        <f>Ordinaria!AI71</f>
        <v>0</v>
      </c>
      <c r="AJ71" s="32">
        <f t="shared" si="135"/>
        <v>-1</v>
      </c>
      <c r="AK71" s="31">
        <f>Ordinaria!AK71</f>
        <v>0</v>
      </c>
      <c r="AL71" s="32">
        <f t="shared" si="136"/>
        <v>-1</v>
      </c>
      <c r="AM71" s="31">
        <f>Ordinaria!AM71</f>
        <v>0</v>
      </c>
      <c r="AN71" s="32">
        <f t="shared" si="137"/>
        <v>-1</v>
      </c>
      <c r="AO71" s="31">
        <f>Ordinaria!AO71</f>
        <v>0</v>
      </c>
      <c r="AP71" s="32">
        <f t="shared" si="138"/>
        <v>-1</v>
      </c>
      <c r="AQ71" s="31">
        <f>Ordinaria!AQ71</f>
        <v>0</v>
      </c>
      <c r="AR71" s="32">
        <f t="shared" si="139"/>
        <v>-1</v>
      </c>
      <c r="AS71" s="31">
        <f>Ordinaria!AS71</f>
        <v>0</v>
      </c>
      <c r="AT71" s="32">
        <f t="shared" si="140"/>
        <v>-1</v>
      </c>
      <c r="AU71" s="31">
        <f>Ordinaria!AU71</f>
        <v>0</v>
      </c>
      <c r="AV71" s="32">
        <f t="shared" si="141"/>
        <v>-1</v>
      </c>
      <c r="AW71" s="31">
        <f>Ordinaria!AW71</f>
        <v>0</v>
      </c>
      <c r="AX71" s="32">
        <f t="shared" si="142"/>
        <v>-1</v>
      </c>
      <c r="AY71" s="31">
        <f>Ordinaria!AY71</f>
        <v>0</v>
      </c>
      <c r="AZ71" s="32">
        <f t="shared" si="143"/>
        <v>-1</v>
      </c>
      <c r="BA71" s="31">
        <f>Ordinaria!BA71</f>
        <v>0</v>
      </c>
      <c r="BB71" s="32">
        <f t="shared" si="144"/>
        <v>-1</v>
      </c>
      <c r="BC71" s="31">
        <f>Ordinaria!BC71</f>
        <v>0</v>
      </c>
      <c r="BD71" s="32">
        <f t="shared" si="145"/>
        <v>-1</v>
      </c>
      <c r="BE71" s="31">
        <f>Ordinaria!BE71</f>
        <v>0</v>
      </c>
      <c r="BF71" s="32">
        <f t="shared" si="146"/>
        <v>-1</v>
      </c>
      <c r="BG71" s="31">
        <f>Ordinaria!BG71</f>
        <v>0</v>
      </c>
      <c r="BH71" s="32">
        <f t="shared" si="147"/>
        <v>-1</v>
      </c>
      <c r="BI71" s="31">
        <f>Ordinaria!BI71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Ordinaria!B72</f>
        <v>0</v>
      </c>
      <c r="C72" s="31">
        <f>Ordinaria!C72</f>
        <v>0</v>
      </c>
      <c r="D72" s="32">
        <f t="shared" si="119"/>
        <v>-1</v>
      </c>
      <c r="E72" s="31">
        <f>Ordinaria!E72</f>
        <v>0</v>
      </c>
      <c r="F72" s="32">
        <f t="shared" si="120"/>
        <v>-1</v>
      </c>
      <c r="G72" s="31">
        <f>Ordinaria!G72</f>
        <v>0</v>
      </c>
      <c r="H72" s="32">
        <f t="shared" si="121"/>
        <v>-1</v>
      </c>
      <c r="I72" s="31">
        <f>Ordinaria!I72</f>
        <v>0</v>
      </c>
      <c r="J72" s="32">
        <f t="shared" si="122"/>
        <v>-1</v>
      </c>
      <c r="K72" s="31">
        <f>Ordinaria!K72</f>
        <v>0</v>
      </c>
      <c r="L72" s="32">
        <f t="shared" si="123"/>
        <v>-1</v>
      </c>
      <c r="M72" s="31">
        <f>Ordinaria!M72</f>
        <v>0</v>
      </c>
      <c r="N72" s="32">
        <f t="shared" si="124"/>
        <v>-1</v>
      </c>
      <c r="O72" s="31">
        <f>Ordinaria!O72</f>
        <v>0</v>
      </c>
      <c r="P72" s="32">
        <f t="shared" si="125"/>
        <v>-1</v>
      </c>
      <c r="Q72" s="31">
        <f>Ordinaria!Q72</f>
        <v>0</v>
      </c>
      <c r="R72" s="32">
        <f t="shared" si="126"/>
        <v>-1</v>
      </c>
      <c r="S72" s="31">
        <f>Ordinaria!S72</f>
        <v>0</v>
      </c>
      <c r="T72" s="32">
        <f t="shared" si="127"/>
        <v>-1</v>
      </c>
      <c r="U72" s="31">
        <f>Ordinaria!U72</f>
        <v>0</v>
      </c>
      <c r="V72" s="32">
        <f t="shared" si="128"/>
        <v>-1</v>
      </c>
      <c r="W72" s="31">
        <f>Ordinaria!W72</f>
        <v>0</v>
      </c>
      <c r="X72" s="32">
        <f t="shared" si="129"/>
        <v>-1</v>
      </c>
      <c r="Y72" s="31">
        <f>Ordinaria!Y72</f>
        <v>0</v>
      </c>
      <c r="Z72" s="32">
        <f t="shared" si="130"/>
        <v>-1</v>
      </c>
      <c r="AA72" s="31">
        <f>Ordinaria!AA72</f>
        <v>0</v>
      </c>
      <c r="AB72" s="32">
        <f t="shared" si="131"/>
        <v>-1</v>
      </c>
      <c r="AC72" s="31">
        <f>Ordinaria!AC72</f>
        <v>0</v>
      </c>
      <c r="AD72" s="32">
        <f t="shared" si="132"/>
        <v>-1</v>
      </c>
      <c r="AE72" s="31">
        <f>Ordinaria!AE72</f>
        <v>0</v>
      </c>
      <c r="AF72" s="32">
        <f t="shared" si="133"/>
        <v>-1</v>
      </c>
      <c r="AG72" s="31">
        <f>Ordinaria!AG72</f>
        <v>0</v>
      </c>
      <c r="AH72" s="32">
        <f t="shared" si="134"/>
        <v>-1</v>
      </c>
      <c r="AI72" s="31">
        <f>Ordinaria!AI72</f>
        <v>0</v>
      </c>
      <c r="AJ72" s="32">
        <f t="shared" si="135"/>
        <v>-1</v>
      </c>
      <c r="AK72" s="31">
        <f>Ordinaria!AK72</f>
        <v>0</v>
      </c>
      <c r="AL72" s="32">
        <f t="shared" si="136"/>
        <v>-1</v>
      </c>
      <c r="AM72" s="31">
        <f>Ordinaria!AM72</f>
        <v>0</v>
      </c>
      <c r="AN72" s="32">
        <f t="shared" si="137"/>
        <v>-1</v>
      </c>
      <c r="AO72" s="31">
        <f>Ordinaria!AO72</f>
        <v>0</v>
      </c>
      <c r="AP72" s="32">
        <f t="shared" si="138"/>
        <v>-1</v>
      </c>
      <c r="AQ72" s="31">
        <f>Ordinaria!AQ72</f>
        <v>0</v>
      </c>
      <c r="AR72" s="32">
        <f t="shared" si="139"/>
        <v>-1</v>
      </c>
      <c r="AS72" s="31">
        <f>Ordinaria!AS72</f>
        <v>0</v>
      </c>
      <c r="AT72" s="32">
        <f t="shared" si="140"/>
        <v>-1</v>
      </c>
      <c r="AU72" s="31">
        <f>Ordinaria!AU72</f>
        <v>0</v>
      </c>
      <c r="AV72" s="32">
        <f t="shared" si="141"/>
        <v>-1</v>
      </c>
      <c r="AW72" s="31">
        <f>Ordinaria!AW72</f>
        <v>0</v>
      </c>
      <c r="AX72" s="32">
        <f t="shared" si="142"/>
        <v>-1</v>
      </c>
      <c r="AY72" s="31">
        <f>Ordinaria!AY72</f>
        <v>0</v>
      </c>
      <c r="AZ72" s="32">
        <f t="shared" si="143"/>
        <v>-1</v>
      </c>
      <c r="BA72" s="31">
        <f>Ordinaria!BA72</f>
        <v>0</v>
      </c>
      <c r="BB72" s="32">
        <f t="shared" si="144"/>
        <v>-1</v>
      </c>
      <c r="BC72" s="31">
        <f>Ordinaria!BC72</f>
        <v>0</v>
      </c>
      <c r="BD72" s="32">
        <f t="shared" si="145"/>
        <v>-1</v>
      </c>
      <c r="BE72" s="31">
        <f>Ordinaria!BE72</f>
        <v>0</v>
      </c>
      <c r="BF72" s="32">
        <f t="shared" si="146"/>
        <v>-1</v>
      </c>
      <c r="BG72" s="31">
        <f>Ordinaria!BG72</f>
        <v>0</v>
      </c>
      <c r="BH72" s="32">
        <f t="shared" si="147"/>
        <v>-1</v>
      </c>
      <c r="BI72" s="31">
        <f>Ordinaria!BI72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Ordinaria!B73</f>
        <v>0</v>
      </c>
      <c r="C73" s="31">
        <f>Ordinaria!C73</f>
        <v>0</v>
      </c>
      <c r="D73" s="32">
        <f t="shared" si="119"/>
        <v>-1</v>
      </c>
      <c r="E73" s="31">
        <f>Ordinaria!E73</f>
        <v>0</v>
      </c>
      <c r="F73" s="32">
        <f t="shared" si="120"/>
        <v>-1</v>
      </c>
      <c r="G73" s="31">
        <f>Ordinaria!G73</f>
        <v>0</v>
      </c>
      <c r="H73" s="32">
        <f t="shared" si="121"/>
        <v>-1</v>
      </c>
      <c r="I73" s="31">
        <f>Ordinaria!I73</f>
        <v>0</v>
      </c>
      <c r="J73" s="32">
        <f t="shared" si="122"/>
        <v>-1</v>
      </c>
      <c r="K73" s="31">
        <f>Ordinaria!K73</f>
        <v>0</v>
      </c>
      <c r="L73" s="32">
        <f t="shared" si="123"/>
        <v>-1</v>
      </c>
      <c r="M73" s="31">
        <f>Ordinaria!M73</f>
        <v>0</v>
      </c>
      <c r="N73" s="32">
        <f t="shared" si="124"/>
        <v>-1</v>
      </c>
      <c r="O73" s="31">
        <f>Ordinaria!O73</f>
        <v>0</v>
      </c>
      <c r="P73" s="32">
        <f t="shared" si="125"/>
        <v>-1</v>
      </c>
      <c r="Q73" s="31">
        <f>Ordinaria!Q73</f>
        <v>0</v>
      </c>
      <c r="R73" s="32">
        <f t="shared" si="126"/>
        <v>-1</v>
      </c>
      <c r="S73" s="31">
        <f>Ordinaria!S73</f>
        <v>0</v>
      </c>
      <c r="T73" s="32">
        <f t="shared" si="127"/>
        <v>-1</v>
      </c>
      <c r="U73" s="31">
        <f>Ordinaria!U73</f>
        <v>0</v>
      </c>
      <c r="V73" s="32">
        <f t="shared" si="128"/>
        <v>-1</v>
      </c>
      <c r="W73" s="31">
        <f>Ordinaria!W73</f>
        <v>0</v>
      </c>
      <c r="X73" s="32">
        <f t="shared" si="129"/>
        <v>-1</v>
      </c>
      <c r="Y73" s="31">
        <f>Ordinaria!Y73</f>
        <v>0</v>
      </c>
      <c r="Z73" s="32">
        <f t="shared" si="130"/>
        <v>-1</v>
      </c>
      <c r="AA73" s="31">
        <f>Ordinaria!AA73</f>
        <v>0</v>
      </c>
      <c r="AB73" s="32">
        <f t="shared" si="131"/>
        <v>-1</v>
      </c>
      <c r="AC73" s="31">
        <f>Ordinaria!AC73</f>
        <v>0</v>
      </c>
      <c r="AD73" s="32">
        <f t="shared" si="132"/>
        <v>-1</v>
      </c>
      <c r="AE73" s="31">
        <f>Ordinaria!AE73</f>
        <v>0</v>
      </c>
      <c r="AF73" s="32">
        <f t="shared" si="133"/>
        <v>-1</v>
      </c>
      <c r="AG73" s="31">
        <f>Ordinaria!AG73</f>
        <v>0</v>
      </c>
      <c r="AH73" s="32">
        <f t="shared" si="134"/>
        <v>-1</v>
      </c>
      <c r="AI73" s="31">
        <f>Ordinaria!AI73</f>
        <v>0</v>
      </c>
      <c r="AJ73" s="32">
        <f t="shared" si="135"/>
        <v>-1</v>
      </c>
      <c r="AK73" s="31">
        <f>Ordinaria!AK73</f>
        <v>0</v>
      </c>
      <c r="AL73" s="32">
        <f t="shared" si="136"/>
        <v>-1</v>
      </c>
      <c r="AM73" s="31">
        <f>Ordinaria!AM73</f>
        <v>0</v>
      </c>
      <c r="AN73" s="32">
        <f t="shared" si="137"/>
        <v>-1</v>
      </c>
      <c r="AO73" s="31">
        <f>Ordinaria!AO73</f>
        <v>0</v>
      </c>
      <c r="AP73" s="32">
        <f t="shared" si="138"/>
        <v>-1</v>
      </c>
      <c r="AQ73" s="31">
        <f>Ordinaria!AQ73</f>
        <v>0</v>
      </c>
      <c r="AR73" s="32">
        <f t="shared" si="139"/>
        <v>-1</v>
      </c>
      <c r="AS73" s="31">
        <f>Ordinaria!AS73</f>
        <v>0</v>
      </c>
      <c r="AT73" s="32">
        <f t="shared" si="140"/>
        <v>-1</v>
      </c>
      <c r="AU73" s="31">
        <f>Ordinaria!AU73</f>
        <v>0</v>
      </c>
      <c r="AV73" s="32">
        <f t="shared" si="141"/>
        <v>-1</v>
      </c>
      <c r="AW73" s="31">
        <f>Ordinaria!AW73</f>
        <v>0</v>
      </c>
      <c r="AX73" s="32">
        <f t="shared" si="142"/>
        <v>-1</v>
      </c>
      <c r="AY73" s="31">
        <f>Ordinaria!AY73</f>
        <v>0</v>
      </c>
      <c r="AZ73" s="32">
        <f t="shared" si="143"/>
        <v>-1</v>
      </c>
      <c r="BA73" s="31">
        <f>Ordinaria!BA73</f>
        <v>0</v>
      </c>
      <c r="BB73" s="32">
        <f t="shared" si="144"/>
        <v>-1</v>
      </c>
      <c r="BC73" s="31">
        <f>Ordinaria!BC73</f>
        <v>0</v>
      </c>
      <c r="BD73" s="32">
        <f t="shared" si="145"/>
        <v>-1</v>
      </c>
      <c r="BE73" s="31">
        <f>Ordinaria!BE73</f>
        <v>0</v>
      </c>
      <c r="BF73" s="32">
        <f t="shared" si="146"/>
        <v>-1</v>
      </c>
      <c r="BG73" s="31">
        <f>Ordinaria!BG73</f>
        <v>0</v>
      </c>
      <c r="BH73" s="32">
        <f t="shared" si="147"/>
        <v>-1</v>
      </c>
      <c r="BI73" s="31">
        <f>Ordinaria!BI73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Ordinaria!B74</f>
        <v>0</v>
      </c>
      <c r="C74" s="31">
        <f>Ordinaria!C74</f>
        <v>0</v>
      </c>
      <c r="D74" s="32">
        <f t="shared" si="119"/>
        <v>-1</v>
      </c>
      <c r="E74" s="31">
        <f>Ordinaria!E74</f>
        <v>0</v>
      </c>
      <c r="F74" s="32">
        <f t="shared" si="120"/>
        <v>-1</v>
      </c>
      <c r="G74" s="31">
        <f>Ordinaria!G74</f>
        <v>0</v>
      </c>
      <c r="H74" s="32">
        <f t="shared" si="121"/>
        <v>-1</v>
      </c>
      <c r="I74" s="31">
        <f>Ordinaria!I74</f>
        <v>0</v>
      </c>
      <c r="J74" s="32">
        <f t="shared" si="122"/>
        <v>-1</v>
      </c>
      <c r="K74" s="31">
        <f>Ordinaria!K74</f>
        <v>0</v>
      </c>
      <c r="L74" s="32">
        <f t="shared" si="123"/>
        <v>-1</v>
      </c>
      <c r="M74" s="31">
        <f>Ordinaria!M74</f>
        <v>0</v>
      </c>
      <c r="N74" s="32">
        <f t="shared" si="124"/>
        <v>-1</v>
      </c>
      <c r="O74" s="31">
        <f>Ordinaria!O74</f>
        <v>0</v>
      </c>
      <c r="P74" s="32">
        <f t="shared" si="125"/>
        <v>-1</v>
      </c>
      <c r="Q74" s="31">
        <f>Ordinaria!Q74</f>
        <v>0</v>
      </c>
      <c r="R74" s="32">
        <f t="shared" si="126"/>
        <v>-1</v>
      </c>
      <c r="S74" s="31">
        <f>Ordinaria!S74</f>
        <v>0</v>
      </c>
      <c r="T74" s="32">
        <f t="shared" si="127"/>
        <v>-1</v>
      </c>
      <c r="U74" s="31">
        <f>Ordinaria!U74</f>
        <v>0</v>
      </c>
      <c r="V74" s="32">
        <f t="shared" si="128"/>
        <v>-1</v>
      </c>
      <c r="W74" s="31">
        <f>Ordinaria!W74</f>
        <v>0</v>
      </c>
      <c r="X74" s="32">
        <f t="shared" si="129"/>
        <v>-1</v>
      </c>
      <c r="Y74" s="31">
        <f>Ordinaria!Y74</f>
        <v>0</v>
      </c>
      <c r="Z74" s="32">
        <f t="shared" si="130"/>
        <v>-1</v>
      </c>
      <c r="AA74" s="31">
        <f>Ordinaria!AA74</f>
        <v>0</v>
      </c>
      <c r="AB74" s="32">
        <f t="shared" si="131"/>
        <v>-1</v>
      </c>
      <c r="AC74" s="31">
        <f>Ordinaria!AC74</f>
        <v>0</v>
      </c>
      <c r="AD74" s="32">
        <f t="shared" si="132"/>
        <v>-1</v>
      </c>
      <c r="AE74" s="31">
        <f>Ordinaria!AE74</f>
        <v>0</v>
      </c>
      <c r="AF74" s="32">
        <f t="shared" si="133"/>
        <v>-1</v>
      </c>
      <c r="AG74" s="31">
        <f>Ordinaria!AG74</f>
        <v>0</v>
      </c>
      <c r="AH74" s="32">
        <f t="shared" si="134"/>
        <v>-1</v>
      </c>
      <c r="AI74" s="31">
        <f>Ordinaria!AI74</f>
        <v>0</v>
      </c>
      <c r="AJ74" s="32">
        <f t="shared" si="135"/>
        <v>-1</v>
      </c>
      <c r="AK74" s="31">
        <f>Ordinaria!AK74</f>
        <v>0</v>
      </c>
      <c r="AL74" s="32">
        <f t="shared" si="136"/>
        <v>-1</v>
      </c>
      <c r="AM74" s="31">
        <f>Ordinaria!AM74</f>
        <v>0</v>
      </c>
      <c r="AN74" s="32">
        <f t="shared" si="137"/>
        <v>-1</v>
      </c>
      <c r="AO74" s="31">
        <f>Ordinaria!AO74</f>
        <v>0</v>
      </c>
      <c r="AP74" s="32">
        <f t="shared" si="138"/>
        <v>-1</v>
      </c>
      <c r="AQ74" s="31">
        <f>Ordinaria!AQ74</f>
        <v>0</v>
      </c>
      <c r="AR74" s="32">
        <f t="shared" si="139"/>
        <v>-1</v>
      </c>
      <c r="AS74" s="31">
        <f>Ordinaria!AS74</f>
        <v>0</v>
      </c>
      <c r="AT74" s="32">
        <f t="shared" si="140"/>
        <v>-1</v>
      </c>
      <c r="AU74" s="31">
        <f>Ordinaria!AU74</f>
        <v>0</v>
      </c>
      <c r="AV74" s="32">
        <f t="shared" si="141"/>
        <v>-1</v>
      </c>
      <c r="AW74" s="31">
        <f>Ordinaria!AW74</f>
        <v>0</v>
      </c>
      <c r="AX74" s="32">
        <f t="shared" si="142"/>
        <v>-1</v>
      </c>
      <c r="AY74" s="31">
        <f>Ordinaria!AY74</f>
        <v>0</v>
      </c>
      <c r="AZ74" s="32">
        <f t="shared" si="143"/>
        <v>-1</v>
      </c>
      <c r="BA74" s="31">
        <f>Ordinaria!BA74</f>
        <v>0</v>
      </c>
      <c r="BB74" s="32">
        <f t="shared" si="144"/>
        <v>-1</v>
      </c>
      <c r="BC74" s="31">
        <f>Ordinaria!BC74</f>
        <v>0</v>
      </c>
      <c r="BD74" s="32">
        <f t="shared" si="145"/>
        <v>-1</v>
      </c>
      <c r="BE74" s="31">
        <f>Ordinaria!BE74</f>
        <v>0</v>
      </c>
      <c r="BF74" s="32">
        <f t="shared" si="146"/>
        <v>-1</v>
      </c>
      <c r="BG74" s="31">
        <f>Ordinaria!BG74</f>
        <v>0</v>
      </c>
      <c r="BH74" s="32">
        <f t="shared" si="147"/>
        <v>-1</v>
      </c>
      <c r="BI74" s="31">
        <f>Ordinaria!BI74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Ordinaria!B75</f>
        <v>0</v>
      </c>
      <c r="C75" s="31">
        <f>Ordinaria!C75</f>
        <v>0</v>
      </c>
      <c r="D75" s="32">
        <f t="shared" si="119"/>
        <v>-1</v>
      </c>
      <c r="E75" s="31">
        <f>Ordinaria!E75</f>
        <v>0</v>
      </c>
      <c r="F75" s="32">
        <f t="shared" si="120"/>
        <v>-1</v>
      </c>
      <c r="G75" s="31">
        <f>Ordinaria!G75</f>
        <v>0</v>
      </c>
      <c r="H75" s="32">
        <f t="shared" si="121"/>
        <v>-1</v>
      </c>
      <c r="I75" s="31">
        <f>Ordinaria!I75</f>
        <v>0</v>
      </c>
      <c r="J75" s="32">
        <f t="shared" si="122"/>
        <v>-1</v>
      </c>
      <c r="K75" s="31">
        <f>Ordinaria!K75</f>
        <v>0</v>
      </c>
      <c r="L75" s="32">
        <f t="shared" si="123"/>
        <v>-1</v>
      </c>
      <c r="M75" s="31">
        <f>Ordinaria!M75</f>
        <v>0</v>
      </c>
      <c r="N75" s="32">
        <f t="shared" si="124"/>
        <v>-1</v>
      </c>
      <c r="O75" s="31">
        <f>Ordinaria!O75</f>
        <v>0</v>
      </c>
      <c r="P75" s="32">
        <f t="shared" si="125"/>
        <v>-1</v>
      </c>
      <c r="Q75" s="31">
        <f>Ordinaria!Q75</f>
        <v>0</v>
      </c>
      <c r="R75" s="32">
        <f t="shared" si="126"/>
        <v>-1</v>
      </c>
      <c r="S75" s="31">
        <f>Ordinaria!S75</f>
        <v>0</v>
      </c>
      <c r="T75" s="32">
        <f t="shared" si="127"/>
        <v>-1</v>
      </c>
      <c r="U75" s="31">
        <f>Ordinaria!U75</f>
        <v>0</v>
      </c>
      <c r="V75" s="32">
        <f t="shared" si="128"/>
        <v>-1</v>
      </c>
      <c r="W75" s="31">
        <f>Ordinaria!W75</f>
        <v>0</v>
      </c>
      <c r="X75" s="32">
        <f t="shared" si="129"/>
        <v>-1</v>
      </c>
      <c r="Y75" s="31">
        <f>Ordinaria!Y75</f>
        <v>0</v>
      </c>
      <c r="Z75" s="32">
        <f t="shared" si="130"/>
        <v>-1</v>
      </c>
      <c r="AA75" s="31">
        <f>Ordinaria!AA75</f>
        <v>0</v>
      </c>
      <c r="AB75" s="32">
        <f t="shared" si="131"/>
        <v>-1</v>
      </c>
      <c r="AC75" s="31">
        <f>Ordinaria!AC75</f>
        <v>0</v>
      </c>
      <c r="AD75" s="32">
        <f t="shared" si="132"/>
        <v>-1</v>
      </c>
      <c r="AE75" s="31">
        <f>Ordinaria!AE75</f>
        <v>0</v>
      </c>
      <c r="AF75" s="32">
        <f t="shared" si="133"/>
        <v>-1</v>
      </c>
      <c r="AG75" s="31">
        <f>Ordinaria!AG75</f>
        <v>0</v>
      </c>
      <c r="AH75" s="32">
        <f t="shared" si="134"/>
        <v>-1</v>
      </c>
      <c r="AI75" s="31">
        <f>Ordinaria!AI75</f>
        <v>0</v>
      </c>
      <c r="AJ75" s="32">
        <f t="shared" si="135"/>
        <v>-1</v>
      </c>
      <c r="AK75" s="31">
        <f>Ordinaria!AK75</f>
        <v>0</v>
      </c>
      <c r="AL75" s="32">
        <f t="shared" si="136"/>
        <v>-1</v>
      </c>
      <c r="AM75" s="31">
        <f>Ordinaria!AM75</f>
        <v>0</v>
      </c>
      <c r="AN75" s="32">
        <f t="shared" si="137"/>
        <v>-1</v>
      </c>
      <c r="AO75" s="31">
        <f>Ordinaria!AO75</f>
        <v>0</v>
      </c>
      <c r="AP75" s="32">
        <f t="shared" si="138"/>
        <v>-1</v>
      </c>
      <c r="AQ75" s="31">
        <f>Ordinaria!AQ75</f>
        <v>0</v>
      </c>
      <c r="AR75" s="32">
        <f t="shared" si="139"/>
        <v>-1</v>
      </c>
      <c r="AS75" s="31">
        <f>Ordinaria!AS75</f>
        <v>0</v>
      </c>
      <c r="AT75" s="32">
        <f t="shared" si="140"/>
        <v>-1</v>
      </c>
      <c r="AU75" s="31">
        <f>Ordinaria!AU75</f>
        <v>0</v>
      </c>
      <c r="AV75" s="32">
        <f t="shared" si="141"/>
        <v>-1</v>
      </c>
      <c r="AW75" s="31">
        <f>Ordinaria!AW75</f>
        <v>0</v>
      </c>
      <c r="AX75" s="32">
        <f t="shared" si="142"/>
        <v>-1</v>
      </c>
      <c r="AY75" s="31">
        <f>Ordinaria!AY75</f>
        <v>0</v>
      </c>
      <c r="AZ75" s="32">
        <f t="shared" si="143"/>
        <v>-1</v>
      </c>
      <c r="BA75" s="31">
        <f>Ordinaria!BA75</f>
        <v>0</v>
      </c>
      <c r="BB75" s="32">
        <f t="shared" si="144"/>
        <v>-1</v>
      </c>
      <c r="BC75" s="31">
        <f>Ordinaria!BC75</f>
        <v>0</v>
      </c>
      <c r="BD75" s="32">
        <f t="shared" si="145"/>
        <v>-1</v>
      </c>
      <c r="BE75" s="31">
        <f>Ordinaria!BE75</f>
        <v>0</v>
      </c>
      <c r="BF75" s="32">
        <f t="shared" si="146"/>
        <v>-1</v>
      </c>
      <c r="BG75" s="31">
        <f>Ordinaria!BG75</f>
        <v>0</v>
      </c>
      <c r="BH75" s="32">
        <f t="shared" si="147"/>
        <v>-1</v>
      </c>
      <c r="BI75" s="31">
        <f>Ordinaria!BI75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Ordinaria!B76</f>
        <v>0</v>
      </c>
      <c r="C76" s="31">
        <f>Ordinaria!C76</f>
        <v>0</v>
      </c>
      <c r="D76" s="32">
        <f t="shared" si="119"/>
        <v>-1</v>
      </c>
      <c r="E76" s="31">
        <f>Ordinaria!E76</f>
        <v>0</v>
      </c>
      <c r="F76" s="32">
        <f t="shared" si="120"/>
        <v>-1</v>
      </c>
      <c r="G76" s="31">
        <f>Ordinaria!G76</f>
        <v>0</v>
      </c>
      <c r="H76" s="32">
        <f t="shared" si="121"/>
        <v>-1</v>
      </c>
      <c r="I76" s="31">
        <f>Ordinaria!I76</f>
        <v>0</v>
      </c>
      <c r="J76" s="32">
        <f t="shared" si="122"/>
        <v>-1</v>
      </c>
      <c r="K76" s="31">
        <f>Ordinaria!K76</f>
        <v>0</v>
      </c>
      <c r="L76" s="32">
        <f t="shared" si="123"/>
        <v>-1</v>
      </c>
      <c r="M76" s="31">
        <f>Ordinaria!M76</f>
        <v>0</v>
      </c>
      <c r="N76" s="32">
        <f t="shared" si="124"/>
        <v>-1</v>
      </c>
      <c r="O76" s="31">
        <f>Ordinaria!O76</f>
        <v>0</v>
      </c>
      <c r="P76" s="32">
        <f t="shared" si="125"/>
        <v>-1</v>
      </c>
      <c r="Q76" s="31">
        <f>Ordinaria!Q76</f>
        <v>0</v>
      </c>
      <c r="R76" s="32">
        <f t="shared" si="126"/>
        <v>-1</v>
      </c>
      <c r="S76" s="31">
        <f>Ordinaria!S76</f>
        <v>0</v>
      </c>
      <c r="T76" s="32">
        <f t="shared" si="127"/>
        <v>-1</v>
      </c>
      <c r="U76" s="31">
        <f>Ordinaria!U76</f>
        <v>0</v>
      </c>
      <c r="V76" s="32">
        <f t="shared" si="128"/>
        <v>-1</v>
      </c>
      <c r="W76" s="31">
        <f>Ordinaria!W76</f>
        <v>0</v>
      </c>
      <c r="X76" s="32">
        <f t="shared" si="129"/>
        <v>-1</v>
      </c>
      <c r="Y76" s="31">
        <f>Ordinaria!Y76</f>
        <v>0</v>
      </c>
      <c r="Z76" s="32">
        <f t="shared" si="130"/>
        <v>-1</v>
      </c>
      <c r="AA76" s="31">
        <f>Ordinaria!AA76</f>
        <v>0</v>
      </c>
      <c r="AB76" s="32">
        <f t="shared" si="131"/>
        <v>-1</v>
      </c>
      <c r="AC76" s="31">
        <f>Ordinaria!AC76</f>
        <v>0</v>
      </c>
      <c r="AD76" s="32">
        <f t="shared" si="132"/>
        <v>-1</v>
      </c>
      <c r="AE76" s="31">
        <f>Ordinaria!AE76</f>
        <v>0</v>
      </c>
      <c r="AF76" s="32">
        <f t="shared" si="133"/>
        <v>-1</v>
      </c>
      <c r="AG76" s="31">
        <f>Ordinaria!AG76</f>
        <v>0</v>
      </c>
      <c r="AH76" s="32">
        <f t="shared" si="134"/>
        <v>-1</v>
      </c>
      <c r="AI76" s="31">
        <f>Ordinaria!AI76</f>
        <v>0</v>
      </c>
      <c r="AJ76" s="32">
        <f t="shared" si="135"/>
        <v>-1</v>
      </c>
      <c r="AK76" s="31">
        <f>Ordinaria!AK76</f>
        <v>0</v>
      </c>
      <c r="AL76" s="32">
        <f t="shared" si="136"/>
        <v>-1</v>
      </c>
      <c r="AM76" s="31">
        <f>Ordinaria!AM76</f>
        <v>0</v>
      </c>
      <c r="AN76" s="32">
        <f t="shared" si="137"/>
        <v>-1</v>
      </c>
      <c r="AO76" s="31">
        <f>Ordinaria!AO76</f>
        <v>0</v>
      </c>
      <c r="AP76" s="32">
        <f t="shared" si="138"/>
        <v>-1</v>
      </c>
      <c r="AQ76" s="31">
        <f>Ordinaria!AQ76</f>
        <v>0</v>
      </c>
      <c r="AR76" s="32">
        <f t="shared" si="139"/>
        <v>-1</v>
      </c>
      <c r="AS76" s="31">
        <f>Ordinaria!AS76</f>
        <v>0</v>
      </c>
      <c r="AT76" s="32">
        <f t="shared" si="140"/>
        <v>-1</v>
      </c>
      <c r="AU76" s="31">
        <f>Ordinaria!AU76</f>
        <v>0</v>
      </c>
      <c r="AV76" s="32">
        <f t="shared" si="141"/>
        <v>-1</v>
      </c>
      <c r="AW76" s="31">
        <f>Ordinaria!AW76</f>
        <v>0</v>
      </c>
      <c r="AX76" s="32">
        <f t="shared" si="142"/>
        <v>-1</v>
      </c>
      <c r="AY76" s="31">
        <f>Ordinaria!AY76</f>
        <v>0</v>
      </c>
      <c r="AZ76" s="32">
        <f t="shared" si="143"/>
        <v>-1</v>
      </c>
      <c r="BA76" s="31">
        <f>Ordinaria!BA76</f>
        <v>0</v>
      </c>
      <c r="BB76" s="32">
        <f t="shared" si="144"/>
        <v>-1</v>
      </c>
      <c r="BC76" s="31">
        <f>Ordinaria!BC76</f>
        <v>0</v>
      </c>
      <c r="BD76" s="32">
        <f t="shared" si="145"/>
        <v>-1</v>
      </c>
      <c r="BE76" s="31">
        <f>Ordinaria!BE76</f>
        <v>0</v>
      </c>
      <c r="BF76" s="32">
        <f t="shared" si="146"/>
        <v>-1</v>
      </c>
      <c r="BG76" s="31">
        <f>Ordinaria!BG76</f>
        <v>0</v>
      </c>
      <c r="BH76" s="32">
        <f t="shared" si="147"/>
        <v>-1</v>
      </c>
      <c r="BI76" s="31">
        <f>Ordinaria!BI76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Ordinaria!B77</f>
        <v>0</v>
      </c>
      <c r="C77" s="31">
        <f>Ordinaria!C77</f>
        <v>0</v>
      </c>
      <c r="D77" s="32">
        <f t="shared" si="119"/>
        <v>-1</v>
      </c>
      <c r="E77" s="31">
        <f>Ordinaria!E77</f>
        <v>0</v>
      </c>
      <c r="F77" s="32">
        <f t="shared" si="120"/>
        <v>-1</v>
      </c>
      <c r="G77" s="31">
        <f>Ordinaria!G77</f>
        <v>0</v>
      </c>
      <c r="H77" s="32">
        <f t="shared" si="121"/>
        <v>-1</v>
      </c>
      <c r="I77" s="31">
        <f>Ordinaria!I77</f>
        <v>0</v>
      </c>
      <c r="J77" s="32">
        <f t="shared" si="122"/>
        <v>-1</v>
      </c>
      <c r="K77" s="31">
        <f>Ordinaria!K77</f>
        <v>0</v>
      </c>
      <c r="L77" s="32">
        <f t="shared" si="123"/>
        <v>-1</v>
      </c>
      <c r="M77" s="31">
        <f>Ordinaria!M77</f>
        <v>0</v>
      </c>
      <c r="N77" s="32">
        <f t="shared" si="124"/>
        <v>-1</v>
      </c>
      <c r="O77" s="31">
        <f>Ordinaria!O77</f>
        <v>0</v>
      </c>
      <c r="P77" s="32">
        <f t="shared" si="125"/>
        <v>-1</v>
      </c>
      <c r="Q77" s="31">
        <f>Ordinaria!Q77</f>
        <v>0</v>
      </c>
      <c r="R77" s="32">
        <f t="shared" si="126"/>
        <v>-1</v>
      </c>
      <c r="S77" s="31">
        <f>Ordinaria!S77</f>
        <v>0</v>
      </c>
      <c r="T77" s="32">
        <f t="shared" si="127"/>
        <v>-1</v>
      </c>
      <c r="U77" s="31">
        <f>Ordinaria!U77</f>
        <v>0</v>
      </c>
      <c r="V77" s="32">
        <f t="shared" si="128"/>
        <v>-1</v>
      </c>
      <c r="W77" s="31">
        <f>Ordinaria!W77</f>
        <v>0</v>
      </c>
      <c r="X77" s="32">
        <f t="shared" si="129"/>
        <v>-1</v>
      </c>
      <c r="Y77" s="31">
        <f>Ordinaria!Y77</f>
        <v>0</v>
      </c>
      <c r="Z77" s="32">
        <f t="shared" si="130"/>
        <v>-1</v>
      </c>
      <c r="AA77" s="31">
        <f>Ordinaria!AA77</f>
        <v>0</v>
      </c>
      <c r="AB77" s="32">
        <f t="shared" si="131"/>
        <v>-1</v>
      </c>
      <c r="AC77" s="31">
        <f>Ordinaria!AC77</f>
        <v>0</v>
      </c>
      <c r="AD77" s="32">
        <f t="shared" si="132"/>
        <v>-1</v>
      </c>
      <c r="AE77" s="31">
        <f>Ordinaria!AE77</f>
        <v>0</v>
      </c>
      <c r="AF77" s="32">
        <f t="shared" si="133"/>
        <v>-1</v>
      </c>
      <c r="AG77" s="31">
        <f>Ordinaria!AG77</f>
        <v>0</v>
      </c>
      <c r="AH77" s="32">
        <f t="shared" si="134"/>
        <v>-1</v>
      </c>
      <c r="AI77" s="31">
        <f>Ordinaria!AI77</f>
        <v>0</v>
      </c>
      <c r="AJ77" s="32">
        <f t="shared" si="135"/>
        <v>-1</v>
      </c>
      <c r="AK77" s="31">
        <f>Ordinaria!AK77</f>
        <v>0</v>
      </c>
      <c r="AL77" s="32">
        <f t="shared" si="136"/>
        <v>-1</v>
      </c>
      <c r="AM77" s="31">
        <f>Ordinaria!AM77</f>
        <v>0</v>
      </c>
      <c r="AN77" s="32">
        <f t="shared" si="137"/>
        <v>-1</v>
      </c>
      <c r="AO77" s="31">
        <f>Ordinaria!AO77</f>
        <v>0</v>
      </c>
      <c r="AP77" s="32">
        <f t="shared" si="138"/>
        <v>-1</v>
      </c>
      <c r="AQ77" s="31">
        <f>Ordinaria!AQ77</f>
        <v>0</v>
      </c>
      <c r="AR77" s="32">
        <f t="shared" si="139"/>
        <v>-1</v>
      </c>
      <c r="AS77" s="31">
        <f>Ordinaria!AS77</f>
        <v>0</v>
      </c>
      <c r="AT77" s="32">
        <f t="shared" si="140"/>
        <v>-1</v>
      </c>
      <c r="AU77" s="31">
        <f>Ordinaria!AU77</f>
        <v>0</v>
      </c>
      <c r="AV77" s="32">
        <f t="shared" si="141"/>
        <v>-1</v>
      </c>
      <c r="AW77" s="31">
        <f>Ordinaria!AW77</f>
        <v>0</v>
      </c>
      <c r="AX77" s="32">
        <f t="shared" si="142"/>
        <v>-1</v>
      </c>
      <c r="AY77" s="31">
        <f>Ordinaria!AY77</f>
        <v>0</v>
      </c>
      <c r="AZ77" s="32">
        <f t="shared" si="143"/>
        <v>-1</v>
      </c>
      <c r="BA77" s="31">
        <f>Ordinaria!BA77</f>
        <v>0</v>
      </c>
      <c r="BB77" s="32">
        <f t="shared" si="144"/>
        <v>-1</v>
      </c>
      <c r="BC77" s="31">
        <f>Ordinaria!BC77</f>
        <v>0</v>
      </c>
      <c r="BD77" s="32">
        <f t="shared" si="145"/>
        <v>-1</v>
      </c>
      <c r="BE77" s="31">
        <f>Ordinaria!BE77</f>
        <v>0</v>
      </c>
      <c r="BF77" s="32">
        <f t="shared" si="146"/>
        <v>-1</v>
      </c>
      <c r="BG77" s="31">
        <f>Ordinaria!BG77</f>
        <v>0</v>
      </c>
      <c r="BH77" s="32">
        <f t="shared" si="147"/>
        <v>-1</v>
      </c>
      <c r="BI77" s="31">
        <f>Ordinaria!BI77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Ordinaria!B78</f>
        <v>0</v>
      </c>
      <c r="C78" s="31">
        <f>Ordinaria!C78</f>
        <v>0</v>
      </c>
      <c r="D78" s="32">
        <f t="shared" si="119"/>
        <v>-1</v>
      </c>
      <c r="E78" s="31">
        <f>Ordinaria!E78</f>
        <v>0</v>
      </c>
      <c r="F78" s="32">
        <f t="shared" si="120"/>
        <v>-1</v>
      </c>
      <c r="G78" s="31">
        <f>Ordinaria!G78</f>
        <v>0</v>
      </c>
      <c r="H78" s="32">
        <f t="shared" si="121"/>
        <v>-1</v>
      </c>
      <c r="I78" s="31">
        <f>Ordinaria!I78</f>
        <v>0</v>
      </c>
      <c r="J78" s="32">
        <f t="shared" si="122"/>
        <v>-1</v>
      </c>
      <c r="K78" s="31">
        <f>Ordinaria!K78</f>
        <v>0</v>
      </c>
      <c r="L78" s="32">
        <f t="shared" si="123"/>
        <v>-1</v>
      </c>
      <c r="M78" s="31">
        <f>Ordinaria!M78</f>
        <v>0</v>
      </c>
      <c r="N78" s="32">
        <f t="shared" si="124"/>
        <v>-1</v>
      </c>
      <c r="O78" s="31">
        <f>Ordinaria!O78</f>
        <v>0</v>
      </c>
      <c r="P78" s="32">
        <f t="shared" si="125"/>
        <v>-1</v>
      </c>
      <c r="Q78" s="31">
        <f>Ordinaria!Q78</f>
        <v>0</v>
      </c>
      <c r="R78" s="32">
        <f t="shared" si="126"/>
        <v>-1</v>
      </c>
      <c r="S78" s="31">
        <f>Ordinaria!S78</f>
        <v>0</v>
      </c>
      <c r="T78" s="32">
        <f t="shared" si="127"/>
        <v>-1</v>
      </c>
      <c r="U78" s="31">
        <f>Ordinaria!U78</f>
        <v>0</v>
      </c>
      <c r="V78" s="32">
        <f t="shared" si="128"/>
        <v>-1</v>
      </c>
      <c r="W78" s="31">
        <f>Ordinaria!W78</f>
        <v>0</v>
      </c>
      <c r="X78" s="32">
        <f t="shared" si="129"/>
        <v>-1</v>
      </c>
      <c r="Y78" s="31">
        <f>Ordinaria!Y78</f>
        <v>0</v>
      </c>
      <c r="Z78" s="32">
        <f t="shared" si="130"/>
        <v>-1</v>
      </c>
      <c r="AA78" s="31">
        <f>Ordinaria!AA78</f>
        <v>0</v>
      </c>
      <c r="AB78" s="32">
        <f t="shared" si="131"/>
        <v>-1</v>
      </c>
      <c r="AC78" s="31">
        <f>Ordinaria!AC78</f>
        <v>0</v>
      </c>
      <c r="AD78" s="32">
        <f t="shared" si="132"/>
        <v>-1</v>
      </c>
      <c r="AE78" s="31">
        <f>Ordinaria!AE78</f>
        <v>0</v>
      </c>
      <c r="AF78" s="32">
        <f t="shared" si="133"/>
        <v>-1</v>
      </c>
      <c r="AG78" s="31">
        <f>Ordinaria!AG78</f>
        <v>0</v>
      </c>
      <c r="AH78" s="32">
        <f t="shared" si="134"/>
        <v>-1</v>
      </c>
      <c r="AI78" s="31">
        <f>Ordinaria!AI78</f>
        <v>0</v>
      </c>
      <c r="AJ78" s="32">
        <f t="shared" si="135"/>
        <v>-1</v>
      </c>
      <c r="AK78" s="31">
        <f>Ordinaria!AK78</f>
        <v>0</v>
      </c>
      <c r="AL78" s="32">
        <f t="shared" si="136"/>
        <v>-1</v>
      </c>
      <c r="AM78" s="31">
        <f>Ordinaria!AM78</f>
        <v>0</v>
      </c>
      <c r="AN78" s="32">
        <f t="shared" si="137"/>
        <v>-1</v>
      </c>
      <c r="AO78" s="31">
        <f>Ordinaria!AO78</f>
        <v>0</v>
      </c>
      <c r="AP78" s="32">
        <f t="shared" si="138"/>
        <v>-1</v>
      </c>
      <c r="AQ78" s="31">
        <f>Ordinaria!AQ78</f>
        <v>0</v>
      </c>
      <c r="AR78" s="32">
        <f t="shared" si="139"/>
        <v>-1</v>
      </c>
      <c r="AS78" s="31">
        <f>Ordinaria!AS78</f>
        <v>0</v>
      </c>
      <c r="AT78" s="32">
        <f t="shared" si="140"/>
        <v>-1</v>
      </c>
      <c r="AU78" s="31">
        <f>Ordinaria!AU78</f>
        <v>0</v>
      </c>
      <c r="AV78" s="32">
        <f t="shared" si="141"/>
        <v>-1</v>
      </c>
      <c r="AW78" s="31">
        <f>Ordinaria!AW78</f>
        <v>0</v>
      </c>
      <c r="AX78" s="32">
        <f t="shared" si="142"/>
        <v>-1</v>
      </c>
      <c r="AY78" s="31">
        <f>Ordinaria!AY78</f>
        <v>0</v>
      </c>
      <c r="AZ78" s="32">
        <f t="shared" si="143"/>
        <v>-1</v>
      </c>
      <c r="BA78" s="31">
        <f>Ordinaria!BA78</f>
        <v>0</v>
      </c>
      <c r="BB78" s="32">
        <f t="shared" si="144"/>
        <v>-1</v>
      </c>
      <c r="BC78" s="31">
        <f>Ordinaria!BC78</f>
        <v>0</v>
      </c>
      <c r="BD78" s="32">
        <f t="shared" si="145"/>
        <v>-1</v>
      </c>
      <c r="BE78" s="31">
        <f>Ordinaria!BE78</f>
        <v>0</v>
      </c>
      <c r="BF78" s="32">
        <f t="shared" si="146"/>
        <v>-1</v>
      </c>
      <c r="BG78" s="31">
        <f>Ordinaria!BG78</f>
        <v>0</v>
      </c>
      <c r="BH78" s="32">
        <f t="shared" si="147"/>
        <v>-1</v>
      </c>
      <c r="BI78" s="31">
        <f>Ordinaria!BI78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Ordinaria!B79</f>
        <v>0</v>
      </c>
      <c r="C79" s="31">
        <f>Ordinaria!C79</f>
        <v>0</v>
      </c>
      <c r="D79" s="32">
        <f t="shared" si="119"/>
        <v>-1</v>
      </c>
      <c r="E79" s="31">
        <f>Ordinaria!E79</f>
        <v>0</v>
      </c>
      <c r="F79" s="32">
        <f t="shared" si="120"/>
        <v>-1</v>
      </c>
      <c r="G79" s="31">
        <f>Ordinaria!G79</f>
        <v>0</v>
      </c>
      <c r="H79" s="32">
        <f t="shared" si="121"/>
        <v>-1</v>
      </c>
      <c r="I79" s="31">
        <f>Ordinaria!I79</f>
        <v>0</v>
      </c>
      <c r="J79" s="32">
        <f t="shared" si="122"/>
        <v>-1</v>
      </c>
      <c r="K79" s="31">
        <f>Ordinaria!K79</f>
        <v>0</v>
      </c>
      <c r="L79" s="32">
        <f t="shared" si="123"/>
        <v>-1</v>
      </c>
      <c r="M79" s="31">
        <f>Ordinaria!M79</f>
        <v>0</v>
      </c>
      <c r="N79" s="32">
        <f t="shared" si="124"/>
        <v>-1</v>
      </c>
      <c r="O79" s="31">
        <f>Ordinaria!O79</f>
        <v>0</v>
      </c>
      <c r="P79" s="32">
        <f t="shared" si="125"/>
        <v>-1</v>
      </c>
      <c r="Q79" s="31">
        <f>Ordinaria!Q79</f>
        <v>0</v>
      </c>
      <c r="R79" s="32">
        <f t="shared" si="126"/>
        <v>-1</v>
      </c>
      <c r="S79" s="31">
        <f>Ordinaria!S79</f>
        <v>0</v>
      </c>
      <c r="T79" s="32">
        <f t="shared" si="127"/>
        <v>-1</v>
      </c>
      <c r="U79" s="31">
        <f>Ordinaria!U79</f>
        <v>0</v>
      </c>
      <c r="V79" s="32">
        <f t="shared" si="128"/>
        <v>-1</v>
      </c>
      <c r="W79" s="31">
        <f>Ordinaria!W79</f>
        <v>0</v>
      </c>
      <c r="X79" s="32">
        <f t="shared" si="129"/>
        <v>-1</v>
      </c>
      <c r="Y79" s="31">
        <f>Ordinaria!Y79</f>
        <v>0</v>
      </c>
      <c r="Z79" s="32">
        <f t="shared" si="130"/>
        <v>-1</v>
      </c>
      <c r="AA79" s="31">
        <f>Ordinaria!AA79</f>
        <v>0</v>
      </c>
      <c r="AB79" s="32">
        <f t="shared" si="131"/>
        <v>-1</v>
      </c>
      <c r="AC79" s="31">
        <f>Ordinaria!AC79</f>
        <v>0</v>
      </c>
      <c r="AD79" s="32">
        <f t="shared" si="132"/>
        <v>-1</v>
      </c>
      <c r="AE79" s="31">
        <f>Ordinaria!AE79</f>
        <v>0</v>
      </c>
      <c r="AF79" s="32">
        <f t="shared" si="133"/>
        <v>-1</v>
      </c>
      <c r="AG79" s="31">
        <f>Ordinaria!AG79</f>
        <v>0</v>
      </c>
      <c r="AH79" s="32">
        <f t="shared" si="134"/>
        <v>-1</v>
      </c>
      <c r="AI79" s="31">
        <f>Ordinaria!AI79</f>
        <v>0</v>
      </c>
      <c r="AJ79" s="32">
        <f t="shared" si="135"/>
        <v>-1</v>
      </c>
      <c r="AK79" s="31">
        <f>Ordinaria!AK79</f>
        <v>0</v>
      </c>
      <c r="AL79" s="32">
        <f t="shared" si="136"/>
        <v>-1</v>
      </c>
      <c r="AM79" s="31">
        <f>Ordinaria!AM79</f>
        <v>0</v>
      </c>
      <c r="AN79" s="32">
        <f t="shared" si="137"/>
        <v>-1</v>
      </c>
      <c r="AO79" s="31">
        <f>Ordinaria!AO79</f>
        <v>0</v>
      </c>
      <c r="AP79" s="32">
        <f t="shared" si="138"/>
        <v>-1</v>
      </c>
      <c r="AQ79" s="31">
        <f>Ordinaria!AQ79</f>
        <v>0</v>
      </c>
      <c r="AR79" s="32">
        <f t="shared" si="139"/>
        <v>-1</v>
      </c>
      <c r="AS79" s="31">
        <f>Ordinaria!AS79</f>
        <v>0</v>
      </c>
      <c r="AT79" s="32">
        <f t="shared" si="140"/>
        <v>-1</v>
      </c>
      <c r="AU79" s="31">
        <f>Ordinaria!AU79</f>
        <v>0</v>
      </c>
      <c r="AV79" s="32">
        <f t="shared" si="141"/>
        <v>-1</v>
      </c>
      <c r="AW79" s="31">
        <f>Ordinaria!AW79</f>
        <v>0</v>
      </c>
      <c r="AX79" s="32">
        <f t="shared" si="142"/>
        <v>-1</v>
      </c>
      <c r="AY79" s="31">
        <f>Ordinaria!AY79</f>
        <v>0</v>
      </c>
      <c r="AZ79" s="32">
        <f t="shared" si="143"/>
        <v>-1</v>
      </c>
      <c r="BA79" s="31">
        <f>Ordinaria!BA79</f>
        <v>0</v>
      </c>
      <c r="BB79" s="32">
        <f t="shared" si="144"/>
        <v>-1</v>
      </c>
      <c r="BC79" s="31">
        <f>Ordinaria!BC79</f>
        <v>0</v>
      </c>
      <c r="BD79" s="32">
        <f t="shared" si="145"/>
        <v>-1</v>
      </c>
      <c r="BE79" s="31">
        <f>Ordinaria!BE79</f>
        <v>0</v>
      </c>
      <c r="BF79" s="32">
        <f t="shared" si="146"/>
        <v>-1</v>
      </c>
      <c r="BG79" s="31">
        <f>Ordinaria!BG79</f>
        <v>0</v>
      </c>
      <c r="BH79" s="32">
        <f t="shared" si="147"/>
        <v>-1</v>
      </c>
      <c r="BI79" s="31">
        <f>Ordinaria!BI79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Ordinaria!B80</f>
        <v>0</v>
      </c>
      <c r="C80" s="31">
        <f>Ordinaria!C80</f>
        <v>0</v>
      </c>
      <c r="D80" s="32">
        <f t="shared" si="119"/>
        <v>-1</v>
      </c>
      <c r="E80" s="31">
        <f>Ordinaria!E80</f>
        <v>0</v>
      </c>
      <c r="F80" s="32">
        <f t="shared" si="120"/>
        <v>-1</v>
      </c>
      <c r="G80" s="31">
        <f>Ordinaria!G80</f>
        <v>0</v>
      </c>
      <c r="H80" s="32">
        <f t="shared" si="121"/>
        <v>-1</v>
      </c>
      <c r="I80" s="31">
        <f>Ordinaria!I80</f>
        <v>0</v>
      </c>
      <c r="J80" s="32">
        <f t="shared" si="122"/>
        <v>-1</v>
      </c>
      <c r="K80" s="31">
        <f>Ordinaria!K80</f>
        <v>0</v>
      </c>
      <c r="L80" s="32">
        <f t="shared" si="123"/>
        <v>-1</v>
      </c>
      <c r="M80" s="31">
        <f>Ordinaria!M80</f>
        <v>0</v>
      </c>
      <c r="N80" s="32">
        <f t="shared" si="124"/>
        <v>-1</v>
      </c>
      <c r="O80" s="31">
        <f>Ordinaria!O80</f>
        <v>0</v>
      </c>
      <c r="P80" s="32">
        <f t="shared" si="125"/>
        <v>-1</v>
      </c>
      <c r="Q80" s="31">
        <f>Ordinaria!Q80</f>
        <v>0</v>
      </c>
      <c r="R80" s="32">
        <f t="shared" si="126"/>
        <v>-1</v>
      </c>
      <c r="S80" s="31">
        <f>Ordinaria!S80</f>
        <v>0</v>
      </c>
      <c r="T80" s="32">
        <f t="shared" si="127"/>
        <v>-1</v>
      </c>
      <c r="U80" s="31">
        <f>Ordinaria!U80</f>
        <v>0</v>
      </c>
      <c r="V80" s="32">
        <f t="shared" si="128"/>
        <v>-1</v>
      </c>
      <c r="W80" s="31">
        <f>Ordinaria!W80</f>
        <v>0</v>
      </c>
      <c r="X80" s="32">
        <f t="shared" si="129"/>
        <v>-1</v>
      </c>
      <c r="Y80" s="31">
        <f>Ordinaria!Y80</f>
        <v>0</v>
      </c>
      <c r="Z80" s="32">
        <f t="shared" si="130"/>
        <v>-1</v>
      </c>
      <c r="AA80" s="31">
        <f>Ordinaria!AA80</f>
        <v>0</v>
      </c>
      <c r="AB80" s="32">
        <f t="shared" si="131"/>
        <v>-1</v>
      </c>
      <c r="AC80" s="31">
        <f>Ordinaria!AC80</f>
        <v>0</v>
      </c>
      <c r="AD80" s="32">
        <f t="shared" si="132"/>
        <v>-1</v>
      </c>
      <c r="AE80" s="31">
        <f>Ordinaria!AE80</f>
        <v>0</v>
      </c>
      <c r="AF80" s="32">
        <f t="shared" si="133"/>
        <v>-1</v>
      </c>
      <c r="AG80" s="31">
        <f>Ordinaria!AG80</f>
        <v>0</v>
      </c>
      <c r="AH80" s="32">
        <f t="shared" si="134"/>
        <v>-1</v>
      </c>
      <c r="AI80" s="31">
        <f>Ordinaria!AI80</f>
        <v>0</v>
      </c>
      <c r="AJ80" s="32">
        <f t="shared" si="135"/>
        <v>-1</v>
      </c>
      <c r="AK80" s="31">
        <f>Ordinaria!AK80</f>
        <v>0</v>
      </c>
      <c r="AL80" s="32">
        <f t="shared" si="136"/>
        <v>-1</v>
      </c>
      <c r="AM80" s="31">
        <f>Ordinaria!AM80</f>
        <v>0</v>
      </c>
      <c r="AN80" s="32">
        <f t="shared" si="137"/>
        <v>-1</v>
      </c>
      <c r="AO80" s="31">
        <f>Ordinaria!AO80</f>
        <v>0</v>
      </c>
      <c r="AP80" s="32">
        <f t="shared" si="138"/>
        <v>-1</v>
      </c>
      <c r="AQ80" s="31">
        <f>Ordinaria!AQ80</f>
        <v>0</v>
      </c>
      <c r="AR80" s="32">
        <f t="shared" si="139"/>
        <v>-1</v>
      </c>
      <c r="AS80" s="31">
        <f>Ordinaria!AS80</f>
        <v>0</v>
      </c>
      <c r="AT80" s="32">
        <f t="shared" si="140"/>
        <v>-1</v>
      </c>
      <c r="AU80" s="31">
        <f>Ordinaria!AU80</f>
        <v>0</v>
      </c>
      <c r="AV80" s="32">
        <f t="shared" si="141"/>
        <v>-1</v>
      </c>
      <c r="AW80" s="31">
        <f>Ordinaria!AW80</f>
        <v>0</v>
      </c>
      <c r="AX80" s="32">
        <f t="shared" si="142"/>
        <v>-1</v>
      </c>
      <c r="AY80" s="31">
        <f>Ordinaria!AY80</f>
        <v>0</v>
      </c>
      <c r="AZ80" s="32">
        <f t="shared" si="143"/>
        <v>-1</v>
      </c>
      <c r="BA80" s="31">
        <f>Ordinaria!BA80</f>
        <v>0</v>
      </c>
      <c r="BB80" s="32">
        <f t="shared" si="144"/>
        <v>-1</v>
      </c>
      <c r="BC80" s="31">
        <f>Ordinaria!BC80</f>
        <v>0</v>
      </c>
      <c r="BD80" s="32">
        <f t="shared" si="145"/>
        <v>-1</v>
      </c>
      <c r="BE80" s="31">
        <f>Ordinaria!BE80</f>
        <v>0</v>
      </c>
      <c r="BF80" s="32">
        <f t="shared" si="146"/>
        <v>-1</v>
      </c>
      <c r="BG80" s="31">
        <f>Ordinaria!BG80</f>
        <v>0</v>
      </c>
      <c r="BH80" s="32">
        <f t="shared" si="147"/>
        <v>-1</v>
      </c>
      <c r="BI80" s="31">
        <f>Ordinaria!BI80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Ordinaria!B81</f>
        <v>0</v>
      </c>
      <c r="C81" s="31">
        <f>Ordinaria!C81</f>
        <v>0</v>
      </c>
      <c r="D81" s="32">
        <f t="shared" si="119"/>
        <v>-1</v>
      </c>
      <c r="E81" s="31">
        <f>Ordinaria!E81</f>
        <v>0</v>
      </c>
      <c r="F81" s="32">
        <f t="shared" si="120"/>
        <v>-1</v>
      </c>
      <c r="G81" s="31">
        <f>Ordinaria!G81</f>
        <v>0</v>
      </c>
      <c r="H81" s="32">
        <f t="shared" si="121"/>
        <v>-1</v>
      </c>
      <c r="I81" s="31">
        <f>Ordinaria!I81</f>
        <v>0</v>
      </c>
      <c r="J81" s="32">
        <f t="shared" si="122"/>
        <v>-1</v>
      </c>
      <c r="K81" s="31">
        <f>Ordinaria!K81</f>
        <v>0</v>
      </c>
      <c r="L81" s="32">
        <f t="shared" si="123"/>
        <v>-1</v>
      </c>
      <c r="M81" s="31">
        <f>Ordinaria!M81</f>
        <v>0</v>
      </c>
      <c r="N81" s="32">
        <f t="shared" si="124"/>
        <v>-1</v>
      </c>
      <c r="O81" s="31">
        <f>Ordinaria!O81</f>
        <v>0</v>
      </c>
      <c r="P81" s="32">
        <f t="shared" si="125"/>
        <v>-1</v>
      </c>
      <c r="Q81" s="31">
        <f>Ordinaria!Q81</f>
        <v>0</v>
      </c>
      <c r="R81" s="32">
        <f t="shared" si="126"/>
        <v>-1</v>
      </c>
      <c r="S81" s="31">
        <f>Ordinaria!S81</f>
        <v>0</v>
      </c>
      <c r="T81" s="32">
        <f t="shared" si="127"/>
        <v>-1</v>
      </c>
      <c r="U81" s="31">
        <f>Ordinaria!U81</f>
        <v>0</v>
      </c>
      <c r="V81" s="32">
        <f t="shared" si="128"/>
        <v>-1</v>
      </c>
      <c r="W81" s="31">
        <f>Ordinaria!W81</f>
        <v>0</v>
      </c>
      <c r="X81" s="32">
        <f t="shared" si="129"/>
        <v>-1</v>
      </c>
      <c r="Y81" s="31">
        <f>Ordinaria!Y81</f>
        <v>0</v>
      </c>
      <c r="Z81" s="32">
        <f t="shared" si="130"/>
        <v>-1</v>
      </c>
      <c r="AA81" s="31">
        <f>Ordinaria!AA81</f>
        <v>0</v>
      </c>
      <c r="AB81" s="32">
        <f t="shared" si="131"/>
        <v>-1</v>
      </c>
      <c r="AC81" s="31">
        <f>Ordinaria!AC81</f>
        <v>0</v>
      </c>
      <c r="AD81" s="32">
        <f t="shared" si="132"/>
        <v>-1</v>
      </c>
      <c r="AE81" s="31">
        <f>Ordinaria!AE81</f>
        <v>0</v>
      </c>
      <c r="AF81" s="32">
        <f t="shared" si="133"/>
        <v>-1</v>
      </c>
      <c r="AG81" s="31">
        <f>Ordinaria!AG81</f>
        <v>0</v>
      </c>
      <c r="AH81" s="32">
        <f t="shared" si="134"/>
        <v>-1</v>
      </c>
      <c r="AI81" s="31">
        <f>Ordinaria!AI81</f>
        <v>0</v>
      </c>
      <c r="AJ81" s="32">
        <f t="shared" si="135"/>
        <v>-1</v>
      </c>
      <c r="AK81" s="31">
        <f>Ordinaria!AK81</f>
        <v>0</v>
      </c>
      <c r="AL81" s="32">
        <f t="shared" si="136"/>
        <v>-1</v>
      </c>
      <c r="AM81" s="31">
        <f>Ordinaria!AM81</f>
        <v>0</v>
      </c>
      <c r="AN81" s="32">
        <f t="shared" si="137"/>
        <v>-1</v>
      </c>
      <c r="AO81" s="31">
        <f>Ordinaria!AO81</f>
        <v>0</v>
      </c>
      <c r="AP81" s="32">
        <f t="shared" si="138"/>
        <v>-1</v>
      </c>
      <c r="AQ81" s="31">
        <f>Ordinaria!AQ81</f>
        <v>0</v>
      </c>
      <c r="AR81" s="32">
        <f t="shared" si="139"/>
        <v>-1</v>
      </c>
      <c r="AS81" s="31">
        <f>Ordinaria!AS81</f>
        <v>0</v>
      </c>
      <c r="AT81" s="32">
        <f t="shared" si="140"/>
        <v>-1</v>
      </c>
      <c r="AU81" s="31">
        <f>Ordinaria!AU81</f>
        <v>0</v>
      </c>
      <c r="AV81" s="32">
        <f t="shared" si="141"/>
        <v>-1</v>
      </c>
      <c r="AW81" s="31">
        <f>Ordinaria!AW81</f>
        <v>0</v>
      </c>
      <c r="AX81" s="32">
        <f t="shared" si="142"/>
        <v>-1</v>
      </c>
      <c r="AY81" s="31">
        <f>Ordinaria!AY81</f>
        <v>0</v>
      </c>
      <c r="AZ81" s="32">
        <f t="shared" si="143"/>
        <v>-1</v>
      </c>
      <c r="BA81" s="31">
        <f>Ordinaria!BA81</f>
        <v>0</v>
      </c>
      <c r="BB81" s="32">
        <f t="shared" si="144"/>
        <v>-1</v>
      </c>
      <c r="BC81" s="31">
        <f>Ordinaria!BC81</f>
        <v>0</v>
      </c>
      <c r="BD81" s="32">
        <f t="shared" si="145"/>
        <v>-1</v>
      </c>
      <c r="BE81" s="31">
        <f>Ordinaria!BE81</f>
        <v>0</v>
      </c>
      <c r="BF81" s="32">
        <f t="shared" si="146"/>
        <v>-1</v>
      </c>
      <c r="BG81" s="31">
        <f>Ordinaria!BG81</f>
        <v>0</v>
      </c>
      <c r="BH81" s="32">
        <f t="shared" si="147"/>
        <v>-1</v>
      </c>
      <c r="BI81" s="31">
        <f>Ordinaria!BI81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Ordinaria!B82</f>
        <v>0</v>
      </c>
      <c r="C82" s="31">
        <f>Ordinaria!C82</f>
        <v>0</v>
      </c>
      <c r="D82" s="32">
        <f t="shared" si="119"/>
        <v>-1</v>
      </c>
      <c r="E82" s="31">
        <f>Ordinaria!E82</f>
        <v>0</v>
      </c>
      <c r="F82" s="32">
        <f t="shared" si="120"/>
        <v>-1</v>
      </c>
      <c r="G82" s="31">
        <f>Ordinaria!G82</f>
        <v>0</v>
      </c>
      <c r="H82" s="32">
        <f t="shared" si="121"/>
        <v>-1</v>
      </c>
      <c r="I82" s="31">
        <f>Ordinaria!I82</f>
        <v>0</v>
      </c>
      <c r="J82" s="32">
        <f t="shared" si="122"/>
        <v>-1</v>
      </c>
      <c r="K82" s="31">
        <f>Ordinaria!K82</f>
        <v>0</v>
      </c>
      <c r="L82" s="32">
        <f t="shared" si="123"/>
        <v>-1</v>
      </c>
      <c r="M82" s="31">
        <f>Ordinaria!M82</f>
        <v>0</v>
      </c>
      <c r="N82" s="32">
        <f t="shared" si="124"/>
        <v>-1</v>
      </c>
      <c r="O82" s="31">
        <f>Ordinaria!O82</f>
        <v>0</v>
      </c>
      <c r="P82" s="32">
        <f t="shared" si="125"/>
        <v>-1</v>
      </c>
      <c r="Q82" s="31">
        <f>Ordinaria!Q82</f>
        <v>0</v>
      </c>
      <c r="R82" s="32">
        <f t="shared" si="126"/>
        <v>-1</v>
      </c>
      <c r="S82" s="31">
        <f>Ordinaria!S82</f>
        <v>0</v>
      </c>
      <c r="T82" s="32">
        <f t="shared" si="127"/>
        <v>-1</v>
      </c>
      <c r="U82" s="31">
        <f>Ordinaria!U82</f>
        <v>0</v>
      </c>
      <c r="V82" s="32">
        <f t="shared" si="128"/>
        <v>-1</v>
      </c>
      <c r="W82" s="31">
        <f>Ordinaria!W82</f>
        <v>0</v>
      </c>
      <c r="X82" s="32">
        <f t="shared" si="129"/>
        <v>-1</v>
      </c>
      <c r="Y82" s="31">
        <f>Ordinaria!Y82</f>
        <v>0</v>
      </c>
      <c r="Z82" s="32">
        <f t="shared" si="130"/>
        <v>-1</v>
      </c>
      <c r="AA82" s="31">
        <f>Ordinaria!AA82</f>
        <v>0</v>
      </c>
      <c r="AB82" s="32">
        <f t="shared" si="131"/>
        <v>-1</v>
      </c>
      <c r="AC82" s="31">
        <f>Ordinaria!AC82</f>
        <v>0</v>
      </c>
      <c r="AD82" s="32">
        <f t="shared" si="132"/>
        <v>-1</v>
      </c>
      <c r="AE82" s="31">
        <f>Ordinaria!AE82</f>
        <v>0</v>
      </c>
      <c r="AF82" s="32">
        <f t="shared" si="133"/>
        <v>-1</v>
      </c>
      <c r="AG82" s="31">
        <f>Ordinaria!AG82</f>
        <v>0</v>
      </c>
      <c r="AH82" s="32">
        <f t="shared" si="134"/>
        <v>-1</v>
      </c>
      <c r="AI82" s="31">
        <f>Ordinaria!AI82</f>
        <v>0</v>
      </c>
      <c r="AJ82" s="32">
        <f t="shared" si="135"/>
        <v>-1</v>
      </c>
      <c r="AK82" s="31">
        <f>Ordinaria!AK82</f>
        <v>0</v>
      </c>
      <c r="AL82" s="32">
        <f t="shared" si="136"/>
        <v>-1</v>
      </c>
      <c r="AM82" s="31">
        <f>Ordinaria!AM82</f>
        <v>0</v>
      </c>
      <c r="AN82" s="32">
        <f t="shared" si="137"/>
        <v>-1</v>
      </c>
      <c r="AO82" s="31">
        <f>Ordinaria!AO82</f>
        <v>0</v>
      </c>
      <c r="AP82" s="32">
        <f t="shared" si="138"/>
        <v>-1</v>
      </c>
      <c r="AQ82" s="31">
        <f>Ordinaria!AQ82</f>
        <v>0</v>
      </c>
      <c r="AR82" s="32">
        <f t="shared" si="139"/>
        <v>-1</v>
      </c>
      <c r="AS82" s="31">
        <f>Ordinaria!AS82</f>
        <v>0</v>
      </c>
      <c r="AT82" s="32">
        <f t="shared" si="140"/>
        <v>-1</v>
      </c>
      <c r="AU82" s="31">
        <f>Ordinaria!AU82</f>
        <v>0</v>
      </c>
      <c r="AV82" s="32">
        <f t="shared" si="141"/>
        <v>-1</v>
      </c>
      <c r="AW82" s="31">
        <f>Ordinaria!AW82</f>
        <v>0</v>
      </c>
      <c r="AX82" s="32">
        <f t="shared" si="142"/>
        <v>-1</v>
      </c>
      <c r="AY82" s="31">
        <f>Ordinaria!AY82</f>
        <v>0</v>
      </c>
      <c r="AZ82" s="32">
        <f t="shared" si="143"/>
        <v>-1</v>
      </c>
      <c r="BA82" s="31">
        <f>Ordinaria!BA82</f>
        <v>0</v>
      </c>
      <c r="BB82" s="32">
        <f t="shared" si="144"/>
        <v>-1</v>
      </c>
      <c r="BC82" s="31">
        <f>Ordinaria!BC82</f>
        <v>0</v>
      </c>
      <c r="BD82" s="32">
        <f t="shared" si="145"/>
        <v>-1</v>
      </c>
      <c r="BE82" s="31">
        <f>Ordinaria!BE82</f>
        <v>0</v>
      </c>
      <c r="BF82" s="32">
        <f t="shared" si="146"/>
        <v>-1</v>
      </c>
      <c r="BG82" s="31">
        <f>Ordinaria!BG82</f>
        <v>0</v>
      </c>
      <c r="BH82" s="32">
        <f t="shared" si="147"/>
        <v>-1</v>
      </c>
      <c r="BI82" s="31">
        <f>Ordinaria!BI82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Ordinaria!B83</f>
        <v>0</v>
      </c>
      <c r="C83" s="31">
        <f>Ordinaria!C83</f>
        <v>0</v>
      </c>
      <c r="D83" s="32">
        <f t="shared" si="119"/>
        <v>-1</v>
      </c>
      <c r="E83" s="31">
        <f>Ordinaria!E83</f>
        <v>0</v>
      </c>
      <c r="F83" s="32">
        <f t="shared" si="120"/>
        <v>-1</v>
      </c>
      <c r="G83" s="31">
        <f>Ordinaria!G83</f>
        <v>0</v>
      </c>
      <c r="H83" s="32">
        <f t="shared" si="121"/>
        <v>-1</v>
      </c>
      <c r="I83" s="31">
        <f>Ordinaria!I83</f>
        <v>0</v>
      </c>
      <c r="J83" s="32">
        <f t="shared" si="122"/>
        <v>-1</v>
      </c>
      <c r="K83" s="31">
        <f>Ordinaria!K83</f>
        <v>0</v>
      </c>
      <c r="L83" s="32">
        <f t="shared" si="123"/>
        <v>-1</v>
      </c>
      <c r="M83" s="31">
        <f>Ordinaria!M83</f>
        <v>0</v>
      </c>
      <c r="N83" s="32">
        <f t="shared" si="124"/>
        <v>-1</v>
      </c>
      <c r="O83" s="31">
        <f>Ordinaria!O83</f>
        <v>0</v>
      </c>
      <c r="P83" s="32">
        <f t="shared" si="125"/>
        <v>-1</v>
      </c>
      <c r="Q83" s="31">
        <f>Ordinaria!Q83</f>
        <v>0</v>
      </c>
      <c r="R83" s="32">
        <f t="shared" si="126"/>
        <v>-1</v>
      </c>
      <c r="S83" s="31">
        <f>Ordinaria!S83</f>
        <v>0</v>
      </c>
      <c r="T83" s="32">
        <f t="shared" si="127"/>
        <v>-1</v>
      </c>
      <c r="U83" s="31">
        <f>Ordinaria!U83</f>
        <v>0</v>
      </c>
      <c r="V83" s="32">
        <f t="shared" si="128"/>
        <v>-1</v>
      </c>
      <c r="W83" s="31">
        <f>Ordinaria!W83</f>
        <v>0</v>
      </c>
      <c r="X83" s="32">
        <f t="shared" si="129"/>
        <v>-1</v>
      </c>
      <c r="Y83" s="31">
        <f>Ordinaria!Y83</f>
        <v>0</v>
      </c>
      <c r="Z83" s="32">
        <f t="shared" si="130"/>
        <v>-1</v>
      </c>
      <c r="AA83" s="31">
        <f>Ordinaria!AA83</f>
        <v>0</v>
      </c>
      <c r="AB83" s="32">
        <f t="shared" si="131"/>
        <v>-1</v>
      </c>
      <c r="AC83" s="31">
        <f>Ordinaria!AC83</f>
        <v>0</v>
      </c>
      <c r="AD83" s="32">
        <f t="shared" si="132"/>
        <v>-1</v>
      </c>
      <c r="AE83" s="31">
        <f>Ordinaria!AE83</f>
        <v>0</v>
      </c>
      <c r="AF83" s="32">
        <f t="shared" si="133"/>
        <v>-1</v>
      </c>
      <c r="AG83" s="31">
        <f>Ordinaria!AG83</f>
        <v>0</v>
      </c>
      <c r="AH83" s="32">
        <f t="shared" si="134"/>
        <v>-1</v>
      </c>
      <c r="AI83" s="31">
        <f>Ordinaria!AI83</f>
        <v>0</v>
      </c>
      <c r="AJ83" s="32">
        <f t="shared" si="135"/>
        <v>-1</v>
      </c>
      <c r="AK83" s="31">
        <f>Ordinaria!AK83</f>
        <v>0</v>
      </c>
      <c r="AL83" s="32">
        <f t="shared" si="136"/>
        <v>-1</v>
      </c>
      <c r="AM83" s="31">
        <f>Ordinaria!AM83</f>
        <v>0</v>
      </c>
      <c r="AN83" s="32">
        <f t="shared" si="137"/>
        <v>-1</v>
      </c>
      <c r="AO83" s="31">
        <f>Ordinaria!AO83</f>
        <v>0</v>
      </c>
      <c r="AP83" s="32">
        <f t="shared" si="138"/>
        <v>-1</v>
      </c>
      <c r="AQ83" s="31">
        <f>Ordinaria!AQ83</f>
        <v>0</v>
      </c>
      <c r="AR83" s="32">
        <f t="shared" si="139"/>
        <v>-1</v>
      </c>
      <c r="AS83" s="31">
        <f>Ordinaria!AS83</f>
        <v>0</v>
      </c>
      <c r="AT83" s="32">
        <f t="shared" si="140"/>
        <v>-1</v>
      </c>
      <c r="AU83" s="31">
        <f>Ordinaria!AU83</f>
        <v>0</v>
      </c>
      <c r="AV83" s="32">
        <f t="shared" si="141"/>
        <v>-1</v>
      </c>
      <c r="AW83" s="31">
        <f>Ordinaria!AW83</f>
        <v>0</v>
      </c>
      <c r="AX83" s="32">
        <f t="shared" si="142"/>
        <v>-1</v>
      </c>
      <c r="AY83" s="31">
        <f>Ordinaria!AY83</f>
        <v>0</v>
      </c>
      <c r="AZ83" s="32">
        <f t="shared" si="143"/>
        <v>-1</v>
      </c>
      <c r="BA83" s="31">
        <f>Ordinaria!BA83</f>
        <v>0</v>
      </c>
      <c r="BB83" s="32">
        <f t="shared" si="144"/>
        <v>-1</v>
      </c>
      <c r="BC83" s="31">
        <f>Ordinaria!BC83</f>
        <v>0</v>
      </c>
      <c r="BD83" s="32">
        <f t="shared" si="145"/>
        <v>-1</v>
      </c>
      <c r="BE83" s="31">
        <f>Ordinaria!BE83</f>
        <v>0</v>
      </c>
      <c r="BF83" s="32">
        <f t="shared" si="146"/>
        <v>-1</v>
      </c>
      <c r="BG83" s="31">
        <f>Ordinaria!BG83</f>
        <v>0</v>
      </c>
      <c r="BH83" s="32">
        <f t="shared" si="147"/>
        <v>-1</v>
      </c>
      <c r="BI83" s="31">
        <f>Ordinaria!BI83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Ordinaria!B84</f>
        <v>0</v>
      </c>
      <c r="C84" s="31">
        <f>Ordinaria!C84</f>
        <v>0</v>
      </c>
      <c r="D84" s="32">
        <f t="shared" si="119"/>
        <v>-1</v>
      </c>
      <c r="E84" s="31">
        <f>Ordinaria!E84</f>
        <v>0</v>
      </c>
      <c r="F84" s="32">
        <f t="shared" si="120"/>
        <v>-1</v>
      </c>
      <c r="G84" s="31">
        <f>Ordinaria!G84</f>
        <v>0</v>
      </c>
      <c r="H84" s="32">
        <f t="shared" si="121"/>
        <v>-1</v>
      </c>
      <c r="I84" s="31">
        <f>Ordinaria!I84</f>
        <v>0</v>
      </c>
      <c r="J84" s="32">
        <f t="shared" si="122"/>
        <v>-1</v>
      </c>
      <c r="K84" s="31">
        <f>Ordinaria!K84</f>
        <v>0</v>
      </c>
      <c r="L84" s="32">
        <f t="shared" si="123"/>
        <v>-1</v>
      </c>
      <c r="M84" s="31">
        <f>Ordinaria!M84</f>
        <v>0</v>
      </c>
      <c r="N84" s="32">
        <f t="shared" si="124"/>
        <v>-1</v>
      </c>
      <c r="O84" s="31">
        <f>Ordinaria!O84</f>
        <v>0</v>
      </c>
      <c r="P84" s="32">
        <f t="shared" si="125"/>
        <v>-1</v>
      </c>
      <c r="Q84" s="31">
        <f>Ordinaria!Q84</f>
        <v>0</v>
      </c>
      <c r="R84" s="32">
        <f t="shared" si="126"/>
        <v>-1</v>
      </c>
      <c r="S84" s="31">
        <f>Ordinaria!S84</f>
        <v>0</v>
      </c>
      <c r="T84" s="32">
        <f t="shared" si="127"/>
        <v>-1</v>
      </c>
      <c r="U84" s="31">
        <f>Ordinaria!U84</f>
        <v>0</v>
      </c>
      <c r="V84" s="32">
        <f t="shared" si="128"/>
        <v>-1</v>
      </c>
      <c r="W84" s="31">
        <f>Ordinaria!W84</f>
        <v>0</v>
      </c>
      <c r="X84" s="32">
        <f t="shared" si="129"/>
        <v>-1</v>
      </c>
      <c r="Y84" s="31">
        <f>Ordinaria!Y84</f>
        <v>0</v>
      </c>
      <c r="Z84" s="32">
        <f t="shared" si="130"/>
        <v>-1</v>
      </c>
      <c r="AA84" s="31">
        <f>Ordinaria!AA84</f>
        <v>0</v>
      </c>
      <c r="AB84" s="32">
        <f t="shared" si="131"/>
        <v>-1</v>
      </c>
      <c r="AC84" s="31">
        <f>Ordinaria!AC84</f>
        <v>0</v>
      </c>
      <c r="AD84" s="32">
        <f t="shared" si="132"/>
        <v>-1</v>
      </c>
      <c r="AE84" s="31">
        <f>Ordinaria!AE84</f>
        <v>0</v>
      </c>
      <c r="AF84" s="32">
        <f t="shared" si="133"/>
        <v>-1</v>
      </c>
      <c r="AG84" s="31">
        <f>Ordinaria!AG84</f>
        <v>0</v>
      </c>
      <c r="AH84" s="32">
        <f t="shared" si="134"/>
        <v>-1</v>
      </c>
      <c r="AI84" s="31">
        <f>Ordinaria!AI84</f>
        <v>0</v>
      </c>
      <c r="AJ84" s="32">
        <f t="shared" si="135"/>
        <v>-1</v>
      </c>
      <c r="AK84" s="31">
        <f>Ordinaria!AK84</f>
        <v>0</v>
      </c>
      <c r="AL84" s="32">
        <f t="shared" si="136"/>
        <v>-1</v>
      </c>
      <c r="AM84" s="31">
        <f>Ordinaria!AM84</f>
        <v>0</v>
      </c>
      <c r="AN84" s="32">
        <f t="shared" si="137"/>
        <v>-1</v>
      </c>
      <c r="AO84" s="31">
        <f>Ordinaria!AO84</f>
        <v>0</v>
      </c>
      <c r="AP84" s="32">
        <f t="shared" si="138"/>
        <v>-1</v>
      </c>
      <c r="AQ84" s="31">
        <f>Ordinaria!AQ84</f>
        <v>0</v>
      </c>
      <c r="AR84" s="32">
        <f t="shared" si="139"/>
        <v>-1</v>
      </c>
      <c r="AS84" s="31">
        <f>Ordinaria!AS84</f>
        <v>0</v>
      </c>
      <c r="AT84" s="32">
        <f t="shared" si="140"/>
        <v>-1</v>
      </c>
      <c r="AU84" s="31">
        <f>Ordinaria!AU84</f>
        <v>0</v>
      </c>
      <c r="AV84" s="32">
        <f t="shared" si="141"/>
        <v>-1</v>
      </c>
      <c r="AW84" s="31">
        <f>Ordinaria!AW84</f>
        <v>0</v>
      </c>
      <c r="AX84" s="32">
        <f t="shared" si="142"/>
        <v>-1</v>
      </c>
      <c r="AY84" s="31">
        <f>Ordinaria!AY84</f>
        <v>0</v>
      </c>
      <c r="AZ84" s="32">
        <f t="shared" si="143"/>
        <v>-1</v>
      </c>
      <c r="BA84" s="31">
        <f>Ordinaria!BA84</f>
        <v>0</v>
      </c>
      <c r="BB84" s="32">
        <f t="shared" si="144"/>
        <v>-1</v>
      </c>
      <c r="BC84" s="31">
        <f>Ordinaria!BC84</f>
        <v>0</v>
      </c>
      <c r="BD84" s="32">
        <f t="shared" si="145"/>
        <v>-1</v>
      </c>
      <c r="BE84" s="31">
        <f>Ordinaria!BE84</f>
        <v>0</v>
      </c>
      <c r="BF84" s="32">
        <f t="shared" si="146"/>
        <v>-1</v>
      </c>
      <c r="BG84" s="31">
        <f>Ordinaria!BG84</f>
        <v>0</v>
      </c>
      <c r="BH84" s="32">
        <f t="shared" si="147"/>
        <v>-1</v>
      </c>
      <c r="BI84" s="31">
        <f>Ordinaria!BI84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Ordinaria!B85</f>
        <v>0</v>
      </c>
      <c r="C85" s="31">
        <f>Ordinaria!C85</f>
        <v>0</v>
      </c>
      <c r="D85" s="32">
        <f t="shared" si="119"/>
        <v>-1</v>
      </c>
      <c r="E85" s="31">
        <f>Ordinaria!E85</f>
        <v>0</v>
      </c>
      <c r="F85" s="32">
        <f t="shared" si="120"/>
        <v>-1</v>
      </c>
      <c r="G85" s="31">
        <f>Ordinaria!G85</f>
        <v>0</v>
      </c>
      <c r="H85" s="32">
        <f t="shared" si="121"/>
        <v>-1</v>
      </c>
      <c r="I85" s="31">
        <f>Ordinaria!I85</f>
        <v>0</v>
      </c>
      <c r="J85" s="32">
        <f t="shared" si="122"/>
        <v>-1</v>
      </c>
      <c r="K85" s="31">
        <f>Ordinaria!K85</f>
        <v>0</v>
      </c>
      <c r="L85" s="32">
        <f t="shared" si="123"/>
        <v>-1</v>
      </c>
      <c r="M85" s="31">
        <f>Ordinaria!M85</f>
        <v>0</v>
      </c>
      <c r="N85" s="32">
        <f t="shared" si="124"/>
        <v>-1</v>
      </c>
      <c r="O85" s="31">
        <f>Ordinaria!O85</f>
        <v>0</v>
      </c>
      <c r="P85" s="32">
        <f t="shared" si="125"/>
        <v>-1</v>
      </c>
      <c r="Q85" s="31">
        <f>Ordinaria!Q85</f>
        <v>0</v>
      </c>
      <c r="R85" s="32">
        <f t="shared" si="126"/>
        <v>-1</v>
      </c>
      <c r="S85" s="31">
        <f>Ordinaria!S85</f>
        <v>0</v>
      </c>
      <c r="T85" s="32">
        <f t="shared" si="127"/>
        <v>-1</v>
      </c>
      <c r="U85" s="31">
        <f>Ordinaria!U85</f>
        <v>0</v>
      </c>
      <c r="V85" s="32">
        <f t="shared" si="128"/>
        <v>-1</v>
      </c>
      <c r="W85" s="31">
        <f>Ordinaria!W85</f>
        <v>0</v>
      </c>
      <c r="X85" s="32">
        <f t="shared" si="129"/>
        <v>-1</v>
      </c>
      <c r="Y85" s="31">
        <f>Ordinaria!Y85</f>
        <v>0</v>
      </c>
      <c r="Z85" s="32">
        <f t="shared" si="130"/>
        <v>-1</v>
      </c>
      <c r="AA85" s="31">
        <f>Ordinaria!AA85</f>
        <v>0</v>
      </c>
      <c r="AB85" s="32">
        <f t="shared" si="131"/>
        <v>-1</v>
      </c>
      <c r="AC85" s="31">
        <f>Ordinaria!AC85</f>
        <v>0</v>
      </c>
      <c r="AD85" s="32">
        <f t="shared" si="132"/>
        <v>-1</v>
      </c>
      <c r="AE85" s="31">
        <f>Ordinaria!AE85</f>
        <v>0</v>
      </c>
      <c r="AF85" s="32">
        <f t="shared" si="133"/>
        <v>-1</v>
      </c>
      <c r="AG85" s="31">
        <f>Ordinaria!AG85</f>
        <v>0</v>
      </c>
      <c r="AH85" s="32">
        <f t="shared" si="134"/>
        <v>-1</v>
      </c>
      <c r="AI85" s="31">
        <f>Ordinaria!AI85</f>
        <v>0</v>
      </c>
      <c r="AJ85" s="32">
        <f t="shared" si="135"/>
        <v>-1</v>
      </c>
      <c r="AK85" s="31">
        <f>Ordinaria!AK85</f>
        <v>0</v>
      </c>
      <c r="AL85" s="32">
        <f t="shared" si="136"/>
        <v>-1</v>
      </c>
      <c r="AM85" s="31">
        <f>Ordinaria!AM85</f>
        <v>0</v>
      </c>
      <c r="AN85" s="32">
        <f t="shared" si="137"/>
        <v>-1</v>
      </c>
      <c r="AO85" s="31">
        <f>Ordinaria!AO85</f>
        <v>0</v>
      </c>
      <c r="AP85" s="32">
        <f t="shared" si="138"/>
        <v>-1</v>
      </c>
      <c r="AQ85" s="31">
        <f>Ordinaria!AQ85</f>
        <v>0</v>
      </c>
      <c r="AR85" s="32">
        <f t="shared" si="139"/>
        <v>-1</v>
      </c>
      <c r="AS85" s="31">
        <f>Ordinaria!AS85</f>
        <v>0</v>
      </c>
      <c r="AT85" s="32">
        <f t="shared" si="140"/>
        <v>-1</v>
      </c>
      <c r="AU85" s="31">
        <f>Ordinaria!AU85</f>
        <v>0</v>
      </c>
      <c r="AV85" s="32">
        <f t="shared" si="141"/>
        <v>-1</v>
      </c>
      <c r="AW85" s="31">
        <f>Ordinaria!AW85</f>
        <v>0</v>
      </c>
      <c r="AX85" s="32">
        <f t="shared" si="142"/>
        <v>-1</v>
      </c>
      <c r="AY85" s="31">
        <f>Ordinaria!AY85</f>
        <v>0</v>
      </c>
      <c r="AZ85" s="32">
        <f t="shared" si="143"/>
        <v>-1</v>
      </c>
      <c r="BA85" s="31">
        <f>Ordinaria!BA85</f>
        <v>0</v>
      </c>
      <c r="BB85" s="32">
        <f t="shared" si="144"/>
        <v>-1</v>
      </c>
      <c r="BC85" s="31">
        <f>Ordinaria!BC85</f>
        <v>0</v>
      </c>
      <c r="BD85" s="32">
        <f t="shared" si="145"/>
        <v>-1</v>
      </c>
      <c r="BE85" s="31">
        <f>Ordinaria!BE85</f>
        <v>0</v>
      </c>
      <c r="BF85" s="32">
        <f t="shared" si="146"/>
        <v>-1</v>
      </c>
      <c r="BG85" s="31">
        <f>Ordinaria!BG85</f>
        <v>0</v>
      </c>
      <c r="BH85" s="32">
        <f t="shared" si="147"/>
        <v>-1</v>
      </c>
      <c r="BI85" s="31">
        <f>Ordinaria!BI85</f>
        <v>0</v>
      </c>
      <c r="BJ85" s="32">
        <f t="shared" si="148"/>
        <v>-1</v>
      </c>
    </row>
    <row r="86" spans="1:62" ht="19" customHeight="1" x14ac:dyDescent="0.2">
      <c r="A86" s="54" t="s">
        <v>84</v>
      </c>
      <c r="B86" s="55"/>
      <c r="C86" s="59">
        <f>SUM(C4,C7,C16,C38,C59,C64)</f>
        <v>4.4649999825283881</v>
      </c>
      <c r="D86" s="60"/>
      <c r="E86" s="59">
        <f t="shared" ref="E86" si="149">SUM(E4,E7,E16,E38,E59,E64)</f>
        <v>4.5775000117719173</v>
      </c>
      <c r="F86" s="60"/>
      <c r="G86" s="59">
        <f t="shared" ref="G86" si="150">SUM(G4,G7,G16,G38,G59,G64)</f>
        <v>3.7775000449270006</v>
      </c>
      <c r="H86" s="60"/>
      <c r="I86" s="59">
        <f t="shared" ref="I86" si="151">SUM(I4,I7,I16,I38,I59,I64)</f>
        <v>4.2625000251457088</v>
      </c>
      <c r="J86" s="60"/>
      <c r="K86" s="59">
        <f t="shared" ref="K86" si="152">SUM(K4,K7,K16,K38,K59,K64)</f>
        <v>4.3750000216066836</v>
      </c>
      <c r="L86" s="60"/>
      <c r="M86" s="59">
        <f t="shared" ref="M86" si="153">SUM(M4,M7,M16,M38,M59,M64)</f>
        <v>3.2725000383332379</v>
      </c>
      <c r="N86" s="60"/>
      <c r="O86" s="59">
        <f t="shared" ref="O86" si="154">SUM(O4,O7,O16,O38,O59,O64)</f>
        <v>4.4625000309199088</v>
      </c>
      <c r="P86" s="60"/>
      <c r="Q86" s="59">
        <f t="shared" ref="Q86" si="155">SUM(Q4,Q7,Q16,Q38,Q59,Q64)</f>
        <v>3.6125000545755026</v>
      </c>
      <c r="R86" s="60"/>
      <c r="S86" s="59">
        <f t="shared" ref="S86" si="156">SUM(S4,S7,S16,S38,S59,S64)</f>
        <v>3.2775000214576719</v>
      </c>
      <c r="T86" s="60"/>
      <c r="U86" s="59">
        <f t="shared" ref="U86" si="157">SUM(U4,U7,U16,U38,U59,U64)</f>
        <v>3.7950000042095784</v>
      </c>
      <c r="V86" s="60"/>
      <c r="W86" s="59">
        <f t="shared" ref="W86" si="158">SUM(W4,W7,W16,W38,W59,W64)</f>
        <v>3.7649999998509882</v>
      </c>
      <c r="X86" s="60"/>
      <c r="Y86" s="59">
        <f t="shared" ref="Y86" si="159">SUM(Y4,Y7,Y16,Y38,Y59,Y64)</f>
        <v>4.2475000318139795</v>
      </c>
      <c r="Z86" s="60"/>
      <c r="AA86" s="59">
        <f t="shared" ref="AA86" si="160">SUM(AA4,AA7,AA16,AA38,AA59,AA64)</f>
        <v>3.9525000523775815</v>
      </c>
      <c r="AB86" s="60"/>
      <c r="AC86" s="59">
        <f t="shared" ref="AC86" si="161">SUM(AC4,AC7,AC16,AC38,AC59,AC64)</f>
        <v>4.0474999971687797</v>
      </c>
      <c r="AD86" s="60"/>
      <c r="AE86" s="59">
        <f t="shared" ref="AE86" si="162">SUM(AE4,AE7,AE16,AE38,AE59,AE64)</f>
        <v>4.0200000321492553</v>
      </c>
      <c r="AF86" s="60"/>
      <c r="AG86" s="59">
        <f t="shared" ref="AG86" si="163">SUM(AG4,AG7,AG16,AG38,AG59,AG64)</f>
        <v>4.0325000219047071</v>
      </c>
      <c r="AH86" s="60"/>
      <c r="AI86" s="59">
        <f t="shared" ref="AI86" si="164">SUM(AI4,AI7,AI16,AI38,AI59,AI64)</f>
        <v>3.2925000227987766</v>
      </c>
      <c r="AJ86" s="60"/>
      <c r="AK86" s="59">
        <f t="shared" ref="AK86" si="165">SUM(AK4,AK7,AK16,AK38,AK59,AK64)</f>
        <v>4.2250000182539225</v>
      </c>
      <c r="AL86" s="60"/>
      <c r="AM86" s="59">
        <f t="shared" ref="AM86" si="166">SUM(AM4,AM7,AM16,AM38,AM59,AM64)</f>
        <v>3.7000000482425093</v>
      </c>
      <c r="AN86" s="60"/>
      <c r="AO86" s="59">
        <f t="shared" ref="AO86" si="167">SUM(AO4,AO7,AO16,AO38,AO59,AO64)</f>
        <v>3.6625000163912773</v>
      </c>
      <c r="AP86" s="60"/>
      <c r="AQ86" s="59">
        <f t="shared" ref="AQ86" si="168">SUM(AQ4,AQ7,AQ16,AQ38,AQ59,AQ64)</f>
        <v>4.0425000503659252</v>
      </c>
      <c r="AR86" s="60"/>
      <c r="AS86" s="59">
        <f t="shared" ref="AS86" si="169">SUM(AS4,AS7,AS16,AS38,AS59,AS64)</f>
        <v>4.3450000539422042</v>
      </c>
      <c r="AT86" s="60"/>
      <c r="AU86" s="59">
        <f t="shared" ref="AU86" si="170">SUM(AU4,AU7,AU16,AU38,AU59,AU64)</f>
        <v>3.5950000274926426</v>
      </c>
      <c r="AV86" s="60"/>
      <c r="AW86" s="59">
        <f t="shared" ref="AW86" si="171">SUM(AW4,AW7,AW16,AW38,AW59,AW64)</f>
        <v>3.5850000170990821</v>
      </c>
      <c r="AX86" s="60"/>
      <c r="AY86" s="59">
        <f t="shared" ref="AY86" si="172">SUM(AY4,AY7,AY16,AY38,AY59,AY64)</f>
        <v>3.7525000238791106</v>
      </c>
      <c r="AZ86" s="60"/>
      <c r="BA86" s="59">
        <f t="shared" ref="BA86" si="173">SUM(BA4,BA7,BA16,BA38,BA59,BA64)</f>
        <v>3.5725000305101275</v>
      </c>
      <c r="BB86" s="60"/>
      <c r="BC86" s="59">
        <f t="shared" ref="BC86" si="174">SUM(BC4,BC7,BC16,BC38,BC59,BC64)</f>
        <v>4.7425000332295895</v>
      </c>
      <c r="BD86" s="60"/>
      <c r="BE86" s="59">
        <f t="shared" ref="BE86" si="175">SUM(BE4,BE7,BE16,BE38,BE59,BE64)</f>
        <v>3.2899999972432852</v>
      </c>
      <c r="BF86" s="60"/>
      <c r="BG86" s="59">
        <f t="shared" ref="BG86" si="176">SUM(BG4,BG7,BG16,BG38,BG59,BG64)</f>
        <v>3.8825000274926422</v>
      </c>
      <c r="BH86" s="60"/>
      <c r="BI86" s="59">
        <f t="shared" ref="BI86" si="177">SUM(BI4,BI7,BI16,BI38,BI59,BI64)</f>
        <v>2.9525000344961883</v>
      </c>
      <c r="BJ86" s="60"/>
    </row>
    <row r="87" spans="1:62" ht="19" customHeight="1" x14ac:dyDescent="0.2">
      <c r="A87" s="54"/>
      <c r="B87" s="55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</row>
    <row r="88" spans="1:62" ht="19" customHeight="1" x14ac:dyDescent="0.2">
      <c r="A88" s="54"/>
      <c r="B88" s="55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</row>
  </sheetData>
  <sheetProtection algorithmName="SHA-512" hashValue="Z525iaC/voMcZBRjggAddylQGcRyGld+XV3WtjYdnrz+ieSg25cs3QWQXf+4cm6Drs11zfJT588sr4rVgz3MhQ==" saltValue="TXLiILpk6+zMRxtGoPkGlg==" spinCount="100000" sheet="1" objects="1" scenarios="1"/>
  <mergeCells count="303">
    <mergeCell ref="A1:A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A86:B88"/>
    <mergeCell ref="C86:D88"/>
    <mergeCell ref="E86:F88"/>
    <mergeCell ref="G86:H88"/>
    <mergeCell ref="I86:J88"/>
    <mergeCell ref="K86:L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  <mergeCell ref="U86:V88"/>
    <mergeCell ref="W86:X88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</mergeCells>
  <conditionalFormatting sqref="C86 E86 G86 I86 K86 M86 O86 Q86 S86 U86 W86 Y86 AA86 AC86 AE86 AG86 AI86 AK86 AM86 AO86 AQ86 AS86 AU86 AW86 AY86 BA86 BC86 BE86 BG86 BI86">
    <cfRule type="cellIs" dxfId="7825" priority="92" stopIfTrue="1" operator="lessThan">
      <formula>5</formula>
    </cfRule>
    <cfRule type="cellIs" dxfId="7824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7823" priority="2" stopIfTrue="1" operator="lessThan">
      <formula>5</formula>
    </cfRule>
    <cfRule type="cellIs" dxfId="7822" priority="3" operator="greaterThanOrEqual">
      <formula>5</formula>
    </cfRule>
  </conditionalFormatting>
  <conditionalFormatting sqref="B3">
    <cfRule type="cellIs" dxfId="7821" priority="1" operator="notEqual">
      <formula>"Ok"</formula>
    </cfRule>
  </conditionalFormatting>
  <conditionalFormatting sqref="D5">
    <cfRule type="cellIs" dxfId="7820" priority="141936" stopIfTrue="1" operator="equal">
      <formula>-1</formula>
    </cfRule>
  </conditionalFormatting>
  <conditionalFormatting sqref="D5">
    <cfRule type="cellIs" dxfId="7819" priority="141937" stopIfTrue="1" operator="lessThan">
      <formula>0.5</formula>
    </cfRule>
  </conditionalFormatting>
  <conditionalFormatting sqref="D5">
    <cfRule type="cellIs" dxfId="7818" priority="141938" stopIfTrue="1" operator="greaterThanOrEqual">
      <formula>0.5</formula>
    </cfRule>
  </conditionalFormatting>
  <conditionalFormatting sqref="D6">
    <cfRule type="cellIs" dxfId="7817" priority="141939" stopIfTrue="1" operator="equal">
      <formula>-1</formula>
    </cfRule>
  </conditionalFormatting>
  <conditionalFormatting sqref="D6">
    <cfRule type="cellIs" dxfId="7816" priority="141940" stopIfTrue="1" operator="lessThan">
      <formula>0.5</formula>
    </cfRule>
  </conditionalFormatting>
  <conditionalFormatting sqref="D6">
    <cfRule type="cellIs" dxfId="7815" priority="141941" stopIfTrue="1" operator="greaterThanOrEqual">
      <formula>0.5</formula>
    </cfRule>
  </conditionalFormatting>
  <conditionalFormatting sqref="F5">
    <cfRule type="cellIs" dxfId="7814" priority="141942" stopIfTrue="1" operator="equal">
      <formula>-1</formula>
    </cfRule>
  </conditionalFormatting>
  <conditionalFormatting sqref="F5">
    <cfRule type="cellIs" dxfId="7813" priority="141943" stopIfTrue="1" operator="lessThan">
      <formula>0.5</formula>
    </cfRule>
  </conditionalFormatting>
  <conditionalFormatting sqref="F5">
    <cfRule type="cellIs" dxfId="7812" priority="141944" stopIfTrue="1" operator="greaterThanOrEqual">
      <formula>0.5</formula>
    </cfRule>
  </conditionalFormatting>
  <conditionalFormatting sqref="F6">
    <cfRule type="cellIs" dxfId="7811" priority="141945" stopIfTrue="1" operator="equal">
      <formula>-1</formula>
    </cfRule>
  </conditionalFormatting>
  <conditionalFormatting sqref="F6">
    <cfRule type="cellIs" dxfId="7810" priority="141946" stopIfTrue="1" operator="lessThan">
      <formula>0.5</formula>
    </cfRule>
  </conditionalFormatting>
  <conditionalFormatting sqref="F6">
    <cfRule type="cellIs" dxfId="7809" priority="141947" stopIfTrue="1" operator="greaterThanOrEqual">
      <formula>0.5</formula>
    </cfRule>
  </conditionalFormatting>
  <conditionalFormatting sqref="H5">
    <cfRule type="cellIs" dxfId="7808" priority="141948" stopIfTrue="1" operator="equal">
      <formula>-1</formula>
    </cfRule>
  </conditionalFormatting>
  <conditionalFormatting sqref="H5">
    <cfRule type="cellIs" dxfId="7807" priority="141949" stopIfTrue="1" operator="lessThan">
      <formula>0.5</formula>
    </cfRule>
  </conditionalFormatting>
  <conditionalFormatting sqref="H5">
    <cfRule type="cellIs" dxfId="7806" priority="141950" stopIfTrue="1" operator="greaterThanOrEqual">
      <formula>0.5</formula>
    </cfRule>
  </conditionalFormatting>
  <conditionalFormatting sqref="H6">
    <cfRule type="cellIs" dxfId="7805" priority="141951" stopIfTrue="1" operator="equal">
      <formula>-1</formula>
    </cfRule>
  </conditionalFormatting>
  <conditionalFormatting sqref="H6">
    <cfRule type="cellIs" dxfId="7804" priority="141952" stopIfTrue="1" operator="lessThan">
      <formula>0.5</formula>
    </cfRule>
  </conditionalFormatting>
  <conditionalFormatting sqref="H6">
    <cfRule type="cellIs" dxfId="7803" priority="141953" stopIfTrue="1" operator="greaterThanOrEqual">
      <formula>0.5</formula>
    </cfRule>
  </conditionalFormatting>
  <conditionalFormatting sqref="J5">
    <cfRule type="cellIs" dxfId="7802" priority="141954" stopIfTrue="1" operator="equal">
      <formula>-1</formula>
    </cfRule>
  </conditionalFormatting>
  <conditionalFormatting sqref="J5">
    <cfRule type="cellIs" dxfId="7801" priority="141955" stopIfTrue="1" operator="lessThan">
      <formula>0.5</formula>
    </cfRule>
  </conditionalFormatting>
  <conditionalFormatting sqref="J5">
    <cfRule type="cellIs" dxfId="7800" priority="141956" stopIfTrue="1" operator="greaterThanOrEqual">
      <formula>0.5</formula>
    </cfRule>
  </conditionalFormatting>
  <conditionalFormatting sqref="J6">
    <cfRule type="cellIs" dxfId="7799" priority="141957" stopIfTrue="1" operator="equal">
      <formula>-1</formula>
    </cfRule>
  </conditionalFormatting>
  <conditionalFormatting sqref="J6">
    <cfRule type="cellIs" dxfId="7798" priority="141958" stopIfTrue="1" operator="lessThan">
      <formula>0.5</formula>
    </cfRule>
  </conditionalFormatting>
  <conditionalFormatting sqref="J6">
    <cfRule type="cellIs" dxfId="7797" priority="141959" stopIfTrue="1" operator="greaterThanOrEqual">
      <formula>0.5</formula>
    </cfRule>
  </conditionalFormatting>
  <conditionalFormatting sqref="L5">
    <cfRule type="cellIs" dxfId="7796" priority="141960" stopIfTrue="1" operator="equal">
      <formula>-1</formula>
    </cfRule>
  </conditionalFormatting>
  <conditionalFormatting sqref="L5">
    <cfRule type="cellIs" dxfId="7795" priority="141961" stopIfTrue="1" operator="lessThan">
      <formula>0.5</formula>
    </cfRule>
  </conditionalFormatting>
  <conditionalFormatting sqref="L5">
    <cfRule type="cellIs" dxfId="7794" priority="141962" stopIfTrue="1" operator="greaterThanOrEqual">
      <formula>0.5</formula>
    </cfRule>
  </conditionalFormatting>
  <conditionalFormatting sqref="L6">
    <cfRule type="cellIs" dxfId="7793" priority="141963" stopIfTrue="1" operator="equal">
      <formula>-1</formula>
    </cfRule>
  </conditionalFormatting>
  <conditionalFormatting sqref="L6">
    <cfRule type="cellIs" dxfId="7792" priority="141964" stopIfTrue="1" operator="lessThan">
      <formula>0.5</formula>
    </cfRule>
  </conditionalFormatting>
  <conditionalFormatting sqref="L6">
    <cfRule type="cellIs" dxfId="7791" priority="141965" stopIfTrue="1" operator="greaterThanOrEqual">
      <formula>0.5</formula>
    </cfRule>
  </conditionalFormatting>
  <conditionalFormatting sqref="N5">
    <cfRule type="cellIs" dxfId="7790" priority="141966" stopIfTrue="1" operator="equal">
      <formula>-1</formula>
    </cfRule>
  </conditionalFormatting>
  <conditionalFormatting sqref="N5">
    <cfRule type="cellIs" dxfId="7789" priority="141967" stopIfTrue="1" operator="lessThan">
      <formula>0.5</formula>
    </cfRule>
  </conditionalFormatting>
  <conditionalFormatting sqref="N5">
    <cfRule type="cellIs" dxfId="7788" priority="141968" stopIfTrue="1" operator="greaterThanOrEqual">
      <formula>0.5</formula>
    </cfRule>
  </conditionalFormatting>
  <conditionalFormatting sqref="N6">
    <cfRule type="cellIs" dxfId="7787" priority="141969" stopIfTrue="1" operator="equal">
      <formula>-1</formula>
    </cfRule>
  </conditionalFormatting>
  <conditionalFormatting sqref="N6">
    <cfRule type="cellIs" dxfId="7786" priority="141970" stopIfTrue="1" operator="lessThan">
      <formula>0.5</formula>
    </cfRule>
  </conditionalFormatting>
  <conditionalFormatting sqref="N6">
    <cfRule type="cellIs" dxfId="7785" priority="141971" stopIfTrue="1" operator="greaterThanOrEqual">
      <formula>0.5</formula>
    </cfRule>
  </conditionalFormatting>
  <conditionalFormatting sqref="P5">
    <cfRule type="cellIs" dxfId="7784" priority="141972" stopIfTrue="1" operator="equal">
      <formula>-1</formula>
    </cfRule>
  </conditionalFormatting>
  <conditionalFormatting sqref="P5">
    <cfRule type="cellIs" dxfId="7783" priority="141973" stopIfTrue="1" operator="lessThan">
      <formula>0.5</formula>
    </cfRule>
  </conditionalFormatting>
  <conditionalFormatting sqref="P5">
    <cfRule type="cellIs" dxfId="7782" priority="141974" stopIfTrue="1" operator="greaterThanOrEqual">
      <formula>0.5</formula>
    </cfRule>
  </conditionalFormatting>
  <conditionalFormatting sqref="P6">
    <cfRule type="cellIs" dxfId="7781" priority="141975" stopIfTrue="1" operator="equal">
      <formula>-1</formula>
    </cfRule>
  </conditionalFormatting>
  <conditionalFormatting sqref="P6">
    <cfRule type="cellIs" dxfId="7780" priority="141976" stopIfTrue="1" operator="lessThan">
      <formula>0.5</formula>
    </cfRule>
  </conditionalFormatting>
  <conditionalFormatting sqref="P6">
    <cfRule type="cellIs" dxfId="7779" priority="141977" stopIfTrue="1" operator="greaterThanOrEqual">
      <formula>0.5</formula>
    </cfRule>
  </conditionalFormatting>
  <conditionalFormatting sqref="R5">
    <cfRule type="cellIs" dxfId="7778" priority="141978" stopIfTrue="1" operator="equal">
      <formula>-1</formula>
    </cfRule>
  </conditionalFormatting>
  <conditionalFormatting sqref="R5">
    <cfRule type="cellIs" dxfId="7777" priority="141979" stopIfTrue="1" operator="lessThan">
      <formula>0.5</formula>
    </cfRule>
  </conditionalFormatting>
  <conditionalFormatting sqref="R5">
    <cfRule type="cellIs" dxfId="7776" priority="141980" stopIfTrue="1" operator="greaterThanOrEqual">
      <formula>0.5</formula>
    </cfRule>
  </conditionalFormatting>
  <conditionalFormatting sqref="R6">
    <cfRule type="cellIs" dxfId="7775" priority="141981" stopIfTrue="1" operator="equal">
      <formula>-1</formula>
    </cfRule>
  </conditionalFormatting>
  <conditionalFormatting sqref="R6">
    <cfRule type="cellIs" dxfId="7774" priority="141982" stopIfTrue="1" operator="lessThan">
      <formula>0.5</formula>
    </cfRule>
  </conditionalFormatting>
  <conditionalFormatting sqref="R6">
    <cfRule type="cellIs" dxfId="7773" priority="141983" stopIfTrue="1" operator="greaterThanOrEqual">
      <formula>0.5</formula>
    </cfRule>
  </conditionalFormatting>
  <conditionalFormatting sqref="T5">
    <cfRule type="cellIs" dxfId="7772" priority="141984" stopIfTrue="1" operator="equal">
      <formula>-1</formula>
    </cfRule>
  </conditionalFormatting>
  <conditionalFormatting sqref="T5">
    <cfRule type="cellIs" dxfId="7771" priority="141985" stopIfTrue="1" operator="lessThan">
      <formula>0.5</formula>
    </cfRule>
  </conditionalFormatting>
  <conditionalFormatting sqref="T5">
    <cfRule type="cellIs" dxfId="7770" priority="141986" stopIfTrue="1" operator="greaterThanOrEqual">
      <formula>0.5</formula>
    </cfRule>
  </conditionalFormatting>
  <conditionalFormatting sqref="T6">
    <cfRule type="cellIs" dxfId="7769" priority="141987" stopIfTrue="1" operator="equal">
      <formula>-1</formula>
    </cfRule>
  </conditionalFormatting>
  <conditionalFormatting sqref="T6">
    <cfRule type="cellIs" dxfId="7768" priority="141988" stopIfTrue="1" operator="lessThan">
      <formula>0.5</formula>
    </cfRule>
  </conditionalFormatting>
  <conditionalFormatting sqref="T6">
    <cfRule type="cellIs" dxfId="7767" priority="141989" stopIfTrue="1" operator="greaterThanOrEqual">
      <formula>0.5</formula>
    </cfRule>
  </conditionalFormatting>
  <conditionalFormatting sqref="V5">
    <cfRule type="cellIs" dxfId="7766" priority="141990" stopIfTrue="1" operator="equal">
      <formula>-1</formula>
    </cfRule>
  </conditionalFormatting>
  <conditionalFormatting sqref="V5">
    <cfRule type="cellIs" dxfId="7765" priority="141991" stopIfTrue="1" operator="lessThan">
      <formula>0.5</formula>
    </cfRule>
  </conditionalFormatting>
  <conditionalFormatting sqref="V5">
    <cfRule type="cellIs" dxfId="7764" priority="141992" stopIfTrue="1" operator="greaterThanOrEqual">
      <formula>0.5</formula>
    </cfRule>
  </conditionalFormatting>
  <conditionalFormatting sqref="V6">
    <cfRule type="cellIs" dxfId="7763" priority="141993" stopIfTrue="1" operator="equal">
      <formula>-1</formula>
    </cfRule>
  </conditionalFormatting>
  <conditionalFormatting sqref="V6">
    <cfRule type="cellIs" dxfId="7762" priority="141994" stopIfTrue="1" operator="lessThan">
      <formula>0.5</formula>
    </cfRule>
  </conditionalFormatting>
  <conditionalFormatting sqref="V6">
    <cfRule type="cellIs" dxfId="7761" priority="141995" stopIfTrue="1" operator="greaterThanOrEqual">
      <formula>0.5</formula>
    </cfRule>
  </conditionalFormatting>
  <conditionalFormatting sqref="X5">
    <cfRule type="cellIs" dxfId="7760" priority="141996" stopIfTrue="1" operator="equal">
      <formula>-1</formula>
    </cfRule>
  </conditionalFormatting>
  <conditionalFormatting sqref="X5">
    <cfRule type="cellIs" dxfId="7759" priority="141997" stopIfTrue="1" operator="lessThan">
      <formula>0.5</formula>
    </cfRule>
  </conditionalFormatting>
  <conditionalFormatting sqref="X5">
    <cfRule type="cellIs" dxfId="7758" priority="141998" stopIfTrue="1" operator="greaterThanOrEqual">
      <formula>0.5</formula>
    </cfRule>
  </conditionalFormatting>
  <conditionalFormatting sqref="X6">
    <cfRule type="cellIs" dxfId="7757" priority="141999" stopIfTrue="1" operator="equal">
      <formula>-1</formula>
    </cfRule>
  </conditionalFormatting>
  <conditionalFormatting sqref="X6">
    <cfRule type="cellIs" dxfId="7756" priority="142000" stopIfTrue="1" operator="lessThan">
      <formula>0.5</formula>
    </cfRule>
  </conditionalFormatting>
  <conditionalFormatting sqref="X6">
    <cfRule type="cellIs" dxfId="7755" priority="142001" stopIfTrue="1" operator="greaterThanOrEqual">
      <formula>0.5</formula>
    </cfRule>
  </conditionalFormatting>
  <conditionalFormatting sqref="Z5">
    <cfRule type="cellIs" dxfId="7754" priority="142002" stopIfTrue="1" operator="equal">
      <formula>-1</formula>
    </cfRule>
  </conditionalFormatting>
  <conditionalFormatting sqref="Z5">
    <cfRule type="cellIs" dxfId="7753" priority="142003" stopIfTrue="1" operator="lessThan">
      <formula>0.5</formula>
    </cfRule>
  </conditionalFormatting>
  <conditionalFormatting sqref="Z5">
    <cfRule type="cellIs" dxfId="7752" priority="142004" stopIfTrue="1" operator="greaterThanOrEqual">
      <formula>0.5</formula>
    </cfRule>
  </conditionalFormatting>
  <conditionalFormatting sqref="Z6">
    <cfRule type="cellIs" dxfId="7751" priority="142005" stopIfTrue="1" operator="equal">
      <formula>-1</formula>
    </cfRule>
  </conditionalFormatting>
  <conditionalFormatting sqref="Z6">
    <cfRule type="cellIs" dxfId="7750" priority="142006" stopIfTrue="1" operator="lessThan">
      <formula>0.5</formula>
    </cfRule>
  </conditionalFormatting>
  <conditionalFormatting sqref="Z6">
    <cfRule type="cellIs" dxfId="7749" priority="142007" stopIfTrue="1" operator="greaterThanOrEqual">
      <formula>0.5</formula>
    </cfRule>
  </conditionalFormatting>
  <conditionalFormatting sqref="AB5">
    <cfRule type="cellIs" dxfId="7748" priority="142008" stopIfTrue="1" operator="equal">
      <formula>-1</formula>
    </cfRule>
  </conditionalFormatting>
  <conditionalFormatting sqref="AB5">
    <cfRule type="cellIs" dxfId="7747" priority="142009" stopIfTrue="1" operator="lessThan">
      <formula>0.5</formula>
    </cfRule>
  </conditionalFormatting>
  <conditionalFormatting sqref="AB5">
    <cfRule type="cellIs" dxfId="7746" priority="142010" stopIfTrue="1" operator="greaterThanOrEqual">
      <formula>0.5</formula>
    </cfRule>
  </conditionalFormatting>
  <conditionalFormatting sqref="AB6">
    <cfRule type="cellIs" dxfId="7745" priority="142011" stopIfTrue="1" operator="equal">
      <formula>-1</formula>
    </cfRule>
  </conditionalFormatting>
  <conditionalFormatting sqref="AB6">
    <cfRule type="cellIs" dxfId="7744" priority="142012" stopIfTrue="1" operator="lessThan">
      <formula>0.5</formula>
    </cfRule>
  </conditionalFormatting>
  <conditionalFormatting sqref="AB6">
    <cfRule type="cellIs" dxfId="7743" priority="142013" stopIfTrue="1" operator="greaterThanOrEqual">
      <formula>0.5</formula>
    </cfRule>
  </conditionalFormatting>
  <conditionalFormatting sqref="AD5">
    <cfRule type="cellIs" dxfId="7742" priority="142014" stopIfTrue="1" operator="equal">
      <formula>-1</formula>
    </cfRule>
  </conditionalFormatting>
  <conditionalFormatting sqref="AD5">
    <cfRule type="cellIs" dxfId="7741" priority="142015" stopIfTrue="1" operator="lessThan">
      <formula>0.5</formula>
    </cfRule>
  </conditionalFormatting>
  <conditionalFormatting sqref="AD5">
    <cfRule type="cellIs" dxfId="7740" priority="142016" stopIfTrue="1" operator="greaterThanOrEqual">
      <formula>0.5</formula>
    </cfRule>
  </conditionalFormatting>
  <conditionalFormatting sqref="AD6">
    <cfRule type="cellIs" dxfId="7739" priority="142017" stopIfTrue="1" operator="equal">
      <formula>-1</formula>
    </cfRule>
  </conditionalFormatting>
  <conditionalFormatting sqref="AD6">
    <cfRule type="cellIs" dxfId="7738" priority="142018" stopIfTrue="1" operator="lessThan">
      <formula>0.5</formula>
    </cfRule>
  </conditionalFormatting>
  <conditionalFormatting sqref="AD6">
    <cfRule type="cellIs" dxfId="7737" priority="142019" stopIfTrue="1" operator="greaterThanOrEqual">
      <formula>0.5</formula>
    </cfRule>
  </conditionalFormatting>
  <conditionalFormatting sqref="AF5">
    <cfRule type="cellIs" dxfId="7736" priority="142020" stopIfTrue="1" operator="equal">
      <formula>-1</formula>
    </cfRule>
  </conditionalFormatting>
  <conditionalFormatting sqref="AF5">
    <cfRule type="cellIs" dxfId="7735" priority="142021" stopIfTrue="1" operator="lessThan">
      <formula>0.5</formula>
    </cfRule>
  </conditionalFormatting>
  <conditionalFormatting sqref="AF5">
    <cfRule type="cellIs" dxfId="7734" priority="142022" stopIfTrue="1" operator="greaterThanOrEqual">
      <formula>0.5</formula>
    </cfRule>
  </conditionalFormatting>
  <conditionalFormatting sqref="AF6">
    <cfRule type="cellIs" dxfId="7733" priority="142023" stopIfTrue="1" operator="equal">
      <formula>-1</formula>
    </cfRule>
  </conditionalFormatting>
  <conditionalFormatting sqref="AF6">
    <cfRule type="cellIs" dxfId="7732" priority="142024" stopIfTrue="1" operator="lessThan">
      <formula>0.5</formula>
    </cfRule>
  </conditionalFormatting>
  <conditionalFormatting sqref="AF6">
    <cfRule type="cellIs" dxfId="7731" priority="142025" stopIfTrue="1" operator="greaterThanOrEqual">
      <formula>0.5</formula>
    </cfRule>
  </conditionalFormatting>
  <conditionalFormatting sqref="AH5">
    <cfRule type="cellIs" dxfId="7730" priority="142026" stopIfTrue="1" operator="equal">
      <formula>-1</formula>
    </cfRule>
  </conditionalFormatting>
  <conditionalFormatting sqref="AH5">
    <cfRule type="cellIs" dxfId="7729" priority="142027" stopIfTrue="1" operator="lessThan">
      <formula>0.5</formula>
    </cfRule>
  </conditionalFormatting>
  <conditionalFormatting sqref="AH5">
    <cfRule type="cellIs" dxfId="7728" priority="142028" stopIfTrue="1" operator="greaterThanOrEqual">
      <formula>0.5</formula>
    </cfRule>
  </conditionalFormatting>
  <conditionalFormatting sqref="AH6">
    <cfRule type="cellIs" dxfId="7727" priority="142029" stopIfTrue="1" operator="equal">
      <formula>-1</formula>
    </cfRule>
  </conditionalFormatting>
  <conditionalFormatting sqref="AH6">
    <cfRule type="cellIs" dxfId="7726" priority="142030" stopIfTrue="1" operator="lessThan">
      <formula>0.5</formula>
    </cfRule>
  </conditionalFormatting>
  <conditionalFormatting sqref="AH6">
    <cfRule type="cellIs" dxfId="7725" priority="142031" stopIfTrue="1" operator="greaterThanOrEqual">
      <formula>0.5</formula>
    </cfRule>
  </conditionalFormatting>
  <conditionalFormatting sqref="AJ5">
    <cfRule type="cellIs" dxfId="7724" priority="142032" stopIfTrue="1" operator="equal">
      <formula>-1</formula>
    </cfRule>
  </conditionalFormatting>
  <conditionalFormatting sqref="AJ5">
    <cfRule type="cellIs" dxfId="7723" priority="142033" stopIfTrue="1" operator="lessThan">
      <formula>0.5</formula>
    </cfRule>
  </conditionalFormatting>
  <conditionalFormatting sqref="AJ5">
    <cfRule type="cellIs" dxfId="7722" priority="142034" stopIfTrue="1" operator="greaterThanOrEqual">
      <formula>0.5</formula>
    </cfRule>
  </conditionalFormatting>
  <conditionalFormatting sqref="AJ6">
    <cfRule type="cellIs" dxfId="7721" priority="142035" stopIfTrue="1" operator="equal">
      <formula>-1</formula>
    </cfRule>
  </conditionalFormatting>
  <conditionalFormatting sqref="AJ6">
    <cfRule type="cellIs" dxfId="7720" priority="142036" stopIfTrue="1" operator="lessThan">
      <formula>0.5</formula>
    </cfRule>
  </conditionalFormatting>
  <conditionalFormatting sqref="AJ6">
    <cfRule type="cellIs" dxfId="7719" priority="142037" stopIfTrue="1" operator="greaterThanOrEqual">
      <formula>0.5</formula>
    </cfRule>
  </conditionalFormatting>
  <conditionalFormatting sqref="AL5">
    <cfRule type="cellIs" dxfId="7718" priority="142038" stopIfTrue="1" operator="equal">
      <formula>-1</formula>
    </cfRule>
  </conditionalFormatting>
  <conditionalFormatting sqref="AL5">
    <cfRule type="cellIs" dxfId="7717" priority="142039" stopIfTrue="1" operator="lessThan">
      <formula>0.5</formula>
    </cfRule>
  </conditionalFormatting>
  <conditionalFormatting sqref="AL5">
    <cfRule type="cellIs" dxfId="7716" priority="142040" stopIfTrue="1" operator="greaterThanOrEqual">
      <formula>0.5</formula>
    </cfRule>
  </conditionalFormatting>
  <conditionalFormatting sqref="AL6">
    <cfRule type="cellIs" dxfId="7715" priority="142041" stopIfTrue="1" operator="equal">
      <formula>-1</formula>
    </cfRule>
  </conditionalFormatting>
  <conditionalFormatting sqref="AL6">
    <cfRule type="cellIs" dxfId="7714" priority="142042" stopIfTrue="1" operator="lessThan">
      <formula>0.5</formula>
    </cfRule>
  </conditionalFormatting>
  <conditionalFormatting sqref="AL6">
    <cfRule type="cellIs" dxfId="7713" priority="142043" stopIfTrue="1" operator="greaterThanOrEqual">
      <formula>0.5</formula>
    </cfRule>
  </conditionalFormatting>
  <conditionalFormatting sqref="AN5">
    <cfRule type="cellIs" dxfId="7712" priority="142044" stopIfTrue="1" operator="equal">
      <formula>-1</formula>
    </cfRule>
  </conditionalFormatting>
  <conditionalFormatting sqref="AN5">
    <cfRule type="cellIs" dxfId="7711" priority="142045" stopIfTrue="1" operator="lessThan">
      <formula>0.5</formula>
    </cfRule>
  </conditionalFormatting>
  <conditionalFormatting sqref="AN5">
    <cfRule type="cellIs" dxfId="7710" priority="142046" stopIfTrue="1" operator="greaterThanOrEqual">
      <formula>0.5</formula>
    </cfRule>
  </conditionalFormatting>
  <conditionalFormatting sqref="AN6">
    <cfRule type="cellIs" dxfId="7709" priority="142047" stopIfTrue="1" operator="equal">
      <formula>-1</formula>
    </cfRule>
  </conditionalFormatting>
  <conditionalFormatting sqref="AN6">
    <cfRule type="cellIs" dxfId="7708" priority="142048" stopIfTrue="1" operator="lessThan">
      <formula>0.5</formula>
    </cfRule>
  </conditionalFormatting>
  <conditionalFormatting sqref="AN6">
    <cfRule type="cellIs" dxfId="7707" priority="142049" stopIfTrue="1" operator="greaterThanOrEqual">
      <formula>0.5</formula>
    </cfRule>
  </conditionalFormatting>
  <conditionalFormatting sqref="AP5">
    <cfRule type="cellIs" dxfId="7706" priority="142050" stopIfTrue="1" operator="equal">
      <formula>-1</formula>
    </cfRule>
  </conditionalFormatting>
  <conditionalFormatting sqref="AP5">
    <cfRule type="cellIs" dxfId="7705" priority="142051" stopIfTrue="1" operator="lessThan">
      <formula>0.5</formula>
    </cfRule>
  </conditionalFormatting>
  <conditionalFormatting sqref="AP5">
    <cfRule type="cellIs" dxfId="7704" priority="142052" stopIfTrue="1" operator="greaterThanOrEqual">
      <formula>0.5</formula>
    </cfRule>
  </conditionalFormatting>
  <conditionalFormatting sqref="AP6">
    <cfRule type="cellIs" dxfId="7703" priority="142053" stopIfTrue="1" operator="equal">
      <formula>-1</formula>
    </cfRule>
  </conditionalFormatting>
  <conditionalFormatting sqref="AP6">
    <cfRule type="cellIs" dxfId="7702" priority="142054" stopIfTrue="1" operator="lessThan">
      <formula>0.5</formula>
    </cfRule>
  </conditionalFormatting>
  <conditionalFormatting sqref="AP6">
    <cfRule type="cellIs" dxfId="7701" priority="142055" stopIfTrue="1" operator="greaterThanOrEqual">
      <formula>0.5</formula>
    </cfRule>
  </conditionalFormatting>
  <conditionalFormatting sqref="AR5">
    <cfRule type="cellIs" dxfId="7700" priority="142056" stopIfTrue="1" operator="equal">
      <formula>-1</formula>
    </cfRule>
  </conditionalFormatting>
  <conditionalFormatting sqref="AR5">
    <cfRule type="cellIs" dxfId="7699" priority="142057" stopIfTrue="1" operator="lessThan">
      <formula>0.5</formula>
    </cfRule>
  </conditionalFormatting>
  <conditionalFormatting sqref="AR5">
    <cfRule type="cellIs" dxfId="7698" priority="142058" stopIfTrue="1" operator="greaterThanOrEqual">
      <formula>0.5</formula>
    </cfRule>
  </conditionalFormatting>
  <conditionalFormatting sqref="AR6">
    <cfRule type="cellIs" dxfId="7697" priority="142059" stopIfTrue="1" operator="equal">
      <formula>-1</formula>
    </cfRule>
  </conditionalFormatting>
  <conditionalFormatting sqref="AR6">
    <cfRule type="cellIs" dxfId="7696" priority="142060" stopIfTrue="1" operator="lessThan">
      <formula>0.5</formula>
    </cfRule>
  </conditionalFormatting>
  <conditionalFormatting sqref="AR6">
    <cfRule type="cellIs" dxfId="7695" priority="142061" stopIfTrue="1" operator="greaterThanOrEqual">
      <formula>0.5</formula>
    </cfRule>
  </conditionalFormatting>
  <conditionalFormatting sqref="AT5">
    <cfRule type="cellIs" dxfId="7694" priority="142062" stopIfTrue="1" operator="equal">
      <formula>-1</formula>
    </cfRule>
  </conditionalFormatting>
  <conditionalFormatting sqref="AT5">
    <cfRule type="cellIs" dxfId="7693" priority="142063" stopIfTrue="1" operator="lessThan">
      <formula>0.5</formula>
    </cfRule>
  </conditionalFormatting>
  <conditionalFormatting sqref="AT5">
    <cfRule type="cellIs" dxfId="7692" priority="142064" stopIfTrue="1" operator="greaterThanOrEqual">
      <formula>0.5</formula>
    </cfRule>
  </conditionalFormatting>
  <conditionalFormatting sqref="AT6">
    <cfRule type="cellIs" dxfId="7691" priority="142065" stopIfTrue="1" operator="equal">
      <formula>-1</formula>
    </cfRule>
  </conditionalFormatting>
  <conditionalFormatting sqref="AT6">
    <cfRule type="cellIs" dxfId="7690" priority="142066" stopIfTrue="1" operator="lessThan">
      <formula>0.5</formula>
    </cfRule>
  </conditionalFormatting>
  <conditionalFormatting sqref="AT6">
    <cfRule type="cellIs" dxfId="7689" priority="142067" stopIfTrue="1" operator="greaterThanOrEqual">
      <formula>0.5</formula>
    </cfRule>
  </conditionalFormatting>
  <conditionalFormatting sqref="AV5">
    <cfRule type="cellIs" dxfId="7688" priority="142068" stopIfTrue="1" operator="equal">
      <formula>-1</formula>
    </cfRule>
  </conditionalFormatting>
  <conditionalFormatting sqref="AV5">
    <cfRule type="cellIs" dxfId="7687" priority="142069" stopIfTrue="1" operator="lessThan">
      <formula>0.5</formula>
    </cfRule>
  </conditionalFormatting>
  <conditionalFormatting sqref="AV5">
    <cfRule type="cellIs" dxfId="7686" priority="142070" stopIfTrue="1" operator="greaterThanOrEqual">
      <formula>0.5</formula>
    </cfRule>
  </conditionalFormatting>
  <conditionalFormatting sqref="AV6">
    <cfRule type="cellIs" dxfId="7685" priority="142071" stopIfTrue="1" operator="equal">
      <formula>-1</formula>
    </cfRule>
  </conditionalFormatting>
  <conditionalFormatting sqref="AV6">
    <cfRule type="cellIs" dxfId="7684" priority="142072" stopIfTrue="1" operator="lessThan">
      <formula>0.5</formula>
    </cfRule>
  </conditionalFormatting>
  <conditionalFormatting sqref="AV6">
    <cfRule type="cellIs" dxfId="7683" priority="142073" stopIfTrue="1" operator="greaterThanOrEqual">
      <formula>0.5</formula>
    </cfRule>
  </conditionalFormatting>
  <conditionalFormatting sqref="AX5">
    <cfRule type="cellIs" dxfId="7682" priority="142074" stopIfTrue="1" operator="equal">
      <formula>-1</formula>
    </cfRule>
  </conditionalFormatting>
  <conditionalFormatting sqref="AX5">
    <cfRule type="cellIs" dxfId="7681" priority="142075" stopIfTrue="1" operator="lessThan">
      <formula>0.5</formula>
    </cfRule>
  </conditionalFormatting>
  <conditionalFormatting sqref="AX5">
    <cfRule type="cellIs" dxfId="7680" priority="142076" stopIfTrue="1" operator="greaterThanOrEqual">
      <formula>0.5</formula>
    </cfRule>
  </conditionalFormatting>
  <conditionalFormatting sqref="AX6">
    <cfRule type="cellIs" dxfId="7679" priority="142077" stopIfTrue="1" operator="equal">
      <formula>-1</formula>
    </cfRule>
  </conditionalFormatting>
  <conditionalFormatting sqref="AX6">
    <cfRule type="cellIs" dxfId="7678" priority="142078" stopIfTrue="1" operator="lessThan">
      <formula>0.5</formula>
    </cfRule>
  </conditionalFormatting>
  <conditionalFormatting sqref="AX6">
    <cfRule type="cellIs" dxfId="7677" priority="142079" stopIfTrue="1" operator="greaterThanOrEqual">
      <formula>0.5</formula>
    </cfRule>
  </conditionalFormatting>
  <conditionalFormatting sqref="AZ5">
    <cfRule type="cellIs" dxfId="7676" priority="142080" stopIfTrue="1" operator="equal">
      <formula>-1</formula>
    </cfRule>
  </conditionalFormatting>
  <conditionalFormatting sqref="AZ5">
    <cfRule type="cellIs" dxfId="7675" priority="142081" stopIfTrue="1" operator="lessThan">
      <formula>0.5</formula>
    </cfRule>
  </conditionalFormatting>
  <conditionalFormatting sqref="AZ5">
    <cfRule type="cellIs" dxfId="7674" priority="142082" stopIfTrue="1" operator="greaterThanOrEqual">
      <formula>0.5</formula>
    </cfRule>
  </conditionalFormatting>
  <conditionalFormatting sqref="AZ6">
    <cfRule type="cellIs" dxfId="7673" priority="142083" stopIfTrue="1" operator="equal">
      <formula>-1</formula>
    </cfRule>
  </conditionalFormatting>
  <conditionalFormatting sqref="AZ6">
    <cfRule type="cellIs" dxfId="7672" priority="142084" stopIfTrue="1" operator="lessThan">
      <formula>0.5</formula>
    </cfRule>
  </conditionalFormatting>
  <conditionalFormatting sqref="AZ6">
    <cfRule type="cellIs" dxfId="7671" priority="142085" stopIfTrue="1" operator="greaterThanOrEqual">
      <formula>0.5</formula>
    </cfRule>
  </conditionalFormatting>
  <conditionalFormatting sqref="BB5">
    <cfRule type="cellIs" dxfId="7670" priority="142086" stopIfTrue="1" operator="equal">
      <formula>-1</formula>
    </cfRule>
  </conditionalFormatting>
  <conditionalFormatting sqref="BB5">
    <cfRule type="cellIs" dxfId="7669" priority="142087" stopIfTrue="1" operator="lessThan">
      <formula>0.5</formula>
    </cfRule>
  </conditionalFormatting>
  <conditionalFormatting sqref="BB5">
    <cfRule type="cellIs" dxfId="7668" priority="142088" stopIfTrue="1" operator="greaterThanOrEqual">
      <formula>0.5</formula>
    </cfRule>
  </conditionalFormatting>
  <conditionalFormatting sqref="BB6">
    <cfRule type="cellIs" dxfId="7667" priority="142089" stopIfTrue="1" operator="equal">
      <formula>-1</formula>
    </cfRule>
  </conditionalFormatting>
  <conditionalFormatting sqref="BB6">
    <cfRule type="cellIs" dxfId="7666" priority="142090" stopIfTrue="1" operator="lessThan">
      <formula>0.5</formula>
    </cfRule>
  </conditionalFormatting>
  <conditionalFormatting sqref="BB6">
    <cfRule type="cellIs" dxfId="7665" priority="142091" stopIfTrue="1" operator="greaterThanOrEqual">
      <formula>0.5</formula>
    </cfRule>
  </conditionalFormatting>
  <conditionalFormatting sqref="BD5">
    <cfRule type="cellIs" dxfId="7664" priority="142092" stopIfTrue="1" operator="equal">
      <formula>-1</formula>
    </cfRule>
  </conditionalFormatting>
  <conditionalFormatting sqref="BD5">
    <cfRule type="cellIs" dxfId="7663" priority="142093" stopIfTrue="1" operator="lessThan">
      <formula>0.5</formula>
    </cfRule>
  </conditionalFormatting>
  <conditionalFormatting sqref="BD5">
    <cfRule type="cellIs" dxfId="7662" priority="142094" stopIfTrue="1" operator="greaterThanOrEqual">
      <formula>0.5</formula>
    </cfRule>
  </conditionalFormatting>
  <conditionalFormatting sqref="BD6">
    <cfRule type="cellIs" dxfId="7661" priority="142095" stopIfTrue="1" operator="equal">
      <formula>-1</formula>
    </cfRule>
  </conditionalFormatting>
  <conditionalFormatting sqref="BD6">
    <cfRule type="cellIs" dxfId="7660" priority="142096" stopIfTrue="1" operator="lessThan">
      <formula>0.5</formula>
    </cfRule>
  </conditionalFormatting>
  <conditionalFormatting sqref="BD6">
    <cfRule type="cellIs" dxfId="7659" priority="142097" stopIfTrue="1" operator="greaterThanOrEqual">
      <formula>0.5</formula>
    </cfRule>
  </conditionalFormatting>
  <conditionalFormatting sqref="BF5">
    <cfRule type="cellIs" dxfId="7658" priority="142098" stopIfTrue="1" operator="equal">
      <formula>-1</formula>
    </cfRule>
  </conditionalFormatting>
  <conditionalFormatting sqref="BF5">
    <cfRule type="cellIs" dxfId="7657" priority="142099" stopIfTrue="1" operator="lessThan">
      <formula>0.5</formula>
    </cfRule>
  </conditionalFormatting>
  <conditionalFormatting sqref="BF5">
    <cfRule type="cellIs" dxfId="7656" priority="142100" stopIfTrue="1" operator="greaterThanOrEqual">
      <formula>0.5</formula>
    </cfRule>
  </conditionalFormatting>
  <conditionalFormatting sqref="BF6">
    <cfRule type="cellIs" dxfId="7655" priority="142101" stopIfTrue="1" operator="equal">
      <formula>-1</formula>
    </cfRule>
  </conditionalFormatting>
  <conditionalFormatting sqref="BF6">
    <cfRule type="cellIs" dxfId="7654" priority="142102" stopIfTrue="1" operator="lessThan">
      <formula>0.5</formula>
    </cfRule>
  </conditionalFormatting>
  <conditionalFormatting sqref="BF6">
    <cfRule type="cellIs" dxfId="7653" priority="142103" stopIfTrue="1" operator="greaterThanOrEqual">
      <formula>0.5</formula>
    </cfRule>
  </conditionalFormatting>
  <conditionalFormatting sqref="BH5">
    <cfRule type="cellIs" dxfId="7652" priority="142104" stopIfTrue="1" operator="equal">
      <formula>-1</formula>
    </cfRule>
  </conditionalFormatting>
  <conditionalFormatting sqref="BH5">
    <cfRule type="cellIs" dxfId="7651" priority="142105" stopIfTrue="1" operator="lessThan">
      <formula>0.5</formula>
    </cfRule>
  </conditionalFormatting>
  <conditionalFormatting sqref="BH5">
    <cfRule type="cellIs" dxfId="7650" priority="142106" stopIfTrue="1" operator="greaterThanOrEqual">
      <formula>0.5</formula>
    </cfRule>
  </conditionalFormatting>
  <conditionalFormatting sqref="BH6">
    <cfRule type="cellIs" dxfId="7649" priority="142107" stopIfTrue="1" operator="equal">
      <formula>-1</formula>
    </cfRule>
  </conditionalFormatting>
  <conditionalFormatting sqref="BH6">
    <cfRule type="cellIs" dxfId="7648" priority="142108" stopIfTrue="1" operator="lessThan">
      <formula>0.5</formula>
    </cfRule>
  </conditionalFormatting>
  <conditionalFormatting sqref="BH6">
    <cfRule type="cellIs" dxfId="7647" priority="142109" stopIfTrue="1" operator="greaterThanOrEqual">
      <formula>0.5</formula>
    </cfRule>
  </conditionalFormatting>
  <conditionalFormatting sqref="BJ5">
    <cfRule type="cellIs" dxfId="7646" priority="142110" stopIfTrue="1" operator="equal">
      <formula>-1</formula>
    </cfRule>
  </conditionalFormatting>
  <conditionalFormatting sqref="BJ5">
    <cfRule type="cellIs" dxfId="7645" priority="142111" stopIfTrue="1" operator="lessThan">
      <formula>0.5</formula>
    </cfRule>
  </conditionalFormatting>
  <conditionalFormatting sqref="BJ5">
    <cfRule type="cellIs" dxfId="7644" priority="142112" stopIfTrue="1" operator="greaterThanOrEqual">
      <formula>0.5</formula>
    </cfRule>
  </conditionalFormatting>
  <conditionalFormatting sqref="BJ6">
    <cfRule type="cellIs" dxfId="7643" priority="142113" stopIfTrue="1" operator="equal">
      <formula>-1</formula>
    </cfRule>
  </conditionalFormatting>
  <conditionalFormatting sqref="BJ6">
    <cfRule type="cellIs" dxfId="7642" priority="142114" stopIfTrue="1" operator="lessThan">
      <formula>0.5</formula>
    </cfRule>
  </conditionalFormatting>
  <conditionalFormatting sqref="BJ6">
    <cfRule type="cellIs" dxfId="7641" priority="142115" stopIfTrue="1" operator="greaterThanOrEqual">
      <formula>0.5</formula>
    </cfRule>
  </conditionalFormatting>
  <conditionalFormatting sqref="D8">
    <cfRule type="cellIs" dxfId="7640" priority="142116" stopIfTrue="1" operator="equal">
      <formula>-1</formula>
    </cfRule>
  </conditionalFormatting>
  <conditionalFormatting sqref="D8">
    <cfRule type="cellIs" dxfId="7639" priority="142117" stopIfTrue="1" operator="lessThan">
      <formula>0.5</formula>
    </cfRule>
  </conditionalFormatting>
  <conditionalFormatting sqref="D8">
    <cfRule type="cellIs" dxfId="7638" priority="142118" stopIfTrue="1" operator="greaterThanOrEqual">
      <formula>0.5</formula>
    </cfRule>
  </conditionalFormatting>
  <conditionalFormatting sqref="D9">
    <cfRule type="cellIs" dxfId="7637" priority="142119" stopIfTrue="1" operator="equal">
      <formula>-1</formula>
    </cfRule>
  </conditionalFormatting>
  <conditionalFormatting sqref="D9">
    <cfRule type="cellIs" dxfId="7636" priority="142120" stopIfTrue="1" operator="lessThan">
      <formula>0.5</formula>
    </cfRule>
  </conditionalFormatting>
  <conditionalFormatting sqref="D9">
    <cfRule type="cellIs" dxfId="7635" priority="142121" stopIfTrue="1" operator="greaterThanOrEqual">
      <formula>0.5</formula>
    </cfRule>
  </conditionalFormatting>
  <conditionalFormatting sqref="D10">
    <cfRule type="cellIs" dxfId="7634" priority="142122" stopIfTrue="1" operator="equal">
      <formula>-1</formula>
    </cfRule>
  </conditionalFormatting>
  <conditionalFormatting sqref="D10">
    <cfRule type="cellIs" dxfId="7633" priority="142123" stopIfTrue="1" operator="lessThan">
      <formula>0.5</formula>
    </cfRule>
  </conditionalFormatting>
  <conditionalFormatting sqref="D10">
    <cfRule type="cellIs" dxfId="7632" priority="142124" stopIfTrue="1" operator="greaterThanOrEqual">
      <formula>0.5</formula>
    </cfRule>
  </conditionalFormatting>
  <conditionalFormatting sqref="D11">
    <cfRule type="cellIs" dxfId="7631" priority="142125" stopIfTrue="1" operator="equal">
      <formula>-1</formula>
    </cfRule>
  </conditionalFormatting>
  <conditionalFormatting sqref="D11">
    <cfRule type="cellIs" dxfId="7630" priority="142126" stopIfTrue="1" operator="lessThan">
      <formula>0.5</formula>
    </cfRule>
  </conditionalFormatting>
  <conditionalFormatting sqref="D11">
    <cfRule type="cellIs" dxfId="7629" priority="142127" stopIfTrue="1" operator="greaterThanOrEqual">
      <formula>0.5</formula>
    </cfRule>
  </conditionalFormatting>
  <conditionalFormatting sqref="D12">
    <cfRule type="cellIs" dxfId="7628" priority="142128" stopIfTrue="1" operator="equal">
      <formula>-1</formula>
    </cfRule>
  </conditionalFormatting>
  <conditionalFormatting sqref="D12">
    <cfRule type="cellIs" dxfId="7627" priority="142129" stopIfTrue="1" operator="lessThan">
      <formula>0.5</formula>
    </cfRule>
  </conditionalFormatting>
  <conditionalFormatting sqref="D12">
    <cfRule type="cellIs" dxfId="7626" priority="142130" stopIfTrue="1" operator="greaterThanOrEqual">
      <formula>0.5</formula>
    </cfRule>
  </conditionalFormatting>
  <conditionalFormatting sqref="D13">
    <cfRule type="cellIs" dxfId="7625" priority="142131" stopIfTrue="1" operator="equal">
      <formula>-1</formula>
    </cfRule>
  </conditionalFormatting>
  <conditionalFormatting sqref="D13">
    <cfRule type="cellIs" dxfId="7624" priority="142132" stopIfTrue="1" operator="lessThan">
      <formula>0.5</formula>
    </cfRule>
  </conditionalFormatting>
  <conditionalFormatting sqref="D13">
    <cfRule type="cellIs" dxfId="7623" priority="142133" stopIfTrue="1" operator="greaterThanOrEqual">
      <formula>0.5</formula>
    </cfRule>
  </conditionalFormatting>
  <conditionalFormatting sqref="D14">
    <cfRule type="cellIs" dxfId="7622" priority="142134" stopIfTrue="1" operator="equal">
      <formula>-1</formula>
    </cfRule>
  </conditionalFormatting>
  <conditionalFormatting sqref="D14">
    <cfRule type="cellIs" dxfId="7621" priority="142135" stopIfTrue="1" operator="lessThan">
      <formula>0.5</formula>
    </cfRule>
  </conditionalFormatting>
  <conditionalFormatting sqref="D14">
    <cfRule type="cellIs" dxfId="7620" priority="142136" stopIfTrue="1" operator="greaterThanOrEqual">
      <formula>0.5</formula>
    </cfRule>
  </conditionalFormatting>
  <conditionalFormatting sqref="D15">
    <cfRule type="cellIs" dxfId="7619" priority="142137" stopIfTrue="1" operator="equal">
      <formula>-1</formula>
    </cfRule>
  </conditionalFormatting>
  <conditionalFormatting sqref="D15">
    <cfRule type="cellIs" dxfId="7618" priority="142138" stopIfTrue="1" operator="lessThan">
      <formula>0.5</formula>
    </cfRule>
  </conditionalFormatting>
  <conditionalFormatting sqref="D15">
    <cfRule type="cellIs" dxfId="7617" priority="142139" stopIfTrue="1" operator="greaterThanOrEqual">
      <formula>0.5</formula>
    </cfRule>
  </conditionalFormatting>
  <conditionalFormatting sqref="F8">
    <cfRule type="cellIs" dxfId="7616" priority="142140" stopIfTrue="1" operator="equal">
      <formula>-1</formula>
    </cfRule>
  </conditionalFormatting>
  <conditionalFormatting sqref="F8">
    <cfRule type="cellIs" dxfId="7615" priority="142141" stopIfTrue="1" operator="lessThan">
      <formula>0.5</formula>
    </cfRule>
  </conditionalFormatting>
  <conditionalFormatting sqref="F8">
    <cfRule type="cellIs" dxfId="7614" priority="142142" stopIfTrue="1" operator="greaterThanOrEqual">
      <formula>0.5</formula>
    </cfRule>
  </conditionalFormatting>
  <conditionalFormatting sqref="F9">
    <cfRule type="cellIs" dxfId="7613" priority="142143" stopIfTrue="1" operator="equal">
      <formula>-1</formula>
    </cfRule>
  </conditionalFormatting>
  <conditionalFormatting sqref="F9">
    <cfRule type="cellIs" dxfId="7612" priority="142144" stopIfTrue="1" operator="lessThan">
      <formula>0.5</formula>
    </cfRule>
  </conditionalFormatting>
  <conditionalFormatting sqref="F9">
    <cfRule type="cellIs" dxfId="7611" priority="142145" stopIfTrue="1" operator="greaterThanOrEqual">
      <formula>0.5</formula>
    </cfRule>
  </conditionalFormatting>
  <conditionalFormatting sqref="F10">
    <cfRule type="cellIs" dxfId="7610" priority="142146" stopIfTrue="1" operator="equal">
      <formula>-1</formula>
    </cfRule>
  </conditionalFormatting>
  <conditionalFormatting sqref="F10">
    <cfRule type="cellIs" dxfId="7609" priority="142147" stopIfTrue="1" operator="lessThan">
      <formula>0.5</formula>
    </cfRule>
  </conditionalFormatting>
  <conditionalFormatting sqref="F10">
    <cfRule type="cellIs" dxfId="7608" priority="142148" stopIfTrue="1" operator="greaterThanOrEqual">
      <formula>0.5</formula>
    </cfRule>
  </conditionalFormatting>
  <conditionalFormatting sqref="F11">
    <cfRule type="cellIs" dxfId="7607" priority="142149" stopIfTrue="1" operator="equal">
      <formula>-1</formula>
    </cfRule>
  </conditionalFormatting>
  <conditionalFormatting sqref="F11">
    <cfRule type="cellIs" dxfId="7606" priority="142150" stopIfTrue="1" operator="lessThan">
      <formula>0.5</formula>
    </cfRule>
  </conditionalFormatting>
  <conditionalFormatting sqref="F11">
    <cfRule type="cellIs" dxfId="7605" priority="142151" stopIfTrue="1" operator="greaterThanOrEqual">
      <formula>0.5</formula>
    </cfRule>
  </conditionalFormatting>
  <conditionalFormatting sqref="F12">
    <cfRule type="cellIs" dxfId="7604" priority="142152" stopIfTrue="1" operator="equal">
      <formula>-1</formula>
    </cfRule>
  </conditionalFormatting>
  <conditionalFormatting sqref="F12">
    <cfRule type="cellIs" dxfId="7603" priority="142153" stopIfTrue="1" operator="lessThan">
      <formula>0.5</formula>
    </cfRule>
  </conditionalFormatting>
  <conditionalFormatting sqref="F12">
    <cfRule type="cellIs" dxfId="7602" priority="142154" stopIfTrue="1" operator="greaterThanOrEqual">
      <formula>0.5</formula>
    </cfRule>
  </conditionalFormatting>
  <conditionalFormatting sqref="F13">
    <cfRule type="cellIs" dxfId="7601" priority="142155" stopIfTrue="1" operator="equal">
      <formula>-1</formula>
    </cfRule>
  </conditionalFormatting>
  <conditionalFormatting sqref="F13">
    <cfRule type="cellIs" dxfId="7600" priority="142156" stopIfTrue="1" operator="lessThan">
      <formula>0.5</formula>
    </cfRule>
  </conditionalFormatting>
  <conditionalFormatting sqref="F13">
    <cfRule type="cellIs" dxfId="7599" priority="142157" stopIfTrue="1" operator="greaterThanOrEqual">
      <formula>0.5</formula>
    </cfRule>
  </conditionalFormatting>
  <conditionalFormatting sqref="F14">
    <cfRule type="cellIs" dxfId="7598" priority="142158" stopIfTrue="1" operator="equal">
      <formula>-1</formula>
    </cfRule>
  </conditionalFormatting>
  <conditionalFormatting sqref="F14">
    <cfRule type="cellIs" dxfId="7597" priority="142159" stopIfTrue="1" operator="lessThan">
      <formula>0.5</formula>
    </cfRule>
  </conditionalFormatting>
  <conditionalFormatting sqref="F14">
    <cfRule type="cellIs" dxfId="7596" priority="142160" stopIfTrue="1" operator="greaterThanOrEqual">
      <formula>0.5</formula>
    </cfRule>
  </conditionalFormatting>
  <conditionalFormatting sqref="F15">
    <cfRule type="cellIs" dxfId="7595" priority="142161" stopIfTrue="1" operator="equal">
      <formula>-1</formula>
    </cfRule>
  </conditionalFormatting>
  <conditionalFormatting sqref="F15">
    <cfRule type="cellIs" dxfId="7594" priority="142162" stopIfTrue="1" operator="lessThan">
      <formula>0.5</formula>
    </cfRule>
  </conditionalFormatting>
  <conditionalFormatting sqref="F15">
    <cfRule type="cellIs" dxfId="7593" priority="142163" stopIfTrue="1" operator="greaterThanOrEqual">
      <formula>0.5</formula>
    </cfRule>
  </conditionalFormatting>
  <conditionalFormatting sqref="H8">
    <cfRule type="cellIs" dxfId="7592" priority="142164" stopIfTrue="1" operator="equal">
      <formula>-1</formula>
    </cfRule>
  </conditionalFormatting>
  <conditionalFormatting sqref="H8">
    <cfRule type="cellIs" dxfId="7591" priority="142165" stopIfTrue="1" operator="lessThan">
      <formula>0.5</formula>
    </cfRule>
  </conditionalFormatting>
  <conditionalFormatting sqref="H8">
    <cfRule type="cellIs" dxfId="7590" priority="142166" stopIfTrue="1" operator="greaterThanOrEqual">
      <formula>0.5</formula>
    </cfRule>
  </conditionalFormatting>
  <conditionalFormatting sqref="H9">
    <cfRule type="cellIs" dxfId="7589" priority="142167" stopIfTrue="1" operator="equal">
      <formula>-1</formula>
    </cfRule>
  </conditionalFormatting>
  <conditionalFormatting sqref="H9">
    <cfRule type="cellIs" dxfId="7588" priority="142168" stopIfTrue="1" operator="lessThan">
      <formula>0.5</formula>
    </cfRule>
  </conditionalFormatting>
  <conditionalFormatting sqref="H9">
    <cfRule type="cellIs" dxfId="7587" priority="142169" stopIfTrue="1" operator="greaterThanOrEqual">
      <formula>0.5</formula>
    </cfRule>
  </conditionalFormatting>
  <conditionalFormatting sqref="H10">
    <cfRule type="cellIs" dxfId="7586" priority="142170" stopIfTrue="1" operator="equal">
      <formula>-1</formula>
    </cfRule>
  </conditionalFormatting>
  <conditionalFormatting sqref="H10">
    <cfRule type="cellIs" dxfId="7585" priority="142171" stopIfTrue="1" operator="lessThan">
      <formula>0.5</formula>
    </cfRule>
  </conditionalFormatting>
  <conditionalFormatting sqref="H10">
    <cfRule type="cellIs" dxfId="7584" priority="142172" stopIfTrue="1" operator="greaterThanOrEqual">
      <formula>0.5</formula>
    </cfRule>
  </conditionalFormatting>
  <conditionalFormatting sqref="H11">
    <cfRule type="cellIs" dxfId="7583" priority="142173" stopIfTrue="1" operator="equal">
      <formula>-1</formula>
    </cfRule>
  </conditionalFormatting>
  <conditionalFormatting sqref="H11">
    <cfRule type="cellIs" dxfId="7582" priority="142174" stopIfTrue="1" operator="lessThan">
      <formula>0.5</formula>
    </cfRule>
  </conditionalFormatting>
  <conditionalFormatting sqref="H11">
    <cfRule type="cellIs" dxfId="7581" priority="142175" stopIfTrue="1" operator="greaterThanOrEqual">
      <formula>0.5</formula>
    </cfRule>
  </conditionalFormatting>
  <conditionalFormatting sqref="H12">
    <cfRule type="cellIs" dxfId="7580" priority="142176" stopIfTrue="1" operator="equal">
      <formula>-1</formula>
    </cfRule>
  </conditionalFormatting>
  <conditionalFormatting sqref="H12">
    <cfRule type="cellIs" dxfId="7579" priority="142177" stopIfTrue="1" operator="lessThan">
      <formula>0.5</formula>
    </cfRule>
  </conditionalFormatting>
  <conditionalFormatting sqref="H12">
    <cfRule type="cellIs" dxfId="7578" priority="142178" stopIfTrue="1" operator="greaterThanOrEqual">
      <formula>0.5</formula>
    </cfRule>
  </conditionalFormatting>
  <conditionalFormatting sqref="H13">
    <cfRule type="cellIs" dxfId="7577" priority="142179" stopIfTrue="1" operator="equal">
      <formula>-1</formula>
    </cfRule>
  </conditionalFormatting>
  <conditionalFormatting sqref="H13">
    <cfRule type="cellIs" dxfId="7576" priority="142180" stopIfTrue="1" operator="lessThan">
      <formula>0.5</formula>
    </cfRule>
  </conditionalFormatting>
  <conditionalFormatting sqref="H13">
    <cfRule type="cellIs" dxfId="7575" priority="142181" stopIfTrue="1" operator="greaterThanOrEqual">
      <formula>0.5</formula>
    </cfRule>
  </conditionalFormatting>
  <conditionalFormatting sqref="H14">
    <cfRule type="cellIs" dxfId="7574" priority="142182" stopIfTrue="1" operator="equal">
      <formula>-1</formula>
    </cfRule>
  </conditionalFormatting>
  <conditionalFormatting sqref="H14">
    <cfRule type="cellIs" dxfId="7573" priority="142183" stopIfTrue="1" operator="lessThan">
      <formula>0.5</formula>
    </cfRule>
  </conditionalFormatting>
  <conditionalFormatting sqref="H14">
    <cfRule type="cellIs" dxfId="7572" priority="142184" stopIfTrue="1" operator="greaterThanOrEqual">
      <formula>0.5</formula>
    </cfRule>
  </conditionalFormatting>
  <conditionalFormatting sqref="H15">
    <cfRule type="cellIs" dxfId="7571" priority="142185" stopIfTrue="1" operator="equal">
      <formula>-1</formula>
    </cfRule>
  </conditionalFormatting>
  <conditionalFormatting sqref="H15">
    <cfRule type="cellIs" dxfId="7570" priority="142186" stopIfTrue="1" operator="lessThan">
      <formula>0.5</formula>
    </cfRule>
  </conditionalFormatting>
  <conditionalFormatting sqref="H15">
    <cfRule type="cellIs" dxfId="7569" priority="142187" stopIfTrue="1" operator="greaterThanOrEqual">
      <formula>0.5</formula>
    </cfRule>
  </conditionalFormatting>
  <conditionalFormatting sqref="J8">
    <cfRule type="cellIs" dxfId="7568" priority="142188" stopIfTrue="1" operator="equal">
      <formula>-1</formula>
    </cfRule>
  </conditionalFormatting>
  <conditionalFormatting sqref="J8">
    <cfRule type="cellIs" dxfId="7567" priority="142189" stopIfTrue="1" operator="lessThan">
      <formula>0.5</formula>
    </cfRule>
  </conditionalFormatting>
  <conditionalFormatting sqref="J8">
    <cfRule type="cellIs" dxfId="7566" priority="142190" stopIfTrue="1" operator="greaterThanOrEqual">
      <formula>0.5</formula>
    </cfRule>
  </conditionalFormatting>
  <conditionalFormatting sqref="J9">
    <cfRule type="cellIs" dxfId="7565" priority="142191" stopIfTrue="1" operator="equal">
      <formula>-1</formula>
    </cfRule>
  </conditionalFormatting>
  <conditionalFormatting sqref="J9">
    <cfRule type="cellIs" dxfId="7564" priority="142192" stopIfTrue="1" operator="lessThan">
      <formula>0.5</formula>
    </cfRule>
  </conditionalFormatting>
  <conditionalFormatting sqref="J9">
    <cfRule type="cellIs" dxfId="7563" priority="142193" stopIfTrue="1" operator="greaterThanOrEqual">
      <formula>0.5</formula>
    </cfRule>
  </conditionalFormatting>
  <conditionalFormatting sqref="J10">
    <cfRule type="cellIs" dxfId="7562" priority="142194" stopIfTrue="1" operator="equal">
      <formula>-1</formula>
    </cfRule>
  </conditionalFormatting>
  <conditionalFormatting sqref="J10">
    <cfRule type="cellIs" dxfId="7561" priority="142195" stopIfTrue="1" operator="lessThan">
      <formula>0.5</formula>
    </cfRule>
  </conditionalFormatting>
  <conditionalFormatting sqref="J10">
    <cfRule type="cellIs" dxfId="7560" priority="142196" stopIfTrue="1" operator="greaterThanOrEqual">
      <formula>0.5</formula>
    </cfRule>
  </conditionalFormatting>
  <conditionalFormatting sqref="J11">
    <cfRule type="cellIs" dxfId="7559" priority="142197" stopIfTrue="1" operator="equal">
      <formula>-1</formula>
    </cfRule>
  </conditionalFormatting>
  <conditionalFormatting sqref="J11">
    <cfRule type="cellIs" dxfId="7558" priority="142198" stopIfTrue="1" operator="lessThan">
      <formula>0.5</formula>
    </cfRule>
  </conditionalFormatting>
  <conditionalFormatting sqref="J11">
    <cfRule type="cellIs" dxfId="7557" priority="142199" stopIfTrue="1" operator="greaterThanOrEqual">
      <formula>0.5</formula>
    </cfRule>
  </conditionalFormatting>
  <conditionalFormatting sqref="J12">
    <cfRule type="cellIs" dxfId="7556" priority="142200" stopIfTrue="1" operator="equal">
      <formula>-1</formula>
    </cfRule>
  </conditionalFormatting>
  <conditionalFormatting sqref="J12">
    <cfRule type="cellIs" dxfId="7555" priority="142201" stopIfTrue="1" operator="lessThan">
      <formula>0.5</formula>
    </cfRule>
  </conditionalFormatting>
  <conditionalFormatting sqref="J12">
    <cfRule type="cellIs" dxfId="7554" priority="142202" stopIfTrue="1" operator="greaterThanOrEqual">
      <formula>0.5</formula>
    </cfRule>
  </conditionalFormatting>
  <conditionalFormatting sqref="J13">
    <cfRule type="cellIs" dxfId="7553" priority="142203" stopIfTrue="1" operator="equal">
      <formula>-1</formula>
    </cfRule>
  </conditionalFormatting>
  <conditionalFormatting sqref="J13">
    <cfRule type="cellIs" dxfId="7552" priority="142204" stopIfTrue="1" operator="lessThan">
      <formula>0.5</formula>
    </cfRule>
  </conditionalFormatting>
  <conditionalFormatting sqref="J13">
    <cfRule type="cellIs" dxfId="7551" priority="142205" stopIfTrue="1" operator="greaterThanOrEqual">
      <formula>0.5</formula>
    </cfRule>
  </conditionalFormatting>
  <conditionalFormatting sqref="J14">
    <cfRule type="cellIs" dxfId="7550" priority="142206" stopIfTrue="1" operator="equal">
      <formula>-1</formula>
    </cfRule>
  </conditionalFormatting>
  <conditionalFormatting sqref="J14">
    <cfRule type="cellIs" dxfId="7549" priority="142207" stopIfTrue="1" operator="lessThan">
      <formula>0.5</formula>
    </cfRule>
  </conditionalFormatting>
  <conditionalFormatting sqref="J14">
    <cfRule type="cellIs" dxfId="7548" priority="142208" stopIfTrue="1" operator="greaterThanOrEqual">
      <formula>0.5</formula>
    </cfRule>
  </conditionalFormatting>
  <conditionalFormatting sqref="J15">
    <cfRule type="cellIs" dxfId="7547" priority="142209" stopIfTrue="1" operator="equal">
      <formula>-1</formula>
    </cfRule>
  </conditionalFormatting>
  <conditionalFormatting sqref="J15">
    <cfRule type="cellIs" dxfId="7546" priority="142210" stopIfTrue="1" operator="lessThan">
      <formula>0.5</formula>
    </cfRule>
  </conditionalFormatting>
  <conditionalFormatting sqref="J15">
    <cfRule type="cellIs" dxfId="7545" priority="142211" stopIfTrue="1" operator="greaterThanOrEqual">
      <formula>0.5</formula>
    </cfRule>
  </conditionalFormatting>
  <conditionalFormatting sqref="L8">
    <cfRule type="cellIs" dxfId="7544" priority="142212" stopIfTrue="1" operator="equal">
      <formula>-1</formula>
    </cfRule>
  </conditionalFormatting>
  <conditionalFormatting sqref="L8">
    <cfRule type="cellIs" dxfId="7543" priority="142213" stopIfTrue="1" operator="lessThan">
      <formula>0.5</formula>
    </cfRule>
  </conditionalFormatting>
  <conditionalFormatting sqref="L8">
    <cfRule type="cellIs" dxfId="7542" priority="142214" stopIfTrue="1" operator="greaterThanOrEqual">
      <formula>0.5</formula>
    </cfRule>
  </conditionalFormatting>
  <conditionalFormatting sqref="L9">
    <cfRule type="cellIs" dxfId="7541" priority="142215" stopIfTrue="1" operator="equal">
      <formula>-1</formula>
    </cfRule>
  </conditionalFormatting>
  <conditionalFormatting sqref="L9">
    <cfRule type="cellIs" dxfId="7540" priority="142216" stopIfTrue="1" operator="lessThan">
      <formula>0.5</formula>
    </cfRule>
  </conditionalFormatting>
  <conditionalFormatting sqref="L9">
    <cfRule type="cellIs" dxfId="7539" priority="142217" stopIfTrue="1" operator="greaterThanOrEqual">
      <formula>0.5</formula>
    </cfRule>
  </conditionalFormatting>
  <conditionalFormatting sqref="L10">
    <cfRule type="cellIs" dxfId="7538" priority="142218" stopIfTrue="1" operator="equal">
      <formula>-1</formula>
    </cfRule>
  </conditionalFormatting>
  <conditionalFormatting sqref="L10">
    <cfRule type="cellIs" dxfId="7537" priority="142219" stopIfTrue="1" operator="lessThan">
      <formula>0.5</formula>
    </cfRule>
  </conditionalFormatting>
  <conditionalFormatting sqref="L10">
    <cfRule type="cellIs" dxfId="7536" priority="142220" stopIfTrue="1" operator="greaterThanOrEqual">
      <formula>0.5</formula>
    </cfRule>
  </conditionalFormatting>
  <conditionalFormatting sqref="L11">
    <cfRule type="cellIs" dxfId="7535" priority="142221" stopIfTrue="1" operator="equal">
      <formula>-1</formula>
    </cfRule>
  </conditionalFormatting>
  <conditionalFormatting sqref="L11">
    <cfRule type="cellIs" dxfId="7534" priority="142222" stopIfTrue="1" operator="lessThan">
      <formula>0.5</formula>
    </cfRule>
  </conditionalFormatting>
  <conditionalFormatting sqref="L11">
    <cfRule type="cellIs" dxfId="7533" priority="142223" stopIfTrue="1" operator="greaterThanOrEqual">
      <formula>0.5</formula>
    </cfRule>
  </conditionalFormatting>
  <conditionalFormatting sqref="L12">
    <cfRule type="cellIs" dxfId="7532" priority="142224" stopIfTrue="1" operator="equal">
      <formula>-1</formula>
    </cfRule>
  </conditionalFormatting>
  <conditionalFormatting sqref="L12">
    <cfRule type="cellIs" dxfId="7531" priority="142225" stopIfTrue="1" operator="lessThan">
      <formula>0.5</formula>
    </cfRule>
  </conditionalFormatting>
  <conditionalFormatting sqref="L12">
    <cfRule type="cellIs" dxfId="7530" priority="142226" stopIfTrue="1" operator="greaterThanOrEqual">
      <formula>0.5</formula>
    </cfRule>
  </conditionalFormatting>
  <conditionalFormatting sqref="L13">
    <cfRule type="cellIs" dxfId="7529" priority="142227" stopIfTrue="1" operator="equal">
      <formula>-1</formula>
    </cfRule>
  </conditionalFormatting>
  <conditionalFormatting sqref="L13">
    <cfRule type="cellIs" dxfId="7528" priority="142228" stopIfTrue="1" operator="lessThan">
      <formula>0.5</formula>
    </cfRule>
  </conditionalFormatting>
  <conditionalFormatting sqref="L13">
    <cfRule type="cellIs" dxfId="7527" priority="142229" stopIfTrue="1" operator="greaterThanOrEqual">
      <formula>0.5</formula>
    </cfRule>
  </conditionalFormatting>
  <conditionalFormatting sqref="L14">
    <cfRule type="cellIs" dxfId="7526" priority="142230" stopIfTrue="1" operator="equal">
      <formula>-1</formula>
    </cfRule>
  </conditionalFormatting>
  <conditionalFormatting sqref="L14">
    <cfRule type="cellIs" dxfId="7525" priority="142231" stopIfTrue="1" operator="lessThan">
      <formula>0.5</formula>
    </cfRule>
  </conditionalFormatting>
  <conditionalFormatting sqref="L14">
    <cfRule type="cellIs" dxfId="7524" priority="142232" stopIfTrue="1" operator="greaterThanOrEqual">
      <formula>0.5</formula>
    </cfRule>
  </conditionalFormatting>
  <conditionalFormatting sqref="L15">
    <cfRule type="cellIs" dxfId="7523" priority="142233" stopIfTrue="1" operator="equal">
      <formula>-1</formula>
    </cfRule>
  </conditionalFormatting>
  <conditionalFormatting sqref="L15">
    <cfRule type="cellIs" dxfId="7522" priority="142234" stopIfTrue="1" operator="lessThan">
      <formula>0.5</formula>
    </cfRule>
  </conditionalFormatting>
  <conditionalFormatting sqref="L15">
    <cfRule type="cellIs" dxfId="7521" priority="142235" stopIfTrue="1" operator="greaterThanOrEqual">
      <formula>0.5</formula>
    </cfRule>
  </conditionalFormatting>
  <conditionalFormatting sqref="N8">
    <cfRule type="cellIs" dxfId="7520" priority="142236" stopIfTrue="1" operator="equal">
      <formula>-1</formula>
    </cfRule>
  </conditionalFormatting>
  <conditionalFormatting sqref="N8">
    <cfRule type="cellIs" dxfId="7519" priority="142237" stopIfTrue="1" operator="lessThan">
      <formula>0.5</formula>
    </cfRule>
  </conditionalFormatting>
  <conditionalFormatting sqref="N8">
    <cfRule type="cellIs" dxfId="7518" priority="142238" stopIfTrue="1" operator="greaterThanOrEqual">
      <formula>0.5</formula>
    </cfRule>
  </conditionalFormatting>
  <conditionalFormatting sqref="N9">
    <cfRule type="cellIs" dxfId="7517" priority="142239" stopIfTrue="1" operator="equal">
      <formula>-1</formula>
    </cfRule>
  </conditionalFormatting>
  <conditionalFormatting sqref="N9">
    <cfRule type="cellIs" dxfId="7516" priority="142240" stopIfTrue="1" operator="lessThan">
      <formula>0.5</formula>
    </cfRule>
  </conditionalFormatting>
  <conditionalFormatting sqref="N9">
    <cfRule type="cellIs" dxfId="7515" priority="142241" stopIfTrue="1" operator="greaterThanOrEqual">
      <formula>0.5</formula>
    </cfRule>
  </conditionalFormatting>
  <conditionalFormatting sqref="N10">
    <cfRule type="cellIs" dxfId="7514" priority="142242" stopIfTrue="1" operator="equal">
      <formula>-1</formula>
    </cfRule>
  </conditionalFormatting>
  <conditionalFormatting sqref="N10">
    <cfRule type="cellIs" dxfId="7513" priority="142243" stopIfTrue="1" operator="lessThan">
      <formula>0.5</formula>
    </cfRule>
  </conditionalFormatting>
  <conditionalFormatting sqref="N10">
    <cfRule type="cellIs" dxfId="7512" priority="142244" stopIfTrue="1" operator="greaterThanOrEqual">
      <formula>0.5</formula>
    </cfRule>
  </conditionalFormatting>
  <conditionalFormatting sqref="N11">
    <cfRule type="cellIs" dxfId="7511" priority="142245" stopIfTrue="1" operator="equal">
      <formula>-1</formula>
    </cfRule>
  </conditionalFormatting>
  <conditionalFormatting sqref="N11">
    <cfRule type="cellIs" dxfId="7510" priority="142246" stopIfTrue="1" operator="lessThan">
      <formula>0.5</formula>
    </cfRule>
  </conditionalFormatting>
  <conditionalFormatting sqref="N11">
    <cfRule type="cellIs" dxfId="7509" priority="142247" stopIfTrue="1" operator="greaterThanOrEqual">
      <formula>0.5</formula>
    </cfRule>
  </conditionalFormatting>
  <conditionalFormatting sqref="N12">
    <cfRule type="cellIs" dxfId="7508" priority="142248" stopIfTrue="1" operator="equal">
      <formula>-1</formula>
    </cfRule>
  </conditionalFormatting>
  <conditionalFormatting sqref="N12">
    <cfRule type="cellIs" dxfId="7507" priority="142249" stopIfTrue="1" operator="lessThan">
      <formula>0.5</formula>
    </cfRule>
  </conditionalFormatting>
  <conditionalFormatting sqref="N12">
    <cfRule type="cellIs" dxfId="7506" priority="142250" stopIfTrue="1" operator="greaterThanOrEqual">
      <formula>0.5</formula>
    </cfRule>
  </conditionalFormatting>
  <conditionalFormatting sqref="N13">
    <cfRule type="cellIs" dxfId="7505" priority="142251" stopIfTrue="1" operator="equal">
      <formula>-1</formula>
    </cfRule>
  </conditionalFormatting>
  <conditionalFormatting sqref="N13">
    <cfRule type="cellIs" dxfId="7504" priority="142252" stopIfTrue="1" operator="lessThan">
      <formula>0.5</formula>
    </cfRule>
  </conditionalFormatting>
  <conditionalFormatting sqref="N13">
    <cfRule type="cellIs" dxfId="7503" priority="142253" stopIfTrue="1" operator="greaterThanOrEqual">
      <formula>0.5</formula>
    </cfRule>
  </conditionalFormatting>
  <conditionalFormatting sqref="N14">
    <cfRule type="cellIs" dxfId="7502" priority="142254" stopIfTrue="1" operator="equal">
      <formula>-1</formula>
    </cfRule>
  </conditionalFormatting>
  <conditionalFormatting sqref="N14">
    <cfRule type="cellIs" dxfId="7501" priority="142255" stopIfTrue="1" operator="lessThan">
      <formula>0.5</formula>
    </cfRule>
  </conditionalFormatting>
  <conditionalFormatting sqref="N14">
    <cfRule type="cellIs" dxfId="7500" priority="142256" stopIfTrue="1" operator="greaterThanOrEqual">
      <formula>0.5</formula>
    </cfRule>
  </conditionalFormatting>
  <conditionalFormatting sqref="N15">
    <cfRule type="cellIs" dxfId="7499" priority="142257" stopIfTrue="1" operator="equal">
      <formula>-1</formula>
    </cfRule>
  </conditionalFormatting>
  <conditionalFormatting sqref="N15">
    <cfRule type="cellIs" dxfId="7498" priority="142258" stopIfTrue="1" operator="lessThan">
      <formula>0.5</formula>
    </cfRule>
  </conditionalFormatting>
  <conditionalFormatting sqref="N15">
    <cfRule type="cellIs" dxfId="7497" priority="142259" stopIfTrue="1" operator="greaterThanOrEqual">
      <formula>0.5</formula>
    </cfRule>
  </conditionalFormatting>
  <conditionalFormatting sqref="P8">
    <cfRule type="cellIs" dxfId="7496" priority="142260" stopIfTrue="1" operator="equal">
      <formula>-1</formula>
    </cfRule>
  </conditionalFormatting>
  <conditionalFormatting sqref="P8">
    <cfRule type="cellIs" dxfId="7495" priority="142261" stopIfTrue="1" operator="lessThan">
      <formula>0.5</formula>
    </cfRule>
  </conditionalFormatting>
  <conditionalFormatting sqref="P8">
    <cfRule type="cellIs" dxfId="7494" priority="142262" stopIfTrue="1" operator="greaterThanOrEqual">
      <formula>0.5</formula>
    </cfRule>
  </conditionalFormatting>
  <conditionalFormatting sqref="P9">
    <cfRule type="cellIs" dxfId="7493" priority="142263" stopIfTrue="1" operator="equal">
      <formula>-1</formula>
    </cfRule>
  </conditionalFormatting>
  <conditionalFormatting sqref="P9">
    <cfRule type="cellIs" dxfId="7492" priority="142264" stopIfTrue="1" operator="lessThan">
      <formula>0.5</formula>
    </cfRule>
  </conditionalFormatting>
  <conditionalFormatting sqref="P9">
    <cfRule type="cellIs" dxfId="7491" priority="142265" stopIfTrue="1" operator="greaterThanOrEqual">
      <formula>0.5</formula>
    </cfRule>
  </conditionalFormatting>
  <conditionalFormatting sqref="P10">
    <cfRule type="cellIs" dxfId="7490" priority="142266" stopIfTrue="1" operator="equal">
      <formula>-1</formula>
    </cfRule>
  </conditionalFormatting>
  <conditionalFormatting sqref="P10">
    <cfRule type="cellIs" dxfId="7489" priority="142267" stopIfTrue="1" operator="lessThan">
      <formula>0.5</formula>
    </cfRule>
  </conditionalFormatting>
  <conditionalFormatting sqref="P10">
    <cfRule type="cellIs" dxfId="7488" priority="142268" stopIfTrue="1" operator="greaterThanOrEqual">
      <formula>0.5</formula>
    </cfRule>
  </conditionalFormatting>
  <conditionalFormatting sqref="P11">
    <cfRule type="cellIs" dxfId="7487" priority="142269" stopIfTrue="1" operator="equal">
      <formula>-1</formula>
    </cfRule>
  </conditionalFormatting>
  <conditionalFormatting sqref="P11">
    <cfRule type="cellIs" dxfId="7486" priority="142270" stopIfTrue="1" operator="lessThan">
      <formula>0.5</formula>
    </cfRule>
  </conditionalFormatting>
  <conditionalFormatting sqref="P11">
    <cfRule type="cellIs" dxfId="7485" priority="142271" stopIfTrue="1" operator="greaterThanOrEqual">
      <formula>0.5</formula>
    </cfRule>
  </conditionalFormatting>
  <conditionalFormatting sqref="P12">
    <cfRule type="cellIs" dxfId="7484" priority="142272" stopIfTrue="1" operator="equal">
      <formula>-1</formula>
    </cfRule>
  </conditionalFormatting>
  <conditionalFormatting sqref="P12">
    <cfRule type="cellIs" dxfId="7483" priority="142273" stopIfTrue="1" operator="lessThan">
      <formula>0.5</formula>
    </cfRule>
  </conditionalFormatting>
  <conditionalFormatting sqref="P12">
    <cfRule type="cellIs" dxfId="7482" priority="142274" stopIfTrue="1" operator="greaterThanOrEqual">
      <formula>0.5</formula>
    </cfRule>
  </conditionalFormatting>
  <conditionalFormatting sqref="P13">
    <cfRule type="cellIs" dxfId="7481" priority="142275" stopIfTrue="1" operator="equal">
      <formula>-1</formula>
    </cfRule>
  </conditionalFormatting>
  <conditionalFormatting sqref="P13">
    <cfRule type="cellIs" dxfId="7480" priority="142276" stopIfTrue="1" operator="lessThan">
      <formula>0.5</formula>
    </cfRule>
  </conditionalFormatting>
  <conditionalFormatting sqref="P13">
    <cfRule type="cellIs" dxfId="7479" priority="142277" stopIfTrue="1" operator="greaterThanOrEqual">
      <formula>0.5</formula>
    </cfRule>
  </conditionalFormatting>
  <conditionalFormatting sqref="P14">
    <cfRule type="cellIs" dxfId="7478" priority="142278" stopIfTrue="1" operator="equal">
      <formula>-1</formula>
    </cfRule>
  </conditionalFormatting>
  <conditionalFormatting sqref="P14">
    <cfRule type="cellIs" dxfId="7477" priority="142279" stopIfTrue="1" operator="lessThan">
      <formula>0.5</formula>
    </cfRule>
  </conditionalFormatting>
  <conditionalFormatting sqref="P14">
    <cfRule type="cellIs" dxfId="7476" priority="142280" stopIfTrue="1" operator="greaterThanOrEqual">
      <formula>0.5</formula>
    </cfRule>
  </conditionalFormatting>
  <conditionalFormatting sqref="P15">
    <cfRule type="cellIs" dxfId="7475" priority="142281" stopIfTrue="1" operator="equal">
      <formula>-1</formula>
    </cfRule>
  </conditionalFormatting>
  <conditionalFormatting sqref="P15">
    <cfRule type="cellIs" dxfId="7474" priority="142282" stopIfTrue="1" operator="lessThan">
      <formula>0.5</formula>
    </cfRule>
  </conditionalFormatting>
  <conditionalFormatting sqref="P15">
    <cfRule type="cellIs" dxfId="7473" priority="142283" stopIfTrue="1" operator="greaterThanOrEqual">
      <formula>0.5</formula>
    </cfRule>
  </conditionalFormatting>
  <conditionalFormatting sqref="R8">
    <cfRule type="cellIs" dxfId="7472" priority="142284" stopIfTrue="1" operator="equal">
      <formula>-1</formula>
    </cfRule>
  </conditionalFormatting>
  <conditionalFormatting sqref="R8">
    <cfRule type="cellIs" dxfId="7471" priority="142285" stopIfTrue="1" operator="lessThan">
      <formula>0.5</formula>
    </cfRule>
  </conditionalFormatting>
  <conditionalFormatting sqref="R8">
    <cfRule type="cellIs" dxfId="7470" priority="142286" stopIfTrue="1" operator="greaterThanOrEqual">
      <formula>0.5</formula>
    </cfRule>
  </conditionalFormatting>
  <conditionalFormatting sqref="R9">
    <cfRule type="cellIs" dxfId="7469" priority="142287" stopIfTrue="1" operator="equal">
      <formula>-1</formula>
    </cfRule>
  </conditionalFormatting>
  <conditionalFormatting sqref="R9">
    <cfRule type="cellIs" dxfId="7468" priority="142288" stopIfTrue="1" operator="lessThan">
      <formula>0.5</formula>
    </cfRule>
  </conditionalFormatting>
  <conditionalFormatting sqref="R9">
    <cfRule type="cellIs" dxfId="7467" priority="142289" stopIfTrue="1" operator="greaterThanOrEqual">
      <formula>0.5</formula>
    </cfRule>
  </conditionalFormatting>
  <conditionalFormatting sqref="R10">
    <cfRule type="cellIs" dxfId="7466" priority="142290" stopIfTrue="1" operator="equal">
      <formula>-1</formula>
    </cfRule>
  </conditionalFormatting>
  <conditionalFormatting sqref="R10">
    <cfRule type="cellIs" dxfId="7465" priority="142291" stopIfTrue="1" operator="lessThan">
      <formula>0.5</formula>
    </cfRule>
  </conditionalFormatting>
  <conditionalFormatting sqref="R10">
    <cfRule type="cellIs" dxfId="7464" priority="142292" stopIfTrue="1" operator="greaterThanOrEqual">
      <formula>0.5</formula>
    </cfRule>
  </conditionalFormatting>
  <conditionalFormatting sqref="R11">
    <cfRule type="cellIs" dxfId="7463" priority="142293" stopIfTrue="1" operator="equal">
      <formula>-1</formula>
    </cfRule>
  </conditionalFormatting>
  <conditionalFormatting sqref="R11">
    <cfRule type="cellIs" dxfId="7462" priority="142294" stopIfTrue="1" operator="lessThan">
      <formula>0.5</formula>
    </cfRule>
  </conditionalFormatting>
  <conditionalFormatting sqref="R11">
    <cfRule type="cellIs" dxfId="7461" priority="142295" stopIfTrue="1" operator="greaterThanOrEqual">
      <formula>0.5</formula>
    </cfRule>
  </conditionalFormatting>
  <conditionalFormatting sqref="R12">
    <cfRule type="cellIs" dxfId="7460" priority="142296" stopIfTrue="1" operator="equal">
      <formula>-1</formula>
    </cfRule>
  </conditionalFormatting>
  <conditionalFormatting sqref="R12">
    <cfRule type="cellIs" dxfId="7459" priority="142297" stopIfTrue="1" operator="lessThan">
      <formula>0.5</formula>
    </cfRule>
  </conditionalFormatting>
  <conditionalFormatting sqref="R12">
    <cfRule type="cellIs" dxfId="7458" priority="142298" stopIfTrue="1" operator="greaterThanOrEqual">
      <formula>0.5</formula>
    </cfRule>
  </conditionalFormatting>
  <conditionalFormatting sqref="R13">
    <cfRule type="cellIs" dxfId="7457" priority="142299" stopIfTrue="1" operator="equal">
      <formula>-1</formula>
    </cfRule>
  </conditionalFormatting>
  <conditionalFormatting sqref="R13">
    <cfRule type="cellIs" dxfId="7456" priority="142300" stopIfTrue="1" operator="lessThan">
      <formula>0.5</formula>
    </cfRule>
  </conditionalFormatting>
  <conditionalFormatting sqref="R13">
    <cfRule type="cellIs" dxfId="7455" priority="142301" stopIfTrue="1" operator="greaterThanOrEqual">
      <formula>0.5</formula>
    </cfRule>
  </conditionalFormatting>
  <conditionalFormatting sqref="R14">
    <cfRule type="cellIs" dxfId="7454" priority="142302" stopIfTrue="1" operator="equal">
      <formula>-1</formula>
    </cfRule>
  </conditionalFormatting>
  <conditionalFormatting sqref="R14">
    <cfRule type="cellIs" dxfId="7453" priority="142303" stopIfTrue="1" operator="lessThan">
      <formula>0.5</formula>
    </cfRule>
  </conditionalFormatting>
  <conditionalFormatting sqref="R14">
    <cfRule type="cellIs" dxfId="7452" priority="142304" stopIfTrue="1" operator="greaterThanOrEqual">
      <formula>0.5</formula>
    </cfRule>
  </conditionalFormatting>
  <conditionalFormatting sqref="R15">
    <cfRule type="cellIs" dxfId="7451" priority="142305" stopIfTrue="1" operator="equal">
      <formula>-1</formula>
    </cfRule>
  </conditionalFormatting>
  <conditionalFormatting sqref="R15">
    <cfRule type="cellIs" dxfId="7450" priority="142306" stopIfTrue="1" operator="lessThan">
      <formula>0.5</formula>
    </cfRule>
  </conditionalFormatting>
  <conditionalFormatting sqref="R15">
    <cfRule type="cellIs" dxfId="7449" priority="142307" stopIfTrue="1" operator="greaterThanOrEqual">
      <formula>0.5</formula>
    </cfRule>
  </conditionalFormatting>
  <conditionalFormatting sqref="T8">
    <cfRule type="cellIs" dxfId="7448" priority="142308" stopIfTrue="1" operator="equal">
      <formula>-1</formula>
    </cfRule>
  </conditionalFormatting>
  <conditionalFormatting sqref="T8">
    <cfRule type="cellIs" dxfId="7447" priority="142309" stopIfTrue="1" operator="lessThan">
      <formula>0.5</formula>
    </cfRule>
  </conditionalFormatting>
  <conditionalFormatting sqref="T8">
    <cfRule type="cellIs" dxfId="7446" priority="142310" stopIfTrue="1" operator="greaterThanOrEqual">
      <formula>0.5</formula>
    </cfRule>
  </conditionalFormatting>
  <conditionalFormatting sqref="T9">
    <cfRule type="cellIs" dxfId="7445" priority="142311" stopIfTrue="1" operator="equal">
      <formula>-1</formula>
    </cfRule>
  </conditionalFormatting>
  <conditionalFormatting sqref="T9">
    <cfRule type="cellIs" dxfId="7444" priority="142312" stopIfTrue="1" operator="lessThan">
      <formula>0.5</formula>
    </cfRule>
  </conditionalFormatting>
  <conditionalFormatting sqref="T9">
    <cfRule type="cellIs" dxfId="7443" priority="142313" stopIfTrue="1" operator="greaterThanOrEqual">
      <formula>0.5</formula>
    </cfRule>
  </conditionalFormatting>
  <conditionalFormatting sqref="T10">
    <cfRule type="cellIs" dxfId="7442" priority="142314" stopIfTrue="1" operator="equal">
      <formula>-1</formula>
    </cfRule>
  </conditionalFormatting>
  <conditionalFormatting sqref="T10">
    <cfRule type="cellIs" dxfId="7441" priority="142315" stopIfTrue="1" operator="lessThan">
      <formula>0.5</formula>
    </cfRule>
  </conditionalFormatting>
  <conditionalFormatting sqref="T10">
    <cfRule type="cellIs" dxfId="7440" priority="142316" stopIfTrue="1" operator="greaterThanOrEqual">
      <formula>0.5</formula>
    </cfRule>
  </conditionalFormatting>
  <conditionalFormatting sqref="T11">
    <cfRule type="cellIs" dxfId="7439" priority="142317" stopIfTrue="1" operator="equal">
      <formula>-1</formula>
    </cfRule>
  </conditionalFormatting>
  <conditionalFormatting sqref="T11">
    <cfRule type="cellIs" dxfId="7438" priority="142318" stopIfTrue="1" operator="lessThan">
      <formula>0.5</formula>
    </cfRule>
  </conditionalFormatting>
  <conditionalFormatting sqref="T11">
    <cfRule type="cellIs" dxfId="7437" priority="142319" stopIfTrue="1" operator="greaterThanOrEqual">
      <formula>0.5</formula>
    </cfRule>
  </conditionalFormatting>
  <conditionalFormatting sqref="T12">
    <cfRule type="cellIs" dxfId="7436" priority="142320" stopIfTrue="1" operator="equal">
      <formula>-1</formula>
    </cfRule>
  </conditionalFormatting>
  <conditionalFormatting sqref="T12">
    <cfRule type="cellIs" dxfId="7435" priority="142321" stopIfTrue="1" operator="lessThan">
      <formula>0.5</formula>
    </cfRule>
  </conditionalFormatting>
  <conditionalFormatting sqref="T12">
    <cfRule type="cellIs" dxfId="7434" priority="142322" stopIfTrue="1" operator="greaterThanOrEqual">
      <formula>0.5</formula>
    </cfRule>
  </conditionalFormatting>
  <conditionalFormatting sqref="T13">
    <cfRule type="cellIs" dxfId="7433" priority="142323" stopIfTrue="1" operator="equal">
      <formula>-1</formula>
    </cfRule>
  </conditionalFormatting>
  <conditionalFormatting sqref="T13">
    <cfRule type="cellIs" dxfId="7432" priority="142324" stopIfTrue="1" operator="lessThan">
      <formula>0.5</formula>
    </cfRule>
  </conditionalFormatting>
  <conditionalFormatting sqref="T13">
    <cfRule type="cellIs" dxfId="7431" priority="142325" stopIfTrue="1" operator="greaterThanOrEqual">
      <formula>0.5</formula>
    </cfRule>
  </conditionalFormatting>
  <conditionalFormatting sqref="T14">
    <cfRule type="cellIs" dxfId="7430" priority="142326" stopIfTrue="1" operator="equal">
      <formula>-1</formula>
    </cfRule>
  </conditionalFormatting>
  <conditionalFormatting sqref="T14">
    <cfRule type="cellIs" dxfId="7429" priority="142327" stopIfTrue="1" operator="lessThan">
      <formula>0.5</formula>
    </cfRule>
  </conditionalFormatting>
  <conditionalFormatting sqref="T14">
    <cfRule type="cellIs" dxfId="7428" priority="142328" stopIfTrue="1" operator="greaterThanOrEqual">
      <formula>0.5</formula>
    </cfRule>
  </conditionalFormatting>
  <conditionalFormatting sqref="T15">
    <cfRule type="cellIs" dxfId="7427" priority="142329" stopIfTrue="1" operator="equal">
      <formula>-1</formula>
    </cfRule>
  </conditionalFormatting>
  <conditionalFormatting sqref="T15">
    <cfRule type="cellIs" dxfId="7426" priority="142330" stopIfTrue="1" operator="lessThan">
      <formula>0.5</formula>
    </cfRule>
  </conditionalFormatting>
  <conditionalFormatting sqref="T15">
    <cfRule type="cellIs" dxfId="7425" priority="142331" stopIfTrue="1" operator="greaterThanOrEqual">
      <formula>0.5</formula>
    </cfRule>
  </conditionalFormatting>
  <conditionalFormatting sqref="V8">
    <cfRule type="cellIs" dxfId="7424" priority="142332" stopIfTrue="1" operator="equal">
      <formula>-1</formula>
    </cfRule>
  </conditionalFormatting>
  <conditionalFormatting sqref="V8">
    <cfRule type="cellIs" dxfId="7423" priority="142333" stopIfTrue="1" operator="lessThan">
      <formula>0.5</formula>
    </cfRule>
  </conditionalFormatting>
  <conditionalFormatting sqref="V8">
    <cfRule type="cellIs" dxfId="7422" priority="142334" stopIfTrue="1" operator="greaterThanOrEqual">
      <formula>0.5</formula>
    </cfRule>
  </conditionalFormatting>
  <conditionalFormatting sqref="V9">
    <cfRule type="cellIs" dxfId="7421" priority="142335" stopIfTrue="1" operator="equal">
      <formula>-1</formula>
    </cfRule>
  </conditionalFormatting>
  <conditionalFormatting sqref="V9">
    <cfRule type="cellIs" dxfId="7420" priority="142336" stopIfTrue="1" operator="lessThan">
      <formula>0.5</formula>
    </cfRule>
  </conditionalFormatting>
  <conditionalFormatting sqref="V9">
    <cfRule type="cellIs" dxfId="7419" priority="142337" stopIfTrue="1" operator="greaterThanOrEqual">
      <formula>0.5</formula>
    </cfRule>
  </conditionalFormatting>
  <conditionalFormatting sqref="V10">
    <cfRule type="cellIs" dxfId="7418" priority="142338" stopIfTrue="1" operator="equal">
      <formula>-1</formula>
    </cfRule>
  </conditionalFormatting>
  <conditionalFormatting sqref="V10">
    <cfRule type="cellIs" dxfId="7417" priority="142339" stopIfTrue="1" operator="lessThan">
      <formula>0.5</formula>
    </cfRule>
  </conditionalFormatting>
  <conditionalFormatting sqref="V10">
    <cfRule type="cellIs" dxfId="7416" priority="142340" stopIfTrue="1" operator="greaterThanOrEqual">
      <formula>0.5</formula>
    </cfRule>
  </conditionalFormatting>
  <conditionalFormatting sqref="V11">
    <cfRule type="cellIs" dxfId="7415" priority="142341" stopIfTrue="1" operator="equal">
      <formula>-1</formula>
    </cfRule>
  </conditionalFormatting>
  <conditionalFormatting sqref="V11">
    <cfRule type="cellIs" dxfId="7414" priority="142342" stopIfTrue="1" operator="lessThan">
      <formula>0.5</formula>
    </cfRule>
  </conditionalFormatting>
  <conditionalFormatting sqref="V11">
    <cfRule type="cellIs" dxfId="7413" priority="142343" stopIfTrue="1" operator="greaterThanOrEqual">
      <formula>0.5</formula>
    </cfRule>
  </conditionalFormatting>
  <conditionalFormatting sqref="V12">
    <cfRule type="cellIs" dxfId="7412" priority="142344" stopIfTrue="1" operator="equal">
      <formula>-1</formula>
    </cfRule>
  </conditionalFormatting>
  <conditionalFormatting sqref="V12">
    <cfRule type="cellIs" dxfId="7411" priority="142345" stopIfTrue="1" operator="lessThan">
      <formula>0.5</formula>
    </cfRule>
  </conditionalFormatting>
  <conditionalFormatting sqref="V12">
    <cfRule type="cellIs" dxfId="7410" priority="142346" stopIfTrue="1" operator="greaterThanOrEqual">
      <formula>0.5</formula>
    </cfRule>
  </conditionalFormatting>
  <conditionalFormatting sqref="V13">
    <cfRule type="cellIs" dxfId="7409" priority="142347" stopIfTrue="1" operator="equal">
      <formula>-1</formula>
    </cfRule>
  </conditionalFormatting>
  <conditionalFormatting sqref="V13">
    <cfRule type="cellIs" dxfId="7408" priority="142348" stopIfTrue="1" operator="lessThan">
      <formula>0.5</formula>
    </cfRule>
  </conditionalFormatting>
  <conditionalFormatting sqref="V13">
    <cfRule type="cellIs" dxfId="7407" priority="142349" stopIfTrue="1" operator="greaterThanOrEqual">
      <formula>0.5</formula>
    </cfRule>
  </conditionalFormatting>
  <conditionalFormatting sqref="V14">
    <cfRule type="cellIs" dxfId="7406" priority="142350" stopIfTrue="1" operator="equal">
      <formula>-1</formula>
    </cfRule>
  </conditionalFormatting>
  <conditionalFormatting sqref="V14">
    <cfRule type="cellIs" dxfId="7405" priority="142351" stopIfTrue="1" operator="lessThan">
      <formula>0.5</formula>
    </cfRule>
  </conditionalFormatting>
  <conditionalFormatting sqref="V14">
    <cfRule type="cellIs" dxfId="7404" priority="142352" stopIfTrue="1" operator="greaterThanOrEqual">
      <formula>0.5</formula>
    </cfRule>
  </conditionalFormatting>
  <conditionalFormatting sqref="V15">
    <cfRule type="cellIs" dxfId="7403" priority="142353" stopIfTrue="1" operator="equal">
      <formula>-1</formula>
    </cfRule>
  </conditionalFormatting>
  <conditionalFormatting sqref="V15">
    <cfRule type="cellIs" dxfId="7402" priority="142354" stopIfTrue="1" operator="lessThan">
      <formula>0.5</formula>
    </cfRule>
  </conditionalFormatting>
  <conditionalFormatting sqref="V15">
    <cfRule type="cellIs" dxfId="7401" priority="142355" stopIfTrue="1" operator="greaterThanOrEqual">
      <formula>0.5</formula>
    </cfRule>
  </conditionalFormatting>
  <conditionalFormatting sqref="X8">
    <cfRule type="cellIs" dxfId="7400" priority="142356" stopIfTrue="1" operator="equal">
      <formula>-1</formula>
    </cfRule>
  </conditionalFormatting>
  <conditionalFormatting sqref="X8">
    <cfRule type="cellIs" dxfId="7399" priority="142357" stopIfTrue="1" operator="lessThan">
      <formula>0.5</formula>
    </cfRule>
  </conditionalFormatting>
  <conditionalFormatting sqref="X8">
    <cfRule type="cellIs" dxfId="7398" priority="142358" stopIfTrue="1" operator="greaterThanOrEqual">
      <formula>0.5</formula>
    </cfRule>
  </conditionalFormatting>
  <conditionalFormatting sqref="X9">
    <cfRule type="cellIs" dxfId="7397" priority="142359" stopIfTrue="1" operator="equal">
      <formula>-1</formula>
    </cfRule>
  </conditionalFormatting>
  <conditionalFormatting sqref="X9">
    <cfRule type="cellIs" dxfId="7396" priority="142360" stopIfTrue="1" operator="lessThan">
      <formula>0.5</formula>
    </cfRule>
  </conditionalFormatting>
  <conditionalFormatting sqref="X9">
    <cfRule type="cellIs" dxfId="7395" priority="142361" stopIfTrue="1" operator="greaterThanOrEqual">
      <formula>0.5</formula>
    </cfRule>
  </conditionalFormatting>
  <conditionalFormatting sqref="X10">
    <cfRule type="cellIs" dxfId="7394" priority="142362" stopIfTrue="1" operator="equal">
      <formula>-1</formula>
    </cfRule>
  </conditionalFormatting>
  <conditionalFormatting sqref="X10">
    <cfRule type="cellIs" dxfId="7393" priority="142363" stopIfTrue="1" operator="lessThan">
      <formula>0.5</formula>
    </cfRule>
  </conditionalFormatting>
  <conditionalFormatting sqref="X10">
    <cfRule type="cellIs" dxfId="7392" priority="142364" stopIfTrue="1" operator="greaterThanOrEqual">
      <formula>0.5</formula>
    </cfRule>
  </conditionalFormatting>
  <conditionalFormatting sqref="X11">
    <cfRule type="cellIs" dxfId="7391" priority="142365" stopIfTrue="1" operator="equal">
      <formula>-1</formula>
    </cfRule>
  </conditionalFormatting>
  <conditionalFormatting sqref="X11">
    <cfRule type="cellIs" dxfId="7390" priority="142366" stopIfTrue="1" operator="lessThan">
      <formula>0.5</formula>
    </cfRule>
  </conditionalFormatting>
  <conditionalFormatting sqref="X11">
    <cfRule type="cellIs" dxfId="7389" priority="142367" stopIfTrue="1" operator="greaterThanOrEqual">
      <formula>0.5</formula>
    </cfRule>
  </conditionalFormatting>
  <conditionalFormatting sqref="X12">
    <cfRule type="cellIs" dxfId="7388" priority="142368" stopIfTrue="1" operator="equal">
      <formula>-1</formula>
    </cfRule>
  </conditionalFormatting>
  <conditionalFormatting sqref="X12">
    <cfRule type="cellIs" dxfId="7387" priority="142369" stopIfTrue="1" operator="lessThan">
      <formula>0.5</formula>
    </cfRule>
  </conditionalFormatting>
  <conditionalFormatting sqref="X12">
    <cfRule type="cellIs" dxfId="7386" priority="142370" stopIfTrue="1" operator="greaterThanOrEqual">
      <formula>0.5</formula>
    </cfRule>
  </conditionalFormatting>
  <conditionalFormatting sqref="X13">
    <cfRule type="cellIs" dxfId="7385" priority="142371" stopIfTrue="1" operator="equal">
      <formula>-1</formula>
    </cfRule>
  </conditionalFormatting>
  <conditionalFormatting sqref="X13">
    <cfRule type="cellIs" dxfId="7384" priority="142372" stopIfTrue="1" operator="lessThan">
      <formula>0.5</formula>
    </cfRule>
  </conditionalFormatting>
  <conditionalFormatting sqref="X13">
    <cfRule type="cellIs" dxfId="7383" priority="142373" stopIfTrue="1" operator="greaterThanOrEqual">
      <formula>0.5</formula>
    </cfRule>
  </conditionalFormatting>
  <conditionalFormatting sqref="X14">
    <cfRule type="cellIs" dxfId="7382" priority="142374" stopIfTrue="1" operator="equal">
      <formula>-1</formula>
    </cfRule>
  </conditionalFormatting>
  <conditionalFormatting sqref="X14">
    <cfRule type="cellIs" dxfId="7381" priority="142375" stopIfTrue="1" operator="lessThan">
      <formula>0.5</formula>
    </cfRule>
  </conditionalFormatting>
  <conditionalFormatting sqref="X14">
    <cfRule type="cellIs" dxfId="7380" priority="142376" stopIfTrue="1" operator="greaterThanOrEqual">
      <formula>0.5</formula>
    </cfRule>
  </conditionalFormatting>
  <conditionalFormatting sqref="X15">
    <cfRule type="cellIs" dxfId="7379" priority="142377" stopIfTrue="1" operator="equal">
      <formula>-1</formula>
    </cfRule>
  </conditionalFormatting>
  <conditionalFormatting sqref="X15">
    <cfRule type="cellIs" dxfId="7378" priority="142378" stopIfTrue="1" operator="lessThan">
      <formula>0.5</formula>
    </cfRule>
  </conditionalFormatting>
  <conditionalFormatting sqref="X15">
    <cfRule type="cellIs" dxfId="7377" priority="142379" stopIfTrue="1" operator="greaterThanOrEqual">
      <formula>0.5</formula>
    </cfRule>
  </conditionalFormatting>
  <conditionalFormatting sqref="Z8">
    <cfRule type="cellIs" dxfId="7376" priority="142380" stopIfTrue="1" operator="equal">
      <formula>-1</formula>
    </cfRule>
  </conditionalFormatting>
  <conditionalFormatting sqref="Z8">
    <cfRule type="cellIs" dxfId="7375" priority="142381" stopIfTrue="1" operator="lessThan">
      <formula>0.5</formula>
    </cfRule>
  </conditionalFormatting>
  <conditionalFormatting sqref="Z8">
    <cfRule type="cellIs" dxfId="7374" priority="142382" stopIfTrue="1" operator="greaterThanOrEqual">
      <formula>0.5</formula>
    </cfRule>
  </conditionalFormatting>
  <conditionalFormatting sqref="Z9">
    <cfRule type="cellIs" dxfId="7373" priority="142383" stopIfTrue="1" operator="equal">
      <formula>-1</formula>
    </cfRule>
  </conditionalFormatting>
  <conditionalFormatting sqref="Z9">
    <cfRule type="cellIs" dxfId="7372" priority="142384" stopIfTrue="1" operator="lessThan">
      <formula>0.5</formula>
    </cfRule>
  </conditionalFormatting>
  <conditionalFormatting sqref="Z9">
    <cfRule type="cellIs" dxfId="7371" priority="142385" stopIfTrue="1" operator="greaterThanOrEqual">
      <formula>0.5</formula>
    </cfRule>
  </conditionalFormatting>
  <conditionalFormatting sqref="Z10">
    <cfRule type="cellIs" dxfId="7370" priority="142386" stopIfTrue="1" operator="equal">
      <formula>-1</formula>
    </cfRule>
  </conditionalFormatting>
  <conditionalFormatting sqref="Z10">
    <cfRule type="cellIs" dxfId="7369" priority="142387" stopIfTrue="1" operator="lessThan">
      <formula>0.5</formula>
    </cfRule>
  </conditionalFormatting>
  <conditionalFormatting sqref="Z10">
    <cfRule type="cellIs" dxfId="7368" priority="142388" stopIfTrue="1" operator="greaterThanOrEqual">
      <formula>0.5</formula>
    </cfRule>
  </conditionalFormatting>
  <conditionalFormatting sqref="Z11">
    <cfRule type="cellIs" dxfId="7367" priority="142389" stopIfTrue="1" operator="equal">
      <formula>-1</formula>
    </cfRule>
  </conditionalFormatting>
  <conditionalFormatting sqref="Z11">
    <cfRule type="cellIs" dxfId="7366" priority="142390" stopIfTrue="1" operator="lessThan">
      <formula>0.5</formula>
    </cfRule>
  </conditionalFormatting>
  <conditionalFormatting sqref="Z11">
    <cfRule type="cellIs" dxfId="7365" priority="142391" stopIfTrue="1" operator="greaterThanOrEqual">
      <formula>0.5</formula>
    </cfRule>
  </conditionalFormatting>
  <conditionalFormatting sqref="Z12">
    <cfRule type="cellIs" dxfId="7364" priority="142392" stopIfTrue="1" operator="equal">
      <formula>-1</formula>
    </cfRule>
  </conditionalFormatting>
  <conditionalFormatting sqref="Z12">
    <cfRule type="cellIs" dxfId="7363" priority="142393" stopIfTrue="1" operator="lessThan">
      <formula>0.5</formula>
    </cfRule>
  </conditionalFormatting>
  <conditionalFormatting sqref="Z12">
    <cfRule type="cellIs" dxfId="7362" priority="142394" stopIfTrue="1" operator="greaterThanOrEqual">
      <formula>0.5</formula>
    </cfRule>
  </conditionalFormatting>
  <conditionalFormatting sqref="Z13">
    <cfRule type="cellIs" dxfId="7361" priority="142395" stopIfTrue="1" operator="equal">
      <formula>-1</formula>
    </cfRule>
  </conditionalFormatting>
  <conditionalFormatting sqref="Z13">
    <cfRule type="cellIs" dxfId="7360" priority="142396" stopIfTrue="1" operator="lessThan">
      <formula>0.5</formula>
    </cfRule>
  </conditionalFormatting>
  <conditionalFormatting sqref="Z13">
    <cfRule type="cellIs" dxfId="7359" priority="142397" stopIfTrue="1" operator="greaterThanOrEqual">
      <formula>0.5</formula>
    </cfRule>
  </conditionalFormatting>
  <conditionalFormatting sqref="Z14">
    <cfRule type="cellIs" dxfId="7358" priority="142398" stopIfTrue="1" operator="equal">
      <formula>-1</formula>
    </cfRule>
  </conditionalFormatting>
  <conditionalFormatting sqref="Z14">
    <cfRule type="cellIs" dxfId="7357" priority="142399" stopIfTrue="1" operator="lessThan">
      <formula>0.5</formula>
    </cfRule>
  </conditionalFormatting>
  <conditionalFormatting sqref="Z14">
    <cfRule type="cellIs" dxfId="7356" priority="142400" stopIfTrue="1" operator="greaterThanOrEqual">
      <formula>0.5</formula>
    </cfRule>
  </conditionalFormatting>
  <conditionalFormatting sqref="Z15">
    <cfRule type="cellIs" dxfId="7355" priority="142401" stopIfTrue="1" operator="equal">
      <formula>-1</formula>
    </cfRule>
  </conditionalFormatting>
  <conditionalFormatting sqref="Z15">
    <cfRule type="cellIs" dxfId="7354" priority="142402" stopIfTrue="1" operator="lessThan">
      <formula>0.5</formula>
    </cfRule>
  </conditionalFormatting>
  <conditionalFormatting sqref="Z15">
    <cfRule type="cellIs" dxfId="7353" priority="142403" stopIfTrue="1" operator="greaterThanOrEqual">
      <formula>0.5</formula>
    </cfRule>
  </conditionalFormatting>
  <conditionalFormatting sqref="AB8">
    <cfRule type="cellIs" dxfId="7352" priority="142404" stopIfTrue="1" operator="equal">
      <formula>-1</formula>
    </cfRule>
  </conditionalFormatting>
  <conditionalFormatting sqref="AB8">
    <cfRule type="cellIs" dxfId="7351" priority="142405" stopIfTrue="1" operator="lessThan">
      <formula>0.5</formula>
    </cfRule>
  </conditionalFormatting>
  <conditionalFormatting sqref="AB8">
    <cfRule type="cellIs" dxfId="7350" priority="142406" stopIfTrue="1" operator="greaterThanOrEqual">
      <formula>0.5</formula>
    </cfRule>
  </conditionalFormatting>
  <conditionalFormatting sqref="AB9">
    <cfRule type="cellIs" dxfId="7349" priority="142407" stopIfTrue="1" operator="equal">
      <formula>-1</formula>
    </cfRule>
  </conditionalFormatting>
  <conditionalFormatting sqref="AB9">
    <cfRule type="cellIs" dxfId="7348" priority="142408" stopIfTrue="1" operator="lessThan">
      <formula>0.5</formula>
    </cfRule>
  </conditionalFormatting>
  <conditionalFormatting sqref="AB9">
    <cfRule type="cellIs" dxfId="7347" priority="142409" stopIfTrue="1" operator="greaterThanOrEqual">
      <formula>0.5</formula>
    </cfRule>
  </conditionalFormatting>
  <conditionalFormatting sqref="AB10">
    <cfRule type="cellIs" dxfId="7346" priority="142410" stopIfTrue="1" operator="equal">
      <formula>-1</formula>
    </cfRule>
  </conditionalFormatting>
  <conditionalFormatting sqref="AB10">
    <cfRule type="cellIs" dxfId="7345" priority="142411" stopIfTrue="1" operator="lessThan">
      <formula>0.5</formula>
    </cfRule>
  </conditionalFormatting>
  <conditionalFormatting sqref="AB10">
    <cfRule type="cellIs" dxfId="7344" priority="142412" stopIfTrue="1" operator="greaterThanOrEqual">
      <formula>0.5</formula>
    </cfRule>
  </conditionalFormatting>
  <conditionalFormatting sqref="AB11">
    <cfRule type="cellIs" dxfId="7343" priority="142413" stopIfTrue="1" operator="equal">
      <formula>-1</formula>
    </cfRule>
  </conditionalFormatting>
  <conditionalFormatting sqref="AB11">
    <cfRule type="cellIs" dxfId="7342" priority="142414" stopIfTrue="1" operator="lessThan">
      <formula>0.5</formula>
    </cfRule>
  </conditionalFormatting>
  <conditionalFormatting sqref="AB11">
    <cfRule type="cellIs" dxfId="7341" priority="142415" stopIfTrue="1" operator="greaterThanOrEqual">
      <formula>0.5</formula>
    </cfRule>
  </conditionalFormatting>
  <conditionalFormatting sqref="AB12">
    <cfRule type="cellIs" dxfId="7340" priority="142416" stopIfTrue="1" operator="equal">
      <formula>-1</formula>
    </cfRule>
  </conditionalFormatting>
  <conditionalFormatting sqref="AB12">
    <cfRule type="cellIs" dxfId="7339" priority="142417" stopIfTrue="1" operator="lessThan">
      <formula>0.5</formula>
    </cfRule>
  </conditionalFormatting>
  <conditionalFormatting sqref="AB12">
    <cfRule type="cellIs" dxfId="7338" priority="142418" stopIfTrue="1" operator="greaterThanOrEqual">
      <formula>0.5</formula>
    </cfRule>
  </conditionalFormatting>
  <conditionalFormatting sqref="AB13">
    <cfRule type="cellIs" dxfId="7337" priority="142419" stopIfTrue="1" operator="equal">
      <formula>-1</formula>
    </cfRule>
  </conditionalFormatting>
  <conditionalFormatting sqref="AB13">
    <cfRule type="cellIs" dxfId="7336" priority="142420" stopIfTrue="1" operator="lessThan">
      <formula>0.5</formula>
    </cfRule>
  </conditionalFormatting>
  <conditionalFormatting sqref="AB13">
    <cfRule type="cellIs" dxfId="7335" priority="142421" stopIfTrue="1" operator="greaterThanOrEqual">
      <formula>0.5</formula>
    </cfRule>
  </conditionalFormatting>
  <conditionalFormatting sqref="AB14">
    <cfRule type="cellIs" dxfId="7334" priority="142422" stopIfTrue="1" operator="equal">
      <formula>-1</formula>
    </cfRule>
  </conditionalFormatting>
  <conditionalFormatting sqref="AB14">
    <cfRule type="cellIs" dxfId="7333" priority="142423" stopIfTrue="1" operator="lessThan">
      <formula>0.5</formula>
    </cfRule>
  </conditionalFormatting>
  <conditionalFormatting sqref="AB14">
    <cfRule type="cellIs" dxfId="7332" priority="142424" stopIfTrue="1" operator="greaterThanOrEqual">
      <formula>0.5</formula>
    </cfRule>
  </conditionalFormatting>
  <conditionalFormatting sqref="AB15">
    <cfRule type="cellIs" dxfId="7331" priority="142425" stopIfTrue="1" operator="equal">
      <formula>-1</formula>
    </cfRule>
  </conditionalFormatting>
  <conditionalFormatting sqref="AB15">
    <cfRule type="cellIs" dxfId="7330" priority="142426" stopIfTrue="1" operator="lessThan">
      <formula>0.5</formula>
    </cfRule>
  </conditionalFormatting>
  <conditionalFormatting sqref="AB15">
    <cfRule type="cellIs" dxfId="7329" priority="142427" stopIfTrue="1" operator="greaterThanOrEqual">
      <formula>0.5</formula>
    </cfRule>
  </conditionalFormatting>
  <conditionalFormatting sqref="AD8">
    <cfRule type="cellIs" dxfId="7328" priority="142428" stopIfTrue="1" operator="equal">
      <formula>-1</formula>
    </cfRule>
  </conditionalFormatting>
  <conditionalFormatting sqref="AD8">
    <cfRule type="cellIs" dxfId="7327" priority="142429" stopIfTrue="1" operator="lessThan">
      <formula>0.5</formula>
    </cfRule>
  </conditionalFormatting>
  <conditionalFormatting sqref="AD8">
    <cfRule type="cellIs" dxfId="7326" priority="142430" stopIfTrue="1" operator="greaterThanOrEqual">
      <formula>0.5</formula>
    </cfRule>
  </conditionalFormatting>
  <conditionalFormatting sqref="AD9">
    <cfRule type="cellIs" dxfId="7325" priority="142431" stopIfTrue="1" operator="equal">
      <formula>-1</formula>
    </cfRule>
  </conditionalFormatting>
  <conditionalFormatting sqref="AD9">
    <cfRule type="cellIs" dxfId="7324" priority="142432" stopIfTrue="1" operator="lessThan">
      <formula>0.5</formula>
    </cfRule>
  </conditionalFormatting>
  <conditionalFormatting sqref="AD9">
    <cfRule type="cellIs" dxfId="7323" priority="142433" stopIfTrue="1" operator="greaterThanOrEqual">
      <formula>0.5</formula>
    </cfRule>
  </conditionalFormatting>
  <conditionalFormatting sqref="AD10">
    <cfRule type="cellIs" dxfId="7322" priority="142434" stopIfTrue="1" operator="equal">
      <formula>-1</formula>
    </cfRule>
  </conditionalFormatting>
  <conditionalFormatting sqref="AD10">
    <cfRule type="cellIs" dxfId="7321" priority="142435" stopIfTrue="1" operator="lessThan">
      <formula>0.5</formula>
    </cfRule>
  </conditionalFormatting>
  <conditionalFormatting sqref="AD10">
    <cfRule type="cellIs" dxfId="7320" priority="142436" stopIfTrue="1" operator="greaterThanOrEqual">
      <formula>0.5</formula>
    </cfRule>
  </conditionalFormatting>
  <conditionalFormatting sqref="AD11">
    <cfRule type="cellIs" dxfId="7319" priority="142437" stopIfTrue="1" operator="equal">
      <formula>-1</formula>
    </cfRule>
  </conditionalFormatting>
  <conditionalFormatting sqref="AD11">
    <cfRule type="cellIs" dxfId="7318" priority="142438" stopIfTrue="1" operator="lessThan">
      <formula>0.5</formula>
    </cfRule>
  </conditionalFormatting>
  <conditionalFormatting sqref="AD11">
    <cfRule type="cellIs" dxfId="7317" priority="142439" stopIfTrue="1" operator="greaterThanOrEqual">
      <formula>0.5</formula>
    </cfRule>
  </conditionalFormatting>
  <conditionalFormatting sqref="AD12">
    <cfRule type="cellIs" dxfId="7316" priority="142440" stopIfTrue="1" operator="equal">
      <formula>-1</formula>
    </cfRule>
  </conditionalFormatting>
  <conditionalFormatting sqref="AD12">
    <cfRule type="cellIs" dxfId="7315" priority="142441" stopIfTrue="1" operator="lessThan">
      <formula>0.5</formula>
    </cfRule>
  </conditionalFormatting>
  <conditionalFormatting sqref="AD12">
    <cfRule type="cellIs" dxfId="7314" priority="142442" stopIfTrue="1" operator="greaterThanOrEqual">
      <formula>0.5</formula>
    </cfRule>
  </conditionalFormatting>
  <conditionalFormatting sqref="AD13">
    <cfRule type="cellIs" dxfId="7313" priority="142443" stopIfTrue="1" operator="equal">
      <formula>-1</formula>
    </cfRule>
  </conditionalFormatting>
  <conditionalFormatting sqref="AD13">
    <cfRule type="cellIs" dxfId="7312" priority="142444" stopIfTrue="1" operator="lessThan">
      <formula>0.5</formula>
    </cfRule>
  </conditionalFormatting>
  <conditionalFormatting sqref="AD13">
    <cfRule type="cellIs" dxfId="7311" priority="142445" stopIfTrue="1" operator="greaterThanOrEqual">
      <formula>0.5</formula>
    </cfRule>
  </conditionalFormatting>
  <conditionalFormatting sqref="AD14">
    <cfRule type="cellIs" dxfId="7310" priority="142446" stopIfTrue="1" operator="equal">
      <formula>-1</formula>
    </cfRule>
  </conditionalFormatting>
  <conditionalFormatting sqref="AD14">
    <cfRule type="cellIs" dxfId="7309" priority="142447" stopIfTrue="1" operator="lessThan">
      <formula>0.5</formula>
    </cfRule>
  </conditionalFormatting>
  <conditionalFormatting sqref="AD14">
    <cfRule type="cellIs" dxfId="7308" priority="142448" stopIfTrue="1" operator="greaterThanOrEqual">
      <formula>0.5</formula>
    </cfRule>
  </conditionalFormatting>
  <conditionalFormatting sqref="AD15">
    <cfRule type="cellIs" dxfId="7307" priority="142449" stopIfTrue="1" operator="equal">
      <formula>-1</formula>
    </cfRule>
  </conditionalFormatting>
  <conditionalFormatting sqref="AD15">
    <cfRule type="cellIs" dxfId="7306" priority="142450" stopIfTrue="1" operator="lessThan">
      <formula>0.5</formula>
    </cfRule>
  </conditionalFormatting>
  <conditionalFormatting sqref="AD15">
    <cfRule type="cellIs" dxfId="7305" priority="142451" stopIfTrue="1" operator="greaterThanOrEqual">
      <formula>0.5</formula>
    </cfRule>
  </conditionalFormatting>
  <conditionalFormatting sqref="AF8">
    <cfRule type="cellIs" dxfId="7304" priority="142452" stopIfTrue="1" operator="equal">
      <formula>-1</formula>
    </cfRule>
  </conditionalFormatting>
  <conditionalFormatting sqref="AF8">
    <cfRule type="cellIs" dxfId="7303" priority="142453" stopIfTrue="1" operator="lessThan">
      <formula>0.5</formula>
    </cfRule>
  </conditionalFormatting>
  <conditionalFormatting sqref="AF8">
    <cfRule type="cellIs" dxfId="7302" priority="142454" stopIfTrue="1" operator="greaterThanOrEqual">
      <formula>0.5</formula>
    </cfRule>
  </conditionalFormatting>
  <conditionalFormatting sqref="AF9">
    <cfRule type="cellIs" dxfId="7301" priority="142455" stopIfTrue="1" operator="equal">
      <formula>-1</formula>
    </cfRule>
  </conditionalFormatting>
  <conditionalFormatting sqref="AF9">
    <cfRule type="cellIs" dxfId="7300" priority="142456" stopIfTrue="1" operator="lessThan">
      <formula>0.5</formula>
    </cfRule>
  </conditionalFormatting>
  <conditionalFormatting sqref="AF9">
    <cfRule type="cellIs" dxfId="7299" priority="142457" stopIfTrue="1" operator="greaterThanOrEqual">
      <formula>0.5</formula>
    </cfRule>
  </conditionalFormatting>
  <conditionalFormatting sqref="AF10">
    <cfRule type="cellIs" dxfId="7298" priority="142458" stopIfTrue="1" operator="equal">
      <formula>-1</formula>
    </cfRule>
  </conditionalFormatting>
  <conditionalFormatting sqref="AF10">
    <cfRule type="cellIs" dxfId="7297" priority="142459" stopIfTrue="1" operator="lessThan">
      <formula>0.5</formula>
    </cfRule>
  </conditionalFormatting>
  <conditionalFormatting sqref="AF10">
    <cfRule type="cellIs" dxfId="7296" priority="142460" stopIfTrue="1" operator="greaterThanOrEqual">
      <formula>0.5</formula>
    </cfRule>
  </conditionalFormatting>
  <conditionalFormatting sqref="AF11">
    <cfRule type="cellIs" dxfId="7295" priority="142461" stopIfTrue="1" operator="equal">
      <formula>-1</formula>
    </cfRule>
  </conditionalFormatting>
  <conditionalFormatting sqref="AF11">
    <cfRule type="cellIs" dxfId="7294" priority="142462" stopIfTrue="1" operator="lessThan">
      <formula>0.5</formula>
    </cfRule>
  </conditionalFormatting>
  <conditionalFormatting sqref="AF11">
    <cfRule type="cellIs" dxfId="7293" priority="142463" stopIfTrue="1" operator="greaterThanOrEqual">
      <formula>0.5</formula>
    </cfRule>
  </conditionalFormatting>
  <conditionalFormatting sqref="AF12">
    <cfRule type="cellIs" dxfId="7292" priority="142464" stopIfTrue="1" operator="equal">
      <formula>-1</formula>
    </cfRule>
  </conditionalFormatting>
  <conditionalFormatting sqref="AF12">
    <cfRule type="cellIs" dxfId="7291" priority="142465" stopIfTrue="1" operator="lessThan">
      <formula>0.5</formula>
    </cfRule>
  </conditionalFormatting>
  <conditionalFormatting sqref="AF12">
    <cfRule type="cellIs" dxfId="7290" priority="142466" stopIfTrue="1" operator="greaterThanOrEqual">
      <formula>0.5</formula>
    </cfRule>
  </conditionalFormatting>
  <conditionalFormatting sqref="AF13">
    <cfRule type="cellIs" dxfId="7289" priority="142467" stopIfTrue="1" operator="equal">
      <formula>-1</formula>
    </cfRule>
  </conditionalFormatting>
  <conditionalFormatting sqref="AF13">
    <cfRule type="cellIs" dxfId="7288" priority="142468" stopIfTrue="1" operator="lessThan">
      <formula>0.5</formula>
    </cfRule>
  </conditionalFormatting>
  <conditionalFormatting sqref="AF13">
    <cfRule type="cellIs" dxfId="7287" priority="142469" stopIfTrue="1" operator="greaterThanOrEqual">
      <formula>0.5</formula>
    </cfRule>
  </conditionalFormatting>
  <conditionalFormatting sqref="AF14">
    <cfRule type="cellIs" dxfId="7286" priority="142470" stopIfTrue="1" operator="equal">
      <formula>-1</formula>
    </cfRule>
  </conditionalFormatting>
  <conditionalFormatting sqref="AF14">
    <cfRule type="cellIs" dxfId="7285" priority="142471" stopIfTrue="1" operator="lessThan">
      <formula>0.5</formula>
    </cfRule>
  </conditionalFormatting>
  <conditionalFormatting sqref="AF14">
    <cfRule type="cellIs" dxfId="7284" priority="142472" stopIfTrue="1" operator="greaterThanOrEqual">
      <formula>0.5</formula>
    </cfRule>
  </conditionalFormatting>
  <conditionalFormatting sqref="AF15">
    <cfRule type="cellIs" dxfId="7283" priority="142473" stopIfTrue="1" operator="equal">
      <formula>-1</formula>
    </cfRule>
  </conditionalFormatting>
  <conditionalFormatting sqref="AF15">
    <cfRule type="cellIs" dxfId="7282" priority="142474" stopIfTrue="1" operator="lessThan">
      <formula>0.5</formula>
    </cfRule>
  </conditionalFormatting>
  <conditionalFormatting sqref="AF15">
    <cfRule type="cellIs" dxfId="7281" priority="142475" stopIfTrue="1" operator="greaterThanOrEqual">
      <formula>0.5</formula>
    </cfRule>
  </conditionalFormatting>
  <conditionalFormatting sqref="AH8">
    <cfRule type="cellIs" dxfId="7280" priority="142476" stopIfTrue="1" operator="equal">
      <formula>-1</formula>
    </cfRule>
  </conditionalFormatting>
  <conditionalFormatting sqref="AH8">
    <cfRule type="cellIs" dxfId="7279" priority="142477" stopIfTrue="1" operator="lessThan">
      <formula>0.5</formula>
    </cfRule>
  </conditionalFormatting>
  <conditionalFormatting sqref="AH8">
    <cfRule type="cellIs" dxfId="7278" priority="142478" stopIfTrue="1" operator="greaterThanOrEqual">
      <formula>0.5</formula>
    </cfRule>
  </conditionalFormatting>
  <conditionalFormatting sqref="AH9">
    <cfRule type="cellIs" dxfId="7277" priority="142479" stopIfTrue="1" operator="equal">
      <formula>-1</formula>
    </cfRule>
  </conditionalFormatting>
  <conditionalFormatting sqref="AH9">
    <cfRule type="cellIs" dxfId="7276" priority="142480" stopIfTrue="1" operator="lessThan">
      <formula>0.5</formula>
    </cfRule>
  </conditionalFormatting>
  <conditionalFormatting sqref="AH9">
    <cfRule type="cellIs" dxfId="7275" priority="142481" stopIfTrue="1" operator="greaterThanOrEqual">
      <formula>0.5</formula>
    </cfRule>
  </conditionalFormatting>
  <conditionalFormatting sqref="AH10">
    <cfRule type="cellIs" dxfId="7274" priority="142482" stopIfTrue="1" operator="equal">
      <formula>-1</formula>
    </cfRule>
  </conditionalFormatting>
  <conditionalFormatting sqref="AH10">
    <cfRule type="cellIs" dxfId="7273" priority="142483" stopIfTrue="1" operator="lessThan">
      <formula>0.5</formula>
    </cfRule>
  </conditionalFormatting>
  <conditionalFormatting sqref="AH10">
    <cfRule type="cellIs" dxfId="7272" priority="142484" stopIfTrue="1" operator="greaterThanOrEqual">
      <formula>0.5</formula>
    </cfRule>
  </conditionalFormatting>
  <conditionalFormatting sqref="AH11">
    <cfRule type="cellIs" dxfId="7271" priority="142485" stopIfTrue="1" operator="equal">
      <formula>-1</formula>
    </cfRule>
  </conditionalFormatting>
  <conditionalFormatting sqref="AH11">
    <cfRule type="cellIs" dxfId="7270" priority="142486" stopIfTrue="1" operator="lessThan">
      <formula>0.5</formula>
    </cfRule>
  </conditionalFormatting>
  <conditionalFormatting sqref="AH11">
    <cfRule type="cellIs" dxfId="7269" priority="142487" stopIfTrue="1" operator="greaterThanOrEqual">
      <formula>0.5</formula>
    </cfRule>
  </conditionalFormatting>
  <conditionalFormatting sqref="AH12">
    <cfRule type="cellIs" dxfId="7268" priority="142488" stopIfTrue="1" operator="equal">
      <formula>-1</formula>
    </cfRule>
  </conditionalFormatting>
  <conditionalFormatting sqref="AH12">
    <cfRule type="cellIs" dxfId="7267" priority="142489" stopIfTrue="1" operator="lessThan">
      <formula>0.5</formula>
    </cfRule>
  </conditionalFormatting>
  <conditionalFormatting sqref="AH12">
    <cfRule type="cellIs" dxfId="7266" priority="142490" stopIfTrue="1" operator="greaterThanOrEqual">
      <formula>0.5</formula>
    </cfRule>
  </conditionalFormatting>
  <conditionalFormatting sqref="AH13">
    <cfRule type="cellIs" dxfId="7265" priority="142491" stopIfTrue="1" operator="equal">
      <formula>-1</formula>
    </cfRule>
  </conditionalFormatting>
  <conditionalFormatting sqref="AH13">
    <cfRule type="cellIs" dxfId="7264" priority="142492" stopIfTrue="1" operator="lessThan">
      <formula>0.5</formula>
    </cfRule>
  </conditionalFormatting>
  <conditionalFormatting sqref="AH13">
    <cfRule type="cellIs" dxfId="7263" priority="142493" stopIfTrue="1" operator="greaterThanOrEqual">
      <formula>0.5</formula>
    </cfRule>
  </conditionalFormatting>
  <conditionalFormatting sqref="AH14">
    <cfRule type="cellIs" dxfId="7262" priority="142494" stopIfTrue="1" operator="equal">
      <formula>-1</formula>
    </cfRule>
  </conditionalFormatting>
  <conditionalFormatting sqref="AH14">
    <cfRule type="cellIs" dxfId="7261" priority="142495" stopIfTrue="1" operator="lessThan">
      <formula>0.5</formula>
    </cfRule>
  </conditionalFormatting>
  <conditionalFormatting sqref="AH14">
    <cfRule type="cellIs" dxfId="7260" priority="142496" stopIfTrue="1" operator="greaterThanOrEqual">
      <formula>0.5</formula>
    </cfRule>
  </conditionalFormatting>
  <conditionalFormatting sqref="AH15">
    <cfRule type="cellIs" dxfId="7259" priority="142497" stopIfTrue="1" operator="equal">
      <formula>-1</formula>
    </cfRule>
  </conditionalFormatting>
  <conditionalFormatting sqref="AH15">
    <cfRule type="cellIs" dxfId="7258" priority="142498" stopIfTrue="1" operator="lessThan">
      <formula>0.5</formula>
    </cfRule>
  </conditionalFormatting>
  <conditionalFormatting sqref="AH15">
    <cfRule type="cellIs" dxfId="7257" priority="142499" stopIfTrue="1" operator="greaterThanOrEqual">
      <formula>0.5</formula>
    </cfRule>
  </conditionalFormatting>
  <conditionalFormatting sqref="AJ8">
    <cfRule type="cellIs" dxfId="7256" priority="142500" stopIfTrue="1" operator="equal">
      <formula>-1</formula>
    </cfRule>
  </conditionalFormatting>
  <conditionalFormatting sqref="AJ8">
    <cfRule type="cellIs" dxfId="7255" priority="142501" stopIfTrue="1" operator="lessThan">
      <formula>0.5</formula>
    </cfRule>
  </conditionalFormatting>
  <conditionalFormatting sqref="AJ8">
    <cfRule type="cellIs" dxfId="7254" priority="142502" stopIfTrue="1" operator="greaterThanOrEqual">
      <formula>0.5</formula>
    </cfRule>
  </conditionalFormatting>
  <conditionalFormatting sqref="AJ9">
    <cfRule type="cellIs" dxfId="7253" priority="142503" stopIfTrue="1" operator="equal">
      <formula>-1</formula>
    </cfRule>
  </conditionalFormatting>
  <conditionalFormatting sqref="AJ9">
    <cfRule type="cellIs" dxfId="7252" priority="142504" stopIfTrue="1" operator="lessThan">
      <formula>0.5</formula>
    </cfRule>
  </conditionalFormatting>
  <conditionalFormatting sqref="AJ9">
    <cfRule type="cellIs" dxfId="7251" priority="142505" stopIfTrue="1" operator="greaterThanOrEqual">
      <formula>0.5</formula>
    </cfRule>
  </conditionalFormatting>
  <conditionalFormatting sqref="AJ10">
    <cfRule type="cellIs" dxfId="7250" priority="142506" stopIfTrue="1" operator="equal">
      <formula>-1</formula>
    </cfRule>
  </conditionalFormatting>
  <conditionalFormatting sqref="AJ10">
    <cfRule type="cellIs" dxfId="7249" priority="142507" stopIfTrue="1" operator="lessThan">
      <formula>0.5</formula>
    </cfRule>
  </conditionalFormatting>
  <conditionalFormatting sqref="AJ10">
    <cfRule type="cellIs" dxfId="7248" priority="142508" stopIfTrue="1" operator="greaterThanOrEqual">
      <formula>0.5</formula>
    </cfRule>
  </conditionalFormatting>
  <conditionalFormatting sqref="AJ11">
    <cfRule type="cellIs" dxfId="7247" priority="142509" stopIfTrue="1" operator="equal">
      <formula>-1</formula>
    </cfRule>
  </conditionalFormatting>
  <conditionalFormatting sqref="AJ11">
    <cfRule type="cellIs" dxfId="7246" priority="142510" stopIfTrue="1" operator="lessThan">
      <formula>0.5</formula>
    </cfRule>
  </conditionalFormatting>
  <conditionalFormatting sqref="AJ11">
    <cfRule type="cellIs" dxfId="7245" priority="142511" stopIfTrue="1" operator="greaterThanOrEqual">
      <formula>0.5</formula>
    </cfRule>
  </conditionalFormatting>
  <conditionalFormatting sqref="AJ12">
    <cfRule type="cellIs" dxfId="7244" priority="142512" stopIfTrue="1" operator="equal">
      <formula>-1</formula>
    </cfRule>
  </conditionalFormatting>
  <conditionalFormatting sqref="AJ12">
    <cfRule type="cellIs" dxfId="7243" priority="142513" stopIfTrue="1" operator="lessThan">
      <formula>0.5</formula>
    </cfRule>
  </conditionalFormatting>
  <conditionalFormatting sqref="AJ12">
    <cfRule type="cellIs" dxfId="7242" priority="142514" stopIfTrue="1" operator="greaterThanOrEqual">
      <formula>0.5</formula>
    </cfRule>
  </conditionalFormatting>
  <conditionalFormatting sqref="AJ13">
    <cfRule type="cellIs" dxfId="7241" priority="142515" stopIfTrue="1" operator="equal">
      <formula>-1</formula>
    </cfRule>
  </conditionalFormatting>
  <conditionalFormatting sqref="AJ13">
    <cfRule type="cellIs" dxfId="7240" priority="142516" stopIfTrue="1" operator="lessThan">
      <formula>0.5</formula>
    </cfRule>
  </conditionalFormatting>
  <conditionalFormatting sqref="AJ13">
    <cfRule type="cellIs" dxfId="7239" priority="142517" stopIfTrue="1" operator="greaterThanOrEqual">
      <formula>0.5</formula>
    </cfRule>
  </conditionalFormatting>
  <conditionalFormatting sqref="AJ14">
    <cfRule type="cellIs" dxfId="7238" priority="142518" stopIfTrue="1" operator="equal">
      <formula>-1</formula>
    </cfRule>
  </conditionalFormatting>
  <conditionalFormatting sqref="AJ14">
    <cfRule type="cellIs" dxfId="7237" priority="142519" stopIfTrue="1" operator="lessThan">
      <formula>0.5</formula>
    </cfRule>
  </conditionalFormatting>
  <conditionalFormatting sqref="AJ14">
    <cfRule type="cellIs" dxfId="7236" priority="142520" stopIfTrue="1" operator="greaterThanOrEqual">
      <formula>0.5</formula>
    </cfRule>
  </conditionalFormatting>
  <conditionalFormatting sqref="AJ15">
    <cfRule type="cellIs" dxfId="7235" priority="142521" stopIfTrue="1" operator="equal">
      <formula>-1</formula>
    </cfRule>
  </conditionalFormatting>
  <conditionalFormatting sqref="AJ15">
    <cfRule type="cellIs" dxfId="7234" priority="142522" stopIfTrue="1" operator="lessThan">
      <formula>0.5</formula>
    </cfRule>
  </conditionalFormatting>
  <conditionalFormatting sqref="AJ15">
    <cfRule type="cellIs" dxfId="7233" priority="142523" stopIfTrue="1" operator="greaterThanOrEqual">
      <formula>0.5</formula>
    </cfRule>
  </conditionalFormatting>
  <conditionalFormatting sqref="AL8">
    <cfRule type="cellIs" dxfId="7232" priority="142524" stopIfTrue="1" operator="equal">
      <formula>-1</formula>
    </cfRule>
  </conditionalFormatting>
  <conditionalFormatting sqref="AL8">
    <cfRule type="cellIs" dxfId="7231" priority="142525" stopIfTrue="1" operator="lessThan">
      <formula>0.5</formula>
    </cfRule>
  </conditionalFormatting>
  <conditionalFormatting sqref="AL8">
    <cfRule type="cellIs" dxfId="7230" priority="142526" stopIfTrue="1" operator="greaterThanOrEqual">
      <formula>0.5</formula>
    </cfRule>
  </conditionalFormatting>
  <conditionalFormatting sqref="AL9">
    <cfRule type="cellIs" dxfId="7229" priority="142527" stopIfTrue="1" operator="equal">
      <formula>-1</formula>
    </cfRule>
  </conditionalFormatting>
  <conditionalFormatting sqref="AL9">
    <cfRule type="cellIs" dxfId="7228" priority="142528" stopIfTrue="1" operator="lessThan">
      <formula>0.5</formula>
    </cfRule>
  </conditionalFormatting>
  <conditionalFormatting sqref="AL9">
    <cfRule type="cellIs" dxfId="7227" priority="142529" stopIfTrue="1" operator="greaterThanOrEqual">
      <formula>0.5</formula>
    </cfRule>
  </conditionalFormatting>
  <conditionalFormatting sqref="AL10">
    <cfRule type="cellIs" dxfId="7226" priority="142530" stopIfTrue="1" operator="equal">
      <formula>-1</formula>
    </cfRule>
  </conditionalFormatting>
  <conditionalFormatting sqref="AL10">
    <cfRule type="cellIs" dxfId="7225" priority="142531" stopIfTrue="1" operator="lessThan">
      <formula>0.5</formula>
    </cfRule>
  </conditionalFormatting>
  <conditionalFormatting sqref="AL10">
    <cfRule type="cellIs" dxfId="7224" priority="142532" stopIfTrue="1" operator="greaterThanOrEqual">
      <formula>0.5</formula>
    </cfRule>
  </conditionalFormatting>
  <conditionalFormatting sqref="AL11">
    <cfRule type="cellIs" dxfId="7223" priority="142533" stopIfTrue="1" operator="equal">
      <formula>-1</formula>
    </cfRule>
  </conditionalFormatting>
  <conditionalFormatting sqref="AL11">
    <cfRule type="cellIs" dxfId="7222" priority="142534" stopIfTrue="1" operator="lessThan">
      <formula>0.5</formula>
    </cfRule>
  </conditionalFormatting>
  <conditionalFormatting sqref="AL11">
    <cfRule type="cellIs" dxfId="7221" priority="142535" stopIfTrue="1" operator="greaterThanOrEqual">
      <formula>0.5</formula>
    </cfRule>
  </conditionalFormatting>
  <conditionalFormatting sqref="AL12">
    <cfRule type="cellIs" dxfId="7220" priority="142536" stopIfTrue="1" operator="equal">
      <formula>-1</formula>
    </cfRule>
  </conditionalFormatting>
  <conditionalFormatting sqref="AL12">
    <cfRule type="cellIs" dxfId="7219" priority="142537" stopIfTrue="1" operator="lessThan">
      <formula>0.5</formula>
    </cfRule>
  </conditionalFormatting>
  <conditionalFormatting sqref="AL12">
    <cfRule type="cellIs" dxfId="7218" priority="142538" stopIfTrue="1" operator="greaterThanOrEqual">
      <formula>0.5</formula>
    </cfRule>
  </conditionalFormatting>
  <conditionalFormatting sqref="AL13">
    <cfRule type="cellIs" dxfId="7217" priority="142539" stopIfTrue="1" operator="equal">
      <formula>-1</formula>
    </cfRule>
  </conditionalFormatting>
  <conditionalFormatting sqref="AL13">
    <cfRule type="cellIs" dxfId="7216" priority="142540" stopIfTrue="1" operator="lessThan">
      <formula>0.5</formula>
    </cfRule>
  </conditionalFormatting>
  <conditionalFormatting sqref="AL13">
    <cfRule type="cellIs" dxfId="7215" priority="142541" stopIfTrue="1" operator="greaterThanOrEqual">
      <formula>0.5</formula>
    </cfRule>
  </conditionalFormatting>
  <conditionalFormatting sqref="AL14">
    <cfRule type="cellIs" dxfId="7214" priority="142542" stopIfTrue="1" operator="equal">
      <formula>-1</formula>
    </cfRule>
  </conditionalFormatting>
  <conditionalFormatting sqref="AL14">
    <cfRule type="cellIs" dxfId="7213" priority="142543" stopIfTrue="1" operator="lessThan">
      <formula>0.5</formula>
    </cfRule>
  </conditionalFormatting>
  <conditionalFormatting sqref="AL14">
    <cfRule type="cellIs" dxfId="7212" priority="142544" stopIfTrue="1" operator="greaterThanOrEqual">
      <formula>0.5</formula>
    </cfRule>
  </conditionalFormatting>
  <conditionalFormatting sqref="AL15">
    <cfRule type="cellIs" dxfId="7211" priority="142545" stopIfTrue="1" operator="equal">
      <formula>-1</formula>
    </cfRule>
  </conditionalFormatting>
  <conditionalFormatting sqref="AL15">
    <cfRule type="cellIs" dxfId="7210" priority="142546" stopIfTrue="1" operator="lessThan">
      <formula>0.5</formula>
    </cfRule>
  </conditionalFormatting>
  <conditionalFormatting sqref="AL15">
    <cfRule type="cellIs" dxfId="7209" priority="142547" stopIfTrue="1" operator="greaterThanOrEqual">
      <formula>0.5</formula>
    </cfRule>
  </conditionalFormatting>
  <conditionalFormatting sqref="AN8">
    <cfRule type="cellIs" dxfId="7208" priority="142548" stopIfTrue="1" operator="equal">
      <formula>-1</formula>
    </cfRule>
  </conditionalFormatting>
  <conditionalFormatting sqref="AN8">
    <cfRule type="cellIs" dxfId="7207" priority="142549" stopIfTrue="1" operator="lessThan">
      <formula>0.5</formula>
    </cfRule>
  </conditionalFormatting>
  <conditionalFormatting sqref="AN8">
    <cfRule type="cellIs" dxfId="7206" priority="142550" stopIfTrue="1" operator="greaterThanOrEqual">
      <formula>0.5</formula>
    </cfRule>
  </conditionalFormatting>
  <conditionalFormatting sqref="AN9">
    <cfRule type="cellIs" dxfId="7205" priority="142551" stopIfTrue="1" operator="equal">
      <formula>-1</formula>
    </cfRule>
  </conditionalFormatting>
  <conditionalFormatting sqref="AN9">
    <cfRule type="cellIs" dxfId="7204" priority="142552" stopIfTrue="1" operator="lessThan">
      <formula>0.5</formula>
    </cfRule>
  </conditionalFormatting>
  <conditionalFormatting sqref="AN9">
    <cfRule type="cellIs" dxfId="7203" priority="142553" stopIfTrue="1" operator="greaterThanOrEqual">
      <formula>0.5</formula>
    </cfRule>
  </conditionalFormatting>
  <conditionalFormatting sqref="AN10">
    <cfRule type="cellIs" dxfId="7202" priority="142554" stopIfTrue="1" operator="equal">
      <formula>-1</formula>
    </cfRule>
  </conditionalFormatting>
  <conditionalFormatting sqref="AN10">
    <cfRule type="cellIs" dxfId="7201" priority="142555" stopIfTrue="1" operator="lessThan">
      <formula>0.5</formula>
    </cfRule>
  </conditionalFormatting>
  <conditionalFormatting sqref="AN10">
    <cfRule type="cellIs" dxfId="7200" priority="142556" stopIfTrue="1" operator="greaterThanOrEqual">
      <formula>0.5</formula>
    </cfRule>
  </conditionalFormatting>
  <conditionalFormatting sqref="AN11">
    <cfRule type="cellIs" dxfId="7199" priority="142557" stopIfTrue="1" operator="equal">
      <formula>-1</formula>
    </cfRule>
  </conditionalFormatting>
  <conditionalFormatting sqref="AN11">
    <cfRule type="cellIs" dxfId="7198" priority="142558" stopIfTrue="1" operator="lessThan">
      <formula>0.5</formula>
    </cfRule>
  </conditionalFormatting>
  <conditionalFormatting sqref="AN11">
    <cfRule type="cellIs" dxfId="7197" priority="142559" stopIfTrue="1" operator="greaterThanOrEqual">
      <formula>0.5</formula>
    </cfRule>
  </conditionalFormatting>
  <conditionalFormatting sqref="AN12">
    <cfRule type="cellIs" dxfId="7196" priority="142560" stopIfTrue="1" operator="equal">
      <formula>-1</formula>
    </cfRule>
  </conditionalFormatting>
  <conditionalFormatting sqref="AN12">
    <cfRule type="cellIs" dxfId="7195" priority="142561" stopIfTrue="1" operator="lessThan">
      <formula>0.5</formula>
    </cfRule>
  </conditionalFormatting>
  <conditionalFormatting sqref="AN12">
    <cfRule type="cellIs" dxfId="7194" priority="142562" stopIfTrue="1" operator="greaterThanOrEqual">
      <formula>0.5</formula>
    </cfRule>
  </conditionalFormatting>
  <conditionalFormatting sqref="AN13">
    <cfRule type="cellIs" dxfId="7193" priority="142563" stopIfTrue="1" operator="equal">
      <formula>-1</formula>
    </cfRule>
  </conditionalFormatting>
  <conditionalFormatting sqref="AN13">
    <cfRule type="cellIs" dxfId="7192" priority="142564" stopIfTrue="1" operator="lessThan">
      <formula>0.5</formula>
    </cfRule>
  </conditionalFormatting>
  <conditionalFormatting sqref="AN13">
    <cfRule type="cellIs" dxfId="7191" priority="142565" stopIfTrue="1" operator="greaterThanOrEqual">
      <formula>0.5</formula>
    </cfRule>
  </conditionalFormatting>
  <conditionalFormatting sqref="AN14">
    <cfRule type="cellIs" dxfId="7190" priority="142566" stopIfTrue="1" operator="equal">
      <formula>-1</formula>
    </cfRule>
  </conditionalFormatting>
  <conditionalFormatting sqref="AN14">
    <cfRule type="cellIs" dxfId="7189" priority="142567" stopIfTrue="1" operator="lessThan">
      <formula>0.5</formula>
    </cfRule>
  </conditionalFormatting>
  <conditionalFormatting sqref="AN14">
    <cfRule type="cellIs" dxfId="7188" priority="142568" stopIfTrue="1" operator="greaterThanOrEqual">
      <formula>0.5</formula>
    </cfRule>
  </conditionalFormatting>
  <conditionalFormatting sqref="AN15">
    <cfRule type="cellIs" dxfId="7187" priority="142569" stopIfTrue="1" operator="equal">
      <formula>-1</formula>
    </cfRule>
  </conditionalFormatting>
  <conditionalFormatting sqref="AN15">
    <cfRule type="cellIs" dxfId="7186" priority="142570" stopIfTrue="1" operator="lessThan">
      <formula>0.5</formula>
    </cfRule>
  </conditionalFormatting>
  <conditionalFormatting sqref="AN15">
    <cfRule type="cellIs" dxfId="7185" priority="142571" stopIfTrue="1" operator="greaterThanOrEqual">
      <formula>0.5</formula>
    </cfRule>
  </conditionalFormatting>
  <conditionalFormatting sqref="AP8">
    <cfRule type="cellIs" dxfId="7184" priority="142572" stopIfTrue="1" operator="equal">
      <formula>-1</formula>
    </cfRule>
  </conditionalFormatting>
  <conditionalFormatting sqref="AP8">
    <cfRule type="cellIs" dxfId="7183" priority="142573" stopIfTrue="1" operator="lessThan">
      <formula>0.5</formula>
    </cfRule>
  </conditionalFormatting>
  <conditionalFormatting sqref="AP8">
    <cfRule type="cellIs" dxfId="7182" priority="142574" stopIfTrue="1" operator="greaterThanOrEqual">
      <formula>0.5</formula>
    </cfRule>
  </conditionalFormatting>
  <conditionalFormatting sqref="AP9">
    <cfRule type="cellIs" dxfId="7181" priority="142575" stopIfTrue="1" operator="equal">
      <formula>-1</formula>
    </cfRule>
  </conditionalFormatting>
  <conditionalFormatting sqref="AP9">
    <cfRule type="cellIs" dxfId="7180" priority="142576" stopIfTrue="1" operator="lessThan">
      <formula>0.5</formula>
    </cfRule>
  </conditionalFormatting>
  <conditionalFormatting sqref="AP9">
    <cfRule type="cellIs" dxfId="7179" priority="142577" stopIfTrue="1" operator="greaterThanOrEqual">
      <formula>0.5</formula>
    </cfRule>
  </conditionalFormatting>
  <conditionalFormatting sqref="AP10">
    <cfRule type="cellIs" dxfId="7178" priority="142578" stopIfTrue="1" operator="equal">
      <formula>-1</formula>
    </cfRule>
  </conditionalFormatting>
  <conditionalFormatting sqref="AP10">
    <cfRule type="cellIs" dxfId="7177" priority="142579" stopIfTrue="1" operator="lessThan">
      <formula>0.5</formula>
    </cfRule>
  </conditionalFormatting>
  <conditionalFormatting sqref="AP10">
    <cfRule type="cellIs" dxfId="7176" priority="142580" stopIfTrue="1" operator="greaterThanOrEqual">
      <formula>0.5</formula>
    </cfRule>
  </conditionalFormatting>
  <conditionalFormatting sqref="AP11">
    <cfRule type="cellIs" dxfId="7175" priority="142581" stopIfTrue="1" operator="equal">
      <formula>-1</formula>
    </cfRule>
  </conditionalFormatting>
  <conditionalFormatting sqref="AP11">
    <cfRule type="cellIs" dxfId="7174" priority="142582" stopIfTrue="1" operator="lessThan">
      <formula>0.5</formula>
    </cfRule>
  </conditionalFormatting>
  <conditionalFormatting sqref="AP11">
    <cfRule type="cellIs" dxfId="7173" priority="142583" stopIfTrue="1" operator="greaterThanOrEqual">
      <formula>0.5</formula>
    </cfRule>
  </conditionalFormatting>
  <conditionalFormatting sqref="AP12">
    <cfRule type="cellIs" dxfId="7172" priority="142584" stopIfTrue="1" operator="equal">
      <formula>-1</formula>
    </cfRule>
  </conditionalFormatting>
  <conditionalFormatting sqref="AP12">
    <cfRule type="cellIs" dxfId="7171" priority="142585" stopIfTrue="1" operator="lessThan">
      <formula>0.5</formula>
    </cfRule>
  </conditionalFormatting>
  <conditionalFormatting sqref="AP12">
    <cfRule type="cellIs" dxfId="7170" priority="142586" stopIfTrue="1" operator="greaterThanOrEqual">
      <formula>0.5</formula>
    </cfRule>
  </conditionalFormatting>
  <conditionalFormatting sqref="AP13">
    <cfRule type="cellIs" dxfId="7169" priority="142587" stopIfTrue="1" operator="equal">
      <formula>-1</formula>
    </cfRule>
  </conditionalFormatting>
  <conditionalFormatting sqref="AP13">
    <cfRule type="cellIs" dxfId="7168" priority="142588" stopIfTrue="1" operator="lessThan">
      <formula>0.5</formula>
    </cfRule>
  </conditionalFormatting>
  <conditionalFormatting sqref="AP13">
    <cfRule type="cellIs" dxfId="7167" priority="142589" stopIfTrue="1" operator="greaterThanOrEqual">
      <formula>0.5</formula>
    </cfRule>
  </conditionalFormatting>
  <conditionalFormatting sqref="AP14">
    <cfRule type="cellIs" dxfId="7166" priority="142590" stopIfTrue="1" operator="equal">
      <formula>-1</formula>
    </cfRule>
  </conditionalFormatting>
  <conditionalFormatting sqref="AP14">
    <cfRule type="cellIs" dxfId="7165" priority="142591" stopIfTrue="1" operator="lessThan">
      <formula>0.5</formula>
    </cfRule>
  </conditionalFormatting>
  <conditionalFormatting sqref="AP14">
    <cfRule type="cellIs" dxfId="7164" priority="142592" stopIfTrue="1" operator="greaterThanOrEqual">
      <formula>0.5</formula>
    </cfRule>
  </conditionalFormatting>
  <conditionalFormatting sqref="AP15">
    <cfRule type="cellIs" dxfId="7163" priority="142593" stopIfTrue="1" operator="equal">
      <formula>-1</formula>
    </cfRule>
  </conditionalFormatting>
  <conditionalFormatting sqref="AP15">
    <cfRule type="cellIs" dxfId="7162" priority="142594" stopIfTrue="1" operator="lessThan">
      <formula>0.5</formula>
    </cfRule>
  </conditionalFormatting>
  <conditionalFormatting sqref="AP15">
    <cfRule type="cellIs" dxfId="7161" priority="142595" stopIfTrue="1" operator="greaterThanOrEqual">
      <formula>0.5</formula>
    </cfRule>
  </conditionalFormatting>
  <conditionalFormatting sqref="AR8">
    <cfRule type="cellIs" dxfId="7160" priority="142596" stopIfTrue="1" operator="equal">
      <formula>-1</formula>
    </cfRule>
  </conditionalFormatting>
  <conditionalFormatting sqref="AR8">
    <cfRule type="cellIs" dxfId="7159" priority="142597" stopIfTrue="1" operator="lessThan">
      <formula>0.5</formula>
    </cfRule>
  </conditionalFormatting>
  <conditionalFormatting sqref="AR8">
    <cfRule type="cellIs" dxfId="7158" priority="142598" stopIfTrue="1" operator="greaterThanOrEqual">
      <formula>0.5</formula>
    </cfRule>
  </conditionalFormatting>
  <conditionalFormatting sqref="AR9">
    <cfRule type="cellIs" dxfId="7157" priority="142599" stopIfTrue="1" operator="equal">
      <formula>-1</formula>
    </cfRule>
  </conditionalFormatting>
  <conditionalFormatting sqref="AR9">
    <cfRule type="cellIs" dxfId="7156" priority="142600" stopIfTrue="1" operator="lessThan">
      <formula>0.5</formula>
    </cfRule>
  </conditionalFormatting>
  <conditionalFormatting sqref="AR9">
    <cfRule type="cellIs" dxfId="7155" priority="142601" stopIfTrue="1" operator="greaterThanOrEqual">
      <formula>0.5</formula>
    </cfRule>
  </conditionalFormatting>
  <conditionalFormatting sqref="AR10">
    <cfRule type="cellIs" dxfId="7154" priority="142602" stopIfTrue="1" operator="equal">
      <formula>-1</formula>
    </cfRule>
  </conditionalFormatting>
  <conditionalFormatting sqref="AR10">
    <cfRule type="cellIs" dxfId="7153" priority="142603" stopIfTrue="1" operator="lessThan">
      <formula>0.5</formula>
    </cfRule>
  </conditionalFormatting>
  <conditionalFormatting sqref="AR10">
    <cfRule type="cellIs" dxfId="7152" priority="142604" stopIfTrue="1" operator="greaterThanOrEqual">
      <formula>0.5</formula>
    </cfRule>
  </conditionalFormatting>
  <conditionalFormatting sqref="AR11">
    <cfRule type="cellIs" dxfId="7151" priority="142605" stopIfTrue="1" operator="equal">
      <formula>-1</formula>
    </cfRule>
  </conditionalFormatting>
  <conditionalFormatting sqref="AR11">
    <cfRule type="cellIs" dxfId="7150" priority="142606" stopIfTrue="1" operator="lessThan">
      <formula>0.5</formula>
    </cfRule>
  </conditionalFormatting>
  <conditionalFormatting sqref="AR11">
    <cfRule type="cellIs" dxfId="7149" priority="142607" stopIfTrue="1" operator="greaterThanOrEqual">
      <formula>0.5</formula>
    </cfRule>
  </conditionalFormatting>
  <conditionalFormatting sqref="AR12">
    <cfRule type="cellIs" dxfId="7148" priority="142608" stopIfTrue="1" operator="equal">
      <formula>-1</formula>
    </cfRule>
  </conditionalFormatting>
  <conditionalFormatting sqref="AR12">
    <cfRule type="cellIs" dxfId="7147" priority="142609" stopIfTrue="1" operator="lessThan">
      <formula>0.5</formula>
    </cfRule>
  </conditionalFormatting>
  <conditionalFormatting sqref="AR12">
    <cfRule type="cellIs" dxfId="7146" priority="142610" stopIfTrue="1" operator="greaterThanOrEqual">
      <formula>0.5</formula>
    </cfRule>
  </conditionalFormatting>
  <conditionalFormatting sqref="AR13">
    <cfRule type="cellIs" dxfId="7145" priority="142611" stopIfTrue="1" operator="equal">
      <formula>-1</formula>
    </cfRule>
  </conditionalFormatting>
  <conditionalFormatting sqref="AR13">
    <cfRule type="cellIs" dxfId="7144" priority="142612" stopIfTrue="1" operator="lessThan">
      <formula>0.5</formula>
    </cfRule>
  </conditionalFormatting>
  <conditionalFormatting sqref="AR13">
    <cfRule type="cellIs" dxfId="7143" priority="142613" stopIfTrue="1" operator="greaterThanOrEqual">
      <formula>0.5</formula>
    </cfRule>
  </conditionalFormatting>
  <conditionalFormatting sqref="AR14">
    <cfRule type="cellIs" dxfId="7142" priority="142614" stopIfTrue="1" operator="equal">
      <formula>-1</formula>
    </cfRule>
  </conditionalFormatting>
  <conditionalFormatting sqref="AR14">
    <cfRule type="cellIs" dxfId="7141" priority="142615" stopIfTrue="1" operator="lessThan">
      <formula>0.5</formula>
    </cfRule>
  </conditionalFormatting>
  <conditionalFormatting sqref="AR14">
    <cfRule type="cellIs" dxfId="7140" priority="142616" stopIfTrue="1" operator="greaterThanOrEqual">
      <formula>0.5</formula>
    </cfRule>
  </conditionalFormatting>
  <conditionalFormatting sqref="AR15">
    <cfRule type="cellIs" dxfId="7139" priority="142617" stopIfTrue="1" operator="equal">
      <formula>-1</formula>
    </cfRule>
  </conditionalFormatting>
  <conditionalFormatting sqref="AR15">
    <cfRule type="cellIs" dxfId="7138" priority="142618" stopIfTrue="1" operator="lessThan">
      <formula>0.5</formula>
    </cfRule>
  </conditionalFormatting>
  <conditionalFormatting sqref="AR15">
    <cfRule type="cellIs" dxfId="7137" priority="142619" stopIfTrue="1" operator="greaterThanOrEqual">
      <formula>0.5</formula>
    </cfRule>
  </conditionalFormatting>
  <conditionalFormatting sqref="AT8">
    <cfRule type="cellIs" dxfId="7136" priority="142620" stopIfTrue="1" operator="equal">
      <formula>-1</formula>
    </cfRule>
  </conditionalFormatting>
  <conditionalFormatting sqref="AT8">
    <cfRule type="cellIs" dxfId="7135" priority="142621" stopIfTrue="1" operator="lessThan">
      <formula>0.5</formula>
    </cfRule>
  </conditionalFormatting>
  <conditionalFormatting sqref="AT8">
    <cfRule type="cellIs" dxfId="7134" priority="142622" stopIfTrue="1" operator="greaterThanOrEqual">
      <formula>0.5</formula>
    </cfRule>
  </conditionalFormatting>
  <conditionalFormatting sqref="AT9">
    <cfRule type="cellIs" dxfId="7133" priority="142623" stopIfTrue="1" operator="equal">
      <formula>-1</formula>
    </cfRule>
  </conditionalFormatting>
  <conditionalFormatting sqref="AT9">
    <cfRule type="cellIs" dxfId="7132" priority="142624" stopIfTrue="1" operator="lessThan">
      <formula>0.5</formula>
    </cfRule>
  </conditionalFormatting>
  <conditionalFormatting sqref="AT9">
    <cfRule type="cellIs" dxfId="7131" priority="142625" stopIfTrue="1" operator="greaterThanOrEqual">
      <formula>0.5</formula>
    </cfRule>
  </conditionalFormatting>
  <conditionalFormatting sqref="AT10">
    <cfRule type="cellIs" dxfId="7130" priority="142626" stopIfTrue="1" operator="equal">
      <formula>-1</formula>
    </cfRule>
  </conditionalFormatting>
  <conditionalFormatting sqref="AT10">
    <cfRule type="cellIs" dxfId="7129" priority="142627" stopIfTrue="1" operator="lessThan">
      <formula>0.5</formula>
    </cfRule>
  </conditionalFormatting>
  <conditionalFormatting sqref="AT10">
    <cfRule type="cellIs" dxfId="7128" priority="142628" stopIfTrue="1" operator="greaterThanOrEqual">
      <formula>0.5</formula>
    </cfRule>
  </conditionalFormatting>
  <conditionalFormatting sqref="AT11">
    <cfRule type="cellIs" dxfId="7127" priority="142629" stopIfTrue="1" operator="equal">
      <formula>-1</formula>
    </cfRule>
  </conditionalFormatting>
  <conditionalFormatting sqref="AT11">
    <cfRule type="cellIs" dxfId="7126" priority="142630" stopIfTrue="1" operator="lessThan">
      <formula>0.5</formula>
    </cfRule>
  </conditionalFormatting>
  <conditionalFormatting sqref="AT11">
    <cfRule type="cellIs" dxfId="7125" priority="142631" stopIfTrue="1" operator="greaterThanOrEqual">
      <formula>0.5</formula>
    </cfRule>
  </conditionalFormatting>
  <conditionalFormatting sqref="AT12">
    <cfRule type="cellIs" dxfId="7124" priority="142632" stopIfTrue="1" operator="equal">
      <formula>-1</formula>
    </cfRule>
  </conditionalFormatting>
  <conditionalFormatting sqref="AT12">
    <cfRule type="cellIs" dxfId="7123" priority="142633" stopIfTrue="1" operator="lessThan">
      <formula>0.5</formula>
    </cfRule>
  </conditionalFormatting>
  <conditionalFormatting sqref="AT12">
    <cfRule type="cellIs" dxfId="7122" priority="142634" stopIfTrue="1" operator="greaterThanOrEqual">
      <formula>0.5</formula>
    </cfRule>
  </conditionalFormatting>
  <conditionalFormatting sqref="AT13">
    <cfRule type="cellIs" dxfId="7121" priority="142635" stopIfTrue="1" operator="equal">
      <formula>-1</formula>
    </cfRule>
  </conditionalFormatting>
  <conditionalFormatting sqref="AT13">
    <cfRule type="cellIs" dxfId="7120" priority="142636" stopIfTrue="1" operator="lessThan">
      <formula>0.5</formula>
    </cfRule>
  </conditionalFormatting>
  <conditionalFormatting sqref="AT13">
    <cfRule type="cellIs" dxfId="7119" priority="142637" stopIfTrue="1" operator="greaterThanOrEqual">
      <formula>0.5</formula>
    </cfRule>
  </conditionalFormatting>
  <conditionalFormatting sqref="AT14">
    <cfRule type="cellIs" dxfId="7118" priority="142638" stopIfTrue="1" operator="equal">
      <formula>-1</formula>
    </cfRule>
  </conditionalFormatting>
  <conditionalFormatting sqref="AT14">
    <cfRule type="cellIs" dxfId="7117" priority="142639" stopIfTrue="1" operator="lessThan">
      <formula>0.5</formula>
    </cfRule>
  </conditionalFormatting>
  <conditionalFormatting sqref="AT14">
    <cfRule type="cellIs" dxfId="7116" priority="142640" stopIfTrue="1" operator="greaterThanOrEqual">
      <formula>0.5</formula>
    </cfRule>
  </conditionalFormatting>
  <conditionalFormatting sqref="AT15">
    <cfRule type="cellIs" dxfId="7115" priority="142641" stopIfTrue="1" operator="equal">
      <formula>-1</formula>
    </cfRule>
  </conditionalFormatting>
  <conditionalFormatting sqref="AT15">
    <cfRule type="cellIs" dxfId="7114" priority="142642" stopIfTrue="1" operator="lessThan">
      <formula>0.5</formula>
    </cfRule>
  </conditionalFormatting>
  <conditionalFormatting sqref="AT15">
    <cfRule type="cellIs" dxfId="7113" priority="142643" stopIfTrue="1" operator="greaterThanOrEqual">
      <formula>0.5</formula>
    </cfRule>
  </conditionalFormatting>
  <conditionalFormatting sqref="AV8">
    <cfRule type="cellIs" dxfId="7112" priority="142644" stopIfTrue="1" operator="equal">
      <formula>-1</formula>
    </cfRule>
  </conditionalFormatting>
  <conditionalFormatting sqref="AV8">
    <cfRule type="cellIs" dxfId="7111" priority="142645" stopIfTrue="1" operator="lessThan">
      <formula>0.5</formula>
    </cfRule>
  </conditionalFormatting>
  <conditionalFormatting sqref="AV8">
    <cfRule type="cellIs" dxfId="7110" priority="142646" stopIfTrue="1" operator="greaterThanOrEqual">
      <formula>0.5</formula>
    </cfRule>
  </conditionalFormatting>
  <conditionalFormatting sqref="AV9">
    <cfRule type="cellIs" dxfId="7109" priority="142647" stopIfTrue="1" operator="equal">
      <formula>-1</formula>
    </cfRule>
  </conditionalFormatting>
  <conditionalFormatting sqref="AV9">
    <cfRule type="cellIs" dxfId="7108" priority="142648" stopIfTrue="1" operator="lessThan">
      <formula>0.5</formula>
    </cfRule>
  </conditionalFormatting>
  <conditionalFormatting sqref="AV9">
    <cfRule type="cellIs" dxfId="7107" priority="142649" stopIfTrue="1" operator="greaterThanOrEqual">
      <formula>0.5</formula>
    </cfRule>
  </conditionalFormatting>
  <conditionalFormatting sqref="AV10">
    <cfRule type="cellIs" dxfId="7106" priority="142650" stopIfTrue="1" operator="equal">
      <formula>-1</formula>
    </cfRule>
  </conditionalFormatting>
  <conditionalFormatting sqref="AV10">
    <cfRule type="cellIs" dxfId="7105" priority="142651" stopIfTrue="1" operator="lessThan">
      <formula>0.5</formula>
    </cfRule>
  </conditionalFormatting>
  <conditionalFormatting sqref="AV10">
    <cfRule type="cellIs" dxfId="7104" priority="142652" stopIfTrue="1" operator="greaterThanOrEqual">
      <formula>0.5</formula>
    </cfRule>
  </conditionalFormatting>
  <conditionalFormatting sqref="AV11">
    <cfRule type="cellIs" dxfId="7103" priority="142653" stopIfTrue="1" operator="equal">
      <formula>-1</formula>
    </cfRule>
  </conditionalFormatting>
  <conditionalFormatting sqref="AV11">
    <cfRule type="cellIs" dxfId="7102" priority="142654" stopIfTrue="1" operator="lessThan">
      <formula>0.5</formula>
    </cfRule>
  </conditionalFormatting>
  <conditionalFormatting sqref="AV11">
    <cfRule type="cellIs" dxfId="7101" priority="142655" stopIfTrue="1" operator="greaterThanOrEqual">
      <formula>0.5</formula>
    </cfRule>
  </conditionalFormatting>
  <conditionalFormatting sqref="AV12">
    <cfRule type="cellIs" dxfId="7100" priority="142656" stopIfTrue="1" operator="equal">
      <formula>-1</formula>
    </cfRule>
  </conditionalFormatting>
  <conditionalFormatting sqref="AV12">
    <cfRule type="cellIs" dxfId="7099" priority="142657" stopIfTrue="1" operator="lessThan">
      <formula>0.5</formula>
    </cfRule>
  </conditionalFormatting>
  <conditionalFormatting sqref="AV12">
    <cfRule type="cellIs" dxfId="7098" priority="142658" stopIfTrue="1" operator="greaterThanOrEqual">
      <formula>0.5</formula>
    </cfRule>
  </conditionalFormatting>
  <conditionalFormatting sqref="AV13">
    <cfRule type="cellIs" dxfId="7097" priority="142659" stopIfTrue="1" operator="equal">
      <formula>-1</formula>
    </cfRule>
  </conditionalFormatting>
  <conditionalFormatting sqref="AV13">
    <cfRule type="cellIs" dxfId="7096" priority="142660" stopIfTrue="1" operator="lessThan">
      <formula>0.5</formula>
    </cfRule>
  </conditionalFormatting>
  <conditionalFormatting sqref="AV13">
    <cfRule type="cellIs" dxfId="7095" priority="142661" stopIfTrue="1" operator="greaterThanOrEqual">
      <formula>0.5</formula>
    </cfRule>
  </conditionalFormatting>
  <conditionalFormatting sqref="AV14">
    <cfRule type="cellIs" dxfId="7094" priority="142662" stopIfTrue="1" operator="equal">
      <formula>-1</formula>
    </cfRule>
  </conditionalFormatting>
  <conditionalFormatting sqref="AV14">
    <cfRule type="cellIs" dxfId="7093" priority="142663" stopIfTrue="1" operator="lessThan">
      <formula>0.5</formula>
    </cfRule>
  </conditionalFormatting>
  <conditionalFormatting sqref="AV14">
    <cfRule type="cellIs" dxfId="7092" priority="142664" stopIfTrue="1" operator="greaterThanOrEqual">
      <formula>0.5</formula>
    </cfRule>
  </conditionalFormatting>
  <conditionalFormatting sqref="AV15">
    <cfRule type="cellIs" dxfId="7091" priority="142665" stopIfTrue="1" operator="equal">
      <formula>-1</formula>
    </cfRule>
  </conditionalFormatting>
  <conditionalFormatting sqref="AV15">
    <cfRule type="cellIs" dxfId="7090" priority="142666" stopIfTrue="1" operator="lessThan">
      <formula>0.5</formula>
    </cfRule>
  </conditionalFormatting>
  <conditionalFormatting sqref="AV15">
    <cfRule type="cellIs" dxfId="7089" priority="142667" stopIfTrue="1" operator="greaterThanOrEqual">
      <formula>0.5</formula>
    </cfRule>
  </conditionalFormatting>
  <conditionalFormatting sqref="AX8">
    <cfRule type="cellIs" dxfId="7088" priority="142668" stopIfTrue="1" operator="equal">
      <formula>-1</formula>
    </cfRule>
  </conditionalFormatting>
  <conditionalFormatting sqref="AX8">
    <cfRule type="cellIs" dxfId="7087" priority="142669" stopIfTrue="1" operator="lessThan">
      <formula>0.5</formula>
    </cfRule>
  </conditionalFormatting>
  <conditionalFormatting sqref="AX8">
    <cfRule type="cellIs" dxfId="7086" priority="142670" stopIfTrue="1" operator="greaterThanOrEqual">
      <formula>0.5</formula>
    </cfRule>
  </conditionalFormatting>
  <conditionalFormatting sqref="AX9">
    <cfRule type="cellIs" dxfId="7085" priority="142671" stopIfTrue="1" operator="equal">
      <formula>-1</formula>
    </cfRule>
  </conditionalFormatting>
  <conditionalFormatting sqref="AX9">
    <cfRule type="cellIs" dxfId="7084" priority="142672" stopIfTrue="1" operator="lessThan">
      <formula>0.5</formula>
    </cfRule>
  </conditionalFormatting>
  <conditionalFormatting sqref="AX9">
    <cfRule type="cellIs" dxfId="7083" priority="142673" stopIfTrue="1" operator="greaterThanOrEqual">
      <formula>0.5</formula>
    </cfRule>
  </conditionalFormatting>
  <conditionalFormatting sqref="AX10">
    <cfRule type="cellIs" dxfId="7082" priority="142674" stopIfTrue="1" operator="equal">
      <formula>-1</formula>
    </cfRule>
  </conditionalFormatting>
  <conditionalFormatting sqref="AX10">
    <cfRule type="cellIs" dxfId="7081" priority="142675" stopIfTrue="1" operator="lessThan">
      <formula>0.5</formula>
    </cfRule>
  </conditionalFormatting>
  <conditionalFormatting sqref="AX10">
    <cfRule type="cellIs" dxfId="7080" priority="142676" stopIfTrue="1" operator="greaterThanOrEqual">
      <formula>0.5</formula>
    </cfRule>
  </conditionalFormatting>
  <conditionalFormatting sqref="AX11">
    <cfRule type="cellIs" dxfId="7079" priority="142677" stopIfTrue="1" operator="equal">
      <formula>-1</formula>
    </cfRule>
  </conditionalFormatting>
  <conditionalFormatting sqref="AX11">
    <cfRule type="cellIs" dxfId="7078" priority="142678" stopIfTrue="1" operator="lessThan">
      <formula>0.5</formula>
    </cfRule>
  </conditionalFormatting>
  <conditionalFormatting sqref="AX11">
    <cfRule type="cellIs" dxfId="7077" priority="142679" stopIfTrue="1" operator="greaterThanOrEqual">
      <formula>0.5</formula>
    </cfRule>
  </conditionalFormatting>
  <conditionalFormatting sqref="AX12">
    <cfRule type="cellIs" dxfId="7076" priority="142680" stopIfTrue="1" operator="equal">
      <formula>-1</formula>
    </cfRule>
  </conditionalFormatting>
  <conditionalFormatting sqref="AX12">
    <cfRule type="cellIs" dxfId="7075" priority="142681" stopIfTrue="1" operator="lessThan">
      <formula>0.5</formula>
    </cfRule>
  </conditionalFormatting>
  <conditionalFormatting sqref="AX12">
    <cfRule type="cellIs" dxfId="7074" priority="142682" stopIfTrue="1" operator="greaterThanOrEqual">
      <formula>0.5</formula>
    </cfRule>
  </conditionalFormatting>
  <conditionalFormatting sqref="AX13">
    <cfRule type="cellIs" dxfId="7073" priority="142683" stopIfTrue="1" operator="equal">
      <formula>-1</formula>
    </cfRule>
  </conditionalFormatting>
  <conditionalFormatting sqref="AX13">
    <cfRule type="cellIs" dxfId="7072" priority="142684" stopIfTrue="1" operator="lessThan">
      <formula>0.5</formula>
    </cfRule>
  </conditionalFormatting>
  <conditionalFormatting sqref="AX13">
    <cfRule type="cellIs" dxfId="7071" priority="142685" stopIfTrue="1" operator="greaterThanOrEqual">
      <formula>0.5</formula>
    </cfRule>
  </conditionalFormatting>
  <conditionalFormatting sqref="AX14">
    <cfRule type="cellIs" dxfId="7070" priority="142686" stopIfTrue="1" operator="equal">
      <formula>-1</formula>
    </cfRule>
  </conditionalFormatting>
  <conditionalFormatting sqref="AX14">
    <cfRule type="cellIs" dxfId="7069" priority="142687" stopIfTrue="1" operator="lessThan">
      <formula>0.5</formula>
    </cfRule>
  </conditionalFormatting>
  <conditionalFormatting sqref="AX14">
    <cfRule type="cellIs" dxfId="7068" priority="142688" stopIfTrue="1" operator="greaterThanOrEqual">
      <formula>0.5</formula>
    </cfRule>
  </conditionalFormatting>
  <conditionalFormatting sqref="AX15">
    <cfRule type="cellIs" dxfId="7067" priority="142689" stopIfTrue="1" operator="equal">
      <formula>-1</formula>
    </cfRule>
  </conditionalFormatting>
  <conditionalFormatting sqref="AX15">
    <cfRule type="cellIs" dxfId="7066" priority="142690" stopIfTrue="1" operator="lessThan">
      <formula>0.5</formula>
    </cfRule>
  </conditionalFormatting>
  <conditionalFormatting sqref="AX15">
    <cfRule type="cellIs" dxfId="7065" priority="142691" stopIfTrue="1" operator="greaterThanOrEqual">
      <formula>0.5</formula>
    </cfRule>
  </conditionalFormatting>
  <conditionalFormatting sqref="AZ8">
    <cfRule type="cellIs" dxfId="7064" priority="142692" stopIfTrue="1" operator="equal">
      <formula>-1</formula>
    </cfRule>
  </conditionalFormatting>
  <conditionalFormatting sqref="AZ8">
    <cfRule type="cellIs" dxfId="7063" priority="142693" stopIfTrue="1" operator="lessThan">
      <formula>0.5</formula>
    </cfRule>
  </conditionalFormatting>
  <conditionalFormatting sqref="AZ8">
    <cfRule type="cellIs" dxfId="7062" priority="142694" stopIfTrue="1" operator="greaterThanOrEqual">
      <formula>0.5</formula>
    </cfRule>
  </conditionalFormatting>
  <conditionalFormatting sqref="AZ9">
    <cfRule type="cellIs" dxfId="7061" priority="142695" stopIfTrue="1" operator="equal">
      <formula>-1</formula>
    </cfRule>
  </conditionalFormatting>
  <conditionalFormatting sqref="AZ9">
    <cfRule type="cellIs" dxfId="7060" priority="142696" stopIfTrue="1" operator="lessThan">
      <formula>0.5</formula>
    </cfRule>
  </conditionalFormatting>
  <conditionalFormatting sqref="AZ9">
    <cfRule type="cellIs" dxfId="7059" priority="142697" stopIfTrue="1" operator="greaterThanOrEqual">
      <formula>0.5</formula>
    </cfRule>
  </conditionalFormatting>
  <conditionalFormatting sqref="AZ10">
    <cfRule type="cellIs" dxfId="7058" priority="142698" stopIfTrue="1" operator="equal">
      <formula>-1</formula>
    </cfRule>
  </conditionalFormatting>
  <conditionalFormatting sqref="AZ10">
    <cfRule type="cellIs" dxfId="7057" priority="142699" stopIfTrue="1" operator="lessThan">
      <formula>0.5</formula>
    </cfRule>
  </conditionalFormatting>
  <conditionalFormatting sqref="AZ10">
    <cfRule type="cellIs" dxfId="7056" priority="142700" stopIfTrue="1" operator="greaterThanOrEqual">
      <formula>0.5</formula>
    </cfRule>
  </conditionalFormatting>
  <conditionalFormatting sqref="AZ11">
    <cfRule type="cellIs" dxfId="7055" priority="142701" stopIfTrue="1" operator="equal">
      <formula>-1</formula>
    </cfRule>
  </conditionalFormatting>
  <conditionalFormatting sqref="AZ11">
    <cfRule type="cellIs" dxfId="7054" priority="142702" stopIfTrue="1" operator="lessThan">
      <formula>0.5</formula>
    </cfRule>
  </conditionalFormatting>
  <conditionalFormatting sqref="AZ11">
    <cfRule type="cellIs" dxfId="7053" priority="142703" stopIfTrue="1" operator="greaterThanOrEqual">
      <formula>0.5</formula>
    </cfRule>
  </conditionalFormatting>
  <conditionalFormatting sqref="AZ12">
    <cfRule type="cellIs" dxfId="7052" priority="142704" stopIfTrue="1" operator="equal">
      <formula>-1</formula>
    </cfRule>
  </conditionalFormatting>
  <conditionalFormatting sqref="AZ12">
    <cfRule type="cellIs" dxfId="7051" priority="142705" stopIfTrue="1" operator="lessThan">
      <formula>0.5</formula>
    </cfRule>
  </conditionalFormatting>
  <conditionalFormatting sqref="AZ12">
    <cfRule type="cellIs" dxfId="7050" priority="142706" stopIfTrue="1" operator="greaterThanOrEqual">
      <formula>0.5</formula>
    </cfRule>
  </conditionalFormatting>
  <conditionalFormatting sqref="AZ13">
    <cfRule type="cellIs" dxfId="7049" priority="142707" stopIfTrue="1" operator="equal">
      <formula>-1</formula>
    </cfRule>
  </conditionalFormatting>
  <conditionalFormatting sqref="AZ13">
    <cfRule type="cellIs" dxfId="7048" priority="142708" stopIfTrue="1" operator="lessThan">
      <formula>0.5</formula>
    </cfRule>
  </conditionalFormatting>
  <conditionalFormatting sqref="AZ13">
    <cfRule type="cellIs" dxfId="7047" priority="142709" stopIfTrue="1" operator="greaterThanOrEqual">
      <formula>0.5</formula>
    </cfRule>
  </conditionalFormatting>
  <conditionalFormatting sqref="AZ14">
    <cfRule type="cellIs" dxfId="7046" priority="142710" stopIfTrue="1" operator="equal">
      <formula>-1</formula>
    </cfRule>
  </conditionalFormatting>
  <conditionalFormatting sqref="AZ14">
    <cfRule type="cellIs" dxfId="7045" priority="142711" stopIfTrue="1" operator="lessThan">
      <formula>0.5</formula>
    </cfRule>
  </conditionalFormatting>
  <conditionalFormatting sqref="AZ14">
    <cfRule type="cellIs" dxfId="7044" priority="142712" stopIfTrue="1" operator="greaterThanOrEqual">
      <formula>0.5</formula>
    </cfRule>
  </conditionalFormatting>
  <conditionalFormatting sqref="AZ15">
    <cfRule type="cellIs" dxfId="7043" priority="142713" stopIfTrue="1" operator="equal">
      <formula>-1</formula>
    </cfRule>
  </conditionalFormatting>
  <conditionalFormatting sqref="AZ15">
    <cfRule type="cellIs" dxfId="7042" priority="142714" stopIfTrue="1" operator="lessThan">
      <formula>0.5</formula>
    </cfRule>
  </conditionalFormatting>
  <conditionalFormatting sqref="AZ15">
    <cfRule type="cellIs" dxfId="7041" priority="142715" stopIfTrue="1" operator="greaterThanOrEqual">
      <formula>0.5</formula>
    </cfRule>
  </conditionalFormatting>
  <conditionalFormatting sqref="BB8">
    <cfRule type="cellIs" dxfId="7040" priority="142716" stopIfTrue="1" operator="equal">
      <formula>-1</formula>
    </cfRule>
  </conditionalFormatting>
  <conditionalFormatting sqref="BB8">
    <cfRule type="cellIs" dxfId="7039" priority="142717" stopIfTrue="1" operator="lessThan">
      <formula>0.5</formula>
    </cfRule>
  </conditionalFormatting>
  <conditionalFormatting sqref="BB8">
    <cfRule type="cellIs" dxfId="7038" priority="142718" stopIfTrue="1" operator="greaterThanOrEqual">
      <formula>0.5</formula>
    </cfRule>
  </conditionalFormatting>
  <conditionalFormatting sqref="BB9">
    <cfRule type="cellIs" dxfId="7037" priority="142719" stopIfTrue="1" operator="equal">
      <formula>-1</formula>
    </cfRule>
  </conditionalFormatting>
  <conditionalFormatting sqref="BB9">
    <cfRule type="cellIs" dxfId="7036" priority="142720" stopIfTrue="1" operator="lessThan">
      <formula>0.5</formula>
    </cfRule>
  </conditionalFormatting>
  <conditionalFormatting sqref="BB9">
    <cfRule type="cellIs" dxfId="7035" priority="142721" stopIfTrue="1" operator="greaterThanOrEqual">
      <formula>0.5</formula>
    </cfRule>
  </conditionalFormatting>
  <conditionalFormatting sqref="BB10">
    <cfRule type="cellIs" dxfId="7034" priority="142722" stopIfTrue="1" operator="equal">
      <formula>-1</formula>
    </cfRule>
  </conditionalFormatting>
  <conditionalFormatting sqref="BB10">
    <cfRule type="cellIs" dxfId="7033" priority="142723" stopIfTrue="1" operator="lessThan">
      <formula>0.5</formula>
    </cfRule>
  </conditionalFormatting>
  <conditionalFormatting sqref="BB10">
    <cfRule type="cellIs" dxfId="7032" priority="142724" stopIfTrue="1" operator="greaterThanOrEqual">
      <formula>0.5</formula>
    </cfRule>
  </conditionalFormatting>
  <conditionalFormatting sqref="BB11">
    <cfRule type="cellIs" dxfId="7031" priority="142725" stopIfTrue="1" operator="equal">
      <formula>-1</formula>
    </cfRule>
  </conditionalFormatting>
  <conditionalFormatting sqref="BB11">
    <cfRule type="cellIs" dxfId="7030" priority="142726" stopIfTrue="1" operator="lessThan">
      <formula>0.5</formula>
    </cfRule>
  </conditionalFormatting>
  <conditionalFormatting sqref="BB11">
    <cfRule type="cellIs" dxfId="7029" priority="142727" stopIfTrue="1" operator="greaterThanOrEqual">
      <formula>0.5</formula>
    </cfRule>
  </conditionalFormatting>
  <conditionalFormatting sqref="BB12">
    <cfRule type="cellIs" dxfId="7028" priority="142728" stopIfTrue="1" operator="equal">
      <formula>-1</formula>
    </cfRule>
  </conditionalFormatting>
  <conditionalFormatting sqref="BB12">
    <cfRule type="cellIs" dxfId="7027" priority="142729" stopIfTrue="1" operator="lessThan">
      <formula>0.5</formula>
    </cfRule>
  </conditionalFormatting>
  <conditionalFormatting sqref="BB12">
    <cfRule type="cellIs" dxfId="7026" priority="142730" stopIfTrue="1" operator="greaterThanOrEqual">
      <formula>0.5</formula>
    </cfRule>
  </conditionalFormatting>
  <conditionalFormatting sqref="BB13">
    <cfRule type="cellIs" dxfId="7025" priority="142731" stopIfTrue="1" operator="equal">
      <formula>-1</formula>
    </cfRule>
  </conditionalFormatting>
  <conditionalFormatting sqref="BB13">
    <cfRule type="cellIs" dxfId="7024" priority="142732" stopIfTrue="1" operator="lessThan">
      <formula>0.5</formula>
    </cfRule>
  </conditionalFormatting>
  <conditionalFormatting sqref="BB13">
    <cfRule type="cellIs" dxfId="7023" priority="142733" stopIfTrue="1" operator="greaterThanOrEqual">
      <formula>0.5</formula>
    </cfRule>
  </conditionalFormatting>
  <conditionalFormatting sqref="BB14">
    <cfRule type="cellIs" dxfId="7022" priority="142734" stopIfTrue="1" operator="equal">
      <formula>-1</formula>
    </cfRule>
  </conditionalFormatting>
  <conditionalFormatting sqref="BB14">
    <cfRule type="cellIs" dxfId="7021" priority="142735" stopIfTrue="1" operator="lessThan">
      <formula>0.5</formula>
    </cfRule>
  </conditionalFormatting>
  <conditionalFormatting sqref="BB14">
    <cfRule type="cellIs" dxfId="7020" priority="142736" stopIfTrue="1" operator="greaterThanOrEqual">
      <formula>0.5</formula>
    </cfRule>
  </conditionalFormatting>
  <conditionalFormatting sqref="BB15">
    <cfRule type="cellIs" dxfId="7019" priority="142737" stopIfTrue="1" operator="equal">
      <formula>-1</formula>
    </cfRule>
  </conditionalFormatting>
  <conditionalFormatting sqref="BB15">
    <cfRule type="cellIs" dxfId="7018" priority="142738" stopIfTrue="1" operator="lessThan">
      <formula>0.5</formula>
    </cfRule>
  </conditionalFormatting>
  <conditionalFormatting sqref="BB15">
    <cfRule type="cellIs" dxfId="7017" priority="142739" stopIfTrue="1" operator="greaterThanOrEqual">
      <formula>0.5</formula>
    </cfRule>
  </conditionalFormatting>
  <conditionalFormatting sqref="BD8">
    <cfRule type="cellIs" dxfId="7016" priority="142740" stopIfTrue="1" operator="equal">
      <formula>-1</formula>
    </cfRule>
  </conditionalFormatting>
  <conditionalFormatting sqref="BD8">
    <cfRule type="cellIs" dxfId="7015" priority="142741" stopIfTrue="1" operator="lessThan">
      <formula>0.5</formula>
    </cfRule>
  </conditionalFormatting>
  <conditionalFormatting sqref="BD8">
    <cfRule type="cellIs" dxfId="7014" priority="142742" stopIfTrue="1" operator="greaterThanOrEqual">
      <formula>0.5</formula>
    </cfRule>
  </conditionalFormatting>
  <conditionalFormatting sqref="BD9">
    <cfRule type="cellIs" dxfId="7013" priority="142743" stopIfTrue="1" operator="equal">
      <formula>-1</formula>
    </cfRule>
  </conditionalFormatting>
  <conditionalFormatting sqref="BD9">
    <cfRule type="cellIs" dxfId="7012" priority="142744" stopIfTrue="1" operator="lessThan">
      <formula>0.5</formula>
    </cfRule>
  </conditionalFormatting>
  <conditionalFormatting sqref="BD9">
    <cfRule type="cellIs" dxfId="7011" priority="142745" stopIfTrue="1" operator="greaterThanOrEqual">
      <formula>0.5</formula>
    </cfRule>
  </conditionalFormatting>
  <conditionalFormatting sqref="BD10">
    <cfRule type="cellIs" dxfId="7010" priority="142746" stopIfTrue="1" operator="equal">
      <formula>-1</formula>
    </cfRule>
  </conditionalFormatting>
  <conditionalFormatting sqref="BD10">
    <cfRule type="cellIs" dxfId="7009" priority="142747" stopIfTrue="1" operator="lessThan">
      <formula>0.5</formula>
    </cfRule>
  </conditionalFormatting>
  <conditionalFormatting sqref="BD10">
    <cfRule type="cellIs" dxfId="7008" priority="142748" stopIfTrue="1" operator="greaterThanOrEqual">
      <formula>0.5</formula>
    </cfRule>
  </conditionalFormatting>
  <conditionalFormatting sqref="BD11">
    <cfRule type="cellIs" dxfId="7007" priority="142749" stopIfTrue="1" operator="equal">
      <formula>-1</formula>
    </cfRule>
  </conditionalFormatting>
  <conditionalFormatting sqref="BD11">
    <cfRule type="cellIs" dxfId="7006" priority="142750" stopIfTrue="1" operator="lessThan">
      <formula>0.5</formula>
    </cfRule>
  </conditionalFormatting>
  <conditionalFormatting sqref="BD11">
    <cfRule type="cellIs" dxfId="7005" priority="142751" stopIfTrue="1" operator="greaterThanOrEqual">
      <formula>0.5</formula>
    </cfRule>
  </conditionalFormatting>
  <conditionalFormatting sqref="BD12">
    <cfRule type="cellIs" dxfId="7004" priority="142752" stopIfTrue="1" operator="equal">
      <formula>-1</formula>
    </cfRule>
  </conditionalFormatting>
  <conditionalFormatting sqref="BD12">
    <cfRule type="cellIs" dxfId="7003" priority="142753" stopIfTrue="1" operator="lessThan">
      <formula>0.5</formula>
    </cfRule>
  </conditionalFormatting>
  <conditionalFormatting sqref="BD12">
    <cfRule type="cellIs" dxfId="7002" priority="142754" stopIfTrue="1" operator="greaterThanOrEqual">
      <formula>0.5</formula>
    </cfRule>
  </conditionalFormatting>
  <conditionalFormatting sqref="BD13">
    <cfRule type="cellIs" dxfId="7001" priority="142755" stopIfTrue="1" operator="equal">
      <formula>-1</formula>
    </cfRule>
  </conditionalFormatting>
  <conditionalFormatting sqref="BD13">
    <cfRule type="cellIs" dxfId="7000" priority="142756" stopIfTrue="1" operator="lessThan">
      <formula>0.5</formula>
    </cfRule>
  </conditionalFormatting>
  <conditionalFormatting sqref="BD13">
    <cfRule type="cellIs" dxfId="6999" priority="142757" stopIfTrue="1" operator="greaterThanOrEqual">
      <formula>0.5</formula>
    </cfRule>
  </conditionalFormatting>
  <conditionalFormatting sqref="BD14">
    <cfRule type="cellIs" dxfId="6998" priority="142758" stopIfTrue="1" operator="equal">
      <formula>-1</formula>
    </cfRule>
  </conditionalFormatting>
  <conditionalFormatting sqref="BD14">
    <cfRule type="cellIs" dxfId="6997" priority="142759" stopIfTrue="1" operator="lessThan">
      <formula>0.5</formula>
    </cfRule>
  </conditionalFormatting>
  <conditionalFormatting sqref="BD14">
    <cfRule type="cellIs" dxfId="6996" priority="142760" stopIfTrue="1" operator="greaterThanOrEqual">
      <formula>0.5</formula>
    </cfRule>
  </conditionalFormatting>
  <conditionalFormatting sqref="BD15">
    <cfRule type="cellIs" dxfId="6995" priority="142761" stopIfTrue="1" operator="equal">
      <formula>-1</formula>
    </cfRule>
  </conditionalFormatting>
  <conditionalFormatting sqref="BD15">
    <cfRule type="cellIs" dxfId="6994" priority="142762" stopIfTrue="1" operator="lessThan">
      <formula>0.5</formula>
    </cfRule>
  </conditionalFormatting>
  <conditionalFormatting sqref="BD15">
    <cfRule type="cellIs" dxfId="6993" priority="142763" stopIfTrue="1" operator="greaterThanOrEqual">
      <formula>0.5</formula>
    </cfRule>
  </conditionalFormatting>
  <conditionalFormatting sqref="BF8">
    <cfRule type="cellIs" dxfId="6992" priority="142764" stopIfTrue="1" operator="equal">
      <formula>-1</formula>
    </cfRule>
  </conditionalFormatting>
  <conditionalFormatting sqref="BF8">
    <cfRule type="cellIs" dxfId="6991" priority="142765" stopIfTrue="1" operator="lessThan">
      <formula>0.5</formula>
    </cfRule>
  </conditionalFormatting>
  <conditionalFormatting sqref="BF8">
    <cfRule type="cellIs" dxfId="6990" priority="142766" stopIfTrue="1" operator="greaterThanOrEqual">
      <formula>0.5</formula>
    </cfRule>
  </conditionalFormatting>
  <conditionalFormatting sqref="BF9">
    <cfRule type="cellIs" dxfId="6989" priority="142767" stopIfTrue="1" operator="equal">
      <formula>-1</formula>
    </cfRule>
  </conditionalFormatting>
  <conditionalFormatting sqref="BF9">
    <cfRule type="cellIs" dxfId="6988" priority="142768" stopIfTrue="1" operator="lessThan">
      <formula>0.5</formula>
    </cfRule>
  </conditionalFormatting>
  <conditionalFormatting sqref="BF9">
    <cfRule type="cellIs" dxfId="6987" priority="142769" stopIfTrue="1" operator="greaterThanOrEqual">
      <formula>0.5</formula>
    </cfRule>
  </conditionalFormatting>
  <conditionalFormatting sqref="BF10">
    <cfRule type="cellIs" dxfId="6986" priority="142770" stopIfTrue="1" operator="equal">
      <formula>-1</formula>
    </cfRule>
  </conditionalFormatting>
  <conditionalFormatting sqref="BF10">
    <cfRule type="cellIs" dxfId="6985" priority="142771" stopIfTrue="1" operator="lessThan">
      <formula>0.5</formula>
    </cfRule>
  </conditionalFormatting>
  <conditionalFormatting sqref="BF10">
    <cfRule type="cellIs" dxfId="6984" priority="142772" stopIfTrue="1" operator="greaterThanOrEqual">
      <formula>0.5</formula>
    </cfRule>
  </conditionalFormatting>
  <conditionalFormatting sqref="BF11">
    <cfRule type="cellIs" dxfId="6983" priority="142773" stopIfTrue="1" operator="equal">
      <formula>-1</formula>
    </cfRule>
  </conditionalFormatting>
  <conditionalFormatting sqref="BF11">
    <cfRule type="cellIs" dxfId="6982" priority="142774" stopIfTrue="1" operator="lessThan">
      <formula>0.5</formula>
    </cfRule>
  </conditionalFormatting>
  <conditionalFormatting sqref="BF11">
    <cfRule type="cellIs" dxfId="6981" priority="142775" stopIfTrue="1" operator="greaterThanOrEqual">
      <formula>0.5</formula>
    </cfRule>
  </conditionalFormatting>
  <conditionalFormatting sqref="BF12">
    <cfRule type="cellIs" dxfId="6980" priority="142776" stopIfTrue="1" operator="equal">
      <formula>-1</formula>
    </cfRule>
  </conditionalFormatting>
  <conditionalFormatting sqref="BF12">
    <cfRule type="cellIs" dxfId="6979" priority="142777" stopIfTrue="1" operator="lessThan">
      <formula>0.5</formula>
    </cfRule>
  </conditionalFormatting>
  <conditionalFormatting sqref="BF12">
    <cfRule type="cellIs" dxfId="6978" priority="142778" stopIfTrue="1" operator="greaterThanOrEqual">
      <formula>0.5</formula>
    </cfRule>
  </conditionalFormatting>
  <conditionalFormatting sqref="BF13">
    <cfRule type="cellIs" dxfId="6977" priority="142779" stopIfTrue="1" operator="equal">
      <formula>-1</formula>
    </cfRule>
  </conditionalFormatting>
  <conditionalFormatting sqref="BF13">
    <cfRule type="cellIs" dxfId="6976" priority="142780" stopIfTrue="1" operator="lessThan">
      <formula>0.5</formula>
    </cfRule>
  </conditionalFormatting>
  <conditionalFormatting sqref="BF13">
    <cfRule type="cellIs" dxfId="6975" priority="142781" stopIfTrue="1" operator="greaterThanOrEqual">
      <formula>0.5</formula>
    </cfRule>
  </conditionalFormatting>
  <conditionalFormatting sqref="BF14">
    <cfRule type="cellIs" dxfId="6974" priority="142782" stopIfTrue="1" operator="equal">
      <formula>-1</formula>
    </cfRule>
  </conditionalFormatting>
  <conditionalFormatting sqref="BF14">
    <cfRule type="cellIs" dxfId="6973" priority="142783" stopIfTrue="1" operator="lessThan">
      <formula>0.5</formula>
    </cfRule>
  </conditionalFormatting>
  <conditionalFormatting sqref="BF14">
    <cfRule type="cellIs" dxfId="6972" priority="142784" stopIfTrue="1" operator="greaterThanOrEqual">
      <formula>0.5</formula>
    </cfRule>
  </conditionalFormatting>
  <conditionalFormatting sqref="BF15">
    <cfRule type="cellIs" dxfId="6971" priority="142785" stopIfTrue="1" operator="equal">
      <formula>-1</formula>
    </cfRule>
  </conditionalFormatting>
  <conditionalFormatting sqref="BF15">
    <cfRule type="cellIs" dxfId="6970" priority="142786" stopIfTrue="1" operator="lessThan">
      <formula>0.5</formula>
    </cfRule>
  </conditionalFormatting>
  <conditionalFormatting sqref="BF15">
    <cfRule type="cellIs" dxfId="6969" priority="142787" stopIfTrue="1" operator="greaterThanOrEqual">
      <formula>0.5</formula>
    </cfRule>
  </conditionalFormatting>
  <conditionalFormatting sqref="BH8">
    <cfRule type="cellIs" dxfId="6968" priority="142788" stopIfTrue="1" operator="equal">
      <formula>-1</formula>
    </cfRule>
  </conditionalFormatting>
  <conditionalFormatting sqref="BH8">
    <cfRule type="cellIs" dxfId="6967" priority="142789" stopIfTrue="1" operator="lessThan">
      <formula>0.5</formula>
    </cfRule>
  </conditionalFormatting>
  <conditionalFormatting sqref="BH8">
    <cfRule type="cellIs" dxfId="6966" priority="142790" stopIfTrue="1" operator="greaterThanOrEqual">
      <formula>0.5</formula>
    </cfRule>
  </conditionalFormatting>
  <conditionalFormatting sqref="BH9">
    <cfRule type="cellIs" dxfId="6965" priority="142791" stopIfTrue="1" operator="equal">
      <formula>-1</formula>
    </cfRule>
  </conditionalFormatting>
  <conditionalFormatting sqref="BH9">
    <cfRule type="cellIs" dxfId="6964" priority="142792" stopIfTrue="1" operator="lessThan">
      <formula>0.5</formula>
    </cfRule>
  </conditionalFormatting>
  <conditionalFormatting sqref="BH9">
    <cfRule type="cellIs" dxfId="6963" priority="142793" stopIfTrue="1" operator="greaterThanOrEqual">
      <formula>0.5</formula>
    </cfRule>
  </conditionalFormatting>
  <conditionalFormatting sqref="BH10">
    <cfRule type="cellIs" dxfId="6962" priority="142794" stopIfTrue="1" operator="equal">
      <formula>-1</formula>
    </cfRule>
  </conditionalFormatting>
  <conditionalFormatting sqref="BH10">
    <cfRule type="cellIs" dxfId="6961" priority="142795" stopIfTrue="1" operator="lessThan">
      <formula>0.5</formula>
    </cfRule>
  </conditionalFormatting>
  <conditionalFormatting sqref="BH10">
    <cfRule type="cellIs" dxfId="6960" priority="142796" stopIfTrue="1" operator="greaterThanOrEqual">
      <formula>0.5</formula>
    </cfRule>
  </conditionalFormatting>
  <conditionalFormatting sqref="BH11">
    <cfRule type="cellIs" dxfId="6959" priority="142797" stopIfTrue="1" operator="equal">
      <formula>-1</formula>
    </cfRule>
  </conditionalFormatting>
  <conditionalFormatting sqref="BH11">
    <cfRule type="cellIs" dxfId="6958" priority="142798" stopIfTrue="1" operator="lessThan">
      <formula>0.5</formula>
    </cfRule>
  </conditionalFormatting>
  <conditionalFormatting sqref="BH11">
    <cfRule type="cellIs" dxfId="6957" priority="142799" stopIfTrue="1" operator="greaterThanOrEqual">
      <formula>0.5</formula>
    </cfRule>
  </conditionalFormatting>
  <conditionalFormatting sqref="BH12">
    <cfRule type="cellIs" dxfId="6956" priority="142800" stopIfTrue="1" operator="equal">
      <formula>-1</formula>
    </cfRule>
  </conditionalFormatting>
  <conditionalFormatting sqref="BH12">
    <cfRule type="cellIs" dxfId="6955" priority="142801" stopIfTrue="1" operator="lessThan">
      <formula>0.5</formula>
    </cfRule>
  </conditionalFormatting>
  <conditionalFormatting sqref="BH12">
    <cfRule type="cellIs" dxfId="6954" priority="142802" stopIfTrue="1" operator="greaterThanOrEqual">
      <formula>0.5</formula>
    </cfRule>
  </conditionalFormatting>
  <conditionalFormatting sqref="BH13">
    <cfRule type="cellIs" dxfId="6953" priority="142803" stopIfTrue="1" operator="equal">
      <formula>-1</formula>
    </cfRule>
  </conditionalFormatting>
  <conditionalFormatting sqref="BH13">
    <cfRule type="cellIs" dxfId="6952" priority="142804" stopIfTrue="1" operator="lessThan">
      <formula>0.5</formula>
    </cfRule>
  </conditionalFormatting>
  <conditionalFormatting sqref="BH13">
    <cfRule type="cellIs" dxfId="6951" priority="142805" stopIfTrue="1" operator="greaterThanOrEqual">
      <formula>0.5</formula>
    </cfRule>
  </conditionalFormatting>
  <conditionalFormatting sqref="BH14">
    <cfRule type="cellIs" dxfId="6950" priority="142806" stopIfTrue="1" operator="equal">
      <formula>-1</formula>
    </cfRule>
  </conditionalFormatting>
  <conditionalFormatting sqref="BH14">
    <cfRule type="cellIs" dxfId="6949" priority="142807" stopIfTrue="1" operator="lessThan">
      <formula>0.5</formula>
    </cfRule>
  </conditionalFormatting>
  <conditionalFormatting sqref="BH14">
    <cfRule type="cellIs" dxfId="6948" priority="142808" stopIfTrue="1" operator="greaterThanOrEqual">
      <formula>0.5</formula>
    </cfRule>
  </conditionalFormatting>
  <conditionalFormatting sqref="BH15">
    <cfRule type="cellIs" dxfId="6947" priority="142809" stopIfTrue="1" operator="equal">
      <formula>-1</formula>
    </cfRule>
  </conditionalFormatting>
  <conditionalFormatting sqref="BH15">
    <cfRule type="cellIs" dxfId="6946" priority="142810" stopIfTrue="1" operator="lessThan">
      <formula>0.5</formula>
    </cfRule>
  </conditionalFormatting>
  <conditionalFormatting sqref="BH15">
    <cfRule type="cellIs" dxfId="6945" priority="142811" stopIfTrue="1" operator="greaterThanOrEqual">
      <formula>0.5</formula>
    </cfRule>
  </conditionalFormatting>
  <conditionalFormatting sqref="BJ8">
    <cfRule type="cellIs" dxfId="6944" priority="142812" stopIfTrue="1" operator="equal">
      <formula>-1</formula>
    </cfRule>
  </conditionalFormatting>
  <conditionalFormatting sqref="BJ8">
    <cfRule type="cellIs" dxfId="6943" priority="142813" stopIfTrue="1" operator="lessThan">
      <formula>0.5</formula>
    </cfRule>
  </conditionalFormatting>
  <conditionalFormatting sqref="BJ8">
    <cfRule type="cellIs" dxfId="6942" priority="142814" stopIfTrue="1" operator="greaterThanOrEqual">
      <formula>0.5</formula>
    </cfRule>
  </conditionalFormatting>
  <conditionalFormatting sqref="BJ9">
    <cfRule type="cellIs" dxfId="6941" priority="142815" stopIfTrue="1" operator="equal">
      <formula>-1</formula>
    </cfRule>
  </conditionalFormatting>
  <conditionalFormatting sqref="BJ9">
    <cfRule type="cellIs" dxfId="6940" priority="142816" stopIfTrue="1" operator="lessThan">
      <formula>0.5</formula>
    </cfRule>
  </conditionalFormatting>
  <conditionalFormatting sqref="BJ9">
    <cfRule type="cellIs" dxfId="6939" priority="142817" stopIfTrue="1" operator="greaterThanOrEqual">
      <formula>0.5</formula>
    </cfRule>
  </conditionalFormatting>
  <conditionalFormatting sqref="BJ10">
    <cfRule type="cellIs" dxfId="6938" priority="142818" stopIfTrue="1" operator="equal">
      <formula>-1</formula>
    </cfRule>
  </conditionalFormatting>
  <conditionalFormatting sqref="BJ10">
    <cfRule type="cellIs" dxfId="6937" priority="142819" stopIfTrue="1" operator="lessThan">
      <formula>0.5</formula>
    </cfRule>
  </conditionalFormatting>
  <conditionalFormatting sqref="BJ10">
    <cfRule type="cellIs" dxfId="6936" priority="142820" stopIfTrue="1" operator="greaterThanOrEqual">
      <formula>0.5</formula>
    </cfRule>
  </conditionalFormatting>
  <conditionalFormatting sqref="BJ11">
    <cfRule type="cellIs" dxfId="6935" priority="142821" stopIfTrue="1" operator="equal">
      <formula>-1</formula>
    </cfRule>
  </conditionalFormatting>
  <conditionalFormatting sqref="BJ11">
    <cfRule type="cellIs" dxfId="6934" priority="142822" stopIfTrue="1" operator="lessThan">
      <formula>0.5</formula>
    </cfRule>
  </conditionalFormatting>
  <conditionalFormatting sqref="BJ11">
    <cfRule type="cellIs" dxfId="6933" priority="142823" stopIfTrue="1" operator="greaterThanOrEqual">
      <formula>0.5</formula>
    </cfRule>
  </conditionalFormatting>
  <conditionalFormatting sqref="BJ12">
    <cfRule type="cellIs" dxfId="6932" priority="142824" stopIfTrue="1" operator="equal">
      <formula>-1</formula>
    </cfRule>
  </conditionalFormatting>
  <conditionalFormatting sqref="BJ12">
    <cfRule type="cellIs" dxfId="6931" priority="142825" stopIfTrue="1" operator="lessThan">
      <formula>0.5</formula>
    </cfRule>
  </conditionalFormatting>
  <conditionalFormatting sqref="BJ12">
    <cfRule type="cellIs" dxfId="6930" priority="142826" stopIfTrue="1" operator="greaterThanOrEqual">
      <formula>0.5</formula>
    </cfRule>
  </conditionalFormatting>
  <conditionalFormatting sqref="BJ13">
    <cfRule type="cellIs" dxfId="6929" priority="142827" stopIfTrue="1" operator="equal">
      <formula>-1</formula>
    </cfRule>
  </conditionalFormatting>
  <conditionalFormatting sqref="BJ13">
    <cfRule type="cellIs" dxfId="6928" priority="142828" stopIfTrue="1" operator="lessThan">
      <formula>0.5</formula>
    </cfRule>
  </conditionalFormatting>
  <conditionalFormatting sqref="BJ13">
    <cfRule type="cellIs" dxfId="6927" priority="142829" stopIfTrue="1" operator="greaterThanOrEqual">
      <formula>0.5</formula>
    </cfRule>
  </conditionalFormatting>
  <conditionalFormatting sqref="BJ14">
    <cfRule type="cellIs" dxfId="6926" priority="142830" stopIfTrue="1" operator="equal">
      <formula>-1</formula>
    </cfRule>
  </conditionalFormatting>
  <conditionalFormatting sqref="BJ14">
    <cfRule type="cellIs" dxfId="6925" priority="142831" stopIfTrue="1" operator="lessThan">
      <formula>0.5</formula>
    </cfRule>
  </conditionalFormatting>
  <conditionalFormatting sqref="BJ14">
    <cfRule type="cellIs" dxfId="6924" priority="142832" stopIfTrue="1" operator="greaterThanOrEqual">
      <formula>0.5</formula>
    </cfRule>
  </conditionalFormatting>
  <conditionalFormatting sqref="BJ15">
    <cfRule type="cellIs" dxfId="6923" priority="142833" stopIfTrue="1" operator="equal">
      <formula>-1</formula>
    </cfRule>
  </conditionalFormatting>
  <conditionalFormatting sqref="BJ15">
    <cfRule type="cellIs" dxfId="6922" priority="142834" stopIfTrue="1" operator="lessThan">
      <formula>0.5</formula>
    </cfRule>
  </conditionalFormatting>
  <conditionalFormatting sqref="BJ15">
    <cfRule type="cellIs" dxfId="6921" priority="142835" stopIfTrue="1" operator="greaterThanOrEqual">
      <formula>0.5</formula>
    </cfRule>
  </conditionalFormatting>
  <conditionalFormatting sqref="D17">
    <cfRule type="cellIs" dxfId="6920" priority="142836" stopIfTrue="1" operator="equal">
      <formula>-1</formula>
    </cfRule>
  </conditionalFormatting>
  <conditionalFormatting sqref="D17">
    <cfRule type="cellIs" dxfId="6919" priority="142837" stopIfTrue="1" operator="lessThan">
      <formula>0.5</formula>
    </cfRule>
  </conditionalFormatting>
  <conditionalFormatting sqref="D17">
    <cfRule type="cellIs" dxfId="6918" priority="142838" stopIfTrue="1" operator="greaterThanOrEqual">
      <formula>0.5</formula>
    </cfRule>
  </conditionalFormatting>
  <conditionalFormatting sqref="D18">
    <cfRule type="cellIs" dxfId="6917" priority="142839" stopIfTrue="1" operator="equal">
      <formula>-1</formula>
    </cfRule>
  </conditionalFormatting>
  <conditionalFormatting sqref="D18">
    <cfRule type="cellIs" dxfId="6916" priority="142840" stopIfTrue="1" operator="lessThan">
      <formula>0.5</formula>
    </cfRule>
  </conditionalFormatting>
  <conditionalFormatting sqref="D18">
    <cfRule type="cellIs" dxfId="6915" priority="142841" stopIfTrue="1" operator="greaterThanOrEqual">
      <formula>0.5</formula>
    </cfRule>
  </conditionalFormatting>
  <conditionalFormatting sqref="D19">
    <cfRule type="cellIs" dxfId="6914" priority="142842" stopIfTrue="1" operator="equal">
      <formula>-1</formula>
    </cfRule>
  </conditionalFormatting>
  <conditionalFormatting sqref="D19">
    <cfRule type="cellIs" dxfId="6913" priority="142843" stopIfTrue="1" operator="lessThan">
      <formula>0.5</formula>
    </cfRule>
  </conditionalFormatting>
  <conditionalFormatting sqref="D19">
    <cfRule type="cellIs" dxfId="6912" priority="142844" stopIfTrue="1" operator="greaterThanOrEqual">
      <formula>0.5</formula>
    </cfRule>
  </conditionalFormatting>
  <conditionalFormatting sqref="D20">
    <cfRule type="cellIs" dxfId="6911" priority="142845" stopIfTrue="1" operator="equal">
      <formula>-1</formula>
    </cfRule>
  </conditionalFormatting>
  <conditionalFormatting sqref="D20">
    <cfRule type="cellIs" dxfId="6910" priority="142846" stopIfTrue="1" operator="lessThan">
      <formula>0.5</formula>
    </cfRule>
  </conditionalFormatting>
  <conditionalFormatting sqref="D20">
    <cfRule type="cellIs" dxfId="6909" priority="142847" stopIfTrue="1" operator="greaterThanOrEqual">
      <formula>0.5</formula>
    </cfRule>
  </conditionalFormatting>
  <conditionalFormatting sqref="D21">
    <cfRule type="cellIs" dxfId="6908" priority="142848" stopIfTrue="1" operator="equal">
      <formula>-1</formula>
    </cfRule>
  </conditionalFormatting>
  <conditionalFormatting sqref="D21">
    <cfRule type="cellIs" dxfId="6907" priority="142849" stopIfTrue="1" operator="lessThan">
      <formula>0.5</formula>
    </cfRule>
  </conditionalFormatting>
  <conditionalFormatting sqref="D21">
    <cfRule type="cellIs" dxfId="6906" priority="142850" stopIfTrue="1" operator="greaterThanOrEqual">
      <formula>0.5</formula>
    </cfRule>
  </conditionalFormatting>
  <conditionalFormatting sqref="D22">
    <cfRule type="cellIs" dxfId="6905" priority="142851" stopIfTrue="1" operator="equal">
      <formula>-1</formula>
    </cfRule>
  </conditionalFormatting>
  <conditionalFormatting sqref="D22">
    <cfRule type="cellIs" dxfId="6904" priority="142852" stopIfTrue="1" operator="lessThan">
      <formula>0.5</formula>
    </cfRule>
  </conditionalFormatting>
  <conditionalFormatting sqref="D22">
    <cfRule type="cellIs" dxfId="6903" priority="142853" stopIfTrue="1" operator="greaterThanOrEqual">
      <formula>0.5</formula>
    </cfRule>
  </conditionalFormatting>
  <conditionalFormatting sqref="D23">
    <cfRule type="cellIs" dxfId="6902" priority="142854" stopIfTrue="1" operator="equal">
      <formula>-1</formula>
    </cfRule>
  </conditionalFormatting>
  <conditionalFormatting sqref="D23">
    <cfRule type="cellIs" dxfId="6901" priority="142855" stopIfTrue="1" operator="lessThan">
      <formula>0.5</formula>
    </cfRule>
  </conditionalFormatting>
  <conditionalFormatting sqref="D23">
    <cfRule type="cellIs" dxfId="6900" priority="142856" stopIfTrue="1" operator="greaterThanOrEqual">
      <formula>0.5</formula>
    </cfRule>
  </conditionalFormatting>
  <conditionalFormatting sqref="D24">
    <cfRule type="cellIs" dxfId="6899" priority="142857" stopIfTrue="1" operator="equal">
      <formula>-1</formula>
    </cfRule>
  </conditionalFormatting>
  <conditionalFormatting sqref="D24">
    <cfRule type="cellIs" dxfId="6898" priority="142858" stopIfTrue="1" operator="lessThan">
      <formula>0.5</formula>
    </cfRule>
  </conditionalFormatting>
  <conditionalFormatting sqref="D24">
    <cfRule type="cellIs" dxfId="6897" priority="142859" stopIfTrue="1" operator="greaterThanOrEqual">
      <formula>0.5</formula>
    </cfRule>
  </conditionalFormatting>
  <conditionalFormatting sqref="D25">
    <cfRule type="cellIs" dxfId="6896" priority="142860" stopIfTrue="1" operator="equal">
      <formula>-1</formula>
    </cfRule>
  </conditionalFormatting>
  <conditionalFormatting sqref="D25">
    <cfRule type="cellIs" dxfId="6895" priority="142861" stopIfTrue="1" operator="lessThan">
      <formula>0.5</formula>
    </cfRule>
  </conditionalFormatting>
  <conditionalFormatting sqref="D25">
    <cfRule type="cellIs" dxfId="6894" priority="142862" stopIfTrue="1" operator="greaterThanOrEqual">
      <formula>0.5</formula>
    </cfRule>
  </conditionalFormatting>
  <conditionalFormatting sqref="D26">
    <cfRule type="cellIs" dxfId="6893" priority="142863" stopIfTrue="1" operator="equal">
      <formula>-1</formula>
    </cfRule>
  </conditionalFormatting>
  <conditionalFormatting sqref="D26">
    <cfRule type="cellIs" dxfId="6892" priority="142864" stopIfTrue="1" operator="lessThan">
      <formula>0.5</formula>
    </cfRule>
  </conditionalFormatting>
  <conditionalFormatting sqref="D26">
    <cfRule type="cellIs" dxfId="6891" priority="142865" stopIfTrue="1" operator="greaterThanOrEqual">
      <formula>0.5</formula>
    </cfRule>
  </conditionalFormatting>
  <conditionalFormatting sqref="D27">
    <cfRule type="cellIs" dxfId="6890" priority="142866" stopIfTrue="1" operator="equal">
      <formula>-1</formula>
    </cfRule>
  </conditionalFormatting>
  <conditionalFormatting sqref="D27">
    <cfRule type="cellIs" dxfId="6889" priority="142867" stopIfTrue="1" operator="lessThan">
      <formula>0.5</formula>
    </cfRule>
  </conditionalFormatting>
  <conditionalFormatting sqref="D27">
    <cfRule type="cellIs" dxfId="6888" priority="142868" stopIfTrue="1" operator="greaterThanOrEqual">
      <formula>0.5</formula>
    </cfRule>
  </conditionalFormatting>
  <conditionalFormatting sqref="D28">
    <cfRule type="cellIs" dxfId="6887" priority="142869" stopIfTrue="1" operator="equal">
      <formula>-1</formula>
    </cfRule>
  </conditionalFormatting>
  <conditionalFormatting sqref="D28">
    <cfRule type="cellIs" dxfId="6886" priority="142870" stopIfTrue="1" operator="lessThan">
      <formula>0.5</formula>
    </cfRule>
  </conditionalFormatting>
  <conditionalFormatting sqref="D28">
    <cfRule type="cellIs" dxfId="6885" priority="142871" stopIfTrue="1" operator="greaterThanOrEqual">
      <formula>0.5</formula>
    </cfRule>
  </conditionalFormatting>
  <conditionalFormatting sqref="D29">
    <cfRule type="cellIs" dxfId="6884" priority="142872" stopIfTrue="1" operator="equal">
      <formula>-1</formula>
    </cfRule>
  </conditionalFormatting>
  <conditionalFormatting sqref="D29">
    <cfRule type="cellIs" dxfId="6883" priority="142873" stopIfTrue="1" operator="lessThan">
      <formula>0.5</formula>
    </cfRule>
  </conditionalFormatting>
  <conditionalFormatting sqref="D29">
    <cfRule type="cellIs" dxfId="6882" priority="142874" stopIfTrue="1" operator="greaterThanOrEqual">
      <formula>0.5</formula>
    </cfRule>
  </conditionalFormatting>
  <conditionalFormatting sqref="D30">
    <cfRule type="cellIs" dxfId="6881" priority="142875" stopIfTrue="1" operator="equal">
      <formula>-1</formula>
    </cfRule>
  </conditionalFormatting>
  <conditionalFormatting sqref="D30">
    <cfRule type="cellIs" dxfId="6880" priority="142876" stopIfTrue="1" operator="lessThan">
      <formula>0.5</formula>
    </cfRule>
  </conditionalFormatting>
  <conditionalFormatting sqref="D30">
    <cfRule type="cellIs" dxfId="6879" priority="142877" stopIfTrue="1" operator="greaterThanOrEqual">
      <formula>0.5</formula>
    </cfRule>
  </conditionalFormatting>
  <conditionalFormatting sqref="D31">
    <cfRule type="cellIs" dxfId="6878" priority="142878" stopIfTrue="1" operator="equal">
      <formula>-1</formula>
    </cfRule>
  </conditionalFormatting>
  <conditionalFormatting sqref="D31">
    <cfRule type="cellIs" dxfId="6877" priority="142879" stopIfTrue="1" operator="lessThan">
      <formula>0.5</formula>
    </cfRule>
  </conditionalFormatting>
  <conditionalFormatting sqref="D31">
    <cfRule type="cellIs" dxfId="6876" priority="142880" stopIfTrue="1" operator="greaterThanOrEqual">
      <formula>0.5</formula>
    </cfRule>
  </conditionalFormatting>
  <conditionalFormatting sqref="D32">
    <cfRule type="cellIs" dxfId="6875" priority="142881" stopIfTrue="1" operator="equal">
      <formula>-1</formula>
    </cfRule>
  </conditionalFormatting>
  <conditionalFormatting sqref="D32">
    <cfRule type="cellIs" dxfId="6874" priority="142882" stopIfTrue="1" operator="lessThan">
      <formula>0.5</formula>
    </cfRule>
  </conditionalFormatting>
  <conditionalFormatting sqref="D32">
    <cfRule type="cellIs" dxfId="6873" priority="142883" stopIfTrue="1" operator="greaterThanOrEqual">
      <formula>0.5</formula>
    </cfRule>
  </conditionalFormatting>
  <conditionalFormatting sqref="D33">
    <cfRule type="cellIs" dxfId="6872" priority="142884" stopIfTrue="1" operator="equal">
      <formula>-1</formula>
    </cfRule>
  </conditionalFormatting>
  <conditionalFormatting sqref="D33">
    <cfRule type="cellIs" dxfId="6871" priority="142885" stopIfTrue="1" operator="lessThan">
      <formula>0.5</formula>
    </cfRule>
  </conditionalFormatting>
  <conditionalFormatting sqref="D33">
    <cfRule type="cellIs" dxfId="6870" priority="142886" stopIfTrue="1" operator="greaterThanOrEqual">
      <formula>0.5</formula>
    </cfRule>
  </conditionalFormatting>
  <conditionalFormatting sqref="D34">
    <cfRule type="cellIs" dxfId="6869" priority="142887" stopIfTrue="1" operator="equal">
      <formula>-1</formula>
    </cfRule>
  </conditionalFormatting>
  <conditionalFormatting sqref="D34">
    <cfRule type="cellIs" dxfId="6868" priority="142888" stopIfTrue="1" operator="lessThan">
      <formula>0.5</formula>
    </cfRule>
  </conditionalFormatting>
  <conditionalFormatting sqref="D34">
    <cfRule type="cellIs" dxfId="6867" priority="142889" stopIfTrue="1" operator="greaterThanOrEqual">
      <formula>0.5</formula>
    </cfRule>
  </conditionalFormatting>
  <conditionalFormatting sqref="D35">
    <cfRule type="cellIs" dxfId="6866" priority="142890" stopIfTrue="1" operator="equal">
      <formula>-1</formula>
    </cfRule>
  </conditionalFormatting>
  <conditionalFormatting sqref="D35">
    <cfRule type="cellIs" dxfId="6865" priority="142891" stopIfTrue="1" operator="lessThan">
      <formula>0.5</formula>
    </cfRule>
  </conditionalFormatting>
  <conditionalFormatting sqref="D35">
    <cfRule type="cellIs" dxfId="6864" priority="142892" stopIfTrue="1" operator="greaterThanOrEqual">
      <formula>0.5</formula>
    </cfRule>
  </conditionalFormatting>
  <conditionalFormatting sqref="D36">
    <cfRule type="cellIs" dxfId="6863" priority="142893" stopIfTrue="1" operator="equal">
      <formula>-1</formula>
    </cfRule>
  </conditionalFormatting>
  <conditionalFormatting sqref="D36">
    <cfRule type="cellIs" dxfId="6862" priority="142894" stopIfTrue="1" operator="lessThan">
      <formula>0.5</formula>
    </cfRule>
  </conditionalFormatting>
  <conditionalFormatting sqref="D36">
    <cfRule type="cellIs" dxfId="6861" priority="142895" stopIfTrue="1" operator="greaterThanOrEqual">
      <formula>0.5</formula>
    </cfRule>
  </conditionalFormatting>
  <conditionalFormatting sqref="D37">
    <cfRule type="cellIs" dxfId="6860" priority="142896" stopIfTrue="1" operator="equal">
      <formula>-1</formula>
    </cfRule>
  </conditionalFormatting>
  <conditionalFormatting sqref="D37">
    <cfRule type="cellIs" dxfId="6859" priority="142897" stopIfTrue="1" operator="lessThan">
      <formula>0.5</formula>
    </cfRule>
  </conditionalFormatting>
  <conditionalFormatting sqref="D37">
    <cfRule type="cellIs" dxfId="6858" priority="142898" stopIfTrue="1" operator="greaterThanOrEqual">
      <formula>0.5</formula>
    </cfRule>
  </conditionalFormatting>
  <conditionalFormatting sqref="F17">
    <cfRule type="cellIs" dxfId="6857" priority="142899" stopIfTrue="1" operator="equal">
      <formula>-1</formula>
    </cfRule>
  </conditionalFormatting>
  <conditionalFormatting sqref="F17">
    <cfRule type="cellIs" dxfId="6856" priority="142900" stopIfTrue="1" operator="lessThan">
      <formula>0.5</formula>
    </cfRule>
  </conditionalFormatting>
  <conditionalFormatting sqref="F17">
    <cfRule type="cellIs" dxfId="6855" priority="142901" stopIfTrue="1" operator="greaterThanOrEqual">
      <formula>0.5</formula>
    </cfRule>
  </conditionalFormatting>
  <conditionalFormatting sqref="F18">
    <cfRule type="cellIs" dxfId="6854" priority="142902" stopIfTrue="1" operator="equal">
      <formula>-1</formula>
    </cfRule>
  </conditionalFormatting>
  <conditionalFormatting sqref="F18">
    <cfRule type="cellIs" dxfId="6853" priority="142903" stopIfTrue="1" operator="lessThan">
      <formula>0.5</formula>
    </cfRule>
  </conditionalFormatting>
  <conditionalFormatting sqref="F18">
    <cfRule type="cellIs" dxfId="6852" priority="142904" stopIfTrue="1" operator="greaterThanOrEqual">
      <formula>0.5</formula>
    </cfRule>
  </conditionalFormatting>
  <conditionalFormatting sqref="F19">
    <cfRule type="cellIs" dxfId="6851" priority="142905" stopIfTrue="1" operator="equal">
      <formula>-1</formula>
    </cfRule>
  </conditionalFormatting>
  <conditionalFormatting sqref="F19">
    <cfRule type="cellIs" dxfId="6850" priority="142906" stopIfTrue="1" operator="lessThan">
      <formula>0.5</formula>
    </cfRule>
  </conditionalFormatting>
  <conditionalFormatting sqref="F19">
    <cfRule type="cellIs" dxfId="6849" priority="142907" stopIfTrue="1" operator="greaterThanOrEqual">
      <formula>0.5</formula>
    </cfRule>
  </conditionalFormatting>
  <conditionalFormatting sqref="F20">
    <cfRule type="cellIs" dxfId="6848" priority="142908" stopIfTrue="1" operator="equal">
      <formula>-1</formula>
    </cfRule>
  </conditionalFormatting>
  <conditionalFormatting sqref="F20">
    <cfRule type="cellIs" dxfId="6847" priority="142909" stopIfTrue="1" operator="lessThan">
      <formula>0.5</formula>
    </cfRule>
  </conditionalFormatting>
  <conditionalFormatting sqref="F20">
    <cfRule type="cellIs" dxfId="6846" priority="142910" stopIfTrue="1" operator="greaterThanOrEqual">
      <formula>0.5</formula>
    </cfRule>
  </conditionalFormatting>
  <conditionalFormatting sqref="F21">
    <cfRule type="cellIs" dxfId="6845" priority="142911" stopIfTrue="1" operator="equal">
      <formula>-1</formula>
    </cfRule>
  </conditionalFormatting>
  <conditionalFormatting sqref="F21">
    <cfRule type="cellIs" dxfId="6844" priority="142912" stopIfTrue="1" operator="lessThan">
      <formula>0.5</formula>
    </cfRule>
  </conditionalFormatting>
  <conditionalFormatting sqref="F21">
    <cfRule type="cellIs" dxfId="6843" priority="142913" stopIfTrue="1" operator="greaterThanOrEqual">
      <formula>0.5</formula>
    </cfRule>
  </conditionalFormatting>
  <conditionalFormatting sqref="F22">
    <cfRule type="cellIs" dxfId="6842" priority="142914" stopIfTrue="1" operator="equal">
      <formula>-1</formula>
    </cfRule>
  </conditionalFormatting>
  <conditionalFormatting sqref="F22">
    <cfRule type="cellIs" dxfId="6841" priority="142915" stopIfTrue="1" operator="lessThan">
      <formula>0.5</formula>
    </cfRule>
  </conditionalFormatting>
  <conditionalFormatting sqref="F22">
    <cfRule type="cellIs" dxfId="6840" priority="142916" stopIfTrue="1" operator="greaterThanOrEqual">
      <formula>0.5</formula>
    </cfRule>
  </conditionalFormatting>
  <conditionalFormatting sqref="F23">
    <cfRule type="cellIs" dxfId="6839" priority="142917" stopIfTrue="1" operator="equal">
      <formula>-1</formula>
    </cfRule>
  </conditionalFormatting>
  <conditionalFormatting sqref="F23">
    <cfRule type="cellIs" dxfId="6838" priority="142918" stopIfTrue="1" operator="lessThan">
      <formula>0.5</formula>
    </cfRule>
  </conditionalFormatting>
  <conditionalFormatting sqref="F23">
    <cfRule type="cellIs" dxfId="6837" priority="142919" stopIfTrue="1" operator="greaterThanOrEqual">
      <formula>0.5</formula>
    </cfRule>
  </conditionalFormatting>
  <conditionalFormatting sqref="F24">
    <cfRule type="cellIs" dxfId="6836" priority="142920" stopIfTrue="1" operator="equal">
      <formula>-1</formula>
    </cfRule>
  </conditionalFormatting>
  <conditionalFormatting sqref="F24">
    <cfRule type="cellIs" dxfId="6835" priority="142921" stopIfTrue="1" operator="lessThan">
      <formula>0.5</formula>
    </cfRule>
  </conditionalFormatting>
  <conditionalFormatting sqref="F24">
    <cfRule type="cellIs" dxfId="6834" priority="142922" stopIfTrue="1" operator="greaterThanOrEqual">
      <formula>0.5</formula>
    </cfRule>
  </conditionalFormatting>
  <conditionalFormatting sqref="F25">
    <cfRule type="cellIs" dxfId="6833" priority="142923" stopIfTrue="1" operator="equal">
      <formula>-1</formula>
    </cfRule>
  </conditionalFormatting>
  <conditionalFormatting sqref="F25">
    <cfRule type="cellIs" dxfId="6832" priority="142924" stopIfTrue="1" operator="lessThan">
      <formula>0.5</formula>
    </cfRule>
  </conditionalFormatting>
  <conditionalFormatting sqref="F25">
    <cfRule type="cellIs" dxfId="6831" priority="142925" stopIfTrue="1" operator="greaterThanOrEqual">
      <formula>0.5</formula>
    </cfRule>
  </conditionalFormatting>
  <conditionalFormatting sqref="F26">
    <cfRule type="cellIs" dxfId="6830" priority="142926" stopIfTrue="1" operator="equal">
      <formula>-1</formula>
    </cfRule>
  </conditionalFormatting>
  <conditionalFormatting sqref="F26">
    <cfRule type="cellIs" dxfId="6829" priority="142927" stopIfTrue="1" operator="lessThan">
      <formula>0.5</formula>
    </cfRule>
  </conditionalFormatting>
  <conditionalFormatting sqref="F26">
    <cfRule type="cellIs" dxfId="6828" priority="142928" stopIfTrue="1" operator="greaterThanOrEqual">
      <formula>0.5</formula>
    </cfRule>
  </conditionalFormatting>
  <conditionalFormatting sqref="F27">
    <cfRule type="cellIs" dxfId="6827" priority="142929" stopIfTrue="1" operator="equal">
      <formula>-1</formula>
    </cfRule>
  </conditionalFormatting>
  <conditionalFormatting sqref="F27">
    <cfRule type="cellIs" dxfId="6826" priority="142930" stopIfTrue="1" operator="lessThan">
      <formula>0.5</formula>
    </cfRule>
  </conditionalFormatting>
  <conditionalFormatting sqref="F27">
    <cfRule type="cellIs" dxfId="6825" priority="142931" stopIfTrue="1" operator="greaterThanOrEqual">
      <formula>0.5</formula>
    </cfRule>
  </conditionalFormatting>
  <conditionalFormatting sqref="F28">
    <cfRule type="cellIs" dxfId="6824" priority="142932" stopIfTrue="1" operator="equal">
      <formula>-1</formula>
    </cfRule>
  </conditionalFormatting>
  <conditionalFormatting sqref="F28">
    <cfRule type="cellIs" dxfId="6823" priority="142933" stopIfTrue="1" operator="lessThan">
      <formula>0.5</formula>
    </cfRule>
  </conditionalFormatting>
  <conditionalFormatting sqref="F28">
    <cfRule type="cellIs" dxfId="6822" priority="142934" stopIfTrue="1" operator="greaterThanOrEqual">
      <formula>0.5</formula>
    </cfRule>
  </conditionalFormatting>
  <conditionalFormatting sqref="F29">
    <cfRule type="cellIs" dxfId="6821" priority="142935" stopIfTrue="1" operator="equal">
      <formula>-1</formula>
    </cfRule>
  </conditionalFormatting>
  <conditionalFormatting sqref="F29">
    <cfRule type="cellIs" dxfId="6820" priority="142936" stopIfTrue="1" operator="lessThan">
      <formula>0.5</formula>
    </cfRule>
  </conditionalFormatting>
  <conditionalFormatting sqref="F29">
    <cfRule type="cellIs" dxfId="6819" priority="142937" stopIfTrue="1" operator="greaterThanOrEqual">
      <formula>0.5</formula>
    </cfRule>
  </conditionalFormatting>
  <conditionalFormatting sqref="F30">
    <cfRule type="cellIs" dxfId="6818" priority="142938" stopIfTrue="1" operator="equal">
      <formula>-1</formula>
    </cfRule>
  </conditionalFormatting>
  <conditionalFormatting sqref="F30">
    <cfRule type="cellIs" dxfId="6817" priority="142939" stopIfTrue="1" operator="lessThan">
      <formula>0.5</formula>
    </cfRule>
  </conditionalFormatting>
  <conditionalFormatting sqref="F30">
    <cfRule type="cellIs" dxfId="6816" priority="142940" stopIfTrue="1" operator="greaterThanOrEqual">
      <formula>0.5</formula>
    </cfRule>
  </conditionalFormatting>
  <conditionalFormatting sqref="F31">
    <cfRule type="cellIs" dxfId="6815" priority="142941" stopIfTrue="1" operator="equal">
      <formula>-1</formula>
    </cfRule>
  </conditionalFormatting>
  <conditionalFormatting sqref="F31">
    <cfRule type="cellIs" dxfId="6814" priority="142942" stopIfTrue="1" operator="lessThan">
      <formula>0.5</formula>
    </cfRule>
  </conditionalFormatting>
  <conditionalFormatting sqref="F31">
    <cfRule type="cellIs" dxfId="6813" priority="142943" stopIfTrue="1" operator="greaterThanOrEqual">
      <formula>0.5</formula>
    </cfRule>
  </conditionalFormatting>
  <conditionalFormatting sqref="F32">
    <cfRule type="cellIs" dxfId="6812" priority="142944" stopIfTrue="1" operator="equal">
      <formula>-1</formula>
    </cfRule>
  </conditionalFormatting>
  <conditionalFormatting sqref="F32">
    <cfRule type="cellIs" dxfId="6811" priority="142945" stopIfTrue="1" operator="lessThan">
      <formula>0.5</formula>
    </cfRule>
  </conditionalFormatting>
  <conditionalFormatting sqref="F32">
    <cfRule type="cellIs" dxfId="6810" priority="142946" stopIfTrue="1" operator="greaterThanOrEqual">
      <formula>0.5</formula>
    </cfRule>
  </conditionalFormatting>
  <conditionalFormatting sqref="F33">
    <cfRule type="cellIs" dxfId="6809" priority="142947" stopIfTrue="1" operator="equal">
      <formula>-1</formula>
    </cfRule>
  </conditionalFormatting>
  <conditionalFormatting sqref="F33">
    <cfRule type="cellIs" dxfId="6808" priority="142948" stopIfTrue="1" operator="lessThan">
      <formula>0.5</formula>
    </cfRule>
  </conditionalFormatting>
  <conditionalFormatting sqref="F33">
    <cfRule type="cellIs" dxfId="6807" priority="142949" stopIfTrue="1" operator="greaterThanOrEqual">
      <formula>0.5</formula>
    </cfRule>
  </conditionalFormatting>
  <conditionalFormatting sqref="F34">
    <cfRule type="cellIs" dxfId="6806" priority="142950" stopIfTrue="1" operator="equal">
      <formula>-1</formula>
    </cfRule>
  </conditionalFormatting>
  <conditionalFormatting sqref="F34">
    <cfRule type="cellIs" dxfId="6805" priority="142951" stopIfTrue="1" operator="lessThan">
      <formula>0.5</formula>
    </cfRule>
  </conditionalFormatting>
  <conditionalFormatting sqref="F34">
    <cfRule type="cellIs" dxfId="6804" priority="142952" stopIfTrue="1" operator="greaterThanOrEqual">
      <formula>0.5</formula>
    </cfRule>
  </conditionalFormatting>
  <conditionalFormatting sqref="F35">
    <cfRule type="cellIs" dxfId="6803" priority="142953" stopIfTrue="1" operator="equal">
      <formula>-1</formula>
    </cfRule>
  </conditionalFormatting>
  <conditionalFormatting sqref="F35">
    <cfRule type="cellIs" dxfId="6802" priority="142954" stopIfTrue="1" operator="lessThan">
      <formula>0.5</formula>
    </cfRule>
  </conditionalFormatting>
  <conditionalFormatting sqref="F35">
    <cfRule type="cellIs" dxfId="6801" priority="142955" stopIfTrue="1" operator="greaterThanOrEqual">
      <formula>0.5</formula>
    </cfRule>
  </conditionalFormatting>
  <conditionalFormatting sqref="F36">
    <cfRule type="cellIs" dxfId="6800" priority="142956" stopIfTrue="1" operator="equal">
      <formula>-1</formula>
    </cfRule>
  </conditionalFormatting>
  <conditionalFormatting sqref="F36">
    <cfRule type="cellIs" dxfId="6799" priority="142957" stopIfTrue="1" operator="lessThan">
      <formula>0.5</formula>
    </cfRule>
  </conditionalFormatting>
  <conditionalFormatting sqref="F36">
    <cfRule type="cellIs" dxfId="6798" priority="142958" stopIfTrue="1" operator="greaterThanOrEqual">
      <formula>0.5</formula>
    </cfRule>
  </conditionalFormatting>
  <conditionalFormatting sqref="F37">
    <cfRule type="cellIs" dxfId="6797" priority="142959" stopIfTrue="1" operator="equal">
      <formula>-1</formula>
    </cfRule>
  </conditionalFormatting>
  <conditionalFormatting sqref="F37">
    <cfRule type="cellIs" dxfId="6796" priority="142960" stopIfTrue="1" operator="lessThan">
      <formula>0.5</formula>
    </cfRule>
  </conditionalFormatting>
  <conditionalFormatting sqref="F37">
    <cfRule type="cellIs" dxfId="6795" priority="142961" stopIfTrue="1" operator="greaterThanOrEqual">
      <formula>0.5</formula>
    </cfRule>
  </conditionalFormatting>
  <conditionalFormatting sqref="H17">
    <cfRule type="cellIs" dxfId="6794" priority="142962" stopIfTrue="1" operator="equal">
      <formula>-1</formula>
    </cfRule>
  </conditionalFormatting>
  <conditionalFormatting sqref="H17">
    <cfRule type="cellIs" dxfId="6793" priority="142963" stopIfTrue="1" operator="lessThan">
      <formula>0.5</formula>
    </cfRule>
  </conditionalFormatting>
  <conditionalFormatting sqref="H17">
    <cfRule type="cellIs" dxfId="6792" priority="142964" stopIfTrue="1" operator="greaterThanOrEqual">
      <formula>0.5</formula>
    </cfRule>
  </conditionalFormatting>
  <conditionalFormatting sqref="H18">
    <cfRule type="cellIs" dxfId="6791" priority="142965" stopIfTrue="1" operator="equal">
      <formula>-1</formula>
    </cfRule>
  </conditionalFormatting>
  <conditionalFormatting sqref="H18">
    <cfRule type="cellIs" dxfId="6790" priority="142966" stopIfTrue="1" operator="lessThan">
      <formula>0.5</formula>
    </cfRule>
  </conditionalFormatting>
  <conditionalFormatting sqref="H18">
    <cfRule type="cellIs" dxfId="6789" priority="142967" stopIfTrue="1" operator="greaterThanOrEqual">
      <formula>0.5</formula>
    </cfRule>
  </conditionalFormatting>
  <conditionalFormatting sqref="H19">
    <cfRule type="cellIs" dxfId="6788" priority="142968" stopIfTrue="1" operator="equal">
      <formula>-1</formula>
    </cfRule>
  </conditionalFormatting>
  <conditionalFormatting sqref="H19">
    <cfRule type="cellIs" dxfId="6787" priority="142969" stopIfTrue="1" operator="lessThan">
      <formula>0.5</formula>
    </cfRule>
  </conditionalFormatting>
  <conditionalFormatting sqref="H19">
    <cfRule type="cellIs" dxfId="6786" priority="142970" stopIfTrue="1" operator="greaterThanOrEqual">
      <formula>0.5</formula>
    </cfRule>
  </conditionalFormatting>
  <conditionalFormatting sqref="H20">
    <cfRule type="cellIs" dxfId="6785" priority="142971" stopIfTrue="1" operator="equal">
      <formula>-1</formula>
    </cfRule>
  </conditionalFormatting>
  <conditionalFormatting sqref="H20">
    <cfRule type="cellIs" dxfId="6784" priority="142972" stopIfTrue="1" operator="lessThan">
      <formula>0.5</formula>
    </cfRule>
  </conditionalFormatting>
  <conditionalFormatting sqref="H20">
    <cfRule type="cellIs" dxfId="6783" priority="142973" stopIfTrue="1" operator="greaterThanOrEqual">
      <formula>0.5</formula>
    </cfRule>
  </conditionalFormatting>
  <conditionalFormatting sqref="H21">
    <cfRule type="cellIs" dxfId="6782" priority="142974" stopIfTrue="1" operator="equal">
      <formula>-1</formula>
    </cfRule>
  </conditionalFormatting>
  <conditionalFormatting sqref="H21">
    <cfRule type="cellIs" dxfId="6781" priority="142975" stopIfTrue="1" operator="lessThan">
      <formula>0.5</formula>
    </cfRule>
  </conditionalFormatting>
  <conditionalFormatting sqref="H21">
    <cfRule type="cellIs" dxfId="6780" priority="142976" stopIfTrue="1" operator="greaterThanOrEqual">
      <formula>0.5</formula>
    </cfRule>
  </conditionalFormatting>
  <conditionalFormatting sqref="H22">
    <cfRule type="cellIs" dxfId="6779" priority="142977" stopIfTrue="1" operator="equal">
      <formula>-1</formula>
    </cfRule>
  </conditionalFormatting>
  <conditionalFormatting sqref="H22">
    <cfRule type="cellIs" dxfId="6778" priority="142978" stopIfTrue="1" operator="lessThan">
      <formula>0.5</formula>
    </cfRule>
  </conditionalFormatting>
  <conditionalFormatting sqref="H22">
    <cfRule type="cellIs" dxfId="6777" priority="142979" stopIfTrue="1" operator="greaterThanOrEqual">
      <formula>0.5</formula>
    </cfRule>
  </conditionalFormatting>
  <conditionalFormatting sqref="H23">
    <cfRule type="cellIs" dxfId="6776" priority="142980" stopIfTrue="1" operator="equal">
      <formula>-1</formula>
    </cfRule>
  </conditionalFormatting>
  <conditionalFormatting sqref="H23">
    <cfRule type="cellIs" dxfId="6775" priority="142981" stopIfTrue="1" operator="lessThan">
      <formula>0.5</formula>
    </cfRule>
  </conditionalFormatting>
  <conditionalFormatting sqref="H23">
    <cfRule type="cellIs" dxfId="6774" priority="142982" stopIfTrue="1" operator="greaterThanOrEqual">
      <formula>0.5</formula>
    </cfRule>
  </conditionalFormatting>
  <conditionalFormatting sqref="H24">
    <cfRule type="cellIs" dxfId="6773" priority="142983" stopIfTrue="1" operator="equal">
      <formula>-1</formula>
    </cfRule>
  </conditionalFormatting>
  <conditionalFormatting sqref="H24">
    <cfRule type="cellIs" dxfId="6772" priority="142984" stopIfTrue="1" operator="lessThan">
      <formula>0.5</formula>
    </cfRule>
  </conditionalFormatting>
  <conditionalFormatting sqref="H24">
    <cfRule type="cellIs" dxfId="6771" priority="142985" stopIfTrue="1" operator="greaterThanOrEqual">
      <formula>0.5</formula>
    </cfRule>
  </conditionalFormatting>
  <conditionalFormatting sqref="H25">
    <cfRule type="cellIs" dxfId="6770" priority="142986" stopIfTrue="1" operator="equal">
      <formula>-1</formula>
    </cfRule>
  </conditionalFormatting>
  <conditionalFormatting sqref="H25">
    <cfRule type="cellIs" dxfId="6769" priority="142987" stopIfTrue="1" operator="lessThan">
      <formula>0.5</formula>
    </cfRule>
  </conditionalFormatting>
  <conditionalFormatting sqref="H25">
    <cfRule type="cellIs" dxfId="6768" priority="142988" stopIfTrue="1" operator="greaterThanOrEqual">
      <formula>0.5</formula>
    </cfRule>
  </conditionalFormatting>
  <conditionalFormatting sqref="H26">
    <cfRule type="cellIs" dxfId="6767" priority="142989" stopIfTrue="1" operator="equal">
      <formula>-1</formula>
    </cfRule>
  </conditionalFormatting>
  <conditionalFormatting sqref="H26">
    <cfRule type="cellIs" dxfId="6766" priority="142990" stopIfTrue="1" operator="lessThan">
      <formula>0.5</formula>
    </cfRule>
  </conditionalFormatting>
  <conditionalFormatting sqref="H26">
    <cfRule type="cellIs" dxfId="6765" priority="142991" stopIfTrue="1" operator="greaterThanOrEqual">
      <formula>0.5</formula>
    </cfRule>
  </conditionalFormatting>
  <conditionalFormatting sqref="H27">
    <cfRule type="cellIs" dxfId="6764" priority="142992" stopIfTrue="1" operator="equal">
      <formula>-1</formula>
    </cfRule>
  </conditionalFormatting>
  <conditionalFormatting sqref="H27">
    <cfRule type="cellIs" dxfId="6763" priority="142993" stopIfTrue="1" operator="lessThan">
      <formula>0.5</formula>
    </cfRule>
  </conditionalFormatting>
  <conditionalFormatting sqref="H27">
    <cfRule type="cellIs" dxfId="6762" priority="142994" stopIfTrue="1" operator="greaterThanOrEqual">
      <formula>0.5</formula>
    </cfRule>
  </conditionalFormatting>
  <conditionalFormatting sqref="H28">
    <cfRule type="cellIs" dxfId="6761" priority="142995" stopIfTrue="1" operator="equal">
      <formula>-1</formula>
    </cfRule>
  </conditionalFormatting>
  <conditionalFormatting sqref="H28">
    <cfRule type="cellIs" dxfId="6760" priority="142996" stopIfTrue="1" operator="lessThan">
      <formula>0.5</formula>
    </cfRule>
  </conditionalFormatting>
  <conditionalFormatting sqref="H28">
    <cfRule type="cellIs" dxfId="6759" priority="142997" stopIfTrue="1" operator="greaterThanOrEqual">
      <formula>0.5</formula>
    </cfRule>
  </conditionalFormatting>
  <conditionalFormatting sqref="H29">
    <cfRule type="cellIs" dxfId="6758" priority="142998" stopIfTrue="1" operator="equal">
      <formula>-1</formula>
    </cfRule>
  </conditionalFormatting>
  <conditionalFormatting sqref="H29">
    <cfRule type="cellIs" dxfId="6757" priority="142999" stopIfTrue="1" operator="lessThan">
      <formula>0.5</formula>
    </cfRule>
  </conditionalFormatting>
  <conditionalFormatting sqref="H29">
    <cfRule type="cellIs" dxfId="6756" priority="143000" stopIfTrue="1" operator="greaterThanOrEqual">
      <formula>0.5</formula>
    </cfRule>
  </conditionalFormatting>
  <conditionalFormatting sqref="H30">
    <cfRule type="cellIs" dxfId="6755" priority="143001" stopIfTrue="1" operator="equal">
      <formula>-1</formula>
    </cfRule>
  </conditionalFormatting>
  <conditionalFormatting sqref="H30">
    <cfRule type="cellIs" dxfId="6754" priority="143002" stopIfTrue="1" operator="lessThan">
      <formula>0.5</formula>
    </cfRule>
  </conditionalFormatting>
  <conditionalFormatting sqref="H30">
    <cfRule type="cellIs" dxfId="6753" priority="143003" stopIfTrue="1" operator="greaterThanOrEqual">
      <formula>0.5</formula>
    </cfRule>
  </conditionalFormatting>
  <conditionalFormatting sqref="H31">
    <cfRule type="cellIs" dxfId="6752" priority="143004" stopIfTrue="1" operator="equal">
      <formula>-1</formula>
    </cfRule>
  </conditionalFormatting>
  <conditionalFormatting sqref="H31">
    <cfRule type="cellIs" dxfId="6751" priority="143005" stopIfTrue="1" operator="lessThan">
      <formula>0.5</formula>
    </cfRule>
  </conditionalFormatting>
  <conditionalFormatting sqref="H31">
    <cfRule type="cellIs" dxfId="6750" priority="143006" stopIfTrue="1" operator="greaterThanOrEqual">
      <formula>0.5</formula>
    </cfRule>
  </conditionalFormatting>
  <conditionalFormatting sqref="H32">
    <cfRule type="cellIs" dxfId="6749" priority="143007" stopIfTrue="1" operator="equal">
      <formula>-1</formula>
    </cfRule>
  </conditionalFormatting>
  <conditionalFormatting sqref="H32">
    <cfRule type="cellIs" dxfId="6748" priority="143008" stopIfTrue="1" operator="lessThan">
      <formula>0.5</formula>
    </cfRule>
  </conditionalFormatting>
  <conditionalFormatting sqref="H32">
    <cfRule type="cellIs" dxfId="6747" priority="143009" stopIfTrue="1" operator="greaterThanOrEqual">
      <formula>0.5</formula>
    </cfRule>
  </conditionalFormatting>
  <conditionalFormatting sqref="H33">
    <cfRule type="cellIs" dxfId="6746" priority="143010" stopIfTrue="1" operator="equal">
      <formula>-1</formula>
    </cfRule>
  </conditionalFormatting>
  <conditionalFormatting sqref="H33">
    <cfRule type="cellIs" dxfId="6745" priority="143011" stopIfTrue="1" operator="lessThan">
      <formula>0.5</formula>
    </cfRule>
  </conditionalFormatting>
  <conditionalFormatting sqref="H33">
    <cfRule type="cellIs" dxfId="6744" priority="143012" stopIfTrue="1" operator="greaterThanOrEqual">
      <formula>0.5</formula>
    </cfRule>
  </conditionalFormatting>
  <conditionalFormatting sqref="H34">
    <cfRule type="cellIs" dxfId="6743" priority="143013" stopIfTrue="1" operator="equal">
      <formula>-1</formula>
    </cfRule>
  </conditionalFormatting>
  <conditionalFormatting sqref="H34">
    <cfRule type="cellIs" dxfId="6742" priority="143014" stopIfTrue="1" operator="lessThan">
      <formula>0.5</formula>
    </cfRule>
  </conditionalFormatting>
  <conditionalFormatting sqref="H34">
    <cfRule type="cellIs" dxfId="6741" priority="143015" stopIfTrue="1" operator="greaterThanOrEqual">
      <formula>0.5</formula>
    </cfRule>
  </conditionalFormatting>
  <conditionalFormatting sqref="H35">
    <cfRule type="cellIs" dxfId="6740" priority="143016" stopIfTrue="1" operator="equal">
      <formula>-1</formula>
    </cfRule>
  </conditionalFormatting>
  <conditionalFormatting sqref="H35">
    <cfRule type="cellIs" dxfId="6739" priority="143017" stopIfTrue="1" operator="lessThan">
      <formula>0.5</formula>
    </cfRule>
  </conditionalFormatting>
  <conditionalFormatting sqref="H35">
    <cfRule type="cellIs" dxfId="6738" priority="143018" stopIfTrue="1" operator="greaterThanOrEqual">
      <formula>0.5</formula>
    </cfRule>
  </conditionalFormatting>
  <conditionalFormatting sqref="H36">
    <cfRule type="cellIs" dxfId="6737" priority="143019" stopIfTrue="1" operator="equal">
      <formula>-1</formula>
    </cfRule>
  </conditionalFormatting>
  <conditionalFormatting sqref="H36">
    <cfRule type="cellIs" dxfId="6736" priority="143020" stopIfTrue="1" operator="lessThan">
      <formula>0.5</formula>
    </cfRule>
  </conditionalFormatting>
  <conditionalFormatting sqref="H36">
    <cfRule type="cellIs" dxfId="6735" priority="143021" stopIfTrue="1" operator="greaterThanOrEqual">
      <formula>0.5</formula>
    </cfRule>
  </conditionalFormatting>
  <conditionalFormatting sqref="H37">
    <cfRule type="cellIs" dxfId="6734" priority="143022" stopIfTrue="1" operator="equal">
      <formula>-1</formula>
    </cfRule>
  </conditionalFormatting>
  <conditionalFormatting sqref="H37">
    <cfRule type="cellIs" dxfId="6733" priority="143023" stopIfTrue="1" operator="lessThan">
      <formula>0.5</formula>
    </cfRule>
  </conditionalFormatting>
  <conditionalFormatting sqref="H37">
    <cfRule type="cellIs" dxfId="6732" priority="143024" stopIfTrue="1" operator="greaterThanOrEqual">
      <formula>0.5</formula>
    </cfRule>
  </conditionalFormatting>
  <conditionalFormatting sqref="J17">
    <cfRule type="cellIs" dxfId="6731" priority="143025" stopIfTrue="1" operator="equal">
      <formula>-1</formula>
    </cfRule>
  </conditionalFormatting>
  <conditionalFormatting sqref="J17">
    <cfRule type="cellIs" dxfId="6730" priority="143026" stopIfTrue="1" operator="lessThan">
      <formula>0.5</formula>
    </cfRule>
  </conditionalFormatting>
  <conditionalFormatting sqref="J17">
    <cfRule type="cellIs" dxfId="6729" priority="143027" stopIfTrue="1" operator="greaterThanOrEqual">
      <formula>0.5</formula>
    </cfRule>
  </conditionalFormatting>
  <conditionalFormatting sqref="J18">
    <cfRule type="cellIs" dxfId="6728" priority="143028" stopIfTrue="1" operator="equal">
      <formula>-1</formula>
    </cfRule>
  </conditionalFormatting>
  <conditionalFormatting sqref="J18">
    <cfRule type="cellIs" dxfId="6727" priority="143029" stopIfTrue="1" operator="lessThan">
      <formula>0.5</formula>
    </cfRule>
  </conditionalFormatting>
  <conditionalFormatting sqref="J18">
    <cfRule type="cellIs" dxfId="6726" priority="143030" stopIfTrue="1" operator="greaterThanOrEqual">
      <formula>0.5</formula>
    </cfRule>
  </conditionalFormatting>
  <conditionalFormatting sqref="J19">
    <cfRule type="cellIs" dxfId="6725" priority="143031" stopIfTrue="1" operator="equal">
      <formula>-1</formula>
    </cfRule>
  </conditionalFormatting>
  <conditionalFormatting sqref="J19">
    <cfRule type="cellIs" dxfId="6724" priority="143032" stopIfTrue="1" operator="lessThan">
      <formula>0.5</formula>
    </cfRule>
  </conditionalFormatting>
  <conditionalFormatting sqref="J19">
    <cfRule type="cellIs" dxfId="6723" priority="143033" stopIfTrue="1" operator="greaterThanOrEqual">
      <formula>0.5</formula>
    </cfRule>
  </conditionalFormatting>
  <conditionalFormatting sqref="J20">
    <cfRule type="cellIs" dxfId="6722" priority="143034" stopIfTrue="1" operator="equal">
      <formula>-1</formula>
    </cfRule>
  </conditionalFormatting>
  <conditionalFormatting sqref="J20">
    <cfRule type="cellIs" dxfId="6721" priority="143035" stopIfTrue="1" operator="lessThan">
      <formula>0.5</formula>
    </cfRule>
  </conditionalFormatting>
  <conditionalFormatting sqref="J20">
    <cfRule type="cellIs" dxfId="6720" priority="143036" stopIfTrue="1" operator="greaterThanOrEqual">
      <formula>0.5</formula>
    </cfRule>
  </conditionalFormatting>
  <conditionalFormatting sqref="J21">
    <cfRule type="cellIs" dxfId="6719" priority="143037" stopIfTrue="1" operator="equal">
      <formula>-1</formula>
    </cfRule>
  </conditionalFormatting>
  <conditionalFormatting sqref="J21">
    <cfRule type="cellIs" dxfId="6718" priority="143038" stopIfTrue="1" operator="lessThan">
      <formula>0.5</formula>
    </cfRule>
  </conditionalFormatting>
  <conditionalFormatting sqref="J21">
    <cfRule type="cellIs" dxfId="6717" priority="143039" stopIfTrue="1" operator="greaterThanOrEqual">
      <formula>0.5</formula>
    </cfRule>
  </conditionalFormatting>
  <conditionalFormatting sqref="J22">
    <cfRule type="cellIs" dxfId="6716" priority="143040" stopIfTrue="1" operator="equal">
      <formula>-1</formula>
    </cfRule>
  </conditionalFormatting>
  <conditionalFormatting sqref="J22">
    <cfRule type="cellIs" dxfId="6715" priority="143041" stopIfTrue="1" operator="lessThan">
      <formula>0.5</formula>
    </cfRule>
  </conditionalFormatting>
  <conditionalFormatting sqref="J22">
    <cfRule type="cellIs" dxfId="6714" priority="143042" stopIfTrue="1" operator="greaterThanOrEqual">
      <formula>0.5</formula>
    </cfRule>
  </conditionalFormatting>
  <conditionalFormatting sqref="J23">
    <cfRule type="cellIs" dxfId="6713" priority="143043" stopIfTrue="1" operator="equal">
      <formula>-1</formula>
    </cfRule>
  </conditionalFormatting>
  <conditionalFormatting sqref="J23">
    <cfRule type="cellIs" dxfId="6712" priority="143044" stopIfTrue="1" operator="lessThan">
      <formula>0.5</formula>
    </cfRule>
  </conditionalFormatting>
  <conditionalFormatting sqref="J23">
    <cfRule type="cellIs" dxfId="6711" priority="143045" stopIfTrue="1" operator="greaterThanOrEqual">
      <formula>0.5</formula>
    </cfRule>
  </conditionalFormatting>
  <conditionalFormatting sqref="J24">
    <cfRule type="cellIs" dxfId="6710" priority="143046" stopIfTrue="1" operator="equal">
      <formula>-1</formula>
    </cfRule>
  </conditionalFormatting>
  <conditionalFormatting sqref="J24">
    <cfRule type="cellIs" dxfId="6709" priority="143047" stopIfTrue="1" operator="lessThan">
      <formula>0.5</formula>
    </cfRule>
  </conditionalFormatting>
  <conditionalFormatting sqref="J24">
    <cfRule type="cellIs" dxfId="6708" priority="143048" stopIfTrue="1" operator="greaterThanOrEqual">
      <formula>0.5</formula>
    </cfRule>
  </conditionalFormatting>
  <conditionalFormatting sqref="J25">
    <cfRule type="cellIs" dxfId="6707" priority="143049" stopIfTrue="1" operator="equal">
      <formula>-1</formula>
    </cfRule>
  </conditionalFormatting>
  <conditionalFormatting sqref="J25">
    <cfRule type="cellIs" dxfId="6706" priority="143050" stopIfTrue="1" operator="lessThan">
      <formula>0.5</formula>
    </cfRule>
  </conditionalFormatting>
  <conditionalFormatting sqref="J25">
    <cfRule type="cellIs" dxfId="6705" priority="143051" stopIfTrue="1" operator="greaterThanOrEqual">
      <formula>0.5</formula>
    </cfRule>
  </conditionalFormatting>
  <conditionalFormatting sqref="J26">
    <cfRule type="cellIs" dxfId="6704" priority="143052" stopIfTrue="1" operator="equal">
      <formula>-1</formula>
    </cfRule>
  </conditionalFormatting>
  <conditionalFormatting sqref="J26">
    <cfRule type="cellIs" dxfId="6703" priority="143053" stopIfTrue="1" operator="lessThan">
      <formula>0.5</formula>
    </cfRule>
  </conditionalFormatting>
  <conditionalFormatting sqref="J26">
    <cfRule type="cellIs" dxfId="6702" priority="143054" stopIfTrue="1" operator="greaterThanOrEqual">
      <formula>0.5</formula>
    </cfRule>
  </conditionalFormatting>
  <conditionalFormatting sqref="J27">
    <cfRule type="cellIs" dxfId="6701" priority="143055" stopIfTrue="1" operator="equal">
      <formula>-1</formula>
    </cfRule>
  </conditionalFormatting>
  <conditionalFormatting sqref="J27">
    <cfRule type="cellIs" dxfId="6700" priority="143056" stopIfTrue="1" operator="lessThan">
      <formula>0.5</formula>
    </cfRule>
  </conditionalFormatting>
  <conditionalFormatting sqref="J27">
    <cfRule type="cellIs" dxfId="6699" priority="143057" stopIfTrue="1" operator="greaterThanOrEqual">
      <formula>0.5</formula>
    </cfRule>
  </conditionalFormatting>
  <conditionalFormatting sqref="J28">
    <cfRule type="cellIs" dxfId="6698" priority="143058" stopIfTrue="1" operator="equal">
      <formula>-1</formula>
    </cfRule>
  </conditionalFormatting>
  <conditionalFormatting sqref="J28">
    <cfRule type="cellIs" dxfId="6697" priority="143059" stopIfTrue="1" operator="lessThan">
      <formula>0.5</formula>
    </cfRule>
  </conditionalFormatting>
  <conditionalFormatting sqref="J28">
    <cfRule type="cellIs" dxfId="6696" priority="143060" stopIfTrue="1" operator="greaterThanOrEqual">
      <formula>0.5</formula>
    </cfRule>
  </conditionalFormatting>
  <conditionalFormatting sqref="J29">
    <cfRule type="cellIs" dxfId="6695" priority="143061" stopIfTrue="1" operator="equal">
      <formula>-1</formula>
    </cfRule>
  </conditionalFormatting>
  <conditionalFormatting sqref="J29">
    <cfRule type="cellIs" dxfId="6694" priority="143062" stopIfTrue="1" operator="lessThan">
      <formula>0.5</formula>
    </cfRule>
  </conditionalFormatting>
  <conditionalFormatting sqref="J29">
    <cfRule type="cellIs" dxfId="6693" priority="143063" stopIfTrue="1" operator="greaterThanOrEqual">
      <formula>0.5</formula>
    </cfRule>
  </conditionalFormatting>
  <conditionalFormatting sqref="J30">
    <cfRule type="cellIs" dxfId="6692" priority="143064" stopIfTrue="1" operator="equal">
      <formula>-1</formula>
    </cfRule>
  </conditionalFormatting>
  <conditionalFormatting sqref="J30">
    <cfRule type="cellIs" dxfId="6691" priority="143065" stopIfTrue="1" operator="lessThan">
      <formula>0.5</formula>
    </cfRule>
  </conditionalFormatting>
  <conditionalFormatting sqref="J30">
    <cfRule type="cellIs" dxfId="6690" priority="143066" stopIfTrue="1" operator="greaterThanOrEqual">
      <formula>0.5</formula>
    </cfRule>
  </conditionalFormatting>
  <conditionalFormatting sqref="J31">
    <cfRule type="cellIs" dxfId="6689" priority="143067" stopIfTrue="1" operator="equal">
      <formula>-1</formula>
    </cfRule>
  </conditionalFormatting>
  <conditionalFormatting sqref="J31">
    <cfRule type="cellIs" dxfId="6688" priority="143068" stopIfTrue="1" operator="lessThan">
      <formula>0.5</formula>
    </cfRule>
  </conditionalFormatting>
  <conditionalFormatting sqref="J31">
    <cfRule type="cellIs" dxfId="6687" priority="143069" stopIfTrue="1" operator="greaterThanOrEqual">
      <formula>0.5</formula>
    </cfRule>
  </conditionalFormatting>
  <conditionalFormatting sqref="J32">
    <cfRule type="cellIs" dxfId="6686" priority="143070" stopIfTrue="1" operator="equal">
      <formula>-1</formula>
    </cfRule>
  </conditionalFormatting>
  <conditionalFormatting sqref="J32">
    <cfRule type="cellIs" dxfId="6685" priority="143071" stopIfTrue="1" operator="lessThan">
      <formula>0.5</formula>
    </cfRule>
  </conditionalFormatting>
  <conditionalFormatting sqref="J32">
    <cfRule type="cellIs" dxfId="6684" priority="143072" stopIfTrue="1" operator="greaterThanOrEqual">
      <formula>0.5</formula>
    </cfRule>
  </conditionalFormatting>
  <conditionalFormatting sqref="J33">
    <cfRule type="cellIs" dxfId="6683" priority="143073" stopIfTrue="1" operator="equal">
      <formula>-1</formula>
    </cfRule>
  </conditionalFormatting>
  <conditionalFormatting sqref="J33">
    <cfRule type="cellIs" dxfId="6682" priority="143074" stopIfTrue="1" operator="lessThan">
      <formula>0.5</formula>
    </cfRule>
  </conditionalFormatting>
  <conditionalFormatting sqref="J33">
    <cfRule type="cellIs" dxfId="6681" priority="143075" stopIfTrue="1" operator="greaterThanOrEqual">
      <formula>0.5</formula>
    </cfRule>
  </conditionalFormatting>
  <conditionalFormatting sqref="J34">
    <cfRule type="cellIs" dxfId="6680" priority="143076" stopIfTrue="1" operator="equal">
      <formula>-1</formula>
    </cfRule>
  </conditionalFormatting>
  <conditionalFormatting sqref="J34">
    <cfRule type="cellIs" dxfId="6679" priority="143077" stopIfTrue="1" operator="lessThan">
      <formula>0.5</formula>
    </cfRule>
  </conditionalFormatting>
  <conditionalFormatting sqref="J34">
    <cfRule type="cellIs" dxfId="6678" priority="143078" stopIfTrue="1" operator="greaterThanOrEqual">
      <formula>0.5</formula>
    </cfRule>
  </conditionalFormatting>
  <conditionalFormatting sqref="J35">
    <cfRule type="cellIs" dxfId="6677" priority="143079" stopIfTrue="1" operator="equal">
      <formula>-1</formula>
    </cfRule>
  </conditionalFormatting>
  <conditionalFormatting sqref="J35">
    <cfRule type="cellIs" dxfId="6676" priority="143080" stopIfTrue="1" operator="lessThan">
      <formula>0.5</formula>
    </cfRule>
  </conditionalFormatting>
  <conditionalFormatting sqref="J35">
    <cfRule type="cellIs" dxfId="6675" priority="143081" stopIfTrue="1" operator="greaterThanOrEqual">
      <formula>0.5</formula>
    </cfRule>
  </conditionalFormatting>
  <conditionalFormatting sqref="J36">
    <cfRule type="cellIs" dxfId="6674" priority="143082" stopIfTrue="1" operator="equal">
      <formula>-1</formula>
    </cfRule>
  </conditionalFormatting>
  <conditionalFormatting sqref="J36">
    <cfRule type="cellIs" dxfId="6673" priority="143083" stopIfTrue="1" operator="lessThan">
      <formula>0.5</formula>
    </cfRule>
  </conditionalFormatting>
  <conditionalFormatting sqref="J36">
    <cfRule type="cellIs" dxfId="6672" priority="143084" stopIfTrue="1" operator="greaterThanOrEqual">
      <formula>0.5</formula>
    </cfRule>
  </conditionalFormatting>
  <conditionalFormatting sqref="J37">
    <cfRule type="cellIs" dxfId="6671" priority="143085" stopIfTrue="1" operator="equal">
      <formula>-1</formula>
    </cfRule>
  </conditionalFormatting>
  <conditionalFormatting sqref="J37">
    <cfRule type="cellIs" dxfId="6670" priority="143086" stopIfTrue="1" operator="lessThan">
      <formula>0.5</formula>
    </cfRule>
  </conditionalFormatting>
  <conditionalFormatting sqref="J37">
    <cfRule type="cellIs" dxfId="6669" priority="143087" stopIfTrue="1" operator="greaterThanOrEqual">
      <formula>0.5</formula>
    </cfRule>
  </conditionalFormatting>
  <conditionalFormatting sqref="L17">
    <cfRule type="cellIs" dxfId="6668" priority="143088" stopIfTrue="1" operator="equal">
      <formula>-1</formula>
    </cfRule>
  </conditionalFormatting>
  <conditionalFormatting sqref="L17">
    <cfRule type="cellIs" dxfId="6667" priority="143089" stopIfTrue="1" operator="lessThan">
      <formula>0.5</formula>
    </cfRule>
  </conditionalFormatting>
  <conditionalFormatting sqref="L17">
    <cfRule type="cellIs" dxfId="6666" priority="143090" stopIfTrue="1" operator="greaterThanOrEqual">
      <formula>0.5</formula>
    </cfRule>
  </conditionalFormatting>
  <conditionalFormatting sqref="L18">
    <cfRule type="cellIs" dxfId="6665" priority="143091" stopIfTrue="1" operator="equal">
      <formula>-1</formula>
    </cfRule>
  </conditionalFormatting>
  <conditionalFormatting sqref="L18">
    <cfRule type="cellIs" dxfId="6664" priority="143092" stopIfTrue="1" operator="lessThan">
      <formula>0.5</formula>
    </cfRule>
  </conditionalFormatting>
  <conditionalFormatting sqref="L18">
    <cfRule type="cellIs" dxfId="6663" priority="143093" stopIfTrue="1" operator="greaterThanOrEqual">
      <formula>0.5</formula>
    </cfRule>
  </conditionalFormatting>
  <conditionalFormatting sqref="L19">
    <cfRule type="cellIs" dxfId="6662" priority="143094" stopIfTrue="1" operator="equal">
      <formula>-1</formula>
    </cfRule>
  </conditionalFormatting>
  <conditionalFormatting sqref="L19">
    <cfRule type="cellIs" dxfId="6661" priority="143095" stopIfTrue="1" operator="lessThan">
      <formula>0.5</formula>
    </cfRule>
  </conditionalFormatting>
  <conditionalFormatting sqref="L19">
    <cfRule type="cellIs" dxfId="6660" priority="143096" stopIfTrue="1" operator="greaterThanOrEqual">
      <formula>0.5</formula>
    </cfRule>
  </conditionalFormatting>
  <conditionalFormatting sqref="L20">
    <cfRule type="cellIs" dxfId="6659" priority="143097" stopIfTrue="1" operator="equal">
      <formula>-1</formula>
    </cfRule>
  </conditionalFormatting>
  <conditionalFormatting sqref="L20">
    <cfRule type="cellIs" dxfId="6658" priority="143098" stopIfTrue="1" operator="lessThan">
      <formula>0.5</formula>
    </cfRule>
  </conditionalFormatting>
  <conditionalFormatting sqref="L20">
    <cfRule type="cellIs" dxfId="6657" priority="143099" stopIfTrue="1" operator="greaterThanOrEqual">
      <formula>0.5</formula>
    </cfRule>
  </conditionalFormatting>
  <conditionalFormatting sqref="L21">
    <cfRule type="cellIs" dxfId="6656" priority="143100" stopIfTrue="1" operator="equal">
      <formula>-1</formula>
    </cfRule>
  </conditionalFormatting>
  <conditionalFormatting sqref="L21">
    <cfRule type="cellIs" dxfId="6655" priority="143101" stopIfTrue="1" operator="lessThan">
      <formula>0.5</formula>
    </cfRule>
  </conditionalFormatting>
  <conditionalFormatting sqref="L21">
    <cfRule type="cellIs" dxfId="6654" priority="143102" stopIfTrue="1" operator="greaterThanOrEqual">
      <formula>0.5</formula>
    </cfRule>
  </conditionalFormatting>
  <conditionalFormatting sqref="L22">
    <cfRule type="cellIs" dxfId="6653" priority="143103" stopIfTrue="1" operator="equal">
      <formula>-1</formula>
    </cfRule>
  </conditionalFormatting>
  <conditionalFormatting sqref="L22">
    <cfRule type="cellIs" dxfId="6652" priority="143104" stopIfTrue="1" operator="lessThan">
      <formula>0.5</formula>
    </cfRule>
  </conditionalFormatting>
  <conditionalFormatting sqref="L22">
    <cfRule type="cellIs" dxfId="6651" priority="143105" stopIfTrue="1" operator="greaterThanOrEqual">
      <formula>0.5</formula>
    </cfRule>
  </conditionalFormatting>
  <conditionalFormatting sqref="L23">
    <cfRule type="cellIs" dxfId="6650" priority="143106" stopIfTrue="1" operator="equal">
      <formula>-1</formula>
    </cfRule>
  </conditionalFormatting>
  <conditionalFormatting sqref="L23">
    <cfRule type="cellIs" dxfId="6649" priority="143107" stopIfTrue="1" operator="lessThan">
      <formula>0.5</formula>
    </cfRule>
  </conditionalFormatting>
  <conditionalFormatting sqref="L23">
    <cfRule type="cellIs" dxfId="6648" priority="143108" stopIfTrue="1" operator="greaterThanOrEqual">
      <formula>0.5</formula>
    </cfRule>
  </conditionalFormatting>
  <conditionalFormatting sqref="L24">
    <cfRule type="cellIs" dxfId="6647" priority="143109" stopIfTrue="1" operator="equal">
      <formula>-1</formula>
    </cfRule>
  </conditionalFormatting>
  <conditionalFormatting sqref="L24">
    <cfRule type="cellIs" dxfId="6646" priority="143110" stopIfTrue="1" operator="lessThan">
      <formula>0.5</formula>
    </cfRule>
  </conditionalFormatting>
  <conditionalFormatting sqref="L24">
    <cfRule type="cellIs" dxfId="6645" priority="143111" stopIfTrue="1" operator="greaterThanOrEqual">
      <formula>0.5</formula>
    </cfRule>
  </conditionalFormatting>
  <conditionalFormatting sqref="L25">
    <cfRule type="cellIs" dxfId="6644" priority="143112" stopIfTrue="1" operator="equal">
      <formula>-1</formula>
    </cfRule>
  </conditionalFormatting>
  <conditionalFormatting sqref="L25">
    <cfRule type="cellIs" dxfId="6643" priority="143113" stopIfTrue="1" operator="lessThan">
      <formula>0.5</formula>
    </cfRule>
  </conditionalFormatting>
  <conditionalFormatting sqref="L25">
    <cfRule type="cellIs" dxfId="6642" priority="143114" stopIfTrue="1" operator="greaterThanOrEqual">
      <formula>0.5</formula>
    </cfRule>
  </conditionalFormatting>
  <conditionalFormatting sqref="L26">
    <cfRule type="cellIs" dxfId="6641" priority="143115" stopIfTrue="1" operator="equal">
      <formula>-1</formula>
    </cfRule>
  </conditionalFormatting>
  <conditionalFormatting sqref="L26">
    <cfRule type="cellIs" dxfId="6640" priority="143116" stopIfTrue="1" operator="lessThan">
      <formula>0.5</formula>
    </cfRule>
  </conditionalFormatting>
  <conditionalFormatting sqref="L26">
    <cfRule type="cellIs" dxfId="6639" priority="143117" stopIfTrue="1" operator="greaterThanOrEqual">
      <formula>0.5</formula>
    </cfRule>
  </conditionalFormatting>
  <conditionalFormatting sqref="L27">
    <cfRule type="cellIs" dxfId="6638" priority="143118" stopIfTrue="1" operator="equal">
      <formula>-1</formula>
    </cfRule>
  </conditionalFormatting>
  <conditionalFormatting sqref="L27">
    <cfRule type="cellIs" dxfId="6637" priority="143119" stopIfTrue="1" operator="lessThan">
      <formula>0.5</formula>
    </cfRule>
  </conditionalFormatting>
  <conditionalFormatting sqref="L27">
    <cfRule type="cellIs" dxfId="6636" priority="143120" stopIfTrue="1" operator="greaterThanOrEqual">
      <formula>0.5</formula>
    </cfRule>
  </conditionalFormatting>
  <conditionalFormatting sqref="L28">
    <cfRule type="cellIs" dxfId="6635" priority="143121" stopIfTrue="1" operator="equal">
      <formula>-1</formula>
    </cfRule>
  </conditionalFormatting>
  <conditionalFormatting sqref="L28">
    <cfRule type="cellIs" dxfId="6634" priority="143122" stopIfTrue="1" operator="lessThan">
      <formula>0.5</formula>
    </cfRule>
  </conditionalFormatting>
  <conditionalFormatting sqref="L28">
    <cfRule type="cellIs" dxfId="6633" priority="143123" stopIfTrue="1" operator="greaterThanOrEqual">
      <formula>0.5</formula>
    </cfRule>
  </conditionalFormatting>
  <conditionalFormatting sqref="L29">
    <cfRule type="cellIs" dxfId="6632" priority="143124" stopIfTrue="1" operator="equal">
      <formula>-1</formula>
    </cfRule>
  </conditionalFormatting>
  <conditionalFormatting sqref="L29">
    <cfRule type="cellIs" dxfId="6631" priority="143125" stopIfTrue="1" operator="lessThan">
      <formula>0.5</formula>
    </cfRule>
  </conditionalFormatting>
  <conditionalFormatting sqref="L29">
    <cfRule type="cellIs" dxfId="6630" priority="143126" stopIfTrue="1" operator="greaterThanOrEqual">
      <formula>0.5</formula>
    </cfRule>
  </conditionalFormatting>
  <conditionalFormatting sqref="L30">
    <cfRule type="cellIs" dxfId="6629" priority="143127" stopIfTrue="1" operator="equal">
      <formula>-1</formula>
    </cfRule>
  </conditionalFormatting>
  <conditionalFormatting sqref="L30">
    <cfRule type="cellIs" dxfId="6628" priority="143128" stopIfTrue="1" operator="lessThan">
      <formula>0.5</formula>
    </cfRule>
  </conditionalFormatting>
  <conditionalFormatting sqref="L30">
    <cfRule type="cellIs" dxfId="6627" priority="143129" stopIfTrue="1" operator="greaterThanOrEqual">
      <formula>0.5</formula>
    </cfRule>
  </conditionalFormatting>
  <conditionalFormatting sqref="L31">
    <cfRule type="cellIs" dxfId="6626" priority="143130" stopIfTrue="1" operator="equal">
      <formula>-1</formula>
    </cfRule>
  </conditionalFormatting>
  <conditionalFormatting sqref="L31">
    <cfRule type="cellIs" dxfId="6625" priority="143131" stopIfTrue="1" operator="lessThan">
      <formula>0.5</formula>
    </cfRule>
  </conditionalFormatting>
  <conditionalFormatting sqref="L31">
    <cfRule type="cellIs" dxfId="6624" priority="143132" stopIfTrue="1" operator="greaterThanOrEqual">
      <formula>0.5</formula>
    </cfRule>
  </conditionalFormatting>
  <conditionalFormatting sqref="L32">
    <cfRule type="cellIs" dxfId="6623" priority="143133" stopIfTrue="1" operator="equal">
      <formula>-1</formula>
    </cfRule>
  </conditionalFormatting>
  <conditionalFormatting sqref="L32">
    <cfRule type="cellIs" dxfId="6622" priority="143134" stopIfTrue="1" operator="lessThan">
      <formula>0.5</formula>
    </cfRule>
  </conditionalFormatting>
  <conditionalFormatting sqref="L32">
    <cfRule type="cellIs" dxfId="6621" priority="143135" stopIfTrue="1" operator="greaterThanOrEqual">
      <formula>0.5</formula>
    </cfRule>
  </conditionalFormatting>
  <conditionalFormatting sqref="L33">
    <cfRule type="cellIs" dxfId="6620" priority="143136" stopIfTrue="1" operator="equal">
      <formula>-1</formula>
    </cfRule>
  </conditionalFormatting>
  <conditionalFormatting sqref="L33">
    <cfRule type="cellIs" dxfId="6619" priority="143137" stopIfTrue="1" operator="lessThan">
      <formula>0.5</formula>
    </cfRule>
  </conditionalFormatting>
  <conditionalFormatting sqref="L33">
    <cfRule type="cellIs" dxfId="6618" priority="143138" stopIfTrue="1" operator="greaterThanOrEqual">
      <formula>0.5</formula>
    </cfRule>
  </conditionalFormatting>
  <conditionalFormatting sqref="L34">
    <cfRule type="cellIs" dxfId="6617" priority="143139" stopIfTrue="1" operator="equal">
      <formula>-1</formula>
    </cfRule>
  </conditionalFormatting>
  <conditionalFormatting sqref="L34">
    <cfRule type="cellIs" dxfId="6616" priority="143140" stopIfTrue="1" operator="lessThan">
      <formula>0.5</formula>
    </cfRule>
  </conditionalFormatting>
  <conditionalFormatting sqref="L34">
    <cfRule type="cellIs" dxfId="6615" priority="143141" stopIfTrue="1" operator="greaterThanOrEqual">
      <formula>0.5</formula>
    </cfRule>
  </conditionalFormatting>
  <conditionalFormatting sqref="L35">
    <cfRule type="cellIs" dxfId="6614" priority="143142" stopIfTrue="1" operator="equal">
      <formula>-1</formula>
    </cfRule>
  </conditionalFormatting>
  <conditionalFormatting sqref="L35">
    <cfRule type="cellIs" dxfId="6613" priority="143143" stopIfTrue="1" operator="lessThan">
      <formula>0.5</formula>
    </cfRule>
  </conditionalFormatting>
  <conditionalFormatting sqref="L35">
    <cfRule type="cellIs" dxfId="6612" priority="143144" stopIfTrue="1" operator="greaterThanOrEqual">
      <formula>0.5</formula>
    </cfRule>
  </conditionalFormatting>
  <conditionalFormatting sqref="L36">
    <cfRule type="cellIs" dxfId="6611" priority="143145" stopIfTrue="1" operator="equal">
      <formula>-1</formula>
    </cfRule>
  </conditionalFormatting>
  <conditionalFormatting sqref="L36">
    <cfRule type="cellIs" dxfId="6610" priority="143146" stopIfTrue="1" operator="lessThan">
      <formula>0.5</formula>
    </cfRule>
  </conditionalFormatting>
  <conditionalFormatting sqref="L36">
    <cfRule type="cellIs" dxfId="6609" priority="143147" stopIfTrue="1" operator="greaterThanOrEqual">
      <formula>0.5</formula>
    </cfRule>
  </conditionalFormatting>
  <conditionalFormatting sqref="L37">
    <cfRule type="cellIs" dxfId="6608" priority="143148" stopIfTrue="1" operator="equal">
      <formula>-1</formula>
    </cfRule>
  </conditionalFormatting>
  <conditionalFormatting sqref="L37">
    <cfRule type="cellIs" dxfId="6607" priority="143149" stopIfTrue="1" operator="lessThan">
      <formula>0.5</formula>
    </cfRule>
  </conditionalFormatting>
  <conditionalFormatting sqref="L37">
    <cfRule type="cellIs" dxfId="6606" priority="143150" stopIfTrue="1" operator="greaterThanOrEqual">
      <formula>0.5</formula>
    </cfRule>
  </conditionalFormatting>
  <conditionalFormatting sqref="N17">
    <cfRule type="cellIs" dxfId="6605" priority="143151" stopIfTrue="1" operator="equal">
      <formula>-1</formula>
    </cfRule>
  </conditionalFormatting>
  <conditionalFormatting sqref="N17">
    <cfRule type="cellIs" dxfId="6604" priority="143152" stopIfTrue="1" operator="lessThan">
      <formula>0.5</formula>
    </cfRule>
  </conditionalFormatting>
  <conditionalFormatting sqref="N17">
    <cfRule type="cellIs" dxfId="6603" priority="143153" stopIfTrue="1" operator="greaterThanOrEqual">
      <formula>0.5</formula>
    </cfRule>
  </conditionalFormatting>
  <conditionalFormatting sqref="N18">
    <cfRule type="cellIs" dxfId="6602" priority="143154" stopIfTrue="1" operator="equal">
      <formula>-1</formula>
    </cfRule>
  </conditionalFormatting>
  <conditionalFormatting sqref="N18">
    <cfRule type="cellIs" dxfId="6601" priority="143155" stopIfTrue="1" operator="lessThan">
      <formula>0.5</formula>
    </cfRule>
  </conditionalFormatting>
  <conditionalFormatting sqref="N18">
    <cfRule type="cellIs" dxfId="6600" priority="143156" stopIfTrue="1" operator="greaterThanOrEqual">
      <formula>0.5</formula>
    </cfRule>
  </conditionalFormatting>
  <conditionalFormatting sqref="N19">
    <cfRule type="cellIs" dxfId="6599" priority="143157" stopIfTrue="1" operator="equal">
      <formula>-1</formula>
    </cfRule>
  </conditionalFormatting>
  <conditionalFormatting sqref="N19">
    <cfRule type="cellIs" dxfId="6598" priority="143158" stopIfTrue="1" operator="lessThan">
      <formula>0.5</formula>
    </cfRule>
  </conditionalFormatting>
  <conditionalFormatting sqref="N19">
    <cfRule type="cellIs" dxfId="6597" priority="143159" stopIfTrue="1" operator="greaterThanOrEqual">
      <formula>0.5</formula>
    </cfRule>
  </conditionalFormatting>
  <conditionalFormatting sqref="N20">
    <cfRule type="cellIs" dxfId="6596" priority="143160" stopIfTrue="1" operator="equal">
      <formula>-1</formula>
    </cfRule>
  </conditionalFormatting>
  <conditionalFormatting sqref="N20">
    <cfRule type="cellIs" dxfId="6595" priority="143161" stopIfTrue="1" operator="lessThan">
      <formula>0.5</formula>
    </cfRule>
  </conditionalFormatting>
  <conditionalFormatting sqref="N20">
    <cfRule type="cellIs" dxfId="6594" priority="143162" stopIfTrue="1" operator="greaterThanOrEqual">
      <formula>0.5</formula>
    </cfRule>
  </conditionalFormatting>
  <conditionalFormatting sqref="N21">
    <cfRule type="cellIs" dxfId="6593" priority="143163" stopIfTrue="1" operator="equal">
      <formula>-1</formula>
    </cfRule>
  </conditionalFormatting>
  <conditionalFormatting sqref="N21">
    <cfRule type="cellIs" dxfId="6592" priority="143164" stopIfTrue="1" operator="lessThan">
      <formula>0.5</formula>
    </cfRule>
  </conditionalFormatting>
  <conditionalFormatting sqref="N21">
    <cfRule type="cellIs" dxfId="6591" priority="143165" stopIfTrue="1" operator="greaterThanOrEqual">
      <formula>0.5</formula>
    </cfRule>
  </conditionalFormatting>
  <conditionalFormatting sqref="N22">
    <cfRule type="cellIs" dxfId="6590" priority="143166" stopIfTrue="1" operator="equal">
      <formula>-1</formula>
    </cfRule>
  </conditionalFormatting>
  <conditionalFormatting sqref="N22">
    <cfRule type="cellIs" dxfId="6589" priority="143167" stopIfTrue="1" operator="lessThan">
      <formula>0.5</formula>
    </cfRule>
  </conditionalFormatting>
  <conditionalFormatting sqref="N22">
    <cfRule type="cellIs" dxfId="6588" priority="143168" stopIfTrue="1" operator="greaterThanOrEqual">
      <formula>0.5</formula>
    </cfRule>
  </conditionalFormatting>
  <conditionalFormatting sqref="N23">
    <cfRule type="cellIs" dxfId="6587" priority="143169" stopIfTrue="1" operator="equal">
      <formula>-1</formula>
    </cfRule>
  </conditionalFormatting>
  <conditionalFormatting sqref="N23">
    <cfRule type="cellIs" dxfId="6586" priority="143170" stopIfTrue="1" operator="lessThan">
      <formula>0.5</formula>
    </cfRule>
  </conditionalFormatting>
  <conditionalFormatting sqref="N23">
    <cfRule type="cellIs" dxfId="6585" priority="143171" stopIfTrue="1" operator="greaterThanOrEqual">
      <formula>0.5</formula>
    </cfRule>
  </conditionalFormatting>
  <conditionalFormatting sqref="N24">
    <cfRule type="cellIs" dxfId="6584" priority="143172" stopIfTrue="1" operator="equal">
      <formula>-1</formula>
    </cfRule>
  </conditionalFormatting>
  <conditionalFormatting sqref="N24">
    <cfRule type="cellIs" dxfId="6583" priority="143173" stopIfTrue="1" operator="lessThan">
      <formula>0.5</formula>
    </cfRule>
  </conditionalFormatting>
  <conditionalFormatting sqref="N24">
    <cfRule type="cellIs" dxfId="6582" priority="143174" stopIfTrue="1" operator="greaterThanOrEqual">
      <formula>0.5</formula>
    </cfRule>
  </conditionalFormatting>
  <conditionalFormatting sqref="N25">
    <cfRule type="cellIs" dxfId="6581" priority="143175" stopIfTrue="1" operator="equal">
      <formula>-1</formula>
    </cfRule>
  </conditionalFormatting>
  <conditionalFormatting sqref="N25">
    <cfRule type="cellIs" dxfId="6580" priority="143176" stopIfTrue="1" operator="lessThan">
      <formula>0.5</formula>
    </cfRule>
  </conditionalFormatting>
  <conditionalFormatting sqref="N25">
    <cfRule type="cellIs" dxfId="6579" priority="143177" stopIfTrue="1" operator="greaterThanOrEqual">
      <formula>0.5</formula>
    </cfRule>
  </conditionalFormatting>
  <conditionalFormatting sqref="N26">
    <cfRule type="cellIs" dxfId="6578" priority="143178" stopIfTrue="1" operator="equal">
      <formula>-1</formula>
    </cfRule>
  </conditionalFormatting>
  <conditionalFormatting sqref="N26">
    <cfRule type="cellIs" dxfId="6577" priority="143179" stopIfTrue="1" operator="lessThan">
      <formula>0.5</formula>
    </cfRule>
  </conditionalFormatting>
  <conditionalFormatting sqref="N26">
    <cfRule type="cellIs" dxfId="6576" priority="143180" stopIfTrue="1" operator="greaterThanOrEqual">
      <formula>0.5</formula>
    </cfRule>
  </conditionalFormatting>
  <conditionalFormatting sqref="N27">
    <cfRule type="cellIs" dxfId="6575" priority="143181" stopIfTrue="1" operator="equal">
      <formula>-1</formula>
    </cfRule>
  </conditionalFormatting>
  <conditionalFormatting sqref="N27">
    <cfRule type="cellIs" dxfId="6574" priority="143182" stopIfTrue="1" operator="lessThan">
      <formula>0.5</formula>
    </cfRule>
  </conditionalFormatting>
  <conditionalFormatting sqref="N27">
    <cfRule type="cellIs" dxfId="6573" priority="143183" stopIfTrue="1" operator="greaterThanOrEqual">
      <formula>0.5</formula>
    </cfRule>
  </conditionalFormatting>
  <conditionalFormatting sqref="N28">
    <cfRule type="cellIs" dxfId="6572" priority="143184" stopIfTrue="1" operator="equal">
      <formula>-1</formula>
    </cfRule>
  </conditionalFormatting>
  <conditionalFormatting sqref="N28">
    <cfRule type="cellIs" dxfId="6571" priority="143185" stopIfTrue="1" operator="lessThan">
      <formula>0.5</formula>
    </cfRule>
  </conditionalFormatting>
  <conditionalFormatting sqref="N28">
    <cfRule type="cellIs" dxfId="6570" priority="143186" stopIfTrue="1" operator="greaterThanOrEqual">
      <formula>0.5</formula>
    </cfRule>
  </conditionalFormatting>
  <conditionalFormatting sqref="N29">
    <cfRule type="cellIs" dxfId="6569" priority="143187" stopIfTrue="1" operator="equal">
      <formula>-1</formula>
    </cfRule>
  </conditionalFormatting>
  <conditionalFormatting sqref="N29">
    <cfRule type="cellIs" dxfId="6568" priority="143188" stopIfTrue="1" operator="lessThan">
      <formula>0.5</formula>
    </cfRule>
  </conditionalFormatting>
  <conditionalFormatting sqref="N29">
    <cfRule type="cellIs" dxfId="6567" priority="143189" stopIfTrue="1" operator="greaterThanOrEqual">
      <formula>0.5</formula>
    </cfRule>
  </conditionalFormatting>
  <conditionalFormatting sqref="N30">
    <cfRule type="cellIs" dxfId="6566" priority="143190" stopIfTrue="1" operator="equal">
      <formula>-1</formula>
    </cfRule>
  </conditionalFormatting>
  <conditionalFormatting sqref="N30">
    <cfRule type="cellIs" dxfId="6565" priority="143191" stopIfTrue="1" operator="lessThan">
      <formula>0.5</formula>
    </cfRule>
  </conditionalFormatting>
  <conditionalFormatting sqref="N30">
    <cfRule type="cellIs" dxfId="6564" priority="143192" stopIfTrue="1" operator="greaterThanOrEqual">
      <formula>0.5</formula>
    </cfRule>
  </conditionalFormatting>
  <conditionalFormatting sqref="N31">
    <cfRule type="cellIs" dxfId="6563" priority="143193" stopIfTrue="1" operator="equal">
      <formula>-1</formula>
    </cfRule>
  </conditionalFormatting>
  <conditionalFormatting sqref="N31">
    <cfRule type="cellIs" dxfId="6562" priority="143194" stopIfTrue="1" operator="lessThan">
      <formula>0.5</formula>
    </cfRule>
  </conditionalFormatting>
  <conditionalFormatting sqref="N31">
    <cfRule type="cellIs" dxfId="6561" priority="143195" stopIfTrue="1" operator="greaterThanOrEqual">
      <formula>0.5</formula>
    </cfRule>
  </conditionalFormatting>
  <conditionalFormatting sqref="N32">
    <cfRule type="cellIs" dxfId="6560" priority="143196" stopIfTrue="1" operator="equal">
      <formula>-1</formula>
    </cfRule>
  </conditionalFormatting>
  <conditionalFormatting sqref="N32">
    <cfRule type="cellIs" dxfId="6559" priority="143197" stopIfTrue="1" operator="lessThan">
      <formula>0.5</formula>
    </cfRule>
  </conditionalFormatting>
  <conditionalFormatting sqref="N32">
    <cfRule type="cellIs" dxfId="6558" priority="143198" stopIfTrue="1" operator="greaterThanOrEqual">
      <formula>0.5</formula>
    </cfRule>
  </conditionalFormatting>
  <conditionalFormatting sqref="N33">
    <cfRule type="cellIs" dxfId="6557" priority="143199" stopIfTrue="1" operator="equal">
      <formula>-1</formula>
    </cfRule>
  </conditionalFormatting>
  <conditionalFormatting sqref="N33">
    <cfRule type="cellIs" dxfId="6556" priority="143200" stopIfTrue="1" operator="lessThan">
      <formula>0.5</formula>
    </cfRule>
  </conditionalFormatting>
  <conditionalFormatting sqref="N33">
    <cfRule type="cellIs" dxfId="6555" priority="143201" stopIfTrue="1" operator="greaterThanOrEqual">
      <formula>0.5</formula>
    </cfRule>
  </conditionalFormatting>
  <conditionalFormatting sqref="N34">
    <cfRule type="cellIs" dxfId="6554" priority="143202" stopIfTrue="1" operator="equal">
      <formula>-1</formula>
    </cfRule>
  </conditionalFormatting>
  <conditionalFormatting sqref="N34">
    <cfRule type="cellIs" dxfId="6553" priority="143203" stopIfTrue="1" operator="lessThan">
      <formula>0.5</formula>
    </cfRule>
  </conditionalFormatting>
  <conditionalFormatting sqref="N34">
    <cfRule type="cellIs" dxfId="6552" priority="143204" stopIfTrue="1" operator="greaterThanOrEqual">
      <formula>0.5</formula>
    </cfRule>
  </conditionalFormatting>
  <conditionalFormatting sqref="N35">
    <cfRule type="cellIs" dxfId="6551" priority="143205" stopIfTrue="1" operator="equal">
      <formula>-1</formula>
    </cfRule>
  </conditionalFormatting>
  <conditionalFormatting sqref="N35">
    <cfRule type="cellIs" dxfId="6550" priority="143206" stopIfTrue="1" operator="lessThan">
      <formula>0.5</formula>
    </cfRule>
  </conditionalFormatting>
  <conditionalFormatting sqref="N35">
    <cfRule type="cellIs" dxfId="6549" priority="143207" stopIfTrue="1" operator="greaterThanOrEqual">
      <formula>0.5</formula>
    </cfRule>
  </conditionalFormatting>
  <conditionalFormatting sqref="N36">
    <cfRule type="cellIs" dxfId="6548" priority="143208" stopIfTrue="1" operator="equal">
      <formula>-1</formula>
    </cfRule>
  </conditionalFormatting>
  <conditionalFormatting sqref="N36">
    <cfRule type="cellIs" dxfId="6547" priority="143209" stopIfTrue="1" operator="lessThan">
      <formula>0.5</formula>
    </cfRule>
  </conditionalFormatting>
  <conditionalFormatting sqref="N36">
    <cfRule type="cellIs" dxfId="6546" priority="143210" stopIfTrue="1" operator="greaterThanOrEqual">
      <formula>0.5</formula>
    </cfRule>
  </conditionalFormatting>
  <conditionalFormatting sqref="N37">
    <cfRule type="cellIs" dxfId="6545" priority="143211" stopIfTrue="1" operator="equal">
      <formula>-1</formula>
    </cfRule>
  </conditionalFormatting>
  <conditionalFormatting sqref="N37">
    <cfRule type="cellIs" dxfId="6544" priority="143212" stopIfTrue="1" operator="lessThan">
      <formula>0.5</formula>
    </cfRule>
  </conditionalFormatting>
  <conditionalFormatting sqref="N37">
    <cfRule type="cellIs" dxfId="6543" priority="143213" stopIfTrue="1" operator="greaterThanOrEqual">
      <formula>0.5</formula>
    </cfRule>
  </conditionalFormatting>
  <conditionalFormatting sqref="P17">
    <cfRule type="cellIs" dxfId="6542" priority="143214" stopIfTrue="1" operator="equal">
      <formula>-1</formula>
    </cfRule>
  </conditionalFormatting>
  <conditionalFormatting sqref="P17">
    <cfRule type="cellIs" dxfId="6541" priority="143215" stopIfTrue="1" operator="lessThan">
      <formula>0.5</formula>
    </cfRule>
  </conditionalFormatting>
  <conditionalFormatting sqref="P17">
    <cfRule type="cellIs" dxfId="6540" priority="143216" stopIfTrue="1" operator="greaterThanOrEqual">
      <formula>0.5</formula>
    </cfRule>
  </conditionalFormatting>
  <conditionalFormatting sqref="P18">
    <cfRule type="cellIs" dxfId="6539" priority="143217" stopIfTrue="1" operator="equal">
      <formula>-1</formula>
    </cfRule>
  </conditionalFormatting>
  <conditionalFormatting sqref="P18">
    <cfRule type="cellIs" dxfId="6538" priority="143218" stopIfTrue="1" operator="lessThan">
      <formula>0.5</formula>
    </cfRule>
  </conditionalFormatting>
  <conditionalFormatting sqref="P18">
    <cfRule type="cellIs" dxfId="6537" priority="143219" stopIfTrue="1" operator="greaterThanOrEqual">
      <formula>0.5</formula>
    </cfRule>
  </conditionalFormatting>
  <conditionalFormatting sqref="P19">
    <cfRule type="cellIs" dxfId="6536" priority="143220" stopIfTrue="1" operator="equal">
      <formula>-1</formula>
    </cfRule>
  </conditionalFormatting>
  <conditionalFormatting sqref="P19">
    <cfRule type="cellIs" dxfId="6535" priority="143221" stopIfTrue="1" operator="lessThan">
      <formula>0.5</formula>
    </cfRule>
  </conditionalFormatting>
  <conditionalFormatting sqref="P19">
    <cfRule type="cellIs" dxfId="6534" priority="143222" stopIfTrue="1" operator="greaterThanOrEqual">
      <formula>0.5</formula>
    </cfRule>
  </conditionalFormatting>
  <conditionalFormatting sqref="P20">
    <cfRule type="cellIs" dxfId="6533" priority="143223" stopIfTrue="1" operator="equal">
      <formula>-1</formula>
    </cfRule>
  </conditionalFormatting>
  <conditionalFormatting sqref="P20">
    <cfRule type="cellIs" dxfId="6532" priority="143224" stopIfTrue="1" operator="lessThan">
      <formula>0.5</formula>
    </cfRule>
  </conditionalFormatting>
  <conditionalFormatting sqref="P20">
    <cfRule type="cellIs" dxfId="6531" priority="143225" stopIfTrue="1" operator="greaterThanOrEqual">
      <formula>0.5</formula>
    </cfRule>
  </conditionalFormatting>
  <conditionalFormatting sqref="P21">
    <cfRule type="cellIs" dxfId="6530" priority="143226" stopIfTrue="1" operator="equal">
      <formula>-1</formula>
    </cfRule>
  </conditionalFormatting>
  <conditionalFormatting sqref="P21">
    <cfRule type="cellIs" dxfId="6529" priority="143227" stopIfTrue="1" operator="lessThan">
      <formula>0.5</formula>
    </cfRule>
  </conditionalFormatting>
  <conditionalFormatting sqref="P21">
    <cfRule type="cellIs" dxfId="6528" priority="143228" stopIfTrue="1" operator="greaterThanOrEqual">
      <formula>0.5</formula>
    </cfRule>
  </conditionalFormatting>
  <conditionalFormatting sqref="P22">
    <cfRule type="cellIs" dxfId="6527" priority="143229" stopIfTrue="1" operator="equal">
      <formula>-1</formula>
    </cfRule>
  </conditionalFormatting>
  <conditionalFormatting sqref="P22">
    <cfRule type="cellIs" dxfId="6526" priority="143230" stopIfTrue="1" operator="lessThan">
      <formula>0.5</formula>
    </cfRule>
  </conditionalFormatting>
  <conditionalFormatting sqref="P22">
    <cfRule type="cellIs" dxfId="6525" priority="143231" stopIfTrue="1" operator="greaterThanOrEqual">
      <formula>0.5</formula>
    </cfRule>
  </conditionalFormatting>
  <conditionalFormatting sqref="P23">
    <cfRule type="cellIs" dxfId="6524" priority="143232" stopIfTrue="1" operator="equal">
      <formula>-1</formula>
    </cfRule>
  </conditionalFormatting>
  <conditionalFormatting sqref="P23">
    <cfRule type="cellIs" dxfId="6523" priority="143233" stopIfTrue="1" operator="lessThan">
      <formula>0.5</formula>
    </cfRule>
  </conditionalFormatting>
  <conditionalFormatting sqref="P23">
    <cfRule type="cellIs" dxfId="6522" priority="143234" stopIfTrue="1" operator="greaterThanOrEqual">
      <formula>0.5</formula>
    </cfRule>
  </conditionalFormatting>
  <conditionalFormatting sqref="P24">
    <cfRule type="cellIs" dxfId="6521" priority="143235" stopIfTrue="1" operator="equal">
      <formula>-1</formula>
    </cfRule>
  </conditionalFormatting>
  <conditionalFormatting sqref="P24">
    <cfRule type="cellIs" dxfId="6520" priority="143236" stopIfTrue="1" operator="lessThan">
      <formula>0.5</formula>
    </cfRule>
  </conditionalFormatting>
  <conditionalFormatting sqref="P24">
    <cfRule type="cellIs" dxfId="6519" priority="143237" stopIfTrue="1" operator="greaterThanOrEqual">
      <formula>0.5</formula>
    </cfRule>
  </conditionalFormatting>
  <conditionalFormatting sqref="P25">
    <cfRule type="cellIs" dxfId="6518" priority="143238" stopIfTrue="1" operator="equal">
      <formula>-1</formula>
    </cfRule>
  </conditionalFormatting>
  <conditionalFormatting sqref="P25">
    <cfRule type="cellIs" dxfId="6517" priority="143239" stopIfTrue="1" operator="lessThan">
      <formula>0.5</formula>
    </cfRule>
  </conditionalFormatting>
  <conditionalFormatting sqref="P25">
    <cfRule type="cellIs" dxfId="6516" priority="143240" stopIfTrue="1" operator="greaterThanOrEqual">
      <formula>0.5</formula>
    </cfRule>
  </conditionalFormatting>
  <conditionalFormatting sqref="P26">
    <cfRule type="cellIs" dxfId="6515" priority="143241" stopIfTrue="1" operator="equal">
      <formula>-1</formula>
    </cfRule>
  </conditionalFormatting>
  <conditionalFormatting sqref="P26">
    <cfRule type="cellIs" dxfId="6514" priority="143242" stopIfTrue="1" operator="lessThan">
      <formula>0.5</formula>
    </cfRule>
  </conditionalFormatting>
  <conditionalFormatting sqref="P26">
    <cfRule type="cellIs" dxfId="6513" priority="143243" stopIfTrue="1" operator="greaterThanOrEqual">
      <formula>0.5</formula>
    </cfRule>
  </conditionalFormatting>
  <conditionalFormatting sqref="P27">
    <cfRule type="cellIs" dxfId="6512" priority="143244" stopIfTrue="1" operator="equal">
      <formula>-1</formula>
    </cfRule>
  </conditionalFormatting>
  <conditionalFormatting sqref="P27">
    <cfRule type="cellIs" dxfId="6511" priority="143245" stopIfTrue="1" operator="lessThan">
      <formula>0.5</formula>
    </cfRule>
  </conditionalFormatting>
  <conditionalFormatting sqref="P27">
    <cfRule type="cellIs" dxfId="6510" priority="143246" stopIfTrue="1" operator="greaterThanOrEqual">
      <formula>0.5</formula>
    </cfRule>
  </conditionalFormatting>
  <conditionalFormatting sqref="P28">
    <cfRule type="cellIs" dxfId="6509" priority="143247" stopIfTrue="1" operator="equal">
      <formula>-1</formula>
    </cfRule>
  </conditionalFormatting>
  <conditionalFormatting sqref="P28">
    <cfRule type="cellIs" dxfId="6508" priority="143248" stopIfTrue="1" operator="lessThan">
      <formula>0.5</formula>
    </cfRule>
  </conditionalFormatting>
  <conditionalFormatting sqref="P28">
    <cfRule type="cellIs" dxfId="6507" priority="143249" stopIfTrue="1" operator="greaterThanOrEqual">
      <formula>0.5</formula>
    </cfRule>
  </conditionalFormatting>
  <conditionalFormatting sqref="P29">
    <cfRule type="cellIs" dxfId="6506" priority="143250" stopIfTrue="1" operator="equal">
      <formula>-1</formula>
    </cfRule>
  </conditionalFormatting>
  <conditionalFormatting sqref="P29">
    <cfRule type="cellIs" dxfId="6505" priority="143251" stopIfTrue="1" operator="lessThan">
      <formula>0.5</formula>
    </cfRule>
  </conditionalFormatting>
  <conditionalFormatting sqref="P29">
    <cfRule type="cellIs" dxfId="6504" priority="143252" stopIfTrue="1" operator="greaterThanOrEqual">
      <formula>0.5</formula>
    </cfRule>
  </conditionalFormatting>
  <conditionalFormatting sqref="P30">
    <cfRule type="cellIs" dxfId="6503" priority="143253" stopIfTrue="1" operator="equal">
      <formula>-1</formula>
    </cfRule>
  </conditionalFormatting>
  <conditionalFormatting sqref="P30">
    <cfRule type="cellIs" dxfId="6502" priority="143254" stopIfTrue="1" operator="lessThan">
      <formula>0.5</formula>
    </cfRule>
  </conditionalFormatting>
  <conditionalFormatting sqref="P30">
    <cfRule type="cellIs" dxfId="6501" priority="143255" stopIfTrue="1" operator="greaterThanOrEqual">
      <formula>0.5</formula>
    </cfRule>
  </conditionalFormatting>
  <conditionalFormatting sqref="P31">
    <cfRule type="cellIs" dxfId="6500" priority="143256" stopIfTrue="1" operator="equal">
      <formula>-1</formula>
    </cfRule>
  </conditionalFormatting>
  <conditionalFormatting sqref="P31">
    <cfRule type="cellIs" dxfId="6499" priority="143257" stopIfTrue="1" operator="lessThan">
      <formula>0.5</formula>
    </cfRule>
  </conditionalFormatting>
  <conditionalFormatting sqref="P31">
    <cfRule type="cellIs" dxfId="6498" priority="143258" stopIfTrue="1" operator="greaterThanOrEqual">
      <formula>0.5</formula>
    </cfRule>
  </conditionalFormatting>
  <conditionalFormatting sqref="P32">
    <cfRule type="cellIs" dxfId="6497" priority="143259" stopIfTrue="1" operator="equal">
      <formula>-1</formula>
    </cfRule>
  </conditionalFormatting>
  <conditionalFormatting sqref="P32">
    <cfRule type="cellIs" dxfId="6496" priority="143260" stopIfTrue="1" operator="lessThan">
      <formula>0.5</formula>
    </cfRule>
  </conditionalFormatting>
  <conditionalFormatting sqref="P32">
    <cfRule type="cellIs" dxfId="6495" priority="143261" stopIfTrue="1" operator="greaterThanOrEqual">
      <formula>0.5</formula>
    </cfRule>
  </conditionalFormatting>
  <conditionalFormatting sqref="P33">
    <cfRule type="cellIs" dxfId="6494" priority="143262" stopIfTrue="1" operator="equal">
      <formula>-1</formula>
    </cfRule>
  </conditionalFormatting>
  <conditionalFormatting sqref="P33">
    <cfRule type="cellIs" dxfId="6493" priority="143263" stopIfTrue="1" operator="lessThan">
      <formula>0.5</formula>
    </cfRule>
  </conditionalFormatting>
  <conditionalFormatting sqref="P33">
    <cfRule type="cellIs" dxfId="6492" priority="143264" stopIfTrue="1" operator="greaterThanOrEqual">
      <formula>0.5</formula>
    </cfRule>
  </conditionalFormatting>
  <conditionalFormatting sqref="P34">
    <cfRule type="cellIs" dxfId="6491" priority="143265" stopIfTrue="1" operator="equal">
      <formula>-1</formula>
    </cfRule>
  </conditionalFormatting>
  <conditionalFormatting sqref="P34">
    <cfRule type="cellIs" dxfId="6490" priority="143266" stopIfTrue="1" operator="lessThan">
      <formula>0.5</formula>
    </cfRule>
  </conditionalFormatting>
  <conditionalFormatting sqref="P34">
    <cfRule type="cellIs" dxfId="6489" priority="143267" stopIfTrue="1" operator="greaterThanOrEqual">
      <formula>0.5</formula>
    </cfRule>
  </conditionalFormatting>
  <conditionalFormatting sqref="P35">
    <cfRule type="cellIs" dxfId="6488" priority="143268" stopIfTrue="1" operator="equal">
      <formula>-1</formula>
    </cfRule>
  </conditionalFormatting>
  <conditionalFormatting sqref="P35">
    <cfRule type="cellIs" dxfId="6487" priority="143269" stopIfTrue="1" operator="lessThan">
      <formula>0.5</formula>
    </cfRule>
  </conditionalFormatting>
  <conditionalFormatting sqref="P35">
    <cfRule type="cellIs" dxfId="6486" priority="143270" stopIfTrue="1" operator="greaterThanOrEqual">
      <formula>0.5</formula>
    </cfRule>
  </conditionalFormatting>
  <conditionalFormatting sqref="P36">
    <cfRule type="cellIs" dxfId="6485" priority="143271" stopIfTrue="1" operator="equal">
      <formula>-1</formula>
    </cfRule>
  </conditionalFormatting>
  <conditionalFormatting sqref="P36">
    <cfRule type="cellIs" dxfId="6484" priority="143272" stopIfTrue="1" operator="lessThan">
      <formula>0.5</formula>
    </cfRule>
  </conditionalFormatting>
  <conditionalFormatting sqref="P36">
    <cfRule type="cellIs" dxfId="6483" priority="143273" stopIfTrue="1" operator="greaterThanOrEqual">
      <formula>0.5</formula>
    </cfRule>
  </conditionalFormatting>
  <conditionalFormatting sqref="P37">
    <cfRule type="cellIs" dxfId="6482" priority="143274" stopIfTrue="1" operator="equal">
      <formula>-1</formula>
    </cfRule>
  </conditionalFormatting>
  <conditionalFormatting sqref="P37">
    <cfRule type="cellIs" dxfId="6481" priority="143275" stopIfTrue="1" operator="lessThan">
      <formula>0.5</formula>
    </cfRule>
  </conditionalFormatting>
  <conditionalFormatting sqref="P37">
    <cfRule type="cellIs" dxfId="6480" priority="143276" stopIfTrue="1" operator="greaterThanOrEqual">
      <formula>0.5</formula>
    </cfRule>
  </conditionalFormatting>
  <conditionalFormatting sqref="R17">
    <cfRule type="cellIs" dxfId="6479" priority="143277" stopIfTrue="1" operator="equal">
      <formula>-1</formula>
    </cfRule>
  </conditionalFormatting>
  <conditionalFormatting sqref="R17">
    <cfRule type="cellIs" dxfId="6478" priority="143278" stopIfTrue="1" operator="lessThan">
      <formula>0.5</formula>
    </cfRule>
  </conditionalFormatting>
  <conditionalFormatting sqref="R17">
    <cfRule type="cellIs" dxfId="6477" priority="143279" stopIfTrue="1" operator="greaterThanOrEqual">
      <formula>0.5</formula>
    </cfRule>
  </conditionalFormatting>
  <conditionalFormatting sqref="R18">
    <cfRule type="cellIs" dxfId="6476" priority="143280" stopIfTrue="1" operator="equal">
      <formula>-1</formula>
    </cfRule>
  </conditionalFormatting>
  <conditionalFormatting sqref="R18">
    <cfRule type="cellIs" dxfId="6475" priority="143281" stopIfTrue="1" operator="lessThan">
      <formula>0.5</formula>
    </cfRule>
  </conditionalFormatting>
  <conditionalFormatting sqref="R18">
    <cfRule type="cellIs" dxfId="6474" priority="143282" stopIfTrue="1" operator="greaterThanOrEqual">
      <formula>0.5</formula>
    </cfRule>
  </conditionalFormatting>
  <conditionalFormatting sqref="R19">
    <cfRule type="cellIs" dxfId="6473" priority="143283" stopIfTrue="1" operator="equal">
      <formula>-1</formula>
    </cfRule>
  </conditionalFormatting>
  <conditionalFormatting sqref="R19">
    <cfRule type="cellIs" dxfId="6472" priority="143284" stopIfTrue="1" operator="lessThan">
      <formula>0.5</formula>
    </cfRule>
  </conditionalFormatting>
  <conditionalFormatting sqref="R19">
    <cfRule type="cellIs" dxfId="6471" priority="143285" stopIfTrue="1" operator="greaterThanOrEqual">
      <formula>0.5</formula>
    </cfRule>
  </conditionalFormatting>
  <conditionalFormatting sqref="R20">
    <cfRule type="cellIs" dxfId="6470" priority="143286" stopIfTrue="1" operator="equal">
      <formula>-1</formula>
    </cfRule>
  </conditionalFormatting>
  <conditionalFormatting sqref="R20">
    <cfRule type="cellIs" dxfId="6469" priority="143287" stopIfTrue="1" operator="lessThan">
      <formula>0.5</formula>
    </cfRule>
  </conditionalFormatting>
  <conditionalFormatting sqref="R20">
    <cfRule type="cellIs" dxfId="6468" priority="143288" stopIfTrue="1" operator="greaterThanOrEqual">
      <formula>0.5</formula>
    </cfRule>
  </conditionalFormatting>
  <conditionalFormatting sqref="R21">
    <cfRule type="cellIs" dxfId="6467" priority="143289" stopIfTrue="1" operator="equal">
      <formula>-1</formula>
    </cfRule>
  </conditionalFormatting>
  <conditionalFormatting sqref="R21">
    <cfRule type="cellIs" dxfId="6466" priority="143290" stopIfTrue="1" operator="lessThan">
      <formula>0.5</formula>
    </cfRule>
  </conditionalFormatting>
  <conditionalFormatting sqref="R21">
    <cfRule type="cellIs" dxfId="6465" priority="143291" stopIfTrue="1" operator="greaterThanOrEqual">
      <formula>0.5</formula>
    </cfRule>
  </conditionalFormatting>
  <conditionalFormatting sqref="R22">
    <cfRule type="cellIs" dxfId="6464" priority="143292" stopIfTrue="1" operator="equal">
      <formula>-1</formula>
    </cfRule>
  </conditionalFormatting>
  <conditionalFormatting sqref="R22">
    <cfRule type="cellIs" dxfId="6463" priority="143293" stopIfTrue="1" operator="lessThan">
      <formula>0.5</formula>
    </cfRule>
  </conditionalFormatting>
  <conditionalFormatting sqref="R22">
    <cfRule type="cellIs" dxfId="6462" priority="143294" stopIfTrue="1" operator="greaterThanOrEqual">
      <formula>0.5</formula>
    </cfRule>
  </conditionalFormatting>
  <conditionalFormatting sqref="R23">
    <cfRule type="cellIs" dxfId="6461" priority="143295" stopIfTrue="1" operator="equal">
      <formula>-1</formula>
    </cfRule>
  </conditionalFormatting>
  <conditionalFormatting sqref="R23">
    <cfRule type="cellIs" dxfId="6460" priority="143296" stopIfTrue="1" operator="lessThan">
      <formula>0.5</formula>
    </cfRule>
  </conditionalFormatting>
  <conditionalFormatting sqref="R23">
    <cfRule type="cellIs" dxfId="6459" priority="143297" stopIfTrue="1" operator="greaterThanOrEqual">
      <formula>0.5</formula>
    </cfRule>
  </conditionalFormatting>
  <conditionalFormatting sqref="R24">
    <cfRule type="cellIs" dxfId="6458" priority="143298" stopIfTrue="1" operator="equal">
      <formula>-1</formula>
    </cfRule>
  </conditionalFormatting>
  <conditionalFormatting sqref="R24">
    <cfRule type="cellIs" dxfId="6457" priority="143299" stopIfTrue="1" operator="lessThan">
      <formula>0.5</formula>
    </cfRule>
  </conditionalFormatting>
  <conditionalFormatting sqref="R24">
    <cfRule type="cellIs" dxfId="6456" priority="143300" stopIfTrue="1" operator="greaterThanOrEqual">
      <formula>0.5</formula>
    </cfRule>
  </conditionalFormatting>
  <conditionalFormatting sqref="R25">
    <cfRule type="cellIs" dxfId="6455" priority="143301" stopIfTrue="1" operator="equal">
      <formula>-1</formula>
    </cfRule>
  </conditionalFormatting>
  <conditionalFormatting sqref="R25">
    <cfRule type="cellIs" dxfId="6454" priority="143302" stopIfTrue="1" operator="lessThan">
      <formula>0.5</formula>
    </cfRule>
  </conditionalFormatting>
  <conditionalFormatting sqref="R25">
    <cfRule type="cellIs" dxfId="6453" priority="143303" stopIfTrue="1" operator="greaterThanOrEqual">
      <formula>0.5</formula>
    </cfRule>
  </conditionalFormatting>
  <conditionalFormatting sqref="R26">
    <cfRule type="cellIs" dxfId="6452" priority="143304" stopIfTrue="1" operator="equal">
      <formula>-1</formula>
    </cfRule>
  </conditionalFormatting>
  <conditionalFormatting sqref="R26">
    <cfRule type="cellIs" dxfId="6451" priority="143305" stopIfTrue="1" operator="lessThan">
      <formula>0.5</formula>
    </cfRule>
  </conditionalFormatting>
  <conditionalFormatting sqref="R26">
    <cfRule type="cellIs" dxfId="6450" priority="143306" stopIfTrue="1" operator="greaterThanOrEqual">
      <formula>0.5</formula>
    </cfRule>
  </conditionalFormatting>
  <conditionalFormatting sqref="R27">
    <cfRule type="cellIs" dxfId="6449" priority="143307" stopIfTrue="1" operator="equal">
      <formula>-1</formula>
    </cfRule>
  </conditionalFormatting>
  <conditionalFormatting sqref="R27">
    <cfRule type="cellIs" dxfId="6448" priority="143308" stopIfTrue="1" operator="lessThan">
      <formula>0.5</formula>
    </cfRule>
  </conditionalFormatting>
  <conditionalFormatting sqref="R27">
    <cfRule type="cellIs" dxfId="6447" priority="143309" stopIfTrue="1" operator="greaterThanOrEqual">
      <formula>0.5</formula>
    </cfRule>
  </conditionalFormatting>
  <conditionalFormatting sqref="R28">
    <cfRule type="cellIs" dxfId="6446" priority="143310" stopIfTrue="1" operator="equal">
      <formula>-1</formula>
    </cfRule>
  </conditionalFormatting>
  <conditionalFormatting sqref="R28">
    <cfRule type="cellIs" dxfId="6445" priority="143311" stopIfTrue="1" operator="lessThan">
      <formula>0.5</formula>
    </cfRule>
  </conditionalFormatting>
  <conditionalFormatting sqref="R28">
    <cfRule type="cellIs" dxfId="6444" priority="143312" stopIfTrue="1" operator="greaterThanOrEqual">
      <formula>0.5</formula>
    </cfRule>
  </conditionalFormatting>
  <conditionalFormatting sqref="R29">
    <cfRule type="cellIs" dxfId="6443" priority="143313" stopIfTrue="1" operator="equal">
      <formula>-1</formula>
    </cfRule>
  </conditionalFormatting>
  <conditionalFormatting sqref="R29">
    <cfRule type="cellIs" dxfId="6442" priority="143314" stopIfTrue="1" operator="lessThan">
      <formula>0.5</formula>
    </cfRule>
  </conditionalFormatting>
  <conditionalFormatting sqref="R29">
    <cfRule type="cellIs" dxfId="6441" priority="143315" stopIfTrue="1" operator="greaterThanOrEqual">
      <formula>0.5</formula>
    </cfRule>
  </conditionalFormatting>
  <conditionalFormatting sqref="R30">
    <cfRule type="cellIs" dxfId="6440" priority="143316" stopIfTrue="1" operator="equal">
      <formula>-1</formula>
    </cfRule>
  </conditionalFormatting>
  <conditionalFormatting sqref="R30">
    <cfRule type="cellIs" dxfId="6439" priority="143317" stopIfTrue="1" operator="lessThan">
      <formula>0.5</formula>
    </cfRule>
  </conditionalFormatting>
  <conditionalFormatting sqref="R30">
    <cfRule type="cellIs" dxfId="6438" priority="143318" stopIfTrue="1" operator="greaterThanOrEqual">
      <formula>0.5</formula>
    </cfRule>
  </conditionalFormatting>
  <conditionalFormatting sqref="R31">
    <cfRule type="cellIs" dxfId="6437" priority="143319" stopIfTrue="1" operator="equal">
      <formula>-1</formula>
    </cfRule>
  </conditionalFormatting>
  <conditionalFormatting sqref="R31">
    <cfRule type="cellIs" dxfId="6436" priority="143320" stopIfTrue="1" operator="lessThan">
      <formula>0.5</formula>
    </cfRule>
  </conditionalFormatting>
  <conditionalFormatting sqref="R31">
    <cfRule type="cellIs" dxfId="6435" priority="143321" stopIfTrue="1" operator="greaterThanOrEqual">
      <formula>0.5</formula>
    </cfRule>
  </conditionalFormatting>
  <conditionalFormatting sqref="R32">
    <cfRule type="cellIs" dxfId="6434" priority="143322" stopIfTrue="1" operator="equal">
      <formula>-1</formula>
    </cfRule>
  </conditionalFormatting>
  <conditionalFormatting sqref="R32">
    <cfRule type="cellIs" dxfId="6433" priority="143323" stopIfTrue="1" operator="lessThan">
      <formula>0.5</formula>
    </cfRule>
  </conditionalFormatting>
  <conditionalFormatting sqref="R32">
    <cfRule type="cellIs" dxfId="6432" priority="143324" stopIfTrue="1" operator="greaterThanOrEqual">
      <formula>0.5</formula>
    </cfRule>
  </conditionalFormatting>
  <conditionalFormatting sqref="R33">
    <cfRule type="cellIs" dxfId="6431" priority="143325" stopIfTrue="1" operator="equal">
      <formula>-1</formula>
    </cfRule>
  </conditionalFormatting>
  <conditionalFormatting sqref="R33">
    <cfRule type="cellIs" dxfId="6430" priority="143326" stopIfTrue="1" operator="lessThan">
      <formula>0.5</formula>
    </cfRule>
  </conditionalFormatting>
  <conditionalFormatting sqref="R33">
    <cfRule type="cellIs" dxfId="6429" priority="143327" stopIfTrue="1" operator="greaterThanOrEqual">
      <formula>0.5</formula>
    </cfRule>
  </conditionalFormatting>
  <conditionalFormatting sqref="R34">
    <cfRule type="cellIs" dxfId="6428" priority="143328" stopIfTrue="1" operator="equal">
      <formula>-1</formula>
    </cfRule>
  </conditionalFormatting>
  <conditionalFormatting sqref="R34">
    <cfRule type="cellIs" dxfId="6427" priority="143329" stopIfTrue="1" operator="lessThan">
      <formula>0.5</formula>
    </cfRule>
  </conditionalFormatting>
  <conditionalFormatting sqref="R34">
    <cfRule type="cellIs" dxfId="6426" priority="143330" stopIfTrue="1" operator="greaterThanOrEqual">
      <formula>0.5</formula>
    </cfRule>
  </conditionalFormatting>
  <conditionalFormatting sqref="R35">
    <cfRule type="cellIs" dxfId="6425" priority="143331" stopIfTrue="1" operator="equal">
      <formula>-1</formula>
    </cfRule>
  </conditionalFormatting>
  <conditionalFormatting sqref="R35">
    <cfRule type="cellIs" dxfId="6424" priority="143332" stopIfTrue="1" operator="lessThan">
      <formula>0.5</formula>
    </cfRule>
  </conditionalFormatting>
  <conditionalFormatting sqref="R35">
    <cfRule type="cellIs" dxfId="6423" priority="143333" stopIfTrue="1" operator="greaterThanOrEqual">
      <formula>0.5</formula>
    </cfRule>
  </conditionalFormatting>
  <conditionalFormatting sqref="R36">
    <cfRule type="cellIs" dxfId="6422" priority="143334" stopIfTrue="1" operator="equal">
      <formula>-1</formula>
    </cfRule>
  </conditionalFormatting>
  <conditionalFormatting sqref="R36">
    <cfRule type="cellIs" dxfId="6421" priority="143335" stopIfTrue="1" operator="lessThan">
      <formula>0.5</formula>
    </cfRule>
  </conditionalFormatting>
  <conditionalFormatting sqref="R36">
    <cfRule type="cellIs" dxfId="6420" priority="143336" stopIfTrue="1" operator="greaterThanOrEqual">
      <formula>0.5</formula>
    </cfRule>
  </conditionalFormatting>
  <conditionalFormatting sqref="R37">
    <cfRule type="cellIs" dxfId="6419" priority="143337" stopIfTrue="1" operator="equal">
      <formula>-1</formula>
    </cfRule>
  </conditionalFormatting>
  <conditionalFormatting sqref="R37">
    <cfRule type="cellIs" dxfId="6418" priority="143338" stopIfTrue="1" operator="lessThan">
      <formula>0.5</formula>
    </cfRule>
  </conditionalFormatting>
  <conditionalFormatting sqref="R37">
    <cfRule type="cellIs" dxfId="6417" priority="143339" stopIfTrue="1" operator="greaterThanOrEqual">
      <formula>0.5</formula>
    </cfRule>
  </conditionalFormatting>
  <conditionalFormatting sqref="T17">
    <cfRule type="cellIs" dxfId="6416" priority="143340" stopIfTrue="1" operator="equal">
      <formula>-1</formula>
    </cfRule>
  </conditionalFormatting>
  <conditionalFormatting sqref="T17">
    <cfRule type="cellIs" dxfId="6415" priority="143341" stopIfTrue="1" operator="lessThan">
      <formula>0.5</formula>
    </cfRule>
  </conditionalFormatting>
  <conditionalFormatting sqref="T17">
    <cfRule type="cellIs" dxfId="6414" priority="143342" stopIfTrue="1" operator="greaterThanOrEqual">
      <formula>0.5</formula>
    </cfRule>
  </conditionalFormatting>
  <conditionalFormatting sqref="T18">
    <cfRule type="cellIs" dxfId="6413" priority="143343" stopIfTrue="1" operator="equal">
      <formula>-1</formula>
    </cfRule>
  </conditionalFormatting>
  <conditionalFormatting sqref="T18">
    <cfRule type="cellIs" dxfId="6412" priority="143344" stopIfTrue="1" operator="lessThan">
      <formula>0.5</formula>
    </cfRule>
  </conditionalFormatting>
  <conditionalFormatting sqref="T18">
    <cfRule type="cellIs" dxfId="6411" priority="143345" stopIfTrue="1" operator="greaterThanOrEqual">
      <formula>0.5</formula>
    </cfRule>
  </conditionalFormatting>
  <conditionalFormatting sqref="T19">
    <cfRule type="cellIs" dxfId="6410" priority="143346" stopIfTrue="1" operator="equal">
      <formula>-1</formula>
    </cfRule>
  </conditionalFormatting>
  <conditionalFormatting sqref="T19">
    <cfRule type="cellIs" dxfId="6409" priority="143347" stopIfTrue="1" operator="lessThan">
      <formula>0.5</formula>
    </cfRule>
  </conditionalFormatting>
  <conditionalFormatting sqref="T19">
    <cfRule type="cellIs" dxfId="6408" priority="143348" stopIfTrue="1" operator="greaterThanOrEqual">
      <formula>0.5</formula>
    </cfRule>
  </conditionalFormatting>
  <conditionalFormatting sqref="T20">
    <cfRule type="cellIs" dxfId="6407" priority="143349" stopIfTrue="1" operator="equal">
      <formula>-1</formula>
    </cfRule>
  </conditionalFormatting>
  <conditionalFormatting sqref="T20">
    <cfRule type="cellIs" dxfId="6406" priority="143350" stopIfTrue="1" operator="lessThan">
      <formula>0.5</formula>
    </cfRule>
  </conditionalFormatting>
  <conditionalFormatting sqref="T20">
    <cfRule type="cellIs" dxfId="6405" priority="143351" stopIfTrue="1" operator="greaterThanOrEqual">
      <formula>0.5</formula>
    </cfRule>
  </conditionalFormatting>
  <conditionalFormatting sqref="T21">
    <cfRule type="cellIs" dxfId="6404" priority="143352" stopIfTrue="1" operator="equal">
      <formula>-1</formula>
    </cfRule>
  </conditionalFormatting>
  <conditionalFormatting sqref="T21">
    <cfRule type="cellIs" dxfId="6403" priority="143353" stopIfTrue="1" operator="lessThan">
      <formula>0.5</formula>
    </cfRule>
  </conditionalFormatting>
  <conditionalFormatting sqref="T21">
    <cfRule type="cellIs" dxfId="6402" priority="143354" stopIfTrue="1" operator="greaterThanOrEqual">
      <formula>0.5</formula>
    </cfRule>
  </conditionalFormatting>
  <conditionalFormatting sqref="T22">
    <cfRule type="cellIs" dxfId="6401" priority="143355" stopIfTrue="1" operator="equal">
      <formula>-1</formula>
    </cfRule>
  </conditionalFormatting>
  <conditionalFormatting sqref="T22">
    <cfRule type="cellIs" dxfId="6400" priority="143356" stopIfTrue="1" operator="lessThan">
      <formula>0.5</formula>
    </cfRule>
  </conditionalFormatting>
  <conditionalFormatting sqref="T22">
    <cfRule type="cellIs" dxfId="6399" priority="143357" stopIfTrue="1" operator="greaterThanOrEqual">
      <formula>0.5</formula>
    </cfRule>
  </conditionalFormatting>
  <conditionalFormatting sqref="T23">
    <cfRule type="cellIs" dxfId="6398" priority="143358" stopIfTrue="1" operator="equal">
      <formula>-1</formula>
    </cfRule>
  </conditionalFormatting>
  <conditionalFormatting sqref="T23">
    <cfRule type="cellIs" dxfId="6397" priority="143359" stopIfTrue="1" operator="lessThan">
      <formula>0.5</formula>
    </cfRule>
  </conditionalFormatting>
  <conditionalFormatting sqref="T23">
    <cfRule type="cellIs" dxfId="6396" priority="143360" stopIfTrue="1" operator="greaterThanOrEqual">
      <formula>0.5</formula>
    </cfRule>
  </conditionalFormatting>
  <conditionalFormatting sqref="T24">
    <cfRule type="cellIs" dxfId="6395" priority="143361" stopIfTrue="1" operator="equal">
      <formula>-1</formula>
    </cfRule>
  </conditionalFormatting>
  <conditionalFormatting sqref="T24">
    <cfRule type="cellIs" dxfId="6394" priority="143362" stopIfTrue="1" operator="lessThan">
      <formula>0.5</formula>
    </cfRule>
  </conditionalFormatting>
  <conditionalFormatting sqref="T24">
    <cfRule type="cellIs" dxfId="6393" priority="143363" stopIfTrue="1" operator="greaterThanOrEqual">
      <formula>0.5</formula>
    </cfRule>
  </conditionalFormatting>
  <conditionalFormatting sqref="T25">
    <cfRule type="cellIs" dxfId="6392" priority="143364" stopIfTrue="1" operator="equal">
      <formula>-1</formula>
    </cfRule>
  </conditionalFormatting>
  <conditionalFormatting sqref="T25">
    <cfRule type="cellIs" dxfId="6391" priority="143365" stopIfTrue="1" operator="lessThan">
      <formula>0.5</formula>
    </cfRule>
  </conditionalFormatting>
  <conditionalFormatting sqref="T25">
    <cfRule type="cellIs" dxfId="6390" priority="143366" stopIfTrue="1" operator="greaterThanOrEqual">
      <formula>0.5</formula>
    </cfRule>
  </conditionalFormatting>
  <conditionalFormatting sqref="T26">
    <cfRule type="cellIs" dxfId="6389" priority="143367" stopIfTrue="1" operator="equal">
      <formula>-1</formula>
    </cfRule>
  </conditionalFormatting>
  <conditionalFormatting sqref="T26">
    <cfRule type="cellIs" dxfId="6388" priority="143368" stopIfTrue="1" operator="lessThan">
      <formula>0.5</formula>
    </cfRule>
  </conditionalFormatting>
  <conditionalFormatting sqref="T26">
    <cfRule type="cellIs" dxfId="6387" priority="143369" stopIfTrue="1" operator="greaterThanOrEqual">
      <formula>0.5</formula>
    </cfRule>
  </conditionalFormatting>
  <conditionalFormatting sqref="T27">
    <cfRule type="cellIs" dxfId="6386" priority="143370" stopIfTrue="1" operator="equal">
      <formula>-1</formula>
    </cfRule>
  </conditionalFormatting>
  <conditionalFormatting sqref="T27">
    <cfRule type="cellIs" dxfId="6385" priority="143371" stopIfTrue="1" operator="lessThan">
      <formula>0.5</formula>
    </cfRule>
  </conditionalFormatting>
  <conditionalFormatting sqref="T27">
    <cfRule type="cellIs" dxfId="6384" priority="143372" stopIfTrue="1" operator="greaterThanOrEqual">
      <formula>0.5</formula>
    </cfRule>
  </conditionalFormatting>
  <conditionalFormatting sqref="T28">
    <cfRule type="cellIs" dxfId="6383" priority="143373" stopIfTrue="1" operator="equal">
      <formula>-1</formula>
    </cfRule>
  </conditionalFormatting>
  <conditionalFormatting sqref="T28">
    <cfRule type="cellIs" dxfId="6382" priority="143374" stopIfTrue="1" operator="lessThan">
      <formula>0.5</formula>
    </cfRule>
  </conditionalFormatting>
  <conditionalFormatting sqref="T28">
    <cfRule type="cellIs" dxfId="6381" priority="143375" stopIfTrue="1" operator="greaterThanOrEqual">
      <formula>0.5</formula>
    </cfRule>
  </conditionalFormatting>
  <conditionalFormatting sqref="T29">
    <cfRule type="cellIs" dxfId="6380" priority="143376" stopIfTrue="1" operator="equal">
      <formula>-1</formula>
    </cfRule>
  </conditionalFormatting>
  <conditionalFormatting sqref="T29">
    <cfRule type="cellIs" dxfId="6379" priority="143377" stopIfTrue="1" operator="lessThan">
      <formula>0.5</formula>
    </cfRule>
  </conditionalFormatting>
  <conditionalFormatting sqref="T29">
    <cfRule type="cellIs" dxfId="6378" priority="143378" stopIfTrue="1" operator="greaterThanOrEqual">
      <formula>0.5</formula>
    </cfRule>
  </conditionalFormatting>
  <conditionalFormatting sqref="T30">
    <cfRule type="cellIs" dxfId="6377" priority="143379" stopIfTrue="1" operator="equal">
      <formula>-1</formula>
    </cfRule>
  </conditionalFormatting>
  <conditionalFormatting sqref="T30">
    <cfRule type="cellIs" dxfId="6376" priority="143380" stopIfTrue="1" operator="lessThan">
      <formula>0.5</formula>
    </cfRule>
  </conditionalFormatting>
  <conditionalFormatting sqref="T30">
    <cfRule type="cellIs" dxfId="6375" priority="143381" stopIfTrue="1" operator="greaterThanOrEqual">
      <formula>0.5</formula>
    </cfRule>
  </conditionalFormatting>
  <conditionalFormatting sqref="T31">
    <cfRule type="cellIs" dxfId="6374" priority="143382" stopIfTrue="1" operator="equal">
      <formula>-1</formula>
    </cfRule>
  </conditionalFormatting>
  <conditionalFormatting sqref="T31">
    <cfRule type="cellIs" dxfId="6373" priority="143383" stopIfTrue="1" operator="lessThan">
      <formula>0.5</formula>
    </cfRule>
  </conditionalFormatting>
  <conditionalFormatting sqref="T31">
    <cfRule type="cellIs" dxfId="6372" priority="143384" stopIfTrue="1" operator="greaterThanOrEqual">
      <formula>0.5</formula>
    </cfRule>
  </conditionalFormatting>
  <conditionalFormatting sqref="T32">
    <cfRule type="cellIs" dxfId="6371" priority="143385" stopIfTrue="1" operator="equal">
      <formula>-1</formula>
    </cfRule>
  </conditionalFormatting>
  <conditionalFormatting sqref="T32">
    <cfRule type="cellIs" dxfId="6370" priority="143386" stopIfTrue="1" operator="lessThan">
      <formula>0.5</formula>
    </cfRule>
  </conditionalFormatting>
  <conditionalFormatting sqref="T32">
    <cfRule type="cellIs" dxfId="6369" priority="143387" stopIfTrue="1" operator="greaterThanOrEqual">
      <formula>0.5</formula>
    </cfRule>
  </conditionalFormatting>
  <conditionalFormatting sqref="T33">
    <cfRule type="cellIs" dxfId="6368" priority="143388" stopIfTrue="1" operator="equal">
      <formula>-1</formula>
    </cfRule>
  </conditionalFormatting>
  <conditionalFormatting sqref="T33">
    <cfRule type="cellIs" dxfId="6367" priority="143389" stopIfTrue="1" operator="lessThan">
      <formula>0.5</formula>
    </cfRule>
  </conditionalFormatting>
  <conditionalFormatting sqref="T33">
    <cfRule type="cellIs" dxfId="6366" priority="143390" stopIfTrue="1" operator="greaterThanOrEqual">
      <formula>0.5</formula>
    </cfRule>
  </conditionalFormatting>
  <conditionalFormatting sqref="T34">
    <cfRule type="cellIs" dxfId="6365" priority="143391" stopIfTrue="1" operator="equal">
      <formula>-1</formula>
    </cfRule>
  </conditionalFormatting>
  <conditionalFormatting sqref="T34">
    <cfRule type="cellIs" dxfId="6364" priority="143392" stopIfTrue="1" operator="lessThan">
      <formula>0.5</formula>
    </cfRule>
  </conditionalFormatting>
  <conditionalFormatting sqref="T34">
    <cfRule type="cellIs" dxfId="6363" priority="143393" stopIfTrue="1" operator="greaterThanOrEqual">
      <formula>0.5</formula>
    </cfRule>
  </conditionalFormatting>
  <conditionalFormatting sqref="T35">
    <cfRule type="cellIs" dxfId="6362" priority="143394" stopIfTrue="1" operator="equal">
      <formula>-1</formula>
    </cfRule>
  </conditionalFormatting>
  <conditionalFormatting sqref="T35">
    <cfRule type="cellIs" dxfId="6361" priority="143395" stopIfTrue="1" operator="lessThan">
      <formula>0.5</formula>
    </cfRule>
  </conditionalFormatting>
  <conditionalFormatting sqref="T35">
    <cfRule type="cellIs" dxfId="6360" priority="143396" stopIfTrue="1" operator="greaterThanOrEqual">
      <formula>0.5</formula>
    </cfRule>
  </conditionalFormatting>
  <conditionalFormatting sqref="T36">
    <cfRule type="cellIs" dxfId="6359" priority="143397" stopIfTrue="1" operator="equal">
      <formula>-1</formula>
    </cfRule>
  </conditionalFormatting>
  <conditionalFormatting sqref="T36">
    <cfRule type="cellIs" dxfId="6358" priority="143398" stopIfTrue="1" operator="lessThan">
      <formula>0.5</formula>
    </cfRule>
  </conditionalFormatting>
  <conditionalFormatting sqref="T36">
    <cfRule type="cellIs" dxfId="6357" priority="143399" stopIfTrue="1" operator="greaterThanOrEqual">
      <formula>0.5</formula>
    </cfRule>
  </conditionalFormatting>
  <conditionalFormatting sqref="T37">
    <cfRule type="cellIs" dxfId="6356" priority="143400" stopIfTrue="1" operator="equal">
      <formula>-1</formula>
    </cfRule>
  </conditionalFormatting>
  <conditionalFormatting sqref="T37">
    <cfRule type="cellIs" dxfId="6355" priority="143401" stopIfTrue="1" operator="lessThan">
      <formula>0.5</formula>
    </cfRule>
  </conditionalFormatting>
  <conditionalFormatting sqref="T37">
    <cfRule type="cellIs" dxfId="6354" priority="143402" stopIfTrue="1" operator="greaterThanOrEqual">
      <formula>0.5</formula>
    </cfRule>
  </conditionalFormatting>
  <conditionalFormatting sqref="V17">
    <cfRule type="cellIs" dxfId="6353" priority="143403" stopIfTrue="1" operator="equal">
      <formula>-1</formula>
    </cfRule>
  </conditionalFormatting>
  <conditionalFormatting sqref="V17">
    <cfRule type="cellIs" dxfId="6352" priority="143404" stopIfTrue="1" operator="lessThan">
      <formula>0.5</formula>
    </cfRule>
  </conditionalFormatting>
  <conditionalFormatting sqref="V17">
    <cfRule type="cellIs" dxfId="6351" priority="143405" stopIfTrue="1" operator="greaterThanOrEqual">
      <formula>0.5</formula>
    </cfRule>
  </conditionalFormatting>
  <conditionalFormatting sqref="V18">
    <cfRule type="cellIs" dxfId="6350" priority="143406" stopIfTrue="1" operator="equal">
      <formula>-1</formula>
    </cfRule>
  </conditionalFormatting>
  <conditionalFormatting sqref="V18">
    <cfRule type="cellIs" dxfId="6349" priority="143407" stopIfTrue="1" operator="lessThan">
      <formula>0.5</formula>
    </cfRule>
  </conditionalFormatting>
  <conditionalFormatting sqref="V18">
    <cfRule type="cellIs" dxfId="6348" priority="143408" stopIfTrue="1" operator="greaterThanOrEqual">
      <formula>0.5</formula>
    </cfRule>
  </conditionalFormatting>
  <conditionalFormatting sqref="V19">
    <cfRule type="cellIs" dxfId="6347" priority="143409" stopIfTrue="1" operator="equal">
      <formula>-1</formula>
    </cfRule>
  </conditionalFormatting>
  <conditionalFormatting sqref="V19">
    <cfRule type="cellIs" dxfId="6346" priority="143410" stopIfTrue="1" operator="lessThan">
      <formula>0.5</formula>
    </cfRule>
  </conditionalFormatting>
  <conditionalFormatting sqref="V19">
    <cfRule type="cellIs" dxfId="6345" priority="143411" stopIfTrue="1" operator="greaterThanOrEqual">
      <formula>0.5</formula>
    </cfRule>
  </conditionalFormatting>
  <conditionalFormatting sqref="V20">
    <cfRule type="cellIs" dxfId="6344" priority="143412" stopIfTrue="1" operator="equal">
      <formula>-1</formula>
    </cfRule>
  </conditionalFormatting>
  <conditionalFormatting sqref="V20">
    <cfRule type="cellIs" dxfId="6343" priority="143413" stopIfTrue="1" operator="lessThan">
      <formula>0.5</formula>
    </cfRule>
  </conditionalFormatting>
  <conditionalFormatting sqref="V20">
    <cfRule type="cellIs" dxfId="6342" priority="143414" stopIfTrue="1" operator="greaterThanOrEqual">
      <formula>0.5</formula>
    </cfRule>
  </conditionalFormatting>
  <conditionalFormatting sqref="V21">
    <cfRule type="cellIs" dxfId="6341" priority="143415" stopIfTrue="1" operator="equal">
      <formula>-1</formula>
    </cfRule>
  </conditionalFormatting>
  <conditionalFormatting sqref="V21">
    <cfRule type="cellIs" dxfId="6340" priority="143416" stopIfTrue="1" operator="lessThan">
      <formula>0.5</formula>
    </cfRule>
  </conditionalFormatting>
  <conditionalFormatting sqref="V21">
    <cfRule type="cellIs" dxfId="6339" priority="143417" stopIfTrue="1" operator="greaterThanOrEqual">
      <formula>0.5</formula>
    </cfRule>
  </conditionalFormatting>
  <conditionalFormatting sqref="V22">
    <cfRule type="cellIs" dxfId="6338" priority="143418" stopIfTrue="1" operator="equal">
      <formula>-1</formula>
    </cfRule>
  </conditionalFormatting>
  <conditionalFormatting sqref="V22">
    <cfRule type="cellIs" dxfId="6337" priority="143419" stopIfTrue="1" operator="lessThan">
      <formula>0.5</formula>
    </cfRule>
  </conditionalFormatting>
  <conditionalFormatting sqref="V22">
    <cfRule type="cellIs" dxfId="6336" priority="143420" stopIfTrue="1" operator="greaterThanOrEqual">
      <formula>0.5</formula>
    </cfRule>
  </conditionalFormatting>
  <conditionalFormatting sqref="V23">
    <cfRule type="cellIs" dxfId="6335" priority="143421" stopIfTrue="1" operator="equal">
      <formula>-1</formula>
    </cfRule>
  </conditionalFormatting>
  <conditionalFormatting sqref="V23">
    <cfRule type="cellIs" dxfId="6334" priority="143422" stopIfTrue="1" operator="lessThan">
      <formula>0.5</formula>
    </cfRule>
  </conditionalFormatting>
  <conditionalFormatting sqref="V23">
    <cfRule type="cellIs" dxfId="6333" priority="143423" stopIfTrue="1" operator="greaterThanOrEqual">
      <formula>0.5</formula>
    </cfRule>
  </conditionalFormatting>
  <conditionalFormatting sqref="V24">
    <cfRule type="cellIs" dxfId="6332" priority="143424" stopIfTrue="1" operator="equal">
      <formula>-1</formula>
    </cfRule>
  </conditionalFormatting>
  <conditionalFormatting sqref="V24">
    <cfRule type="cellIs" dxfId="6331" priority="143425" stopIfTrue="1" operator="lessThan">
      <formula>0.5</formula>
    </cfRule>
  </conditionalFormatting>
  <conditionalFormatting sqref="V24">
    <cfRule type="cellIs" dxfId="6330" priority="143426" stopIfTrue="1" operator="greaterThanOrEqual">
      <formula>0.5</formula>
    </cfRule>
  </conditionalFormatting>
  <conditionalFormatting sqref="V25">
    <cfRule type="cellIs" dxfId="6329" priority="143427" stopIfTrue="1" operator="equal">
      <formula>-1</formula>
    </cfRule>
  </conditionalFormatting>
  <conditionalFormatting sqref="V25">
    <cfRule type="cellIs" dxfId="6328" priority="143428" stopIfTrue="1" operator="lessThan">
      <formula>0.5</formula>
    </cfRule>
  </conditionalFormatting>
  <conditionalFormatting sqref="V25">
    <cfRule type="cellIs" dxfId="6327" priority="143429" stopIfTrue="1" operator="greaterThanOrEqual">
      <formula>0.5</formula>
    </cfRule>
  </conditionalFormatting>
  <conditionalFormatting sqref="V26">
    <cfRule type="cellIs" dxfId="6326" priority="143430" stopIfTrue="1" operator="equal">
      <formula>-1</formula>
    </cfRule>
  </conditionalFormatting>
  <conditionalFormatting sqref="V26">
    <cfRule type="cellIs" dxfId="6325" priority="143431" stopIfTrue="1" operator="lessThan">
      <formula>0.5</formula>
    </cfRule>
  </conditionalFormatting>
  <conditionalFormatting sqref="V26">
    <cfRule type="cellIs" dxfId="6324" priority="143432" stopIfTrue="1" operator="greaterThanOrEqual">
      <formula>0.5</formula>
    </cfRule>
  </conditionalFormatting>
  <conditionalFormatting sqref="V27">
    <cfRule type="cellIs" dxfId="6323" priority="143433" stopIfTrue="1" operator="equal">
      <formula>-1</formula>
    </cfRule>
  </conditionalFormatting>
  <conditionalFormatting sqref="V27">
    <cfRule type="cellIs" dxfId="6322" priority="143434" stopIfTrue="1" operator="lessThan">
      <formula>0.5</formula>
    </cfRule>
  </conditionalFormatting>
  <conditionalFormatting sqref="V27">
    <cfRule type="cellIs" dxfId="6321" priority="143435" stopIfTrue="1" operator="greaterThanOrEqual">
      <formula>0.5</formula>
    </cfRule>
  </conditionalFormatting>
  <conditionalFormatting sqref="V28">
    <cfRule type="cellIs" dxfId="6320" priority="143436" stopIfTrue="1" operator="equal">
      <formula>-1</formula>
    </cfRule>
  </conditionalFormatting>
  <conditionalFormatting sqref="V28">
    <cfRule type="cellIs" dxfId="6319" priority="143437" stopIfTrue="1" operator="lessThan">
      <formula>0.5</formula>
    </cfRule>
  </conditionalFormatting>
  <conditionalFormatting sqref="V28">
    <cfRule type="cellIs" dxfId="6318" priority="143438" stopIfTrue="1" operator="greaterThanOrEqual">
      <formula>0.5</formula>
    </cfRule>
  </conditionalFormatting>
  <conditionalFormatting sqref="V29">
    <cfRule type="cellIs" dxfId="6317" priority="143439" stopIfTrue="1" operator="equal">
      <formula>-1</formula>
    </cfRule>
  </conditionalFormatting>
  <conditionalFormatting sqref="V29">
    <cfRule type="cellIs" dxfId="6316" priority="143440" stopIfTrue="1" operator="lessThan">
      <formula>0.5</formula>
    </cfRule>
  </conditionalFormatting>
  <conditionalFormatting sqref="V29">
    <cfRule type="cellIs" dxfId="6315" priority="143441" stopIfTrue="1" operator="greaterThanOrEqual">
      <formula>0.5</formula>
    </cfRule>
  </conditionalFormatting>
  <conditionalFormatting sqref="V30">
    <cfRule type="cellIs" dxfId="6314" priority="143442" stopIfTrue="1" operator="equal">
      <formula>-1</formula>
    </cfRule>
  </conditionalFormatting>
  <conditionalFormatting sqref="V30">
    <cfRule type="cellIs" dxfId="6313" priority="143443" stopIfTrue="1" operator="lessThan">
      <formula>0.5</formula>
    </cfRule>
  </conditionalFormatting>
  <conditionalFormatting sqref="V30">
    <cfRule type="cellIs" dxfId="6312" priority="143444" stopIfTrue="1" operator="greaterThanOrEqual">
      <formula>0.5</formula>
    </cfRule>
  </conditionalFormatting>
  <conditionalFormatting sqref="V31">
    <cfRule type="cellIs" dxfId="6311" priority="143445" stopIfTrue="1" operator="equal">
      <formula>-1</formula>
    </cfRule>
  </conditionalFormatting>
  <conditionalFormatting sqref="V31">
    <cfRule type="cellIs" dxfId="6310" priority="143446" stopIfTrue="1" operator="lessThan">
      <formula>0.5</formula>
    </cfRule>
  </conditionalFormatting>
  <conditionalFormatting sqref="V31">
    <cfRule type="cellIs" dxfId="6309" priority="143447" stopIfTrue="1" operator="greaterThanOrEqual">
      <formula>0.5</formula>
    </cfRule>
  </conditionalFormatting>
  <conditionalFormatting sqref="V32">
    <cfRule type="cellIs" dxfId="6308" priority="143448" stopIfTrue="1" operator="equal">
      <formula>-1</formula>
    </cfRule>
  </conditionalFormatting>
  <conditionalFormatting sqref="V32">
    <cfRule type="cellIs" dxfId="6307" priority="143449" stopIfTrue="1" operator="lessThan">
      <formula>0.5</formula>
    </cfRule>
  </conditionalFormatting>
  <conditionalFormatting sqref="V32">
    <cfRule type="cellIs" dxfId="6306" priority="143450" stopIfTrue="1" operator="greaterThanOrEqual">
      <formula>0.5</formula>
    </cfRule>
  </conditionalFormatting>
  <conditionalFormatting sqref="V33">
    <cfRule type="cellIs" dxfId="6305" priority="143451" stopIfTrue="1" operator="equal">
      <formula>-1</formula>
    </cfRule>
  </conditionalFormatting>
  <conditionalFormatting sqref="V33">
    <cfRule type="cellIs" dxfId="6304" priority="143452" stopIfTrue="1" operator="lessThan">
      <formula>0.5</formula>
    </cfRule>
  </conditionalFormatting>
  <conditionalFormatting sqref="V33">
    <cfRule type="cellIs" dxfId="6303" priority="143453" stopIfTrue="1" operator="greaterThanOrEqual">
      <formula>0.5</formula>
    </cfRule>
  </conditionalFormatting>
  <conditionalFormatting sqref="V34">
    <cfRule type="cellIs" dxfId="6302" priority="143454" stopIfTrue="1" operator="equal">
      <formula>-1</formula>
    </cfRule>
  </conditionalFormatting>
  <conditionalFormatting sqref="V34">
    <cfRule type="cellIs" dxfId="6301" priority="143455" stopIfTrue="1" operator="lessThan">
      <formula>0.5</formula>
    </cfRule>
  </conditionalFormatting>
  <conditionalFormatting sqref="V34">
    <cfRule type="cellIs" dxfId="6300" priority="143456" stopIfTrue="1" operator="greaterThanOrEqual">
      <formula>0.5</formula>
    </cfRule>
  </conditionalFormatting>
  <conditionalFormatting sqref="V35">
    <cfRule type="cellIs" dxfId="6299" priority="143457" stopIfTrue="1" operator="equal">
      <formula>-1</formula>
    </cfRule>
  </conditionalFormatting>
  <conditionalFormatting sqref="V35">
    <cfRule type="cellIs" dxfId="6298" priority="143458" stopIfTrue="1" operator="lessThan">
      <formula>0.5</formula>
    </cfRule>
  </conditionalFormatting>
  <conditionalFormatting sqref="V35">
    <cfRule type="cellIs" dxfId="6297" priority="143459" stopIfTrue="1" operator="greaterThanOrEqual">
      <formula>0.5</formula>
    </cfRule>
  </conditionalFormatting>
  <conditionalFormatting sqref="V36">
    <cfRule type="cellIs" dxfId="6296" priority="143460" stopIfTrue="1" operator="equal">
      <formula>-1</formula>
    </cfRule>
  </conditionalFormatting>
  <conditionalFormatting sqref="V36">
    <cfRule type="cellIs" dxfId="6295" priority="143461" stopIfTrue="1" operator="lessThan">
      <formula>0.5</formula>
    </cfRule>
  </conditionalFormatting>
  <conditionalFormatting sqref="V36">
    <cfRule type="cellIs" dxfId="6294" priority="143462" stopIfTrue="1" operator="greaterThanOrEqual">
      <formula>0.5</formula>
    </cfRule>
  </conditionalFormatting>
  <conditionalFormatting sqref="V37">
    <cfRule type="cellIs" dxfId="6293" priority="143463" stopIfTrue="1" operator="equal">
      <formula>-1</formula>
    </cfRule>
  </conditionalFormatting>
  <conditionalFormatting sqref="V37">
    <cfRule type="cellIs" dxfId="6292" priority="143464" stopIfTrue="1" operator="lessThan">
      <formula>0.5</formula>
    </cfRule>
  </conditionalFormatting>
  <conditionalFormatting sqref="V37">
    <cfRule type="cellIs" dxfId="6291" priority="143465" stopIfTrue="1" operator="greaterThanOrEqual">
      <formula>0.5</formula>
    </cfRule>
  </conditionalFormatting>
  <conditionalFormatting sqref="X17">
    <cfRule type="cellIs" dxfId="6290" priority="143466" stopIfTrue="1" operator="equal">
      <formula>-1</formula>
    </cfRule>
  </conditionalFormatting>
  <conditionalFormatting sqref="X17">
    <cfRule type="cellIs" dxfId="6289" priority="143467" stopIfTrue="1" operator="lessThan">
      <formula>0.5</formula>
    </cfRule>
  </conditionalFormatting>
  <conditionalFormatting sqref="X17">
    <cfRule type="cellIs" dxfId="6288" priority="143468" stopIfTrue="1" operator="greaterThanOrEqual">
      <formula>0.5</formula>
    </cfRule>
  </conditionalFormatting>
  <conditionalFormatting sqref="X18">
    <cfRule type="cellIs" dxfId="6287" priority="143469" stopIfTrue="1" operator="equal">
      <formula>-1</formula>
    </cfRule>
  </conditionalFormatting>
  <conditionalFormatting sqref="X18">
    <cfRule type="cellIs" dxfId="6286" priority="143470" stopIfTrue="1" operator="lessThan">
      <formula>0.5</formula>
    </cfRule>
  </conditionalFormatting>
  <conditionalFormatting sqref="X18">
    <cfRule type="cellIs" dxfId="6285" priority="143471" stopIfTrue="1" operator="greaterThanOrEqual">
      <formula>0.5</formula>
    </cfRule>
  </conditionalFormatting>
  <conditionalFormatting sqref="X19">
    <cfRule type="cellIs" dxfId="6284" priority="143472" stopIfTrue="1" operator="equal">
      <formula>-1</formula>
    </cfRule>
  </conditionalFormatting>
  <conditionalFormatting sqref="X19">
    <cfRule type="cellIs" dxfId="6283" priority="143473" stopIfTrue="1" operator="lessThan">
      <formula>0.5</formula>
    </cfRule>
  </conditionalFormatting>
  <conditionalFormatting sqref="X19">
    <cfRule type="cellIs" dxfId="6282" priority="143474" stopIfTrue="1" operator="greaterThanOrEqual">
      <formula>0.5</formula>
    </cfRule>
  </conditionalFormatting>
  <conditionalFormatting sqref="X20">
    <cfRule type="cellIs" dxfId="6281" priority="143475" stopIfTrue="1" operator="equal">
      <formula>-1</formula>
    </cfRule>
  </conditionalFormatting>
  <conditionalFormatting sqref="X20">
    <cfRule type="cellIs" dxfId="6280" priority="143476" stopIfTrue="1" operator="lessThan">
      <formula>0.5</formula>
    </cfRule>
  </conditionalFormatting>
  <conditionalFormatting sqref="X20">
    <cfRule type="cellIs" dxfId="6279" priority="143477" stopIfTrue="1" operator="greaterThanOrEqual">
      <formula>0.5</formula>
    </cfRule>
  </conditionalFormatting>
  <conditionalFormatting sqref="X21">
    <cfRule type="cellIs" dxfId="6278" priority="143478" stopIfTrue="1" operator="equal">
      <formula>-1</formula>
    </cfRule>
  </conditionalFormatting>
  <conditionalFormatting sqref="X21">
    <cfRule type="cellIs" dxfId="6277" priority="143479" stopIfTrue="1" operator="lessThan">
      <formula>0.5</formula>
    </cfRule>
  </conditionalFormatting>
  <conditionalFormatting sqref="X21">
    <cfRule type="cellIs" dxfId="6276" priority="143480" stopIfTrue="1" operator="greaterThanOrEqual">
      <formula>0.5</formula>
    </cfRule>
  </conditionalFormatting>
  <conditionalFormatting sqref="X22">
    <cfRule type="cellIs" dxfId="6275" priority="143481" stopIfTrue="1" operator="equal">
      <formula>-1</formula>
    </cfRule>
  </conditionalFormatting>
  <conditionalFormatting sqref="X22">
    <cfRule type="cellIs" dxfId="6274" priority="143482" stopIfTrue="1" operator="lessThan">
      <formula>0.5</formula>
    </cfRule>
  </conditionalFormatting>
  <conditionalFormatting sqref="X22">
    <cfRule type="cellIs" dxfId="6273" priority="143483" stopIfTrue="1" operator="greaterThanOrEqual">
      <formula>0.5</formula>
    </cfRule>
  </conditionalFormatting>
  <conditionalFormatting sqref="X23">
    <cfRule type="cellIs" dxfId="6272" priority="143484" stopIfTrue="1" operator="equal">
      <formula>-1</formula>
    </cfRule>
  </conditionalFormatting>
  <conditionalFormatting sqref="X23">
    <cfRule type="cellIs" dxfId="6271" priority="143485" stopIfTrue="1" operator="lessThan">
      <formula>0.5</formula>
    </cfRule>
  </conditionalFormatting>
  <conditionalFormatting sqref="X23">
    <cfRule type="cellIs" dxfId="6270" priority="143486" stopIfTrue="1" operator="greaterThanOrEqual">
      <formula>0.5</formula>
    </cfRule>
  </conditionalFormatting>
  <conditionalFormatting sqref="X24">
    <cfRule type="cellIs" dxfId="6269" priority="143487" stopIfTrue="1" operator="equal">
      <formula>-1</formula>
    </cfRule>
  </conditionalFormatting>
  <conditionalFormatting sqref="X24">
    <cfRule type="cellIs" dxfId="6268" priority="143488" stopIfTrue="1" operator="lessThan">
      <formula>0.5</formula>
    </cfRule>
  </conditionalFormatting>
  <conditionalFormatting sqref="X24">
    <cfRule type="cellIs" dxfId="6267" priority="143489" stopIfTrue="1" operator="greaterThanOrEqual">
      <formula>0.5</formula>
    </cfRule>
  </conditionalFormatting>
  <conditionalFormatting sqref="X25">
    <cfRule type="cellIs" dxfId="6266" priority="143490" stopIfTrue="1" operator="equal">
      <formula>-1</formula>
    </cfRule>
  </conditionalFormatting>
  <conditionalFormatting sqref="X25">
    <cfRule type="cellIs" dxfId="6265" priority="143491" stopIfTrue="1" operator="lessThan">
      <formula>0.5</formula>
    </cfRule>
  </conditionalFormatting>
  <conditionalFormatting sqref="X25">
    <cfRule type="cellIs" dxfId="6264" priority="143492" stopIfTrue="1" operator="greaterThanOrEqual">
      <formula>0.5</formula>
    </cfRule>
  </conditionalFormatting>
  <conditionalFormatting sqref="X26">
    <cfRule type="cellIs" dxfId="6263" priority="143493" stopIfTrue="1" operator="equal">
      <formula>-1</formula>
    </cfRule>
  </conditionalFormatting>
  <conditionalFormatting sqref="X26">
    <cfRule type="cellIs" dxfId="6262" priority="143494" stopIfTrue="1" operator="lessThan">
      <formula>0.5</formula>
    </cfRule>
  </conditionalFormatting>
  <conditionalFormatting sqref="X26">
    <cfRule type="cellIs" dxfId="6261" priority="143495" stopIfTrue="1" operator="greaterThanOrEqual">
      <formula>0.5</formula>
    </cfRule>
  </conditionalFormatting>
  <conditionalFormatting sqref="X27">
    <cfRule type="cellIs" dxfId="6260" priority="143496" stopIfTrue="1" operator="equal">
      <formula>-1</formula>
    </cfRule>
  </conditionalFormatting>
  <conditionalFormatting sqref="X27">
    <cfRule type="cellIs" dxfId="6259" priority="143497" stopIfTrue="1" operator="lessThan">
      <formula>0.5</formula>
    </cfRule>
  </conditionalFormatting>
  <conditionalFormatting sqref="X27">
    <cfRule type="cellIs" dxfId="6258" priority="143498" stopIfTrue="1" operator="greaterThanOrEqual">
      <formula>0.5</formula>
    </cfRule>
  </conditionalFormatting>
  <conditionalFormatting sqref="X28">
    <cfRule type="cellIs" dxfId="6257" priority="143499" stopIfTrue="1" operator="equal">
      <formula>-1</formula>
    </cfRule>
  </conditionalFormatting>
  <conditionalFormatting sqref="X28">
    <cfRule type="cellIs" dxfId="6256" priority="143500" stopIfTrue="1" operator="lessThan">
      <formula>0.5</formula>
    </cfRule>
  </conditionalFormatting>
  <conditionalFormatting sqref="X28">
    <cfRule type="cellIs" dxfId="6255" priority="143501" stopIfTrue="1" operator="greaterThanOrEqual">
      <formula>0.5</formula>
    </cfRule>
  </conditionalFormatting>
  <conditionalFormatting sqref="X29">
    <cfRule type="cellIs" dxfId="6254" priority="143502" stopIfTrue="1" operator="equal">
      <formula>-1</formula>
    </cfRule>
  </conditionalFormatting>
  <conditionalFormatting sqref="X29">
    <cfRule type="cellIs" dxfId="6253" priority="143503" stopIfTrue="1" operator="lessThan">
      <formula>0.5</formula>
    </cfRule>
  </conditionalFormatting>
  <conditionalFormatting sqref="X29">
    <cfRule type="cellIs" dxfId="6252" priority="143504" stopIfTrue="1" operator="greaterThanOrEqual">
      <formula>0.5</formula>
    </cfRule>
  </conditionalFormatting>
  <conditionalFormatting sqref="X30">
    <cfRule type="cellIs" dxfId="6251" priority="143505" stopIfTrue="1" operator="equal">
      <formula>-1</formula>
    </cfRule>
  </conditionalFormatting>
  <conditionalFormatting sqref="X30">
    <cfRule type="cellIs" dxfId="6250" priority="143506" stopIfTrue="1" operator="lessThan">
      <formula>0.5</formula>
    </cfRule>
  </conditionalFormatting>
  <conditionalFormatting sqref="X30">
    <cfRule type="cellIs" dxfId="6249" priority="143507" stopIfTrue="1" operator="greaterThanOrEqual">
      <formula>0.5</formula>
    </cfRule>
  </conditionalFormatting>
  <conditionalFormatting sqref="X31">
    <cfRule type="cellIs" dxfId="6248" priority="143508" stopIfTrue="1" operator="equal">
      <formula>-1</formula>
    </cfRule>
  </conditionalFormatting>
  <conditionalFormatting sqref="X31">
    <cfRule type="cellIs" dxfId="6247" priority="143509" stopIfTrue="1" operator="lessThan">
      <formula>0.5</formula>
    </cfRule>
  </conditionalFormatting>
  <conditionalFormatting sqref="X31">
    <cfRule type="cellIs" dxfId="6246" priority="143510" stopIfTrue="1" operator="greaterThanOrEqual">
      <formula>0.5</formula>
    </cfRule>
  </conditionalFormatting>
  <conditionalFormatting sqref="X32">
    <cfRule type="cellIs" dxfId="6245" priority="143511" stopIfTrue="1" operator="equal">
      <formula>-1</formula>
    </cfRule>
  </conditionalFormatting>
  <conditionalFormatting sqref="X32">
    <cfRule type="cellIs" dxfId="6244" priority="143512" stopIfTrue="1" operator="lessThan">
      <formula>0.5</formula>
    </cfRule>
  </conditionalFormatting>
  <conditionalFormatting sqref="X32">
    <cfRule type="cellIs" dxfId="6243" priority="143513" stopIfTrue="1" operator="greaterThanOrEqual">
      <formula>0.5</formula>
    </cfRule>
  </conditionalFormatting>
  <conditionalFormatting sqref="X33">
    <cfRule type="cellIs" dxfId="6242" priority="143514" stopIfTrue="1" operator="equal">
      <formula>-1</formula>
    </cfRule>
  </conditionalFormatting>
  <conditionalFormatting sqref="X33">
    <cfRule type="cellIs" dxfId="6241" priority="143515" stopIfTrue="1" operator="lessThan">
      <formula>0.5</formula>
    </cfRule>
  </conditionalFormatting>
  <conditionalFormatting sqref="X33">
    <cfRule type="cellIs" dxfId="6240" priority="143516" stopIfTrue="1" operator="greaterThanOrEqual">
      <formula>0.5</formula>
    </cfRule>
  </conditionalFormatting>
  <conditionalFormatting sqref="X34">
    <cfRule type="cellIs" dxfId="6239" priority="143517" stopIfTrue="1" operator="equal">
      <formula>-1</formula>
    </cfRule>
  </conditionalFormatting>
  <conditionalFormatting sqref="X34">
    <cfRule type="cellIs" dxfId="6238" priority="143518" stopIfTrue="1" operator="lessThan">
      <formula>0.5</formula>
    </cfRule>
  </conditionalFormatting>
  <conditionalFormatting sqref="X34">
    <cfRule type="cellIs" dxfId="6237" priority="143519" stopIfTrue="1" operator="greaterThanOrEqual">
      <formula>0.5</formula>
    </cfRule>
  </conditionalFormatting>
  <conditionalFormatting sqref="X35">
    <cfRule type="cellIs" dxfId="6236" priority="143520" stopIfTrue="1" operator="equal">
      <formula>-1</formula>
    </cfRule>
  </conditionalFormatting>
  <conditionalFormatting sqref="X35">
    <cfRule type="cellIs" dxfId="6235" priority="143521" stopIfTrue="1" operator="lessThan">
      <formula>0.5</formula>
    </cfRule>
  </conditionalFormatting>
  <conditionalFormatting sqref="X35">
    <cfRule type="cellIs" dxfId="6234" priority="143522" stopIfTrue="1" operator="greaterThanOrEqual">
      <formula>0.5</formula>
    </cfRule>
  </conditionalFormatting>
  <conditionalFormatting sqref="X36">
    <cfRule type="cellIs" dxfId="6233" priority="143523" stopIfTrue="1" operator="equal">
      <formula>-1</formula>
    </cfRule>
  </conditionalFormatting>
  <conditionalFormatting sqref="X36">
    <cfRule type="cellIs" dxfId="6232" priority="143524" stopIfTrue="1" operator="lessThan">
      <formula>0.5</formula>
    </cfRule>
  </conditionalFormatting>
  <conditionalFormatting sqref="X36">
    <cfRule type="cellIs" dxfId="6231" priority="143525" stopIfTrue="1" operator="greaterThanOrEqual">
      <formula>0.5</formula>
    </cfRule>
  </conditionalFormatting>
  <conditionalFormatting sqref="X37">
    <cfRule type="cellIs" dxfId="6230" priority="143526" stopIfTrue="1" operator="equal">
      <formula>-1</formula>
    </cfRule>
  </conditionalFormatting>
  <conditionalFormatting sqref="X37">
    <cfRule type="cellIs" dxfId="6229" priority="143527" stopIfTrue="1" operator="lessThan">
      <formula>0.5</formula>
    </cfRule>
  </conditionalFormatting>
  <conditionalFormatting sqref="X37">
    <cfRule type="cellIs" dxfId="6228" priority="143528" stopIfTrue="1" operator="greaterThanOrEqual">
      <formula>0.5</formula>
    </cfRule>
  </conditionalFormatting>
  <conditionalFormatting sqref="Z17">
    <cfRule type="cellIs" dxfId="6227" priority="143529" stopIfTrue="1" operator="equal">
      <formula>-1</formula>
    </cfRule>
  </conditionalFormatting>
  <conditionalFormatting sqref="Z17">
    <cfRule type="cellIs" dxfId="6226" priority="143530" stopIfTrue="1" operator="lessThan">
      <formula>0.5</formula>
    </cfRule>
  </conditionalFormatting>
  <conditionalFormatting sqref="Z17">
    <cfRule type="cellIs" dxfId="6225" priority="143531" stopIfTrue="1" operator="greaterThanOrEqual">
      <formula>0.5</formula>
    </cfRule>
  </conditionalFormatting>
  <conditionalFormatting sqref="Z18">
    <cfRule type="cellIs" dxfId="6224" priority="143532" stopIfTrue="1" operator="equal">
      <formula>-1</formula>
    </cfRule>
  </conditionalFormatting>
  <conditionalFormatting sqref="Z18">
    <cfRule type="cellIs" dxfId="6223" priority="143533" stopIfTrue="1" operator="lessThan">
      <formula>0.5</formula>
    </cfRule>
  </conditionalFormatting>
  <conditionalFormatting sqref="Z18">
    <cfRule type="cellIs" dxfId="6222" priority="143534" stopIfTrue="1" operator="greaterThanOrEqual">
      <formula>0.5</formula>
    </cfRule>
  </conditionalFormatting>
  <conditionalFormatting sqref="Z19">
    <cfRule type="cellIs" dxfId="6221" priority="143535" stopIfTrue="1" operator="equal">
      <formula>-1</formula>
    </cfRule>
  </conditionalFormatting>
  <conditionalFormatting sqref="Z19">
    <cfRule type="cellIs" dxfId="6220" priority="143536" stopIfTrue="1" operator="lessThan">
      <formula>0.5</formula>
    </cfRule>
  </conditionalFormatting>
  <conditionalFormatting sqref="Z19">
    <cfRule type="cellIs" dxfId="6219" priority="143537" stopIfTrue="1" operator="greaterThanOrEqual">
      <formula>0.5</formula>
    </cfRule>
  </conditionalFormatting>
  <conditionalFormatting sqref="Z20">
    <cfRule type="cellIs" dxfId="6218" priority="143538" stopIfTrue="1" operator="equal">
      <formula>-1</formula>
    </cfRule>
  </conditionalFormatting>
  <conditionalFormatting sqref="Z20">
    <cfRule type="cellIs" dxfId="6217" priority="143539" stopIfTrue="1" operator="lessThan">
      <formula>0.5</formula>
    </cfRule>
  </conditionalFormatting>
  <conditionalFormatting sqref="Z20">
    <cfRule type="cellIs" dxfId="6216" priority="143540" stopIfTrue="1" operator="greaterThanOrEqual">
      <formula>0.5</formula>
    </cfRule>
  </conditionalFormatting>
  <conditionalFormatting sqref="Z21">
    <cfRule type="cellIs" dxfId="6215" priority="143541" stopIfTrue="1" operator="equal">
      <formula>-1</formula>
    </cfRule>
  </conditionalFormatting>
  <conditionalFormatting sqref="Z21">
    <cfRule type="cellIs" dxfId="6214" priority="143542" stopIfTrue="1" operator="lessThan">
      <formula>0.5</formula>
    </cfRule>
  </conditionalFormatting>
  <conditionalFormatting sqref="Z21">
    <cfRule type="cellIs" dxfId="6213" priority="143543" stopIfTrue="1" operator="greaterThanOrEqual">
      <formula>0.5</formula>
    </cfRule>
  </conditionalFormatting>
  <conditionalFormatting sqref="Z22">
    <cfRule type="cellIs" dxfId="6212" priority="143544" stopIfTrue="1" operator="equal">
      <formula>-1</formula>
    </cfRule>
  </conditionalFormatting>
  <conditionalFormatting sqref="Z22">
    <cfRule type="cellIs" dxfId="6211" priority="143545" stopIfTrue="1" operator="lessThan">
      <formula>0.5</formula>
    </cfRule>
  </conditionalFormatting>
  <conditionalFormatting sqref="Z22">
    <cfRule type="cellIs" dxfId="6210" priority="143546" stopIfTrue="1" operator="greaterThanOrEqual">
      <formula>0.5</formula>
    </cfRule>
  </conditionalFormatting>
  <conditionalFormatting sqref="Z23">
    <cfRule type="cellIs" dxfId="6209" priority="143547" stopIfTrue="1" operator="equal">
      <formula>-1</formula>
    </cfRule>
  </conditionalFormatting>
  <conditionalFormatting sqref="Z23">
    <cfRule type="cellIs" dxfId="6208" priority="143548" stopIfTrue="1" operator="lessThan">
      <formula>0.5</formula>
    </cfRule>
  </conditionalFormatting>
  <conditionalFormatting sqref="Z23">
    <cfRule type="cellIs" dxfId="6207" priority="143549" stopIfTrue="1" operator="greaterThanOrEqual">
      <formula>0.5</formula>
    </cfRule>
  </conditionalFormatting>
  <conditionalFormatting sqref="Z24">
    <cfRule type="cellIs" dxfId="6206" priority="143550" stopIfTrue="1" operator="equal">
      <formula>-1</formula>
    </cfRule>
  </conditionalFormatting>
  <conditionalFormatting sqref="Z24">
    <cfRule type="cellIs" dxfId="6205" priority="143551" stopIfTrue="1" operator="lessThan">
      <formula>0.5</formula>
    </cfRule>
  </conditionalFormatting>
  <conditionalFormatting sqref="Z24">
    <cfRule type="cellIs" dxfId="6204" priority="143552" stopIfTrue="1" operator="greaterThanOrEqual">
      <formula>0.5</formula>
    </cfRule>
  </conditionalFormatting>
  <conditionalFormatting sqref="Z25">
    <cfRule type="cellIs" dxfId="6203" priority="143553" stopIfTrue="1" operator="equal">
      <formula>-1</formula>
    </cfRule>
  </conditionalFormatting>
  <conditionalFormatting sqref="Z25">
    <cfRule type="cellIs" dxfId="6202" priority="143554" stopIfTrue="1" operator="lessThan">
      <formula>0.5</formula>
    </cfRule>
  </conditionalFormatting>
  <conditionalFormatting sqref="Z25">
    <cfRule type="cellIs" dxfId="6201" priority="143555" stopIfTrue="1" operator="greaterThanOrEqual">
      <formula>0.5</formula>
    </cfRule>
  </conditionalFormatting>
  <conditionalFormatting sqref="Z26">
    <cfRule type="cellIs" dxfId="6200" priority="143556" stopIfTrue="1" operator="equal">
      <formula>-1</formula>
    </cfRule>
  </conditionalFormatting>
  <conditionalFormatting sqref="Z26">
    <cfRule type="cellIs" dxfId="6199" priority="143557" stopIfTrue="1" operator="lessThan">
      <formula>0.5</formula>
    </cfRule>
  </conditionalFormatting>
  <conditionalFormatting sqref="Z26">
    <cfRule type="cellIs" dxfId="6198" priority="143558" stopIfTrue="1" operator="greaterThanOrEqual">
      <formula>0.5</formula>
    </cfRule>
  </conditionalFormatting>
  <conditionalFormatting sqref="Z27">
    <cfRule type="cellIs" dxfId="6197" priority="143559" stopIfTrue="1" operator="equal">
      <formula>-1</formula>
    </cfRule>
  </conditionalFormatting>
  <conditionalFormatting sqref="Z27">
    <cfRule type="cellIs" dxfId="6196" priority="143560" stopIfTrue="1" operator="lessThan">
      <formula>0.5</formula>
    </cfRule>
  </conditionalFormatting>
  <conditionalFormatting sqref="Z27">
    <cfRule type="cellIs" dxfId="6195" priority="143561" stopIfTrue="1" operator="greaterThanOrEqual">
      <formula>0.5</formula>
    </cfRule>
  </conditionalFormatting>
  <conditionalFormatting sqref="Z28">
    <cfRule type="cellIs" dxfId="6194" priority="143562" stopIfTrue="1" operator="equal">
      <formula>-1</formula>
    </cfRule>
  </conditionalFormatting>
  <conditionalFormatting sqref="Z28">
    <cfRule type="cellIs" dxfId="6193" priority="143563" stopIfTrue="1" operator="lessThan">
      <formula>0.5</formula>
    </cfRule>
  </conditionalFormatting>
  <conditionalFormatting sqref="Z28">
    <cfRule type="cellIs" dxfId="6192" priority="143564" stopIfTrue="1" operator="greaterThanOrEqual">
      <formula>0.5</formula>
    </cfRule>
  </conditionalFormatting>
  <conditionalFormatting sqref="Z29">
    <cfRule type="cellIs" dxfId="6191" priority="143565" stopIfTrue="1" operator="equal">
      <formula>-1</formula>
    </cfRule>
  </conditionalFormatting>
  <conditionalFormatting sqref="Z29">
    <cfRule type="cellIs" dxfId="6190" priority="143566" stopIfTrue="1" operator="lessThan">
      <formula>0.5</formula>
    </cfRule>
  </conditionalFormatting>
  <conditionalFormatting sqref="Z29">
    <cfRule type="cellIs" dxfId="6189" priority="143567" stopIfTrue="1" operator="greaterThanOrEqual">
      <formula>0.5</formula>
    </cfRule>
  </conditionalFormatting>
  <conditionalFormatting sqref="Z30">
    <cfRule type="cellIs" dxfId="6188" priority="143568" stopIfTrue="1" operator="equal">
      <formula>-1</formula>
    </cfRule>
  </conditionalFormatting>
  <conditionalFormatting sqref="Z30">
    <cfRule type="cellIs" dxfId="6187" priority="143569" stopIfTrue="1" operator="lessThan">
      <formula>0.5</formula>
    </cfRule>
  </conditionalFormatting>
  <conditionalFormatting sqref="Z30">
    <cfRule type="cellIs" dxfId="6186" priority="143570" stopIfTrue="1" operator="greaterThanOrEqual">
      <formula>0.5</formula>
    </cfRule>
  </conditionalFormatting>
  <conditionalFormatting sqref="Z31">
    <cfRule type="cellIs" dxfId="6185" priority="143571" stopIfTrue="1" operator="equal">
      <formula>-1</formula>
    </cfRule>
  </conditionalFormatting>
  <conditionalFormatting sqref="Z31">
    <cfRule type="cellIs" dxfId="6184" priority="143572" stopIfTrue="1" operator="lessThan">
      <formula>0.5</formula>
    </cfRule>
  </conditionalFormatting>
  <conditionalFormatting sqref="Z31">
    <cfRule type="cellIs" dxfId="6183" priority="143573" stopIfTrue="1" operator="greaterThanOrEqual">
      <formula>0.5</formula>
    </cfRule>
  </conditionalFormatting>
  <conditionalFormatting sqref="Z32">
    <cfRule type="cellIs" dxfId="6182" priority="143574" stopIfTrue="1" operator="equal">
      <formula>-1</formula>
    </cfRule>
  </conditionalFormatting>
  <conditionalFormatting sqref="Z32">
    <cfRule type="cellIs" dxfId="6181" priority="143575" stopIfTrue="1" operator="lessThan">
      <formula>0.5</formula>
    </cfRule>
  </conditionalFormatting>
  <conditionalFormatting sqref="Z32">
    <cfRule type="cellIs" dxfId="6180" priority="143576" stopIfTrue="1" operator="greaterThanOrEqual">
      <formula>0.5</formula>
    </cfRule>
  </conditionalFormatting>
  <conditionalFormatting sqref="Z33">
    <cfRule type="cellIs" dxfId="6179" priority="143577" stopIfTrue="1" operator="equal">
      <formula>-1</formula>
    </cfRule>
  </conditionalFormatting>
  <conditionalFormatting sqref="Z33">
    <cfRule type="cellIs" dxfId="6178" priority="143578" stopIfTrue="1" operator="lessThan">
      <formula>0.5</formula>
    </cfRule>
  </conditionalFormatting>
  <conditionalFormatting sqref="Z33">
    <cfRule type="cellIs" dxfId="6177" priority="143579" stopIfTrue="1" operator="greaterThanOrEqual">
      <formula>0.5</formula>
    </cfRule>
  </conditionalFormatting>
  <conditionalFormatting sqref="Z34">
    <cfRule type="cellIs" dxfId="6176" priority="143580" stopIfTrue="1" operator="equal">
      <formula>-1</formula>
    </cfRule>
  </conditionalFormatting>
  <conditionalFormatting sqref="Z34">
    <cfRule type="cellIs" dxfId="6175" priority="143581" stopIfTrue="1" operator="lessThan">
      <formula>0.5</formula>
    </cfRule>
  </conditionalFormatting>
  <conditionalFormatting sqref="Z34">
    <cfRule type="cellIs" dxfId="6174" priority="143582" stopIfTrue="1" operator="greaterThanOrEqual">
      <formula>0.5</formula>
    </cfRule>
  </conditionalFormatting>
  <conditionalFormatting sqref="Z35">
    <cfRule type="cellIs" dxfId="6173" priority="143583" stopIfTrue="1" operator="equal">
      <formula>-1</formula>
    </cfRule>
  </conditionalFormatting>
  <conditionalFormatting sqref="Z35">
    <cfRule type="cellIs" dxfId="6172" priority="143584" stopIfTrue="1" operator="lessThan">
      <formula>0.5</formula>
    </cfRule>
  </conditionalFormatting>
  <conditionalFormatting sqref="Z35">
    <cfRule type="cellIs" dxfId="6171" priority="143585" stopIfTrue="1" operator="greaterThanOrEqual">
      <formula>0.5</formula>
    </cfRule>
  </conditionalFormatting>
  <conditionalFormatting sqref="Z36">
    <cfRule type="cellIs" dxfId="6170" priority="143586" stopIfTrue="1" operator="equal">
      <formula>-1</formula>
    </cfRule>
  </conditionalFormatting>
  <conditionalFormatting sqref="Z36">
    <cfRule type="cellIs" dxfId="6169" priority="143587" stopIfTrue="1" operator="lessThan">
      <formula>0.5</formula>
    </cfRule>
  </conditionalFormatting>
  <conditionalFormatting sqref="Z36">
    <cfRule type="cellIs" dxfId="6168" priority="143588" stopIfTrue="1" operator="greaterThanOrEqual">
      <formula>0.5</formula>
    </cfRule>
  </conditionalFormatting>
  <conditionalFormatting sqref="Z37">
    <cfRule type="cellIs" dxfId="6167" priority="143589" stopIfTrue="1" operator="equal">
      <formula>-1</formula>
    </cfRule>
  </conditionalFormatting>
  <conditionalFormatting sqref="Z37">
    <cfRule type="cellIs" dxfId="6166" priority="143590" stopIfTrue="1" operator="lessThan">
      <formula>0.5</formula>
    </cfRule>
  </conditionalFormatting>
  <conditionalFormatting sqref="Z37">
    <cfRule type="cellIs" dxfId="6165" priority="143591" stopIfTrue="1" operator="greaterThanOrEqual">
      <formula>0.5</formula>
    </cfRule>
  </conditionalFormatting>
  <conditionalFormatting sqref="AB17">
    <cfRule type="cellIs" dxfId="6164" priority="143592" stopIfTrue="1" operator="equal">
      <formula>-1</formula>
    </cfRule>
  </conditionalFormatting>
  <conditionalFormatting sqref="AB17">
    <cfRule type="cellIs" dxfId="6163" priority="143593" stopIfTrue="1" operator="lessThan">
      <formula>0.5</formula>
    </cfRule>
  </conditionalFormatting>
  <conditionalFormatting sqref="AB17">
    <cfRule type="cellIs" dxfId="6162" priority="143594" stopIfTrue="1" operator="greaterThanOrEqual">
      <formula>0.5</formula>
    </cfRule>
  </conditionalFormatting>
  <conditionalFormatting sqref="AB18">
    <cfRule type="cellIs" dxfId="6161" priority="143595" stopIfTrue="1" operator="equal">
      <formula>-1</formula>
    </cfRule>
  </conditionalFormatting>
  <conditionalFormatting sqref="AB18">
    <cfRule type="cellIs" dxfId="6160" priority="143596" stopIfTrue="1" operator="lessThan">
      <formula>0.5</formula>
    </cfRule>
  </conditionalFormatting>
  <conditionalFormatting sqref="AB18">
    <cfRule type="cellIs" dxfId="6159" priority="143597" stopIfTrue="1" operator="greaterThanOrEqual">
      <formula>0.5</formula>
    </cfRule>
  </conditionalFormatting>
  <conditionalFormatting sqref="AB19">
    <cfRule type="cellIs" dxfId="6158" priority="143598" stopIfTrue="1" operator="equal">
      <formula>-1</formula>
    </cfRule>
  </conditionalFormatting>
  <conditionalFormatting sqref="AB19">
    <cfRule type="cellIs" dxfId="6157" priority="143599" stopIfTrue="1" operator="lessThan">
      <formula>0.5</formula>
    </cfRule>
  </conditionalFormatting>
  <conditionalFormatting sqref="AB19">
    <cfRule type="cellIs" dxfId="6156" priority="143600" stopIfTrue="1" operator="greaterThanOrEqual">
      <formula>0.5</formula>
    </cfRule>
  </conditionalFormatting>
  <conditionalFormatting sqref="AB20">
    <cfRule type="cellIs" dxfId="6155" priority="143601" stopIfTrue="1" operator="equal">
      <formula>-1</formula>
    </cfRule>
  </conditionalFormatting>
  <conditionalFormatting sqref="AB20">
    <cfRule type="cellIs" dxfId="6154" priority="143602" stopIfTrue="1" operator="lessThan">
      <formula>0.5</formula>
    </cfRule>
  </conditionalFormatting>
  <conditionalFormatting sqref="AB20">
    <cfRule type="cellIs" dxfId="6153" priority="143603" stopIfTrue="1" operator="greaterThanOrEqual">
      <formula>0.5</formula>
    </cfRule>
  </conditionalFormatting>
  <conditionalFormatting sqref="AB21">
    <cfRule type="cellIs" dxfId="6152" priority="143604" stopIfTrue="1" operator="equal">
      <formula>-1</formula>
    </cfRule>
  </conditionalFormatting>
  <conditionalFormatting sqref="AB21">
    <cfRule type="cellIs" dxfId="6151" priority="143605" stopIfTrue="1" operator="lessThan">
      <formula>0.5</formula>
    </cfRule>
  </conditionalFormatting>
  <conditionalFormatting sqref="AB21">
    <cfRule type="cellIs" dxfId="6150" priority="143606" stopIfTrue="1" operator="greaterThanOrEqual">
      <formula>0.5</formula>
    </cfRule>
  </conditionalFormatting>
  <conditionalFormatting sqref="AB22">
    <cfRule type="cellIs" dxfId="6149" priority="143607" stopIfTrue="1" operator="equal">
      <formula>-1</formula>
    </cfRule>
  </conditionalFormatting>
  <conditionalFormatting sqref="AB22">
    <cfRule type="cellIs" dxfId="6148" priority="143608" stopIfTrue="1" operator="lessThan">
      <formula>0.5</formula>
    </cfRule>
  </conditionalFormatting>
  <conditionalFormatting sqref="AB22">
    <cfRule type="cellIs" dxfId="6147" priority="143609" stopIfTrue="1" operator="greaterThanOrEqual">
      <formula>0.5</formula>
    </cfRule>
  </conditionalFormatting>
  <conditionalFormatting sqref="AB23">
    <cfRule type="cellIs" dxfId="6146" priority="143610" stopIfTrue="1" operator="equal">
      <formula>-1</formula>
    </cfRule>
  </conditionalFormatting>
  <conditionalFormatting sqref="AB23">
    <cfRule type="cellIs" dxfId="6145" priority="143611" stopIfTrue="1" operator="lessThan">
      <formula>0.5</formula>
    </cfRule>
  </conditionalFormatting>
  <conditionalFormatting sqref="AB23">
    <cfRule type="cellIs" dxfId="6144" priority="143612" stopIfTrue="1" operator="greaterThanOrEqual">
      <formula>0.5</formula>
    </cfRule>
  </conditionalFormatting>
  <conditionalFormatting sqref="AB24">
    <cfRule type="cellIs" dxfId="6143" priority="143613" stopIfTrue="1" operator="equal">
      <formula>-1</formula>
    </cfRule>
  </conditionalFormatting>
  <conditionalFormatting sqref="AB24">
    <cfRule type="cellIs" dxfId="6142" priority="143614" stopIfTrue="1" operator="lessThan">
      <formula>0.5</formula>
    </cfRule>
  </conditionalFormatting>
  <conditionalFormatting sqref="AB24">
    <cfRule type="cellIs" dxfId="6141" priority="143615" stopIfTrue="1" operator="greaterThanOrEqual">
      <formula>0.5</formula>
    </cfRule>
  </conditionalFormatting>
  <conditionalFormatting sqref="AB25">
    <cfRule type="cellIs" dxfId="6140" priority="143616" stopIfTrue="1" operator="equal">
      <formula>-1</formula>
    </cfRule>
  </conditionalFormatting>
  <conditionalFormatting sqref="AB25">
    <cfRule type="cellIs" dxfId="6139" priority="143617" stopIfTrue="1" operator="lessThan">
      <formula>0.5</formula>
    </cfRule>
  </conditionalFormatting>
  <conditionalFormatting sqref="AB25">
    <cfRule type="cellIs" dxfId="6138" priority="143618" stopIfTrue="1" operator="greaterThanOrEqual">
      <formula>0.5</formula>
    </cfRule>
  </conditionalFormatting>
  <conditionalFormatting sqref="AB26">
    <cfRule type="cellIs" dxfId="6137" priority="143619" stopIfTrue="1" operator="equal">
      <formula>-1</formula>
    </cfRule>
  </conditionalFormatting>
  <conditionalFormatting sqref="AB26">
    <cfRule type="cellIs" dxfId="6136" priority="143620" stopIfTrue="1" operator="lessThan">
      <formula>0.5</formula>
    </cfRule>
  </conditionalFormatting>
  <conditionalFormatting sqref="AB26">
    <cfRule type="cellIs" dxfId="6135" priority="143621" stopIfTrue="1" operator="greaterThanOrEqual">
      <formula>0.5</formula>
    </cfRule>
  </conditionalFormatting>
  <conditionalFormatting sqref="AB27">
    <cfRule type="cellIs" dxfId="6134" priority="143622" stopIfTrue="1" operator="equal">
      <formula>-1</formula>
    </cfRule>
  </conditionalFormatting>
  <conditionalFormatting sqref="AB27">
    <cfRule type="cellIs" dxfId="6133" priority="143623" stopIfTrue="1" operator="lessThan">
      <formula>0.5</formula>
    </cfRule>
  </conditionalFormatting>
  <conditionalFormatting sqref="AB27">
    <cfRule type="cellIs" dxfId="6132" priority="143624" stopIfTrue="1" operator="greaterThanOrEqual">
      <formula>0.5</formula>
    </cfRule>
  </conditionalFormatting>
  <conditionalFormatting sqref="AB28">
    <cfRule type="cellIs" dxfId="6131" priority="143625" stopIfTrue="1" operator="equal">
      <formula>-1</formula>
    </cfRule>
  </conditionalFormatting>
  <conditionalFormatting sqref="AB28">
    <cfRule type="cellIs" dxfId="6130" priority="143626" stopIfTrue="1" operator="lessThan">
      <formula>0.5</formula>
    </cfRule>
  </conditionalFormatting>
  <conditionalFormatting sqref="AB28">
    <cfRule type="cellIs" dxfId="6129" priority="143627" stopIfTrue="1" operator="greaterThanOrEqual">
      <formula>0.5</formula>
    </cfRule>
  </conditionalFormatting>
  <conditionalFormatting sqref="AB29">
    <cfRule type="cellIs" dxfId="6128" priority="143628" stopIfTrue="1" operator="equal">
      <formula>-1</formula>
    </cfRule>
  </conditionalFormatting>
  <conditionalFormatting sqref="AB29">
    <cfRule type="cellIs" dxfId="6127" priority="143629" stopIfTrue="1" operator="lessThan">
      <formula>0.5</formula>
    </cfRule>
  </conditionalFormatting>
  <conditionalFormatting sqref="AB29">
    <cfRule type="cellIs" dxfId="6126" priority="143630" stopIfTrue="1" operator="greaterThanOrEqual">
      <formula>0.5</formula>
    </cfRule>
  </conditionalFormatting>
  <conditionalFormatting sqref="AB30">
    <cfRule type="cellIs" dxfId="6125" priority="143631" stopIfTrue="1" operator="equal">
      <formula>-1</formula>
    </cfRule>
  </conditionalFormatting>
  <conditionalFormatting sqref="AB30">
    <cfRule type="cellIs" dxfId="6124" priority="143632" stopIfTrue="1" operator="lessThan">
      <formula>0.5</formula>
    </cfRule>
  </conditionalFormatting>
  <conditionalFormatting sqref="AB30">
    <cfRule type="cellIs" dxfId="6123" priority="143633" stopIfTrue="1" operator="greaterThanOrEqual">
      <formula>0.5</formula>
    </cfRule>
  </conditionalFormatting>
  <conditionalFormatting sqref="AB31">
    <cfRule type="cellIs" dxfId="6122" priority="143634" stopIfTrue="1" operator="equal">
      <formula>-1</formula>
    </cfRule>
  </conditionalFormatting>
  <conditionalFormatting sqref="AB31">
    <cfRule type="cellIs" dxfId="6121" priority="143635" stopIfTrue="1" operator="lessThan">
      <formula>0.5</formula>
    </cfRule>
  </conditionalFormatting>
  <conditionalFormatting sqref="AB31">
    <cfRule type="cellIs" dxfId="6120" priority="143636" stopIfTrue="1" operator="greaterThanOrEqual">
      <formula>0.5</formula>
    </cfRule>
  </conditionalFormatting>
  <conditionalFormatting sqref="AB32">
    <cfRule type="cellIs" dxfId="6119" priority="143637" stopIfTrue="1" operator="equal">
      <formula>-1</formula>
    </cfRule>
  </conditionalFormatting>
  <conditionalFormatting sqref="AB32">
    <cfRule type="cellIs" dxfId="6118" priority="143638" stopIfTrue="1" operator="lessThan">
      <formula>0.5</formula>
    </cfRule>
  </conditionalFormatting>
  <conditionalFormatting sqref="AB32">
    <cfRule type="cellIs" dxfId="6117" priority="143639" stopIfTrue="1" operator="greaterThanOrEqual">
      <formula>0.5</formula>
    </cfRule>
  </conditionalFormatting>
  <conditionalFormatting sqref="AB33">
    <cfRule type="cellIs" dxfId="6116" priority="143640" stopIfTrue="1" operator="equal">
      <formula>-1</formula>
    </cfRule>
  </conditionalFormatting>
  <conditionalFormatting sqref="AB33">
    <cfRule type="cellIs" dxfId="6115" priority="143641" stopIfTrue="1" operator="lessThan">
      <formula>0.5</formula>
    </cfRule>
  </conditionalFormatting>
  <conditionalFormatting sqref="AB33">
    <cfRule type="cellIs" dxfId="6114" priority="143642" stopIfTrue="1" operator="greaterThanOrEqual">
      <formula>0.5</formula>
    </cfRule>
  </conditionalFormatting>
  <conditionalFormatting sqref="AB34">
    <cfRule type="cellIs" dxfId="6113" priority="143643" stopIfTrue="1" operator="equal">
      <formula>-1</formula>
    </cfRule>
  </conditionalFormatting>
  <conditionalFormatting sqref="AB34">
    <cfRule type="cellIs" dxfId="6112" priority="143644" stopIfTrue="1" operator="lessThan">
      <formula>0.5</formula>
    </cfRule>
  </conditionalFormatting>
  <conditionalFormatting sqref="AB34">
    <cfRule type="cellIs" dxfId="6111" priority="143645" stopIfTrue="1" operator="greaterThanOrEqual">
      <formula>0.5</formula>
    </cfRule>
  </conditionalFormatting>
  <conditionalFormatting sqref="AB35">
    <cfRule type="cellIs" dxfId="6110" priority="143646" stopIfTrue="1" operator="equal">
      <formula>-1</formula>
    </cfRule>
  </conditionalFormatting>
  <conditionalFormatting sqref="AB35">
    <cfRule type="cellIs" dxfId="6109" priority="143647" stopIfTrue="1" operator="lessThan">
      <formula>0.5</formula>
    </cfRule>
  </conditionalFormatting>
  <conditionalFormatting sqref="AB35">
    <cfRule type="cellIs" dxfId="6108" priority="143648" stopIfTrue="1" operator="greaterThanOrEqual">
      <formula>0.5</formula>
    </cfRule>
  </conditionalFormatting>
  <conditionalFormatting sqref="AB36">
    <cfRule type="cellIs" dxfId="6107" priority="143649" stopIfTrue="1" operator="equal">
      <formula>-1</formula>
    </cfRule>
  </conditionalFormatting>
  <conditionalFormatting sqref="AB36">
    <cfRule type="cellIs" dxfId="6106" priority="143650" stopIfTrue="1" operator="lessThan">
      <formula>0.5</formula>
    </cfRule>
  </conditionalFormatting>
  <conditionalFormatting sqref="AB36">
    <cfRule type="cellIs" dxfId="6105" priority="143651" stopIfTrue="1" operator="greaterThanOrEqual">
      <formula>0.5</formula>
    </cfRule>
  </conditionalFormatting>
  <conditionalFormatting sqref="AB37">
    <cfRule type="cellIs" dxfId="6104" priority="143652" stopIfTrue="1" operator="equal">
      <formula>-1</formula>
    </cfRule>
  </conditionalFormatting>
  <conditionalFormatting sqref="AB37">
    <cfRule type="cellIs" dxfId="6103" priority="143653" stopIfTrue="1" operator="lessThan">
      <formula>0.5</formula>
    </cfRule>
  </conditionalFormatting>
  <conditionalFormatting sqref="AB37">
    <cfRule type="cellIs" dxfId="6102" priority="143654" stopIfTrue="1" operator="greaterThanOrEqual">
      <formula>0.5</formula>
    </cfRule>
  </conditionalFormatting>
  <conditionalFormatting sqref="AD17">
    <cfRule type="cellIs" dxfId="6101" priority="143655" stopIfTrue="1" operator="equal">
      <formula>-1</formula>
    </cfRule>
  </conditionalFormatting>
  <conditionalFormatting sqref="AD17">
    <cfRule type="cellIs" dxfId="6100" priority="143656" stopIfTrue="1" operator="lessThan">
      <formula>0.5</formula>
    </cfRule>
  </conditionalFormatting>
  <conditionalFormatting sqref="AD17">
    <cfRule type="cellIs" dxfId="6099" priority="143657" stopIfTrue="1" operator="greaterThanOrEqual">
      <formula>0.5</formula>
    </cfRule>
  </conditionalFormatting>
  <conditionalFormatting sqref="AD18">
    <cfRule type="cellIs" dxfId="6098" priority="143658" stopIfTrue="1" operator="equal">
      <formula>-1</formula>
    </cfRule>
  </conditionalFormatting>
  <conditionalFormatting sqref="AD18">
    <cfRule type="cellIs" dxfId="6097" priority="143659" stopIfTrue="1" operator="lessThan">
      <formula>0.5</formula>
    </cfRule>
  </conditionalFormatting>
  <conditionalFormatting sqref="AD18">
    <cfRule type="cellIs" dxfId="6096" priority="143660" stopIfTrue="1" operator="greaterThanOrEqual">
      <formula>0.5</formula>
    </cfRule>
  </conditionalFormatting>
  <conditionalFormatting sqref="AD19">
    <cfRule type="cellIs" dxfId="6095" priority="143661" stopIfTrue="1" operator="equal">
      <formula>-1</formula>
    </cfRule>
  </conditionalFormatting>
  <conditionalFormatting sqref="AD19">
    <cfRule type="cellIs" dxfId="6094" priority="143662" stopIfTrue="1" operator="lessThan">
      <formula>0.5</formula>
    </cfRule>
  </conditionalFormatting>
  <conditionalFormatting sqref="AD19">
    <cfRule type="cellIs" dxfId="6093" priority="143663" stopIfTrue="1" operator="greaterThanOrEqual">
      <formula>0.5</formula>
    </cfRule>
  </conditionalFormatting>
  <conditionalFormatting sqref="AD20">
    <cfRule type="cellIs" dxfId="6092" priority="143664" stopIfTrue="1" operator="equal">
      <formula>-1</formula>
    </cfRule>
  </conditionalFormatting>
  <conditionalFormatting sqref="AD20">
    <cfRule type="cellIs" dxfId="6091" priority="143665" stopIfTrue="1" operator="lessThan">
      <formula>0.5</formula>
    </cfRule>
  </conditionalFormatting>
  <conditionalFormatting sqref="AD20">
    <cfRule type="cellIs" dxfId="6090" priority="143666" stopIfTrue="1" operator="greaterThanOrEqual">
      <formula>0.5</formula>
    </cfRule>
  </conditionalFormatting>
  <conditionalFormatting sqref="AD21">
    <cfRule type="cellIs" dxfId="6089" priority="143667" stopIfTrue="1" operator="equal">
      <formula>-1</formula>
    </cfRule>
  </conditionalFormatting>
  <conditionalFormatting sqref="AD21">
    <cfRule type="cellIs" dxfId="6088" priority="143668" stopIfTrue="1" operator="lessThan">
      <formula>0.5</formula>
    </cfRule>
  </conditionalFormatting>
  <conditionalFormatting sqref="AD21">
    <cfRule type="cellIs" dxfId="6087" priority="143669" stopIfTrue="1" operator="greaterThanOrEqual">
      <formula>0.5</formula>
    </cfRule>
  </conditionalFormatting>
  <conditionalFormatting sqref="AD22">
    <cfRule type="cellIs" dxfId="6086" priority="143670" stopIfTrue="1" operator="equal">
      <formula>-1</formula>
    </cfRule>
  </conditionalFormatting>
  <conditionalFormatting sqref="AD22">
    <cfRule type="cellIs" dxfId="6085" priority="143671" stopIfTrue="1" operator="lessThan">
      <formula>0.5</formula>
    </cfRule>
  </conditionalFormatting>
  <conditionalFormatting sqref="AD22">
    <cfRule type="cellIs" dxfId="6084" priority="143672" stopIfTrue="1" operator="greaterThanOrEqual">
      <formula>0.5</formula>
    </cfRule>
  </conditionalFormatting>
  <conditionalFormatting sqref="AD23">
    <cfRule type="cellIs" dxfId="6083" priority="143673" stopIfTrue="1" operator="equal">
      <formula>-1</formula>
    </cfRule>
  </conditionalFormatting>
  <conditionalFormatting sqref="AD23">
    <cfRule type="cellIs" dxfId="6082" priority="143674" stopIfTrue="1" operator="lessThan">
      <formula>0.5</formula>
    </cfRule>
  </conditionalFormatting>
  <conditionalFormatting sqref="AD23">
    <cfRule type="cellIs" dxfId="6081" priority="143675" stopIfTrue="1" operator="greaterThanOrEqual">
      <formula>0.5</formula>
    </cfRule>
  </conditionalFormatting>
  <conditionalFormatting sqref="AD24">
    <cfRule type="cellIs" dxfId="6080" priority="143676" stopIfTrue="1" operator="equal">
      <formula>-1</formula>
    </cfRule>
  </conditionalFormatting>
  <conditionalFormatting sqref="AD24">
    <cfRule type="cellIs" dxfId="6079" priority="143677" stopIfTrue="1" operator="lessThan">
      <formula>0.5</formula>
    </cfRule>
  </conditionalFormatting>
  <conditionalFormatting sqref="AD24">
    <cfRule type="cellIs" dxfId="6078" priority="143678" stopIfTrue="1" operator="greaterThanOrEqual">
      <formula>0.5</formula>
    </cfRule>
  </conditionalFormatting>
  <conditionalFormatting sqref="AD25">
    <cfRule type="cellIs" dxfId="6077" priority="143679" stopIfTrue="1" operator="equal">
      <formula>-1</formula>
    </cfRule>
  </conditionalFormatting>
  <conditionalFormatting sqref="AD25">
    <cfRule type="cellIs" dxfId="6076" priority="143680" stopIfTrue="1" operator="lessThan">
      <formula>0.5</formula>
    </cfRule>
  </conditionalFormatting>
  <conditionalFormatting sqref="AD25">
    <cfRule type="cellIs" dxfId="6075" priority="143681" stopIfTrue="1" operator="greaterThanOrEqual">
      <formula>0.5</formula>
    </cfRule>
  </conditionalFormatting>
  <conditionalFormatting sqref="AD26">
    <cfRule type="cellIs" dxfId="6074" priority="143682" stopIfTrue="1" operator="equal">
      <formula>-1</formula>
    </cfRule>
  </conditionalFormatting>
  <conditionalFormatting sqref="AD26">
    <cfRule type="cellIs" dxfId="6073" priority="143683" stopIfTrue="1" operator="lessThan">
      <formula>0.5</formula>
    </cfRule>
  </conditionalFormatting>
  <conditionalFormatting sqref="AD26">
    <cfRule type="cellIs" dxfId="6072" priority="143684" stopIfTrue="1" operator="greaterThanOrEqual">
      <formula>0.5</formula>
    </cfRule>
  </conditionalFormatting>
  <conditionalFormatting sqref="AD27">
    <cfRule type="cellIs" dxfId="6071" priority="143685" stopIfTrue="1" operator="equal">
      <formula>-1</formula>
    </cfRule>
  </conditionalFormatting>
  <conditionalFormatting sqref="AD27">
    <cfRule type="cellIs" dxfId="6070" priority="143686" stopIfTrue="1" operator="lessThan">
      <formula>0.5</formula>
    </cfRule>
  </conditionalFormatting>
  <conditionalFormatting sqref="AD27">
    <cfRule type="cellIs" dxfId="6069" priority="143687" stopIfTrue="1" operator="greaterThanOrEqual">
      <formula>0.5</formula>
    </cfRule>
  </conditionalFormatting>
  <conditionalFormatting sqref="AD28">
    <cfRule type="cellIs" dxfId="6068" priority="143688" stopIfTrue="1" operator="equal">
      <formula>-1</formula>
    </cfRule>
  </conditionalFormatting>
  <conditionalFormatting sqref="AD28">
    <cfRule type="cellIs" dxfId="6067" priority="143689" stopIfTrue="1" operator="lessThan">
      <formula>0.5</formula>
    </cfRule>
  </conditionalFormatting>
  <conditionalFormatting sqref="AD28">
    <cfRule type="cellIs" dxfId="6066" priority="143690" stopIfTrue="1" operator="greaterThanOrEqual">
      <formula>0.5</formula>
    </cfRule>
  </conditionalFormatting>
  <conditionalFormatting sqref="AD29">
    <cfRule type="cellIs" dxfId="6065" priority="143691" stopIfTrue="1" operator="equal">
      <formula>-1</formula>
    </cfRule>
  </conditionalFormatting>
  <conditionalFormatting sqref="AD29">
    <cfRule type="cellIs" dxfId="6064" priority="143692" stopIfTrue="1" operator="lessThan">
      <formula>0.5</formula>
    </cfRule>
  </conditionalFormatting>
  <conditionalFormatting sqref="AD29">
    <cfRule type="cellIs" dxfId="6063" priority="143693" stopIfTrue="1" operator="greaterThanOrEqual">
      <formula>0.5</formula>
    </cfRule>
  </conditionalFormatting>
  <conditionalFormatting sqref="AD30">
    <cfRule type="cellIs" dxfId="6062" priority="143694" stopIfTrue="1" operator="equal">
      <formula>-1</formula>
    </cfRule>
  </conditionalFormatting>
  <conditionalFormatting sqref="AD30">
    <cfRule type="cellIs" dxfId="6061" priority="143695" stopIfTrue="1" operator="lessThan">
      <formula>0.5</formula>
    </cfRule>
  </conditionalFormatting>
  <conditionalFormatting sqref="AD30">
    <cfRule type="cellIs" dxfId="6060" priority="143696" stopIfTrue="1" operator="greaterThanOrEqual">
      <formula>0.5</formula>
    </cfRule>
  </conditionalFormatting>
  <conditionalFormatting sqref="AD31">
    <cfRule type="cellIs" dxfId="6059" priority="143697" stopIfTrue="1" operator="equal">
      <formula>-1</formula>
    </cfRule>
  </conditionalFormatting>
  <conditionalFormatting sqref="AD31">
    <cfRule type="cellIs" dxfId="6058" priority="143698" stopIfTrue="1" operator="lessThan">
      <formula>0.5</formula>
    </cfRule>
  </conditionalFormatting>
  <conditionalFormatting sqref="AD31">
    <cfRule type="cellIs" dxfId="6057" priority="143699" stopIfTrue="1" operator="greaterThanOrEqual">
      <formula>0.5</formula>
    </cfRule>
  </conditionalFormatting>
  <conditionalFormatting sqref="AD32">
    <cfRule type="cellIs" dxfId="6056" priority="143700" stopIfTrue="1" operator="equal">
      <formula>-1</formula>
    </cfRule>
  </conditionalFormatting>
  <conditionalFormatting sqref="AD32">
    <cfRule type="cellIs" dxfId="6055" priority="143701" stopIfTrue="1" operator="lessThan">
      <formula>0.5</formula>
    </cfRule>
  </conditionalFormatting>
  <conditionalFormatting sqref="AD32">
    <cfRule type="cellIs" dxfId="6054" priority="143702" stopIfTrue="1" operator="greaterThanOrEqual">
      <formula>0.5</formula>
    </cfRule>
  </conditionalFormatting>
  <conditionalFormatting sqref="AD33">
    <cfRule type="cellIs" dxfId="6053" priority="143703" stopIfTrue="1" operator="equal">
      <formula>-1</formula>
    </cfRule>
  </conditionalFormatting>
  <conditionalFormatting sqref="AD33">
    <cfRule type="cellIs" dxfId="6052" priority="143704" stopIfTrue="1" operator="lessThan">
      <formula>0.5</formula>
    </cfRule>
  </conditionalFormatting>
  <conditionalFormatting sqref="AD33">
    <cfRule type="cellIs" dxfId="6051" priority="143705" stopIfTrue="1" operator="greaterThanOrEqual">
      <formula>0.5</formula>
    </cfRule>
  </conditionalFormatting>
  <conditionalFormatting sqref="AD34">
    <cfRule type="cellIs" dxfId="6050" priority="143706" stopIfTrue="1" operator="equal">
      <formula>-1</formula>
    </cfRule>
  </conditionalFormatting>
  <conditionalFormatting sqref="AD34">
    <cfRule type="cellIs" dxfId="6049" priority="143707" stopIfTrue="1" operator="lessThan">
      <formula>0.5</formula>
    </cfRule>
  </conditionalFormatting>
  <conditionalFormatting sqref="AD34">
    <cfRule type="cellIs" dxfId="6048" priority="143708" stopIfTrue="1" operator="greaterThanOrEqual">
      <formula>0.5</formula>
    </cfRule>
  </conditionalFormatting>
  <conditionalFormatting sqref="AD35">
    <cfRule type="cellIs" dxfId="6047" priority="143709" stopIfTrue="1" operator="equal">
      <formula>-1</formula>
    </cfRule>
  </conditionalFormatting>
  <conditionalFormatting sqref="AD35">
    <cfRule type="cellIs" dxfId="6046" priority="143710" stopIfTrue="1" operator="lessThan">
      <formula>0.5</formula>
    </cfRule>
  </conditionalFormatting>
  <conditionalFormatting sqref="AD35">
    <cfRule type="cellIs" dxfId="6045" priority="143711" stopIfTrue="1" operator="greaterThanOrEqual">
      <formula>0.5</formula>
    </cfRule>
  </conditionalFormatting>
  <conditionalFormatting sqref="AD36">
    <cfRule type="cellIs" dxfId="6044" priority="143712" stopIfTrue="1" operator="equal">
      <formula>-1</formula>
    </cfRule>
  </conditionalFormatting>
  <conditionalFormatting sqref="AD36">
    <cfRule type="cellIs" dxfId="6043" priority="143713" stopIfTrue="1" operator="lessThan">
      <formula>0.5</formula>
    </cfRule>
  </conditionalFormatting>
  <conditionalFormatting sqref="AD36">
    <cfRule type="cellIs" dxfId="6042" priority="143714" stopIfTrue="1" operator="greaterThanOrEqual">
      <formula>0.5</formula>
    </cfRule>
  </conditionalFormatting>
  <conditionalFormatting sqref="AD37">
    <cfRule type="cellIs" dxfId="6041" priority="143715" stopIfTrue="1" operator="equal">
      <formula>-1</formula>
    </cfRule>
  </conditionalFormatting>
  <conditionalFormatting sqref="AD37">
    <cfRule type="cellIs" dxfId="6040" priority="143716" stopIfTrue="1" operator="lessThan">
      <formula>0.5</formula>
    </cfRule>
  </conditionalFormatting>
  <conditionalFormatting sqref="AD37">
    <cfRule type="cellIs" dxfId="6039" priority="143717" stopIfTrue="1" operator="greaterThanOrEqual">
      <formula>0.5</formula>
    </cfRule>
  </conditionalFormatting>
  <conditionalFormatting sqref="AF17">
    <cfRule type="cellIs" dxfId="6038" priority="143718" stopIfTrue="1" operator="equal">
      <formula>-1</formula>
    </cfRule>
  </conditionalFormatting>
  <conditionalFormatting sqref="AF17">
    <cfRule type="cellIs" dxfId="6037" priority="143719" stopIfTrue="1" operator="lessThan">
      <formula>0.5</formula>
    </cfRule>
  </conditionalFormatting>
  <conditionalFormatting sqref="AF17">
    <cfRule type="cellIs" dxfId="6036" priority="143720" stopIfTrue="1" operator="greaterThanOrEqual">
      <formula>0.5</formula>
    </cfRule>
  </conditionalFormatting>
  <conditionalFormatting sqref="AF18">
    <cfRule type="cellIs" dxfId="6035" priority="143721" stopIfTrue="1" operator="equal">
      <formula>-1</formula>
    </cfRule>
  </conditionalFormatting>
  <conditionalFormatting sqref="AF18">
    <cfRule type="cellIs" dxfId="6034" priority="143722" stopIfTrue="1" operator="lessThan">
      <formula>0.5</formula>
    </cfRule>
  </conditionalFormatting>
  <conditionalFormatting sqref="AF18">
    <cfRule type="cellIs" dxfId="6033" priority="143723" stopIfTrue="1" operator="greaterThanOrEqual">
      <formula>0.5</formula>
    </cfRule>
  </conditionalFormatting>
  <conditionalFormatting sqref="AF19">
    <cfRule type="cellIs" dxfId="6032" priority="143724" stopIfTrue="1" operator="equal">
      <formula>-1</formula>
    </cfRule>
  </conditionalFormatting>
  <conditionalFormatting sqref="AF19">
    <cfRule type="cellIs" dxfId="6031" priority="143725" stopIfTrue="1" operator="lessThan">
      <formula>0.5</formula>
    </cfRule>
  </conditionalFormatting>
  <conditionalFormatting sqref="AF19">
    <cfRule type="cellIs" dxfId="6030" priority="143726" stopIfTrue="1" operator="greaterThanOrEqual">
      <formula>0.5</formula>
    </cfRule>
  </conditionalFormatting>
  <conditionalFormatting sqref="AF20">
    <cfRule type="cellIs" dxfId="6029" priority="143727" stopIfTrue="1" operator="equal">
      <formula>-1</formula>
    </cfRule>
  </conditionalFormatting>
  <conditionalFormatting sqref="AF20">
    <cfRule type="cellIs" dxfId="6028" priority="143728" stopIfTrue="1" operator="lessThan">
      <formula>0.5</formula>
    </cfRule>
  </conditionalFormatting>
  <conditionalFormatting sqref="AF20">
    <cfRule type="cellIs" dxfId="6027" priority="143729" stopIfTrue="1" operator="greaterThanOrEqual">
      <formula>0.5</formula>
    </cfRule>
  </conditionalFormatting>
  <conditionalFormatting sqref="AF21">
    <cfRule type="cellIs" dxfId="6026" priority="143730" stopIfTrue="1" operator="equal">
      <formula>-1</formula>
    </cfRule>
  </conditionalFormatting>
  <conditionalFormatting sqref="AF21">
    <cfRule type="cellIs" dxfId="6025" priority="143731" stopIfTrue="1" operator="lessThan">
      <formula>0.5</formula>
    </cfRule>
  </conditionalFormatting>
  <conditionalFormatting sqref="AF21">
    <cfRule type="cellIs" dxfId="6024" priority="143732" stopIfTrue="1" operator="greaterThanOrEqual">
      <formula>0.5</formula>
    </cfRule>
  </conditionalFormatting>
  <conditionalFormatting sqref="AF22">
    <cfRule type="cellIs" dxfId="6023" priority="143733" stopIfTrue="1" operator="equal">
      <formula>-1</formula>
    </cfRule>
  </conditionalFormatting>
  <conditionalFormatting sqref="AF22">
    <cfRule type="cellIs" dxfId="6022" priority="143734" stopIfTrue="1" operator="lessThan">
      <formula>0.5</formula>
    </cfRule>
  </conditionalFormatting>
  <conditionalFormatting sqref="AF22">
    <cfRule type="cellIs" dxfId="6021" priority="143735" stopIfTrue="1" operator="greaterThanOrEqual">
      <formula>0.5</formula>
    </cfRule>
  </conditionalFormatting>
  <conditionalFormatting sqref="AF23">
    <cfRule type="cellIs" dxfId="6020" priority="143736" stopIfTrue="1" operator="equal">
      <formula>-1</formula>
    </cfRule>
  </conditionalFormatting>
  <conditionalFormatting sqref="AF23">
    <cfRule type="cellIs" dxfId="6019" priority="143737" stopIfTrue="1" operator="lessThan">
      <formula>0.5</formula>
    </cfRule>
  </conditionalFormatting>
  <conditionalFormatting sqref="AF23">
    <cfRule type="cellIs" dxfId="6018" priority="143738" stopIfTrue="1" operator="greaterThanOrEqual">
      <formula>0.5</formula>
    </cfRule>
  </conditionalFormatting>
  <conditionalFormatting sqref="AF24">
    <cfRule type="cellIs" dxfId="6017" priority="143739" stopIfTrue="1" operator="equal">
      <formula>-1</formula>
    </cfRule>
  </conditionalFormatting>
  <conditionalFormatting sqref="AF24">
    <cfRule type="cellIs" dxfId="6016" priority="143740" stopIfTrue="1" operator="lessThan">
      <formula>0.5</formula>
    </cfRule>
  </conditionalFormatting>
  <conditionalFormatting sqref="AF24">
    <cfRule type="cellIs" dxfId="6015" priority="143741" stopIfTrue="1" operator="greaterThanOrEqual">
      <formula>0.5</formula>
    </cfRule>
  </conditionalFormatting>
  <conditionalFormatting sqref="AF25">
    <cfRule type="cellIs" dxfId="6014" priority="143742" stopIfTrue="1" operator="equal">
      <formula>-1</formula>
    </cfRule>
  </conditionalFormatting>
  <conditionalFormatting sqref="AF25">
    <cfRule type="cellIs" dxfId="6013" priority="143743" stopIfTrue="1" operator="lessThan">
      <formula>0.5</formula>
    </cfRule>
  </conditionalFormatting>
  <conditionalFormatting sqref="AF25">
    <cfRule type="cellIs" dxfId="6012" priority="143744" stopIfTrue="1" operator="greaterThanOrEqual">
      <formula>0.5</formula>
    </cfRule>
  </conditionalFormatting>
  <conditionalFormatting sqref="AF26">
    <cfRule type="cellIs" dxfId="6011" priority="143745" stopIfTrue="1" operator="equal">
      <formula>-1</formula>
    </cfRule>
  </conditionalFormatting>
  <conditionalFormatting sqref="AF26">
    <cfRule type="cellIs" dxfId="6010" priority="143746" stopIfTrue="1" operator="lessThan">
      <formula>0.5</formula>
    </cfRule>
  </conditionalFormatting>
  <conditionalFormatting sqref="AF26">
    <cfRule type="cellIs" dxfId="6009" priority="143747" stopIfTrue="1" operator="greaterThanOrEqual">
      <formula>0.5</formula>
    </cfRule>
  </conditionalFormatting>
  <conditionalFormatting sqref="AF27">
    <cfRule type="cellIs" dxfId="6008" priority="143748" stopIfTrue="1" operator="equal">
      <formula>-1</formula>
    </cfRule>
  </conditionalFormatting>
  <conditionalFormatting sqref="AF27">
    <cfRule type="cellIs" dxfId="6007" priority="143749" stopIfTrue="1" operator="lessThan">
      <formula>0.5</formula>
    </cfRule>
  </conditionalFormatting>
  <conditionalFormatting sqref="AF27">
    <cfRule type="cellIs" dxfId="6006" priority="143750" stopIfTrue="1" operator="greaterThanOrEqual">
      <formula>0.5</formula>
    </cfRule>
  </conditionalFormatting>
  <conditionalFormatting sqref="AF28">
    <cfRule type="cellIs" dxfId="6005" priority="143751" stopIfTrue="1" operator="equal">
      <formula>-1</formula>
    </cfRule>
  </conditionalFormatting>
  <conditionalFormatting sqref="AF28">
    <cfRule type="cellIs" dxfId="6004" priority="143752" stopIfTrue="1" operator="lessThan">
      <formula>0.5</formula>
    </cfRule>
  </conditionalFormatting>
  <conditionalFormatting sqref="AF28">
    <cfRule type="cellIs" dxfId="6003" priority="143753" stopIfTrue="1" operator="greaterThanOrEqual">
      <formula>0.5</formula>
    </cfRule>
  </conditionalFormatting>
  <conditionalFormatting sqref="AF29">
    <cfRule type="cellIs" dxfId="6002" priority="143754" stopIfTrue="1" operator="equal">
      <formula>-1</formula>
    </cfRule>
  </conditionalFormatting>
  <conditionalFormatting sqref="AF29">
    <cfRule type="cellIs" dxfId="6001" priority="143755" stopIfTrue="1" operator="lessThan">
      <formula>0.5</formula>
    </cfRule>
  </conditionalFormatting>
  <conditionalFormatting sqref="AF29">
    <cfRule type="cellIs" dxfId="6000" priority="143756" stopIfTrue="1" operator="greaterThanOrEqual">
      <formula>0.5</formula>
    </cfRule>
  </conditionalFormatting>
  <conditionalFormatting sqref="AF30">
    <cfRule type="cellIs" dxfId="5999" priority="143757" stopIfTrue="1" operator="equal">
      <formula>-1</formula>
    </cfRule>
  </conditionalFormatting>
  <conditionalFormatting sqref="AF30">
    <cfRule type="cellIs" dxfId="5998" priority="143758" stopIfTrue="1" operator="lessThan">
      <formula>0.5</formula>
    </cfRule>
  </conditionalFormatting>
  <conditionalFormatting sqref="AF30">
    <cfRule type="cellIs" dxfId="5997" priority="143759" stopIfTrue="1" operator="greaterThanOrEqual">
      <formula>0.5</formula>
    </cfRule>
  </conditionalFormatting>
  <conditionalFormatting sqref="AF31">
    <cfRule type="cellIs" dxfId="5996" priority="143760" stopIfTrue="1" operator="equal">
      <formula>-1</formula>
    </cfRule>
  </conditionalFormatting>
  <conditionalFormatting sqref="AF31">
    <cfRule type="cellIs" dxfId="5995" priority="143761" stopIfTrue="1" operator="lessThan">
      <formula>0.5</formula>
    </cfRule>
  </conditionalFormatting>
  <conditionalFormatting sqref="AF31">
    <cfRule type="cellIs" dxfId="5994" priority="143762" stopIfTrue="1" operator="greaterThanOrEqual">
      <formula>0.5</formula>
    </cfRule>
  </conditionalFormatting>
  <conditionalFormatting sqref="AF32">
    <cfRule type="cellIs" dxfId="5993" priority="143763" stopIfTrue="1" operator="equal">
      <formula>-1</formula>
    </cfRule>
  </conditionalFormatting>
  <conditionalFormatting sqref="AF32">
    <cfRule type="cellIs" dxfId="5992" priority="143764" stopIfTrue="1" operator="lessThan">
      <formula>0.5</formula>
    </cfRule>
  </conditionalFormatting>
  <conditionalFormatting sqref="AF32">
    <cfRule type="cellIs" dxfId="5991" priority="143765" stopIfTrue="1" operator="greaterThanOrEqual">
      <formula>0.5</formula>
    </cfRule>
  </conditionalFormatting>
  <conditionalFormatting sqref="AF33">
    <cfRule type="cellIs" dxfId="5990" priority="143766" stopIfTrue="1" operator="equal">
      <formula>-1</formula>
    </cfRule>
  </conditionalFormatting>
  <conditionalFormatting sqref="AF33">
    <cfRule type="cellIs" dxfId="5989" priority="143767" stopIfTrue="1" operator="lessThan">
      <formula>0.5</formula>
    </cfRule>
  </conditionalFormatting>
  <conditionalFormatting sqref="AF33">
    <cfRule type="cellIs" dxfId="5988" priority="143768" stopIfTrue="1" operator="greaterThanOrEqual">
      <formula>0.5</formula>
    </cfRule>
  </conditionalFormatting>
  <conditionalFormatting sqref="AF34">
    <cfRule type="cellIs" dxfId="5987" priority="143769" stopIfTrue="1" operator="equal">
      <formula>-1</formula>
    </cfRule>
  </conditionalFormatting>
  <conditionalFormatting sqref="AF34">
    <cfRule type="cellIs" dxfId="5986" priority="143770" stopIfTrue="1" operator="lessThan">
      <formula>0.5</formula>
    </cfRule>
  </conditionalFormatting>
  <conditionalFormatting sqref="AF34">
    <cfRule type="cellIs" dxfId="5985" priority="143771" stopIfTrue="1" operator="greaterThanOrEqual">
      <formula>0.5</formula>
    </cfRule>
  </conditionalFormatting>
  <conditionalFormatting sqref="AF35">
    <cfRule type="cellIs" dxfId="5984" priority="143772" stopIfTrue="1" operator="equal">
      <formula>-1</formula>
    </cfRule>
  </conditionalFormatting>
  <conditionalFormatting sqref="AF35">
    <cfRule type="cellIs" dxfId="5983" priority="143773" stopIfTrue="1" operator="lessThan">
      <formula>0.5</formula>
    </cfRule>
  </conditionalFormatting>
  <conditionalFormatting sqref="AF35">
    <cfRule type="cellIs" dxfId="5982" priority="143774" stopIfTrue="1" operator="greaterThanOrEqual">
      <formula>0.5</formula>
    </cfRule>
  </conditionalFormatting>
  <conditionalFormatting sqref="AF36">
    <cfRule type="cellIs" dxfId="5981" priority="143775" stopIfTrue="1" operator="equal">
      <formula>-1</formula>
    </cfRule>
  </conditionalFormatting>
  <conditionalFormatting sqref="AF36">
    <cfRule type="cellIs" dxfId="5980" priority="143776" stopIfTrue="1" operator="lessThan">
      <formula>0.5</formula>
    </cfRule>
  </conditionalFormatting>
  <conditionalFormatting sqref="AF36">
    <cfRule type="cellIs" dxfId="5979" priority="143777" stopIfTrue="1" operator="greaterThanOrEqual">
      <formula>0.5</formula>
    </cfRule>
  </conditionalFormatting>
  <conditionalFormatting sqref="AF37">
    <cfRule type="cellIs" dxfId="5978" priority="143778" stopIfTrue="1" operator="equal">
      <formula>-1</formula>
    </cfRule>
  </conditionalFormatting>
  <conditionalFormatting sqref="AF37">
    <cfRule type="cellIs" dxfId="5977" priority="143779" stopIfTrue="1" operator="lessThan">
      <formula>0.5</formula>
    </cfRule>
  </conditionalFormatting>
  <conditionalFormatting sqref="AF37">
    <cfRule type="cellIs" dxfId="5976" priority="143780" stopIfTrue="1" operator="greaterThanOrEqual">
      <formula>0.5</formula>
    </cfRule>
  </conditionalFormatting>
  <conditionalFormatting sqref="AH17">
    <cfRule type="cellIs" dxfId="5975" priority="143781" stopIfTrue="1" operator="equal">
      <formula>-1</formula>
    </cfRule>
  </conditionalFormatting>
  <conditionalFormatting sqref="AH17">
    <cfRule type="cellIs" dxfId="5974" priority="143782" stopIfTrue="1" operator="lessThan">
      <formula>0.5</formula>
    </cfRule>
  </conditionalFormatting>
  <conditionalFormatting sqref="AH17">
    <cfRule type="cellIs" dxfId="5973" priority="143783" stopIfTrue="1" operator="greaterThanOrEqual">
      <formula>0.5</formula>
    </cfRule>
  </conditionalFormatting>
  <conditionalFormatting sqref="AH18">
    <cfRule type="cellIs" dxfId="5972" priority="143784" stopIfTrue="1" operator="equal">
      <formula>-1</formula>
    </cfRule>
  </conditionalFormatting>
  <conditionalFormatting sqref="AH18">
    <cfRule type="cellIs" dxfId="5971" priority="143785" stopIfTrue="1" operator="lessThan">
      <formula>0.5</formula>
    </cfRule>
  </conditionalFormatting>
  <conditionalFormatting sqref="AH18">
    <cfRule type="cellIs" dxfId="5970" priority="143786" stopIfTrue="1" operator="greaterThanOrEqual">
      <formula>0.5</formula>
    </cfRule>
  </conditionalFormatting>
  <conditionalFormatting sqref="AH19">
    <cfRule type="cellIs" dxfId="5969" priority="143787" stopIfTrue="1" operator="equal">
      <formula>-1</formula>
    </cfRule>
  </conditionalFormatting>
  <conditionalFormatting sqref="AH19">
    <cfRule type="cellIs" dxfId="5968" priority="143788" stopIfTrue="1" operator="lessThan">
      <formula>0.5</formula>
    </cfRule>
  </conditionalFormatting>
  <conditionalFormatting sqref="AH19">
    <cfRule type="cellIs" dxfId="5967" priority="143789" stopIfTrue="1" operator="greaterThanOrEqual">
      <formula>0.5</formula>
    </cfRule>
  </conditionalFormatting>
  <conditionalFormatting sqref="AH20">
    <cfRule type="cellIs" dxfId="5966" priority="143790" stopIfTrue="1" operator="equal">
      <formula>-1</formula>
    </cfRule>
  </conditionalFormatting>
  <conditionalFormatting sqref="AH20">
    <cfRule type="cellIs" dxfId="5965" priority="143791" stopIfTrue="1" operator="lessThan">
      <formula>0.5</formula>
    </cfRule>
  </conditionalFormatting>
  <conditionalFormatting sqref="AH20">
    <cfRule type="cellIs" dxfId="5964" priority="143792" stopIfTrue="1" operator="greaterThanOrEqual">
      <formula>0.5</formula>
    </cfRule>
  </conditionalFormatting>
  <conditionalFormatting sqref="AH21">
    <cfRule type="cellIs" dxfId="5963" priority="143793" stopIfTrue="1" operator="equal">
      <formula>-1</formula>
    </cfRule>
  </conditionalFormatting>
  <conditionalFormatting sqref="AH21">
    <cfRule type="cellIs" dxfId="5962" priority="143794" stopIfTrue="1" operator="lessThan">
      <formula>0.5</formula>
    </cfRule>
  </conditionalFormatting>
  <conditionalFormatting sqref="AH21">
    <cfRule type="cellIs" dxfId="5961" priority="143795" stopIfTrue="1" operator="greaterThanOrEqual">
      <formula>0.5</formula>
    </cfRule>
  </conditionalFormatting>
  <conditionalFormatting sqref="AH22">
    <cfRule type="cellIs" dxfId="5960" priority="143796" stopIfTrue="1" operator="equal">
      <formula>-1</formula>
    </cfRule>
  </conditionalFormatting>
  <conditionalFormatting sqref="AH22">
    <cfRule type="cellIs" dxfId="5959" priority="143797" stopIfTrue="1" operator="lessThan">
      <formula>0.5</formula>
    </cfRule>
  </conditionalFormatting>
  <conditionalFormatting sqref="AH22">
    <cfRule type="cellIs" dxfId="5958" priority="143798" stopIfTrue="1" operator="greaterThanOrEqual">
      <formula>0.5</formula>
    </cfRule>
  </conditionalFormatting>
  <conditionalFormatting sqref="AH23">
    <cfRule type="cellIs" dxfId="5957" priority="143799" stopIfTrue="1" operator="equal">
      <formula>-1</formula>
    </cfRule>
  </conditionalFormatting>
  <conditionalFormatting sqref="AH23">
    <cfRule type="cellIs" dxfId="5956" priority="143800" stopIfTrue="1" operator="lessThan">
      <formula>0.5</formula>
    </cfRule>
  </conditionalFormatting>
  <conditionalFormatting sqref="AH23">
    <cfRule type="cellIs" dxfId="5955" priority="143801" stopIfTrue="1" operator="greaterThanOrEqual">
      <formula>0.5</formula>
    </cfRule>
  </conditionalFormatting>
  <conditionalFormatting sqref="AH24">
    <cfRule type="cellIs" dxfId="5954" priority="143802" stopIfTrue="1" operator="equal">
      <formula>-1</formula>
    </cfRule>
  </conditionalFormatting>
  <conditionalFormatting sqref="AH24">
    <cfRule type="cellIs" dxfId="5953" priority="143803" stopIfTrue="1" operator="lessThan">
      <formula>0.5</formula>
    </cfRule>
  </conditionalFormatting>
  <conditionalFormatting sqref="AH24">
    <cfRule type="cellIs" dxfId="5952" priority="143804" stopIfTrue="1" operator="greaterThanOrEqual">
      <formula>0.5</formula>
    </cfRule>
  </conditionalFormatting>
  <conditionalFormatting sqref="AH25">
    <cfRule type="cellIs" dxfId="5951" priority="143805" stopIfTrue="1" operator="equal">
      <formula>-1</formula>
    </cfRule>
  </conditionalFormatting>
  <conditionalFormatting sqref="AH25">
    <cfRule type="cellIs" dxfId="5950" priority="143806" stopIfTrue="1" operator="lessThan">
      <formula>0.5</formula>
    </cfRule>
  </conditionalFormatting>
  <conditionalFormatting sqref="AH25">
    <cfRule type="cellIs" dxfId="5949" priority="143807" stopIfTrue="1" operator="greaterThanOrEqual">
      <formula>0.5</formula>
    </cfRule>
  </conditionalFormatting>
  <conditionalFormatting sqref="AH26">
    <cfRule type="cellIs" dxfId="5948" priority="143808" stopIfTrue="1" operator="equal">
      <formula>-1</formula>
    </cfRule>
  </conditionalFormatting>
  <conditionalFormatting sqref="AH26">
    <cfRule type="cellIs" dxfId="5947" priority="143809" stopIfTrue="1" operator="lessThan">
      <formula>0.5</formula>
    </cfRule>
  </conditionalFormatting>
  <conditionalFormatting sqref="AH26">
    <cfRule type="cellIs" dxfId="5946" priority="143810" stopIfTrue="1" operator="greaterThanOrEqual">
      <formula>0.5</formula>
    </cfRule>
  </conditionalFormatting>
  <conditionalFormatting sqref="AH27">
    <cfRule type="cellIs" dxfId="5945" priority="143811" stopIfTrue="1" operator="equal">
      <formula>-1</formula>
    </cfRule>
  </conditionalFormatting>
  <conditionalFormatting sqref="AH27">
    <cfRule type="cellIs" dxfId="5944" priority="143812" stopIfTrue="1" operator="lessThan">
      <formula>0.5</formula>
    </cfRule>
  </conditionalFormatting>
  <conditionalFormatting sqref="AH27">
    <cfRule type="cellIs" dxfId="5943" priority="143813" stopIfTrue="1" operator="greaterThanOrEqual">
      <formula>0.5</formula>
    </cfRule>
  </conditionalFormatting>
  <conditionalFormatting sqref="AH28">
    <cfRule type="cellIs" dxfId="5942" priority="143814" stopIfTrue="1" operator="equal">
      <formula>-1</formula>
    </cfRule>
  </conditionalFormatting>
  <conditionalFormatting sqref="AH28">
    <cfRule type="cellIs" dxfId="5941" priority="143815" stopIfTrue="1" operator="lessThan">
      <formula>0.5</formula>
    </cfRule>
  </conditionalFormatting>
  <conditionalFormatting sqref="AH28">
    <cfRule type="cellIs" dxfId="5940" priority="143816" stopIfTrue="1" operator="greaterThanOrEqual">
      <formula>0.5</formula>
    </cfRule>
  </conditionalFormatting>
  <conditionalFormatting sqref="AH29">
    <cfRule type="cellIs" dxfId="5939" priority="143817" stopIfTrue="1" operator="equal">
      <formula>-1</formula>
    </cfRule>
  </conditionalFormatting>
  <conditionalFormatting sqref="AH29">
    <cfRule type="cellIs" dxfId="5938" priority="143818" stopIfTrue="1" operator="lessThan">
      <formula>0.5</formula>
    </cfRule>
  </conditionalFormatting>
  <conditionalFormatting sqref="AH29">
    <cfRule type="cellIs" dxfId="5937" priority="143819" stopIfTrue="1" operator="greaterThanOrEqual">
      <formula>0.5</formula>
    </cfRule>
  </conditionalFormatting>
  <conditionalFormatting sqref="AH30">
    <cfRule type="cellIs" dxfId="5936" priority="143820" stopIfTrue="1" operator="equal">
      <formula>-1</formula>
    </cfRule>
  </conditionalFormatting>
  <conditionalFormatting sqref="AH30">
    <cfRule type="cellIs" dxfId="5935" priority="143821" stopIfTrue="1" operator="lessThan">
      <formula>0.5</formula>
    </cfRule>
  </conditionalFormatting>
  <conditionalFormatting sqref="AH30">
    <cfRule type="cellIs" dxfId="5934" priority="143822" stopIfTrue="1" operator="greaterThanOrEqual">
      <formula>0.5</formula>
    </cfRule>
  </conditionalFormatting>
  <conditionalFormatting sqref="AH31">
    <cfRule type="cellIs" dxfId="5933" priority="143823" stopIfTrue="1" operator="equal">
      <formula>-1</formula>
    </cfRule>
  </conditionalFormatting>
  <conditionalFormatting sqref="AH31">
    <cfRule type="cellIs" dxfId="5932" priority="143824" stopIfTrue="1" operator="lessThan">
      <formula>0.5</formula>
    </cfRule>
  </conditionalFormatting>
  <conditionalFormatting sqref="AH31">
    <cfRule type="cellIs" dxfId="5931" priority="143825" stopIfTrue="1" operator="greaterThanOrEqual">
      <formula>0.5</formula>
    </cfRule>
  </conditionalFormatting>
  <conditionalFormatting sqref="AH32">
    <cfRule type="cellIs" dxfId="5930" priority="143826" stopIfTrue="1" operator="equal">
      <formula>-1</formula>
    </cfRule>
  </conditionalFormatting>
  <conditionalFormatting sqref="AH32">
    <cfRule type="cellIs" dxfId="5929" priority="143827" stopIfTrue="1" operator="lessThan">
      <formula>0.5</formula>
    </cfRule>
  </conditionalFormatting>
  <conditionalFormatting sqref="AH32">
    <cfRule type="cellIs" dxfId="5928" priority="143828" stopIfTrue="1" operator="greaterThanOrEqual">
      <formula>0.5</formula>
    </cfRule>
  </conditionalFormatting>
  <conditionalFormatting sqref="AH33">
    <cfRule type="cellIs" dxfId="5927" priority="143829" stopIfTrue="1" operator="equal">
      <formula>-1</formula>
    </cfRule>
  </conditionalFormatting>
  <conditionalFormatting sqref="AH33">
    <cfRule type="cellIs" dxfId="5926" priority="143830" stopIfTrue="1" operator="lessThan">
      <formula>0.5</formula>
    </cfRule>
  </conditionalFormatting>
  <conditionalFormatting sqref="AH33">
    <cfRule type="cellIs" dxfId="5925" priority="143831" stopIfTrue="1" operator="greaterThanOrEqual">
      <formula>0.5</formula>
    </cfRule>
  </conditionalFormatting>
  <conditionalFormatting sqref="AH34">
    <cfRule type="cellIs" dxfId="5924" priority="143832" stopIfTrue="1" operator="equal">
      <formula>-1</formula>
    </cfRule>
  </conditionalFormatting>
  <conditionalFormatting sqref="AH34">
    <cfRule type="cellIs" dxfId="5923" priority="143833" stopIfTrue="1" operator="lessThan">
      <formula>0.5</formula>
    </cfRule>
  </conditionalFormatting>
  <conditionalFormatting sqref="AH34">
    <cfRule type="cellIs" dxfId="5922" priority="143834" stopIfTrue="1" operator="greaterThanOrEqual">
      <formula>0.5</formula>
    </cfRule>
  </conditionalFormatting>
  <conditionalFormatting sqref="AH35">
    <cfRule type="cellIs" dxfId="5921" priority="143835" stopIfTrue="1" operator="equal">
      <formula>-1</formula>
    </cfRule>
  </conditionalFormatting>
  <conditionalFormatting sqref="AH35">
    <cfRule type="cellIs" dxfId="5920" priority="143836" stopIfTrue="1" operator="lessThan">
      <formula>0.5</formula>
    </cfRule>
  </conditionalFormatting>
  <conditionalFormatting sqref="AH35">
    <cfRule type="cellIs" dxfId="5919" priority="143837" stopIfTrue="1" operator="greaterThanOrEqual">
      <formula>0.5</formula>
    </cfRule>
  </conditionalFormatting>
  <conditionalFormatting sqref="AH36">
    <cfRule type="cellIs" dxfId="5918" priority="143838" stopIfTrue="1" operator="equal">
      <formula>-1</formula>
    </cfRule>
  </conditionalFormatting>
  <conditionalFormatting sqref="AH36">
    <cfRule type="cellIs" dxfId="5917" priority="143839" stopIfTrue="1" operator="lessThan">
      <formula>0.5</formula>
    </cfRule>
  </conditionalFormatting>
  <conditionalFormatting sqref="AH36">
    <cfRule type="cellIs" dxfId="5916" priority="143840" stopIfTrue="1" operator="greaterThanOrEqual">
      <formula>0.5</formula>
    </cfRule>
  </conditionalFormatting>
  <conditionalFormatting sqref="AH37">
    <cfRule type="cellIs" dxfId="5915" priority="143841" stopIfTrue="1" operator="equal">
      <formula>-1</formula>
    </cfRule>
  </conditionalFormatting>
  <conditionalFormatting sqref="AH37">
    <cfRule type="cellIs" dxfId="5914" priority="143842" stopIfTrue="1" operator="lessThan">
      <formula>0.5</formula>
    </cfRule>
  </conditionalFormatting>
  <conditionalFormatting sqref="AH37">
    <cfRule type="cellIs" dxfId="5913" priority="143843" stopIfTrue="1" operator="greaterThanOrEqual">
      <formula>0.5</formula>
    </cfRule>
  </conditionalFormatting>
  <conditionalFormatting sqref="AJ17">
    <cfRule type="cellIs" dxfId="5912" priority="143844" stopIfTrue="1" operator="equal">
      <formula>-1</formula>
    </cfRule>
  </conditionalFormatting>
  <conditionalFormatting sqref="AJ17">
    <cfRule type="cellIs" dxfId="5911" priority="143845" stopIfTrue="1" operator="lessThan">
      <formula>0.5</formula>
    </cfRule>
  </conditionalFormatting>
  <conditionalFormatting sqref="AJ17">
    <cfRule type="cellIs" dxfId="5910" priority="143846" stopIfTrue="1" operator="greaterThanOrEqual">
      <formula>0.5</formula>
    </cfRule>
  </conditionalFormatting>
  <conditionalFormatting sqref="AJ18">
    <cfRule type="cellIs" dxfId="5909" priority="143847" stopIfTrue="1" operator="equal">
      <formula>-1</formula>
    </cfRule>
  </conditionalFormatting>
  <conditionalFormatting sqref="AJ18">
    <cfRule type="cellIs" dxfId="5908" priority="143848" stopIfTrue="1" operator="lessThan">
      <formula>0.5</formula>
    </cfRule>
  </conditionalFormatting>
  <conditionalFormatting sqref="AJ18">
    <cfRule type="cellIs" dxfId="5907" priority="143849" stopIfTrue="1" operator="greaterThanOrEqual">
      <formula>0.5</formula>
    </cfRule>
  </conditionalFormatting>
  <conditionalFormatting sqref="AJ19">
    <cfRule type="cellIs" dxfId="5906" priority="143850" stopIfTrue="1" operator="equal">
      <formula>-1</formula>
    </cfRule>
  </conditionalFormatting>
  <conditionalFormatting sqref="AJ19">
    <cfRule type="cellIs" dxfId="5905" priority="143851" stopIfTrue="1" operator="lessThan">
      <formula>0.5</formula>
    </cfRule>
  </conditionalFormatting>
  <conditionalFormatting sqref="AJ19">
    <cfRule type="cellIs" dxfId="5904" priority="143852" stopIfTrue="1" operator="greaterThanOrEqual">
      <formula>0.5</formula>
    </cfRule>
  </conditionalFormatting>
  <conditionalFormatting sqref="AJ20">
    <cfRule type="cellIs" dxfId="5903" priority="143853" stopIfTrue="1" operator="equal">
      <formula>-1</formula>
    </cfRule>
  </conditionalFormatting>
  <conditionalFormatting sqref="AJ20">
    <cfRule type="cellIs" dxfId="5902" priority="143854" stopIfTrue="1" operator="lessThan">
      <formula>0.5</formula>
    </cfRule>
  </conditionalFormatting>
  <conditionalFormatting sqref="AJ20">
    <cfRule type="cellIs" dxfId="5901" priority="143855" stopIfTrue="1" operator="greaterThanOrEqual">
      <formula>0.5</formula>
    </cfRule>
  </conditionalFormatting>
  <conditionalFormatting sqref="AJ21">
    <cfRule type="cellIs" dxfId="5900" priority="143856" stopIfTrue="1" operator="equal">
      <formula>-1</formula>
    </cfRule>
  </conditionalFormatting>
  <conditionalFormatting sqref="AJ21">
    <cfRule type="cellIs" dxfId="5899" priority="143857" stopIfTrue="1" operator="lessThan">
      <formula>0.5</formula>
    </cfRule>
  </conditionalFormatting>
  <conditionalFormatting sqref="AJ21">
    <cfRule type="cellIs" dxfId="5898" priority="143858" stopIfTrue="1" operator="greaterThanOrEqual">
      <formula>0.5</formula>
    </cfRule>
  </conditionalFormatting>
  <conditionalFormatting sqref="AJ22">
    <cfRule type="cellIs" dxfId="5897" priority="143859" stopIfTrue="1" operator="equal">
      <formula>-1</formula>
    </cfRule>
  </conditionalFormatting>
  <conditionalFormatting sqref="AJ22">
    <cfRule type="cellIs" dxfId="5896" priority="143860" stopIfTrue="1" operator="lessThan">
      <formula>0.5</formula>
    </cfRule>
  </conditionalFormatting>
  <conditionalFormatting sqref="AJ22">
    <cfRule type="cellIs" dxfId="5895" priority="143861" stopIfTrue="1" operator="greaterThanOrEqual">
      <formula>0.5</formula>
    </cfRule>
  </conditionalFormatting>
  <conditionalFormatting sqref="AJ23">
    <cfRule type="cellIs" dxfId="5894" priority="143862" stopIfTrue="1" operator="equal">
      <formula>-1</formula>
    </cfRule>
  </conditionalFormatting>
  <conditionalFormatting sqref="AJ23">
    <cfRule type="cellIs" dxfId="5893" priority="143863" stopIfTrue="1" operator="lessThan">
      <formula>0.5</formula>
    </cfRule>
  </conditionalFormatting>
  <conditionalFormatting sqref="AJ23">
    <cfRule type="cellIs" dxfId="5892" priority="143864" stopIfTrue="1" operator="greaterThanOrEqual">
      <formula>0.5</formula>
    </cfRule>
  </conditionalFormatting>
  <conditionalFormatting sqref="AJ24">
    <cfRule type="cellIs" dxfId="5891" priority="143865" stopIfTrue="1" operator="equal">
      <formula>-1</formula>
    </cfRule>
  </conditionalFormatting>
  <conditionalFormatting sqref="AJ24">
    <cfRule type="cellIs" dxfId="5890" priority="143866" stopIfTrue="1" operator="lessThan">
      <formula>0.5</formula>
    </cfRule>
  </conditionalFormatting>
  <conditionalFormatting sqref="AJ24">
    <cfRule type="cellIs" dxfId="5889" priority="143867" stopIfTrue="1" operator="greaterThanOrEqual">
      <formula>0.5</formula>
    </cfRule>
  </conditionalFormatting>
  <conditionalFormatting sqref="AJ25">
    <cfRule type="cellIs" dxfId="5888" priority="143868" stopIfTrue="1" operator="equal">
      <formula>-1</formula>
    </cfRule>
  </conditionalFormatting>
  <conditionalFormatting sqref="AJ25">
    <cfRule type="cellIs" dxfId="5887" priority="143869" stopIfTrue="1" operator="lessThan">
      <formula>0.5</formula>
    </cfRule>
  </conditionalFormatting>
  <conditionalFormatting sqref="AJ25">
    <cfRule type="cellIs" dxfId="5886" priority="143870" stopIfTrue="1" operator="greaterThanOrEqual">
      <formula>0.5</formula>
    </cfRule>
  </conditionalFormatting>
  <conditionalFormatting sqref="AJ26">
    <cfRule type="cellIs" dxfId="5885" priority="143871" stopIfTrue="1" operator="equal">
      <formula>-1</formula>
    </cfRule>
  </conditionalFormatting>
  <conditionalFormatting sqref="AJ26">
    <cfRule type="cellIs" dxfId="5884" priority="143872" stopIfTrue="1" operator="lessThan">
      <formula>0.5</formula>
    </cfRule>
  </conditionalFormatting>
  <conditionalFormatting sqref="AJ26">
    <cfRule type="cellIs" dxfId="5883" priority="143873" stopIfTrue="1" operator="greaterThanOrEqual">
      <formula>0.5</formula>
    </cfRule>
  </conditionalFormatting>
  <conditionalFormatting sqref="AJ27">
    <cfRule type="cellIs" dxfId="5882" priority="143874" stopIfTrue="1" operator="equal">
      <formula>-1</formula>
    </cfRule>
  </conditionalFormatting>
  <conditionalFormatting sqref="AJ27">
    <cfRule type="cellIs" dxfId="5881" priority="143875" stopIfTrue="1" operator="lessThan">
      <formula>0.5</formula>
    </cfRule>
  </conditionalFormatting>
  <conditionalFormatting sqref="AJ27">
    <cfRule type="cellIs" dxfId="5880" priority="143876" stopIfTrue="1" operator="greaterThanOrEqual">
      <formula>0.5</formula>
    </cfRule>
  </conditionalFormatting>
  <conditionalFormatting sqref="AJ28">
    <cfRule type="cellIs" dxfId="5879" priority="143877" stopIfTrue="1" operator="equal">
      <formula>-1</formula>
    </cfRule>
  </conditionalFormatting>
  <conditionalFormatting sqref="AJ28">
    <cfRule type="cellIs" dxfId="5878" priority="143878" stopIfTrue="1" operator="lessThan">
      <formula>0.5</formula>
    </cfRule>
  </conditionalFormatting>
  <conditionalFormatting sqref="AJ28">
    <cfRule type="cellIs" dxfId="5877" priority="143879" stopIfTrue="1" operator="greaterThanOrEqual">
      <formula>0.5</formula>
    </cfRule>
  </conditionalFormatting>
  <conditionalFormatting sqref="AJ29">
    <cfRule type="cellIs" dxfId="5876" priority="143880" stopIfTrue="1" operator="equal">
      <formula>-1</formula>
    </cfRule>
  </conditionalFormatting>
  <conditionalFormatting sqref="AJ29">
    <cfRule type="cellIs" dxfId="5875" priority="143881" stopIfTrue="1" operator="lessThan">
      <formula>0.5</formula>
    </cfRule>
  </conditionalFormatting>
  <conditionalFormatting sqref="AJ29">
    <cfRule type="cellIs" dxfId="5874" priority="143882" stopIfTrue="1" operator="greaterThanOrEqual">
      <formula>0.5</formula>
    </cfRule>
  </conditionalFormatting>
  <conditionalFormatting sqref="AJ30">
    <cfRule type="cellIs" dxfId="5873" priority="143883" stopIfTrue="1" operator="equal">
      <formula>-1</formula>
    </cfRule>
  </conditionalFormatting>
  <conditionalFormatting sqref="AJ30">
    <cfRule type="cellIs" dxfId="5872" priority="143884" stopIfTrue="1" operator="lessThan">
      <formula>0.5</formula>
    </cfRule>
  </conditionalFormatting>
  <conditionalFormatting sqref="AJ30">
    <cfRule type="cellIs" dxfId="5871" priority="143885" stopIfTrue="1" operator="greaterThanOrEqual">
      <formula>0.5</formula>
    </cfRule>
  </conditionalFormatting>
  <conditionalFormatting sqref="AJ31">
    <cfRule type="cellIs" dxfId="5870" priority="143886" stopIfTrue="1" operator="equal">
      <formula>-1</formula>
    </cfRule>
  </conditionalFormatting>
  <conditionalFormatting sqref="AJ31">
    <cfRule type="cellIs" dxfId="5869" priority="143887" stopIfTrue="1" operator="lessThan">
      <formula>0.5</formula>
    </cfRule>
  </conditionalFormatting>
  <conditionalFormatting sqref="AJ31">
    <cfRule type="cellIs" dxfId="5868" priority="143888" stopIfTrue="1" operator="greaterThanOrEqual">
      <formula>0.5</formula>
    </cfRule>
  </conditionalFormatting>
  <conditionalFormatting sqref="AJ32">
    <cfRule type="cellIs" dxfId="5867" priority="143889" stopIfTrue="1" operator="equal">
      <formula>-1</formula>
    </cfRule>
  </conditionalFormatting>
  <conditionalFormatting sqref="AJ32">
    <cfRule type="cellIs" dxfId="5866" priority="143890" stopIfTrue="1" operator="lessThan">
      <formula>0.5</formula>
    </cfRule>
  </conditionalFormatting>
  <conditionalFormatting sqref="AJ32">
    <cfRule type="cellIs" dxfId="5865" priority="143891" stopIfTrue="1" operator="greaterThanOrEqual">
      <formula>0.5</formula>
    </cfRule>
  </conditionalFormatting>
  <conditionalFormatting sqref="AJ33">
    <cfRule type="cellIs" dxfId="5864" priority="143892" stopIfTrue="1" operator="equal">
      <formula>-1</formula>
    </cfRule>
  </conditionalFormatting>
  <conditionalFormatting sqref="AJ33">
    <cfRule type="cellIs" dxfId="5863" priority="143893" stopIfTrue="1" operator="lessThan">
      <formula>0.5</formula>
    </cfRule>
  </conditionalFormatting>
  <conditionalFormatting sqref="AJ33">
    <cfRule type="cellIs" dxfId="5862" priority="143894" stopIfTrue="1" operator="greaterThanOrEqual">
      <formula>0.5</formula>
    </cfRule>
  </conditionalFormatting>
  <conditionalFormatting sqref="AJ34">
    <cfRule type="cellIs" dxfId="5861" priority="143895" stopIfTrue="1" operator="equal">
      <formula>-1</formula>
    </cfRule>
  </conditionalFormatting>
  <conditionalFormatting sqref="AJ34">
    <cfRule type="cellIs" dxfId="5860" priority="143896" stopIfTrue="1" operator="lessThan">
      <formula>0.5</formula>
    </cfRule>
  </conditionalFormatting>
  <conditionalFormatting sqref="AJ34">
    <cfRule type="cellIs" dxfId="5859" priority="143897" stopIfTrue="1" operator="greaterThanOrEqual">
      <formula>0.5</formula>
    </cfRule>
  </conditionalFormatting>
  <conditionalFormatting sqref="AJ35">
    <cfRule type="cellIs" dxfId="5858" priority="143898" stopIfTrue="1" operator="equal">
      <formula>-1</formula>
    </cfRule>
  </conditionalFormatting>
  <conditionalFormatting sqref="AJ35">
    <cfRule type="cellIs" dxfId="5857" priority="143899" stopIfTrue="1" operator="lessThan">
      <formula>0.5</formula>
    </cfRule>
  </conditionalFormatting>
  <conditionalFormatting sqref="AJ35">
    <cfRule type="cellIs" dxfId="5856" priority="143900" stopIfTrue="1" operator="greaterThanOrEqual">
      <formula>0.5</formula>
    </cfRule>
  </conditionalFormatting>
  <conditionalFormatting sqref="AJ36">
    <cfRule type="cellIs" dxfId="5855" priority="143901" stopIfTrue="1" operator="equal">
      <formula>-1</formula>
    </cfRule>
  </conditionalFormatting>
  <conditionalFormatting sqref="AJ36">
    <cfRule type="cellIs" dxfId="5854" priority="143902" stopIfTrue="1" operator="lessThan">
      <formula>0.5</formula>
    </cfRule>
  </conditionalFormatting>
  <conditionalFormatting sqref="AJ36">
    <cfRule type="cellIs" dxfId="5853" priority="143903" stopIfTrue="1" operator="greaterThanOrEqual">
      <formula>0.5</formula>
    </cfRule>
  </conditionalFormatting>
  <conditionalFormatting sqref="AJ37">
    <cfRule type="cellIs" dxfId="5852" priority="143904" stopIfTrue="1" operator="equal">
      <formula>-1</formula>
    </cfRule>
  </conditionalFormatting>
  <conditionalFormatting sqref="AJ37">
    <cfRule type="cellIs" dxfId="5851" priority="143905" stopIfTrue="1" operator="lessThan">
      <formula>0.5</formula>
    </cfRule>
  </conditionalFormatting>
  <conditionalFormatting sqref="AJ37">
    <cfRule type="cellIs" dxfId="5850" priority="143906" stopIfTrue="1" operator="greaterThanOrEqual">
      <formula>0.5</formula>
    </cfRule>
  </conditionalFormatting>
  <conditionalFormatting sqref="AL17">
    <cfRule type="cellIs" dxfId="5849" priority="143907" stopIfTrue="1" operator="equal">
      <formula>-1</formula>
    </cfRule>
  </conditionalFormatting>
  <conditionalFormatting sqref="AL17">
    <cfRule type="cellIs" dxfId="5848" priority="143908" stopIfTrue="1" operator="lessThan">
      <formula>0.5</formula>
    </cfRule>
  </conditionalFormatting>
  <conditionalFormatting sqref="AL17">
    <cfRule type="cellIs" dxfId="5847" priority="143909" stopIfTrue="1" operator="greaterThanOrEqual">
      <formula>0.5</formula>
    </cfRule>
  </conditionalFormatting>
  <conditionalFormatting sqref="AL18">
    <cfRule type="cellIs" dxfId="5846" priority="143910" stopIfTrue="1" operator="equal">
      <formula>-1</formula>
    </cfRule>
  </conditionalFormatting>
  <conditionalFormatting sqref="AL18">
    <cfRule type="cellIs" dxfId="5845" priority="143911" stopIfTrue="1" operator="lessThan">
      <formula>0.5</formula>
    </cfRule>
  </conditionalFormatting>
  <conditionalFormatting sqref="AL18">
    <cfRule type="cellIs" dxfId="5844" priority="143912" stopIfTrue="1" operator="greaterThanOrEqual">
      <formula>0.5</formula>
    </cfRule>
  </conditionalFormatting>
  <conditionalFormatting sqref="AL19">
    <cfRule type="cellIs" dxfId="5843" priority="143913" stopIfTrue="1" operator="equal">
      <formula>-1</formula>
    </cfRule>
  </conditionalFormatting>
  <conditionalFormatting sqref="AL19">
    <cfRule type="cellIs" dxfId="5842" priority="143914" stopIfTrue="1" operator="lessThan">
      <formula>0.5</formula>
    </cfRule>
  </conditionalFormatting>
  <conditionalFormatting sqref="AL19">
    <cfRule type="cellIs" dxfId="5841" priority="143915" stopIfTrue="1" operator="greaterThanOrEqual">
      <formula>0.5</formula>
    </cfRule>
  </conditionalFormatting>
  <conditionalFormatting sqref="AL20">
    <cfRule type="cellIs" dxfId="5840" priority="143916" stopIfTrue="1" operator="equal">
      <formula>-1</formula>
    </cfRule>
  </conditionalFormatting>
  <conditionalFormatting sqref="AL20">
    <cfRule type="cellIs" dxfId="5839" priority="143917" stopIfTrue="1" operator="lessThan">
      <formula>0.5</formula>
    </cfRule>
  </conditionalFormatting>
  <conditionalFormatting sqref="AL20">
    <cfRule type="cellIs" dxfId="5838" priority="143918" stopIfTrue="1" operator="greaterThanOrEqual">
      <formula>0.5</formula>
    </cfRule>
  </conditionalFormatting>
  <conditionalFormatting sqref="AL21">
    <cfRule type="cellIs" dxfId="5837" priority="143919" stopIfTrue="1" operator="equal">
      <formula>-1</formula>
    </cfRule>
  </conditionalFormatting>
  <conditionalFormatting sqref="AL21">
    <cfRule type="cellIs" dxfId="5836" priority="143920" stopIfTrue="1" operator="lessThan">
      <formula>0.5</formula>
    </cfRule>
  </conditionalFormatting>
  <conditionalFormatting sqref="AL21">
    <cfRule type="cellIs" dxfId="5835" priority="143921" stopIfTrue="1" operator="greaterThanOrEqual">
      <formula>0.5</formula>
    </cfRule>
  </conditionalFormatting>
  <conditionalFormatting sqref="AL22">
    <cfRule type="cellIs" dxfId="5834" priority="143922" stopIfTrue="1" operator="equal">
      <formula>-1</formula>
    </cfRule>
  </conditionalFormatting>
  <conditionalFormatting sqref="AL22">
    <cfRule type="cellIs" dxfId="5833" priority="143923" stopIfTrue="1" operator="lessThan">
      <formula>0.5</formula>
    </cfRule>
  </conditionalFormatting>
  <conditionalFormatting sqref="AL22">
    <cfRule type="cellIs" dxfId="5832" priority="143924" stopIfTrue="1" operator="greaterThanOrEqual">
      <formula>0.5</formula>
    </cfRule>
  </conditionalFormatting>
  <conditionalFormatting sqref="AL23">
    <cfRule type="cellIs" dxfId="5831" priority="143925" stopIfTrue="1" operator="equal">
      <formula>-1</formula>
    </cfRule>
  </conditionalFormatting>
  <conditionalFormatting sqref="AL23">
    <cfRule type="cellIs" dxfId="5830" priority="143926" stopIfTrue="1" operator="lessThan">
      <formula>0.5</formula>
    </cfRule>
  </conditionalFormatting>
  <conditionalFormatting sqref="AL23">
    <cfRule type="cellIs" dxfId="5829" priority="143927" stopIfTrue="1" operator="greaterThanOrEqual">
      <formula>0.5</formula>
    </cfRule>
  </conditionalFormatting>
  <conditionalFormatting sqref="AL24">
    <cfRule type="cellIs" dxfId="5828" priority="143928" stopIfTrue="1" operator="equal">
      <formula>-1</formula>
    </cfRule>
  </conditionalFormatting>
  <conditionalFormatting sqref="AL24">
    <cfRule type="cellIs" dxfId="5827" priority="143929" stopIfTrue="1" operator="lessThan">
      <formula>0.5</formula>
    </cfRule>
  </conditionalFormatting>
  <conditionalFormatting sqref="AL24">
    <cfRule type="cellIs" dxfId="5826" priority="143930" stopIfTrue="1" operator="greaterThanOrEqual">
      <formula>0.5</formula>
    </cfRule>
  </conditionalFormatting>
  <conditionalFormatting sqref="AL25">
    <cfRule type="cellIs" dxfId="5825" priority="143931" stopIfTrue="1" operator="equal">
      <formula>-1</formula>
    </cfRule>
  </conditionalFormatting>
  <conditionalFormatting sqref="AL25">
    <cfRule type="cellIs" dxfId="5824" priority="143932" stopIfTrue="1" operator="lessThan">
      <formula>0.5</formula>
    </cfRule>
  </conditionalFormatting>
  <conditionalFormatting sqref="AL25">
    <cfRule type="cellIs" dxfId="5823" priority="143933" stopIfTrue="1" operator="greaterThanOrEqual">
      <formula>0.5</formula>
    </cfRule>
  </conditionalFormatting>
  <conditionalFormatting sqref="AL26">
    <cfRule type="cellIs" dxfId="5822" priority="143934" stopIfTrue="1" operator="equal">
      <formula>-1</formula>
    </cfRule>
  </conditionalFormatting>
  <conditionalFormatting sqref="AL26">
    <cfRule type="cellIs" dxfId="5821" priority="143935" stopIfTrue="1" operator="lessThan">
      <formula>0.5</formula>
    </cfRule>
  </conditionalFormatting>
  <conditionalFormatting sqref="AL26">
    <cfRule type="cellIs" dxfId="5820" priority="143936" stopIfTrue="1" operator="greaterThanOrEqual">
      <formula>0.5</formula>
    </cfRule>
  </conditionalFormatting>
  <conditionalFormatting sqref="AL27">
    <cfRule type="cellIs" dxfId="5819" priority="143937" stopIfTrue="1" operator="equal">
      <formula>-1</formula>
    </cfRule>
  </conditionalFormatting>
  <conditionalFormatting sqref="AL27">
    <cfRule type="cellIs" dxfId="5818" priority="143938" stopIfTrue="1" operator="lessThan">
      <formula>0.5</formula>
    </cfRule>
  </conditionalFormatting>
  <conditionalFormatting sqref="AL27">
    <cfRule type="cellIs" dxfId="5817" priority="143939" stopIfTrue="1" operator="greaterThanOrEqual">
      <formula>0.5</formula>
    </cfRule>
  </conditionalFormatting>
  <conditionalFormatting sqref="AL28">
    <cfRule type="cellIs" dxfId="5816" priority="143940" stopIfTrue="1" operator="equal">
      <formula>-1</formula>
    </cfRule>
  </conditionalFormatting>
  <conditionalFormatting sqref="AL28">
    <cfRule type="cellIs" dxfId="5815" priority="143941" stopIfTrue="1" operator="lessThan">
      <formula>0.5</formula>
    </cfRule>
  </conditionalFormatting>
  <conditionalFormatting sqref="AL28">
    <cfRule type="cellIs" dxfId="5814" priority="143942" stopIfTrue="1" operator="greaterThanOrEqual">
      <formula>0.5</formula>
    </cfRule>
  </conditionalFormatting>
  <conditionalFormatting sqref="AL29">
    <cfRule type="cellIs" dxfId="5813" priority="143943" stopIfTrue="1" operator="equal">
      <formula>-1</formula>
    </cfRule>
  </conditionalFormatting>
  <conditionalFormatting sqref="AL29">
    <cfRule type="cellIs" dxfId="5812" priority="143944" stopIfTrue="1" operator="lessThan">
      <formula>0.5</formula>
    </cfRule>
  </conditionalFormatting>
  <conditionalFormatting sqref="AL29">
    <cfRule type="cellIs" dxfId="5811" priority="143945" stopIfTrue="1" operator="greaterThanOrEqual">
      <formula>0.5</formula>
    </cfRule>
  </conditionalFormatting>
  <conditionalFormatting sqref="AL30">
    <cfRule type="cellIs" dxfId="5810" priority="143946" stopIfTrue="1" operator="equal">
      <formula>-1</formula>
    </cfRule>
  </conditionalFormatting>
  <conditionalFormatting sqref="AL30">
    <cfRule type="cellIs" dxfId="5809" priority="143947" stopIfTrue="1" operator="lessThan">
      <formula>0.5</formula>
    </cfRule>
  </conditionalFormatting>
  <conditionalFormatting sqref="AL30">
    <cfRule type="cellIs" dxfId="5808" priority="143948" stopIfTrue="1" operator="greaterThanOrEqual">
      <formula>0.5</formula>
    </cfRule>
  </conditionalFormatting>
  <conditionalFormatting sqref="AL31">
    <cfRule type="cellIs" dxfId="5807" priority="143949" stopIfTrue="1" operator="equal">
      <formula>-1</formula>
    </cfRule>
  </conditionalFormatting>
  <conditionalFormatting sqref="AL31">
    <cfRule type="cellIs" dxfId="5806" priority="143950" stopIfTrue="1" operator="lessThan">
      <formula>0.5</formula>
    </cfRule>
  </conditionalFormatting>
  <conditionalFormatting sqref="AL31">
    <cfRule type="cellIs" dxfId="5805" priority="143951" stopIfTrue="1" operator="greaterThanOrEqual">
      <formula>0.5</formula>
    </cfRule>
  </conditionalFormatting>
  <conditionalFormatting sqref="AL32">
    <cfRule type="cellIs" dxfId="5804" priority="143952" stopIfTrue="1" operator="equal">
      <formula>-1</formula>
    </cfRule>
  </conditionalFormatting>
  <conditionalFormatting sqref="AL32">
    <cfRule type="cellIs" dxfId="5803" priority="143953" stopIfTrue="1" operator="lessThan">
      <formula>0.5</formula>
    </cfRule>
  </conditionalFormatting>
  <conditionalFormatting sqref="AL32">
    <cfRule type="cellIs" dxfId="5802" priority="143954" stopIfTrue="1" operator="greaterThanOrEqual">
      <formula>0.5</formula>
    </cfRule>
  </conditionalFormatting>
  <conditionalFormatting sqref="AL33">
    <cfRule type="cellIs" dxfId="5801" priority="143955" stopIfTrue="1" operator="equal">
      <formula>-1</formula>
    </cfRule>
  </conditionalFormatting>
  <conditionalFormatting sqref="AL33">
    <cfRule type="cellIs" dxfId="5800" priority="143956" stopIfTrue="1" operator="lessThan">
      <formula>0.5</formula>
    </cfRule>
  </conditionalFormatting>
  <conditionalFormatting sqref="AL33">
    <cfRule type="cellIs" dxfId="5799" priority="143957" stopIfTrue="1" operator="greaterThanOrEqual">
      <formula>0.5</formula>
    </cfRule>
  </conditionalFormatting>
  <conditionalFormatting sqref="AL34">
    <cfRule type="cellIs" dxfId="5798" priority="143958" stopIfTrue="1" operator="equal">
      <formula>-1</formula>
    </cfRule>
  </conditionalFormatting>
  <conditionalFormatting sqref="AL34">
    <cfRule type="cellIs" dxfId="5797" priority="143959" stopIfTrue="1" operator="lessThan">
      <formula>0.5</formula>
    </cfRule>
  </conditionalFormatting>
  <conditionalFormatting sqref="AL34">
    <cfRule type="cellIs" dxfId="5796" priority="143960" stopIfTrue="1" operator="greaterThanOrEqual">
      <formula>0.5</formula>
    </cfRule>
  </conditionalFormatting>
  <conditionalFormatting sqref="AL35">
    <cfRule type="cellIs" dxfId="5795" priority="143961" stopIfTrue="1" operator="equal">
      <formula>-1</formula>
    </cfRule>
  </conditionalFormatting>
  <conditionalFormatting sqref="AL35">
    <cfRule type="cellIs" dxfId="5794" priority="143962" stopIfTrue="1" operator="lessThan">
      <formula>0.5</formula>
    </cfRule>
  </conditionalFormatting>
  <conditionalFormatting sqref="AL35">
    <cfRule type="cellIs" dxfId="5793" priority="143963" stopIfTrue="1" operator="greaterThanOrEqual">
      <formula>0.5</formula>
    </cfRule>
  </conditionalFormatting>
  <conditionalFormatting sqref="AL36">
    <cfRule type="cellIs" dxfId="5792" priority="143964" stopIfTrue="1" operator="equal">
      <formula>-1</formula>
    </cfRule>
  </conditionalFormatting>
  <conditionalFormatting sqref="AL36">
    <cfRule type="cellIs" dxfId="5791" priority="143965" stopIfTrue="1" operator="lessThan">
      <formula>0.5</formula>
    </cfRule>
  </conditionalFormatting>
  <conditionalFormatting sqref="AL36">
    <cfRule type="cellIs" dxfId="5790" priority="143966" stopIfTrue="1" operator="greaterThanOrEqual">
      <formula>0.5</formula>
    </cfRule>
  </conditionalFormatting>
  <conditionalFormatting sqref="AL37">
    <cfRule type="cellIs" dxfId="5789" priority="143967" stopIfTrue="1" operator="equal">
      <formula>-1</formula>
    </cfRule>
  </conditionalFormatting>
  <conditionalFormatting sqref="AL37">
    <cfRule type="cellIs" dxfId="5788" priority="143968" stopIfTrue="1" operator="lessThan">
      <formula>0.5</formula>
    </cfRule>
  </conditionalFormatting>
  <conditionalFormatting sqref="AL37">
    <cfRule type="cellIs" dxfId="5787" priority="143969" stopIfTrue="1" operator="greaterThanOrEqual">
      <formula>0.5</formula>
    </cfRule>
  </conditionalFormatting>
  <conditionalFormatting sqref="AN17">
    <cfRule type="cellIs" dxfId="5786" priority="143970" stopIfTrue="1" operator="equal">
      <formula>-1</formula>
    </cfRule>
  </conditionalFormatting>
  <conditionalFormatting sqref="AN17">
    <cfRule type="cellIs" dxfId="5785" priority="143971" stopIfTrue="1" operator="lessThan">
      <formula>0.5</formula>
    </cfRule>
  </conditionalFormatting>
  <conditionalFormatting sqref="AN17">
    <cfRule type="cellIs" dxfId="5784" priority="143972" stopIfTrue="1" operator="greaterThanOrEqual">
      <formula>0.5</formula>
    </cfRule>
  </conditionalFormatting>
  <conditionalFormatting sqref="AN18">
    <cfRule type="cellIs" dxfId="5783" priority="143973" stopIfTrue="1" operator="equal">
      <formula>-1</formula>
    </cfRule>
  </conditionalFormatting>
  <conditionalFormatting sqref="AN18">
    <cfRule type="cellIs" dxfId="5782" priority="143974" stopIfTrue="1" operator="lessThan">
      <formula>0.5</formula>
    </cfRule>
  </conditionalFormatting>
  <conditionalFormatting sqref="AN18">
    <cfRule type="cellIs" dxfId="5781" priority="143975" stopIfTrue="1" operator="greaterThanOrEqual">
      <formula>0.5</formula>
    </cfRule>
  </conditionalFormatting>
  <conditionalFormatting sqref="AN19">
    <cfRule type="cellIs" dxfId="5780" priority="143976" stopIfTrue="1" operator="equal">
      <formula>-1</formula>
    </cfRule>
  </conditionalFormatting>
  <conditionalFormatting sqref="AN19">
    <cfRule type="cellIs" dxfId="5779" priority="143977" stopIfTrue="1" operator="lessThan">
      <formula>0.5</formula>
    </cfRule>
  </conditionalFormatting>
  <conditionalFormatting sqref="AN19">
    <cfRule type="cellIs" dxfId="5778" priority="143978" stopIfTrue="1" operator="greaterThanOrEqual">
      <formula>0.5</formula>
    </cfRule>
  </conditionalFormatting>
  <conditionalFormatting sqref="AN20">
    <cfRule type="cellIs" dxfId="5777" priority="143979" stopIfTrue="1" operator="equal">
      <formula>-1</formula>
    </cfRule>
  </conditionalFormatting>
  <conditionalFormatting sqref="AN20">
    <cfRule type="cellIs" dxfId="5776" priority="143980" stopIfTrue="1" operator="lessThan">
      <formula>0.5</formula>
    </cfRule>
  </conditionalFormatting>
  <conditionalFormatting sqref="AN20">
    <cfRule type="cellIs" dxfId="5775" priority="143981" stopIfTrue="1" operator="greaterThanOrEqual">
      <formula>0.5</formula>
    </cfRule>
  </conditionalFormatting>
  <conditionalFormatting sqref="AN21">
    <cfRule type="cellIs" dxfId="5774" priority="143982" stopIfTrue="1" operator="equal">
      <formula>-1</formula>
    </cfRule>
  </conditionalFormatting>
  <conditionalFormatting sqref="AN21">
    <cfRule type="cellIs" dxfId="5773" priority="143983" stopIfTrue="1" operator="lessThan">
      <formula>0.5</formula>
    </cfRule>
  </conditionalFormatting>
  <conditionalFormatting sqref="AN21">
    <cfRule type="cellIs" dxfId="5772" priority="143984" stopIfTrue="1" operator="greaterThanOrEqual">
      <formula>0.5</formula>
    </cfRule>
  </conditionalFormatting>
  <conditionalFormatting sqref="AN22">
    <cfRule type="cellIs" dxfId="5771" priority="143985" stopIfTrue="1" operator="equal">
      <formula>-1</formula>
    </cfRule>
  </conditionalFormatting>
  <conditionalFormatting sqref="AN22">
    <cfRule type="cellIs" dxfId="5770" priority="143986" stopIfTrue="1" operator="lessThan">
      <formula>0.5</formula>
    </cfRule>
  </conditionalFormatting>
  <conditionalFormatting sqref="AN22">
    <cfRule type="cellIs" dxfId="5769" priority="143987" stopIfTrue="1" operator="greaterThanOrEqual">
      <formula>0.5</formula>
    </cfRule>
  </conditionalFormatting>
  <conditionalFormatting sqref="AN23">
    <cfRule type="cellIs" dxfId="5768" priority="143988" stopIfTrue="1" operator="equal">
      <formula>-1</formula>
    </cfRule>
  </conditionalFormatting>
  <conditionalFormatting sqref="AN23">
    <cfRule type="cellIs" dxfId="5767" priority="143989" stopIfTrue="1" operator="lessThan">
      <formula>0.5</formula>
    </cfRule>
  </conditionalFormatting>
  <conditionalFormatting sqref="AN23">
    <cfRule type="cellIs" dxfId="5766" priority="143990" stopIfTrue="1" operator="greaterThanOrEqual">
      <formula>0.5</formula>
    </cfRule>
  </conditionalFormatting>
  <conditionalFormatting sqref="AN24">
    <cfRule type="cellIs" dxfId="5765" priority="143991" stopIfTrue="1" operator="equal">
      <formula>-1</formula>
    </cfRule>
  </conditionalFormatting>
  <conditionalFormatting sqref="AN24">
    <cfRule type="cellIs" dxfId="5764" priority="143992" stopIfTrue="1" operator="lessThan">
      <formula>0.5</formula>
    </cfRule>
  </conditionalFormatting>
  <conditionalFormatting sqref="AN24">
    <cfRule type="cellIs" dxfId="5763" priority="143993" stopIfTrue="1" operator="greaterThanOrEqual">
      <formula>0.5</formula>
    </cfRule>
  </conditionalFormatting>
  <conditionalFormatting sqref="AN25">
    <cfRule type="cellIs" dxfId="5762" priority="143994" stopIfTrue="1" operator="equal">
      <formula>-1</formula>
    </cfRule>
  </conditionalFormatting>
  <conditionalFormatting sqref="AN25">
    <cfRule type="cellIs" dxfId="5761" priority="143995" stopIfTrue="1" operator="lessThan">
      <formula>0.5</formula>
    </cfRule>
  </conditionalFormatting>
  <conditionalFormatting sqref="AN25">
    <cfRule type="cellIs" dxfId="5760" priority="143996" stopIfTrue="1" operator="greaterThanOrEqual">
      <formula>0.5</formula>
    </cfRule>
  </conditionalFormatting>
  <conditionalFormatting sqref="AN26">
    <cfRule type="cellIs" dxfId="5759" priority="143997" stopIfTrue="1" operator="equal">
      <formula>-1</formula>
    </cfRule>
  </conditionalFormatting>
  <conditionalFormatting sqref="AN26">
    <cfRule type="cellIs" dxfId="5758" priority="143998" stopIfTrue="1" operator="lessThan">
      <formula>0.5</formula>
    </cfRule>
  </conditionalFormatting>
  <conditionalFormatting sqref="AN26">
    <cfRule type="cellIs" dxfId="5757" priority="143999" stopIfTrue="1" operator="greaterThanOrEqual">
      <formula>0.5</formula>
    </cfRule>
  </conditionalFormatting>
  <conditionalFormatting sqref="AN27">
    <cfRule type="cellIs" dxfId="5756" priority="144000" stopIfTrue="1" operator="equal">
      <formula>-1</formula>
    </cfRule>
  </conditionalFormatting>
  <conditionalFormatting sqref="AN27">
    <cfRule type="cellIs" dxfId="5755" priority="144001" stopIfTrue="1" operator="lessThan">
      <formula>0.5</formula>
    </cfRule>
  </conditionalFormatting>
  <conditionalFormatting sqref="AN27">
    <cfRule type="cellIs" dxfId="5754" priority="144002" stopIfTrue="1" operator="greaterThanOrEqual">
      <formula>0.5</formula>
    </cfRule>
  </conditionalFormatting>
  <conditionalFormatting sqref="AN28">
    <cfRule type="cellIs" dxfId="5753" priority="144003" stopIfTrue="1" operator="equal">
      <formula>-1</formula>
    </cfRule>
  </conditionalFormatting>
  <conditionalFormatting sqref="AN28">
    <cfRule type="cellIs" dxfId="5752" priority="144004" stopIfTrue="1" operator="lessThan">
      <formula>0.5</formula>
    </cfRule>
  </conditionalFormatting>
  <conditionalFormatting sqref="AN28">
    <cfRule type="cellIs" dxfId="5751" priority="144005" stopIfTrue="1" operator="greaterThanOrEqual">
      <formula>0.5</formula>
    </cfRule>
  </conditionalFormatting>
  <conditionalFormatting sqref="AN29">
    <cfRule type="cellIs" dxfId="5750" priority="144006" stopIfTrue="1" operator="equal">
      <formula>-1</formula>
    </cfRule>
  </conditionalFormatting>
  <conditionalFormatting sqref="AN29">
    <cfRule type="cellIs" dxfId="5749" priority="144007" stopIfTrue="1" operator="lessThan">
      <formula>0.5</formula>
    </cfRule>
  </conditionalFormatting>
  <conditionalFormatting sqref="AN29">
    <cfRule type="cellIs" dxfId="5748" priority="144008" stopIfTrue="1" operator="greaterThanOrEqual">
      <formula>0.5</formula>
    </cfRule>
  </conditionalFormatting>
  <conditionalFormatting sqref="AN30">
    <cfRule type="cellIs" dxfId="5747" priority="144009" stopIfTrue="1" operator="equal">
      <formula>-1</formula>
    </cfRule>
  </conditionalFormatting>
  <conditionalFormatting sqref="AN30">
    <cfRule type="cellIs" dxfId="5746" priority="144010" stopIfTrue="1" operator="lessThan">
      <formula>0.5</formula>
    </cfRule>
  </conditionalFormatting>
  <conditionalFormatting sqref="AN30">
    <cfRule type="cellIs" dxfId="5745" priority="144011" stopIfTrue="1" operator="greaterThanOrEqual">
      <formula>0.5</formula>
    </cfRule>
  </conditionalFormatting>
  <conditionalFormatting sqref="AN31">
    <cfRule type="cellIs" dxfId="5744" priority="144012" stopIfTrue="1" operator="equal">
      <formula>-1</formula>
    </cfRule>
  </conditionalFormatting>
  <conditionalFormatting sqref="AN31">
    <cfRule type="cellIs" dxfId="5743" priority="144013" stopIfTrue="1" operator="lessThan">
      <formula>0.5</formula>
    </cfRule>
  </conditionalFormatting>
  <conditionalFormatting sqref="AN31">
    <cfRule type="cellIs" dxfId="5742" priority="144014" stopIfTrue="1" operator="greaterThanOrEqual">
      <formula>0.5</formula>
    </cfRule>
  </conditionalFormatting>
  <conditionalFormatting sqref="AN32">
    <cfRule type="cellIs" dxfId="5741" priority="144015" stopIfTrue="1" operator="equal">
      <formula>-1</formula>
    </cfRule>
  </conditionalFormatting>
  <conditionalFormatting sqref="AN32">
    <cfRule type="cellIs" dxfId="5740" priority="144016" stopIfTrue="1" operator="lessThan">
      <formula>0.5</formula>
    </cfRule>
  </conditionalFormatting>
  <conditionalFormatting sqref="AN32">
    <cfRule type="cellIs" dxfId="5739" priority="144017" stopIfTrue="1" operator="greaterThanOrEqual">
      <formula>0.5</formula>
    </cfRule>
  </conditionalFormatting>
  <conditionalFormatting sqref="AN33">
    <cfRule type="cellIs" dxfId="5738" priority="144018" stopIfTrue="1" operator="equal">
      <formula>-1</formula>
    </cfRule>
  </conditionalFormatting>
  <conditionalFormatting sqref="AN33">
    <cfRule type="cellIs" dxfId="5737" priority="144019" stopIfTrue="1" operator="lessThan">
      <formula>0.5</formula>
    </cfRule>
  </conditionalFormatting>
  <conditionalFormatting sqref="AN33">
    <cfRule type="cellIs" dxfId="5736" priority="144020" stopIfTrue="1" operator="greaterThanOrEqual">
      <formula>0.5</formula>
    </cfRule>
  </conditionalFormatting>
  <conditionalFormatting sqref="AN34">
    <cfRule type="cellIs" dxfId="5735" priority="144021" stopIfTrue="1" operator="equal">
      <formula>-1</formula>
    </cfRule>
  </conditionalFormatting>
  <conditionalFormatting sqref="AN34">
    <cfRule type="cellIs" dxfId="5734" priority="144022" stopIfTrue="1" operator="lessThan">
      <formula>0.5</formula>
    </cfRule>
  </conditionalFormatting>
  <conditionalFormatting sqref="AN34">
    <cfRule type="cellIs" dxfId="5733" priority="144023" stopIfTrue="1" operator="greaterThanOrEqual">
      <formula>0.5</formula>
    </cfRule>
  </conditionalFormatting>
  <conditionalFormatting sqref="AN35">
    <cfRule type="cellIs" dxfId="5732" priority="144024" stopIfTrue="1" operator="equal">
      <formula>-1</formula>
    </cfRule>
  </conditionalFormatting>
  <conditionalFormatting sqref="AN35">
    <cfRule type="cellIs" dxfId="5731" priority="144025" stopIfTrue="1" operator="lessThan">
      <formula>0.5</formula>
    </cfRule>
  </conditionalFormatting>
  <conditionalFormatting sqref="AN35">
    <cfRule type="cellIs" dxfId="5730" priority="144026" stopIfTrue="1" operator="greaterThanOrEqual">
      <formula>0.5</formula>
    </cfRule>
  </conditionalFormatting>
  <conditionalFormatting sqref="AN36">
    <cfRule type="cellIs" dxfId="5729" priority="144027" stopIfTrue="1" operator="equal">
      <formula>-1</formula>
    </cfRule>
  </conditionalFormatting>
  <conditionalFormatting sqref="AN36">
    <cfRule type="cellIs" dxfId="5728" priority="144028" stopIfTrue="1" operator="lessThan">
      <formula>0.5</formula>
    </cfRule>
  </conditionalFormatting>
  <conditionalFormatting sqref="AN36">
    <cfRule type="cellIs" dxfId="5727" priority="144029" stopIfTrue="1" operator="greaterThanOrEqual">
      <formula>0.5</formula>
    </cfRule>
  </conditionalFormatting>
  <conditionalFormatting sqref="AN37">
    <cfRule type="cellIs" dxfId="5726" priority="144030" stopIfTrue="1" operator="equal">
      <formula>-1</formula>
    </cfRule>
  </conditionalFormatting>
  <conditionalFormatting sqref="AN37">
    <cfRule type="cellIs" dxfId="5725" priority="144031" stopIfTrue="1" operator="lessThan">
      <formula>0.5</formula>
    </cfRule>
  </conditionalFormatting>
  <conditionalFormatting sqref="AN37">
    <cfRule type="cellIs" dxfId="5724" priority="144032" stopIfTrue="1" operator="greaterThanOrEqual">
      <formula>0.5</formula>
    </cfRule>
  </conditionalFormatting>
  <conditionalFormatting sqref="AP17">
    <cfRule type="cellIs" dxfId="5723" priority="144033" stopIfTrue="1" operator="equal">
      <formula>-1</formula>
    </cfRule>
  </conditionalFormatting>
  <conditionalFormatting sqref="AP17">
    <cfRule type="cellIs" dxfId="5722" priority="144034" stopIfTrue="1" operator="lessThan">
      <formula>0.5</formula>
    </cfRule>
  </conditionalFormatting>
  <conditionalFormatting sqref="AP17">
    <cfRule type="cellIs" dxfId="5721" priority="144035" stopIfTrue="1" operator="greaterThanOrEqual">
      <formula>0.5</formula>
    </cfRule>
  </conditionalFormatting>
  <conditionalFormatting sqref="AP18">
    <cfRule type="cellIs" dxfId="5720" priority="144036" stopIfTrue="1" operator="equal">
      <formula>-1</formula>
    </cfRule>
  </conditionalFormatting>
  <conditionalFormatting sqref="AP18">
    <cfRule type="cellIs" dxfId="5719" priority="144037" stopIfTrue="1" operator="lessThan">
      <formula>0.5</formula>
    </cfRule>
  </conditionalFormatting>
  <conditionalFormatting sqref="AP18">
    <cfRule type="cellIs" dxfId="5718" priority="144038" stopIfTrue="1" operator="greaterThanOrEqual">
      <formula>0.5</formula>
    </cfRule>
  </conditionalFormatting>
  <conditionalFormatting sqref="AP19">
    <cfRule type="cellIs" dxfId="5717" priority="144039" stopIfTrue="1" operator="equal">
      <formula>-1</formula>
    </cfRule>
  </conditionalFormatting>
  <conditionalFormatting sqref="AP19">
    <cfRule type="cellIs" dxfId="5716" priority="144040" stopIfTrue="1" operator="lessThan">
      <formula>0.5</formula>
    </cfRule>
  </conditionalFormatting>
  <conditionalFormatting sqref="AP19">
    <cfRule type="cellIs" dxfId="5715" priority="144041" stopIfTrue="1" operator="greaterThanOrEqual">
      <formula>0.5</formula>
    </cfRule>
  </conditionalFormatting>
  <conditionalFormatting sqref="AP20">
    <cfRule type="cellIs" dxfId="5714" priority="144042" stopIfTrue="1" operator="equal">
      <formula>-1</formula>
    </cfRule>
  </conditionalFormatting>
  <conditionalFormatting sqref="AP20">
    <cfRule type="cellIs" dxfId="5713" priority="144043" stopIfTrue="1" operator="lessThan">
      <formula>0.5</formula>
    </cfRule>
  </conditionalFormatting>
  <conditionalFormatting sqref="AP20">
    <cfRule type="cellIs" dxfId="5712" priority="144044" stopIfTrue="1" operator="greaterThanOrEqual">
      <formula>0.5</formula>
    </cfRule>
  </conditionalFormatting>
  <conditionalFormatting sqref="AP21">
    <cfRule type="cellIs" dxfId="5711" priority="144045" stopIfTrue="1" operator="equal">
      <formula>-1</formula>
    </cfRule>
  </conditionalFormatting>
  <conditionalFormatting sqref="AP21">
    <cfRule type="cellIs" dxfId="5710" priority="144046" stopIfTrue="1" operator="lessThan">
      <formula>0.5</formula>
    </cfRule>
  </conditionalFormatting>
  <conditionalFormatting sqref="AP21">
    <cfRule type="cellIs" dxfId="5709" priority="144047" stopIfTrue="1" operator="greaterThanOrEqual">
      <formula>0.5</formula>
    </cfRule>
  </conditionalFormatting>
  <conditionalFormatting sqref="AP22">
    <cfRule type="cellIs" dxfId="5708" priority="144048" stopIfTrue="1" operator="equal">
      <formula>-1</formula>
    </cfRule>
  </conditionalFormatting>
  <conditionalFormatting sqref="AP22">
    <cfRule type="cellIs" dxfId="5707" priority="144049" stopIfTrue="1" operator="lessThan">
      <formula>0.5</formula>
    </cfRule>
  </conditionalFormatting>
  <conditionalFormatting sqref="AP22">
    <cfRule type="cellIs" dxfId="5706" priority="144050" stopIfTrue="1" operator="greaterThanOrEqual">
      <formula>0.5</formula>
    </cfRule>
  </conditionalFormatting>
  <conditionalFormatting sqref="AP23">
    <cfRule type="cellIs" dxfId="5705" priority="144051" stopIfTrue="1" operator="equal">
      <formula>-1</formula>
    </cfRule>
  </conditionalFormatting>
  <conditionalFormatting sqref="AP23">
    <cfRule type="cellIs" dxfId="5704" priority="144052" stopIfTrue="1" operator="lessThan">
      <formula>0.5</formula>
    </cfRule>
  </conditionalFormatting>
  <conditionalFormatting sqref="AP23">
    <cfRule type="cellIs" dxfId="5703" priority="144053" stopIfTrue="1" operator="greaterThanOrEqual">
      <formula>0.5</formula>
    </cfRule>
  </conditionalFormatting>
  <conditionalFormatting sqref="AP24">
    <cfRule type="cellIs" dxfId="5702" priority="144054" stopIfTrue="1" operator="equal">
      <formula>-1</formula>
    </cfRule>
  </conditionalFormatting>
  <conditionalFormatting sqref="AP24">
    <cfRule type="cellIs" dxfId="5701" priority="144055" stopIfTrue="1" operator="lessThan">
      <formula>0.5</formula>
    </cfRule>
  </conditionalFormatting>
  <conditionalFormatting sqref="AP24">
    <cfRule type="cellIs" dxfId="5700" priority="144056" stopIfTrue="1" operator="greaterThanOrEqual">
      <formula>0.5</formula>
    </cfRule>
  </conditionalFormatting>
  <conditionalFormatting sqref="AP25">
    <cfRule type="cellIs" dxfId="5699" priority="144057" stopIfTrue="1" operator="equal">
      <formula>-1</formula>
    </cfRule>
  </conditionalFormatting>
  <conditionalFormatting sqref="AP25">
    <cfRule type="cellIs" dxfId="5698" priority="144058" stopIfTrue="1" operator="lessThan">
      <formula>0.5</formula>
    </cfRule>
  </conditionalFormatting>
  <conditionalFormatting sqref="AP25">
    <cfRule type="cellIs" dxfId="5697" priority="144059" stopIfTrue="1" operator="greaterThanOrEqual">
      <formula>0.5</formula>
    </cfRule>
  </conditionalFormatting>
  <conditionalFormatting sqref="AP26">
    <cfRule type="cellIs" dxfId="5696" priority="144060" stopIfTrue="1" operator="equal">
      <formula>-1</formula>
    </cfRule>
  </conditionalFormatting>
  <conditionalFormatting sqref="AP26">
    <cfRule type="cellIs" dxfId="5695" priority="144061" stopIfTrue="1" operator="lessThan">
      <formula>0.5</formula>
    </cfRule>
  </conditionalFormatting>
  <conditionalFormatting sqref="AP26">
    <cfRule type="cellIs" dxfId="5694" priority="144062" stopIfTrue="1" operator="greaterThanOrEqual">
      <formula>0.5</formula>
    </cfRule>
  </conditionalFormatting>
  <conditionalFormatting sqref="AP27">
    <cfRule type="cellIs" dxfId="5693" priority="144063" stopIfTrue="1" operator="equal">
      <formula>-1</formula>
    </cfRule>
  </conditionalFormatting>
  <conditionalFormatting sqref="AP27">
    <cfRule type="cellIs" dxfId="5692" priority="144064" stopIfTrue="1" operator="lessThan">
      <formula>0.5</formula>
    </cfRule>
  </conditionalFormatting>
  <conditionalFormatting sqref="AP27">
    <cfRule type="cellIs" dxfId="5691" priority="144065" stopIfTrue="1" operator="greaterThanOrEqual">
      <formula>0.5</formula>
    </cfRule>
  </conditionalFormatting>
  <conditionalFormatting sqref="AP28">
    <cfRule type="cellIs" dxfId="5690" priority="144066" stopIfTrue="1" operator="equal">
      <formula>-1</formula>
    </cfRule>
  </conditionalFormatting>
  <conditionalFormatting sqref="AP28">
    <cfRule type="cellIs" dxfId="5689" priority="144067" stopIfTrue="1" operator="lessThan">
      <formula>0.5</formula>
    </cfRule>
  </conditionalFormatting>
  <conditionalFormatting sqref="AP28">
    <cfRule type="cellIs" dxfId="5688" priority="144068" stopIfTrue="1" operator="greaterThanOrEqual">
      <formula>0.5</formula>
    </cfRule>
  </conditionalFormatting>
  <conditionalFormatting sqref="AP29">
    <cfRule type="cellIs" dxfId="5687" priority="144069" stopIfTrue="1" operator="equal">
      <formula>-1</formula>
    </cfRule>
  </conditionalFormatting>
  <conditionalFormatting sqref="AP29">
    <cfRule type="cellIs" dxfId="5686" priority="144070" stopIfTrue="1" operator="lessThan">
      <formula>0.5</formula>
    </cfRule>
  </conditionalFormatting>
  <conditionalFormatting sqref="AP29">
    <cfRule type="cellIs" dxfId="5685" priority="144071" stopIfTrue="1" operator="greaterThanOrEqual">
      <formula>0.5</formula>
    </cfRule>
  </conditionalFormatting>
  <conditionalFormatting sqref="AP30">
    <cfRule type="cellIs" dxfId="5684" priority="144072" stopIfTrue="1" operator="equal">
      <formula>-1</formula>
    </cfRule>
  </conditionalFormatting>
  <conditionalFormatting sqref="AP30">
    <cfRule type="cellIs" dxfId="5683" priority="144073" stopIfTrue="1" operator="lessThan">
      <formula>0.5</formula>
    </cfRule>
  </conditionalFormatting>
  <conditionalFormatting sqref="AP30">
    <cfRule type="cellIs" dxfId="5682" priority="144074" stopIfTrue="1" operator="greaterThanOrEqual">
      <formula>0.5</formula>
    </cfRule>
  </conditionalFormatting>
  <conditionalFormatting sqref="AP31">
    <cfRule type="cellIs" dxfId="5681" priority="144075" stopIfTrue="1" operator="equal">
      <formula>-1</formula>
    </cfRule>
  </conditionalFormatting>
  <conditionalFormatting sqref="AP31">
    <cfRule type="cellIs" dxfId="5680" priority="144076" stopIfTrue="1" operator="lessThan">
      <formula>0.5</formula>
    </cfRule>
  </conditionalFormatting>
  <conditionalFormatting sqref="AP31">
    <cfRule type="cellIs" dxfId="5679" priority="144077" stopIfTrue="1" operator="greaterThanOrEqual">
      <formula>0.5</formula>
    </cfRule>
  </conditionalFormatting>
  <conditionalFormatting sqref="AP32">
    <cfRule type="cellIs" dxfId="5678" priority="144078" stopIfTrue="1" operator="equal">
      <formula>-1</formula>
    </cfRule>
  </conditionalFormatting>
  <conditionalFormatting sqref="AP32">
    <cfRule type="cellIs" dxfId="5677" priority="144079" stopIfTrue="1" operator="lessThan">
      <formula>0.5</formula>
    </cfRule>
  </conditionalFormatting>
  <conditionalFormatting sqref="AP32">
    <cfRule type="cellIs" dxfId="5676" priority="144080" stopIfTrue="1" operator="greaterThanOrEqual">
      <formula>0.5</formula>
    </cfRule>
  </conditionalFormatting>
  <conditionalFormatting sqref="AP33">
    <cfRule type="cellIs" dxfId="5675" priority="144081" stopIfTrue="1" operator="equal">
      <formula>-1</formula>
    </cfRule>
  </conditionalFormatting>
  <conditionalFormatting sqref="AP33">
    <cfRule type="cellIs" dxfId="5674" priority="144082" stopIfTrue="1" operator="lessThan">
      <formula>0.5</formula>
    </cfRule>
  </conditionalFormatting>
  <conditionalFormatting sqref="AP33">
    <cfRule type="cellIs" dxfId="5673" priority="144083" stopIfTrue="1" operator="greaterThanOrEqual">
      <formula>0.5</formula>
    </cfRule>
  </conditionalFormatting>
  <conditionalFormatting sqref="AP34">
    <cfRule type="cellIs" dxfId="5672" priority="144084" stopIfTrue="1" operator="equal">
      <formula>-1</formula>
    </cfRule>
  </conditionalFormatting>
  <conditionalFormatting sqref="AP34">
    <cfRule type="cellIs" dxfId="5671" priority="144085" stopIfTrue="1" operator="lessThan">
      <formula>0.5</formula>
    </cfRule>
  </conditionalFormatting>
  <conditionalFormatting sqref="AP34">
    <cfRule type="cellIs" dxfId="5670" priority="144086" stopIfTrue="1" operator="greaterThanOrEqual">
      <formula>0.5</formula>
    </cfRule>
  </conditionalFormatting>
  <conditionalFormatting sqref="AP35">
    <cfRule type="cellIs" dxfId="5669" priority="144087" stopIfTrue="1" operator="equal">
      <formula>-1</formula>
    </cfRule>
  </conditionalFormatting>
  <conditionalFormatting sqref="AP35">
    <cfRule type="cellIs" dxfId="5668" priority="144088" stopIfTrue="1" operator="lessThan">
      <formula>0.5</formula>
    </cfRule>
  </conditionalFormatting>
  <conditionalFormatting sqref="AP35">
    <cfRule type="cellIs" dxfId="5667" priority="144089" stopIfTrue="1" operator="greaterThanOrEqual">
      <formula>0.5</formula>
    </cfRule>
  </conditionalFormatting>
  <conditionalFormatting sqref="AP36">
    <cfRule type="cellIs" dxfId="5666" priority="144090" stopIfTrue="1" operator="equal">
      <formula>-1</formula>
    </cfRule>
  </conditionalFormatting>
  <conditionalFormatting sqref="AP36">
    <cfRule type="cellIs" dxfId="5665" priority="144091" stopIfTrue="1" operator="lessThan">
      <formula>0.5</formula>
    </cfRule>
  </conditionalFormatting>
  <conditionalFormatting sqref="AP36">
    <cfRule type="cellIs" dxfId="5664" priority="144092" stopIfTrue="1" operator="greaterThanOrEqual">
      <formula>0.5</formula>
    </cfRule>
  </conditionalFormatting>
  <conditionalFormatting sqref="AP37">
    <cfRule type="cellIs" dxfId="5663" priority="144093" stopIfTrue="1" operator="equal">
      <formula>-1</formula>
    </cfRule>
  </conditionalFormatting>
  <conditionalFormatting sqref="AP37">
    <cfRule type="cellIs" dxfId="5662" priority="144094" stopIfTrue="1" operator="lessThan">
      <formula>0.5</formula>
    </cfRule>
  </conditionalFormatting>
  <conditionalFormatting sqref="AP37">
    <cfRule type="cellIs" dxfId="5661" priority="144095" stopIfTrue="1" operator="greaterThanOrEqual">
      <formula>0.5</formula>
    </cfRule>
  </conditionalFormatting>
  <conditionalFormatting sqref="AR17">
    <cfRule type="cellIs" dxfId="5660" priority="144096" stopIfTrue="1" operator="equal">
      <formula>-1</formula>
    </cfRule>
  </conditionalFormatting>
  <conditionalFormatting sqref="AR17">
    <cfRule type="cellIs" dxfId="5659" priority="144097" stopIfTrue="1" operator="lessThan">
      <formula>0.5</formula>
    </cfRule>
  </conditionalFormatting>
  <conditionalFormatting sqref="AR17">
    <cfRule type="cellIs" dxfId="5658" priority="144098" stopIfTrue="1" operator="greaterThanOrEqual">
      <formula>0.5</formula>
    </cfRule>
  </conditionalFormatting>
  <conditionalFormatting sqref="AR18">
    <cfRule type="cellIs" dxfId="5657" priority="144099" stopIfTrue="1" operator="equal">
      <formula>-1</formula>
    </cfRule>
  </conditionalFormatting>
  <conditionalFormatting sqref="AR18">
    <cfRule type="cellIs" dxfId="5656" priority="144100" stopIfTrue="1" operator="lessThan">
      <formula>0.5</formula>
    </cfRule>
  </conditionalFormatting>
  <conditionalFormatting sqref="AR18">
    <cfRule type="cellIs" dxfId="5655" priority="144101" stopIfTrue="1" operator="greaterThanOrEqual">
      <formula>0.5</formula>
    </cfRule>
  </conditionalFormatting>
  <conditionalFormatting sqref="AR19">
    <cfRule type="cellIs" dxfId="5654" priority="144102" stopIfTrue="1" operator="equal">
      <formula>-1</formula>
    </cfRule>
  </conditionalFormatting>
  <conditionalFormatting sqref="AR19">
    <cfRule type="cellIs" dxfId="5653" priority="144103" stopIfTrue="1" operator="lessThan">
      <formula>0.5</formula>
    </cfRule>
  </conditionalFormatting>
  <conditionalFormatting sqref="AR19">
    <cfRule type="cellIs" dxfId="5652" priority="144104" stopIfTrue="1" operator="greaterThanOrEqual">
      <formula>0.5</formula>
    </cfRule>
  </conditionalFormatting>
  <conditionalFormatting sqref="AR20">
    <cfRule type="cellIs" dxfId="5651" priority="144105" stopIfTrue="1" operator="equal">
      <formula>-1</formula>
    </cfRule>
  </conditionalFormatting>
  <conditionalFormatting sqref="AR20">
    <cfRule type="cellIs" dxfId="5650" priority="144106" stopIfTrue="1" operator="lessThan">
      <formula>0.5</formula>
    </cfRule>
  </conditionalFormatting>
  <conditionalFormatting sqref="AR20">
    <cfRule type="cellIs" dxfId="5649" priority="144107" stopIfTrue="1" operator="greaterThanOrEqual">
      <formula>0.5</formula>
    </cfRule>
  </conditionalFormatting>
  <conditionalFormatting sqref="AR21">
    <cfRule type="cellIs" dxfId="5648" priority="144108" stopIfTrue="1" operator="equal">
      <formula>-1</formula>
    </cfRule>
  </conditionalFormatting>
  <conditionalFormatting sqref="AR21">
    <cfRule type="cellIs" dxfId="5647" priority="144109" stopIfTrue="1" operator="lessThan">
      <formula>0.5</formula>
    </cfRule>
  </conditionalFormatting>
  <conditionalFormatting sqref="AR21">
    <cfRule type="cellIs" dxfId="5646" priority="144110" stopIfTrue="1" operator="greaterThanOrEqual">
      <formula>0.5</formula>
    </cfRule>
  </conditionalFormatting>
  <conditionalFormatting sqref="AR22">
    <cfRule type="cellIs" dxfId="5645" priority="144111" stopIfTrue="1" operator="equal">
      <formula>-1</formula>
    </cfRule>
  </conditionalFormatting>
  <conditionalFormatting sqref="AR22">
    <cfRule type="cellIs" dxfId="5644" priority="144112" stopIfTrue="1" operator="lessThan">
      <formula>0.5</formula>
    </cfRule>
  </conditionalFormatting>
  <conditionalFormatting sqref="AR22">
    <cfRule type="cellIs" dxfId="5643" priority="144113" stopIfTrue="1" operator="greaterThanOrEqual">
      <formula>0.5</formula>
    </cfRule>
  </conditionalFormatting>
  <conditionalFormatting sqref="AR23">
    <cfRule type="cellIs" dxfId="5642" priority="144114" stopIfTrue="1" operator="equal">
      <formula>-1</formula>
    </cfRule>
  </conditionalFormatting>
  <conditionalFormatting sqref="AR23">
    <cfRule type="cellIs" dxfId="5641" priority="144115" stopIfTrue="1" operator="lessThan">
      <formula>0.5</formula>
    </cfRule>
  </conditionalFormatting>
  <conditionalFormatting sqref="AR23">
    <cfRule type="cellIs" dxfId="5640" priority="144116" stopIfTrue="1" operator="greaterThanOrEqual">
      <formula>0.5</formula>
    </cfRule>
  </conditionalFormatting>
  <conditionalFormatting sqref="AR24">
    <cfRule type="cellIs" dxfId="5639" priority="144117" stopIfTrue="1" operator="equal">
      <formula>-1</formula>
    </cfRule>
  </conditionalFormatting>
  <conditionalFormatting sqref="AR24">
    <cfRule type="cellIs" dxfId="5638" priority="144118" stopIfTrue="1" operator="lessThan">
      <formula>0.5</formula>
    </cfRule>
  </conditionalFormatting>
  <conditionalFormatting sqref="AR24">
    <cfRule type="cellIs" dxfId="5637" priority="144119" stopIfTrue="1" operator="greaterThanOrEqual">
      <formula>0.5</formula>
    </cfRule>
  </conditionalFormatting>
  <conditionalFormatting sqref="AR25">
    <cfRule type="cellIs" dxfId="5636" priority="144120" stopIfTrue="1" operator="equal">
      <formula>-1</formula>
    </cfRule>
  </conditionalFormatting>
  <conditionalFormatting sqref="AR25">
    <cfRule type="cellIs" dxfId="5635" priority="144121" stopIfTrue="1" operator="lessThan">
      <formula>0.5</formula>
    </cfRule>
  </conditionalFormatting>
  <conditionalFormatting sqref="AR25">
    <cfRule type="cellIs" dxfId="5634" priority="144122" stopIfTrue="1" operator="greaterThanOrEqual">
      <formula>0.5</formula>
    </cfRule>
  </conditionalFormatting>
  <conditionalFormatting sqref="AR26">
    <cfRule type="cellIs" dxfId="5633" priority="144123" stopIfTrue="1" operator="equal">
      <formula>-1</formula>
    </cfRule>
  </conditionalFormatting>
  <conditionalFormatting sqref="AR26">
    <cfRule type="cellIs" dxfId="5632" priority="144124" stopIfTrue="1" operator="lessThan">
      <formula>0.5</formula>
    </cfRule>
  </conditionalFormatting>
  <conditionalFormatting sqref="AR26">
    <cfRule type="cellIs" dxfId="5631" priority="144125" stopIfTrue="1" operator="greaterThanOrEqual">
      <formula>0.5</formula>
    </cfRule>
  </conditionalFormatting>
  <conditionalFormatting sqref="AR27">
    <cfRule type="cellIs" dxfId="5630" priority="144126" stopIfTrue="1" operator="equal">
      <formula>-1</formula>
    </cfRule>
  </conditionalFormatting>
  <conditionalFormatting sqref="AR27">
    <cfRule type="cellIs" dxfId="5629" priority="144127" stopIfTrue="1" operator="lessThan">
      <formula>0.5</formula>
    </cfRule>
  </conditionalFormatting>
  <conditionalFormatting sqref="AR27">
    <cfRule type="cellIs" dxfId="5628" priority="144128" stopIfTrue="1" operator="greaterThanOrEqual">
      <formula>0.5</formula>
    </cfRule>
  </conditionalFormatting>
  <conditionalFormatting sqref="AR28">
    <cfRule type="cellIs" dxfId="5627" priority="144129" stopIfTrue="1" operator="equal">
      <formula>-1</formula>
    </cfRule>
  </conditionalFormatting>
  <conditionalFormatting sqref="AR28">
    <cfRule type="cellIs" dxfId="5626" priority="144130" stopIfTrue="1" operator="lessThan">
      <formula>0.5</formula>
    </cfRule>
  </conditionalFormatting>
  <conditionalFormatting sqref="AR28">
    <cfRule type="cellIs" dxfId="5625" priority="144131" stopIfTrue="1" operator="greaterThanOrEqual">
      <formula>0.5</formula>
    </cfRule>
  </conditionalFormatting>
  <conditionalFormatting sqref="AR29">
    <cfRule type="cellIs" dxfId="5624" priority="144132" stopIfTrue="1" operator="equal">
      <formula>-1</formula>
    </cfRule>
  </conditionalFormatting>
  <conditionalFormatting sqref="AR29">
    <cfRule type="cellIs" dxfId="5623" priority="144133" stopIfTrue="1" operator="lessThan">
      <formula>0.5</formula>
    </cfRule>
  </conditionalFormatting>
  <conditionalFormatting sqref="AR29">
    <cfRule type="cellIs" dxfId="5622" priority="144134" stopIfTrue="1" operator="greaterThanOrEqual">
      <formula>0.5</formula>
    </cfRule>
  </conditionalFormatting>
  <conditionalFormatting sqref="AR30">
    <cfRule type="cellIs" dxfId="5621" priority="144135" stopIfTrue="1" operator="equal">
      <formula>-1</formula>
    </cfRule>
  </conditionalFormatting>
  <conditionalFormatting sqref="AR30">
    <cfRule type="cellIs" dxfId="5620" priority="144136" stopIfTrue="1" operator="lessThan">
      <formula>0.5</formula>
    </cfRule>
  </conditionalFormatting>
  <conditionalFormatting sqref="AR30">
    <cfRule type="cellIs" dxfId="5619" priority="144137" stopIfTrue="1" operator="greaterThanOrEqual">
      <formula>0.5</formula>
    </cfRule>
  </conditionalFormatting>
  <conditionalFormatting sqref="AR31">
    <cfRule type="cellIs" dxfId="5618" priority="144138" stopIfTrue="1" operator="equal">
      <formula>-1</formula>
    </cfRule>
  </conditionalFormatting>
  <conditionalFormatting sqref="AR31">
    <cfRule type="cellIs" dxfId="5617" priority="144139" stopIfTrue="1" operator="lessThan">
      <formula>0.5</formula>
    </cfRule>
  </conditionalFormatting>
  <conditionalFormatting sqref="AR31">
    <cfRule type="cellIs" dxfId="5616" priority="144140" stopIfTrue="1" operator="greaterThanOrEqual">
      <formula>0.5</formula>
    </cfRule>
  </conditionalFormatting>
  <conditionalFormatting sqref="AR32">
    <cfRule type="cellIs" dxfId="5615" priority="144141" stopIfTrue="1" operator="equal">
      <formula>-1</formula>
    </cfRule>
  </conditionalFormatting>
  <conditionalFormatting sqref="AR32">
    <cfRule type="cellIs" dxfId="5614" priority="144142" stopIfTrue="1" operator="lessThan">
      <formula>0.5</formula>
    </cfRule>
  </conditionalFormatting>
  <conditionalFormatting sqref="AR32">
    <cfRule type="cellIs" dxfId="5613" priority="144143" stopIfTrue="1" operator="greaterThanOrEqual">
      <formula>0.5</formula>
    </cfRule>
  </conditionalFormatting>
  <conditionalFormatting sqref="AR33">
    <cfRule type="cellIs" dxfId="5612" priority="144144" stopIfTrue="1" operator="equal">
      <formula>-1</formula>
    </cfRule>
  </conditionalFormatting>
  <conditionalFormatting sqref="AR33">
    <cfRule type="cellIs" dxfId="5611" priority="144145" stopIfTrue="1" operator="lessThan">
      <formula>0.5</formula>
    </cfRule>
  </conditionalFormatting>
  <conditionalFormatting sqref="AR33">
    <cfRule type="cellIs" dxfId="5610" priority="144146" stopIfTrue="1" operator="greaterThanOrEqual">
      <formula>0.5</formula>
    </cfRule>
  </conditionalFormatting>
  <conditionalFormatting sqref="AR34">
    <cfRule type="cellIs" dxfId="5609" priority="144147" stopIfTrue="1" operator="equal">
      <formula>-1</formula>
    </cfRule>
  </conditionalFormatting>
  <conditionalFormatting sqref="AR34">
    <cfRule type="cellIs" dxfId="5608" priority="144148" stopIfTrue="1" operator="lessThan">
      <formula>0.5</formula>
    </cfRule>
  </conditionalFormatting>
  <conditionalFormatting sqref="AR34">
    <cfRule type="cellIs" dxfId="5607" priority="144149" stopIfTrue="1" operator="greaterThanOrEqual">
      <formula>0.5</formula>
    </cfRule>
  </conditionalFormatting>
  <conditionalFormatting sqref="AR35">
    <cfRule type="cellIs" dxfId="5606" priority="144150" stopIfTrue="1" operator="equal">
      <formula>-1</formula>
    </cfRule>
  </conditionalFormatting>
  <conditionalFormatting sqref="AR35">
    <cfRule type="cellIs" dxfId="5605" priority="144151" stopIfTrue="1" operator="lessThan">
      <formula>0.5</formula>
    </cfRule>
  </conditionalFormatting>
  <conditionalFormatting sqref="AR35">
    <cfRule type="cellIs" dxfId="5604" priority="144152" stopIfTrue="1" operator="greaterThanOrEqual">
      <formula>0.5</formula>
    </cfRule>
  </conditionalFormatting>
  <conditionalFormatting sqref="AR36">
    <cfRule type="cellIs" dxfId="5603" priority="144153" stopIfTrue="1" operator="equal">
      <formula>-1</formula>
    </cfRule>
  </conditionalFormatting>
  <conditionalFormatting sqref="AR36">
    <cfRule type="cellIs" dxfId="5602" priority="144154" stopIfTrue="1" operator="lessThan">
      <formula>0.5</formula>
    </cfRule>
  </conditionalFormatting>
  <conditionalFormatting sqref="AR36">
    <cfRule type="cellIs" dxfId="5601" priority="144155" stopIfTrue="1" operator="greaterThanOrEqual">
      <formula>0.5</formula>
    </cfRule>
  </conditionalFormatting>
  <conditionalFormatting sqref="AR37">
    <cfRule type="cellIs" dxfId="5600" priority="144156" stopIfTrue="1" operator="equal">
      <formula>-1</formula>
    </cfRule>
  </conditionalFormatting>
  <conditionalFormatting sqref="AR37">
    <cfRule type="cellIs" dxfId="5599" priority="144157" stopIfTrue="1" operator="lessThan">
      <formula>0.5</formula>
    </cfRule>
  </conditionalFormatting>
  <conditionalFormatting sqref="AR37">
    <cfRule type="cellIs" dxfId="5598" priority="144158" stopIfTrue="1" operator="greaterThanOrEqual">
      <formula>0.5</formula>
    </cfRule>
  </conditionalFormatting>
  <conditionalFormatting sqref="AT17">
    <cfRule type="cellIs" dxfId="5597" priority="144159" stopIfTrue="1" operator="equal">
      <formula>-1</formula>
    </cfRule>
  </conditionalFormatting>
  <conditionalFormatting sqref="AT17">
    <cfRule type="cellIs" dxfId="5596" priority="144160" stopIfTrue="1" operator="lessThan">
      <formula>0.5</formula>
    </cfRule>
  </conditionalFormatting>
  <conditionalFormatting sqref="AT17">
    <cfRule type="cellIs" dxfId="5595" priority="144161" stopIfTrue="1" operator="greaterThanOrEqual">
      <formula>0.5</formula>
    </cfRule>
  </conditionalFormatting>
  <conditionalFormatting sqref="AT18">
    <cfRule type="cellIs" dxfId="5594" priority="144162" stopIfTrue="1" operator="equal">
      <formula>-1</formula>
    </cfRule>
  </conditionalFormatting>
  <conditionalFormatting sqref="AT18">
    <cfRule type="cellIs" dxfId="5593" priority="144163" stopIfTrue="1" operator="lessThan">
      <formula>0.5</formula>
    </cfRule>
  </conditionalFormatting>
  <conditionalFormatting sqref="AT18">
    <cfRule type="cellIs" dxfId="5592" priority="144164" stopIfTrue="1" operator="greaterThanOrEqual">
      <formula>0.5</formula>
    </cfRule>
  </conditionalFormatting>
  <conditionalFormatting sqref="AT19">
    <cfRule type="cellIs" dxfId="5591" priority="144165" stopIfTrue="1" operator="equal">
      <formula>-1</formula>
    </cfRule>
  </conditionalFormatting>
  <conditionalFormatting sqref="AT19">
    <cfRule type="cellIs" dxfId="5590" priority="144166" stopIfTrue="1" operator="lessThan">
      <formula>0.5</formula>
    </cfRule>
  </conditionalFormatting>
  <conditionalFormatting sqref="AT19">
    <cfRule type="cellIs" dxfId="5589" priority="144167" stopIfTrue="1" operator="greaterThanOrEqual">
      <formula>0.5</formula>
    </cfRule>
  </conditionalFormatting>
  <conditionalFormatting sqref="AT20">
    <cfRule type="cellIs" dxfId="5588" priority="144168" stopIfTrue="1" operator="equal">
      <formula>-1</formula>
    </cfRule>
  </conditionalFormatting>
  <conditionalFormatting sqref="AT20">
    <cfRule type="cellIs" dxfId="5587" priority="144169" stopIfTrue="1" operator="lessThan">
      <formula>0.5</formula>
    </cfRule>
  </conditionalFormatting>
  <conditionalFormatting sqref="AT20">
    <cfRule type="cellIs" dxfId="5586" priority="144170" stopIfTrue="1" operator="greaterThanOrEqual">
      <formula>0.5</formula>
    </cfRule>
  </conditionalFormatting>
  <conditionalFormatting sqref="AT21">
    <cfRule type="cellIs" dxfId="5585" priority="144171" stopIfTrue="1" operator="equal">
      <formula>-1</formula>
    </cfRule>
  </conditionalFormatting>
  <conditionalFormatting sqref="AT21">
    <cfRule type="cellIs" dxfId="5584" priority="144172" stopIfTrue="1" operator="lessThan">
      <formula>0.5</formula>
    </cfRule>
  </conditionalFormatting>
  <conditionalFormatting sqref="AT21">
    <cfRule type="cellIs" dxfId="5583" priority="144173" stopIfTrue="1" operator="greaterThanOrEqual">
      <formula>0.5</formula>
    </cfRule>
  </conditionalFormatting>
  <conditionalFormatting sqref="AT22">
    <cfRule type="cellIs" dxfId="5582" priority="144174" stopIfTrue="1" operator="equal">
      <formula>-1</formula>
    </cfRule>
  </conditionalFormatting>
  <conditionalFormatting sqref="AT22">
    <cfRule type="cellIs" dxfId="5581" priority="144175" stopIfTrue="1" operator="lessThan">
      <formula>0.5</formula>
    </cfRule>
  </conditionalFormatting>
  <conditionalFormatting sqref="AT22">
    <cfRule type="cellIs" dxfId="5580" priority="144176" stopIfTrue="1" operator="greaterThanOrEqual">
      <formula>0.5</formula>
    </cfRule>
  </conditionalFormatting>
  <conditionalFormatting sqref="AT23">
    <cfRule type="cellIs" dxfId="5579" priority="144177" stopIfTrue="1" operator="equal">
      <formula>-1</formula>
    </cfRule>
  </conditionalFormatting>
  <conditionalFormatting sqref="AT23">
    <cfRule type="cellIs" dxfId="5578" priority="144178" stopIfTrue="1" operator="lessThan">
      <formula>0.5</formula>
    </cfRule>
  </conditionalFormatting>
  <conditionalFormatting sqref="AT23">
    <cfRule type="cellIs" dxfId="5577" priority="144179" stopIfTrue="1" operator="greaterThanOrEqual">
      <formula>0.5</formula>
    </cfRule>
  </conditionalFormatting>
  <conditionalFormatting sqref="AT24">
    <cfRule type="cellIs" dxfId="5576" priority="144180" stopIfTrue="1" operator="equal">
      <formula>-1</formula>
    </cfRule>
  </conditionalFormatting>
  <conditionalFormatting sqref="AT24">
    <cfRule type="cellIs" dxfId="5575" priority="144181" stopIfTrue="1" operator="lessThan">
      <formula>0.5</formula>
    </cfRule>
  </conditionalFormatting>
  <conditionalFormatting sqref="AT24">
    <cfRule type="cellIs" dxfId="5574" priority="144182" stopIfTrue="1" operator="greaterThanOrEqual">
      <formula>0.5</formula>
    </cfRule>
  </conditionalFormatting>
  <conditionalFormatting sqref="AT25">
    <cfRule type="cellIs" dxfId="5573" priority="144183" stopIfTrue="1" operator="equal">
      <formula>-1</formula>
    </cfRule>
  </conditionalFormatting>
  <conditionalFormatting sqref="AT25">
    <cfRule type="cellIs" dxfId="5572" priority="144184" stopIfTrue="1" operator="lessThan">
      <formula>0.5</formula>
    </cfRule>
  </conditionalFormatting>
  <conditionalFormatting sqref="AT25">
    <cfRule type="cellIs" dxfId="5571" priority="144185" stopIfTrue="1" operator="greaterThanOrEqual">
      <formula>0.5</formula>
    </cfRule>
  </conditionalFormatting>
  <conditionalFormatting sqref="AT26">
    <cfRule type="cellIs" dxfId="5570" priority="144186" stopIfTrue="1" operator="equal">
      <formula>-1</formula>
    </cfRule>
  </conditionalFormatting>
  <conditionalFormatting sqref="AT26">
    <cfRule type="cellIs" dxfId="5569" priority="144187" stopIfTrue="1" operator="lessThan">
      <formula>0.5</formula>
    </cfRule>
  </conditionalFormatting>
  <conditionalFormatting sqref="AT26">
    <cfRule type="cellIs" dxfId="5568" priority="144188" stopIfTrue="1" operator="greaterThanOrEqual">
      <formula>0.5</formula>
    </cfRule>
  </conditionalFormatting>
  <conditionalFormatting sqref="AT27">
    <cfRule type="cellIs" dxfId="5567" priority="144189" stopIfTrue="1" operator="equal">
      <formula>-1</formula>
    </cfRule>
  </conditionalFormatting>
  <conditionalFormatting sqref="AT27">
    <cfRule type="cellIs" dxfId="5566" priority="144190" stopIfTrue="1" operator="lessThan">
      <formula>0.5</formula>
    </cfRule>
  </conditionalFormatting>
  <conditionalFormatting sqref="AT27">
    <cfRule type="cellIs" dxfId="5565" priority="144191" stopIfTrue="1" operator="greaterThanOrEqual">
      <formula>0.5</formula>
    </cfRule>
  </conditionalFormatting>
  <conditionalFormatting sqref="AT28">
    <cfRule type="cellIs" dxfId="5564" priority="144192" stopIfTrue="1" operator="equal">
      <formula>-1</formula>
    </cfRule>
  </conditionalFormatting>
  <conditionalFormatting sqref="AT28">
    <cfRule type="cellIs" dxfId="5563" priority="144193" stopIfTrue="1" operator="lessThan">
      <formula>0.5</formula>
    </cfRule>
  </conditionalFormatting>
  <conditionalFormatting sqref="AT28">
    <cfRule type="cellIs" dxfId="5562" priority="144194" stopIfTrue="1" operator="greaterThanOrEqual">
      <formula>0.5</formula>
    </cfRule>
  </conditionalFormatting>
  <conditionalFormatting sqref="AT29">
    <cfRule type="cellIs" dxfId="5561" priority="144195" stopIfTrue="1" operator="equal">
      <formula>-1</formula>
    </cfRule>
  </conditionalFormatting>
  <conditionalFormatting sqref="AT29">
    <cfRule type="cellIs" dxfId="5560" priority="144196" stopIfTrue="1" operator="lessThan">
      <formula>0.5</formula>
    </cfRule>
  </conditionalFormatting>
  <conditionalFormatting sqref="AT29">
    <cfRule type="cellIs" dxfId="5559" priority="144197" stopIfTrue="1" operator="greaterThanOrEqual">
      <formula>0.5</formula>
    </cfRule>
  </conditionalFormatting>
  <conditionalFormatting sqref="AT30">
    <cfRule type="cellIs" dxfId="5558" priority="144198" stopIfTrue="1" operator="equal">
      <formula>-1</formula>
    </cfRule>
  </conditionalFormatting>
  <conditionalFormatting sqref="AT30">
    <cfRule type="cellIs" dxfId="5557" priority="144199" stopIfTrue="1" operator="lessThan">
      <formula>0.5</formula>
    </cfRule>
  </conditionalFormatting>
  <conditionalFormatting sqref="AT30">
    <cfRule type="cellIs" dxfId="5556" priority="144200" stopIfTrue="1" operator="greaterThanOrEqual">
      <formula>0.5</formula>
    </cfRule>
  </conditionalFormatting>
  <conditionalFormatting sqref="AT31">
    <cfRule type="cellIs" dxfId="5555" priority="144201" stopIfTrue="1" operator="equal">
      <formula>-1</formula>
    </cfRule>
  </conditionalFormatting>
  <conditionalFormatting sqref="AT31">
    <cfRule type="cellIs" dxfId="5554" priority="144202" stopIfTrue="1" operator="lessThan">
      <formula>0.5</formula>
    </cfRule>
  </conditionalFormatting>
  <conditionalFormatting sqref="AT31">
    <cfRule type="cellIs" dxfId="5553" priority="144203" stopIfTrue="1" operator="greaterThanOrEqual">
      <formula>0.5</formula>
    </cfRule>
  </conditionalFormatting>
  <conditionalFormatting sqref="AT32">
    <cfRule type="cellIs" dxfId="5552" priority="144204" stopIfTrue="1" operator="equal">
      <formula>-1</formula>
    </cfRule>
  </conditionalFormatting>
  <conditionalFormatting sqref="AT32">
    <cfRule type="cellIs" dxfId="5551" priority="144205" stopIfTrue="1" operator="lessThan">
      <formula>0.5</formula>
    </cfRule>
  </conditionalFormatting>
  <conditionalFormatting sqref="AT32">
    <cfRule type="cellIs" dxfId="5550" priority="144206" stopIfTrue="1" operator="greaterThanOrEqual">
      <formula>0.5</formula>
    </cfRule>
  </conditionalFormatting>
  <conditionalFormatting sqref="AT33">
    <cfRule type="cellIs" dxfId="5549" priority="144207" stopIfTrue="1" operator="equal">
      <formula>-1</formula>
    </cfRule>
  </conditionalFormatting>
  <conditionalFormatting sqref="AT33">
    <cfRule type="cellIs" dxfId="5548" priority="144208" stopIfTrue="1" operator="lessThan">
      <formula>0.5</formula>
    </cfRule>
  </conditionalFormatting>
  <conditionalFormatting sqref="AT33">
    <cfRule type="cellIs" dxfId="5547" priority="144209" stopIfTrue="1" operator="greaterThanOrEqual">
      <formula>0.5</formula>
    </cfRule>
  </conditionalFormatting>
  <conditionalFormatting sqref="AT34">
    <cfRule type="cellIs" dxfId="5546" priority="144210" stopIfTrue="1" operator="equal">
      <formula>-1</formula>
    </cfRule>
  </conditionalFormatting>
  <conditionalFormatting sqref="AT34">
    <cfRule type="cellIs" dxfId="5545" priority="144211" stopIfTrue="1" operator="lessThan">
      <formula>0.5</formula>
    </cfRule>
  </conditionalFormatting>
  <conditionalFormatting sqref="AT34">
    <cfRule type="cellIs" dxfId="5544" priority="144212" stopIfTrue="1" operator="greaterThanOrEqual">
      <formula>0.5</formula>
    </cfRule>
  </conditionalFormatting>
  <conditionalFormatting sqref="AT35">
    <cfRule type="cellIs" dxfId="5543" priority="144213" stopIfTrue="1" operator="equal">
      <formula>-1</formula>
    </cfRule>
  </conditionalFormatting>
  <conditionalFormatting sqref="AT35">
    <cfRule type="cellIs" dxfId="5542" priority="144214" stopIfTrue="1" operator="lessThan">
      <formula>0.5</formula>
    </cfRule>
  </conditionalFormatting>
  <conditionalFormatting sqref="AT35">
    <cfRule type="cellIs" dxfId="5541" priority="144215" stopIfTrue="1" operator="greaterThanOrEqual">
      <formula>0.5</formula>
    </cfRule>
  </conditionalFormatting>
  <conditionalFormatting sqref="AT36">
    <cfRule type="cellIs" dxfId="5540" priority="144216" stopIfTrue="1" operator="equal">
      <formula>-1</formula>
    </cfRule>
  </conditionalFormatting>
  <conditionalFormatting sqref="AT36">
    <cfRule type="cellIs" dxfId="5539" priority="144217" stopIfTrue="1" operator="lessThan">
      <formula>0.5</formula>
    </cfRule>
  </conditionalFormatting>
  <conditionalFormatting sqref="AT36">
    <cfRule type="cellIs" dxfId="5538" priority="144218" stopIfTrue="1" operator="greaterThanOrEqual">
      <formula>0.5</formula>
    </cfRule>
  </conditionalFormatting>
  <conditionalFormatting sqref="AT37">
    <cfRule type="cellIs" dxfId="5537" priority="144219" stopIfTrue="1" operator="equal">
      <formula>-1</formula>
    </cfRule>
  </conditionalFormatting>
  <conditionalFormatting sqref="AT37">
    <cfRule type="cellIs" dxfId="5536" priority="144220" stopIfTrue="1" operator="lessThan">
      <formula>0.5</formula>
    </cfRule>
  </conditionalFormatting>
  <conditionalFormatting sqref="AT37">
    <cfRule type="cellIs" dxfId="5535" priority="144221" stopIfTrue="1" operator="greaterThanOrEqual">
      <formula>0.5</formula>
    </cfRule>
  </conditionalFormatting>
  <conditionalFormatting sqref="AV17">
    <cfRule type="cellIs" dxfId="5534" priority="144222" stopIfTrue="1" operator="equal">
      <formula>-1</formula>
    </cfRule>
  </conditionalFormatting>
  <conditionalFormatting sqref="AV17">
    <cfRule type="cellIs" dxfId="5533" priority="144223" stopIfTrue="1" operator="lessThan">
      <formula>0.5</formula>
    </cfRule>
  </conditionalFormatting>
  <conditionalFormatting sqref="AV17">
    <cfRule type="cellIs" dxfId="5532" priority="144224" stopIfTrue="1" operator="greaterThanOrEqual">
      <formula>0.5</formula>
    </cfRule>
  </conditionalFormatting>
  <conditionalFormatting sqref="AV18">
    <cfRule type="cellIs" dxfId="5531" priority="144225" stopIfTrue="1" operator="equal">
      <formula>-1</formula>
    </cfRule>
  </conditionalFormatting>
  <conditionalFormatting sqref="AV18">
    <cfRule type="cellIs" dxfId="5530" priority="144226" stopIfTrue="1" operator="lessThan">
      <formula>0.5</formula>
    </cfRule>
  </conditionalFormatting>
  <conditionalFormatting sqref="AV18">
    <cfRule type="cellIs" dxfId="5529" priority="144227" stopIfTrue="1" operator="greaterThanOrEqual">
      <formula>0.5</formula>
    </cfRule>
  </conditionalFormatting>
  <conditionalFormatting sqref="AV19">
    <cfRule type="cellIs" dxfId="5528" priority="144228" stopIfTrue="1" operator="equal">
      <formula>-1</formula>
    </cfRule>
  </conditionalFormatting>
  <conditionalFormatting sqref="AV19">
    <cfRule type="cellIs" dxfId="5527" priority="144229" stopIfTrue="1" operator="lessThan">
      <formula>0.5</formula>
    </cfRule>
  </conditionalFormatting>
  <conditionalFormatting sqref="AV19">
    <cfRule type="cellIs" dxfId="5526" priority="144230" stopIfTrue="1" operator="greaterThanOrEqual">
      <formula>0.5</formula>
    </cfRule>
  </conditionalFormatting>
  <conditionalFormatting sqref="AV20">
    <cfRule type="cellIs" dxfId="5525" priority="144231" stopIfTrue="1" operator="equal">
      <formula>-1</formula>
    </cfRule>
  </conditionalFormatting>
  <conditionalFormatting sqref="AV20">
    <cfRule type="cellIs" dxfId="5524" priority="144232" stopIfTrue="1" operator="lessThan">
      <formula>0.5</formula>
    </cfRule>
  </conditionalFormatting>
  <conditionalFormatting sqref="AV20">
    <cfRule type="cellIs" dxfId="5523" priority="144233" stopIfTrue="1" operator="greaterThanOrEqual">
      <formula>0.5</formula>
    </cfRule>
  </conditionalFormatting>
  <conditionalFormatting sqref="AV21">
    <cfRule type="cellIs" dxfId="5522" priority="144234" stopIfTrue="1" operator="equal">
      <formula>-1</formula>
    </cfRule>
  </conditionalFormatting>
  <conditionalFormatting sqref="AV21">
    <cfRule type="cellIs" dxfId="5521" priority="144235" stopIfTrue="1" operator="lessThan">
      <formula>0.5</formula>
    </cfRule>
  </conditionalFormatting>
  <conditionalFormatting sqref="AV21">
    <cfRule type="cellIs" dxfId="5520" priority="144236" stopIfTrue="1" operator="greaterThanOrEqual">
      <formula>0.5</formula>
    </cfRule>
  </conditionalFormatting>
  <conditionalFormatting sqref="AV22">
    <cfRule type="cellIs" dxfId="5519" priority="144237" stopIfTrue="1" operator="equal">
      <formula>-1</formula>
    </cfRule>
  </conditionalFormatting>
  <conditionalFormatting sqref="AV22">
    <cfRule type="cellIs" dxfId="5518" priority="144238" stopIfTrue="1" operator="lessThan">
      <formula>0.5</formula>
    </cfRule>
  </conditionalFormatting>
  <conditionalFormatting sqref="AV22">
    <cfRule type="cellIs" dxfId="5517" priority="144239" stopIfTrue="1" operator="greaterThanOrEqual">
      <formula>0.5</formula>
    </cfRule>
  </conditionalFormatting>
  <conditionalFormatting sqref="AV23">
    <cfRule type="cellIs" dxfId="5516" priority="144240" stopIfTrue="1" operator="equal">
      <formula>-1</formula>
    </cfRule>
  </conditionalFormatting>
  <conditionalFormatting sqref="AV23">
    <cfRule type="cellIs" dxfId="5515" priority="144241" stopIfTrue="1" operator="lessThan">
      <formula>0.5</formula>
    </cfRule>
  </conditionalFormatting>
  <conditionalFormatting sqref="AV23">
    <cfRule type="cellIs" dxfId="5514" priority="144242" stopIfTrue="1" operator="greaterThanOrEqual">
      <formula>0.5</formula>
    </cfRule>
  </conditionalFormatting>
  <conditionalFormatting sqref="AV24">
    <cfRule type="cellIs" dxfId="5513" priority="144243" stopIfTrue="1" operator="equal">
      <formula>-1</formula>
    </cfRule>
  </conditionalFormatting>
  <conditionalFormatting sqref="AV24">
    <cfRule type="cellIs" dxfId="5512" priority="144244" stopIfTrue="1" operator="lessThan">
      <formula>0.5</formula>
    </cfRule>
  </conditionalFormatting>
  <conditionalFormatting sqref="AV24">
    <cfRule type="cellIs" dxfId="5511" priority="144245" stopIfTrue="1" operator="greaterThanOrEqual">
      <formula>0.5</formula>
    </cfRule>
  </conditionalFormatting>
  <conditionalFormatting sqref="AV25">
    <cfRule type="cellIs" dxfId="5510" priority="144246" stopIfTrue="1" operator="equal">
      <formula>-1</formula>
    </cfRule>
  </conditionalFormatting>
  <conditionalFormatting sqref="AV25">
    <cfRule type="cellIs" dxfId="5509" priority="144247" stopIfTrue="1" operator="lessThan">
      <formula>0.5</formula>
    </cfRule>
  </conditionalFormatting>
  <conditionalFormatting sqref="AV25">
    <cfRule type="cellIs" dxfId="5508" priority="144248" stopIfTrue="1" operator="greaterThanOrEqual">
      <formula>0.5</formula>
    </cfRule>
  </conditionalFormatting>
  <conditionalFormatting sqref="AV26">
    <cfRule type="cellIs" dxfId="5507" priority="144249" stopIfTrue="1" operator="equal">
      <formula>-1</formula>
    </cfRule>
  </conditionalFormatting>
  <conditionalFormatting sqref="AV26">
    <cfRule type="cellIs" dxfId="5506" priority="144250" stopIfTrue="1" operator="lessThan">
      <formula>0.5</formula>
    </cfRule>
  </conditionalFormatting>
  <conditionalFormatting sqref="AV26">
    <cfRule type="cellIs" dxfId="5505" priority="144251" stopIfTrue="1" operator="greaterThanOrEqual">
      <formula>0.5</formula>
    </cfRule>
  </conditionalFormatting>
  <conditionalFormatting sqref="AV27">
    <cfRule type="cellIs" dxfId="5504" priority="144252" stopIfTrue="1" operator="equal">
      <formula>-1</formula>
    </cfRule>
  </conditionalFormatting>
  <conditionalFormatting sqref="AV27">
    <cfRule type="cellIs" dxfId="5503" priority="144253" stopIfTrue="1" operator="lessThan">
      <formula>0.5</formula>
    </cfRule>
  </conditionalFormatting>
  <conditionalFormatting sqref="AV27">
    <cfRule type="cellIs" dxfId="5502" priority="144254" stopIfTrue="1" operator="greaterThanOrEqual">
      <formula>0.5</formula>
    </cfRule>
  </conditionalFormatting>
  <conditionalFormatting sqref="AV28">
    <cfRule type="cellIs" dxfId="5501" priority="144255" stopIfTrue="1" operator="equal">
      <formula>-1</formula>
    </cfRule>
  </conditionalFormatting>
  <conditionalFormatting sqref="AV28">
    <cfRule type="cellIs" dxfId="5500" priority="144256" stopIfTrue="1" operator="lessThan">
      <formula>0.5</formula>
    </cfRule>
  </conditionalFormatting>
  <conditionalFormatting sqref="AV28">
    <cfRule type="cellIs" dxfId="5499" priority="144257" stopIfTrue="1" operator="greaterThanOrEqual">
      <formula>0.5</formula>
    </cfRule>
  </conditionalFormatting>
  <conditionalFormatting sqref="AV29">
    <cfRule type="cellIs" dxfId="5498" priority="144258" stopIfTrue="1" operator="equal">
      <formula>-1</formula>
    </cfRule>
  </conditionalFormatting>
  <conditionalFormatting sqref="AV29">
    <cfRule type="cellIs" dxfId="5497" priority="144259" stopIfTrue="1" operator="lessThan">
      <formula>0.5</formula>
    </cfRule>
  </conditionalFormatting>
  <conditionalFormatting sqref="AV29">
    <cfRule type="cellIs" dxfId="5496" priority="144260" stopIfTrue="1" operator="greaterThanOrEqual">
      <formula>0.5</formula>
    </cfRule>
  </conditionalFormatting>
  <conditionalFormatting sqref="AV30">
    <cfRule type="cellIs" dxfId="5495" priority="144261" stopIfTrue="1" operator="equal">
      <formula>-1</formula>
    </cfRule>
  </conditionalFormatting>
  <conditionalFormatting sqref="AV30">
    <cfRule type="cellIs" dxfId="5494" priority="144262" stopIfTrue="1" operator="lessThan">
      <formula>0.5</formula>
    </cfRule>
  </conditionalFormatting>
  <conditionalFormatting sqref="AV30">
    <cfRule type="cellIs" dxfId="5493" priority="144263" stopIfTrue="1" operator="greaterThanOrEqual">
      <formula>0.5</formula>
    </cfRule>
  </conditionalFormatting>
  <conditionalFormatting sqref="AV31">
    <cfRule type="cellIs" dxfId="5492" priority="144264" stopIfTrue="1" operator="equal">
      <formula>-1</formula>
    </cfRule>
  </conditionalFormatting>
  <conditionalFormatting sqref="AV31">
    <cfRule type="cellIs" dxfId="5491" priority="144265" stopIfTrue="1" operator="lessThan">
      <formula>0.5</formula>
    </cfRule>
  </conditionalFormatting>
  <conditionalFormatting sqref="AV31">
    <cfRule type="cellIs" dxfId="5490" priority="144266" stopIfTrue="1" operator="greaterThanOrEqual">
      <formula>0.5</formula>
    </cfRule>
  </conditionalFormatting>
  <conditionalFormatting sqref="AV32">
    <cfRule type="cellIs" dxfId="5489" priority="144267" stopIfTrue="1" operator="equal">
      <formula>-1</formula>
    </cfRule>
  </conditionalFormatting>
  <conditionalFormatting sqref="AV32">
    <cfRule type="cellIs" dxfId="5488" priority="144268" stopIfTrue="1" operator="lessThan">
      <formula>0.5</formula>
    </cfRule>
  </conditionalFormatting>
  <conditionalFormatting sqref="AV32">
    <cfRule type="cellIs" dxfId="5487" priority="144269" stopIfTrue="1" operator="greaterThanOrEqual">
      <formula>0.5</formula>
    </cfRule>
  </conditionalFormatting>
  <conditionalFormatting sqref="AV33">
    <cfRule type="cellIs" dxfId="5486" priority="144270" stopIfTrue="1" operator="equal">
      <formula>-1</formula>
    </cfRule>
  </conditionalFormatting>
  <conditionalFormatting sqref="AV33">
    <cfRule type="cellIs" dxfId="5485" priority="144271" stopIfTrue="1" operator="lessThan">
      <formula>0.5</formula>
    </cfRule>
  </conditionalFormatting>
  <conditionalFormatting sqref="AV33">
    <cfRule type="cellIs" dxfId="5484" priority="144272" stopIfTrue="1" operator="greaterThanOrEqual">
      <formula>0.5</formula>
    </cfRule>
  </conditionalFormatting>
  <conditionalFormatting sqref="AV34">
    <cfRule type="cellIs" dxfId="5483" priority="144273" stopIfTrue="1" operator="equal">
      <formula>-1</formula>
    </cfRule>
  </conditionalFormatting>
  <conditionalFormatting sqref="AV34">
    <cfRule type="cellIs" dxfId="5482" priority="144274" stopIfTrue="1" operator="lessThan">
      <formula>0.5</formula>
    </cfRule>
  </conditionalFormatting>
  <conditionalFormatting sqref="AV34">
    <cfRule type="cellIs" dxfId="5481" priority="144275" stopIfTrue="1" operator="greaterThanOrEqual">
      <formula>0.5</formula>
    </cfRule>
  </conditionalFormatting>
  <conditionalFormatting sqref="AV35">
    <cfRule type="cellIs" dxfId="5480" priority="144276" stopIfTrue="1" operator="equal">
      <formula>-1</formula>
    </cfRule>
  </conditionalFormatting>
  <conditionalFormatting sqref="AV35">
    <cfRule type="cellIs" dxfId="5479" priority="144277" stopIfTrue="1" operator="lessThan">
      <formula>0.5</formula>
    </cfRule>
  </conditionalFormatting>
  <conditionalFormatting sqref="AV35">
    <cfRule type="cellIs" dxfId="5478" priority="144278" stopIfTrue="1" operator="greaterThanOrEqual">
      <formula>0.5</formula>
    </cfRule>
  </conditionalFormatting>
  <conditionalFormatting sqref="AV36">
    <cfRule type="cellIs" dxfId="5477" priority="144279" stopIfTrue="1" operator="equal">
      <formula>-1</formula>
    </cfRule>
  </conditionalFormatting>
  <conditionalFormatting sqref="AV36">
    <cfRule type="cellIs" dxfId="5476" priority="144280" stopIfTrue="1" operator="lessThan">
      <formula>0.5</formula>
    </cfRule>
  </conditionalFormatting>
  <conditionalFormatting sqref="AV36">
    <cfRule type="cellIs" dxfId="5475" priority="144281" stopIfTrue="1" operator="greaterThanOrEqual">
      <formula>0.5</formula>
    </cfRule>
  </conditionalFormatting>
  <conditionalFormatting sqref="AV37">
    <cfRule type="cellIs" dxfId="5474" priority="144282" stopIfTrue="1" operator="equal">
      <formula>-1</formula>
    </cfRule>
  </conditionalFormatting>
  <conditionalFormatting sqref="AV37">
    <cfRule type="cellIs" dxfId="5473" priority="144283" stopIfTrue="1" operator="lessThan">
      <formula>0.5</formula>
    </cfRule>
  </conditionalFormatting>
  <conditionalFormatting sqref="AV37">
    <cfRule type="cellIs" dxfId="5472" priority="144284" stopIfTrue="1" operator="greaterThanOrEqual">
      <formula>0.5</formula>
    </cfRule>
  </conditionalFormatting>
  <conditionalFormatting sqref="AX17">
    <cfRule type="cellIs" dxfId="5471" priority="144285" stopIfTrue="1" operator="equal">
      <formula>-1</formula>
    </cfRule>
  </conditionalFormatting>
  <conditionalFormatting sqref="AX17">
    <cfRule type="cellIs" dxfId="5470" priority="144286" stopIfTrue="1" operator="lessThan">
      <formula>0.5</formula>
    </cfRule>
  </conditionalFormatting>
  <conditionalFormatting sqref="AX17">
    <cfRule type="cellIs" dxfId="5469" priority="144287" stopIfTrue="1" operator="greaterThanOrEqual">
      <formula>0.5</formula>
    </cfRule>
  </conditionalFormatting>
  <conditionalFormatting sqref="AX18">
    <cfRule type="cellIs" dxfId="5468" priority="144288" stopIfTrue="1" operator="equal">
      <formula>-1</formula>
    </cfRule>
  </conditionalFormatting>
  <conditionalFormatting sqref="AX18">
    <cfRule type="cellIs" dxfId="5467" priority="144289" stopIfTrue="1" operator="lessThan">
      <formula>0.5</formula>
    </cfRule>
  </conditionalFormatting>
  <conditionalFormatting sqref="AX18">
    <cfRule type="cellIs" dxfId="5466" priority="144290" stopIfTrue="1" operator="greaterThanOrEqual">
      <formula>0.5</formula>
    </cfRule>
  </conditionalFormatting>
  <conditionalFormatting sqref="AX19">
    <cfRule type="cellIs" dxfId="5465" priority="144291" stopIfTrue="1" operator="equal">
      <formula>-1</formula>
    </cfRule>
  </conditionalFormatting>
  <conditionalFormatting sqref="AX19">
    <cfRule type="cellIs" dxfId="5464" priority="144292" stopIfTrue="1" operator="lessThan">
      <formula>0.5</formula>
    </cfRule>
  </conditionalFormatting>
  <conditionalFormatting sqref="AX19">
    <cfRule type="cellIs" dxfId="5463" priority="144293" stopIfTrue="1" operator="greaterThanOrEqual">
      <formula>0.5</formula>
    </cfRule>
  </conditionalFormatting>
  <conditionalFormatting sqref="AX20">
    <cfRule type="cellIs" dxfId="5462" priority="144294" stopIfTrue="1" operator="equal">
      <formula>-1</formula>
    </cfRule>
  </conditionalFormatting>
  <conditionalFormatting sqref="AX20">
    <cfRule type="cellIs" dxfId="5461" priority="144295" stopIfTrue="1" operator="lessThan">
      <formula>0.5</formula>
    </cfRule>
  </conditionalFormatting>
  <conditionalFormatting sqref="AX20">
    <cfRule type="cellIs" dxfId="5460" priority="144296" stopIfTrue="1" operator="greaterThanOrEqual">
      <formula>0.5</formula>
    </cfRule>
  </conditionalFormatting>
  <conditionalFormatting sqref="AX21">
    <cfRule type="cellIs" dxfId="5459" priority="144297" stopIfTrue="1" operator="equal">
      <formula>-1</formula>
    </cfRule>
  </conditionalFormatting>
  <conditionalFormatting sqref="AX21">
    <cfRule type="cellIs" dxfId="5458" priority="144298" stopIfTrue="1" operator="lessThan">
      <formula>0.5</formula>
    </cfRule>
  </conditionalFormatting>
  <conditionalFormatting sqref="AX21">
    <cfRule type="cellIs" dxfId="5457" priority="144299" stopIfTrue="1" operator="greaterThanOrEqual">
      <formula>0.5</formula>
    </cfRule>
  </conditionalFormatting>
  <conditionalFormatting sqref="AX22">
    <cfRule type="cellIs" dxfId="5456" priority="144300" stopIfTrue="1" operator="equal">
      <formula>-1</formula>
    </cfRule>
  </conditionalFormatting>
  <conditionalFormatting sqref="AX22">
    <cfRule type="cellIs" dxfId="5455" priority="144301" stopIfTrue="1" operator="lessThan">
      <formula>0.5</formula>
    </cfRule>
  </conditionalFormatting>
  <conditionalFormatting sqref="AX22">
    <cfRule type="cellIs" dxfId="5454" priority="144302" stopIfTrue="1" operator="greaterThanOrEqual">
      <formula>0.5</formula>
    </cfRule>
  </conditionalFormatting>
  <conditionalFormatting sqref="AX23">
    <cfRule type="cellIs" dxfId="5453" priority="144303" stopIfTrue="1" operator="equal">
      <formula>-1</formula>
    </cfRule>
  </conditionalFormatting>
  <conditionalFormatting sqref="AX23">
    <cfRule type="cellIs" dxfId="5452" priority="144304" stopIfTrue="1" operator="lessThan">
      <formula>0.5</formula>
    </cfRule>
  </conditionalFormatting>
  <conditionalFormatting sqref="AX23">
    <cfRule type="cellIs" dxfId="5451" priority="144305" stopIfTrue="1" operator="greaterThanOrEqual">
      <formula>0.5</formula>
    </cfRule>
  </conditionalFormatting>
  <conditionalFormatting sqref="AX24">
    <cfRule type="cellIs" dxfId="5450" priority="144306" stopIfTrue="1" operator="equal">
      <formula>-1</formula>
    </cfRule>
  </conditionalFormatting>
  <conditionalFormatting sqref="AX24">
    <cfRule type="cellIs" dxfId="5449" priority="144307" stopIfTrue="1" operator="lessThan">
      <formula>0.5</formula>
    </cfRule>
  </conditionalFormatting>
  <conditionalFormatting sqref="AX24">
    <cfRule type="cellIs" dxfId="5448" priority="144308" stopIfTrue="1" operator="greaterThanOrEqual">
      <formula>0.5</formula>
    </cfRule>
  </conditionalFormatting>
  <conditionalFormatting sqref="AX25">
    <cfRule type="cellIs" dxfId="5447" priority="144309" stopIfTrue="1" operator="equal">
      <formula>-1</formula>
    </cfRule>
  </conditionalFormatting>
  <conditionalFormatting sqref="AX25">
    <cfRule type="cellIs" dxfId="5446" priority="144310" stopIfTrue="1" operator="lessThan">
      <formula>0.5</formula>
    </cfRule>
  </conditionalFormatting>
  <conditionalFormatting sqref="AX25">
    <cfRule type="cellIs" dxfId="5445" priority="144311" stopIfTrue="1" operator="greaterThanOrEqual">
      <formula>0.5</formula>
    </cfRule>
  </conditionalFormatting>
  <conditionalFormatting sqref="AX26">
    <cfRule type="cellIs" dxfId="5444" priority="144312" stopIfTrue="1" operator="equal">
      <formula>-1</formula>
    </cfRule>
  </conditionalFormatting>
  <conditionalFormatting sqref="AX26">
    <cfRule type="cellIs" dxfId="5443" priority="144313" stopIfTrue="1" operator="lessThan">
      <formula>0.5</formula>
    </cfRule>
  </conditionalFormatting>
  <conditionalFormatting sqref="AX26">
    <cfRule type="cellIs" dxfId="5442" priority="144314" stopIfTrue="1" operator="greaterThanOrEqual">
      <formula>0.5</formula>
    </cfRule>
  </conditionalFormatting>
  <conditionalFormatting sqref="AX27">
    <cfRule type="cellIs" dxfId="5441" priority="144315" stopIfTrue="1" operator="equal">
      <formula>-1</formula>
    </cfRule>
  </conditionalFormatting>
  <conditionalFormatting sqref="AX27">
    <cfRule type="cellIs" dxfId="5440" priority="144316" stopIfTrue="1" operator="lessThan">
      <formula>0.5</formula>
    </cfRule>
  </conditionalFormatting>
  <conditionalFormatting sqref="AX27">
    <cfRule type="cellIs" dxfId="5439" priority="144317" stopIfTrue="1" operator="greaterThanOrEqual">
      <formula>0.5</formula>
    </cfRule>
  </conditionalFormatting>
  <conditionalFormatting sqref="AX28">
    <cfRule type="cellIs" dxfId="5438" priority="144318" stopIfTrue="1" operator="equal">
      <formula>-1</formula>
    </cfRule>
  </conditionalFormatting>
  <conditionalFormatting sqref="AX28">
    <cfRule type="cellIs" dxfId="5437" priority="144319" stopIfTrue="1" operator="lessThan">
      <formula>0.5</formula>
    </cfRule>
  </conditionalFormatting>
  <conditionalFormatting sqref="AX28">
    <cfRule type="cellIs" dxfId="5436" priority="144320" stopIfTrue="1" operator="greaterThanOrEqual">
      <formula>0.5</formula>
    </cfRule>
  </conditionalFormatting>
  <conditionalFormatting sqref="AX29">
    <cfRule type="cellIs" dxfId="5435" priority="144321" stopIfTrue="1" operator="equal">
      <formula>-1</formula>
    </cfRule>
  </conditionalFormatting>
  <conditionalFormatting sqref="AX29">
    <cfRule type="cellIs" dxfId="5434" priority="144322" stopIfTrue="1" operator="lessThan">
      <formula>0.5</formula>
    </cfRule>
  </conditionalFormatting>
  <conditionalFormatting sqref="AX29">
    <cfRule type="cellIs" dxfId="5433" priority="144323" stopIfTrue="1" operator="greaterThanOrEqual">
      <formula>0.5</formula>
    </cfRule>
  </conditionalFormatting>
  <conditionalFormatting sqref="AX30">
    <cfRule type="cellIs" dxfId="5432" priority="144324" stopIfTrue="1" operator="equal">
      <formula>-1</formula>
    </cfRule>
  </conditionalFormatting>
  <conditionalFormatting sqref="AX30">
    <cfRule type="cellIs" dxfId="5431" priority="144325" stopIfTrue="1" operator="lessThan">
      <formula>0.5</formula>
    </cfRule>
  </conditionalFormatting>
  <conditionalFormatting sqref="AX30">
    <cfRule type="cellIs" dxfId="5430" priority="144326" stopIfTrue="1" operator="greaterThanOrEqual">
      <formula>0.5</formula>
    </cfRule>
  </conditionalFormatting>
  <conditionalFormatting sqref="AX31">
    <cfRule type="cellIs" dxfId="5429" priority="144327" stopIfTrue="1" operator="equal">
      <formula>-1</formula>
    </cfRule>
  </conditionalFormatting>
  <conditionalFormatting sqref="AX31">
    <cfRule type="cellIs" dxfId="5428" priority="144328" stopIfTrue="1" operator="lessThan">
      <formula>0.5</formula>
    </cfRule>
  </conditionalFormatting>
  <conditionalFormatting sqref="AX31">
    <cfRule type="cellIs" dxfId="5427" priority="144329" stopIfTrue="1" operator="greaterThanOrEqual">
      <formula>0.5</formula>
    </cfRule>
  </conditionalFormatting>
  <conditionalFormatting sqref="AX32">
    <cfRule type="cellIs" dxfId="5426" priority="144330" stopIfTrue="1" operator="equal">
      <formula>-1</formula>
    </cfRule>
  </conditionalFormatting>
  <conditionalFormatting sqref="AX32">
    <cfRule type="cellIs" dxfId="5425" priority="144331" stopIfTrue="1" operator="lessThan">
      <formula>0.5</formula>
    </cfRule>
  </conditionalFormatting>
  <conditionalFormatting sqref="AX32">
    <cfRule type="cellIs" dxfId="5424" priority="144332" stopIfTrue="1" operator="greaterThanOrEqual">
      <formula>0.5</formula>
    </cfRule>
  </conditionalFormatting>
  <conditionalFormatting sqref="AX33">
    <cfRule type="cellIs" dxfId="5423" priority="144333" stopIfTrue="1" operator="equal">
      <formula>-1</formula>
    </cfRule>
  </conditionalFormatting>
  <conditionalFormatting sqref="AX33">
    <cfRule type="cellIs" dxfId="5422" priority="144334" stopIfTrue="1" operator="lessThan">
      <formula>0.5</formula>
    </cfRule>
  </conditionalFormatting>
  <conditionalFormatting sqref="AX33">
    <cfRule type="cellIs" dxfId="5421" priority="144335" stopIfTrue="1" operator="greaterThanOrEqual">
      <formula>0.5</formula>
    </cfRule>
  </conditionalFormatting>
  <conditionalFormatting sqref="AX34">
    <cfRule type="cellIs" dxfId="5420" priority="144336" stopIfTrue="1" operator="equal">
      <formula>-1</formula>
    </cfRule>
  </conditionalFormatting>
  <conditionalFormatting sqref="AX34">
    <cfRule type="cellIs" dxfId="5419" priority="144337" stopIfTrue="1" operator="lessThan">
      <formula>0.5</formula>
    </cfRule>
  </conditionalFormatting>
  <conditionalFormatting sqref="AX34">
    <cfRule type="cellIs" dxfId="5418" priority="144338" stopIfTrue="1" operator="greaterThanOrEqual">
      <formula>0.5</formula>
    </cfRule>
  </conditionalFormatting>
  <conditionalFormatting sqref="AX35">
    <cfRule type="cellIs" dxfId="5417" priority="144339" stopIfTrue="1" operator="equal">
      <formula>-1</formula>
    </cfRule>
  </conditionalFormatting>
  <conditionalFormatting sqref="AX35">
    <cfRule type="cellIs" dxfId="5416" priority="144340" stopIfTrue="1" operator="lessThan">
      <formula>0.5</formula>
    </cfRule>
  </conditionalFormatting>
  <conditionalFormatting sqref="AX35">
    <cfRule type="cellIs" dxfId="5415" priority="144341" stopIfTrue="1" operator="greaterThanOrEqual">
      <formula>0.5</formula>
    </cfRule>
  </conditionalFormatting>
  <conditionalFormatting sqref="AX36">
    <cfRule type="cellIs" dxfId="5414" priority="144342" stopIfTrue="1" operator="equal">
      <formula>-1</formula>
    </cfRule>
  </conditionalFormatting>
  <conditionalFormatting sqref="AX36">
    <cfRule type="cellIs" dxfId="5413" priority="144343" stopIfTrue="1" operator="lessThan">
      <formula>0.5</formula>
    </cfRule>
  </conditionalFormatting>
  <conditionalFormatting sqref="AX36">
    <cfRule type="cellIs" dxfId="5412" priority="144344" stopIfTrue="1" operator="greaterThanOrEqual">
      <formula>0.5</formula>
    </cfRule>
  </conditionalFormatting>
  <conditionalFormatting sqref="AX37">
    <cfRule type="cellIs" dxfId="5411" priority="144345" stopIfTrue="1" operator="equal">
      <formula>-1</formula>
    </cfRule>
  </conditionalFormatting>
  <conditionalFormatting sqref="AX37">
    <cfRule type="cellIs" dxfId="5410" priority="144346" stopIfTrue="1" operator="lessThan">
      <formula>0.5</formula>
    </cfRule>
  </conditionalFormatting>
  <conditionalFormatting sqref="AX37">
    <cfRule type="cellIs" dxfId="5409" priority="144347" stopIfTrue="1" operator="greaterThanOrEqual">
      <formula>0.5</formula>
    </cfRule>
  </conditionalFormatting>
  <conditionalFormatting sqref="AZ17">
    <cfRule type="cellIs" dxfId="5408" priority="144348" stopIfTrue="1" operator="equal">
      <formula>-1</formula>
    </cfRule>
  </conditionalFormatting>
  <conditionalFormatting sqref="AZ17">
    <cfRule type="cellIs" dxfId="5407" priority="144349" stopIfTrue="1" operator="lessThan">
      <formula>0.5</formula>
    </cfRule>
  </conditionalFormatting>
  <conditionalFormatting sqref="AZ17">
    <cfRule type="cellIs" dxfId="5406" priority="144350" stopIfTrue="1" operator="greaterThanOrEqual">
      <formula>0.5</formula>
    </cfRule>
  </conditionalFormatting>
  <conditionalFormatting sqref="AZ18">
    <cfRule type="cellIs" dxfId="5405" priority="144351" stopIfTrue="1" operator="equal">
      <formula>-1</formula>
    </cfRule>
  </conditionalFormatting>
  <conditionalFormatting sqref="AZ18">
    <cfRule type="cellIs" dxfId="5404" priority="144352" stopIfTrue="1" operator="lessThan">
      <formula>0.5</formula>
    </cfRule>
  </conditionalFormatting>
  <conditionalFormatting sqref="AZ18">
    <cfRule type="cellIs" dxfId="5403" priority="144353" stopIfTrue="1" operator="greaterThanOrEqual">
      <formula>0.5</formula>
    </cfRule>
  </conditionalFormatting>
  <conditionalFormatting sqref="AZ19">
    <cfRule type="cellIs" dxfId="5402" priority="144354" stopIfTrue="1" operator="equal">
      <formula>-1</formula>
    </cfRule>
  </conditionalFormatting>
  <conditionalFormatting sqref="AZ19">
    <cfRule type="cellIs" dxfId="5401" priority="144355" stopIfTrue="1" operator="lessThan">
      <formula>0.5</formula>
    </cfRule>
  </conditionalFormatting>
  <conditionalFormatting sqref="AZ19">
    <cfRule type="cellIs" dxfId="5400" priority="144356" stopIfTrue="1" operator="greaterThanOrEqual">
      <formula>0.5</formula>
    </cfRule>
  </conditionalFormatting>
  <conditionalFormatting sqref="AZ20">
    <cfRule type="cellIs" dxfId="5399" priority="144357" stopIfTrue="1" operator="equal">
      <formula>-1</formula>
    </cfRule>
  </conditionalFormatting>
  <conditionalFormatting sqref="AZ20">
    <cfRule type="cellIs" dxfId="5398" priority="144358" stopIfTrue="1" operator="lessThan">
      <formula>0.5</formula>
    </cfRule>
  </conditionalFormatting>
  <conditionalFormatting sqref="AZ20">
    <cfRule type="cellIs" dxfId="5397" priority="144359" stopIfTrue="1" operator="greaterThanOrEqual">
      <formula>0.5</formula>
    </cfRule>
  </conditionalFormatting>
  <conditionalFormatting sqref="AZ21">
    <cfRule type="cellIs" dxfId="5396" priority="144360" stopIfTrue="1" operator="equal">
      <formula>-1</formula>
    </cfRule>
  </conditionalFormatting>
  <conditionalFormatting sqref="AZ21">
    <cfRule type="cellIs" dxfId="5395" priority="144361" stopIfTrue="1" operator="lessThan">
      <formula>0.5</formula>
    </cfRule>
  </conditionalFormatting>
  <conditionalFormatting sqref="AZ21">
    <cfRule type="cellIs" dxfId="5394" priority="144362" stopIfTrue="1" operator="greaterThanOrEqual">
      <formula>0.5</formula>
    </cfRule>
  </conditionalFormatting>
  <conditionalFormatting sqref="AZ22">
    <cfRule type="cellIs" dxfId="5393" priority="144363" stopIfTrue="1" operator="equal">
      <formula>-1</formula>
    </cfRule>
  </conditionalFormatting>
  <conditionalFormatting sqref="AZ22">
    <cfRule type="cellIs" dxfId="5392" priority="144364" stopIfTrue="1" operator="lessThan">
      <formula>0.5</formula>
    </cfRule>
  </conditionalFormatting>
  <conditionalFormatting sqref="AZ22">
    <cfRule type="cellIs" dxfId="5391" priority="144365" stopIfTrue="1" operator="greaterThanOrEqual">
      <formula>0.5</formula>
    </cfRule>
  </conditionalFormatting>
  <conditionalFormatting sqref="AZ23">
    <cfRule type="cellIs" dxfId="5390" priority="144366" stopIfTrue="1" operator="equal">
      <formula>-1</formula>
    </cfRule>
  </conditionalFormatting>
  <conditionalFormatting sqref="AZ23">
    <cfRule type="cellIs" dxfId="5389" priority="144367" stopIfTrue="1" operator="lessThan">
      <formula>0.5</formula>
    </cfRule>
  </conditionalFormatting>
  <conditionalFormatting sqref="AZ23">
    <cfRule type="cellIs" dxfId="5388" priority="144368" stopIfTrue="1" operator="greaterThanOrEqual">
      <formula>0.5</formula>
    </cfRule>
  </conditionalFormatting>
  <conditionalFormatting sqref="AZ24">
    <cfRule type="cellIs" dxfId="5387" priority="144369" stopIfTrue="1" operator="equal">
      <formula>-1</formula>
    </cfRule>
  </conditionalFormatting>
  <conditionalFormatting sqref="AZ24">
    <cfRule type="cellIs" dxfId="5386" priority="144370" stopIfTrue="1" operator="lessThan">
      <formula>0.5</formula>
    </cfRule>
  </conditionalFormatting>
  <conditionalFormatting sqref="AZ24">
    <cfRule type="cellIs" dxfId="5385" priority="144371" stopIfTrue="1" operator="greaterThanOrEqual">
      <formula>0.5</formula>
    </cfRule>
  </conditionalFormatting>
  <conditionalFormatting sqref="AZ25">
    <cfRule type="cellIs" dxfId="5384" priority="144372" stopIfTrue="1" operator="equal">
      <formula>-1</formula>
    </cfRule>
  </conditionalFormatting>
  <conditionalFormatting sqref="AZ25">
    <cfRule type="cellIs" dxfId="5383" priority="144373" stopIfTrue="1" operator="lessThan">
      <formula>0.5</formula>
    </cfRule>
  </conditionalFormatting>
  <conditionalFormatting sqref="AZ25">
    <cfRule type="cellIs" dxfId="5382" priority="144374" stopIfTrue="1" operator="greaterThanOrEqual">
      <formula>0.5</formula>
    </cfRule>
  </conditionalFormatting>
  <conditionalFormatting sqref="AZ26">
    <cfRule type="cellIs" dxfId="5381" priority="144375" stopIfTrue="1" operator="equal">
      <formula>-1</formula>
    </cfRule>
  </conditionalFormatting>
  <conditionalFormatting sqref="AZ26">
    <cfRule type="cellIs" dxfId="5380" priority="144376" stopIfTrue="1" operator="lessThan">
      <formula>0.5</formula>
    </cfRule>
  </conditionalFormatting>
  <conditionalFormatting sqref="AZ26">
    <cfRule type="cellIs" dxfId="5379" priority="144377" stopIfTrue="1" operator="greaterThanOrEqual">
      <formula>0.5</formula>
    </cfRule>
  </conditionalFormatting>
  <conditionalFormatting sqref="AZ27">
    <cfRule type="cellIs" dxfId="5378" priority="144378" stopIfTrue="1" operator="equal">
      <formula>-1</formula>
    </cfRule>
  </conditionalFormatting>
  <conditionalFormatting sqref="AZ27">
    <cfRule type="cellIs" dxfId="5377" priority="144379" stopIfTrue="1" operator="lessThan">
      <formula>0.5</formula>
    </cfRule>
  </conditionalFormatting>
  <conditionalFormatting sqref="AZ27">
    <cfRule type="cellIs" dxfId="5376" priority="144380" stopIfTrue="1" operator="greaterThanOrEqual">
      <formula>0.5</formula>
    </cfRule>
  </conditionalFormatting>
  <conditionalFormatting sqref="AZ28">
    <cfRule type="cellIs" dxfId="5375" priority="144381" stopIfTrue="1" operator="equal">
      <formula>-1</formula>
    </cfRule>
  </conditionalFormatting>
  <conditionalFormatting sqref="AZ28">
    <cfRule type="cellIs" dxfId="5374" priority="144382" stopIfTrue="1" operator="lessThan">
      <formula>0.5</formula>
    </cfRule>
  </conditionalFormatting>
  <conditionalFormatting sqref="AZ28">
    <cfRule type="cellIs" dxfId="5373" priority="144383" stopIfTrue="1" operator="greaterThanOrEqual">
      <formula>0.5</formula>
    </cfRule>
  </conditionalFormatting>
  <conditionalFormatting sqref="AZ29">
    <cfRule type="cellIs" dxfId="5372" priority="144384" stopIfTrue="1" operator="equal">
      <formula>-1</formula>
    </cfRule>
  </conditionalFormatting>
  <conditionalFormatting sqref="AZ29">
    <cfRule type="cellIs" dxfId="5371" priority="144385" stopIfTrue="1" operator="lessThan">
      <formula>0.5</formula>
    </cfRule>
  </conditionalFormatting>
  <conditionalFormatting sqref="AZ29">
    <cfRule type="cellIs" dxfId="5370" priority="144386" stopIfTrue="1" operator="greaterThanOrEqual">
      <formula>0.5</formula>
    </cfRule>
  </conditionalFormatting>
  <conditionalFormatting sqref="AZ30">
    <cfRule type="cellIs" dxfId="5369" priority="144387" stopIfTrue="1" operator="equal">
      <formula>-1</formula>
    </cfRule>
  </conditionalFormatting>
  <conditionalFormatting sqref="AZ30">
    <cfRule type="cellIs" dxfId="5368" priority="144388" stopIfTrue="1" operator="lessThan">
      <formula>0.5</formula>
    </cfRule>
  </conditionalFormatting>
  <conditionalFormatting sqref="AZ30">
    <cfRule type="cellIs" dxfId="5367" priority="144389" stopIfTrue="1" operator="greaterThanOrEqual">
      <formula>0.5</formula>
    </cfRule>
  </conditionalFormatting>
  <conditionalFormatting sqref="AZ31">
    <cfRule type="cellIs" dxfId="5366" priority="144390" stopIfTrue="1" operator="equal">
      <formula>-1</formula>
    </cfRule>
  </conditionalFormatting>
  <conditionalFormatting sqref="AZ31">
    <cfRule type="cellIs" dxfId="5365" priority="144391" stopIfTrue="1" operator="lessThan">
      <formula>0.5</formula>
    </cfRule>
  </conditionalFormatting>
  <conditionalFormatting sqref="AZ31">
    <cfRule type="cellIs" dxfId="5364" priority="144392" stopIfTrue="1" operator="greaterThanOrEqual">
      <formula>0.5</formula>
    </cfRule>
  </conditionalFormatting>
  <conditionalFormatting sqref="AZ32">
    <cfRule type="cellIs" dxfId="5363" priority="144393" stopIfTrue="1" operator="equal">
      <formula>-1</formula>
    </cfRule>
  </conditionalFormatting>
  <conditionalFormatting sqref="AZ32">
    <cfRule type="cellIs" dxfId="5362" priority="144394" stopIfTrue="1" operator="lessThan">
      <formula>0.5</formula>
    </cfRule>
  </conditionalFormatting>
  <conditionalFormatting sqref="AZ32">
    <cfRule type="cellIs" dxfId="5361" priority="144395" stopIfTrue="1" operator="greaterThanOrEqual">
      <formula>0.5</formula>
    </cfRule>
  </conditionalFormatting>
  <conditionalFormatting sqref="AZ33">
    <cfRule type="cellIs" dxfId="5360" priority="144396" stopIfTrue="1" operator="equal">
      <formula>-1</formula>
    </cfRule>
  </conditionalFormatting>
  <conditionalFormatting sqref="AZ33">
    <cfRule type="cellIs" dxfId="5359" priority="144397" stopIfTrue="1" operator="lessThan">
      <formula>0.5</formula>
    </cfRule>
  </conditionalFormatting>
  <conditionalFormatting sqref="AZ33">
    <cfRule type="cellIs" dxfId="5358" priority="144398" stopIfTrue="1" operator="greaterThanOrEqual">
      <formula>0.5</formula>
    </cfRule>
  </conditionalFormatting>
  <conditionalFormatting sqref="AZ34">
    <cfRule type="cellIs" dxfId="5357" priority="144399" stopIfTrue="1" operator="equal">
      <formula>-1</formula>
    </cfRule>
  </conditionalFormatting>
  <conditionalFormatting sqref="AZ34">
    <cfRule type="cellIs" dxfId="5356" priority="144400" stopIfTrue="1" operator="lessThan">
      <formula>0.5</formula>
    </cfRule>
  </conditionalFormatting>
  <conditionalFormatting sqref="AZ34">
    <cfRule type="cellIs" dxfId="5355" priority="144401" stopIfTrue="1" operator="greaterThanOrEqual">
      <formula>0.5</formula>
    </cfRule>
  </conditionalFormatting>
  <conditionalFormatting sqref="AZ35">
    <cfRule type="cellIs" dxfId="5354" priority="144402" stopIfTrue="1" operator="equal">
      <formula>-1</formula>
    </cfRule>
  </conditionalFormatting>
  <conditionalFormatting sqref="AZ35">
    <cfRule type="cellIs" dxfId="5353" priority="144403" stopIfTrue="1" operator="lessThan">
      <formula>0.5</formula>
    </cfRule>
  </conditionalFormatting>
  <conditionalFormatting sqref="AZ35">
    <cfRule type="cellIs" dxfId="5352" priority="144404" stopIfTrue="1" operator="greaterThanOrEqual">
      <formula>0.5</formula>
    </cfRule>
  </conditionalFormatting>
  <conditionalFormatting sqref="AZ36">
    <cfRule type="cellIs" dxfId="5351" priority="144405" stopIfTrue="1" operator="equal">
      <formula>-1</formula>
    </cfRule>
  </conditionalFormatting>
  <conditionalFormatting sqref="AZ36">
    <cfRule type="cellIs" dxfId="5350" priority="144406" stopIfTrue="1" operator="lessThan">
      <formula>0.5</formula>
    </cfRule>
  </conditionalFormatting>
  <conditionalFormatting sqref="AZ36">
    <cfRule type="cellIs" dxfId="5349" priority="144407" stopIfTrue="1" operator="greaterThanOrEqual">
      <formula>0.5</formula>
    </cfRule>
  </conditionalFormatting>
  <conditionalFormatting sqref="AZ37">
    <cfRule type="cellIs" dxfId="5348" priority="144408" stopIfTrue="1" operator="equal">
      <formula>-1</formula>
    </cfRule>
  </conditionalFormatting>
  <conditionalFormatting sqref="AZ37">
    <cfRule type="cellIs" dxfId="5347" priority="144409" stopIfTrue="1" operator="lessThan">
      <formula>0.5</formula>
    </cfRule>
  </conditionalFormatting>
  <conditionalFormatting sqref="AZ37">
    <cfRule type="cellIs" dxfId="5346" priority="144410" stopIfTrue="1" operator="greaterThanOrEqual">
      <formula>0.5</formula>
    </cfRule>
  </conditionalFormatting>
  <conditionalFormatting sqref="BB17">
    <cfRule type="cellIs" dxfId="5345" priority="144411" stopIfTrue="1" operator="equal">
      <formula>-1</formula>
    </cfRule>
  </conditionalFormatting>
  <conditionalFormatting sqref="BB17">
    <cfRule type="cellIs" dxfId="5344" priority="144412" stopIfTrue="1" operator="lessThan">
      <formula>0.5</formula>
    </cfRule>
  </conditionalFormatting>
  <conditionalFormatting sqref="BB17">
    <cfRule type="cellIs" dxfId="5343" priority="144413" stopIfTrue="1" operator="greaterThanOrEqual">
      <formula>0.5</formula>
    </cfRule>
  </conditionalFormatting>
  <conditionalFormatting sqref="BB18">
    <cfRule type="cellIs" dxfId="5342" priority="144414" stopIfTrue="1" operator="equal">
      <formula>-1</formula>
    </cfRule>
  </conditionalFormatting>
  <conditionalFormatting sqref="BB18">
    <cfRule type="cellIs" dxfId="5341" priority="144415" stopIfTrue="1" operator="lessThan">
      <formula>0.5</formula>
    </cfRule>
  </conditionalFormatting>
  <conditionalFormatting sqref="BB18">
    <cfRule type="cellIs" dxfId="5340" priority="144416" stopIfTrue="1" operator="greaterThanOrEqual">
      <formula>0.5</formula>
    </cfRule>
  </conditionalFormatting>
  <conditionalFormatting sqref="BB19">
    <cfRule type="cellIs" dxfId="5339" priority="144417" stopIfTrue="1" operator="equal">
      <formula>-1</formula>
    </cfRule>
  </conditionalFormatting>
  <conditionalFormatting sqref="BB19">
    <cfRule type="cellIs" dxfId="5338" priority="144418" stopIfTrue="1" operator="lessThan">
      <formula>0.5</formula>
    </cfRule>
  </conditionalFormatting>
  <conditionalFormatting sqref="BB19">
    <cfRule type="cellIs" dxfId="5337" priority="144419" stopIfTrue="1" operator="greaterThanOrEqual">
      <formula>0.5</formula>
    </cfRule>
  </conditionalFormatting>
  <conditionalFormatting sqref="BB20">
    <cfRule type="cellIs" dxfId="5336" priority="144420" stopIfTrue="1" operator="equal">
      <formula>-1</formula>
    </cfRule>
  </conditionalFormatting>
  <conditionalFormatting sqref="BB20">
    <cfRule type="cellIs" dxfId="5335" priority="144421" stopIfTrue="1" operator="lessThan">
      <formula>0.5</formula>
    </cfRule>
  </conditionalFormatting>
  <conditionalFormatting sqref="BB20">
    <cfRule type="cellIs" dxfId="5334" priority="144422" stopIfTrue="1" operator="greaterThanOrEqual">
      <formula>0.5</formula>
    </cfRule>
  </conditionalFormatting>
  <conditionalFormatting sqref="BB21">
    <cfRule type="cellIs" dxfId="5333" priority="144423" stopIfTrue="1" operator="equal">
      <formula>-1</formula>
    </cfRule>
  </conditionalFormatting>
  <conditionalFormatting sqref="BB21">
    <cfRule type="cellIs" dxfId="5332" priority="144424" stopIfTrue="1" operator="lessThan">
      <formula>0.5</formula>
    </cfRule>
  </conditionalFormatting>
  <conditionalFormatting sqref="BB21">
    <cfRule type="cellIs" dxfId="5331" priority="144425" stopIfTrue="1" operator="greaterThanOrEqual">
      <formula>0.5</formula>
    </cfRule>
  </conditionalFormatting>
  <conditionalFormatting sqref="BB22">
    <cfRule type="cellIs" dxfId="5330" priority="144426" stopIfTrue="1" operator="equal">
      <formula>-1</formula>
    </cfRule>
  </conditionalFormatting>
  <conditionalFormatting sqref="BB22">
    <cfRule type="cellIs" dxfId="5329" priority="144427" stopIfTrue="1" operator="lessThan">
      <formula>0.5</formula>
    </cfRule>
  </conditionalFormatting>
  <conditionalFormatting sqref="BB22">
    <cfRule type="cellIs" dxfId="5328" priority="144428" stopIfTrue="1" operator="greaterThanOrEqual">
      <formula>0.5</formula>
    </cfRule>
  </conditionalFormatting>
  <conditionalFormatting sqref="BB23">
    <cfRule type="cellIs" dxfId="5327" priority="144429" stopIfTrue="1" operator="equal">
      <formula>-1</formula>
    </cfRule>
  </conditionalFormatting>
  <conditionalFormatting sqref="BB23">
    <cfRule type="cellIs" dxfId="5326" priority="144430" stopIfTrue="1" operator="lessThan">
      <formula>0.5</formula>
    </cfRule>
  </conditionalFormatting>
  <conditionalFormatting sqref="BB23">
    <cfRule type="cellIs" dxfId="5325" priority="144431" stopIfTrue="1" operator="greaterThanOrEqual">
      <formula>0.5</formula>
    </cfRule>
  </conditionalFormatting>
  <conditionalFormatting sqref="BB24">
    <cfRule type="cellIs" dxfId="5324" priority="144432" stopIfTrue="1" operator="equal">
      <formula>-1</formula>
    </cfRule>
  </conditionalFormatting>
  <conditionalFormatting sqref="BB24">
    <cfRule type="cellIs" dxfId="5323" priority="144433" stopIfTrue="1" operator="lessThan">
      <formula>0.5</formula>
    </cfRule>
  </conditionalFormatting>
  <conditionalFormatting sqref="BB24">
    <cfRule type="cellIs" dxfId="5322" priority="144434" stopIfTrue="1" operator="greaterThanOrEqual">
      <formula>0.5</formula>
    </cfRule>
  </conditionalFormatting>
  <conditionalFormatting sqref="BB25">
    <cfRule type="cellIs" dxfId="5321" priority="144435" stopIfTrue="1" operator="equal">
      <formula>-1</formula>
    </cfRule>
  </conditionalFormatting>
  <conditionalFormatting sqref="BB25">
    <cfRule type="cellIs" dxfId="5320" priority="144436" stopIfTrue="1" operator="lessThan">
      <formula>0.5</formula>
    </cfRule>
  </conditionalFormatting>
  <conditionalFormatting sqref="BB25">
    <cfRule type="cellIs" dxfId="5319" priority="144437" stopIfTrue="1" operator="greaterThanOrEqual">
      <formula>0.5</formula>
    </cfRule>
  </conditionalFormatting>
  <conditionalFormatting sqref="BB26">
    <cfRule type="cellIs" dxfId="5318" priority="144438" stopIfTrue="1" operator="equal">
      <formula>-1</formula>
    </cfRule>
  </conditionalFormatting>
  <conditionalFormatting sqref="BB26">
    <cfRule type="cellIs" dxfId="5317" priority="144439" stopIfTrue="1" operator="lessThan">
      <formula>0.5</formula>
    </cfRule>
  </conditionalFormatting>
  <conditionalFormatting sqref="BB26">
    <cfRule type="cellIs" dxfId="5316" priority="144440" stopIfTrue="1" operator="greaterThanOrEqual">
      <formula>0.5</formula>
    </cfRule>
  </conditionalFormatting>
  <conditionalFormatting sqref="BB27">
    <cfRule type="cellIs" dxfId="5315" priority="144441" stopIfTrue="1" operator="equal">
      <formula>-1</formula>
    </cfRule>
  </conditionalFormatting>
  <conditionalFormatting sqref="BB27">
    <cfRule type="cellIs" dxfId="5314" priority="144442" stopIfTrue="1" operator="lessThan">
      <formula>0.5</formula>
    </cfRule>
  </conditionalFormatting>
  <conditionalFormatting sqref="BB27">
    <cfRule type="cellIs" dxfId="5313" priority="144443" stopIfTrue="1" operator="greaterThanOrEqual">
      <formula>0.5</formula>
    </cfRule>
  </conditionalFormatting>
  <conditionalFormatting sqref="BB28">
    <cfRule type="cellIs" dxfId="5312" priority="144444" stopIfTrue="1" operator="equal">
      <formula>-1</formula>
    </cfRule>
  </conditionalFormatting>
  <conditionalFormatting sqref="BB28">
    <cfRule type="cellIs" dxfId="5311" priority="144445" stopIfTrue="1" operator="lessThan">
      <formula>0.5</formula>
    </cfRule>
  </conditionalFormatting>
  <conditionalFormatting sqref="BB28">
    <cfRule type="cellIs" dxfId="5310" priority="144446" stopIfTrue="1" operator="greaterThanOrEqual">
      <formula>0.5</formula>
    </cfRule>
  </conditionalFormatting>
  <conditionalFormatting sqref="BB29">
    <cfRule type="cellIs" dxfId="5309" priority="144447" stopIfTrue="1" operator="equal">
      <formula>-1</formula>
    </cfRule>
  </conditionalFormatting>
  <conditionalFormatting sqref="BB29">
    <cfRule type="cellIs" dxfId="5308" priority="144448" stopIfTrue="1" operator="lessThan">
      <formula>0.5</formula>
    </cfRule>
  </conditionalFormatting>
  <conditionalFormatting sqref="BB29">
    <cfRule type="cellIs" dxfId="5307" priority="144449" stopIfTrue="1" operator="greaterThanOrEqual">
      <formula>0.5</formula>
    </cfRule>
  </conditionalFormatting>
  <conditionalFormatting sqref="BB30">
    <cfRule type="cellIs" dxfId="5306" priority="144450" stopIfTrue="1" operator="equal">
      <formula>-1</formula>
    </cfRule>
  </conditionalFormatting>
  <conditionalFormatting sqref="BB30">
    <cfRule type="cellIs" dxfId="5305" priority="144451" stopIfTrue="1" operator="lessThan">
      <formula>0.5</formula>
    </cfRule>
  </conditionalFormatting>
  <conditionalFormatting sqref="BB30">
    <cfRule type="cellIs" dxfId="5304" priority="144452" stopIfTrue="1" operator="greaterThanOrEqual">
      <formula>0.5</formula>
    </cfRule>
  </conditionalFormatting>
  <conditionalFormatting sqref="BB31">
    <cfRule type="cellIs" dxfId="5303" priority="144453" stopIfTrue="1" operator="equal">
      <formula>-1</formula>
    </cfRule>
  </conditionalFormatting>
  <conditionalFormatting sqref="BB31">
    <cfRule type="cellIs" dxfId="5302" priority="144454" stopIfTrue="1" operator="lessThan">
      <formula>0.5</formula>
    </cfRule>
  </conditionalFormatting>
  <conditionalFormatting sqref="BB31">
    <cfRule type="cellIs" dxfId="5301" priority="144455" stopIfTrue="1" operator="greaterThanOrEqual">
      <formula>0.5</formula>
    </cfRule>
  </conditionalFormatting>
  <conditionalFormatting sqref="BB32">
    <cfRule type="cellIs" dxfId="5300" priority="144456" stopIfTrue="1" operator="equal">
      <formula>-1</formula>
    </cfRule>
  </conditionalFormatting>
  <conditionalFormatting sqref="BB32">
    <cfRule type="cellIs" dxfId="5299" priority="144457" stopIfTrue="1" operator="lessThan">
      <formula>0.5</formula>
    </cfRule>
  </conditionalFormatting>
  <conditionalFormatting sqref="BB32">
    <cfRule type="cellIs" dxfId="5298" priority="144458" stopIfTrue="1" operator="greaterThanOrEqual">
      <formula>0.5</formula>
    </cfRule>
  </conditionalFormatting>
  <conditionalFormatting sqref="BB33">
    <cfRule type="cellIs" dxfId="5297" priority="144459" stopIfTrue="1" operator="equal">
      <formula>-1</formula>
    </cfRule>
  </conditionalFormatting>
  <conditionalFormatting sqref="BB33">
    <cfRule type="cellIs" dxfId="5296" priority="144460" stopIfTrue="1" operator="lessThan">
      <formula>0.5</formula>
    </cfRule>
  </conditionalFormatting>
  <conditionalFormatting sqref="BB33">
    <cfRule type="cellIs" dxfId="5295" priority="144461" stopIfTrue="1" operator="greaterThanOrEqual">
      <formula>0.5</formula>
    </cfRule>
  </conditionalFormatting>
  <conditionalFormatting sqref="BB34">
    <cfRule type="cellIs" dxfId="5294" priority="144462" stopIfTrue="1" operator="equal">
      <formula>-1</formula>
    </cfRule>
  </conditionalFormatting>
  <conditionalFormatting sqref="BB34">
    <cfRule type="cellIs" dxfId="5293" priority="144463" stopIfTrue="1" operator="lessThan">
      <formula>0.5</formula>
    </cfRule>
  </conditionalFormatting>
  <conditionalFormatting sqref="BB34">
    <cfRule type="cellIs" dxfId="5292" priority="144464" stopIfTrue="1" operator="greaterThanOrEqual">
      <formula>0.5</formula>
    </cfRule>
  </conditionalFormatting>
  <conditionalFormatting sqref="BB35">
    <cfRule type="cellIs" dxfId="5291" priority="144465" stopIfTrue="1" operator="equal">
      <formula>-1</formula>
    </cfRule>
  </conditionalFormatting>
  <conditionalFormatting sqref="BB35">
    <cfRule type="cellIs" dxfId="5290" priority="144466" stopIfTrue="1" operator="lessThan">
      <formula>0.5</formula>
    </cfRule>
  </conditionalFormatting>
  <conditionalFormatting sqref="BB35">
    <cfRule type="cellIs" dxfId="5289" priority="144467" stopIfTrue="1" operator="greaterThanOrEqual">
      <formula>0.5</formula>
    </cfRule>
  </conditionalFormatting>
  <conditionalFormatting sqref="BB36">
    <cfRule type="cellIs" dxfId="5288" priority="144468" stopIfTrue="1" operator="equal">
      <formula>-1</formula>
    </cfRule>
  </conditionalFormatting>
  <conditionalFormatting sqref="BB36">
    <cfRule type="cellIs" dxfId="5287" priority="144469" stopIfTrue="1" operator="lessThan">
      <formula>0.5</formula>
    </cfRule>
  </conditionalFormatting>
  <conditionalFormatting sqref="BB36">
    <cfRule type="cellIs" dxfId="5286" priority="144470" stopIfTrue="1" operator="greaterThanOrEqual">
      <formula>0.5</formula>
    </cfRule>
  </conditionalFormatting>
  <conditionalFormatting sqref="BB37">
    <cfRule type="cellIs" dxfId="5285" priority="144471" stopIfTrue="1" operator="equal">
      <formula>-1</formula>
    </cfRule>
  </conditionalFormatting>
  <conditionalFormatting sqref="BB37">
    <cfRule type="cellIs" dxfId="5284" priority="144472" stopIfTrue="1" operator="lessThan">
      <formula>0.5</formula>
    </cfRule>
  </conditionalFormatting>
  <conditionalFormatting sqref="BB37">
    <cfRule type="cellIs" dxfId="5283" priority="144473" stopIfTrue="1" operator="greaterThanOrEqual">
      <formula>0.5</formula>
    </cfRule>
  </conditionalFormatting>
  <conditionalFormatting sqref="BD17">
    <cfRule type="cellIs" dxfId="5282" priority="144474" stopIfTrue="1" operator="equal">
      <formula>-1</formula>
    </cfRule>
  </conditionalFormatting>
  <conditionalFormatting sqref="BD17">
    <cfRule type="cellIs" dxfId="5281" priority="144475" stopIfTrue="1" operator="lessThan">
      <formula>0.5</formula>
    </cfRule>
  </conditionalFormatting>
  <conditionalFormatting sqref="BD17">
    <cfRule type="cellIs" dxfId="5280" priority="144476" stopIfTrue="1" operator="greaterThanOrEqual">
      <formula>0.5</formula>
    </cfRule>
  </conditionalFormatting>
  <conditionalFormatting sqref="BD18">
    <cfRule type="cellIs" dxfId="5279" priority="144477" stopIfTrue="1" operator="equal">
      <formula>-1</formula>
    </cfRule>
  </conditionalFormatting>
  <conditionalFormatting sqref="BD18">
    <cfRule type="cellIs" dxfId="5278" priority="144478" stopIfTrue="1" operator="lessThan">
      <formula>0.5</formula>
    </cfRule>
  </conditionalFormatting>
  <conditionalFormatting sqref="BD18">
    <cfRule type="cellIs" dxfId="5277" priority="144479" stopIfTrue="1" operator="greaterThanOrEqual">
      <formula>0.5</formula>
    </cfRule>
  </conditionalFormatting>
  <conditionalFormatting sqref="BD19">
    <cfRule type="cellIs" dxfId="5276" priority="144480" stopIfTrue="1" operator="equal">
      <formula>-1</formula>
    </cfRule>
  </conditionalFormatting>
  <conditionalFormatting sqref="BD19">
    <cfRule type="cellIs" dxfId="5275" priority="144481" stopIfTrue="1" operator="lessThan">
      <formula>0.5</formula>
    </cfRule>
  </conditionalFormatting>
  <conditionalFormatting sqref="BD19">
    <cfRule type="cellIs" dxfId="5274" priority="144482" stopIfTrue="1" operator="greaterThanOrEqual">
      <formula>0.5</formula>
    </cfRule>
  </conditionalFormatting>
  <conditionalFormatting sqref="BD20">
    <cfRule type="cellIs" dxfId="5273" priority="144483" stopIfTrue="1" operator="equal">
      <formula>-1</formula>
    </cfRule>
  </conditionalFormatting>
  <conditionalFormatting sqref="BD20">
    <cfRule type="cellIs" dxfId="5272" priority="144484" stopIfTrue="1" operator="lessThan">
      <formula>0.5</formula>
    </cfRule>
  </conditionalFormatting>
  <conditionalFormatting sqref="BD20">
    <cfRule type="cellIs" dxfId="5271" priority="144485" stopIfTrue="1" operator="greaterThanOrEqual">
      <formula>0.5</formula>
    </cfRule>
  </conditionalFormatting>
  <conditionalFormatting sqref="BD21">
    <cfRule type="cellIs" dxfId="5270" priority="144486" stopIfTrue="1" operator="equal">
      <formula>-1</formula>
    </cfRule>
  </conditionalFormatting>
  <conditionalFormatting sqref="BD21">
    <cfRule type="cellIs" dxfId="5269" priority="144487" stopIfTrue="1" operator="lessThan">
      <formula>0.5</formula>
    </cfRule>
  </conditionalFormatting>
  <conditionalFormatting sqref="BD21">
    <cfRule type="cellIs" dxfId="5268" priority="144488" stopIfTrue="1" operator="greaterThanOrEqual">
      <formula>0.5</formula>
    </cfRule>
  </conditionalFormatting>
  <conditionalFormatting sqref="BD22">
    <cfRule type="cellIs" dxfId="5267" priority="144489" stopIfTrue="1" operator="equal">
      <formula>-1</formula>
    </cfRule>
  </conditionalFormatting>
  <conditionalFormatting sqref="BD22">
    <cfRule type="cellIs" dxfId="5266" priority="144490" stopIfTrue="1" operator="lessThan">
      <formula>0.5</formula>
    </cfRule>
  </conditionalFormatting>
  <conditionalFormatting sqref="BD22">
    <cfRule type="cellIs" dxfId="5265" priority="144491" stopIfTrue="1" operator="greaterThanOrEqual">
      <formula>0.5</formula>
    </cfRule>
  </conditionalFormatting>
  <conditionalFormatting sqref="BD23">
    <cfRule type="cellIs" dxfId="5264" priority="144492" stopIfTrue="1" operator="equal">
      <formula>-1</formula>
    </cfRule>
  </conditionalFormatting>
  <conditionalFormatting sqref="BD23">
    <cfRule type="cellIs" dxfId="5263" priority="144493" stopIfTrue="1" operator="lessThan">
      <formula>0.5</formula>
    </cfRule>
  </conditionalFormatting>
  <conditionalFormatting sqref="BD23">
    <cfRule type="cellIs" dxfId="5262" priority="144494" stopIfTrue="1" operator="greaterThanOrEqual">
      <formula>0.5</formula>
    </cfRule>
  </conditionalFormatting>
  <conditionalFormatting sqref="BD24">
    <cfRule type="cellIs" dxfId="5261" priority="144495" stopIfTrue="1" operator="equal">
      <formula>-1</formula>
    </cfRule>
  </conditionalFormatting>
  <conditionalFormatting sqref="BD24">
    <cfRule type="cellIs" dxfId="5260" priority="144496" stopIfTrue="1" operator="lessThan">
      <formula>0.5</formula>
    </cfRule>
  </conditionalFormatting>
  <conditionalFormatting sqref="BD24">
    <cfRule type="cellIs" dxfId="5259" priority="144497" stopIfTrue="1" operator="greaterThanOrEqual">
      <formula>0.5</formula>
    </cfRule>
  </conditionalFormatting>
  <conditionalFormatting sqref="BD25">
    <cfRule type="cellIs" dxfId="5258" priority="144498" stopIfTrue="1" operator="equal">
      <formula>-1</formula>
    </cfRule>
  </conditionalFormatting>
  <conditionalFormatting sqref="BD25">
    <cfRule type="cellIs" dxfId="5257" priority="144499" stopIfTrue="1" operator="lessThan">
      <formula>0.5</formula>
    </cfRule>
  </conditionalFormatting>
  <conditionalFormatting sqref="BD25">
    <cfRule type="cellIs" dxfId="5256" priority="144500" stopIfTrue="1" operator="greaterThanOrEqual">
      <formula>0.5</formula>
    </cfRule>
  </conditionalFormatting>
  <conditionalFormatting sqref="BD26">
    <cfRule type="cellIs" dxfId="5255" priority="144501" stopIfTrue="1" operator="equal">
      <formula>-1</formula>
    </cfRule>
  </conditionalFormatting>
  <conditionalFormatting sqref="BD26">
    <cfRule type="cellIs" dxfId="5254" priority="144502" stopIfTrue="1" operator="lessThan">
      <formula>0.5</formula>
    </cfRule>
  </conditionalFormatting>
  <conditionalFormatting sqref="BD26">
    <cfRule type="cellIs" dxfId="5253" priority="144503" stopIfTrue="1" operator="greaterThanOrEqual">
      <formula>0.5</formula>
    </cfRule>
  </conditionalFormatting>
  <conditionalFormatting sqref="BD27">
    <cfRule type="cellIs" dxfId="5252" priority="144504" stopIfTrue="1" operator="equal">
      <formula>-1</formula>
    </cfRule>
  </conditionalFormatting>
  <conditionalFormatting sqref="BD27">
    <cfRule type="cellIs" dxfId="5251" priority="144505" stopIfTrue="1" operator="lessThan">
      <formula>0.5</formula>
    </cfRule>
  </conditionalFormatting>
  <conditionalFormatting sqref="BD27">
    <cfRule type="cellIs" dxfId="5250" priority="144506" stopIfTrue="1" operator="greaterThanOrEqual">
      <formula>0.5</formula>
    </cfRule>
  </conditionalFormatting>
  <conditionalFormatting sqref="BD28">
    <cfRule type="cellIs" dxfId="5249" priority="144507" stopIfTrue="1" operator="equal">
      <formula>-1</formula>
    </cfRule>
  </conditionalFormatting>
  <conditionalFormatting sqref="BD28">
    <cfRule type="cellIs" dxfId="5248" priority="144508" stopIfTrue="1" operator="lessThan">
      <formula>0.5</formula>
    </cfRule>
  </conditionalFormatting>
  <conditionalFormatting sqref="BD28">
    <cfRule type="cellIs" dxfId="5247" priority="144509" stopIfTrue="1" operator="greaterThanOrEqual">
      <formula>0.5</formula>
    </cfRule>
  </conditionalFormatting>
  <conditionalFormatting sqref="BD29">
    <cfRule type="cellIs" dxfId="5246" priority="144510" stopIfTrue="1" operator="equal">
      <formula>-1</formula>
    </cfRule>
  </conditionalFormatting>
  <conditionalFormatting sqref="BD29">
    <cfRule type="cellIs" dxfId="5245" priority="144511" stopIfTrue="1" operator="lessThan">
      <formula>0.5</formula>
    </cfRule>
  </conditionalFormatting>
  <conditionalFormatting sqref="BD29">
    <cfRule type="cellIs" dxfId="5244" priority="144512" stopIfTrue="1" operator="greaterThanOrEqual">
      <formula>0.5</formula>
    </cfRule>
  </conditionalFormatting>
  <conditionalFormatting sqref="BD30">
    <cfRule type="cellIs" dxfId="5243" priority="144513" stopIfTrue="1" operator="equal">
      <formula>-1</formula>
    </cfRule>
  </conditionalFormatting>
  <conditionalFormatting sqref="BD30">
    <cfRule type="cellIs" dxfId="5242" priority="144514" stopIfTrue="1" operator="lessThan">
      <formula>0.5</formula>
    </cfRule>
  </conditionalFormatting>
  <conditionalFormatting sqref="BD30">
    <cfRule type="cellIs" dxfId="5241" priority="144515" stopIfTrue="1" operator="greaterThanOrEqual">
      <formula>0.5</formula>
    </cfRule>
  </conditionalFormatting>
  <conditionalFormatting sqref="BD31">
    <cfRule type="cellIs" dxfId="5240" priority="144516" stopIfTrue="1" operator="equal">
      <formula>-1</formula>
    </cfRule>
  </conditionalFormatting>
  <conditionalFormatting sqref="BD31">
    <cfRule type="cellIs" dxfId="5239" priority="144517" stopIfTrue="1" operator="lessThan">
      <formula>0.5</formula>
    </cfRule>
  </conditionalFormatting>
  <conditionalFormatting sqref="BD31">
    <cfRule type="cellIs" dxfId="5238" priority="144518" stopIfTrue="1" operator="greaterThanOrEqual">
      <formula>0.5</formula>
    </cfRule>
  </conditionalFormatting>
  <conditionalFormatting sqref="BD32">
    <cfRule type="cellIs" dxfId="5237" priority="144519" stopIfTrue="1" operator="equal">
      <formula>-1</formula>
    </cfRule>
  </conditionalFormatting>
  <conditionalFormatting sqref="BD32">
    <cfRule type="cellIs" dxfId="5236" priority="144520" stopIfTrue="1" operator="lessThan">
      <formula>0.5</formula>
    </cfRule>
  </conditionalFormatting>
  <conditionalFormatting sqref="BD32">
    <cfRule type="cellIs" dxfId="5235" priority="144521" stopIfTrue="1" operator="greaterThanOrEqual">
      <formula>0.5</formula>
    </cfRule>
  </conditionalFormatting>
  <conditionalFormatting sqref="BD33">
    <cfRule type="cellIs" dxfId="5234" priority="144522" stopIfTrue="1" operator="equal">
      <formula>-1</formula>
    </cfRule>
  </conditionalFormatting>
  <conditionalFormatting sqref="BD33">
    <cfRule type="cellIs" dxfId="5233" priority="144523" stopIfTrue="1" operator="lessThan">
      <formula>0.5</formula>
    </cfRule>
  </conditionalFormatting>
  <conditionalFormatting sqref="BD33">
    <cfRule type="cellIs" dxfId="5232" priority="144524" stopIfTrue="1" operator="greaterThanOrEqual">
      <formula>0.5</formula>
    </cfRule>
  </conditionalFormatting>
  <conditionalFormatting sqref="BD34">
    <cfRule type="cellIs" dxfId="5231" priority="144525" stopIfTrue="1" operator="equal">
      <formula>-1</formula>
    </cfRule>
  </conditionalFormatting>
  <conditionalFormatting sqref="BD34">
    <cfRule type="cellIs" dxfId="5230" priority="144526" stopIfTrue="1" operator="lessThan">
      <formula>0.5</formula>
    </cfRule>
  </conditionalFormatting>
  <conditionalFormatting sqref="BD34">
    <cfRule type="cellIs" dxfId="5229" priority="144527" stopIfTrue="1" operator="greaterThanOrEqual">
      <formula>0.5</formula>
    </cfRule>
  </conditionalFormatting>
  <conditionalFormatting sqref="BD35">
    <cfRule type="cellIs" dxfId="5228" priority="144528" stopIfTrue="1" operator="equal">
      <formula>-1</formula>
    </cfRule>
  </conditionalFormatting>
  <conditionalFormatting sqref="BD35">
    <cfRule type="cellIs" dxfId="5227" priority="144529" stopIfTrue="1" operator="lessThan">
      <formula>0.5</formula>
    </cfRule>
  </conditionalFormatting>
  <conditionalFormatting sqref="BD35">
    <cfRule type="cellIs" dxfId="5226" priority="144530" stopIfTrue="1" operator="greaterThanOrEqual">
      <formula>0.5</formula>
    </cfRule>
  </conditionalFormatting>
  <conditionalFormatting sqref="BD36">
    <cfRule type="cellIs" dxfId="5225" priority="144531" stopIfTrue="1" operator="equal">
      <formula>-1</formula>
    </cfRule>
  </conditionalFormatting>
  <conditionalFormatting sqref="BD36">
    <cfRule type="cellIs" dxfId="5224" priority="144532" stopIfTrue="1" operator="lessThan">
      <formula>0.5</formula>
    </cfRule>
  </conditionalFormatting>
  <conditionalFormatting sqref="BD36">
    <cfRule type="cellIs" dxfId="5223" priority="144533" stopIfTrue="1" operator="greaterThanOrEqual">
      <formula>0.5</formula>
    </cfRule>
  </conditionalFormatting>
  <conditionalFormatting sqref="BD37">
    <cfRule type="cellIs" dxfId="5222" priority="144534" stopIfTrue="1" operator="equal">
      <formula>-1</formula>
    </cfRule>
  </conditionalFormatting>
  <conditionalFormatting sqref="BD37">
    <cfRule type="cellIs" dxfId="5221" priority="144535" stopIfTrue="1" operator="lessThan">
      <formula>0.5</formula>
    </cfRule>
  </conditionalFormatting>
  <conditionalFormatting sqref="BD37">
    <cfRule type="cellIs" dxfId="5220" priority="144536" stopIfTrue="1" operator="greaterThanOrEqual">
      <formula>0.5</formula>
    </cfRule>
  </conditionalFormatting>
  <conditionalFormatting sqref="BF17">
    <cfRule type="cellIs" dxfId="5219" priority="144537" stopIfTrue="1" operator="equal">
      <formula>-1</formula>
    </cfRule>
  </conditionalFormatting>
  <conditionalFormatting sqref="BF17">
    <cfRule type="cellIs" dxfId="5218" priority="144538" stopIfTrue="1" operator="lessThan">
      <formula>0.5</formula>
    </cfRule>
  </conditionalFormatting>
  <conditionalFormatting sqref="BF17">
    <cfRule type="cellIs" dxfId="5217" priority="144539" stopIfTrue="1" operator="greaterThanOrEqual">
      <formula>0.5</formula>
    </cfRule>
  </conditionalFormatting>
  <conditionalFormatting sqref="BF18">
    <cfRule type="cellIs" dxfId="5216" priority="144540" stopIfTrue="1" operator="equal">
      <formula>-1</formula>
    </cfRule>
  </conditionalFormatting>
  <conditionalFormatting sqref="BF18">
    <cfRule type="cellIs" dxfId="5215" priority="144541" stopIfTrue="1" operator="lessThan">
      <formula>0.5</formula>
    </cfRule>
  </conditionalFormatting>
  <conditionalFormatting sqref="BF18">
    <cfRule type="cellIs" dxfId="5214" priority="144542" stopIfTrue="1" operator="greaterThanOrEqual">
      <formula>0.5</formula>
    </cfRule>
  </conditionalFormatting>
  <conditionalFormatting sqref="BF19">
    <cfRule type="cellIs" dxfId="5213" priority="144543" stopIfTrue="1" operator="equal">
      <formula>-1</formula>
    </cfRule>
  </conditionalFormatting>
  <conditionalFormatting sqref="BF19">
    <cfRule type="cellIs" dxfId="5212" priority="144544" stopIfTrue="1" operator="lessThan">
      <formula>0.5</formula>
    </cfRule>
  </conditionalFormatting>
  <conditionalFormatting sqref="BF19">
    <cfRule type="cellIs" dxfId="5211" priority="144545" stopIfTrue="1" operator="greaterThanOrEqual">
      <formula>0.5</formula>
    </cfRule>
  </conditionalFormatting>
  <conditionalFormatting sqref="BF20">
    <cfRule type="cellIs" dxfId="5210" priority="144546" stopIfTrue="1" operator="equal">
      <formula>-1</formula>
    </cfRule>
  </conditionalFormatting>
  <conditionalFormatting sqref="BF20">
    <cfRule type="cellIs" dxfId="5209" priority="144547" stopIfTrue="1" operator="lessThan">
      <formula>0.5</formula>
    </cfRule>
  </conditionalFormatting>
  <conditionalFormatting sqref="BF20">
    <cfRule type="cellIs" dxfId="5208" priority="144548" stopIfTrue="1" operator="greaterThanOrEqual">
      <formula>0.5</formula>
    </cfRule>
  </conditionalFormatting>
  <conditionalFormatting sqref="BF21">
    <cfRule type="cellIs" dxfId="5207" priority="144549" stopIfTrue="1" operator="equal">
      <formula>-1</formula>
    </cfRule>
  </conditionalFormatting>
  <conditionalFormatting sqref="BF21">
    <cfRule type="cellIs" dxfId="5206" priority="144550" stopIfTrue="1" operator="lessThan">
      <formula>0.5</formula>
    </cfRule>
  </conditionalFormatting>
  <conditionalFormatting sqref="BF21">
    <cfRule type="cellIs" dxfId="5205" priority="144551" stopIfTrue="1" operator="greaterThanOrEqual">
      <formula>0.5</formula>
    </cfRule>
  </conditionalFormatting>
  <conditionalFormatting sqref="BF22">
    <cfRule type="cellIs" dxfId="5204" priority="144552" stopIfTrue="1" operator="equal">
      <formula>-1</formula>
    </cfRule>
  </conditionalFormatting>
  <conditionalFormatting sqref="BF22">
    <cfRule type="cellIs" dxfId="5203" priority="144553" stopIfTrue="1" operator="lessThan">
      <formula>0.5</formula>
    </cfRule>
  </conditionalFormatting>
  <conditionalFormatting sqref="BF22">
    <cfRule type="cellIs" dxfId="5202" priority="144554" stopIfTrue="1" operator="greaterThanOrEqual">
      <formula>0.5</formula>
    </cfRule>
  </conditionalFormatting>
  <conditionalFormatting sqref="BF23">
    <cfRule type="cellIs" dxfId="5201" priority="144555" stopIfTrue="1" operator="equal">
      <formula>-1</formula>
    </cfRule>
  </conditionalFormatting>
  <conditionalFormatting sqref="BF23">
    <cfRule type="cellIs" dxfId="5200" priority="144556" stopIfTrue="1" operator="lessThan">
      <formula>0.5</formula>
    </cfRule>
  </conditionalFormatting>
  <conditionalFormatting sqref="BF23">
    <cfRule type="cellIs" dxfId="5199" priority="144557" stopIfTrue="1" operator="greaterThanOrEqual">
      <formula>0.5</formula>
    </cfRule>
  </conditionalFormatting>
  <conditionalFormatting sqref="BF24">
    <cfRule type="cellIs" dxfId="5198" priority="144558" stopIfTrue="1" operator="equal">
      <formula>-1</formula>
    </cfRule>
  </conditionalFormatting>
  <conditionalFormatting sqref="BF24">
    <cfRule type="cellIs" dxfId="5197" priority="144559" stopIfTrue="1" operator="lessThan">
      <formula>0.5</formula>
    </cfRule>
  </conditionalFormatting>
  <conditionalFormatting sqref="BF24">
    <cfRule type="cellIs" dxfId="5196" priority="144560" stopIfTrue="1" operator="greaterThanOrEqual">
      <formula>0.5</formula>
    </cfRule>
  </conditionalFormatting>
  <conditionalFormatting sqref="BF25">
    <cfRule type="cellIs" dxfId="5195" priority="144561" stopIfTrue="1" operator="equal">
      <formula>-1</formula>
    </cfRule>
  </conditionalFormatting>
  <conditionalFormatting sqref="BF25">
    <cfRule type="cellIs" dxfId="5194" priority="144562" stopIfTrue="1" operator="lessThan">
      <formula>0.5</formula>
    </cfRule>
  </conditionalFormatting>
  <conditionalFormatting sqref="BF25">
    <cfRule type="cellIs" dxfId="5193" priority="144563" stopIfTrue="1" operator="greaterThanOrEqual">
      <formula>0.5</formula>
    </cfRule>
  </conditionalFormatting>
  <conditionalFormatting sqref="BF26">
    <cfRule type="cellIs" dxfId="5192" priority="144564" stopIfTrue="1" operator="equal">
      <formula>-1</formula>
    </cfRule>
  </conditionalFormatting>
  <conditionalFormatting sqref="BF26">
    <cfRule type="cellIs" dxfId="5191" priority="144565" stopIfTrue="1" operator="lessThan">
      <formula>0.5</formula>
    </cfRule>
  </conditionalFormatting>
  <conditionalFormatting sqref="BF26">
    <cfRule type="cellIs" dxfId="5190" priority="144566" stopIfTrue="1" operator="greaterThanOrEqual">
      <formula>0.5</formula>
    </cfRule>
  </conditionalFormatting>
  <conditionalFormatting sqref="BF27">
    <cfRule type="cellIs" dxfId="5189" priority="144567" stopIfTrue="1" operator="equal">
      <formula>-1</formula>
    </cfRule>
  </conditionalFormatting>
  <conditionalFormatting sqref="BF27">
    <cfRule type="cellIs" dxfId="5188" priority="144568" stopIfTrue="1" operator="lessThan">
      <formula>0.5</formula>
    </cfRule>
  </conditionalFormatting>
  <conditionalFormatting sqref="BF27">
    <cfRule type="cellIs" dxfId="5187" priority="144569" stopIfTrue="1" operator="greaterThanOrEqual">
      <formula>0.5</formula>
    </cfRule>
  </conditionalFormatting>
  <conditionalFormatting sqref="BF28">
    <cfRule type="cellIs" dxfId="5186" priority="144570" stopIfTrue="1" operator="equal">
      <formula>-1</formula>
    </cfRule>
  </conditionalFormatting>
  <conditionalFormatting sqref="BF28">
    <cfRule type="cellIs" dxfId="5185" priority="144571" stopIfTrue="1" operator="lessThan">
      <formula>0.5</formula>
    </cfRule>
  </conditionalFormatting>
  <conditionalFormatting sqref="BF28">
    <cfRule type="cellIs" dxfId="5184" priority="144572" stopIfTrue="1" operator="greaterThanOrEqual">
      <formula>0.5</formula>
    </cfRule>
  </conditionalFormatting>
  <conditionalFormatting sqref="BF29">
    <cfRule type="cellIs" dxfId="5183" priority="144573" stopIfTrue="1" operator="equal">
      <formula>-1</formula>
    </cfRule>
  </conditionalFormatting>
  <conditionalFormatting sqref="BF29">
    <cfRule type="cellIs" dxfId="5182" priority="144574" stopIfTrue="1" operator="lessThan">
      <formula>0.5</formula>
    </cfRule>
  </conditionalFormatting>
  <conditionalFormatting sqref="BF29">
    <cfRule type="cellIs" dxfId="5181" priority="144575" stopIfTrue="1" operator="greaterThanOrEqual">
      <formula>0.5</formula>
    </cfRule>
  </conditionalFormatting>
  <conditionalFormatting sqref="BF30">
    <cfRule type="cellIs" dxfId="5180" priority="144576" stopIfTrue="1" operator="equal">
      <formula>-1</formula>
    </cfRule>
  </conditionalFormatting>
  <conditionalFormatting sqref="BF30">
    <cfRule type="cellIs" dxfId="5179" priority="144577" stopIfTrue="1" operator="lessThan">
      <formula>0.5</formula>
    </cfRule>
  </conditionalFormatting>
  <conditionalFormatting sqref="BF30">
    <cfRule type="cellIs" dxfId="5178" priority="144578" stopIfTrue="1" operator="greaterThanOrEqual">
      <formula>0.5</formula>
    </cfRule>
  </conditionalFormatting>
  <conditionalFormatting sqref="BF31">
    <cfRule type="cellIs" dxfId="5177" priority="144579" stopIfTrue="1" operator="equal">
      <formula>-1</formula>
    </cfRule>
  </conditionalFormatting>
  <conditionalFormatting sqref="BF31">
    <cfRule type="cellIs" dxfId="5176" priority="144580" stopIfTrue="1" operator="lessThan">
      <formula>0.5</formula>
    </cfRule>
  </conditionalFormatting>
  <conditionalFormatting sqref="BF31">
    <cfRule type="cellIs" dxfId="5175" priority="144581" stopIfTrue="1" operator="greaterThanOrEqual">
      <formula>0.5</formula>
    </cfRule>
  </conditionalFormatting>
  <conditionalFormatting sqref="BF32">
    <cfRule type="cellIs" dxfId="5174" priority="144582" stopIfTrue="1" operator="equal">
      <formula>-1</formula>
    </cfRule>
  </conditionalFormatting>
  <conditionalFormatting sqref="BF32">
    <cfRule type="cellIs" dxfId="5173" priority="144583" stopIfTrue="1" operator="lessThan">
      <formula>0.5</formula>
    </cfRule>
  </conditionalFormatting>
  <conditionalFormatting sqref="BF32">
    <cfRule type="cellIs" dxfId="5172" priority="144584" stopIfTrue="1" operator="greaterThanOrEqual">
      <formula>0.5</formula>
    </cfRule>
  </conditionalFormatting>
  <conditionalFormatting sqref="BF33">
    <cfRule type="cellIs" dxfId="5171" priority="144585" stopIfTrue="1" operator="equal">
      <formula>-1</formula>
    </cfRule>
  </conditionalFormatting>
  <conditionalFormatting sqref="BF33">
    <cfRule type="cellIs" dxfId="5170" priority="144586" stopIfTrue="1" operator="lessThan">
      <formula>0.5</formula>
    </cfRule>
  </conditionalFormatting>
  <conditionalFormatting sqref="BF33">
    <cfRule type="cellIs" dxfId="5169" priority="144587" stopIfTrue="1" operator="greaterThanOrEqual">
      <formula>0.5</formula>
    </cfRule>
  </conditionalFormatting>
  <conditionalFormatting sqref="BF34">
    <cfRule type="cellIs" dxfId="5168" priority="144588" stopIfTrue="1" operator="equal">
      <formula>-1</formula>
    </cfRule>
  </conditionalFormatting>
  <conditionalFormatting sqref="BF34">
    <cfRule type="cellIs" dxfId="5167" priority="144589" stopIfTrue="1" operator="lessThan">
      <formula>0.5</formula>
    </cfRule>
  </conditionalFormatting>
  <conditionalFormatting sqref="BF34">
    <cfRule type="cellIs" dxfId="5166" priority="144590" stopIfTrue="1" operator="greaterThanOrEqual">
      <formula>0.5</formula>
    </cfRule>
  </conditionalFormatting>
  <conditionalFormatting sqref="BF35">
    <cfRule type="cellIs" dxfId="5165" priority="144591" stopIfTrue="1" operator="equal">
      <formula>-1</formula>
    </cfRule>
  </conditionalFormatting>
  <conditionalFormatting sqref="BF35">
    <cfRule type="cellIs" dxfId="5164" priority="144592" stopIfTrue="1" operator="lessThan">
      <formula>0.5</formula>
    </cfRule>
  </conditionalFormatting>
  <conditionalFormatting sqref="BF35">
    <cfRule type="cellIs" dxfId="5163" priority="144593" stopIfTrue="1" operator="greaterThanOrEqual">
      <formula>0.5</formula>
    </cfRule>
  </conditionalFormatting>
  <conditionalFormatting sqref="BF36">
    <cfRule type="cellIs" dxfId="5162" priority="144594" stopIfTrue="1" operator="equal">
      <formula>-1</formula>
    </cfRule>
  </conditionalFormatting>
  <conditionalFormatting sqref="BF36">
    <cfRule type="cellIs" dxfId="5161" priority="144595" stopIfTrue="1" operator="lessThan">
      <formula>0.5</formula>
    </cfRule>
  </conditionalFormatting>
  <conditionalFormatting sqref="BF36">
    <cfRule type="cellIs" dxfId="5160" priority="144596" stopIfTrue="1" operator="greaterThanOrEqual">
      <formula>0.5</formula>
    </cfRule>
  </conditionalFormatting>
  <conditionalFormatting sqref="BF37">
    <cfRule type="cellIs" dxfId="5159" priority="144597" stopIfTrue="1" operator="equal">
      <formula>-1</formula>
    </cfRule>
  </conditionalFormatting>
  <conditionalFormatting sqref="BF37">
    <cfRule type="cellIs" dxfId="5158" priority="144598" stopIfTrue="1" operator="lessThan">
      <formula>0.5</formula>
    </cfRule>
  </conditionalFormatting>
  <conditionalFormatting sqref="BF37">
    <cfRule type="cellIs" dxfId="5157" priority="144599" stopIfTrue="1" operator="greaterThanOrEqual">
      <formula>0.5</formula>
    </cfRule>
  </conditionalFormatting>
  <conditionalFormatting sqref="BH17">
    <cfRule type="cellIs" dxfId="5156" priority="144600" stopIfTrue="1" operator="equal">
      <formula>-1</formula>
    </cfRule>
  </conditionalFormatting>
  <conditionalFormatting sqref="BH17">
    <cfRule type="cellIs" dxfId="5155" priority="144601" stopIfTrue="1" operator="lessThan">
      <formula>0.5</formula>
    </cfRule>
  </conditionalFormatting>
  <conditionalFormatting sqref="BH17">
    <cfRule type="cellIs" dxfId="5154" priority="144602" stopIfTrue="1" operator="greaterThanOrEqual">
      <formula>0.5</formula>
    </cfRule>
  </conditionalFormatting>
  <conditionalFormatting sqref="BH18">
    <cfRule type="cellIs" dxfId="5153" priority="144603" stopIfTrue="1" operator="equal">
      <formula>-1</formula>
    </cfRule>
  </conditionalFormatting>
  <conditionalFormatting sqref="BH18">
    <cfRule type="cellIs" dxfId="5152" priority="144604" stopIfTrue="1" operator="lessThan">
      <formula>0.5</formula>
    </cfRule>
  </conditionalFormatting>
  <conditionalFormatting sqref="BH18">
    <cfRule type="cellIs" dxfId="5151" priority="144605" stopIfTrue="1" operator="greaterThanOrEqual">
      <formula>0.5</formula>
    </cfRule>
  </conditionalFormatting>
  <conditionalFormatting sqref="BH19">
    <cfRule type="cellIs" dxfId="5150" priority="144606" stopIfTrue="1" operator="equal">
      <formula>-1</formula>
    </cfRule>
  </conditionalFormatting>
  <conditionalFormatting sqref="BH19">
    <cfRule type="cellIs" dxfId="5149" priority="144607" stopIfTrue="1" operator="lessThan">
      <formula>0.5</formula>
    </cfRule>
  </conditionalFormatting>
  <conditionalFormatting sqref="BH19">
    <cfRule type="cellIs" dxfId="5148" priority="144608" stopIfTrue="1" operator="greaterThanOrEqual">
      <formula>0.5</formula>
    </cfRule>
  </conditionalFormatting>
  <conditionalFormatting sqref="BH20">
    <cfRule type="cellIs" dxfId="5147" priority="144609" stopIfTrue="1" operator="equal">
      <formula>-1</formula>
    </cfRule>
  </conditionalFormatting>
  <conditionalFormatting sqref="BH20">
    <cfRule type="cellIs" dxfId="5146" priority="144610" stopIfTrue="1" operator="lessThan">
      <formula>0.5</formula>
    </cfRule>
  </conditionalFormatting>
  <conditionalFormatting sqref="BH20">
    <cfRule type="cellIs" dxfId="5145" priority="144611" stopIfTrue="1" operator="greaterThanOrEqual">
      <formula>0.5</formula>
    </cfRule>
  </conditionalFormatting>
  <conditionalFormatting sqref="BH21">
    <cfRule type="cellIs" dxfId="5144" priority="144612" stopIfTrue="1" operator="equal">
      <formula>-1</formula>
    </cfRule>
  </conditionalFormatting>
  <conditionalFormatting sqref="BH21">
    <cfRule type="cellIs" dxfId="5143" priority="144613" stopIfTrue="1" operator="lessThan">
      <formula>0.5</formula>
    </cfRule>
  </conditionalFormatting>
  <conditionalFormatting sqref="BH21">
    <cfRule type="cellIs" dxfId="5142" priority="144614" stopIfTrue="1" operator="greaterThanOrEqual">
      <formula>0.5</formula>
    </cfRule>
  </conditionalFormatting>
  <conditionalFormatting sqref="BH22">
    <cfRule type="cellIs" dxfId="5141" priority="144615" stopIfTrue="1" operator="equal">
      <formula>-1</formula>
    </cfRule>
  </conditionalFormatting>
  <conditionalFormatting sqref="BH22">
    <cfRule type="cellIs" dxfId="5140" priority="144616" stopIfTrue="1" operator="lessThan">
      <formula>0.5</formula>
    </cfRule>
  </conditionalFormatting>
  <conditionalFormatting sqref="BH22">
    <cfRule type="cellIs" dxfId="5139" priority="144617" stopIfTrue="1" operator="greaterThanOrEqual">
      <formula>0.5</formula>
    </cfRule>
  </conditionalFormatting>
  <conditionalFormatting sqref="BH23">
    <cfRule type="cellIs" dxfId="5138" priority="144618" stopIfTrue="1" operator="equal">
      <formula>-1</formula>
    </cfRule>
  </conditionalFormatting>
  <conditionalFormatting sqref="BH23">
    <cfRule type="cellIs" dxfId="5137" priority="144619" stopIfTrue="1" operator="lessThan">
      <formula>0.5</formula>
    </cfRule>
  </conditionalFormatting>
  <conditionalFormatting sqref="BH23">
    <cfRule type="cellIs" dxfId="5136" priority="144620" stopIfTrue="1" operator="greaterThanOrEqual">
      <formula>0.5</formula>
    </cfRule>
  </conditionalFormatting>
  <conditionalFormatting sqref="BH24">
    <cfRule type="cellIs" dxfId="5135" priority="144621" stopIfTrue="1" operator="equal">
      <formula>-1</formula>
    </cfRule>
  </conditionalFormatting>
  <conditionalFormatting sqref="BH24">
    <cfRule type="cellIs" dxfId="5134" priority="144622" stopIfTrue="1" operator="lessThan">
      <formula>0.5</formula>
    </cfRule>
  </conditionalFormatting>
  <conditionalFormatting sqref="BH24">
    <cfRule type="cellIs" dxfId="5133" priority="144623" stopIfTrue="1" operator="greaterThanOrEqual">
      <formula>0.5</formula>
    </cfRule>
  </conditionalFormatting>
  <conditionalFormatting sqref="BH25">
    <cfRule type="cellIs" dxfId="5132" priority="144624" stopIfTrue="1" operator="equal">
      <formula>-1</formula>
    </cfRule>
  </conditionalFormatting>
  <conditionalFormatting sqref="BH25">
    <cfRule type="cellIs" dxfId="5131" priority="144625" stopIfTrue="1" operator="lessThan">
      <formula>0.5</formula>
    </cfRule>
  </conditionalFormatting>
  <conditionalFormatting sqref="BH25">
    <cfRule type="cellIs" dxfId="5130" priority="144626" stopIfTrue="1" operator="greaterThanOrEqual">
      <formula>0.5</formula>
    </cfRule>
  </conditionalFormatting>
  <conditionalFormatting sqref="BH26">
    <cfRule type="cellIs" dxfId="5129" priority="144627" stopIfTrue="1" operator="equal">
      <formula>-1</formula>
    </cfRule>
  </conditionalFormatting>
  <conditionalFormatting sqref="BH26">
    <cfRule type="cellIs" dxfId="5128" priority="144628" stopIfTrue="1" operator="lessThan">
      <formula>0.5</formula>
    </cfRule>
  </conditionalFormatting>
  <conditionalFormatting sqref="BH26">
    <cfRule type="cellIs" dxfId="5127" priority="144629" stopIfTrue="1" operator="greaterThanOrEqual">
      <formula>0.5</formula>
    </cfRule>
  </conditionalFormatting>
  <conditionalFormatting sqref="BH27">
    <cfRule type="cellIs" dxfId="5126" priority="144630" stopIfTrue="1" operator="equal">
      <formula>-1</formula>
    </cfRule>
  </conditionalFormatting>
  <conditionalFormatting sqref="BH27">
    <cfRule type="cellIs" dxfId="5125" priority="144631" stopIfTrue="1" operator="lessThan">
      <formula>0.5</formula>
    </cfRule>
  </conditionalFormatting>
  <conditionalFormatting sqref="BH27">
    <cfRule type="cellIs" dxfId="5124" priority="144632" stopIfTrue="1" operator="greaterThanOrEqual">
      <formula>0.5</formula>
    </cfRule>
  </conditionalFormatting>
  <conditionalFormatting sqref="BH28">
    <cfRule type="cellIs" dxfId="5123" priority="144633" stopIfTrue="1" operator="equal">
      <formula>-1</formula>
    </cfRule>
  </conditionalFormatting>
  <conditionalFormatting sqref="BH28">
    <cfRule type="cellIs" dxfId="5122" priority="144634" stopIfTrue="1" operator="lessThan">
      <formula>0.5</formula>
    </cfRule>
  </conditionalFormatting>
  <conditionalFormatting sqref="BH28">
    <cfRule type="cellIs" dxfId="5121" priority="144635" stopIfTrue="1" operator="greaterThanOrEqual">
      <formula>0.5</formula>
    </cfRule>
  </conditionalFormatting>
  <conditionalFormatting sqref="BH29">
    <cfRule type="cellIs" dxfId="5120" priority="144636" stopIfTrue="1" operator="equal">
      <formula>-1</formula>
    </cfRule>
  </conditionalFormatting>
  <conditionalFormatting sqref="BH29">
    <cfRule type="cellIs" dxfId="5119" priority="144637" stopIfTrue="1" operator="lessThan">
      <formula>0.5</formula>
    </cfRule>
  </conditionalFormatting>
  <conditionalFormatting sqref="BH29">
    <cfRule type="cellIs" dxfId="5118" priority="144638" stopIfTrue="1" operator="greaterThanOrEqual">
      <formula>0.5</formula>
    </cfRule>
  </conditionalFormatting>
  <conditionalFormatting sqref="BH30">
    <cfRule type="cellIs" dxfId="5117" priority="144639" stopIfTrue="1" operator="equal">
      <formula>-1</formula>
    </cfRule>
  </conditionalFormatting>
  <conditionalFormatting sqref="BH30">
    <cfRule type="cellIs" dxfId="5116" priority="144640" stopIfTrue="1" operator="lessThan">
      <formula>0.5</formula>
    </cfRule>
  </conditionalFormatting>
  <conditionalFormatting sqref="BH30">
    <cfRule type="cellIs" dxfId="5115" priority="144641" stopIfTrue="1" operator="greaterThanOrEqual">
      <formula>0.5</formula>
    </cfRule>
  </conditionalFormatting>
  <conditionalFormatting sqref="BH31">
    <cfRule type="cellIs" dxfId="5114" priority="144642" stopIfTrue="1" operator="equal">
      <formula>-1</formula>
    </cfRule>
  </conditionalFormatting>
  <conditionalFormatting sqref="BH31">
    <cfRule type="cellIs" dxfId="5113" priority="144643" stopIfTrue="1" operator="lessThan">
      <formula>0.5</formula>
    </cfRule>
  </conditionalFormatting>
  <conditionalFormatting sqref="BH31">
    <cfRule type="cellIs" dxfId="5112" priority="144644" stopIfTrue="1" operator="greaterThanOrEqual">
      <formula>0.5</formula>
    </cfRule>
  </conditionalFormatting>
  <conditionalFormatting sqref="BH32">
    <cfRule type="cellIs" dxfId="5111" priority="144645" stopIfTrue="1" operator="equal">
      <formula>-1</formula>
    </cfRule>
  </conditionalFormatting>
  <conditionalFormatting sqref="BH32">
    <cfRule type="cellIs" dxfId="5110" priority="144646" stopIfTrue="1" operator="lessThan">
      <formula>0.5</formula>
    </cfRule>
  </conditionalFormatting>
  <conditionalFormatting sqref="BH32">
    <cfRule type="cellIs" dxfId="5109" priority="144647" stopIfTrue="1" operator="greaterThanOrEqual">
      <formula>0.5</formula>
    </cfRule>
  </conditionalFormatting>
  <conditionalFormatting sqref="BH33">
    <cfRule type="cellIs" dxfId="5108" priority="144648" stopIfTrue="1" operator="equal">
      <formula>-1</formula>
    </cfRule>
  </conditionalFormatting>
  <conditionalFormatting sqref="BH33">
    <cfRule type="cellIs" dxfId="5107" priority="144649" stopIfTrue="1" operator="lessThan">
      <formula>0.5</formula>
    </cfRule>
  </conditionalFormatting>
  <conditionalFormatting sqref="BH33">
    <cfRule type="cellIs" dxfId="5106" priority="144650" stopIfTrue="1" operator="greaterThanOrEqual">
      <formula>0.5</formula>
    </cfRule>
  </conditionalFormatting>
  <conditionalFormatting sqref="BH34">
    <cfRule type="cellIs" dxfId="5105" priority="144651" stopIfTrue="1" operator="equal">
      <formula>-1</formula>
    </cfRule>
  </conditionalFormatting>
  <conditionalFormatting sqref="BH34">
    <cfRule type="cellIs" dxfId="5104" priority="144652" stopIfTrue="1" operator="lessThan">
      <formula>0.5</formula>
    </cfRule>
  </conditionalFormatting>
  <conditionalFormatting sqref="BH34">
    <cfRule type="cellIs" dxfId="5103" priority="144653" stopIfTrue="1" operator="greaterThanOrEqual">
      <formula>0.5</formula>
    </cfRule>
  </conditionalFormatting>
  <conditionalFormatting sqref="BH35">
    <cfRule type="cellIs" dxfId="5102" priority="144654" stopIfTrue="1" operator="equal">
      <formula>-1</formula>
    </cfRule>
  </conditionalFormatting>
  <conditionalFormatting sqref="BH35">
    <cfRule type="cellIs" dxfId="5101" priority="144655" stopIfTrue="1" operator="lessThan">
      <formula>0.5</formula>
    </cfRule>
  </conditionalFormatting>
  <conditionalFormatting sqref="BH35">
    <cfRule type="cellIs" dxfId="5100" priority="144656" stopIfTrue="1" operator="greaterThanOrEqual">
      <formula>0.5</formula>
    </cfRule>
  </conditionalFormatting>
  <conditionalFormatting sqref="BH36">
    <cfRule type="cellIs" dxfId="5099" priority="144657" stopIfTrue="1" operator="equal">
      <formula>-1</formula>
    </cfRule>
  </conditionalFormatting>
  <conditionalFormatting sqref="BH36">
    <cfRule type="cellIs" dxfId="5098" priority="144658" stopIfTrue="1" operator="lessThan">
      <formula>0.5</formula>
    </cfRule>
  </conditionalFormatting>
  <conditionalFormatting sqref="BH36">
    <cfRule type="cellIs" dxfId="5097" priority="144659" stopIfTrue="1" operator="greaterThanOrEqual">
      <formula>0.5</formula>
    </cfRule>
  </conditionalFormatting>
  <conditionalFormatting sqref="BH37">
    <cfRule type="cellIs" dxfId="5096" priority="144660" stopIfTrue="1" operator="equal">
      <formula>-1</formula>
    </cfRule>
  </conditionalFormatting>
  <conditionalFormatting sqref="BH37">
    <cfRule type="cellIs" dxfId="5095" priority="144661" stopIfTrue="1" operator="lessThan">
      <formula>0.5</formula>
    </cfRule>
  </conditionalFormatting>
  <conditionalFormatting sqref="BH37">
    <cfRule type="cellIs" dxfId="5094" priority="144662" stopIfTrue="1" operator="greaterThanOrEqual">
      <formula>0.5</formula>
    </cfRule>
  </conditionalFormatting>
  <conditionalFormatting sqref="BJ17">
    <cfRule type="cellIs" dxfId="5093" priority="144663" stopIfTrue="1" operator="equal">
      <formula>-1</formula>
    </cfRule>
  </conditionalFormatting>
  <conditionalFormatting sqref="BJ17">
    <cfRule type="cellIs" dxfId="5092" priority="144664" stopIfTrue="1" operator="lessThan">
      <formula>0.5</formula>
    </cfRule>
  </conditionalFormatting>
  <conditionalFormatting sqref="BJ17">
    <cfRule type="cellIs" dxfId="5091" priority="144665" stopIfTrue="1" operator="greaterThanOrEqual">
      <formula>0.5</formula>
    </cfRule>
  </conditionalFormatting>
  <conditionalFormatting sqref="BJ18">
    <cfRule type="cellIs" dxfId="5090" priority="144666" stopIfTrue="1" operator="equal">
      <formula>-1</formula>
    </cfRule>
  </conditionalFormatting>
  <conditionalFormatting sqref="BJ18">
    <cfRule type="cellIs" dxfId="5089" priority="144667" stopIfTrue="1" operator="lessThan">
      <formula>0.5</formula>
    </cfRule>
  </conditionalFormatting>
  <conditionalFormatting sqref="BJ18">
    <cfRule type="cellIs" dxfId="5088" priority="144668" stopIfTrue="1" operator="greaterThanOrEqual">
      <formula>0.5</formula>
    </cfRule>
  </conditionalFormatting>
  <conditionalFormatting sqref="BJ19">
    <cfRule type="cellIs" dxfId="5087" priority="144669" stopIfTrue="1" operator="equal">
      <formula>-1</formula>
    </cfRule>
  </conditionalFormatting>
  <conditionalFormatting sqref="BJ19">
    <cfRule type="cellIs" dxfId="5086" priority="144670" stopIfTrue="1" operator="lessThan">
      <formula>0.5</formula>
    </cfRule>
  </conditionalFormatting>
  <conditionalFormatting sqref="BJ19">
    <cfRule type="cellIs" dxfId="5085" priority="144671" stopIfTrue="1" operator="greaterThanOrEqual">
      <formula>0.5</formula>
    </cfRule>
  </conditionalFormatting>
  <conditionalFormatting sqref="BJ20">
    <cfRule type="cellIs" dxfId="5084" priority="144672" stopIfTrue="1" operator="equal">
      <formula>-1</formula>
    </cfRule>
  </conditionalFormatting>
  <conditionalFormatting sqref="BJ20">
    <cfRule type="cellIs" dxfId="5083" priority="144673" stopIfTrue="1" operator="lessThan">
      <formula>0.5</formula>
    </cfRule>
  </conditionalFormatting>
  <conditionalFormatting sqref="BJ20">
    <cfRule type="cellIs" dxfId="5082" priority="144674" stopIfTrue="1" operator="greaterThanOrEqual">
      <formula>0.5</formula>
    </cfRule>
  </conditionalFormatting>
  <conditionalFormatting sqref="BJ21">
    <cfRule type="cellIs" dxfId="5081" priority="144675" stopIfTrue="1" operator="equal">
      <formula>-1</formula>
    </cfRule>
  </conditionalFormatting>
  <conditionalFormatting sqref="BJ21">
    <cfRule type="cellIs" dxfId="5080" priority="144676" stopIfTrue="1" operator="lessThan">
      <formula>0.5</formula>
    </cfRule>
  </conditionalFormatting>
  <conditionalFormatting sqref="BJ21">
    <cfRule type="cellIs" dxfId="5079" priority="144677" stopIfTrue="1" operator="greaterThanOrEqual">
      <formula>0.5</formula>
    </cfRule>
  </conditionalFormatting>
  <conditionalFormatting sqref="BJ22">
    <cfRule type="cellIs" dxfId="5078" priority="144678" stopIfTrue="1" operator="equal">
      <formula>-1</formula>
    </cfRule>
  </conditionalFormatting>
  <conditionalFormatting sqref="BJ22">
    <cfRule type="cellIs" dxfId="5077" priority="144679" stopIfTrue="1" operator="lessThan">
      <formula>0.5</formula>
    </cfRule>
  </conditionalFormatting>
  <conditionalFormatting sqref="BJ22">
    <cfRule type="cellIs" dxfId="5076" priority="144680" stopIfTrue="1" operator="greaterThanOrEqual">
      <formula>0.5</formula>
    </cfRule>
  </conditionalFormatting>
  <conditionalFormatting sqref="BJ23">
    <cfRule type="cellIs" dxfId="5075" priority="144681" stopIfTrue="1" operator="equal">
      <formula>-1</formula>
    </cfRule>
  </conditionalFormatting>
  <conditionalFormatting sqref="BJ23">
    <cfRule type="cellIs" dxfId="5074" priority="144682" stopIfTrue="1" operator="lessThan">
      <formula>0.5</formula>
    </cfRule>
  </conditionalFormatting>
  <conditionalFormatting sqref="BJ23">
    <cfRule type="cellIs" dxfId="5073" priority="144683" stopIfTrue="1" operator="greaterThanOrEqual">
      <formula>0.5</formula>
    </cfRule>
  </conditionalFormatting>
  <conditionalFormatting sqref="BJ24">
    <cfRule type="cellIs" dxfId="5072" priority="144684" stopIfTrue="1" operator="equal">
      <formula>-1</formula>
    </cfRule>
  </conditionalFormatting>
  <conditionalFormatting sqref="BJ24">
    <cfRule type="cellIs" dxfId="5071" priority="144685" stopIfTrue="1" operator="lessThan">
      <formula>0.5</formula>
    </cfRule>
  </conditionalFormatting>
  <conditionalFormatting sqref="BJ24">
    <cfRule type="cellIs" dxfId="5070" priority="144686" stopIfTrue="1" operator="greaterThanOrEqual">
      <formula>0.5</formula>
    </cfRule>
  </conditionalFormatting>
  <conditionalFormatting sqref="BJ25">
    <cfRule type="cellIs" dxfId="5069" priority="144687" stopIfTrue="1" operator="equal">
      <formula>-1</formula>
    </cfRule>
  </conditionalFormatting>
  <conditionalFormatting sqref="BJ25">
    <cfRule type="cellIs" dxfId="5068" priority="144688" stopIfTrue="1" operator="lessThan">
      <formula>0.5</formula>
    </cfRule>
  </conditionalFormatting>
  <conditionalFormatting sqref="BJ25">
    <cfRule type="cellIs" dxfId="5067" priority="144689" stopIfTrue="1" operator="greaterThanOrEqual">
      <formula>0.5</formula>
    </cfRule>
  </conditionalFormatting>
  <conditionalFormatting sqref="BJ26">
    <cfRule type="cellIs" dxfId="5066" priority="144690" stopIfTrue="1" operator="equal">
      <formula>-1</formula>
    </cfRule>
  </conditionalFormatting>
  <conditionalFormatting sqref="BJ26">
    <cfRule type="cellIs" dxfId="5065" priority="144691" stopIfTrue="1" operator="lessThan">
      <formula>0.5</formula>
    </cfRule>
  </conditionalFormatting>
  <conditionalFormatting sqref="BJ26">
    <cfRule type="cellIs" dxfId="5064" priority="144692" stopIfTrue="1" operator="greaterThanOrEqual">
      <formula>0.5</formula>
    </cfRule>
  </conditionalFormatting>
  <conditionalFormatting sqref="BJ27">
    <cfRule type="cellIs" dxfId="5063" priority="144693" stopIfTrue="1" operator="equal">
      <formula>-1</formula>
    </cfRule>
  </conditionalFormatting>
  <conditionalFormatting sqref="BJ27">
    <cfRule type="cellIs" dxfId="5062" priority="144694" stopIfTrue="1" operator="lessThan">
      <formula>0.5</formula>
    </cfRule>
  </conditionalFormatting>
  <conditionalFormatting sqref="BJ27">
    <cfRule type="cellIs" dxfId="5061" priority="144695" stopIfTrue="1" operator="greaterThanOrEqual">
      <formula>0.5</formula>
    </cfRule>
  </conditionalFormatting>
  <conditionalFormatting sqref="BJ28">
    <cfRule type="cellIs" dxfId="5060" priority="144696" stopIfTrue="1" operator="equal">
      <formula>-1</formula>
    </cfRule>
  </conditionalFormatting>
  <conditionalFormatting sqref="BJ28">
    <cfRule type="cellIs" dxfId="5059" priority="144697" stopIfTrue="1" operator="lessThan">
      <formula>0.5</formula>
    </cfRule>
  </conditionalFormatting>
  <conditionalFormatting sqref="BJ28">
    <cfRule type="cellIs" dxfId="5058" priority="144698" stopIfTrue="1" operator="greaterThanOrEqual">
      <formula>0.5</formula>
    </cfRule>
  </conditionalFormatting>
  <conditionalFormatting sqref="BJ29">
    <cfRule type="cellIs" dxfId="5057" priority="144699" stopIfTrue="1" operator="equal">
      <formula>-1</formula>
    </cfRule>
  </conditionalFormatting>
  <conditionalFormatting sqref="BJ29">
    <cfRule type="cellIs" dxfId="5056" priority="144700" stopIfTrue="1" operator="lessThan">
      <formula>0.5</formula>
    </cfRule>
  </conditionalFormatting>
  <conditionalFormatting sqref="BJ29">
    <cfRule type="cellIs" dxfId="5055" priority="144701" stopIfTrue="1" operator="greaterThanOrEqual">
      <formula>0.5</formula>
    </cfRule>
  </conditionalFormatting>
  <conditionalFormatting sqref="BJ30">
    <cfRule type="cellIs" dxfId="5054" priority="144702" stopIfTrue="1" operator="equal">
      <formula>-1</formula>
    </cfRule>
  </conditionalFormatting>
  <conditionalFormatting sqref="BJ30">
    <cfRule type="cellIs" dxfId="5053" priority="144703" stopIfTrue="1" operator="lessThan">
      <formula>0.5</formula>
    </cfRule>
  </conditionalFormatting>
  <conditionalFormatting sqref="BJ30">
    <cfRule type="cellIs" dxfId="5052" priority="144704" stopIfTrue="1" operator="greaterThanOrEqual">
      <formula>0.5</formula>
    </cfRule>
  </conditionalFormatting>
  <conditionalFormatting sqref="BJ31">
    <cfRule type="cellIs" dxfId="5051" priority="144705" stopIfTrue="1" operator="equal">
      <formula>-1</formula>
    </cfRule>
  </conditionalFormatting>
  <conditionalFormatting sqref="BJ31">
    <cfRule type="cellIs" dxfId="5050" priority="144706" stopIfTrue="1" operator="lessThan">
      <formula>0.5</formula>
    </cfRule>
  </conditionalFormatting>
  <conditionalFormatting sqref="BJ31">
    <cfRule type="cellIs" dxfId="5049" priority="144707" stopIfTrue="1" operator="greaterThanOrEqual">
      <formula>0.5</formula>
    </cfRule>
  </conditionalFormatting>
  <conditionalFormatting sqref="BJ32">
    <cfRule type="cellIs" dxfId="5048" priority="144708" stopIfTrue="1" operator="equal">
      <formula>-1</formula>
    </cfRule>
  </conditionalFormatting>
  <conditionalFormatting sqref="BJ32">
    <cfRule type="cellIs" dxfId="5047" priority="144709" stopIfTrue="1" operator="lessThan">
      <formula>0.5</formula>
    </cfRule>
  </conditionalFormatting>
  <conditionalFormatting sqref="BJ32">
    <cfRule type="cellIs" dxfId="5046" priority="144710" stopIfTrue="1" operator="greaterThanOrEqual">
      <formula>0.5</formula>
    </cfRule>
  </conditionalFormatting>
  <conditionalFormatting sqref="BJ33">
    <cfRule type="cellIs" dxfId="5045" priority="144711" stopIfTrue="1" operator="equal">
      <formula>-1</formula>
    </cfRule>
  </conditionalFormatting>
  <conditionalFormatting sqref="BJ33">
    <cfRule type="cellIs" dxfId="5044" priority="144712" stopIfTrue="1" operator="lessThan">
      <formula>0.5</formula>
    </cfRule>
  </conditionalFormatting>
  <conditionalFormatting sqref="BJ33">
    <cfRule type="cellIs" dxfId="5043" priority="144713" stopIfTrue="1" operator="greaterThanOrEqual">
      <formula>0.5</formula>
    </cfRule>
  </conditionalFormatting>
  <conditionalFormatting sqref="BJ34">
    <cfRule type="cellIs" dxfId="5042" priority="144714" stopIfTrue="1" operator="equal">
      <formula>-1</formula>
    </cfRule>
  </conditionalFormatting>
  <conditionalFormatting sqref="BJ34">
    <cfRule type="cellIs" dxfId="5041" priority="144715" stopIfTrue="1" operator="lessThan">
      <formula>0.5</formula>
    </cfRule>
  </conditionalFormatting>
  <conditionalFormatting sqref="BJ34">
    <cfRule type="cellIs" dxfId="5040" priority="144716" stopIfTrue="1" operator="greaterThanOrEqual">
      <formula>0.5</formula>
    </cfRule>
  </conditionalFormatting>
  <conditionalFormatting sqref="BJ35">
    <cfRule type="cellIs" dxfId="5039" priority="144717" stopIfTrue="1" operator="equal">
      <formula>-1</formula>
    </cfRule>
  </conditionalFormatting>
  <conditionalFormatting sqref="BJ35">
    <cfRule type="cellIs" dxfId="5038" priority="144718" stopIfTrue="1" operator="lessThan">
      <formula>0.5</formula>
    </cfRule>
  </conditionalFormatting>
  <conditionalFormatting sqref="BJ35">
    <cfRule type="cellIs" dxfId="5037" priority="144719" stopIfTrue="1" operator="greaterThanOrEqual">
      <formula>0.5</formula>
    </cfRule>
  </conditionalFormatting>
  <conditionalFormatting sqref="BJ36">
    <cfRule type="cellIs" dxfId="5036" priority="144720" stopIfTrue="1" operator="equal">
      <formula>-1</formula>
    </cfRule>
  </conditionalFormatting>
  <conditionalFormatting sqref="BJ36">
    <cfRule type="cellIs" dxfId="5035" priority="144721" stopIfTrue="1" operator="lessThan">
      <formula>0.5</formula>
    </cfRule>
  </conditionalFormatting>
  <conditionalFormatting sqref="BJ36">
    <cfRule type="cellIs" dxfId="5034" priority="144722" stopIfTrue="1" operator="greaterThanOrEqual">
      <formula>0.5</formula>
    </cfRule>
  </conditionalFormatting>
  <conditionalFormatting sqref="BJ37">
    <cfRule type="cellIs" dxfId="5033" priority="144723" stopIfTrue="1" operator="equal">
      <formula>-1</formula>
    </cfRule>
  </conditionalFormatting>
  <conditionalFormatting sqref="BJ37">
    <cfRule type="cellIs" dxfId="5032" priority="144724" stopIfTrue="1" operator="lessThan">
      <formula>0.5</formula>
    </cfRule>
  </conditionalFormatting>
  <conditionalFormatting sqref="BJ37">
    <cfRule type="cellIs" dxfId="5031" priority="144725" stopIfTrue="1" operator="greaterThanOrEqual">
      <formula>0.5</formula>
    </cfRule>
  </conditionalFormatting>
  <conditionalFormatting sqref="D39">
    <cfRule type="cellIs" dxfId="5030" priority="144726" stopIfTrue="1" operator="equal">
      <formula>-1</formula>
    </cfRule>
  </conditionalFormatting>
  <conditionalFormatting sqref="D39">
    <cfRule type="cellIs" dxfId="5029" priority="144727" stopIfTrue="1" operator="lessThan">
      <formula>0.5</formula>
    </cfRule>
  </conditionalFormatting>
  <conditionalFormatting sqref="D39">
    <cfRule type="cellIs" dxfId="5028" priority="144728" stopIfTrue="1" operator="greaterThanOrEqual">
      <formula>0.5</formula>
    </cfRule>
  </conditionalFormatting>
  <conditionalFormatting sqref="D40">
    <cfRule type="cellIs" dxfId="5027" priority="144729" stopIfTrue="1" operator="equal">
      <formula>-1</formula>
    </cfRule>
  </conditionalFormatting>
  <conditionalFormatting sqref="D40">
    <cfRule type="cellIs" dxfId="5026" priority="144730" stopIfTrue="1" operator="lessThan">
      <formula>0.5</formula>
    </cfRule>
  </conditionalFormatting>
  <conditionalFormatting sqref="D40">
    <cfRule type="cellIs" dxfId="5025" priority="144731" stopIfTrue="1" operator="greaterThanOrEqual">
      <formula>0.5</formula>
    </cfRule>
  </conditionalFormatting>
  <conditionalFormatting sqref="D41">
    <cfRule type="cellIs" dxfId="5024" priority="144732" stopIfTrue="1" operator="equal">
      <formula>-1</formula>
    </cfRule>
  </conditionalFormatting>
  <conditionalFormatting sqref="D41">
    <cfRule type="cellIs" dxfId="5023" priority="144733" stopIfTrue="1" operator="lessThan">
      <formula>0.5</formula>
    </cfRule>
  </conditionalFormatting>
  <conditionalFormatting sqref="D41">
    <cfRule type="cellIs" dxfId="5022" priority="144734" stopIfTrue="1" operator="greaterThanOrEqual">
      <formula>0.5</formula>
    </cfRule>
  </conditionalFormatting>
  <conditionalFormatting sqref="D42">
    <cfRule type="cellIs" dxfId="5021" priority="144735" stopIfTrue="1" operator="equal">
      <formula>-1</formula>
    </cfRule>
  </conditionalFormatting>
  <conditionalFormatting sqref="D42">
    <cfRule type="cellIs" dxfId="5020" priority="144736" stopIfTrue="1" operator="lessThan">
      <formula>0.5</formula>
    </cfRule>
  </conditionalFormatting>
  <conditionalFormatting sqref="D42">
    <cfRule type="cellIs" dxfId="5019" priority="144737" stopIfTrue="1" operator="greaterThanOrEqual">
      <formula>0.5</formula>
    </cfRule>
  </conditionalFormatting>
  <conditionalFormatting sqref="D43">
    <cfRule type="cellIs" dxfId="5018" priority="144738" stopIfTrue="1" operator="equal">
      <formula>-1</formula>
    </cfRule>
  </conditionalFormatting>
  <conditionalFormatting sqref="D43">
    <cfRule type="cellIs" dxfId="5017" priority="144739" stopIfTrue="1" operator="lessThan">
      <formula>0.5</formula>
    </cfRule>
  </conditionalFormatting>
  <conditionalFormatting sqref="D43">
    <cfRule type="cellIs" dxfId="5016" priority="144740" stopIfTrue="1" operator="greaterThanOrEqual">
      <formula>0.5</formula>
    </cfRule>
  </conditionalFormatting>
  <conditionalFormatting sqref="D44">
    <cfRule type="cellIs" dxfId="5015" priority="144741" stopIfTrue="1" operator="equal">
      <formula>-1</formula>
    </cfRule>
  </conditionalFormatting>
  <conditionalFormatting sqref="D44">
    <cfRule type="cellIs" dxfId="5014" priority="144742" stopIfTrue="1" operator="lessThan">
      <formula>0.5</formula>
    </cfRule>
  </conditionalFormatting>
  <conditionalFormatting sqref="D44">
    <cfRule type="cellIs" dxfId="5013" priority="144743" stopIfTrue="1" operator="greaterThanOrEqual">
      <formula>0.5</formula>
    </cfRule>
  </conditionalFormatting>
  <conditionalFormatting sqref="D45">
    <cfRule type="cellIs" dxfId="5012" priority="144744" stopIfTrue="1" operator="equal">
      <formula>-1</formula>
    </cfRule>
  </conditionalFormatting>
  <conditionalFormatting sqref="D45">
    <cfRule type="cellIs" dxfId="5011" priority="144745" stopIfTrue="1" operator="lessThan">
      <formula>0.5</formula>
    </cfRule>
  </conditionalFormatting>
  <conditionalFormatting sqref="D45">
    <cfRule type="cellIs" dxfId="5010" priority="144746" stopIfTrue="1" operator="greaterThanOrEqual">
      <formula>0.5</formula>
    </cfRule>
  </conditionalFormatting>
  <conditionalFormatting sqref="D46">
    <cfRule type="cellIs" dxfId="5009" priority="144747" stopIfTrue="1" operator="equal">
      <formula>-1</formula>
    </cfRule>
  </conditionalFormatting>
  <conditionalFormatting sqref="D46">
    <cfRule type="cellIs" dxfId="5008" priority="144748" stopIfTrue="1" operator="lessThan">
      <formula>0.5</formula>
    </cfRule>
  </conditionalFormatting>
  <conditionalFormatting sqref="D46">
    <cfRule type="cellIs" dxfId="5007" priority="144749" stopIfTrue="1" operator="greaterThanOrEqual">
      <formula>0.5</formula>
    </cfRule>
  </conditionalFormatting>
  <conditionalFormatting sqref="D47">
    <cfRule type="cellIs" dxfId="5006" priority="144750" stopIfTrue="1" operator="equal">
      <formula>-1</formula>
    </cfRule>
  </conditionalFormatting>
  <conditionalFormatting sqref="D47">
    <cfRule type="cellIs" dxfId="5005" priority="144751" stopIfTrue="1" operator="lessThan">
      <formula>0.5</formula>
    </cfRule>
  </conditionalFormatting>
  <conditionalFormatting sqref="D47">
    <cfRule type="cellIs" dxfId="5004" priority="144752" stopIfTrue="1" operator="greaterThanOrEqual">
      <formula>0.5</formula>
    </cfRule>
  </conditionalFormatting>
  <conditionalFormatting sqref="D48">
    <cfRule type="cellIs" dxfId="5003" priority="144753" stopIfTrue="1" operator="equal">
      <formula>-1</formula>
    </cfRule>
  </conditionalFormatting>
  <conditionalFormatting sqref="D48">
    <cfRule type="cellIs" dxfId="5002" priority="144754" stopIfTrue="1" operator="lessThan">
      <formula>0.5</formula>
    </cfRule>
  </conditionalFormatting>
  <conditionalFormatting sqref="D48">
    <cfRule type="cellIs" dxfId="5001" priority="144755" stopIfTrue="1" operator="greaterThanOrEqual">
      <formula>0.5</formula>
    </cfRule>
  </conditionalFormatting>
  <conditionalFormatting sqref="D49">
    <cfRule type="cellIs" dxfId="5000" priority="144756" stopIfTrue="1" operator="equal">
      <formula>-1</formula>
    </cfRule>
  </conditionalFormatting>
  <conditionalFormatting sqref="D49">
    <cfRule type="cellIs" dxfId="4999" priority="144757" stopIfTrue="1" operator="lessThan">
      <formula>0.5</formula>
    </cfRule>
  </conditionalFormatting>
  <conditionalFormatting sqref="D49">
    <cfRule type="cellIs" dxfId="4998" priority="144758" stopIfTrue="1" operator="greaterThanOrEqual">
      <formula>0.5</formula>
    </cfRule>
  </conditionalFormatting>
  <conditionalFormatting sqref="D50">
    <cfRule type="cellIs" dxfId="4997" priority="144759" stopIfTrue="1" operator="equal">
      <formula>-1</formula>
    </cfRule>
  </conditionalFormatting>
  <conditionalFormatting sqref="D50">
    <cfRule type="cellIs" dxfId="4996" priority="144760" stopIfTrue="1" operator="lessThan">
      <formula>0.5</formula>
    </cfRule>
  </conditionalFormatting>
  <conditionalFormatting sqref="D50">
    <cfRule type="cellIs" dxfId="4995" priority="144761" stopIfTrue="1" operator="greaterThanOrEqual">
      <formula>0.5</formula>
    </cfRule>
  </conditionalFormatting>
  <conditionalFormatting sqref="D51">
    <cfRule type="cellIs" dxfId="4994" priority="144762" stopIfTrue="1" operator="equal">
      <formula>-1</formula>
    </cfRule>
  </conditionalFormatting>
  <conditionalFormatting sqref="D51">
    <cfRule type="cellIs" dxfId="4993" priority="144763" stopIfTrue="1" operator="lessThan">
      <formula>0.5</formula>
    </cfRule>
  </conditionalFormatting>
  <conditionalFormatting sqref="D51">
    <cfRule type="cellIs" dxfId="4992" priority="144764" stopIfTrue="1" operator="greaterThanOrEqual">
      <formula>0.5</formula>
    </cfRule>
  </conditionalFormatting>
  <conditionalFormatting sqref="D52">
    <cfRule type="cellIs" dxfId="4991" priority="144765" stopIfTrue="1" operator="equal">
      <formula>-1</formula>
    </cfRule>
  </conditionalFormatting>
  <conditionalFormatting sqref="D52">
    <cfRule type="cellIs" dxfId="4990" priority="144766" stopIfTrue="1" operator="lessThan">
      <formula>0.5</formula>
    </cfRule>
  </conditionalFormatting>
  <conditionalFormatting sqref="D52">
    <cfRule type="cellIs" dxfId="4989" priority="144767" stopIfTrue="1" operator="greaterThanOrEqual">
      <formula>0.5</formula>
    </cfRule>
  </conditionalFormatting>
  <conditionalFormatting sqref="D53">
    <cfRule type="cellIs" dxfId="4988" priority="144768" stopIfTrue="1" operator="equal">
      <formula>-1</formula>
    </cfRule>
  </conditionalFormatting>
  <conditionalFormatting sqref="D53">
    <cfRule type="cellIs" dxfId="4987" priority="144769" stopIfTrue="1" operator="lessThan">
      <formula>0.5</formula>
    </cfRule>
  </conditionalFormatting>
  <conditionalFormatting sqref="D53">
    <cfRule type="cellIs" dxfId="4986" priority="144770" stopIfTrue="1" operator="greaterThanOrEqual">
      <formula>0.5</formula>
    </cfRule>
  </conditionalFormatting>
  <conditionalFormatting sqref="D54">
    <cfRule type="cellIs" dxfId="4985" priority="144771" stopIfTrue="1" operator="equal">
      <formula>-1</formula>
    </cfRule>
  </conditionalFormatting>
  <conditionalFormatting sqref="D54">
    <cfRule type="cellIs" dxfId="4984" priority="144772" stopIfTrue="1" operator="lessThan">
      <formula>0.5</formula>
    </cfRule>
  </conditionalFormatting>
  <conditionalFormatting sqref="D54">
    <cfRule type="cellIs" dxfId="4983" priority="144773" stopIfTrue="1" operator="greaterThanOrEqual">
      <formula>0.5</formula>
    </cfRule>
  </conditionalFormatting>
  <conditionalFormatting sqref="D55">
    <cfRule type="cellIs" dxfId="4982" priority="144774" stopIfTrue="1" operator="equal">
      <formula>-1</formula>
    </cfRule>
  </conditionalFormatting>
  <conditionalFormatting sqref="D55">
    <cfRule type="cellIs" dxfId="4981" priority="144775" stopIfTrue="1" operator="lessThan">
      <formula>0.5</formula>
    </cfRule>
  </conditionalFormatting>
  <conditionalFormatting sqref="D55">
    <cfRule type="cellIs" dxfId="4980" priority="144776" stopIfTrue="1" operator="greaterThanOrEqual">
      <formula>0.5</formula>
    </cfRule>
  </conditionalFormatting>
  <conditionalFormatting sqref="D56">
    <cfRule type="cellIs" dxfId="4979" priority="144777" stopIfTrue="1" operator="equal">
      <formula>-1</formula>
    </cfRule>
  </conditionalFormatting>
  <conditionalFormatting sqref="D56">
    <cfRule type="cellIs" dxfId="4978" priority="144778" stopIfTrue="1" operator="lessThan">
      <formula>0.5</formula>
    </cfRule>
  </conditionalFormatting>
  <conditionalFormatting sqref="D56">
    <cfRule type="cellIs" dxfId="4977" priority="144779" stopIfTrue="1" operator="greaterThanOrEqual">
      <formula>0.5</formula>
    </cfRule>
  </conditionalFormatting>
  <conditionalFormatting sqref="D57">
    <cfRule type="cellIs" dxfId="4976" priority="144780" stopIfTrue="1" operator="equal">
      <formula>-1</formula>
    </cfRule>
  </conditionalFormatting>
  <conditionalFormatting sqref="D57">
    <cfRule type="cellIs" dxfId="4975" priority="144781" stopIfTrue="1" operator="lessThan">
      <formula>0.5</formula>
    </cfRule>
  </conditionalFormatting>
  <conditionalFormatting sqref="D57">
    <cfRule type="cellIs" dxfId="4974" priority="144782" stopIfTrue="1" operator="greaterThanOrEqual">
      <formula>0.5</formula>
    </cfRule>
  </conditionalFormatting>
  <conditionalFormatting sqref="D58">
    <cfRule type="cellIs" dxfId="4973" priority="144783" stopIfTrue="1" operator="equal">
      <formula>-1</formula>
    </cfRule>
  </conditionalFormatting>
  <conditionalFormatting sqref="D58">
    <cfRule type="cellIs" dxfId="4972" priority="144784" stopIfTrue="1" operator="lessThan">
      <formula>0.5</formula>
    </cfRule>
  </conditionalFormatting>
  <conditionalFormatting sqref="D58">
    <cfRule type="cellIs" dxfId="4971" priority="144785" stopIfTrue="1" operator="greaterThanOrEqual">
      <formula>0.5</formula>
    </cfRule>
  </conditionalFormatting>
  <conditionalFormatting sqref="F39">
    <cfRule type="cellIs" dxfId="4970" priority="144786" stopIfTrue="1" operator="equal">
      <formula>-1</formula>
    </cfRule>
  </conditionalFormatting>
  <conditionalFormatting sqref="F39">
    <cfRule type="cellIs" dxfId="4969" priority="144787" stopIfTrue="1" operator="lessThan">
      <formula>0.5</formula>
    </cfRule>
  </conditionalFormatting>
  <conditionalFormatting sqref="F39">
    <cfRule type="cellIs" dxfId="4968" priority="144788" stopIfTrue="1" operator="greaterThanOrEqual">
      <formula>0.5</formula>
    </cfRule>
  </conditionalFormatting>
  <conditionalFormatting sqref="F40">
    <cfRule type="cellIs" dxfId="4967" priority="144789" stopIfTrue="1" operator="equal">
      <formula>-1</formula>
    </cfRule>
  </conditionalFormatting>
  <conditionalFormatting sqref="F40">
    <cfRule type="cellIs" dxfId="4966" priority="144790" stopIfTrue="1" operator="lessThan">
      <formula>0.5</formula>
    </cfRule>
  </conditionalFormatting>
  <conditionalFormatting sqref="F40">
    <cfRule type="cellIs" dxfId="4965" priority="144791" stopIfTrue="1" operator="greaterThanOrEqual">
      <formula>0.5</formula>
    </cfRule>
  </conditionalFormatting>
  <conditionalFormatting sqref="F41">
    <cfRule type="cellIs" dxfId="4964" priority="144792" stopIfTrue="1" operator="equal">
      <formula>-1</formula>
    </cfRule>
  </conditionalFormatting>
  <conditionalFormatting sqref="F41">
    <cfRule type="cellIs" dxfId="4963" priority="144793" stopIfTrue="1" operator="lessThan">
      <formula>0.5</formula>
    </cfRule>
  </conditionalFormatting>
  <conditionalFormatting sqref="F41">
    <cfRule type="cellIs" dxfId="4962" priority="144794" stopIfTrue="1" operator="greaterThanOrEqual">
      <formula>0.5</formula>
    </cfRule>
  </conditionalFormatting>
  <conditionalFormatting sqref="F42">
    <cfRule type="cellIs" dxfId="4961" priority="144795" stopIfTrue="1" operator="equal">
      <formula>-1</formula>
    </cfRule>
  </conditionalFormatting>
  <conditionalFormatting sqref="F42">
    <cfRule type="cellIs" dxfId="4960" priority="144796" stopIfTrue="1" operator="lessThan">
      <formula>0.5</formula>
    </cfRule>
  </conditionalFormatting>
  <conditionalFormatting sqref="F42">
    <cfRule type="cellIs" dxfId="4959" priority="144797" stopIfTrue="1" operator="greaterThanOrEqual">
      <formula>0.5</formula>
    </cfRule>
  </conditionalFormatting>
  <conditionalFormatting sqref="F43">
    <cfRule type="cellIs" dxfId="4958" priority="144798" stopIfTrue="1" operator="equal">
      <formula>-1</formula>
    </cfRule>
  </conditionalFormatting>
  <conditionalFormatting sqref="F43">
    <cfRule type="cellIs" dxfId="4957" priority="144799" stopIfTrue="1" operator="lessThan">
      <formula>0.5</formula>
    </cfRule>
  </conditionalFormatting>
  <conditionalFormatting sqref="F43">
    <cfRule type="cellIs" dxfId="4956" priority="144800" stopIfTrue="1" operator="greaterThanOrEqual">
      <formula>0.5</formula>
    </cfRule>
  </conditionalFormatting>
  <conditionalFormatting sqref="F44">
    <cfRule type="cellIs" dxfId="4955" priority="144801" stopIfTrue="1" operator="equal">
      <formula>-1</formula>
    </cfRule>
  </conditionalFormatting>
  <conditionalFormatting sqref="F44">
    <cfRule type="cellIs" dxfId="4954" priority="144802" stopIfTrue="1" operator="lessThan">
      <formula>0.5</formula>
    </cfRule>
  </conditionalFormatting>
  <conditionalFormatting sqref="F44">
    <cfRule type="cellIs" dxfId="4953" priority="144803" stopIfTrue="1" operator="greaterThanOrEqual">
      <formula>0.5</formula>
    </cfRule>
  </conditionalFormatting>
  <conditionalFormatting sqref="F45">
    <cfRule type="cellIs" dxfId="4952" priority="144804" stopIfTrue="1" operator="equal">
      <formula>-1</formula>
    </cfRule>
  </conditionalFormatting>
  <conditionalFormatting sqref="F45">
    <cfRule type="cellIs" dxfId="4951" priority="144805" stopIfTrue="1" operator="lessThan">
      <formula>0.5</formula>
    </cfRule>
  </conditionalFormatting>
  <conditionalFormatting sqref="F45">
    <cfRule type="cellIs" dxfId="4950" priority="144806" stopIfTrue="1" operator="greaterThanOrEqual">
      <formula>0.5</formula>
    </cfRule>
  </conditionalFormatting>
  <conditionalFormatting sqref="F46">
    <cfRule type="cellIs" dxfId="4949" priority="144807" stopIfTrue="1" operator="equal">
      <formula>-1</formula>
    </cfRule>
  </conditionalFormatting>
  <conditionalFormatting sqref="F46">
    <cfRule type="cellIs" dxfId="4948" priority="144808" stopIfTrue="1" operator="lessThan">
      <formula>0.5</formula>
    </cfRule>
  </conditionalFormatting>
  <conditionalFormatting sqref="F46">
    <cfRule type="cellIs" dxfId="4947" priority="144809" stopIfTrue="1" operator="greaterThanOrEqual">
      <formula>0.5</formula>
    </cfRule>
  </conditionalFormatting>
  <conditionalFormatting sqref="F47">
    <cfRule type="cellIs" dxfId="4946" priority="144810" stopIfTrue="1" operator="equal">
      <formula>-1</formula>
    </cfRule>
  </conditionalFormatting>
  <conditionalFormatting sqref="F47">
    <cfRule type="cellIs" dxfId="4945" priority="144811" stopIfTrue="1" operator="lessThan">
      <formula>0.5</formula>
    </cfRule>
  </conditionalFormatting>
  <conditionalFormatting sqref="F47">
    <cfRule type="cellIs" dxfId="4944" priority="144812" stopIfTrue="1" operator="greaterThanOrEqual">
      <formula>0.5</formula>
    </cfRule>
  </conditionalFormatting>
  <conditionalFormatting sqref="F48">
    <cfRule type="cellIs" dxfId="4943" priority="144813" stopIfTrue="1" operator="equal">
      <formula>-1</formula>
    </cfRule>
  </conditionalFormatting>
  <conditionalFormatting sqref="F48">
    <cfRule type="cellIs" dxfId="4942" priority="144814" stopIfTrue="1" operator="lessThan">
      <formula>0.5</formula>
    </cfRule>
  </conditionalFormatting>
  <conditionalFormatting sqref="F48">
    <cfRule type="cellIs" dxfId="4941" priority="144815" stopIfTrue="1" operator="greaterThanOrEqual">
      <formula>0.5</formula>
    </cfRule>
  </conditionalFormatting>
  <conditionalFormatting sqref="F49">
    <cfRule type="cellIs" dxfId="4940" priority="144816" stopIfTrue="1" operator="equal">
      <formula>-1</formula>
    </cfRule>
  </conditionalFormatting>
  <conditionalFormatting sqref="F49">
    <cfRule type="cellIs" dxfId="4939" priority="144817" stopIfTrue="1" operator="lessThan">
      <formula>0.5</formula>
    </cfRule>
  </conditionalFormatting>
  <conditionalFormatting sqref="F49">
    <cfRule type="cellIs" dxfId="4938" priority="144818" stopIfTrue="1" operator="greaterThanOrEqual">
      <formula>0.5</formula>
    </cfRule>
  </conditionalFormatting>
  <conditionalFormatting sqref="F50">
    <cfRule type="cellIs" dxfId="4937" priority="144819" stopIfTrue="1" operator="equal">
      <formula>-1</formula>
    </cfRule>
  </conditionalFormatting>
  <conditionalFormatting sqref="F50">
    <cfRule type="cellIs" dxfId="4936" priority="144820" stopIfTrue="1" operator="lessThan">
      <formula>0.5</formula>
    </cfRule>
  </conditionalFormatting>
  <conditionalFormatting sqref="F50">
    <cfRule type="cellIs" dxfId="4935" priority="144821" stopIfTrue="1" operator="greaterThanOrEqual">
      <formula>0.5</formula>
    </cfRule>
  </conditionalFormatting>
  <conditionalFormatting sqref="F51">
    <cfRule type="cellIs" dxfId="4934" priority="144822" stopIfTrue="1" operator="equal">
      <formula>-1</formula>
    </cfRule>
  </conditionalFormatting>
  <conditionalFormatting sqref="F51">
    <cfRule type="cellIs" dxfId="4933" priority="144823" stopIfTrue="1" operator="lessThan">
      <formula>0.5</formula>
    </cfRule>
  </conditionalFormatting>
  <conditionalFormatting sqref="F51">
    <cfRule type="cellIs" dxfId="4932" priority="144824" stopIfTrue="1" operator="greaterThanOrEqual">
      <formula>0.5</formula>
    </cfRule>
  </conditionalFormatting>
  <conditionalFormatting sqref="F52">
    <cfRule type="cellIs" dxfId="4931" priority="144825" stopIfTrue="1" operator="equal">
      <formula>-1</formula>
    </cfRule>
  </conditionalFormatting>
  <conditionalFormatting sqref="F52">
    <cfRule type="cellIs" dxfId="4930" priority="144826" stopIfTrue="1" operator="lessThan">
      <formula>0.5</formula>
    </cfRule>
  </conditionalFormatting>
  <conditionalFormatting sqref="F52">
    <cfRule type="cellIs" dxfId="4929" priority="144827" stopIfTrue="1" operator="greaterThanOrEqual">
      <formula>0.5</formula>
    </cfRule>
  </conditionalFormatting>
  <conditionalFormatting sqref="F53">
    <cfRule type="cellIs" dxfId="4928" priority="144828" stopIfTrue="1" operator="equal">
      <formula>-1</formula>
    </cfRule>
  </conditionalFormatting>
  <conditionalFormatting sqref="F53">
    <cfRule type="cellIs" dxfId="4927" priority="144829" stopIfTrue="1" operator="lessThan">
      <formula>0.5</formula>
    </cfRule>
  </conditionalFormatting>
  <conditionalFormatting sqref="F53">
    <cfRule type="cellIs" dxfId="4926" priority="144830" stopIfTrue="1" operator="greaterThanOrEqual">
      <formula>0.5</formula>
    </cfRule>
  </conditionalFormatting>
  <conditionalFormatting sqref="F54">
    <cfRule type="cellIs" dxfId="4925" priority="144831" stopIfTrue="1" operator="equal">
      <formula>-1</formula>
    </cfRule>
  </conditionalFormatting>
  <conditionalFormatting sqref="F54">
    <cfRule type="cellIs" dxfId="4924" priority="144832" stopIfTrue="1" operator="lessThan">
      <formula>0.5</formula>
    </cfRule>
  </conditionalFormatting>
  <conditionalFormatting sqref="F54">
    <cfRule type="cellIs" dxfId="4923" priority="144833" stopIfTrue="1" operator="greaterThanOrEqual">
      <formula>0.5</formula>
    </cfRule>
  </conditionalFormatting>
  <conditionalFormatting sqref="F55">
    <cfRule type="cellIs" dxfId="4922" priority="144834" stopIfTrue="1" operator="equal">
      <formula>-1</formula>
    </cfRule>
  </conditionalFormatting>
  <conditionalFormatting sqref="F55">
    <cfRule type="cellIs" dxfId="4921" priority="144835" stopIfTrue="1" operator="lessThan">
      <formula>0.5</formula>
    </cfRule>
  </conditionalFormatting>
  <conditionalFormatting sqref="F55">
    <cfRule type="cellIs" dxfId="4920" priority="144836" stopIfTrue="1" operator="greaterThanOrEqual">
      <formula>0.5</formula>
    </cfRule>
  </conditionalFormatting>
  <conditionalFormatting sqref="F56">
    <cfRule type="cellIs" dxfId="4919" priority="144837" stopIfTrue="1" operator="equal">
      <formula>-1</formula>
    </cfRule>
  </conditionalFormatting>
  <conditionalFormatting sqref="F56">
    <cfRule type="cellIs" dxfId="4918" priority="144838" stopIfTrue="1" operator="lessThan">
      <formula>0.5</formula>
    </cfRule>
  </conditionalFormatting>
  <conditionalFormatting sqref="F56">
    <cfRule type="cellIs" dxfId="4917" priority="144839" stopIfTrue="1" operator="greaterThanOrEqual">
      <formula>0.5</formula>
    </cfRule>
  </conditionalFormatting>
  <conditionalFormatting sqref="F57">
    <cfRule type="cellIs" dxfId="4916" priority="144840" stopIfTrue="1" operator="equal">
      <formula>-1</formula>
    </cfRule>
  </conditionalFormatting>
  <conditionalFormatting sqref="F57">
    <cfRule type="cellIs" dxfId="4915" priority="144841" stopIfTrue="1" operator="lessThan">
      <formula>0.5</formula>
    </cfRule>
  </conditionalFormatting>
  <conditionalFormatting sqref="F57">
    <cfRule type="cellIs" dxfId="4914" priority="144842" stopIfTrue="1" operator="greaterThanOrEqual">
      <formula>0.5</formula>
    </cfRule>
  </conditionalFormatting>
  <conditionalFormatting sqref="F58">
    <cfRule type="cellIs" dxfId="4913" priority="144843" stopIfTrue="1" operator="equal">
      <formula>-1</formula>
    </cfRule>
  </conditionalFormatting>
  <conditionalFormatting sqref="F58">
    <cfRule type="cellIs" dxfId="4912" priority="144844" stopIfTrue="1" operator="lessThan">
      <formula>0.5</formula>
    </cfRule>
  </conditionalFormatting>
  <conditionalFormatting sqref="F58">
    <cfRule type="cellIs" dxfId="4911" priority="144845" stopIfTrue="1" operator="greaterThanOrEqual">
      <formula>0.5</formula>
    </cfRule>
  </conditionalFormatting>
  <conditionalFormatting sqref="H39">
    <cfRule type="cellIs" dxfId="4910" priority="144846" stopIfTrue="1" operator="equal">
      <formula>-1</formula>
    </cfRule>
  </conditionalFormatting>
  <conditionalFormatting sqref="H39">
    <cfRule type="cellIs" dxfId="4909" priority="144847" stopIfTrue="1" operator="lessThan">
      <formula>0.5</formula>
    </cfRule>
  </conditionalFormatting>
  <conditionalFormatting sqref="H39">
    <cfRule type="cellIs" dxfId="4908" priority="144848" stopIfTrue="1" operator="greaterThanOrEqual">
      <formula>0.5</formula>
    </cfRule>
  </conditionalFormatting>
  <conditionalFormatting sqref="H40">
    <cfRule type="cellIs" dxfId="4907" priority="144849" stopIfTrue="1" operator="equal">
      <formula>-1</formula>
    </cfRule>
  </conditionalFormatting>
  <conditionalFormatting sqref="H40">
    <cfRule type="cellIs" dxfId="4906" priority="144850" stopIfTrue="1" operator="lessThan">
      <formula>0.5</formula>
    </cfRule>
  </conditionalFormatting>
  <conditionalFormatting sqref="H40">
    <cfRule type="cellIs" dxfId="4905" priority="144851" stopIfTrue="1" operator="greaterThanOrEqual">
      <formula>0.5</formula>
    </cfRule>
  </conditionalFormatting>
  <conditionalFormatting sqref="H41">
    <cfRule type="cellIs" dxfId="4904" priority="144852" stopIfTrue="1" operator="equal">
      <formula>-1</formula>
    </cfRule>
  </conditionalFormatting>
  <conditionalFormatting sqref="H41">
    <cfRule type="cellIs" dxfId="4903" priority="144853" stopIfTrue="1" operator="lessThan">
      <formula>0.5</formula>
    </cfRule>
  </conditionalFormatting>
  <conditionalFormatting sqref="H41">
    <cfRule type="cellIs" dxfId="4902" priority="144854" stopIfTrue="1" operator="greaterThanOrEqual">
      <formula>0.5</formula>
    </cfRule>
  </conditionalFormatting>
  <conditionalFormatting sqref="H42">
    <cfRule type="cellIs" dxfId="4901" priority="144855" stopIfTrue="1" operator="equal">
      <formula>-1</formula>
    </cfRule>
  </conditionalFormatting>
  <conditionalFormatting sqref="H42">
    <cfRule type="cellIs" dxfId="4900" priority="144856" stopIfTrue="1" operator="lessThan">
      <formula>0.5</formula>
    </cfRule>
  </conditionalFormatting>
  <conditionalFormatting sqref="H42">
    <cfRule type="cellIs" dxfId="4899" priority="144857" stopIfTrue="1" operator="greaterThanOrEqual">
      <formula>0.5</formula>
    </cfRule>
  </conditionalFormatting>
  <conditionalFormatting sqref="H43">
    <cfRule type="cellIs" dxfId="4898" priority="144858" stopIfTrue="1" operator="equal">
      <formula>-1</formula>
    </cfRule>
  </conditionalFormatting>
  <conditionalFormatting sqref="H43">
    <cfRule type="cellIs" dxfId="4897" priority="144859" stopIfTrue="1" operator="lessThan">
      <formula>0.5</formula>
    </cfRule>
  </conditionalFormatting>
  <conditionalFormatting sqref="H43">
    <cfRule type="cellIs" dxfId="4896" priority="144860" stopIfTrue="1" operator="greaterThanOrEqual">
      <formula>0.5</formula>
    </cfRule>
  </conditionalFormatting>
  <conditionalFormatting sqref="H44">
    <cfRule type="cellIs" dxfId="4895" priority="144861" stopIfTrue="1" operator="equal">
      <formula>-1</formula>
    </cfRule>
  </conditionalFormatting>
  <conditionalFormatting sqref="H44">
    <cfRule type="cellIs" dxfId="4894" priority="144862" stopIfTrue="1" operator="lessThan">
      <formula>0.5</formula>
    </cfRule>
  </conditionalFormatting>
  <conditionalFormatting sqref="H44">
    <cfRule type="cellIs" dxfId="4893" priority="144863" stopIfTrue="1" operator="greaterThanOrEqual">
      <formula>0.5</formula>
    </cfRule>
  </conditionalFormatting>
  <conditionalFormatting sqref="H45">
    <cfRule type="cellIs" dxfId="4892" priority="144864" stopIfTrue="1" operator="equal">
      <formula>-1</formula>
    </cfRule>
  </conditionalFormatting>
  <conditionalFormatting sqref="H45">
    <cfRule type="cellIs" dxfId="4891" priority="144865" stopIfTrue="1" operator="lessThan">
      <formula>0.5</formula>
    </cfRule>
  </conditionalFormatting>
  <conditionalFormatting sqref="H45">
    <cfRule type="cellIs" dxfId="4890" priority="144866" stopIfTrue="1" operator="greaterThanOrEqual">
      <formula>0.5</formula>
    </cfRule>
  </conditionalFormatting>
  <conditionalFormatting sqref="H46">
    <cfRule type="cellIs" dxfId="4889" priority="144867" stopIfTrue="1" operator="equal">
      <formula>-1</formula>
    </cfRule>
  </conditionalFormatting>
  <conditionalFormatting sqref="H46">
    <cfRule type="cellIs" dxfId="4888" priority="144868" stopIfTrue="1" operator="lessThan">
      <formula>0.5</formula>
    </cfRule>
  </conditionalFormatting>
  <conditionalFormatting sqref="H46">
    <cfRule type="cellIs" dxfId="4887" priority="144869" stopIfTrue="1" operator="greaterThanOrEqual">
      <formula>0.5</formula>
    </cfRule>
  </conditionalFormatting>
  <conditionalFormatting sqref="H47">
    <cfRule type="cellIs" dxfId="4886" priority="144870" stopIfTrue="1" operator="equal">
      <formula>-1</formula>
    </cfRule>
  </conditionalFormatting>
  <conditionalFormatting sqref="H47">
    <cfRule type="cellIs" dxfId="4885" priority="144871" stopIfTrue="1" operator="lessThan">
      <formula>0.5</formula>
    </cfRule>
  </conditionalFormatting>
  <conditionalFormatting sqref="H47">
    <cfRule type="cellIs" dxfId="4884" priority="144872" stopIfTrue="1" operator="greaterThanOrEqual">
      <formula>0.5</formula>
    </cfRule>
  </conditionalFormatting>
  <conditionalFormatting sqref="H48">
    <cfRule type="cellIs" dxfId="4883" priority="144873" stopIfTrue="1" operator="equal">
      <formula>-1</formula>
    </cfRule>
  </conditionalFormatting>
  <conditionalFormatting sqref="H48">
    <cfRule type="cellIs" dxfId="4882" priority="144874" stopIfTrue="1" operator="lessThan">
      <formula>0.5</formula>
    </cfRule>
  </conditionalFormatting>
  <conditionalFormatting sqref="H48">
    <cfRule type="cellIs" dxfId="4881" priority="144875" stopIfTrue="1" operator="greaterThanOrEqual">
      <formula>0.5</formula>
    </cfRule>
  </conditionalFormatting>
  <conditionalFormatting sqref="H49">
    <cfRule type="cellIs" dxfId="4880" priority="144876" stopIfTrue="1" operator="equal">
      <formula>-1</formula>
    </cfRule>
  </conditionalFormatting>
  <conditionalFormatting sqref="H49">
    <cfRule type="cellIs" dxfId="4879" priority="144877" stopIfTrue="1" operator="lessThan">
      <formula>0.5</formula>
    </cfRule>
  </conditionalFormatting>
  <conditionalFormatting sqref="H49">
    <cfRule type="cellIs" dxfId="4878" priority="144878" stopIfTrue="1" operator="greaterThanOrEqual">
      <formula>0.5</formula>
    </cfRule>
  </conditionalFormatting>
  <conditionalFormatting sqref="H50">
    <cfRule type="cellIs" dxfId="4877" priority="144879" stopIfTrue="1" operator="equal">
      <formula>-1</formula>
    </cfRule>
  </conditionalFormatting>
  <conditionalFormatting sqref="H50">
    <cfRule type="cellIs" dxfId="4876" priority="144880" stopIfTrue="1" operator="lessThan">
      <formula>0.5</formula>
    </cfRule>
  </conditionalFormatting>
  <conditionalFormatting sqref="H50">
    <cfRule type="cellIs" dxfId="4875" priority="144881" stopIfTrue="1" operator="greaterThanOrEqual">
      <formula>0.5</formula>
    </cfRule>
  </conditionalFormatting>
  <conditionalFormatting sqref="H51">
    <cfRule type="cellIs" dxfId="4874" priority="144882" stopIfTrue="1" operator="equal">
      <formula>-1</formula>
    </cfRule>
  </conditionalFormatting>
  <conditionalFormatting sqref="H51">
    <cfRule type="cellIs" dxfId="4873" priority="144883" stopIfTrue="1" operator="lessThan">
      <formula>0.5</formula>
    </cfRule>
  </conditionalFormatting>
  <conditionalFormatting sqref="H51">
    <cfRule type="cellIs" dxfId="4872" priority="144884" stopIfTrue="1" operator="greaterThanOrEqual">
      <formula>0.5</formula>
    </cfRule>
  </conditionalFormatting>
  <conditionalFormatting sqref="H52">
    <cfRule type="cellIs" dxfId="4871" priority="144885" stopIfTrue="1" operator="equal">
      <formula>-1</formula>
    </cfRule>
  </conditionalFormatting>
  <conditionalFormatting sqref="H52">
    <cfRule type="cellIs" dxfId="4870" priority="144886" stopIfTrue="1" operator="lessThan">
      <formula>0.5</formula>
    </cfRule>
  </conditionalFormatting>
  <conditionalFormatting sqref="H52">
    <cfRule type="cellIs" dxfId="4869" priority="144887" stopIfTrue="1" operator="greaterThanOrEqual">
      <formula>0.5</formula>
    </cfRule>
  </conditionalFormatting>
  <conditionalFormatting sqref="H53">
    <cfRule type="cellIs" dxfId="4868" priority="144888" stopIfTrue="1" operator="equal">
      <formula>-1</formula>
    </cfRule>
  </conditionalFormatting>
  <conditionalFormatting sqref="H53">
    <cfRule type="cellIs" dxfId="4867" priority="144889" stopIfTrue="1" operator="lessThan">
      <formula>0.5</formula>
    </cfRule>
  </conditionalFormatting>
  <conditionalFormatting sqref="H53">
    <cfRule type="cellIs" dxfId="4866" priority="144890" stopIfTrue="1" operator="greaterThanOrEqual">
      <formula>0.5</formula>
    </cfRule>
  </conditionalFormatting>
  <conditionalFormatting sqref="H54">
    <cfRule type="cellIs" dxfId="4865" priority="144891" stopIfTrue="1" operator="equal">
      <formula>-1</formula>
    </cfRule>
  </conditionalFormatting>
  <conditionalFormatting sqref="H54">
    <cfRule type="cellIs" dxfId="4864" priority="144892" stopIfTrue="1" operator="lessThan">
      <formula>0.5</formula>
    </cfRule>
  </conditionalFormatting>
  <conditionalFormatting sqref="H54">
    <cfRule type="cellIs" dxfId="4863" priority="144893" stopIfTrue="1" operator="greaterThanOrEqual">
      <formula>0.5</formula>
    </cfRule>
  </conditionalFormatting>
  <conditionalFormatting sqref="H55">
    <cfRule type="cellIs" dxfId="4862" priority="144894" stopIfTrue="1" operator="equal">
      <formula>-1</formula>
    </cfRule>
  </conditionalFormatting>
  <conditionalFormatting sqref="H55">
    <cfRule type="cellIs" dxfId="4861" priority="144895" stopIfTrue="1" operator="lessThan">
      <formula>0.5</formula>
    </cfRule>
  </conditionalFormatting>
  <conditionalFormatting sqref="H55">
    <cfRule type="cellIs" dxfId="4860" priority="144896" stopIfTrue="1" operator="greaterThanOrEqual">
      <formula>0.5</formula>
    </cfRule>
  </conditionalFormatting>
  <conditionalFormatting sqref="H56">
    <cfRule type="cellIs" dxfId="4859" priority="144897" stopIfTrue="1" operator="equal">
      <formula>-1</formula>
    </cfRule>
  </conditionalFormatting>
  <conditionalFormatting sqref="H56">
    <cfRule type="cellIs" dxfId="4858" priority="144898" stopIfTrue="1" operator="lessThan">
      <formula>0.5</formula>
    </cfRule>
  </conditionalFormatting>
  <conditionalFormatting sqref="H56">
    <cfRule type="cellIs" dxfId="4857" priority="144899" stopIfTrue="1" operator="greaterThanOrEqual">
      <formula>0.5</formula>
    </cfRule>
  </conditionalFormatting>
  <conditionalFormatting sqref="H57">
    <cfRule type="cellIs" dxfId="4856" priority="144900" stopIfTrue="1" operator="equal">
      <formula>-1</formula>
    </cfRule>
  </conditionalFormatting>
  <conditionalFormatting sqref="H57">
    <cfRule type="cellIs" dxfId="4855" priority="144901" stopIfTrue="1" operator="lessThan">
      <formula>0.5</formula>
    </cfRule>
  </conditionalFormatting>
  <conditionalFormatting sqref="H57">
    <cfRule type="cellIs" dxfId="4854" priority="144902" stopIfTrue="1" operator="greaterThanOrEqual">
      <formula>0.5</formula>
    </cfRule>
  </conditionalFormatting>
  <conditionalFormatting sqref="H58">
    <cfRule type="cellIs" dxfId="4853" priority="144903" stopIfTrue="1" operator="equal">
      <formula>-1</formula>
    </cfRule>
  </conditionalFormatting>
  <conditionalFormatting sqref="H58">
    <cfRule type="cellIs" dxfId="4852" priority="144904" stopIfTrue="1" operator="lessThan">
      <formula>0.5</formula>
    </cfRule>
  </conditionalFormatting>
  <conditionalFormatting sqref="H58">
    <cfRule type="cellIs" dxfId="4851" priority="144905" stopIfTrue="1" operator="greaterThanOrEqual">
      <formula>0.5</formula>
    </cfRule>
  </conditionalFormatting>
  <conditionalFormatting sqref="J39">
    <cfRule type="cellIs" dxfId="4850" priority="144906" stopIfTrue="1" operator="equal">
      <formula>-1</formula>
    </cfRule>
  </conditionalFormatting>
  <conditionalFormatting sqref="J39">
    <cfRule type="cellIs" dxfId="4849" priority="144907" stopIfTrue="1" operator="lessThan">
      <formula>0.5</formula>
    </cfRule>
  </conditionalFormatting>
  <conditionalFormatting sqref="J39">
    <cfRule type="cellIs" dxfId="4848" priority="144908" stopIfTrue="1" operator="greaterThanOrEqual">
      <formula>0.5</formula>
    </cfRule>
  </conditionalFormatting>
  <conditionalFormatting sqref="J40">
    <cfRule type="cellIs" dxfId="4847" priority="144909" stopIfTrue="1" operator="equal">
      <formula>-1</formula>
    </cfRule>
  </conditionalFormatting>
  <conditionalFormatting sqref="J40">
    <cfRule type="cellIs" dxfId="4846" priority="144910" stopIfTrue="1" operator="lessThan">
      <formula>0.5</formula>
    </cfRule>
  </conditionalFormatting>
  <conditionalFormatting sqref="J40">
    <cfRule type="cellIs" dxfId="4845" priority="144911" stopIfTrue="1" operator="greaterThanOrEqual">
      <formula>0.5</formula>
    </cfRule>
  </conditionalFormatting>
  <conditionalFormatting sqref="J41">
    <cfRule type="cellIs" dxfId="4844" priority="144912" stopIfTrue="1" operator="equal">
      <formula>-1</formula>
    </cfRule>
  </conditionalFormatting>
  <conditionalFormatting sqref="J41">
    <cfRule type="cellIs" dxfId="4843" priority="144913" stopIfTrue="1" operator="lessThan">
      <formula>0.5</formula>
    </cfRule>
  </conditionalFormatting>
  <conditionalFormatting sqref="J41">
    <cfRule type="cellIs" dxfId="4842" priority="144914" stopIfTrue="1" operator="greaterThanOrEqual">
      <formula>0.5</formula>
    </cfRule>
  </conditionalFormatting>
  <conditionalFormatting sqref="J42">
    <cfRule type="cellIs" dxfId="4841" priority="144915" stopIfTrue="1" operator="equal">
      <formula>-1</formula>
    </cfRule>
  </conditionalFormatting>
  <conditionalFormatting sqref="J42">
    <cfRule type="cellIs" dxfId="4840" priority="144916" stopIfTrue="1" operator="lessThan">
      <formula>0.5</formula>
    </cfRule>
  </conditionalFormatting>
  <conditionalFormatting sqref="J42">
    <cfRule type="cellIs" dxfId="4839" priority="144917" stopIfTrue="1" operator="greaterThanOrEqual">
      <formula>0.5</formula>
    </cfRule>
  </conditionalFormatting>
  <conditionalFormatting sqref="J43">
    <cfRule type="cellIs" dxfId="4838" priority="144918" stopIfTrue="1" operator="equal">
      <formula>-1</formula>
    </cfRule>
  </conditionalFormatting>
  <conditionalFormatting sqref="J43">
    <cfRule type="cellIs" dxfId="4837" priority="144919" stopIfTrue="1" operator="lessThan">
      <formula>0.5</formula>
    </cfRule>
  </conditionalFormatting>
  <conditionalFormatting sqref="J43">
    <cfRule type="cellIs" dxfId="4836" priority="144920" stopIfTrue="1" operator="greaterThanOrEqual">
      <formula>0.5</formula>
    </cfRule>
  </conditionalFormatting>
  <conditionalFormatting sqref="J44">
    <cfRule type="cellIs" dxfId="4835" priority="144921" stopIfTrue="1" operator="equal">
      <formula>-1</formula>
    </cfRule>
  </conditionalFormatting>
  <conditionalFormatting sqref="J44">
    <cfRule type="cellIs" dxfId="4834" priority="144922" stopIfTrue="1" operator="lessThan">
      <formula>0.5</formula>
    </cfRule>
  </conditionalFormatting>
  <conditionalFormatting sqref="J44">
    <cfRule type="cellIs" dxfId="4833" priority="144923" stopIfTrue="1" operator="greaterThanOrEqual">
      <formula>0.5</formula>
    </cfRule>
  </conditionalFormatting>
  <conditionalFormatting sqref="J45">
    <cfRule type="cellIs" dxfId="4832" priority="144924" stopIfTrue="1" operator="equal">
      <formula>-1</formula>
    </cfRule>
  </conditionalFormatting>
  <conditionalFormatting sqref="J45">
    <cfRule type="cellIs" dxfId="4831" priority="144925" stopIfTrue="1" operator="lessThan">
      <formula>0.5</formula>
    </cfRule>
  </conditionalFormatting>
  <conditionalFormatting sqref="J45">
    <cfRule type="cellIs" dxfId="4830" priority="144926" stopIfTrue="1" operator="greaterThanOrEqual">
      <formula>0.5</formula>
    </cfRule>
  </conditionalFormatting>
  <conditionalFormatting sqref="J46">
    <cfRule type="cellIs" dxfId="4829" priority="144927" stopIfTrue="1" operator="equal">
      <formula>-1</formula>
    </cfRule>
  </conditionalFormatting>
  <conditionalFormatting sqref="J46">
    <cfRule type="cellIs" dxfId="4828" priority="144928" stopIfTrue="1" operator="lessThan">
      <formula>0.5</formula>
    </cfRule>
  </conditionalFormatting>
  <conditionalFormatting sqref="J46">
    <cfRule type="cellIs" dxfId="4827" priority="144929" stopIfTrue="1" operator="greaterThanOrEqual">
      <formula>0.5</formula>
    </cfRule>
  </conditionalFormatting>
  <conditionalFormatting sqref="J47">
    <cfRule type="cellIs" dxfId="4826" priority="144930" stopIfTrue="1" operator="equal">
      <formula>-1</formula>
    </cfRule>
  </conditionalFormatting>
  <conditionalFormatting sqref="J47">
    <cfRule type="cellIs" dxfId="4825" priority="144931" stopIfTrue="1" operator="lessThan">
      <formula>0.5</formula>
    </cfRule>
  </conditionalFormatting>
  <conditionalFormatting sqref="J47">
    <cfRule type="cellIs" dxfId="4824" priority="144932" stopIfTrue="1" operator="greaterThanOrEqual">
      <formula>0.5</formula>
    </cfRule>
  </conditionalFormatting>
  <conditionalFormatting sqref="J48">
    <cfRule type="cellIs" dxfId="4823" priority="144933" stopIfTrue="1" operator="equal">
      <formula>-1</formula>
    </cfRule>
  </conditionalFormatting>
  <conditionalFormatting sqref="J48">
    <cfRule type="cellIs" dxfId="4822" priority="144934" stopIfTrue="1" operator="lessThan">
      <formula>0.5</formula>
    </cfRule>
  </conditionalFormatting>
  <conditionalFormatting sqref="J48">
    <cfRule type="cellIs" dxfId="4821" priority="144935" stopIfTrue="1" operator="greaterThanOrEqual">
      <formula>0.5</formula>
    </cfRule>
  </conditionalFormatting>
  <conditionalFormatting sqref="J49">
    <cfRule type="cellIs" dxfId="4820" priority="144936" stopIfTrue="1" operator="equal">
      <formula>-1</formula>
    </cfRule>
  </conditionalFormatting>
  <conditionalFormatting sqref="J49">
    <cfRule type="cellIs" dxfId="4819" priority="144937" stopIfTrue="1" operator="lessThan">
      <formula>0.5</formula>
    </cfRule>
  </conditionalFormatting>
  <conditionalFormatting sqref="J49">
    <cfRule type="cellIs" dxfId="4818" priority="144938" stopIfTrue="1" operator="greaterThanOrEqual">
      <formula>0.5</formula>
    </cfRule>
  </conditionalFormatting>
  <conditionalFormatting sqref="J50">
    <cfRule type="cellIs" dxfId="4817" priority="144939" stopIfTrue="1" operator="equal">
      <formula>-1</formula>
    </cfRule>
  </conditionalFormatting>
  <conditionalFormatting sqref="J50">
    <cfRule type="cellIs" dxfId="4816" priority="144940" stopIfTrue="1" operator="lessThan">
      <formula>0.5</formula>
    </cfRule>
  </conditionalFormatting>
  <conditionalFormatting sqref="J50">
    <cfRule type="cellIs" dxfId="4815" priority="144941" stopIfTrue="1" operator="greaterThanOrEqual">
      <formula>0.5</formula>
    </cfRule>
  </conditionalFormatting>
  <conditionalFormatting sqref="J51">
    <cfRule type="cellIs" dxfId="4814" priority="144942" stopIfTrue="1" operator="equal">
      <formula>-1</formula>
    </cfRule>
  </conditionalFormatting>
  <conditionalFormatting sqref="J51">
    <cfRule type="cellIs" dxfId="4813" priority="144943" stopIfTrue="1" operator="lessThan">
      <formula>0.5</formula>
    </cfRule>
  </conditionalFormatting>
  <conditionalFormatting sqref="J51">
    <cfRule type="cellIs" dxfId="4812" priority="144944" stopIfTrue="1" operator="greaterThanOrEqual">
      <formula>0.5</formula>
    </cfRule>
  </conditionalFormatting>
  <conditionalFormatting sqref="J52">
    <cfRule type="cellIs" dxfId="4811" priority="144945" stopIfTrue="1" operator="equal">
      <formula>-1</formula>
    </cfRule>
  </conditionalFormatting>
  <conditionalFormatting sqref="J52">
    <cfRule type="cellIs" dxfId="4810" priority="144946" stopIfTrue="1" operator="lessThan">
      <formula>0.5</formula>
    </cfRule>
  </conditionalFormatting>
  <conditionalFormatting sqref="J52">
    <cfRule type="cellIs" dxfId="4809" priority="144947" stopIfTrue="1" operator="greaterThanOrEqual">
      <formula>0.5</formula>
    </cfRule>
  </conditionalFormatting>
  <conditionalFormatting sqref="J53">
    <cfRule type="cellIs" dxfId="4808" priority="144948" stopIfTrue="1" operator="equal">
      <formula>-1</formula>
    </cfRule>
  </conditionalFormatting>
  <conditionalFormatting sqref="J53">
    <cfRule type="cellIs" dxfId="4807" priority="144949" stopIfTrue="1" operator="lessThan">
      <formula>0.5</formula>
    </cfRule>
  </conditionalFormatting>
  <conditionalFormatting sqref="J53">
    <cfRule type="cellIs" dxfId="4806" priority="144950" stopIfTrue="1" operator="greaterThanOrEqual">
      <formula>0.5</formula>
    </cfRule>
  </conditionalFormatting>
  <conditionalFormatting sqref="J54">
    <cfRule type="cellIs" dxfId="4805" priority="144951" stopIfTrue="1" operator="equal">
      <formula>-1</formula>
    </cfRule>
  </conditionalFormatting>
  <conditionalFormatting sqref="J54">
    <cfRule type="cellIs" dxfId="4804" priority="144952" stopIfTrue="1" operator="lessThan">
      <formula>0.5</formula>
    </cfRule>
  </conditionalFormatting>
  <conditionalFormatting sqref="J54">
    <cfRule type="cellIs" dxfId="4803" priority="144953" stopIfTrue="1" operator="greaterThanOrEqual">
      <formula>0.5</formula>
    </cfRule>
  </conditionalFormatting>
  <conditionalFormatting sqref="J55">
    <cfRule type="cellIs" dxfId="4802" priority="144954" stopIfTrue="1" operator="equal">
      <formula>-1</formula>
    </cfRule>
  </conditionalFormatting>
  <conditionalFormatting sqref="J55">
    <cfRule type="cellIs" dxfId="4801" priority="144955" stopIfTrue="1" operator="lessThan">
      <formula>0.5</formula>
    </cfRule>
  </conditionalFormatting>
  <conditionalFormatting sqref="J55">
    <cfRule type="cellIs" dxfId="4800" priority="144956" stopIfTrue="1" operator="greaterThanOrEqual">
      <formula>0.5</formula>
    </cfRule>
  </conditionalFormatting>
  <conditionalFormatting sqref="J56">
    <cfRule type="cellIs" dxfId="4799" priority="144957" stopIfTrue="1" operator="equal">
      <formula>-1</formula>
    </cfRule>
  </conditionalFormatting>
  <conditionalFormatting sqref="J56">
    <cfRule type="cellIs" dxfId="4798" priority="144958" stopIfTrue="1" operator="lessThan">
      <formula>0.5</formula>
    </cfRule>
  </conditionalFormatting>
  <conditionalFormatting sqref="J56">
    <cfRule type="cellIs" dxfId="4797" priority="144959" stopIfTrue="1" operator="greaterThanOrEqual">
      <formula>0.5</formula>
    </cfRule>
  </conditionalFormatting>
  <conditionalFormatting sqref="J57">
    <cfRule type="cellIs" dxfId="4796" priority="144960" stopIfTrue="1" operator="equal">
      <formula>-1</formula>
    </cfRule>
  </conditionalFormatting>
  <conditionalFormatting sqref="J57">
    <cfRule type="cellIs" dxfId="4795" priority="144961" stopIfTrue="1" operator="lessThan">
      <formula>0.5</formula>
    </cfRule>
  </conditionalFormatting>
  <conditionalFormatting sqref="J57">
    <cfRule type="cellIs" dxfId="4794" priority="144962" stopIfTrue="1" operator="greaterThanOrEqual">
      <formula>0.5</formula>
    </cfRule>
  </conditionalFormatting>
  <conditionalFormatting sqref="J58">
    <cfRule type="cellIs" dxfId="4793" priority="144963" stopIfTrue="1" operator="equal">
      <formula>-1</formula>
    </cfRule>
  </conditionalFormatting>
  <conditionalFormatting sqref="J58">
    <cfRule type="cellIs" dxfId="4792" priority="144964" stopIfTrue="1" operator="lessThan">
      <formula>0.5</formula>
    </cfRule>
  </conditionalFormatting>
  <conditionalFormatting sqref="J58">
    <cfRule type="cellIs" dxfId="4791" priority="144965" stopIfTrue="1" operator="greaterThanOrEqual">
      <formula>0.5</formula>
    </cfRule>
  </conditionalFormatting>
  <conditionalFormatting sqref="L39">
    <cfRule type="cellIs" dxfId="4790" priority="144966" stopIfTrue="1" operator="equal">
      <formula>-1</formula>
    </cfRule>
  </conditionalFormatting>
  <conditionalFormatting sqref="L39">
    <cfRule type="cellIs" dxfId="4789" priority="144967" stopIfTrue="1" operator="lessThan">
      <formula>0.5</formula>
    </cfRule>
  </conditionalFormatting>
  <conditionalFormatting sqref="L39">
    <cfRule type="cellIs" dxfId="4788" priority="144968" stopIfTrue="1" operator="greaterThanOrEqual">
      <formula>0.5</formula>
    </cfRule>
  </conditionalFormatting>
  <conditionalFormatting sqref="L40">
    <cfRule type="cellIs" dxfId="4787" priority="144969" stopIfTrue="1" operator="equal">
      <formula>-1</formula>
    </cfRule>
  </conditionalFormatting>
  <conditionalFormatting sqref="L40">
    <cfRule type="cellIs" dxfId="4786" priority="144970" stopIfTrue="1" operator="lessThan">
      <formula>0.5</formula>
    </cfRule>
  </conditionalFormatting>
  <conditionalFormatting sqref="L40">
    <cfRule type="cellIs" dxfId="4785" priority="144971" stopIfTrue="1" operator="greaterThanOrEqual">
      <formula>0.5</formula>
    </cfRule>
  </conditionalFormatting>
  <conditionalFormatting sqref="L41">
    <cfRule type="cellIs" dxfId="4784" priority="144972" stopIfTrue="1" operator="equal">
      <formula>-1</formula>
    </cfRule>
  </conditionalFormatting>
  <conditionalFormatting sqref="L41">
    <cfRule type="cellIs" dxfId="4783" priority="144973" stopIfTrue="1" operator="lessThan">
      <formula>0.5</formula>
    </cfRule>
  </conditionalFormatting>
  <conditionalFormatting sqref="L41">
    <cfRule type="cellIs" dxfId="4782" priority="144974" stopIfTrue="1" operator="greaterThanOrEqual">
      <formula>0.5</formula>
    </cfRule>
  </conditionalFormatting>
  <conditionalFormatting sqref="L42">
    <cfRule type="cellIs" dxfId="4781" priority="144975" stopIfTrue="1" operator="equal">
      <formula>-1</formula>
    </cfRule>
  </conditionalFormatting>
  <conditionalFormatting sqref="L42">
    <cfRule type="cellIs" dxfId="4780" priority="144976" stopIfTrue="1" operator="lessThan">
      <formula>0.5</formula>
    </cfRule>
  </conditionalFormatting>
  <conditionalFormatting sqref="L42">
    <cfRule type="cellIs" dxfId="4779" priority="144977" stopIfTrue="1" operator="greaterThanOrEqual">
      <formula>0.5</formula>
    </cfRule>
  </conditionalFormatting>
  <conditionalFormatting sqref="L43">
    <cfRule type="cellIs" dxfId="4778" priority="144978" stopIfTrue="1" operator="equal">
      <formula>-1</formula>
    </cfRule>
  </conditionalFormatting>
  <conditionalFormatting sqref="L43">
    <cfRule type="cellIs" dxfId="4777" priority="144979" stopIfTrue="1" operator="lessThan">
      <formula>0.5</formula>
    </cfRule>
  </conditionalFormatting>
  <conditionalFormatting sqref="L43">
    <cfRule type="cellIs" dxfId="4776" priority="144980" stopIfTrue="1" operator="greaterThanOrEqual">
      <formula>0.5</formula>
    </cfRule>
  </conditionalFormatting>
  <conditionalFormatting sqref="L44">
    <cfRule type="cellIs" dxfId="4775" priority="144981" stopIfTrue="1" operator="equal">
      <formula>-1</formula>
    </cfRule>
  </conditionalFormatting>
  <conditionalFormatting sqref="L44">
    <cfRule type="cellIs" dxfId="4774" priority="144982" stopIfTrue="1" operator="lessThan">
      <formula>0.5</formula>
    </cfRule>
  </conditionalFormatting>
  <conditionalFormatting sqref="L44">
    <cfRule type="cellIs" dxfId="4773" priority="144983" stopIfTrue="1" operator="greaterThanOrEqual">
      <formula>0.5</formula>
    </cfRule>
  </conditionalFormatting>
  <conditionalFormatting sqref="L45">
    <cfRule type="cellIs" dxfId="4772" priority="144984" stopIfTrue="1" operator="equal">
      <formula>-1</formula>
    </cfRule>
  </conditionalFormatting>
  <conditionalFormatting sqref="L45">
    <cfRule type="cellIs" dxfId="4771" priority="144985" stopIfTrue="1" operator="lessThan">
      <formula>0.5</formula>
    </cfRule>
  </conditionalFormatting>
  <conditionalFormatting sqref="L45">
    <cfRule type="cellIs" dxfId="4770" priority="144986" stopIfTrue="1" operator="greaterThanOrEqual">
      <formula>0.5</formula>
    </cfRule>
  </conditionalFormatting>
  <conditionalFormatting sqref="L46">
    <cfRule type="cellIs" dxfId="4769" priority="144987" stopIfTrue="1" operator="equal">
      <formula>-1</formula>
    </cfRule>
  </conditionalFormatting>
  <conditionalFormatting sqref="L46">
    <cfRule type="cellIs" dxfId="4768" priority="144988" stopIfTrue="1" operator="lessThan">
      <formula>0.5</formula>
    </cfRule>
  </conditionalFormatting>
  <conditionalFormatting sqref="L46">
    <cfRule type="cellIs" dxfId="4767" priority="144989" stopIfTrue="1" operator="greaterThanOrEqual">
      <formula>0.5</formula>
    </cfRule>
  </conditionalFormatting>
  <conditionalFormatting sqref="L47">
    <cfRule type="cellIs" dxfId="4766" priority="144990" stopIfTrue="1" operator="equal">
      <formula>-1</formula>
    </cfRule>
  </conditionalFormatting>
  <conditionalFormatting sqref="L47">
    <cfRule type="cellIs" dxfId="4765" priority="144991" stopIfTrue="1" operator="lessThan">
      <formula>0.5</formula>
    </cfRule>
  </conditionalFormatting>
  <conditionalFormatting sqref="L47">
    <cfRule type="cellIs" dxfId="4764" priority="144992" stopIfTrue="1" operator="greaterThanOrEqual">
      <formula>0.5</formula>
    </cfRule>
  </conditionalFormatting>
  <conditionalFormatting sqref="L48">
    <cfRule type="cellIs" dxfId="4763" priority="144993" stopIfTrue="1" operator="equal">
      <formula>-1</formula>
    </cfRule>
  </conditionalFormatting>
  <conditionalFormatting sqref="L48">
    <cfRule type="cellIs" dxfId="4762" priority="144994" stopIfTrue="1" operator="lessThan">
      <formula>0.5</formula>
    </cfRule>
  </conditionalFormatting>
  <conditionalFormatting sqref="L48">
    <cfRule type="cellIs" dxfId="4761" priority="144995" stopIfTrue="1" operator="greaterThanOrEqual">
      <formula>0.5</formula>
    </cfRule>
  </conditionalFormatting>
  <conditionalFormatting sqref="L49">
    <cfRule type="cellIs" dxfId="4760" priority="144996" stopIfTrue="1" operator="equal">
      <formula>-1</formula>
    </cfRule>
  </conditionalFormatting>
  <conditionalFormatting sqref="L49">
    <cfRule type="cellIs" dxfId="4759" priority="144997" stopIfTrue="1" operator="lessThan">
      <formula>0.5</formula>
    </cfRule>
  </conditionalFormatting>
  <conditionalFormatting sqref="L49">
    <cfRule type="cellIs" dxfId="4758" priority="144998" stopIfTrue="1" operator="greaterThanOrEqual">
      <formula>0.5</formula>
    </cfRule>
  </conditionalFormatting>
  <conditionalFormatting sqref="L50">
    <cfRule type="cellIs" dxfId="4757" priority="144999" stopIfTrue="1" operator="equal">
      <formula>-1</formula>
    </cfRule>
  </conditionalFormatting>
  <conditionalFormatting sqref="L50">
    <cfRule type="cellIs" dxfId="4756" priority="145000" stopIfTrue="1" operator="lessThan">
      <formula>0.5</formula>
    </cfRule>
  </conditionalFormatting>
  <conditionalFormatting sqref="L50">
    <cfRule type="cellIs" dxfId="4755" priority="145001" stopIfTrue="1" operator="greaterThanOrEqual">
      <formula>0.5</formula>
    </cfRule>
  </conditionalFormatting>
  <conditionalFormatting sqref="L51">
    <cfRule type="cellIs" dxfId="4754" priority="145002" stopIfTrue="1" operator="equal">
      <formula>-1</formula>
    </cfRule>
  </conditionalFormatting>
  <conditionalFormatting sqref="L51">
    <cfRule type="cellIs" dxfId="4753" priority="145003" stopIfTrue="1" operator="lessThan">
      <formula>0.5</formula>
    </cfRule>
  </conditionalFormatting>
  <conditionalFormatting sqref="L51">
    <cfRule type="cellIs" dxfId="4752" priority="145004" stopIfTrue="1" operator="greaterThanOrEqual">
      <formula>0.5</formula>
    </cfRule>
  </conditionalFormatting>
  <conditionalFormatting sqref="L52">
    <cfRule type="cellIs" dxfId="4751" priority="145005" stopIfTrue="1" operator="equal">
      <formula>-1</formula>
    </cfRule>
  </conditionalFormatting>
  <conditionalFormatting sqref="L52">
    <cfRule type="cellIs" dxfId="4750" priority="145006" stopIfTrue="1" operator="lessThan">
      <formula>0.5</formula>
    </cfRule>
  </conditionalFormatting>
  <conditionalFormatting sqref="L52">
    <cfRule type="cellIs" dxfId="4749" priority="145007" stopIfTrue="1" operator="greaterThanOrEqual">
      <formula>0.5</formula>
    </cfRule>
  </conditionalFormatting>
  <conditionalFormatting sqref="L53">
    <cfRule type="cellIs" dxfId="4748" priority="145008" stopIfTrue="1" operator="equal">
      <formula>-1</formula>
    </cfRule>
  </conditionalFormatting>
  <conditionalFormatting sqref="L53">
    <cfRule type="cellIs" dxfId="4747" priority="145009" stopIfTrue="1" operator="lessThan">
      <formula>0.5</formula>
    </cfRule>
  </conditionalFormatting>
  <conditionalFormatting sqref="L53">
    <cfRule type="cellIs" dxfId="4746" priority="145010" stopIfTrue="1" operator="greaterThanOrEqual">
      <formula>0.5</formula>
    </cfRule>
  </conditionalFormatting>
  <conditionalFormatting sqref="L54">
    <cfRule type="cellIs" dxfId="4745" priority="145011" stopIfTrue="1" operator="equal">
      <formula>-1</formula>
    </cfRule>
  </conditionalFormatting>
  <conditionalFormatting sqref="L54">
    <cfRule type="cellIs" dxfId="4744" priority="145012" stopIfTrue="1" operator="lessThan">
      <formula>0.5</formula>
    </cfRule>
  </conditionalFormatting>
  <conditionalFormatting sqref="L54">
    <cfRule type="cellIs" dxfId="4743" priority="145013" stopIfTrue="1" operator="greaterThanOrEqual">
      <formula>0.5</formula>
    </cfRule>
  </conditionalFormatting>
  <conditionalFormatting sqref="L55">
    <cfRule type="cellIs" dxfId="4742" priority="145014" stopIfTrue="1" operator="equal">
      <formula>-1</formula>
    </cfRule>
  </conditionalFormatting>
  <conditionalFormatting sqref="L55">
    <cfRule type="cellIs" dxfId="4741" priority="145015" stopIfTrue="1" operator="lessThan">
      <formula>0.5</formula>
    </cfRule>
  </conditionalFormatting>
  <conditionalFormatting sqref="L55">
    <cfRule type="cellIs" dxfId="4740" priority="145016" stopIfTrue="1" operator="greaterThanOrEqual">
      <formula>0.5</formula>
    </cfRule>
  </conditionalFormatting>
  <conditionalFormatting sqref="L56">
    <cfRule type="cellIs" dxfId="4739" priority="145017" stopIfTrue="1" operator="equal">
      <formula>-1</formula>
    </cfRule>
  </conditionalFormatting>
  <conditionalFormatting sqref="L56">
    <cfRule type="cellIs" dxfId="4738" priority="145018" stopIfTrue="1" operator="lessThan">
      <formula>0.5</formula>
    </cfRule>
  </conditionalFormatting>
  <conditionalFormatting sqref="L56">
    <cfRule type="cellIs" dxfId="4737" priority="145019" stopIfTrue="1" operator="greaterThanOrEqual">
      <formula>0.5</formula>
    </cfRule>
  </conditionalFormatting>
  <conditionalFormatting sqref="L57">
    <cfRule type="cellIs" dxfId="4736" priority="145020" stopIfTrue="1" operator="equal">
      <formula>-1</formula>
    </cfRule>
  </conditionalFormatting>
  <conditionalFormatting sqref="L57">
    <cfRule type="cellIs" dxfId="4735" priority="145021" stopIfTrue="1" operator="lessThan">
      <formula>0.5</formula>
    </cfRule>
  </conditionalFormatting>
  <conditionalFormatting sqref="L57">
    <cfRule type="cellIs" dxfId="4734" priority="145022" stopIfTrue="1" operator="greaterThanOrEqual">
      <formula>0.5</formula>
    </cfRule>
  </conditionalFormatting>
  <conditionalFormatting sqref="L58">
    <cfRule type="cellIs" dxfId="4733" priority="145023" stopIfTrue="1" operator="equal">
      <formula>-1</formula>
    </cfRule>
  </conditionalFormatting>
  <conditionalFormatting sqref="L58">
    <cfRule type="cellIs" dxfId="4732" priority="145024" stopIfTrue="1" operator="lessThan">
      <formula>0.5</formula>
    </cfRule>
  </conditionalFormatting>
  <conditionalFormatting sqref="L58">
    <cfRule type="cellIs" dxfId="4731" priority="145025" stopIfTrue="1" operator="greaterThanOrEqual">
      <formula>0.5</formula>
    </cfRule>
  </conditionalFormatting>
  <conditionalFormatting sqref="N39">
    <cfRule type="cellIs" dxfId="4730" priority="145026" stopIfTrue="1" operator="equal">
      <formula>-1</formula>
    </cfRule>
  </conditionalFormatting>
  <conditionalFormatting sqref="N39">
    <cfRule type="cellIs" dxfId="4729" priority="145027" stopIfTrue="1" operator="lessThan">
      <formula>0.5</formula>
    </cfRule>
  </conditionalFormatting>
  <conditionalFormatting sqref="N39">
    <cfRule type="cellIs" dxfId="4728" priority="145028" stopIfTrue="1" operator="greaterThanOrEqual">
      <formula>0.5</formula>
    </cfRule>
  </conditionalFormatting>
  <conditionalFormatting sqref="N40">
    <cfRule type="cellIs" dxfId="4727" priority="145029" stopIfTrue="1" operator="equal">
      <formula>-1</formula>
    </cfRule>
  </conditionalFormatting>
  <conditionalFormatting sqref="N40">
    <cfRule type="cellIs" dxfId="4726" priority="145030" stopIfTrue="1" operator="lessThan">
      <formula>0.5</formula>
    </cfRule>
  </conditionalFormatting>
  <conditionalFormatting sqref="N40">
    <cfRule type="cellIs" dxfId="4725" priority="145031" stopIfTrue="1" operator="greaterThanOrEqual">
      <formula>0.5</formula>
    </cfRule>
  </conditionalFormatting>
  <conditionalFormatting sqref="N41">
    <cfRule type="cellIs" dxfId="4724" priority="145032" stopIfTrue="1" operator="equal">
      <formula>-1</formula>
    </cfRule>
  </conditionalFormatting>
  <conditionalFormatting sqref="N41">
    <cfRule type="cellIs" dxfId="4723" priority="145033" stopIfTrue="1" operator="lessThan">
      <formula>0.5</formula>
    </cfRule>
  </conditionalFormatting>
  <conditionalFormatting sqref="N41">
    <cfRule type="cellIs" dxfId="4722" priority="145034" stopIfTrue="1" operator="greaterThanOrEqual">
      <formula>0.5</formula>
    </cfRule>
  </conditionalFormatting>
  <conditionalFormatting sqref="N42">
    <cfRule type="cellIs" dxfId="4721" priority="145035" stopIfTrue="1" operator="equal">
      <formula>-1</formula>
    </cfRule>
  </conditionalFormatting>
  <conditionalFormatting sqref="N42">
    <cfRule type="cellIs" dxfId="4720" priority="145036" stopIfTrue="1" operator="lessThan">
      <formula>0.5</formula>
    </cfRule>
  </conditionalFormatting>
  <conditionalFormatting sqref="N42">
    <cfRule type="cellIs" dxfId="4719" priority="145037" stopIfTrue="1" operator="greaterThanOrEqual">
      <formula>0.5</formula>
    </cfRule>
  </conditionalFormatting>
  <conditionalFormatting sqref="N43">
    <cfRule type="cellIs" dxfId="4718" priority="145038" stopIfTrue="1" operator="equal">
      <formula>-1</formula>
    </cfRule>
  </conditionalFormatting>
  <conditionalFormatting sqref="N43">
    <cfRule type="cellIs" dxfId="4717" priority="145039" stopIfTrue="1" operator="lessThan">
      <formula>0.5</formula>
    </cfRule>
  </conditionalFormatting>
  <conditionalFormatting sqref="N43">
    <cfRule type="cellIs" dxfId="4716" priority="145040" stopIfTrue="1" operator="greaterThanOrEqual">
      <formula>0.5</formula>
    </cfRule>
  </conditionalFormatting>
  <conditionalFormatting sqref="N44">
    <cfRule type="cellIs" dxfId="4715" priority="145041" stopIfTrue="1" operator="equal">
      <formula>-1</formula>
    </cfRule>
  </conditionalFormatting>
  <conditionalFormatting sqref="N44">
    <cfRule type="cellIs" dxfId="4714" priority="145042" stopIfTrue="1" operator="lessThan">
      <formula>0.5</formula>
    </cfRule>
  </conditionalFormatting>
  <conditionalFormatting sqref="N44">
    <cfRule type="cellIs" dxfId="4713" priority="145043" stopIfTrue="1" operator="greaterThanOrEqual">
      <formula>0.5</formula>
    </cfRule>
  </conditionalFormatting>
  <conditionalFormatting sqref="N45">
    <cfRule type="cellIs" dxfId="4712" priority="145044" stopIfTrue="1" operator="equal">
      <formula>-1</formula>
    </cfRule>
  </conditionalFormatting>
  <conditionalFormatting sqref="N45">
    <cfRule type="cellIs" dxfId="4711" priority="145045" stopIfTrue="1" operator="lessThan">
      <formula>0.5</formula>
    </cfRule>
  </conditionalFormatting>
  <conditionalFormatting sqref="N45">
    <cfRule type="cellIs" dxfId="4710" priority="145046" stopIfTrue="1" operator="greaterThanOrEqual">
      <formula>0.5</formula>
    </cfRule>
  </conditionalFormatting>
  <conditionalFormatting sqref="N46">
    <cfRule type="cellIs" dxfId="4709" priority="145047" stopIfTrue="1" operator="equal">
      <formula>-1</formula>
    </cfRule>
  </conditionalFormatting>
  <conditionalFormatting sqref="N46">
    <cfRule type="cellIs" dxfId="4708" priority="145048" stopIfTrue="1" operator="lessThan">
      <formula>0.5</formula>
    </cfRule>
  </conditionalFormatting>
  <conditionalFormatting sqref="N46">
    <cfRule type="cellIs" dxfId="4707" priority="145049" stopIfTrue="1" operator="greaterThanOrEqual">
      <formula>0.5</formula>
    </cfRule>
  </conditionalFormatting>
  <conditionalFormatting sqref="N47">
    <cfRule type="cellIs" dxfId="4706" priority="145050" stopIfTrue="1" operator="equal">
      <formula>-1</formula>
    </cfRule>
  </conditionalFormatting>
  <conditionalFormatting sqref="N47">
    <cfRule type="cellIs" dxfId="4705" priority="145051" stopIfTrue="1" operator="lessThan">
      <formula>0.5</formula>
    </cfRule>
  </conditionalFormatting>
  <conditionalFormatting sqref="N47">
    <cfRule type="cellIs" dxfId="4704" priority="145052" stopIfTrue="1" operator="greaterThanOrEqual">
      <formula>0.5</formula>
    </cfRule>
  </conditionalFormatting>
  <conditionalFormatting sqref="N48">
    <cfRule type="cellIs" dxfId="4703" priority="145053" stopIfTrue="1" operator="equal">
      <formula>-1</formula>
    </cfRule>
  </conditionalFormatting>
  <conditionalFormatting sqref="N48">
    <cfRule type="cellIs" dxfId="4702" priority="145054" stopIfTrue="1" operator="lessThan">
      <formula>0.5</formula>
    </cfRule>
  </conditionalFormatting>
  <conditionalFormatting sqref="N48">
    <cfRule type="cellIs" dxfId="4701" priority="145055" stopIfTrue="1" operator="greaterThanOrEqual">
      <formula>0.5</formula>
    </cfRule>
  </conditionalFormatting>
  <conditionalFormatting sqref="N49">
    <cfRule type="cellIs" dxfId="4700" priority="145056" stopIfTrue="1" operator="equal">
      <formula>-1</formula>
    </cfRule>
  </conditionalFormatting>
  <conditionalFormatting sqref="N49">
    <cfRule type="cellIs" dxfId="4699" priority="145057" stopIfTrue="1" operator="lessThan">
      <formula>0.5</formula>
    </cfRule>
  </conditionalFormatting>
  <conditionalFormatting sqref="N49">
    <cfRule type="cellIs" dxfId="4698" priority="145058" stopIfTrue="1" operator="greaterThanOrEqual">
      <formula>0.5</formula>
    </cfRule>
  </conditionalFormatting>
  <conditionalFormatting sqref="N50">
    <cfRule type="cellIs" dxfId="4697" priority="145059" stopIfTrue="1" operator="equal">
      <formula>-1</formula>
    </cfRule>
  </conditionalFormatting>
  <conditionalFormatting sqref="N50">
    <cfRule type="cellIs" dxfId="4696" priority="145060" stopIfTrue="1" operator="lessThan">
      <formula>0.5</formula>
    </cfRule>
  </conditionalFormatting>
  <conditionalFormatting sqref="N50">
    <cfRule type="cellIs" dxfId="4695" priority="145061" stopIfTrue="1" operator="greaterThanOrEqual">
      <formula>0.5</formula>
    </cfRule>
  </conditionalFormatting>
  <conditionalFormatting sqref="N51">
    <cfRule type="cellIs" dxfId="4694" priority="145062" stopIfTrue="1" operator="equal">
      <formula>-1</formula>
    </cfRule>
  </conditionalFormatting>
  <conditionalFormatting sqref="N51">
    <cfRule type="cellIs" dxfId="4693" priority="145063" stopIfTrue="1" operator="lessThan">
      <formula>0.5</formula>
    </cfRule>
  </conditionalFormatting>
  <conditionalFormatting sqref="N51">
    <cfRule type="cellIs" dxfId="4692" priority="145064" stopIfTrue="1" operator="greaterThanOrEqual">
      <formula>0.5</formula>
    </cfRule>
  </conditionalFormatting>
  <conditionalFormatting sqref="N52">
    <cfRule type="cellIs" dxfId="4691" priority="145065" stopIfTrue="1" operator="equal">
      <formula>-1</formula>
    </cfRule>
  </conditionalFormatting>
  <conditionalFormatting sqref="N52">
    <cfRule type="cellIs" dxfId="4690" priority="145066" stopIfTrue="1" operator="lessThan">
      <formula>0.5</formula>
    </cfRule>
  </conditionalFormatting>
  <conditionalFormatting sqref="N52">
    <cfRule type="cellIs" dxfId="4689" priority="145067" stopIfTrue="1" operator="greaterThanOrEqual">
      <formula>0.5</formula>
    </cfRule>
  </conditionalFormatting>
  <conditionalFormatting sqref="N53">
    <cfRule type="cellIs" dxfId="4688" priority="145068" stopIfTrue="1" operator="equal">
      <formula>-1</formula>
    </cfRule>
  </conditionalFormatting>
  <conditionalFormatting sqref="N53">
    <cfRule type="cellIs" dxfId="4687" priority="145069" stopIfTrue="1" operator="lessThan">
      <formula>0.5</formula>
    </cfRule>
  </conditionalFormatting>
  <conditionalFormatting sqref="N53">
    <cfRule type="cellIs" dxfId="4686" priority="145070" stopIfTrue="1" operator="greaterThanOrEqual">
      <formula>0.5</formula>
    </cfRule>
  </conditionalFormatting>
  <conditionalFormatting sqref="N54">
    <cfRule type="cellIs" dxfId="4685" priority="145071" stopIfTrue="1" operator="equal">
      <formula>-1</formula>
    </cfRule>
  </conditionalFormatting>
  <conditionalFormatting sqref="N54">
    <cfRule type="cellIs" dxfId="4684" priority="145072" stopIfTrue="1" operator="lessThan">
      <formula>0.5</formula>
    </cfRule>
  </conditionalFormatting>
  <conditionalFormatting sqref="N54">
    <cfRule type="cellIs" dxfId="4683" priority="145073" stopIfTrue="1" operator="greaterThanOrEqual">
      <formula>0.5</formula>
    </cfRule>
  </conditionalFormatting>
  <conditionalFormatting sqref="N55">
    <cfRule type="cellIs" dxfId="4682" priority="145074" stopIfTrue="1" operator="equal">
      <formula>-1</formula>
    </cfRule>
  </conditionalFormatting>
  <conditionalFormatting sqref="N55">
    <cfRule type="cellIs" dxfId="4681" priority="145075" stopIfTrue="1" operator="lessThan">
      <formula>0.5</formula>
    </cfRule>
  </conditionalFormatting>
  <conditionalFormatting sqref="N55">
    <cfRule type="cellIs" dxfId="4680" priority="145076" stopIfTrue="1" operator="greaterThanOrEqual">
      <formula>0.5</formula>
    </cfRule>
  </conditionalFormatting>
  <conditionalFormatting sqref="N56">
    <cfRule type="cellIs" dxfId="4679" priority="145077" stopIfTrue="1" operator="equal">
      <formula>-1</formula>
    </cfRule>
  </conditionalFormatting>
  <conditionalFormatting sqref="N56">
    <cfRule type="cellIs" dxfId="4678" priority="145078" stopIfTrue="1" operator="lessThan">
      <formula>0.5</formula>
    </cfRule>
  </conditionalFormatting>
  <conditionalFormatting sqref="N56">
    <cfRule type="cellIs" dxfId="4677" priority="145079" stopIfTrue="1" operator="greaterThanOrEqual">
      <formula>0.5</formula>
    </cfRule>
  </conditionalFormatting>
  <conditionalFormatting sqref="N57">
    <cfRule type="cellIs" dxfId="4676" priority="145080" stopIfTrue="1" operator="equal">
      <formula>-1</formula>
    </cfRule>
  </conditionalFormatting>
  <conditionalFormatting sqref="N57">
    <cfRule type="cellIs" dxfId="4675" priority="145081" stopIfTrue="1" operator="lessThan">
      <formula>0.5</formula>
    </cfRule>
  </conditionalFormatting>
  <conditionalFormatting sqref="N57">
    <cfRule type="cellIs" dxfId="4674" priority="145082" stopIfTrue="1" operator="greaterThanOrEqual">
      <formula>0.5</formula>
    </cfRule>
  </conditionalFormatting>
  <conditionalFormatting sqref="N58">
    <cfRule type="cellIs" dxfId="4673" priority="145083" stopIfTrue="1" operator="equal">
      <formula>-1</formula>
    </cfRule>
  </conditionalFormatting>
  <conditionalFormatting sqref="N58">
    <cfRule type="cellIs" dxfId="4672" priority="145084" stopIfTrue="1" operator="lessThan">
      <formula>0.5</formula>
    </cfRule>
  </conditionalFormatting>
  <conditionalFormatting sqref="N58">
    <cfRule type="cellIs" dxfId="4671" priority="145085" stopIfTrue="1" operator="greaterThanOrEqual">
      <formula>0.5</formula>
    </cfRule>
  </conditionalFormatting>
  <conditionalFormatting sqref="P39">
    <cfRule type="cellIs" dxfId="4670" priority="145086" stopIfTrue="1" operator="equal">
      <formula>-1</formula>
    </cfRule>
  </conditionalFormatting>
  <conditionalFormatting sqref="P39">
    <cfRule type="cellIs" dxfId="4669" priority="145087" stopIfTrue="1" operator="lessThan">
      <formula>0.5</formula>
    </cfRule>
  </conditionalFormatting>
  <conditionalFormatting sqref="P39">
    <cfRule type="cellIs" dxfId="4668" priority="145088" stopIfTrue="1" operator="greaterThanOrEqual">
      <formula>0.5</formula>
    </cfRule>
  </conditionalFormatting>
  <conditionalFormatting sqref="P40">
    <cfRule type="cellIs" dxfId="4667" priority="145089" stopIfTrue="1" operator="equal">
      <formula>-1</formula>
    </cfRule>
  </conditionalFormatting>
  <conditionalFormatting sqref="P40">
    <cfRule type="cellIs" dxfId="4666" priority="145090" stopIfTrue="1" operator="lessThan">
      <formula>0.5</formula>
    </cfRule>
  </conditionalFormatting>
  <conditionalFormatting sqref="P40">
    <cfRule type="cellIs" dxfId="4665" priority="145091" stopIfTrue="1" operator="greaterThanOrEqual">
      <formula>0.5</formula>
    </cfRule>
  </conditionalFormatting>
  <conditionalFormatting sqref="P41">
    <cfRule type="cellIs" dxfId="4664" priority="145092" stopIfTrue="1" operator="equal">
      <formula>-1</formula>
    </cfRule>
  </conditionalFormatting>
  <conditionalFormatting sqref="P41">
    <cfRule type="cellIs" dxfId="4663" priority="145093" stopIfTrue="1" operator="lessThan">
      <formula>0.5</formula>
    </cfRule>
  </conditionalFormatting>
  <conditionalFormatting sqref="P41">
    <cfRule type="cellIs" dxfId="4662" priority="145094" stopIfTrue="1" operator="greaterThanOrEqual">
      <formula>0.5</formula>
    </cfRule>
  </conditionalFormatting>
  <conditionalFormatting sqref="P42">
    <cfRule type="cellIs" dxfId="4661" priority="145095" stopIfTrue="1" operator="equal">
      <formula>-1</formula>
    </cfRule>
  </conditionalFormatting>
  <conditionalFormatting sqref="P42">
    <cfRule type="cellIs" dxfId="4660" priority="145096" stopIfTrue="1" operator="lessThan">
      <formula>0.5</formula>
    </cfRule>
  </conditionalFormatting>
  <conditionalFormatting sqref="P42">
    <cfRule type="cellIs" dxfId="4659" priority="145097" stopIfTrue="1" operator="greaterThanOrEqual">
      <formula>0.5</formula>
    </cfRule>
  </conditionalFormatting>
  <conditionalFormatting sqref="P43">
    <cfRule type="cellIs" dxfId="4658" priority="145098" stopIfTrue="1" operator="equal">
      <formula>-1</formula>
    </cfRule>
  </conditionalFormatting>
  <conditionalFormatting sqref="P43">
    <cfRule type="cellIs" dxfId="4657" priority="145099" stopIfTrue="1" operator="lessThan">
      <formula>0.5</formula>
    </cfRule>
  </conditionalFormatting>
  <conditionalFormatting sqref="P43">
    <cfRule type="cellIs" dxfId="4656" priority="145100" stopIfTrue="1" operator="greaterThanOrEqual">
      <formula>0.5</formula>
    </cfRule>
  </conditionalFormatting>
  <conditionalFormatting sqref="P44">
    <cfRule type="cellIs" dxfId="4655" priority="145101" stopIfTrue="1" operator="equal">
      <formula>-1</formula>
    </cfRule>
  </conditionalFormatting>
  <conditionalFormatting sqref="P44">
    <cfRule type="cellIs" dxfId="4654" priority="145102" stopIfTrue="1" operator="lessThan">
      <formula>0.5</formula>
    </cfRule>
  </conditionalFormatting>
  <conditionalFormatting sqref="P44">
    <cfRule type="cellIs" dxfId="4653" priority="145103" stopIfTrue="1" operator="greaterThanOrEqual">
      <formula>0.5</formula>
    </cfRule>
  </conditionalFormatting>
  <conditionalFormatting sqref="P45">
    <cfRule type="cellIs" dxfId="4652" priority="145104" stopIfTrue="1" operator="equal">
      <formula>-1</formula>
    </cfRule>
  </conditionalFormatting>
  <conditionalFormatting sqref="P45">
    <cfRule type="cellIs" dxfId="4651" priority="145105" stopIfTrue="1" operator="lessThan">
      <formula>0.5</formula>
    </cfRule>
  </conditionalFormatting>
  <conditionalFormatting sqref="P45">
    <cfRule type="cellIs" dxfId="4650" priority="145106" stopIfTrue="1" operator="greaterThanOrEqual">
      <formula>0.5</formula>
    </cfRule>
  </conditionalFormatting>
  <conditionalFormatting sqref="P46">
    <cfRule type="cellIs" dxfId="4649" priority="145107" stopIfTrue="1" operator="equal">
      <formula>-1</formula>
    </cfRule>
  </conditionalFormatting>
  <conditionalFormatting sqref="P46">
    <cfRule type="cellIs" dxfId="4648" priority="145108" stopIfTrue="1" operator="lessThan">
      <formula>0.5</formula>
    </cfRule>
  </conditionalFormatting>
  <conditionalFormatting sqref="P46">
    <cfRule type="cellIs" dxfId="4647" priority="145109" stopIfTrue="1" operator="greaterThanOrEqual">
      <formula>0.5</formula>
    </cfRule>
  </conditionalFormatting>
  <conditionalFormatting sqref="P47">
    <cfRule type="cellIs" dxfId="4646" priority="145110" stopIfTrue="1" operator="equal">
      <formula>-1</formula>
    </cfRule>
  </conditionalFormatting>
  <conditionalFormatting sqref="P47">
    <cfRule type="cellIs" dxfId="4645" priority="145111" stopIfTrue="1" operator="lessThan">
      <formula>0.5</formula>
    </cfRule>
  </conditionalFormatting>
  <conditionalFormatting sqref="P47">
    <cfRule type="cellIs" dxfId="4644" priority="145112" stopIfTrue="1" operator="greaterThanOrEqual">
      <formula>0.5</formula>
    </cfRule>
  </conditionalFormatting>
  <conditionalFormatting sqref="P48">
    <cfRule type="cellIs" dxfId="4643" priority="145113" stopIfTrue="1" operator="equal">
      <formula>-1</formula>
    </cfRule>
  </conditionalFormatting>
  <conditionalFormatting sqref="P48">
    <cfRule type="cellIs" dxfId="4642" priority="145114" stopIfTrue="1" operator="lessThan">
      <formula>0.5</formula>
    </cfRule>
  </conditionalFormatting>
  <conditionalFormatting sqref="P48">
    <cfRule type="cellIs" dxfId="4641" priority="145115" stopIfTrue="1" operator="greaterThanOrEqual">
      <formula>0.5</formula>
    </cfRule>
  </conditionalFormatting>
  <conditionalFormatting sqref="P49">
    <cfRule type="cellIs" dxfId="4640" priority="145116" stopIfTrue="1" operator="equal">
      <formula>-1</formula>
    </cfRule>
  </conditionalFormatting>
  <conditionalFormatting sqref="P49">
    <cfRule type="cellIs" dxfId="4639" priority="145117" stopIfTrue="1" operator="lessThan">
      <formula>0.5</formula>
    </cfRule>
  </conditionalFormatting>
  <conditionalFormatting sqref="P49">
    <cfRule type="cellIs" dxfId="4638" priority="145118" stopIfTrue="1" operator="greaterThanOrEqual">
      <formula>0.5</formula>
    </cfRule>
  </conditionalFormatting>
  <conditionalFormatting sqref="P50">
    <cfRule type="cellIs" dxfId="4637" priority="145119" stopIfTrue="1" operator="equal">
      <formula>-1</formula>
    </cfRule>
  </conditionalFormatting>
  <conditionalFormatting sqref="P50">
    <cfRule type="cellIs" dxfId="4636" priority="145120" stopIfTrue="1" operator="lessThan">
      <formula>0.5</formula>
    </cfRule>
  </conditionalFormatting>
  <conditionalFormatting sqref="P50">
    <cfRule type="cellIs" dxfId="4635" priority="145121" stopIfTrue="1" operator="greaterThanOrEqual">
      <formula>0.5</formula>
    </cfRule>
  </conditionalFormatting>
  <conditionalFormatting sqref="P51">
    <cfRule type="cellIs" dxfId="4634" priority="145122" stopIfTrue="1" operator="equal">
      <formula>-1</formula>
    </cfRule>
  </conditionalFormatting>
  <conditionalFormatting sqref="P51">
    <cfRule type="cellIs" dxfId="4633" priority="145123" stopIfTrue="1" operator="lessThan">
      <formula>0.5</formula>
    </cfRule>
  </conditionalFormatting>
  <conditionalFormatting sqref="P51">
    <cfRule type="cellIs" dxfId="4632" priority="145124" stopIfTrue="1" operator="greaterThanOrEqual">
      <formula>0.5</formula>
    </cfRule>
  </conditionalFormatting>
  <conditionalFormatting sqref="P52">
    <cfRule type="cellIs" dxfId="4631" priority="145125" stopIfTrue="1" operator="equal">
      <formula>-1</formula>
    </cfRule>
  </conditionalFormatting>
  <conditionalFormatting sqref="P52">
    <cfRule type="cellIs" dxfId="4630" priority="145126" stopIfTrue="1" operator="lessThan">
      <formula>0.5</formula>
    </cfRule>
  </conditionalFormatting>
  <conditionalFormatting sqref="P52">
    <cfRule type="cellIs" dxfId="4629" priority="145127" stopIfTrue="1" operator="greaterThanOrEqual">
      <formula>0.5</formula>
    </cfRule>
  </conditionalFormatting>
  <conditionalFormatting sqref="P53">
    <cfRule type="cellIs" dxfId="4628" priority="145128" stopIfTrue="1" operator="equal">
      <formula>-1</formula>
    </cfRule>
  </conditionalFormatting>
  <conditionalFormatting sqref="P53">
    <cfRule type="cellIs" dxfId="4627" priority="145129" stopIfTrue="1" operator="lessThan">
      <formula>0.5</formula>
    </cfRule>
  </conditionalFormatting>
  <conditionalFormatting sqref="P53">
    <cfRule type="cellIs" dxfId="4626" priority="145130" stopIfTrue="1" operator="greaterThanOrEqual">
      <formula>0.5</formula>
    </cfRule>
  </conditionalFormatting>
  <conditionalFormatting sqref="P54">
    <cfRule type="cellIs" dxfId="4625" priority="145131" stopIfTrue="1" operator="equal">
      <formula>-1</formula>
    </cfRule>
  </conditionalFormatting>
  <conditionalFormatting sqref="P54">
    <cfRule type="cellIs" dxfId="4624" priority="145132" stopIfTrue="1" operator="lessThan">
      <formula>0.5</formula>
    </cfRule>
  </conditionalFormatting>
  <conditionalFormatting sqref="P54">
    <cfRule type="cellIs" dxfId="4623" priority="145133" stopIfTrue="1" operator="greaterThanOrEqual">
      <formula>0.5</formula>
    </cfRule>
  </conditionalFormatting>
  <conditionalFormatting sqref="P55">
    <cfRule type="cellIs" dxfId="4622" priority="145134" stopIfTrue="1" operator="equal">
      <formula>-1</formula>
    </cfRule>
  </conditionalFormatting>
  <conditionalFormatting sqref="P55">
    <cfRule type="cellIs" dxfId="4621" priority="145135" stopIfTrue="1" operator="lessThan">
      <formula>0.5</formula>
    </cfRule>
  </conditionalFormatting>
  <conditionalFormatting sqref="P55">
    <cfRule type="cellIs" dxfId="4620" priority="145136" stopIfTrue="1" operator="greaterThanOrEqual">
      <formula>0.5</formula>
    </cfRule>
  </conditionalFormatting>
  <conditionalFormatting sqref="P56">
    <cfRule type="cellIs" dxfId="4619" priority="145137" stopIfTrue="1" operator="equal">
      <formula>-1</formula>
    </cfRule>
  </conditionalFormatting>
  <conditionalFormatting sqref="P56">
    <cfRule type="cellIs" dxfId="4618" priority="145138" stopIfTrue="1" operator="lessThan">
      <formula>0.5</formula>
    </cfRule>
  </conditionalFormatting>
  <conditionalFormatting sqref="P56">
    <cfRule type="cellIs" dxfId="4617" priority="145139" stopIfTrue="1" operator="greaterThanOrEqual">
      <formula>0.5</formula>
    </cfRule>
  </conditionalFormatting>
  <conditionalFormatting sqref="P57">
    <cfRule type="cellIs" dxfId="4616" priority="145140" stopIfTrue="1" operator="equal">
      <formula>-1</formula>
    </cfRule>
  </conditionalFormatting>
  <conditionalFormatting sqref="P57">
    <cfRule type="cellIs" dxfId="4615" priority="145141" stopIfTrue="1" operator="lessThan">
      <formula>0.5</formula>
    </cfRule>
  </conditionalFormatting>
  <conditionalFormatting sqref="P57">
    <cfRule type="cellIs" dxfId="4614" priority="145142" stopIfTrue="1" operator="greaterThanOrEqual">
      <formula>0.5</formula>
    </cfRule>
  </conditionalFormatting>
  <conditionalFormatting sqref="P58">
    <cfRule type="cellIs" dxfId="4613" priority="145143" stopIfTrue="1" operator="equal">
      <formula>-1</formula>
    </cfRule>
  </conditionalFormatting>
  <conditionalFormatting sqref="P58">
    <cfRule type="cellIs" dxfId="4612" priority="145144" stopIfTrue="1" operator="lessThan">
      <formula>0.5</formula>
    </cfRule>
  </conditionalFormatting>
  <conditionalFormatting sqref="P58">
    <cfRule type="cellIs" dxfId="4611" priority="145145" stopIfTrue="1" operator="greaterThanOrEqual">
      <formula>0.5</formula>
    </cfRule>
  </conditionalFormatting>
  <conditionalFormatting sqref="R39">
    <cfRule type="cellIs" dxfId="4610" priority="145146" stopIfTrue="1" operator="equal">
      <formula>-1</formula>
    </cfRule>
  </conditionalFormatting>
  <conditionalFormatting sqref="R39">
    <cfRule type="cellIs" dxfId="4609" priority="145147" stopIfTrue="1" operator="lessThan">
      <formula>0.5</formula>
    </cfRule>
  </conditionalFormatting>
  <conditionalFormatting sqref="R39">
    <cfRule type="cellIs" dxfId="4608" priority="145148" stopIfTrue="1" operator="greaterThanOrEqual">
      <formula>0.5</formula>
    </cfRule>
  </conditionalFormatting>
  <conditionalFormatting sqref="R40">
    <cfRule type="cellIs" dxfId="4607" priority="145149" stopIfTrue="1" operator="equal">
      <formula>-1</formula>
    </cfRule>
  </conditionalFormatting>
  <conditionalFormatting sqref="R40">
    <cfRule type="cellIs" dxfId="4606" priority="145150" stopIfTrue="1" operator="lessThan">
      <formula>0.5</formula>
    </cfRule>
  </conditionalFormatting>
  <conditionalFormatting sqref="R40">
    <cfRule type="cellIs" dxfId="4605" priority="145151" stopIfTrue="1" operator="greaterThanOrEqual">
      <formula>0.5</formula>
    </cfRule>
  </conditionalFormatting>
  <conditionalFormatting sqref="R41">
    <cfRule type="cellIs" dxfId="4604" priority="145152" stopIfTrue="1" operator="equal">
      <formula>-1</formula>
    </cfRule>
  </conditionalFormatting>
  <conditionalFormatting sqref="R41">
    <cfRule type="cellIs" dxfId="4603" priority="145153" stopIfTrue="1" operator="lessThan">
      <formula>0.5</formula>
    </cfRule>
  </conditionalFormatting>
  <conditionalFormatting sqref="R41">
    <cfRule type="cellIs" dxfId="4602" priority="145154" stopIfTrue="1" operator="greaterThanOrEqual">
      <formula>0.5</formula>
    </cfRule>
  </conditionalFormatting>
  <conditionalFormatting sqref="R42">
    <cfRule type="cellIs" dxfId="4601" priority="145155" stopIfTrue="1" operator="equal">
      <formula>-1</formula>
    </cfRule>
  </conditionalFormatting>
  <conditionalFormatting sqref="R42">
    <cfRule type="cellIs" dxfId="4600" priority="145156" stopIfTrue="1" operator="lessThan">
      <formula>0.5</formula>
    </cfRule>
  </conditionalFormatting>
  <conditionalFormatting sqref="R42">
    <cfRule type="cellIs" dxfId="4599" priority="145157" stopIfTrue="1" operator="greaterThanOrEqual">
      <formula>0.5</formula>
    </cfRule>
  </conditionalFormatting>
  <conditionalFormatting sqref="R43">
    <cfRule type="cellIs" dxfId="4598" priority="145158" stopIfTrue="1" operator="equal">
      <formula>-1</formula>
    </cfRule>
  </conditionalFormatting>
  <conditionalFormatting sqref="R43">
    <cfRule type="cellIs" dxfId="4597" priority="145159" stopIfTrue="1" operator="lessThan">
      <formula>0.5</formula>
    </cfRule>
  </conditionalFormatting>
  <conditionalFormatting sqref="R43">
    <cfRule type="cellIs" dxfId="4596" priority="145160" stopIfTrue="1" operator="greaterThanOrEqual">
      <formula>0.5</formula>
    </cfRule>
  </conditionalFormatting>
  <conditionalFormatting sqref="R44">
    <cfRule type="cellIs" dxfId="4595" priority="145161" stopIfTrue="1" operator="equal">
      <formula>-1</formula>
    </cfRule>
  </conditionalFormatting>
  <conditionalFormatting sqref="R44">
    <cfRule type="cellIs" dxfId="4594" priority="145162" stopIfTrue="1" operator="lessThan">
      <formula>0.5</formula>
    </cfRule>
  </conditionalFormatting>
  <conditionalFormatting sqref="R44">
    <cfRule type="cellIs" dxfId="4593" priority="145163" stopIfTrue="1" operator="greaterThanOrEqual">
      <formula>0.5</formula>
    </cfRule>
  </conditionalFormatting>
  <conditionalFormatting sqref="R45">
    <cfRule type="cellIs" dxfId="4592" priority="145164" stopIfTrue="1" operator="equal">
      <formula>-1</formula>
    </cfRule>
  </conditionalFormatting>
  <conditionalFormatting sqref="R45">
    <cfRule type="cellIs" dxfId="4591" priority="145165" stopIfTrue="1" operator="lessThan">
      <formula>0.5</formula>
    </cfRule>
  </conditionalFormatting>
  <conditionalFormatting sqref="R45">
    <cfRule type="cellIs" dxfId="4590" priority="145166" stopIfTrue="1" operator="greaterThanOrEqual">
      <formula>0.5</formula>
    </cfRule>
  </conditionalFormatting>
  <conditionalFormatting sqref="R46">
    <cfRule type="cellIs" dxfId="4589" priority="145167" stopIfTrue="1" operator="equal">
      <formula>-1</formula>
    </cfRule>
  </conditionalFormatting>
  <conditionalFormatting sqref="R46">
    <cfRule type="cellIs" dxfId="4588" priority="145168" stopIfTrue="1" operator="lessThan">
      <formula>0.5</formula>
    </cfRule>
  </conditionalFormatting>
  <conditionalFormatting sqref="R46">
    <cfRule type="cellIs" dxfId="4587" priority="145169" stopIfTrue="1" operator="greaterThanOrEqual">
      <formula>0.5</formula>
    </cfRule>
  </conditionalFormatting>
  <conditionalFormatting sqref="R47">
    <cfRule type="cellIs" dxfId="4586" priority="145170" stopIfTrue="1" operator="equal">
      <formula>-1</formula>
    </cfRule>
  </conditionalFormatting>
  <conditionalFormatting sqref="R47">
    <cfRule type="cellIs" dxfId="4585" priority="145171" stopIfTrue="1" operator="lessThan">
      <formula>0.5</formula>
    </cfRule>
  </conditionalFormatting>
  <conditionalFormatting sqref="R47">
    <cfRule type="cellIs" dxfId="4584" priority="145172" stopIfTrue="1" operator="greaterThanOrEqual">
      <formula>0.5</formula>
    </cfRule>
  </conditionalFormatting>
  <conditionalFormatting sqref="R48">
    <cfRule type="cellIs" dxfId="4583" priority="145173" stopIfTrue="1" operator="equal">
      <formula>-1</formula>
    </cfRule>
  </conditionalFormatting>
  <conditionalFormatting sqref="R48">
    <cfRule type="cellIs" dxfId="4582" priority="145174" stopIfTrue="1" operator="lessThan">
      <formula>0.5</formula>
    </cfRule>
  </conditionalFormatting>
  <conditionalFormatting sqref="R48">
    <cfRule type="cellIs" dxfId="4581" priority="145175" stopIfTrue="1" operator="greaterThanOrEqual">
      <formula>0.5</formula>
    </cfRule>
  </conditionalFormatting>
  <conditionalFormatting sqref="R49">
    <cfRule type="cellIs" dxfId="4580" priority="145176" stopIfTrue="1" operator="equal">
      <formula>-1</formula>
    </cfRule>
  </conditionalFormatting>
  <conditionalFormatting sqref="R49">
    <cfRule type="cellIs" dxfId="4579" priority="145177" stopIfTrue="1" operator="lessThan">
      <formula>0.5</formula>
    </cfRule>
  </conditionalFormatting>
  <conditionalFormatting sqref="R49">
    <cfRule type="cellIs" dxfId="4578" priority="145178" stopIfTrue="1" operator="greaterThanOrEqual">
      <formula>0.5</formula>
    </cfRule>
  </conditionalFormatting>
  <conditionalFormatting sqref="R50">
    <cfRule type="cellIs" dxfId="4577" priority="145179" stopIfTrue="1" operator="equal">
      <formula>-1</formula>
    </cfRule>
  </conditionalFormatting>
  <conditionalFormatting sqref="R50">
    <cfRule type="cellIs" dxfId="4576" priority="145180" stopIfTrue="1" operator="lessThan">
      <formula>0.5</formula>
    </cfRule>
  </conditionalFormatting>
  <conditionalFormatting sqref="R50">
    <cfRule type="cellIs" dxfId="4575" priority="145181" stopIfTrue="1" operator="greaterThanOrEqual">
      <formula>0.5</formula>
    </cfRule>
  </conditionalFormatting>
  <conditionalFormatting sqref="R51">
    <cfRule type="cellIs" dxfId="4574" priority="145182" stopIfTrue="1" operator="equal">
      <formula>-1</formula>
    </cfRule>
  </conditionalFormatting>
  <conditionalFormatting sqref="R51">
    <cfRule type="cellIs" dxfId="4573" priority="145183" stopIfTrue="1" operator="lessThan">
      <formula>0.5</formula>
    </cfRule>
  </conditionalFormatting>
  <conditionalFormatting sqref="R51">
    <cfRule type="cellIs" dxfId="4572" priority="145184" stopIfTrue="1" operator="greaterThanOrEqual">
      <formula>0.5</formula>
    </cfRule>
  </conditionalFormatting>
  <conditionalFormatting sqref="R52">
    <cfRule type="cellIs" dxfId="4571" priority="145185" stopIfTrue="1" operator="equal">
      <formula>-1</formula>
    </cfRule>
  </conditionalFormatting>
  <conditionalFormatting sqref="R52">
    <cfRule type="cellIs" dxfId="4570" priority="145186" stopIfTrue="1" operator="lessThan">
      <formula>0.5</formula>
    </cfRule>
  </conditionalFormatting>
  <conditionalFormatting sqref="R52">
    <cfRule type="cellIs" dxfId="4569" priority="145187" stopIfTrue="1" operator="greaterThanOrEqual">
      <formula>0.5</formula>
    </cfRule>
  </conditionalFormatting>
  <conditionalFormatting sqref="R53">
    <cfRule type="cellIs" dxfId="4568" priority="145188" stopIfTrue="1" operator="equal">
      <formula>-1</formula>
    </cfRule>
  </conditionalFormatting>
  <conditionalFormatting sqref="R53">
    <cfRule type="cellIs" dxfId="4567" priority="145189" stopIfTrue="1" operator="lessThan">
      <formula>0.5</formula>
    </cfRule>
  </conditionalFormatting>
  <conditionalFormatting sqref="R53">
    <cfRule type="cellIs" dxfId="4566" priority="145190" stopIfTrue="1" operator="greaterThanOrEqual">
      <formula>0.5</formula>
    </cfRule>
  </conditionalFormatting>
  <conditionalFormatting sqref="R54">
    <cfRule type="cellIs" dxfId="4565" priority="145191" stopIfTrue="1" operator="equal">
      <formula>-1</formula>
    </cfRule>
  </conditionalFormatting>
  <conditionalFormatting sqref="R54">
    <cfRule type="cellIs" dxfId="4564" priority="145192" stopIfTrue="1" operator="lessThan">
      <formula>0.5</formula>
    </cfRule>
  </conditionalFormatting>
  <conditionalFormatting sqref="R54">
    <cfRule type="cellIs" dxfId="4563" priority="145193" stopIfTrue="1" operator="greaterThanOrEqual">
      <formula>0.5</formula>
    </cfRule>
  </conditionalFormatting>
  <conditionalFormatting sqref="R55">
    <cfRule type="cellIs" dxfId="4562" priority="145194" stopIfTrue="1" operator="equal">
      <formula>-1</formula>
    </cfRule>
  </conditionalFormatting>
  <conditionalFormatting sqref="R55">
    <cfRule type="cellIs" dxfId="4561" priority="145195" stopIfTrue="1" operator="lessThan">
      <formula>0.5</formula>
    </cfRule>
  </conditionalFormatting>
  <conditionalFormatting sqref="R55">
    <cfRule type="cellIs" dxfId="4560" priority="145196" stopIfTrue="1" operator="greaterThanOrEqual">
      <formula>0.5</formula>
    </cfRule>
  </conditionalFormatting>
  <conditionalFormatting sqref="R56">
    <cfRule type="cellIs" dxfId="4559" priority="145197" stopIfTrue="1" operator="equal">
      <formula>-1</formula>
    </cfRule>
  </conditionalFormatting>
  <conditionalFormatting sqref="R56">
    <cfRule type="cellIs" dxfId="4558" priority="145198" stopIfTrue="1" operator="lessThan">
      <formula>0.5</formula>
    </cfRule>
  </conditionalFormatting>
  <conditionalFormatting sqref="R56">
    <cfRule type="cellIs" dxfId="4557" priority="145199" stopIfTrue="1" operator="greaterThanOrEqual">
      <formula>0.5</formula>
    </cfRule>
  </conditionalFormatting>
  <conditionalFormatting sqref="R57">
    <cfRule type="cellIs" dxfId="4556" priority="145200" stopIfTrue="1" operator="equal">
      <formula>-1</formula>
    </cfRule>
  </conditionalFormatting>
  <conditionalFormatting sqref="R57">
    <cfRule type="cellIs" dxfId="4555" priority="145201" stopIfTrue="1" operator="lessThan">
      <formula>0.5</formula>
    </cfRule>
  </conditionalFormatting>
  <conditionalFormatting sqref="R57">
    <cfRule type="cellIs" dxfId="4554" priority="145202" stopIfTrue="1" operator="greaterThanOrEqual">
      <formula>0.5</formula>
    </cfRule>
  </conditionalFormatting>
  <conditionalFormatting sqref="R58">
    <cfRule type="cellIs" dxfId="4553" priority="145203" stopIfTrue="1" operator="equal">
      <formula>-1</formula>
    </cfRule>
  </conditionalFormatting>
  <conditionalFormatting sqref="R58">
    <cfRule type="cellIs" dxfId="4552" priority="145204" stopIfTrue="1" operator="lessThan">
      <formula>0.5</formula>
    </cfRule>
  </conditionalFormatting>
  <conditionalFormatting sqref="R58">
    <cfRule type="cellIs" dxfId="4551" priority="145205" stopIfTrue="1" operator="greaterThanOrEqual">
      <formula>0.5</formula>
    </cfRule>
  </conditionalFormatting>
  <conditionalFormatting sqref="T39">
    <cfRule type="cellIs" dxfId="4550" priority="145206" stopIfTrue="1" operator="equal">
      <formula>-1</formula>
    </cfRule>
  </conditionalFormatting>
  <conditionalFormatting sqref="T39">
    <cfRule type="cellIs" dxfId="4549" priority="145207" stopIfTrue="1" operator="lessThan">
      <formula>0.5</formula>
    </cfRule>
  </conditionalFormatting>
  <conditionalFormatting sqref="T39">
    <cfRule type="cellIs" dxfId="4548" priority="145208" stopIfTrue="1" operator="greaterThanOrEqual">
      <formula>0.5</formula>
    </cfRule>
  </conditionalFormatting>
  <conditionalFormatting sqref="T40">
    <cfRule type="cellIs" dxfId="4547" priority="145209" stopIfTrue="1" operator="equal">
      <formula>-1</formula>
    </cfRule>
  </conditionalFormatting>
  <conditionalFormatting sqref="T40">
    <cfRule type="cellIs" dxfId="4546" priority="145210" stopIfTrue="1" operator="lessThan">
      <formula>0.5</formula>
    </cfRule>
  </conditionalFormatting>
  <conditionalFormatting sqref="T40">
    <cfRule type="cellIs" dxfId="4545" priority="145211" stopIfTrue="1" operator="greaterThanOrEqual">
      <formula>0.5</formula>
    </cfRule>
  </conditionalFormatting>
  <conditionalFormatting sqref="T41">
    <cfRule type="cellIs" dxfId="4544" priority="145212" stopIfTrue="1" operator="equal">
      <formula>-1</formula>
    </cfRule>
  </conditionalFormatting>
  <conditionalFormatting sqref="T41">
    <cfRule type="cellIs" dxfId="4543" priority="145213" stopIfTrue="1" operator="lessThan">
      <formula>0.5</formula>
    </cfRule>
  </conditionalFormatting>
  <conditionalFormatting sqref="T41">
    <cfRule type="cellIs" dxfId="4542" priority="145214" stopIfTrue="1" operator="greaterThanOrEqual">
      <formula>0.5</formula>
    </cfRule>
  </conditionalFormatting>
  <conditionalFormatting sqref="T42">
    <cfRule type="cellIs" dxfId="4541" priority="145215" stopIfTrue="1" operator="equal">
      <formula>-1</formula>
    </cfRule>
  </conditionalFormatting>
  <conditionalFormatting sqref="T42">
    <cfRule type="cellIs" dxfId="4540" priority="145216" stopIfTrue="1" operator="lessThan">
      <formula>0.5</formula>
    </cfRule>
  </conditionalFormatting>
  <conditionalFormatting sqref="T42">
    <cfRule type="cellIs" dxfId="4539" priority="145217" stopIfTrue="1" operator="greaterThanOrEqual">
      <formula>0.5</formula>
    </cfRule>
  </conditionalFormatting>
  <conditionalFormatting sqref="T43">
    <cfRule type="cellIs" dxfId="4538" priority="145218" stopIfTrue="1" operator="equal">
      <formula>-1</formula>
    </cfRule>
  </conditionalFormatting>
  <conditionalFormatting sqref="T43">
    <cfRule type="cellIs" dxfId="4537" priority="145219" stopIfTrue="1" operator="lessThan">
      <formula>0.5</formula>
    </cfRule>
  </conditionalFormatting>
  <conditionalFormatting sqref="T43">
    <cfRule type="cellIs" dxfId="4536" priority="145220" stopIfTrue="1" operator="greaterThanOrEqual">
      <formula>0.5</formula>
    </cfRule>
  </conditionalFormatting>
  <conditionalFormatting sqref="T44">
    <cfRule type="cellIs" dxfId="4535" priority="145221" stopIfTrue="1" operator="equal">
      <formula>-1</formula>
    </cfRule>
  </conditionalFormatting>
  <conditionalFormatting sqref="T44">
    <cfRule type="cellIs" dxfId="4534" priority="145222" stopIfTrue="1" operator="lessThan">
      <formula>0.5</formula>
    </cfRule>
  </conditionalFormatting>
  <conditionalFormatting sqref="T44">
    <cfRule type="cellIs" dxfId="4533" priority="145223" stopIfTrue="1" operator="greaterThanOrEqual">
      <formula>0.5</formula>
    </cfRule>
  </conditionalFormatting>
  <conditionalFormatting sqref="T45">
    <cfRule type="cellIs" dxfId="4532" priority="145224" stopIfTrue="1" operator="equal">
      <formula>-1</formula>
    </cfRule>
  </conditionalFormatting>
  <conditionalFormatting sqref="T45">
    <cfRule type="cellIs" dxfId="4531" priority="145225" stopIfTrue="1" operator="lessThan">
      <formula>0.5</formula>
    </cfRule>
  </conditionalFormatting>
  <conditionalFormatting sqref="T45">
    <cfRule type="cellIs" dxfId="4530" priority="145226" stopIfTrue="1" operator="greaterThanOrEqual">
      <formula>0.5</formula>
    </cfRule>
  </conditionalFormatting>
  <conditionalFormatting sqref="T46">
    <cfRule type="cellIs" dxfId="4529" priority="145227" stopIfTrue="1" operator="equal">
      <formula>-1</formula>
    </cfRule>
  </conditionalFormatting>
  <conditionalFormatting sqref="T46">
    <cfRule type="cellIs" dxfId="4528" priority="145228" stopIfTrue="1" operator="lessThan">
      <formula>0.5</formula>
    </cfRule>
  </conditionalFormatting>
  <conditionalFormatting sqref="T46">
    <cfRule type="cellIs" dxfId="4527" priority="145229" stopIfTrue="1" operator="greaterThanOrEqual">
      <formula>0.5</formula>
    </cfRule>
  </conditionalFormatting>
  <conditionalFormatting sqref="T47">
    <cfRule type="cellIs" dxfId="4526" priority="145230" stopIfTrue="1" operator="equal">
      <formula>-1</formula>
    </cfRule>
  </conditionalFormatting>
  <conditionalFormatting sqref="T47">
    <cfRule type="cellIs" dxfId="4525" priority="145231" stopIfTrue="1" operator="lessThan">
      <formula>0.5</formula>
    </cfRule>
  </conditionalFormatting>
  <conditionalFormatting sqref="T47">
    <cfRule type="cellIs" dxfId="4524" priority="145232" stopIfTrue="1" operator="greaterThanOrEqual">
      <formula>0.5</formula>
    </cfRule>
  </conditionalFormatting>
  <conditionalFormatting sqref="T48">
    <cfRule type="cellIs" dxfId="4523" priority="145233" stopIfTrue="1" operator="equal">
      <formula>-1</formula>
    </cfRule>
  </conditionalFormatting>
  <conditionalFormatting sqref="T48">
    <cfRule type="cellIs" dxfId="4522" priority="145234" stopIfTrue="1" operator="lessThan">
      <formula>0.5</formula>
    </cfRule>
  </conditionalFormatting>
  <conditionalFormatting sqref="T48">
    <cfRule type="cellIs" dxfId="4521" priority="145235" stopIfTrue="1" operator="greaterThanOrEqual">
      <formula>0.5</formula>
    </cfRule>
  </conditionalFormatting>
  <conditionalFormatting sqref="T49">
    <cfRule type="cellIs" dxfId="4520" priority="145236" stopIfTrue="1" operator="equal">
      <formula>-1</formula>
    </cfRule>
  </conditionalFormatting>
  <conditionalFormatting sqref="T49">
    <cfRule type="cellIs" dxfId="4519" priority="145237" stopIfTrue="1" operator="lessThan">
      <formula>0.5</formula>
    </cfRule>
  </conditionalFormatting>
  <conditionalFormatting sqref="T49">
    <cfRule type="cellIs" dxfId="4518" priority="145238" stopIfTrue="1" operator="greaterThanOrEqual">
      <formula>0.5</formula>
    </cfRule>
  </conditionalFormatting>
  <conditionalFormatting sqref="T50">
    <cfRule type="cellIs" dxfId="4517" priority="145239" stopIfTrue="1" operator="equal">
      <formula>-1</formula>
    </cfRule>
  </conditionalFormatting>
  <conditionalFormatting sqref="T50">
    <cfRule type="cellIs" dxfId="4516" priority="145240" stopIfTrue="1" operator="lessThan">
      <formula>0.5</formula>
    </cfRule>
  </conditionalFormatting>
  <conditionalFormatting sqref="T50">
    <cfRule type="cellIs" dxfId="4515" priority="145241" stopIfTrue="1" operator="greaterThanOrEqual">
      <formula>0.5</formula>
    </cfRule>
  </conditionalFormatting>
  <conditionalFormatting sqref="T51">
    <cfRule type="cellIs" dxfId="4514" priority="145242" stopIfTrue="1" operator="equal">
      <formula>-1</formula>
    </cfRule>
  </conditionalFormatting>
  <conditionalFormatting sqref="T51">
    <cfRule type="cellIs" dxfId="4513" priority="145243" stopIfTrue="1" operator="lessThan">
      <formula>0.5</formula>
    </cfRule>
  </conditionalFormatting>
  <conditionalFormatting sqref="T51">
    <cfRule type="cellIs" dxfId="4512" priority="145244" stopIfTrue="1" operator="greaterThanOrEqual">
      <formula>0.5</formula>
    </cfRule>
  </conditionalFormatting>
  <conditionalFormatting sqref="T52">
    <cfRule type="cellIs" dxfId="4511" priority="145245" stopIfTrue="1" operator="equal">
      <formula>-1</formula>
    </cfRule>
  </conditionalFormatting>
  <conditionalFormatting sqref="T52">
    <cfRule type="cellIs" dxfId="4510" priority="145246" stopIfTrue="1" operator="lessThan">
      <formula>0.5</formula>
    </cfRule>
  </conditionalFormatting>
  <conditionalFormatting sqref="T52">
    <cfRule type="cellIs" dxfId="4509" priority="145247" stopIfTrue="1" operator="greaterThanOrEqual">
      <formula>0.5</formula>
    </cfRule>
  </conditionalFormatting>
  <conditionalFormatting sqref="T53">
    <cfRule type="cellIs" dxfId="4508" priority="145248" stopIfTrue="1" operator="equal">
      <formula>-1</formula>
    </cfRule>
  </conditionalFormatting>
  <conditionalFormatting sqref="T53">
    <cfRule type="cellIs" dxfId="4507" priority="145249" stopIfTrue="1" operator="lessThan">
      <formula>0.5</formula>
    </cfRule>
  </conditionalFormatting>
  <conditionalFormatting sqref="T53">
    <cfRule type="cellIs" dxfId="4506" priority="145250" stopIfTrue="1" operator="greaterThanOrEqual">
      <formula>0.5</formula>
    </cfRule>
  </conditionalFormatting>
  <conditionalFormatting sqref="T54">
    <cfRule type="cellIs" dxfId="4505" priority="145251" stopIfTrue="1" operator="equal">
      <formula>-1</formula>
    </cfRule>
  </conditionalFormatting>
  <conditionalFormatting sqref="T54">
    <cfRule type="cellIs" dxfId="4504" priority="145252" stopIfTrue="1" operator="lessThan">
      <formula>0.5</formula>
    </cfRule>
  </conditionalFormatting>
  <conditionalFormatting sqref="T54">
    <cfRule type="cellIs" dxfId="4503" priority="145253" stopIfTrue="1" operator="greaterThanOrEqual">
      <formula>0.5</formula>
    </cfRule>
  </conditionalFormatting>
  <conditionalFormatting sqref="T55">
    <cfRule type="cellIs" dxfId="4502" priority="145254" stopIfTrue="1" operator="equal">
      <formula>-1</formula>
    </cfRule>
  </conditionalFormatting>
  <conditionalFormatting sqref="T55">
    <cfRule type="cellIs" dxfId="4501" priority="145255" stopIfTrue="1" operator="lessThan">
      <formula>0.5</formula>
    </cfRule>
  </conditionalFormatting>
  <conditionalFormatting sqref="T55">
    <cfRule type="cellIs" dxfId="4500" priority="145256" stopIfTrue="1" operator="greaterThanOrEqual">
      <formula>0.5</formula>
    </cfRule>
  </conditionalFormatting>
  <conditionalFormatting sqref="T56">
    <cfRule type="cellIs" dxfId="4499" priority="145257" stopIfTrue="1" operator="equal">
      <formula>-1</formula>
    </cfRule>
  </conditionalFormatting>
  <conditionalFormatting sqref="T56">
    <cfRule type="cellIs" dxfId="4498" priority="145258" stopIfTrue="1" operator="lessThan">
      <formula>0.5</formula>
    </cfRule>
  </conditionalFormatting>
  <conditionalFormatting sqref="T56">
    <cfRule type="cellIs" dxfId="4497" priority="145259" stopIfTrue="1" operator="greaterThanOrEqual">
      <formula>0.5</formula>
    </cfRule>
  </conditionalFormatting>
  <conditionalFormatting sqref="T57">
    <cfRule type="cellIs" dxfId="4496" priority="145260" stopIfTrue="1" operator="equal">
      <formula>-1</formula>
    </cfRule>
  </conditionalFormatting>
  <conditionalFormatting sqref="T57">
    <cfRule type="cellIs" dxfId="4495" priority="145261" stopIfTrue="1" operator="lessThan">
      <formula>0.5</formula>
    </cfRule>
  </conditionalFormatting>
  <conditionalFormatting sqref="T57">
    <cfRule type="cellIs" dxfId="4494" priority="145262" stopIfTrue="1" operator="greaterThanOrEqual">
      <formula>0.5</formula>
    </cfRule>
  </conditionalFormatting>
  <conditionalFormatting sqref="T58">
    <cfRule type="cellIs" dxfId="4493" priority="145263" stopIfTrue="1" operator="equal">
      <formula>-1</formula>
    </cfRule>
  </conditionalFormatting>
  <conditionalFormatting sqref="T58">
    <cfRule type="cellIs" dxfId="4492" priority="145264" stopIfTrue="1" operator="lessThan">
      <formula>0.5</formula>
    </cfRule>
  </conditionalFormatting>
  <conditionalFormatting sqref="T58">
    <cfRule type="cellIs" dxfId="4491" priority="145265" stopIfTrue="1" operator="greaterThanOrEqual">
      <formula>0.5</formula>
    </cfRule>
  </conditionalFormatting>
  <conditionalFormatting sqref="V39">
    <cfRule type="cellIs" dxfId="4490" priority="145266" stopIfTrue="1" operator="equal">
      <formula>-1</formula>
    </cfRule>
  </conditionalFormatting>
  <conditionalFormatting sqref="V39">
    <cfRule type="cellIs" dxfId="4489" priority="145267" stopIfTrue="1" operator="lessThan">
      <formula>0.5</formula>
    </cfRule>
  </conditionalFormatting>
  <conditionalFormatting sqref="V39">
    <cfRule type="cellIs" dxfId="4488" priority="145268" stopIfTrue="1" operator="greaterThanOrEqual">
      <formula>0.5</formula>
    </cfRule>
  </conditionalFormatting>
  <conditionalFormatting sqref="V40">
    <cfRule type="cellIs" dxfId="4487" priority="145269" stopIfTrue="1" operator="equal">
      <formula>-1</formula>
    </cfRule>
  </conditionalFormatting>
  <conditionalFormatting sqref="V40">
    <cfRule type="cellIs" dxfId="4486" priority="145270" stopIfTrue="1" operator="lessThan">
      <formula>0.5</formula>
    </cfRule>
  </conditionalFormatting>
  <conditionalFormatting sqref="V40">
    <cfRule type="cellIs" dxfId="4485" priority="145271" stopIfTrue="1" operator="greaterThanOrEqual">
      <formula>0.5</formula>
    </cfRule>
  </conditionalFormatting>
  <conditionalFormatting sqref="V41">
    <cfRule type="cellIs" dxfId="4484" priority="145272" stopIfTrue="1" operator="equal">
      <formula>-1</formula>
    </cfRule>
  </conditionalFormatting>
  <conditionalFormatting sqref="V41">
    <cfRule type="cellIs" dxfId="4483" priority="145273" stopIfTrue="1" operator="lessThan">
      <formula>0.5</formula>
    </cfRule>
  </conditionalFormatting>
  <conditionalFormatting sqref="V41">
    <cfRule type="cellIs" dxfId="4482" priority="145274" stopIfTrue="1" operator="greaterThanOrEqual">
      <formula>0.5</formula>
    </cfRule>
  </conditionalFormatting>
  <conditionalFormatting sqref="V42">
    <cfRule type="cellIs" dxfId="4481" priority="145275" stopIfTrue="1" operator="equal">
      <formula>-1</formula>
    </cfRule>
  </conditionalFormatting>
  <conditionalFormatting sqref="V42">
    <cfRule type="cellIs" dxfId="4480" priority="145276" stopIfTrue="1" operator="lessThan">
      <formula>0.5</formula>
    </cfRule>
  </conditionalFormatting>
  <conditionalFormatting sqref="V42">
    <cfRule type="cellIs" dxfId="4479" priority="145277" stopIfTrue="1" operator="greaterThanOrEqual">
      <formula>0.5</formula>
    </cfRule>
  </conditionalFormatting>
  <conditionalFormatting sqref="V43">
    <cfRule type="cellIs" dxfId="4478" priority="145278" stopIfTrue="1" operator="equal">
      <formula>-1</formula>
    </cfRule>
  </conditionalFormatting>
  <conditionalFormatting sqref="V43">
    <cfRule type="cellIs" dxfId="4477" priority="145279" stopIfTrue="1" operator="lessThan">
      <formula>0.5</formula>
    </cfRule>
  </conditionalFormatting>
  <conditionalFormatting sqref="V43">
    <cfRule type="cellIs" dxfId="4476" priority="145280" stopIfTrue="1" operator="greaterThanOrEqual">
      <formula>0.5</formula>
    </cfRule>
  </conditionalFormatting>
  <conditionalFormatting sqref="V44">
    <cfRule type="cellIs" dxfId="4475" priority="145281" stopIfTrue="1" operator="equal">
      <formula>-1</formula>
    </cfRule>
  </conditionalFormatting>
  <conditionalFormatting sqref="V44">
    <cfRule type="cellIs" dxfId="4474" priority="145282" stopIfTrue="1" operator="lessThan">
      <formula>0.5</formula>
    </cfRule>
  </conditionalFormatting>
  <conditionalFormatting sqref="V44">
    <cfRule type="cellIs" dxfId="4473" priority="145283" stopIfTrue="1" operator="greaterThanOrEqual">
      <formula>0.5</formula>
    </cfRule>
  </conditionalFormatting>
  <conditionalFormatting sqref="V45">
    <cfRule type="cellIs" dxfId="4472" priority="145284" stopIfTrue="1" operator="equal">
      <formula>-1</formula>
    </cfRule>
  </conditionalFormatting>
  <conditionalFormatting sqref="V45">
    <cfRule type="cellIs" dxfId="4471" priority="145285" stopIfTrue="1" operator="lessThan">
      <formula>0.5</formula>
    </cfRule>
  </conditionalFormatting>
  <conditionalFormatting sqref="V45">
    <cfRule type="cellIs" dxfId="4470" priority="145286" stopIfTrue="1" operator="greaterThanOrEqual">
      <formula>0.5</formula>
    </cfRule>
  </conditionalFormatting>
  <conditionalFormatting sqref="V46">
    <cfRule type="cellIs" dxfId="4469" priority="145287" stopIfTrue="1" operator="equal">
      <formula>-1</formula>
    </cfRule>
  </conditionalFormatting>
  <conditionalFormatting sqref="V46">
    <cfRule type="cellIs" dxfId="4468" priority="145288" stopIfTrue="1" operator="lessThan">
      <formula>0.5</formula>
    </cfRule>
  </conditionalFormatting>
  <conditionalFormatting sqref="V46">
    <cfRule type="cellIs" dxfId="4467" priority="145289" stopIfTrue="1" operator="greaterThanOrEqual">
      <formula>0.5</formula>
    </cfRule>
  </conditionalFormatting>
  <conditionalFormatting sqref="V47">
    <cfRule type="cellIs" dxfId="4466" priority="145290" stopIfTrue="1" operator="equal">
      <formula>-1</formula>
    </cfRule>
  </conditionalFormatting>
  <conditionalFormatting sqref="V47">
    <cfRule type="cellIs" dxfId="4465" priority="145291" stopIfTrue="1" operator="lessThan">
      <formula>0.5</formula>
    </cfRule>
  </conditionalFormatting>
  <conditionalFormatting sqref="V47">
    <cfRule type="cellIs" dxfId="4464" priority="145292" stopIfTrue="1" operator="greaterThanOrEqual">
      <formula>0.5</formula>
    </cfRule>
  </conditionalFormatting>
  <conditionalFormatting sqref="V48">
    <cfRule type="cellIs" dxfId="4463" priority="145293" stopIfTrue="1" operator="equal">
      <formula>-1</formula>
    </cfRule>
  </conditionalFormatting>
  <conditionalFormatting sqref="V48">
    <cfRule type="cellIs" dxfId="4462" priority="145294" stopIfTrue="1" operator="lessThan">
      <formula>0.5</formula>
    </cfRule>
  </conditionalFormatting>
  <conditionalFormatting sqref="V48">
    <cfRule type="cellIs" dxfId="4461" priority="145295" stopIfTrue="1" operator="greaterThanOrEqual">
      <formula>0.5</formula>
    </cfRule>
  </conditionalFormatting>
  <conditionalFormatting sqref="V49">
    <cfRule type="cellIs" dxfId="4460" priority="145296" stopIfTrue="1" operator="equal">
      <formula>-1</formula>
    </cfRule>
  </conditionalFormatting>
  <conditionalFormatting sqref="V49">
    <cfRule type="cellIs" dxfId="4459" priority="145297" stopIfTrue="1" operator="lessThan">
      <formula>0.5</formula>
    </cfRule>
  </conditionalFormatting>
  <conditionalFormatting sqref="V49">
    <cfRule type="cellIs" dxfId="4458" priority="145298" stopIfTrue="1" operator="greaterThanOrEqual">
      <formula>0.5</formula>
    </cfRule>
  </conditionalFormatting>
  <conditionalFormatting sqref="V50">
    <cfRule type="cellIs" dxfId="4457" priority="145299" stopIfTrue="1" operator="equal">
      <formula>-1</formula>
    </cfRule>
  </conditionalFormatting>
  <conditionalFormatting sqref="V50">
    <cfRule type="cellIs" dxfId="4456" priority="145300" stopIfTrue="1" operator="lessThan">
      <formula>0.5</formula>
    </cfRule>
  </conditionalFormatting>
  <conditionalFormatting sqref="V50">
    <cfRule type="cellIs" dxfId="4455" priority="145301" stopIfTrue="1" operator="greaterThanOrEqual">
      <formula>0.5</formula>
    </cfRule>
  </conditionalFormatting>
  <conditionalFormatting sqref="V51">
    <cfRule type="cellIs" dxfId="4454" priority="145302" stopIfTrue="1" operator="equal">
      <formula>-1</formula>
    </cfRule>
  </conditionalFormatting>
  <conditionalFormatting sqref="V51">
    <cfRule type="cellIs" dxfId="4453" priority="145303" stopIfTrue="1" operator="lessThan">
      <formula>0.5</formula>
    </cfRule>
  </conditionalFormatting>
  <conditionalFormatting sqref="V51">
    <cfRule type="cellIs" dxfId="4452" priority="145304" stopIfTrue="1" operator="greaterThanOrEqual">
      <formula>0.5</formula>
    </cfRule>
  </conditionalFormatting>
  <conditionalFormatting sqref="V52">
    <cfRule type="cellIs" dxfId="4451" priority="145305" stopIfTrue="1" operator="equal">
      <formula>-1</formula>
    </cfRule>
  </conditionalFormatting>
  <conditionalFormatting sqref="V52">
    <cfRule type="cellIs" dxfId="4450" priority="145306" stopIfTrue="1" operator="lessThan">
      <formula>0.5</formula>
    </cfRule>
  </conditionalFormatting>
  <conditionalFormatting sqref="V52">
    <cfRule type="cellIs" dxfId="4449" priority="145307" stopIfTrue="1" operator="greaterThanOrEqual">
      <formula>0.5</formula>
    </cfRule>
  </conditionalFormatting>
  <conditionalFormatting sqref="V53">
    <cfRule type="cellIs" dxfId="4448" priority="145308" stopIfTrue="1" operator="equal">
      <formula>-1</formula>
    </cfRule>
  </conditionalFormatting>
  <conditionalFormatting sqref="V53">
    <cfRule type="cellIs" dxfId="4447" priority="145309" stopIfTrue="1" operator="lessThan">
      <formula>0.5</formula>
    </cfRule>
  </conditionalFormatting>
  <conditionalFormatting sqref="V53">
    <cfRule type="cellIs" dxfId="4446" priority="145310" stopIfTrue="1" operator="greaterThanOrEqual">
      <formula>0.5</formula>
    </cfRule>
  </conditionalFormatting>
  <conditionalFormatting sqref="V54">
    <cfRule type="cellIs" dxfId="4445" priority="145311" stopIfTrue="1" operator="equal">
      <formula>-1</formula>
    </cfRule>
  </conditionalFormatting>
  <conditionalFormatting sqref="V54">
    <cfRule type="cellIs" dxfId="4444" priority="145312" stopIfTrue="1" operator="lessThan">
      <formula>0.5</formula>
    </cfRule>
  </conditionalFormatting>
  <conditionalFormatting sqref="V54">
    <cfRule type="cellIs" dxfId="4443" priority="145313" stopIfTrue="1" operator="greaterThanOrEqual">
      <formula>0.5</formula>
    </cfRule>
  </conditionalFormatting>
  <conditionalFormatting sqref="V55">
    <cfRule type="cellIs" dxfId="4442" priority="145314" stopIfTrue="1" operator="equal">
      <formula>-1</formula>
    </cfRule>
  </conditionalFormatting>
  <conditionalFormatting sqref="V55">
    <cfRule type="cellIs" dxfId="4441" priority="145315" stopIfTrue="1" operator="lessThan">
      <formula>0.5</formula>
    </cfRule>
  </conditionalFormatting>
  <conditionalFormatting sqref="V55">
    <cfRule type="cellIs" dxfId="4440" priority="145316" stopIfTrue="1" operator="greaterThanOrEqual">
      <formula>0.5</formula>
    </cfRule>
  </conditionalFormatting>
  <conditionalFormatting sqref="V56">
    <cfRule type="cellIs" dxfId="4439" priority="145317" stopIfTrue="1" operator="equal">
      <formula>-1</formula>
    </cfRule>
  </conditionalFormatting>
  <conditionalFormatting sqref="V56">
    <cfRule type="cellIs" dxfId="4438" priority="145318" stopIfTrue="1" operator="lessThan">
      <formula>0.5</formula>
    </cfRule>
  </conditionalFormatting>
  <conditionalFormatting sqref="V56">
    <cfRule type="cellIs" dxfId="4437" priority="145319" stopIfTrue="1" operator="greaterThanOrEqual">
      <formula>0.5</formula>
    </cfRule>
  </conditionalFormatting>
  <conditionalFormatting sqref="V57">
    <cfRule type="cellIs" dxfId="4436" priority="145320" stopIfTrue="1" operator="equal">
      <formula>-1</formula>
    </cfRule>
  </conditionalFormatting>
  <conditionalFormatting sqref="V57">
    <cfRule type="cellIs" dxfId="4435" priority="145321" stopIfTrue="1" operator="lessThan">
      <formula>0.5</formula>
    </cfRule>
  </conditionalFormatting>
  <conditionalFormatting sqref="V57">
    <cfRule type="cellIs" dxfId="4434" priority="145322" stopIfTrue="1" operator="greaterThanOrEqual">
      <formula>0.5</formula>
    </cfRule>
  </conditionalFormatting>
  <conditionalFormatting sqref="V58">
    <cfRule type="cellIs" dxfId="4433" priority="145323" stopIfTrue="1" operator="equal">
      <formula>-1</formula>
    </cfRule>
  </conditionalFormatting>
  <conditionalFormatting sqref="V58">
    <cfRule type="cellIs" dxfId="4432" priority="145324" stopIfTrue="1" operator="lessThan">
      <formula>0.5</formula>
    </cfRule>
  </conditionalFormatting>
  <conditionalFormatting sqref="V58">
    <cfRule type="cellIs" dxfId="4431" priority="145325" stopIfTrue="1" operator="greaterThanOrEqual">
      <formula>0.5</formula>
    </cfRule>
  </conditionalFormatting>
  <conditionalFormatting sqref="X39">
    <cfRule type="cellIs" dxfId="4430" priority="145326" stopIfTrue="1" operator="equal">
      <formula>-1</formula>
    </cfRule>
  </conditionalFormatting>
  <conditionalFormatting sqref="X39">
    <cfRule type="cellIs" dxfId="4429" priority="145327" stopIfTrue="1" operator="lessThan">
      <formula>0.5</formula>
    </cfRule>
  </conditionalFormatting>
  <conditionalFormatting sqref="X39">
    <cfRule type="cellIs" dxfId="4428" priority="145328" stopIfTrue="1" operator="greaterThanOrEqual">
      <formula>0.5</formula>
    </cfRule>
  </conditionalFormatting>
  <conditionalFormatting sqref="X40">
    <cfRule type="cellIs" dxfId="4427" priority="145329" stopIfTrue="1" operator="equal">
      <formula>-1</formula>
    </cfRule>
  </conditionalFormatting>
  <conditionalFormatting sqref="X40">
    <cfRule type="cellIs" dxfId="4426" priority="145330" stopIfTrue="1" operator="lessThan">
      <formula>0.5</formula>
    </cfRule>
  </conditionalFormatting>
  <conditionalFormatting sqref="X40">
    <cfRule type="cellIs" dxfId="4425" priority="145331" stopIfTrue="1" operator="greaterThanOrEqual">
      <formula>0.5</formula>
    </cfRule>
  </conditionalFormatting>
  <conditionalFormatting sqref="X41">
    <cfRule type="cellIs" dxfId="4424" priority="145332" stopIfTrue="1" operator="equal">
      <formula>-1</formula>
    </cfRule>
  </conditionalFormatting>
  <conditionalFormatting sqref="X41">
    <cfRule type="cellIs" dxfId="4423" priority="145333" stopIfTrue="1" operator="lessThan">
      <formula>0.5</formula>
    </cfRule>
  </conditionalFormatting>
  <conditionalFormatting sqref="X41">
    <cfRule type="cellIs" dxfId="4422" priority="145334" stopIfTrue="1" operator="greaterThanOrEqual">
      <formula>0.5</formula>
    </cfRule>
  </conditionalFormatting>
  <conditionalFormatting sqref="X42">
    <cfRule type="cellIs" dxfId="4421" priority="145335" stopIfTrue="1" operator="equal">
      <formula>-1</formula>
    </cfRule>
  </conditionalFormatting>
  <conditionalFormatting sqref="X42">
    <cfRule type="cellIs" dxfId="4420" priority="145336" stopIfTrue="1" operator="lessThan">
      <formula>0.5</formula>
    </cfRule>
  </conditionalFormatting>
  <conditionalFormatting sqref="X42">
    <cfRule type="cellIs" dxfId="4419" priority="145337" stopIfTrue="1" operator="greaterThanOrEqual">
      <formula>0.5</formula>
    </cfRule>
  </conditionalFormatting>
  <conditionalFormatting sqref="X43">
    <cfRule type="cellIs" dxfId="4418" priority="145338" stopIfTrue="1" operator="equal">
      <formula>-1</formula>
    </cfRule>
  </conditionalFormatting>
  <conditionalFormatting sqref="X43">
    <cfRule type="cellIs" dxfId="4417" priority="145339" stopIfTrue="1" operator="lessThan">
      <formula>0.5</formula>
    </cfRule>
  </conditionalFormatting>
  <conditionalFormatting sqref="X43">
    <cfRule type="cellIs" dxfId="4416" priority="145340" stopIfTrue="1" operator="greaterThanOrEqual">
      <formula>0.5</formula>
    </cfRule>
  </conditionalFormatting>
  <conditionalFormatting sqref="X44">
    <cfRule type="cellIs" dxfId="4415" priority="145341" stopIfTrue="1" operator="equal">
      <formula>-1</formula>
    </cfRule>
  </conditionalFormatting>
  <conditionalFormatting sqref="X44">
    <cfRule type="cellIs" dxfId="4414" priority="145342" stopIfTrue="1" operator="lessThan">
      <formula>0.5</formula>
    </cfRule>
  </conditionalFormatting>
  <conditionalFormatting sqref="X44">
    <cfRule type="cellIs" dxfId="4413" priority="145343" stopIfTrue="1" operator="greaterThanOrEqual">
      <formula>0.5</formula>
    </cfRule>
  </conditionalFormatting>
  <conditionalFormatting sqref="X45">
    <cfRule type="cellIs" dxfId="4412" priority="145344" stopIfTrue="1" operator="equal">
      <formula>-1</formula>
    </cfRule>
  </conditionalFormatting>
  <conditionalFormatting sqref="X45">
    <cfRule type="cellIs" dxfId="4411" priority="145345" stopIfTrue="1" operator="lessThan">
      <formula>0.5</formula>
    </cfRule>
  </conditionalFormatting>
  <conditionalFormatting sqref="X45">
    <cfRule type="cellIs" dxfId="4410" priority="145346" stopIfTrue="1" operator="greaterThanOrEqual">
      <formula>0.5</formula>
    </cfRule>
  </conditionalFormatting>
  <conditionalFormatting sqref="X46">
    <cfRule type="cellIs" dxfId="4409" priority="145347" stopIfTrue="1" operator="equal">
      <formula>-1</formula>
    </cfRule>
  </conditionalFormatting>
  <conditionalFormatting sqref="X46">
    <cfRule type="cellIs" dxfId="4408" priority="145348" stopIfTrue="1" operator="lessThan">
      <formula>0.5</formula>
    </cfRule>
  </conditionalFormatting>
  <conditionalFormatting sqref="X46">
    <cfRule type="cellIs" dxfId="4407" priority="145349" stopIfTrue="1" operator="greaterThanOrEqual">
      <formula>0.5</formula>
    </cfRule>
  </conditionalFormatting>
  <conditionalFormatting sqref="X47">
    <cfRule type="cellIs" dxfId="4406" priority="145350" stopIfTrue="1" operator="equal">
      <formula>-1</formula>
    </cfRule>
  </conditionalFormatting>
  <conditionalFormatting sqref="X47">
    <cfRule type="cellIs" dxfId="4405" priority="145351" stopIfTrue="1" operator="lessThan">
      <formula>0.5</formula>
    </cfRule>
  </conditionalFormatting>
  <conditionalFormatting sqref="X47">
    <cfRule type="cellIs" dxfId="4404" priority="145352" stopIfTrue="1" operator="greaterThanOrEqual">
      <formula>0.5</formula>
    </cfRule>
  </conditionalFormatting>
  <conditionalFormatting sqref="X48">
    <cfRule type="cellIs" dxfId="4403" priority="145353" stopIfTrue="1" operator="equal">
      <formula>-1</formula>
    </cfRule>
  </conditionalFormatting>
  <conditionalFormatting sqref="X48">
    <cfRule type="cellIs" dxfId="4402" priority="145354" stopIfTrue="1" operator="lessThan">
      <formula>0.5</formula>
    </cfRule>
  </conditionalFormatting>
  <conditionalFormatting sqref="X48">
    <cfRule type="cellIs" dxfId="4401" priority="145355" stopIfTrue="1" operator="greaterThanOrEqual">
      <formula>0.5</formula>
    </cfRule>
  </conditionalFormatting>
  <conditionalFormatting sqref="X49">
    <cfRule type="cellIs" dxfId="4400" priority="145356" stopIfTrue="1" operator="equal">
      <formula>-1</formula>
    </cfRule>
  </conditionalFormatting>
  <conditionalFormatting sqref="X49">
    <cfRule type="cellIs" dxfId="4399" priority="145357" stopIfTrue="1" operator="lessThan">
      <formula>0.5</formula>
    </cfRule>
  </conditionalFormatting>
  <conditionalFormatting sqref="X49">
    <cfRule type="cellIs" dxfId="4398" priority="145358" stopIfTrue="1" operator="greaterThanOrEqual">
      <formula>0.5</formula>
    </cfRule>
  </conditionalFormatting>
  <conditionalFormatting sqref="X50">
    <cfRule type="cellIs" dxfId="4397" priority="145359" stopIfTrue="1" operator="equal">
      <formula>-1</formula>
    </cfRule>
  </conditionalFormatting>
  <conditionalFormatting sqref="X50">
    <cfRule type="cellIs" dxfId="4396" priority="145360" stopIfTrue="1" operator="lessThan">
      <formula>0.5</formula>
    </cfRule>
  </conditionalFormatting>
  <conditionalFormatting sqref="X50">
    <cfRule type="cellIs" dxfId="4395" priority="145361" stopIfTrue="1" operator="greaterThanOrEqual">
      <formula>0.5</formula>
    </cfRule>
  </conditionalFormatting>
  <conditionalFormatting sqref="X51">
    <cfRule type="cellIs" dxfId="4394" priority="145362" stopIfTrue="1" operator="equal">
      <formula>-1</formula>
    </cfRule>
  </conditionalFormatting>
  <conditionalFormatting sqref="X51">
    <cfRule type="cellIs" dxfId="4393" priority="145363" stopIfTrue="1" operator="lessThan">
      <formula>0.5</formula>
    </cfRule>
  </conditionalFormatting>
  <conditionalFormatting sqref="X51">
    <cfRule type="cellIs" dxfId="4392" priority="145364" stopIfTrue="1" operator="greaterThanOrEqual">
      <formula>0.5</formula>
    </cfRule>
  </conditionalFormatting>
  <conditionalFormatting sqref="X52">
    <cfRule type="cellIs" dxfId="4391" priority="145365" stopIfTrue="1" operator="equal">
      <formula>-1</formula>
    </cfRule>
  </conditionalFormatting>
  <conditionalFormatting sqref="X52">
    <cfRule type="cellIs" dxfId="4390" priority="145366" stopIfTrue="1" operator="lessThan">
      <formula>0.5</formula>
    </cfRule>
  </conditionalFormatting>
  <conditionalFormatting sqref="X52">
    <cfRule type="cellIs" dxfId="4389" priority="145367" stopIfTrue="1" operator="greaterThanOrEqual">
      <formula>0.5</formula>
    </cfRule>
  </conditionalFormatting>
  <conditionalFormatting sqref="X53">
    <cfRule type="cellIs" dxfId="4388" priority="145368" stopIfTrue="1" operator="equal">
      <formula>-1</formula>
    </cfRule>
  </conditionalFormatting>
  <conditionalFormatting sqref="X53">
    <cfRule type="cellIs" dxfId="4387" priority="145369" stopIfTrue="1" operator="lessThan">
      <formula>0.5</formula>
    </cfRule>
  </conditionalFormatting>
  <conditionalFormatting sqref="X53">
    <cfRule type="cellIs" dxfId="4386" priority="145370" stopIfTrue="1" operator="greaterThanOrEqual">
      <formula>0.5</formula>
    </cfRule>
  </conditionalFormatting>
  <conditionalFormatting sqref="X54">
    <cfRule type="cellIs" dxfId="4385" priority="145371" stopIfTrue="1" operator="equal">
      <formula>-1</formula>
    </cfRule>
  </conditionalFormatting>
  <conditionalFormatting sqref="X54">
    <cfRule type="cellIs" dxfId="4384" priority="145372" stopIfTrue="1" operator="lessThan">
      <formula>0.5</formula>
    </cfRule>
  </conditionalFormatting>
  <conditionalFormatting sqref="X54">
    <cfRule type="cellIs" dxfId="4383" priority="145373" stopIfTrue="1" operator="greaterThanOrEqual">
      <formula>0.5</formula>
    </cfRule>
  </conditionalFormatting>
  <conditionalFormatting sqref="X55">
    <cfRule type="cellIs" dxfId="4382" priority="145374" stopIfTrue="1" operator="equal">
      <formula>-1</formula>
    </cfRule>
  </conditionalFormatting>
  <conditionalFormatting sqref="X55">
    <cfRule type="cellIs" dxfId="4381" priority="145375" stopIfTrue="1" operator="lessThan">
      <formula>0.5</formula>
    </cfRule>
  </conditionalFormatting>
  <conditionalFormatting sqref="X55">
    <cfRule type="cellIs" dxfId="4380" priority="145376" stopIfTrue="1" operator="greaterThanOrEqual">
      <formula>0.5</formula>
    </cfRule>
  </conditionalFormatting>
  <conditionalFormatting sqref="X56">
    <cfRule type="cellIs" dxfId="4379" priority="145377" stopIfTrue="1" operator="equal">
      <formula>-1</formula>
    </cfRule>
  </conditionalFormatting>
  <conditionalFormatting sqref="X56">
    <cfRule type="cellIs" dxfId="4378" priority="145378" stopIfTrue="1" operator="lessThan">
      <formula>0.5</formula>
    </cfRule>
  </conditionalFormatting>
  <conditionalFormatting sqref="X56">
    <cfRule type="cellIs" dxfId="4377" priority="145379" stopIfTrue="1" operator="greaterThanOrEqual">
      <formula>0.5</formula>
    </cfRule>
  </conditionalFormatting>
  <conditionalFormatting sqref="X57">
    <cfRule type="cellIs" dxfId="4376" priority="145380" stopIfTrue="1" operator="equal">
      <formula>-1</formula>
    </cfRule>
  </conditionalFormatting>
  <conditionalFormatting sqref="X57">
    <cfRule type="cellIs" dxfId="4375" priority="145381" stopIfTrue="1" operator="lessThan">
      <formula>0.5</formula>
    </cfRule>
  </conditionalFormatting>
  <conditionalFormatting sqref="X57">
    <cfRule type="cellIs" dxfId="4374" priority="145382" stopIfTrue="1" operator="greaterThanOrEqual">
      <formula>0.5</formula>
    </cfRule>
  </conditionalFormatting>
  <conditionalFormatting sqref="X58">
    <cfRule type="cellIs" dxfId="4373" priority="145383" stopIfTrue="1" operator="equal">
      <formula>-1</formula>
    </cfRule>
  </conditionalFormatting>
  <conditionalFormatting sqref="X58">
    <cfRule type="cellIs" dxfId="4372" priority="145384" stopIfTrue="1" operator="lessThan">
      <formula>0.5</formula>
    </cfRule>
  </conditionalFormatting>
  <conditionalFormatting sqref="X58">
    <cfRule type="cellIs" dxfId="4371" priority="145385" stopIfTrue="1" operator="greaterThanOrEqual">
      <formula>0.5</formula>
    </cfRule>
  </conditionalFormatting>
  <conditionalFormatting sqref="Z39">
    <cfRule type="cellIs" dxfId="4370" priority="145386" stopIfTrue="1" operator="equal">
      <formula>-1</formula>
    </cfRule>
  </conditionalFormatting>
  <conditionalFormatting sqref="Z39">
    <cfRule type="cellIs" dxfId="4369" priority="145387" stopIfTrue="1" operator="lessThan">
      <formula>0.5</formula>
    </cfRule>
  </conditionalFormatting>
  <conditionalFormatting sqref="Z39">
    <cfRule type="cellIs" dxfId="4368" priority="145388" stopIfTrue="1" operator="greaterThanOrEqual">
      <formula>0.5</formula>
    </cfRule>
  </conditionalFormatting>
  <conditionalFormatting sqref="Z40">
    <cfRule type="cellIs" dxfId="4367" priority="145389" stopIfTrue="1" operator="equal">
      <formula>-1</formula>
    </cfRule>
  </conditionalFormatting>
  <conditionalFormatting sqref="Z40">
    <cfRule type="cellIs" dxfId="4366" priority="145390" stopIfTrue="1" operator="lessThan">
      <formula>0.5</formula>
    </cfRule>
  </conditionalFormatting>
  <conditionalFormatting sqref="Z40">
    <cfRule type="cellIs" dxfId="4365" priority="145391" stopIfTrue="1" operator="greaterThanOrEqual">
      <formula>0.5</formula>
    </cfRule>
  </conditionalFormatting>
  <conditionalFormatting sqref="Z41">
    <cfRule type="cellIs" dxfId="4364" priority="145392" stopIfTrue="1" operator="equal">
      <formula>-1</formula>
    </cfRule>
  </conditionalFormatting>
  <conditionalFormatting sqref="Z41">
    <cfRule type="cellIs" dxfId="4363" priority="145393" stopIfTrue="1" operator="lessThan">
      <formula>0.5</formula>
    </cfRule>
  </conditionalFormatting>
  <conditionalFormatting sqref="Z41">
    <cfRule type="cellIs" dxfId="4362" priority="145394" stopIfTrue="1" operator="greaterThanOrEqual">
      <formula>0.5</formula>
    </cfRule>
  </conditionalFormatting>
  <conditionalFormatting sqref="Z42">
    <cfRule type="cellIs" dxfId="4361" priority="145395" stopIfTrue="1" operator="equal">
      <formula>-1</formula>
    </cfRule>
  </conditionalFormatting>
  <conditionalFormatting sqref="Z42">
    <cfRule type="cellIs" dxfId="4360" priority="145396" stopIfTrue="1" operator="lessThan">
      <formula>0.5</formula>
    </cfRule>
  </conditionalFormatting>
  <conditionalFormatting sqref="Z42">
    <cfRule type="cellIs" dxfId="4359" priority="145397" stopIfTrue="1" operator="greaterThanOrEqual">
      <formula>0.5</formula>
    </cfRule>
  </conditionalFormatting>
  <conditionalFormatting sqref="Z43">
    <cfRule type="cellIs" dxfId="4358" priority="145398" stopIfTrue="1" operator="equal">
      <formula>-1</formula>
    </cfRule>
  </conditionalFormatting>
  <conditionalFormatting sqref="Z43">
    <cfRule type="cellIs" dxfId="4357" priority="145399" stopIfTrue="1" operator="lessThan">
      <formula>0.5</formula>
    </cfRule>
  </conditionalFormatting>
  <conditionalFormatting sqref="Z43">
    <cfRule type="cellIs" dxfId="4356" priority="145400" stopIfTrue="1" operator="greaterThanOrEqual">
      <formula>0.5</formula>
    </cfRule>
  </conditionalFormatting>
  <conditionalFormatting sqref="Z44">
    <cfRule type="cellIs" dxfId="4355" priority="145401" stopIfTrue="1" operator="equal">
      <formula>-1</formula>
    </cfRule>
  </conditionalFormatting>
  <conditionalFormatting sqref="Z44">
    <cfRule type="cellIs" dxfId="4354" priority="145402" stopIfTrue="1" operator="lessThan">
      <formula>0.5</formula>
    </cfRule>
  </conditionalFormatting>
  <conditionalFormatting sqref="Z44">
    <cfRule type="cellIs" dxfId="4353" priority="145403" stopIfTrue="1" operator="greaterThanOrEqual">
      <formula>0.5</formula>
    </cfRule>
  </conditionalFormatting>
  <conditionalFormatting sqref="Z45">
    <cfRule type="cellIs" dxfId="4352" priority="145404" stopIfTrue="1" operator="equal">
      <formula>-1</formula>
    </cfRule>
  </conditionalFormatting>
  <conditionalFormatting sqref="Z45">
    <cfRule type="cellIs" dxfId="4351" priority="145405" stopIfTrue="1" operator="lessThan">
      <formula>0.5</formula>
    </cfRule>
  </conditionalFormatting>
  <conditionalFormatting sqref="Z45">
    <cfRule type="cellIs" dxfId="4350" priority="145406" stopIfTrue="1" operator="greaterThanOrEqual">
      <formula>0.5</formula>
    </cfRule>
  </conditionalFormatting>
  <conditionalFormatting sqref="Z46">
    <cfRule type="cellIs" dxfId="4349" priority="145407" stopIfTrue="1" operator="equal">
      <formula>-1</formula>
    </cfRule>
  </conditionalFormatting>
  <conditionalFormatting sqref="Z46">
    <cfRule type="cellIs" dxfId="4348" priority="145408" stopIfTrue="1" operator="lessThan">
      <formula>0.5</formula>
    </cfRule>
  </conditionalFormatting>
  <conditionalFormatting sqref="Z46">
    <cfRule type="cellIs" dxfId="4347" priority="145409" stopIfTrue="1" operator="greaterThanOrEqual">
      <formula>0.5</formula>
    </cfRule>
  </conditionalFormatting>
  <conditionalFormatting sqref="Z47">
    <cfRule type="cellIs" dxfId="4346" priority="145410" stopIfTrue="1" operator="equal">
      <formula>-1</formula>
    </cfRule>
  </conditionalFormatting>
  <conditionalFormatting sqref="Z47">
    <cfRule type="cellIs" dxfId="4345" priority="145411" stopIfTrue="1" operator="lessThan">
      <formula>0.5</formula>
    </cfRule>
  </conditionalFormatting>
  <conditionalFormatting sqref="Z47">
    <cfRule type="cellIs" dxfId="4344" priority="145412" stopIfTrue="1" operator="greaterThanOrEqual">
      <formula>0.5</formula>
    </cfRule>
  </conditionalFormatting>
  <conditionalFormatting sqref="Z48">
    <cfRule type="cellIs" dxfId="4343" priority="145413" stopIfTrue="1" operator="equal">
      <formula>-1</formula>
    </cfRule>
  </conditionalFormatting>
  <conditionalFormatting sqref="Z48">
    <cfRule type="cellIs" dxfId="4342" priority="145414" stopIfTrue="1" operator="lessThan">
      <formula>0.5</formula>
    </cfRule>
  </conditionalFormatting>
  <conditionalFormatting sqref="Z48">
    <cfRule type="cellIs" dxfId="4341" priority="145415" stopIfTrue="1" operator="greaterThanOrEqual">
      <formula>0.5</formula>
    </cfRule>
  </conditionalFormatting>
  <conditionalFormatting sqref="Z49">
    <cfRule type="cellIs" dxfId="4340" priority="145416" stopIfTrue="1" operator="equal">
      <formula>-1</formula>
    </cfRule>
  </conditionalFormatting>
  <conditionalFormatting sqref="Z49">
    <cfRule type="cellIs" dxfId="4339" priority="145417" stopIfTrue="1" operator="lessThan">
      <formula>0.5</formula>
    </cfRule>
  </conditionalFormatting>
  <conditionalFormatting sqref="Z49">
    <cfRule type="cellIs" dxfId="4338" priority="145418" stopIfTrue="1" operator="greaterThanOrEqual">
      <formula>0.5</formula>
    </cfRule>
  </conditionalFormatting>
  <conditionalFormatting sqref="Z50">
    <cfRule type="cellIs" dxfId="4337" priority="145419" stopIfTrue="1" operator="equal">
      <formula>-1</formula>
    </cfRule>
  </conditionalFormatting>
  <conditionalFormatting sqref="Z50">
    <cfRule type="cellIs" dxfId="4336" priority="145420" stopIfTrue="1" operator="lessThan">
      <formula>0.5</formula>
    </cfRule>
  </conditionalFormatting>
  <conditionalFormatting sqref="Z50">
    <cfRule type="cellIs" dxfId="4335" priority="145421" stopIfTrue="1" operator="greaterThanOrEqual">
      <formula>0.5</formula>
    </cfRule>
  </conditionalFormatting>
  <conditionalFormatting sqref="Z51">
    <cfRule type="cellIs" dxfId="4334" priority="145422" stopIfTrue="1" operator="equal">
      <formula>-1</formula>
    </cfRule>
  </conditionalFormatting>
  <conditionalFormatting sqref="Z51">
    <cfRule type="cellIs" dxfId="4333" priority="145423" stopIfTrue="1" operator="lessThan">
      <formula>0.5</formula>
    </cfRule>
  </conditionalFormatting>
  <conditionalFormatting sqref="Z51">
    <cfRule type="cellIs" dxfId="4332" priority="145424" stopIfTrue="1" operator="greaterThanOrEqual">
      <formula>0.5</formula>
    </cfRule>
  </conditionalFormatting>
  <conditionalFormatting sqref="Z52">
    <cfRule type="cellIs" dxfId="4331" priority="145425" stopIfTrue="1" operator="equal">
      <formula>-1</formula>
    </cfRule>
  </conditionalFormatting>
  <conditionalFormatting sqref="Z52">
    <cfRule type="cellIs" dxfId="4330" priority="145426" stopIfTrue="1" operator="lessThan">
      <formula>0.5</formula>
    </cfRule>
  </conditionalFormatting>
  <conditionalFormatting sqref="Z52">
    <cfRule type="cellIs" dxfId="4329" priority="145427" stopIfTrue="1" operator="greaterThanOrEqual">
      <formula>0.5</formula>
    </cfRule>
  </conditionalFormatting>
  <conditionalFormatting sqref="Z53">
    <cfRule type="cellIs" dxfId="4328" priority="145428" stopIfTrue="1" operator="equal">
      <formula>-1</formula>
    </cfRule>
  </conditionalFormatting>
  <conditionalFormatting sqref="Z53">
    <cfRule type="cellIs" dxfId="4327" priority="145429" stopIfTrue="1" operator="lessThan">
      <formula>0.5</formula>
    </cfRule>
  </conditionalFormatting>
  <conditionalFormatting sqref="Z53">
    <cfRule type="cellIs" dxfId="4326" priority="145430" stopIfTrue="1" operator="greaterThanOrEqual">
      <formula>0.5</formula>
    </cfRule>
  </conditionalFormatting>
  <conditionalFormatting sqref="Z54">
    <cfRule type="cellIs" dxfId="4325" priority="145431" stopIfTrue="1" operator="equal">
      <formula>-1</formula>
    </cfRule>
  </conditionalFormatting>
  <conditionalFormatting sqref="Z54">
    <cfRule type="cellIs" dxfId="4324" priority="145432" stopIfTrue="1" operator="lessThan">
      <formula>0.5</formula>
    </cfRule>
  </conditionalFormatting>
  <conditionalFormatting sqref="Z54">
    <cfRule type="cellIs" dxfId="4323" priority="145433" stopIfTrue="1" operator="greaterThanOrEqual">
      <formula>0.5</formula>
    </cfRule>
  </conditionalFormatting>
  <conditionalFormatting sqref="Z55">
    <cfRule type="cellIs" dxfId="4322" priority="145434" stopIfTrue="1" operator="equal">
      <formula>-1</formula>
    </cfRule>
  </conditionalFormatting>
  <conditionalFormatting sqref="Z55">
    <cfRule type="cellIs" dxfId="4321" priority="145435" stopIfTrue="1" operator="lessThan">
      <formula>0.5</formula>
    </cfRule>
  </conditionalFormatting>
  <conditionalFormatting sqref="Z55">
    <cfRule type="cellIs" dxfId="4320" priority="145436" stopIfTrue="1" operator="greaterThanOrEqual">
      <formula>0.5</formula>
    </cfRule>
  </conditionalFormatting>
  <conditionalFormatting sqref="Z56">
    <cfRule type="cellIs" dxfId="4319" priority="145437" stopIfTrue="1" operator="equal">
      <formula>-1</formula>
    </cfRule>
  </conditionalFormatting>
  <conditionalFormatting sqref="Z56">
    <cfRule type="cellIs" dxfId="4318" priority="145438" stopIfTrue="1" operator="lessThan">
      <formula>0.5</formula>
    </cfRule>
  </conditionalFormatting>
  <conditionalFormatting sqref="Z56">
    <cfRule type="cellIs" dxfId="4317" priority="145439" stopIfTrue="1" operator="greaterThanOrEqual">
      <formula>0.5</formula>
    </cfRule>
  </conditionalFormatting>
  <conditionalFormatting sqref="Z57">
    <cfRule type="cellIs" dxfId="4316" priority="145440" stopIfTrue="1" operator="equal">
      <formula>-1</formula>
    </cfRule>
  </conditionalFormatting>
  <conditionalFormatting sqref="Z57">
    <cfRule type="cellIs" dxfId="4315" priority="145441" stopIfTrue="1" operator="lessThan">
      <formula>0.5</formula>
    </cfRule>
  </conditionalFormatting>
  <conditionalFormatting sqref="Z57">
    <cfRule type="cellIs" dxfId="4314" priority="145442" stopIfTrue="1" operator="greaterThanOrEqual">
      <formula>0.5</formula>
    </cfRule>
  </conditionalFormatting>
  <conditionalFormatting sqref="Z58">
    <cfRule type="cellIs" dxfId="4313" priority="145443" stopIfTrue="1" operator="equal">
      <formula>-1</formula>
    </cfRule>
  </conditionalFormatting>
  <conditionalFormatting sqref="Z58">
    <cfRule type="cellIs" dxfId="4312" priority="145444" stopIfTrue="1" operator="lessThan">
      <formula>0.5</formula>
    </cfRule>
  </conditionalFormatting>
  <conditionalFormatting sqref="Z58">
    <cfRule type="cellIs" dxfId="4311" priority="145445" stopIfTrue="1" operator="greaterThanOrEqual">
      <formula>0.5</formula>
    </cfRule>
  </conditionalFormatting>
  <conditionalFormatting sqref="AB39">
    <cfRule type="cellIs" dxfId="4310" priority="145446" stopIfTrue="1" operator="equal">
      <formula>-1</formula>
    </cfRule>
  </conditionalFormatting>
  <conditionalFormatting sqref="AB39">
    <cfRule type="cellIs" dxfId="4309" priority="145447" stopIfTrue="1" operator="lessThan">
      <formula>0.5</formula>
    </cfRule>
  </conditionalFormatting>
  <conditionalFormatting sqref="AB39">
    <cfRule type="cellIs" dxfId="4308" priority="145448" stopIfTrue="1" operator="greaterThanOrEqual">
      <formula>0.5</formula>
    </cfRule>
  </conditionalFormatting>
  <conditionalFormatting sqref="AB40">
    <cfRule type="cellIs" dxfId="4307" priority="145449" stopIfTrue="1" operator="equal">
      <formula>-1</formula>
    </cfRule>
  </conditionalFormatting>
  <conditionalFormatting sqref="AB40">
    <cfRule type="cellIs" dxfId="4306" priority="145450" stopIfTrue="1" operator="lessThan">
      <formula>0.5</formula>
    </cfRule>
  </conditionalFormatting>
  <conditionalFormatting sqref="AB40">
    <cfRule type="cellIs" dxfId="4305" priority="145451" stopIfTrue="1" operator="greaterThanOrEqual">
      <formula>0.5</formula>
    </cfRule>
  </conditionalFormatting>
  <conditionalFormatting sqref="AB41">
    <cfRule type="cellIs" dxfId="4304" priority="145452" stopIfTrue="1" operator="equal">
      <formula>-1</formula>
    </cfRule>
  </conditionalFormatting>
  <conditionalFormatting sqref="AB41">
    <cfRule type="cellIs" dxfId="4303" priority="145453" stopIfTrue="1" operator="lessThan">
      <formula>0.5</formula>
    </cfRule>
  </conditionalFormatting>
  <conditionalFormatting sqref="AB41">
    <cfRule type="cellIs" dxfId="4302" priority="145454" stopIfTrue="1" operator="greaterThanOrEqual">
      <formula>0.5</formula>
    </cfRule>
  </conditionalFormatting>
  <conditionalFormatting sqref="AB42">
    <cfRule type="cellIs" dxfId="4301" priority="145455" stopIfTrue="1" operator="equal">
      <formula>-1</formula>
    </cfRule>
  </conditionalFormatting>
  <conditionalFormatting sqref="AB42">
    <cfRule type="cellIs" dxfId="4300" priority="145456" stopIfTrue="1" operator="lessThan">
      <formula>0.5</formula>
    </cfRule>
  </conditionalFormatting>
  <conditionalFormatting sqref="AB42">
    <cfRule type="cellIs" dxfId="4299" priority="145457" stopIfTrue="1" operator="greaterThanOrEqual">
      <formula>0.5</formula>
    </cfRule>
  </conditionalFormatting>
  <conditionalFormatting sqref="AB43">
    <cfRule type="cellIs" dxfId="4298" priority="145458" stopIfTrue="1" operator="equal">
      <formula>-1</formula>
    </cfRule>
  </conditionalFormatting>
  <conditionalFormatting sqref="AB43">
    <cfRule type="cellIs" dxfId="4297" priority="145459" stopIfTrue="1" operator="lessThan">
      <formula>0.5</formula>
    </cfRule>
  </conditionalFormatting>
  <conditionalFormatting sqref="AB43">
    <cfRule type="cellIs" dxfId="4296" priority="145460" stopIfTrue="1" operator="greaterThanOrEqual">
      <formula>0.5</formula>
    </cfRule>
  </conditionalFormatting>
  <conditionalFormatting sqref="AB44">
    <cfRule type="cellIs" dxfId="4295" priority="145461" stopIfTrue="1" operator="equal">
      <formula>-1</formula>
    </cfRule>
  </conditionalFormatting>
  <conditionalFormatting sqref="AB44">
    <cfRule type="cellIs" dxfId="4294" priority="145462" stopIfTrue="1" operator="lessThan">
      <formula>0.5</formula>
    </cfRule>
  </conditionalFormatting>
  <conditionalFormatting sqref="AB44">
    <cfRule type="cellIs" dxfId="4293" priority="145463" stopIfTrue="1" operator="greaterThanOrEqual">
      <formula>0.5</formula>
    </cfRule>
  </conditionalFormatting>
  <conditionalFormatting sqref="AB45">
    <cfRule type="cellIs" dxfId="4292" priority="145464" stopIfTrue="1" operator="equal">
      <formula>-1</formula>
    </cfRule>
  </conditionalFormatting>
  <conditionalFormatting sqref="AB45">
    <cfRule type="cellIs" dxfId="4291" priority="145465" stopIfTrue="1" operator="lessThan">
      <formula>0.5</formula>
    </cfRule>
  </conditionalFormatting>
  <conditionalFormatting sqref="AB45">
    <cfRule type="cellIs" dxfId="4290" priority="145466" stopIfTrue="1" operator="greaterThanOrEqual">
      <formula>0.5</formula>
    </cfRule>
  </conditionalFormatting>
  <conditionalFormatting sqref="AB46">
    <cfRule type="cellIs" dxfId="4289" priority="145467" stopIfTrue="1" operator="equal">
      <formula>-1</formula>
    </cfRule>
  </conditionalFormatting>
  <conditionalFormatting sqref="AB46">
    <cfRule type="cellIs" dxfId="4288" priority="145468" stopIfTrue="1" operator="lessThan">
      <formula>0.5</formula>
    </cfRule>
  </conditionalFormatting>
  <conditionalFormatting sqref="AB46">
    <cfRule type="cellIs" dxfId="4287" priority="145469" stopIfTrue="1" operator="greaterThanOrEqual">
      <formula>0.5</formula>
    </cfRule>
  </conditionalFormatting>
  <conditionalFormatting sqref="AB47">
    <cfRule type="cellIs" dxfId="4286" priority="145470" stopIfTrue="1" operator="equal">
      <formula>-1</formula>
    </cfRule>
  </conditionalFormatting>
  <conditionalFormatting sqref="AB47">
    <cfRule type="cellIs" dxfId="4285" priority="145471" stopIfTrue="1" operator="lessThan">
      <formula>0.5</formula>
    </cfRule>
  </conditionalFormatting>
  <conditionalFormatting sqref="AB47">
    <cfRule type="cellIs" dxfId="4284" priority="145472" stopIfTrue="1" operator="greaterThanOrEqual">
      <formula>0.5</formula>
    </cfRule>
  </conditionalFormatting>
  <conditionalFormatting sqref="AB48">
    <cfRule type="cellIs" dxfId="4283" priority="145473" stopIfTrue="1" operator="equal">
      <formula>-1</formula>
    </cfRule>
  </conditionalFormatting>
  <conditionalFormatting sqref="AB48">
    <cfRule type="cellIs" dxfId="4282" priority="145474" stopIfTrue="1" operator="lessThan">
      <formula>0.5</formula>
    </cfRule>
  </conditionalFormatting>
  <conditionalFormatting sqref="AB48">
    <cfRule type="cellIs" dxfId="4281" priority="145475" stopIfTrue="1" operator="greaterThanOrEqual">
      <formula>0.5</formula>
    </cfRule>
  </conditionalFormatting>
  <conditionalFormatting sqref="AB49">
    <cfRule type="cellIs" dxfId="4280" priority="145476" stopIfTrue="1" operator="equal">
      <formula>-1</formula>
    </cfRule>
  </conditionalFormatting>
  <conditionalFormatting sqref="AB49">
    <cfRule type="cellIs" dxfId="4279" priority="145477" stopIfTrue="1" operator="lessThan">
      <formula>0.5</formula>
    </cfRule>
  </conditionalFormatting>
  <conditionalFormatting sqref="AB49">
    <cfRule type="cellIs" dxfId="4278" priority="145478" stopIfTrue="1" operator="greaterThanOrEqual">
      <formula>0.5</formula>
    </cfRule>
  </conditionalFormatting>
  <conditionalFormatting sqref="AB50">
    <cfRule type="cellIs" dxfId="4277" priority="145479" stopIfTrue="1" operator="equal">
      <formula>-1</formula>
    </cfRule>
  </conditionalFormatting>
  <conditionalFormatting sqref="AB50">
    <cfRule type="cellIs" dxfId="4276" priority="145480" stopIfTrue="1" operator="lessThan">
      <formula>0.5</formula>
    </cfRule>
  </conditionalFormatting>
  <conditionalFormatting sqref="AB50">
    <cfRule type="cellIs" dxfId="4275" priority="145481" stopIfTrue="1" operator="greaterThanOrEqual">
      <formula>0.5</formula>
    </cfRule>
  </conditionalFormatting>
  <conditionalFormatting sqref="AB51">
    <cfRule type="cellIs" dxfId="4274" priority="145482" stopIfTrue="1" operator="equal">
      <formula>-1</formula>
    </cfRule>
  </conditionalFormatting>
  <conditionalFormatting sqref="AB51">
    <cfRule type="cellIs" dxfId="4273" priority="145483" stopIfTrue="1" operator="lessThan">
      <formula>0.5</formula>
    </cfRule>
  </conditionalFormatting>
  <conditionalFormatting sqref="AB51">
    <cfRule type="cellIs" dxfId="4272" priority="145484" stopIfTrue="1" operator="greaterThanOrEqual">
      <formula>0.5</formula>
    </cfRule>
  </conditionalFormatting>
  <conditionalFormatting sqref="AB52">
    <cfRule type="cellIs" dxfId="4271" priority="145485" stopIfTrue="1" operator="equal">
      <formula>-1</formula>
    </cfRule>
  </conditionalFormatting>
  <conditionalFormatting sqref="AB52">
    <cfRule type="cellIs" dxfId="4270" priority="145486" stopIfTrue="1" operator="lessThan">
      <formula>0.5</formula>
    </cfRule>
  </conditionalFormatting>
  <conditionalFormatting sqref="AB52">
    <cfRule type="cellIs" dxfId="4269" priority="145487" stopIfTrue="1" operator="greaterThanOrEqual">
      <formula>0.5</formula>
    </cfRule>
  </conditionalFormatting>
  <conditionalFormatting sqref="AB53">
    <cfRule type="cellIs" dxfId="4268" priority="145488" stopIfTrue="1" operator="equal">
      <formula>-1</formula>
    </cfRule>
  </conditionalFormatting>
  <conditionalFormatting sqref="AB53">
    <cfRule type="cellIs" dxfId="4267" priority="145489" stopIfTrue="1" operator="lessThan">
      <formula>0.5</formula>
    </cfRule>
  </conditionalFormatting>
  <conditionalFormatting sqref="AB53">
    <cfRule type="cellIs" dxfId="4266" priority="145490" stopIfTrue="1" operator="greaterThanOrEqual">
      <formula>0.5</formula>
    </cfRule>
  </conditionalFormatting>
  <conditionalFormatting sqref="AB54">
    <cfRule type="cellIs" dxfId="4265" priority="145491" stopIfTrue="1" operator="equal">
      <formula>-1</formula>
    </cfRule>
  </conditionalFormatting>
  <conditionalFormatting sqref="AB54">
    <cfRule type="cellIs" dxfId="4264" priority="145492" stopIfTrue="1" operator="lessThan">
      <formula>0.5</formula>
    </cfRule>
  </conditionalFormatting>
  <conditionalFormatting sqref="AB54">
    <cfRule type="cellIs" dxfId="4263" priority="145493" stopIfTrue="1" operator="greaterThanOrEqual">
      <formula>0.5</formula>
    </cfRule>
  </conditionalFormatting>
  <conditionalFormatting sqref="AB55">
    <cfRule type="cellIs" dxfId="4262" priority="145494" stopIfTrue="1" operator="equal">
      <formula>-1</formula>
    </cfRule>
  </conditionalFormatting>
  <conditionalFormatting sqref="AB55">
    <cfRule type="cellIs" dxfId="4261" priority="145495" stopIfTrue="1" operator="lessThan">
      <formula>0.5</formula>
    </cfRule>
  </conditionalFormatting>
  <conditionalFormatting sqref="AB55">
    <cfRule type="cellIs" dxfId="4260" priority="145496" stopIfTrue="1" operator="greaterThanOrEqual">
      <formula>0.5</formula>
    </cfRule>
  </conditionalFormatting>
  <conditionalFormatting sqref="AB56">
    <cfRule type="cellIs" dxfId="4259" priority="145497" stopIfTrue="1" operator="equal">
      <formula>-1</formula>
    </cfRule>
  </conditionalFormatting>
  <conditionalFormatting sqref="AB56">
    <cfRule type="cellIs" dxfId="4258" priority="145498" stopIfTrue="1" operator="lessThan">
      <formula>0.5</formula>
    </cfRule>
  </conditionalFormatting>
  <conditionalFormatting sqref="AB56">
    <cfRule type="cellIs" dxfId="4257" priority="145499" stopIfTrue="1" operator="greaterThanOrEqual">
      <formula>0.5</formula>
    </cfRule>
  </conditionalFormatting>
  <conditionalFormatting sqref="AB57">
    <cfRule type="cellIs" dxfId="4256" priority="145500" stopIfTrue="1" operator="equal">
      <formula>-1</formula>
    </cfRule>
  </conditionalFormatting>
  <conditionalFormatting sqref="AB57">
    <cfRule type="cellIs" dxfId="4255" priority="145501" stopIfTrue="1" operator="lessThan">
      <formula>0.5</formula>
    </cfRule>
  </conditionalFormatting>
  <conditionalFormatting sqref="AB57">
    <cfRule type="cellIs" dxfId="4254" priority="145502" stopIfTrue="1" operator="greaterThanOrEqual">
      <formula>0.5</formula>
    </cfRule>
  </conditionalFormatting>
  <conditionalFormatting sqref="AB58">
    <cfRule type="cellIs" dxfId="4253" priority="145503" stopIfTrue="1" operator="equal">
      <formula>-1</formula>
    </cfRule>
  </conditionalFormatting>
  <conditionalFormatting sqref="AB58">
    <cfRule type="cellIs" dxfId="4252" priority="145504" stopIfTrue="1" operator="lessThan">
      <formula>0.5</formula>
    </cfRule>
  </conditionalFormatting>
  <conditionalFormatting sqref="AB58">
    <cfRule type="cellIs" dxfId="4251" priority="145505" stopIfTrue="1" operator="greaterThanOrEqual">
      <formula>0.5</formula>
    </cfRule>
  </conditionalFormatting>
  <conditionalFormatting sqref="AD39">
    <cfRule type="cellIs" dxfId="4250" priority="145506" stopIfTrue="1" operator="equal">
      <formula>-1</formula>
    </cfRule>
  </conditionalFormatting>
  <conditionalFormatting sqref="AD39">
    <cfRule type="cellIs" dxfId="4249" priority="145507" stopIfTrue="1" operator="lessThan">
      <formula>0.5</formula>
    </cfRule>
  </conditionalFormatting>
  <conditionalFormatting sqref="AD39">
    <cfRule type="cellIs" dxfId="4248" priority="145508" stopIfTrue="1" operator="greaterThanOrEqual">
      <formula>0.5</formula>
    </cfRule>
  </conditionalFormatting>
  <conditionalFormatting sqref="AD40">
    <cfRule type="cellIs" dxfId="4247" priority="145509" stopIfTrue="1" operator="equal">
      <formula>-1</formula>
    </cfRule>
  </conditionalFormatting>
  <conditionalFormatting sqref="AD40">
    <cfRule type="cellIs" dxfId="4246" priority="145510" stopIfTrue="1" operator="lessThan">
      <formula>0.5</formula>
    </cfRule>
  </conditionalFormatting>
  <conditionalFormatting sqref="AD40">
    <cfRule type="cellIs" dxfId="4245" priority="145511" stopIfTrue="1" operator="greaterThanOrEqual">
      <formula>0.5</formula>
    </cfRule>
  </conditionalFormatting>
  <conditionalFormatting sqref="AD41">
    <cfRule type="cellIs" dxfId="4244" priority="145512" stopIfTrue="1" operator="equal">
      <formula>-1</formula>
    </cfRule>
  </conditionalFormatting>
  <conditionalFormatting sqref="AD41">
    <cfRule type="cellIs" dxfId="4243" priority="145513" stopIfTrue="1" operator="lessThan">
      <formula>0.5</formula>
    </cfRule>
  </conditionalFormatting>
  <conditionalFormatting sqref="AD41">
    <cfRule type="cellIs" dxfId="4242" priority="145514" stopIfTrue="1" operator="greaterThanOrEqual">
      <formula>0.5</formula>
    </cfRule>
  </conditionalFormatting>
  <conditionalFormatting sqref="AD42">
    <cfRule type="cellIs" dxfId="4241" priority="145515" stopIfTrue="1" operator="equal">
      <formula>-1</formula>
    </cfRule>
  </conditionalFormatting>
  <conditionalFormatting sqref="AD42">
    <cfRule type="cellIs" dxfId="4240" priority="145516" stopIfTrue="1" operator="lessThan">
      <formula>0.5</formula>
    </cfRule>
  </conditionalFormatting>
  <conditionalFormatting sqref="AD42">
    <cfRule type="cellIs" dxfId="4239" priority="145517" stopIfTrue="1" operator="greaterThanOrEqual">
      <formula>0.5</formula>
    </cfRule>
  </conditionalFormatting>
  <conditionalFormatting sqref="AD43">
    <cfRule type="cellIs" dxfId="4238" priority="145518" stopIfTrue="1" operator="equal">
      <formula>-1</formula>
    </cfRule>
  </conditionalFormatting>
  <conditionalFormatting sqref="AD43">
    <cfRule type="cellIs" dxfId="4237" priority="145519" stopIfTrue="1" operator="lessThan">
      <formula>0.5</formula>
    </cfRule>
  </conditionalFormatting>
  <conditionalFormatting sqref="AD43">
    <cfRule type="cellIs" dxfId="4236" priority="145520" stopIfTrue="1" operator="greaterThanOrEqual">
      <formula>0.5</formula>
    </cfRule>
  </conditionalFormatting>
  <conditionalFormatting sqref="AD44">
    <cfRule type="cellIs" dxfId="4235" priority="145521" stopIfTrue="1" operator="equal">
      <formula>-1</formula>
    </cfRule>
  </conditionalFormatting>
  <conditionalFormatting sqref="AD44">
    <cfRule type="cellIs" dxfId="4234" priority="145522" stopIfTrue="1" operator="lessThan">
      <formula>0.5</formula>
    </cfRule>
  </conditionalFormatting>
  <conditionalFormatting sqref="AD44">
    <cfRule type="cellIs" dxfId="4233" priority="145523" stopIfTrue="1" operator="greaterThanOrEqual">
      <formula>0.5</formula>
    </cfRule>
  </conditionalFormatting>
  <conditionalFormatting sqref="AD45">
    <cfRule type="cellIs" dxfId="4232" priority="145524" stopIfTrue="1" operator="equal">
      <formula>-1</formula>
    </cfRule>
  </conditionalFormatting>
  <conditionalFormatting sqref="AD45">
    <cfRule type="cellIs" dxfId="4231" priority="145525" stopIfTrue="1" operator="lessThan">
      <formula>0.5</formula>
    </cfRule>
  </conditionalFormatting>
  <conditionalFormatting sqref="AD45">
    <cfRule type="cellIs" dxfId="4230" priority="145526" stopIfTrue="1" operator="greaterThanOrEqual">
      <formula>0.5</formula>
    </cfRule>
  </conditionalFormatting>
  <conditionalFormatting sqref="AD46">
    <cfRule type="cellIs" dxfId="4229" priority="145527" stopIfTrue="1" operator="equal">
      <formula>-1</formula>
    </cfRule>
  </conditionalFormatting>
  <conditionalFormatting sqref="AD46">
    <cfRule type="cellIs" dxfId="4228" priority="145528" stopIfTrue="1" operator="lessThan">
      <formula>0.5</formula>
    </cfRule>
  </conditionalFormatting>
  <conditionalFormatting sqref="AD46">
    <cfRule type="cellIs" dxfId="4227" priority="145529" stopIfTrue="1" operator="greaterThanOrEqual">
      <formula>0.5</formula>
    </cfRule>
  </conditionalFormatting>
  <conditionalFormatting sqref="AD47">
    <cfRule type="cellIs" dxfId="4226" priority="145530" stopIfTrue="1" operator="equal">
      <formula>-1</formula>
    </cfRule>
  </conditionalFormatting>
  <conditionalFormatting sqref="AD47">
    <cfRule type="cellIs" dxfId="4225" priority="145531" stopIfTrue="1" operator="lessThan">
      <formula>0.5</formula>
    </cfRule>
  </conditionalFormatting>
  <conditionalFormatting sqref="AD47">
    <cfRule type="cellIs" dxfId="4224" priority="145532" stopIfTrue="1" operator="greaterThanOrEqual">
      <formula>0.5</formula>
    </cfRule>
  </conditionalFormatting>
  <conditionalFormatting sqref="AD48">
    <cfRule type="cellIs" dxfId="4223" priority="145533" stopIfTrue="1" operator="equal">
      <formula>-1</formula>
    </cfRule>
  </conditionalFormatting>
  <conditionalFormatting sqref="AD48">
    <cfRule type="cellIs" dxfId="4222" priority="145534" stopIfTrue="1" operator="lessThan">
      <formula>0.5</formula>
    </cfRule>
  </conditionalFormatting>
  <conditionalFormatting sqref="AD48">
    <cfRule type="cellIs" dxfId="4221" priority="145535" stopIfTrue="1" operator="greaterThanOrEqual">
      <formula>0.5</formula>
    </cfRule>
  </conditionalFormatting>
  <conditionalFormatting sqref="AD49">
    <cfRule type="cellIs" dxfId="4220" priority="145536" stopIfTrue="1" operator="equal">
      <formula>-1</formula>
    </cfRule>
  </conditionalFormatting>
  <conditionalFormatting sqref="AD49">
    <cfRule type="cellIs" dxfId="4219" priority="145537" stopIfTrue="1" operator="lessThan">
      <formula>0.5</formula>
    </cfRule>
  </conditionalFormatting>
  <conditionalFormatting sqref="AD49">
    <cfRule type="cellIs" dxfId="4218" priority="145538" stopIfTrue="1" operator="greaterThanOrEqual">
      <formula>0.5</formula>
    </cfRule>
  </conditionalFormatting>
  <conditionalFormatting sqref="AD50">
    <cfRule type="cellIs" dxfId="4217" priority="145539" stopIfTrue="1" operator="equal">
      <formula>-1</formula>
    </cfRule>
  </conditionalFormatting>
  <conditionalFormatting sqref="AD50">
    <cfRule type="cellIs" dxfId="4216" priority="145540" stopIfTrue="1" operator="lessThan">
      <formula>0.5</formula>
    </cfRule>
  </conditionalFormatting>
  <conditionalFormatting sqref="AD50">
    <cfRule type="cellIs" dxfId="4215" priority="145541" stopIfTrue="1" operator="greaterThanOrEqual">
      <formula>0.5</formula>
    </cfRule>
  </conditionalFormatting>
  <conditionalFormatting sqref="AD51">
    <cfRule type="cellIs" dxfId="4214" priority="145542" stopIfTrue="1" operator="equal">
      <formula>-1</formula>
    </cfRule>
  </conditionalFormatting>
  <conditionalFormatting sqref="AD51">
    <cfRule type="cellIs" dxfId="4213" priority="145543" stopIfTrue="1" operator="lessThan">
      <formula>0.5</formula>
    </cfRule>
  </conditionalFormatting>
  <conditionalFormatting sqref="AD51">
    <cfRule type="cellIs" dxfId="4212" priority="145544" stopIfTrue="1" operator="greaterThanOrEqual">
      <formula>0.5</formula>
    </cfRule>
  </conditionalFormatting>
  <conditionalFormatting sqref="AD52">
    <cfRule type="cellIs" dxfId="4211" priority="145545" stopIfTrue="1" operator="equal">
      <formula>-1</formula>
    </cfRule>
  </conditionalFormatting>
  <conditionalFormatting sqref="AD52">
    <cfRule type="cellIs" dxfId="4210" priority="145546" stopIfTrue="1" operator="lessThan">
      <formula>0.5</formula>
    </cfRule>
  </conditionalFormatting>
  <conditionalFormatting sqref="AD52">
    <cfRule type="cellIs" dxfId="4209" priority="145547" stopIfTrue="1" operator="greaterThanOrEqual">
      <formula>0.5</formula>
    </cfRule>
  </conditionalFormatting>
  <conditionalFormatting sqref="AD53">
    <cfRule type="cellIs" dxfId="4208" priority="145548" stopIfTrue="1" operator="equal">
      <formula>-1</formula>
    </cfRule>
  </conditionalFormatting>
  <conditionalFormatting sqref="AD53">
    <cfRule type="cellIs" dxfId="4207" priority="145549" stopIfTrue="1" operator="lessThan">
      <formula>0.5</formula>
    </cfRule>
  </conditionalFormatting>
  <conditionalFormatting sqref="AD53">
    <cfRule type="cellIs" dxfId="4206" priority="145550" stopIfTrue="1" operator="greaterThanOrEqual">
      <formula>0.5</formula>
    </cfRule>
  </conditionalFormatting>
  <conditionalFormatting sqref="AD54">
    <cfRule type="cellIs" dxfId="4205" priority="145551" stopIfTrue="1" operator="equal">
      <formula>-1</formula>
    </cfRule>
  </conditionalFormatting>
  <conditionalFormatting sqref="AD54">
    <cfRule type="cellIs" dxfId="4204" priority="145552" stopIfTrue="1" operator="lessThan">
      <formula>0.5</formula>
    </cfRule>
  </conditionalFormatting>
  <conditionalFormatting sqref="AD54">
    <cfRule type="cellIs" dxfId="4203" priority="145553" stopIfTrue="1" operator="greaterThanOrEqual">
      <formula>0.5</formula>
    </cfRule>
  </conditionalFormatting>
  <conditionalFormatting sqref="AD55">
    <cfRule type="cellIs" dxfId="4202" priority="145554" stopIfTrue="1" operator="equal">
      <formula>-1</formula>
    </cfRule>
  </conditionalFormatting>
  <conditionalFormatting sqref="AD55">
    <cfRule type="cellIs" dxfId="4201" priority="145555" stopIfTrue="1" operator="lessThan">
      <formula>0.5</formula>
    </cfRule>
  </conditionalFormatting>
  <conditionalFormatting sqref="AD55">
    <cfRule type="cellIs" dxfId="4200" priority="145556" stopIfTrue="1" operator="greaterThanOrEqual">
      <formula>0.5</formula>
    </cfRule>
  </conditionalFormatting>
  <conditionalFormatting sqref="AD56">
    <cfRule type="cellIs" dxfId="4199" priority="145557" stopIfTrue="1" operator="equal">
      <formula>-1</formula>
    </cfRule>
  </conditionalFormatting>
  <conditionalFormatting sqref="AD56">
    <cfRule type="cellIs" dxfId="4198" priority="145558" stopIfTrue="1" operator="lessThan">
      <formula>0.5</formula>
    </cfRule>
  </conditionalFormatting>
  <conditionalFormatting sqref="AD56">
    <cfRule type="cellIs" dxfId="4197" priority="145559" stopIfTrue="1" operator="greaterThanOrEqual">
      <formula>0.5</formula>
    </cfRule>
  </conditionalFormatting>
  <conditionalFormatting sqref="AD57">
    <cfRule type="cellIs" dxfId="4196" priority="145560" stopIfTrue="1" operator="equal">
      <formula>-1</formula>
    </cfRule>
  </conditionalFormatting>
  <conditionalFormatting sqref="AD57">
    <cfRule type="cellIs" dxfId="4195" priority="145561" stopIfTrue="1" operator="lessThan">
      <formula>0.5</formula>
    </cfRule>
  </conditionalFormatting>
  <conditionalFormatting sqref="AD57">
    <cfRule type="cellIs" dxfId="4194" priority="145562" stopIfTrue="1" operator="greaterThanOrEqual">
      <formula>0.5</formula>
    </cfRule>
  </conditionalFormatting>
  <conditionalFormatting sqref="AD58">
    <cfRule type="cellIs" dxfId="4193" priority="145563" stopIfTrue="1" operator="equal">
      <formula>-1</formula>
    </cfRule>
  </conditionalFormatting>
  <conditionalFormatting sqref="AD58">
    <cfRule type="cellIs" dxfId="4192" priority="145564" stopIfTrue="1" operator="lessThan">
      <formula>0.5</formula>
    </cfRule>
  </conditionalFormatting>
  <conditionalFormatting sqref="AD58">
    <cfRule type="cellIs" dxfId="4191" priority="145565" stopIfTrue="1" operator="greaterThanOrEqual">
      <formula>0.5</formula>
    </cfRule>
  </conditionalFormatting>
  <conditionalFormatting sqref="AF39">
    <cfRule type="cellIs" dxfId="4190" priority="145566" stopIfTrue="1" operator="equal">
      <formula>-1</formula>
    </cfRule>
  </conditionalFormatting>
  <conditionalFormatting sqref="AF39">
    <cfRule type="cellIs" dxfId="4189" priority="145567" stopIfTrue="1" operator="lessThan">
      <formula>0.5</formula>
    </cfRule>
  </conditionalFormatting>
  <conditionalFormatting sqref="AF39">
    <cfRule type="cellIs" dxfId="4188" priority="145568" stopIfTrue="1" operator="greaterThanOrEqual">
      <formula>0.5</formula>
    </cfRule>
  </conditionalFormatting>
  <conditionalFormatting sqref="AF40">
    <cfRule type="cellIs" dxfId="4187" priority="145569" stopIfTrue="1" operator="equal">
      <formula>-1</formula>
    </cfRule>
  </conditionalFormatting>
  <conditionalFormatting sqref="AF40">
    <cfRule type="cellIs" dxfId="4186" priority="145570" stopIfTrue="1" operator="lessThan">
      <formula>0.5</formula>
    </cfRule>
  </conditionalFormatting>
  <conditionalFormatting sqref="AF40">
    <cfRule type="cellIs" dxfId="4185" priority="145571" stopIfTrue="1" operator="greaterThanOrEqual">
      <formula>0.5</formula>
    </cfRule>
  </conditionalFormatting>
  <conditionalFormatting sqref="AF41">
    <cfRule type="cellIs" dxfId="4184" priority="145572" stopIfTrue="1" operator="equal">
      <formula>-1</formula>
    </cfRule>
  </conditionalFormatting>
  <conditionalFormatting sqref="AF41">
    <cfRule type="cellIs" dxfId="4183" priority="145573" stopIfTrue="1" operator="lessThan">
      <formula>0.5</formula>
    </cfRule>
  </conditionalFormatting>
  <conditionalFormatting sqref="AF41">
    <cfRule type="cellIs" dxfId="4182" priority="145574" stopIfTrue="1" operator="greaterThanOrEqual">
      <formula>0.5</formula>
    </cfRule>
  </conditionalFormatting>
  <conditionalFormatting sqref="AF42">
    <cfRule type="cellIs" dxfId="4181" priority="145575" stopIfTrue="1" operator="equal">
      <formula>-1</formula>
    </cfRule>
  </conditionalFormatting>
  <conditionalFormatting sqref="AF42">
    <cfRule type="cellIs" dxfId="4180" priority="145576" stopIfTrue="1" operator="lessThan">
      <formula>0.5</formula>
    </cfRule>
  </conditionalFormatting>
  <conditionalFormatting sqref="AF42">
    <cfRule type="cellIs" dxfId="4179" priority="145577" stopIfTrue="1" operator="greaterThanOrEqual">
      <formula>0.5</formula>
    </cfRule>
  </conditionalFormatting>
  <conditionalFormatting sqref="AF43">
    <cfRule type="cellIs" dxfId="4178" priority="145578" stopIfTrue="1" operator="equal">
      <formula>-1</formula>
    </cfRule>
  </conditionalFormatting>
  <conditionalFormatting sqref="AF43">
    <cfRule type="cellIs" dxfId="4177" priority="145579" stopIfTrue="1" operator="lessThan">
      <formula>0.5</formula>
    </cfRule>
  </conditionalFormatting>
  <conditionalFormatting sqref="AF43">
    <cfRule type="cellIs" dxfId="4176" priority="145580" stopIfTrue="1" operator="greaterThanOrEqual">
      <formula>0.5</formula>
    </cfRule>
  </conditionalFormatting>
  <conditionalFormatting sqref="AF44">
    <cfRule type="cellIs" dxfId="4175" priority="145581" stopIfTrue="1" operator="equal">
      <formula>-1</formula>
    </cfRule>
  </conditionalFormatting>
  <conditionalFormatting sqref="AF44">
    <cfRule type="cellIs" dxfId="4174" priority="145582" stopIfTrue="1" operator="lessThan">
      <formula>0.5</formula>
    </cfRule>
  </conditionalFormatting>
  <conditionalFormatting sqref="AF44">
    <cfRule type="cellIs" dxfId="4173" priority="145583" stopIfTrue="1" operator="greaterThanOrEqual">
      <formula>0.5</formula>
    </cfRule>
  </conditionalFormatting>
  <conditionalFormatting sqref="AF45">
    <cfRule type="cellIs" dxfId="4172" priority="145584" stopIfTrue="1" operator="equal">
      <formula>-1</formula>
    </cfRule>
  </conditionalFormatting>
  <conditionalFormatting sqref="AF45">
    <cfRule type="cellIs" dxfId="4171" priority="145585" stopIfTrue="1" operator="lessThan">
      <formula>0.5</formula>
    </cfRule>
  </conditionalFormatting>
  <conditionalFormatting sqref="AF45">
    <cfRule type="cellIs" dxfId="4170" priority="145586" stopIfTrue="1" operator="greaterThanOrEqual">
      <formula>0.5</formula>
    </cfRule>
  </conditionalFormatting>
  <conditionalFormatting sqref="AF46">
    <cfRule type="cellIs" dxfId="4169" priority="145587" stopIfTrue="1" operator="equal">
      <formula>-1</formula>
    </cfRule>
  </conditionalFormatting>
  <conditionalFormatting sqref="AF46">
    <cfRule type="cellIs" dxfId="4168" priority="145588" stopIfTrue="1" operator="lessThan">
      <formula>0.5</formula>
    </cfRule>
  </conditionalFormatting>
  <conditionalFormatting sqref="AF46">
    <cfRule type="cellIs" dxfId="4167" priority="145589" stopIfTrue="1" operator="greaterThanOrEqual">
      <formula>0.5</formula>
    </cfRule>
  </conditionalFormatting>
  <conditionalFormatting sqref="AF47">
    <cfRule type="cellIs" dxfId="4166" priority="145590" stopIfTrue="1" operator="equal">
      <formula>-1</formula>
    </cfRule>
  </conditionalFormatting>
  <conditionalFormatting sqref="AF47">
    <cfRule type="cellIs" dxfId="4165" priority="145591" stopIfTrue="1" operator="lessThan">
      <formula>0.5</formula>
    </cfRule>
  </conditionalFormatting>
  <conditionalFormatting sqref="AF47">
    <cfRule type="cellIs" dxfId="4164" priority="145592" stopIfTrue="1" operator="greaterThanOrEqual">
      <formula>0.5</formula>
    </cfRule>
  </conditionalFormatting>
  <conditionalFormatting sqref="AF48">
    <cfRule type="cellIs" dxfId="4163" priority="145593" stopIfTrue="1" operator="equal">
      <formula>-1</formula>
    </cfRule>
  </conditionalFormatting>
  <conditionalFormatting sqref="AF48">
    <cfRule type="cellIs" dxfId="4162" priority="145594" stopIfTrue="1" operator="lessThan">
      <formula>0.5</formula>
    </cfRule>
  </conditionalFormatting>
  <conditionalFormatting sqref="AF48">
    <cfRule type="cellIs" dxfId="4161" priority="145595" stopIfTrue="1" operator="greaterThanOrEqual">
      <formula>0.5</formula>
    </cfRule>
  </conditionalFormatting>
  <conditionalFormatting sqref="AF49">
    <cfRule type="cellIs" dxfId="4160" priority="145596" stopIfTrue="1" operator="equal">
      <formula>-1</formula>
    </cfRule>
  </conditionalFormatting>
  <conditionalFormatting sqref="AF49">
    <cfRule type="cellIs" dxfId="4159" priority="145597" stopIfTrue="1" operator="lessThan">
      <formula>0.5</formula>
    </cfRule>
  </conditionalFormatting>
  <conditionalFormatting sqref="AF49">
    <cfRule type="cellIs" dxfId="4158" priority="145598" stopIfTrue="1" operator="greaterThanOrEqual">
      <formula>0.5</formula>
    </cfRule>
  </conditionalFormatting>
  <conditionalFormatting sqref="AF50">
    <cfRule type="cellIs" dxfId="4157" priority="145599" stopIfTrue="1" operator="equal">
      <formula>-1</formula>
    </cfRule>
  </conditionalFormatting>
  <conditionalFormatting sqref="AF50">
    <cfRule type="cellIs" dxfId="4156" priority="145600" stopIfTrue="1" operator="lessThan">
      <formula>0.5</formula>
    </cfRule>
  </conditionalFormatting>
  <conditionalFormatting sqref="AF50">
    <cfRule type="cellIs" dxfId="4155" priority="145601" stopIfTrue="1" operator="greaterThanOrEqual">
      <formula>0.5</formula>
    </cfRule>
  </conditionalFormatting>
  <conditionalFormatting sqref="AF51">
    <cfRule type="cellIs" dxfId="4154" priority="145602" stopIfTrue="1" operator="equal">
      <formula>-1</formula>
    </cfRule>
  </conditionalFormatting>
  <conditionalFormatting sqref="AF51">
    <cfRule type="cellIs" dxfId="4153" priority="145603" stopIfTrue="1" operator="lessThan">
      <formula>0.5</formula>
    </cfRule>
  </conditionalFormatting>
  <conditionalFormatting sqref="AF51">
    <cfRule type="cellIs" dxfId="4152" priority="145604" stopIfTrue="1" operator="greaterThanOrEqual">
      <formula>0.5</formula>
    </cfRule>
  </conditionalFormatting>
  <conditionalFormatting sqref="AF52">
    <cfRule type="cellIs" dxfId="4151" priority="145605" stopIfTrue="1" operator="equal">
      <formula>-1</formula>
    </cfRule>
  </conditionalFormatting>
  <conditionalFormatting sqref="AF52">
    <cfRule type="cellIs" dxfId="4150" priority="145606" stopIfTrue="1" operator="lessThan">
      <formula>0.5</formula>
    </cfRule>
  </conditionalFormatting>
  <conditionalFormatting sqref="AF52">
    <cfRule type="cellIs" dxfId="4149" priority="145607" stopIfTrue="1" operator="greaterThanOrEqual">
      <formula>0.5</formula>
    </cfRule>
  </conditionalFormatting>
  <conditionalFormatting sqref="AF53">
    <cfRule type="cellIs" dxfId="4148" priority="145608" stopIfTrue="1" operator="equal">
      <formula>-1</formula>
    </cfRule>
  </conditionalFormatting>
  <conditionalFormatting sqref="AF53">
    <cfRule type="cellIs" dxfId="4147" priority="145609" stopIfTrue="1" operator="lessThan">
      <formula>0.5</formula>
    </cfRule>
  </conditionalFormatting>
  <conditionalFormatting sqref="AF53">
    <cfRule type="cellIs" dxfId="4146" priority="145610" stopIfTrue="1" operator="greaterThanOrEqual">
      <formula>0.5</formula>
    </cfRule>
  </conditionalFormatting>
  <conditionalFormatting sqref="AF54">
    <cfRule type="cellIs" dxfId="4145" priority="145611" stopIfTrue="1" operator="equal">
      <formula>-1</formula>
    </cfRule>
  </conditionalFormatting>
  <conditionalFormatting sqref="AF54">
    <cfRule type="cellIs" dxfId="4144" priority="145612" stopIfTrue="1" operator="lessThan">
      <formula>0.5</formula>
    </cfRule>
  </conditionalFormatting>
  <conditionalFormatting sqref="AF54">
    <cfRule type="cellIs" dxfId="4143" priority="145613" stopIfTrue="1" operator="greaterThanOrEqual">
      <formula>0.5</formula>
    </cfRule>
  </conditionalFormatting>
  <conditionalFormatting sqref="AF55">
    <cfRule type="cellIs" dxfId="4142" priority="145614" stopIfTrue="1" operator="equal">
      <formula>-1</formula>
    </cfRule>
  </conditionalFormatting>
  <conditionalFormatting sqref="AF55">
    <cfRule type="cellIs" dxfId="4141" priority="145615" stopIfTrue="1" operator="lessThan">
      <formula>0.5</formula>
    </cfRule>
  </conditionalFormatting>
  <conditionalFormatting sqref="AF55">
    <cfRule type="cellIs" dxfId="4140" priority="145616" stopIfTrue="1" operator="greaterThanOrEqual">
      <formula>0.5</formula>
    </cfRule>
  </conditionalFormatting>
  <conditionalFormatting sqref="AF56">
    <cfRule type="cellIs" dxfId="4139" priority="145617" stopIfTrue="1" operator="equal">
      <formula>-1</formula>
    </cfRule>
  </conditionalFormatting>
  <conditionalFormatting sqref="AF56">
    <cfRule type="cellIs" dxfId="4138" priority="145618" stopIfTrue="1" operator="lessThan">
      <formula>0.5</formula>
    </cfRule>
  </conditionalFormatting>
  <conditionalFormatting sqref="AF56">
    <cfRule type="cellIs" dxfId="4137" priority="145619" stopIfTrue="1" operator="greaterThanOrEqual">
      <formula>0.5</formula>
    </cfRule>
  </conditionalFormatting>
  <conditionalFormatting sqref="AF57">
    <cfRule type="cellIs" dxfId="4136" priority="145620" stopIfTrue="1" operator="equal">
      <formula>-1</formula>
    </cfRule>
  </conditionalFormatting>
  <conditionalFormatting sqref="AF57">
    <cfRule type="cellIs" dxfId="4135" priority="145621" stopIfTrue="1" operator="lessThan">
      <formula>0.5</formula>
    </cfRule>
  </conditionalFormatting>
  <conditionalFormatting sqref="AF57">
    <cfRule type="cellIs" dxfId="4134" priority="145622" stopIfTrue="1" operator="greaterThanOrEqual">
      <formula>0.5</formula>
    </cfRule>
  </conditionalFormatting>
  <conditionalFormatting sqref="AF58">
    <cfRule type="cellIs" dxfId="4133" priority="145623" stopIfTrue="1" operator="equal">
      <formula>-1</formula>
    </cfRule>
  </conditionalFormatting>
  <conditionalFormatting sqref="AF58">
    <cfRule type="cellIs" dxfId="4132" priority="145624" stopIfTrue="1" operator="lessThan">
      <formula>0.5</formula>
    </cfRule>
  </conditionalFormatting>
  <conditionalFormatting sqref="AF58">
    <cfRule type="cellIs" dxfId="4131" priority="145625" stopIfTrue="1" operator="greaterThanOrEqual">
      <formula>0.5</formula>
    </cfRule>
  </conditionalFormatting>
  <conditionalFormatting sqref="AH39">
    <cfRule type="cellIs" dxfId="4130" priority="145626" stopIfTrue="1" operator="equal">
      <formula>-1</formula>
    </cfRule>
  </conditionalFormatting>
  <conditionalFormatting sqref="AH39">
    <cfRule type="cellIs" dxfId="4129" priority="145627" stopIfTrue="1" operator="lessThan">
      <formula>0.5</formula>
    </cfRule>
  </conditionalFormatting>
  <conditionalFormatting sqref="AH39">
    <cfRule type="cellIs" dxfId="4128" priority="145628" stopIfTrue="1" operator="greaterThanOrEqual">
      <formula>0.5</formula>
    </cfRule>
  </conditionalFormatting>
  <conditionalFormatting sqref="AH40">
    <cfRule type="cellIs" dxfId="4127" priority="145629" stopIfTrue="1" operator="equal">
      <formula>-1</formula>
    </cfRule>
  </conditionalFormatting>
  <conditionalFormatting sqref="AH40">
    <cfRule type="cellIs" dxfId="4126" priority="145630" stopIfTrue="1" operator="lessThan">
      <formula>0.5</formula>
    </cfRule>
  </conditionalFormatting>
  <conditionalFormatting sqref="AH40">
    <cfRule type="cellIs" dxfId="4125" priority="145631" stopIfTrue="1" operator="greaterThanOrEqual">
      <formula>0.5</formula>
    </cfRule>
  </conditionalFormatting>
  <conditionalFormatting sqref="AH41">
    <cfRule type="cellIs" dxfId="4124" priority="145632" stopIfTrue="1" operator="equal">
      <formula>-1</formula>
    </cfRule>
  </conditionalFormatting>
  <conditionalFormatting sqref="AH41">
    <cfRule type="cellIs" dxfId="4123" priority="145633" stopIfTrue="1" operator="lessThan">
      <formula>0.5</formula>
    </cfRule>
  </conditionalFormatting>
  <conditionalFormatting sqref="AH41">
    <cfRule type="cellIs" dxfId="4122" priority="145634" stopIfTrue="1" operator="greaterThanOrEqual">
      <formula>0.5</formula>
    </cfRule>
  </conditionalFormatting>
  <conditionalFormatting sqref="AH42">
    <cfRule type="cellIs" dxfId="4121" priority="145635" stopIfTrue="1" operator="equal">
      <formula>-1</formula>
    </cfRule>
  </conditionalFormatting>
  <conditionalFormatting sqref="AH42">
    <cfRule type="cellIs" dxfId="4120" priority="145636" stopIfTrue="1" operator="lessThan">
      <formula>0.5</formula>
    </cfRule>
  </conditionalFormatting>
  <conditionalFormatting sqref="AH42">
    <cfRule type="cellIs" dxfId="4119" priority="145637" stopIfTrue="1" operator="greaterThanOrEqual">
      <formula>0.5</formula>
    </cfRule>
  </conditionalFormatting>
  <conditionalFormatting sqref="AH43">
    <cfRule type="cellIs" dxfId="4118" priority="145638" stopIfTrue="1" operator="equal">
      <formula>-1</formula>
    </cfRule>
  </conditionalFormatting>
  <conditionalFormatting sqref="AH43">
    <cfRule type="cellIs" dxfId="4117" priority="145639" stopIfTrue="1" operator="lessThan">
      <formula>0.5</formula>
    </cfRule>
  </conditionalFormatting>
  <conditionalFormatting sqref="AH43">
    <cfRule type="cellIs" dxfId="4116" priority="145640" stopIfTrue="1" operator="greaterThanOrEqual">
      <formula>0.5</formula>
    </cfRule>
  </conditionalFormatting>
  <conditionalFormatting sqref="AH44">
    <cfRule type="cellIs" dxfId="4115" priority="145641" stopIfTrue="1" operator="equal">
      <formula>-1</formula>
    </cfRule>
  </conditionalFormatting>
  <conditionalFormatting sqref="AH44">
    <cfRule type="cellIs" dxfId="4114" priority="145642" stopIfTrue="1" operator="lessThan">
      <formula>0.5</formula>
    </cfRule>
  </conditionalFormatting>
  <conditionalFormatting sqref="AH44">
    <cfRule type="cellIs" dxfId="4113" priority="145643" stopIfTrue="1" operator="greaterThanOrEqual">
      <formula>0.5</formula>
    </cfRule>
  </conditionalFormatting>
  <conditionalFormatting sqref="AH45">
    <cfRule type="cellIs" dxfId="4112" priority="145644" stopIfTrue="1" operator="equal">
      <formula>-1</formula>
    </cfRule>
  </conditionalFormatting>
  <conditionalFormatting sqref="AH45">
    <cfRule type="cellIs" dxfId="4111" priority="145645" stopIfTrue="1" operator="lessThan">
      <formula>0.5</formula>
    </cfRule>
  </conditionalFormatting>
  <conditionalFormatting sqref="AH45">
    <cfRule type="cellIs" dxfId="4110" priority="145646" stopIfTrue="1" operator="greaterThanOrEqual">
      <formula>0.5</formula>
    </cfRule>
  </conditionalFormatting>
  <conditionalFormatting sqref="AH46">
    <cfRule type="cellIs" dxfId="4109" priority="145647" stopIfTrue="1" operator="equal">
      <formula>-1</formula>
    </cfRule>
  </conditionalFormatting>
  <conditionalFormatting sqref="AH46">
    <cfRule type="cellIs" dxfId="4108" priority="145648" stopIfTrue="1" operator="lessThan">
      <formula>0.5</formula>
    </cfRule>
  </conditionalFormatting>
  <conditionalFormatting sqref="AH46">
    <cfRule type="cellIs" dxfId="4107" priority="145649" stopIfTrue="1" operator="greaterThanOrEqual">
      <formula>0.5</formula>
    </cfRule>
  </conditionalFormatting>
  <conditionalFormatting sqref="AH47">
    <cfRule type="cellIs" dxfId="4106" priority="145650" stopIfTrue="1" operator="equal">
      <formula>-1</formula>
    </cfRule>
  </conditionalFormatting>
  <conditionalFormatting sqref="AH47">
    <cfRule type="cellIs" dxfId="4105" priority="145651" stopIfTrue="1" operator="lessThan">
      <formula>0.5</formula>
    </cfRule>
  </conditionalFormatting>
  <conditionalFormatting sqref="AH47">
    <cfRule type="cellIs" dxfId="4104" priority="145652" stopIfTrue="1" operator="greaterThanOrEqual">
      <formula>0.5</formula>
    </cfRule>
  </conditionalFormatting>
  <conditionalFormatting sqref="AH48">
    <cfRule type="cellIs" dxfId="4103" priority="145653" stopIfTrue="1" operator="equal">
      <formula>-1</formula>
    </cfRule>
  </conditionalFormatting>
  <conditionalFormatting sqref="AH48">
    <cfRule type="cellIs" dxfId="4102" priority="145654" stopIfTrue="1" operator="lessThan">
      <formula>0.5</formula>
    </cfRule>
  </conditionalFormatting>
  <conditionalFormatting sqref="AH48">
    <cfRule type="cellIs" dxfId="4101" priority="145655" stopIfTrue="1" operator="greaterThanOrEqual">
      <formula>0.5</formula>
    </cfRule>
  </conditionalFormatting>
  <conditionalFormatting sqref="AH49">
    <cfRule type="cellIs" dxfId="4100" priority="145656" stopIfTrue="1" operator="equal">
      <formula>-1</formula>
    </cfRule>
  </conditionalFormatting>
  <conditionalFormatting sqref="AH49">
    <cfRule type="cellIs" dxfId="4099" priority="145657" stopIfTrue="1" operator="lessThan">
      <formula>0.5</formula>
    </cfRule>
  </conditionalFormatting>
  <conditionalFormatting sqref="AH49">
    <cfRule type="cellIs" dxfId="4098" priority="145658" stopIfTrue="1" operator="greaterThanOrEqual">
      <formula>0.5</formula>
    </cfRule>
  </conditionalFormatting>
  <conditionalFormatting sqref="AH50">
    <cfRule type="cellIs" dxfId="4097" priority="145659" stopIfTrue="1" operator="equal">
      <formula>-1</formula>
    </cfRule>
  </conditionalFormatting>
  <conditionalFormatting sqref="AH50">
    <cfRule type="cellIs" dxfId="4096" priority="145660" stopIfTrue="1" operator="lessThan">
      <formula>0.5</formula>
    </cfRule>
  </conditionalFormatting>
  <conditionalFormatting sqref="AH50">
    <cfRule type="cellIs" dxfId="4095" priority="145661" stopIfTrue="1" operator="greaterThanOrEqual">
      <formula>0.5</formula>
    </cfRule>
  </conditionalFormatting>
  <conditionalFormatting sqref="AH51">
    <cfRule type="cellIs" dxfId="4094" priority="145662" stopIfTrue="1" operator="equal">
      <formula>-1</formula>
    </cfRule>
  </conditionalFormatting>
  <conditionalFormatting sqref="AH51">
    <cfRule type="cellIs" dxfId="4093" priority="145663" stopIfTrue="1" operator="lessThan">
      <formula>0.5</formula>
    </cfRule>
  </conditionalFormatting>
  <conditionalFormatting sqref="AH51">
    <cfRule type="cellIs" dxfId="4092" priority="145664" stopIfTrue="1" operator="greaterThanOrEqual">
      <formula>0.5</formula>
    </cfRule>
  </conditionalFormatting>
  <conditionalFormatting sqref="AH52">
    <cfRule type="cellIs" dxfId="4091" priority="145665" stopIfTrue="1" operator="equal">
      <formula>-1</formula>
    </cfRule>
  </conditionalFormatting>
  <conditionalFormatting sqref="AH52">
    <cfRule type="cellIs" dxfId="4090" priority="145666" stopIfTrue="1" operator="lessThan">
      <formula>0.5</formula>
    </cfRule>
  </conditionalFormatting>
  <conditionalFormatting sqref="AH52">
    <cfRule type="cellIs" dxfId="4089" priority="145667" stopIfTrue="1" operator="greaterThanOrEqual">
      <formula>0.5</formula>
    </cfRule>
  </conditionalFormatting>
  <conditionalFormatting sqref="AH53">
    <cfRule type="cellIs" dxfId="4088" priority="145668" stopIfTrue="1" operator="equal">
      <formula>-1</formula>
    </cfRule>
  </conditionalFormatting>
  <conditionalFormatting sqref="AH53">
    <cfRule type="cellIs" dxfId="4087" priority="145669" stopIfTrue="1" operator="lessThan">
      <formula>0.5</formula>
    </cfRule>
  </conditionalFormatting>
  <conditionalFormatting sqref="AH53">
    <cfRule type="cellIs" dxfId="4086" priority="145670" stopIfTrue="1" operator="greaterThanOrEqual">
      <formula>0.5</formula>
    </cfRule>
  </conditionalFormatting>
  <conditionalFormatting sqref="AH54">
    <cfRule type="cellIs" dxfId="4085" priority="145671" stopIfTrue="1" operator="equal">
      <formula>-1</formula>
    </cfRule>
  </conditionalFormatting>
  <conditionalFormatting sqref="AH54">
    <cfRule type="cellIs" dxfId="4084" priority="145672" stopIfTrue="1" operator="lessThan">
      <formula>0.5</formula>
    </cfRule>
  </conditionalFormatting>
  <conditionalFormatting sqref="AH54">
    <cfRule type="cellIs" dxfId="4083" priority="145673" stopIfTrue="1" operator="greaterThanOrEqual">
      <formula>0.5</formula>
    </cfRule>
  </conditionalFormatting>
  <conditionalFormatting sqref="AH55">
    <cfRule type="cellIs" dxfId="4082" priority="145674" stopIfTrue="1" operator="equal">
      <formula>-1</formula>
    </cfRule>
  </conditionalFormatting>
  <conditionalFormatting sqref="AH55">
    <cfRule type="cellIs" dxfId="4081" priority="145675" stopIfTrue="1" operator="lessThan">
      <formula>0.5</formula>
    </cfRule>
  </conditionalFormatting>
  <conditionalFormatting sqref="AH55">
    <cfRule type="cellIs" dxfId="4080" priority="145676" stopIfTrue="1" operator="greaterThanOrEqual">
      <formula>0.5</formula>
    </cfRule>
  </conditionalFormatting>
  <conditionalFormatting sqref="AH56">
    <cfRule type="cellIs" dxfId="4079" priority="145677" stopIfTrue="1" operator="equal">
      <formula>-1</formula>
    </cfRule>
  </conditionalFormatting>
  <conditionalFormatting sqref="AH56">
    <cfRule type="cellIs" dxfId="4078" priority="145678" stopIfTrue="1" operator="lessThan">
      <formula>0.5</formula>
    </cfRule>
  </conditionalFormatting>
  <conditionalFormatting sqref="AH56">
    <cfRule type="cellIs" dxfId="4077" priority="145679" stopIfTrue="1" operator="greaterThanOrEqual">
      <formula>0.5</formula>
    </cfRule>
  </conditionalFormatting>
  <conditionalFormatting sqref="AH57">
    <cfRule type="cellIs" dxfId="4076" priority="145680" stopIfTrue="1" operator="equal">
      <formula>-1</formula>
    </cfRule>
  </conditionalFormatting>
  <conditionalFormatting sqref="AH57">
    <cfRule type="cellIs" dxfId="4075" priority="145681" stopIfTrue="1" operator="lessThan">
      <formula>0.5</formula>
    </cfRule>
  </conditionalFormatting>
  <conditionalFormatting sqref="AH57">
    <cfRule type="cellIs" dxfId="4074" priority="145682" stopIfTrue="1" operator="greaterThanOrEqual">
      <formula>0.5</formula>
    </cfRule>
  </conditionalFormatting>
  <conditionalFormatting sqref="AH58">
    <cfRule type="cellIs" dxfId="4073" priority="145683" stopIfTrue="1" operator="equal">
      <formula>-1</formula>
    </cfRule>
  </conditionalFormatting>
  <conditionalFormatting sqref="AH58">
    <cfRule type="cellIs" dxfId="4072" priority="145684" stopIfTrue="1" operator="lessThan">
      <formula>0.5</formula>
    </cfRule>
  </conditionalFormatting>
  <conditionalFormatting sqref="AH58">
    <cfRule type="cellIs" dxfId="4071" priority="145685" stopIfTrue="1" operator="greaterThanOrEqual">
      <formula>0.5</formula>
    </cfRule>
  </conditionalFormatting>
  <conditionalFormatting sqref="AJ39">
    <cfRule type="cellIs" dxfId="4070" priority="145686" stopIfTrue="1" operator="equal">
      <formula>-1</formula>
    </cfRule>
  </conditionalFormatting>
  <conditionalFormatting sqref="AJ39">
    <cfRule type="cellIs" dxfId="4069" priority="145687" stopIfTrue="1" operator="lessThan">
      <formula>0.5</formula>
    </cfRule>
  </conditionalFormatting>
  <conditionalFormatting sqref="AJ39">
    <cfRule type="cellIs" dxfId="4068" priority="145688" stopIfTrue="1" operator="greaterThanOrEqual">
      <formula>0.5</formula>
    </cfRule>
  </conditionalFormatting>
  <conditionalFormatting sqref="AJ40">
    <cfRule type="cellIs" dxfId="4067" priority="145689" stopIfTrue="1" operator="equal">
      <formula>-1</formula>
    </cfRule>
  </conditionalFormatting>
  <conditionalFormatting sqref="AJ40">
    <cfRule type="cellIs" dxfId="4066" priority="145690" stopIfTrue="1" operator="lessThan">
      <formula>0.5</formula>
    </cfRule>
  </conditionalFormatting>
  <conditionalFormatting sqref="AJ40">
    <cfRule type="cellIs" dxfId="4065" priority="145691" stopIfTrue="1" operator="greaterThanOrEqual">
      <formula>0.5</formula>
    </cfRule>
  </conditionalFormatting>
  <conditionalFormatting sqref="AJ41">
    <cfRule type="cellIs" dxfId="4064" priority="145692" stopIfTrue="1" operator="equal">
      <formula>-1</formula>
    </cfRule>
  </conditionalFormatting>
  <conditionalFormatting sqref="AJ41">
    <cfRule type="cellIs" dxfId="4063" priority="145693" stopIfTrue="1" operator="lessThan">
      <formula>0.5</formula>
    </cfRule>
  </conditionalFormatting>
  <conditionalFormatting sqref="AJ41">
    <cfRule type="cellIs" dxfId="4062" priority="145694" stopIfTrue="1" operator="greaterThanOrEqual">
      <formula>0.5</formula>
    </cfRule>
  </conditionalFormatting>
  <conditionalFormatting sqref="AJ42">
    <cfRule type="cellIs" dxfId="4061" priority="145695" stopIfTrue="1" operator="equal">
      <formula>-1</formula>
    </cfRule>
  </conditionalFormatting>
  <conditionalFormatting sqref="AJ42">
    <cfRule type="cellIs" dxfId="4060" priority="145696" stopIfTrue="1" operator="lessThan">
      <formula>0.5</formula>
    </cfRule>
  </conditionalFormatting>
  <conditionalFormatting sqref="AJ42">
    <cfRule type="cellIs" dxfId="4059" priority="145697" stopIfTrue="1" operator="greaterThanOrEqual">
      <formula>0.5</formula>
    </cfRule>
  </conditionalFormatting>
  <conditionalFormatting sqref="AJ43">
    <cfRule type="cellIs" dxfId="4058" priority="145698" stopIfTrue="1" operator="equal">
      <formula>-1</formula>
    </cfRule>
  </conditionalFormatting>
  <conditionalFormatting sqref="AJ43">
    <cfRule type="cellIs" dxfId="4057" priority="145699" stopIfTrue="1" operator="lessThan">
      <formula>0.5</formula>
    </cfRule>
  </conditionalFormatting>
  <conditionalFormatting sqref="AJ43">
    <cfRule type="cellIs" dxfId="4056" priority="145700" stopIfTrue="1" operator="greaterThanOrEqual">
      <formula>0.5</formula>
    </cfRule>
  </conditionalFormatting>
  <conditionalFormatting sqref="AJ44">
    <cfRule type="cellIs" dxfId="4055" priority="145701" stopIfTrue="1" operator="equal">
      <formula>-1</formula>
    </cfRule>
  </conditionalFormatting>
  <conditionalFormatting sqref="AJ44">
    <cfRule type="cellIs" dxfId="4054" priority="145702" stopIfTrue="1" operator="lessThan">
      <formula>0.5</formula>
    </cfRule>
  </conditionalFormatting>
  <conditionalFormatting sqref="AJ44">
    <cfRule type="cellIs" dxfId="4053" priority="145703" stopIfTrue="1" operator="greaterThanOrEqual">
      <formula>0.5</formula>
    </cfRule>
  </conditionalFormatting>
  <conditionalFormatting sqref="AJ45">
    <cfRule type="cellIs" dxfId="4052" priority="145704" stopIfTrue="1" operator="equal">
      <formula>-1</formula>
    </cfRule>
  </conditionalFormatting>
  <conditionalFormatting sqref="AJ45">
    <cfRule type="cellIs" dxfId="4051" priority="145705" stopIfTrue="1" operator="lessThan">
      <formula>0.5</formula>
    </cfRule>
  </conditionalFormatting>
  <conditionalFormatting sqref="AJ45">
    <cfRule type="cellIs" dxfId="4050" priority="145706" stopIfTrue="1" operator="greaterThanOrEqual">
      <formula>0.5</formula>
    </cfRule>
  </conditionalFormatting>
  <conditionalFormatting sqref="AJ46">
    <cfRule type="cellIs" dxfId="4049" priority="145707" stopIfTrue="1" operator="equal">
      <formula>-1</formula>
    </cfRule>
  </conditionalFormatting>
  <conditionalFormatting sqref="AJ46">
    <cfRule type="cellIs" dxfId="4048" priority="145708" stopIfTrue="1" operator="lessThan">
      <formula>0.5</formula>
    </cfRule>
  </conditionalFormatting>
  <conditionalFormatting sqref="AJ46">
    <cfRule type="cellIs" dxfId="4047" priority="145709" stopIfTrue="1" operator="greaterThanOrEqual">
      <formula>0.5</formula>
    </cfRule>
  </conditionalFormatting>
  <conditionalFormatting sqref="AJ47">
    <cfRule type="cellIs" dxfId="4046" priority="145710" stopIfTrue="1" operator="equal">
      <formula>-1</formula>
    </cfRule>
  </conditionalFormatting>
  <conditionalFormatting sqref="AJ47">
    <cfRule type="cellIs" dxfId="4045" priority="145711" stopIfTrue="1" operator="lessThan">
      <formula>0.5</formula>
    </cfRule>
  </conditionalFormatting>
  <conditionalFormatting sqref="AJ47">
    <cfRule type="cellIs" dxfId="4044" priority="145712" stopIfTrue="1" operator="greaterThanOrEqual">
      <formula>0.5</formula>
    </cfRule>
  </conditionalFormatting>
  <conditionalFormatting sqref="AJ48">
    <cfRule type="cellIs" dxfId="4043" priority="145713" stopIfTrue="1" operator="equal">
      <formula>-1</formula>
    </cfRule>
  </conditionalFormatting>
  <conditionalFormatting sqref="AJ48">
    <cfRule type="cellIs" dxfId="4042" priority="145714" stopIfTrue="1" operator="lessThan">
      <formula>0.5</formula>
    </cfRule>
  </conditionalFormatting>
  <conditionalFormatting sqref="AJ48">
    <cfRule type="cellIs" dxfId="4041" priority="145715" stopIfTrue="1" operator="greaterThanOrEqual">
      <formula>0.5</formula>
    </cfRule>
  </conditionalFormatting>
  <conditionalFormatting sqref="AJ49">
    <cfRule type="cellIs" dxfId="4040" priority="145716" stopIfTrue="1" operator="equal">
      <formula>-1</formula>
    </cfRule>
  </conditionalFormatting>
  <conditionalFormatting sqref="AJ49">
    <cfRule type="cellIs" dxfId="4039" priority="145717" stopIfTrue="1" operator="lessThan">
      <formula>0.5</formula>
    </cfRule>
  </conditionalFormatting>
  <conditionalFormatting sqref="AJ49">
    <cfRule type="cellIs" dxfId="4038" priority="145718" stopIfTrue="1" operator="greaterThanOrEqual">
      <formula>0.5</formula>
    </cfRule>
  </conditionalFormatting>
  <conditionalFormatting sqref="AJ50">
    <cfRule type="cellIs" dxfId="4037" priority="145719" stopIfTrue="1" operator="equal">
      <formula>-1</formula>
    </cfRule>
  </conditionalFormatting>
  <conditionalFormatting sqref="AJ50">
    <cfRule type="cellIs" dxfId="4036" priority="145720" stopIfTrue="1" operator="lessThan">
      <formula>0.5</formula>
    </cfRule>
  </conditionalFormatting>
  <conditionalFormatting sqref="AJ50">
    <cfRule type="cellIs" dxfId="4035" priority="145721" stopIfTrue="1" operator="greaterThanOrEqual">
      <formula>0.5</formula>
    </cfRule>
  </conditionalFormatting>
  <conditionalFormatting sqref="AJ51">
    <cfRule type="cellIs" dxfId="4034" priority="145722" stopIfTrue="1" operator="equal">
      <formula>-1</formula>
    </cfRule>
  </conditionalFormatting>
  <conditionalFormatting sqref="AJ51">
    <cfRule type="cellIs" dxfId="4033" priority="145723" stopIfTrue="1" operator="lessThan">
      <formula>0.5</formula>
    </cfRule>
  </conditionalFormatting>
  <conditionalFormatting sqref="AJ51">
    <cfRule type="cellIs" dxfId="4032" priority="145724" stopIfTrue="1" operator="greaterThanOrEqual">
      <formula>0.5</formula>
    </cfRule>
  </conditionalFormatting>
  <conditionalFormatting sqref="AJ52">
    <cfRule type="cellIs" dxfId="4031" priority="145725" stopIfTrue="1" operator="equal">
      <formula>-1</formula>
    </cfRule>
  </conditionalFormatting>
  <conditionalFormatting sqref="AJ52">
    <cfRule type="cellIs" dxfId="4030" priority="145726" stopIfTrue="1" operator="lessThan">
      <formula>0.5</formula>
    </cfRule>
  </conditionalFormatting>
  <conditionalFormatting sqref="AJ52">
    <cfRule type="cellIs" dxfId="4029" priority="145727" stopIfTrue="1" operator="greaterThanOrEqual">
      <formula>0.5</formula>
    </cfRule>
  </conditionalFormatting>
  <conditionalFormatting sqref="AJ53">
    <cfRule type="cellIs" dxfId="4028" priority="145728" stopIfTrue="1" operator="equal">
      <formula>-1</formula>
    </cfRule>
  </conditionalFormatting>
  <conditionalFormatting sqref="AJ53">
    <cfRule type="cellIs" dxfId="4027" priority="145729" stopIfTrue="1" operator="lessThan">
      <formula>0.5</formula>
    </cfRule>
  </conditionalFormatting>
  <conditionalFormatting sqref="AJ53">
    <cfRule type="cellIs" dxfId="4026" priority="145730" stopIfTrue="1" operator="greaterThanOrEqual">
      <formula>0.5</formula>
    </cfRule>
  </conditionalFormatting>
  <conditionalFormatting sqref="AJ54">
    <cfRule type="cellIs" dxfId="4025" priority="145731" stopIfTrue="1" operator="equal">
      <formula>-1</formula>
    </cfRule>
  </conditionalFormatting>
  <conditionalFormatting sqref="AJ54">
    <cfRule type="cellIs" dxfId="4024" priority="145732" stopIfTrue="1" operator="lessThan">
      <formula>0.5</formula>
    </cfRule>
  </conditionalFormatting>
  <conditionalFormatting sqref="AJ54">
    <cfRule type="cellIs" dxfId="4023" priority="145733" stopIfTrue="1" operator="greaterThanOrEqual">
      <formula>0.5</formula>
    </cfRule>
  </conditionalFormatting>
  <conditionalFormatting sqref="AJ55">
    <cfRule type="cellIs" dxfId="4022" priority="145734" stopIfTrue="1" operator="equal">
      <formula>-1</formula>
    </cfRule>
  </conditionalFormatting>
  <conditionalFormatting sqref="AJ55">
    <cfRule type="cellIs" dxfId="4021" priority="145735" stopIfTrue="1" operator="lessThan">
      <formula>0.5</formula>
    </cfRule>
  </conditionalFormatting>
  <conditionalFormatting sqref="AJ55">
    <cfRule type="cellIs" dxfId="4020" priority="145736" stopIfTrue="1" operator="greaterThanOrEqual">
      <formula>0.5</formula>
    </cfRule>
  </conditionalFormatting>
  <conditionalFormatting sqref="AJ56">
    <cfRule type="cellIs" dxfId="4019" priority="145737" stopIfTrue="1" operator="equal">
      <formula>-1</formula>
    </cfRule>
  </conditionalFormatting>
  <conditionalFormatting sqref="AJ56">
    <cfRule type="cellIs" dxfId="4018" priority="145738" stopIfTrue="1" operator="lessThan">
      <formula>0.5</formula>
    </cfRule>
  </conditionalFormatting>
  <conditionalFormatting sqref="AJ56">
    <cfRule type="cellIs" dxfId="4017" priority="145739" stopIfTrue="1" operator="greaterThanOrEqual">
      <formula>0.5</formula>
    </cfRule>
  </conditionalFormatting>
  <conditionalFormatting sqref="AJ57">
    <cfRule type="cellIs" dxfId="4016" priority="145740" stopIfTrue="1" operator="equal">
      <formula>-1</formula>
    </cfRule>
  </conditionalFormatting>
  <conditionalFormatting sqref="AJ57">
    <cfRule type="cellIs" dxfId="4015" priority="145741" stopIfTrue="1" operator="lessThan">
      <formula>0.5</formula>
    </cfRule>
  </conditionalFormatting>
  <conditionalFormatting sqref="AJ57">
    <cfRule type="cellIs" dxfId="4014" priority="145742" stopIfTrue="1" operator="greaterThanOrEqual">
      <formula>0.5</formula>
    </cfRule>
  </conditionalFormatting>
  <conditionalFormatting sqref="AJ58">
    <cfRule type="cellIs" dxfId="4013" priority="145743" stopIfTrue="1" operator="equal">
      <formula>-1</formula>
    </cfRule>
  </conditionalFormatting>
  <conditionalFormatting sqref="AJ58">
    <cfRule type="cellIs" dxfId="4012" priority="145744" stopIfTrue="1" operator="lessThan">
      <formula>0.5</formula>
    </cfRule>
  </conditionalFormatting>
  <conditionalFormatting sqref="AJ58">
    <cfRule type="cellIs" dxfId="4011" priority="145745" stopIfTrue="1" operator="greaterThanOrEqual">
      <formula>0.5</formula>
    </cfRule>
  </conditionalFormatting>
  <conditionalFormatting sqref="AL39">
    <cfRule type="cellIs" dxfId="4010" priority="145746" stopIfTrue="1" operator="equal">
      <formula>-1</formula>
    </cfRule>
  </conditionalFormatting>
  <conditionalFormatting sqref="AL39">
    <cfRule type="cellIs" dxfId="4009" priority="145747" stopIfTrue="1" operator="lessThan">
      <formula>0.5</formula>
    </cfRule>
  </conditionalFormatting>
  <conditionalFormatting sqref="AL39">
    <cfRule type="cellIs" dxfId="4008" priority="145748" stopIfTrue="1" operator="greaterThanOrEqual">
      <formula>0.5</formula>
    </cfRule>
  </conditionalFormatting>
  <conditionalFormatting sqref="AL40">
    <cfRule type="cellIs" dxfId="4007" priority="145749" stopIfTrue="1" operator="equal">
      <formula>-1</formula>
    </cfRule>
  </conditionalFormatting>
  <conditionalFormatting sqref="AL40">
    <cfRule type="cellIs" dxfId="4006" priority="145750" stopIfTrue="1" operator="lessThan">
      <formula>0.5</formula>
    </cfRule>
  </conditionalFormatting>
  <conditionalFormatting sqref="AL40">
    <cfRule type="cellIs" dxfId="4005" priority="145751" stopIfTrue="1" operator="greaterThanOrEqual">
      <formula>0.5</formula>
    </cfRule>
  </conditionalFormatting>
  <conditionalFormatting sqref="AL41">
    <cfRule type="cellIs" dxfId="4004" priority="145752" stopIfTrue="1" operator="equal">
      <formula>-1</formula>
    </cfRule>
  </conditionalFormatting>
  <conditionalFormatting sqref="AL41">
    <cfRule type="cellIs" dxfId="4003" priority="145753" stopIfTrue="1" operator="lessThan">
      <formula>0.5</formula>
    </cfRule>
  </conditionalFormatting>
  <conditionalFormatting sqref="AL41">
    <cfRule type="cellIs" dxfId="4002" priority="145754" stopIfTrue="1" operator="greaterThanOrEqual">
      <formula>0.5</formula>
    </cfRule>
  </conditionalFormatting>
  <conditionalFormatting sqref="AL42">
    <cfRule type="cellIs" dxfId="4001" priority="145755" stopIfTrue="1" operator="equal">
      <formula>-1</formula>
    </cfRule>
  </conditionalFormatting>
  <conditionalFormatting sqref="AL42">
    <cfRule type="cellIs" dxfId="4000" priority="145756" stopIfTrue="1" operator="lessThan">
      <formula>0.5</formula>
    </cfRule>
  </conditionalFormatting>
  <conditionalFormatting sqref="AL42">
    <cfRule type="cellIs" dxfId="3999" priority="145757" stopIfTrue="1" operator="greaterThanOrEqual">
      <formula>0.5</formula>
    </cfRule>
  </conditionalFormatting>
  <conditionalFormatting sqref="AL43">
    <cfRule type="cellIs" dxfId="3998" priority="145758" stopIfTrue="1" operator="equal">
      <formula>-1</formula>
    </cfRule>
  </conditionalFormatting>
  <conditionalFormatting sqref="AL43">
    <cfRule type="cellIs" dxfId="3997" priority="145759" stopIfTrue="1" operator="lessThan">
      <formula>0.5</formula>
    </cfRule>
  </conditionalFormatting>
  <conditionalFormatting sqref="AL43">
    <cfRule type="cellIs" dxfId="3996" priority="145760" stopIfTrue="1" operator="greaterThanOrEqual">
      <formula>0.5</formula>
    </cfRule>
  </conditionalFormatting>
  <conditionalFormatting sqref="AL44">
    <cfRule type="cellIs" dxfId="3995" priority="145761" stopIfTrue="1" operator="equal">
      <formula>-1</formula>
    </cfRule>
  </conditionalFormatting>
  <conditionalFormatting sqref="AL44">
    <cfRule type="cellIs" dxfId="3994" priority="145762" stopIfTrue="1" operator="lessThan">
      <formula>0.5</formula>
    </cfRule>
  </conditionalFormatting>
  <conditionalFormatting sqref="AL44">
    <cfRule type="cellIs" dxfId="3993" priority="145763" stopIfTrue="1" operator="greaterThanOrEqual">
      <formula>0.5</formula>
    </cfRule>
  </conditionalFormatting>
  <conditionalFormatting sqref="AL45">
    <cfRule type="cellIs" dxfId="3992" priority="145764" stopIfTrue="1" operator="equal">
      <formula>-1</formula>
    </cfRule>
  </conditionalFormatting>
  <conditionalFormatting sqref="AL45">
    <cfRule type="cellIs" dxfId="3991" priority="145765" stopIfTrue="1" operator="lessThan">
      <formula>0.5</formula>
    </cfRule>
  </conditionalFormatting>
  <conditionalFormatting sqref="AL45">
    <cfRule type="cellIs" dxfId="3990" priority="145766" stopIfTrue="1" operator="greaterThanOrEqual">
      <formula>0.5</formula>
    </cfRule>
  </conditionalFormatting>
  <conditionalFormatting sqref="AL46">
    <cfRule type="cellIs" dxfId="3989" priority="145767" stopIfTrue="1" operator="equal">
      <formula>-1</formula>
    </cfRule>
  </conditionalFormatting>
  <conditionalFormatting sqref="AL46">
    <cfRule type="cellIs" dxfId="3988" priority="145768" stopIfTrue="1" operator="lessThan">
      <formula>0.5</formula>
    </cfRule>
  </conditionalFormatting>
  <conditionalFormatting sqref="AL46">
    <cfRule type="cellIs" dxfId="3987" priority="145769" stopIfTrue="1" operator="greaterThanOrEqual">
      <formula>0.5</formula>
    </cfRule>
  </conditionalFormatting>
  <conditionalFormatting sqref="AL47">
    <cfRule type="cellIs" dxfId="3986" priority="145770" stopIfTrue="1" operator="equal">
      <formula>-1</formula>
    </cfRule>
  </conditionalFormatting>
  <conditionalFormatting sqref="AL47">
    <cfRule type="cellIs" dxfId="3985" priority="145771" stopIfTrue="1" operator="lessThan">
      <formula>0.5</formula>
    </cfRule>
  </conditionalFormatting>
  <conditionalFormatting sqref="AL47">
    <cfRule type="cellIs" dxfId="3984" priority="145772" stopIfTrue="1" operator="greaterThanOrEqual">
      <formula>0.5</formula>
    </cfRule>
  </conditionalFormatting>
  <conditionalFormatting sqref="AL48">
    <cfRule type="cellIs" dxfId="3983" priority="145773" stopIfTrue="1" operator="equal">
      <formula>-1</formula>
    </cfRule>
  </conditionalFormatting>
  <conditionalFormatting sqref="AL48">
    <cfRule type="cellIs" dxfId="3982" priority="145774" stopIfTrue="1" operator="lessThan">
      <formula>0.5</formula>
    </cfRule>
  </conditionalFormatting>
  <conditionalFormatting sqref="AL48">
    <cfRule type="cellIs" dxfId="3981" priority="145775" stopIfTrue="1" operator="greaterThanOrEqual">
      <formula>0.5</formula>
    </cfRule>
  </conditionalFormatting>
  <conditionalFormatting sqref="AL49">
    <cfRule type="cellIs" dxfId="3980" priority="145776" stopIfTrue="1" operator="equal">
      <formula>-1</formula>
    </cfRule>
  </conditionalFormatting>
  <conditionalFormatting sqref="AL49">
    <cfRule type="cellIs" dxfId="3979" priority="145777" stopIfTrue="1" operator="lessThan">
      <formula>0.5</formula>
    </cfRule>
  </conditionalFormatting>
  <conditionalFormatting sqref="AL49">
    <cfRule type="cellIs" dxfId="3978" priority="145778" stopIfTrue="1" operator="greaterThanOrEqual">
      <formula>0.5</formula>
    </cfRule>
  </conditionalFormatting>
  <conditionalFormatting sqref="AL50">
    <cfRule type="cellIs" dxfId="3977" priority="145779" stopIfTrue="1" operator="equal">
      <formula>-1</formula>
    </cfRule>
  </conditionalFormatting>
  <conditionalFormatting sqref="AL50">
    <cfRule type="cellIs" dxfId="3976" priority="145780" stopIfTrue="1" operator="lessThan">
      <formula>0.5</formula>
    </cfRule>
  </conditionalFormatting>
  <conditionalFormatting sqref="AL50">
    <cfRule type="cellIs" dxfId="3975" priority="145781" stopIfTrue="1" operator="greaterThanOrEqual">
      <formula>0.5</formula>
    </cfRule>
  </conditionalFormatting>
  <conditionalFormatting sqref="AL51">
    <cfRule type="cellIs" dxfId="3974" priority="145782" stopIfTrue="1" operator="equal">
      <formula>-1</formula>
    </cfRule>
  </conditionalFormatting>
  <conditionalFormatting sqref="AL51">
    <cfRule type="cellIs" dxfId="3973" priority="145783" stopIfTrue="1" operator="lessThan">
      <formula>0.5</formula>
    </cfRule>
  </conditionalFormatting>
  <conditionalFormatting sqref="AL51">
    <cfRule type="cellIs" dxfId="3972" priority="145784" stopIfTrue="1" operator="greaterThanOrEqual">
      <formula>0.5</formula>
    </cfRule>
  </conditionalFormatting>
  <conditionalFormatting sqref="AL52">
    <cfRule type="cellIs" dxfId="3971" priority="145785" stopIfTrue="1" operator="equal">
      <formula>-1</formula>
    </cfRule>
  </conditionalFormatting>
  <conditionalFormatting sqref="AL52">
    <cfRule type="cellIs" dxfId="3970" priority="145786" stopIfTrue="1" operator="lessThan">
      <formula>0.5</formula>
    </cfRule>
  </conditionalFormatting>
  <conditionalFormatting sqref="AL52">
    <cfRule type="cellIs" dxfId="3969" priority="145787" stopIfTrue="1" operator="greaterThanOrEqual">
      <formula>0.5</formula>
    </cfRule>
  </conditionalFormatting>
  <conditionalFormatting sqref="AL53">
    <cfRule type="cellIs" dxfId="3968" priority="145788" stopIfTrue="1" operator="equal">
      <formula>-1</formula>
    </cfRule>
  </conditionalFormatting>
  <conditionalFormatting sqref="AL53">
    <cfRule type="cellIs" dxfId="3967" priority="145789" stopIfTrue="1" operator="lessThan">
      <formula>0.5</formula>
    </cfRule>
  </conditionalFormatting>
  <conditionalFormatting sqref="AL53">
    <cfRule type="cellIs" dxfId="3966" priority="145790" stopIfTrue="1" operator="greaterThanOrEqual">
      <formula>0.5</formula>
    </cfRule>
  </conditionalFormatting>
  <conditionalFormatting sqref="AL54">
    <cfRule type="cellIs" dxfId="3965" priority="145791" stopIfTrue="1" operator="equal">
      <formula>-1</formula>
    </cfRule>
  </conditionalFormatting>
  <conditionalFormatting sqref="AL54">
    <cfRule type="cellIs" dxfId="3964" priority="145792" stopIfTrue="1" operator="lessThan">
      <formula>0.5</formula>
    </cfRule>
  </conditionalFormatting>
  <conditionalFormatting sqref="AL54">
    <cfRule type="cellIs" dxfId="3963" priority="145793" stopIfTrue="1" operator="greaterThanOrEqual">
      <formula>0.5</formula>
    </cfRule>
  </conditionalFormatting>
  <conditionalFormatting sqref="AL55">
    <cfRule type="cellIs" dxfId="3962" priority="145794" stopIfTrue="1" operator="equal">
      <formula>-1</formula>
    </cfRule>
  </conditionalFormatting>
  <conditionalFormatting sqref="AL55">
    <cfRule type="cellIs" dxfId="3961" priority="145795" stopIfTrue="1" operator="lessThan">
      <formula>0.5</formula>
    </cfRule>
  </conditionalFormatting>
  <conditionalFormatting sqref="AL55">
    <cfRule type="cellIs" dxfId="3960" priority="145796" stopIfTrue="1" operator="greaterThanOrEqual">
      <formula>0.5</formula>
    </cfRule>
  </conditionalFormatting>
  <conditionalFormatting sqref="AL56">
    <cfRule type="cellIs" dxfId="3959" priority="145797" stopIfTrue="1" operator="equal">
      <formula>-1</formula>
    </cfRule>
  </conditionalFormatting>
  <conditionalFormatting sqref="AL56">
    <cfRule type="cellIs" dxfId="3958" priority="145798" stopIfTrue="1" operator="lessThan">
      <formula>0.5</formula>
    </cfRule>
  </conditionalFormatting>
  <conditionalFormatting sqref="AL56">
    <cfRule type="cellIs" dxfId="3957" priority="145799" stopIfTrue="1" operator="greaterThanOrEqual">
      <formula>0.5</formula>
    </cfRule>
  </conditionalFormatting>
  <conditionalFormatting sqref="AL57">
    <cfRule type="cellIs" dxfId="3956" priority="145800" stopIfTrue="1" operator="equal">
      <formula>-1</formula>
    </cfRule>
  </conditionalFormatting>
  <conditionalFormatting sqref="AL57">
    <cfRule type="cellIs" dxfId="3955" priority="145801" stopIfTrue="1" operator="lessThan">
      <formula>0.5</formula>
    </cfRule>
  </conditionalFormatting>
  <conditionalFormatting sqref="AL57">
    <cfRule type="cellIs" dxfId="3954" priority="145802" stopIfTrue="1" operator="greaterThanOrEqual">
      <formula>0.5</formula>
    </cfRule>
  </conditionalFormatting>
  <conditionalFormatting sqref="AL58">
    <cfRule type="cellIs" dxfId="3953" priority="145803" stopIfTrue="1" operator="equal">
      <formula>-1</formula>
    </cfRule>
  </conditionalFormatting>
  <conditionalFormatting sqref="AL58">
    <cfRule type="cellIs" dxfId="3952" priority="145804" stopIfTrue="1" operator="lessThan">
      <formula>0.5</formula>
    </cfRule>
  </conditionalFormatting>
  <conditionalFormatting sqref="AL58">
    <cfRule type="cellIs" dxfId="3951" priority="145805" stopIfTrue="1" operator="greaterThanOrEqual">
      <formula>0.5</formula>
    </cfRule>
  </conditionalFormatting>
  <conditionalFormatting sqref="AN39">
    <cfRule type="cellIs" dxfId="3950" priority="145806" stopIfTrue="1" operator="equal">
      <formula>-1</formula>
    </cfRule>
  </conditionalFormatting>
  <conditionalFormatting sqref="AN39">
    <cfRule type="cellIs" dxfId="3949" priority="145807" stopIfTrue="1" operator="lessThan">
      <formula>0.5</formula>
    </cfRule>
  </conditionalFormatting>
  <conditionalFormatting sqref="AN39">
    <cfRule type="cellIs" dxfId="3948" priority="145808" stopIfTrue="1" operator="greaterThanOrEqual">
      <formula>0.5</formula>
    </cfRule>
  </conditionalFormatting>
  <conditionalFormatting sqref="AN40">
    <cfRule type="cellIs" dxfId="3947" priority="145809" stopIfTrue="1" operator="equal">
      <formula>-1</formula>
    </cfRule>
  </conditionalFormatting>
  <conditionalFormatting sqref="AN40">
    <cfRule type="cellIs" dxfId="3946" priority="145810" stopIfTrue="1" operator="lessThan">
      <formula>0.5</formula>
    </cfRule>
  </conditionalFormatting>
  <conditionalFormatting sqref="AN40">
    <cfRule type="cellIs" dxfId="3945" priority="145811" stopIfTrue="1" operator="greaterThanOrEqual">
      <formula>0.5</formula>
    </cfRule>
  </conditionalFormatting>
  <conditionalFormatting sqref="AN41">
    <cfRule type="cellIs" dxfId="3944" priority="145812" stopIfTrue="1" operator="equal">
      <formula>-1</formula>
    </cfRule>
  </conditionalFormatting>
  <conditionalFormatting sqref="AN41">
    <cfRule type="cellIs" dxfId="3943" priority="145813" stopIfTrue="1" operator="lessThan">
      <formula>0.5</formula>
    </cfRule>
  </conditionalFormatting>
  <conditionalFormatting sqref="AN41">
    <cfRule type="cellIs" dxfId="3942" priority="145814" stopIfTrue="1" operator="greaterThanOrEqual">
      <formula>0.5</formula>
    </cfRule>
  </conditionalFormatting>
  <conditionalFormatting sqref="AN42">
    <cfRule type="cellIs" dxfId="3941" priority="145815" stopIfTrue="1" operator="equal">
      <formula>-1</formula>
    </cfRule>
  </conditionalFormatting>
  <conditionalFormatting sqref="AN42">
    <cfRule type="cellIs" dxfId="3940" priority="145816" stopIfTrue="1" operator="lessThan">
      <formula>0.5</formula>
    </cfRule>
  </conditionalFormatting>
  <conditionalFormatting sqref="AN42">
    <cfRule type="cellIs" dxfId="3939" priority="145817" stopIfTrue="1" operator="greaterThanOrEqual">
      <formula>0.5</formula>
    </cfRule>
  </conditionalFormatting>
  <conditionalFormatting sqref="AN43">
    <cfRule type="cellIs" dxfId="3938" priority="145818" stopIfTrue="1" operator="equal">
      <formula>-1</formula>
    </cfRule>
  </conditionalFormatting>
  <conditionalFormatting sqref="AN43">
    <cfRule type="cellIs" dxfId="3937" priority="145819" stopIfTrue="1" operator="lessThan">
      <formula>0.5</formula>
    </cfRule>
  </conditionalFormatting>
  <conditionalFormatting sqref="AN43">
    <cfRule type="cellIs" dxfId="3936" priority="145820" stopIfTrue="1" operator="greaterThanOrEqual">
      <formula>0.5</formula>
    </cfRule>
  </conditionalFormatting>
  <conditionalFormatting sqref="AN44">
    <cfRule type="cellIs" dxfId="3935" priority="145821" stopIfTrue="1" operator="equal">
      <formula>-1</formula>
    </cfRule>
  </conditionalFormatting>
  <conditionalFormatting sqref="AN44">
    <cfRule type="cellIs" dxfId="3934" priority="145822" stopIfTrue="1" operator="lessThan">
      <formula>0.5</formula>
    </cfRule>
  </conditionalFormatting>
  <conditionalFormatting sqref="AN44">
    <cfRule type="cellIs" dxfId="3933" priority="145823" stopIfTrue="1" operator="greaterThanOrEqual">
      <formula>0.5</formula>
    </cfRule>
  </conditionalFormatting>
  <conditionalFormatting sqref="AN45">
    <cfRule type="cellIs" dxfId="3932" priority="145824" stopIfTrue="1" operator="equal">
      <formula>-1</formula>
    </cfRule>
  </conditionalFormatting>
  <conditionalFormatting sqref="AN45">
    <cfRule type="cellIs" dxfId="3931" priority="145825" stopIfTrue="1" operator="lessThan">
      <formula>0.5</formula>
    </cfRule>
  </conditionalFormatting>
  <conditionalFormatting sqref="AN45">
    <cfRule type="cellIs" dxfId="3930" priority="145826" stopIfTrue="1" operator="greaterThanOrEqual">
      <formula>0.5</formula>
    </cfRule>
  </conditionalFormatting>
  <conditionalFormatting sqref="AN46">
    <cfRule type="cellIs" dxfId="3929" priority="145827" stopIfTrue="1" operator="equal">
      <formula>-1</formula>
    </cfRule>
  </conditionalFormatting>
  <conditionalFormatting sqref="AN46">
    <cfRule type="cellIs" dxfId="3928" priority="145828" stopIfTrue="1" operator="lessThan">
      <formula>0.5</formula>
    </cfRule>
  </conditionalFormatting>
  <conditionalFormatting sqref="AN46">
    <cfRule type="cellIs" dxfId="3927" priority="145829" stopIfTrue="1" operator="greaterThanOrEqual">
      <formula>0.5</formula>
    </cfRule>
  </conditionalFormatting>
  <conditionalFormatting sqref="AN47">
    <cfRule type="cellIs" dxfId="3926" priority="145830" stopIfTrue="1" operator="equal">
      <formula>-1</formula>
    </cfRule>
  </conditionalFormatting>
  <conditionalFormatting sqref="AN47">
    <cfRule type="cellIs" dxfId="3925" priority="145831" stopIfTrue="1" operator="lessThan">
      <formula>0.5</formula>
    </cfRule>
  </conditionalFormatting>
  <conditionalFormatting sqref="AN47">
    <cfRule type="cellIs" dxfId="3924" priority="145832" stopIfTrue="1" operator="greaterThanOrEqual">
      <formula>0.5</formula>
    </cfRule>
  </conditionalFormatting>
  <conditionalFormatting sqref="AN48">
    <cfRule type="cellIs" dxfId="3923" priority="145833" stopIfTrue="1" operator="equal">
      <formula>-1</formula>
    </cfRule>
  </conditionalFormatting>
  <conditionalFormatting sqref="AN48">
    <cfRule type="cellIs" dxfId="3922" priority="145834" stopIfTrue="1" operator="lessThan">
      <formula>0.5</formula>
    </cfRule>
  </conditionalFormatting>
  <conditionalFormatting sqref="AN48">
    <cfRule type="cellIs" dxfId="3921" priority="145835" stopIfTrue="1" operator="greaterThanOrEqual">
      <formula>0.5</formula>
    </cfRule>
  </conditionalFormatting>
  <conditionalFormatting sqref="AN49">
    <cfRule type="cellIs" dxfId="3920" priority="145836" stopIfTrue="1" operator="equal">
      <formula>-1</formula>
    </cfRule>
  </conditionalFormatting>
  <conditionalFormatting sqref="AN49">
    <cfRule type="cellIs" dxfId="3919" priority="145837" stopIfTrue="1" operator="lessThan">
      <formula>0.5</formula>
    </cfRule>
  </conditionalFormatting>
  <conditionalFormatting sqref="AN49">
    <cfRule type="cellIs" dxfId="3918" priority="145838" stopIfTrue="1" operator="greaterThanOrEqual">
      <formula>0.5</formula>
    </cfRule>
  </conditionalFormatting>
  <conditionalFormatting sqref="AN50">
    <cfRule type="cellIs" dxfId="3917" priority="145839" stopIfTrue="1" operator="equal">
      <formula>-1</formula>
    </cfRule>
  </conditionalFormatting>
  <conditionalFormatting sqref="AN50">
    <cfRule type="cellIs" dxfId="3916" priority="145840" stopIfTrue="1" operator="lessThan">
      <formula>0.5</formula>
    </cfRule>
  </conditionalFormatting>
  <conditionalFormatting sqref="AN50">
    <cfRule type="cellIs" dxfId="3915" priority="145841" stopIfTrue="1" operator="greaterThanOrEqual">
      <formula>0.5</formula>
    </cfRule>
  </conditionalFormatting>
  <conditionalFormatting sqref="AN51">
    <cfRule type="cellIs" dxfId="3914" priority="145842" stopIfTrue="1" operator="equal">
      <formula>-1</formula>
    </cfRule>
  </conditionalFormatting>
  <conditionalFormatting sqref="AN51">
    <cfRule type="cellIs" dxfId="3913" priority="145843" stopIfTrue="1" operator="lessThan">
      <formula>0.5</formula>
    </cfRule>
  </conditionalFormatting>
  <conditionalFormatting sqref="AN51">
    <cfRule type="cellIs" dxfId="3912" priority="145844" stopIfTrue="1" operator="greaterThanOrEqual">
      <formula>0.5</formula>
    </cfRule>
  </conditionalFormatting>
  <conditionalFormatting sqref="AN52">
    <cfRule type="cellIs" dxfId="3911" priority="145845" stopIfTrue="1" operator="equal">
      <formula>-1</formula>
    </cfRule>
  </conditionalFormatting>
  <conditionalFormatting sqref="AN52">
    <cfRule type="cellIs" dxfId="3910" priority="145846" stopIfTrue="1" operator="lessThan">
      <formula>0.5</formula>
    </cfRule>
  </conditionalFormatting>
  <conditionalFormatting sqref="AN52">
    <cfRule type="cellIs" dxfId="3909" priority="145847" stopIfTrue="1" operator="greaterThanOrEqual">
      <formula>0.5</formula>
    </cfRule>
  </conditionalFormatting>
  <conditionalFormatting sqref="AN53">
    <cfRule type="cellIs" dxfId="3908" priority="145848" stopIfTrue="1" operator="equal">
      <formula>-1</formula>
    </cfRule>
  </conditionalFormatting>
  <conditionalFormatting sqref="AN53">
    <cfRule type="cellIs" dxfId="3907" priority="145849" stopIfTrue="1" operator="lessThan">
      <formula>0.5</formula>
    </cfRule>
  </conditionalFormatting>
  <conditionalFormatting sqref="AN53">
    <cfRule type="cellIs" dxfId="3906" priority="145850" stopIfTrue="1" operator="greaterThanOrEqual">
      <formula>0.5</formula>
    </cfRule>
  </conditionalFormatting>
  <conditionalFormatting sqref="AN54">
    <cfRule type="cellIs" dxfId="3905" priority="145851" stopIfTrue="1" operator="equal">
      <formula>-1</formula>
    </cfRule>
  </conditionalFormatting>
  <conditionalFormatting sqref="AN54">
    <cfRule type="cellIs" dxfId="3904" priority="145852" stopIfTrue="1" operator="lessThan">
      <formula>0.5</formula>
    </cfRule>
  </conditionalFormatting>
  <conditionalFormatting sqref="AN54">
    <cfRule type="cellIs" dxfId="3903" priority="145853" stopIfTrue="1" operator="greaterThanOrEqual">
      <formula>0.5</formula>
    </cfRule>
  </conditionalFormatting>
  <conditionalFormatting sqref="AN55">
    <cfRule type="cellIs" dxfId="3902" priority="145854" stopIfTrue="1" operator="equal">
      <formula>-1</formula>
    </cfRule>
  </conditionalFormatting>
  <conditionalFormatting sqref="AN55">
    <cfRule type="cellIs" dxfId="3901" priority="145855" stopIfTrue="1" operator="lessThan">
      <formula>0.5</formula>
    </cfRule>
  </conditionalFormatting>
  <conditionalFormatting sqref="AN55">
    <cfRule type="cellIs" dxfId="3900" priority="145856" stopIfTrue="1" operator="greaterThanOrEqual">
      <formula>0.5</formula>
    </cfRule>
  </conditionalFormatting>
  <conditionalFormatting sqref="AN56">
    <cfRule type="cellIs" dxfId="3899" priority="145857" stopIfTrue="1" operator="equal">
      <formula>-1</formula>
    </cfRule>
  </conditionalFormatting>
  <conditionalFormatting sqref="AN56">
    <cfRule type="cellIs" dxfId="3898" priority="145858" stopIfTrue="1" operator="lessThan">
      <formula>0.5</formula>
    </cfRule>
  </conditionalFormatting>
  <conditionalFormatting sqref="AN56">
    <cfRule type="cellIs" dxfId="3897" priority="145859" stopIfTrue="1" operator="greaterThanOrEqual">
      <formula>0.5</formula>
    </cfRule>
  </conditionalFormatting>
  <conditionalFormatting sqref="AN57">
    <cfRule type="cellIs" dxfId="3896" priority="145860" stopIfTrue="1" operator="equal">
      <formula>-1</formula>
    </cfRule>
  </conditionalFormatting>
  <conditionalFormatting sqref="AN57">
    <cfRule type="cellIs" dxfId="3895" priority="145861" stopIfTrue="1" operator="lessThan">
      <formula>0.5</formula>
    </cfRule>
  </conditionalFormatting>
  <conditionalFormatting sqref="AN57">
    <cfRule type="cellIs" dxfId="3894" priority="145862" stopIfTrue="1" operator="greaterThanOrEqual">
      <formula>0.5</formula>
    </cfRule>
  </conditionalFormatting>
  <conditionalFormatting sqref="AN58">
    <cfRule type="cellIs" dxfId="3893" priority="145863" stopIfTrue="1" operator="equal">
      <formula>-1</formula>
    </cfRule>
  </conditionalFormatting>
  <conditionalFormatting sqref="AN58">
    <cfRule type="cellIs" dxfId="3892" priority="145864" stopIfTrue="1" operator="lessThan">
      <formula>0.5</formula>
    </cfRule>
  </conditionalFormatting>
  <conditionalFormatting sqref="AN58">
    <cfRule type="cellIs" dxfId="3891" priority="145865" stopIfTrue="1" operator="greaterThanOrEqual">
      <formula>0.5</formula>
    </cfRule>
  </conditionalFormatting>
  <conditionalFormatting sqref="AP39">
    <cfRule type="cellIs" dxfId="3890" priority="145866" stopIfTrue="1" operator="equal">
      <formula>-1</formula>
    </cfRule>
  </conditionalFormatting>
  <conditionalFormatting sqref="AP39">
    <cfRule type="cellIs" dxfId="3889" priority="145867" stopIfTrue="1" operator="lessThan">
      <formula>0.5</formula>
    </cfRule>
  </conditionalFormatting>
  <conditionalFormatting sqref="AP39">
    <cfRule type="cellIs" dxfId="3888" priority="145868" stopIfTrue="1" operator="greaterThanOrEqual">
      <formula>0.5</formula>
    </cfRule>
  </conditionalFormatting>
  <conditionalFormatting sqref="AP40">
    <cfRule type="cellIs" dxfId="3887" priority="145869" stopIfTrue="1" operator="equal">
      <formula>-1</formula>
    </cfRule>
  </conditionalFormatting>
  <conditionalFormatting sqref="AP40">
    <cfRule type="cellIs" dxfId="3886" priority="145870" stopIfTrue="1" operator="lessThan">
      <formula>0.5</formula>
    </cfRule>
  </conditionalFormatting>
  <conditionalFormatting sqref="AP40">
    <cfRule type="cellIs" dxfId="3885" priority="145871" stopIfTrue="1" operator="greaterThanOrEqual">
      <formula>0.5</formula>
    </cfRule>
  </conditionalFormatting>
  <conditionalFormatting sqref="AP41">
    <cfRule type="cellIs" dxfId="3884" priority="145872" stopIfTrue="1" operator="equal">
      <formula>-1</formula>
    </cfRule>
  </conditionalFormatting>
  <conditionalFormatting sqref="AP41">
    <cfRule type="cellIs" dxfId="3883" priority="145873" stopIfTrue="1" operator="lessThan">
      <formula>0.5</formula>
    </cfRule>
  </conditionalFormatting>
  <conditionalFormatting sqref="AP41">
    <cfRule type="cellIs" dxfId="3882" priority="145874" stopIfTrue="1" operator="greaterThanOrEqual">
      <formula>0.5</formula>
    </cfRule>
  </conditionalFormatting>
  <conditionalFormatting sqref="AP42">
    <cfRule type="cellIs" dxfId="3881" priority="145875" stopIfTrue="1" operator="equal">
      <formula>-1</formula>
    </cfRule>
  </conditionalFormatting>
  <conditionalFormatting sqref="AP42">
    <cfRule type="cellIs" dxfId="3880" priority="145876" stopIfTrue="1" operator="lessThan">
      <formula>0.5</formula>
    </cfRule>
  </conditionalFormatting>
  <conditionalFormatting sqref="AP42">
    <cfRule type="cellIs" dxfId="3879" priority="145877" stopIfTrue="1" operator="greaterThanOrEqual">
      <formula>0.5</formula>
    </cfRule>
  </conditionalFormatting>
  <conditionalFormatting sqref="AP43">
    <cfRule type="cellIs" dxfId="3878" priority="145878" stopIfTrue="1" operator="equal">
      <formula>-1</formula>
    </cfRule>
  </conditionalFormatting>
  <conditionalFormatting sqref="AP43">
    <cfRule type="cellIs" dxfId="3877" priority="145879" stopIfTrue="1" operator="lessThan">
      <formula>0.5</formula>
    </cfRule>
  </conditionalFormatting>
  <conditionalFormatting sqref="AP43">
    <cfRule type="cellIs" dxfId="3876" priority="145880" stopIfTrue="1" operator="greaterThanOrEqual">
      <formula>0.5</formula>
    </cfRule>
  </conditionalFormatting>
  <conditionalFormatting sqref="AP44">
    <cfRule type="cellIs" dxfId="3875" priority="145881" stopIfTrue="1" operator="equal">
      <formula>-1</formula>
    </cfRule>
  </conditionalFormatting>
  <conditionalFormatting sqref="AP44">
    <cfRule type="cellIs" dxfId="3874" priority="145882" stopIfTrue="1" operator="lessThan">
      <formula>0.5</formula>
    </cfRule>
  </conditionalFormatting>
  <conditionalFormatting sqref="AP44">
    <cfRule type="cellIs" dxfId="3873" priority="145883" stopIfTrue="1" operator="greaterThanOrEqual">
      <formula>0.5</formula>
    </cfRule>
  </conditionalFormatting>
  <conditionalFormatting sqref="AP45">
    <cfRule type="cellIs" dxfId="3872" priority="145884" stopIfTrue="1" operator="equal">
      <formula>-1</formula>
    </cfRule>
  </conditionalFormatting>
  <conditionalFormatting sqref="AP45">
    <cfRule type="cellIs" dxfId="3871" priority="145885" stopIfTrue="1" operator="lessThan">
      <formula>0.5</formula>
    </cfRule>
  </conditionalFormatting>
  <conditionalFormatting sqref="AP45">
    <cfRule type="cellIs" dxfId="3870" priority="145886" stopIfTrue="1" operator="greaterThanOrEqual">
      <formula>0.5</formula>
    </cfRule>
  </conditionalFormatting>
  <conditionalFormatting sqref="AP46">
    <cfRule type="cellIs" dxfId="3869" priority="145887" stopIfTrue="1" operator="equal">
      <formula>-1</formula>
    </cfRule>
  </conditionalFormatting>
  <conditionalFormatting sqref="AP46">
    <cfRule type="cellIs" dxfId="3868" priority="145888" stopIfTrue="1" operator="lessThan">
      <formula>0.5</formula>
    </cfRule>
  </conditionalFormatting>
  <conditionalFormatting sqref="AP46">
    <cfRule type="cellIs" dxfId="3867" priority="145889" stopIfTrue="1" operator="greaterThanOrEqual">
      <formula>0.5</formula>
    </cfRule>
  </conditionalFormatting>
  <conditionalFormatting sqref="AP47">
    <cfRule type="cellIs" dxfId="3866" priority="145890" stopIfTrue="1" operator="equal">
      <formula>-1</formula>
    </cfRule>
  </conditionalFormatting>
  <conditionalFormatting sqref="AP47">
    <cfRule type="cellIs" dxfId="3865" priority="145891" stopIfTrue="1" operator="lessThan">
      <formula>0.5</formula>
    </cfRule>
  </conditionalFormatting>
  <conditionalFormatting sqref="AP47">
    <cfRule type="cellIs" dxfId="3864" priority="145892" stopIfTrue="1" operator="greaterThanOrEqual">
      <formula>0.5</formula>
    </cfRule>
  </conditionalFormatting>
  <conditionalFormatting sqref="AP48">
    <cfRule type="cellIs" dxfId="3863" priority="145893" stopIfTrue="1" operator="equal">
      <formula>-1</formula>
    </cfRule>
  </conditionalFormatting>
  <conditionalFormatting sqref="AP48">
    <cfRule type="cellIs" dxfId="3862" priority="145894" stopIfTrue="1" operator="lessThan">
      <formula>0.5</formula>
    </cfRule>
  </conditionalFormatting>
  <conditionalFormatting sqref="AP48">
    <cfRule type="cellIs" dxfId="3861" priority="145895" stopIfTrue="1" operator="greaterThanOrEqual">
      <formula>0.5</formula>
    </cfRule>
  </conditionalFormatting>
  <conditionalFormatting sqref="AP49">
    <cfRule type="cellIs" dxfId="3860" priority="145896" stopIfTrue="1" operator="equal">
      <formula>-1</formula>
    </cfRule>
  </conditionalFormatting>
  <conditionalFormatting sqref="AP49">
    <cfRule type="cellIs" dxfId="3859" priority="145897" stopIfTrue="1" operator="lessThan">
      <formula>0.5</formula>
    </cfRule>
  </conditionalFormatting>
  <conditionalFormatting sqref="AP49">
    <cfRule type="cellIs" dxfId="3858" priority="145898" stopIfTrue="1" operator="greaterThanOrEqual">
      <formula>0.5</formula>
    </cfRule>
  </conditionalFormatting>
  <conditionalFormatting sqref="AP50">
    <cfRule type="cellIs" dxfId="3857" priority="145899" stopIfTrue="1" operator="equal">
      <formula>-1</formula>
    </cfRule>
  </conditionalFormatting>
  <conditionalFormatting sqref="AP50">
    <cfRule type="cellIs" dxfId="3856" priority="145900" stopIfTrue="1" operator="lessThan">
      <formula>0.5</formula>
    </cfRule>
  </conditionalFormatting>
  <conditionalFormatting sqref="AP50">
    <cfRule type="cellIs" dxfId="3855" priority="145901" stopIfTrue="1" operator="greaterThanOrEqual">
      <formula>0.5</formula>
    </cfRule>
  </conditionalFormatting>
  <conditionalFormatting sqref="AP51">
    <cfRule type="cellIs" dxfId="3854" priority="145902" stopIfTrue="1" operator="equal">
      <formula>-1</formula>
    </cfRule>
  </conditionalFormatting>
  <conditionalFormatting sqref="AP51">
    <cfRule type="cellIs" dxfId="3853" priority="145903" stopIfTrue="1" operator="lessThan">
      <formula>0.5</formula>
    </cfRule>
  </conditionalFormatting>
  <conditionalFormatting sqref="AP51">
    <cfRule type="cellIs" dxfId="3852" priority="145904" stopIfTrue="1" operator="greaterThanOrEqual">
      <formula>0.5</formula>
    </cfRule>
  </conditionalFormatting>
  <conditionalFormatting sqref="AP52">
    <cfRule type="cellIs" dxfId="3851" priority="145905" stopIfTrue="1" operator="equal">
      <formula>-1</formula>
    </cfRule>
  </conditionalFormatting>
  <conditionalFormatting sqref="AP52">
    <cfRule type="cellIs" dxfId="3850" priority="145906" stopIfTrue="1" operator="lessThan">
      <formula>0.5</formula>
    </cfRule>
  </conditionalFormatting>
  <conditionalFormatting sqref="AP52">
    <cfRule type="cellIs" dxfId="3849" priority="145907" stopIfTrue="1" operator="greaterThanOrEqual">
      <formula>0.5</formula>
    </cfRule>
  </conditionalFormatting>
  <conditionalFormatting sqref="AP53">
    <cfRule type="cellIs" dxfId="3848" priority="145908" stopIfTrue="1" operator="equal">
      <formula>-1</formula>
    </cfRule>
  </conditionalFormatting>
  <conditionalFormatting sqref="AP53">
    <cfRule type="cellIs" dxfId="3847" priority="145909" stopIfTrue="1" operator="lessThan">
      <formula>0.5</formula>
    </cfRule>
  </conditionalFormatting>
  <conditionalFormatting sqref="AP53">
    <cfRule type="cellIs" dxfId="3846" priority="145910" stopIfTrue="1" operator="greaterThanOrEqual">
      <formula>0.5</formula>
    </cfRule>
  </conditionalFormatting>
  <conditionalFormatting sqref="AP54">
    <cfRule type="cellIs" dxfId="3845" priority="145911" stopIfTrue="1" operator="equal">
      <formula>-1</formula>
    </cfRule>
  </conditionalFormatting>
  <conditionalFormatting sqref="AP54">
    <cfRule type="cellIs" dxfId="3844" priority="145912" stopIfTrue="1" operator="lessThan">
      <formula>0.5</formula>
    </cfRule>
  </conditionalFormatting>
  <conditionalFormatting sqref="AP54">
    <cfRule type="cellIs" dxfId="3843" priority="145913" stopIfTrue="1" operator="greaterThanOrEqual">
      <formula>0.5</formula>
    </cfRule>
  </conditionalFormatting>
  <conditionalFormatting sqref="AP55">
    <cfRule type="cellIs" dxfId="3842" priority="145914" stopIfTrue="1" operator="equal">
      <formula>-1</formula>
    </cfRule>
  </conditionalFormatting>
  <conditionalFormatting sqref="AP55">
    <cfRule type="cellIs" dxfId="3841" priority="145915" stopIfTrue="1" operator="lessThan">
      <formula>0.5</formula>
    </cfRule>
  </conditionalFormatting>
  <conditionalFormatting sqref="AP55">
    <cfRule type="cellIs" dxfId="3840" priority="145916" stopIfTrue="1" operator="greaterThanOrEqual">
      <formula>0.5</formula>
    </cfRule>
  </conditionalFormatting>
  <conditionalFormatting sqref="AP56">
    <cfRule type="cellIs" dxfId="3839" priority="145917" stopIfTrue="1" operator="equal">
      <formula>-1</formula>
    </cfRule>
  </conditionalFormatting>
  <conditionalFormatting sqref="AP56">
    <cfRule type="cellIs" dxfId="3838" priority="145918" stopIfTrue="1" operator="lessThan">
      <formula>0.5</formula>
    </cfRule>
  </conditionalFormatting>
  <conditionalFormatting sqref="AP56">
    <cfRule type="cellIs" dxfId="3837" priority="145919" stopIfTrue="1" operator="greaterThanOrEqual">
      <formula>0.5</formula>
    </cfRule>
  </conditionalFormatting>
  <conditionalFormatting sqref="AP57">
    <cfRule type="cellIs" dxfId="3836" priority="145920" stopIfTrue="1" operator="equal">
      <formula>-1</formula>
    </cfRule>
  </conditionalFormatting>
  <conditionalFormatting sqref="AP57">
    <cfRule type="cellIs" dxfId="3835" priority="145921" stopIfTrue="1" operator="lessThan">
      <formula>0.5</formula>
    </cfRule>
  </conditionalFormatting>
  <conditionalFormatting sqref="AP57">
    <cfRule type="cellIs" dxfId="3834" priority="145922" stopIfTrue="1" operator="greaterThanOrEqual">
      <formula>0.5</formula>
    </cfRule>
  </conditionalFormatting>
  <conditionalFormatting sqref="AP58">
    <cfRule type="cellIs" dxfId="3833" priority="145923" stopIfTrue="1" operator="equal">
      <formula>-1</formula>
    </cfRule>
  </conditionalFormatting>
  <conditionalFormatting sqref="AP58">
    <cfRule type="cellIs" dxfId="3832" priority="145924" stopIfTrue="1" operator="lessThan">
      <formula>0.5</formula>
    </cfRule>
  </conditionalFormatting>
  <conditionalFormatting sqref="AP58">
    <cfRule type="cellIs" dxfId="3831" priority="145925" stopIfTrue="1" operator="greaterThanOrEqual">
      <formula>0.5</formula>
    </cfRule>
  </conditionalFormatting>
  <conditionalFormatting sqref="AR39">
    <cfRule type="cellIs" dxfId="3830" priority="145926" stopIfTrue="1" operator="equal">
      <formula>-1</formula>
    </cfRule>
  </conditionalFormatting>
  <conditionalFormatting sqref="AR39">
    <cfRule type="cellIs" dxfId="3829" priority="145927" stopIfTrue="1" operator="lessThan">
      <formula>0.5</formula>
    </cfRule>
  </conditionalFormatting>
  <conditionalFormatting sqref="AR39">
    <cfRule type="cellIs" dxfId="3828" priority="145928" stopIfTrue="1" operator="greaterThanOrEqual">
      <formula>0.5</formula>
    </cfRule>
  </conditionalFormatting>
  <conditionalFormatting sqref="AR40">
    <cfRule type="cellIs" dxfId="3827" priority="145929" stopIfTrue="1" operator="equal">
      <formula>-1</formula>
    </cfRule>
  </conditionalFormatting>
  <conditionalFormatting sqref="AR40">
    <cfRule type="cellIs" dxfId="3826" priority="145930" stopIfTrue="1" operator="lessThan">
      <formula>0.5</formula>
    </cfRule>
  </conditionalFormatting>
  <conditionalFormatting sqref="AR40">
    <cfRule type="cellIs" dxfId="3825" priority="145931" stopIfTrue="1" operator="greaterThanOrEqual">
      <formula>0.5</formula>
    </cfRule>
  </conditionalFormatting>
  <conditionalFormatting sqref="AR41">
    <cfRule type="cellIs" dxfId="3824" priority="145932" stopIfTrue="1" operator="equal">
      <formula>-1</formula>
    </cfRule>
  </conditionalFormatting>
  <conditionalFormatting sqref="AR41">
    <cfRule type="cellIs" dxfId="3823" priority="145933" stopIfTrue="1" operator="lessThan">
      <formula>0.5</formula>
    </cfRule>
  </conditionalFormatting>
  <conditionalFormatting sqref="AR41">
    <cfRule type="cellIs" dxfId="3822" priority="145934" stopIfTrue="1" operator="greaterThanOrEqual">
      <formula>0.5</formula>
    </cfRule>
  </conditionalFormatting>
  <conditionalFormatting sqref="AR42">
    <cfRule type="cellIs" dxfId="3821" priority="145935" stopIfTrue="1" operator="equal">
      <formula>-1</formula>
    </cfRule>
  </conditionalFormatting>
  <conditionalFormatting sqref="AR42">
    <cfRule type="cellIs" dxfId="3820" priority="145936" stopIfTrue="1" operator="lessThan">
      <formula>0.5</formula>
    </cfRule>
  </conditionalFormatting>
  <conditionalFormatting sqref="AR42">
    <cfRule type="cellIs" dxfId="3819" priority="145937" stopIfTrue="1" operator="greaterThanOrEqual">
      <formula>0.5</formula>
    </cfRule>
  </conditionalFormatting>
  <conditionalFormatting sqref="AR43">
    <cfRule type="cellIs" dxfId="3818" priority="145938" stopIfTrue="1" operator="equal">
      <formula>-1</formula>
    </cfRule>
  </conditionalFormatting>
  <conditionalFormatting sqref="AR43">
    <cfRule type="cellIs" dxfId="3817" priority="145939" stopIfTrue="1" operator="lessThan">
      <formula>0.5</formula>
    </cfRule>
  </conditionalFormatting>
  <conditionalFormatting sqref="AR43">
    <cfRule type="cellIs" dxfId="3816" priority="145940" stopIfTrue="1" operator="greaterThanOrEqual">
      <formula>0.5</formula>
    </cfRule>
  </conditionalFormatting>
  <conditionalFormatting sqref="AR44">
    <cfRule type="cellIs" dxfId="3815" priority="145941" stopIfTrue="1" operator="equal">
      <formula>-1</formula>
    </cfRule>
  </conditionalFormatting>
  <conditionalFormatting sqref="AR44">
    <cfRule type="cellIs" dxfId="3814" priority="145942" stopIfTrue="1" operator="lessThan">
      <formula>0.5</formula>
    </cfRule>
  </conditionalFormatting>
  <conditionalFormatting sqref="AR44">
    <cfRule type="cellIs" dxfId="3813" priority="145943" stopIfTrue="1" operator="greaterThanOrEqual">
      <formula>0.5</formula>
    </cfRule>
  </conditionalFormatting>
  <conditionalFormatting sqref="AR45">
    <cfRule type="cellIs" dxfId="3812" priority="145944" stopIfTrue="1" operator="equal">
      <formula>-1</formula>
    </cfRule>
  </conditionalFormatting>
  <conditionalFormatting sqref="AR45">
    <cfRule type="cellIs" dxfId="3811" priority="145945" stopIfTrue="1" operator="lessThan">
      <formula>0.5</formula>
    </cfRule>
  </conditionalFormatting>
  <conditionalFormatting sqref="AR45">
    <cfRule type="cellIs" dxfId="3810" priority="145946" stopIfTrue="1" operator="greaterThanOrEqual">
      <formula>0.5</formula>
    </cfRule>
  </conditionalFormatting>
  <conditionalFormatting sqref="AR46">
    <cfRule type="cellIs" dxfId="3809" priority="145947" stopIfTrue="1" operator="equal">
      <formula>-1</formula>
    </cfRule>
  </conditionalFormatting>
  <conditionalFormatting sqref="AR46">
    <cfRule type="cellIs" dxfId="3808" priority="145948" stopIfTrue="1" operator="lessThan">
      <formula>0.5</formula>
    </cfRule>
  </conditionalFormatting>
  <conditionalFormatting sqref="AR46">
    <cfRule type="cellIs" dxfId="3807" priority="145949" stopIfTrue="1" operator="greaterThanOrEqual">
      <formula>0.5</formula>
    </cfRule>
  </conditionalFormatting>
  <conditionalFormatting sqref="AR47">
    <cfRule type="cellIs" dxfId="3806" priority="145950" stopIfTrue="1" operator="equal">
      <formula>-1</formula>
    </cfRule>
  </conditionalFormatting>
  <conditionalFormatting sqref="AR47">
    <cfRule type="cellIs" dxfId="3805" priority="145951" stopIfTrue="1" operator="lessThan">
      <formula>0.5</formula>
    </cfRule>
  </conditionalFormatting>
  <conditionalFormatting sqref="AR47">
    <cfRule type="cellIs" dxfId="3804" priority="145952" stopIfTrue="1" operator="greaterThanOrEqual">
      <formula>0.5</formula>
    </cfRule>
  </conditionalFormatting>
  <conditionalFormatting sqref="AR48">
    <cfRule type="cellIs" dxfId="3803" priority="145953" stopIfTrue="1" operator="equal">
      <formula>-1</formula>
    </cfRule>
  </conditionalFormatting>
  <conditionalFormatting sqref="AR48">
    <cfRule type="cellIs" dxfId="3802" priority="145954" stopIfTrue="1" operator="lessThan">
      <formula>0.5</formula>
    </cfRule>
  </conditionalFormatting>
  <conditionalFormatting sqref="AR48">
    <cfRule type="cellIs" dxfId="3801" priority="145955" stopIfTrue="1" operator="greaterThanOrEqual">
      <formula>0.5</formula>
    </cfRule>
  </conditionalFormatting>
  <conditionalFormatting sqref="AR49">
    <cfRule type="cellIs" dxfId="3800" priority="145956" stopIfTrue="1" operator="equal">
      <formula>-1</formula>
    </cfRule>
  </conditionalFormatting>
  <conditionalFormatting sqref="AR49">
    <cfRule type="cellIs" dxfId="3799" priority="145957" stopIfTrue="1" operator="lessThan">
      <formula>0.5</formula>
    </cfRule>
  </conditionalFormatting>
  <conditionalFormatting sqref="AR49">
    <cfRule type="cellIs" dxfId="3798" priority="145958" stopIfTrue="1" operator="greaterThanOrEqual">
      <formula>0.5</formula>
    </cfRule>
  </conditionalFormatting>
  <conditionalFormatting sqref="AR50">
    <cfRule type="cellIs" dxfId="3797" priority="145959" stopIfTrue="1" operator="equal">
      <formula>-1</formula>
    </cfRule>
  </conditionalFormatting>
  <conditionalFormatting sqref="AR50">
    <cfRule type="cellIs" dxfId="3796" priority="145960" stopIfTrue="1" operator="lessThan">
      <formula>0.5</formula>
    </cfRule>
  </conditionalFormatting>
  <conditionalFormatting sqref="AR50">
    <cfRule type="cellIs" dxfId="3795" priority="145961" stopIfTrue="1" operator="greaterThanOrEqual">
      <formula>0.5</formula>
    </cfRule>
  </conditionalFormatting>
  <conditionalFormatting sqref="AR51">
    <cfRule type="cellIs" dxfId="3794" priority="145962" stopIfTrue="1" operator="equal">
      <formula>-1</formula>
    </cfRule>
  </conditionalFormatting>
  <conditionalFormatting sqref="AR51">
    <cfRule type="cellIs" dxfId="3793" priority="145963" stopIfTrue="1" operator="lessThan">
      <formula>0.5</formula>
    </cfRule>
  </conditionalFormatting>
  <conditionalFormatting sqref="AR51">
    <cfRule type="cellIs" dxfId="3792" priority="145964" stopIfTrue="1" operator="greaterThanOrEqual">
      <formula>0.5</formula>
    </cfRule>
  </conditionalFormatting>
  <conditionalFormatting sqref="AR52">
    <cfRule type="cellIs" dxfId="3791" priority="145965" stopIfTrue="1" operator="equal">
      <formula>-1</formula>
    </cfRule>
  </conditionalFormatting>
  <conditionalFormatting sqref="AR52">
    <cfRule type="cellIs" dxfId="3790" priority="145966" stopIfTrue="1" operator="lessThan">
      <formula>0.5</formula>
    </cfRule>
  </conditionalFormatting>
  <conditionalFormatting sqref="AR52">
    <cfRule type="cellIs" dxfId="3789" priority="145967" stopIfTrue="1" operator="greaterThanOrEqual">
      <formula>0.5</formula>
    </cfRule>
  </conditionalFormatting>
  <conditionalFormatting sqref="AR53">
    <cfRule type="cellIs" dxfId="3788" priority="145968" stopIfTrue="1" operator="equal">
      <formula>-1</formula>
    </cfRule>
  </conditionalFormatting>
  <conditionalFormatting sqref="AR53">
    <cfRule type="cellIs" dxfId="3787" priority="145969" stopIfTrue="1" operator="lessThan">
      <formula>0.5</formula>
    </cfRule>
  </conditionalFormatting>
  <conditionalFormatting sqref="AR53">
    <cfRule type="cellIs" dxfId="3786" priority="145970" stopIfTrue="1" operator="greaterThanOrEqual">
      <formula>0.5</formula>
    </cfRule>
  </conditionalFormatting>
  <conditionalFormatting sqref="AR54">
    <cfRule type="cellIs" dxfId="3785" priority="145971" stopIfTrue="1" operator="equal">
      <formula>-1</formula>
    </cfRule>
  </conditionalFormatting>
  <conditionalFormatting sqref="AR54">
    <cfRule type="cellIs" dxfId="3784" priority="145972" stopIfTrue="1" operator="lessThan">
      <formula>0.5</formula>
    </cfRule>
  </conditionalFormatting>
  <conditionalFormatting sqref="AR54">
    <cfRule type="cellIs" dxfId="3783" priority="145973" stopIfTrue="1" operator="greaterThanOrEqual">
      <formula>0.5</formula>
    </cfRule>
  </conditionalFormatting>
  <conditionalFormatting sqref="AR55">
    <cfRule type="cellIs" dxfId="3782" priority="145974" stopIfTrue="1" operator="equal">
      <formula>-1</formula>
    </cfRule>
  </conditionalFormatting>
  <conditionalFormatting sqref="AR55">
    <cfRule type="cellIs" dxfId="3781" priority="145975" stopIfTrue="1" operator="lessThan">
      <formula>0.5</formula>
    </cfRule>
  </conditionalFormatting>
  <conditionalFormatting sqref="AR55">
    <cfRule type="cellIs" dxfId="3780" priority="145976" stopIfTrue="1" operator="greaterThanOrEqual">
      <formula>0.5</formula>
    </cfRule>
  </conditionalFormatting>
  <conditionalFormatting sqref="AR56">
    <cfRule type="cellIs" dxfId="3779" priority="145977" stopIfTrue="1" operator="equal">
      <formula>-1</formula>
    </cfRule>
  </conditionalFormatting>
  <conditionalFormatting sqref="AR56">
    <cfRule type="cellIs" dxfId="3778" priority="145978" stopIfTrue="1" operator="lessThan">
      <formula>0.5</formula>
    </cfRule>
  </conditionalFormatting>
  <conditionalFormatting sqref="AR56">
    <cfRule type="cellIs" dxfId="3777" priority="145979" stopIfTrue="1" operator="greaterThanOrEqual">
      <formula>0.5</formula>
    </cfRule>
  </conditionalFormatting>
  <conditionalFormatting sqref="AR57">
    <cfRule type="cellIs" dxfId="3776" priority="145980" stopIfTrue="1" operator="equal">
      <formula>-1</formula>
    </cfRule>
  </conditionalFormatting>
  <conditionalFormatting sqref="AR57">
    <cfRule type="cellIs" dxfId="3775" priority="145981" stopIfTrue="1" operator="lessThan">
      <formula>0.5</formula>
    </cfRule>
  </conditionalFormatting>
  <conditionalFormatting sqref="AR57">
    <cfRule type="cellIs" dxfId="3774" priority="145982" stopIfTrue="1" operator="greaterThanOrEqual">
      <formula>0.5</formula>
    </cfRule>
  </conditionalFormatting>
  <conditionalFormatting sqref="AR58">
    <cfRule type="cellIs" dxfId="3773" priority="145983" stopIfTrue="1" operator="equal">
      <formula>-1</formula>
    </cfRule>
  </conditionalFormatting>
  <conditionalFormatting sqref="AR58">
    <cfRule type="cellIs" dxfId="3772" priority="145984" stopIfTrue="1" operator="lessThan">
      <formula>0.5</formula>
    </cfRule>
  </conditionalFormatting>
  <conditionalFormatting sqref="AR58">
    <cfRule type="cellIs" dxfId="3771" priority="145985" stopIfTrue="1" operator="greaterThanOrEqual">
      <formula>0.5</formula>
    </cfRule>
  </conditionalFormatting>
  <conditionalFormatting sqref="AT39">
    <cfRule type="cellIs" dxfId="3770" priority="145986" stopIfTrue="1" operator="equal">
      <formula>-1</formula>
    </cfRule>
  </conditionalFormatting>
  <conditionalFormatting sqref="AT39">
    <cfRule type="cellIs" dxfId="3769" priority="145987" stopIfTrue="1" operator="lessThan">
      <formula>0.5</formula>
    </cfRule>
  </conditionalFormatting>
  <conditionalFormatting sqref="AT39">
    <cfRule type="cellIs" dxfId="3768" priority="145988" stopIfTrue="1" operator="greaterThanOrEqual">
      <formula>0.5</formula>
    </cfRule>
  </conditionalFormatting>
  <conditionalFormatting sqref="AT40">
    <cfRule type="cellIs" dxfId="3767" priority="145989" stopIfTrue="1" operator="equal">
      <formula>-1</formula>
    </cfRule>
  </conditionalFormatting>
  <conditionalFormatting sqref="AT40">
    <cfRule type="cellIs" dxfId="3766" priority="145990" stopIfTrue="1" operator="lessThan">
      <formula>0.5</formula>
    </cfRule>
  </conditionalFormatting>
  <conditionalFormatting sqref="AT40">
    <cfRule type="cellIs" dxfId="3765" priority="145991" stopIfTrue="1" operator="greaterThanOrEqual">
      <formula>0.5</formula>
    </cfRule>
  </conditionalFormatting>
  <conditionalFormatting sqref="AT41">
    <cfRule type="cellIs" dxfId="3764" priority="145992" stopIfTrue="1" operator="equal">
      <formula>-1</formula>
    </cfRule>
  </conditionalFormatting>
  <conditionalFormatting sqref="AT41">
    <cfRule type="cellIs" dxfId="3763" priority="145993" stopIfTrue="1" operator="lessThan">
      <formula>0.5</formula>
    </cfRule>
  </conditionalFormatting>
  <conditionalFormatting sqref="AT41">
    <cfRule type="cellIs" dxfId="3762" priority="145994" stopIfTrue="1" operator="greaterThanOrEqual">
      <formula>0.5</formula>
    </cfRule>
  </conditionalFormatting>
  <conditionalFormatting sqref="AT42">
    <cfRule type="cellIs" dxfId="3761" priority="145995" stopIfTrue="1" operator="equal">
      <formula>-1</formula>
    </cfRule>
  </conditionalFormatting>
  <conditionalFormatting sqref="AT42">
    <cfRule type="cellIs" dxfId="3760" priority="145996" stopIfTrue="1" operator="lessThan">
      <formula>0.5</formula>
    </cfRule>
  </conditionalFormatting>
  <conditionalFormatting sqref="AT42">
    <cfRule type="cellIs" dxfId="3759" priority="145997" stopIfTrue="1" operator="greaterThanOrEqual">
      <formula>0.5</formula>
    </cfRule>
  </conditionalFormatting>
  <conditionalFormatting sqref="AT43">
    <cfRule type="cellIs" dxfId="3758" priority="145998" stopIfTrue="1" operator="equal">
      <formula>-1</formula>
    </cfRule>
  </conditionalFormatting>
  <conditionalFormatting sqref="AT43">
    <cfRule type="cellIs" dxfId="3757" priority="145999" stopIfTrue="1" operator="lessThan">
      <formula>0.5</formula>
    </cfRule>
  </conditionalFormatting>
  <conditionalFormatting sqref="AT43">
    <cfRule type="cellIs" dxfId="3756" priority="146000" stopIfTrue="1" operator="greaterThanOrEqual">
      <formula>0.5</formula>
    </cfRule>
  </conditionalFormatting>
  <conditionalFormatting sqref="AT44">
    <cfRule type="cellIs" dxfId="3755" priority="146001" stopIfTrue="1" operator="equal">
      <formula>-1</formula>
    </cfRule>
  </conditionalFormatting>
  <conditionalFormatting sqref="AT44">
    <cfRule type="cellIs" dxfId="3754" priority="146002" stopIfTrue="1" operator="lessThan">
      <formula>0.5</formula>
    </cfRule>
  </conditionalFormatting>
  <conditionalFormatting sqref="AT44">
    <cfRule type="cellIs" dxfId="3753" priority="146003" stopIfTrue="1" operator="greaterThanOrEqual">
      <formula>0.5</formula>
    </cfRule>
  </conditionalFormatting>
  <conditionalFormatting sqref="AT45">
    <cfRule type="cellIs" dxfId="3752" priority="146004" stopIfTrue="1" operator="equal">
      <formula>-1</formula>
    </cfRule>
  </conditionalFormatting>
  <conditionalFormatting sqref="AT45">
    <cfRule type="cellIs" dxfId="3751" priority="146005" stopIfTrue="1" operator="lessThan">
      <formula>0.5</formula>
    </cfRule>
  </conditionalFormatting>
  <conditionalFormatting sqref="AT45">
    <cfRule type="cellIs" dxfId="3750" priority="146006" stopIfTrue="1" operator="greaterThanOrEqual">
      <formula>0.5</formula>
    </cfRule>
  </conditionalFormatting>
  <conditionalFormatting sqref="AT46">
    <cfRule type="cellIs" dxfId="3749" priority="146007" stopIfTrue="1" operator="equal">
      <formula>-1</formula>
    </cfRule>
  </conditionalFormatting>
  <conditionalFormatting sqref="AT46">
    <cfRule type="cellIs" dxfId="3748" priority="146008" stopIfTrue="1" operator="lessThan">
      <formula>0.5</formula>
    </cfRule>
  </conditionalFormatting>
  <conditionalFormatting sqref="AT46">
    <cfRule type="cellIs" dxfId="3747" priority="146009" stopIfTrue="1" operator="greaterThanOrEqual">
      <formula>0.5</formula>
    </cfRule>
  </conditionalFormatting>
  <conditionalFormatting sqref="AT47">
    <cfRule type="cellIs" dxfId="3746" priority="146010" stopIfTrue="1" operator="equal">
      <formula>-1</formula>
    </cfRule>
  </conditionalFormatting>
  <conditionalFormatting sqref="AT47">
    <cfRule type="cellIs" dxfId="3745" priority="146011" stopIfTrue="1" operator="lessThan">
      <formula>0.5</formula>
    </cfRule>
  </conditionalFormatting>
  <conditionalFormatting sqref="AT47">
    <cfRule type="cellIs" dxfId="3744" priority="146012" stopIfTrue="1" operator="greaterThanOrEqual">
      <formula>0.5</formula>
    </cfRule>
  </conditionalFormatting>
  <conditionalFormatting sqref="AT48">
    <cfRule type="cellIs" dxfId="3743" priority="146013" stopIfTrue="1" operator="equal">
      <formula>-1</formula>
    </cfRule>
  </conditionalFormatting>
  <conditionalFormatting sqref="AT48">
    <cfRule type="cellIs" dxfId="3742" priority="146014" stopIfTrue="1" operator="lessThan">
      <formula>0.5</formula>
    </cfRule>
  </conditionalFormatting>
  <conditionalFormatting sqref="AT48">
    <cfRule type="cellIs" dxfId="3741" priority="146015" stopIfTrue="1" operator="greaterThanOrEqual">
      <formula>0.5</formula>
    </cfRule>
  </conditionalFormatting>
  <conditionalFormatting sqref="AT49">
    <cfRule type="cellIs" dxfId="3740" priority="146016" stopIfTrue="1" operator="equal">
      <formula>-1</formula>
    </cfRule>
  </conditionalFormatting>
  <conditionalFormatting sqref="AT49">
    <cfRule type="cellIs" dxfId="3739" priority="146017" stopIfTrue="1" operator="lessThan">
      <formula>0.5</formula>
    </cfRule>
  </conditionalFormatting>
  <conditionalFormatting sqref="AT49">
    <cfRule type="cellIs" dxfId="3738" priority="146018" stopIfTrue="1" operator="greaterThanOrEqual">
      <formula>0.5</formula>
    </cfRule>
  </conditionalFormatting>
  <conditionalFormatting sqref="AT50">
    <cfRule type="cellIs" dxfId="3737" priority="146019" stopIfTrue="1" operator="equal">
      <formula>-1</formula>
    </cfRule>
  </conditionalFormatting>
  <conditionalFormatting sqref="AT50">
    <cfRule type="cellIs" dxfId="3736" priority="146020" stopIfTrue="1" operator="lessThan">
      <formula>0.5</formula>
    </cfRule>
  </conditionalFormatting>
  <conditionalFormatting sqref="AT50">
    <cfRule type="cellIs" dxfId="3735" priority="146021" stopIfTrue="1" operator="greaterThanOrEqual">
      <formula>0.5</formula>
    </cfRule>
  </conditionalFormatting>
  <conditionalFormatting sqref="AT51">
    <cfRule type="cellIs" dxfId="3734" priority="146022" stopIfTrue="1" operator="equal">
      <formula>-1</formula>
    </cfRule>
  </conditionalFormatting>
  <conditionalFormatting sqref="AT51">
    <cfRule type="cellIs" dxfId="3733" priority="146023" stopIfTrue="1" operator="lessThan">
      <formula>0.5</formula>
    </cfRule>
  </conditionalFormatting>
  <conditionalFormatting sqref="AT51">
    <cfRule type="cellIs" dxfId="3732" priority="146024" stopIfTrue="1" operator="greaterThanOrEqual">
      <formula>0.5</formula>
    </cfRule>
  </conditionalFormatting>
  <conditionalFormatting sqref="AT52">
    <cfRule type="cellIs" dxfId="3731" priority="146025" stopIfTrue="1" operator="equal">
      <formula>-1</formula>
    </cfRule>
  </conditionalFormatting>
  <conditionalFormatting sqref="AT52">
    <cfRule type="cellIs" dxfId="3730" priority="146026" stopIfTrue="1" operator="lessThan">
      <formula>0.5</formula>
    </cfRule>
  </conditionalFormatting>
  <conditionalFormatting sqref="AT52">
    <cfRule type="cellIs" dxfId="3729" priority="146027" stopIfTrue="1" operator="greaterThanOrEqual">
      <formula>0.5</formula>
    </cfRule>
  </conditionalFormatting>
  <conditionalFormatting sqref="AT53">
    <cfRule type="cellIs" dxfId="3728" priority="146028" stopIfTrue="1" operator="equal">
      <formula>-1</formula>
    </cfRule>
  </conditionalFormatting>
  <conditionalFormatting sqref="AT53">
    <cfRule type="cellIs" dxfId="3727" priority="146029" stopIfTrue="1" operator="lessThan">
      <formula>0.5</formula>
    </cfRule>
  </conditionalFormatting>
  <conditionalFormatting sqref="AT53">
    <cfRule type="cellIs" dxfId="3726" priority="146030" stopIfTrue="1" operator="greaterThanOrEqual">
      <formula>0.5</formula>
    </cfRule>
  </conditionalFormatting>
  <conditionalFormatting sqref="AT54">
    <cfRule type="cellIs" dxfId="3725" priority="146031" stopIfTrue="1" operator="equal">
      <formula>-1</formula>
    </cfRule>
  </conditionalFormatting>
  <conditionalFormatting sqref="AT54">
    <cfRule type="cellIs" dxfId="3724" priority="146032" stopIfTrue="1" operator="lessThan">
      <formula>0.5</formula>
    </cfRule>
  </conditionalFormatting>
  <conditionalFormatting sqref="AT54">
    <cfRule type="cellIs" dxfId="3723" priority="146033" stopIfTrue="1" operator="greaterThanOrEqual">
      <formula>0.5</formula>
    </cfRule>
  </conditionalFormatting>
  <conditionalFormatting sqref="AT55">
    <cfRule type="cellIs" dxfId="3722" priority="146034" stopIfTrue="1" operator="equal">
      <formula>-1</formula>
    </cfRule>
  </conditionalFormatting>
  <conditionalFormatting sqref="AT55">
    <cfRule type="cellIs" dxfId="3721" priority="146035" stopIfTrue="1" operator="lessThan">
      <formula>0.5</formula>
    </cfRule>
  </conditionalFormatting>
  <conditionalFormatting sqref="AT55">
    <cfRule type="cellIs" dxfId="3720" priority="146036" stopIfTrue="1" operator="greaterThanOrEqual">
      <formula>0.5</formula>
    </cfRule>
  </conditionalFormatting>
  <conditionalFormatting sqref="AT56">
    <cfRule type="cellIs" dxfId="3719" priority="146037" stopIfTrue="1" operator="equal">
      <formula>-1</formula>
    </cfRule>
  </conditionalFormatting>
  <conditionalFormatting sqref="AT56">
    <cfRule type="cellIs" dxfId="3718" priority="146038" stopIfTrue="1" operator="lessThan">
      <formula>0.5</formula>
    </cfRule>
  </conditionalFormatting>
  <conditionalFormatting sqref="AT56">
    <cfRule type="cellIs" dxfId="3717" priority="146039" stopIfTrue="1" operator="greaterThanOrEqual">
      <formula>0.5</formula>
    </cfRule>
  </conditionalFormatting>
  <conditionalFormatting sqref="AT57">
    <cfRule type="cellIs" dxfId="3716" priority="146040" stopIfTrue="1" operator="equal">
      <formula>-1</formula>
    </cfRule>
  </conditionalFormatting>
  <conditionalFormatting sqref="AT57">
    <cfRule type="cellIs" dxfId="3715" priority="146041" stopIfTrue="1" operator="lessThan">
      <formula>0.5</formula>
    </cfRule>
  </conditionalFormatting>
  <conditionalFormatting sqref="AT57">
    <cfRule type="cellIs" dxfId="3714" priority="146042" stopIfTrue="1" operator="greaterThanOrEqual">
      <formula>0.5</formula>
    </cfRule>
  </conditionalFormatting>
  <conditionalFormatting sqref="AT58">
    <cfRule type="cellIs" dxfId="3713" priority="146043" stopIfTrue="1" operator="equal">
      <formula>-1</formula>
    </cfRule>
  </conditionalFormatting>
  <conditionalFormatting sqref="AT58">
    <cfRule type="cellIs" dxfId="3712" priority="146044" stopIfTrue="1" operator="lessThan">
      <formula>0.5</formula>
    </cfRule>
  </conditionalFormatting>
  <conditionalFormatting sqref="AT58">
    <cfRule type="cellIs" dxfId="3711" priority="146045" stopIfTrue="1" operator="greaterThanOrEqual">
      <formula>0.5</formula>
    </cfRule>
  </conditionalFormatting>
  <conditionalFormatting sqref="AV39">
    <cfRule type="cellIs" dxfId="3710" priority="146046" stopIfTrue="1" operator="equal">
      <formula>-1</formula>
    </cfRule>
  </conditionalFormatting>
  <conditionalFormatting sqref="AV39">
    <cfRule type="cellIs" dxfId="3709" priority="146047" stopIfTrue="1" operator="lessThan">
      <formula>0.5</formula>
    </cfRule>
  </conditionalFormatting>
  <conditionalFormatting sqref="AV39">
    <cfRule type="cellIs" dxfId="3708" priority="146048" stopIfTrue="1" operator="greaterThanOrEqual">
      <formula>0.5</formula>
    </cfRule>
  </conditionalFormatting>
  <conditionalFormatting sqref="AV40">
    <cfRule type="cellIs" dxfId="3707" priority="146049" stopIfTrue="1" operator="equal">
      <formula>-1</formula>
    </cfRule>
  </conditionalFormatting>
  <conditionalFormatting sqref="AV40">
    <cfRule type="cellIs" dxfId="3706" priority="146050" stopIfTrue="1" operator="lessThan">
      <formula>0.5</formula>
    </cfRule>
  </conditionalFormatting>
  <conditionalFormatting sqref="AV40">
    <cfRule type="cellIs" dxfId="3705" priority="146051" stopIfTrue="1" operator="greaterThanOrEqual">
      <formula>0.5</formula>
    </cfRule>
  </conditionalFormatting>
  <conditionalFormatting sqref="AV41">
    <cfRule type="cellIs" dxfId="3704" priority="146052" stopIfTrue="1" operator="equal">
      <formula>-1</formula>
    </cfRule>
  </conditionalFormatting>
  <conditionalFormatting sqref="AV41">
    <cfRule type="cellIs" dxfId="3703" priority="146053" stopIfTrue="1" operator="lessThan">
      <formula>0.5</formula>
    </cfRule>
  </conditionalFormatting>
  <conditionalFormatting sqref="AV41">
    <cfRule type="cellIs" dxfId="3702" priority="146054" stopIfTrue="1" operator="greaterThanOrEqual">
      <formula>0.5</formula>
    </cfRule>
  </conditionalFormatting>
  <conditionalFormatting sqref="AV42">
    <cfRule type="cellIs" dxfId="3701" priority="146055" stopIfTrue="1" operator="equal">
      <formula>-1</formula>
    </cfRule>
  </conditionalFormatting>
  <conditionalFormatting sqref="AV42">
    <cfRule type="cellIs" dxfId="3700" priority="146056" stopIfTrue="1" operator="lessThan">
      <formula>0.5</formula>
    </cfRule>
  </conditionalFormatting>
  <conditionalFormatting sqref="AV42">
    <cfRule type="cellIs" dxfId="3699" priority="146057" stopIfTrue="1" operator="greaterThanOrEqual">
      <formula>0.5</formula>
    </cfRule>
  </conditionalFormatting>
  <conditionalFormatting sqref="AV43">
    <cfRule type="cellIs" dxfId="3698" priority="146058" stopIfTrue="1" operator="equal">
      <formula>-1</formula>
    </cfRule>
  </conditionalFormatting>
  <conditionalFormatting sqref="AV43">
    <cfRule type="cellIs" dxfId="3697" priority="146059" stopIfTrue="1" operator="lessThan">
      <formula>0.5</formula>
    </cfRule>
  </conditionalFormatting>
  <conditionalFormatting sqref="AV43">
    <cfRule type="cellIs" dxfId="3696" priority="146060" stopIfTrue="1" operator="greaterThanOrEqual">
      <formula>0.5</formula>
    </cfRule>
  </conditionalFormatting>
  <conditionalFormatting sqref="AV44">
    <cfRule type="cellIs" dxfId="3695" priority="146061" stopIfTrue="1" operator="equal">
      <formula>-1</formula>
    </cfRule>
  </conditionalFormatting>
  <conditionalFormatting sqref="AV44">
    <cfRule type="cellIs" dxfId="3694" priority="146062" stopIfTrue="1" operator="lessThan">
      <formula>0.5</formula>
    </cfRule>
  </conditionalFormatting>
  <conditionalFormatting sqref="AV44">
    <cfRule type="cellIs" dxfId="3693" priority="146063" stopIfTrue="1" operator="greaterThanOrEqual">
      <formula>0.5</formula>
    </cfRule>
  </conditionalFormatting>
  <conditionalFormatting sqref="AV45">
    <cfRule type="cellIs" dxfId="3692" priority="146064" stopIfTrue="1" operator="equal">
      <formula>-1</formula>
    </cfRule>
  </conditionalFormatting>
  <conditionalFormatting sqref="AV45">
    <cfRule type="cellIs" dxfId="3691" priority="146065" stopIfTrue="1" operator="lessThan">
      <formula>0.5</formula>
    </cfRule>
  </conditionalFormatting>
  <conditionalFormatting sqref="AV45">
    <cfRule type="cellIs" dxfId="3690" priority="146066" stopIfTrue="1" operator="greaterThanOrEqual">
      <formula>0.5</formula>
    </cfRule>
  </conditionalFormatting>
  <conditionalFormatting sqref="AV46">
    <cfRule type="cellIs" dxfId="3689" priority="146067" stopIfTrue="1" operator="equal">
      <formula>-1</formula>
    </cfRule>
  </conditionalFormatting>
  <conditionalFormatting sqref="AV46">
    <cfRule type="cellIs" dxfId="3688" priority="146068" stopIfTrue="1" operator="lessThan">
      <formula>0.5</formula>
    </cfRule>
  </conditionalFormatting>
  <conditionalFormatting sqref="AV46">
    <cfRule type="cellIs" dxfId="3687" priority="146069" stopIfTrue="1" operator="greaterThanOrEqual">
      <formula>0.5</formula>
    </cfRule>
  </conditionalFormatting>
  <conditionalFormatting sqref="AV47">
    <cfRule type="cellIs" dxfId="3686" priority="146070" stopIfTrue="1" operator="equal">
      <formula>-1</formula>
    </cfRule>
  </conditionalFormatting>
  <conditionalFormatting sqref="AV47">
    <cfRule type="cellIs" dxfId="3685" priority="146071" stopIfTrue="1" operator="lessThan">
      <formula>0.5</formula>
    </cfRule>
  </conditionalFormatting>
  <conditionalFormatting sqref="AV47">
    <cfRule type="cellIs" dxfId="3684" priority="146072" stopIfTrue="1" operator="greaterThanOrEqual">
      <formula>0.5</formula>
    </cfRule>
  </conditionalFormatting>
  <conditionalFormatting sqref="AV48">
    <cfRule type="cellIs" dxfId="3683" priority="146073" stopIfTrue="1" operator="equal">
      <formula>-1</formula>
    </cfRule>
  </conditionalFormatting>
  <conditionalFormatting sqref="AV48">
    <cfRule type="cellIs" dxfId="3682" priority="146074" stopIfTrue="1" operator="lessThan">
      <formula>0.5</formula>
    </cfRule>
  </conditionalFormatting>
  <conditionalFormatting sqref="AV48">
    <cfRule type="cellIs" dxfId="3681" priority="146075" stopIfTrue="1" operator="greaterThanOrEqual">
      <formula>0.5</formula>
    </cfRule>
  </conditionalFormatting>
  <conditionalFormatting sqref="AV49">
    <cfRule type="cellIs" dxfId="3680" priority="146076" stopIfTrue="1" operator="equal">
      <formula>-1</formula>
    </cfRule>
  </conditionalFormatting>
  <conditionalFormatting sqref="AV49">
    <cfRule type="cellIs" dxfId="3679" priority="146077" stopIfTrue="1" operator="lessThan">
      <formula>0.5</formula>
    </cfRule>
  </conditionalFormatting>
  <conditionalFormatting sqref="AV49">
    <cfRule type="cellIs" dxfId="3678" priority="146078" stopIfTrue="1" operator="greaterThanOrEqual">
      <formula>0.5</formula>
    </cfRule>
  </conditionalFormatting>
  <conditionalFormatting sqref="AV50">
    <cfRule type="cellIs" dxfId="3677" priority="146079" stopIfTrue="1" operator="equal">
      <formula>-1</formula>
    </cfRule>
  </conditionalFormatting>
  <conditionalFormatting sqref="AV50">
    <cfRule type="cellIs" dxfId="3676" priority="146080" stopIfTrue="1" operator="lessThan">
      <formula>0.5</formula>
    </cfRule>
  </conditionalFormatting>
  <conditionalFormatting sqref="AV50">
    <cfRule type="cellIs" dxfId="3675" priority="146081" stopIfTrue="1" operator="greaterThanOrEqual">
      <formula>0.5</formula>
    </cfRule>
  </conditionalFormatting>
  <conditionalFormatting sqref="AV51">
    <cfRule type="cellIs" dxfId="3674" priority="146082" stopIfTrue="1" operator="equal">
      <formula>-1</formula>
    </cfRule>
  </conditionalFormatting>
  <conditionalFormatting sqref="AV51">
    <cfRule type="cellIs" dxfId="3673" priority="146083" stopIfTrue="1" operator="lessThan">
      <formula>0.5</formula>
    </cfRule>
  </conditionalFormatting>
  <conditionalFormatting sqref="AV51">
    <cfRule type="cellIs" dxfId="3672" priority="146084" stopIfTrue="1" operator="greaterThanOrEqual">
      <formula>0.5</formula>
    </cfRule>
  </conditionalFormatting>
  <conditionalFormatting sqref="AV52">
    <cfRule type="cellIs" dxfId="3671" priority="146085" stopIfTrue="1" operator="equal">
      <formula>-1</formula>
    </cfRule>
  </conditionalFormatting>
  <conditionalFormatting sqref="AV52">
    <cfRule type="cellIs" dxfId="3670" priority="146086" stopIfTrue="1" operator="lessThan">
      <formula>0.5</formula>
    </cfRule>
  </conditionalFormatting>
  <conditionalFormatting sqref="AV52">
    <cfRule type="cellIs" dxfId="3669" priority="146087" stopIfTrue="1" operator="greaterThanOrEqual">
      <formula>0.5</formula>
    </cfRule>
  </conditionalFormatting>
  <conditionalFormatting sqref="AV53">
    <cfRule type="cellIs" dxfId="3668" priority="146088" stopIfTrue="1" operator="equal">
      <formula>-1</formula>
    </cfRule>
  </conditionalFormatting>
  <conditionalFormatting sqref="AV53">
    <cfRule type="cellIs" dxfId="3667" priority="146089" stopIfTrue="1" operator="lessThan">
      <formula>0.5</formula>
    </cfRule>
  </conditionalFormatting>
  <conditionalFormatting sqref="AV53">
    <cfRule type="cellIs" dxfId="3666" priority="146090" stopIfTrue="1" operator="greaterThanOrEqual">
      <formula>0.5</formula>
    </cfRule>
  </conditionalFormatting>
  <conditionalFormatting sqref="AV54">
    <cfRule type="cellIs" dxfId="3665" priority="146091" stopIfTrue="1" operator="equal">
      <formula>-1</formula>
    </cfRule>
  </conditionalFormatting>
  <conditionalFormatting sqref="AV54">
    <cfRule type="cellIs" dxfId="3664" priority="146092" stopIfTrue="1" operator="lessThan">
      <formula>0.5</formula>
    </cfRule>
  </conditionalFormatting>
  <conditionalFormatting sqref="AV54">
    <cfRule type="cellIs" dxfId="3663" priority="146093" stopIfTrue="1" operator="greaterThanOrEqual">
      <formula>0.5</formula>
    </cfRule>
  </conditionalFormatting>
  <conditionalFormatting sqref="AV55">
    <cfRule type="cellIs" dxfId="3662" priority="146094" stopIfTrue="1" operator="equal">
      <formula>-1</formula>
    </cfRule>
  </conditionalFormatting>
  <conditionalFormatting sqref="AV55">
    <cfRule type="cellIs" dxfId="3661" priority="146095" stopIfTrue="1" operator="lessThan">
      <formula>0.5</formula>
    </cfRule>
  </conditionalFormatting>
  <conditionalFormatting sqref="AV55">
    <cfRule type="cellIs" dxfId="3660" priority="146096" stopIfTrue="1" operator="greaterThanOrEqual">
      <formula>0.5</formula>
    </cfRule>
  </conditionalFormatting>
  <conditionalFormatting sqref="AV56">
    <cfRule type="cellIs" dxfId="3659" priority="146097" stopIfTrue="1" operator="equal">
      <formula>-1</formula>
    </cfRule>
  </conditionalFormatting>
  <conditionalFormatting sqref="AV56">
    <cfRule type="cellIs" dxfId="3658" priority="146098" stopIfTrue="1" operator="lessThan">
      <formula>0.5</formula>
    </cfRule>
  </conditionalFormatting>
  <conditionalFormatting sqref="AV56">
    <cfRule type="cellIs" dxfId="3657" priority="146099" stopIfTrue="1" operator="greaterThanOrEqual">
      <formula>0.5</formula>
    </cfRule>
  </conditionalFormatting>
  <conditionalFormatting sqref="AV57">
    <cfRule type="cellIs" dxfId="3656" priority="146100" stopIfTrue="1" operator="equal">
      <formula>-1</formula>
    </cfRule>
  </conditionalFormatting>
  <conditionalFormatting sqref="AV57">
    <cfRule type="cellIs" dxfId="3655" priority="146101" stopIfTrue="1" operator="lessThan">
      <formula>0.5</formula>
    </cfRule>
  </conditionalFormatting>
  <conditionalFormatting sqref="AV57">
    <cfRule type="cellIs" dxfId="3654" priority="146102" stopIfTrue="1" operator="greaterThanOrEqual">
      <formula>0.5</formula>
    </cfRule>
  </conditionalFormatting>
  <conditionalFormatting sqref="AV58">
    <cfRule type="cellIs" dxfId="3653" priority="146103" stopIfTrue="1" operator="equal">
      <formula>-1</formula>
    </cfRule>
  </conditionalFormatting>
  <conditionalFormatting sqref="AV58">
    <cfRule type="cellIs" dxfId="3652" priority="146104" stopIfTrue="1" operator="lessThan">
      <formula>0.5</formula>
    </cfRule>
  </conditionalFormatting>
  <conditionalFormatting sqref="AV58">
    <cfRule type="cellIs" dxfId="3651" priority="146105" stopIfTrue="1" operator="greaterThanOrEqual">
      <formula>0.5</formula>
    </cfRule>
  </conditionalFormatting>
  <conditionalFormatting sqref="AX39">
    <cfRule type="cellIs" dxfId="3650" priority="146106" stopIfTrue="1" operator="equal">
      <formula>-1</formula>
    </cfRule>
  </conditionalFormatting>
  <conditionalFormatting sqref="AX39">
    <cfRule type="cellIs" dxfId="3649" priority="146107" stopIfTrue="1" operator="lessThan">
      <formula>0.5</formula>
    </cfRule>
  </conditionalFormatting>
  <conditionalFormatting sqref="AX39">
    <cfRule type="cellIs" dxfId="3648" priority="146108" stopIfTrue="1" operator="greaterThanOrEqual">
      <formula>0.5</formula>
    </cfRule>
  </conditionalFormatting>
  <conditionalFormatting sqref="AX40">
    <cfRule type="cellIs" dxfId="3647" priority="146109" stopIfTrue="1" operator="equal">
      <formula>-1</formula>
    </cfRule>
  </conditionalFormatting>
  <conditionalFormatting sqref="AX40">
    <cfRule type="cellIs" dxfId="3646" priority="146110" stopIfTrue="1" operator="lessThan">
      <formula>0.5</formula>
    </cfRule>
  </conditionalFormatting>
  <conditionalFormatting sqref="AX40">
    <cfRule type="cellIs" dxfId="3645" priority="146111" stopIfTrue="1" operator="greaterThanOrEqual">
      <formula>0.5</formula>
    </cfRule>
  </conditionalFormatting>
  <conditionalFormatting sqref="AX41">
    <cfRule type="cellIs" dxfId="3644" priority="146112" stopIfTrue="1" operator="equal">
      <formula>-1</formula>
    </cfRule>
  </conditionalFormatting>
  <conditionalFormatting sqref="AX41">
    <cfRule type="cellIs" dxfId="3643" priority="146113" stopIfTrue="1" operator="lessThan">
      <formula>0.5</formula>
    </cfRule>
  </conditionalFormatting>
  <conditionalFormatting sqref="AX41">
    <cfRule type="cellIs" dxfId="3642" priority="146114" stopIfTrue="1" operator="greaterThanOrEqual">
      <formula>0.5</formula>
    </cfRule>
  </conditionalFormatting>
  <conditionalFormatting sqref="AX42">
    <cfRule type="cellIs" dxfId="3641" priority="146115" stopIfTrue="1" operator="equal">
      <formula>-1</formula>
    </cfRule>
  </conditionalFormatting>
  <conditionalFormatting sqref="AX42">
    <cfRule type="cellIs" dxfId="3640" priority="146116" stopIfTrue="1" operator="lessThan">
      <formula>0.5</formula>
    </cfRule>
  </conditionalFormatting>
  <conditionalFormatting sqref="AX42">
    <cfRule type="cellIs" dxfId="3639" priority="146117" stopIfTrue="1" operator="greaterThanOrEqual">
      <formula>0.5</formula>
    </cfRule>
  </conditionalFormatting>
  <conditionalFormatting sqref="AX43">
    <cfRule type="cellIs" dxfId="3638" priority="146118" stopIfTrue="1" operator="equal">
      <formula>-1</formula>
    </cfRule>
  </conditionalFormatting>
  <conditionalFormatting sqref="AX43">
    <cfRule type="cellIs" dxfId="3637" priority="146119" stopIfTrue="1" operator="lessThan">
      <formula>0.5</formula>
    </cfRule>
  </conditionalFormatting>
  <conditionalFormatting sqref="AX43">
    <cfRule type="cellIs" dxfId="3636" priority="146120" stopIfTrue="1" operator="greaterThanOrEqual">
      <formula>0.5</formula>
    </cfRule>
  </conditionalFormatting>
  <conditionalFormatting sqref="AX44">
    <cfRule type="cellIs" dxfId="3635" priority="146121" stopIfTrue="1" operator="equal">
      <formula>-1</formula>
    </cfRule>
  </conditionalFormatting>
  <conditionalFormatting sqref="AX44">
    <cfRule type="cellIs" dxfId="3634" priority="146122" stopIfTrue="1" operator="lessThan">
      <formula>0.5</formula>
    </cfRule>
  </conditionalFormatting>
  <conditionalFormatting sqref="AX44">
    <cfRule type="cellIs" dxfId="3633" priority="146123" stopIfTrue="1" operator="greaterThanOrEqual">
      <formula>0.5</formula>
    </cfRule>
  </conditionalFormatting>
  <conditionalFormatting sqref="AX45">
    <cfRule type="cellIs" dxfId="3632" priority="146124" stopIfTrue="1" operator="equal">
      <formula>-1</formula>
    </cfRule>
  </conditionalFormatting>
  <conditionalFormatting sqref="AX45">
    <cfRule type="cellIs" dxfId="3631" priority="146125" stopIfTrue="1" operator="lessThan">
      <formula>0.5</formula>
    </cfRule>
  </conditionalFormatting>
  <conditionalFormatting sqref="AX45">
    <cfRule type="cellIs" dxfId="3630" priority="146126" stopIfTrue="1" operator="greaterThanOrEqual">
      <formula>0.5</formula>
    </cfRule>
  </conditionalFormatting>
  <conditionalFormatting sqref="AX46">
    <cfRule type="cellIs" dxfId="3629" priority="146127" stopIfTrue="1" operator="equal">
      <formula>-1</formula>
    </cfRule>
  </conditionalFormatting>
  <conditionalFormatting sqref="AX46">
    <cfRule type="cellIs" dxfId="3628" priority="146128" stopIfTrue="1" operator="lessThan">
      <formula>0.5</formula>
    </cfRule>
  </conditionalFormatting>
  <conditionalFormatting sqref="AX46">
    <cfRule type="cellIs" dxfId="3627" priority="146129" stopIfTrue="1" operator="greaterThanOrEqual">
      <formula>0.5</formula>
    </cfRule>
  </conditionalFormatting>
  <conditionalFormatting sqref="AX47">
    <cfRule type="cellIs" dxfId="3626" priority="146130" stopIfTrue="1" operator="equal">
      <formula>-1</formula>
    </cfRule>
  </conditionalFormatting>
  <conditionalFormatting sqref="AX47">
    <cfRule type="cellIs" dxfId="3625" priority="146131" stopIfTrue="1" operator="lessThan">
      <formula>0.5</formula>
    </cfRule>
  </conditionalFormatting>
  <conditionalFormatting sqref="AX47">
    <cfRule type="cellIs" dxfId="3624" priority="146132" stopIfTrue="1" operator="greaterThanOrEqual">
      <formula>0.5</formula>
    </cfRule>
  </conditionalFormatting>
  <conditionalFormatting sqref="AX48">
    <cfRule type="cellIs" dxfId="3623" priority="146133" stopIfTrue="1" operator="equal">
      <formula>-1</formula>
    </cfRule>
  </conditionalFormatting>
  <conditionalFormatting sqref="AX48">
    <cfRule type="cellIs" dxfId="3622" priority="146134" stopIfTrue="1" operator="lessThan">
      <formula>0.5</formula>
    </cfRule>
  </conditionalFormatting>
  <conditionalFormatting sqref="AX48">
    <cfRule type="cellIs" dxfId="3621" priority="146135" stopIfTrue="1" operator="greaterThanOrEqual">
      <formula>0.5</formula>
    </cfRule>
  </conditionalFormatting>
  <conditionalFormatting sqref="AX49">
    <cfRule type="cellIs" dxfId="3620" priority="146136" stopIfTrue="1" operator="equal">
      <formula>-1</formula>
    </cfRule>
  </conditionalFormatting>
  <conditionalFormatting sqref="AX49">
    <cfRule type="cellIs" dxfId="3619" priority="146137" stopIfTrue="1" operator="lessThan">
      <formula>0.5</formula>
    </cfRule>
  </conditionalFormatting>
  <conditionalFormatting sqref="AX49">
    <cfRule type="cellIs" dxfId="3618" priority="146138" stopIfTrue="1" operator="greaterThanOrEqual">
      <formula>0.5</formula>
    </cfRule>
  </conditionalFormatting>
  <conditionalFormatting sqref="AX50">
    <cfRule type="cellIs" dxfId="3617" priority="146139" stopIfTrue="1" operator="equal">
      <formula>-1</formula>
    </cfRule>
  </conditionalFormatting>
  <conditionalFormatting sqref="AX50">
    <cfRule type="cellIs" dxfId="3616" priority="146140" stopIfTrue="1" operator="lessThan">
      <formula>0.5</formula>
    </cfRule>
  </conditionalFormatting>
  <conditionalFormatting sqref="AX50">
    <cfRule type="cellIs" dxfId="3615" priority="146141" stopIfTrue="1" operator="greaterThanOrEqual">
      <formula>0.5</formula>
    </cfRule>
  </conditionalFormatting>
  <conditionalFormatting sqref="AX51">
    <cfRule type="cellIs" dxfId="3614" priority="146142" stopIfTrue="1" operator="equal">
      <formula>-1</formula>
    </cfRule>
  </conditionalFormatting>
  <conditionalFormatting sqref="AX51">
    <cfRule type="cellIs" dxfId="3613" priority="146143" stopIfTrue="1" operator="lessThan">
      <formula>0.5</formula>
    </cfRule>
  </conditionalFormatting>
  <conditionalFormatting sqref="AX51">
    <cfRule type="cellIs" dxfId="3612" priority="146144" stopIfTrue="1" operator="greaterThanOrEqual">
      <formula>0.5</formula>
    </cfRule>
  </conditionalFormatting>
  <conditionalFormatting sqref="AX52">
    <cfRule type="cellIs" dxfId="3611" priority="146145" stopIfTrue="1" operator="equal">
      <formula>-1</formula>
    </cfRule>
  </conditionalFormatting>
  <conditionalFormatting sqref="AX52">
    <cfRule type="cellIs" dxfId="3610" priority="146146" stopIfTrue="1" operator="lessThan">
      <formula>0.5</formula>
    </cfRule>
  </conditionalFormatting>
  <conditionalFormatting sqref="AX52">
    <cfRule type="cellIs" dxfId="3609" priority="146147" stopIfTrue="1" operator="greaterThanOrEqual">
      <formula>0.5</formula>
    </cfRule>
  </conditionalFormatting>
  <conditionalFormatting sqref="AX53">
    <cfRule type="cellIs" dxfId="3608" priority="146148" stopIfTrue="1" operator="equal">
      <formula>-1</formula>
    </cfRule>
  </conditionalFormatting>
  <conditionalFormatting sqref="AX53">
    <cfRule type="cellIs" dxfId="3607" priority="146149" stopIfTrue="1" operator="lessThan">
      <formula>0.5</formula>
    </cfRule>
  </conditionalFormatting>
  <conditionalFormatting sqref="AX53">
    <cfRule type="cellIs" dxfId="3606" priority="146150" stopIfTrue="1" operator="greaterThanOrEqual">
      <formula>0.5</formula>
    </cfRule>
  </conditionalFormatting>
  <conditionalFormatting sqref="AX54">
    <cfRule type="cellIs" dxfId="3605" priority="146151" stopIfTrue="1" operator="equal">
      <formula>-1</formula>
    </cfRule>
  </conditionalFormatting>
  <conditionalFormatting sqref="AX54">
    <cfRule type="cellIs" dxfId="3604" priority="146152" stopIfTrue="1" operator="lessThan">
      <formula>0.5</formula>
    </cfRule>
  </conditionalFormatting>
  <conditionalFormatting sqref="AX54">
    <cfRule type="cellIs" dxfId="3603" priority="146153" stopIfTrue="1" operator="greaterThanOrEqual">
      <formula>0.5</formula>
    </cfRule>
  </conditionalFormatting>
  <conditionalFormatting sqref="AX55">
    <cfRule type="cellIs" dxfId="3602" priority="146154" stopIfTrue="1" operator="equal">
      <formula>-1</formula>
    </cfRule>
  </conditionalFormatting>
  <conditionalFormatting sqref="AX55">
    <cfRule type="cellIs" dxfId="3601" priority="146155" stopIfTrue="1" operator="lessThan">
      <formula>0.5</formula>
    </cfRule>
  </conditionalFormatting>
  <conditionalFormatting sqref="AX55">
    <cfRule type="cellIs" dxfId="3600" priority="146156" stopIfTrue="1" operator="greaterThanOrEqual">
      <formula>0.5</formula>
    </cfRule>
  </conditionalFormatting>
  <conditionalFormatting sqref="AX56">
    <cfRule type="cellIs" dxfId="3599" priority="146157" stopIfTrue="1" operator="equal">
      <formula>-1</formula>
    </cfRule>
  </conditionalFormatting>
  <conditionalFormatting sqref="AX56">
    <cfRule type="cellIs" dxfId="3598" priority="146158" stopIfTrue="1" operator="lessThan">
      <formula>0.5</formula>
    </cfRule>
  </conditionalFormatting>
  <conditionalFormatting sqref="AX56">
    <cfRule type="cellIs" dxfId="3597" priority="146159" stopIfTrue="1" operator="greaterThanOrEqual">
      <formula>0.5</formula>
    </cfRule>
  </conditionalFormatting>
  <conditionalFormatting sqref="AX57">
    <cfRule type="cellIs" dxfId="3596" priority="146160" stopIfTrue="1" operator="equal">
      <formula>-1</formula>
    </cfRule>
  </conditionalFormatting>
  <conditionalFormatting sqref="AX57">
    <cfRule type="cellIs" dxfId="3595" priority="146161" stopIfTrue="1" operator="lessThan">
      <formula>0.5</formula>
    </cfRule>
  </conditionalFormatting>
  <conditionalFormatting sqref="AX57">
    <cfRule type="cellIs" dxfId="3594" priority="146162" stopIfTrue="1" operator="greaterThanOrEqual">
      <formula>0.5</formula>
    </cfRule>
  </conditionalFormatting>
  <conditionalFormatting sqref="AX58">
    <cfRule type="cellIs" dxfId="3593" priority="146163" stopIfTrue="1" operator="equal">
      <formula>-1</formula>
    </cfRule>
  </conditionalFormatting>
  <conditionalFormatting sqref="AX58">
    <cfRule type="cellIs" dxfId="3592" priority="146164" stopIfTrue="1" operator="lessThan">
      <formula>0.5</formula>
    </cfRule>
  </conditionalFormatting>
  <conditionalFormatting sqref="AX58">
    <cfRule type="cellIs" dxfId="3591" priority="146165" stopIfTrue="1" operator="greaterThanOrEqual">
      <formula>0.5</formula>
    </cfRule>
  </conditionalFormatting>
  <conditionalFormatting sqref="AZ39">
    <cfRule type="cellIs" dxfId="3590" priority="146166" stopIfTrue="1" operator="equal">
      <formula>-1</formula>
    </cfRule>
  </conditionalFormatting>
  <conditionalFormatting sqref="AZ39">
    <cfRule type="cellIs" dxfId="3589" priority="146167" stopIfTrue="1" operator="lessThan">
      <formula>0.5</formula>
    </cfRule>
  </conditionalFormatting>
  <conditionalFormatting sqref="AZ39">
    <cfRule type="cellIs" dxfId="3588" priority="146168" stopIfTrue="1" operator="greaterThanOrEqual">
      <formula>0.5</formula>
    </cfRule>
  </conditionalFormatting>
  <conditionalFormatting sqref="AZ40">
    <cfRule type="cellIs" dxfId="3587" priority="146169" stopIfTrue="1" operator="equal">
      <formula>-1</formula>
    </cfRule>
  </conditionalFormatting>
  <conditionalFormatting sqref="AZ40">
    <cfRule type="cellIs" dxfId="3586" priority="146170" stopIfTrue="1" operator="lessThan">
      <formula>0.5</formula>
    </cfRule>
  </conditionalFormatting>
  <conditionalFormatting sqref="AZ40">
    <cfRule type="cellIs" dxfId="3585" priority="146171" stopIfTrue="1" operator="greaterThanOrEqual">
      <formula>0.5</formula>
    </cfRule>
  </conditionalFormatting>
  <conditionalFormatting sqref="AZ41">
    <cfRule type="cellIs" dxfId="3584" priority="146172" stopIfTrue="1" operator="equal">
      <formula>-1</formula>
    </cfRule>
  </conditionalFormatting>
  <conditionalFormatting sqref="AZ41">
    <cfRule type="cellIs" dxfId="3583" priority="146173" stopIfTrue="1" operator="lessThan">
      <formula>0.5</formula>
    </cfRule>
  </conditionalFormatting>
  <conditionalFormatting sqref="AZ41">
    <cfRule type="cellIs" dxfId="3582" priority="146174" stopIfTrue="1" operator="greaterThanOrEqual">
      <formula>0.5</formula>
    </cfRule>
  </conditionalFormatting>
  <conditionalFormatting sqref="AZ42">
    <cfRule type="cellIs" dxfId="3581" priority="146175" stopIfTrue="1" operator="equal">
      <formula>-1</formula>
    </cfRule>
  </conditionalFormatting>
  <conditionalFormatting sqref="AZ42">
    <cfRule type="cellIs" dxfId="3580" priority="146176" stopIfTrue="1" operator="lessThan">
      <formula>0.5</formula>
    </cfRule>
  </conditionalFormatting>
  <conditionalFormatting sqref="AZ42">
    <cfRule type="cellIs" dxfId="3579" priority="146177" stopIfTrue="1" operator="greaterThanOrEqual">
      <formula>0.5</formula>
    </cfRule>
  </conditionalFormatting>
  <conditionalFormatting sqref="AZ43">
    <cfRule type="cellIs" dxfId="3578" priority="146178" stopIfTrue="1" operator="equal">
      <formula>-1</formula>
    </cfRule>
  </conditionalFormatting>
  <conditionalFormatting sqref="AZ43">
    <cfRule type="cellIs" dxfId="3577" priority="146179" stopIfTrue="1" operator="lessThan">
      <formula>0.5</formula>
    </cfRule>
  </conditionalFormatting>
  <conditionalFormatting sqref="AZ43">
    <cfRule type="cellIs" dxfId="3576" priority="146180" stopIfTrue="1" operator="greaterThanOrEqual">
      <formula>0.5</formula>
    </cfRule>
  </conditionalFormatting>
  <conditionalFormatting sqref="AZ44">
    <cfRule type="cellIs" dxfId="3575" priority="146181" stopIfTrue="1" operator="equal">
      <formula>-1</formula>
    </cfRule>
  </conditionalFormatting>
  <conditionalFormatting sqref="AZ44">
    <cfRule type="cellIs" dxfId="3574" priority="146182" stopIfTrue="1" operator="lessThan">
      <formula>0.5</formula>
    </cfRule>
  </conditionalFormatting>
  <conditionalFormatting sqref="AZ44">
    <cfRule type="cellIs" dxfId="3573" priority="146183" stopIfTrue="1" operator="greaterThanOrEqual">
      <formula>0.5</formula>
    </cfRule>
  </conditionalFormatting>
  <conditionalFormatting sqref="AZ45">
    <cfRule type="cellIs" dxfId="3572" priority="146184" stopIfTrue="1" operator="equal">
      <formula>-1</formula>
    </cfRule>
  </conditionalFormatting>
  <conditionalFormatting sqref="AZ45">
    <cfRule type="cellIs" dxfId="3571" priority="146185" stopIfTrue="1" operator="lessThan">
      <formula>0.5</formula>
    </cfRule>
  </conditionalFormatting>
  <conditionalFormatting sqref="AZ45">
    <cfRule type="cellIs" dxfId="3570" priority="146186" stopIfTrue="1" operator="greaterThanOrEqual">
      <formula>0.5</formula>
    </cfRule>
  </conditionalFormatting>
  <conditionalFormatting sqref="AZ46">
    <cfRule type="cellIs" dxfId="3569" priority="146187" stopIfTrue="1" operator="equal">
      <formula>-1</formula>
    </cfRule>
  </conditionalFormatting>
  <conditionalFormatting sqref="AZ46">
    <cfRule type="cellIs" dxfId="3568" priority="146188" stopIfTrue="1" operator="lessThan">
      <formula>0.5</formula>
    </cfRule>
  </conditionalFormatting>
  <conditionalFormatting sqref="AZ46">
    <cfRule type="cellIs" dxfId="3567" priority="146189" stopIfTrue="1" operator="greaterThanOrEqual">
      <formula>0.5</formula>
    </cfRule>
  </conditionalFormatting>
  <conditionalFormatting sqref="AZ47">
    <cfRule type="cellIs" dxfId="3566" priority="146190" stopIfTrue="1" operator="equal">
      <formula>-1</formula>
    </cfRule>
  </conditionalFormatting>
  <conditionalFormatting sqref="AZ47">
    <cfRule type="cellIs" dxfId="3565" priority="146191" stopIfTrue="1" operator="lessThan">
      <formula>0.5</formula>
    </cfRule>
  </conditionalFormatting>
  <conditionalFormatting sqref="AZ47">
    <cfRule type="cellIs" dxfId="3564" priority="146192" stopIfTrue="1" operator="greaterThanOrEqual">
      <formula>0.5</formula>
    </cfRule>
  </conditionalFormatting>
  <conditionalFormatting sqref="AZ48">
    <cfRule type="cellIs" dxfId="3563" priority="146193" stopIfTrue="1" operator="equal">
      <formula>-1</formula>
    </cfRule>
  </conditionalFormatting>
  <conditionalFormatting sqref="AZ48">
    <cfRule type="cellIs" dxfId="3562" priority="146194" stopIfTrue="1" operator="lessThan">
      <formula>0.5</formula>
    </cfRule>
  </conditionalFormatting>
  <conditionalFormatting sqref="AZ48">
    <cfRule type="cellIs" dxfId="3561" priority="146195" stopIfTrue="1" operator="greaterThanOrEqual">
      <formula>0.5</formula>
    </cfRule>
  </conditionalFormatting>
  <conditionalFormatting sqref="AZ49">
    <cfRule type="cellIs" dxfId="3560" priority="146196" stopIfTrue="1" operator="equal">
      <formula>-1</formula>
    </cfRule>
  </conditionalFormatting>
  <conditionalFormatting sqref="AZ49">
    <cfRule type="cellIs" dxfId="3559" priority="146197" stopIfTrue="1" operator="lessThan">
      <formula>0.5</formula>
    </cfRule>
  </conditionalFormatting>
  <conditionalFormatting sqref="AZ49">
    <cfRule type="cellIs" dxfId="3558" priority="146198" stopIfTrue="1" operator="greaterThanOrEqual">
      <formula>0.5</formula>
    </cfRule>
  </conditionalFormatting>
  <conditionalFormatting sqref="AZ50">
    <cfRule type="cellIs" dxfId="3557" priority="146199" stopIfTrue="1" operator="equal">
      <formula>-1</formula>
    </cfRule>
  </conditionalFormatting>
  <conditionalFormatting sqref="AZ50">
    <cfRule type="cellIs" dxfId="3556" priority="146200" stopIfTrue="1" operator="lessThan">
      <formula>0.5</formula>
    </cfRule>
  </conditionalFormatting>
  <conditionalFormatting sqref="AZ50">
    <cfRule type="cellIs" dxfId="3555" priority="146201" stopIfTrue="1" operator="greaterThanOrEqual">
      <formula>0.5</formula>
    </cfRule>
  </conditionalFormatting>
  <conditionalFormatting sqref="AZ51">
    <cfRule type="cellIs" dxfId="3554" priority="146202" stopIfTrue="1" operator="equal">
      <formula>-1</formula>
    </cfRule>
  </conditionalFormatting>
  <conditionalFormatting sqref="AZ51">
    <cfRule type="cellIs" dxfId="3553" priority="146203" stopIfTrue="1" operator="lessThan">
      <formula>0.5</formula>
    </cfRule>
  </conditionalFormatting>
  <conditionalFormatting sqref="AZ51">
    <cfRule type="cellIs" dxfId="3552" priority="146204" stopIfTrue="1" operator="greaterThanOrEqual">
      <formula>0.5</formula>
    </cfRule>
  </conditionalFormatting>
  <conditionalFormatting sqref="AZ52">
    <cfRule type="cellIs" dxfId="3551" priority="146205" stopIfTrue="1" operator="equal">
      <formula>-1</formula>
    </cfRule>
  </conditionalFormatting>
  <conditionalFormatting sqref="AZ52">
    <cfRule type="cellIs" dxfId="3550" priority="146206" stopIfTrue="1" operator="lessThan">
      <formula>0.5</formula>
    </cfRule>
  </conditionalFormatting>
  <conditionalFormatting sqref="AZ52">
    <cfRule type="cellIs" dxfId="3549" priority="146207" stopIfTrue="1" operator="greaterThanOrEqual">
      <formula>0.5</formula>
    </cfRule>
  </conditionalFormatting>
  <conditionalFormatting sqref="AZ53">
    <cfRule type="cellIs" dxfId="3548" priority="146208" stopIfTrue="1" operator="equal">
      <formula>-1</formula>
    </cfRule>
  </conditionalFormatting>
  <conditionalFormatting sqref="AZ53">
    <cfRule type="cellIs" dxfId="3547" priority="146209" stopIfTrue="1" operator="lessThan">
      <formula>0.5</formula>
    </cfRule>
  </conditionalFormatting>
  <conditionalFormatting sqref="AZ53">
    <cfRule type="cellIs" dxfId="3546" priority="146210" stopIfTrue="1" operator="greaterThanOrEqual">
      <formula>0.5</formula>
    </cfRule>
  </conditionalFormatting>
  <conditionalFormatting sqref="AZ54">
    <cfRule type="cellIs" dxfId="3545" priority="146211" stopIfTrue="1" operator="equal">
      <formula>-1</formula>
    </cfRule>
  </conditionalFormatting>
  <conditionalFormatting sqref="AZ54">
    <cfRule type="cellIs" dxfId="3544" priority="146212" stopIfTrue="1" operator="lessThan">
      <formula>0.5</formula>
    </cfRule>
  </conditionalFormatting>
  <conditionalFormatting sqref="AZ54">
    <cfRule type="cellIs" dxfId="3543" priority="146213" stopIfTrue="1" operator="greaterThanOrEqual">
      <formula>0.5</formula>
    </cfRule>
  </conditionalFormatting>
  <conditionalFormatting sqref="AZ55">
    <cfRule type="cellIs" dxfId="3542" priority="146214" stopIfTrue="1" operator="equal">
      <formula>-1</formula>
    </cfRule>
  </conditionalFormatting>
  <conditionalFormatting sqref="AZ55">
    <cfRule type="cellIs" dxfId="3541" priority="146215" stopIfTrue="1" operator="lessThan">
      <formula>0.5</formula>
    </cfRule>
  </conditionalFormatting>
  <conditionalFormatting sqref="AZ55">
    <cfRule type="cellIs" dxfId="3540" priority="146216" stopIfTrue="1" operator="greaterThanOrEqual">
      <formula>0.5</formula>
    </cfRule>
  </conditionalFormatting>
  <conditionalFormatting sqref="AZ56">
    <cfRule type="cellIs" dxfId="3539" priority="146217" stopIfTrue="1" operator="equal">
      <formula>-1</formula>
    </cfRule>
  </conditionalFormatting>
  <conditionalFormatting sqref="AZ56">
    <cfRule type="cellIs" dxfId="3538" priority="146218" stopIfTrue="1" operator="lessThan">
      <formula>0.5</formula>
    </cfRule>
  </conditionalFormatting>
  <conditionalFormatting sqref="AZ56">
    <cfRule type="cellIs" dxfId="3537" priority="146219" stopIfTrue="1" operator="greaterThanOrEqual">
      <formula>0.5</formula>
    </cfRule>
  </conditionalFormatting>
  <conditionalFormatting sqref="AZ57">
    <cfRule type="cellIs" dxfId="3536" priority="146220" stopIfTrue="1" operator="equal">
      <formula>-1</formula>
    </cfRule>
  </conditionalFormatting>
  <conditionalFormatting sqref="AZ57">
    <cfRule type="cellIs" dxfId="3535" priority="146221" stopIfTrue="1" operator="lessThan">
      <formula>0.5</formula>
    </cfRule>
  </conditionalFormatting>
  <conditionalFormatting sqref="AZ57">
    <cfRule type="cellIs" dxfId="3534" priority="146222" stopIfTrue="1" operator="greaterThanOrEqual">
      <formula>0.5</formula>
    </cfRule>
  </conditionalFormatting>
  <conditionalFormatting sqref="AZ58">
    <cfRule type="cellIs" dxfId="3533" priority="146223" stopIfTrue="1" operator="equal">
      <formula>-1</formula>
    </cfRule>
  </conditionalFormatting>
  <conditionalFormatting sqref="AZ58">
    <cfRule type="cellIs" dxfId="3532" priority="146224" stopIfTrue="1" operator="lessThan">
      <formula>0.5</formula>
    </cfRule>
  </conditionalFormatting>
  <conditionalFormatting sqref="AZ58">
    <cfRule type="cellIs" dxfId="3531" priority="146225" stopIfTrue="1" operator="greaterThanOrEqual">
      <formula>0.5</formula>
    </cfRule>
  </conditionalFormatting>
  <conditionalFormatting sqref="BB39">
    <cfRule type="cellIs" dxfId="3530" priority="146226" stopIfTrue="1" operator="equal">
      <formula>-1</formula>
    </cfRule>
  </conditionalFormatting>
  <conditionalFormatting sqref="BB39">
    <cfRule type="cellIs" dxfId="3529" priority="146227" stopIfTrue="1" operator="lessThan">
      <formula>0.5</formula>
    </cfRule>
  </conditionalFormatting>
  <conditionalFormatting sqref="BB39">
    <cfRule type="cellIs" dxfId="3528" priority="146228" stopIfTrue="1" operator="greaterThanOrEqual">
      <formula>0.5</formula>
    </cfRule>
  </conditionalFormatting>
  <conditionalFormatting sqref="BB40">
    <cfRule type="cellIs" dxfId="3527" priority="146229" stopIfTrue="1" operator="equal">
      <formula>-1</formula>
    </cfRule>
  </conditionalFormatting>
  <conditionalFormatting sqref="BB40">
    <cfRule type="cellIs" dxfId="3526" priority="146230" stopIfTrue="1" operator="lessThan">
      <formula>0.5</formula>
    </cfRule>
  </conditionalFormatting>
  <conditionalFormatting sqref="BB40">
    <cfRule type="cellIs" dxfId="3525" priority="146231" stopIfTrue="1" operator="greaterThanOrEqual">
      <formula>0.5</formula>
    </cfRule>
  </conditionalFormatting>
  <conditionalFormatting sqref="BB41">
    <cfRule type="cellIs" dxfId="3524" priority="146232" stopIfTrue="1" operator="equal">
      <formula>-1</formula>
    </cfRule>
  </conditionalFormatting>
  <conditionalFormatting sqref="BB41">
    <cfRule type="cellIs" dxfId="3523" priority="146233" stopIfTrue="1" operator="lessThan">
      <formula>0.5</formula>
    </cfRule>
  </conditionalFormatting>
  <conditionalFormatting sqref="BB41">
    <cfRule type="cellIs" dxfId="3522" priority="146234" stopIfTrue="1" operator="greaterThanOrEqual">
      <formula>0.5</formula>
    </cfRule>
  </conditionalFormatting>
  <conditionalFormatting sqref="BB42">
    <cfRule type="cellIs" dxfId="3521" priority="146235" stopIfTrue="1" operator="equal">
      <formula>-1</formula>
    </cfRule>
  </conditionalFormatting>
  <conditionalFormatting sqref="BB42">
    <cfRule type="cellIs" dxfId="3520" priority="146236" stopIfTrue="1" operator="lessThan">
      <formula>0.5</formula>
    </cfRule>
  </conditionalFormatting>
  <conditionalFormatting sqref="BB42">
    <cfRule type="cellIs" dxfId="3519" priority="146237" stopIfTrue="1" operator="greaterThanOrEqual">
      <formula>0.5</formula>
    </cfRule>
  </conditionalFormatting>
  <conditionalFormatting sqref="BB43">
    <cfRule type="cellIs" dxfId="3518" priority="146238" stopIfTrue="1" operator="equal">
      <formula>-1</formula>
    </cfRule>
  </conditionalFormatting>
  <conditionalFormatting sqref="BB43">
    <cfRule type="cellIs" dxfId="3517" priority="146239" stopIfTrue="1" operator="lessThan">
      <formula>0.5</formula>
    </cfRule>
  </conditionalFormatting>
  <conditionalFormatting sqref="BB43">
    <cfRule type="cellIs" dxfId="3516" priority="146240" stopIfTrue="1" operator="greaterThanOrEqual">
      <formula>0.5</formula>
    </cfRule>
  </conditionalFormatting>
  <conditionalFormatting sqref="BB44">
    <cfRule type="cellIs" dxfId="3515" priority="146241" stopIfTrue="1" operator="equal">
      <formula>-1</formula>
    </cfRule>
  </conditionalFormatting>
  <conditionalFormatting sqref="BB44">
    <cfRule type="cellIs" dxfId="3514" priority="146242" stopIfTrue="1" operator="lessThan">
      <formula>0.5</formula>
    </cfRule>
  </conditionalFormatting>
  <conditionalFormatting sqref="BB44">
    <cfRule type="cellIs" dxfId="3513" priority="146243" stopIfTrue="1" operator="greaterThanOrEqual">
      <formula>0.5</formula>
    </cfRule>
  </conditionalFormatting>
  <conditionalFormatting sqref="BB45">
    <cfRule type="cellIs" dxfId="3512" priority="146244" stopIfTrue="1" operator="equal">
      <formula>-1</formula>
    </cfRule>
  </conditionalFormatting>
  <conditionalFormatting sqref="BB45">
    <cfRule type="cellIs" dxfId="3511" priority="146245" stopIfTrue="1" operator="lessThan">
      <formula>0.5</formula>
    </cfRule>
  </conditionalFormatting>
  <conditionalFormatting sqref="BB45">
    <cfRule type="cellIs" dxfId="3510" priority="146246" stopIfTrue="1" operator="greaterThanOrEqual">
      <formula>0.5</formula>
    </cfRule>
  </conditionalFormatting>
  <conditionalFormatting sqref="BB46">
    <cfRule type="cellIs" dxfId="3509" priority="146247" stopIfTrue="1" operator="equal">
      <formula>-1</formula>
    </cfRule>
  </conditionalFormatting>
  <conditionalFormatting sqref="BB46">
    <cfRule type="cellIs" dxfId="3508" priority="146248" stopIfTrue="1" operator="lessThan">
      <formula>0.5</formula>
    </cfRule>
  </conditionalFormatting>
  <conditionalFormatting sqref="BB46">
    <cfRule type="cellIs" dxfId="3507" priority="146249" stopIfTrue="1" operator="greaterThanOrEqual">
      <formula>0.5</formula>
    </cfRule>
  </conditionalFormatting>
  <conditionalFormatting sqref="BB47">
    <cfRule type="cellIs" dxfId="3506" priority="146250" stopIfTrue="1" operator="equal">
      <formula>-1</formula>
    </cfRule>
  </conditionalFormatting>
  <conditionalFormatting sqref="BB47">
    <cfRule type="cellIs" dxfId="3505" priority="146251" stopIfTrue="1" operator="lessThan">
      <formula>0.5</formula>
    </cfRule>
  </conditionalFormatting>
  <conditionalFormatting sqref="BB47">
    <cfRule type="cellIs" dxfId="3504" priority="146252" stopIfTrue="1" operator="greaterThanOrEqual">
      <formula>0.5</formula>
    </cfRule>
  </conditionalFormatting>
  <conditionalFormatting sqref="BB48">
    <cfRule type="cellIs" dxfId="3503" priority="146253" stopIfTrue="1" operator="equal">
      <formula>-1</formula>
    </cfRule>
  </conditionalFormatting>
  <conditionalFormatting sqref="BB48">
    <cfRule type="cellIs" dxfId="3502" priority="146254" stopIfTrue="1" operator="lessThan">
      <formula>0.5</formula>
    </cfRule>
  </conditionalFormatting>
  <conditionalFormatting sqref="BB48">
    <cfRule type="cellIs" dxfId="3501" priority="146255" stopIfTrue="1" operator="greaterThanOrEqual">
      <formula>0.5</formula>
    </cfRule>
  </conditionalFormatting>
  <conditionalFormatting sqref="BB49">
    <cfRule type="cellIs" dxfId="3500" priority="146256" stopIfTrue="1" operator="equal">
      <formula>-1</formula>
    </cfRule>
  </conditionalFormatting>
  <conditionalFormatting sqref="BB49">
    <cfRule type="cellIs" dxfId="3499" priority="146257" stopIfTrue="1" operator="lessThan">
      <formula>0.5</formula>
    </cfRule>
  </conditionalFormatting>
  <conditionalFormatting sqref="BB49">
    <cfRule type="cellIs" dxfId="3498" priority="146258" stopIfTrue="1" operator="greaterThanOrEqual">
      <formula>0.5</formula>
    </cfRule>
  </conditionalFormatting>
  <conditionalFormatting sqref="BB50">
    <cfRule type="cellIs" dxfId="3497" priority="146259" stopIfTrue="1" operator="equal">
      <formula>-1</formula>
    </cfRule>
  </conditionalFormatting>
  <conditionalFormatting sqref="BB50">
    <cfRule type="cellIs" dxfId="3496" priority="146260" stopIfTrue="1" operator="lessThan">
      <formula>0.5</formula>
    </cfRule>
  </conditionalFormatting>
  <conditionalFormatting sqref="BB50">
    <cfRule type="cellIs" dxfId="3495" priority="146261" stopIfTrue="1" operator="greaterThanOrEqual">
      <formula>0.5</formula>
    </cfRule>
  </conditionalFormatting>
  <conditionalFormatting sqref="BB51">
    <cfRule type="cellIs" dxfId="3494" priority="146262" stopIfTrue="1" operator="equal">
      <formula>-1</formula>
    </cfRule>
  </conditionalFormatting>
  <conditionalFormatting sqref="BB51">
    <cfRule type="cellIs" dxfId="3493" priority="146263" stopIfTrue="1" operator="lessThan">
      <formula>0.5</formula>
    </cfRule>
  </conditionalFormatting>
  <conditionalFormatting sqref="BB51">
    <cfRule type="cellIs" dxfId="3492" priority="146264" stopIfTrue="1" operator="greaterThanOrEqual">
      <formula>0.5</formula>
    </cfRule>
  </conditionalFormatting>
  <conditionalFormatting sqref="BB52">
    <cfRule type="cellIs" dxfId="3491" priority="146265" stopIfTrue="1" operator="equal">
      <formula>-1</formula>
    </cfRule>
  </conditionalFormatting>
  <conditionalFormatting sqref="BB52">
    <cfRule type="cellIs" dxfId="3490" priority="146266" stopIfTrue="1" operator="lessThan">
      <formula>0.5</formula>
    </cfRule>
  </conditionalFormatting>
  <conditionalFormatting sqref="BB52">
    <cfRule type="cellIs" dxfId="3489" priority="146267" stopIfTrue="1" operator="greaterThanOrEqual">
      <formula>0.5</formula>
    </cfRule>
  </conditionalFormatting>
  <conditionalFormatting sqref="BB53">
    <cfRule type="cellIs" dxfId="3488" priority="146268" stopIfTrue="1" operator="equal">
      <formula>-1</formula>
    </cfRule>
  </conditionalFormatting>
  <conditionalFormatting sqref="BB53">
    <cfRule type="cellIs" dxfId="3487" priority="146269" stopIfTrue="1" operator="lessThan">
      <formula>0.5</formula>
    </cfRule>
  </conditionalFormatting>
  <conditionalFormatting sqref="BB53">
    <cfRule type="cellIs" dxfId="3486" priority="146270" stopIfTrue="1" operator="greaterThanOrEqual">
      <formula>0.5</formula>
    </cfRule>
  </conditionalFormatting>
  <conditionalFormatting sqref="BB54">
    <cfRule type="cellIs" dxfId="3485" priority="146271" stopIfTrue="1" operator="equal">
      <formula>-1</formula>
    </cfRule>
  </conditionalFormatting>
  <conditionalFormatting sqref="BB54">
    <cfRule type="cellIs" dxfId="3484" priority="146272" stopIfTrue="1" operator="lessThan">
      <formula>0.5</formula>
    </cfRule>
  </conditionalFormatting>
  <conditionalFormatting sqref="BB54">
    <cfRule type="cellIs" dxfId="3483" priority="146273" stopIfTrue="1" operator="greaterThanOrEqual">
      <formula>0.5</formula>
    </cfRule>
  </conditionalFormatting>
  <conditionalFormatting sqref="BB55">
    <cfRule type="cellIs" dxfId="3482" priority="146274" stopIfTrue="1" operator="equal">
      <formula>-1</formula>
    </cfRule>
  </conditionalFormatting>
  <conditionalFormatting sqref="BB55">
    <cfRule type="cellIs" dxfId="3481" priority="146275" stopIfTrue="1" operator="lessThan">
      <formula>0.5</formula>
    </cfRule>
  </conditionalFormatting>
  <conditionalFormatting sqref="BB55">
    <cfRule type="cellIs" dxfId="3480" priority="146276" stopIfTrue="1" operator="greaterThanOrEqual">
      <formula>0.5</formula>
    </cfRule>
  </conditionalFormatting>
  <conditionalFormatting sqref="BB56">
    <cfRule type="cellIs" dxfId="3479" priority="146277" stopIfTrue="1" operator="equal">
      <formula>-1</formula>
    </cfRule>
  </conditionalFormatting>
  <conditionalFormatting sqref="BB56">
    <cfRule type="cellIs" dxfId="3478" priority="146278" stopIfTrue="1" operator="lessThan">
      <formula>0.5</formula>
    </cfRule>
  </conditionalFormatting>
  <conditionalFormatting sqref="BB56">
    <cfRule type="cellIs" dxfId="3477" priority="146279" stopIfTrue="1" operator="greaterThanOrEqual">
      <formula>0.5</formula>
    </cfRule>
  </conditionalFormatting>
  <conditionalFormatting sqref="BB57">
    <cfRule type="cellIs" dxfId="3476" priority="146280" stopIfTrue="1" operator="equal">
      <formula>-1</formula>
    </cfRule>
  </conditionalFormatting>
  <conditionalFormatting sqref="BB57">
    <cfRule type="cellIs" dxfId="3475" priority="146281" stopIfTrue="1" operator="lessThan">
      <formula>0.5</formula>
    </cfRule>
  </conditionalFormatting>
  <conditionalFormatting sqref="BB57">
    <cfRule type="cellIs" dxfId="3474" priority="146282" stopIfTrue="1" operator="greaterThanOrEqual">
      <formula>0.5</formula>
    </cfRule>
  </conditionalFormatting>
  <conditionalFormatting sqref="BB58">
    <cfRule type="cellIs" dxfId="3473" priority="146283" stopIfTrue="1" operator="equal">
      <formula>-1</formula>
    </cfRule>
  </conditionalFormatting>
  <conditionalFormatting sqref="BB58">
    <cfRule type="cellIs" dxfId="3472" priority="146284" stopIfTrue="1" operator="lessThan">
      <formula>0.5</formula>
    </cfRule>
  </conditionalFormatting>
  <conditionalFormatting sqref="BB58">
    <cfRule type="cellIs" dxfId="3471" priority="146285" stopIfTrue="1" operator="greaterThanOrEqual">
      <formula>0.5</formula>
    </cfRule>
  </conditionalFormatting>
  <conditionalFormatting sqref="BD39">
    <cfRule type="cellIs" dxfId="3470" priority="146286" stopIfTrue="1" operator="equal">
      <formula>-1</formula>
    </cfRule>
  </conditionalFormatting>
  <conditionalFormatting sqref="BD39">
    <cfRule type="cellIs" dxfId="3469" priority="146287" stopIfTrue="1" operator="lessThan">
      <formula>0.5</formula>
    </cfRule>
  </conditionalFormatting>
  <conditionalFormatting sqref="BD39">
    <cfRule type="cellIs" dxfId="3468" priority="146288" stopIfTrue="1" operator="greaterThanOrEqual">
      <formula>0.5</formula>
    </cfRule>
  </conditionalFormatting>
  <conditionalFormatting sqref="BD40">
    <cfRule type="cellIs" dxfId="3467" priority="146289" stopIfTrue="1" operator="equal">
      <formula>-1</formula>
    </cfRule>
  </conditionalFormatting>
  <conditionalFormatting sqref="BD40">
    <cfRule type="cellIs" dxfId="3466" priority="146290" stopIfTrue="1" operator="lessThan">
      <formula>0.5</formula>
    </cfRule>
  </conditionalFormatting>
  <conditionalFormatting sqref="BD40">
    <cfRule type="cellIs" dxfId="3465" priority="146291" stopIfTrue="1" operator="greaterThanOrEqual">
      <formula>0.5</formula>
    </cfRule>
  </conditionalFormatting>
  <conditionalFormatting sqref="BD41">
    <cfRule type="cellIs" dxfId="3464" priority="146292" stopIfTrue="1" operator="equal">
      <formula>-1</formula>
    </cfRule>
  </conditionalFormatting>
  <conditionalFormatting sqref="BD41">
    <cfRule type="cellIs" dxfId="3463" priority="146293" stopIfTrue="1" operator="lessThan">
      <formula>0.5</formula>
    </cfRule>
  </conditionalFormatting>
  <conditionalFormatting sqref="BD41">
    <cfRule type="cellIs" dxfId="3462" priority="146294" stopIfTrue="1" operator="greaterThanOrEqual">
      <formula>0.5</formula>
    </cfRule>
  </conditionalFormatting>
  <conditionalFormatting sqref="BD42">
    <cfRule type="cellIs" dxfId="3461" priority="146295" stopIfTrue="1" operator="equal">
      <formula>-1</formula>
    </cfRule>
  </conditionalFormatting>
  <conditionalFormatting sqref="BD42">
    <cfRule type="cellIs" dxfId="3460" priority="146296" stopIfTrue="1" operator="lessThan">
      <formula>0.5</formula>
    </cfRule>
  </conditionalFormatting>
  <conditionalFormatting sqref="BD42">
    <cfRule type="cellIs" dxfId="3459" priority="146297" stopIfTrue="1" operator="greaterThanOrEqual">
      <formula>0.5</formula>
    </cfRule>
  </conditionalFormatting>
  <conditionalFormatting sqref="BD43">
    <cfRule type="cellIs" dxfId="3458" priority="146298" stopIfTrue="1" operator="equal">
      <formula>-1</formula>
    </cfRule>
  </conditionalFormatting>
  <conditionalFormatting sqref="BD43">
    <cfRule type="cellIs" dxfId="3457" priority="146299" stopIfTrue="1" operator="lessThan">
      <formula>0.5</formula>
    </cfRule>
  </conditionalFormatting>
  <conditionalFormatting sqref="BD43">
    <cfRule type="cellIs" dxfId="3456" priority="146300" stopIfTrue="1" operator="greaterThanOrEqual">
      <formula>0.5</formula>
    </cfRule>
  </conditionalFormatting>
  <conditionalFormatting sqref="BD44">
    <cfRule type="cellIs" dxfId="3455" priority="146301" stopIfTrue="1" operator="equal">
      <formula>-1</formula>
    </cfRule>
  </conditionalFormatting>
  <conditionalFormatting sqref="BD44">
    <cfRule type="cellIs" dxfId="3454" priority="146302" stopIfTrue="1" operator="lessThan">
      <formula>0.5</formula>
    </cfRule>
  </conditionalFormatting>
  <conditionalFormatting sqref="BD44">
    <cfRule type="cellIs" dxfId="3453" priority="146303" stopIfTrue="1" operator="greaterThanOrEqual">
      <formula>0.5</formula>
    </cfRule>
  </conditionalFormatting>
  <conditionalFormatting sqref="BD45">
    <cfRule type="cellIs" dxfId="3452" priority="146304" stopIfTrue="1" operator="equal">
      <formula>-1</formula>
    </cfRule>
  </conditionalFormatting>
  <conditionalFormatting sqref="BD45">
    <cfRule type="cellIs" dxfId="3451" priority="146305" stopIfTrue="1" operator="lessThan">
      <formula>0.5</formula>
    </cfRule>
  </conditionalFormatting>
  <conditionalFormatting sqref="BD45">
    <cfRule type="cellIs" dxfId="3450" priority="146306" stopIfTrue="1" operator="greaterThanOrEqual">
      <formula>0.5</formula>
    </cfRule>
  </conditionalFormatting>
  <conditionalFormatting sqref="BD46">
    <cfRule type="cellIs" dxfId="3449" priority="146307" stopIfTrue="1" operator="equal">
      <formula>-1</formula>
    </cfRule>
  </conditionalFormatting>
  <conditionalFormatting sqref="BD46">
    <cfRule type="cellIs" dxfId="3448" priority="146308" stopIfTrue="1" operator="lessThan">
      <formula>0.5</formula>
    </cfRule>
  </conditionalFormatting>
  <conditionalFormatting sqref="BD46">
    <cfRule type="cellIs" dxfId="3447" priority="146309" stopIfTrue="1" operator="greaterThanOrEqual">
      <formula>0.5</formula>
    </cfRule>
  </conditionalFormatting>
  <conditionalFormatting sqref="BD47">
    <cfRule type="cellIs" dxfId="3446" priority="146310" stopIfTrue="1" operator="equal">
      <formula>-1</formula>
    </cfRule>
  </conditionalFormatting>
  <conditionalFormatting sqref="BD47">
    <cfRule type="cellIs" dxfId="3445" priority="146311" stopIfTrue="1" operator="lessThan">
      <formula>0.5</formula>
    </cfRule>
  </conditionalFormatting>
  <conditionalFormatting sqref="BD47">
    <cfRule type="cellIs" dxfId="3444" priority="146312" stopIfTrue="1" operator="greaterThanOrEqual">
      <formula>0.5</formula>
    </cfRule>
  </conditionalFormatting>
  <conditionalFormatting sqref="BD48">
    <cfRule type="cellIs" dxfId="3443" priority="146313" stopIfTrue="1" operator="equal">
      <formula>-1</formula>
    </cfRule>
  </conditionalFormatting>
  <conditionalFormatting sqref="BD48">
    <cfRule type="cellIs" dxfId="3442" priority="146314" stopIfTrue="1" operator="lessThan">
      <formula>0.5</formula>
    </cfRule>
  </conditionalFormatting>
  <conditionalFormatting sqref="BD48">
    <cfRule type="cellIs" dxfId="3441" priority="146315" stopIfTrue="1" operator="greaterThanOrEqual">
      <formula>0.5</formula>
    </cfRule>
  </conditionalFormatting>
  <conditionalFormatting sqref="BD49">
    <cfRule type="cellIs" dxfId="3440" priority="146316" stopIfTrue="1" operator="equal">
      <formula>-1</formula>
    </cfRule>
  </conditionalFormatting>
  <conditionalFormatting sqref="BD49">
    <cfRule type="cellIs" dxfId="3439" priority="146317" stopIfTrue="1" operator="lessThan">
      <formula>0.5</formula>
    </cfRule>
  </conditionalFormatting>
  <conditionalFormatting sqref="BD49">
    <cfRule type="cellIs" dxfId="3438" priority="146318" stopIfTrue="1" operator="greaterThanOrEqual">
      <formula>0.5</formula>
    </cfRule>
  </conditionalFormatting>
  <conditionalFormatting sqref="BD50">
    <cfRule type="cellIs" dxfId="3437" priority="146319" stopIfTrue="1" operator="equal">
      <formula>-1</formula>
    </cfRule>
  </conditionalFormatting>
  <conditionalFormatting sqref="BD50">
    <cfRule type="cellIs" dxfId="3436" priority="146320" stopIfTrue="1" operator="lessThan">
      <formula>0.5</formula>
    </cfRule>
  </conditionalFormatting>
  <conditionalFormatting sqref="BD50">
    <cfRule type="cellIs" dxfId="3435" priority="146321" stopIfTrue="1" operator="greaterThanOrEqual">
      <formula>0.5</formula>
    </cfRule>
  </conditionalFormatting>
  <conditionalFormatting sqref="BD51">
    <cfRule type="cellIs" dxfId="3434" priority="146322" stopIfTrue="1" operator="equal">
      <formula>-1</formula>
    </cfRule>
  </conditionalFormatting>
  <conditionalFormatting sqref="BD51">
    <cfRule type="cellIs" dxfId="3433" priority="146323" stopIfTrue="1" operator="lessThan">
      <formula>0.5</formula>
    </cfRule>
  </conditionalFormatting>
  <conditionalFormatting sqref="BD51">
    <cfRule type="cellIs" dxfId="3432" priority="146324" stopIfTrue="1" operator="greaterThanOrEqual">
      <formula>0.5</formula>
    </cfRule>
  </conditionalFormatting>
  <conditionalFormatting sqref="BD52">
    <cfRule type="cellIs" dxfId="3431" priority="146325" stopIfTrue="1" operator="equal">
      <formula>-1</formula>
    </cfRule>
  </conditionalFormatting>
  <conditionalFormatting sqref="BD52">
    <cfRule type="cellIs" dxfId="3430" priority="146326" stopIfTrue="1" operator="lessThan">
      <formula>0.5</formula>
    </cfRule>
  </conditionalFormatting>
  <conditionalFormatting sqref="BD52">
    <cfRule type="cellIs" dxfId="3429" priority="146327" stopIfTrue="1" operator="greaterThanOrEqual">
      <formula>0.5</formula>
    </cfRule>
  </conditionalFormatting>
  <conditionalFormatting sqref="BD53">
    <cfRule type="cellIs" dxfId="3428" priority="146328" stopIfTrue="1" operator="equal">
      <formula>-1</formula>
    </cfRule>
  </conditionalFormatting>
  <conditionalFormatting sqref="BD53">
    <cfRule type="cellIs" dxfId="3427" priority="146329" stopIfTrue="1" operator="lessThan">
      <formula>0.5</formula>
    </cfRule>
  </conditionalFormatting>
  <conditionalFormatting sqref="BD53">
    <cfRule type="cellIs" dxfId="3426" priority="146330" stopIfTrue="1" operator="greaterThanOrEqual">
      <formula>0.5</formula>
    </cfRule>
  </conditionalFormatting>
  <conditionalFormatting sqref="BD54">
    <cfRule type="cellIs" dxfId="3425" priority="146331" stopIfTrue="1" operator="equal">
      <formula>-1</formula>
    </cfRule>
  </conditionalFormatting>
  <conditionalFormatting sqref="BD54">
    <cfRule type="cellIs" dxfId="3424" priority="146332" stopIfTrue="1" operator="lessThan">
      <formula>0.5</formula>
    </cfRule>
  </conditionalFormatting>
  <conditionalFormatting sqref="BD54">
    <cfRule type="cellIs" dxfId="3423" priority="146333" stopIfTrue="1" operator="greaterThanOrEqual">
      <formula>0.5</formula>
    </cfRule>
  </conditionalFormatting>
  <conditionalFormatting sqref="BD55">
    <cfRule type="cellIs" dxfId="3422" priority="146334" stopIfTrue="1" operator="equal">
      <formula>-1</formula>
    </cfRule>
  </conditionalFormatting>
  <conditionalFormatting sqref="BD55">
    <cfRule type="cellIs" dxfId="3421" priority="146335" stopIfTrue="1" operator="lessThan">
      <formula>0.5</formula>
    </cfRule>
  </conditionalFormatting>
  <conditionalFormatting sqref="BD55">
    <cfRule type="cellIs" dxfId="3420" priority="146336" stopIfTrue="1" operator="greaterThanOrEqual">
      <formula>0.5</formula>
    </cfRule>
  </conditionalFormatting>
  <conditionalFormatting sqref="BD56">
    <cfRule type="cellIs" dxfId="3419" priority="146337" stopIfTrue="1" operator="equal">
      <formula>-1</formula>
    </cfRule>
  </conditionalFormatting>
  <conditionalFormatting sqref="BD56">
    <cfRule type="cellIs" dxfId="3418" priority="146338" stopIfTrue="1" operator="lessThan">
      <formula>0.5</formula>
    </cfRule>
  </conditionalFormatting>
  <conditionalFormatting sqref="BD56">
    <cfRule type="cellIs" dxfId="3417" priority="146339" stopIfTrue="1" operator="greaterThanOrEqual">
      <formula>0.5</formula>
    </cfRule>
  </conditionalFormatting>
  <conditionalFormatting sqref="BD57">
    <cfRule type="cellIs" dxfId="3416" priority="146340" stopIfTrue="1" operator="equal">
      <formula>-1</formula>
    </cfRule>
  </conditionalFormatting>
  <conditionalFormatting sqref="BD57">
    <cfRule type="cellIs" dxfId="3415" priority="146341" stopIfTrue="1" operator="lessThan">
      <formula>0.5</formula>
    </cfRule>
  </conditionalFormatting>
  <conditionalFormatting sqref="BD57">
    <cfRule type="cellIs" dxfId="3414" priority="146342" stopIfTrue="1" operator="greaterThanOrEqual">
      <formula>0.5</formula>
    </cfRule>
  </conditionalFormatting>
  <conditionalFormatting sqref="BD58">
    <cfRule type="cellIs" dxfId="3413" priority="146343" stopIfTrue="1" operator="equal">
      <formula>-1</formula>
    </cfRule>
  </conditionalFormatting>
  <conditionalFormatting sqref="BD58">
    <cfRule type="cellIs" dxfId="3412" priority="146344" stopIfTrue="1" operator="lessThan">
      <formula>0.5</formula>
    </cfRule>
  </conditionalFormatting>
  <conditionalFormatting sqref="BD58">
    <cfRule type="cellIs" dxfId="3411" priority="146345" stopIfTrue="1" operator="greaterThanOrEqual">
      <formula>0.5</formula>
    </cfRule>
  </conditionalFormatting>
  <conditionalFormatting sqref="BF39">
    <cfRule type="cellIs" dxfId="3410" priority="146346" stopIfTrue="1" operator="equal">
      <formula>-1</formula>
    </cfRule>
  </conditionalFormatting>
  <conditionalFormatting sqref="BF39">
    <cfRule type="cellIs" dxfId="3409" priority="146347" stopIfTrue="1" operator="lessThan">
      <formula>0.5</formula>
    </cfRule>
  </conditionalFormatting>
  <conditionalFormatting sqref="BF39">
    <cfRule type="cellIs" dxfId="3408" priority="146348" stopIfTrue="1" operator="greaterThanOrEqual">
      <formula>0.5</formula>
    </cfRule>
  </conditionalFormatting>
  <conditionalFormatting sqref="BF40">
    <cfRule type="cellIs" dxfId="3407" priority="146349" stopIfTrue="1" operator="equal">
      <formula>-1</formula>
    </cfRule>
  </conditionalFormatting>
  <conditionalFormatting sqref="BF40">
    <cfRule type="cellIs" dxfId="3406" priority="146350" stopIfTrue="1" operator="lessThan">
      <formula>0.5</formula>
    </cfRule>
  </conditionalFormatting>
  <conditionalFormatting sqref="BF40">
    <cfRule type="cellIs" dxfId="3405" priority="146351" stopIfTrue="1" operator="greaterThanOrEqual">
      <formula>0.5</formula>
    </cfRule>
  </conditionalFormatting>
  <conditionalFormatting sqref="BF41">
    <cfRule type="cellIs" dxfId="3404" priority="146352" stopIfTrue="1" operator="equal">
      <formula>-1</formula>
    </cfRule>
  </conditionalFormatting>
  <conditionalFormatting sqref="BF41">
    <cfRule type="cellIs" dxfId="3403" priority="146353" stopIfTrue="1" operator="lessThan">
      <formula>0.5</formula>
    </cfRule>
  </conditionalFormatting>
  <conditionalFormatting sqref="BF41">
    <cfRule type="cellIs" dxfId="3402" priority="146354" stopIfTrue="1" operator="greaterThanOrEqual">
      <formula>0.5</formula>
    </cfRule>
  </conditionalFormatting>
  <conditionalFormatting sqref="BF42">
    <cfRule type="cellIs" dxfId="3401" priority="146355" stopIfTrue="1" operator="equal">
      <formula>-1</formula>
    </cfRule>
  </conditionalFormatting>
  <conditionalFormatting sqref="BF42">
    <cfRule type="cellIs" dxfId="3400" priority="146356" stopIfTrue="1" operator="lessThan">
      <formula>0.5</formula>
    </cfRule>
  </conditionalFormatting>
  <conditionalFormatting sqref="BF42">
    <cfRule type="cellIs" dxfId="3399" priority="146357" stopIfTrue="1" operator="greaterThanOrEqual">
      <formula>0.5</formula>
    </cfRule>
  </conditionalFormatting>
  <conditionalFormatting sqref="BF43">
    <cfRule type="cellIs" dxfId="3398" priority="146358" stopIfTrue="1" operator="equal">
      <formula>-1</formula>
    </cfRule>
  </conditionalFormatting>
  <conditionalFormatting sqref="BF43">
    <cfRule type="cellIs" dxfId="3397" priority="146359" stopIfTrue="1" operator="lessThan">
      <formula>0.5</formula>
    </cfRule>
  </conditionalFormatting>
  <conditionalFormatting sqref="BF43">
    <cfRule type="cellIs" dxfId="3396" priority="146360" stopIfTrue="1" operator="greaterThanOrEqual">
      <formula>0.5</formula>
    </cfRule>
  </conditionalFormatting>
  <conditionalFormatting sqref="BF44">
    <cfRule type="cellIs" dxfId="3395" priority="146361" stopIfTrue="1" operator="equal">
      <formula>-1</formula>
    </cfRule>
  </conditionalFormatting>
  <conditionalFormatting sqref="BF44">
    <cfRule type="cellIs" dxfId="3394" priority="146362" stopIfTrue="1" operator="lessThan">
      <formula>0.5</formula>
    </cfRule>
  </conditionalFormatting>
  <conditionalFormatting sqref="BF44">
    <cfRule type="cellIs" dxfId="3393" priority="146363" stopIfTrue="1" operator="greaterThanOrEqual">
      <formula>0.5</formula>
    </cfRule>
  </conditionalFormatting>
  <conditionalFormatting sqref="BF45">
    <cfRule type="cellIs" dxfId="3392" priority="146364" stopIfTrue="1" operator="equal">
      <formula>-1</formula>
    </cfRule>
  </conditionalFormatting>
  <conditionalFormatting sqref="BF45">
    <cfRule type="cellIs" dxfId="3391" priority="146365" stopIfTrue="1" operator="lessThan">
      <formula>0.5</formula>
    </cfRule>
  </conditionalFormatting>
  <conditionalFormatting sqref="BF45">
    <cfRule type="cellIs" dxfId="3390" priority="146366" stopIfTrue="1" operator="greaterThanOrEqual">
      <formula>0.5</formula>
    </cfRule>
  </conditionalFormatting>
  <conditionalFormatting sqref="BF46">
    <cfRule type="cellIs" dxfId="3389" priority="146367" stopIfTrue="1" operator="equal">
      <formula>-1</formula>
    </cfRule>
  </conditionalFormatting>
  <conditionalFormatting sqref="BF46">
    <cfRule type="cellIs" dxfId="3388" priority="146368" stopIfTrue="1" operator="lessThan">
      <formula>0.5</formula>
    </cfRule>
  </conditionalFormatting>
  <conditionalFormatting sqref="BF46">
    <cfRule type="cellIs" dxfId="3387" priority="146369" stopIfTrue="1" operator="greaterThanOrEqual">
      <formula>0.5</formula>
    </cfRule>
  </conditionalFormatting>
  <conditionalFormatting sqref="BF47">
    <cfRule type="cellIs" dxfId="3386" priority="146370" stopIfTrue="1" operator="equal">
      <formula>-1</formula>
    </cfRule>
  </conditionalFormatting>
  <conditionalFormatting sqref="BF47">
    <cfRule type="cellIs" dxfId="3385" priority="146371" stopIfTrue="1" operator="lessThan">
      <formula>0.5</formula>
    </cfRule>
  </conditionalFormatting>
  <conditionalFormatting sqref="BF47">
    <cfRule type="cellIs" dxfId="3384" priority="146372" stopIfTrue="1" operator="greaterThanOrEqual">
      <formula>0.5</formula>
    </cfRule>
  </conditionalFormatting>
  <conditionalFormatting sqref="BF48">
    <cfRule type="cellIs" dxfId="3383" priority="146373" stopIfTrue="1" operator="equal">
      <formula>-1</formula>
    </cfRule>
  </conditionalFormatting>
  <conditionalFormatting sqref="BF48">
    <cfRule type="cellIs" dxfId="3382" priority="146374" stopIfTrue="1" operator="lessThan">
      <formula>0.5</formula>
    </cfRule>
  </conditionalFormatting>
  <conditionalFormatting sqref="BF48">
    <cfRule type="cellIs" dxfId="3381" priority="146375" stopIfTrue="1" operator="greaterThanOrEqual">
      <formula>0.5</formula>
    </cfRule>
  </conditionalFormatting>
  <conditionalFormatting sqref="BF49">
    <cfRule type="cellIs" dxfId="3380" priority="146376" stopIfTrue="1" operator="equal">
      <formula>-1</formula>
    </cfRule>
  </conditionalFormatting>
  <conditionalFormatting sqref="BF49">
    <cfRule type="cellIs" dxfId="3379" priority="146377" stopIfTrue="1" operator="lessThan">
      <formula>0.5</formula>
    </cfRule>
  </conditionalFormatting>
  <conditionalFormatting sqref="BF49">
    <cfRule type="cellIs" dxfId="3378" priority="146378" stopIfTrue="1" operator="greaterThanOrEqual">
      <formula>0.5</formula>
    </cfRule>
  </conditionalFormatting>
  <conditionalFormatting sqref="BF50">
    <cfRule type="cellIs" dxfId="3377" priority="146379" stopIfTrue="1" operator="equal">
      <formula>-1</formula>
    </cfRule>
  </conditionalFormatting>
  <conditionalFormatting sqref="BF50">
    <cfRule type="cellIs" dxfId="3376" priority="146380" stopIfTrue="1" operator="lessThan">
      <formula>0.5</formula>
    </cfRule>
  </conditionalFormatting>
  <conditionalFormatting sqref="BF50">
    <cfRule type="cellIs" dxfId="3375" priority="146381" stopIfTrue="1" operator="greaterThanOrEqual">
      <formula>0.5</formula>
    </cfRule>
  </conditionalFormatting>
  <conditionalFormatting sqref="BF51">
    <cfRule type="cellIs" dxfId="3374" priority="146382" stopIfTrue="1" operator="equal">
      <formula>-1</formula>
    </cfRule>
  </conditionalFormatting>
  <conditionalFormatting sqref="BF51">
    <cfRule type="cellIs" dxfId="3373" priority="146383" stopIfTrue="1" operator="lessThan">
      <formula>0.5</formula>
    </cfRule>
  </conditionalFormatting>
  <conditionalFormatting sqref="BF51">
    <cfRule type="cellIs" dxfId="3372" priority="146384" stopIfTrue="1" operator="greaterThanOrEqual">
      <formula>0.5</formula>
    </cfRule>
  </conditionalFormatting>
  <conditionalFormatting sqref="BF52">
    <cfRule type="cellIs" dxfId="3371" priority="146385" stopIfTrue="1" operator="equal">
      <formula>-1</formula>
    </cfRule>
  </conditionalFormatting>
  <conditionalFormatting sqref="BF52">
    <cfRule type="cellIs" dxfId="3370" priority="146386" stopIfTrue="1" operator="lessThan">
      <formula>0.5</formula>
    </cfRule>
  </conditionalFormatting>
  <conditionalFormatting sqref="BF52">
    <cfRule type="cellIs" dxfId="3369" priority="146387" stopIfTrue="1" operator="greaterThanOrEqual">
      <formula>0.5</formula>
    </cfRule>
  </conditionalFormatting>
  <conditionalFormatting sqref="BF53">
    <cfRule type="cellIs" dxfId="3368" priority="146388" stopIfTrue="1" operator="equal">
      <formula>-1</formula>
    </cfRule>
  </conditionalFormatting>
  <conditionalFormatting sqref="BF53">
    <cfRule type="cellIs" dxfId="3367" priority="146389" stopIfTrue="1" operator="lessThan">
      <formula>0.5</formula>
    </cfRule>
  </conditionalFormatting>
  <conditionalFormatting sqref="BF53">
    <cfRule type="cellIs" dxfId="3366" priority="146390" stopIfTrue="1" operator="greaterThanOrEqual">
      <formula>0.5</formula>
    </cfRule>
  </conditionalFormatting>
  <conditionalFormatting sqref="BF54">
    <cfRule type="cellIs" dxfId="3365" priority="146391" stopIfTrue="1" operator="equal">
      <formula>-1</formula>
    </cfRule>
  </conditionalFormatting>
  <conditionalFormatting sqref="BF54">
    <cfRule type="cellIs" dxfId="3364" priority="146392" stopIfTrue="1" operator="lessThan">
      <formula>0.5</formula>
    </cfRule>
  </conditionalFormatting>
  <conditionalFormatting sqref="BF54">
    <cfRule type="cellIs" dxfId="3363" priority="146393" stopIfTrue="1" operator="greaterThanOrEqual">
      <formula>0.5</formula>
    </cfRule>
  </conditionalFormatting>
  <conditionalFormatting sqref="BF55">
    <cfRule type="cellIs" dxfId="3362" priority="146394" stopIfTrue="1" operator="equal">
      <formula>-1</formula>
    </cfRule>
  </conditionalFormatting>
  <conditionalFormatting sqref="BF55">
    <cfRule type="cellIs" dxfId="3361" priority="146395" stopIfTrue="1" operator="lessThan">
      <formula>0.5</formula>
    </cfRule>
  </conditionalFormatting>
  <conditionalFormatting sqref="BF55">
    <cfRule type="cellIs" dxfId="3360" priority="146396" stopIfTrue="1" operator="greaterThanOrEqual">
      <formula>0.5</formula>
    </cfRule>
  </conditionalFormatting>
  <conditionalFormatting sqref="BF56">
    <cfRule type="cellIs" dxfId="3359" priority="146397" stopIfTrue="1" operator="equal">
      <formula>-1</formula>
    </cfRule>
  </conditionalFormatting>
  <conditionalFormatting sqref="BF56">
    <cfRule type="cellIs" dxfId="3358" priority="146398" stopIfTrue="1" operator="lessThan">
      <formula>0.5</formula>
    </cfRule>
  </conditionalFormatting>
  <conditionalFormatting sqref="BF56">
    <cfRule type="cellIs" dxfId="3357" priority="146399" stopIfTrue="1" operator="greaterThanOrEqual">
      <formula>0.5</formula>
    </cfRule>
  </conditionalFormatting>
  <conditionalFormatting sqref="BF57">
    <cfRule type="cellIs" dxfId="3356" priority="146400" stopIfTrue="1" operator="equal">
      <formula>-1</formula>
    </cfRule>
  </conditionalFormatting>
  <conditionalFormatting sqref="BF57">
    <cfRule type="cellIs" dxfId="3355" priority="146401" stopIfTrue="1" operator="lessThan">
      <formula>0.5</formula>
    </cfRule>
  </conditionalFormatting>
  <conditionalFormatting sqref="BF57">
    <cfRule type="cellIs" dxfId="3354" priority="146402" stopIfTrue="1" operator="greaterThanOrEqual">
      <formula>0.5</formula>
    </cfRule>
  </conditionalFormatting>
  <conditionalFormatting sqref="BF58">
    <cfRule type="cellIs" dxfId="3353" priority="146403" stopIfTrue="1" operator="equal">
      <formula>-1</formula>
    </cfRule>
  </conditionalFormatting>
  <conditionalFormatting sqref="BF58">
    <cfRule type="cellIs" dxfId="3352" priority="146404" stopIfTrue="1" operator="lessThan">
      <formula>0.5</formula>
    </cfRule>
  </conditionalFormatting>
  <conditionalFormatting sqref="BF58">
    <cfRule type="cellIs" dxfId="3351" priority="146405" stopIfTrue="1" operator="greaterThanOrEqual">
      <formula>0.5</formula>
    </cfRule>
  </conditionalFormatting>
  <conditionalFormatting sqref="BH39">
    <cfRule type="cellIs" dxfId="3350" priority="146406" stopIfTrue="1" operator="equal">
      <formula>-1</formula>
    </cfRule>
  </conditionalFormatting>
  <conditionalFormatting sqref="BH39">
    <cfRule type="cellIs" dxfId="3349" priority="146407" stopIfTrue="1" operator="lessThan">
      <formula>0.5</formula>
    </cfRule>
  </conditionalFormatting>
  <conditionalFormatting sqref="BH39">
    <cfRule type="cellIs" dxfId="3348" priority="146408" stopIfTrue="1" operator="greaterThanOrEqual">
      <formula>0.5</formula>
    </cfRule>
  </conditionalFormatting>
  <conditionalFormatting sqref="BH40">
    <cfRule type="cellIs" dxfId="3347" priority="146409" stopIfTrue="1" operator="equal">
      <formula>-1</formula>
    </cfRule>
  </conditionalFormatting>
  <conditionalFormatting sqref="BH40">
    <cfRule type="cellIs" dxfId="3346" priority="146410" stopIfTrue="1" operator="lessThan">
      <formula>0.5</formula>
    </cfRule>
  </conditionalFormatting>
  <conditionalFormatting sqref="BH40">
    <cfRule type="cellIs" dxfId="3345" priority="146411" stopIfTrue="1" operator="greaterThanOrEqual">
      <formula>0.5</formula>
    </cfRule>
  </conditionalFormatting>
  <conditionalFormatting sqref="BH41">
    <cfRule type="cellIs" dxfId="3344" priority="146412" stopIfTrue="1" operator="equal">
      <formula>-1</formula>
    </cfRule>
  </conditionalFormatting>
  <conditionalFormatting sqref="BH41">
    <cfRule type="cellIs" dxfId="3343" priority="146413" stopIfTrue="1" operator="lessThan">
      <formula>0.5</formula>
    </cfRule>
  </conditionalFormatting>
  <conditionalFormatting sqref="BH41">
    <cfRule type="cellIs" dxfId="3342" priority="146414" stopIfTrue="1" operator="greaterThanOrEqual">
      <formula>0.5</formula>
    </cfRule>
  </conditionalFormatting>
  <conditionalFormatting sqref="BH42">
    <cfRule type="cellIs" dxfId="3341" priority="146415" stopIfTrue="1" operator="equal">
      <formula>-1</formula>
    </cfRule>
  </conditionalFormatting>
  <conditionalFormatting sqref="BH42">
    <cfRule type="cellIs" dxfId="3340" priority="146416" stopIfTrue="1" operator="lessThan">
      <formula>0.5</formula>
    </cfRule>
  </conditionalFormatting>
  <conditionalFormatting sqref="BH42">
    <cfRule type="cellIs" dxfId="3339" priority="146417" stopIfTrue="1" operator="greaterThanOrEqual">
      <formula>0.5</formula>
    </cfRule>
  </conditionalFormatting>
  <conditionalFormatting sqref="BH43">
    <cfRule type="cellIs" dxfId="3338" priority="146418" stopIfTrue="1" operator="equal">
      <formula>-1</formula>
    </cfRule>
  </conditionalFormatting>
  <conditionalFormatting sqref="BH43">
    <cfRule type="cellIs" dxfId="3337" priority="146419" stopIfTrue="1" operator="lessThan">
      <formula>0.5</formula>
    </cfRule>
  </conditionalFormatting>
  <conditionalFormatting sqref="BH43">
    <cfRule type="cellIs" dxfId="3336" priority="146420" stopIfTrue="1" operator="greaterThanOrEqual">
      <formula>0.5</formula>
    </cfRule>
  </conditionalFormatting>
  <conditionalFormatting sqref="BH44">
    <cfRule type="cellIs" dxfId="3335" priority="146421" stopIfTrue="1" operator="equal">
      <formula>-1</formula>
    </cfRule>
  </conditionalFormatting>
  <conditionalFormatting sqref="BH44">
    <cfRule type="cellIs" dxfId="3334" priority="146422" stopIfTrue="1" operator="lessThan">
      <formula>0.5</formula>
    </cfRule>
  </conditionalFormatting>
  <conditionalFormatting sqref="BH44">
    <cfRule type="cellIs" dxfId="3333" priority="146423" stopIfTrue="1" operator="greaterThanOrEqual">
      <formula>0.5</formula>
    </cfRule>
  </conditionalFormatting>
  <conditionalFormatting sqref="BH45">
    <cfRule type="cellIs" dxfId="3332" priority="146424" stopIfTrue="1" operator="equal">
      <formula>-1</formula>
    </cfRule>
  </conditionalFormatting>
  <conditionalFormatting sqref="BH45">
    <cfRule type="cellIs" dxfId="3331" priority="146425" stopIfTrue="1" operator="lessThan">
      <formula>0.5</formula>
    </cfRule>
  </conditionalFormatting>
  <conditionalFormatting sqref="BH45">
    <cfRule type="cellIs" dxfId="3330" priority="146426" stopIfTrue="1" operator="greaterThanOrEqual">
      <formula>0.5</formula>
    </cfRule>
  </conditionalFormatting>
  <conditionalFormatting sqref="BH46">
    <cfRule type="cellIs" dxfId="3329" priority="146427" stopIfTrue="1" operator="equal">
      <formula>-1</formula>
    </cfRule>
  </conditionalFormatting>
  <conditionalFormatting sqref="BH46">
    <cfRule type="cellIs" dxfId="3328" priority="146428" stopIfTrue="1" operator="lessThan">
      <formula>0.5</formula>
    </cfRule>
  </conditionalFormatting>
  <conditionalFormatting sqref="BH46">
    <cfRule type="cellIs" dxfId="3327" priority="146429" stopIfTrue="1" operator="greaterThanOrEqual">
      <formula>0.5</formula>
    </cfRule>
  </conditionalFormatting>
  <conditionalFormatting sqref="BH47">
    <cfRule type="cellIs" dxfId="3326" priority="146430" stopIfTrue="1" operator="equal">
      <formula>-1</formula>
    </cfRule>
  </conditionalFormatting>
  <conditionalFormatting sqref="BH47">
    <cfRule type="cellIs" dxfId="3325" priority="146431" stopIfTrue="1" operator="lessThan">
      <formula>0.5</formula>
    </cfRule>
  </conditionalFormatting>
  <conditionalFormatting sqref="BH47">
    <cfRule type="cellIs" dxfId="3324" priority="146432" stopIfTrue="1" operator="greaterThanOrEqual">
      <formula>0.5</formula>
    </cfRule>
  </conditionalFormatting>
  <conditionalFormatting sqref="BH48">
    <cfRule type="cellIs" dxfId="3323" priority="146433" stopIfTrue="1" operator="equal">
      <formula>-1</formula>
    </cfRule>
  </conditionalFormatting>
  <conditionalFormatting sqref="BH48">
    <cfRule type="cellIs" dxfId="3322" priority="146434" stopIfTrue="1" operator="lessThan">
      <formula>0.5</formula>
    </cfRule>
  </conditionalFormatting>
  <conditionalFormatting sqref="BH48">
    <cfRule type="cellIs" dxfId="3321" priority="146435" stopIfTrue="1" operator="greaterThanOrEqual">
      <formula>0.5</formula>
    </cfRule>
  </conditionalFormatting>
  <conditionalFormatting sqref="BH49">
    <cfRule type="cellIs" dxfId="3320" priority="146436" stopIfTrue="1" operator="equal">
      <formula>-1</formula>
    </cfRule>
  </conditionalFormatting>
  <conditionalFormatting sqref="BH49">
    <cfRule type="cellIs" dxfId="3319" priority="146437" stopIfTrue="1" operator="lessThan">
      <formula>0.5</formula>
    </cfRule>
  </conditionalFormatting>
  <conditionalFormatting sqref="BH49">
    <cfRule type="cellIs" dxfId="3318" priority="146438" stopIfTrue="1" operator="greaterThanOrEqual">
      <formula>0.5</formula>
    </cfRule>
  </conditionalFormatting>
  <conditionalFormatting sqref="BH50">
    <cfRule type="cellIs" dxfId="3317" priority="146439" stopIfTrue="1" operator="equal">
      <formula>-1</formula>
    </cfRule>
  </conditionalFormatting>
  <conditionalFormatting sqref="BH50">
    <cfRule type="cellIs" dxfId="3316" priority="146440" stopIfTrue="1" operator="lessThan">
      <formula>0.5</formula>
    </cfRule>
  </conditionalFormatting>
  <conditionalFormatting sqref="BH50">
    <cfRule type="cellIs" dxfId="3315" priority="146441" stopIfTrue="1" operator="greaterThanOrEqual">
      <formula>0.5</formula>
    </cfRule>
  </conditionalFormatting>
  <conditionalFormatting sqref="BH51">
    <cfRule type="cellIs" dxfId="3314" priority="146442" stopIfTrue="1" operator="equal">
      <formula>-1</formula>
    </cfRule>
  </conditionalFormatting>
  <conditionalFormatting sqref="BH51">
    <cfRule type="cellIs" dxfId="3313" priority="146443" stopIfTrue="1" operator="lessThan">
      <formula>0.5</formula>
    </cfRule>
  </conditionalFormatting>
  <conditionalFormatting sqref="BH51">
    <cfRule type="cellIs" dxfId="3312" priority="146444" stopIfTrue="1" operator="greaterThanOrEqual">
      <formula>0.5</formula>
    </cfRule>
  </conditionalFormatting>
  <conditionalFormatting sqref="BH52">
    <cfRule type="cellIs" dxfId="3311" priority="146445" stopIfTrue="1" operator="equal">
      <formula>-1</formula>
    </cfRule>
  </conditionalFormatting>
  <conditionalFormatting sqref="BH52">
    <cfRule type="cellIs" dxfId="3310" priority="146446" stopIfTrue="1" operator="lessThan">
      <formula>0.5</formula>
    </cfRule>
  </conditionalFormatting>
  <conditionalFormatting sqref="BH52">
    <cfRule type="cellIs" dxfId="3309" priority="146447" stopIfTrue="1" operator="greaterThanOrEqual">
      <formula>0.5</formula>
    </cfRule>
  </conditionalFormatting>
  <conditionalFormatting sqref="BH53">
    <cfRule type="cellIs" dxfId="3308" priority="146448" stopIfTrue="1" operator="equal">
      <formula>-1</formula>
    </cfRule>
  </conditionalFormatting>
  <conditionalFormatting sqref="BH53">
    <cfRule type="cellIs" dxfId="3307" priority="146449" stopIfTrue="1" operator="lessThan">
      <formula>0.5</formula>
    </cfRule>
  </conditionalFormatting>
  <conditionalFormatting sqref="BH53">
    <cfRule type="cellIs" dxfId="3306" priority="146450" stopIfTrue="1" operator="greaterThanOrEqual">
      <formula>0.5</formula>
    </cfRule>
  </conditionalFormatting>
  <conditionalFormatting sqref="BH54">
    <cfRule type="cellIs" dxfId="3305" priority="146451" stopIfTrue="1" operator="equal">
      <formula>-1</formula>
    </cfRule>
  </conditionalFormatting>
  <conditionalFormatting sqref="BH54">
    <cfRule type="cellIs" dxfId="3304" priority="146452" stopIfTrue="1" operator="lessThan">
      <formula>0.5</formula>
    </cfRule>
  </conditionalFormatting>
  <conditionalFormatting sqref="BH54">
    <cfRule type="cellIs" dxfId="3303" priority="146453" stopIfTrue="1" operator="greaterThanOrEqual">
      <formula>0.5</formula>
    </cfRule>
  </conditionalFormatting>
  <conditionalFormatting sqref="BH55">
    <cfRule type="cellIs" dxfId="3302" priority="146454" stopIfTrue="1" operator="equal">
      <formula>-1</formula>
    </cfRule>
  </conditionalFormatting>
  <conditionalFormatting sqref="BH55">
    <cfRule type="cellIs" dxfId="3301" priority="146455" stopIfTrue="1" operator="lessThan">
      <formula>0.5</formula>
    </cfRule>
  </conditionalFormatting>
  <conditionalFormatting sqref="BH55">
    <cfRule type="cellIs" dxfId="3300" priority="146456" stopIfTrue="1" operator="greaterThanOrEqual">
      <formula>0.5</formula>
    </cfRule>
  </conditionalFormatting>
  <conditionalFormatting sqref="BH56">
    <cfRule type="cellIs" dxfId="3299" priority="146457" stopIfTrue="1" operator="equal">
      <formula>-1</formula>
    </cfRule>
  </conditionalFormatting>
  <conditionalFormatting sqref="BH56">
    <cfRule type="cellIs" dxfId="3298" priority="146458" stopIfTrue="1" operator="lessThan">
      <formula>0.5</formula>
    </cfRule>
  </conditionalFormatting>
  <conditionalFormatting sqref="BH56">
    <cfRule type="cellIs" dxfId="3297" priority="146459" stopIfTrue="1" operator="greaterThanOrEqual">
      <formula>0.5</formula>
    </cfRule>
  </conditionalFormatting>
  <conditionalFormatting sqref="BH57">
    <cfRule type="cellIs" dxfId="3296" priority="146460" stopIfTrue="1" operator="equal">
      <formula>-1</formula>
    </cfRule>
  </conditionalFormatting>
  <conditionalFormatting sqref="BH57">
    <cfRule type="cellIs" dxfId="3295" priority="146461" stopIfTrue="1" operator="lessThan">
      <formula>0.5</formula>
    </cfRule>
  </conditionalFormatting>
  <conditionalFormatting sqref="BH57">
    <cfRule type="cellIs" dxfId="3294" priority="146462" stopIfTrue="1" operator="greaterThanOrEqual">
      <formula>0.5</formula>
    </cfRule>
  </conditionalFormatting>
  <conditionalFormatting sqref="BH58">
    <cfRule type="cellIs" dxfId="3293" priority="146463" stopIfTrue="1" operator="equal">
      <formula>-1</formula>
    </cfRule>
  </conditionalFormatting>
  <conditionalFormatting sqref="BH58">
    <cfRule type="cellIs" dxfId="3292" priority="146464" stopIfTrue="1" operator="lessThan">
      <formula>0.5</formula>
    </cfRule>
  </conditionalFormatting>
  <conditionalFormatting sqref="BH58">
    <cfRule type="cellIs" dxfId="3291" priority="146465" stopIfTrue="1" operator="greaterThanOrEqual">
      <formula>0.5</formula>
    </cfRule>
  </conditionalFormatting>
  <conditionalFormatting sqref="BJ39">
    <cfRule type="cellIs" dxfId="3290" priority="146466" stopIfTrue="1" operator="equal">
      <formula>-1</formula>
    </cfRule>
  </conditionalFormatting>
  <conditionalFormatting sqref="BJ39">
    <cfRule type="cellIs" dxfId="3289" priority="146467" stopIfTrue="1" operator="lessThan">
      <formula>0.5</formula>
    </cfRule>
  </conditionalFormatting>
  <conditionalFormatting sqref="BJ39">
    <cfRule type="cellIs" dxfId="3288" priority="146468" stopIfTrue="1" operator="greaterThanOrEqual">
      <formula>0.5</formula>
    </cfRule>
  </conditionalFormatting>
  <conditionalFormatting sqref="BJ40">
    <cfRule type="cellIs" dxfId="3287" priority="146469" stopIfTrue="1" operator="equal">
      <formula>-1</formula>
    </cfRule>
  </conditionalFormatting>
  <conditionalFormatting sqref="BJ40">
    <cfRule type="cellIs" dxfId="3286" priority="146470" stopIfTrue="1" operator="lessThan">
      <formula>0.5</formula>
    </cfRule>
  </conditionalFormatting>
  <conditionalFormatting sqref="BJ40">
    <cfRule type="cellIs" dxfId="3285" priority="146471" stopIfTrue="1" operator="greaterThanOrEqual">
      <formula>0.5</formula>
    </cfRule>
  </conditionalFormatting>
  <conditionalFormatting sqref="BJ41">
    <cfRule type="cellIs" dxfId="3284" priority="146472" stopIfTrue="1" operator="equal">
      <formula>-1</formula>
    </cfRule>
  </conditionalFormatting>
  <conditionalFormatting sqref="BJ41">
    <cfRule type="cellIs" dxfId="3283" priority="146473" stopIfTrue="1" operator="lessThan">
      <formula>0.5</formula>
    </cfRule>
  </conditionalFormatting>
  <conditionalFormatting sqref="BJ41">
    <cfRule type="cellIs" dxfId="3282" priority="146474" stopIfTrue="1" operator="greaterThanOrEqual">
      <formula>0.5</formula>
    </cfRule>
  </conditionalFormatting>
  <conditionalFormatting sqref="BJ42">
    <cfRule type="cellIs" dxfId="3281" priority="146475" stopIfTrue="1" operator="equal">
      <formula>-1</formula>
    </cfRule>
  </conditionalFormatting>
  <conditionalFormatting sqref="BJ42">
    <cfRule type="cellIs" dxfId="3280" priority="146476" stopIfTrue="1" operator="lessThan">
      <formula>0.5</formula>
    </cfRule>
  </conditionalFormatting>
  <conditionalFormatting sqref="BJ42">
    <cfRule type="cellIs" dxfId="3279" priority="146477" stopIfTrue="1" operator="greaterThanOrEqual">
      <formula>0.5</formula>
    </cfRule>
  </conditionalFormatting>
  <conditionalFormatting sqref="BJ43">
    <cfRule type="cellIs" dxfId="3278" priority="146478" stopIfTrue="1" operator="equal">
      <formula>-1</formula>
    </cfRule>
  </conditionalFormatting>
  <conditionalFormatting sqref="BJ43">
    <cfRule type="cellIs" dxfId="3277" priority="146479" stopIfTrue="1" operator="lessThan">
      <formula>0.5</formula>
    </cfRule>
  </conditionalFormatting>
  <conditionalFormatting sqref="BJ43">
    <cfRule type="cellIs" dxfId="3276" priority="146480" stopIfTrue="1" operator="greaterThanOrEqual">
      <formula>0.5</formula>
    </cfRule>
  </conditionalFormatting>
  <conditionalFormatting sqref="BJ44">
    <cfRule type="cellIs" dxfId="3275" priority="146481" stopIfTrue="1" operator="equal">
      <formula>-1</formula>
    </cfRule>
  </conditionalFormatting>
  <conditionalFormatting sqref="BJ44">
    <cfRule type="cellIs" dxfId="3274" priority="146482" stopIfTrue="1" operator="lessThan">
      <formula>0.5</formula>
    </cfRule>
  </conditionalFormatting>
  <conditionalFormatting sqref="BJ44">
    <cfRule type="cellIs" dxfId="3273" priority="146483" stopIfTrue="1" operator="greaterThanOrEqual">
      <formula>0.5</formula>
    </cfRule>
  </conditionalFormatting>
  <conditionalFormatting sqref="BJ45">
    <cfRule type="cellIs" dxfId="3272" priority="146484" stopIfTrue="1" operator="equal">
      <formula>-1</formula>
    </cfRule>
  </conditionalFormatting>
  <conditionalFormatting sqref="BJ45">
    <cfRule type="cellIs" dxfId="3271" priority="146485" stopIfTrue="1" operator="lessThan">
      <formula>0.5</formula>
    </cfRule>
  </conditionalFormatting>
  <conditionalFormatting sqref="BJ45">
    <cfRule type="cellIs" dxfId="3270" priority="146486" stopIfTrue="1" operator="greaterThanOrEqual">
      <formula>0.5</formula>
    </cfRule>
  </conditionalFormatting>
  <conditionalFormatting sqref="BJ46">
    <cfRule type="cellIs" dxfId="3269" priority="146487" stopIfTrue="1" operator="equal">
      <formula>-1</formula>
    </cfRule>
  </conditionalFormatting>
  <conditionalFormatting sqref="BJ46">
    <cfRule type="cellIs" dxfId="3268" priority="146488" stopIfTrue="1" operator="lessThan">
      <formula>0.5</formula>
    </cfRule>
  </conditionalFormatting>
  <conditionalFormatting sqref="BJ46">
    <cfRule type="cellIs" dxfId="3267" priority="146489" stopIfTrue="1" operator="greaterThanOrEqual">
      <formula>0.5</formula>
    </cfRule>
  </conditionalFormatting>
  <conditionalFormatting sqref="BJ47">
    <cfRule type="cellIs" dxfId="3266" priority="146490" stopIfTrue="1" operator="equal">
      <formula>-1</formula>
    </cfRule>
  </conditionalFormatting>
  <conditionalFormatting sqref="BJ47">
    <cfRule type="cellIs" dxfId="3265" priority="146491" stopIfTrue="1" operator="lessThan">
      <formula>0.5</formula>
    </cfRule>
  </conditionalFormatting>
  <conditionalFormatting sqref="BJ47">
    <cfRule type="cellIs" dxfId="3264" priority="146492" stopIfTrue="1" operator="greaterThanOrEqual">
      <formula>0.5</formula>
    </cfRule>
  </conditionalFormatting>
  <conditionalFormatting sqref="BJ48">
    <cfRule type="cellIs" dxfId="3263" priority="146493" stopIfTrue="1" operator="equal">
      <formula>-1</formula>
    </cfRule>
  </conditionalFormatting>
  <conditionalFormatting sqref="BJ48">
    <cfRule type="cellIs" dxfId="3262" priority="146494" stopIfTrue="1" operator="lessThan">
      <formula>0.5</formula>
    </cfRule>
  </conditionalFormatting>
  <conditionalFormatting sqref="BJ48">
    <cfRule type="cellIs" dxfId="3261" priority="146495" stopIfTrue="1" operator="greaterThanOrEqual">
      <formula>0.5</formula>
    </cfRule>
  </conditionalFormatting>
  <conditionalFormatting sqref="BJ49">
    <cfRule type="cellIs" dxfId="3260" priority="146496" stopIfTrue="1" operator="equal">
      <formula>-1</formula>
    </cfRule>
  </conditionalFormatting>
  <conditionalFormatting sqref="BJ49">
    <cfRule type="cellIs" dxfId="3259" priority="146497" stopIfTrue="1" operator="lessThan">
      <formula>0.5</formula>
    </cfRule>
  </conditionalFormatting>
  <conditionalFormatting sqref="BJ49">
    <cfRule type="cellIs" dxfId="3258" priority="146498" stopIfTrue="1" operator="greaterThanOrEqual">
      <formula>0.5</formula>
    </cfRule>
  </conditionalFormatting>
  <conditionalFormatting sqref="BJ50">
    <cfRule type="cellIs" dxfId="3257" priority="146499" stopIfTrue="1" operator="equal">
      <formula>-1</formula>
    </cfRule>
  </conditionalFormatting>
  <conditionalFormatting sqref="BJ50">
    <cfRule type="cellIs" dxfId="3256" priority="146500" stopIfTrue="1" operator="lessThan">
      <formula>0.5</formula>
    </cfRule>
  </conditionalFormatting>
  <conditionalFormatting sqref="BJ50">
    <cfRule type="cellIs" dxfId="3255" priority="146501" stopIfTrue="1" operator="greaterThanOrEqual">
      <formula>0.5</formula>
    </cfRule>
  </conditionalFormatting>
  <conditionalFormatting sqref="BJ51">
    <cfRule type="cellIs" dxfId="3254" priority="146502" stopIfTrue="1" operator="equal">
      <formula>-1</formula>
    </cfRule>
  </conditionalFormatting>
  <conditionalFormatting sqref="BJ51">
    <cfRule type="cellIs" dxfId="3253" priority="146503" stopIfTrue="1" operator="lessThan">
      <formula>0.5</formula>
    </cfRule>
  </conditionalFormatting>
  <conditionalFormatting sqref="BJ51">
    <cfRule type="cellIs" dxfId="3252" priority="146504" stopIfTrue="1" operator="greaterThanOrEqual">
      <formula>0.5</formula>
    </cfRule>
  </conditionalFormatting>
  <conditionalFormatting sqref="BJ52">
    <cfRule type="cellIs" dxfId="3251" priority="146505" stopIfTrue="1" operator="equal">
      <formula>-1</formula>
    </cfRule>
  </conditionalFormatting>
  <conditionalFormatting sqref="BJ52">
    <cfRule type="cellIs" dxfId="3250" priority="146506" stopIfTrue="1" operator="lessThan">
      <formula>0.5</formula>
    </cfRule>
  </conditionalFormatting>
  <conditionalFormatting sqref="BJ52">
    <cfRule type="cellIs" dxfId="3249" priority="146507" stopIfTrue="1" operator="greaterThanOrEqual">
      <formula>0.5</formula>
    </cfRule>
  </conditionalFormatting>
  <conditionalFormatting sqref="BJ53">
    <cfRule type="cellIs" dxfId="3248" priority="146508" stopIfTrue="1" operator="equal">
      <formula>-1</formula>
    </cfRule>
  </conditionalFormatting>
  <conditionalFormatting sqref="BJ53">
    <cfRule type="cellIs" dxfId="3247" priority="146509" stopIfTrue="1" operator="lessThan">
      <formula>0.5</formula>
    </cfRule>
  </conditionalFormatting>
  <conditionalFormatting sqref="BJ53">
    <cfRule type="cellIs" dxfId="3246" priority="146510" stopIfTrue="1" operator="greaterThanOrEqual">
      <formula>0.5</formula>
    </cfRule>
  </conditionalFormatting>
  <conditionalFormatting sqref="BJ54">
    <cfRule type="cellIs" dxfId="3245" priority="146511" stopIfTrue="1" operator="equal">
      <formula>-1</formula>
    </cfRule>
  </conditionalFormatting>
  <conditionalFormatting sqref="BJ54">
    <cfRule type="cellIs" dxfId="3244" priority="146512" stopIfTrue="1" operator="lessThan">
      <formula>0.5</formula>
    </cfRule>
  </conditionalFormatting>
  <conditionalFormatting sqref="BJ54">
    <cfRule type="cellIs" dxfId="3243" priority="146513" stopIfTrue="1" operator="greaterThanOrEqual">
      <formula>0.5</formula>
    </cfRule>
  </conditionalFormatting>
  <conditionalFormatting sqref="BJ55">
    <cfRule type="cellIs" dxfId="3242" priority="146514" stopIfTrue="1" operator="equal">
      <formula>-1</formula>
    </cfRule>
  </conditionalFormatting>
  <conditionalFormatting sqref="BJ55">
    <cfRule type="cellIs" dxfId="3241" priority="146515" stopIfTrue="1" operator="lessThan">
      <formula>0.5</formula>
    </cfRule>
  </conditionalFormatting>
  <conditionalFormatting sqref="BJ55">
    <cfRule type="cellIs" dxfId="3240" priority="146516" stopIfTrue="1" operator="greaterThanOrEqual">
      <formula>0.5</formula>
    </cfRule>
  </conditionalFormatting>
  <conditionalFormatting sqref="BJ56">
    <cfRule type="cellIs" dxfId="3239" priority="146517" stopIfTrue="1" operator="equal">
      <formula>-1</formula>
    </cfRule>
  </conditionalFormatting>
  <conditionalFormatting sqref="BJ56">
    <cfRule type="cellIs" dxfId="3238" priority="146518" stopIfTrue="1" operator="lessThan">
      <formula>0.5</formula>
    </cfRule>
  </conditionalFormatting>
  <conditionalFormatting sqref="BJ56">
    <cfRule type="cellIs" dxfId="3237" priority="146519" stopIfTrue="1" operator="greaterThanOrEqual">
      <formula>0.5</formula>
    </cfRule>
  </conditionalFormatting>
  <conditionalFormatting sqref="BJ57">
    <cfRule type="cellIs" dxfId="3236" priority="146520" stopIfTrue="1" operator="equal">
      <formula>-1</formula>
    </cfRule>
  </conditionalFormatting>
  <conditionalFormatting sqref="BJ57">
    <cfRule type="cellIs" dxfId="3235" priority="146521" stopIfTrue="1" operator="lessThan">
      <formula>0.5</formula>
    </cfRule>
  </conditionalFormatting>
  <conditionalFormatting sqref="BJ57">
    <cfRule type="cellIs" dxfId="3234" priority="146522" stopIfTrue="1" operator="greaterThanOrEqual">
      <formula>0.5</formula>
    </cfRule>
  </conditionalFormatting>
  <conditionalFormatting sqref="BJ58">
    <cfRule type="cellIs" dxfId="3233" priority="146523" stopIfTrue="1" operator="equal">
      <formula>-1</formula>
    </cfRule>
  </conditionalFormatting>
  <conditionalFormatting sqref="BJ58">
    <cfRule type="cellIs" dxfId="3232" priority="146524" stopIfTrue="1" operator="lessThan">
      <formula>0.5</formula>
    </cfRule>
  </conditionalFormatting>
  <conditionalFormatting sqref="BJ58">
    <cfRule type="cellIs" dxfId="3231" priority="146525" stopIfTrue="1" operator="greaterThanOrEqual">
      <formula>0.5</formula>
    </cfRule>
  </conditionalFormatting>
  <conditionalFormatting sqref="D60">
    <cfRule type="cellIs" dxfId="3230" priority="146526" stopIfTrue="1" operator="equal">
      <formula>-1</formula>
    </cfRule>
  </conditionalFormatting>
  <conditionalFormatting sqref="D60">
    <cfRule type="cellIs" dxfId="3229" priority="146527" stopIfTrue="1" operator="lessThan">
      <formula>0.5</formula>
    </cfRule>
  </conditionalFormatting>
  <conditionalFormatting sqref="D60">
    <cfRule type="cellIs" dxfId="3228" priority="146528" stopIfTrue="1" operator="greaterThanOrEqual">
      <formula>0.5</formula>
    </cfRule>
  </conditionalFormatting>
  <conditionalFormatting sqref="D61">
    <cfRule type="cellIs" dxfId="3227" priority="146529" stopIfTrue="1" operator="equal">
      <formula>-1</formula>
    </cfRule>
  </conditionalFormatting>
  <conditionalFormatting sqref="D61">
    <cfRule type="cellIs" dxfId="3226" priority="146530" stopIfTrue="1" operator="lessThan">
      <formula>0.5</formula>
    </cfRule>
  </conditionalFormatting>
  <conditionalFormatting sqref="D61">
    <cfRule type="cellIs" dxfId="3225" priority="146531" stopIfTrue="1" operator="greaterThanOrEqual">
      <formula>0.5</formula>
    </cfRule>
  </conditionalFormatting>
  <conditionalFormatting sqref="D62">
    <cfRule type="cellIs" dxfId="3224" priority="146532" stopIfTrue="1" operator="equal">
      <formula>-1</formula>
    </cfRule>
  </conditionalFormatting>
  <conditionalFormatting sqref="D62">
    <cfRule type="cellIs" dxfId="3223" priority="146533" stopIfTrue="1" operator="lessThan">
      <formula>0.5</formula>
    </cfRule>
  </conditionalFormatting>
  <conditionalFormatting sqref="D62">
    <cfRule type="cellIs" dxfId="3222" priority="146534" stopIfTrue="1" operator="greaterThanOrEqual">
      <formula>0.5</formula>
    </cfRule>
  </conditionalFormatting>
  <conditionalFormatting sqref="D63">
    <cfRule type="cellIs" dxfId="3221" priority="146535" stopIfTrue="1" operator="equal">
      <formula>-1</formula>
    </cfRule>
  </conditionalFormatting>
  <conditionalFormatting sqref="D63">
    <cfRule type="cellIs" dxfId="3220" priority="146536" stopIfTrue="1" operator="lessThan">
      <formula>0.5</formula>
    </cfRule>
  </conditionalFormatting>
  <conditionalFormatting sqref="D63">
    <cfRule type="cellIs" dxfId="3219" priority="146537" stopIfTrue="1" operator="greaterThanOrEqual">
      <formula>0.5</formula>
    </cfRule>
  </conditionalFormatting>
  <conditionalFormatting sqref="F60">
    <cfRule type="cellIs" dxfId="3218" priority="146538" stopIfTrue="1" operator="equal">
      <formula>-1</formula>
    </cfRule>
  </conditionalFormatting>
  <conditionalFormatting sqref="F60">
    <cfRule type="cellIs" dxfId="3217" priority="146539" stopIfTrue="1" operator="lessThan">
      <formula>0.5</formula>
    </cfRule>
  </conditionalFormatting>
  <conditionalFormatting sqref="F60">
    <cfRule type="cellIs" dxfId="3216" priority="146540" stopIfTrue="1" operator="greaterThanOrEqual">
      <formula>0.5</formula>
    </cfRule>
  </conditionalFormatting>
  <conditionalFormatting sqref="F61">
    <cfRule type="cellIs" dxfId="3215" priority="146541" stopIfTrue="1" operator="equal">
      <formula>-1</formula>
    </cfRule>
  </conditionalFormatting>
  <conditionalFormatting sqref="F61">
    <cfRule type="cellIs" dxfId="3214" priority="146542" stopIfTrue="1" operator="lessThan">
      <formula>0.5</formula>
    </cfRule>
  </conditionalFormatting>
  <conditionalFormatting sqref="F61">
    <cfRule type="cellIs" dxfId="3213" priority="146543" stopIfTrue="1" operator="greaterThanOrEqual">
      <formula>0.5</formula>
    </cfRule>
  </conditionalFormatting>
  <conditionalFormatting sqref="F62">
    <cfRule type="cellIs" dxfId="3212" priority="146544" stopIfTrue="1" operator="equal">
      <formula>-1</formula>
    </cfRule>
  </conditionalFormatting>
  <conditionalFormatting sqref="F62">
    <cfRule type="cellIs" dxfId="3211" priority="146545" stopIfTrue="1" operator="lessThan">
      <formula>0.5</formula>
    </cfRule>
  </conditionalFormatting>
  <conditionalFormatting sqref="F62">
    <cfRule type="cellIs" dxfId="3210" priority="146546" stopIfTrue="1" operator="greaterThanOrEqual">
      <formula>0.5</formula>
    </cfRule>
  </conditionalFormatting>
  <conditionalFormatting sqref="F63">
    <cfRule type="cellIs" dxfId="3209" priority="146547" stopIfTrue="1" operator="equal">
      <formula>-1</formula>
    </cfRule>
  </conditionalFormatting>
  <conditionalFormatting sqref="F63">
    <cfRule type="cellIs" dxfId="3208" priority="146548" stopIfTrue="1" operator="lessThan">
      <formula>0.5</formula>
    </cfRule>
  </conditionalFormatting>
  <conditionalFormatting sqref="F63">
    <cfRule type="cellIs" dxfId="3207" priority="146549" stopIfTrue="1" operator="greaterThanOrEqual">
      <formula>0.5</formula>
    </cfRule>
  </conditionalFormatting>
  <conditionalFormatting sqref="H60">
    <cfRule type="cellIs" dxfId="3206" priority="146550" stopIfTrue="1" operator="equal">
      <formula>-1</formula>
    </cfRule>
  </conditionalFormatting>
  <conditionalFormatting sqref="H60">
    <cfRule type="cellIs" dxfId="3205" priority="146551" stopIfTrue="1" operator="lessThan">
      <formula>0.5</formula>
    </cfRule>
  </conditionalFormatting>
  <conditionalFormatting sqref="H60">
    <cfRule type="cellIs" dxfId="3204" priority="146552" stopIfTrue="1" operator="greaterThanOrEqual">
      <formula>0.5</formula>
    </cfRule>
  </conditionalFormatting>
  <conditionalFormatting sqref="H61">
    <cfRule type="cellIs" dxfId="3203" priority="146553" stopIfTrue="1" operator="equal">
      <formula>-1</formula>
    </cfRule>
  </conditionalFormatting>
  <conditionalFormatting sqref="H61">
    <cfRule type="cellIs" dxfId="3202" priority="146554" stopIfTrue="1" operator="lessThan">
      <formula>0.5</formula>
    </cfRule>
  </conditionalFormatting>
  <conditionalFormatting sqref="H61">
    <cfRule type="cellIs" dxfId="3201" priority="146555" stopIfTrue="1" operator="greaterThanOrEqual">
      <formula>0.5</formula>
    </cfRule>
  </conditionalFormatting>
  <conditionalFormatting sqref="H62">
    <cfRule type="cellIs" dxfId="3200" priority="146556" stopIfTrue="1" operator="equal">
      <formula>-1</formula>
    </cfRule>
  </conditionalFormatting>
  <conditionalFormatting sqref="H62">
    <cfRule type="cellIs" dxfId="3199" priority="146557" stopIfTrue="1" operator="lessThan">
      <formula>0.5</formula>
    </cfRule>
  </conditionalFormatting>
  <conditionalFormatting sqref="H62">
    <cfRule type="cellIs" dxfId="3198" priority="146558" stopIfTrue="1" operator="greaterThanOrEqual">
      <formula>0.5</formula>
    </cfRule>
  </conditionalFormatting>
  <conditionalFormatting sqref="H63">
    <cfRule type="cellIs" dxfId="3197" priority="146559" stopIfTrue="1" operator="equal">
      <formula>-1</formula>
    </cfRule>
  </conditionalFormatting>
  <conditionalFormatting sqref="H63">
    <cfRule type="cellIs" dxfId="3196" priority="146560" stopIfTrue="1" operator="lessThan">
      <formula>0.5</formula>
    </cfRule>
  </conditionalFormatting>
  <conditionalFormatting sqref="H63">
    <cfRule type="cellIs" dxfId="3195" priority="146561" stopIfTrue="1" operator="greaterThanOrEqual">
      <formula>0.5</formula>
    </cfRule>
  </conditionalFormatting>
  <conditionalFormatting sqref="J60">
    <cfRule type="cellIs" dxfId="3194" priority="146562" stopIfTrue="1" operator="equal">
      <formula>-1</formula>
    </cfRule>
  </conditionalFormatting>
  <conditionalFormatting sqref="J60">
    <cfRule type="cellIs" dxfId="3193" priority="146563" stopIfTrue="1" operator="lessThan">
      <formula>0.5</formula>
    </cfRule>
  </conditionalFormatting>
  <conditionalFormatting sqref="J60">
    <cfRule type="cellIs" dxfId="3192" priority="146564" stopIfTrue="1" operator="greaterThanOrEqual">
      <formula>0.5</formula>
    </cfRule>
  </conditionalFormatting>
  <conditionalFormatting sqref="J61">
    <cfRule type="cellIs" dxfId="3191" priority="146565" stopIfTrue="1" operator="equal">
      <formula>-1</formula>
    </cfRule>
  </conditionalFormatting>
  <conditionalFormatting sqref="J61">
    <cfRule type="cellIs" dxfId="3190" priority="146566" stopIfTrue="1" operator="lessThan">
      <formula>0.5</formula>
    </cfRule>
  </conditionalFormatting>
  <conditionalFormatting sqref="J61">
    <cfRule type="cellIs" dxfId="3189" priority="146567" stopIfTrue="1" operator="greaterThanOrEqual">
      <formula>0.5</formula>
    </cfRule>
  </conditionalFormatting>
  <conditionalFormatting sqref="J62">
    <cfRule type="cellIs" dxfId="3188" priority="146568" stopIfTrue="1" operator="equal">
      <formula>-1</formula>
    </cfRule>
  </conditionalFormatting>
  <conditionalFormatting sqref="J62">
    <cfRule type="cellIs" dxfId="3187" priority="146569" stopIfTrue="1" operator="lessThan">
      <formula>0.5</formula>
    </cfRule>
  </conditionalFormatting>
  <conditionalFormatting sqref="J62">
    <cfRule type="cellIs" dxfId="3186" priority="146570" stopIfTrue="1" operator="greaterThanOrEqual">
      <formula>0.5</formula>
    </cfRule>
  </conditionalFormatting>
  <conditionalFormatting sqref="J63">
    <cfRule type="cellIs" dxfId="3185" priority="146571" stopIfTrue="1" operator="equal">
      <formula>-1</formula>
    </cfRule>
  </conditionalFormatting>
  <conditionalFormatting sqref="J63">
    <cfRule type="cellIs" dxfId="3184" priority="146572" stopIfTrue="1" operator="lessThan">
      <formula>0.5</formula>
    </cfRule>
  </conditionalFormatting>
  <conditionalFormatting sqref="J63">
    <cfRule type="cellIs" dxfId="3183" priority="146573" stopIfTrue="1" operator="greaterThanOrEqual">
      <formula>0.5</formula>
    </cfRule>
  </conditionalFormatting>
  <conditionalFormatting sqref="L60">
    <cfRule type="cellIs" dxfId="3182" priority="146574" stopIfTrue="1" operator="equal">
      <formula>-1</formula>
    </cfRule>
  </conditionalFormatting>
  <conditionalFormatting sqref="L60">
    <cfRule type="cellIs" dxfId="3181" priority="146575" stopIfTrue="1" operator="lessThan">
      <formula>0.5</formula>
    </cfRule>
  </conditionalFormatting>
  <conditionalFormatting sqref="L60">
    <cfRule type="cellIs" dxfId="3180" priority="146576" stopIfTrue="1" operator="greaterThanOrEqual">
      <formula>0.5</formula>
    </cfRule>
  </conditionalFormatting>
  <conditionalFormatting sqref="L61">
    <cfRule type="cellIs" dxfId="3179" priority="146577" stopIfTrue="1" operator="equal">
      <formula>-1</formula>
    </cfRule>
  </conditionalFormatting>
  <conditionalFormatting sqref="L61">
    <cfRule type="cellIs" dxfId="3178" priority="146578" stopIfTrue="1" operator="lessThan">
      <formula>0.5</formula>
    </cfRule>
  </conditionalFormatting>
  <conditionalFormatting sqref="L61">
    <cfRule type="cellIs" dxfId="3177" priority="146579" stopIfTrue="1" operator="greaterThanOrEqual">
      <formula>0.5</formula>
    </cfRule>
  </conditionalFormatting>
  <conditionalFormatting sqref="L62">
    <cfRule type="cellIs" dxfId="3176" priority="146580" stopIfTrue="1" operator="equal">
      <formula>-1</formula>
    </cfRule>
  </conditionalFormatting>
  <conditionalFormatting sqref="L62">
    <cfRule type="cellIs" dxfId="3175" priority="146581" stopIfTrue="1" operator="lessThan">
      <formula>0.5</formula>
    </cfRule>
  </conditionalFormatting>
  <conditionalFormatting sqref="L62">
    <cfRule type="cellIs" dxfId="3174" priority="146582" stopIfTrue="1" operator="greaterThanOrEqual">
      <formula>0.5</formula>
    </cfRule>
  </conditionalFormatting>
  <conditionalFormatting sqref="L63">
    <cfRule type="cellIs" dxfId="3173" priority="146583" stopIfTrue="1" operator="equal">
      <formula>-1</formula>
    </cfRule>
  </conditionalFormatting>
  <conditionalFormatting sqref="L63">
    <cfRule type="cellIs" dxfId="3172" priority="146584" stopIfTrue="1" operator="lessThan">
      <formula>0.5</formula>
    </cfRule>
  </conditionalFormatting>
  <conditionalFormatting sqref="L63">
    <cfRule type="cellIs" dxfId="3171" priority="146585" stopIfTrue="1" operator="greaterThanOrEqual">
      <formula>0.5</formula>
    </cfRule>
  </conditionalFormatting>
  <conditionalFormatting sqref="N60">
    <cfRule type="cellIs" dxfId="3170" priority="146586" stopIfTrue="1" operator="equal">
      <formula>-1</formula>
    </cfRule>
  </conditionalFormatting>
  <conditionalFormatting sqref="N60">
    <cfRule type="cellIs" dxfId="3169" priority="146587" stopIfTrue="1" operator="lessThan">
      <formula>0.5</formula>
    </cfRule>
  </conditionalFormatting>
  <conditionalFormatting sqref="N60">
    <cfRule type="cellIs" dxfId="3168" priority="146588" stopIfTrue="1" operator="greaterThanOrEqual">
      <formula>0.5</formula>
    </cfRule>
  </conditionalFormatting>
  <conditionalFormatting sqref="N61">
    <cfRule type="cellIs" dxfId="3167" priority="146589" stopIfTrue="1" operator="equal">
      <formula>-1</formula>
    </cfRule>
  </conditionalFormatting>
  <conditionalFormatting sqref="N61">
    <cfRule type="cellIs" dxfId="3166" priority="146590" stopIfTrue="1" operator="lessThan">
      <formula>0.5</formula>
    </cfRule>
  </conditionalFormatting>
  <conditionalFormatting sqref="N61">
    <cfRule type="cellIs" dxfId="3165" priority="146591" stopIfTrue="1" operator="greaterThanOrEqual">
      <formula>0.5</formula>
    </cfRule>
  </conditionalFormatting>
  <conditionalFormatting sqref="N62">
    <cfRule type="cellIs" dxfId="3164" priority="146592" stopIfTrue="1" operator="equal">
      <formula>-1</formula>
    </cfRule>
  </conditionalFormatting>
  <conditionalFormatting sqref="N62">
    <cfRule type="cellIs" dxfId="3163" priority="146593" stopIfTrue="1" operator="lessThan">
      <formula>0.5</formula>
    </cfRule>
  </conditionalFormatting>
  <conditionalFormatting sqref="N62">
    <cfRule type="cellIs" dxfId="3162" priority="146594" stopIfTrue="1" operator="greaterThanOrEqual">
      <formula>0.5</formula>
    </cfRule>
  </conditionalFormatting>
  <conditionalFormatting sqref="N63">
    <cfRule type="cellIs" dxfId="3161" priority="146595" stopIfTrue="1" operator="equal">
      <formula>-1</formula>
    </cfRule>
  </conditionalFormatting>
  <conditionalFormatting sqref="N63">
    <cfRule type="cellIs" dxfId="3160" priority="146596" stopIfTrue="1" operator="lessThan">
      <formula>0.5</formula>
    </cfRule>
  </conditionalFormatting>
  <conditionalFormatting sqref="N63">
    <cfRule type="cellIs" dxfId="3159" priority="146597" stopIfTrue="1" operator="greaterThanOrEqual">
      <formula>0.5</formula>
    </cfRule>
  </conditionalFormatting>
  <conditionalFormatting sqref="P60">
    <cfRule type="cellIs" dxfId="3158" priority="146598" stopIfTrue="1" operator="equal">
      <formula>-1</formula>
    </cfRule>
  </conditionalFormatting>
  <conditionalFormatting sqref="P60">
    <cfRule type="cellIs" dxfId="3157" priority="146599" stopIfTrue="1" operator="lessThan">
      <formula>0.5</formula>
    </cfRule>
  </conditionalFormatting>
  <conditionalFormatting sqref="P60">
    <cfRule type="cellIs" dxfId="3156" priority="146600" stopIfTrue="1" operator="greaterThanOrEqual">
      <formula>0.5</formula>
    </cfRule>
  </conditionalFormatting>
  <conditionalFormatting sqref="P61">
    <cfRule type="cellIs" dxfId="3155" priority="146601" stopIfTrue="1" operator="equal">
      <formula>-1</formula>
    </cfRule>
  </conditionalFormatting>
  <conditionalFormatting sqref="P61">
    <cfRule type="cellIs" dxfId="3154" priority="146602" stopIfTrue="1" operator="lessThan">
      <formula>0.5</formula>
    </cfRule>
  </conditionalFormatting>
  <conditionalFormatting sqref="P61">
    <cfRule type="cellIs" dxfId="3153" priority="146603" stopIfTrue="1" operator="greaterThanOrEqual">
      <formula>0.5</formula>
    </cfRule>
  </conditionalFormatting>
  <conditionalFormatting sqref="P62">
    <cfRule type="cellIs" dxfId="3152" priority="146604" stopIfTrue="1" operator="equal">
      <formula>-1</formula>
    </cfRule>
  </conditionalFormatting>
  <conditionalFormatting sqref="P62">
    <cfRule type="cellIs" dxfId="3151" priority="146605" stopIfTrue="1" operator="lessThan">
      <formula>0.5</formula>
    </cfRule>
  </conditionalFormatting>
  <conditionalFormatting sqref="P62">
    <cfRule type="cellIs" dxfId="3150" priority="146606" stopIfTrue="1" operator="greaterThanOrEqual">
      <formula>0.5</formula>
    </cfRule>
  </conditionalFormatting>
  <conditionalFormatting sqref="P63">
    <cfRule type="cellIs" dxfId="3149" priority="146607" stopIfTrue="1" operator="equal">
      <formula>-1</formula>
    </cfRule>
  </conditionalFormatting>
  <conditionalFormatting sqref="P63">
    <cfRule type="cellIs" dxfId="3148" priority="146608" stopIfTrue="1" operator="lessThan">
      <formula>0.5</formula>
    </cfRule>
  </conditionalFormatting>
  <conditionalFormatting sqref="P63">
    <cfRule type="cellIs" dxfId="3147" priority="146609" stopIfTrue="1" operator="greaterThanOrEqual">
      <formula>0.5</formula>
    </cfRule>
  </conditionalFormatting>
  <conditionalFormatting sqref="R60">
    <cfRule type="cellIs" dxfId="3146" priority="146610" stopIfTrue="1" operator="equal">
      <formula>-1</formula>
    </cfRule>
  </conditionalFormatting>
  <conditionalFormatting sqref="R60">
    <cfRule type="cellIs" dxfId="3145" priority="146611" stopIfTrue="1" operator="lessThan">
      <formula>0.5</formula>
    </cfRule>
  </conditionalFormatting>
  <conditionalFormatting sqref="R60">
    <cfRule type="cellIs" dxfId="3144" priority="146612" stopIfTrue="1" operator="greaterThanOrEqual">
      <formula>0.5</formula>
    </cfRule>
  </conditionalFormatting>
  <conditionalFormatting sqref="R61">
    <cfRule type="cellIs" dxfId="3143" priority="146613" stopIfTrue="1" operator="equal">
      <formula>-1</formula>
    </cfRule>
  </conditionalFormatting>
  <conditionalFormatting sqref="R61">
    <cfRule type="cellIs" dxfId="3142" priority="146614" stopIfTrue="1" operator="lessThan">
      <formula>0.5</formula>
    </cfRule>
  </conditionalFormatting>
  <conditionalFormatting sqref="R61">
    <cfRule type="cellIs" dxfId="3141" priority="146615" stopIfTrue="1" operator="greaterThanOrEqual">
      <formula>0.5</formula>
    </cfRule>
  </conditionalFormatting>
  <conditionalFormatting sqref="R62">
    <cfRule type="cellIs" dxfId="3140" priority="146616" stopIfTrue="1" operator="equal">
      <formula>-1</formula>
    </cfRule>
  </conditionalFormatting>
  <conditionalFormatting sqref="R62">
    <cfRule type="cellIs" dxfId="3139" priority="146617" stopIfTrue="1" operator="lessThan">
      <formula>0.5</formula>
    </cfRule>
  </conditionalFormatting>
  <conditionalFormatting sqref="R62">
    <cfRule type="cellIs" dxfId="3138" priority="146618" stopIfTrue="1" operator="greaterThanOrEqual">
      <formula>0.5</formula>
    </cfRule>
  </conditionalFormatting>
  <conditionalFormatting sqref="R63">
    <cfRule type="cellIs" dxfId="3137" priority="146619" stopIfTrue="1" operator="equal">
      <formula>-1</formula>
    </cfRule>
  </conditionalFormatting>
  <conditionalFormatting sqref="R63">
    <cfRule type="cellIs" dxfId="3136" priority="146620" stopIfTrue="1" operator="lessThan">
      <formula>0.5</formula>
    </cfRule>
  </conditionalFormatting>
  <conditionalFormatting sqref="R63">
    <cfRule type="cellIs" dxfId="3135" priority="146621" stopIfTrue="1" operator="greaterThanOrEqual">
      <formula>0.5</formula>
    </cfRule>
  </conditionalFormatting>
  <conditionalFormatting sqref="T60">
    <cfRule type="cellIs" dxfId="3134" priority="146622" stopIfTrue="1" operator="equal">
      <formula>-1</formula>
    </cfRule>
  </conditionalFormatting>
  <conditionalFormatting sqref="T60">
    <cfRule type="cellIs" dxfId="3133" priority="146623" stopIfTrue="1" operator="lessThan">
      <formula>0.5</formula>
    </cfRule>
  </conditionalFormatting>
  <conditionalFormatting sqref="T60">
    <cfRule type="cellIs" dxfId="3132" priority="146624" stopIfTrue="1" operator="greaterThanOrEqual">
      <formula>0.5</formula>
    </cfRule>
  </conditionalFormatting>
  <conditionalFormatting sqref="T61">
    <cfRule type="cellIs" dxfId="3131" priority="146625" stopIfTrue="1" operator="equal">
      <formula>-1</formula>
    </cfRule>
  </conditionalFormatting>
  <conditionalFormatting sqref="T61">
    <cfRule type="cellIs" dxfId="3130" priority="146626" stopIfTrue="1" operator="lessThan">
      <formula>0.5</formula>
    </cfRule>
  </conditionalFormatting>
  <conditionalFormatting sqref="T61">
    <cfRule type="cellIs" dxfId="3129" priority="146627" stopIfTrue="1" operator="greaterThanOrEqual">
      <formula>0.5</formula>
    </cfRule>
  </conditionalFormatting>
  <conditionalFormatting sqref="T62">
    <cfRule type="cellIs" dxfId="3128" priority="146628" stopIfTrue="1" operator="equal">
      <formula>-1</formula>
    </cfRule>
  </conditionalFormatting>
  <conditionalFormatting sqref="T62">
    <cfRule type="cellIs" dxfId="3127" priority="146629" stopIfTrue="1" operator="lessThan">
      <formula>0.5</formula>
    </cfRule>
  </conditionalFormatting>
  <conditionalFormatting sqref="T62">
    <cfRule type="cellIs" dxfId="3126" priority="146630" stopIfTrue="1" operator="greaterThanOrEqual">
      <formula>0.5</formula>
    </cfRule>
  </conditionalFormatting>
  <conditionalFormatting sqref="T63">
    <cfRule type="cellIs" dxfId="3125" priority="146631" stopIfTrue="1" operator="equal">
      <formula>-1</formula>
    </cfRule>
  </conditionalFormatting>
  <conditionalFormatting sqref="T63">
    <cfRule type="cellIs" dxfId="3124" priority="146632" stopIfTrue="1" operator="lessThan">
      <formula>0.5</formula>
    </cfRule>
  </conditionalFormatting>
  <conditionalFormatting sqref="T63">
    <cfRule type="cellIs" dxfId="3123" priority="146633" stopIfTrue="1" operator="greaterThanOrEqual">
      <formula>0.5</formula>
    </cfRule>
  </conditionalFormatting>
  <conditionalFormatting sqref="V60">
    <cfRule type="cellIs" dxfId="3122" priority="146634" stopIfTrue="1" operator="equal">
      <formula>-1</formula>
    </cfRule>
  </conditionalFormatting>
  <conditionalFormatting sqref="V60">
    <cfRule type="cellIs" dxfId="3121" priority="146635" stopIfTrue="1" operator="lessThan">
      <formula>0.5</formula>
    </cfRule>
  </conditionalFormatting>
  <conditionalFormatting sqref="V60">
    <cfRule type="cellIs" dxfId="3120" priority="146636" stopIfTrue="1" operator="greaterThanOrEqual">
      <formula>0.5</formula>
    </cfRule>
  </conditionalFormatting>
  <conditionalFormatting sqref="V61">
    <cfRule type="cellIs" dxfId="3119" priority="146637" stopIfTrue="1" operator="equal">
      <formula>-1</formula>
    </cfRule>
  </conditionalFormatting>
  <conditionalFormatting sqref="V61">
    <cfRule type="cellIs" dxfId="3118" priority="146638" stopIfTrue="1" operator="lessThan">
      <formula>0.5</formula>
    </cfRule>
  </conditionalFormatting>
  <conditionalFormatting sqref="V61">
    <cfRule type="cellIs" dxfId="3117" priority="146639" stopIfTrue="1" operator="greaterThanOrEqual">
      <formula>0.5</formula>
    </cfRule>
  </conditionalFormatting>
  <conditionalFormatting sqref="V62">
    <cfRule type="cellIs" dxfId="3116" priority="146640" stopIfTrue="1" operator="equal">
      <formula>-1</formula>
    </cfRule>
  </conditionalFormatting>
  <conditionalFormatting sqref="V62">
    <cfRule type="cellIs" dxfId="3115" priority="146641" stopIfTrue="1" operator="lessThan">
      <formula>0.5</formula>
    </cfRule>
  </conditionalFormatting>
  <conditionalFormatting sqref="V62">
    <cfRule type="cellIs" dxfId="3114" priority="146642" stopIfTrue="1" operator="greaterThanOrEqual">
      <formula>0.5</formula>
    </cfRule>
  </conditionalFormatting>
  <conditionalFormatting sqref="V63">
    <cfRule type="cellIs" dxfId="3113" priority="146643" stopIfTrue="1" operator="equal">
      <formula>-1</formula>
    </cfRule>
  </conditionalFormatting>
  <conditionalFormatting sqref="V63">
    <cfRule type="cellIs" dxfId="3112" priority="146644" stopIfTrue="1" operator="lessThan">
      <formula>0.5</formula>
    </cfRule>
  </conditionalFormatting>
  <conditionalFormatting sqref="V63">
    <cfRule type="cellIs" dxfId="3111" priority="146645" stopIfTrue="1" operator="greaterThanOrEqual">
      <formula>0.5</formula>
    </cfRule>
  </conditionalFormatting>
  <conditionalFormatting sqref="X60">
    <cfRule type="cellIs" dxfId="3110" priority="146646" stopIfTrue="1" operator="equal">
      <formula>-1</formula>
    </cfRule>
  </conditionalFormatting>
  <conditionalFormatting sqref="X60">
    <cfRule type="cellIs" dxfId="3109" priority="146647" stopIfTrue="1" operator="lessThan">
      <formula>0.5</formula>
    </cfRule>
  </conditionalFormatting>
  <conditionalFormatting sqref="X60">
    <cfRule type="cellIs" dxfId="3108" priority="146648" stopIfTrue="1" operator="greaterThanOrEqual">
      <formula>0.5</formula>
    </cfRule>
  </conditionalFormatting>
  <conditionalFormatting sqref="X61">
    <cfRule type="cellIs" dxfId="3107" priority="146649" stopIfTrue="1" operator="equal">
      <formula>-1</formula>
    </cfRule>
  </conditionalFormatting>
  <conditionalFormatting sqref="X61">
    <cfRule type="cellIs" dxfId="3106" priority="146650" stopIfTrue="1" operator="lessThan">
      <formula>0.5</formula>
    </cfRule>
  </conditionalFormatting>
  <conditionalFormatting sqref="X61">
    <cfRule type="cellIs" dxfId="3105" priority="146651" stopIfTrue="1" operator="greaterThanOrEqual">
      <formula>0.5</formula>
    </cfRule>
  </conditionalFormatting>
  <conditionalFormatting sqref="X62">
    <cfRule type="cellIs" dxfId="3104" priority="146652" stopIfTrue="1" operator="equal">
      <formula>-1</formula>
    </cfRule>
  </conditionalFormatting>
  <conditionalFormatting sqref="X62">
    <cfRule type="cellIs" dxfId="3103" priority="146653" stopIfTrue="1" operator="lessThan">
      <formula>0.5</formula>
    </cfRule>
  </conditionalFormatting>
  <conditionalFormatting sqref="X62">
    <cfRule type="cellIs" dxfId="3102" priority="146654" stopIfTrue="1" operator="greaterThanOrEqual">
      <formula>0.5</formula>
    </cfRule>
  </conditionalFormatting>
  <conditionalFormatting sqref="X63">
    <cfRule type="cellIs" dxfId="3101" priority="146655" stopIfTrue="1" operator="equal">
      <formula>-1</formula>
    </cfRule>
  </conditionalFormatting>
  <conditionalFormatting sqref="X63">
    <cfRule type="cellIs" dxfId="3100" priority="146656" stopIfTrue="1" operator="lessThan">
      <formula>0.5</formula>
    </cfRule>
  </conditionalFormatting>
  <conditionalFormatting sqref="X63">
    <cfRule type="cellIs" dxfId="3099" priority="146657" stopIfTrue="1" operator="greaterThanOrEqual">
      <formula>0.5</formula>
    </cfRule>
  </conditionalFormatting>
  <conditionalFormatting sqref="Z60">
    <cfRule type="cellIs" dxfId="3098" priority="146658" stopIfTrue="1" operator="equal">
      <formula>-1</formula>
    </cfRule>
  </conditionalFormatting>
  <conditionalFormatting sqref="Z60">
    <cfRule type="cellIs" dxfId="3097" priority="146659" stopIfTrue="1" operator="lessThan">
      <formula>0.5</formula>
    </cfRule>
  </conditionalFormatting>
  <conditionalFormatting sqref="Z60">
    <cfRule type="cellIs" dxfId="3096" priority="146660" stopIfTrue="1" operator="greaterThanOrEqual">
      <formula>0.5</formula>
    </cfRule>
  </conditionalFormatting>
  <conditionalFormatting sqref="Z61">
    <cfRule type="cellIs" dxfId="3095" priority="146661" stopIfTrue="1" operator="equal">
      <formula>-1</formula>
    </cfRule>
  </conditionalFormatting>
  <conditionalFormatting sqref="Z61">
    <cfRule type="cellIs" dxfId="3094" priority="146662" stopIfTrue="1" operator="lessThan">
      <formula>0.5</formula>
    </cfRule>
  </conditionalFormatting>
  <conditionalFormatting sqref="Z61">
    <cfRule type="cellIs" dxfId="3093" priority="146663" stopIfTrue="1" operator="greaterThanOrEqual">
      <formula>0.5</formula>
    </cfRule>
  </conditionalFormatting>
  <conditionalFormatting sqref="Z62">
    <cfRule type="cellIs" dxfId="3092" priority="146664" stopIfTrue="1" operator="equal">
      <formula>-1</formula>
    </cfRule>
  </conditionalFormatting>
  <conditionalFormatting sqref="Z62">
    <cfRule type="cellIs" dxfId="3091" priority="146665" stopIfTrue="1" operator="lessThan">
      <formula>0.5</formula>
    </cfRule>
  </conditionalFormatting>
  <conditionalFormatting sqref="Z62">
    <cfRule type="cellIs" dxfId="3090" priority="146666" stopIfTrue="1" operator="greaterThanOrEqual">
      <formula>0.5</formula>
    </cfRule>
  </conditionalFormatting>
  <conditionalFormatting sqref="Z63">
    <cfRule type="cellIs" dxfId="3089" priority="146667" stopIfTrue="1" operator="equal">
      <formula>-1</formula>
    </cfRule>
  </conditionalFormatting>
  <conditionalFormatting sqref="Z63">
    <cfRule type="cellIs" dxfId="3088" priority="146668" stopIfTrue="1" operator="lessThan">
      <formula>0.5</formula>
    </cfRule>
  </conditionalFormatting>
  <conditionalFormatting sqref="Z63">
    <cfRule type="cellIs" dxfId="3087" priority="146669" stopIfTrue="1" operator="greaterThanOrEqual">
      <formula>0.5</formula>
    </cfRule>
  </conditionalFormatting>
  <conditionalFormatting sqref="AB60">
    <cfRule type="cellIs" dxfId="3086" priority="146670" stopIfTrue="1" operator="equal">
      <formula>-1</formula>
    </cfRule>
  </conditionalFormatting>
  <conditionalFormatting sqref="AB60">
    <cfRule type="cellIs" dxfId="3085" priority="146671" stopIfTrue="1" operator="lessThan">
      <formula>0.5</formula>
    </cfRule>
  </conditionalFormatting>
  <conditionalFormatting sqref="AB60">
    <cfRule type="cellIs" dxfId="3084" priority="146672" stopIfTrue="1" operator="greaterThanOrEqual">
      <formula>0.5</formula>
    </cfRule>
  </conditionalFormatting>
  <conditionalFormatting sqref="AB61">
    <cfRule type="cellIs" dxfId="3083" priority="146673" stopIfTrue="1" operator="equal">
      <formula>-1</formula>
    </cfRule>
  </conditionalFormatting>
  <conditionalFormatting sqref="AB61">
    <cfRule type="cellIs" dxfId="3082" priority="146674" stopIfTrue="1" operator="lessThan">
      <formula>0.5</formula>
    </cfRule>
  </conditionalFormatting>
  <conditionalFormatting sqref="AB61">
    <cfRule type="cellIs" dxfId="3081" priority="146675" stopIfTrue="1" operator="greaterThanOrEqual">
      <formula>0.5</formula>
    </cfRule>
  </conditionalFormatting>
  <conditionalFormatting sqref="AB62">
    <cfRule type="cellIs" dxfId="3080" priority="146676" stopIfTrue="1" operator="equal">
      <formula>-1</formula>
    </cfRule>
  </conditionalFormatting>
  <conditionalFormatting sqref="AB62">
    <cfRule type="cellIs" dxfId="3079" priority="146677" stopIfTrue="1" operator="lessThan">
      <formula>0.5</formula>
    </cfRule>
  </conditionalFormatting>
  <conditionalFormatting sqref="AB62">
    <cfRule type="cellIs" dxfId="3078" priority="146678" stopIfTrue="1" operator="greaterThanOrEqual">
      <formula>0.5</formula>
    </cfRule>
  </conditionalFormatting>
  <conditionalFormatting sqref="AB63">
    <cfRule type="cellIs" dxfId="3077" priority="146679" stopIfTrue="1" operator="equal">
      <formula>-1</formula>
    </cfRule>
  </conditionalFormatting>
  <conditionalFormatting sqref="AB63">
    <cfRule type="cellIs" dxfId="3076" priority="146680" stopIfTrue="1" operator="lessThan">
      <formula>0.5</formula>
    </cfRule>
  </conditionalFormatting>
  <conditionalFormatting sqref="AB63">
    <cfRule type="cellIs" dxfId="3075" priority="146681" stopIfTrue="1" operator="greaterThanOrEqual">
      <formula>0.5</formula>
    </cfRule>
  </conditionalFormatting>
  <conditionalFormatting sqref="AD60">
    <cfRule type="cellIs" dxfId="3074" priority="146682" stopIfTrue="1" operator="equal">
      <formula>-1</formula>
    </cfRule>
  </conditionalFormatting>
  <conditionalFormatting sqref="AD60">
    <cfRule type="cellIs" dxfId="3073" priority="146683" stopIfTrue="1" operator="lessThan">
      <formula>0.5</formula>
    </cfRule>
  </conditionalFormatting>
  <conditionalFormatting sqref="AD60">
    <cfRule type="cellIs" dxfId="3072" priority="146684" stopIfTrue="1" operator="greaterThanOrEqual">
      <formula>0.5</formula>
    </cfRule>
  </conditionalFormatting>
  <conditionalFormatting sqref="AD61">
    <cfRule type="cellIs" dxfId="3071" priority="146685" stopIfTrue="1" operator="equal">
      <formula>-1</formula>
    </cfRule>
  </conditionalFormatting>
  <conditionalFormatting sqref="AD61">
    <cfRule type="cellIs" dxfId="3070" priority="146686" stopIfTrue="1" operator="lessThan">
      <formula>0.5</formula>
    </cfRule>
  </conditionalFormatting>
  <conditionalFormatting sqref="AD61">
    <cfRule type="cellIs" dxfId="3069" priority="146687" stopIfTrue="1" operator="greaterThanOrEqual">
      <formula>0.5</formula>
    </cfRule>
  </conditionalFormatting>
  <conditionalFormatting sqref="AD62">
    <cfRule type="cellIs" dxfId="3068" priority="146688" stopIfTrue="1" operator="equal">
      <formula>-1</formula>
    </cfRule>
  </conditionalFormatting>
  <conditionalFormatting sqref="AD62">
    <cfRule type="cellIs" dxfId="3067" priority="146689" stopIfTrue="1" operator="lessThan">
      <formula>0.5</formula>
    </cfRule>
  </conditionalFormatting>
  <conditionalFormatting sqref="AD62">
    <cfRule type="cellIs" dxfId="3066" priority="146690" stopIfTrue="1" operator="greaterThanOrEqual">
      <formula>0.5</formula>
    </cfRule>
  </conditionalFormatting>
  <conditionalFormatting sqref="AD63">
    <cfRule type="cellIs" dxfId="3065" priority="146691" stopIfTrue="1" operator="equal">
      <formula>-1</formula>
    </cfRule>
  </conditionalFormatting>
  <conditionalFormatting sqref="AD63">
    <cfRule type="cellIs" dxfId="3064" priority="146692" stopIfTrue="1" operator="lessThan">
      <formula>0.5</formula>
    </cfRule>
  </conditionalFormatting>
  <conditionalFormatting sqref="AD63">
    <cfRule type="cellIs" dxfId="3063" priority="146693" stopIfTrue="1" operator="greaterThanOrEqual">
      <formula>0.5</formula>
    </cfRule>
  </conditionalFormatting>
  <conditionalFormatting sqref="AF60">
    <cfRule type="cellIs" dxfId="3062" priority="146694" stopIfTrue="1" operator="equal">
      <formula>-1</formula>
    </cfRule>
  </conditionalFormatting>
  <conditionalFormatting sqref="AF60">
    <cfRule type="cellIs" dxfId="3061" priority="146695" stopIfTrue="1" operator="lessThan">
      <formula>0.5</formula>
    </cfRule>
  </conditionalFormatting>
  <conditionalFormatting sqref="AF60">
    <cfRule type="cellIs" dxfId="3060" priority="146696" stopIfTrue="1" operator="greaterThanOrEqual">
      <formula>0.5</formula>
    </cfRule>
  </conditionalFormatting>
  <conditionalFormatting sqref="AF61">
    <cfRule type="cellIs" dxfId="3059" priority="146697" stopIfTrue="1" operator="equal">
      <formula>-1</formula>
    </cfRule>
  </conditionalFormatting>
  <conditionalFormatting sqref="AF61">
    <cfRule type="cellIs" dxfId="3058" priority="146698" stopIfTrue="1" operator="lessThan">
      <formula>0.5</formula>
    </cfRule>
  </conditionalFormatting>
  <conditionalFormatting sqref="AF61">
    <cfRule type="cellIs" dxfId="3057" priority="146699" stopIfTrue="1" operator="greaterThanOrEqual">
      <formula>0.5</formula>
    </cfRule>
  </conditionalFormatting>
  <conditionalFormatting sqref="AF62">
    <cfRule type="cellIs" dxfId="3056" priority="146700" stopIfTrue="1" operator="equal">
      <formula>-1</formula>
    </cfRule>
  </conditionalFormatting>
  <conditionalFormatting sqref="AF62">
    <cfRule type="cellIs" dxfId="3055" priority="146701" stopIfTrue="1" operator="lessThan">
      <formula>0.5</formula>
    </cfRule>
  </conditionalFormatting>
  <conditionalFormatting sqref="AF62">
    <cfRule type="cellIs" dxfId="3054" priority="146702" stopIfTrue="1" operator="greaterThanOrEqual">
      <formula>0.5</formula>
    </cfRule>
  </conditionalFormatting>
  <conditionalFormatting sqref="AF63">
    <cfRule type="cellIs" dxfId="3053" priority="146703" stopIfTrue="1" operator="equal">
      <formula>-1</formula>
    </cfRule>
  </conditionalFormatting>
  <conditionalFormatting sqref="AF63">
    <cfRule type="cellIs" dxfId="3052" priority="146704" stopIfTrue="1" operator="lessThan">
      <formula>0.5</formula>
    </cfRule>
  </conditionalFormatting>
  <conditionalFormatting sqref="AF63">
    <cfRule type="cellIs" dxfId="3051" priority="146705" stopIfTrue="1" operator="greaterThanOrEqual">
      <formula>0.5</formula>
    </cfRule>
  </conditionalFormatting>
  <conditionalFormatting sqref="AH60">
    <cfRule type="cellIs" dxfId="3050" priority="146706" stopIfTrue="1" operator="equal">
      <formula>-1</formula>
    </cfRule>
  </conditionalFormatting>
  <conditionalFormatting sqref="AH60">
    <cfRule type="cellIs" dxfId="3049" priority="146707" stopIfTrue="1" operator="lessThan">
      <formula>0.5</formula>
    </cfRule>
  </conditionalFormatting>
  <conditionalFormatting sqref="AH60">
    <cfRule type="cellIs" dxfId="3048" priority="146708" stopIfTrue="1" operator="greaterThanOrEqual">
      <formula>0.5</formula>
    </cfRule>
  </conditionalFormatting>
  <conditionalFormatting sqref="AH61">
    <cfRule type="cellIs" dxfId="3047" priority="146709" stopIfTrue="1" operator="equal">
      <formula>-1</formula>
    </cfRule>
  </conditionalFormatting>
  <conditionalFormatting sqref="AH61">
    <cfRule type="cellIs" dxfId="3046" priority="146710" stopIfTrue="1" operator="lessThan">
      <formula>0.5</formula>
    </cfRule>
  </conditionalFormatting>
  <conditionalFormatting sqref="AH61">
    <cfRule type="cellIs" dxfId="3045" priority="146711" stopIfTrue="1" operator="greaterThanOrEqual">
      <formula>0.5</formula>
    </cfRule>
  </conditionalFormatting>
  <conditionalFormatting sqref="AH62">
    <cfRule type="cellIs" dxfId="3044" priority="146712" stopIfTrue="1" operator="equal">
      <formula>-1</formula>
    </cfRule>
  </conditionalFormatting>
  <conditionalFormatting sqref="AH62">
    <cfRule type="cellIs" dxfId="3043" priority="146713" stopIfTrue="1" operator="lessThan">
      <formula>0.5</formula>
    </cfRule>
  </conditionalFormatting>
  <conditionalFormatting sqref="AH62">
    <cfRule type="cellIs" dxfId="3042" priority="146714" stopIfTrue="1" operator="greaterThanOrEqual">
      <formula>0.5</formula>
    </cfRule>
  </conditionalFormatting>
  <conditionalFormatting sqref="AH63">
    <cfRule type="cellIs" dxfId="3041" priority="146715" stopIfTrue="1" operator="equal">
      <formula>-1</formula>
    </cfRule>
  </conditionalFormatting>
  <conditionalFormatting sqref="AH63">
    <cfRule type="cellIs" dxfId="3040" priority="146716" stopIfTrue="1" operator="lessThan">
      <formula>0.5</formula>
    </cfRule>
  </conditionalFormatting>
  <conditionalFormatting sqref="AH63">
    <cfRule type="cellIs" dxfId="3039" priority="146717" stopIfTrue="1" operator="greaterThanOrEqual">
      <formula>0.5</formula>
    </cfRule>
  </conditionalFormatting>
  <conditionalFormatting sqref="AJ60">
    <cfRule type="cellIs" dxfId="3038" priority="146718" stopIfTrue="1" operator="equal">
      <formula>-1</formula>
    </cfRule>
  </conditionalFormatting>
  <conditionalFormatting sqref="AJ60">
    <cfRule type="cellIs" dxfId="3037" priority="146719" stopIfTrue="1" operator="lessThan">
      <formula>0.5</formula>
    </cfRule>
  </conditionalFormatting>
  <conditionalFormatting sqref="AJ60">
    <cfRule type="cellIs" dxfId="3036" priority="146720" stopIfTrue="1" operator="greaterThanOrEqual">
      <formula>0.5</formula>
    </cfRule>
  </conditionalFormatting>
  <conditionalFormatting sqref="AJ61">
    <cfRule type="cellIs" dxfId="3035" priority="146721" stopIfTrue="1" operator="equal">
      <formula>-1</formula>
    </cfRule>
  </conditionalFormatting>
  <conditionalFormatting sqref="AJ61">
    <cfRule type="cellIs" dxfId="3034" priority="146722" stopIfTrue="1" operator="lessThan">
      <formula>0.5</formula>
    </cfRule>
  </conditionalFormatting>
  <conditionalFormatting sqref="AJ61">
    <cfRule type="cellIs" dxfId="3033" priority="146723" stopIfTrue="1" operator="greaterThanOrEqual">
      <formula>0.5</formula>
    </cfRule>
  </conditionalFormatting>
  <conditionalFormatting sqref="AJ62">
    <cfRule type="cellIs" dxfId="3032" priority="146724" stopIfTrue="1" operator="equal">
      <formula>-1</formula>
    </cfRule>
  </conditionalFormatting>
  <conditionalFormatting sqref="AJ62">
    <cfRule type="cellIs" dxfId="3031" priority="146725" stopIfTrue="1" operator="lessThan">
      <formula>0.5</formula>
    </cfRule>
  </conditionalFormatting>
  <conditionalFormatting sqref="AJ62">
    <cfRule type="cellIs" dxfId="3030" priority="146726" stopIfTrue="1" operator="greaterThanOrEqual">
      <formula>0.5</formula>
    </cfRule>
  </conditionalFormatting>
  <conditionalFormatting sqref="AJ63">
    <cfRule type="cellIs" dxfId="3029" priority="146727" stopIfTrue="1" operator="equal">
      <formula>-1</formula>
    </cfRule>
  </conditionalFormatting>
  <conditionalFormatting sqref="AJ63">
    <cfRule type="cellIs" dxfId="3028" priority="146728" stopIfTrue="1" operator="lessThan">
      <formula>0.5</formula>
    </cfRule>
  </conditionalFormatting>
  <conditionalFormatting sqref="AJ63">
    <cfRule type="cellIs" dxfId="3027" priority="146729" stopIfTrue="1" operator="greaterThanOrEqual">
      <formula>0.5</formula>
    </cfRule>
  </conditionalFormatting>
  <conditionalFormatting sqref="AL60">
    <cfRule type="cellIs" dxfId="3026" priority="146730" stopIfTrue="1" operator="equal">
      <formula>-1</formula>
    </cfRule>
  </conditionalFormatting>
  <conditionalFormatting sqref="AL60">
    <cfRule type="cellIs" dxfId="3025" priority="146731" stopIfTrue="1" operator="lessThan">
      <formula>0.5</formula>
    </cfRule>
  </conditionalFormatting>
  <conditionalFormatting sqref="AL60">
    <cfRule type="cellIs" dxfId="3024" priority="146732" stopIfTrue="1" operator="greaterThanOrEqual">
      <formula>0.5</formula>
    </cfRule>
  </conditionalFormatting>
  <conditionalFormatting sqref="AL61">
    <cfRule type="cellIs" dxfId="3023" priority="146733" stopIfTrue="1" operator="equal">
      <formula>-1</formula>
    </cfRule>
  </conditionalFormatting>
  <conditionalFormatting sqref="AL61">
    <cfRule type="cellIs" dxfId="3022" priority="146734" stopIfTrue="1" operator="lessThan">
      <formula>0.5</formula>
    </cfRule>
  </conditionalFormatting>
  <conditionalFormatting sqref="AL61">
    <cfRule type="cellIs" dxfId="3021" priority="146735" stopIfTrue="1" operator="greaterThanOrEqual">
      <formula>0.5</formula>
    </cfRule>
  </conditionalFormatting>
  <conditionalFormatting sqref="AL62">
    <cfRule type="cellIs" dxfId="3020" priority="146736" stopIfTrue="1" operator="equal">
      <formula>-1</formula>
    </cfRule>
  </conditionalFormatting>
  <conditionalFormatting sqref="AL62">
    <cfRule type="cellIs" dxfId="3019" priority="146737" stopIfTrue="1" operator="lessThan">
      <formula>0.5</formula>
    </cfRule>
  </conditionalFormatting>
  <conditionalFormatting sqref="AL62">
    <cfRule type="cellIs" dxfId="3018" priority="146738" stopIfTrue="1" operator="greaterThanOrEqual">
      <formula>0.5</formula>
    </cfRule>
  </conditionalFormatting>
  <conditionalFormatting sqref="AL63">
    <cfRule type="cellIs" dxfId="3017" priority="146739" stopIfTrue="1" operator="equal">
      <formula>-1</formula>
    </cfRule>
  </conditionalFormatting>
  <conditionalFormatting sqref="AL63">
    <cfRule type="cellIs" dxfId="3016" priority="146740" stopIfTrue="1" operator="lessThan">
      <formula>0.5</formula>
    </cfRule>
  </conditionalFormatting>
  <conditionalFormatting sqref="AL63">
    <cfRule type="cellIs" dxfId="3015" priority="146741" stopIfTrue="1" operator="greaterThanOrEqual">
      <formula>0.5</formula>
    </cfRule>
  </conditionalFormatting>
  <conditionalFormatting sqref="AN60">
    <cfRule type="cellIs" dxfId="3014" priority="146742" stopIfTrue="1" operator="equal">
      <formula>-1</formula>
    </cfRule>
  </conditionalFormatting>
  <conditionalFormatting sqref="AN60">
    <cfRule type="cellIs" dxfId="3013" priority="146743" stopIfTrue="1" operator="lessThan">
      <formula>0.5</formula>
    </cfRule>
  </conditionalFormatting>
  <conditionalFormatting sqref="AN60">
    <cfRule type="cellIs" dxfId="3012" priority="146744" stopIfTrue="1" operator="greaterThanOrEqual">
      <formula>0.5</formula>
    </cfRule>
  </conditionalFormatting>
  <conditionalFormatting sqref="AN61">
    <cfRule type="cellIs" dxfId="3011" priority="146745" stopIfTrue="1" operator="equal">
      <formula>-1</formula>
    </cfRule>
  </conditionalFormatting>
  <conditionalFormatting sqref="AN61">
    <cfRule type="cellIs" dxfId="3010" priority="146746" stopIfTrue="1" operator="lessThan">
      <formula>0.5</formula>
    </cfRule>
  </conditionalFormatting>
  <conditionalFormatting sqref="AN61">
    <cfRule type="cellIs" dxfId="3009" priority="146747" stopIfTrue="1" operator="greaterThanOrEqual">
      <formula>0.5</formula>
    </cfRule>
  </conditionalFormatting>
  <conditionalFormatting sqref="AN62">
    <cfRule type="cellIs" dxfId="3008" priority="146748" stopIfTrue="1" operator="equal">
      <formula>-1</formula>
    </cfRule>
  </conditionalFormatting>
  <conditionalFormatting sqref="AN62">
    <cfRule type="cellIs" dxfId="3007" priority="146749" stopIfTrue="1" operator="lessThan">
      <formula>0.5</formula>
    </cfRule>
  </conditionalFormatting>
  <conditionalFormatting sqref="AN62">
    <cfRule type="cellIs" dxfId="3006" priority="146750" stopIfTrue="1" operator="greaterThanOrEqual">
      <formula>0.5</formula>
    </cfRule>
  </conditionalFormatting>
  <conditionalFormatting sqref="AN63">
    <cfRule type="cellIs" dxfId="3005" priority="146751" stopIfTrue="1" operator="equal">
      <formula>-1</formula>
    </cfRule>
  </conditionalFormatting>
  <conditionalFormatting sqref="AN63">
    <cfRule type="cellIs" dxfId="3004" priority="146752" stopIfTrue="1" operator="lessThan">
      <formula>0.5</formula>
    </cfRule>
  </conditionalFormatting>
  <conditionalFormatting sqref="AN63">
    <cfRule type="cellIs" dxfId="3003" priority="146753" stopIfTrue="1" operator="greaterThanOrEqual">
      <formula>0.5</formula>
    </cfRule>
  </conditionalFormatting>
  <conditionalFormatting sqref="AP60">
    <cfRule type="cellIs" dxfId="3002" priority="146754" stopIfTrue="1" operator="equal">
      <formula>-1</formula>
    </cfRule>
  </conditionalFormatting>
  <conditionalFormatting sqref="AP60">
    <cfRule type="cellIs" dxfId="3001" priority="146755" stopIfTrue="1" operator="lessThan">
      <formula>0.5</formula>
    </cfRule>
  </conditionalFormatting>
  <conditionalFormatting sqref="AP60">
    <cfRule type="cellIs" dxfId="3000" priority="146756" stopIfTrue="1" operator="greaterThanOrEqual">
      <formula>0.5</formula>
    </cfRule>
  </conditionalFormatting>
  <conditionalFormatting sqref="AP61">
    <cfRule type="cellIs" dxfId="2999" priority="146757" stopIfTrue="1" operator="equal">
      <formula>-1</formula>
    </cfRule>
  </conditionalFormatting>
  <conditionalFormatting sqref="AP61">
    <cfRule type="cellIs" dxfId="2998" priority="146758" stopIfTrue="1" operator="lessThan">
      <formula>0.5</formula>
    </cfRule>
  </conditionalFormatting>
  <conditionalFormatting sqref="AP61">
    <cfRule type="cellIs" dxfId="2997" priority="146759" stopIfTrue="1" operator="greaterThanOrEqual">
      <formula>0.5</formula>
    </cfRule>
  </conditionalFormatting>
  <conditionalFormatting sqref="AP62">
    <cfRule type="cellIs" dxfId="2996" priority="146760" stopIfTrue="1" operator="equal">
      <formula>-1</formula>
    </cfRule>
  </conditionalFormatting>
  <conditionalFormatting sqref="AP62">
    <cfRule type="cellIs" dxfId="2995" priority="146761" stopIfTrue="1" operator="lessThan">
      <formula>0.5</formula>
    </cfRule>
  </conditionalFormatting>
  <conditionalFormatting sqref="AP62">
    <cfRule type="cellIs" dxfId="2994" priority="146762" stopIfTrue="1" operator="greaterThanOrEqual">
      <formula>0.5</formula>
    </cfRule>
  </conditionalFormatting>
  <conditionalFormatting sqref="AP63">
    <cfRule type="cellIs" dxfId="2993" priority="146763" stopIfTrue="1" operator="equal">
      <formula>-1</formula>
    </cfRule>
  </conditionalFormatting>
  <conditionalFormatting sqref="AP63">
    <cfRule type="cellIs" dxfId="2992" priority="146764" stopIfTrue="1" operator="lessThan">
      <formula>0.5</formula>
    </cfRule>
  </conditionalFormatting>
  <conditionalFormatting sqref="AP63">
    <cfRule type="cellIs" dxfId="2991" priority="146765" stopIfTrue="1" operator="greaterThanOrEqual">
      <formula>0.5</formula>
    </cfRule>
  </conditionalFormatting>
  <conditionalFormatting sqref="AR60">
    <cfRule type="cellIs" dxfId="2990" priority="146766" stopIfTrue="1" operator="equal">
      <formula>-1</formula>
    </cfRule>
  </conditionalFormatting>
  <conditionalFormatting sqref="AR60">
    <cfRule type="cellIs" dxfId="2989" priority="146767" stopIfTrue="1" operator="lessThan">
      <formula>0.5</formula>
    </cfRule>
  </conditionalFormatting>
  <conditionalFormatting sqref="AR60">
    <cfRule type="cellIs" dxfId="2988" priority="146768" stopIfTrue="1" operator="greaterThanOrEqual">
      <formula>0.5</formula>
    </cfRule>
  </conditionalFormatting>
  <conditionalFormatting sqref="AR61">
    <cfRule type="cellIs" dxfId="2987" priority="146769" stopIfTrue="1" operator="equal">
      <formula>-1</formula>
    </cfRule>
  </conditionalFormatting>
  <conditionalFormatting sqref="AR61">
    <cfRule type="cellIs" dxfId="2986" priority="146770" stopIfTrue="1" operator="lessThan">
      <formula>0.5</formula>
    </cfRule>
  </conditionalFormatting>
  <conditionalFormatting sqref="AR61">
    <cfRule type="cellIs" dxfId="2985" priority="146771" stopIfTrue="1" operator="greaterThanOrEqual">
      <formula>0.5</formula>
    </cfRule>
  </conditionalFormatting>
  <conditionalFormatting sqref="AR62">
    <cfRule type="cellIs" dxfId="2984" priority="146772" stopIfTrue="1" operator="equal">
      <formula>-1</formula>
    </cfRule>
  </conditionalFormatting>
  <conditionalFormatting sqref="AR62">
    <cfRule type="cellIs" dxfId="2983" priority="146773" stopIfTrue="1" operator="lessThan">
      <formula>0.5</formula>
    </cfRule>
  </conditionalFormatting>
  <conditionalFormatting sqref="AR62">
    <cfRule type="cellIs" dxfId="2982" priority="146774" stopIfTrue="1" operator="greaterThanOrEqual">
      <formula>0.5</formula>
    </cfRule>
  </conditionalFormatting>
  <conditionalFormatting sqref="AR63">
    <cfRule type="cellIs" dxfId="2981" priority="146775" stopIfTrue="1" operator="equal">
      <formula>-1</formula>
    </cfRule>
  </conditionalFormatting>
  <conditionalFormatting sqref="AR63">
    <cfRule type="cellIs" dxfId="2980" priority="146776" stopIfTrue="1" operator="lessThan">
      <formula>0.5</formula>
    </cfRule>
  </conditionalFormatting>
  <conditionalFormatting sqref="AR63">
    <cfRule type="cellIs" dxfId="2979" priority="146777" stopIfTrue="1" operator="greaterThanOrEqual">
      <formula>0.5</formula>
    </cfRule>
  </conditionalFormatting>
  <conditionalFormatting sqref="AT60">
    <cfRule type="cellIs" dxfId="2978" priority="146778" stopIfTrue="1" operator="equal">
      <formula>-1</formula>
    </cfRule>
  </conditionalFormatting>
  <conditionalFormatting sqref="AT60">
    <cfRule type="cellIs" dxfId="2977" priority="146779" stopIfTrue="1" operator="lessThan">
      <formula>0.5</formula>
    </cfRule>
  </conditionalFormatting>
  <conditionalFormatting sqref="AT60">
    <cfRule type="cellIs" dxfId="2976" priority="146780" stopIfTrue="1" operator="greaterThanOrEqual">
      <formula>0.5</formula>
    </cfRule>
  </conditionalFormatting>
  <conditionalFormatting sqref="AT61">
    <cfRule type="cellIs" dxfId="2975" priority="146781" stopIfTrue="1" operator="equal">
      <formula>-1</formula>
    </cfRule>
  </conditionalFormatting>
  <conditionalFormatting sqref="AT61">
    <cfRule type="cellIs" dxfId="2974" priority="146782" stopIfTrue="1" operator="lessThan">
      <formula>0.5</formula>
    </cfRule>
  </conditionalFormatting>
  <conditionalFormatting sqref="AT61">
    <cfRule type="cellIs" dxfId="2973" priority="146783" stopIfTrue="1" operator="greaterThanOrEqual">
      <formula>0.5</formula>
    </cfRule>
  </conditionalFormatting>
  <conditionalFormatting sqref="AT62">
    <cfRule type="cellIs" dxfId="2972" priority="146784" stopIfTrue="1" operator="equal">
      <formula>-1</formula>
    </cfRule>
  </conditionalFormatting>
  <conditionalFormatting sqref="AT62">
    <cfRule type="cellIs" dxfId="2971" priority="146785" stopIfTrue="1" operator="lessThan">
      <formula>0.5</formula>
    </cfRule>
  </conditionalFormatting>
  <conditionalFormatting sqref="AT62">
    <cfRule type="cellIs" dxfId="2970" priority="146786" stopIfTrue="1" operator="greaterThanOrEqual">
      <formula>0.5</formula>
    </cfRule>
  </conditionalFormatting>
  <conditionalFormatting sqref="AT63">
    <cfRule type="cellIs" dxfId="2969" priority="146787" stopIfTrue="1" operator="equal">
      <formula>-1</formula>
    </cfRule>
  </conditionalFormatting>
  <conditionalFormatting sqref="AT63">
    <cfRule type="cellIs" dxfId="2968" priority="146788" stopIfTrue="1" operator="lessThan">
      <formula>0.5</formula>
    </cfRule>
  </conditionalFormatting>
  <conditionalFormatting sqref="AT63">
    <cfRule type="cellIs" dxfId="2967" priority="146789" stopIfTrue="1" operator="greaterThanOrEqual">
      <formula>0.5</formula>
    </cfRule>
  </conditionalFormatting>
  <conditionalFormatting sqref="AV60">
    <cfRule type="cellIs" dxfId="2966" priority="146790" stopIfTrue="1" operator="equal">
      <formula>-1</formula>
    </cfRule>
  </conditionalFormatting>
  <conditionalFormatting sqref="AV60">
    <cfRule type="cellIs" dxfId="2965" priority="146791" stopIfTrue="1" operator="lessThan">
      <formula>0.5</formula>
    </cfRule>
  </conditionalFormatting>
  <conditionalFormatting sqref="AV60">
    <cfRule type="cellIs" dxfId="2964" priority="146792" stopIfTrue="1" operator="greaterThanOrEqual">
      <formula>0.5</formula>
    </cfRule>
  </conditionalFormatting>
  <conditionalFormatting sqref="AV61">
    <cfRule type="cellIs" dxfId="2963" priority="146793" stopIfTrue="1" operator="equal">
      <formula>-1</formula>
    </cfRule>
  </conditionalFormatting>
  <conditionalFormatting sqref="AV61">
    <cfRule type="cellIs" dxfId="2962" priority="146794" stopIfTrue="1" operator="lessThan">
      <formula>0.5</formula>
    </cfRule>
  </conditionalFormatting>
  <conditionalFormatting sqref="AV61">
    <cfRule type="cellIs" dxfId="2961" priority="146795" stopIfTrue="1" operator="greaterThanOrEqual">
      <formula>0.5</formula>
    </cfRule>
  </conditionalFormatting>
  <conditionalFormatting sqref="AV62">
    <cfRule type="cellIs" dxfId="2960" priority="146796" stopIfTrue="1" operator="equal">
      <formula>-1</formula>
    </cfRule>
  </conditionalFormatting>
  <conditionalFormatting sqref="AV62">
    <cfRule type="cellIs" dxfId="2959" priority="146797" stopIfTrue="1" operator="lessThan">
      <formula>0.5</formula>
    </cfRule>
  </conditionalFormatting>
  <conditionalFormatting sqref="AV62">
    <cfRule type="cellIs" dxfId="2958" priority="146798" stopIfTrue="1" operator="greaterThanOrEqual">
      <formula>0.5</formula>
    </cfRule>
  </conditionalFormatting>
  <conditionalFormatting sqref="AV63">
    <cfRule type="cellIs" dxfId="2957" priority="146799" stopIfTrue="1" operator="equal">
      <formula>-1</formula>
    </cfRule>
  </conditionalFormatting>
  <conditionalFormatting sqref="AV63">
    <cfRule type="cellIs" dxfId="2956" priority="146800" stopIfTrue="1" operator="lessThan">
      <formula>0.5</formula>
    </cfRule>
  </conditionalFormatting>
  <conditionalFormatting sqref="AV63">
    <cfRule type="cellIs" dxfId="2955" priority="146801" stopIfTrue="1" operator="greaterThanOrEqual">
      <formula>0.5</formula>
    </cfRule>
  </conditionalFormatting>
  <conditionalFormatting sqref="AX60">
    <cfRule type="cellIs" dxfId="2954" priority="146802" stopIfTrue="1" operator="equal">
      <formula>-1</formula>
    </cfRule>
  </conditionalFormatting>
  <conditionalFormatting sqref="AX60">
    <cfRule type="cellIs" dxfId="2953" priority="146803" stopIfTrue="1" operator="lessThan">
      <formula>0.5</formula>
    </cfRule>
  </conditionalFormatting>
  <conditionalFormatting sqref="AX60">
    <cfRule type="cellIs" dxfId="2952" priority="146804" stopIfTrue="1" operator="greaterThanOrEqual">
      <formula>0.5</formula>
    </cfRule>
  </conditionalFormatting>
  <conditionalFormatting sqref="AX61">
    <cfRule type="cellIs" dxfId="2951" priority="146805" stopIfTrue="1" operator="equal">
      <formula>-1</formula>
    </cfRule>
  </conditionalFormatting>
  <conditionalFormatting sqref="AX61">
    <cfRule type="cellIs" dxfId="2950" priority="146806" stopIfTrue="1" operator="lessThan">
      <formula>0.5</formula>
    </cfRule>
  </conditionalFormatting>
  <conditionalFormatting sqref="AX61">
    <cfRule type="cellIs" dxfId="2949" priority="146807" stopIfTrue="1" operator="greaterThanOrEqual">
      <formula>0.5</formula>
    </cfRule>
  </conditionalFormatting>
  <conditionalFormatting sqref="AX62">
    <cfRule type="cellIs" dxfId="2948" priority="146808" stopIfTrue="1" operator="equal">
      <formula>-1</formula>
    </cfRule>
  </conditionalFormatting>
  <conditionalFormatting sqref="AX62">
    <cfRule type="cellIs" dxfId="2947" priority="146809" stopIfTrue="1" operator="lessThan">
      <formula>0.5</formula>
    </cfRule>
  </conditionalFormatting>
  <conditionalFormatting sqref="AX62">
    <cfRule type="cellIs" dxfId="2946" priority="146810" stopIfTrue="1" operator="greaterThanOrEqual">
      <formula>0.5</formula>
    </cfRule>
  </conditionalFormatting>
  <conditionalFormatting sqref="AX63">
    <cfRule type="cellIs" dxfId="2945" priority="146811" stopIfTrue="1" operator="equal">
      <formula>-1</formula>
    </cfRule>
  </conditionalFormatting>
  <conditionalFormatting sqref="AX63">
    <cfRule type="cellIs" dxfId="2944" priority="146812" stopIfTrue="1" operator="lessThan">
      <formula>0.5</formula>
    </cfRule>
  </conditionalFormatting>
  <conditionalFormatting sqref="AX63">
    <cfRule type="cellIs" dxfId="2943" priority="146813" stopIfTrue="1" operator="greaterThanOrEqual">
      <formula>0.5</formula>
    </cfRule>
  </conditionalFormatting>
  <conditionalFormatting sqref="AZ60">
    <cfRule type="cellIs" dxfId="2942" priority="146814" stopIfTrue="1" operator="equal">
      <formula>-1</formula>
    </cfRule>
  </conditionalFormatting>
  <conditionalFormatting sqref="AZ60">
    <cfRule type="cellIs" dxfId="2941" priority="146815" stopIfTrue="1" operator="lessThan">
      <formula>0.5</formula>
    </cfRule>
  </conditionalFormatting>
  <conditionalFormatting sqref="AZ60">
    <cfRule type="cellIs" dxfId="2940" priority="146816" stopIfTrue="1" operator="greaterThanOrEqual">
      <formula>0.5</formula>
    </cfRule>
  </conditionalFormatting>
  <conditionalFormatting sqref="AZ61">
    <cfRule type="cellIs" dxfId="2939" priority="146817" stopIfTrue="1" operator="equal">
      <formula>-1</formula>
    </cfRule>
  </conditionalFormatting>
  <conditionalFormatting sqref="AZ61">
    <cfRule type="cellIs" dxfId="2938" priority="146818" stopIfTrue="1" operator="lessThan">
      <formula>0.5</formula>
    </cfRule>
  </conditionalFormatting>
  <conditionalFormatting sqref="AZ61">
    <cfRule type="cellIs" dxfId="2937" priority="146819" stopIfTrue="1" operator="greaterThanOrEqual">
      <formula>0.5</formula>
    </cfRule>
  </conditionalFormatting>
  <conditionalFormatting sqref="AZ62">
    <cfRule type="cellIs" dxfId="2936" priority="146820" stopIfTrue="1" operator="equal">
      <formula>-1</formula>
    </cfRule>
  </conditionalFormatting>
  <conditionalFormatting sqref="AZ62">
    <cfRule type="cellIs" dxfId="2935" priority="146821" stopIfTrue="1" operator="lessThan">
      <formula>0.5</formula>
    </cfRule>
  </conditionalFormatting>
  <conditionalFormatting sqref="AZ62">
    <cfRule type="cellIs" dxfId="2934" priority="146822" stopIfTrue="1" operator="greaterThanOrEqual">
      <formula>0.5</formula>
    </cfRule>
  </conditionalFormatting>
  <conditionalFormatting sqref="AZ63">
    <cfRule type="cellIs" dxfId="2933" priority="146823" stopIfTrue="1" operator="equal">
      <formula>-1</formula>
    </cfRule>
  </conditionalFormatting>
  <conditionalFormatting sqref="AZ63">
    <cfRule type="cellIs" dxfId="2932" priority="146824" stopIfTrue="1" operator="lessThan">
      <formula>0.5</formula>
    </cfRule>
  </conditionalFormatting>
  <conditionalFormatting sqref="AZ63">
    <cfRule type="cellIs" dxfId="2931" priority="146825" stopIfTrue="1" operator="greaterThanOrEqual">
      <formula>0.5</formula>
    </cfRule>
  </conditionalFormatting>
  <conditionalFormatting sqref="BB60">
    <cfRule type="cellIs" dxfId="2930" priority="146826" stopIfTrue="1" operator="equal">
      <formula>-1</formula>
    </cfRule>
  </conditionalFormatting>
  <conditionalFormatting sqref="BB60">
    <cfRule type="cellIs" dxfId="2929" priority="146827" stopIfTrue="1" operator="lessThan">
      <formula>0.5</formula>
    </cfRule>
  </conditionalFormatting>
  <conditionalFormatting sqref="BB60">
    <cfRule type="cellIs" dxfId="2928" priority="146828" stopIfTrue="1" operator="greaterThanOrEqual">
      <formula>0.5</formula>
    </cfRule>
  </conditionalFormatting>
  <conditionalFormatting sqref="BB61">
    <cfRule type="cellIs" dxfId="2927" priority="146829" stopIfTrue="1" operator="equal">
      <formula>-1</formula>
    </cfRule>
  </conditionalFormatting>
  <conditionalFormatting sqref="BB61">
    <cfRule type="cellIs" dxfId="2926" priority="146830" stopIfTrue="1" operator="lessThan">
      <formula>0.5</formula>
    </cfRule>
  </conditionalFormatting>
  <conditionalFormatting sqref="BB61">
    <cfRule type="cellIs" dxfId="2925" priority="146831" stopIfTrue="1" operator="greaterThanOrEqual">
      <formula>0.5</formula>
    </cfRule>
  </conditionalFormatting>
  <conditionalFormatting sqref="BB62">
    <cfRule type="cellIs" dxfId="2924" priority="146832" stopIfTrue="1" operator="equal">
      <formula>-1</formula>
    </cfRule>
  </conditionalFormatting>
  <conditionalFormatting sqref="BB62">
    <cfRule type="cellIs" dxfId="2923" priority="146833" stopIfTrue="1" operator="lessThan">
      <formula>0.5</formula>
    </cfRule>
  </conditionalFormatting>
  <conditionalFormatting sqref="BB62">
    <cfRule type="cellIs" dxfId="2922" priority="146834" stopIfTrue="1" operator="greaterThanOrEqual">
      <formula>0.5</formula>
    </cfRule>
  </conditionalFormatting>
  <conditionalFormatting sqref="BB63">
    <cfRule type="cellIs" dxfId="2921" priority="146835" stopIfTrue="1" operator="equal">
      <formula>-1</formula>
    </cfRule>
  </conditionalFormatting>
  <conditionalFormatting sqref="BB63">
    <cfRule type="cellIs" dxfId="2920" priority="146836" stopIfTrue="1" operator="lessThan">
      <formula>0.5</formula>
    </cfRule>
  </conditionalFormatting>
  <conditionalFormatting sqref="BB63">
    <cfRule type="cellIs" dxfId="2919" priority="146837" stopIfTrue="1" operator="greaterThanOrEqual">
      <formula>0.5</formula>
    </cfRule>
  </conditionalFormatting>
  <conditionalFormatting sqref="BD60">
    <cfRule type="cellIs" dxfId="2918" priority="146838" stopIfTrue="1" operator="equal">
      <formula>-1</formula>
    </cfRule>
  </conditionalFormatting>
  <conditionalFormatting sqref="BD60">
    <cfRule type="cellIs" dxfId="2917" priority="146839" stopIfTrue="1" operator="lessThan">
      <formula>0.5</formula>
    </cfRule>
  </conditionalFormatting>
  <conditionalFormatting sqref="BD60">
    <cfRule type="cellIs" dxfId="2916" priority="146840" stopIfTrue="1" operator="greaterThanOrEqual">
      <formula>0.5</formula>
    </cfRule>
  </conditionalFormatting>
  <conditionalFormatting sqref="BD61">
    <cfRule type="cellIs" dxfId="2915" priority="146841" stopIfTrue="1" operator="equal">
      <formula>-1</formula>
    </cfRule>
  </conditionalFormatting>
  <conditionalFormatting sqref="BD61">
    <cfRule type="cellIs" dxfId="2914" priority="146842" stopIfTrue="1" operator="lessThan">
      <formula>0.5</formula>
    </cfRule>
  </conditionalFormatting>
  <conditionalFormatting sqref="BD61">
    <cfRule type="cellIs" dxfId="2913" priority="146843" stopIfTrue="1" operator="greaterThanOrEqual">
      <formula>0.5</formula>
    </cfRule>
  </conditionalFormatting>
  <conditionalFormatting sqref="BD62">
    <cfRule type="cellIs" dxfId="2912" priority="146844" stopIfTrue="1" operator="equal">
      <formula>-1</formula>
    </cfRule>
  </conditionalFormatting>
  <conditionalFormatting sqref="BD62">
    <cfRule type="cellIs" dxfId="2911" priority="146845" stopIfTrue="1" operator="lessThan">
      <formula>0.5</formula>
    </cfRule>
  </conditionalFormatting>
  <conditionalFormatting sqref="BD62">
    <cfRule type="cellIs" dxfId="2910" priority="146846" stopIfTrue="1" operator="greaterThanOrEqual">
      <formula>0.5</formula>
    </cfRule>
  </conditionalFormatting>
  <conditionalFormatting sqref="BD63">
    <cfRule type="cellIs" dxfId="2909" priority="146847" stopIfTrue="1" operator="equal">
      <formula>-1</formula>
    </cfRule>
  </conditionalFormatting>
  <conditionalFormatting sqref="BD63">
    <cfRule type="cellIs" dxfId="2908" priority="146848" stopIfTrue="1" operator="lessThan">
      <formula>0.5</formula>
    </cfRule>
  </conditionalFormatting>
  <conditionalFormatting sqref="BD63">
    <cfRule type="cellIs" dxfId="2907" priority="146849" stopIfTrue="1" operator="greaterThanOrEqual">
      <formula>0.5</formula>
    </cfRule>
  </conditionalFormatting>
  <conditionalFormatting sqref="BF60">
    <cfRule type="cellIs" dxfId="2906" priority="146850" stopIfTrue="1" operator="equal">
      <formula>-1</formula>
    </cfRule>
  </conditionalFormatting>
  <conditionalFormatting sqref="BF60">
    <cfRule type="cellIs" dxfId="2905" priority="146851" stopIfTrue="1" operator="lessThan">
      <formula>0.5</formula>
    </cfRule>
  </conditionalFormatting>
  <conditionalFormatting sqref="BF60">
    <cfRule type="cellIs" dxfId="2904" priority="146852" stopIfTrue="1" operator="greaterThanOrEqual">
      <formula>0.5</formula>
    </cfRule>
  </conditionalFormatting>
  <conditionalFormatting sqref="BF61">
    <cfRule type="cellIs" dxfId="2903" priority="146853" stopIfTrue="1" operator="equal">
      <formula>-1</formula>
    </cfRule>
  </conditionalFormatting>
  <conditionalFormatting sqref="BF61">
    <cfRule type="cellIs" dxfId="2902" priority="146854" stopIfTrue="1" operator="lessThan">
      <formula>0.5</formula>
    </cfRule>
  </conditionalFormatting>
  <conditionalFormatting sqref="BF61">
    <cfRule type="cellIs" dxfId="2901" priority="146855" stopIfTrue="1" operator="greaterThanOrEqual">
      <formula>0.5</formula>
    </cfRule>
  </conditionalFormatting>
  <conditionalFormatting sqref="BF62">
    <cfRule type="cellIs" dxfId="2900" priority="146856" stopIfTrue="1" operator="equal">
      <formula>-1</formula>
    </cfRule>
  </conditionalFormatting>
  <conditionalFormatting sqref="BF62">
    <cfRule type="cellIs" dxfId="2899" priority="146857" stopIfTrue="1" operator="lessThan">
      <formula>0.5</formula>
    </cfRule>
  </conditionalFormatting>
  <conditionalFormatting sqref="BF62">
    <cfRule type="cellIs" dxfId="2898" priority="146858" stopIfTrue="1" operator="greaterThanOrEqual">
      <formula>0.5</formula>
    </cfRule>
  </conditionalFormatting>
  <conditionalFormatting sqref="BF63">
    <cfRule type="cellIs" dxfId="2897" priority="146859" stopIfTrue="1" operator="equal">
      <formula>-1</formula>
    </cfRule>
  </conditionalFormatting>
  <conditionalFormatting sqref="BF63">
    <cfRule type="cellIs" dxfId="2896" priority="146860" stopIfTrue="1" operator="lessThan">
      <formula>0.5</formula>
    </cfRule>
  </conditionalFormatting>
  <conditionalFormatting sqref="BF63">
    <cfRule type="cellIs" dxfId="2895" priority="146861" stopIfTrue="1" operator="greaterThanOrEqual">
      <formula>0.5</formula>
    </cfRule>
  </conditionalFormatting>
  <conditionalFormatting sqref="BH60">
    <cfRule type="cellIs" dxfId="2894" priority="146862" stopIfTrue="1" operator="equal">
      <formula>-1</formula>
    </cfRule>
  </conditionalFormatting>
  <conditionalFormatting sqref="BH60">
    <cfRule type="cellIs" dxfId="2893" priority="146863" stopIfTrue="1" operator="lessThan">
      <formula>0.5</formula>
    </cfRule>
  </conditionalFormatting>
  <conditionalFormatting sqref="BH60">
    <cfRule type="cellIs" dxfId="2892" priority="146864" stopIfTrue="1" operator="greaterThanOrEqual">
      <formula>0.5</formula>
    </cfRule>
  </conditionalFormatting>
  <conditionalFormatting sqref="BH61">
    <cfRule type="cellIs" dxfId="2891" priority="146865" stopIfTrue="1" operator="equal">
      <formula>-1</formula>
    </cfRule>
  </conditionalFormatting>
  <conditionalFormatting sqref="BH61">
    <cfRule type="cellIs" dxfId="2890" priority="146866" stopIfTrue="1" operator="lessThan">
      <formula>0.5</formula>
    </cfRule>
  </conditionalFormatting>
  <conditionalFormatting sqref="BH61">
    <cfRule type="cellIs" dxfId="2889" priority="146867" stopIfTrue="1" operator="greaterThanOrEqual">
      <formula>0.5</formula>
    </cfRule>
  </conditionalFormatting>
  <conditionalFormatting sqref="BH62">
    <cfRule type="cellIs" dxfId="2888" priority="146868" stopIfTrue="1" operator="equal">
      <formula>-1</formula>
    </cfRule>
  </conditionalFormatting>
  <conditionalFormatting sqref="BH62">
    <cfRule type="cellIs" dxfId="2887" priority="146869" stopIfTrue="1" operator="lessThan">
      <formula>0.5</formula>
    </cfRule>
  </conditionalFormatting>
  <conditionalFormatting sqref="BH62">
    <cfRule type="cellIs" dxfId="2886" priority="146870" stopIfTrue="1" operator="greaterThanOrEqual">
      <formula>0.5</formula>
    </cfRule>
  </conditionalFormatting>
  <conditionalFormatting sqref="BH63">
    <cfRule type="cellIs" dxfId="2885" priority="146871" stopIfTrue="1" operator="equal">
      <formula>-1</formula>
    </cfRule>
  </conditionalFormatting>
  <conditionalFormatting sqref="BH63">
    <cfRule type="cellIs" dxfId="2884" priority="146872" stopIfTrue="1" operator="lessThan">
      <formula>0.5</formula>
    </cfRule>
  </conditionalFormatting>
  <conditionalFormatting sqref="BH63">
    <cfRule type="cellIs" dxfId="2883" priority="146873" stopIfTrue="1" operator="greaterThanOrEqual">
      <formula>0.5</formula>
    </cfRule>
  </conditionalFormatting>
  <conditionalFormatting sqref="BJ60">
    <cfRule type="cellIs" dxfId="2882" priority="146874" stopIfTrue="1" operator="equal">
      <formula>-1</formula>
    </cfRule>
  </conditionalFormatting>
  <conditionalFormatting sqref="BJ60">
    <cfRule type="cellIs" dxfId="2881" priority="146875" stopIfTrue="1" operator="lessThan">
      <formula>0.5</formula>
    </cfRule>
  </conditionalFormatting>
  <conditionalFormatting sqref="BJ60">
    <cfRule type="cellIs" dxfId="2880" priority="146876" stopIfTrue="1" operator="greaterThanOrEqual">
      <formula>0.5</formula>
    </cfRule>
  </conditionalFormatting>
  <conditionalFormatting sqref="BJ61">
    <cfRule type="cellIs" dxfId="2879" priority="146877" stopIfTrue="1" operator="equal">
      <formula>-1</formula>
    </cfRule>
  </conditionalFormatting>
  <conditionalFormatting sqref="BJ61">
    <cfRule type="cellIs" dxfId="2878" priority="146878" stopIfTrue="1" operator="lessThan">
      <formula>0.5</formula>
    </cfRule>
  </conditionalFormatting>
  <conditionalFormatting sqref="BJ61">
    <cfRule type="cellIs" dxfId="2877" priority="146879" stopIfTrue="1" operator="greaterThanOrEqual">
      <formula>0.5</formula>
    </cfRule>
  </conditionalFormatting>
  <conditionalFormatting sqref="BJ62">
    <cfRule type="cellIs" dxfId="2876" priority="146880" stopIfTrue="1" operator="equal">
      <formula>-1</formula>
    </cfRule>
  </conditionalFormatting>
  <conditionalFormatting sqref="BJ62">
    <cfRule type="cellIs" dxfId="2875" priority="146881" stopIfTrue="1" operator="lessThan">
      <formula>0.5</formula>
    </cfRule>
  </conditionalFormatting>
  <conditionalFormatting sqref="BJ62">
    <cfRule type="cellIs" dxfId="2874" priority="146882" stopIfTrue="1" operator="greaterThanOrEqual">
      <formula>0.5</formula>
    </cfRule>
  </conditionalFormatting>
  <conditionalFormatting sqref="BJ63">
    <cfRule type="cellIs" dxfId="2873" priority="146883" stopIfTrue="1" operator="equal">
      <formula>-1</formula>
    </cfRule>
  </conditionalFormatting>
  <conditionalFormatting sqref="BJ63">
    <cfRule type="cellIs" dxfId="2872" priority="146884" stopIfTrue="1" operator="lessThan">
      <formula>0.5</formula>
    </cfRule>
  </conditionalFormatting>
  <conditionalFormatting sqref="BJ63">
    <cfRule type="cellIs" dxfId="2871" priority="146885" stopIfTrue="1" operator="greaterThanOrEqual">
      <formula>0.5</formula>
    </cfRule>
  </conditionalFormatting>
  <conditionalFormatting sqref="D65">
    <cfRule type="cellIs" dxfId="2870" priority="146886" stopIfTrue="1" operator="equal">
      <formula>-1</formula>
    </cfRule>
  </conditionalFormatting>
  <conditionalFormatting sqref="D65">
    <cfRule type="cellIs" dxfId="2869" priority="146887" stopIfTrue="1" operator="lessThan">
      <formula>0.5</formula>
    </cfRule>
  </conditionalFormatting>
  <conditionalFormatting sqref="D65">
    <cfRule type="cellIs" dxfId="2868" priority="146888" stopIfTrue="1" operator="greaterThanOrEqual">
      <formula>0.5</formula>
    </cfRule>
  </conditionalFormatting>
  <conditionalFormatting sqref="D66">
    <cfRule type="cellIs" dxfId="2867" priority="146889" stopIfTrue="1" operator="equal">
      <formula>-1</formula>
    </cfRule>
  </conditionalFormatting>
  <conditionalFormatting sqref="D66">
    <cfRule type="cellIs" dxfId="2866" priority="146890" stopIfTrue="1" operator="lessThan">
      <formula>0.5</formula>
    </cfRule>
  </conditionalFormatting>
  <conditionalFormatting sqref="D66">
    <cfRule type="cellIs" dxfId="2865" priority="146891" stopIfTrue="1" operator="greaterThanOrEqual">
      <formula>0.5</formula>
    </cfRule>
  </conditionalFormatting>
  <conditionalFormatting sqref="D67">
    <cfRule type="cellIs" dxfId="2864" priority="146892" stopIfTrue="1" operator="equal">
      <formula>-1</formula>
    </cfRule>
  </conditionalFormatting>
  <conditionalFormatting sqref="D67">
    <cfRule type="cellIs" dxfId="2863" priority="146893" stopIfTrue="1" operator="lessThan">
      <formula>0.5</formula>
    </cfRule>
  </conditionalFormatting>
  <conditionalFormatting sqref="D67">
    <cfRule type="cellIs" dxfId="2862" priority="146894" stopIfTrue="1" operator="greaterThanOrEqual">
      <formula>0.5</formula>
    </cfRule>
  </conditionalFormatting>
  <conditionalFormatting sqref="D68">
    <cfRule type="cellIs" dxfId="2861" priority="146895" stopIfTrue="1" operator="equal">
      <formula>-1</formula>
    </cfRule>
  </conditionalFormatting>
  <conditionalFormatting sqref="D68">
    <cfRule type="cellIs" dxfId="2860" priority="146896" stopIfTrue="1" operator="lessThan">
      <formula>0.5</formula>
    </cfRule>
  </conditionalFormatting>
  <conditionalFormatting sqref="D68">
    <cfRule type="cellIs" dxfId="2859" priority="146897" stopIfTrue="1" operator="greaterThanOrEqual">
      <formula>0.5</formula>
    </cfRule>
  </conditionalFormatting>
  <conditionalFormatting sqref="D69">
    <cfRule type="cellIs" dxfId="2858" priority="146898" stopIfTrue="1" operator="equal">
      <formula>-1</formula>
    </cfRule>
  </conditionalFormatting>
  <conditionalFormatting sqref="D69">
    <cfRule type="cellIs" dxfId="2857" priority="146899" stopIfTrue="1" operator="lessThan">
      <formula>0.5</formula>
    </cfRule>
  </conditionalFormatting>
  <conditionalFormatting sqref="D69">
    <cfRule type="cellIs" dxfId="2856" priority="146900" stopIfTrue="1" operator="greaterThanOrEqual">
      <formula>0.5</formula>
    </cfRule>
  </conditionalFormatting>
  <conditionalFormatting sqref="D70">
    <cfRule type="cellIs" dxfId="2855" priority="146901" stopIfTrue="1" operator="equal">
      <formula>-1</formula>
    </cfRule>
  </conditionalFormatting>
  <conditionalFormatting sqref="D70">
    <cfRule type="cellIs" dxfId="2854" priority="146902" stopIfTrue="1" operator="lessThan">
      <formula>0.5</formula>
    </cfRule>
  </conditionalFormatting>
  <conditionalFormatting sqref="D70">
    <cfRule type="cellIs" dxfId="2853" priority="146903" stopIfTrue="1" operator="greaterThanOrEqual">
      <formula>0.5</formula>
    </cfRule>
  </conditionalFormatting>
  <conditionalFormatting sqref="D71">
    <cfRule type="cellIs" dxfId="2852" priority="146904" stopIfTrue="1" operator="equal">
      <formula>-1</formula>
    </cfRule>
  </conditionalFormatting>
  <conditionalFormatting sqref="D71">
    <cfRule type="cellIs" dxfId="2851" priority="146905" stopIfTrue="1" operator="lessThan">
      <formula>0.5</formula>
    </cfRule>
  </conditionalFormatting>
  <conditionalFormatting sqref="D71">
    <cfRule type="cellIs" dxfId="2850" priority="146906" stopIfTrue="1" operator="greaterThanOrEqual">
      <formula>0.5</formula>
    </cfRule>
  </conditionalFormatting>
  <conditionalFormatting sqref="D72">
    <cfRule type="cellIs" dxfId="2849" priority="146907" stopIfTrue="1" operator="equal">
      <formula>-1</formula>
    </cfRule>
  </conditionalFormatting>
  <conditionalFormatting sqref="D72">
    <cfRule type="cellIs" dxfId="2848" priority="146908" stopIfTrue="1" operator="lessThan">
      <formula>0.5</formula>
    </cfRule>
  </conditionalFormatting>
  <conditionalFormatting sqref="D72">
    <cfRule type="cellIs" dxfId="2847" priority="146909" stopIfTrue="1" operator="greaterThanOrEqual">
      <formula>0.5</formula>
    </cfRule>
  </conditionalFormatting>
  <conditionalFormatting sqref="D73">
    <cfRule type="cellIs" dxfId="2846" priority="146910" stopIfTrue="1" operator="equal">
      <formula>-1</formula>
    </cfRule>
  </conditionalFormatting>
  <conditionalFormatting sqref="D73">
    <cfRule type="cellIs" dxfId="2845" priority="146911" stopIfTrue="1" operator="lessThan">
      <formula>0.5</formula>
    </cfRule>
  </conditionalFormatting>
  <conditionalFormatting sqref="D73">
    <cfRule type="cellIs" dxfId="2844" priority="146912" stopIfTrue="1" operator="greaterThanOrEqual">
      <formula>0.5</formula>
    </cfRule>
  </conditionalFormatting>
  <conditionalFormatting sqref="D74">
    <cfRule type="cellIs" dxfId="2843" priority="146913" stopIfTrue="1" operator="equal">
      <formula>-1</formula>
    </cfRule>
  </conditionalFormatting>
  <conditionalFormatting sqref="D74">
    <cfRule type="cellIs" dxfId="2842" priority="146914" stopIfTrue="1" operator="lessThan">
      <formula>0.5</formula>
    </cfRule>
  </conditionalFormatting>
  <conditionalFormatting sqref="D74">
    <cfRule type="cellIs" dxfId="2841" priority="146915" stopIfTrue="1" operator="greaterThanOrEqual">
      <formula>0.5</formula>
    </cfRule>
  </conditionalFormatting>
  <conditionalFormatting sqref="D75">
    <cfRule type="cellIs" dxfId="2840" priority="146916" stopIfTrue="1" operator="equal">
      <formula>-1</formula>
    </cfRule>
  </conditionalFormatting>
  <conditionalFormatting sqref="D75">
    <cfRule type="cellIs" dxfId="2839" priority="146917" stopIfTrue="1" operator="lessThan">
      <formula>0.5</formula>
    </cfRule>
  </conditionalFormatting>
  <conditionalFormatting sqref="D75">
    <cfRule type="cellIs" dxfId="2838" priority="146918" stopIfTrue="1" operator="greaterThanOrEqual">
      <formula>0.5</formula>
    </cfRule>
  </conditionalFormatting>
  <conditionalFormatting sqref="D76">
    <cfRule type="cellIs" dxfId="2837" priority="146919" stopIfTrue="1" operator="equal">
      <formula>-1</formula>
    </cfRule>
  </conditionalFormatting>
  <conditionalFormatting sqref="D76">
    <cfRule type="cellIs" dxfId="2836" priority="146920" stopIfTrue="1" operator="lessThan">
      <formula>0.5</formula>
    </cfRule>
  </conditionalFormatting>
  <conditionalFormatting sqref="D76">
    <cfRule type="cellIs" dxfId="2835" priority="146921" stopIfTrue="1" operator="greaterThanOrEqual">
      <formula>0.5</formula>
    </cfRule>
  </conditionalFormatting>
  <conditionalFormatting sqref="D77">
    <cfRule type="cellIs" dxfId="2834" priority="146922" stopIfTrue="1" operator="equal">
      <formula>-1</formula>
    </cfRule>
  </conditionalFormatting>
  <conditionalFormatting sqref="D77">
    <cfRule type="cellIs" dxfId="2833" priority="146923" stopIfTrue="1" operator="lessThan">
      <formula>0.5</formula>
    </cfRule>
  </conditionalFormatting>
  <conditionalFormatting sqref="D77">
    <cfRule type="cellIs" dxfId="2832" priority="146924" stopIfTrue="1" operator="greaterThanOrEqual">
      <formula>0.5</formula>
    </cfRule>
  </conditionalFormatting>
  <conditionalFormatting sqref="D78">
    <cfRule type="cellIs" dxfId="2831" priority="146925" stopIfTrue="1" operator="equal">
      <formula>-1</formula>
    </cfRule>
  </conditionalFormatting>
  <conditionalFormatting sqref="D78">
    <cfRule type="cellIs" dxfId="2830" priority="146926" stopIfTrue="1" operator="lessThan">
      <formula>0.5</formula>
    </cfRule>
  </conditionalFormatting>
  <conditionalFormatting sqref="D78">
    <cfRule type="cellIs" dxfId="2829" priority="146927" stopIfTrue="1" operator="greaterThanOrEqual">
      <formula>0.5</formula>
    </cfRule>
  </conditionalFormatting>
  <conditionalFormatting sqref="D79">
    <cfRule type="cellIs" dxfId="2828" priority="146928" stopIfTrue="1" operator="equal">
      <formula>-1</formula>
    </cfRule>
  </conditionalFormatting>
  <conditionalFormatting sqref="D79">
    <cfRule type="cellIs" dxfId="2827" priority="146929" stopIfTrue="1" operator="lessThan">
      <formula>0.5</formula>
    </cfRule>
  </conditionalFormatting>
  <conditionalFormatting sqref="D79">
    <cfRule type="cellIs" dxfId="2826" priority="146930" stopIfTrue="1" operator="greaterThanOrEqual">
      <formula>0.5</formula>
    </cfRule>
  </conditionalFormatting>
  <conditionalFormatting sqref="D80">
    <cfRule type="cellIs" dxfId="2825" priority="146931" stopIfTrue="1" operator="equal">
      <formula>-1</formula>
    </cfRule>
  </conditionalFormatting>
  <conditionalFormatting sqref="D80">
    <cfRule type="cellIs" dxfId="2824" priority="146932" stopIfTrue="1" operator="lessThan">
      <formula>0.5</formula>
    </cfRule>
  </conditionalFormatting>
  <conditionalFormatting sqref="D80">
    <cfRule type="cellIs" dxfId="2823" priority="146933" stopIfTrue="1" operator="greaterThanOrEqual">
      <formula>0.5</formula>
    </cfRule>
  </conditionalFormatting>
  <conditionalFormatting sqref="D81">
    <cfRule type="cellIs" dxfId="2822" priority="146934" stopIfTrue="1" operator="equal">
      <formula>-1</formula>
    </cfRule>
  </conditionalFormatting>
  <conditionalFormatting sqref="D81">
    <cfRule type="cellIs" dxfId="2821" priority="146935" stopIfTrue="1" operator="lessThan">
      <formula>0.5</formula>
    </cfRule>
  </conditionalFormatting>
  <conditionalFormatting sqref="D81">
    <cfRule type="cellIs" dxfId="2820" priority="146936" stopIfTrue="1" operator="greaterThanOrEqual">
      <formula>0.5</formula>
    </cfRule>
  </conditionalFormatting>
  <conditionalFormatting sqref="D82">
    <cfRule type="cellIs" dxfId="2819" priority="146937" stopIfTrue="1" operator="equal">
      <formula>-1</formula>
    </cfRule>
  </conditionalFormatting>
  <conditionalFormatting sqref="D82">
    <cfRule type="cellIs" dxfId="2818" priority="146938" stopIfTrue="1" operator="lessThan">
      <formula>0.5</formula>
    </cfRule>
  </conditionalFormatting>
  <conditionalFormatting sqref="D82">
    <cfRule type="cellIs" dxfId="2817" priority="146939" stopIfTrue="1" operator="greaterThanOrEqual">
      <formula>0.5</formula>
    </cfRule>
  </conditionalFormatting>
  <conditionalFormatting sqref="D83">
    <cfRule type="cellIs" dxfId="2816" priority="146940" stopIfTrue="1" operator="equal">
      <formula>-1</formula>
    </cfRule>
  </conditionalFormatting>
  <conditionalFormatting sqref="D83">
    <cfRule type="cellIs" dxfId="2815" priority="146941" stopIfTrue="1" operator="lessThan">
      <formula>0.5</formula>
    </cfRule>
  </conditionalFormatting>
  <conditionalFormatting sqref="D83">
    <cfRule type="cellIs" dxfId="2814" priority="146942" stopIfTrue="1" operator="greaterThanOrEqual">
      <formula>0.5</formula>
    </cfRule>
  </conditionalFormatting>
  <conditionalFormatting sqref="D84">
    <cfRule type="cellIs" dxfId="2813" priority="146943" stopIfTrue="1" operator="equal">
      <formula>-1</formula>
    </cfRule>
  </conditionalFormatting>
  <conditionalFormatting sqref="D84">
    <cfRule type="cellIs" dxfId="2812" priority="146944" stopIfTrue="1" operator="lessThan">
      <formula>0.5</formula>
    </cfRule>
  </conditionalFormatting>
  <conditionalFormatting sqref="D84">
    <cfRule type="cellIs" dxfId="2811" priority="146945" stopIfTrue="1" operator="greaterThanOrEqual">
      <formula>0.5</formula>
    </cfRule>
  </conditionalFormatting>
  <conditionalFormatting sqref="D85">
    <cfRule type="cellIs" dxfId="2810" priority="146946" stopIfTrue="1" operator="equal">
      <formula>-1</formula>
    </cfRule>
  </conditionalFormatting>
  <conditionalFormatting sqref="D85">
    <cfRule type="cellIs" dxfId="2809" priority="146947" stopIfTrue="1" operator="lessThan">
      <formula>0.5</formula>
    </cfRule>
  </conditionalFormatting>
  <conditionalFormatting sqref="D85">
    <cfRule type="cellIs" dxfId="2808" priority="146948" stopIfTrue="1" operator="greaterThanOrEqual">
      <formula>0.5</formula>
    </cfRule>
  </conditionalFormatting>
  <conditionalFormatting sqref="F65">
    <cfRule type="cellIs" dxfId="2807" priority="146949" stopIfTrue="1" operator="equal">
      <formula>-1</formula>
    </cfRule>
  </conditionalFormatting>
  <conditionalFormatting sqref="F65">
    <cfRule type="cellIs" dxfId="2806" priority="146950" stopIfTrue="1" operator="lessThan">
      <formula>0.5</formula>
    </cfRule>
  </conditionalFormatting>
  <conditionalFormatting sqref="F65">
    <cfRule type="cellIs" dxfId="2805" priority="146951" stopIfTrue="1" operator="greaterThanOrEqual">
      <formula>0.5</formula>
    </cfRule>
  </conditionalFormatting>
  <conditionalFormatting sqref="F66">
    <cfRule type="cellIs" dxfId="2804" priority="146952" stopIfTrue="1" operator="equal">
      <formula>-1</formula>
    </cfRule>
  </conditionalFormatting>
  <conditionalFormatting sqref="F66">
    <cfRule type="cellIs" dxfId="2803" priority="146953" stopIfTrue="1" operator="lessThan">
      <formula>0.5</formula>
    </cfRule>
  </conditionalFormatting>
  <conditionalFormatting sqref="F66">
    <cfRule type="cellIs" dxfId="2802" priority="146954" stopIfTrue="1" operator="greaterThanOrEqual">
      <formula>0.5</formula>
    </cfRule>
  </conditionalFormatting>
  <conditionalFormatting sqref="F67">
    <cfRule type="cellIs" dxfId="2801" priority="146955" stopIfTrue="1" operator="equal">
      <formula>-1</formula>
    </cfRule>
  </conditionalFormatting>
  <conditionalFormatting sqref="F67">
    <cfRule type="cellIs" dxfId="2800" priority="146956" stopIfTrue="1" operator="lessThan">
      <formula>0.5</formula>
    </cfRule>
  </conditionalFormatting>
  <conditionalFormatting sqref="F67">
    <cfRule type="cellIs" dxfId="2799" priority="146957" stopIfTrue="1" operator="greaterThanOrEqual">
      <formula>0.5</formula>
    </cfRule>
  </conditionalFormatting>
  <conditionalFormatting sqref="F68">
    <cfRule type="cellIs" dxfId="2798" priority="146958" stopIfTrue="1" operator="equal">
      <formula>-1</formula>
    </cfRule>
  </conditionalFormatting>
  <conditionalFormatting sqref="F68">
    <cfRule type="cellIs" dxfId="2797" priority="146959" stopIfTrue="1" operator="lessThan">
      <formula>0.5</formula>
    </cfRule>
  </conditionalFormatting>
  <conditionalFormatting sqref="F68">
    <cfRule type="cellIs" dxfId="2796" priority="146960" stopIfTrue="1" operator="greaterThanOrEqual">
      <formula>0.5</formula>
    </cfRule>
  </conditionalFormatting>
  <conditionalFormatting sqref="F69">
    <cfRule type="cellIs" dxfId="2795" priority="146961" stopIfTrue="1" operator="equal">
      <formula>-1</formula>
    </cfRule>
  </conditionalFormatting>
  <conditionalFormatting sqref="F69">
    <cfRule type="cellIs" dxfId="2794" priority="146962" stopIfTrue="1" operator="lessThan">
      <formula>0.5</formula>
    </cfRule>
  </conditionalFormatting>
  <conditionalFormatting sqref="F69">
    <cfRule type="cellIs" dxfId="2793" priority="146963" stopIfTrue="1" operator="greaterThanOrEqual">
      <formula>0.5</formula>
    </cfRule>
  </conditionalFormatting>
  <conditionalFormatting sqref="F70">
    <cfRule type="cellIs" dxfId="2792" priority="146964" stopIfTrue="1" operator="equal">
      <formula>-1</formula>
    </cfRule>
  </conditionalFormatting>
  <conditionalFormatting sqref="F70">
    <cfRule type="cellIs" dxfId="2791" priority="146965" stopIfTrue="1" operator="lessThan">
      <formula>0.5</formula>
    </cfRule>
  </conditionalFormatting>
  <conditionalFormatting sqref="F70">
    <cfRule type="cellIs" dxfId="2790" priority="146966" stopIfTrue="1" operator="greaterThanOrEqual">
      <formula>0.5</formula>
    </cfRule>
  </conditionalFormatting>
  <conditionalFormatting sqref="F71">
    <cfRule type="cellIs" dxfId="2789" priority="146967" stopIfTrue="1" operator="equal">
      <formula>-1</formula>
    </cfRule>
  </conditionalFormatting>
  <conditionalFormatting sqref="F71">
    <cfRule type="cellIs" dxfId="2788" priority="146968" stopIfTrue="1" operator="lessThan">
      <formula>0.5</formula>
    </cfRule>
  </conditionalFormatting>
  <conditionalFormatting sqref="F71">
    <cfRule type="cellIs" dxfId="2787" priority="146969" stopIfTrue="1" operator="greaterThanOrEqual">
      <formula>0.5</formula>
    </cfRule>
  </conditionalFormatting>
  <conditionalFormatting sqref="F72">
    <cfRule type="cellIs" dxfId="2786" priority="146970" stopIfTrue="1" operator="equal">
      <formula>-1</formula>
    </cfRule>
  </conditionalFormatting>
  <conditionalFormatting sqref="F72">
    <cfRule type="cellIs" dxfId="2785" priority="146971" stopIfTrue="1" operator="lessThan">
      <formula>0.5</formula>
    </cfRule>
  </conditionalFormatting>
  <conditionalFormatting sqref="F72">
    <cfRule type="cellIs" dxfId="2784" priority="146972" stopIfTrue="1" operator="greaterThanOrEqual">
      <formula>0.5</formula>
    </cfRule>
  </conditionalFormatting>
  <conditionalFormatting sqref="F73">
    <cfRule type="cellIs" dxfId="2783" priority="146973" stopIfTrue="1" operator="equal">
      <formula>-1</formula>
    </cfRule>
  </conditionalFormatting>
  <conditionalFormatting sqref="F73">
    <cfRule type="cellIs" dxfId="2782" priority="146974" stopIfTrue="1" operator="lessThan">
      <formula>0.5</formula>
    </cfRule>
  </conditionalFormatting>
  <conditionalFormatting sqref="F73">
    <cfRule type="cellIs" dxfId="2781" priority="146975" stopIfTrue="1" operator="greaterThanOrEqual">
      <formula>0.5</formula>
    </cfRule>
  </conditionalFormatting>
  <conditionalFormatting sqref="F74">
    <cfRule type="cellIs" dxfId="2780" priority="146976" stopIfTrue="1" operator="equal">
      <formula>-1</formula>
    </cfRule>
  </conditionalFormatting>
  <conditionalFormatting sqref="F74">
    <cfRule type="cellIs" dxfId="2779" priority="146977" stopIfTrue="1" operator="lessThan">
      <formula>0.5</formula>
    </cfRule>
  </conditionalFormatting>
  <conditionalFormatting sqref="F74">
    <cfRule type="cellIs" dxfId="2778" priority="146978" stopIfTrue="1" operator="greaterThanOrEqual">
      <formula>0.5</formula>
    </cfRule>
  </conditionalFormatting>
  <conditionalFormatting sqref="F75">
    <cfRule type="cellIs" dxfId="2777" priority="146979" stopIfTrue="1" operator="equal">
      <formula>-1</formula>
    </cfRule>
  </conditionalFormatting>
  <conditionalFormatting sqref="F75">
    <cfRule type="cellIs" dxfId="2776" priority="146980" stopIfTrue="1" operator="lessThan">
      <formula>0.5</formula>
    </cfRule>
  </conditionalFormatting>
  <conditionalFormatting sqref="F75">
    <cfRule type="cellIs" dxfId="2775" priority="146981" stopIfTrue="1" operator="greaterThanOrEqual">
      <formula>0.5</formula>
    </cfRule>
  </conditionalFormatting>
  <conditionalFormatting sqref="F76">
    <cfRule type="cellIs" dxfId="2774" priority="146982" stopIfTrue="1" operator="equal">
      <formula>-1</formula>
    </cfRule>
  </conditionalFormatting>
  <conditionalFormatting sqref="F76">
    <cfRule type="cellIs" dxfId="2773" priority="146983" stopIfTrue="1" operator="lessThan">
      <formula>0.5</formula>
    </cfRule>
  </conditionalFormatting>
  <conditionalFormatting sqref="F76">
    <cfRule type="cellIs" dxfId="2772" priority="146984" stopIfTrue="1" operator="greaterThanOrEqual">
      <formula>0.5</formula>
    </cfRule>
  </conditionalFormatting>
  <conditionalFormatting sqref="F77">
    <cfRule type="cellIs" dxfId="2771" priority="146985" stopIfTrue="1" operator="equal">
      <formula>-1</formula>
    </cfRule>
  </conditionalFormatting>
  <conditionalFormatting sqref="F77">
    <cfRule type="cellIs" dxfId="2770" priority="146986" stopIfTrue="1" operator="lessThan">
      <formula>0.5</formula>
    </cfRule>
  </conditionalFormatting>
  <conditionalFormatting sqref="F77">
    <cfRule type="cellIs" dxfId="2769" priority="146987" stopIfTrue="1" operator="greaterThanOrEqual">
      <formula>0.5</formula>
    </cfRule>
  </conditionalFormatting>
  <conditionalFormatting sqref="F78">
    <cfRule type="cellIs" dxfId="2768" priority="146988" stopIfTrue="1" operator="equal">
      <formula>-1</formula>
    </cfRule>
  </conditionalFormatting>
  <conditionalFormatting sqref="F78">
    <cfRule type="cellIs" dxfId="2767" priority="146989" stopIfTrue="1" operator="lessThan">
      <formula>0.5</formula>
    </cfRule>
  </conditionalFormatting>
  <conditionalFormatting sqref="F78">
    <cfRule type="cellIs" dxfId="2766" priority="146990" stopIfTrue="1" operator="greaterThanOrEqual">
      <formula>0.5</formula>
    </cfRule>
  </conditionalFormatting>
  <conditionalFormatting sqref="F79">
    <cfRule type="cellIs" dxfId="2765" priority="146991" stopIfTrue="1" operator="equal">
      <formula>-1</formula>
    </cfRule>
  </conditionalFormatting>
  <conditionalFormatting sqref="F79">
    <cfRule type="cellIs" dxfId="2764" priority="146992" stopIfTrue="1" operator="lessThan">
      <formula>0.5</formula>
    </cfRule>
  </conditionalFormatting>
  <conditionalFormatting sqref="F79">
    <cfRule type="cellIs" dxfId="2763" priority="146993" stopIfTrue="1" operator="greaterThanOrEqual">
      <formula>0.5</formula>
    </cfRule>
  </conditionalFormatting>
  <conditionalFormatting sqref="F80">
    <cfRule type="cellIs" dxfId="2762" priority="146994" stopIfTrue="1" operator="equal">
      <formula>-1</formula>
    </cfRule>
  </conditionalFormatting>
  <conditionalFormatting sqref="F80">
    <cfRule type="cellIs" dxfId="2761" priority="146995" stopIfTrue="1" operator="lessThan">
      <formula>0.5</formula>
    </cfRule>
  </conditionalFormatting>
  <conditionalFormatting sqref="F80">
    <cfRule type="cellIs" dxfId="2760" priority="146996" stopIfTrue="1" operator="greaterThanOrEqual">
      <formula>0.5</formula>
    </cfRule>
  </conditionalFormatting>
  <conditionalFormatting sqref="F81">
    <cfRule type="cellIs" dxfId="2759" priority="146997" stopIfTrue="1" operator="equal">
      <formula>-1</formula>
    </cfRule>
  </conditionalFormatting>
  <conditionalFormatting sqref="F81">
    <cfRule type="cellIs" dxfId="2758" priority="146998" stopIfTrue="1" operator="lessThan">
      <formula>0.5</formula>
    </cfRule>
  </conditionalFormatting>
  <conditionalFormatting sqref="F81">
    <cfRule type="cellIs" dxfId="2757" priority="146999" stopIfTrue="1" operator="greaterThanOrEqual">
      <formula>0.5</formula>
    </cfRule>
  </conditionalFormatting>
  <conditionalFormatting sqref="F82">
    <cfRule type="cellIs" dxfId="2756" priority="147000" stopIfTrue="1" operator="equal">
      <formula>-1</formula>
    </cfRule>
  </conditionalFormatting>
  <conditionalFormatting sqref="F82">
    <cfRule type="cellIs" dxfId="2755" priority="147001" stopIfTrue="1" operator="lessThan">
      <formula>0.5</formula>
    </cfRule>
  </conditionalFormatting>
  <conditionalFormatting sqref="F82">
    <cfRule type="cellIs" dxfId="2754" priority="147002" stopIfTrue="1" operator="greaterThanOrEqual">
      <formula>0.5</formula>
    </cfRule>
  </conditionalFormatting>
  <conditionalFormatting sqref="F83">
    <cfRule type="cellIs" dxfId="2753" priority="147003" stopIfTrue="1" operator="equal">
      <formula>-1</formula>
    </cfRule>
  </conditionalFormatting>
  <conditionalFormatting sqref="F83">
    <cfRule type="cellIs" dxfId="2752" priority="147004" stopIfTrue="1" operator="lessThan">
      <formula>0.5</formula>
    </cfRule>
  </conditionalFormatting>
  <conditionalFormatting sqref="F83">
    <cfRule type="cellIs" dxfId="2751" priority="147005" stopIfTrue="1" operator="greaterThanOrEqual">
      <formula>0.5</formula>
    </cfRule>
  </conditionalFormatting>
  <conditionalFormatting sqref="F84">
    <cfRule type="cellIs" dxfId="2750" priority="147006" stopIfTrue="1" operator="equal">
      <formula>-1</formula>
    </cfRule>
  </conditionalFormatting>
  <conditionalFormatting sqref="F84">
    <cfRule type="cellIs" dxfId="2749" priority="147007" stopIfTrue="1" operator="lessThan">
      <formula>0.5</formula>
    </cfRule>
  </conditionalFormatting>
  <conditionalFormatting sqref="F84">
    <cfRule type="cellIs" dxfId="2748" priority="147008" stopIfTrue="1" operator="greaterThanOrEqual">
      <formula>0.5</formula>
    </cfRule>
  </conditionalFormatting>
  <conditionalFormatting sqref="F85">
    <cfRule type="cellIs" dxfId="2747" priority="147009" stopIfTrue="1" operator="equal">
      <formula>-1</formula>
    </cfRule>
  </conditionalFormatting>
  <conditionalFormatting sqref="F85">
    <cfRule type="cellIs" dxfId="2746" priority="147010" stopIfTrue="1" operator="lessThan">
      <formula>0.5</formula>
    </cfRule>
  </conditionalFormatting>
  <conditionalFormatting sqref="F85">
    <cfRule type="cellIs" dxfId="2745" priority="147011" stopIfTrue="1" operator="greaterThanOrEqual">
      <formula>0.5</formula>
    </cfRule>
  </conditionalFormatting>
  <conditionalFormatting sqref="H65">
    <cfRule type="cellIs" dxfId="2744" priority="147012" stopIfTrue="1" operator="equal">
      <formula>-1</formula>
    </cfRule>
  </conditionalFormatting>
  <conditionalFormatting sqref="H65">
    <cfRule type="cellIs" dxfId="2743" priority="147013" stopIfTrue="1" operator="lessThan">
      <formula>0.5</formula>
    </cfRule>
  </conditionalFormatting>
  <conditionalFormatting sqref="H65">
    <cfRule type="cellIs" dxfId="2742" priority="147014" stopIfTrue="1" operator="greaterThanOrEqual">
      <formula>0.5</formula>
    </cfRule>
  </conditionalFormatting>
  <conditionalFormatting sqref="H66">
    <cfRule type="cellIs" dxfId="2741" priority="147015" stopIfTrue="1" operator="equal">
      <formula>-1</formula>
    </cfRule>
  </conditionalFormatting>
  <conditionalFormatting sqref="H66">
    <cfRule type="cellIs" dxfId="2740" priority="147016" stopIfTrue="1" operator="lessThan">
      <formula>0.5</formula>
    </cfRule>
  </conditionalFormatting>
  <conditionalFormatting sqref="H66">
    <cfRule type="cellIs" dxfId="2739" priority="147017" stopIfTrue="1" operator="greaterThanOrEqual">
      <formula>0.5</formula>
    </cfRule>
  </conditionalFormatting>
  <conditionalFormatting sqref="H67">
    <cfRule type="cellIs" dxfId="2738" priority="147018" stopIfTrue="1" operator="equal">
      <formula>-1</formula>
    </cfRule>
  </conditionalFormatting>
  <conditionalFormatting sqref="H67">
    <cfRule type="cellIs" dxfId="2737" priority="147019" stopIfTrue="1" operator="lessThan">
      <formula>0.5</formula>
    </cfRule>
  </conditionalFormatting>
  <conditionalFormatting sqref="H67">
    <cfRule type="cellIs" dxfId="2736" priority="147020" stopIfTrue="1" operator="greaterThanOrEqual">
      <formula>0.5</formula>
    </cfRule>
  </conditionalFormatting>
  <conditionalFormatting sqref="H68">
    <cfRule type="cellIs" dxfId="2735" priority="147021" stopIfTrue="1" operator="equal">
      <formula>-1</formula>
    </cfRule>
  </conditionalFormatting>
  <conditionalFormatting sqref="H68">
    <cfRule type="cellIs" dxfId="2734" priority="147022" stopIfTrue="1" operator="lessThan">
      <formula>0.5</formula>
    </cfRule>
  </conditionalFormatting>
  <conditionalFormatting sqref="H68">
    <cfRule type="cellIs" dxfId="2733" priority="147023" stopIfTrue="1" operator="greaterThanOrEqual">
      <formula>0.5</formula>
    </cfRule>
  </conditionalFormatting>
  <conditionalFormatting sqref="H69">
    <cfRule type="cellIs" dxfId="2732" priority="147024" stopIfTrue="1" operator="equal">
      <formula>-1</formula>
    </cfRule>
  </conditionalFormatting>
  <conditionalFormatting sqref="H69">
    <cfRule type="cellIs" dxfId="2731" priority="147025" stopIfTrue="1" operator="lessThan">
      <formula>0.5</formula>
    </cfRule>
  </conditionalFormatting>
  <conditionalFormatting sqref="H69">
    <cfRule type="cellIs" dxfId="2730" priority="147026" stopIfTrue="1" operator="greaterThanOrEqual">
      <formula>0.5</formula>
    </cfRule>
  </conditionalFormatting>
  <conditionalFormatting sqref="H70">
    <cfRule type="cellIs" dxfId="2729" priority="147027" stopIfTrue="1" operator="equal">
      <formula>-1</formula>
    </cfRule>
  </conditionalFormatting>
  <conditionalFormatting sqref="H70">
    <cfRule type="cellIs" dxfId="2728" priority="147028" stopIfTrue="1" operator="lessThan">
      <formula>0.5</formula>
    </cfRule>
  </conditionalFormatting>
  <conditionalFormatting sqref="H70">
    <cfRule type="cellIs" dxfId="2727" priority="147029" stopIfTrue="1" operator="greaterThanOrEqual">
      <formula>0.5</formula>
    </cfRule>
  </conditionalFormatting>
  <conditionalFormatting sqref="H71">
    <cfRule type="cellIs" dxfId="2726" priority="147030" stopIfTrue="1" operator="equal">
      <formula>-1</formula>
    </cfRule>
  </conditionalFormatting>
  <conditionalFormatting sqref="H71">
    <cfRule type="cellIs" dxfId="2725" priority="147031" stopIfTrue="1" operator="lessThan">
      <formula>0.5</formula>
    </cfRule>
  </conditionalFormatting>
  <conditionalFormatting sqref="H71">
    <cfRule type="cellIs" dxfId="2724" priority="147032" stopIfTrue="1" operator="greaterThanOrEqual">
      <formula>0.5</formula>
    </cfRule>
  </conditionalFormatting>
  <conditionalFormatting sqref="H72">
    <cfRule type="cellIs" dxfId="2723" priority="147033" stopIfTrue="1" operator="equal">
      <formula>-1</formula>
    </cfRule>
  </conditionalFormatting>
  <conditionalFormatting sqref="H72">
    <cfRule type="cellIs" dxfId="2722" priority="147034" stopIfTrue="1" operator="lessThan">
      <formula>0.5</formula>
    </cfRule>
  </conditionalFormatting>
  <conditionalFormatting sqref="H72">
    <cfRule type="cellIs" dxfId="2721" priority="147035" stopIfTrue="1" operator="greaterThanOrEqual">
      <formula>0.5</formula>
    </cfRule>
  </conditionalFormatting>
  <conditionalFormatting sqref="H73">
    <cfRule type="cellIs" dxfId="2720" priority="147036" stopIfTrue="1" operator="equal">
      <formula>-1</formula>
    </cfRule>
  </conditionalFormatting>
  <conditionalFormatting sqref="H73">
    <cfRule type="cellIs" dxfId="2719" priority="147037" stopIfTrue="1" operator="lessThan">
      <formula>0.5</formula>
    </cfRule>
  </conditionalFormatting>
  <conditionalFormatting sqref="H73">
    <cfRule type="cellIs" dxfId="2718" priority="147038" stopIfTrue="1" operator="greaterThanOrEqual">
      <formula>0.5</formula>
    </cfRule>
  </conditionalFormatting>
  <conditionalFormatting sqref="H74">
    <cfRule type="cellIs" dxfId="2717" priority="147039" stopIfTrue="1" operator="equal">
      <formula>-1</formula>
    </cfRule>
  </conditionalFormatting>
  <conditionalFormatting sqref="H74">
    <cfRule type="cellIs" dxfId="2716" priority="147040" stopIfTrue="1" operator="lessThan">
      <formula>0.5</formula>
    </cfRule>
  </conditionalFormatting>
  <conditionalFormatting sqref="H74">
    <cfRule type="cellIs" dxfId="2715" priority="147041" stopIfTrue="1" operator="greaterThanOrEqual">
      <formula>0.5</formula>
    </cfRule>
  </conditionalFormatting>
  <conditionalFormatting sqref="H75">
    <cfRule type="cellIs" dxfId="2714" priority="147042" stopIfTrue="1" operator="equal">
      <formula>-1</formula>
    </cfRule>
  </conditionalFormatting>
  <conditionalFormatting sqref="H75">
    <cfRule type="cellIs" dxfId="2713" priority="147043" stopIfTrue="1" operator="lessThan">
      <formula>0.5</formula>
    </cfRule>
  </conditionalFormatting>
  <conditionalFormatting sqref="H75">
    <cfRule type="cellIs" dxfId="2712" priority="147044" stopIfTrue="1" operator="greaterThanOrEqual">
      <formula>0.5</formula>
    </cfRule>
  </conditionalFormatting>
  <conditionalFormatting sqref="H76">
    <cfRule type="cellIs" dxfId="2711" priority="147045" stopIfTrue="1" operator="equal">
      <formula>-1</formula>
    </cfRule>
  </conditionalFormatting>
  <conditionalFormatting sqref="H76">
    <cfRule type="cellIs" dxfId="2710" priority="147046" stopIfTrue="1" operator="lessThan">
      <formula>0.5</formula>
    </cfRule>
  </conditionalFormatting>
  <conditionalFormatting sqref="H76">
    <cfRule type="cellIs" dxfId="2709" priority="147047" stopIfTrue="1" operator="greaterThanOrEqual">
      <formula>0.5</formula>
    </cfRule>
  </conditionalFormatting>
  <conditionalFormatting sqref="H77">
    <cfRule type="cellIs" dxfId="2708" priority="147048" stopIfTrue="1" operator="equal">
      <formula>-1</formula>
    </cfRule>
  </conditionalFormatting>
  <conditionalFormatting sqref="H77">
    <cfRule type="cellIs" dxfId="2707" priority="147049" stopIfTrue="1" operator="lessThan">
      <formula>0.5</formula>
    </cfRule>
  </conditionalFormatting>
  <conditionalFormatting sqref="H77">
    <cfRule type="cellIs" dxfId="2706" priority="147050" stopIfTrue="1" operator="greaterThanOrEqual">
      <formula>0.5</formula>
    </cfRule>
  </conditionalFormatting>
  <conditionalFormatting sqref="H78">
    <cfRule type="cellIs" dxfId="2705" priority="147051" stopIfTrue="1" operator="equal">
      <formula>-1</formula>
    </cfRule>
  </conditionalFormatting>
  <conditionalFormatting sqref="H78">
    <cfRule type="cellIs" dxfId="2704" priority="147052" stopIfTrue="1" operator="lessThan">
      <formula>0.5</formula>
    </cfRule>
  </conditionalFormatting>
  <conditionalFormatting sqref="H78">
    <cfRule type="cellIs" dxfId="2703" priority="147053" stopIfTrue="1" operator="greaterThanOrEqual">
      <formula>0.5</formula>
    </cfRule>
  </conditionalFormatting>
  <conditionalFormatting sqref="H79">
    <cfRule type="cellIs" dxfId="2702" priority="147054" stopIfTrue="1" operator="equal">
      <formula>-1</formula>
    </cfRule>
  </conditionalFormatting>
  <conditionalFormatting sqref="H79">
    <cfRule type="cellIs" dxfId="2701" priority="147055" stopIfTrue="1" operator="lessThan">
      <formula>0.5</formula>
    </cfRule>
  </conditionalFormatting>
  <conditionalFormatting sqref="H79">
    <cfRule type="cellIs" dxfId="2700" priority="147056" stopIfTrue="1" operator="greaterThanOrEqual">
      <formula>0.5</formula>
    </cfRule>
  </conditionalFormatting>
  <conditionalFormatting sqref="H80">
    <cfRule type="cellIs" dxfId="2699" priority="147057" stopIfTrue="1" operator="equal">
      <formula>-1</formula>
    </cfRule>
  </conditionalFormatting>
  <conditionalFormatting sqref="H80">
    <cfRule type="cellIs" dxfId="2698" priority="147058" stopIfTrue="1" operator="lessThan">
      <formula>0.5</formula>
    </cfRule>
  </conditionalFormatting>
  <conditionalFormatting sqref="H80">
    <cfRule type="cellIs" dxfId="2697" priority="147059" stopIfTrue="1" operator="greaterThanOrEqual">
      <formula>0.5</formula>
    </cfRule>
  </conditionalFormatting>
  <conditionalFormatting sqref="H81">
    <cfRule type="cellIs" dxfId="2696" priority="147060" stopIfTrue="1" operator="equal">
      <formula>-1</formula>
    </cfRule>
  </conditionalFormatting>
  <conditionalFormatting sqref="H81">
    <cfRule type="cellIs" dxfId="2695" priority="147061" stopIfTrue="1" operator="lessThan">
      <formula>0.5</formula>
    </cfRule>
  </conditionalFormatting>
  <conditionalFormatting sqref="H81">
    <cfRule type="cellIs" dxfId="2694" priority="147062" stopIfTrue="1" operator="greaterThanOrEqual">
      <formula>0.5</formula>
    </cfRule>
  </conditionalFormatting>
  <conditionalFormatting sqref="H82">
    <cfRule type="cellIs" dxfId="2693" priority="147063" stopIfTrue="1" operator="equal">
      <formula>-1</formula>
    </cfRule>
  </conditionalFormatting>
  <conditionalFormatting sqref="H82">
    <cfRule type="cellIs" dxfId="2692" priority="147064" stopIfTrue="1" operator="lessThan">
      <formula>0.5</formula>
    </cfRule>
  </conditionalFormatting>
  <conditionalFormatting sqref="H82">
    <cfRule type="cellIs" dxfId="2691" priority="147065" stopIfTrue="1" operator="greaterThanOrEqual">
      <formula>0.5</formula>
    </cfRule>
  </conditionalFormatting>
  <conditionalFormatting sqref="H83">
    <cfRule type="cellIs" dxfId="2690" priority="147066" stopIfTrue="1" operator="equal">
      <formula>-1</formula>
    </cfRule>
  </conditionalFormatting>
  <conditionalFormatting sqref="H83">
    <cfRule type="cellIs" dxfId="2689" priority="147067" stopIfTrue="1" operator="lessThan">
      <formula>0.5</formula>
    </cfRule>
  </conditionalFormatting>
  <conditionalFormatting sqref="H83">
    <cfRule type="cellIs" dxfId="2688" priority="147068" stopIfTrue="1" operator="greaterThanOrEqual">
      <formula>0.5</formula>
    </cfRule>
  </conditionalFormatting>
  <conditionalFormatting sqref="H84">
    <cfRule type="cellIs" dxfId="2687" priority="147069" stopIfTrue="1" operator="equal">
      <formula>-1</formula>
    </cfRule>
  </conditionalFormatting>
  <conditionalFormatting sqref="H84">
    <cfRule type="cellIs" dxfId="2686" priority="147070" stopIfTrue="1" operator="lessThan">
      <formula>0.5</formula>
    </cfRule>
  </conditionalFormatting>
  <conditionalFormatting sqref="H84">
    <cfRule type="cellIs" dxfId="2685" priority="147071" stopIfTrue="1" operator="greaterThanOrEqual">
      <formula>0.5</formula>
    </cfRule>
  </conditionalFormatting>
  <conditionalFormatting sqref="H85">
    <cfRule type="cellIs" dxfId="2684" priority="147072" stopIfTrue="1" operator="equal">
      <formula>-1</formula>
    </cfRule>
  </conditionalFormatting>
  <conditionalFormatting sqref="H85">
    <cfRule type="cellIs" dxfId="2683" priority="147073" stopIfTrue="1" operator="lessThan">
      <formula>0.5</formula>
    </cfRule>
  </conditionalFormatting>
  <conditionalFormatting sqref="H85">
    <cfRule type="cellIs" dxfId="2682" priority="147074" stopIfTrue="1" operator="greaterThanOrEqual">
      <formula>0.5</formula>
    </cfRule>
  </conditionalFormatting>
  <conditionalFormatting sqref="J65">
    <cfRule type="cellIs" dxfId="2681" priority="147075" stopIfTrue="1" operator="equal">
      <formula>-1</formula>
    </cfRule>
  </conditionalFormatting>
  <conditionalFormatting sqref="J65">
    <cfRule type="cellIs" dxfId="2680" priority="147076" stopIfTrue="1" operator="lessThan">
      <formula>0.5</formula>
    </cfRule>
  </conditionalFormatting>
  <conditionalFormatting sqref="J65">
    <cfRule type="cellIs" dxfId="2679" priority="147077" stopIfTrue="1" operator="greaterThanOrEqual">
      <formula>0.5</formula>
    </cfRule>
  </conditionalFormatting>
  <conditionalFormatting sqref="J66">
    <cfRule type="cellIs" dxfId="2678" priority="147078" stopIfTrue="1" operator="equal">
      <formula>-1</formula>
    </cfRule>
  </conditionalFormatting>
  <conditionalFormatting sqref="J66">
    <cfRule type="cellIs" dxfId="2677" priority="147079" stopIfTrue="1" operator="lessThan">
      <formula>0.5</formula>
    </cfRule>
  </conditionalFormatting>
  <conditionalFormatting sqref="J66">
    <cfRule type="cellIs" dxfId="2676" priority="147080" stopIfTrue="1" operator="greaterThanOrEqual">
      <formula>0.5</formula>
    </cfRule>
  </conditionalFormatting>
  <conditionalFormatting sqref="J67">
    <cfRule type="cellIs" dxfId="2675" priority="147081" stopIfTrue="1" operator="equal">
      <formula>-1</formula>
    </cfRule>
  </conditionalFormatting>
  <conditionalFormatting sqref="J67">
    <cfRule type="cellIs" dxfId="2674" priority="147082" stopIfTrue="1" operator="lessThan">
      <formula>0.5</formula>
    </cfRule>
  </conditionalFormatting>
  <conditionalFormatting sqref="J67">
    <cfRule type="cellIs" dxfId="2673" priority="147083" stopIfTrue="1" operator="greaterThanOrEqual">
      <formula>0.5</formula>
    </cfRule>
  </conditionalFormatting>
  <conditionalFormatting sqref="J68">
    <cfRule type="cellIs" dxfId="2672" priority="147084" stopIfTrue="1" operator="equal">
      <formula>-1</formula>
    </cfRule>
  </conditionalFormatting>
  <conditionalFormatting sqref="J68">
    <cfRule type="cellIs" dxfId="2671" priority="147085" stopIfTrue="1" operator="lessThan">
      <formula>0.5</formula>
    </cfRule>
  </conditionalFormatting>
  <conditionalFormatting sqref="J68">
    <cfRule type="cellIs" dxfId="2670" priority="147086" stopIfTrue="1" operator="greaterThanOrEqual">
      <formula>0.5</formula>
    </cfRule>
  </conditionalFormatting>
  <conditionalFormatting sqref="J69">
    <cfRule type="cellIs" dxfId="2669" priority="147087" stopIfTrue="1" operator="equal">
      <formula>-1</formula>
    </cfRule>
  </conditionalFormatting>
  <conditionalFormatting sqref="J69">
    <cfRule type="cellIs" dxfId="2668" priority="147088" stopIfTrue="1" operator="lessThan">
      <formula>0.5</formula>
    </cfRule>
  </conditionalFormatting>
  <conditionalFormatting sqref="J69">
    <cfRule type="cellIs" dxfId="2667" priority="147089" stopIfTrue="1" operator="greaterThanOrEqual">
      <formula>0.5</formula>
    </cfRule>
  </conditionalFormatting>
  <conditionalFormatting sqref="J70">
    <cfRule type="cellIs" dxfId="2666" priority="147090" stopIfTrue="1" operator="equal">
      <formula>-1</formula>
    </cfRule>
  </conditionalFormatting>
  <conditionalFormatting sqref="J70">
    <cfRule type="cellIs" dxfId="2665" priority="147091" stopIfTrue="1" operator="lessThan">
      <formula>0.5</formula>
    </cfRule>
  </conditionalFormatting>
  <conditionalFormatting sqref="J70">
    <cfRule type="cellIs" dxfId="2664" priority="147092" stopIfTrue="1" operator="greaterThanOrEqual">
      <formula>0.5</formula>
    </cfRule>
  </conditionalFormatting>
  <conditionalFormatting sqref="J71">
    <cfRule type="cellIs" dxfId="2663" priority="147093" stopIfTrue="1" operator="equal">
      <formula>-1</formula>
    </cfRule>
  </conditionalFormatting>
  <conditionalFormatting sqref="J71">
    <cfRule type="cellIs" dxfId="2662" priority="147094" stopIfTrue="1" operator="lessThan">
      <formula>0.5</formula>
    </cfRule>
  </conditionalFormatting>
  <conditionalFormatting sqref="J71">
    <cfRule type="cellIs" dxfId="2661" priority="147095" stopIfTrue="1" operator="greaterThanOrEqual">
      <formula>0.5</formula>
    </cfRule>
  </conditionalFormatting>
  <conditionalFormatting sqref="J72">
    <cfRule type="cellIs" dxfId="2660" priority="147096" stopIfTrue="1" operator="equal">
      <formula>-1</formula>
    </cfRule>
  </conditionalFormatting>
  <conditionalFormatting sqref="J72">
    <cfRule type="cellIs" dxfId="2659" priority="147097" stopIfTrue="1" operator="lessThan">
      <formula>0.5</formula>
    </cfRule>
  </conditionalFormatting>
  <conditionalFormatting sqref="J72">
    <cfRule type="cellIs" dxfId="2658" priority="147098" stopIfTrue="1" operator="greaterThanOrEqual">
      <formula>0.5</formula>
    </cfRule>
  </conditionalFormatting>
  <conditionalFormatting sqref="J73">
    <cfRule type="cellIs" dxfId="2657" priority="147099" stopIfTrue="1" operator="equal">
      <formula>-1</formula>
    </cfRule>
  </conditionalFormatting>
  <conditionalFormatting sqref="J73">
    <cfRule type="cellIs" dxfId="2656" priority="147100" stopIfTrue="1" operator="lessThan">
      <formula>0.5</formula>
    </cfRule>
  </conditionalFormatting>
  <conditionalFormatting sqref="J73">
    <cfRule type="cellIs" dxfId="2655" priority="147101" stopIfTrue="1" operator="greaterThanOrEqual">
      <formula>0.5</formula>
    </cfRule>
  </conditionalFormatting>
  <conditionalFormatting sqref="J74">
    <cfRule type="cellIs" dxfId="2654" priority="147102" stopIfTrue="1" operator="equal">
      <formula>-1</formula>
    </cfRule>
  </conditionalFormatting>
  <conditionalFormatting sqref="J74">
    <cfRule type="cellIs" dxfId="2653" priority="147103" stopIfTrue="1" operator="lessThan">
      <formula>0.5</formula>
    </cfRule>
  </conditionalFormatting>
  <conditionalFormatting sqref="J74">
    <cfRule type="cellIs" dxfId="2652" priority="147104" stopIfTrue="1" operator="greaterThanOrEqual">
      <formula>0.5</formula>
    </cfRule>
  </conditionalFormatting>
  <conditionalFormatting sqref="J75">
    <cfRule type="cellIs" dxfId="2651" priority="147105" stopIfTrue="1" operator="equal">
      <formula>-1</formula>
    </cfRule>
  </conditionalFormatting>
  <conditionalFormatting sqref="J75">
    <cfRule type="cellIs" dxfId="2650" priority="147106" stopIfTrue="1" operator="lessThan">
      <formula>0.5</formula>
    </cfRule>
  </conditionalFormatting>
  <conditionalFormatting sqref="J75">
    <cfRule type="cellIs" dxfId="2649" priority="147107" stopIfTrue="1" operator="greaterThanOrEqual">
      <formula>0.5</formula>
    </cfRule>
  </conditionalFormatting>
  <conditionalFormatting sqref="J76">
    <cfRule type="cellIs" dxfId="2648" priority="147108" stopIfTrue="1" operator="equal">
      <formula>-1</formula>
    </cfRule>
  </conditionalFormatting>
  <conditionalFormatting sqref="J76">
    <cfRule type="cellIs" dxfId="2647" priority="147109" stopIfTrue="1" operator="lessThan">
      <formula>0.5</formula>
    </cfRule>
  </conditionalFormatting>
  <conditionalFormatting sqref="J76">
    <cfRule type="cellIs" dxfId="2646" priority="147110" stopIfTrue="1" operator="greaterThanOrEqual">
      <formula>0.5</formula>
    </cfRule>
  </conditionalFormatting>
  <conditionalFormatting sqref="J77">
    <cfRule type="cellIs" dxfId="2645" priority="147111" stopIfTrue="1" operator="equal">
      <formula>-1</formula>
    </cfRule>
  </conditionalFormatting>
  <conditionalFormatting sqref="J77">
    <cfRule type="cellIs" dxfId="2644" priority="147112" stopIfTrue="1" operator="lessThan">
      <formula>0.5</formula>
    </cfRule>
  </conditionalFormatting>
  <conditionalFormatting sqref="J77">
    <cfRule type="cellIs" dxfId="2643" priority="147113" stopIfTrue="1" operator="greaterThanOrEqual">
      <formula>0.5</formula>
    </cfRule>
  </conditionalFormatting>
  <conditionalFormatting sqref="J78">
    <cfRule type="cellIs" dxfId="2642" priority="147114" stopIfTrue="1" operator="equal">
      <formula>-1</formula>
    </cfRule>
  </conditionalFormatting>
  <conditionalFormatting sqref="J78">
    <cfRule type="cellIs" dxfId="2641" priority="147115" stopIfTrue="1" operator="lessThan">
      <formula>0.5</formula>
    </cfRule>
  </conditionalFormatting>
  <conditionalFormatting sqref="J78">
    <cfRule type="cellIs" dxfId="2640" priority="147116" stopIfTrue="1" operator="greaterThanOrEqual">
      <formula>0.5</formula>
    </cfRule>
  </conditionalFormatting>
  <conditionalFormatting sqref="J79">
    <cfRule type="cellIs" dxfId="2639" priority="147117" stopIfTrue="1" operator="equal">
      <formula>-1</formula>
    </cfRule>
  </conditionalFormatting>
  <conditionalFormatting sqref="J79">
    <cfRule type="cellIs" dxfId="2638" priority="147118" stopIfTrue="1" operator="lessThan">
      <formula>0.5</formula>
    </cfRule>
  </conditionalFormatting>
  <conditionalFormatting sqref="J79">
    <cfRule type="cellIs" dxfId="2637" priority="147119" stopIfTrue="1" operator="greaterThanOrEqual">
      <formula>0.5</formula>
    </cfRule>
  </conditionalFormatting>
  <conditionalFormatting sqref="J80">
    <cfRule type="cellIs" dxfId="2636" priority="147120" stopIfTrue="1" operator="equal">
      <formula>-1</formula>
    </cfRule>
  </conditionalFormatting>
  <conditionalFormatting sqref="J80">
    <cfRule type="cellIs" dxfId="2635" priority="147121" stopIfTrue="1" operator="lessThan">
      <formula>0.5</formula>
    </cfRule>
  </conditionalFormatting>
  <conditionalFormatting sqref="J80">
    <cfRule type="cellIs" dxfId="2634" priority="147122" stopIfTrue="1" operator="greaterThanOrEqual">
      <formula>0.5</formula>
    </cfRule>
  </conditionalFormatting>
  <conditionalFormatting sqref="J81">
    <cfRule type="cellIs" dxfId="2633" priority="147123" stopIfTrue="1" operator="equal">
      <formula>-1</formula>
    </cfRule>
  </conditionalFormatting>
  <conditionalFormatting sqref="J81">
    <cfRule type="cellIs" dxfId="2632" priority="147124" stopIfTrue="1" operator="lessThan">
      <formula>0.5</formula>
    </cfRule>
  </conditionalFormatting>
  <conditionalFormatting sqref="J81">
    <cfRule type="cellIs" dxfId="2631" priority="147125" stopIfTrue="1" operator="greaterThanOrEqual">
      <formula>0.5</formula>
    </cfRule>
  </conditionalFormatting>
  <conditionalFormatting sqref="J82">
    <cfRule type="cellIs" dxfId="2630" priority="147126" stopIfTrue="1" operator="equal">
      <formula>-1</formula>
    </cfRule>
  </conditionalFormatting>
  <conditionalFormatting sqref="J82">
    <cfRule type="cellIs" dxfId="2629" priority="147127" stopIfTrue="1" operator="lessThan">
      <formula>0.5</formula>
    </cfRule>
  </conditionalFormatting>
  <conditionalFormatting sqref="J82">
    <cfRule type="cellIs" dxfId="2628" priority="147128" stopIfTrue="1" operator="greaterThanOrEqual">
      <formula>0.5</formula>
    </cfRule>
  </conditionalFormatting>
  <conditionalFormatting sqref="J83">
    <cfRule type="cellIs" dxfId="2627" priority="147129" stopIfTrue="1" operator="equal">
      <formula>-1</formula>
    </cfRule>
  </conditionalFormatting>
  <conditionalFormatting sqref="J83">
    <cfRule type="cellIs" dxfId="2626" priority="147130" stopIfTrue="1" operator="lessThan">
      <formula>0.5</formula>
    </cfRule>
  </conditionalFormatting>
  <conditionalFormatting sqref="J83">
    <cfRule type="cellIs" dxfId="2625" priority="147131" stopIfTrue="1" operator="greaterThanOrEqual">
      <formula>0.5</formula>
    </cfRule>
  </conditionalFormatting>
  <conditionalFormatting sqref="J84">
    <cfRule type="cellIs" dxfId="2624" priority="147132" stopIfTrue="1" operator="equal">
      <formula>-1</formula>
    </cfRule>
  </conditionalFormatting>
  <conditionalFormatting sqref="J84">
    <cfRule type="cellIs" dxfId="2623" priority="147133" stopIfTrue="1" operator="lessThan">
      <formula>0.5</formula>
    </cfRule>
  </conditionalFormatting>
  <conditionalFormatting sqref="J84">
    <cfRule type="cellIs" dxfId="2622" priority="147134" stopIfTrue="1" operator="greaterThanOrEqual">
      <formula>0.5</formula>
    </cfRule>
  </conditionalFormatting>
  <conditionalFormatting sqref="J85">
    <cfRule type="cellIs" dxfId="2621" priority="147135" stopIfTrue="1" operator="equal">
      <formula>-1</formula>
    </cfRule>
  </conditionalFormatting>
  <conditionalFormatting sqref="J85">
    <cfRule type="cellIs" dxfId="2620" priority="147136" stopIfTrue="1" operator="lessThan">
      <formula>0.5</formula>
    </cfRule>
  </conditionalFormatting>
  <conditionalFormatting sqref="J85">
    <cfRule type="cellIs" dxfId="2619" priority="147137" stopIfTrue="1" operator="greaterThanOrEqual">
      <formula>0.5</formula>
    </cfRule>
  </conditionalFormatting>
  <conditionalFormatting sqref="L65">
    <cfRule type="cellIs" dxfId="2618" priority="147138" stopIfTrue="1" operator="equal">
      <formula>-1</formula>
    </cfRule>
  </conditionalFormatting>
  <conditionalFormatting sqref="L65">
    <cfRule type="cellIs" dxfId="2617" priority="147139" stopIfTrue="1" operator="lessThan">
      <formula>0.5</formula>
    </cfRule>
  </conditionalFormatting>
  <conditionalFormatting sqref="L65">
    <cfRule type="cellIs" dxfId="2616" priority="147140" stopIfTrue="1" operator="greaterThanOrEqual">
      <formula>0.5</formula>
    </cfRule>
  </conditionalFormatting>
  <conditionalFormatting sqref="L66">
    <cfRule type="cellIs" dxfId="2615" priority="147141" stopIfTrue="1" operator="equal">
      <formula>-1</formula>
    </cfRule>
  </conditionalFormatting>
  <conditionalFormatting sqref="L66">
    <cfRule type="cellIs" dxfId="2614" priority="147142" stopIfTrue="1" operator="lessThan">
      <formula>0.5</formula>
    </cfRule>
  </conditionalFormatting>
  <conditionalFormatting sqref="L66">
    <cfRule type="cellIs" dxfId="2613" priority="147143" stopIfTrue="1" operator="greaterThanOrEqual">
      <formula>0.5</formula>
    </cfRule>
  </conditionalFormatting>
  <conditionalFormatting sqref="L67">
    <cfRule type="cellIs" dxfId="2612" priority="147144" stopIfTrue="1" operator="equal">
      <formula>-1</formula>
    </cfRule>
  </conditionalFormatting>
  <conditionalFormatting sqref="L67">
    <cfRule type="cellIs" dxfId="2611" priority="147145" stopIfTrue="1" operator="lessThan">
      <formula>0.5</formula>
    </cfRule>
  </conditionalFormatting>
  <conditionalFormatting sqref="L67">
    <cfRule type="cellIs" dxfId="2610" priority="147146" stopIfTrue="1" operator="greaterThanOrEqual">
      <formula>0.5</formula>
    </cfRule>
  </conditionalFormatting>
  <conditionalFormatting sqref="L68">
    <cfRule type="cellIs" dxfId="2609" priority="147147" stopIfTrue="1" operator="equal">
      <formula>-1</formula>
    </cfRule>
  </conditionalFormatting>
  <conditionalFormatting sqref="L68">
    <cfRule type="cellIs" dxfId="2608" priority="147148" stopIfTrue="1" operator="lessThan">
      <formula>0.5</formula>
    </cfRule>
  </conditionalFormatting>
  <conditionalFormatting sqref="L68">
    <cfRule type="cellIs" dxfId="2607" priority="147149" stopIfTrue="1" operator="greaterThanOrEqual">
      <formula>0.5</formula>
    </cfRule>
  </conditionalFormatting>
  <conditionalFormatting sqref="L69">
    <cfRule type="cellIs" dxfId="2606" priority="147150" stopIfTrue="1" operator="equal">
      <formula>-1</formula>
    </cfRule>
  </conditionalFormatting>
  <conditionalFormatting sqref="L69">
    <cfRule type="cellIs" dxfId="2605" priority="147151" stopIfTrue="1" operator="lessThan">
      <formula>0.5</formula>
    </cfRule>
  </conditionalFormatting>
  <conditionalFormatting sqref="L69">
    <cfRule type="cellIs" dxfId="2604" priority="147152" stopIfTrue="1" operator="greaterThanOrEqual">
      <formula>0.5</formula>
    </cfRule>
  </conditionalFormatting>
  <conditionalFormatting sqref="L70">
    <cfRule type="cellIs" dxfId="2603" priority="147153" stopIfTrue="1" operator="equal">
      <formula>-1</formula>
    </cfRule>
  </conditionalFormatting>
  <conditionalFormatting sqref="L70">
    <cfRule type="cellIs" dxfId="2602" priority="147154" stopIfTrue="1" operator="lessThan">
      <formula>0.5</formula>
    </cfRule>
  </conditionalFormatting>
  <conditionalFormatting sqref="L70">
    <cfRule type="cellIs" dxfId="2601" priority="147155" stopIfTrue="1" operator="greaterThanOrEqual">
      <formula>0.5</formula>
    </cfRule>
  </conditionalFormatting>
  <conditionalFormatting sqref="L71">
    <cfRule type="cellIs" dxfId="2600" priority="147156" stopIfTrue="1" operator="equal">
      <formula>-1</formula>
    </cfRule>
  </conditionalFormatting>
  <conditionalFormatting sqref="L71">
    <cfRule type="cellIs" dxfId="2599" priority="147157" stopIfTrue="1" operator="lessThan">
      <formula>0.5</formula>
    </cfRule>
  </conditionalFormatting>
  <conditionalFormatting sqref="L71">
    <cfRule type="cellIs" dxfId="2598" priority="147158" stopIfTrue="1" operator="greaterThanOrEqual">
      <formula>0.5</formula>
    </cfRule>
  </conditionalFormatting>
  <conditionalFormatting sqref="L72">
    <cfRule type="cellIs" dxfId="2597" priority="147159" stopIfTrue="1" operator="equal">
      <formula>-1</formula>
    </cfRule>
  </conditionalFormatting>
  <conditionalFormatting sqref="L72">
    <cfRule type="cellIs" dxfId="2596" priority="147160" stopIfTrue="1" operator="lessThan">
      <formula>0.5</formula>
    </cfRule>
  </conditionalFormatting>
  <conditionalFormatting sqref="L72">
    <cfRule type="cellIs" dxfId="2595" priority="147161" stopIfTrue="1" operator="greaterThanOrEqual">
      <formula>0.5</formula>
    </cfRule>
  </conditionalFormatting>
  <conditionalFormatting sqref="L73">
    <cfRule type="cellIs" dxfId="2594" priority="147162" stopIfTrue="1" operator="equal">
      <formula>-1</formula>
    </cfRule>
  </conditionalFormatting>
  <conditionalFormatting sqref="L73">
    <cfRule type="cellIs" dxfId="2593" priority="147163" stopIfTrue="1" operator="lessThan">
      <formula>0.5</formula>
    </cfRule>
  </conditionalFormatting>
  <conditionalFormatting sqref="L73">
    <cfRule type="cellIs" dxfId="2592" priority="147164" stopIfTrue="1" operator="greaterThanOrEqual">
      <formula>0.5</formula>
    </cfRule>
  </conditionalFormatting>
  <conditionalFormatting sqref="L74">
    <cfRule type="cellIs" dxfId="2591" priority="147165" stopIfTrue="1" operator="equal">
      <formula>-1</formula>
    </cfRule>
  </conditionalFormatting>
  <conditionalFormatting sqref="L74">
    <cfRule type="cellIs" dxfId="2590" priority="147166" stopIfTrue="1" operator="lessThan">
      <formula>0.5</formula>
    </cfRule>
  </conditionalFormatting>
  <conditionalFormatting sqref="L74">
    <cfRule type="cellIs" dxfId="2589" priority="147167" stopIfTrue="1" operator="greaterThanOrEqual">
      <formula>0.5</formula>
    </cfRule>
  </conditionalFormatting>
  <conditionalFormatting sqref="L75">
    <cfRule type="cellIs" dxfId="2588" priority="147168" stopIfTrue="1" operator="equal">
      <formula>-1</formula>
    </cfRule>
  </conditionalFormatting>
  <conditionalFormatting sqref="L75">
    <cfRule type="cellIs" dxfId="2587" priority="147169" stopIfTrue="1" operator="lessThan">
      <formula>0.5</formula>
    </cfRule>
  </conditionalFormatting>
  <conditionalFormatting sqref="L75">
    <cfRule type="cellIs" dxfId="2586" priority="147170" stopIfTrue="1" operator="greaterThanOrEqual">
      <formula>0.5</formula>
    </cfRule>
  </conditionalFormatting>
  <conditionalFormatting sqref="L76">
    <cfRule type="cellIs" dxfId="2585" priority="147171" stopIfTrue="1" operator="equal">
      <formula>-1</formula>
    </cfRule>
  </conditionalFormatting>
  <conditionalFormatting sqref="L76">
    <cfRule type="cellIs" dxfId="2584" priority="147172" stopIfTrue="1" operator="lessThan">
      <formula>0.5</formula>
    </cfRule>
  </conditionalFormatting>
  <conditionalFormatting sqref="L76">
    <cfRule type="cellIs" dxfId="2583" priority="147173" stopIfTrue="1" operator="greaterThanOrEqual">
      <formula>0.5</formula>
    </cfRule>
  </conditionalFormatting>
  <conditionalFormatting sqref="L77">
    <cfRule type="cellIs" dxfId="2582" priority="147174" stopIfTrue="1" operator="equal">
      <formula>-1</formula>
    </cfRule>
  </conditionalFormatting>
  <conditionalFormatting sqref="L77">
    <cfRule type="cellIs" dxfId="2581" priority="147175" stopIfTrue="1" operator="lessThan">
      <formula>0.5</formula>
    </cfRule>
  </conditionalFormatting>
  <conditionalFormatting sqref="L77">
    <cfRule type="cellIs" dxfId="2580" priority="147176" stopIfTrue="1" operator="greaterThanOrEqual">
      <formula>0.5</formula>
    </cfRule>
  </conditionalFormatting>
  <conditionalFormatting sqref="L78">
    <cfRule type="cellIs" dxfId="2579" priority="147177" stopIfTrue="1" operator="equal">
      <formula>-1</formula>
    </cfRule>
  </conditionalFormatting>
  <conditionalFormatting sqref="L78">
    <cfRule type="cellIs" dxfId="2578" priority="147178" stopIfTrue="1" operator="lessThan">
      <formula>0.5</formula>
    </cfRule>
  </conditionalFormatting>
  <conditionalFormatting sqref="L78">
    <cfRule type="cellIs" dxfId="2577" priority="147179" stopIfTrue="1" operator="greaterThanOrEqual">
      <formula>0.5</formula>
    </cfRule>
  </conditionalFormatting>
  <conditionalFormatting sqref="L79">
    <cfRule type="cellIs" dxfId="2576" priority="147180" stopIfTrue="1" operator="equal">
      <formula>-1</formula>
    </cfRule>
  </conditionalFormatting>
  <conditionalFormatting sqref="L79">
    <cfRule type="cellIs" dxfId="2575" priority="147181" stopIfTrue="1" operator="lessThan">
      <formula>0.5</formula>
    </cfRule>
  </conditionalFormatting>
  <conditionalFormatting sqref="L79">
    <cfRule type="cellIs" dxfId="2574" priority="147182" stopIfTrue="1" operator="greaterThanOrEqual">
      <formula>0.5</formula>
    </cfRule>
  </conditionalFormatting>
  <conditionalFormatting sqref="L80">
    <cfRule type="cellIs" dxfId="2573" priority="147183" stopIfTrue="1" operator="equal">
      <formula>-1</formula>
    </cfRule>
  </conditionalFormatting>
  <conditionalFormatting sqref="L80">
    <cfRule type="cellIs" dxfId="2572" priority="147184" stopIfTrue="1" operator="lessThan">
      <formula>0.5</formula>
    </cfRule>
  </conditionalFormatting>
  <conditionalFormatting sqref="L80">
    <cfRule type="cellIs" dxfId="2571" priority="147185" stopIfTrue="1" operator="greaterThanOrEqual">
      <formula>0.5</formula>
    </cfRule>
  </conditionalFormatting>
  <conditionalFormatting sqref="L81">
    <cfRule type="cellIs" dxfId="2570" priority="147186" stopIfTrue="1" operator="equal">
      <formula>-1</formula>
    </cfRule>
  </conditionalFormatting>
  <conditionalFormatting sqref="L81">
    <cfRule type="cellIs" dxfId="2569" priority="147187" stopIfTrue="1" operator="lessThan">
      <formula>0.5</formula>
    </cfRule>
  </conditionalFormatting>
  <conditionalFormatting sqref="L81">
    <cfRule type="cellIs" dxfId="2568" priority="147188" stopIfTrue="1" operator="greaterThanOrEqual">
      <formula>0.5</formula>
    </cfRule>
  </conditionalFormatting>
  <conditionalFormatting sqref="L82">
    <cfRule type="cellIs" dxfId="2567" priority="147189" stopIfTrue="1" operator="equal">
      <formula>-1</formula>
    </cfRule>
  </conditionalFormatting>
  <conditionalFormatting sqref="L82">
    <cfRule type="cellIs" dxfId="2566" priority="147190" stopIfTrue="1" operator="lessThan">
      <formula>0.5</formula>
    </cfRule>
  </conditionalFormatting>
  <conditionalFormatting sqref="L82">
    <cfRule type="cellIs" dxfId="2565" priority="147191" stopIfTrue="1" operator="greaterThanOrEqual">
      <formula>0.5</formula>
    </cfRule>
  </conditionalFormatting>
  <conditionalFormatting sqref="L83">
    <cfRule type="cellIs" dxfId="2564" priority="147192" stopIfTrue="1" operator="equal">
      <formula>-1</formula>
    </cfRule>
  </conditionalFormatting>
  <conditionalFormatting sqref="L83">
    <cfRule type="cellIs" dxfId="2563" priority="147193" stopIfTrue="1" operator="lessThan">
      <formula>0.5</formula>
    </cfRule>
  </conditionalFormatting>
  <conditionalFormatting sqref="L83">
    <cfRule type="cellIs" dxfId="2562" priority="147194" stopIfTrue="1" operator="greaterThanOrEqual">
      <formula>0.5</formula>
    </cfRule>
  </conditionalFormatting>
  <conditionalFormatting sqref="L84">
    <cfRule type="cellIs" dxfId="2561" priority="147195" stopIfTrue="1" operator="equal">
      <formula>-1</formula>
    </cfRule>
  </conditionalFormatting>
  <conditionalFormatting sqref="L84">
    <cfRule type="cellIs" dxfId="2560" priority="147196" stopIfTrue="1" operator="lessThan">
      <formula>0.5</formula>
    </cfRule>
  </conditionalFormatting>
  <conditionalFormatting sqref="L84">
    <cfRule type="cellIs" dxfId="2559" priority="147197" stopIfTrue="1" operator="greaterThanOrEqual">
      <formula>0.5</formula>
    </cfRule>
  </conditionalFormatting>
  <conditionalFormatting sqref="L85">
    <cfRule type="cellIs" dxfId="2558" priority="147198" stopIfTrue="1" operator="equal">
      <formula>-1</formula>
    </cfRule>
  </conditionalFormatting>
  <conditionalFormatting sqref="L85">
    <cfRule type="cellIs" dxfId="2557" priority="147199" stopIfTrue="1" operator="lessThan">
      <formula>0.5</formula>
    </cfRule>
  </conditionalFormatting>
  <conditionalFormatting sqref="L85">
    <cfRule type="cellIs" dxfId="2556" priority="147200" stopIfTrue="1" operator="greaterThanOrEqual">
      <formula>0.5</formula>
    </cfRule>
  </conditionalFormatting>
  <conditionalFormatting sqref="N65">
    <cfRule type="cellIs" dxfId="2555" priority="147201" stopIfTrue="1" operator="equal">
      <formula>-1</formula>
    </cfRule>
  </conditionalFormatting>
  <conditionalFormatting sqref="N65">
    <cfRule type="cellIs" dxfId="2554" priority="147202" stopIfTrue="1" operator="lessThan">
      <formula>0.5</formula>
    </cfRule>
  </conditionalFormatting>
  <conditionalFormatting sqref="N65">
    <cfRule type="cellIs" dxfId="2553" priority="147203" stopIfTrue="1" operator="greaterThanOrEqual">
      <formula>0.5</formula>
    </cfRule>
  </conditionalFormatting>
  <conditionalFormatting sqref="N66">
    <cfRule type="cellIs" dxfId="2552" priority="147204" stopIfTrue="1" operator="equal">
      <formula>-1</formula>
    </cfRule>
  </conditionalFormatting>
  <conditionalFormatting sqref="N66">
    <cfRule type="cellIs" dxfId="2551" priority="147205" stopIfTrue="1" operator="lessThan">
      <formula>0.5</formula>
    </cfRule>
  </conditionalFormatting>
  <conditionalFormatting sqref="N66">
    <cfRule type="cellIs" dxfId="2550" priority="147206" stopIfTrue="1" operator="greaterThanOrEqual">
      <formula>0.5</formula>
    </cfRule>
  </conditionalFormatting>
  <conditionalFormatting sqref="N67">
    <cfRule type="cellIs" dxfId="2549" priority="147207" stopIfTrue="1" operator="equal">
      <formula>-1</formula>
    </cfRule>
  </conditionalFormatting>
  <conditionalFormatting sqref="N67">
    <cfRule type="cellIs" dxfId="2548" priority="147208" stopIfTrue="1" operator="lessThan">
      <formula>0.5</formula>
    </cfRule>
  </conditionalFormatting>
  <conditionalFormatting sqref="N67">
    <cfRule type="cellIs" dxfId="2547" priority="147209" stopIfTrue="1" operator="greaterThanOrEqual">
      <formula>0.5</formula>
    </cfRule>
  </conditionalFormatting>
  <conditionalFormatting sqref="N68">
    <cfRule type="cellIs" dxfId="2546" priority="147210" stopIfTrue="1" operator="equal">
      <formula>-1</formula>
    </cfRule>
  </conditionalFormatting>
  <conditionalFormatting sqref="N68">
    <cfRule type="cellIs" dxfId="2545" priority="147211" stopIfTrue="1" operator="lessThan">
      <formula>0.5</formula>
    </cfRule>
  </conditionalFormatting>
  <conditionalFormatting sqref="N68">
    <cfRule type="cellIs" dxfId="2544" priority="147212" stopIfTrue="1" operator="greaterThanOrEqual">
      <formula>0.5</formula>
    </cfRule>
  </conditionalFormatting>
  <conditionalFormatting sqref="N69">
    <cfRule type="cellIs" dxfId="2543" priority="147213" stopIfTrue="1" operator="equal">
      <formula>-1</formula>
    </cfRule>
  </conditionalFormatting>
  <conditionalFormatting sqref="N69">
    <cfRule type="cellIs" dxfId="2542" priority="147214" stopIfTrue="1" operator="lessThan">
      <formula>0.5</formula>
    </cfRule>
  </conditionalFormatting>
  <conditionalFormatting sqref="N69">
    <cfRule type="cellIs" dxfId="2541" priority="147215" stopIfTrue="1" operator="greaterThanOrEqual">
      <formula>0.5</formula>
    </cfRule>
  </conditionalFormatting>
  <conditionalFormatting sqref="N70">
    <cfRule type="cellIs" dxfId="2540" priority="147216" stopIfTrue="1" operator="equal">
      <formula>-1</formula>
    </cfRule>
  </conditionalFormatting>
  <conditionalFormatting sqref="N70">
    <cfRule type="cellIs" dxfId="2539" priority="147217" stopIfTrue="1" operator="lessThan">
      <formula>0.5</formula>
    </cfRule>
  </conditionalFormatting>
  <conditionalFormatting sqref="N70">
    <cfRule type="cellIs" dxfId="2538" priority="147218" stopIfTrue="1" operator="greaterThanOrEqual">
      <formula>0.5</formula>
    </cfRule>
  </conditionalFormatting>
  <conditionalFormatting sqref="N71">
    <cfRule type="cellIs" dxfId="2537" priority="147219" stopIfTrue="1" operator="equal">
      <formula>-1</formula>
    </cfRule>
  </conditionalFormatting>
  <conditionalFormatting sqref="N71">
    <cfRule type="cellIs" dxfId="2536" priority="147220" stopIfTrue="1" operator="lessThan">
      <formula>0.5</formula>
    </cfRule>
  </conditionalFormatting>
  <conditionalFormatting sqref="N71">
    <cfRule type="cellIs" dxfId="2535" priority="147221" stopIfTrue="1" operator="greaterThanOrEqual">
      <formula>0.5</formula>
    </cfRule>
  </conditionalFormatting>
  <conditionalFormatting sqref="N72">
    <cfRule type="cellIs" dxfId="2534" priority="147222" stopIfTrue="1" operator="equal">
      <formula>-1</formula>
    </cfRule>
  </conditionalFormatting>
  <conditionalFormatting sqref="N72">
    <cfRule type="cellIs" dxfId="2533" priority="147223" stopIfTrue="1" operator="lessThan">
      <formula>0.5</formula>
    </cfRule>
  </conditionalFormatting>
  <conditionalFormatting sqref="N72">
    <cfRule type="cellIs" dxfId="2532" priority="147224" stopIfTrue="1" operator="greaterThanOrEqual">
      <formula>0.5</formula>
    </cfRule>
  </conditionalFormatting>
  <conditionalFormatting sqref="N73">
    <cfRule type="cellIs" dxfId="2531" priority="147225" stopIfTrue="1" operator="equal">
      <formula>-1</formula>
    </cfRule>
  </conditionalFormatting>
  <conditionalFormatting sqref="N73">
    <cfRule type="cellIs" dxfId="2530" priority="147226" stopIfTrue="1" operator="lessThan">
      <formula>0.5</formula>
    </cfRule>
  </conditionalFormatting>
  <conditionalFormatting sqref="N73">
    <cfRule type="cellIs" dxfId="2529" priority="147227" stopIfTrue="1" operator="greaterThanOrEqual">
      <formula>0.5</formula>
    </cfRule>
  </conditionalFormatting>
  <conditionalFormatting sqref="N74">
    <cfRule type="cellIs" dxfId="2528" priority="147228" stopIfTrue="1" operator="equal">
      <formula>-1</formula>
    </cfRule>
  </conditionalFormatting>
  <conditionalFormatting sqref="N74">
    <cfRule type="cellIs" dxfId="2527" priority="147229" stopIfTrue="1" operator="lessThan">
      <formula>0.5</formula>
    </cfRule>
  </conditionalFormatting>
  <conditionalFormatting sqref="N74">
    <cfRule type="cellIs" dxfId="2526" priority="147230" stopIfTrue="1" operator="greaterThanOrEqual">
      <formula>0.5</formula>
    </cfRule>
  </conditionalFormatting>
  <conditionalFormatting sqref="N75">
    <cfRule type="cellIs" dxfId="2525" priority="147231" stopIfTrue="1" operator="equal">
      <formula>-1</formula>
    </cfRule>
  </conditionalFormatting>
  <conditionalFormatting sqref="N75">
    <cfRule type="cellIs" dxfId="2524" priority="147232" stopIfTrue="1" operator="lessThan">
      <formula>0.5</formula>
    </cfRule>
  </conditionalFormatting>
  <conditionalFormatting sqref="N75">
    <cfRule type="cellIs" dxfId="2523" priority="147233" stopIfTrue="1" operator="greaterThanOrEqual">
      <formula>0.5</formula>
    </cfRule>
  </conditionalFormatting>
  <conditionalFormatting sqref="N76">
    <cfRule type="cellIs" dxfId="2522" priority="147234" stopIfTrue="1" operator="equal">
      <formula>-1</formula>
    </cfRule>
  </conditionalFormatting>
  <conditionalFormatting sqref="N76">
    <cfRule type="cellIs" dxfId="2521" priority="147235" stopIfTrue="1" operator="lessThan">
      <formula>0.5</formula>
    </cfRule>
  </conditionalFormatting>
  <conditionalFormatting sqref="N76">
    <cfRule type="cellIs" dxfId="2520" priority="147236" stopIfTrue="1" operator="greaterThanOrEqual">
      <formula>0.5</formula>
    </cfRule>
  </conditionalFormatting>
  <conditionalFormatting sqref="N77">
    <cfRule type="cellIs" dxfId="2519" priority="147237" stopIfTrue="1" operator="equal">
      <formula>-1</formula>
    </cfRule>
  </conditionalFormatting>
  <conditionalFormatting sqref="N77">
    <cfRule type="cellIs" dxfId="2518" priority="147238" stopIfTrue="1" operator="lessThan">
      <formula>0.5</formula>
    </cfRule>
  </conditionalFormatting>
  <conditionalFormatting sqref="N77">
    <cfRule type="cellIs" dxfId="2517" priority="147239" stopIfTrue="1" operator="greaterThanOrEqual">
      <formula>0.5</formula>
    </cfRule>
  </conditionalFormatting>
  <conditionalFormatting sqref="N78">
    <cfRule type="cellIs" dxfId="2516" priority="147240" stopIfTrue="1" operator="equal">
      <formula>-1</formula>
    </cfRule>
  </conditionalFormatting>
  <conditionalFormatting sqref="N78">
    <cfRule type="cellIs" dxfId="2515" priority="147241" stopIfTrue="1" operator="lessThan">
      <formula>0.5</formula>
    </cfRule>
  </conditionalFormatting>
  <conditionalFormatting sqref="N78">
    <cfRule type="cellIs" dxfId="2514" priority="147242" stopIfTrue="1" operator="greaterThanOrEqual">
      <formula>0.5</formula>
    </cfRule>
  </conditionalFormatting>
  <conditionalFormatting sqref="N79">
    <cfRule type="cellIs" dxfId="2513" priority="147243" stopIfTrue="1" operator="equal">
      <formula>-1</formula>
    </cfRule>
  </conditionalFormatting>
  <conditionalFormatting sqref="N79">
    <cfRule type="cellIs" dxfId="2512" priority="147244" stopIfTrue="1" operator="lessThan">
      <formula>0.5</formula>
    </cfRule>
  </conditionalFormatting>
  <conditionalFormatting sqref="N79">
    <cfRule type="cellIs" dxfId="2511" priority="147245" stopIfTrue="1" operator="greaterThanOrEqual">
      <formula>0.5</formula>
    </cfRule>
  </conditionalFormatting>
  <conditionalFormatting sqref="N80">
    <cfRule type="cellIs" dxfId="2510" priority="147246" stopIfTrue="1" operator="equal">
      <formula>-1</formula>
    </cfRule>
  </conditionalFormatting>
  <conditionalFormatting sqref="N80">
    <cfRule type="cellIs" dxfId="2509" priority="147247" stopIfTrue="1" operator="lessThan">
      <formula>0.5</formula>
    </cfRule>
  </conditionalFormatting>
  <conditionalFormatting sqref="N80">
    <cfRule type="cellIs" dxfId="2508" priority="147248" stopIfTrue="1" operator="greaterThanOrEqual">
      <formula>0.5</formula>
    </cfRule>
  </conditionalFormatting>
  <conditionalFormatting sqref="N81">
    <cfRule type="cellIs" dxfId="2507" priority="147249" stopIfTrue="1" operator="equal">
      <formula>-1</formula>
    </cfRule>
  </conditionalFormatting>
  <conditionalFormatting sqref="N81">
    <cfRule type="cellIs" dxfId="2506" priority="147250" stopIfTrue="1" operator="lessThan">
      <formula>0.5</formula>
    </cfRule>
  </conditionalFormatting>
  <conditionalFormatting sqref="N81">
    <cfRule type="cellIs" dxfId="2505" priority="147251" stopIfTrue="1" operator="greaterThanOrEqual">
      <formula>0.5</formula>
    </cfRule>
  </conditionalFormatting>
  <conditionalFormatting sqref="N82">
    <cfRule type="cellIs" dxfId="2504" priority="147252" stopIfTrue="1" operator="equal">
      <formula>-1</formula>
    </cfRule>
  </conditionalFormatting>
  <conditionalFormatting sqref="N82">
    <cfRule type="cellIs" dxfId="2503" priority="147253" stopIfTrue="1" operator="lessThan">
      <formula>0.5</formula>
    </cfRule>
  </conditionalFormatting>
  <conditionalFormatting sqref="N82">
    <cfRule type="cellIs" dxfId="2502" priority="147254" stopIfTrue="1" operator="greaterThanOrEqual">
      <formula>0.5</formula>
    </cfRule>
  </conditionalFormatting>
  <conditionalFormatting sqref="N83">
    <cfRule type="cellIs" dxfId="2501" priority="147255" stopIfTrue="1" operator="equal">
      <formula>-1</formula>
    </cfRule>
  </conditionalFormatting>
  <conditionalFormatting sqref="N83">
    <cfRule type="cellIs" dxfId="2500" priority="147256" stopIfTrue="1" operator="lessThan">
      <formula>0.5</formula>
    </cfRule>
  </conditionalFormatting>
  <conditionalFormatting sqref="N83">
    <cfRule type="cellIs" dxfId="2499" priority="147257" stopIfTrue="1" operator="greaterThanOrEqual">
      <formula>0.5</formula>
    </cfRule>
  </conditionalFormatting>
  <conditionalFormatting sqref="N84">
    <cfRule type="cellIs" dxfId="2498" priority="147258" stopIfTrue="1" operator="equal">
      <formula>-1</formula>
    </cfRule>
  </conditionalFormatting>
  <conditionalFormatting sqref="N84">
    <cfRule type="cellIs" dxfId="2497" priority="147259" stopIfTrue="1" operator="lessThan">
      <formula>0.5</formula>
    </cfRule>
  </conditionalFormatting>
  <conditionalFormatting sqref="N84">
    <cfRule type="cellIs" dxfId="2496" priority="147260" stopIfTrue="1" operator="greaterThanOrEqual">
      <formula>0.5</formula>
    </cfRule>
  </conditionalFormatting>
  <conditionalFormatting sqref="N85">
    <cfRule type="cellIs" dxfId="2495" priority="147261" stopIfTrue="1" operator="equal">
      <formula>-1</formula>
    </cfRule>
  </conditionalFormatting>
  <conditionalFormatting sqref="N85">
    <cfRule type="cellIs" dxfId="2494" priority="147262" stopIfTrue="1" operator="lessThan">
      <formula>0.5</formula>
    </cfRule>
  </conditionalFormatting>
  <conditionalFormatting sqref="N85">
    <cfRule type="cellIs" dxfId="2493" priority="147263" stopIfTrue="1" operator="greaterThanOrEqual">
      <formula>0.5</formula>
    </cfRule>
  </conditionalFormatting>
  <conditionalFormatting sqref="P65">
    <cfRule type="cellIs" dxfId="2492" priority="147264" stopIfTrue="1" operator="equal">
      <formula>-1</formula>
    </cfRule>
  </conditionalFormatting>
  <conditionalFormatting sqref="P65">
    <cfRule type="cellIs" dxfId="2491" priority="147265" stopIfTrue="1" operator="lessThan">
      <formula>0.5</formula>
    </cfRule>
  </conditionalFormatting>
  <conditionalFormatting sqref="P65">
    <cfRule type="cellIs" dxfId="2490" priority="147266" stopIfTrue="1" operator="greaterThanOrEqual">
      <formula>0.5</formula>
    </cfRule>
  </conditionalFormatting>
  <conditionalFormatting sqref="P66">
    <cfRule type="cellIs" dxfId="2489" priority="147267" stopIfTrue="1" operator="equal">
      <formula>-1</formula>
    </cfRule>
  </conditionalFormatting>
  <conditionalFormatting sqref="P66">
    <cfRule type="cellIs" dxfId="2488" priority="147268" stopIfTrue="1" operator="lessThan">
      <formula>0.5</formula>
    </cfRule>
  </conditionalFormatting>
  <conditionalFormatting sqref="P66">
    <cfRule type="cellIs" dxfId="2487" priority="147269" stopIfTrue="1" operator="greaterThanOrEqual">
      <formula>0.5</formula>
    </cfRule>
  </conditionalFormatting>
  <conditionalFormatting sqref="P67">
    <cfRule type="cellIs" dxfId="2486" priority="147270" stopIfTrue="1" operator="equal">
      <formula>-1</formula>
    </cfRule>
  </conditionalFormatting>
  <conditionalFormatting sqref="P67">
    <cfRule type="cellIs" dxfId="2485" priority="147271" stopIfTrue="1" operator="lessThan">
      <formula>0.5</formula>
    </cfRule>
  </conditionalFormatting>
  <conditionalFormatting sqref="P67">
    <cfRule type="cellIs" dxfId="2484" priority="147272" stopIfTrue="1" operator="greaterThanOrEqual">
      <formula>0.5</formula>
    </cfRule>
  </conditionalFormatting>
  <conditionalFormatting sqref="P68">
    <cfRule type="cellIs" dxfId="2483" priority="147273" stopIfTrue="1" operator="equal">
      <formula>-1</formula>
    </cfRule>
  </conditionalFormatting>
  <conditionalFormatting sqref="P68">
    <cfRule type="cellIs" dxfId="2482" priority="147274" stopIfTrue="1" operator="lessThan">
      <formula>0.5</formula>
    </cfRule>
  </conditionalFormatting>
  <conditionalFormatting sqref="P68">
    <cfRule type="cellIs" dxfId="2481" priority="147275" stopIfTrue="1" operator="greaterThanOrEqual">
      <formula>0.5</formula>
    </cfRule>
  </conditionalFormatting>
  <conditionalFormatting sqref="P69">
    <cfRule type="cellIs" dxfId="2480" priority="147276" stopIfTrue="1" operator="equal">
      <formula>-1</formula>
    </cfRule>
  </conditionalFormatting>
  <conditionalFormatting sqref="P69">
    <cfRule type="cellIs" dxfId="2479" priority="147277" stopIfTrue="1" operator="lessThan">
      <formula>0.5</formula>
    </cfRule>
  </conditionalFormatting>
  <conditionalFormatting sqref="P69">
    <cfRule type="cellIs" dxfId="2478" priority="147278" stopIfTrue="1" operator="greaterThanOrEqual">
      <formula>0.5</formula>
    </cfRule>
  </conditionalFormatting>
  <conditionalFormatting sqref="P70">
    <cfRule type="cellIs" dxfId="2477" priority="147279" stopIfTrue="1" operator="equal">
      <formula>-1</formula>
    </cfRule>
  </conditionalFormatting>
  <conditionalFormatting sqref="P70">
    <cfRule type="cellIs" dxfId="2476" priority="147280" stopIfTrue="1" operator="lessThan">
      <formula>0.5</formula>
    </cfRule>
  </conditionalFormatting>
  <conditionalFormatting sqref="P70">
    <cfRule type="cellIs" dxfId="2475" priority="147281" stopIfTrue="1" operator="greaterThanOrEqual">
      <formula>0.5</formula>
    </cfRule>
  </conditionalFormatting>
  <conditionalFormatting sqref="P71">
    <cfRule type="cellIs" dxfId="2474" priority="147282" stopIfTrue="1" operator="equal">
      <formula>-1</formula>
    </cfRule>
  </conditionalFormatting>
  <conditionalFormatting sqref="P71">
    <cfRule type="cellIs" dxfId="2473" priority="147283" stopIfTrue="1" operator="lessThan">
      <formula>0.5</formula>
    </cfRule>
  </conditionalFormatting>
  <conditionalFormatting sqref="P71">
    <cfRule type="cellIs" dxfId="2472" priority="147284" stopIfTrue="1" operator="greaterThanOrEqual">
      <formula>0.5</formula>
    </cfRule>
  </conditionalFormatting>
  <conditionalFormatting sqref="P72">
    <cfRule type="cellIs" dxfId="2471" priority="147285" stopIfTrue="1" operator="equal">
      <formula>-1</formula>
    </cfRule>
  </conditionalFormatting>
  <conditionalFormatting sqref="P72">
    <cfRule type="cellIs" dxfId="2470" priority="147286" stopIfTrue="1" operator="lessThan">
      <formula>0.5</formula>
    </cfRule>
  </conditionalFormatting>
  <conditionalFormatting sqref="P72">
    <cfRule type="cellIs" dxfId="2469" priority="147287" stopIfTrue="1" operator="greaterThanOrEqual">
      <formula>0.5</formula>
    </cfRule>
  </conditionalFormatting>
  <conditionalFormatting sqref="P73">
    <cfRule type="cellIs" dxfId="2468" priority="147288" stopIfTrue="1" operator="equal">
      <formula>-1</formula>
    </cfRule>
  </conditionalFormatting>
  <conditionalFormatting sqref="P73">
    <cfRule type="cellIs" dxfId="2467" priority="147289" stopIfTrue="1" operator="lessThan">
      <formula>0.5</formula>
    </cfRule>
  </conditionalFormatting>
  <conditionalFormatting sqref="P73">
    <cfRule type="cellIs" dxfId="2466" priority="147290" stopIfTrue="1" operator="greaterThanOrEqual">
      <formula>0.5</formula>
    </cfRule>
  </conditionalFormatting>
  <conditionalFormatting sqref="P74">
    <cfRule type="cellIs" dxfId="2465" priority="147291" stopIfTrue="1" operator="equal">
      <formula>-1</formula>
    </cfRule>
  </conditionalFormatting>
  <conditionalFormatting sqref="P74">
    <cfRule type="cellIs" dxfId="2464" priority="147292" stopIfTrue="1" operator="lessThan">
      <formula>0.5</formula>
    </cfRule>
  </conditionalFormatting>
  <conditionalFormatting sqref="P74">
    <cfRule type="cellIs" dxfId="2463" priority="147293" stopIfTrue="1" operator="greaterThanOrEqual">
      <formula>0.5</formula>
    </cfRule>
  </conditionalFormatting>
  <conditionalFormatting sqref="P75">
    <cfRule type="cellIs" dxfId="2462" priority="147294" stopIfTrue="1" operator="equal">
      <formula>-1</formula>
    </cfRule>
  </conditionalFormatting>
  <conditionalFormatting sqref="P75">
    <cfRule type="cellIs" dxfId="2461" priority="147295" stopIfTrue="1" operator="lessThan">
      <formula>0.5</formula>
    </cfRule>
  </conditionalFormatting>
  <conditionalFormatting sqref="P75">
    <cfRule type="cellIs" dxfId="2460" priority="147296" stopIfTrue="1" operator="greaterThanOrEqual">
      <formula>0.5</formula>
    </cfRule>
  </conditionalFormatting>
  <conditionalFormatting sqref="P76">
    <cfRule type="cellIs" dxfId="2459" priority="147297" stopIfTrue="1" operator="equal">
      <formula>-1</formula>
    </cfRule>
  </conditionalFormatting>
  <conditionalFormatting sqref="P76">
    <cfRule type="cellIs" dxfId="2458" priority="147298" stopIfTrue="1" operator="lessThan">
      <formula>0.5</formula>
    </cfRule>
  </conditionalFormatting>
  <conditionalFormatting sqref="P76">
    <cfRule type="cellIs" dxfId="2457" priority="147299" stopIfTrue="1" operator="greaterThanOrEqual">
      <formula>0.5</formula>
    </cfRule>
  </conditionalFormatting>
  <conditionalFormatting sqref="P77">
    <cfRule type="cellIs" dxfId="2456" priority="147300" stopIfTrue="1" operator="equal">
      <formula>-1</formula>
    </cfRule>
  </conditionalFormatting>
  <conditionalFormatting sqref="P77">
    <cfRule type="cellIs" dxfId="2455" priority="147301" stopIfTrue="1" operator="lessThan">
      <formula>0.5</formula>
    </cfRule>
  </conditionalFormatting>
  <conditionalFormatting sqref="P77">
    <cfRule type="cellIs" dxfId="2454" priority="147302" stopIfTrue="1" operator="greaterThanOrEqual">
      <formula>0.5</formula>
    </cfRule>
  </conditionalFormatting>
  <conditionalFormatting sqref="P78">
    <cfRule type="cellIs" dxfId="2453" priority="147303" stopIfTrue="1" operator="equal">
      <formula>-1</formula>
    </cfRule>
  </conditionalFormatting>
  <conditionalFormatting sqref="P78">
    <cfRule type="cellIs" dxfId="2452" priority="147304" stopIfTrue="1" operator="lessThan">
      <formula>0.5</formula>
    </cfRule>
  </conditionalFormatting>
  <conditionalFormatting sqref="P78">
    <cfRule type="cellIs" dxfId="2451" priority="147305" stopIfTrue="1" operator="greaterThanOrEqual">
      <formula>0.5</formula>
    </cfRule>
  </conditionalFormatting>
  <conditionalFormatting sqref="P79">
    <cfRule type="cellIs" dxfId="2450" priority="147306" stopIfTrue="1" operator="equal">
      <formula>-1</formula>
    </cfRule>
  </conditionalFormatting>
  <conditionalFormatting sqref="P79">
    <cfRule type="cellIs" dxfId="2449" priority="147307" stopIfTrue="1" operator="lessThan">
      <formula>0.5</formula>
    </cfRule>
  </conditionalFormatting>
  <conditionalFormatting sqref="P79">
    <cfRule type="cellIs" dxfId="2448" priority="147308" stopIfTrue="1" operator="greaterThanOrEqual">
      <formula>0.5</formula>
    </cfRule>
  </conditionalFormatting>
  <conditionalFormatting sqref="P80">
    <cfRule type="cellIs" dxfId="2447" priority="147309" stopIfTrue="1" operator="equal">
      <formula>-1</formula>
    </cfRule>
  </conditionalFormatting>
  <conditionalFormatting sqref="P80">
    <cfRule type="cellIs" dxfId="2446" priority="147310" stopIfTrue="1" operator="lessThan">
      <formula>0.5</formula>
    </cfRule>
  </conditionalFormatting>
  <conditionalFormatting sqref="P80">
    <cfRule type="cellIs" dxfId="2445" priority="147311" stopIfTrue="1" operator="greaterThanOrEqual">
      <formula>0.5</formula>
    </cfRule>
  </conditionalFormatting>
  <conditionalFormatting sqref="P81">
    <cfRule type="cellIs" dxfId="2444" priority="147312" stopIfTrue="1" operator="equal">
      <formula>-1</formula>
    </cfRule>
  </conditionalFormatting>
  <conditionalFormatting sqref="P81">
    <cfRule type="cellIs" dxfId="2443" priority="147313" stopIfTrue="1" operator="lessThan">
      <formula>0.5</formula>
    </cfRule>
  </conditionalFormatting>
  <conditionalFormatting sqref="P81">
    <cfRule type="cellIs" dxfId="2442" priority="147314" stopIfTrue="1" operator="greaterThanOrEqual">
      <formula>0.5</formula>
    </cfRule>
  </conditionalFormatting>
  <conditionalFormatting sqref="P82">
    <cfRule type="cellIs" dxfId="2441" priority="147315" stopIfTrue="1" operator="equal">
      <formula>-1</formula>
    </cfRule>
  </conditionalFormatting>
  <conditionalFormatting sqref="P82">
    <cfRule type="cellIs" dxfId="2440" priority="147316" stopIfTrue="1" operator="lessThan">
      <formula>0.5</formula>
    </cfRule>
  </conditionalFormatting>
  <conditionalFormatting sqref="P82">
    <cfRule type="cellIs" dxfId="2439" priority="147317" stopIfTrue="1" operator="greaterThanOrEqual">
      <formula>0.5</formula>
    </cfRule>
  </conditionalFormatting>
  <conditionalFormatting sqref="P83">
    <cfRule type="cellIs" dxfId="2438" priority="147318" stopIfTrue="1" operator="equal">
      <formula>-1</formula>
    </cfRule>
  </conditionalFormatting>
  <conditionalFormatting sqref="P83">
    <cfRule type="cellIs" dxfId="2437" priority="147319" stopIfTrue="1" operator="lessThan">
      <formula>0.5</formula>
    </cfRule>
  </conditionalFormatting>
  <conditionalFormatting sqref="P83">
    <cfRule type="cellIs" dxfId="2436" priority="147320" stopIfTrue="1" operator="greaterThanOrEqual">
      <formula>0.5</formula>
    </cfRule>
  </conditionalFormatting>
  <conditionalFormatting sqref="P84">
    <cfRule type="cellIs" dxfId="2435" priority="147321" stopIfTrue="1" operator="equal">
      <formula>-1</formula>
    </cfRule>
  </conditionalFormatting>
  <conditionalFormatting sqref="P84">
    <cfRule type="cellIs" dxfId="2434" priority="147322" stopIfTrue="1" operator="lessThan">
      <formula>0.5</formula>
    </cfRule>
  </conditionalFormatting>
  <conditionalFormatting sqref="P84">
    <cfRule type="cellIs" dxfId="2433" priority="147323" stopIfTrue="1" operator="greaterThanOrEqual">
      <formula>0.5</formula>
    </cfRule>
  </conditionalFormatting>
  <conditionalFormatting sqref="P85">
    <cfRule type="cellIs" dxfId="2432" priority="147324" stopIfTrue="1" operator="equal">
      <formula>-1</formula>
    </cfRule>
  </conditionalFormatting>
  <conditionalFormatting sqref="P85">
    <cfRule type="cellIs" dxfId="2431" priority="147325" stopIfTrue="1" operator="lessThan">
      <formula>0.5</formula>
    </cfRule>
  </conditionalFormatting>
  <conditionalFormatting sqref="P85">
    <cfRule type="cellIs" dxfId="2430" priority="147326" stopIfTrue="1" operator="greaterThanOrEqual">
      <formula>0.5</formula>
    </cfRule>
  </conditionalFormatting>
  <conditionalFormatting sqref="R65">
    <cfRule type="cellIs" dxfId="2429" priority="147327" stopIfTrue="1" operator="equal">
      <formula>-1</formula>
    </cfRule>
  </conditionalFormatting>
  <conditionalFormatting sqref="R65">
    <cfRule type="cellIs" dxfId="2428" priority="147328" stopIfTrue="1" operator="lessThan">
      <formula>0.5</formula>
    </cfRule>
  </conditionalFormatting>
  <conditionalFormatting sqref="R65">
    <cfRule type="cellIs" dxfId="2427" priority="147329" stopIfTrue="1" operator="greaterThanOrEqual">
      <formula>0.5</formula>
    </cfRule>
  </conditionalFormatting>
  <conditionalFormatting sqref="R66">
    <cfRule type="cellIs" dxfId="2426" priority="147330" stopIfTrue="1" operator="equal">
      <formula>-1</formula>
    </cfRule>
  </conditionalFormatting>
  <conditionalFormatting sqref="R66">
    <cfRule type="cellIs" dxfId="2425" priority="147331" stopIfTrue="1" operator="lessThan">
      <formula>0.5</formula>
    </cfRule>
  </conditionalFormatting>
  <conditionalFormatting sqref="R66">
    <cfRule type="cellIs" dxfId="2424" priority="147332" stopIfTrue="1" operator="greaterThanOrEqual">
      <formula>0.5</formula>
    </cfRule>
  </conditionalFormatting>
  <conditionalFormatting sqref="R67">
    <cfRule type="cellIs" dxfId="2423" priority="147333" stopIfTrue="1" operator="equal">
      <formula>-1</formula>
    </cfRule>
  </conditionalFormatting>
  <conditionalFormatting sqref="R67">
    <cfRule type="cellIs" dxfId="2422" priority="147334" stopIfTrue="1" operator="lessThan">
      <formula>0.5</formula>
    </cfRule>
  </conditionalFormatting>
  <conditionalFormatting sqref="R67">
    <cfRule type="cellIs" dxfId="2421" priority="147335" stopIfTrue="1" operator="greaterThanOrEqual">
      <formula>0.5</formula>
    </cfRule>
  </conditionalFormatting>
  <conditionalFormatting sqref="R68">
    <cfRule type="cellIs" dxfId="2420" priority="147336" stopIfTrue="1" operator="equal">
      <formula>-1</formula>
    </cfRule>
  </conditionalFormatting>
  <conditionalFormatting sqref="R68">
    <cfRule type="cellIs" dxfId="2419" priority="147337" stopIfTrue="1" operator="lessThan">
      <formula>0.5</formula>
    </cfRule>
  </conditionalFormatting>
  <conditionalFormatting sqref="R68">
    <cfRule type="cellIs" dxfId="2418" priority="147338" stopIfTrue="1" operator="greaterThanOrEqual">
      <formula>0.5</formula>
    </cfRule>
  </conditionalFormatting>
  <conditionalFormatting sqref="R69">
    <cfRule type="cellIs" dxfId="2417" priority="147339" stopIfTrue="1" operator="equal">
      <formula>-1</formula>
    </cfRule>
  </conditionalFormatting>
  <conditionalFormatting sqref="R69">
    <cfRule type="cellIs" dxfId="2416" priority="147340" stopIfTrue="1" operator="lessThan">
      <formula>0.5</formula>
    </cfRule>
  </conditionalFormatting>
  <conditionalFormatting sqref="R69">
    <cfRule type="cellIs" dxfId="2415" priority="147341" stopIfTrue="1" operator="greaterThanOrEqual">
      <formula>0.5</formula>
    </cfRule>
  </conditionalFormatting>
  <conditionalFormatting sqref="R70">
    <cfRule type="cellIs" dxfId="2414" priority="147342" stopIfTrue="1" operator="equal">
      <formula>-1</formula>
    </cfRule>
  </conditionalFormatting>
  <conditionalFormatting sqref="R70">
    <cfRule type="cellIs" dxfId="2413" priority="147343" stopIfTrue="1" operator="lessThan">
      <formula>0.5</formula>
    </cfRule>
  </conditionalFormatting>
  <conditionalFormatting sqref="R70">
    <cfRule type="cellIs" dxfId="2412" priority="147344" stopIfTrue="1" operator="greaterThanOrEqual">
      <formula>0.5</formula>
    </cfRule>
  </conditionalFormatting>
  <conditionalFormatting sqref="R71">
    <cfRule type="cellIs" dxfId="2411" priority="147345" stopIfTrue="1" operator="equal">
      <formula>-1</formula>
    </cfRule>
  </conditionalFormatting>
  <conditionalFormatting sqref="R71">
    <cfRule type="cellIs" dxfId="2410" priority="147346" stopIfTrue="1" operator="lessThan">
      <formula>0.5</formula>
    </cfRule>
  </conditionalFormatting>
  <conditionalFormatting sqref="R71">
    <cfRule type="cellIs" dxfId="2409" priority="147347" stopIfTrue="1" operator="greaterThanOrEqual">
      <formula>0.5</formula>
    </cfRule>
  </conditionalFormatting>
  <conditionalFormatting sqref="R72">
    <cfRule type="cellIs" dxfId="2408" priority="147348" stopIfTrue="1" operator="equal">
      <formula>-1</formula>
    </cfRule>
  </conditionalFormatting>
  <conditionalFormatting sqref="R72">
    <cfRule type="cellIs" dxfId="2407" priority="147349" stopIfTrue="1" operator="lessThan">
      <formula>0.5</formula>
    </cfRule>
  </conditionalFormatting>
  <conditionalFormatting sqref="R72">
    <cfRule type="cellIs" dxfId="2406" priority="147350" stopIfTrue="1" operator="greaterThanOrEqual">
      <formula>0.5</formula>
    </cfRule>
  </conditionalFormatting>
  <conditionalFormatting sqref="R73">
    <cfRule type="cellIs" dxfId="2405" priority="147351" stopIfTrue="1" operator="equal">
      <formula>-1</formula>
    </cfRule>
  </conditionalFormatting>
  <conditionalFormatting sqref="R73">
    <cfRule type="cellIs" dxfId="2404" priority="147352" stopIfTrue="1" operator="lessThan">
      <formula>0.5</formula>
    </cfRule>
  </conditionalFormatting>
  <conditionalFormatting sqref="R73">
    <cfRule type="cellIs" dxfId="2403" priority="147353" stopIfTrue="1" operator="greaterThanOrEqual">
      <formula>0.5</formula>
    </cfRule>
  </conditionalFormatting>
  <conditionalFormatting sqref="R74">
    <cfRule type="cellIs" dxfId="2402" priority="147354" stopIfTrue="1" operator="equal">
      <formula>-1</formula>
    </cfRule>
  </conditionalFormatting>
  <conditionalFormatting sqref="R74">
    <cfRule type="cellIs" dxfId="2401" priority="147355" stopIfTrue="1" operator="lessThan">
      <formula>0.5</formula>
    </cfRule>
  </conditionalFormatting>
  <conditionalFormatting sqref="R74">
    <cfRule type="cellIs" dxfId="2400" priority="147356" stopIfTrue="1" operator="greaterThanOrEqual">
      <formula>0.5</formula>
    </cfRule>
  </conditionalFormatting>
  <conditionalFormatting sqref="R75">
    <cfRule type="cellIs" dxfId="2399" priority="147357" stopIfTrue="1" operator="equal">
      <formula>-1</formula>
    </cfRule>
  </conditionalFormatting>
  <conditionalFormatting sqref="R75">
    <cfRule type="cellIs" dxfId="2398" priority="147358" stopIfTrue="1" operator="lessThan">
      <formula>0.5</formula>
    </cfRule>
  </conditionalFormatting>
  <conditionalFormatting sqref="R75">
    <cfRule type="cellIs" dxfId="2397" priority="147359" stopIfTrue="1" operator="greaterThanOrEqual">
      <formula>0.5</formula>
    </cfRule>
  </conditionalFormatting>
  <conditionalFormatting sqref="R76">
    <cfRule type="cellIs" dxfId="2396" priority="147360" stopIfTrue="1" operator="equal">
      <formula>-1</formula>
    </cfRule>
  </conditionalFormatting>
  <conditionalFormatting sqref="R76">
    <cfRule type="cellIs" dxfId="2395" priority="147361" stopIfTrue="1" operator="lessThan">
      <formula>0.5</formula>
    </cfRule>
  </conditionalFormatting>
  <conditionalFormatting sqref="R76">
    <cfRule type="cellIs" dxfId="2394" priority="147362" stopIfTrue="1" operator="greaterThanOrEqual">
      <formula>0.5</formula>
    </cfRule>
  </conditionalFormatting>
  <conditionalFormatting sqref="R77">
    <cfRule type="cellIs" dxfId="2393" priority="147363" stopIfTrue="1" operator="equal">
      <formula>-1</formula>
    </cfRule>
  </conditionalFormatting>
  <conditionalFormatting sqref="R77">
    <cfRule type="cellIs" dxfId="2392" priority="147364" stopIfTrue="1" operator="lessThan">
      <formula>0.5</formula>
    </cfRule>
  </conditionalFormatting>
  <conditionalFormatting sqref="R77">
    <cfRule type="cellIs" dxfId="2391" priority="147365" stopIfTrue="1" operator="greaterThanOrEqual">
      <formula>0.5</formula>
    </cfRule>
  </conditionalFormatting>
  <conditionalFormatting sqref="R78">
    <cfRule type="cellIs" dxfId="2390" priority="147366" stopIfTrue="1" operator="equal">
      <formula>-1</formula>
    </cfRule>
  </conditionalFormatting>
  <conditionalFormatting sqref="R78">
    <cfRule type="cellIs" dxfId="2389" priority="147367" stopIfTrue="1" operator="lessThan">
      <formula>0.5</formula>
    </cfRule>
  </conditionalFormatting>
  <conditionalFormatting sqref="R78">
    <cfRule type="cellIs" dxfId="2388" priority="147368" stopIfTrue="1" operator="greaterThanOrEqual">
      <formula>0.5</formula>
    </cfRule>
  </conditionalFormatting>
  <conditionalFormatting sqref="R79">
    <cfRule type="cellIs" dxfId="2387" priority="147369" stopIfTrue="1" operator="equal">
      <formula>-1</formula>
    </cfRule>
  </conditionalFormatting>
  <conditionalFormatting sqref="R79">
    <cfRule type="cellIs" dxfId="2386" priority="147370" stopIfTrue="1" operator="lessThan">
      <formula>0.5</formula>
    </cfRule>
  </conditionalFormatting>
  <conditionalFormatting sqref="R79">
    <cfRule type="cellIs" dxfId="2385" priority="147371" stopIfTrue="1" operator="greaterThanOrEqual">
      <formula>0.5</formula>
    </cfRule>
  </conditionalFormatting>
  <conditionalFormatting sqref="R80">
    <cfRule type="cellIs" dxfId="2384" priority="147372" stopIfTrue="1" operator="equal">
      <formula>-1</formula>
    </cfRule>
  </conditionalFormatting>
  <conditionalFormatting sqref="R80">
    <cfRule type="cellIs" dxfId="2383" priority="147373" stopIfTrue="1" operator="lessThan">
      <formula>0.5</formula>
    </cfRule>
  </conditionalFormatting>
  <conditionalFormatting sqref="R80">
    <cfRule type="cellIs" dxfId="2382" priority="147374" stopIfTrue="1" operator="greaterThanOrEqual">
      <formula>0.5</formula>
    </cfRule>
  </conditionalFormatting>
  <conditionalFormatting sqref="R81">
    <cfRule type="cellIs" dxfId="2381" priority="147375" stopIfTrue="1" operator="equal">
      <formula>-1</formula>
    </cfRule>
  </conditionalFormatting>
  <conditionalFormatting sqref="R81">
    <cfRule type="cellIs" dxfId="2380" priority="147376" stopIfTrue="1" operator="lessThan">
      <formula>0.5</formula>
    </cfRule>
  </conditionalFormatting>
  <conditionalFormatting sqref="R81">
    <cfRule type="cellIs" dxfId="2379" priority="147377" stopIfTrue="1" operator="greaterThanOrEqual">
      <formula>0.5</formula>
    </cfRule>
  </conditionalFormatting>
  <conditionalFormatting sqref="R82">
    <cfRule type="cellIs" dxfId="2378" priority="147378" stopIfTrue="1" operator="equal">
      <formula>-1</formula>
    </cfRule>
  </conditionalFormatting>
  <conditionalFormatting sqref="R82">
    <cfRule type="cellIs" dxfId="2377" priority="147379" stopIfTrue="1" operator="lessThan">
      <formula>0.5</formula>
    </cfRule>
  </conditionalFormatting>
  <conditionalFormatting sqref="R82">
    <cfRule type="cellIs" dxfId="2376" priority="147380" stopIfTrue="1" operator="greaterThanOrEqual">
      <formula>0.5</formula>
    </cfRule>
  </conditionalFormatting>
  <conditionalFormatting sqref="R83">
    <cfRule type="cellIs" dxfId="2375" priority="147381" stopIfTrue="1" operator="equal">
      <formula>-1</formula>
    </cfRule>
  </conditionalFormatting>
  <conditionalFormatting sqref="R83">
    <cfRule type="cellIs" dxfId="2374" priority="147382" stopIfTrue="1" operator="lessThan">
      <formula>0.5</formula>
    </cfRule>
  </conditionalFormatting>
  <conditionalFormatting sqref="R83">
    <cfRule type="cellIs" dxfId="2373" priority="147383" stopIfTrue="1" operator="greaterThanOrEqual">
      <formula>0.5</formula>
    </cfRule>
  </conditionalFormatting>
  <conditionalFormatting sqref="R84">
    <cfRule type="cellIs" dxfId="2372" priority="147384" stopIfTrue="1" operator="equal">
      <formula>-1</formula>
    </cfRule>
  </conditionalFormatting>
  <conditionalFormatting sqref="R84">
    <cfRule type="cellIs" dxfId="2371" priority="147385" stopIfTrue="1" operator="lessThan">
      <formula>0.5</formula>
    </cfRule>
  </conditionalFormatting>
  <conditionalFormatting sqref="R84">
    <cfRule type="cellIs" dxfId="2370" priority="147386" stopIfTrue="1" operator="greaterThanOrEqual">
      <formula>0.5</formula>
    </cfRule>
  </conditionalFormatting>
  <conditionalFormatting sqref="R85">
    <cfRule type="cellIs" dxfId="2369" priority="147387" stopIfTrue="1" operator="equal">
      <formula>-1</formula>
    </cfRule>
  </conditionalFormatting>
  <conditionalFormatting sqref="R85">
    <cfRule type="cellIs" dxfId="2368" priority="147388" stopIfTrue="1" operator="lessThan">
      <formula>0.5</formula>
    </cfRule>
  </conditionalFormatting>
  <conditionalFormatting sqref="R85">
    <cfRule type="cellIs" dxfId="2367" priority="147389" stopIfTrue="1" operator="greaterThanOrEqual">
      <formula>0.5</formula>
    </cfRule>
  </conditionalFormatting>
  <conditionalFormatting sqref="T65">
    <cfRule type="cellIs" dxfId="2366" priority="147390" stopIfTrue="1" operator="equal">
      <formula>-1</formula>
    </cfRule>
  </conditionalFormatting>
  <conditionalFormatting sqref="T65">
    <cfRule type="cellIs" dxfId="2365" priority="147391" stopIfTrue="1" operator="lessThan">
      <formula>0.5</formula>
    </cfRule>
  </conditionalFormatting>
  <conditionalFormatting sqref="T65">
    <cfRule type="cellIs" dxfId="2364" priority="147392" stopIfTrue="1" operator="greaterThanOrEqual">
      <formula>0.5</formula>
    </cfRule>
  </conditionalFormatting>
  <conditionalFormatting sqref="T66">
    <cfRule type="cellIs" dxfId="2363" priority="147393" stopIfTrue="1" operator="equal">
      <formula>-1</formula>
    </cfRule>
  </conditionalFormatting>
  <conditionalFormatting sqref="T66">
    <cfRule type="cellIs" dxfId="2362" priority="147394" stopIfTrue="1" operator="lessThan">
      <formula>0.5</formula>
    </cfRule>
  </conditionalFormatting>
  <conditionalFormatting sqref="T66">
    <cfRule type="cellIs" dxfId="2361" priority="147395" stopIfTrue="1" operator="greaterThanOrEqual">
      <formula>0.5</formula>
    </cfRule>
  </conditionalFormatting>
  <conditionalFormatting sqref="T67">
    <cfRule type="cellIs" dxfId="2360" priority="147396" stopIfTrue="1" operator="equal">
      <formula>-1</formula>
    </cfRule>
  </conditionalFormatting>
  <conditionalFormatting sqref="T67">
    <cfRule type="cellIs" dxfId="2359" priority="147397" stopIfTrue="1" operator="lessThan">
      <formula>0.5</formula>
    </cfRule>
  </conditionalFormatting>
  <conditionalFormatting sqref="T67">
    <cfRule type="cellIs" dxfId="2358" priority="147398" stopIfTrue="1" operator="greaterThanOrEqual">
      <formula>0.5</formula>
    </cfRule>
  </conditionalFormatting>
  <conditionalFormatting sqref="T68">
    <cfRule type="cellIs" dxfId="2357" priority="147399" stopIfTrue="1" operator="equal">
      <formula>-1</formula>
    </cfRule>
  </conditionalFormatting>
  <conditionalFormatting sqref="T68">
    <cfRule type="cellIs" dxfId="2356" priority="147400" stopIfTrue="1" operator="lessThan">
      <formula>0.5</formula>
    </cfRule>
  </conditionalFormatting>
  <conditionalFormatting sqref="T68">
    <cfRule type="cellIs" dxfId="2355" priority="147401" stopIfTrue="1" operator="greaterThanOrEqual">
      <formula>0.5</formula>
    </cfRule>
  </conditionalFormatting>
  <conditionalFormatting sqref="T69">
    <cfRule type="cellIs" dxfId="2354" priority="147402" stopIfTrue="1" operator="equal">
      <formula>-1</formula>
    </cfRule>
  </conditionalFormatting>
  <conditionalFormatting sqref="T69">
    <cfRule type="cellIs" dxfId="2353" priority="147403" stopIfTrue="1" operator="lessThan">
      <formula>0.5</formula>
    </cfRule>
  </conditionalFormatting>
  <conditionalFormatting sqref="T69">
    <cfRule type="cellIs" dxfId="2352" priority="147404" stopIfTrue="1" operator="greaterThanOrEqual">
      <formula>0.5</formula>
    </cfRule>
  </conditionalFormatting>
  <conditionalFormatting sqref="T70">
    <cfRule type="cellIs" dxfId="2351" priority="147405" stopIfTrue="1" operator="equal">
      <formula>-1</formula>
    </cfRule>
  </conditionalFormatting>
  <conditionalFormatting sqref="T70">
    <cfRule type="cellIs" dxfId="2350" priority="147406" stopIfTrue="1" operator="lessThan">
      <formula>0.5</formula>
    </cfRule>
  </conditionalFormatting>
  <conditionalFormatting sqref="T70">
    <cfRule type="cellIs" dxfId="2349" priority="147407" stopIfTrue="1" operator="greaterThanOrEqual">
      <formula>0.5</formula>
    </cfRule>
  </conditionalFormatting>
  <conditionalFormatting sqref="T71">
    <cfRule type="cellIs" dxfId="2348" priority="147408" stopIfTrue="1" operator="equal">
      <formula>-1</formula>
    </cfRule>
  </conditionalFormatting>
  <conditionalFormatting sqref="T71">
    <cfRule type="cellIs" dxfId="2347" priority="147409" stopIfTrue="1" operator="lessThan">
      <formula>0.5</formula>
    </cfRule>
  </conditionalFormatting>
  <conditionalFormatting sqref="T71">
    <cfRule type="cellIs" dxfId="2346" priority="147410" stopIfTrue="1" operator="greaterThanOrEqual">
      <formula>0.5</formula>
    </cfRule>
  </conditionalFormatting>
  <conditionalFormatting sqref="T72">
    <cfRule type="cellIs" dxfId="2345" priority="147411" stopIfTrue="1" operator="equal">
      <formula>-1</formula>
    </cfRule>
  </conditionalFormatting>
  <conditionalFormatting sqref="T72">
    <cfRule type="cellIs" dxfId="2344" priority="147412" stopIfTrue="1" operator="lessThan">
      <formula>0.5</formula>
    </cfRule>
  </conditionalFormatting>
  <conditionalFormatting sqref="T72">
    <cfRule type="cellIs" dxfId="2343" priority="147413" stopIfTrue="1" operator="greaterThanOrEqual">
      <formula>0.5</formula>
    </cfRule>
  </conditionalFormatting>
  <conditionalFormatting sqref="T73">
    <cfRule type="cellIs" dxfId="2342" priority="147414" stopIfTrue="1" operator="equal">
      <formula>-1</formula>
    </cfRule>
  </conditionalFormatting>
  <conditionalFormatting sqref="T73">
    <cfRule type="cellIs" dxfId="2341" priority="147415" stopIfTrue="1" operator="lessThan">
      <formula>0.5</formula>
    </cfRule>
  </conditionalFormatting>
  <conditionalFormatting sqref="T73">
    <cfRule type="cellIs" dxfId="2340" priority="147416" stopIfTrue="1" operator="greaterThanOrEqual">
      <formula>0.5</formula>
    </cfRule>
  </conditionalFormatting>
  <conditionalFormatting sqref="T74">
    <cfRule type="cellIs" dxfId="2339" priority="147417" stopIfTrue="1" operator="equal">
      <formula>-1</formula>
    </cfRule>
  </conditionalFormatting>
  <conditionalFormatting sqref="T74">
    <cfRule type="cellIs" dxfId="2338" priority="147418" stopIfTrue="1" operator="lessThan">
      <formula>0.5</formula>
    </cfRule>
  </conditionalFormatting>
  <conditionalFormatting sqref="T74">
    <cfRule type="cellIs" dxfId="2337" priority="147419" stopIfTrue="1" operator="greaterThanOrEqual">
      <formula>0.5</formula>
    </cfRule>
  </conditionalFormatting>
  <conditionalFormatting sqref="T75">
    <cfRule type="cellIs" dxfId="2336" priority="147420" stopIfTrue="1" operator="equal">
      <formula>-1</formula>
    </cfRule>
  </conditionalFormatting>
  <conditionalFormatting sqref="T75">
    <cfRule type="cellIs" dxfId="2335" priority="147421" stopIfTrue="1" operator="lessThan">
      <formula>0.5</formula>
    </cfRule>
  </conditionalFormatting>
  <conditionalFormatting sqref="T75">
    <cfRule type="cellIs" dxfId="2334" priority="147422" stopIfTrue="1" operator="greaterThanOrEqual">
      <formula>0.5</formula>
    </cfRule>
  </conditionalFormatting>
  <conditionalFormatting sqref="T76">
    <cfRule type="cellIs" dxfId="2333" priority="147423" stopIfTrue="1" operator="equal">
      <formula>-1</formula>
    </cfRule>
  </conditionalFormatting>
  <conditionalFormatting sqref="T76">
    <cfRule type="cellIs" dxfId="2332" priority="147424" stopIfTrue="1" operator="lessThan">
      <formula>0.5</formula>
    </cfRule>
  </conditionalFormatting>
  <conditionalFormatting sqref="T76">
    <cfRule type="cellIs" dxfId="2331" priority="147425" stopIfTrue="1" operator="greaterThanOrEqual">
      <formula>0.5</formula>
    </cfRule>
  </conditionalFormatting>
  <conditionalFormatting sqref="T77">
    <cfRule type="cellIs" dxfId="2330" priority="147426" stopIfTrue="1" operator="equal">
      <formula>-1</formula>
    </cfRule>
  </conditionalFormatting>
  <conditionalFormatting sqref="T77">
    <cfRule type="cellIs" dxfId="2329" priority="147427" stopIfTrue="1" operator="lessThan">
      <formula>0.5</formula>
    </cfRule>
  </conditionalFormatting>
  <conditionalFormatting sqref="T77">
    <cfRule type="cellIs" dxfId="2328" priority="147428" stopIfTrue="1" operator="greaterThanOrEqual">
      <formula>0.5</formula>
    </cfRule>
  </conditionalFormatting>
  <conditionalFormatting sqref="T78">
    <cfRule type="cellIs" dxfId="2327" priority="147429" stopIfTrue="1" operator="equal">
      <formula>-1</formula>
    </cfRule>
  </conditionalFormatting>
  <conditionalFormatting sqref="T78">
    <cfRule type="cellIs" dxfId="2326" priority="147430" stopIfTrue="1" operator="lessThan">
      <formula>0.5</formula>
    </cfRule>
  </conditionalFormatting>
  <conditionalFormatting sqref="T78">
    <cfRule type="cellIs" dxfId="2325" priority="147431" stopIfTrue="1" operator="greaterThanOrEqual">
      <formula>0.5</formula>
    </cfRule>
  </conditionalFormatting>
  <conditionalFormatting sqref="T79">
    <cfRule type="cellIs" dxfId="2324" priority="147432" stopIfTrue="1" operator="equal">
      <formula>-1</formula>
    </cfRule>
  </conditionalFormatting>
  <conditionalFormatting sqref="T79">
    <cfRule type="cellIs" dxfId="2323" priority="147433" stopIfTrue="1" operator="lessThan">
      <formula>0.5</formula>
    </cfRule>
  </conditionalFormatting>
  <conditionalFormatting sqref="T79">
    <cfRule type="cellIs" dxfId="2322" priority="147434" stopIfTrue="1" operator="greaterThanOrEqual">
      <formula>0.5</formula>
    </cfRule>
  </conditionalFormatting>
  <conditionalFormatting sqref="T80">
    <cfRule type="cellIs" dxfId="2321" priority="147435" stopIfTrue="1" operator="equal">
      <formula>-1</formula>
    </cfRule>
  </conditionalFormatting>
  <conditionalFormatting sqref="T80">
    <cfRule type="cellIs" dxfId="2320" priority="147436" stopIfTrue="1" operator="lessThan">
      <formula>0.5</formula>
    </cfRule>
  </conditionalFormatting>
  <conditionalFormatting sqref="T80">
    <cfRule type="cellIs" dxfId="2319" priority="147437" stopIfTrue="1" operator="greaterThanOrEqual">
      <formula>0.5</formula>
    </cfRule>
  </conditionalFormatting>
  <conditionalFormatting sqref="T81">
    <cfRule type="cellIs" dxfId="2318" priority="147438" stopIfTrue="1" operator="equal">
      <formula>-1</formula>
    </cfRule>
  </conditionalFormatting>
  <conditionalFormatting sqref="T81">
    <cfRule type="cellIs" dxfId="2317" priority="147439" stopIfTrue="1" operator="lessThan">
      <formula>0.5</formula>
    </cfRule>
  </conditionalFormatting>
  <conditionalFormatting sqref="T81">
    <cfRule type="cellIs" dxfId="2316" priority="147440" stopIfTrue="1" operator="greaterThanOrEqual">
      <formula>0.5</formula>
    </cfRule>
  </conditionalFormatting>
  <conditionalFormatting sqref="T82">
    <cfRule type="cellIs" dxfId="2315" priority="147441" stopIfTrue="1" operator="equal">
      <formula>-1</formula>
    </cfRule>
  </conditionalFormatting>
  <conditionalFormatting sqref="T82">
    <cfRule type="cellIs" dxfId="2314" priority="147442" stopIfTrue="1" operator="lessThan">
      <formula>0.5</formula>
    </cfRule>
  </conditionalFormatting>
  <conditionalFormatting sqref="T82">
    <cfRule type="cellIs" dxfId="2313" priority="147443" stopIfTrue="1" operator="greaterThanOrEqual">
      <formula>0.5</formula>
    </cfRule>
  </conditionalFormatting>
  <conditionalFormatting sqref="T83">
    <cfRule type="cellIs" dxfId="2312" priority="147444" stopIfTrue="1" operator="equal">
      <formula>-1</formula>
    </cfRule>
  </conditionalFormatting>
  <conditionalFormatting sqref="T83">
    <cfRule type="cellIs" dxfId="2311" priority="147445" stopIfTrue="1" operator="lessThan">
      <formula>0.5</formula>
    </cfRule>
  </conditionalFormatting>
  <conditionalFormatting sqref="T83">
    <cfRule type="cellIs" dxfId="2310" priority="147446" stopIfTrue="1" operator="greaterThanOrEqual">
      <formula>0.5</formula>
    </cfRule>
  </conditionalFormatting>
  <conditionalFormatting sqref="T84">
    <cfRule type="cellIs" dxfId="2309" priority="147447" stopIfTrue="1" operator="equal">
      <formula>-1</formula>
    </cfRule>
  </conditionalFormatting>
  <conditionalFormatting sqref="T84">
    <cfRule type="cellIs" dxfId="2308" priority="147448" stopIfTrue="1" operator="lessThan">
      <formula>0.5</formula>
    </cfRule>
  </conditionalFormatting>
  <conditionalFormatting sqref="T84">
    <cfRule type="cellIs" dxfId="2307" priority="147449" stopIfTrue="1" operator="greaterThanOrEqual">
      <formula>0.5</formula>
    </cfRule>
  </conditionalFormatting>
  <conditionalFormatting sqref="T85">
    <cfRule type="cellIs" dxfId="2306" priority="147450" stopIfTrue="1" operator="equal">
      <formula>-1</formula>
    </cfRule>
  </conditionalFormatting>
  <conditionalFormatting sqref="T85">
    <cfRule type="cellIs" dxfId="2305" priority="147451" stopIfTrue="1" operator="lessThan">
      <formula>0.5</formula>
    </cfRule>
  </conditionalFormatting>
  <conditionalFormatting sqref="T85">
    <cfRule type="cellIs" dxfId="2304" priority="147452" stopIfTrue="1" operator="greaterThanOrEqual">
      <formula>0.5</formula>
    </cfRule>
  </conditionalFormatting>
  <conditionalFormatting sqref="V65">
    <cfRule type="cellIs" dxfId="2303" priority="147453" stopIfTrue="1" operator="equal">
      <formula>-1</formula>
    </cfRule>
  </conditionalFormatting>
  <conditionalFormatting sqref="V65">
    <cfRule type="cellIs" dxfId="2302" priority="147454" stopIfTrue="1" operator="lessThan">
      <formula>0.5</formula>
    </cfRule>
  </conditionalFormatting>
  <conditionalFormatting sqref="V65">
    <cfRule type="cellIs" dxfId="2301" priority="147455" stopIfTrue="1" operator="greaterThanOrEqual">
      <formula>0.5</formula>
    </cfRule>
  </conditionalFormatting>
  <conditionalFormatting sqref="V66">
    <cfRule type="cellIs" dxfId="2300" priority="147456" stopIfTrue="1" operator="equal">
      <formula>-1</formula>
    </cfRule>
  </conditionalFormatting>
  <conditionalFormatting sqref="V66">
    <cfRule type="cellIs" dxfId="2299" priority="147457" stopIfTrue="1" operator="lessThan">
      <formula>0.5</formula>
    </cfRule>
  </conditionalFormatting>
  <conditionalFormatting sqref="V66">
    <cfRule type="cellIs" dxfId="2298" priority="147458" stopIfTrue="1" operator="greaterThanOrEqual">
      <formula>0.5</formula>
    </cfRule>
  </conditionalFormatting>
  <conditionalFormatting sqref="V67">
    <cfRule type="cellIs" dxfId="2297" priority="147459" stopIfTrue="1" operator="equal">
      <formula>-1</formula>
    </cfRule>
  </conditionalFormatting>
  <conditionalFormatting sqref="V67">
    <cfRule type="cellIs" dxfId="2296" priority="147460" stopIfTrue="1" operator="lessThan">
      <formula>0.5</formula>
    </cfRule>
  </conditionalFormatting>
  <conditionalFormatting sqref="V67">
    <cfRule type="cellIs" dxfId="2295" priority="147461" stopIfTrue="1" operator="greaterThanOrEqual">
      <formula>0.5</formula>
    </cfRule>
  </conditionalFormatting>
  <conditionalFormatting sqref="V68">
    <cfRule type="cellIs" dxfId="2294" priority="147462" stopIfTrue="1" operator="equal">
      <formula>-1</formula>
    </cfRule>
  </conditionalFormatting>
  <conditionalFormatting sqref="V68">
    <cfRule type="cellIs" dxfId="2293" priority="147463" stopIfTrue="1" operator="lessThan">
      <formula>0.5</formula>
    </cfRule>
  </conditionalFormatting>
  <conditionalFormatting sqref="V68">
    <cfRule type="cellIs" dxfId="2292" priority="147464" stopIfTrue="1" operator="greaterThanOrEqual">
      <formula>0.5</formula>
    </cfRule>
  </conditionalFormatting>
  <conditionalFormatting sqref="V69">
    <cfRule type="cellIs" dxfId="2291" priority="147465" stopIfTrue="1" operator="equal">
      <formula>-1</formula>
    </cfRule>
  </conditionalFormatting>
  <conditionalFormatting sqref="V69">
    <cfRule type="cellIs" dxfId="2290" priority="147466" stopIfTrue="1" operator="lessThan">
      <formula>0.5</formula>
    </cfRule>
  </conditionalFormatting>
  <conditionalFormatting sqref="V69">
    <cfRule type="cellIs" dxfId="2289" priority="147467" stopIfTrue="1" operator="greaterThanOrEqual">
      <formula>0.5</formula>
    </cfRule>
  </conditionalFormatting>
  <conditionalFormatting sqref="V70">
    <cfRule type="cellIs" dxfId="2288" priority="147468" stopIfTrue="1" operator="equal">
      <formula>-1</formula>
    </cfRule>
  </conditionalFormatting>
  <conditionalFormatting sqref="V70">
    <cfRule type="cellIs" dxfId="2287" priority="147469" stopIfTrue="1" operator="lessThan">
      <formula>0.5</formula>
    </cfRule>
  </conditionalFormatting>
  <conditionalFormatting sqref="V70">
    <cfRule type="cellIs" dxfId="2286" priority="147470" stopIfTrue="1" operator="greaterThanOrEqual">
      <formula>0.5</formula>
    </cfRule>
  </conditionalFormatting>
  <conditionalFormatting sqref="V71">
    <cfRule type="cellIs" dxfId="2285" priority="147471" stopIfTrue="1" operator="equal">
      <formula>-1</formula>
    </cfRule>
  </conditionalFormatting>
  <conditionalFormatting sqref="V71">
    <cfRule type="cellIs" dxfId="2284" priority="147472" stopIfTrue="1" operator="lessThan">
      <formula>0.5</formula>
    </cfRule>
  </conditionalFormatting>
  <conditionalFormatting sqref="V71">
    <cfRule type="cellIs" dxfId="2283" priority="147473" stopIfTrue="1" operator="greaterThanOrEqual">
      <formula>0.5</formula>
    </cfRule>
  </conditionalFormatting>
  <conditionalFormatting sqref="V72">
    <cfRule type="cellIs" dxfId="2282" priority="147474" stopIfTrue="1" operator="equal">
      <formula>-1</formula>
    </cfRule>
  </conditionalFormatting>
  <conditionalFormatting sqref="V72">
    <cfRule type="cellIs" dxfId="2281" priority="147475" stopIfTrue="1" operator="lessThan">
      <formula>0.5</formula>
    </cfRule>
  </conditionalFormatting>
  <conditionalFormatting sqref="V72">
    <cfRule type="cellIs" dxfId="2280" priority="147476" stopIfTrue="1" operator="greaterThanOrEqual">
      <formula>0.5</formula>
    </cfRule>
  </conditionalFormatting>
  <conditionalFormatting sqref="V73">
    <cfRule type="cellIs" dxfId="2279" priority="147477" stopIfTrue="1" operator="equal">
      <formula>-1</formula>
    </cfRule>
  </conditionalFormatting>
  <conditionalFormatting sqref="V73">
    <cfRule type="cellIs" dxfId="2278" priority="147478" stopIfTrue="1" operator="lessThan">
      <formula>0.5</formula>
    </cfRule>
  </conditionalFormatting>
  <conditionalFormatting sqref="V73">
    <cfRule type="cellIs" dxfId="2277" priority="147479" stopIfTrue="1" operator="greaterThanOrEqual">
      <formula>0.5</formula>
    </cfRule>
  </conditionalFormatting>
  <conditionalFormatting sqref="V74">
    <cfRule type="cellIs" dxfId="2276" priority="147480" stopIfTrue="1" operator="equal">
      <formula>-1</formula>
    </cfRule>
  </conditionalFormatting>
  <conditionalFormatting sqref="V74">
    <cfRule type="cellIs" dxfId="2275" priority="147481" stopIfTrue="1" operator="lessThan">
      <formula>0.5</formula>
    </cfRule>
  </conditionalFormatting>
  <conditionalFormatting sqref="V74">
    <cfRule type="cellIs" dxfId="2274" priority="147482" stopIfTrue="1" operator="greaterThanOrEqual">
      <formula>0.5</formula>
    </cfRule>
  </conditionalFormatting>
  <conditionalFormatting sqref="V75">
    <cfRule type="cellIs" dxfId="2273" priority="147483" stopIfTrue="1" operator="equal">
      <formula>-1</formula>
    </cfRule>
  </conditionalFormatting>
  <conditionalFormatting sqref="V75">
    <cfRule type="cellIs" dxfId="2272" priority="147484" stopIfTrue="1" operator="lessThan">
      <formula>0.5</formula>
    </cfRule>
  </conditionalFormatting>
  <conditionalFormatting sqref="V75">
    <cfRule type="cellIs" dxfId="2271" priority="147485" stopIfTrue="1" operator="greaterThanOrEqual">
      <formula>0.5</formula>
    </cfRule>
  </conditionalFormatting>
  <conditionalFormatting sqref="V76">
    <cfRule type="cellIs" dxfId="2270" priority="147486" stopIfTrue="1" operator="equal">
      <formula>-1</formula>
    </cfRule>
  </conditionalFormatting>
  <conditionalFormatting sqref="V76">
    <cfRule type="cellIs" dxfId="2269" priority="147487" stopIfTrue="1" operator="lessThan">
      <formula>0.5</formula>
    </cfRule>
  </conditionalFormatting>
  <conditionalFormatting sqref="V76">
    <cfRule type="cellIs" dxfId="2268" priority="147488" stopIfTrue="1" operator="greaterThanOrEqual">
      <formula>0.5</formula>
    </cfRule>
  </conditionalFormatting>
  <conditionalFormatting sqref="V77">
    <cfRule type="cellIs" dxfId="2267" priority="147489" stopIfTrue="1" operator="equal">
      <formula>-1</formula>
    </cfRule>
  </conditionalFormatting>
  <conditionalFormatting sqref="V77">
    <cfRule type="cellIs" dxfId="2266" priority="147490" stopIfTrue="1" operator="lessThan">
      <formula>0.5</formula>
    </cfRule>
  </conditionalFormatting>
  <conditionalFormatting sqref="V77">
    <cfRule type="cellIs" dxfId="2265" priority="147491" stopIfTrue="1" operator="greaterThanOrEqual">
      <formula>0.5</formula>
    </cfRule>
  </conditionalFormatting>
  <conditionalFormatting sqref="V78">
    <cfRule type="cellIs" dxfId="2264" priority="147492" stopIfTrue="1" operator="equal">
      <formula>-1</formula>
    </cfRule>
  </conditionalFormatting>
  <conditionalFormatting sqref="V78">
    <cfRule type="cellIs" dxfId="2263" priority="147493" stopIfTrue="1" operator="lessThan">
      <formula>0.5</formula>
    </cfRule>
  </conditionalFormatting>
  <conditionalFormatting sqref="V78">
    <cfRule type="cellIs" dxfId="2262" priority="147494" stopIfTrue="1" operator="greaterThanOrEqual">
      <formula>0.5</formula>
    </cfRule>
  </conditionalFormatting>
  <conditionalFormatting sqref="V79">
    <cfRule type="cellIs" dxfId="2261" priority="147495" stopIfTrue="1" operator="equal">
      <formula>-1</formula>
    </cfRule>
  </conditionalFormatting>
  <conditionalFormatting sqref="V79">
    <cfRule type="cellIs" dxfId="2260" priority="147496" stopIfTrue="1" operator="lessThan">
      <formula>0.5</formula>
    </cfRule>
  </conditionalFormatting>
  <conditionalFormatting sqref="V79">
    <cfRule type="cellIs" dxfId="2259" priority="147497" stopIfTrue="1" operator="greaterThanOrEqual">
      <formula>0.5</formula>
    </cfRule>
  </conditionalFormatting>
  <conditionalFormatting sqref="V80">
    <cfRule type="cellIs" dxfId="2258" priority="147498" stopIfTrue="1" operator="equal">
      <formula>-1</formula>
    </cfRule>
  </conditionalFormatting>
  <conditionalFormatting sqref="V80">
    <cfRule type="cellIs" dxfId="2257" priority="147499" stopIfTrue="1" operator="lessThan">
      <formula>0.5</formula>
    </cfRule>
  </conditionalFormatting>
  <conditionalFormatting sqref="V80">
    <cfRule type="cellIs" dxfId="2256" priority="147500" stopIfTrue="1" operator="greaterThanOrEqual">
      <formula>0.5</formula>
    </cfRule>
  </conditionalFormatting>
  <conditionalFormatting sqref="V81">
    <cfRule type="cellIs" dxfId="2255" priority="147501" stopIfTrue="1" operator="equal">
      <formula>-1</formula>
    </cfRule>
  </conditionalFormatting>
  <conditionalFormatting sqref="V81">
    <cfRule type="cellIs" dxfId="2254" priority="147502" stopIfTrue="1" operator="lessThan">
      <formula>0.5</formula>
    </cfRule>
  </conditionalFormatting>
  <conditionalFormatting sqref="V81">
    <cfRule type="cellIs" dxfId="2253" priority="147503" stopIfTrue="1" operator="greaterThanOrEqual">
      <formula>0.5</formula>
    </cfRule>
  </conditionalFormatting>
  <conditionalFormatting sqref="V82">
    <cfRule type="cellIs" dxfId="2252" priority="147504" stopIfTrue="1" operator="equal">
      <formula>-1</formula>
    </cfRule>
  </conditionalFormatting>
  <conditionalFormatting sqref="V82">
    <cfRule type="cellIs" dxfId="2251" priority="147505" stopIfTrue="1" operator="lessThan">
      <formula>0.5</formula>
    </cfRule>
  </conditionalFormatting>
  <conditionalFormatting sqref="V82">
    <cfRule type="cellIs" dxfId="2250" priority="147506" stopIfTrue="1" operator="greaterThanOrEqual">
      <formula>0.5</formula>
    </cfRule>
  </conditionalFormatting>
  <conditionalFormatting sqref="V83">
    <cfRule type="cellIs" dxfId="2249" priority="147507" stopIfTrue="1" operator="equal">
      <formula>-1</formula>
    </cfRule>
  </conditionalFormatting>
  <conditionalFormatting sqref="V83">
    <cfRule type="cellIs" dxfId="2248" priority="147508" stopIfTrue="1" operator="lessThan">
      <formula>0.5</formula>
    </cfRule>
  </conditionalFormatting>
  <conditionalFormatting sqref="V83">
    <cfRule type="cellIs" dxfId="2247" priority="147509" stopIfTrue="1" operator="greaterThanOrEqual">
      <formula>0.5</formula>
    </cfRule>
  </conditionalFormatting>
  <conditionalFormatting sqref="V84">
    <cfRule type="cellIs" dxfId="2246" priority="147510" stopIfTrue="1" operator="equal">
      <formula>-1</formula>
    </cfRule>
  </conditionalFormatting>
  <conditionalFormatting sqref="V84">
    <cfRule type="cellIs" dxfId="2245" priority="147511" stopIfTrue="1" operator="lessThan">
      <formula>0.5</formula>
    </cfRule>
  </conditionalFormatting>
  <conditionalFormatting sqref="V84">
    <cfRule type="cellIs" dxfId="2244" priority="147512" stopIfTrue="1" operator="greaterThanOrEqual">
      <formula>0.5</formula>
    </cfRule>
  </conditionalFormatting>
  <conditionalFormatting sqref="V85">
    <cfRule type="cellIs" dxfId="2243" priority="147513" stopIfTrue="1" operator="equal">
      <formula>-1</formula>
    </cfRule>
  </conditionalFormatting>
  <conditionalFormatting sqref="V85">
    <cfRule type="cellIs" dxfId="2242" priority="147514" stopIfTrue="1" operator="lessThan">
      <formula>0.5</formula>
    </cfRule>
  </conditionalFormatting>
  <conditionalFormatting sqref="V85">
    <cfRule type="cellIs" dxfId="2241" priority="147515" stopIfTrue="1" operator="greaterThanOrEqual">
      <formula>0.5</formula>
    </cfRule>
  </conditionalFormatting>
  <conditionalFormatting sqref="X65">
    <cfRule type="cellIs" dxfId="2240" priority="147516" stopIfTrue="1" operator="equal">
      <formula>-1</formula>
    </cfRule>
  </conditionalFormatting>
  <conditionalFormatting sqref="X65">
    <cfRule type="cellIs" dxfId="2239" priority="147517" stopIfTrue="1" operator="lessThan">
      <formula>0.5</formula>
    </cfRule>
  </conditionalFormatting>
  <conditionalFormatting sqref="X65">
    <cfRule type="cellIs" dxfId="2238" priority="147518" stopIfTrue="1" operator="greaterThanOrEqual">
      <formula>0.5</formula>
    </cfRule>
  </conditionalFormatting>
  <conditionalFormatting sqref="X66">
    <cfRule type="cellIs" dxfId="2237" priority="147519" stopIfTrue="1" operator="equal">
      <formula>-1</formula>
    </cfRule>
  </conditionalFormatting>
  <conditionalFormatting sqref="X66">
    <cfRule type="cellIs" dxfId="2236" priority="147520" stopIfTrue="1" operator="lessThan">
      <formula>0.5</formula>
    </cfRule>
  </conditionalFormatting>
  <conditionalFormatting sqref="X66">
    <cfRule type="cellIs" dxfId="2235" priority="147521" stopIfTrue="1" operator="greaterThanOrEqual">
      <formula>0.5</formula>
    </cfRule>
  </conditionalFormatting>
  <conditionalFormatting sqref="X67">
    <cfRule type="cellIs" dxfId="2234" priority="147522" stopIfTrue="1" operator="equal">
      <formula>-1</formula>
    </cfRule>
  </conditionalFormatting>
  <conditionalFormatting sqref="X67">
    <cfRule type="cellIs" dxfId="2233" priority="147523" stopIfTrue="1" operator="lessThan">
      <formula>0.5</formula>
    </cfRule>
  </conditionalFormatting>
  <conditionalFormatting sqref="X67">
    <cfRule type="cellIs" dxfId="2232" priority="147524" stopIfTrue="1" operator="greaterThanOrEqual">
      <formula>0.5</formula>
    </cfRule>
  </conditionalFormatting>
  <conditionalFormatting sqref="X68">
    <cfRule type="cellIs" dxfId="2231" priority="147525" stopIfTrue="1" operator="equal">
      <formula>-1</formula>
    </cfRule>
  </conditionalFormatting>
  <conditionalFormatting sqref="X68">
    <cfRule type="cellIs" dxfId="2230" priority="147526" stopIfTrue="1" operator="lessThan">
      <formula>0.5</formula>
    </cfRule>
  </conditionalFormatting>
  <conditionalFormatting sqref="X68">
    <cfRule type="cellIs" dxfId="2229" priority="147527" stopIfTrue="1" operator="greaterThanOrEqual">
      <formula>0.5</formula>
    </cfRule>
  </conditionalFormatting>
  <conditionalFormatting sqref="X69">
    <cfRule type="cellIs" dxfId="2228" priority="147528" stopIfTrue="1" operator="equal">
      <formula>-1</formula>
    </cfRule>
  </conditionalFormatting>
  <conditionalFormatting sqref="X69">
    <cfRule type="cellIs" dxfId="2227" priority="147529" stopIfTrue="1" operator="lessThan">
      <formula>0.5</formula>
    </cfRule>
  </conditionalFormatting>
  <conditionalFormatting sqref="X69">
    <cfRule type="cellIs" dxfId="2226" priority="147530" stopIfTrue="1" operator="greaterThanOrEqual">
      <formula>0.5</formula>
    </cfRule>
  </conditionalFormatting>
  <conditionalFormatting sqref="X70">
    <cfRule type="cellIs" dxfId="2225" priority="147531" stopIfTrue="1" operator="equal">
      <formula>-1</formula>
    </cfRule>
  </conditionalFormatting>
  <conditionalFormatting sqref="X70">
    <cfRule type="cellIs" dxfId="2224" priority="147532" stopIfTrue="1" operator="lessThan">
      <formula>0.5</formula>
    </cfRule>
  </conditionalFormatting>
  <conditionalFormatting sqref="X70">
    <cfRule type="cellIs" dxfId="2223" priority="147533" stopIfTrue="1" operator="greaterThanOrEqual">
      <formula>0.5</formula>
    </cfRule>
  </conditionalFormatting>
  <conditionalFormatting sqref="X71">
    <cfRule type="cellIs" dxfId="2222" priority="147534" stopIfTrue="1" operator="equal">
      <formula>-1</formula>
    </cfRule>
  </conditionalFormatting>
  <conditionalFormatting sqref="X71">
    <cfRule type="cellIs" dxfId="2221" priority="147535" stopIfTrue="1" operator="lessThan">
      <formula>0.5</formula>
    </cfRule>
  </conditionalFormatting>
  <conditionalFormatting sqref="X71">
    <cfRule type="cellIs" dxfId="2220" priority="147536" stopIfTrue="1" operator="greaterThanOrEqual">
      <formula>0.5</formula>
    </cfRule>
  </conditionalFormatting>
  <conditionalFormatting sqref="X72">
    <cfRule type="cellIs" dxfId="2219" priority="147537" stopIfTrue="1" operator="equal">
      <formula>-1</formula>
    </cfRule>
  </conditionalFormatting>
  <conditionalFormatting sqref="X72">
    <cfRule type="cellIs" dxfId="2218" priority="147538" stopIfTrue="1" operator="lessThan">
      <formula>0.5</formula>
    </cfRule>
  </conditionalFormatting>
  <conditionalFormatting sqref="X72">
    <cfRule type="cellIs" dxfId="2217" priority="147539" stopIfTrue="1" operator="greaterThanOrEqual">
      <formula>0.5</formula>
    </cfRule>
  </conditionalFormatting>
  <conditionalFormatting sqref="X73">
    <cfRule type="cellIs" dxfId="2216" priority="147540" stopIfTrue="1" operator="equal">
      <formula>-1</formula>
    </cfRule>
  </conditionalFormatting>
  <conditionalFormatting sqref="X73">
    <cfRule type="cellIs" dxfId="2215" priority="147541" stopIfTrue="1" operator="lessThan">
      <formula>0.5</formula>
    </cfRule>
  </conditionalFormatting>
  <conditionalFormatting sqref="X73">
    <cfRule type="cellIs" dxfId="2214" priority="147542" stopIfTrue="1" operator="greaterThanOrEqual">
      <formula>0.5</formula>
    </cfRule>
  </conditionalFormatting>
  <conditionalFormatting sqref="X74">
    <cfRule type="cellIs" dxfId="2213" priority="147543" stopIfTrue="1" operator="equal">
      <formula>-1</formula>
    </cfRule>
  </conditionalFormatting>
  <conditionalFormatting sqref="X74">
    <cfRule type="cellIs" dxfId="2212" priority="147544" stopIfTrue="1" operator="lessThan">
      <formula>0.5</formula>
    </cfRule>
  </conditionalFormatting>
  <conditionalFormatting sqref="X74">
    <cfRule type="cellIs" dxfId="2211" priority="147545" stopIfTrue="1" operator="greaterThanOrEqual">
      <formula>0.5</formula>
    </cfRule>
  </conditionalFormatting>
  <conditionalFormatting sqref="X75">
    <cfRule type="cellIs" dxfId="2210" priority="147546" stopIfTrue="1" operator="equal">
      <formula>-1</formula>
    </cfRule>
  </conditionalFormatting>
  <conditionalFormatting sqref="X75">
    <cfRule type="cellIs" dxfId="2209" priority="147547" stopIfTrue="1" operator="lessThan">
      <formula>0.5</formula>
    </cfRule>
  </conditionalFormatting>
  <conditionalFormatting sqref="X75">
    <cfRule type="cellIs" dxfId="2208" priority="147548" stopIfTrue="1" operator="greaterThanOrEqual">
      <formula>0.5</formula>
    </cfRule>
  </conditionalFormatting>
  <conditionalFormatting sqref="X76">
    <cfRule type="cellIs" dxfId="2207" priority="147549" stopIfTrue="1" operator="equal">
      <formula>-1</formula>
    </cfRule>
  </conditionalFormatting>
  <conditionalFormatting sqref="X76">
    <cfRule type="cellIs" dxfId="2206" priority="147550" stopIfTrue="1" operator="lessThan">
      <formula>0.5</formula>
    </cfRule>
  </conditionalFormatting>
  <conditionalFormatting sqref="X76">
    <cfRule type="cellIs" dxfId="2205" priority="147551" stopIfTrue="1" operator="greaterThanOrEqual">
      <formula>0.5</formula>
    </cfRule>
  </conditionalFormatting>
  <conditionalFormatting sqref="X77">
    <cfRule type="cellIs" dxfId="2204" priority="147552" stopIfTrue="1" operator="equal">
      <formula>-1</formula>
    </cfRule>
  </conditionalFormatting>
  <conditionalFormatting sqref="X77">
    <cfRule type="cellIs" dxfId="2203" priority="147553" stopIfTrue="1" operator="lessThan">
      <formula>0.5</formula>
    </cfRule>
  </conditionalFormatting>
  <conditionalFormatting sqref="X77">
    <cfRule type="cellIs" dxfId="2202" priority="147554" stopIfTrue="1" operator="greaterThanOrEqual">
      <formula>0.5</formula>
    </cfRule>
  </conditionalFormatting>
  <conditionalFormatting sqref="X78">
    <cfRule type="cellIs" dxfId="2201" priority="147555" stopIfTrue="1" operator="equal">
      <formula>-1</formula>
    </cfRule>
  </conditionalFormatting>
  <conditionalFormatting sqref="X78">
    <cfRule type="cellIs" dxfId="2200" priority="147556" stopIfTrue="1" operator="lessThan">
      <formula>0.5</formula>
    </cfRule>
  </conditionalFormatting>
  <conditionalFormatting sqref="X78">
    <cfRule type="cellIs" dxfId="2199" priority="147557" stopIfTrue="1" operator="greaterThanOrEqual">
      <formula>0.5</formula>
    </cfRule>
  </conditionalFormatting>
  <conditionalFormatting sqref="X79">
    <cfRule type="cellIs" dxfId="2198" priority="147558" stopIfTrue="1" operator="equal">
      <formula>-1</formula>
    </cfRule>
  </conditionalFormatting>
  <conditionalFormatting sqref="X79">
    <cfRule type="cellIs" dxfId="2197" priority="147559" stopIfTrue="1" operator="lessThan">
      <formula>0.5</formula>
    </cfRule>
  </conditionalFormatting>
  <conditionalFormatting sqref="X79">
    <cfRule type="cellIs" dxfId="2196" priority="147560" stopIfTrue="1" operator="greaterThanOrEqual">
      <formula>0.5</formula>
    </cfRule>
  </conditionalFormatting>
  <conditionalFormatting sqref="X80">
    <cfRule type="cellIs" dxfId="2195" priority="147561" stopIfTrue="1" operator="equal">
      <formula>-1</formula>
    </cfRule>
  </conditionalFormatting>
  <conditionalFormatting sqref="X80">
    <cfRule type="cellIs" dxfId="2194" priority="147562" stopIfTrue="1" operator="lessThan">
      <formula>0.5</formula>
    </cfRule>
  </conditionalFormatting>
  <conditionalFormatting sqref="X80">
    <cfRule type="cellIs" dxfId="2193" priority="147563" stopIfTrue="1" operator="greaterThanOrEqual">
      <formula>0.5</formula>
    </cfRule>
  </conditionalFormatting>
  <conditionalFormatting sqref="X81">
    <cfRule type="cellIs" dxfId="2192" priority="147564" stopIfTrue="1" operator="equal">
      <formula>-1</formula>
    </cfRule>
  </conditionalFormatting>
  <conditionalFormatting sqref="X81">
    <cfRule type="cellIs" dxfId="2191" priority="147565" stopIfTrue="1" operator="lessThan">
      <formula>0.5</formula>
    </cfRule>
  </conditionalFormatting>
  <conditionalFormatting sqref="X81">
    <cfRule type="cellIs" dxfId="2190" priority="147566" stopIfTrue="1" operator="greaterThanOrEqual">
      <formula>0.5</formula>
    </cfRule>
  </conditionalFormatting>
  <conditionalFormatting sqref="X82">
    <cfRule type="cellIs" dxfId="2189" priority="147567" stopIfTrue="1" operator="equal">
      <formula>-1</formula>
    </cfRule>
  </conditionalFormatting>
  <conditionalFormatting sqref="X82">
    <cfRule type="cellIs" dxfId="2188" priority="147568" stopIfTrue="1" operator="lessThan">
      <formula>0.5</formula>
    </cfRule>
  </conditionalFormatting>
  <conditionalFormatting sqref="X82">
    <cfRule type="cellIs" dxfId="2187" priority="147569" stopIfTrue="1" operator="greaterThanOrEqual">
      <formula>0.5</formula>
    </cfRule>
  </conditionalFormatting>
  <conditionalFormatting sqref="X83">
    <cfRule type="cellIs" dxfId="2186" priority="147570" stopIfTrue="1" operator="equal">
      <formula>-1</formula>
    </cfRule>
  </conditionalFormatting>
  <conditionalFormatting sqref="X83">
    <cfRule type="cellIs" dxfId="2185" priority="147571" stopIfTrue="1" operator="lessThan">
      <formula>0.5</formula>
    </cfRule>
  </conditionalFormatting>
  <conditionalFormatting sqref="X83">
    <cfRule type="cellIs" dxfId="2184" priority="147572" stopIfTrue="1" operator="greaterThanOrEqual">
      <formula>0.5</formula>
    </cfRule>
  </conditionalFormatting>
  <conditionalFormatting sqref="X84">
    <cfRule type="cellIs" dxfId="2183" priority="147573" stopIfTrue="1" operator="equal">
      <formula>-1</formula>
    </cfRule>
  </conditionalFormatting>
  <conditionalFormatting sqref="X84">
    <cfRule type="cellIs" dxfId="2182" priority="147574" stopIfTrue="1" operator="lessThan">
      <formula>0.5</formula>
    </cfRule>
  </conditionalFormatting>
  <conditionalFormatting sqref="X84">
    <cfRule type="cellIs" dxfId="2181" priority="147575" stopIfTrue="1" operator="greaterThanOrEqual">
      <formula>0.5</formula>
    </cfRule>
  </conditionalFormatting>
  <conditionalFormatting sqref="X85">
    <cfRule type="cellIs" dxfId="2180" priority="147576" stopIfTrue="1" operator="equal">
      <formula>-1</formula>
    </cfRule>
  </conditionalFormatting>
  <conditionalFormatting sqref="X85">
    <cfRule type="cellIs" dxfId="2179" priority="147577" stopIfTrue="1" operator="lessThan">
      <formula>0.5</formula>
    </cfRule>
  </conditionalFormatting>
  <conditionalFormatting sqref="X85">
    <cfRule type="cellIs" dxfId="2178" priority="147578" stopIfTrue="1" operator="greaterThanOrEqual">
      <formula>0.5</formula>
    </cfRule>
  </conditionalFormatting>
  <conditionalFormatting sqref="Z65">
    <cfRule type="cellIs" dxfId="2177" priority="147579" stopIfTrue="1" operator="equal">
      <formula>-1</formula>
    </cfRule>
  </conditionalFormatting>
  <conditionalFormatting sqref="Z65">
    <cfRule type="cellIs" dxfId="2176" priority="147580" stopIfTrue="1" operator="lessThan">
      <formula>0.5</formula>
    </cfRule>
  </conditionalFormatting>
  <conditionalFormatting sqref="Z65">
    <cfRule type="cellIs" dxfId="2175" priority="147581" stopIfTrue="1" operator="greaterThanOrEqual">
      <formula>0.5</formula>
    </cfRule>
  </conditionalFormatting>
  <conditionalFormatting sqref="Z66">
    <cfRule type="cellIs" dxfId="2174" priority="147582" stopIfTrue="1" operator="equal">
      <formula>-1</formula>
    </cfRule>
  </conditionalFormatting>
  <conditionalFormatting sqref="Z66">
    <cfRule type="cellIs" dxfId="2173" priority="147583" stopIfTrue="1" operator="lessThan">
      <formula>0.5</formula>
    </cfRule>
  </conditionalFormatting>
  <conditionalFormatting sqref="Z66">
    <cfRule type="cellIs" dxfId="2172" priority="147584" stopIfTrue="1" operator="greaterThanOrEqual">
      <formula>0.5</formula>
    </cfRule>
  </conditionalFormatting>
  <conditionalFormatting sqref="Z67">
    <cfRule type="cellIs" dxfId="2171" priority="147585" stopIfTrue="1" operator="equal">
      <formula>-1</formula>
    </cfRule>
  </conditionalFormatting>
  <conditionalFormatting sqref="Z67">
    <cfRule type="cellIs" dxfId="2170" priority="147586" stopIfTrue="1" operator="lessThan">
      <formula>0.5</formula>
    </cfRule>
  </conditionalFormatting>
  <conditionalFormatting sqref="Z67">
    <cfRule type="cellIs" dxfId="2169" priority="147587" stopIfTrue="1" operator="greaterThanOrEqual">
      <formula>0.5</formula>
    </cfRule>
  </conditionalFormatting>
  <conditionalFormatting sqref="Z68">
    <cfRule type="cellIs" dxfId="2168" priority="147588" stopIfTrue="1" operator="equal">
      <formula>-1</formula>
    </cfRule>
  </conditionalFormatting>
  <conditionalFormatting sqref="Z68">
    <cfRule type="cellIs" dxfId="2167" priority="147589" stopIfTrue="1" operator="lessThan">
      <formula>0.5</formula>
    </cfRule>
  </conditionalFormatting>
  <conditionalFormatting sqref="Z68">
    <cfRule type="cellIs" dxfId="2166" priority="147590" stopIfTrue="1" operator="greaterThanOrEqual">
      <formula>0.5</formula>
    </cfRule>
  </conditionalFormatting>
  <conditionalFormatting sqref="Z69">
    <cfRule type="cellIs" dxfId="2165" priority="147591" stopIfTrue="1" operator="equal">
      <formula>-1</formula>
    </cfRule>
  </conditionalFormatting>
  <conditionalFormatting sqref="Z69">
    <cfRule type="cellIs" dxfId="2164" priority="147592" stopIfTrue="1" operator="lessThan">
      <formula>0.5</formula>
    </cfRule>
  </conditionalFormatting>
  <conditionalFormatting sqref="Z69">
    <cfRule type="cellIs" dxfId="2163" priority="147593" stopIfTrue="1" operator="greaterThanOrEqual">
      <formula>0.5</formula>
    </cfRule>
  </conditionalFormatting>
  <conditionalFormatting sqref="Z70">
    <cfRule type="cellIs" dxfId="2162" priority="147594" stopIfTrue="1" operator="equal">
      <formula>-1</formula>
    </cfRule>
  </conditionalFormatting>
  <conditionalFormatting sqref="Z70">
    <cfRule type="cellIs" dxfId="2161" priority="147595" stopIfTrue="1" operator="lessThan">
      <formula>0.5</formula>
    </cfRule>
  </conditionalFormatting>
  <conditionalFormatting sqref="Z70">
    <cfRule type="cellIs" dxfId="2160" priority="147596" stopIfTrue="1" operator="greaterThanOrEqual">
      <formula>0.5</formula>
    </cfRule>
  </conditionalFormatting>
  <conditionalFormatting sqref="Z71">
    <cfRule type="cellIs" dxfId="2159" priority="147597" stopIfTrue="1" operator="equal">
      <formula>-1</formula>
    </cfRule>
  </conditionalFormatting>
  <conditionalFormatting sqref="Z71">
    <cfRule type="cellIs" dxfId="2158" priority="147598" stopIfTrue="1" operator="lessThan">
      <formula>0.5</formula>
    </cfRule>
  </conditionalFormatting>
  <conditionalFormatting sqref="Z71">
    <cfRule type="cellIs" dxfId="2157" priority="147599" stopIfTrue="1" operator="greaterThanOrEqual">
      <formula>0.5</formula>
    </cfRule>
  </conditionalFormatting>
  <conditionalFormatting sqref="Z72">
    <cfRule type="cellIs" dxfId="2156" priority="147600" stopIfTrue="1" operator="equal">
      <formula>-1</formula>
    </cfRule>
  </conditionalFormatting>
  <conditionalFormatting sqref="Z72">
    <cfRule type="cellIs" dxfId="2155" priority="147601" stopIfTrue="1" operator="lessThan">
      <formula>0.5</formula>
    </cfRule>
  </conditionalFormatting>
  <conditionalFormatting sqref="Z72">
    <cfRule type="cellIs" dxfId="2154" priority="147602" stopIfTrue="1" operator="greaterThanOrEqual">
      <formula>0.5</formula>
    </cfRule>
  </conditionalFormatting>
  <conditionalFormatting sqref="Z73">
    <cfRule type="cellIs" dxfId="2153" priority="147603" stopIfTrue="1" operator="equal">
      <formula>-1</formula>
    </cfRule>
  </conditionalFormatting>
  <conditionalFormatting sqref="Z73">
    <cfRule type="cellIs" dxfId="2152" priority="147604" stopIfTrue="1" operator="lessThan">
      <formula>0.5</formula>
    </cfRule>
  </conditionalFormatting>
  <conditionalFormatting sqref="Z73">
    <cfRule type="cellIs" dxfId="2151" priority="147605" stopIfTrue="1" operator="greaterThanOrEqual">
      <formula>0.5</formula>
    </cfRule>
  </conditionalFormatting>
  <conditionalFormatting sqref="Z74">
    <cfRule type="cellIs" dxfId="2150" priority="147606" stopIfTrue="1" operator="equal">
      <formula>-1</formula>
    </cfRule>
  </conditionalFormatting>
  <conditionalFormatting sqref="Z74">
    <cfRule type="cellIs" dxfId="2149" priority="147607" stopIfTrue="1" operator="lessThan">
      <formula>0.5</formula>
    </cfRule>
  </conditionalFormatting>
  <conditionalFormatting sqref="Z74">
    <cfRule type="cellIs" dxfId="2148" priority="147608" stopIfTrue="1" operator="greaterThanOrEqual">
      <formula>0.5</formula>
    </cfRule>
  </conditionalFormatting>
  <conditionalFormatting sqref="Z75">
    <cfRule type="cellIs" dxfId="2147" priority="147609" stopIfTrue="1" operator="equal">
      <formula>-1</formula>
    </cfRule>
  </conditionalFormatting>
  <conditionalFormatting sqref="Z75">
    <cfRule type="cellIs" dxfId="2146" priority="147610" stopIfTrue="1" operator="lessThan">
      <formula>0.5</formula>
    </cfRule>
  </conditionalFormatting>
  <conditionalFormatting sqref="Z75">
    <cfRule type="cellIs" dxfId="2145" priority="147611" stopIfTrue="1" operator="greaterThanOrEqual">
      <formula>0.5</formula>
    </cfRule>
  </conditionalFormatting>
  <conditionalFormatting sqref="Z76">
    <cfRule type="cellIs" dxfId="2144" priority="147612" stopIfTrue="1" operator="equal">
      <formula>-1</formula>
    </cfRule>
  </conditionalFormatting>
  <conditionalFormatting sqref="Z76">
    <cfRule type="cellIs" dxfId="2143" priority="147613" stopIfTrue="1" operator="lessThan">
      <formula>0.5</formula>
    </cfRule>
  </conditionalFormatting>
  <conditionalFormatting sqref="Z76">
    <cfRule type="cellIs" dxfId="2142" priority="147614" stopIfTrue="1" operator="greaterThanOrEqual">
      <formula>0.5</formula>
    </cfRule>
  </conditionalFormatting>
  <conditionalFormatting sqref="Z77">
    <cfRule type="cellIs" dxfId="2141" priority="147615" stopIfTrue="1" operator="equal">
      <formula>-1</formula>
    </cfRule>
  </conditionalFormatting>
  <conditionalFormatting sqref="Z77">
    <cfRule type="cellIs" dxfId="2140" priority="147616" stopIfTrue="1" operator="lessThan">
      <formula>0.5</formula>
    </cfRule>
  </conditionalFormatting>
  <conditionalFormatting sqref="Z77">
    <cfRule type="cellIs" dxfId="2139" priority="147617" stopIfTrue="1" operator="greaterThanOrEqual">
      <formula>0.5</formula>
    </cfRule>
  </conditionalFormatting>
  <conditionalFormatting sqref="Z78">
    <cfRule type="cellIs" dxfId="2138" priority="147618" stopIfTrue="1" operator="equal">
      <formula>-1</formula>
    </cfRule>
  </conditionalFormatting>
  <conditionalFormatting sqref="Z78">
    <cfRule type="cellIs" dxfId="2137" priority="147619" stopIfTrue="1" operator="lessThan">
      <formula>0.5</formula>
    </cfRule>
  </conditionalFormatting>
  <conditionalFormatting sqref="Z78">
    <cfRule type="cellIs" dxfId="2136" priority="147620" stopIfTrue="1" operator="greaterThanOrEqual">
      <formula>0.5</formula>
    </cfRule>
  </conditionalFormatting>
  <conditionalFormatting sqref="Z79">
    <cfRule type="cellIs" dxfId="2135" priority="147621" stopIfTrue="1" operator="equal">
      <formula>-1</formula>
    </cfRule>
  </conditionalFormatting>
  <conditionalFormatting sqref="Z79">
    <cfRule type="cellIs" dxfId="2134" priority="147622" stopIfTrue="1" operator="lessThan">
      <formula>0.5</formula>
    </cfRule>
  </conditionalFormatting>
  <conditionalFormatting sqref="Z79">
    <cfRule type="cellIs" dxfId="2133" priority="147623" stopIfTrue="1" operator="greaterThanOrEqual">
      <formula>0.5</formula>
    </cfRule>
  </conditionalFormatting>
  <conditionalFormatting sqref="Z80">
    <cfRule type="cellIs" dxfId="2132" priority="147624" stopIfTrue="1" operator="equal">
      <formula>-1</formula>
    </cfRule>
  </conditionalFormatting>
  <conditionalFormatting sqref="Z80">
    <cfRule type="cellIs" dxfId="2131" priority="147625" stopIfTrue="1" operator="lessThan">
      <formula>0.5</formula>
    </cfRule>
  </conditionalFormatting>
  <conditionalFormatting sqref="Z80">
    <cfRule type="cellIs" dxfId="2130" priority="147626" stopIfTrue="1" operator="greaterThanOrEqual">
      <formula>0.5</formula>
    </cfRule>
  </conditionalFormatting>
  <conditionalFormatting sqref="Z81">
    <cfRule type="cellIs" dxfId="2129" priority="147627" stopIfTrue="1" operator="equal">
      <formula>-1</formula>
    </cfRule>
  </conditionalFormatting>
  <conditionalFormatting sqref="Z81">
    <cfRule type="cellIs" dxfId="2128" priority="147628" stopIfTrue="1" operator="lessThan">
      <formula>0.5</formula>
    </cfRule>
  </conditionalFormatting>
  <conditionalFormatting sqref="Z81">
    <cfRule type="cellIs" dxfId="2127" priority="147629" stopIfTrue="1" operator="greaterThanOrEqual">
      <formula>0.5</formula>
    </cfRule>
  </conditionalFormatting>
  <conditionalFormatting sqref="Z82">
    <cfRule type="cellIs" dxfId="2126" priority="147630" stopIfTrue="1" operator="equal">
      <formula>-1</formula>
    </cfRule>
  </conditionalFormatting>
  <conditionalFormatting sqref="Z82">
    <cfRule type="cellIs" dxfId="2125" priority="147631" stopIfTrue="1" operator="lessThan">
      <formula>0.5</formula>
    </cfRule>
  </conditionalFormatting>
  <conditionalFormatting sqref="Z82">
    <cfRule type="cellIs" dxfId="2124" priority="147632" stopIfTrue="1" operator="greaterThanOrEqual">
      <formula>0.5</formula>
    </cfRule>
  </conditionalFormatting>
  <conditionalFormatting sqref="Z83">
    <cfRule type="cellIs" dxfId="2123" priority="147633" stopIfTrue="1" operator="equal">
      <formula>-1</formula>
    </cfRule>
  </conditionalFormatting>
  <conditionalFormatting sqref="Z83">
    <cfRule type="cellIs" dxfId="2122" priority="147634" stopIfTrue="1" operator="lessThan">
      <formula>0.5</formula>
    </cfRule>
  </conditionalFormatting>
  <conditionalFormatting sqref="Z83">
    <cfRule type="cellIs" dxfId="2121" priority="147635" stopIfTrue="1" operator="greaterThanOrEqual">
      <formula>0.5</formula>
    </cfRule>
  </conditionalFormatting>
  <conditionalFormatting sqref="Z84">
    <cfRule type="cellIs" dxfId="2120" priority="147636" stopIfTrue="1" operator="equal">
      <formula>-1</formula>
    </cfRule>
  </conditionalFormatting>
  <conditionalFormatting sqref="Z84">
    <cfRule type="cellIs" dxfId="2119" priority="147637" stopIfTrue="1" operator="lessThan">
      <formula>0.5</formula>
    </cfRule>
  </conditionalFormatting>
  <conditionalFormatting sqref="Z84">
    <cfRule type="cellIs" dxfId="2118" priority="147638" stopIfTrue="1" operator="greaterThanOrEqual">
      <formula>0.5</formula>
    </cfRule>
  </conditionalFormatting>
  <conditionalFormatting sqref="Z85">
    <cfRule type="cellIs" dxfId="2117" priority="147639" stopIfTrue="1" operator="equal">
      <formula>-1</formula>
    </cfRule>
  </conditionalFormatting>
  <conditionalFormatting sqref="Z85">
    <cfRule type="cellIs" dxfId="2116" priority="147640" stopIfTrue="1" operator="lessThan">
      <formula>0.5</formula>
    </cfRule>
  </conditionalFormatting>
  <conditionalFormatting sqref="Z85">
    <cfRule type="cellIs" dxfId="2115" priority="147641" stopIfTrue="1" operator="greaterThanOrEqual">
      <formula>0.5</formula>
    </cfRule>
  </conditionalFormatting>
  <conditionalFormatting sqref="AB65">
    <cfRule type="cellIs" dxfId="2114" priority="147642" stopIfTrue="1" operator="equal">
      <formula>-1</formula>
    </cfRule>
  </conditionalFormatting>
  <conditionalFormatting sqref="AB65">
    <cfRule type="cellIs" dxfId="2113" priority="147643" stopIfTrue="1" operator="lessThan">
      <formula>0.5</formula>
    </cfRule>
  </conditionalFormatting>
  <conditionalFormatting sqref="AB65">
    <cfRule type="cellIs" dxfId="2112" priority="147644" stopIfTrue="1" operator="greaterThanOrEqual">
      <formula>0.5</formula>
    </cfRule>
  </conditionalFormatting>
  <conditionalFormatting sqref="AB66">
    <cfRule type="cellIs" dxfId="2111" priority="147645" stopIfTrue="1" operator="equal">
      <formula>-1</formula>
    </cfRule>
  </conditionalFormatting>
  <conditionalFormatting sqref="AB66">
    <cfRule type="cellIs" dxfId="2110" priority="147646" stopIfTrue="1" operator="lessThan">
      <formula>0.5</formula>
    </cfRule>
  </conditionalFormatting>
  <conditionalFormatting sqref="AB66">
    <cfRule type="cellIs" dxfId="2109" priority="147647" stopIfTrue="1" operator="greaterThanOrEqual">
      <formula>0.5</formula>
    </cfRule>
  </conditionalFormatting>
  <conditionalFormatting sqref="AB67">
    <cfRule type="cellIs" dxfId="2108" priority="147648" stopIfTrue="1" operator="equal">
      <formula>-1</formula>
    </cfRule>
  </conditionalFormatting>
  <conditionalFormatting sqref="AB67">
    <cfRule type="cellIs" dxfId="2107" priority="147649" stopIfTrue="1" operator="lessThan">
      <formula>0.5</formula>
    </cfRule>
  </conditionalFormatting>
  <conditionalFormatting sqref="AB67">
    <cfRule type="cellIs" dxfId="2106" priority="147650" stopIfTrue="1" operator="greaterThanOrEqual">
      <formula>0.5</formula>
    </cfRule>
  </conditionalFormatting>
  <conditionalFormatting sqref="AB68">
    <cfRule type="cellIs" dxfId="2105" priority="147651" stopIfTrue="1" operator="equal">
      <formula>-1</formula>
    </cfRule>
  </conditionalFormatting>
  <conditionalFormatting sqref="AB68">
    <cfRule type="cellIs" dxfId="2104" priority="147652" stopIfTrue="1" operator="lessThan">
      <formula>0.5</formula>
    </cfRule>
  </conditionalFormatting>
  <conditionalFormatting sqref="AB68">
    <cfRule type="cellIs" dxfId="2103" priority="147653" stopIfTrue="1" operator="greaterThanOrEqual">
      <formula>0.5</formula>
    </cfRule>
  </conditionalFormatting>
  <conditionalFormatting sqref="AB69">
    <cfRule type="cellIs" dxfId="2102" priority="147654" stopIfTrue="1" operator="equal">
      <formula>-1</formula>
    </cfRule>
  </conditionalFormatting>
  <conditionalFormatting sqref="AB69">
    <cfRule type="cellIs" dxfId="2101" priority="147655" stopIfTrue="1" operator="lessThan">
      <formula>0.5</formula>
    </cfRule>
  </conditionalFormatting>
  <conditionalFormatting sqref="AB69">
    <cfRule type="cellIs" dxfId="2100" priority="147656" stopIfTrue="1" operator="greaterThanOrEqual">
      <formula>0.5</formula>
    </cfRule>
  </conditionalFormatting>
  <conditionalFormatting sqref="AB70">
    <cfRule type="cellIs" dxfId="2099" priority="147657" stopIfTrue="1" operator="equal">
      <formula>-1</formula>
    </cfRule>
  </conditionalFormatting>
  <conditionalFormatting sqref="AB70">
    <cfRule type="cellIs" dxfId="2098" priority="147658" stopIfTrue="1" operator="lessThan">
      <formula>0.5</formula>
    </cfRule>
  </conditionalFormatting>
  <conditionalFormatting sqref="AB70">
    <cfRule type="cellIs" dxfId="2097" priority="147659" stopIfTrue="1" operator="greaterThanOrEqual">
      <formula>0.5</formula>
    </cfRule>
  </conditionalFormatting>
  <conditionalFormatting sqref="AB71">
    <cfRule type="cellIs" dxfId="2096" priority="147660" stopIfTrue="1" operator="equal">
      <formula>-1</formula>
    </cfRule>
  </conditionalFormatting>
  <conditionalFormatting sqref="AB71">
    <cfRule type="cellIs" dxfId="2095" priority="147661" stopIfTrue="1" operator="lessThan">
      <formula>0.5</formula>
    </cfRule>
  </conditionalFormatting>
  <conditionalFormatting sqref="AB71">
    <cfRule type="cellIs" dxfId="2094" priority="147662" stopIfTrue="1" operator="greaterThanOrEqual">
      <formula>0.5</formula>
    </cfRule>
  </conditionalFormatting>
  <conditionalFormatting sqref="AB72">
    <cfRule type="cellIs" dxfId="2093" priority="147663" stopIfTrue="1" operator="equal">
      <formula>-1</formula>
    </cfRule>
  </conditionalFormatting>
  <conditionalFormatting sqref="AB72">
    <cfRule type="cellIs" dxfId="2092" priority="147664" stopIfTrue="1" operator="lessThan">
      <formula>0.5</formula>
    </cfRule>
  </conditionalFormatting>
  <conditionalFormatting sqref="AB72">
    <cfRule type="cellIs" dxfId="2091" priority="147665" stopIfTrue="1" operator="greaterThanOrEqual">
      <formula>0.5</formula>
    </cfRule>
  </conditionalFormatting>
  <conditionalFormatting sqref="AB73">
    <cfRule type="cellIs" dxfId="2090" priority="147666" stopIfTrue="1" operator="equal">
      <formula>-1</formula>
    </cfRule>
  </conditionalFormatting>
  <conditionalFormatting sqref="AB73">
    <cfRule type="cellIs" dxfId="2089" priority="147667" stopIfTrue="1" operator="lessThan">
      <formula>0.5</formula>
    </cfRule>
  </conditionalFormatting>
  <conditionalFormatting sqref="AB73">
    <cfRule type="cellIs" dxfId="2088" priority="147668" stopIfTrue="1" operator="greaterThanOrEqual">
      <formula>0.5</formula>
    </cfRule>
  </conditionalFormatting>
  <conditionalFormatting sqref="AB74">
    <cfRule type="cellIs" dxfId="2087" priority="147669" stopIfTrue="1" operator="equal">
      <formula>-1</formula>
    </cfRule>
  </conditionalFormatting>
  <conditionalFormatting sqref="AB74">
    <cfRule type="cellIs" dxfId="2086" priority="147670" stopIfTrue="1" operator="lessThan">
      <formula>0.5</formula>
    </cfRule>
  </conditionalFormatting>
  <conditionalFormatting sqref="AB74">
    <cfRule type="cellIs" dxfId="2085" priority="147671" stopIfTrue="1" operator="greaterThanOrEqual">
      <formula>0.5</formula>
    </cfRule>
  </conditionalFormatting>
  <conditionalFormatting sqref="AB75">
    <cfRule type="cellIs" dxfId="2084" priority="147672" stopIfTrue="1" operator="equal">
      <formula>-1</formula>
    </cfRule>
  </conditionalFormatting>
  <conditionalFormatting sqref="AB75">
    <cfRule type="cellIs" dxfId="2083" priority="147673" stopIfTrue="1" operator="lessThan">
      <formula>0.5</formula>
    </cfRule>
  </conditionalFormatting>
  <conditionalFormatting sqref="AB75">
    <cfRule type="cellIs" dxfId="2082" priority="147674" stopIfTrue="1" operator="greaterThanOrEqual">
      <formula>0.5</formula>
    </cfRule>
  </conditionalFormatting>
  <conditionalFormatting sqref="AB76">
    <cfRule type="cellIs" dxfId="2081" priority="147675" stopIfTrue="1" operator="equal">
      <formula>-1</formula>
    </cfRule>
  </conditionalFormatting>
  <conditionalFormatting sqref="AB76">
    <cfRule type="cellIs" dxfId="2080" priority="147676" stopIfTrue="1" operator="lessThan">
      <formula>0.5</formula>
    </cfRule>
  </conditionalFormatting>
  <conditionalFormatting sqref="AB76">
    <cfRule type="cellIs" dxfId="2079" priority="147677" stopIfTrue="1" operator="greaterThanOrEqual">
      <formula>0.5</formula>
    </cfRule>
  </conditionalFormatting>
  <conditionalFormatting sqref="AB77">
    <cfRule type="cellIs" dxfId="2078" priority="147678" stopIfTrue="1" operator="equal">
      <formula>-1</formula>
    </cfRule>
  </conditionalFormatting>
  <conditionalFormatting sqref="AB77">
    <cfRule type="cellIs" dxfId="2077" priority="147679" stopIfTrue="1" operator="lessThan">
      <formula>0.5</formula>
    </cfRule>
  </conditionalFormatting>
  <conditionalFormatting sqref="AB77">
    <cfRule type="cellIs" dxfId="2076" priority="147680" stopIfTrue="1" operator="greaterThanOrEqual">
      <formula>0.5</formula>
    </cfRule>
  </conditionalFormatting>
  <conditionalFormatting sqref="AB78">
    <cfRule type="cellIs" dxfId="2075" priority="147681" stopIfTrue="1" operator="equal">
      <formula>-1</formula>
    </cfRule>
  </conditionalFormatting>
  <conditionalFormatting sqref="AB78">
    <cfRule type="cellIs" dxfId="2074" priority="147682" stopIfTrue="1" operator="lessThan">
      <formula>0.5</formula>
    </cfRule>
  </conditionalFormatting>
  <conditionalFormatting sqref="AB78">
    <cfRule type="cellIs" dxfId="2073" priority="147683" stopIfTrue="1" operator="greaterThanOrEqual">
      <formula>0.5</formula>
    </cfRule>
  </conditionalFormatting>
  <conditionalFormatting sqref="AB79">
    <cfRule type="cellIs" dxfId="2072" priority="147684" stopIfTrue="1" operator="equal">
      <formula>-1</formula>
    </cfRule>
  </conditionalFormatting>
  <conditionalFormatting sqref="AB79">
    <cfRule type="cellIs" dxfId="2071" priority="147685" stopIfTrue="1" operator="lessThan">
      <formula>0.5</formula>
    </cfRule>
  </conditionalFormatting>
  <conditionalFormatting sqref="AB79">
    <cfRule type="cellIs" dxfId="2070" priority="147686" stopIfTrue="1" operator="greaterThanOrEqual">
      <formula>0.5</formula>
    </cfRule>
  </conditionalFormatting>
  <conditionalFormatting sqref="AB80">
    <cfRule type="cellIs" dxfId="2069" priority="147687" stopIfTrue="1" operator="equal">
      <formula>-1</formula>
    </cfRule>
  </conditionalFormatting>
  <conditionalFormatting sqref="AB80">
    <cfRule type="cellIs" dxfId="2068" priority="147688" stopIfTrue="1" operator="lessThan">
      <formula>0.5</formula>
    </cfRule>
  </conditionalFormatting>
  <conditionalFormatting sqref="AB80">
    <cfRule type="cellIs" dxfId="2067" priority="147689" stopIfTrue="1" operator="greaterThanOrEqual">
      <formula>0.5</formula>
    </cfRule>
  </conditionalFormatting>
  <conditionalFormatting sqref="AB81">
    <cfRule type="cellIs" dxfId="2066" priority="147690" stopIfTrue="1" operator="equal">
      <formula>-1</formula>
    </cfRule>
  </conditionalFormatting>
  <conditionalFormatting sqref="AB81">
    <cfRule type="cellIs" dxfId="2065" priority="147691" stopIfTrue="1" operator="lessThan">
      <formula>0.5</formula>
    </cfRule>
  </conditionalFormatting>
  <conditionalFormatting sqref="AB81">
    <cfRule type="cellIs" dxfId="2064" priority="147692" stopIfTrue="1" operator="greaterThanOrEqual">
      <formula>0.5</formula>
    </cfRule>
  </conditionalFormatting>
  <conditionalFormatting sqref="AB82">
    <cfRule type="cellIs" dxfId="2063" priority="147693" stopIfTrue="1" operator="equal">
      <formula>-1</formula>
    </cfRule>
  </conditionalFormatting>
  <conditionalFormatting sqref="AB82">
    <cfRule type="cellIs" dxfId="2062" priority="147694" stopIfTrue="1" operator="lessThan">
      <formula>0.5</formula>
    </cfRule>
  </conditionalFormatting>
  <conditionalFormatting sqref="AB82">
    <cfRule type="cellIs" dxfId="2061" priority="147695" stopIfTrue="1" operator="greaterThanOrEqual">
      <formula>0.5</formula>
    </cfRule>
  </conditionalFormatting>
  <conditionalFormatting sqref="AB83">
    <cfRule type="cellIs" dxfId="2060" priority="147696" stopIfTrue="1" operator="equal">
      <formula>-1</formula>
    </cfRule>
  </conditionalFormatting>
  <conditionalFormatting sqref="AB83">
    <cfRule type="cellIs" dxfId="2059" priority="147697" stopIfTrue="1" operator="lessThan">
      <formula>0.5</formula>
    </cfRule>
  </conditionalFormatting>
  <conditionalFormatting sqref="AB83">
    <cfRule type="cellIs" dxfId="2058" priority="147698" stopIfTrue="1" operator="greaterThanOrEqual">
      <formula>0.5</formula>
    </cfRule>
  </conditionalFormatting>
  <conditionalFormatting sqref="AB84">
    <cfRule type="cellIs" dxfId="2057" priority="147699" stopIfTrue="1" operator="equal">
      <formula>-1</formula>
    </cfRule>
  </conditionalFormatting>
  <conditionalFormatting sqref="AB84">
    <cfRule type="cellIs" dxfId="2056" priority="147700" stopIfTrue="1" operator="lessThan">
      <formula>0.5</formula>
    </cfRule>
  </conditionalFormatting>
  <conditionalFormatting sqref="AB84">
    <cfRule type="cellIs" dxfId="2055" priority="147701" stopIfTrue="1" operator="greaterThanOrEqual">
      <formula>0.5</formula>
    </cfRule>
  </conditionalFormatting>
  <conditionalFormatting sqref="AB85">
    <cfRule type="cellIs" dxfId="2054" priority="147702" stopIfTrue="1" operator="equal">
      <formula>-1</formula>
    </cfRule>
  </conditionalFormatting>
  <conditionalFormatting sqref="AB85">
    <cfRule type="cellIs" dxfId="2053" priority="147703" stopIfTrue="1" operator="lessThan">
      <formula>0.5</formula>
    </cfRule>
  </conditionalFormatting>
  <conditionalFormatting sqref="AB85">
    <cfRule type="cellIs" dxfId="2052" priority="147704" stopIfTrue="1" operator="greaterThanOrEqual">
      <formula>0.5</formula>
    </cfRule>
  </conditionalFormatting>
  <conditionalFormatting sqref="AD65">
    <cfRule type="cellIs" dxfId="2051" priority="147705" stopIfTrue="1" operator="equal">
      <formula>-1</formula>
    </cfRule>
  </conditionalFormatting>
  <conditionalFormatting sqref="AD65">
    <cfRule type="cellIs" dxfId="2050" priority="147706" stopIfTrue="1" operator="lessThan">
      <formula>0.5</formula>
    </cfRule>
  </conditionalFormatting>
  <conditionalFormatting sqref="AD65">
    <cfRule type="cellIs" dxfId="2049" priority="147707" stopIfTrue="1" operator="greaterThanOrEqual">
      <formula>0.5</formula>
    </cfRule>
  </conditionalFormatting>
  <conditionalFormatting sqref="AD66">
    <cfRule type="cellIs" dxfId="2048" priority="147708" stopIfTrue="1" operator="equal">
      <formula>-1</formula>
    </cfRule>
  </conditionalFormatting>
  <conditionalFormatting sqref="AD66">
    <cfRule type="cellIs" dxfId="2047" priority="147709" stopIfTrue="1" operator="lessThan">
      <formula>0.5</formula>
    </cfRule>
  </conditionalFormatting>
  <conditionalFormatting sqref="AD66">
    <cfRule type="cellIs" dxfId="2046" priority="147710" stopIfTrue="1" operator="greaterThanOrEqual">
      <formula>0.5</formula>
    </cfRule>
  </conditionalFormatting>
  <conditionalFormatting sqref="AD67">
    <cfRule type="cellIs" dxfId="2045" priority="147711" stopIfTrue="1" operator="equal">
      <formula>-1</formula>
    </cfRule>
  </conditionalFormatting>
  <conditionalFormatting sqref="AD67">
    <cfRule type="cellIs" dxfId="2044" priority="147712" stopIfTrue="1" operator="lessThan">
      <formula>0.5</formula>
    </cfRule>
  </conditionalFormatting>
  <conditionalFormatting sqref="AD67">
    <cfRule type="cellIs" dxfId="2043" priority="147713" stopIfTrue="1" operator="greaterThanOrEqual">
      <formula>0.5</formula>
    </cfRule>
  </conditionalFormatting>
  <conditionalFormatting sqref="AD68">
    <cfRule type="cellIs" dxfId="2042" priority="147714" stopIfTrue="1" operator="equal">
      <formula>-1</formula>
    </cfRule>
  </conditionalFormatting>
  <conditionalFormatting sqref="AD68">
    <cfRule type="cellIs" dxfId="2041" priority="147715" stopIfTrue="1" operator="lessThan">
      <formula>0.5</formula>
    </cfRule>
  </conditionalFormatting>
  <conditionalFormatting sqref="AD68">
    <cfRule type="cellIs" dxfId="2040" priority="147716" stopIfTrue="1" operator="greaterThanOrEqual">
      <formula>0.5</formula>
    </cfRule>
  </conditionalFormatting>
  <conditionalFormatting sqref="AD69">
    <cfRule type="cellIs" dxfId="2039" priority="147717" stopIfTrue="1" operator="equal">
      <formula>-1</formula>
    </cfRule>
  </conditionalFormatting>
  <conditionalFormatting sqref="AD69">
    <cfRule type="cellIs" dxfId="2038" priority="147718" stopIfTrue="1" operator="lessThan">
      <formula>0.5</formula>
    </cfRule>
  </conditionalFormatting>
  <conditionalFormatting sqref="AD69">
    <cfRule type="cellIs" dxfId="2037" priority="147719" stopIfTrue="1" operator="greaterThanOrEqual">
      <formula>0.5</formula>
    </cfRule>
  </conditionalFormatting>
  <conditionalFormatting sqref="AD70">
    <cfRule type="cellIs" dxfId="2036" priority="147720" stopIfTrue="1" operator="equal">
      <formula>-1</formula>
    </cfRule>
  </conditionalFormatting>
  <conditionalFormatting sqref="AD70">
    <cfRule type="cellIs" dxfId="2035" priority="147721" stopIfTrue="1" operator="lessThan">
      <formula>0.5</formula>
    </cfRule>
  </conditionalFormatting>
  <conditionalFormatting sqref="AD70">
    <cfRule type="cellIs" dxfId="2034" priority="147722" stopIfTrue="1" operator="greaterThanOrEqual">
      <formula>0.5</formula>
    </cfRule>
  </conditionalFormatting>
  <conditionalFormatting sqref="AD71">
    <cfRule type="cellIs" dxfId="2033" priority="147723" stopIfTrue="1" operator="equal">
      <formula>-1</formula>
    </cfRule>
  </conditionalFormatting>
  <conditionalFormatting sqref="AD71">
    <cfRule type="cellIs" dxfId="2032" priority="147724" stopIfTrue="1" operator="lessThan">
      <formula>0.5</formula>
    </cfRule>
  </conditionalFormatting>
  <conditionalFormatting sqref="AD71">
    <cfRule type="cellIs" dxfId="2031" priority="147725" stopIfTrue="1" operator="greaterThanOrEqual">
      <formula>0.5</formula>
    </cfRule>
  </conditionalFormatting>
  <conditionalFormatting sqref="AD72">
    <cfRule type="cellIs" dxfId="2030" priority="147726" stopIfTrue="1" operator="equal">
      <formula>-1</formula>
    </cfRule>
  </conditionalFormatting>
  <conditionalFormatting sqref="AD72">
    <cfRule type="cellIs" dxfId="2029" priority="147727" stopIfTrue="1" operator="lessThan">
      <formula>0.5</formula>
    </cfRule>
  </conditionalFormatting>
  <conditionalFormatting sqref="AD72">
    <cfRule type="cellIs" dxfId="2028" priority="147728" stopIfTrue="1" operator="greaterThanOrEqual">
      <formula>0.5</formula>
    </cfRule>
  </conditionalFormatting>
  <conditionalFormatting sqref="AD73">
    <cfRule type="cellIs" dxfId="2027" priority="147729" stopIfTrue="1" operator="equal">
      <formula>-1</formula>
    </cfRule>
  </conditionalFormatting>
  <conditionalFormatting sqref="AD73">
    <cfRule type="cellIs" dxfId="2026" priority="147730" stopIfTrue="1" operator="lessThan">
      <formula>0.5</formula>
    </cfRule>
  </conditionalFormatting>
  <conditionalFormatting sqref="AD73">
    <cfRule type="cellIs" dxfId="2025" priority="147731" stopIfTrue="1" operator="greaterThanOrEqual">
      <formula>0.5</formula>
    </cfRule>
  </conditionalFormatting>
  <conditionalFormatting sqref="AD74">
    <cfRule type="cellIs" dxfId="2024" priority="147732" stopIfTrue="1" operator="equal">
      <formula>-1</formula>
    </cfRule>
  </conditionalFormatting>
  <conditionalFormatting sqref="AD74">
    <cfRule type="cellIs" dxfId="2023" priority="147733" stopIfTrue="1" operator="lessThan">
      <formula>0.5</formula>
    </cfRule>
  </conditionalFormatting>
  <conditionalFormatting sqref="AD74">
    <cfRule type="cellIs" dxfId="2022" priority="147734" stopIfTrue="1" operator="greaterThanOrEqual">
      <formula>0.5</formula>
    </cfRule>
  </conditionalFormatting>
  <conditionalFormatting sqref="AD75">
    <cfRule type="cellIs" dxfId="2021" priority="147735" stopIfTrue="1" operator="equal">
      <formula>-1</formula>
    </cfRule>
  </conditionalFormatting>
  <conditionalFormatting sqref="AD75">
    <cfRule type="cellIs" dxfId="2020" priority="147736" stopIfTrue="1" operator="lessThan">
      <formula>0.5</formula>
    </cfRule>
  </conditionalFormatting>
  <conditionalFormatting sqref="AD75">
    <cfRule type="cellIs" dxfId="2019" priority="147737" stopIfTrue="1" operator="greaterThanOrEqual">
      <formula>0.5</formula>
    </cfRule>
  </conditionalFormatting>
  <conditionalFormatting sqref="AD76">
    <cfRule type="cellIs" dxfId="2018" priority="147738" stopIfTrue="1" operator="equal">
      <formula>-1</formula>
    </cfRule>
  </conditionalFormatting>
  <conditionalFormatting sqref="AD76">
    <cfRule type="cellIs" dxfId="2017" priority="147739" stopIfTrue="1" operator="lessThan">
      <formula>0.5</formula>
    </cfRule>
  </conditionalFormatting>
  <conditionalFormatting sqref="AD76">
    <cfRule type="cellIs" dxfId="2016" priority="147740" stopIfTrue="1" operator="greaterThanOrEqual">
      <formula>0.5</formula>
    </cfRule>
  </conditionalFormatting>
  <conditionalFormatting sqref="AD77">
    <cfRule type="cellIs" dxfId="2015" priority="147741" stopIfTrue="1" operator="equal">
      <formula>-1</formula>
    </cfRule>
  </conditionalFormatting>
  <conditionalFormatting sqref="AD77">
    <cfRule type="cellIs" dxfId="2014" priority="147742" stopIfTrue="1" operator="lessThan">
      <formula>0.5</formula>
    </cfRule>
  </conditionalFormatting>
  <conditionalFormatting sqref="AD77">
    <cfRule type="cellIs" dxfId="2013" priority="147743" stopIfTrue="1" operator="greaterThanOrEqual">
      <formula>0.5</formula>
    </cfRule>
  </conditionalFormatting>
  <conditionalFormatting sqref="AD78">
    <cfRule type="cellIs" dxfId="2012" priority="147744" stopIfTrue="1" operator="equal">
      <formula>-1</formula>
    </cfRule>
  </conditionalFormatting>
  <conditionalFormatting sqref="AD78">
    <cfRule type="cellIs" dxfId="2011" priority="147745" stopIfTrue="1" operator="lessThan">
      <formula>0.5</formula>
    </cfRule>
  </conditionalFormatting>
  <conditionalFormatting sqref="AD78">
    <cfRule type="cellIs" dxfId="2010" priority="147746" stopIfTrue="1" operator="greaterThanOrEqual">
      <formula>0.5</formula>
    </cfRule>
  </conditionalFormatting>
  <conditionalFormatting sqref="AD79">
    <cfRule type="cellIs" dxfId="2009" priority="147747" stopIfTrue="1" operator="equal">
      <formula>-1</formula>
    </cfRule>
  </conditionalFormatting>
  <conditionalFormatting sqref="AD79">
    <cfRule type="cellIs" dxfId="2008" priority="147748" stopIfTrue="1" operator="lessThan">
      <formula>0.5</formula>
    </cfRule>
  </conditionalFormatting>
  <conditionalFormatting sqref="AD79">
    <cfRule type="cellIs" dxfId="2007" priority="147749" stopIfTrue="1" operator="greaterThanOrEqual">
      <formula>0.5</formula>
    </cfRule>
  </conditionalFormatting>
  <conditionalFormatting sqref="AD80">
    <cfRule type="cellIs" dxfId="2006" priority="147750" stopIfTrue="1" operator="equal">
      <formula>-1</formula>
    </cfRule>
  </conditionalFormatting>
  <conditionalFormatting sqref="AD80">
    <cfRule type="cellIs" dxfId="2005" priority="147751" stopIfTrue="1" operator="lessThan">
      <formula>0.5</formula>
    </cfRule>
  </conditionalFormatting>
  <conditionalFormatting sqref="AD80">
    <cfRule type="cellIs" dxfId="2004" priority="147752" stopIfTrue="1" operator="greaterThanOrEqual">
      <formula>0.5</formula>
    </cfRule>
  </conditionalFormatting>
  <conditionalFormatting sqref="AD81">
    <cfRule type="cellIs" dxfId="2003" priority="147753" stopIfTrue="1" operator="equal">
      <formula>-1</formula>
    </cfRule>
  </conditionalFormatting>
  <conditionalFormatting sqref="AD81">
    <cfRule type="cellIs" dxfId="2002" priority="147754" stopIfTrue="1" operator="lessThan">
      <formula>0.5</formula>
    </cfRule>
  </conditionalFormatting>
  <conditionalFormatting sqref="AD81">
    <cfRule type="cellIs" dxfId="2001" priority="147755" stopIfTrue="1" operator="greaterThanOrEqual">
      <formula>0.5</formula>
    </cfRule>
  </conditionalFormatting>
  <conditionalFormatting sqref="AD82">
    <cfRule type="cellIs" dxfId="2000" priority="147756" stopIfTrue="1" operator="equal">
      <formula>-1</formula>
    </cfRule>
  </conditionalFormatting>
  <conditionalFormatting sqref="AD82">
    <cfRule type="cellIs" dxfId="1999" priority="147757" stopIfTrue="1" operator="lessThan">
      <formula>0.5</formula>
    </cfRule>
  </conditionalFormatting>
  <conditionalFormatting sqref="AD82">
    <cfRule type="cellIs" dxfId="1998" priority="147758" stopIfTrue="1" operator="greaterThanOrEqual">
      <formula>0.5</formula>
    </cfRule>
  </conditionalFormatting>
  <conditionalFormatting sqref="AD83">
    <cfRule type="cellIs" dxfId="1997" priority="147759" stopIfTrue="1" operator="equal">
      <formula>-1</formula>
    </cfRule>
  </conditionalFormatting>
  <conditionalFormatting sqref="AD83">
    <cfRule type="cellIs" dxfId="1996" priority="147760" stopIfTrue="1" operator="lessThan">
      <formula>0.5</formula>
    </cfRule>
  </conditionalFormatting>
  <conditionalFormatting sqref="AD83">
    <cfRule type="cellIs" dxfId="1995" priority="147761" stopIfTrue="1" operator="greaterThanOrEqual">
      <formula>0.5</formula>
    </cfRule>
  </conditionalFormatting>
  <conditionalFormatting sqref="AD84">
    <cfRule type="cellIs" dxfId="1994" priority="147762" stopIfTrue="1" operator="equal">
      <formula>-1</formula>
    </cfRule>
  </conditionalFormatting>
  <conditionalFormatting sqref="AD84">
    <cfRule type="cellIs" dxfId="1993" priority="147763" stopIfTrue="1" operator="lessThan">
      <formula>0.5</formula>
    </cfRule>
  </conditionalFormatting>
  <conditionalFormatting sqref="AD84">
    <cfRule type="cellIs" dxfId="1992" priority="147764" stopIfTrue="1" operator="greaterThanOrEqual">
      <formula>0.5</formula>
    </cfRule>
  </conditionalFormatting>
  <conditionalFormatting sqref="AD85">
    <cfRule type="cellIs" dxfId="1991" priority="147765" stopIfTrue="1" operator="equal">
      <formula>-1</formula>
    </cfRule>
  </conditionalFormatting>
  <conditionalFormatting sqref="AD85">
    <cfRule type="cellIs" dxfId="1990" priority="147766" stopIfTrue="1" operator="lessThan">
      <formula>0.5</formula>
    </cfRule>
  </conditionalFormatting>
  <conditionalFormatting sqref="AD85">
    <cfRule type="cellIs" dxfId="1989" priority="147767" stopIfTrue="1" operator="greaterThanOrEqual">
      <formula>0.5</formula>
    </cfRule>
  </conditionalFormatting>
  <conditionalFormatting sqref="AF65">
    <cfRule type="cellIs" dxfId="1988" priority="147768" stopIfTrue="1" operator="equal">
      <formula>-1</formula>
    </cfRule>
  </conditionalFormatting>
  <conditionalFormatting sqref="AF65">
    <cfRule type="cellIs" dxfId="1987" priority="147769" stopIfTrue="1" operator="lessThan">
      <formula>0.5</formula>
    </cfRule>
  </conditionalFormatting>
  <conditionalFormatting sqref="AF65">
    <cfRule type="cellIs" dxfId="1986" priority="147770" stopIfTrue="1" operator="greaterThanOrEqual">
      <formula>0.5</formula>
    </cfRule>
  </conditionalFormatting>
  <conditionalFormatting sqref="AF66">
    <cfRule type="cellIs" dxfId="1985" priority="147771" stopIfTrue="1" operator="equal">
      <formula>-1</formula>
    </cfRule>
  </conditionalFormatting>
  <conditionalFormatting sqref="AF66">
    <cfRule type="cellIs" dxfId="1984" priority="147772" stopIfTrue="1" operator="lessThan">
      <formula>0.5</formula>
    </cfRule>
  </conditionalFormatting>
  <conditionalFormatting sqref="AF66">
    <cfRule type="cellIs" dxfId="1983" priority="147773" stopIfTrue="1" operator="greaterThanOrEqual">
      <formula>0.5</formula>
    </cfRule>
  </conditionalFormatting>
  <conditionalFormatting sqref="AF67">
    <cfRule type="cellIs" dxfId="1982" priority="147774" stopIfTrue="1" operator="equal">
      <formula>-1</formula>
    </cfRule>
  </conditionalFormatting>
  <conditionalFormatting sqref="AF67">
    <cfRule type="cellIs" dxfId="1981" priority="147775" stopIfTrue="1" operator="lessThan">
      <formula>0.5</formula>
    </cfRule>
  </conditionalFormatting>
  <conditionalFormatting sqref="AF67">
    <cfRule type="cellIs" dxfId="1980" priority="147776" stopIfTrue="1" operator="greaterThanOrEqual">
      <formula>0.5</formula>
    </cfRule>
  </conditionalFormatting>
  <conditionalFormatting sqref="AF68">
    <cfRule type="cellIs" dxfId="1979" priority="147777" stopIfTrue="1" operator="equal">
      <formula>-1</formula>
    </cfRule>
  </conditionalFormatting>
  <conditionalFormatting sqref="AF68">
    <cfRule type="cellIs" dxfId="1978" priority="147778" stopIfTrue="1" operator="lessThan">
      <formula>0.5</formula>
    </cfRule>
  </conditionalFormatting>
  <conditionalFormatting sqref="AF68">
    <cfRule type="cellIs" dxfId="1977" priority="147779" stopIfTrue="1" operator="greaterThanOrEqual">
      <formula>0.5</formula>
    </cfRule>
  </conditionalFormatting>
  <conditionalFormatting sqref="AF69">
    <cfRule type="cellIs" dxfId="1976" priority="147780" stopIfTrue="1" operator="equal">
      <formula>-1</formula>
    </cfRule>
  </conditionalFormatting>
  <conditionalFormatting sqref="AF69">
    <cfRule type="cellIs" dxfId="1975" priority="147781" stopIfTrue="1" operator="lessThan">
      <formula>0.5</formula>
    </cfRule>
  </conditionalFormatting>
  <conditionalFormatting sqref="AF69">
    <cfRule type="cellIs" dxfId="1974" priority="147782" stopIfTrue="1" operator="greaterThanOrEqual">
      <formula>0.5</formula>
    </cfRule>
  </conditionalFormatting>
  <conditionalFormatting sqref="AF70">
    <cfRule type="cellIs" dxfId="1973" priority="147783" stopIfTrue="1" operator="equal">
      <formula>-1</formula>
    </cfRule>
  </conditionalFormatting>
  <conditionalFormatting sqref="AF70">
    <cfRule type="cellIs" dxfId="1972" priority="147784" stopIfTrue="1" operator="lessThan">
      <formula>0.5</formula>
    </cfRule>
  </conditionalFormatting>
  <conditionalFormatting sqref="AF70">
    <cfRule type="cellIs" dxfId="1971" priority="147785" stopIfTrue="1" operator="greaterThanOrEqual">
      <formula>0.5</formula>
    </cfRule>
  </conditionalFormatting>
  <conditionalFormatting sqref="AF71">
    <cfRule type="cellIs" dxfId="1970" priority="147786" stopIfTrue="1" operator="equal">
      <formula>-1</formula>
    </cfRule>
  </conditionalFormatting>
  <conditionalFormatting sqref="AF71">
    <cfRule type="cellIs" dxfId="1969" priority="147787" stopIfTrue="1" operator="lessThan">
      <formula>0.5</formula>
    </cfRule>
  </conditionalFormatting>
  <conditionalFormatting sqref="AF71">
    <cfRule type="cellIs" dxfId="1968" priority="147788" stopIfTrue="1" operator="greaterThanOrEqual">
      <formula>0.5</formula>
    </cfRule>
  </conditionalFormatting>
  <conditionalFormatting sqref="AF72">
    <cfRule type="cellIs" dxfId="1967" priority="147789" stopIfTrue="1" operator="equal">
      <formula>-1</formula>
    </cfRule>
  </conditionalFormatting>
  <conditionalFormatting sqref="AF72">
    <cfRule type="cellIs" dxfId="1966" priority="147790" stopIfTrue="1" operator="lessThan">
      <formula>0.5</formula>
    </cfRule>
  </conditionalFormatting>
  <conditionalFormatting sqref="AF72">
    <cfRule type="cellIs" dxfId="1965" priority="147791" stopIfTrue="1" operator="greaterThanOrEqual">
      <formula>0.5</formula>
    </cfRule>
  </conditionalFormatting>
  <conditionalFormatting sqref="AF73">
    <cfRule type="cellIs" dxfId="1964" priority="147792" stopIfTrue="1" operator="equal">
      <formula>-1</formula>
    </cfRule>
  </conditionalFormatting>
  <conditionalFormatting sqref="AF73">
    <cfRule type="cellIs" dxfId="1963" priority="147793" stopIfTrue="1" operator="lessThan">
      <formula>0.5</formula>
    </cfRule>
  </conditionalFormatting>
  <conditionalFormatting sqref="AF73">
    <cfRule type="cellIs" dxfId="1962" priority="147794" stopIfTrue="1" operator="greaterThanOrEqual">
      <formula>0.5</formula>
    </cfRule>
  </conditionalFormatting>
  <conditionalFormatting sqref="AF74">
    <cfRule type="cellIs" dxfId="1961" priority="147795" stopIfTrue="1" operator="equal">
      <formula>-1</formula>
    </cfRule>
  </conditionalFormatting>
  <conditionalFormatting sqref="AF74">
    <cfRule type="cellIs" dxfId="1960" priority="147796" stopIfTrue="1" operator="lessThan">
      <formula>0.5</formula>
    </cfRule>
  </conditionalFormatting>
  <conditionalFormatting sqref="AF74">
    <cfRule type="cellIs" dxfId="1959" priority="147797" stopIfTrue="1" operator="greaterThanOrEqual">
      <formula>0.5</formula>
    </cfRule>
  </conditionalFormatting>
  <conditionalFormatting sqref="AF75">
    <cfRule type="cellIs" dxfId="1958" priority="147798" stopIfTrue="1" operator="equal">
      <formula>-1</formula>
    </cfRule>
  </conditionalFormatting>
  <conditionalFormatting sqref="AF75">
    <cfRule type="cellIs" dxfId="1957" priority="147799" stopIfTrue="1" operator="lessThan">
      <formula>0.5</formula>
    </cfRule>
  </conditionalFormatting>
  <conditionalFormatting sqref="AF75">
    <cfRule type="cellIs" dxfId="1956" priority="147800" stopIfTrue="1" operator="greaterThanOrEqual">
      <formula>0.5</formula>
    </cfRule>
  </conditionalFormatting>
  <conditionalFormatting sqref="AF76">
    <cfRule type="cellIs" dxfId="1955" priority="147801" stopIfTrue="1" operator="equal">
      <formula>-1</formula>
    </cfRule>
  </conditionalFormatting>
  <conditionalFormatting sqref="AF76">
    <cfRule type="cellIs" dxfId="1954" priority="147802" stopIfTrue="1" operator="lessThan">
      <formula>0.5</formula>
    </cfRule>
  </conditionalFormatting>
  <conditionalFormatting sqref="AF76">
    <cfRule type="cellIs" dxfId="1953" priority="147803" stopIfTrue="1" operator="greaterThanOrEqual">
      <formula>0.5</formula>
    </cfRule>
  </conditionalFormatting>
  <conditionalFormatting sqref="AF77">
    <cfRule type="cellIs" dxfId="1952" priority="147804" stopIfTrue="1" operator="equal">
      <formula>-1</formula>
    </cfRule>
  </conditionalFormatting>
  <conditionalFormatting sqref="AF77">
    <cfRule type="cellIs" dxfId="1951" priority="147805" stopIfTrue="1" operator="lessThan">
      <formula>0.5</formula>
    </cfRule>
  </conditionalFormatting>
  <conditionalFormatting sqref="AF77">
    <cfRule type="cellIs" dxfId="1950" priority="147806" stopIfTrue="1" operator="greaterThanOrEqual">
      <formula>0.5</formula>
    </cfRule>
  </conditionalFormatting>
  <conditionalFormatting sqref="AF78">
    <cfRule type="cellIs" dxfId="1949" priority="147807" stopIfTrue="1" operator="equal">
      <formula>-1</formula>
    </cfRule>
  </conditionalFormatting>
  <conditionalFormatting sqref="AF78">
    <cfRule type="cellIs" dxfId="1948" priority="147808" stopIfTrue="1" operator="lessThan">
      <formula>0.5</formula>
    </cfRule>
  </conditionalFormatting>
  <conditionalFormatting sqref="AF78">
    <cfRule type="cellIs" dxfId="1947" priority="147809" stopIfTrue="1" operator="greaterThanOrEqual">
      <formula>0.5</formula>
    </cfRule>
  </conditionalFormatting>
  <conditionalFormatting sqref="AF79">
    <cfRule type="cellIs" dxfId="1946" priority="147810" stopIfTrue="1" operator="equal">
      <formula>-1</formula>
    </cfRule>
  </conditionalFormatting>
  <conditionalFormatting sqref="AF79">
    <cfRule type="cellIs" dxfId="1945" priority="147811" stopIfTrue="1" operator="lessThan">
      <formula>0.5</formula>
    </cfRule>
  </conditionalFormatting>
  <conditionalFormatting sqref="AF79">
    <cfRule type="cellIs" dxfId="1944" priority="147812" stopIfTrue="1" operator="greaterThanOrEqual">
      <formula>0.5</formula>
    </cfRule>
  </conditionalFormatting>
  <conditionalFormatting sqref="AF80">
    <cfRule type="cellIs" dxfId="1943" priority="147813" stopIfTrue="1" operator="equal">
      <formula>-1</formula>
    </cfRule>
  </conditionalFormatting>
  <conditionalFormatting sqref="AF80">
    <cfRule type="cellIs" dxfId="1942" priority="147814" stopIfTrue="1" operator="lessThan">
      <formula>0.5</formula>
    </cfRule>
  </conditionalFormatting>
  <conditionalFormatting sqref="AF80">
    <cfRule type="cellIs" dxfId="1941" priority="147815" stopIfTrue="1" operator="greaterThanOrEqual">
      <formula>0.5</formula>
    </cfRule>
  </conditionalFormatting>
  <conditionalFormatting sqref="AF81">
    <cfRule type="cellIs" dxfId="1940" priority="147816" stopIfTrue="1" operator="equal">
      <formula>-1</formula>
    </cfRule>
  </conditionalFormatting>
  <conditionalFormatting sqref="AF81">
    <cfRule type="cellIs" dxfId="1939" priority="147817" stopIfTrue="1" operator="lessThan">
      <formula>0.5</formula>
    </cfRule>
  </conditionalFormatting>
  <conditionalFormatting sqref="AF81">
    <cfRule type="cellIs" dxfId="1938" priority="147818" stopIfTrue="1" operator="greaterThanOrEqual">
      <formula>0.5</formula>
    </cfRule>
  </conditionalFormatting>
  <conditionalFormatting sqref="AF82">
    <cfRule type="cellIs" dxfId="1937" priority="147819" stopIfTrue="1" operator="equal">
      <formula>-1</formula>
    </cfRule>
  </conditionalFormatting>
  <conditionalFormatting sqref="AF82">
    <cfRule type="cellIs" dxfId="1936" priority="147820" stopIfTrue="1" operator="lessThan">
      <formula>0.5</formula>
    </cfRule>
  </conditionalFormatting>
  <conditionalFormatting sqref="AF82">
    <cfRule type="cellIs" dxfId="1935" priority="147821" stopIfTrue="1" operator="greaterThanOrEqual">
      <formula>0.5</formula>
    </cfRule>
  </conditionalFormatting>
  <conditionalFormatting sqref="AF83">
    <cfRule type="cellIs" dxfId="1934" priority="147822" stopIfTrue="1" operator="equal">
      <formula>-1</formula>
    </cfRule>
  </conditionalFormatting>
  <conditionalFormatting sqref="AF83">
    <cfRule type="cellIs" dxfId="1933" priority="147823" stopIfTrue="1" operator="lessThan">
      <formula>0.5</formula>
    </cfRule>
  </conditionalFormatting>
  <conditionalFormatting sqref="AF83">
    <cfRule type="cellIs" dxfId="1932" priority="147824" stopIfTrue="1" operator="greaterThanOrEqual">
      <formula>0.5</formula>
    </cfRule>
  </conditionalFormatting>
  <conditionalFormatting sqref="AF84">
    <cfRule type="cellIs" dxfId="1931" priority="147825" stopIfTrue="1" operator="equal">
      <formula>-1</formula>
    </cfRule>
  </conditionalFormatting>
  <conditionalFormatting sqref="AF84">
    <cfRule type="cellIs" dxfId="1930" priority="147826" stopIfTrue="1" operator="lessThan">
      <formula>0.5</formula>
    </cfRule>
  </conditionalFormatting>
  <conditionalFormatting sqref="AF84">
    <cfRule type="cellIs" dxfId="1929" priority="147827" stopIfTrue="1" operator="greaterThanOrEqual">
      <formula>0.5</formula>
    </cfRule>
  </conditionalFormatting>
  <conditionalFormatting sqref="AF85">
    <cfRule type="cellIs" dxfId="1928" priority="147828" stopIfTrue="1" operator="equal">
      <formula>-1</formula>
    </cfRule>
  </conditionalFormatting>
  <conditionalFormatting sqref="AF85">
    <cfRule type="cellIs" dxfId="1927" priority="147829" stopIfTrue="1" operator="lessThan">
      <formula>0.5</formula>
    </cfRule>
  </conditionalFormatting>
  <conditionalFormatting sqref="AF85">
    <cfRule type="cellIs" dxfId="1926" priority="147830" stopIfTrue="1" operator="greaterThanOrEqual">
      <formula>0.5</formula>
    </cfRule>
  </conditionalFormatting>
  <conditionalFormatting sqref="AH65">
    <cfRule type="cellIs" dxfId="1925" priority="147831" stopIfTrue="1" operator="equal">
      <formula>-1</formula>
    </cfRule>
  </conditionalFormatting>
  <conditionalFormatting sqref="AH65">
    <cfRule type="cellIs" dxfId="1924" priority="147832" stopIfTrue="1" operator="lessThan">
      <formula>0.5</formula>
    </cfRule>
  </conditionalFormatting>
  <conditionalFormatting sqref="AH65">
    <cfRule type="cellIs" dxfId="1923" priority="147833" stopIfTrue="1" operator="greaterThanOrEqual">
      <formula>0.5</formula>
    </cfRule>
  </conditionalFormatting>
  <conditionalFormatting sqref="AH66">
    <cfRule type="cellIs" dxfId="1922" priority="147834" stopIfTrue="1" operator="equal">
      <formula>-1</formula>
    </cfRule>
  </conditionalFormatting>
  <conditionalFormatting sqref="AH66">
    <cfRule type="cellIs" dxfId="1921" priority="147835" stopIfTrue="1" operator="lessThan">
      <formula>0.5</formula>
    </cfRule>
  </conditionalFormatting>
  <conditionalFormatting sqref="AH66">
    <cfRule type="cellIs" dxfId="1920" priority="147836" stopIfTrue="1" operator="greaterThanOrEqual">
      <formula>0.5</formula>
    </cfRule>
  </conditionalFormatting>
  <conditionalFormatting sqref="AH67">
    <cfRule type="cellIs" dxfId="1919" priority="147837" stopIfTrue="1" operator="equal">
      <formula>-1</formula>
    </cfRule>
  </conditionalFormatting>
  <conditionalFormatting sqref="AH67">
    <cfRule type="cellIs" dxfId="1918" priority="147838" stopIfTrue="1" operator="lessThan">
      <formula>0.5</formula>
    </cfRule>
  </conditionalFormatting>
  <conditionalFormatting sqref="AH67">
    <cfRule type="cellIs" dxfId="1917" priority="147839" stopIfTrue="1" operator="greaterThanOrEqual">
      <formula>0.5</formula>
    </cfRule>
  </conditionalFormatting>
  <conditionalFormatting sqref="AH68">
    <cfRule type="cellIs" dxfId="1916" priority="147840" stopIfTrue="1" operator="equal">
      <formula>-1</formula>
    </cfRule>
  </conditionalFormatting>
  <conditionalFormatting sqref="AH68">
    <cfRule type="cellIs" dxfId="1915" priority="147841" stopIfTrue="1" operator="lessThan">
      <formula>0.5</formula>
    </cfRule>
  </conditionalFormatting>
  <conditionalFormatting sqref="AH68">
    <cfRule type="cellIs" dxfId="1914" priority="147842" stopIfTrue="1" operator="greaterThanOrEqual">
      <formula>0.5</formula>
    </cfRule>
  </conditionalFormatting>
  <conditionalFormatting sqref="AH69">
    <cfRule type="cellIs" dxfId="1913" priority="147843" stopIfTrue="1" operator="equal">
      <formula>-1</formula>
    </cfRule>
  </conditionalFormatting>
  <conditionalFormatting sqref="AH69">
    <cfRule type="cellIs" dxfId="1912" priority="147844" stopIfTrue="1" operator="lessThan">
      <formula>0.5</formula>
    </cfRule>
  </conditionalFormatting>
  <conditionalFormatting sqref="AH69">
    <cfRule type="cellIs" dxfId="1911" priority="147845" stopIfTrue="1" operator="greaterThanOrEqual">
      <formula>0.5</formula>
    </cfRule>
  </conditionalFormatting>
  <conditionalFormatting sqref="AH70">
    <cfRule type="cellIs" dxfId="1910" priority="147846" stopIfTrue="1" operator="equal">
      <formula>-1</formula>
    </cfRule>
  </conditionalFormatting>
  <conditionalFormatting sqref="AH70">
    <cfRule type="cellIs" dxfId="1909" priority="147847" stopIfTrue="1" operator="lessThan">
      <formula>0.5</formula>
    </cfRule>
  </conditionalFormatting>
  <conditionalFormatting sqref="AH70">
    <cfRule type="cellIs" dxfId="1908" priority="147848" stopIfTrue="1" operator="greaterThanOrEqual">
      <formula>0.5</formula>
    </cfRule>
  </conditionalFormatting>
  <conditionalFormatting sqref="AH71">
    <cfRule type="cellIs" dxfId="1907" priority="147849" stopIfTrue="1" operator="equal">
      <formula>-1</formula>
    </cfRule>
  </conditionalFormatting>
  <conditionalFormatting sqref="AH71">
    <cfRule type="cellIs" dxfId="1906" priority="147850" stopIfTrue="1" operator="lessThan">
      <formula>0.5</formula>
    </cfRule>
  </conditionalFormatting>
  <conditionalFormatting sqref="AH71">
    <cfRule type="cellIs" dxfId="1905" priority="147851" stopIfTrue="1" operator="greaterThanOrEqual">
      <formula>0.5</formula>
    </cfRule>
  </conditionalFormatting>
  <conditionalFormatting sqref="AH72">
    <cfRule type="cellIs" dxfId="1904" priority="147852" stopIfTrue="1" operator="equal">
      <formula>-1</formula>
    </cfRule>
  </conditionalFormatting>
  <conditionalFormatting sqref="AH72">
    <cfRule type="cellIs" dxfId="1903" priority="147853" stopIfTrue="1" operator="lessThan">
      <formula>0.5</formula>
    </cfRule>
  </conditionalFormatting>
  <conditionalFormatting sqref="AH72">
    <cfRule type="cellIs" dxfId="1902" priority="147854" stopIfTrue="1" operator="greaterThanOrEqual">
      <formula>0.5</formula>
    </cfRule>
  </conditionalFormatting>
  <conditionalFormatting sqref="AH73">
    <cfRule type="cellIs" dxfId="1901" priority="147855" stopIfTrue="1" operator="equal">
      <formula>-1</formula>
    </cfRule>
  </conditionalFormatting>
  <conditionalFormatting sqref="AH73">
    <cfRule type="cellIs" dxfId="1900" priority="147856" stopIfTrue="1" operator="lessThan">
      <formula>0.5</formula>
    </cfRule>
  </conditionalFormatting>
  <conditionalFormatting sqref="AH73">
    <cfRule type="cellIs" dxfId="1899" priority="147857" stopIfTrue="1" operator="greaterThanOrEqual">
      <formula>0.5</formula>
    </cfRule>
  </conditionalFormatting>
  <conditionalFormatting sqref="AH74">
    <cfRule type="cellIs" dxfId="1898" priority="147858" stopIfTrue="1" operator="equal">
      <formula>-1</formula>
    </cfRule>
  </conditionalFormatting>
  <conditionalFormatting sqref="AH74">
    <cfRule type="cellIs" dxfId="1897" priority="147859" stopIfTrue="1" operator="lessThan">
      <formula>0.5</formula>
    </cfRule>
  </conditionalFormatting>
  <conditionalFormatting sqref="AH74">
    <cfRule type="cellIs" dxfId="1896" priority="147860" stopIfTrue="1" operator="greaterThanOrEqual">
      <formula>0.5</formula>
    </cfRule>
  </conditionalFormatting>
  <conditionalFormatting sqref="AH75">
    <cfRule type="cellIs" dxfId="1895" priority="147861" stopIfTrue="1" operator="equal">
      <formula>-1</formula>
    </cfRule>
  </conditionalFormatting>
  <conditionalFormatting sqref="AH75">
    <cfRule type="cellIs" dxfId="1894" priority="147862" stopIfTrue="1" operator="lessThan">
      <formula>0.5</formula>
    </cfRule>
  </conditionalFormatting>
  <conditionalFormatting sqref="AH75">
    <cfRule type="cellIs" dxfId="1893" priority="147863" stopIfTrue="1" operator="greaterThanOrEqual">
      <formula>0.5</formula>
    </cfRule>
  </conditionalFormatting>
  <conditionalFormatting sqref="AH76">
    <cfRule type="cellIs" dxfId="1892" priority="147864" stopIfTrue="1" operator="equal">
      <formula>-1</formula>
    </cfRule>
  </conditionalFormatting>
  <conditionalFormatting sqref="AH76">
    <cfRule type="cellIs" dxfId="1891" priority="147865" stopIfTrue="1" operator="lessThan">
      <formula>0.5</formula>
    </cfRule>
  </conditionalFormatting>
  <conditionalFormatting sqref="AH76">
    <cfRule type="cellIs" dxfId="1890" priority="147866" stopIfTrue="1" operator="greaterThanOrEqual">
      <formula>0.5</formula>
    </cfRule>
  </conditionalFormatting>
  <conditionalFormatting sqref="AH77">
    <cfRule type="cellIs" dxfId="1889" priority="147867" stopIfTrue="1" operator="equal">
      <formula>-1</formula>
    </cfRule>
  </conditionalFormatting>
  <conditionalFormatting sqref="AH77">
    <cfRule type="cellIs" dxfId="1888" priority="147868" stopIfTrue="1" operator="lessThan">
      <formula>0.5</formula>
    </cfRule>
  </conditionalFormatting>
  <conditionalFormatting sqref="AH77">
    <cfRule type="cellIs" dxfId="1887" priority="147869" stopIfTrue="1" operator="greaterThanOrEqual">
      <formula>0.5</formula>
    </cfRule>
  </conditionalFormatting>
  <conditionalFormatting sqref="AH78">
    <cfRule type="cellIs" dxfId="1886" priority="147870" stopIfTrue="1" operator="equal">
      <formula>-1</formula>
    </cfRule>
  </conditionalFormatting>
  <conditionalFormatting sqref="AH78">
    <cfRule type="cellIs" dxfId="1885" priority="147871" stopIfTrue="1" operator="lessThan">
      <formula>0.5</formula>
    </cfRule>
  </conditionalFormatting>
  <conditionalFormatting sqref="AH78">
    <cfRule type="cellIs" dxfId="1884" priority="147872" stopIfTrue="1" operator="greaterThanOrEqual">
      <formula>0.5</formula>
    </cfRule>
  </conditionalFormatting>
  <conditionalFormatting sqref="AH79">
    <cfRule type="cellIs" dxfId="1883" priority="147873" stopIfTrue="1" operator="equal">
      <formula>-1</formula>
    </cfRule>
  </conditionalFormatting>
  <conditionalFormatting sqref="AH79">
    <cfRule type="cellIs" dxfId="1882" priority="147874" stopIfTrue="1" operator="lessThan">
      <formula>0.5</formula>
    </cfRule>
  </conditionalFormatting>
  <conditionalFormatting sqref="AH79">
    <cfRule type="cellIs" dxfId="1881" priority="147875" stopIfTrue="1" operator="greaterThanOrEqual">
      <formula>0.5</formula>
    </cfRule>
  </conditionalFormatting>
  <conditionalFormatting sqref="AH80">
    <cfRule type="cellIs" dxfId="1880" priority="147876" stopIfTrue="1" operator="equal">
      <formula>-1</formula>
    </cfRule>
  </conditionalFormatting>
  <conditionalFormatting sqref="AH80">
    <cfRule type="cellIs" dxfId="1879" priority="147877" stopIfTrue="1" operator="lessThan">
      <formula>0.5</formula>
    </cfRule>
  </conditionalFormatting>
  <conditionalFormatting sqref="AH80">
    <cfRule type="cellIs" dxfId="1878" priority="147878" stopIfTrue="1" operator="greaterThanOrEqual">
      <formula>0.5</formula>
    </cfRule>
  </conditionalFormatting>
  <conditionalFormatting sqref="AH81">
    <cfRule type="cellIs" dxfId="1877" priority="147879" stopIfTrue="1" operator="equal">
      <formula>-1</formula>
    </cfRule>
  </conditionalFormatting>
  <conditionalFormatting sqref="AH81">
    <cfRule type="cellIs" dxfId="1876" priority="147880" stopIfTrue="1" operator="lessThan">
      <formula>0.5</formula>
    </cfRule>
  </conditionalFormatting>
  <conditionalFormatting sqref="AH81">
    <cfRule type="cellIs" dxfId="1875" priority="147881" stopIfTrue="1" operator="greaterThanOrEqual">
      <formula>0.5</formula>
    </cfRule>
  </conditionalFormatting>
  <conditionalFormatting sqref="AH82">
    <cfRule type="cellIs" dxfId="1874" priority="147882" stopIfTrue="1" operator="equal">
      <formula>-1</formula>
    </cfRule>
  </conditionalFormatting>
  <conditionalFormatting sqref="AH82">
    <cfRule type="cellIs" dxfId="1873" priority="147883" stopIfTrue="1" operator="lessThan">
      <formula>0.5</formula>
    </cfRule>
  </conditionalFormatting>
  <conditionalFormatting sqref="AH82">
    <cfRule type="cellIs" dxfId="1872" priority="147884" stopIfTrue="1" operator="greaterThanOrEqual">
      <formula>0.5</formula>
    </cfRule>
  </conditionalFormatting>
  <conditionalFormatting sqref="AH83">
    <cfRule type="cellIs" dxfId="1871" priority="147885" stopIfTrue="1" operator="equal">
      <formula>-1</formula>
    </cfRule>
  </conditionalFormatting>
  <conditionalFormatting sqref="AH83">
    <cfRule type="cellIs" dxfId="1870" priority="147886" stopIfTrue="1" operator="lessThan">
      <formula>0.5</formula>
    </cfRule>
  </conditionalFormatting>
  <conditionalFormatting sqref="AH83">
    <cfRule type="cellIs" dxfId="1869" priority="147887" stopIfTrue="1" operator="greaterThanOrEqual">
      <formula>0.5</formula>
    </cfRule>
  </conditionalFormatting>
  <conditionalFormatting sqref="AH84">
    <cfRule type="cellIs" dxfId="1868" priority="147888" stopIfTrue="1" operator="equal">
      <formula>-1</formula>
    </cfRule>
  </conditionalFormatting>
  <conditionalFormatting sqref="AH84">
    <cfRule type="cellIs" dxfId="1867" priority="147889" stopIfTrue="1" operator="lessThan">
      <formula>0.5</formula>
    </cfRule>
  </conditionalFormatting>
  <conditionalFormatting sqref="AH84">
    <cfRule type="cellIs" dxfId="1866" priority="147890" stopIfTrue="1" operator="greaterThanOrEqual">
      <formula>0.5</formula>
    </cfRule>
  </conditionalFormatting>
  <conditionalFormatting sqref="AH85">
    <cfRule type="cellIs" dxfId="1865" priority="147891" stopIfTrue="1" operator="equal">
      <formula>-1</formula>
    </cfRule>
  </conditionalFormatting>
  <conditionalFormatting sqref="AH85">
    <cfRule type="cellIs" dxfId="1864" priority="147892" stopIfTrue="1" operator="lessThan">
      <formula>0.5</formula>
    </cfRule>
  </conditionalFormatting>
  <conditionalFormatting sqref="AH85">
    <cfRule type="cellIs" dxfId="1863" priority="147893" stopIfTrue="1" operator="greaterThanOrEqual">
      <formula>0.5</formula>
    </cfRule>
  </conditionalFormatting>
  <conditionalFormatting sqref="AJ65">
    <cfRule type="cellIs" dxfId="1862" priority="147894" stopIfTrue="1" operator="equal">
      <formula>-1</formula>
    </cfRule>
  </conditionalFormatting>
  <conditionalFormatting sqref="AJ65">
    <cfRule type="cellIs" dxfId="1861" priority="147895" stopIfTrue="1" operator="lessThan">
      <formula>0.5</formula>
    </cfRule>
  </conditionalFormatting>
  <conditionalFormatting sqref="AJ65">
    <cfRule type="cellIs" dxfId="1860" priority="147896" stopIfTrue="1" operator="greaterThanOrEqual">
      <formula>0.5</formula>
    </cfRule>
  </conditionalFormatting>
  <conditionalFormatting sqref="AJ66">
    <cfRule type="cellIs" dxfId="1859" priority="147897" stopIfTrue="1" operator="equal">
      <formula>-1</formula>
    </cfRule>
  </conditionalFormatting>
  <conditionalFormatting sqref="AJ66">
    <cfRule type="cellIs" dxfId="1858" priority="147898" stopIfTrue="1" operator="lessThan">
      <formula>0.5</formula>
    </cfRule>
  </conditionalFormatting>
  <conditionalFormatting sqref="AJ66">
    <cfRule type="cellIs" dxfId="1857" priority="147899" stopIfTrue="1" operator="greaterThanOrEqual">
      <formula>0.5</formula>
    </cfRule>
  </conditionalFormatting>
  <conditionalFormatting sqref="AJ67">
    <cfRule type="cellIs" dxfId="1856" priority="147900" stopIfTrue="1" operator="equal">
      <formula>-1</formula>
    </cfRule>
  </conditionalFormatting>
  <conditionalFormatting sqref="AJ67">
    <cfRule type="cellIs" dxfId="1855" priority="147901" stopIfTrue="1" operator="lessThan">
      <formula>0.5</formula>
    </cfRule>
  </conditionalFormatting>
  <conditionalFormatting sqref="AJ67">
    <cfRule type="cellIs" dxfId="1854" priority="147902" stopIfTrue="1" operator="greaterThanOrEqual">
      <formula>0.5</formula>
    </cfRule>
  </conditionalFormatting>
  <conditionalFormatting sqref="AJ68">
    <cfRule type="cellIs" dxfId="1853" priority="147903" stopIfTrue="1" operator="equal">
      <formula>-1</formula>
    </cfRule>
  </conditionalFormatting>
  <conditionalFormatting sqref="AJ68">
    <cfRule type="cellIs" dxfId="1852" priority="147904" stopIfTrue="1" operator="lessThan">
      <formula>0.5</formula>
    </cfRule>
  </conditionalFormatting>
  <conditionalFormatting sqref="AJ68">
    <cfRule type="cellIs" dxfId="1851" priority="147905" stopIfTrue="1" operator="greaterThanOrEqual">
      <formula>0.5</formula>
    </cfRule>
  </conditionalFormatting>
  <conditionalFormatting sqref="AJ69">
    <cfRule type="cellIs" dxfId="1850" priority="147906" stopIfTrue="1" operator="equal">
      <formula>-1</formula>
    </cfRule>
  </conditionalFormatting>
  <conditionalFormatting sqref="AJ69">
    <cfRule type="cellIs" dxfId="1849" priority="147907" stopIfTrue="1" operator="lessThan">
      <formula>0.5</formula>
    </cfRule>
  </conditionalFormatting>
  <conditionalFormatting sqref="AJ69">
    <cfRule type="cellIs" dxfId="1848" priority="147908" stopIfTrue="1" operator="greaterThanOrEqual">
      <formula>0.5</formula>
    </cfRule>
  </conditionalFormatting>
  <conditionalFormatting sqref="AJ70">
    <cfRule type="cellIs" dxfId="1847" priority="147909" stopIfTrue="1" operator="equal">
      <formula>-1</formula>
    </cfRule>
  </conditionalFormatting>
  <conditionalFormatting sqref="AJ70">
    <cfRule type="cellIs" dxfId="1846" priority="147910" stopIfTrue="1" operator="lessThan">
      <formula>0.5</formula>
    </cfRule>
  </conditionalFormatting>
  <conditionalFormatting sqref="AJ70">
    <cfRule type="cellIs" dxfId="1845" priority="147911" stopIfTrue="1" operator="greaterThanOrEqual">
      <formula>0.5</formula>
    </cfRule>
  </conditionalFormatting>
  <conditionalFormatting sqref="AJ71">
    <cfRule type="cellIs" dxfId="1844" priority="147912" stopIfTrue="1" operator="equal">
      <formula>-1</formula>
    </cfRule>
  </conditionalFormatting>
  <conditionalFormatting sqref="AJ71">
    <cfRule type="cellIs" dxfId="1843" priority="147913" stopIfTrue="1" operator="lessThan">
      <formula>0.5</formula>
    </cfRule>
  </conditionalFormatting>
  <conditionalFormatting sqref="AJ71">
    <cfRule type="cellIs" dxfId="1842" priority="147914" stopIfTrue="1" operator="greaterThanOrEqual">
      <formula>0.5</formula>
    </cfRule>
  </conditionalFormatting>
  <conditionalFormatting sqref="AJ72">
    <cfRule type="cellIs" dxfId="1841" priority="147915" stopIfTrue="1" operator="equal">
      <formula>-1</formula>
    </cfRule>
  </conditionalFormatting>
  <conditionalFormatting sqref="AJ72">
    <cfRule type="cellIs" dxfId="1840" priority="147916" stopIfTrue="1" operator="lessThan">
      <formula>0.5</formula>
    </cfRule>
  </conditionalFormatting>
  <conditionalFormatting sqref="AJ72">
    <cfRule type="cellIs" dxfId="1839" priority="147917" stopIfTrue="1" operator="greaterThanOrEqual">
      <formula>0.5</formula>
    </cfRule>
  </conditionalFormatting>
  <conditionalFormatting sqref="AJ73">
    <cfRule type="cellIs" dxfId="1838" priority="147918" stopIfTrue="1" operator="equal">
      <formula>-1</formula>
    </cfRule>
  </conditionalFormatting>
  <conditionalFormatting sqref="AJ73">
    <cfRule type="cellIs" dxfId="1837" priority="147919" stopIfTrue="1" operator="lessThan">
      <formula>0.5</formula>
    </cfRule>
  </conditionalFormatting>
  <conditionalFormatting sqref="AJ73">
    <cfRule type="cellIs" dxfId="1836" priority="147920" stopIfTrue="1" operator="greaterThanOrEqual">
      <formula>0.5</formula>
    </cfRule>
  </conditionalFormatting>
  <conditionalFormatting sqref="AJ74">
    <cfRule type="cellIs" dxfId="1835" priority="147921" stopIfTrue="1" operator="equal">
      <formula>-1</formula>
    </cfRule>
  </conditionalFormatting>
  <conditionalFormatting sqref="AJ74">
    <cfRule type="cellIs" dxfId="1834" priority="147922" stopIfTrue="1" operator="lessThan">
      <formula>0.5</formula>
    </cfRule>
  </conditionalFormatting>
  <conditionalFormatting sqref="AJ74">
    <cfRule type="cellIs" dxfId="1833" priority="147923" stopIfTrue="1" operator="greaterThanOrEqual">
      <formula>0.5</formula>
    </cfRule>
  </conditionalFormatting>
  <conditionalFormatting sqref="AJ75">
    <cfRule type="cellIs" dxfId="1832" priority="147924" stopIfTrue="1" operator="equal">
      <formula>-1</formula>
    </cfRule>
  </conditionalFormatting>
  <conditionalFormatting sqref="AJ75">
    <cfRule type="cellIs" dxfId="1831" priority="147925" stopIfTrue="1" operator="lessThan">
      <formula>0.5</formula>
    </cfRule>
  </conditionalFormatting>
  <conditionalFormatting sqref="AJ75">
    <cfRule type="cellIs" dxfId="1830" priority="147926" stopIfTrue="1" operator="greaterThanOrEqual">
      <formula>0.5</formula>
    </cfRule>
  </conditionalFormatting>
  <conditionalFormatting sqref="AJ76">
    <cfRule type="cellIs" dxfId="1829" priority="147927" stopIfTrue="1" operator="equal">
      <formula>-1</formula>
    </cfRule>
  </conditionalFormatting>
  <conditionalFormatting sqref="AJ76">
    <cfRule type="cellIs" dxfId="1828" priority="147928" stopIfTrue="1" operator="lessThan">
      <formula>0.5</formula>
    </cfRule>
  </conditionalFormatting>
  <conditionalFormatting sqref="AJ76">
    <cfRule type="cellIs" dxfId="1827" priority="147929" stopIfTrue="1" operator="greaterThanOrEqual">
      <formula>0.5</formula>
    </cfRule>
  </conditionalFormatting>
  <conditionalFormatting sqref="AJ77">
    <cfRule type="cellIs" dxfId="1826" priority="147930" stopIfTrue="1" operator="equal">
      <formula>-1</formula>
    </cfRule>
  </conditionalFormatting>
  <conditionalFormatting sqref="AJ77">
    <cfRule type="cellIs" dxfId="1825" priority="147931" stopIfTrue="1" operator="lessThan">
      <formula>0.5</formula>
    </cfRule>
  </conditionalFormatting>
  <conditionalFormatting sqref="AJ77">
    <cfRule type="cellIs" dxfId="1824" priority="147932" stopIfTrue="1" operator="greaterThanOrEqual">
      <formula>0.5</formula>
    </cfRule>
  </conditionalFormatting>
  <conditionalFormatting sqref="AJ78">
    <cfRule type="cellIs" dxfId="1823" priority="147933" stopIfTrue="1" operator="equal">
      <formula>-1</formula>
    </cfRule>
  </conditionalFormatting>
  <conditionalFormatting sqref="AJ78">
    <cfRule type="cellIs" dxfId="1822" priority="147934" stopIfTrue="1" operator="lessThan">
      <formula>0.5</formula>
    </cfRule>
  </conditionalFormatting>
  <conditionalFormatting sqref="AJ78">
    <cfRule type="cellIs" dxfId="1821" priority="147935" stopIfTrue="1" operator="greaterThanOrEqual">
      <formula>0.5</formula>
    </cfRule>
  </conditionalFormatting>
  <conditionalFormatting sqref="AJ79">
    <cfRule type="cellIs" dxfId="1820" priority="147936" stopIfTrue="1" operator="equal">
      <formula>-1</formula>
    </cfRule>
  </conditionalFormatting>
  <conditionalFormatting sqref="AJ79">
    <cfRule type="cellIs" dxfId="1819" priority="147937" stopIfTrue="1" operator="lessThan">
      <formula>0.5</formula>
    </cfRule>
  </conditionalFormatting>
  <conditionalFormatting sqref="AJ79">
    <cfRule type="cellIs" dxfId="1818" priority="147938" stopIfTrue="1" operator="greaterThanOrEqual">
      <formula>0.5</formula>
    </cfRule>
  </conditionalFormatting>
  <conditionalFormatting sqref="AJ80">
    <cfRule type="cellIs" dxfId="1817" priority="147939" stopIfTrue="1" operator="equal">
      <formula>-1</formula>
    </cfRule>
  </conditionalFormatting>
  <conditionalFormatting sqref="AJ80">
    <cfRule type="cellIs" dxfId="1816" priority="147940" stopIfTrue="1" operator="lessThan">
      <formula>0.5</formula>
    </cfRule>
  </conditionalFormatting>
  <conditionalFormatting sqref="AJ80">
    <cfRule type="cellIs" dxfId="1815" priority="147941" stopIfTrue="1" operator="greaterThanOrEqual">
      <formula>0.5</formula>
    </cfRule>
  </conditionalFormatting>
  <conditionalFormatting sqref="AJ81">
    <cfRule type="cellIs" dxfId="1814" priority="147942" stopIfTrue="1" operator="equal">
      <formula>-1</formula>
    </cfRule>
  </conditionalFormatting>
  <conditionalFormatting sqref="AJ81">
    <cfRule type="cellIs" dxfId="1813" priority="147943" stopIfTrue="1" operator="lessThan">
      <formula>0.5</formula>
    </cfRule>
  </conditionalFormatting>
  <conditionalFormatting sqref="AJ81">
    <cfRule type="cellIs" dxfId="1812" priority="147944" stopIfTrue="1" operator="greaterThanOrEqual">
      <formula>0.5</formula>
    </cfRule>
  </conditionalFormatting>
  <conditionalFormatting sqref="AJ82">
    <cfRule type="cellIs" dxfId="1811" priority="147945" stopIfTrue="1" operator="equal">
      <formula>-1</formula>
    </cfRule>
  </conditionalFormatting>
  <conditionalFormatting sqref="AJ82">
    <cfRule type="cellIs" dxfId="1810" priority="147946" stopIfTrue="1" operator="lessThan">
      <formula>0.5</formula>
    </cfRule>
  </conditionalFormatting>
  <conditionalFormatting sqref="AJ82">
    <cfRule type="cellIs" dxfId="1809" priority="147947" stopIfTrue="1" operator="greaterThanOrEqual">
      <formula>0.5</formula>
    </cfRule>
  </conditionalFormatting>
  <conditionalFormatting sqref="AJ83">
    <cfRule type="cellIs" dxfId="1808" priority="147948" stopIfTrue="1" operator="equal">
      <formula>-1</formula>
    </cfRule>
  </conditionalFormatting>
  <conditionalFormatting sqref="AJ83">
    <cfRule type="cellIs" dxfId="1807" priority="147949" stopIfTrue="1" operator="lessThan">
      <formula>0.5</formula>
    </cfRule>
  </conditionalFormatting>
  <conditionalFormatting sqref="AJ83">
    <cfRule type="cellIs" dxfId="1806" priority="147950" stopIfTrue="1" operator="greaterThanOrEqual">
      <formula>0.5</formula>
    </cfRule>
  </conditionalFormatting>
  <conditionalFormatting sqref="AJ84">
    <cfRule type="cellIs" dxfId="1805" priority="147951" stopIfTrue="1" operator="equal">
      <formula>-1</formula>
    </cfRule>
  </conditionalFormatting>
  <conditionalFormatting sqref="AJ84">
    <cfRule type="cellIs" dxfId="1804" priority="147952" stopIfTrue="1" operator="lessThan">
      <formula>0.5</formula>
    </cfRule>
  </conditionalFormatting>
  <conditionalFormatting sqref="AJ84">
    <cfRule type="cellIs" dxfId="1803" priority="147953" stopIfTrue="1" operator="greaterThanOrEqual">
      <formula>0.5</formula>
    </cfRule>
  </conditionalFormatting>
  <conditionalFormatting sqref="AJ85">
    <cfRule type="cellIs" dxfId="1802" priority="147954" stopIfTrue="1" operator="equal">
      <formula>-1</formula>
    </cfRule>
  </conditionalFormatting>
  <conditionalFormatting sqref="AJ85">
    <cfRule type="cellIs" dxfId="1801" priority="147955" stopIfTrue="1" operator="lessThan">
      <formula>0.5</formula>
    </cfRule>
  </conditionalFormatting>
  <conditionalFormatting sqref="AJ85">
    <cfRule type="cellIs" dxfId="1800" priority="147956" stopIfTrue="1" operator="greaterThanOrEqual">
      <formula>0.5</formula>
    </cfRule>
  </conditionalFormatting>
  <conditionalFormatting sqref="AL65">
    <cfRule type="cellIs" dxfId="1799" priority="147957" stopIfTrue="1" operator="equal">
      <formula>-1</formula>
    </cfRule>
  </conditionalFormatting>
  <conditionalFormatting sqref="AL65">
    <cfRule type="cellIs" dxfId="1798" priority="147958" stopIfTrue="1" operator="lessThan">
      <formula>0.5</formula>
    </cfRule>
  </conditionalFormatting>
  <conditionalFormatting sqref="AL65">
    <cfRule type="cellIs" dxfId="1797" priority="147959" stopIfTrue="1" operator="greaterThanOrEqual">
      <formula>0.5</formula>
    </cfRule>
  </conditionalFormatting>
  <conditionalFormatting sqref="AL66">
    <cfRule type="cellIs" dxfId="1796" priority="147960" stopIfTrue="1" operator="equal">
      <formula>-1</formula>
    </cfRule>
  </conditionalFormatting>
  <conditionalFormatting sqref="AL66">
    <cfRule type="cellIs" dxfId="1795" priority="147961" stopIfTrue="1" operator="lessThan">
      <formula>0.5</formula>
    </cfRule>
  </conditionalFormatting>
  <conditionalFormatting sqref="AL66">
    <cfRule type="cellIs" dxfId="1794" priority="147962" stopIfTrue="1" operator="greaterThanOrEqual">
      <formula>0.5</formula>
    </cfRule>
  </conditionalFormatting>
  <conditionalFormatting sqref="AL67">
    <cfRule type="cellIs" dxfId="1793" priority="147963" stopIfTrue="1" operator="equal">
      <formula>-1</formula>
    </cfRule>
  </conditionalFormatting>
  <conditionalFormatting sqref="AL67">
    <cfRule type="cellIs" dxfId="1792" priority="147964" stopIfTrue="1" operator="lessThan">
      <formula>0.5</formula>
    </cfRule>
  </conditionalFormatting>
  <conditionalFormatting sqref="AL67">
    <cfRule type="cellIs" dxfId="1791" priority="147965" stopIfTrue="1" operator="greaterThanOrEqual">
      <formula>0.5</formula>
    </cfRule>
  </conditionalFormatting>
  <conditionalFormatting sqref="AL68">
    <cfRule type="cellIs" dxfId="1790" priority="147966" stopIfTrue="1" operator="equal">
      <formula>-1</formula>
    </cfRule>
  </conditionalFormatting>
  <conditionalFormatting sqref="AL68">
    <cfRule type="cellIs" dxfId="1789" priority="147967" stopIfTrue="1" operator="lessThan">
      <formula>0.5</formula>
    </cfRule>
  </conditionalFormatting>
  <conditionalFormatting sqref="AL68">
    <cfRule type="cellIs" dxfId="1788" priority="147968" stopIfTrue="1" operator="greaterThanOrEqual">
      <formula>0.5</formula>
    </cfRule>
  </conditionalFormatting>
  <conditionalFormatting sqref="AL69">
    <cfRule type="cellIs" dxfId="1787" priority="147969" stopIfTrue="1" operator="equal">
      <formula>-1</formula>
    </cfRule>
  </conditionalFormatting>
  <conditionalFormatting sqref="AL69">
    <cfRule type="cellIs" dxfId="1786" priority="147970" stopIfTrue="1" operator="lessThan">
      <formula>0.5</formula>
    </cfRule>
  </conditionalFormatting>
  <conditionalFormatting sqref="AL69">
    <cfRule type="cellIs" dxfId="1785" priority="147971" stopIfTrue="1" operator="greaterThanOrEqual">
      <formula>0.5</formula>
    </cfRule>
  </conditionalFormatting>
  <conditionalFormatting sqref="AL70">
    <cfRule type="cellIs" dxfId="1784" priority="147972" stopIfTrue="1" operator="equal">
      <formula>-1</formula>
    </cfRule>
  </conditionalFormatting>
  <conditionalFormatting sqref="AL70">
    <cfRule type="cellIs" dxfId="1783" priority="147973" stopIfTrue="1" operator="lessThan">
      <formula>0.5</formula>
    </cfRule>
  </conditionalFormatting>
  <conditionalFormatting sqref="AL70">
    <cfRule type="cellIs" dxfId="1782" priority="147974" stopIfTrue="1" operator="greaterThanOrEqual">
      <formula>0.5</formula>
    </cfRule>
  </conditionalFormatting>
  <conditionalFormatting sqref="AL71">
    <cfRule type="cellIs" dxfId="1781" priority="147975" stopIfTrue="1" operator="equal">
      <formula>-1</formula>
    </cfRule>
  </conditionalFormatting>
  <conditionalFormatting sqref="AL71">
    <cfRule type="cellIs" dxfId="1780" priority="147976" stopIfTrue="1" operator="lessThan">
      <formula>0.5</formula>
    </cfRule>
  </conditionalFormatting>
  <conditionalFormatting sqref="AL71">
    <cfRule type="cellIs" dxfId="1779" priority="147977" stopIfTrue="1" operator="greaterThanOrEqual">
      <formula>0.5</formula>
    </cfRule>
  </conditionalFormatting>
  <conditionalFormatting sqref="AL72">
    <cfRule type="cellIs" dxfId="1778" priority="147978" stopIfTrue="1" operator="equal">
      <formula>-1</formula>
    </cfRule>
  </conditionalFormatting>
  <conditionalFormatting sqref="AL72">
    <cfRule type="cellIs" dxfId="1777" priority="147979" stopIfTrue="1" operator="lessThan">
      <formula>0.5</formula>
    </cfRule>
  </conditionalFormatting>
  <conditionalFormatting sqref="AL72">
    <cfRule type="cellIs" dxfId="1776" priority="147980" stopIfTrue="1" operator="greaterThanOrEqual">
      <formula>0.5</formula>
    </cfRule>
  </conditionalFormatting>
  <conditionalFormatting sqref="AL73">
    <cfRule type="cellIs" dxfId="1775" priority="147981" stopIfTrue="1" operator="equal">
      <formula>-1</formula>
    </cfRule>
  </conditionalFormatting>
  <conditionalFormatting sqref="AL73">
    <cfRule type="cellIs" dxfId="1774" priority="147982" stopIfTrue="1" operator="lessThan">
      <formula>0.5</formula>
    </cfRule>
  </conditionalFormatting>
  <conditionalFormatting sqref="AL73">
    <cfRule type="cellIs" dxfId="1773" priority="147983" stopIfTrue="1" operator="greaterThanOrEqual">
      <formula>0.5</formula>
    </cfRule>
  </conditionalFormatting>
  <conditionalFormatting sqref="AL74">
    <cfRule type="cellIs" dxfId="1772" priority="147984" stopIfTrue="1" operator="equal">
      <formula>-1</formula>
    </cfRule>
  </conditionalFormatting>
  <conditionalFormatting sqref="AL74">
    <cfRule type="cellIs" dxfId="1771" priority="147985" stopIfTrue="1" operator="lessThan">
      <formula>0.5</formula>
    </cfRule>
  </conditionalFormatting>
  <conditionalFormatting sqref="AL74">
    <cfRule type="cellIs" dxfId="1770" priority="147986" stopIfTrue="1" operator="greaterThanOrEqual">
      <formula>0.5</formula>
    </cfRule>
  </conditionalFormatting>
  <conditionalFormatting sqref="AL75">
    <cfRule type="cellIs" dxfId="1769" priority="147987" stopIfTrue="1" operator="equal">
      <formula>-1</formula>
    </cfRule>
  </conditionalFormatting>
  <conditionalFormatting sqref="AL75">
    <cfRule type="cellIs" dxfId="1768" priority="147988" stopIfTrue="1" operator="lessThan">
      <formula>0.5</formula>
    </cfRule>
  </conditionalFormatting>
  <conditionalFormatting sqref="AL75">
    <cfRule type="cellIs" dxfId="1767" priority="147989" stopIfTrue="1" operator="greaterThanOrEqual">
      <formula>0.5</formula>
    </cfRule>
  </conditionalFormatting>
  <conditionalFormatting sqref="AL76">
    <cfRule type="cellIs" dxfId="1766" priority="147990" stopIfTrue="1" operator="equal">
      <formula>-1</formula>
    </cfRule>
  </conditionalFormatting>
  <conditionalFormatting sqref="AL76">
    <cfRule type="cellIs" dxfId="1765" priority="147991" stopIfTrue="1" operator="lessThan">
      <formula>0.5</formula>
    </cfRule>
  </conditionalFormatting>
  <conditionalFormatting sqref="AL76">
    <cfRule type="cellIs" dxfId="1764" priority="147992" stopIfTrue="1" operator="greaterThanOrEqual">
      <formula>0.5</formula>
    </cfRule>
  </conditionalFormatting>
  <conditionalFormatting sqref="AL77">
    <cfRule type="cellIs" dxfId="1763" priority="147993" stopIfTrue="1" operator="equal">
      <formula>-1</formula>
    </cfRule>
  </conditionalFormatting>
  <conditionalFormatting sqref="AL77">
    <cfRule type="cellIs" dxfId="1762" priority="147994" stopIfTrue="1" operator="lessThan">
      <formula>0.5</formula>
    </cfRule>
  </conditionalFormatting>
  <conditionalFormatting sqref="AL77">
    <cfRule type="cellIs" dxfId="1761" priority="147995" stopIfTrue="1" operator="greaterThanOrEqual">
      <formula>0.5</formula>
    </cfRule>
  </conditionalFormatting>
  <conditionalFormatting sqref="AL78">
    <cfRule type="cellIs" dxfId="1760" priority="147996" stopIfTrue="1" operator="equal">
      <formula>-1</formula>
    </cfRule>
  </conditionalFormatting>
  <conditionalFormatting sqref="AL78">
    <cfRule type="cellIs" dxfId="1759" priority="147997" stopIfTrue="1" operator="lessThan">
      <formula>0.5</formula>
    </cfRule>
  </conditionalFormatting>
  <conditionalFormatting sqref="AL78">
    <cfRule type="cellIs" dxfId="1758" priority="147998" stopIfTrue="1" operator="greaterThanOrEqual">
      <formula>0.5</formula>
    </cfRule>
  </conditionalFormatting>
  <conditionalFormatting sqref="AL79">
    <cfRule type="cellIs" dxfId="1757" priority="147999" stopIfTrue="1" operator="equal">
      <formula>-1</formula>
    </cfRule>
  </conditionalFormatting>
  <conditionalFormatting sqref="AL79">
    <cfRule type="cellIs" dxfId="1756" priority="148000" stopIfTrue="1" operator="lessThan">
      <formula>0.5</formula>
    </cfRule>
  </conditionalFormatting>
  <conditionalFormatting sqref="AL79">
    <cfRule type="cellIs" dxfId="1755" priority="148001" stopIfTrue="1" operator="greaterThanOrEqual">
      <formula>0.5</formula>
    </cfRule>
  </conditionalFormatting>
  <conditionalFormatting sqref="AL80">
    <cfRule type="cellIs" dxfId="1754" priority="148002" stopIfTrue="1" operator="equal">
      <formula>-1</formula>
    </cfRule>
  </conditionalFormatting>
  <conditionalFormatting sqref="AL80">
    <cfRule type="cellIs" dxfId="1753" priority="148003" stopIfTrue="1" operator="lessThan">
      <formula>0.5</formula>
    </cfRule>
  </conditionalFormatting>
  <conditionalFormatting sqref="AL80">
    <cfRule type="cellIs" dxfId="1752" priority="148004" stopIfTrue="1" operator="greaterThanOrEqual">
      <formula>0.5</formula>
    </cfRule>
  </conditionalFormatting>
  <conditionalFormatting sqref="AL81">
    <cfRule type="cellIs" dxfId="1751" priority="148005" stopIfTrue="1" operator="equal">
      <formula>-1</formula>
    </cfRule>
  </conditionalFormatting>
  <conditionalFormatting sqref="AL81">
    <cfRule type="cellIs" dxfId="1750" priority="148006" stopIfTrue="1" operator="lessThan">
      <formula>0.5</formula>
    </cfRule>
  </conditionalFormatting>
  <conditionalFormatting sqref="AL81">
    <cfRule type="cellIs" dxfId="1749" priority="148007" stopIfTrue="1" operator="greaterThanOrEqual">
      <formula>0.5</formula>
    </cfRule>
  </conditionalFormatting>
  <conditionalFormatting sqref="AL82">
    <cfRule type="cellIs" dxfId="1748" priority="148008" stopIfTrue="1" operator="equal">
      <formula>-1</formula>
    </cfRule>
  </conditionalFormatting>
  <conditionalFormatting sqref="AL82">
    <cfRule type="cellIs" dxfId="1747" priority="148009" stopIfTrue="1" operator="lessThan">
      <formula>0.5</formula>
    </cfRule>
  </conditionalFormatting>
  <conditionalFormatting sqref="AL82">
    <cfRule type="cellIs" dxfId="1746" priority="148010" stopIfTrue="1" operator="greaterThanOrEqual">
      <formula>0.5</formula>
    </cfRule>
  </conditionalFormatting>
  <conditionalFormatting sqref="AL83">
    <cfRule type="cellIs" dxfId="1745" priority="148011" stopIfTrue="1" operator="equal">
      <formula>-1</formula>
    </cfRule>
  </conditionalFormatting>
  <conditionalFormatting sqref="AL83">
    <cfRule type="cellIs" dxfId="1744" priority="148012" stopIfTrue="1" operator="lessThan">
      <formula>0.5</formula>
    </cfRule>
  </conditionalFormatting>
  <conditionalFormatting sqref="AL83">
    <cfRule type="cellIs" dxfId="1743" priority="148013" stopIfTrue="1" operator="greaterThanOrEqual">
      <formula>0.5</formula>
    </cfRule>
  </conditionalFormatting>
  <conditionalFormatting sqref="AL84">
    <cfRule type="cellIs" dxfId="1742" priority="148014" stopIfTrue="1" operator="equal">
      <formula>-1</formula>
    </cfRule>
  </conditionalFormatting>
  <conditionalFormatting sqref="AL84">
    <cfRule type="cellIs" dxfId="1741" priority="148015" stopIfTrue="1" operator="lessThan">
      <formula>0.5</formula>
    </cfRule>
  </conditionalFormatting>
  <conditionalFormatting sqref="AL84">
    <cfRule type="cellIs" dxfId="1740" priority="148016" stopIfTrue="1" operator="greaterThanOrEqual">
      <formula>0.5</formula>
    </cfRule>
  </conditionalFormatting>
  <conditionalFormatting sqref="AL85">
    <cfRule type="cellIs" dxfId="1739" priority="148017" stopIfTrue="1" operator="equal">
      <formula>-1</formula>
    </cfRule>
  </conditionalFormatting>
  <conditionalFormatting sqref="AL85">
    <cfRule type="cellIs" dxfId="1738" priority="148018" stopIfTrue="1" operator="lessThan">
      <formula>0.5</formula>
    </cfRule>
  </conditionalFormatting>
  <conditionalFormatting sqref="AL85">
    <cfRule type="cellIs" dxfId="1737" priority="148019" stopIfTrue="1" operator="greaterThanOrEqual">
      <formula>0.5</formula>
    </cfRule>
  </conditionalFormatting>
  <conditionalFormatting sqref="AN65">
    <cfRule type="cellIs" dxfId="1736" priority="148020" stopIfTrue="1" operator="equal">
      <formula>-1</formula>
    </cfRule>
  </conditionalFormatting>
  <conditionalFormatting sqref="AN65">
    <cfRule type="cellIs" dxfId="1735" priority="148021" stopIfTrue="1" operator="lessThan">
      <formula>0.5</formula>
    </cfRule>
  </conditionalFormatting>
  <conditionalFormatting sqref="AN65">
    <cfRule type="cellIs" dxfId="1734" priority="148022" stopIfTrue="1" operator="greaterThanOrEqual">
      <formula>0.5</formula>
    </cfRule>
  </conditionalFormatting>
  <conditionalFormatting sqref="AN66">
    <cfRule type="cellIs" dxfId="1733" priority="148023" stopIfTrue="1" operator="equal">
      <formula>-1</formula>
    </cfRule>
  </conditionalFormatting>
  <conditionalFormatting sqref="AN66">
    <cfRule type="cellIs" dxfId="1732" priority="148024" stopIfTrue="1" operator="lessThan">
      <formula>0.5</formula>
    </cfRule>
  </conditionalFormatting>
  <conditionalFormatting sqref="AN66">
    <cfRule type="cellIs" dxfId="1731" priority="148025" stopIfTrue="1" operator="greaterThanOrEqual">
      <formula>0.5</formula>
    </cfRule>
  </conditionalFormatting>
  <conditionalFormatting sqref="AN67">
    <cfRule type="cellIs" dxfId="1730" priority="148026" stopIfTrue="1" operator="equal">
      <formula>-1</formula>
    </cfRule>
  </conditionalFormatting>
  <conditionalFormatting sqref="AN67">
    <cfRule type="cellIs" dxfId="1729" priority="148027" stopIfTrue="1" operator="lessThan">
      <formula>0.5</formula>
    </cfRule>
  </conditionalFormatting>
  <conditionalFormatting sqref="AN67">
    <cfRule type="cellIs" dxfId="1728" priority="148028" stopIfTrue="1" operator="greaterThanOrEqual">
      <formula>0.5</formula>
    </cfRule>
  </conditionalFormatting>
  <conditionalFormatting sqref="AN68">
    <cfRule type="cellIs" dxfId="1727" priority="148029" stopIfTrue="1" operator="equal">
      <formula>-1</formula>
    </cfRule>
  </conditionalFormatting>
  <conditionalFormatting sqref="AN68">
    <cfRule type="cellIs" dxfId="1726" priority="148030" stopIfTrue="1" operator="lessThan">
      <formula>0.5</formula>
    </cfRule>
  </conditionalFormatting>
  <conditionalFormatting sqref="AN68">
    <cfRule type="cellIs" dxfId="1725" priority="148031" stopIfTrue="1" operator="greaterThanOrEqual">
      <formula>0.5</formula>
    </cfRule>
  </conditionalFormatting>
  <conditionalFormatting sqref="AN69">
    <cfRule type="cellIs" dxfId="1724" priority="148032" stopIfTrue="1" operator="equal">
      <formula>-1</formula>
    </cfRule>
  </conditionalFormatting>
  <conditionalFormatting sqref="AN69">
    <cfRule type="cellIs" dxfId="1723" priority="148033" stopIfTrue="1" operator="lessThan">
      <formula>0.5</formula>
    </cfRule>
  </conditionalFormatting>
  <conditionalFormatting sqref="AN69">
    <cfRule type="cellIs" dxfId="1722" priority="148034" stopIfTrue="1" operator="greaterThanOrEqual">
      <formula>0.5</formula>
    </cfRule>
  </conditionalFormatting>
  <conditionalFormatting sqref="AN70">
    <cfRule type="cellIs" dxfId="1721" priority="148035" stopIfTrue="1" operator="equal">
      <formula>-1</formula>
    </cfRule>
  </conditionalFormatting>
  <conditionalFormatting sqref="AN70">
    <cfRule type="cellIs" dxfId="1720" priority="148036" stopIfTrue="1" operator="lessThan">
      <formula>0.5</formula>
    </cfRule>
  </conditionalFormatting>
  <conditionalFormatting sqref="AN70">
    <cfRule type="cellIs" dxfId="1719" priority="148037" stopIfTrue="1" operator="greaterThanOrEqual">
      <formula>0.5</formula>
    </cfRule>
  </conditionalFormatting>
  <conditionalFormatting sqref="AN71">
    <cfRule type="cellIs" dxfId="1718" priority="148038" stopIfTrue="1" operator="equal">
      <formula>-1</formula>
    </cfRule>
  </conditionalFormatting>
  <conditionalFormatting sqref="AN71">
    <cfRule type="cellIs" dxfId="1717" priority="148039" stopIfTrue="1" operator="lessThan">
      <formula>0.5</formula>
    </cfRule>
  </conditionalFormatting>
  <conditionalFormatting sqref="AN71">
    <cfRule type="cellIs" dxfId="1716" priority="148040" stopIfTrue="1" operator="greaterThanOrEqual">
      <formula>0.5</formula>
    </cfRule>
  </conditionalFormatting>
  <conditionalFormatting sqref="AN72">
    <cfRule type="cellIs" dxfId="1715" priority="148041" stopIfTrue="1" operator="equal">
      <formula>-1</formula>
    </cfRule>
  </conditionalFormatting>
  <conditionalFormatting sqref="AN72">
    <cfRule type="cellIs" dxfId="1714" priority="148042" stopIfTrue="1" operator="lessThan">
      <formula>0.5</formula>
    </cfRule>
  </conditionalFormatting>
  <conditionalFormatting sqref="AN72">
    <cfRule type="cellIs" dxfId="1713" priority="148043" stopIfTrue="1" operator="greaterThanOrEqual">
      <formula>0.5</formula>
    </cfRule>
  </conditionalFormatting>
  <conditionalFormatting sqref="AN73">
    <cfRule type="cellIs" dxfId="1712" priority="148044" stopIfTrue="1" operator="equal">
      <formula>-1</formula>
    </cfRule>
  </conditionalFormatting>
  <conditionalFormatting sqref="AN73">
    <cfRule type="cellIs" dxfId="1711" priority="148045" stopIfTrue="1" operator="lessThan">
      <formula>0.5</formula>
    </cfRule>
  </conditionalFormatting>
  <conditionalFormatting sqref="AN73">
    <cfRule type="cellIs" dxfId="1710" priority="148046" stopIfTrue="1" operator="greaterThanOrEqual">
      <formula>0.5</formula>
    </cfRule>
  </conditionalFormatting>
  <conditionalFormatting sqref="AN74">
    <cfRule type="cellIs" dxfId="1709" priority="148047" stopIfTrue="1" operator="equal">
      <formula>-1</formula>
    </cfRule>
  </conditionalFormatting>
  <conditionalFormatting sqref="AN74">
    <cfRule type="cellIs" dxfId="1708" priority="148048" stopIfTrue="1" operator="lessThan">
      <formula>0.5</formula>
    </cfRule>
  </conditionalFormatting>
  <conditionalFormatting sqref="AN74">
    <cfRule type="cellIs" dxfId="1707" priority="148049" stopIfTrue="1" operator="greaterThanOrEqual">
      <formula>0.5</formula>
    </cfRule>
  </conditionalFormatting>
  <conditionalFormatting sqref="AN75">
    <cfRule type="cellIs" dxfId="1706" priority="148050" stopIfTrue="1" operator="equal">
      <formula>-1</formula>
    </cfRule>
  </conditionalFormatting>
  <conditionalFormatting sqref="AN75">
    <cfRule type="cellIs" dxfId="1705" priority="148051" stopIfTrue="1" operator="lessThan">
      <formula>0.5</formula>
    </cfRule>
  </conditionalFormatting>
  <conditionalFormatting sqref="AN75">
    <cfRule type="cellIs" dxfId="1704" priority="148052" stopIfTrue="1" operator="greaterThanOrEqual">
      <formula>0.5</formula>
    </cfRule>
  </conditionalFormatting>
  <conditionalFormatting sqref="AN76">
    <cfRule type="cellIs" dxfId="1703" priority="148053" stopIfTrue="1" operator="equal">
      <formula>-1</formula>
    </cfRule>
  </conditionalFormatting>
  <conditionalFormatting sqref="AN76">
    <cfRule type="cellIs" dxfId="1702" priority="148054" stopIfTrue="1" operator="lessThan">
      <formula>0.5</formula>
    </cfRule>
  </conditionalFormatting>
  <conditionalFormatting sqref="AN76">
    <cfRule type="cellIs" dxfId="1701" priority="148055" stopIfTrue="1" operator="greaterThanOrEqual">
      <formula>0.5</formula>
    </cfRule>
  </conditionalFormatting>
  <conditionalFormatting sqref="AN77">
    <cfRule type="cellIs" dxfId="1700" priority="148056" stopIfTrue="1" operator="equal">
      <formula>-1</formula>
    </cfRule>
  </conditionalFormatting>
  <conditionalFormatting sqref="AN77">
    <cfRule type="cellIs" dxfId="1699" priority="148057" stopIfTrue="1" operator="lessThan">
      <formula>0.5</formula>
    </cfRule>
  </conditionalFormatting>
  <conditionalFormatting sqref="AN77">
    <cfRule type="cellIs" dxfId="1698" priority="148058" stopIfTrue="1" operator="greaterThanOrEqual">
      <formula>0.5</formula>
    </cfRule>
  </conditionalFormatting>
  <conditionalFormatting sqref="AN78">
    <cfRule type="cellIs" dxfId="1697" priority="148059" stopIfTrue="1" operator="equal">
      <formula>-1</formula>
    </cfRule>
  </conditionalFormatting>
  <conditionalFormatting sqref="AN78">
    <cfRule type="cellIs" dxfId="1696" priority="148060" stopIfTrue="1" operator="lessThan">
      <formula>0.5</formula>
    </cfRule>
  </conditionalFormatting>
  <conditionalFormatting sqref="AN78">
    <cfRule type="cellIs" dxfId="1695" priority="148061" stopIfTrue="1" operator="greaterThanOrEqual">
      <formula>0.5</formula>
    </cfRule>
  </conditionalFormatting>
  <conditionalFormatting sqref="AN79">
    <cfRule type="cellIs" dxfId="1694" priority="148062" stopIfTrue="1" operator="equal">
      <formula>-1</formula>
    </cfRule>
  </conditionalFormatting>
  <conditionalFormatting sqref="AN79">
    <cfRule type="cellIs" dxfId="1693" priority="148063" stopIfTrue="1" operator="lessThan">
      <formula>0.5</formula>
    </cfRule>
  </conditionalFormatting>
  <conditionalFormatting sqref="AN79">
    <cfRule type="cellIs" dxfId="1692" priority="148064" stopIfTrue="1" operator="greaterThanOrEqual">
      <formula>0.5</formula>
    </cfRule>
  </conditionalFormatting>
  <conditionalFormatting sqref="AN80">
    <cfRule type="cellIs" dxfId="1691" priority="148065" stopIfTrue="1" operator="equal">
      <formula>-1</formula>
    </cfRule>
  </conditionalFormatting>
  <conditionalFormatting sqref="AN80">
    <cfRule type="cellIs" dxfId="1690" priority="148066" stopIfTrue="1" operator="lessThan">
      <formula>0.5</formula>
    </cfRule>
  </conditionalFormatting>
  <conditionalFormatting sqref="AN80">
    <cfRule type="cellIs" dxfId="1689" priority="148067" stopIfTrue="1" operator="greaterThanOrEqual">
      <formula>0.5</formula>
    </cfRule>
  </conditionalFormatting>
  <conditionalFormatting sqref="AN81">
    <cfRule type="cellIs" dxfId="1688" priority="148068" stopIfTrue="1" operator="equal">
      <formula>-1</formula>
    </cfRule>
  </conditionalFormatting>
  <conditionalFormatting sqref="AN81">
    <cfRule type="cellIs" dxfId="1687" priority="148069" stopIfTrue="1" operator="lessThan">
      <formula>0.5</formula>
    </cfRule>
  </conditionalFormatting>
  <conditionalFormatting sqref="AN81">
    <cfRule type="cellIs" dxfId="1686" priority="148070" stopIfTrue="1" operator="greaterThanOrEqual">
      <formula>0.5</formula>
    </cfRule>
  </conditionalFormatting>
  <conditionalFormatting sqref="AN82">
    <cfRule type="cellIs" dxfId="1685" priority="148071" stopIfTrue="1" operator="equal">
      <formula>-1</formula>
    </cfRule>
  </conditionalFormatting>
  <conditionalFormatting sqref="AN82">
    <cfRule type="cellIs" dxfId="1684" priority="148072" stopIfTrue="1" operator="lessThan">
      <formula>0.5</formula>
    </cfRule>
  </conditionalFormatting>
  <conditionalFormatting sqref="AN82">
    <cfRule type="cellIs" dxfId="1683" priority="148073" stopIfTrue="1" operator="greaterThanOrEqual">
      <formula>0.5</formula>
    </cfRule>
  </conditionalFormatting>
  <conditionalFormatting sqref="AN83">
    <cfRule type="cellIs" dxfId="1682" priority="148074" stopIfTrue="1" operator="equal">
      <formula>-1</formula>
    </cfRule>
  </conditionalFormatting>
  <conditionalFormatting sqref="AN83">
    <cfRule type="cellIs" dxfId="1681" priority="148075" stopIfTrue="1" operator="lessThan">
      <formula>0.5</formula>
    </cfRule>
  </conditionalFormatting>
  <conditionalFormatting sqref="AN83">
    <cfRule type="cellIs" dxfId="1680" priority="148076" stopIfTrue="1" operator="greaterThanOrEqual">
      <formula>0.5</formula>
    </cfRule>
  </conditionalFormatting>
  <conditionalFormatting sqref="AN84">
    <cfRule type="cellIs" dxfId="1679" priority="148077" stopIfTrue="1" operator="equal">
      <formula>-1</formula>
    </cfRule>
  </conditionalFormatting>
  <conditionalFormatting sqref="AN84">
    <cfRule type="cellIs" dxfId="1678" priority="148078" stopIfTrue="1" operator="lessThan">
      <formula>0.5</formula>
    </cfRule>
  </conditionalFormatting>
  <conditionalFormatting sqref="AN84">
    <cfRule type="cellIs" dxfId="1677" priority="148079" stopIfTrue="1" operator="greaterThanOrEqual">
      <formula>0.5</formula>
    </cfRule>
  </conditionalFormatting>
  <conditionalFormatting sqref="AN85">
    <cfRule type="cellIs" dxfId="1676" priority="148080" stopIfTrue="1" operator="equal">
      <formula>-1</formula>
    </cfRule>
  </conditionalFormatting>
  <conditionalFormatting sqref="AN85">
    <cfRule type="cellIs" dxfId="1675" priority="148081" stopIfTrue="1" operator="lessThan">
      <formula>0.5</formula>
    </cfRule>
  </conditionalFormatting>
  <conditionalFormatting sqref="AN85">
    <cfRule type="cellIs" dxfId="1674" priority="148082" stopIfTrue="1" operator="greaterThanOrEqual">
      <formula>0.5</formula>
    </cfRule>
  </conditionalFormatting>
  <conditionalFormatting sqref="AP65">
    <cfRule type="cellIs" dxfId="1673" priority="148083" stopIfTrue="1" operator="equal">
      <formula>-1</formula>
    </cfRule>
  </conditionalFormatting>
  <conditionalFormatting sqref="AP65">
    <cfRule type="cellIs" dxfId="1672" priority="148084" stopIfTrue="1" operator="lessThan">
      <formula>0.5</formula>
    </cfRule>
  </conditionalFormatting>
  <conditionalFormatting sqref="AP65">
    <cfRule type="cellIs" dxfId="1671" priority="148085" stopIfTrue="1" operator="greaterThanOrEqual">
      <formula>0.5</formula>
    </cfRule>
  </conditionalFormatting>
  <conditionalFormatting sqref="AP66">
    <cfRule type="cellIs" dxfId="1670" priority="148086" stopIfTrue="1" operator="equal">
      <formula>-1</formula>
    </cfRule>
  </conditionalFormatting>
  <conditionalFormatting sqref="AP66">
    <cfRule type="cellIs" dxfId="1669" priority="148087" stopIfTrue="1" operator="lessThan">
      <formula>0.5</formula>
    </cfRule>
  </conditionalFormatting>
  <conditionalFormatting sqref="AP66">
    <cfRule type="cellIs" dxfId="1668" priority="148088" stopIfTrue="1" operator="greaterThanOrEqual">
      <formula>0.5</formula>
    </cfRule>
  </conditionalFormatting>
  <conditionalFormatting sqref="AP67">
    <cfRule type="cellIs" dxfId="1667" priority="148089" stopIfTrue="1" operator="equal">
      <formula>-1</formula>
    </cfRule>
  </conditionalFormatting>
  <conditionalFormatting sqref="AP67">
    <cfRule type="cellIs" dxfId="1666" priority="148090" stopIfTrue="1" operator="lessThan">
      <formula>0.5</formula>
    </cfRule>
  </conditionalFormatting>
  <conditionalFormatting sqref="AP67">
    <cfRule type="cellIs" dxfId="1665" priority="148091" stopIfTrue="1" operator="greaterThanOrEqual">
      <formula>0.5</formula>
    </cfRule>
  </conditionalFormatting>
  <conditionalFormatting sqref="AP68">
    <cfRule type="cellIs" dxfId="1664" priority="148092" stopIfTrue="1" operator="equal">
      <formula>-1</formula>
    </cfRule>
  </conditionalFormatting>
  <conditionalFormatting sqref="AP68">
    <cfRule type="cellIs" dxfId="1663" priority="148093" stopIfTrue="1" operator="lessThan">
      <formula>0.5</formula>
    </cfRule>
  </conditionalFormatting>
  <conditionalFormatting sqref="AP68">
    <cfRule type="cellIs" dxfId="1662" priority="148094" stopIfTrue="1" operator="greaterThanOrEqual">
      <formula>0.5</formula>
    </cfRule>
  </conditionalFormatting>
  <conditionalFormatting sqref="AP69">
    <cfRule type="cellIs" dxfId="1661" priority="148095" stopIfTrue="1" operator="equal">
      <formula>-1</formula>
    </cfRule>
  </conditionalFormatting>
  <conditionalFormatting sqref="AP69">
    <cfRule type="cellIs" dxfId="1660" priority="148096" stopIfTrue="1" operator="lessThan">
      <formula>0.5</formula>
    </cfRule>
  </conditionalFormatting>
  <conditionalFormatting sqref="AP69">
    <cfRule type="cellIs" dxfId="1659" priority="148097" stopIfTrue="1" operator="greaterThanOrEqual">
      <formula>0.5</formula>
    </cfRule>
  </conditionalFormatting>
  <conditionalFormatting sqref="AP70">
    <cfRule type="cellIs" dxfId="1658" priority="148098" stopIfTrue="1" operator="equal">
      <formula>-1</formula>
    </cfRule>
  </conditionalFormatting>
  <conditionalFormatting sqref="AP70">
    <cfRule type="cellIs" dxfId="1657" priority="148099" stopIfTrue="1" operator="lessThan">
      <formula>0.5</formula>
    </cfRule>
  </conditionalFormatting>
  <conditionalFormatting sqref="AP70">
    <cfRule type="cellIs" dxfId="1656" priority="148100" stopIfTrue="1" operator="greaterThanOrEqual">
      <formula>0.5</formula>
    </cfRule>
  </conditionalFormatting>
  <conditionalFormatting sqref="AP71">
    <cfRule type="cellIs" dxfId="1655" priority="148101" stopIfTrue="1" operator="equal">
      <formula>-1</formula>
    </cfRule>
  </conditionalFormatting>
  <conditionalFormatting sqref="AP71">
    <cfRule type="cellIs" dxfId="1654" priority="148102" stopIfTrue="1" operator="lessThan">
      <formula>0.5</formula>
    </cfRule>
  </conditionalFormatting>
  <conditionalFormatting sqref="AP71">
    <cfRule type="cellIs" dxfId="1653" priority="148103" stopIfTrue="1" operator="greaterThanOrEqual">
      <formula>0.5</formula>
    </cfRule>
  </conditionalFormatting>
  <conditionalFormatting sqref="AP72">
    <cfRule type="cellIs" dxfId="1652" priority="148104" stopIfTrue="1" operator="equal">
      <formula>-1</formula>
    </cfRule>
  </conditionalFormatting>
  <conditionalFormatting sqref="AP72">
    <cfRule type="cellIs" dxfId="1651" priority="148105" stopIfTrue="1" operator="lessThan">
      <formula>0.5</formula>
    </cfRule>
  </conditionalFormatting>
  <conditionalFormatting sqref="AP72">
    <cfRule type="cellIs" dxfId="1650" priority="148106" stopIfTrue="1" operator="greaterThanOrEqual">
      <formula>0.5</formula>
    </cfRule>
  </conditionalFormatting>
  <conditionalFormatting sqref="AP73">
    <cfRule type="cellIs" dxfId="1649" priority="148107" stopIfTrue="1" operator="equal">
      <formula>-1</formula>
    </cfRule>
  </conditionalFormatting>
  <conditionalFormatting sqref="AP73">
    <cfRule type="cellIs" dxfId="1648" priority="148108" stopIfTrue="1" operator="lessThan">
      <formula>0.5</formula>
    </cfRule>
  </conditionalFormatting>
  <conditionalFormatting sqref="AP73">
    <cfRule type="cellIs" dxfId="1647" priority="148109" stopIfTrue="1" operator="greaterThanOrEqual">
      <formula>0.5</formula>
    </cfRule>
  </conditionalFormatting>
  <conditionalFormatting sqref="AP74">
    <cfRule type="cellIs" dxfId="1646" priority="148110" stopIfTrue="1" operator="equal">
      <formula>-1</formula>
    </cfRule>
  </conditionalFormatting>
  <conditionalFormatting sqref="AP74">
    <cfRule type="cellIs" dxfId="1645" priority="148111" stopIfTrue="1" operator="lessThan">
      <formula>0.5</formula>
    </cfRule>
  </conditionalFormatting>
  <conditionalFormatting sqref="AP74">
    <cfRule type="cellIs" dxfId="1644" priority="148112" stopIfTrue="1" operator="greaterThanOrEqual">
      <formula>0.5</formula>
    </cfRule>
  </conditionalFormatting>
  <conditionalFormatting sqref="AP75">
    <cfRule type="cellIs" dxfId="1643" priority="148113" stopIfTrue="1" operator="equal">
      <formula>-1</formula>
    </cfRule>
  </conditionalFormatting>
  <conditionalFormatting sqref="AP75">
    <cfRule type="cellIs" dxfId="1642" priority="148114" stopIfTrue="1" operator="lessThan">
      <formula>0.5</formula>
    </cfRule>
  </conditionalFormatting>
  <conditionalFormatting sqref="AP75">
    <cfRule type="cellIs" dxfId="1641" priority="148115" stopIfTrue="1" operator="greaterThanOrEqual">
      <formula>0.5</formula>
    </cfRule>
  </conditionalFormatting>
  <conditionalFormatting sqref="AP76">
    <cfRule type="cellIs" dxfId="1640" priority="148116" stopIfTrue="1" operator="equal">
      <formula>-1</formula>
    </cfRule>
  </conditionalFormatting>
  <conditionalFormatting sqref="AP76">
    <cfRule type="cellIs" dxfId="1639" priority="148117" stopIfTrue="1" operator="lessThan">
      <formula>0.5</formula>
    </cfRule>
  </conditionalFormatting>
  <conditionalFormatting sqref="AP76">
    <cfRule type="cellIs" dxfId="1638" priority="148118" stopIfTrue="1" operator="greaterThanOrEqual">
      <formula>0.5</formula>
    </cfRule>
  </conditionalFormatting>
  <conditionalFormatting sqref="AP77">
    <cfRule type="cellIs" dxfId="1637" priority="148119" stopIfTrue="1" operator="equal">
      <formula>-1</formula>
    </cfRule>
  </conditionalFormatting>
  <conditionalFormatting sqref="AP77">
    <cfRule type="cellIs" dxfId="1636" priority="148120" stopIfTrue="1" operator="lessThan">
      <formula>0.5</formula>
    </cfRule>
  </conditionalFormatting>
  <conditionalFormatting sqref="AP77">
    <cfRule type="cellIs" dxfId="1635" priority="148121" stopIfTrue="1" operator="greaterThanOrEqual">
      <formula>0.5</formula>
    </cfRule>
  </conditionalFormatting>
  <conditionalFormatting sqref="AP78">
    <cfRule type="cellIs" dxfId="1634" priority="148122" stopIfTrue="1" operator="equal">
      <formula>-1</formula>
    </cfRule>
  </conditionalFormatting>
  <conditionalFormatting sqref="AP78">
    <cfRule type="cellIs" dxfId="1633" priority="148123" stopIfTrue="1" operator="lessThan">
      <formula>0.5</formula>
    </cfRule>
  </conditionalFormatting>
  <conditionalFormatting sqref="AP78">
    <cfRule type="cellIs" dxfId="1632" priority="148124" stopIfTrue="1" operator="greaterThanOrEqual">
      <formula>0.5</formula>
    </cfRule>
  </conditionalFormatting>
  <conditionalFormatting sqref="AP79">
    <cfRule type="cellIs" dxfId="1631" priority="148125" stopIfTrue="1" operator="equal">
      <formula>-1</formula>
    </cfRule>
  </conditionalFormatting>
  <conditionalFormatting sqref="AP79">
    <cfRule type="cellIs" dxfId="1630" priority="148126" stopIfTrue="1" operator="lessThan">
      <formula>0.5</formula>
    </cfRule>
  </conditionalFormatting>
  <conditionalFormatting sqref="AP79">
    <cfRule type="cellIs" dxfId="1629" priority="148127" stopIfTrue="1" operator="greaterThanOrEqual">
      <formula>0.5</formula>
    </cfRule>
  </conditionalFormatting>
  <conditionalFormatting sqref="AP80">
    <cfRule type="cellIs" dxfId="1628" priority="148128" stopIfTrue="1" operator="equal">
      <formula>-1</formula>
    </cfRule>
  </conditionalFormatting>
  <conditionalFormatting sqref="AP80">
    <cfRule type="cellIs" dxfId="1627" priority="148129" stopIfTrue="1" operator="lessThan">
      <formula>0.5</formula>
    </cfRule>
  </conditionalFormatting>
  <conditionalFormatting sqref="AP80">
    <cfRule type="cellIs" dxfId="1626" priority="148130" stopIfTrue="1" operator="greaterThanOrEqual">
      <formula>0.5</formula>
    </cfRule>
  </conditionalFormatting>
  <conditionalFormatting sqref="AP81">
    <cfRule type="cellIs" dxfId="1625" priority="148131" stopIfTrue="1" operator="equal">
      <formula>-1</formula>
    </cfRule>
  </conditionalFormatting>
  <conditionalFormatting sqref="AP81">
    <cfRule type="cellIs" dxfId="1624" priority="148132" stopIfTrue="1" operator="lessThan">
      <formula>0.5</formula>
    </cfRule>
  </conditionalFormatting>
  <conditionalFormatting sqref="AP81">
    <cfRule type="cellIs" dxfId="1623" priority="148133" stopIfTrue="1" operator="greaterThanOrEqual">
      <formula>0.5</formula>
    </cfRule>
  </conditionalFormatting>
  <conditionalFormatting sqref="AP82">
    <cfRule type="cellIs" dxfId="1622" priority="148134" stopIfTrue="1" operator="equal">
      <formula>-1</formula>
    </cfRule>
  </conditionalFormatting>
  <conditionalFormatting sqref="AP82">
    <cfRule type="cellIs" dxfId="1621" priority="148135" stopIfTrue="1" operator="lessThan">
      <formula>0.5</formula>
    </cfRule>
  </conditionalFormatting>
  <conditionalFormatting sqref="AP82">
    <cfRule type="cellIs" dxfId="1620" priority="148136" stopIfTrue="1" operator="greaterThanOrEqual">
      <formula>0.5</formula>
    </cfRule>
  </conditionalFormatting>
  <conditionalFormatting sqref="AP83">
    <cfRule type="cellIs" dxfId="1619" priority="148137" stopIfTrue="1" operator="equal">
      <formula>-1</formula>
    </cfRule>
  </conditionalFormatting>
  <conditionalFormatting sqref="AP83">
    <cfRule type="cellIs" dxfId="1618" priority="148138" stopIfTrue="1" operator="lessThan">
      <formula>0.5</formula>
    </cfRule>
  </conditionalFormatting>
  <conditionalFormatting sqref="AP83">
    <cfRule type="cellIs" dxfId="1617" priority="148139" stopIfTrue="1" operator="greaterThanOrEqual">
      <formula>0.5</formula>
    </cfRule>
  </conditionalFormatting>
  <conditionalFormatting sqref="AP84">
    <cfRule type="cellIs" dxfId="1616" priority="148140" stopIfTrue="1" operator="equal">
      <formula>-1</formula>
    </cfRule>
  </conditionalFormatting>
  <conditionalFormatting sqref="AP84">
    <cfRule type="cellIs" dxfId="1615" priority="148141" stopIfTrue="1" operator="lessThan">
      <formula>0.5</formula>
    </cfRule>
  </conditionalFormatting>
  <conditionalFormatting sqref="AP84">
    <cfRule type="cellIs" dxfId="1614" priority="148142" stopIfTrue="1" operator="greaterThanOrEqual">
      <formula>0.5</formula>
    </cfRule>
  </conditionalFormatting>
  <conditionalFormatting sqref="AP85">
    <cfRule type="cellIs" dxfId="1613" priority="148143" stopIfTrue="1" operator="equal">
      <formula>-1</formula>
    </cfRule>
  </conditionalFormatting>
  <conditionalFormatting sqref="AP85">
    <cfRule type="cellIs" dxfId="1612" priority="148144" stopIfTrue="1" operator="lessThan">
      <formula>0.5</formula>
    </cfRule>
  </conditionalFormatting>
  <conditionalFormatting sqref="AP85">
    <cfRule type="cellIs" dxfId="1611" priority="148145" stopIfTrue="1" operator="greaterThanOrEqual">
      <formula>0.5</formula>
    </cfRule>
  </conditionalFormatting>
  <conditionalFormatting sqref="AR65">
    <cfRule type="cellIs" dxfId="1610" priority="148146" stopIfTrue="1" operator="equal">
      <formula>-1</formula>
    </cfRule>
  </conditionalFormatting>
  <conditionalFormatting sqref="AR65">
    <cfRule type="cellIs" dxfId="1609" priority="148147" stopIfTrue="1" operator="lessThan">
      <formula>0.5</formula>
    </cfRule>
  </conditionalFormatting>
  <conditionalFormatting sqref="AR65">
    <cfRule type="cellIs" dxfId="1608" priority="148148" stopIfTrue="1" operator="greaterThanOrEqual">
      <formula>0.5</formula>
    </cfRule>
  </conditionalFormatting>
  <conditionalFormatting sqref="AR66">
    <cfRule type="cellIs" dxfId="1607" priority="148149" stopIfTrue="1" operator="equal">
      <formula>-1</formula>
    </cfRule>
  </conditionalFormatting>
  <conditionalFormatting sqref="AR66">
    <cfRule type="cellIs" dxfId="1606" priority="148150" stopIfTrue="1" operator="lessThan">
      <formula>0.5</formula>
    </cfRule>
  </conditionalFormatting>
  <conditionalFormatting sqref="AR66">
    <cfRule type="cellIs" dxfId="1605" priority="148151" stopIfTrue="1" operator="greaterThanOrEqual">
      <formula>0.5</formula>
    </cfRule>
  </conditionalFormatting>
  <conditionalFormatting sqref="AR67">
    <cfRule type="cellIs" dxfId="1604" priority="148152" stopIfTrue="1" operator="equal">
      <formula>-1</formula>
    </cfRule>
  </conditionalFormatting>
  <conditionalFormatting sqref="AR67">
    <cfRule type="cellIs" dxfId="1603" priority="148153" stopIfTrue="1" operator="lessThan">
      <formula>0.5</formula>
    </cfRule>
  </conditionalFormatting>
  <conditionalFormatting sqref="AR67">
    <cfRule type="cellIs" dxfId="1602" priority="148154" stopIfTrue="1" operator="greaterThanOrEqual">
      <formula>0.5</formula>
    </cfRule>
  </conditionalFormatting>
  <conditionalFormatting sqref="AR68">
    <cfRule type="cellIs" dxfId="1601" priority="148155" stopIfTrue="1" operator="equal">
      <formula>-1</formula>
    </cfRule>
  </conditionalFormatting>
  <conditionalFormatting sqref="AR68">
    <cfRule type="cellIs" dxfId="1600" priority="148156" stopIfTrue="1" operator="lessThan">
      <formula>0.5</formula>
    </cfRule>
  </conditionalFormatting>
  <conditionalFormatting sqref="AR68">
    <cfRule type="cellIs" dxfId="1599" priority="148157" stopIfTrue="1" operator="greaterThanOrEqual">
      <formula>0.5</formula>
    </cfRule>
  </conditionalFormatting>
  <conditionalFormatting sqref="AR69">
    <cfRule type="cellIs" dxfId="1598" priority="148158" stopIfTrue="1" operator="equal">
      <formula>-1</formula>
    </cfRule>
  </conditionalFormatting>
  <conditionalFormatting sqref="AR69">
    <cfRule type="cellIs" dxfId="1597" priority="148159" stopIfTrue="1" operator="lessThan">
      <formula>0.5</formula>
    </cfRule>
  </conditionalFormatting>
  <conditionalFormatting sqref="AR69">
    <cfRule type="cellIs" dxfId="1596" priority="148160" stopIfTrue="1" operator="greaterThanOrEqual">
      <formula>0.5</formula>
    </cfRule>
  </conditionalFormatting>
  <conditionalFormatting sqref="AR70">
    <cfRule type="cellIs" dxfId="1595" priority="148161" stopIfTrue="1" operator="equal">
      <formula>-1</formula>
    </cfRule>
  </conditionalFormatting>
  <conditionalFormatting sqref="AR70">
    <cfRule type="cellIs" dxfId="1594" priority="148162" stopIfTrue="1" operator="lessThan">
      <formula>0.5</formula>
    </cfRule>
  </conditionalFormatting>
  <conditionalFormatting sqref="AR70">
    <cfRule type="cellIs" dxfId="1593" priority="148163" stopIfTrue="1" operator="greaterThanOrEqual">
      <formula>0.5</formula>
    </cfRule>
  </conditionalFormatting>
  <conditionalFormatting sqref="AR71">
    <cfRule type="cellIs" dxfId="1592" priority="148164" stopIfTrue="1" operator="equal">
      <formula>-1</formula>
    </cfRule>
  </conditionalFormatting>
  <conditionalFormatting sqref="AR71">
    <cfRule type="cellIs" dxfId="1591" priority="148165" stopIfTrue="1" operator="lessThan">
      <formula>0.5</formula>
    </cfRule>
  </conditionalFormatting>
  <conditionalFormatting sqref="AR71">
    <cfRule type="cellIs" dxfId="1590" priority="148166" stopIfTrue="1" operator="greaterThanOrEqual">
      <formula>0.5</formula>
    </cfRule>
  </conditionalFormatting>
  <conditionalFormatting sqref="AR72">
    <cfRule type="cellIs" dxfId="1589" priority="148167" stopIfTrue="1" operator="equal">
      <formula>-1</formula>
    </cfRule>
  </conditionalFormatting>
  <conditionalFormatting sqref="AR72">
    <cfRule type="cellIs" dxfId="1588" priority="148168" stopIfTrue="1" operator="lessThan">
      <formula>0.5</formula>
    </cfRule>
  </conditionalFormatting>
  <conditionalFormatting sqref="AR72">
    <cfRule type="cellIs" dxfId="1587" priority="148169" stopIfTrue="1" operator="greaterThanOrEqual">
      <formula>0.5</formula>
    </cfRule>
  </conditionalFormatting>
  <conditionalFormatting sqref="AR73">
    <cfRule type="cellIs" dxfId="1586" priority="148170" stopIfTrue="1" operator="equal">
      <formula>-1</formula>
    </cfRule>
  </conditionalFormatting>
  <conditionalFormatting sqref="AR73">
    <cfRule type="cellIs" dxfId="1585" priority="148171" stopIfTrue="1" operator="lessThan">
      <formula>0.5</formula>
    </cfRule>
  </conditionalFormatting>
  <conditionalFormatting sqref="AR73">
    <cfRule type="cellIs" dxfId="1584" priority="148172" stopIfTrue="1" operator="greaterThanOrEqual">
      <formula>0.5</formula>
    </cfRule>
  </conditionalFormatting>
  <conditionalFormatting sqref="AR74">
    <cfRule type="cellIs" dxfId="1583" priority="148173" stopIfTrue="1" operator="equal">
      <formula>-1</formula>
    </cfRule>
  </conditionalFormatting>
  <conditionalFormatting sqref="AR74">
    <cfRule type="cellIs" dxfId="1582" priority="148174" stopIfTrue="1" operator="lessThan">
      <formula>0.5</formula>
    </cfRule>
  </conditionalFormatting>
  <conditionalFormatting sqref="AR74">
    <cfRule type="cellIs" dxfId="1581" priority="148175" stopIfTrue="1" operator="greaterThanOrEqual">
      <formula>0.5</formula>
    </cfRule>
  </conditionalFormatting>
  <conditionalFormatting sqref="AR75">
    <cfRule type="cellIs" dxfId="1580" priority="148176" stopIfTrue="1" operator="equal">
      <formula>-1</formula>
    </cfRule>
  </conditionalFormatting>
  <conditionalFormatting sqref="AR75">
    <cfRule type="cellIs" dxfId="1579" priority="148177" stopIfTrue="1" operator="lessThan">
      <formula>0.5</formula>
    </cfRule>
  </conditionalFormatting>
  <conditionalFormatting sqref="AR75">
    <cfRule type="cellIs" dxfId="1578" priority="148178" stopIfTrue="1" operator="greaterThanOrEqual">
      <formula>0.5</formula>
    </cfRule>
  </conditionalFormatting>
  <conditionalFormatting sqref="AR76">
    <cfRule type="cellIs" dxfId="1577" priority="148179" stopIfTrue="1" operator="equal">
      <formula>-1</formula>
    </cfRule>
  </conditionalFormatting>
  <conditionalFormatting sqref="AR76">
    <cfRule type="cellIs" dxfId="1576" priority="148180" stopIfTrue="1" operator="lessThan">
      <formula>0.5</formula>
    </cfRule>
  </conditionalFormatting>
  <conditionalFormatting sqref="AR76">
    <cfRule type="cellIs" dxfId="1575" priority="148181" stopIfTrue="1" operator="greaterThanOrEqual">
      <formula>0.5</formula>
    </cfRule>
  </conditionalFormatting>
  <conditionalFormatting sqref="AR77">
    <cfRule type="cellIs" dxfId="1574" priority="148182" stopIfTrue="1" operator="equal">
      <formula>-1</formula>
    </cfRule>
  </conditionalFormatting>
  <conditionalFormatting sqref="AR77">
    <cfRule type="cellIs" dxfId="1573" priority="148183" stopIfTrue="1" operator="lessThan">
      <formula>0.5</formula>
    </cfRule>
  </conditionalFormatting>
  <conditionalFormatting sqref="AR77">
    <cfRule type="cellIs" dxfId="1572" priority="148184" stopIfTrue="1" operator="greaterThanOrEqual">
      <formula>0.5</formula>
    </cfRule>
  </conditionalFormatting>
  <conditionalFormatting sqref="AR78">
    <cfRule type="cellIs" dxfId="1571" priority="148185" stopIfTrue="1" operator="equal">
      <formula>-1</formula>
    </cfRule>
  </conditionalFormatting>
  <conditionalFormatting sqref="AR78">
    <cfRule type="cellIs" dxfId="1570" priority="148186" stopIfTrue="1" operator="lessThan">
      <formula>0.5</formula>
    </cfRule>
  </conditionalFormatting>
  <conditionalFormatting sqref="AR78">
    <cfRule type="cellIs" dxfId="1569" priority="148187" stopIfTrue="1" operator="greaterThanOrEqual">
      <formula>0.5</formula>
    </cfRule>
  </conditionalFormatting>
  <conditionalFormatting sqref="AR79">
    <cfRule type="cellIs" dxfId="1568" priority="148188" stopIfTrue="1" operator="equal">
      <formula>-1</formula>
    </cfRule>
  </conditionalFormatting>
  <conditionalFormatting sqref="AR79">
    <cfRule type="cellIs" dxfId="1567" priority="148189" stopIfTrue="1" operator="lessThan">
      <formula>0.5</formula>
    </cfRule>
  </conditionalFormatting>
  <conditionalFormatting sqref="AR79">
    <cfRule type="cellIs" dxfId="1566" priority="148190" stopIfTrue="1" operator="greaterThanOrEqual">
      <formula>0.5</formula>
    </cfRule>
  </conditionalFormatting>
  <conditionalFormatting sqref="AR80">
    <cfRule type="cellIs" dxfId="1565" priority="148191" stopIfTrue="1" operator="equal">
      <formula>-1</formula>
    </cfRule>
  </conditionalFormatting>
  <conditionalFormatting sqref="AR80">
    <cfRule type="cellIs" dxfId="1564" priority="148192" stopIfTrue="1" operator="lessThan">
      <formula>0.5</formula>
    </cfRule>
  </conditionalFormatting>
  <conditionalFormatting sqref="AR80">
    <cfRule type="cellIs" dxfId="1563" priority="148193" stopIfTrue="1" operator="greaterThanOrEqual">
      <formula>0.5</formula>
    </cfRule>
  </conditionalFormatting>
  <conditionalFormatting sqref="AR81">
    <cfRule type="cellIs" dxfId="1562" priority="148194" stopIfTrue="1" operator="equal">
      <formula>-1</formula>
    </cfRule>
  </conditionalFormatting>
  <conditionalFormatting sqref="AR81">
    <cfRule type="cellIs" dxfId="1561" priority="148195" stopIfTrue="1" operator="lessThan">
      <formula>0.5</formula>
    </cfRule>
  </conditionalFormatting>
  <conditionalFormatting sqref="AR81">
    <cfRule type="cellIs" dxfId="1560" priority="148196" stopIfTrue="1" operator="greaterThanOrEqual">
      <formula>0.5</formula>
    </cfRule>
  </conditionalFormatting>
  <conditionalFormatting sqref="AR82">
    <cfRule type="cellIs" dxfId="1559" priority="148197" stopIfTrue="1" operator="equal">
      <formula>-1</formula>
    </cfRule>
  </conditionalFormatting>
  <conditionalFormatting sqref="AR82">
    <cfRule type="cellIs" dxfId="1558" priority="148198" stopIfTrue="1" operator="lessThan">
      <formula>0.5</formula>
    </cfRule>
  </conditionalFormatting>
  <conditionalFormatting sqref="AR82">
    <cfRule type="cellIs" dxfId="1557" priority="148199" stopIfTrue="1" operator="greaterThanOrEqual">
      <formula>0.5</formula>
    </cfRule>
  </conditionalFormatting>
  <conditionalFormatting sqref="AR83">
    <cfRule type="cellIs" dxfId="1556" priority="148200" stopIfTrue="1" operator="equal">
      <formula>-1</formula>
    </cfRule>
  </conditionalFormatting>
  <conditionalFormatting sqref="AR83">
    <cfRule type="cellIs" dxfId="1555" priority="148201" stopIfTrue="1" operator="lessThan">
      <formula>0.5</formula>
    </cfRule>
  </conditionalFormatting>
  <conditionalFormatting sqref="AR83">
    <cfRule type="cellIs" dxfId="1554" priority="148202" stopIfTrue="1" operator="greaterThanOrEqual">
      <formula>0.5</formula>
    </cfRule>
  </conditionalFormatting>
  <conditionalFormatting sqref="AR84">
    <cfRule type="cellIs" dxfId="1553" priority="148203" stopIfTrue="1" operator="equal">
      <formula>-1</formula>
    </cfRule>
  </conditionalFormatting>
  <conditionalFormatting sqref="AR84">
    <cfRule type="cellIs" dxfId="1552" priority="148204" stopIfTrue="1" operator="lessThan">
      <formula>0.5</formula>
    </cfRule>
  </conditionalFormatting>
  <conditionalFormatting sqref="AR84">
    <cfRule type="cellIs" dxfId="1551" priority="148205" stopIfTrue="1" operator="greaterThanOrEqual">
      <formula>0.5</formula>
    </cfRule>
  </conditionalFormatting>
  <conditionalFormatting sqref="AR85">
    <cfRule type="cellIs" dxfId="1550" priority="148206" stopIfTrue="1" operator="equal">
      <formula>-1</formula>
    </cfRule>
  </conditionalFormatting>
  <conditionalFormatting sqref="AR85">
    <cfRule type="cellIs" dxfId="1549" priority="148207" stopIfTrue="1" operator="lessThan">
      <formula>0.5</formula>
    </cfRule>
  </conditionalFormatting>
  <conditionalFormatting sqref="AR85">
    <cfRule type="cellIs" dxfId="1548" priority="148208" stopIfTrue="1" operator="greaterThanOrEqual">
      <formula>0.5</formula>
    </cfRule>
  </conditionalFormatting>
  <conditionalFormatting sqref="AT65">
    <cfRule type="cellIs" dxfId="1547" priority="148209" stopIfTrue="1" operator="equal">
      <formula>-1</formula>
    </cfRule>
  </conditionalFormatting>
  <conditionalFormatting sqref="AT65">
    <cfRule type="cellIs" dxfId="1546" priority="148210" stopIfTrue="1" operator="lessThan">
      <formula>0.5</formula>
    </cfRule>
  </conditionalFormatting>
  <conditionalFormatting sqref="AT65">
    <cfRule type="cellIs" dxfId="1545" priority="148211" stopIfTrue="1" operator="greaterThanOrEqual">
      <formula>0.5</formula>
    </cfRule>
  </conditionalFormatting>
  <conditionalFormatting sqref="AT66">
    <cfRule type="cellIs" dxfId="1544" priority="148212" stopIfTrue="1" operator="equal">
      <formula>-1</formula>
    </cfRule>
  </conditionalFormatting>
  <conditionalFormatting sqref="AT66">
    <cfRule type="cellIs" dxfId="1543" priority="148213" stopIfTrue="1" operator="lessThan">
      <formula>0.5</formula>
    </cfRule>
  </conditionalFormatting>
  <conditionalFormatting sqref="AT66">
    <cfRule type="cellIs" dxfId="1542" priority="148214" stopIfTrue="1" operator="greaterThanOrEqual">
      <formula>0.5</formula>
    </cfRule>
  </conditionalFormatting>
  <conditionalFormatting sqref="AT67">
    <cfRule type="cellIs" dxfId="1541" priority="148215" stopIfTrue="1" operator="equal">
      <formula>-1</formula>
    </cfRule>
  </conditionalFormatting>
  <conditionalFormatting sqref="AT67">
    <cfRule type="cellIs" dxfId="1540" priority="148216" stopIfTrue="1" operator="lessThan">
      <formula>0.5</formula>
    </cfRule>
  </conditionalFormatting>
  <conditionalFormatting sqref="AT67">
    <cfRule type="cellIs" dxfId="1539" priority="148217" stopIfTrue="1" operator="greaterThanOrEqual">
      <formula>0.5</formula>
    </cfRule>
  </conditionalFormatting>
  <conditionalFormatting sqref="AT68">
    <cfRule type="cellIs" dxfId="1538" priority="148218" stopIfTrue="1" operator="equal">
      <formula>-1</formula>
    </cfRule>
  </conditionalFormatting>
  <conditionalFormatting sqref="AT68">
    <cfRule type="cellIs" dxfId="1537" priority="148219" stopIfTrue="1" operator="lessThan">
      <formula>0.5</formula>
    </cfRule>
  </conditionalFormatting>
  <conditionalFormatting sqref="AT68">
    <cfRule type="cellIs" dxfId="1536" priority="148220" stopIfTrue="1" operator="greaterThanOrEqual">
      <formula>0.5</formula>
    </cfRule>
  </conditionalFormatting>
  <conditionalFormatting sqref="AT69">
    <cfRule type="cellIs" dxfId="1535" priority="148221" stopIfTrue="1" operator="equal">
      <formula>-1</formula>
    </cfRule>
  </conditionalFormatting>
  <conditionalFormatting sqref="AT69">
    <cfRule type="cellIs" dxfId="1534" priority="148222" stopIfTrue="1" operator="lessThan">
      <formula>0.5</formula>
    </cfRule>
  </conditionalFormatting>
  <conditionalFormatting sqref="AT69">
    <cfRule type="cellIs" dxfId="1533" priority="148223" stopIfTrue="1" operator="greaterThanOrEqual">
      <formula>0.5</formula>
    </cfRule>
  </conditionalFormatting>
  <conditionalFormatting sqref="AT70">
    <cfRule type="cellIs" dxfId="1532" priority="148224" stopIfTrue="1" operator="equal">
      <formula>-1</formula>
    </cfRule>
  </conditionalFormatting>
  <conditionalFormatting sqref="AT70">
    <cfRule type="cellIs" dxfId="1531" priority="148225" stopIfTrue="1" operator="lessThan">
      <formula>0.5</formula>
    </cfRule>
  </conditionalFormatting>
  <conditionalFormatting sqref="AT70">
    <cfRule type="cellIs" dxfId="1530" priority="148226" stopIfTrue="1" operator="greaterThanOrEqual">
      <formula>0.5</formula>
    </cfRule>
  </conditionalFormatting>
  <conditionalFormatting sqref="AT71">
    <cfRule type="cellIs" dxfId="1529" priority="148227" stopIfTrue="1" operator="equal">
      <formula>-1</formula>
    </cfRule>
  </conditionalFormatting>
  <conditionalFormatting sqref="AT71">
    <cfRule type="cellIs" dxfId="1528" priority="148228" stopIfTrue="1" operator="lessThan">
      <formula>0.5</formula>
    </cfRule>
  </conditionalFormatting>
  <conditionalFormatting sqref="AT71">
    <cfRule type="cellIs" dxfId="1527" priority="148229" stopIfTrue="1" operator="greaterThanOrEqual">
      <formula>0.5</formula>
    </cfRule>
  </conditionalFormatting>
  <conditionalFormatting sqref="AT72">
    <cfRule type="cellIs" dxfId="1526" priority="148230" stopIfTrue="1" operator="equal">
      <formula>-1</formula>
    </cfRule>
  </conditionalFormatting>
  <conditionalFormatting sqref="AT72">
    <cfRule type="cellIs" dxfId="1525" priority="148231" stopIfTrue="1" operator="lessThan">
      <formula>0.5</formula>
    </cfRule>
  </conditionalFormatting>
  <conditionalFormatting sqref="AT72">
    <cfRule type="cellIs" dxfId="1524" priority="148232" stopIfTrue="1" operator="greaterThanOrEqual">
      <formula>0.5</formula>
    </cfRule>
  </conditionalFormatting>
  <conditionalFormatting sqref="AT73">
    <cfRule type="cellIs" dxfId="1523" priority="148233" stopIfTrue="1" operator="equal">
      <formula>-1</formula>
    </cfRule>
  </conditionalFormatting>
  <conditionalFormatting sqref="AT73">
    <cfRule type="cellIs" dxfId="1522" priority="148234" stopIfTrue="1" operator="lessThan">
      <formula>0.5</formula>
    </cfRule>
  </conditionalFormatting>
  <conditionalFormatting sqref="AT73">
    <cfRule type="cellIs" dxfId="1521" priority="148235" stopIfTrue="1" operator="greaterThanOrEqual">
      <formula>0.5</formula>
    </cfRule>
  </conditionalFormatting>
  <conditionalFormatting sqref="AT74">
    <cfRule type="cellIs" dxfId="1520" priority="148236" stopIfTrue="1" operator="equal">
      <formula>-1</formula>
    </cfRule>
  </conditionalFormatting>
  <conditionalFormatting sqref="AT74">
    <cfRule type="cellIs" dxfId="1519" priority="148237" stopIfTrue="1" operator="lessThan">
      <formula>0.5</formula>
    </cfRule>
  </conditionalFormatting>
  <conditionalFormatting sqref="AT74">
    <cfRule type="cellIs" dxfId="1518" priority="148238" stopIfTrue="1" operator="greaterThanOrEqual">
      <formula>0.5</formula>
    </cfRule>
  </conditionalFormatting>
  <conditionalFormatting sqref="AT75">
    <cfRule type="cellIs" dxfId="1517" priority="148239" stopIfTrue="1" operator="equal">
      <formula>-1</formula>
    </cfRule>
  </conditionalFormatting>
  <conditionalFormatting sqref="AT75">
    <cfRule type="cellIs" dxfId="1516" priority="148240" stopIfTrue="1" operator="lessThan">
      <formula>0.5</formula>
    </cfRule>
  </conditionalFormatting>
  <conditionalFormatting sqref="AT75">
    <cfRule type="cellIs" dxfId="1515" priority="148241" stopIfTrue="1" operator="greaterThanOrEqual">
      <formula>0.5</formula>
    </cfRule>
  </conditionalFormatting>
  <conditionalFormatting sqref="AT76">
    <cfRule type="cellIs" dxfId="1514" priority="148242" stopIfTrue="1" operator="equal">
      <formula>-1</formula>
    </cfRule>
  </conditionalFormatting>
  <conditionalFormatting sqref="AT76">
    <cfRule type="cellIs" dxfId="1513" priority="148243" stopIfTrue="1" operator="lessThan">
      <formula>0.5</formula>
    </cfRule>
  </conditionalFormatting>
  <conditionalFormatting sqref="AT76">
    <cfRule type="cellIs" dxfId="1512" priority="148244" stopIfTrue="1" operator="greaterThanOrEqual">
      <formula>0.5</formula>
    </cfRule>
  </conditionalFormatting>
  <conditionalFormatting sqref="AT77">
    <cfRule type="cellIs" dxfId="1511" priority="148245" stopIfTrue="1" operator="equal">
      <formula>-1</formula>
    </cfRule>
  </conditionalFormatting>
  <conditionalFormatting sqref="AT77">
    <cfRule type="cellIs" dxfId="1510" priority="148246" stopIfTrue="1" operator="lessThan">
      <formula>0.5</formula>
    </cfRule>
  </conditionalFormatting>
  <conditionalFormatting sqref="AT77">
    <cfRule type="cellIs" dxfId="1509" priority="148247" stopIfTrue="1" operator="greaterThanOrEqual">
      <formula>0.5</formula>
    </cfRule>
  </conditionalFormatting>
  <conditionalFormatting sqref="AT78">
    <cfRule type="cellIs" dxfId="1508" priority="148248" stopIfTrue="1" operator="equal">
      <formula>-1</formula>
    </cfRule>
  </conditionalFormatting>
  <conditionalFormatting sqref="AT78">
    <cfRule type="cellIs" dxfId="1507" priority="148249" stopIfTrue="1" operator="lessThan">
      <formula>0.5</formula>
    </cfRule>
  </conditionalFormatting>
  <conditionalFormatting sqref="AT78">
    <cfRule type="cellIs" dxfId="1506" priority="148250" stopIfTrue="1" operator="greaterThanOrEqual">
      <formula>0.5</formula>
    </cfRule>
  </conditionalFormatting>
  <conditionalFormatting sqref="AT79">
    <cfRule type="cellIs" dxfId="1505" priority="148251" stopIfTrue="1" operator="equal">
      <formula>-1</formula>
    </cfRule>
  </conditionalFormatting>
  <conditionalFormatting sqref="AT79">
    <cfRule type="cellIs" dxfId="1504" priority="148252" stopIfTrue="1" operator="lessThan">
      <formula>0.5</formula>
    </cfRule>
  </conditionalFormatting>
  <conditionalFormatting sqref="AT79">
    <cfRule type="cellIs" dxfId="1503" priority="148253" stopIfTrue="1" operator="greaterThanOrEqual">
      <formula>0.5</formula>
    </cfRule>
  </conditionalFormatting>
  <conditionalFormatting sqref="AT80">
    <cfRule type="cellIs" dxfId="1502" priority="148254" stopIfTrue="1" operator="equal">
      <formula>-1</formula>
    </cfRule>
  </conditionalFormatting>
  <conditionalFormatting sqref="AT80">
    <cfRule type="cellIs" dxfId="1501" priority="148255" stopIfTrue="1" operator="lessThan">
      <formula>0.5</formula>
    </cfRule>
  </conditionalFormatting>
  <conditionalFormatting sqref="AT80">
    <cfRule type="cellIs" dxfId="1500" priority="148256" stopIfTrue="1" operator="greaterThanOrEqual">
      <formula>0.5</formula>
    </cfRule>
  </conditionalFormatting>
  <conditionalFormatting sqref="AT81">
    <cfRule type="cellIs" dxfId="1499" priority="148257" stopIfTrue="1" operator="equal">
      <formula>-1</formula>
    </cfRule>
  </conditionalFormatting>
  <conditionalFormatting sqref="AT81">
    <cfRule type="cellIs" dxfId="1498" priority="148258" stopIfTrue="1" operator="lessThan">
      <formula>0.5</formula>
    </cfRule>
  </conditionalFormatting>
  <conditionalFormatting sqref="AT81">
    <cfRule type="cellIs" dxfId="1497" priority="148259" stopIfTrue="1" operator="greaterThanOrEqual">
      <formula>0.5</formula>
    </cfRule>
  </conditionalFormatting>
  <conditionalFormatting sqref="AT82">
    <cfRule type="cellIs" dxfId="1496" priority="148260" stopIfTrue="1" operator="equal">
      <formula>-1</formula>
    </cfRule>
  </conditionalFormatting>
  <conditionalFormatting sqref="AT82">
    <cfRule type="cellIs" dxfId="1495" priority="148261" stopIfTrue="1" operator="lessThan">
      <formula>0.5</formula>
    </cfRule>
  </conditionalFormatting>
  <conditionalFormatting sqref="AT82">
    <cfRule type="cellIs" dxfId="1494" priority="148262" stopIfTrue="1" operator="greaterThanOrEqual">
      <formula>0.5</formula>
    </cfRule>
  </conditionalFormatting>
  <conditionalFormatting sqref="AT83">
    <cfRule type="cellIs" dxfId="1493" priority="148263" stopIfTrue="1" operator="equal">
      <formula>-1</formula>
    </cfRule>
  </conditionalFormatting>
  <conditionalFormatting sqref="AT83">
    <cfRule type="cellIs" dxfId="1492" priority="148264" stopIfTrue="1" operator="lessThan">
      <formula>0.5</formula>
    </cfRule>
  </conditionalFormatting>
  <conditionalFormatting sqref="AT83">
    <cfRule type="cellIs" dxfId="1491" priority="148265" stopIfTrue="1" operator="greaterThanOrEqual">
      <formula>0.5</formula>
    </cfRule>
  </conditionalFormatting>
  <conditionalFormatting sqref="AT84">
    <cfRule type="cellIs" dxfId="1490" priority="148266" stopIfTrue="1" operator="equal">
      <formula>-1</formula>
    </cfRule>
  </conditionalFormatting>
  <conditionalFormatting sqref="AT84">
    <cfRule type="cellIs" dxfId="1489" priority="148267" stopIfTrue="1" operator="lessThan">
      <formula>0.5</formula>
    </cfRule>
  </conditionalFormatting>
  <conditionalFormatting sqref="AT84">
    <cfRule type="cellIs" dxfId="1488" priority="148268" stopIfTrue="1" operator="greaterThanOrEqual">
      <formula>0.5</formula>
    </cfRule>
  </conditionalFormatting>
  <conditionalFormatting sqref="AT85">
    <cfRule type="cellIs" dxfId="1487" priority="148269" stopIfTrue="1" operator="equal">
      <formula>-1</formula>
    </cfRule>
  </conditionalFormatting>
  <conditionalFormatting sqref="AT85">
    <cfRule type="cellIs" dxfId="1486" priority="148270" stopIfTrue="1" operator="lessThan">
      <formula>0.5</formula>
    </cfRule>
  </conditionalFormatting>
  <conditionalFormatting sqref="AT85">
    <cfRule type="cellIs" dxfId="1485" priority="148271" stopIfTrue="1" operator="greaterThanOrEqual">
      <formula>0.5</formula>
    </cfRule>
  </conditionalFormatting>
  <conditionalFormatting sqref="AV65">
    <cfRule type="cellIs" dxfId="1484" priority="148272" stopIfTrue="1" operator="equal">
      <formula>-1</formula>
    </cfRule>
  </conditionalFormatting>
  <conditionalFormatting sqref="AV65">
    <cfRule type="cellIs" dxfId="1483" priority="148273" stopIfTrue="1" operator="lessThan">
      <formula>0.5</formula>
    </cfRule>
  </conditionalFormatting>
  <conditionalFormatting sqref="AV65">
    <cfRule type="cellIs" dxfId="1482" priority="148274" stopIfTrue="1" operator="greaterThanOrEqual">
      <formula>0.5</formula>
    </cfRule>
  </conditionalFormatting>
  <conditionalFormatting sqref="AV66">
    <cfRule type="cellIs" dxfId="1481" priority="148275" stopIfTrue="1" operator="equal">
      <formula>-1</formula>
    </cfRule>
  </conditionalFormatting>
  <conditionalFormatting sqref="AV66">
    <cfRule type="cellIs" dxfId="1480" priority="148276" stopIfTrue="1" operator="lessThan">
      <formula>0.5</formula>
    </cfRule>
  </conditionalFormatting>
  <conditionalFormatting sqref="AV66">
    <cfRule type="cellIs" dxfId="1479" priority="148277" stopIfTrue="1" operator="greaterThanOrEqual">
      <formula>0.5</formula>
    </cfRule>
  </conditionalFormatting>
  <conditionalFormatting sqref="AV67">
    <cfRule type="cellIs" dxfId="1478" priority="148278" stopIfTrue="1" operator="equal">
      <formula>-1</formula>
    </cfRule>
  </conditionalFormatting>
  <conditionalFormatting sqref="AV67">
    <cfRule type="cellIs" dxfId="1477" priority="148279" stopIfTrue="1" operator="lessThan">
      <formula>0.5</formula>
    </cfRule>
  </conditionalFormatting>
  <conditionalFormatting sqref="AV67">
    <cfRule type="cellIs" dxfId="1476" priority="148280" stopIfTrue="1" operator="greaterThanOrEqual">
      <formula>0.5</formula>
    </cfRule>
  </conditionalFormatting>
  <conditionalFormatting sqref="AV68">
    <cfRule type="cellIs" dxfId="1475" priority="148281" stopIfTrue="1" operator="equal">
      <formula>-1</formula>
    </cfRule>
  </conditionalFormatting>
  <conditionalFormatting sqref="AV68">
    <cfRule type="cellIs" dxfId="1474" priority="148282" stopIfTrue="1" operator="lessThan">
      <formula>0.5</formula>
    </cfRule>
  </conditionalFormatting>
  <conditionalFormatting sqref="AV68">
    <cfRule type="cellIs" dxfId="1473" priority="148283" stopIfTrue="1" operator="greaterThanOrEqual">
      <formula>0.5</formula>
    </cfRule>
  </conditionalFormatting>
  <conditionalFormatting sqref="AV69">
    <cfRule type="cellIs" dxfId="1472" priority="148284" stopIfTrue="1" operator="equal">
      <formula>-1</formula>
    </cfRule>
  </conditionalFormatting>
  <conditionalFormatting sqref="AV69">
    <cfRule type="cellIs" dxfId="1471" priority="148285" stopIfTrue="1" operator="lessThan">
      <formula>0.5</formula>
    </cfRule>
  </conditionalFormatting>
  <conditionalFormatting sqref="AV69">
    <cfRule type="cellIs" dxfId="1470" priority="148286" stopIfTrue="1" operator="greaterThanOrEqual">
      <formula>0.5</formula>
    </cfRule>
  </conditionalFormatting>
  <conditionalFormatting sqref="AV70">
    <cfRule type="cellIs" dxfId="1469" priority="148287" stopIfTrue="1" operator="equal">
      <formula>-1</formula>
    </cfRule>
  </conditionalFormatting>
  <conditionalFormatting sqref="AV70">
    <cfRule type="cellIs" dxfId="1468" priority="148288" stopIfTrue="1" operator="lessThan">
      <formula>0.5</formula>
    </cfRule>
  </conditionalFormatting>
  <conditionalFormatting sqref="AV70">
    <cfRule type="cellIs" dxfId="1467" priority="148289" stopIfTrue="1" operator="greaterThanOrEqual">
      <formula>0.5</formula>
    </cfRule>
  </conditionalFormatting>
  <conditionalFormatting sqref="AV71">
    <cfRule type="cellIs" dxfId="1466" priority="148290" stopIfTrue="1" operator="equal">
      <formula>-1</formula>
    </cfRule>
  </conditionalFormatting>
  <conditionalFormatting sqref="AV71">
    <cfRule type="cellIs" dxfId="1465" priority="148291" stopIfTrue="1" operator="lessThan">
      <formula>0.5</formula>
    </cfRule>
  </conditionalFormatting>
  <conditionalFormatting sqref="AV71">
    <cfRule type="cellIs" dxfId="1464" priority="148292" stopIfTrue="1" operator="greaterThanOrEqual">
      <formula>0.5</formula>
    </cfRule>
  </conditionalFormatting>
  <conditionalFormatting sqref="AV72">
    <cfRule type="cellIs" dxfId="1463" priority="148293" stopIfTrue="1" operator="equal">
      <formula>-1</formula>
    </cfRule>
  </conditionalFormatting>
  <conditionalFormatting sqref="AV72">
    <cfRule type="cellIs" dxfId="1462" priority="148294" stopIfTrue="1" operator="lessThan">
      <formula>0.5</formula>
    </cfRule>
  </conditionalFormatting>
  <conditionalFormatting sqref="AV72">
    <cfRule type="cellIs" dxfId="1461" priority="148295" stopIfTrue="1" operator="greaterThanOrEqual">
      <formula>0.5</formula>
    </cfRule>
  </conditionalFormatting>
  <conditionalFormatting sqref="AV73">
    <cfRule type="cellIs" dxfId="1460" priority="148296" stopIfTrue="1" operator="equal">
      <formula>-1</formula>
    </cfRule>
  </conditionalFormatting>
  <conditionalFormatting sqref="AV73">
    <cfRule type="cellIs" dxfId="1459" priority="148297" stopIfTrue="1" operator="lessThan">
      <formula>0.5</formula>
    </cfRule>
  </conditionalFormatting>
  <conditionalFormatting sqref="AV73">
    <cfRule type="cellIs" dxfId="1458" priority="148298" stopIfTrue="1" operator="greaterThanOrEqual">
      <formula>0.5</formula>
    </cfRule>
  </conditionalFormatting>
  <conditionalFormatting sqref="AV74">
    <cfRule type="cellIs" dxfId="1457" priority="148299" stopIfTrue="1" operator="equal">
      <formula>-1</formula>
    </cfRule>
  </conditionalFormatting>
  <conditionalFormatting sqref="AV74">
    <cfRule type="cellIs" dxfId="1456" priority="148300" stopIfTrue="1" operator="lessThan">
      <formula>0.5</formula>
    </cfRule>
  </conditionalFormatting>
  <conditionalFormatting sqref="AV74">
    <cfRule type="cellIs" dxfId="1455" priority="148301" stopIfTrue="1" operator="greaterThanOrEqual">
      <formula>0.5</formula>
    </cfRule>
  </conditionalFormatting>
  <conditionalFormatting sqref="AV75">
    <cfRule type="cellIs" dxfId="1454" priority="148302" stopIfTrue="1" operator="equal">
      <formula>-1</formula>
    </cfRule>
  </conditionalFormatting>
  <conditionalFormatting sqref="AV75">
    <cfRule type="cellIs" dxfId="1453" priority="148303" stopIfTrue="1" operator="lessThan">
      <formula>0.5</formula>
    </cfRule>
  </conditionalFormatting>
  <conditionalFormatting sqref="AV75">
    <cfRule type="cellIs" dxfId="1452" priority="148304" stopIfTrue="1" operator="greaterThanOrEqual">
      <formula>0.5</formula>
    </cfRule>
  </conditionalFormatting>
  <conditionalFormatting sqref="AV76">
    <cfRule type="cellIs" dxfId="1451" priority="148305" stopIfTrue="1" operator="equal">
      <formula>-1</formula>
    </cfRule>
  </conditionalFormatting>
  <conditionalFormatting sqref="AV76">
    <cfRule type="cellIs" dxfId="1450" priority="148306" stopIfTrue="1" operator="lessThan">
      <formula>0.5</formula>
    </cfRule>
  </conditionalFormatting>
  <conditionalFormatting sqref="AV76">
    <cfRule type="cellIs" dxfId="1449" priority="148307" stopIfTrue="1" operator="greaterThanOrEqual">
      <formula>0.5</formula>
    </cfRule>
  </conditionalFormatting>
  <conditionalFormatting sqref="AV77">
    <cfRule type="cellIs" dxfId="1448" priority="148308" stopIfTrue="1" operator="equal">
      <formula>-1</formula>
    </cfRule>
  </conditionalFormatting>
  <conditionalFormatting sqref="AV77">
    <cfRule type="cellIs" dxfId="1447" priority="148309" stopIfTrue="1" operator="lessThan">
      <formula>0.5</formula>
    </cfRule>
  </conditionalFormatting>
  <conditionalFormatting sqref="AV77">
    <cfRule type="cellIs" dxfId="1446" priority="148310" stopIfTrue="1" operator="greaterThanOrEqual">
      <formula>0.5</formula>
    </cfRule>
  </conditionalFormatting>
  <conditionalFormatting sqref="AV78">
    <cfRule type="cellIs" dxfId="1445" priority="148311" stopIfTrue="1" operator="equal">
      <formula>-1</formula>
    </cfRule>
  </conditionalFormatting>
  <conditionalFormatting sqref="AV78">
    <cfRule type="cellIs" dxfId="1444" priority="148312" stopIfTrue="1" operator="lessThan">
      <formula>0.5</formula>
    </cfRule>
  </conditionalFormatting>
  <conditionalFormatting sqref="AV78">
    <cfRule type="cellIs" dxfId="1443" priority="148313" stopIfTrue="1" operator="greaterThanOrEqual">
      <formula>0.5</formula>
    </cfRule>
  </conditionalFormatting>
  <conditionalFormatting sqref="AV79">
    <cfRule type="cellIs" dxfId="1442" priority="148314" stopIfTrue="1" operator="equal">
      <formula>-1</formula>
    </cfRule>
  </conditionalFormatting>
  <conditionalFormatting sqref="AV79">
    <cfRule type="cellIs" dxfId="1441" priority="148315" stopIfTrue="1" operator="lessThan">
      <formula>0.5</formula>
    </cfRule>
  </conditionalFormatting>
  <conditionalFormatting sqref="AV79">
    <cfRule type="cellIs" dxfId="1440" priority="148316" stopIfTrue="1" operator="greaterThanOrEqual">
      <formula>0.5</formula>
    </cfRule>
  </conditionalFormatting>
  <conditionalFormatting sqref="AV80">
    <cfRule type="cellIs" dxfId="1439" priority="148317" stopIfTrue="1" operator="equal">
      <formula>-1</formula>
    </cfRule>
  </conditionalFormatting>
  <conditionalFormatting sqref="AV80">
    <cfRule type="cellIs" dxfId="1438" priority="148318" stopIfTrue="1" operator="lessThan">
      <formula>0.5</formula>
    </cfRule>
  </conditionalFormatting>
  <conditionalFormatting sqref="AV80">
    <cfRule type="cellIs" dxfId="1437" priority="148319" stopIfTrue="1" operator="greaterThanOrEqual">
      <formula>0.5</formula>
    </cfRule>
  </conditionalFormatting>
  <conditionalFormatting sqref="AV81">
    <cfRule type="cellIs" dxfId="1436" priority="148320" stopIfTrue="1" operator="equal">
      <formula>-1</formula>
    </cfRule>
  </conditionalFormatting>
  <conditionalFormatting sqref="AV81">
    <cfRule type="cellIs" dxfId="1435" priority="148321" stopIfTrue="1" operator="lessThan">
      <formula>0.5</formula>
    </cfRule>
  </conditionalFormatting>
  <conditionalFormatting sqref="AV81">
    <cfRule type="cellIs" dxfId="1434" priority="148322" stopIfTrue="1" operator="greaterThanOrEqual">
      <formula>0.5</formula>
    </cfRule>
  </conditionalFormatting>
  <conditionalFormatting sqref="AV82">
    <cfRule type="cellIs" dxfId="1433" priority="148323" stopIfTrue="1" operator="equal">
      <formula>-1</formula>
    </cfRule>
  </conditionalFormatting>
  <conditionalFormatting sqref="AV82">
    <cfRule type="cellIs" dxfId="1432" priority="148324" stopIfTrue="1" operator="lessThan">
      <formula>0.5</formula>
    </cfRule>
  </conditionalFormatting>
  <conditionalFormatting sqref="AV82">
    <cfRule type="cellIs" dxfId="1431" priority="148325" stopIfTrue="1" operator="greaterThanOrEqual">
      <formula>0.5</formula>
    </cfRule>
  </conditionalFormatting>
  <conditionalFormatting sqref="AV83">
    <cfRule type="cellIs" dxfId="1430" priority="148326" stopIfTrue="1" operator="equal">
      <formula>-1</formula>
    </cfRule>
  </conditionalFormatting>
  <conditionalFormatting sqref="AV83">
    <cfRule type="cellIs" dxfId="1429" priority="148327" stopIfTrue="1" operator="lessThan">
      <formula>0.5</formula>
    </cfRule>
  </conditionalFormatting>
  <conditionalFormatting sqref="AV83">
    <cfRule type="cellIs" dxfId="1428" priority="148328" stopIfTrue="1" operator="greaterThanOrEqual">
      <formula>0.5</formula>
    </cfRule>
  </conditionalFormatting>
  <conditionalFormatting sqref="AV84">
    <cfRule type="cellIs" dxfId="1427" priority="148329" stopIfTrue="1" operator="equal">
      <formula>-1</formula>
    </cfRule>
  </conditionalFormatting>
  <conditionalFormatting sqref="AV84">
    <cfRule type="cellIs" dxfId="1426" priority="148330" stopIfTrue="1" operator="lessThan">
      <formula>0.5</formula>
    </cfRule>
  </conditionalFormatting>
  <conditionalFormatting sqref="AV84">
    <cfRule type="cellIs" dxfId="1425" priority="148331" stopIfTrue="1" operator="greaterThanOrEqual">
      <formula>0.5</formula>
    </cfRule>
  </conditionalFormatting>
  <conditionalFormatting sqref="AV85">
    <cfRule type="cellIs" dxfId="1424" priority="148332" stopIfTrue="1" operator="equal">
      <formula>-1</formula>
    </cfRule>
  </conditionalFormatting>
  <conditionalFormatting sqref="AV85">
    <cfRule type="cellIs" dxfId="1423" priority="148333" stopIfTrue="1" operator="lessThan">
      <formula>0.5</formula>
    </cfRule>
  </conditionalFormatting>
  <conditionalFormatting sqref="AV85">
    <cfRule type="cellIs" dxfId="1422" priority="148334" stopIfTrue="1" operator="greaterThanOrEqual">
      <formula>0.5</formula>
    </cfRule>
  </conditionalFormatting>
  <conditionalFormatting sqref="AX65">
    <cfRule type="cellIs" dxfId="1421" priority="148335" stopIfTrue="1" operator="equal">
      <formula>-1</formula>
    </cfRule>
  </conditionalFormatting>
  <conditionalFormatting sqref="AX65">
    <cfRule type="cellIs" dxfId="1420" priority="148336" stopIfTrue="1" operator="lessThan">
      <formula>0.5</formula>
    </cfRule>
  </conditionalFormatting>
  <conditionalFormatting sqref="AX65">
    <cfRule type="cellIs" dxfId="1419" priority="148337" stopIfTrue="1" operator="greaterThanOrEqual">
      <formula>0.5</formula>
    </cfRule>
  </conditionalFormatting>
  <conditionalFormatting sqref="AX66">
    <cfRule type="cellIs" dxfId="1418" priority="148338" stopIfTrue="1" operator="equal">
      <formula>-1</formula>
    </cfRule>
  </conditionalFormatting>
  <conditionalFormatting sqref="AX66">
    <cfRule type="cellIs" dxfId="1417" priority="148339" stopIfTrue="1" operator="lessThan">
      <formula>0.5</formula>
    </cfRule>
  </conditionalFormatting>
  <conditionalFormatting sqref="AX66">
    <cfRule type="cellIs" dxfId="1416" priority="148340" stopIfTrue="1" operator="greaterThanOrEqual">
      <formula>0.5</formula>
    </cfRule>
  </conditionalFormatting>
  <conditionalFormatting sqref="AX67">
    <cfRule type="cellIs" dxfId="1415" priority="148341" stopIfTrue="1" operator="equal">
      <formula>-1</formula>
    </cfRule>
  </conditionalFormatting>
  <conditionalFormatting sqref="AX67">
    <cfRule type="cellIs" dxfId="1414" priority="148342" stopIfTrue="1" operator="lessThan">
      <formula>0.5</formula>
    </cfRule>
  </conditionalFormatting>
  <conditionalFormatting sqref="AX67">
    <cfRule type="cellIs" dxfId="1413" priority="148343" stopIfTrue="1" operator="greaterThanOrEqual">
      <formula>0.5</formula>
    </cfRule>
  </conditionalFormatting>
  <conditionalFormatting sqref="AX68">
    <cfRule type="cellIs" dxfId="1412" priority="148344" stopIfTrue="1" operator="equal">
      <formula>-1</formula>
    </cfRule>
  </conditionalFormatting>
  <conditionalFormatting sqref="AX68">
    <cfRule type="cellIs" dxfId="1411" priority="148345" stopIfTrue="1" operator="lessThan">
      <formula>0.5</formula>
    </cfRule>
  </conditionalFormatting>
  <conditionalFormatting sqref="AX68">
    <cfRule type="cellIs" dxfId="1410" priority="148346" stopIfTrue="1" operator="greaterThanOrEqual">
      <formula>0.5</formula>
    </cfRule>
  </conditionalFormatting>
  <conditionalFormatting sqref="AX69">
    <cfRule type="cellIs" dxfId="1409" priority="148347" stopIfTrue="1" operator="equal">
      <formula>-1</formula>
    </cfRule>
  </conditionalFormatting>
  <conditionalFormatting sqref="AX69">
    <cfRule type="cellIs" dxfId="1408" priority="148348" stopIfTrue="1" operator="lessThan">
      <formula>0.5</formula>
    </cfRule>
  </conditionalFormatting>
  <conditionalFormatting sqref="AX69">
    <cfRule type="cellIs" dxfId="1407" priority="148349" stopIfTrue="1" operator="greaterThanOrEqual">
      <formula>0.5</formula>
    </cfRule>
  </conditionalFormatting>
  <conditionalFormatting sqref="AX70">
    <cfRule type="cellIs" dxfId="1406" priority="148350" stopIfTrue="1" operator="equal">
      <formula>-1</formula>
    </cfRule>
  </conditionalFormatting>
  <conditionalFormatting sqref="AX70">
    <cfRule type="cellIs" dxfId="1405" priority="148351" stopIfTrue="1" operator="lessThan">
      <formula>0.5</formula>
    </cfRule>
  </conditionalFormatting>
  <conditionalFormatting sqref="AX70">
    <cfRule type="cellIs" dxfId="1404" priority="148352" stopIfTrue="1" operator="greaterThanOrEqual">
      <formula>0.5</formula>
    </cfRule>
  </conditionalFormatting>
  <conditionalFormatting sqref="AX71">
    <cfRule type="cellIs" dxfId="1403" priority="148353" stopIfTrue="1" operator="equal">
      <formula>-1</formula>
    </cfRule>
  </conditionalFormatting>
  <conditionalFormatting sqref="AX71">
    <cfRule type="cellIs" dxfId="1402" priority="148354" stopIfTrue="1" operator="lessThan">
      <formula>0.5</formula>
    </cfRule>
  </conditionalFormatting>
  <conditionalFormatting sqref="AX71">
    <cfRule type="cellIs" dxfId="1401" priority="148355" stopIfTrue="1" operator="greaterThanOrEqual">
      <formula>0.5</formula>
    </cfRule>
  </conditionalFormatting>
  <conditionalFormatting sqref="AX72">
    <cfRule type="cellIs" dxfId="1400" priority="148356" stopIfTrue="1" operator="equal">
      <formula>-1</formula>
    </cfRule>
  </conditionalFormatting>
  <conditionalFormatting sqref="AX72">
    <cfRule type="cellIs" dxfId="1399" priority="148357" stopIfTrue="1" operator="lessThan">
      <formula>0.5</formula>
    </cfRule>
  </conditionalFormatting>
  <conditionalFormatting sqref="AX72">
    <cfRule type="cellIs" dxfId="1398" priority="148358" stopIfTrue="1" operator="greaterThanOrEqual">
      <formula>0.5</formula>
    </cfRule>
  </conditionalFormatting>
  <conditionalFormatting sqref="AX73">
    <cfRule type="cellIs" dxfId="1397" priority="148359" stopIfTrue="1" operator="equal">
      <formula>-1</formula>
    </cfRule>
  </conditionalFormatting>
  <conditionalFormatting sqref="AX73">
    <cfRule type="cellIs" dxfId="1396" priority="148360" stopIfTrue="1" operator="lessThan">
      <formula>0.5</formula>
    </cfRule>
  </conditionalFormatting>
  <conditionalFormatting sqref="AX73">
    <cfRule type="cellIs" dxfId="1395" priority="148361" stopIfTrue="1" operator="greaterThanOrEqual">
      <formula>0.5</formula>
    </cfRule>
  </conditionalFormatting>
  <conditionalFormatting sqref="AX74">
    <cfRule type="cellIs" dxfId="1394" priority="148362" stopIfTrue="1" operator="equal">
      <formula>-1</formula>
    </cfRule>
  </conditionalFormatting>
  <conditionalFormatting sqref="AX74">
    <cfRule type="cellIs" dxfId="1393" priority="148363" stopIfTrue="1" operator="lessThan">
      <formula>0.5</formula>
    </cfRule>
  </conditionalFormatting>
  <conditionalFormatting sqref="AX74">
    <cfRule type="cellIs" dxfId="1392" priority="148364" stopIfTrue="1" operator="greaterThanOrEqual">
      <formula>0.5</formula>
    </cfRule>
  </conditionalFormatting>
  <conditionalFormatting sqref="AX75">
    <cfRule type="cellIs" dxfId="1391" priority="148365" stopIfTrue="1" operator="equal">
      <formula>-1</formula>
    </cfRule>
  </conditionalFormatting>
  <conditionalFormatting sqref="AX75">
    <cfRule type="cellIs" dxfId="1390" priority="148366" stopIfTrue="1" operator="lessThan">
      <formula>0.5</formula>
    </cfRule>
  </conditionalFormatting>
  <conditionalFormatting sqref="AX75">
    <cfRule type="cellIs" dxfId="1389" priority="148367" stopIfTrue="1" operator="greaterThanOrEqual">
      <formula>0.5</formula>
    </cfRule>
  </conditionalFormatting>
  <conditionalFormatting sqref="AX76">
    <cfRule type="cellIs" dxfId="1388" priority="148368" stopIfTrue="1" operator="equal">
      <formula>-1</formula>
    </cfRule>
  </conditionalFormatting>
  <conditionalFormatting sqref="AX76">
    <cfRule type="cellIs" dxfId="1387" priority="148369" stopIfTrue="1" operator="lessThan">
      <formula>0.5</formula>
    </cfRule>
  </conditionalFormatting>
  <conditionalFormatting sqref="AX76">
    <cfRule type="cellIs" dxfId="1386" priority="148370" stopIfTrue="1" operator="greaterThanOrEqual">
      <formula>0.5</formula>
    </cfRule>
  </conditionalFormatting>
  <conditionalFormatting sqref="AX77">
    <cfRule type="cellIs" dxfId="1385" priority="148371" stopIfTrue="1" operator="equal">
      <formula>-1</formula>
    </cfRule>
  </conditionalFormatting>
  <conditionalFormatting sqref="AX77">
    <cfRule type="cellIs" dxfId="1384" priority="148372" stopIfTrue="1" operator="lessThan">
      <formula>0.5</formula>
    </cfRule>
  </conditionalFormatting>
  <conditionalFormatting sqref="AX77">
    <cfRule type="cellIs" dxfId="1383" priority="148373" stopIfTrue="1" operator="greaterThanOrEqual">
      <formula>0.5</formula>
    </cfRule>
  </conditionalFormatting>
  <conditionalFormatting sqref="AX78">
    <cfRule type="cellIs" dxfId="1382" priority="148374" stopIfTrue="1" operator="equal">
      <formula>-1</formula>
    </cfRule>
  </conditionalFormatting>
  <conditionalFormatting sqref="AX78">
    <cfRule type="cellIs" dxfId="1381" priority="148375" stopIfTrue="1" operator="lessThan">
      <formula>0.5</formula>
    </cfRule>
  </conditionalFormatting>
  <conditionalFormatting sqref="AX78">
    <cfRule type="cellIs" dxfId="1380" priority="148376" stopIfTrue="1" operator="greaterThanOrEqual">
      <formula>0.5</formula>
    </cfRule>
  </conditionalFormatting>
  <conditionalFormatting sqref="AX79">
    <cfRule type="cellIs" dxfId="1379" priority="148377" stopIfTrue="1" operator="equal">
      <formula>-1</formula>
    </cfRule>
  </conditionalFormatting>
  <conditionalFormatting sqref="AX79">
    <cfRule type="cellIs" dxfId="1378" priority="148378" stopIfTrue="1" operator="lessThan">
      <formula>0.5</formula>
    </cfRule>
  </conditionalFormatting>
  <conditionalFormatting sqref="AX79">
    <cfRule type="cellIs" dxfId="1377" priority="148379" stopIfTrue="1" operator="greaterThanOrEqual">
      <formula>0.5</formula>
    </cfRule>
  </conditionalFormatting>
  <conditionalFormatting sqref="AX80">
    <cfRule type="cellIs" dxfId="1376" priority="148380" stopIfTrue="1" operator="equal">
      <formula>-1</formula>
    </cfRule>
  </conditionalFormatting>
  <conditionalFormatting sqref="AX80">
    <cfRule type="cellIs" dxfId="1375" priority="148381" stopIfTrue="1" operator="lessThan">
      <formula>0.5</formula>
    </cfRule>
  </conditionalFormatting>
  <conditionalFormatting sqref="AX80">
    <cfRule type="cellIs" dxfId="1374" priority="148382" stopIfTrue="1" operator="greaterThanOrEqual">
      <formula>0.5</formula>
    </cfRule>
  </conditionalFormatting>
  <conditionalFormatting sqref="AX81">
    <cfRule type="cellIs" dxfId="1373" priority="148383" stopIfTrue="1" operator="equal">
      <formula>-1</formula>
    </cfRule>
  </conditionalFormatting>
  <conditionalFormatting sqref="AX81">
    <cfRule type="cellIs" dxfId="1372" priority="148384" stopIfTrue="1" operator="lessThan">
      <formula>0.5</formula>
    </cfRule>
  </conditionalFormatting>
  <conditionalFormatting sqref="AX81">
    <cfRule type="cellIs" dxfId="1371" priority="148385" stopIfTrue="1" operator="greaterThanOrEqual">
      <formula>0.5</formula>
    </cfRule>
  </conditionalFormatting>
  <conditionalFormatting sqref="AX82">
    <cfRule type="cellIs" dxfId="1370" priority="148386" stopIfTrue="1" operator="equal">
      <formula>-1</formula>
    </cfRule>
  </conditionalFormatting>
  <conditionalFormatting sqref="AX82">
    <cfRule type="cellIs" dxfId="1369" priority="148387" stopIfTrue="1" operator="lessThan">
      <formula>0.5</formula>
    </cfRule>
  </conditionalFormatting>
  <conditionalFormatting sqref="AX82">
    <cfRule type="cellIs" dxfId="1368" priority="148388" stopIfTrue="1" operator="greaterThanOrEqual">
      <formula>0.5</formula>
    </cfRule>
  </conditionalFormatting>
  <conditionalFormatting sqref="AX83">
    <cfRule type="cellIs" dxfId="1367" priority="148389" stopIfTrue="1" operator="equal">
      <formula>-1</formula>
    </cfRule>
  </conditionalFormatting>
  <conditionalFormatting sqref="AX83">
    <cfRule type="cellIs" dxfId="1366" priority="148390" stopIfTrue="1" operator="lessThan">
      <formula>0.5</formula>
    </cfRule>
  </conditionalFormatting>
  <conditionalFormatting sqref="AX83">
    <cfRule type="cellIs" dxfId="1365" priority="148391" stopIfTrue="1" operator="greaterThanOrEqual">
      <formula>0.5</formula>
    </cfRule>
  </conditionalFormatting>
  <conditionalFormatting sqref="AX84">
    <cfRule type="cellIs" dxfId="1364" priority="148392" stopIfTrue="1" operator="equal">
      <formula>-1</formula>
    </cfRule>
  </conditionalFormatting>
  <conditionalFormatting sqref="AX84">
    <cfRule type="cellIs" dxfId="1363" priority="148393" stopIfTrue="1" operator="lessThan">
      <formula>0.5</formula>
    </cfRule>
  </conditionalFormatting>
  <conditionalFormatting sqref="AX84">
    <cfRule type="cellIs" dxfId="1362" priority="148394" stopIfTrue="1" operator="greaterThanOrEqual">
      <formula>0.5</formula>
    </cfRule>
  </conditionalFormatting>
  <conditionalFormatting sqref="AX85">
    <cfRule type="cellIs" dxfId="1361" priority="148395" stopIfTrue="1" operator="equal">
      <formula>-1</formula>
    </cfRule>
  </conditionalFormatting>
  <conditionalFormatting sqref="AX85">
    <cfRule type="cellIs" dxfId="1360" priority="148396" stopIfTrue="1" operator="lessThan">
      <formula>0.5</formula>
    </cfRule>
  </conditionalFormatting>
  <conditionalFormatting sqref="AX85">
    <cfRule type="cellIs" dxfId="1359" priority="148397" stopIfTrue="1" operator="greaterThanOrEqual">
      <formula>0.5</formula>
    </cfRule>
  </conditionalFormatting>
  <conditionalFormatting sqref="AZ65">
    <cfRule type="cellIs" dxfId="1358" priority="148398" stopIfTrue="1" operator="equal">
      <formula>-1</formula>
    </cfRule>
  </conditionalFormatting>
  <conditionalFormatting sqref="AZ65">
    <cfRule type="cellIs" dxfId="1357" priority="148399" stopIfTrue="1" operator="lessThan">
      <formula>0.5</formula>
    </cfRule>
  </conditionalFormatting>
  <conditionalFormatting sqref="AZ65">
    <cfRule type="cellIs" dxfId="1356" priority="148400" stopIfTrue="1" operator="greaterThanOrEqual">
      <formula>0.5</formula>
    </cfRule>
  </conditionalFormatting>
  <conditionalFormatting sqref="AZ66">
    <cfRule type="cellIs" dxfId="1355" priority="148401" stopIfTrue="1" operator="equal">
      <formula>-1</formula>
    </cfRule>
  </conditionalFormatting>
  <conditionalFormatting sqref="AZ66">
    <cfRule type="cellIs" dxfId="1354" priority="148402" stopIfTrue="1" operator="lessThan">
      <formula>0.5</formula>
    </cfRule>
  </conditionalFormatting>
  <conditionalFormatting sqref="AZ66">
    <cfRule type="cellIs" dxfId="1353" priority="148403" stopIfTrue="1" operator="greaterThanOrEqual">
      <formula>0.5</formula>
    </cfRule>
  </conditionalFormatting>
  <conditionalFormatting sqref="AZ67">
    <cfRule type="cellIs" dxfId="1352" priority="148404" stopIfTrue="1" operator="equal">
      <formula>-1</formula>
    </cfRule>
  </conditionalFormatting>
  <conditionalFormatting sqref="AZ67">
    <cfRule type="cellIs" dxfId="1351" priority="148405" stopIfTrue="1" operator="lessThan">
      <formula>0.5</formula>
    </cfRule>
  </conditionalFormatting>
  <conditionalFormatting sqref="AZ67">
    <cfRule type="cellIs" dxfId="1350" priority="148406" stopIfTrue="1" operator="greaterThanOrEqual">
      <formula>0.5</formula>
    </cfRule>
  </conditionalFormatting>
  <conditionalFormatting sqref="AZ68">
    <cfRule type="cellIs" dxfId="1349" priority="148407" stopIfTrue="1" operator="equal">
      <formula>-1</formula>
    </cfRule>
  </conditionalFormatting>
  <conditionalFormatting sqref="AZ68">
    <cfRule type="cellIs" dxfId="1348" priority="148408" stopIfTrue="1" operator="lessThan">
      <formula>0.5</formula>
    </cfRule>
  </conditionalFormatting>
  <conditionalFormatting sqref="AZ68">
    <cfRule type="cellIs" dxfId="1347" priority="148409" stopIfTrue="1" operator="greaterThanOrEqual">
      <formula>0.5</formula>
    </cfRule>
  </conditionalFormatting>
  <conditionalFormatting sqref="AZ69">
    <cfRule type="cellIs" dxfId="1346" priority="148410" stopIfTrue="1" operator="equal">
      <formula>-1</formula>
    </cfRule>
  </conditionalFormatting>
  <conditionalFormatting sqref="AZ69">
    <cfRule type="cellIs" dxfId="1345" priority="148411" stopIfTrue="1" operator="lessThan">
      <formula>0.5</formula>
    </cfRule>
  </conditionalFormatting>
  <conditionalFormatting sqref="AZ69">
    <cfRule type="cellIs" dxfId="1344" priority="148412" stopIfTrue="1" operator="greaterThanOrEqual">
      <formula>0.5</formula>
    </cfRule>
  </conditionalFormatting>
  <conditionalFormatting sqref="AZ70">
    <cfRule type="cellIs" dxfId="1343" priority="148413" stopIfTrue="1" operator="equal">
      <formula>-1</formula>
    </cfRule>
  </conditionalFormatting>
  <conditionalFormatting sqref="AZ70">
    <cfRule type="cellIs" dxfId="1342" priority="148414" stopIfTrue="1" operator="lessThan">
      <formula>0.5</formula>
    </cfRule>
  </conditionalFormatting>
  <conditionalFormatting sqref="AZ70">
    <cfRule type="cellIs" dxfId="1341" priority="148415" stopIfTrue="1" operator="greaterThanOrEqual">
      <formula>0.5</formula>
    </cfRule>
  </conditionalFormatting>
  <conditionalFormatting sqref="AZ71">
    <cfRule type="cellIs" dxfId="1340" priority="148416" stopIfTrue="1" operator="equal">
      <formula>-1</formula>
    </cfRule>
  </conditionalFormatting>
  <conditionalFormatting sqref="AZ71">
    <cfRule type="cellIs" dxfId="1339" priority="148417" stopIfTrue="1" operator="lessThan">
      <formula>0.5</formula>
    </cfRule>
  </conditionalFormatting>
  <conditionalFormatting sqref="AZ71">
    <cfRule type="cellIs" dxfId="1338" priority="148418" stopIfTrue="1" operator="greaterThanOrEqual">
      <formula>0.5</formula>
    </cfRule>
  </conditionalFormatting>
  <conditionalFormatting sqref="AZ72">
    <cfRule type="cellIs" dxfId="1337" priority="148419" stopIfTrue="1" operator="equal">
      <formula>-1</formula>
    </cfRule>
  </conditionalFormatting>
  <conditionalFormatting sqref="AZ72">
    <cfRule type="cellIs" dxfId="1336" priority="148420" stopIfTrue="1" operator="lessThan">
      <formula>0.5</formula>
    </cfRule>
  </conditionalFormatting>
  <conditionalFormatting sqref="AZ72">
    <cfRule type="cellIs" dxfId="1335" priority="148421" stopIfTrue="1" operator="greaterThanOrEqual">
      <formula>0.5</formula>
    </cfRule>
  </conditionalFormatting>
  <conditionalFormatting sqref="AZ73">
    <cfRule type="cellIs" dxfId="1334" priority="148422" stopIfTrue="1" operator="equal">
      <formula>-1</formula>
    </cfRule>
  </conditionalFormatting>
  <conditionalFormatting sqref="AZ73">
    <cfRule type="cellIs" dxfId="1333" priority="148423" stopIfTrue="1" operator="lessThan">
      <formula>0.5</formula>
    </cfRule>
  </conditionalFormatting>
  <conditionalFormatting sqref="AZ73">
    <cfRule type="cellIs" dxfId="1332" priority="148424" stopIfTrue="1" operator="greaterThanOrEqual">
      <formula>0.5</formula>
    </cfRule>
  </conditionalFormatting>
  <conditionalFormatting sqref="AZ74">
    <cfRule type="cellIs" dxfId="1331" priority="148425" stopIfTrue="1" operator="equal">
      <formula>-1</formula>
    </cfRule>
  </conditionalFormatting>
  <conditionalFormatting sqref="AZ74">
    <cfRule type="cellIs" dxfId="1330" priority="148426" stopIfTrue="1" operator="lessThan">
      <formula>0.5</formula>
    </cfRule>
  </conditionalFormatting>
  <conditionalFormatting sqref="AZ74">
    <cfRule type="cellIs" dxfId="1329" priority="148427" stopIfTrue="1" operator="greaterThanOrEqual">
      <formula>0.5</formula>
    </cfRule>
  </conditionalFormatting>
  <conditionalFormatting sqref="AZ75">
    <cfRule type="cellIs" dxfId="1328" priority="148428" stopIfTrue="1" operator="equal">
      <formula>-1</formula>
    </cfRule>
  </conditionalFormatting>
  <conditionalFormatting sqref="AZ75">
    <cfRule type="cellIs" dxfId="1327" priority="148429" stopIfTrue="1" operator="lessThan">
      <formula>0.5</formula>
    </cfRule>
  </conditionalFormatting>
  <conditionalFormatting sqref="AZ75">
    <cfRule type="cellIs" dxfId="1326" priority="148430" stopIfTrue="1" operator="greaterThanOrEqual">
      <formula>0.5</formula>
    </cfRule>
  </conditionalFormatting>
  <conditionalFormatting sqref="AZ76">
    <cfRule type="cellIs" dxfId="1325" priority="148431" stopIfTrue="1" operator="equal">
      <formula>-1</formula>
    </cfRule>
  </conditionalFormatting>
  <conditionalFormatting sqref="AZ76">
    <cfRule type="cellIs" dxfId="1324" priority="148432" stopIfTrue="1" operator="lessThan">
      <formula>0.5</formula>
    </cfRule>
  </conditionalFormatting>
  <conditionalFormatting sqref="AZ76">
    <cfRule type="cellIs" dxfId="1323" priority="148433" stopIfTrue="1" operator="greaterThanOrEqual">
      <formula>0.5</formula>
    </cfRule>
  </conditionalFormatting>
  <conditionalFormatting sqref="AZ77">
    <cfRule type="cellIs" dxfId="1322" priority="148434" stopIfTrue="1" operator="equal">
      <formula>-1</formula>
    </cfRule>
  </conditionalFormatting>
  <conditionalFormatting sqref="AZ77">
    <cfRule type="cellIs" dxfId="1321" priority="148435" stopIfTrue="1" operator="lessThan">
      <formula>0.5</formula>
    </cfRule>
  </conditionalFormatting>
  <conditionalFormatting sqref="AZ77">
    <cfRule type="cellIs" dxfId="1320" priority="148436" stopIfTrue="1" operator="greaterThanOrEqual">
      <formula>0.5</formula>
    </cfRule>
  </conditionalFormatting>
  <conditionalFormatting sqref="AZ78">
    <cfRule type="cellIs" dxfId="1319" priority="148437" stopIfTrue="1" operator="equal">
      <formula>-1</formula>
    </cfRule>
  </conditionalFormatting>
  <conditionalFormatting sqref="AZ78">
    <cfRule type="cellIs" dxfId="1318" priority="148438" stopIfTrue="1" operator="lessThan">
      <formula>0.5</formula>
    </cfRule>
  </conditionalFormatting>
  <conditionalFormatting sqref="AZ78">
    <cfRule type="cellIs" dxfId="1317" priority="148439" stopIfTrue="1" operator="greaterThanOrEqual">
      <formula>0.5</formula>
    </cfRule>
  </conditionalFormatting>
  <conditionalFormatting sqref="AZ79">
    <cfRule type="cellIs" dxfId="1316" priority="148440" stopIfTrue="1" operator="equal">
      <formula>-1</formula>
    </cfRule>
  </conditionalFormatting>
  <conditionalFormatting sqref="AZ79">
    <cfRule type="cellIs" dxfId="1315" priority="148441" stopIfTrue="1" operator="lessThan">
      <formula>0.5</formula>
    </cfRule>
  </conditionalFormatting>
  <conditionalFormatting sqref="AZ79">
    <cfRule type="cellIs" dxfId="1314" priority="148442" stopIfTrue="1" operator="greaterThanOrEqual">
      <formula>0.5</formula>
    </cfRule>
  </conditionalFormatting>
  <conditionalFormatting sqref="AZ80">
    <cfRule type="cellIs" dxfId="1313" priority="148443" stopIfTrue="1" operator="equal">
      <formula>-1</formula>
    </cfRule>
  </conditionalFormatting>
  <conditionalFormatting sqref="AZ80">
    <cfRule type="cellIs" dxfId="1312" priority="148444" stopIfTrue="1" operator="lessThan">
      <formula>0.5</formula>
    </cfRule>
  </conditionalFormatting>
  <conditionalFormatting sqref="AZ80">
    <cfRule type="cellIs" dxfId="1311" priority="148445" stopIfTrue="1" operator="greaterThanOrEqual">
      <formula>0.5</formula>
    </cfRule>
  </conditionalFormatting>
  <conditionalFormatting sqref="AZ81">
    <cfRule type="cellIs" dxfId="1310" priority="148446" stopIfTrue="1" operator="equal">
      <formula>-1</formula>
    </cfRule>
  </conditionalFormatting>
  <conditionalFormatting sqref="AZ81">
    <cfRule type="cellIs" dxfId="1309" priority="148447" stopIfTrue="1" operator="lessThan">
      <formula>0.5</formula>
    </cfRule>
  </conditionalFormatting>
  <conditionalFormatting sqref="AZ81">
    <cfRule type="cellIs" dxfId="1308" priority="148448" stopIfTrue="1" operator="greaterThanOrEqual">
      <formula>0.5</formula>
    </cfRule>
  </conditionalFormatting>
  <conditionalFormatting sqref="AZ82">
    <cfRule type="cellIs" dxfId="1307" priority="148449" stopIfTrue="1" operator="equal">
      <formula>-1</formula>
    </cfRule>
  </conditionalFormatting>
  <conditionalFormatting sqref="AZ82">
    <cfRule type="cellIs" dxfId="1306" priority="148450" stopIfTrue="1" operator="lessThan">
      <formula>0.5</formula>
    </cfRule>
  </conditionalFormatting>
  <conditionalFormatting sqref="AZ82">
    <cfRule type="cellIs" dxfId="1305" priority="148451" stopIfTrue="1" operator="greaterThanOrEqual">
      <formula>0.5</formula>
    </cfRule>
  </conditionalFormatting>
  <conditionalFormatting sqref="AZ83">
    <cfRule type="cellIs" dxfId="1304" priority="148452" stopIfTrue="1" operator="equal">
      <formula>-1</formula>
    </cfRule>
  </conditionalFormatting>
  <conditionalFormatting sqref="AZ83">
    <cfRule type="cellIs" dxfId="1303" priority="148453" stopIfTrue="1" operator="lessThan">
      <formula>0.5</formula>
    </cfRule>
  </conditionalFormatting>
  <conditionalFormatting sqref="AZ83">
    <cfRule type="cellIs" dxfId="1302" priority="148454" stopIfTrue="1" operator="greaterThanOrEqual">
      <formula>0.5</formula>
    </cfRule>
  </conditionalFormatting>
  <conditionalFormatting sqref="AZ84">
    <cfRule type="cellIs" dxfId="1301" priority="148455" stopIfTrue="1" operator="equal">
      <formula>-1</formula>
    </cfRule>
  </conditionalFormatting>
  <conditionalFormatting sqref="AZ84">
    <cfRule type="cellIs" dxfId="1300" priority="148456" stopIfTrue="1" operator="lessThan">
      <formula>0.5</formula>
    </cfRule>
  </conditionalFormatting>
  <conditionalFormatting sqref="AZ84">
    <cfRule type="cellIs" dxfId="1299" priority="148457" stopIfTrue="1" operator="greaterThanOrEqual">
      <formula>0.5</formula>
    </cfRule>
  </conditionalFormatting>
  <conditionalFormatting sqref="AZ85">
    <cfRule type="cellIs" dxfId="1298" priority="148458" stopIfTrue="1" operator="equal">
      <formula>-1</formula>
    </cfRule>
  </conditionalFormatting>
  <conditionalFormatting sqref="AZ85">
    <cfRule type="cellIs" dxfId="1297" priority="148459" stopIfTrue="1" operator="lessThan">
      <formula>0.5</formula>
    </cfRule>
  </conditionalFormatting>
  <conditionalFormatting sqref="AZ85">
    <cfRule type="cellIs" dxfId="1296" priority="148460" stopIfTrue="1" operator="greaterThanOrEqual">
      <formula>0.5</formula>
    </cfRule>
  </conditionalFormatting>
  <conditionalFormatting sqref="BB65">
    <cfRule type="cellIs" dxfId="1295" priority="148461" stopIfTrue="1" operator="equal">
      <formula>-1</formula>
    </cfRule>
  </conditionalFormatting>
  <conditionalFormatting sqref="BB65">
    <cfRule type="cellIs" dxfId="1294" priority="148462" stopIfTrue="1" operator="lessThan">
      <formula>0.5</formula>
    </cfRule>
  </conditionalFormatting>
  <conditionalFormatting sqref="BB65">
    <cfRule type="cellIs" dxfId="1293" priority="148463" stopIfTrue="1" operator="greaterThanOrEqual">
      <formula>0.5</formula>
    </cfRule>
  </conditionalFormatting>
  <conditionalFormatting sqref="BB66">
    <cfRule type="cellIs" dxfId="1292" priority="148464" stopIfTrue="1" operator="equal">
      <formula>-1</formula>
    </cfRule>
  </conditionalFormatting>
  <conditionalFormatting sqref="BB66">
    <cfRule type="cellIs" dxfId="1291" priority="148465" stopIfTrue="1" operator="lessThan">
      <formula>0.5</formula>
    </cfRule>
  </conditionalFormatting>
  <conditionalFormatting sqref="BB66">
    <cfRule type="cellIs" dxfId="1290" priority="148466" stopIfTrue="1" operator="greaterThanOrEqual">
      <formula>0.5</formula>
    </cfRule>
  </conditionalFormatting>
  <conditionalFormatting sqref="BB67">
    <cfRule type="cellIs" dxfId="1289" priority="148467" stopIfTrue="1" operator="equal">
      <formula>-1</formula>
    </cfRule>
  </conditionalFormatting>
  <conditionalFormatting sqref="BB67">
    <cfRule type="cellIs" dxfId="1288" priority="148468" stopIfTrue="1" operator="lessThan">
      <formula>0.5</formula>
    </cfRule>
  </conditionalFormatting>
  <conditionalFormatting sqref="BB67">
    <cfRule type="cellIs" dxfId="1287" priority="148469" stopIfTrue="1" operator="greaterThanOrEqual">
      <formula>0.5</formula>
    </cfRule>
  </conditionalFormatting>
  <conditionalFormatting sqref="BB68">
    <cfRule type="cellIs" dxfId="1286" priority="148470" stopIfTrue="1" operator="equal">
      <formula>-1</formula>
    </cfRule>
  </conditionalFormatting>
  <conditionalFormatting sqref="BB68">
    <cfRule type="cellIs" dxfId="1285" priority="148471" stopIfTrue="1" operator="lessThan">
      <formula>0.5</formula>
    </cfRule>
  </conditionalFormatting>
  <conditionalFormatting sqref="BB68">
    <cfRule type="cellIs" dxfId="1284" priority="148472" stopIfTrue="1" operator="greaterThanOrEqual">
      <formula>0.5</formula>
    </cfRule>
  </conditionalFormatting>
  <conditionalFormatting sqref="BB69">
    <cfRule type="cellIs" dxfId="1283" priority="148473" stopIfTrue="1" operator="equal">
      <formula>-1</formula>
    </cfRule>
  </conditionalFormatting>
  <conditionalFormatting sqref="BB69">
    <cfRule type="cellIs" dxfId="1282" priority="148474" stopIfTrue="1" operator="lessThan">
      <formula>0.5</formula>
    </cfRule>
  </conditionalFormatting>
  <conditionalFormatting sqref="BB69">
    <cfRule type="cellIs" dxfId="1281" priority="148475" stopIfTrue="1" operator="greaterThanOrEqual">
      <formula>0.5</formula>
    </cfRule>
  </conditionalFormatting>
  <conditionalFormatting sqref="BB70">
    <cfRule type="cellIs" dxfId="1280" priority="148476" stopIfTrue="1" operator="equal">
      <formula>-1</formula>
    </cfRule>
  </conditionalFormatting>
  <conditionalFormatting sqref="BB70">
    <cfRule type="cellIs" dxfId="1279" priority="148477" stopIfTrue="1" operator="lessThan">
      <formula>0.5</formula>
    </cfRule>
  </conditionalFormatting>
  <conditionalFormatting sqref="BB70">
    <cfRule type="cellIs" dxfId="1278" priority="148478" stopIfTrue="1" operator="greaterThanOrEqual">
      <formula>0.5</formula>
    </cfRule>
  </conditionalFormatting>
  <conditionalFormatting sqref="BB71">
    <cfRule type="cellIs" dxfId="1277" priority="148479" stopIfTrue="1" operator="equal">
      <formula>-1</formula>
    </cfRule>
  </conditionalFormatting>
  <conditionalFormatting sqref="BB71">
    <cfRule type="cellIs" dxfId="1276" priority="148480" stopIfTrue="1" operator="lessThan">
      <formula>0.5</formula>
    </cfRule>
  </conditionalFormatting>
  <conditionalFormatting sqref="BB71">
    <cfRule type="cellIs" dxfId="1275" priority="148481" stopIfTrue="1" operator="greaterThanOrEqual">
      <formula>0.5</formula>
    </cfRule>
  </conditionalFormatting>
  <conditionalFormatting sqref="BB72">
    <cfRule type="cellIs" dxfId="1274" priority="148482" stopIfTrue="1" operator="equal">
      <formula>-1</formula>
    </cfRule>
  </conditionalFormatting>
  <conditionalFormatting sqref="BB72">
    <cfRule type="cellIs" dxfId="1273" priority="148483" stopIfTrue="1" operator="lessThan">
      <formula>0.5</formula>
    </cfRule>
  </conditionalFormatting>
  <conditionalFormatting sqref="BB72">
    <cfRule type="cellIs" dxfId="1272" priority="148484" stopIfTrue="1" operator="greaterThanOrEqual">
      <formula>0.5</formula>
    </cfRule>
  </conditionalFormatting>
  <conditionalFormatting sqref="BB73">
    <cfRule type="cellIs" dxfId="1271" priority="148485" stopIfTrue="1" operator="equal">
      <formula>-1</formula>
    </cfRule>
  </conditionalFormatting>
  <conditionalFormatting sqref="BB73">
    <cfRule type="cellIs" dxfId="1270" priority="148486" stopIfTrue="1" operator="lessThan">
      <formula>0.5</formula>
    </cfRule>
  </conditionalFormatting>
  <conditionalFormatting sqref="BB73">
    <cfRule type="cellIs" dxfId="1269" priority="148487" stopIfTrue="1" operator="greaterThanOrEqual">
      <formula>0.5</formula>
    </cfRule>
  </conditionalFormatting>
  <conditionalFormatting sqref="BB74">
    <cfRule type="cellIs" dxfId="1268" priority="148488" stopIfTrue="1" operator="equal">
      <formula>-1</formula>
    </cfRule>
  </conditionalFormatting>
  <conditionalFormatting sqref="BB74">
    <cfRule type="cellIs" dxfId="1267" priority="148489" stopIfTrue="1" operator="lessThan">
      <formula>0.5</formula>
    </cfRule>
  </conditionalFormatting>
  <conditionalFormatting sqref="BB74">
    <cfRule type="cellIs" dxfId="1266" priority="148490" stopIfTrue="1" operator="greaterThanOrEqual">
      <formula>0.5</formula>
    </cfRule>
  </conditionalFormatting>
  <conditionalFormatting sqref="BB75">
    <cfRule type="cellIs" dxfId="1265" priority="148491" stopIfTrue="1" operator="equal">
      <formula>-1</formula>
    </cfRule>
  </conditionalFormatting>
  <conditionalFormatting sqref="BB75">
    <cfRule type="cellIs" dxfId="1264" priority="148492" stopIfTrue="1" operator="lessThan">
      <formula>0.5</formula>
    </cfRule>
  </conditionalFormatting>
  <conditionalFormatting sqref="BB75">
    <cfRule type="cellIs" dxfId="1263" priority="148493" stopIfTrue="1" operator="greaterThanOrEqual">
      <formula>0.5</formula>
    </cfRule>
  </conditionalFormatting>
  <conditionalFormatting sqref="BB76">
    <cfRule type="cellIs" dxfId="1262" priority="148494" stopIfTrue="1" operator="equal">
      <formula>-1</formula>
    </cfRule>
  </conditionalFormatting>
  <conditionalFormatting sqref="BB76">
    <cfRule type="cellIs" dxfId="1261" priority="148495" stopIfTrue="1" operator="lessThan">
      <formula>0.5</formula>
    </cfRule>
  </conditionalFormatting>
  <conditionalFormatting sqref="BB76">
    <cfRule type="cellIs" dxfId="1260" priority="148496" stopIfTrue="1" operator="greaterThanOrEqual">
      <formula>0.5</formula>
    </cfRule>
  </conditionalFormatting>
  <conditionalFormatting sqref="BB77">
    <cfRule type="cellIs" dxfId="1259" priority="148497" stopIfTrue="1" operator="equal">
      <formula>-1</formula>
    </cfRule>
  </conditionalFormatting>
  <conditionalFormatting sqref="BB77">
    <cfRule type="cellIs" dxfId="1258" priority="148498" stopIfTrue="1" operator="lessThan">
      <formula>0.5</formula>
    </cfRule>
  </conditionalFormatting>
  <conditionalFormatting sqref="BB77">
    <cfRule type="cellIs" dxfId="1257" priority="148499" stopIfTrue="1" operator="greaterThanOrEqual">
      <formula>0.5</formula>
    </cfRule>
  </conditionalFormatting>
  <conditionalFormatting sqref="BB78">
    <cfRule type="cellIs" dxfId="1256" priority="148500" stopIfTrue="1" operator="equal">
      <formula>-1</formula>
    </cfRule>
  </conditionalFormatting>
  <conditionalFormatting sqref="BB78">
    <cfRule type="cellIs" dxfId="1255" priority="148501" stopIfTrue="1" operator="lessThan">
      <formula>0.5</formula>
    </cfRule>
  </conditionalFormatting>
  <conditionalFormatting sqref="BB78">
    <cfRule type="cellIs" dxfId="1254" priority="148502" stopIfTrue="1" operator="greaterThanOrEqual">
      <formula>0.5</formula>
    </cfRule>
  </conditionalFormatting>
  <conditionalFormatting sqref="BB79">
    <cfRule type="cellIs" dxfId="1253" priority="148503" stopIfTrue="1" operator="equal">
      <formula>-1</formula>
    </cfRule>
  </conditionalFormatting>
  <conditionalFormatting sqref="BB79">
    <cfRule type="cellIs" dxfId="1252" priority="148504" stopIfTrue="1" operator="lessThan">
      <formula>0.5</formula>
    </cfRule>
  </conditionalFormatting>
  <conditionalFormatting sqref="BB79">
    <cfRule type="cellIs" dxfId="1251" priority="148505" stopIfTrue="1" operator="greaterThanOrEqual">
      <formula>0.5</formula>
    </cfRule>
  </conditionalFormatting>
  <conditionalFormatting sqref="BB80">
    <cfRule type="cellIs" dxfId="1250" priority="148506" stopIfTrue="1" operator="equal">
      <formula>-1</formula>
    </cfRule>
  </conditionalFormatting>
  <conditionalFormatting sqref="BB80">
    <cfRule type="cellIs" dxfId="1249" priority="148507" stopIfTrue="1" operator="lessThan">
      <formula>0.5</formula>
    </cfRule>
  </conditionalFormatting>
  <conditionalFormatting sqref="BB80">
    <cfRule type="cellIs" dxfId="1248" priority="148508" stopIfTrue="1" operator="greaterThanOrEqual">
      <formula>0.5</formula>
    </cfRule>
  </conditionalFormatting>
  <conditionalFormatting sqref="BB81">
    <cfRule type="cellIs" dxfId="1247" priority="148509" stopIfTrue="1" operator="equal">
      <formula>-1</formula>
    </cfRule>
  </conditionalFormatting>
  <conditionalFormatting sqref="BB81">
    <cfRule type="cellIs" dxfId="1246" priority="148510" stopIfTrue="1" operator="lessThan">
      <formula>0.5</formula>
    </cfRule>
  </conditionalFormatting>
  <conditionalFormatting sqref="BB81">
    <cfRule type="cellIs" dxfId="1245" priority="148511" stopIfTrue="1" operator="greaterThanOrEqual">
      <formula>0.5</formula>
    </cfRule>
  </conditionalFormatting>
  <conditionalFormatting sqref="BB82">
    <cfRule type="cellIs" dxfId="1244" priority="148512" stopIfTrue="1" operator="equal">
      <formula>-1</formula>
    </cfRule>
  </conditionalFormatting>
  <conditionalFormatting sqref="BB82">
    <cfRule type="cellIs" dxfId="1243" priority="148513" stopIfTrue="1" operator="lessThan">
      <formula>0.5</formula>
    </cfRule>
  </conditionalFormatting>
  <conditionalFormatting sqref="BB82">
    <cfRule type="cellIs" dxfId="1242" priority="148514" stopIfTrue="1" operator="greaterThanOrEqual">
      <formula>0.5</formula>
    </cfRule>
  </conditionalFormatting>
  <conditionalFormatting sqref="BB83">
    <cfRule type="cellIs" dxfId="1241" priority="148515" stopIfTrue="1" operator="equal">
      <formula>-1</formula>
    </cfRule>
  </conditionalFormatting>
  <conditionalFormatting sqref="BB83">
    <cfRule type="cellIs" dxfId="1240" priority="148516" stopIfTrue="1" operator="lessThan">
      <formula>0.5</formula>
    </cfRule>
  </conditionalFormatting>
  <conditionalFormatting sqref="BB83">
    <cfRule type="cellIs" dxfId="1239" priority="148517" stopIfTrue="1" operator="greaterThanOrEqual">
      <formula>0.5</formula>
    </cfRule>
  </conditionalFormatting>
  <conditionalFormatting sqref="BB84">
    <cfRule type="cellIs" dxfId="1238" priority="148518" stopIfTrue="1" operator="equal">
      <formula>-1</formula>
    </cfRule>
  </conditionalFormatting>
  <conditionalFormatting sqref="BB84">
    <cfRule type="cellIs" dxfId="1237" priority="148519" stopIfTrue="1" operator="lessThan">
      <formula>0.5</formula>
    </cfRule>
  </conditionalFormatting>
  <conditionalFormatting sqref="BB84">
    <cfRule type="cellIs" dxfId="1236" priority="148520" stopIfTrue="1" operator="greaterThanOrEqual">
      <formula>0.5</formula>
    </cfRule>
  </conditionalFormatting>
  <conditionalFormatting sqref="BB85">
    <cfRule type="cellIs" dxfId="1235" priority="148521" stopIfTrue="1" operator="equal">
      <formula>-1</formula>
    </cfRule>
  </conditionalFormatting>
  <conditionalFormatting sqref="BB85">
    <cfRule type="cellIs" dxfId="1234" priority="148522" stopIfTrue="1" operator="lessThan">
      <formula>0.5</formula>
    </cfRule>
  </conditionalFormatting>
  <conditionalFormatting sqref="BB85">
    <cfRule type="cellIs" dxfId="1233" priority="148523" stopIfTrue="1" operator="greaterThanOrEqual">
      <formula>0.5</formula>
    </cfRule>
  </conditionalFormatting>
  <conditionalFormatting sqref="BD65">
    <cfRule type="cellIs" dxfId="1232" priority="148524" stopIfTrue="1" operator="equal">
      <formula>-1</formula>
    </cfRule>
  </conditionalFormatting>
  <conditionalFormatting sqref="BD65">
    <cfRule type="cellIs" dxfId="1231" priority="148525" stopIfTrue="1" operator="lessThan">
      <formula>0.5</formula>
    </cfRule>
  </conditionalFormatting>
  <conditionalFormatting sqref="BD65">
    <cfRule type="cellIs" dxfId="1230" priority="148526" stopIfTrue="1" operator="greaterThanOrEqual">
      <formula>0.5</formula>
    </cfRule>
  </conditionalFormatting>
  <conditionalFormatting sqref="BD66">
    <cfRule type="cellIs" dxfId="1229" priority="148527" stopIfTrue="1" operator="equal">
      <formula>-1</formula>
    </cfRule>
  </conditionalFormatting>
  <conditionalFormatting sqref="BD66">
    <cfRule type="cellIs" dxfId="1228" priority="148528" stopIfTrue="1" operator="lessThan">
      <formula>0.5</formula>
    </cfRule>
  </conditionalFormatting>
  <conditionalFormatting sqref="BD66">
    <cfRule type="cellIs" dxfId="1227" priority="148529" stopIfTrue="1" operator="greaterThanOrEqual">
      <formula>0.5</formula>
    </cfRule>
  </conditionalFormatting>
  <conditionalFormatting sqref="BD67">
    <cfRule type="cellIs" dxfId="1226" priority="148530" stopIfTrue="1" operator="equal">
      <formula>-1</formula>
    </cfRule>
  </conditionalFormatting>
  <conditionalFormatting sqref="BD67">
    <cfRule type="cellIs" dxfId="1225" priority="148531" stopIfTrue="1" operator="lessThan">
      <formula>0.5</formula>
    </cfRule>
  </conditionalFormatting>
  <conditionalFormatting sqref="BD67">
    <cfRule type="cellIs" dxfId="1224" priority="148532" stopIfTrue="1" operator="greaterThanOrEqual">
      <formula>0.5</formula>
    </cfRule>
  </conditionalFormatting>
  <conditionalFormatting sqref="BD68">
    <cfRule type="cellIs" dxfId="1223" priority="148533" stopIfTrue="1" operator="equal">
      <formula>-1</formula>
    </cfRule>
  </conditionalFormatting>
  <conditionalFormatting sqref="BD68">
    <cfRule type="cellIs" dxfId="1222" priority="148534" stopIfTrue="1" operator="lessThan">
      <formula>0.5</formula>
    </cfRule>
  </conditionalFormatting>
  <conditionalFormatting sqref="BD68">
    <cfRule type="cellIs" dxfId="1221" priority="148535" stopIfTrue="1" operator="greaterThanOrEqual">
      <formula>0.5</formula>
    </cfRule>
  </conditionalFormatting>
  <conditionalFormatting sqref="BD69">
    <cfRule type="cellIs" dxfId="1220" priority="148536" stopIfTrue="1" operator="equal">
      <formula>-1</formula>
    </cfRule>
  </conditionalFormatting>
  <conditionalFormatting sqref="BD69">
    <cfRule type="cellIs" dxfId="1219" priority="148537" stopIfTrue="1" operator="lessThan">
      <formula>0.5</formula>
    </cfRule>
  </conditionalFormatting>
  <conditionalFormatting sqref="BD69">
    <cfRule type="cellIs" dxfId="1218" priority="148538" stopIfTrue="1" operator="greaterThanOrEqual">
      <formula>0.5</formula>
    </cfRule>
  </conditionalFormatting>
  <conditionalFormatting sqref="BD70">
    <cfRule type="cellIs" dxfId="1217" priority="148539" stopIfTrue="1" operator="equal">
      <formula>-1</formula>
    </cfRule>
  </conditionalFormatting>
  <conditionalFormatting sqref="BD70">
    <cfRule type="cellIs" dxfId="1216" priority="148540" stopIfTrue="1" operator="lessThan">
      <formula>0.5</formula>
    </cfRule>
  </conditionalFormatting>
  <conditionalFormatting sqref="BD70">
    <cfRule type="cellIs" dxfId="1215" priority="148541" stopIfTrue="1" operator="greaterThanOrEqual">
      <formula>0.5</formula>
    </cfRule>
  </conditionalFormatting>
  <conditionalFormatting sqref="BD71">
    <cfRule type="cellIs" dxfId="1214" priority="148542" stopIfTrue="1" operator="equal">
      <formula>-1</formula>
    </cfRule>
  </conditionalFormatting>
  <conditionalFormatting sqref="BD71">
    <cfRule type="cellIs" dxfId="1213" priority="148543" stopIfTrue="1" operator="lessThan">
      <formula>0.5</formula>
    </cfRule>
  </conditionalFormatting>
  <conditionalFormatting sqref="BD71">
    <cfRule type="cellIs" dxfId="1212" priority="148544" stopIfTrue="1" operator="greaterThanOrEqual">
      <formula>0.5</formula>
    </cfRule>
  </conditionalFormatting>
  <conditionalFormatting sqref="BD72">
    <cfRule type="cellIs" dxfId="1211" priority="148545" stopIfTrue="1" operator="equal">
      <formula>-1</formula>
    </cfRule>
  </conditionalFormatting>
  <conditionalFormatting sqref="BD72">
    <cfRule type="cellIs" dxfId="1210" priority="148546" stopIfTrue="1" operator="lessThan">
      <formula>0.5</formula>
    </cfRule>
  </conditionalFormatting>
  <conditionalFormatting sqref="BD72">
    <cfRule type="cellIs" dxfId="1209" priority="148547" stopIfTrue="1" operator="greaterThanOrEqual">
      <formula>0.5</formula>
    </cfRule>
  </conditionalFormatting>
  <conditionalFormatting sqref="BD73">
    <cfRule type="cellIs" dxfId="1208" priority="148548" stopIfTrue="1" operator="equal">
      <formula>-1</formula>
    </cfRule>
  </conditionalFormatting>
  <conditionalFormatting sqref="BD73">
    <cfRule type="cellIs" dxfId="1207" priority="148549" stopIfTrue="1" operator="lessThan">
      <formula>0.5</formula>
    </cfRule>
  </conditionalFormatting>
  <conditionalFormatting sqref="BD73">
    <cfRule type="cellIs" dxfId="1206" priority="148550" stopIfTrue="1" operator="greaterThanOrEqual">
      <formula>0.5</formula>
    </cfRule>
  </conditionalFormatting>
  <conditionalFormatting sqref="BD74">
    <cfRule type="cellIs" dxfId="1205" priority="148551" stopIfTrue="1" operator="equal">
      <formula>-1</formula>
    </cfRule>
  </conditionalFormatting>
  <conditionalFormatting sqref="BD74">
    <cfRule type="cellIs" dxfId="1204" priority="148552" stopIfTrue="1" operator="lessThan">
      <formula>0.5</formula>
    </cfRule>
  </conditionalFormatting>
  <conditionalFormatting sqref="BD74">
    <cfRule type="cellIs" dxfId="1203" priority="148553" stopIfTrue="1" operator="greaterThanOrEqual">
      <formula>0.5</formula>
    </cfRule>
  </conditionalFormatting>
  <conditionalFormatting sqref="BD75">
    <cfRule type="cellIs" dxfId="1202" priority="148554" stopIfTrue="1" operator="equal">
      <formula>-1</formula>
    </cfRule>
  </conditionalFormatting>
  <conditionalFormatting sqref="BD75">
    <cfRule type="cellIs" dxfId="1201" priority="148555" stopIfTrue="1" operator="lessThan">
      <formula>0.5</formula>
    </cfRule>
  </conditionalFormatting>
  <conditionalFormatting sqref="BD75">
    <cfRule type="cellIs" dxfId="1200" priority="148556" stopIfTrue="1" operator="greaterThanOrEqual">
      <formula>0.5</formula>
    </cfRule>
  </conditionalFormatting>
  <conditionalFormatting sqref="BD76">
    <cfRule type="cellIs" dxfId="1199" priority="148557" stopIfTrue="1" operator="equal">
      <formula>-1</formula>
    </cfRule>
  </conditionalFormatting>
  <conditionalFormatting sqref="BD76">
    <cfRule type="cellIs" dxfId="1198" priority="148558" stopIfTrue="1" operator="lessThan">
      <formula>0.5</formula>
    </cfRule>
  </conditionalFormatting>
  <conditionalFormatting sqref="BD76">
    <cfRule type="cellIs" dxfId="1197" priority="148559" stopIfTrue="1" operator="greaterThanOrEqual">
      <formula>0.5</formula>
    </cfRule>
  </conditionalFormatting>
  <conditionalFormatting sqref="BD77">
    <cfRule type="cellIs" dxfId="1196" priority="148560" stopIfTrue="1" operator="equal">
      <formula>-1</formula>
    </cfRule>
  </conditionalFormatting>
  <conditionalFormatting sqref="BD77">
    <cfRule type="cellIs" dxfId="1195" priority="148561" stopIfTrue="1" operator="lessThan">
      <formula>0.5</formula>
    </cfRule>
  </conditionalFormatting>
  <conditionalFormatting sqref="BD77">
    <cfRule type="cellIs" dxfId="1194" priority="148562" stopIfTrue="1" operator="greaterThanOrEqual">
      <formula>0.5</formula>
    </cfRule>
  </conditionalFormatting>
  <conditionalFormatting sqref="BD78">
    <cfRule type="cellIs" dxfId="1193" priority="148563" stopIfTrue="1" operator="equal">
      <formula>-1</formula>
    </cfRule>
  </conditionalFormatting>
  <conditionalFormatting sqref="BD78">
    <cfRule type="cellIs" dxfId="1192" priority="148564" stopIfTrue="1" operator="lessThan">
      <formula>0.5</formula>
    </cfRule>
  </conditionalFormatting>
  <conditionalFormatting sqref="BD78">
    <cfRule type="cellIs" dxfId="1191" priority="148565" stopIfTrue="1" operator="greaterThanOrEqual">
      <formula>0.5</formula>
    </cfRule>
  </conditionalFormatting>
  <conditionalFormatting sqref="BD79">
    <cfRule type="cellIs" dxfId="1190" priority="148566" stopIfTrue="1" operator="equal">
      <formula>-1</formula>
    </cfRule>
  </conditionalFormatting>
  <conditionalFormatting sqref="BD79">
    <cfRule type="cellIs" dxfId="1189" priority="148567" stopIfTrue="1" operator="lessThan">
      <formula>0.5</formula>
    </cfRule>
  </conditionalFormatting>
  <conditionalFormatting sqref="BD79">
    <cfRule type="cellIs" dxfId="1188" priority="148568" stopIfTrue="1" operator="greaterThanOrEqual">
      <formula>0.5</formula>
    </cfRule>
  </conditionalFormatting>
  <conditionalFormatting sqref="BD80">
    <cfRule type="cellIs" dxfId="1187" priority="148569" stopIfTrue="1" operator="equal">
      <formula>-1</formula>
    </cfRule>
  </conditionalFormatting>
  <conditionalFormatting sqref="BD80">
    <cfRule type="cellIs" dxfId="1186" priority="148570" stopIfTrue="1" operator="lessThan">
      <formula>0.5</formula>
    </cfRule>
  </conditionalFormatting>
  <conditionalFormatting sqref="BD80">
    <cfRule type="cellIs" dxfId="1185" priority="148571" stopIfTrue="1" operator="greaterThanOrEqual">
      <formula>0.5</formula>
    </cfRule>
  </conditionalFormatting>
  <conditionalFormatting sqref="BD81">
    <cfRule type="cellIs" dxfId="1184" priority="148572" stopIfTrue="1" operator="equal">
      <formula>-1</formula>
    </cfRule>
  </conditionalFormatting>
  <conditionalFormatting sqref="BD81">
    <cfRule type="cellIs" dxfId="1183" priority="148573" stopIfTrue="1" operator="lessThan">
      <formula>0.5</formula>
    </cfRule>
  </conditionalFormatting>
  <conditionalFormatting sqref="BD81">
    <cfRule type="cellIs" dxfId="1182" priority="148574" stopIfTrue="1" operator="greaterThanOrEqual">
      <formula>0.5</formula>
    </cfRule>
  </conditionalFormatting>
  <conditionalFormatting sqref="BD82">
    <cfRule type="cellIs" dxfId="1181" priority="148575" stopIfTrue="1" operator="equal">
      <formula>-1</formula>
    </cfRule>
  </conditionalFormatting>
  <conditionalFormatting sqref="BD82">
    <cfRule type="cellIs" dxfId="1180" priority="148576" stopIfTrue="1" operator="lessThan">
      <formula>0.5</formula>
    </cfRule>
  </conditionalFormatting>
  <conditionalFormatting sqref="BD82">
    <cfRule type="cellIs" dxfId="1179" priority="148577" stopIfTrue="1" operator="greaterThanOrEqual">
      <formula>0.5</formula>
    </cfRule>
  </conditionalFormatting>
  <conditionalFormatting sqref="BD83">
    <cfRule type="cellIs" dxfId="1178" priority="148578" stopIfTrue="1" operator="equal">
      <formula>-1</formula>
    </cfRule>
  </conditionalFormatting>
  <conditionalFormatting sqref="BD83">
    <cfRule type="cellIs" dxfId="1177" priority="148579" stopIfTrue="1" operator="lessThan">
      <formula>0.5</formula>
    </cfRule>
  </conditionalFormatting>
  <conditionalFormatting sqref="BD83">
    <cfRule type="cellIs" dxfId="1176" priority="148580" stopIfTrue="1" operator="greaterThanOrEqual">
      <formula>0.5</formula>
    </cfRule>
  </conditionalFormatting>
  <conditionalFormatting sqref="BD84">
    <cfRule type="cellIs" dxfId="1175" priority="148581" stopIfTrue="1" operator="equal">
      <formula>-1</formula>
    </cfRule>
  </conditionalFormatting>
  <conditionalFormatting sqref="BD84">
    <cfRule type="cellIs" dxfId="1174" priority="148582" stopIfTrue="1" operator="lessThan">
      <formula>0.5</formula>
    </cfRule>
  </conditionalFormatting>
  <conditionalFormatting sqref="BD84">
    <cfRule type="cellIs" dxfId="1173" priority="148583" stopIfTrue="1" operator="greaterThanOrEqual">
      <formula>0.5</formula>
    </cfRule>
  </conditionalFormatting>
  <conditionalFormatting sqref="BD85">
    <cfRule type="cellIs" dxfId="1172" priority="148584" stopIfTrue="1" operator="equal">
      <formula>-1</formula>
    </cfRule>
  </conditionalFormatting>
  <conditionalFormatting sqref="BD85">
    <cfRule type="cellIs" dxfId="1171" priority="148585" stopIfTrue="1" operator="lessThan">
      <formula>0.5</formula>
    </cfRule>
  </conditionalFormatting>
  <conditionalFormatting sqref="BD85">
    <cfRule type="cellIs" dxfId="1170" priority="148586" stopIfTrue="1" operator="greaterThanOrEqual">
      <formula>0.5</formula>
    </cfRule>
  </conditionalFormatting>
  <conditionalFormatting sqref="BF65">
    <cfRule type="cellIs" dxfId="1169" priority="148587" stopIfTrue="1" operator="equal">
      <formula>-1</formula>
    </cfRule>
  </conditionalFormatting>
  <conditionalFormatting sqref="BF65">
    <cfRule type="cellIs" dxfId="1168" priority="148588" stopIfTrue="1" operator="lessThan">
      <formula>0.5</formula>
    </cfRule>
  </conditionalFormatting>
  <conditionalFormatting sqref="BF65">
    <cfRule type="cellIs" dxfId="1167" priority="148589" stopIfTrue="1" operator="greaterThanOrEqual">
      <formula>0.5</formula>
    </cfRule>
  </conditionalFormatting>
  <conditionalFormatting sqref="BF66">
    <cfRule type="cellIs" dxfId="1166" priority="148590" stopIfTrue="1" operator="equal">
      <formula>-1</formula>
    </cfRule>
  </conditionalFormatting>
  <conditionalFormatting sqref="BF66">
    <cfRule type="cellIs" dxfId="1165" priority="148591" stopIfTrue="1" operator="lessThan">
      <formula>0.5</formula>
    </cfRule>
  </conditionalFormatting>
  <conditionalFormatting sqref="BF66">
    <cfRule type="cellIs" dxfId="1164" priority="148592" stopIfTrue="1" operator="greaterThanOrEqual">
      <formula>0.5</formula>
    </cfRule>
  </conditionalFormatting>
  <conditionalFormatting sqref="BF67">
    <cfRule type="cellIs" dxfId="1163" priority="148593" stopIfTrue="1" operator="equal">
      <formula>-1</formula>
    </cfRule>
  </conditionalFormatting>
  <conditionalFormatting sqref="BF67">
    <cfRule type="cellIs" dxfId="1162" priority="148594" stopIfTrue="1" operator="lessThan">
      <formula>0.5</formula>
    </cfRule>
  </conditionalFormatting>
  <conditionalFormatting sqref="BF67">
    <cfRule type="cellIs" dxfId="1161" priority="148595" stopIfTrue="1" operator="greaterThanOrEqual">
      <formula>0.5</formula>
    </cfRule>
  </conditionalFormatting>
  <conditionalFormatting sqref="BF68">
    <cfRule type="cellIs" dxfId="1160" priority="148596" stopIfTrue="1" operator="equal">
      <formula>-1</formula>
    </cfRule>
  </conditionalFormatting>
  <conditionalFormatting sqref="BF68">
    <cfRule type="cellIs" dxfId="1159" priority="148597" stopIfTrue="1" operator="lessThan">
      <formula>0.5</formula>
    </cfRule>
  </conditionalFormatting>
  <conditionalFormatting sqref="BF68">
    <cfRule type="cellIs" dxfId="1158" priority="148598" stopIfTrue="1" operator="greaterThanOrEqual">
      <formula>0.5</formula>
    </cfRule>
  </conditionalFormatting>
  <conditionalFormatting sqref="BF69">
    <cfRule type="cellIs" dxfId="1157" priority="148599" stopIfTrue="1" operator="equal">
      <formula>-1</formula>
    </cfRule>
  </conditionalFormatting>
  <conditionalFormatting sqref="BF69">
    <cfRule type="cellIs" dxfId="1156" priority="148600" stopIfTrue="1" operator="lessThan">
      <formula>0.5</formula>
    </cfRule>
  </conditionalFormatting>
  <conditionalFormatting sqref="BF69">
    <cfRule type="cellIs" dxfId="1155" priority="148601" stopIfTrue="1" operator="greaterThanOrEqual">
      <formula>0.5</formula>
    </cfRule>
  </conditionalFormatting>
  <conditionalFormatting sqref="BF70">
    <cfRule type="cellIs" dxfId="1154" priority="148602" stopIfTrue="1" operator="equal">
      <formula>-1</formula>
    </cfRule>
  </conditionalFormatting>
  <conditionalFormatting sqref="BF70">
    <cfRule type="cellIs" dxfId="1153" priority="148603" stopIfTrue="1" operator="lessThan">
      <formula>0.5</formula>
    </cfRule>
  </conditionalFormatting>
  <conditionalFormatting sqref="BF70">
    <cfRule type="cellIs" dxfId="1152" priority="148604" stopIfTrue="1" operator="greaterThanOrEqual">
      <formula>0.5</formula>
    </cfRule>
  </conditionalFormatting>
  <conditionalFormatting sqref="BF71">
    <cfRule type="cellIs" dxfId="1151" priority="148605" stopIfTrue="1" operator="equal">
      <formula>-1</formula>
    </cfRule>
  </conditionalFormatting>
  <conditionalFormatting sqref="BF71">
    <cfRule type="cellIs" dxfId="1150" priority="148606" stopIfTrue="1" operator="lessThan">
      <formula>0.5</formula>
    </cfRule>
  </conditionalFormatting>
  <conditionalFormatting sqref="BF71">
    <cfRule type="cellIs" dxfId="1149" priority="148607" stopIfTrue="1" operator="greaterThanOrEqual">
      <formula>0.5</formula>
    </cfRule>
  </conditionalFormatting>
  <conditionalFormatting sqref="BF72">
    <cfRule type="cellIs" dxfId="1148" priority="148608" stopIfTrue="1" operator="equal">
      <formula>-1</formula>
    </cfRule>
  </conditionalFormatting>
  <conditionalFormatting sqref="BF72">
    <cfRule type="cellIs" dxfId="1147" priority="148609" stopIfTrue="1" operator="lessThan">
      <formula>0.5</formula>
    </cfRule>
  </conditionalFormatting>
  <conditionalFormatting sqref="BF72">
    <cfRule type="cellIs" dxfId="1146" priority="148610" stopIfTrue="1" operator="greaterThanOrEqual">
      <formula>0.5</formula>
    </cfRule>
  </conditionalFormatting>
  <conditionalFormatting sqref="BF73">
    <cfRule type="cellIs" dxfId="1145" priority="148611" stopIfTrue="1" operator="equal">
      <formula>-1</formula>
    </cfRule>
  </conditionalFormatting>
  <conditionalFormatting sqref="BF73">
    <cfRule type="cellIs" dxfId="1144" priority="148612" stopIfTrue="1" operator="lessThan">
      <formula>0.5</formula>
    </cfRule>
  </conditionalFormatting>
  <conditionalFormatting sqref="BF73">
    <cfRule type="cellIs" dxfId="1143" priority="148613" stopIfTrue="1" operator="greaterThanOrEqual">
      <formula>0.5</formula>
    </cfRule>
  </conditionalFormatting>
  <conditionalFormatting sqref="BF74">
    <cfRule type="cellIs" dxfId="1142" priority="148614" stopIfTrue="1" operator="equal">
      <formula>-1</formula>
    </cfRule>
  </conditionalFormatting>
  <conditionalFormatting sqref="BF74">
    <cfRule type="cellIs" dxfId="1141" priority="148615" stopIfTrue="1" operator="lessThan">
      <formula>0.5</formula>
    </cfRule>
  </conditionalFormatting>
  <conditionalFormatting sqref="BF74">
    <cfRule type="cellIs" dxfId="1140" priority="148616" stopIfTrue="1" operator="greaterThanOrEqual">
      <formula>0.5</formula>
    </cfRule>
  </conditionalFormatting>
  <conditionalFormatting sqref="BF75">
    <cfRule type="cellIs" dxfId="1139" priority="148617" stopIfTrue="1" operator="equal">
      <formula>-1</formula>
    </cfRule>
  </conditionalFormatting>
  <conditionalFormatting sqref="BF75">
    <cfRule type="cellIs" dxfId="1138" priority="148618" stopIfTrue="1" operator="lessThan">
      <formula>0.5</formula>
    </cfRule>
  </conditionalFormatting>
  <conditionalFormatting sqref="BF75">
    <cfRule type="cellIs" dxfId="1137" priority="148619" stopIfTrue="1" operator="greaterThanOrEqual">
      <formula>0.5</formula>
    </cfRule>
  </conditionalFormatting>
  <conditionalFormatting sqref="BF76">
    <cfRule type="cellIs" dxfId="1136" priority="148620" stopIfTrue="1" operator="equal">
      <formula>-1</formula>
    </cfRule>
  </conditionalFormatting>
  <conditionalFormatting sqref="BF76">
    <cfRule type="cellIs" dxfId="1135" priority="148621" stopIfTrue="1" operator="lessThan">
      <formula>0.5</formula>
    </cfRule>
  </conditionalFormatting>
  <conditionalFormatting sqref="BF76">
    <cfRule type="cellIs" dxfId="1134" priority="148622" stopIfTrue="1" operator="greaterThanOrEqual">
      <formula>0.5</formula>
    </cfRule>
  </conditionalFormatting>
  <conditionalFormatting sqref="BF77">
    <cfRule type="cellIs" dxfId="1133" priority="148623" stopIfTrue="1" operator="equal">
      <formula>-1</formula>
    </cfRule>
  </conditionalFormatting>
  <conditionalFormatting sqref="BF77">
    <cfRule type="cellIs" dxfId="1132" priority="148624" stopIfTrue="1" operator="lessThan">
      <formula>0.5</formula>
    </cfRule>
  </conditionalFormatting>
  <conditionalFormatting sqref="BF77">
    <cfRule type="cellIs" dxfId="1131" priority="148625" stopIfTrue="1" operator="greaterThanOrEqual">
      <formula>0.5</formula>
    </cfRule>
  </conditionalFormatting>
  <conditionalFormatting sqref="BF78">
    <cfRule type="cellIs" dxfId="1130" priority="148626" stopIfTrue="1" operator="equal">
      <formula>-1</formula>
    </cfRule>
  </conditionalFormatting>
  <conditionalFormatting sqref="BF78">
    <cfRule type="cellIs" dxfId="1129" priority="148627" stopIfTrue="1" operator="lessThan">
      <formula>0.5</formula>
    </cfRule>
  </conditionalFormatting>
  <conditionalFormatting sqref="BF78">
    <cfRule type="cellIs" dxfId="1128" priority="148628" stopIfTrue="1" operator="greaterThanOrEqual">
      <formula>0.5</formula>
    </cfRule>
  </conditionalFormatting>
  <conditionalFormatting sqref="BF79">
    <cfRule type="cellIs" dxfId="1127" priority="148629" stopIfTrue="1" operator="equal">
      <formula>-1</formula>
    </cfRule>
  </conditionalFormatting>
  <conditionalFormatting sqref="BF79">
    <cfRule type="cellIs" dxfId="1126" priority="148630" stopIfTrue="1" operator="lessThan">
      <formula>0.5</formula>
    </cfRule>
  </conditionalFormatting>
  <conditionalFormatting sqref="BF79">
    <cfRule type="cellIs" dxfId="1125" priority="148631" stopIfTrue="1" operator="greaterThanOrEqual">
      <formula>0.5</formula>
    </cfRule>
  </conditionalFormatting>
  <conditionalFormatting sqref="BF80">
    <cfRule type="cellIs" dxfId="1124" priority="148632" stopIfTrue="1" operator="equal">
      <formula>-1</formula>
    </cfRule>
  </conditionalFormatting>
  <conditionalFormatting sqref="BF80">
    <cfRule type="cellIs" dxfId="1123" priority="148633" stopIfTrue="1" operator="lessThan">
      <formula>0.5</formula>
    </cfRule>
  </conditionalFormatting>
  <conditionalFormatting sqref="BF80">
    <cfRule type="cellIs" dxfId="1122" priority="148634" stopIfTrue="1" operator="greaterThanOrEqual">
      <formula>0.5</formula>
    </cfRule>
  </conditionalFormatting>
  <conditionalFormatting sqref="BF81">
    <cfRule type="cellIs" dxfId="1121" priority="148635" stopIfTrue="1" operator="equal">
      <formula>-1</formula>
    </cfRule>
  </conditionalFormatting>
  <conditionalFormatting sqref="BF81">
    <cfRule type="cellIs" dxfId="1120" priority="148636" stopIfTrue="1" operator="lessThan">
      <formula>0.5</formula>
    </cfRule>
  </conditionalFormatting>
  <conditionalFormatting sqref="BF81">
    <cfRule type="cellIs" dxfId="1119" priority="148637" stopIfTrue="1" operator="greaterThanOrEqual">
      <formula>0.5</formula>
    </cfRule>
  </conditionalFormatting>
  <conditionalFormatting sqref="BF82">
    <cfRule type="cellIs" dxfId="1118" priority="148638" stopIfTrue="1" operator="equal">
      <formula>-1</formula>
    </cfRule>
  </conditionalFormatting>
  <conditionalFormatting sqref="BF82">
    <cfRule type="cellIs" dxfId="1117" priority="148639" stopIfTrue="1" operator="lessThan">
      <formula>0.5</formula>
    </cfRule>
  </conditionalFormatting>
  <conditionalFormatting sqref="BF82">
    <cfRule type="cellIs" dxfId="1116" priority="148640" stopIfTrue="1" operator="greaterThanOrEqual">
      <formula>0.5</formula>
    </cfRule>
  </conditionalFormatting>
  <conditionalFormatting sqref="BF83">
    <cfRule type="cellIs" dxfId="1115" priority="148641" stopIfTrue="1" operator="equal">
      <formula>-1</formula>
    </cfRule>
  </conditionalFormatting>
  <conditionalFormatting sqref="BF83">
    <cfRule type="cellIs" dxfId="1114" priority="148642" stopIfTrue="1" operator="lessThan">
      <formula>0.5</formula>
    </cfRule>
  </conditionalFormatting>
  <conditionalFormatting sqref="BF83">
    <cfRule type="cellIs" dxfId="1113" priority="148643" stopIfTrue="1" operator="greaterThanOrEqual">
      <formula>0.5</formula>
    </cfRule>
  </conditionalFormatting>
  <conditionalFormatting sqref="BF84">
    <cfRule type="cellIs" dxfId="1112" priority="148644" stopIfTrue="1" operator="equal">
      <formula>-1</formula>
    </cfRule>
  </conditionalFormatting>
  <conditionalFormatting sqref="BF84">
    <cfRule type="cellIs" dxfId="1111" priority="148645" stopIfTrue="1" operator="lessThan">
      <formula>0.5</formula>
    </cfRule>
  </conditionalFormatting>
  <conditionalFormatting sqref="BF84">
    <cfRule type="cellIs" dxfId="1110" priority="148646" stopIfTrue="1" operator="greaterThanOrEqual">
      <formula>0.5</formula>
    </cfRule>
  </conditionalFormatting>
  <conditionalFormatting sqref="BF85">
    <cfRule type="cellIs" dxfId="1109" priority="148647" stopIfTrue="1" operator="equal">
      <formula>-1</formula>
    </cfRule>
  </conditionalFormatting>
  <conditionalFormatting sqref="BF85">
    <cfRule type="cellIs" dxfId="1108" priority="148648" stopIfTrue="1" operator="lessThan">
      <formula>0.5</formula>
    </cfRule>
  </conditionalFormatting>
  <conditionalFormatting sqref="BF85">
    <cfRule type="cellIs" dxfId="1107" priority="148649" stopIfTrue="1" operator="greaterThanOrEqual">
      <formula>0.5</formula>
    </cfRule>
  </conditionalFormatting>
  <conditionalFormatting sqref="BH65">
    <cfRule type="cellIs" dxfId="1106" priority="148650" stopIfTrue="1" operator="equal">
      <formula>-1</formula>
    </cfRule>
  </conditionalFormatting>
  <conditionalFormatting sqref="BH65">
    <cfRule type="cellIs" dxfId="1105" priority="148651" stopIfTrue="1" operator="lessThan">
      <formula>0.5</formula>
    </cfRule>
  </conditionalFormatting>
  <conditionalFormatting sqref="BH65">
    <cfRule type="cellIs" dxfId="1104" priority="148652" stopIfTrue="1" operator="greaterThanOrEqual">
      <formula>0.5</formula>
    </cfRule>
  </conditionalFormatting>
  <conditionalFormatting sqref="BH66">
    <cfRule type="cellIs" dxfId="1103" priority="148653" stopIfTrue="1" operator="equal">
      <formula>-1</formula>
    </cfRule>
  </conditionalFormatting>
  <conditionalFormatting sqref="BH66">
    <cfRule type="cellIs" dxfId="1102" priority="148654" stopIfTrue="1" operator="lessThan">
      <formula>0.5</formula>
    </cfRule>
  </conditionalFormatting>
  <conditionalFormatting sqref="BH66">
    <cfRule type="cellIs" dxfId="1101" priority="148655" stopIfTrue="1" operator="greaterThanOrEqual">
      <formula>0.5</formula>
    </cfRule>
  </conditionalFormatting>
  <conditionalFormatting sqref="BH67">
    <cfRule type="cellIs" dxfId="1100" priority="148656" stopIfTrue="1" operator="equal">
      <formula>-1</formula>
    </cfRule>
  </conditionalFormatting>
  <conditionalFormatting sqref="BH67">
    <cfRule type="cellIs" dxfId="1099" priority="148657" stopIfTrue="1" operator="lessThan">
      <formula>0.5</formula>
    </cfRule>
  </conditionalFormatting>
  <conditionalFormatting sqref="BH67">
    <cfRule type="cellIs" dxfId="1098" priority="148658" stopIfTrue="1" operator="greaterThanOrEqual">
      <formula>0.5</formula>
    </cfRule>
  </conditionalFormatting>
  <conditionalFormatting sqref="BH68">
    <cfRule type="cellIs" dxfId="1097" priority="148659" stopIfTrue="1" operator="equal">
      <formula>-1</formula>
    </cfRule>
  </conditionalFormatting>
  <conditionalFormatting sqref="BH68">
    <cfRule type="cellIs" dxfId="1096" priority="148660" stopIfTrue="1" operator="lessThan">
      <formula>0.5</formula>
    </cfRule>
  </conditionalFormatting>
  <conditionalFormatting sqref="BH68">
    <cfRule type="cellIs" dxfId="1095" priority="148661" stopIfTrue="1" operator="greaterThanOrEqual">
      <formula>0.5</formula>
    </cfRule>
  </conditionalFormatting>
  <conditionalFormatting sqref="BH69">
    <cfRule type="cellIs" dxfId="1094" priority="148662" stopIfTrue="1" operator="equal">
      <formula>-1</formula>
    </cfRule>
  </conditionalFormatting>
  <conditionalFormatting sqref="BH69">
    <cfRule type="cellIs" dxfId="1093" priority="148663" stopIfTrue="1" operator="lessThan">
      <formula>0.5</formula>
    </cfRule>
  </conditionalFormatting>
  <conditionalFormatting sqref="BH69">
    <cfRule type="cellIs" dxfId="1092" priority="148664" stopIfTrue="1" operator="greaterThanOrEqual">
      <formula>0.5</formula>
    </cfRule>
  </conditionalFormatting>
  <conditionalFormatting sqref="BH70">
    <cfRule type="cellIs" dxfId="1091" priority="148665" stopIfTrue="1" operator="equal">
      <formula>-1</formula>
    </cfRule>
  </conditionalFormatting>
  <conditionalFormatting sqref="BH70">
    <cfRule type="cellIs" dxfId="1090" priority="148666" stopIfTrue="1" operator="lessThan">
      <formula>0.5</formula>
    </cfRule>
  </conditionalFormatting>
  <conditionalFormatting sqref="BH70">
    <cfRule type="cellIs" dxfId="1089" priority="148667" stopIfTrue="1" operator="greaterThanOrEqual">
      <formula>0.5</formula>
    </cfRule>
  </conditionalFormatting>
  <conditionalFormatting sqref="BH71">
    <cfRule type="cellIs" dxfId="1088" priority="148668" stopIfTrue="1" operator="equal">
      <formula>-1</formula>
    </cfRule>
  </conditionalFormatting>
  <conditionalFormatting sqref="BH71">
    <cfRule type="cellIs" dxfId="1087" priority="148669" stopIfTrue="1" operator="lessThan">
      <formula>0.5</formula>
    </cfRule>
  </conditionalFormatting>
  <conditionalFormatting sqref="BH71">
    <cfRule type="cellIs" dxfId="1086" priority="148670" stopIfTrue="1" operator="greaterThanOrEqual">
      <formula>0.5</formula>
    </cfRule>
  </conditionalFormatting>
  <conditionalFormatting sqref="BH72">
    <cfRule type="cellIs" dxfId="1085" priority="148671" stopIfTrue="1" operator="equal">
      <formula>-1</formula>
    </cfRule>
  </conditionalFormatting>
  <conditionalFormatting sqref="BH72">
    <cfRule type="cellIs" dxfId="1084" priority="148672" stopIfTrue="1" operator="lessThan">
      <formula>0.5</formula>
    </cfRule>
  </conditionalFormatting>
  <conditionalFormatting sqref="BH72">
    <cfRule type="cellIs" dxfId="1083" priority="148673" stopIfTrue="1" operator="greaterThanOrEqual">
      <formula>0.5</formula>
    </cfRule>
  </conditionalFormatting>
  <conditionalFormatting sqref="BH73">
    <cfRule type="cellIs" dxfId="1082" priority="148674" stopIfTrue="1" operator="equal">
      <formula>-1</formula>
    </cfRule>
  </conditionalFormatting>
  <conditionalFormatting sqref="BH73">
    <cfRule type="cellIs" dxfId="1081" priority="148675" stopIfTrue="1" operator="lessThan">
      <formula>0.5</formula>
    </cfRule>
  </conditionalFormatting>
  <conditionalFormatting sqref="BH73">
    <cfRule type="cellIs" dxfId="1080" priority="148676" stopIfTrue="1" operator="greaterThanOrEqual">
      <formula>0.5</formula>
    </cfRule>
  </conditionalFormatting>
  <conditionalFormatting sqref="BH74">
    <cfRule type="cellIs" dxfId="1079" priority="148677" stopIfTrue="1" operator="equal">
      <formula>-1</formula>
    </cfRule>
  </conditionalFormatting>
  <conditionalFormatting sqref="BH74">
    <cfRule type="cellIs" dxfId="1078" priority="148678" stopIfTrue="1" operator="lessThan">
      <formula>0.5</formula>
    </cfRule>
  </conditionalFormatting>
  <conditionalFormatting sqref="BH74">
    <cfRule type="cellIs" dxfId="1077" priority="148679" stopIfTrue="1" operator="greaterThanOrEqual">
      <formula>0.5</formula>
    </cfRule>
  </conditionalFormatting>
  <conditionalFormatting sqref="BH75">
    <cfRule type="cellIs" dxfId="1076" priority="148680" stopIfTrue="1" operator="equal">
      <formula>-1</formula>
    </cfRule>
  </conditionalFormatting>
  <conditionalFormatting sqref="BH75">
    <cfRule type="cellIs" dxfId="1075" priority="148681" stopIfTrue="1" operator="lessThan">
      <formula>0.5</formula>
    </cfRule>
  </conditionalFormatting>
  <conditionalFormatting sqref="BH75">
    <cfRule type="cellIs" dxfId="1074" priority="148682" stopIfTrue="1" operator="greaterThanOrEqual">
      <formula>0.5</formula>
    </cfRule>
  </conditionalFormatting>
  <conditionalFormatting sqref="BH76">
    <cfRule type="cellIs" dxfId="1073" priority="148683" stopIfTrue="1" operator="equal">
      <formula>-1</formula>
    </cfRule>
  </conditionalFormatting>
  <conditionalFormatting sqref="BH76">
    <cfRule type="cellIs" dxfId="1072" priority="148684" stopIfTrue="1" operator="lessThan">
      <formula>0.5</formula>
    </cfRule>
  </conditionalFormatting>
  <conditionalFormatting sqref="BH76">
    <cfRule type="cellIs" dxfId="1071" priority="148685" stopIfTrue="1" operator="greaterThanOrEqual">
      <formula>0.5</formula>
    </cfRule>
  </conditionalFormatting>
  <conditionalFormatting sqref="BH77">
    <cfRule type="cellIs" dxfId="1070" priority="148686" stopIfTrue="1" operator="equal">
      <formula>-1</formula>
    </cfRule>
  </conditionalFormatting>
  <conditionalFormatting sqref="BH77">
    <cfRule type="cellIs" dxfId="1069" priority="148687" stopIfTrue="1" operator="lessThan">
      <formula>0.5</formula>
    </cfRule>
  </conditionalFormatting>
  <conditionalFormatting sqref="BH77">
    <cfRule type="cellIs" dxfId="1068" priority="148688" stopIfTrue="1" operator="greaterThanOrEqual">
      <formula>0.5</formula>
    </cfRule>
  </conditionalFormatting>
  <conditionalFormatting sqref="BH78">
    <cfRule type="cellIs" dxfId="1067" priority="148689" stopIfTrue="1" operator="equal">
      <formula>-1</formula>
    </cfRule>
  </conditionalFormatting>
  <conditionalFormatting sqref="BH78">
    <cfRule type="cellIs" dxfId="1066" priority="148690" stopIfTrue="1" operator="lessThan">
      <formula>0.5</formula>
    </cfRule>
  </conditionalFormatting>
  <conditionalFormatting sqref="BH78">
    <cfRule type="cellIs" dxfId="1065" priority="148691" stopIfTrue="1" operator="greaterThanOrEqual">
      <formula>0.5</formula>
    </cfRule>
  </conditionalFormatting>
  <conditionalFormatting sqref="BH79">
    <cfRule type="cellIs" dxfId="1064" priority="148692" stopIfTrue="1" operator="equal">
      <formula>-1</formula>
    </cfRule>
  </conditionalFormatting>
  <conditionalFormatting sqref="BH79">
    <cfRule type="cellIs" dxfId="1063" priority="148693" stopIfTrue="1" operator="lessThan">
      <formula>0.5</formula>
    </cfRule>
  </conditionalFormatting>
  <conditionalFormatting sqref="BH79">
    <cfRule type="cellIs" dxfId="1062" priority="148694" stopIfTrue="1" operator="greaterThanOrEqual">
      <formula>0.5</formula>
    </cfRule>
  </conditionalFormatting>
  <conditionalFormatting sqref="BH80">
    <cfRule type="cellIs" dxfId="1061" priority="148695" stopIfTrue="1" operator="equal">
      <formula>-1</formula>
    </cfRule>
  </conditionalFormatting>
  <conditionalFormatting sqref="BH80">
    <cfRule type="cellIs" dxfId="1060" priority="148696" stopIfTrue="1" operator="lessThan">
      <formula>0.5</formula>
    </cfRule>
  </conditionalFormatting>
  <conditionalFormatting sqref="BH80">
    <cfRule type="cellIs" dxfId="1059" priority="148697" stopIfTrue="1" operator="greaterThanOrEqual">
      <formula>0.5</formula>
    </cfRule>
  </conditionalFormatting>
  <conditionalFormatting sqref="BH81">
    <cfRule type="cellIs" dxfId="1058" priority="148698" stopIfTrue="1" operator="equal">
      <formula>-1</formula>
    </cfRule>
  </conditionalFormatting>
  <conditionalFormatting sqref="BH81">
    <cfRule type="cellIs" dxfId="1057" priority="148699" stopIfTrue="1" operator="lessThan">
      <formula>0.5</formula>
    </cfRule>
  </conditionalFormatting>
  <conditionalFormatting sqref="BH81">
    <cfRule type="cellIs" dxfId="1056" priority="148700" stopIfTrue="1" operator="greaterThanOrEqual">
      <formula>0.5</formula>
    </cfRule>
  </conditionalFormatting>
  <conditionalFormatting sqref="BH82">
    <cfRule type="cellIs" dxfId="1055" priority="148701" stopIfTrue="1" operator="equal">
      <formula>-1</formula>
    </cfRule>
  </conditionalFormatting>
  <conditionalFormatting sqref="BH82">
    <cfRule type="cellIs" dxfId="1054" priority="148702" stopIfTrue="1" operator="lessThan">
      <formula>0.5</formula>
    </cfRule>
  </conditionalFormatting>
  <conditionalFormatting sqref="BH82">
    <cfRule type="cellIs" dxfId="1053" priority="148703" stopIfTrue="1" operator="greaterThanOrEqual">
      <formula>0.5</formula>
    </cfRule>
  </conditionalFormatting>
  <conditionalFormatting sqref="BH83">
    <cfRule type="cellIs" dxfId="1052" priority="148704" stopIfTrue="1" operator="equal">
      <formula>-1</formula>
    </cfRule>
  </conditionalFormatting>
  <conditionalFormatting sqref="BH83">
    <cfRule type="cellIs" dxfId="1051" priority="148705" stopIfTrue="1" operator="lessThan">
      <formula>0.5</formula>
    </cfRule>
  </conditionalFormatting>
  <conditionalFormatting sqref="BH83">
    <cfRule type="cellIs" dxfId="1050" priority="148706" stopIfTrue="1" operator="greaterThanOrEqual">
      <formula>0.5</formula>
    </cfRule>
  </conditionalFormatting>
  <conditionalFormatting sqref="BH84">
    <cfRule type="cellIs" dxfId="1049" priority="148707" stopIfTrue="1" operator="equal">
      <formula>-1</formula>
    </cfRule>
  </conditionalFormatting>
  <conditionalFormatting sqref="BH84">
    <cfRule type="cellIs" dxfId="1048" priority="148708" stopIfTrue="1" operator="lessThan">
      <formula>0.5</formula>
    </cfRule>
  </conditionalFormatting>
  <conditionalFormatting sqref="BH84">
    <cfRule type="cellIs" dxfId="1047" priority="148709" stopIfTrue="1" operator="greaterThanOrEqual">
      <formula>0.5</formula>
    </cfRule>
  </conditionalFormatting>
  <conditionalFormatting sqref="BH85">
    <cfRule type="cellIs" dxfId="1046" priority="148710" stopIfTrue="1" operator="equal">
      <formula>-1</formula>
    </cfRule>
  </conditionalFormatting>
  <conditionalFormatting sqref="BH85">
    <cfRule type="cellIs" dxfId="1045" priority="148711" stopIfTrue="1" operator="lessThan">
      <formula>0.5</formula>
    </cfRule>
  </conditionalFormatting>
  <conditionalFormatting sqref="BH85">
    <cfRule type="cellIs" dxfId="1044" priority="148712" stopIfTrue="1" operator="greaterThanOrEqual">
      <formula>0.5</formula>
    </cfRule>
  </conditionalFormatting>
  <conditionalFormatting sqref="BJ65">
    <cfRule type="cellIs" dxfId="1043" priority="148713" stopIfTrue="1" operator="equal">
      <formula>-1</formula>
    </cfRule>
  </conditionalFormatting>
  <conditionalFormatting sqref="BJ65">
    <cfRule type="cellIs" dxfId="1042" priority="148714" stopIfTrue="1" operator="lessThan">
      <formula>0.5</formula>
    </cfRule>
  </conditionalFormatting>
  <conditionalFormatting sqref="BJ65">
    <cfRule type="cellIs" dxfId="1041" priority="148715" stopIfTrue="1" operator="greaterThanOrEqual">
      <formula>0.5</formula>
    </cfRule>
  </conditionalFormatting>
  <conditionalFormatting sqref="BJ66">
    <cfRule type="cellIs" dxfId="1040" priority="148716" stopIfTrue="1" operator="equal">
      <formula>-1</formula>
    </cfRule>
  </conditionalFormatting>
  <conditionalFormatting sqref="BJ66">
    <cfRule type="cellIs" dxfId="1039" priority="148717" stopIfTrue="1" operator="lessThan">
      <formula>0.5</formula>
    </cfRule>
  </conditionalFormatting>
  <conditionalFormatting sqref="BJ66">
    <cfRule type="cellIs" dxfId="1038" priority="148718" stopIfTrue="1" operator="greaterThanOrEqual">
      <formula>0.5</formula>
    </cfRule>
  </conditionalFormatting>
  <conditionalFormatting sqref="BJ67">
    <cfRule type="cellIs" dxfId="1037" priority="148719" stopIfTrue="1" operator="equal">
      <formula>-1</formula>
    </cfRule>
  </conditionalFormatting>
  <conditionalFormatting sqref="BJ67">
    <cfRule type="cellIs" dxfId="1036" priority="148720" stopIfTrue="1" operator="lessThan">
      <formula>0.5</formula>
    </cfRule>
  </conditionalFormatting>
  <conditionalFormatting sqref="BJ67">
    <cfRule type="cellIs" dxfId="1035" priority="148721" stopIfTrue="1" operator="greaterThanOrEqual">
      <formula>0.5</formula>
    </cfRule>
  </conditionalFormatting>
  <conditionalFormatting sqref="BJ68">
    <cfRule type="cellIs" dxfId="1034" priority="148722" stopIfTrue="1" operator="equal">
      <formula>-1</formula>
    </cfRule>
  </conditionalFormatting>
  <conditionalFormatting sqref="BJ68">
    <cfRule type="cellIs" dxfId="1033" priority="148723" stopIfTrue="1" operator="lessThan">
      <formula>0.5</formula>
    </cfRule>
  </conditionalFormatting>
  <conditionalFormatting sqref="BJ68">
    <cfRule type="cellIs" dxfId="1032" priority="148724" stopIfTrue="1" operator="greaterThanOrEqual">
      <formula>0.5</formula>
    </cfRule>
  </conditionalFormatting>
  <conditionalFormatting sqref="BJ69">
    <cfRule type="cellIs" dxfId="1031" priority="148725" stopIfTrue="1" operator="equal">
      <formula>-1</formula>
    </cfRule>
  </conditionalFormatting>
  <conditionalFormatting sqref="BJ69">
    <cfRule type="cellIs" dxfId="1030" priority="148726" stopIfTrue="1" operator="lessThan">
      <formula>0.5</formula>
    </cfRule>
  </conditionalFormatting>
  <conditionalFormatting sqref="BJ69">
    <cfRule type="cellIs" dxfId="1029" priority="148727" stopIfTrue="1" operator="greaterThanOrEqual">
      <formula>0.5</formula>
    </cfRule>
  </conditionalFormatting>
  <conditionalFormatting sqref="BJ70">
    <cfRule type="cellIs" dxfId="1028" priority="148728" stopIfTrue="1" operator="equal">
      <formula>-1</formula>
    </cfRule>
  </conditionalFormatting>
  <conditionalFormatting sqref="BJ70">
    <cfRule type="cellIs" dxfId="1027" priority="148729" stopIfTrue="1" operator="lessThan">
      <formula>0.5</formula>
    </cfRule>
  </conditionalFormatting>
  <conditionalFormatting sqref="BJ70">
    <cfRule type="cellIs" dxfId="1026" priority="148730" stopIfTrue="1" operator="greaterThanOrEqual">
      <formula>0.5</formula>
    </cfRule>
  </conditionalFormatting>
  <conditionalFormatting sqref="BJ71">
    <cfRule type="cellIs" dxfId="1025" priority="148731" stopIfTrue="1" operator="equal">
      <formula>-1</formula>
    </cfRule>
  </conditionalFormatting>
  <conditionalFormatting sqref="BJ71">
    <cfRule type="cellIs" dxfId="1024" priority="148732" stopIfTrue="1" operator="lessThan">
      <formula>0.5</formula>
    </cfRule>
  </conditionalFormatting>
  <conditionalFormatting sqref="BJ71">
    <cfRule type="cellIs" dxfId="1023" priority="148733" stopIfTrue="1" operator="greaterThanOrEqual">
      <formula>0.5</formula>
    </cfRule>
  </conditionalFormatting>
  <conditionalFormatting sqref="BJ72">
    <cfRule type="cellIs" dxfId="1022" priority="148734" stopIfTrue="1" operator="equal">
      <formula>-1</formula>
    </cfRule>
  </conditionalFormatting>
  <conditionalFormatting sqref="BJ72">
    <cfRule type="cellIs" dxfId="1021" priority="148735" stopIfTrue="1" operator="lessThan">
      <formula>0.5</formula>
    </cfRule>
  </conditionalFormatting>
  <conditionalFormatting sqref="BJ72">
    <cfRule type="cellIs" dxfId="1020" priority="148736" stopIfTrue="1" operator="greaterThanOrEqual">
      <formula>0.5</formula>
    </cfRule>
  </conditionalFormatting>
  <conditionalFormatting sqref="BJ73">
    <cfRule type="cellIs" dxfId="1019" priority="148737" stopIfTrue="1" operator="equal">
      <formula>-1</formula>
    </cfRule>
  </conditionalFormatting>
  <conditionalFormatting sqref="BJ73">
    <cfRule type="cellIs" dxfId="1018" priority="148738" stopIfTrue="1" operator="lessThan">
      <formula>0.5</formula>
    </cfRule>
  </conditionalFormatting>
  <conditionalFormatting sqref="BJ73">
    <cfRule type="cellIs" dxfId="1017" priority="148739" stopIfTrue="1" operator="greaterThanOrEqual">
      <formula>0.5</formula>
    </cfRule>
  </conditionalFormatting>
  <conditionalFormatting sqref="BJ74">
    <cfRule type="cellIs" dxfId="1016" priority="148740" stopIfTrue="1" operator="equal">
      <formula>-1</formula>
    </cfRule>
  </conditionalFormatting>
  <conditionalFormatting sqref="BJ74">
    <cfRule type="cellIs" dxfId="1015" priority="148741" stopIfTrue="1" operator="lessThan">
      <formula>0.5</formula>
    </cfRule>
  </conditionalFormatting>
  <conditionalFormatting sqref="BJ74">
    <cfRule type="cellIs" dxfId="1014" priority="148742" stopIfTrue="1" operator="greaterThanOrEqual">
      <formula>0.5</formula>
    </cfRule>
  </conditionalFormatting>
  <conditionalFormatting sqref="BJ75">
    <cfRule type="cellIs" dxfId="1013" priority="148743" stopIfTrue="1" operator="equal">
      <formula>-1</formula>
    </cfRule>
  </conditionalFormatting>
  <conditionalFormatting sqref="BJ75">
    <cfRule type="cellIs" dxfId="1012" priority="148744" stopIfTrue="1" operator="lessThan">
      <formula>0.5</formula>
    </cfRule>
  </conditionalFormatting>
  <conditionalFormatting sqref="BJ75">
    <cfRule type="cellIs" dxfId="1011" priority="148745" stopIfTrue="1" operator="greaterThanOrEqual">
      <formula>0.5</formula>
    </cfRule>
  </conditionalFormatting>
  <conditionalFormatting sqref="BJ76">
    <cfRule type="cellIs" dxfId="1010" priority="148746" stopIfTrue="1" operator="equal">
      <formula>-1</formula>
    </cfRule>
  </conditionalFormatting>
  <conditionalFormatting sqref="BJ76">
    <cfRule type="cellIs" dxfId="1009" priority="148747" stopIfTrue="1" operator="lessThan">
      <formula>0.5</formula>
    </cfRule>
  </conditionalFormatting>
  <conditionalFormatting sqref="BJ76">
    <cfRule type="cellIs" dxfId="1008" priority="148748" stopIfTrue="1" operator="greaterThanOrEqual">
      <formula>0.5</formula>
    </cfRule>
  </conditionalFormatting>
  <conditionalFormatting sqref="BJ77">
    <cfRule type="cellIs" dxfId="1007" priority="148749" stopIfTrue="1" operator="equal">
      <formula>-1</formula>
    </cfRule>
  </conditionalFormatting>
  <conditionalFormatting sqref="BJ77">
    <cfRule type="cellIs" dxfId="1006" priority="148750" stopIfTrue="1" operator="lessThan">
      <formula>0.5</formula>
    </cfRule>
  </conditionalFormatting>
  <conditionalFormatting sqref="BJ77">
    <cfRule type="cellIs" dxfId="1005" priority="148751" stopIfTrue="1" operator="greaterThanOrEqual">
      <formula>0.5</formula>
    </cfRule>
  </conditionalFormatting>
  <conditionalFormatting sqref="BJ78">
    <cfRule type="cellIs" dxfId="1004" priority="148752" stopIfTrue="1" operator="equal">
      <formula>-1</formula>
    </cfRule>
  </conditionalFormatting>
  <conditionalFormatting sqref="BJ78">
    <cfRule type="cellIs" dxfId="1003" priority="148753" stopIfTrue="1" operator="lessThan">
      <formula>0.5</formula>
    </cfRule>
  </conditionalFormatting>
  <conditionalFormatting sqref="BJ78">
    <cfRule type="cellIs" dxfId="1002" priority="148754" stopIfTrue="1" operator="greaterThanOrEqual">
      <formula>0.5</formula>
    </cfRule>
  </conditionalFormatting>
  <conditionalFormatting sqref="BJ79">
    <cfRule type="cellIs" dxfId="1001" priority="148755" stopIfTrue="1" operator="equal">
      <formula>-1</formula>
    </cfRule>
  </conditionalFormatting>
  <conditionalFormatting sqref="BJ79">
    <cfRule type="cellIs" dxfId="1000" priority="148756" stopIfTrue="1" operator="lessThan">
      <formula>0.5</formula>
    </cfRule>
  </conditionalFormatting>
  <conditionalFormatting sqref="BJ79">
    <cfRule type="cellIs" dxfId="999" priority="148757" stopIfTrue="1" operator="greaterThanOrEqual">
      <formula>0.5</formula>
    </cfRule>
  </conditionalFormatting>
  <conditionalFormatting sqref="BJ80">
    <cfRule type="cellIs" dxfId="998" priority="148758" stopIfTrue="1" operator="equal">
      <formula>-1</formula>
    </cfRule>
  </conditionalFormatting>
  <conditionalFormatting sqref="BJ80">
    <cfRule type="cellIs" dxfId="997" priority="148759" stopIfTrue="1" operator="lessThan">
      <formula>0.5</formula>
    </cfRule>
  </conditionalFormatting>
  <conditionalFormatting sqref="BJ80">
    <cfRule type="cellIs" dxfId="996" priority="148760" stopIfTrue="1" operator="greaterThanOrEqual">
      <formula>0.5</formula>
    </cfRule>
  </conditionalFormatting>
  <conditionalFormatting sqref="BJ81">
    <cfRule type="cellIs" dxfId="995" priority="148761" stopIfTrue="1" operator="equal">
      <formula>-1</formula>
    </cfRule>
  </conditionalFormatting>
  <conditionalFormatting sqref="BJ81">
    <cfRule type="cellIs" dxfId="994" priority="148762" stopIfTrue="1" operator="lessThan">
      <formula>0.5</formula>
    </cfRule>
  </conditionalFormatting>
  <conditionalFormatting sqref="BJ81">
    <cfRule type="cellIs" dxfId="993" priority="148763" stopIfTrue="1" operator="greaterThanOrEqual">
      <formula>0.5</formula>
    </cfRule>
  </conditionalFormatting>
  <conditionalFormatting sqref="BJ82">
    <cfRule type="cellIs" dxfId="992" priority="148764" stopIfTrue="1" operator="equal">
      <formula>-1</formula>
    </cfRule>
  </conditionalFormatting>
  <conditionalFormatting sqref="BJ82">
    <cfRule type="cellIs" dxfId="991" priority="148765" stopIfTrue="1" operator="lessThan">
      <formula>0.5</formula>
    </cfRule>
  </conditionalFormatting>
  <conditionalFormatting sqref="BJ82">
    <cfRule type="cellIs" dxfId="990" priority="148766" stopIfTrue="1" operator="greaterThanOrEqual">
      <formula>0.5</formula>
    </cfRule>
  </conditionalFormatting>
  <conditionalFormatting sqref="BJ83">
    <cfRule type="cellIs" dxfId="989" priority="148767" stopIfTrue="1" operator="equal">
      <formula>-1</formula>
    </cfRule>
  </conditionalFormatting>
  <conditionalFormatting sqref="BJ83">
    <cfRule type="cellIs" dxfId="988" priority="148768" stopIfTrue="1" operator="lessThan">
      <formula>0.5</formula>
    </cfRule>
  </conditionalFormatting>
  <conditionalFormatting sqref="BJ83">
    <cfRule type="cellIs" dxfId="987" priority="148769" stopIfTrue="1" operator="greaterThanOrEqual">
      <formula>0.5</formula>
    </cfRule>
  </conditionalFormatting>
  <conditionalFormatting sqref="BJ84">
    <cfRule type="cellIs" dxfId="986" priority="148770" stopIfTrue="1" operator="equal">
      <formula>-1</formula>
    </cfRule>
  </conditionalFormatting>
  <conditionalFormatting sqref="BJ84">
    <cfRule type="cellIs" dxfId="985" priority="148771" stopIfTrue="1" operator="lessThan">
      <formula>0.5</formula>
    </cfRule>
  </conditionalFormatting>
  <conditionalFormatting sqref="BJ84">
    <cfRule type="cellIs" dxfId="984" priority="148772" stopIfTrue="1" operator="greaterThanOrEqual">
      <formula>0.5</formula>
    </cfRule>
  </conditionalFormatting>
  <conditionalFormatting sqref="BJ85">
    <cfRule type="cellIs" dxfId="983" priority="148773" stopIfTrue="1" operator="equal">
      <formula>-1</formula>
    </cfRule>
  </conditionalFormatting>
  <conditionalFormatting sqref="BJ85">
    <cfRule type="cellIs" dxfId="982" priority="148774" stopIfTrue="1" operator="lessThan">
      <formula>0.5</formula>
    </cfRule>
  </conditionalFormatting>
  <conditionalFormatting sqref="BJ85">
    <cfRule type="cellIs" dxfId="981" priority="14877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29AD-7C8D-5342-A685-58E60CB4FD3F}">
  <sheetPr codeName="Sheet5">
    <tabColor rgb="FFDA1BFF"/>
    <pageSetUpPr fitToPage="1"/>
  </sheetPr>
  <dimension ref="A1:D13"/>
  <sheetViews>
    <sheetView showGridLines="0" workbookViewId="0">
      <selection activeCell="D13" sqref="D13"/>
    </sheetView>
  </sheetViews>
  <sheetFormatPr baseColWidth="10" defaultRowHeight="16" x14ac:dyDescent="0.2"/>
  <cols>
    <col min="1" max="1" width="38.6640625" customWidth="1"/>
    <col min="2" max="4" width="28.6640625" customWidth="1"/>
  </cols>
  <sheetData>
    <row r="1" spans="1:4" ht="29" x14ac:dyDescent="0.2">
      <c r="A1" s="22"/>
      <c r="B1" s="20" t="s">
        <v>97</v>
      </c>
      <c r="C1" s="21" t="s">
        <v>98</v>
      </c>
      <c r="D1" s="21" t="s">
        <v>99</v>
      </c>
    </row>
    <row r="2" spans="1:4" ht="58" x14ac:dyDescent="0.2">
      <c r="A2" s="23" t="s">
        <v>2</v>
      </c>
      <c r="B2" s="37">
        <v>0.1</v>
      </c>
      <c r="C2" s="37">
        <v>0.1</v>
      </c>
      <c r="D2" s="37">
        <v>0.1</v>
      </c>
    </row>
    <row r="3" spans="1:4" ht="58" x14ac:dyDescent="0.2">
      <c r="A3" s="24" t="s">
        <v>3</v>
      </c>
      <c r="B3" s="37">
        <v>0.45</v>
      </c>
      <c r="C3" s="37">
        <v>0.2</v>
      </c>
      <c r="D3" s="37">
        <v>0.15</v>
      </c>
    </row>
    <row r="4" spans="1:4" ht="58" x14ac:dyDescent="0.2">
      <c r="A4" s="25" t="s">
        <v>4</v>
      </c>
      <c r="B4" s="38">
        <v>0.45</v>
      </c>
      <c r="C4" s="38">
        <v>0.4</v>
      </c>
      <c r="D4" s="38">
        <v>0.3</v>
      </c>
    </row>
    <row r="5" spans="1:4" ht="29" x14ac:dyDescent="0.2">
      <c r="A5" s="23" t="s">
        <v>5</v>
      </c>
      <c r="B5" s="16"/>
      <c r="C5" s="39">
        <v>0.3</v>
      </c>
      <c r="D5" s="39">
        <v>0.2</v>
      </c>
    </row>
    <row r="6" spans="1:4" ht="58" x14ac:dyDescent="0.2">
      <c r="A6" s="24" t="s">
        <v>6</v>
      </c>
      <c r="B6" s="17"/>
      <c r="C6" s="17"/>
      <c r="D6" s="40">
        <v>0.15</v>
      </c>
    </row>
    <row r="7" spans="1:4" ht="58" x14ac:dyDescent="0.2">
      <c r="A7" s="24" t="s">
        <v>7</v>
      </c>
      <c r="B7" s="18"/>
      <c r="C7" s="18"/>
      <c r="D7" s="41">
        <v>0.1</v>
      </c>
    </row>
    <row r="8" spans="1:4" x14ac:dyDescent="0.2">
      <c r="A8" s="19"/>
      <c r="B8" s="19"/>
      <c r="C8" s="19"/>
      <c r="D8" s="19"/>
    </row>
    <row r="9" spans="1:4" x14ac:dyDescent="0.2">
      <c r="A9" s="19"/>
      <c r="B9" s="19"/>
      <c r="C9" s="19"/>
      <c r="D9" s="19"/>
    </row>
    <row r="10" spans="1:4" ht="29" x14ac:dyDescent="0.2">
      <c r="A10" s="20" t="s">
        <v>89</v>
      </c>
      <c r="B10" s="21" t="s">
        <v>90</v>
      </c>
      <c r="C10" s="20" t="s">
        <v>91</v>
      </c>
      <c r="D10" s="19"/>
    </row>
    <row r="11" spans="1:4" ht="29" x14ac:dyDescent="0.2">
      <c r="A11" s="26" t="s">
        <v>85</v>
      </c>
      <c r="B11" s="15"/>
      <c r="C11" s="15" t="s">
        <v>92</v>
      </c>
      <c r="D11" s="19"/>
    </row>
    <row r="12" spans="1:4" ht="29" x14ac:dyDescent="0.2">
      <c r="A12" s="26" t="s">
        <v>86</v>
      </c>
      <c r="B12" s="15" t="s">
        <v>93</v>
      </c>
      <c r="C12" s="15" t="s">
        <v>94</v>
      </c>
      <c r="D12" s="19"/>
    </row>
    <row r="13" spans="1:4" ht="29" x14ac:dyDescent="0.2">
      <c r="A13" s="26" t="s">
        <v>95</v>
      </c>
      <c r="B13" s="15" t="s">
        <v>96</v>
      </c>
      <c r="C13" s="15"/>
      <c r="D13" s="27" t="str" cm="1">
        <f t="array" ref="D13">[2]!VERSION</f>
        <v>Versión 1.2</v>
      </c>
    </row>
  </sheetData>
  <sheetProtection algorithmName="SHA-512" hashValue="MllLNQVEcIQSIALm3izGEczX6BfQflsi+Hi54PLPUKvNoOPEHO0kFOEVW3pAIwu23WaQQ1oqfpm3/ynwPy9paA==" saltValue="LUqExG0j9tLpXK8sFOMaDA==" spinCount="100000" sheet="1" objects="1" scenarios="1" formatCells="0" autoFilter="0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5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E14FE-1445-F842-B91A-373729DA5E0D}">
  <sheetPr codeName="Sheet10">
    <tabColor theme="4" tint="-0.499984740745262"/>
  </sheetPr>
  <dimension ref="A1:X63"/>
  <sheetViews>
    <sheetView showGridLines="0" showRowColHeaders="0" tabSelected="1" workbookViewId="0">
      <selection activeCell="C11" sqref="C11:F11"/>
    </sheetView>
  </sheetViews>
  <sheetFormatPr baseColWidth="10" defaultRowHeight="16" x14ac:dyDescent="0.2"/>
  <cols>
    <col min="11" max="11" width="23" customWidth="1"/>
  </cols>
  <sheetData>
    <row r="1" spans="1:24" x14ac:dyDescent="0.2">
      <c r="A1" s="42"/>
      <c r="B1" s="42"/>
      <c r="C1" s="42"/>
      <c r="D1" s="42"/>
      <c r="E1" s="42"/>
      <c r="F1" s="42"/>
      <c r="G1" s="42"/>
      <c r="H1" s="42"/>
      <c r="J1" s="43"/>
      <c r="K1" s="43"/>
      <c r="L1" s="43"/>
      <c r="M1" s="43"/>
      <c r="N1" s="43"/>
      <c r="O1" s="43"/>
      <c r="P1" s="43"/>
      <c r="Q1" s="43"/>
      <c r="R1" s="49"/>
      <c r="S1" s="49"/>
    </row>
    <row r="2" spans="1:24" x14ac:dyDescent="0.2">
      <c r="A2" s="42"/>
      <c r="B2" s="42"/>
      <c r="C2" s="42"/>
      <c r="D2" s="42" t="s">
        <v>103</v>
      </c>
      <c r="E2" s="42"/>
      <c r="F2" s="42"/>
      <c r="G2" s="42"/>
      <c r="H2" s="42"/>
      <c r="J2" s="43"/>
      <c r="K2" s="43" t="s">
        <v>104</v>
      </c>
      <c r="L2" s="43"/>
      <c r="M2" s="43"/>
      <c r="N2" s="43"/>
      <c r="O2" s="43"/>
      <c r="P2" s="43"/>
      <c r="Q2" s="43"/>
      <c r="R2" s="49"/>
      <c r="S2" s="49"/>
    </row>
    <row r="3" spans="1:24" x14ac:dyDescent="0.2">
      <c r="A3" s="42"/>
      <c r="B3" s="42"/>
      <c r="C3" s="42"/>
      <c r="D3" s="42"/>
      <c r="E3" s="42"/>
      <c r="F3" s="42"/>
      <c r="G3" s="42"/>
      <c r="H3" s="42"/>
      <c r="J3" s="43">
        <v>1</v>
      </c>
      <c r="K3" s="43" t="str">
        <f>[2]Alumnos!B5</f>
        <v>Alma Casa, Mario</v>
      </c>
      <c r="L3" s="43" t="str">
        <f>[2]Alumnos!C5</f>
        <v>maa02@test.test</v>
      </c>
      <c r="M3" s="43"/>
      <c r="N3" s="43"/>
      <c r="O3" s="43"/>
      <c r="P3" s="43"/>
      <c r="Q3" s="43"/>
      <c r="R3" s="49"/>
      <c r="S3" s="49"/>
      <c r="X3" s="44"/>
    </row>
    <row r="4" spans="1:24" x14ac:dyDescent="0.2">
      <c r="A4" s="42"/>
      <c r="B4" s="42"/>
      <c r="C4" s="42"/>
      <c r="D4" s="45"/>
      <c r="E4" s="42"/>
      <c r="F4" s="42"/>
      <c r="G4" s="42"/>
      <c r="H4" s="42"/>
      <c r="J4" s="43">
        <v>2</v>
      </c>
      <c r="K4" s="43" t="str">
        <f>[2]Alumnos!B6</f>
        <v>Amado Luz, Martín</v>
      </c>
      <c r="L4" s="43" t="str">
        <f>[2]Alumnos!C6</f>
        <v>marti@test.test</v>
      </c>
      <c r="M4" s="43"/>
      <c r="N4" s="43" t="s">
        <v>105</v>
      </c>
      <c r="O4" s="43"/>
      <c r="P4" s="43"/>
      <c r="Q4" s="43"/>
      <c r="R4" s="49"/>
      <c r="S4" s="49"/>
      <c r="X4" s="44"/>
    </row>
    <row r="5" spans="1:24" x14ac:dyDescent="0.2">
      <c r="A5" s="42"/>
      <c r="B5" s="42"/>
      <c r="C5" s="42"/>
      <c r="D5" s="42"/>
      <c r="E5" s="42"/>
      <c r="F5" s="42"/>
      <c r="G5" s="42"/>
      <c r="H5" s="42"/>
      <c r="J5" s="43">
        <v>3</v>
      </c>
      <c r="K5" s="43" t="str">
        <f>[2]Alumnos!B7</f>
        <v>Bonete Cune, Carla</v>
      </c>
      <c r="L5" s="43" t="str">
        <f>[2]Alumnos!C7</f>
        <v>cbene@test.test</v>
      </c>
      <c r="M5" s="43"/>
      <c r="N5" s="43" t="s">
        <v>106</v>
      </c>
      <c r="O5" s="43"/>
      <c r="P5" s="43"/>
      <c r="Q5" s="43"/>
      <c r="R5" s="49"/>
      <c r="S5" s="49"/>
      <c r="X5" s="44"/>
    </row>
    <row r="6" spans="1:24" x14ac:dyDescent="0.2">
      <c r="A6" s="42"/>
      <c r="B6" s="42"/>
      <c r="C6" s="42"/>
      <c r="D6" s="45"/>
      <c r="E6" s="42"/>
      <c r="F6" s="42"/>
      <c r="G6" s="42"/>
      <c r="H6" s="42"/>
      <c r="J6" s="43">
        <v>4</v>
      </c>
      <c r="K6" s="43" t="str">
        <f>[2]Alumnos!B8</f>
        <v>Casado Gómez, María</v>
      </c>
      <c r="L6" s="43" t="str">
        <f>[2]Alumnos!C8</f>
        <v>mcasa@test.test</v>
      </c>
      <c r="M6" s="43"/>
      <c r="N6" s="43" t="s">
        <v>107</v>
      </c>
      <c r="O6" s="43"/>
      <c r="P6" s="43"/>
      <c r="Q6" s="43"/>
      <c r="R6" s="49"/>
      <c r="S6" s="49"/>
      <c r="X6" s="44"/>
    </row>
    <row r="7" spans="1:24" x14ac:dyDescent="0.2">
      <c r="A7" s="42"/>
      <c r="B7" s="42"/>
      <c r="C7" s="42"/>
      <c r="D7" s="42"/>
      <c r="E7" s="42"/>
      <c r="F7" s="42"/>
      <c r="G7" s="42"/>
      <c r="H7" s="42"/>
      <c r="J7" s="43">
        <v>5</v>
      </c>
      <c r="K7" s="43" t="str">
        <f>[2]Alumnos!B9</f>
        <v>Concepción García, Elena</v>
      </c>
      <c r="L7" s="43" t="str">
        <f>[2]Alumnos!C9</f>
        <v>edlco@test.test</v>
      </c>
      <c r="M7" s="43"/>
      <c r="N7" s="43" t="s">
        <v>108</v>
      </c>
      <c r="O7" s="43"/>
      <c r="P7" s="43"/>
      <c r="Q7" s="43"/>
      <c r="R7" s="49"/>
      <c r="S7" s="49"/>
      <c r="X7" s="44"/>
    </row>
    <row r="8" spans="1:24" x14ac:dyDescent="0.2">
      <c r="A8" s="42"/>
      <c r="B8" s="42"/>
      <c r="C8" s="42"/>
      <c r="D8" s="42"/>
      <c r="E8" s="42"/>
      <c r="F8" s="42"/>
      <c r="G8" s="42"/>
      <c r="H8" s="42"/>
      <c r="J8" s="43">
        <v>6</v>
      </c>
      <c r="K8" s="43" t="str">
        <f>[2]Alumnos!B10</f>
        <v>Díaz Lucas, Ricardo</v>
      </c>
      <c r="L8" s="43" t="str">
        <f>[2]Alumnos!C10</f>
        <v>rdelu@test.test</v>
      </c>
      <c r="M8" s="43"/>
      <c r="N8" s="43" t="s">
        <v>109</v>
      </c>
      <c r="O8" s="43"/>
      <c r="P8" s="43"/>
      <c r="Q8" s="43"/>
      <c r="R8" s="49"/>
      <c r="S8" s="49"/>
      <c r="X8" s="44"/>
    </row>
    <row r="9" spans="1:24" x14ac:dyDescent="0.2">
      <c r="A9" s="42"/>
      <c r="B9" s="42"/>
      <c r="C9" s="42"/>
      <c r="D9" s="45"/>
      <c r="E9" s="42"/>
      <c r="F9" s="42"/>
      <c r="G9" s="42"/>
      <c r="H9" s="42"/>
      <c r="J9" s="43">
        <v>7</v>
      </c>
      <c r="K9" s="43" t="str">
        <f>[2]Alumnos!B11</f>
        <v>Díaz Ríos, Lucía</v>
      </c>
      <c r="L9" s="43" t="str">
        <f>[2]Alumnos!C11</f>
        <v>ldekk@test.test</v>
      </c>
      <c r="M9" s="43"/>
      <c r="N9" s="43" t="s">
        <v>110</v>
      </c>
      <c r="O9" s="43"/>
      <c r="P9" s="43"/>
      <c r="Q9" s="43"/>
      <c r="R9" s="49"/>
      <c r="S9" s="49"/>
      <c r="X9" s="44"/>
    </row>
    <row r="10" spans="1:24" ht="17" thickBot="1" x14ac:dyDescent="0.25">
      <c r="A10" s="42"/>
      <c r="B10" s="42"/>
      <c r="C10" s="42"/>
      <c r="D10" s="42"/>
      <c r="E10" s="42"/>
      <c r="F10" s="42"/>
      <c r="G10" s="42"/>
      <c r="H10" s="42"/>
      <c r="J10" s="43">
        <v>8</v>
      </c>
      <c r="K10" s="43" t="str">
        <f>[2]Alumnos!B12</f>
        <v>García López, Juan Ángel</v>
      </c>
      <c r="L10" s="43" t="str">
        <f>[2]Alumnos!C12</f>
        <v>jgarc@test.test</v>
      </c>
      <c r="M10" s="43"/>
      <c r="N10" s="43" t="s">
        <v>99</v>
      </c>
      <c r="O10" s="43"/>
      <c r="P10" s="43"/>
      <c r="Q10" s="43"/>
      <c r="R10" s="49"/>
      <c r="S10" s="49"/>
      <c r="X10" s="44"/>
    </row>
    <row r="11" spans="1:24" ht="22" thickBot="1" x14ac:dyDescent="0.3">
      <c r="A11" s="42"/>
      <c r="B11" s="46" t="s">
        <v>111</v>
      </c>
      <c r="C11" s="87" t="s">
        <v>112</v>
      </c>
      <c r="D11" s="88"/>
      <c r="E11" s="88"/>
      <c r="F11" s="88"/>
      <c r="G11" s="42"/>
      <c r="H11" s="42"/>
      <c r="J11" s="43">
        <v>9</v>
      </c>
      <c r="K11" s="43" t="str">
        <f>[2]Alumnos!B13</f>
        <v>García Pérez, Luis</v>
      </c>
      <c r="L11" s="43" t="str">
        <f>[2]Alumnos!C13</f>
        <v>lgarc@test.test</v>
      </c>
      <c r="M11" s="43"/>
      <c r="N11" s="43" t="s">
        <v>113</v>
      </c>
      <c r="O11" s="43"/>
      <c r="P11" s="43"/>
      <c r="Q11" s="43"/>
      <c r="R11" s="49"/>
      <c r="S11" s="49"/>
      <c r="X11" s="44"/>
    </row>
    <row r="12" spans="1:24" ht="17" thickBot="1" x14ac:dyDescent="0.25">
      <c r="A12" s="42"/>
      <c r="B12" s="42"/>
      <c r="C12" s="42"/>
      <c r="D12" s="42"/>
      <c r="E12" s="42"/>
      <c r="F12" s="42"/>
      <c r="G12" s="42"/>
      <c r="H12" s="42"/>
      <c r="J12" s="43">
        <v>10</v>
      </c>
      <c r="K12" s="43" t="str">
        <f>[2]Alumnos!B14</f>
        <v>Garijo Piqueras, María</v>
      </c>
      <c r="L12" s="43" t="str">
        <f>[2]Alumnos!C14</f>
        <v>pgari@test.test</v>
      </c>
      <c r="M12" s="43"/>
      <c r="N12" s="43"/>
      <c r="O12" s="43"/>
      <c r="P12" s="43"/>
      <c r="Q12" s="43"/>
      <c r="R12" s="49"/>
      <c r="S12" s="49"/>
      <c r="X12" s="44"/>
    </row>
    <row r="13" spans="1:24" ht="22" thickBot="1" x14ac:dyDescent="0.3">
      <c r="A13" s="42"/>
      <c r="B13" s="46" t="s">
        <v>114</v>
      </c>
      <c r="C13" s="87" t="s">
        <v>115</v>
      </c>
      <c r="D13" s="88"/>
      <c r="E13" s="88"/>
      <c r="F13" s="88"/>
      <c r="G13" s="42"/>
      <c r="H13" s="42"/>
      <c r="J13" s="43">
        <v>11</v>
      </c>
      <c r="K13" s="43" t="str">
        <f>[2]Alumnos!B15</f>
        <v>Gómez Luna, José</v>
      </c>
      <c r="L13" s="43" t="str">
        <f>[2]Alumnos!C15</f>
        <v>jgome@test.test</v>
      </c>
      <c r="M13" s="43"/>
      <c r="N13" s="43"/>
      <c r="O13" s="43"/>
      <c r="P13" s="43"/>
      <c r="Q13" s="43"/>
      <c r="R13" s="49"/>
      <c r="S13" s="49"/>
      <c r="X13" s="44"/>
    </row>
    <row r="14" spans="1:24" ht="17" thickBot="1" x14ac:dyDescent="0.25">
      <c r="A14" s="42"/>
      <c r="B14" s="42"/>
      <c r="C14" s="42"/>
      <c r="D14" s="42"/>
      <c r="E14" s="42"/>
      <c r="F14" s="42"/>
      <c r="G14" s="42"/>
      <c r="H14" s="42"/>
      <c r="J14" s="43">
        <v>12</v>
      </c>
      <c r="K14" s="43" t="str">
        <f>[2]Alumnos!B16</f>
        <v>González García, Juan</v>
      </c>
      <c r="L14" s="43" t="str">
        <f>[2]Alumnos!C16</f>
        <v>jmgon@test.test</v>
      </c>
      <c r="M14" s="43"/>
      <c r="N14" s="43" t="s">
        <v>116</v>
      </c>
      <c r="O14" s="43"/>
      <c r="P14" s="43"/>
      <c r="Q14" s="43"/>
      <c r="R14" s="49"/>
      <c r="S14" s="49"/>
      <c r="X14" s="44"/>
    </row>
    <row r="15" spans="1:24" ht="22" thickBot="1" x14ac:dyDescent="0.3">
      <c r="A15" s="42"/>
      <c r="B15" s="46" t="s">
        <v>117</v>
      </c>
      <c r="C15" s="89" t="s">
        <v>118</v>
      </c>
      <c r="D15" s="90"/>
      <c r="E15" s="90"/>
      <c r="F15" s="90"/>
      <c r="G15" s="42"/>
      <c r="H15" s="42"/>
      <c r="J15" s="43">
        <v>13</v>
      </c>
      <c r="K15" s="43" t="str">
        <f>[2]Alumnos!B17</f>
        <v>González Pérez, María</v>
      </c>
      <c r="L15" s="43" t="str">
        <f>[2]Alumnos!C17</f>
        <v>ahern@test.test</v>
      </c>
      <c r="M15" s="43"/>
      <c r="N15" s="43" t="s">
        <v>114</v>
      </c>
      <c r="O15" s="43"/>
      <c r="P15" s="43"/>
      <c r="Q15" s="43"/>
      <c r="R15" s="49"/>
      <c r="S15" s="49"/>
      <c r="X15" s="44"/>
    </row>
    <row r="16" spans="1:24" ht="17" thickBot="1" x14ac:dyDescent="0.25">
      <c r="A16" s="42"/>
      <c r="B16" s="42"/>
      <c r="C16" s="42"/>
      <c r="D16" s="42"/>
      <c r="E16" s="42"/>
      <c r="F16" s="42"/>
      <c r="G16" s="42"/>
      <c r="H16" s="42"/>
      <c r="J16" s="43">
        <v>14</v>
      </c>
      <c r="K16" s="43" t="str">
        <f>[2]Alumnos!B18</f>
        <v>Laín Hernández, Luisa</v>
      </c>
      <c r="L16" s="43" t="str">
        <f>[2]Alumnos!C18</f>
        <v>clope@test.test</v>
      </c>
      <c r="M16" s="43"/>
      <c r="N16" s="43"/>
      <c r="O16" s="43"/>
      <c r="P16" s="43"/>
      <c r="Q16" s="43"/>
      <c r="R16" s="49"/>
      <c r="S16" s="49"/>
      <c r="X16" s="44"/>
    </row>
    <row r="17" spans="1:24" ht="22" thickBot="1" x14ac:dyDescent="0.3">
      <c r="A17" s="42"/>
      <c r="B17" s="46" t="s">
        <v>119</v>
      </c>
      <c r="C17" s="89" t="s">
        <v>120</v>
      </c>
      <c r="D17" s="90"/>
      <c r="E17" s="90"/>
      <c r="F17" s="90"/>
      <c r="G17" s="42"/>
      <c r="H17" s="42"/>
      <c r="J17" s="43">
        <v>15</v>
      </c>
      <c r="K17" s="43" t="str">
        <f>[2]Alumnos!B19</f>
        <v>Lirios Lara, Juan</v>
      </c>
      <c r="L17" s="43" t="str">
        <f>[2]Alumnos!C19</f>
        <v>jlope@test.test</v>
      </c>
      <c r="M17" s="43"/>
      <c r="N17" s="43"/>
      <c r="O17" s="43"/>
      <c r="P17" s="43"/>
      <c r="Q17" s="43"/>
      <c r="R17" s="49"/>
      <c r="S17" s="49"/>
      <c r="X17" s="44"/>
    </row>
    <row r="18" spans="1:24" ht="17" thickBot="1" x14ac:dyDescent="0.25">
      <c r="A18" s="42"/>
      <c r="B18" s="42"/>
      <c r="C18" s="42"/>
      <c r="D18" s="42"/>
      <c r="E18" s="42"/>
      <c r="F18" s="42"/>
      <c r="G18" s="42"/>
      <c r="H18" s="42"/>
      <c r="J18" s="43">
        <v>16</v>
      </c>
      <c r="K18" s="43" t="str">
        <f>[2]Alumnos!B20</f>
        <v>López Picazo, Marta</v>
      </c>
      <c r="L18" s="43" t="str">
        <f>[2]Alumnos!C20</f>
        <v>alope@test.test</v>
      </c>
      <c r="M18" s="43"/>
      <c r="N18" s="43"/>
      <c r="O18" s="43"/>
      <c r="P18" s="43"/>
      <c r="Q18" s="43"/>
      <c r="R18" s="49"/>
      <c r="S18" s="49"/>
      <c r="X18" s="44"/>
    </row>
    <row r="19" spans="1:24" ht="22" thickBot="1" x14ac:dyDescent="0.3">
      <c r="A19" s="42"/>
      <c r="B19" s="46" t="s">
        <v>121</v>
      </c>
      <c r="C19" s="89" t="s">
        <v>122</v>
      </c>
      <c r="D19" s="90"/>
      <c r="E19" s="90"/>
      <c r="F19" s="90"/>
      <c r="G19" s="42"/>
      <c r="H19" s="42"/>
      <c r="J19" s="43">
        <v>17</v>
      </c>
      <c r="K19" s="43" t="str">
        <f>[2]Alumnos!B21</f>
        <v>Molina Pérez, Marina</v>
      </c>
      <c r="L19" s="43" t="str">
        <f>[2]Alumnos!C21</f>
        <v>amoli@test.test</v>
      </c>
      <c r="M19" s="43"/>
      <c r="N19" s="43"/>
      <c r="O19" s="43"/>
      <c r="P19" s="43"/>
      <c r="Q19" s="43"/>
      <c r="R19" s="49"/>
      <c r="S19" s="49"/>
      <c r="X19" s="44"/>
    </row>
    <row r="20" spans="1:24" x14ac:dyDescent="0.2">
      <c r="A20" s="42"/>
      <c r="B20" s="42"/>
      <c r="C20" s="42"/>
      <c r="D20" s="42"/>
      <c r="E20" s="42"/>
      <c r="F20" s="42"/>
      <c r="G20" s="42"/>
      <c r="H20" s="42"/>
      <c r="J20" s="43">
        <v>18</v>
      </c>
      <c r="K20" s="43" t="str">
        <f>[2]Alumnos!B22</f>
        <v>Molina Sánchez, Inmaculada</v>
      </c>
      <c r="L20" s="43" t="str">
        <f>[2]Alumnos!C22</f>
        <v>mmoli@test.test</v>
      </c>
      <c r="M20" s="43"/>
      <c r="N20" s="43"/>
      <c r="O20" s="43"/>
      <c r="P20" s="43"/>
      <c r="Q20" s="43"/>
      <c r="R20" s="49"/>
      <c r="S20" s="49"/>
      <c r="X20" s="44"/>
    </row>
    <row r="21" spans="1:24" x14ac:dyDescent="0.2">
      <c r="D21" s="47">
        <v>13</v>
      </c>
      <c r="J21" s="43">
        <v>19</v>
      </c>
      <c r="K21" s="43" t="str">
        <f>[2]Alumnos!B23</f>
        <v>Montero Pacheco, Pablo</v>
      </c>
      <c r="L21" s="43" t="str">
        <f>[2]Alumnos!C23</f>
        <v>pmont@test.test</v>
      </c>
      <c r="M21" s="43"/>
      <c r="N21" s="43"/>
      <c r="O21" s="43"/>
      <c r="P21" s="43"/>
      <c r="Q21" s="43"/>
      <c r="R21" s="49"/>
      <c r="S21" s="49"/>
      <c r="X21" s="44"/>
    </row>
    <row r="22" spans="1:24" x14ac:dyDescent="0.2">
      <c r="D22" s="47">
        <v>3</v>
      </c>
      <c r="J22" s="43">
        <v>20</v>
      </c>
      <c r="K22" s="43" t="str">
        <f>[2]Alumnos!B24</f>
        <v>Mora García, Javier</v>
      </c>
      <c r="L22" s="43" t="str">
        <f>[2]Alumnos!C24</f>
        <v>jmora@test.test</v>
      </c>
      <c r="M22" s="43"/>
      <c r="N22" s="43"/>
      <c r="O22" s="43"/>
      <c r="P22" s="43"/>
      <c r="Q22" s="43"/>
      <c r="R22" s="49"/>
      <c r="S22" s="49"/>
      <c r="X22" s="44"/>
    </row>
    <row r="23" spans="1:24" x14ac:dyDescent="0.2">
      <c r="D23" s="47">
        <v>1</v>
      </c>
      <c r="J23" s="43">
        <v>21</v>
      </c>
      <c r="K23" s="43" t="str">
        <f>[2]Alumnos!B25</f>
        <v>Morcillo Pared, Luna</v>
      </c>
      <c r="L23" s="43" t="str">
        <f>[2]Alumnos!C25</f>
        <v>pmorc@test.test</v>
      </c>
      <c r="M23" s="43"/>
      <c r="N23" s="43"/>
      <c r="O23" s="43"/>
      <c r="P23" s="43"/>
      <c r="Q23" s="43"/>
      <c r="R23" s="49"/>
      <c r="S23" s="49"/>
      <c r="X23" s="44"/>
    </row>
    <row r="24" spans="1:24" x14ac:dyDescent="0.2">
      <c r="J24" s="43">
        <v>22</v>
      </c>
      <c r="K24" s="43" t="str">
        <f>[2]Alumnos!B26</f>
        <v>Moreno Hernández, Francisco</v>
      </c>
      <c r="L24" s="43" t="str">
        <f>[2]Alumnos!C26</f>
        <v>tmmor@test.test</v>
      </c>
      <c r="M24" s="43"/>
      <c r="N24" s="43"/>
      <c r="O24" s="43"/>
      <c r="P24" s="43"/>
      <c r="Q24" s="43"/>
      <c r="R24" s="49"/>
      <c r="S24" s="49"/>
      <c r="X24" s="44"/>
    </row>
    <row r="25" spans="1:24" x14ac:dyDescent="0.2">
      <c r="J25" s="43">
        <v>23</v>
      </c>
      <c r="K25" s="43" t="str">
        <f>[2]Alumnos!B27</f>
        <v>Muñoz Garijo, Pablo</v>
      </c>
      <c r="L25" s="43" t="str">
        <f>[2]Alumnos!C27</f>
        <v>pmuoz@test.test</v>
      </c>
      <c r="M25" s="43"/>
      <c r="N25" s="43"/>
      <c r="O25" s="43"/>
      <c r="P25" s="43"/>
      <c r="Q25" s="43"/>
      <c r="R25" s="49"/>
      <c r="S25" s="49"/>
      <c r="X25" s="44"/>
    </row>
    <row r="26" spans="1:24" x14ac:dyDescent="0.2">
      <c r="J26" s="43">
        <v>24</v>
      </c>
      <c r="K26" s="43" t="str">
        <f>[2]Alumnos!B28</f>
        <v>Pérez Garrido, Francisco</v>
      </c>
      <c r="L26" s="43" t="str">
        <f>[2]Alumnos!C28</f>
        <v>rrns0@test.test</v>
      </c>
      <c r="M26" s="43"/>
      <c r="N26" s="43"/>
      <c r="O26" s="43"/>
      <c r="P26" s="43"/>
      <c r="Q26" s="43"/>
      <c r="R26" s="49"/>
      <c r="S26" s="49"/>
      <c r="X26" s="44"/>
    </row>
    <row r="27" spans="1:24" x14ac:dyDescent="0.2">
      <c r="J27" s="43">
        <v>25</v>
      </c>
      <c r="K27" s="43" t="str">
        <f>[2]Alumnos!B29</f>
        <v>Serna Serna, Susana</v>
      </c>
      <c r="L27" s="43" t="str">
        <f>[2]Alumnos!C29</f>
        <v>fpere@test.test</v>
      </c>
      <c r="M27" s="43"/>
      <c r="N27" s="43"/>
      <c r="O27" s="43"/>
      <c r="P27" s="43"/>
      <c r="Q27" s="43"/>
      <c r="R27" s="49"/>
      <c r="S27" s="49"/>
      <c r="X27" s="44"/>
    </row>
    <row r="28" spans="1:24" x14ac:dyDescent="0.2">
      <c r="J28" s="43">
        <v>26</v>
      </c>
      <c r="K28" s="43" t="str">
        <f>[2]Alumnos!B30</f>
        <v>Soriano Tornero, Manuel</v>
      </c>
      <c r="L28" s="43" t="str">
        <f>[2]Alumnos!C30</f>
        <v>asanz@test.test</v>
      </c>
      <c r="M28" s="43"/>
      <c r="N28" s="43"/>
      <c r="O28" s="43"/>
      <c r="P28" s="43"/>
      <c r="Q28" s="43"/>
      <c r="R28" s="49"/>
      <c r="S28" s="49"/>
      <c r="X28" s="44"/>
    </row>
    <row r="29" spans="1:24" x14ac:dyDescent="0.2">
      <c r="J29" s="43">
        <v>27</v>
      </c>
      <c r="K29" s="43" t="str">
        <f>[2]Alumnos!B31</f>
        <v>Sultán Zar, Pedro</v>
      </c>
      <c r="L29" s="43" t="str">
        <f>[2]Alumnos!C31</f>
        <v>ssern@test.test</v>
      </c>
      <c r="M29" s="43"/>
      <c r="N29" s="43"/>
      <c r="O29" s="43"/>
      <c r="P29" s="43"/>
      <c r="Q29" s="43"/>
      <c r="R29" s="49"/>
      <c r="S29" s="49"/>
      <c r="X29" s="44"/>
    </row>
    <row r="30" spans="1:24" x14ac:dyDescent="0.2">
      <c r="J30" s="43">
        <v>28</v>
      </c>
      <c r="K30" s="43" t="str">
        <f>[2]Alumnos!B32</f>
        <v>Tendero Grande, Marina</v>
      </c>
      <c r="L30" s="43" t="str">
        <f>[2]Alumnos!C32</f>
        <v>dsori@test.test</v>
      </c>
      <c r="M30" s="43"/>
      <c r="N30" s="43"/>
      <c r="O30" s="43"/>
      <c r="P30" s="43"/>
      <c r="Q30" s="43"/>
      <c r="R30" s="49"/>
      <c r="S30" s="49"/>
      <c r="X30" s="44"/>
    </row>
    <row r="31" spans="1:24" x14ac:dyDescent="0.2">
      <c r="J31" s="43">
        <v>29</v>
      </c>
      <c r="K31" s="43" t="str">
        <f>[2]Alumnos!B33</f>
        <v>Valencia Bueno, Isabel</v>
      </c>
      <c r="L31" s="43" t="str">
        <f>[2]Alumnos!C33</f>
        <v>pzafr@test.test</v>
      </c>
      <c r="M31" s="43"/>
      <c r="N31" s="43"/>
      <c r="O31" s="43"/>
      <c r="P31" s="43"/>
      <c r="Q31" s="43"/>
      <c r="R31" s="49"/>
      <c r="S31" s="49"/>
      <c r="X31" s="44"/>
    </row>
    <row r="32" spans="1:24" x14ac:dyDescent="0.2">
      <c r="J32" s="43">
        <v>30</v>
      </c>
      <c r="K32" s="43" t="str">
        <f>[2]Alumnos!B34</f>
        <v>Zarza Parrilla, Manuel</v>
      </c>
      <c r="L32" s="43" t="str">
        <f>[2]Alumnos!C34</f>
        <v>pzafr@test.test</v>
      </c>
      <c r="M32" s="43"/>
      <c r="N32" s="43"/>
      <c r="O32" s="43"/>
      <c r="P32" s="43"/>
      <c r="Q32" s="43"/>
      <c r="R32" s="49"/>
      <c r="S32" s="49"/>
      <c r="X32" s="44"/>
    </row>
    <row r="33" spans="10:24" x14ac:dyDescent="0.2">
      <c r="J33" s="43"/>
      <c r="K33" s="43"/>
      <c r="L33" s="43"/>
      <c r="M33" s="43"/>
      <c r="N33" s="43"/>
      <c r="O33" s="43"/>
      <c r="P33" s="43"/>
      <c r="Q33" s="43"/>
      <c r="R33" s="49"/>
      <c r="S33" s="49"/>
      <c r="X33" s="44"/>
    </row>
    <row r="34" spans="10:24" x14ac:dyDescent="0.2">
      <c r="J34" s="43"/>
      <c r="K34" s="48"/>
      <c r="L34" s="43"/>
      <c r="M34" s="43"/>
      <c r="N34" s="43"/>
      <c r="O34" s="43"/>
      <c r="P34" s="43"/>
      <c r="Q34" s="43"/>
      <c r="R34" s="49"/>
      <c r="S34" s="49"/>
      <c r="X34" s="44"/>
    </row>
    <row r="35" spans="10:24" x14ac:dyDescent="0.2">
      <c r="J35" s="43"/>
      <c r="K35" s="43"/>
      <c r="L35" s="43"/>
      <c r="M35" s="43"/>
      <c r="N35" s="43"/>
      <c r="O35" s="43"/>
      <c r="P35" s="43"/>
      <c r="Q35" s="43"/>
      <c r="R35" s="49"/>
      <c r="S35" s="49"/>
      <c r="X35" s="44"/>
    </row>
    <row r="36" spans="10:24" x14ac:dyDescent="0.2">
      <c r="J36" s="49"/>
      <c r="K36" s="49"/>
      <c r="L36" s="49"/>
      <c r="M36" s="49"/>
      <c r="N36" s="49"/>
      <c r="O36" s="49"/>
      <c r="P36" s="49"/>
      <c r="Q36" s="49"/>
      <c r="R36" s="49"/>
      <c r="S36" s="49"/>
      <c r="X36" s="44"/>
    </row>
    <row r="37" spans="10:24" x14ac:dyDescent="0.2">
      <c r="J37" s="49"/>
      <c r="K37" s="49"/>
      <c r="L37" s="49"/>
      <c r="M37" s="49"/>
      <c r="N37" s="49"/>
      <c r="O37" s="49"/>
      <c r="P37" s="49"/>
      <c r="Q37" s="49"/>
      <c r="R37" s="49"/>
      <c r="S37" s="49"/>
      <c r="X37" s="44"/>
    </row>
    <row r="38" spans="10:24" x14ac:dyDescent="0.2">
      <c r="J38" s="49"/>
      <c r="K38" s="49"/>
      <c r="L38" s="49"/>
      <c r="M38" s="49"/>
      <c r="N38" s="49"/>
      <c r="O38" s="49"/>
      <c r="P38" s="49"/>
      <c r="Q38" s="49"/>
      <c r="R38" s="49"/>
      <c r="S38" s="49"/>
      <c r="X38" s="44"/>
    </row>
    <row r="39" spans="10:24" x14ac:dyDescent="0.2">
      <c r="J39" s="49"/>
      <c r="K39" s="49"/>
      <c r="L39" s="49"/>
      <c r="M39" s="49"/>
      <c r="N39" s="49"/>
      <c r="O39" s="49"/>
      <c r="P39" s="49"/>
      <c r="Q39" s="49"/>
      <c r="R39" s="49"/>
      <c r="S39" s="49"/>
      <c r="X39" s="44"/>
    </row>
    <row r="40" spans="10:24" x14ac:dyDescent="0.2">
      <c r="J40" s="49"/>
      <c r="K40" s="49"/>
      <c r="L40" s="49"/>
      <c r="M40" s="49"/>
      <c r="N40" s="49"/>
      <c r="O40" s="49"/>
      <c r="P40" s="49"/>
      <c r="Q40" s="49"/>
      <c r="R40" s="49"/>
      <c r="S40" s="49"/>
      <c r="X40" s="44"/>
    </row>
    <row r="41" spans="10:24" x14ac:dyDescent="0.2"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3"/>
      <c r="U41" s="43"/>
      <c r="V41" s="43"/>
      <c r="W41" s="43"/>
      <c r="X41" s="44"/>
    </row>
    <row r="42" spans="10:24" x14ac:dyDescent="0.2"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3"/>
      <c r="U42" s="43"/>
      <c r="V42" s="43"/>
      <c r="W42" s="43"/>
      <c r="X42" s="44"/>
    </row>
    <row r="43" spans="10:24" x14ac:dyDescent="0.2"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4"/>
    </row>
    <row r="44" spans="10:24" x14ac:dyDescent="0.2"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4"/>
    </row>
    <row r="45" spans="10:24" x14ac:dyDescent="0.2"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4"/>
    </row>
    <row r="46" spans="10:24" x14ac:dyDescent="0.2"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4"/>
    </row>
    <row r="47" spans="10:24" x14ac:dyDescent="0.2"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</row>
    <row r="48" spans="10:24" x14ac:dyDescent="0.2"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</row>
    <row r="49" spans="11:24" x14ac:dyDescent="0.2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</row>
    <row r="50" spans="11:24" x14ac:dyDescent="0.2"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</row>
    <row r="51" spans="11:24" x14ac:dyDescent="0.2"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</row>
    <row r="52" spans="11:24" x14ac:dyDescent="0.2"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</row>
    <row r="53" spans="11:24" x14ac:dyDescent="0.2"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</row>
    <row r="54" spans="11:24" x14ac:dyDescent="0.2"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</row>
    <row r="55" spans="11:24" x14ac:dyDescent="0.2"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</row>
    <row r="56" spans="11:24" x14ac:dyDescent="0.2"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</row>
    <row r="57" spans="11:24" x14ac:dyDescent="0.2"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</row>
    <row r="58" spans="11:24" x14ac:dyDescent="0.2"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</row>
    <row r="59" spans="11:24" x14ac:dyDescent="0.2"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</row>
    <row r="60" spans="11:24" x14ac:dyDescent="0.2"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</row>
    <row r="61" spans="11:24" x14ac:dyDescent="0.2"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</row>
    <row r="62" spans="11:24" x14ac:dyDescent="0.2"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</row>
    <row r="63" spans="11:24" x14ac:dyDescent="0.2"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</row>
  </sheetData>
  <sheetProtection algorithmName="SHA-512" hashValue="iTnOyZlfEZs7O6FwZvRdSg9GWUU0aeEI0vFW0UEVrg5FSemCKkNglM7LDD42sk/viZ1RodQ8i5QC++T8MZF1Iw==" saltValue="/ZhPT59oi9L6ZM84VvB7jA==" spinCount="100000" sheet="1" objects="1" scenarios="1" formatCells="0" autoFilter="0"/>
  <dataConsolidate/>
  <mergeCells count="5">
    <mergeCell ref="C11:F11"/>
    <mergeCell ref="C13:F13"/>
    <mergeCell ref="C15:F15"/>
    <mergeCell ref="C17:F17"/>
    <mergeCell ref="C19:F19"/>
  </mergeCells>
  <hyperlinks>
    <hyperlink ref="C13" r:id="rId1" xr:uid="{E680C569-1553-224D-AFB8-493A141A6457}"/>
    <hyperlink ref="C17" r:id="rId2" display="raquelnavarrosa@gmail.com" xr:uid="{8D7A4095-DEFB-0243-AFE9-293E1A4461EC}"/>
  </hyperlinks>
  <pageMargins left="0.7" right="0.7" top="0.75" bottom="0.75" header="0.3" footer="0.3"/>
  <pageSetup paperSize="9" orientation="landscape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Label 1">
              <controlPr defaultSize="0" autoFill="0" autoLine="0" autoPict="0">
                <anchor moveWithCells="1" sizeWithCells="1">
                  <from>
                    <xdr:col>2</xdr:col>
                    <xdr:colOff>76200</xdr:colOff>
                    <xdr:row>1</xdr:row>
                    <xdr:rowOff>127000</xdr:rowOff>
                  </from>
                  <to>
                    <xdr:col>2</xdr:col>
                    <xdr:colOff>762000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7" name="Label 2">
              <controlPr defaultSize="0" autoFill="0" autoLine="0" autoPict="0">
                <anchor moveWithCells="1" sizeWithCells="1">
                  <from>
                    <xdr:col>1</xdr:col>
                    <xdr:colOff>749300</xdr:colOff>
                    <xdr:row>3</xdr:row>
                    <xdr:rowOff>190500</xdr:rowOff>
                  </from>
                  <to>
                    <xdr:col>3</xdr:col>
                    <xdr:colOff>12700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8" name="Label 3">
              <controlPr defaultSize="0" autoFill="0" autoLine="0" autoPict="0">
                <anchor moveWithCells="1" sizeWithCells="1">
                  <from>
                    <xdr:col>1</xdr:col>
                    <xdr:colOff>304800</xdr:colOff>
                    <xdr:row>6</xdr:row>
                    <xdr:rowOff>127000</xdr:rowOff>
                  </from>
                  <to>
                    <xdr:col>3</xdr:col>
                    <xdr:colOff>25400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9" name="Drop Down 4">
              <controlPr locked="0" defaultSize="0" autoLine="0" autoPict="0">
                <anchor moveWithCells="1">
                  <from>
                    <xdr:col>3</xdr:col>
                    <xdr:colOff>12700</xdr:colOff>
                    <xdr:row>1</xdr:row>
                    <xdr:rowOff>165100</xdr:rowOff>
                  </from>
                  <to>
                    <xdr:col>6</xdr:col>
                    <xdr:colOff>76200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10" name="Drop Down 5">
              <controlPr locked="0" defaultSize="0" autoLine="0" autoPict="0">
                <anchor moveWithCells="1">
                  <from>
                    <xdr:col>2</xdr:col>
                    <xdr:colOff>838200</xdr:colOff>
                    <xdr:row>4</xdr:row>
                    <xdr:rowOff>25400</xdr:rowOff>
                  </from>
                  <to>
                    <xdr:col>6</xdr:col>
                    <xdr:colOff>76200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1" name="Drop Down 6">
              <controlPr defaultSize="0" autoLine="0" autoPict="0">
                <anchor moveWithCells="1">
                  <from>
                    <xdr:col>3</xdr:col>
                    <xdr:colOff>12700</xdr:colOff>
                    <xdr:row>6</xdr:row>
                    <xdr:rowOff>88900</xdr:rowOff>
                  </from>
                  <to>
                    <xdr:col>6</xdr:col>
                    <xdr:colOff>88900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2" name="Button 7">
              <controlPr defaultSize="0" print="0" autoFill="0" autoPict="0" macro="[0]!Generar">
                <anchor moveWithCells="1" sizeWithCells="1">
                  <from>
                    <xdr:col>6</xdr:col>
                    <xdr:colOff>495300</xdr:colOff>
                    <xdr:row>5</xdr:row>
                    <xdr:rowOff>139700</xdr:rowOff>
                  </from>
                  <to>
                    <xdr:col>7</xdr:col>
                    <xdr:colOff>584200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3" name="Button 8">
              <controlPr defaultSize="0" print="0" autoFill="0" autoPict="0" macro="[0]!EditConfig">
                <anchor moveWithCells="1" sizeWithCells="1">
                  <from>
                    <xdr:col>6</xdr:col>
                    <xdr:colOff>317500</xdr:colOff>
                    <xdr:row>12</xdr:row>
                    <xdr:rowOff>152400</xdr:rowOff>
                  </from>
                  <to>
                    <xdr:col>7</xdr:col>
                    <xdr:colOff>635000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4" name="Button 9">
              <controlPr defaultSize="0" print="0" autoFill="0" autoPict="0" macro="[0]!HideConfig" altText="Oculta Configuración">
                <anchor moveWithCells="1" sizeWithCells="1">
                  <from>
                    <xdr:col>6</xdr:col>
                    <xdr:colOff>241300</xdr:colOff>
                    <xdr:row>15</xdr:row>
                    <xdr:rowOff>101600</xdr:rowOff>
                  </from>
                  <to>
                    <xdr:col>7</xdr:col>
                    <xdr:colOff>647700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8F57B-9D12-B646-8D43-516BB8F9013A}">
  <sheetPr codeName="Sheet12">
    <tabColor theme="6"/>
    <pageSetUpPr fitToPage="1"/>
  </sheetPr>
  <dimension ref="A1:D85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3" sqref="C3:D58"/>
    </sheetView>
  </sheetViews>
  <sheetFormatPr baseColWidth="10" defaultRowHeight="19" x14ac:dyDescent="0.25"/>
  <cols>
    <col min="1" max="1" width="80.83203125" style="1" customWidth="1"/>
    <col min="2" max="2" width="14.33203125" customWidth="1"/>
    <col min="3" max="3" width="10.83203125" customWidth="1"/>
    <col min="4" max="4" width="7.83203125" customWidth="1"/>
    <col min="5" max="62" width="10.83203125" customWidth="1"/>
  </cols>
  <sheetData>
    <row r="1" spans="1:4" ht="19" customHeight="1" x14ac:dyDescent="0.2">
      <c r="A1" s="65" t="s">
        <v>125</v>
      </c>
      <c r="B1" s="68" t="s">
        <v>86</v>
      </c>
      <c r="C1" s="91" t="s">
        <v>124</v>
      </c>
      <c r="D1" s="91"/>
    </row>
    <row r="2" spans="1:4" ht="115" customHeight="1" x14ac:dyDescent="0.2">
      <c r="A2" s="65"/>
      <c r="B2" s="69"/>
      <c r="C2" s="91"/>
      <c r="D2" s="91"/>
    </row>
    <row r="3" spans="1:4" ht="33" customHeight="1" x14ac:dyDescent="0.2">
      <c r="A3" s="29" t="str" cm="1">
        <f t="array" ref="A3">[2]!VERSION</f>
        <v>Versión 1.2</v>
      </c>
      <c r="B3" s="9" t="str">
        <f>IF((B4+B7+B16+B38)=1,"Ok","Error % Bloques")</f>
        <v>Ok</v>
      </c>
      <c r="C3" s="93">
        <v>4.9300000309944156</v>
      </c>
      <c r="D3" s="92"/>
    </row>
    <row r="4" spans="1:4" x14ac:dyDescent="0.2">
      <c r="A4" s="6" t="s">
        <v>2</v>
      </c>
      <c r="B4" s="7">
        <f>Estructura!C2</f>
        <v>0.1</v>
      </c>
      <c r="C4" s="94" t="s">
        <v>123</v>
      </c>
      <c r="D4" s="94"/>
    </row>
    <row r="5" spans="1:4" x14ac:dyDescent="0.2">
      <c r="A5" s="95" t="s">
        <v>126</v>
      </c>
      <c r="B5" s="14"/>
      <c r="C5" s="96"/>
      <c r="D5" s="97">
        <v>-1</v>
      </c>
    </row>
    <row r="6" spans="1:4" ht="38" x14ac:dyDescent="0.2">
      <c r="A6" s="95" t="s">
        <v>127</v>
      </c>
      <c r="B6" s="14"/>
      <c r="C6" s="96"/>
      <c r="D6" s="97">
        <v>-1</v>
      </c>
    </row>
    <row r="7" spans="1:4" x14ac:dyDescent="0.2">
      <c r="A7" s="6" t="s">
        <v>3</v>
      </c>
      <c r="B7" s="7">
        <f>Estructura!C3</f>
        <v>0.2</v>
      </c>
      <c r="C7" s="94">
        <v>1.119999998807907</v>
      </c>
      <c r="D7" s="94"/>
    </row>
    <row r="8" spans="1:4" ht="38" x14ac:dyDescent="0.2">
      <c r="A8" s="95" t="s">
        <v>128</v>
      </c>
      <c r="B8" s="13">
        <f>Recu1!B8</f>
        <v>2</v>
      </c>
      <c r="C8" s="98">
        <v>0.80000001192092896</v>
      </c>
      <c r="D8" s="97">
        <v>0.40000000596046448</v>
      </c>
    </row>
    <row r="9" spans="1:4" ht="38" x14ac:dyDescent="0.2">
      <c r="A9" s="95" t="s">
        <v>129</v>
      </c>
      <c r="B9" s="13">
        <f>Recu1!B9</f>
        <v>2</v>
      </c>
      <c r="C9" s="98">
        <v>2</v>
      </c>
      <c r="D9" s="97">
        <v>1</v>
      </c>
    </row>
    <row r="10" spans="1:4" ht="38" x14ac:dyDescent="0.2">
      <c r="A10" s="95" t="s">
        <v>130</v>
      </c>
      <c r="B10" s="13">
        <f>Recu1!B10</f>
        <v>2</v>
      </c>
      <c r="C10" s="98">
        <v>0.40000000596046448</v>
      </c>
      <c r="D10" s="97">
        <v>0.20000000298023224</v>
      </c>
    </row>
    <row r="11" spans="1:4" ht="57" x14ac:dyDescent="0.2">
      <c r="A11" s="99" t="s">
        <v>131</v>
      </c>
      <c r="B11" s="13">
        <f>Recu1!B11</f>
        <v>0</v>
      </c>
      <c r="C11" s="98">
        <v>0</v>
      </c>
      <c r="D11" s="97">
        <v>-1</v>
      </c>
    </row>
    <row r="12" spans="1:4" ht="38" x14ac:dyDescent="0.2">
      <c r="A12" s="99" t="s">
        <v>132</v>
      </c>
      <c r="B12" s="13">
        <f>Recu1!B12</f>
        <v>2</v>
      </c>
      <c r="C12" s="98">
        <v>1</v>
      </c>
      <c r="D12" s="97">
        <v>0.5</v>
      </c>
    </row>
    <row r="13" spans="1:4" ht="38" x14ac:dyDescent="0.2">
      <c r="A13" s="95" t="s">
        <v>133</v>
      </c>
      <c r="B13" s="13">
        <f>Recu1!B13</f>
        <v>2</v>
      </c>
      <c r="C13" s="98">
        <v>1.3999999761581421</v>
      </c>
      <c r="D13" s="97">
        <v>0.69999998807907104</v>
      </c>
    </row>
    <row r="14" spans="1:4" ht="57" x14ac:dyDescent="0.2">
      <c r="A14" s="99" t="s">
        <v>134</v>
      </c>
      <c r="B14" s="13">
        <f>Recu1!B14</f>
        <v>0</v>
      </c>
      <c r="C14" s="98">
        <v>0</v>
      </c>
      <c r="D14" s="97">
        <v>-1</v>
      </c>
    </row>
    <row r="15" spans="1:4" ht="38" x14ac:dyDescent="0.2">
      <c r="A15" s="99" t="s">
        <v>135</v>
      </c>
      <c r="B15" s="13">
        <f>Recu1!B15</f>
        <v>0</v>
      </c>
      <c r="C15" s="98">
        <v>0</v>
      </c>
      <c r="D15" s="97">
        <v>-1</v>
      </c>
    </row>
    <row r="16" spans="1:4" x14ac:dyDescent="0.2">
      <c r="A16" s="6" t="s">
        <v>4</v>
      </c>
      <c r="B16" s="7">
        <f>Estructura!C4</f>
        <v>0.4</v>
      </c>
      <c r="C16" s="94">
        <v>2.3100000143051149</v>
      </c>
      <c r="D16" s="94"/>
    </row>
    <row r="17" spans="1:4" ht="38" x14ac:dyDescent="0.2">
      <c r="A17" s="95" t="s">
        <v>136</v>
      </c>
      <c r="B17" s="13">
        <f>Recu1!B17</f>
        <v>1.5</v>
      </c>
      <c r="C17" s="98">
        <v>0.45000001788139343</v>
      </c>
      <c r="D17" s="97">
        <v>0.30000001192092896</v>
      </c>
    </row>
    <row r="18" spans="1:4" ht="57" x14ac:dyDescent="0.2">
      <c r="A18" s="95" t="s">
        <v>137</v>
      </c>
      <c r="B18" s="13">
        <f>Recu1!B18</f>
        <v>1.5</v>
      </c>
      <c r="C18" s="98">
        <v>1.5</v>
      </c>
      <c r="D18" s="97">
        <v>1</v>
      </c>
    </row>
    <row r="19" spans="1:4" ht="57" x14ac:dyDescent="0.2">
      <c r="A19" s="99" t="s">
        <v>138</v>
      </c>
      <c r="B19" s="13">
        <f>Recu1!B19</f>
        <v>1</v>
      </c>
      <c r="C19" s="98">
        <v>0.60000002384185791</v>
      </c>
      <c r="D19" s="97">
        <v>0.60000002384185791</v>
      </c>
    </row>
    <row r="20" spans="1:4" ht="57" x14ac:dyDescent="0.2">
      <c r="A20" s="95" t="s">
        <v>139</v>
      </c>
      <c r="B20" s="13">
        <f>Recu1!B20</f>
        <v>2</v>
      </c>
      <c r="C20" s="98">
        <v>1.7999999523162842</v>
      </c>
      <c r="D20" s="97">
        <v>0.89999997615814209</v>
      </c>
    </row>
    <row r="21" spans="1:4" ht="57" x14ac:dyDescent="0.2">
      <c r="A21" s="95" t="s">
        <v>140</v>
      </c>
      <c r="B21" s="13">
        <f>Recu1!B21</f>
        <v>2</v>
      </c>
      <c r="C21" s="98">
        <v>0.80000001192092896</v>
      </c>
      <c r="D21" s="97">
        <v>0.40000000596046448</v>
      </c>
    </row>
    <row r="22" spans="1:4" ht="38" x14ac:dyDescent="0.2">
      <c r="A22" s="95" t="s">
        <v>141</v>
      </c>
      <c r="B22" s="13">
        <f>Recu1!B22</f>
        <v>1</v>
      </c>
      <c r="C22" s="98">
        <v>0.40000000596046448</v>
      </c>
      <c r="D22" s="97">
        <v>0.40000000596046448</v>
      </c>
    </row>
    <row r="23" spans="1:4" ht="38" x14ac:dyDescent="0.2">
      <c r="A23" s="95" t="s">
        <v>142</v>
      </c>
      <c r="B23" s="13">
        <f>Recu1!B23</f>
        <v>1</v>
      </c>
      <c r="C23" s="98">
        <v>1</v>
      </c>
      <c r="D23" s="97">
        <v>1</v>
      </c>
    </row>
    <row r="24" spans="1:4" ht="38" x14ac:dyDescent="0.2">
      <c r="A24" s="99" t="s">
        <v>143</v>
      </c>
      <c r="B24" s="13">
        <f>Recu1!B24</f>
        <v>0</v>
      </c>
      <c r="C24" s="98">
        <v>0</v>
      </c>
      <c r="D24" s="97">
        <v>-1</v>
      </c>
    </row>
    <row r="25" spans="1:4" ht="57" x14ac:dyDescent="0.2">
      <c r="A25" s="99" t="s">
        <v>144</v>
      </c>
      <c r="B25" s="13">
        <f>Recu1!B25</f>
        <v>0</v>
      </c>
      <c r="C25" s="98">
        <v>0</v>
      </c>
      <c r="D25" s="97">
        <v>-1</v>
      </c>
    </row>
    <row r="26" spans="1:4" ht="57" x14ac:dyDescent="0.2">
      <c r="A26" s="95" t="s">
        <v>145</v>
      </c>
      <c r="B26" s="13">
        <f>MAX([2]Examen21!B14,[2]Examen22!B14,[2]Examen23!B14)</f>
        <v>2</v>
      </c>
      <c r="C26" s="98">
        <v>1.2000000476837158</v>
      </c>
      <c r="D26" s="97">
        <v>0.60000002384185791</v>
      </c>
    </row>
    <row r="27" spans="1:4" ht="38" x14ac:dyDescent="0.2">
      <c r="A27" s="99" t="s">
        <v>146</v>
      </c>
      <c r="B27" s="13">
        <f>MAX([2]Examen21!B15,[2]Examen22!B15,[2]Examen23!B15)</f>
        <v>2</v>
      </c>
      <c r="C27" s="98">
        <v>0.60000002384185791</v>
      </c>
      <c r="D27" s="97">
        <v>0.30000001192092896</v>
      </c>
    </row>
    <row r="28" spans="1:4" ht="38" x14ac:dyDescent="0.2">
      <c r="A28" s="99" t="s">
        <v>147</v>
      </c>
      <c r="B28" s="13">
        <f>MAX([2]Examen21!B16,[2]Examen22!B16,[2]Examen23!B16)</f>
        <v>2</v>
      </c>
      <c r="C28" s="98">
        <v>1.7999999523162842</v>
      </c>
      <c r="D28" s="97">
        <v>0.89999997615814209</v>
      </c>
    </row>
    <row r="29" spans="1:4" ht="38" x14ac:dyDescent="0.2">
      <c r="A29" s="95" t="s">
        <v>148</v>
      </c>
      <c r="B29" s="13">
        <f>MAX([2]Examen21!B17,[2]Examen22!B17,[2]Examen23!B17)</f>
        <v>2</v>
      </c>
      <c r="C29" s="98">
        <v>0.60000002384185791</v>
      </c>
      <c r="D29" s="97">
        <v>0.30000001192092896</v>
      </c>
    </row>
    <row r="30" spans="1:4" ht="57" x14ac:dyDescent="0.2">
      <c r="A30" s="95" t="s">
        <v>149</v>
      </c>
      <c r="B30" s="13">
        <f>MAX([2]Examen21!B18,[2]Examen22!B18,[2]Examen23!B18)</f>
        <v>0</v>
      </c>
      <c r="C30" s="98">
        <v>0</v>
      </c>
      <c r="D30" s="97">
        <v>-1</v>
      </c>
    </row>
    <row r="31" spans="1:4" ht="38" x14ac:dyDescent="0.2">
      <c r="A31" s="95" t="s">
        <v>150</v>
      </c>
      <c r="B31" s="13">
        <f>MAX([2]Examen21!B19,[2]Examen22!B19,[2]Examen23!B19)</f>
        <v>2</v>
      </c>
      <c r="C31" s="98">
        <v>0.80000001192092896</v>
      </c>
      <c r="D31" s="97">
        <v>0.40000000596046448</v>
      </c>
    </row>
    <row r="32" spans="1:4" ht="38" x14ac:dyDescent="0.2">
      <c r="A32" s="99" t="s">
        <v>151</v>
      </c>
      <c r="B32" s="13">
        <f>MAX([2]Examen21!B20,[2]Examen22!B20,[2]Examen23!B20)</f>
        <v>0</v>
      </c>
      <c r="C32" s="98">
        <v>0</v>
      </c>
      <c r="D32" s="97">
        <v>-1</v>
      </c>
    </row>
    <row r="33" spans="1:4" ht="38" x14ac:dyDescent="0.2">
      <c r="A33" s="99" t="s">
        <v>152</v>
      </c>
      <c r="B33" s="13">
        <f>MAX([2]Examen21!B21,[2]Examen22!B21,[2]Examen23!B21)</f>
        <v>0</v>
      </c>
      <c r="C33" s="98">
        <v>0</v>
      </c>
      <c r="D33" s="97">
        <v>-1</v>
      </c>
    </row>
    <row r="34" spans="1:4" ht="38" x14ac:dyDescent="0.2">
      <c r="A34" s="95" t="s">
        <v>153</v>
      </c>
      <c r="B34" s="13">
        <f>MAX([2]Examen21!B22,[2]Examen22!B22,[2]Examen23!B22)</f>
        <v>0</v>
      </c>
      <c r="C34" s="98">
        <v>0</v>
      </c>
      <c r="D34" s="97">
        <v>-1</v>
      </c>
    </row>
    <row r="35" spans="1:4" ht="57" x14ac:dyDescent="0.2">
      <c r="A35" s="95" t="s">
        <v>154</v>
      </c>
      <c r="B35" s="13">
        <f>MAX([2]Examen21!B23,[2]Examen22!B23,[2]Examen23!B23)</f>
        <v>0</v>
      </c>
      <c r="C35" s="98">
        <v>0</v>
      </c>
      <c r="D35" s="97">
        <v>-1</v>
      </c>
    </row>
    <row r="36" spans="1:4" ht="38" x14ac:dyDescent="0.2">
      <c r="A36" s="95" t="s">
        <v>155</v>
      </c>
      <c r="B36" s="13">
        <f>MAX([2]Examen21!B24,[2]Examen22!B24,[2]Examen23!B24)</f>
        <v>0</v>
      </c>
      <c r="C36" s="98">
        <v>0</v>
      </c>
      <c r="D36" s="97">
        <v>-1</v>
      </c>
    </row>
    <row r="37" spans="1:4" ht="38" x14ac:dyDescent="0.2">
      <c r="A37" s="95" t="s">
        <v>156</v>
      </c>
      <c r="B37" s="13">
        <f>MAX([2]Examen21!B25,[2]Examen22!B25,[2]Examen23!B25)</f>
        <v>0</v>
      </c>
      <c r="C37" s="98">
        <v>0</v>
      </c>
      <c r="D37" s="97">
        <v>-1</v>
      </c>
    </row>
    <row r="38" spans="1:4" ht="38" customHeight="1" x14ac:dyDescent="0.2">
      <c r="A38" s="6" t="s">
        <v>5</v>
      </c>
      <c r="B38" s="7">
        <f>Estructura!C5</f>
        <v>0.3</v>
      </c>
      <c r="C38" s="94">
        <v>1.5000000178813933</v>
      </c>
      <c r="D38" s="94"/>
    </row>
    <row r="39" spans="1:4" ht="38" x14ac:dyDescent="0.2">
      <c r="A39" s="95" t="s">
        <v>157</v>
      </c>
      <c r="B39" s="13">
        <f>MAX([2]Examen21!B27,[2]Examen22!B27,[2]Examen23!B27)</f>
        <v>1.5</v>
      </c>
      <c r="C39" s="98">
        <v>0.90000003576278687</v>
      </c>
      <c r="D39" s="97">
        <v>0.60000002384185791</v>
      </c>
    </row>
    <row r="40" spans="1:4" ht="38" x14ac:dyDescent="0.2">
      <c r="A40" s="95" t="s">
        <v>158</v>
      </c>
      <c r="B40" s="13">
        <f>MAX([2]Examen21!B28,[2]Examen22!B28,[2]Examen23!B28)</f>
        <v>1.5</v>
      </c>
      <c r="C40" s="98">
        <v>1.5</v>
      </c>
      <c r="D40" s="97">
        <v>1</v>
      </c>
    </row>
    <row r="41" spans="1:4" ht="38" x14ac:dyDescent="0.2">
      <c r="A41" s="95" t="s">
        <v>159</v>
      </c>
      <c r="B41" s="13">
        <f>MAX([2]Examen21!B29,[2]Examen22!B29,[2]Examen23!B29)</f>
        <v>1</v>
      </c>
      <c r="C41" s="98">
        <v>0.69999998807907104</v>
      </c>
      <c r="D41" s="97">
        <v>0.69999998807907104</v>
      </c>
    </row>
    <row r="42" spans="1:4" ht="38" x14ac:dyDescent="0.2">
      <c r="A42" s="99" t="s">
        <v>160</v>
      </c>
      <c r="B42" s="13">
        <f>MAX([2]Examen21!B30,[2]Examen22!B30,[2]Examen23!B30)</f>
        <v>0</v>
      </c>
      <c r="C42" s="98">
        <v>0</v>
      </c>
      <c r="D42" s="97">
        <v>-1</v>
      </c>
    </row>
    <row r="43" spans="1:4" ht="38" x14ac:dyDescent="0.2">
      <c r="A43" s="95" t="s">
        <v>161</v>
      </c>
      <c r="B43" s="13">
        <f>MAX([2]Examen21!B31,[2]Examen22!B31,[2]Examen23!B31)</f>
        <v>2</v>
      </c>
      <c r="C43" s="98">
        <v>0</v>
      </c>
      <c r="D43" s="97">
        <v>0</v>
      </c>
    </row>
    <row r="44" spans="1:4" ht="38" x14ac:dyDescent="0.2">
      <c r="A44" s="95" t="s">
        <v>162</v>
      </c>
      <c r="B44" s="13">
        <f>MAX([2]Examen21!B32,[2]Examen22!B32,[2]Examen23!B32)</f>
        <v>2</v>
      </c>
      <c r="C44" s="98">
        <v>0.60000002384185791</v>
      </c>
      <c r="D44" s="97">
        <v>0.30000001192092896</v>
      </c>
    </row>
    <row r="45" spans="1:4" ht="38" x14ac:dyDescent="0.2">
      <c r="A45" s="99" t="s">
        <v>163</v>
      </c>
      <c r="B45" s="13">
        <f>MAX([2]Examen21!B33,[2]Examen22!B33,[2]Examen23!B33)</f>
        <v>1</v>
      </c>
      <c r="C45" s="98">
        <v>0.80000001192092896</v>
      </c>
      <c r="D45" s="97">
        <v>0.80000001192092896</v>
      </c>
    </row>
    <row r="46" spans="1:4" ht="38" x14ac:dyDescent="0.2">
      <c r="A46" s="95" t="s">
        <v>164</v>
      </c>
      <c r="B46" s="13">
        <f>MAX([2]Examen21!B34,[2]Examen22!B34,[2]Examen23!B34)</f>
        <v>1</v>
      </c>
      <c r="C46" s="98">
        <v>0.5</v>
      </c>
      <c r="D46" s="97">
        <v>0.5</v>
      </c>
    </row>
    <row r="47" spans="1:4" ht="38" x14ac:dyDescent="0.2">
      <c r="A47" s="95" t="s">
        <v>165</v>
      </c>
      <c r="B47" s="13">
        <f>MAX([2]Examen21!B35,[2]Examen22!B35,[2]Examen23!B35)</f>
        <v>0</v>
      </c>
      <c r="C47" s="98">
        <v>0</v>
      </c>
      <c r="D47" s="97">
        <v>-1</v>
      </c>
    </row>
    <row r="48" spans="1:4" x14ac:dyDescent="0.2">
      <c r="A48" s="99" t="s">
        <v>166</v>
      </c>
      <c r="B48" s="13">
        <f>MAX([2]Examen21!B36,[2]Examen22!B36,[2]Examen23!B36)</f>
        <v>0</v>
      </c>
      <c r="C48" s="98">
        <v>0</v>
      </c>
      <c r="D48" s="97">
        <v>-1</v>
      </c>
    </row>
    <row r="49" spans="1:4" x14ac:dyDescent="0.2">
      <c r="A49" s="95" t="s">
        <v>167</v>
      </c>
      <c r="B49" s="13">
        <f>MAX([2]Examen21!B37,[2]Examen22!B37,[2]Examen23!B37)</f>
        <v>0</v>
      </c>
      <c r="C49" s="98">
        <v>0</v>
      </c>
      <c r="D49" s="97">
        <v>-1</v>
      </c>
    </row>
    <row r="50" spans="1:4" ht="38" x14ac:dyDescent="0.2">
      <c r="A50" s="99" t="s">
        <v>168</v>
      </c>
      <c r="B50" s="13">
        <f>MAX([2]Examen21!B38,[2]Examen22!B38,[2]Examen23!B38)</f>
        <v>0</v>
      </c>
      <c r="C50" s="98">
        <v>0</v>
      </c>
      <c r="D50" s="97">
        <v>-1</v>
      </c>
    </row>
    <row r="51" spans="1:4" ht="38" x14ac:dyDescent="0.2">
      <c r="A51" s="95" t="s">
        <v>169</v>
      </c>
      <c r="B51" s="13">
        <f>MAX([2]Examen21!B39,[2]Examen22!B39,[2]Examen23!B39)</f>
        <v>0</v>
      </c>
      <c r="C51" s="98">
        <v>0</v>
      </c>
      <c r="D51" s="97">
        <v>-1</v>
      </c>
    </row>
    <row r="52" spans="1:4" ht="57" x14ac:dyDescent="0.2">
      <c r="A52" s="95" t="s">
        <v>170</v>
      </c>
      <c r="B52" s="13">
        <f>MAX([2]Examen21!B40,[2]Examen22!B40,[2]Examen23!B40)</f>
        <v>0</v>
      </c>
      <c r="C52" s="98">
        <v>0</v>
      </c>
      <c r="D52" s="97">
        <v>-1</v>
      </c>
    </row>
    <row r="53" spans="1:4" ht="57" x14ac:dyDescent="0.2">
      <c r="A53" s="95" t="s">
        <v>171</v>
      </c>
      <c r="B53" s="13">
        <f>MAX([2]Examen21!B41,[2]Examen22!B41,[2]Examen23!B41)</f>
        <v>0</v>
      </c>
      <c r="C53" s="98">
        <v>0</v>
      </c>
      <c r="D53" s="97">
        <v>-1</v>
      </c>
    </row>
    <row r="54" spans="1:4" ht="38" x14ac:dyDescent="0.2">
      <c r="A54" s="95" t="s">
        <v>172</v>
      </c>
      <c r="B54" s="13">
        <f>MAX([2]Examen21!B42,[2]Examen22!B42,[2]Examen23!B42)</f>
        <v>0</v>
      </c>
      <c r="C54" s="98">
        <v>0</v>
      </c>
      <c r="D54" s="97">
        <v>-1</v>
      </c>
    </row>
    <row r="55" spans="1:4" ht="38" x14ac:dyDescent="0.2">
      <c r="A55" s="99" t="s">
        <v>173</v>
      </c>
      <c r="B55" s="13">
        <f>MAX([2]Examen21!B43,[2]Examen22!B43,[2]Examen23!B43)</f>
        <v>0</v>
      </c>
      <c r="C55" s="98">
        <v>0</v>
      </c>
      <c r="D55" s="97">
        <v>-1</v>
      </c>
    </row>
    <row r="56" spans="1:4" ht="38" x14ac:dyDescent="0.2">
      <c r="A56" s="95" t="s">
        <v>174</v>
      </c>
      <c r="B56" s="13">
        <f>MAX([2]Examen21!B44,[2]Examen22!B44,[2]Examen23!B44)</f>
        <v>0</v>
      </c>
      <c r="C56" s="98">
        <v>0</v>
      </c>
      <c r="D56" s="97">
        <v>-1</v>
      </c>
    </row>
    <row r="57" spans="1:4" ht="38" x14ac:dyDescent="0.2">
      <c r="A57" s="95" t="s">
        <v>175</v>
      </c>
      <c r="B57" s="13">
        <f>MAX([2]Examen21!B45,[2]Examen22!B45,[2]Examen23!B45)</f>
        <v>0</v>
      </c>
      <c r="C57" s="98">
        <v>0</v>
      </c>
      <c r="D57" s="97">
        <v>-1</v>
      </c>
    </row>
    <row r="58" spans="1:4" ht="38" x14ac:dyDescent="0.2">
      <c r="A58" s="95" t="s">
        <v>176</v>
      </c>
      <c r="B58" s="13">
        <f>MAX([2]Examen21!B46,[2]Examen22!B46,[2]Examen23!B46)</f>
        <v>0</v>
      </c>
      <c r="C58" s="98">
        <v>0</v>
      </c>
      <c r="D58" s="97">
        <v>-1</v>
      </c>
    </row>
    <row r="59" spans="1:4" ht="38" customHeight="1" x14ac:dyDescent="0.2">
      <c r="A59"/>
    </row>
    <row r="60" spans="1:4" ht="16" x14ac:dyDescent="0.2">
      <c r="A60"/>
    </row>
    <row r="61" spans="1:4" ht="16" x14ac:dyDescent="0.2">
      <c r="A61"/>
    </row>
    <row r="62" spans="1:4" ht="16" x14ac:dyDescent="0.2">
      <c r="A62"/>
    </row>
    <row r="63" spans="1:4" ht="16" x14ac:dyDescent="0.2">
      <c r="A63"/>
    </row>
    <row r="64" spans="1:4" ht="16" x14ac:dyDescent="0.2">
      <c r="A64"/>
    </row>
    <row r="65" spans="1:1" ht="16" x14ac:dyDescent="0.2">
      <c r="A65"/>
    </row>
    <row r="66" spans="1:1" ht="16" x14ac:dyDescent="0.2">
      <c r="A66"/>
    </row>
    <row r="67" spans="1:1" ht="16" x14ac:dyDescent="0.2">
      <c r="A67"/>
    </row>
    <row r="68" spans="1:1" ht="16" x14ac:dyDescent="0.2">
      <c r="A68"/>
    </row>
    <row r="69" spans="1:1" ht="16" x14ac:dyDescent="0.2">
      <c r="A69"/>
    </row>
    <row r="70" spans="1:1" ht="16" x14ac:dyDescent="0.2">
      <c r="A70"/>
    </row>
    <row r="71" spans="1:1" ht="16" x14ac:dyDescent="0.2">
      <c r="A71"/>
    </row>
    <row r="72" spans="1:1" ht="16" x14ac:dyDescent="0.2">
      <c r="A72"/>
    </row>
    <row r="73" spans="1:1" ht="16" x14ac:dyDescent="0.2">
      <c r="A73"/>
    </row>
    <row r="74" spans="1:1" ht="16" x14ac:dyDescent="0.2">
      <c r="A74"/>
    </row>
    <row r="75" spans="1:1" ht="16" x14ac:dyDescent="0.2">
      <c r="A75"/>
    </row>
    <row r="76" spans="1:1" ht="16" x14ac:dyDescent="0.2">
      <c r="A76"/>
    </row>
    <row r="77" spans="1:1" ht="16" x14ac:dyDescent="0.2">
      <c r="A77"/>
    </row>
    <row r="78" spans="1:1" ht="16" x14ac:dyDescent="0.2">
      <c r="A78"/>
    </row>
    <row r="79" spans="1:1" ht="16" x14ac:dyDescent="0.2">
      <c r="A79"/>
    </row>
    <row r="80" spans="1:1" ht="16" x14ac:dyDescent="0.2">
      <c r="A80"/>
    </row>
    <row r="81" spans="1:1" ht="16" x14ac:dyDescent="0.2">
      <c r="A81"/>
    </row>
    <row r="82" spans="1:1" ht="16" x14ac:dyDescent="0.2">
      <c r="A82"/>
    </row>
    <row r="83" spans="1:1" ht="16" x14ac:dyDescent="0.2">
      <c r="A83"/>
    </row>
    <row r="84" spans="1:1" ht="16" x14ac:dyDescent="0.2">
      <c r="A84"/>
    </row>
    <row r="85" spans="1:1" ht="16" x14ac:dyDescent="0.2">
      <c r="A85"/>
    </row>
  </sheetData>
  <sheetProtection formatCells="0" autoFilter="0"/>
  <mergeCells count="8">
    <mergeCell ref="C38:D38"/>
    <mergeCell ref="C16:D16"/>
    <mergeCell ref="A1:A2"/>
    <mergeCell ref="B1:B2"/>
    <mergeCell ref="C1:D2"/>
    <mergeCell ref="C3:D3"/>
    <mergeCell ref="C4:D4"/>
    <mergeCell ref="C7:D7"/>
  </mergeCells>
  <conditionalFormatting sqref="D86">
    <cfRule type="cellIs" dxfId="980" priority="1090" stopIfTrue="1" operator="equal">
      <formula>-1</formula>
    </cfRule>
  </conditionalFormatting>
  <conditionalFormatting sqref="D86">
    <cfRule type="cellIs" dxfId="979" priority="1091" stopIfTrue="1" operator="lessThan">
      <formula>0.5</formula>
    </cfRule>
  </conditionalFormatting>
  <conditionalFormatting sqref="D86">
    <cfRule type="cellIs" dxfId="978" priority="1092" stopIfTrue="1" operator="greaterThanOrEqual">
      <formula>0.5</formula>
    </cfRule>
  </conditionalFormatting>
  <conditionalFormatting sqref="D87">
    <cfRule type="cellIs" dxfId="977" priority="1093" stopIfTrue="1" operator="equal">
      <formula>-1</formula>
    </cfRule>
  </conditionalFormatting>
  <conditionalFormatting sqref="D87">
    <cfRule type="cellIs" dxfId="976" priority="1094" stopIfTrue="1" operator="lessThan">
      <formula>0.5</formula>
    </cfRule>
  </conditionalFormatting>
  <conditionalFormatting sqref="D87">
    <cfRule type="cellIs" dxfId="975" priority="1095" stopIfTrue="1" operator="greaterThanOrEqual">
      <formula>0.5</formula>
    </cfRule>
  </conditionalFormatting>
  <conditionalFormatting sqref="D88">
    <cfRule type="cellIs" dxfId="974" priority="1096" stopIfTrue="1" operator="equal">
      <formula>-1</formula>
    </cfRule>
  </conditionalFormatting>
  <conditionalFormatting sqref="D88">
    <cfRule type="cellIs" dxfId="973" priority="1097" stopIfTrue="1" operator="lessThan">
      <formula>0.5</formula>
    </cfRule>
  </conditionalFormatting>
  <conditionalFormatting sqref="D88">
    <cfRule type="cellIs" dxfId="972" priority="1098" stopIfTrue="1" operator="greaterThanOrEqual">
      <formula>0.5</formula>
    </cfRule>
  </conditionalFormatting>
  <conditionalFormatting sqref="D89">
    <cfRule type="cellIs" dxfId="971" priority="1099" stopIfTrue="1" operator="equal">
      <formula>-1</formula>
    </cfRule>
  </conditionalFormatting>
  <conditionalFormatting sqref="D89">
    <cfRule type="cellIs" dxfId="970" priority="1100" stopIfTrue="1" operator="lessThan">
      <formula>0.5</formula>
    </cfRule>
  </conditionalFormatting>
  <conditionalFormatting sqref="D89">
    <cfRule type="cellIs" dxfId="969" priority="1101" stopIfTrue="1" operator="greaterThanOrEqual">
      <formula>0.5</formula>
    </cfRule>
  </conditionalFormatting>
  <conditionalFormatting sqref="D90">
    <cfRule type="cellIs" dxfId="968" priority="1102" stopIfTrue="1" operator="equal">
      <formula>-1</formula>
    </cfRule>
  </conditionalFormatting>
  <conditionalFormatting sqref="D90">
    <cfRule type="cellIs" dxfId="967" priority="1103" stopIfTrue="1" operator="lessThan">
      <formula>0.5</formula>
    </cfRule>
  </conditionalFormatting>
  <conditionalFormatting sqref="D90">
    <cfRule type="cellIs" dxfId="966" priority="1104" stopIfTrue="1" operator="greaterThanOrEqual">
      <formula>0.5</formula>
    </cfRule>
  </conditionalFormatting>
  <conditionalFormatting sqref="B3">
    <cfRule type="cellIs" dxfId="410" priority="165" operator="notEqual">
      <formula>"Ok"</formula>
    </cfRule>
  </conditionalFormatting>
  <conditionalFormatting sqref="C3">
    <cfRule type="cellIs" dxfId="409" priority="163" stopIfTrue="1" operator="lessThan">
      <formula>5</formula>
    </cfRule>
    <cfRule type="cellIs" dxfId="408" priority="164" operator="greaterThanOrEqual">
      <formula>5</formula>
    </cfRule>
  </conditionalFormatting>
  <conditionalFormatting sqref="D4">
    <cfRule type="cellIs" dxfId="245" priority="1105" stopIfTrue="1" operator="equal">
      <formula>-1</formula>
    </cfRule>
    <cfRule type="cellIs" dxfId="244" priority="1106" stopIfTrue="1" operator="lessThan">
      <formula>0.5</formula>
    </cfRule>
    <cfRule type="cellIs" dxfId="243" priority="1107" stopIfTrue="1" operator="greaterThanOrEqual">
      <formula>0.5</formula>
    </cfRule>
  </conditionalFormatting>
  <conditionalFormatting sqref="D5">
    <cfRule type="cellIs" dxfId="240" priority="1108" stopIfTrue="1" operator="equal">
      <formula>-1</formula>
    </cfRule>
  </conditionalFormatting>
  <conditionalFormatting sqref="D5">
    <cfRule type="cellIs" dxfId="241" priority="1109" stopIfTrue="1" operator="lessThan">
      <formula>0.5</formula>
    </cfRule>
  </conditionalFormatting>
  <conditionalFormatting sqref="D5">
    <cfRule type="cellIs" dxfId="242" priority="1110" stopIfTrue="1" operator="greaterThanOrEqual">
      <formula>0.5</formula>
    </cfRule>
  </conditionalFormatting>
  <conditionalFormatting sqref="D6">
    <cfRule type="cellIs" dxfId="237" priority="1111" stopIfTrue="1" operator="equal">
      <formula>-1</formula>
    </cfRule>
  </conditionalFormatting>
  <conditionalFormatting sqref="D6">
    <cfRule type="cellIs" dxfId="238" priority="1112" stopIfTrue="1" operator="lessThan">
      <formula>0.5</formula>
    </cfRule>
  </conditionalFormatting>
  <conditionalFormatting sqref="D6">
    <cfRule type="cellIs" dxfId="239" priority="1113" stopIfTrue="1" operator="greaterThanOrEqual">
      <formula>0.5</formula>
    </cfRule>
  </conditionalFormatting>
  <conditionalFormatting sqref="D7">
    <cfRule type="cellIs" dxfId="234" priority="1114" stopIfTrue="1" operator="equal">
      <formula>-1</formula>
    </cfRule>
  </conditionalFormatting>
  <conditionalFormatting sqref="D7">
    <cfRule type="cellIs" dxfId="235" priority="1115" stopIfTrue="1" operator="lessThan">
      <formula>0.5</formula>
    </cfRule>
  </conditionalFormatting>
  <conditionalFormatting sqref="D7">
    <cfRule type="cellIs" dxfId="236" priority="1116" stopIfTrue="1" operator="greaterThanOrEqual">
      <formula>0.5</formula>
    </cfRule>
  </conditionalFormatting>
  <conditionalFormatting sqref="D8">
    <cfRule type="cellIs" dxfId="231" priority="1117" stopIfTrue="1" operator="equal">
      <formula>-1</formula>
    </cfRule>
  </conditionalFormatting>
  <conditionalFormatting sqref="D8">
    <cfRule type="cellIs" dxfId="232" priority="1118" stopIfTrue="1" operator="lessThan">
      <formula>0.5</formula>
    </cfRule>
  </conditionalFormatting>
  <conditionalFormatting sqref="D8">
    <cfRule type="cellIs" dxfId="233" priority="1119" stopIfTrue="1" operator="greaterThanOrEqual">
      <formula>0.5</formula>
    </cfRule>
  </conditionalFormatting>
  <conditionalFormatting sqref="D9">
    <cfRule type="cellIs" dxfId="228" priority="1120" stopIfTrue="1" operator="equal">
      <formula>-1</formula>
    </cfRule>
  </conditionalFormatting>
  <conditionalFormatting sqref="D9">
    <cfRule type="cellIs" dxfId="229" priority="1121" stopIfTrue="1" operator="lessThan">
      <formula>0.5</formula>
    </cfRule>
  </conditionalFormatting>
  <conditionalFormatting sqref="D9">
    <cfRule type="cellIs" dxfId="230" priority="1122" stopIfTrue="1" operator="greaterThanOrEqual">
      <formula>0.5</formula>
    </cfRule>
  </conditionalFormatting>
  <conditionalFormatting sqref="D10">
    <cfRule type="cellIs" dxfId="225" priority="1123" stopIfTrue="1" operator="equal">
      <formula>-1</formula>
    </cfRule>
  </conditionalFormatting>
  <conditionalFormatting sqref="D10">
    <cfRule type="cellIs" dxfId="226" priority="1124" stopIfTrue="1" operator="lessThan">
      <formula>0.5</formula>
    </cfRule>
  </conditionalFormatting>
  <conditionalFormatting sqref="D10">
    <cfRule type="cellIs" dxfId="227" priority="1125" stopIfTrue="1" operator="greaterThanOrEqual">
      <formula>0.5</formula>
    </cfRule>
  </conditionalFormatting>
  <conditionalFormatting sqref="D11">
    <cfRule type="cellIs" dxfId="222" priority="1126" stopIfTrue="1" operator="equal">
      <formula>-1</formula>
    </cfRule>
  </conditionalFormatting>
  <conditionalFormatting sqref="D11">
    <cfRule type="cellIs" dxfId="223" priority="1127" stopIfTrue="1" operator="lessThan">
      <formula>0.5</formula>
    </cfRule>
  </conditionalFormatting>
  <conditionalFormatting sqref="D11">
    <cfRule type="cellIs" dxfId="224" priority="1128" stopIfTrue="1" operator="greaterThanOrEqual">
      <formula>0.5</formula>
    </cfRule>
  </conditionalFormatting>
  <conditionalFormatting sqref="D12">
    <cfRule type="cellIs" dxfId="219" priority="1129" stopIfTrue="1" operator="equal">
      <formula>-1</formula>
    </cfRule>
  </conditionalFormatting>
  <conditionalFormatting sqref="D12">
    <cfRule type="cellIs" dxfId="220" priority="1130" stopIfTrue="1" operator="lessThan">
      <formula>0.5</formula>
    </cfRule>
  </conditionalFormatting>
  <conditionalFormatting sqref="D12">
    <cfRule type="cellIs" dxfId="221" priority="1131" stopIfTrue="1" operator="greaterThanOrEqual">
      <formula>0.5</formula>
    </cfRule>
  </conditionalFormatting>
  <conditionalFormatting sqref="D13">
    <cfRule type="cellIs" dxfId="216" priority="1132" stopIfTrue="1" operator="equal">
      <formula>-1</formula>
    </cfRule>
  </conditionalFormatting>
  <conditionalFormatting sqref="D13">
    <cfRule type="cellIs" dxfId="217" priority="1133" stopIfTrue="1" operator="lessThan">
      <formula>0.5</formula>
    </cfRule>
  </conditionalFormatting>
  <conditionalFormatting sqref="D13">
    <cfRule type="cellIs" dxfId="218" priority="1134" stopIfTrue="1" operator="greaterThanOrEqual">
      <formula>0.5</formula>
    </cfRule>
  </conditionalFormatting>
  <conditionalFormatting sqref="D14">
    <cfRule type="cellIs" dxfId="213" priority="1135" stopIfTrue="1" operator="equal">
      <formula>-1</formula>
    </cfRule>
  </conditionalFormatting>
  <conditionalFormatting sqref="D14">
    <cfRule type="cellIs" dxfId="214" priority="1136" stopIfTrue="1" operator="lessThan">
      <formula>0.5</formula>
    </cfRule>
  </conditionalFormatting>
  <conditionalFormatting sqref="D14">
    <cfRule type="cellIs" dxfId="215" priority="1137" stopIfTrue="1" operator="greaterThanOrEqual">
      <formula>0.5</formula>
    </cfRule>
  </conditionalFormatting>
  <conditionalFormatting sqref="D15">
    <cfRule type="cellIs" dxfId="210" priority="1138" stopIfTrue="1" operator="equal">
      <formula>-1</formula>
    </cfRule>
  </conditionalFormatting>
  <conditionalFormatting sqref="D15">
    <cfRule type="cellIs" dxfId="211" priority="1139" stopIfTrue="1" operator="lessThan">
      <formula>0.5</formula>
    </cfRule>
  </conditionalFormatting>
  <conditionalFormatting sqref="D15">
    <cfRule type="cellIs" dxfId="212" priority="1140" stopIfTrue="1" operator="greaterThanOrEqual">
      <formula>0.5</formula>
    </cfRule>
  </conditionalFormatting>
  <conditionalFormatting sqref="D16">
    <cfRule type="cellIs" dxfId="207" priority="1141" stopIfTrue="1" operator="equal">
      <formula>-1</formula>
    </cfRule>
  </conditionalFormatting>
  <conditionalFormatting sqref="D16">
    <cfRule type="cellIs" dxfId="208" priority="1142" stopIfTrue="1" operator="lessThan">
      <formula>0.5</formula>
    </cfRule>
  </conditionalFormatting>
  <conditionalFormatting sqref="D16">
    <cfRule type="cellIs" dxfId="209" priority="1143" stopIfTrue="1" operator="greaterThanOrEqual">
      <formula>0.5</formula>
    </cfRule>
  </conditionalFormatting>
  <conditionalFormatting sqref="D17">
    <cfRule type="cellIs" dxfId="204" priority="1144" stopIfTrue="1" operator="equal">
      <formula>-1</formula>
    </cfRule>
  </conditionalFormatting>
  <conditionalFormatting sqref="D17">
    <cfRule type="cellIs" dxfId="205" priority="1145" stopIfTrue="1" operator="lessThan">
      <formula>0.5</formula>
    </cfRule>
  </conditionalFormatting>
  <conditionalFormatting sqref="D17">
    <cfRule type="cellIs" dxfId="206" priority="1146" stopIfTrue="1" operator="greaterThanOrEqual">
      <formula>0.5</formula>
    </cfRule>
  </conditionalFormatting>
  <conditionalFormatting sqref="D18">
    <cfRule type="cellIs" dxfId="201" priority="1147" stopIfTrue="1" operator="equal">
      <formula>-1</formula>
    </cfRule>
  </conditionalFormatting>
  <conditionalFormatting sqref="D18">
    <cfRule type="cellIs" dxfId="202" priority="1148" stopIfTrue="1" operator="lessThan">
      <formula>0.5</formula>
    </cfRule>
  </conditionalFormatting>
  <conditionalFormatting sqref="D18">
    <cfRule type="cellIs" dxfId="203" priority="1149" stopIfTrue="1" operator="greaterThanOrEqual">
      <formula>0.5</formula>
    </cfRule>
  </conditionalFormatting>
  <conditionalFormatting sqref="D19">
    <cfRule type="cellIs" dxfId="198" priority="1150" stopIfTrue="1" operator="equal">
      <formula>-1</formula>
    </cfRule>
  </conditionalFormatting>
  <conditionalFormatting sqref="D19">
    <cfRule type="cellIs" dxfId="199" priority="1151" stopIfTrue="1" operator="lessThan">
      <formula>0.5</formula>
    </cfRule>
  </conditionalFormatting>
  <conditionalFormatting sqref="D19">
    <cfRule type="cellIs" dxfId="200" priority="1152" stopIfTrue="1" operator="greaterThanOrEqual">
      <formula>0.5</formula>
    </cfRule>
  </conditionalFormatting>
  <conditionalFormatting sqref="D20">
    <cfRule type="cellIs" dxfId="195" priority="1153" stopIfTrue="1" operator="equal">
      <formula>-1</formula>
    </cfRule>
  </conditionalFormatting>
  <conditionalFormatting sqref="D20">
    <cfRule type="cellIs" dxfId="196" priority="1154" stopIfTrue="1" operator="lessThan">
      <formula>0.5</formula>
    </cfRule>
  </conditionalFormatting>
  <conditionalFormatting sqref="D20">
    <cfRule type="cellIs" dxfId="197" priority="1155" stopIfTrue="1" operator="greaterThanOrEqual">
      <formula>0.5</formula>
    </cfRule>
  </conditionalFormatting>
  <conditionalFormatting sqref="D21">
    <cfRule type="cellIs" dxfId="192" priority="1156" stopIfTrue="1" operator="equal">
      <formula>-1</formula>
    </cfRule>
  </conditionalFormatting>
  <conditionalFormatting sqref="D21">
    <cfRule type="cellIs" dxfId="193" priority="1157" stopIfTrue="1" operator="lessThan">
      <formula>0.5</formula>
    </cfRule>
  </conditionalFormatting>
  <conditionalFormatting sqref="D21">
    <cfRule type="cellIs" dxfId="194" priority="1158" stopIfTrue="1" operator="greaterThanOrEqual">
      <formula>0.5</formula>
    </cfRule>
  </conditionalFormatting>
  <conditionalFormatting sqref="D22">
    <cfRule type="cellIs" dxfId="189" priority="1159" stopIfTrue="1" operator="equal">
      <formula>-1</formula>
    </cfRule>
  </conditionalFormatting>
  <conditionalFormatting sqref="D22">
    <cfRule type="cellIs" dxfId="190" priority="1160" stopIfTrue="1" operator="lessThan">
      <formula>0.5</formula>
    </cfRule>
  </conditionalFormatting>
  <conditionalFormatting sqref="D22">
    <cfRule type="cellIs" dxfId="191" priority="1161" stopIfTrue="1" operator="greaterThanOrEqual">
      <formula>0.5</formula>
    </cfRule>
  </conditionalFormatting>
  <conditionalFormatting sqref="D23">
    <cfRule type="cellIs" dxfId="186" priority="1162" stopIfTrue="1" operator="equal">
      <formula>-1</formula>
    </cfRule>
  </conditionalFormatting>
  <conditionalFormatting sqref="D23">
    <cfRule type="cellIs" dxfId="187" priority="1163" stopIfTrue="1" operator="lessThan">
      <formula>0.5</formula>
    </cfRule>
  </conditionalFormatting>
  <conditionalFormatting sqref="D23">
    <cfRule type="cellIs" dxfId="188" priority="1164" stopIfTrue="1" operator="greaterThanOrEqual">
      <formula>0.5</formula>
    </cfRule>
  </conditionalFormatting>
  <conditionalFormatting sqref="D24">
    <cfRule type="cellIs" dxfId="183" priority="1165" stopIfTrue="1" operator="equal">
      <formula>-1</formula>
    </cfRule>
  </conditionalFormatting>
  <conditionalFormatting sqref="D24">
    <cfRule type="cellIs" dxfId="184" priority="1166" stopIfTrue="1" operator="lessThan">
      <formula>0.5</formula>
    </cfRule>
  </conditionalFormatting>
  <conditionalFormatting sqref="D24">
    <cfRule type="cellIs" dxfId="185" priority="1167" stopIfTrue="1" operator="greaterThanOrEqual">
      <formula>0.5</formula>
    </cfRule>
  </conditionalFormatting>
  <conditionalFormatting sqref="D25">
    <cfRule type="cellIs" dxfId="180" priority="1168" stopIfTrue="1" operator="equal">
      <formula>-1</formula>
    </cfRule>
  </conditionalFormatting>
  <conditionalFormatting sqref="D25">
    <cfRule type="cellIs" dxfId="181" priority="1169" stopIfTrue="1" operator="lessThan">
      <formula>0.5</formula>
    </cfRule>
  </conditionalFormatting>
  <conditionalFormatting sqref="D25">
    <cfRule type="cellIs" dxfId="182" priority="1170" stopIfTrue="1" operator="greaterThanOrEqual">
      <formula>0.5</formula>
    </cfRule>
  </conditionalFormatting>
  <conditionalFormatting sqref="D26">
    <cfRule type="cellIs" dxfId="177" priority="1171" stopIfTrue="1" operator="equal">
      <formula>-1</formula>
    </cfRule>
  </conditionalFormatting>
  <conditionalFormatting sqref="D26">
    <cfRule type="cellIs" dxfId="178" priority="1172" stopIfTrue="1" operator="lessThan">
      <formula>0.5</formula>
    </cfRule>
  </conditionalFormatting>
  <conditionalFormatting sqref="D26">
    <cfRule type="cellIs" dxfId="179" priority="1173" stopIfTrue="1" operator="greaterThanOrEqual">
      <formula>0.5</formula>
    </cfRule>
  </conditionalFormatting>
  <conditionalFormatting sqref="D27">
    <cfRule type="cellIs" dxfId="174" priority="1174" stopIfTrue="1" operator="equal">
      <formula>-1</formula>
    </cfRule>
  </conditionalFormatting>
  <conditionalFormatting sqref="D27">
    <cfRule type="cellIs" dxfId="175" priority="1175" stopIfTrue="1" operator="lessThan">
      <formula>0.5</formula>
    </cfRule>
  </conditionalFormatting>
  <conditionalFormatting sqref="D27">
    <cfRule type="cellIs" dxfId="176" priority="1176" stopIfTrue="1" operator="greaterThanOrEqual">
      <formula>0.5</formula>
    </cfRule>
  </conditionalFormatting>
  <conditionalFormatting sqref="D28">
    <cfRule type="cellIs" dxfId="171" priority="1177" stopIfTrue="1" operator="equal">
      <formula>-1</formula>
    </cfRule>
  </conditionalFormatting>
  <conditionalFormatting sqref="D28">
    <cfRule type="cellIs" dxfId="172" priority="1178" stopIfTrue="1" operator="lessThan">
      <formula>0.5</formula>
    </cfRule>
  </conditionalFormatting>
  <conditionalFormatting sqref="D28">
    <cfRule type="cellIs" dxfId="173" priority="1179" stopIfTrue="1" operator="greaterThanOrEqual">
      <formula>0.5</formula>
    </cfRule>
  </conditionalFormatting>
  <conditionalFormatting sqref="D29">
    <cfRule type="cellIs" dxfId="168" priority="1180" stopIfTrue="1" operator="equal">
      <formula>-1</formula>
    </cfRule>
  </conditionalFormatting>
  <conditionalFormatting sqref="D29">
    <cfRule type="cellIs" dxfId="169" priority="1181" stopIfTrue="1" operator="lessThan">
      <formula>0.5</formula>
    </cfRule>
  </conditionalFormatting>
  <conditionalFormatting sqref="D29">
    <cfRule type="cellIs" dxfId="170" priority="1182" stopIfTrue="1" operator="greaterThanOrEqual">
      <formula>0.5</formula>
    </cfRule>
  </conditionalFormatting>
  <conditionalFormatting sqref="D30">
    <cfRule type="cellIs" dxfId="165" priority="1183" stopIfTrue="1" operator="equal">
      <formula>-1</formula>
    </cfRule>
  </conditionalFormatting>
  <conditionalFormatting sqref="D30">
    <cfRule type="cellIs" dxfId="166" priority="1184" stopIfTrue="1" operator="lessThan">
      <formula>0.5</formula>
    </cfRule>
  </conditionalFormatting>
  <conditionalFormatting sqref="D30">
    <cfRule type="cellIs" dxfId="167" priority="1185" stopIfTrue="1" operator="greaterThanOrEqual">
      <formula>0.5</formula>
    </cfRule>
  </conditionalFormatting>
  <conditionalFormatting sqref="D31">
    <cfRule type="cellIs" dxfId="162" priority="1186" stopIfTrue="1" operator="equal">
      <formula>-1</formula>
    </cfRule>
  </conditionalFormatting>
  <conditionalFormatting sqref="D31">
    <cfRule type="cellIs" dxfId="163" priority="1187" stopIfTrue="1" operator="lessThan">
      <formula>0.5</formula>
    </cfRule>
  </conditionalFormatting>
  <conditionalFormatting sqref="D31">
    <cfRule type="cellIs" dxfId="164" priority="1188" stopIfTrue="1" operator="greaterThanOrEqual">
      <formula>0.5</formula>
    </cfRule>
  </conditionalFormatting>
  <conditionalFormatting sqref="D32">
    <cfRule type="cellIs" dxfId="159" priority="1189" stopIfTrue="1" operator="equal">
      <formula>-1</formula>
    </cfRule>
  </conditionalFormatting>
  <conditionalFormatting sqref="D32">
    <cfRule type="cellIs" dxfId="160" priority="1190" stopIfTrue="1" operator="lessThan">
      <formula>0.5</formula>
    </cfRule>
  </conditionalFormatting>
  <conditionalFormatting sqref="D32">
    <cfRule type="cellIs" dxfId="161" priority="1191" stopIfTrue="1" operator="greaterThanOrEqual">
      <formula>0.5</formula>
    </cfRule>
  </conditionalFormatting>
  <conditionalFormatting sqref="D33">
    <cfRule type="cellIs" dxfId="156" priority="1192" stopIfTrue="1" operator="equal">
      <formula>-1</formula>
    </cfRule>
  </conditionalFormatting>
  <conditionalFormatting sqref="D33">
    <cfRule type="cellIs" dxfId="157" priority="1193" stopIfTrue="1" operator="lessThan">
      <formula>0.5</formula>
    </cfRule>
  </conditionalFormatting>
  <conditionalFormatting sqref="D33">
    <cfRule type="cellIs" dxfId="158" priority="1194" stopIfTrue="1" operator="greaterThanOrEqual">
      <formula>0.5</formula>
    </cfRule>
  </conditionalFormatting>
  <conditionalFormatting sqref="D34">
    <cfRule type="cellIs" dxfId="153" priority="1195" stopIfTrue="1" operator="equal">
      <formula>-1</formula>
    </cfRule>
  </conditionalFormatting>
  <conditionalFormatting sqref="D34">
    <cfRule type="cellIs" dxfId="154" priority="1196" stopIfTrue="1" operator="lessThan">
      <formula>0.5</formula>
    </cfRule>
  </conditionalFormatting>
  <conditionalFormatting sqref="D34">
    <cfRule type="cellIs" dxfId="155" priority="1197" stopIfTrue="1" operator="greaterThanOrEqual">
      <formula>0.5</formula>
    </cfRule>
  </conditionalFormatting>
  <conditionalFormatting sqref="D35">
    <cfRule type="cellIs" dxfId="150" priority="1198" stopIfTrue="1" operator="equal">
      <formula>-1</formula>
    </cfRule>
  </conditionalFormatting>
  <conditionalFormatting sqref="D35">
    <cfRule type="cellIs" dxfId="151" priority="1199" stopIfTrue="1" operator="lessThan">
      <formula>0.5</formula>
    </cfRule>
  </conditionalFormatting>
  <conditionalFormatting sqref="D35">
    <cfRule type="cellIs" dxfId="152" priority="1200" stopIfTrue="1" operator="greaterThanOrEqual">
      <formula>0.5</formula>
    </cfRule>
  </conditionalFormatting>
  <conditionalFormatting sqref="D36">
    <cfRule type="cellIs" dxfId="147" priority="1201" stopIfTrue="1" operator="equal">
      <formula>-1</formula>
    </cfRule>
  </conditionalFormatting>
  <conditionalFormatting sqref="D36">
    <cfRule type="cellIs" dxfId="148" priority="1202" stopIfTrue="1" operator="lessThan">
      <formula>0.5</formula>
    </cfRule>
  </conditionalFormatting>
  <conditionalFormatting sqref="D36">
    <cfRule type="cellIs" dxfId="149" priority="1203" stopIfTrue="1" operator="greaterThanOrEqual">
      <formula>0.5</formula>
    </cfRule>
  </conditionalFormatting>
  <conditionalFormatting sqref="D37">
    <cfRule type="cellIs" dxfId="144" priority="1204" stopIfTrue="1" operator="equal">
      <formula>-1</formula>
    </cfRule>
  </conditionalFormatting>
  <conditionalFormatting sqref="D37">
    <cfRule type="cellIs" dxfId="145" priority="1205" stopIfTrue="1" operator="lessThan">
      <formula>0.5</formula>
    </cfRule>
  </conditionalFormatting>
  <conditionalFormatting sqref="D37">
    <cfRule type="cellIs" dxfId="146" priority="1206" stopIfTrue="1" operator="greaterThanOrEqual">
      <formula>0.5</formula>
    </cfRule>
  </conditionalFormatting>
  <conditionalFormatting sqref="D38">
    <cfRule type="cellIs" dxfId="141" priority="1207" stopIfTrue="1" operator="equal">
      <formula>-1</formula>
    </cfRule>
  </conditionalFormatting>
  <conditionalFormatting sqref="D38">
    <cfRule type="cellIs" dxfId="142" priority="1208" stopIfTrue="1" operator="lessThan">
      <formula>0.5</formula>
    </cfRule>
  </conditionalFormatting>
  <conditionalFormatting sqref="D38">
    <cfRule type="cellIs" dxfId="143" priority="1209" stopIfTrue="1" operator="greaterThanOrEqual">
      <formula>0.5</formula>
    </cfRule>
  </conditionalFormatting>
  <conditionalFormatting sqref="D39">
    <cfRule type="cellIs" dxfId="138" priority="1210" stopIfTrue="1" operator="equal">
      <formula>-1</formula>
    </cfRule>
  </conditionalFormatting>
  <conditionalFormatting sqref="D39">
    <cfRule type="cellIs" dxfId="139" priority="1211" stopIfTrue="1" operator="lessThan">
      <formula>0.5</formula>
    </cfRule>
  </conditionalFormatting>
  <conditionalFormatting sqref="D39">
    <cfRule type="cellIs" dxfId="140" priority="1212" stopIfTrue="1" operator="greaterThanOrEqual">
      <formula>0.5</formula>
    </cfRule>
  </conditionalFormatting>
  <conditionalFormatting sqref="D40">
    <cfRule type="cellIs" dxfId="135" priority="1213" stopIfTrue="1" operator="equal">
      <formula>-1</formula>
    </cfRule>
  </conditionalFormatting>
  <conditionalFormatting sqref="D40">
    <cfRule type="cellIs" dxfId="136" priority="1214" stopIfTrue="1" operator="lessThan">
      <formula>0.5</formula>
    </cfRule>
  </conditionalFormatting>
  <conditionalFormatting sqref="D40">
    <cfRule type="cellIs" dxfId="137" priority="1215" stopIfTrue="1" operator="greaterThanOrEqual">
      <formula>0.5</formula>
    </cfRule>
  </conditionalFormatting>
  <conditionalFormatting sqref="D41">
    <cfRule type="cellIs" dxfId="132" priority="1216" stopIfTrue="1" operator="equal">
      <formula>-1</formula>
    </cfRule>
  </conditionalFormatting>
  <conditionalFormatting sqref="D41">
    <cfRule type="cellIs" dxfId="133" priority="1217" stopIfTrue="1" operator="lessThan">
      <formula>0.5</formula>
    </cfRule>
  </conditionalFormatting>
  <conditionalFormatting sqref="D41">
    <cfRule type="cellIs" dxfId="134" priority="1218" stopIfTrue="1" operator="greaterThanOrEqual">
      <formula>0.5</formula>
    </cfRule>
  </conditionalFormatting>
  <conditionalFormatting sqref="D42">
    <cfRule type="cellIs" dxfId="129" priority="1219" stopIfTrue="1" operator="equal">
      <formula>-1</formula>
    </cfRule>
  </conditionalFormatting>
  <conditionalFormatting sqref="D42">
    <cfRule type="cellIs" dxfId="130" priority="1220" stopIfTrue="1" operator="lessThan">
      <formula>0.5</formula>
    </cfRule>
  </conditionalFormatting>
  <conditionalFormatting sqref="D42">
    <cfRule type="cellIs" dxfId="131" priority="1221" stopIfTrue="1" operator="greaterThanOrEqual">
      <formula>0.5</formula>
    </cfRule>
  </conditionalFormatting>
  <conditionalFormatting sqref="D43">
    <cfRule type="cellIs" dxfId="126" priority="1222" stopIfTrue="1" operator="equal">
      <formula>-1</formula>
    </cfRule>
  </conditionalFormatting>
  <conditionalFormatting sqref="D43">
    <cfRule type="cellIs" dxfId="127" priority="1223" stopIfTrue="1" operator="lessThan">
      <formula>0.5</formula>
    </cfRule>
  </conditionalFormatting>
  <conditionalFormatting sqref="D43">
    <cfRule type="cellIs" dxfId="128" priority="1224" stopIfTrue="1" operator="greaterThanOrEqual">
      <formula>0.5</formula>
    </cfRule>
  </conditionalFormatting>
  <conditionalFormatting sqref="D44">
    <cfRule type="cellIs" dxfId="123" priority="1225" stopIfTrue="1" operator="equal">
      <formula>-1</formula>
    </cfRule>
  </conditionalFormatting>
  <conditionalFormatting sqref="D44">
    <cfRule type="cellIs" dxfId="124" priority="1226" stopIfTrue="1" operator="lessThan">
      <formula>0.5</formula>
    </cfRule>
  </conditionalFormatting>
  <conditionalFormatting sqref="D44">
    <cfRule type="cellIs" dxfId="125" priority="1227" stopIfTrue="1" operator="greaterThanOrEqual">
      <formula>0.5</formula>
    </cfRule>
  </conditionalFormatting>
  <conditionalFormatting sqref="D45">
    <cfRule type="cellIs" dxfId="120" priority="1228" stopIfTrue="1" operator="equal">
      <formula>-1</formula>
    </cfRule>
  </conditionalFormatting>
  <conditionalFormatting sqref="D45">
    <cfRule type="cellIs" dxfId="121" priority="1229" stopIfTrue="1" operator="lessThan">
      <formula>0.5</formula>
    </cfRule>
  </conditionalFormatting>
  <conditionalFormatting sqref="D45">
    <cfRule type="cellIs" dxfId="122" priority="1230" stopIfTrue="1" operator="greaterThanOrEqual">
      <formula>0.5</formula>
    </cfRule>
  </conditionalFormatting>
  <conditionalFormatting sqref="D46">
    <cfRule type="cellIs" dxfId="117" priority="1231" stopIfTrue="1" operator="equal">
      <formula>-1</formula>
    </cfRule>
  </conditionalFormatting>
  <conditionalFormatting sqref="D46">
    <cfRule type="cellIs" dxfId="118" priority="1232" stopIfTrue="1" operator="lessThan">
      <formula>0.5</formula>
    </cfRule>
  </conditionalFormatting>
  <conditionalFormatting sqref="D46">
    <cfRule type="cellIs" dxfId="119" priority="1233" stopIfTrue="1" operator="greaterThanOrEqual">
      <formula>0.5</formula>
    </cfRule>
  </conditionalFormatting>
  <conditionalFormatting sqref="D47">
    <cfRule type="cellIs" dxfId="114" priority="1234" stopIfTrue="1" operator="equal">
      <formula>-1</formula>
    </cfRule>
  </conditionalFormatting>
  <conditionalFormatting sqref="D47">
    <cfRule type="cellIs" dxfId="115" priority="1235" stopIfTrue="1" operator="lessThan">
      <formula>0.5</formula>
    </cfRule>
  </conditionalFormatting>
  <conditionalFormatting sqref="D47">
    <cfRule type="cellIs" dxfId="116" priority="1236" stopIfTrue="1" operator="greaterThanOrEqual">
      <formula>0.5</formula>
    </cfRule>
  </conditionalFormatting>
  <conditionalFormatting sqref="D48">
    <cfRule type="cellIs" dxfId="111" priority="1237" stopIfTrue="1" operator="equal">
      <formula>-1</formula>
    </cfRule>
  </conditionalFormatting>
  <conditionalFormatting sqref="D48">
    <cfRule type="cellIs" dxfId="112" priority="1238" stopIfTrue="1" operator="lessThan">
      <formula>0.5</formula>
    </cfRule>
  </conditionalFormatting>
  <conditionalFormatting sqref="D48">
    <cfRule type="cellIs" dxfId="113" priority="1239" stopIfTrue="1" operator="greaterThanOrEqual">
      <formula>0.5</formula>
    </cfRule>
  </conditionalFormatting>
  <conditionalFormatting sqref="D49">
    <cfRule type="cellIs" dxfId="108" priority="1240" stopIfTrue="1" operator="equal">
      <formula>-1</formula>
    </cfRule>
  </conditionalFormatting>
  <conditionalFormatting sqref="D49">
    <cfRule type="cellIs" dxfId="109" priority="1241" stopIfTrue="1" operator="lessThan">
      <formula>0.5</formula>
    </cfRule>
  </conditionalFormatting>
  <conditionalFormatting sqref="D49">
    <cfRule type="cellIs" dxfId="110" priority="1242" stopIfTrue="1" operator="greaterThanOrEqual">
      <formula>0.5</formula>
    </cfRule>
  </conditionalFormatting>
  <conditionalFormatting sqref="D50">
    <cfRule type="cellIs" dxfId="107" priority="1243" stopIfTrue="1" operator="equal">
      <formula>-1</formula>
    </cfRule>
    <cfRule type="cellIs" dxfId="106" priority="1244" stopIfTrue="1" operator="lessThan">
      <formula>0.5</formula>
    </cfRule>
    <cfRule type="cellIs" dxfId="105" priority="1245" stopIfTrue="1" operator="greaterThanOrEqual">
      <formula>0.5</formula>
    </cfRule>
  </conditionalFormatting>
  <conditionalFormatting sqref="D51">
    <cfRule type="cellIs" dxfId="102" priority="1246" stopIfTrue="1" operator="equal">
      <formula>-1</formula>
    </cfRule>
  </conditionalFormatting>
  <conditionalFormatting sqref="D51">
    <cfRule type="cellIs" dxfId="103" priority="1247" stopIfTrue="1" operator="lessThan">
      <formula>0.5</formula>
    </cfRule>
  </conditionalFormatting>
  <conditionalFormatting sqref="D51">
    <cfRule type="cellIs" dxfId="104" priority="1248" stopIfTrue="1" operator="greaterThanOrEqual">
      <formula>0.5</formula>
    </cfRule>
  </conditionalFormatting>
  <conditionalFormatting sqref="D52">
    <cfRule type="cellIs" dxfId="101" priority="1249" stopIfTrue="1" operator="equal">
      <formula>-1</formula>
    </cfRule>
    <cfRule type="cellIs" dxfId="100" priority="1250" stopIfTrue="1" operator="lessThan">
      <formula>0.5</formula>
    </cfRule>
    <cfRule type="cellIs" dxfId="99" priority="1251" stopIfTrue="1" operator="greaterThanOrEqual">
      <formula>0.5</formula>
    </cfRule>
  </conditionalFormatting>
  <conditionalFormatting sqref="D53">
    <cfRule type="cellIs" dxfId="98" priority="1252" stopIfTrue="1" operator="equal">
      <formula>-1</formula>
    </cfRule>
    <cfRule type="cellIs" dxfId="97" priority="1253" stopIfTrue="1" operator="lessThan">
      <formula>0.5</formula>
    </cfRule>
    <cfRule type="cellIs" dxfId="96" priority="1254" stopIfTrue="1" operator="greaterThanOrEqual">
      <formula>0.5</formula>
    </cfRule>
  </conditionalFormatting>
  <conditionalFormatting sqref="D54">
    <cfRule type="cellIs" dxfId="95" priority="1255" stopIfTrue="1" operator="equal">
      <formula>-1</formula>
    </cfRule>
    <cfRule type="cellIs" dxfId="94" priority="1256" stopIfTrue="1" operator="lessThan">
      <formula>0.5</formula>
    </cfRule>
    <cfRule type="cellIs" dxfId="93" priority="1257" stopIfTrue="1" operator="greaterThanOrEqual">
      <formula>0.5</formula>
    </cfRule>
  </conditionalFormatting>
  <conditionalFormatting sqref="D55">
    <cfRule type="cellIs" dxfId="92" priority="1258" stopIfTrue="1" operator="equal">
      <formula>-1</formula>
    </cfRule>
    <cfRule type="cellIs" dxfId="91" priority="1259" stopIfTrue="1" operator="lessThan">
      <formula>0.5</formula>
    </cfRule>
    <cfRule type="cellIs" dxfId="90" priority="1260" stopIfTrue="1" operator="greaterThanOrEqual">
      <formula>0.5</formula>
    </cfRule>
  </conditionalFormatting>
  <conditionalFormatting sqref="D56">
    <cfRule type="cellIs" dxfId="89" priority="1261" stopIfTrue="1" operator="equal">
      <formula>-1</formula>
    </cfRule>
    <cfRule type="cellIs" dxfId="88" priority="1262" stopIfTrue="1" operator="lessThan">
      <formula>0.5</formula>
    </cfRule>
    <cfRule type="cellIs" dxfId="87" priority="1263" stopIfTrue="1" operator="greaterThanOrEqual">
      <formula>0.5</formula>
    </cfRule>
  </conditionalFormatting>
  <conditionalFormatting sqref="D57">
    <cfRule type="cellIs" dxfId="86" priority="1264" stopIfTrue="1" operator="equal">
      <formula>-1</formula>
    </cfRule>
    <cfRule type="cellIs" dxfId="85" priority="1265" stopIfTrue="1" operator="lessThan">
      <formula>0.5</formula>
    </cfRule>
    <cfRule type="cellIs" dxfId="84" priority="1266" stopIfTrue="1" operator="greaterThanOrEqual">
      <formula>0.5</formula>
    </cfRule>
  </conditionalFormatting>
  <conditionalFormatting sqref="D58">
    <cfRule type="cellIs" dxfId="83" priority="1267" stopIfTrue="1" operator="equal">
      <formula>-1</formula>
    </cfRule>
    <cfRule type="cellIs" dxfId="82" priority="1268" stopIfTrue="1" operator="lessThan">
      <formula>0.5</formula>
    </cfRule>
    <cfRule type="cellIs" dxfId="81" priority="1269" stopIfTrue="1" operator="greaterThanOrEqual">
      <formula>0.5</formula>
    </cfRule>
  </conditionalFormatting>
  <conditionalFormatting sqref="D59">
    <cfRule type="cellIs" dxfId="80" priority="1270" stopIfTrue="1" operator="equal">
      <formula>-1</formula>
    </cfRule>
    <cfRule type="cellIs" dxfId="79" priority="1271" stopIfTrue="1" operator="lessThan">
      <formula>0.5</formula>
    </cfRule>
    <cfRule type="cellIs" dxfId="78" priority="1272" stopIfTrue="1" operator="greaterThanOrEqual">
      <formula>0.5</formula>
    </cfRule>
  </conditionalFormatting>
  <conditionalFormatting sqref="D60">
    <cfRule type="cellIs" dxfId="77" priority="1273" stopIfTrue="1" operator="equal">
      <formula>-1</formula>
    </cfRule>
    <cfRule type="cellIs" dxfId="76" priority="1274" stopIfTrue="1" operator="lessThan">
      <formula>0.5</formula>
    </cfRule>
    <cfRule type="cellIs" dxfId="75" priority="1275" stopIfTrue="1" operator="greaterThanOrEqual">
      <formula>0.5</formula>
    </cfRule>
  </conditionalFormatting>
  <conditionalFormatting sqref="D61">
    <cfRule type="cellIs" dxfId="74" priority="1276" stopIfTrue="1" operator="equal">
      <formula>-1</formula>
    </cfRule>
    <cfRule type="cellIs" dxfId="73" priority="1277" stopIfTrue="1" operator="lessThan">
      <formula>0.5</formula>
    </cfRule>
    <cfRule type="cellIs" dxfId="72" priority="1278" stopIfTrue="1" operator="greaterThanOrEqual">
      <formula>0.5</formula>
    </cfRule>
  </conditionalFormatting>
  <conditionalFormatting sqref="D62">
    <cfRule type="cellIs" dxfId="71" priority="1279" stopIfTrue="1" operator="equal">
      <formula>-1</formula>
    </cfRule>
    <cfRule type="cellIs" dxfId="70" priority="1280" stopIfTrue="1" operator="lessThan">
      <formula>0.5</formula>
    </cfRule>
    <cfRule type="cellIs" dxfId="69" priority="1281" stopIfTrue="1" operator="greaterThanOrEqual">
      <formula>0.5</formula>
    </cfRule>
  </conditionalFormatting>
  <conditionalFormatting sqref="D63">
    <cfRule type="cellIs" dxfId="68" priority="1282" stopIfTrue="1" operator="equal">
      <formula>-1</formula>
    </cfRule>
    <cfRule type="cellIs" dxfId="67" priority="1283" stopIfTrue="1" operator="lessThan">
      <formula>0.5</formula>
    </cfRule>
    <cfRule type="cellIs" dxfId="66" priority="1284" stopIfTrue="1" operator="greaterThanOrEqual">
      <formula>0.5</formula>
    </cfRule>
  </conditionalFormatting>
  <conditionalFormatting sqref="D64">
    <cfRule type="cellIs" dxfId="65" priority="1285" stopIfTrue="1" operator="equal">
      <formula>-1</formula>
    </cfRule>
    <cfRule type="cellIs" dxfId="64" priority="1286" stopIfTrue="1" operator="lessThan">
      <formula>0.5</formula>
    </cfRule>
    <cfRule type="cellIs" dxfId="63" priority="1287" stopIfTrue="1" operator="greaterThanOrEqual">
      <formula>0.5</formula>
    </cfRule>
  </conditionalFormatting>
  <conditionalFormatting sqref="D65">
    <cfRule type="cellIs" dxfId="62" priority="1288" stopIfTrue="1" operator="equal">
      <formula>-1</formula>
    </cfRule>
    <cfRule type="cellIs" dxfId="61" priority="1289" stopIfTrue="1" operator="lessThan">
      <formula>0.5</formula>
    </cfRule>
    <cfRule type="cellIs" dxfId="60" priority="1290" stopIfTrue="1" operator="greaterThanOrEqual">
      <formula>0.5</formula>
    </cfRule>
  </conditionalFormatting>
  <conditionalFormatting sqref="D66">
    <cfRule type="cellIs" dxfId="59" priority="1291" stopIfTrue="1" operator="equal">
      <formula>-1</formula>
    </cfRule>
    <cfRule type="cellIs" dxfId="58" priority="1292" stopIfTrue="1" operator="lessThan">
      <formula>0.5</formula>
    </cfRule>
    <cfRule type="cellIs" dxfId="57" priority="1293" stopIfTrue="1" operator="greaterThanOrEqual">
      <formula>0.5</formula>
    </cfRule>
  </conditionalFormatting>
  <conditionalFormatting sqref="D67">
    <cfRule type="cellIs" dxfId="56" priority="1294" stopIfTrue="1" operator="equal">
      <formula>-1</formula>
    </cfRule>
    <cfRule type="cellIs" dxfId="55" priority="1295" stopIfTrue="1" operator="lessThan">
      <formula>0.5</formula>
    </cfRule>
    <cfRule type="cellIs" dxfId="54" priority="1296" stopIfTrue="1" operator="greaterThanOrEqual">
      <formula>0.5</formula>
    </cfRule>
  </conditionalFormatting>
  <conditionalFormatting sqref="D68">
    <cfRule type="cellIs" dxfId="53" priority="1297" stopIfTrue="1" operator="equal">
      <formula>-1</formula>
    </cfRule>
    <cfRule type="cellIs" dxfId="52" priority="1298" stopIfTrue="1" operator="lessThan">
      <formula>0.5</formula>
    </cfRule>
    <cfRule type="cellIs" dxfId="51" priority="1299" stopIfTrue="1" operator="greaterThanOrEqual">
      <formula>0.5</formula>
    </cfRule>
  </conditionalFormatting>
  <conditionalFormatting sqref="D69">
    <cfRule type="cellIs" dxfId="50" priority="1300" stopIfTrue="1" operator="equal">
      <formula>-1</formula>
    </cfRule>
    <cfRule type="cellIs" dxfId="49" priority="1301" stopIfTrue="1" operator="lessThan">
      <formula>0.5</formula>
    </cfRule>
    <cfRule type="cellIs" dxfId="48" priority="1302" stopIfTrue="1" operator="greaterThanOrEqual">
      <formula>0.5</formula>
    </cfRule>
  </conditionalFormatting>
  <conditionalFormatting sqref="D70">
    <cfRule type="cellIs" dxfId="47" priority="1303" stopIfTrue="1" operator="equal">
      <formula>-1</formula>
    </cfRule>
    <cfRule type="cellIs" dxfId="46" priority="1304" stopIfTrue="1" operator="lessThan">
      <formula>0.5</formula>
    </cfRule>
    <cfRule type="cellIs" dxfId="45" priority="1305" stopIfTrue="1" operator="greaterThanOrEqual">
      <formula>0.5</formula>
    </cfRule>
  </conditionalFormatting>
  <conditionalFormatting sqref="D71">
    <cfRule type="cellIs" dxfId="44" priority="1306" stopIfTrue="1" operator="equal">
      <formula>-1</formula>
    </cfRule>
    <cfRule type="cellIs" dxfId="43" priority="1307" stopIfTrue="1" operator="lessThan">
      <formula>0.5</formula>
    </cfRule>
    <cfRule type="cellIs" dxfId="42" priority="1308" stopIfTrue="1" operator="greaterThanOrEqual">
      <formula>0.5</formula>
    </cfRule>
  </conditionalFormatting>
  <conditionalFormatting sqref="D72">
    <cfRule type="cellIs" dxfId="41" priority="1309" stopIfTrue="1" operator="equal">
      <formula>-1</formula>
    </cfRule>
    <cfRule type="cellIs" dxfId="40" priority="1310" stopIfTrue="1" operator="lessThan">
      <formula>0.5</formula>
    </cfRule>
    <cfRule type="cellIs" dxfId="39" priority="1311" stopIfTrue="1" operator="greaterThanOrEqual">
      <formula>0.5</formula>
    </cfRule>
  </conditionalFormatting>
  <conditionalFormatting sqref="D73">
    <cfRule type="cellIs" dxfId="38" priority="1312" stopIfTrue="1" operator="equal">
      <formula>-1</formula>
    </cfRule>
    <cfRule type="cellIs" dxfId="37" priority="1313" stopIfTrue="1" operator="lessThan">
      <formula>0.5</formula>
    </cfRule>
    <cfRule type="cellIs" dxfId="36" priority="1314" stopIfTrue="1" operator="greaterThanOrEqual">
      <formula>0.5</formula>
    </cfRule>
  </conditionalFormatting>
  <conditionalFormatting sqref="D74">
    <cfRule type="cellIs" dxfId="35" priority="1315" stopIfTrue="1" operator="equal">
      <formula>-1</formula>
    </cfRule>
    <cfRule type="cellIs" dxfId="34" priority="1316" stopIfTrue="1" operator="lessThan">
      <formula>0.5</formula>
    </cfRule>
    <cfRule type="cellIs" dxfId="33" priority="1317" stopIfTrue="1" operator="greaterThanOrEqual">
      <formula>0.5</formula>
    </cfRule>
  </conditionalFormatting>
  <conditionalFormatting sqref="D75">
    <cfRule type="cellIs" dxfId="32" priority="1318" stopIfTrue="1" operator="equal">
      <formula>-1</formula>
    </cfRule>
    <cfRule type="cellIs" dxfId="31" priority="1319" stopIfTrue="1" operator="lessThan">
      <formula>0.5</formula>
    </cfRule>
    <cfRule type="cellIs" dxfId="30" priority="1320" stopIfTrue="1" operator="greaterThanOrEqual">
      <formula>0.5</formula>
    </cfRule>
  </conditionalFormatting>
  <conditionalFormatting sqref="D76">
    <cfRule type="cellIs" dxfId="29" priority="1321" stopIfTrue="1" operator="equal">
      <formula>-1</formula>
    </cfRule>
    <cfRule type="cellIs" dxfId="28" priority="1322" stopIfTrue="1" operator="lessThan">
      <formula>0.5</formula>
    </cfRule>
    <cfRule type="cellIs" dxfId="27" priority="1323" stopIfTrue="1" operator="greaterThanOrEqual">
      <formula>0.5</formula>
    </cfRule>
  </conditionalFormatting>
  <conditionalFormatting sqref="D77">
    <cfRule type="cellIs" dxfId="26" priority="1324" stopIfTrue="1" operator="equal">
      <formula>-1</formula>
    </cfRule>
    <cfRule type="cellIs" dxfId="25" priority="1325" stopIfTrue="1" operator="lessThan">
      <formula>0.5</formula>
    </cfRule>
    <cfRule type="cellIs" dxfId="24" priority="1326" stopIfTrue="1" operator="greaterThanOrEqual">
      <formula>0.5</formula>
    </cfRule>
  </conditionalFormatting>
  <conditionalFormatting sqref="D78">
    <cfRule type="cellIs" dxfId="23" priority="1327" stopIfTrue="1" operator="equal">
      <formula>-1</formula>
    </cfRule>
    <cfRule type="cellIs" dxfId="22" priority="1328" stopIfTrue="1" operator="lessThan">
      <formula>0.5</formula>
    </cfRule>
    <cfRule type="cellIs" dxfId="21" priority="1329" stopIfTrue="1" operator="greaterThanOrEqual">
      <formula>0.5</formula>
    </cfRule>
  </conditionalFormatting>
  <conditionalFormatting sqref="D79">
    <cfRule type="cellIs" dxfId="20" priority="1330" stopIfTrue="1" operator="equal">
      <formula>-1</formula>
    </cfRule>
    <cfRule type="cellIs" dxfId="19" priority="1331" stopIfTrue="1" operator="lessThan">
      <formula>0.5</formula>
    </cfRule>
    <cfRule type="cellIs" dxfId="18" priority="1332" stopIfTrue="1" operator="greaterThanOrEqual">
      <formula>0.5</formula>
    </cfRule>
  </conditionalFormatting>
  <conditionalFormatting sqref="D80">
    <cfRule type="cellIs" dxfId="17" priority="1333" stopIfTrue="1" operator="equal">
      <formula>-1</formula>
    </cfRule>
    <cfRule type="cellIs" dxfId="16" priority="1334" stopIfTrue="1" operator="lessThan">
      <formula>0.5</formula>
    </cfRule>
    <cfRule type="cellIs" dxfId="15" priority="1335" stopIfTrue="1" operator="greaterThanOrEqual">
      <formula>0.5</formula>
    </cfRule>
  </conditionalFormatting>
  <conditionalFormatting sqref="D81">
    <cfRule type="cellIs" dxfId="14" priority="1336" stopIfTrue="1" operator="equal">
      <formula>-1</formula>
    </cfRule>
    <cfRule type="cellIs" dxfId="13" priority="1337" stopIfTrue="1" operator="lessThan">
      <formula>0.5</formula>
    </cfRule>
    <cfRule type="cellIs" dxfId="12" priority="1338" stopIfTrue="1" operator="greaterThanOrEqual">
      <formula>0.5</formula>
    </cfRule>
  </conditionalFormatting>
  <conditionalFormatting sqref="D82">
    <cfRule type="cellIs" dxfId="11" priority="1339" stopIfTrue="1" operator="equal">
      <formula>-1</formula>
    </cfRule>
    <cfRule type="cellIs" dxfId="10" priority="1340" stopIfTrue="1" operator="lessThan">
      <formula>0.5</formula>
    </cfRule>
    <cfRule type="cellIs" dxfId="9" priority="1341" stopIfTrue="1" operator="greaterThanOrEqual">
      <formula>0.5</formula>
    </cfRule>
  </conditionalFormatting>
  <conditionalFormatting sqref="D83">
    <cfRule type="cellIs" dxfId="8" priority="1342" stopIfTrue="1" operator="equal">
      <formula>-1</formula>
    </cfRule>
    <cfRule type="cellIs" dxfId="7" priority="1343" stopIfTrue="1" operator="lessThan">
      <formula>0.5</formula>
    </cfRule>
    <cfRule type="cellIs" dxfId="6" priority="1344" stopIfTrue="1" operator="greaterThanOrEqual">
      <formula>0.5</formula>
    </cfRule>
  </conditionalFormatting>
  <conditionalFormatting sqref="D84">
    <cfRule type="cellIs" dxfId="5" priority="1345" stopIfTrue="1" operator="equal">
      <formula>-1</formula>
    </cfRule>
    <cfRule type="cellIs" dxfId="4" priority="1346" stopIfTrue="1" operator="lessThan">
      <formula>0.5</formula>
    </cfRule>
    <cfRule type="cellIs" dxfId="3" priority="1347" stopIfTrue="1" operator="greaterThanOrEqual">
      <formula>0.5</formula>
    </cfRule>
  </conditionalFormatting>
  <conditionalFormatting sqref="D85">
    <cfRule type="cellIs" dxfId="0" priority="1348" stopIfTrue="1" operator="equal">
      <formula>-1</formula>
    </cfRule>
  </conditionalFormatting>
  <conditionalFormatting sqref="D85">
    <cfRule type="cellIs" dxfId="1" priority="1349" stopIfTrue="1" operator="lessThan">
      <formula>0.5</formula>
    </cfRule>
  </conditionalFormatting>
  <conditionalFormatting sqref="D85">
    <cfRule type="cellIs" dxfId="2" priority="1350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71" fitToHeight="2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Primera</vt:lpstr>
      <vt:lpstr>Recu1</vt:lpstr>
      <vt:lpstr>Segunda</vt:lpstr>
      <vt:lpstr>Recu2</vt:lpstr>
      <vt:lpstr>Tercera</vt:lpstr>
      <vt:lpstr>Recu3</vt:lpstr>
      <vt:lpstr>Ordinaria</vt:lpstr>
      <vt:lpstr>Extraordinaria</vt:lpstr>
      <vt:lpstr>Estructura</vt:lpstr>
      <vt:lpstr>Informes</vt:lpstr>
      <vt:lpstr>inf_alumno</vt:lpstr>
      <vt:lpstr>Alumno</vt:lpstr>
      <vt:lpstr>Alumnos</vt:lpstr>
      <vt:lpstr>email</vt:lpstr>
      <vt:lpstr>emails</vt:lpstr>
      <vt:lpstr>Evaluacion</vt:lpstr>
      <vt:lpstr>Evaluaciones</vt:lpstr>
      <vt:lpstr>inf_all</vt:lpstr>
      <vt:lpstr>inf_evaluacion</vt:lpstr>
      <vt:lpstr>inf_nombre</vt:lpstr>
      <vt:lpstr>passwd</vt:lpstr>
      <vt:lpstr>Profesor</vt:lpstr>
      <vt:lpstr>Servidor</vt:lpstr>
      <vt:lpstr>Tipo</vt:lpstr>
      <vt:lpstr>Tipos</vt:lpstr>
      <vt:lpstr>usuario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cp:lastPrinted>2022-10-30T16:15:21Z</cp:lastPrinted>
  <dcterms:created xsi:type="dcterms:W3CDTF">2022-10-09T08:52:05Z</dcterms:created>
  <dcterms:modified xsi:type="dcterms:W3CDTF">2022-10-30T16:16:16Z</dcterms:modified>
</cp:coreProperties>
</file>